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Lini Hernández\Downloads\"/>
    </mc:Choice>
  </mc:AlternateContent>
  <xr:revisionPtr revIDLastSave="0" documentId="13_ncr:1_{5F24EECA-BC36-4AED-A2C5-AD0893258D08}" xr6:coauthVersionLast="47" xr6:coauthVersionMax="47" xr10:uidLastSave="{00000000-0000-0000-0000-000000000000}"/>
  <bookViews>
    <workbookView xWindow="-108" yWindow="-108" windowWidth="23256" windowHeight="12456" tabRatio="1000" activeTab="1" xr2:uid="{00000000-000D-0000-FFFF-FFFF00000000}"/>
  </bookViews>
  <sheets>
    <sheet name="BASE LIQUIDACION REDEBAN 2025" sheetId="1" r:id="rId1"/>
    <sheet name="RESUMEN LIQUIDACION" sheetId="11" r:id="rId2"/>
    <sheet name="INCIDENTES_BANCOLOMBIA" sheetId="4" r:id="rId3"/>
  </sheets>
  <definedNames>
    <definedName name="_xlnm._FilterDatabase" localSheetId="2" hidden="1">INCIDENTES_BANCOLOMBIA!$A$1:$AE$75</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workbook>
</file>

<file path=xl/calcChain.xml><?xml version="1.0" encoding="utf-8"?>
<calcChain xmlns="http://schemas.openxmlformats.org/spreadsheetml/2006/main">
  <c r="B5" i="11" l="1"/>
  <c r="AE75" i="4"/>
  <c r="C5" i="11" s="1"/>
  <c r="B19" i="1"/>
  <c r="B18" i="1"/>
  <c r="E17" i="1"/>
  <c r="D17" i="1"/>
  <c r="B17" i="1"/>
  <c r="D13" i="1"/>
  <c r="C13" i="1"/>
  <c r="B13" i="1"/>
  <c r="I12" i="1"/>
  <c r="D12" i="1"/>
  <c r="C12" i="1"/>
  <c r="B12" i="1"/>
  <c r="I11" i="1"/>
  <c r="D11" i="1"/>
  <c r="C11" i="1"/>
  <c r="B11" i="1"/>
  <c r="D10" i="1"/>
  <c r="C10" i="1"/>
  <c r="B10" i="1"/>
  <c r="L6" i="1"/>
  <c r="K6" i="1"/>
  <c r="J6" i="1"/>
  <c r="I6" i="1"/>
  <c r="H6" i="1"/>
  <c r="B6" i="1"/>
  <c r="L5" i="1"/>
  <c r="K5" i="1"/>
  <c r="J5" i="1"/>
  <c r="I5" i="1"/>
  <c r="H5" i="1"/>
  <c r="D5" i="1"/>
  <c r="C5" i="1"/>
  <c r="B5" i="1"/>
  <c r="L4" i="1"/>
  <c r="K4" i="1"/>
  <c r="J4" i="1"/>
  <c r="I4" i="1"/>
  <c r="H4" i="1"/>
  <c r="D4" i="1"/>
  <c r="C4" i="1"/>
  <c r="B4" i="1"/>
  <c r="L3" i="1"/>
  <c r="K3" i="1"/>
  <c r="J3" i="1"/>
  <c r="I3" i="1"/>
  <c r="H3" i="1"/>
  <c r="D3" i="1"/>
  <c r="C3" i="1"/>
  <c r="B3" i="1"/>
  <c r="D2" i="1"/>
  <c r="C2" i="1"/>
  <c r="B2" i="1"/>
  <c r="C6" i="11" l="1"/>
  <c r="C7" i="11" s="1"/>
  <c r="C8" i="11" s="1"/>
</calcChain>
</file>

<file path=xl/sharedStrings.xml><?xml version="1.0" encoding="utf-8"?>
<sst xmlns="http://schemas.openxmlformats.org/spreadsheetml/2006/main" count="2020" uniqueCount="629">
  <si>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</si>
  <si>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</si>
  <si>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</si>
  <si>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</si>
  <si>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</si>
  <si>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</si>
  <si>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</si>
  <si>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</si>
  <si>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</si>
  <si>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</si>
  <si>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</si>
  <si>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</si>
  <si>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</si>
  <si>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</si>
  <si>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</si>
  <si>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</si>
  <si>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</si>
  <si>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</si>
  <si>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</si>
  <si>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</si>
  <si>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</si>
  <si>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</si>
  <si>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</si>
  <si>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</si>
  <si>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</si>
  <si>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</si>
  <si>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</si>
  <si>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</si>
  <si>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</si>
  <si>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</si>
  <si>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</si>
  <si>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</si>
  <si>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</si>
  <si>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</si>
  <si>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</si>
  <si>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</si>
  <si>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</si>
  <si>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</si>
  <si>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</si>
  <si>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CIUDAD SEDE</t>
  </si>
  <si>
    <t>ZONA</t>
  </si>
  <si>
    <t>CENTRO DE COSTOS LINEACOM</t>
  </si>
  <si>
    <t>CODIGO DANE</t>
  </si>
  <si>
    <t>TA/CODIGO ACTIVIDAD</t>
  </si>
  <si>
    <t>CODIGO CB</t>
  </si>
  <si>
    <t>ACTIVIDAD</t>
  </si>
  <si>
    <t>DEPARTAMENTO</t>
  </si>
  <si>
    <t>CIUDAD</t>
  </si>
  <si>
    <t xml:space="preserve">NOMBRE  DEL CB </t>
  </si>
  <si>
    <t>RED</t>
  </si>
  <si>
    <t>FO</t>
  </si>
  <si>
    <t>FORMATO</t>
  </si>
  <si>
    <t>CADENA</t>
  </si>
  <si>
    <t>ESTADO</t>
  </si>
  <si>
    <t>FORMA DE ATENCION</t>
  </si>
  <si>
    <t>TERMINAL(ES)</t>
  </si>
  <si>
    <t>TIPIFICACION</t>
  </si>
  <si>
    <t>TIPO DE TRAYECTO</t>
  </si>
  <si>
    <t xml:space="preserve">NOMBRE DEL TECNICO </t>
  </si>
  <si>
    <t>DIAS DE VISITA</t>
  </si>
  <si>
    <t>DIA ADICIONAL</t>
  </si>
  <si>
    <t>VALOR DIAS ACTIVIDAD FACTURABLES</t>
  </si>
  <si>
    <t>VALOR TOTAL</t>
  </si>
  <si>
    <t>PASTO</t>
  </si>
  <si>
    <t>SUROCCIDENTE Y EJE CAFETERO</t>
  </si>
  <si>
    <t>0004-0003</t>
  </si>
  <si>
    <t>REDEBAN</t>
  </si>
  <si>
    <t>AGREGADOR</t>
  </si>
  <si>
    <t>DISTRICOL</t>
  </si>
  <si>
    <t>EJECUTADO</t>
  </si>
  <si>
    <t>VISITA TECNICA</t>
  </si>
  <si>
    <t>TERRESTRE</t>
  </si>
  <si>
    <t>0</t>
  </si>
  <si>
    <t>COSTA</t>
  </si>
  <si>
    <t>0004-0001</t>
  </si>
  <si>
    <t>REMOTAS</t>
  </si>
  <si>
    <t>0004-0007</t>
  </si>
  <si>
    <t>NARIÑO</t>
  </si>
  <si>
    <t>CUCUTA</t>
  </si>
  <si>
    <t>SANTANDERES</t>
  </si>
  <si>
    <t>0004-0008</t>
  </si>
  <si>
    <t>54498</t>
  </si>
  <si>
    <t>NORTE DE SANTANDER</t>
  </si>
  <si>
    <t>OCAÑA</t>
  </si>
  <si>
    <t>NARANJO AFANADOR RUBEN JESUS</t>
  </si>
  <si>
    <t>COMCARD - PTM</t>
  </si>
  <si>
    <t>MEDELLIN</t>
  </si>
  <si>
    <t>NOROCCIDENTE</t>
  </si>
  <si>
    <t>0004-0005</t>
  </si>
  <si>
    <t>5001</t>
  </si>
  <si>
    <t>ANTIOQUIA</t>
  </si>
  <si>
    <t>QUINTERO SANCHEZ JUAN SEBASTIAN</t>
  </si>
  <si>
    <t>5088</t>
  </si>
  <si>
    <t>BELLO</t>
  </si>
  <si>
    <t>DIAZ ZABALA FRANCIS DUBAN</t>
  </si>
  <si>
    <t>ZAPATA LOPEZ EDWARD ASDRUBAL</t>
  </si>
  <si>
    <t>5360</t>
  </si>
  <si>
    <t>ITAGUI</t>
  </si>
  <si>
    <t>BOYACA</t>
  </si>
  <si>
    <t>BARRIENTOS HERNANDEZ CRISTIAN HORACIO</t>
  </si>
  <si>
    <t>0004-0002</t>
  </si>
  <si>
    <t>BUCARAMANGA</t>
  </si>
  <si>
    <t>CESAR</t>
  </si>
  <si>
    <t>MONTERIA</t>
  </si>
  <si>
    <t>CORDOBA</t>
  </si>
  <si>
    <t>68001</t>
  </si>
  <si>
    <t>SANTANDER</t>
  </si>
  <si>
    <t>MARTINEZ FLOREZ DONIS ALBERTO</t>
  </si>
  <si>
    <t>CALI</t>
  </si>
  <si>
    <t>76001</t>
  </si>
  <si>
    <t>VALLE DEL CAUCA</t>
  </si>
  <si>
    <t>PAREDES CASTILLO DIEGO</t>
  </si>
  <si>
    <t>TORRES GARCIA JENDRY JOSE</t>
  </si>
  <si>
    <t>REYES RAMIREZ DIEGO ALEXANDER</t>
  </si>
  <si>
    <t>ALVAREZ ARENAS VICTOR HUGO</t>
  </si>
  <si>
    <t>BOGOTA</t>
  </si>
  <si>
    <t>CUNDINAMARCA</t>
  </si>
  <si>
    <t>0004-0004</t>
  </si>
  <si>
    <t>52001</t>
  </si>
  <si>
    <t>11001</t>
  </si>
  <si>
    <t>GALINDO ROJAS LUIS FELIPE</t>
  </si>
  <si>
    <t>GOMEZ VEGA DAVID SNEYDER</t>
  </si>
  <si>
    <t>VILLAVICENCIO</t>
  </si>
  <si>
    <t>50001</t>
  </si>
  <si>
    <t>META</t>
  </si>
  <si>
    <t>MURCIA HERNANDEZ HARVEY IGNACIO</t>
  </si>
  <si>
    <t>BADEL ACUÑA LUIS ALBERTO</t>
  </si>
  <si>
    <t>5266</t>
  </si>
  <si>
    <t>ENVIGADO</t>
  </si>
  <si>
    <t>TUNJA</t>
  </si>
  <si>
    <t>RODRIGUEZ MURCIA YERSON IVAN</t>
  </si>
  <si>
    <t>PAREJA ECHAVARRIA JHON DAVID</t>
  </si>
  <si>
    <t>5376</t>
  </si>
  <si>
    <t>LA CEJA</t>
  </si>
  <si>
    <t>VALLEDUPAR</t>
  </si>
  <si>
    <t>20001</t>
  </si>
  <si>
    <t>MAESTRE MENGUAL EDGAR ENRIQUE</t>
  </si>
  <si>
    <t>25899</t>
  </si>
  <si>
    <t>ZIPAQUIRA</t>
  </si>
  <si>
    <t>PAZ MARTINEZ RICHARD HUMBERTO</t>
  </si>
  <si>
    <t>BARRERA ORTEGA MARLON STWAR</t>
  </si>
  <si>
    <t>CACERES HERNANDEZ ANDRES</t>
  </si>
  <si>
    <t>CASANARE</t>
  </si>
  <si>
    <t>ROBUSTO</t>
  </si>
  <si>
    <t>ROMERO ROJAS BREIDY JHOHAN</t>
  </si>
  <si>
    <t>OPRAP</t>
  </si>
  <si>
    <t>ALARCON AREVALO JOHAN STIVEN</t>
  </si>
  <si>
    <t>VEGA MANRIQUE JONATAN MAURICIO</t>
  </si>
  <si>
    <t>IBAGUE</t>
  </si>
  <si>
    <t>73001</t>
  </si>
  <si>
    <t>TOLIMA</t>
  </si>
  <si>
    <t>BARRAGAN TAFUR EDWIN ESTEBAN</t>
  </si>
  <si>
    <t>3007054330</t>
  </si>
  <si>
    <t>DISTRICOL MOVIFEMZ</t>
  </si>
  <si>
    <t>SOLER HOYOS CRISTIAN LEONARDO</t>
  </si>
  <si>
    <t>PEREIRA</t>
  </si>
  <si>
    <t>66001</t>
  </si>
  <si>
    <t>RISARALDA</t>
  </si>
  <si>
    <t>FECHA ASIGNACION A LINEA COMUNICACIONES</t>
  </si>
  <si>
    <t>FECHA CIERRE DEL TICKET (DD/MM/AAAA HH:MM)</t>
  </si>
  <si>
    <t>ACOMETIDA</t>
  </si>
  <si>
    <t>GRUPO_FALLA</t>
  </si>
  <si>
    <t>CATEGORIA</t>
  </si>
  <si>
    <t>FALLA</t>
  </si>
  <si>
    <t>OBSERVACION</t>
  </si>
  <si>
    <t>INCIDENTE</t>
  </si>
  <si>
    <t>NO</t>
  </si>
  <si>
    <t>CB UNO A UNO</t>
  </si>
  <si>
    <t>UNO A UNO</t>
  </si>
  <si>
    <t>ROZO JIMENEZ EDGAR ARMANDO</t>
  </si>
  <si>
    <t>SOFTWARE</t>
  </si>
  <si>
    <t>ENTIDAD</t>
  </si>
  <si>
    <t>25743</t>
  </si>
  <si>
    <t>2811402</t>
  </si>
  <si>
    <t>3007034808</t>
  </si>
  <si>
    <t>SILVANIA</t>
  </si>
  <si>
    <t>BARRIO EL PROGRESO SILVANIA</t>
  </si>
  <si>
    <t>FO-25-1600951</t>
  </si>
  <si>
    <t>ACTUALIZACION</t>
  </si>
  <si>
    <t>VERSION CARGA SO VR</t>
  </si>
  <si>
    <t>29/09/2025 SE ESCALA PARA VISITA. LLAMAR ANTES DE VISITAR, CONFIRMAR FALLA Y DATOS | 01/10/2025 BORRADO DE SO Y VERSIÓN SE ACTUALIZA SE REALIZA PRUEBAS OK SE ENTREGA SERVICIO OPERATIVO</t>
  </si>
  <si>
    <t>BL01J395 - LALZZ819</t>
  </si>
  <si>
    <t>HERNANDEZ NARANJO OSCAR EDUARDO</t>
  </si>
  <si>
    <t>MONTOYA VELEZ ANDRES FELIPE</t>
  </si>
  <si>
    <t>EJECUTADO / CANCELADO</t>
  </si>
  <si>
    <t>PEDREROS CONTRERAS MICHAEL STEVENS</t>
  </si>
  <si>
    <t>50313</t>
  </si>
  <si>
    <t>GRANADA</t>
  </si>
  <si>
    <t>REDY</t>
  </si>
  <si>
    <t>MULTIPAGAS</t>
  </si>
  <si>
    <t>SOPORTE TELEFONICO</t>
  </si>
  <si>
    <t>GARCIA PASTRANA KEVIN FERNANDO</t>
  </si>
  <si>
    <t>2818907</t>
  </si>
  <si>
    <t>3007035563</t>
  </si>
  <si>
    <t>COMCARD LA CEJA COMPUARTE</t>
  </si>
  <si>
    <t>FO-25-1608416</t>
  </si>
  <si>
    <t>01/10/2025 SE ESCALA PARA VISITA. LLAMAR ANTES DE VISITAR, CONFIRMAR FALLA Y DATOS | 01/10/2025 SE REALIZA ACTUALIZACIÓN DE SO Y VR POR PROBLEMAS DE LENTITUD PRUEBAS OK NO TELECARGA</t>
  </si>
  <si>
    <t>AA004669</t>
  </si>
  <si>
    <t>2820145</t>
  </si>
  <si>
    <t>3007036697</t>
  </si>
  <si>
    <t>PTM MED LIMACA</t>
  </si>
  <si>
    <t>FO-25-1609220</t>
  </si>
  <si>
    <t>01/10/2025 SE ESCALA PARA VISITA. LLAMAR ANTES DE VISITAR, CONFIRMAR FALLA Y DATOS | 01/10/2025 SE ACTUALIZA VERSIÓN A 9.90 YA QUE ESTABA EN LA VR 9.80. EQUIPOS OPERATIVOS</t>
  </si>
  <si>
    <t>9A00F787 - TRZZZ962</t>
  </si>
  <si>
    <t>25175</t>
  </si>
  <si>
    <t>CHIA</t>
  </si>
  <si>
    <t>5615</t>
  </si>
  <si>
    <t>RIONEGRO</t>
  </si>
  <si>
    <t>LOAIZA LOPEZ JHON FREDDY</t>
  </si>
  <si>
    <t>3007033971</t>
  </si>
  <si>
    <t>PAGAFACIL PLAZA DE BELLO</t>
  </si>
  <si>
    <t>PAGAFACIL</t>
  </si>
  <si>
    <t>2835674</t>
  </si>
  <si>
    <t>3007079112</t>
  </si>
  <si>
    <t>BARRIO EL CENTRO OCAÑA 7</t>
  </si>
  <si>
    <t>FO-25-1621987</t>
  </si>
  <si>
    <t>03/10/2025 SE COMUNICA CON EL SR CRISTIAN REPORTA QUE EL DATAFONO SE REINICIA CUANDO REALIZA UNA TRX POR LO CUAL NO SABE SI QUEDA APROBADA O RECHAZADA 3227238515 11:45 AM | 04/10/2025 SE VISITA COMERCIO, SE FORMATEA DATAFONO, SE INSTALA VERSION, SE HACEN PRUEBAS EXITOSA, CB OPERATIVO.</t>
  </si>
  <si>
    <t>SASZZ687</t>
  </si>
  <si>
    <t>2835850</t>
  </si>
  <si>
    <t>3007080658</t>
  </si>
  <si>
    <t>BARRIO BUCARAMANGA BUCARAMANAGA 1</t>
  </si>
  <si>
    <t>FO-25-1622007</t>
  </si>
  <si>
    <t>03/10/2025 SE ESCALA PARA VISITA. LLAMAR ANTES DE VISITAR | 04/10/2025 SE ESTABLECE CONTACTO TELEFÓNICO AL NÚMERO 3203493888 CON JUAN DAVID CAPUTO QUIEN NOS INDICA QUE ABREN A LAS 9 AM | 04/10/2025 SE REALIZA CAMBIO DE BATERIA DE DATAFONO BORRADO E INSTALACIÓN VDE SMO Y VERSIÓN 10.3 CREACIÓN DE USUARIOS CAPACITACIÓN PRUEBAS OK SERVICIO OPERATIVO</t>
  </si>
  <si>
    <t>V8ZZZ408</t>
  </si>
  <si>
    <t>2838346</t>
  </si>
  <si>
    <t>3007081354</t>
  </si>
  <si>
    <t>DISTRICOL COLFARMA Y MINIMARK</t>
  </si>
  <si>
    <t>FO-25-1626994</t>
  </si>
  <si>
    <t>03/10/2025 SE ESCALA PARA VISITA. LLAMAR ANTES DE VISITAR | 04/10/2025 SE ENCUENTRA DATAFONO CON BLOQUEO EN CIERRES SE REALIZA BORRADO COMPLETO DE DATAFONO Y SE RECONFIGURA OK PARÁMETROS OK Y SE REALIZAN PRUEBAS ÉXITOSAS DE TRANSACCIONES</t>
  </si>
  <si>
    <t>VGZZZ810</t>
  </si>
  <si>
    <t>ARROYAVE CANO MANUEL GUILLERMO</t>
  </si>
  <si>
    <t>NO APLICA</t>
  </si>
  <si>
    <t>ESCOBAR LENIS JUAN SEBASTIAN</t>
  </si>
  <si>
    <t>3007081359</t>
  </si>
  <si>
    <t>DISTRICOLSOLUCIONSERVICIOSPLAY</t>
  </si>
  <si>
    <t>VGZZZ806</t>
  </si>
  <si>
    <t>3007036257</t>
  </si>
  <si>
    <t>BARRIO CENTAUROS BUCARAMANGA 1</t>
  </si>
  <si>
    <t>AB1BZ804</t>
  </si>
  <si>
    <t>2844679</t>
  </si>
  <si>
    <t>3007039356</t>
  </si>
  <si>
    <t>PTM BOGOTA CENTRO DE PAGOS</t>
  </si>
  <si>
    <t>FO-25-1634978</t>
  </si>
  <si>
    <t>06/10/2025 SE ESCALA PARA VISITA. LLAMAR ANTES DE VISITAR, CONFIRMAR FALLA Y DATOS | 06/10/2025 SE REALIZA REINICIO DE EQUIPO Y SE PROCEDE A LA ACTUALIZACIÓN DE SOFTWARE</t>
  </si>
  <si>
    <t>AA08Z542</t>
  </si>
  <si>
    <t>2850998</t>
  </si>
  <si>
    <t>3007066764</t>
  </si>
  <si>
    <t>DISTRICOL DROGUERIA Y MINIMARK</t>
  </si>
  <si>
    <t>FO-25-1640625</t>
  </si>
  <si>
    <t>08/10/2025 SE REALIZA BORRADO TOTAL DE DATAFONO, SE INSTALA SO Y VERSIÓN, SE CREA USUARIOS, SE REALIZA LIMPIEZA Y NUEVA INSTALACIÓN DE BASE CON CINTA DOBLE FAZ, PRUEBAS OK, SE INSTALA CUBRE TECLADO, SE SEGURA CABLE MAGICBOX CON CINTA DOBLE FAZ.</t>
  </si>
  <si>
    <t>3A0CZ724</t>
  </si>
  <si>
    <t>GONZALEZ GONZALEZ MARIO ALBERTO</t>
  </si>
  <si>
    <t>3007013192</t>
  </si>
  <si>
    <t>CENTRO COMERCIAL PORTAL 80</t>
  </si>
  <si>
    <t>3007044081</t>
  </si>
  <si>
    <t>REDY CIUDAD DEL RIO</t>
  </si>
  <si>
    <t>GA00E375</t>
  </si>
  <si>
    <t>2858041</t>
  </si>
  <si>
    <t>3007080829</t>
  </si>
  <si>
    <t>PTM BOGOTA ANGEL Y DUCK</t>
  </si>
  <si>
    <t>FO-25-1647100</t>
  </si>
  <si>
    <t>08/10/2025 SE ESCALA PARA VISITA. LLAMAR ANTES DE VISITAR, CONFIRMAR FALLA Y DATOS | 09/10/2025 SE REALIZA REINICIO, BORRADO Y REINSTALACIÓN DEL VERSIONAMIENTO ADEMÁS SE RECONFIGURA EL EQUIPO</t>
  </si>
  <si>
    <t>FHZZZ024 - FFZZZ113</t>
  </si>
  <si>
    <t>2862200</t>
  </si>
  <si>
    <t>3007068542</t>
  </si>
  <si>
    <t>BARRIO PUENTE ARANDA BOGOTA 7</t>
  </si>
  <si>
    <t>FO-25-1652244</t>
  </si>
  <si>
    <t>09/10/2025 SE ESCALA ACTIVIDAD PARA GESTION WOMPI | 10/10/2025 SE REALIZA ACTUALIZACIÓN DE SISTEMA PRUEBAS OK</t>
  </si>
  <si>
    <t>AAJQZ436</t>
  </si>
  <si>
    <t>50590</t>
  </si>
  <si>
    <t>2872083</t>
  </si>
  <si>
    <t>3007065726</t>
  </si>
  <si>
    <t>PUERTO RICO</t>
  </si>
  <si>
    <t>BARRIO CENTRO PUERTO RICO 4</t>
  </si>
  <si>
    <t>FO-25-1669535</t>
  </si>
  <si>
    <t>11/10/2025 SE ESCALA PARA VISITA. LLAMAR ANTES DE VISITAR, CONFIRMAR FALLA Y DATOS | 14/10/2025 SE REALIZA FORMATEO Y CAGE DE VERSION SE COLOCA FUENTE DE PODER POR DAÑO SE ENTREGA OPERATIVO SIN NOVEDAD</t>
  </si>
  <si>
    <t>6A00F749</t>
  </si>
  <si>
    <t>25430</t>
  </si>
  <si>
    <t>MADRID</t>
  </si>
  <si>
    <t>3007019228</t>
  </si>
  <si>
    <t>PAGA FACIL ZIPAQUIRA</t>
  </si>
  <si>
    <t>85440</t>
  </si>
  <si>
    <t>2881661</t>
  </si>
  <si>
    <t>3007076925</t>
  </si>
  <si>
    <t>VILLANUEVA</t>
  </si>
  <si>
    <t>BARRIO PARAISO 1 VILLANUEVA</t>
  </si>
  <si>
    <t>FO-25-1683513</t>
  </si>
  <si>
    <t>15/10/2025 SE ESCALA PARA VISITA. LLAMAR ANTES DE VISITAR, CONFIRMAR FALLA Y DATOS | 16/10/2025 SE REALIZA ACTUALIZACIÓN DE VERSION Y S.O, PRUEBAS OK</t>
  </si>
  <si>
    <t>A16ZZ225</t>
  </si>
  <si>
    <t>2883633</t>
  </si>
  <si>
    <t>3007070665</t>
  </si>
  <si>
    <t>MULTIPAGAS VICTORIA PLAZA II</t>
  </si>
  <si>
    <t>FO-25-1685498</t>
  </si>
  <si>
    <t>15/10/2025 SE ESCALA PARA VISITA. LLAMAR ANTES DE VISITAR, CONFIRMAR FALLA Y DATOS | 16/10/2025 VISITAMOS COMERCIO EL DATAFO SE REINICIA CUANDO INGRESAN LAS TARJETAS ESTO ES OCASIONADO POR SISTEMA OPERATIVO YA QUE ESTA DESACTUALIZADO Y GENERA QUE SE REINICIE EL PIN PAD, LO FORMATEAMOS INSTALAMOS SISTEMA OPERATIVO NUEVO LO CONFIGURAMOS Y REALIZAMOS PRUEBAS OK.</t>
  </si>
  <si>
    <t>TVIZZ643</t>
  </si>
  <si>
    <t>23660</t>
  </si>
  <si>
    <t>SAHAGUN</t>
  </si>
  <si>
    <t>2887895</t>
  </si>
  <si>
    <t>3007018234</t>
  </si>
  <si>
    <t>PAGAFACIL ANTIGUO COUNTRY</t>
  </si>
  <si>
    <t>FO-25-1689310</t>
  </si>
  <si>
    <t>15/10/2025 SE ESCALA PARA VISITA. LLAMAR ANTES DE VISITAR, CONFIRMAR FALLA Y DATOS | 16/10/2025 SE REALIZA VISITA A CB PARA ATENDER INCIDENTE SE REALIZA ACTUALIZACIÓN VERSIÓN 9.90 ,SE REALIZAN PRUEBAS OK</t>
  </si>
  <si>
    <t>AAAXZ296</t>
  </si>
  <si>
    <t>52835</t>
  </si>
  <si>
    <t>2890733</t>
  </si>
  <si>
    <t>3007069609</t>
  </si>
  <si>
    <t>SAN ANDRES DE TUMACO</t>
  </si>
  <si>
    <t>BARRIO CALLE PRINCIPAL LLORENT</t>
  </si>
  <si>
    <t>FO-25-1692825</t>
  </si>
  <si>
    <t>16/10/2025 SE ESCALA PARA VISITA. LLAMAR ANTES DE VISITAR, CONFIRMAR FALLA Y DATOS | 20/10/2025 21/10 SE ESTA VIAJANDO A LA ZONA YA QUE POR PROBLEMAS DE VIA NO SE HABIA PODIDO LLEGAR A TUMACO | 21/10/2025 SE ENCUENTRA DATAFONO CON BLOQUEO DE PANTALLA SE REALIZA BORRADO COMPLETO DE DATAFONO Y SE RECONFIGURA OK PARÁMETROS OK Y SE REALIZAN PRUEBAS ÉXITOSAS DE TRANSACCIONES</t>
  </si>
  <si>
    <t>EG004601</t>
  </si>
  <si>
    <t xml:space="preserve">EJECUTADO | </t>
  </si>
  <si>
    <t>5212</t>
  </si>
  <si>
    <t>COPACABANA</t>
  </si>
  <si>
    <t>2897105</t>
  </si>
  <si>
    <t>3007074659</t>
  </si>
  <si>
    <t>PTM VEREDA BARRO BLANCO MEDELL</t>
  </si>
  <si>
    <t>FO-25-1698733</t>
  </si>
  <si>
    <t>17/10/2025 SE ESCALA PARA VISITA. LLAMAR ANTES DE VISITAR, CONFIRMAR FALLA Y DATOS | 18/10/2025 DE ENCUENTRA CIERRE SATURADO SE FORMATEA SO Y VR PRUEBAS OK NO TELECARGA</t>
  </si>
  <si>
    <t>EGQZZ151 - NN00E975</t>
  </si>
  <si>
    <t>15740</t>
  </si>
  <si>
    <t>2911761</t>
  </si>
  <si>
    <t>3007050560</t>
  </si>
  <si>
    <t>SIACHOQUE</t>
  </si>
  <si>
    <t>PTM SIACHOQUE PAPELERIA SAN AL</t>
  </si>
  <si>
    <t>FO-25-1710440</t>
  </si>
  <si>
    <t>21/10/2025 SE ESCALA PARA VISITA. LLAMAR ANTES DE VISITAR, CONFIRMAR FALLA Y DATOS | 21/10/2025 SE VISITA CB MANTENIMIENTO DE EQUIPO BORRADO Y ACTUALIZACIÓN DE POS PRUEBAS EXITOSAS</t>
  </si>
  <si>
    <t>9C00X916</t>
  </si>
  <si>
    <t>2914842</t>
  </si>
  <si>
    <t>3007047991</t>
  </si>
  <si>
    <t>DISTRICOL MASIVOS MINI EXPRESS</t>
  </si>
  <si>
    <t>FO-25-1713166</t>
  </si>
  <si>
    <t>21/10/2025 SE ESCALA PARA VISITA. LLAMAR ANTES DE VISITAR, CONFIRMAR FALLA Y DATOS | 22/10/2025 SE REALIZA CONFIGURACIÓN DE EQUIPO POR FALLAS EN PARAMETROS SE INICIALIZA ENTREGANDO OPERATIVO SIN NOVEDAS</t>
  </si>
  <si>
    <t>9C00I729</t>
  </si>
  <si>
    <t>2919386</t>
  </si>
  <si>
    <t>FO-25-1718015</t>
  </si>
  <si>
    <t>22/10/2025 SE ESCALA PARA VISITA. LLAMAR ANTES DE VISITAR, CONFIRMAR FALLA Y DATOS | 23/10/2025 SE VISITA COMERCIO CB BANCOLOMBIA ROBUSTO, SE ACTUALIZA EQUIPO CON LA VERSIÓN PARA QUE TOME LOS PARÁMETROS DE COMUNICACIÓN CORRECTOS, SE REALIZAN PRUEBAS OK, NO UPS, NO SE ALTERNAN USUARIOS.</t>
  </si>
  <si>
    <t>AAAYZ241</t>
  </si>
  <si>
    <t>2921529</t>
  </si>
  <si>
    <t>3007025649</t>
  </si>
  <si>
    <t>PROSEGUR KENNEDY</t>
  </si>
  <si>
    <t>FO-25-1720070</t>
  </si>
  <si>
    <t>22/10/2025 SE ESCALA PARA VISITA. LLAMAR ANTES DE VISITAR, CONFIRMAR FALLA Y DATOS | 23/10/2025 SE LLEGA A LA DIRECCIÓN INDICADA Y SE ENCUENTRA COMERCIO CERRADO, SE INTENTA ESTABLECER COMUNICACIÓN AL NÚMERO 3102876689 PERO NO ES POSIBLE,SE ESPERA 20 MINUTOS PERO NO ES POSIBLE ESTABLECER COMUNICACIÓN Y COMERCIO CONTINUA CERRADO</t>
  </si>
  <si>
    <t>2932908</t>
  </si>
  <si>
    <t>FO-25-1731541</t>
  </si>
  <si>
    <t>24/10/2025 SE ESCALA PARA VISITA. LLAMAR ANTES DE VISITAR, CONFIRMAR FALLA Y DATOS | 25/10/2025 SE LLEGA A SITIÓ SE FORMATEA EQUIPO YA QUE NO PERMITIA IMPRIMIR, SE INSTALA SO Y VERSION 10.3 QUEDANDO EQUIPÓ OPERÁTIVO AL 100%</t>
  </si>
  <si>
    <t>2935058</t>
  </si>
  <si>
    <t>3007081659</t>
  </si>
  <si>
    <t>DISTRICOL KARENA VARIEDADES</t>
  </si>
  <si>
    <t>FO-25-1735464</t>
  </si>
  <si>
    <t>26/10/2025 SE ESCALA PARA VISITA. LLAMAR ANTES DE VISITAR, CONFIRMAR FALLA Y DATOS | 26/10/2025 SE LLAMA A LA SEÑORA LUZ MUÑOZ, AL NÚMERO 3124754742, ME INDICA QUE ME ATIENDE MAÑANA LUNES 27/10/2025 | 27/10/2025 SE COMUNICA AL NÚMERO 3124754742, LA SEÑORA LUZ HELENA MUÑOZ SOLICITA REALIZAR ACTIVIDAD DESPUÉS DE LAS 3:30 PM POR DISPONIBILIDAD DE TIEMPO. | 27/10/2025 SE REALIZA BORRADO Y ACTUALIZACIÓN DE VERSIÓN, SE REALIZA PRUEBAS DE FUNCIONAMIENTO EXITOSAS; CUBRE CLAVE INSTALADO.</t>
  </si>
  <si>
    <t>FWZZZ481</t>
  </si>
  <si>
    <t>3007017109</t>
  </si>
  <si>
    <t>BARRIO HAMBURGO PEREIRA</t>
  </si>
  <si>
    <t>AB000095</t>
  </si>
  <si>
    <t>3007012492</t>
  </si>
  <si>
    <t>PAGAFACIL  EXITO DE COLOMBIA</t>
  </si>
  <si>
    <t>BIZZZ795</t>
  </si>
  <si>
    <t>NA</t>
  </si>
  <si>
    <t>2944041</t>
  </si>
  <si>
    <t>FO-25-1743214</t>
  </si>
  <si>
    <t>28/10/2025 SE ESCALA PARA VISITA. LLAMAR ANTES DE VISITAR, CONFIRMAR FALLA Y DATOS | 28/10/2025 SE REALIZÓ ESCALAMIENTO A REDEBAN YA QUE AL PARECER ES UN PROBLEMA CON LA NUEVA VERSIÓN PARA CORRESPONSALES SE ESTÁ A LA ESPERA DE QUE REDEBAN NOS INDIQUE CÓMO PROCEDER | 28/10/2025 SE REALIZÓ VISITA SE LLEGÓ AL PUNTO SE ENCONTRÓ QUE YA ESTABAN EN HORA DE CIERRE DEL LOCAL NO PERMITEN EL INGRESO SE DEBE REPROGRAMAR VISITA</t>
  </si>
  <si>
    <t>NO DISPONIBLE</t>
  </si>
  <si>
    <t>2944380</t>
  </si>
  <si>
    <t>FO-25-1743577</t>
  </si>
  <si>
    <t>28/10/2025 SE VISITA COMERCIO SE IDENTIFICA DATÁFONO CON ERROR FALLA DE COMUNICACIÓN POR PARÁMETROS SE REALIZA REINSTALACIÓN DE APLICATIVO SE REALIZA PRUEBAS OK</t>
  </si>
  <si>
    <t>2945423</t>
  </si>
  <si>
    <t>FO-25-1744965</t>
  </si>
  <si>
    <t>28/10/2025 SE ESCALA PARA VISITA. LLAMAR ANTES DE VISITAR, CONFIRMAR FALLA Y DATOS | 28/10/2025 SE HACE PRESENCIA EN COMERCIO SE BAJA VERSIÓN DE EQUIPO 11.5 A 10.3 POR INDICACIONES DE PAOLA GARZON DE REDEBAN SE REALIZAN PRUEBAS OK SE CREAN USUARIOS Y CONTRASEÑA</t>
  </si>
  <si>
    <t>2953749</t>
  </si>
  <si>
    <t>3007075692</t>
  </si>
  <si>
    <t>BARRIO SAN PEDRO MADRID 4</t>
  </si>
  <si>
    <t>FO-25-1752494</t>
  </si>
  <si>
    <t>29/10/2025 SE ESCALA PARA VISITA. LLAMAR ANTES DE VISITAR, CONFIRMAR FALLA Y DATOS | 30/10/2025 SE LLEGA A LA DIRECCIÓN INDICADA Y SE REALIZA MANTENIMIENTO A EQUIPO , SE CARGA SO E INICIALIZA. SE ACTUALIZA A NUEVA NOMENCLATURA CL 21 3 37. USUARIO OK, CUPO OK. SE REALIZAN PRUEBAS EXITOSAS</t>
  </si>
  <si>
    <t>1000R510</t>
  </si>
  <si>
    <t>3007022577</t>
  </si>
  <si>
    <t>EDS LOS MANGOS MEDELLIN ANTIOQ</t>
  </si>
  <si>
    <t>2954324</t>
  </si>
  <si>
    <t>3007027928</t>
  </si>
  <si>
    <t>PAGAFACIL PARQUE BELLO II</t>
  </si>
  <si>
    <t>FO-25-1753120</t>
  </si>
  <si>
    <t>29/10/2025 SE ESCALA PARA VISITA. LLAMAR ANTES DE VISITAR, CONFIRMAR FALLA Y DATOS | 30/10/2025 SE HACE MANTENIMIENTO OK SE CAMBIA VERSIÓN DE DATÁFONO A 9+9.90 YA QUE LA VERSIÓN QUE TENIA 11 ESTABA PRESENTANDO FALLA EN EL MOMENTO DE TRANSAR</t>
  </si>
  <si>
    <t>9DZZZ785</t>
  </si>
  <si>
    <t>2958209</t>
  </si>
  <si>
    <t>3007058582</t>
  </si>
  <si>
    <t>BARRIO CHICO NORTE BOGOTA 3</t>
  </si>
  <si>
    <t>FO-25-1756833</t>
  </si>
  <si>
    <t>30/10/2025 SE ESCALA PARA VISITA. LLAMAR ANTES DE VISITAR, CONFIRMAR FALLA Y DATOS | 30/10/2025 BORRADO DE SO Y VERSIÓN SE ACTUALIZA SE REALIZA PRUEBAS OK SE ENTREGA SERVICIO OPERATIVO</t>
  </si>
  <si>
    <t>TYZZZ701</t>
  </si>
  <si>
    <t>TA-25-1176862</t>
  </si>
  <si>
    <t>3007022222</t>
  </si>
  <si>
    <t>PRUEBAS REDEBAN</t>
  </si>
  <si>
    <t>FO-25-1629246</t>
  </si>
  <si>
    <t>04/10/2025 SE REALIZA APOLLO A PERSONAL DE REDEBAN CON LA INSTALACIÓN Y ACTUALIZACIÓN DEL SISTEMA OPERATIVO Y VERSIÓN DE UN DATAFONO 3500 YA QUE ES UNAS PRUEBAS PROBANDO SE RELACIONA TODO Y FUNCIONA CORRECTAMENTE</t>
  </si>
  <si>
    <t>CNBBCL24</t>
  </si>
  <si>
    <t>9L06Z600</t>
  </si>
  <si>
    <t>TA-25-1218536</t>
  </si>
  <si>
    <t>FO-25-1699654</t>
  </si>
  <si>
    <t>17/10/2025 PROGRAMADO POR SOLICITUD DE LA RED | 17/10/2025 SE LLEGA AL PUNTO DE PRUEBAS DE BANCOLOMBIA SE CARGA VERSIÓN Y SO DE PRUEBAS DE REDEBAN SE REALIZAN VALIDACIONES CON PAOLA DE RDB DE QUE TODO QUEDA OK Y DA EL VISTO BUENO DE RETIRARNOS</t>
  </si>
  <si>
    <t>BA009816</t>
  </si>
  <si>
    <t>TA-25-1237893</t>
  </si>
  <si>
    <t>3007014454</t>
  </si>
  <si>
    <t>BARRIO EL JARDIN II CALI</t>
  </si>
  <si>
    <t>FO-25-1731207</t>
  </si>
  <si>
    <t>25/10/2025 SE ESCALA PARA VISITA. LLAMAR ANTES DE VISITAR, CONFIRMAR FALLA Y DATOS | 27/10/2025 SE REALIZO TELECARGA DE VERSION 11.5R1 Y AL PRICIPIO NO FUNCIONO POR PROBLEMAS DE PARAMETRIZACION, LUGO DE REFRESCAR LA TERMINAL SE VOLVIO A INICIALIZAR Y FUNCIONO TODO OK, PRUEBAS DE CB Y COMERCIO OK, EL CN QUEDA PARAMETRIZADO SOLO CON UNA TERMINAL PARA AMBOS MODULOS</t>
  </si>
  <si>
    <t>IZ00Q965 - IZ00Q965</t>
  </si>
  <si>
    <t>TA-25-1237894</t>
  </si>
  <si>
    <t>FO-25-1731208</t>
  </si>
  <si>
    <t>25/10/2025 SE ESCALA PARA VISITA. LLAMAR ANTES DE VISITAR, CONFIRMAR FALLA Y DATOS | 27/10/2025 SE IBA HACER PILOTO DE UNIFICACIÓN DE TERMINAL PERO USUARIO NO PERMITE MANIPULAR EQUIPO, NO PERMITE INGRESO , YA SE HABÍA REALIZADO EL PROCESO CON LA TERMINAL PERO USUARIO NO PERMITE EL INGRESO
, INDICA QUE POR POLÍTICAS DE LA EMPRESA NO SE PUEDE DEJAR UN CB CON CONFIGURACIÓN DIFERENTE AL OTRO
DESEA QUE EL PROCESO SE GARANTICE EN LOS DOS DATÁFONOS, SI NO ES ASÍ NO PERMITE EL INGRESO NI MANIPULACIÓN DEL EQUIPO , TAMPOCO DEJA MANIPULAR PARA REALIZAR REVERSO DEL PROCESO INDICADO , NO DEJAN REALIZAR NADA</t>
  </si>
  <si>
    <t>JAOZZ636</t>
  </si>
  <si>
    <t>TA-25-1245857</t>
  </si>
  <si>
    <t>3007014824</t>
  </si>
  <si>
    <t>CENTRO COMERCIAL CAMINO REAL</t>
  </si>
  <si>
    <t>FO-25-1751370 | FO-25-1747436</t>
  </si>
  <si>
    <t>29/10/2025 DEBIDO A LAS FALLAS EN TELCARGA SE PROCEDE A BAJAR A LA VERSIÓN 9.90, PRUEBAS OK</t>
  </si>
  <si>
    <t>BRZZZ203</t>
  </si>
  <si>
    <t>RIOS CASTRILLON JUAN SEBASTIAN</t>
  </si>
  <si>
    <t>TA-25-1246879</t>
  </si>
  <si>
    <t>FO-25-1750055 | FO-25-1748580</t>
  </si>
  <si>
    <t>29/10/2025 SE HACEN VALIDACIONES CON LA VERSIÓN DE PRUEBA 11.5 NO FUNCIONÓ LA VERSIÓN NUEVA QUE ENVIARON DE RDB POR LO QUE SOLICITAN DEVOLVER VERSIÓN PERO EL EQUIPO NO ME CARGA SO ANTIGUO POR LO QUE SE CAMBIA EQUIPO</t>
  </si>
  <si>
    <t>TA-25-1246880</t>
  </si>
  <si>
    <t>FO-25-1748582</t>
  </si>
  <si>
    <t>29/10/2025 NO SE PUDO VISITAR ACTIVIDAD POR CAPACIDAD OPERATIVA | 30/10/2025 CLIENTE MANIFIESTA QUE LE REALIZARON UNA TELECARGA EL DÍA LUNES 27 DE OCTUBRE DONDE UNO DE LOS EQUIPOS Y EL QUE PRESENTA LA FALLA QUEDÓ ACTUALIZADO A LA VERSIÓN 11.5R2 DONDE MUESTRA EL NOMBRE DEL TITULAR EN LAS CONSIGNACIONES DE NEQUI, INDICA QUE HA PRESENTADO ALGUNAS FALLAS DONDE NO LE PERMITE REALIZAR CONSULTAS DE SALDO Y TRANSFERENCIAS, SE REALIZAN PRUEBAS PERO NO MUESTRA LA FALLA, CLIENTE INDICA QUE IGUALMENTE EN EL CIERRE LE HAN SALIDO UNAS ANULACIONES EN LA TIRA QUE NO REALIZARON Y ESTO ESTÁ AFECTANDO N EL CUADRE DIARIO DEL PUNTO, SE BRINDA ACOMPAÑAMIENTO DURANTE 30 MIN PARA VALIDAR SI PRESENTA FALLA PERO NO SUCEDE, AÚN ASÍ PAOLA GARZÓN DE RBM INDICA QUE SE DEBE BAJAR LA VERSIÓN PARA NO GENERAR PROBLEMAS AL PUNTO, SE DEJA LA VERSIÓN 9.90, SE DEJAN USUARIOS DEL CLIENTE, SE REALIZAN PRUEBAS OK.</t>
  </si>
  <si>
    <t>JAATZ095</t>
  </si>
  <si>
    <t>TA-25-1246890</t>
  </si>
  <si>
    <t>3007015529</t>
  </si>
  <si>
    <t>MULTIPAGAS LA MOTA</t>
  </si>
  <si>
    <t>FO-25-1748592</t>
  </si>
  <si>
    <t>31/10/2025 SE VISITA PUNTO Y SE BAJA VERSIÓN DE LA 11.5 A LA 9.9 POR SOLICITUD DE LA RED TODO QUEDA OK</t>
  </si>
  <si>
    <t>CZZZZ460</t>
  </si>
  <si>
    <t>TA-25-1246891</t>
  </si>
  <si>
    <t>3007016653</t>
  </si>
  <si>
    <t>MULTIPAGAS CC UNICO CALI</t>
  </si>
  <si>
    <t>FO-25-1748595</t>
  </si>
  <si>
    <t>29/10/2025 SE REALIZA VISITA TÉCNICA DONDE SE RELAIZA DESCARGA DE LA VERSIÓN 9.90 YA QUE EL DISPOSITIVO TENÍA LA VERSIÓN 11.5 SE REALIZA DESCARGA DE LA 9.90 EN BUEN ESTADO Y CON PRUEBAS OK</t>
  </si>
  <si>
    <t>CZZZZ487</t>
  </si>
  <si>
    <t>TA-25-1246892</t>
  </si>
  <si>
    <t>3007016832</t>
  </si>
  <si>
    <t>PAGAFACIL GUAYABAL</t>
  </si>
  <si>
    <t>FO-25-1748598</t>
  </si>
  <si>
    <t>29/10/2025 POR ORDEN DE RDB SE VISITA SITIO PARA BAJAR VERSIÓN 11.5 DE PRUEBAS A LA 9.9 POR PROBLEMAS QUE PRESENTO</t>
  </si>
  <si>
    <t>JFZZZ785</t>
  </si>
  <si>
    <t>TA-25-1246895</t>
  </si>
  <si>
    <t>3007020781</t>
  </si>
  <si>
    <t>BARRIO SAN ANTONIO DE PEREIRA</t>
  </si>
  <si>
    <t>FO-25-1748607</t>
  </si>
  <si>
    <t>29/10/2025 SE HACE VISITA OK SE ENVIDENCIA QUE COMERCIO TIENE NUEVA VERSIÓN. 11. Y MANIFIESTA QUE ESTA OPERANDO CON NORMALIDAD Y QUE NO A TENIDO INCONVENIENTES CON ELLA PERO SIGUIENDO DIRECTIVA DE RDB SE BAJA VERSIÓN A 9.90</t>
  </si>
  <si>
    <t>AAAAX226</t>
  </si>
  <si>
    <t>15001</t>
  </si>
  <si>
    <t>TA-25-1246898</t>
  </si>
  <si>
    <t>3007020802</t>
  </si>
  <si>
    <t>CENTRO TUNJA I BOYACA</t>
  </si>
  <si>
    <t>FO-25-1748609</t>
  </si>
  <si>
    <t>29/10/2025 SE REALIZA CAMBIO DE VERSIÓN DEJANDO LA INSTALACIÓN DE LA VERSIÓN 9.90 EQUIPOS OPERATIVOS Y EN CORRECTO FUNCIONAMIENTO PRUEBAS OK CLIENTE CONFORME</t>
  </si>
  <si>
    <t>FAWZZ666-AAAAX363 - BBBBT795</t>
  </si>
  <si>
    <t>TA-25-1246899</t>
  </si>
  <si>
    <t>3007021434</t>
  </si>
  <si>
    <t>MULTIPAGAS COPACABANA</t>
  </si>
  <si>
    <t>FO-25-1748612</t>
  </si>
  <si>
    <t>29/10/2025 SE DEVUELVE VERSIÓN DEL DATÁFONO A LA 9.90, SE DEJAN SERVICIOS FUNCIONANDO CORRECTAMENTE</t>
  </si>
  <si>
    <t>AAPZZ627</t>
  </si>
  <si>
    <t>TA-25-1246900</t>
  </si>
  <si>
    <t>3007024597</t>
  </si>
  <si>
    <t>REDY BELLO</t>
  </si>
  <si>
    <t>FO-25-1748615</t>
  </si>
  <si>
    <t>31/10/2025 SE REALIZA ACTUALIZACIÓN A VERSIÓN 9.90, SE DEJAN SERVICIOS FUNCIONANDO CORRECTAMENTE</t>
  </si>
  <si>
    <t>ABCOZ291</t>
  </si>
  <si>
    <t>TA-25-1246901</t>
  </si>
  <si>
    <t>3007025168</t>
  </si>
  <si>
    <t>OPRAP CC PUERTA DEL NORTE</t>
  </si>
  <si>
    <t>FO-25-1748618</t>
  </si>
  <si>
    <t>XPBZZ949</t>
  </si>
  <si>
    <t>TA-25-1246903</t>
  </si>
  <si>
    <t>3007025765</t>
  </si>
  <si>
    <t>DISTRICOL INVERSIONES F Y AV</t>
  </si>
  <si>
    <t>FO-25-1748623</t>
  </si>
  <si>
    <t>29/10/2025 SE VISITA COMERCIO, SE VERIFICA INFORMACIÓN, SE EVIDENCIA QUE EL CB SE ENCUENTRA CON LA VERSIÓN 11.5R1, SE HABLA CON PAOLA GARZÓN DE RBM Y ME INDICA QUE DEJE LA VERSIÓN ANTERIOR LA CUAL CORRESPONDE AL EQUIPO, SE HACE CIERRE, SE DEJA CON LA VERSIÓN 9.90, SE REALIZAN PRUEBAS OK, SE CREA USUARIO Y CONTRASEÑA.</t>
  </si>
  <si>
    <t>A00WZ404</t>
  </si>
  <si>
    <t>TA-25-1246904</t>
  </si>
  <si>
    <t>3007025834</t>
  </si>
  <si>
    <t>REDY PUENTE LARGO</t>
  </si>
  <si>
    <t>FO-25-1748626</t>
  </si>
  <si>
    <t>29/10/2025 BORRADO DE SO Y SE ACTUALIZA A VERSIÓN 9.90 OK SE REALIZA PRUEBAS OK SE ENTREGA SERVICIO OPERATIVO</t>
  </si>
  <si>
    <t>A04ZZ954</t>
  </si>
  <si>
    <t>TA-25-1246905</t>
  </si>
  <si>
    <t>3007025841</t>
  </si>
  <si>
    <t>REDY SANTA HELENITA</t>
  </si>
  <si>
    <t>FO-25-1748629</t>
  </si>
  <si>
    <t>29/10/2025 ACTUALIZACIÓN DE SO Y VERSIÓN 9.90 OK SE REALIZA PRUEBAS OK SE ENTREGA SERVICIO OPERATIVO</t>
  </si>
  <si>
    <t>A04ZZ970</t>
  </si>
  <si>
    <t>TA-25-1246906</t>
  </si>
  <si>
    <t>FO-25-1748632</t>
  </si>
  <si>
    <t>29/10/2025 SE REALIZA GESTIÓN TELEFÓNICA AL NÚMERO 3015736499 Y PERSONA QUE TIENDE INDICA QUE EL DÍA DE AYER 30 DE OCTUBRE UN TÉCNICO VISITÓ CON EL RADICADO  2954324 INFORMA DEJO LOS DATÁFONOS CON LA VERSIÓN 9.90 Y FUNCIONANDO CORRECTAMENTE</t>
  </si>
  <si>
    <t>TA-25-1246908</t>
  </si>
  <si>
    <t>3007030438</t>
  </si>
  <si>
    <t>OPRAP VIVA FONTIBON</t>
  </si>
  <si>
    <t>FO-25-1748638</t>
  </si>
  <si>
    <t>29/10/2025 SE REALIZA ACTUALIZACIÓN DEL EQUIPO DEBIDO A QUE DESDE LA ÚLTIMA ACTUALIZACIÓN SE GENERAN FALLOS EN EL ARQUEO DEL DINERO,</t>
  </si>
  <si>
    <t>BHZZZ794</t>
  </si>
  <si>
    <t>TA-25-1246909</t>
  </si>
  <si>
    <t>FO-25-1748642</t>
  </si>
  <si>
    <t>31/10/2025 EN COMUNICACIÓN CON LA SEÑORA MÓNICA GARCÍA AL NÚMERO 3137353685 INDICA QUE EL DÍAS 28 DEL PRESENTE MES SE ATENDIDO CON EL TICKET 2938240 RESULTADO DE LA VISITA: SE REALIZA RECONFIGURACIÓN Y INSTALACIÓN DE VERSIÓN A LA 9.90 YA QUE TENÍA LA 11.5 Y NO FUNCIONA BIEN YA QUE SE REINICIABA CONSTANTEMENTE.</t>
  </si>
  <si>
    <t>TA-25-1246910</t>
  </si>
  <si>
    <t>FO-25-1748645</t>
  </si>
  <si>
    <t>29/10/2025 EN COMUNICACIÓN CON EL ADMINISTRADOR PEDRO AL CELULAR 3115302883, INFORMA QUE EL DÍA DE AYER 28 DE OCTUBRE DEL 2025, LE REALIZARON LA VISITA TÉCNICA Y LE CARGARON LA VERSIÓN 10.3R AL DATÁFONO Y QUEDÓ OPERANDO CORRECTAMENTE, SE LE INFORMA QUE PROCEDEMOS A CERRAR LA ORDEN QUE SI LE PRESENTA ALGUNA FALLA DEBE COMUNICARSE NUEVAMENTE.</t>
  </si>
  <si>
    <t>TA-25-1246911</t>
  </si>
  <si>
    <t>3007038852</t>
  </si>
  <si>
    <t>PTM BOGOTA SHALOM</t>
  </si>
  <si>
    <t>FO-25-1748648</t>
  </si>
  <si>
    <t>29/10/2025 SE REALIZA VISITA AL COMERCIO NOS ATIENDES LA SEÑORA OREANA MENDOZA LA CUAL NO LOS PERMITE INGRESO POR QUÉ INDICA QUE NO FUERON NOTIFICADOS DE LA VISITA EN HORARIO DE LA MAÑANA SE HABÍA CONTACTADO AL CLIENTE 3003511028 PARA INDICARLE DE LA VISITA 
NO PERMITEN INGRESO</t>
  </si>
  <si>
    <t>TA-25-1246912</t>
  </si>
  <si>
    <t>3007039117</t>
  </si>
  <si>
    <t>BARRIO CALIMIO NORTE CALI</t>
  </si>
  <si>
    <t>FO-25-1748651</t>
  </si>
  <si>
    <t>29/10/2025 SE REALIZA VISITA TÉCNICA EN DONDE SE REALIZA DESCARGA DE LA DE LA APLICATIVO 9.90, PORQUE EL DISPOSITIVO TENÍA LA VERSIÓN 11.5, ENTONCES SE REALIZÓ DESCARGA DE LA APP VERSIÓN 9.90 Y SE REALIZARON PRUEBAS EN BUEN ESTADO</t>
  </si>
  <si>
    <t>LM0TZ837 - AFZZZ384</t>
  </si>
  <si>
    <t>TA-25-1246914</t>
  </si>
  <si>
    <t>FO-25-1748658</t>
  </si>
  <si>
    <t>29/10/2025 DEBIDO A FALLA EN TELECARGA Y A VERSIÓN NUEVA CON FALLOS SE REALIZA CARGA A VERSIÓN 990, PRUEBAS OK</t>
  </si>
  <si>
    <t>TA-25-1246918</t>
  </si>
  <si>
    <t>3007046763</t>
  </si>
  <si>
    <t>BARRIO LA POLA IBAGUE 4</t>
  </si>
  <si>
    <t>FO-25-1748669</t>
  </si>
  <si>
    <t>29/10/2025 SE REALIZA ACTUALIZACIÓN DE VERSIÓN A 9.90, SE REALIZA PRUEBAS DE FUNCIONAMIENTO EXITOSAS; EQUIPO PRESENTA FALLA EN TRANSACCIONES DE CONSULTA DE SALDO Y CIERRES CON LA VERSIÓN 11.5R1CB . CUBRE CLAVE INSTALADO DE</t>
  </si>
  <si>
    <t>9C00B069 - KA00H926 - 9C5ZZ876</t>
  </si>
  <si>
    <t>TA-25-1246920</t>
  </si>
  <si>
    <t>3007048321</t>
  </si>
  <si>
    <t>DISTRICOL CIUDAD CORDOBA</t>
  </si>
  <si>
    <t>FO-25-1748673</t>
  </si>
  <si>
    <t>29/10/2025 SE LLEGA A SITIO Y SE REALIZA LA REVERSA DE KA ACTUALIZACION A LA VERSION 9.90. 
SE REALIZARON PRUEBAS OPERATIVAS SIN NOVEDAD.</t>
  </si>
  <si>
    <t>XP00I080</t>
  </si>
  <si>
    <t>TA-25-1246921</t>
  </si>
  <si>
    <t>3007048570</t>
  </si>
  <si>
    <t>DISTRICOL GRANERO LA ABUNDANCI</t>
  </si>
  <si>
    <t>FO-25-1748676</t>
  </si>
  <si>
    <t>29/10/2025 SE BAJA VERSIÓN A LA 9.9 DE LA 11.5 POR PROBLEMAS CON LA VERSIÓN</t>
  </si>
  <si>
    <t>GB00L283</t>
  </si>
  <si>
    <t>TA-25-1246923</t>
  </si>
  <si>
    <t>FO-25-1748679</t>
  </si>
  <si>
    <t>9C6ZZ581</t>
  </si>
  <si>
    <t>TA-25-1246924</t>
  </si>
  <si>
    <t>3007056937</t>
  </si>
  <si>
    <t>BARRIO CEDRITOS BOGOTA 12</t>
  </si>
  <si>
    <t>FO-25-1748683</t>
  </si>
  <si>
    <t>29/10/2025 SE VISITA COMERCIO POR ACTUALIZACIÓN DE VERSIÓN 11.5R SE PROCEDE A REALIZAR. BORRADO DE VERSIÓN , SE INSTALA NUEVA VERSIÓN 11.5 RCB SE REALIZAN TRANSACCIONES DE PRUEBA OK ,L CTURA DE CÓDIGOS DE BARRAS OK Y SE DEJA CB OPERANDO SIN NOVEDAD</t>
  </si>
  <si>
    <t>9CQZZ695</t>
  </si>
  <si>
    <t>TA-25-1246925</t>
  </si>
  <si>
    <t>3007056967</t>
  </si>
  <si>
    <t>PTM CALI RAPITIENDA COMUNICAC</t>
  </si>
  <si>
    <t>FO-25-1748688</t>
  </si>
  <si>
    <t>29/10/2025 SE LLEGA A SITIO Y SE REALIZA LA REVERSA DE LA ACTUALIZACION A LA VERSION 9.90. 
SE REALIZARON PRUEBAS OPERATIVAS SIN NOVEDAD.</t>
  </si>
  <si>
    <t>A30JZ526</t>
  </si>
  <si>
    <t>TA-25-1246926</t>
  </si>
  <si>
    <t>FO-25-1748690</t>
  </si>
  <si>
    <t>29/10/2025 SE VISITA COMERCIO POR FALLA  EN TELECARGA DE VERSIÓN 11.5 EMITIDA POR REDEBAN AL LLEGAR AL COMERCIO SE PROCEDE A GENERAR BORRADO DE VERSIÓN Y CARGUE DE NUEVA VERSIÓN A EQUIPO, SE INICIALIZA EQUIPO , SE REALIZAN PRUEBAS DE LECTURA DE COD DE BARRAS OK , TRANSACCIONES DE PRUEBA OK</t>
  </si>
  <si>
    <t>TA-25-1246928</t>
  </si>
  <si>
    <t>3007062213</t>
  </si>
  <si>
    <t>BARRIO CEDRITOS BOGOTA 17</t>
  </si>
  <si>
    <t>FO-25-1748697</t>
  </si>
  <si>
    <t>29/10/2025 SE VISITA COMERCIO POR ACTUALIZACIÓN DE VERSIÓN 11.5R AL LLEGAR AL COMERCIO CLIENTE REALIZA VALIDACIÓN DE IDENTIDAD OK, PERO INDICA QUE NO PERMITIRÁ LA MANIPULACIÓN DEL EQUIPO AL PRESENTARSE UNA FALLA EN LA APP DE SOMOS BANCOLOMBIA , SE REALIZA ACLARACIÓN SOBRE LA NOVEDAD PRESENTADA AL PAGAR CONVENIOS Y CIERRES DEL DATAFONO PERO CLIENTE INDICA QUE NO PERMITIRÁ INGRESO SIN UNA LLAMADA PREVIA CON EL DUEÑO DEL NEGOCIO DONDE SE AUTORICE EL INGRESO , ADICIONALMENTE CLIENTE INDICA QUE HA REALIZADO RETIROS NEQUI Y DEPÓSITOS A CUENTAS SIN NOVEDAD , NO HA REALIZADO PAGOS POR CONVENIO Y SOLICITA PASAR EN OTRA OPORTUNIDAD O EN CASO DE FALLAR ELLA SE COMUNICARÁ Y SE CIERRA ACTIVIDAD SIN MÁS NOVEDAD</t>
  </si>
  <si>
    <t>N/A</t>
  </si>
  <si>
    <t>TA-25-1246929</t>
  </si>
  <si>
    <t>3007062214</t>
  </si>
  <si>
    <t>BARRIO CEDRITOS BOGOTA 18</t>
  </si>
  <si>
    <t>FO-25-1748700</t>
  </si>
  <si>
    <t>29/10/2025 SE VISITA COMERCIO POR ACTUALIZACIÓN DE VERSIÓN 11.5R AL LLEGAR AL COMERCIO CLIENTE REALIZA VALIDACIÓN DE IDENTIDAD OK, PERO INDICA QUE NO PERMITIRÁ LA MANIPULACIÓN DEL EQUIPO AL PRESENTARSE UNA FALLA EN LA APP DE SOMOS BANCOLOMBIA , SE REALIZA ACLARACIÓN SOBRE LA NOVEDAD PRESENTADA AL PAGAR CONVENIOS Y CIERRES DEL DATAFONO PERO CLIENTE INDICA QUE NO PERMITIRÁ INGRESO SIN UNA LLAMADA PREVIA CON EL DUEÑO DEL NEGOCIO DONDE SE AUTORICE EL INGRESO , ADICIONALMENTE CLIENTE INDICA QUE HA REALIZADO RETIROS NEQUI Y DEPÓSITOS A CUENTAS SIN NOVEDAD , NO HA REALIZADO PAGOS POR CONVENIO Y SOLICITA PASAR EN OTRA OPORTUNIDAD O EN CASO DE FALLAR ELLA SE COMUNICARÁ Y SE CIERRA ACTIVIDAD SIN MÁS NOVEDAD  , CLIENTE  NO FIRMA YA QUE NO SE REALIZA  NINGÚN PROCESO</t>
  </si>
  <si>
    <t>TA-25-1246931</t>
  </si>
  <si>
    <t>3007064922</t>
  </si>
  <si>
    <t>DISTRICOL LA PAPELERIA 37</t>
  </si>
  <si>
    <t>FO-25-1748703</t>
  </si>
  <si>
    <t>29/10/2025 SE REALIZA ACTUALIZACIÓN A VERSIÓN 9.90, SE DEJAN SERVICIOS FUNCIONANDO CORRECTAMENTE</t>
  </si>
  <si>
    <t>6A006329</t>
  </si>
  <si>
    <t>TA-25-1246933</t>
  </si>
  <si>
    <t>3007074507</t>
  </si>
  <si>
    <t>BARRIO VRD FONQUETA CHIA</t>
  </si>
  <si>
    <t>FO-25-1748710</t>
  </si>
  <si>
    <t>29/10/2025 NO SE VISITA ACTIVIDAD POR CAPACIDAD OPERATIVA, SE LE INFORMA A PAOLA GARZON DE RBM. SE LLAMA AL # 3212078769	ARMEN JOHANNA GOMEZ SILVA, NO ES POSIBLE LA COMUNICACIÓN | 30/10/2025 SE REALIZA LLAMADA A LA SEÑORA CARMEN JOHANA GÓMEZ PARA LOCALIZAR EL NEGOCIO. ELLA NO RESPONDE INDICA QUE NO RECIBE EL SERVICIO, CUELGA LA LLAMADA Y NO VUELVE A CONTESTAR.</t>
  </si>
  <si>
    <t>TVDZZ272</t>
  </si>
  <si>
    <t>TA-25-1251854</t>
  </si>
  <si>
    <t>FO-25-1760886</t>
  </si>
  <si>
    <t>31/10/2025 REGISTRO DE ATENCIÓN – CASO 36257
UBICACIÓN: BARRIO CENTAUROS, BUCARAMANGA 1
EL CASO FUE ATENDIDO CON LA TA-2945423, INICIALMENTE DEBIDO A UNA CONTINGENCIA DE REDEBAN.
SE DEJÓ OPERATIVO EL EQUIPO CON LA VERSIÓN DE DESK 2600 Y VERSIÓN DE APLICACIÓN 10.3, CON LA CUAL SE EJECUTARON PRUEBAS EXITOSAS.
POSTERIORMENTE, CON LA TA-25-1246910, SE CONFIRMA NUEVAMENTE EL 29 DE OCTUBRE QUE EL EQUIPO CONTINÚA OPERATIVO Y FUNCIONANDO CORRECTAMENTE, REALIZÁNDOSE CARGA DE PRUEBAS.
A LA FECHA DE HOY SE CUENTA CON LA TA-25-1251854, LA CUAL SE DOCUMENTARÁ PARA EL CIERRE DEL CASO, CONSOLIDANDO LA ATENCIÓN DE LAS DOS TA ANTERIORES.
SES SOLICTA  AL  CENTRO DE GESTIÓN SE PROCEDE AL CIERRE DEL CASO, CON LA DOCUMENTACIÓN CARGADA POR EL COORDINADOR DE ZONA.</t>
  </si>
  <si>
    <t>TA-25-1251857</t>
  </si>
  <si>
    <t>FO-25-1760894</t>
  </si>
  <si>
    <t>31/10/2025 SE LLEGA A LA DIRECCIÓN INDICADA Y SE REALIZA REVERSO DE VERSIONAMIENTO EQUIPOS DESK 3500 QUEDAN CON VR 9.90. CB TIENE DOS DATÁFONOS UNO CON MÓDULO DE ADQUIRENCIA COMO DE CORRESPONSALÍA, Y EL OTRO SOLAMENTE CON MÓDULO DE CORRESPONSALIA. SE CREAN USUARIOS , CUPO OK , SE REALIZAN PRUEBAS ÉXITOSAS</t>
  </si>
  <si>
    <t>TR00D770-9A03Z871 - II09Z360</t>
  </si>
  <si>
    <t>TA-25-1251858</t>
  </si>
  <si>
    <t>FO-25-1760897</t>
  </si>
  <si>
    <t>31/10/2025 SE LOGRA COMUNICACION CON EL CLIENTE, CLIENTE INDICA QUE NO SE ENCUENTRA EN EL COMERCIO, CLIENTE CONFIRMA VISITA PARA LAS 2PM. | 31/10/2025 SE REALIZA VISITA AL COMERCIO, SE VALIDA QUE EL CB YA CUENTA CON LA VERSION 9.9, CLIENTE MANIFIESTA QUE YA FUE VISITADA PARA CORREGIR LA VERSION, SE ADJUNTAN PRUEBAS.</t>
  </si>
  <si>
    <t>TA-25-1251861</t>
  </si>
  <si>
    <t>3007061744</t>
  </si>
  <si>
    <t>PTM ENVIGADO TIENDA DE SERVICI</t>
  </si>
  <si>
    <t>FO-25-1760903</t>
  </si>
  <si>
    <t>31/10/2025 SE REVERSA VERSIÓN DE 11.5 A LA 9.9 POR SOLICITUD DE LA RED TODO QUEDA OK</t>
  </si>
  <si>
    <t>HA00K991 - TR1ZZ473</t>
  </si>
  <si>
    <t>TA-25-1251868</t>
  </si>
  <si>
    <t>3007071180</t>
  </si>
  <si>
    <t>PTM ITAGUI  LEGUMBRERIA Y ALGO</t>
  </si>
  <si>
    <t>FO-25-1760918</t>
  </si>
  <si>
    <t>31/10/2025 SE REGRESA VERSIÓN 11.5 A LA 9.9 POR SOLICITUD DE LA RED TODO QUEDA OK</t>
  </si>
  <si>
    <t>NN00E633 - ON00A077</t>
  </si>
  <si>
    <t>TA-25-1252449</t>
  </si>
  <si>
    <t>3007033060</t>
  </si>
  <si>
    <t>OPRAP CC VIVA ENVIGADO SUR</t>
  </si>
  <si>
    <t>FO-25-1761922</t>
  </si>
  <si>
    <t>31/10/2025 SE REVERSA VERSIÓN A LA 9.9 DE LA 11.5 POR SOLICITUD DE LA ENTIDAD</t>
  </si>
  <si>
    <t>NN00N925</t>
  </si>
  <si>
    <t>TA-25-1253184</t>
  </si>
  <si>
    <t>3007047161</t>
  </si>
  <si>
    <t>BARRIO TEUSAQUILLO BOGOTA 5</t>
  </si>
  <si>
    <t>FO-25-1762858</t>
  </si>
  <si>
    <t>31/10/2025 SE REALIZA A VISITA A CB PARA ATENDER ACOMPAÑAMIENTO POR PARTE DE REDEBAN SE REALIZA TELECARGA PARA ACTUALIZAR VERSIÓN 11.5R1 SIN NOVEDAD SE REALIZAN PRUEBAS DE CONSULTA DE SALDO ,RECAUDO, DEPÓSITO Y RETIRO DE NEQUI CON NORMALIDAD Y SE ENCUENTRA OPERATIVO</t>
  </si>
  <si>
    <t>9C00D676</t>
  </si>
  <si>
    <t>ROZO ROZO WILLIAM ASDRUBAL</t>
  </si>
  <si>
    <t>TA-25-1254820</t>
  </si>
  <si>
    <t>FO-25-1765628</t>
  </si>
  <si>
    <t>31/10/2025 SE REALIZA VISITA A CB PARA ATENDER REQUERIMIENTO DE REDEBAN PARA REALIZAR TELECARGA ,SE REALIZAN PRUEBAS SOLICITADAS CON FUNCIONAMIENTO CORRECTO ,PRUEBA CONSULTA DE SALDO , TRANSFERENCIA,NEQUI RETIRÓ Y DEPÓSITO,CIERRE PARCIAL Y GENERAL DATAFONO OPERATIVO CON NORMALIDAD</t>
  </si>
  <si>
    <t>TA-25-1254822</t>
  </si>
  <si>
    <t>3007042362</t>
  </si>
  <si>
    <t>VALIDACION CB</t>
  </si>
  <si>
    <t>FO-25-1765632</t>
  </si>
  <si>
    <t>31/10/2025 SE REALIZA FORMATEO DEL DATÁFONO COMPLETAMENTE, SE INSTALA SISTEMA OPERATIVO Y VERSIÓN 9.90, DESDE DENTRO DE GESTIÓN RBM ENVIARON ACTUALIZACIÓN REMOTA PARA VERSION 11.5, PRUEBAS OK</t>
  </si>
  <si>
    <t>CONCEPTOS</t>
  </si>
  <si>
    <t>CANTIDAD</t>
  </si>
  <si>
    <t>TOTAL</t>
  </si>
  <si>
    <t xml:space="preserve">SUBTOTAL </t>
  </si>
  <si>
    <t>Iva</t>
  </si>
  <si>
    <t>1 AL 30 DE OCTUBRE 2025</t>
  </si>
  <si>
    <t>Incidentes Actualización</t>
  </si>
  <si>
    <t>FACTURACIÓN ACTIVIDADES REDEBAN CB BANCOLOMBIA - ACTUALIZACIÓN DE 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</si>
</sst>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 #,##0.00_);_(&quot;$&quot;\ * \(#,##0.00\);_(&quot;$&quot;\ * &quot;-&quot;??_);_(@_)"/>
    <numFmt numFmtId="165" formatCode="&quot;$&quot;#,##0;[Red]\-&quot;$&quot;#,##0"/>
    <numFmt numFmtId="166" formatCode="_-[$$-240A]\ * #,##0_-;\-[$$-240A]\ * #,##0_-;_-[$$-240A]\ * &quot;-&quot;??_-;_-@_-"/>
    <numFmt numFmtId="167" formatCode="_(&quot;$&quot;\ * #,##0_);_(&quot;$&quot;\ * \(#,##0\);_(&quot;$&quot;\ * &quot;-&quot;??_);_(@_)"/>
    <numFmt numFmtId="168" formatCode="dd/mm/yyyy"/>
    <numFmt numFmtId="169" formatCode="_ [$€-2]\ * #,##0.00_ ;_ [$€-2]\ * \-#,##0.00_ ;_ [$€-2]\ * &quot;-&quot;??_ "/>
    <numFmt numFmtId="170" formatCode="_ * #,##0.00_ ;_ * \-#,##0.00_ ;_ * &quot;-&quot;??_ ;_ @_ "/>
    <numFmt numFmtId="171" formatCode="[$-409]d\-m\-yy\ h:mm\ AM/PM;@"/>
    <numFmt numFmtId="172" formatCode="[$-240A]dddd\,\ dd&quot; de &quot;mmmm&quot; de &quot;yyyy"/>
    <numFmt numFmtId="173" formatCode="_ &quot;$&quot;\ * #,##0_ ;_ &quot;$&quot;\ * \-#,##0_ ;_ &quot;$&quot;\ * &quot;-&quot;??_ ;_ @_ "/>
    <numFmt numFmtId="174" formatCode="_-&quot;$&quot;* #,##0.00_-;\-&quot;$&quot;* #,##0.00_-;_-&quot;$&quot;* &quot;-&quot;??_-;_-@_-"/>
    <numFmt numFmtId="175" formatCode="[$-C0A]d\-mmm\-yy;@"/>
    <numFmt numFmtId="176" formatCode="[$-240A]General"/>
    <numFmt numFmtId="177" formatCode="_-* #,##0.00\ _€_-;\-* #,##0.00\ _€_-;_-* &quot;-&quot;??\ _€_-;_-@_-"/>
    <numFmt numFmtId="178" formatCode="0.000%"/>
    <numFmt numFmtId="179" formatCode="_ * #,##0.00_ ;_ * \-#,##0.00_ ;_ * \-??_ ;_ @_ "/>
    <numFmt numFmtId="180" formatCode="_ &quot;$&quot;\ * #,##0.00_ ;_ &quot;$&quot;\ * \-#,##0.00_ ;_ &quot;$&quot;\ * &quot;-&quot;??_ ;_ @_ "/>
  </numFmts>
  <fonts count="80">
    <font>
      <sz val="11"/>
      <color theme="1"/>
      <name val="Calibri"/>
      <family val="2"/>
      <scheme val="minor"/>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8"/>
      <color theme="1"/>
      <name val="Gelion Thin"/>
    </font>
    <font>
      <sz val="10"/>
      <color theme="1"/>
      <name val="Gelion Thin"/>
    </font>
    <font>
      <sz val="10"/>
      <name val="Gelion Thin"/>
    </font>
    <font>
      <b/>
      <sz val="10"/>
      <color rgb="FF000000"/>
      <name val="Gelion Thin"/>
    </font>
    <font>
      <sz val="10"/>
      <color rgb="FF000000"/>
      <name val="Gelion Thin"/>
    </font>
    <font>
      <b/>
      <sz val="11"/>
      <color rgb="FFFFFFFF"/>
      <name val="Calibri"/>
      <family val="2"/>
    </font>
    <font>
      <b/>
      <sz val="10"/>
      <name val="Gelion Thin"/>
    </font>
    <font>
      <b/>
      <sz val="11"/>
      <color rgb="FF00B050"/>
      <name val="Calibri"/>
      <family val="2"/>
      <scheme val="minor"/>
    </font>
  </fonts>
  <fills count="8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001D62"/>
        <bgColor rgb="FF001D62"/>
      </patternFill>
    </fill>
    <fill>
      <patternFill patternType="solid">
        <fgColor rgb="FFA6A6A6"/>
        <bgColor rgb="FF000000"/>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39543">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9" borderId="0"/>
    <xf numFmtId="0" fontId="1" fillId="10" borderId="0"/>
    <xf numFmtId="0" fontId="1" fillId="5" borderId="0"/>
    <xf numFmtId="0" fontId="1" fillId="8" borderId="0"/>
    <xf numFmtId="0" fontId="1" fillId="11"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3" fillId="12" borderId="0"/>
    <xf numFmtId="0" fontId="3" fillId="9" borderId="0"/>
    <xf numFmtId="0" fontId="3" fillId="10" borderId="0"/>
    <xf numFmtId="0" fontId="3" fillId="13" borderId="0"/>
    <xf numFmtId="0" fontId="3" fillId="14" borderId="0"/>
    <xf numFmtId="0" fontId="3" fillId="15"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6" borderId="0"/>
    <xf numFmtId="0" fontId="3" fillId="17" borderId="0"/>
    <xf numFmtId="0" fontId="3" fillId="18" borderId="0"/>
    <xf numFmtId="0" fontId="3" fillId="13" borderId="0"/>
    <xf numFmtId="0" fontId="3" fillId="14" borderId="0"/>
    <xf numFmtId="0" fontId="3" fillId="19" borderId="0"/>
    <xf numFmtId="0" fontId="10" fillId="3"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6" fillId="21" borderId="2"/>
    <xf numFmtId="164"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169" fontId="1" fillId="0" borderId="0"/>
    <xf numFmtId="0" fontId="1" fillId="0" borderId="0"/>
    <xf numFmtId="0" fontId="1" fillId="0" borderId="0"/>
    <xf numFmtId="0" fontId="14" fillId="0" borderId="0"/>
    <xf numFmtId="0" fontId="4" fillId="4" borderId="0"/>
    <xf numFmtId="0" fontId="16" fillId="0" borderId="4"/>
    <xf numFmtId="0" fontId="17" fillId="0" borderId="5"/>
    <xf numFmtId="0" fontId="8" fillId="0" borderId="6"/>
    <xf numFmtId="0" fontId="8" fillId="0" borderId="0"/>
    <xf numFmtId="0" fontId="19" fillId="0" borderId="0">
      <alignment vertical="top"/>
      <protection locked="0"/>
    </xf>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9" fillId="7" borderId="1"/>
    <xf numFmtId="0" fontId="7" fillId="0" borderId="3"/>
    <xf numFmtId="43" fontId="22" fillId="0" borderId="0"/>
    <xf numFmtId="0" fontId="1" fillId="0" borderId="0"/>
    <xf numFmtId="43" fontId="22" fillId="0" borderId="0"/>
    <xf numFmtId="43" fontId="2" fillId="0" borderId="0"/>
    <xf numFmtId="43" fontId="2" fillId="0" borderId="0"/>
    <xf numFmtId="170" fontId="2" fillId="0" borderId="0"/>
    <xf numFmtId="164" fontId="22" fillId="0" borderId="0"/>
    <xf numFmtId="164" fontId="2" fillId="0" borderId="0"/>
    <xf numFmtId="164" fontId="2" fillId="0" borderId="0"/>
    <xf numFmtId="164" fontId="22" fillId="0" borderId="0"/>
    <xf numFmtId="164" fontId="22" fillId="0"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 fillId="0" borderId="0"/>
    <xf numFmtId="171" fontId="22" fillId="0" borderId="0"/>
    <xf numFmtId="0" fontId="22" fillId="0" borderId="0"/>
    <xf numFmtId="169" fontId="2" fillId="0" borderId="0"/>
    <xf numFmtId="170" fontId="2" fillId="0" borderId="0"/>
    <xf numFmtId="170" fontId="2" fillId="0" borderId="0"/>
    <xf numFmtId="0" fontId="23" fillId="0" borderId="0"/>
    <xf numFmtId="0" fontId="2" fillId="0" borderId="0"/>
    <xf numFmtId="0" fontId="2" fillId="0" borderId="0"/>
    <xf numFmtId="0" fontId="2" fillId="0" borderId="0"/>
    <xf numFmtId="0" fontId="2" fillId="0" borderId="0"/>
    <xf numFmtId="171" fontId="22" fillId="0" borderId="0"/>
    <xf numFmtId="172" fontId="2" fillId="0" borderId="0"/>
    <xf numFmtId="0" fontId="22" fillId="0" borderId="0"/>
    <xf numFmtId="171" fontId="2" fillId="0" borderId="0"/>
    <xf numFmtId="0" fontId="22" fillId="0" borderId="0"/>
    <xf numFmtId="0" fontId="2" fillId="0" borderId="0"/>
    <xf numFmtId="0" fontId="2" fillId="0" borderId="0"/>
    <xf numFmtId="0" fontId="22" fillId="0" borderId="0"/>
    <xf numFmtId="0" fontId="22" fillId="0" borderId="0"/>
    <xf numFmtId="0" fontId="2" fillId="0" borderId="0"/>
    <xf numFmtId="0" fontId="24"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 fillId="0" borderId="0"/>
    <xf numFmtId="0" fontId="22" fillId="0" borderId="0"/>
    <xf numFmtId="0" fontId="1" fillId="0" borderId="0"/>
    <xf numFmtId="0" fontId="2" fillId="0" borderId="0"/>
    <xf numFmtId="0" fontId="1" fillId="0" borderId="0"/>
    <xf numFmtId="0" fontId="2" fillId="0" borderId="0"/>
    <xf numFmtId="0" fontId="2" fillId="0" borderId="0"/>
    <xf numFmtId="0" fontId="2" fillId="0" borderId="0"/>
    <xf numFmtId="171" fontId="2" fillId="0" borderId="0"/>
    <xf numFmtId="173" fontId="2" fillId="0" borderId="0"/>
    <xf numFmtId="0" fontId="2" fillId="0" borderId="0"/>
    <xf numFmtId="0" fontId="2" fillId="0" borderId="0"/>
    <xf numFmtId="0" fontId="1" fillId="0" borderId="0"/>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2" fillId="20" borderId="8"/>
    <xf numFmtId="9" fontId="2" fillId="0" borderId="0"/>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2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15" fillId="0" borderId="0"/>
    <xf numFmtId="0" fontId="15" fillId="0" borderId="0"/>
    <xf numFmtId="0" fontId="15" fillId="0" borderId="0"/>
    <xf numFmtId="0" fontId="15" fillId="0" borderId="0"/>
    <xf numFmtId="0" fontId="15" fillId="0" borderId="0"/>
    <xf numFmtId="0" fontId="15" fillId="0" borderId="0"/>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3" fillId="0" borderId="0"/>
    <xf numFmtId="0" fontId="21" fillId="0" borderId="0">
      <alignment wrapText="1"/>
    </xf>
    <xf numFmtId="164" fontId="2" fillId="0" borderId="0"/>
    <xf numFmtId="164" fontId="22" fillId="0" borderId="0"/>
    <xf numFmtId="164" fontId="2" fillId="0" borderId="0"/>
    <xf numFmtId="164" fontId="2" fillId="0" borderId="0"/>
    <xf numFmtId="164" fontId="22" fillId="0" borderId="0"/>
    <xf numFmtId="164" fontId="22" fillId="0" borderId="0"/>
    <xf numFmtId="0" fontId="2" fillId="0" borderId="0"/>
    <xf numFmtId="0" fontId="2" fillId="0" borderId="0"/>
    <xf numFmtId="174" fontId="22" fillId="0"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43" fillId="57" borderId="0"/>
    <xf numFmtId="0" fontId="43" fillId="58" borderId="0"/>
    <xf numFmtId="0" fontId="43" fillId="59" borderId="0"/>
    <xf numFmtId="0" fontId="43" fillId="60" borderId="0"/>
    <xf numFmtId="0" fontId="43" fillId="61" borderId="0"/>
    <xf numFmtId="0" fontId="43" fillId="62"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43" fillId="63" borderId="0"/>
    <xf numFmtId="0" fontId="43" fillId="64" borderId="0"/>
    <xf numFmtId="0" fontId="43" fillId="65" borderId="0"/>
    <xf numFmtId="0" fontId="43" fillId="66" borderId="0"/>
    <xf numFmtId="0" fontId="43" fillId="67" borderId="0"/>
    <xf numFmtId="0" fontId="43" fillId="68"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4" fillId="69" borderId="0"/>
    <xf numFmtId="0" fontId="44" fillId="70" borderId="0"/>
    <xf numFmtId="0" fontId="44" fillId="71" borderId="0"/>
    <xf numFmtId="0" fontId="44" fillId="72" borderId="0"/>
    <xf numFmtId="0" fontId="44" fillId="73" borderId="0"/>
    <xf numFmtId="0" fontId="44" fillId="74"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2" fillId="27" borderId="0"/>
    <xf numFmtId="0" fontId="32" fillId="27" borderId="0"/>
    <xf numFmtId="0" fontId="32" fillId="27" borderId="0"/>
    <xf numFmtId="0" fontId="32" fillId="27" borderId="0"/>
    <xf numFmtId="0" fontId="32" fillId="27" borderId="0"/>
    <xf numFmtId="0" fontId="31" fillId="26" borderId="0"/>
    <xf numFmtId="0" fontId="4" fillId="4" borderId="0"/>
    <xf numFmtId="0" fontId="31" fillId="26" borderId="0"/>
    <xf numFmtId="0" fontId="4" fillId="4" borderId="0"/>
    <xf numFmtId="0" fontId="4" fillId="4" borderId="0"/>
    <xf numFmtId="0" fontId="4" fillId="4" borderId="0"/>
    <xf numFmtId="0" fontId="31" fillId="26" borderId="0"/>
    <xf numFmtId="0" fontId="31" fillId="26" borderId="0"/>
    <xf numFmtId="0" fontId="31" fillId="26" borderId="0"/>
    <xf numFmtId="0" fontId="31" fillId="26" borderId="0"/>
    <xf numFmtId="0" fontId="31" fillId="26" borderId="0"/>
    <xf numFmtId="0" fontId="31" fillId="26" borderId="0"/>
    <xf numFmtId="0" fontId="31" fillId="26" borderId="0"/>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7" fillId="31" borderId="22"/>
    <xf numFmtId="0" fontId="6" fillId="21" borderId="2"/>
    <xf numFmtId="0" fontId="37" fillId="31" borderId="22"/>
    <xf numFmtId="0" fontId="6" fillId="21" borderId="2"/>
    <xf numFmtId="0" fontId="6" fillId="21" borderId="2"/>
    <xf numFmtId="0" fontId="6" fillId="21" borderId="2"/>
    <xf numFmtId="0" fontId="37" fillId="31" borderId="22"/>
    <xf numFmtId="0" fontId="37" fillId="31" borderId="22"/>
    <xf numFmtId="0" fontId="37" fillId="31" borderId="22"/>
    <xf numFmtId="0" fontId="37" fillId="31" borderId="22"/>
    <xf numFmtId="0" fontId="37" fillId="31" borderId="22"/>
    <xf numFmtId="0" fontId="37" fillId="31" borderId="22"/>
    <xf numFmtId="0" fontId="37" fillId="31" borderId="22"/>
    <xf numFmtId="0" fontId="36" fillId="0" borderId="21"/>
    <xf numFmtId="0" fontId="7" fillId="0" borderId="3"/>
    <xf numFmtId="0" fontId="36" fillId="0" borderId="21"/>
    <xf numFmtId="0" fontId="7" fillId="0" borderId="3"/>
    <xf numFmtId="0" fontId="7" fillId="0" borderId="3"/>
    <xf numFmtId="0" fontId="7" fillId="0" borderId="3"/>
    <xf numFmtId="0" fontId="36" fillId="0" borderId="21"/>
    <xf numFmtId="0" fontId="36" fillId="0" borderId="21"/>
    <xf numFmtId="0" fontId="36" fillId="0" borderId="21"/>
    <xf numFmtId="0" fontId="36" fillId="0" borderId="21"/>
    <xf numFmtId="0" fontId="36" fillId="0" borderId="21"/>
    <xf numFmtId="0" fontId="36" fillId="0" borderId="21"/>
    <xf numFmtId="0" fontId="36" fillId="0" borderId="21"/>
    <xf numFmtId="0" fontId="37" fillId="31" borderId="22"/>
    <xf numFmtId="0" fontId="37" fillId="31" borderId="22"/>
    <xf numFmtId="0" fontId="37" fillId="31" borderId="22"/>
    <xf numFmtId="0" fontId="37" fillId="31" borderId="22"/>
    <xf numFmtId="0" fontId="37" fillId="31" borderId="22"/>
    <xf numFmtId="43" fontId="2" fillId="0" borderId="0"/>
    <xf numFmtId="0" fontId="30" fillId="0" borderId="0"/>
    <xf numFmtId="0" fontId="8" fillId="0" borderId="0"/>
    <xf numFmtId="0" fontId="30" fillId="0" borderId="0"/>
    <xf numFmtId="0" fontId="8" fillId="0" borderId="0"/>
    <xf numFmtId="0" fontId="8" fillId="0" borderId="0"/>
    <xf numFmtId="0" fontId="8"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3" fillId="29" borderId="19"/>
    <xf numFmtId="0" fontId="9" fillId="7" borderId="1"/>
    <xf numFmtId="0" fontId="33" fillId="29" borderId="19"/>
    <xf numFmtId="0" fontId="9" fillId="7" borderId="1"/>
    <xf numFmtId="0" fontId="9" fillId="7" borderId="1"/>
    <xf numFmtId="0" fontId="9" fillId="7" borderId="1"/>
    <xf numFmtId="0" fontId="33" fillId="29" borderId="19"/>
    <xf numFmtId="0" fontId="33" fillId="29" borderId="19"/>
    <xf numFmtId="0" fontId="33" fillId="29" borderId="19"/>
    <xf numFmtId="0" fontId="33" fillId="29" borderId="19"/>
    <xf numFmtId="0" fontId="33" fillId="29" borderId="19"/>
    <xf numFmtId="0" fontId="33" fillId="29" borderId="19"/>
    <xf numFmtId="0" fontId="33" fillId="29" borderId="19"/>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1" fillId="0" borderId="0"/>
    <xf numFmtId="176" fontId="45" fillId="0" borderId="0"/>
    <xf numFmtId="0" fontId="39" fillId="0" borderId="0"/>
    <xf numFmtId="0" fontId="39" fillId="0" borderId="0"/>
    <xf numFmtId="0" fontId="39" fillId="0" borderId="0"/>
    <xf numFmtId="0" fontId="39" fillId="0" borderId="0"/>
    <xf numFmtId="0" fontId="39" fillId="0" borderId="0"/>
    <xf numFmtId="0" fontId="31" fillId="26" borderId="0"/>
    <xf numFmtId="0" fontId="31" fillId="26" borderId="0"/>
    <xf numFmtId="0" fontId="31" fillId="26" borderId="0"/>
    <xf numFmtId="0" fontId="31" fillId="26" borderId="0"/>
    <xf numFmtId="0" fontId="31" fillId="26" borderId="0"/>
    <xf numFmtId="0" fontId="28" fillId="0" borderId="16"/>
    <xf numFmtId="0" fontId="28" fillId="0" borderId="16"/>
    <xf numFmtId="0" fontId="28" fillId="0" borderId="16"/>
    <xf numFmtId="0" fontId="28" fillId="0" borderId="16"/>
    <xf numFmtId="0" fontId="28" fillId="0" borderId="16"/>
    <xf numFmtId="0" fontId="29" fillId="0" borderId="17"/>
    <xf numFmtId="0" fontId="29" fillId="0" borderId="17"/>
    <xf numFmtId="0" fontId="29" fillId="0" borderId="17"/>
    <xf numFmtId="0" fontId="29" fillId="0" borderId="17"/>
    <xf numFmtId="0" fontId="29" fillId="0" borderId="17"/>
    <xf numFmtId="0" fontId="30" fillId="0" borderId="18"/>
    <xf numFmtId="0" fontId="30" fillId="0" borderId="18"/>
    <xf numFmtId="0" fontId="30" fillId="0" borderId="18"/>
    <xf numFmtId="0" fontId="30" fillId="0" borderId="18"/>
    <xf numFmtId="0" fontId="30" fillId="0" borderId="18"/>
    <xf numFmtId="0" fontId="30" fillId="0" borderId="0"/>
    <xf numFmtId="0" fontId="30" fillId="0" borderId="0"/>
    <xf numFmtId="0" fontId="30" fillId="0" borderId="0"/>
    <xf numFmtId="0" fontId="30" fillId="0" borderId="0"/>
    <xf numFmtId="0" fontId="30" fillId="0" borderId="0"/>
    <xf numFmtId="0" fontId="19" fillId="0" borderId="0"/>
    <xf numFmtId="0" fontId="46" fillId="0" borderId="0">
      <alignment vertical="top"/>
      <protection locked="0"/>
    </xf>
    <xf numFmtId="0" fontId="47" fillId="0" borderId="0"/>
    <xf numFmtId="0" fontId="46" fillId="0" borderId="0">
      <alignment vertical="top"/>
      <protection locked="0"/>
    </xf>
    <xf numFmtId="0" fontId="48" fillId="0" borderId="0">
      <alignment vertical="top"/>
      <protection locked="0"/>
    </xf>
    <xf numFmtId="175" fontId="47" fillId="0" borderId="0"/>
    <xf numFmtId="0" fontId="32" fillId="27" borderId="0"/>
    <xf numFmtId="0" fontId="32" fillId="27" borderId="0"/>
    <xf numFmtId="0" fontId="32" fillId="27" borderId="0"/>
    <xf numFmtId="0" fontId="32" fillId="27" borderId="0"/>
    <xf numFmtId="0" fontId="32" fillId="27" borderId="0"/>
    <xf numFmtId="0" fontId="33" fillId="29" borderId="19"/>
    <xf numFmtId="0" fontId="33" fillId="29" borderId="19"/>
    <xf numFmtId="0" fontId="33" fillId="29" borderId="19"/>
    <xf numFmtId="0" fontId="33" fillId="29" borderId="19"/>
    <xf numFmtId="0" fontId="33" fillId="29" borderId="19"/>
    <xf numFmtId="0" fontId="36" fillId="0" borderId="21"/>
    <xf numFmtId="0" fontId="36" fillId="0" borderId="21"/>
    <xf numFmtId="0" fontId="36" fillId="0" borderId="21"/>
    <xf numFmtId="0" fontId="36" fillId="0" borderId="21"/>
    <xf numFmtId="0" fontId="36" fillId="0" borderId="21"/>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43" fontId="22" fillId="0" borderId="0"/>
    <xf numFmtId="170" fontId="2" fillId="0" borderId="0"/>
    <xf numFmtId="170" fontId="2" fillId="0" borderId="0"/>
    <xf numFmtId="43" fontId="49" fillId="0" borderId="0"/>
    <xf numFmtId="170" fontId="2" fillId="0" borderId="0"/>
    <xf numFmtId="170" fontId="2" fillId="0" borderId="0"/>
    <xf numFmtId="170" fontId="2" fillId="0" borderId="0"/>
    <xf numFmtId="178" fontId="2" fillId="0" borderId="0"/>
    <xf numFmtId="170" fontId="2" fillId="0" borderId="0"/>
    <xf numFmtId="43" fontId="2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9"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9"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0" fontId="2" fillId="0" borderId="0"/>
    <xf numFmtId="170" fontId="2" fillId="0" borderId="0"/>
    <xf numFmtId="177" fontId="22"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0" fontId="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80" fontId="2" fillId="0" borderId="0"/>
    <xf numFmtId="180" fontId="2" fillId="0" borderId="0"/>
    <xf numFmtId="180" fontId="2" fillId="0" borderId="0"/>
    <xf numFmtId="180" fontId="2" fillId="0" borderId="0"/>
    <xf numFmtId="164" fontId="2" fillId="0" borderId="0"/>
    <xf numFmtId="164"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74" fontId="22" fillId="0" borderId="0"/>
    <xf numFmtId="180" fontId="2" fillId="0" borderId="0"/>
    <xf numFmtId="180" fontId="2" fillId="0" borderId="0"/>
    <xf numFmtId="180" fontId="2" fillId="0" borderId="0"/>
    <xf numFmtId="180" fontId="2" fillId="0" borderId="0"/>
    <xf numFmtId="180" fontId="2" fillId="0" borderId="0"/>
    <xf numFmtId="174" fontId="22" fillId="0" borderId="0"/>
    <xf numFmtId="174"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0" fontId="22"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0" fontId="2" fillId="0" borderId="0">
      <alignment vertical="top"/>
    </xf>
    <xf numFmtId="171" fontId="2" fillId="0" borderId="0"/>
    <xf numFmtId="175" fontId="22" fillId="0" borderId="0"/>
    <xf numFmtId="171" fontId="2" fillId="0" borderId="0"/>
    <xf numFmtId="175" fontId="22" fillId="0" borderId="0"/>
    <xf numFmtId="171"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0" fontId="22" fillId="0" borderId="0"/>
    <xf numFmtId="175" fontId="2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alignment vertical="top"/>
    </xf>
    <xf numFmtId="0" fontId="2" fillId="0" borderId="0">
      <alignment vertical="top"/>
    </xf>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0"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0" fontId="2"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0" fontId="43" fillId="0" borderId="0"/>
    <xf numFmtId="0" fontId="51" fillId="0" borderId="0"/>
    <xf numFmtId="0" fontId="51" fillId="0" borderId="0"/>
    <xf numFmtId="0" fontId="43" fillId="0" borderId="0"/>
    <xf numFmtId="175" fontId="49" fillId="0" borderId="0"/>
    <xf numFmtId="0" fontId="51" fillId="0" borderId="0"/>
    <xf numFmtId="0" fontId="43" fillId="0" borderId="0"/>
    <xf numFmtId="0" fontId="51" fillId="0" borderId="0"/>
    <xf numFmtId="0" fontId="2" fillId="0" borderId="0"/>
    <xf numFmtId="0" fontId="2" fillId="0" borderId="0"/>
    <xf numFmtId="0" fontId="43"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171" fontId="4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3" fillId="0" borderId="0"/>
    <xf numFmtId="0" fontId="2" fillId="0" borderId="0"/>
    <xf numFmtId="0" fontId="43" fillId="0" borderId="0"/>
    <xf numFmtId="0" fontId="2" fillId="0" borderId="0"/>
    <xf numFmtId="0" fontId="43" fillId="0" borderId="0"/>
    <xf numFmtId="0" fontId="43" fillId="0" borderId="0"/>
    <xf numFmtId="0" fontId="2" fillId="0" borderId="0"/>
    <xf numFmtId="0" fontId="43" fillId="0" borderId="0"/>
    <xf numFmtId="0" fontId="2" fillId="0" borderId="0"/>
    <xf numFmtId="171" fontId="49" fillId="0" borderId="0"/>
    <xf numFmtId="0" fontId="2" fillId="0" borderId="0"/>
    <xf numFmtId="0" fontId="4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49" fillId="0" borderId="0"/>
    <xf numFmtId="0" fontId="49" fillId="0" borderId="0"/>
    <xf numFmtId="0" fontId="2" fillId="0" borderId="0"/>
    <xf numFmtId="171" fontId="49" fillId="0" borderId="0"/>
    <xf numFmtId="0" fontId="2" fillId="0" borderId="0"/>
    <xf numFmtId="0" fontId="43" fillId="0" borderId="0"/>
    <xf numFmtId="175" fontId="49" fillId="0" borderId="0"/>
    <xf numFmtId="0" fontId="43" fillId="0" borderId="0"/>
    <xf numFmtId="171" fontId="49" fillId="0" borderId="0"/>
    <xf numFmtId="0" fontId="43" fillId="0" borderId="0"/>
    <xf numFmtId="0" fontId="43" fillId="0" borderId="0"/>
    <xf numFmtId="0" fontId="43" fillId="0" borderId="0"/>
    <xf numFmtId="0" fontId="43" fillId="0" borderId="0"/>
    <xf numFmtId="0" fontId="2" fillId="0" borderId="0"/>
    <xf numFmtId="0"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171"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0" fontId="2" fillId="0" borderId="0"/>
    <xf numFmtId="175" fontId="2" fillId="0" borderId="0"/>
    <xf numFmtId="0" fontId="43"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1" fontId="22" fillId="0" borderId="0"/>
    <xf numFmtId="175" fontId="2" fillId="0" borderId="0"/>
    <xf numFmtId="0" fontId="51"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2" fillId="0" borderId="0"/>
    <xf numFmtId="0" fontId="2" fillId="0" borderId="0"/>
    <xf numFmtId="175" fontId="2" fillId="0" borderId="0"/>
    <xf numFmtId="0" fontId="43" fillId="0" borderId="0"/>
    <xf numFmtId="175" fontId="2" fillId="0" borderId="0"/>
    <xf numFmtId="0" fontId="51" fillId="0" borderId="0"/>
    <xf numFmtId="175" fontId="2" fillId="0" borderId="0"/>
    <xf numFmtId="0" fontId="51" fillId="0" borderId="0"/>
    <xf numFmtId="175" fontId="2" fillId="0" borderId="0"/>
    <xf numFmtId="175"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0" fontId="2"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2" fillId="0" borderId="0"/>
    <xf numFmtId="171" fontId="2" fillId="0" borderId="0"/>
    <xf numFmtId="0" fontId="2" fillId="0" borderId="0"/>
    <xf numFmtId="171" fontId="2" fillId="0" borderId="0"/>
    <xf numFmtId="0" fontId="2" fillId="0" borderId="0"/>
    <xf numFmtId="0" fontId="2" fillId="0" borderId="0"/>
    <xf numFmtId="0" fontId="2" fillId="0" borderId="0"/>
    <xf numFmtId="175"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50" fillId="0" borderId="0"/>
    <xf numFmtId="0" fontId="2" fillId="0" borderId="0"/>
    <xf numFmtId="0" fontId="2" fillId="0" borderId="0"/>
    <xf numFmtId="175" fontId="2" fillId="0" borderId="0"/>
    <xf numFmtId="0" fontId="2" fillId="0" borderId="0"/>
    <xf numFmtId="0" fontId="50" fillId="0" borderId="0"/>
    <xf numFmtId="175" fontId="2" fillId="0" borderId="0"/>
    <xf numFmtId="0" fontId="2" fillId="0" borderId="0"/>
    <xf numFmtId="0"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171"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2" fillId="0" borderId="0"/>
    <xf numFmtId="0" fontId="2" fillId="0" borderId="0">
      <alignment vertical="top"/>
    </xf>
    <xf numFmtId="175" fontId="49" fillId="0" borderId="0"/>
    <xf numFmtId="0" fontId="2" fillId="0" borderId="0">
      <alignment vertical="top"/>
    </xf>
    <xf numFmtId="0" fontId="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 fillId="0" borderId="0">
      <alignment vertical="top"/>
    </xf>
    <xf numFmtId="171" fontId="2" fillId="0" borderId="0"/>
    <xf numFmtId="0" fontId="2" fillId="0" borderId="0">
      <alignment vertical="top"/>
    </xf>
    <xf numFmtId="175" fontId="49"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2" fillId="0" borderId="0"/>
    <xf numFmtId="0" fontId="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175" fontId="49"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50" fillId="0" borderId="0"/>
    <xf numFmtId="0" fontId="22" fillId="0" borderId="0"/>
    <xf numFmtId="0" fontId="53" fillId="0" borderId="0"/>
    <xf numFmtId="0" fontId="50" fillId="0" borderId="0"/>
    <xf numFmtId="0" fontId="53" fillId="0" borderId="0"/>
    <xf numFmtId="171" fontId="22" fillId="0" borderId="0"/>
    <xf numFmtId="0" fontId="53" fillId="0" borderId="0"/>
    <xf numFmtId="0" fontId="50" fillId="0" borderId="0"/>
    <xf numFmtId="0" fontId="22" fillId="0" borderId="0"/>
    <xf numFmtId="0" fontId="22" fillId="0" borderId="0"/>
    <xf numFmtId="0" fontId="53" fillId="0" borderId="0"/>
    <xf numFmtId="0" fontId="50" fillId="0" borderId="0"/>
    <xf numFmtId="0" fontId="53" fillId="0" borderId="0"/>
    <xf numFmtId="0" fontId="53" fillId="0" borderId="0"/>
    <xf numFmtId="0" fontId="50" fillId="0" borderId="0"/>
    <xf numFmtId="0" fontId="53" fillId="0" borderId="0"/>
    <xf numFmtId="0" fontId="53" fillId="0" borderId="0"/>
    <xf numFmtId="0" fontId="50" fillId="0" borderId="0"/>
    <xf numFmtId="0" fontId="54" fillId="0" borderId="0"/>
    <xf numFmtId="0" fontId="50" fillId="0" borderId="0"/>
    <xf numFmtId="0" fontId="54" fillId="0" borderId="0"/>
    <xf numFmtId="0" fontId="50" fillId="0" borderId="0"/>
    <xf numFmtId="0" fontId="53"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0" fontId="55" fillId="0" borderId="0"/>
    <xf numFmtId="0" fontId="22" fillId="0" borderId="0"/>
    <xf numFmtId="0" fontId="2" fillId="0" borderId="0"/>
    <xf numFmtId="0" fontId="2" fillId="0" borderId="0"/>
    <xf numFmtId="0" fontId="2" fillId="0" borderId="0"/>
    <xf numFmtId="0" fontId="2" fillId="0" borderId="0"/>
    <xf numFmtId="173" fontId="2" fillId="0" borderId="0"/>
    <xf numFmtId="175"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2" fillId="0" borderId="0"/>
    <xf numFmtId="0" fontId="2" fillId="0" borderId="0"/>
    <xf numFmtId="0" fontId="22" fillId="0" borderId="0"/>
    <xf numFmtId="171" fontId="2" fillId="0" borderId="0"/>
    <xf numFmtId="171" fontId="2" fillId="0" borderId="0"/>
    <xf numFmtId="171" fontId="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23" borderId="7"/>
    <xf numFmtId="0" fontId="1" fillId="32" borderId="23"/>
    <xf numFmtId="0" fontId="2" fillId="23" borderId="7"/>
    <xf numFmtId="0" fontId="1" fillId="32" borderId="23"/>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22" fillId="32" borderId="23"/>
    <xf numFmtId="0" fontId="22" fillId="32" borderId="23"/>
    <xf numFmtId="0" fontId="22" fillId="32" borderId="23"/>
    <xf numFmtId="0" fontId="22" fillId="0" borderId="0"/>
    <xf numFmtId="0" fontId="22" fillId="0" borderId="0"/>
    <xf numFmtId="0" fontId="22"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2" fillId="32" borderId="23"/>
    <xf numFmtId="0" fontId="22" fillId="32" borderId="23"/>
    <xf numFmtId="0" fontId="22" fillId="32" borderId="23"/>
    <xf numFmtId="0" fontId="22" fillId="0" borderId="0"/>
    <xf numFmtId="0" fontId="22" fillId="0" borderId="0"/>
    <xf numFmtId="0" fontId="22" fillId="32" borderId="23"/>
    <xf numFmtId="0" fontId="1"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22" fillId="0" borderId="0"/>
    <xf numFmtId="0" fontId="34" fillId="30" borderId="2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0" fontId="22" fillId="0" borderId="0"/>
    <xf numFmtId="0" fontId="34" fillId="30" borderId="20"/>
    <xf numFmtId="0" fontId="12" fillId="20" borderId="8"/>
    <xf numFmtId="0" fontId="12" fillId="20" borderId="8"/>
    <xf numFmtId="0" fontId="22" fillId="0" borderId="0"/>
    <xf numFmtId="0" fontId="34" fillId="30" borderId="2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56" fillId="0" borderId="0"/>
    <xf numFmtId="0" fontId="56" fillId="0" borderId="0"/>
    <xf numFmtId="0" fontId="56" fillId="0" borderId="0"/>
    <xf numFmtId="0" fontId="22" fillId="0" borderId="0"/>
    <xf numFmtId="0" fontId="22" fillId="0" borderId="0"/>
    <xf numFmtId="0" fontId="56" fillId="0" borderId="0"/>
    <xf numFmtId="0" fontId="38" fillId="0" borderId="0"/>
    <xf numFmtId="0" fontId="38" fillId="0" borderId="0"/>
    <xf numFmtId="0" fontId="22" fillId="0" borderId="0"/>
    <xf numFmtId="0" fontId="22" fillId="0" borderId="0"/>
    <xf numFmtId="0" fontId="38" fillId="0" borderId="0"/>
    <xf numFmtId="0" fontId="38" fillId="0" borderId="0"/>
    <xf numFmtId="0" fontId="13" fillId="0" borderId="0"/>
    <xf numFmtId="0" fontId="38"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22" fillId="0" borderId="0"/>
    <xf numFmtId="0" fontId="39" fillId="0" borderId="0"/>
    <xf numFmtId="0" fontId="14" fillId="0" borderId="0"/>
    <xf numFmtId="0" fontId="14" fillId="0" borderId="0"/>
    <xf numFmtId="0" fontId="22" fillId="0" borderId="0"/>
    <xf numFmtId="0" fontId="39"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8" fillId="0" borderId="16"/>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9" fillId="0" borderId="17"/>
    <xf numFmtId="0" fontId="17" fillId="0" borderId="5"/>
    <xf numFmtId="0" fontId="17" fillId="0" borderId="5"/>
    <xf numFmtId="0" fontId="22" fillId="0" borderId="0"/>
    <xf numFmtId="0" fontId="29" fillId="0" borderId="17"/>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2" fillId="0" borderId="0"/>
    <xf numFmtId="0" fontId="22" fillId="0" borderId="0"/>
    <xf numFmtId="0" fontId="30" fillId="0" borderId="18"/>
    <xf numFmtId="0" fontId="8" fillId="0" borderId="6"/>
    <xf numFmtId="0" fontId="8" fillId="0" borderId="6"/>
    <xf numFmtId="0" fontId="22" fillId="0" borderId="0"/>
    <xf numFmtId="0" fontId="30" fillId="0" borderId="18"/>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22"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22" fillId="0" borderId="0"/>
    <xf numFmtId="0" fontId="15"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40" fillId="0" borderId="24"/>
    <xf numFmtId="0" fontId="40" fillId="0" borderId="24"/>
    <xf numFmtId="0" fontId="22" fillId="0" borderId="0"/>
    <xf numFmtId="0" fontId="22" fillId="0" borderId="0"/>
    <xf numFmtId="0" fontId="40" fillId="0" borderId="24"/>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22" fillId="0" borderId="0"/>
    <xf numFmtId="0" fontId="22" fillId="0" borderId="0"/>
    <xf numFmtId="0" fontId="38" fillId="0" borderId="0"/>
    <xf numFmtId="0" fontId="57" fillId="26" borderId="0"/>
    <xf numFmtId="0" fontId="58" fillId="27" borderId="0"/>
    <xf numFmtId="0" fontId="44" fillId="75" borderId="0"/>
    <xf numFmtId="0" fontId="44" fillId="76" borderId="0"/>
    <xf numFmtId="0" fontId="44" fillId="77" borderId="0"/>
    <xf numFmtId="0" fontId="44" fillId="78" borderId="0"/>
    <xf numFmtId="0" fontId="44" fillId="79" borderId="0"/>
    <xf numFmtId="0" fontId="44" fillId="80" borderId="0"/>
    <xf numFmtId="0" fontId="59" fillId="0" borderId="0"/>
    <xf numFmtId="0" fontId="60" fillId="0" borderId="25"/>
    <xf numFmtId="0" fontId="61" fillId="0" borderId="26"/>
    <xf numFmtId="0" fontId="62" fillId="0" borderId="27"/>
    <xf numFmtId="0" fontId="62" fillId="0" borderId="0"/>
    <xf numFmtId="0" fontId="63" fillId="31" borderId="22"/>
    <xf numFmtId="0" fontId="64" fillId="0" borderId="28"/>
    <xf numFmtId="0" fontId="43" fillId="32" borderId="23"/>
    <xf numFmtId="0" fontId="65" fillId="0" borderId="0"/>
    <xf numFmtId="0" fontId="66" fillId="0" borderId="0"/>
    <xf numFmtId="0" fontId="67" fillId="30" borderId="19"/>
    <xf numFmtId="0" fontId="68" fillId="29" borderId="19"/>
    <xf numFmtId="0" fontId="69" fillId="30" borderId="20"/>
    <xf numFmtId="0" fontId="70" fillId="28" borderId="0"/>
    <xf numFmtId="0" fontId="71" fillId="0" borderId="21"/>
    <xf numFmtId="0" fontId="47" fillId="0" borderId="0"/>
    <xf numFmtId="0" fontId="23" fillId="0" borderId="0"/>
    <xf numFmtId="0" fontId="27" fillId="0" borderId="0"/>
    <xf numFmtId="0" fontId="27"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174" fontId="22" fillId="0" borderId="0"/>
    <xf numFmtId="0" fontId="22" fillId="0" borderId="0"/>
    <xf numFmtId="0" fontId="22" fillId="0" borderId="0"/>
  </cellStyleXfs>
  <cellXfs count="57">
    <xf numFmtId="0" fontId="0" fillId="0" borderId="0" xfId="0"/>
    <xf numFmtId="0" fontId="25" fillId="0" borderId="0" xfId="0" applyFont="1"/>
    <xf numFmtId="164" fontId="25" fillId="0" borderId="0" xfId="388" applyFont="1"/>
    <xf numFmtId="0" fontId="25" fillId="0" borderId="0" xfId="0" applyFont="1" applyAlignment="1">
      <alignment horizontal="center"/>
    </xf>
    <xf numFmtId="0" fontId="72" fillId="0" borderId="0" xfId="0" applyFont="1"/>
    <xf numFmtId="0" fontId="72" fillId="0" borderId="0" xfId="0" applyFont="1" applyAlignment="1">
      <alignment horizontal="center"/>
    </xf>
    <xf numFmtId="0" fontId="73" fillId="0" borderId="0" xfId="0" applyFont="1"/>
    <xf numFmtId="0" fontId="75" fillId="25" borderId="10" xfId="0" applyFont="1" applyFill="1" applyBorder="1" applyAlignment="1">
      <alignment horizontal="center" vertical="center" wrapText="1"/>
    </xf>
    <xf numFmtId="0" fontId="76" fillId="0" borderId="11" xfId="0" applyFont="1" applyBorder="1" applyAlignment="1">
      <alignment horizontal="center" vertical="center" wrapText="1" readingOrder="1"/>
    </xf>
    <xf numFmtId="165" fontId="76" fillId="0" borderId="13" xfId="0" applyNumberFormat="1" applyFont="1" applyBorder="1" applyAlignment="1">
      <alignment horizontal="center" vertical="center" wrapText="1" readingOrder="1"/>
    </xf>
    <xf numFmtId="0" fontId="76" fillId="0" borderId="10" xfId="0" applyFont="1" applyBorder="1" applyAlignment="1">
      <alignment horizontal="center" vertical="center" wrapText="1" readingOrder="1"/>
    </xf>
    <xf numFmtId="166" fontId="73" fillId="0" borderId="0" xfId="0" applyNumberFormat="1" applyFont="1"/>
    <xf numFmtId="0" fontId="74" fillId="0" borderId="12" xfId="0" applyFont="1" applyBorder="1" applyAlignment="1">
      <alignment wrapText="1"/>
    </xf>
    <xf numFmtId="167" fontId="73" fillId="0" borderId="0" xfId="388" applyNumberFormat="1" applyFont="1"/>
    <xf numFmtId="0" fontId="75" fillId="25" borderId="10" xfId="0" applyFont="1" applyFill="1" applyBorder="1" applyAlignment="1">
      <alignment horizontal="left" vertical="center" wrapText="1"/>
    </xf>
    <xf numFmtId="164" fontId="73" fillId="0" borderId="0" xfId="388" applyFont="1"/>
    <xf numFmtId="0" fontId="75" fillId="25" borderId="10" xfId="0" applyFont="1" applyFill="1" applyBorder="1" applyAlignment="1">
      <alignment vertical="center" wrapText="1"/>
    </xf>
    <xf numFmtId="0" fontId="73" fillId="0" borderId="0" xfId="0" applyFont="1" applyAlignment="1">
      <alignment horizontal="center"/>
    </xf>
    <xf numFmtId="165" fontId="73" fillId="0" borderId="0" xfId="0" applyNumberFormat="1" applyFont="1"/>
    <xf numFmtId="10" fontId="73" fillId="81" borderId="10" xfId="0" applyNumberFormat="1" applyFont="1" applyFill="1" applyBorder="1" applyAlignment="1">
      <alignment horizontal="center" vertical="center"/>
    </xf>
    <xf numFmtId="165" fontId="76" fillId="82" borderId="13" xfId="0" applyNumberFormat="1" applyFont="1" applyFill="1" applyBorder="1" applyAlignment="1">
      <alignment horizontal="center" vertical="center" wrapText="1" readingOrder="1"/>
    </xf>
    <xf numFmtId="0" fontId="76" fillId="0" borderId="29" xfId="0" applyFont="1" applyBorder="1" applyAlignment="1">
      <alignment horizontal="center" vertical="center" wrapText="1" readingOrder="1"/>
    </xf>
    <xf numFmtId="165" fontId="76" fillId="82" borderId="10" xfId="0" applyNumberFormat="1" applyFont="1" applyFill="1" applyBorder="1" applyAlignment="1">
      <alignment horizontal="center" vertical="center" wrapText="1" readingOrder="1"/>
    </xf>
    <xf numFmtId="0" fontId="76" fillId="82" borderId="10" xfId="0" applyFont="1" applyFill="1" applyBorder="1" applyAlignment="1">
      <alignment horizontal="center" vertical="center" wrapText="1" readingOrder="1"/>
    </xf>
    <xf numFmtId="0" fontId="74" fillId="82" borderId="10" xfId="0" applyFont="1" applyFill="1" applyBorder="1" applyAlignment="1">
      <alignment wrapText="1"/>
    </xf>
    <xf numFmtId="0" fontId="73" fillId="83" borderId="0" xfId="0" applyFont="1" applyFill="1"/>
    <xf numFmtId="0" fontId="77" fillId="84" borderId="0" xfId="0" applyFont="1" applyFill="1" applyAlignment="1">
      <alignment horizontal="center" vertical="center" wrapText="1"/>
    </xf>
    <xf numFmtId="168" fontId="0" fillId="0" borderId="0" xfId="0" applyNumberFormat="1"/>
    <xf numFmtId="1" fontId="0" fillId="0" borderId="0" xfId="0" applyNumberFormat="1"/>
    <xf numFmtId="0" fontId="74" fillId="0" borderId="10" xfId="0" applyFont="1" applyBorder="1"/>
    <xf numFmtId="0" fontId="74" fillId="0" borderId="38" xfId="0" applyFont="1" applyBorder="1"/>
    <xf numFmtId="0" fontId="74" fillId="0" borderId="39" xfId="0" applyFont="1" applyBorder="1"/>
    <xf numFmtId="0" fontId="78" fillId="85" borderId="10" xfId="0" applyFont="1" applyFill="1" applyBorder="1"/>
    <xf numFmtId="0" fontId="78" fillId="85" borderId="38" xfId="0" applyFont="1" applyFill="1" applyBorder="1"/>
    <xf numFmtId="0" fontId="74" fillId="0" borderId="38" xfId="0" applyFont="1" applyBorder="1" applyAlignment="1">
      <alignment horizontal="center"/>
    </xf>
    <xf numFmtId="167" fontId="22" fillId="0" borderId="0" xfId="388" applyNumberFormat="1"/>
    <xf numFmtId="167" fontId="79" fillId="0" borderId="0" xfId="388" applyNumberFormat="1" applyFont="1"/>
    <xf numFmtId="0" fontId="78" fillId="85" borderId="39" xfId="0" applyFont="1" applyFill="1" applyBorder="1"/>
    <xf numFmtId="167" fontId="22" fillId="0" borderId="10" xfId="388" applyNumberFormat="1" applyBorder="1"/>
    <xf numFmtId="0" fontId="75" fillId="25" borderId="10" xfId="0" applyFont="1" applyFill="1" applyBorder="1" applyAlignment="1">
      <alignment horizontal="center" vertical="center" wrapText="1"/>
    </xf>
    <xf numFmtId="0" fontId="0" fillId="0" borderId="30" xfId="0" applyBorder="1"/>
    <xf numFmtId="0" fontId="0" fillId="0" borderId="33" xfId="0" applyBorder="1"/>
    <xf numFmtId="0" fontId="73" fillId="82" borderId="10" xfId="0" applyFont="1" applyFill="1" applyBorder="1" applyAlignment="1">
      <alignment horizontal="left" vertical="center" wrapText="1"/>
    </xf>
    <xf numFmtId="0" fontId="0" fillId="0" borderId="31" xfId="0" applyBorder="1"/>
    <xf numFmtId="0" fontId="0" fillId="0" borderId="32" xfId="0" applyBorder="1"/>
    <xf numFmtId="0" fontId="0" fillId="0" borderId="34" xfId="0" applyBorder="1"/>
    <xf numFmtId="0" fontId="0" fillId="0" borderId="35" xfId="0" applyBorder="1"/>
    <xf numFmtId="0" fontId="0" fillId="0" borderId="36" xfId="0" applyBorder="1"/>
    <xf numFmtId="0" fontId="75" fillId="24" borderId="14" xfId="0" applyFont="1" applyFill="1" applyBorder="1" applyAlignment="1">
      <alignment horizontal="center" vertical="center" wrapText="1" readingOrder="1"/>
    </xf>
    <xf numFmtId="0" fontId="0" fillId="0" borderId="15" xfId="0" applyBorder="1"/>
    <xf numFmtId="0" fontId="73" fillId="0" borderId="10" xfId="0" applyFont="1" applyBorder="1" applyAlignment="1">
      <alignment horizontal="left" vertical="center" wrapText="1"/>
    </xf>
    <xf numFmtId="0" fontId="78" fillId="85" borderId="37" xfId="0" applyFont="1" applyFill="1" applyBorder="1" applyAlignment="1">
      <alignment horizontal="center"/>
    </xf>
    <xf numFmtId="0" fontId="78" fillId="85" borderId="0" xfId="0" applyFont="1" applyFill="1" applyAlignment="1">
      <alignment horizontal="center"/>
    </xf>
    <xf numFmtId="0" fontId="78" fillId="0" borderId="38" xfId="0" applyFont="1" applyBorder="1" applyAlignment="1">
      <alignment horizontal="right"/>
    </xf>
    <xf numFmtId="0" fontId="78" fillId="0" borderId="40" xfId="0" applyFont="1" applyBorder="1" applyAlignment="1">
      <alignment horizontal="right"/>
    </xf>
    <xf numFmtId="0" fontId="74" fillId="0" borderId="38" xfId="0" applyFont="1" applyBorder="1" applyAlignment="1">
      <alignment horizontal="right"/>
    </xf>
    <xf numFmtId="0" fontId="74" fillId="0" borderId="40" xfId="0" applyFont="1" applyBorder="1" applyAlignment="1">
      <alignment horizontal="right"/>
    </xf>
  </cellXfs>
  <cellStyles count="39543">
    <cellStyle name="20% - Accent1" xfId="1" xr:uid="{00000000-0005-0000-0000-000001000000}"/>
    <cellStyle name="20% - Accent1 2" xfId="553" xr:uid="{00000000-0005-0000-0000-000029020000}"/>
    <cellStyle name="20% - Accent1 3" xfId="554" xr:uid="{00000000-0005-0000-0000-00002A020000}"/>
    <cellStyle name="20% - Accent1 4" xfId="555" xr:uid="{00000000-0005-0000-0000-00002B020000}"/>
    <cellStyle name="20% - Accent1 5" xfId="556" xr:uid="{00000000-0005-0000-0000-00002C020000}"/>
    <cellStyle name="20% - Accent1 6" xfId="552" xr:uid="{00000000-0005-0000-0000-000028020000}"/>
    <cellStyle name="20% - Accent2" xfId="2" xr:uid="{00000000-0005-0000-0000-000002000000}"/>
    <cellStyle name="20% - Accent2 2" xfId="558" xr:uid="{00000000-0005-0000-0000-00002E020000}"/>
    <cellStyle name="20% - Accent2 3" xfId="559" xr:uid="{00000000-0005-0000-0000-00002F020000}"/>
    <cellStyle name="20% - Accent2 4" xfId="560" xr:uid="{00000000-0005-0000-0000-000030020000}"/>
    <cellStyle name="20% - Accent2 5" xfId="561" xr:uid="{00000000-0005-0000-0000-000031020000}"/>
    <cellStyle name="20% - Accent2 6" xfId="557" xr:uid="{00000000-0005-0000-0000-00002D020000}"/>
    <cellStyle name="20% - Accent3" xfId="3" xr:uid="{00000000-0005-0000-0000-000003000000}"/>
    <cellStyle name="20% - Accent3 2" xfId="563" xr:uid="{00000000-0005-0000-0000-000033020000}"/>
    <cellStyle name="20% - Accent3 3" xfId="564" xr:uid="{00000000-0005-0000-0000-000034020000}"/>
    <cellStyle name="20% - Accent3 4" xfId="565" xr:uid="{00000000-0005-0000-0000-000035020000}"/>
    <cellStyle name="20% - Accent3 5" xfId="566" xr:uid="{00000000-0005-0000-0000-000036020000}"/>
    <cellStyle name="20% - Accent3 6" xfId="562" xr:uid="{00000000-0005-0000-0000-000032020000}"/>
    <cellStyle name="20% - Accent4" xfId="4" xr:uid="{00000000-0005-0000-0000-000004000000}"/>
    <cellStyle name="20% - Accent4 2" xfId="568" xr:uid="{00000000-0005-0000-0000-000038020000}"/>
    <cellStyle name="20% - Accent4 3" xfId="569" xr:uid="{00000000-0005-0000-0000-000039020000}"/>
    <cellStyle name="20% - Accent4 4" xfId="570" xr:uid="{00000000-0005-0000-0000-00003A020000}"/>
    <cellStyle name="20% - Accent4 5" xfId="571" xr:uid="{00000000-0005-0000-0000-00003B020000}"/>
    <cellStyle name="20% - Accent4 6" xfId="567" xr:uid="{00000000-0005-0000-0000-000037020000}"/>
    <cellStyle name="20% - Accent5" xfId="5" xr:uid="{00000000-0005-0000-0000-000005000000}"/>
    <cellStyle name="20% - Accent5 2" xfId="573" xr:uid="{00000000-0005-0000-0000-00003D020000}"/>
    <cellStyle name="20% - Accent5 3" xfId="574" xr:uid="{00000000-0005-0000-0000-00003E020000}"/>
    <cellStyle name="20% - Accent5 4" xfId="575" xr:uid="{00000000-0005-0000-0000-00003F020000}"/>
    <cellStyle name="20% - Accent5 5" xfId="576" xr:uid="{00000000-0005-0000-0000-000040020000}"/>
    <cellStyle name="20% - Accent5 6" xfId="572" xr:uid="{00000000-0005-0000-0000-00003C020000}"/>
    <cellStyle name="20% - Accent6" xfId="6" xr:uid="{00000000-0005-0000-0000-000006000000}"/>
    <cellStyle name="20% - Accent6 2" xfId="578" xr:uid="{00000000-0005-0000-0000-000042020000}"/>
    <cellStyle name="20% - Accent6 3" xfId="579" xr:uid="{00000000-0005-0000-0000-000043020000}"/>
    <cellStyle name="20% - Accent6 4" xfId="580" xr:uid="{00000000-0005-0000-0000-000044020000}"/>
    <cellStyle name="20% - Accent6 5" xfId="581" xr:uid="{00000000-0005-0000-0000-000045020000}"/>
    <cellStyle name="20% - Accent6 6" xfId="577" xr:uid="{00000000-0005-0000-0000-000041020000}"/>
    <cellStyle name="20% - Énfasis1 10" xfId="7" xr:uid="{00000000-0005-0000-0000-000007000000}"/>
    <cellStyle name="20% - Énfasis1 11" xfId="8" xr:uid="{00000000-0005-0000-0000-000008000000}"/>
    <cellStyle name="20% - Énfasis1 12" xfId="9" xr:uid="{00000000-0005-0000-0000-000009000000}"/>
    <cellStyle name="20% - Énfasis1 2" xfId="10" xr:uid="{00000000-0005-0000-0000-00000A000000}"/>
    <cellStyle name="20% - Énfasis1 2 2" xfId="582" xr:uid="{00000000-0005-0000-0000-000046020000}"/>
    <cellStyle name="20% - Énfasis1 3" xfId="11" xr:uid="{00000000-0005-0000-0000-00000B000000}"/>
    <cellStyle name="20% - Énfasis1 4" xfId="12" xr:uid="{00000000-0005-0000-0000-00000C000000}"/>
    <cellStyle name="20% - Énfasis1 5" xfId="13" xr:uid="{00000000-0005-0000-0000-00000D000000}"/>
    <cellStyle name="20% - Énfasis1 5 2" xfId="583" xr:uid="{00000000-0005-0000-0000-000047020000}"/>
    <cellStyle name="20% - Énfasis1 6" xfId="14" xr:uid="{00000000-0005-0000-0000-00000E000000}"/>
    <cellStyle name="20% - Énfasis1 6 2" xfId="584" xr:uid="{00000000-0005-0000-0000-000048020000}"/>
    <cellStyle name="20% - Énfasis1 7" xfId="15" xr:uid="{00000000-0005-0000-0000-00000F000000}"/>
    <cellStyle name="20% - Énfasis1 7 2" xfId="585" xr:uid="{00000000-0005-0000-0000-000049020000}"/>
    <cellStyle name="20% - Énfasis1 8" xfId="16" xr:uid="{00000000-0005-0000-0000-000010000000}"/>
    <cellStyle name="20% - Énfasis1 8 2" xfId="586" xr:uid="{00000000-0005-0000-0000-00004A020000}"/>
    <cellStyle name="20% - Énfasis1 9" xfId="17" xr:uid="{00000000-0005-0000-0000-000011000000}"/>
    <cellStyle name="20% - Énfasis2 10" xfId="18" xr:uid="{00000000-0005-0000-0000-000012000000}"/>
    <cellStyle name="20% - Énfasis2 11" xfId="19" xr:uid="{00000000-0005-0000-0000-000013000000}"/>
    <cellStyle name="20% - Énfasis2 12" xfId="20" xr:uid="{00000000-0005-0000-0000-000014000000}"/>
    <cellStyle name="20% - Énfasis2 2" xfId="21" xr:uid="{00000000-0005-0000-0000-000015000000}"/>
    <cellStyle name="20% - Énfasis2 2 2" xfId="587" xr:uid="{00000000-0005-0000-0000-00004B020000}"/>
    <cellStyle name="20% - Énfasis2 3" xfId="22" xr:uid="{00000000-0005-0000-0000-000016000000}"/>
    <cellStyle name="20% - Énfasis2 4" xfId="23" xr:uid="{00000000-0005-0000-0000-000017000000}"/>
    <cellStyle name="20% - Énfasis2 5" xfId="24" xr:uid="{00000000-0005-0000-0000-000018000000}"/>
    <cellStyle name="20% - Énfasis2 5 2" xfId="588" xr:uid="{00000000-0005-0000-0000-00004C020000}"/>
    <cellStyle name="20% - Énfasis2 6" xfId="25" xr:uid="{00000000-0005-0000-0000-000019000000}"/>
    <cellStyle name="20% - Énfasis2 6 2" xfId="589" xr:uid="{00000000-0005-0000-0000-00004D020000}"/>
    <cellStyle name="20% - Énfasis2 7" xfId="26" xr:uid="{00000000-0005-0000-0000-00001A000000}"/>
    <cellStyle name="20% - Énfasis2 7 2" xfId="590" xr:uid="{00000000-0005-0000-0000-00004E020000}"/>
    <cellStyle name="20% - Énfasis2 8" xfId="27" xr:uid="{00000000-0005-0000-0000-00001B000000}"/>
    <cellStyle name="20% - Énfasis2 8 2" xfId="591" xr:uid="{00000000-0005-0000-0000-00004F020000}"/>
    <cellStyle name="20% - Énfasis2 9" xfId="28" xr:uid="{00000000-0005-0000-0000-00001C000000}"/>
    <cellStyle name="20% - Énfasis3 10" xfId="29" xr:uid="{00000000-0005-0000-0000-00001D000000}"/>
    <cellStyle name="20% - Énfasis3 11" xfId="30" xr:uid="{00000000-0005-0000-0000-00001E000000}"/>
    <cellStyle name="20% - Énfasis3 12" xfId="31" xr:uid="{00000000-0005-0000-0000-00001F000000}"/>
    <cellStyle name="20% - Énfasis3 2" xfId="32" xr:uid="{00000000-0005-0000-0000-000020000000}"/>
    <cellStyle name="20% - Énfasis3 2 2" xfId="592" xr:uid="{00000000-0005-0000-0000-000050020000}"/>
    <cellStyle name="20% - Énfasis3 3" xfId="33" xr:uid="{00000000-0005-0000-0000-000021000000}"/>
    <cellStyle name="20% - Énfasis3 4" xfId="34" xr:uid="{00000000-0005-0000-0000-000022000000}"/>
    <cellStyle name="20% - Énfasis3 5" xfId="35" xr:uid="{00000000-0005-0000-0000-000023000000}"/>
    <cellStyle name="20% - Énfasis3 5 2" xfId="593" xr:uid="{00000000-0005-0000-0000-000051020000}"/>
    <cellStyle name="20% - Énfasis3 6" xfId="36" xr:uid="{00000000-0005-0000-0000-000024000000}"/>
    <cellStyle name="20% - Énfasis3 6 2" xfId="594" xr:uid="{00000000-0005-0000-0000-000052020000}"/>
    <cellStyle name="20% - Énfasis3 7" xfId="37" xr:uid="{00000000-0005-0000-0000-000025000000}"/>
    <cellStyle name="20% - Énfasis3 7 2" xfId="595" xr:uid="{00000000-0005-0000-0000-000053020000}"/>
    <cellStyle name="20% - Énfasis3 8" xfId="38" xr:uid="{00000000-0005-0000-0000-000026000000}"/>
    <cellStyle name="20% - Énfasis3 8 2" xfId="596" xr:uid="{00000000-0005-0000-0000-000054020000}"/>
    <cellStyle name="20% - Énfasis3 9" xfId="39" xr:uid="{00000000-0005-0000-0000-000027000000}"/>
    <cellStyle name="20% - Énfasis4 10" xfId="40" xr:uid="{00000000-0005-0000-0000-000028000000}"/>
    <cellStyle name="20% - Énfasis4 11" xfId="41" xr:uid="{00000000-0005-0000-0000-000029000000}"/>
    <cellStyle name="20% - Énfasis4 12" xfId="42" xr:uid="{00000000-0005-0000-0000-00002A000000}"/>
    <cellStyle name="20% - Énfasis4 2" xfId="43" xr:uid="{00000000-0005-0000-0000-00002B000000}"/>
    <cellStyle name="20% - Énfasis4 2 2" xfId="597" xr:uid="{00000000-0005-0000-0000-000055020000}"/>
    <cellStyle name="20% - Énfasis4 3" xfId="44" xr:uid="{00000000-0005-0000-0000-00002C000000}"/>
    <cellStyle name="20% - Énfasis4 4" xfId="45" xr:uid="{00000000-0005-0000-0000-00002D000000}"/>
    <cellStyle name="20% - Énfasis4 5" xfId="46" xr:uid="{00000000-0005-0000-0000-00002E000000}"/>
    <cellStyle name="20% - Énfasis4 5 2" xfId="598" xr:uid="{00000000-0005-0000-0000-000056020000}"/>
    <cellStyle name="20% - Énfasis4 6" xfId="47" xr:uid="{00000000-0005-0000-0000-00002F000000}"/>
    <cellStyle name="20% - Énfasis4 6 2" xfId="599" xr:uid="{00000000-0005-0000-0000-000057020000}"/>
    <cellStyle name="20% - Énfasis4 7" xfId="48" xr:uid="{00000000-0005-0000-0000-000030000000}"/>
    <cellStyle name="20% - Énfasis4 7 2" xfId="600" xr:uid="{00000000-0005-0000-0000-000058020000}"/>
    <cellStyle name="20% - Énfasis4 8" xfId="49" xr:uid="{00000000-0005-0000-0000-000031000000}"/>
    <cellStyle name="20% - Énfasis4 8 2" xfId="601" xr:uid="{00000000-0005-0000-0000-000059020000}"/>
    <cellStyle name="20% - Énfasis4 9" xfId="50" xr:uid="{00000000-0005-0000-0000-000032000000}"/>
    <cellStyle name="20% - Énfasis5 10" xfId="51" xr:uid="{00000000-0005-0000-0000-000033000000}"/>
    <cellStyle name="20% - Énfasis5 11" xfId="52" xr:uid="{00000000-0005-0000-0000-000034000000}"/>
    <cellStyle name="20% - Énfasis5 12" xfId="53" xr:uid="{00000000-0005-0000-0000-000035000000}"/>
    <cellStyle name="20% - Énfasis5 2" xfId="54" xr:uid="{00000000-0005-0000-0000-000036000000}"/>
    <cellStyle name="20% - Énfasis5 2 2" xfId="602" xr:uid="{00000000-0005-0000-0000-00005A020000}"/>
    <cellStyle name="20% - Énfasis5 3" xfId="55" xr:uid="{00000000-0005-0000-0000-000037000000}"/>
    <cellStyle name="20% - Énfasis5 4" xfId="56" xr:uid="{00000000-0005-0000-0000-000038000000}"/>
    <cellStyle name="20% - Énfasis5 5" xfId="57" xr:uid="{00000000-0005-0000-0000-000039000000}"/>
    <cellStyle name="20% - Énfasis5 5 2" xfId="603" xr:uid="{00000000-0005-0000-0000-00005B020000}"/>
    <cellStyle name="20% - Énfasis5 6" xfId="58" xr:uid="{00000000-0005-0000-0000-00003A000000}"/>
    <cellStyle name="20% - Énfasis5 6 2" xfId="604" xr:uid="{00000000-0005-0000-0000-00005C020000}"/>
    <cellStyle name="20% - Énfasis5 7" xfId="59" xr:uid="{00000000-0005-0000-0000-00003B000000}"/>
    <cellStyle name="20% - Énfasis5 7 2" xfId="605" xr:uid="{00000000-0005-0000-0000-00005D020000}"/>
    <cellStyle name="20% - Énfasis5 8" xfId="60" xr:uid="{00000000-0005-0000-0000-00003C000000}"/>
    <cellStyle name="20% - Énfasis5 8 2" xfId="606" xr:uid="{00000000-0005-0000-0000-00005E020000}"/>
    <cellStyle name="20% - Énfasis5 9" xfId="61" xr:uid="{00000000-0005-0000-0000-00003D000000}"/>
    <cellStyle name="20% - Énfasis6 10" xfId="62" xr:uid="{00000000-0005-0000-0000-00003E000000}"/>
    <cellStyle name="20% - Énfasis6 11" xfId="63" xr:uid="{00000000-0005-0000-0000-00003F000000}"/>
    <cellStyle name="20% - Énfasis6 12" xfId="64" xr:uid="{00000000-0005-0000-0000-000040000000}"/>
    <cellStyle name="20% - Énfasis6 2" xfId="65" xr:uid="{00000000-0005-0000-0000-000041000000}"/>
    <cellStyle name="20% - Énfasis6 2 2" xfId="607" xr:uid="{00000000-0005-0000-0000-00005F020000}"/>
    <cellStyle name="20% - Énfasis6 3" xfId="66" xr:uid="{00000000-0005-0000-0000-000042000000}"/>
    <cellStyle name="20% - Énfasis6 4" xfId="67" xr:uid="{00000000-0005-0000-0000-000043000000}"/>
    <cellStyle name="20% - Énfasis6 5" xfId="68" xr:uid="{00000000-0005-0000-0000-000044000000}"/>
    <cellStyle name="20% - Énfasis6 5 2" xfId="608" xr:uid="{00000000-0005-0000-0000-000060020000}"/>
    <cellStyle name="20% - Énfasis6 6" xfId="69" xr:uid="{00000000-0005-0000-0000-000045000000}"/>
    <cellStyle name="20% - Énfasis6 6 2" xfId="609" xr:uid="{00000000-0005-0000-0000-000061020000}"/>
    <cellStyle name="20% - Énfasis6 7" xfId="70" xr:uid="{00000000-0005-0000-0000-000046000000}"/>
    <cellStyle name="20% - Énfasis6 7 2" xfId="610" xr:uid="{00000000-0005-0000-0000-000062020000}"/>
    <cellStyle name="20% - Énfasis6 8" xfId="71" xr:uid="{00000000-0005-0000-0000-000047000000}"/>
    <cellStyle name="20% - Énfasis6 8 2" xfId="611" xr:uid="{00000000-0005-0000-0000-000063020000}"/>
    <cellStyle name="20% - Énfasis6 9" xfId="72" xr:uid="{00000000-0005-0000-0000-000048000000}"/>
    <cellStyle name="20% - 强调文字颜色 1" xfId="612" xr:uid="{00000000-0005-0000-0000-000064020000}"/>
    <cellStyle name="20% - 强调文字颜色 2" xfId="613" xr:uid="{00000000-0005-0000-0000-000065020000}"/>
    <cellStyle name="20% - 强调文字颜色 3" xfId="614" xr:uid="{00000000-0005-0000-0000-000066020000}"/>
    <cellStyle name="20% - 强调文字颜色 4" xfId="615" xr:uid="{00000000-0005-0000-0000-000067020000}"/>
    <cellStyle name="20% - 强调文字颜色 5" xfId="616" xr:uid="{00000000-0005-0000-0000-000068020000}"/>
    <cellStyle name="20% - 强调文字颜色 6" xfId="617" xr:uid="{00000000-0005-0000-0000-000069020000}"/>
    <cellStyle name="40% - Accent1" xfId="73" xr:uid="{00000000-0005-0000-0000-000049000000}"/>
    <cellStyle name="40% - Accent1 2" xfId="619" xr:uid="{00000000-0005-0000-0000-00006B020000}"/>
    <cellStyle name="40% - Accent1 3" xfId="620" xr:uid="{00000000-0005-0000-0000-00006C020000}"/>
    <cellStyle name="40% - Accent1 4" xfId="621" xr:uid="{00000000-0005-0000-0000-00006D020000}"/>
    <cellStyle name="40% - Accent1 5" xfId="622" xr:uid="{00000000-0005-0000-0000-00006E020000}"/>
    <cellStyle name="40% - Accent1 6" xfId="618" xr:uid="{00000000-0005-0000-0000-00006A020000}"/>
    <cellStyle name="40% - Accent2" xfId="74" xr:uid="{00000000-0005-0000-0000-00004A000000}"/>
    <cellStyle name="40% - Accent2 2" xfId="624" xr:uid="{00000000-0005-0000-0000-000070020000}"/>
    <cellStyle name="40% - Accent2 3" xfId="625" xr:uid="{00000000-0005-0000-0000-000071020000}"/>
    <cellStyle name="40% - Accent2 4" xfId="626" xr:uid="{00000000-0005-0000-0000-000072020000}"/>
    <cellStyle name="40% - Accent2 5" xfId="627" xr:uid="{00000000-0005-0000-0000-000073020000}"/>
    <cellStyle name="40% - Accent2 6" xfId="623" xr:uid="{00000000-0005-0000-0000-00006F020000}"/>
    <cellStyle name="40% - Accent3" xfId="75" xr:uid="{00000000-0005-0000-0000-00004B000000}"/>
    <cellStyle name="40% - Accent3 2" xfId="629" xr:uid="{00000000-0005-0000-0000-000075020000}"/>
    <cellStyle name="40% - Accent3 3" xfId="630" xr:uid="{00000000-0005-0000-0000-000076020000}"/>
    <cellStyle name="40% - Accent3 4" xfId="631" xr:uid="{00000000-0005-0000-0000-000077020000}"/>
    <cellStyle name="40% - Accent3 5" xfId="632" xr:uid="{00000000-0005-0000-0000-000078020000}"/>
    <cellStyle name="40% - Accent3 6" xfId="628" xr:uid="{00000000-0005-0000-0000-000074020000}"/>
    <cellStyle name="40% - Accent4" xfId="76" xr:uid="{00000000-0005-0000-0000-00004C000000}"/>
    <cellStyle name="40% - Accent4 2" xfId="634" xr:uid="{00000000-0005-0000-0000-00007A020000}"/>
    <cellStyle name="40% - Accent4 3" xfId="635" xr:uid="{00000000-0005-0000-0000-00007B020000}"/>
    <cellStyle name="40% - Accent4 4" xfId="636" xr:uid="{00000000-0005-0000-0000-00007C020000}"/>
    <cellStyle name="40% - Accent4 5" xfId="637" xr:uid="{00000000-0005-0000-0000-00007D020000}"/>
    <cellStyle name="40% - Accent4 6" xfId="633" xr:uid="{00000000-0005-0000-0000-000079020000}"/>
    <cellStyle name="40% - Accent5" xfId="77" xr:uid="{00000000-0005-0000-0000-00004D000000}"/>
    <cellStyle name="40% - Accent5 2" xfId="639" xr:uid="{00000000-0005-0000-0000-00007F020000}"/>
    <cellStyle name="40% - Accent5 3" xfId="640" xr:uid="{00000000-0005-0000-0000-000080020000}"/>
    <cellStyle name="40% - Accent5 4" xfId="641" xr:uid="{00000000-0005-0000-0000-000081020000}"/>
    <cellStyle name="40% - Accent5 5" xfId="642" xr:uid="{00000000-0005-0000-0000-000082020000}"/>
    <cellStyle name="40% - Accent5 6" xfId="638" xr:uid="{00000000-0005-0000-0000-00007E020000}"/>
    <cellStyle name="40% - Accent6" xfId="78" xr:uid="{00000000-0005-0000-0000-00004E000000}"/>
    <cellStyle name="40% - Accent6 2" xfId="644" xr:uid="{00000000-0005-0000-0000-000084020000}"/>
    <cellStyle name="40% - Accent6 3" xfId="645" xr:uid="{00000000-0005-0000-0000-000085020000}"/>
    <cellStyle name="40% - Accent6 4" xfId="646" xr:uid="{00000000-0005-0000-0000-000086020000}"/>
    <cellStyle name="40% - Accent6 5" xfId="647" xr:uid="{00000000-0005-0000-0000-000087020000}"/>
    <cellStyle name="40% - Accent6 6" xfId="643" xr:uid="{00000000-0005-0000-0000-000083020000}"/>
    <cellStyle name="40% - Énfasis1 10" xfId="79" xr:uid="{00000000-0005-0000-0000-00004F000000}"/>
    <cellStyle name="40% - Énfasis1 11" xfId="80" xr:uid="{00000000-0005-0000-0000-000050000000}"/>
    <cellStyle name="40% - Énfasis1 12" xfId="81" xr:uid="{00000000-0005-0000-0000-000051000000}"/>
    <cellStyle name="40% - Énfasis1 2" xfId="82" xr:uid="{00000000-0005-0000-0000-000052000000}"/>
    <cellStyle name="40% - Énfasis1 2 2" xfId="648" xr:uid="{00000000-0005-0000-0000-000088020000}"/>
    <cellStyle name="40% - Énfasis1 3" xfId="83" xr:uid="{00000000-0005-0000-0000-000053000000}"/>
    <cellStyle name="40% - Énfasis1 4" xfId="84" xr:uid="{00000000-0005-0000-0000-000054000000}"/>
    <cellStyle name="40% - Énfasis1 5" xfId="85" xr:uid="{00000000-0005-0000-0000-000055000000}"/>
    <cellStyle name="40% - Énfasis1 5 2" xfId="649" xr:uid="{00000000-0005-0000-0000-000089020000}"/>
    <cellStyle name="40% - Énfasis1 6" xfId="86" xr:uid="{00000000-0005-0000-0000-000056000000}"/>
    <cellStyle name="40% - Énfasis1 6 2" xfId="650" xr:uid="{00000000-0005-0000-0000-00008A020000}"/>
    <cellStyle name="40% - Énfasis1 7" xfId="87" xr:uid="{00000000-0005-0000-0000-000057000000}"/>
    <cellStyle name="40% - Énfasis1 7 2" xfId="651" xr:uid="{00000000-0005-0000-0000-00008B020000}"/>
    <cellStyle name="40% - Énfasis1 8" xfId="88" xr:uid="{00000000-0005-0000-0000-000058000000}"/>
    <cellStyle name="40% - Énfasis1 8 2" xfId="652" xr:uid="{00000000-0005-0000-0000-00008C020000}"/>
    <cellStyle name="40% - Énfasis1 9" xfId="89" xr:uid="{00000000-0005-0000-0000-000059000000}"/>
    <cellStyle name="40% - Énfasis2 10" xfId="90" xr:uid="{00000000-0005-0000-0000-00005A000000}"/>
    <cellStyle name="40% - Énfasis2 11" xfId="91" xr:uid="{00000000-0005-0000-0000-00005B000000}"/>
    <cellStyle name="40% - Énfasis2 12" xfId="92" xr:uid="{00000000-0005-0000-0000-00005C000000}"/>
    <cellStyle name="40% - Énfasis2 2" xfId="93" xr:uid="{00000000-0005-0000-0000-00005D000000}"/>
    <cellStyle name="40% - Énfasis2 2 2" xfId="653" xr:uid="{00000000-0005-0000-0000-00008D020000}"/>
    <cellStyle name="40% - Énfasis2 3" xfId="94" xr:uid="{00000000-0005-0000-0000-00005E000000}"/>
    <cellStyle name="40% - Énfasis2 4" xfId="95" xr:uid="{00000000-0005-0000-0000-00005F000000}"/>
    <cellStyle name="40% - Énfasis2 5" xfId="96" xr:uid="{00000000-0005-0000-0000-000060000000}"/>
    <cellStyle name="40% - Énfasis2 5 2" xfId="654" xr:uid="{00000000-0005-0000-0000-00008E020000}"/>
    <cellStyle name="40% - Énfasis2 6" xfId="97" xr:uid="{00000000-0005-0000-0000-000061000000}"/>
    <cellStyle name="40% - Énfasis2 6 2" xfId="655" xr:uid="{00000000-0005-0000-0000-00008F020000}"/>
    <cellStyle name="40% - Énfasis2 7" xfId="98" xr:uid="{00000000-0005-0000-0000-000062000000}"/>
    <cellStyle name="40% - Énfasis2 7 2" xfId="656" xr:uid="{00000000-0005-0000-0000-000090020000}"/>
    <cellStyle name="40% - Énfasis2 8" xfId="99" xr:uid="{00000000-0005-0000-0000-000063000000}"/>
    <cellStyle name="40% - Énfasis2 8 2" xfId="657" xr:uid="{00000000-0005-0000-0000-000091020000}"/>
    <cellStyle name="40% - Énfasis2 9" xfId="100" xr:uid="{00000000-0005-0000-0000-000064000000}"/>
    <cellStyle name="40% - Énfasis3 10" xfId="101" xr:uid="{00000000-0005-0000-0000-000065000000}"/>
    <cellStyle name="40% - Énfasis3 11" xfId="102" xr:uid="{00000000-0005-0000-0000-000066000000}"/>
    <cellStyle name="40% - Énfasis3 12" xfId="103" xr:uid="{00000000-0005-0000-0000-000067000000}"/>
    <cellStyle name="40% - Énfasis3 2" xfId="104" xr:uid="{00000000-0005-0000-0000-000068000000}"/>
    <cellStyle name="40% - Énfasis3 2 2" xfId="658" xr:uid="{00000000-0005-0000-0000-000092020000}"/>
    <cellStyle name="40% - Énfasis3 3" xfId="105" xr:uid="{00000000-0005-0000-0000-000069000000}"/>
    <cellStyle name="40% - Énfasis3 4" xfId="106" xr:uid="{00000000-0005-0000-0000-00006A000000}"/>
    <cellStyle name="40% - Énfasis3 5" xfId="107" xr:uid="{00000000-0005-0000-0000-00006B000000}"/>
    <cellStyle name="40% - Énfasis3 5 2" xfId="659" xr:uid="{00000000-0005-0000-0000-000093020000}"/>
    <cellStyle name="40% - Énfasis3 6" xfId="108" xr:uid="{00000000-0005-0000-0000-00006C000000}"/>
    <cellStyle name="40% - Énfasis3 6 2" xfId="660" xr:uid="{00000000-0005-0000-0000-000094020000}"/>
    <cellStyle name="40% - Énfasis3 7" xfId="109" xr:uid="{00000000-0005-0000-0000-00006D000000}"/>
    <cellStyle name="40% - Énfasis3 7 2" xfId="661" xr:uid="{00000000-0005-0000-0000-000095020000}"/>
    <cellStyle name="40% - Énfasis3 8" xfId="110" xr:uid="{00000000-0005-0000-0000-00006E000000}"/>
    <cellStyle name="40% - Énfasis3 8 2" xfId="662" xr:uid="{00000000-0005-0000-0000-000096020000}"/>
    <cellStyle name="40% - Énfasis3 9" xfId="111" xr:uid="{00000000-0005-0000-0000-00006F000000}"/>
    <cellStyle name="40% - Énfasis4 10" xfId="112" xr:uid="{00000000-0005-0000-0000-000070000000}"/>
    <cellStyle name="40% - Énfasis4 11" xfId="113" xr:uid="{00000000-0005-0000-0000-000071000000}"/>
    <cellStyle name="40% - Énfasis4 12" xfId="114" xr:uid="{00000000-0005-0000-0000-000072000000}"/>
    <cellStyle name="40% - Énfasis4 2" xfId="115" xr:uid="{00000000-0005-0000-0000-000073000000}"/>
    <cellStyle name="40% - Énfasis4 2 2" xfId="663" xr:uid="{00000000-0005-0000-0000-000097020000}"/>
    <cellStyle name="40% - Énfasis4 3" xfId="116" xr:uid="{00000000-0005-0000-0000-000074000000}"/>
    <cellStyle name="40% - Énfasis4 4" xfId="117" xr:uid="{00000000-0005-0000-0000-000075000000}"/>
    <cellStyle name="40% - Énfasis4 5" xfId="118" xr:uid="{00000000-0005-0000-0000-000076000000}"/>
    <cellStyle name="40% - Énfasis4 5 2" xfId="664" xr:uid="{00000000-0005-0000-0000-000098020000}"/>
    <cellStyle name="40% - Énfasis4 6" xfId="119" xr:uid="{00000000-0005-0000-0000-000077000000}"/>
    <cellStyle name="40% - Énfasis4 6 2" xfId="665" xr:uid="{00000000-0005-0000-0000-000099020000}"/>
    <cellStyle name="40% - Énfasis4 7" xfId="120" xr:uid="{00000000-0005-0000-0000-000078000000}"/>
    <cellStyle name="40% - Énfasis4 7 2" xfId="666" xr:uid="{00000000-0005-0000-0000-00009A020000}"/>
    <cellStyle name="40% - Énfasis4 8" xfId="121" xr:uid="{00000000-0005-0000-0000-000079000000}"/>
    <cellStyle name="40% - Énfasis4 8 2" xfId="667" xr:uid="{00000000-0005-0000-0000-00009B020000}"/>
    <cellStyle name="40% - Énfasis4 9" xfId="122" xr:uid="{00000000-0005-0000-0000-00007A000000}"/>
    <cellStyle name="40% - Énfasis5 10" xfId="123" xr:uid="{00000000-0005-0000-0000-00007B000000}"/>
    <cellStyle name="40% - Énfasis5 11" xfId="124" xr:uid="{00000000-0005-0000-0000-00007C000000}"/>
    <cellStyle name="40% - Énfasis5 12" xfId="125" xr:uid="{00000000-0005-0000-0000-00007D000000}"/>
    <cellStyle name="40% - Énfasis5 2" xfId="126" xr:uid="{00000000-0005-0000-0000-00007E000000}"/>
    <cellStyle name="40% - Énfasis5 2 2" xfId="668" xr:uid="{00000000-0005-0000-0000-00009C020000}"/>
    <cellStyle name="40% - Énfasis5 3" xfId="127" xr:uid="{00000000-0005-0000-0000-00007F000000}"/>
    <cellStyle name="40% - Énfasis5 4" xfId="128" xr:uid="{00000000-0005-0000-0000-000080000000}"/>
    <cellStyle name="40% - Énfasis5 5" xfId="129" xr:uid="{00000000-0005-0000-0000-000081000000}"/>
    <cellStyle name="40% - Énfasis5 5 2" xfId="669" xr:uid="{00000000-0005-0000-0000-00009D020000}"/>
    <cellStyle name="40% - Énfasis5 6" xfId="130" xr:uid="{00000000-0005-0000-0000-000082000000}"/>
    <cellStyle name="40% - Énfasis5 6 2" xfId="670" xr:uid="{00000000-0005-0000-0000-00009E020000}"/>
    <cellStyle name="40% - Énfasis5 7" xfId="131" xr:uid="{00000000-0005-0000-0000-000083000000}"/>
    <cellStyle name="40% - Énfasis5 7 2" xfId="671" xr:uid="{00000000-0005-0000-0000-00009F020000}"/>
    <cellStyle name="40% - Énfasis5 8" xfId="132" xr:uid="{00000000-0005-0000-0000-000084000000}"/>
    <cellStyle name="40% - Énfasis5 8 2" xfId="672" xr:uid="{00000000-0005-0000-0000-0000A0020000}"/>
    <cellStyle name="40% - Énfasis5 9" xfId="133" xr:uid="{00000000-0005-0000-0000-000085000000}"/>
    <cellStyle name="40% - Énfasis6 10" xfId="134" xr:uid="{00000000-0005-0000-0000-000086000000}"/>
    <cellStyle name="40% - Énfasis6 11" xfId="135" xr:uid="{00000000-0005-0000-0000-000087000000}"/>
    <cellStyle name="40% - Énfasis6 12" xfId="136" xr:uid="{00000000-0005-0000-0000-000088000000}"/>
    <cellStyle name="40% - Énfasis6 2" xfId="137" xr:uid="{00000000-0005-0000-0000-000089000000}"/>
    <cellStyle name="40% - Énfasis6 2 2" xfId="673" xr:uid="{00000000-0005-0000-0000-0000A1020000}"/>
    <cellStyle name="40% - Énfasis6 3" xfId="138" xr:uid="{00000000-0005-0000-0000-00008A000000}"/>
    <cellStyle name="40% - Énfasis6 4" xfId="139" xr:uid="{00000000-0005-0000-0000-00008B000000}"/>
    <cellStyle name="40% - Énfasis6 5" xfId="140" xr:uid="{00000000-0005-0000-0000-00008C000000}"/>
    <cellStyle name="40% - Énfasis6 5 2" xfId="674" xr:uid="{00000000-0005-0000-0000-0000A2020000}"/>
    <cellStyle name="40% - Énfasis6 6" xfId="141" xr:uid="{00000000-0005-0000-0000-00008D000000}"/>
    <cellStyle name="40% - Énfasis6 6 2" xfId="675" xr:uid="{00000000-0005-0000-0000-0000A3020000}"/>
    <cellStyle name="40% - Énfasis6 7" xfId="142" xr:uid="{00000000-0005-0000-0000-00008E000000}"/>
    <cellStyle name="40% - Énfasis6 7 2" xfId="676" xr:uid="{00000000-0005-0000-0000-0000A4020000}"/>
    <cellStyle name="40% - Énfasis6 8" xfId="143" xr:uid="{00000000-0005-0000-0000-00008F000000}"/>
    <cellStyle name="40% - Énfasis6 8 2" xfId="677" xr:uid="{00000000-0005-0000-0000-0000A5020000}"/>
    <cellStyle name="40% - Énfasis6 9" xfId="144" xr:uid="{00000000-0005-0000-0000-000090000000}"/>
    <cellStyle name="40% - 强调文字颜色 1" xfId="678" xr:uid="{00000000-0005-0000-0000-0000A6020000}"/>
    <cellStyle name="40% - 强调文字颜色 2" xfId="679" xr:uid="{00000000-0005-0000-0000-0000A7020000}"/>
    <cellStyle name="40% - 强调文字颜色 3" xfId="680" xr:uid="{00000000-0005-0000-0000-0000A8020000}"/>
    <cellStyle name="40% - 强调文字颜色 4" xfId="681" xr:uid="{00000000-0005-0000-0000-0000A9020000}"/>
    <cellStyle name="40% - 强调文字颜色 5" xfId="682" xr:uid="{00000000-0005-0000-0000-0000AA020000}"/>
    <cellStyle name="40% - 强调文字颜色 6" xfId="683" xr:uid="{00000000-0005-0000-0000-0000AB020000}"/>
    <cellStyle name="60% - Accent1" xfId="145" xr:uid="{00000000-0005-0000-0000-000091000000}"/>
    <cellStyle name="60% - Accent1 2" xfId="685" xr:uid="{00000000-0005-0000-0000-0000AD020000}"/>
    <cellStyle name="60% - Accent1 3" xfId="686" xr:uid="{00000000-0005-0000-0000-0000AE020000}"/>
    <cellStyle name="60% - Accent1 4" xfId="687" xr:uid="{00000000-0005-0000-0000-0000AF020000}"/>
    <cellStyle name="60% - Accent1 5" xfId="688" xr:uid="{00000000-0005-0000-0000-0000B0020000}"/>
    <cellStyle name="60% - Accent1 6" xfId="684" xr:uid="{00000000-0005-0000-0000-0000AC020000}"/>
    <cellStyle name="60% - Accent2" xfId="146" xr:uid="{00000000-0005-0000-0000-000092000000}"/>
    <cellStyle name="60% - Accent2 2" xfId="690" xr:uid="{00000000-0005-0000-0000-0000B2020000}"/>
    <cellStyle name="60% - Accent2 3" xfId="691" xr:uid="{00000000-0005-0000-0000-0000B3020000}"/>
    <cellStyle name="60% - Accent2 4" xfId="692" xr:uid="{00000000-0005-0000-0000-0000B4020000}"/>
    <cellStyle name="60% - Accent2 5" xfId="693" xr:uid="{00000000-0005-0000-0000-0000B5020000}"/>
    <cellStyle name="60% - Accent2 6" xfId="689" xr:uid="{00000000-0005-0000-0000-0000B1020000}"/>
    <cellStyle name="60% - Accent3" xfId="147" xr:uid="{00000000-0005-0000-0000-000093000000}"/>
    <cellStyle name="60% - Accent3 2" xfId="695" xr:uid="{00000000-0005-0000-0000-0000B7020000}"/>
    <cellStyle name="60% - Accent3 3" xfId="696" xr:uid="{00000000-0005-0000-0000-0000B8020000}"/>
    <cellStyle name="60% - Accent3 4" xfId="697" xr:uid="{00000000-0005-0000-0000-0000B9020000}"/>
    <cellStyle name="60% - Accent3 5" xfId="698" xr:uid="{00000000-0005-0000-0000-0000BA020000}"/>
    <cellStyle name="60% - Accent3 6" xfId="694" xr:uid="{00000000-0005-0000-0000-0000B6020000}"/>
    <cellStyle name="60% - Accent4" xfId="148" xr:uid="{00000000-0005-0000-0000-000094000000}"/>
    <cellStyle name="60% - Accent4 2" xfId="700" xr:uid="{00000000-0005-0000-0000-0000BC020000}"/>
    <cellStyle name="60% - Accent4 3" xfId="701" xr:uid="{00000000-0005-0000-0000-0000BD020000}"/>
    <cellStyle name="60% - Accent4 4" xfId="702" xr:uid="{00000000-0005-0000-0000-0000BE020000}"/>
    <cellStyle name="60% - Accent4 5" xfId="703" xr:uid="{00000000-0005-0000-0000-0000BF020000}"/>
    <cellStyle name="60% - Accent4 6" xfId="699" xr:uid="{00000000-0005-0000-0000-0000BB020000}"/>
    <cellStyle name="60% - Accent5" xfId="149" xr:uid="{00000000-0005-0000-0000-000095000000}"/>
    <cellStyle name="60% - Accent5 2" xfId="705" xr:uid="{00000000-0005-0000-0000-0000C1020000}"/>
    <cellStyle name="60% - Accent5 3" xfId="706" xr:uid="{00000000-0005-0000-0000-0000C2020000}"/>
    <cellStyle name="60% - Accent5 4" xfId="707" xr:uid="{00000000-0005-0000-0000-0000C3020000}"/>
    <cellStyle name="60% - Accent5 5" xfId="708" xr:uid="{00000000-0005-0000-0000-0000C4020000}"/>
    <cellStyle name="60% - Accent5 6" xfId="704" xr:uid="{00000000-0005-0000-0000-0000C0020000}"/>
    <cellStyle name="60% - Accent6" xfId="150" xr:uid="{00000000-0005-0000-0000-000096000000}"/>
    <cellStyle name="60% - Accent6 2" xfId="710" xr:uid="{00000000-0005-0000-0000-0000C6020000}"/>
    <cellStyle name="60% - Accent6 3" xfId="711" xr:uid="{00000000-0005-0000-0000-0000C7020000}"/>
    <cellStyle name="60% - Accent6 4" xfId="712" xr:uid="{00000000-0005-0000-0000-0000C8020000}"/>
    <cellStyle name="60% - Accent6 5" xfId="713" xr:uid="{00000000-0005-0000-0000-0000C9020000}"/>
    <cellStyle name="60% - Accent6 6" xfId="709" xr:uid="{00000000-0005-0000-0000-0000C5020000}"/>
    <cellStyle name="60% - Énfasis1 10" xfId="151" xr:uid="{00000000-0005-0000-0000-000097000000}"/>
    <cellStyle name="60% - Énfasis1 11" xfId="152" xr:uid="{00000000-0005-0000-0000-000098000000}"/>
    <cellStyle name="60% - Énfasis1 12" xfId="153" xr:uid="{00000000-0005-0000-0000-000099000000}"/>
    <cellStyle name="60% - Énfasis1 2" xfId="154" xr:uid="{00000000-0005-0000-0000-00009A000000}"/>
    <cellStyle name="60% - Énfasis1 2 2" xfId="714" xr:uid="{00000000-0005-0000-0000-0000CA020000}"/>
    <cellStyle name="60% - Énfasis1 3" xfId="155" xr:uid="{00000000-0005-0000-0000-00009B000000}"/>
    <cellStyle name="60% - Énfasis1 4" xfId="156" xr:uid="{00000000-0005-0000-0000-00009C000000}"/>
    <cellStyle name="60% - Énfasis1 5" xfId="157" xr:uid="{00000000-0005-0000-0000-00009D000000}"/>
    <cellStyle name="60% - Énfasis1 5 2" xfId="715" xr:uid="{00000000-0005-0000-0000-0000CB020000}"/>
    <cellStyle name="60% - Énfasis1 6" xfId="158" xr:uid="{00000000-0005-0000-0000-00009E000000}"/>
    <cellStyle name="60% - Énfasis1 6 2" xfId="716" xr:uid="{00000000-0005-0000-0000-0000CC020000}"/>
    <cellStyle name="60% - Énfasis1 7" xfId="159" xr:uid="{00000000-0005-0000-0000-00009F000000}"/>
    <cellStyle name="60% - Énfasis1 7 2" xfId="717" xr:uid="{00000000-0005-0000-0000-0000CD020000}"/>
    <cellStyle name="60% - Énfasis1 8" xfId="160" xr:uid="{00000000-0005-0000-0000-0000A0000000}"/>
    <cellStyle name="60% - Énfasis1 8 2" xfId="718" xr:uid="{00000000-0005-0000-0000-0000CE020000}"/>
    <cellStyle name="60% - Énfasis1 9" xfId="161" xr:uid="{00000000-0005-0000-0000-0000A1000000}"/>
    <cellStyle name="60% - Énfasis2 10" xfId="162" xr:uid="{00000000-0005-0000-0000-0000A2000000}"/>
    <cellStyle name="60% - Énfasis2 11" xfId="163" xr:uid="{00000000-0005-0000-0000-0000A3000000}"/>
    <cellStyle name="60% - Énfasis2 12" xfId="164" xr:uid="{00000000-0005-0000-0000-0000A4000000}"/>
    <cellStyle name="60% - Énfasis2 2" xfId="165" xr:uid="{00000000-0005-0000-0000-0000A5000000}"/>
    <cellStyle name="60% - Énfasis2 2 2" xfId="719" xr:uid="{00000000-0005-0000-0000-0000CF020000}"/>
    <cellStyle name="60% - Énfasis2 3" xfId="166" xr:uid="{00000000-0005-0000-0000-0000A6000000}"/>
    <cellStyle name="60% - Énfasis2 4" xfId="167" xr:uid="{00000000-0005-0000-0000-0000A7000000}"/>
    <cellStyle name="60% - Énfasis2 5" xfId="168" xr:uid="{00000000-0005-0000-0000-0000A8000000}"/>
    <cellStyle name="60% - Énfasis2 5 2" xfId="720" xr:uid="{00000000-0005-0000-0000-0000D0020000}"/>
    <cellStyle name="60% - Énfasis2 6" xfId="169" xr:uid="{00000000-0005-0000-0000-0000A9000000}"/>
    <cellStyle name="60% - Énfasis2 6 2" xfId="721" xr:uid="{00000000-0005-0000-0000-0000D1020000}"/>
    <cellStyle name="60% - Énfasis2 7" xfId="170" xr:uid="{00000000-0005-0000-0000-0000AA000000}"/>
    <cellStyle name="60% - Énfasis2 7 2" xfId="722" xr:uid="{00000000-0005-0000-0000-0000D2020000}"/>
    <cellStyle name="60% - Énfasis2 8" xfId="171" xr:uid="{00000000-0005-0000-0000-0000AB000000}"/>
    <cellStyle name="60% - Énfasis2 8 2" xfId="723" xr:uid="{00000000-0005-0000-0000-0000D3020000}"/>
    <cellStyle name="60% - Énfasis2 9" xfId="172" xr:uid="{00000000-0005-0000-0000-0000AC000000}"/>
    <cellStyle name="60% - Énfasis3 10" xfId="173" xr:uid="{00000000-0005-0000-0000-0000AD000000}"/>
    <cellStyle name="60% - Énfasis3 11" xfId="174" xr:uid="{00000000-0005-0000-0000-0000AE000000}"/>
    <cellStyle name="60% - Énfasis3 12" xfId="175" xr:uid="{00000000-0005-0000-0000-0000AF000000}"/>
    <cellStyle name="60% - Énfasis3 2" xfId="176" xr:uid="{00000000-0005-0000-0000-0000B0000000}"/>
    <cellStyle name="60% - Énfasis3 2 2" xfId="724" xr:uid="{00000000-0005-0000-0000-0000D4020000}"/>
    <cellStyle name="60% - Énfasis3 3" xfId="177" xr:uid="{00000000-0005-0000-0000-0000B1000000}"/>
    <cellStyle name="60% - Énfasis3 4" xfId="178" xr:uid="{00000000-0005-0000-0000-0000B2000000}"/>
    <cellStyle name="60% - Énfasis3 5" xfId="179" xr:uid="{00000000-0005-0000-0000-0000B3000000}"/>
    <cellStyle name="60% - Énfasis3 5 2" xfId="725" xr:uid="{00000000-0005-0000-0000-0000D5020000}"/>
    <cellStyle name="60% - Énfasis3 6" xfId="180" xr:uid="{00000000-0005-0000-0000-0000B4000000}"/>
    <cellStyle name="60% - Énfasis3 6 2" xfId="726" xr:uid="{00000000-0005-0000-0000-0000D6020000}"/>
    <cellStyle name="60% - Énfasis3 7" xfId="181" xr:uid="{00000000-0005-0000-0000-0000B5000000}"/>
    <cellStyle name="60% - Énfasis3 7 2" xfId="727" xr:uid="{00000000-0005-0000-0000-0000D7020000}"/>
    <cellStyle name="60% - Énfasis3 8" xfId="182" xr:uid="{00000000-0005-0000-0000-0000B6000000}"/>
    <cellStyle name="60% - Énfasis3 8 2" xfId="728" xr:uid="{00000000-0005-0000-0000-0000D8020000}"/>
    <cellStyle name="60% - Énfasis3 9" xfId="183" xr:uid="{00000000-0005-0000-0000-0000B7000000}"/>
    <cellStyle name="60% - Énfasis4 10" xfId="184" xr:uid="{00000000-0005-0000-0000-0000B8000000}"/>
    <cellStyle name="60% - Énfasis4 11" xfId="185" xr:uid="{00000000-0005-0000-0000-0000B9000000}"/>
    <cellStyle name="60% - Énfasis4 12" xfId="186" xr:uid="{00000000-0005-0000-0000-0000BA000000}"/>
    <cellStyle name="60% - Énfasis4 2" xfId="187" xr:uid="{00000000-0005-0000-0000-0000BB000000}"/>
    <cellStyle name="60% - Énfasis4 2 2" xfId="729" xr:uid="{00000000-0005-0000-0000-0000D9020000}"/>
    <cellStyle name="60% - Énfasis4 3" xfId="188" xr:uid="{00000000-0005-0000-0000-0000BC000000}"/>
    <cellStyle name="60% - Énfasis4 4" xfId="189" xr:uid="{00000000-0005-0000-0000-0000BD000000}"/>
    <cellStyle name="60% - Énfasis4 5" xfId="190" xr:uid="{00000000-0005-0000-0000-0000BE000000}"/>
    <cellStyle name="60% - Énfasis4 5 2" xfId="730" xr:uid="{00000000-0005-0000-0000-0000DA020000}"/>
    <cellStyle name="60% - Énfasis4 6" xfId="191" xr:uid="{00000000-0005-0000-0000-0000BF000000}"/>
    <cellStyle name="60% - Énfasis4 6 2" xfId="731" xr:uid="{00000000-0005-0000-0000-0000DB020000}"/>
    <cellStyle name="60% - Énfasis4 7" xfId="192" xr:uid="{00000000-0005-0000-0000-0000C0000000}"/>
    <cellStyle name="60% - Énfasis4 7 2" xfId="732" xr:uid="{00000000-0005-0000-0000-0000DC020000}"/>
    <cellStyle name="60% - Énfasis4 8" xfId="193" xr:uid="{00000000-0005-0000-0000-0000C1000000}"/>
    <cellStyle name="60% - Énfasis4 8 2" xfId="733" xr:uid="{00000000-0005-0000-0000-0000DD020000}"/>
    <cellStyle name="60% - Énfasis4 9" xfId="194" xr:uid="{00000000-0005-0000-0000-0000C2000000}"/>
    <cellStyle name="60% - Énfasis5 10" xfId="195" xr:uid="{00000000-0005-0000-0000-0000C3000000}"/>
    <cellStyle name="60% - Énfasis5 11" xfId="196" xr:uid="{00000000-0005-0000-0000-0000C4000000}"/>
    <cellStyle name="60% - Énfasis5 12" xfId="197" xr:uid="{00000000-0005-0000-0000-0000C5000000}"/>
    <cellStyle name="60% - Énfasis5 2" xfId="198" xr:uid="{00000000-0005-0000-0000-0000C6000000}"/>
    <cellStyle name="60% - Énfasis5 2 2" xfId="734" xr:uid="{00000000-0005-0000-0000-0000DE020000}"/>
    <cellStyle name="60% - Énfasis5 3" xfId="199" xr:uid="{00000000-0005-0000-0000-0000C7000000}"/>
    <cellStyle name="60% - Énfasis5 4" xfId="200" xr:uid="{00000000-0005-0000-0000-0000C8000000}"/>
    <cellStyle name="60% - Énfasis5 5" xfId="201" xr:uid="{00000000-0005-0000-0000-0000C9000000}"/>
    <cellStyle name="60% - Énfasis5 5 2" xfId="735" xr:uid="{00000000-0005-0000-0000-0000DF020000}"/>
    <cellStyle name="60% - Énfasis5 6" xfId="202" xr:uid="{00000000-0005-0000-0000-0000CA000000}"/>
    <cellStyle name="60% - Énfasis5 6 2" xfId="736" xr:uid="{00000000-0005-0000-0000-0000E0020000}"/>
    <cellStyle name="60% - Énfasis5 7" xfId="203" xr:uid="{00000000-0005-0000-0000-0000CB000000}"/>
    <cellStyle name="60% - Énfasis5 7 2" xfId="737" xr:uid="{00000000-0005-0000-0000-0000E1020000}"/>
    <cellStyle name="60% - Énfasis5 8" xfId="204" xr:uid="{00000000-0005-0000-0000-0000CC000000}"/>
    <cellStyle name="60% - Énfasis5 8 2" xfId="738" xr:uid="{00000000-0005-0000-0000-0000E2020000}"/>
    <cellStyle name="60% - Énfasis5 9" xfId="205" xr:uid="{00000000-0005-0000-0000-0000CD000000}"/>
    <cellStyle name="60% - Énfasis6 10" xfId="206" xr:uid="{00000000-0005-0000-0000-0000CE000000}"/>
    <cellStyle name="60% - Énfasis6 11" xfId="207" xr:uid="{00000000-0005-0000-0000-0000CF000000}"/>
    <cellStyle name="60% - Énfasis6 12" xfId="208" xr:uid="{00000000-0005-0000-0000-0000D0000000}"/>
    <cellStyle name="60% - Énfasis6 2" xfId="209" xr:uid="{00000000-0005-0000-0000-0000D1000000}"/>
    <cellStyle name="60% - Énfasis6 2 2" xfId="739" xr:uid="{00000000-0005-0000-0000-0000E3020000}"/>
    <cellStyle name="60% - Énfasis6 3" xfId="210" xr:uid="{00000000-0005-0000-0000-0000D2000000}"/>
    <cellStyle name="60% - Énfasis6 4" xfId="211" xr:uid="{00000000-0005-0000-0000-0000D3000000}"/>
    <cellStyle name="60% - Énfasis6 5" xfId="212" xr:uid="{00000000-0005-0000-0000-0000D4000000}"/>
    <cellStyle name="60% - Énfasis6 5 2" xfId="740" xr:uid="{00000000-0005-0000-0000-0000E4020000}"/>
    <cellStyle name="60% - Énfasis6 6" xfId="213" xr:uid="{00000000-0005-0000-0000-0000D5000000}"/>
    <cellStyle name="60% - Énfasis6 6 2" xfId="741" xr:uid="{00000000-0005-0000-0000-0000E5020000}"/>
    <cellStyle name="60% - Énfasis6 7" xfId="214" xr:uid="{00000000-0005-0000-0000-0000D6000000}"/>
    <cellStyle name="60% - Énfasis6 7 2" xfId="742" xr:uid="{00000000-0005-0000-0000-0000E6020000}"/>
    <cellStyle name="60% - Énfasis6 8" xfId="215" xr:uid="{00000000-0005-0000-0000-0000D7000000}"/>
    <cellStyle name="60% - Énfasis6 8 2" xfId="743" xr:uid="{00000000-0005-0000-0000-0000E7020000}"/>
    <cellStyle name="60% - Énfasis6 9" xfId="216" xr:uid="{00000000-0005-0000-0000-0000D8000000}"/>
    <cellStyle name="60% - 强调文字颜色 1" xfId="744" xr:uid="{00000000-0005-0000-0000-0000E8020000}"/>
    <cellStyle name="60% - 强调文字颜色 2" xfId="745" xr:uid="{00000000-0005-0000-0000-0000E9020000}"/>
    <cellStyle name="60% - 强调文字颜色 3" xfId="746" xr:uid="{00000000-0005-0000-0000-0000EA020000}"/>
    <cellStyle name="60% - 强调文字颜色 4" xfId="747" xr:uid="{00000000-0005-0000-0000-0000EB020000}"/>
    <cellStyle name="60% - 强调文字颜色 5" xfId="748" xr:uid="{00000000-0005-0000-0000-0000EC020000}"/>
    <cellStyle name="60% - 强调文字颜色 6" xfId="749" xr:uid="{00000000-0005-0000-0000-0000ED020000}"/>
    <cellStyle name="Accent1" xfId="217" xr:uid="{00000000-0005-0000-0000-0000D9000000}"/>
    <cellStyle name="Accent1 2" xfId="751" xr:uid="{00000000-0005-0000-0000-0000EF020000}"/>
    <cellStyle name="Accent1 3" xfId="752" xr:uid="{00000000-0005-0000-0000-0000F0020000}"/>
    <cellStyle name="Accent1 4" xfId="753" xr:uid="{00000000-0005-0000-0000-0000F1020000}"/>
    <cellStyle name="Accent1 5" xfId="754" xr:uid="{00000000-0005-0000-0000-0000F2020000}"/>
    <cellStyle name="Accent1 6" xfId="750" xr:uid="{00000000-0005-0000-0000-0000EE020000}"/>
    <cellStyle name="Accent2" xfId="218" xr:uid="{00000000-0005-0000-0000-0000DA000000}"/>
    <cellStyle name="Accent2 2" xfId="756" xr:uid="{00000000-0005-0000-0000-0000F4020000}"/>
    <cellStyle name="Accent2 3" xfId="757" xr:uid="{00000000-0005-0000-0000-0000F5020000}"/>
    <cellStyle name="Accent2 4" xfId="758" xr:uid="{00000000-0005-0000-0000-0000F6020000}"/>
    <cellStyle name="Accent2 5" xfId="759" xr:uid="{00000000-0005-0000-0000-0000F7020000}"/>
    <cellStyle name="Accent2 6" xfId="755" xr:uid="{00000000-0005-0000-0000-0000F3020000}"/>
    <cellStyle name="Accent3" xfId="219" xr:uid="{00000000-0005-0000-0000-0000DB000000}"/>
    <cellStyle name="Accent3 2" xfId="761" xr:uid="{00000000-0005-0000-0000-0000F9020000}"/>
    <cellStyle name="Accent3 3" xfId="762" xr:uid="{00000000-0005-0000-0000-0000FA020000}"/>
    <cellStyle name="Accent3 4" xfId="763" xr:uid="{00000000-0005-0000-0000-0000FB020000}"/>
    <cellStyle name="Accent3 5" xfId="764" xr:uid="{00000000-0005-0000-0000-0000FC020000}"/>
    <cellStyle name="Accent3 6" xfId="760" xr:uid="{00000000-0005-0000-0000-0000F8020000}"/>
    <cellStyle name="Accent4" xfId="220" xr:uid="{00000000-0005-0000-0000-0000DC000000}"/>
    <cellStyle name="Accent4 2" xfId="766" xr:uid="{00000000-0005-0000-0000-0000FE020000}"/>
    <cellStyle name="Accent4 3" xfId="767" xr:uid="{00000000-0005-0000-0000-0000FF020000}"/>
    <cellStyle name="Accent4 4" xfId="768" xr:uid="{00000000-0005-0000-0000-000000030000}"/>
    <cellStyle name="Accent4 5" xfId="769" xr:uid="{00000000-0005-0000-0000-000001030000}"/>
    <cellStyle name="Accent4 6" xfId="765" xr:uid="{00000000-0005-0000-0000-0000FD020000}"/>
    <cellStyle name="Accent5" xfId="221" xr:uid="{00000000-0005-0000-0000-0000DD000000}"/>
    <cellStyle name="Accent5 2" xfId="771" xr:uid="{00000000-0005-0000-0000-000003030000}"/>
    <cellStyle name="Accent5 3" xfId="772" xr:uid="{00000000-0005-0000-0000-000004030000}"/>
    <cellStyle name="Accent5 4" xfId="773" xr:uid="{00000000-0005-0000-0000-000005030000}"/>
    <cellStyle name="Accent5 5" xfId="774" xr:uid="{00000000-0005-0000-0000-000006030000}"/>
    <cellStyle name="Accent5 6" xfId="770" xr:uid="{00000000-0005-0000-0000-000002030000}"/>
    <cellStyle name="Accent6" xfId="222" xr:uid="{00000000-0005-0000-0000-0000DE000000}"/>
    <cellStyle name="Accent6 2" xfId="776" xr:uid="{00000000-0005-0000-0000-000008030000}"/>
    <cellStyle name="Accent6 3" xfId="777" xr:uid="{00000000-0005-0000-0000-000009030000}"/>
    <cellStyle name="Accent6 4" xfId="778" xr:uid="{00000000-0005-0000-0000-00000A030000}"/>
    <cellStyle name="Accent6 5" xfId="779" xr:uid="{00000000-0005-0000-0000-00000B030000}"/>
    <cellStyle name="Accent6 6" xfId="775" xr:uid="{00000000-0005-0000-0000-000007030000}"/>
    <cellStyle name="Bad" xfId="223" xr:uid="{00000000-0005-0000-0000-0000DF000000}"/>
    <cellStyle name="Bad 2" xfId="781" xr:uid="{00000000-0005-0000-0000-00000D030000}"/>
    <cellStyle name="Bad 3" xfId="782" xr:uid="{00000000-0005-0000-0000-00000E030000}"/>
    <cellStyle name="Bad 4" xfId="783" xr:uid="{00000000-0005-0000-0000-00000F030000}"/>
    <cellStyle name="Bad 5" xfId="784" xr:uid="{00000000-0005-0000-0000-000010030000}"/>
    <cellStyle name="Bad 6" xfId="780" xr:uid="{00000000-0005-0000-0000-00000C030000}"/>
    <cellStyle name="Buena 10" xfId="224" xr:uid="{00000000-0005-0000-0000-0000E0000000}"/>
    <cellStyle name="Buena 11" xfId="225" xr:uid="{00000000-0005-0000-0000-0000E1000000}"/>
    <cellStyle name="Buena 12" xfId="226" xr:uid="{00000000-0005-0000-0000-0000E2000000}"/>
    <cellStyle name="Buena 2" xfId="227" xr:uid="{00000000-0005-0000-0000-0000E3000000}"/>
    <cellStyle name="Buena 2 2" xfId="785" xr:uid="{00000000-0005-0000-0000-000011030000}"/>
    <cellStyle name="Buena 2 2 2" xfId="786" xr:uid="{00000000-0005-0000-0000-000012030000}"/>
    <cellStyle name="Buena 2 2 2 2" xfId="787" xr:uid="{00000000-0005-0000-0000-000013030000}"/>
    <cellStyle name="Buena 2 2 2 2 2" xfId="788" xr:uid="{00000000-0005-0000-0000-000014030000}"/>
    <cellStyle name="Buena 2 2 3" xfId="789" xr:uid="{00000000-0005-0000-0000-000015030000}"/>
    <cellStyle name="Buena 2 2 4" xfId="790" xr:uid="{00000000-0005-0000-0000-000016030000}"/>
    <cellStyle name="Buena 2 3" xfId="791" xr:uid="{00000000-0005-0000-0000-000017030000}"/>
    <cellStyle name="Buena 2 4" xfId="792" xr:uid="{00000000-0005-0000-0000-000018030000}"/>
    <cellStyle name="Buena 3" xfId="228" xr:uid="{00000000-0005-0000-0000-0000E4000000}"/>
    <cellStyle name="Buena 4" xfId="229" xr:uid="{00000000-0005-0000-0000-0000E5000000}"/>
    <cellStyle name="Buena 5" xfId="230" xr:uid="{00000000-0005-0000-0000-0000E6000000}"/>
    <cellStyle name="Buena 5 2" xfId="793" xr:uid="{00000000-0005-0000-0000-000019030000}"/>
    <cellStyle name="Buena 6" xfId="231" xr:uid="{00000000-0005-0000-0000-0000E7000000}"/>
    <cellStyle name="Buena 6 2" xfId="794" xr:uid="{00000000-0005-0000-0000-00001A030000}"/>
    <cellStyle name="Buena 7" xfId="232" xr:uid="{00000000-0005-0000-0000-0000E8000000}"/>
    <cellStyle name="Buena 7 2" xfId="795" xr:uid="{00000000-0005-0000-0000-00001B030000}"/>
    <cellStyle name="Buena 8" xfId="233" xr:uid="{00000000-0005-0000-0000-0000E9000000}"/>
    <cellStyle name="Buena 8 2" xfId="796" xr:uid="{00000000-0005-0000-0000-00001C030000}"/>
    <cellStyle name="Buena 9" xfId="234" xr:uid="{00000000-0005-0000-0000-0000EA000000}"/>
    <cellStyle name="Buena 9 2" xfId="797" xr:uid="{00000000-0005-0000-0000-00001D030000}"/>
    <cellStyle name="Calculation" xfId="235" xr:uid="{00000000-0005-0000-0000-0000EB000000}"/>
    <cellStyle name="Calculation 2" xfId="799" xr:uid="{00000000-0005-0000-0000-00001F030000}"/>
    <cellStyle name="Calculation 3" xfId="800" xr:uid="{00000000-0005-0000-0000-000020030000}"/>
    <cellStyle name="Calculation 4" xfId="801" xr:uid="{00000000-0005-0000-0000-000021030000}"/>
    <cellStyle name="Calculation 5" xfId="802" xr:uid="{00000000-0005-0000-0000-000022030000}"/>
    <cellStyle name="Calculation 6" xfId="798" xr:uid="{00000000-0005-0000-0000-00001E030000}"/>
    <cellStyle name="Cálculo 10" xfId="236" xr:uid="{00000000-0005-0000-0000-0000EC000000}"/>
    <cellStyle name="Cálculo 11" xfId="237" xr:uid="{00000000-0005-0000-0000-0000ED000000}"/>
    <cellStyle name="Cálculo 12" xfId="238" xr:uid="{00000000-0005-0000-0000-0000EE000000}"/>
    <cellStyle name="Cálculo 2" xfId="239" xr:uid="{00000000-0005-0000-0000-0000EF000000}"/>
    <cellStyle name="Cálculo 2 2" xfId="803" xr:uid="{00000000-0005-0000-0000-000023030000}"/>
    <cellStyle name="Cálculo 3" xfId="240" xr:uid="{00000000-0005-0000-0000-0000F0000000}"/>
    <cellStyle name="Cálculo 4" xfId="241" xr:uid="{00000000-0005-0000-0000-0000F1000000}"/>
    <cellStyle name="Cálculo 5" xfId="242" xr:uid="{00000000-0005-0000-0000-0000F2000000}"/>
    <cellStyle name="Cálculo 5 2" xfId="804" xr:uid="{00000000-0005-0000-0000-000024030000}"/>
    <cellStyle name="Cálculo 6" xfId="243" xr:uid="{00000000-0005-0000-0000-0000F3000000}"/>
    <cellStyle name="Cálculo 6 2" xfId="805" xr:uid="{00000000-0005-0000-0000-000025030000}"/>
    <cellStyle name="Cálculo 7" xfId="244" xr:uid="{00000000-0005-0000-0000-0000F4000000}"/>
    <cellStyle name="Cálculo 7 2" xfId="806" xr:uid="{00000000-0005-0000-0000-000026030000}"/>
    <cellStyle name="Cálculo 8" xfId="245" xr:uid="{00000000-0005-0000-0000-0000F5000000}"/>
    <cellStyle name="Cálculo 8 2" xfId="807" xr:uid="{00000000-0005-0000-0000-000027030000}"/>
    <cellStyle name="Cálculo 9" xfId="246" xr:uid="{00000000-0005-0000-0000-0000F6000000}"/>
    <cellStyle name="Celda de comprobación 10" xfId="247" xr:uid="{00000000-0005-0000-0000-0000F7000000}"/>
    <cellStyle name="Celda de comprobación 11" xfId="248" xr:uid="{00000000-0005-0000-0000-0000F8000000}"/>
    <cellStyle name="Celda de comprobación 12" xfId="249" xr:uid="{00000000-0005-0000-0000-0000F9000000}"/>
    <cellStyle name="Celda de comprobación 2" xfId="250" xr:uid="{00000000-0005-0000-0000-0000FA000000}"/>
    <cellStyle name="Celda de comprobación 2 2" xfId="808" xr:uid="{00000000-0005-0000-0000-000028030000}"/>
    <cellStyle name="Celda de comprobación 2 2 2" xfId="809" xr:uid="{00000000-0005-0000-0000-000029030000}"/>
    <cellStyle name="Celda de comprobación 2 2 2 2" xfId="810" xr:uid="{00000000-0005-0000-0000-00002A030000}"/>
    <cellStyle name="Celda de comprobación 2 2 2 2 2" xfId="811" xr:uid="{00000000-0005-0000-0000-00002B030000}"/>
    <cellStyle name="Celda de comprobación 2 2 3" xfId="812" xr:uid="{00000000-0005-0000-0000-00002C030000}"/>
    <cellStyle name="Celda de comprobación 2 2 4" xfId="813" xr:uid="{00000000-0005-0000-0000-00002D030000}"/>
    <cellStyle name="Celda de comprobación 2 3" xfId="814" xr:uid="{00000000-0005-0000-0000-00002E030000}"/>
    <cellStyle name="Celda de comprobación 2 4" xfId="815" xr:uid="{00000000-0005-0000-0000-00002F030000}"/>
    <cellStyle name="Celda de comprobación 3" xfId="251" xr:uid="{00000000-0005-0000-0000-0000FB000000}"/>
    <cellStyle name="Celda de comprobación 4" xfId="252" xr:uid="{00000000-0005-0000-0000-0000FC000000}"/>
    <cellStyle name="Celda de comprobación 5" xfId="253" xr:uid="{00000000-0005-0000-0000-0000FD000000}"/>
    <cellStyle name="Celda de comprobación 5 2" xfId="816" xr:uid="{00000000-0005-0000-0000-000030030000}"/>
    <cellStyle name="Celda de comprobación 6" xfId="254" xr:uid="{00000000-0005-0000-0000-0000FE000000}"/>
    <cellStyle name="Celda de comprobación 6 2" xfId="817" xr:uid="{00000000-0005-0000-0000-000031030000}"/>
    <cellStyle name="Celda de comprobación 7" xfId="255" xr:uid="{00000000-0005-0000-0000-0000FF000000}"/>
    <cellStyle name="Celda de comprobación 7 2" xfId="818" xr:uid="{00000000-0005-0000-0000-000032030000}"/>
    <cellStyle name="Celda de comprobación 8" xfId="256" xr:uid="{00000000-0005-0000-0000-000000010000}"/>
    <cellStyle name="Celda de comprobación 8 2" xfId="819" xr:uid="{00000000-0005-0000-0000-000033030000}"/>
    <cellStyle name="Celda de comprobación 9" xfId="257" xr:uid="{00000000-0005-0000-0000-000001010000}"/>
    <cellStyle name="Celda de comprobación 9 2" xfId="820" xr:uid="{00000000-0005-0000-0000-000034030000}"/>
    <cellStyle name="Celda vinculada 10" xfId="258" xr:uid="{00000000-0005-0000-0000-000002010000}"/>
    <cellStyle name="Celda vinculada 11" xfId="259" xr:uid="{00000000-0005-0000-0000-000003010000}"/>
    <cellStyle name="Celda vinculada 12" xfId="260" xr:uid="{00000000-0005-0000-0000-000004010000}"/>
    <cellStyle name="Celda vinculada 2" xfId="261" xr:uid="{00000000-0005-0000-0000-000005010000}"/>
    <cellStyle name="Celda vinculada 2 2" xfId="821" xr:uid="{00000000-0005-0000-0000-000035030000}"/>
    <cellStyle name="Celda vinculada 2 2 2" xfId="822" xr:uid="{00000000-0005-0000-0000-000036030000}"/>
    <cellStyle name="Celda vinculada 2 2 2 2" xfId="823" xr:uid="{00000000-0005-0000-0000-000037030000}"/>
    <cellStyle name="Celda vinculada 2 2 2 2 2" xfId="824" xr:uid="{00000000-0005-0000-0000-000038030000}"/>
    <cellStyle name="Celda vinculada 2 2 3" xfId="825" xr:uid="{00000000-0005-0000-0000-000039030000}"/>
    <cellStyle name="Celda vinculada 2 2 4" xfId="826" xr:uid="{00000000-0005-0000-0000-00003A030000}"/>
    <cellStyle name="Celda vinculada 2 3" xfId="827" xr:uid="{00000000-0005-0000-0000-00003B030000}"/>
    <cellStyle name="Celda vinculada 2 4" xfId="828" xr:uid="{00000000-0005-0000-0000-00003C030000}"/>
    <cellStyle name="Celda vinculada 3" xfId="262" xr:uid="{00000000-0005-0000-0000-000006010000}"/>
    <cellStyle name="Celda vinculada 4" xfId="263" xr:uid="{00000000-0005-0000-0000-000007010000}"/>
    <cellStyle name="Celda vinculada 5" xfId="264" xr:uid="{00000000-0005-0000-0000-000008010000}"/>
    <cellStyle name="Celda vinculada 5 2" xfId="829" xr:uid="{00000000-0005-0000-0000-00003D030000}"/>
    <cellStyle name="Celda vinculada 6" xfId="265" xr:uid="{00000000-0005-0000-0000-000009010000}"/>
    <cellStyle name="Celda vinculada 6 2" xfId="830" xr:uid="{00000000-0005-0000-0000-00003E030000}"/>
    <cellStyle name="Celda vinculada 7" xfId="266" xr:uid="{00000000-0005-0000-0000-00000A010000}"/>
    <cellStyle name="Celda vinculada 7 2" xfId="831" xr:uid="{00000000-0005-0000-0000-00003F030000}"/>
    <cellStyle name="Celda vinculada 8" xfId="267" xr:uid="{00000000-0005-0000-0000-00000B010000}"/>
    <cellStyle name="Celda vinculada 8 2" xfId="832" xr:uid="{00000000-0005-0000-0000-000040030000}"/>
    <cellStyle name="Celda vinculada 9" xfId="268" xr:uid="{00000000-0005-0000-0000-00000C010000}"/>
    <cellStyle name="Celda vinculada 9 2" xfId="833" xr:uid="{00000000-0005-0000-0000-000041030000}"/>
    <cellStyle name="Check Cell" xfId="269" xr:uid="{00000000-0005-0000-0000-00000D010000}"/>
    <cellStyle name="Check Cell 2" xfId="835" xr:uid="{00000000-0005-0000-0000-000043030000}"/>
    <cellStyle name="Check Cell 3" xfId="836" xr:uid="{00000000-0005-0000-0000-000044030000}"/>
    <cellStyle name="Check Cell 4" xfId="837" xr:uid="{00000000-0005-0000-0000-000045030000}"/>
    <cellStyle name="Check Cell 5" xfId="838" xr:uid="{00000000-0005-0000-0000-000046030000}"/>
    <cellStyle name="Check Cell 6" xfId="834" xr:uid="{00000000-0005-0000-0000-000042030000}"/>
    <cellStyle name="Coma 2" xfId="839" xr:uid="{00000000-0005-0000-0000-000047030000}"/>
    <cellStyle name="Currency 2" xfId="270" xr:uid="{00000000-0005-0000-0000-00000E010000}"/>
    <cellStyle name="Currency 2 2" xfId="543" xr:uid="{00000000-0005-0000-0000-00001F020000}"/>
    <cellStyle name="Encabezado 4 10" xfId="271" xr:uid="{00000000-0005-0000-0000-00000F010000}"/>
    <cellStyle name="Encabezado 4 11" xfId="272" xr:uid="{00000000-0005-0000-0000-000010010000}"/>
    <cellStyle name="Encabezado 4 12" xfId="273" xr:uid="{00000000-0005-0000-0000-000011010000}"/>
    <cellStyle name="Encabezado 4 2" xfId="274" xr:uid="{00000000-0005-0000-0000-000012010000}"/>
    <cellStyle name="Encabezado 4 2 2" xfId="840" xr:uid="{00000000-0005-0000-0000-000048030000}"/>
    <cellStyle name="Encabezado 4 2 2 2" xfId="841" xr:uid="{00000000-0005-0000-0000-000049030000}"/>
    <cellStyle name="Encabezado 4 2 2 2 2" xfId="842" xr:uid="{00000000-0005-0000-0000-00004A030000}"/>
    <cellStyle name="Encabezado 4 2 2 2 2 2" xfId="843" xr:uid="{00000000-0005-0000-0000-00004B030000}"/>
    <cellStyle name="Encabezado 4 2 2 3" xfId="844" xr:uid="{00000000-0005-0000-0000-00004C030000}"/>
    <cellStyle name="Encabezado 4 2 2 4" xfId="845" xr:uid="{00000000-0005-0000-0000-00004D030000}"/>
    <cellStyle name="Encabezado 4 2 3" xfId="846" xr:uid="{00000000-0005-0000-0000-00004E030000}"/>
    <cellStyle name="Encabezado 4 2 4" xfId="847" xr:uid="{00000000-0005-0000-0000-00004F030000}"/>
    <cellStyle name="Encabezado 4 3" xfId="275" xr:uid="{00000000-0005-0000-0000-000013010000}"/>
    <cellStyle name="Encabezado 4 4" xfId="276" xr:uid="{00000000-0005-0000-0000-000014010000}"/>
    <cellStyle name="Encabezado 4 5" xfId="277" xr:uid="{00000000-0005-0000-0000-000015010000}"/>
    <cellStyle name="Encabezado 4 5 2" xfId="848" xr:uid="{00000000-0005-0000-0000-000050030000}"/>
    <cellStyle name="Encabezado 4 6" xfId="278" xr:uid="{00000000-0005-0000-0000-000016010000}"/>
    <cellStyle name="Encabezado 4 6 2" xfId="849" xr:uid="{00000000-0005-0000-0000-000051030000}"/>
    <cellStyle name="Encabezado 4 7" xfId="279" xr:uid="{00000000-0005-0000-0000-000017010000}"/>
    <cellStyle name="Encabezado 4 7 2" xfId="850" xr:uid="{00000000-0005-0000-0000-000052030000}"/>
    <cellStyle name="Encabezado 4 8" xfId="280" xr:uid="{00000000-0005-0000-0000-000018010000}"/>
    <cellStyle name="Encabezado 4 8 2" xfId="851" xr:uid="{00000000-0005-0000-0000-000053030000}"/>
    <cellStyle name="Encabezado 4 9" xfId="281" xr:uid="{00000000-0005-0000-0000-000019010000}"/>
    <cellStyle name="Encabezado 4 9 2" xfId="852" xr:uid="{00000000-0005-0000-0000-000054030000}"/>
    <cellStyle name="Énfasis1 10" xfId="282" xr:uid="{00000000-0005-0000-0000-00001A010000}"/>
    <cellStyle name="Énfasis1 11" xfId="283" xr:uid="{00000000-0005-0000-0000-00001B010000}"/>
    <cellStyle name="Énfasis1 12" xfId="284" xr:uid="{00000000-0005-0000-0000-00001C010000}"/>
    <cellStyle name="Énfasis1 2" xfId="285" xr:uid="{00000000-0005-0000-0000-00001D010000}"/>
    <cellStyle name="Énfasis1 2 2" xfId="853" xr:uid="{00000000-0005-0000-0000-000055030000}"/>
    <cellStyle name="Énfasis1 3" xfId="286" xr:uid="{00000000-0005-0000-0000-00001E010000}"/>
    <cellStyle name="Énfasis1 4" xfId="287" xr:uid="{00000000-0005-0000-0000-00001F010000}"/>
    <cellStyle name="Énfasis1 5" xfId="288" xr:uid="{00000000-0005-0000-0000-000020010000}"/>
    <cellStyle name="Énfasis1 5 2" xfId="854" xr:uid="{00000000-0005-0000-0000-000056030000}"/>
    <cellStyle name="Énfasis1 6" xfId="289" xr:uid="{00000000-0005-0000-0000-000021010000}"/>
    <cellStyle name="Énfasis1 6 2" xfId="855" xr:uid="{00000000-0005-0000-0000-000057030000}"/>
    <cellStyle name="Énfasis1 7" xfId="290" xr:uid="{00000000-0005-0000-0000-000022010000}"/>
    <cellStyle name="Énfasis1 7 2" xfId="856" xr:uid="{00000000-0005-0000-0000-000058030000}"/>
    <cellStyle name="Énfasis1 8" xfId="291" xr:uid="{00000000-0005-0000-0000-000023010000}"/>
    <cellStyle name="Énfasis1 8 2" xfId="857" xr:uid="{00000000-0005-0000-0000-000059030000}"/>
    <cellStyle name="Énfasis1 9" xfId="292" xr:uid="{00000000-0005-0000-0000-000024010000}"/>
    <cellStyle name="Énfasis2 10" xfId="293" xr:uid="{00000000-0005-0000-0000-000025010000}"/>
    <cellStyle name="Énfasis2 11" xfId="294" xr:uid="{00000000-0005-0000-0000-000026010000}"/>
    <cellStyle name="Énfasis2 12" xfId="295" xr:uid="{00000000-0005-0000-0000-000027010000}"/>
    <cellStyle name="Énfasis2 2" xfId="296" xr:uid="{00000000-0005-0000-0000-000028010000}"/>
    <cellStyle name="Énfasis2 2 2" xfId="858" xr:uid="{00000000-0005-0000-0000-00005A030000}"/>
    <cellStyle name="Énfasis2 3" xfId="297" xr:uid="{00000000-0005-0000-0000-000029010000}"/>
    <cellStyle name="Énfasis2 4" xfId="298" xr:uid="{00000000-0005-0000-0000-00002A010000}"/>
    <cellStyle name="Énfasis2 5" xfId="299" xr:uid="{00000000-0005-0000-0000-00002B010000}"/>
    <cellStyle name="Énfasis2 5 2" xfId="859" xr:uid="{00000000-0005-0000-0000-00005B030000}"/>
    <cellStyle name="Énfasis2 6" xfId="300" xr:uid="{00000000-0005-0000-0000-00002C010000}"/>
    <cellStyle name="Énfasis2 6 2" xfId="860" xr:uid="{00000000-0005-0000-0000-00005C030000}"/>
    <cellStyle name="Énfasis2 7" xfId="301" xr:uid="{00000000-0005-0000-0000-00002D010000}"/>
    <cellStyle name="Énfasis2 7 2" xfId="861" xr:uid="{00000000-0005-0000-0000-00005D030000}"/>
    <cellStyle name="Énfasis2 8" xfId="302" xr:uid="{00000000-0005-0000-0000-00002E010000}"/>
    <cellStyle name="Énfasis2 8 2" xfId="862" xr:uid="{00000000-0005-0000-0000-00005E030000}"/>
    <cellStyle name="Énfasis2 9" xfId="303" xr:uid="{00000000-0005-0000-0000-00002F010000}"/>
    <cellStyle name="Énfasis3 10" xfId="304" xr:uid="{00000000-0005-0000-0000-000030010000}"/>
    <cellStyle name="Énfasis3 11" xfId="305" xr:uid="{00000000-0005-0000-0000-000031010000}"/>
    <cellStyle name="Énfasis3 12" xfId="306" xr:uid="{00000000-0005-0000-0000-000032010000}"/>
    <cellStyle name="Énfasis3 2" xfId="307" xr:uid="{00000000-0005-0000-0000-000033010000}"/>
    <cellStyle name="Énfasis3 2 2" xfId="863" xr:uid="{00000000-0005-0000-0000-00005F030000}"/>
    <cellStyle name="Énfasis3 3" xfId="308" xr:uid="{00000000-0005-0000-0000-000034010000}"/>
    <cellStyle name="Énfasis3 4" xfId="309" xr:uid="{00000000-0005-0000-0000-000035010000}"/>
    <cellStyle name="Énfasis3 5" xfId="310" xr:uid="{00000000-0005-0000-0000-000036010000}"/>
    <cellStyle name="Énfasis3 5 2" xfId="864" xr:uid="{00000000-0005-0000-0000-000060030000}"/>
    <cellStyle name="Énfasis3 6" xfId="311" xr:uid="{00000000-0005-0000-0000-000037010000}"/>
    <cellStyle name="Énfasis3 6 2" xfId="865" xr:uid="{00000000-0005-0000-0000-000061030000}"/>
    <cellStyle name="Énfasis3 7" xfId="312" xr:uid="{00000000-0005-0000-0000-000038010000}"/>
    <cellStyle name="Énfasis3 7 2" xfId="866" xr:uid="{00000000-0005-0000-0000-000062030000}"/>
    <cellStyle name="Énfasis3 8" xfId="313" xr:uid="{00000000-0005-0000-0000-000039010000}"/>
    <cellStyle name="Énfasis3 8 2" xfId="867" xr:uid="{00000000-0005-0000-0000-000063030000}"/>
    <cellStyle name="Énfasis3 9" xfId="314" xr:uid="{00000000-0005-0000-0000-00003A010000}"/>
    <cellStyle name="Énfasis4 10" xfId="315" xr:uid="{00000000-0005-0000-0000-00003B010000}"/>
    <cellStyle name="Énfasis4 11" xfId="316" xr:uid="{00000000-0005-0000-0000-00003C010000}"/>
    <cellStyle name="Énfasis4 12" xfId="317" xr:uid="{00000000-0005-0000-0000-00003D010000}"/>
    <cellStyle name="Énfasis4 2" xfId="318" xr:uid="{00000000-0005-0000-0000-00003E010000}"/>
    <cellStyle name="Énfasis4 2 2" xfId="868" xr:uid="{00000000-0005-0000-0000-000064030000}"/>
    <cellStyle name="Énfasis4 3" xfId="319" xr:uid="{00000000-0005-0000-0000-00003F010000}"/>
    <cellStyle name="Énfasis4 4" xfId="320" xr:uid="{00000000-0005-0000-0000-000040010000}"/>
    <cellStyle name="Énfasis4 5" xfId="321" xr:uid="{00000000-0005-0000-0000-000041010000}"/>
    <cellStyle name="Énfasis4 5 2" xfId="869" xr:uid="{00000000-0005-0000-0000-000065030000}"/>
    <cellStyle name="Énfasis4 6" xfId="322" xr:uid="{00000000-0005-0000-0000-000042010000}"/>
    <cellStyle name="Énfasis4 6 2" xfId="870" xr:uid="{00000000-0005-0000-0000-000066030000}"/>
    <cellStyle name="Énfasis4 7" xfId="323" xr:uid="{00000000-0005-0000-0000-000043010000}"/>
    <cellStyle name="Énfasis4 7 2" xfId="871" xr:uid="{00000000-0005-0000-0000-000067030000}"/>
    <cellStyle name="Énfasis4 8" xfId="324" xr:uid="{00000000-0005-0000-0000-000044010000}"/>
    <cellStyle name="Énfasis4 8 2" xfId="872" xr:uid="{00000000-0005-0000-0000-000068030000}"/>
    <cellStyle name="Énfasis4 9" xfId="325" xr:uid="{00000000-0005-0000-0000-000045010000}"/>
    <cellStyle name="Énfasis5 10" xfId="326" xr:uid="{00000000-0005-0000-0000-000046010000}"/>
    <cellStyle name="Énfasis5 11" xfId="327" xr:uid="{00000000-0005-0000-0000-000047010000}"/>
    <cellStyle name="Énfasis5 12" xfId="328" xr:uid="{00000000-0005-0000-0000-000048010000}"/>
    <cellStyle name="Énfasis5 2" xfId="329" xr:uid="{00000000-0005-0000-0000-000049010000}"/>
    <cellStyle name="Énfasis5 2 2" xfId="873" xr:uid="{00000000-0005-0000-0000-000069030000}"/>
    <cellStyle name="Énfasis5 3" xfId="330" xr:uid="{00000000-0005-0000-0000-00004A010000}"/>
    <cellStyle name="Énfasis5 4" xfId="331" xr:uid="{00000000-0005-0000-0000-00004B010000}"/>
    <cellStyle name="Énfasis5 5" xfId="332" xr:uid="{00000000-0005-0000-0000-00004C010000}"/>
    <cellStyle name="Énfasis5 5 2" xfId="874" xr:uid="{00000000-0005-0000-0000-00006A030000}"/>
    <cellStyle name="Énfasis5 6" xfId="333" xr:uid="{00000000-0005-0000-0000-00004D010000}"/>
    <cellStyle name="Énfasis5 6 2" xfId="875" xr:uid="{00000000-0005-0000-0000-00006B030000}"/>
    <cellStyle name="Énfasis5 7" xfId="334" xr:uid="{00000000-0005-0000-0000-00004E010000}"/>
    <cellStyle name="Énfasis5 7 2" xfId="876" xr:uid="{00000000-0005-0000-0000-00006C030000}"/>
    <cellStyle name="Énfasis5 8" xfId="335" xr:uid="{00000000-0005-0000-0000-00004F010000}"/>
    <cellStyle name="Énfasis5 8 2" xfId="877" xr:uid="{00000000-0005-0000-0000-00006D030000}"/>
    <cellStyle name="Énfasis5 9" xfId="336" xr:uid="{00000000-0005-0000-0000-000050010000}"/>
    <cellStyle name="Énfasis6 10" xfId="337" xr:uid="{00000000-0005-0000-0000-000051010000}"/>
    <cellStyle name="Énfasis6 11" xfId="338" xr:uid="{00000000-0005-0000-0000-000052010000}"/>
    <cellStyle name="Énfasis6 12" xfId="339" xr:uid="{00000000-0005-0000-0000-000053010000}"/>
    <cellStyle name="Énfasis6 2" xfId="340" xr:uid="{00000000-0005-0000-0000-000054010000}"/>
    <cellStyle name="Énfasis6 2 2" xfId="878" xr:uid="{00000000-0005-0000-0000-00006E030000}"/>
    <cellStyle name="Énfasis6 3" xfId="341" xr:uid="{00000000-0005-0000-0000-000055010000}"/>
    <cellStyle name="Énfasis6 4" xfId="342" xr:uid="{00000000-0005-0000-0000-000056010000}"/>
    <cellStyle name="Énfasis6 5" xfId="343" xr:uid="{00000000-0005-0000-0000-000057010000}"/>
    <cellStyle name="Énfasis6 5 2" xfId="879" xr:uid="{00000000-0005-0000-0000-00006F030000}"/>
    <cellStyle name="Énfasis6 6" xfId="344" xr:uid="{00000000-0005-0000-0000-000058010000}"/>
    <cellStyle name="Énfasis6 6 2" xfId="880" xr:uid="{00000000-0005-0000-0000-000070030000}"/>
    <cellStyle name="Énfasis6 7" xfId="345" xr:uid="{00000000-0005-0000-0000-000059010000}"/>
    <cellStyle name="Énfasis6 7 2" xfId="881" xr:uid="{00000000-0005-0000-0000-000071030000}"/>
    <cellStyle name="Énfasis6 8" xfId="346" xr:uid="{00000000-0005-0000-0000-00005A010000}"/>
    <cellStyle name="Énfasis6 8 2" xfId="882" xr:uid="{00000000-0005-0000-0000-000072030000}"/>
    <cellStyle name="Énfasis6 9" xfId="347" xr:uid="{00000000-0005-0000-0000-00005B010000}"/>
    <cellStyle name="Entrada 10" xfId="348" xr:uid="{00000000-0005-0000-0000-00005C010000}"/>
    <cellStyle name="Entrada 11" xfId="349" xr:uid="{00000000-0005-0000-0000-00005D010000}"/>
    <cellStyle name="Entrada 12" xfId="350" xr:uid="{00000000-0005-0000-0000-00005E010000}"/>
    <cellStyle name="Entrada 2" xfId="351" xr:uid="{00000000-0005-0000-0000-00005F010000}"/>
    <cellStyle name="Entrada 2 2" xfId="883" xr:uid="{00000000-0005-0000-0000-000073030000}"/>
    <cellStyle name="Entrada 2 2 2" xfId="884" xr:uid="{00000000-0005-0000-0000-000074030000}"/>
    <cellStyle name="Entrada 2 2 2 2" xfId="885" xr:uid="{00000000-0005-0000-0000-000075030000}"/>
    <cellStyle name="Entrada 2 2 2 2 2" xfId="886" xr:uid="{00000000-0005-0000-0000-000076030000}"/>
    <cellStyle name="Entrada 2 2 3" xfId="887" xr:uid="{00000000-0005-0000-0000-000077030000}"/>
    <cellStyle name="Entrada 2 2 4" xfId="888" xr:uid="{00000000-0005-0000-0000-000078030000}"/>
    <cellStyle name="Entrada 2 3" xfId="889" xr:uid="{00000000-0005-0000-0000-000079030000}"/>
    <cellStyle name="Entrada 2 4" xfId="890" xr:uid="{00000000-0005-0000-0000-00007A030000}"/>
    <cellStyle name="Entrada 3" xfId="352" xr:uid="{00000000-0005-0000-0000-000060010000}"/>
    <cellStyle name="Entrada 4" xfId="353" xr:uid="{00000000-0005-0000-0000-000061010000}"/>
    <cellStyle name="Entrada 5" xfId="354" xr:uid="{00000000-0005-0000-0000-000062010000}"/>
    <cellStyle name="Entrada 5 2" xfId="891" xr:uid="{00000000-0005-0000-0000-00007B030000}"/>
    <cellStyle name="Entrada 6" xfId="355" xr:uid="{00000000-0005-0000-0000-000063010000}"/>
    <cellStyle name="Entrada 6 2" xfId="892" xr:uid="{00000000-0005-0000-0000-00007C030000}"/>
    <cellStyle name="Entrada 7" xfId="356" xr:uid="{00000000-0005-0000-0000-000064010000}"/>
    <cellStyle name="Entrada 7 2" xfId="893" xr:uid="{00000000-0005-0000-0000-00007D030000}"/>
    <cellStyle name="Entrada 8" xfId="357" xr:uid="{00000000-0005-0000-0000-000065010000}"/>
    <cellStyle name="Entrada 8 2" xfId="894" xr:uid="{00000000-0005-0000-0000-00007E030000}"/>
    <cellStyle name="Entrada 9" xfId="358" xr:uid="{00000000-0005-0000-0000-000066010000}"/>
    <cellStyle name="Entrada 9 2" xfId="895" xr:uid="{00000000-0005-0000-0000-00007F030000}"/>
    <cellStyle name="Estilo 1" xfId="896" xr:uid="{00000000-0005-0000-0000-000080030000}"/>
    <cellStyle name="Estilo 1 10" xfId="897" xr:uid="{00000000-0005-0000-0000-000081030000}"/>
    <cellStyle name="Estilo 1 10 2" xfId="898" xr:uid="{00000000-0005-0000-0000-000082030000}"/>
    <cellStyle name="Estilo 1 10 3" xfId="899" xr:uid="{00000000-0005-0000-0000-000083030000}"/>
    <cellStyle name="Estilo 1 10_Enlaces" xfId="900" xr:uid="{00000000-0005-0000-0000-000084030000}"/>
    <cellStyle name="Estilo 1 100" xfId="901" xr:uid="{00000000-0005-0000-0000-000085030000}"/>
    <cellStyle name="Estilo 1 100 2" xfId="902" xr:uid="{00000000-0005-0000-0000-000086030000}"/>
    <cellStyle name="Estilo 1 101" xfId="903" xr:uid="{00000000-0005-0000-0000-000087030000}"/>
    <cellStyle name="Estilo 1 101 2" xfId="904" xr:uid="{00000000-0005-0000-0000-000088030000}"/>
    <cellStyle name="Estilo 1 102" xfId="905" xr:uid="{00000000-0005-0000-0000-000089030000}"/>
    <cellStyle name="Estilo 1 102 2" xfId="906" xr:uid="{00000000-0005-0000-0000-00008A030000}"/>
    <cellStyle name="Estilo 1 103" xfId="907" xr:uid="{00000000-0005-0000-0000-00008B030000}"/>
    <cellStyle name="Estilo 1 103 2" xfId="908" xr:uid="{00000000-0005-0000-0000-00008C030000}"/>
    <cellStyle name="Estilo 1 104" xfId="909" xr:uid="{00000000-0005-0000-0000-00008D030000}"/>
    <cellStyle name="Estilo 1 104 2" xfId="910" xr:uid="{00000000-0005-0000-0000-00008E030000}"/>
    <cellStyle name="Estilo 1 105" xfId="911" xr:uid="{00000000-0005-0000-0000-00008F030000}"/>
    <cellStyle name="Estilo 1 105 2" xfId="912" xr:uid="{00000000-0005-0000-0000-000090030000}"/>
    <cellStyle name="Estilo 1 106" xfId="913" xr:uid="{00000000-0005-0000-0000-000091030000}"/>
    <cellStyle name="Estilo 1 106 2" xfId="914" xr:uid="{00000000-0005-0000-0000-000092030000}"/>
    <cellStyle name="Estilo 1 107" xfId="915" xr:uid="{00000000-0005-0000-0000-000093030000}"/>
    <cellStyle name="Estilo 1 107 2" xfId="916" xr:uid="{00000000-0005-0000-0000-000094030000}"/>
    <cellStyle name="Estilo 1 108" xfId="917" xr:uid="{00000000-0005-0000-0000-000095030000}"/>
    <cellStyle name="Estilo 1 108 2" xfId="918" xr:uid="{00000000-0005-0000-0000-000096030000}"/>
    <cellStyle name="Estilo 1 109" xfId="919" xr:uid="{00000000-0005-0000-0000-000097030000}"/>
    <cellStyle name="Estilo 1 109 2" xfId="920" xr:uid="{00000000-0005-0000-0000-000098030000}"/>
    <cellStyle name="Estilo 1 11" xfId="921" xr:uid="{00000000-0005-0000-0000-000099030000}"/>
    <cellStyle name="Estilo 1 11 2" xfId="922" xr:uid="{00000000-0005-0000-0000-00009A030000}"/>
    <cellStyle name="Estilo 1 11 3" xfId="923" xr:uid="{00000000-0005-0000-0000-00009B030000}"/>
    <cellStyle name="Estilo 1 11_Enlaces" xfId="924" xr:uid="{00000000-0005-0000-0000-00009C030000}"/>
    <cellStyle name="Estilo 1 110" xfId="925" xr:uid="{00000000-0005-0000-0000-00009D030000}"/>
    <cellStyle name="Estilo 1 110 2" xfId="926" xr:uid="{00000000-0005-0000-0000-00009E030000}"/>
    <cellStyle name="Estilo 1 111" xfId="927" xr:uid="{00000000-0005-0000-0000-00009F030000}"/>
    <cellStyle name="Estilo 1 111 2" xfId="928" xr:uid="{00000000-0005-0000-0000-0000A0030000}"/>
    <cellStyle name="Estilo 1 112" xfId="929" xr:uid="{00000000-0005-0000-0000-0000A1030000}"/>
    <cellStyle name="Estilo 1 112 2" xfId="930" xr:uid="{00000000-0005-0000-0000-0000A2030000}"/>
    <cellStyle name="Estilo 1 113" xfId="931" xr:uid="{00000000-0005-0000-0000-0000A3030000}"/>
    <cellStyle name="Estilo 1 113 2" xfId="932" xr:uid="{00000000-0005-0000-0000-0000A4030000}"/>
    <cellStyle name="Estilo 1 114" xfId="933" xr:uid="{00000000-0005-0000-0000-0000A5030000}"/>
    <cellStyle name="Estilo 1 114 2" xfId="934" xr:uid="{00000000-0005-0000-0000-0000A6030000}"/>
    <cellStyle name="Estilo 1 115" xfId="935" xr:uid="{00000000-0005-0000-0000-0000A7030000}"/>
    <cellStyle name="Estilo 1 115 2" xfId="936" xr:uid="{00000000-0005-0000-0000-0000A8030000}"/>
    <cellStyle name="Estilo 1 116" xfId="937" xr:uid="{00000000-0005-0000-0000-0000A9030000}"/>
    <cellStyle name="Estilo 1 116 2" xfId="938" xr:uid="{00000000-0005-0000-0000-0000AA030000}"/>
    <cellStyle name="Estilo 1 117" xfId="939" xr:uid="{00000000-0005-0000-0000-0000AB030000}"/>
    <cellStyle name="Estilo 1 117 2" xfId="940" xr:uid="{00000000-0005-0000-0000-0000AC030000}"/>
    <cellStyle name="Estilo 1 118" xfId="941" xr:uid="{00000000-0005-0000-0000-0000AD030000}"/>
    <cellStyle name="Estilo 1 118 2" xfId="942" xr:uid="{00000000-0005-0000-0000-0000AE030000}"/>
    <cellStyle name="Estilo 1 119" xfId="943" xr:uid="{00000000-0005-0000-0000-0000AF030000}"/>
    <cellStyle name="Estilo 1 119 2" xfId="944" xr:uid="{00000000-0005-0000-0000-0000B0030000}"/>
    <cellStyle name="Estilo 1 12" xfId="945" xr:uid="{00000000-0005-0000-0000-0000B1030000}"/>
    <cellStyle name="Estilo 1 12 2" xfId="946" xr:uid="{00000000-0005-0000-0000-0000B2030000}"/>
    <cellStyle name="Estilo 1 12 3" xfId="947" xr:uid="{00000000-0005-0000-0000-0000B3030000}"/>
    <cellStyle name="Estilo 1 12_Enlaces" xfId="948" xr:uid="{00000000-0005-0000-0000-0000B4030000}"/>
    <cellStyle name="Estilo 1 120" xfId="949" xr:uid="{00000000-0005-0000-0000-0000B5030000}"/>
    <cellStyle name="Estilo 1 120 2" xfId="950" xr:uid="{00000000-0005-0000-0000-0000B6030000}"/>
    <cellStyle name="Estilo 1 121" xfId="951" xr:uid="{00000000-0005-0000-0000-0000B7030000}"/>
    <cellStyle name="Estilo 1 121 2" xfId="952" xr:uid="{00000000-0005-0000-0000-0000B8030000}"/>
    <cellStyle name="Estilo 1 122" xfId="953" xr:uid="{00000000-0005-0000-0000-0000B9030000}"/>
    <cellStyle name="Estilo 1 122 2" xfId="954" xr:uid="{00000000-0005-0000-0000-0000BA030000}"/>
    <cellStyle name="Estilo 1 123" xfId="955" xr:uid="{00000000-0005-0000-0000-0000BB030000}"/>
    <cellStyle name="Estilo 1 123 2" xfId="956" xr:uid="{00000000-0005-0000-0000-0000BC030000}"/>
    <cellStyle name="Estilo 1 124" xfId="957" xr:uid="{00000000-0005-0000-0000-0000BD030000}"/>
    <cellStyle name="Estilo 1 124 2" xfId="958" xr:uid="{00000000-0005-0000-0000-0000BE030000}"/>
    <cellStyle name="Estilo 1 125" xfId="959" xr:uid="{00000000-0005-0000-0000-0000BF030000}"/>
    <cellStyle name="Estilo 1 125 2" xfId="960" xr:uid="{00000000-0005-0000-0000-0000C0030000}"/>
    <cellStyle name="Estilo 1 126" xfId="961" xr:uid="{00000000-0005-0000-0000-0000C1030000}"/>
    <cellStyle name="Estilo 1 126 2" xfId="962" xr:uid="{00000000-0005-0000-0000-0000C2030000}"/>
    <cellStyle name="Estilo 1 127" xfId="963" xr:uid="{00000000-0005-0000-0000-0000C3030000}"/>
    <cellStyle name="Estilo 1 127 2" xfId="964" xr:uid="{00000000-0005-0000-0000-0000C4030000}"/>
    <cellStyle name="Estilo 1 128" xfId="965" xr:uid="{00000000-0005-0000-0000-0000C5030000}"/>
    <cellStyle name="Estilo 1 128 2" xfId="966" xr:uid="{00000000-0005-0000-0000-0000C6030000}"/>
    <cellStyle name="Estilo 1 129" xfId="967" xr:uid="{00000000-0005-0000-0000-0000C7030000}"/>
    <cellStyle name="Estilo 1 129 2" xfId="968" xr:uid="{00000000-0005-0000-0000-0000C8030000}"/>
    <cellStyle name="Estilo 1 13" xfId="969" xr:uid="{00000000-0005-0000-0000-0000C9030000}"/>
    <cellStyle name="Estilo 1 13 2" xfId="970" xr:uid="{00000000-0005-0000-0000-0000CA030000}"/>
    <cellStyle name="Estilo 1 13 3" xfId="971" xr:uid="{00000000-0005-0000-0000-0000CB030000}"/>
    <cellStyle name="Estilo 1 13_Enlaces" xfId="972" xr:uid="{00000000-0005-0000-0000-0000CC030000}"/>
    <cellStyle name="Estilo 1 130" xfId="973" xr:uid="{00000000-0005-0000-0000-0000CD030000}"/>
    <cellStyle name="Estilo 1 130 2" xfId="974" xr:uid="{00000000-0005-0000-0000-0000CE030000}"/>
    <cellStyle name="Estilo 1 131" xfId="975" xr:uid="{00000000-0005-0000-0000-0000CF030000}"/>
    <cellStyle name="Estilo 1 131 2" xfId="976" xr:uid="{00000000-0005-0000-0000-0000D0030000}"/>
    <cellStyle name="Estilo 1 132" xfId="977" xr:uid="{00000000-0005-0000-0000-0000D1030000}"/>
    <cellStyle name="Estilo 1 132 2" xfId="978" xr:uid="{00000000-0005-0000-0000-0000D2030000}"/>
    <cellStyle name="Estilo 1 133" xfId="979" xr:uid="{00000000-0005-0000-0000-0000D3030000}"/>
    <cellStyle name="Estilo 1 133 2" xfId="980" xr:uid="{00000000-0005-0000-0000-0000D4030000}"/>
    <cellStyle name="Estilo 1 134" xfId="981" xr:uid="{00000000-0005-0000-0000-0000D5030000}"/>
    <cellStyle name="Estilo 1 134 2" xfId="982" xr:uid="{00000000-0005-0000-0000-0000D6030000}"/>
    <cellStyle name="Estilo 1 135" xfId="983" xr:uid="{00000000-0005-0000-0000-0000D7030000}"/>
    <cellStyle name="Estilo 1 135 2" xfId="984" xr:uid="{00000000-0005-0000-0000-0000D8030000}"/>
    <cellStyle name="Estilo 1 136" xfId="985" xr:uid="{00000000-0005-0000-0000-0000D9030000}"/>
    <cellStyle name="Estilo 1 136 2" xfId="986" xr:uid="{00000000-0005-0000-0000-0000DA030000}"/>
    <cellStyle name="Estilo 1 137" xfId="987" xr:uid="{00000000-0005-0000-0000-0000DB030000}"/>
    <cellStyle name="Estilo 1 137 2" xfId="988" xr:uid="{00000000-0005-0000-0000-0000DC030000}"/>
    <cellStyle name="Estilo 1 138" xfId="989" xr:uid="{00000000-0005-0000-0000-0000DD030000}"/>
    <cellStyle name="Estilo 1 138 2" xfId="990" xr:uid="{00000000-0005-0000-0000-0000DE030000}"/>
    <cellStyle name="Estilo 1 139" xfId="991" xr:uid="{00000000-0005-0000-0000-0000DF030000}"/>
    <cellStyle name="Estilo 1 139 2" xfId="992" xr:uid="{00000000-0005-0000-0000-0000E0030000}"/>
    <cellStyle name="Estilo 1 14" xfId="993" xr:uid="{00000000-0005-0000-0000-0000E1030000}"/>
    <cellStyle name="Estilo 1 14 2" xfId="994" xr:uid="{00000000-0005-0000-0000-0000E2030000}"/>
    <cellStyle name="Estilo 1 14 3" xfId="995" xr:uid="{00000000-0005-0000-0000-0000E3030000}"/>
    <cellStyle name="Estilo 1 14_Enlaces" xfId="996" xr:uid="{00000000-0005-0000-0000-0000E4030000}"/>
    <cellStyle name="Estilo 1 140" xfId="997" xr:uid="{00000000-0005-0000-0000-0000E5030000}"/>
    <cellStyle name="Estilo 1 140 2" xfId="998" xr:uid="{00000000-0005-0000-0000-0000E6030000}"/>
    <cellStyle name="Estilo 1 141" xfId="999" xr:uid="{00000000-0005-0000-0000-0000E7030000}"/>
    <cellStyle name="Estilo 1 141 2" xfId="1000" xr:uid="{00000000-0005-0000-0000-0000E8030000}"/>
    <cellStyle name="Estilo 1 142" xfId="1001" xr:uid="{00000000-0005-0000-0000-0000E9030000}"/>
    <cellStyle name="Estilo 1 142 2" xfId="1002" xr:uid="{00000000-0005-0000-0000-0000EA030000}"/>
    <cellStyle name="Estilo 1 143" xfId="1003" xr:uid="{00000000-0005-0000-0000-0000EB030000}"/>
    <cellStyle name="Estilo 1 143 2" xfId="1004" xr:uid="{00000000-0005-0000-0000-0000EC030000}"/>
    <cellStyle name="Estilo 1 144" xfId="1005" xr:uid="{00000000-0005-0000-0000-0000ED030000}"/>
    <cellStyle name="Estilo 1 144 2" xfId="1006" xr:uid="{00000000-0005-0000-0000-0000EE030000}"/>
    <cellStyle name="Estilo 1 145" xfId="1007" xr:uid="{00000000-0005-0000-0000-0000EF030000}"/>
    <cellStyle name="Estilo 1 145 2" xfId="1008" xr:uid="{00000000-0005-0000-0000-0000F0030000}"/>
    <cellStyle name="Estilo 1 146" xfId="1009" xr:uid="{00000000-0005-0000-0000-0000F1030000}"/>
    <cellStyle name="Estilo 1 146 2" xfId="1010" xr:uid="{00000000-0005-0000-0000-0000F2030000}"/>
    <cellStyle name="Estilo 1 147" xfId="1011" xr:uid="{00000000-0005-0000-0000-0000F3030000}"/>
    <cellStyle name="Estilo 1 147 2" xfId="1012" xr:uid="{00000000-0005-0000-0000-0000F4030000}"/>
    <cellStyle name="Estilo 1 148" xfId="1013" xr:uid="{00000000-0005-0000-0000-0000F5030000}"/>
    <cellStyle name="Estilo 1 148 2" xfId="1014" xr:uid="{00000000-0005-0000-0000-0000F6030000}"/>
    <cellStyle name="Estilo 1 149" xfId="1015" xr:uid="{00000000-0005-0000-0000-0000F7030000}"/>
    <cellStyle name="Estilo 1 149 2" xfId="1016" xr:uid="{00000000-0005-0000-0000-0000F8030000}"/>
    <cellStyle name="Estilo 1 15" xfId="1017" xr:uid="{00000000-0005-0000-0000-0000F9030000}"/>
    <cellStyle name="Estilo 1 15 2" xfId="1018" xr:uid="{00000000-0005-0000-0000-0000FA030000}"/>
    <cellStyle name="Estilo 1 15 3" xfId="1019" xr:uid="{00000000-0005-0000-0000-0000FB030000}"/>
    <cellStyle name="Estilo 1 15_Enlaces" xfId="1020" xr:uid="{00000000-0005-0000-0000-0000FC030000}"/>
    <cellStyle name="Estilo 1 150" xfId="1021" xr:uid="{00000000-0005-0000-0000-0000FD030000}"/>
    <cellStyle name="Estilo 1 150 2" xfId="1022" xr:uid="{00000000-0005-0000-0000-0000FE030000}"/>
    <cellStyle name="Estilo 1 151" xfId="1023" xr:uid="{00000000-0005-0000-0000-0000FF030000}"/>
    <cellStyle name="Estilo 1 151 2" xfId="1024" xr:uid="{00000000-0005-0000-0000-000000040000}"/>
    <cellStyle name="Estilo 1 152" xfId="1025" xr:uid="{00000000-0005-0000-0000-000001040000}"/>
    <cellStyle name="Estilo 1 152 2" xfId="1026" xr:uid="{00000000-0005-0000-0000-000002040000}"/>
    <cellStyle name="Estilo 1 153" xfId="1027" xr:uid="{00000000-0005-0000-0000-000003040000}"/>
    <cellStyle name="Estilo 1 153 2" xfId="1028" xr:uid="{00000000-0005-0000-0000-000004040000}"/>
    <cellStyle name="Estilo 1 154" xfId="1029" xr:uid="{00000000-0005-0000-0000-000005040000}"/>
    <cellStyle name="Estilo 1 154 2" xfId="1030" xr:uid="{00000000-0005-0000-0000-000006040000}"/>
    <cellStyle name="Estilo 1 155" xfId="1031" xr:uid="{00000000-0005-0000-0000-000007040000}"/>
    <cellStyle name="Estilo 1 155 2" xfId="1032" xr:uid="{00000000-0005-0000-0000-000008040000}"/>
    <cellStyle name="Estilo 1 156" xfId="1033" xr:uid="{00000000-0005-0000-0000-000009040000}"/>
    <cellStyle name="Estilo 1 156 2" xfId="1034" xr:uid="{00000000-0005-0000-0000-00000A040000}"/>
    <cellStyle name="Estilo 1 157" xfId="1035" xr:uid="{00000000-0005-0000-0000-00000B040000}"/>
    <cellStyle name="Estilo 1 157 2" xfId="1036" xr:uid="{00000000-0005-0000-0000-00000C040000}"/>
    <cellStyle name="Estilo 1 158" xfId="1037" xr:uid="{00000000-0005-0000-0000-00000D040000}"/>
    <cellStyle name="Estilo 1 158 2" xfId="1038" xr:uid="{00000000-0005-0000-0000-00000E040000}"/>
    <cellStyle name="Estilo 1 159" xfId="1039" xr:uid="{00000000-0005-0000-0000-00000F040000}"/>
    <cellStyle name="Estilo 1 159 2" xfId="1040" xr:uid="{00000000-0005-0000-0000-000010040000}"/>
    <cellStyle name="Estilo 1 16" xfId="1041" xr:uid="{00000000-0005-0000-0000-000011040000}"/>
    <cellStyle name="Estilo 1 16 2" xfId="1042" xr:uid="{00000000-0005-0000-0000-000012040000}"/>
    <cellStyle name="Estilo 1 16 3" xfId="1043" xr:uid="{00000000-0005-0000-0000-000013040000}"/>
    <cellStyle name="Estilo 1 16_Enlaces" xfId="1044" xr:uid="{00000000-0005-0000-0000-000014040000}"/>
    <cellStyle name="Estilo 1 160" xfId="1045" xr:uid="{00000000-0005-0000-0000-000015040000}"/>
    <cellStyle name="Estilo 1 160 2" xfId="1046" xr:uid="{00000000-0005-0000-0000-000016040000}"/>
    <cellStyle name="Estilo 1 161" xfId="1047" xr:uid="{00000000-0005-0000-0000-000017040000}"/>
    <cellStyle name="Estilo 1 161 2" xfId="1048" xr:uid="{00000000-0005-0000-0000-000018040000}"/>
    <cellStyle name="Estilo 1 162" xfId="1049" xr:uid="{00000000-0005-0000-0000-000019040000}"/>
    <cellStyle name="Estilo 1 162 2" xfId="1050" xr:uid="{00000000-0005-0000-0000-00001A040000}"/>
    <cellStyle name="Estilo 1 163" xfId="1051" xr:uid="{00000000-0005-0000-0000-00001B040000}"/>
    <cellStyle name="Estilo 1 163 2" xfId="1052" xr:uid="{00000000-0005-0000-0000-00001C040000}"/>
    <cellStyle name="Estilo 1 164" xfId="1053" xr:uid="{00000000-0005-0000-0000-00001D040000}"/>
    <cellStyle name="Estilo 1 164 2" xfId="1054" xr:uid="{00000000-0005-0000-0000-00001E040000}"/>
    <cellStyle name="Estilo 1 165" xfId="1055" xr:uid="{00000000-0005-0000-0000-00001F040000}"/>
    <cellStyle name="Estilo 1 165 2" xfId="1056" xr:uid="{00000000-0005-0000-0000-000020040000}"/>
    <cellStyle name="Estilo 1 166" xfId="1057" xr:uid="{00000000-0005-0000-0000-000021040000}"/>
    <cellStyle name="Estilo 1 166 2" xfId="1058" xr:uid="{00000000-0005-0000-0000-000022040000}"/>
    <cellStyle name="Estilo 1 167" xfId="1059" xr:uid="{00000000-0005-0000-0000-000023040000}"/>
    <cellStyle name="Estilo 1 167 2" xfId="1060" xr:uid="{00000000-0005-0000-0000-000024040000}"/>
    <cellStyle name="Estilo 1 168" xfId="1061" xr:uid="{00000000-0005-0000-0000-000025040000}"/>
    <cellStyle name="Estilo 1 168 2" xfId="1062" xr:uid="{00000000-0005-0000-0000-000026040000}"/>
    <cellStyle name="Estilo 1 169" xfId="1063" xr:uid="{00000000-0005-0000-0000-000027040000}"/>
    <cellStyle name="Estilo 1 169 2" xfId="1064" xr:uid="{00000000-0005-0000-0000-000028040000}"/>
    <cellStyle name="Estilo 1 17" xfId="1065" xr:uid="{00000000-0005-0000-0000-000029040000}"/>
    <cellStyle name="Estilo 1 17 2" xfId="1066" xr:uid="{00000000-0005-0000-0000-00002A040000}"/>
    <cellStyle name="Estilo 1 17 3" xfId="1067" xr:uid="{00000000-0005-0000-0000-00002B040000}"/>
    <cellStyle name="Estilo 1 17_Enlaces" xfId="1068" xr:uid="{00000000-0005-0000-0000-00002C040000}"/>
    <cellStyle name="Estilo 1 170" xfId="1069" xr:uid="{00000000-0005-0000-0000-00002D040000}"/>
    <cellStyle name="Estilo 1 170 2" xfId="1070" xr:uid="{00000000-0005-0000-0000-00002E040000}"/>
    <cellStyle name="Estilo 1 171" xfId="1071" xr:uid="{00000000-0005-0000-0000-00002F040000}"/>
    <cellStyle name="Estilo 1 171 2" xfId="1072" xr:uid="{00000000-0005-0000-0000-000030040000}"/>
    <cellStyle name="Estilo 1 172" xfId="1073" xr:uid="{00000000-0005-0000-0000-000031040000}"/>
    <cellStyle name="Estilo 1 172 2" xfId="1074" xr:uid="{00000000-0005-0000-0000-000032040000}"/>
    <cellStyle name="Estilo 1 173" xfId="1075" xr:uid="{00000000-0005-0000-0000-000033040000}"/>
    <cellStyle name="Estilo 1 173 2" xfId="1076" xr:uid="{00000000-0005-0000-0000-000034040000}"/>
    <cellStyle name="Estilo 1 174" xfId="1077" xr:uid="{00000000-0005-0000-0000-000035040000}"/>
    <cellStyle name="Estilo 1 174 2" xfId="1078" xr:uid="{00000000-0005-0000-0000-000036040000}"/>
    <cellStyle name="Estilo 1 175" xfId="1079" xr:uid="{00000000-0005-0000-0000-000037040000}"/>
    <cellStyle name="Estilo 1 175 2" xfId="1080" xr:uid="{00000000-0005-0000-0000-000038040000}"/>
    <cellStyle name="Estilo 1 176" xfId="1081" xr:uid="{00000000-0005-0000-0000-000039040000}"/>
    <cellStyle name="Estilo 1 176 2" xfId="1082" xr:uid="{00000000-0005-0000-0000-00003A040000}"/>
    <cellStyle name="Estilo 1 177" xfId="1083" xr:uid="{00000000-0005-0000-0000-00003B040000}"/>
    <cellStyle name="Estilo 1 177 2" xfId="1084" xr:uid="{00000000-0005-0000-0000-00003C040000}"/>
    <cellStyle name="Estilo 1 178" xfId="1085" xr:uid="{00000000-0005-0000-0000-00003D040000}"/>
    <cellStyle name="Estilo 1 178 2" xfId="1086" xr:uid="{00000000-0005-0000-0000-00003E040000}"/>
    <cellStyle name="Estilo 1 179" xfId="1087" xr:uid="{00000000-0005-0000-0000-00003F040000}"/>
    <cellStyle name="Estilo 1 179 2" xfId="1088" xr:uid="{00000000-0005-0000-0000-000040040000}"/>
    <cellStyle name="Estilo 1 18" xfId="1089" xr:uid="{00000000-0005-0000-0000-000041040000}"/>
    <cellStyle name="Estilo 1 18 2" xfId="1090" xr:uid="{00000000-0005-0000-0000-000042040000}"/>
    <cellStyle name="Estilo 1 18 3" xfId="1091" xr:uid="{00000000-0005-0000-0000-000043040000}"/>
    <cellStyle name="Estilo 1 18_Enlaces" xfId="1092" xr:uid="{00000000-0005-0000-0000-000044040000}"/>
    <cellStyle name="Estilo 1 180" xfId="1093" xr:uid="{00000000-0005-0000-0000-000045040000}"/>
    <cellStyle name="Estilo 1 180 2" xfId="1094" xr:uid="{00000000-0005-0000-0000-000046040000}"/>
    <cellStyle name="Estilo 1 181" xfId="1095" xr:uid="{00000000-0005-0000-0000-000047040000}"/>
    <cellStyle name="Estilo 1 181 2" xfId="1096" xr:uid="{00000000-0005-0000-0000-000048040000}"/>
    <cellStyle name="Estilo 1 182" xfId="1097" xr:uid="{00000000-0005-0000-0000-000049040000}"/>
    <cellStyle name="Estilo 1 182 2" xfId="1098" xr:uid="{00000000-0005-0000-0000-00004A040000}"/>
    <cellStyle name="Estilo 1 183" xfId="1099" xr:uid="{00000000-0005-0000-0000-00004B040000}"/>
    <cellStyle name="Estilo 1 183 2" xfId="1100" xr:uid="{00000000-0005-0000-0000-00004C040000}"/>
    <cellStyle name="Estilo 1 184" xfId="1101" xr:uid="{00000000-0005-0000-0000-00004D040000}"/>
    <cellStyle name="Estilo 1 184 2" xfId="1102" xr:uid="{00000000-0005-0000-0000-00004E040000}"/>
    <cellStyle name="Estilo 1 185" xfId="1103" xr:uid="{00000000-0005-0000-0000-00004F040000}"/>
    <cellStyle name="Estilo 1 185 2" xfId="1104" xr:uid="{00000000-0005-0000-0000-000050040000}"/>
    <cellStyle name="Estilo 1 186" xfId="1105" xr:uid="{00000000-0005-0000-0000-000051040000}"/>
    <cellStyle name="Estilo 1 186 2" xfId="1106" xr:uid="{00000000-0005-0000-0000-000052040000}"/>
    <cellStyle name="Estilo 1 187" xfId="1107" xr:uid="{00000000-0005-0000-0000-000053040000}"/>
    <cellStyle name="Estilo 1 187 2" xfId="1108" xr:uid="{00000000-0005-0000-0000-000054040000}"/>
    <cellStyle name="Estilo 1 188" xfId="1109" xr:uid="{00000000-0005-0000-0000-000055040000}"/>
    <cellStyle name="Estilo 1 188 2" xfId="1110" xr:uid="{00000000-0005-0000-0000-000056040000}"/>
    <cellStyle name="Estilo 1 189" xfId="1111" xr:uid="{00000000-0005-0000-0000-000057040000}"/>
    <cellStyle name="Estilo 1 189 2" xfId="1112" xr:uid="{00000000-0005-0000-0000-000058040000}"/>
    <cellStyle name="Estilo 1 19" xfId="1113" xr:uid="{00000000-0005-0000-0000-000059040000}"/>
    <cellStyle name="Estilo 1 19 2" xfId="1114" xr:uid="{00000000-0005-0000-0000-00005A040000}"/>
    <cellStyle name="Estilo 1 19 3" xfId="1115" xr:uid="{00000000-0005-0000-0000-00005B040000}"/>
    <cellStyle name="Estilo 1 19_Enlaces" xfId="1116" xr:uid="{00000000-0005-0000-0000-00005C040000}"/>
    <cellStyle name="Estilo 1 190" xfId="1117" xr:uid="{00000000-0005-0000-0000-00005D040000}"/>
    <cellStyle name="Estilo 1 190 2" xfId="1118" xr:uid="{00000000-0005-0000-0000-00005E040000}"/>
    <cellStyle name="Estilo 1 191" xfId="1119" xr:uid="{00000000-0005-0000-0000-00005F040000}"/>
    <cellStyle name="Estilo 1 191 2" xfId="1120" xr:uid="{00000000-0005-0000-0000-000060040000}"/>
    <cellStyle name="Estilo 1 192" xfId="1121" xr:uid="{00000000-0005-0000-0000-000061040000}"/>
    <cellStyle name="Estilo 1 192 2" xfId="1122" xr:uid="{00000000-0005-0000-0000-000062040000}"/>
    <cellStyle name="Estilo 1 193" xfId="1123" xr:uid="{00000000-0005-0000-0000-000063040000}"/>
    <cellStyle name="Estilo 1 193 2" xfId="1124" xr:uid="{00000000-0005-0000-0000-000064040000}"/>
    <cellStyle name="Estilo 1 194" xfId="1125" xr:uid="{00000000-0005-0000-0000-000065040000}"/>
    <cellStyle name="Estilo 1 194 2" xfId="1126" xr:uid="{00000000-0005-0000-0000-000066040000}"/>
    <cellStyle name="Estilo 1 195" xfId="1127" xr:uid="{00000000-0005-0000-0000-000067040000}"/>
    <cellStyle name="Estilo 1 195 2" xfId="1128" xr:uid="{00000000-0005-0000-0000-000068040000}"/>
    <cellStyle name="Estilo 1 196" xfId="1129" xr:uid="{00000000-0005-0000-0000-000069040000}"/>
    <cellStyle name="Estilo 1 196 2" xfId="1130" xr:uid="{00000000-0005-0000-0000-00006A040000}"/>
    <cellStyle name="Estilo 1 197" xfId="1131" xr:uid="{00000000-0005-0000-0000-00006B040000}"/>
    <cellStyle name="Estilo 1 197 2" xfId="1132" xr:uid="{00000000-0005-0000-0000-00006C040000}"/>
    <cellStyle name="Estilo 1 198" xfId="1133" xr:uid="{00000000-0005-0000-0000-00006D040000}"/>
    <cellStyle name="Estilo 1 198 2" xfId="1134" xr:uid="{00000000-0005-0000-0000-00006E040000}"/>
    <cellStyle name="Estilo 1 199" xfId="1135" xr:uid="{00000000-0005-0000-0000-00006F040000}"/>
    <cellStyle name="Estilo 1 199 2" xfId="1136" xr:uid="{00000000-0005-0000-0000-000070040000}"/>
    <cellStyle name="Estilo 1 2" xfId="1137" xr:uid="{00000000-0005-0000-0000-000071040000}"/>
    <cellStyle name="Estilo 1 2 2" xfId="1138" xr:uid="{00000000-0005-0000-0000-000072040000}"/>
    <cellStyle name="Estilo 1 2 2 2" xfId="1139" xr:uid="{00000000-0005-0000-0000-000073040000}"/>
    <cellStyle name="Estilo 1 2 3" xfId="1140" xr:uid="{00000000-0005-0000-0000-000074040000}"/>
    <cellStyle name="Estilo 1 2 3 2" xfId="1141" xr:uid="{00000000-0005-0000-0000-000075040000}"/>
    <cellStyle name="Estilo 1 2 4" xfId="1142" xr:uid="{00000000-0005-0000-0000-000076040000}"/>
    <cellStyle name="Estilo 1 2 4 2" xfId="1143" xr:uid="{00000000-0005-0000-0000-000077040000}"/>
    <cellStyle name="Estilo 1 2 5" xfId="1144" xr:uid="{00000000-0005-0000-0000-000078040000}"/>
    <cellStyle name="Estilo 1 2 6" xfId="1145" xr:uid="{00000000-0005-0000-0000-000079040000}"/>
    <cellStyle name="Estilo 1 2 7" xfId="1146" xr:uid="{00000000-0005-0000-0000-00007A040000}"/>
    <cellStyle name="Estilo 1 2 7 2" xfId="1147" xr:uid="{00000000-0005-0000-0000-00007B040000}"/>
    <cellStyle name="Estilo 1 2_Enlaces" xfId="1148" xr:uid="{00000000-0005-0000-0000-00007C040000}"/>
    <cellStyle name="Estilo 1 20" xfId="1149" xr:uid="{00000000-0005-0000-0000-00007D040000}"/>
    <cellStyle name="Estilo 1 20 2" xfId="1150" xr:uid="{00000000-0005-0000-0000-00007E040000}"/>
    <cellStyle name="Estilo 1 20 3" xfId="1151" xr:uid="{00000000-0005-0000-0000-00007F040000}"/>
    <cellStyle name="Estilo 1 20_Enlaces" xfId="1152" xr:uid="{00000000-0005-0000-0000-000080040000}"/>
    <cellStyle name="Estilo 1 200" xfId="1153" xr:uid="{00000000-0005-0000-0000-000081040000}"/>
    <cellStyle name="Estilo 1 200 2" xfId="1154" xr:uid="{00000000-0005-0000-0000-000082040000}"/>
    <cellStyle name="Estilo 1 21" xfId="1155" xr:uid="{00000000-0005-0000-0000-000083040000}"/>
    <cellStyle name="Estilo 1 21 2" xfId="1156" xr:uid="{00000000-0005-0000-0000-000084040000}"/>
    <cellStyle name="Estilo 1 21_Enlaces" xfId="1157" xr:uid="{00000000-0005-0000-0000-000085040000}"/>
    <cellStyle name="Estilo 1 22" xfId="1158" xr:uid="{00000000-0005-0000-0000-000086040000}"/>
    <cellStyle name="Estilo 1 22 2" xfId="1159" xr:uid="{00000000-0005-0000-0000-000087040000}"/>
    <cellStyle name="Estilo 1 22_Enlaces" xfId="1160" xr:uid="{00000000-0005-0000-0000-000088040000}"/>
    <cellStyle name="Estilo 1 23" xfId="1161" xr:uid="{00000000-0005-0000-0000-000089040000}"/>
    <cellStyle name="Estilo 1 23 2" xfId="1162" xr:uid="{00000000-0005-0000-0000-00008A040000}"/>
    <cellStyle name="Estilo 1 23_Enlaces" xfId="1163" xr:uid="{00000000-0005-0000-0000-00008B040000}"/>
    <cellStyle name="Estilo 1 24" xfId="1164" xr:uid="{00000000-0005-0000-0000-00008C040000}"/>
    <cellStyle name="Estilo 1 24 2" xfId="1165" xr:uid="{00000000-0005-0000-0000-00008D040000}"/>
    <cellStyle name="Estilo 1 24_Enlaces" xfId="1166" xr:uid="{00000000-0005-0000-0000-00008E040000}"/>
    <cellStyle name="Estilo 1 25" xfId="1167" xr:uid="{00000000-0005-0000-0000-00008F040000}"/>
    <cellStyle name="Estilo 1 25 2" xfId="1168" xr:uid="{00000000-0005-0000-0000-000090040000}"/>
    <cellStyle name="Estilo 1 25_Enlaces" xfId="1169" xr:uid="{00000000-0005-0000-0000-000091040000}"/>
    <cellStyle name="Estilo 1 26" xfId="1170" xr:uid="{00000000-0005-0000-0000-000092040000}"/>
    <cellStyle name="Estilo 1 26 2" xfId="1171" xr:uid="{00000000-0005-0000-0000-000093040000}"/>
    <cellStyle name="Estilo 1 26_Enlaces" xfId="1172" xr:uid="{00000000-0005-0000-0000-000094040000}"/>
    <cellStyle name="Estilo 1 27" xfId="1173" xr:uid="{00000000-0005-0000-0000-000095040000}"/>
    <cellStyle name="Estilo 1 27 2" xfId="1174" xr:uid="{00000000-0005-0000-0000-000096040000}"/>
    <cellStyle name="Estilo 1 27_Enlaces" xfId="1175" xr:uid="{00000000-0005-0000-0000-000097040000}"/>
    <cellStyle name="Estilo 1 28" xfId="1176" xr:uid="{00000000-0005-0000-0000-000098040000}"/>
    <cellStyle name="Estilo 1 29" xfId="1177" xr:uid="{00000000-0005-0000-0000-000099040000}"/>
    <cellStyle name="Estilo 1 3" xfId="1178" xr:uid="{00000000-0005-0000-0000-00009A040000}"/>
    <cellStyle name="Estilo 1 3 2" xfId="1179" xr:uid="{00000000-0005-0000-0000-00009B040000}"/>
    <cellStyle name="Estilo 1 3 3" xfId="1180" xr:uid="{00000000-0005-0000-0000-00009C040000}"/>
    <cellStyle name="Estilo 1 3_Enlaces" xfId="1181" xr:uid="{00000000-0005-0000-0000-00009D040000}"/>
    <cellStyle name="Estilo 1 30" xfId="1182" xr:uid="{00000000-0005-0000-0000-00009E040000}"/>
    <cellStyle name="Estilo 1 31" xfId="1183" xr:uid="{00000000-0005-0000-0000-00009F040000}"/>
    <cellStyle name="Estilo 1 32" xfId="1184" xr:uid="{00000000-0005-0000-0000-0000A0040000}"/>
    <cellStyle name="Estilo 1 33" xfId="1185" xr:uid="{00000000-0005-0000-0000-0000A1040000}"/>
    <cellStyle name="Estilo 1 34" xfId="1186" xr:uid="{00000000-0005-0000-0000-0000A2040000}"/>
    <cellStyle name="Estilo 1 35" xfId="1187" xr:uid="{00000000-0005-0000-0000-0000A3040000}"/>
    <cellStyle name="Estilo 1 36" xfId="1188" xr:uid="{00000000-0005-0000-0000-0000A4040000}"/>
    <cellStyle name="Estilo 1 37" xfId="1189" xr:uid="{00000000-0005-0000-0000-0000A5040000}"/>
    <cellStyle name="Estilo 1 38" xfId="1190" xr:uid="{00000000-0005-0000-0000-0000A6040000}"/>
    <cellStyle name="Estilo 1 39" xfId="1191" xr:uid="{00000000-0005-0000-0000-0000A7040000}"/>
    <cellStyle name="Estilo 1 4" xfId="1192" xr:uid="{00000000-0005-0000-0000-0000A8040000}"/>
    <cellStyle name="Estilo 1 4 2" xfId="1193" xr:uid="{00000000-0005-0000-0000-0000A9040000}"/>
    <cellStyle name="Estilo 1 4 3" xfId="1194" xr:uid="{00000000-0005-0000-0000-0000AA040000}"/>
    <cellStyle name="Estilo 1 4_Enlaces" xfId="1195" xr:uid="{00000000-0005-0000-0000-0000AB040000}"/>
    <cellStyle name="Estilo 1 40" xfId="1196" xr:uid="{00000000-0005-0000-0000-0000AC040000}"/>
    <cellStyle name="Estilo 1 41" xfId="1197" xr:uid="{00000000-0005-0000-0000-0000AD040000}"/>
    <cellStyle name="Estilo 1 42" xfId="1198" xr:uid="{00000000-0005-0000-0000-0000AE040000}"/>
    <cellStyle name="Estilo 1 43" xfId="1199" xr:uid="{00000000-0005-0000-0000-0000AF040000}"/>
    <cellStyle name="Estilo 1 44" xfId="1200" xr:uid="{00000000-0005-0000-0000-0000B0040000}"/>
    <cellStyle name="Estilo 1 45" xfId="1201" xr:uid="{00000000-0005-0000-0000-0000B1040000}"/>
    <cellStyle name="Estilo 1 46" xfId="1202" xr:uid="{00000000-0005-0000-0000-0000B2040000}"/>
    <cellStyle name="Estilo 1 47" xfId="1203" xr:uid="{00000000-0005-0000-0000-0000B3040000}"/>
    <cellStyle name="Estilo 1 48" xfId="1204" xr:uid="{00000000-0005-0000-0000-0000B4040000}"/>
    <cellStyle name="Estilo 1 49" xfId="1205" xr:uid="{00000000-0005-0000-0000-0000B5040000}"/>
    <cellStyle name="Estilo 1 5" xfId="1206" xr:uid="{00000000-0005-0000-0000-0000B6040000}"/>
    <cellStyle name="Estilo 1 5 2" xfId="1207" xr:uid="{00000000-0005-0000-0000-0000B7040000}"/>
    <cellStyle name="Estilo 1 5 3" xfId="1208" xr:uid="{00000000-0005-0000-0000-0000B8040000}"/>
    <cellStyle name="Estilo 1 5_Enlaces" xfId="1209" xr:uid="{00000000-0005-0000-0000-0000B9040000}"/>
    <cellStyle name="Estilo 1 50" xfId="1210" xr:uid="{00000000-0005-0000-0000-0000BA040000}"/>
    <cellStyle name="Estilo 1 51" xfId="1211" xr:uid="{00000000-0005-0000-0000-0000BB040000}"/>
    <cellStyle name="Estilo 1 52" xfId="1212" xr:uid="{00000000-0005-0000-0000-0000BC040000}"/>
    <cellStyle name="Estilo 1 53" xfId="1213" xr:uid="{00000000-0005-0000-0000-0000BD040000}"/>
    <cellStyle name="Estilo 1 54" xfId="1214" xr:uid="{00000000-0005-0000-0000-0000BE040000}"/>
    <cellStyle name="Estilo 1 55" xfId="1215" xr:uid="{00000000-0005-0000-0000-0000BF040000}"/>
    <cellStyle name="Estilo 1 56" xfId="1216" xr:uid="{00000000-0005-0000-0000-0000C0040000}"/>
    <cellStyle name="Estilo 1 57" xfId="1217" xr:uid="{00000000-0005-0000-0000-0000C1040000}"/>
    <cellStyle name="Estilo 1 57 2" xfId="1218" xr:uid="{00000000-0005-0000-0000-0000C2040000}"/>
    <cellStyle name="Estilo 1 57 3" xfId="1219" xr:uid="{00000000-0005-0000-0000-0000C3040000}"/>
    <cellStyle name="Estilo 1 57 4" xfId="1220" xr:uid="{00000000-0005-0000-0000-0000C4040000}"/>
    <cellStyle name="Estilo 1 57 5" xfId="1221" xr:uid="{00000000-0005-0000-0000-0000C5040000}"/>
    <cellStyle name="Estilo 1 57 6" xfId="1222" xr:uid="{00000000-0005-0000-0000-0000C6040000}"/>
    <cellStyle name="Estilo 1 58" xfId="1223" xr:uid="{00000000-0005-0000-0000-0000C7040000}"/>
    <cellStyle name="Estilo 1 58 2" xfId="1224" xr:uid="{00000000-0005-0000-0000-0000C8040000}"/>
    <cellStyle name="Estilo 1 58 3" xfId="1225" xr:uid="{00000000-0005-0000-0000-0000C9040000}"/>
    <cellStyle name="Estilo 1 58 4" xfId="1226" xr:uid="{00000000-0005-0000-0000-0000CA040000}"/>
    <cellStyle name="Estilo 1 58 5" xfId="1227" xr:uid="{00000000-0005-0000-0000-0000CB040000}"/>
    <cellStyle name="Estilo 1 58 6" xfId="1228" xr:uid="{00000000-0005-0000-0000-0000CC040000}"/>
    <cellStyle name="Estilo 1 59" xfId="1229" xr:uid="{00000000-0005-0000-0000-0000CD040000}"/>
    <cellStyle name="Estilo 1 59 2" xfId="1230" xr:uid="{00000000-0005-0000-0000-0000CE040000}"/>
    <cellStyle name="Estilo 1 59 3" xfId="1231" xr:uid="{00000000-0005-0000-0000-0000CF040000}"/>
    <cellStyle name="Estilo 1 6" xfId="1232" xr:uid="{00000000-0005-0000-0000-0000D0040000}"/>
    <cellStyle name="Estilo 1 6 2" xfId="1233" xr:uid="{00000000-0005-0000-0000-0000D1040000}"/>
    <cellStyle name="Estilo 1 6 3" xfId="1234" xr:uid="{00000000-0005-0000-0000-0000D2040000}"/>
    <cellStyle name="Estilo 1 6_Enlaces" xfId="1235" xr:uid="{00000000-0005-0000-0000-0000D3040000}"/>
    <cellStyle name="Estilo 1 60" xfId="1236" xr:uid="{00000000-0005-0000-0000-0000D4040000}"/>
    <cellStyle name="Estilo 1 60 2" xfId="1237" xr:uid="{00000000-0005-0000-0000-0000D5040000}"/>
    <cellStyle name="Estilo 1 60 3" xfId="1238" xr:uid="{00000000-0005-0000-0000-0000D6040000}"/>
    <cellStyle name="Estilo 1 61" xfId="1239" xr:uid="{00000000-0005-0000-0000-0000D7040000}"/>
    <cellStyle name="Estilo 1 61 2" xfId="1240" xr:uid="{00000000-0005-0000-0000-0000D8040000}"/>
    <cellStyle name="Estilo 1 61 3" xfId="1241" xr:uid="{00000000-0005-0000-0000-0000D9040000}"/>
    <cellStyle name="Estilo 1 62" xfId="1242" xr:uid="{00000000-0005-0000-0000-0000DA040000}"/>
    <cellStyle name="Estilo 1 62 2" xfId="1243" xr:uid="{00000000-0005-0000-0000-0000DB040000}"/>
    <cellStyle name="Estilo 1 62 3" xfId="1244" xr:uid="{00000000-0005-0000-0000-0000DC040000}"/>
    <cellStyle name="Estilo 1 63" xfId="1245" xr:uid="{00000000-0005-0000-0000-0000DD040000}"/>
    <cellStyle name="Estilo 1 63 2" xfId="1246" xr:uid="{00000000-0005-0000-0000-0000DE040000}"/>
    <cellStyle name="Estilo 1 63 3" xfId="1247" xr:uid="{00000000-0005-0000-0000-0000DF040000}"/>
    <cellStyle name="Estilo 1 64" xfId="1248" xr:uid="{00000000-0005-0000-0000-0000E0040000}"/>
    <cellStyle name="Estilo 1 64 2" xfId="1249" xr:uid="{00000000-0005-0000-0000-0000E1040000}"/>
    <cellStyle name="Estilo 1 64 3" xfId="1250" xr:uid="{00000000-0005-0000-0000-0000E2040000}"/>
    <cellStyle name="Estilo 1 65" xfId="1251" xr:uid="{00000000-0005-0000-0000-0000E3040000}"/>
    <cellStyle name="Estilo 1 65 2" xfId="1252" xr:uid="{00000000-0005-0000-0000-0000E4040000}"/>
    <cellStyle name="Estilo 1 65 3" xfId="1253" xr:uid="{00000000-0005-0000-0000-0000E5040000}"/>
    <cellStyle name="Estilo 1 66" xfId="1254" xr:uid="{00000000-0005-0000-0000-0000E6040000}"/>
    <cellStyle name="Estilo 1 66 2" xfId="1255" xr:uid="{00000000-0005-0000-0000-0000E7040000}"/>
    <cellStyle name="Estilo 1 66 3" xfId="1256" xr:uid="{00000000-0005-0000-0000-0000E8040000}"/>
    <cellStyle name="Estilo 1 67" xfId="1257" xr:uid="{00000000-0005-0000-0000-0000E9040000}"/>
    <cellStyle name="Estilo 1 67 2" xfId="1258" xr:uid="{00000000-0005-0000-0000-0000EA040000}"/>
    <cellStyle name="Estilo 1 67 3" xfId="1259" xr:uid="{00000000-0005-0000-0000-0000EB040000}"/>
    <cellStyle name="Estilo 1 68" xfId="1260" xr:uid="{00000000-0005-0000-0000-0000EC040000}"/>
    <cellStyle name="Estilo 1 68 2" xfId="1261" xr:uid="{00000000-0005-0000-0000-0000ED040000}"/>
    <cellStyle name="Estilo 1 68 3" xfId="1262" xr:uid="{00000000-0005-0000-0000-0000EE040000}"/>
    <cellStyle name="Estilo 1 69" xfId="1263" xr:uid="{00000000-0005-0000-0000-0000EF040000}"/>
    <cellStyle name="Estilo 1 69 2" xfId="1264" xr:uid="{00000000-0005-0000-0000-0000F0040000}"/>
    <cellStyle name="Estilo 1 69 3" xfId="1265" xr:uid="{00000000-0005-0000-0000-0000F1040000}"/>
    <cellStyle name="Estilo 1 7" xfId="1266" xr:uid="{00000000-0005-0000-0000-0000F2040000}"/>
    <cellStyle name="Estilo 1 7 2" xfId="1267" xr:uid="{00000000-0005-0000-0000-0000F3040000}"/>
    <cellStyle name="Estilo 1 7 3" xfId="1268" xr:uid="{00000000-0005-0000-0000-0000F4040000}"/>
    <cellStyle name="Estilo 1 7_Enlaces" xfId="1269" xr:uid="{00000000-0005-0000-0000-0000F5040000}"/>
    <cellStyle name="Estilo 1 70" xfId="1270" xr:uid="{00000000-0005-0000-0000-0000F6040000}"/>
    <cellStyle name="Estilo 1 70 2" xfId="1271" xr:uid="{00000000-0005-0000-0000-0000F7040000}"/>
    <cellStyle name="Estilo 1 70 3" xfId="1272" xr:uid="{00000000-0005-0000-0000-0000F8040000}"/>
    <cellStyle name="Estilo 1 71" xfId="1273" xr:uid="{00000000-0005-0000-0000-0000F9040000}"/>
    <cellStyle name="Estilo 1 71 2" xfId="1274" xr:uid="{00000000-0005-0000-0000-0000FA040000}"/>
    <cellStyle name="Estilo 1 71 3" xfId="1275" xr:uid="{00000000-0005-0000-0000-0000FB040000}"/>
    <cellStyle name="Estilo 1 72" xfId="1276" xr:uid="{00000000-0005-0000-0000-0000FC040000}"/>
    <cellStyle name="Estilo 1 72 2" xfId="1277" xr:uid="{00000000-0005-0000-0000-0000FD040000}"/>
    <cellStyle name="Estilo 1 72 3" xfId="1278" xr:uid="{00000000-0005-0000-0000-0000FE040000}"/>
    <cellStyle name="Estilo 1 73" xfId="1279" xr:uid="{00000000-0005-0000-0000-0000FF040000}"/>
    <cellStyle name="Estilo 1 73 2" xfId="1280" xr:uid="{00000000-0005-0000-0000-000000050000}"/>
    <cellStyle name="Estilo 1 73 3" xfId="1281" xr:uid="{00000000-0005-0000-0000-000001050000}"/>
    <cellStyle name="Estilo 1 74" xfId="1282" xr:uid="{00000000-0005-0000-0000-000002050000}"/>
    <cellStyle name="Estilo 1 74 2" xfId="1283" xr:uid="{00000000-0005-0000-0000-000003050000}"/>
    <cellStyle name="Estilo 1 74 3" xfId="1284" xr:uid="{00000000-0005-0000-0000-000004050000}"/>
    <cellStyle name="Estilo 1 75" xfId="1285" xr:uid="{00000000-0005-0000-0000-000005050000}"/>
    <cellStyle name="Estilo 1 75 2" xfId="1286" xr:uid="{00000000-0005-0000-0000-000006050000}"/>
    <cellStyle name="Estilo 1 75 3" xfId="1287" xr:uid="{00000000-0005-0000-0000-000007050000}"/>
    <cellStyle name="Estilo 1 76" xfId="1288" xr:uid="{00000000-0005-0000-0000-000008050000}"/>
    <cellStyle name="Estilo 1 76 2" xfId="1289" xr:uid="{00000000-0005-0000-0000-000009050000}"/>
    <cellStyle name="Estilo 1 76 3" xfId="1290" xr:uid="{00000000-0005-0000-0000-00000A050000}"/>
    <cellStyle name="Estilo 1 77" xfId="1291" xr:uid="{00000000-0005-0000-0000-00000B050000}"/>
    <cellStyle name="Estilo 1 77 2" xfId="1292" xr:uid="{00000000-0005-0000-0000-00000C050000}"/>
    <cellStyle name="Estilo 1 77 3" xfId="1293" xr:uid="{00000000-0005-0000-0000-00000D050000}"/>
    <cellStyle name="Estilo 1 78" xfId="1294" xr:uid="{00000000-0005-0000-0000-00000E050000}"/>
    <cellStyle name="Estilo 1 78 2" xfId="1295" xr:uid="{00000000-0005-0000-0000-00000F050000}"/>
    <cellStyle name="Estilo 1 78 3" xfId="1296" xr:uid="{00000000-0005-0000-0000-000010050000}"/>
    <cellStyle name="Estilo 1 79" xfId="1297" xr:uid="{00000000-0005-0000-0000-000011050000}"/>
    <cellStyle name="Estilo 1 79 2" xfId="1298" xr:uid="{00000000-0005-0000-0000-000012050000}"/>
    <cellStyle name="Estilo 1 79 3" xfId="1299" xr:uid="{00000000-0005-0000-0000-000013050000}"/>
    <cellStyle name="Estilo 1 8" xfId="1300" xr:uid="{00000000-0005-0000-0000-000014050000}"/>
    <cellStyle name="Estilo 1 8 2" xfId="1301" xr:uid="{00000000-0005-0000-0000-000015050000}"/>
    <cellStyle name="Estilo 1 8 3" xfId="1302" xr:uid="{00000000-0005-0000-0000-000016050000}"/>
    <cellStyle name="Estilo 1 8_Enlaces" xfId="1303" xr:uid="{00000000-0005-0000-0000-000017050000}"/>
    <cellStyle name="Estilo 1 80" xfId="1304" xr:uid="{00000000-0005-0000-0000-000018050000}"/>
    <cellStyle name="Estilo 1 80 2" xfId="1305" xr:uid="{00000000-0005-0000-0000-000019050000}"/>
    <cellStyle name="Estilo 1 80 3" xfId="1306" xr:uid="{00000000-0005-0000-0000-00001A050000}"/>
    <cellStyle name="Estilo 1 81" xfId="1307" xr:uid="{00000000-0005-0000-0000-00001B050000}"/>
    <cellStyle name="Estilo 1 81 2" xfId="1308" xr:uid="{00000000-0005-0000-0000-00001C050000}"/>
    <cellStyle name="Estilo 1 81 3" xfId="1309" xr:uid="{00000000-0005-0000-0000-00001D050000}"/>
    <cellStyle name="Estilo 1 82" xfId="1310" xr:uid="{00000000-0005-0000-0000-00001E050000}"/>
    <cellStyle name="Estilo 1 82 2" xfId="1311" xr:uid="{00000000-0005-0000-0000-00001F050000}"/>
    <cellStyle name="Estilo 1 82 3" xfId="1312" xr:uid="{00000000-0005-0000-0000-000020050000}"/>
    <cellStyle name="Estilo 1 83" xfId="1313" xr:uid="{00000000-0005-0000-0000-000021050000}"/>
    <cellStyle name="Estilo 1 84" xfId="1314" xr:uid="{00000000-0005-0000-0000-000022050000}"/>
    <cellStyle name="Estilo 1 85" xfId="1315" xr:uid="{00000000-0005-0000-0000-000023050000}"/>
    <cellStyle name="Estilo 1 86" xfId="1316" xr:uid="{00000000-0005-0000-0000-000024050000}"/>
    <cellStyle name="Estilo 1 87" xfId="1317" xr:uid="{00000000-0005-0000-0000-000025050000}"/>
    <cellStyle name="Estilo 1 88" xfId="1318" xr:uid="{00000000-0005-0000-0000-000026050000}"/>
    <cellStyle name="Estilo 1 89" xfId="1319" xr:uid="{00000000-0005-0000-0000-000027050000}"/>
    <cellStyle name="Estilo 1 9" xfId="1320" xr:uid="{00000000-0005-0000-0000-000028050000}"/>
    <cellStyle name="Estilo 1 9 2" xfId="1321" xr:uid="{00000000-0005-0000-0000-000029050000}"/>
    <cellStyle name="Estilo 1 9 3" xfId="1322" xr:uid="{00000000-0005-0000-0000-00002A050000}"/>
    <cellStyle name="Estilo 1 9_Enlaces" xfId="1323" xr:uid="{00000000-0005-0000-0000-00002B050000}"/>
    <cellStyle name="Estilo 1 90" xfId="1324" xr:uid="{00000000-0005-0000-0000-00002C050000}"/>
    <cellStyle name="Estilo 1 90 2" xfId="1325" xr:uid="{00000000-0005-0000-0000-00002D050000}"/>
    <cellStyle name="Estilo 1 91" xfId="1326" xr:uid="{00000000-0005-0000-0000-00002E050000}"/>
    <cellStyle name="Estilo 1 91 2" xfId="1327" xr:uid="{00000000-0005-0000-0000-00002F050000}"/>
    <cellStyle name="Estilo 1 92" xfId="1328" xr:uid="{00000000-0005-0000-0000-000030050000}"/>
    <cellStyle name="Estilo 1 92 2" xfId="1329" xr:uid="{00000000-0005-0000-0000-000031050000}"/>
    <cellStyle name="Estilo 1 93" xfId="1330" xr:uid="{00000000-0005-0000-0000-000032050000}"/>
    <cellStyle name="Estilo 1 93 2" xfId="1331" xr:uid="{00000000-0005-0000-0000-000033050000}"/>
    <cellStyle name="Estilo 1 94" xfId="1332" xr:uid="{00000000-0005-0000-0000-000034050000}"/>
    <cellStyle name="Estilo 1 94 2" xfId="1333" xr:uid="{00000000-0005-0000-0000-000035050000}"/>
    <cellStyle name="Estilo 1 95" xfId="1334" xr:uid="{00000000-0005-0000-0000-000036050000}"/>
    <cellStyle name="Estilo 1 95 2" xfId="1335" xr:uid="{00000000-0005-0000-0000-000037050000}"/>
    <cellStyle name="Estilo 1 96" xfId="1336" xr:uid="{00000000-0005-0000-0000-000038050000}"/>
    <cellStyle name="Estilo 1 96 2" xfId="1337" xr:uid="{00000000-0005-0000-0000-000039050000}"/>
    <cellStyle name="Estilo 1 97" xfId="1338" xr:uid="{00000000-0005-0000-0000-00003A050000}"/>
    <cellStyle name="Estilo 1 97 2" xfId="1339" xr:uid="{00000000-0005-0000-0000-00003B050000}"/>
    <cellStyle name="Estilo 1 98" xfId="1340" xr:uid="{00000000-0005-0000-0000-00003C050000}"/>
    <cellStyle name="Estilo 1 98 2" xfId="1341" xr:uid="{00000000-0005-0000-0000-00003D050000}"/>
    <cellStyle name="Estilo 1 99" xfId="1342" xr:uid="{00000000-0005-0000-0000-00003E050000}"/>
    <cellStyle name="Estilo 1 99 2" xfId="1343" xr:uid="{00000000-0005-0000-0000-00003F050000}"/>
    <cellStyle name="Estilo 1_Enlaces" xfId="1344" xr:uid="{00000000-0005-0000-0000-000040050000}"/>
    <cellStyle name="Euro" xfId="359" xr:uid="{00000000-0005-0000-0000-000067010000}"/>
    <cellStyle name="Euro 10" xfId="1346" xr:uid="{00000000-0005-0000-0000-000042050000}"/>
    <cellStyle name="Euro 11" xfId="1347" xr:uid="{00000000-0005-0000-0000-000043050000}"/>
    <cellStyle name="Euro 12" xfId="1348" xr:uid="{00000000-0005-0000-0000-000044050000}"/>
    <cellStyle name="Euro 13" xfId="1349" xr:uid="{00000000-0005-0000-0000-000045050000}"/>
    <cellStyle name="Euro 14" xfId="1350" xr:uid="{00000000-0005-0000-0000-000046050000}"/>
    <cellStyle name="Euro 15" xfId="1351" xr:uid="{00000000-0005-0000-0000-000047050000}"/>
    <cellStyle name="Euro 16" xfId="1352" xr:uid="{00000000-0005-0000-0000-000048050000}"/>
    <cellStyle name="Euro 17" xfId="1353" xr:uid="{00000000-0005-0000-0000-000049050000}"/>
    <cellStyle name="Euro 18" xfId="1354" xr:uid="{00000000-0005-0000-0000-00004A050000}"/>
    <cellStyle name="Euro 19" xfId="1355" xr:uid="{00000000-0005-0000-0000-00004B050000}"/>
    <cellStyle name="Euro 2" xfId="1356" xr:uid="{00000000-0005-0000-0000-00004C050000}"/>
    <cellStyle name="Euro 2 2" xfId="1357" xr:uid="{00000000-0005-0000-0000-00004D050000}"/>
    <cellStyle name="Euro 20" xfId="1358" xr:uid="{00000000-0005-0000-0000-00004E050000}"/>
    <cellStyle name="Euro 21" xfId="1359" xr:uid="{00000000-0005-0000-0000-00004F050000}"/>
    <cellStyle name="Euro 22" xfId="1345" xr:uid="{00000000-0005-0000-0000-000041050000}"/>
    <cellStyle name="Euro 3" xfId="1360" xr:uid="{00000000-0005-0000-0000-000050050000}"/>
    <cellStyle name="Euro 4" xfId="1361" xr:uid="{00000000-0005-0000-0000-000051050000}"/>
    <cellStyle name="Euro 5" xfId="1362" xr:uid="{00000000-0005-0000-0000-000052050000}"/>
    <cellStyle name="Euro 6" xfId="1363" xr:uid="{00000000-0005-0000-0000-000053050000}"/>
    <cellStyle name="Euro 7" xfId="1364" xr:uid="{00000000-0005-0000-0000-000054050000}"/>
    <cellStyle name="Euro 8" xfId="1365" xr:uid="{00000000-0005-0000-0000-000055050000}"/>
    <cellStyle name="Euro 9" xfId="1366" xr:uid="{00000000-0005-0000-0000-000056050000}"/>
    <cellStyle name="Excel Built-in Normal" xfId="360" xr:uid="{00000000-0005-0000-0000-000068010000}"/>
    <cellStyle name="Excel Built-in Normal 2" xfId="361" xr:uid="{00000000-0005-0000-0000-000069010000}"/>
    <cellStyle name="Excel Built-in Normal 2 2" xfId="1367" xr:uid="{00000000-0005-0000-0000-000057050000}"/>
    <cellStyle name="Excel Built-in Normal 3" xfId="1368" xr:uid="{00000000-0005-0000-0000-000058050000}"/>
    <cellStyle name="Explanatory Text" xfId="362" xr:uid="{00000000-0005-0000-0000-00006A010000}"/>
    <cellStyle name="Explanatory Text 2" xfId="1370" xr:uid="{00000000-0005-0000-0000-00005A050000}"/>
    <cellStyle name="Explanatory Text 3" xfId="1371" xr:uid="{00000000-0005-0000-0000-00005B050000}"/>
    <cellStyle name="Explanatory Text 4" xfId="1372" xr:uid="{00000000-0005-0000-0000-00005C050000}"/>
    <cellStyle name="Explanatory Text 5" xfId="1373" xr:uid="{00000000-0005-0000-0000-00005D050000}"/>
    <cellStyle name="Explanatory Text 6" xfId="1369" xr:uid="{00000000-0005-0000-0000-000059050000}"/>
    <cellStyle name="Good" xfId="363" xr:uid="{00000000-0005-0000-0000-00006B010000}"/>
    <cellStyle name="Good 2" xfId="1375" xr:uid="{00000000-0005-0000-0000-00005F050000}"/>
    <cellStyle name="Good 3" xfId="1376" xr:uid="{00000000-0005-0000-0000-000060050000}"/>
    <cellStyle name="Good 4" xfId="1377" xr:uid="{00000000-0005-0000-0000-000061050000}"/>
    <cellStyle name="Good 5" xfId="1378" xr:uid="{00000000-0005-0000-0000-000062050000}"/>
    <cellStyle name="Good 6" xfId="1374" xr:uid="{00000000-0005-0000-0000-00005E050000}"/>
    <cellStyle name="Heading 1" xfId="364" xr:uid="{00000000-0005-0000-0000-00006C010000}"/>
    <cellStyle name="Heading 1 2" xfId="1380" xr:uid="{00000000-0005-0000-0000-000064050000}"/>
    <cellStyle name="Heading 1 3" xfId="1381" xr:uid="{00000000-0005-0000-0000-000065050000}"/>
    <cellStyle name="Heading 1 4" xfId="1382" xr:uid="{00000000-0005-0000-0000-000066050000}"/>
    <cellStyle name="Heading 1 5" xfId="1383" xr:uid="{00000000-0005-0000-0000-000067050000}"/>
    <cellStyle name="Heading 1 6" xfId="1379" xr:uid="{00000000-0005-0000-0000-000063050000}"/>
    <cellStyle name="Heading 2" xfId="365" xr:uid="{00000000-0005-0000-0000-00006D010000}"/>
    <cellStyle name="Heading 2 2" xfId="1385" xr:uid="{00000000-0005-0000-0000-000069050000}"/>
    <cellStyle name="Heading 2 3" xfId="1386" xr:uid="{00000000-0005-0000-0000-00006A050000}"/>
    <cellStyle name="Heading 2 4" xfId="1387" xr:uid="{00000000-0005-0000-0000-00006B050000}"/>
    <cellStyle name="Heading 2 5" xfId="1388" xr:uid="{00000000-0005-0000-0000-00006C050000}"/>
    <cellStyle name="Heading 2 6" xfId="1384" xr:uid="{00000000-0005-0000-0000-000068050000}"/>
    <cellStyle name="Heading 3" xfId="366" xr:uid="{00000000-0005-0000-0000-00006E010000}"/>
    <cellStyle name="Heading 3 2" xfId="1390" xr:uid="{00000000-0005-0000-0000-00006E050000}"/>
    <cellStyle name="Heading 3 3" xfId="1391" xr:uid="{00000000-0005-0000-0000-00006F050000}"/>
    <cellStyle name="Heading 3 4" xfId="1392" xr:uid="{00000000-0005-0000-0000-000070050000}"/>
    <cellStyle name="Heading 3 5" xfId="1393" xr:uid="{00000000-0005-0000-0000-000071050000}"/>
    <cellStyle name="Heading 3 6" xfId="1389" xr:uid="{00000000-0005-0000-0000-00006D050000}"/>
    <cellStyle name="Heading 4" xfId="367" xr:uid="{00000000-0005-0000-0000-00006F010000}"/>
    <cellStyle name="Heading 4 2" xfId="1395" xr:uid="{00000000-0005-0000-0000-000073050000}"/>
    <cellStyle name="Heading 4 3" xfId="1396" xr:uid="{00000000-0005-0000-0000-000074050000}"/>
    <cellStyle name="Heading 4 4" xfId="1397" xr:uid="{00000000-0005-0000-0000-000075050000}"/>
    <cellStyle name="Heading 4 5" xfId="1398" xr:uid="{00000000-0005-0000-0000-000076050000}"/>
    <cellStyle name="Heading 4 6" xfId="1394" xr:uid="{00000000-0005-0000-0000-000072050000}"/>
    <cellStyle name="Hipervínculo 2" xfId="368" xr:uid="{00000000-0005-0000-0000-000070010000}"/>
    <cellStyle name="Hipervínculo 2 2" xfId="1399" xr:uid="{00000000-0005-0000-0000-000077050000}"/>
    <cellStyle name="Hipervínculo 3" xfId="1400" xr:uid="{00000000-0005-0000-0000-000078050000}"/>
    <cellStyle name="Hipervínculo 3 2" xfId="1401" xr:uid="{00000000-0005-0000-0000-000079050000}"/>
    <cellStyle name="Hipervínculo 4" xfId="1402" xr:uid="{00000000-0005-0000-0000-00007A050000}"/>
    <cellStyle name="Hipervínculo 5" xfId="1403" xr:uid="{00000000-0005-0000-0000-00007B050000}"/>
    <cellStyle name="Hipervínculo 6" xfId="1404" xr:uid="{00000000-0005-0000-0000-00007C050000}"/>
    <cellStyle name="Hyperlink" xfId="39518" xr:uid="{00000000-0005-0000-0000-00005E9A0000}"/>
    <cellStyle name="Incorrecto 10" xfId="369" xr:uid="{00000000-0005-0000-0000-000071010000}"/>
    <cellStyle name="Incorrecto 11" xfId="370" xr:uid="{00000000-0005-0000-0000-000072010000}"/>
    <cellStyle name="Incorrecto 12" xfId="371" xr:uid="{00000000-0005-0000-0000-000073010000}"/>
    <cellStyle name="Incorrecto 2" xfId="372" xr:uid="{00000000-0005-0000-0000-000074010000}"/>
    <cellStyle name="Incorrecto 2 2" xfId="1405" xr:uid="{00000000-0005-0000-0000-00007D050000}"/>
    <cellStyle name="Incorrecto 3" xfId="373" xr:uid="{00000000-0005-0000-0000-000075010000}"/>
    <cellStyle name="Incorrecto 4" xfId="374" xr:uid="{00000000-0005-0000-0000-000076010000}"/>
    <cellStyle name="Incorrecto 5" xfId="375" xr:uid="{00000000-0005-0000-0000-000077010000}"/>
    <cellStyle name="Incorrecto 5 2" xfId="1406" xr:uid="{00000000-0005-0000-0000-00007E050000}"/>
    <cellStyle name="Incorrecto 6" xfId="376" xr:uid="{00000000-0005-0000-0000-000078010000}"/>
    <cellStyle name="Incorrecto 6 2" xfId="1407" xr:uid="{00000000-0005-0000-0000-00007F050000}"/>
    <cellStyle name="Incorrecto 7" xfId="377" xr:uid="{00000000-0005-0000-0000-000079010000}"/>
    <cellStyle name="Incorrecto 7 2" xfId="1408" xr:uid="{00000000-0005-0000-0000-000080050000}"/>
    <cellStyle name="Incorrecto 8" xfId="378" xr:uid="{00000000-0005-0000-0000-00007A010000}"/>
    <cellStyle name="Incorrecto 8 2" xfId="1409" xr:uid="{00000000-0005-0000-0000-000081050000}"/>
    <cellStyle name="Incorrecto 9" xfId="379" xr:uid="{00000000-0005-0000-0000-00007B010000}"/>
    <cellStyle name="Input" xfId="380" xr:uid="{00000000-0005-0000-0000-00007C010000}"/>
    <cellStyle name="Input 2" xfId="1411" xr:uid="{00000000-0005-0000-0000-000083050000}"/>
    <cellStyle name="Input 3" xfId="1412" xr:uid="{00000000-0005-0000-0000-000084050000}"/>
    <cellStyle name="Input 4" xfId="1413" xr:uid="{00000000-0005-0000-0000-000085050000}"/>
    <cellStyle name="Input 5" xfId="1414" xr:uid="{00000000-0005-0000-0000-000086050000}"/>
    <cellStyle name="Input 6" xfId="1410" xr:uid="{00000000-0005-0000-0000-000082050000}"/>
    <cellStyle name="Linked Cell" xfId="381" xr:uid="{00000000-0005-0000-0000-00007D010000}"/>
    <cellStyle name="Linked Cell 2" xfId="1416" xr:uid="{00000000-0005-0000-0000-000088050000}"/>
    <cellStyle name="Linked Cell 3" xfId="1417" xr:uid="{00000000-0005-0000-0000-000089050000}"/>
    <cellStyle name="Linked Cell 4" xfId="1418" xr:uid="{00000000-0005-0000-0000-00008A050000}"/>
    <cellStyle name="Linked Cell 5" xfId="1419" xr:uid="{00000000-0005-0000-0000-00008B050000}"/>
    <cellStyle name="Linked Cell 6" xfId="1415" xr:uid="{00000000-0005-0000-0000-000087050000}"/>
    <cellStyle name="Millares 10" xfId="1420" xr:uid="{00000000-0005-0000-0000-00008C050000}"/>
    <cellStyle name="Millares 10 10" xfId="1421" xr:uid="{00000000-0005-0000-0000-00008D050000}"/>
    <cellStyle name="Millares 10 11" xfId="1422" xr:uid="{00000000-0005-0000-0000-00008E050000}"/>
    <cellStyle name="Millares 10 12" xfId="1423" xr:uid="{00000000-0005-0000-0000-00008F050000}"/>
    <cellStyle name="Millares 10 13" xfId="1424" xr:uid="{00000000-0005-0000-0000-000090050000}"/>
    <cellStyle name="Millares 10 14" xfId="1425" xr:uid="{00000000-0005-0000-0000-000091050000}"/>
    <cellStyle name="Millares 10 15" xfId="1426" xr:uid="{00000000-0005-0000-0000-000092050000}"/>
    <cellStyle name="Millares 10 16" xfId="1427" xr:uid="{00000000-0005-0000-0000-000093050000}"/>
    <cellStyle name="Millares 10 17" xfId="1428" xr:uid="{00000000-0005-0000-0000-000094050000}"/>
    <cellStyle name="Millares 10 18" xfId="1429" xr:uid="{00000000-0005-0000-0000-000095050000}"/>
    <cellStyle name="Millares 10 19" xfId="1430" xr:uid="{00000000-0005-0000-0000-000096050000}"/>
    <cellStyle name="Millares 10 2" xfId="1431" xr:uid="{00000000-0005-0000-0000-000097050000}"/>
    <cellStyle name="Millares 10 2 2" xfId="1432" xr:uid="{00000000-0005-0000-0000-000098050000}"/>
    <cellStyle name="Millares 10 2 3" xfId="1433" xr:uid="{00000000-0005-0000-0000-000099050000}"/>
    <cellStyle name="Millares 10 20" xfId="1434" xr:uid="{00000000-0005-0000-0000-00009A050000}"/>
    <cellStyle name="Millares 10 21" xfId="1435" xr:uid="{00000000-0005-0000-0000-00009B050000}"/>
    <cellStyle name="Millares 10 22" xfId="1436" xr:uid="{00000000-0005-0000-0000-00009C050000}"/>
    <cellStyle name="Millares 10 23" xfId="1437" xr:uid="{00000000-0005-0000-0000-00009D050000}"/>
    <cellStyle name="Millares 10 24" xfId="1438" xr:uid="{00000000-0005-0000-0000-00009E050000}"/>
    <cellStyle name="Millares 10 25" xfId="1439" xr:uid="{00000000-0005-0000-0000-00009F050000}"/>
    <cellStyle name="Millares 10 3" xfId="1440" xr:uid="{00000000-0005-0000-0000-0000A0050000}"/>
    <cellStyle name="Millares 10 3 2" xfId="1441" xr:uid="{00000000-0005-0000-0000-0000A1050000}"/>
    <cellStyle name="Millares 10 3 3" xfId="1442" xr:uid="{00000000-0005-0000-0000-0000A2050000}"/>
    <cellStyle name="Millares 10 4" xfId="1443" xr:uid="{00000000-0005-0000-0000-0000A3050000}"/>
    <cellStyle name="Millares 10 5" xfId="1444" xr:uid="{00000000-0005-0000-0000-0000A4050000}"/>
    <cellStyle name="Millares 10 6" xfId="1445" xr:uid="{00000000-0005-0000-0000-0000A5050000}"/>
    <cellStyle name="Millares 10 7" xfId="1446" xr:uid="{00000000-0005-0000-0000-0000A6050000}"/>
    <cellStyle name="Millares 10 8" xfId="1447" xr:uid="{00000000-0005-0000-0000-0000A7050000}"/>
    <cellStyle name="Millares 10 9" xfId="1448" xr:uid="{00000000-0005-0000-0000-0000A8050000}"/>
    <cellStyle name="Millares 11" xfId="1449" xr:uid="{00000000-0005-0000-0000-0000A9050000}"/>
    <cellStyle name="Millares 11 2" xfId="1450" xr:uid="{00000000-0005-0000-0000-0000AA050000}"/>
    <cellStyle name="Millares 12" xfId="1451" xr:uid="{00000000-0005-0000-0000-0000AB050000}"/>
    <cellStyle name="Millares 12 2" xfId="1452" xr:uid="{00000000-0005-0000-0000-0000AC050000}"/>
    <cellStyle name="Millares 13" xfId="1453" xr:uid="{00000000-0005-0000-0000-0000AD050000}"/>
    <cellStyle name="Millares 13 2" xfId="1454" xr:uid="{00000000-0005-0000-0000-0000AE050000}"/>
    <cellStyle name="Millares 14" xfId="1455" xr:uid="{00000000-0005-0000-0000-0000AF050000}"/>
    <cellStyle name="Millares 15" xfId="1456" xr:uid="{00000000-0005-0000-0000-0000B0050000}"/>
    <cellStyle name="Millares 15 2" xfId="1457" xr:uid="{00000000-0005-0000-0000-0000B1050000}"/>
    <cellStyle name="Millares 16" xfId="1458" xr:uid="{00000000-0005-0000-0000-0000B2050000}"/>
    <cellStyle name="Millares 16 2" xfId="1459" xr:uid="{00000000-0005-0000-0000-0000B3050000}"/>
    <cellStyle name="Millares 17" xfId="1460" xr:uid="{00000000-0005-0000-0000-0000B4050000}"/>
    <cellStyle name="Millares 17 2" xfId="1461" xr:uid="{00000000-0005-0000-0000-0000B5050000}"/>
    <cellStyle name="Millares 18" xfId="1462" xr:uid="{00000000-0005-0000-0000-0000B6050000}"/>
    <cellStyle name="Millares 19" xfId="1463" xr:uid="{00000000-0005-0000-0000-0000B7050000}"/>
    <cellStyle name="Millares 19 2" xfId="1464" xr:uid="{00000000-0005-0000-0000-0000B8050000}"/>
    <cellStyle name="Millares 19 3" xfId="1465" xr:uid="{00000000-0005-0000-0000-0000B9050000}"/>
    <cellStyle name="Millares 2" xfId="382" xr:uid="{00000000-0005-0000-0000-00007E010000}"/>
    <cellStyle name="Millares 2 10" xfId="1467" xr:uid="{00000000-0005-0000-0000-0000BB050000}"/>
    <cellStyle name="Millares 2 10 2" xfId="1468" xr:uid="{00000000-0005-0000-0000-0000BC050000}"/>
    <cellStyle name="Millares 2 10 3" xfId="1469" xr:uid="{00000000-0005-0000-0000-0000BD050000}"/>
    <cellStyle name="Millares 2 11" xfId="1470" xr:uid="{00000000-0005-0000-0000-0000BE050000}"/>
    <cellStyle name="Millares 2 12" xfId="1471" xr:uid="{00000000-0005-0000-0000-0000BF050000}"/>
    <cellStyle name="Millares 2 13" xfId="1472" xr:uid="{00000000-0005-0000-0000-0000C0050000}"/>
    <cellStyle name="Millares 2 13 2" xfId="1473" xr:uid="{00000000-0005-0000-0000-0000C1050000}"/>
    <cellStyle name="Millares 2 13 2 2" xfId="1474" xr:uid="{00000000-0005-0000-0000-0000C2050000}"/>
    <cellStyle name="Millares 2 14" xfId="1475" xr:uid="{00000000-0005-0000-0000-0000C3050000}"/>
    <cellStyle name="Millares 2 14 2" xfId="1476" xr:uid="{00000000-0005-0000-0000-0000C4050000}"/>
    <cellStyle name="Millares 2 14 3" xfId="1477" xr:uid="{00000000-0005-0000-0000-0000C5050000}"/>
    <cellStyle name="Millares 2 15" xfId="1478" xr:uid="{00000000-0005-0000-0000-0000C6050000}"/>
    <cellStyle name="Millares 2 15 2" xfId="1479" xr:uid="{00000000-0005-0000-0000-0000C7050000}"/>
    <cellStyle name="Millares 2 15 3" xfId="1480" xr:uid="{00000000-0005-0000-0000-0000C8050000}"/>
    <cellStyle name="Millares 2 16" xfId="1481" xr:uid="{00000000-0005-0000-0000-0000C9050000}"/>
    <cellStyle name="Millares 2 16 2" xfId="1482" xr:uid="{00000000-0005-0000-0000-0000CA050000}"/>
    <cellStyle name="Millares 2 17" xfId="1483" xr:uid="{00000000-0005-0000-0000-0000CB050000}"/>
    <cellStyle name="Millares 2 17 2" xfId="1484" xr:uid="{00000000-0005-0000-0000-0000CC050000}"/>
    <cellStyle name="Millares 2 18" xfId="1485" xr:uid="{00000000-0005-0000-0000-0000CD050000}"/>
    <cellStyle name="Millares 2 19" xfId="1486" xr:uid="{00000000-0005-0000-0000-0000CE050000}"/>
    <cellStyle name="Millares 2 2" xfId="383" xr:uid="{00000000-0005-0000-0000-00007F010000}"/>
    <cellStyle name="Millares 2 2 10" xfId="1488" xr:uid="{00000000-0005-0000-0000-0000D0050000}"/>
    <cellStyle name="Millares 2 2 11" xfId="1489" xr:uid="{00000000-0005-0000-0000-0000D1050000}"/>
    <cellStyle name="Millares 2 2 12" xfId="1490" xr:uid="{00000000-0005-0000-0000-0000D2050000}"/>
    <cellStyle name="Millares 2 2 13" xfId="1491" xr:uid="{00000000-0005-0000-0000-0000D3050000}"/>
    <cellStyle name="Millares 2 2 14" xfId="1492" xr:uid="{00000000-0005-0000-0000-0000D4050000}"/>
    <cellStyle name="Millares 2 2 15" xfId="1493" xr:uid="{00000000-0005-0000-0000-0000D5050000}"/>
    <cellStyle name="Millares 2 2 16" xfId="1494" xr:uid="{00000000-0005-0000-0000-0000D6050000}"/>
    <cellStyle name="Millares 2 2 17" xfId="1495" xr:uid="{00000000-0005-0000-0000-0000D7050000}"/>
    <cellStyle name="Millares 2 2 18" xfId="1496" xr:uid="{00000000-0005-0000-0000-0000D8050000}"/>
    <cellStyle name="Millares 2 2 19" xfId="1497" xr:uid="{00000000-0005-0000-0000-0000D9050000}"/>
    <cellStyle name="Millares 2 2 2" xfId="1498" xr:uid="{00000000-0005-0000-0000-0000DA050000}"/>
    <cellStyle name="Millares 2 2 2 10" xfId="1499" xr:uid="{00000000-0005-0000-0000-0000DB050000}"/>
    <cellStyle name="Millares 2 2 2 11" xfId="1500" xr:uid="{00000000-0005-0000-0000-0000DC050000}"/>
    <cellStyle name="Millares 2 2 2 12" xfId="1501" xr:uid="{00000000-0005-0000-0000-0000DD050000}"/>
    <cellStyle name="Millares 2 2 2 13" xfId="1502" xr:uid="{00000000-0005-0000-0000-0000DE050000}"/>
    <cellStyle name="Millares 2 2 2 14" xfId="1503" xr:uid="{00000000-0005-0000-0000-0000DF050000}"/>
    <cellStyle name="Millares 2 2 2 15" xfId="1504" xr:uid="{00000000-0005-0000-0000-0000E0050000}"/>
    <cellStyle name="Millares 2 2 2 16" xfId="1505" xr:uid="{00000000-0005-0000-0000-0000E1050000}"/>
    <cellStyle name="Millares 2 2 2 17" xfId="1506" xr:uid="{00000000-0005-0000-0000-0000E2050000}"/>
    <cellStyle name="Millares 2 2 2 18" xfId="1507" xr:uid="{00000000-0005-0000-0000-0000E3050000}"/>
    <cellStyle name="Millares 2 2 2 19" xfId="1508" xr:uid="{00000000-0005-0000-0000-0000E4050000}"/>
    <cellStyle name="Millares 2 2 2 2" xfId="1509" xr:uid="{00000000-0005-0000-0000-0000E5050000}"/>
    <cellStyle name="Millares 2 2 2 2 10" xfId="1510" xr:uid="{00000000-0005-0000-0000-0000E6050000}"/>
    <cellStyle name="Millares 2 2 2 2 11" xfId="1511" xr:uid="{00000000-0005-0000-0000-0000E7050000}"/>
    <cellStyle name="Millares 2 2 2 2 12" xfId="1512" xr:uid="{00000000-0005-0000-0000-0000E8050000}"/>
    <cellStyle name="Millares 2 2 2 2 13" xfId="1513" xr:uid="{00000000-0005-0000-0000-0000E9050000}"/>
    <cellStyle name="Millares 2 2 2 2 14" xfId="1514" xr:uid="{00000000-0005-0000-0000-0000EA050000}"/>
    <cellStyle name="Millares 2 2 2 2 15" xfId="1515" xr:uid="{00000000-0005-0000-0000-0000EB050000}"/>
    <cellStyle name="Millares 2 2 2 2 16" xfId="1516" xr:uid="{00000000-0005-0000-0000-0000EC050000}"/>
    <cellStyle name="Millares 2 2 2 2 17" xfId="1517" xr:uid="{00000000-0005-0000-0000-0000ED050000}"/>
    <cellStyle name="Millares 2 2 2 2 18" xfId="1518" xr:uid="{00000000-0005-0000-0000-0000EE050000}"/>
    <cellStyle name="Millares 2 2 2 2 19" xfId="1519" xr:uid="{00000000-0005-0000-0000-0000EF050000}"/>
    <cellStyle name="Millares 2 2 2 2 2" xfId="1520" xr:uid="{00000000-0005-0000-0000-0000F0050000}"/>
    <cellStyle name="Millares 2 2 2 2 2 10" xfId="1521" xr:uid="{00000000-0005-0000-0000-0000F1050000}"/>
    <cellStyle name="Millares 2 2 2 2 2 11" xfId="1522" xr:uid="{00000000-0005-0000-0000-0000F2050000}"/>
    <cellStyle name="Millares 2 2 2 2 2 12" xfId="1523" xr:uid="{00000000-0005-0000-0000-0000F3050000}"/>
    <cellStyle name="Millares 2 2 2 2 2 13" xfId="1524" xr:uid="{00000000-0005-0000-0000-0000F4050000}"/>
    <cellStyle name="Millares 2 2 2 2 2 14" xfId="1525" xr:uid="{00000000-0005-0000-0000-0000F5050000}"/>
    <cellStyle name="Millares 2 2 2 2 2 15" xfId="1526" xr:uid="{00000000-0005-0000-0000-0000F6050000}"/>
    <cellStyle name="Millares 2 2 2 2 2 16" xfId="1527" xr:uid="{00000000-0005-0000-0000-0000F7050000}"/>
    <cellStyle name="Millares 2 2 2 2 2 17" xfId="1528" xr:uid="{00000000-0005-0000-0000-0000F8050000}"/>
    <cellStyle name="Millares 2 2 2 2 2 18" xfId="1529" xr:uid="{00000000-0005-0000-0000-0000F9050000}"/>
    <cellStyle name="Millares 2 2 2 2 2 19" xfId="1530" xr:uid="{00000000-0005-0000-0000-0000FA050000}"/>
    <cellStyle name="Millares 2 2 2 2 2 2" xfId="1531" xr:uid="{00000000-0005-0000-0000-0000FB050000}"/>
    <cellStyle name="Millares 2 2 2 2 2 2 10" xfId="1532" xr:uid="{00000000-0005-0000-0000-0000FC050000}"/>
    <cellStyle name="Millares 2 2 2 2 2 2 11" xfId="1533" xr:uid="{00000000-0005-0000-0000-0000FD050000}"/>
    <cellStyle name="Millares 2 2 2 2 2 2 12" xfId="1534" xr:uid="{00000000-0005-0000-0000-0000FE050000}"/>
    <cellStyle name="Millares 2 2 2 2 2 2 13" xfId="1535" xr:uid="{00000000-0005-0000-0000-0000FF050000}"/>
    <cellStyle name="Millares 2 2 2 2 2 2 14" xfId="1536" xr:uid="{00000000-0005-0000-0000-000000060000}"/>
    <cellStyle name="Millares 2 2 2 2 2 2 15" xfId="1537" xr:uid="{00000000-0005-0000-0000-000001060000}"/>
    <cellStyle name="Millares 2 2 2 2 2 2 16" xfId="1538" xr:uid="{00000000-0005-0000-0000-000002060000}"/>
    <cellStyle name="Millares 2 2 2 2 2 2 17" xfId="1539" xr:uid="{00000000-0005-0000-0000-000003060000}"/>
    <cellStyle name="Millares 2 2 2 2 2 2 18" xfId="1540" xr:uid="{00000000-0005-0000-0000-000004060000}"/>
    <cellStyle name="Millares 2 2 2 2 2 2 19" xfId="1541" xr:uid="{00000000-0005-0000-0000-000005060000}"/>
    <cellStyle name="Millares 2 2 2 2 2 2 2" xfId="1542" xr:uid="{00000000-0005-0000-0000-000006060000}"/>
    <cellStyle name="Millares 2 2 2 2 2 2 2 10" xfId="1543" xr:uid="{00000000-0005-0000-0000-000007060000}"/>
    <cellStyle name="Millares 2 2 2 2 2 2 2 11" xfId="1544" xr:uid="{00000000-0005-0000-0000-000008060000}"/>
    <cellStyle name="Millares 2 2 2 2 2 2 2 12" xfId="1545" xr:uid="{00000000-0005-0000-0000-000009060000}"/>
    <cellStyle name="Millares 2 2 2 2 2 2 2 13" xfId="1546" xr:uid="{00000000-0005-0000-0000-00000A060000}"/>
    <cellStyle name="Millares 2 2 2 2 2 2 2 14" xfId="1547" xr:uid="{00000000-0005-0000-0000-00000B060000}"/>
    <cellStyle name="Millares 2 2 2 2 2 2 2 15" xfId="1548" xr:uid="{00000000-0005-0000-0000-00000C060000}"/>
    <cellStyle name="Millares 2 2 2 2 2 2 2 16" xfId="1549" xr:uid="{00000000-0005-0000-0000-00000D060000}"/>
    <cellStyle name="Millares 2 2 2 2 2 2 2 17" xfId="1550" xr:uid="{00000000-0005-0000-0000-00000E060000}"/>
    <cellStyle name="Millares 2 2 2 2 2 2 2 18" xfId="1551" xr:uid="{00000000-0005-0000-0000-00000F060000}"/>
    <cellStyle name="Millares 2 2 2 2 2 2 2 19" xfId="1552" xr:uid="{00000000-0005-0000-0000-000010060000}"/>
    <cellStyle name="Millares 2 2 2 2 2 2 2 2" xfId="1553" xr:uid="{00000000-0005-0000-0000-000011060000}"/>
    <cellStyle name="Millares 2 2 2 2 2 2 2 2 10" xfId="1554" xr:uid="{00000000-0005-0000-0000-000012060000}"/>
    <cellStyle name="Millares 2 2 2 2 2 2 2 2 11" xfId="1555" xr:uid="{00000000-0005-0000-0000-000013060000}"/>
    <cellStyle name="Millares 2 2 2 2 2 2 2 2 12" xfId="1556" xr:uid="{00000000-0005-0000-0000-000014060000}"/>
    <cellStyle name="Millares 2 2 2 2 2 2 2 2 13" xfId="1557" xr:uid="{00000000-0005-0000-0000-000015060000}"/>
    <cellStyle name="Millares 2 2 2 2 2 2 2 2 14" xfId="1558" xr:uid="{00000000-0005-0000-0000-000016060000}"/>
    <cellStyle name="Millares 2 2 2 2 2 2 2 2 15" xfId="1559" xr:uid="{00000000-0005-0000-0000-000017060000}"/>
    <cellStyle name="Millares 2 2 2 2 2 2 2 2 2" xfId="1560" xr:uid="{00000000-0005-0000-0000-000018060000}"/>
    <cellStyle name="Millares 2 2 2 2 2 2 2 2 2 10" xfId="1561" xr:uid="{00000000-0005-0000-0000-000019060000}"/>
    <cellStyle name="Millares 2 2 2 2 2 2 2 2 2 11" xfId="1562" xr:uid="{00000000-0005-0000-0000-00001A060000}"/>
    <cellStyle name="Millares 2 2 2 2 2 2 2 2 2 12" xfId="1563" xr:uid="{00000000-0005-0000-0000-00001B060000}"/>
    <cellStyle name="Millares 2 2 2 2 2 2 2 2 2 13" xfId="1564" xr:uid="{00000000-0005-0000-0000-00001C060000}"/>
    <cellStyle name="Millares 2 2 2 2 2 2 2 2 2 14" xfId="1565" xr:uid="{00000000-0005-0000-0000-00001D060000}"/>
    <cellStyle name="Millares 2 2 2 2 2 2 2 2 2 15" xfId="1566" xr:uid="{00000000-0005-0000-0000-00001E060000}"/>
    <cellStyle name="Millares 2 2 2 2 2 2 2 2 2 2" xfId="1567" xr:uid="{00000000-0005-0000-0000-00001F060000}"/>
    <cellStyle name="Millares 2 2 2 2 2 2 2 2 2 2 10" xfId="1568" xr:uid="{00000000-0005-0000-0000-000020060000}"/>
    <cellStyle name="Millares 2 2 2 2 2 2 2 2 2 2 11" xfId="1569" xr:uid="{00000000-0005-0000-0000-000021060000}"/>
    <cellStyle name="Millares 2 2 2 2 2 2 2 2 2 2 12" xfId="1570" xr:uid="{00000000-0005-0000-0000-000022060000}"/>
    <cellStyle name="Millares 2 2 2 2 2 2 2 2 2 2 2" xfId="1571" xr:uid="{00000000-0005-0000-0000-000023060000}"/>
    <cellStyle name="Millares 2 2 2 2 2 2 2 2 2 2 2 10" xfId="1572" xr:uid="{00000000-0005-0000-0000-000024060000}"/>
    <cellStyle name="Millares 2 2 2 2 2 2 2 2 2 2 2 2" xfId="1573" xr:uid="{00000000-0005-0000-0000-000025060000}"/>
    <cellStyle name="Millares 2 2 2 2 2 2 2 2 2 2 2 3" xfId="1574" xr:uid="{00000000-0005-0000-0000-000026060000}"/>
    <cellStyle name="Millares 2 2 2 2 2 2 2 2 2 2 2 4" xfId="1575" xr:uid="{00000000-0005-0000-0000-000027060000}"/>
    <cellStyle name="Millares 2 2 2 2 2 2 2 2 2 2 2 5" xfId="1576" xr:uid="{00000000-0005-0000-0000-000028060000}"/>
    <cellStyle name="Millares 2 2 2 2 2 2 2 2 2 2 2 6" xfId="1577" xr:uid="{00000000-0005-0000-0000-000029060000}"/>
    <cellStyle name="Millares 2 2 2 2 2 2 2 2 2 2 2 7" xfId="1578" xr:uid="{00000000-0005-0000-0000-00002A060000}"/>
    <cellStyle name="Millares 2 2 2 2 2 2 2 2 2 2 2 8" xfId="1579" xr:uid="{00000000-0005-0000-0000-00002B060000}"/>
    <cellStyle name="Millares 2 2 2 2 2 2 2 2 2 2 2 9" xfId="1580" xr:uid="{00000000-0005-0000-0000-00002C060000}"/>
    <cellStyle name="Millares 2 2 2 2 2 2 2 2 2 2 3" xfId="1581" xr:uid="{00000000-0005-0000-0000-00002D060000}"/>
    <cellStyle name="Millares 2 2 2 2 2 2 2 2 2 2 4" xfId="1582" xr:uid="{00000000-0005-0000-0000-00002E060000}"/>
    <cellStyle name="Millares 2 2 2 2 2 2 2 2 2 2 5" xfId="1583" xr:uid="{00000000-0005-0000-0000-00002F060000}"/>
    <cellStyle name="Millares 2 2 2 2 2 2 2 2 2 2 6" xfId="1584" xr:uid="{00000000-0005-0000-0000-000030060000}"/>
    <cellStyle name="Millares 2 2 2 2 2 2 2 2 2 2 7" xfId="1585" xr:uid="{00000000-0005-0000-0000-000031060000}"/>
    <cellStyle name="Millares 2 2 2 2 2 2 2 2 2 2 8" xfId="1586" xr:uid="{00000000-0005-0000-0000-000032060000}"/>
    <cellStyle name="Millares 2 2 2 2 2 2 2 2 2 2 9" xfId="1587" xr:uid="{00000000-0005-0000-0000-000033060000}"/>
    <cellStyle name="Millares 2 2 2 2 2 2 2 2 2 3" xfId="1588" xr:uid="{00000000-0005-0000-0000-000034060000}"/>
    <cellStyle name="Millares 2 2 2 2 2 2 2 2 2 4" xfId="1589" xr:uid="{00000000-0005-0000-0000-000035060000}"/>
    <cellStyle name="Millares 2 2 2 2 2 2 2 2 2 5" xfId="1590" xr:uid="{00000000-0005-0000-0000-000036060000}"/>
    <cellStyle name="Millares 2 2 2 2 2 2 2 2 2 6" xfId="1591" xr:uid="{00000000-0005-0000-0000-000037060000}"/>
    <cellStyle name="Millares 2 2 2 2 2 2 2 2 2 6 10" xfId="1592" xr:uid="{00000000-0005-0000-0000-000038060000}"/>
    <cellStyle name="Millares 2 2 2 2 2 2 2 2 2 6 2" xfId="1593" xr:uid="{00000000-0005-0000-0000-000039060000}"/>
    <cellStyle name="Millares 2 2 2 2 2 2 2 2 2 6 3" xfId="1594" xr:uid="{00000000-0005-0000-0000-00003A060000}"/>
    <cellStyle name="Millares 2 2 2 2 2 2 2 2 2 6 4" xfId="1595" xr:uid="{00000000-0005-0000-0000-00003B060000}"/>
    <cellStyle name="Millares 2 2 2 2 2 2 2 2 2 6 5" xfId="1596" xr:uid="{00000000-0005-0000-0000-00003C060000}"/>
    <cellStyle name="Millares 2 2 2 2 2 2 2 2 2 6 6" xfId="1597" xr:uid="{00000000-0005-0000-0000-00003D060000}"/>
    <cellStyle name="Millares 2 2 2 2 2 2 2 2 2 6 7" xfId="1598" xr:uid="{00000000-0005-0000-0000-00003E060000}"/>
    <cellStyle name="Millares 2 2 2 2 2 2 2 2 2 6 8" xfId="1599" xr:uid="{00000000-0005-0000-0000-00003F060000}"/>
    <cellStyle name="Millares 2 2 2 2 2 2 2 2 2 6 9" xfId="1600" xr:uid="{00000000-0005-0000-0000-000040060000}"/>
    <cellStyle name="Millares 2 2 2 2 2 2 2 2 2 7" xfId="1601" xr:uid="{00000000-0005-0000-0000-000041060000}"/>
    <cellStyle name="Millares 2 2 2 2 2 2 2 2 2 8" xfId="1602" xr:uid="{00000000-0005-0000-0000-000042060000}"/>
    <cellStyle name="Millares 2 2 2 2 2 2 2 2 2 9" xfId="1603" xr:uid="{00000000-0005-0000-0000-000043060000}"/>
    <cellStyle name="Millares 2 2 2 2 2 2 2 2 3" xfId="1604" xr:uid="{00000000-0005-0000-0000-000044060000}"/>
    <cellStyle name="Millares 2 2 2 2 2 2 2 2 4" xfId="1605" xr:uid="{00000000-0005-0000-0000-000045060000}"/>
    <cellStyle name="Millares 2 2 2 2 2 2 2 2 5" xfId="1606" xr:uid="{00000000-0005-0000-0000-000046060000}"/>
    <cellStyle name="Millares 2 2 2 2 2 2 2 2 6" xfId="1607" xr:uid="{00000000-0005-0000-0000-000047060000}"/>
    <cellStyle name="Millares 2 2 2 2 2 2 2 2 6 10" xfId="1608" xr:uid="{00000000-0005-0000-0000-000048060000}"/>
    <cellStyle name="Millares 2 2 2 2 2 2 2 2 6 2" xfId="1609" xr:uid="{00000000-0005-0000-0000-000049060000}"/>
    <cellStyle name="Millares 2 2 2 2 2 2 2 2 6 3" xfId="1610" xr:uid="{00000000-0005-0000-0000-00004A060000}"/>
    <cellStyle name="Millares 2 2 2 2 2 2 2 2 6 4" xfId="1611" xr:uid="{00000000-0005-0000-0000-00004B060000}"/>
    <cellStyle name="Millares 2 2 2 2 2 2 2 2 6 5" xfId="1612" xr:uid="{00000000-0005-0000-0000-00004C060000}"/>
    <cellStyle name="Millares 2 2 2 2 2 2 2 2 6 6" xfId="1613" xr:uid="{00000000-0005-0000-0000-00004D060000}"/>
    <cellStyle name="Millares 2 2 2 2 2 2 2 2 6 7" xfId="1614" xr:uid="{00000000-0005-0000-0000-00004E060000}"/>
    <cellStyle name="Millares 2 2 2 2 2 2 2 2 6 8" xfId="1615" xr:uid="{00000000-0005-0000-0000-00004F060000}"/>
    <cellStyle name="Millares 2 2 2 2 2 2 2 2 6 9" xfId="1616" xr:uid="{00000000-0005-0000-0000-000050060000}"/>
    <cellStyle name="Millares 2 2 2 2 2 2 2 2 7" xfId="1617" xr:uid="{00000000-0005-0000-0000-000051060000}"/>
    <cellStyle name="Millares 2 2 2 2 2 2 2 2 8" xfId="1618" xr:uid="{00000000-0005-0000-0000-000052060000}"/>
    <cellStyle name="Millares 2 2 2 2 2 2 2 2 9" xfId="1619" xr:uid="{00000000-0005-0000-0000-000053060000}"/>
    <cellStyle name="Millares 2 2 2 2 2 2 2 20" xfId="1620" xr:uid="{00000000-0005-0000-0000-000054060000}"/>
    <cellStyle name="Millares 2 2 2 2 2 2 2 21" xfId="1621" xr:uid="{00000000-0005-0000-0000-000055060000}"/>
    <cellStyle name="Millares 2 2 2 2 2 2 2 22" xfId="1622" xr:uid="{00000000-0005-0000-0000-000056060000}"/>
    <cellStyle name="Millares 2 2 2 2 2 2 2 23" xfId="1623" xr:uid="{00000000-0005-0000-0000-000057060000}"/>
    <cellStyle name="Millares 2 2 2 2 2 2 2 24" xfId="1624" xr:uid="{00000000-0005-0000-0000-000058060000}"/>
    <cellStyle name="Millares 2 2 2 2 2 2 2 25" xfId="1625" xr:uid="{00000000-0005-0000-0000-000059060000}"/>
    <cellStyle name="Millares 2 2 2 2 2 2 2 25 10" xfId="1626" xr:uid="{00000000-0005-0000-0000-00005A060000}"/>
    <cellStyle name="Millares 2 2 2 2 2 2 2 25 2" xfId="1627" xr:uid="{00000000-0005-0000-0000-00005B060000}"/>
    <cellStyle name="Millares 2 2 2 2 2 2 2 25 3" xfId="1628" xr:uid="{00000000-0005-0000-0000-00005C060000}"/>
    <cellStyle name="Millares 2 2 2 2 2 2 2 25 4" xfId="1629" xr:uid="{00000000-0005-0000-0000-00005D060000}"/>
    <cellStyle name="Millares 2 2 2 2 2 2 2 25 5" xfId="1630" xr:uid="{00000000-0005-0000-0000-00005E060000}"/>
    <cellStyle name="Millares 2 2 2 2 2 2 2 25 6" xfId="1631" xr:uid="{00000000-0005-0000-0000-00005F060000}"/>
    <cellStyle name="Millares 2 2 2 2 2 2 2 25 7" xfId="1632" xr:uid="{00000000-0005-0000-0000-000060060000}"/>
    <cellStyle name="Millares 2 2 2 2 2 2 2 25 8" xfId="1633" xr:uid="{00000000-0005-0000-0000-000061060000}"/>
    <cellStyle name="Millares 2 2 2 2 2 2 2 25 9" xfId="1634" xr:uid="{00000000-0005-0000-0000-000062060000}"/>
    <cellStyle name="Millares 2 2 2 2 2 2 2 26" xfId="1635" xr:uid="{00000000-0005-0000-0000-000063060000}"/>
    <cellStyle name="Millares 2 2 2 2 2 2 2 27" xfId="1636" xr:uid="{00000000-0005-0000-0000-000064060000}"/>
    <cellStyle name="Millares 2 2 2 2 2 2 2 28" xfId="1637" xr:uid="{00000000-0005-0000-0000-000065060000}"/>
    <cellStyle name="Millares 2 2 2 2 2 2 2 29" xfId="1638" xr:uid="{00000000-0005-0000-0000-000066060000}"/>
    <cellStyle name="Millares 2 2 2 2 2 2 2 3" xfId="1639" xr:uid="{00000000-0005-0000-0000-000067060000}"/>
    <cellStyle name="Millares 2 2 2 2 2 2 2 30" xfId="1640" xr:uid="{00000000-0005-0000-0000-000068060000}"/>
    <cellStyle name="Millares 2 2 2 2 2 2 2 31" xfId="1641" xr:uid="{00000000-0005-0000-0000-000069060000}"/>
    <cellStyle name="Millares 2 2 2 2 2 2 2 32" xfId="1642" xr:uid="{00000000-0005-0000-0000-00006A060000}"/>
    <cellStyle name="Millares 2 2 2 2 2 2 2 33" xfId="1643" xr:uid="{00000000-0005-0000-0000-00006B060000}"/>
    <cellStyle name="Millares 2 2 2 2 2 2 2 34" xfId="1644" xr:uid="{00000000-0005-0000-0000-00006C060000}"/>
    <cellStyle name="Millares 2 2 2 2 2 2 2 4" xfId="1645" xr:uid="{00000000-0005-0000-0000-00006D060000}"/>
    <cellStyle name="Millares 2 2 2 2 2 2 2 5" xfId="1646" xr:uid="{00000000-0005-0000-0000-00006E060000}"/>
    <cellStyle name="Millares 2 2 2 2 2 2 2 6" xfId="1647" xr:uid="{00000000-0005-0000-0000-00006F060000}"/>
    <cellStyle name="Millares 2 2 2 2 2 2 2 7" xfId="1648" xr:uid="{00000000-0005-0000-0000-000070060000}"/>
    <cellStyle name="Millares 2 2 2 2 2 2 2 8" xfId="1649" xr:uid="{00000000-0005-0000-0000-000071060000}"/>
    <cellStyle name="Millares 2 2 2 2 2 2 2 9" xfId="1650" xr:uid="{00000000-0005-0000-0000-000072060000}"/>
    <cellStyle name="Millares 2 2 2 2 2 2 20" xfId="1651" xr:uid="{00000000-0005-0000-0000-000073060000}"/>
    <cellStyle name="Millares 2 2 2 2 2 2 21" xfId="1652" xr:uid="{00000000-0005-0000-0000-000074060000}"/>
    <cellStyle name="Millares 2 2 2 2 2 2 22" xfId="1653" xr:uid="{00000000-0005-0000-0000-000075060000}"/>
    <cellStyle name="Millares 2 2 2 2 2 2 23" xfId="1654" xr:uid="{00000000-0005-0000-0000-000076060000}"/>
    <cellStyle name="Millares 2 2 2 2 2 2 24" xfId="1655" xr:uid="{00000000-0005-0000-0000-000077060000}"/>
    <cellStyle name="Millares 2 2 2 2 2 2 25" xfId="1656" xr:uid="{00000000-0005-0000-0000-000078060000}"/>
    <cellStyle name="Millares 2 2 2 2 2 2 25 10" xfId="1657" xr:uid="{00000000-0005-0000-0000-000079060000}"/>
    <cellStyle name="Millares 2 2 2 2 2 2 25 2" xfId="1658" xr:uid="{00000000-0005-0000-0000-00007A060000}"/>
    <cellStyle name="Millares 2 2 2 2 2 2 25 3" xfId="1659" xr:uid="{00000000-0005-0000-0000-00007B060000}"/>
    <cellStyle name="Millares 2 2 2 2 2 2 25 4" xfId="1660" xr:uid="{00000000-0005-0000-0000-00007C060000}"/>
    <cellStyle name="Millares 2 2 2 2 2 2 25 5" xfId="1661" xr:uid="{00000000-0005-0000-0000-00007D060000}"/>
    <cellStyle name="Millares 2 2 2 2 2 2 25 6" xfId="1662" xr:uid="{00000000-0005-0000-0000-00007E060000}"/>
    <cellStyle name="Millares 2 2 2 2 2 2 25 7" xfId="1663" xr:uid="{00000000-0005-0000-0000-00007F060000}"/>
    <cellStyle name="Millares 2 2 2 2 2 2 25 8" xfId="1664" xr:uid="{00000000-0005-0000-0000-000080060000}"/>
    <cellStyle name="Millares 2 2 2 2 2 2 25 9" xfId="1665" xr:uid="{00000000-0005-0000-0000-000081060000}"/>
    <cellStyle name="Millares 2 2 2 2 2 2 26" xfId="1666" xr:uid="{00000000-0005-0000-0000-000082060000}"/>
    <cellStyle name="Millares 2 2 2 2 2 2 27" xfId="1667" xr:uid="{00000000-0005-0000-0000-000083060000}"/>
    <cellStyle name="Millares 2 2 2 2 2 2 28" xfId="1668" xr:uid="{00000000-0005-0000-0000-000084060000}"/>
    <cellStyle name="Millares 2 2 2 2 2 2 29" xfId="1669" xr:uid="{00000000-0005-0000-0000-000085060000}"/>
    <cellStyle name="Millares 2 2 2 2 2 2 3" xfId="1670" xr:uid="{00000000-0005-0000-0000-000086060000}"/>
    <cellStyle name="Millares 2 2 2 2 2 2 30" xfId="1671" xr:uid="{00000000-0005-0000-0000-000087060000}"/>
    <cellStyle name="Millares 2 2 2 2 2 2 31" xfId="1672" xr:uid="{00000000-0005-0000-0000-000088060000}"/>
    <cellStyle name="Millares 2 2 2 2 2 2 32" xfId="1673" xr:uid="{00000000-0005-0000-0000-000089060000}"/>
    <cellStyle name="Millares 2 2 2 2 2 2 33" xfId="1674" xr:uid="{00000000-0005-0000-0000-00008A060000}"/>
    <cellStyle name="Millares 2 2 2 2 2 2 34" xfId="1675" xr:uid="{00000000-0005-0000-0000-00008B060000}"/>
    <cellStyle name="Millares 2 2 2 2 2 2 35" xfId="1676" xr:uid="{00000000-0005-0000-0000-00008C060000}"/>
    <cellStyle name="Millares 2 2 2 2 2 2 4" xfId="1677" xr:uid="{00000000-0005-0000-0000-00008D060000}"/>
    <cellStyle name="Millares 2 2 2 2 2 2 5" xfId="1678" xr:uid="{00000000-0005-0000-0000-00008E060000}"/>
    <cellStyle name="Millares 2 2 2 2 2 2 6" xfId="1679" xr:uid="{00000000-0005-0000-0000-00008F060000}"/>
    <cellStyle name="Millares 2 2 2 2 2 2 7" xfId="1680" xr:uid="{00000000-0005-0000-0000-000090060000}"/>
    <cellStyle name="Millares 2 2 2 2 2 2 8" xfId="1681" xr:uid="{00000000-0005-0000-0000-000091060000}"/>
    <cellStyle name="Millares 2 2 2 2 2 2 9" xfId="1682" xr:uid="{00000000-0005-0000-0000-000092060000}"/>
    <cellStyle name="Millares 2 2 2 2 2 20" xfId="1683" xr:uid="{00000000-0005-0000-0000-000093060000}"/>
    <cellStyle name="Millares 2 2 2 2 2 21" xfId="1684" xr:uid="{00000000-0005-0000-0000-000094060000}"/>
    <cellStyle name="Millares 2 2 2 2 2 22" xfId="1685" xr:uid="{00000000-0005-0000-0000-000095060000}"/>
    <cellStyle name="Millares 2 2 2 2 2 23" xfId="1686" xr:uid="{00000000-0005-0000-0000-000096060000}"/>
    <cellStyle name="Millares 2 2 2 2 2 24" xfId="1687" xr:uid="{00000000-0005-0000-0000-000097060000}"/>
    <cellStyle name="Millares 2 2 2 2 2 25" xfId="1688" xr:uid="{00000000-0005-0000-0000-000098060000}"/>
    <cellStyle name="Millares 2 2 2 2 2 26" xfId="1689" xr:uid="{00000000-0005-0000-0000-000099060000}"/>
    <cellStyle name="Millares 2 2 2 2 2 27" xfId="1690" xr:uid="{00000000-0005-0000-0000-00009A060000}"/>
    <cellStyle name="Millares 2 2 2 2 2 28" xfId="1691" xr:uid="{00000000-0005-0000-0000-00009B060000}"/>
    <cellStyle name="Millares 2 2 2 2 2 29" xfId="1692" xr:uid="{00000000-0005-0000-0000-00009C060000}"/>
    <cellStyle name="Millares 2 2 2 2 2 3" xfId="1693" xr:uid="{00000000-0005-0000-0000-00009D060000}"/>
    <cellStyle name="Millares 2 2 2 2 2 30" xfId="1694" xr:uid="{00000000-0005-0000-0000-00009E060000}"/>
    <cellStyle name="Millares 2 2 2 2 2 31" xfId="1695" xr:uid="{00000000-0005-0000-0000-00009F060000}"/>
    <cellStyle name="Millares 2 2 2 2 2 32" xfId="1696" xr:uid="{00000000-0005-0000-0000-0000A0060000}"/>
    <cellStyle name="Millares 2 2 2 2 2 33" xfId="1697" xr:uid="{00000000-0005-0000-0000-0000A1060000}"/>
    <cellStyle name="Millares 2 2 2 2 2 34" xfId="1698" xr:uid="{00000000-0005-0000-0000-0000A2060000}"/>
    <cellStyle name="Millares 2 2 2 2 2 35" xfId="1699" xr:uid="{00000000-0005-0000-0000-0000A3060000}"/>
    <cellStyle name="Millares 2 2 2 2 2 36" xfId="1700" xr:uid="{00000000-0005-0000-0000-0000A4060000}"/>
    <cellStyle name="Millares 2 2 2 2 2 37" xfId="1701" xr:uid="{00000000-0005-0000-0000-0000A5060000}"/>
    <cellStyle name="Millares 2 2 2 2 2 38" xfId="1702" xr:uid="{00000000-0005-0000-0000-0000A6060000}"/>
    <cellStyle name="Millares 2 2 2 2 2 38 10" xfId="1703" xr:uid="{00000000-0005-0000-0000-0000A7060000}"/>
    <cellStyle name="Millares 2 2 2 2 2 38 2" xfId="1704" xr:uid="{00000000-0005-0000-0000-0000A8060000}"/>
    <cellStyle name="Millares 2 2 2 2 2 38 3" xfId="1705" xr:uid="{00000000-0005-0000-0000-0000A9060000}"/>
    <cellStyle name="Millares 2 2 2 2 2 38 4" xfId="1706" xr:uid="{00000000-0005-0000-0000-0000AA060000}"/>
    <cellStyle name="Millares 2 2 2 2 2 38 5" xfId="1707" xr:uid="{00000000-0005-0000-0000-0000AB060000}"/>
    <cellStyle name="Millares 2 2 2 2 2 38 6" xfId="1708" xr:uid="{00000000-0005-0000-0000-0000AC060000}"/>
    <cellStyle name="Millares 2 2 2 2 2 38 7" xfId="1709" xr:uid="{00000000-0005-0000-0000-0000AD060000}"/>
    <cellStyle name="Millares 2 2 2 2 2 38 8" xfId="1710" xr:uid="{00000000-0005-0000-0000-0000AE060000}"/>
    <cellStyle name="Millares 2 2 2 2 2 38 9" xfId="1711" xr:uid="{00000000-0005-0000-0000-0000AF060000}"/>
    <cellStyle name="Millares 2 2 2 2 2 39" xfId="1712" xr:uid="{00000000-0005-0000-0000-0000B0060000}"/>
    <cellStyle name="Millares 2 2 2 2 2 4" xfId="1713" xr:uid="{00000000-0005-0000-0000-0000B1060000}"/>
    <cellStyle name="Millares 2 2 2 2 2 40" xfId="1714" xr:uid="{00000000-0005-0000-0000-0000B2060000}"/>
    <cellStyle name="Millares 2 2 2 2 2 41" xfId="1715" xr:uid="{00000000-0005-0000-0000-0000B3060000}"/>
    <cellStyle name="Millares 2 2 2 2 2 42" xfId="1716" xr:uid="{00000000-0005-0000-0000-0000B4060000}"/>
    <cellStyle name="Millares 2 2 2 2 2 43" xfId="1717" xr:uid="{00000000-0005-0000-0000-0000B5060000}"/>
    <cellStyle name="Millares 2 2 2 2 2 44" xfId="1718" xr:uid="{00000000-0005-0000-0000-0000B6060000}"/>
    <cellStyle name="Millares 2 2 2 2 2 45" xfId="1719" xr:uid="{00000000-0005-0000-0000-0000B7060000}"/>
    <cellStyle name="Millares 2 2 2 2 2 46" xfId="1720" xr:uid="{00000000-0005-0000-0000-0000B8060000}"/>
    <cellStyle name="Millares 2 2 2 2 2 47" xfId="1721" xr:uid="{00000000-0005-0000-0000-0000B9060000}"/>
    <cellStyle name="Millares 2 2 2 2 2 48" xfId="1722" xr:uid="{00000000-0005-0000-0000-0000BA060000}"/>
    <cellStyle name="Millares 2 2 2 2 2 5" xfId="1723" xr:uid="{00000000-0005-0000-0000-0000BB060000}"/>
    <cellStyle name="Millares 2 2 2 2 2 6" xfId="1724" xr:uid="{00000000-0005-0000-0000-0000BC060000}"/>
    <cellStyle name="Millares 2 2 2 2 2 7" xfId="1725" xr:uid="{00000000-0005-0000-0000-0000BD060000}"/>
    <cellStyle name="Millares 2 2 2 2 2 8" xfId="1726" xr:uid="{00000000-0005-0000-0000-0000BE060000}"/>
    <cellStyle name="Millares 2 2 2 2 2 9" xfId="1727" xr:uid="{00000000-0005-0000-0000-0000BF060000}"/>
    <cellStyle name="Millares 2 2 2 2 20" xfId="1728" xr:uid="{00000000-0005-0000-0000-0000C0060000}"/>
    <cellStyle name="Millares 2 2 2 2 21" xfId="1729" xr:uid="{00000000-0005-0000-0000-0000C1060000}"/>
    <cellStyle name="Millares 2 2 2 2 22" xfId="1730" xr:uid="{00000000-0005-0000-0000-0000C2060000}"/>
    <cellStyle name="Millares 2 2 2 2 23" xfId="1731" xr:uid="{00000000-0005-0000-0000-0000C3060000}"/>
    <cellStyle name="Millares 2 2 2 2 24" xfId="1732" xr:uid="{00000000-0005-0000-0000-0000C4060000}"/>
    <cellStyle name="Millares 2 2 2 2 25" xfId="1733" xr:uid="{00000000-0005-0000-0000-0000C5060000}"/>
    <cellStyle name="Millares 2 2 2 2 26" xfId="1734" xr:uid="{00000000-0005-0000-0000-0000C6060000}"/>
    <cellStyle name="Millares 2 2 2 2 27" xfId="1735" xr:uid="{00000000-0005-0000-0000-0000C7060000}"/>
    <cellStyle name="Millares 2 2 2 2 28" xfId="1736" xr:uid="{00000000-0005-0000-0000-0000C8060000}"/>
    <cellStyle name="Millares 2 2 2 2 29" xfId="1737" xr:uid="{00000000-0005-0000-0000-0000C9060000}"/>
    <cellStyle name="Millares 2 2 2 2 3" xfId="1738" xr:uid="{00000000-0005-0000-0000-0000CA060000}"/>
    <cellStyle name="Millares 2 2 2 2 30" xfId="1739" xr:uid="{00000000-0005-0000-0000-0000CB060000}"/>
    <cellStyle name="Millares 2 2 2 2 31" xfId="1740" xr:uid="{00000000-0005-0000-0000-0000CC060000}"/>
    <cellStyle name="Millares 2 2 2 2 32" xfId="1741" xr:uid="{00000000-0005-0000-0000-0000CD060000}"/>
    <cellStyle name="Millares 2 2 2 2 33" xfId="1742" xr:uid="{00000000-0005-0000-0000-0000CE060000}"/>
    <cellStyle name="Millares 2 2 2 2 34" xfId="1743" xr:uid="{00000000-0005-0000-0000-0000CF060000}"/>
    <cellStyle name="Millares 2 2 2 2 35" xfId="1744" xr:uid="{00000000-0005-0000-0000-0000D0060000}"/>
    <cellStyle name="Millares 2 2 2 2 36" xfId="1745" xr:uid="{00000000-0005-0000-0000-0000D1060000}"/>
    <cellStyle name="Millares 2 2 2 2 37" xfId="1746" xr:uid="{00000000-0005-0000-0000-0000D2060000}"/>
    <cellStyle name="Millares 2 2 2 2 38" xfId="1747" xr:uid="{00000000-0005-0000-0000-0000D3060000}"/>
    <cellStyle name="Millares 2 2 2 2 39" xfId="1748" xr:uid="{00000000-0005-0000-0000-0000D4060000}"/>
    <cellStyle name="Millares 2 2 2 2 39 10" xfId="1749" xr:uid="{00000000-0005-0000-0000-0000D5060000}"/>
    <cellStyle name="Millares 2 2 2 2 39 2" xfId="1750" xr:uid="{00000000-0005-0000-0000-0000D6060000}"/>
    <cellStyle name="Millares 2 2 2 2 39 3" xfId="1751" xr:uid="{00000000-0005-0000-0000-0000D7060000}"/>
    <cellStyle name="Millares 2 2 2 2 39 4" xfId="1752" xr:uid="{00000000-0005-0000-0000-0000D8060000}"/>
    <cellStyle name="Millares 2 2 2 2 39 5" xfId="1753" xr:uid="{00000000-0005-0000-0000-0000D9060000}"/>
    <cellStyle name="Millares 2 2 2 2 39 6" xfId="1754" xr:uid="{00000000-0005-0000-0000-0000DA060000}"/>
    <cellStyle name="Millares 2 2 2 2 39 7" xfId="1755" xr:uid="{00000000-0005-0000-0000-0000DB060000}"/>
    <cellStyle name="Millares 2 2 2 2 39 8" xfId="1756" xr:uid="{00000000-0005-0000-0000-0000DC060000}"/>
    <cellStyle name="Millares 2 2 2 2 39 9" xfId="1757" xr:uid="{00000000-0005-0000-0000-0000DD060000}"/>
    <cellStyle name="Millares 2 2 2 2 4" xfId="1758" xr:uid="{00000000-0005-0000-0000-0000DE060000}"/>
    <cellStyle name="Millares 2 2 2 2 4 10" xfId="1759" xr:uid="{00000000-0005-0000-0000-0000DF060000}"/>
    <cellStyle name="Millares 2 2 2 2 4 11" xfId="1760" xr:uid="{00000000-0005-0000-0000-0000E0060000}"/>
    <cellStyle name="Millares 2 2 2 2 4 12" xfId="1761" xr:uid="{00000000-0005-0000-0000-0000E1060000}"/>
    <cellStyle name="Millares 2 2 2 2 4 13" xfId="1762" xr:uid="{00000000-0005-0000-0000-0000E2060000}"/>
    <cellStyle name="Millares 2 2 2 2 4 14" xfId="1763" xr:uid="{00000000-0005-0000-0000-0000E3060000}"/>
    <cellStyle name="Millares 2 2 2 2 4 15" xfId="1764" xr:uid="{00000000-0005-0000-0000-0000E4060000}"/>
    <cellStyle name="Millares 2 2 2 2 4 16" xfId="1765" xr:uid="{00000000-0005-0000-0000-0000E5060000}"/>
    <cellStyle name="Millares 2 2 2 2 4 17" xfId="1766" xr:uid="{00000000-0005-0000-0000-0000E6060000}"/>
    <cellStyle name="Millares 2 2 2 2 4 18" xfId="1767" xr:uid="{00000000-0005-0000-0000-0000E7060000}"/>
    <cellStyle name="Millares 2 2 2 2 4 19" xfId="1768" xr:uid="{00000000-0005-0000-0000-0000E8060000}"/>
    <cellStyle name="Millares 2 2 2 2 4 2" xfId="1769" xr:uid="{00000000-0005-0000-0000-0000E9060000}"/>
    <cellStyle name="Millares 2 2 2 2 4 2 10" xfId="1770" xr:uid="{00000000-0005-0000-0000-0000EA060000}"/>
    <cellStyle name="Millares 2 2 2 2 4 2 11" xfId="1771" xr:uid="{00000000-0005-0000-0000-0000EB060000}"/>
    <cellStyle name="Millares 2 2 2 2 4 2 12" xfId="1772" xr:uid="{00000000-0005-0000-0000-0000EC060000}"/>
    <cellStyle name="Millares 2 2 2 2 4 2 13" xfId="1773" xr:uid="{00000000-0005-0000-0000-0000ED060000}"/>
    <cellStyle name="Millares 2 2 2 2 4 2 14" xfId="1774" xr:uid="{00000000-0005-0000-0000-0000EE060000}"/>
    <cellStyle name="Millares 2 2 2 2 4 2 15" xfId="1775" xr:uid="{00000000-0005-0000-0000-0000EF060000}"/>
    <cellStyle name="Millares 2 2 2 2 4 2 16" xfId="1776" xr:uid="{00000000-0005-0000-0000-0000F0060000}"/>
    <cellStyle name="Millares 2 2 2 2 4 2 17" xfId="1777" xr:uid="{00000000-0005-0000-0000-0000F1060000}"/>
    <cellStyle name="Millares 2 2 2 2 4 2 18" xfId="1778" xr:uid="{00000000-0005-0000-0000-0000F2060000}"/>
    <cellStyle name="Millares 2 2 2 2 4 2 19" xfId="1779" xr:uid="{00000000-0005-0000-0000-0000F3060000}"/>
    <cellStyle name="Millares 2 2 2 2 4 2 2" xfId="1780" xr:uid="{00000000-0005-0000-0000-0000F4060000}"/>
    <cellStyle name="Millares 2 2 2 2 4 2 20" xfId="1781" xr:uid="{00000000-0005-0000-0000-0000F5060000}"/>
    <cellStyle name="Millares 2 2 2 2 4 2 3" xfId="1782" xr:uid="{00000000-0005-0000-0000-0000F6060000}"/>
    <cellStyle name="Millares 2 2 2 2 4 2 4" xfId="1783" xr:uid="{00000000-0005-0000-0000-0000F7060000}"/>
    <cellStyle name="Millares 2 2 2 2 4 2 5" xfId="1784" xr:uid="{00000000-0005-0000-0000-0000F8060000}"/>
    <cellStyle name="Millares 2 2 2 2 4 2 6" xfId="1785" xr:uid="{00000000-0005-0000-0000-0000F9060000}"/>
    <cellStyle name="Millares 2 2 2 2 4 2 7" xfId="1786" xr:uid="{00000000-0005-0000-0000-0000FA060000}"/>
    <cellStyle name="Millares 2 2 2 2 4 2 8" xfId="1787" xr:uid="{00000000-0005-0000-0000-0000FB060000}"/>
    <cellStyle name="Millares 2 2 2 2 4 2 9" xfId="1788" xr:uid="{00000000-0005-0000-0000-0000FC060000}"/>
    <cellStyle name="Millares 2 2 2 2 4 20" xfId="1789" xr:uid="{00000000-0005-0000-0000-0000FD060000}"/>
    <cellStyle name="Millares 2 2 2 2 4 3" xfId="1790" xr:uid="{00000000-0005-0000-0000-0000FE060000}"/>
    <cellStyle name="Millares 2 2 2 2 4 4" xfId="1791" xr:uid="{00000000-0005-0000-0000-0000FF060000}"/>
    <cellStyle name="Millares 2 2 2 2 4 5" xfId="1792" xr:uid="{00000000-0005-0000-0000-000000070000}"/>
    <cellStyle name="Millares 2 2 2 2 4 6" xfId="1793" xr:uid="{00000000-0005-0000-0000-000001070000}"/>
    <cellStyle name="Millares 2 2 2 2 4 7" xfId="1794" xr:uid="{00000000-0005-0000-0000-000002070000}"/>
    <cellStyle name="Millares 2 2 2 2 4 8" xfId="1795" xr:uid="{00000000-0005-0000-0000-000003070000}"/>
    <cellStyle name="Millares 2 2 2 2 4 9" xfId="1796" xr:uid="{00000000-0005-0000-0000-000004070000}"/>
    <cellStyle name="Millares 2 2 2 2 40" xfId="1797" xr:uid="{00000000-0005-0000-0000-000005070000}"/>
    <cellStyle name="Millares 2 2 2 2 41" xfId="1798" xr:uid="{00000000-0005-0000-0000-000006070000}"/>
    <cellStyle name="Millares 2 2 2 2 42" xfId="1799" xr:uid="{00000000-0005-0000-0000-000007070000}"/>
    <cellStyle name="Millares 2 2 2 2 43" xfId="1800" xr:uid="{00000000-0005-0000-0000-000008070000}"/>
    <cellStyle name="Millares 2 2 2 2 44" xfId="1801" xr:uid="{00000000-0005-0000-0000-000009070000}"/>
    <cellStyle name="Millares 2 2 2 2 45" xfId="1802" xr:uid="{00000000-0005-0000-0000-00000A070000}"/>
    <cellStyle name="Millares 2 2 2 2 46" xfId="1803" xr:uid="{00000000-0005-0000-0000-00000B070000}"/>
    <cellStyle name="Millares 2 2 2 2 47" xfId="1804" xr:uid="{00000000-0005-0000-0000-00000C070000}"/>
    <cellStyle name="Millares 2 2 2 2 48" xfId="1805" xr:uid="{00000000-0005-0000-0000-00000D070000}"/>
    <cellStyle name="Millares 2 2 2 2 5" xfId="1806" xr:uid="{00000000-0005-0000-0000-00000E070000}"/>
    <cellStyle name="Millares 2 2 2 2 6" xfId="1807" xr:uid="{00000000-0005-0000-0000-00000F070000}"/>
    <cellStyle name="Millares 2 2 2 2 7" xfId="1808" xr:uid="{00000000-0005-0000-0000-000010070000}"/>
    <cellStyle name="Millares 2 2 2 2 8" xfId="1809" xr:uid="{00000000-0005-0000-0000-000011070000}"/>
    <cellStyle name="Millares 2 2 2 2 9" xfId="1810" xr:uid="{00000000-0005-0000-0000-000012070000}"/>
    <cellStyle name="Millares 2 2 2 20" xfId="1811" xr:uid="{00000000-0005-0000-0000-000013070000}"/>
    <cellStyle name="Millares 2 2 2 21" xfId="1812" xr:uid="{00000000-0005-0000-0000-000014070000}"/>
    <cellStyle name="Millares 2 2 2 22" xfId="1813" xr:uid="{00000000-0005-0000-0000-000015070000}"/>
    <cellStyle name="Millares 2 2 2 23" xfId="1814" xr:uid="{00000000-0005-0000-0000-000016070000}"/>
    <cellStyle name="Millares 2 2 2 24" xfId="1815" xr:uid="{00000000-0005-0000-0000-000017070000}"/>
    <cellStyle name="Millares 2 2 2 25" xfId="1816" xr:uid="{00000000-0005-0000-0000-000018070000}"/>
    <cellStyle name="Millares 2 2 2 26" xfId="1817" xr:uid="{00000000-0005-0000-0000-000019070000}"/>
    <cellStyle name="Millares 2 2 2 27" xfId="1818" xr:uid="{00000000-0005-0000-0000-00001A070000}"/>
    <cellStyle name="Millares 2 2 2 28" xfId="1819" xr:uid="{00000000-0005-0000-0000-00001B070000}"/>
    <cellStyle name="Millares 2 2 2 29" xfId="1820" xr:uid="{00000000-0005-0000-0000-00001C070000}"/>
    <cellStyle name="Millares 2 2 2 3" xfId="1821" xr:uid="{00000000-0005-0000-0000-00001D070000}"/>
    <cellStyle name="Millares 2 2 2 3 10" xfId="1822" xr:uid="{00000000-0005-0000-0000-00001E070000}"/>
    <cellStyle name="Millares 2 2 2 3 11" xfId="1823" xr:uid="{00000000-0005-0000-0000-00001F070000}"/>
    <cellStyle name="Millares 2 2 2 3 12" xfId="1824" xr:uid="{00000000-0005-0000-0000-000020070000}"/>
    <cellStyle name="Millares 2 2 2 3 13" xfId="1825" xr:uid="{00000000-0005-0000-0000-000021070000}"/>
    <cellStyle name="Millares 2 2 2 3 14" xfId="1826" xr:uid="{00000000-0005-0000-0000-000022070000}"/>
    <cellStyle name="Millares 2 2 2 3 15" xfId="1827" xr:uid="{00000000-0005-0000-0000-000023070000}"/>
    <cellStyle name="Millares 2 2 2 3 16" xfId="1828" xr:uid="{00000000-0005-0000-0000-000024070000}"/>
    <cellStyle name="Millares 2 2 2 3 17" xfId="1829" xr:uid="{00000000-0005-0000-0000-000025070000}"/>
    <cellStyle name="Millares 2 2 2 3 18" xfId="1830" xr:uid="{00000000-0005-0000-0000-000026070000}"/>
    <cellStyle name="Millares 2 2 2 3 19" xfId="1831" xr:uid="{00000000-0005-0000-0000-000027070000}"/>
    <cellStyle name="Millares 2 2 2 3 2" xfId="1832" xr:uid="{00000000-0005-0000-0000-000028070000}"/>
    <cellStyle name="Millares 2 2 2 3 2 10" xfId="1833" xr:uid="{00000000-0005-0000-0000-000029070000}"/>
    <cellStyle name="Millares 2 2 2 3 2 11" xfId="1834" xr:uid="{00000000-0005-0000-0000-00002A070000}"/>
    <cellStyle name="Millares 2 2 2 3 2 12" xfId="1835" xr:uid="{00000000-0005-0000-0000-00002B070000}"/>
    <cellStyle name="Millares 2 2 2 3 2 13" xfId="1836" xr:uid="{00000000-0005-0000-0000-00002C070000}"/>
    <cellStyle name="Millares 2 2 2 3 2 14" xfId="1837" xr:uid="{00000000-0005-0000-0000-00002D070000}"/>
    <cellStyle name="Millares 2 2 2 3 2 15" xfId="1838" xr:uid="{00000000-0005-0000-0000-00002E070000}"/>
    <cellStyle name="Millares 2 2 2 3 2 16" xfId="1839" xr:uid="{00000000-0005-0000-0000-00002F070000}"/>
    <cellStyle name="Millares 2 2 2 3 2 17" xfId="1840" xr:uid="{00000000-0005-0000-0000-000030070000}"/>
    <cellStyle name="Millares 2 2 2 3 2 18" xfId="1841" xr:uid="{00000000-0005-0000-0000-000031070000}"/>
    <cellStyle name="Millares 2 2 2 3 2 19" xfId="1842" xr:uid="{00000000-0005-0000-0000-000032070000}"/>
    <cellStyle name="Millares 2 2 2 3 2 2" xfId="1843" xr:uid="{00000000-0005-0000-0000-000033070000}"/>
    <cellStyle name="Millares 2 2 2 3 2 2 10" xfId="1844" xr:uid="{00000000-0005-0000-0000-000034070000}"/>
    <cellStyle name="Millares 2 2 2 3 2 2 11" xfId="1845" xr:uid="{00000000-0005-0000-0000-000035070000}"/>
    <cellStyle name="Millares 2 2 2 3 2 2 12" xfId="1846" xr:uid="{00000000-0005-0000-0000-000036070000}"/>
    <cellStyle name="Millares 2 2 2 3 2 2 13" xfId="1847" xr:uid="{00000000-0005-0000-0000-000037070000}"/>
    <cellStyle name="Millares 2 2 2 3 2 2 14" xfId="1848" xr:uid="{00000000-0005-0000-0000-000038070000}"/>
    <cellStyle name="Millares 2 2 2 3 2 2 15" xfId="1849" xr:uid="{00000000-0005-0000-0000-000039070000}"/>
    <cellStyle name="Millares 2 2 2 3 2 2 16" xfId="1850" xr:uid="{00000000-0005-0000-0000-00003A070000}"/>
    <cellStyle name="Millares 2 2 2 3 2 2 17" xfId="1851" xr:uid="{00000000-0005-0000-0000-00003B070000}"/>
    <cellStyle name="Millares 2 2 2 3 2 2 18" xfId="1852" xr:uid="{00000000-0005-0000-0000-00003C070000}"/>
    <cellStyle name="Millares 2 2 2 3 2 2 19" xfId="1853" xr:uid="{00000000-0005-0000-0000-00003D070000}"/>
    <cellStyle name="Millares 2 2 2 3 2 2 2" xfId="1854" xr:uid="{00000000-0005-0000-0000-00003E070000}"/>
    <cellStyle name="Millares 2 2 2 3 2 2 20" xfId="1855" xr:uid="{00000000-0005-0000-0000-00003F070000}"/>
    <cellStyle name="Millares 2 2 2 3 2 2 3" xfId="1856" xr:uid="{00000000-0005-0000-0000-000040070000}"/>
    <cellStyle name="Millares 2 2 2 3 2 2 4" xfId="1857" xr:uid="{00000000-0005-0000-0000-000041070000}"/>
    <cellStyle name="Millares 2 2 2 3 2 2 5" xfId="1858" xr:uid="{00000000-0005-0000-0000-000042070000}"/>
    <cellStyle name="Millares 2 2 2 3 2 2 6" xfId="1859" xr:uid="{00000000-0005-0000-0000-000043070000}"/>
    <cellStyle name="Millares 2 2 2 3 2 2 7" xfId="1860" xr:uid="{00000000-0005-0000-0000-000044070000}"/>
    <cellStyle name="Millares 2 2 2 3 2 2 8" xfId="1861" xr:uid="{00000000-0005-0000-0000-000045070000}"/>
    <cellStyle name="Millares 2 2 2 3 2 2 9" xfId="1862" xr:uid="{00000000-0005-0000-0000-000046070000}"/>
    <cellStyle name="Millares 2 2 2 3 2 20" xfId="1863" xr:uid="{00000000-0005-0000-0000-000047070000}"/>
    <cellStyle name="Millares 2 2 2 3 2 3" xfId="1864" xr:uid="{00000000-0005-0000-0000-000048070000}"/>
    <cellStyle name="Millares 2 2 2 3 2 4" xfId="1865" xr:uid="{00000000-0005-0000-0000-000049070000}"/>
    <cellStyle name="Millares 2 2 2 3 2 5" xfId="1866" xr:uid="{00000000-0005-0000-0000-00004A070000}"/>
    <cellStyle name="Millares 2 2 2 3 2 6" xfId="1867" xr:uid="{00000000-0005-0000-0000-00004B070000}"/>
    <cellStyle name="Millares 2 2 2 3 2 7" xfId="1868" xr:uid="{00000000-0005-0000-0000-00004C070000}"/>
    <cellStyle name="Millares 2 2 2 3 2 8" xfId="1869" xr:uid="{00000000-0005-0000-0000-00004D070000}"/>
    <cellStyle name="Millares 2 2 2 3 2 9" xfId="1870" xr:uid="{00000000-0005-0000-0000-00004E070000}"/>
    <cellStyle name="Millares 2 2 2 3 20" xfId="1871" xr:uid="{00000000-0005-0000-0000-00004F070000}"/>
    <cellStyle name="Millares 2 2 2 3 21" xfId="1872" xr:uid="{00000000-0005-0000-0000-000050070000}"/>
    <cellStyle name="Millares 2 2 2 3 22" xfId="1873" xr:uid="{00000000-0005-0000-0000-000051070000}"/>
    <cellStyle name="Millares 2 2 2 3 23" xfId="1874" xr:uid="{00000000-0005-0000-0000-000052070000}"/>
    <cellStyle name="Millares 2 2 2 3 24" xfId="1875" xr:uid="{00000000-0005-0000-0000-000053070000}"/>
    <cellStyle name="Millares 2 2 2 3 25" xfId="1876" xr:uid="{00000000-0005-0000-0000-000054070000}"/>
    <cellStyle name="Millares 2 2 2 3 26" xfId="1877" xr:uid="{00000000-0005-0000-0000-000055070000}"/>
    <cellStyle name="Millares 2 2 2 3 27" xfId="1878" xr:uid="{00000000-0005-0000-0000-000056070000}"/>
    <cellStyle name="Millares 2 2 2 3 28" xfId="1879" xr:uid="{00000000-0005-0000-0000-000057070000}"/>
    <cellStyle name="Millares 2 2 2 3 29" xfId="1880" xr:uid="{00000000-0005-0000-0000-000058070000}"/>
    <cellStyle name="Millares 2 2 2 3 3" xfId="1881" xr:uid="{00000000-0005-0000-0000-000059070000}"/>
    <cellStyle name="Millares 2 2 2 3 30" xfId="1882" xr:uid="{00000000-0005-0000-0000-00005A070000}"/>
    <cellStyle name="Millares 2 2 2 3 31" xfId="1883" xr:uid="{00000000-0005-0000-0000-00005B070000}"/>
    <cellStyle name="Millares 2 2 2 3 32" xfId="1884" xr:uid="{00000000-0005-0000-0000-00005C070000}"/>
    <cellStyle name="Millares 2 2 2 3 33" xfId="1885" xr:uid="{00000000-0005-0000-0000-00005D070000}"/>
    <cellStyle name="Millares 2 2 2 3 4" xfId="1886" xr:uid="{00000000-0005-0000-0000-00005E070000}"/>
    <cellStyle name="Millares 2 2 2 3 5" xfId="1887" xr:uid="{00000000-0005-0000-0000-00005F070000}"/>
    <cellStyle name="Millares 2 2 2 3 6" xfId="1888" xr:uid="{00000000-0005-0000-0000-000060070000}"/>
    <cellStyle name="Millares 2 2 2 3 7" xfId="1889" xr:uid="{00000000-0005-0000-0000-000061070000}"/>
    <cellStyle name="Millares 2 2 2 3 8" xfId="1890" xr:uid="{00000000-0005-0000-0000-000062070000}"/>
    <cellStyle name="Millares 2 2 2 3 9" xfId="1891" xr:uid="{00000000-0005-0000-0000-000063070000}"/>
    <cellStyle name="Millares 2 2 2 30" xfId="1892" xr:uid="{00000000-0005-0000-0000-000064070000}"/>
    <cellStyle name="Millares 2 2 2 31" xfId="1893" xr:uid="{00000000-0005-0000-0000-000065070000}"/>
    <cellStyle name="Millares 2 2 2 32" xfId="1894" xr:uid="{00000000-0005-0000-0000-000066070000}"/>
    <cellStyle name="Millares 2 2 2 33" xfId="1895" xr:uid="{00000000-0005-0000-0000-000067070000}"/>
    <cellStyle name="Millares 2 2 2 34" xfId="1896" xr:uid="{00000000-0005-0000-0000-000068070000}"/>
    <cellStyle name="Millares 2 2 2 35" xfId="1897" xr:uid="{00000000-0005-0000-0000-000069070000}"/>
    <cellStyle name="Millares 2 2 2 36" xfId="1898" xr:uid="{00000000-0005-0000-0000-00006A070000}"/>
    <cellStyle name="Millares 2 2 2 37" xfId="1899" xr:uid="{00000000-0005-0000-0000-00006B070000}"/>
    <cellStyle name="Millares 2 2 2 38" xfId="1900" xr:uid="{00000000-0005-0000-0000-00006C070000}"/>
    <cellStyle name="Millares 2 2 2 39" xfId="1901" xr:uid="{00000000-0005-0000-0000-00006D070000}"/>
    <cellStyle name="Millares 2 2 2 39 10" xfId="1902" xr:uid="{00000000-0005-0000-0000-00006E070000}"/>
    <cellStyle name="Millares 2 2 2 39 2" xfId="1903" xr:uid="{00000000-0005-0000-0000-00006F070000}"/>
    <cellStyle name="Millares 2 2 2 39 3" xfId="1904" xr:uid="{00000000-0005-0000-0000-000070070000}"/>
    <cellStyle name="Millares 2 2 2 39 4" xfId="1905" xr:uid="{00000000-0005-0000-0000-000071070000}"/>
    <cellStyle name="Millares 2 2 2 39 5" xfId="1906" xr:uid="{00000000-0005-0000-0000-000072070000}"/>
    <cellStyle name="Millares 2 2 2 39 6" xfId="1907" xr:uid="{00000000-0005-0000-0000-000073070000}"/>
    <cellStyle name="Millares 2 2 2 39 7" xfId="1908" xr:uid="{00000000-0005-0000-0000-000074070000}"/>
    <cellStyle name="Millares 2 2 2 39 8" xfId="1909" xr:uid="{00000000-0005-0000-0000-000075070000}"/>
    <cellStyle name="Millares 2 2 2 39 9" xfId="1910" xr:uid="{00000000-0005-0000-0000-000076070000}"/>
    <cellStyle name="Millares 2 2 2 4" xfId="1911" xr:uid="{00000000-0005-0000-0000-000077070000}"/>
    <cellStyle name="Millares 2 2 2 4 10" xfId="1912" xr:uid="{00000000-0005-0000-0000-000078070000}"/>
    <cellStyle name="Millares 2 2 2 4 11" xfId="1913" xr:uid="{00000000-0005-0000-0000-000079070000}"/>
    <cellStyle name="Millares 2 2 2 4 12" xfId="1914" xr:uid="{00000000-0005-0000-0000-00007A070000}"/>
    <cellStyle name="Millares 2 2 2 4 13" xfId="1915" xr:uid="{00000000-0005-0000-0000-00007B070000}"/>
    <cellStyle name="Millares 2 2 2 4 14" xfId="1916" xr:uid="{00000000-0005-0000-0000-00007C070000}"/>
    <cellStyle name="Millares 2 2 2 4 15" xfId="1917" xr:uid="{00000000-0005-0000-0000-00007D070000}"/>
    <cellStyle name="Millares 2 2 2 4 16" xfId="1918" xr:uid="{00000000-0005-0000-0000-00007E070000}"/>
    <cellStyle name="Millares 2 2 2 4 17" xfId="1919" xr:uid="{00000000-0005-0000-0000-00007F070000}"/>
    <cellStyle name="Millares 2 2 2 4 18" xfId="1920" xr:uid="{00000000-0005-0000-0000-000080070000}"/>
    <cellStyle name="Millares 2 2 2 4 19" xfId="1921" xr:uid="{00000000-0005-0000-0000-000081070000}"/>
    <cellStyle name="Millares 2 2 2 4 2" xfId="1922" xr:uid="{00000000-0005-0000-0000-000082070000}"/>
    <cellStyle name="Millares 2 2 2 4 2 10" xfId="1923" xr:uid="{00000000-0005-0000-0000-000083070000}"/>
    <cellStyle name="Millares 2 2 2 4 2 11" xfId="1924" xr:uid="{00000000-0005-0000-0000-000084070000}"/>
    <cellStyle name="Millares 2 2 2 4 2 12" xfId="1925" xr:uid="{00000000-0005-0000-0000-000085070000}"/>
    <cellStyle name="Millares 2 2 2 4 2 13" xfId="1926" xr:uid="{00000000-0005-0000-0000-000086070000}"/>
    <cellStyle name="Millares 2 2 2 4 2 14" xfId="1927" xr:uid="{00000000-0005-0000-0000-000087070000}"/>
    <cellStyle name="Millares 2 2 2 4 2 15" xfId="1928" xr:uid="{00000000-0005-0000-0000-000088070000}"/>
    <cellStyle name="Millares 2 2 2 4 2 16" xfId="1929" xr:uid="{00000000-0005-0000-0000-000089070000}"/>
    <cellStyle name="Millares 2 2 2 4 2 17" xfId="1930" xr:uid="{00000000-0005-0000-0000-00008A070000}"/>
    <cellStyle name="Millares 2 2 2 4 2 18" xfId="1931" xr:uid="{00000000-0005-0000-0000-00008B070000}"/>
    <cellStyle name="Millares 2 2 2 4 2 19" xfId="1932" xr:uid="{00000000-0005-0000-0000-00008C070000}"/>
    <cellStyle name="Millares 2 2 2 4 2 2" xfId="1933" xr:uid="{00000000-0005-0000-0000-00008D070000}"/>
    <cellStyle name="Millares 2 2 2 4 2 20" xfId="1934" xr:uid="{00000000-0005-0000-0000-00008E070000}"/>
    <cellStyle name="Millares 2 2 2 4 2 3" xfId="1935" xr:uid="{00000000-0005-0000-0000-00008F070000}"/>
    <cellStyle name="Millares 2 2 2 4 2 4" xfId="1936" xr:uid="{00000000-0005-0000-0000-000090070000}"/>
    <cellStyle name="Millares 2 2 2 4 2 5" xfId="1937" xr:uid="{00000000-0005-0000-0000-000091070000}"/>
    <cellStyle name="Millares 2 2 2 4 2 6" xfId="1938" xr:uid="{00000000-0005-0000-0000-000092070000}"/>
    <cellStyle name="Millares 2 2 2 4 2 7" xfId="1939" xr:uid="{00000000-0005-0000-0000-000093070000}"/>
    <cellStyle name="Millares 2 2 2 4 2 8" xfId="1940" xr:uid="{00000000-0005-0000-0000-000094070000}"/>
    <cellStyle name="Millares 2 2 2 4 2 9" xfId="1941" xr:uid="{00000000-0005-0000-0000-000095070000}"/>
    <cellStyle name="Millares 2 2 2 4 20" xfId="1942" xr:uid="{00000000-0005-0000-0000-000096070000}"/>
    <cellStyle name="Millares 2 2 2 4 3" xfId="1943" xr:uid="{00000000-0005-0000-0000-000097070000}"/>
    <cellStyle name="Millares 2 2 2 4 4" xfId="1944" xr:uid="{00000000-0005-0000-0000-000098070000}"/>
    <cellStyle name="Millares 2 2 2 4 5" xfId="1945" xr:uid="{00000000-0005-0000-0000-000099070000}"/>
    <cellStyle name="Millares 2 2 2 4 6" xfId="1946" xr:uid="{00000000-0005-0000-0000-00009A070000}"/>
    <cellStyle name="Millares 2 2 2 4 7" xfId="1947" xr:uid="{00000000-0005-0000-0000-00009B070000}"/>
    <cellStyle name="Millares 2 2 2 4 8" xfId="1948" xr:uid="{00000000-0005-0000-0000-00009C070000}"/>
    <cellStyle name="Millares 2 2 2 4 9" xfId="1949" xr:uid="{00000000-0005-0000-0000-00009D070000}"/>
    <cellStyle name="Millares 2 2 2 40" xfId="1950" xr:uid="{00000000-0005-0000-0000-00009E070000}"/>
    <cellStyle name="Millares 2 2 2 41" xfId="1951" xr:uid="{00000000-0005-0000-0000-00009F070000}"/>
    <cellStyle name="Millares 2 2 2 42" xfId="1952" xr:uid="{00000000-0005-0000-0000-0000A0070000}"/>
    <cellStyle name="Millares 2 2 2 43" xfId="1953" xr:uid="{00000000-0005-0000-0000-0000A1070000}"/>
    <cellStyle name="Millares 2 2 2 44" xfId="1954" xr:uid="{00000000-0005-0000-0000-0000A2070000}"/>
    <cellStyle name="Millares 2 2 2 45" xfId="1955" xr:uid="{00000000-0005-0000-0000-0000A3070000}"/>
    <cellStyle name="Millares 2 2 2 46" xfId="1956" xr:uid="{00000000-0005-0000-0000-0000A4070000}"/>
    <cellStyle name="Millares 2 2 2 47" xfId="1957" xr:uid="{00000000-0005-0000-0000-0000A5070000}"/>
    <cellStyle name="Millares 2 2 2 48" xfId="1958" xr:uid="{00000000-0005-0000-0000-0000A6070000}"/>
    <cellStyle name="Millares 2 2 2 49" xfId="1959" xr:uid="{00000000-0005-0000-0000-0000A7070000}"/>
    <cellStyle name="Millares 2 2 2 5" xfId="1960" xr:uid="{00000000-0005-0000-0000-0000A8070000}"/>
    <cellStyle name="Millares 2 2 2 6" xfId="1961" xr:uid="{00000000-0005-0000-0000-0000A9070000}"/>
    <cellStyle name="Millares 2 2 2 7" xfId="1962" xr:uid="{00000000-0005-0000-0000-0000AA070000}"/>
    <cellStyle name="Millares 2 2 2 8" xfId="1963" xr:uid="{00000000-0005-0000-0000-0000AB070000}"/>
    <cellStyle name="Millares 2 2 2 9" xfId="1964" xr:uid="{00000000-0005-0000-0000-0000AC070000}"/>
    <cellStyle name="Millares 2 2 20" xfId="1965" xr:uid="{00000000-0005-0000-0000-0000AD070000}"/>
    <cellStyle name="Millares 2 2 21" xfId="1966" xr:uid="{00000000-0005-0000-0000-0000AE070000}"/>
    <cellStyle name="Millares 2 2 22" xfId="1967" xr:uid="{00000000-0005-0000-0000-0000AF070000}"/>
    <cellStyle name="Millares 2 2 23" xfId="1968" xr:uid="{00000000-0005-0000-0000-0000B0070000}"/>
    <cellStyle name="Millares 2 2 24" xfId="1969" xr:uid="{00000000-0005-0000-0000-0000B1070000}"/>
    <cellStyle name="Millares 2 2 25" xfId="1970" xr:uid="{00000000-0005-0000-0000-0000B2070000}"/>
    <cellStyle name="Millares 2 2 26" xfId="1971" xr:uid="{00000000-0005-0000-0000-0000B3070000}"/>
    <cellStyle name="Millares 2 2 27" xfId="1972" xr:uid="{00000000-0005-0000-0000-0000B4070000}"/>
    <cellStyle name="Millares 2 2 28" xfId="1973" xr:uid="{00000000-0005-0000-0000-0000B5070000}"/>
    <cellStyle name="Millares 2 2 29" xfId="1974" xr:uid="{00000000-0005-0000-0000-0000B6070000}"/>
    <cellStyle name="Millares 2 2 3" xfId="1975" xr:uid="{00000000-0005-0000-0000-0000B7070000}"/>
    <cellStyle name="Millares 2 2 3 10" xfId="1976" xr:uid="{00000000-0005-0000-0000-0000B8070000}"/>
    <cellStyle name="Millares 2 2 3 11" xfId="1977" xr:uid="{00000000-0005-0000-0000-0000B9070000}"/>
    <cellStyle name="Millares 2 2 3 12" xfId="1978" xr:uid="{00000000-0005-0000-0000-0000BA070000}"/>
    <cellStyle name="Millares 2 2 3 13" xfId="1979" xr:uid="{00000000-0005-0000-0000-0000BB070000}"/>
    <cellStyle name="Millares 2 2 3 14" xfId="1980" xr:uid="{00000000-0005-0000-0000-0000BC070000}"/>
    <cellStyle name="Millares 2 2 3 15" xfId="1981" xr:uid="{00000000-0005-0000-0000-0000BD070000}"/>
    <cellStyle name="Millares 2 2 3 16" xfId="1982" xr:uid="{00000000-0005-0000-0000-0000BE070000}"/>
    <cellStyle name="Millares 2 2 3 17" xfId="1983" xr:uid="{00000000-0005-0000-0000-0000BF070000}"/>
    <cellStyle name="Millares 2 2 3 18" xfId="1984" xr:uid="{00000000-0005-0000-0000-0000C0070000}"/>
    <cellStyle name="Millares 2 2 3 19" xfId="1985" xr:uid="{00000000-0005-0000-0000-0000C1070000}"/>
    <cellStyle name="Millares 2 2 3 2" xfId="1986" xr:uid="{00000000-0005-0000-0000-0000C2070000}"/>
    <cellStyle name="Millares 2 2 3 2 10" xfId="1987" xr:uid="{00000000-0005-0000-0000-0000C3070000}"/>
    <cellStyle name="Millares 2 2 3 2 11" xfId="1988" xr:uid="{00000000-0005-0000-0000-0000C4070000}"/>
    <cellStyle name="Millares 2 2 3 2 12" xfId="1989" xr:uid="{00000000-0005-0000-0000-0000C5070000}"/>
    <cellStyle name="Millares 2 2 3 2 13" xfId="1990" xr:uid="{00000000-0005-0000-0000-0000C6070000}"/>
    <cellStyle name="Millares 2 2 3 2 14" xfId="1991" xr:uid="{00000000-0005-0000-0000-0000C7070000}"/>
    <cellStyle name="Millares 2 2 3 2 15" xfId="1992" xr:uid="{00000000-0005-0000-0000-0000C8070000}"/>
    <cellStyle name="Millares 2 2 3 2 16" xfId="1993" xr:uid="{00000000-0005-0000-0000-0000C9070000}"/>
    <cellStyle name="Millares 2 2 3 2 17" xfId="1994" xr:uid="{00000000-0005-0000-0000-0000CA070000}"/>
    <cellStyle name="Millares 2 2 3 2 18" xfId="1995" xr:uid="{00000000-0005-0000-0000-0000CB070000}"/>
    <cellStyle name="Millares 2 2 3 2 19" xfId="1996" xr:uid="{00000000-0005-0000-0000-0000CC070000}"/>
    <cellStyle name="Millares 2 2 3 2 2" xfId="1997" xr:uid="{00000000-0005-0000-0000-0000CD070000}"/>
    <cellStyle name="Millares 2 2 3 2 2 10" xfId="1998" xr:uid="{00000000-0005-0000-0000-0000CE070000}"/>
    <cellStyle name="Millares 2 2 3 2 2 11" xfId="1999" xr:uid="{00000000-0005-0000-0000-0000CF070000}"/>
    <cellStyle name="Millares 2 2 3 2 2 12" xfId="2000" xr:uid="{00000000-0005-0000-0000-0000D0070000}"/>
    <cellStyle name="Millares 2 2 3 2 2 13" xfId="2001" xr:uid="{00000000-0005-0000-0000-0000D1070000}"/>
    <cellStyle name="Millares 2 2 3 2 2 14" xfId="2002" xr:uid="{00000000-0005-0000-0000-0000D2070000}"/>
    <cellStyle name="Millares 2 2 3 2 2 15" xfId="2003" xr:uid="{00000000-0005-0000-0000-0000D3070000}"/>
    <cellStyle name="Millares 2 2 3 2 2 16" xfId="2004" xr:uid="{00000000-0005-0000-0000-0000D4070000}"/>
    <cellStyle name="Millares 2 2 3 2 2 17" xfId="2005" xr:uid="{00000000-0005-0000-0000-0000D5070000}"/>
    <cellStyle name="Millares 2 2 3 2 2 18" xfId="2006" xr:uid="{00000000-0005-0000-0000-0000D6070000}"/>
    <cellStyle name="Millares 2 2 3 2 2 19" xfId="2007" xr:uid="{00000000-0005-0000-0000-0000D7070000}"/>
    <cellStyle name="Millares 2 2 3 2 2 2" xfId="2008" xr:uid="{00000000-0005-0000-0000-0000D8070000}"/>
    <cellStyle name="Millares 2 2 3 2 2 20" xfId="2009" xr:uid="{00000000-0005-0000-0000-0000D9070000}"/>
    <cellStyle name="Millares 2 2 3 2 2 3" xfId="2010" xr:uid="{00000000-0005-0000-0000-0000DA070000}"/>
    <cellStyle name="Millares 2 2 3 2 2 4" xfId="2011" xr:uid="{00000000-0005-0000-0000-0000DB070000}"/>
    <cellStyle name="Millares 2 2 3 2 2 5" xfId="2012" xr:uid="{00000000-0005-0000-0000-0000DC070000}"/>
    <cellStyle name="Millares 2 2 3 2 2 6" xfId="2013" xr:uid="{00000000-0005-0000-0000-0000DD070000}"/>
    <cellStyle name="Millares 2 2 3 2 2 7" xfId="2014" xr:uid="{00000000-0005-0000-0000-0000DE070000}"/>
    <cellStyle name="Millares 2 2 3 2 2 8" xfId="2015" xr:uid="{00000000-0005-0000-0000-0000DF070000}"/>
    <cellStyle name="Millares 2 2 3 2 2 9" xfId="2016" xr:uid="{00000000-0005-0000-0000-0000E0070000}"/>
    <cellStyle name="Millares 2 2 3 2 20" xfId="2017" xr:uid="{00000000-0005-0000-0000-0000E1070000}"/>
    <cellStyle name="Millares 2 2 3 2 3" xfId="2018" xr:uid="{00000000-0005-0000-0000-0000E2070000}"/>
    <cellStyle name="Millares 2 2 3 2 4" xfId="2019" xr:uid="{00000000-0005-0000-0000-0000E3070000}"/>
    <cellStyle name="Millares 2 2 3 2 5" xfId="2020" xr:uid="{00000000-0005-0000-0000-0000E4070000}"/>
    <cellStyle name="Millares 2 2 3 2 6" xfId="2021" xr:uid="{00000000-0005-0000-0000-0000E5070000}"/>
    <cellStyle name="Millares 2 2 3 2 7" xfId="2022" xr:uid="{00000000-0005-0000-0000-0000E6070000}"/>
    <cellStyle name="Millares 2 2 3 2 8" xfId="2023" xr:uid="{00000000-0005-0000-0000-0000E7070000}"/>
    <cellStyle name="Millares 2 2 3 2 9" xfId="2024" xr:uid="{00000000-0005-0000-0000-0000E8070000}"/>
    <cellStyle name="Millares 2 2 3 20" xfId="2025" xr:uid="{00000000-0005-0000-0000-0000E9070000}"/>
    <cellStyle name="Millares 2 2 3 21" xfId="2026" xr:uid="{00000000-0005-0000-0000-0000EA070000}"/>
    <cellStyle name="Millares 2 2 3 22" xfId="2027" xr:uid="{00000000-0005-0000-0000-0000EB070000}"/>
    <cellStyle name="Millares 2 2 3 23" xfId="2028" xr:uid="{00000000-0005-0000-0000-0000EC070000}"/>
    <cellStyle name="Millares 2 2 3 24" xfId="2029" xr:uid="{00000000-0005-0000-0000-0000ED070000}"/>
    <cellStyle name="Millares 2 2 3 25" xfId="2030" xr:uid="{00000000-0005-0000-0000-0000EE070000}"/>
    <cellStyle name="Millares 2 2 3 26" xfId="2031" xr:uid="{00000000-0005-0000-0000-0000EF070000}"/>
    <cellStyle name="Millares 2 2 3 27" xfId="2032" xr:uid="{00000000-0005-0000-0000-0000F0070000}"/>
    <cellStyle name="Millares 2 2 3 28" xfId="2033" xr:uid="{00000000-0005-0000-0000-0000F1070000}"/>
    <cellStyle name="Millares 2 2 3 29" xfId="2034" xr:uid="{00000000-0005-0000-0000-0000F2070000}"/>
    <cellStyle name="Millares 2 2 3 3" xfId="2035" xr:uid="{00000000-0005-0000-0000-0000F3070000}"/>
    <cellStyle name="Millares 2 2 3 30" xfId="2036" xr:uid="{00000000-0005-0000-0000-0000F4070000}"/>
    <cellStyle name="Millares 2 2 3 31" xfId="2037" xr:uid="{00000000-0005-0000-0000-0000F5070000}"/>
    <cellStyle name="Millares 2 2 3 32" xfId="2038" xr:uid="{00000000-0005-0000-0000-0000F6070000}"/>
    <cellStyle name="Millares 2 2 3 33" xfId="2039" xr:uid="{00000000-0005-0000-0000-0000F7070000}"/>
    <cellStyle name="Millares 2 2 3 34" xfId="2040" xr:uid="{00000000-0005-0000-0000-0000F8070000}"/>
    <cellStyle name="Millares 2 2 3 35" xfId="2041" xr:uid="{00000000-0005-0000-0000-0000F9070000}"/>
    <cellStyle name="Millares 2 2 3 4" xfId="2042" xr:uid="{00000000-0005-0000-0000-0000FA070000}"/>
    <cellStyle name="Millares 2 2 3 5" xfId="2043" xr:uid="{00000000-0005-0000-0000-0000FB070000}"/>
    <cellStyle name="Millares 2 2 3 6" xfId="2044" xr:uid="{00000000-0005-0000-0000-0000FC070000}"/>
    <cellStyle name="Millares 2 2 3 7" xfId="2045" xr:uid="{00000000-0005-0000-0000-0000FD070000}"/>
    <cellStyle name="Millares 2 2 3 8" xfId="2046" xr:uid="{00000000-0005-0000-0000-0000FE070000}"/>
    <cellStyle name="Millares 2 2 3 9" xfId="2047" xr:uid="{00000000-0005-0000-0000-0000FF070000}"/>
    <cellStyle name="Millares 2 2 30" xfId="2048" xr:uid="{00000000-0005-0000-0000-000000080000}"/>
    <cellStyle name="Millares 2 2 31" xfId="2049" xr:uid="{00000000-0005-0000-0000-000001080000}"/>
    <cellStyle name="Millares 2 2 32" xfId="2050" xr:uid="{00000000-0005-0000-0000-000002080000}"/>
    <cellStyle name="Millares 2 2 33" xfId="2051" xr:uid="{00000000-0005-0000-0000-000003080000}"/>
    <cellStyle name="Millares 2 2 34" xfId="2052" xr:uid="{00000000-0005-0000-0000-000004080000}"/>
    <cellStyle name="Millares 2 2 35" xfId="2053" xr:uid="{00000000-0005-0000-0000-000005080000}"/>
    <cellStyle name="Millares 2 2 36" xfId="2054" xr:uid="{00000000-0005-0000-0000-000006080000}"/>
    <cellStyle name="Millares 2 2 37" xfId="2055" xr:uid="{00000000-0005-0000-0000-000007080000}"/>
    <cellStyle name="Millares 2 2 38" xfId="2056" xr:uid="{00000000-0005-0000-0000-000008080000}"/>
    <cellStyle name="Millares 2 2 39" xfId="2057" xr:uid="{00000000-0005-0000-0000-000009080000}"/>
    <cellStyle name="Millares 2 2 39 10" xfId="2058" xr:uid="{00000000-0005-0000-0000-00000A080000}"/>
    <cellStyle name="Millares 2 2 39 2" xfId="2059" xr:uid="{00000000-0005-0000-0000-00000B080000}"/>
    <cellStyle name="Millares 2 2 39 3" xfId="2060" xr:uid="{00000000-0005-0000-0000-00000C080000}"/>
    <cellStyle name="Millares 2 2 39 4" xfId="2061" xr:uid="{00000000-0005-0000-0000-00000D080000}"/>
    <cellStyle name="Millares 2 2 39 5" xfId="2062" xr:uid="{00000000-0005-0000-0000-00000E080000}"/>
    <cellStyle name="Millares 2 2 39 6" xfId="2063" xr:uid="{00000000-0005-0000-0000-00000F080000}"/>
    <cellStyle name="Millares 2 2 39 7" xfId="2064" xr:uid="{00000000-0005-0000-0000-000010080000}"/>
    <cellStyle name="Millares 2 2 39 8" xfId="2065" xr:uid="{00000000-0005-0000-0000-000011080000}"/>
    <cellStyle name="Millares 2 2 39 9" xfId="2066" xr:uid="{00000000-0005-0000-0000-000012080000}"/>
    <cellStyle name="Millares 2 2 4" xfId="2067" xr:uid="{00000000-0005-0000-0000-000013080000}"/>
    <cellStyle name="Millares 2 2 4 10" xfId="2068" xr:uid="{00000000-0005-0000-0000-000014080000}"/>
    <cellStyle name="Millares 2 2 4 11" xfId="2069" xr:uid="{00000000-0005-0000-0000-000015080000}"/>
    <cellStyle name="Millares 2 2 4 12" xfId="2070" xr:uid="{00000000-0005-0000-0000-000016080000}"/>
    <cellStyle name="Millares 2 2 4 13" xfId="2071" xr:uid="{00000000-0005-0000-0000-000017080000}"/>
    <cellStyle name="Millares 2 2 4 14" xfId="2072" xr:uid="{00000000-0005-0000-0000-000018080000}"/>
    <cellStyle name="Millares 2 2 4 15" xfId="2073" xr:uid="{00000000-0005-0000-0000-000019080000}"/>
    <cellStyle name="Millares 2 2 4 16" xfId="2074" xr:uid="{00000000-0005-0000-0000-00001A080000}"/>
    <cellStyle name="Millares 2 2 4 17" xfId="2075" xr:uid="{00000000-0005-0000-0000-00001B080000}"/>
    <cellStyle name="Millares 2 2 4 18" xfId="2076" xr:uid="{00000000-0005-0000-0000-00001C080000}"/>
    <cellStyle name="Millares 2 2 4 19" xfId="2077" xr:uid="{00000000-0005-0000-0000-00001D080000}"/>
    <cellStyle name="Millares 2 2 4 2" xfId="2078" xr:uid="{00000000-0005-0000-0000-00001E080000}"/>
    <cellStyle name="Millares 2 2 4 2 10" xfId="2079" xr:uid="{00000000-0005-0000-0000-00001F080000}"/>
    <cellStyle name="Millares 2 2 4 2 11" xfId="2080" xr:uid="{00000000-0005-0000-0000-000020080000}"/>
    <cellStyle name="Millares 2 2 4 2 12" xfId="2081" xr:uid="{00000000-0005-0000-0000-000021080000}"/>
    <cellStyle name="Millares 2 2 4 2 13" xfId="2082" xr:uid="{00000000-0005-0000-0000-000022080000}"/>
    <cellStyle name="Millares 2 2 4 2 14" xfId="2083" xr:uid="{00000000-0005-0000-0000-000023080000}"/>
    <cellStyle name="Millares 2 2 4 2 15" xfId="2084" xr:uid="{00000000-0005-0000-0000-000024080000}"/>
    <cellStyle name="Millares 2 2 4 2 16" xfId="2085" xr:uid="{00000000-0005-0000-0000-000025080000}"/>
    <cellStyle name="Millares 2 2 4 2 17" xfId="2086" xr:uid="{00000000-0005-0000-0000-000026080000}"/>
    <cellStyle name="Millares 2 2 4 2 18" xfId="2087" xr:uid="{00000000-0005-0000-0000-000027080000}"/>
    <cellStyle name="Millares 2 2 4 2 19" xfId="2088" xr:uid="{00000000-0005-0000-0000-000028080000}"/>
    <cellStyle name="Millares 2 2 4 2 2" xfId="2089" xr:uid="{00000000-0005-0000-0000-000029080000}"/>
    <cellStyle name="Millares 2 2 4 2 20" xfId="2090" xr:uid="{00000000-0005-0000-0000-00002A080000}"/>
    <cellStyle name="Millares 2 2 4 2 3" xfId="2091" xr:uid="{00000000-0005-0000-0000-00002B080000}"/>
    <cellStyle name="Millares 2 2 4 2 4" xfId="2092" xr:uid="{00000000-0005-0000-0000-00002C080000}"/>
    <cellStyle name="Millares 2 2 4 2 5" xfId="2093" xr:uid="{00000000-0005-0000-0000-00002D080000}"/>
    <cellStyle name="Millares 2 2 4 2 6" xfId="2094" xr:uid="{00000000-0005-0000-0000-00002E080000}"/>
    <cellStyle name="Millares 2 2 4 2 7" xfId="2095" xr:uid="{00000000-0005-0000-0000-00002F080000}"/>
    <cellStyle name="Millares 2 2 4 2 8" xfId="2096" xr:uid="{00000000-0005-0000-0000-000030080000}"/>
    <cellStyle name="Millares 2 2 4 2 9" xfId="2097" xr:uid="{00000000-0005-0000-0000-000031080000}"/>
    <cellStyle name="Millares 2 2 4 20" xfId="2098" xr:uid="{00000000-0005-0000-0000-000032080000}"/>
    <cellStyle name="Millares 2 2 4 3" xfId="2099" xr:uid="{00000000-0005-0000-0000-000033080000}"/>
    <cellStyle name="Millares 2 2 4 4" xfId="2100" xr:uid="{00000000-0005-0000-0000-000034080000}"/>
    <cellStyle name="Millares 2 2 4 5" xfId="2101" xr:uid="{00000000-0005-0000-0000-000035080000}"/>
    <cellStyle name="Millares 2 2 4 6" xfId="2102" xr:uid="{00000000-0005-0000-0000-000036080000}"/>
    <cellStyle name="Millares 2 2 4 7" xfId="2103" xr:uid="{00000000-0005-0000-0000-000037080000}"/>
    <cellStyle name="Millares 2 2 4 8" xfId="2104" xr:uid="{00000000-0005-0000-0000-000038080000}"/>
    <cellStyle name="Millares 2 2 4 9" xfId="2105" xr:uid="{00000000-0005-0000-0000-000039080000}"/>
    <cellStyle name="Millares 2 2 40" xfId="2106" xr:uid="{00000000-0005-0000-0000-00003A080000}"/>
    <cellStyle name="Millares 2 2 41" xfId="2107" xr:uid="{00000000-0005-0000-0000-00003B080000}"/>
    <cellStyle name="Millares 2 2 42" xfId="2108" xr:uid="{00000000-0005-0000-0000-00003C080000}"/>
    <cellStyle name="Millares 2 2 43" xfId="2109" xr:uid="{00000000-0005-0000-0000-00003D080000}"/>
    <cellStyle name="Millares 2 2 44" xfId="2110" xr:uid="{00000000-0005-0000-0000-00003E080000}"/>
    <cellStyle name="Millares 2 2 45" xfId="2111" xr:uid="{00000000-0005-0000-0000-00003F080000}"/>
    <cellStyle name="Millares 2 2 46" xfId="2112" xr:uid="{00000000-0005-0000-0000-000040080000}"/>
    <cellStyle name="Millares 2 2 47" xfId="2113" xr:uid="{00000000-0005-0000-0000-000041080000}"/>
    <cellStyle name="Millares 2 2 48" xfId="2114" xr:uid="{00000000-0005-0000-0000-000042080000}"/>
    <cellStyle name="Millares 2 2 49" xfId="1487" xr:uid="{00000000-0005-0000-0000-0000CF050000}"/>
    <cellStyle name="Millares 2 2 5" xfId="2115" xr:uid="{00000000-0005-0000-0000-000043080000}"/>
    <cellStyle name="Millares 2 2 6" xfId="2116" xr:uid="{00000000-0005-0000-0000-000044080000}"/>
    <cellStyle name="Millares 2 2 7" xfId="2117" xr:uid="{00000000-0005-0000-0000-000045080000}"/>
    <cellStyle name="Millares 2 2 8" xfId="2118" xr:uid="{00000000-0005-0000-0000-000046080000}"/>
    <cellStyle name="Millares 2 2 9" xfId="2119" xr:uid="{00000000-0005-0000-0000-000047080000}"/>
    <cellStyle name="Millares 2 20" xfId="2120" xr:uid="{00000000-0005-0000-0000-000048080000}"/>
    <cellStyle name="Millares 2 21" xfId="1466" xr:uid="{00000000-0005-0000-0000-0000BA050000}"/>
    <cellStyle name="Millares 2 22" xfId="2121" xr:uid="{00000000-0005-0000-0000-000049080000}"/>
    <cellStyle name="Millares 2 24" xfId="2122" xr:uid="{00000000-0005-0000-0000-00004A080000}"/>
    <cellStyle name="Millares 2 26" xfId="2123" xr:uid="{00000000-0005-0000-0000-00004B080000}"/>
    <cellStyle name="Millares 2 28" xfId="2124" xr:uid="{00000000-0005-0000-0000-00004C080000}"/>
    <cellStyle name="Millares 2 3" xfId="384" xr:uid="{00000000-0005-0000-0000-000080010000}"/>
    <cellStyle name="Millares 2 3 2" xfId="2126" xr:uid="{00000000-0005-0000-0000-00004E080000}"/>
    <cellStyle name="Millares 2 3 3" xfId="2127" xr:uid="{00000000-0005-0000-0000-00004F080000}"/>
    <cellStyle name="Millares 2 3 4" xfId="2128" xr:uid="{00000000-0005-0000-0000-000050080000}"/>
    <cellStyle name="Millares 2 3 5" xfId="2129" xr:uid="{00000000-0005-0000-0000-000051080000}"/>
    <cellStyle name="Millares 2 3 6" xfId="2130" xr:uid="{00000000-0005-0000-0000-000052080000}"/>
    <cellStyle name="Millares 2 3 7" xfId="2125" xr:uid="{00000000-0005-0000-0000-00004D080000}"/>
    <cellStyle name="Millares 2 30" xfId="2131" xr:uid="{00000000-0005-0000-0000-000053080000}"/>
    <cellStyle name="Millares 2 32" xfId="2132" xr:uid="{00000000-0005-0000-0000-000054080000}"/>
    <cellStyle name="Millares 2 34" xfId="2133" xr:uid="{00000000-0005-0000-0000-000055080000}"/>
    <cellStyle name="Millares 2 36" xfId="2134" xr:uid="{00000000-0005-0000-0000-000056080000}"/>
    <cellStyle name="Millares 2 4" xfId="2135" xr:uid="{00000000-0005-0000-0000-000057080000}"/>
    <cellStyle name="Millares 2 4 2" xfId="2136" xr:uid="{00000000-0005-0000-0000-000058080000}"/>
    <cellStyle name="Millares 2 4 3" xfId="2137" xr:uid="{00000000-0005-0000-0000-000059080000}"/>
    <cellStyle name="Millares 2 4 4" xfId="2138" xr:uid="{00000000-0005-0000-0000-00005A080000}"/>
    <cellStyle name="Millares 2 4 5" xfId="2139" xr:uid="{00000000-0005-0000-0000-00005B080000}"/>
    <cellStyle name="Millares 2 4 6" xfId="2140" xr:uid="{00000000-0005-0000-0000-00005C080000}"/>
    <cellStyle name="Millares 2 4 7" xfId="2141" xr:uid="{00000000-0005-0000-0000-00005D080000}"/>
    <cellStyle name="Millares 2 4 8" xfId="2142" xr:uid="{00000000-0005-0000-0000-00005E080000}"/>
    <cellStyle name="Millares 2 5" xfId="2143" xr:uid="{00000000-0005-0000-0000-00005F080000}"/>
    <cellStyle name="Millares 2 6" xfId="2144" xr:uid="{00000000-0005-0000-0000-000060080000}"/>
    <cellStyle name="Millares 2 6 2" xfId="2145" xr:uid="{00000000-0005-0000-0000-000061080000}"/>
    <cellStyle name="Millares 2 7" xfId="2146" xr:uid="{00000000-0005-0000-0000-000062080000}"/>
    <cellStyle name="Millares 2 7 2" xfId="2147" xr:uid="{00000000-0005-0000-0000-000063080000}"/>
    <cellStyle name="Millares 2 7 3" xfId="2148" xr:uid="{00000000-0005-0000-0000-000064080000}"/>
    <cellStyle name="Millares 2 8" xfId="2149" xr:uid="{00000000-0005-0000-0000-000065080000}"/>
    <cellStyle name="Millares 2 8 2" xfId="2150" xr:uid="{00000000-0005-0000-0000-000066080000}"/>
    <cellStyle name="Millares 2 8 3" xfId="2151" xr:uid="{00000000-0005-0000-0000-000067080000}"/>
    <cellStyle name="Millares 2 9" xfId="2152" xr:uid="{00000000-0005-0000-0000-000068080000}"/>
    <cellStyle name="Millares 2 9 2" xfId="2153" xr:uid="{00000000-0005-0000-0000-000069080000}"/>
    <cellStyle name="Millares 2 9 3" xfId="2154" xr:uid="{00000000-0005-0000-0000-00006A080000}"/>
    <cellStyle name="Millares 20" xfId="2155" xr:uid="{00000000-0005-0000-0000-00006B080000}"/>
    <cellStyle name="Millares 20 2" xfId="2156" xr:uid="{00000000-0005-0000-0000-00006C080000}"/>
    <cellStyle name="Millares 21" xfId="2157" xr:uid="{00000000-0005-0000-0000-00006D080000}"/>
    <cellStyle name="Millares 21 2" xfId="2158" xr:uid="{00000000-0005-0000-0000-00006E080000}"/>
    <cellStyle name="Millares 22" xfId="2159" xr:uid="{00000000-0005-0000-0000-00006F080000}"/>
    <cellStyle name="Millares 28" xfId="2160" xr:uid="{00000000-0005-0000-0000-000070080000}"/>
    <cellStyle name="Millares 28 10" xfId="2161" xr:uid="{00000000-0005-0000-0000-000071080000}"/>
    <cellStyle name="Millares 28 11" xfId="2162" xr:uid="{00000000-0005-0000-0000-000072080000}"/>
    <cellStyle name="Millares 28 12" xfId="2163" xr:uid="{00000000-0005-0000-0000-000073080000}"/>
    <cellStyle name="Millares 28 13" xfId="2164" xr:uid="{00000000-0005-0000-0000-000074080000}"/>
    <cellStyle name="Millares 28 14" xfId="2165" xr:uid="{00000000-0005-0000-0000-000075080000}"/>
    <cellStyle name="Millares 28 15" xfId="2166" xr:uid="{00000000-0005-0000-0000-000076080000}"/>
    <cellStyle name="Millares 28 16" xfId="2167" xr:uid="{00000000-0005-0000-0000-000077080000}"/>
    <cellStyle name="Millares 28 17" xfId="2168" xr:uid="{00000000-0005-0000-0000-000078080000}"/>
    <cellStyle name="Millares 28 18" xfId="2169" xr:uid="{00000000-0005-0000-0000-000079080000}"/>
    <cellStyle name="Millares 28 19" xfId="2170" xr:uid="{00000000-0005-0000-0000-00007A080000}"/>
    <cellStyle name="Millares 28 2" xfId="2171" xr:uid="{00000000-0005-0000-0000-00007B080000}"/>
    <cellStyle name="Millares 28 2 2" xfId="2172" xr:uid="{00000000-0005-0000-0000-00007C080000}"/>
    <cellStyle name="Millares 28 2 3" xfId="2173" xr:uid="{00000000-0005-0000-0000-00007D080000}"/>
    <cellStyle name="Millares 28 20" xfId="2174" xr:uid="{00000000-0005-0000-0000-00007E080000}"/>
    <cellStyle name="Millares 28 21" xfId="2175" xr:uid="{00000000-0005-0000-0000-00007F080000}"/>
    <cellStyle name="Millares 28 22" xfId="2176" xr:uid="{00000000-0005-0000-0000-000080080000}"/>
    <cellStyle name="Millares 28 23" xfId="2177" xr:uid="{00000000-0005-0000-0000-000081080000}"/>
    <cellStyle name="Millares 28 24" xfId="2178" xr:uid="{00000000-0005-0000-0000-000082080000}"/>
    <cellStyle name="Millares 28 25" xfId="2179" xr:uid="{00000000-0005-0000-0000-000083080000}"/>
    <cellStyle name="Millares 28 3" xfId="2180" xr:uid="{00000000-0005-0000-0000-000084080000}"/>
    <cellStyle name="Millares 28 3 2" xfId="2181" xr:uid="{00000000-0005-0000-0000-000085080000}"/>
    <cellStyle name="Millares 28 3 3" xfId="2182" xr:uid="{00000000-0005-0000-0000-000086080000}"/>
    <cellStyle name="Millares 28 4" xfId="2183" xr:uid="{00000000-0005-0000-0000-000087080000}"/>
    <cellStyle name="Millares 28 5" xfId="2184" xr:uid="{00000000-0005-0000-0000-000088080000}"/>
    <cellStyle name="Millares 28 6" xfId="2185" xr:uid="{00000000-0005-0000-0000-000089080000}"/>
    <cellStyle name="Millares 28 7" xfId="2186" xr:uid="{00000000-0005-0000-0000-00008A080000}"/>
    <cellStyle name="Millares 28 8" xfId="2187" xr:uid="{00000000-0005-0000-0000-00008B080000}"/>
    <cellStyle name="Millares 28 9" xfId="2188" xr:uid="{00000000-0005-0000-0000-00008C080000}"/>
    <cellStyle name="Millares 29" xfId="2189" xr:uid="{00000000-0005-0000-0000-00008D080000}"/>
    <cellStyle name="Millares 29 10" xfId="2190" xr:uid="{00000000-0005-0000-0000-00008E080000}"/>
    <cellStyle name="Millares 29 11" xfId="2191" xr:uid="{00000000-0005-0000-0000-00008F080000}"/>
    <cellStyle name="Millares 29 12" xfId="2192" xr:uid="{00000000-0005-0000-0000-000090080000}"/>
    <cellStyle name="Millares 29 13" xfId="2193" xr:uid="{00000000-0005-0000-0000-000091080000}"/>
    <cellStyle name="Millares 29 14" xfId="2194" xr:uid="{00000000-0005-0000-0000-000092080000}"/>
    <cellStyle name="Millares 29 15" xfId="2195" xr:uid="{00000000-0005-0000-0000-000093080000}"/>
    <cellStyle name="Millares 29 16" xfId="2196" xr:uid="{00000000-0005-0000-0000-000094080000}"/>
    <cellStyle name="Millares 29 17" xfId="2197" xr:uid="{00000000-0005-0000-0000-000095080000}"/>
    <cellStyle name="Millares 29 18" xfId="2198" xr:uid="{00000000-0005-0000-0000-000096080000}"/>
    <cellStyle name="Millares 29 19" xfId="2199" xr:uid="{00000000-0005-0000-0000-000097080000}"/>
    <cellStyle name="Millares 29 2" xfId="2200" xr:uid="{00000000-0005-0000-0000-000098080000}"/>
    <cellStyle name="Millares 29 2 2" xfId="2201" xr:uid="{00000000-0005-0000-0000-000099080000}"/>
    <cellStyle name="Millares 29 2 3" xfId="2202" xr:uid="{00000000-0005-0000-0000-00009A080000}"/>
    <cellStyle name="Millares 29 20" xfId="2203" xr:uid="{00000000-0005-0000-0000-00009B080000}"/>
    <cellStyle name="Millares 29 21" xfId="2204" xr:uid="{00000000-0005-0000-0000-00009C080000}"/>
    <cellStyle name="Millares 29 22" xfId="2205" xr:uid="{00000000-0005-0000-0000-00009D080000}"/>
    <cellStyle name="Millares 29 23" xfId="2206" xr:uid="{00000000-0005-0000-0000-00009E080000}"/>
    <cellStyle name="Millares 29 24" xfId="2207" xr:uid="{00000000-0005-0000-0000-00009F080000}"/>
    <cellStyle name="Millares 29 25" xfId="2208" xr:uid="{00000000-0005-0000-0000-0000A0080000}"/>
    <cellStyle name="Millares 29 3" xfId="2209" xr:uid="{00000000-0005-0000-0000-0000A1080000}"/>
    <cellStyle name="Millares 29 3 2" xfId="2210" xr:uid="{00000000-0005-0000-0000-0000A2080000}"/>
    <cellStyle name="Millares 29 3 3" xfId="2211" xr:uid="{00000000-0005-0000-0000-0000A3080000}"/>
    <cellStyle name="Millares 29 4" xfId="2212" xr:uid="{00000000-0005-0000-0000-0000A4080000}"/>
    <cellStyle name="Millares 29 5" xfId="2213" xr:uid="{00000000-0005-0000-0000-0000A5080000}"/>
    <cellStyle name="Millares 29 6" xfId="2214" xr:uid="{00000000-0005-0000-0000-0000A6080000}"/>
    <cellStyle name="Millares 29 7" xfId="2215" xr:uid="{00000000-0005-0000-0000-0000A7080000}"/>
    <cellStyle name="Millares 29 8" xfId="2216" xr:uid="{00000000-0005-0000-0000-0000A8080000}"/>
    <cellStyle name="Millares 29 9" xfId="2217" xr:uid="{00000000-0005-0000-0000-0000A9080000}"/>
    <cellStyle name="Millares 3" xfId="385" xr:uid="{00000000-0005-0000-0000-000081010000}"/>
    <cellStyle name="Millares 3 10" xfId="2219" xr:uid="{00000000-0005-0000-0000-0000AB080000}"/>
    <cellStyle name="Millares 3 10 10" xfId="2220" xr:uid="{00000000-0005-0000-0000-0000AC080000}"/>
    <cellStyle name="Millares 3 10 11" xfId="2221" xr:uid="{00000000-0005-0000-0000-0000AD080000}"/>
    <cellStyle name="Millares 3 10 12" xfId="2222" xr:uid="{00000000-0005-0000-0000-0000AE080000}"/>
    <cellStyle name="Millares 3 10 13" xfId="2223" xr:uid="{00000000-0005-0000-0000-0000AF080000}"/>
    <cellStyle name="Millares 3 10 14" xfId="2224" xr:uid="{00000000-0005-0000-0000-0000B0080000}"/>
    <cellStyle name="Millares 3 10 15" xfId="2225" xr:uid="{00000000-0005-0000-0000-0000B1080000}"/>
    <cellStyle name="Millares 3 10 16" xfId="2226" xr:uid="{00000000-0005-0000-0000-0000B2080000}"/>
    <cellStyle name="Millares 3 10 17" xfId="2227" xr:uid="{00000000-0005-0000-0000-0000B3080000}"/>
    <cellStyle name="Millares 3 10 18" xfId="2228" xr:uid="{00000000-0005-0000-0000-0000B4080000}"/>
    <cellStyle name="Millares 3 10 19" xfId="2229" xr:uid="{00000000-0005-0000-0000-0000B5080000}"/>
    <cellStyle name="Millares 3 10 2" xfId="2230" xr:uid="{00000000-0005-0000-0000-0000B6080000}"/>
    <cellStyle name="Millares 3 10 2 10" xfId="2231" xr:uid="{00000000-0005-0000-0000-0000B7080000}"/>
    <cellStyle name="Millares 3 10 2 11" xfId="2232" xr:uid="{00000000-0005-0000-0000-0000B8080000}"/>
    <cellStyle name="Millares 3 10 2 12" xfId="2233" xr:uid="{00000000-0005-0000-0000-0000B9080000}"/>
    <cellStyle name="Millares 3 10 2 13" xfId="2234" xr:uid="{00000000-0005-0000-0000-0000BA080000}"/>
    <cellStyle name="Millares 3 10 2 14" xfId="2235" xr:uid="{00000000-0005-0000-0000-0000BB080000}"/>
    <cellStyle name="Millares 3 10 2 15" xfId="2236" xr:uid="{00000000-0005-0000-0000-0000BC080000}"/>
    <cellStyle name="Millares 3 10 2 16" xfId="2237" xr:uid="{00000000-0005-0000-0000-0000BD080000}"/>
    <cellStyle name="Millares 3 10 2 17" xfId="2238" xr:uid="{00000000-0005-0000-0000-0000BE080000}"/>
    <cellStyle name="Millares 3 10 2 2" xfId="2239" xr:uid="{00000000-0005-0000-0000-0000BF080000}"/>
    <cellStyle name="Millares 3 10 2 3" xfId="2240" xr:uid="{00000000-0005-0000-0000-0000C0080000}"/>
    <cellStyle name="Millares 3 10 2 3 2" xfId="2241" xr:uid="{00000000-0005-0000-0000-0000C1080000}"/>
    <cellStyle name="Millares 3 10 2 4" xfId="2242" xr:uid="{00000000-0005-0000-0000-0000C2080000}"/>
    <cellStyle name="Millares 3 10 2 5" xfId="2243" xr:uid="{00000000-0005-0000-0000-0000C3080000}"/>
    <cellStyle name="Millares 3 10 2 6" xfId="2244" xr:uid="{00000000-0005-0000-0000-0000C4080000}"/>
    <cellStyle name="Millares 3 10 2 7" xfId="2245" xr:uid="{00000000-0005-0000-0000-0000C5080000}"/>
    <cellStyle name="Millares 3 10 2 8" xfId="2246" xr:uid="{00000000-0005-0000-0000-0000C6080000}"/>
    <cellStyle name="Millares 3 10 2 9" xfId="2247" xr:uid="{00000000-0005-0000-0000-0000C7080000}"/>
    <cellStyle name="Millares 3 10 3" xfId="2248" xr:uid="{00000000-0005-0000-0000-0000C8080000}"/>
    <cellStyle name="Millares 3 10 4" xfId="2249" xr:uid="{00000000-0005-0000-0000-0000C9080000}"/>
    <cellStyle name="Millares 3 10 5" xfId="2250" xr:uid="{00000000-0005-0000-0000-0000CA080000}"/>
    <cellStyle name="Millares 3 10 6" xfId="2251" xr:uid="{00000000-0005-0000-0000-0000CB080000}"/>
    <cellStyle name="Millares 3 10 7" xfId="2252" xr:uid="{00000000-0005-0000-0000-0000CC080000}"/>
    <cellStyle name="Millares 3 10 8" xfId="2253" xr:uid="{00000000-0005-0000-0000-0000CD080000}"/>
    <cellStyle name="Millares 3 10 9" xfId="2254" xr:uid="{00000000-0005-0000-0000-0000CE080000}"/>
    <cellStyle name="Millares 3 11" xfId="2255" xr:uid="{00000000-0005-0000-0000-0000CF080000}"/>
    <cellStyle name="Millares 3 11 10" xfId="2256" xr:uid="{00000000-0005-0000-0000-0000D0080000}"/>
    <cellStyle name="Millares 3 11 11" xfId="2257" xr:uid="{00000000-0005-0000-0000-0000D1080000}"/>
    <cellStyle name="Millares 3 11 12" xfId="2258" xr:uid="{00000000-0005-0000-0000-0000D2080000}"/>
    <cellStyle name="Millares 3 11 13" xfId="2259" xr:uid="{00000000-0005-0000-0000-0000D3080000}"/>
    <cellStyle name="Millares 3 11 14" xfId="2260" xr:uid="{00000000-0005-0000-0000-0000D4080000}"/>
    <cellStyle name="Millares 3 11 15" xfId="2261" xr:uid="{00000000-0005-0000-0000-0000D5080000}"/>
    <cellStyle name="Millares 3 11 16" xfId="2262" xr:uid="{00000000-0005-0000-0000-0000D6080000}"/>
    <cellStyle name="Millares 3 11 17" xfId="2263" xr:uid="{00000000-0005-0000-0000-0000D7080000}"/>
    <cellStyle name="Millares 3 11 18" xfId="2264" xr:uid="{00000000-0005-0000-0000-0000D8080000}"/>
    <cellStyle name="Millares 3 11 19" xfId="2265" xr:uid="{00000000-0005-0000-0000-0000D9080000}"/>
    <cellStyle name="Millares 3 11 2" xfId="2266" xr:uid="{00000000-0005-0000-0000-0000DA080000}"/>
    <cellStyle name="Millares 3 11 2 10" xfId="2267" xr:uid="{00000000-0005-0000-0000-0000DB080000}"/>
    <cellStyle name="Millares 3 11 2 11" xfId="2268" xr:uid="{00000000-0005-0000-0000-0000DC080000}"/>
    <cellStyle name="Millares 3 11 2 12" xfId="2269" xr:uid="{00000000-0005-0000-0000-0000DD080000}"/>
    <cellStyle name="Millares 3 11 2 13" xfId="2270" xr:uid="{00000000-0005-0000-0000-0000DE080000}"/>
    <cellStyle name="Millares 3 11 2 14" xfId="2271" xr:uid="{00000000-0005-0000-0000-0000DF080000}"/>
    <cellStyle name="Millares 3 11 2 15" xfId="2272" xr:uid="{00000000-0005-0000-0000-0000E0080000}"/>
    <cellStyle name="Millares 3 11 2 16" xfId="2273" xr:uid="{00000000-0005-0000-0000-0000E1080000}"/>
    <cellStyle name="Millares 3 11 2 17" xfId="2274" xr:uid="{00000000-0005-0000-0000-0000E2080000}"/>
    <cellStyle name="Millares 3 11 2 2" xfId="2275" xr:uid="{00000000-0005-0000-0000-0000E3080000}"/>
    <cellStyle name="Millares 3 11 2 3" xfId="2276" xr:uid="{00000000-0005-0000-0000-0000E4080000}"/>
    <cellStyle name="Millares 3 11 2 3 2" xfId="2277" xr:uid="{00000000-0005-0000-0000-0000E5080000}"/>
    <cellStyle name="Millares 3 11 2 4" xfId="2278" xr:uid="{00000000-0005-0000-0000-0000E6080000}"/>
    <cellStyle name="Millares 3 11 2 5" xfId="2279" xr:uid="{00000000-0005-0000-0000-0000E7080000}"/>
    <cellStyle name="Millares 3 11 2 6" xfId="2280" xr:uid="{00000000-0005-0000-0000-0000E8080000}"/>
    <cellStyle name="Millares 3 11 2 7" xfId="2281" xr:uid="{00000000-0005-0000-0000-0000E9080000}"/>
    <cellStyle name="Millares 3 11 2 8" xfId="2282" xr:uid="{00000000-0005-0000-0000-0000EA080000}"/>
    <cellStyle name="Millares 3 11 2 9" xfId="2283" xr:uid="{00000000-0005-0000-0000-0000EB080000}"/>
    <cellStyle name="Millares 3 11 3" xfId="2284" xr:uid="{00000000-0005-0000-0000-0000EC080000}"/>
    <cellStyle name="Millares 3 11 4" xfId="2285" xr:uid="{00000000-0005-0000-0000-0000ED080000}"/>
    <cellStyle name="Millares 3 11 5" xfId="2286" xr:uid="{00000000-0005-0000-0000-0000EE080000}"/>
    <cellStyle name="Millares 3 11 6" xfId="2287" xr:uid="{00000000-0005-0000-0000-0000EF080000}"/>
    <cellStyle name="Millares 3 11 7" xfId="2288" xr:uid="{00000000-0005-0000-0000-0000F0080000}"/>
    <cellStyle name="Millares 3 11 8" xfId="2289" xr:uid="{00000000-0005-0000-0000-0000F1080000}"/>
    <cellStyle name="Millares 3 11 9" xfId="2290" xr:uid="{00000000-0005-0000-0000-0000F2080000}"/>
    <cellStyle name="Millares 3 12" xfId="2291" xr:uid="{00000000-0005-0000-0000-0000F3080000}"/>
    <cellStyle name="Millares 3 12 10" xfId="2292" xr:uid="{00000000-0005-0000-0000-0000F4080000}"/>
    <cellStyle name="Millares 3 12 11" xfId="2293" xr:uid="{00000000-0005-0000-0000-0000F5080000}"/>
    <cellStyle name="Millares 3 12 12" xfId="2294" xr:uid="{00000000-0005-0000-0000-0000F6080000}"/>
    <cellStyle name="Millares 3 12 13" xfId="2295" xr:uid="{00000000-0005-0000-0000-0000F7080000}"/>
    <cellStyle name="Millares 3 12 14" xfId="2296" xr:uid="{00000000-0005-0000-0000-0000F8080000}"/>
    <cellStyle name="Millares 3 12 15" xfId="2297" xr:uid="{00000000-0005-0000-0000-0000F9080000}"/>
    <cellStyle name="Millares 3 12 16" xfId="2298" xr:uid="{00000000-0005-0000-0000-0000FA080000}"/>
    <cellStyle name="Millares 3 12 17" xfId="2299" xr:uid="{00000000-0005-0000-0000-0000FB080000}"/>
    <cellStyle name="Millares 3 12 2" xfId="2300" xr:uid="{00000000-0005-0000-0000-0000FC080000}"/>
    <cellStyle name="Millares 3 12 3" xfId="2301" xr:uid="{00000000-0005-0000-0000-0000FD080000}"/>
    <cellStyle name="Millares 3 12 3 2" xfId="2302" xr:uid="{00000000-0005-0000-0000-0000FE080000}"/>
    <cellStyle name="Millares 3 12 4" xfId="2303" xr:uid="{00000000-0005-0000-0000-0000FF080000}"/>
    <cellStyle name="Millares 3 12 5" xfId="2304" xr:uid="{00000000-0005-0000-0000-000000090000}"/>
    <cellStyle name="Millares 3 12 6" xfId="2305" xr:uid="{00000000-0005-0000-0000-000001090000}"/>
    <cellStyle name="Millares 3 12 7" xfId="2306" xr:uid="{00000000-0005-0000-0000-000002090000}"/>
    <cellStyle name="Millares 3 12 8" xfId="2307" xr:uid="{00000000-0005-0000-0000-000003090000}"/>
    <cellStyle name="Millares 3 12 9" xfId="2308" xr:uid="{00000000-0005-0000-0000-000004090000}"/>
    <cellStyle name="Millares 3 13" xfId="2309" xr:uid="{00000000-0005-0000-0000-000005090000}"/>
    <cellStyle name="Millares 3 13 10" xfId="2310" xr:uid="{00000000-0005-0000-0000-000006090000}"/>
    <cellStyle name="Millares 3 13 11" xfId="2311" xr:uid="{00000000-0005-0000-0000-000007090000}"/>
    <cellStyle name="Millares 3 13 12" xfId="2312" xr:uid="{00000000-0005-0000-0000-000008090000}"/>
    <cellStyle name="Millares 3 13 13" xfId="2313" xr:uid="{00000000-0005-0000-0000-000009090000}"/>
    <cellStyle name="Millares 3 13 14" xfId="2314" xr:uid="{00000000-0005-0000-0000-00000A090000}"/>
    <cellStyle name="Millares 3 13 15" xfId="2315" xr:uid="{00000000-0005-0000-0000-00000B090000}"/>
    <cellStyle name="Millares 3 13 16" xfId="2316" xr:uid="{00000000-0005-0000-0000-00000C090000}"/>
    <cellStyle name="Millares 3 13 17" xfId="2317" xr:uid="{00000000-0005-0000-0000-00000D090000}"/>
    <cellStyle name="Millares 3 13 2" xfId="2318" xr:uid="{00000000-0005-0000-0000-00000E090000}"/>
    <cellStyle name="Millares 3 13 3" xfId="2319" xr:uid="{00000000-0005-0000-0000-00000F090000}"/>
    <cellStyle name="Millares 3 13 3 2" xfId="2320" xr:uid="{00000000-0005-0000-0000-000010090000}"/>
    <cellStyle name="Millares 3 13 4" xfId="2321" xr:uid="{00000000-0005-0000-0000-000011090000}"/>
    <cellStyle name="Millares 3 13 5" xfId="2322" xr:uid="{00000000-0005-0000-0000-000012090000}"/>
    <cellStyle name="Millares 3 13 6" xfId="2323" xr:uid="{00000000-0005-0000-0000-000013090000}"/>
    <cellStyle name="Millares 3 13 7" xfId="2324" xr:uid="{00000000-0005-0000-0000-000014090000}"/>
    <cellStyle name="Millares 3 13 8" xfId="2325" xr:uid="{00000000-0005-0000-0000-000015090000}"/>
    <cellStyle name="Millares 3 13 9" xfId="2326" xr:uid="{00000000-0005-0000-0000-000016090000}"/>
    <cellStyle name="Millares 3 14" xfId="2327" xr:uid="{00000000-0005-0000-0000-000017090000}"/>
    <cellStyle name="Millares 3 14 10" xfId="2328" xr:uid="{00000000-0005-0000-0000-000018090000}"/>
    <cellStyle name="Millares 3 14 11" xfId="2329" xr:uid="{00000000-0005-0000-0000-000019090000}"/>
    <cellStyle name="Millares 3 14 12" xfId="2330" xr:uid="{00000000-0005-0000-0000-00001A090000}"/>
    <cellStyle name="Millares 3 14 13" xfId="2331" xr:uid="{00000000-0005-0000-0000-00001B090000}"/>
    <cellStyle name="Millares 3 14 14" xfId="2332" xr:uid="{00000000-0005-0000-0000-00001C090000}"/>
    <cellStyle name="Millares 3 14 15" xfId="2333" xr:uid="{00000000-0005-0000-0000-00001D090000}"/>
    <cellStyle name="Millares 3 14 16" xfId="2334" xr:uid="{00000000-0005-0000-0000-00001E090000}"/>
    <cellStyle name="Millares 3 14 17" xfId="2335" xr:uid="{00000000-0005-0000-0000-00001F090000}"/>
    <cellStyle name="Millares 3 14 2" xfId="2336" xr:uid="{00000000-0005-0000-0000-000020090000}"/>
    <cellStyle name="Millares 3 14 3" xfId="2337" xr:uid="{00000000-0005-0000-0000-000021090000}"/>
    <cellStyle name="Millares 3 14 3 2" xfId="2338" xr:uid="{00000000-0005-0000-0000-000022090000}"/>
    <cellStyle name="Millares 3 14 4" xfId="2339" xr:uid="{00000000-0005-0000-0000-000023090000}"/>
    <cellStyle name="Millares 3 14 5" xfId="2340" xr:uid="{00000000-0005-0000-0000-000024090000}"/>
    <cellStyle name="Millares 3 14 6" xfId="2341" xr:uid="{00000000-0005-0000-0000-000025090000}"/>
    <cellStyle name="Millares 3 14 7" xfId="2342" xr:uid="{00000000-0005-0000-0000-000026090000}"/>
    <cellStyle name="Millares 3 14 8" xfId="2343" xr:uid="{00000000-0005-0000-0000-000027090000}"/>
    <cellStyle name="Millares 3 14 9" xfId="2344" xr:uid="{00000000-0005-0000-0000-000028090000}"/>
    <cellStyle name="Millares 3 15" xfId="2345" xr:uid="{00000000-0005-0000-0000-000029090000}"/>
    <cellStyle name="Millares 3 16" xfId="2346" xr:uid="{00000000-0005-0000-0000-00002A090000}"/>
    <cellStyle name="Millares 3 17" xfId="2347" xr:uid="{00000000-0005-0000-0000-00002B090000}"/>
    <cellStyle name="Millares 3 18" xfId="2348" xr:uid="{00000000-0005-0000-0000-00002C090000}"/>
    <cellStyle name="Millares 3 19" xfId="2349" xr:uid="{00000000-0005-0000-0000-00002D090000}"/>
    <cellStyle name="Millares 3 2" xfId="386" xr:uid="{00000000-0005-0000-0000-000082010000}"/>
    <cellStyle name="Millares 3 2 10" xfId="2351" xr:uid="{00000000-0005-0000-0000-00002F090000}"/>
    <cellStyle name="Millares 3 2 11" xfId="2352" xr:uid="{00000000-0005-0000-0000-000030090000}"/>
    <cellStyle name="Millares 3 2 12" xfId="2353" xr:uid="{00000000-0005-0000-0000-000031090000}"/>
    <cellStyle name="Millares 3 2 13" xfId="2354" xr:uid="{00000000-0005-0000-0000-000032090000}"/>
    <cellStyle name="Millares 3 2 14" xfId="2355" xr:uid="{00000000-0005-0000-0000-000033090000}"/>
    <cellStyle name="Millares 3 2 15" xfId="2356" xr:uid="{00000000-0005-0000-0000-000034090000}"/>
    <cellStyle name="Millares 3 2 16" xfId="2357" xr:uid="{00000000-0005-0000-0000-000035090000}"/>
    <cellStyle name="Millares 3 2 17" xfId="2358" xr:uid="{00000000-0005-0000-0000-000036090000}"/>
    <cellStyle name="Millares 3 2 18" xfId="2359" xr:uid="{00000000-0005-0000-0000-000037090000}"/>
    <cellStyle name="Millares 3 2 19" xfId="2360" xr:uid="{00000000-0005-0000-0000-000038090000}"/>
    <cellStyle name="Millares 3 2 2" xfId="2361" xr:uid="{00000000-0005-0000-0000-000039090000}"/>
    <cellStyle name="Millares 3 2 2 10" xfId="2362" xr:uid="{00000000-0005-0000-0000-00003A090000}"/>
    <cellStyle name="Millares 3 2 2 11" xfId="2363" xr:uid="{00000000-0005-0000-0000-00003B090000}"/>
    <cellStyle name="Millares 3 2 2 12" xfId="2364" xr:uid="{00000000-0005-0000-0000-00003C090000}"/>
    <cellStyle name="Millares 3 2 2 13" xfId="2365" xr:uid="{00000000-0005-0000-0000-00003D090000}"/>
    <cellStyle name="Millares 3 2 2 14" xfId="2366" xr:uid="{00000000-0005-0000-0000-00003E090000}"/>
    <cellStyle name="Millares 3 2 2 15" xfId="2367" xr:uid="{00000000-0005-0000-0000-00003F090000}"/>
    <cellStyle name="Millares 3 2 2 16" xfId="2368" xr:uid="{00000000-0005-0000-0000-000040090000}"/>
    <cellStyle name="Millares 3 2 2 17" xfId="2369" xr:uid="{00000000-0005-0000-0000-000041090000}"/>
    <cellStyle name="Millares 3 2 2 18" xfId="2370" xr:uid="{00000000-0005-0000-0000-000042090000}"/>
    <cellStyle name="Millares 3 2 2 2" xfId="2371" xr:uid="{00000000-0005-0000-0000-000043090000}"/>
    <cellStyle name="Millares 3 2 2 2 2" xfId="2372" xr:uid="{00000000-0005-0000-0000-000044090000}"/>
    <cellStyle name="Millares 3 2 2 2 2 2" xfId="2373" xr:uid="{00000000-0005-0000-0000-000045090000}"/>
    <cellStyle name="Millares 3 2 2 2 2 2 2" xfId="2374" xr:uid="{00000000-0005-0000-0000-000046090000}"/>
    <cellStyle name="Millares 3 2 2 2 2 2 2 2" xfId="2375" xr:uid="{00000000-0005-0000-0000-000047090000}"/>
    <cellStyle name="Millares 3 2 2 2 2 2 2 3" xfId="2376" xr:uid="{00000000-0005-0000-0000-000048090000}"/>
    <cellStyle name="Millares 3 2 2 2 2 2 3" xfId="2377" xr:uid="{00000000-0005-0000-0000-000049090000}"/>
    <cellStyle name="Millares 3 2 2 2 2 3" xfId="2378" xr:uid="{00000000-0005-0000-0000-00004A090000}"/>
    <cellStyle name="Millares 3 2 2 2 2 4" xfId="2379" xr:uid="{00000000-0005-0000-0000-00004B090000}"/>
    <cellStyle name="Millares 3 2 2 2 2 5" xfId="2380" xr:uid="{00000000-0005-0000-0000-00004C090000}"/>
    <cellStyle name="Millares 3 2 2 2 3" xfId="2381" xr:uid="{00000000-0005-0000-0000-00004D090000}"/>
    <cellStyle name="Millares 3 2 2 2 4" xfId="2382" xr:uid="{00000000-0005-0000-0000-00004E090000}"/>
    <cellStyle name="Millares 3 2 2 2 5" xfId="2383" xr:uid="{00000000-0005-0000-0000-00004F090000}"/>
    <cellStyle name="Millares 3 2 2 3" xfId="2384" xr:uid="{00000000-0005-0000-0000-000050090000}"/>
    <cellStyle name="Millares 3 2 2 4" xfId="2385" xr:uid="{00000000-0005-0000-0000-000051090000}"/>
    <cellStyle name="Millares 3 2 2 5" xfId="2386" xr:uid="{00000000-0005-0000-0000-000052090000}"/>
    <cellStyle name="Millares 3 2 2 5 10" xfId="2387" xr:uid="{00000000-0005-0000-0000-000053090000}"/>
    <cellStyle name="Millares 3 2 2 5 11" xfId="2388" xr:uid="{00000000-0005-0000-0000-000054090000}"/>
    <cellStyle name="Millares 3 2 2 5 12" xfId="2389" xr:uid="{00000000-0005-0000-0000-000055090000}"/>
    <cellStyle name="Millares 3 2 2 5 13" xfId="2390" xr:uid="{00000000-0005-0000-0000-000056090000}"/>
    <cellStyle name="Millares 3 2 2 5 14" xfId="2391" xr:uid="{00000000-0005-0000-0000-000057090000}"/>
    <cellStyle name="Millares 3 2 2 5 15" xfId="2392" xr:uid="{00000000-0005-0000-0000-000058090000}"/>
    <cellStyle name="Millares 3 2 2 5 16" xfId="2393" xr:uid="{00000000-0005-0000-0000-000059090000}"/>
    <cellStyle name="Millares 3 2 2 5 17" xfId="2394" xr:uid="{00000000-0005-0000-0000-00005A090000}"/>
    <cellStyle name="Millares 3 2 2 5 18" xfId="2395" xr:uid="{00000000-0005-0000-0000-00005B090000}"/>
    <cellStyle name="Millares 3 2 2 5 2" xfId="2396" xr:uid="{00000000-0005-0000-0000-00005C090000}"/>
    <cellStyle name="Millares 3 2 2 5 2 10" xfId="2397" xr:uid="{00000000-0005-0000-0000-00005D090000}"/>
    <cellStyle name="Millares 3 2 2 5 2 11" xfId="2398" xr:uid="{00000000-0005-0000-0000-00005E090000}"/>
    <cellStyle name="Millares 3 2 2 5 2 12" xfId="2399" xr:uid="{00000000-0005-0000-0000-00005F090000}"/>
    <cellStyle name="Millares 3 2 2 5 2 13" xfId="2400" xr:uid="{00000000-0005-0000-0000-000060090000}"/>
    <cellStyle name="Millares 3 2 2 5 2 14" xfId="2401" xr:uid="{00000000-0005-0000-0000-000061090000}"/>
    <cellStyle name="Millares 3 2 2 5 2 15" xfId="2402" xr:uid="{00000000-0005-0000-0000-000062090000}"/>
    <cellStyle name="Millares 3 2 2 5 2 2" xfId="2403" xr:uid="{00000000-0005-0000-0000-000063090000}"/>
    <cellStyle name="Millares 3 2 2 5 2 2 2" xfId="2404" xr:uid="{00000000-0005-0000-0000-000064090000}"/>
    <cellStyle name="Millares 3 2 2 5 2 2 3" xfId="2405" xr:uid="{00000000-0005-0000-0000-000065090000}"/>
    <cellStyle name="Millares 3 2 2 5 2 2 4" xfId="2406" xr:uid="{00000000-0005-0000-0000-000066090000}"/>
    <cellStyle name="Millares 3 2 2 5 2 2 5" xfId="2407" xr:uid="{00000000-0005-0000-0000-000067090000}"/>
    <cellStyle name="Millares 3 2 2 5 2 2 6" xfId="2408" xr:uid="{00000000-0005-0000-0000-000068090000}"/>
    <cellStyle name="Millares 3 2 2 5 2 3" xfId="2409" xr:uid="{00000000-0005-0000-0000-000069090000}"/>
    <cellStyle name="Millares 3 2 2 5 2 4" xfId="2410" xr:uid="{00000000-0005-0000-0000-00006A090000}"/>
    <cellStyle name="Millares 3 2 2 5 2 5" xfId="2411" xr:uid="{00000000-0005-0000-0000-00006B090000}"/>
    <cellStyle name="Millares 3 2 2 5 2 6" xfId="2412" xr:uid="{00000000-0005-0000-0000-00006C090000}"/>
    <cellStyle name="Millares 3 2 2 5 2 7" xfId="2413" xr:uid="{00000000-0005-0000-0000-00006D090000}"/>
    <cellStyle name="Millares 3 2 2 5 2 8" xfId="2414" xr:uid="{00000000-0005-0000-0000-00006E090000}"/>
    <cellStyle name="Millares 3 2 2 5 2 9" xfId="2415" xr:uid="{00000000-0005-0000-0000-00006F090000}"/>
    <cellStyle name="Millares 3 2 2 5 3" xfId="2416" xr:uid="{00000000-0005-0000-0000-000070090000}"/>
    <cellStyle name="Millares 3 2 2 5 3 10" xfId="2417" xr:uid="{00000000-0005-0000-0000-000071090000}"/>
    <cellStyle name="Millares 3 2 2 5 3 2" xfId="2418" xr:uid="{00000000-0005-0000-0000-000072090000}"/>
    <cellStyle name="Millares 3 2 2 5 3 3" xfId="2419" xr:uid="{00000000-0005-0000-0000-000073090000}"/>
    <cellStyle name="Millares 3 2 2 5 3 4" xfId="2420" xr:uid="{00000000-0005-0000-0000-000074090000}"/>
    <cellStyle name="Millares 3 2 2 5 3 5" xfId="2421" xr:uid="{00000000-0005-0000-0000-000075090000}"/>
    <cellStyle name="Millares 3 2 2 5 3 6" xfId="2422" xr:uid="{00000000-0005-0000-0000-000076090000}"/>
    <cellStyle name="Millares 3 2 2 5 3 7" xfId="2423" xr:uid="{00000000-0005-0000-0000-000077090000}"/>
    <cellStyle name="Millares 3 2 2 5 3 8" xfId="2424" xr:uid="{00000000-0005-0000-0000-000078090000}"/>
    <cellStyle name="Millares 3 2 2 5 3 9" xfId="2425" xr:uid="{00000000-0005-0000-0000-000079090000}"/>
    <cellStyle name="Millares 3 2 2 5 4" xfId="2426" xr:uid="{00000000-0005-0000-0000-00007A090000}"/>
    <cellStyle name="Millares 3 2 2 5 5" xfId="2427" xr:uid="{00000000-0005-0000-0000-00007B090000}"/>
    <cellStyle name="Millares 3 2 2 5 6" xfId="2428" xr:uid="{00000000-0005-0000-0000-00007C090000}"/>
    <cellStyle name="Millares 3 2 2 5 7" xfId="2429" xr:uid="{00000000-0005-0000-0000-00007D090000}"/>
    <cellStyle name="Millares 3 2 2 5 8" xfId="2430" xr:uid="{00000000-0005-0000-0000-00007E090000}"/>
    <cellStyle name="Millares 3 2 2 5 9" xfId="2431" xr:uid="{00000000-0005-0000-0000-00007F090000}"/>
    <cellStyle name="Millares 3 2 2 6" xfId="2432" xr:uid="{00000000-0005-0000-0000-000080090000}"/>
    <cellStyle name="Millares 3 2 2 7" xfId="2433" xr:uid="{00000000-0005-0000-0000-000081090000}"/>
    <cellStyle name="Millares 3 2 2 8" xfId="2434" xr:uid="{00000000-0005-0000-0000-000082090000}"/>
    <cellStyle name="Millares 3 2 2 9" xfId="2435" xr:uid="{00000000-0005-0000-0000-000083090000}"/>
    <cellStyle name="Millares 3 2 20" xfId="2436" xr:uid="{00000000-0005-0000-0000-000084090000}"/>
    <cellStyle name="Millares 3 2 21" xfId="2437" xr:uid="{00000000-0005-0000-0000-000085090000}"/>
    <cellStyle name="Millares 3 2 22" xfId="2438" xr:uid="{00000000-0005-0000-0000-000086090000}"/>
    <cellStyle name="Millares 3 2 23" xfId="2439" xr:uid="{00000000-0005-0000-0000-000087090000}"/>
    <cellStyle name="Millares 3 2 24" xfId="2440" xr:uid="{00000000-0005-0000-0000-000088090000}"/>
    <cellStyle name="Millares 3 2 25" xfId="2350" xr:uid="{00000000-0005-0000-0000-00002E090000}"/>
    <cellStyle name="Millares 3 2 3" xfId="2441" xr:uid="{00000000-0005-0000-0000-000089090000}"/>
    <cellStyle name="Millares 3 2 4" xfId="2442" xr:uid="{00000000-0005-0000-0000-00008A090000}"/>
    <cellStyle name="Millares 3 2 5" xfId="2443" xr:uid="{00000000-0005-0000-0000-00008B090000}"/>
    <cellStyle name="Millares 3 2 6" xfId="2444" xr:uid="{00000000-0005-0000-0000-00008C090000}"/>
    <cellStyle name="Millares 3 2 7" xfId="2445" xr:uid="{00000000-0005-0000-0000-00008D090000}"/>
    <cellStyle name="Millares 3 2 8" xfId="2446" xr:uid="{00000000-0005-0000-0000-00008E090000}"/>
    <cellStyle name="Millares 3 2 9" xfId="2447" xr:uid="{00000000-0005-0000-0000-00008F090000}"/>
    <cellStyle name="Millares 3 20" xfId="2448" xr:uid="{00000000-0005-0000-0000-000090090000}"/>
    <cellStyle name="Millares 3 21" xfId="2449" xr:uid="{00000000-0005-0000-0000-000091090000}"/>
    <cellStyle name="Millares 3 22" xfId="2450" xr:uid="{00000000-0005-0000-0000-000092090000}"/>
    <cellStyle name="Millares 3 23" xfId="2451" xr:uid="{00000000-0005-0000-0000-000093090000}"/>
    <cellStyle name="Millares 3 24" xfId="2452" xr:uid="{00000000-0005-0000-0000-000094090000}"/>
    <cellStyle name="Millares 3 25" xfId="2453" xr:uid="{00000000-0005-0000-0000-000095090000}"/>
    <cellStyle name="Millares 3 26" xfId="2454" xr:uid="{00000000-0005-0000-0000-000096090000}"/>
    <cellStyle name="Millares 3 27" xfId="2455" xr:uid="{00000000-0005-0000-0000-000097090000}"/>
    <cellStyle name="Millares 3 28" xfId="2456" xr:uid="{00000000-0005-0000-0000-000098090000}"/>
    <cellStyle name="Millares 3 29" xfId="2457" xr:uid="{00000000-0005-0000-0000-000099090000}"/>
    <cellStyle name="Millares 3 3" xfId="2458" xr:uid="{00000000-0005-0000-0000-00009A090000}"/>
    <cellStyle name="Millares 3 30" xfId="2459" xr:uid="{00000000-0005-0000-0000-00009B090000}"/>
    <cellStyle name="Millares 3 31" xfId="2218" xr:uid="{00000000-0005-0000-0000-0000AA080000}"/>
    <cellStyle name="Millares 3 4" xfId="2460" xr:uid="{00000000-0005-0000-0000-00009C090000}"/>
    <cellStyle name="Millares 3 5" xfId="2461" xr:uid="{00000000-0005-0000-0000-00009D090000}"/>
    <cellStyle name="Millares 3 6" xfId="2462" xr:uid="{00000000-0005-0000-0000-00009E090000}"/>
    <cellStyle name="Millares 3 7" xfId="2463" xr:uid="{00000000-0005-0000-0000-00009F090000}"/>
    <cellStyle name="Millares 3 8" xfId="2464" xr:uid="{00000000-0005-0000-0000-0000A0090000}"/>
    <cellStyle name="Millares 3 9" xfId="2465" xr:uid="{00000000-0005-0000-0000-0000A1090000}"/>
    <cellStyle name="Millares 30" xfId="2466" xr:uid="{00000000-0005-0000-0000-0000A2090000}"/>
    <cellStyle name="Millares 30 10" xfId="2467" xr:uid="{00000000-0005-0000-0000-0000A3090000}"/>
    <cellStyle name="Millares 30 11" xfId="2468" xr:uid="{00000000-0005-0000-0000-0000A4090000}"/>
    <cellStyle name="Millares 30 12" xfId="2469" xr:uid="{00000000-0005-0000-0000-0000A5090000}"/>
    <cellStyle name="Millares 30 13" xfId="2470" xr:uid="{00000000-0005-0000-0000-0000A6090000}"/>
    <cellStyle name="Millares 30 14" xfId="2471" xr:uid="{00000000-0005-0000-0000-0000A7090000}"/>
    <cellStyle name="Millares 30 15" xfId="2472" xr:uid="{00000000-0005-0000-0000-0000A8090000}"/>
    <cellStyle name="Millares 30 16" xfId="2473" xr:uid="{00000000-0005-0000-0000-0000A9090000}"/>
    <cellStyle name="Millares 30 17" xfId="2474" xr:uid="{00000000-0005-0000-0000-0000AA090000}"/>
    <cellStyle name="Millares 30 18" xfId="2475" xr:uid="{00000000-0005-0000-0000-0000AB090000}"/>
    <cellStyle name="Millares 30 19" xfId="2476" xr:uid="{00000000-0005-0000-0000-0000AC090000}"/>
    <cellStyle name="Millares 30 2" xfId="2477" xr:uid="{00000000-0005-0000-0000-0000AD090000}"/>
    <cellStyle name="Millares 30 2 2" xfId="2478" xr:uid="{00000000-0005-0000-0000-0000AE090000}"/>
    <cellStyle name="Millares 30 2 3" xfId="2479" xr:uid="{00000000-0005-0000-0000-0000AF090000}"/>
    <cellStyle name="Millares 30 20" xfId="2480" xr:uid="{00000000-0005-0000-0000-0000B0090000}"/>
    <cellStyle name="Millares 30 21" xfId="2481" xr:uid="{00000000-0005-0000-0000-0000B1090000}"/>
    <cellStyle name="Millares 30 22" xfId="2482" xr:uid="{00000000-0005-0000-0000-0000B2090000}"/>
    <cellStyle name="Millares 30 23" xfId="2483" xr:uid="{00000000-0005-0000-0000-0000B3090000}"/>
    <cellStyle name="Millares 30 24" xfId="2484" xr:uid="{00000000-0005-0000-0000-0000B4090000}"/>
    <cellStyle name="Millares 30 25" xfId="2485" xr:uid="{00000000-0005-0000-0000-0000B5090000}"/>
    <cellStyle name="Millares 30 3" xfId="2486" xr:uid="{00000000-0005-0000-0000-0000B6090000}"/>
    <cellStyle name="Millares 30 3 2" xfId="2487" xr:uid="{00000000-0005-0000-0000-0000B7090000}"/>
    <cellStyle name="Millares 30 3 3" xfId="2488" xr:uid="{00000000-0005-0000-0000-0000B8090000}"/>
    <cellStyle name="Millares 30 4" xfId="2489" xr:uid="{00000000-0005-0000-0000-0000B9090000}"/>
    <cellStyle name="Millares 30 5" xfId="2490" xr:uid="{00000000-0005-0000-0000-0000BA090000}"/>
    <cellStyle name="Millares 30 6" xfId="2491" xr:uid="{00000000-0005-0000-0000-0000BB090000}"/>
    <cellStyle name="Millares 30 7" xfId="2492" xr:uid="{00000000-0005-0000-0000-0000BC090000}"/>
    <cellStyle name="Millares 30 8" xfId="2493" xr:uid="{00000000-0005-0000-0000-0000BD090000}"/>
    <cellStyle name="Millares 30 9" xfId="2494" xr:uid="{00000000-0005-0000-0000-0000BE090000}"/>
    <cellStyle name="Millares 4" xfId="387" xr:uid="{00000000-0005-0000-0000-000083010000}"/>
    <cellStyle name="Millares 4 2" xfId="2495" xr:uid="{00000000-0005-0000-0000-0000BF090000}"/>
    <cellStyle name="Millares 4 3" xfId="2496" xr:uid="{00000000-0005-0000-0000-0000C0090000}"/>
    <cellStyle name="Millares 5" xfId="2497" xr:uid="{00000000-0005-0000-0000-0000C1090000}"/>
    <cellStyle name="Millares 5 10" xfId="2498" xr:uid="{00000000-0005-0000-0000-0000C2090000}"/>
    <cellStyle name="Millares 5 11" xfId="2499" xr:uid="{00000000-0005-0000-0000-0000C3090000}"/>
    <cellStyle name="Millares 5 12" xfId="2500" xr:uid="{00000000-0005-0000-0000-0000C4090000}"/>
    <cellStyle name="Millares 5 13" xfId="2501" xr:uid="{00000000-0005-0000-0000-0000C5090000}"/>
    <cellStyle name="Millares 5 14" xfId="2502" xr:uid="{00000000-0005-0000-0000-0000C6090000}"/>
    <cellStyle name="Millares 5 15" xfId="2503" xr:uid="{00000000-0005-0000-0000-0000C7090000}"/>
    <cellStyle name="Millares 5 16" xfId="2504" xr:uid="{00000000-0005-0000-0000-0000C8090000}"/>
    <cellStyle name="Millares 5 17" xfId="2505" xr:uid="{00000000-0005-0000-0000-0000C9090000}"/>
    <cellStyle name="Millares 5 18" xfId="2506" xr:uid="{00000000-0005-0000-0000-0000CA090000}"/>
    <cellStyle name="Millares 5 19" xfId="2507" xr:uid="{00000000-0005-0000-0000-0000CB090000}"/>
    <cellStyle name="Millares 5 2" xfId="2508" xr:uid="{00000000-0005-0000-0000-0000CC090000}"/>
    <cellStyle name="Millares 5 2 2" xfId="2509" xr:uid="{00000000-0005-0000-0000-0000CD090000}"/>
    <cellStyle name="Millares 5 20" xfId="2510" xr:uid="{00000000-0005-0000-0000-0000CE090000}"/>
    <cellStyle name="Millares 5 21" xfId="2511" xr:uid="{00000000-0005-0000-0000-0000CF090000}"/>
    <cellStyle name="Millares 5 22" xfId="2512" xr:uid="{00000000-0005-0000-0000-0000D0090000}"/>
    <cellStyle name="Millares 5 23" xfId="2513" xr:uid="{00000000-0005-0000-0000-0000D1090000}"/>
    <cellStyle name="Millares 5 24" xfId="2514" xr:uid="{00000000-0005-0000-0000-0000D2090000}"/>
    <cellStyle name="Millares 5 25" xfId="2515" xr:uid="{00000000-0005-0000-0000-0000D3090000}"/>
    <cellStyle name="Millares 5 26" xfId="2516" xr:uid="{00000000-0005-0000-0000-0000D4090000}"/>
    <cellStyle name="Millares 5 3" xfId="2517" xr:uid="{00000000-0005-0000-0000-0000D5090000}"/>
    <cellStyle name="Millares 5 4" xfId="2518" xr:uid="{00000000-0005-0000-0000-0000D6090000}"/>
    <cellStyle name="Millares 5 5" xfId="2519" xr:uid="{00000000-0005-0000-0000-0000D7090000}"/>
    <cellStyle name="Millares 5 6" xfId="2520" xr:uid="{00000000-0005-0000-0000-0000D8090000}"/>
    <cellStyle name="Millares 5 7" xfId="2521" xr:uid="{00000000-0005-0000-0000-0000D9090000}"/>
    <cellStyle name="Millares 5 8" xfId="2522" xr:uid="{00000000-0005-0000-0000-0000DA090000}"/>
    <cellStyle name="Millares 5 9" xfId="2523" xr:uid="{00000000-0005-0000-0000-0000DB090000}"/>
    <cellStyle name="Millares 6" xfId="2524" xr:uid="{00000000-0005-0000-0000-0000DC090000}"/>
    <cellStyle name="Millares 6 2" xfId="2525" xr:uid="{00000000-0005-0000-0000-0000DD090000}"/>
    <cellStyle name="Millares 7" xfId="2526" xr:uid="{00000000-0005-0000-0000-0000DE090000}"/>
    <cellStyle name="Millares 7 10" xfId="2527" xr:uid="{00000000-0005-0000-0000-0000DF090000}"/>
    <cellStyle name="Millares 7 11" xfId="2528" xr:uid="{00000000-0005-0000-0000-0000E0090000}"/>
    <cellStyle name="Millares 7 12" xfId="2529" xr:uid="{00000000-0005-0000-0000-0000E1090000}"/>
    <cellStyle name="Millares 7 13" xfId="2530" xr:uid="{00000000-0005-0000-0000-0000E2090000}"/>
    <cellStyle name="Millares 7 14" xfId="2531" xr:uid="{00000000-0005-0000-0000-0000E3090000}"/>
    <cellStyle name="Millares 7 15" xfId="2532" xr:uid="{00000000-0005-0000-0000-0000E4090000}"/>
    <cellStyle name="Millares 7 16" xfId="2533" xr:uid="{00000000-0005-0000-0000-0000E5090000}"/>
    <cellStyle name="Millares 7 17" xfId="2534" xr:uid="{00000000-0005-0000-0000-0000E6090000}"/>
    <cellStyle name="Millares 7 18" xfId="2535" xr:uid="{00000000-0005-0000-0000-0000E7090000}"/>
    <cellStyle name="Millares 7 19" xfId="2536" xr:uid="{00000000-0005-0000-0000-0000E8090000}"/>
    <cellStyle name="Millares 7 2" xfId="2537" xr:uid="{00000000-0005-0000-0000-0000E9090000}"/>
    <cellStyle name="Millares 7 20" xfId="2538" xr:uid="{00000000-0005-0000-0000-0000EA090000}"/>
    <cellStyle name="Millares 7 21" xfId="2539" xr:uid="{00000000-0005-0000-0000-0000EB090000}"/>
    <cellStyle name="Millares 7 22" xfId="2540" xr:uid="{00000000-0005-0000-0000-0000EC090000}"/>
    <cellStyle name="Millares 7 23" xfId="2541" xr:uid="{00000000-0005-0000-0000-0000ED090000}"/>
    <cellStyle name="Millares 7 24" xfId="2542" xr:uid="{00000000-0005-0000-0000-0000EE090000}"/>
    <cellStyle name="Millares 7 3" xfId="2543" xr:uid="{00000000-0005-0000-0000-0000EF090000}"/>
    <cellStyle name="Millares 7 4" xfId="2544" xr:uid="{00000000-0005-0000-0000-0000F0090000}"/>
    <cellStyle name="Millares 7 5" xfId="2545" xr:uid="{00000000-0005-0000-0000-0000F1090000}"/>
    <cellStyle name="Millares 7 6" xfId="2546" xr:uid="{00000000-0005-0000-0000-0000F2090000}"/>
    <cellStyle name="Millares 7 7" xfId="2547" xr:uid="{00000000-0005-0000-0000-0000F3090000}"/>
    <cellStyle name="Millares 7 8" xfId="2548" xr:uid="{00000000-0005-0000-0000-0000F4090000}"/>
    <cellStyle name="Millares 7 9" xfId="2549" xr:uid="{00000000-0005-0000-0000-0000F5090000}"/>
    <cellStyle name="Millares 8" xfId="2550" xr:uid="{00000000-0005-0000-0000-0000F6090000}"/>
    <cellStyle name="Millares 8 10" xfId="2551" xr:uid="{00000000-0005-0000-0000-0000F7090000}"/>
    <cellStyle name="Millares 8 11" xfId="2552" xr:uid="{00000000-0005-0000-0000-0000F8090000}"/>
    <cellStyle name="Millares 8 12" xfId="2553" xr:uid="{00000000-0005-0000-0000-0000F9090000}"/>
    <cellStyle name="Millares 8 13" xfId="2554" xr:uid="{00000000-0005-0000-0000-0000FA090000}"/>
    <cellStyle name="Millares 8 14" xfId="2555" xr:uid="{00000000-0005-0000-0000-0000FB090000}"/>
    <cellStyle name="Millares 8 15" xfId="2556" xr:uid="{00000000-0005-0000-0000-0000FC090000}"/>
    <cellStyle name="Millares 8 16" xfId="2557" xr:uid="{00000000-0005-0000-0000-0000FD090000}"/>
    <cellStyle name="Millares 8 17" xfId="2558" xr:uid="{00000000-0005-0000-0000-0000FE090000}"/>
    <cellStyle name="Millares 8 18" xfId="2559" xr:uid="{00000000-0005-0000-0000-0000FF090000}"/>
    <cellStyle name="Millares 8 19" xfId="2560" xr:uid="{00000000-0005-0000-0000-0000000A0000}"/>
    <cellStyle name="Millares 8 2" xfId="2561" xr:uid="{00000000-0005-0000-0000-0000010A0000}"/>
    <cellStyle name="Millares 8 20" xfId="2562" xr:uid="{00000000-0005-0000-0000-0000020A0000}"/>
    <cellStyle name="Millares 8 21" xfId="2563" xr:uid="{00000000-0005-0000-0000-0000030A0000}"/>
    <cellStyle name="Millares 8 22" xfId="2564" xr:uid="{00000000-0005-0000-0000-0000040A0000}"/>
    <cellStyle name="Millares 8 23" xfId="2565" xr:uid="{00000000-0005-0000-0000-0000050A0000}"/>
    <cellStyle name="Millares 8 24" xfId="2566" xr:uid="{00000000-0005-0000-0000-0000060A0000}"/>
    <cellStyle name="Millares 8 3" xfId="2567" xr:uid="{00000000-0005-0000-0000-0000070A0000}"/>
    <cellStyle name="Millares 8 4" xfId="2568" xr:uid="{00000000-0005-0000-0000-0000080A0000}"/>
    <cellStyle name="Millares 8 5" xfId="2569" xr:uid="{00000000-0005-0000-0000-0000090A0000}"/>
    <cellStyle name="Millares 8 6" xfId="2570" xr:uid="{00000000-0005-0000-0000-00000A0A0000}"/>
    <cellStyle name="Millares 8 7" xfId="2571" xr:uid="{00000000-0005-0000-0000-00000B0A0000}"/>
    <cellStyle name="Millares 8 8" xfId="2572" xr:uid="{00000000-0005-0000-0000-00000C0A0000}"/>
    <cellStyle name="Millares 8 9" xfId="2573" xr:uid="{00000000-0005-0000-0000-00000D0A0000}"/>
    <cellStyle name="Millares 9" xfId="2574" xr:uid="{00000000-0005-0000-0000-00000E0A0000}"/>
    <cellStyle name="Moneda" xfId="388" builtinId="4"/>
    <cellStyle name="Moneda 2" xfId="389" xr:uid="{00000000-0005-0000-0000-000085010000}"/>
    <cellStyle name="Moneda 2 10" xfId="390" xr:uid="{00000000-0005-0000-0000-000086010000}"/>
    <cellStyle name="Moneda 2 10 2" xfId="546" xr:uid="{00000000-0005-0000-0000-000022020000}"/>
    <cellStyle name="Moneda 2 11" xfId="39540" xr:uid="{00000000-0005-0000-0000-0000749A0000}"/>
    <cellStyle name="Moneda 2 2" xfId="545" xr:uid="{00000000-0005-0000-0000-000021020000}"/>
    <cellStyle name="Moneda 2 2 2" xfId="391" xr:uid="{00000000-0005-0000-0000-000087010000}"/>
    <cellStyle name="Moneda 2 2 2 2" xfId="547" xr:uid="{00000000-0005-0000-0000-000023020000}"/>
    <cellStyle name="Moneda 2 2 3" xfId="2576" xr:uid="{00000000-0005-0000-0000-0000100A0000}"/>
    <cellStyle name="Moneda 2 2 4" xfId="2575" xr:uid="{00000000-0005-0000-0000-00000F0A0000}"/>
    <cellStyle name="Moneda 2 3" xfId="2577" xr:uid="{00000000-0005-0000-0000-0000110A0000}"/>
    <cellStyle name="Moneda 2 3 2" xfId="2578" xr:uid="{00000000-0005-0000-0000-0000120A0000}"/>
    <cellStyle name="Moneda 2 4" xfId="2579" xr:uid="{00000000-0005-0000-0000-0000130A0000}"/>
    <cellStyle name="Moneda 2 4 2" xfId="2580" xr:uid="{00000000-0005-0000-0000-0000140A0000}"/>
    <cellStyle name="Moneda 2 5" xfId="2581" xr:uid="{00000000-0005-0000-0000-0000150A0000}"/>
    <cellStyle name="Moneda 2 5 2" xfId="2582" xr:uid="{00000000-0005-0000-0000-0000160A0000}"/>
    <cellStyle name="Moneda 2 6" xfId="2583" xr:uid="{00000000-0005-0000-0000-0000170A0000}"/>
    <cellStyle name="Moneda 2 6 2" xfId="2584" xr:uid="{00000000-0005-0000-0000-0000180A0000}"/>
    <cellStyle name="Moneda 2 7" xfId="2585" xr:uid="{00000000-0005-0000-0000-0000190A0000}"/>
    <cellStyle name="Moneda 2 7 2" xfId="2586" xr:uid="{00000000-0005-0000-0000-00001A0A0000}"/>
    <cellStyle name="Moneda 2 8" xfId="2587" xr:uid="{00000000-0005-0000-0000-00001B0A0000}"/>
    <cellStyle name="Moneda 2 8 2" xfId="2588" xr:uid="{00000000-0005-0000-0000-00001C0A0000}"/>
    <cellStyle name="Moneda 2 9" xfId="2589" xr:uid="{00000000-0005-0000-0000-00001D0A0000}"/>
    <cellStyle name="Moneda 26" xfId="2590" xr:uid="{00000000-0005-0000-0000-00001E0A0000}"/>
    <cellStyle name="Moneda 26 2" xfId="2591" xr:uid="{00000000-0005-0000-0000-00001F0A0000}"/>
    <cellStyle name="Moneda 26 2 2" xfId="2592" xr:uid="{00000000-0005-0000-0000-0000200A0000}"/>
    <cellStyle name="Moneda 26 2 3" xfId="2593" xr:uid="{00000000-0005-0000-0000-0000210A0000}"/>
    <cellStyle name="Moneda 26 3" xfId="2594" xr:uid="{00000000-0005-0000-0000-0000220A0000}"/>
    <cellStyle name="Moneda 26 3 2" xfId="2595" xr:uid="{00000000-0005-0000-0000-0000230A0000}"/>
    <cellStyle name="Moneda 26 3 3" xfId="2596" xr:uid="{00000000-0005-0000-0000-0000240A0000}"/>
    <cellStyle name="Moneda 26 4" xfId="2597" xr:uid="{00000000-0005-0000-0000-0000250A0000}"/>
    <cellStyle name="Moneda 3" xfId="544" xr:uid="{00000000-0005-0000-0000-000020020000}"/>
    <cellStyle name="Moneda 3 2" xfId="2599" xr:uid="{00000000-0005-0000-0000-0000270A0000}"/>
    <cellStyle name="Moneda 3 3" xfId="2600" xr:uid="{00000000-0005-0000-0000-0000280A0000}"/>
    <cellStyle name="Moneda 3 4" xfId="2601" xr:uid="{00000000-0005-0000-0000-0000290A0000}"/>
    <cellStyle name="Moneda 3 5" xfId="2602" xr:uid="{00000000-0005-0000-0000-00002A0A0000}"/>
    <cellStyle name="Moneda 3 6" xfId="2603" xr:uid="{00000000-0005-0000-0000-00002B0A0000}"/>
    <cellStyle name="Moneda 3 7" xfId="2604" xr:uid="{00000000-0005-0000-0000-00002C0A0000}"/>
    <cellStyle name="Moneda 3 8" xfId="2605" xr:uid="{00000000-0005-0000-0000-00002D0A0000}"/>
    <cellStyle name="Moneda 3 9" xfId="2598" xr:uid="{00000000-0005-0000-0000-0000260A0000}"/>
    <cellStyle name="Moneda 4" xfId="392" xr:uid="{00000000-0005-0000-0000-000088010000}"/>
    <cellStyle name="Moneda 4 2" xfId="548" xr:uid="{00000000-0005-0000-0000-000024020000}"/>
    <cellStyle name="Moneda 5" xfId="551" xr:uid="{00000000-0005-0000-0000-000027020000}"/>
    <cellStyle name="Neutral 10" xfId="393" xr:uid="{00000000-0005-0000-0000-000089010000}"/>
    <cellStyle name="Neutral 11" xfId="394" xr:uid="{00000000-0005-0000-0000-00008A010000}"/>
    <cellStyle name="Neutral 12" xfId="395" xr:uid="{00000000-0005-0000-0000-00008B010000}"/>
    <cellStyle name="Neutral 2" xfId="396" xr:uid="{00000000-0005-0000-0000-00008C010000}"/>
    <cellStyle name="Neutral 3" xfId="397" xr:uid="{00000000-0005-0000-0000-00008D010000}"/>
    <cellStyle name="Neutral 4" xfId="398" xr:uid="{00000000-0005-0000-0000-00008E010000}"/>
    <cellStyle name="Neutral 5" xfId="399" xr:uid="{00000000-0005-0000-0000-00008F010000}"/>
    <cellStyle name="Neutral 6" xfId="400" xr:uid="{00000000-0005-0000-0000-000090010000}"/>
    <cellStyle name="Neutral 7" xfId="401" xr:uid="{00000000-0005-0000-0000-000091010000}"/>
    <cellStyle name="Neutral 8" xfId="402" xr:uid="{00000000-0005-0000-0000-000092010000}"/>
    <cellStyle name="Neutral 9" xfId="403" xr:uid="{00000000-0005-0000-0000-000093010000}"/>
    <cellStyle name="Normal" xfId="0" builtinId="0"/>
    <cellStyle name="Normal 10" xfId="404" xr:uid="{00000000-0005-0000-0000-000094010000}"/>
    <cellStyle name="Normal 10 10" xfId="2607" xr:uid="{00000000-0005-0000-0000-00002F0A0000}"/>
    <cellStyle name="Normal 10 11" xfId="2608" xr:uid="{00000000-0005-0000-0000-0000300A0000}"/>
    <cellStyle name="Normal 10 12" xfId="2609" xr:uid="{00000000-0005-0000-0000-0000310A0000}"/>
    <cellStyle name="Normal 10 13" xfId="2610" xr:uid="{00000000-0005-0000-0000-0000320A0000}"/>
    <cellStyle name="Normal 10 14" xfId="2611" xr:uid="{00000000-0005-0000-0000-0000330A0000}"/>
    <cellStyle name="Normal 10 15" xfId="2612" xr:uid="{00000000-0005-0000-0000-0000340A0000}"/>
    <cellStyle name="Normal 10 16" xfId="2613" xr:uid="{00000000-0005-0000-0000-0000350A0000}"/>
    <cellStyle name="Normal 10 17" xfId="2614" xr:uid="{00000000-0005-0000-0000-0000360A0000}"/>
    <cellStyle name="Normal 10 18" xfId="2615" xr:uid="{00000000-0005-0000-0000-0000370A0000}"/>
    <cellStyle name="Normal 10 19" xfId="2616" xr:uid="{00000000-0005-0000-0000-0000380A0000}"/>
    <cellStyle name="Normal 10 2" xfId="2617" xr:uid="{00000000-0005-0000-0000-0000390A0000}"/>
    <cellStyle name="Normal 10 2 10" xfId="405" xr:uid="{00000000-0005-0000-0000-000095010000}"/>
    <cellStyle name="Normal 10 2 10 10" xfId="2618" xr:uid="{00000000-0005-0000-0000-00003A0A0000}"/>
    <cellStyle name="Normal 10 2 10 10 10" xfId="2619" xr:uid="{00000000-0005-0000-0000-00003B0A0000}"/>
    <cellStyle name="Normal 10 2 10 10 11" xfId="2620" xr:uid="{00000000-0005-0000-0000-00003C0A0000}"/>
    <cellStyle name="Normal 10 2 10 10 12" xfId="2621" xr:uid="{00000000-0005-0000-0000-00003D0A0000}"/>
    <cellStyle name="Normal 10 2 10 10 13" xfId="2622" xr:uid="{00000000-0005-0000-0000-00003E0A0000}"/>
    <cellStyle name="Normal 10 2 10 10 14" xfId="2623" xr:uid="{00000000-0005-0000-0000-00003F0A0000}"/>
    <cellStyle name="Normal 10 2 10 10 2" xfId="2624" xr:uid="{00000000-0005-0000-0000-0000400A0000}"/>
    <cellStyle name="Normal 10 2 10 10 2 10" xfId="2625" xr:uid="{00000000-0005-0000-0000-0000410A0000}"/>
    <cellStyle name="Normal 10 2 10 10 2 2" xfId="2626" xr:uid="{00000000-0005-0000-0000-0000420A0000}"/>
    <cellStyle name="Normal 10 2 10 10 2 3" xfId="2627" xr:uid="{00000000-0005-0000-0000-0000430A0000}"/>
    <cellStyle name="Normal 10 2 10 10 2 4" xfId="2628" xr:uid="{00000000-0005-0000-0000-0000440A0000}"/>
    <cellStyle name="Normal 10 2 10 10 2 5" xfId="2629" xr:uid="{00000000-0005-0000-0000-0000450A0000}"/>
    <cellStyle name="Normal 10 2 10 10 2 6" xfId="2630" xr:uid="{00000000-0005-0000-0000-0000460A0000}"/>
    <cellStyle name="Normal 10 2 10 10 2 7" xfId="2631" xr:uid="{00000000-0005-0000-0000-0000470A0000}"/>
    <cellStyle name="Normal 10 2 10 10 2 8" xfId="2632" xr:uid="{00000000-0005-0000-0000-0000480A0000}"/>
    <cellStyle name="Normal 10 2 10 10 2 9" xfId="2633" xr:uid="{00000000-0005-0000-0000-0000490A0000}"/>
    <cellStyle name="Normal 10 2 10 10 3" xfId="2634" xr:uid="{00000000-0005-0000-0000-00004A0A0000}"/>
    <cellStyle name="Normal 10 2 10 10 3 10" xfId="2635" xr:uid="{00000000-0005-0000-0000-00004B0A0000}"/>
    <cellStyle name="Normal 10 2 10 10 3 2" xfId="2636" xr:uid="{00000000-0005-0000-0000-00004C0A0000}"/>
    <cellStyle name="Normal 10 2 10 10 3 3" xfId="2637" xr:uid="{00000000-0005-0000-0000-00004D0A0000}"/>
    <cellStyle name="Normal 10 2 10 10 3 4" xfId="2638" xr:uid="{00000000-0005-0000-0000-00004E0A0000}"/>
    <cellStyle name="Normal 10 2 10 10 3 5" xfId="2639" xr:uid="{00000000-0005-0000-0000-00004F0A0000}"/>
    <cellStyle name="Normal 10 2 10 10 3 6" xfId="2640" xr:uid="{00000000-0005-0000-0000-0000500A0000}"/>
    <cellStyle name="Normal 10 2 10 10 3 7" xfId="2641" xr:uid="{00000000-0005-0000-0000-0000510A0000}"/>
    <cellStyle name="Normal 10 2 10 10 3 8" xfId="2642" xr:uid="{00000000-0005-0000-0000-0000520A0000}"/>
    <cellStyle name="Normal 10 2 10 10 3 9" xfId="2643" xr:uid="{00000000-0005-0000-0000-0000530A0000}"/>
    <cellStyle name="Normal 10 2 10 10 4" xfId="2644" xr:uid="{00000000-0005-0000-0000-0000540A0000}"/>
    <cellStyle name="Normal 10 2 10 10 4 10" xfId="2645" xr:uid="{00000000-0005-0000-0000-0000550A0000}"/>
    <cellStyle name="Normal 10 2 10 10 4 2" xfId="2646" xr:uid="{00000000-0005-0000-0000-0000560A0000}"/>
    <cellStyle name="Normal 10 2 10 10 4 3" xfId="2647" xr:uid="{00000000-0005-0000-0000-0000570A0000}"/>
    <cellStyle name="Normal 10 2 10 10 4 4" xfId="2648" xr:uid="{00000000-0005-0000-0000-0000580A0000}"/>
    <cellStyle name="Normal 10 2 10 10 4 5" xfId="2649" xr:uid="{00000000-0005-0000-0000-0000590A0000}"/>
    <cellStyle name="Normal 10 2 10 10 4 6" xfId="2650" xr:uid="{00000000-0005-0000-0000-00005A0A0000}"/>
    <cellStyle name="Normal 10 2 10 10 4 7" xfId="2651" xr:uid="{00000000-0005-0000-0000-00005B0A0000}"/>
    <cellStyle name="Normal 10 2 10 10 4 8" xfId="2652" xr:uid="{00000000-0005-0000-0000-00005C0A0000}"/>
    <cellStyle name="Normal 10 2 10 10 4 9" xfId="2653" xr:uid="{00000000-0005-0000-0000-00005D0A0000}"/>
    <cellStyle name="Normal 10 2 10 10 5" xfId="2654" xr:uid="{00000000-0005-0000-0000-00005E0A0000}"/>
    <cellStyle name="Normal 10 2 10 10 5 10" xfId="2655" xr:uid="{00000000-0005-0000-0000-00005F0A0000}"/>
    <cellStyle name="Normal 10 2 10 10 5 2" xfId="2656" xr:uid="{00000000-0005-0000-0000-0000600A0000}"/>
    <cellStyle name="Normal 10 2 10 10 5 3" xfId="2657" xr:uid="{00000000-0005-0000-0000-0000610A0000}"/>
    <cellStyle name="Normal 10 2 10 10 5 4" xfId="2658" xr:uid="{00000000-0005-0000-0000-0000620A0000}"/>
    <cellStyle name="Normal 10 2 10 10 5 5" xfId="2659" xr:uid="{00000000-0005-0000-0000-0000630A0000}"/>
    <cellStyle name="Normal 10 2 10 10 5 6" xfId="2660" xr:uid="{00000000-0005-0000-0000-0000640A0000}"/>
    <cellStyle name="Normal 10 2 10 10 5 7" xfId="2661" xr:uid="{00000000-0005-0000-0000-0000650A0000}"/>
    <cellStyle name="Normal 10 2 10 10 5 8" xfId="2662" xr:uid="{00000000-0005-0000-0000-0000660A0000}"/>
    <cellStyle name="Normal 10 2 10 10 5 9" xfId="2663" xr:uid="{00000000-0005-0000-0000-0000670A0000}"/>
    <cellStyle name="Normal 10 2 10 10 6" xfId="2664" xr:uid="{00000000-0005-0000-0000-0000680A0000}"/>
    <cellStyle name="Normal 10 2 10 10 7" xfId="2665" xr:uid="{00000000-0005-0000-0000-0000690A0000}"/>
    <cellStyle name="Normal 10 2 10 10 8" xfId="2666" xr:uid="{00000000-0005-0000-0000-00006A0A0000}"/>
    <cellStyle name="Normal 10 2 10 10 9" xfId="2667" xr:uid="{00000000-0005-0000-0000-00006B0A0000}"/>
    <cellStyle name="Normal 10 2 10 11" xfId="2668" xr:uid="{00000000-0005-0000-0000-00006C0A0000}"/>
    <cellStyle name="Normal 10 2 10 11 10" xfId="2669" xr:uid="{00000000-0005-0000-0000-00006D0A0000}"/>
    <cellStyle name="Normal 10 2 10 11 11" xfId="2670" xr:uid="{00000000-0005-0000-0000-00006E0A0000}"/>
    <cellStyle name="Normal 10 2 10 11 12" xfId="2671" xr:uid="{00000000-0005-0000-0000-00006F0A0000}"/>
    <cellStyle name="Normal 10 2 10 11 13" xfId="2672" xr:uid="{00000000-0005-0000-0000-0000700A0000}"/>
    <cellStyle name="Normal 10 2 10 11 14" xfId="2673" xr:uid="{00000000-0005-0000-0000-0000710A0000}"/>
    <cellStyle name="Normal 10 2 10 11 2" xfId="2674" xr:uid="{00000000-0005-0000-0000-0000720A0000}"/>
    <cellStyle name="Normal 10 2 10 11 2 10" xfId="2675" xr:uid="{00000000-0005-0000-0000-0000730A0000}"/>
    <cellStyle name="Normal 10 2 10 11 2 2" xfId="2676" xr:uid="{00000000-0005-0000-0000-0000740A0000}"/>
    <cellStyle name="Normal 10 2 10 11 2 3" xfId="2677" xr:uid="{00000000-0005-0000-0000-0000750A0000}"/>
    <cellStyle name="Normal 10 2 10 11 2 4" xfId="2678" xr:uid="{00000000-0005-0000-0000-0000760A0000}"/>
    <cellStyle name="Normal 10 2 10 11 2 5" xfId="2679" xr:uid="{00000000-0005-0000-0000-0000770A0000}"/>
    <cellStyle name="Normal 10 2 10 11 2 6" xfId="2680" xr:uid="{00000000-0005-0000-0000-0000780A0000}"/>
    <cellStyle name="Normal 10 2 10 11 2 7" xfId="2681" xr:uid="{00000000-0005-0000-0000-0000790A0000}"/>
    <cellStyle name="Normal 10 2 10 11 2 8" xfId="2682" xr:uid="{00000000-0005-0000-0000-00007A0A0000}"/>
    <cellStyle name="Normal 10 2 10 11 2 9" xfId="2683" xr:uid="{00000000-0005-0000-0000-00007B0A0000}"/>
    <cellStyle name="Normal 10 2 10 11 3" xfId="2684" xr:uid="{00000000-0005-0000-0000-00007C0A0000}"/>
    <cellStyle name="Normal 10 2 10 11 3 10" xfId="2685" xr:uid="{00000000-0005-0000-0000-00007D0A0000}"/>
    <cellStyle name="Normal 10 2 10 11 3 2" xfId="2686" xr:uid="{00000000-0005-0000-0000-00007E0A0000}"/>
    <cellStyle name="Normal 10 2 10 11 3 3" xfId="2687" xr:uid="{00000000-0005-0000-0000-00007F0A0000}"/>
    <cellStyle name="Normal 10 2 10 11 3 4" xfId="2688" xr:uid="{00000000-0005-0000-0000-0000800A0000}"/>
    <cellStyle name="Normal 10 2 10 11 3 5" xfId="2689" xr:uid="{00000000-0005-0000-0000-0000810A0000}"/>
    <cellStyle name="Normal 10 2 10 11 3 6" xfId="2690" xr:uid="{00000000-0005-0000-0000-0000820A0000}"/>
    <cellStyle name="Normal 10 2 10 11 3 7" xfId="2691" xr:uid="{00000000-0005-0000-0000-0000830A0000}"/>
    <cellStyle name="Normal 10 2 10 11 3 8" xfId="2692" xr:uid="{00000000-0005-0000-0000-0000840A0000}"/>
    <cellStyle name="Normal 10 2 10 11 3 9" xfId="2693" xr:uid="{00000000-0005-0000-0000-0000850A0000}"/>
    <cellStyle name="Normal 10 2 10 11 4" xfId="2694" xr:uid="{00000000-0005-0000-0000-0000860A0000}"/>
    <cellStyle name="Normal 10 2 10 11 4 10" xfId="2695" xr:uid="{00000000-0005-0000-0000-0000870A0000}"/>
    <cellStyle name="Normal 10 2 10 11 4 2" xfId="2696" xr:uid="{00000000-0005-0000-0000-0000880A0000}"/>
    <cellStyle name="Normal 10 2 10 11 4 3" xfId="2697" xr:uid="{00000000-0005-0000-0000-0000890A0000}"/>
    <cellStyle name="Normal 10 2 10 11 4 4" xfId="2698" xr:uid="{00000000-0005-0000-0000-00008A0A0000}"/>
    <cellStyle name="Normal 10 2 10 11 4 5" xfId="2699" xr:uid="{00000000-0005-0000-0000-00008B0A0000}"/>
    <cellStyle name="Normal 10 2 10 11 4 6" xfId="2700" xr:uid="{00000000-0005-0000-0000-00008C0A0000}"/>
    <cellStyle name="Normal 10 2 10 11 4 7" xfId="2701" xr:uid="{00000000-0005-0000-0000-00008D0A0000}"/>
    <cellStyle name="Normal 10 2 10 11 4 8" xfId="2702" xr:uid="{00000000-0005-0000-0000-00008E0A0000}"/>
    <cellStyle name="Normal 10 2 10 11 4 9" xfId="2703" xr:uid="{00000000-0005-0000-0000-00008F0A0000}"/>
    <cellStyle name="Normal 10 2 10 11 5" xfId="2704" xr:uid="{00000000-0005-0000-0000-0000900A0000}"/>
    <cellStyle name="Normal 10 2 10 11 5 10" xfId="2705" xr:uid="{00000000-0005-0000-0000-0000910A0000}"/>
    <cellStyle name="Normal 10 2 10 11 5 2" xfId="2706" xr:uid="{00000000-0005-0000-0000-0000920A0000}"/>
    <cellStyle name="Normal 10 2 10 11 5 3" xfId="2707" xr:uid="{00000000-0005-0000-0000-0000930A0000}"/>
    <cellStyle name="Normal 10 2 10 11 5 4" xfId="2708" xr:uid="{00000000-0005-0000-0000-0000940A0000}"/>
    <cellStyle name="Normal 10 2 10 11 5 5" xfId="2709" xr:uid="{00000000-0005-0000-0000-0000950A0000}"/>
    <cellStyle name="Normal 10 2 10 11 5 6" xfId="2710" xr:uid="{00000000-0005-0000-0000-0000960A0000}"/>
    <cellStyle name="Normal 10 2 10 11 5 7" xfId="2711" xr:uid="{00000000-0005-0000-0000-0000970A0000}"/>
    <cellStyle name="Normal 10 2 10 11 5 8" xfId="2712" xr:uid="{00000000-0005-0000-0000-0000980A0000}"/>
    <cellStyle name="Normal 10 2 10 11 5 9" xfId="2713" xr:uid="{00000000-0005-0000-0000-0000990A0000}"/>
    <cellStyle name="Normal 10 2 10 11 6" xfId="2714" xr:uid="{00000000-0005-0000-0000-00009A0A0000}"/>
    <cellStyle name="Normal 10 2 10 11 7" xfId="2715" xr:uid="{00000000-0005-0000-0000-00009B0A0000}"/>
    <cellStyle name="Normal 10 2 10 11 8" xfId="2716" xr:uid="{00000000-0005-0000-0000-00009C0A0000}"/>
    <cellStyle name="Normal 10 2 10 11 9" xfId="2717" xr:uid="{00000000-0005-0000-0000-00009D0A0000}"/>
    <cellStyle name="Normal 10 2 10 12" xfId="2718" xr:uid="{00000000-0005-0000-0000-00009E0A0000}"/>
    <cellStyle name="Normal 10 2 10 12 10" xfId="2719" xr:uid="{00000000-0005-0000-0000-00009F0A0000}"/>
    <cellStyle name="Normal 10 2 10 12 11" xfId="2720" xr:uid="{00000000-0005-0000-0000-0000A00A0000}"/>
    <cellStyle name="Normal 10 2 10 12 12" xfId="2721" xr:uid="{00000000-0005-0000-0000-0000A10A0000}"/>
    <cellStyle name="Normal 10 2 10 12 13" xfId="2722" xr:uid="{00000000-0005-0000-0000-0000A20A0000}"/>
    <cellStyle name="Normal 10 2 10 12 14" xfId="2723" xr:uid="{00000000-0005-0000-0000-0000A30A0000}"/>
    <cellStyle name="Normal 10 2 10 12 2" xfId="2724" xr:uid="{00000000-0005-0000-0000-0000A40A0000}"/>
    <cellStyle name="Normal 10 2 10 12 2 10" xfId="2725" xr:uid="{00000000-0005-0000-0000-0000A50A0000}"/>
    <cellStyle name="Normal 10 2 10 12 2 2" xfId="2726" xr:uid="{00000000-0005-0000-0000-0000A60A0000}"/>
    <cellStyle name="Normal 10 2 10 12 2 3" xfId="2727" xr:uid="{00000000-0005-0000-0000-0000A70A0000}"/>
    <cellStyle name="Normal 10 2 10 12 2 4" xfId="2728" xr:uid="{00000000-0005-0000-0000-0000A80A0000}"/>
    <cellStyle name="Normal 10 2 10 12 2 5" xfId="2729" xr:uid="{00000000-0005-0000-0000-0000A90A0000}"/>
    <cellStyle name="Normal 10 2 10 12 2 6" xfId="2730" xr:uid="{00000000-0005-0000-0000-0000AA0A0000}"/>
    <cellStyle name="Normal 10 2 10 12 2 7" xfId="2731" xr:uid="{00000000-0005-0000-0000-0000AB0A0000}"/>
    <cellStyle name="Normal 10 2 10 12 2 8" xfId="2732" xr:uid="{00000000-0005-0000-0000-0000AC0A0000}"/>
    <cellStyle name="Normal 10 2 10 12 2 9" xfId="2733" xr:uid="{00000000-0005-0000-0000-0000AD0A0000}"/>
    <cellStyle name="Normal 10 2 10 12 3" xfId="2734" xr:uid="{00000000-0005-0000-0000-0000AE0A0000}"/>
    <cellStyle name="Normal 10 2 10 12 3 10" xfId="2735" xr:uid="{00000000-0005-0000-0000-0000AF0A0000}"/>
    <cellStyle name="Normal 10 2 10 12 3 2" xfId="2736" xr:uid="{00000000-0005-0000-0000-0000B00A0000}"/>
    <cellStyle name="Normal 10 2 10 12 3 3" xfId="2737" xr:uid="{00000000-0005-0000-0000-0000B10A0000}"/>
    <cellStyle name="Normal 10 2 10 12 3 4" xfId="2738" xr:uid="{00000000-0005-0000-0000-0000B20A0000}"/>
    <cellStyle name="Normal 10 2 10 12 3 5" xfId="2739" xr:uid="{00000000-0005-0000-0000-0000B30A0000}"/>
    <cellStyle name="Normal 10 2 10 12 3 6" xfId="2740" xr:uid="{00000000-0005-0000-0000-0000B40A0000}"/>
    <cellStyle name="Normal 10 2 10 12 3 7" xfId="2741" xr:uid="{00000000-0005-0000-0000-0000B50A0000}"/>
    <cellStyle name="Normal 10 2 10 12 3 8" xfId="2742" xr:uid="{00000000-0005-0000-0000-0000B60A0000}"/>
    <cellStyle name="Normal 10 2 10 12 3 9" xfId="2743" xr:uid="{00000000-0005-0000-0000-0000B70A0000}"/>
    <cellStyle name="Normal 10 2 10 12 4" xfId="2744" xr:uid="{00000000-0005-0000-0000-0000B80A0000}"/>
    <cellStyle name="Normal 10 2 10 12 4 10" xfId="2745" xr:uid="{00000000-0005-0000-0000-0000B90A0000}"/>
    <cellStyle name="Normal 10 2 10 12 4 2" xfId="2746" xr:uid="{00000000-0005-0000-0000-0000BA0A0000}"/>
    <cellStyle name="Normal 10 2 10 12 4 3" xfId="2747" xr:uid="{00000000-0005-0000-0000-0000BB0A0000}"/>
    <cellStyle name="Normal 10 2 10 12 4 4" xfId="2748" xr:uid="{00000000-0005-0000-0000-0000BC0A0000}"/>
    <cellStyle name="Normal 10 2 10 12 4 5" xfId="2749" xr:uid="{00000000-0005-0000-0000-0000BD0A0000}"/>
    <cellStyle name="Normal 10 2 10 12 4 6" xfId="2750" xr:uid="{00000000-0005-0000-0000-0000BE0A0000}"/>
    <cellStyle name="Normal 10 2 10 12 4 7" xfId="2751" xr:uid="{00000000-0005-0000-0000-0000BF0A0000}"/>
    <cellStyle name="Normal 10 2 10 12 4 8" xfId="2752" xr:uid="{00000000-0005-0000-0000-0000C00A0000}"/>
    <cellStyle name="Normal 10 2 10 12 4 9" xfId="2753" xr:uid="{00000000-0005-0000-0000-0000C10A0000}"/>
    <cellStyle name="Normal 10 2 10 12 5" xfId="2754" xr:uid="{00000000-0005-0000-0000-0000C20A0000}"/>
    <cellStyle name="Normal 10 2 10 12 5 10" xfId="2755" xr:uid="{00000000-0005-0000-0000-0000C30A0000}"/>
    <cellStyle name="Normal 10 2 10 12 5 2" xfId="2756" xr:uid="{00000000-0005-0000-0000-0000C40A0000}"/>
    <cellStyle name="Normal 10 2 10 12 5 3" xfId="2757" xr:uid="{00000000-0005-0000-0000-0000C50A0000}"/>
    <cellStyle name="Normal 10 2 10 12 5 4" xfId="2758" xr:uid="{00000000-0005-0000-0000-0000C60A0000}"/>
    <cellStyle name="Normal 10 2 10 12 5 5" xfId="2759" xr:uid="{00000000-0005-0000-0000-0000C70A0000}"/>
    <cellStyle name="Normal 10 2 10 12 5 6" xfId="2760" xr:uid="{00000000-0005-0000-0000-0000C80A0000}"/>
    <cellStyle name="Normal 10 2 10 12 5 7" xfId="2761" xr:uid="{00000000-0005-0000-0000-0000C90A0000}"/>
    <cellStyle name="Normal 10 2 10 12 5 8" xfId="2762" xr:uid="{00000000-0005-0000-0000-0000CA0A0000}"/>
    <cellStyle name="Normal 10 2 10 12 5 9" xfId="2763" xr:uid="{00000000-0005-0000-0000-0000CB0A0000}"/>
    <cellStyle name="Normal 10 2 10 12 6" xfId="2764" xr:uid="{00000000-0005-0000-0000-0000CC0A0000}"/>
    <cellStyle name="Normal 10 2 10 12 7" xfId="2765" xr:uid="{00000000-0005-0000-0000-0000CD0A0000}"/>
    <cellStyle name="Normal 10 2 10 12 8" xfId="2766" xr:uid="{00000000-0005-0000-0000-0000CE0A0000}"/>
    <cellStyle name="Normal 10 2 10 12 9" xfId="2767" xr:uid="{00000000-0005-0000-0000-0000CF0A0000}"/>
    <cellStyle name="Normal 10 2 10 13" xfId="2768" xr:uid="{00000000-0005-0000-0000-0000D00A0000}"/>
    <cellStyle name="Normal 10 2 10 13 10" xfId="2769" xr:uid="{00000000-0005-0000-0000-0000D10A0000}"/>
    <cellStyle name="Normal 10 2 10 13 11" xfId="2770" xr:uid="{00000000-0005-0000-0000-0000D20A0000}"/>
    <cellStyle name="Normal 10 2 10 13 12" xfId="2771" xr:uid="{00000000-0005-0000-0000-0000D30A0000}"/>
    <cellStyle name="Normal 10 2 10 13 13" xfId="2772" xr:uid="{00000000-0005-0000-0000-0000D40A0000}"/>
    <cellStyle name="Normal 10 2 10 13 14" xfId="2773" xr:uid="{00000000-0005-0000-0000-0000D50A0000}"/>
    <cellStyle name="Normal 10 2 10 13 2" xfId="2774" xr:uid="{00000000-0005-0000-0000-0000D60A0000}"/>
    <cellStyle name="Normal 10 2 10 13 2 10" xfId="2775" xr:uid="{00000000-0005-0000-0000-0000D70A0000}"/>
    <cellStyle name="Normal 10 2 10 13 2 2" xfId="2776" xr:uid="{00000000-0005-0000-0000-0000D80A0000}"/>
    <cellStyle name="Normal 10 2 10 13 2 3" xfId="2777" xr:uid="{00000000-0005-0000-0000-0000D90A0000}"/>
    <cellStyle name="Normal 10 2 10 13 2 4" xfId="2778" xr:uid="{00000000-0005-0000-0000-0000DA0A0000}"/>
    <cellStyle name="Normal 10 2 10 13 2 5" xfId="2779" xr:uid="{00000000-0005-0000-0000-0000DB0A0000}"/>
    <cellStyle name="Normal 10 2 10 13 2 6" xfId="2780" xr:uid="{00000000-0005-0000-0000-0000DC0A0000}"/>
    <cellStyle name="Normal 10 2 10 13 2 7" xfId="2781" xr:uid="{00000000-0005-0000-0000-0000DD0A0000}"/>
    <cellStyle name="Normal 10 2 10 13 2 8" xfId="2782" xr:uid="{00000000-0005-0000-0000-0000DE0A0000}"/>
    <cellStyle name="Normal 10 2 10 13 2 9" xfId="2783" xr:uid="{00000000-0005-0000-0000-0000DF0A0000}"/>
    <cellStyle name="Normal 10 2 10 13 3" xfId="2784" xr:uid="{00000000-0005-0000-0000-0000E00A0000}"/>
    <cellStyle name="Normal 10 2 10 13 3 10" xfId="2785" xr:uid="{00000000-0005-0000-0000-0000E10A0000}"/>
    <cellStyle name="Normal 10 2 10 13 3 2" xfId="2786" xr:uid="{00000000-0005-0000-0000-0000E20A0000}"/>
    <cellStyle name="Normal 10 2 10 13 3 3" xfId="2787" xr:uid="{00000000-0005-0000-0000-0000E30A0000}"/>
    <cellStyle name="Normal 10 2 10 13 3 4" xfId="2788" xr:uid="{00000000-0005-0000-0000-0000E40A0000}"/>
    <cellStyle name="Normal 10 2 10 13 3 5" xfId="2789" xr:uid="{00000000-0005-0000-0000-0000E50A0000}"/>
    <cellStyle name="Normal 10 2 10 13 3 6" xfId="2790" xr:uid="{00000000-0005-0000-0000-0000E60A0000}"/>
    <cellStyle name="Normal 10 2 10 13 3 7" xfId="2791" xr:uid="{00000000-0005-0000-0000-0000E70A0000}"/>
    <cellStyle name="Normal 10 2 10 13 3 8" xfId="2792" xr:uid="{00000000-0005-0000-0000-0000E80A0000}"/>
    <cellStyle name="Normal 10 2 10 13 3 9" xfId="2793" xr:uid="{00000000-0005-0000-0000-0000E90A0000}"/>
    <cellStyle name="Normal 10 2 10 13 4" xfId="2794" xr:uid="{00000000-0005-0000-0000-0000EA0A0000}"/>
    <cellStyle name="Normal 10 2 10 13 4 10" xfId="2795" xr:uid="{00000000-0005-0000-0000-0000EB0A0000}"/>
    <cellStyle name="Normal 10 2 10 13 4 2" xfId="2796" xr:uid="{00000000-0005-0000-0000-0000EC0A0000}"/>
    <cellStyle name="Normal 10 2 10 13 4 3" xfId="2797" xr:uid="{00000000-0005-0000-0000-0000ED0A0000}"/>
    <cellStyle name="Normal 10 2 10 13 4 4" xfId="2798" xr:uid="{00000000-0005-0000-0000-0000EE0A0000}"/>
    <cellStyle name="Normal 10 2 10 13 4 5" xfId="2799" xr:uid="{00000000-0005-0000-0000-0000EF0A0000}"/>
    <cellStyle name="Normal 10 2 10 13 4 6" xfId="2800" xr:uid="{00000000-0005-0000-0000-0000F00A0000}"/>
    <cellStyle name="Normal 10 2 10 13 4 7" xfId="2801" xr:uid="{00000000-0005-0000-0000-0000F10A0000}"/>
    <cellStyle name="Normal 10 2 10 13 4 8" xfId="2802" xr:uid="{00000000-0005-0000-0000-0000F20A0000}"/>
    <cellStyle name="Normal 10 2 10 13 4 9" xfId="2803" xr:uid="{00000000-0005-0000-0000-0000F30A0000}"/>
    <cellStyle name="Normal 10 2 10 13 5" xfId="2804" xr:uid="{00000000-0005-0000-0000-0000F40A0000}"/>
    <cellStyle name="Normal 10 2 10 13 5 10" xfId="2805" xr:uid="{00000000-0005-0000-0000-0000F50A0000}"/>
    <cellStyle name="Normal 10 2 10 13 5 2" xfId="2806" xr:uid="{00000000-0005-0000-0000-0000F60A0000}"/>
    <cellStyle name="Normal 10 2 10 13 5 3" xfId="2807" xr:uid="{00000000-0005-0000-0000-0000F70A0000}"/>
    <cellStyle name="Normal 10 2 10 13 5 4" xfId="2808" xr:uid="{00000000-0005-0000-0000-0000F80A0000}"/>
    <cellStyle name="Normal 10 2 10 13 5 5" xfId="2809" xr:uid="{00000000-0005-0000-0000-0000F90A0000}"/>
    <cellStyle name="Normal 10 2 10 13 5 6" xfId="2810" xr:uid="{00000000-0005-0000-0000-0000FA0A0000}"/>
    <cellStyle name="Normal 10 2 10 13 5 7" xfId="2811" xr:uid="{00000000-0005-0000-0000-0000FB0A0000}"/>
    <cellStyle name="Normal 10 2 10 13 5 8" xfId="2812" xr:uid="{00000000-0005-0000-0000-0000FC0A0000}"/>
    <cellStyle name="Normal 10 2 10 13 5 9" xfId="2813" xr:uid="{00000000-0005-0000-0000-0000FD0A0000}"/>
    <cellStyle name="Normal 10 2 10 13 6" xfId="2814" xr:uid="{00000000-0005-0000-0000-0000FE0A0000}"/>
    <cellStyle name="Normal 10 2 10 13 7" xfId="2815" xr:uid="{00000000-0005-0000-0000-0000FF0A0000}"/>
    <cellStyle name="Normal 10 2 10 13 8" xfId="2816" xr:uid="{00000000-0005-0000-0000-0000000B0000}"/>
    <cellStyle name="Normal 10 2 10 13 9" xfId="2817" xr:uid="{00000000-0005-0000-0000-0000010B0000}"/>
    <cellStyle name="Normal 10 2 10 14" xfId="2818" xr:uid="{00000000-0005-0000-0000-0000020B0000}"/>
    <cellStyle name="Normal 10 2 10 14 10" xfId="2819" xr:uid="{00000000-0005-0000-0000-0000030B0000}"/>
    <cellStyle name="Normal 10 2 10 14 11" xfId="2820" xr:uid="{00000000-0005-0000-0000-0000040B0000}"/>
    <cellStyle name="Normal 10 2 10 14 12" xfId="2821" xr:uid="{00000000-0005-0000-0000-0000050B0000}"/>
    <cellStyle name="Normal 10 2 10 14 13" xfId="2822" xr:uid="{00000000-0005-0000-0000-0000060B0000}"/>
    <cellStyle name="Normal 10 2 10 14 14" xfId="2823" xr:uid="{00000000-0005-0000-0000-0000070B0000}"/>
    <cellStyle name="Normal 10 2 10 14 2" xfId="2824" xr:uid="{00000000-0005-0000-0000-0000080B0000}"/>
    <cellStyle name="Normal 10 2 10 14 2 10" xfId="2825" xr:uid="{00000000-0005-0000-0000-0000090B0000}"/>
    <cellStyle name="Normal 10 2 10 14 2 2" xfId="2826" xr:uid="{00000000-0005-0000-0000-00000A0B0000}"/>
    <cellStyle name="Normal 10 2 10 14 2 3" xfId="2827" xr:uid="{00000000-0005-0000-0000-00000B0B0000}"/>
    <cellStyle name="Normal 10 2 10 14 2 4" xfId="2828" xr:uid="{00000000-0005-0000-0000-00000C0B0000}"/>
    <cellStyle name="Normal 10 2 10 14 2 5" xfId="2829" xr:uid="{00000000-0005-0000-0000-00000D0B0000}"/>
    <cellStyle name="Normal 10 2 10 14 2 6" xfId="2830" xr:uid="{00000000-0005-0000-0000-00000E0B0000}"/>
    <cellStyle name="Normal 10 2 10 14 2 7" xfId="2831" xr:uid="{00000000-0005-0000-0000-00000F0B0000}"/>
    <cellStyle name="Normal 10 2 10 14 2 8" xfId="2832" xr:uid="{00000000-0005-0000-0000-0000100B0000}"/>
    <cellStyle name="Normal 10 2 10 14 2 9" xfId="2833" xr:uid="{00000000-0005-0000-0000-0000110B0000}"/>
    <cellStyle name="Normal 10 2 10 14 3" xfId="2834" xr:uid="{00000000-0005-0000-0000-0000120B0000}"/>
    <cellStyle name="Normal 10 2 10 14 3 10" xfId="2835" xr:uid="{00000000-0005-0000-0000-0000130B0000}"/>
    <cellStyle name="Normal 10 2 10 14 3 2" xfId="2836" xr:uid="{00000000-0005-0000-0000-0000140B0000}"/>
    <cellStyle name="Normal 10 2 10 14 3 3" xfId="2837" xr:uid="{00000000-0005-0000-0000-0000150B0000}"/>
    <cellStyle name="Normal 10 2 10 14 3 4" xfId="2838" xr:uid="{00000000-0005-0000-0000-0000160B0000}"/>
    <cellStyle name="Normal 10 2 10 14 3 5" xfId="2839" xr:uid="{00000000-0005-0000-0000-0000170B0000}"/>
    <cellStyle name="Normal 10 2 10 14 3 6" xfId="2840" xr:uid="{00000000-0005-0000-0000-0000180B0000}"/>
    <cellStyle name="Normal 10 2 10 14 3 7" xfId="2841" xr:uid="{00000000-0005-0000-0000-0000190B0000}"/>
    <cellStyle name="Normal 10 2 10 14 3 8" xfId="2842" xr:uid="{00000000-0005-0000-0000-00001A0B0000}"/>
    <cellStyle name="Normal 10 2 10 14 3 9" xfId="2843" xr:uid="{00000000-0005-0000-0000-00001B0B0000}"/>
    <cellStyle name="Normal 10 2 10 14 4" xfId="2844" xr:uid="{00000000-0005-0000-0000-00001C0B0000}"/>
    <cellStyle name="Normal 10 2 10 14 4 10" xfId="2845" xr:uid="{00000000-0005-0000-0000-00001D0B0000}"/>
    <cellStyle name="Normal 10 2 10 14 4 2" xfId="2846" xr:uid="{00000000-0005-0000-0000-00001E0B0000}"/>
    <cellStyle name="Normal 10 2 10 14 4 3" xfId="2847" xr:uid="{00000000-0005-0000-0000-00001F0B0000}"/>
    <cellStyle name="Normal 10 2 10 14 4 4" xfId="2848" xr:uid="{00000000-0005-0000-0000-0000200B0000}"/>
    <cellStyle name="Normal 10 2 10 14 4 5" xfId="2849" xr:uid="{00000000-0005-0000-0000-0000210B0000}"/>
    <cellStyle name="Normal 10 2 10 14 4 6" xfId="2850" xr:uid="{00000000-0005-0000-0000-0000220B0000}"/>
    <cellStyle name="Normal 10 2 10 14 4 7" xfId="2851" xr:uid="{00000000-0005-0000-0000-0000230B0000}"/>
    <cellStyle name="Normal 10 2 10 14 4 8" xfId="2852" xr:uid="{00000000-0005-0000-0000-0000240B0000}"/>
    <cellStyle name="Normal 10 2 10 14 4 9" xfId="2853" xr:uid="{00000000-0005-0000-0000-0000250B0000}"/>
    <cellStyle name="Normal 10 2 10 14 5" xfId="2854" xr:uid="{00000000-0005-0000-0000-0000260B0000}"/>
    <cellStyle name="Normal 10 2 10 14 5 10" xfId="2855" xr:uid="{00000000-0005-0000-0000-0000270B0000}"/>
    <cellStyle name="Normal 10 2 10 14 5 2" xfId="2856" xr:uid="{00000000-0005-0000-0000-0000280B0000}"/>
    <cellStyle name="Normal 10 2 10 14 5 3" xfId="2857" xr:uid="{00000000-0005-0000-0000-0000290B0000}"/>
    <cellStyle name="Normal 10 2 10 14 5 4" xfId="2858" xr:uid="{00000000-0005-0000-0000-00002A0B0000}"/>
    <cellStyle name="Normal 10 2 10 14 5 5" xfId="2859" xr:uid="{00000000-0005-0000-0000-00002B0B0000}"/>
    <cellStyle name="Normal 10 2 10 14 5 6" xfId="2860" xr:uid="{00000000-0005-0000-0000-00002C0B0000}"/>
    <cellStyle name="Normal 10 2 10 14 5 7" xfId="2861" xr:uid="{00000000-0005-0000-0000-00002D0B0000}"/>
    <cellStyle name="Normal 10 2 10 14 5 8" xfId="2862" xr:uid="{00000000-0005-0000-0000-00002E0B0000}"/>
    <cellStyle name="Normal 10 2 10 14 5 9" xfId="2863" xr:uid="{00000000-0005-0000-0000-00002F0B0000}"/>
    <cellStyle name="Normal 10 2 10 14 6" xfId="2864" xr:uid="{00000000-0005-0000-0000-0000300B0000}"/>
    <cellStyle name="Normal 10 2 10 14 7" xfId="2865" xr:uid="{00000000-0005-0000-0000-0000310B0000}"/>
    <cellStyle name="Normal 10 2 10 14 8" xfId="2866" xr:uid="{00000000-0005-0000-0000-0000320B0000}"/>
    <cellStyle name="Normal 10 2 10 14 9" xfId="2867" xr:uid="{00000000-0005-0000-0000-0000330B0000}"/>
    <cellStyle name="Normal 10 2 10 15" xfId="2868" xr:uid="{00000000-0005-0000-0000-0000340B0000}"/>
    <cellStyle name="Normal 10 2 10 15 10" xfId="2869" xr:uid="{00000000-0005-0000-0000-0000350B0000}"/>
    <cellStyle name="Normal 10 2 10 15 11" xfId="2870" xr:uid="{00000000-0005-0000-0000-0000360B0000}"/>
    <cellStyle name="Normal 10 2 10 15 12" xfId="2871" xr:uid="{00000000-0005-0000-0000-0000370B0000}"/>
    <cellStyle name="Normal 10 2 10 15 13" xfId="2872" xr:uid="{00000000-0005-0000-0000-0000380B0000}"/>
    <cellStyle name="Normal 10 2 10 15 14" xfId="2873" xr:uid="{00000000-0005-0000-0000-0000390B0000}"/>
    <cellStyle name="Normal 10 2 10 15 2" xfId="2874" xr:uid="{00000000-0005-0000-0000-00003A0B0000}"/>
    <cellStyle name="Normal 10 2 10 15 2 10" xfId="2875" xr:uid="{00000000-0005-0000-0000-00003B0B0000}"/>
    <cellStyle name="Normal 10 2 10 15 2 2" xfId="2876" xr:uid="{00000000-0005-0000-0000-00003C0B0000}"/>
    <cellStyle name="Normal 10 2 10 15 2 3" xfId="2877" xr:uid="{00000000-0005-0000-0000-00003D0B0000}"/>
    <cellStyle name="Normal 10 2 10 15 2 4" xfId="2878" xr:uid="{00000000-0005-0000-0000-00003E0B0000}"/>
    <cellStyle name="Normal 10 2 10 15 2 5" xfId="2879" xr:uid="{00000000-0005-0000-0000-00003F0B0000}"/>
    <cellStyle name="Normal 10 2 10 15 2 6" xfId="2880" xr:uid="{00000000-0005-0000-0000-0000400B0000}"/>
    <cellStyle name="Normal 10 2 10 15 2 7" xfId="2881" xr:uid="{00000000-0005-0000-0000-0000410B0000}"/>
    <cellStyle name="Normal 10 2 10 15 2 8" xfId="2882" xr:uid="{00000000-0005-0000-0000-0000420B0000}"/>
    <cellStyle name="Normal 10 2 10 15 2 9" xfId="2883" xr:uid="{00000000-0005-0000-0000-0000430B0000}"/>
    <cellStyle name="Normal 10 2 10 15 3" xfId="2884" xr:uid="{00000000-0005-0000-0000-0000440B0000}"/>
    <cellStyle name="Normal 10 2 10 15 3 10" xfId="2885" xr:uid="{00000000-0005-0000-0000-0000450B0000}"/>
    <cellStyle name="Normal 10 2 10 15 3 2" xfId="2886" xr:uid="{00000000-0005-0000-0000-0000460B0000}"/>
    <cellStyle name="Normal 10 2 10 15 3 3" xfId="2887" xr:uid="{00000000-0005-0000-0000-0000470B0000}"/>
    <cellStyle name="Normal 10 2 10 15 3 4" xfId="2888" xr:uid="{00000000-0005-0000-0000-0000480B0000}"/>
    <cellStyle name="Normal 10 2 10 15 3 5" xfId="2889" xr:uid="{00000000-0005-0000-0000-0000490B0000}"/>
    <cellStyle name="Normal 10 2 10 15 3 6" xfId="2890" xr:uid="{00000000-0005-0000-0000-00004A0B0000}"/>
    <cellStyle name="Normal 10 2 10 15 3 7" xfId="2891" xr:uid="{00000000-0005-0000-0000-00004B0B0000}"/>
    <cellStyle name="Normal 10 2 10 15 3 8" xfId="2892" xr:uid="{00000000-0005-0000-0000-00004C0B0000}"/>
    <cellStyle name="Normal 10 2 10 15 3 9" xfId="2893" xr:uid="{00000000-0005-0000-0000-00004D0B0000}"/>
    <cellStyle name="Normal 10 2 10 15 4" xfId="2894" xr:uid="{00000000-0005-0000-0000-00004E0B0000}"/>
    <cellStyle name="Normal 10 2 10 15 4 10" xfId="2895" xr:uid="{00000000-0005-0000-0000-00004F0B0000}"/>
    <cellStyle name="Normal 10 2 10 15 4 2" xfId="2896" xr:uid="{00000000-0005-0000-0000-0000500B0000}"/>
    <cellStyle name="Normal 10 2 10 15 4 3" xfId="2897" xr:uid="{00000000-0005-0000-0000-0000510B0000}"/>
    <cellStyle name="Normal 10 2 10 15 4 4" xfId="2898" xr:uid="{00000000-0005-0000-0000-0000520B0000}"/>
    <cellStyle name="Normal 10 2 10 15 4 5" xfId="2899" xr:uid="{00000000-0005-0000-0000-0000530B0000}"/>
    <cellStyle name="Normal 10 2 10 15 4 6" xfId="2900" xr:uid="{00000000-0005-0000-0000-0000540B0000}"/>
    <cellStyle name="Normal 10 2 10 15 4 7" xfId="2901" xr:uid="{00000000-0005-0000-0000-0000550B0000}"/>
    <cellStyle name="Normal 10 2 10 15 4 8" xfId="2902" xr:uid="{00000000-0005-0000-0000-0000560B0000}"/>
    <cellStyle name="Normal 10 2 10 15 4 9" xfId="2903" xr:uid="{00000000-0005-0000-0000-0000570B0000}"/>
    <cellStyle name="Normal 10 2 10 15 5" xfId="2904" xr:uid="{00000000-0005-0000-0000-0000580B0000}"/>
    <cellStyle name="Normal 10 2 10 15 5 10" xfId="2905" xr:uid="{00000000-0005-0000-0000-0000590B0000}"/>
    <cellStyle name="Normal 10 2 10 15 5 2" xfId="2906" xr:uid="{00000000-0005-0000-0000-00005A0B0000}"/>
    <cellStyle name="Normal 10 2 10 15 5 3" xfId="2907" xr:uid="{00000000-0005-0000-0000-00005B0B0000}"/>
    <cellStyle name="Normal 10 2 10 15 5 4" xfId="2908" xr:uid="{00000000-0005-0000-0000-00005C0B0000}"/>
    <cellStyle name="Normal 10 2 10 15 5 5" xfId="2909" xr:uid="{00000000-0005-0000-0000-00005D0B0000}"/>
    <cellStyle name="Normal 10 2 10 15 5 6" xfId="2910" xr:uid="{00000000-0005-0000-0000-00005E0B0000}"/>
    <cellStyle name="Normal 10 2 10 15 5 7" xfId="2911" xr:uid="{00000000-0005-0000-0000-00005F0B0000}"/>
    <cellStyle name="Normal 10 2 10 15 5 8" xfId="2912" xr:uid="{00000000-0005-0000-0000-0000600B0000}"/>
    <cellStyle name="Normal 10 2 10 15 5 9" xfId="2913" xr:uid="{00000000-0005-0000-0000-0000610B0000}"/>
    <cellStyle name="Normal 10 2 10 15 6" xfId="2914" xr:uid="{00000000-0005-0000-0000-0000620B0000}"/>
    <cellStyle name="Normal 10 2 10 15 7" xfId="2915" xr:uid="{00000000-0005-0000-0000-0000630B0000}"/>
    <cellStyle name="Normal 10 2 10 15 8" xfId="2916" xr:uid="{00000000-0005-0000-0000-0000640B0000}"/>
    <cellStyle name="Normal 10 2 10 15 9" xfId="2917" xr:uid="{00000000-0005-0000-0000-0000650B0000}"/>
    <cellStyle name="Normal 10 2 10 16" xfId="2918" xr:uid="{00000000-0005-0000-0000-0000660B0000}"/>
    <cellStyle name="Normal 10 2 10 16 10" xfId="2919" xr:uid="{00000000-0005-0000-0000-0000670B0000}"/>
    <cellStyle name="Normal 10 2 10 16 11" xfId="2920" xr:uid="{00000000-0005-0000-0000-0000680B0000}"/>
    <cellStyle name="Normal 10 2 10 16 12" xfId="2921" xr:uid="{00000000-0005-0000-0000-0000690B0000}"/>
    <cellStyle name="Normal 10 2 10 16 13" xfId="2922" xr:uid="{00000000-0005-0000-0000-00006A0B0000}"/>
    <cellStyle name="Normal 10 2 10 16 14" xfId="2923" xr:uid="{00000000-0005-0000-0000-00006B0B0000}"/>
    <cellStyle name="Normal 10 2 10 16 2" xfId="2924" xr:uid="{00000000-0005-0000-0000-00006C0B0000}"/>
    <cellStyle name="Normal 10 2 10 16 2 10" xfId="2925" xr:uid="{00000000-0005-0000-0000-00006D0B0000}"/>
    <cellStyle name="Normal 10 2 10 16 2 2" xfId="2926" xr:uid="{00000000-0005-0000-0000-00006E0B0000}"/>
    <cellStyle name="Normal 10 2 10 16 2 3" xfId="2927" xr:uid="{00000000-0005-0000-0000-00006F0B0000}"/>
    <cellStyle name="Normal 10 2 10 16 2 4" xfId="2928" xr:uid="{00000000-0005-0000-0000-0000700B0000}"/>
    <cellStyle name="Normal 10 2 10 16 2 5" xfId="2929" xr:uid="{00000000-0005-0000-0000-0000710B0000}"/>
    <cellStyle name="Normal 10 2 10 16 2 6" xfId="2930" xr:uid="{00000000-0005-0000-0000-0000720B0000}"/>
    <cellStyle name="Normal 10 2 10 16 2 7" xfId="2931" xr:uid="{00000000-0005-0000-0000-0000730B0000}"/>
    <cellStyle name="Normal 10 2 10 16 2 8" xfId="2932" xr:uid="{00000000-0005-0000-0000-0000740B0000}"/>
    <cellStyle name="Normal 10 2 10 16 2 9" xfId="2933" xr:uid="{00000000-0005-0000-0000-0000750B0000}"/>
    <cellStyle name="Normal 10 2 10 16 3" xfId="2934" xr:uid="{00000000-0005-0000-0000-0000760B0000}"/>
    <cellStyle name="Normal 10 2 10 16 3 10" xfId="2935" xr:uid="{00000000-0005-0000-0000-0000770B0000}"/>
    <cellStyle name="Normal 10 2 10 16 3 2" xfId="2936" xr:uid="{00000000-0005-0000-0000-0000780B0000}"/>
    <cellStyle name="Normal 10 2 10 16 3 3" xfId="2937" xr:uid="{00000000-0005-0000-0000-0000790B0000}"/>
    <cellStyle name="Normal 10 2 10 16 3 4" xfId="2938" xr:uid="{00000000-0005-0000-0000-00007A0B0000}"/>
    <cellStyle name="Normal 10 2 10 16 3 5" xfId="2939" xr:uid="{00000000-0005-0000-0000-00007B0B0000}"/>
    <cellStyle name="Normal 10 2 10 16 3 6" xfId="2940" xr:uid="{00000000-0005-0000-0000-00007C0B0000}"/>
    <cellStyle name="Normal 10 2 10 16 3 7" xfId="2941" xr:uid="{00000000-0005-0000-0000-00007D0B0000}"/>
    <cellStyle name="Normal 10 2 10 16 3 8" xfId="2942" xr:uid="{00000000-0005-0000-0000-00007E0B0000}"/>
    <cellStyle name="Normal 10 2 10 16 3 9" xfId="2943" xr:uid="{00000000-0005-0000-0000-00007F0B0000}"/>
    <cellStyle name="Normal 10 2 10 16 4" xfId="2944" xr:uid="{00000000-0005-0000-0000-0000800B0000}"/>
    <cellStyle name="Normal 10 2 10 16 4 10" xfId="2945" xr:uid="{00000000-0005-0000-0000-0000810B0000}"/>
    <cellStyle name="Normal 10 2 10 16 4 2" xfId="2946" xr:uid="{00000000-0005-0000-0000-0000820B0000}"/>
    <cellStyle name="Normal 10 2 10 16 4 3" xfId="2947" xr:uid="{00000000-0005-0000-0000-0000830B0000}"/>
    <cellStyle name="Normal 10 2 10 16 4 4" xfId="2948" xr:uid="{00000000-0005-0000-0000-0000840B0000}"/>
    <cellStyle name="Normal 10 2 10 16 4 5" xfId="2949" xr:uid="{00000000-0005-0000-0000-0000850B0000}"/>
    <cellStyle name="Normal 10 2 10 16 4 6" xfId="2950" xr:uid="{00000000-0005-0000-0000-0000860B0000}"/>
    <cellStyle name="Normal 10 2 10 16 4 7" xfId="2951" xr:uid="{00000000-0005-0000-0000-0000870B0000}"/>
    <cellStyle name="Normal 10 2 10 16 4 8" xfId="2952" xr:uid="{00000000-0005-0000-0000-0000880B0000}"/>
    <cellStyle name="Normal 10 2 10 16 4 9" xfId="2953" xr:uid="{00000000-0005-0000-0000-0000890B0000}"/>
    <cellStyle name="Normal 10 2 10 16 5" xfId="2954" xr:uid="{00000000-0005-0000-0000-00008A0B0000}"/>
    <cellStyle name="Normal 10 2 10 16 5 10" xfId="2955" xr:uid="{00000000-0005-0000-0000-00008B0B0000}"/>
    <cellStyle name="Normal 10 2 10 16 5 2" xfId="2956" xr:uid="{00000000-0005-0000-0000-00008C0B0000}"/>
    <cellStyle name="Normal 10 2 10 16 5 3" xfId="2957" xr:uid="{00000000-0005-0000-0000-00008D0B0000}"/>
    <cellStyle name="Normal 10 2 10 16 5 4" xfId="2958" xr:uid="{00000000-0005-0000-0000-00008E0B0000}"/>
    <cellStyle name="Normal 10 2 10 16 5 5" xfId="2959" xr:uid="{00000000-0005-0000-0000-00008F0B0000}"/>
    <cellStyle name="Normal 10 2 10 16 5 6" xfId="2960" xr:uid="{00000000-0005-0000-0000-0000900B0000}"/>
    <cellStyle name="Normal 10 2 10 16 5 7" xfId="2961" xr:uid="{00000000-0005-0000-0000-0000910B0000}"/>
    <cellStyle name="Normal 10 2 10 16 5 8" xfId="2962" xr:uid="{00000000-0005-0000-0000-0000920B0000}"/>
    <cellStyle name="Normal 10 2 10 16 5 9" xfId="2963" xr:uid="{00000000-0005-0000-0000-0000930B0000}"/>
    <cellStyle name="Normal 10 2 10 16 6" xfId="2964" xr:uid="{00000000-0005-0000-0000-0000940B0000}"/>
    <cellStyle name="Normal 10 2 10 16 7" xfId="2965" xr:uid="{00000000-0005-0000-0000-0000950B0000}"/>
    <cellStyle name="Normal 10 2 10 16 8" xfId="2966" xr:uid="{00000000-0005-0000-0000-0000960B0000}"/>
    <cellStyle name="Normal 10 2 10 16 9" xfId="2967" xr:uid="{00000000-0005-0000-0000-0000970B0000}"/>
    <cellStyle name="Normal 10 2 10 17" xfId="2968" xr:uid="{00000000-0005-0000-0000-0000980B0000}"/>
    <cellStyle name="Normal 10 2 10 17 10" xfId="2969" xr:uid="{00000000-0005-0000-0000-0000990B0000}"/>
    <cellStyle name="Normal 10 2 10 17 11" xfId="2970" xr:uid="{00000000-0005-0000-0000-00009A0B0000}"/>
    <cellStyle name="Normal 10 2 10 17 12" xfId="2971" xr:uid="{00000000-0005-0000-0000-00009B0B0000}"/>
    <cellStyle name="Normal 10 2 10 17 13" xfId="2972" xr:uid="{00000000-0005-0000-0000-00009C0B0000}"/>
    <cellStyle name="Normal 10 2 10 17 14" xfId="2973" xr:uid="{00000000-0005-0000-0000-00009D0B0000}"/>
    <cellStyle name="Normal 10 2 10 17 2" xfId="2974" xr:uid="{00000000-0005-0000-0000-00009E0B0000}"/>
    <cellStyle name="Normal 10 2 10 17 2 10" xfId="2975" xr:uid="{00000000-0005-0000-0000-00009F0B0000}"/>
    <cellStyle name="Normal 10 2 10 17 2 2" xfId="2976" xr:uid="{00000000-0005-0000-0000-0000A00B0000}"/>
    <cellStyle name="Normal 10 2 10 17 2 3" xfId="2977" xr:uid="{00000000-0005-0000-0000-0000A10B0000}"/>
    <cellStyle name="Normal 10 2 10 17 2 4" xfId="2978" xr:uid="{00000000-0005-0000-0000-0000A20B0000}"/>
    <cellStyle name="Normal 10 2 10 17 2 5" xfId="2979" xr:uid="{00000000-0005-0000-0000-0000A30B0000}"/>
    <cellStyle name="Normal 10 2 10 17 2 6" xfId="2980" xr:uid="{00000000-0005-0000-0000-0000A40B0000}"/>
    <cellStyle name="Normal 10 2 10 17 2 7" xfId="2981" xr:uid="{00000000-0005-0000-0000-0000A50B0000}"/>
    <cellStyle name="Normal 10 2 10 17 2 8" xfId="2982" xr:uid="{00000000-0005-0000-0000-0000A60B0000}"/>
    <cellStyle name="Normal 10 2 10 17 2 9" xfId="2983" xr:uid="{00000000-0005-0000-0000-0000A70B0000}"/>
    <cellStyle name="Normal 10 2 10 17 3" xfId="2984" xr:uid="{00000000-0005-0000-0000-0000A80B0000}"/>
    <cellStyle name="Normal 10 2 10 17 3 10" xfId="2985" xr:uid="{00000000-0005-0000-0000-0000A90B0000}"/>
    <cellStyle name="Normal 10 2 10 17 3 2" xfId="2986" xr:uid="{00000000-0005-0000-0000-0000AA0B0000}"/>
    <cellStyle name="Normal 10 2 10 17 3 3" xfId="2987" xr:uid="{00000000-0005-0000-0000-0000AB0B0000}"/>
    <cellStyle name="Normal 10 2 10 17 3 4" xfId="2988" xr:uid="{00000000-0005-0000-0000-0000AC0B0000}"/>
    <cellStyle name="Normal 10 2 10 17 3 5" xfId="2989" xr:uid="{00000000-0005-0000-0000-0000AD0B0000}"/>
    <cellStyle name="Normal 10 2 10 17 3 6" xfId="2990" xr:uid="{00000000-0005-0000-0000-0000AE0B0000}"/>
    <cellStyle name="Normal 10 2 10 17 3 7" xfId="2991" xr:uid="{00000000-0005-0000-0000-0000AF0B0000}"/>
    <cellStyle name="Normal 10 2 10 17 3 8" xfId="2992" xr:uid="{00000000-0005-0000-0000-0000B00B0000}"/>
    <cellStyle name="Normal 10 2 10 17 3 9" xfId="2993" xr:uid="{00000000-0005-0000-0000-0000B10B0000}"/>
    <cellStyle name="Normal 10 2 10 17 4" xfId="2994" xr:uid="{00000000-0005-0000-0000-0000B20B0000}"/>
    <cellStyle name="Normal 10 2 10 17 4 10" xfId="2995" xr:uid="{00000000-0005-0000-0000-0000B30B0000}"/>
    <cellStyle name="Normal 10 2 10 17 4 2" xfId="2996" xr:uid="{00000000-0005-0000-0000-0000B40B0000}"/>
    <cellStyle name="Normal 10 2 10 17 4 3" xfId="2997" xr:uid="{00000000-0005-0000-0000-0000B50B0000}"/>
    <cellStyle name="Normal 10 2 10 17 4 4" xfId="2998" xr:uid="{00000000-0005-0000-0000-0000B60B0000}"/>
    <cellStyle name="Normal 10 2 10 17 4 5" xfId="2999" xr:uid="{00000000-0005-0000-0000-0000B70B0000}"/>
    <cellStyle name="Normal 10 2 10 17 4 6" xfId="3000" xr:uid="{00000000-0005-0000-0000-0000B80B0000}"/>
    <cellStyle name="Normal 10 2 10 17 4 7" xfId="3001" xr:uid="{00000000-0005-0000-0000-0000B90B0000}"/>
    <cellStyle name="Normal 10 2 10 17 4 8" xfId="3002" xr:uid="{00000000-0005-0000-0000-0000BA0B0000}"/>
    <cellStyle name="Normal 10 2 10 17 4 9" xfId="3003" xr:uid="{00000000-0005-0000-0000-0000BB0B0000}"/>
    <cellStyle name="Normal 10 2 10 17 5" xfId="3004" xr:uid="{00000000-0005-0000-0000-0000BC0B0000}"/>
    <cellStyle name="Normal 10 2 10 17 5 10" xfId="3005" xr:uid="{00000000-0005-0000-0000-0000BD0B0000}"/>
    <cellStyle name="Normal 10 2 10 17 5 2" xfId="3006" xr:uid="{00000000-0005-0000-0000-0000BE0B0000}"/>
    <cellStyle name="Normal 10 2 10 17 5 3" xfId="3007" xr:uid="{00000000-0005-0000-0000-0000BF0B0000}"/>
    <cellStyle name="Normal 10 2 10 17 5 4" xfId="3008" xr:uid="{00000000-0005-0000-0000-0000C00B0000}"/>
    <cellStyle name="Normal 10 2 10 17 5 5" xfId="3009" xr:uid="{00000000-0005-0000-0000-0000C10B0000}"/>
    <cellStyle name="Normal 10 2 10 17 5 6" xfId="3010" xr:uid="{00000000-0005-0000-0000-0000C20B0000}"/>
    <cellStyle name="Normal 10 2 10 17 5 7" xfId="3011" xr:uid="{00000000-0005-0000-0000-0000C30B0000}"/>
    <cellStyle name="Normal 10 2 10 17 5 8" xfId="3012" xr:uid="{00000000-0005-0000-0000-0000C40B0000}"/>
    <cellStyle name="Normal 10 2 10 17 5 9" xfId="3013" xr:uid="{00000000-0005-0000-0000-0000C50B0000}"/>
    <cellStyle name="Normal 10 2 10 17 6" xfId="3014" xr:uid="{00000000-0005-0000-0000-0000C60B0000}"/>
    <cellStyle name="Normal 10 2 10 17 7" xfId="3015" xr:uid="{00000000-0005-0000-0000-0000C70B0000}"/>
    <cellStyle name="Normal 10 2 10 17 8" xfId="3016" xr:uid="{00000000-0005-0000-0000-0000C80B0000}"/>
    <cellStyle name="Normal 10 2 10 17 9" xfId="3017" xr:uid="{00000000-0005-0000-0000-0000C90B0000}"/>
    <cellStyle name="Normal 10 2 10 18" xfId="3018" xr:uid="{00000000-0005-0000-0000-0000CA0B0000}"/>
    <cellStyle name="Normal 10 2 10 18 10" xfId="3019" xr:uid="{00000000-0005-0000-0000-0000CB0B0000}"/>
    <cellStyle name="Normal 10 2 10 18 11" xfId="3020" xr:uid="{00000000-0005-0000-0000-0000CC0B0000}"/>
    <cellStyle name="Normal 10 2 10 18 12" xfId="3021" xr:uid="{00000000-0005-0000-0000-0000CD0B0000}"/>
    <cellStyle name="Normal 10 2 10 18 13" xfId="3022" xr:uid="{00000000-0005-0000-0000-0000CE0B0000}"/>
    <cellStyle name="Normal 10 2 10 18 14" xfId="3023" xr:uid="{00000000-0005-0000-0000-0000CF0B0000}"/>
    <cellStyle name="Normal 10 2 10 18 2" xfId="3024" xr:uid="{00000000-0005-0000-0000-0000D00B0000}"/>
    <cellStyle name="Normal 10 2 10 18 2 10" xfId="3025" xr:uid="{00000000-0005-0000-0000-0000D10B0000}"/>
    <cellStyle name="Normal 10 2 10 18 2 2" xfId="3026" xr:uid="{00000000-0005-0000-0000-0000D20B0000}"/>
    <cellStyle name="Normal 10 2 10 18 2 3" xfId="3027" xr:uid="{00000000-0005-0000-0000-0000D30B0000}"/>
    <cellStyle name="Normal 10 2 10 18 2 4" xfId="3028" xr:uid="{00000000-0005-0000-0000-0000D40B0000}"/>
    <cellStyle name="Normal 10 2 10 18 2 5" xfId="3029" xr:uid="{00000000-0005-0000-0000-0000D50B0000}"/>
    <cellStyle name="Normal 10 2 10 18 2 6" xfId="3030" xr:uid="{00000000-0005-0000-0000-0000D60B0000}"/>
    <cellStyle name="Normal 10 2 10 18 2 7" xfId="3031" xr:uid="{00000000-0005-0000-0000-0000D70B0000}"/>
    <cellStyle name="Normal 10 2 10 18 2 8" xfId="3032" xr:uid="{00000000-0005-0000-0000-0000D80B0000}"/>
    <cellStyle name="Normal 10 2 10 18 2 9" xfId="3033" xr:uid="{00000000-0005-0000-0000-0000D90B0000}"/>
    <cellStyle name="Normal 10 2 10 18 3" xfId="3034" xr:uid="{00000000-0005-0000-0000-0000DA0B0000}"/>
    <cellStyle name="Normal 10 2 10 18 3 10" xfId="3035" xr:uid="{00000000-0005-0000-0000-0000DB0B0000}"/>
    <cellStyle name="Normal 10 2 10 18 3 2" xfId="3036" xr:uid="{00000000-0005-0000-0000-0000DC0B0000}"/>
    <cellStyle name="Normal 10 2 10 18 3 3" xfId="3037" xr:uid="{00000000-0005-0000-0000-0000DD0B0000}"/>
    <cellStyle name="Normal 10 2 10 18 3 4" xfId="3038" xr:uid="{00000000-0005-0000-0000-0000DE0B0000}"/>
    <cellStyle name="Normal 10 2 10 18 3 5" xfId="3039" xr:uid="{00000000-0005-0000-0000-0000DF0B0000}"/>
    <cellStyle name="Normal 10 2 10 18 3 6" xfId="3040" xr:uid="{00000000-0005-0000-0000-0000E00B0000}"/>
    <cellStyle name="Normal 10 2 10 18 3 7" xfId="3041" xr:uid="{00000000-0005-0000-0000-0000E10B0000}"/>
    <cellStyle name="Normal 10 2 10 18 3 8" xfId="3042" xr:uid="{00000000-0005-0000-0000-0000E20B0000}"/>
    <cellStyle name="Normal 10 2 10 18 3 9" xfId="3043" xr:uid="{00000000-0005-0000-0000-0000E30B0000}"/>
    <cellStyle name="Normal 10 2 10 18 4" xfId="3044" xr:uid="{00000000-0005-0000-0000-0000E40B0000}"/>
    <cellStyle name="Normal 10 2 10 18 4 10" xfId="3045" xr:uid="{00000000-0005-0000-0000-0000E50B0000}"/>
    <cellStyle name="Normal 10 2 10 18 4 2" xfId="3046" xr:uid="{00000000-0005-0000-0000-0000E60B0000}"/>
    <cellStyle name="Normal 10 2 10 18 4 3" xfId="3047" xr:uid="{00000000-0005-0000-0000-0000E70B0000}"/>
    <cellStyle name="Normal 10 2 10 18 4 4" xfId="3048" xr:uid="{00000000-0005-0000-0000-0000E80B0000}"/>
    <cellStyle name="Normal 10 2 10 18 4 5" xfId="3049" xr:uid="{00000000-0005-0000-0000-0000E90B0000}"/>
    <cellStyle name="Normal 10 2 10 18 4 6" xfId="3050" xr:uid="{00000000-0005-0000-0000-0000EA0B0000}"/>
    <cellStyle name="Normal 10 2 10 18 4 7" xfId="3051" xr:uid="{00000000-0005-0000-0000-0000EB0B0000}"/>
    <cellStyle name="Normal 10 2 10 18 4 8" xfId="3052" xr:uid="{00000000-0005-0000-0000-0000EC0B0000}"/>
    <cellStyle name="Normal 10 2 10 18 4 9" xfId="3053" xr:uid="{00000000-0005-0000-0000-0000ED0B0000}"/>
    <cellStyle name="Normal 10 2 10 18 5" xfId="3054" xr:uid="{00000000-0005-0000-0000-0000EE0B0000}"/>
    <cellStyle name="Normal 10 2 10 18 5 10" xfId="3055" xr:uid="{00000000-0005-0000-0000-0000EF0B0000}"/>
    <cellStyle name="Normal 10 2 10 18 5 2" xfId="3056" xr:uid="{00000000-0005-0000-0000-0000F00B0000}"/>
    <cellStyle name="Normal 10 2 10 18 5 3" xfId="3057" xr:uid="{00000000-0005-0000-0000-0000F10B0000}"/>
    <cellStyle name="Normal 10 2 10 18 5 4" xfId="3058" xr:uid="{00000000-0005-0000-0000-0000F20B0000}"/>
    <cellStyle name="Normal 10 2 10 18 5 5" xfId="3059" xr:uid="{00000000-0005-0000-0000-0000F30B0000}"/>
    <cellStyle name="Normal 10 2 10 18 5 6" xfId="3060" xr:uid="{00000000-0005-0000-0000-0000F40B0000}"/>
    <cellStyle name="Normal 10 2 10 18 5 7" xfId="3061" xr:uid="{00000000-0005-0000-0000-0000F50B0000}"/>
    <cellStyle name="Normal 10 2 10 18 5 8" xfId="3062" xr:uid="{00000000-0005-0000-0000-0000F60B0000}"/>
    <cellStyle name="Normal 10 2 10 18 5 9" xfId="3063" xr:uid="{00000000-0005-0000-0000-0000F70B0000}"/>
    <cellStyle name="Normal 10 2 10 18 6" xfId="3064" xr:uid="{00000000-0005-0000-0000-0000F80B0000}"/>
    <cellStyle name="Normal 10 2 10 18 7" xfId="3065" xr:uid="{00000000-0005-0000-0000-0000F90B0000}"/>
    <cellStyle name="Normal 10 2 10 18 8" xfId="3066" xr:uid="{00000000-0005-0000-0000-0000FA0B0000}"/>
    <cellStyle name="Normal 10 2 10 18 9" xfId="3067" xr:uid="{00000000-0005-0000-0000-0000FB0B0000}"/>
    <cellStyle name="Normal 10 2 10 19" xfId="3068" xr:uid="{00000000-0005-0000-0000-0000FC0B0000}"/>
    <cellStyle name="Normal 10 2 10 19 10" xfId="3069" xr:uid="{00000000-0005-0000-0000-0000FD0B0000}"/>
    <cellStyle name="Normal 10 2 10 19 11" xfId="3070" xr:uid="{00000000-0005-0000-0000-0000FE0B0000}"/>
    <cellStyle name="Normal 10 2 10 19 12" xfId="3071" xr:uid="{00000000-0005-0000-0000-0000FF0B0000}"/>
    <cellStyle name="Normal 10 2 10 19 13" xfId="3072" xr:uid="{00000000-0005-0000-0000-0000000C0000}"/>
    <cellStyle name="Normal 10 2 10 19 14" xfId="3073" xr:uid="{00000000-0005-0000-0000-0000010C0000}"/>
    <cellStyle name="Normal 10 2 10 19 2" xfId="3074" xr:uid="{00000000-0005-0000-0000-0000020C0000}"/>
    <cellStyle name="Normal 10 2 10 19 2 10" xfId="3075" xr:uid="{00000000-0005-0000-0000-0000030C0000}"/>
    <cellStyle name="Normal 10 2 10 19 2 2" xfId="3076" xr:uid="{00000000-0005-0000-0000-0000040C0000}"/>
    <cellStyle name="Normal 10 2 10 19 2 3" xfId="3077" xr:uid="{00000000-0005-0000-0000-0000050C0000}"/>
    <cellStyle name="Normal 10 2 10 19 2 4" xfId="3078" xr:uid="{00000000-0005-0000-0000-0000060C0000}"/>
    <cellStyle name="Normal 10 2 10 19 2 5" xfId="3079" xr:uid="{00000000-0005-0000-0000-0000070C0000}"/>
    <cellStyle name="Normal 10 2 10 19 2 6" xfId="3080" xr:uid="{00000000-0005-0000-0000-0000080C0000}"/>
    <cellStyle name="Normal 10 2 10 19 2 7" xfId="3081" xr:uid="{00000000-0005-0000-0000-0000090C0000}"/>
    <cellStyle name="Normal 10 2 10 19 2 8" xfId="3082" xr:uid="{00000000-0005-0000-0000-00000A0C0000}"/>
    <cellStyle name="Normal 10 2 10 19 2 9" xfId="3083" xr:uid="{00000000-0005-0000-0000-00000B0C0000}"/>
    <cellStyle name="Normal 10 2 10 19 3" xfId="3084" xr:uid="{00000000-0005-0000-0000-00000C0C0000}"/>
    <cellStyle name="Normal 10 2 10 19 3 10" xfId="3085" xr:uid="{00000000-0005-0000-0000-00000D0C0000}"/>
    <cellStyle name="Normal 10 2 10 19 3 2" xfId="3086" xr:uid="{00000000-0005-0000-0000-00000E0C0000}"/>
    <cellStyle name="Normal 10 2 10 19 3 3" xfId="3087" xr:uid="{00000000-0005-0000-0000-00000F0C0000}"/>
    <cellStyle name="Normal 10 2 10 19 3 4" xfId="3088" xr:uid="{00000000-0005-0000-0000-0000100C0000}"/>
    <cellStyle name="Normal 10 2 10 19 3 5" xfId="3089" xr:uid="{00000000-0005-0000-0000-0000110C0000}"/>
    <cellStyle name="Normal 10 2 10 19 3 6" xfId="3090" xr:uid="{00000000-0005-0000-0000-0000120C0000}"/>
    <cellStyle name="Normal 10 2 10 19 3 7" xfId="3091" xr:uid="{00000000-0005-0000-0000-0000130C0000}"/>
    <cellStyle name="Normal 10 2 10 19 3 8" xfId="3092" xr:uid="{00000000-0005-0000-0000-0000140C0000}"/>
    <cellStyle name="Normal 10 2 10 19 3 9" xfId="3093" xr:uid="{00000000-0005-0000-0000-0000150C0000}"/>
    <cellStyle name="Normal 10 2 10 19 4" xfId="3094" xr:uid="{00000000-0005-0000-0000-0000160C0000}"/>
    <cellStyle name="Normal 10 2 10 19 4 10" xfId="3095" xr:uid="{00000000-0005-0000-0000-0000170C0000}"/>
    <cellStyle name="Normal 10 2 10 19 4 2" xfId="3096" xr:uid="{00000000-0005-0000-0000-0000180C0000}"/>
    <cellStyle name="Normal 10 2 10 19 4 3" xfId="3097" xr:uid="{00000000-0005-0000-0000-0000190C0000}"/>
    <cellStyle name="Normal 10 2 10 19 4 4" xfId="3098" xr:uid="{00000000-0005-0000-0000-00001A0C0000}"/>
    <cellStyle name="Normal 10 2 10 19 4 5" xfId="3099" xr:uid="{00000000-0005-0000-0000-00001B0C0000}"/>
    <cellStyle name="Normal 10 2 10 19 4 6" xfId="3100" xr:uid="{00000000-0005-0000-0000-00001C0C0000}"/>
    <cellStyle name="Normal 10 2 10 19 4 7" xfId="3101" xr:uid="{00000000-0005-0000-0000-00001D0C0000}"/>
    <cellStyle name="Normal 10 2 10 19 4 8" xfId="3102" xr:uid="{00000000-0005-0000-0000-00001E0C0000}"/>
    <cellStyle name="Normal 10 2 10 19 4 9" xfId="3103" xr:uid="{00000000-0005-0000-0000-00001F0C0000}"/>
    <cellStyle name="Normal 10 2 10 19 5" xfId="3104" xr:uid="{00000000-0005-0000-0000-0000200C0000}"/>
    <cellStyle name="Normal 10 2 10 19 5 10" xfId="3105" xr:uid="{00000000-0005-0000-0000-0000210C0000}"/>
    <cellStyle name="Normal 10 2 10 19 5 2" xfId="3106" xr:uid="{00000000-0005-0000-0000-0000220C0000}"/>
    <cellStyle name="Normal 10 2 10 19 5 3" xfId="3107" xr:uid="{00000000-0005-0000-0000-0000230C0000}"/>
    <cellStyle name="Normal 10 2 10 19 5 4" xfId="3108" xr:uid="{00000000-0005-0000-0000-0000240C0000}"/>
    <cellStyle name="Normal 10 2 10 19 5 5" xfId="3109" xr:uid="{00000000-0005-0000-0000-0000250C0000}"/>
    <cellStyle name="Normal 10 2 10 19 5 6" xfId="3110" xr:uid="{00000000-0005-0000-0000-0000260C0000}"/>
    <cellStyle name="Normal 10 2 10 19 5 7" xfId="3111" xr:uid="{00000000-0005-0000-0000-0000270C0000}"/>
    <cellStyle name="Normal 10 2 10 19 5 8" xfId="3112" xr:uid="{00000000-0005-0000-0000-0000280C0000}"/>
    <cellStyle name="Normal 10 2 10 19 5 9" xfId="3113" xr:uid="{00000000-0005-0000-0000-0000290C0000}"/>
    <cellStyle name="Normal 10 2 10 19 6" xfId="3114" xr:uid="{00000000-0005-0000-0000-00002A0C0000}"/>
    <cellStyle name="Normal 10 2 10 19 7" xfId="3115" xr:uid="{00000000-0005-0000-0000-00002B0C0000}"/>
    <cellStyle name="Normal 10 2 10 19 8" xfId="3116" xr:uid="{00000000-0005-0000-0000-00002C0C0000}"/>
    <cellStyle name="Normal 10 2 10 19 9" xfId="3117" xr:uid="{00000000-0005-0000-0000-00002D0C0000}"/>
    <cellStyle name="Normal 10 2 10 2" xfId="3118" xr:uid="{00000000-0005-0000-0000-00002E0C0000}"/>
    <cellStyle name="Normal 10 2 10 2 10" xfId="3119" xr:uid="{00000000-0005-0000-0000-00002F0C0000}"/>
    <cellStyle name="Normal 10 2 10 2 10 10" xfId="3120" xr:uid="{00000000-0005-0000-0000-0000300C0000}"/>
    <cellStyle name="Normal 10 2 10 2 10 11" xfId="3121" xr:uid="{00000000-0005-0000-0000-0000310C0000}"/>
    <cellStyle name="Normal 10 2 10 2 10 12" xfId="3122" xr:uid="{00000000-0005-0000-0000-0000320C0000}"/>
    <cellStyle name="Normal 10 2 10 2 10 13" xfId="3123" xr:uid="{00000000-0005-0000-0000-0000330C0000}"/>
    <cellStyle name="Normal 10 2 10 2 10 14" xfId="3124" xr:uid="{00000000-0005-0000-0000-0000340C0000}"/>
    <cellStyle name="Normal 10 2 10 2 10 2" xfId="3125" xr:uid="{00000000-0005-0000-0000-0000350C0000}"/>
    <cellStyle name="Normal 10 2 10 2 10 2 10" xfId="3126" xr:uid="{00000000-0005-0000-0000-0000360C0000}"/>
    <cellStyle name="Normal 10 2 10 2 10 2 2" xfId="3127" xr:uid="{00000000-0005-0000-0000-0000370C0000}"/>
    <cellStyle name="Normal 10 2 10 2 10 2 3" xfId="3128" xr:uid="{00000000-0005-0000-0000-0000380C0000}"/>
    <cellStyle name="Normal 10 2 10 2 10 2 4" xfId="3129" xr:uid="{00000000-0005-0000-0000-0000390C0000}"/>
    <cellStyle name="Normal 10 2 10 2 10 2 5" xfId="3130" xr:uid="{00000000-0005-0000-0000-00003A0C0000}"/>
    <cellStyle name="Normal 10 2 10 2 10 2 6" xfId="3131" xr:uid="{00000000-0005-0000-0000-00003B0C0000}"/>
    <cellStyle name="Normal 10 2 10 2 10 2 7" xfId="3132" xr:uid="{00000000-0005-0000-0000-00003C0C0000}"/>
    <cellStyle name="Normal 10 2 10 2 10 2 8" xfId="3133" xr:uid="{00000000-0005-0000-0000-00003D0C0000}"/>
    <cellStyle name="Normal 10 2 10 2 10 2 9" xfId="3134" xr:uid="{00000000-0005-0000-0000-00003E0C0000}"/>
    <cellStyle name="Normal 10 2 10 2 10 3" xfId="3135" xr:uid="{00000000-0005-0000-0000-00003F0C0000}"/>
    <cellStyle name="Normal 10 2 10 2 10 3 10" xfId="3136" xr:uid="{00000000-0005-0000-0000-0000400C0000}"/>
    <cellStyle name="Normal 10 2 10 2 10 3 2" xfId="3137" xr:uid="{00000000-0005-0000-0000-0000410C0000}"/>
    <cellStyle name="Normal 10 2 10 2 10 3 3" xfId="3138" xr:uid="{00000000-0005-0000-0000-0000420C0000}"/>
    <cellStyle name="Normal 10 2 10 2 10 3 4" xfId="3139" xr:uid="{00000000-0005-0000-0000-0000430C0000}"/>
    <cellStyle name="Normal 10 2 10 2 10 3 5" xfId="3140" xr:uid="{00000000-0005-0000-0000-0000440C0000}"/>
    <cellStyle name="Normal 10 2 10 2 10 3 6" xfId="3141" xr:uid="{00000000-0005-0000-0000-0000450C0000}"/>
    <cellStyle name="Normal 10 2 10 2 10 3 7" xfId="3142" xr:uid="{00000000-0005-0000-0000-0000460C0000}"/>
    <cellStyle name="Normal 10 2 10 2 10 3 8" xfId="3143" xr:uid="{00000000-0005-0000-0000-0000470C0000}"/>
    <cellStyle name="Normal 10 2 10 2 10 3 9" xfId="3144" xr:uid="{00000000-0005-0000-0000-0000480C0000}"/>
    <cellStyle name="Normal 10 2 10 2 10 4" xfId="3145" xr:uid="{00000000-0005-0000-0000-0000490C0000}"/>
    <cellStyle name="Normal 10 2 10 2 10 4 10" xfId="3146" xr:uid="{00000000-0005-0000-0000-00004A0C0000}"/>
    <cellStyle name="Normal 10 2 10 2 10 4 2" xfId="3147" xr:uid="{00000000-0005-0000-0000-00004B0C0000}"/>
    <cellStyle name="Normal 10 2 10 2 10 4 3" xfId="3148" xr:uid="{00000000-0005-0000-0000-00004C0C0000}"/>
    <cellStyle name="Normal 10 2 10 2 10 4 4" xfId="3149" xr:uid="{00000000-0005-0000-0000-00004D0C0000}"/>
    <cellStyle name="Normal 10 2 10 2 10 4 5" xfId="3150" xr:uid="{00000000-0005-0000-0000-00004E0C0000}"/>
    <cellStyle name="Normal 10 2 10 2 10 4 6" xfId="3151" xr:uid="{00000000-0005-0000-0000-00004F0C0000}"/>
    <cellStyle name="Normal 10 2 10 2 10 4 7" xfId="3152" xr:uid="{00000000-0005-0000-0000-0000500C0000}"/>
    <cellStyle name="Normal 10 2 10 2 10 4 8" xfId="3153" xr:uid="{00000000-0005-0000-0000-0000510C0000}"/>
    <cellStyle name="Normal 10 2 10 2 10 4 9" xfId="3154" xr:uid="{00000000-0005-0000-0000-0000520C0000}"/>
    <cellStyle name="Normal 10 2 10 2 10 5" xfId="3155" xr:uid="{00000000-0005-0000-0000-0000530C0000}"/>
    <cellStyle name="Normal 10 2 10 2 10 5 10" xfId="3156" xr:uid="{00000000-0005-0000-0000-0000540C0000}"/>
    <cellStyle name="Normal 10 2 10 2 10 5 2" xfId="3157" xr:uid="{00000000-0005-0000-0000-0000550C0000}"/>
    <cellStyle name="Normal 10 2 10 2 10 5 3" xfId="3158" xr:uid="{00000000-0005-0000-0000-0000560C0000}"/>
    <cellStyle name="Normal 10 2 10 2 10 5 4" xfId="3159" xr:uid="{00000000-0005-0000-0000-0000570C0000}"/>
    <cellStyle name="Normal 10 2 10 2 10 5 5" xfId="3160" xr:uid="{00000000-0005-0000-0000-0000580C0000}"/>
    <cellStyle name="Normal 10 2 10 2 10 5 6" xfId="3161" xr:uid="{00000000-0005-0000-0000-0000590C0000}"/>
    <cellStyle name="Normal 10 2 10 2 10 5 7" xfId="3162" xr:uid="{00000000-0005-0000-0000-00005A0C0000}"/>
    <cellStyle name="Normal 10 2 10 2 10 5 8" xfId="3163" xr:uid="{00000000-0005-0000-0000-00005B0C0000}"/>
    <cellStyle name="Normal 10 2 10 2 10 5 9" xfId="3164" xr:uid="{00000000-0005-0000-0000-00005C0C0000}"/>
    <cellStyle name="Normal 10 2 10 2 10 6" xfId="3165" xr:uid="{00000000-0005-0000-0000-00005D0C0000}"/>
    <cellStyle name="Normal 10 2 10 2 10 7" xfId="3166" xr:uid="{00000000-0005-0000-0000-00005E0C0000}"/>
    <cellStyle name="Normal 10 2 10 2 10 8" xfId="3167" xr:uid="{00000000-0005-0000-0000-00005F0C0000}"/>
    <cellStyle name="Normal 10 2 10 2 10 9" xfId="3168" xr:uid="{00000000-0005-0000-0000-0000600C0000}"/>
    <cellStyle name="Normal 10 2 10 2 11" xfId="3169" xr:uid="{00000000-0005-0000-0000-0000610C0000}"/>
    <cellStyle name="Normal 10 2 10 2 11 10" xfId="3170" xr:uid="{00000000-0005-0000-0000-0000620C0000}"/>
    <cellStyle name="Normal 10 2 10 2 11 11" xfId="3171" xr:uid="{00000000-0005-0000-0000-0000630C0000}"/>
    <cellStyle name="Normal 10 2 10 2 11 12" xfId="3172" xr:uid="{00000000-0005-0000-0000-0000640C0000}"/>
    <cellStyle name="Normal 10 2 10 2 11 13" xfId="3173" xr:uid="{00000000-0005-0000-0000-0000650C0000}"/>
    <cellStyle name="Normal 10 2 10 2 11 14" xfId="3174" xr:uid="{00000000-0005-0000-0000-0000660C0000}"/>
    <cellStyle name="Normal 10 2 10 2 11 2" xfId="3175" xr:uid="{00000000-0005-0000-0000-0000670C0000}"/>
    <cellStyle name="Normal 10 2 10 2 11 2 10" xfId="3176" xr:uid="{00000000-0005-0000-0000-0000680C0000}"/>
    <cellStyle name="Normal 10 2 10 2 11 2 2" xfId="3177" xr:uid="{00000000-0005-0000-0000-0000690C0000}"/>
    <cellStyle name="Normal 10 2 10 2 11 2 3" xfId="3178" xr:uid="{00000000-0005-0000-0000-00006A0C0000}"/>
    <cellStyle name="Normal 10 2 10 2 11 2 4" xfId="3179" xr:uid="{00000000-0005-0000-0000-00006B0C0000}"/>
    <cellStyle name="Normal 10 2 10 2 11 2 5" xfId="3180" xr:uid="{00000000-0005-0000-0000-00006C0C0000}"/>
    <cellStyle name="Normal 10 2 10 2 11 2 6" xfId="3181" xr:uid="{00000000-0005-0000-0000-00006D0C0000}"/>
    <cellStyle name="Normal 10 2 10 2 11 2 7" xfId="3182" xr:uid="{00000000-0005-0000-0000-00006E0C0000}"/>
    <cellStyle name="Normal 10 2 10 2 11 2 8" xfId="3183" xr:uid="{00000000-0005-0000-0000-00006F0C0000}"/>
    <cellStyle name="Normal 10 2 10 2 11 2 9" xfId="3184" xr:uid="{00000000-0005-0000-0000-0000700C0000}"/>
    <cellStyle name="Normal 10 2 10 2 11 3" xfId="3185" xr:uid="{00000000-0005-0000-0000-0000710C0000}"/>
    <cellStyle name="Normal 10 2 10 2 11 3 10" xfId="3186" xr:uid="{00000000-0005-0000-0000-0000720C0000}"/>
    <cellStyle name="Normal 10 2 10 2 11 3 2" xfId="3187" xr:uid="{00000000-0005-0000-0000-0000730C0000}"/>
    <cellStyle name="Normal 10 2 10 2 11 3 3" xfId="3188" xr:uid="{00000000-0005-0000-0000-0000740C0000}"/>
    <cellStyle name="Normal 10 2 10 2 11 3 4" xfId="3189" xr:uid="{00000000-0005-0000-0000-0000750C0000}"/>
    <cellStyle name="Normal 10 2 10 2 11 3 5" xfId="3190" xr:uid="{00000000-0005-0000-0000-0000760C0000}"/>
    <cellStyle name="Normal 10 2 10 2 11 3 6" xfId="3191" xr:uid="{00000000-0005-0000-0000-0000770C0000}"/>
    <cellStyle name="Normal 10 2 10 2 11 3 7" xfId="3192" xr:uid="{00000000-0005-0000-0000-0000780C0000}"/>
    <cellStyle name="Normal 10 2 10 2 11 3 8" xfId="3193" xr:uid="{00000000-0005-0000-0000-0000790C0000}"/>
    <cellStyle name="Normal 10 2 10 2 11 3 9" xfId="3194" xr:uid="{00000000-0005-0000-0000-00007A0C0000}"/>
    <cellStyle name="Normal 10 2 10 2 11 4" xfId="3195" xr:uid="{00000000-0005-0000-0000-00007B0C0000}"/>
    <cellStyle name="Normal 10 2 10 2 11 4 10" xfId="3196" xr:uid="{00000000-0005-0000-0000-00007C0C0000}"/>
    <cellStyle name="Normal 10 2 10 2 11 4 2" xfId="3197" xr:uid="{00000000-0005-0000-0000-00007D0C0000}"/>
    <cellStyle name="Normal 10 2 10 2 11 4 3" xfId="3198" xr:uid="{00000000-0005-0000-0000-00007E0C0000}"/>
    <cellStyle name="Normal 10 2 10 2 11 4 4" xfId="3199" xr:uid="{00000000-0005-0000-0000-00007F0C0000}"/>
    <cellStyle name="Normal 10 2 10 2 11 4 5" xfId="3200" xr:uid="{00000000-0005-0000-0000-0000800C0000}"/>
    <cellStyle name="Normal 10 2 10 2 11 4 6" xfId="3201" xr:uid="{00000000-0005-0000-0000-0000810C0000}"/>
    <cellStyle name="Normal 10 2 10 2 11 4 7" xfId="3202" xr:uid="{00000000-0005-0000-0000-0000820C0000}"/>
    <cellStyle name="Normal 10 2 10 2 11 4 8" xfId="3203" xr:uid="{00000000-0005-0000-0000-0000830C0000}"/>
    <cellStyle name="Normal 10 2 10 2 11 4 9" xfId="3204" xr:uid="{00000000-0005-0000-0000-0000840C0000}"/>
    <cellStyle name="Normal 10 2 10 2 11 5" xfId="3205" xr:uid="{00000000-0005-0000-0000-0000850C0000}"/>
    <cellStyle name="Normal 10 2 10 2 11 5 10" xfId="3206" xr:uid="{00000000-0005-0000-0000-0000860C0000}"/>
    <cellStyle name="Normal 10 2 10 2 11 5 2" xfId="3207" xr:uid="{00000000-0005-0000-0000-0000870C0000}"/>
    <cellStyle name="Normal 10 2 10 2 11 5 3" xfId="3208" xr:uid="{00000000-0005-0000-0000-0000880C0000}"/>
    <cellStyle name="Normal 10 2 10 2 11 5 4" xfId="3209" xr:uid="{00000000-0005-0000-0000-0000890C0000}"/>
    <cellStyle name="Normal 10 2 10 2 11 5 5" xfId="3210" xr:uid="{00000000-0005-0000-0000-00008A0C0000}"/>
    <cellStyle name="Normal 10 2 10 2 11 5 6" xfId="3211" xr:uid="{00000000-0005-0000-0000-00008B0C0000}"/>
    <cellStyle name="Normal 10 2 10 2 11 5 7" xfId="3212" xr:uid="{00000000-0005-0000-0000-00008C0C0000}"/>
    <cellStyle name="Normal 10 2 10 2 11 5 8" xfId="3213" xr:uid="{00000000-0005-0000-0000-00008D0C0000}"/>
    <cellStyle name="Normal 10 2 10 2 11 5 9" xfId="3214" xr:uid="{00000000-0005-0000-0000-00008E0C0000}"/>
    <cellStyle name="Normal 10 2 10 2 11 6" xfId="3215" xr:uid="{00000000-0005-0000-0000-00008F0C0000}"/>
    <cellStyle name="Normal 10 2 10 2 11 7" xfId="3216" xr:uid="{00000000-0005-0000-0000-0000900C0000}"/>
    <cellStyle name="Normal 10 2 10 2 11 8" xfId="3217" xr:uid="{00000000-0005-0000-0000-0000910C0000}"/>
    <cellStyle name="Normal 10 2 10 2 11 9" xfId="3218" xr:uid="{00000000-0005-0000-0000-0000920C0000}"/>
    <cellStyle name="Normal 10 2 10 2 12" xfId="3219" xr:uid="{00000000-0005-0000-0000-0000930C0000}"/>
    <cellStyle name="Normal 10 2 10 2 12 10" xfId="3220" xr:uid="{00000000-0005-0000-0000-0000940C0000}"/>
    <cellStyle name="Normal 10 2 10 2 12 11" xfId="3221" xr:uid="{00000000-0005-0000-0000-0000950C0000}"/>
    <cellStyle name="Normal 10 2 10 2 12 12" xfId="3222" xr:uid="{00000000-0005-0000-0000-0000960C0000}"/>
    <cellStyle name="Normal 10 2 10 2 12 13" xfId="3223" xr:uid="{00000000-0005-0000-0000-0000970C0000}"/>
    <cellStyle name="Normal 10 2 10 2 12 14" xfId="3224" xr:uid="{00000000-0005-0000-0000-0000980C0000}"/>
    <cellStyle name="Normal 10 2 10 2 12 2" xfId="3225" xr:uid="{00000000-0005-0000-0000-0000990C0000}"/>
    <cellStyle name="Normal 10 2 10 2 12 2 10" xfId="3226" xr:uid="{00000000-0005-0000-0000-00009A0C0000}"/>
    <cellStyle name="Normal 10 2 10 2 12 2 2" xfId="3227" xr:uid="{00000000-0005-0000-0000-00009B0C0000}"/>
    <cellStyle name="Normal 10 2 10 2 12 2 3" xfId="3228" xr:uid="{00000000-0005-0000-0000-00009C0C0000}"/>
    <cellStyle name="Normal 10 2 10 2 12 2 4" xfId="3229" xr:uid="{00000000-0005-0000-0000-00009D0C0000}"/>
    <cellStyle name="Normal 10 2 10 2 12 2 5" xfId="3230" xr:uid="{00000000-0005-0000-0000-00009E0C0000}"/>
    <cellStyle name="Normal 10 2 10 2 12 2 6" xfId="3231" xr:uid="{00000000-0005-0000-0000-00009F0C0000}"/>
    <cellStyle name="Normal 10 2 10 2 12 2 7" xfId="3232" xr:uid="{00000000-0005-0000-0000-0000A00C0000}"/>
    <cellStyle name="Normal 10 2 10 2 12 2 8" xfId="3233" xr:uid="{00000000-0005-0000-0000-0000A10C0000}"/>
    <cellStyle name="Normal 10 2 10 2 12 2 9" xfId="3234" xr:uid="{00000000-0005-0000-0000-0000A20C0000}"/>
    <cellStyle name="Normal 10 2 10 2 12 3" xfId="3235" xr:uid="{00000000-0005-0000-0000-0000A30C0000}"/>
    <cellStyle name="Normal 10 2 10 2 12 3 10" xfId="3236" xr:uid="{00000000-0005-0000-0000-0000A40C0000}"/>
    <cellStyle name="Normal 10 2 10 2 12 3 2" xfId="3237" xr:uid="{00000000-0005-0000-0000-0000A50C0000}"/>
    <cellStyle name="Normal 10 2 10 2 12 3 3" xfId="3238" xr:uid="{00000000-0005-0000-0000-0000A60C0000}"/>
    <cellStyle name="Normal 10 2 10 2 12 3 4" xfId="3239" xr:uid="{00000000-0005-0000-0000-0000A70C0000}"/>
    <cellStyle name="Normal 10 2 10 2 12 3 5" xfId="3240" xr:uid="{00000000-0005-0000-0000-0000A80C0000}"/>
    <cellStyle name="Normal 10 2 10 2 12 3 6" xfId="3241" xr:uid="{00000000-0005-0000-0000-0000A90C0000}"/>
    <cellStyle name="Normal 10 2 10 2 12 3 7" xfId="3242" xr:uid="{00000000-0005-0000-0000-0000AA0C0000}"/>
    <cellStyle name="Normal 10 2 10 2 12 3 8" xfId="3243" xr:uid="{00000000-0005-0000-0000-0000AB0C0000}"/>
    <cellStyle name="Normal 10 2 10 2 12 3 9" xfId="3244" xr:uid="{00000000-0005-0000-0000-0000AC0C0000}"/>
    <cellStyle name="Normal 10 2 10 2 12 4" xfId="3245" xr:uid="{00000000-0005-0000-0000-0000AD0C0000}"/>
    <cellStyle name="Normal 10 2 10 2 12 4 10" xfId="3246" xr:uid="{00000000-0005-0000-0000-0000AE0C0000}"/>
    <cellStyle name="Normal 10 2 10 2 12 4 2" xfId="3247" xr:uid="{00000000-0005-0000-0000-0000AF0C0000}"/>
    <cellStyle name="Normal 10 2 10 2 12 4 3" xfId="3248" xr:uid="{00000000-0005-0000-0000-0000B00C0000}"/>
    <cellStyle name="Normal 10 2 10 2 12 4 4" xfId="3249" xr:uid="{00000000-0005-0000-0000-0000B10C0000}"/>
    <cellStyle name="Normal 10 2 10 2 12 4 5" xfId="3250" xr:uid="{00000000-0005-0000-0000-0000B20C0000}"/>
    <cellStyle name="Normal 10 2 10 2 12 4 6" xfId="3251" xr:uid="{00000000-0005-0000-0000-0000B30C0000}"/>
    <cellStyle name="Normal 10 2 10 2 12 4 7" xfId="3252" xr:uid="{00000000-0005-0000-0000-0000B40C0000}"/>
    <cellStyle name="Normal 10 2 10 2 12 4 8" xfId="3253" xr:uid="{00000000-0005-0000-0000-0000B50C0000}"/>
    <cellStyle name="Normal 10 2 10 2 12 4 9" xfId="3254" xr:uid="{00000000-0005-0000-0000-0000B60C0000}"/>
    <cellStyle name="Normal 10 2 10 2 12 5" xfId="3255" xr:uid="{00000000-0005-0000-0000-0000B70C0000}"/>
    <cellStyle name="Normal 10 2 10 2 12 5 10" xfId="3256" xr:uid="{00000000-0005-0000-0000-0000B80C0000}"/>
    <cellStyle name="Normal 10 2 10 2 12 5 2" xfId="3257" xr:uid="{00000000-0005-0000-0000-0000B90C0000}"/>
    <cellStyle name="Normal 10 2 10 2 12 5 3" xfId="3258" xr:uid="{00000000-0005-0000-0000-0000BA0C0000}"/>
    <cellStyle name="Normal 10 2 10 2 12 5 4" xfId="3259" xr:uid="{00000000-0005-0000-0000-0000BB0C0000}"/>
    <cellStyle name="Normal 10 2 10 2 12 5 5" xfId="3260" xr:uid="{00000000-0005-0000-0000-0000BC0C0000}"/>
    <cellStyle name="Normal 10 2 10 2 12 5 6" xfId="3261" xr:uid="{00000000-0005-0000-0000-0000BD0C0000}"/>
    <cellStyle name="Normal 10 2 10 2 12 5 7" xfId="3262" xr:uid="{00000000-0005-0000-0000-0000BE0C0000}"/>
    <cellStyle name="Normal 10 2 10 2 12 5 8" xfId="3263" xr:uid="{00000000-0005-0000-0000-0000BF0C0000}"/>
    <cellStyle name="Normal 10 2 10 2 12 5 9" xfId="3264" xr:uid="{00000000-0005-0000-0000-0000C00C0000}"/>
    <cellStyle name="Normal 10 2 10 2 12 6" xfId="3265" xr:uid="{00000000-0005-0000-0000-0000C10C0000}"/>
    <cellStyle name="Normal 10 2 10 2 12 7" xfId="3266" xr:uid="{00000000-0005-0000-0000-0000C20C0000}"/>
    <cellStyle name="Normal 10 2 10 2 12 8" xfId="3267" xr:uid="{00000000-0005-0000-0000-0000C30C0000}"/>
    <cellStyle name="Normal 10 2 10 2 12 9" xfId="3268" xr:uid="{00000000-0005-0000-0000-0000C40C0000}"/>
    <cellStyle name="Normal 10 2 10 2 13" xfId="3269" xr:uid="{00000000-0005-0000-0000-0000C50C0000}"/>
    <cellStyle name="Normal 10 2 10 2 13 10" xfId="3270" xr:uid="{00000000-0005-0000-0000-0000C60C0000}"/>
    <cellStyle name="Normal 10 2 10 2 13 11" xfId="3271" xr:uid="{00000000-0005-0000-0000-0000C70C0000}"/>
    <cellStyle name="Normal 10 2 10 2 13 12" xfId="3272" xr:uid="{00000000-0005-0000-0000-0000C80C0000}"/>
    <cellStyle name="Normal 10 2 10 2 13 13" xfId="3273" xr:uid="{00000000-0005-0000-0000-0000C90C0000}"/>
    <cellStyle name="Normal 10 2 10 2 13 14" xfId="3274" xr:uid="{00000000-0005-0000-0000-0000CA0C0000}"/>
    <cellStyle name="Normal 10 2 10 2 13 2" xfId="3275" xr:uid="{00000000-0005-0000-0000-0000CB0C0000}"/>
    <cellStyle name="Normal 10 2 10 2 13 2 10" xfId="3276" xr:uid="{00000000-0005-0000-0000-0000CC0C0000}"/>
    <cellStyle name="Normal 10 2 10 2 13 2 2" xfId="3277" xr:uid="{00000000-0005-0000-0000-0000CD0C0000}"/>
    <cellStyle name="Normal 10 2 10 2 13 2 3" xfId="3278" xr:uid="{00000000-0005-0000-0000-0000CE0C0000}"/>
    <cellStyle name="Normal 10 2 10 2 13 2 4" xfId="3279" xr:uid="{00000000-0005-0000-0000-0000CF0C0000}"/>
    <cellStyle name="Normal 10 2 10 2 13 2 5" xfId="3280" xr:uid="{00000000-0005-0000-0000-0000D00C0000}"/>
    <cellStyle name="Normal 10 2 10 2 13 2 6" xfId="3281" xr:uid="{00000000-0005-0000-0000-0000D10C0000}"/>
    <cellStyle name="Normal 10 2 10 2 13 2 7" xfId="3282" xr:uid="{00000000-0005-0000-0000-0000D20C0000}"/>
    <cellStyle name="Normal 10 2 10 2 13 2 8" xfId="3283" xr:uid="{00000000-0005-0000-0000-0000D30C0000}"/>
    <cellStyle name="Normal 10 2 10 2 13 2 9" xfId="3284" xr:uid="{00000000-0005-0000-0000-0000D40C0000}"/>
    <cellStyle name="Normal 10 2 10 2 13 3" xfId="3285" xr:uid="{00000000-0005-0000-0000-0000D50C0000}"/>
    <cellStyle name="Normal 10 2 10 2 13 3 10" xfId="3286" xr:uid="{00000000-0005-0000-0000-0000D60C0000}"/>
    <cellStyle name="Normal 10 2 10 2 13 3 2" xfId="3287" xr:uid="{00000000-0005-0000-0000-0000D70C0000}"/>
    <cellStyle name="Normal 10 2 10 2 13 3 3" xfId="3288" xr:uid="{00000000-0005-0000-0000-0000D80C0000}"/>
    <cellStyle name="Normal 10 2 10 2 13 3 4" xfId="3289" xr:uid="{00000000-0005-0000-0000-0000D90C0000}"/>
    <cellStyle name="Normal 10 2 10 2 13 3 5" xfId="3290" xr:uid="{00000000-0005-0000-0000-0000DA0C0000}"/>
    <cellStyle name="Normal 10 2 10 2 13 3 6" xfId="3291" xr:uid="{00000000-0005-0000-0000-0000DB0C0000}"/>
    <cellStyle name="Normal 10 2 10 2 13 3 7" xfId="3292" xr:uid="{00000000-0005-0000-0000-0000DC0C0000}"/>
    <cellStyle name="Normal 10 2 10 2 13 3 8" xfId="3293" xr:uid="{00000000-0005-0000-0000-0000DD0C0000}"/>
    <cellStyle name="Normal 10 2 10 2 13 3 9" xfId="3294" xr:uid="{00000000-0005-0000-0000-0000DE0C0000}"/>
    <cellStyle name="Normal 10 2 10 2 13 4" xfId="3295" xr:uid="{00000000-0005-0000-0000-0000DF0C0000}"/>
    <cellStyle name="Normal 10 2 10 2 13 4 10" xfId="3296" xr:uid="{00000000-0005-0000-0000-0000E00C0000}"/>
    <cellStyle name="Normal 10 2 10 2 13 4 2" xfId="3297" xr:uid="{00000000-0005-0000-0000-0000E10C0000}"/>
    <cellStyle name="Normal 10 2 10 2 13 4 3" xfId="3298" xr:uid="{00000000-0005-0000-0000-0000E20C0000}"/>
    <cellStyle name="Normal 10 2 10 2 13 4 4" xfId="3299" xr:uid="{00000000-0005-0000-0000-0000E30C0000}"/>
    <cellStyle name="Normal 10 2 10 2 13 4 5" xfId="3300" xr:uid="{00000000-0005-0000-0000-0000E40C0000}"/>
    <cellStyle name="Normal 10 2 10 2 13 4 6" xfId="3301" xr:uid="{00000000-0005-0000-0000-0000E50C0000}"/>
    <cellStyle name="Normal 10 2 10 2 13 4 7" xfId="3302" xr:uid="{00000000-0005-0000-0000-0000E60C0000}"/>
    <cellStyle name="Normal 10 2 10 2 13 4 8" xfId="3303" xr:uid="{00000000-0005-0000-0000-0000E70C0000}"/>
    <cellStyle name="Normal 10 2 10 2 13 4 9" xfId="3304" xr:uid="{00000000-0005-0000-0000-0000E80C0000}"/>
    <cellStyle name="Normal 10 2 10 2 13 5" xfId="3305" xr:uid="{00000000-0005-0000-0000-0000E90C0000}"/>
    <cellStyle name="Normal 10 2 10 2 13 5 10" xfId="3306" xr:uid="{00000000-0005-0000-0000-0000EA0C0000}"/>
    <cellStyle name="Normal 10 2 10 2 13 5 2" xfId="3307" xr:uid="{00000000-0005-0000-0000-0000EB0C0000}"/>
    <cellStyle name="Normal 10 2 10 2 13 5 3" xfId="3308" xr:uid="{00000000-0005-0000-0000-0000EC0C0000}"/>
    <cellStyle name="Normal 10 2 10 2 13 5 4" xfId="3309" xr:uid="{00000000-0005-0000-0000-0000ED0C0000}"/>
    <cellStyle name="Normal 10 2 10 2 13 5 5" xfId="3310" xr:uid="{00000000-0005-0000-0000-0000EE0C0000}"/>
    <cellStyle name="Normal 10 2 10 2 13 5 6" xfId="3311" xr:uid="{00000000-0005-0000-0000-0000EF0C0000}"/>
    <cellStyle name="Normal 10 2 10 2 13 5 7" xfId="3312" xr:uid="{00000000-0005-0000-0000-0000F00C0000}"/>
    <cellStyle name="Normal 10 2 10 2 13 5 8" xfId="3313" xr:uid="{00000000-0005-0000-0000-0000F10C0000}"/>
    <cellStyle name="Normal 10 2 10 2 13 5 9" xfId="3314" xr:uid="{00000000-0005-0000-0000-0000F20C0000}"/>
    <cellStyle name="Normal 10 2 10 2 13 6" xfId="3315" xr:uid="{00000000-0005-0000-0000-0000F30C0000}"/>
    <cellStyle name="Normal 10 2 10 2 13 7" xfId="3316" xr:uid="{00000000-0005-0000-0000-0000F40C0000}"/>
    <cellStyle name="Normal 10 2 10 2 13 8" xfId="3317" xr:uid="{00000000-0005-0000-0000-0000F50C0000}"/>
    <cellStyle name="Normal 10 2 10 2 13 9" xfId="3318" xr:uid="{00000000-0005-0000-0000-0000F60C0000}"/>
    <cellStyle name="Normal 10 2 10 2 14" xfId="3319" xr:uid="{00000000-0005-0000-0000-0000F70C0000}"/>
    <cellStyle name="Normal 10 2 10 2 14 10" xfId="3320" xr:uid="{00000000-0005-0000-0000-0000F80C0000}"/>
    <cellStyle name="Normal 10 2 10 2 14 11" xfId="3321" xr:uid="{00000000-0005-0000-0000-0000F90C0000}"/>
    <cellStyle name="Normal 10 2 10 2 14 12" xfId="3322" xr:uid="{00000000-0005-0000-0000-0000FA0C0000}"/>
    <cellStyle name="Normal 10 2 10 2 14 13" xfId="3323" xr:uid="{00000000-0005-0000-0000-0000FB0C0000}"/>
    <cellStyle name="Normal 10 2 10 2 14 14" xfId="3324" xr:uid="{00000000-0005-0000-0000-0000FC0C0000}"/>
    <cellStyle name="Normal 10 2 10 2 14 2" xfId="3325" xr:uid="{00000000-0005-0000-0000-0000FD0C0000}"/>
    <cellStyle name="Normal 10 2 10 2 14 2 10" xfId="3326" xr:uid="{00000000-0005-0000-0000-0000FE0C0000}"/>
    <cellStyle name="Normal 10 2 10 2 14 2 2" xfId="3327" xr:uid="{00000000-0005-0000-0000-0000FF0C0000}"/>
    <cellStyle name="Normal 10 2 10 2 14 2 3" xfId="3328" xr:uid="{00000000-0005-0000-0000-0000000D0000}"/>
    <cellStyle name="Normal 10 2 10 2 14 2 4" xfId="3329" xr:uid="{00000000-0005-0000-0000-0000010D0000}"/>
    <cellStyle name="Normal 10 2 10 2 14 2 5" xfId="3330" xr:uid="{00000000-0005-0000-0000-0000020D0000}"/>
    <cellStyle name="Normal 10 2 10 2 14 2 6" xfId="3331" xr:uid="{00000000-0005-0000-0000-0000030D0000}"/>
    <cellStyle name="Normal 10 2 10 2 14 2 7" xfId="3332" xr:uid="{00000000-0005-0000-0000-0000040D0000}"/>
    <cellStyle name="Normal 10 2 10 2 14 2 8" xfId="3333" xr:uid="{00000000-0005-0000-0000-0000050D0000}"/>
    <cellStyle name="Normal 10 2 10 2 14 2 9" xfId="3334" xr:uid="{00000000-0005-0000-0000-0000060D0000}"/>
    <cellStyle name="Normal 10 2 10 2 14 3" xfId="3335" xr:uid="{00000000-0005-0000-0000-0000070D0000}"/>
    <cellStyle name="Normal 10 2 10 2 14 3 10" xfId="3336" xr:uid="{00000000-0005-0000-0000-0000080D0000}"/>
    <cellStyle name="Normal 10 2 10 2 14 3 2" xfId="3337" xr:uid="{00000000-0005-0000-0000-0000090D0000}"/>
    <cellStyle name="Normal 10 2 10 2 14 3 3" xfId="3338" xr:uid="{00000000-0005-0000-0000-00000A0D0000}"/>
    <cellStyle name="Normal 10 2 10 2 14 3 4" xfId="3339" xr:uid="{00000000-0005-0000-0000-00000B0D0000}"/>
    <cellStyle name="Normal 10 2 10 2 14 3 5" xfId="3340" xr:uid="{00000000-0005-0000-0000-00000C0D0000}"/>
    <cellStyle name="Normal 10 2 10 2 14 3 6" xfId="3341" xr:uid="{00000000-0005-0000-0000-00000D0D0000}"/>
    <cellStyle name="Normal 10 2 10 2 14 3 7" xfId="3342" xr:uid="{00000000-0005-0000-0000-00000E0D0000}"/>
    <cellStyle name="Normal 10 2 10 2 14 3 8" xfId="3343" xr:uid="{00000000-0005-0000-0000-00000F0D0000}"/>
    <cellStyle name="Normal 10 2 10 2 14 3 9" xfId="3344" xr:uid="{00000000-0005-0000-0000-0000100D0000}"/>
    <cellStyle name="Normal 10 2 10 2 14 4" xfId="3345" xr:uid="{00000000-0005-0000-0000-0000110D0000}"/>
    <cellStyle name="Normal 10 2 10 2 14 4 10" xfId="3346" xr:uid="{00000000-0005-0000-0000-0000120D0000}"/>
    <cellStyle name="Normal 10 2 10 2 14 4 2" xfId="3347" xr:uid="{00000000-0005-0000-0000-0000130D0000}"/>
    <cellStyle name="Normal 10 2 10 2 14 4 3" xfId="3348" xr:uid="{00000000-0005-0000-0000-0000140D0000}"/>
    <cellStyle name="Normal 10 2 10 2 14 4 4" xfId="3349" xr:uid="{00000000-0005-0000-0000-0000150D0000}"/>
    <cellStyle name="Normal 10 2 10 2 14 4 5" xfId="3350" xr:uid="{00000000-0005-0000-0000-0000160D0000}"/>
    <cellStyle name="Normal 10 2 10 2 14 4 6" xfId="3351" xr:uid="{00000000-0005-0000-0000-0000170D0000}"/>
    <cellStyle name="Normal 10 2 10 2 14 4 7" xfId="3352" xr:uid="{00000000-0005-0000-0000-0000180D0000}"/>
    <cellStyle name="Normal 10 2 10 2 14 4 8" xfId="3353" xr:uid="{00000000-0005-0000-0000-0000190D0000}"/>
    <cellStyle name="Normal 10 2 10 2 14 4 9" xfId="3354" xr:uid="{00000000-0005-0000-0000-00001A0D0000}"/>
    <cellStyle name="Normal 10 2 10 2 14 5" xfId="3355" xr:uid="{00000000-0005-0000-0000-00001B0D0000}"/>
    <cellStyle name="Normal 10 2 10 2 14 5 10" xfId="3356" xr:uid="{00000000-0005-0000-0000-00001C0D0000}"/>
    <cellStyle name="Normal 10 2 10 2 14 5 2" xfId="3357" xr:uid="{00000000-0005-0000-0000-00001D0D0000}"/>
    <cellStyle name="Normal 10 2 10 2 14 5 3" xfId="3358" xr:uid="{00000000-0005-0000-0000-00001E0D0000}"/>
    <cellStyle name="Normal 10 2 10 2 14 5 4" xfId="3359" xr:uid="{00000000-0005-0000-0000-00001F0D0000}"/>
    <cellStyle name="Normal 10 2 10 2 14 5 5" xfId="3360" xr:uid="{00000000-0005-0000-0000-0000200D0000}"/>
    <cellStyle name="Normal 10 2 10 2 14 5 6" xfId="3361" xr:uid="{00000000-0005-0000-0000-0000210D0000}"/>
    <cellStyle name="Normal 10 2 10 2 14 5 7" xfId="3362" xr:uid="{00000000-0005-0000-0000-0000220D0000}"/>
    <cellStyle name="Normal 10 2 10 2 14 5 8" xfId="3363" xr:uid="{00000000-0005-0000-0000-0000230D0000}"/>
    <cellStyle name="Normal 10 2 10 2 14 5 9" xfId="3364" xr:uid="{00000000-0005-0000-0000-0000240D0000}"/>
    <cellStyle name="Normal 10 2 10 2 14 6" xfId="3365" xr:uid="{00000000-0005-0000-0000-0000250D0000}"/>
    <cellStyle name="Normal 10 2 10 2 14 7" xfId="3366" xr:uid="{00000000-0005-0000-0000-0000260D0000}"/>
    <cellStyle name="Normal 10 2 10 2 14 8" xfId="3367" xr:uid="{00000000-0005-0000-0000-0000270D0000}"/>
    <cellStyle name="Normal 10 2 10 2 14 9" xfId="3368" xr:uid="{00000000-0005-0000-0000-0000280D0000}"/>
    <cellStyle name="Normal 10 2 10 2 15" xfId="3369" xr:uid="{00000000-0005-0000-0000-0000290D0000}"/>
    <cellStyle name="Normal 10 2 10 2 15 10" xfId="3370" xr:uid="{00000000-0005-0000-0000-00002A0D0000}"/>
    <cellStyle name="Normal 10 2 10 2 15 11" xfId="3371" xr:uid="{00000000-0005-0000-0000-00002B0D0000}"/>
    <cellStyle name="Normal 10 2 10 2 15 12" xfId="3372" xr:uid="{00000000-0005-0000-0000-00002C0D0000}"/>
    <cellStyle name="Normal 10 2 10 2 15 13" xfId="3373" xr:uid="{00000000-0005-0000-0000-00002D0D0000}"/>
    <cellStyle name="Normal 10 2 10 2 15 14" xfId="3374" xr:uid="{00000000-0005-0000-0000-00002E0D0000}"/>
    <cellStyle name="Normal 10 2 10 2 15 2" xfId="3375" xr:uid="{00000000-0005-0000-0000-00002F0D0000}"/>
    <cellStyle name="Normal 10 2 10 2 15 2 10" xfId="3376" xr:uid="{00000000-0005-0000-0000-0000300D0000}"/>
    <cellStyle name="Normal 10 2 10 2 15 2 2" xfId="3377" xr:uid="{00000000-0005-0000-0000-0000310D0000}"/>
    <cellStyle name="Normal 10 2 10 2 15 2 3" xfId="3378" xr:uid="{00000000-0005-0000-0000-0000320D0000}"/>
    <cellStyle name="Normal 10 2 10 2 15 2 4" xfId="3379" xr:uid="{00000000-0005-0000-0000-0000330D0000}"/>
    <cellStyle name="Normal 10 2 10 2 15 2 5" xfId="3380" xr:uid="{00000000-0005-0000-0000-0000340D0000}"/>
    <cellStyle name="Normal 10 2 10 2 15 2 6" xfId="3381" xr:uid="{00000000-0005-0000-0000-0000350D0000}"/>
    <cellStyle name="Normal 10 2 10 2 15 2 7" xfId="3382" xr:uid="{00000000-0005-0000-0000-0000360D0000}"/>
    <cellStyle name="Normal 10 2 10 2 15 2 8" xfId="3383" xr:uid="{00000000-0005-0000-0000-0000370D0000}"/>
    <cellStyle name="Normal 10 2 10 2 15 2 9" xfId="3384" xr:uid="{00000000-0005-0000-0000-0000380D0000}"/>
    <cellStyle name="Normal 10 2 10 2 15 3" xfId="3385" xr:uid="{00000000-0005-0000-0000-0000390D0000}"/>
    <cellStyle name="Normal 10 2 10 2 15 3 10" xfId="3386" xr:uid="{00000000-0005-0000-0000-00003A0D0000}"/>
    <cellStyle name="Normal 10 2 10 2 15 3 2" xfId="3387" xr:uid="{00000000-0005-0000-0000-00003B0D0000}"/>
    <cellStyle name="Normal 10 2 10 2 15 3 3" xfId="3388" xr:uid="{00000000-0005-0000-0000-00003C0D0000}"/>
    <cellStyle name="Normal 10 2 10 2 15 3 4" xfId="3389" xr:uid="{00000000-0005-0000-0000-00003D0D0000}"/>
    <cellStyle name="Normal 10 2 10 2 15 3 5" xfId="3390" xr:uid="{00000000-0005-0000-0000-00003E0D0000}"/>
    <cellStyle name="Normal 10 2 10 2 15 3 6" xfId="3391" xr:uid="{00000000-0005-0000-0000-00003F0D0000}"/>
    <cellStyle name="Normal 10 2 10 2 15 3 7" xfId="3392" xr:uid="{00000000-0005-0000-0000-0000400D0000}"/>
    <cellStyle name="Normal 10 2 10 2 15 3 8" xfId="3393" xr:uid="{00000000-0005-0000-0000-0000410D0000}"/>
    <cellStyle name="Normal 10 2 10 2 15 3 9" xfId="3394" xr:uid="{00000000-0005-0000-0000-0000420D0000}"/>
    <cellStyle name="Normal 10 2 10 2 15 4" xfId="3395" xr:uid="{00000000-0005-0000-0000-0000430D0000}"/>
    <cellStyle name="Normal 10 2 10 2 15 4 10" xfId="3396" xr:uid="{00000000-0005-0000-0000-0000440D0000}"/>
    <cellStyle name="Normal 10 2 10 2 15 4 2" xfId="3397" xr:uid="{00000000-0005-0000-0000-0000450D0000}"/>
    <cellStyle name="Normal 10 2 10 2 15 4 3" xfId="3398" xr:uid="{00000000-0005-0000-0000-0000460D0000}"/>
    <cellStyle name="Normal 10 2 10 2 15 4 4" xfId="3399" xr:uid="{00000000-0005-0000-0000-0000470D0000}"/>
    <cellStyle name="Normal 10 2 10 2 15 4 5" xfId="3400" xr:uid="{00000000-0005-0000-0000-0000480D0000}"/>
    <cellStyle name="Normal 10 2 10 2 15 4 6" xfId="3401" xr:uid="{00000000-0005-0000-0000-0000490D0000}"/>
    <cellStyle name="Normal 10 2 10 2 15 4 7" xfId="3402" xr:uid="{00000000-0005-0000-0000-00004A0D0000}"/>
    <cellStyle name="Normal 10 2 10 2 15 4 8" xfId="3403" xr:uid="{00000000-0005-0000-0000-00004B0D0000}"/>
    <cellStyle name="Normal 10 2 10 2 15 4 9" xfId="3404" xr:uid="{00000000-0005-0000-0000-00004C0D0000}"/>
    <cellStyle name="Normal 10 2 10 2 15 5" xfId="3405" xr:uid="{00000000-0005-0000-0000-00004D0D0000}"/>
    <cellStyle name="Normal 10 2 10 2 15 5 10" xfId="3406" xr:uid="{00000000-0005-0000-0000-00004E0D0000}"/>
    <cellStyle name="Normal 10 2 10 2 15 5 2" xfId="3407" xr:uid="{00000000-0005-0000-0000-00004F0D0000}"/>
    <cellStyle name="Normal 10 2 10 2 15 5 3" xfId="3408" xr:uid="{00000000-0005-0000-0000-0000500D0000}"/>
    <cellStyle name="Normal 10 2 10 2 15 5 4" xfId="3409" xr:uid="{00000000-0005-0000-0000-0000510D0000}"/>
    <cellStyle name="Normal 10 2 10 2 15 5 5" xfId="3410" xr:uid="{00000000-0005-0000-0000-0000520D0000}"/>
    <cellStyle name="Normal 10 2 10 2 15 5 6" xfId="3411" xr:uid="{00000000-0005-0000-0000-0000530D0000}"/>
    <cellStyle name="Normal 10 2 10 2 15 5 7" xfId="3412" xr:uid="{00000000-0005-0000-0000-0000540D0000}"/>
    <cellStyle name="Normal 10 2 10 2 15 5 8" xfId="3413" xr:uid="{00000000-0005-0000-0000-0000550D0000}"/>
    <cellStyle name="Normal 10 2 10 2 15 5 9" xfId="3414" xr:uid="{00000000-0005-0000-0000-0000560D0000}"/>
    <cellStyle name="Normal 10 2 10 2 15 6" xfId="3415" xr:uid="{00000000-0005-0000-0000-0000570D0000}"/>
    <cellStyle name="Normal 10 2 10 2 15 7" xfId="3416" xr:uid="{00000000-0005-0000-0000-0000580D0000}"/>
    <cellStyle name="Normal 10 2 10 2 15 8" xfId="3417" xr:uid="{00000000-0005-0000-0000-0000590D0000}"/>
    <cellStyle name="Normal 10 2 10 2 15 9" xfId="3418" xr:uid="{00000000-0005-0000-0000-00005A0D0000}"/>
    <cellStyle name="Normal 10 2 10 2 16" xfId="3419" xr:uid="{00000000-0005-0000-0000-00005B0D0000}"/>
    <cellStyle name="Normal 10 2 10 2 16 10" xfId="3420" xr:uid="{00000000-0005-0000-0000-00005C0D0000}"/>
    <cellStyle name="Normal 10 2 10 2 16 11" xfId="3421" xr:uid="{00000000-0005-0000-0000-00005D0D0000}"/>
    <cellStyle name="Normal 10 2 10 2 16 12" xfId="3422" xr:uid="{00000000-0005-0000-0000-00005E0D0000}"/>
    <cellStyle name="Normal 10 2 10 2 16 13" xfId="3423" xr:uid="{00000000-0005-0000-0000-00005F0D0000}"/>
    <cellStyle name="Normal 10 2 10 2 16 14" xfId="3424" xr:uid="{00000000-0005-0000-0000-0000600D0000}"/>
    <cellStyle name="Normal 10 2 10 2 16 2" xfId="3425" xr:uid="{00000000-0005-0000-0000-0000610D0000}"/>
    <cellStyle name="Normal 10 2 10 2 16 2 10" xfId="3426" xr:uid="{00000000-0005-0000-0000-0000620D0000}"/>
    <cellStyle name="Normal 10 2 10 2 16 2 2" xfId="3427" xr:uid="{00000000-0005-0000-0000-0000630D0000}"/>
    <cellStyle name="Normal 10 2 10 2 16 2 3" xfId="3428" xr:uid="{00000000-0005-0000-0000-0000640D0000}"/>
    <cellStyle name="Normal 10 2 10 2 16 2 4" xfId="3429" xr:uid="{00000000-0005-0000-0000-0000650D0000}"/>
    <cellStyle name="Normal 10 2 10 2 16 2 5" xfId="3430" xr:uid="{00000000-0005-0000-0000-0000660D0000}"/>
    <cellStyle name="Normal 10 2 10 2 16 2 6" xfId="3431" xr:uid="{00000000-0005-0000-0000-0000670D0000}"/>
    <cellStyle name="Normal 10 2 10 2 16 2 7" xfId="3432" xr:uid="{00000000-0005-0000-0000-0000680D0000}"/>
    <cellStyle name="Normal 10 2 10 2 16 2 8" xfId="3433" xr:uid="{00000000-0005-0000-0000-0000690D0000}"/>
    <cellStyle name="Normal 10 2 10 2 16 2 9" xfId="3434" xr:uid="{00000000-0005-0000-0000-00006A0D0000}"/>
    <cellStyle name="Normal 10 2 10 2 16 3" xfId="3435" xr:uid="{00000000-0005-0000-0000-00006B0D0000}"/>
    <cellStyle name="Normal 10 2 10 2 16 3 10" xfId="3436" xr:uid="{00000000-0005-0000-0000-00006C0D0000}"/>
    <cellStyle name="Normal 10 2 10 2 16 3 2" xfId="3437" xr:uid="{00000000-0005-0000-0000-00006D0D0000}"/>
    <cellStyle name="Normal 10 2 10 2 16 3 3" xfId="3438" xr:uid="{00000000-0005-0000-0000-00006E0D0000}"/>
    <cellStyle name="Normal 10 2 10 2 16 3 4" xfId="3439" xr:uid="{00000000-0005-0000-0000-00006F0D0000}"/>
    <cellStyle name="Normal 10 2 10 2 16 3 5" xfId="3440" xr:uid="{00000000-0005-0000-0000-0000700D0000}"/>
    <cellStyle name="Normal 10 2 10 2 16 3 6" xfId="3441" xr:uid="{00000000-0005-0000-0000-0000710D0000}"/>
    <cellStyle name="Normal 10 2 10 2 16 3 7" xfId="3442" xr:uid="{00000000-0005-0000-0000-0000720D0000}"/>
    <cellStyle name="Normal 10 2 10 2 16 3 8" xfId="3443" xr:uid="{00000000-0005-0000-0000-0000730D0000}"/>
    <cellStyle name="Normal 10 2 10 2 16 3 9" xfId="3444" xr:uid="{00000000-0005-0000-0000-0000740D0000}"/>
    <cellStyle name="Normal 10 2 10 2 16 4" xfId="3445" xr:uid="{00000000-0005-0000-0000-0000750D0000}"/>
    <cellStyle name="Normal 10 2 10 2 16 4 10" xfId="3446" xr:uid="{00000000-0005-0000-0000-0000760D0000}"/>
    <cellStyle name="Normal 10 2 10 2 16 4 2" xfId="3447" xr:uid="{00000000-0005-0000-0000-0000770D0000}"/>
    <cellStyle name="Normal 10 2 10 2 16 4 3" xfId="3448" xr:uid="{00000000-0005-0000-0000-0000780D0000}"/>
    <cellStyle name="Normal 10 2 10 2 16 4 4" xfId="3449" xr:uid="{00000000-0005-0000-0000-0000790D0000}"/>
    <cellStyle name="Normal 10 2 10 2 16 4 5" xfId="3450" xr:uid="{00000000-0005-0000-0000-00007A0D0000}"/>
    <cellStyle name="Normal 10 2 10 2 16 4 6" xfId="3451" xr:uid="{00000000-0005-0000-0000-00007B0D0000}"/>
    <cellStyle name="Normal 10 2 10 2 16 4 7" xfId="3452" xr:uid="{00000000-0005-0000-0000-00007C0D0000}"/>
    <cellStyle name="Normal 10 2 10 2 16 4 8" xfId="3453" xr:uid="{00000000-0005-0000-0000-00007D0D0000}"/>
    <cellStyle name="Normal 10 2 10 2 16 4 9" xfId="3454" xr:uid="{00000000-0005-0000-0000-00007E0D0000}"/>
    <cellStyle name="Normal 10 2 10 2 16 5" xfId="3455" xr:uid="{00000000-0005-0000-0000-00007F0D0000}"/>
    <cellStyle name="Normal 10 2 10 2 16 5 10" xfId="3456" xr:uid="{00000000-0005-0000-0000-0000800D0000}"/>
    <cellStyle name="Normal 10 2 10 2 16 5 2" xfId="3457" xr:uid="{00000000-0005-0000-0000-0000810D0000}"/>
    <cellStyle name="Normal 10 2 10 2 16 5 3" xfId="3458" xr:uid="{00000000-0005-0000-0000-0000820D0000}"/>
    <cellStyle name="Normal 10 2 10 2 16 5 4" xfId="3459" xr:uid="{00000000-0005-0000-0000-0000830D0000}"/>
    <cellStyle name="Normal 10 2 10 2 16 5 5" xfId="3460" xr:uid="{00000000-0005-0000-0000-0000840D0000}"/>
    <cellStyle name="Normal 10 2 10 2 16 5 6" xfId="3461" xr:uid="{00000000-0005-0000-0000-0000850D0000}"/>
    <cellStyle name="Normal 10 2 10 2 16 5 7" xfId="3462" xr:uid="{00000000-0005-0000-0000-0000860D0000}"/>
    <cellStyle name="Normal 10 2 10 2 16 5 8" xfId="3463" xr:uid="{00000000-0005-0000-0000-0000870D0000}"/>
    <cellStyle name="Normal 10 2 10 2 16 5 9" xfId="3464" xr:uid="{00000000-0005-0000-0000-0000880D0000}"/>
    <cellStyle name="Normal 10 2 10 2 16 6" xfId="3465" xr:uid="{00000000-0005-0000-0000-0000890D0000}"/>
    <cellStyle name="Normal 10 2 10 2 16 7" xfId="3466" xr:uid="{00000000-0005-0000-0000-00008A0D0000}"/>
    <cellStyle name="Normal 10 2 10 2 16 8" xfId="3467" xr:uid="{00000000-0005-0000-0000-00008B0D0000}"/>
    <cellStyle name="Normal 10 2 10 2 16 9" xfId="3468" xr:uid="{00000000-0005-0000-0000-00008C0D0000}"/>
    <cellStyle name="Normal 10 2 10 2 17" xfId="3469" xr:uid="{00000000-0005-0000-0000-00008D0D0000}"/>
    <cellStyle name="Normal 10 2 10 2 17 10" xfId="3470" xr:uid="{00000000-0005-0000-0000-00008E0D0000}"/>
    <cellStyle name="Normal 10 2 10 2 17 11" xfId="3471" xr:uid="{00000000-0005-0000-0000-00008F0D0000}"/>
    <cellStyle name="Normal 10 2 10 2 17 12" xfId="3472" xr:uid="{00000000-0005-0000-0000-0000900D0000}"/>
    <cellStyle name="Normal 10 2 10 2 17 13" xfId="3473" xr:uid="{00000000-0005-0000-0000-0000910D0000}"/>
    <cellStyle name="Normal 10 2 10 2 17 14" xfId="3474" xr:uid="{00000000-0005-0000-0000-0000920D0000}"/>
    <cellStyle name="Normal 10 2 10 2 17 2" xfId="3475" xr:uid="{00000000-0005-0000-0000-0000930D0000}"/>
    <cellStyle name="Normal 10 2 10 2 17 2 10" xfId="3476" xr:uid="{00000000-0005-0000-0000-0000940D0000}"/>
    <cellStyle name="Normal 10 2 10 2 17 2 2" xfId="3477" xr:uid="{00000000-0005-0000-0000-0000950D0000}"/>
    <cellStyle name="Normal 10 2 10 2 17 2 3" xfId="3478" xr:uid="{00000000-0005-0000-0000-0000960D0000}"/>
    <cellStyle name="Normal 10 2 10 2 17 2 4" xfId="3479" xr:uid="{00000000-0005-0000-0000-0000970D0000}"/>
    <cellStyle name="Normal 10 2 10 2 17 2 5" xfId="3480" xr:uid="{00000000-0005-0000-0000-0000980D0000}"/>
    <cellStyle name="Normal 10 2 10 2 17 2 6" xfId="3481" xr:uid="{00000000-0005-0000-0000-0000990D0000}"/>
    <cellStyle name="Normal 10 2 10 2 17 2 7" xfId="3482" xr:uid="{00000000-0005-0000-0000-00009A0D0000}"/>
    <cellStyle name="Normal 10 2 10 2 17 2 8" xfId="3483" xr:uid="{00000000-0005-0000-0000-00009B0D0000}"/>
    <cellStyle name="Normal 10 2 10 2 17 2 9" xfId="3484" xr:uid="{00000000-0005-0000-0000-00009C0D0000}"/>
    <cellStyle name="Normal 10 2 10 2 17 3" xfId="3485" xr:uid="{00000000-0005-0000-0000-00009D0D0000}"/>
    <cellStyle name="Normal 10 2 10 2 17 3 10" xfId="3486" xr:uid="{00000000-0005-0000-0000-00009E0D0000}"/>
    <cellStyle name="Normal 10 2 10 2 17 3 2" xfId="3487" xr:uid="{00000000-0005-0000-0000-00009F0D0000}"/>
    <cellStyle name="Normal 10 2 10 2 17 3 3" xfId="3488" xr:uid="{00000000-0005-0000-0000-0000A00D0000}"/>
    <cellStyle name="Normal 10 2 10 2 17 3 4" xfId="3489" xr:uid="{00000000-0005-0000-0000-0000A10D0000}"/>
    <cellStyle name="Normal 10 2 10 2 17 3 5" xfId="3490" xr:uid="{00000000-0005-0000-0000-0000A20D0000}"/>
    <cellStyle name="Normal 10 2 10 2 17 3 6" xfId="3491" xr:uid="{00000000-0005-0000-0000-0000A30D0000}"/>
    <cellStyle name="Normal 10 2 10 2 17 3 7" xfId="3492" xr:uid="{00000000-0005-0000-0000-0000A40D0000}"/>
    <cellStyle name="Normal 10 2 10 2 17 3 8" xfId="3493" xr:uid="{00000000-0005-0000-0000-0000A50D0000}"/>
    <cellStyle name="Normal 10 2 10 2 17 3 9" xfId="3494" xr:uid="{00000000-0005-0000-0000-0000A60D0000}"/>
    <cellStyle name="Normal 10 2 10 2 17 4" xfId="3495" xr:uid="{00000000-0005-0000-0000-0000A70D0000}"/>
    <cellStyle name="Normal 10 2 10 2 17 4 10" xfId="3496" xr:uid="{00000000-0005-0000-0000-0000A80D0000}"/>
    <cellStyle name="Normal 10 2 10 2 17 4 2" xfId="3497" xr:uid="{00000000-0005-0000-0000-0000A90D0000}"/>
    <cellStyle name="Normal 10 2 10 2 17 4 3" xfId="3498" xr:uid="{00000000-0005-0000-0000-0000AA0D0000}"/>
    <cellStyle name="Normal 10 2 10 2 17 4 4" xfId="3499" xr:uid="{00000000-0005-0000-0000-0000AB0D0000}"/>
    <cellStyle name="Normal 10 2 10 2 17 4 5" xfId="3500" xr:uid="{00000000-0005-0000-0000-0000AC0D0000}"/>
    <cellStyle name="Normal 10 2 10 2 17 4 6" xfId="3501" xr:uid="{00000000-0005-0000-0000-0000AD0D0000}"/>
    <cellStyle name="Normal 10 2 10 2 17 4 7" xfId="3502" xr:uid="{00000000-0005-0000-0000-0000AE0D0000}"/>
    <cellStyle name="Normal 10 2 10 2 17 4 8" xfId="3503" xr:uid="{00000000-0005-0000-0000-0000AF0D0000}"/>
    <cellStyle name="Normal 10 2 10 2 17 4 9" xfId="3504" xr:uid="{00000000-0005-0000-0000-0000B00D0000}"/>
    <cellStyle name="Normal 10 2 10 2 17 5" xfId="3505" xr:uid="{00000000-0005-0000-0000-0000B10D0000}"/>
    <cellStyle name="Normal 10 2 10 2 17 5 10" xfId="3506" xr:uid="{00000000-0005-0000-0000-0000B20D0000}"/>
    <cellStyle name="Normal 10 2 10 2 17 5 2" xfId="3507" xr:uid="{00000000-0005-0000-0000-0000B30D0000}"/>
    <cellStyle name="Normal 10 2 10 2 17 5 3" xfId="3508" xr:uid="{00000000-0005-0000-0000-0000B40D0000}"/>
    <cellStyle name="Normal 10 2 10 2 17 5 4" xfId="3509" xr:uid="{00000000-0005-0000-0000-0000B50D0000}"/>
    <cellStyle name="Normal 10 2 10 2 17 5 5" xfId="3510" xr:uid="{00000000-0005-0000-0000-0000B60D0000}"/>
    <cellStyle name="Normal 10 2 10 2 17 5 6" xfId="3511" xr:uid="{00000000-0005-0000-0000-0000B70D0000}"/>
    <cellStyle name="Normal 10 2 10 2 17 5 7" xfId="3512" xr:uid="{00000000-0005-0000-0000-0000B80D0000}"/>
    <cellStyle name="Normal 10 2 10 2 17 5 8" xfId="3513" xr:uid="{00000000-0005-0000-0000-0000B90D0000}"/>
    <cellStyle name="Normal 10 2 10 2 17 5 9" xfId="3514" xr:uid="{00000000-0005-0000-0000-0000BA0D0000}"/>
    <cellStyle name="Normal 10 2 10 2 17 6" xfId="3515" xr:uid="{00000000-0005-0000-0000-0000BB0D0000}"/>
    <cellStyle name="Normal 10 2 10 2 17 7" xfId="3516" xr:uid="{00000000-0005-0000-0000-0000BC0D0000}"/>
    <cellStyle name="Normal 10 2 10 2 17 8" xfId="3517" xr:uid="{00000000-0005-0000-0000-0000BD0D0000}"/>
    <cellStyle name="Normal 10 2 10 2 17 9" xfId="3518" xr:uid="{00000000-0005-0000-0000-0000BE0D0000}"/>
    <cellStyle name="Normal 10 2 10 2 18" xfId="3519" xr:uid="{00000000-0005-0000-0000-0000BF0D0000}"/>
    <cellStyle name="Normal 10 2 10 2 18 10" xfId="3520" xr:uid="{00000000-0005-0000-0000-0000C00D0000}"/>
    <cellStyle name="Normal 10 2 10 2 18 11" xfId="3521" xr:uid="{00000000-0005-0000-0000-0000C10D0000}"/>
    <cellStyle name="Normal 10 2 10 2 18 12" xfId="3522" xr:uid="{00000000-0005-0000-0000-0000C20D0000}"/>
    <cellStyle name="Normal 10 2 10 2 18 13" xfId="3523" xr:uid="{00000000-0005-0000-0000-0000C30D0000}"/>
    <cellStyle name="Normal 10 2 10 2 18 14" xfId="3524" xr:uid="{00000000-0005-0000-0000-0000C40D0000}"/>
    <cellStyle name="Normal 10 2 10 2 18 2" xfId="3525" xr:uid="{00000000-0005-0000-0000-0000C50D0000}"/>
    <cellStyle name="Normal 10 2 10 2 18 2 10" xfId="3526" xr:uid="{00000000-0005-0000-0000-0000C60D0000}"/>
    <cellStyle name="Normal 10 2 10 2 18 2 2" xfId="3527" xr:uid="{00000000-0005-0000-0000-0000C70D0000}"/>
    <cellStyle name="Normal 10 2 10 2 18 2 3" xfId="3528" xr:uid="{00000000-0005-0000-0000-0000C80D0000}"/>
    <cellStyle name="Normal 10 2 10 2 18 2 4" xfId="3529" xr:uid="{00000000-0005-0000-0000-0000C90D0000}"/>
    <cellStyle name="Normal 10 2 10 2 18 2 5" xfId="3530" xr:uid="{00000000-0005-0000-0000-0000CA0D0000}"/>
    <cellStyle name="Normal 10 2 10 2 18 2 6" xfId="3531" xr:uid="{00000000-0005-0000-0000-0000CB0D0000}"/>
    <cellStyle name="Normal 10 2 10 2 18 2 7" xfId="3532" xr:uid="{00000000-0005-0000-0000-0000CC0D0000}"/>
    <cellStyle name="Normal 10 2 10 2 18 2 8" xfId="3533" xr:uid="{00000000-0005-0000-0000-0000CD0D0000}"/>
    <cellStyle name="Normal 10 2 10 2 18 2 9" xfId="3534" xr:uid="{00000000-0005-0000-0000-0000CE0D0000}"/>
    <cellStyle name="Normal 10 2 10 2 18 3" xfId="3535" xr:uid="{00000000-0005-0000-0000-0000CF0D0000}"/>
    <cellStyle name="Normal 10 2 10 2 18 3 10" xfId="3536" xr:uid="{00000000-0005-0000-0000-0000D00D0000}"/>
    <cellStyle name="Normal 10 2 10 2 18 3 2" xfId="3537" xr:uid="{00000000-0005-0000-0000-0000D10D0000}"/>
    <cellStyle name="Normal 10 2 10 2 18 3 3" xfId="3538" xr:uid="{00000000-0005-0000-0000-0000D20D0000}"/>
    <cellStyle name="Normal 10 2 10 2 18 3 4" xfId="3539" xr:uid="{00000000-0005-0000-0000-0000D30D0000}"/>
    <cellStyle name="Normal 10 2 10 2 18 3 5" xfId="3540" xr:uid="{00000000-0005-0000-0000-0000D40D0000}"/>
    <cellStyle name="Normal 10 2 10 2 18 3 6" xfId="3541" xr:uid="{00000000-0005-0000-0000-0000D50D0000}"/>
    <cellStyle name="Normal 10 2 10 2 18 3 7" xfId="3542" xr:uid="{00000000-0005-0000-0000-0000D60D0000}"/>
    <cellStyle name="Normal 10 2 10 2 18 3 8" xfId="3543" xr:uid="{00000000-0005-0000-0000-0000D70D0000}"/>
    <cellStyle name="Normal 10 2 10 2 18 3 9" xfId="3544" xr:uid="{00000000-0005-0000-0000-0000D80D0000}"/>
    <cellStyle name="Normal 10 2 10 2 18 4" xfId="3545" xr:uid="{00000000-0005-0000-0000-0000D90D0000}"/>
    <cellStyle name="Normal 10 2 10 2 18 4 10" xfId="3546" xr:uid="{00000000-0005-0000-0000-0000DA0D0000}"/>
    <cellStyle name="Normal 10 2 10 2 18 4 2" xfId="3547" xr:uid="{00000000-0005-0000-0000-0000DB0D0000}"/>
    <cellStyle name="Normal 10 2 10 2 18 4 3" xfId="3548" xr:uid="{00000000-0005-0000-0000-0000DC0D0000}"/>
    <cellStyle name="Normal 10 2 10 2 18 4 4" xfId="3549" xr:uid="{00000000-0005-0000-0000-0000DD0D0000}"/>
    <cellStyle name="Normal 10 2 10 2 18 4 5" xfId="3550" xr:uid="{00000000-0005-0000-0000-0000DE0D0000}"/>
    <cellStyle name="Normal 10 2 10 2 18 4 6" xfId="3551" xr:uid="{00000000-0005-0000-0000-0000DF0D0000}"/>
    <cellStyle name="Normal 10 2 10 2 18 4 7" xfId="3552" xr:uid="{00000000-0005-0000-0000-0000E00D0000}"/>
    <cellStyle name="Normal 10 2 10 2 18 4 8" xfId="3553" xr:uid="{00000000-0005-0000-0000-0000E10D0000}"/>
    <cellStyle name="Normal 10 2 10 2 18 4 9" xfId="3554" xr:uid="{00000000-0005-0000-0000-0000E20D0000}"/>
    <cellStyle name="Normal 10 2 10 2 18 5" xfId="3555" xr:uid="{00000000-0005-0000-0000-0000E30D0000}"/>
    <cellStyle name="Normal 10 2 10 2 18 5 10" xfId="3556" xr:uid="{00000000-0005-0000-0000-0000E40D0000}"/>
    <cellStyle name="Normal 10 2 10 2 18 5 2" xfId="3557" xr:uid="{00000000-0005-0000-0000-0000E50D0000}"/>
    <cellStyle name="Normal 10 2 10 2 18 5 3" xfId="3558" xr:uid="{00000000-0005-0000-0000-0000E60D0000}"/>
    <cellStyle name="Normal 10 2 10 2 18 5 4" xfId="3559" xr:uid="{00000000-0005-0000-0000-0000E70D0000}"/>
    <cellStyle name="Normal 10 2 10 2 18 5 5" xfId="3560" xr:uid="{00000000-0005-0000-0000-0000E80D0000}"/>
    <cellStyle name="Normal 10 2 10 2 18 5 6" xfId="3561" xr:uid="{00000000-0005-0000-0000-0000E90D0000}"/>
    <cellStyle name="Normal 10 2 10 2 18 5 7" xfId="3562" xr:uid="{00000000-0005-0000-0000-0000EA0D0000}"/>
    <cellStyle name="Normal 10 2 10 2 18 5 8" xfId="3563" xr:uid="{00000000-0005-0000-0000-0000EB0D0000}"/>
    <cellStyle name="Normal 10 2 10 2 18 5 9" xfId="3564" xr:uid="{00000000-0005-0000-0000-0000EC0D0000}"/>
    <cellStyle name="Normal 10 2 10 2 18 6" xfId="3565" xr:uid="{00000000-0005-0000-0000-0000ED0D0000}"/>
    <cellStyle name="Normal 10 2 10 2 18 7" xfId="3566" xr:uid="{00000000-0005-0000-0000-0000EE0D0000}"/>
    <cellStyle name="Normal 10 2 10 2 18 8" xfId="3567" xr:uid="{00000000-0005-0000-0000-0000EF0D0000}"/>
    <cellStyle name="Normal 10 2 10 2 18 9" xfId="3568" xr:uid="{00000000-0005-0000-0000-0000F00D0000}"/>
    <cellStyle name="Normal 10 2 10 2 19" xfId="3569" xr:uid="{00000000-0005-0000-0000-0000F10D0000}"/>
    <cellStyle name="Normal 10 2 10 2 19 10" xfId="3570" xr:uid="{00000000-0005-0000-0000-0000F20D0000}"/>
    <cellStyle name="Normal 10 2 10 2 19 11" xfId="3571" xr:uid="{00000000-0005-0000-0000-0000F30D0000}"/>
    <cellStyle name="Normal 10 2 10 2 19 12" xfId="3572" xr:uid="{00000000-0005-0000-0000-0000F40D0000}"/>
    <cellStyle name="Normal 10 2 10 2 19 13" xfId="3573" xr:uid="{00000000-0005-0000-0000-0000F50D0000}"/>
    <cellStyle name="Normal 10 2 10 2 19 14" xfId="3574" xr:uid="{00000000-0005-0000-0000-0000F60D0000}"/>
    <cellStyle name="Normal 10 2 10 2 19 2" xfId="3575" xr:uid="{00000000-0005-0000-0000-0000F70D0000}"/>
    <cellStyle name="Normal 10 2 10 2 19 2 10" xfId="3576" xr:uid="{00000000-0005-0000-0000-0000F80D0000}"/>
    <cellStyle name="Normal 10 2 10 2 19 2 2" xfId="3577" xr:uid="{00000000-0005-0000-0000-0000F90D0000}"/>
    <cellStyle name="Normal 10 2 10 2 19 2 3" xfId="3578" xr:uid="{00000000-0005-0000-0000-0000FA0D0000}"/>
    <cellStyle name="Normal 10 2 10 2 19 2 4" xfId="3579" xr:uid="{00000000-0005-0000-0000-0000FB0D0000}"/>
    <cellStyle name="Normal 10 2 10 2 19 2 5" xfId="3580" xr:uid="{00000000-0005-0000-0000-0000FC0D0000}"/>
    <cellStyle name="Normal 10 2 10 2 19 2 6" xfId="3581" xr:uid="{00000000-0005-0000-0000-0000FD0D0000}"/>
    <cellStyle name="Normal 10 2 10 2 19 2 7" xfId="3582" xr:uid="{00000000-0005-0000-0000-0000FE0D0000}"/>
    <cellStyle name="Normal 10 2 10 2 19 2 8" xfId="3583" xr:uid="{00000000-0005-0000-0000-0000FF0D0000}"/>
    <cellStyle name="Normal 10 2 10 2 19 2 9" xfId="3584" xr:uid="{00000000-0005-0000-0000-0000000E0000}"/>
    <cellStyle name="Normal 10 2 10 2 19 3" xfId="3585" xr:uid="{00000000-0005-0000-0000-0000010E0000}"/>
    <cellStyle name="Normal 10 2 10 2 19 3 10" xfId="3586" xr:uid="{00000000-0005-0000-0000-0000020E0000}"/>
    <cellStyle name="Normal 10 2 10 2 19 3 2" xfId="3587" xr:uid="{00000000-0005-0000-0000-0000030E0000}"/>
    <cellStyle name="Normal 10 2 10 2 19 3 3" xfId="3588" xr:uid="{00000000-0005-0000-0000-0000040E0000}"/>
    <cellStyle name="Normal 10 2 10 2 19 3 4" xfId="3589" xr:uid="{00000000-0005-0000-0000-0000050E0000}"/>
    <cellStyle name="Normal 10 2 10 2 19 3 5" xfId="3590" xr:uid="{00000000-0005-0000-0000-0000060E0000}"/>
    <cellStyle name="Normal 10 2 10 2 19 3 6" xfId="3591" xr:uid="{00000000-0005-0000-0000-0000070E0000}"/>
    <cellStyle name="Normal 10 2 10 2 19 3 7" xfId="3592" xr:uid="{00000000-0005-0000-0000-0000080E0000}"/>
    <cellStyle name="Normal 10 2 10 2 19 3 8" xfId="3593" xr:uid="{00000000-0005-0000-0000-0000090E0000}"/>
    <cellStyle name="Normal 10 2 10 2 19 3 9" xfId="3594" xr:uid="{00000000-0005-0000-0000-00000A0E0000}"/>
    <cellStyle name="Normal 10 2 10 2 19 4" xfId="3595" xr:uid="{00000000-0005-0000-0000-00000B0E0000}"/>
    <cellStyle name="Normal 10 2 10 2 19 4 10" xfId="3596" xr:uid="{00000000-0005-0000-0000-00000C0E0000}"/>
    <cellStyle name="Normal 10 2 10 2 19 4 2" xfId="3597" xr:uid="{00000000-0005-0000-0000-00000D0E0000}"/>
    <cellStyle name="Normal 10 2 10 2 19 4 3" xfId="3598" xr:uid="{00000000-0005-0000-0000-00000E0E0000}"/>
    <cellStyle name="Normal 10 2 10 2 19 4 4" xfId="3599" xr:uid="{00000000-0005-0000-0000-00000F0E0000}"/>
    <cellStyle name="Normal 10 2 10 2 19 4 5" xfId="3600" xr:uid="{00000000-0005-0000-0000-0000100E0000}"/>
    <cellStyle name="Normal 10 2 10 2 19 4 6" xfId="3601" xr:uid="{00000000-0005-0000-0000-0000110E0000}"/>
    <cellStyle name="Normal 10 2 10 2 19 4 7" xfId="3602" xr:uid="{00000000-0005-0000-0000-0000120E0000}"/>
    <cellStyle name="Normal 10 2 10 2 19 4 8" xfId="3603" xr:uid="{00000000-0005-0000-0000-0000130E0000}"/>
    <cellStyle name="Normal 10 2 10 2 19 4 9" xfId="3604" xr:uid="{00000000-0005-0000-0000-0000140E0000}"/>
    <cellStyle name="Normal 10 2 10 2 19 5" xfId="3605" xr:uid="{00000000-0005-0000-0000-0000150E0000}"/>
    <cellStyle name="Normal 10 2 10 2 19 5 10" xfId="3606" xr:uid="{00000000-0005-0000-0000-0000160E0000}"/>
    <cellStyle name="Normal 10 2 10 2 19 5 2" xfId="3607" xr:uid="{00000000-0005-0000-0000-0000170E0000}"/>
    <cellStyle name="Normal 10 2 10 2 19 5 3" xfId="3608" xr:uid="{00000000-0005-0000-0000-0000180E0000}"/>
    <cellStyle name="Normal 10 2 10 2 19 5 4" xfId="3609" xr:uid="{00000000-0005-0000-0000-0000190E0000}"/>
    <cellStyle name="Normal 10 2 10 2 19 5 5" xfId="3610" xr:uid="{00000000-0005-0000-0000-00001A0E0000}"/>
    <cellStyle name="Normal 10 2 10 2 19 5 6" xfId="3611" xr:uid="{00000000-0005-0000-0000-00001B0E0000}"/>
    <cellStyle name="Normal 10 2 10 2 19 5 7" xfId="3612" xr:uid="{00000000-0005-0000-0000-00001C0E0000}"/>
    <cellStyle name="Normal 10 2 10 2 19 5 8" xfId="3613" xr:uid="{00000000-0005-0000-0000-00001D0E0000}"/>
    <cellStyle name="Normal 10 2 10 2 19 5 9" xfId="3614" xr:uid="{00000000-0005-0000-0000-00001E0E0000}"/>
    <cellStyle name="Normal 10 2 10 2 19 6" xfId="3615" xr:uid="{00000000-0005-0000-0000-00001F0E0000}"/>
    <cellStyle name="Normal 10 2 10 2 19 7" xfId="3616" xr:uid="{00000000-0005-0000-0000-0000200E0000}"/>
    <cellStyle name="Normal 10 2 10 2 19 8" xfId="3617" xr:uid="{00000000-0005-0000-0000-0000210E0000}"/>
    <cellStyle name="Normal 10 2 10 2 19 9" xfId="3618" xr:uid="{00000000-0005-0000-0000-0000220E0000}"/>
    <cellStyle name="Normal 10 2 10 2 2" xfId="3619" xr:uid="{00000000-0005-0000-0000-0000230E0000}"/>
    <cellStyle name="Normal 10 2 10 2 2 10" xfId="3620" xr:uid="{00000000-0005-0000-0000-0000240E0000}"/>
    <cellStyle name="Normal 10 2 10 2 2 11" xfId="3621" xr:uid="{00000000-0005-0000-0000-0000250E0000}"/>
    <cellStyle name="Normal 10 2 10 2 2 12" xfId="3622" xr:uid="{00000000-0005-0000-0000-0000260E0000}"/>
    <cellStyle name="Normal 10 2 10 2 2 13" xfId="3623" xr:uid="{00000000-0005-0000-0000-0000270E0000}"/>
    <cellStyle name="Normal 10 2 10 2 2 14" xfId="3624" xr:uid="{00000000-0005-0000-0000-0000280E0000}"/>
    <cellStyle name="Normal 10 2 10 2 2 2" xfId="3625" xr:uid="{00000000-0005-0000-0000-0000290E0000}"/>
    <cellStyle name="Normal 10 2 10 2 2 2 10" xfId="3626" xr:uid="{00000000-0005-0000-0000-00002A0E0000}"/>
    <cellStyle name="Normal 10 2 10 2 2 2 2" xfId="3627" xr:uid="{00000000-0005-0000-0000-00002B0E0000}"/>
    <cellStyle name="Normal 10 2 10 2 2 2 3" xfId="3628" xr:uid="{00000000-0005-0000-0000-00002C0E0000}"/>
    <cellStyle name="Normal 10 2 10 2 2 2 4" xfId="3629" xr:uid="{00000000-0005-0000-0000-00002D0E0000}"/>
    <cellStyle name="Normal 10 2 10 2 2 2 5" xfId="3630" xr:uid="{00000000-0005-0000-0000-00002E0E0000}"/>
    <cellStyle name="Normal 10 2 10 2 2 2 6" xfId="3631" xr:uid="{00000000-0005-0000-0000-00002F0E0000}"/>
    <cellStyle name="Normal 10 2 10 2 2 2 7" xfId="3632" xr:uid="{00000000-0005-0000-0000-0000300E0000}"/>
    <cellStyle name="Normal 10 2 10 2 2 2 8" xfId="3633" xr:uid="{00000000-0005-0000-0000-0000310E0000}"/>
    <cellStyle name="Normal 10 2 10 2 2 2 9" xfId="3634" xr:uid="{00000000-0005-0000-0000-0000320E0000}"/>
    <cellStyle name="Normal 10 2 10 2 2 3" xfId="3635" xr:uid="{00000000-0005-0000-0000-0000330E0000}"/>
    <cellStyle name="Normal 10 2 10 2 2 3 10" xfId="3636" xr:uid="{00000000-0005-0000-0000-0000340E0000}"/>
    <cellStyle name="Normal 10 2 10 2 2 3 2" xfId="3637" xr:uid="{00000000-0005-0000-0000-0000350E0000}"/>
    <cellStyle name="Normal 10 2 10 2 2 3 3" xfId="3638" xr:uid="{00000000-0005-0000-0000-0000360E0000}"/>
    <cellStyle name="Normal 10 2 10 2 2 3 4" xfId="3639" xr:uid="{00000000-0005-0000-0000-0000370E0000}"/>
    <cellStyle name="Normal 10 2 10 2 2 3 5" xfId="3640" xr:uid="{00000000-0005-0000-0000-0000380E0000}"/>
    <cellStyle name="Normal 10 2 10 2 2 3 6" xfId="3641" xr:uid="{00000000-0005-0000-0000-0000390E0000}"/>
    <cellStyle name="Normal 10 2 10 2 2 3 7" xfId="3642" xr:uid="{00000000-0005-0000-0000-00003A0E0000}"/>
    <cellStyle name="Normal 10 2 10 2 2 3 8" xfId="3643" xr:uid="{00000000-0005-0000-0000-00003B0E0000}"/>
    <cellStyle name="Normal 10 2 10 2 2 3 9" xfId="3644" xr:uid="{00000000-0005-0000-0000-00003C0E0000}"/>
    <cellStyle name="Normal 10 2 10 2 2 4" xfId="3645" xr:uid="{00000000-0005-0000-0000-00003D0E0000}"/>
    <cellStyle name="Normal 10 2 10 2 2 4 10" xfId="3646" xr:uid="{00000000-0005-0000-0000-00003E0E0000}"/>
    <cellStyle name="Normal 10 2 10 2 2 4 2" xfId="3647" xr:uid="{00000000-0005-0000-0000-00003F0E0000}"/>
    <cellStyle name="Normal 10 2 10 2 2 4 3" xfId="3648" xr:uid="{00000000-0005-0000-0000-0000400E0000}"/>
    <cellStyle name="Normal 10 2 10 2 2 4 4" xfId="3649" xr:uid="{00000000-0005-0000-0000-0000410E0000}"/>
    <cellStyle name="Normal 10 2 10 2 2 4 5" xfId="3650" xr:uid="{00000000-0005-0000-0000-0000420E0000}"/>
    <cellStyle name="Normal 10 2 10 2 2 4 6" xfId="3651" xr:uid="{00000000-0005-0000-0000-0000430E0000}"/>
    <cellStyle name="Normal 10 2 10 2 2 4 7" xfId="3652" xr:uid="{00000000-0005-0000-0000-0000440E0000}"/>
    <cellStyle name="Normal 10 2 10 2 2 4 8" xfId="3653" xr:uid="{00000000-0005-0000-0000-0000450E0000}"/>
    <cellStyle name="Normal 10 2 10 2 2 4 9" xfId="3654" xr:uid="{00000000-0005-0000-0000-0000460E0000}"/>
    <cellStyle name="Normal 10 2 10 2 2 5" xfId="3655" xr:uid="{00000000-0005-0000-0000-0000470E0000}"/>
    <cellStyle name="Normal 10 2 10 2 2 5 10" xfId="3656" xr:uid="{00000000-0005-0000-0000-0000480E0000}"/>
    <cellStyle name="Normal 10 2 10 2 2 5 2" xfId="3657" xr:uid="{00000000-0005-0000-0000-0000490E0000}"/>
    <cellStyle name="Normal 10 2 10 2 2 5 3" xfId="3658" xr:uid="{00000000-0005-0000-0000-00004A0E0000}"/>
    <cellStyle name="Normal 10 2 10 2 2 5 4" xfId="3659" xr:uid="{00000000-0005-0000-0000-00004B0E0000}"/>
    <cellStyle name="Normal 10 2 10 2 2 5 5" xfId="3660" xr:uid="{00000000-0005-0000-0000-00004C0E0000}"/>
    <cellStyle name="Normal 10 2 10 2 2 5 6" xfId="3661" xr:uid="{00000000-0005-0000-0000-00004D0E0000}"/>
    <cellStyle name="Normal 10 2 10 2 2 5 7" xfId="3662" xr:uid="{00000000-0005-0000-0000-00004E0E0000}"/>
    <cellStyle name="Normal 10 2 10 2 2 5 8" xfId="3663" xr:uid="{00000000-0005-0000-0000-00004F0E0000}"/>
    <cellStyle name="Normal 10 2 10 2 2 5 9" xfId="3664" xr:uid="{00000000-0005-0000-0000-0000500E0000}"/>
    <cellStyle name="Normal 10 2 10 2 2 6" xfId="3665" xr:uid="{00000000-0005-0000-0000-0000510E0000}"/>
    <cellStyle name="Normal 10 2 10 2 2 7" xfId="3666" xr:uid="{00000000-0005-0000-0000-0000520E0000}"/>
    <cellStyle name="Normal 10 2 10 2 2 8" xfId="3667" xr:uid="{00000000-0005-0000-0000-0000530E0000}"/>
    <cellStyle name="Normal 10 2 10 2 2 9" xfId="3668" xr:uid="{00000000-0005-0000-0000-0000540E0000}"/>
    <cellStyle name="Normal 10 2 10 2 20" xfId="3669" xr:uid="{00000000-0005-0000-0000-0000550E0000}"/>
    <cellStyle name="Normal 10 2 10 2 20 10" xfId="3670" xr:uid="{00000000-0005-0000-0000-0000560E0000}"/>
    <cellStyle name="Normal 10 2 10 2 20 11" xfId="3671" xr:uid="{00000000-0005-0000-0000-0000570E0000}"/>
    <cellStyle name="Normal 10 2 10 2 20 12" xfId="3672" xr:uid="{00000000-0005-0000-0000-0000580E0000}"/>
    <cellStyle name="Normal 10 2 10 2 20 13" xfId="3673" xr:uid="{00000000-0005-0000-0000-0000590E0000}"/>
    <cellStyle name="Normal 10 2 10 2 20 14" xfId="3674" xr:uid="{00000000-0005-0000-0000-00005A0E0000}"/>
    <cellStyle name="Normal 10 2 10 2 20 2" xfId="3675" xr:uid="{00000000-0005-0000-0000-00005B0E0000}"/>
    <cellStyle name="Normal 10 2 10 2 20 2 10" xfId="3676" xr:uid="{00000000-0005-0000-0000-00005C0E0000}"/>
    <cellStyle name="Normal 10 2 10 2 20 2 2" xfId="3677" xr:uid="{00000000-0005-0000-0000-00005D0E0000}"/>
    <cellStyle name="Normal 10 2 10 2 20 2 3" xfId="3678" xr:uid="{00000000-0005-0000-0000-00005E0E0000}"/>
    <cellStyle name="Normal 10 2 10 2 20 2 4" xfId="3679" xr:uid="{00000000-0005-0000-0000-00005F0E0000}"/>
    <cellStyle name="Normal 10 2 10 2 20 2 5" xfId="3680" xr:uid="{00000000-0005-0000-0000-0000600E0000}"/>
    <cellStyle name="Normal 10 2 10 2 20 2 6" xfId="3681" xr:uid="{00000000-0005-0000-0000-0000610E0000}"/>
    <cellStyle name="Normal 10 2 10 2 20 2 7" xfId="3682" xr:uid="{00000000-0005-0000-0000-0000620E0000}"/>
    <cellStyle name="Normal 10 2 10 2 20 2 8" xfId="3683" xr:uid="{00000000-0005-0000-0000-0000630E0000}"/>
    <cellStyle name="Normal 10 2 10 2 20 2 9" xfId="3684" xr:uid="{00000000-0005-0000-0000-0000640E0000}"/>
    <cellStyle name="Normal 10 2 10 2 20 3" xfId="3685" xr:uid="{00000000-0005-0000-0000-0000650E0000}"/>
    <cellStyle name="Normal 10 2 10 2 20 3 10" xfId="3686" xr:uid="{00000000-0005-0000-0000-0000660E0000}"/>
    <cellStyle name="Normal 10 2 10 2 20 3 2" xfId="3687" xr:uid="{00000000-0005-0000-0000-0000670E0000}"/>
    <cellStyle name="Normal 10 2 10 2 20 3 3" xfId="3688" xr:uid="{00000000-0005-0000-0000-0000680E0000}"/>
    <cellStyle name="Normal 10 2 10 2 20 3 4" xfId="3689" xr:uid="{00000000-0005-0000-0000-0000690E0000}"/>
    <cellStyle name="Normal 10 2 10 2 20 3 5" xfId="3690" xr:uid="{00000000-0005-0000-0000-00006A0E0000}"/>
    <cellStyle name="Normal 10 2 10 2 20 3 6" xfId="3691" xr:uid="{00000000-0005-0000-0000-00006B0E0000}"/>
    <cellStyle name="Normal 10 2 10 2 20 3 7" xfId="3692" xr:uid="{00000000-0005-0000-0000-00006C0E0000}"/>
    <cellStyle name="Normal 10 2 10 2 20 3 8" xfId="3693" xr:uid="{00000000-0005-0000-0000-00006D0E0000}"/>
    <cellStyle name="Normal 10 2 10 2 20 3 9" xfId="3694" xr:uid="{00000000-0005-0000-0000-00006E0E0000}"/>
    <cellStyle name="Normal 10 2 10 2 20 4" xfId="3695" xr:uid="{00000000-0005-0000-0000-00006F0E0000}"/>
    <cellStyle name="Normal 10 2 10 2 20 4 10" xfId="3696" xr:uid="{00000000-0005-0000-0000-0000700E0000}"/>
    <cellStyle name="Normal 10 2 10 2 20 4 2" xfId="3697" xr:uid="{00000000-0005-0000-0000-0000710E0000}"/>
    <cellStyle name="Normal 10 2 10 2 20 4 3" xfId="3698" xr:uid="{00000000-0005-0000-0000-0000720E0000}"/>
    <cellStyle name="Normal 10 2 10 2 20 4 4" xfId="3699" xr:uid="{00000000-0005-0000-0000-0000730E0000}"/>
    <cellStyle name="Normal 10 2 10 2 20 4 5" xfId="3700" xr:uid="{00000000-0005-0000-0000-0000740E0000}"/>
    <cellStyle name="Normal 10 2 10 2 20 4 6" xfId="3701" xr:uid="{00000000-0005-0000-0000-0000750E0000}"/>
    <cellStyle name="Normal 10 2 10 2 20 4 7" xfId="3702" xr:uid="{00000000-0005-0000-0000-0000760E0000}"/>
    <cellStyle name="Normal 10 2 10 2 20 4 8" xfId="3703" xr:uid="{00000000-0005-0000-0000-0000770E0000}"/>
    <cellStyle name="Normal 10 2 10 2 20 4 9" xfId="3704" xr:uid="{00000000-0005-0000-0000-0000780E0000}"/>
    <cellStyle name="Normal 10 2 10 2 20 5" xfId="3705" xr:uid="{00000000-0005-0000-0000-0000790E0000}"/>
    <cellStyle name="Normal 10 2 10 2 20 5 10" xfId="3706" xr:uid="{00000000-0005-0000-0000-00007A0E0000}"/>
    <cellStyle name="Normal 10 2 10 2 20 5 2" xfId="3707" xr:uid="{00000000-0005-0000-0000-00007B0E0000}"/>
    <cellStyle name="Normal 10 2 10 2 20 5 3" xfId="3708" xr:uid="{00000000-0005-0000-0000-00007C0E0000}"/>
    <cellStyle name="Normal 10 2 10 2 20 5 4" xfId="3709" xr:uid="{00000000-0005-0000-0000-00007D0E0000}"/>
    <cellStyle name="Normal 10 2 10 2 20 5 5" xfId="3710" xr:uid="{00000000-0005-0000-0000-00007E0E0000}"/>
    <cellStyle name="Normal 10 2 10 2 20 5 6" xfId="3711" xr:uid="{00000000-0005-0000-0000-00007F0E0000}"/>
    <cellStyle name="Normal 10 2 10 2 20 5 7" xfId="3712" xr:uid="{00000000-0005-0000-0000-0000800E0000}"/>
    <cellStyle name="Normal 10 2 10 2 20 5 8" xfId="3713" xr:uid="{00000000-0005-0000-0000-0000810E0000}"/>
    <cellStyle name="Normal 10 2 10 2 20 5 9" xfId="3714" xr:uid="{00000000-0005-0000-0000-0000820E0000}"/>
    <cellStyle name="Normal 10 2 10 2 20 6" xfId="3715" xr:uid="{00000000-0005-0000-0000-0000830E0000}"/>
    <cellStyle name="Normal 10 2 10 2 20 7" xfId="3716" xr:uid="{00000000-0005-0000-0000-0000840E0000}"/>
    <cellStyle name="Normal 10 2 10 2 20 8" xfId="3717" xr:uid="{00000000-0005-0000-0000-0000850E0000}"/>
    <cellStyle name="Normal 10 2 10 2 20 9" xfId="3718" xr:uid="{00000000-0005-0000-0000-0000860E0000}"/>
    <cellStyle name="Normal 10 2 10 2 21" xfId="3719" xr:uid="{00000000-0005-0000-0000-0000870E0000}"/>
    <cellStyle name="Normal 10 2 10 2 21 10" xfId="3720" xr:uid="{00000000-0005-0000-0000-0000880E0000}"/>
    <cellStyle name="Normal 10 2 10 2 21 11" xfId="3721" xr:uid="{00000000-0005-0000-0000-0000890E0000}"/>
    <cellStyle name="Normal 10 2 10 2 21 12" xfId="3722" xr:uid="{00000000-0005-0000-0000-00008A0E0000}"/>
    <cellStyle name="Normal 10 2 10 2 21 13" xfId="3723" xr:uid="{00000000-0005-0000-0000-00008B0E0000}"/>
    <cellStyle name="Normal 10 2 10 2 21 14" xfId="3724" xr:uid="{00000000-0005-0000-0000-00008C0E0000}"/>
    <cellStyle name="Normal 10 2 10 2 21 2" xfId="3725" xr:uid="{00000000-0005-0000-0000-00008D0E0000}"/>
    <cellStyle name="Normal 10 2 10 2 21 2 10" xfId="3726" xr:uid="{00000000-0005-0000-0000-00008E0E0000}"/>
    <cellStyle name="Normal 10 2 10 2 21 2 2" xfId="3727" xr:uid="{00000000-0005-0000-0000-00008F0E0000}"/>
    <cellStyle name="Normal 10 2 10 2 21 2 3" xfId="3728" xr:uid="{00000000-0005-0000-0000-0000900E0000}"/>
    <cellStyle name="Normal 10 2 10 2 21 2 4" xfId="3729" xr:uid="{00000000-0005-0000-0000-0000910E0000}"/>
    <cellStyle name="Normal 10 2 10 2 21 2 5" xfId="3730" xr:uid="{00000000-0005-0000-0000-0000920E0000}"/>
    <cellStyle name="Normal 10 2 10 2 21 2 6" xfId="3731" xr:uid="{00000000-0005-0000-0000-0000930E0000}"/>
    <cellStyle name="Normal 10 2 10 2 21 2 7" xfId="3732" xr:uid="{00000000-0005-0000-0000-0000940E0000}"/>
    <cellStyle name="Normal 10 2 10 2 21 2 8" xfId="3733" xr:uid="{00000000-0005-0000-0000-0000950E0000}"/>
    <cellStyle name="Normal 10 2 10 2 21 2 9" xfId="3734" xr:uid="{00000000-0005-0000-0000-0000960E0000}"/>
    <cellStyle name="Normal 10 2 10 2 21 3" xfId="3735" xr:uid="{00000000-0005-0000-0000-0000970E0000}"/>
    <cellStyle name="Normal 10 2 10 2 21 3 10" xfId="3736" xr:uid="{00000000-0005-0000-0000-0000980E0000}"/>
    <cellStyle name="Normal 10 2 10 2 21 3 2" xfId="3737" xr:uid="{00000000-0005-0000-0000-0000990E0000}"/>
    <cellStyle name="Normal 10 2 10 2 21 3 3" xfId="3738" xr:uid="{00000000-0005-0000-0000-00009A0E0000}"/>
    <cellStyle name="Normal 10 2 10 2 21 3 4" xfId="3739" xr:uid="{00000000-0005-0000-0000-00009B0E0000}"/>
    <cellStyle name="Normal 10 2 10 2 21 3 5" xfId="3740" xr:uid="{00000000-0005-0000-0000-00009C0E0000}"/>
    <cellStyle name="Normal 10 2 10 2 21 3 6" xfId="3741" xr:uid="{00000000-0005-0000-0000-00009D0E0000}"/>
    <cellStyle name="Normal 10 2 10 2 21 3 7" xfId="3742" xr:uid="{00000000-0005-0000-0000-00009E0E0000}"/>
    <cellStyle name="Normal 10 2 10 2 21 3 8" xfId="3743" xr:uid="{00000000-0005-0000-0000-00009F0E0000}"/>
    <cellStyle name="Normal 10 2 10 2 21 3 9" xfId="3744" xr:uid="{00000000-0005-0000-0000-0000A00E0000}"/>
    <cellStyle name="Normal 10 2 10 2 21 4" xfId="3745" xr:uid="{00000000-0005-0000-0000-0000A10E0000}"/>
    <cellStyle name="Normal 10 2 10 2 21 4 10" xfId="3746" xr:uid="{00000000-0005-0000-0000-0000A20E0000}"/>
    <cellStyle name="Normal 10 2 10 2 21 4 2" xfId="3747" xr:uid="{00000000-0005-0000-0000-0000A30E0000}"/>
    <cellStyle name="Normal 10 2 10 2 21 4 3" xfId="3748" xr:uid="{00000000-0005-0000-0000-0000A40E0000}"/>
    <cellStyle name="Normal 10 2 10 2 21 4 4" xfId="3749" xr:uid="{00000000-0005-0000-0000-0000A50E0000}"/>
    <cellStyle name="Normal 10 2 10 2 21 4 5" xfId="3750" xr:uid="{00000000-0005-0000-0000-0000A60E0000}"/>
    <cellStyle name="Normal 10 2 10 2 21 4 6" xfId="3751" xr:uid="{00000000-0005-0000-0000-0000A70E0000}"/>
    <cellStyle name="Normal 10 2 10 2 21 4 7" xfId="3752" xr:uid="{00000000-0005-0000-0000-0000A80E0000}"/>
    <cellStyle name="Normal 10 2 10 2 21 4 8" xfId="3753" xr:uid="{00000000-0005-0000-0000-0000A90E0000}"/>
    <cellStyle name="Normal 10 2 10 2 21 4 9" xfId="3754" xr:uid="{00000000-0005-0000-0000-0000AA0E0000}"/>
    <cellStyle name="Normal 10 2 10 2 21 5" xfId="3755" xr:uid="{00000000-0005-0000-0000-0000AB0E0000}"/>
    <cellStyle name="Normal 10 2 10 2 21 5 10" xfId="3756" xr:uid="{00000000-0005-0000-0000-0000AC0E0000}"/>
    <cellStyle name="Normal 10 2 10 2 21 5 2" xfId="3757" xr:uid="{00000000-0005-0000-0000-0000AD0E0000}"/>
    <cellStyle name="Normal 10 2 10 2 21 5 3" xfId="3758" xr:uid="{00000000-0005-0000-0000-0000AE0E0000}"/>
    <cellStyle name="Normal 10 2 10 2 21 5 4" xfId="3759" xr:uid="{00000000-0005-0000-0000-0000AF0E0000}"/>
    <cellStyle name="Normal 10 2 10 2 21 5 5" xfId="3760" xr:uid="{00000000-0005-0000-0000-0000B00E0000}"/>
    <cellStyle name="Normal 10 2 10 2 21 5 6" xfId="3761" xr:uid="{00000000-0005-0000-0000-0000B10E0000}"/>
    <cellStyle name="Normal 10 2 10 2 21 5 7" xfId="3762" xr:uid="{00000000-0005-0000-0000-0000B20E0000}"/>
    <cellStyle name="Normal 10 2 10 2 21 5 8" xfId="3763" xr:uid="{00000000-0005-0000-0000-0000B30E0000}"/>
    <cellStyle name="Normal 10 2 10 2 21 5 9" xfId="3764" xr:uid="{00000000-0005-0000-0000-0000B40E0000}"/>
    <cellStyle name="Normal 10 2 10 2 21 6" xfId="3765" xr:uid="{00000000-0005-0000-0000-0000B50E0000}"/>
    <cellStyle name="Normal 10 2 10 2 21 7" xfId="3766" xr:uid="{00000000-0005-0000-0000-0000B60E0000}"/>
    <cellStyle name="Normal 10 2 10 2 21 8" xfId="3767" xr:uid="{00000000-0005-0000-0000-0000B70E0000}"/>
    <cellStyle name="Normal 10 2 10 2 21 9" xfId="3768" xr:uid="{00000000-0005-0000-0000-0000B80E0000}"/>
    <cellStyle name="Normal 10 2 10 2 22" xfId="3769" xr:uid="{00000000-0005-0000-0000-0000B90E0000}"/>
    <cellStyle name="Normal 10 2 10 2 22 10" xfId="3770" xr:uid="{00000000-0005-0000-0000-0000BA0E0000}"/>
    <cellStyle name="Normal 10 2 10 2 22 11" xfId="3771" xr:uid="{00000000-0005-0000-0000-0000BB0E0000}"/>
    <cellStyle name="Normal 10 2 10 2 22 12" xfId="3772" xr:uid="{00000000-0005-0000-0000-0000BC0E0000}"/>
    <cellStyle name="Normal 10 2 10 2 22 13" xfId="3773" xr:uid="{00000000-0005-0000-0000-0000BD0E0000}"/>
    <cellStyle name="Normal 10 2 10 2 22 14" xfId="3774" xr:uid="{00000000-0005-0000-0000-0000BE0E0000}"/>
    <cellStyle name="Normal 10 2 10 2 22 2" xfId="3775" xr:uid="{00000000-0005-0000-0000-0000BF0E0000}"/>
    <cellStyle name="Normal 10 2 10 2 22 2 10" xfId="3776" xr:uid="{00000000-0005-0000-0000-0000C00E0000}"/>
    <cellStyle name="Normal 10 2 10 2 22 2 2" xfId="3777" xr:uid="{00000000-0005-0000-0000-0000C10E0000}"/>
    <cellStyle name="Normal 10 2 10 2 22 2 3" xfId="3778" xr:uid="{00000000-0005-0000-0000-0000C20E0000}"/>
    <cellStyle name="Normal 10 2 10 2 22 2 4" xfId="3779" xr:uid="{00000000-0005-0000-0000-0000C30E0000}"/>
    <cellStyle name="Normal 10 2 10 2 22 2 5" xfId="3780" xr:uid="{00000000-0005-0000-0000-0000C40E0000}"/>
    <cellStyle name="Normal 10 2 10 2 22 2 6" xfId="3781" xr:uid="{00000000-0005-0000-0000-0000C50E0000}"/>
    <cellStyle name="Normal 10 2 10 2 22 2 7" xfId="3782" xr:uid="{00000000-0005-0000-0000-0000C60E0000}"/>
    <cellStyle name="Normal 10 2 10 2 22 2 8" xfId="3783" xr:uid="{00000000-0005-0000-0000-0000C70E0000}"/>
    <cellStyle name="Normal 10 2 10 2 22 2 9" xfId="3784" xr:uid="{00000000-0005-0000-0000-0000C80E0000}"/>
    <cellStyle name="Normal 10 2 10 2 22 3" xfId="3785" xr:uid="{00000000-0005-0000-0000-0000C90E0000}"/>
    <cellStyle name="Normal 10 2 10 2 22 3 10" xfId="3786" xr:uid="{00000000-0005-0000-0000-0000CA0E0000}"/>
    <cellStyle name="Normal 10 2 10 2 22 3 2" xfId="3787" xr:uid="{00000000-0005-0000-0000-0000CB0E0000}"/>
    <cellStyle name="Normal 10 2 10 2 22 3 3" xfId="3788" xr:uid="{00000000-0005-0000-0000-0000CC0E0000}"/>
    <cellStyle name="Normal 10 2 10 2 22 3 4" xfId="3789" xr:uid="{00000000-0005-0000-0000-0000CD0E0000}"/>
    <cellStyle name="Normal 10 2 10 2 22 3 5" xfId="3790" xr:uid="{00000000-0005-0000-0000-0000CE0E0000}"/>
    <cellStyle name="Normal 10 2 10 2 22 3 6" xfId="3791" xr:uid="{00000000-0005-0000-0000-0000CF0E0000}"/>
    <cellStyle name="Normal 10 2 10 2 22 3 7" xfId="3792" xr:uid="{00000000-0005-0000-0000-0000D00E0000}"/>
    <cellStyle name="Normal 10 2 10 2 22 3 8" xfId="3793" xr:uid="{00000000-0005-0000-0000-0000D10E0000}"/>
    <cellStyle name="Normal 10 2 10 2 22 3 9" xfId="3794" xr:uid="{00000000-0005-0000-0000-0000D20E0000}"/>
    <cellStyle name="Normal 10 2 10 2 22 4" xfId="3795" xr:uid="{00000000-0005-0000-0000-0000D30E0000}"/>
    <cellStyle name="Normal 10 2 10 2 22 4 10" xfId="3796" xr:uid="{00000000-0005-0000-0000-0000D40E0000}"/>
    <cellStyle name="Normal 10 2 10 2 22 4 2" xfId="3797" xr:uid="{00000000-0005-0000-0000-0000D50E0000}"/>
    <cellStyle name="Normal 10 2 10 2 22 4 3" xfId="3798" xr:uid="{00000000-0005-0000-0000-0000D60E0000}"/>
    <cellStyle name="Normal 10 2 10 2 22 4 4" xfId="3799" xr:uid="{00000000-0005-0000-0000-0000D70E0000}"/>
    <cellStyle name="Normal 10 2 10 2 22 4 5" xfId="3800" xr:uid="{00000000-0005-0000-0000-0000D80E0000}"/>
    <cellStyle name="Normal 10 2 10 2 22 4 6" xfId="3801" xr:uid="{00000000-0005-0000-0000-0000D90E0000}"/>
    <cellStyle name="Normal 10 2 10 2 22 4 7" xfId="3802" xr:uid="{00000000-0005-0000-0000-0000DA0E0000}"/>
    <cellStyle name="Normal 10 2 10 2 22 4 8" xfId="3803" xr:uid="{00000000-0005-0000-0000-0000DB0E0000}"/>
    <cellStyle name="Normal 10 2 10 2 22 4 9" xfId="3804" xr:uid="{00000000-0005-0000-0000-0000DC0E0000}"/>
    <cellStyle name="Normal 10 2 10 2 22 5" xfId="3805" xr:uid="{00000000-0005-0000-0000-0000DD0E0000}"/>
    <cellStyle name="Normal 10 2 10 2 22 5 10" xfId="3806" xr:uid="{00000000-0005-0000-0000-0000DE0E0000}"/>
    <cellStyle name="Normal 10 2 10 2 22 5 2" xfId="3807" xr:uid="{00000000-0005-0000-0000-0000DF0E0000}"/>
    <cellStyle name="Normal 10 2 10 2 22 5 3" xfId="3808" xr:uid="{00000000-0005-0000-0000-0000E00E0000}"/>
    <cellStyle name="Normal 10 2 10 2 22 5 4" xfId="3809" xr:uid="{00000000-0005-0000-0000-0000E10E0000}"/>
    <cellStyle name="Normal 10 2 10 2 22 5 5" xfId="3810" xr:uid="{00000000-0005-0000-0000-0000E20E0000}"/>
    <cellStyle name="Normal 10 2 10 2 22 5 6" xfId="3811" xr:uid="{00000000-0005-0000-0000-0000E30E0000}"/>
    <cellStyle name="Normal 10 2 10 2 22 5 7" xfId="3812" xr:uid="{00000000-0005-0000-0000-0000E40E0000}"/>
    <cellStyle name="Normal 10 2 10 2 22 5 8" xfId="3813" xr:uid="{00000000-0005-0000-0000-0000E50E0000}"/>
    <cellStyle name="Normal 10 2 10 2 22 5 9" xfId="3814" xr:uid="{00000000-0005-0000-0000-0000E60E0000}"/>
    <cellStyle name="Normal 10 2 10 2 22 6" xfId="3815" xr:uid="{00000000-0005-0000-0000-0000E70E0000}"/>
    <cellStyle name="Normal 10 2 10 2 22 7" xfId="3816" xr:uid="{00000000-0005-0000-0000-0000E80E0000}"/>
    <cellStyle name="Normal 10 2 10 2 22 8" xfId="3817" xr:uid="{00000000-0005-0000-0000-0000E90E0000}"/>
    <cellStyle name="Normal 10 2 10 2 22 9" xfId="3818" xr:uid="{00000000-0005-0000-0000-0000EA0E0000}"/>
    <cellStyle name="Normal 10 2 10 2 23" xfId="3819" xr:uid="{00000000-0005-0000-0000-0000EB0E0000}"/>
    <cellStyle name="Normal 10 2 10 2 23 10" xfId="3820" xr:uid="{00000000-0005-0000-0000-0000EC0E0000}"/>
    <cellStyle name="Normal 10 2 10 2 23 11" xfId="3821" xr:uid="{00000000-0005-0000-0000-0000ED0E0000}"/>
    <cellStyle name="Normal 10 2 10 2 23 12" xfId="3822" xr:uid="{00000000-0005-0000-0000-0000EE0E0000}"/>
    <cellStyle name="Normal 10 2 10 2 23 13" xfId="3823" xr:uid="{00000000-0005-0000-0000-0000EF0E0000}"/>
    <cellStyle name="Normal 10 2 10 2 23 14" xfId="3824" xr:uid="{00000000-0005-0000-0000-0000F00E0000}"/>
    <cellStyle name="Normal 10 2 10 2 23 2" xfId="3825" xr:uid="{00000000-0005-0000-0000-0000F10E0000}"/>
    <cellStyle name="Normal 10 2 10 2 23 2 10" xfId="3826" xr:uid="{00000000-0005-0000-0000-0000F20E0000}"/>
    <cellStyle name="Normal 10 2 10 2 23 2 2" xfId="3827" xr:uid="{00000000-0005-0000-0000-0000F30E0000}"/>
    <cellStyle name="Normal 10 2 10 2 23 2 3" xfId="3828" xr:uid="{00000000-0005-0000-0000-0000F40E0000}"/>
    <cellStyle name="Normal 10 2 10 2 23 2 4" xfId="3829" xr:uid="{00000000-0005-0000-0000-0000F50E0000}"/>
    <cellStyle name="Normal 10 2 10 2 23 2 5" xfId="3830" xr:uid="{00000000-0005-0000-0000-0000F60E0000}"/>
    <cellStyle name="Normal 10 2 10 2 23 2 6" xfId="3831" xr:uid="{00000000-0005-0000-0000-0000F70E0000}"/>
    <cellStyle name="Normal 10 2 10 2 23 2 7" xfId="3832" xr:uid="{00000000-0005-0000-0000-0000F80E0000}"/>
    <cellStyle name="Normal 10 2 10 2 23 2 8" xfId="3833" xr:uid="{00000000-0005-0000-0000-0000F90E0000}"/>
    <cellStyle name="Normal 10 2 10 2 23 2 9" xfId="3834" xr:uid="{00000000-0005-0000-0000-0000FA0E0000}"/>
    <cellStyle name="Normal 10 2 10 2 23 3" xfId="3835" xr:uid="{00000000-0005-0000-0000-0000FB0E0000}"/>
    <cellStyle name="Normal 10 2 10 2 23 3 10" xfId="3836" xr:uid="{00000000-0005-0000-0000-0000FC0E0000}"/>
    <cellStyle name="Normal 10 2 10 2 23 3 2" xfId="3837" xr:uid="{00000000-0005-0000-0000-0000FD0E0000}"/>
    <cellStyle name="Normal 10 2 10 2 23 3 3" xfId="3838" xr:uid="{00000000-0005-0000-0000-0000FE0E0000}"/>
    <cellStyle name="Normal 10 2 10 2 23 3 4" xfId="3839" xr:uid="{00000000-0005-0000-0000-0000FF0E0000}"/>
    <cellStyle name="Normal 10 2 10 2 23 3 5" xfId="3840" xr:uid="{00000000-0005-0000-0000-0000000F0000}"/>
    <cellStyle name="Normal 10 2 10 2 23 3 6" xfId="3841" xr:uid="{00000000-0005-0000-0000-0000010F0000}"/>
    <cellStyle name="Normal 10 2 10 2 23 3 7" xfId="3842" xr:uid="{00000000-0005-0000-0000-0000020F0000}"/>
    <cellStyle name="Normal 10 2 10 2 23 3 8" xfId="3843" xr:uid="{00000000-0005-0000-0000-0000030F0000}"/>
    <cellStyle name="Normal 10 2 10 2 23 3 9" xfId="3844" xr:uid="{00000000-0005-0000-0000-0000040F0000}"/>
    <cellStyle name="Normal 10 2 10 2 23 4" xfId="3845" xr:uid="{00000000-0005-0000-0000-0000050F0000}"/>
    <cellStyle name="Normal 10 2 10 2 23 4 10" xfId="3846" xr:uid="{00000000-0005-0000-0000-0000060F0000}"/>
    <cellStyle name="Normal 10 2 10 2 23 4 2" xfId="3847" xr:uid="{00000000-0005-0000-0000-0000070F0000}"/>
    <cellStyle name="Normal 10 2 10 2 23 4 3" xfId="3848" xr:uid="{00000000-0005-0000-0000-0000080F0000}"/>
    <cellStyle name="Normal 10 2 10 2 23 4 4" xfId="3849" xr:uid="{00000000-0005-0000-0000-0000090F0000}"/>
    <cellStyle name="Normal 10 2 10 2 23 4 5" xfId="3850" xr:uid="{00000000-0005-0000-0000-00000A0F0000}"/>
    <cellStyle name="Normal 10 2 10 2 23 4 6" xfId="3851" xr:uid="{00000000-0005-0000-0000-00000B0F0000}"/>
    <cellStyle name="Normal 10 2 10 2 23 4 7" xfId="3852" xr:uid="{00000000-0005-0000-0000-00000C0F0000}"/>
    <cellStyle name="Normal 10 2 10 2 23 4 8" xfId="3853" xr:uid="{00000000-0005-0000-0000-00000D0F0000}"/>
    <cellStyle name="Normal 10 2 10 2 23 4 9" xfId="3854" xr:uid="{00000000-0005-0000-0000-00000E0F0000}"/>
    <cellStyle name="Normal 10 2 10 2 23 5" xfId="3855" xr:uid="{00000000-0005-0000-0000-00000F0F0000}"/>
    <cellStyle name="Normal 10 2 10 2 23 5 10" xfId="3856" xr:uid="{00000000-0005-0000-0000-0000100F0000}"/>
    <cellStyle name="Normal 10 2 10 2 23 5 2" xfId="3857" xr:uid="{00000000-0005-0000-0000-0000110F0000}"/>
    <cellStyle name="Normal 10 2 10 2 23 5 3" xfId="3858" xr:uid="{00000000-0005-0000-0000-0000120F0000}"/>
    <cellStyle name="Normal 10 2 10 2 23 5 4" xfId="3859" xr:uid="{00000000-0005-0000-0000-0000130F0000}"/>
    <cellStyle name="Normal 10 2 10 2 23 5 5" xfId="3860" xr:uid="{00000000-0005-0000-0000-0000140F0000}"/>
    <cellStyle name="Normal 10 2 10 2 23 5 6" xfId="3861" xr:uid="{00000000-0005-0000-0000-0000150F0000}"/>
    <cellStyle name="Normal 10 2 10 2 23 5 7" xfId="3862" xr:uid="{00000000-0005-0000-0000-0000160F0000}"/>
    <cellStyle name="Normal 10 2 10 2 23 5 8" xfId="3863" xr:uid="{00000000-0005-0000-0000-0000170F0000}"/>
    <cellStyle name="Normal 10 2 10 2 23 5 9" xfId="3864" xr:uid="{00000000-0005-0000-0000-0000180F0000}"/>
    <cellStyle name="Normal 10 2 10 2 23 6" xfId="3865" xr:uid="{00000000-0005-0000-0000-0000190F0000}"/>
    <cellStyle name="Normal 10 2 10 2 23 7" xfId="3866" xr:uid="{00000000-0005-0000-0000-00001A0F0000}"/>
    <cellStyle name="Normal 10 2 10 2 23 8" xfId="3867" xr:uid="{00000000-0005-0000-0000-00001B0F0000}"/>
    <cellStyle name="Normal 10 2 10 2 23 9" xfId="3868" xr:uid="{00000000-0005-0000-0000-00001C0F0000}"/>
    <cellStyle name="Normal 10 2 10 2 24" xfId="3869" xr:uid="{00000000-0005-0000-0000-00001D0F0000}"/>
    <cellStyle name="Normal 10 2 10 2 24 10" xfId="3870" xr:uid="{00000000-0005-0000-0000-00001E0F0000}"/>
    <cellStyle name="Normal 10 2 10 2 24 11" xfId="3871" xr:uid="{00000000-0005-0000-0000-00001F0F0000}"/>
    <cellStyle name="Normal 10 2 10 2 24 12" xfId="3872" xr:uid="{00000000-0005-0000-0000-0000200F0000}"/>
    <cellStyle name="Normal 10 2 10 2 24 13" xfId="3873" xr:uid="{00000000-0005-0000-0000-0000210F0000}"/>
    <cellStyle name="Normal 10 2 10 2 24 14" xfId="3874" xr:uid="{00000000-0005-0000-0000-0000220F0000}"/>
    <cellStyle name="Normal 10 2 10 2 24 2" xfId="3875" xr:uid="{00000000-0005-0000-0000-0000230F0000}"/>
    <cellStyle name="Normal 10 2 10 2 24 2 10" xfId="3876" xr:uid="{00000000-0005-0000-0000-0000240F0000}"/>
    <cellStyle name="Normal 10 2 10 2 24 2 2" xfId="3877" xr:uid="{00000000-0005-0000-0000-0000250F0000}"/>
    <cellStyle name="Normal 10 2 10 2 24 2 3" xfId="3878" xr:uid="{00000000-0005-0000-0000-0000260F0000}"/>
    <cellStyle name="Normal 10 2 10 2 24 2 4" xfId="3879" xr:uid="{00000000-0005-0000-0000-0000270F0000}"/>
    <cellStyle name="Normal 10 2 10 2 24 2 5" xfId="3880" xr:uid="{00000000-0005-0000-0000-0000280F0000}"/>
    <cellStyle name="Normal 10 2 10 2 24 2 6" xfId="3881" xr:uid="{00000000-0005-0000-0000-0000290F0000}"/>
    <cellStyle name="Normal 10 2 10 2 24 2 7" xfId="3882" xr:uid="{00000000-0005-0000-0000-00002A0F0000}"/>
    <cellStyle name="Normal 10 2 10 2 24 2 8" xfId="3883" xr:uid="{00000000-0005-0000-0000-00002B0F0000}"/>
    <cellStyle name="Normal 10 2 10 2 24 2 9" xfId="3884" xr:uid="{00000000-0005-0000-0000-00002C0F0000}"/>
    <cellStyle name="Normal 10 2 10 2 24 3" xfId="3885" xr:uid="{00000000-0005-0000-0000-00002D0F0000}"/>
    <cellStyle name="Normal 10 2 10 2 24 3 10" xfId="3886" xr:uid="{00000000-0005-0000-0000-00002E0F0000}"/>
    <cellStyle name="Normal 10 2 10 2 24 3 2" xfId="3887" xr:uid="{00000000-0005-0000-0000-00002F0F0000}"/>
    <cellStyle name="Normal 10 2 10 2 24 3 3" xfId="3888" xr:uid="{00000000-0005-0000-0000-0000300F0000}"/>
    <cellStyle name="Normal 10 2 10 2 24 3 4" xfId="3889" xr:uid="{00000000-0005-0000-0000-0000310F0000}"/>
    <cellStyle name="Normal 10 2 10 2 24 3 5" xfId="3890" xr:uid="{00000000-0005-0000-0000-0000320F0000}"/>
    <cellStyle name="Normal 10 2 10 2 24 3 6" xfId="3891" xr:uid="{00000000-0005-0000-0000-0000330F0000}"/>
    <cellStyle name="Normal 10 2 10 2 24 3 7" xfId="3892" xr:uid="{00000000-0005-0000-0000-0000340F0000}"/>
    <cellStyle name="Normal 10 2 10 2 24 3 8" xfId="3893" xr:uid="{00000000-0005-0000-0000-0000350F0000}"/>
    <cellStyle name="Normal 10 2 10 2 24 3 9" xfId="3894" xr:uid="{00000000-0005-0000-0000-0000360F0000}"/>
    <cellStyle name="Normal 10 2 10 2 24 4" xfId="3895" xr:uid="{00000000-0005-0000-0000-0000370F0000}"/>
    <cellStyle name="Normal 10 2 10 2 24 4 10" xfId="3896" xr:uid="{00000000-0005-0000-0000-0000380F0000}"/>
    <cellStyle name="Normal 10 2 10 2 24 4 2" xfId="3897" xr:uid="{00000000-0005-0000-0000-0000390F0000}"/>
    <cellStyle name="Normal 10 2 10 2 24 4 3" xfId="3898" xr:uid="{00000000-0005-0000-0000-00003A0F0000}"/>
    <cellStyle name="Normal 10 2 10 2 24 4 4" xfId="3899" xr:uid="{00000000-0005-0000-0000-00003B0F0000}"/>
    <cellStyle name="Normal 10 2 10 2 24 4 5" xfId="3900" xr:uid="{00000000-0005-0000-0000-00003C0F0000}"/>
    <cellStyle name="Normal 10 2 10 2 24 4 6" xfId="3901" xr:uid="{00000000-0005-0000-0000-00003D0F0000}"/>
    <cellStyle name="Normal 10 2 10 2 24 4 7" xfId="3902" xr:uid="{00000000-0005-0000-0000-00003E0F0000}"/>
    <cellStyle name="Normal 10 2 10 2 24 4 8" xfId="3903" xr:uid="{00000000-0005-0000-0000-00003F0F0000}"/>
    <cellStyle name="Normal 10 2 10 2 24 4 9" xfId="3904" xr:uid="{00000000-0005-0000-0000-0000400F0000}"/>
    <cellStyle name="Normal 10 2 10 2 24 5" xfId="3905" xr:uid="{00000000-0005-0000-0000-0000410F0000}"/>
    <cellStyle name="Normal 10 2 10 2 24 5 10" xfId="3906" xr:uid="{00000000-0005-0000-0000-0000420F0000}"/>
    <cellStyle name="Normal 10 2 10 2 24 5 2" xfId="3907" xr:uid="{00000000-0005-0000-0000-0000430F0000}"/>
    <cellStyle name="Normal 10 2 10 2 24 5 3" xfId="3908" xr:uid="{00000000-0005-0000-0000-0000440F0000}"/>
    <cellStyle name="Normal 10 2 10 2 24 5 4" xfId="3909" xr:uid="{00000000-0005-0000-0000-0000450F0000}"/>
    <cellStyle name="Normal 10 2 10 2 24 5 5" xfId="3910" xr:uid="{00000000-0005-0000-0000-0000460F0000}"/>
    <cellStyle name="Normal 10 2 10 2 24 5 6" xfId="3911" xr:uid="{00000000-0005-0000-0000-0000470F0000}"/>
    <cellStyle name="Normal 10 2 10 2 24 5 7" xfId="3912" xr:uid="{00000000-0005-0000-0000-0000480F0000}"/>
    <cellStyle name="Normal 10 2 10 2 24 5 8" xfId="3913" xr:uid="{00000000-0005-0000-0000-0000490F0000}"/>
    <cellStyle name="Normal 10 2 10 2 24 5 9" xfId="3914" xr:uid="{00000000-0005-0000-0000-00004A0F0000}"/>
    <cellStyle name="Normal 10 2 10 2 24 6" xfId="3915" xr:uid="{00000000-0005-0000-0000-00004B0F0000}"/>
    <cellStyle name="Normal 10 2 10 2 24 7" xfId="3916" xr:uid="{00000000-0005-0000-0000-00004C0F0000}"/>
    <cellStyle name="Normal 10 2 10 2 24 8" xfId="3917" xr:uid="{00000000-0005-0000-0000-00004D0F0000}"/>
    <cellStyle name="Normal 10 2 10 2 24 9" xfId="3918" xr:uid="{00000000-0005-0000-0000-00004E0F0000}"/>
    <cellStyle name="Normal 10 2 10 2 25" xfId="3919" xr:uid="{00000000-0005-0000-0000-00004F0F0000}"/>
    <cellStyle name="Normal 10 2 10 2 25 10" xfId="3920" xr:uid="{00000000-0005-0000-0000-0000500F0000}"/>
    <cellStyle name="Normal 10 2 10 2 25 11" xfId="3921" xr:uid="{00000000-0005-0000-0000-0000510F0000}"/>
    <cellStyle name="Normal 10 2 10 2 25 12" xfId="3922" xr:uid="{00000000-0005-0000-0000-0000520F0000}"/>
    <cellStyle name="Normal 10 2 10 2 25 13" xfId="3923" xr:uid="{00000000-0005-0000-0000-0000530F0000}"/>
    <cellStyle name="Normal 10 2 10 2 25 14" xfId="3924" xr:uid="{00000000-0005-0000-0000-0000540F0000}"/>
    <cellStyle name="Normal 10 2 10 2 25 2" xfId="3925" xr:uid="{00000000-0005-0000-0000-0000550F0000}"/>
    <cellStyle name="Normal 10 2 10 2 25 2 10" xfId="3926" xr:uid="{00000000-0005-0000-0000-0000560F0000}"/>
    <cellStyle name="Normal 10 2 10 2 25 2 2" xfId="3927" xr:uid="{00000000-0005-0000-0000-0000570F0000}"/>
    <cellStyle name="Normal 10 2 10 2 25 2 3" xfId="3928" xr:uid="{00000000-0005-0000-0000-0000580F0000}"/>
    <cellStyle name="Normal 10 2 10 2 25 2 4" xfId="3929" xr:uid="{00000000-0005-0000-0000-0000590F0000}"/>
    <cellStyle name="Normal 10 2 10 2 25 2 5" xfId="3930" xr:uid="{00000000-0005-0000-0000-00005A0F0000}"/>
    <cellStyle name="Normal 10 2 10 2 25 2 6" xfId="3931" xr:uid="{00000000-0005-0000-0000-00005B0F0000}"/>
    <cellStyle name="Normal 10 2 10 2 25 2 7" xfId="3932" xr:uid="{00000000-0005-0000-0000-00005C0F0000}"/>
    <cellStyle name="Normal 10 2 10 2 25 2 8" xfId="3933" xr:uid="{00000000-0005-0000-0000-00005D0F0000}"/>
    <cellStyle name="Normal 10 2 10 2 25 2 9" xfId="3934" xr:uid="{00000000-0005-0000-0000-00005E0F0000}"/>
    <cellStyle name="Normal 10 2 10 2 25 3" xfId="3935" xr:uid="{00000000-0005-0000-0000-00005F0F0000}"/>
    <cellStyle name="Normal 10 2 10 2 25 3 10" xfId="3936" xr:uid="{00000000-0005-0000-0000-0000600F0000}"/>
    <cellStyle name="Normal 10 2 10 2 25 3 2" xfId="3937" xr:uid="{00000000-0005-0000-0000-0000610F0000}"/>
    <cellStyle name="Normal 10 2 10 2 25 3 3" xfId="3938" xr:uid="{00000000-0005-0000-0000-0000620F0000}"/>
    <cellStyle name="Normal 10 2 10 2 25 3 4" xfId="3939" xr:uid="{00000000-0005-0000-0000-0000630F0000}"/>
    <cellStyle name="Normal 10 2 10 2 25 3 5" xfId="3940" xr:uid="{00000000-0005-0000-0000-0000640F0000}"/>
    <cellStyle name="Normal 10 2 10 2 25 3 6" xfId="3941" xr:uid="{00000000-0005-0000-0000-0000650F0000}"/>
    <cellStyle name="Normal 10 2 10 2 25 3 7" xfId="3942" xr:uid="{00000000-0005-0000-0000-0000660F0000}"/>
    <cellStyle name="Normal 10 2 10 2 25 3 8" xfId="3943" xr:uid="{00000000-0005-0000-0000-0000670F0000}"/>
    <cellStyle name="Normal 10 2 10 2 25 3 9" xfId="3944" xr:uid="{00000000-0005-0000-0000-0000680F0000}"/>
    <cellStyle name="Normal 10 2 10 2 25 4" xfId="3945" xr:uid="{00000000-0005-0000-0000-0000690F0000}"/>
    <cellStyle name="Normal 10 2 10 2 25 4 10" xfId="3946" xr:uid="{00000000-0005-0000-0000-00006A0F0000}"/>
    <cellStyle name="Normal 10 2 10 2 25 4 2" xfId="3947" xr:uid="{00000000-0005-0000-0000-00006B0F0000}"/>
    <cellStyle name="Normal 10 2 10 2 25 4 3" xfId="3948" xr:uid="{00000000-0005-0000-0000-00006C0F0000}"/>
    <cellStyle name="Normal 10 2 10 2 25 4 4" xfId="3949" xr:uid="{00000000-0005-0000-0000-00006D0F0000}"/>
    <cellStyle name="Normal 10 2 10 2 25 4 5" xfId="3950" xr:uid="{00000000-0005-0000-0000-00006E0F0000}"/>
    <cellStyle name="Normal 10 2 10 2 25 4 6" xfId="3951" xr:uid="{00000000-0005-0000-0000-00006F0F0000}"/>
    <cellStyle name="Normal 10 2 10 2 25 4 7" xfId="3952" xr:uid="{00000000-0005-0000-0000-0000700F0000}"/>
    <cellStyle name="Normal 10 2 10 2 25 4 8" xfId="3953" xr:uid="{00000000-0005-0000-0000-0000710F0000}"/>
    <cellStyle name="Normal 10 2 10 2 25 4 9" xfId="3954" xr:uid="{00000000-0005-0000-0000-0000720F0000}"/>
    <cellStyle name="Normal 10 2 10 2 25 5" xfId="3955" xr:uid="{00000000-0005-0000-0000-0000730F0000}"/>
    <cellStyle name="Normal 10 2 10 2 25 5 10" xfId="3956" xr:uid="{00000000-0005-0000-0000-0000740F0000}"/>
    <cellStyle name="Normal 10 2 10 2 25 5 2" xfId="3957" xr:uid="{00000000-0005-0000-0000-0000750F0000}"/>
    <cellStyle name="Normal 10 2 10 2 25 5 3" xfId="3958" xr:uid="{00000000-0005-0000-0000-0000760F0000}"/>
    <cellStyle name="Normal 10 2 10 2 25 5 4" xfId="3959" xr:uid="{00000000-0005-0000-0000-0000770F0000}"/>
    <cellStyle name="Normal 10 2 10 2 25 5 5" xfId="3960" xr:uid="{00000000-0005-0000-0000-0000780F0000}"/>
    <cellStyle name="Normal 10 2 10 2 25 5 6" xfId="3961" xr:uid="{00000000-0005-0000-0000-0000790F0000}"/>
    <cellStyle name="Normal 10 2 10 2 25 5 7" xfId="3962" xr:uid="{00000000-0005-0000-0000-00007A0F0000}"/>
    <cellStyle name="Normal 10 2 10 2 25 5 8" xfId="3963" xr:uid="{00000000-0005-0000-0000-00007B0F0000}"/>
    <cellStyle name="Normal 10 2 10 2 25 5 9" xfId="3964" xr:uid="{00000000-0005-0000-0000-00007C0F0000}"/>
    <cellStyle name="Normal 10 2 10 2 25 6" xfId="3965" xr:uid="{00000000-0005-0000-0000-00007D0F0000}"/>
    <cellStyle name="Normal 10 2 10 2 25 7" xfId="3966" xr:uid="{00000000-0005-0000-0000-00007E0F0000}"/>
    <cellStyle name="Normal 10 2 10 2 25 8" xfId="3967" xr:uid="{00000000-0005-0000-0000-00007F0F0000}"/>
    <cellStyle name="Normal 10 2 10 2 25 9" xfId="3968" xr:uid="{00000000-0005-0000-0000-0000800F0000}"/>
    <cellStyle name="Normal 10 2 10 2 26" xfId="3969" xr:uid="{00000000-0005-0000-0000-0000810F0000}"/>
    <cellStyle name="Normal 10 2 10 2 26 10" xfId="3970" xr:uid="{00000000-0005-0000-0000-0000820F0000}"/>
    <cellStyle name="Normal 10 2 10 2 26 11" xfId="3971" xr:uid="{00000000-0005-0000-0000-0000830F0000}"/>
    <cellStyle name="Normal 10 2 10 2 26 12" xfId="3972" xr:uid="{00000000-0005-0000-0000-0000840F0000}"/>
    <cellStyle name="Normal 10 2 10 2 26 13" xfId="3973" xr:uid="{00000000-0005-0000-0000-0000850F0000}"/>
    <cellStyle name="Normal 10 2 10 2 26 14" xfId="3974" xr:uid="{00000000-0005-0000-0000-0000860F0000}"/>
    <cellStyle name="Normal 10 2 10 2 26 2" xfId="3975" xr:uid="{00000000-0005-0000-0000-0000870F0000}"/>
    <cellStyle name="Normal 10 2 10 2 26 2 10" xfId="3976" xr:uid="{00000000-0005-0000-0000-0000880F0000}"/>
    <cellStyle name="Normal 10 2 10 2 26 2 2" xfId="3977" xr:uid="{00000000-0005-0000-0000-0000890F0000}"/>
    <cellStyle name="Normal 10 2 10 2 26 2 3" xfId="3978" xr:uid="{00000000-0005-0000-0000-00008A0F0000}"/>
    <cellStyle name="Normal 10 2 10 2 26 2 4" xfId="3979" xr:uid="{00000000-0005-0000-0000-00008B0F0000}"/>
    <cellStyle name="Normal 10 2 10 2 26 2 5" xfId="3980" xr:uid="{00000000-0005-0000-0000-00008C0F0000}"/>
    <cellStyle name="Normal 10 2 10 2 26 2 6" xfId="3981" xr:uid="{00000000-0005-0000-0000-00008D0F0000}"/>
    <cellStyle name="Normal 10 2 10 2 26 2 7" xfId="3982" xr:uid="{00000000-0005-0000-0000-00008E0F0000}"/>
    <cellStyle name="Normal 10 2 10 2 26 2 8" xfId="3983" xr:uid="{00000000-0005-0000-0000-00008F0F0000}"/>
    <cellStyle name="Normal 10 2 10 2 26 2 9" xfId="3984" xr:uid="{00000000-0005-0000-0000-0000900F0000}"/>
    <cellStyle name="Normal 10 2 10 2 26 3" xfId="3985" xr:uid="{00000000-0005-0000-0000-0000910F0000}"/>
    <cellStyle name="Normal 10 2 10 2 26 3 10" xfId="3986" xr:uid="{00000000-0005-0000-0000-0000920F0000}"/>
    <cellStyle name="Normal 10 2 10 2 26 3 2" xfId="3987" xr:uid="{00000000-0005-0000-0000-0000930F0000}"/>
    <cellStyle name="Normal 10 2 10 2 26 3 3" xfId="3988" xr:uid="{00000000-0005-0000-0000-0000940F0000}"/>
    <cellStyle name="Normal 10 2 10 2 26 3 4" xfId="3989" xr:uid="{00000000-0005-0000-0000-0000950F0000}"/>
    <cellStyle name="Normal 10 2 10 2 26 3 5" xfId="3990" xr:uid="{00000000-0005-0000-0000-0000960F0000}"/>
    <cellStyle name="Normal 10 2 10 2 26 3 6" xfId="3991" xr:uid="{00000000-0005-0000-0000-0000970F0000}"/>
    <cellStyle name="Normal 10 2 10 2 26 3 7" xfId="3992" xr:uid="{00000000-0005-0000-0000-0000980F0000}"/>
    <cellStyle name="Normal 10 2 10 2 26 3 8" xfId="3993" xr:uid="{00000000-0005-0000-0000-0000990F0000}"/>
    <cellStyle name="Normal 10 2 10 2 26 3 9" xfId="3994" xr:uid="{00000000-0005-0000-0000-00009A0F0000}"/>
    <cellStyle name="Normal 10 2 10 2 26 4" xfId="3995" xr:uid="{00000000-0005-0000-0000-00009B0F0000}"/>
    <cellStyle name="Normal 10 2 10 2 26 4 10" xfId="3996" xr:uid="{00000000-0005-0000-0000-00009C0F0000}"/>
    <cellStyle name="Normal 10 2 10 2 26 4 2" xfId="3997" xr:uid="{00000000-0005-0000-0000-00009D0F0000}"/>
    <cellStyle name="Normal 10 2 10 2 26 4 3" xfId="3998" xr:uid="{00000000-0005-0000-0000-00009E0F0000}"/>
    <cellStyle name="Normal 10 2 10 2 26 4 4" xfId="3999" xr:uid="{00000000-0005-0000-0000-00009F0F0000}"/>
    <cellStyle name="Normal 10 2 10 2 26 4 5" xfId="4000" xr:uid="{00000000-0005-0000-0000-0000A00F0000}"/>
    <cellStyle name="Normal 10 2 10 2 26 4 6" xfId="4001" xr:uid="{00000000-0005-0000-0000-0000A10F0000}"/>
    <cellStyle name="Normal 10 2 10 2 26 4 7" xfId="4002" xr:uid="{00000000-0005-0000-0000-0000A20F0000}"/>
    <cellStyle name="Normal 10 2 10 2 26 4 8" xfId="4003" xr:uid="{00000000-0005-0000-0000-0000A30F0000}"/>
    <cellStyle name="Normal 10 2 10 2 26 4 9" xfId="4004" xr:uid="{00000000-0005-0000-0000-0000A40F0000}"/>
    <cellStyle name="Normal 10 2 10 2 26 5" xfId="4005" xr:uid="{00000000-0005-0000-0000-0000A50F0000}"/>
    <cellStyle name="Normal 10 2 10 2 26 5 10" xfId="4006" xr:uid="{00000000-0005-0000-0000-0000A60F0000}"/>
    <cellStyle name="Normal 10 2 10 2 26 5 2" xfId="4007" xr:uid="{00000000-0005-0000-0000-0000A70F0000}"/>
    <cellStyle name="Normal 10 2 10 2 26 5 3" xfId="4008" xr:uid="{00000000-0005-0000-0000-0000A80F0000}"/>
    <cellStyle name="Normal 10 2 10 2 26 5 4" xfId="4009" xr:uid="{00000000-0005-0000-0000-0000A90F0000}"/>
    <cellStyle name="Normal 10 2 10 2 26 5 5" xfId="4010" xr:uid="{00000000-0005-0000-0000-0000AA0F0000}"/>
    <cellStyle name="Normal 10 2 10 2 26 5 6" xfId="4011" xr:uid="{00000000-0005-0000-0000-0000AB0F0000}"/>
    <cellStyle name="Normal 10 2 10 2 26 5 7" xfId="4012" xr:uid="{00000000-0005-0000-0000-0000AC0F0000}"/>
    <cellStyle name="Normal 10 2 10 2 26 5 8" xfId="4013" xr:uid="{00000000-0005-0000-0000-0000AD0F0000}"/>
    <cellStyle name="Normal 10 2 10 2 26 5 9" xfId="4014" xr:uid="{00000000-0005-0000-0000-0000AE0F0000}"/>
    <cellStyle name="Normal 10 2 10 2 26 6" xfId="4015" xr:uid="{00000000-0005-0000-0000-0000AF0F0000}"/>
    <cellStyle name="Normal 10 2 10 2 26 7" xfId="4016" xr:uid="{00000000-0005-0000-0000-0000B00F0000}"/>
    <cellStyle name="Normal 10 2 10 2 26 8" xfId="4017" xr:uid="{00000000-0005-0000-0000-0000B10F0000}"/>
    <cellStyle name="Normal 10 2 10 2 26 9" xfId="4018" xr:uid="{00000000-0005-0000-0000-0000B20F0000}"/>
    <cellStyle name="Normal 10 2 10 2 27" xfId="4019" xr:uid="{00000000-0005-0000-0000-0000B30F0000}"/>
    <cellStyle name="Normal 10 2 10 2 27 10" xfId="4020" xr:uid="{00000000-0005-0000-0000-0000B40F0000}"/>
    <cellStyle name="Normal 10 2 10 2 27 11" xfId="4021" xr:uid="{00000000-0005-0000-0000-0000B50F0000}"/>
    <cellStyle name="Normal 10 2 10 2 27 12" xfId="4022" xr:uid="{00000000-0005-0000-0000-0000B60F0000}"/>
    <cellStyle name="Normal 10 2 10 2 27 13" xfId="4023" xr:uid="{00000000-0005-0000-0000-0000B70F0000}"/>
    <cellStyle name="Normal 10 2 10 2 27 14" xfId="4024" xr:uid="{00000000-0005-0000-0000-0000B80F0000}"/>
    <cellStyle name="Normal 10 2 10 2 27 2" xfId="4025" xr:uid="{00000000-0005-0000-0000-0000B90F0000}"/>
    <cellStyle name="Normal 10 2 10 2 27 2 10" xfId="4026" xr:uid="{00000000-0005-0000-0000-0000BA0F0000}"/>
    <cellStyle name="Normal 10 2 10 2 27 2 2" xfId="4027" xr:uid="{00000000-0005-0000-0000-0000BB0F0000}"/>
    <cellStyle name="Normal 10 2 10 2 27 2 3" xfId="4028" xr:uid="{00000000-0005-0000-0000-0000BC0F0000}"/>
    <cellStyle name="Normal 10 2 10 2 27 2 4" xfId="4029" xr:uid="{00000000-0005-0000-0000-0000BD0F0000}"/>
    <cellStyle name="Normal 10 2 10 2 27 2 5" xfId="4030" xr:uid="{00000000-0005-0000-0000-0000BE0F0000}"/>
    <cellStyle name="Normal 10 2 10 2 27 2 6" xfId="4031" xr:uid="{00000000-0005-0000-0000-0000BF0F0000}"/>
    <cellStyle name="Normal 10 2 10 2 27 2 7" xfId="4032" xr:uid="{00000000-0005-0000-0000-0000C00F0000}"/>
    <cellStyle name="Normal 10 2 10 2 27 2 8" xfId="4033" xr:uid="{00000000-0005-0000-0000-0000C10F0000}"/>
    <cellStyle name="Normal 10 2 10 2 27 2 9" xfId="4034" xr:uid="{00000000-0005-0000-0000-0000C20F0000}"/>
    <cellStyle name="Normal 10 2 10 2 27 3" xfId="4035" xr:uid="{00000000-0005-0000-0000-0000C30F0000}"/>
    <cellStyle name="Normal 10 2 10 2 27 3 10" xfId="4036" xr:uid="{00000000-0005-0000-0000-0000C40F0000}"/>
    <cellStyle name="Normal 10 2 10 2 27 3 2" xfId="4037" xr:uid="{00000000-0005-0000-0000-0000C50F0000}"/>
    <cellStyle name="Normal 10 2 10 2 27 3 3" xfId="4038" xr:uid="{00000000-0005-0000-0000-0000C60F0000}"/>
    <cellStyle name="Normal 10 2 10 2 27 3 4" xfId="4039" xr:uid="{00000000-0005-0000-0000-0000C70F0000}"/>
    <cellStyle name="Normal 10 2 10 2 27 3 5" xfId="4040" xr:uid="{00000000-0005-0000-0000-0000C80F0000}"/>
    <cellStyle name="Normal 10 2 10 2 27 3 6" xfId="4041" xr:uid="{00000000-0005-0000-0000-0000C90F0000}"/>
    <cellStyle name="Normal 10 2 10 2 27 3 7" xfId="4042" xr:uid="{00000000-0005-0000-0000-0000CA0F0000}"/>
    <cellStyle name="Normal 10 2 10 2 27 3 8" xfId="4043" xr:uid="{00000000-0005-0000-0000-0000CB0F0000}"/>
    <cellStyle name="Normal 10 2 10 2 27 3 9" xfId="4044" xr:uid="{00000000-0005-0000-0000-0000CC0F0000}"/>
    <cellStyle name="Normal 10 2 10 2 27 4" xfId="4045" xr:uid="{00000000-0005-0000-0000-0000CD0F0000}"/>
    <cellStyle name="Normal 10 2 10 2 27 4 10" xfId="4046" xr:uid="{00000000-0005-0000-0000-0000CE0F0000}"/>
    <cellStyle name="Normal 10 2 10 2 27 4 2" xfId="4047" xr:uid="{00000000-0005-0000-0000-0000CF0F0000}"/>
    <cellStyle name="Normal 10 2 10 2 27 4 3" xfId="4048" xr:uid="{00000000-0005-0000-0000-0000D00F0000}"/>
    <cellStyle name="Normal 10 2 10 2 27 4 4" xfId="4049" xr:uid="{00000000-0005-0000-0000-0000D10F0000}"/>
    <cellStyle name="Normal 10 2 10 2 27 4 5" xfId="4050" xr:uid="{00000000-0005-0000-0000-0000D20F0000}"/>
    <cellStyle name="Normal 10 2 10 2 27 4 6" xfId="4051" xr:uid="{00000000-0005-0000-0000-0000D30F0000}"/>
    <cellStyle name="Normal 10 2 10 2 27 4 7" xfId="4052" xr:uid="{00000000-0005-0000-0000-0000D40F0000}"/>
    <cellStyle name="Normal 10 2 10 2 27 4 8" xfId="4053" xr:uid="{00000000-0005-0000-0000-0000D50F0000}"/>
    <cellStyle name="Normal 10 2 10 2 27 4 9" xfId="4054" xr:uid="{00000000-0005-0000-0000-0000D60F0000}"/>
    <cellStyle name="Normal 10 2 10 2 27 5" xfId="4055" xr:uid="{00000000-0005-0000-0000-0000D70F0000}"/>
    <cellStyle name="Normal 10 2 10 2 27 5 10" xfId="4056" xr:uid="{00000000-0005-0000-0000-0000D80F0000}"/>
    <cellStyle name="Normal 10 2 10 2 27 5 2" xfId="4057" xr:uid="{00000000-0005-0000-0000-0000D90F0000}"/>
    <cellStyle name="Normal 10 2 10 2 27 5 3" xfId="4058" xr:uid="{00000000-0005-0000-0000-0000DA0F0000}"/>
    <cellStyle name="Normal 10 2 10 2 27 5 4" xfId="4059" xr:uid="{00000000-0005-0000-0000-0000DB0F0000}"/>
    <cellStyle name="Normal 10 2 10 2 27 5 5" xfId="4060" xr:uid="{00000000-0005-0000-0000-0000DC0F0000}"/>
    <cellStyle name="Normal 10 2 10 2 27 5 6" xfId="4061" xr:uid="{00000000-0005-0000-0000-0000DD0F0000}"/>
    <cellStyle name="Normal 10 2 10 2 27 5 7" xfId="4062" xr:uid="{00000000-0005-0000-0000-0000DE0F0000}"/>
    <cellStyle name="Normal 10 2 10 2 27 5 8" xfId="4063" xr:uid="{00000000-0005-0000-0000-0000DF0F0000}"/>
    <cellStyle name="Normal 10 2 10 2 27 5 9" xfId="4064" xr:uid="{00000000-0005-0000-0000-0000E00F0000}"/>
    <cellStyle name="Normal 10 2 10 2 27 6" xfId="4065" xr:uid="{00000000-0005-0000-0000-0000E10F0000}"/>
    <cellStyle name="Normal 10 2 10 2 27 7" xfId="4066" xr:uid="{00000000-0005-0000-0000-0000E20F0000}"/>
    <cellStyle name="Normal 10 2 10 2 27 8" xfId="4067" xr:uid="{00000000-0005-0000-0000-0000E30F0000}"/>
    <cellStyle name="Normal 10 2 10 2 27 9" xfId="4068" xr:uid="{00000000-0005-0000-0000-0000E40F0000}"/>
    <cellStyle name="Normal 10 2 10 2 28" xfId="4069" xr:uid="{00000000-0005-0000-0000-0000E50F0000}"/>
    <cellStyle name="Normal 10 2 10 2 28 10" xfId="4070" xr:uid="{00000000-0005-0000-0000-0000E60F0000}"/>
    <cellStyle name="Normal 10 2 10 2 28 11" xfId="4071" xr:uid="{00000000-0005-0000-0000-0000E70F0000}"/>
    <cellStyle name="Normal 10 2 10 2 28 12" xfId="4072" xr:uid="{00000000-0005-0000-0000-0000E80F0000}"/>
    <cellStyle name="Normal 10 2 10 2 28 13" xfId="4073" xr:uid="{00000000-0005-0000-0000-0000E90F0000}"/>
    <cellStyle name="Normal 10 2 10 2 28 14" xfId="4074" xr:uid="{00000000-0005-0000-0000-0000EA0F0000}"/>
    <cellStyle name="Normal 10 2 10 2 28 2" xfId="4075" xr:uid="{00000000-0005-0000-0000-0000EB0F0000}"/>
    <cellStyle name="Normal 10 2 10 2 28 2 10" xfId="4076" xr:uid="{00000000-0005-0000-0000-0000EC0F0000}"/>
    <cellStyle name="Normal 10 2 10 2 28 2 2" xfId="4077" xr:uid="{00000000-0005-0000-0000-0000ED0F0000}"/>
    <cellStyle name="Normal 10 2 10 2 28 2 3" xfId="4078" xr:uid="{00000000-0005-0000-0000-0000EE0F0000}"/>
    <cellStyle name="Normal 10 2 10 2 28 2 4" xfId="4079" xr:uid="{00000000-0005-0000-0000-0000EF0F0000}"/>
    <cellStyle name="Normal 10 2 10 2 28 2 5" xfId="4080" xr:uid="{00000000-0005-0000-0000-0000F00F0000}"/>
    <cellStyle name="Normal 10 2 10 2 28 2 6" xfId="4081" xr:uid="{00000000-0005-0000-0000-0000F10F0000}"/>
    <cellStyle name="Normal 10 2 10 2 28 2 7" xfId="4082" xr:uid="{00000000-0005-0000-0000-0000F20F0000}"/>
    <cellStyle name="Normal 10 2 10 2 28 2 8" xfId="4083" xr:uid="{00000000-0005-0000-0000-0000F30F0000}"/>
    <cellStyle name="Normal 10 2 10 2 28 2 9" xfId="4084" xr:uid="{00000000-0005-0000-0000-0000F40F0000}"/>
    <cellStyle name="Normal 10 2 10 2 28 3" xfId="4085" xr:uid="{00000000-0005-0000-0000-0000F50F0000}"/>
    <cellStyle name="Normal 10 2 10 2 28 3 10" xfId="4086" xr:uid="{00000000-0005-0000-0000-0000F60F0000}"/>
    <cellStyle name="Normal 10 2 10 2 28 3 2" xfId="4087" xr:uid="{00000000-0005-0000-0000-0000F70F0000}"/>
    <cellStyle name="Normal 10 2 10 2 28 3 3" xfId="4088" xr:uid="{00000000-0005-0000-0000-0000F80F0000}"/>
    <cellStyle name="Normal 10 2 10 2 28 3 4" xfId="4089" xr:uid="{00000000-0005-0000-0000-0000F90F0000}"/>
    <cellStyle name="Normal 10 2 10 2 28 3 5" xfId="4090" xr:uid="{00000000-0005-0000-0000-0000FA0F0000}"/>
    <cellStyle name="Normal 10 2 10 2 28 3 6" xfId="4091" xr:uid="{00000000-0005-0000-0000-0000FB0F0000}"/>
    <cellStyle name="Normal 10 2 10 2 28 3 7" xfId="4092" xr:uid="{00000000-0005-0000-0000-0000FC0F0000}"/>
    <cellStyle name="Normal 10 2 10 2 28 3 8" xfId="4093" xr:uid="{00000000-0005-0000-0000-0000FD0F0000}"/>
    <cellStyle name="Normal 10 2 10 2 28 3 9" xfId="4094" xr:uid="{00000000-0005-0000-0000-0000FE0F0000}"/>
    <cellStyle name="Normal 10 2 10 2 28 4" xfId="4095" xr:uid="{00000000-0005-0000-0000-0000FF0F0000}"/>
    <cellStyle name="Normal 10 2 10 2 28 4 10" xfId="4096" xr:uid="{00000000-0005-0000-0000-000000100000}"/>
    <cellStyle name="Normal 10 2 10 2 28 4 2" xfId="4097" xr:uid="{00000000-0005-0000-0000-000001100000}"/>
    <cellStyle name="Normal 10 2 10 2 28 4 3" xfId="4098" xr:uid="{00000000-0005-0000-0000-000002100000}"/>
    <cellStyle name="Normal 10 2 10 2 28 4 4" xfId="4099" xr:uid="{00000000-0005-0000-0000-000003100000}"/>
    <cellStyle name="Normal 10 2 10 2 28 4 5" xfId="4100" xr:uid="{00000000-0005-0000-0000-000004100000}"/>
    <cellStyle name="Normal 10 2 10 2 28 4 6" xfId="4101" xr:uid="{00000000-0005-0000-0000-000005100000}"/>
    <cellStyle name="Normal 10 2 10 2 28 4 7" xfId="4102" xr:uid="{00000000-0005-0000-0000-000006100000}"/>
    <cellStyle name="Normal 10 2 10 2 28 4 8" xfId="4103" xr:uid="{00000000-0005-0000-0000-000007100000}"/>
    <cellStyle name="Normal 10 2 10 2 28 4 9" xfId="4104" xr:uid="{00000000-0005-0000-0000-000008100000}"/>
    <cellStyle name="Normal 10 2 10 2 28 5" xfId="4105" xr:uid="{00000000-0005-0000-0000-000009100000}"/>
    <cellStyle name="Normal 10 2 10 2 28 5 10" xfId="4106" xr:uid="{00000000-0005-0000-0000-00000A100000}"/>
    <cellStyle name="Normal 10 2 10 2 28 5 2" xfId="4107" xr:uid="{00000000-0005-0000-0000-00000B100000}"/>
    <cellStyle name="Normal 10 2 10 2 28 5 3" xfId="4108" xr:uid="{00000000-0005-0000-0000-00000C100000}"/>
    <cellStyle name="Normal 10 2 10 2 28 5 4" xfId="4109" xr:uid="{00000000-0005-0000-0000-00000D100000}"/>
    <cellStyle name="Normal 10 2 10 2 28 5 5" xfId="4110" xr:uid="{00000000-0005-0000-0000-00000E100000}"/>
    <cellStyle name="Normal 10 2 10 2 28 5 6" xfId="4111" xr:uid="{00000000-0005-0000-0000-00000F100000}"/>
    <cellStyle name="Normal 10 2 10 2 28 5 7" xfId="4112" xr:uid="{00000000-0005-0000-0000-000010100000}"/>
    <cellStyle name="Normal 10 2 10 2 28 5 8" xfId="4113" xr:uid="{00000000-0005-0000-0000-000011100000}"/>
    <cellStyle name="Normal 10 2 10 2 28 5 9" xfId="4114" xr:uid="{00000000-0005-0000-0000-000012100000}"/>
    <cellStyle name="Normal 10 2 10 2 28 6" xfId="4115" xr:uid="{00000000-0005-0000-0000-000013100000}"/>
    <cellStyle name="Normal 10 2 10 2 28 7" xfId="4116" xr:uid="{00000000-0005-0000-0000-000014100000}"/>
    <cellStyle name="Normal 10 2 10 2 28 8" xfId="4117" xr:uid="{00000000-0005-0000-0000-000015100000}"/>
    <cellStyle name="Normal 10 2 10 2 28 9" xfId="4118" xr:uid="{00000000-0005-0000-0000-000016100000}"/>
    <cellStyle name="Normal 10 2 10 2 29" xfId="4119" xr:uid="{00000000-0005-0000-0000-000017100000}"/>
    <cellStyle name="Normal 10 2 10 2 29 10" xfId="4120" xr:uid="{00000000-0005-0000-0000-000018100000}"/>
    <cellStyle name="Normal 10 2 10 2 29 11" xfId="4121" xr:uid="{00000000-0005-0000-0000-000019100000}"/>
    <cellStyle name="Normal 10 2 10 2 29 12" xfId="4122" xr:uid="{00000000-0005-0000-0000-00001A100000}"/>
    <cellStyle name="Normal 10 2 10 2 29 13" xfId="4123" xr:uid="{00000000-0005-0000-0000-00001B100000}"/>
    <cellStyle name="Normal 10 2 10 2 29 14" xfId="4124" xr:uid="{00000000-0005-0000-0000-00001C100000}"/>
    <cellStyle name="Normal 10 2 10 2 29 2" xfId="4125" xr:uid="{00000000-0005-0000-0000-00001D100000}"/>
    <cellStyle name="Normal 10 2 10 2 29 2 10" xfId="4126" xr:uid="{00000000-0005-0000-0000-00001E100000}"/>
    <cellStyle name="Normal 10 2 10 2 29 2 2" xfId="4127" xr:uid="{00000000-0005-0000-0000-00001F100000}"/>
    <cellStyle name="Normal 10 2 10 2 29 2 3" xfId="4128" xr:uid="{00000000-0005-0000-0000-000020100000}"/>
    <cellStyle name="Normal 10 2 10 2 29 2 4" xfId="4129" xr:uid="{00000000-0005-0000-0000-000021100000}"/>
    <cellStyle name="Normal 10 2 10 2 29 2 5" xfId="4130" xr:uid="{00000000-0005-0000-0000-000022100000}"/>
    <cellStyle name="Normal 10 2 10 2 29 2 6" xfId="4131" xr:uid="{00000000-0005-0000-0000-000023100000}"/>
    <cellStyle name="Normal 10 2 10 2 29 2 7" xfId="4132" xr:uid="{00000000-0005-0000-0000-000024100000}"/>
    <cellStyle name="Normal 10 2 10 2 29 2 8" xfId="4133" xr:uid="{00000000-0005-0000-0000-000025100000}"/>
    <cellStyle name="Normal 10 2 10 2 29 2 9" xfId="4134" xr:uid="{00000000-0005-0000-0000-000026100000}"/>
    <cellStyle name="Normal 10 2 10 2 29 3" xfId="4135" xr:uid="{00000000-0005-0000-0000-000027100000}"/>
    <cellStyle name="Normal 10 2 10 2 29 3 10" xfId="4136" xr:uid="{00000000-0005-0000-0000-000028100000}"/>
    <cellStyle name="Normal 10 2 10 2 29 3 2" xfId="4137" xr:uid="{00000000-0005-0000-0000-000029100000}"/>
    <cellStyle name="Normal 10 2 10 2 29 3 3" xfId="4138" xr:uid="{00000000-0005-0000-0000-00002A100000}"/>
    <cellStyle name="Normal 10 2 10 2 29 3 4" xfId="4139" xr:uid="{00000000-0005-0000-0000-00002B100000}"/>
    <cellStyle name="Normal 10 2 10 2 29 3 5" xfId="4140" xr:uid="{00000000-0005-0000-0000-00002C100000}"/>
    <cellStyle name="Normal 10 2 10 2 29 3 6" xfId="4141" xr:uid="{00000000-0005-0000-0000-00002D100000}"/>
    <cellStyle name="Normal 10 2 10 2 29 3 7" xfId="4142" xr:uid="{00000000-0005-0000-0000-00002E100000}"/>
    <cellStyle name="Normal 10 2 10 2 29 3 8" xfId="4143" xr:uid="{00000000-0005-0000-0000-00002F100000}"/>
    <cellStyle name="Normal 10 2 10 2 29 3 9" xfId="4144" xr:uid="{00000000-0005-0000-0000-000030100000}"/>
    <cellStyle name="Normal 10 2 10 2 29 4" xfId="4145" xr:uid="{00000000-0005-0000-0000-000031100000}"/>
    <cellStyle name="Normal 10 2 10 2 29 4 10" xfId="4146" xr:uid="{00000000-0005-0000-0000-000032100000}"/>
    <cellStyle name="Normal 10 2 10 2 29 4 2" xfId="4147" xr:uid="{00000000-0005-0000-0000-000033100000}"/>
    <cellStyle name="Normal 10 2 10 2 29 4 3" xfId="4148" xr:uid="{00000000-0005-0000-0000-000034100000}"/>
    <cellStyle name="Normal 10 2 10 2 29 4 4" xfId="4149" xr:uid="{00000000-0005-0000-0000-000035100000}"/>
    <cellStyle name="Normal 10 2 10 2 29 4 5" xfId="4150" xr:uid="{00000000-0005-0000-0000-000036100000}"/>
    <cellStyle name="Normal 10 2 10 2 29 4 6" xfId="4151" xr:uid="{00000000-0005-0000-0000-000037100000}"/>
    <cellStyle name="Normal 10 2 10 2 29 4 7" xfId="4152" xr:uid="{00000000-0005-0000-0000-000038100000}"/>
    <cellStyle name="Normal 10 2 10 2 29 4 8" xfId="4153" xr:uid="{00000000-0005-0000-0000-000039100000}"/>
    <cellStyle name="Normal 10 2 10 2 29 4 9" xfId="4154" xr:uid="{00000000-0005-0000-0000-00003A100000}"/>
    <cellStyle name="Normal 10 2 10 2 29 5" xfId="4155" xr:uid="{00000000-0005-0000-0000-00003B100000}"/>
    <cellStyle name="Normal 10 2 10 2 29 5 10" xfId="4156" xr:uid="{00000000-0005-0000-0000-00003C100000}"/>
    <cellStyle name="Normal 10 2 10 2 29 5 2" xfId="4157" xr:uid="{00000000-0005-0000-0000-00003D100000}"/>
    <cellStyle name="Normal 10 2 10 2 29 5 3" xfId="4158" xr:uid="{00000000-0005-0000-0000-00003E100000}"/>
    <cellStyle name="Normal 10 2 10 2 29 5 4" xfId="4159" xr:uid="{00000000-0005-0000-0000-00003F100000}"/>
    <cellStyle name="Normal 10 2 10 2 29 5 5" xfId="4160" xr:uid="{00000000-0005-0000-0000-000040100000}"/>
    <cellStyle name="Normal 10 2 10 2 29 5 6" xfId="4161" xr:uid="{00000000-0005-0000-0000-000041100000}"/>
    <cellStyle name="Normal 10 2 10 2 29 5 7" xfId="4162" xr:uid="{00000000-0005-0000-0000-000042100000}"/>
    <cellStyle name="Normal 10 2 10 2 29 5 8" xfId="4163" xr:uid="{00000000-0005-0000-0000-000043100000}"/>
    <cellStyle name="Normal 10 2 10 2 29 5 9" xfId="4164" xr:uid="{00000000-0005-0000-0000-000044100000}"/>
    <cellStyle name="Normal 10 2 10 2 29 6" xfId="4165" xr:uid="{00000000-0005-0000-0000-000045100000}"/>
    <cellStyle name="Normal 10 2 10 2 29 7" xfId="4166" xr:uid="{00000000-0005-0000-0000-000046100000}"/>
    <cellStyle name="Normal 10 2 10 2 29 8" xfId="4167" xr:uid="{00000000-0005-0000-0000-000047100000}"/>
    <cellStyle name="Normal 10 2 10 2 29 9" xfId="4168" xr:uid="{00000000-0005-0000-0000-000048100000}"/>
    <cellStyle name="Normal 10 2 10 2 3" xfId="4169" xr:uid="{00000000-0005-0000-0000-000049100000}"/>
    <cellStyle name="Normal 10 2 10 2 3 10" xfId="4170" xr:uid="{00000000-0005-0000-0000-00004A100000}"/>
    <cellStyle name="Normal 10 2 10 2 3 11" xfId="4171" xr:uid="{00000000-0005-0000-0000-00004B100000}"/>
    <cellStyle name="Normal 10 2 10 2 3 12" xfId="4172" xr:uid="{00000000-0005-0000-0000-00004C100000}"/>
    <cellStyle name="Normal 10 2 10 2 3 13" xfId="4173" xr:uid="{00000000-0005-0000-0000-00004D100000}"/>
    <cellStyle name="Normal 10 2 10 2 3 14" xfId="4174" xr:uid="{00000000-0005-0000-0000-00004E100000}"/>
    <cellStyle name="Normal 10 2 10 2 3 2" xfId="4175" xr:uid="{00000000-0005-0000-0000-00004F100000}"/>
    <cellStyle name="Normal 10 2 10 2 3 2 10" xfId="4176" xr:uid="{00000000-0005-0000-0000-000050100000}"/>
    <cellStyle name="Normal 10 2 10 2 3 2 2" xfId="4177" xr:uid="{00000000-0005-0000-0000-000051100000}"/>
    <cellStyle name="Normal 10 2 10 2 3 2 3" xfId="4178" xr:uid="{00000000-0005-0000-0000-000052100000}"/>
    <cellStyle name="Normal 10 2 10 2 3 2 4" xfId="4179" xr:uid="{00000000-0005-0000-0000-000053100000}"/>
    <cellStyle name="Normal 10 2 10 2 3 2 5" xfId="4180" xr:uid="{00000000-0005-0000-0000-000054100000}"/>
    <cellStyle name="Normal 10 2 10 2 3 2 6" xfId="4181" xr:uid="{00000000-0005-0000-0000-000055100000}"/>
    <cellStyle name="Normal 10 2 10 2 3 2 7" xfId="4182" xr:uid="{00000000-0005-0000-0000-000056100000}"/>
    <cellStyle name="Normal 10 2 10 2 3 2 8" xfId="4183" xr:uid="{00000000-0005-0000-0000-000057100000}"/>
    <cellStyle name="Normal 10 2 10 2 3 2 9" xfId="4184" xr:uid="{00000000-0005-0000-0000-000058100000}"/>
    <cellStyle name="Normal 10 2 10 2 3 3" xfId="4185" xr:uid="{00000000-0005-0000-0000-000059100000}"/>
    <cellStyle name="Normal 10 2 10 2 3 3 10" xfId="4186" xr:uid="{00000000-0005-0000-0000-00005A100000}"/>
    <cellStyle name="Normal 10 2 10 2 3 3 2" xfId="4187" xr:uid="{00000000-0005-0000-0000-00005B100000}"/>
    <cellStyle name="Normal 10 2 10 2 3 3 3" xfId="4188" xr:uid="{00000000-0005-0000-0000-00005C100000}"/>
    <cellStyle name="Normal 10 2 10 2 3 3 4" xfId="4189" xr:uid="{00000000-0005-0000-0000-00005D100000}"/>
    <cellStyle name="Normal 10 2 10 2 3 3 5" xfId="4190" xr:uid="{00000000-0005-0000-0000-00005E100000}"/>
    <cellStyle name="Normal 10 2 10 2 3 3 6" xfId="4191" xr:uid="{00000000-0005-0000-0000-00005F100000}"/>
    <cellStyle name="Normal 10 2 10 2 3 3 7" xfId="4192" xr:uid="{00000000-0005-0000-0000-000060100000}"/>
    <cellStyle name="Normal 10 2 10 2 3 3 8" xfId="4193" xr:uid="{00000000-0005-0000-0000-000061100000}"/>
    <cellStyle name="Normal 10 2 10 2 3 3 9" xfId="4194" xr:uid="{00000000-0005-0000-0000-000062100000}"/>
    <cellStyle name="Normal 10 2 10 2 3 4" xfId="4195" xr:uid="{00000000-0005-0000-0000-000063100000}"/>
    <cellStyle name="Normal 10 2 10 2 3 4 10" xfId="4196" xr:uid="{00000000-0005-0000-0000-000064100000}"/>
    <cellStyle name="Normal 10 2 10 2 3 4 2" xfId="4197" xr:uid="{00000000-0005-0000-0000-000065100000}"/>
    <cellStyle name="Normal 10 2 10 2 3 4 3" xfId="4198" xr:uid="{00000000-0005-0000-0000-000066100000}"/>
    <cellStyle name="Normal 10 2 10 2 3 4 4" xfId="4199" xr:uid="{00000000-0005-0000-0000-000067100000}"/>
    <cellStyle name="Normal 10 2 10 2 3 4 5" xfId="4200" xr:uid="{00000000-0005-0000-0000-000068100000}"/>
    <cellStyle name="Normal 10 2 10 2 3 4 6" xfId="4201" xr:uid="{00000000-0005-0000-0000-000069100000}"/>
    <cellStyle name="Normal 10 2 10 2 3 4 7" xfId="4202" xr:uid="{00000000-0005-0000-0000-00006A100000}"/>
    <cellStyle name="Normal 10 2 10 2 3 4 8" xfId="4203" xr:uid="{00000000-0005-0000-0000-00006B100000}"/>
    <cellStyle name="Normal 10 2 10 2 3 4 9" xfId="4204" xr:uid="{00000000-0005-0000-0000-00006C100000}"/>
    <cellStyle name="Normal 10 2 10 2 3 5" xfId="4205" xr:uid="{00000000-0005-0000-0000-00006D100000}"/>
    <cellStyle name="Normal 10 2 10 2 3 5 10" xfId="4206" xr:uid="{00000000-0005-0000-0000-00006E100000}"/>
    <cellStyle name="Normal 10 2 10 2 3 5 2" xfId="4207" xr:uid="{00000000-0005-0000-0000-00006F100000}"/>
    <cellStyle name="Normal 10 2 10 2 3 5 3" xfId="4208" xr:uid="{00000000-0005-0000-0000-000070100000}"/>
    <cellStyle name="Normal 10 2 10 2 3 5 4" xfId="4209" xr:uid="{00000000-0005-0000-0000-000071100000}"/>
    <cellStyle name="Normal 10 2 10 2 3 5 5" xfId="4210" xr:uid="{00000000-0005-0000-0000-000072100000}"/>
    <cellStyle name="Normal 10 2 10 2 3 5 6" xfId="4211" xr:uid="{00000000-0005-0000-0000-000073100000}"/>
    <cellStyle name="Normal 10 2 10 2 3 5 7" xfId="4212" xr:uid="{00000000-0005-0000-0000-000074100000}"/>
    <cellStyle name="Normal 10 2 10 2 3 5 8" xfId="4213" xr:uid="{00000000-0005-0000-0000-000075100000}"/>
    <cellStyle name="Normal 10 2 10 2 3 5 9" xfId="4214" xr:uid="{00000000-0005-0000-0000-000076100000}"/>
    <cellStyle name="Normal 10 2 10 2 3 6" xfId="4215" xr:uid="{00000000-0005-0000-0000-000077100000}"/>
    <cellStyle name="Normal 10 2 10 2 3 7" xfId="4216" xr:uid="{00000000-0005-0000-0000-000078100000}"/>
    <cellStyle name="Normal 10 2 10 2 3 8" xfId="4217" xr:uid="{00000000-0005-0000-0000-000079100000}"/>
    <cellStyle name="Normal 10 2 10 2 3 9" xfId="4218" xr:uid="{00000000-0005-0000-0000-00007A100000}"/>
    <cellStyle name="Normal 10 2 10 2 30" xfId="4219" xr:uid="{00000000-0005-0000-0000-00007B100000}"/>
    <cellStyle name="Normal 10 2 10 2 30 10" xfId="4220" xr:uid="{00000000-0005-0000-0000-00007C100000}"/>
    <cellStyle name="Normal 10 2 10 2 30 11" xfId="4221" xr:uid="{00000000-0005-0000-0000-00007D100000}"/>
    <cellStyle name="Normal 10 2 10 2 30 12" xfId="4222" xr:uid="{00000000-0005-0000-0000-00007E100000}"/>
    <cellStyle name="Normal 10 2 10 2 30 13" xfId="4223" xr:uid="{00000000-0005-0000-0000-00007F100000}"/>
    <cellStyle name="Normal 10 2 10 2 30 14" xfId="4224" xr:uid="{00000000-0005-0000-0000-000080100000}"/>
    <cellStyle name="Normal 10 2 10 2 30 2" xfId="4225" xr:uid="{00000000-0005-0000-0000-000081100000}"/>
    <cellStyle name="Normal 10 2 10 2 30 2 10" xfId="4226" xr:uid="{00000000-0005-0000-0000-000082100000}"/>
    <cellStyle name="Normal 10 2 10 2 30 2 2" xfId="4227" xr:uid="{00000000-0005-0000-0000-000083100000}"/>
    <cellStyle name="Normal 10 2 10 2 30 2 3" xfId="4228" xr:uid="{00000000-0005-0000-0000-000084100000}"/>
    <cellStyle name="Normal 10 2 10 2 30 2 4" xfId="4229" xr:uid="{00000000-0005-0000-0000-000085100000}"/>
    <cellStyle name="Normal 10 2 10 2 30 2 5" xfId="4230" xr:uid="{00000000-0005-0000-0000-000086100000}"/>
    <cellStyle name="Normal 10 2 10 2 30 2 6" xfId="4231" xr:uid="{00000000-0005-0000-0000-000087100000}"/>
    <cellStyle name="Normal 10 2 10 2 30 2 7" xfId="4232" xr:uid="{00000000-0005-0000-0000-000088100000}"/>
    <cellStyle name="Normal 10 2 10 2 30 2 8" xfId="4233" xr:uid="{00000000-0005-0000-0000-000089100000}"/>
    <cellStyle name="Normal 10 2 10 2 30 2 9" xfId="4234" xr:uid="{00000000-0005-0000-0000-00008A100000}"/>
    <cellStyle name="Normal 10 2 10 2 30 3" xfId="4235" xr:uid="{00000000-0005-0000-0000-00008B100000}"/>
    <cellStyle name="Normal 10 2 10 2 30 3 10" xfId="4236" xr:uid="{00000000-0005-0000-0000-00008C100000}"/>
    <cellStyle name="Normal 10 2 10 2 30 3 2" xfId="4237" xr:uid="{00000000-0005-0000-0000-00008D100000}"/>
    <cellStyle name="Normal 10 2 10 2 30 3 3" xfId="4238" xr:uid="{00000000-0005-0000-0000-00008E100000}"/>
    <cellStyle name="Normal 10 2 10 2 30 3 4" xfId="4239" xr:uid="{00000000-0005-0000-0000-00008F100000}"/>
    <cellStyle name="Normal 10 2 10 2 30 3 5" xfId="4240" xr:uid="{00000000-0005-0000-0000-000090100000}"/>
    <cellStyle name="Normal 10 2 10 2 30 3 6" xfId="4241" xr:uid="{00000000-0005-0000-0000-000091100000}"/>
    <cellStyle name="Normal 10 2 10 2 30 3 7" xfId="4242" xr:uid="{00000000-0005-0000-0000-000092100000}"/>
    <cellStyle name="Normal 10 2 10 2 30 3 8" xfId="4243" xr:uid="{00000000-0005-0000-0000-000093100000}"/>
    <cellStyle name="Normal 10 2 10 2 30 3 9" xfId="4244" xr:uid="{00000000-0005-0000-0000-000094100000}"/>
    <cellStyle name="Normal 10 2 10 2 30 4" xfId="4245" xr:uid="{00000000-0005-0000-0000-000095100000}"/>
    <cellStyle name="Normal 10 2 10 2 30 4 10" xfId="4246" xr:uid="{00000000-0005-0000-0000-000096100000}"/>
    <cellStyle name="Normal 10 2 10 2 30 4 2" xfId="4247" xr:uid="{00000000-0005-0000-0000-000097100000}"/>
    <cellStyle name="Normal 10 2 10 2 30 4 3" xfId="4248" xr:uid="{00000000-0005-0000-0000-000098100000}"/>
    <cellStyle name="Normal 10 2 10 2 30 4 4" xfId="4249" xr:uid="{00000000-0005-0000-0000-000099100000}"/>
    <cellStyle name="Normal 10 2 10 2 30 4 5" xfId="4250" xr:uid="{00000000-0005-0000-0000-00009A100000}"/>
    <cellStyle name="Normal 10 2 10 2 30 4 6" xfId="4251" xr:uid="{00000000-0005-0000-0000-00009B100000}"/>
    <cellStyle name="Normal 10 2 10 2 30 4 7" xfId="4252" xr:uid="{00000000-0005-0000-0000-00009C100000}"/>
    <cellStyle name="Normal 10 2 10 2 30 4 8" xfId="4253" xr:uid="{00000000-0005-0000-0000-00009D100000}"/>
    <cellStyle name="Normal 10 2 10 2 30 4 9" xfId="4254" xr:uid="{00000000-0005-0000-0000-00009E100000}"/>
    <cellStyle name="Normal 10 2 10 2 30 5" xfId="4255" xr:uid="{00000000-0005-0000-0000-00009F100000}"/>
    <cellStyle name="Normal 10 2 10 2 30 5 10" xfId="4256" xr:uid="{00000000-0005-0000-0000-0000A0100000}"/>
    <cellStyle name="Normal 10 2 10 2 30 5 2" xfId="4257" xr:uid="{00000000-0005-0000-0000-0000A1100000}"/>
    <cellStyle name="Normal 10 2 10 2 30 5 3" xfId="4258" xr:uid="{00000000-0005-0000-0000-0000A2100000}"/>
    <cellStyle name="Normal 10 2 10 2 30 5 4" xfId="4259" xr:uid="{00000000-0005-0000-0000-0000A3100000}"/>
    <cellStyle name="Normal 10 2 10 2 30 5 5" xfId="4260" xr:uid="{00000000-0005-0000-0000-0000A4100000}"/>
    <cellStyle name="Normal 10 2 10 2 30 5 6" xfId="4261" xr:uid="{00000000-0005-0000-0000-0000A5100000}"/>
    <cellStyle name="Normal 10 2 10 2 30 5 7" xfId="4262" xr:uid="{00000000-0005-0000-0000-0000A6100000}"/>
    <cellStyle name="Normal 10 2 10 2 30 5 8" xfId="4263" xr:uid="{00000000-0005-0000-0000-0000A7100000}"/>
    <cellStyle name="Normal 10 2 10 2 30 5 9" xfId="4264" xr:uid="{00000000-0005-0000-0000-0000A8100000}"/>
    <cellStyle name="Normal 10 2 10 2 30 6" xfId="4265" xr:uid="{00000000-0005-0000-0000-0000A9100000}"/>
    <cellStyle name="Normal 10 2 10 2 30 7" xfId="4266" xr:uid="{00000000-0005-0000-0000-0000AA100000}"/>
    <cellStyle name="Normal 10 2 10 2 30 8" xfId="4267" xr:uid="{00000000-0005-0000-0000-0000AB100000}"/>
    <cellStyle name="Normal 10 2 10 2 30 9" xfId="4268" xr:uid="{00000000-0005-0000-0000-0000AC100000}"/>
    <cellStyle name="Normal 10 2 10 2 31" xfId="4269" xr:uid="{00000000-0005-0000-0000-0000AD100000}"/>
    <cellStyle name="Normal 10 2 10 2 31 10" xfId="4270" xr:uid="{00000000-0005-0000-0000-0000AE100000}"/>
    <cellStyle name="Normal 10 2 10 2 31 11" xfId="4271" xr:uid="{00000000-0005-0000-0000-0000AF100000}"/>
    <cellStyle name="Normal 10 2 10 2 31 12" xfId="4272" xr:uid="{00000000-0005-0000-0000-0000B0100000}"/>
    <cellStyle name="Normal 10 2 10 2 31 13" xfId="4273" xr:uid="{00000000-0005-0000-0000-0000B1100000}"/>
    <cellStyle name="Normal 10 2 10 2 31 14" xfId="4274" xr:uid="{00000000-0005-0000-0000-0000B2100000}"/>
    <cellStyle name="Normal 10 2 10 2 31 2" xfId="4275" xr:uid="{00000000-0005-0000-0000-0000B3100000}"/>
    <cellStyle name="Normal 10 2 10 2 31 2 10" xfId="4276" xr:uid="{00000000-0005-0000-0000-0000B4100000}"/>
    <cellStyle name="Normal 10 2 10 2 31 2 2" xfId="4277" xr:uid="{00000000-0005-0000-0000-0000B5100000}"/>
    <cellStyle name="Normal 10 2 10 2 31 2 3" xfId="4278" xr:uid="{00000000-0005-0000-0000-0000B6100000}"/>
    <cellStyle name="Normal 10 2 10 2 31 2 4" xfId="4279" xr:uid="{00000000-0005-0000-0000-0000B7100000}"/>
    <cellStyle name="Normal 10 2 10 2 31 2 5" xfId="4280" xr:uid="{00000000-0005-0000-0000-0000B8100000}"/>
    <cellStyle name="Normal 10 2 10 2 31 2 6" xfId="4281" xr:uid="{00000000-0005-0000-0000-0000B9100000}"/>
    <cellStyle name="Normal 10 2 10 2 31 2 7" xfId="4282" xr:uid="{00000000-0005-0000-0000-0000BA100000}"/>
    <cellStyle name="Normal 10 2 10 2 31 2 8" xfId="4283" xr:uid="{00000000-0005-0000-0000-0000BB100000}"/>
    <cellStyle name="Normal 10 2 10 2 31 2 9" xfId="4284" xr:uid="{00000000-0005-0000-0000-0000BC100000}"/>
    <cellStyle name="Normal 10 2 10 2 31 3" xfId="4285" xr:uid="{00000000-0005-0000-0000-0000BD100000}"/>
    <cellStyle name="Normal 10 2 10 2 31 3 10" xfId="4286" xr:uid="{00000000-0005-0000-0000-0000BE100000}"/>
    <cellStyle name="Normal 10 2 10 2 31 3 2" xfId="4287" xr:uid="{00000000-0005-0000-0000-0000BF100000}"/>
    <cellStyle name="Normal 10 2 10 2 31 3 3" xfId="4288" xr:uid="{00000000-0005-0000-0000-0000C0100000}"/>
    <cellStyle name="Normal 10 2 10 2 31 3 4" xfId="4289" xr:uid="{00000000-0005-0000-0000-0000C1100000}"/>
    <cellStyle name="Normal 10 2 10 2 31 3 5" xfId="4290" xr:uid="{00000000-0005-0000-0000-0000C2100000}"/>
    <cellStyle name="Normal 10 2 10 2 31 3 6" xfId="4291" xr:uid="{00000000-0005-0000-0000-0000C3100000}"/>
    <cellStyle name="Normal 10 2 10 2 31 3 7" xfId="4292" xr:uid="{00000000-0005-0000-0000-0000C4100000}"/>
    <cellStyle name="Normal 10 2 10 2 31 3 8" xfId="4293" xr:uid="{00000000-0005-0000-0000-0000C5100000}"/>
    <cellStyle name="Normal 10 2 10 2 31 3 9" xfId="4294" xr:uid="{00000000-0005-0000-0000-0000C6100000}"/>
    <cellStyle name="Normal 10 2 10 2 31 4" xfId="4295" xr:uid="{00000000-0005-0000-0000-0000C7100000}"/>
    <cellStyle name="Normal 10 2 10 2 31 4 10" xfId="4296" xr:uid="{00000000-0005-0000-0000-0000C8100000}"/>
    <cellStyle name="Normal 10 2 10 2 31 4 2" xfId="4297" xr:uid="{00000000-0005-0000-0000-0000C9100000}"/>
    <cellStyle name="Normal 10 2 10 2 31 4 3" xfId="4298" xr:uid="{00000000-0005-0000-0000-0000CA100000}"/>
    <cellStyle name="Normal 10 2 10 2 31 4 4" xfId="4299" xr:uid="{00000000-0005-0000-0000-0000CB100000}"/>
    <cellStyle name="Normal 10 2 10 2 31 4 5" xfId="4300" xr:uid="{00000000-0005-0000-0000-0000CC100000}"/>
    <cellStyle name="Normal 10 2 10 2 31 4 6" xfId="4301" xr:uid="{00000000-0005-0000-0000-0000CD100000}"/>
    <cellStyle name="Normal 10 2 10 2 31 4 7" xfId="4302" xr:uid="{00000000-0005-0000-0000-0000CE100000}"/>
    <cellStyle name="Normal 10 2 10 2 31 4 8" xfId="4303" xr:uid="{00000000-0005-0000-0000-0000CF100000}"/>
    <cellStyle name="Normal 10 2 10 2 31 4 9" xfId="4304" xr:uid="{00000000-0005-0000-0000-0000D0100000}"/>
    <cellStyle name="Normal 10 2 10 2 31 5" xfId="4305" xr:uid="{00000000-0005-0000-0000-0000D1100000}"/>
    <cellStyle name="Normal 10 2 10 2 31 5 10" xfId="4306" xr:uid="{00000000-0005-0000-0000-0000D2100000}"/>
    <cellStyle name="Normal 10 2 10 2 31 5 2" xfId="4307" xr:uid="{00000000-0005-0000-0000-0000D3100000}"/>
    <cellStyle name="Normal 10 2 10 2 31 5 3" xfId="4308" xr:uid="{00000000-0005-0000-0000-0000D4100000}"/>
    <cellStyle name="Normal 10 2 10 2 31 5 4" xfId="4309" xr:uid="{00000000-0005-0000-0000-0000D5100000}"/>
    <cellStyle name="Normal 10 2 10 2 31 5 5" xfId="4310" xr:uid="{00000000-0005-0000-0000-0000D6100000}"/>
    <cellStyle name="Normal 10 2 10 2 31 5 6" xfId="4311" xr:uid="{00000000-0005-0000-0000-0000D7100000}"/>
    <cellStyle name="Normal 10 2 10 2 31 5 7" xfId="4312" xr:uid="{00000000-0005-0000-0000-0000D8100000}"/>
    <cellStyle name="Normal 10 2 10 2 31 5 8" xfId="4313" xr:uid="{00000000-0005-0000-0000-0000D9100000}"/>
    <cellStyle name="Normal 10 2 10 2 31 5 9" xfId="4314" xr:uid="{00000000-0005-0000-0000-0000DA100000}"/>
    <cellStyle name="Normal 10 2 10 2 31 6" xfId="4315" xr:uid="{00000000-0005-0000-0000-0000DB100000}"/>
    <cellStyle name="Normal 10 2 10 2 31 7" xfId="4316" xr:uid="{00000000-0005-0000-0000-0000DC100000}"/>
    <cellStyle name="Normal 10 2 10 2 31 8" xfId="4317" xr:uid="{00000000-0005-0000-0000-0000DD100000}"/>
    <cellStyle name="Normal 10 2 10 2 31 9" xfId="4318" xr:uid="{00000000-0005-0000-0000-0000DE100000}"/>
    <cellStyle name="Normal 10 2 10 2 32" xfId="4319" xr:uid="{00000000-0005-0000-0000-0000DF100000}"/>
    <cellStyle name="Normal 10 2 10 2 32 10" xfId="4320" xr:uid="{00000000-0005-0000-0000-0000E0100000}"/>
    <cellStyle name="Normal 10 2 10 2 32 11" xfId="4321" xr:uid="{00000000-0005-0000-0000-0000E1100000}"/>
    <cellStyle name="Normal 10 2 10 2 32 12" xfId="4322" xr:uid="{00000000-0005-0000-0000-0000E2100000}"/>
    <cellStyle name="Normal 10 2 10 2 32 13" xfId="4323" xr:uid="{00000000-0005-0000-0000-0000E3100000}"/>
    <cellStyle name="Normal 10 2 10 2 32 14" xfId="4324" xr:uid="{00000000-0005-0000-0000-0000E4100000}"/>
    <cellStyle name="Normal 10 2 10 2 32 2" xfId="4325" xr:uid="{00000000-0005-0000-0000-0000E5100000}"/>
    <cellStyle name="Normal 10 2 10 2 32 2 10" xfId="4326" xr:uid="{00000000-0005-0000-0000-0000E6100000}"/>
    <cellStyle name="Normal 10 2 10 2 32 2 2" xfId="4327" xr:uid="{00000000-0005-0000-0000-0000E7100000}"/>
    <cellStyle name="Normal 10 2 10 2 32 2 3" xfId="4328" xr:uid="{00000000-0005-0000-0000-0000E8100000}"/>
    <cellStyle name="Normal 10 2 10 2 32 2 4" xfId="4329" xr:uid="{00000000-0005-0000-0000-0000E9100000}"/>
    <cellStyle name="Normal 10 2 10 2 32 2 5" xfId="4330" xr:uid="{00000000-0005-0000-0000-0000EA100000}"/>
    <cellStyle name="Normal 10 2 10 2 32 2 6" xfId="4331" xr:uid="{00000000-0005-0000-0000-0000EB100000}"/>
    <cellStyle name="Normal 10 2 10 2 32 2 7" xfId="4332" xr:uid="{00000000-0005-0000-0000-0000EC100000}"/>
    <cellStyle name="Normal 10 2 10 2 32 2 8" xfId="4333" xr:uid="{00000000-0005-0000-0000-0000ED100000}"/>
    <cellStyle name="Normal 10 2 10 2 32 2 9" xfId="4334" xr:uid="{00000000-0005-0000-0000-0000EE100000}"/>
    <cellStyle name="Normal 10 2 10 2 32 3" xfId="4335" xr:uid="{00000000-0005-0000-0000-0000EF100000}"/>
    <cellStyle name="Normal 10 2 10 2 32 3 10" xfId="4336" xr:uid="{00000000-0005-0000-0000-0000F0100000}"/>
    <cellStyle name="Normal 10 2 10 2 32 3 2" xfId="4337" xr:uid="{00000000-0005-0000-0000-0000F1100000}"/>
    <cellStyle name="Normal 10 2 10 2 32 3 3" xfId="4338" xr:uid="{00000000-0005-0000-0000-0000F2100000}"/>
    <cellStyle name="Normal 10 2 10 2 32 3 4" xfId="4339" xr:uid="{00000000-0005-0000-0000-0000F3100000}"/>
    <cellStyle name="Normal 10 2 10 2 32 3 5" xfId="4340" xr:uid="{00000000-0005-0000-0000-0000F4100000}"/>
    <cellStyle name="Normal 10 2 10 2 32 3 6" xfId="4341" xr:uid="{00000000-0005-0000-0000-0000F5100000}"/>
    <cellStyle name="Normal 10 2 10 2 32 3 7" xfId="4342" xr:uid="{00000000-0005-0000-0000-0000F6100000}"/>
    <cellStyle name="Normal 10 2 10 2 32 3 8" xfId="4343" xr:uid="{00000000-0005-0000-0000-0000F7100000}"/>
    <cellStyle name="Normal 10 2 10 2 32 3 9" xfId="4344" xr:uid="{00000000-0005-0000-0000-0000F8100000}"/>
    <cellStyle name="Normal 10 2 10 2 32 4" xfId="4345" xr:uid="{00000000-0005-0000-0000-0000F9100000}"/>
    <cellStyle name="Normal 10 2 10 2 32 4 10" xfId="4346" xr:uid="{00000000-0005-0000-0000-0000FA100000}"/>
    <cellStyle name="Normal 10 2 10 2 32 4 2" xfId="4347" xr:uid="{00000000-0005-0000-0000-0000FB100000}"/>
    <cellStyle name="Normal 10 2 10 2 32 4 3" xfId="4348" xr:uid="{00000000-0005-0000-0000-0000FC100000}"/>
    <cellStyle name="Normal 10 2 10 2 32 4 4" xfId="4349" xr:uid="{00000000-0005-0000-0000-0000FD100000}"/>
    <cellStyle name="Normal 10 2 10 2 32 4 5" xfId="4350" xr:uid="{00000000-0005-0000-0000-0000FE100000}"/>
    <cellStyle name="Normal 10 2 10 2 32 4 6" xfId="4351" xr:uid="{00000000-0005-0000-0000-0000FF100000}"/>
    <cellStyle name="Normal 10 2 10 2 32 4 7" xfId="4352" xr:uid="{00000000-0005-0000-0000-000000110000}"/>
    <cellStyle name="Normal 10 2 10 2 32 4 8" xfId="4353" xr:uid="{00000000-0005-0000-0000-000001110000}"/>
    <cellStyle name="Normal 10 2 10 2 32 4 9" xfId="4354" xr:uid="{00000000-0005-0000-0000-000002110000}"/>
    <cellStyle name="Normal 10 2 10 2 32 5" xfId="4355" xr:uid="{00000000-0005-0000-0000-000003110000}"/>
    <cellStyle name="Normal 10 2 10 2 32 5 10" xfId="4356" xr:uid="{00000000-0005-0000-0000-000004110000}"/>
    <cellStyle name="Normal 10 2 10 2 32 5 2" xfId="4357" xr:uid="{00000000-0005-0000-0000-000005110000}"/>
    <cellStyle name="Normal 10 2 10 2 32 5 3" xfId="4358" xr:uid="{00000000-0005-0000-0000-000006110000}"/>
    <cellStyle name="Normal 10 2 10 2 32 5 4" xfId="4359" xr:uid="{00000000-0005-0000-0000-000007110000}"/>
    <cellStyle name="Normal 10 2 10 2 32 5 5" xfId="4360" xr:uid="{00000000-0005-0000-0000-000008110000}"/>
    <cellStyle name="Normal 10 2 10 2 32 5 6" xfId="4361" xr:uid="{00000000-0005-0000-0000-000009110000}"/>
    <cellStyle name="Normal 10 2 10 2 32 5 7" xfId="4362" xr:uid="{00000000-0005-0000-0000-00000A110000}"/>
    <cellStyle name="Normal 10 2 10 2 32 5 8" xfId="4363" xr:uid="{00000000-0005-0000-0000-00000B110000}"/>
    <cellStyle name="Normal 10 2 10 2 32 5 9" xfId="4364" xr:uid="{00000000-0005-0000-0000-00000C110000}"/>
    <cellStyle name="Normal 10 2 10 2 32 6" xfId="4365" xr:uid="{00000000-0005-0000-0000-00000D110000}"/>
    <cellStyle name="Normal 10 2 10 2 32 7" xfId="4366" xr:uid="{00000000-0005-0000-0000-00000E110000}"/>
    <cellStyle name="Normal 10 2 10 2 32 8" xfId="4367" xr:uid="{00000000-0005-0000-0000-00000F110000}"/>
    <cellStyle name="Normal 10 2 10 2 32 9" xfId="4368" xr:uid="{00000000-0005-0000-0000-000010110000}"/>
    <cellStyle name="Normal 10 2 10 2 33" xfId="4369" xr:uid="{00000000-0005-0000-0000-000011110000}"/>
    <cellStyle name="Normal 10 2 10 2 33 10" xfId="4370" xr:uid="{00000000-0005-0000-0000-000012110000}"/>
    <cellStyle name="Normal 10 2 10 2 33 11" xfId="4371" xr:uid="{00000000-0005-0000-0000-000013110000}"/>
    <cellStyle name="Normal 10 2 10 2 33 12" xfId="4372" xr:uid="{00000000-0005-0000-0000-000014110000}"/>
    <cellStyle name="Normal 10 2 10 2 33 13" xfId="4373" xr:uid="{00000000-0005-0000-0000-000015110000}"/>
    <cellStyle name="Normal 10 2 10 2 33 14" xfId="4374" xr:uid="{00000000-0005-0000-0000-000016110000}"/>
    <cellStyle name="Normal 10 2 10 2 33 2" xfId="4375" xr:uid="{00000000-0005-0000-0000-000017110000}"/>
    <cellStyle name="Normal 10 2 10 2 33 2 10" xfId="4376" xr:uid="{00000000-0005-0000-0000-000018110000}"/>
    <cellStyle name="Normal 10 2 10 2 33 2 2" xfId="4377" xr:uid="{00000000-0005-0000-0000-000019110000}"/>
    <cellStyle name="Normal 10 2 10 2 33 2 3" xfId="4378" xr:uid="{00000000-0005-0000-0000-00001A110000}"/>
    <cellStyle name="Normal 10 2 10 2 33 2 4" xfId="4379" xr:uid="{00000000-0005-0000-0000-00001B110000}"/>
    <cellStyle name="Normal 10 2 10 2 33 2 5" xfId="4380" xr:uid="{00000000-0005-0000-0000-00001C110000}"/>
    <cellStyle name="Normal 10 2 10 2 33 2 6" xfId="4381" xr:uid="{00000000-0005-0000-0000-00001D110000}"/>
    <cellStyle name="Normal 10 2 10 2 33 2 7" xfId="4382" xr:uid="{00000000-0005-0000-0000-00001E110000}"/>
    <cellStyle name="Normal 10 2 10 2 33 2 8" xfId="4383" xr:uid="{00000000-0005-0000-0000-00001F110000}"/>
    <cellStyle name="Normal 10 2 10 2 33 2 9" xfId="4384" xr:uid="{00000000-0005-0000-0000-000020110000}"/>
    <cellStyle name="Normal 10 2 10 2 33 3" xfId="4385" xr:uid="{00000000-0005-0000-0000-000021110000}"/>
    <cellStyle name="Normal 10 2 10 2 33 3 10" xfId="4386" xr:uid="{00000000-0005-0000-0000-000022110000}"/>
    <cellStyle name="Normal 10 2 10 2 33 3 2" xfId="4387" xr:uid="{00000000-0005-0000-0000-000023110000}"/>
    <cellStyle name="Normal 10 2 10 2 33 3 3" xfId="4388" xr:uid="{00000000-0005-0000-0000-000024110000}"/>
    <cellStyle name="Normal 10 2 10 2 33 3 4" xfId="4389" xr:uid="{00000000-0005-0000-0000-000025110000}"/>
    <cellStyle name="Normal 10 2 10 2 33 3 5" xfId="4390" xr:uid="{00000000-0005-0000-0000-000026110000}"/>
    <cellStyle name="Normal 10 2 10 2 33 3 6" xfId="4391" xr:uid="{00000000-0005-0000-0000-000027110000}"/>
    <cellStyle name="Normal 10 2 10 2 33 3 7" xfId="4392" xr:uid="{00000000-0005-0000-0000-000028110000}"/>
    <cellStyle name="Normal 10 2 10 2 33 3 8" xfId="4393" xr:uid="{00000000-0005-0000-0000-000029110000}"/>
    <cellStyle name="Normal 10 2 10 2 33 3 9" xfId="4394" xr:uid="{00000000-0005-0000-0000-00002A110000}"/>
    <cellStyle name="Normal 10 2 10 2 33 4" xfId="4395" xr:uid="{00000000-0005-0000-0000-00002B110000}"/>
    <cellStyle name="Normal 10 2 10 2 33 4 10" xfId="4396" xr:uid="{00000000-0005-0000-0000-00002C110000}"/>
    <cellStyle name="Normal 10 2 10 2 33 4 2" xfId="4397" xr:uid="{00000000-0005-0000-0000-00002D110000}"/>
    <cellStyle name="Normal 10 2 10 2 33 4 3" xfId="4398" xr:uid="{00000000-0005-0000-0000-00002E110000}"/>
    <cellStyle name="Normal 10 2 10 2 33 4 4" xfId="4399" xr:uid="{00000000-0005-0000-0000-00002F110000}"/>
    <cellStyle name="Normal 10 2 10 2 33 4 5" xfId="4400" xr:uid="{00000000-0005-0000-0000-000030110000}"/>
    <cellStyle name="Normal 10 2 10 2 33 4 6" xfId="4401" xr:uid="{00000000-0005-0000-0000-000031110000}"/>
    <cellStyle name="Normal 10 2 10 2 33 4 7" xfId="4402" xr:uid="{00000000-0005-0000-0000-000032110000}"/>
    <cellStyle name="Normal 10 2 10 2 33 4 8" xfId="4403" xr:uid="{00000000-0005-0000-0000-000033110000}"/>
    <cellStyle name="Normal 10 2 10 2 33 4 9" xfId="4404" xr:uid="{00000000-0005-0000-0000-000034110000}"/>
    <cellStyle name="Normal 10 2 10 2 33 5" xfId="4405" xr:uid="{00000000-0005-0000-0000-000035110000}"/>
    <cellStyle name="Normal 10 2 10 2 33 5 10" xfId="4406" xr:uid="{00000000-0005-0000-0000-000036110000}"/>
    <cellStyle name="Normal 10 2 10 2 33 5 2" xfId="4407" xr:uid="{00000000-0005-0000-0000-000037110000}"/>
    <cellStyle name="Normal 10 2 10 2 33 5 3" xfId="4408" xr:uid="{00000000-0005-0000-0000-000038110000}"/>
    <cellStyle name="Normal 10 2 10 2 33 5 4" xfId="4409" xr:uid="{00000000-0005-0000-0000-000039110000}"/>
    <cellStyle name="Normal 10 2 10 2 33 5 5" xfId="4410" xr:uid="{00000000-0005-0000-0000-00003A110000}"/>
    <cellStyle name="Normal 10 2 10 2 33 5 6" xfId="4411" xr:uid="{00000000-0005-0000-0000-00003B110000}"/>
    <cellStyle name="Normal 10 2 10 2 33 5 7" xfId="4412" xr:uid="{00000000-0005-0000-0000-00003C110000}"/>
    <cellStyle name="Normal 10 2 10 2 33 5 8" xfId="4413" xr:uid="{00000000-0005-0000-0000-00003D110000}"/>
    <cellStyle name="Normal 10 2 10 2 33 5 9" xfId="4414" xr:uid="{00000000-0005-0000-0000-00003E110000}"/>
    <cellStyle name="Normal 10 2 10 2 33 6" xfId="4415" xr:uid="{00000000-0005-0000-0000-00003F110000}"/>
    <cellStyle name="Normal 10 2 10 2 33 7" xfId="4416" xr:uid="{00000000-0005-0000-0000-000040110000}"/>
    <cellStyle name="Normal 10 2 10 2 33 8" xfId="4417" xr:uid="{00000000-0005-0000-0000-000041110000}"/>
    <cellStyle name="Normal 10 2 10 2 33 9" xfId="4418" xr:uid="{00000000-0005-0000-0000-000042110000}"/>
    <cellStyle name="Normal 10 2 10 2 34" xfId="4419" xr:uid="{00000000-0005-0000-0000-000043110000}"/>
    <cellStyle name="Normal 10 2 10 2 34 10" xfId="4420" xr:uid="{00000000-0005-0000-0000-000044110000}"/>
    <cellStyle name="Normal 10 2 10 2 34 2" xfId="4421" xr:uid="{00000000-0005-0000-0000-000045110000}"/>
    <cellStyle name="Normal 10 2 10 2 34 3" xfId="4422" xr:uid="{00000000-0005-0000-0000-000046110000}"/>
    <cellStyle name="Normal 10 2 10 2 34 4" xfId="4423" xr:uid="{00000000-0005-0000-0000-000047110000}"/>
    <cellStyle name="Normal 10 2 10 2 34 5" xfId="4424" xr:uid="{00000000-0005-0000-0000-000048110000}"/>
    <cellStyle name="Normal 10 2 10 2 34 6" xfId="4425" xr:uid="{00000000-0005-0000-0000-000049110000}"/>
    <cellStyle name="Normal 10 2 10 2 34 7" xfId="4426" xr:uid="{00000000-0005-0000-0000-00004A110000}"/>
    <cellStyle name="Normal 10 2 10 2 34 8" xfId="4427" xr:uid="{00000000-0005-0000-0000-00004B110000}"/>
    <cellStyle name="Normal 10 2 10 2 34 9" xfId="4428" xr:uid="{00000000-0005-0000-0000-00004C110000}"/>
    <cellStyle name="Normal 10 2 10 2 35" xfId="4429" xr:uid="{00000000-0005-0000-0000-00004D110000}"/>
    <cellStyle name="Normal 10 2 10 2 35 10" xfId="4430" xr:uid="{00000000-0005-0000-0000-00004E110000}"/>
    <cellStyle name="Normal 10 2 10 2 35 2" xfId="4431" xr:uid="{00000000-0005-0000-0000-00004F110000}"/>
    <cellStyle name="Normal 10 2 10 2 35 3" xfId="4432" xr:uid="{00000000-0005-0000-0000-000050110000}"/>
    <cellStyle name="Normal 10 2 10 2 35 4" xfId="4433" xr:uid="{00000000-0005-0000-0000-000051110000}"/>
    <cellStyle name="Normal 10 2 10 2 35 5" xfId="4434" xr:uid="{00000000-0005-0000-0000-000052110000}"/>
    <cellStyle name="Normal 10 2 10 2 35 6" xfId="4435" xr:uid="{00000000-0005-0000-0000-000053110000}"/>
    <cellStyle name="Normal 10 2 10 2 35 7" xfId="4436" xr:uid="{00000000-0005-0000-0000-000054110000}"/>
    <cellStyle name="Normal 10 2 10 2 35 8" xfId="4437" xr:uid="{00000000-0005-0000-0000-000055110000}"/>
    <cellStyle name="Normal 10 2 10 2 35 9" xfId="4438" xr:uid="{00000000-0005-0000-0000-000056110000}"/>
    <cellStyle name="Normal 10 2 10 2 36" xfId="4439" xr:uid="{00000000-0005-0000-0000-000057110000}"/>
    <cellStyle name="Normal 10 2 10 2 36 10" xfId="4440" xr:uid="{00000000-0005-0000-0000-000058110000}"/>
    <cellStyle name="Normal 10 2 10 2 36 2" xfId="4441" xr:uid="{00000000-0005-0000-0000-000059110000}"/>
    <cellStyle name="Normal 10 2 10 2 36 3" xfId="4442" xr:uid="{00000000-0005-0000-0000-00005A110000}"/>
    <cellStyle name="Normal 10 2 10 2 36 4" xfId="4443" xr:uid="{00000000-0005-0000-0000-00005B110000}"/>
    <cellStyle name="Normal 10 2 10 2 36 5" xfId="4444" xr:uid="{00000000-0005-0000-0000-00005C110000}"/>
    <cellStyle name="Normal 10 2 10 2 36 6" xfId="4445" xr:uid="{00000000-0005-0000-0000-00005D110000}"/>
    <cellStyle name="Normal 10 2 10 2 36 7" xfId="4446" xr:uid="{00000000-0005-0000-0000-00005E110000}"/>
    <cellStyle name="Normal 10 2 10 2 36 8" xfId="4447" xr:uid="{00000000-0005-0000-0000-00005F110000}"/>
    <cellStyle name="Normal 10 2 10 2 36 9" xfId="4448" xr:uid="{00000000-0005-0000-0000-000060110000}"/>
    <cellStyle name="Normal 10 2 10 2 37" xfId="4449" xr:uid="{00000000-0005-0000-0000-000061110000}"/>
    <cellStyle name="Normal 10 2 10 2 37 10" xfId="4450" xr:uid="{00000000-0005-0000-0000-000062110000}"/>
    <cellStyle name="Normal 10 2 10 2 37 2" xfId="4451" xr:uid="{00000000-0005-0000-0000-000063110000}"/>
    <cellStyle name="Normal 10 2 10 2 37 3" xfId="4452" xr:uid="{00000000-0005-0000-0000-000064110000}"/>
    <cellStyle name="Normal 10 2 10 2 37 4" xfId="4453" xr:uid="{00000000-0005-0000-0000-000065110000}"/>
    <cellStyle name="Normal 10 2 10 2 37 5" xfId="4454" xr:uid="{00000000-0005-0000-0000-000066110000}"/>
    <cellStyle name="Normal 10 2 10 2 37 6" xfId="4455" xr:uid="{00000000-0005-0000-0000-000067110000}"/>
    <cellStyle name="Normal 10 2 10 2 37 7" xfId="4456" xr:uid="{00000000-0005-0000-0000-000068110000}"/>
    <cellStyle name="Normal 10 2 10 2 37 8" xfId="4457" xr:uid="{00000000-0005-0000-0000-000069110000}"/>
    <cellStyle name="Normal 10 2 10 2 37 9" xfId="4458" xr:uid="{00000000-0005-0000-0000-00006A110000}"/>
    <cellStyle name="Normal 10 2 10 2 38" xfId="4459" xr:uid="{00000000-0005-0000-0000-00006B110000}"/>
    <cellStyle name="Normal 10 2 10 2 39" xfId="4460" xr:uid="{00000000-0005-0000-0000-00006C110000}"/>
    <cellStyle name="Normal 10 2 10 2 4" xfId="4461" xr:uid="{00000000-0005-0000-0000-00006D110000}"/>
    <cellStyle name="Normal 10 2 10 2 4 10" xfId="4462" xr:uid="{00000000-0005-0000-0000-00006E110000}"/>
    <cellStyle name="Normal 10 2 10 2 4 11" xfId="4463" xr:uid="{00000000-0005-0000-0000-00006F110000}"/>
    <cellStyle name="Normal 10 2 10 2 4 12" xfId="4464" xr:uid="{00000000-0005-0000-0000-000070110000}"/>
    <cellStyle name="Normal 10 2 10 2 4 13" xfId="4465" xr:uid="{00000000-0005-0000-0000-000071110000}"/>
    <cellStyle name="Normal 10 2 10 2 4 14" xfId="4466" xr:uid="{00000000-0005-0000-0000-000072110000}"/>
    <cellStyle name="Normal 10 2 10 2 4 2" xfId="4467" xr:uid="{00000000-0005-0000-0000-000073110000}"/>
    <cellStyle name="Normal 10 2 10 2 4 2 10" xfId="4468" xr:uid="{00000000-0005-0000-0000-000074110000}"/>
    <cellStyle name="Normal 10 2 10 2 4 2 2" xfId="4469" xr:uid="{00000000-0005-0000-0000-000075110000}"/>
    <cellStyle name="Normal 10 2 10 2 4 2 3" xfId="4470" xr:uid="{00000000-0005-0000-0000-000076110000}"/>
    <cellStyle name="Normal 10 2 10 2 4 2 4" xfId="4471" xr:uid="{00000000-0005-0000-0000-000077110000}"/>
    <cellStyle name="Normal 10 2 10 2 4 2 5" xfId="4472" xr:uid="{00000000-0005-0000-0000-000078110000}"/>
    <cellStyle name="Normal 10 2 10 2 4 2 6" xfId="4473" xr:uid="{00000000-0005-0000-0000-000079110000}"/>
    <cellStyle name="Normal 10 2 10 2 4 2 7" xfId="4474" xr:uid="{00000000-0005-0000-0000-00007A110000}"/>
    <cellStyle name="Normal 10 2 10 2 4 2 8" xfId="4475" xr:uid="{00000000-0005-0000-0000-00007B110000}"/>
    <cellStyle name="Normal 10 2 10 2 4 2 9" xfId="4476" xr:uid="{00000000-0005-0000-0000-00007C110000}"/>
    <cellStyle name="Normal 10 2 10 2 4 3" xfId="4477" xr:uid="{00000000-0005-0000-0000-00007D110000}"/>
    <cellStyle name="Normal 10 2 10 2 4 3 10" xfId="4478" xr:uid="{00000000-0005-0000-0000-00007E110000}"/>
    <cellStyle name="Normal 10 2 10 2 4 3 2" xfId="4479" xr:uid="{00000000-0005-0000-0000-00007F110000}"/>
    <cellStyle name="Normal 10 2 10 2 4 3 3" xfId="4480" xr:uid="{00000000-0005-0000-0000-000080110000}"/>
    <cellStyle name="Normal 10 2 10 2 4 3 4" xfId="4481" xr:uid="{00000000-0005-0000-0000-000081110000}"/>
    <cellStyle name="Normal 10 2 10 2 4 3 5" xfId="4482" xr:uid="{00000000-0005-0000-0000-000082110000}"/>
    <cellStyle name="Normal 10 2 10 2 4 3 6" xfId="4483" xr:uid="{00000000-0005-0000-0000-000083110000}"/>
    <cellStyle name="Normal 10 2 10 2 4 3 7" xfId="4484" xr:uid="{00000000-0005-0000-0000-000084110000}"/>
    <cellStyle name="Normal 10 2 10 2 4 3 8" xfId="4485" xr:uid="{00000000-0005-0000-0000-000085110000}"/>
    <cellStyle name="Normal 10 2 10 2 4 3 9" xfId="4486" xr:uid="{00000000-0005-0000-0000-000086110000}"/>
    <cellStyle name="Normal 10 2 10 2 4 4" xfId="4487" xr:uid="{00000000-0005-0000-0000-000087110000}"/>
    <cellStyle name="Normal 10 2 10 2 4 4 10" xfId="4488" xr:uid="{00000000-0005-0000-0000-000088110000}"/>
    <cellStyle name="Normal 10 2 10 2 4 4 2" xfId="4489" xr:uid="{00000000-0005-0000-0000-000089110000}"/>
    <cellStyle name="Normal 10 2 10 2 4 4 3" xfId="4490" xr:uid="{00000000-0005-0000-0000-00008A110000}"/>
    <cellStyle name="Normal 10 2 10 2 4 4 4" xfId="4491" xr:uid="{00000000-0005-0000-0000-00008B110000}"/>
    <cellStyle name="Normal 10 2 10 2 4 4 5" xfId="4492" xr:uid="{00000000-0005-0000-0000-00008C110000}"/>
    <cellStyle name="Normal 10 2 10 2 4 4 6" xfId="4493" xr:uid="{00000000-0005-0000-0000-00008D110000}"/>
    <cellStyle name="Normal 10 2 10 2 4 4 7" xfId="4494" xr:uid="{00000000-0005-0000-0000-00008E110000}"/>
    <cellStyle name="Normal 10 2 10 2 4 4 8" xfId="4495" xr:uid="{00000000-0005-0000-0000-00008F110000}"/>
    <cellStyle name="Normal 10 2 10 2 4 4 9" xfId="4496" xr:uid="{00000000-0005-0000-0000-000090110000}"/>
    <cellStyle name="Normal 10 2 10 2 4 5" xfId="4497" xr:uid="{00000000-0005-0000-0000-000091110000}"/>
    <cellStyle name="Normal 10 2 10 2 4 5 10" xfId="4498" xr:uid="{00000000-0005-0000-0000-000092110000}"/>
    <cellStyle name="Normal 10 2 10 2 4 5 2" xfId="4499" xr:uid="{00000000-0005-0000-0000-000093110000}"/>
    <cellStyle name="Normal 10 2 10 2 4 5 3" xfId="4500" xr:uid="{00000000-0005-0000-0000-000094110000}"/>
    <cellStyle name="Normal 10 2 10 2 4 5 4" xfId="4501" xr:uid="{00000000-0005-0000-0000-000095110000}"/>
    <cellStyle name="Normal 10 2 10 2 4 5 5" xfId="4502" xr:uid="{00000000-0005-0000-0000-000096110000}"/>
    <cellStyle name="Normal 10 2 10 2 4 5 6" xfId="4503" xr:uid="{00000000-0005-0000-0000-000097110000}"/>
    <cellStyle name="Normal 10 2 10 2 4 5 7" xfId="4504" xr:uid="{00000000-0005-0000-0000-000098110000}"/>
    <cellStyle name="Normal 10 2 10 2 4 5 8" xfId="4505" xr:uid="{00000000-0005-0000-0000-000099110000}"/>
    <cellStyle name="Normal 10 2 10 2 4 5 9" xfId="4506" xr:uid="{00000000-0005-0000-0000-00009A110000}"/>
    <cellStyle name="Normal 10 2 10 2 4 6" xfId="4507" xr:uid="{00000000-0005-0000-0000-00009B110000}"/>
    <cellStyle name="Normal 10 2 10 2 4 7" xfId="4508" xr:uid="{00000000-0005-0000-0000-00009C110000}"/>
    <cellStyle name="Normal 10 2 10 2 4 8" xfId="4509" xr:uid="{00000000-0005-0000-0000-00009D110000}"/>
    <cellStyle name="Normal 10 2 10 2 4 9" xfId="4510" xr:uid="{00000000-0005-0000-0000-00009E110000}"/>
    <cellStyle name="Normal 10 2 10 2 40" xfId="4511" xr:uid="{00000000-0005-0000-0000-00009F110000}"/>
    <cellStyle name="Normal 10 2 10 2 41" xfId="4512" xr:uid="{00000000-0005-0000-0000-0000A0110000}"/>
    <cellStyle name="Normal 10 2 10 2 42" xfId="4513" xr:uid="{00000000-0005-0000-0000-0000A1110000}"/>
    <cellStyle name="Normal 10 2 10 2 43" xfId="4514" xr:uid="{00000000-0005-0000-0000-0000A2110000}"/>
    <cellStyle name="Normal 10 2 10 2 44" xfId="4515" xr:uid="{00000000-0005-0000-0000-0000A3110000}"/>
    <cellStyle name="Normal 10 2 10 2 45" xfId="4516" xr:uid="{00000000-0005-0000-0000-0000A4110000}"/>
    <cellStyle name="Normal 10 2 10 2 46" xfId="4517" xr:uid="{00000000-0005-0000-0000-0000A5110000}"/>
    <cellStyle name="Normal 10 2 10 2 47" xfId="4518" xr:uid="{00000000-0005-0000-0000-0000A6110000}"/>
    <cellStyle name="Normal 10 2 10 2 48" xfId="4519" xr:uid="{00000000-0005-0000-0000-0000A7110000}"/>
    <cellStyle name="Normal 10 2 10 2 5" xfId="4520" xr:uid="{00000000-0005-0000-0000-0000A8110000}"/>
    <cellStyle name="Normal 10 2 10 2 5 10" xfId="4521" xr:uid="{00000000-0005-0000-0000-0000A9110000}"/>
    <cellStyle name="Normal 10 2 10 2 5 11" xfId="4522" xr:uid="{00000000-0005-0000-0000-0000AA110000}"/>
    <cellStyle name="Normal 10 2 10 2 5 12" xfId="4523" xr:uid="{00000000-0005-0000-0000-0000AB110000}"/>
    <cellStyle name="Normal 10 2 10 2 5 13" xfId="4524" xr:uid="{00000000-0005-0000-0000-0000AC110000}"/>
    <cellStyle name="Normal 10 2 10 2 5 14" xfId="4525" xr:uid="{00000000-0005-0000-0000-0000AD110000}"/>
    <cellStyle name="Normal 10 2 10 2 5 2" xfId="4526" xr:uid="{00000000-0005-0000-0000-0000AE110000}"/>
    <cellStyle name="Normal 10 2 10 2 5 2 10" xfId="4527" xr:uid="{00000000-0005-0000-0000-0000AF110000}"/>
    <cellStyle name="Normal 10 2 10 2 5 2 2" xfId="4528" xr:uid="{00000000-0005-0000-0000-0000B0110000}"/>
    <cellStyle name="Normal 10 2 10 2 5 2 3" xfId="4529" xr:uid="{00000000-0005-0000-0000-0000B1110000}"/>
    <cellStyle name="Normal 10 2 10 2 5 2 4" xfId="4530" xr:uid="{00000000-0005-0000-0000-0000B2110000}"/>
    <cellStyle name="Normal 10 2 10 2 5 2 5" xfId="4531" xr:uid="{00000000-0005-0000-0000-0000B3110000}"/>
    <cellStyle name="Normal 10 2 10 2 5 2 6" xfId="4532" xr:uid="{00000000-0005-0000-0000-0000B4110000}"/>
    <cellStyle name="Normal 10 2 10 2 5 2 7" xfId="4533" xr:uid="{00000000-0005-0000-0000-0000B5110000}"/>
    <cellStyle name="Normal 10 2 10 2 5 2 8" xfId="4534" xr:uid="{00000000-0005-0000-0000-0000B6110000}"/>
    <cellStyle name="Normal 10 2 10 2 5 2 9" xfId="4535" xr:uid="{00000000-0005-0000-0000-0000B7110000}"/>
    <cellStyle name="Normal 10 2 10 2 5 3" xfId="4536" xr:uid="{00000000-0005-0000-0000-0000B8110000}"/>
    <cellStyle name="Normal 10 2 10 2 5 3 10" xfId="4537" xr:uid="{00000000-0005-0000-0000-0000B9110000}"/>
    <cellStyle name="Normal 10 2 10 2 5 3 2" xfId="4538" xr:uid="{00000000-0005-0000-0000-0000BA110000}"/>
    <cellStyle name="Normal 10 2 10 2 5 3 3" xfId="4539" xr:uid="{00000000-0005-0000-0000-0000BB110000}"/>
    <cellStyle name="Normal 10 2 10 2 5 3 4" xfId="4540" xr:uid="{00000000-0005-0000-0000-0000BC110000}"/>
    <cellStyle name="Normal 10 2 10 2 5 3 5" xfId="4541" xr:uid="{00000000-0005-0000-0000-0000BD110000}"/>
    <cellStyle name="Normal 10 2 10 2 5 3 6" xfId="4542" xr:uid="{00000000-0005-0000-0000-0000BE110000}"/>
    <cellStyle name="Normal 10 2 10 2 5 3 7" xfId="4543" xr:uid="{00000000-0005-0000-0000-0000BF110000}"/>
    <cellStyle name="Normal 10 2 10 2 5 3 8" xfId="4544" xr:uid="{00000000-0005-0000-0000-0000C0110000}"/>
    <cellStyle name="Normal 10 2 10 2 5 3 9" xfId="4545" xr:uid="{00000000-0005-0000-0000-0000C1110000}"/>
    <cellStyle name="Normal 10 2 10 2 5 4" xfId="4546" xr:uid="{00000000-0005-0000-0000-0000C2110000}"/>
    <cellStyle name="Normal 10 2 10 2 5 4 10" xfId="4547" xr:uid="{00000000-0005-0000-0000-0000C3110000}"/>
    <cellStyle name="Normal 10 2 10 2 5 4 2" xfId="4548" xr:uid="{00000000-0005-0000-0000-0000C4110000}"/>
    <cellStyle name="Normal 10 2 10 2 5 4 3" xfId="4549" xr:uid="{00000000-0005-0000-0000-0000C5110000}"/>
    <cellStyle name="Normal 10 2 10 2 5 4 4" xfId="4550" xr:uid="{00000000-0005-0000-0000-0000C6110000}"/>
    <cellStyle name="Normal 10 2 10 2 5 4 5" xfId="4551" xr:uid="{00000000-0005-0000-0000-0000C7110000}"/>
    <cellStyle name="Normal 10 2 10 2 5 4 6" xfId="4552" xr:uid="{00000000-0005-0000-0000-0000C8110000}"/>
    <cellStyle name="Normal 10 2 10 2 5 4 7" xfId="4553" xr:uid="{00000000-0005-0000-0000-0000C9110000}"/>
    <cellStyle name="Normal 10 2 10 2 5 4 8" xfId="4554" xr:uid="{00000000-0005-0000-0000-0000CA110000}"/>
    <cellStyle name="Normal 10 2 10 2 5 4 9" xfId="4555" xr:uid="{00000000-0005-0000-0000-0000CB110000}"/>
    <cellStyle name="Normal 10 2 10 2 5 5" xfId="4556" xr:uid="{00000000-0005-0000-0000-0000CC110000}"/>
    <cellStyle name="Normal 10 2 10 2 5 5 10" xfId="4557" xr:uid="{00000000-0005-0000-0000-0000CD110000}"/>
    <cellStyle name="Normal 10 2 10 2 5 5 2" xfId="4558" xr:uid="{00000000-0005-0000-0000-0000CE110000}"/>
    <cellStyle name="Normal 10 2 10 2 5 5 3" xfId="4559" xr:uid="{00000000-0005-0000-0000-0000CF110000}"/>
    <cellStyle name="Normal 10 2 10 2 5 5 4" xfId="4560" xr:uid="{00000000-0005-0000-0000-0000D0110000}"/>
    <cellStyle name="Normal 10 2 10 2 5 5 5" xfId="4561" xr:uid="{00000000-0005-0000-0000-0000D1110000}"/>
    <cellStyle name="Normal 10 2 10 2 5 5 6" xfId="4562" xr:uid="{00000000-0005-0000-0000-0000D2110000}"/>
    <cellStyle name="Normal 10 2 10 2 5 5 7" xfId="4563" xr:uid="{00000000-0005-0000-0000-0000D3110000}"/>
    <cellStyle name="Normal 10 2 10 2 5 5 8" xfId="4564" xr:uid="{00000000-0005-0000-0000-0000D4110000}"/>
    <cellStyle name="Normal 10 2 10 2 5 5 9" xfId="4565" xr:uid="{00000000-0005-0000-0000-0000D5110000}"/>
    <cellStyle name="Normal 10 2 10 2 5 6" xfId="4566" xr:uid="{00000000-0005-0000-0000-0000D6110000}"/>
    <cellStyle name="Normal 10 2 10 2 5 7" xfId="4567" xr:uid="{00000000-0005-0000-0000-0000D7110000}"/>
    <cellStyle name="Normal 10 2 10 2 5 8" xfId="4568" xr:uid="{00000000-0005-0000-0000-0000D8110000}"/>
    <cellStyle name="Normal 10 2 10 2 5 9" xfId="4569" xr:uid="{00000000-0005-0000-0000-0000D9110000}"/>
    <cellStyle name="Normal 10 2 10 2 6" xfId="4570" xr:uid="{00000000-0005-0000-0000-0000DA110000}"/>
    <cellStyle name="Normal 10 2 10 2 6 10" xfId="4571" xr:uid="{00000000-0005-0000-0000-0000DB110000}"/>
    <cellStyle name="Normal 10 2 10 2 6 11" xfId="4572" xr:uid="{00000000-0005-0000-0000-0000DC110000}"/>
    <cellStyle name="Normal 10 2 10 2 6 12" xfId="4573" xr:uid="{00000000-0005-0000-0000-0000DD110000}"/>
    <cellStyle name="Normal 10 2 10 2 6 13" xfId="4574" xr:uid="{00000000-0005-0000-0000-0000DE110000}"/>
    <cellStyle name="Normal 10 2 10 2 6 14" xfId="4575" xr:uid="{00000000-0005-0000-0000-0000DF110000}"/>
    <cellStyle name="Normal 10 2 10 2 6 2" xfId="4576" xr:uid="{00000000-0005-0000-0000-0000E0110000}"/>
    <cellStyle name="Normal 10 2 10 2 6 2 10" xfId="4577" xr:uid="{00000000-0005-0000-0000-0000E1110000}"/>
    <cellStyle name="Normal 10 2 10 2 6 2 2" xfId="4578" xr:uid="{00000000-0005-0000-0000-0000E2110000}"/>
    <cellStyle name="Normal 10 2 10 2 6 2 3" xfId="4579" xr:uid="{00000000-0005-0000-0000-0000E3110000}"/>
    <cellStyle name="Normal 10 2 10 2 6 2 4" xfId="4580" xr:uid="{00000000-0005-0000-0000-0000E4110000}"/>
    <cellStyle name="Normal 10 2 10 2 6 2 5" xfId="4581" xr:uid="{00000000-0005-0000-0000-0000E5110000}"/>
    <cellStyle name="Normal 10 2 10 2 6 2 6" xfId="4582" xr:uid="{00000000-0005-0000-0000-0000E6110000}"/>
    <cellStyle name="Normal 10 2 10 2 6 2 7" xfId="4583" xr:uid="{00000000-0005-0000-0000-0000E7110000}"/>
    <cellStyle name="Normal 10 2 10 2 6 2 8" xfId="4584" xr:uid="{00000000-0005-0000-0000-0000E8110000}"/>
    <cellStyle name="Normal 10 2 10 2 6 2 9" xfId="4585" xr:uid="{00000000-0005-0000-0000-0000E9110000}"/>
    <cellStyle name="Normal 10 2 10 2 6 3" xfId="4586" xr:uid="{00000000-0005-0000-0000-0000EA110000}"/>
    <cellStyle name="Normal 10 2 10 2 6 3 10" xfId="4587" xr:uid="{00000000-0005-0000-0000-0000EB110000}"/>
    <cellStyle name="Normal 10 2 10 2 6 3 2" xfId="4588" xr:uid="{00000000-0005-0000-0000-0000EC110000}"/>
    <cellStyle name="Normal 10 2 10 2 6 3 3" xfId="4589" xr:uid="{00000000-0005-0000-0000-0000ED110000}"/>
    <cellStyle name="Normal 10 2 10 2 6 3 4" xfId="4590" xr:uid="{00000000-0005-0000-0000-0000EE110000}"/>
    <cellStyle name="Normal 10 2 10 2 6 3 5" xfId="4591" xr:uid="{00000000-0005-0000-0000-0000EF110000}"/>
    <cellStyle name="Normal 10 2 10 2 6 3 6" xfId="4592" xr:uid="{00000000-0005-0000-0000-0000F0110000}"/>
    <cellStyle name="Normal 10 2 10 2 6 3 7" xfId="4593" xr:uid="{00000000-0005-0000-0000-0000F1110000}"/>
    <cellStyle name="Normal 10 2 10 2 6 3 8" xfId="4594" xr:uid="{00000000-0005-0000-0000-0000F2110000}"/>
    <cellStyle name="Normal 10 2 10 2 6 3 9" xfId="4595" xr:uid="{00000000-0005-0000-0000-0000F3110000}"/>
    <cellStyle name="Normal 10 2 10 2 6 4" xfId="4596" xr:uid="{00000000-0005-0000-0000-0000F4110000}"/>
    <cellStyle name="Normal 10 2 10 2 6 4 10" xfId="4597" xr:uid="{00000000-0005-0000-0000-0000F5110000}"/>
    <cellStyle name="Normal 10 2 10 2 6 4 2" xfId="4598" xr:uid="{00000000-0005-0000-0000-0000F6110000}"/>
    <cellStyle name="Normal 10 2 10 2 6 4 3" xfId="4599" xr:uid="{00000000-0005-0000-0000-0000F7110000}"/>
    <cellStyle name="Normal 10 2 10 2 6 4 4" xfId="4600" xr:uid="{00000000-0005-0000-0000-0000F8110000}"/>
    <cellStyle name="Normal 10 2 10 2 6 4 5" xfId="4601" xr:uid="{00000000-0005-0000-0000-0000F9110000}"/>
    <cellStyle name="Normal 10 2 10 2 6 4 6" xfId="4602" xr:uid="{00000000-0005-0000-0000-0000FA110000}"/>
    <cellStyle name="Normal 10 2 10 2 6 4 7" xfId="4603" xr:uid="{00000000-0005-0000-0000-0000FB110000}"/>
    <cellStyle name="Normal 10 2 10 2 6 4 8" xfId="4604" xr:uid="{00000000-0005-0000-0000-0000FC110000}"/>
    <cellStyle name="Normal 10 2 10 2 6 4 9" xfId="4605" xr:uid="{00000000-0005-0000-0000-0000FD110000}"/>
    <cellStyle name="Normal 10 2 10 2 6 5" xfId="4606" xr:uid="{00000000-0005-0000-0000-0000FE110000}"/>
    <cellStyle name="Normal 10 2 10 2 6 5 10" xfId="4607" xr:uid="{00000000-0005-0000-0000-0000FF110000}"/>
    <cellStyle name="Normal 10 2 10 2 6 5 2" xfId="4608" xr:uid="{00000000-0005-0000-0000-000000120000}"/>
    <cellStyle name="Normal 10 2 10 2 6 5 3" xfId="4609" xr:uid="{00000000-0005-0000-0000-000001120000}"/>
    <cellStyle name="Normal 10 2 10 2 6 5 4" xfId="4610" xr:uid="{00000000-0005-0000-0000-000002120000}"/>
    <cellStyle name="Normal 10 2 10 2 6 5 5" xfId="4611" xr:uid="{00000000-0005-0000-0000-000003120000}"/>
    <cellStyle name="Normal 10 2 10 2 6 5 6" xfId="4612" xr:uid="{00000000-0005-0000-0000-000004120000}"/>
    <cellStyle name="Normal 10 2 10 2 6 5 7" xfId="4613" xr:uid="{00000000-0005-0000-0000-000005120000}"/>
    <cellStyle name="Normal 10 2 10 2 6 5 8" xfId="4614" xr:uid="{00000000-0005-0000-0000-000006120000}"/>
    <cellStyle name="Normal 10 2 10 2 6 5 9" xfId="4615" xr:uid="{00000000-0005-0000-0000-000007120000}"/>
    <cellStyle name="Normal 10 2 10 2 6 6" xfId="4616" xr:uid="{00000000-0005-0000-0000-000008120000}"/>
    <cellStyle name="Normal 10 2 10 2 6 7" xfId="4617" xr:uid="{00000000-0005-0000-0000-000009120000}"/>
    <cellStyle name="Normal 10 2 10 2 6 8" xfId="4618" xr:uid="{00000000-0005-0000-0000-00000A120000}"/>
    <cellStyle name="Normal 10 2 10 2 6 9" xfId="4619" xr:uid="{00000000-0005-0000-0000-00000B120000}"/>
    <cellStyle name="Normal 10 2 10 2 7" xfId="4620" xr:uid="{00000000-0005-0000-0000-00000C120000}"/>
    <cellStyle name="Normal 10 2 10 2 7 10" xfId="4621" xr:uid="{00000000-0005-0000-0000-00000D120000}"/>
    <cellStyle name="Normal 10 2 10 2 7 11" xfId="4622" xr:uid="{00000000-0005-0000-0000-00000E120000}"/>
    <cellStyle name="Normal 10 2 10 2 7 12" xfId="4623" xr:uid="{00000000-0005-0000-0000-00000F120000}"/>
    <cellStyle name="Normal 10 2 10 2 7 13" xfId="4624" xr:uid="{00000000-0005-0000-0000-000010120000}"/>
    <cellStyle name="Normal 10 2 10 2 7 14" xfId="4625" xr:uid="{00000000-0005-0000-0000-000011120000}"/>
    <cellStyle name="Normal 10 2 10 2 7 2" xfId="4626" xr:uid="{00000000-0005-0000-0000-000012120000}"/>
    <cellStyle name="Normal 10 2 10 2 7 2 10" xfId="4627" xr:uid="{00000000-0005-0000-0000-000013120000}"/>
    <cellStyle name="Normal 10 2 10 2 7 2 2" xfId="4628" xr:uid="{00000000-0005-0000-0000-000014120000}"/>
    <cellStyle name="Normal 10 2 10 2 7 2 3" xfId="4629" xr:uid="{00000000-0005-0000-0000-000015120000}"/>
    <cellStyle name="Normal 10 2 10 2 7 2 4" xfId="4630" xr:uid="{00000000-0005-0000-0000-000016120000}"/>
    <cellStyle name="Normal 10 2 10 2 7 2 5" xfId="4631" xr:uid="{00000000-0005-0000-0000-000017120000}"/>
    <cellStyle name="Normal 10 2 10 2 7 2 6" xfId="4632" xr:uid="{00000000-0005-0000-0000-000018120000}"/>
    <cellStyle name="Normal 10 2 10 2 7 2 7" xfId="4633" xr:uid="{00000000-0005-0000-0000-000019120000}"/>
    <cellStyle name="Normal 10 2 10 2 7 2 8" xfId="4634" xr:uid="{00000000-0005-0000-0000-00001A120000}"/>
    <cellStyle name="Normal 10 2 10 2 7 2 9" xfId="4635" xr:uid="{00000000-0005-0000-0000-00001B120000}"/>
    <cellStyle name="Normal 10 2 10 2 7 3" xfId="4636" xr:uid="{00000000-0005-0000-0000-00001C120000}"/>
    <cellStyle name="Normal 10 2 10 2 7 3 10" xfId="4637" xr:uid="{00000000-0005-0000-0000-00001D120000}"/>
    <cellStyle name="Normal 10 2 10 2 7 3 2" xfId="4638" xr:uid="{00000000-0005-0000-0000-00001E120000}"/>
    <cellStyle name="Normal 10 2 10 2 7 3 3" xfId="4639" xr:uid="{00000000-0005-0000-0000-00001F120000}"/>
    <cellStyle name="Normal 10 2 10 2 7 3 4" xfId="4640" xr:uid="{00000000-0005-0000-0000-000020120000}"/>
    <cellStyle name="Normal 10 2 10 2 7 3 5" xfId="4641" xr:uid="{00000000-0005-0000-0000-000021120000}"/>
    <cellStyle name="Normal 10 2 10 2 7 3 6" xfId="4642" xr:uid="{00000000-0005-0000-0000-000022120000}"/>
    <cellStyle name="Normal 10 2 10 2 7 3 7" xfId="4643" xr:uid="{00000000-0005-0000-0000-000023120000}"/>
    <cellStyle name="Normal 10 2 10 2 7 3 8" xfId="4644" xr:uid="{00000000-0005-0000-0000-000024120000}"/>
    <cellStyle name="Normal 10 2 10 2 7 3 9" xfId="4645" xr:uid="{00000000-0005-0000-0000-000025120000}"/>
    <cellStyle name="Normal 10 2 10 2 7 4" xfId="4646" xr:uid="{00000000-0005-0000-0000-000026120000}"/>
    <cellStyle name="Normal 10 2 10 2 7 4 10" xfId="4647" xr:uid="{00000000-0005-0000-0000-000027120000}"/>
    <cellStyle name="Normal 10 2 10 2 7 4 2" xfId="4648" xr:uid="{00000000-0005-0000-0000-000028120000}"/>
    <cellStyle name="Normal 10 2 10 2 7 4 3" xfId="4649" xr:uid="{00000000-0005-0000-0000-000029120000}"/>
    <cellStyle name="Normal 10 2 10 2 7 4 4" xfId="4650" xr:uid="{00000000-0005-0000-0000-00002A120000}"/>
    <cellStyle name="Normal 10 2 10 2 7 4 5" xfId="4651" xr:uid="{00000000-0005-0000-0000-00002B120000}"/>
    <cellStyle name="Normal 10 2 10 2 7 4 6" xfId="4652" xr:uid="{00000000-0005-0000-0000-00002C120000}"/>
    <cellStyle name="Normal 10 2 10 2 7 4 7" xfId="4653" xr:uid="{00000000-0005-0000-0000-00002D120000}"/>
    <cellStyle name="Normal 10 2 10 2 7 4 8" xfId="4654" xr:uid="{00000000-0005-0000-0000-00002E120000}"/>
    <cellStyle name="Normal 10 2 10 2 7 4 9" xfId="4655" xr:uid="{00000000-0005-0000-0000-00002F120000}"/>
    <cellStyle name="Normal 10 2 10 2 7 5" xfId="4656" xr:uid="{00000000-0005-0000-0000-000030120000}"/>
    <cellStyle name="Normal 10 2 10 2 7 5 10" xfId="4657" xr:uid="{00000000-0005-0000-0000-000031120000}"/>
    <cellStyle name="Normal 10 2 10 2 7 5 2" xfId="4658" xr:uid="{00000000-0005-0000-0000-000032120000}"/>
    <cellStyle name="Normal 10 2 10 2 7 5 3" xfId="4659" xr:uid="{00000000-0005-0000-0000-000033120000}"/>
    <cellStyle name="Normal 10 2 10 2 7 5 4" xfId="4660" xr:uid="{00000000-0005-0000-0000-000034120000}"/>
    <cellStyle name="Normal 10 2 10 2 7 5 5" xfId="4661" xr:uid="{00000000-0005-0000-0000-000035120000}"/>
    <cellStyle name="Normal 10 2 10 2 7 5 6" xfId="4662" xr:uid="{00000000-0005-0000-0000-000036120000}"/>
    <cellStyle name="Normal 10 2 10 2 7 5 7" xfId="4663" xr:uid="{00000000-0005-0000-0000-000037120000}"/>
    <cellStyle name="Normal 10 2 10 2 7 5 8" xfId="4664" xr:uid="{00000000-0005-0000-0000-000038120000}"/>
    <cellStyle name="Normal 10 2 10 2 7 5 9" xfId="4665" xr:uid="{00000000-0005-0000-0000-000039120000}"/>
    <cellStyle name="Normal 10 2 10 2 7 6" xfId="4666" xr:uid="{00000000-0005-0000-0000-00003A120000}"/>
    <cellStyle name="Normal 10 2 10 2 7 7" xfId="4667" xr:uid="{00000000-0005-0000-0000-00003B120000}"/>
    <cellStyle name="Normal 10 2 10 2 7 8" xfId="4668" xr:uid="{00000000-0005-0000-0000-00003C120000}"/>
    <cellStyle name="Normal 10 2 10 2 7 9" xfId="4669" xr:uid="{00000000-0005-0000-0000-00003D120000}"/>
    <cellStyle name="Normal 10 2 10 2 8" xfId="4670" xr:uid="{00000000-0005-0000-0000-00003E120000}"/>
    <cellStyle name="Normal 10 2 10 2 8 10" xfId="4671" xr:uid="{00000000-0005-0000-0000-00003F120000}"/>
    <cellStyle name="Normal 10 2 10 2 8 11" xfId="4672" xr:uid="{00000000-0005-0000-0000-000040120000}"/>
    <cellStyle name="Normal 10 2 10 2 8 12" xfId="4673" xr:uid="{00000000-0005-0000-0000-000041120000}"/>
    <cellStyle name="Normal 10 2 10 2 8 13" xfId="4674" xr:uid="{00000000-0005-0000-0000-000042120000}"/>
    <cellStyle name="Normal 10 2 10 2 8 14" xfId="4675" xr:uid="{00000000-0005-0000-0000-000043120000}"/>
    <cellStyle name="Normal 10 2 10 2 8 2" xfId="4676" xr:uid="{00000000-0005-0000-0000-000044120000}"/>
    <cellStyle name="Normal 10 2 10 2 8 2 10" xfId="4677" xr:uid="{00000000-0005-0000-0000-000045120000}"/>
    <cellStyle name="Normal 10 2 10 2 8 2 2" xfId="4678" xr:uid="{00000000-0005-0000-0000-000046120000}"/>
    <cellStyle name="Normal 10 2 10 2 8 2 3" xfId="4679" xr:uid="{00000000-0005-0000-0000-000047120000}"/>
    <cellStyle name="Normal 10 2 10 2 8 2 4" xfId="4680" xr:uid="{00000000-0005-0000-0000-000048120000}"/>
    <cellStyle name="Normal 10 2 10 2 8 2 5" xfId="4681" xr:uid="{00000000-0005-0000-0000-000049120000}"/>
    <cellStyle name="Normal 10 2 10 2 8 2 6" xfId="4682" xr:uid="{00000000-0005-0000-0000-00004A120000}"/>
    <cellStyle name="Normal 10 2 10 2 8 2 7" xfId="4683" xr:uid="{00000000-0005-0000-0000-00004B120000}"/>
    <cellStyle name="Normal 10 2 10 2 8 2 8" xfId="4684" xr:uid="{00000000-0005-0000-0000-00004C120000}"/>
    <cellStyle name="Normal 10 2 10 2 8 2 9" xfId="4685" xr:uid="{00000000-0005-0000-0000-00004D120000}"/>
    <cellStyle name="Normal 10 2 10 2 8 3" xfId="4686" xr:uid="{00000000-0005-0000-0000-00004E120000}"/>
    <cellStyle name="Normal 10 2 10 2 8 3 10" xfId="4687" xr:uid="{00000000-0005-0000-0000-00004F120000}"/>
    <cellStyle name="Normal 10 2 10 2 8 3 2" xfId="4688" xr:uid="{00000000-0005-0000-0000-000050120000}"/>
    <cellStyle name="Normal 10 2 10 2 8 3 3" xfId="4689" xr:uid="{00000000-0005-0000-0000-000051120000}"/>
    <cellStyle name="Normal 10 2 10 2 8 3 4" xfId="4690" xr:uid="{00000000-0005-0000-0000-000052120000}"/>
    <cellStyle name="Normal 10 2 10 2 8 3 5" xfId="4691" xr:uid="{00000000-0005-0000-0000-000053120000}"/>
    <cellStyle name="Normal 10 2 10 2 8 3 6" xfId="4692" xr:uid="{00000000-0005-0000-0000-000054120000}"/>
    <cellStyle name="Normal 10 2 10 2 8 3 7" xfId="4693" xr:uid="{00000000-0005-0000-0000-000055120000}"/>
    <cellStyle name="Normal 10 2 10 2 8 3 8" xfId="4694" xr:uid="{00000000-0005-0000-0000-000056120000}"/>
    <cellStyle name="Normal 10 2 10 2 8 3 9" xfId="4695" xr:uid="{00000000-0005-0000-0000-000057120000}"/>
    <cellStyle name="Normal 10 2 10 2 8 4" xfId="4696" xr:uid="{00000000-0005-0000-0000-000058120000}"/>
    <cellStyle name="Normal 10 2 10 2 8 4 10" xfId="4697" xr:uid="{00000000-0005-0000-0000-000059120000}"/>
    <cellStyle name="Normal 10 2 10 2 8 4 2" xfId="4698" xr:uid="{00000000-0005-0000-0000-00005A120000}"/>
    <cellStyle name="Normal 10 2 10 2 8 4 3" xfId="4699" xr:uid="{00000000-0005-0000-0000-00005B120000}"/>
    <cellStyle name="Normal 10 2 10 2 8 4 4" xfId="4700" xr:uid="{00000000-0005-0000-0000-00005C120000}"/>
    <cellStyle name="Normal 10 2 10 2 8 4 5" xfId="4701" xr:uid="{00000000-0005-0000-0000-00005D120000}"/>
    <cellStyle name="Normal 10 2 10 2 8 4 6" xfId="4702" xr:uid="{00000000-0005-0000-0000-00005E120000}"/>
    <cellStyle name="Normal 10 2 10 2 8 4 7" xfId="4703" xr:uid="{00000000-0005-0000-0000-00005F120000}"/>
    <cellStyle name="Normal 10 2 10 2 8 4 8" xfId="4704" xr:uid="{00000000-0005-0000-0000-000060120000}"/>
    <cellStyle name="Normal 10 2 10 2 8 4 9" xfId="4705" xr:uid="{00000000-0005-0000-0000-000061120000}"/>
    <cellStyle name="Normal 10 2 10 2 8 5" xfId="4706" xr:uid="{00000000-0005-0000-0000-000062120000}"/>
    <cellStyle name="Normal 10 2 10 2 8 5 10" xfId="4707" xr:uid="{00000000-0005-0000-0000-000063120000}"/>
    <cellStyle name="Normal 10 2 10 2 8 5 2" xfId="4708" xr:uid="{00000000-0005-0000-0000-000064120000}"/>
    <cellStyle name="Normal 10 2 10 2 8 5 3" xfId="4709" xr:uid="{00000000-0005-0000-0000-000065120000}"/>
    <cellStyle name="Normal 10 2 10 2 8 5 4" xfId="4710" xr:uid="{00000000-0005-0000-0000-000066120000}"/>
    <cellStyle name="Normal 10 2 10 2 8 5 5" xfId="4711" xr:uid="{00000000-0005-0000-0000-000067120000}"/>
    <cellStyle name="Normal 10 2 10 2 8 5 6" xfId="4712" xr:uid="{00000000-0005-0000-0000-000068120000}"/>
    <cellStyle name="Normal 10 2 10 2 8 5 7" xfId="4713" xr:uid="{00000000-0005-0000-0000-000069120000}"/>
    <cellStyle name="Normal 10 2 10 2 8 5 8" xfId="4714" xr:uid="{00000000-0005-0000-0000-00006A120000}"/>
    <cellStyle name="Normal 10 2 10 2 8 5 9" xfId="4715" xr:uid="{00000000-0005-0000-0000-00006B120000}"/>
    <cellStyle name="Normal 10 2 10 2 8 6" xfId="4716" xr:uid="{00000000-0005-0000-0000-00006C120000}"/>
    <cellStyle name="Normal 10 2 10 2 8 7" xfId="4717" xr:uid="{00000000-0005-0000-0000-00006D120000}"/>
    <cellStyle name="Normal 10 2 10 2 8 8" xfId="4718" xr:uid="{00000000-0005-0000-0000-00006E120000}"/>
    <cellStyle name="Normal 10 2 10 2 8 9" xfId="4719" xr:uid="{00000000-0005-0000-0000-00006F120000}"/>
    <cellStyle name="Normal 10 2 10 2 9" xfId="4720" xr:uid="{00000000-0005-0000-0000-000070120000}"/>
    <cellStyle name="Normal 10 2 10 2 9 10" xfId="4721" xr:uid="{00000000-0005-0000-0000-000071120000}"/>
    <cellStyle name="Normal 10 2 10 2 9 11" xfId="4722" xr:uid="{00000000-0005-0000-0000-000072120000}"/>
    <cellStyle name="Normal 10 2 10 2 9 12" xfId="4723" xr:uid="{00000000-0005-0000-0000-000073120000}"/>
    <cellStyle name="Normal 10 2 10 2 9 13" xfId="4724" xr:uid="{00000000-0005-0000-0000-000074120000}"/>
    <cellStyle name="Normal 10 2 10 2 9 14" xfId="4725" xr:uid="{00000000-0005-0000-0000-000075120000}"/>
    <cellStyle name="Normal 10 2 10 2 9 2" xfId="4726" xr:uid="{00000000-0005-0000-0000-000076120000}"/>
    <cellStyle name="Normal 10 2 10 2 9 2 10" xfId="4727" xr:uid="{00000000-0005-0000-0000-000077120000}"/>
    <cellStyle name="Normal 10 2 10 2 9 2 2" xfId="4728" xr:uid="{00000000-0005-0000-0000-000078120000}"/>
    <cellStyle name="Normal 10 2 10 2 9 2 3" xfId="4729" xr:uid="{00000000-0005-0000-0000-000079120000}"/>
    <cellStyle name="Normal 10 2 10 2 9 2 4" xfId="4730" xr:uid="{00000000-0005-0000-0000-00007A120000}"/>
    <cellStyle name="Normal 10 2 10 2 9 2 5" xfId="4731" xr:uid="{00000000-0005-0000-0000-00007B120000}"/>
    <cellStyle name="Normal 10 2 10 2 9 2 6" xfId="4732" xr:uid="{00000000-0005-0000-0000-00007C120000}"/>
    <cellStyle name="Normal 10 2 10 2 9 2 7" xfId="4733" xr:uid="{00000000-0005-0000-0000-00007D120000}"/>
    <cellStyle name="Normal 10 2 10 2 9 2 8" xfId="4734" xr:uid="{00000000-0005-0000-0000-00007E120000}"/>
    <cellStyle name="Normal 10 2 10 2 9 2 9" xfId="4735" xr:uid="{00000000-0005-0000-0000-00007F120000}"/>
    <cellStyle name="Normal 10 2 10 2 9 3" xfId="4736" xr:uid="{00000000-0005-0000-0000-000080120000}"/>
    <cellStyle name="Normal 10 2 10 2 9 3 10" xfId="4737" xr:uid="{00000000-0005-0000-0000-000081120000}"/>
    <cellStyle name="Normal 10 2 10 2 9 3 2" xfId="4738" xr:uid="{00000000-0005-0000-0000-000082120000}"/>
    <cellStyle name="Normal 10 2 10 2 9 3 3" xfId="4739" xr:uid="{00000000-0005-0000-0000-000083120000}"/>
    <cellStyle name="Normal 10 2 10 2 9 3 4" xfId="4740" xr:uid="{00000000-0005-0000-0000-000084120000}"/>
    <cellStyle name="Normal 10 2 10 2 9 3 5" xfId="4741" xr:uid="{00000000-0005-0000-0000-000085120000}"/>
    <cellStyle name="Normal 10 2 10 2 9 3 6" xfId="4742" xr:uid="{00000000-0005-0000-0000-000086120000}"/>
    <cellStyle name="Normal 10 2 10 2 9 3 7" xfId="4743" xr:uid="{00000000-0005-0000-0000-000087120000}"/>
    <cellStyle name="Normal 10 2 10 2 9 3 8" xfId="4744" xr:uid="{00000000-0005-0000-0000-000088120000}"/>
    <cellStyle name="Normal 10 2 10 2 9 3 9" xfId="4745" xr:uid="{00000000-0005-0000-0000-000089120000}"/>
    <cellStyle name="Normal 10 2 10 2 9 4" xfId="4746" xr:uid="{00000000-0005-0000-0000-00008A120000}"/>
    <cellStyle name="Normal 10 2 10 2 9 4 10" xfId="4747" xr:uid="{00000000-0005-0000-0000-00008B120000}"/>
    <cellStyle name="Normal 10 2 10 2 9 4 2" xfId="4748" xr:uid="{00000000-0005-0000-0000-00008C120000}"/>
    <cellStyle name="Normal 10 2 10 2 9 4 3" xfId="4749" xr:uid="{00000000-0005-0000-0000-00008D120000}"/>
    <cellStyle name="Normal 10 2 10 2 9 4 4" xfId="4750" xr:uid="{00000000-0005-0000-0000-00008E120000}"/>
    <cellStyle name="Normal 10 2 10 2 9 4 5" xfId="4751" xr:uid="{00000000-0005-0000-0000-00008F120000}"/>
    <cellStyle name="Normal 10 2 10 2 9 4 6" xfId="4752" xr:uid="{00000000-0005-0000-0000-000090120000}"/>
    <cellStyle name="Normal 10 2 10 2 9 4 7" xfId="4753" xr:uid="{00000000-0005-0000-0000-000091120000}"/>
    <cellStyle name="Normal 10 2 10 2 9 4 8" xfId="4754" xr:uid="{00000000-0005-0000-0000-000092120000}"/>
    <cellStyle name="Normal 10 2 10 2 9 4 9" xfId="4755" xr:uid="{00000000-0005-0000-0000-000093120000}"/>
    <cellStyle name="Normal 10 2 10 2 9 5" xfId="4756" xr:uid="{00000000-0005-0000-0000-000094120000}"/>
    <cellStyle name="Normal 10 2 10 2 9 5 10" xfId="4757" xr:uid="{00000000-0005-0000-0000-000095120000}"/>
    <cellStyle name="Normal 10 2 10 2 9 5 2" xfId="4758" xr:uid="{00000000-0005-0000-0000-000096120000}"/>
    <cellStyle name="Normal 10 2 10 2 9 5 3" xfId="4759" xr:uid="{00000000-0005-0000-0000-000097120000}"/>
    <cellStyle name="Normal 10 2 10 2 9 5 4" xfId="4760" xr:uid="{00000000-0005-0000-0000-000098120000}"/>
    <cellStyle name="Normal 10 2 10 2 9 5 5" xfId="4761" xr:uid="{00000000-0005-0000-0000-000099120000}"/>
    <cellStyle name="Normal 10 2 10 2 9 5 6" xfId="4762" xr:uid="{00000000-0005-0000-0000-00009A120000}"/>
    <cellStyle name="Normal 10 2 10 2 9 5 7" xfId="4763" xr:uid="{00000000-0005-0000-0000-00009B120000}"/>
    <cellStyle name="Normal 10 2 10 2 9 5 8" xfId="4764" xr:uid="{00000000-0005-0000-0000-00009C120000}"/>
    <cellStyle name="Normal 10 2 10 2 9 5 9" xfId="4765" xr:uid="{00000000-0005-0000-0000-00009D120000}"/>
    <cellStyle name="Normal 10 2 10 2 9 6" xfId="4766" xr:uid="{00000000-0005-0000-0000-00009E120000}"/>
    <cellStyle name="Normal 10 2 10 2 9 7" xfId="4767" xr:uid="{00000000-0005-0000-0000-00009F120000}"/>
    <cellStyle name="Normal 10 2 10 2 9 8" xfId="4768" xr:uid="{00000000-0005-0000-0000-0000A0120000}"/>
    <cellStyle name="Normal 10 2 10 2 9 9" xfId="4769" xr:uid="{00000000-0005-0000-0000-0000A1120000}"/>
    <cellStyle name="Normal 10 2 10 20" xfId="4770" xr:uid="{00000000-0005-0000-0000-0000A2120000}"/>
    <cellStyle name="Normal 10 2 10 20 10" xfId="4771" xr:uid="{00000000-0005-0000-0000-0000A3120000}"/>
    <cellStyle name="Normal 10 2 10 20 11" xfId="4772" xr:uid="{00000000-0005-0000-0000-0000A4120000}"/>
    <cellStyle name="Normal 10 2 10 20 12" xfId="4773" xr:uid="{00000000-0005-0000-0000-0000A5120000}"/>
    <cellStyle name="Normal 10 2 10 20 13" xfId="4774" xr:uid="{00000000-0005-0000-0000-0000A6120000}"/>
    <cellStyle name="Normal 10 2 10 20 14" xfId="4775" xr:uid="{00000000-0005-0000-0000-0000A7120000}"/>
    <cellStyle name="Normal 10 2 10 20 2" xfId="4776" xr:uid="{00000000-0005-0000-0000-0000A8120000}"/>
    <cellStyle name="Normal 10 2 10 20 2 10" xfId="4777" xr:uid="{00000000-0005-0000-0000-0000A9120000}"/>
    <cellStyle name="Normal 10 2 10 20 2 2" xfId="4778" xr:uid="{00000000-0005-0000-0000-0000AA120000}"/>
    <cellStyle name="Normal 10 2 10 20 2 3" xfId="4779" xr:uid="{00000000-0005-0000-0000-0000AB120000}"/>
    <cellStyle name="Normal 10 2 10 20 2 4" xfId="4780" xr:uid="{00000000-0005-0000-0000-0000AC120000}"/>
    <cellStyle name="Normal 10 2 10 20 2 5" xfId="4781" xr:uid="{00000000-0005-0000-0000-0000AD120000}"/>
    <cellStyle name="Normal 10 2 10 20 2 6" xfId="4782" xr:uid="{00000000-0005-0000-0000-0000AE120000}"/>
    <cellStyle name="Normal 10 2 10 20 2 7" xfId="4783" xr:uid="{00000000-0005-0000-0000-0000AF120000}"/>
    <cellStyle name="Normal 10 2 10 20 2 8" xfId="4784" xr:uid="{00000000-0005-0000-0000-0000B0120000}"/>
    <cellStyle name="Normal 10 2 10 20 2 9" xfId="4785" xr:uid="{00000000-0005-0000-0000-0000B1120000}"/>
    <cellStyle name="Normal 10 2 10 20 3" xfId="4786" xr:uid="{00000000-0005-0000-0000-0000B2120000}"/>
    <cellStyle name="Normal 10 2 10 20 3 10" xfId="4787" xr:uid="{00000000-0005-0000-0000-0000B3120000}"/>
    <cellStyle name="Normal 10 2 10 20 3 2" xfId="4788" xr:uid="{00000000-0005-0000-0000-0000B4120000}"/>
    <cellStyle name="Normal 10 2 10 20 3 3" xfId="4789" xr:uid="{00000000-0005-0000-0000-0000B5120000}"/>
    <cellStyle name="Normal 10 2 10 20 3 4" xfId="4790" xr:uid="{00000000-0005-0000-0000-0000B6120000}"/>
    <cellStyle name="Normal 10 2 10 20 3 5" xfId="4791" xr:uid="{00000000-0005-0000-0000-0000B7120000}"/>
    <cellStyle name="Normal 10 2 10 20 3 6" xfId="4792" xr:uid="{00000000-0005-0000-0000-0000B8120000}"/>
    <cellStyle name="Normal 10 2 10 20 3 7" xfId="4793" xr:uid="{00000000-0005-0000-0000-0000B9120000}"/>
    <cellStyle name="Normal 10 2 10 20 3 8" xfId="4794" xr:uid="{00000000-0005-0000-0000-0000BA120000}"/>
    <cellStyle name="Normal 10 2 10 20 3 9" xfId="4795" xr:uid="{00000000-0005-0000-0000-0000BB120000}"/>
    <cellStyle name="Normal 10 2 10 20 4" xfId="4796" xr:uid="{00000000-0005-0000-0000-0000BC120000}"/>
    <cellStyle name="Normal 10 2 10 20 4 10" xfId="4797" xr:uid="{00000000-0005-0000-0000-0000BD120000}"/>
    <cellStyle name="Normal 10 2 10 20 4 2" xfId="4798" xr:uid="{00000000-0005-0000-0000-0000BE120000}"/>
    <cellStyle name="Normal 10 2 10 20 4 3" xfId="4799" xr:uid="{00000000-0005-0000-0000-0000BF120000}"/>
    <cellStyle name="Normal 10 2 10 20 4 4" xfId="4800" xr:uid="{00000000-0005-0000-0000-0000C0120000}"/>
    <cellStyle name="Normal 10 2 10 20 4 5" xfId="4801" xr:uid="{00000000-0005-0000-0000-0000C1120000}"/>
    <cellStyle name="Normal 10 2 10 20 4 6" xfId="4802" xr:uid="{00000000-0005-0000-0000-0000C2120000}"/>
    <cellStyle name="Normal 10 2 10 20 4 7" xfId="4803" xr:uid="{00000000-0005-0000-0000-0000C3120000}"/>
    <cellStyle name="Normal 10 2 10 20 4 8" xfId="4804" xr:uid="{00000000-0005-0000-0000-0000C4120000}"/>
    <cellStyle name="Normal 10 2 10 20 4 9" xfId="4805" xr:uid="{00000000-0005-0000-0000-0000C5120000}"/>
    <cellStyle name="Normal 10 2 10 20 5" xfId="4806" xr:uid="{00000000-0005-0000-0000-0000C6120000}"/>
    <cellStyle name="Normal 10 2 10 20 5 10" xfId="4807" xr:uid="{00000000-0005-0000-0000-0000C7120000}"/>
    <cellStyle name="Normal 10 2 10 20 5 2" xfId="4808" xr:uid="{00000000-0005-0000-0000-0000C8120000}"/>
    <cellStyle name="Normal 10 2 10 20 5 3" xfId="4809" xr:uid="{00000000-0005-0000-0000-0000C9120000}"/>
    <cellStyle name="Normal 10 2 10 20 5 4" xfId="4810" xr:uid="{00000000-0005-0000-0000-0000CA120000}"/>
    <cellStyle name="Normal 10 2 10 20 5 5" xfId="4811" xr:uid="{00000000-0005-0000-0000-0000CB120000}"/>
    <cellStyle name="Normal 10 2 10 20 5 6" xfId="4812" xr:uid="{00000000-0005-0000-0000-0000CC120000}"/>
    <cellStyle name="Normal 10 2 10 20 5 7" xfId="4813" xr:uid="{00000000-0005-0000-0000-0000CD120000}"/>
    <cellStyle name="Normal 10 2 10 20 5 8" xfId="4814" xr:uid="{00000000-0005-0000-0000-0000CE120000}"/>
    <cellStyle name="Normal 10 2 10 20 5 9" xfId="4815" xr:uid="{00000000-0005-0000-0000-0000CF120000}"/>
    <cellStyle name="Normal 10 2 10 20 6" xfId="4816" xr:uid="{00000000-0005-0000-0000-0000D0120000}"/>
    <cellStyle name="Normal 10 2 10 20 7" xfId="4817" xr:uid="{00000000-0005-0000-0000-0000D1120000}"/>
    <cellStyle name="Normal 10 2 10 20 8" xfId="4818" xr:uid="{00000000-0005-0000-0000-0000D2120000}"/>
    <cellStyle name="Normal 10 2 10 20 9" xfId="4819" xr:uid="{00000000-0005-0000-0000-0000D3120000}"/>
    <cellStyle name="Normal 10 2 10 21" xfId="4820" xr:uid="{00000000-0005-0000-0000-0000D4120000}"/>
    <cellStyle name="Normal 10 2 10 21 10" xfId="4821" xr:uid="{00000000-0005-0000-0000-0000D5120000}"/>
    <cellStyle name="Normal 10 2 10 21 11" xfId="4822" xr:uid="{00000000-0005-0000-0000-0000D6120000}"/>
    <cellStyle name="Normal 10 2 10 21 12" xfId="4823" xr:uid="{00000000-0005-0000-0000-0000D7120000}"/>
    <cellStyle name="Normal 10 2 10 21 13" xfId="4824" xr:uid="{00000000-0005-0000-0000-0000D8120000}"/>
    <cellStyle name="Normal 10 2 10 21 14" xfId="4825" xr:uid="{00000000-0005-0000-0000-0000D9120000}"/>
    <cellStyle name="Normal 10 2 10 21 2" xfId="4826" xr:uid="{00000000-0005-0000-0000-0000DA120000}"/>
    <cellStyle name="Normal 10 2 10 21 2 10" xfId="4827" xr:uid="{00000000-0005-0000-0000-0000DB120000}"/>
    <cellStyle name="Normal 10 2 10 21 2 2" xfId="4828" xr:uid="{00000000-0005-0000-0000-0000DC120000}"/>
    <cellStyle name="Normal 10 2 10 21 2 3" xfId="4829" xr:uid="{00000000-0005-0000-0000-0000DD120000}"/>
    <cellStyle name="Normal 10 2 10 21 2 4" xfId="4830" xr:uid="{00000000-0005-0000-0000-0000DE120000}"/>
    <cellStyle name="Normal 10 2 10 21 2 5" xfId="4831" xr:uid="{00000000-0005-0000-0000-0000DF120000}"/>
    <cellStyle name="Normal 10 2 10 21 2 6" xfId="4832" xr:uid="{00000000-0005-0000-0000-0000E0120000}"/>
    <cellStyle name="Normal 10 2 10 21 2 7" xfId="4833" xr:uid="{00000000-0005-0000-0000-0000E1120000}"/>
    <cellStyle name="Normal 10 2 10 21 2 8" xfId="4834" xr:uid="{00000000-0005-0000-0000-0000E2120000}"/>
    <cellStyle name="Normal 10 2 10 21 2 9" xfId="4835" xr:uid="{00000000-0005-0000-0000-0000E3120000}"/>
    <cellStyle name="Normal 10 2 10 21 3" xfId="4836" xr:uid="{00000000-0005-0000-0000-0000E4120000}"/>
    <cellStyle name="Normal 10 2 10 21 3 10" xfId="4837" xr:uid="{00000000-0005-0000-0000-0000E5120000}"/>
    <cellStyle name="Normal 10 2 10 21 3 2" xfId="4838" xr:uid="{00000000-0005-0000-0000-0000E6120000}"/>
    <cellStyle name="Normal 10 2 10 21 3 3" xfId="4839" xr:uid="{00000000-0005-0000-0000-0000E7120000}"/>
    <cellStyle name="Normal 10 2 10 21 3 4" xfId="4840" xr:uid="{00000000-0005-0000-0000-0000E8120000}"/>
    <cellStyle name="Normal 10 2 10 21 3 5" xfId="4841" xr:uid="{00000000-0005-0000-0000-0000E9120000}"/>
    <cellStyle name="Normal 10 2 10 21 3 6" xfId="4842" xr:uid="{00000000-0005-0000-0000-0000EA120000}"/>
    <cellStyle name="Normal 10 2 10 21 3 7" xfId="4843" xr:uid="{00000000-0005-0000-0000-0000EB120000}"/>
    <cellStyle name="Normal 10 2 10 21 3 8" xfId="4844" xr:uid="{00000000-0005-0000-0000-0000EC120000}"/>
    <cellStyle name="Normal 10 2 10 21 3 9" xfId="4845" xr:uid="{00000000-0005-0000-0000-0000ED120000}"/>
    <cellStyle name="Normal 10 2 10 21 4" xfId="4846" xr:uid="{00000000-0005-0000-0000-0000EE120000}"/>
    <cellStyle name="Normal 10 2 10 21 4 10" xfId="4847" xr:uid="{00000000-0005-0000-0000-0000EF120000}"/>
    <cellStyle name="Normal 10 2 10 21 4 2" xfId="4848" xr:uid="{00000000-0005-0000-0000-0000F0120000}"/>
    <cellStyle name="Normal 10 2 10 21 4 3" xfId="4849" xr:uid="{00000000-0005-0000-0000-0000F1120000}"/>
    <cellStyle name="Normal 10 2 10 21 4 4" xfId="4850" xr:uid="{00000000-0005-0000-0000-0000F2120000}"/>
    <cellStyle name="Normal 10 2 10 21 4 5" xfId="4851" xr:uid="{00000000-0005-0000-0000-0000F3120000}"/>
    <cellStyle name="Normal 10 2 10 21 4 6" xfId="4852" xr:uid="{00000000-0005-0000-0000-0000F4120000}"/>
    <cellStyle name="Normal 10 2 10 21 4 7" xfId="4853" xr:uid="{00000000-0005-0000-0000-0000F5120000}"/>
    <cellStyle name="Normal 10 2 10 21 4 8" xfId="4854" xr:uid="{00000000-0005-0000-0000-0000F6120000}"/>
    <cellStyle name="Normal 10 2 10 21 4 9" xfId="4855" xr:uid="{00000000-0005-0000-0000-0000F7120000}"/>
    <cellStyle name="Normal 10 2 10 21 5" xfId="4856" xr:uid="{00000000-0005-0000-0000-0000F8120000}"/>
    <cellStyle name="Normal 10 2 10 21 5 10" xfId="4857" xr:uid="{00000000-0005-0000-0000-0000F9120000}"/>
    <cellStyle name="Normal 10 2 10 21 5 2" xfId="4858" xr:uid="{00000000-0005-0000-0000-0000FA120000}"/>
    <cellStyle name="Normal 10 2 10 21 5 3" xfId="4859" xr:uid="{00000000-0005-0000-0000-0000FB120000}"/>
    <cellStyle name="Normal 10 2 10 21 5 4" xfId="4860" xr:uid="{00000000-0005-0000-0000-0000FC120000}"/>
    <cellStyle name="Normal 10 2 10 21 5 5" xfId="4861" xr:uid="{00000000-0005-0000-0000-0000FD120000}"/>
    <cellStyle name="Normal 10 2 10 21 5 6" xfId="4862" xr:uid="{00000000-0005-0000-0000-0000FE120000}"/>
    <cellStyle name="Normal 10 2 10 21 5 7" xfId="4863" xr:uid="{00000000-0005-0000-0000-0000FF120000}"/>
    <cellStyle name="Normal 10 2 10 21 5 8" xfId="4864" xr:uid="{00000000-0005-0000-0000-000000130000}"/>
    <cellStyle name="Normal 10 2 10 21 5 9" xfId="4865" xr:uid="{00000000-0005-0000-0000-000001130000}"/>
    <cellStyle name="Normal 10 2 10 21 6" xfId="4866" xr:uid="{00000000-0005-0000-0000-000002130000}"/>
    <cellStyle name="Normal 10 2 10 21 7" xfId="4867" xr:uid="{00000000-0005-0000-0000-000003130000}"/>
    <cellStyle name="Normal 10 2 10 21 8" xfId="4868" xr:uid="{00000000-0005-0000-0000-000004130000}"/>
    <cellStyle name="Normal 10 2 10 21 9" xfId="4869" xr:uid="{00000000-0005-0000-0000-000005130000}"/>
    <cellStyle name="Normal 10 2 10 22" xfId="4870" xr:uid="{00000000-0005-0000-0000-000006130000}"/>
    <cellStyle name="Normal 10 2 10 22 10" xfId="4871" xr:uid="{00000000-0005-0000-0000-000007130000}"/>
    <cellStyle name="Normal 10 2 10 22 11" xfId="4872" xr:uid="{00000000-0005-0000-0000-000008130000}"/>
    <cellStyle name="Normal 10 2 10 22 12" xfId="4873" xr:uid="{00000000-0005-0000-0000-000009130000}"/>
    <cellStyle name="Normal 10 2 10 22 13" xfId="4874" xr:uid="{00000000-0005-0000-0000-00000A130000}"/>
    <cellStyle name="Normal 10 2 10 22 14" xfId="4875" xr:uid="{00000000-0005-0000-0000-00000B130000}"/>
    <cellStyle name="Normal 10 2 10 22 2" xfId="4876" xr:uid="{00000000-0005-0000-0000-00000C130000}"/>
    <cellStyle name="Normal 10 2 10 22 2 10" xfId="4877" xr:uid="{00000000-0005-0000-0000-00000D130000}"/>
    <cellStyle name="Normal 10 2 10 22 2 2" xfId="4878" xr:uid="{00000000-0005-0000-0000-00000E130000}"/>
    <cellStyle name="Normal 10 2 10 22 2 3" xfId="4879" xr:uid="{00000000-0005-0000-0000-00000F130000}"/>
    <cellStyle name="Normal 10 2 10 22 2 4" xfId="4880" xr:uid="{00000000-0005-0000-0000-000010130000}"/>
    <cellStyle name="Normal 10 2 10 22 2 5" xfId="4881" xr:uid="{00000000-0005-0000-0000-000011130000}"/>
    <cellStyle name="Normal 10 2 10 22 2 6" xfId="4882" xr:uid="{00000000-0005-0000-0000-000012130000}"/>
    <cellStyle name="Normal 10 2 10 22 2 7" xfId="4883" xr:uid="{00000000-0005-0000-0000-000013130000}"/>
    <cellStyle name="Normal 10 2 10 22 2 8" xfId="4884" xr:uid="{00000000-0005-0000-0000-000014130000}"/>
    <cellStyle name="Normal 10 2 10 22 2 9" xfId="4885" xr:uid="{00000000-0005-0000-0000-000015130000}"/>
    <cellStyle name="Normal 10 2 10 22 3" xfId="4886" xr:uid="{00000000-0005-0000-0000-000016130000}"/>
    <cellStyle name="Normal 10 2 10 22 3 10" xfId="4887" xr:uid="{00000000-0005-0000-0000-000017130000}"/>
    <cellStyle name="Normal 10 2 10 22 3 2" xfId="4888" xr:uid="{00000000-0005-0000-0000-000018130000}"/>
    <cellStyle name="Normal 10 2 10 22 3 3" xfId="4889" xr:uid="{00000000-0005-0000-0000-000019130000}"/>
    <cellStyle name="Normal 10 2 10 22 3 4" xfId="4890" xr:uid="{00000000-0005-0000-0000-00001A130000}"/>
    <cellStyle name="Normal 10 2 10 22 3 5" xfId="4891" xr:uid="{00000000-0005-0000-0000-00001B130000}"/>
    <cellStyle name="Normal 10 2 10 22 3 6" xfId="4892" xr:uid="{00000000-0005-0000-0000-00001C130000}"/>
    <cellStyle name="Normal 10 2 10 22 3 7" xfId="4893" xr:uid="{00000000-0005-0000-0000-00001D130000}"/>
    <cellStyle name="Normal 10 2 10 22 3 8" xfId="4894" xr:uid="{00000000-0005-0000-0000-00001E130000}"/>
    <cellStyle name="Normal 10 2 10 22 3 9" xfId="4895" xr:uid="{00000000-0005-0000-0000-00001F130000}"/>
    <cellStyle name="Normal 10 2 10 22 4" xfId="4896" xr:uid="{00000000-0005-0000-0000-000020130000}"/>
    <cellStyle name="Normal 10 2 10 22 4 10" xfId="4897" xr:uid="{00000000-0005-0000-0000-000021130000}"/>
    <cellStyle name="Normal 10 2 10 22 4 2" xfId="4898" xr:uid="{00000000-0005-0000-0000-000022130000}"/>
    <cellStyle name="Normal 10 2 10 22 4 3" xfId="4899" xr:uid="{00000000-0005-0000-0000-000023130000}"/>
    <cellStyle name="Normal 10 2 10 22 4 4" xfId="4900" xr:uid="{00000000-0005-0000-0000-000024130000}"/>
    <cellStyle name="Normal 10 2 10 22 4 5" xfId="4901" xr:uid="{00000000-0005-0000-0000-000025130000}"/>
    <cellStyle name="Normal 10 2 10 22 4 6" xfId="4902" xr:uid="{00000000-0005-0000-0000-000026130000}"/>
    <cellStyle name="Normal 10 2 10 22 4 7" xfId="4903" xr:uid="{00000000-0005-0000-0000-000027130000}"/>
    <cellStyle name="Normal 10 2 10 22 4 8" xfId="4904" xr:uid="{00000000-0005-0000-0000-000028130000}"/>
    <cellStyle name="Normal 10 2 10 22 4 9" xfId="4905" xr:uid="{00000000-0005-0000-0000-000029130000}"/>
    <cellStyle name="Normal 10 2 10 22 5" xfId="4906" xr:uid="{00000000-0005-0000-0000-00002A130000}"/>
    <cellStyle name="Normal 10 2 10 22 5 10" xfId="4907" xr:uid="{00000000-0005-0000-0000-00002B130000}"/>
    <cellStyle name="Normal 10 2 10 22 5 2" xfId="4908" xr:uid="{00000000-0005-0000-0000-00002C130000}"/>
    <cellStyle name="Normal 10 2 10 22 5 3" xfId="4909" xr:uid="{00000000-0005-0000-0000-00002D130000}"/>
    <cellStyle name="Normal 10 2 10 22 5 4" xfId="4910" xr:uid="{00000000-0005-0000-0000-00002E130000}"/>
    <cellStyle name="Normal 10 2 10 22 5 5" xfId="4911" xr:uid="{00000000-0005-0000-0000-00002F130000}"/>
    <cellStyle name="Normal 10 2 10 22 5 6" xfId="4912" xr:uid="{00000000-0005-0000-0000-000030130000}"/>
    <cellStyle name="Normal 10 2 10 22 5 7" xfId="4913" xr:uid="{00000000-0005-0000-0000-000031130000}"/>
    <cellStyle name="Normal 10 2 10 22 5 8" xfId="4914" xr:uid="{00000000-0005-0000-0000-000032130000}"/>
    <cellStyle name="Normal 10 2 10 22 5 9" xfId="4915" xr:uid="{00000000-0005-0000-0000-000033130000}"/>
    <cellStyle name="Normal 10 2 10 22 6" xfId="4916" xr:uid="{00000000-0005-0000-0000-000034130000}"/>
    <cellStyle name="Normal 10 2 10 22 7" xfId="4917" xr:uid="{00000000-0005-0000-0000-000035130000}"/>
    <cellStyle name="Normal 10 2 10 22 8" xfId="4918" xr:uid="{00000000-0005-0000-0000-000036130000}"/>
    <cellStyle name="Normal 10 2 10 22 9" xfId="4919" xr:uid="{00000000-0005-0000-0000-000037130000}"/>
    <cellStyle name="Normal 10 2 10 23" xfId="4920" xr:uid="{00000000-0005-0000-0000-000038130000}"/>
    <cellStyle name="Normal 10 2 10 23 10" xfId="4921" xr:uid="{00000000-0005-0000-0000-000039130000}"/>
    <cellStyle name="Normal 10 2 10 23 11" xfId="4922" xr:uid="{00000000-0005-0000-0000-00003A130000}"/>
    <cellStyle name="Normal 10 2 10 23 12" xfId="4923" xr:uid="{00000000-0005-0000-0000-00003B130000}"/>
    <cellStyle name="Normal 10 2 10 23 13" xfId="4924" xr:uid="{00000000-0005-0000-0000-00003C130000}"/>
    <cellStyle name="Normal 10 2 10 23 14" xfId="4925" xr:uid="{00000000-0005-0000-0000-00003D130000}"/>
    <cellStyle name="Normal 10 2 10 23 2" xfId="4926" xr:uid="{00000000-0005-0000-0000-00003E130000}"/>
    <cellStyle name="Normal 10 2 10 23 2 10" xfId="4927" xr:uid="{00000000-0005-0000-0000-00003F130000}"/>
    <cellStyle name="Normal 10 2 10 23 2 2" xfId="4928" xr:uid="{00000000-0005-0000-0000-000040130000}"/>
    <cellStyle name="Normal 10 2 10 23 2 3" xfId="4929" xr:uid="{00000000-0005-0000-0000-000041130000}"/>
    <cellStyle name="Normal 10 2 10 23 2 4" xfId="4930" xr:uid="{00000000-0005-0000-0000-000042130000}"/>
    <cellStyle name="Normal 10 2 10 23 2 5" xfId="4931" xr:uid="{00000000-0005-0000-0000-000043130000}"/>
    <cellStyle name="Normal 10 2 10 23 2 6" xfId="4932" xr:uid="{00000000-0005-0000-0000-000044130000}"/>
    <cellStyle name="Normal 10 2 10 23 2 7" xfId="4933" xr:uid="{00000000-0005-0000-0000-000045130000}"/>
    <cellStyle name="Normal 10 2 10 23 2 8" xfId="4934" xr:uid="{00000000-0005-0000-0000-000046130000}"/>
    <cellStyle name="Normal 10 2 10 23 2 9" xfId="4935" xr:uid="{00000000-0005-0000-0000-000047130000}"/>
    <cellStyle name="Normal 10 2 10 23 3" xfId="4936" xr:uid="{00000000-0005-0000-0000-000048130000}"/>
    <cellStyle name="Normal 10 2 10 23 3 10" xfId="4937" xr:uid="{00000000-0005-0000-0000-000049130000}"/>
    <cellStyle name="Normal 10 2 10 23 3 2" xfId="4938" xr:uid="{00000000-0005-0000-0000-00004A130000}"/>
    <cellStyle name="Normal 10 2 10 23 3 3" xfId="4939" xr:uid="{00000000-0005-0000-0000-00004B130000}"/>
    <cellStyle name="Normal 10 2 10 23 3 4" xfId="4940" xr:uid="{00000000-0005-0000-0000-00004C130000}"/>
    <cellStyle name="Normal 10 2 10 23 3 5" xfId="4941" xr:uid="{00000000-0005-0000-0000-00004D130000}"/>
    <cellStyle name="Normal 10 2 10 23 3 6" xfId="4942" xr:uid="{00000000-0005-0000-0000-00004E130000}"/>
    <cellStyle name="Normal 10 2 10 23 3 7" xfId="4943" xr:uid="{00000000-0005-0000-0000-00004F130000}"/>
    <cellStyle name="Normal 10 2 10 23 3 8" xfId="4944" xr:uid="{00000000-0005-0000-0000-000050130000}"/>
    <cellStyle name="Normal 10 2 10 23 3 9" xfId="4945" xr:uid="{00000000-0005-0000-0000-000051130000}"/>
    <cellStyle name="Normal 10 2 10 23 4" xfId="4946" xr:uid="{00000000-0005-0000-0000-000052130000}"/>
    <cellStyle name="Normal 10 2 10 23 4 10" xfId="4947" xr:uid="{00000000-0005-0000-0000-000053130000}"/>
    <cellStyle name="Normal 10 2 10 23 4 2" xfId="4948" xr:uid="{00000000-0005-0000-0000-000054130000}"/>
    <cellStyle name="Normal 10 2 10 23 4 3" xfId="4949" xr:uid="{00000000-0005-0000-0000-000055130000}"/>
    <cellStyle name="Normal 10 2 10 23 4 4" xfId="4950" xr:uid="{00000000-0005-0000-0000-000056130000}"/>
    <cellStyle name="Normal 10 2 10 23 4 5" xfId="4951" xr:uid="{00000000-0005-0000-0000-000057130000}"/>
    <cellStyle name="Normal 10 2 10 23 4 6" xfId="4952" xr:uid="{00000000-0005-0000-0000-000058130000}"/>
    <cellStyle name="Normal 10 2 10 23 4 7" xfId="4953" xr:uid="{00000000-0005-0000-0000-000059130000}"/>
    <cellStyle name="Normal 10 2 10 23 4 8" xfId="4954" xr:uid="{00000000-0005-0000-0000-00005A130000}"/>
    <cellStyle name="Normal 10 2 10 23 4 9" xfId="4955" xr:uid="{00000000-0005-0000-0000-00005B130000}"/>
    <cellStyle name="Normal 10 2 10 23 5" xfId="4956" xr:uid="{00000000-0005-0000-0000-00005C130000}"/>
    <cellStyle name="Normal 10 2 10 23 5 10" xfId="4957" xr:uid="{00000000-0005-0000-0000-00005D130000}"/>
    <cellStyle name="Normal 10 2 10 23 5 2" xfId="4958" xr:uid="{00000000-0005-0000-0000-00005E130000}"/>
    <cellStyle name="Normal 10 2 10 23 5 3" xfId="4959" xr:uid="{00000000-0005-0000-0000-00005F130000}"/>
    <cellStyle name="Normal 10 2 10 23 5 4" xfId="4960" xr:uid="{00000000-0005-0000-0000-000060130000}"/>
    <cellStyle name="Normal 10 2 10 23 5 5" xfId="4961" xr:uid="{00000000-0005-0000-0000-000061130000}"/>
    <cellStyle name="Normal 10 2 10 23 5 6" xfId="4962" xr:uid="{00000000-0005-0000-0000-000062130000}"/>
    <cellStyle name="Normal 10 2 10 23 5 7" xfId="4963" xr:uid="{00000000-0005-0000-0000-000063130000}"/>
    <cellStyle name="Normal 10 2 10 23 5 8" xfId="4964" xr:uid="{00000000-0005-0000-0000-000064130000}"/>
    <cellStyle name="Normal 10 2 10 23 5 9" xfId="4965" xr:uid="{00000000-0005-0000-0000-000065130000}"/>
    <cellStyle name="Normal 10 2 10 23 6" xfId="4966" xr:uid="{00000000-0005-0000-0000-000066130000}"/>
    <cellStyle name="Normal 10 2 10 23 7" xfId="4967" xr:uid="{00000000-0005-0000-0000-000067130000}"/>
    <cellStyle name="Normal 10 2 10 23 8" xfId="4968" xr:uid="{00000000-0005-0000-0000-000068130000}"/>
    <cellStyle name="Normal 10 2 10 23 9" xfId="4969" xr:uid="{00000000-0005-0000-0000-000069130000}"/>
    <cellStyle name="Normal 10 2 10 24" xfId="4970" xr:uid="{00000000-0005-0000-0000-00006A130000}"/>
    <cellStyle name="Normal 10 2 10 24 10" xfId="4971" xr:uid="{00000000-0005-0000-0000-00006B130000}"/>
    <cellStyle name="Normal 10 2 10 24 11" xfId="4972" xr:uid="{00000000-0005-0000-0000-00006C130000}"/>
    <cellStyle name="Normal 10 2 10 24 12" xfId="4973" xr:uid="{00000000-0005-0000-0000-00006D130000}"/>
    <cellStyle name="Normal 10 2 10 24 13" xfId="4974" xr:uid="{00000000-0005-0000-0000-00006E130000}"/>
    <cellStyle name="Normal 10 2 10 24 14" xfId="4975" xr:uid="{00000000-0005-0000-0000-00006F130000}"/>
    <cellStyle name="Normal 10 2 10 24 2" xfId="4976" xr:uid="{00000000-0005-0000-0000-000070130000}"/>
    <cellStyle name="Normal 10 2 10 24 2 10" xfId="4977" xr:uid="{00000000-0005-0000-0000-000071130000}"/>
    <cellStyle name="Normal 10 2 10 24 2 2" xfId="4978" xr:uid="{00000000-0005-0000-0000-000072130000}"/>
    <cellStyle name="Normal 10 2 10 24 2 3" xfId="4979" xr:uid="{00000000-0005-0000-0000-000073130000}"/>
    <cellStyle name="Normal 10 2 10 24 2 4" xfId="4980" xr:uid="{00000000-0005-0000-0000-000074130000}"/>
    <cellStyle name="Normal 10 2 10 24 2 5" xfId="4981" xr:uid="{00000000-0005-0000-0000-000075130000}"/>
    <cellStyle name="Normal 10 2 10 24 2 6" xfId="4982" xr:uid="{00000000-0005-0000-0000-000076130000}"/>
    <cellStyle name="Normal 10 2 10 24 2 7" xfId="4983" xr:uid="{00000000-0005-0000-0000-000077130000}"/>
    <cellStyle name="Normal 10 2 10 24 2 8" xfId="4984" xr:uid="{00000000-0005-0000-0000-000078130000}"/>
    <cellStyle name="Normal 10 2 10 24 2 9" xfId="4985" xr:uid="{00000000-0005-0000-0000-000079130000}"/>
    <cellStyle name="Normal 10 2 10 24 3" xfId="4986" xr:uid="{00000000-0005-0000-0000-00007A130000}"/>
    <cellStyle name="Normal 10 2 10 24 3 10" xfId="4987" xr:uid="{00000000-0005-0000-0000-00007B130000}"/>
    <cellStyle name="Normal 10 2 10 24 3 2" xfId="4988" xr:uid="{00000000-0005-0000-0000-00007C130000}"/>
    <cellStyle name="Normal 10 2 10 24 3 3" xfId="4989" xr:uid="{00000000-0005-0000-0000-00007D130000}"/>
    <cellStyle name="Normal 10 2 10 24 3 4" xfId="4990" xr:uid="{00000000-0005-0000-0000-00007E130000}"/>
    <cellStyle name="Normal 10 2 10 24 3 5" xfId="4991" xr:uid="{00000000-0005-0000-0000-00007F130000}"/>
    <cellStyle name="Normal 10 2 10 24 3 6" xfId="4992" xr:uid="{00000000-0005-0000-0000-000080130000}"/>
    <cellStyle name="Normal 10 2 10 24 3 7" xfId="4993" xr:uid="{00000000-0005-0000-0000-000081130000}"/>
    <cellStyle name="Normal 10 2 10 24 3 8" xfId="4994" xr:uid="{00000000-0005-0000-0000-000082130000}"/>
    <cellStyle name="Normal 10 2 10 24 3 9" xfId="4995" xr:uid="{00000000-0005-0000-0000-000083130000}"/>
    <cellStyle name="Normal 10 2 10 24 4" xfId="4996" xr:uid="{00000000-0005-0000-0000-000084130000}"/>
    <cellStyle name="Normal 10 2 10 24 4 10" xfId="4997" xr:uid="{00000000-0005-0000-0000-000085130000}"/>
    <cellStyle name="Normal 10 2 10 24 4 2" xfId="4998" xr:uid="{00000000-0005-0000-0000-000086130000}"/>
    <cellStyle name="Normal 10 2 10 24 4 3" xfId="4999" xr:uid="{00000000-0005-0000-0000-000087130000}"/>
    <cellStyle name="Normal 10 2 10 24 4 4" xfId="5000" xr:uid="{00000000-0005-0000-0000-000088130000}"/>
    <cellStyle name="Normal 10 2 10 24 4 5" xfId="5001" xr:uid="{00000000-0005-0000-0000-000089130000}"/>
    <cellStyle name="Normal 10 2 10 24 4 6" xfId="5002" xr:uid="{00000000-0005-0000-0000-00008A130000}"/>
    <cellStyle name="Normal 10 2 10 24 4 7" xfId="5003" xr:uid="{00000000-0005-0000-0000-00008B130000}"/>
    <cellStyle name="Normal 10 2 10 24 4 8" xfId="5004" xr:uid="{00000000-0005-0000-0000-00008C130000}"/>
    <cellStyle name="Normal 10 2 10 24 4 9" xfId="5005" xr:uid="{00000000-0005-0000-0000-00008D130000}"/>
    <cellStyle name="Normal 10 2 10 24 5" xfId="5006" xr:uid="{00000000-0005-0000-0000-00008E130000}"/>
    <cellStyle name="Normal 10 2 10 24 5 10" xfId="5007" xr:uid="{00000000-0005-0000-0000-00008F130000}"/>
    <cellStyle name="Normal 10 2 10 24 5 2" xfId="5008" xr:uid="{00000000-0005-0000-0000-000090130000}"/>
    <cellStyle name="Normal 10 2 10 24 5 3" xfId="5009" xr:uid="{00000000-0005-0000-0000-000091130000}"/>
    <cellStyle name="Normal 10 2 10 24 5 4" xfId="5010" xr:uid="{00000000-0005-0000-0000-000092130000}"/>
    <cellStyle name="Normal 10 2 10 24 5 5" xfId="5011" xr:uid="{00000000-0005-0000-0000-000093130000}"/>
    <cellStyle name="Normal 10 2 10 24 5 6" xfId="5012" xr:uid="{00000000-0005-0000-0000-000094130000}"/>
    <cellStyle name="Normal 10 2 10 24 5 7" xfId="5013" xr:uid="{00000000-0005-0000-0000-000095130000}"/>
    <cellStyle name="Normal 10 2 10 24 5 8" xfId="5014" xr:uid="{00000000-0005-0000-0000-000096130000}"/>
    <cellStyle name="Normal 10 2 10 24 5 9" xfId="5015" xr:uid="{00000000-0005-0000-0000-000097130000}"/>
    <cellStyle name="Normal 10 2 10 24 6" xfId="5016" xr:uid="{00000000-0005-0000-0000-000098130000}"/>
    <cellStyle name="Normal 10 2 10 24 7" xfId="5017" xr:uid="{00000000-0005-0000-0000-000099130000}"/>
    <cellStyle name="Normal 10 2 10 24 8" xfId="5018" xr:uid="{00000000-0005-0000-0000-00009A130000}"/>
    <cellStyle name="Normal 10 2 10 24 9" xfId="5019" xr:uid="{00000000-0005-0000-0000-00009B130000}"/>
    <cellStyle name="Normal 10 2 10 25" xfId="5020" xr:uid="{00000000-0005-0000-0000-00009C130000}"/>
    <cellStyle name="Normal 10 2 10 25 10" xfId="5021" xr:uid="{00000000-0005-0000-0000-00009D130000}"/>
    <cellStyle name="Normal 10 2 10 25 11" xfId="5022" xr:uid="{00000000-0005-0000-0000-00009E130000}"/>
    <cellStyle name="Normal 10 2 10 25 12" xfId="5023" xr:uid="{00000000-0005-0000-0000-00009F130000}"/>
    <cellStyle name="Normal 10 2 10 25 13" xfId="5024" xr:uid="{00000000-0005-0000-0000-0000A0130000}"/>
    <cellStyle name="Normal 10 2 10 25 14" xfId="5025" xr:uid="{00000000-0005-0000-0000-0000A1130000}"/>
    <cellStyle name="Normal 10 2 10 25 2" xfId="5026" xr:uid="{00000000-0005-0000-0000-0000A2130000}"/>
    <cellStyle name="Normal 10 2 10 25 2 10" xfId="5027" xr:uid="{00000000-0005-0000-0000-0000A3130000}"/>
    <cellStyle name="Normal 10 2 10 25 2 2" xfId="5028" xr:uid="{00000000-0005-0000-0000-0000A4130000}"/>
    <cellStyle name="Normal 10 2 10 25 2 3" xfId="5029" xr:uid="{00000000-0005-0000-0000-0000A5130000}"/>
    <cellStyle name="Normal 10 2 10 25 2 4" xfId="5030" xr:uid="{00000000-0005-0000-0000-0000A6130000}"/>
    <cellStyle name="Normal 10 2 10 25 2 5" xfId="5031" xr:uid="{00000000-0005-0000-0000-0000A7130000}"/>
    <cellStyle name="Normal 10 2 10 25 2 6" xfId="5032" xr:uid="{00000000-0005-0000-0000-0000A8130000}"/>
    <cellStyle name="Normal 10 2 10 25 2 7" xfId="5033" xr:uid="{00000000-0005-0000-0000-0000A9130000}"/>
    <cellStyle name="Normal 10 2 10 25 2 8" xfId="5034" xr:uid="{00000000-0005-0000-0000-0000AA130000}"/>
    <cellStyle name="Normal 10 2 10 25 2 9" xfId="5035" xr:uid="{00000000-0005-0000-0000-0000AB130000}"/>
    <cellStyle name="Normal 10 2 10 25 3" xfId="5036" xr:uid="{00000000-0005-0000-0000-0000AC130000}"/>
    <cellStyle name="Normal 10 2 10 25 3 10" xfId="5037" xr:uid="{00000000-0005-0000-0000-0000AD130000}"/>
    <cellStyle name="Normal 10 2 10 25 3 2" xfId="5038" xr:uid="{00000000-0005-0000-0000-0000AE130000}"/>
    <cellStyle name="Normal 10 2 10 25 3 3" xfId="5039" xr:uid="{00000000-0005-0000-0000-0000AF130000}"/>
    <cellStyle name="Normal 10 2 10 25 3 4" xfId="5040" xr:uid="{00000000-0005-0000-0000-0000B0130000}"/>
    <cellStyle name="Normal 10 2 10 25 3 5" xfId="5041" xr:uid="{00000000-0005-0000-0000-0000B1130000}"/>
    <cellStyle name="Normal 10 2 10 25 3 6" xfId="5042" xr:uid="{00000000-0005-0000-0000-0000B2130000}"/>
    <cellStyle name="Normal 10 2 10 25 3 7" xfId="5043" xr:uid="{00000000-0005-0000-0000-0000B3130000}"/>
    <cellStyle name="Normal 10 2 10 25 3 8" xfId="5044" xr:uid="{00000000-0005-0000-0000-0000B4130000}"/>
    <cellStyle name="Normal 10 2 10 25 3 9" xfId="5045" xr:uid="{00000000-0005-0000-0000-0000B5130000}"/>
    <cellStyle name="Normal 10 2 10 25 4" xfId="5046" xr:uid="{00000000-0005-0000-0000-0000B6130000}"/>
    <cellStyle name="Normal 10 2 10 25 4 10" xfId="5047" xr:uid="{00000000-0005-0000-0000-0000B7130000}"/>
    <cellStyle name="Normal 10 2 10 25 4 2" xfId="5048" xr:uid="{00000000-0005-0000-0000-0000B8130000}"/>
    <cellStyle name="Normal 10 2 10 25 4 3" xfId="5049" xr:uid="{00000000-0005-0000-0000-0000B9130000}"/>
    <cellStyle name="Normal 10 2 10 25 4 4" xfId="5050" xr:uid="{00000000-0005-0000-0000-0000BA130000}"/>
    <cellStyle name="Normal 10 2 10 25 4 5" xfId="5051" xr:uid="{00000000-0005-0000-0000-0000BB130000}"/>
    <cellStyle name="Normal 10 2 10 25 4 6" xfId="5052" xr:uid="{00000000-0005-0000-0000-0000BC130000}"/>
    <cellStyle name="Normal 10 2 10 25 4 7" xfId="5053" xr:uid="{00000000-0005-0000-0000-0000BD130000}"/>
    <cellStyle name="Normal 10 2 10 25 4 8" xfId="5054" xr:uid="{00000000-0005-0000-0000-0000BE130000}"/>
    <cellStyle name="Normal 10 2 10 25 4 9" xfId="5055" xr:uid="{00000000-0005-0000-0000-0000BF130000}"/>
    <cellStyle name="Normal 10 2 10 25 5" xfId="5056" xr:uid="{00000000-0005-0000-0000-0000C0130000}"/>
    <cellStyle name="Normal 10 2 10 25 5 10" xfId="5057" xr:uid="{00000000-0005-0000-0000-0000C1130000}"/>
    <cellStyle name="Normal 10 2 10 25 5 2" xfId="5058" xr:uid="{00000000-0005-0000-0000-0000C2130000}"/>
    <cellStyle name="Normal 10 2 10 25 5 3" xfId="5059" xr:uid="{00000000-0005-0000-0000-0000C3130000}"/>
    <cellStyle name="Normal 10 2 10 25 5 4" xfId="5060" xr:uid="{00000000-0005-0000-0000-0000C4130000}"/>
    <cellStyle name="Normal 10 2 10 25 5 5" xfId="5061" xr:uid="{00000000-0005-0000-0000-0000C5130000}"/>
    <cellStyle name="Normal 10 2 10 25 5 6" xfId="5062" xr:uid="{00000000-0005-0000-0000-0000C6130000}"/>
    <cellStyle name="Normal 10 2 10 25 5 7" xfId="5063" xr:uid="{00000000-0005-0000-0000-0000C7130000}"/>
    <cellStyle name="Normal 10 2 10 25 5 8" xfId="5064" xr:uid="{00000000-0005-0000-0000-0000C8130000}"/>
    <cellStyle name="Normal 10 2 10 25 5 9" xfId="5065" xr:uid="{00000000-0005-0000-0000-0000C9130000}"/>
    <cellStyle name="Normal 10 2 10 25 6" xfId="5066" xr:uid="{00000000-0005-0000-0000-0000CA130000}"/>
    <cellStyle name="Normal 10 2 10 25 7" xfId="5067" xr:uid="{00000000-0005-0000-0000-0000CB130000}"/>
    <cellStyle name="Normal 10 2 10 25 8" xfId="5068" xr:uid="{00000000-0005-0000-0000-0000CC130000}"/>
    <cellStyle name="Normal 10 2 10 25 9" xfId="5069" xr:uid="{00000000-0005-0000-0000-0000CD130000}"/>
    <cellStyle name="Normal 10 2 10 26" xfId="5070" xr:uid="{00000000-0005-0000-0000-0000CE130000}"/>
    <cellStyle name="Normal 10 2 10 26 10" xfId="5071" xr:uid="{00000000-0005-0000-0000-0000CF130000}"/>
    <cellStyle name="Normal 10 2 10 26 11" xfId="5072" xr:uid="{00000000-0005-0000-0000-0000D0130000}"/>
    <cellStyle name="Normal 10 2 10 26 12" xfId="5073" xr:uid="{00000000-0005-0000-0000-0000D1130000}"/>
    <cellStyle name="Normal 10 2 10 26 13" xfId="5074" xr:uid="{00000000-0005-0000-0000-0000D2130000}"/>
    <cellStyle name="Normal 10 2 10 26 14" xfId="5075" xr:uid="{00000000-0005-0000-0000-0000D3130000}"/>
    <cellStyle name="Normal 10 2 10 26 2" xfId="5076" xr:uid="{00000000-0005-0000-0000-0000D4130000}"/>
    <cellStyle name="Normal 10 2 10 26 2 10" xfId="5077" xr:uid="{00000000-0005-0000-0000-0000D5130000}"/>
    <cellStyle name="Normal 10 2 10 26 2 2" xfId="5078" xr:uid="{00000000-0005-0000-0000-0000D6130000}"/>
    <cellStyle name="Normal 10 2 10 26 2 3" xfId="5079" xr:uid="{00000000-0005-0000-0000-0000D7130000}"/>
    <cellStyle name="Normal 10 2 10 26 2 4" xfId="5080" xr:uid="{00000000-0005-0000-0000-0000D8130000}"/>
    <cellStyle name="Normal 10 2 10 26 2 5" xfId="5081" xr:uid="{00000000-0005-0000-0000-0000D9130000}"/>
    <cellStyle name="Normal 10 2 10 26 2 6" xfId="5082" xr:uid="{00000000-0005-0000-0000-0000DA130000}"/>
    <cellStyle name="Normal 10 2 10 26 2 7" xfId="5083" xr:uid="{00000000-0005-0000-0000-0000DB130000}"/>
    <cellStyle name="Normal 10 2 10 26 2 8" xfId="5084" xr:uid="{00000000-0005-0000-0000-0000DC130000}"/>
    <cellStyle name="Normal 10 2 10 26 2 9" xfId="5085" xr:uid="{00000000-0005-0000-0000-0000DD130000}"/>
    <cellStyle name="Normal 10 2 10 26 3" xfId="5086" xr:uid="{00000000-0005-0000-0000-0000DE130000}"/>
    <cellStyle name="Normal 10 2 10 26 3 10" xfId="5087" xr:uid="{00000000-0005-0000-0000-0000DF130000}"/>
    <cellStyle name="Normal 10 2 10 26 3 2" xfId="5088" xr:uid="{00000000-0005-0000-0000-0000E0130000}"/>
    <cellStyle name="Normal 10 2 10 26 3 3" xfId="5089" xr:uid="{00000000-0005-0000-0000-0000E1130000}"/>
    <cellStyle name="Normal 10 2 10 26 3 4" xfId="5090" xr:uid="{00000000-0005-0000-0000-0000E2130000}"/>
    <cellStyle name="Normal 10 2 10 26 3 5" xfId="5091" xr:uid="{00000000-0005-0000-0000-0000E3130000}"/>
    <cellStyle name="Normal 10 2 10 26 3 6" xfId="5092" xr:uid="{00000000-0005-0000-0000-0000E4130000}"/>
    <cellStyle name="Normal 10 2 10 26 3 7" xfId="5093" xr:uid="{00000000-0005-0000-0000-0000E5130000}"/>
    <cellStyle name="Normal 10 2 10 26 3 8" xfId="5094" xr:uid="{00000000-0005-0000-0000-0000E6130000}"/>
    <cellStyle name="Normal 10 2 10 26 3 9" xfId="5095" xr:uid="{00000000-0005-0000-0000-0000E7130000}"/>
    <cellStyle name="Normal 10 2 10 26 4" xfId="5096" xr:uid="{00000000-0005-0000-0000-0000E8130000}"/>
    <cellStyle name="Normal 10 2 10 26 4 10" xfId="5097" xr:uid="{00000000-0005-0000-0000-0000E9130000}"/>
    <cellStyle name="Normal 10 2 10 26 4 2" xfId="5098" xr:uid="{00000000-0005-0000-0000-0000EA130000}"/>
    <cellStyle name="Normal 10 2 10 26 4 3" xfId="5099" xr:uid="{00000000-0005-0000-0000-0000EB130000}"/>
    <cellStyle name="Normal 10 2 10 26 4 4" xfId="5100" xr:uid="{00000000-0005-0000-0000-0000EC130000}"/>
    <cellStyle name="Normal 10 2 10 26 4 5" xfId="5101" xr:uid="{00000000-0005-0000-0000-0000ED130000}"/>
    <cellStyle name="Normal 10 2 10 26 4 6" xfId="5102" xr:uid="{00000000-0005-0000-0000-0000EE130000}"/>
    <cellStyle name="Normal 10 2 10 26 4 7" xfId="5103" xr:uid="{00000000-0005-0000-0000-0000EF130000}"/>
    <cellStyle name="Normal 10 2 10 26 4 8" xfId="5104" xr:uid="{00000000-0005-0000-0000-0000F0130000}"/>
    <cellStyle name="Normal 10 2 10 26 4 9" xfId="5105" xr:uid="{00000000-0005-0000-0000-0000F1130000}"/>
    <cellStyle name="Normal 10 2 10 26 5" xfId="5106" xr:uid="{00000000-0005-0000-0000-0000F2130000}"/>
    <cellStyle name="Normal 10 2 10 26 5 10" xfId="5107" xr:uid="{00000000-0005-0000-0000-0000F3130000}"/>
    <cellStyle name="Normal 10 2 10 26 5 2" xfId="5108" xr:uid="{00000000-0005-0000-0000-0000F4130000}"/>
    <cellStyle name="Normal 10 2 10 26 5 3" xfId="5109" xr:uid="{00000000-0005-0000-0000-0000F5130000}"/>
    <cellStyle name="Normal 10 2 10 26 5 4" xfId="5110" xr:uid="{00000000-0005-0000-0000-0000F6130000}"/>
    <cellStyle name="Normal 10 2 10 26 5 5" xfId="5111" xr:uid="{00000000-0005-0000-0000-0000F7130000}"/>
    <cellStyle name="Normal 10 2 10 26 5 6" xfId="5112" xr:uid="{00000000-0005-0000-0000-0000F8130000}"/>
    <cellStyle name="Normal 10 2 10 26 5 7" xfId="5113" xr:uid="{00000000-0005-0000-0000-0000F9130000}"/>
    <cellStyle name="Normal 10 2 10 26 5 8" xfId="5114" xr:uid="{00000000-0005-0000-0000-0000FA130000}"/>
    <cellStyle name="Normal 10 2 10 26 5 9" xfId="5115" xr:uid="{00000000-0005-0000-0000-0000FB130000}"/>
    <cellStyle name="Normal 10 2 10 26 6" xfId="5116" xr:uid="{00000000-0005-0000-0000-0000FC130000}"/>
    <cellStyle name="Normal 10 2 10 26 7" xfId="5117" xr:uid="{00000000-0005-0000-0000-0000FD130000}"/>
    <cellStyle name="Normal 10 2 10 26 8" xfId="5118" xr:uid="{00000000-0005-0000-0000-0000FE130000}"/>
    <cellStyle name="Normal 10 2 10 26 9" xfId="5119" xr:uid="{00000000-0005-0000-0000-0000FF130000}"/>
    <cellStyle name="Normal 10 2 10 27" xfId="5120" xr:uid="{00000000-0005-0000-0000-000000140000}"/>
    <cellStyle name="Normal 10 2 10 27 10" xfId="5121" xr:uid="{00000000-0005-0000-0000-000001140000}"/>
    <cellStyle name="Normal 10 2 10 27 11" xfId="5122" xr:uid="{00000000-0005-0000-0000-000002140000}"/>
    <cellStyle name="Normal 10 2 10 27 12" xfId="5123" xr:uid="{00000000-0005-0000-0000-000003140000}"/>
    <cellStyle name="Normal 10 2 10 27 13" xfId="5124" xr:uid="{00000000-0005-0000-0000-000004140000}"/>
    <cellStyle name="Normal 10 2 10 27 14" xfId="5125" xr:uid="{00000000-0005-0000-0000-000005140000}"/>
    <cellStyle name="Normal 10 2 10 27 2" xfId="5126" xr:uid="{00000000-0005-0000-0000-000006140000}"/>
    <cellStyle name="Normal 10 2 10 27 2 10" xfId="5127" xr:uid="{00000000-0005-0000-0000-000007140000}"/>
    <cellStyle name="Normal 10 2 10 27 2 2" xfId="5128" xr:uid="{00000000-0005-0000-0000-000008140000}"/>
    <cellStyle name="Normal 10 2 10 27 2 3" xfId="5129" xr:uid="{00000000-0005-0000-0000-000009140000}"/>
    <cellStyle name="Normal 10 2 10 27 2 4" xfId="5130" xr:uid="{00000000-0005-0000-0000-00000A140000}"/>
    <cellStyle name="Normal 10 2 10 27 2 5" xfId="5131" xr:uid="{00000000-0005-0000-0000-00000B140000}"/>
    <cellStyle name="Normal 10 2 10 27 2 6" xfId="5132" xr:uid="{00000000-0005-0000-0000-00000C140000}"/>
    <cellStyle name="Normal 10 2 10 27 2 7" xfId="5133" xr:uid="{00000000-0005-0000-0000-00000D140000}"/>
    <cellStyle name="Normal 10 2 10 27 2 8" xfId="5134" xr:uid="{00000000-0005-0000-0000-00000E140000}"/>
    <cellStyle name="Normal 10 2 10 27 2 9" xfId="5135" xr:uid="{00000000-0005-0000-0000-00000F140000}"/>
    <cellStyle name="Normal 10 2 10 27 3" xfId="5136" xr:uid="{00000000-0005-0000-0000-000010140000}"/>
    <cellStyle name="Normal 10 2 10 27 3 10" xfId="5137" xr:uid="{00000000-0005-0000-0000-000011140000}"/>
    <cellStyle name="Normal 10 2 10 27 3 2" xfId="5138" xr:uid="{00000000-0005-0000-0000-000012140000}"/>
    <cellStyle name="Normal 10 2 10 27 3 3" xfId="5139" xr:uid="{00000000-0005-0000-0000-000013140000}"/>
    <cellStyle name="Normal 10 2 10 27 3 4" xfId="5140" xr:uid="{00000000-0005-0000-0000-000014140000}"/>
    <cellStyle name="Normal 10 2 10 27 3 5" xfId="5141" xr:uid="{00000000-0005-0000-0000-000015140000}"/>
    <cellStyle name="Normal 10 2 10 27 3 6" xfId="5142" xr:uid="{00000000-0005-0000-0000-000016140000}"/>
    <cellStyle name="Normal 10 2 10 27 3 7" xfId="5143" xr:uid="{00000000-0005-0000-0000-000017140000}"/>
    <cellStyle name="Normal 10 2 10 27 3 8" xfId="5144" xr:uid="{00000000-0005-0000-0000-000018140000}"/>
    <cellStyle name="Normal 10 2 10 27 3 9" xfId="5145" xr:uid="{00000000-0005-0000-0000-000019140000}"/>
    <cellStyle name="Normal 10 2 10 27 4" xfId="5146" xr:uid="{00000000-0005-0000-0000-00001A140000}"/>
    <cellStyle name="Normal 10 2 10 27 4 10" xfId="5147" xr:uid="{00000000-0005-0000-0000-00001B140000}"/>
    <cellStyle name="Normal 10 2 10 27 4 2" xfId="5148" xr:uid="{00000000-0005-0000-0000-00001C140000}"/>
    <cellStyle name="Normal 10 2 10 27 4 3" xfId="5149" xr:uid="{00000000-0005-0000-0000-00001D140000}"/>
    <cellStyle name="Normal 10 2 10 27 4 4" xfId="5150" xr:uid="{00000000-0005-0000-0000-00001E140000}"/>
    <cellStyle name="Normal 10 2 10 27 4 5" xfId="5151" xr:uid="{00000000-0005-0000-0000-00001F140000}"/>
    <cellStyle name="Normal 10 2 10 27 4 6" xfId="5152" xr:uid="{00000000-0005-0000-0000-000020140000}"/>
    <cellStyle name="Normal 10 2 10 27 4 7" xfId="5153" xr:uid="{00000000-0005-0000-0000-000021140000}"/>
    <cellStyle name="Normal 10 2 10 27 4 8" xfId="5154" xr:uid="{00000000-0005-0000-0000-000022140000}"/>
    <cellStyle name="Normal 10 2 10 27 4 9" xfId="5155" xr:uid="{00000000-0005-0000-0000-000023140000}"/>
    <cellStyle name="Normal 10 2 10 27 5" xfId="5156" xr:uid="{00000000-0005-0000-0000-000024140000}"/>
    <cellStyle name="Normal 10 2 10 27 5 10" xfId="5157" xr:uid="{00000000-0005-0000-0000-000025140000}"/>
    <cellStyle name="Normal 10 2 10 27 5 2" xfId="5158" xr:uid="{00000000-0005-0000-0000-000026140000}"/>
    <cellStyle name="Normal 10 2 10 27 5 3" xfId="5159" xr:uid="{00000000-0005-0000-0000-000027140000}"/>
    <cellStyle name="Normal 10 2 10 27 5 4" xfId="5160" xr:uid="{00000000-0005-0000-0000-000028140000}"/>
    <cellStyle name="Normal 10 2 10 27 5 5" xfId="5161" xr:uid="{00000000-0005-0000-0000-000029140000}"/>
    <cellStyle name="Normal 10 2 10 27 5 6" xfId="5162" xr:uid="{00000000-0005-0000-0000-00002A140000}"/>
    <cellStyle name="Normal 10 2 10 27 5 7" xfId="5163" xr:uid="{00000000-0005-0000-0000-00002B140000}"/>
    <cellStyle name="Normal 10 2 10 27 5 8" xfId="5164" xr:uid="{00000000-0005-0000-0000-00002C140000}"/>
    <cellStyle name="Normal 10 2 10 27 5 9" xfId="5165" xr:uid="{00000000-0005-0000-0000-00002D140000}"/>
    <cellStyle name="Normal 10 2 10 27 6" xfId="5166" xr:uid="{00000000-0005-0000-0000-00002E140000}"/>
    <cellStyle name="Normal 10 2 10 27 7" xfId="5167" xr:uid="{00000000-0005-0000-0000-00002F140000}"/>
    <cellStyle name="Normal 10 2 10 27 8" xfId="5168" xr:uid="{00000000-0005-0000-0000-000030140000}"/>
    <cellStyle name="Normal 10 2 10 27 9" xfId="5169" xr:uid="{00000000-0005-0000-0000-000031140000}"/>
    <cellStyle name="Normal 10 2 10 28" xfId="5170" xr:uid="{00000000-0005-0000-0000-000032140000}"/>
    <cellStyle name="Normal 10 2 10 28 10" xfId="5171" xr:uid="{00000000-0005-0000-0000-000033140000}"/>
    <cellStyle name="Normal 10 2 10 28 11" xfId="5172" xr:uid="{00000000-0005-0000-0000-000034140000}"/>
    <cellStyle name="Normal 10 2 10 28 12" xfId="5173" xr:uid="{00000000-0005-0000-0000-000035140000}"/>
    <cellStyle name="Normal 10 2 10 28 13" xfId="5174" xr:uid="{00000000-0005-0000-0000-000036140000}"/>
    <cellStyle name="Normal 10 2 10 28 14" xfId="5175" xr:uid="{00000000-0005-0000-0000-000037140000}"/>
    <cellStyle name="Normal 10 2 10 28 2" xfId="5176" xr:uid="{00000000-0005-0000-0000-000038140000}"/>
    <cellStyle name="Normal 10 2 10 28 2 10" xfId="5177" xr:uid="{00000000-0005-0000-0000-000039140000}"/>
    <cellStyle name="Normal 10 2 10 28 2 2" xfId="5178" xr:uid="{00000000-0005-0000-0000-00003A140000}"/>
    <cellStyle name="Normal 10 2 10 28 2 3" xfId="5179" xr:uid="{00000000-0005-0000-0000-00003B140000}"/>
    <cellStyle name="Normal 10 2 10 28 2 4" xfId="5180" xr:uid="{00000000-0005-0000-0000-00003C140000}"/>
    <cellStyle name="Normal 10 2 10 28 2 5" xfId="5181" xr:uid="{00000000-0005-0000-0000-00003D140000}"/>
    <cellStyle name="Normal 10 2 10 28 2 6" xfId="5182" xr:uid="{00000000-0005-0000-0000-00003E140000}"/>
    <cellStyle name="Normal 10 2 10 28 2 7" xfId="5183" xr:uid="{00000000-0005-0000-0000-00003F140000}"/>
    <cellStyle name="Normal 10 2 10 28 2 8" xfId="5184" xr:uid="{00000000-0005-0000-0000-000040140000}"/>
    <cellStyle name="Normal 10 2 10 28 2 9" xfId="5185" xr:uid="{00000000-0005-0000-0000-000041140000}"/>
    <cellStyle name="Normal 10 2 10 28 3" xfId="5186" xr:uid="{00000000-0005-0000-0000-000042140000}"/>
    <cellStyle name="Normal 10 2 10 28 3 10" xfId="5187" xr:uid="{00000000-0005-0000-0000-000043140000}"/>
    <cellStyle name="Normal 10 2 10 28 3 2" xfId="5188" xr:uid="{00000000-0005-0000-0000-000044140000}"/>
    <cellStyle name="Normal 10 2 10 28 3 3" xfId="5189" xr:uid="{00000000-0005-0000-0000-000045140000}"/>
    <cellStyle name="Normal 10 2 10 28 3 4" xfId="5190" xr:uid="{00000000-0005-0000-0000-000046140000}"/>
    <cellStyle name="Normal 10 2 10 28 3 5" xfId="5191" xr:uid="{00000000-0005-0000-0000-000047140000}"/>
    <cellStyle name="Normal 10 2 10 28 3 6" xfId="5192" xr:uid="{00000000-0005-0000-0000-000048140000}"/>
    <cellStyle name="Normal 10 2 10 28 3 7" xfId="5193" xr:uid="{00000000-0005-0000-0000-000049140000}"/>
    <cellStyle name="Normal 10 2 10 28 3 8" xfId="5194" xr:uid="{00000000-0005-0000-0000-00004A140000}"/>
    <cellStyle name="Normal 10 2 10 28 3 9" xfId="5195" xr:uid="{00000000-0005-0000-0000-00004B140000}"/>
    <cellStyle name="Normal 10 2 10 28 4" xfId="5196" xr:uid="{00000000-0005-0000-0000-00004C140000}"/>
    <cellStyle name="Normal 10 2 10 28 4 10" xfId="5197" xr:uid="{00000000-0005-0000-0000-00004D140000}"/>
    <cellStyle name="Normal 10 2 10 28 4 2" xfId="5198" xr:uid="{00000000-0005-0000-0000-00004E140000}"/>
    <cellStyle name="Normal 10 2 10 28 4 3" xfId="5199" xr:uid="{00000000-0005-0000-0000-00004F140000}"/>
    <cellStyle name="Normal 10 2 10 28 4 4" xfId="5200" xr:uid="{00000000-0005-0000-0000-000050140000}"/>
    <cellStyle name="Normal 10 2 10 28 4 5" xfId="5201" xr:uid="{00000000-0005-0000-0000-000051140000}"/>
    <cellStyle name="Normal 10 2 10 28 4 6" xfId="5202" xr:uid="{00000000-0005-0000-0000-000052140000}"/>
    <cellStyle name="Normal 10 2 10 28 4 7" xfId="5203" xr:uid="{00000000-0005-0000-0000-000053140000}"/>
    <cellStyle name="Normal 10 2 10 28 4 8" xfId="5204" xr:uid="{00000000-0005-0000-0000-000054140000}"/>
    <cellStyle name="Normal 10 2 10 28 4 9" xfId="5205" xr:uid="{00000000-0005-0000-0000-000055140000}"/>
    <cellStyle name="Normal 10 2 10 28 5" xfId="5206" xr:uid="{00000000-0005-0000-0000-000056140000}"/>
    <cellStyle name="Normal 10 2 10 28 5 10" xfId="5207" xr:uid="{00000000-0005-0000-0000-000057140000}"/>
    <cellStyle name="Normal 10 2 10 28 5 2" xfId="5208" xr:uid="{00000000-0005-0000-0000-000058140000}"/>
    <cellStyle name="Normal 10 2 10 28 5 3" xfId="5209" xr:uid="{00000000-0005-0000-0000-000059140000}"/>
    <cellStyle name="Normal 10 2 10 28 5 4" xfId="5210" xr:uid="{00000000-0005-0000-0000-00005A140000}"/>
    <cellStyle name="Normal 10 2 10 28 5 5" xfId="5211" xr:uid="{00000000-0005-0000-0000-00005B140000}"/>
    <cellStyle name="Normal 10 2 10 28 5 6" xfId="5212" xr:uid="{00000000-0005-0000-0000-00005C140000}"/>
    <cellStyle name="Normal 10 2 10 28 5 7" xfId="5213" xr:uid="{00000000-0005-0000-0000-00005D140000}"/>
    <cellStyle name="Normal 10 2 10 28 5 8" xfId="5214" xr:uid="{00000000-0005-0000-0000-00005E140000}"/>
    <cellStyle name="Normal 10 2 10 28 5 9" xfId="5215" xr:uid="{00000000-0005-0000-0000-00005F140000}"/>
    <cellStyle name="Normal 10 2 10 28 6" xfId="5216" xr:uid="{00000000-0005-0000-0000-000060140000}"/>
    <cellStyle name="Normal 10 2 10 28 7" xfId="5217" xr:uid="{00000000-0005-0000-0000-000061140000}"/>
    <cellStyle name="Normal 10 2 10 28 8" xfId="5218" xr:uid="{00000000-0005-0000-0000-000062140000}"/>
    <cellStyle name="Normal 10 2 10 28 9" xfId="5219" xr:uid="{00000000-0005-0000-0000-000063140000}"/>
    <cellStyle name="Normal 10 2 10 29" xfId="5220" xr:uid="{00000000-0005-0000-0000-000064140000}"/>
    <cellStyle name="Normal 10 2 10 29 10" xfId="5221" xr:uid="{00000000-0005-0000-0000-000065140000}"/>
    <cellStyle name="Normal 10 2 10 29 11" xfId="5222" xr:uid="{00000000-0005-0000-0000-000066140000}"/>
    <cellStyle name="Normal 10 2 10 29 12" xfId="5223" xr:uid="{00000000-0005-0000-0000-000067140000}"/>
    <cellStyle name="Normal 10 2 10 29 13" xfId="5224" xr:uid="{00000000-0005-0000-0000-000068140000}"/>
    <cellStyle name="Normal 10 2 10 29 14" xfId="5225" xr:uid="{00000000-0005-0000-0000-000069140000}"/>
    <cellStyle name="Normal 10 2 10 29 2" xfId="5226" xr:uid="{00000000-0005-0000-0000-00006A140000}"/>
    <cellStyle name="Normal 10 2 10 29 2 10" xfId="5227" xr:uid="{00000000-0005-0000-0000-00006B140000}"/>
    <cellStyle name="Normal 10 2 10 29 2 2" xfId="5228" xr:uid="{00000000-0005-0000-0000-00006C140000}"/>
    <cellStyle name="Normal 10 2 10 29 2 3" xfId="5229" xr:uid="{00000000-0005-0000-0000-00006D140000}"/>
    <cellStyle name="Normal 10 2 10 29 2 4" xfId="5230" xr:uid="{00000000-0005-0000-0000-00006E140000}"/>
    <cellStyle name="Normal 10 2 10 29 2 5" xfId="5231" xr:uid="{00000000-0005-0000-0000-00006F140000}"/>
    <cellStyle name="Normal 10 2 10 29 2 6" xfId="5232" xr:uid="{00000000-0005-0000-0000-000070140000}"/>
    <cellStyle name="Normal 10 2 10 29 2 7" xfId="5233" xr:uid="{00000000-0005-0000-0000-000071140000}"/>
    <cellStyle name="Normal 10 2 10 29 2 8" xfId="5234" xr:uid="{00000000-0005-0000-0000-000072140000}"/>
    <cellStyle name="Normal 10 2 10 29 2 9" xfId="5235" xr:uid="{00000000-0005-0000-0000-000073140000}"/>
    <cellStyle name="Normal 10 2 10 29 3" xfId="5236" xr:uid="{00000000-0005-0000-0000-000074140000}"/>
    <cellStyle name="Normal 10 2 10 29 3 10" xfId="5237" xr:uid="{00000000-0005-0000-0000-000075140000}"/>
    <cellStyle name="Normal 10 2 10 29 3 2" xfId="5238" xr:uid="{00000000-0005-0000-0000-000076140000}"/>
    <cellStyle name="Normal 10 2 10 29 3 3" xfId="5239" xr:uid="{00000000-0005-0000-0000-000077140000}"/>
    <cellStyle name="Normal 10 2 10 29 3 4" xfId="5240" xr:uid="{00000000-0005-0000-0000-000078140000}"/>
    <cellStyle name="Normal 10 2 10 29 3 5" xfId="5241" xr:uid="{00000000-0005-0000-0000-000079140000}"/>
    <cellStyle name="Normal 10 2 10 29 3 6" xfId="5242" xr:uid="{00000000-0005-0000-0000-00007A140000}"/>
    <cellStyle name="Normal 10 2 10 29 3 7" xfId="5243" xr:uid="{00000000-0005-0000-0000-00007B140000}"/>
    <cellStyle name="Normal 10 2 10 29 3 8" xfId="5244" xr:uid="{00000000-0005-0000-0000-00007C140000}"/>
    <cellStyle name="Normal 10 2 10 29 3 9" xfId="5245" xr:uid="{00000000-0005-0000-0000-00007D140000}"/>
    <cellStyle name="Normal 10 2 10 29 4" xfId="5246" xr:uid="{00000000-0005-0000-0000-00007E140000}"/>
    <cellStyle name="Normal 10 2 10 29 4 10" xfId="5247" xr:uid="{00000000-0005-0000-0000-00007F140000}"/>
    <cellStyle name="Normal 10 2 10 29 4 2" xfId="5248" xr:uid="{00000000-0005-0000-0000-000080140000}"/>
    <cellStyle name="Normal 10 2 10 29 4 3" xfId="5249" xr:uid="{00000000-0005-0000-0000-000081140000}"/>
    <cellStyle name="Normal 10 2 10 29 4 4" xfId="5250" xr:uid="{00000000-0005-0000-0000-000082140000}"/>
    <cellStyle name="Normal 10 2 10 29 4 5" xfId="5251" xr:uid="{00000000-0005-0000-0000-000083140000}"/>
    <cellStyle name="Normal 10 2 10 29 4 6" xfId="5252" xr:uid="{00000000-0005-0000-0000-000084140000}"/>
    <cellStyle name="Normal 10 2 10 29 4 7" xfId="5253" xr:uid="{00000000-0005-0000-0000-000085140000}"/>
    <cellStyle name="Normal 10 2 10 29 4 8" xfId="5254" xr:uid="{00000000-0005-0000-0000-000086140000}"/>
    <cellStyle name="Normal 10 2 10 29 4 9" xfId="5255" xr:uid="{00000000-0005-0000-0000-000087140000}"/>
    <cellStyle name="Normal 10 2 10 29 5" xfId="5256" xr:uid="{00000000-0005-0000-0000-000088140000}"/>
    <cellStyle name="Normal 10 2 10 29 5 10" xfId="5257" xr:uid="{00000000-0005-0000-0000-000089140000}"/>
    <cellStyle name="Normal 10 2 10 29 5 2" xfId="5258" xr:uid="{00000000-0005-0000-0000-00008A140000}"/>
    <cellStyle name="Normal 10 2 10 29 5 3" xfId="5259" xr:uid="{00000000-0005-0000-0000-00008B140000}"/>
    <cellStyle name="Normal 10 2 10 29 5 4" xfId="5260" xr:uid="{00000000-0005-0000-0000-00008C140000}"/>
    <cellStyle name="Normal 10 2 10 29 5 5" xfId="5261" xr:uid="{00000000-0005-0000-0000-00008D140000}"/>
    <cellStyle name="Normal 10 2 10 29 5 6" xfId="5262" xr:uid="{00000000-0005-0000-0000-00008E140000}"/>
    <cellStyle name="Normal 10 2 10 29 5 7" xfId="5263" xr:uid="{00000000-0005-0000-0000-00008F140000}"/>
    <cellStyle name="Normal 10 2 10 29 5 8" xfId="5264" xr:uid="{00000000-0005-0000-0000-000090140000}"/>
    <cellStyle name="Normal 10 2 10 29 5 9" xfId="5265" xr:uid="{00000000-0005-0000-0000-000091140000}"/>
    <cellStyle name="Normal 10 2 10 29 6" xfId="5266" xr:uid="{00000000-0005-0000-0000-000092140000}"/>
    <cellStyle name="Normal 10 2 10 29 7" xfId="5267" xr:uid="{00000000-0005-0000-0000-000093140000}"/>
    <cellStyle name="Normal 10 2 10 29 8" xfId="5268" xr:uid="{00000000-0005-0000-0000-000094140000}"/>
    <cellStyle name="Normal 10 2 10 29 9" xfId="5269" xr:uid="{00000000-0005-0000-0000-000095140000}"/>
    <cellStyle name="Normal 10 2 10 3" xfId="5270" xr:uid="{00000000-0005-0000-0000-000096140000}"/>
    <cellStyle name="Normal 10 2 10 3 10" xfId="5271" xr:uid="{00000000-0005-0000-0000-000097140000}"/>
    <cellStyle name="Normal 10 2 10 3 11" xfId="5272" xr:uid="{00000000-0005-0000-0000-000098140000}"/>
    <cellStyle name="Normal 10 2 10 3 12" xfId="5273" xr:uid="{00000000-0005-0000-0000-000099140000}"/>
    <cellStyle name="Normal 10 2 10 3 13" xfId="5274" xr:uid="{00000000-0005-0000-0000-00009A140000}"/>
    <cellStyle name="Normal 10 2 10 3 14" xfId="5275" xr:uid="{00000000-0005-0000-0000-00009B140000}"/>
    <cellStyle name="Normal 10 2 10 3 15" xfId="5276" xr:uid="{00000000-0005-0000-0000-00009C140000}"/>
    <cellStyle name="Normal 10 2 10 3 2" xfId="5277" xr:uid="{00000000-0005-0000-0000-00009D140000}"/>
    <cellStyle name="Normal 10 2 10 3 2 10" xfId="5278" xr:uid="{00000000-0005-0000-0000-00009E140000}"/>
    <cellStyle name="Normal 10 2 10 3 2 2" xfId="5279" xr:uid="{00000000-0005-0000-0000-00009F140000}"/>
    <cellStyle name="Normal 10 2 10 3 2 3" xfId="5280" xr:uid="{00000000-0005-0000-0000-0000A0140000}"/>
    <cellStyle name="Normal 10 2 10 3 2 4" xfId="5281" xr:uid="{00000000-0005-0000-0000-0000A1140000}"/>
    <cellStyle name="Normal 10 2 10 3 2 5" xfId="5282" xr:uid="{00000000-0005-0000-0000-0000A2140000}"/>
    <cellStyle name="Normal 10 2 10 3 2 6" xfId="5283" xr:uid="{00000000-0005-0000-0000-0000A3140000}"/>
    <cellStyle name="Normal 10 2 10 3 2 7" xfId="5284" xr:uid="{00000000-0005-0000-0000-0000A4140000}"/>
    <cellStyle name="Normal 10 2 10 3 2 8" xfId="5285" xr:uid="{00000000-0005-0000-0000-0000A5140000}"/>
    <cellStyle name="Normal 10 2 10 3 2 9" xfId="5286" xr:uid="{00000000-0005-0000-0000-0000A6140000}"/>
    <cellStyle name="Normal 10 2 10 3 3" xfId="5287" xr:uid="{00000000-0005-0000-0000-0000A7140000}"/>
    <cellStyle name="Normal 10 2 10 3 3 10" xfId="5288" xr:uid="{00000000-0005-0000-0000-0000A8140000}"/>
    <cellStyle name="Normal 10 2 10 3 3 2" xfId="5289" xr:uid="{00000000-0005-0000-0000-0000A9140000}"/>
    <cellStyle name="Normal 10 2 10 3 3 3" xfId="5290" xr:uid="{00000000-0005-0000-0000-0000AA140000}"/>
    <cellStyle name="Normal 10 2 10 3 3 4" xfId="5291" xr:uid="{00000000-0005-0000-0000-0000AB140000}"/>
    <cellStyle name="Normal 10 2 10 3 3 5" xfId="5292" xr:uid="{00000000-0005-0000-0000-0000AC140000}"/>
    <cellStyle name="Normal 10 2 10 3 3 6" xfId="5293" xr:uid="{00000000-0005-0000-0000-0000AD140000}"/>
    <cellStyle name="Normal 10 2 10 3 3 7" xfId="5294" xr:uid="{00000000-0005-0000-0000-0000AE140000}"/>
    <cellStyle name="Normal 10 2 10 3 3 8" xfId="5295" xr:uid="{00000000-0005-0000-0000-0000AF140000}"/>
    <cellStyle name="Normal 10 2 10 3 3 9" xfId="5296" xr:uid="{00000000-0005-0000-0000-0000B0140000}"/>
    <cellStyle name="Normal 10 2 10 3 4" xfId="5297" xr:uid="{00000000-0005-0000-0000-0000B1140000}"/>
    <cellStyle name="Normal 10 2 10 3 4 10" xfId="5298" xr:uid="{00000000-0005-0000-0000-0000B2140000}"/>
    <cellStyle name="Normal 10 2 10 3 4 2" xfId="5299" xr:uid="{00000000-0005-0000-0000-0000B3140000}"/>
    <cellStyle name="Normal 10 2 10 3 4 3" xfId="5300" xr:uid="{00000000-0005-0000-0000-0000B4140000}"/>
    <cellStyle name="Normal 10 2 10 3 4 4" xfId="5301" xr:uid="{00000000-0005-0000-0000-0000B5140000}"/>
    <cellStyle name="Normal 10 2 10 3 4 5" xfId="5302" xr:uid="{00000000-0005-0000-0000-0000B6140000}"/>
    <cellStyle name="Normal 10 2 10 3 4 6" xfId="5303" xr:uid="{00000000-0005-0000-0000-0000B7140000}"/>
    <cellStyle name="Normal 10 2 10 3 4 7" xfId="5304" xr:uid="{00000000-0005-0000-0000-0000B8140000}"/>
    <cellStyle name="Normal 10 2 10 3 4 8" xfId="5305" xr:uid="{00000000-0005-0000-0000-0000B9140000}"/>
    <cellStyle name="Normal 10 2 10 3 4 9" xfId="5306" xr:uid="{00000000-0005-0000-0000-0000BA140000}"/>
    <cellStyle name="Normal 10 2 10 3 5" xfId="5307" xr:uid="{00000000-0005-0000-0000-0000BB140000}"/>
    <cellStyle name="Normal 10 2 10 3 5 10" xfId="5308" xr:uid="{00000000-0005-0000-0000-0000BC140000}"/>
    <cellStyle name="Normal 10 2 10 3 5 2" xfId="5309" xr:uid="{00000000-0005-0000-0000-0000BD140000}"/>
    <cellStyle name="Normal 10 2 10 3 5 3" xfId="5310" xr:uid="{00000000-0005-0000-0000-0000BE140000}"/>
    <cellStyle name="Normal 10 2 10 3 5 4" xfId="5311" xr:uid="{00000000-0005-0000-0000-0000BF140000}"/>
    <cellStyle name="Normal 10 2 10 3 5 5" xfId="5312" xr:uid="{00000000-0005-0000-0000-0000C0140000}"/>
    <cellStyle name="Normal 10 2 10 3 5 6" xfId="5313" xr:uid="{00000000-0005-0000-0000-0000C1140000}"/>
    <cellStyle name="Normal 10 2 10 3 5 7" xfId="5314" xr:uid="{00000000-0005-0000-0000-0000C2140000}"/>
    <cellStyle name="Normal 10 2 10 3 5 8" xfId="5315" xr:uid="{00000000-0005-0000-0000-0000C3140000}"/>
    <cellStyle name="Normal 10 2 10 3 5 9" xfId="5316" xr:uid="{00000000-0005-0000-0000-0000C4140000}"/>
    <cellStyle name="Normal 10 2 10 3 6" xfId="5317" xr:uid="{00000000-0005-0000-0000-0000C5140000}"/>
    <cellStyle name="Normal 10 2 10 3 7" xfId="5318" xr:uid="{00000000-0005-0000-0000-0000C6140000}"/>
    <cellStyle name="Normal 10 2 10 3 8" xfId="5319" xr:uid="{00000000-0005-0000-0000-0000C7140000}"/>
    <cellStyle name="Normal 10 2 10 3 9" xfId="5320" xr:uid="{00000000-0005-0000-0000-0000C8140000}"/>
    <cellStyle name="Normal 10 2 10 30" xfId="5321" xr:uid="{00000000-0005-0000-0000-0000C9140000}"/>
    <cellStyle name="Normal 10 2 10 30 10" xfId="5322" xr:uid="{00000000-0005-0000-0000-0000CA140000}"/>
    <cellStyle name="Normal 10 2 10 30 11" xfId="5323" xr:uid="{00000000-0005-0000-0000-0000CB140000}"/>
    <cellStyle name="Normal 10 2 10 30 12" xfId="5324" xr:uid="{00000000-0005-0000-0000-0000CC140000}"/>
    <cellStyle name="Normal 10 2 10 30 13" xfId="5325" xr:uid="{00000000-0005-0000-0000-0000CD140000}"/>
    <cellStyle name="Normal 10 2 10 30 14" xfId="5326" xr:uid="{00000000-0005-0000-0000-0000CE140000}"/>
    <cellStyle name="Normal 10 2 10 30 2" xfId="5327" xr:uid="{00000000-0005-0000-0000-0000CF140000}"/>
    <cellStyle name="Normal 10 2 10 30 2 10" xfId="5328" xr:uid="{00000000-0005-0000-0000-0000D0140000}"/>
    <cellStyle name="Normal 10 2 10 30 2 2" xfId="5329" xr:uid="{00000000-0005-0000-0000-0000D1140000}"/>
    <cellStyle name="Normal 10 2 10 30 2 3" xfId="5330" xr:uid="{00000000-0005-0000-0000-0000D2140000}"/>
    <cellStyle name="Normal 10 2 10 30 2 4" xfId="5331" xr:uid="{00000000-0005-0000-0000-0000D3140000}"/>
    <cellStyle name="Normal 10 2 10 30 2 5" xfId="5332" xr:uid="{00000000-0005-0000-0000-0000D4140000}"/>
    <cellStyle name="Normal 10 2 10 30 2 6" xfId="5333" xr:uid="{00000000-0005-0000-0000-0000D5140000}"/>
    <cellStyle name="Normal 10 2 10 30 2 7" xfId="5334" xr:uid="{00000000-0005-0000-0000-0000D6140000}"/>
    <cellStyle name="Normal 10 2 10 30 2 8" xfId="5335" xr:uid="{00000000-0005-0000-0000-0000D7140000}"/>
    <cellStyle name="Normal 10 2 10 30 2 9" xfId="5336" xr:uid="{00000000-0005-0000-0000-0000D8140000}"/>
    <cellStyle name="Normal 10 2 10 30 3" xfId="5337" xr:uid="{00000000-0005-0000-0000-0000D9140000}"/>
    <cellStyle name="Normal 10 2 10 30 3 10" xfId="5338" xr:uid="{00000000-0005-0000-0000-0000DA140000}"/>
    <cellStyle name="Normal 10 2 10 30 3 2" xfId="5339" xr:uid="{00000000-0005-0000-0000-0000DB140000}"/>
    <cellStyle name="Normal 10 2 10 30 3 3" xfId="5340" xr:uid="{00000000-0005-0000-0000-0000DC140000}"/>
    <cellStyle name="Normal 10 2 10 30 3 4" xfId="5341" xr:uid="{00000000-0005-0000-0000-0000DD140000}"/>
    <cellStyle name="Normal 10 2 10 30 3 5" xfId="5342" xr:uid="{00000000-0005-0000-0000-0000DE140000}"/>
    <cellStyle name="Normal 10 2 10 30 3 6" xfId="5343" xr:uid="{00000000-0005-0000-0000-0000DF140000}"/>
    <cellStyle name="Normal 10 2 10 30 3 7" xfId="5344" xr:uid="{00000000-0005-0000-0000-0000E0140000}"/>
    <cellStyle name="Normal 10 2 10 30 3 8" xfId="5345" xr:uid="{00000000-0005-0000-0000-0000E1140000}"/>
    <cellStyle name="Normal 10 2 10 30 3 9" xfId="5346" xr:uid="{00000000-0005-0000-0000-0000E2140000}"/>
    <cellStyle name="Normal 10 2 10 30 4" xfId="5347" xr:uid="{00000000-0005-0000-0000-0000E3140000}"/>
    <cellStyle name="Normal 10 2 10 30 4 10" xfId="5348" xr:uid="{00000000-0005-0000-0000-0000E4140000}"/>
    <cellStyle name="Normal 10 2 10 30 4 2" xfId="5349" xr:uid="{00000000-0005-0000-0000-0000E5140000}"/>
    <cellStyle name="Normal 10 2 10 30 4 3" xfId="5350" xr:uid="{00000000-0005-0000-0000-0000E6140000}"/>
    <cellStyle name="Normal 10 2 10 30 4 4" xfId="5351" xr:uid="{00000000-0005-0000-0000-0000E7140000}"/>
    <cellStyle name="Normal 10 2 10 30 4 5" xfId="5352" xr:uid="{00000000-0005-0000-0000-0000E8140000}"/>
    <cellStyle name="Normal 10 2 10 30 4 6" xfId="5353" xr:uid="{00000000-0005-0000-0000-0000E9140000}"/>
    <cellStyle name="Normal 10 2 10 30 4 7" xfId="5354" xr:uid="{00000000-0005-0000-0000-0000EA140000}"/>
    <cellStyle name="Normal 10 2 10 30 4 8" xfId="5355" xr:uid="{00000000-0005-0000-0000-0000EB140000}"/>
    <cellStyle name="Normal 10 2 10 30 4 9" xfId="5356" xr:uid="{00000000-0005-0000-0000-0000EC140000}"/>
    <cellStyle name="Normal 10 2 10 30 5" xfId="5357" xr:uid="{00000000-0005-0000-0000-0000ED140000}"/>
    <cellStyle name="Normal 10 2 10 30 5 10" xfId="5358" xr:uid="{00000000-0005-0000-0000-0000EE140000}"/>
    <cellStyle name="Normal 10 2 10 30 5 2" xfId="5359" xr:uid="{00000000-0005-0000-0000-0000EF140000}"/>
    <cellStyle name="Normal 10 2 10 30 5 3" xfId="5360" xr:uid="{00000000-0005-0000-0000-0000F0140000}"/>
    <cellStyle name="Normal 10 2 10 30 5 4" xfId="5361" xr:uid="{00000000-0005-0000-0000-0000F1140000}"/>
    <cellStyle name="Normal 10 2 10 30 5 5" xfId="5362" xr:uid="{00000000-0005-0000-0000-0000F2140000}"/>
    <cellStyle name="Normal 10 2 10 30 5 6" xfId="5363" xr:uid="{00000000-0005-0000-0000-0000F3140000}"/>
    <cellStyle name="Normal 10 2 10 30 5 7" xfId="5364" xr:uid="{00000000-0005-0000-0000-0000F4140000}"/>
    <cellStyle name="Normal 10 2 10 30 5 8" xfId="5365" xr:uid="{00000000-0005-0000-0000-0000F5140000}"/>
    <cellStyle name="Normal 10 2 10 30 5 9" xfId="5366" xr:uid="{00000000-0005-0000-0000-0000F6140000}"/>
    <cellStyle name="Normal 10 2 10 30 6" xfId="5367" xr:uid="{00000000-0005-0000-0000-0000F7140000}"/>
    <cellStyle name="Normal 10 2 10 30 7" xfId="5368" xr:uid="{00000000-0005-0000-0000-0000F8140000}"/>
    <cellStyle name="Normal 10 2 10 30 8" xfId="5369" xr:uid="{00000000-0005-0000-0000-0000F9140000}"/>
    <cellStyle name="Normal 10 2 10 30 9" xfId="5370" xr:uid="{00000000-0005-0000-0000-0000FA140000}"/>
    <cellStyle name="Normal 10 2 10 31" xfId="5371" xr:uid="{00000000-0005-0000-0000-0000FB140000}"/>
    <cellStyle name="Normal 10 2 10 31 10" xfId="5372" xr:uid="{00000000-0005-0000-0000-0000FC140000}"/>
    <cellStyle name="Normal 10 2 10 31 11" xfId="5373" xr:uid="{00000000-0005-0000-0000-0000FD140000}"/>
    <cellStyle name="Normal 10 2 10 31 12" xfId="5374" xr:uid="{00000000-0005-0000-0000-0000FE140000}"/>
    <cellStyle name="Normal 10 2 10 31 13" xfId="5375" xr:uid="{00000000-0005-0000-0000-0000FF140000}"/>
    <cellStyle name="Normal 10 2 10 31 14" xfId="5376" xr:uid="{00000000-0005-0000-0000-000000150000}"/>
    <cellStyle name="Normal 10 2 10 31 2" xfId="5377" xr:uid="{00000000-0005-0000-0000-000001150000}"/>
    <cellStyle name="Normal 10 2 10 31 2 10" xfId="5378" xr:uid="{00000000-0005-0000-0000-000002150000}"/>
    <cellStyle name="Normal 10 2 10 31 2 2" xfId="5379" xr:uid="{00000000-0005-0000-0000-000003150000}"/>
    <cellStyle name="Normal 10 2 10 31 2 3" xfId="5380" xr:uid="{00000000-0005-0000-0000-000004150000}"/>
    <cellStyle name="Normal 10 2 10 31 2 4" xfId="5381" xr:uid="{00000000-0005-0000-0000-000005150000}"/>
    <cellStyle name="Normal 10 2 10 31 2 5" xfId="5382" xr:uid="{00000000-0005-0000-0000-000006150000}"/>
    <cellStyle name="Normal 10 2 10 31 2 6" xfId="5383" xr:uid="{00000000-0005-0000-0000-000007150000}"/>
    <cellStyle name="Normal 10 2 10 31 2 7" xfId="5384" xr:uid="{00000000-0005-0000-0000-000008150000}"/>
    <cellStyle name="Normal 10 2 10 31 2 8" xfId="5385" xr:uid="{00000000-0005-0000-0000-000009150000}"/>
    <cellStyle name="Normal 10 2 10 31 2 9" xfId="5386" xr:uid="{00000000-0005-0000-0000-00000A150000}"/>
    <cellStyle name="Normal 10 2 10 31 3" xfId="5387" xr:uid="{00000000-0005-0000-0000-00000B150000}"/>
    <cellStyle name="Normal 10 2 10 31 3 10" xfId="5388" xr:uid="{00000000-0005-0000-0000-00000C150000}"/>
    <cellStyle name="Normal 10 2 10 31 3 2" xfId="5389" xr:uid="{00000000-0005-0000-0000-00000D150000}"/>
    <cellStyle name="Normal 10 2 10 31 3 3" xfId="5390" xr:uid="{00000000-0005-0000-0000-00000E150000}"/>
    <cellStyle name="Normal 10 2 10 31 3 4" xfId="5391" xr:uid="{00000000-0005-0000-0000-00000F150000}"/>
    <cellStyle name="Normal 10 2 10 31 3 5" xfId="5392" xr:uid="{00000000-0005-0000-0000-000010150000}"/>
    <cellStyle name="Normal 10 2 10 31 3 6" xfId="5393" xr:uid="{00000000-0005-0000-0000-000011150000}"/>
    <cellStyle name="Normal 10 2 10 31 3 7" xfId="5394" xr:uid="{00000000-0005-0000-0000-000012150000}"/>
    <cellStyle name="Normal 10 2 10 31 3 8" xfId="5395" xr:uid="{00000000-0005-0000-0000-000013150000}"/>
    <cellStyle name="Normal 10 2 10 31 3 9" xfId="5396" xr:uid="{00000000-0005-0000-0000-000014150000}"/>
    <cellStyle name="Normal 10 2 10 31 4" xfId="5397" xr:uid="{00000000-0005-0000-0000-000015150000}"/>
    <cellStyle name="Normal 10 2 10 31 4 10" xfId="5398" xr:uid="{00000000-0005-0000-0000-000016150000}"/>
    <cellStyle name="Normal 10 2 10 31 4 2" xfId="5399" xr:uid="{00000000-0005-0000-0000-000017150000}"/>
    <cellStyle name="Normal 10 2 10 31 4 3" xfId="5400" xr:uid="{00000000-0005-0000-0000-000018150000}"/>
    <cellStyle name="Normal 10 2 10 31 4 4" xfId="5401" xr:uid="{00000000-0005-0000-0000-000019150000}"/>
    <cellStyle name="Normal 10 2 10 31 4 5" xfId="5402" xr:uid="{00000000-0005-0000-0000-00001A150000}"/>
    <cellStyle name="Normal 10 2 10 31 4 6" xfId="5403" xr:uid="{00000000-0005-0000-0000-00001B150000}"/>
    <cellStyle name="Normal 10 2 10 31 4 7" xfId="5404" xr:uid="{00000000-0005-0000-0000-00001C150000}"/>
    <cellStyle name="Normal 10 2 10 31 4 8" xfId="5405" xr:uid="{00000000-0005-0000-0000-00001D150000}"/>
    <cellStyle name="Normal 10 2 10 31 4 9" xfId="5406" xr:uid="{00000000-0005-0000-0000-00001E150000}"/>
    <cellStyle name="Normal 10 2 10 31 5" xfId="5407" xr:uid="{00000000-0005-0000-0000-00001F150000}"/>
    <cellStyle name="Normal 10 2 10 31 5 10" xfId="5408" xr:uid="{00000000-0005-0000-0000-000020150000}"/>
    <cellStyle name="Normal 10 2 10 31 5 2" xfId="5409" xr:uid="{00000000-0005-0000-0000-000021150000}"/>
    <cellStyle name="Normal 10 2 10 31 5 3" xfId="5410" xr:uid="{00000000-0005-0000-0000-000022150000}"/>
    <cellStyle name="Normal 10 2 10 31 5 4" xfId="5411" xr:uid="{00000000-0005-0000-0000-000023150000}"/>
    <cellStyle name="Normal 10 2 10 31 5 5" xfId="5412" xr:uid="{00000000-0005-0000-0000-000024150000}"/>
    <cellStyle name="Normal 10 2 10 31 5 6" xfId="5413" xr:uid="{00000000-0005-0000-0000-000025150000}"/>
    <cellStyle name="Normal 10 2 10 31 5 7" xfId="5414" xr:uid="{00000000-0005-0000-0000-000026150000}"/>
    <cellStyle name="Normal 10 2 10 31 5 8" xfId="5415" xr:uid="{00000000-0005-0000-0000-000027150000}"/>
    <cellStyle name="Normal 10 2 10 31 5 9" xfId="5416" xr:uid="{00000000-0005-0000-0000-000028150000}"/>
    <cellStyle name="Normal 10 2 10 31 6" xfId="5417" xr:uid="{00000000-0005-0000-0000-000029150000}"/>
    <cellStyle name="Normal 10 2 10 31 7" xfId="5418" xr:uid="{00000000-0005-0000-0000-00002A150000}"/>
    <cellStyle name="Normal 10 2 10 31 8" xfId="5419" xr:uid="{00000000-0005-0000-0000-00002B150000}"/>
    <cellStyle name="Normal 10 2 10 31 9" xfId="5420" xr:uid="{00000000-0005-0000-0000-00002C150000}"/>
    <cellStyle name="Normal 10 2 10 32" xfId="5421" xr:uid="{00000000-0005-0000-0000-00002D150000}"/>
    <cellStyle name="Normal 10 2 10 32 10" xfId="5422" xr:uid="{00000000-0005-0000-0000-00002E150000}"/>
    <cellStyle name="Normal 10 2 10 32 11" xfId="5423" xr:uid="{00000000-0005-0000-0000-00002F150000}"/>
    <cellStyle name="Normal 10 2 10 32 12" xfId="5424" xr:uid="{00000000-0005-0000-0000-000030150000}"/>
    <cellStyle name="Normal 10 2 10 32 13" xfId="5425" xr:uid="{00000000-0005-0000-0000-000031150000}"/>
    <cellStyle name="Normal 10 2 10 32 14" xfId="5426" xr:uid="{00000000-0005-0000-0000-000032150000}"/>
    <cellStyle name="Normal 10 2 10 32 2" xfId="5427" xr:uid="{00000000-0005-0000-0000-000033150000}"/>
    <cellStyle name="Normal 10 2 10 32 2 10" xfId="5428" xr:uid="{00000000-0005-0000-0000-000034150000}"/>
    <cellStyle name="Normal 10 2 10 32 2 2" xfId="5429" xr:uid="{00000000-0005-0000-0000-000035150000}"/>
    <cellStyle name="Normal 10 2 10 32 2 3" xfId="5430" xr:uid="{00000000-0005-0000-0000-000036150000}"/>
    <cellStyle name="Normal 10 2 10 32 2 4" xfId="5431" xr:uid="{00000000-0005-0000-0000-000037150000}"/>
    <cellStyle name="Normal 10 2 10 32 2 5" xfId="5432" xr:uid="{00000000-0005-0000-0000-000038150000}"/>
    <cellStyle name="Normal 10 2 10 32 2 6" xfId="5433" xr:uid="{00000000-0005-0000-0000-000039150000}"/>
    <cellStyle name="Normal 10 2 10 32 2 7" xfId="5434" xr:uid="{00000000-0005-0000-0000-00003A150000}"/>
    <cellStyle name="Normal 10 2 10 32 2 8" xfId="5435" xr:uid="{00000000-0005-0000-0000-00003B150000}"/>
    <cellStyle name="Normal 10 2 10 32 2 9" xfId="5436" xr:uid="{00000000-0005-0000-0000-00003C150000}"/>
    <cellStyle name="Normal 10 2 10 32 3" xfId="5437" xr:uid="{00000000-0005-0000-0000-00003D150000}"/>
    <cellStyle name="Normal 10 2 10 32 3 10" xfId="5438" xr:uid="{00000000-0005-0000-0000-00003E150000}"/>
    <cellStyle name="Normal 10 2 10 32 3 2" xfId="5439" xr:uid="{00000000-0005-0000-0000-00003F150000}"/>
    <cellStyle name="Normal 10 2 10 32 3 3" xfId="5440" xr:uid="{00000000-0005-0000-0000-000040150000}"/>
    <cellStyle name="Normal 10 2 10 32 3 4" xfId="5441" xr:uid="{00000000-0005-0000-0000-000041150000}"/>
    <cellStyle name="Normal 10 2 10 32 3 5" xfId="5442" xr:uid="{00000000-0005-0000-0000-000042150000}"/>
    <cellStyle name="Normal 10 2 10 32 3 6" xfId="5443" xr:uid="{00000000-0005-0000-0000-000043150000}"/>
    <cellStyle name="Normal 10 2 10 32 3 7" xfId="5444" xr:uid="{00000000-0005-0000-0000-000044150000}"/>
    <cellStyle name="Normal 10 2 10 32 3 8" xfId="5445" xr:uid="{00000000-0005-0000-0000-000045150000}"/>
    <cellStyle name="Normal 10 2 10 32 3 9" xfId="5446" xr:uid="{00000000-0005-0000-0000-000046150000}"/>
    <cellStyle name="Normal 10 2 10 32 4" xfId="5447" xr:uid="{00000000-0005-0000-0000-000047150000}"/>
    <cellStyle name="Normal 10 2 10 32 4 10" xfId="5448" xr:uid="{00000000-0005-0000-0000-000048150000}"/>
    <cellStyle name="Normal 10 2 10 32 4 2" xfId="5449" xr:uid="{00000000-0005-0000-0000-000049150000}"/>
    <cellStyle name="Normal 10 2 10 32 4 3" xfId="5450" xr:uid="{00000000-0005-0000-0000-00004A150000}"/>
    <cellStyle name="Normal 10 2 10 32 4 4" xfId="5451" xr:uid="{00000000-0005-0000-0000-00004B150000}"/>
    <cellStyle name="Normal 10 2 10 32 4 5" xfId="5452" xr:uid="{00000000-0005-0000-0000-00004C150000}"/>
    <cellStyle name="Normal 10 2 10 32 4 6" xfId="5453" xr:uid="{00000000-0005-0000-0000-00004D150000}"/>
    <cellStyle name="Normal 10 2 10 32 4 7" xfId="5454" xr:uid="{00000000-0005-0000-0000-00004E150000}"/>
    <cellStyle name="Normal 10 2 10 32 4 8" xfId="5455" xr:uid="{00000000-0005-0000-0000-00004F150000}"/>
    <cellStyle name="Normal 10 2 10 32 4 9" xfId="5456" xr:uid="{00000000-0005-0000-0000-000050150000}"/>
    <cellStyle name="Normal 10 2 10 32 5" xfId="5457" xr:uid="{00000000-0005-0000-0000-000051150000}"/>
    <cellStyle name="Normal 10 2 10 32 5 10" xfId="5458" xr:uid="{00000000-0005-0000-0000-000052150000}"/>
    <cellStyle name="Normal 10 2 10 32 5 2" xfId="5459" xr:uid="{00000000-0005-0000-0000-000053150000}"/>
    <cellStyle name="Normal 10 2 10 32 5 3" xfId="5460" xr:uid="{00000000-0005-0000-0000-000054150000}"/>
    <cellStyle name="Normal 10 2 10 32 5 4" xfId="5461" xr:uid="{00000000-0005-0000-0000-000055150000}"/>
    <cellStyle name="Normal 10 2 10 32 5 5" xfId="5462" xr:uid="{00000000-0005-0000-0000-000056150000}"/>
    <cellStyle name="Normal 10 2 10 32 5 6" xfId="5463" xr:uid="{00000000-0005-0000-0000-000057150000}"/>
    <cellStyle name="Normal 10 2 10 32 5 7" xfId="5464" xr:uid="{00000000-0005-0000-0000-000058150000}"/>
    <cellStyle name="Normal 10 2 10 32 5 8" xfId="5465" xr:uid="{00000000-0005-0000-0000-000059150000}"/>
    <cellStyle name="Normal 10 2 10 32 5 9" xfId="5466" xr:uid="{00000000-0005-0000-0000-00005A150000}"/>
    <cellStyle name="Normal 10 2 10 32 6" xfId="5467" xr:uid="{00000000-0005-0000-0000-00005B150000}"/>
    <cellStyle name="Normal 10 2 10 32 7" xfId="5468" xr:uid="{00000000-0005-0000-0000-00005C150000}"/>
    <cellStyle name="Normal 10 2 10 32 8" xfId="5469" xr:uid="{00000000-0005-0000-0000-00005D150000}"/>
    <cellStyle name="Normal 10 2 10 32 9" xfId="5470" xr:uid="{00000000-0005-0000-0000-00005E150000}"/>
    <cellStyle name="Normal 10 2 10 33" xfId="5471" xr:uid="{00000000-0005-0000-0000-00005F150000}"/>
    <cellStyle name="Normal 10 2 10 33 10" xfId="5472" xr:uid="{00000000-0005-0000-0000-000060150000}"/>
    <cellStyle name="Normal 10 2 10 33 11" xfId="5473" xr:uid="{00000000-0005-0000-0000-000061150000}"/>
    <cellStyle name="Normal 10 2 10 33 12" xfId="5474" xr:uid="{00000000-0005-0000-0000-000062150000}"/>
    <cellStyle name="Normal 10 2 10 33 13" xfId="5475" xr:uid="{00000000-0005-0000-0000-000063150000}"/>
    <cellStyle name="Normal 10 2 10 33 14" xfId="5476" xr:uid="{00000000-0005-0000-0000-000064150000}"/>
    <cellStyle name="Normal 10 2 10 33 2" xfId="5477" xr:uid="{00000000-0005-0000-0000-000065150000}"/>
    <cellStyle name="Normal 10 2 10 33 2 10" xfId="5478" xr:uid="{00000000-0005-0000-0000-000066150000}"/>
    <cellStyle name="Normal 10 2 10 33 2 2" xfId="5479" xr:uid="{00000000-0005-0000-0000-000067150000}"/>
    <cellStyle name="Normal 10 2 10 33 2 3" xfId="5480" xr:uid="{00000000-0005-0000-0000-000068150000}"/>
    <cellStyle name="Normal 10 2 10 33 2 4" xfId="5481" xr:uid="{00000000-0005-0000-0000-000069150000}"/>
    <cellStyle name="Normal 10 2 10 33 2 5" xfId="5482" xr:uid="{00000000-0005-0000-0000-00006A150000}"/>
    <cellStyle name="Normal 10 2 10 33 2 6" xfId="5483" xr:uid="{00000000-0005-0000-0000-00006B150000}"/>
    <cellStyle name="Normal 10 2 10 33 2 7" xfId="5484" xr:uid="{00000000-0005-0000-0000-00006C150000}"/>
    <cellStyle name="Normal 10 2 10 33 2 8" xfId="5485" xr:uid="{00000000-0005-0000-0000-00006D150000}"/>
    <cellStyle name="Normal 10 2 10 33 2 9" xfId="5486" xr:uid="{00000000-0005-0000-0000-00006E150000}"/>
    <cellStyle name="Normal 10 2 10 33 3" xfId="5487" xr:uid="{00000000-0005-0000-0000-00006F150000}"/>
    <cellStyle name="Normal 10 2 10 33 3 10" xfId="5488" xr:uid="{00000000-0005-0000-0000-000070150000}"/>
    <cellStyle name="Normal 10 2 10 33 3 2" xfId="5489" xr:uid="{00000000-0005-0000-0000-000071150000}"/>
    <cellStyle name="Normal 10 2 10 33 3 3" xfId="5490" xr:uid="{00000000-0005-0000-0000-000072150000}"/>
    <cellStyle name="Normal 10 2 10 33 3 4" xfId="5491" xr:uid="{00000000-0005-0000-0000-000073150000}"/>
    <cellStyle name="Normal 10 2 10 33 3 5" xfId="5492" xr:uid="{00000000-0005-0000-0000-000074150000}"/>
    <cellStyle name="Normal 10 2 10 33 3 6" xfId="5493" xr:uid="{00000000-0005-0000-0000-000075150000}"/>
    <cellStyle name="Normal 10 2 10 33 3 7" xfId="5494" xr:uid="{00000000-0005-0000-0000-000076150000}"/>
    <cellStyle name="Normal 10 2 10 33 3 8" xfId="5495" xr:uid="{00000000-0005-0000-0000-000077150000}"/>
    <cellStyle name="Normal 10 2 10 33 3 9" xfId="5496" xr:uid="{00000000-0005-0000-0000-000078150000}"/>
    <cellStyle name="Normal 10 2 10 33 4" xfId="5497" xr:uid="{00000000-0005-0000-0000-000079150000}"/>
    <cellStyle name="Normal 10 2 10 33 4 10" xfId="5498" xr:uid="{00000000-0005-0000-0000-00007A150000}"/>
    <cellStyle name="Normal 10 2 10 33 4 2" xfId="5499" xr:uid="{00000000-0005-0000-0000-00007B150000}"/>
    <cellStyle name="Normal 10 2 10 33 4 3" xfId="5500" xr:uid="{00000000-0005-0000-0000-00007C150000}"/>
    <cellStyle name="Normal 10 2 10 33 4 4" xfId="5501" xr:uid="{00000000-0005-0000-0000-00007D150000}"/>
    <cellStyle name="Normal 10 2 10 33 4 5" xfId="5502" xr:uid="{00000000-0005-0000-0000-00007E150000}"/>
    <cellStyle name="Normal 10 2 10 33 4 6" xfId="5503" xr:uid="{00000000-0005-0000-0000-00007F150000}"/>
    <cellStyle name="Normal 10 2 10 33 4 7" xfId="5504" xr:uid="{00000000-0005-0000-0000-000080150000}"/>
    <cellStyle name="Normal 10 2 10 33 4 8" xfId="5505" xr:uid="{00000000-0005-0000-0000-000081150000}"/>
    <cellStyle name="Normal 10 2 10 33 4 9" xfId="5506" xr:uid="{00000000-0005-0000-0000-000082150000}"/>
    <cellStyle name="Normal 10 2 10 33 5" xfId="5507" xr:uid="{00000000-0005-0000-0000-000083150000}"/>
    <cellStyle name="Normal 10 2 10 33 5 10" xfId="5508" xr:uid="{00000000-0005-0000-0000-000084150000}"/>
    <cellStyle name="Normal 10 2 10 33 5 2" xfId="5509" xr:uid="{00000000-0005-0000-0000-000085150000}"/>
    <cellStyle name="Normal 10 2 10 33 5 3" xfId="5510" xr:uid="{00000000-0005-0000-0000-000086150000}"/>
    <cellStyle name="Normal 10 2 10 33 5 4" xfId="5511" xr:uid="{00000000-0005-0000-0000-000087150000}"/>
    <cellStyle name="Normal 10 2 10 33 5 5" xfId="5512" xr:uid="{00000000-0005-0000-0000-000088150000}"/>
    <cellStyle name="Normal 10 2 10 33 5 6" xfId="5513" xr:uid="{00000000-0005-0000-0000-000089150000}"/>
    <cellStyle name="Normal 10 2 10 33 5 7" xfId="5514" xr:uid="{00000000-0005-0000-0000-00008A150000}"/>
    <cellStyle name="Normal 10 2 10 33 5 8" xfId="5515" xr:uid="{00000000-0005-0000-0000-00008B150000}"/>
    <cellStyle name="Normal 10 2 10 33 5 9" xfId="5516" xr:uid="{00000000-0005-0000-0000-00008C150000}"/>
    <cellStyle name="Normal 10 2 10 33 6" xfId="5517" xr:uid="{00000000-0005-0000-0000-00008D150000}"/>
    <cellStyle name="Normal 10 2 10 33 7" xfId="5518" xr:uid="{00000000-0005-0000-0000-00008E150000}"/>
    <cellStyle name="Normal 10 2 10 33 8" xfId="5519" xr:uid="{00000000-0005-0000-0000-00008F150000}"/>
    <cellStyle name="Normal 10 2 10 33 9" xfId="5520" xr:uid="{00000000-0005-0000-0000-000090150000}"/>
    <cellStyle name="Normal 10 2 10 34" xfId="5521" xr:uid="{00000000-0005-0000-0000-000091150000}"/>
    <cellStyle name="Normal 10 2 10 34 10" xfId="5522" xr:uid="{00000000-0005-0000-0000-000092150000}"/>
    <cellStyle name="Normal 10 2 10 34 11" xfId="5523" xr:uid="{00000000-0005-0000-0000-000093150000}"/>
    <cellStyle name="Normal 10 2 10 34 12" xfId="5524" xr:uid="{00000000-0005-0000-0000-000094150000}"/>
    <cellStyle name="Normal 10 2 10 34 13" xfId="5525" xr:uid="{00000000-0005-0000-0000-000095150000}"/>
    <cellStyle name="Normal 10 2 10 34 14" xfId="5526" xr:uid="{00000000-0005-0000-0000-000096150000}"/>
    <cellStyle name="Normal 10 2 10 34 2" xfId="5527" xr:uid="{00000000-0005-0000-0000-000097150000}"/>
    <cellStyle name="Normal 10 2 10 34 2 10" xfId="5528" xr:uid="{00000000-0005-0000-0000-000098150000}"/>
    <cellStyle name="Normal 10 2 10 34 2 2" xfId="5529" xr:uid="{00000000-0005-0000-0000-000099150000}"/>
    <cellStyle name="Normal 10 2 10 34 2 3" xfId="5530" xr:uid="{00000000-0005-0000-0000-00009A150000}"/>
    <cellStyle name="Normal 10 2 10 34 2 4" xfId="5531" xr:uid="{00000000-0005-0000-0000-00009B150000}"/>
    <cellStyle name="Normal 10 2 10 34 2 5" xfId="5532" xr:uid="{00000000-0005-0000-0000-00009C150000}"/>
    <cellStyle name="Normal 10 2 10 34 2 6" xfId="5533" xr:uid="{00000000-0005-0000-0000-00009D150000}"/>
    <cellStyle name="Normal 10 2 10 34 2 7" xfId="5534" xr:uid="{00000000-0005-0000-0000-00009E150000}"/>
    <cellStyle name="Normal 10 2 10 34 2 8" xfId="5535" xr:uid="{00000000-0005-0000-0000-00009F150000}"/>
    <cellStyle name="Normal 10 2 10 34 2 9" xfId="5536" xr:uid="{00000000-0005-0000-0000-0000A0150000}"/>
    <cellStyle name="Normal 10 2 10 34 3" xfId="5537" xr:uid="{00000000-0005-0000-0000-0000A1150000}"/>
    <cellStyle name="Normal 10 2 10 34 3 10" xfId="5538" xr:uid="{00000000-0005-0000-0000-0000A2150000}"/>
    <cellStyle name="Normal 10 2 10 34 3 2" xfId="5539" xr:uid="{00000000-0005-0000-0000-0000A3150000}"/>
    <cellStyle name="Normal 10 2 10 34 3 3" xfId="5540" xr:uid="{00000000-0005-0000-0000-0000A4150000}"/>
    <cellStyle name="Normal 10 2 10 34 3 4" xfId="5541" xr:uid="{00000000-0005-0000-0000-0000A5150000}"/>
    <cellStyle name="Normal 10 2 10 34 3 5" xfId="5542" xr:uid="{00000000-0005-0000-0000-0000A6150000}"/>
    <cellStyle name="Normal 10 2 10 34 3 6" xfId="5543" xr:uid="{00000000-0005-0000-0000-0000A7150000}"/>
    <cellStyle name="Normal 10 2 10 34 3 7" xfId="5544" xr:uid="{00000000-0005-0000-0000-0000A8150000}"/>
    <cellStyle name="Normal 10 2 10 34 3 8" xfId="5545" xr:uid="{00000000-0005-0000-0000-0000A9150000}"/>
    <cellStyle name="Normal 10 2 10 34 3 9" xfId="5546" xr:uid="{00000000-0005-0000-0000-0000AA150000}"/>
    <cellStyle name="Normal 10 2 10 34 4" xfId="5547" xr:uid="{00000000-0005-0000-0000-0000AB150000}"/>
    <cellStyle name="Normal 10 2 10 34 4 10" xfId="5548" xr:uid="{00000000-0005-0000-0000-0000AC150000}"/>
    <cellStyle name="Normal 10 2 10 34 4 2" xfId="5549" xr:uid="{00000000-0005-0000-0000-0000AD150000}"/>
    <cellStyle name="Normal 10 2 10 34 4 3" xfId="5550" xr:uid="{00000000-0005-0000-0000-0000AE150000}"/>
    <cellStyle name="Normal 10 2 10 34 4 4" xfId="5551" xr:uid="{00000000-0005-0000-0000-0000AF150000}"/>
    <cellStyle name="Normal 10 2 10 34 4 5" xfId="5552" xr:uid="{00000000-0005-0000-0000-0000B0150000}"/>
    <cellStyle name="Normal 10 2 10 34 4 6" xfId="5553" xr:uid="{00000000-0005-0000-0000-0000B1150000}"/>
    <cellStyle name="Normal 10 2 10 34 4 7" xfId="5554" xr:uid="{00000000-0005-0000-0000-0000B2150000}"/>
    <cellStyle name="Normal 10 2 10 34 4 8" xfId="5555" xr:uid="{00000000-0005-0000-0000-0000B3150000}"/>
    <cellStyle name="Normal 10 2 10 34 4 9" xfId="5556" xr:uid="{00000000-0005-0000-0000-0000B4150000}"/>
    <cellStyle name="Normal 10 2 10 34 5" xfId="5557" xr:uid="{00000000-0005-0000-0000-0000B5150000}"/>
    <cellStyle name="Normal 10 2 10 34 5 10" xfId="5558" xr:uid="{00000000-0005-0000-0000-0000B6150000}"/>
    <cellStyle name="Normal 10 2 10 34 5 2" xfId="5559" xr:uid="{00000000-0005-0000-0000-0000B7150000}"/>
    <cellStyle name="Normal 10 2 10 34 5 3" xfId="5560" xr:uid="{00000000-0005-0000-0000-0000B8150000}"/>
    <cellStyle name="Normal 10 2 10 34 5 4" xfId="5561" xr:uid="{00000000-0005-0000-0000-0000B9150000}"/>
    <cellStyle name="Normal 10 2 10 34 5 5" xfId="5562" xr:uid="{00000000-0005-0000-0000-0000BA150000}"/>
    <cellStyle name="Normal 10 2 10 34 5 6" xfId="5563" xr:uid="{00000000-0005-0000-0000-0000BB150000}"/>
    <cellStyle name="Normal 10 2 10 34 5 7" xfId="5564" xr:uid="{00000000-0005-0000-0000-0000BC150000}"/>
    <cellStyle name="Normal 10 2 10 34 5 8" xfId="5565" xr:uid="{00000000-0005-0000-0000-0000BD150000}"/>
    <cellStyle name="Normal 10 2 10 34 5 9" xfId="5566" xr:uid="{00000000-0005-0000-0000-0000BE150000}"/>
    <cellStyle name="Normal 10 2 10 34 6" xfId="5567" xr:uid="{00000000-0005-0000-0000-0000BF150000}"/>
    <cellStyle name="Normal 10 2 10 34 7" xfId="5568" xr:uid="{00000000-0005-0000-0000-0000C0150000}"/>
    <cellStyle name="Normal 10 2 10 34 8" xfId="5569" xr:uid="{00000000-0005-0000-0000-0000C1150000}"/>
    <cellStyle name="Normal 10 2 10 34 9" xfId="5570" xr:uid="{00000000-0005-0000-0000-0000C2150000}"/>
    <cellStyle name="Normal 10 2 10 35" xfId="5571" xr:uid="{00000000-0005-0000-0000-0000C3150000}"/>
    <cellStyle name="Normal 10 2 10 35 10" xfId="5572" xr:uid="{00000000-0005-0000-0000-0000C4150000}"/>
    <cellStyle name="Normal 10 2 10 35 2" xfId="5573" xr:uid="{00000000-0005-0000-0000-0000C5150000}"/>
    <cellStyle name="Normal 10 2 10 35 3" xfId="5574" xr:uid="{00000000-0005-0000-0000-0000C6150000}"/>
    <cellStyle name="Normal 10 2 10 35 4" xfId="5575" xr:uid="{00000000-0005-0000-0000-0000C7150000}"/>
    <cellStyle name="Normal 10 2 10 35 5" xfId="5576" xr:uid="{00000000-0005-0000-0000-0000C8150000}"/>
    <cellStyle name="Normal 10 2 10 35 6" xfId="5577" xr:uid="{00000000-0005-0000-0000-0000C9150000}"/>
    <cellStyle name="Normal 10 2 10 35 7" xfId="5578" xr:uid="{00000000-0005-0000-0000-0000CA150000}"/>
    <cellStyle name="Normal 10 2 10 35 8" xfId="5579" xr:uid="{00000000-0005-0000-0000-0000CB150000}"/>
    <cellStyle name="Normal 10 2 10 35 9" xfId="5580" xr:uid="{00000000-0005-0000-0000-0000CC150000}"/>
    <cellStyle name="Normal 10 2 10 36" xfId="5581" xr:uid="{00000000-0005-0000-0000-0000CD150000}"/>
    <cellStyle name="Normal 10 2 10 36 10" xfId="5582" xr:uid="{00000000-0005-0000-0000-0000CE150000}"/>
    <cellStyle name="Normal 10 2 10 36 2" xfId="5583" xr:uid="{00000000-0005-0000-0000-0000CF150000}"/>
    <cellStyle name="Normal 10 2 10 36 3" xfId="5584" xr:uid="{00000000-0005-0000-0000-0000D0150000}"/>
    <cellStyle name="Normal 10 2 10 36 4" xfId="5585" xr:uid="{00000000-0005-0000-0000-0000D1150000}"/>
    <cellStyle name="Normal 10 2 10 36 5" xfId="5586" xr:uid="{00000000-0005-0000-0000-0000D2150000}"/>
    <cellStyle name="Normal 10 2 10 36 6" xfId="5587" xr:uid="{00000000-0005-0000-0000-0000D3150000}"/>
    <cellStyle name="Normal 10 2 10 36 7" xfId="5588" xr:uid="{00000000-0005-0000-0000-0000D4150000}"/>
    <cellStyle name="Normal 10 2 10 36 8" xfId="5589" xr:uid="{00000000-0005-0000-0000-0000D5150000}"/>
    <cellStyle name="Normal 10 2 10 36 9" xfId="5590" xr:uid="{00000000-0005-0000-0000-0000D6150000}"/>
    <cellStyle name="Normal 10 2 10 37" xfId="5591" xr:uid="{00000000-0005-0000-0000-0000D7150000}"/>
    <cellStyle name="Normal 10 2 10 37 10" xfId="5592" xr:uid="{00000000-0005-0000-0000-0000D8150000}"/>
    <cellStyle name="Normal 10 2 10 37 2" xfId="5593" xr:uid="{00000000-0005-0000-0000-0000D9150000}"/>
    <cellStyle name="Normal 10 2 10 37 3" xfId="5594" xr:uid="{00000000-0005-0000-0000-0000DA150000}"/>
    <cellStyle name="Normal 10 2 10 37 4" xfId="5595" xr:uid="{00000000-0005-0000-0000-0000DB150000}"/>
    <cellStyle name="Normal 10 2 10 37 5" xfId="5596" xr:uid="{00000000-0005-0000-0000-0000DC150000}"/>
    <cellStyle name="Normal 10 2 10 37 6" xfId="5597" xr:uid="{00000000-0005-0000-0000-0000DD150000}"/>
    <cellStyle name="Normal 10 2 10 37 7" xfId="5598" xr:uid="{00000000-0005-0000-0000-0000DE150000}"/>
    <cellStyle name="Normal 10 2 10 37 8" xfId="5599" xr:uid="{00000000-0005-0000-0000-0000DF150000}"/>
    <cellStyle name="Normal 10 2 10 37 9" xfId="5600" xr:uid="{00000000-0005-0000-0000-0000E0150000}"/>
    <cellStyle name="Normal 10 2 10 38" xfId="5601" xr:uid="{00000000-0005-0000-0000-0000E1150000}"/>
    <cellStyle name="Normal 10 2 10 38 10" xfId="5602" xr:uid="{00000000-0005-0000-0000-0000E2150000}"/>
    <cellStyle name="Normal 10 2 10 38 2" xfId="5603" xr:uid="{00000000-0005-0000-0000-0000E3150000}"/>
    <cellStyle name="Normal 10 2 10 38 3" xfId="5604" xr:uid="{00000000-0005-0000-0000-0000E4150000}"/>
    <cellStyle name="Normal 10 2 10 38 4" xfId="5605" xr:uid="{00000000-0005-0000-0000-0000E5150000}"/>
    <cellStyle name="Normal 10 2 10 38 5" xfId="5606" xr:uid="{00000000-0005-0000-0000-0000E6150000}"/>
    <cellStyle name="Normal 10 2 10 38 6" xfId="5607" xr:uid="{00000000-0005-0000-0000-0000E7150000}"/>
    <cellStyle name="Normal 10 2 10 38 7" xfId="5608" xr:uid="{00000000-0005-0000-0000-0000E8150000}"/>
    <cellStyle name="Normal 10 2 10 38 8" xfId="5609" xr:uid="{00000000-0005-0000-0000-0000E9150000}"/>
    <cellStyle name="Normal 10 2 10 38 9" xfId="5610" xr:uid="{00000000-0005-0000-0000-0000EA150000}"/>
    <cellStyle name="Normal 10 2 10 39" xfId="5611" xr:uid="{00000000-0005-0000-0000-0000EB150000}"/>
    <cellStyle name="Normal 10 2 10 4" xfId="5612" xr:uid="{00000000-0005-0000-0000-0000EC150000}"/>
    <cellStyle name="Normal 10 2 10 4 10" xfId="5613" xr:uid="{00000000-0005-0000-0000-0000ED150000}"/>
    <cellStyle name="Normal 10 2 10 4 11" xfId="5614" xr:uid="{00000000-0005-0000-0000-0000EE150000}"/>
    <cellStyle name="Normal 10 2 10 4 12" xfId="5615" xr:uid="{00000000-0005-0000-0000-0000EF150000}"/>
    <cellStyle name="Normal 10 2 10 4 13" xfId="5616" xr:uid="{00000000-0005-0000-0000-0000F0150000}"/>
    <cellStyle name="Normal 10 2 10 4 14" xfId="5617" xr:uid="{00000000-0005-0000-0000-0000F1150000}"/>
    <cellStyle name="Normal 10 2 10 4 2" xfId="5618" xr:uid="{00000000-0005-0000-0000-0000F2150000}"/>
    <cellStyle name="Normal 10 2 10 4 2 10" xfId="5619" xr:uid="{00000000-0005-0000-0000-0000F3150000}"/>
    <cellStyle name="Normal 10 2 10 4 2 2" xfId="5620" xr:uid="{00000000-0005-0000-0000-0000F4150000}"/>
    <cellStyle name="Normal 10 2 10 4 2 3" xfId="5621" xr:uid="{00000000-0005-0000-0000-0000F5150000}"/>
    <cellStyle name="Normal 10 2 10 4 2 4" xfId="5622" xr:uid="{00000000-0005-0000-0000-0000F6150000}"/>
    <cellStyle name="Normal 10 2 10 4 2 5" xfId="5623" xr:uid="{00000000-0005-0000-0000-0000F7150000}"/>
    <cellStyle name="Normal 10 2 10 4 2 6" xfId="5624" xr:uid="{00000000-0005-0000-0000-0000F8150000}"/>
    <cellStyle name="Normal 10 2 10 4 2 7" xfId="5625" xr:uid="{00000000-0005-0000-0000-0000F9150000}"/>
    <cellStyle name="Normal 10 2 10 4 2 8" xfId="5626" xr:uid="{00000000-0005-0000-0000-0000FA150000}"/>
    <cellStyle name="Normal 10 2 10 4 2 9" xfId="5627" xr:uid="{00000000-0005-0000-0000-0000FB150000}"/>
    <cellStyle name="Normal 10 2 10 4 3" xfId="5628" xr:uid="{00000000-0005-0000-0000-0000FC150000}"/>
    <cellStyle name="Normal 10 2 10 4 3 10" xfId="5629" xr:uid="{00000000-0005-0000-0000-0000FD150000}"/>
    <cellStyle name="Normal 10 2 10 4 3 2" xfId="5630" xr:uid="{00000000-0005-0000-0000-0000FE150000}"/>
    <cellStyle name="Normal 10 2 10 4 3 3" xfId="5631" xr:uid="{00000000-0005-0000-0000-0000FF150000}"/>
    <cellStyle name="Normal 10 2 10 4 3 4" xfId="5632" xr:uid="{00000000-0005-0000-0000-000000160000}"/>
    <cellStyle name="Normal 10 2 10 4 3 5" xfId="5633" xr:uid="{00000000-0005-0000-0000-000001160000}"/>
    <cellStyle name="Normal 10 2 10 4 3 6" xfId="5634" xr:uid="{00000000-0005-0000-0000-000002160000}"/>
    <cellStyle name="Normal 10 2 10 4 3 7" xfId="5635" xr:uid="{00000000-0005-0000-0000-000003160000}"/>
    <cellStyle name="Normal 10 2 10 4 3 8" xfId="5636" xr:uid="{00000000-0005-0000-0000-000004160000}"/>
    <cellStyle name="Normal 10 2 10 4 3 9" xfId="5637" xr:uid="{00000000-0005-0000-0000-000005160000}"/>
    <cellStyle name="Normal 10 2 10 4 4" xfId="5638" xr:uid="{00000000-0005-0000-0000-000006160000}"/>
    <cellStyle name="Normal 10 2 10 4 4 10" xfId="5639" xr:uid="{00000000-0005-0000-0000-000007160000}"/>
    <cellStyle name="Normal 10 2 10 4 4 2" xfId="5640" xr:uid="{00000000-0005-0000-0000-000008160000}"/>
    <cellStyle name="Normal 10 2 10 4 4 3" xfId="5641" xr:uid="{00000000-0005-0000-0000-000009160000}"/>
    <cellStyle name="Normal 10 2 10 4 4 4" xfId="5642" xr:uid="{00000000-0005-0000-0000-00000A160000}"/>
    <cellStyle name="Normal 10 2 10 4 4 5" xfId="5643" xr:uid="{00000000-0005-0000-0000-00000B160000}"/>
    <cellStyle name="Normal 10 2 10 4 4 6" xfId="5644" xr:uid="{00000000-0005-0000-0000-00000C160000}"/>
    <cellStyle name="Normal 10 2 10 4 4 7" xfId="5645" xr:uid="{00000000-0005-0000-0000-00000D160000}"/>
    <cellStyle name="Normal 10 2 10 4 4 8" xfId="5646" xr:uid="{00000000-0005-0000-0000-00000E160000}"/>
    <cellStyle name="Normal 10 2 10 4 4 9" xfId="5647" xr:uid="{00000000-0005-0000-0000-00000F160000}"/>
    <cellStyle name="Normal 10 2 10 4 5" xfId="5648" xr:uid="{00000000-0005-0000-0000-000010160000}"/>
    <cellStyle name="Normal 10 2 10 4 5 10" xfId="5649" xr:uid="{00000000-0005-0000-0000-000011160000}"/>
    <cellStyle name="Normal 10 2 10 4 5 2" xfId="5650" xr:uid="{00000000-0005-0000-0000-000012160000}"/>
    <cellStyle name="Normal 10 2 10 4 5 3" xfId="5651" xr:uid="{00000000-0005-0000-0000-000013160000}"/>
    <cellStyle name="Normal 10 2 10 4 5 4" xfId="5652" xr:uid="{00000000-0005-0000-0000-000014160000}"/>
    <cellStyle name="Normal 10 2 10 4 5 5" xfId="5653" xr:uid="{00000000-0005-0000-0000-000015160000}"/>
    <cellStyle name="Normal 10 2 10 4 5 6" xfId="5654" xr:uid="{00000000-0005-0000-0000-000016160000}"/>
    <cellStyle name="Normal 10 2 10 4 5 7" xfId="5655" xr:uid="{00000000-0005-0000-0000-000017160000}"/>
    <cellStyle name="Normal 10 2 10 4 5 8" xfId="5656" xr:uid="{00000000-0005-0000-0000-000018160000}"/>
    <cellStyle name="Normal 10 2 10 4 5 9" xfId="5657" xr:uid="{00000000-0005-0000-0000-000019160000}"/>
    <cellStyle name="Normal 10 2 10 4 6" xfId="5658" xr:uid="{00000000-0005-0000-0000-00001A160000}"/>
    <cellStyle name="Normal 10 2 10 4 7" xfId="5659" xr:uid="{00000000-0005-0000-0000-00001B160000}"/>
    <cellStyle name="Normal 10 2 10 4 8" xfId="5660" xr:uid="{00000000-0005-0000-0000-00001C160000}"/>
    <cellStyle name="Normal 10 2 10 4 9" xfId="5661" xr:uid="{00000000-0005-0000-0000-00001D160000}"/>
    <cellStyle name="Normal 10 2 10 40" xfId="5662" xr:uid="{00000000-0005-0000-0000-00001E160000}"/>
    <cellStyle name="Normal 10 2 10 41" xfId="5663" xr:uid="{00000000-0005-0000-0000-00001F160000}"/>
    <cellStyle name="Normal 10 2 10 42" xfId="5664" xr:uid="{00000000-0005-0000-0000-000020160000}"/>
    <cellStyle name="Normal 10 2 10 43" xfId="5665" xr:uid="{00000000-0005-0000-0000-000021160000}"/>
    <cellStyle name="Normal 10 2 10 44" xfId="5666" xr:uid="{00000000-0005-0000-0000-000022160000}"/>
    <cellStyle name="Normal 10 2 10 45" xfId="5667" xr:uid="{00000000-0005-0000-0000-000023160000}"/>
    <cellStyle name="Normal 10 2 10 46" xfId="5668" xr:uid="{00000000-0005-0000-0000-000024160000}"/>
    <cellStyle name="Normal 10 2 10 47" xfId="5669" xr:uid="{00000000-0005-0000-0000-000025160000}"/>
    <cellStyle name="Normal 10 2 10 48" xfId="5670" xr:uid="{00000000-0005-0000-0000-000026160000}"/>
    <cellStyle name="Normal 10 2 10 49" xfId="5671" xr:uid="{00000000-0005-0000-0000-000027160000}"/>
    <cellStyle name="Normal 10 2 10 5" xfId="5672" xr:uid="{00000000-0005-0000-0000-000028160000}"/>
    <cellStyle name="Normal 10 2 10 5 10" xfId="5673" xr:uid="{00000000-0005-0000-0000-000029160000}"/>
    <cellStyle name="Normal 10 2 10 5 11" xfId="5674" xr:uid="{00000000-0005-0000-0000-00002A160000}"/>
    <cellStyle name="Normal 10 2 10 5 12" xfId="5675" xr:uid="{00000000-0005-0000-0000-00002B160000}"/>
    <cellStyle name="Normal 10 2 10 5 13" xfId="5676" xr:uid="{00000000-0005-0000-0000-00002C160000}"/>
    <cellStyle name="Normal 10 2 10 5 14" xfId="5677" xr:uid="{00000000-0005-0000-0000-00002D160000}"/>
    <cellStyle name="Normal 10 2 10 5 2" xfId="5678" xr:uid="{00000000-0005-0000-0000-00002E160000}"/>
    <cellStyle name="Normal 10 2 10 5 2 10" xfId="5679" xr:uid="{00000000-0005-0000-0000-00002F160000}"/>
    <cellStyle name="Normal 10 2 10 5 2 2" xfId="5680" xr:uid="{00000000-0005-0000-0000-000030160000}"/>
    <cellStyle name="Normal 10 2 10 5 2 3" xfId="5681" xr:uid="{00000000-0005-0000-0000-000031160000}"/>
    <cellStyle name="Normal 10 2 10 5 2 4" xfId="5682" xr:uid="{00000000-0005-0000-0000-000032160000}"/>
    <cellStyle name="Normal 10 2 10 5 2 5" xfId="5683" xr:uid="{00000000-0005-0000-0000-000033160000}"/>
    <cellStyle name="Normal 10 2 10 5 2 6" xfId="5684" xr:uid="{00000000-0005-0000-0000-000034160000}"/>
    <cellStyle name="Normal 10 2 10 5 2 7" xfId="5685" xr:uid="{00000000-0005-0000-0000-000035160000}"/>
    <cellStyle name="Normal 10 2 10 5 2 8" xfId="5686" xr:uid="{00000000-0005-0000-0000-000036160000}"/>
    <cellStyle name="Normal 10 2 10 5 2 9" xfId="5687" xr:uid="{00000000-0005-0000-0000-000037160000}"/>
    <cellStyle name="Normal 10 2 10 5 3" xfId="5688" xr:uid="{00000000-0005-0000-0000-000038160000}"/>
    <cellStyle name="Normal 10 2 10 5 3 10" xfId="5689" xr:uid="{00000000-0005-0000-0000-000039160000}"/>
    <cellStyle name="Normal 10 2 10 5 3 2" xfId="5690" xr:uid="{00000000-0005-0000-0000-00003A160000}"/>
    <cellStyle name="Normal 10 2 10 5 3 3" xfId="5691" xr:uid="{00000000-0005-0000-0000-00003B160000}"/>
    <cellStyle name="Normal 10 2 10 5 3 4" xfId="5692" xr:uid="{00000000-0005-0000-0000-00003C160000}"/>
    <cellStyle name="Normal 10 2 10 5 3 5" xfId="5693" xr:uid="{00000000-0005-0000-0000-00003D160000}"/>
    <cellStyle name="Normal 10 2 10 5 3 6" xfId="5694" xr:uid="{00000000-0005-0000-0000-00003E160000}"/>
    <cellStyle name="Normal 10 2 10 5 3 7" xfId="5695" xr:uid="{00000000-0005-0000-0000-00003F160000}"/>
    <cellStyle name="Normal 10 2 10 5 3 8" xfId="5696" xr:uid="{00000000-0005-0000-0000-000040160000}"/>
    <cellStyle name="Normal 10 2 10 5 3 9" xfId="5697" xr:uid="{00000000-0005-0000-0000-000041160000}"/>
    <cellStyle name="Normal 10 2 10 5 4" xfId="5698" xr:uid="{00000000-0005-0000-0000-000042160000}"/>
    <cellStyle name="Normal 10 2 10 5 4 10" xfId="5699" xr:uid="{00000000-0005-0000-0000-000043160000}"/>
    <cellStyle name="Normal 10 2 10 5 4 2" xfId="5700" xr:uid="{00000000-0005-0000-0000-000044160000}"/>
    <cellStyle name="Normal 10 2 10 5 4 3" xfId="5701" xr:uid="{00000000-0005-0000-0000-000045160000}"/>
    <cellStyle name="Normal 10 2 10 5 4 4" xfId="5702" xr:uid="{00000000-0005-0000-0000-000046160000}"/>
    <cellStyle name="Normal 10 2 10 5 4 5" xfId="5703" xr:uid="{00000000-0005-0000-0000-000047160000}"/>
    <cellStyle name="Normal 10 2 10 5 4 6" xfId="5704" xr:uid="{00000000-0005-0000-0000-000048160000}"/>
    <cellStyle name="Normal 10 2 10 5 4 7" xfId="5705" xr:uid="{00000000-0005-0000-0000-000049160000}"/>
    <cellStyle name="Normal 10 2 10 5 4 8" xfId="5706" xr:uid="{00000000-0005-0000-0000-00004A160000}"/>
    <cellStyle name="Normal 10 2 10 5 4 9" xfId="5707" xr:uid="{00000000-0005-0000-0000-00004B160000}"/>
    <cellStyle name="Normal 10 2 10 5 5" xfId="5708" xr:uid="{00000000-0005-0000-0000-00004C160000}"/>
    <cellStyle name="Normal 10 2 10 5 5 10" xfId="5709" xr:uid="{00000000-0005-0000-0000-00004D160000}"/>
    <cellStyle name="Normal 10 2 10 5 5 2" xfId="5710" xr:uid="{00000000-0005-0000-0000-00004E160000}"/>
    <cellStyle name="Normal 10 2 10 5 5 3" xfId="5711" xr:uid="{00000000-0005-0000-0000-00004F160000}"/>
    <cellStyle name="Normal 10 2 10 5 5 4" xfId="5712" xr:uid="{00000000-0005-0000-0000-000050160000}"/>
    <cellStyle name="Normal 10 2 10 5 5 5" xfId="5713" xr:uid="{00000000-0005-0000-0000-000051160000}"/>
    <cellStyle name="Normal 10 2 10 5 5 6" xfId="5714" xr:uid="{00000000-0005-0000-0000-000052160000}"/>
    <cellStyle name="Normal 10 2 10 5 5 7" xfId="5715" xr:uid="{00000000-0005-0000-0000-000053160000}"/>
    <cellStyle name="Normal 10 2 10 5 5 8" xfId="5716" xr:uid="{00000000-0005-0000-0000-000054160000}"/>
    <cellStyle name="Normal 10 2 10 5 5 9" xfId="5717" xr:uid="{00000000-0005-0000-0000-000055160000}"/>
    <cellStyle name="Normal 10 2 10 5 6" xfId="5718" xr:uid="{00000000-0005-0000-0000-000056160000}"/>
    <cellStyle name="Normal 10 2 10 5 7" xfId="5719" xr:uid="{00000000-0005-0000-0000-000057160000}"/>
    <cellStyle name="Normal 10 2 10 5 8" xfId="5720" xr:uid="{00000000-0005-0000-0000-000058160000}"/>
    <cellStyle name="Normal 10 2 10 5 9" xfId="5721" xr:uid="{00000000-0005-0000-0000-000059160000}"/>
    <cellStyle name="Normal 10 2 10 50" xfId="406" xr:uid="{00000000-0005-0000-0000-000096010000}"/>
    <cellStyle name="Normal 10 2 10 6" xfId="5722" xr:uid="{00000000-0005-0000-0000-00005A160000}"/>
    <cellStyle name="Normal 10 2 10 6 10" xfId="5723" xr:uid="{00000000-0005-0000-0000-00005B160000}"/>
    <cellStyle name="Normal 10 2 10 6 11" xfId="5724" xr:uid="{00000000-0005-0000-0000-00005C160000}"/>
    <cellStyle name="Normal 10 2 10 6 12" xfId="5725" xr:uid="{00000000-0005-0000-0000-00005D160000}"/>
    <cellStyle name="Normal 10 2 10 6 13" xfId="5726" xr:uid="{00000000-0005-0000-0000-00005E160000}"/>
    <cellStyle name="Normal 10 2 10 6 14" xfId="5727" xr:uid="{00000000-0005-0000-0000-00005F160000}"/>
    <cellStyle name="Normal 10 2 10 6 2" xfId="5728" xr:uid="{00000000-0005-0000-0000-000060160000}"/>
    <cellStyle name="Normal 10 2 10 6 2 10" xfId="5729" xr:uid="{00000000-0005-0000-0000-000061160000}"/>
    <cellStyle name="Normal 10 2 10 6 2 2" xfId="5730" xr:uid="{00000000-0005-0000-0000-000062160000}"/>
    <cellStyle name="Normal 10 2 10 6 2 3" xfId="5731" xr:uid="{00000000-0005-0000-0000-000063160000}"/>
    <cellStyle name="Normal 10 2 10 6 2 4" xfId="5732" xr:uid="{00000000-0005-0000-0000-000064160000}"/>
    <cellStyle name="Normal 10 2 10 6 2 5" xfId="5733" xr:uid="{00000000-0005-0000-0000-000065160000}"/>
    <cellStyle name="Normal 10 2 10 6 2 6" xfId="5734" xr:uid="{00000000-0005-0000-0000-000066160000}"/>
    <cellStyle name="Normal 10 2 10 6 2 7" xfId="5735" xr:uid="{00000000-0005-0000-0000-000067160000}"/>
    <cellStyle name="Normal 10 2 10 6 2 8" xfId="5736" xr:uid="{00000000-0005-0000-0000-000068160000}"/>
    <cellStyle name="Normal 10 2 10 6 2 9" xfId="5737" xr:uid="{00000000-0005-0000-0000-000069160000}"/>
    <cellStyle name="Normal 10 2 10 6 3" xfId="5738" xr:uid="{00000000-0005-0000-0000-00006A160000}"/>
    <cellStyle name="Normal 10 2 10 6 3 10" xfId="5739" xr:uid="{00000000-0005-0000-0000-00006B160000}"/>
    <cellStyle name="Normal 10 2 10 6 3 2" xfId="5740" xr:uid="{00000000-0005-0000-0000-00006C160000}"/>
    <cellStyle name="Normal 10 2 10 6 3 3" xfId="5741" xr:uid="{00000000-0005-0000-0000-00006D160000}"/>
    <cellStyle name="Normal 10 2 10 6 3 4" xfId="5742" xr:uid="{00000000-0005-0000-0000-00006E160000}"/>
    <cellStyle name="Normal 10 2 10 6 3 5" xfId="5743" xr:uid="{00000000-0005-0000-0000-00006F160000}"/>
    <cellStyle name="Normal 10 2 10 6 3 6" xfId="5744" xr:uid="{00000000-0005-0000-0000-000070160000}"/>
    <cellStyle name="Normal 10 2 10 6 3 7" xfId="5745" xr:uid="{00000000-0005-0000-0000-000071160000}"/>
    <cellStyle name="Normal 10 2 10 6 3 8" xfId="5746" xr:uid="{00000000-0005-0000-0000-000072160000}"/>
    <cellStyle name="Normal 10 2 10 6 3 9" xfId="5747" xr:uid="{00000000-0005-0000-0000-000073160000}"/>
    <cellStyle name="Normal 10 2 10 6 4" xfId="5748" xr:uid="{00000000-0005-0000-0000-000074160000}"/>
    <cellStyle name="Normal 10 2 10 6 4 10" xfId="5749" xr:uid="{00000000-0005-0000-0000-000075160000}"/>
    <cellStyle name="Normal 10 2 10 6 4 2" xfId="5750" xr:uid="{00000000-0005-0000-0000-000076160000}"/>
    <cellStyle name="Normal 10 2 10 6 4 3" xfId="5751" xr:uid="{00000000-0005-0000-0000-000077160000}"/>
    <cellStyle name="Normal 10 2 10 6 4 4" xfId="5752" xr:uid="{00000000-0005-0000-0000-000078160000}"/>
    <cellStyle name="Normal 10 2 10 6 4 5" xfId="5753" xr:uid="{00000000-0005-0000-0000-000079160000}"/>
    <cellStyle name="Normal 10 2 10 6 4 6" xfId="5754" xr:uid="{00000000-0005-0000-0000-00007A160000}"/>
    <cellStyle name="Normal 10 2 10 6 4 7" xfId="5755" xr:uid="{00000000-0005-0000-0000-00007B160000}"/>
    <cellStyle name="Normal 10 2 10 6 4 8" xfId="5756" xr:uid="{00000000-0005-0000-0000-00007C160000}"/>
    <cellStyle name="Normal 10 2 10 6 4 9" xfId="5757" xr:uid="{00000000-0005-0000-0000-00007D160000}"/>
    <cellStyle name="Normal 10 2 10 6 5" xfId="5758" xr:uid="{00000000-0005-0000-0000-00007E160000}"/>
    <cellStyle name="Normal 10 2 10 6 5 10" xfId="5759" xr:uid="{00000000-0005-0000-0000-00007F160000}"/>
    <cellStyle name="Normal 10 2 10 6 5 2" xfId="5760" xr:uid="{00000000-0005-0000-0000-000080160000}"/>
    <cellStyle name="Normal 10 2 10 6 5 3" xfId="5761" xr:uid="{00000000-0005-0000-0000-000081160000}"/>
    <cellStyle name="Normal 10 2 10 6 5 4" xfId="5762" xr:uid="{00000000-0005-0000-0000-000082160000}"/>
    <cellStyle name="Normal 10 2 10 6 5 5" xfId="5763" xr:uid="{00000000-0005-0000-0000-000083160000}"/>
    <cellStyle name="Normal 10 2 10 6 5 6" xfId="5764" xr:uid="{00000000-0005-0000-0000-000084160000}"/>
    <cellStyle name="Normal 10 2 10 6 5 7" xfId="5765" xr:uid="{00000000-0005-0000-0000-000085160000}"/>
    <cellStyle name="Normal 10 2 10 6 5 8" xfId="5766" xr:uid="{00000000-0005-0000-0000-000086160000}"/>
    <cellStyle name="Normal 10 2 10 6 5 9" xfId="5767" xr:uid="{00000000-0005-0000-0000-000087160000}"/>
    <cellStyle name="Normal 10 2 10 6 6" xfId="5768" xr:uid="{00000000-0005-0000-0000-000088160000}"/>
    <cellStyle name="Normal 10 2 10 6 7" xfId="5769" xr:uid="{00000000-0005-0000-0000-000089160000}"/>
    <cellStyle name="Normal 10 2 10 6 8" xfId="5770" xr:uid="{00000000-0005-0000-0000-00008A160000}"/>
    <cellStyle name="Normal 10 2 10 6 9" xfId="5771" xr:uid="{00000000-0005-0000-0000-00008B160000}"/>
    <cellStyle name="Normal 10 2 10 7" xfId="5772" xr:uid="{00000000-0005-0000-0000-00008C160000}"/>
    <cellStyle name="Normal 10 2 10 7 10" xfId="5773" xr:uid="{00000000-0005-0000-0000-00008D160000}"/>
    <cellStyle name="Normal 10 2 10 7 11" xfId="5774" xr:uid="{00000000-0005-0000-0000-00008E160000}"/>
    <cellStyle name="Normal 10 2 10 7 12" xfId="5775" xr:uid="{00000000-0005-0000-0000-00008F160000}"/>
    <cellStyle name="Normal 10 2 10 7 13" xfId="5776" xr:uid="{00000000-0005-0000-0000-000090160000}"/>
    <cellStyle name="Normal 10 2 10 7 14" xfId="5777" xr:uid="{00000000-0005-0000-0000-000091160000}"/>
    <cellStyle name="Normal 10 2 10 7 2" xfId="5778" xr:uid="{00000000-0005-0000-0000-000092160000}"/>
    <cellStyle name="Normal 10 2 10 7 2 10" xfId="5779" xr:uid="{00000000-0005-0000-0000-000093160000}"/>
    <cellStyle name="Normal 10 2 10 7 2 2" xfId="5780" xr:uid="{00000000-0005-0000-0000-000094160000}"/>
    <cellStyle name="Normal 10 2 10 7 2 3" xfId="5781" xr:uid="{00000000-0005-0000-0000-000095160000}"/>
    <cellStyle name="Normal 10 2 10 7 2 4" xfId="5782" xr:uid="{00000000-0005-0000-0000-000096160000}"/>
    <cellStyle name="Normal 10 2 10 7 2 5" xfId="5783" xr:uid="{00000000-0005-0000-0000-000097160000}"/>
    <cellStyle name="Normal 10 2 10 7 2 6" xfId="5784" xr:uid="{00000000-0005-0000-0000-000098160000}"/>
    <cellStyle name="Normal 10 2 10 7 2 7" xfId="5785" xr:uid="{00000000-0005-0000-0000-000099160000}"/>
    <cellStyle name="Normal 10 2 10 7 2 8" xfId="5786" xr:uid="{00000000-0005-0000-0000-00009A160000}"/>
    <cellStyle name="Normal 10 2 10 7 2 9" xfId="5787" xr:uid="{00000000-0005-0000-0000-00009B160000}"/>
    <cellStyle name="Normal 10 2 10 7 3" xfId="5788" xr:uid="{00000000-0005-0000-0000-00009C160000}"/>
    <cellStyle name="Normal 10 2 10 7 3 10" xfId="5789" xr:uid="{00000000-0005-0000-0000-00009D160000}"/>
    <cellStyle name="Normal 10 2 10 7 3 2" xfId="5790" xr:uid="{00000000-0005-0000-0000-00009E160000}"/>
    <cellStyle name="Normal 10 2 10 7 3 3" xfId="5791" xr:uid="{00000000-0005-0000-0000-00009F160000}"/>
    <cellStyle name="Normal 10 2 10 7 3 4" xfId="5792" xr:uid="{00000000-0005-0000-0000-0000A0160000}"/>
    <cellStyle name="Normal 10 2 10 7 3 5" xfId="5793" xr:uid="{00000000-0005-0000-0000-0000A1160000}"/>
    <cellStyle name="Normal 10 2 10 7 3 6" xfId="5794" xr:uid="{00000000-0005-0000-0000-0000A2160000}"/>
    <cellStyle name="Normal 10 2 10 7 3 7" xfId="5795" xr:uid="{00000000-0005-0000-0000-0000A3160000}"/>
    <cellStyle name="Normal 10 2 10 7 3 8" xfId="5796" xr:uid="{00000000-0005-0000-0000-0000A4160000}"/>
    <cellStyle name="Normal 10 2 10 7 3 9" xfId="5797" xr:uid="{00000000-0005-0000-0000-0000A5160000}"/>
    <cellStyle name="Normal 10 2 10 7 4" xfId="5798" xr:uid="{00000000-0005-0000-0000-0000A6160000}"/>
    <cellStyle name="Normal 10 2 10 7 4 10" xfId="5799" xr:uid="{00000000-0005-0000-0000-0000A7160000}"/>
    <cellStyle name="Normal 10 2 10 7 4 2" xfId="5800" xr:uid="{00000000-0005-0000-0000-0000A8160000}"/>
    <cellStyle name="Normal 10 2 10 7 4 3" xfId="5801" xr:uid="{00000000-0005-0000-0000-0000A9160000}"/>
    <cellStyle name="Normal 10 2 10 7 4 4" xfId="5802" xr:uid="{00000000-0005-0000-0000-0000AA160000}"/>
    <cellStyle name="Normal 10 2 10 7 4 5" xfId="5803" xr:uid="{00000000-0005-0000-0000-0000AB160000}"/>
    <cellStyle name="Normal 10 2 10 7 4 6" xfId="5804" xr:uid="{00000000-0005-0000-0000-0000AC160000}"/>
    <cellStyle name="Normal 10 2 10 7 4 7" xfId="5805" xr:uid="{00000000-0005-0000-0000-0000AD160000}"/>
    <cellStyle name="Normal 10 2 10 7 4 8" xfId="5806" xr:uid="{00000000-0005-0000-0000-0000AE160000}"/>
    <cellStyle name="Normal 10 2 10 7 4 9" xfId="5807" xr:uid="{00000000-0005-0000-0000-0000AF160000}"/>
    <cellStyle name="Normal 10 2 10 7 5" xfId="5808" xr:uid="{00000000-0005-0000-0000-0000B0160000}"/>
    <cellStyle name="Normal 10 2 10 7 5 10" xfId="5809" xr:uid="{00000000-0005-0000-0000-0000B1160000}"/>
    <cellStyle name="Normal 10 2 10 7 5 2" xfId="5810" xr:uid="{00000000-0005-0000-0000-0000B2160000}"/>
    <cellStyle name="Normal 10 2 10 7 5 3" xfId="5811" xr:uid="{00000000-0005-0000-0000-0000B3160000}"/>
    <cellStyle name="Normal 10 2 10 7 5 4" xfId="5812" xr:uid="{00000000-0005-0000-0000-0000B4160000}"/>
    <cellStyle name="Normal 10 2 10 7 5 5" xfId="5813" xr:uid="{00000000-0005-0000-0000-0000B5160000}"/>
    <cellStyle name="Normal 10 2 10 7 5 6" xfId="5814" xr:uid="{00000000-0005-0000-0000-0000B6160000}"/>
    <cellStyle name="Normal 10 2 10 7 5 7" xfId="5815" xr:uid="{00000000-0005-0000-0000-0000B7160000}"/>
    <cellStyle name="Normal 10 2 10 7 5 8" xfId="5816" xr:uid="{00000000-0005-0000-0000-0000B8160000}"/>
    <cellStyle name="Normal 10 2 10 7 5 9" xfId="5817" xr:uid="{00000000-0005-0000-0000-0000B9160000}"/>
    <cellStyle name="Normal 10 2 10 7 6" xfId="5818" xr:uid="{00000000-0005-0000-0000-0000BA160000}"/>
    <cellStyle name="Normal 10 2 10 7 7" xfId="5819" xr:uid="{00000000-0005-0000-0000-0000BB160000}"/>
    <cellStyle name="Normal 10 2 10 7 8" xfId="5820" xr:uid="{00000000-0005-0000-0000-0000BC160000}"/>
    <cellStyle name="Normal 10 2 10 7 9" xfId="5821" xr:uid="{00000000-0005-0000-0000-0000BD160000}"/>
    <cellStyle name="Normal 10 2 10 8" xfId="5822" xr:uid="{00000000-0005-0000-0000-0000BE160000}"/>
    <cellStyle name="Normal 10 2 10 8 10" xfId="5823" xr:uid="{00000000-0005-0000-0000-0000BF160000}"/>
    <cellStyle name="Normal 10 2 10 8 11" xfId="5824" xr:uid="{00000000-0005-0000-0000-0000C0160000}"/>
    <cellStyle name="Normal 10 2 10 8 12" xfId="5825" xr:uid="{00000000-0005-0000-0000-0000C1160000}"/>
    <cellStyle name="Normal 10 2 10 8 13" xfId="5826" xr:uid="{00000000-0005-0000-0000-0000C2160000}"/>
    <cellStyle name="Normal 10 2 10 8 14" xfId="5827" xr:uid="{00000000-0005-0000-0000-0000C3160000}"/>
    <cellStyle name="Normal 10 2 10 8 2" xfId="5828" xr:uid="{00000000-0005-0000-0000-0000C4160000}"/>
    <cellStyle name="Normal 10 2 10 8 2 10" xfId="5829" xr:uid="{00000000-0005-0000-0000-0000C5160000}"/>
    <cellStyle name="Normal 10 2 10 8 2 2" xfId="5830" xr:uid="{00000000-0005-0000-0000-0000C6160000}"/>
    <cellStyle name="Normal 10 2 10 8 2 3" xfId="5831" xr:uid="{00000000-0005-0000-0000-0000C7160000}"/>
    <cellStyle name="Normal 10 2 10 8 2 4" xfId="5832" xr:uid="{00000000-0005-0000-0000-0000C8160000}"/>
    <cellStyle name="Normal 10 2 10 8 2 5" xfId="5833" xr:uid="{00000000-0005-0000-0000-0000C9160000}"/>
    <cellStyle name="Normal 10 2 10 8 2 6" xfId="5834" xr:uid="{00000000-0005-0000-0000-0000CA160000}"/>
    <cellStyle name="Normal 10 2 10 8 2 7" xfId="5835" xr:uid="{00000000-0005-0000-0000-0000CB160000}"/>
    <cellStyle name="Normal 10 2 10 8 2 8" xfId="5836" xr:uid="{00000000-0005-0000-0000-0000CC160000}"/>
    <cellStyle name="Normal 10 2 10 8 2 9" xfId="5837" xr:uid="{00000000-0005-0000-0000-0000CD160000}"/>
    <cellStyle name="Normal 10 2 10 8 3" xfId="5838" xr:uid="{00000000-0005-0000-0000-0000CE160000}"/>
    <cellStyle name="Normal 10 2 10 8 3 10" xfId="5839" xr:uid="{00000000-0005-0000-0000-0000CF160000}"/>
    <cellStyle name="Normal 10 2 10 8 3 2" xfId="5840" xr:uid="{00000000-0005-0000-0000-0000D0160000}"/>
    <cellStyle name="Normal 10 2 10 8 3 3" xfId="5841" xr:uid="{00000000-0005-0000-0000-0000D1160000}"/>
    <cellStyle name="Normal 10 2 10 8 3 4" xfId="5842" xr:uid="{00000000-0005-0000-0000-0000D2160000}"/>
    <cellStyle name="Normal 10 2 10 8 3 5" xfId="5843" xr:uid="{00000000-0005-0000-0000-0000D3160000}"/>
    <cellStyle name="Normal 10 2 10 8 3 6" xfId="5844" xr:uid="{00000000-0005-0000-0000-0000D4160000}"/>
    <cellStyle name="Normal 10 2 10 8 3 7" xfId="5845" xr:uid="{00000000-0005-0000-0000-0000D5160000}"/>
    <cellStyle name="Normal 10 2 10 8 3 8" xfId="5846" xr:uid="{00000000-0005-0000-0000-0000D6160000}"/>
    <cellStyle name="Normal 10 2 10 8 3 9" xfId="5847" xr:uid="{00000000-0005-0000-0000-0000D7160000}"/>
    <cellStyle name="Normal 10 2 10 8 4" xfId="5848" xr:uid="{00000000-0005-0000-0000-0000D8160000}"/>
    <cellStyle name="Normal 10 2 10 8 4 10" xfId="5849" xr:uid="{00000000-0005-0000-0000-0000D9160000}"/>
    <cellStyle name="Normal 10 2 10 8 4 2" xfId="5850" xr:uid="{00000000-0005-0000-0000-0000DA160000}"/>
    <cellStyle name="Normal 10 2 10 8 4 3" xfId="5851" xr:uid="{00000000-0005-0000-0000-0000DB160000}"/>
    <cellStyle name="Normal 10 2 10 8 4 4" xfId="5852" xr:uid="{00000000-0005-0000-0000-0000DC160000}"/>
    <cellStyle name="Normal 10 2 10 8 4 5" xfId="5853" xr:uid="{00000000-0005-0000-0000-0000DD160000}"/>
    <cellStyle name="Normal 10 2 10 8 4 6" xfId="5854" xr:uid="{00000000-0005-0000-0000-0000DE160000}"/>
    <cellStyle name="Normal 10 2 10 8 4 7" xfId="5855" xr:uid="{00000000-0005-0000-0000-0000DF160000}"/>
    <cellStyle name="Normal 10 2 10 8 4 8" xfId="5856" xr:uid="{00000000-0005-0000-0000-0000E0160000}"/>
    <cellStyle name="Normal 10 2 10 8 4 9" xfId="5857" xr:uid="{00000000-0005-0000-0000-0000E1160000}"/>
    <cellStyle name="Normal 10 2 10 8 5" xfId="5858" xr:uid="{00000000-0005-0000-0000-0000E2160000}"/>
    <cellStyle name="Normal 10 2 10 8 5 10" xfId="5859" xr:uid="{00000000-0005-0000-0000-0000E3160000}"/>
    <cellStyle name="Normal 10 2 10 8 5 2" xfId="5860" xr:uid="{00000000-0005-0000-0000-0000E4160000}"/>
    <cellStyle name="Normal 10 2 10 8 5 3" xfId="5861" xr:uid="{00000000-0005-0000-0000-0000E5160000}"/>
    <cellStyle name="Normal 10 2 10 8 5 4" xfId="5862" xr:uid="{00000000-0005-0000-0000-0000E6160000}"/>
    <cellStyle name="Normal 10 2 10 8 5 5" xfId="5863" xr:uid="{00000000-0005-0000-0000-0000E7160000}"/>
    <cellStyle name="Normal 10 2 10 8 5 6" xfId="5864" xr:uid="{00000000-0005-0000-0000-0000E8160000}"/>
    <cellStyle name="Normal 10 2 10 8 5 7" xfId="5865" xr:uid="{00000000-0005-0000-0000-0000E9160000}"/>
    <cellStyle name="Normal 10 2 10 8 5 8" xfId="5866" xr:uid="{00000000-0005-0000-0000-0000EA160000}"/>
    <cellStyle name="Normal 10 2 10 8 5 9" xfId="5867" xr:uid="{00000000-0005-0000-0000-0000EB160000}"/>
    <cellStyle name="Normal 10 2 10 8 6" xfId="5868" xr:uid="{00000000-0005-0000-0000-0000EC160000}"/>
    <cellStyle name="Normal 10 2 10 8 7" xfId="5869" xr:uid="{00000000-0005-0000-0000-0000ED160000}"/>
    <cellStyle name="Normal 10 2 10 8 8" xfId="5870" xr:uid="{00000000-0005-0000-0000-0000EE160000}"/>
    <cellStyle name="Normal 10 2 10 8 9" xfId="5871" xr:uid="{00000000-0005-0000-0000-0000EF160000}"/>
    <cellStyle name="Normal 10 2 10 9" xfId="5872" xr:uid="{00000000-0005-0000-0000-0000F0160000}"/>
    <cellStyle name="Normal 10 2 10 9 10" xfId="5873" xr:uid="{00000000-0005-0000-0000-0000F1160000}"/>
    <cellStyle name="Normal 10 2 10 9 11" xfId="5874" xr:uid="{00000000-0005-0000-0000-0000F2160000}"/>
    <cellStyle name="Normal 10 2 10 9 12" xfId="5875" xr:uid="{00000000-0005-0000-0000-0000F3160000}"/>
    <cellStyle name="Normal 10 2 10 9 13" xfId="5876" xr:uid="{00000000-0005-0000-0000-0000F4160000}"/>
    <cellStyle name="Normal 10 2 10 9 14" xfId="5877" xr:uid="{00000000-0005-0000-0000-0000F5160000}"/>
    <cellStyle name="Normal 10 2 10 9 2" xfId="5878" xr:uid="{00000000-0005-0000-0000-0000F6160000}"/>
    <cellStyle name="Normal 10 2 10 9 2 10" xfId="5879" xr:uid="{00000000-0005-0000-0000-0000F7160000}"/>
    <cellStyle name="Normal 10 2 10 9 2 2" xfId="5880" xr:uid="{00000000-0005-0000-0000-0000F8160000}"/>
    <cellStyle name="Normal 10 2 10 9 2 3" xfId="5881" xr:uid="{00000000-0005-0000-0000-0000F9160000}"/>
    <cellStyle name="Normal 10 2 10 9 2 4" xfId="5882" xr:uid="{00000000-0005-0000-0000-0000FA160000}"/>
    <cellStyle name="Normal 10 2 10 9 2 5" xfId="5883" xr:uid="{00000000-0005-0000-0000-0000FB160000}"/>
    <cellStyle name="Normal 10 2 10 9 2 6" xfId="5884" xr:uid="{00000000-0005-0000-0000-0000FC160000}"/>
    <cellStyle name="Normal 10 2 10 9 2 7" xfId="5885" xr:uid="{00000000-0005-0000-0000-0000FD160000}"/>
    <cellStyle name="Normal 10 2 10 9 2 8" xfId="5886" xr:uid="{00000000-0005-0000-0000-0000FE160000}"/>
    <cellStyle name="Normal 10 2 10 9 2 9" xfId="5887" xr:uid="{00000000-0005-0000-0000-0000FF160000}"/>
    <cellStyle name="Normal 10 2 10 9 3" xfId="5888" xr:uid="{00000000-0005-0000-0000-000000170000}"/>
    <cellStyle name="Normal 10 2 10 9 3 10" xfId="5889" xr:uid="{00000000-0005-0000-0000-000001170000}"/>
    <cellStyle name="Normal 10 2 10 9 3 2" xfId="5890" xr:uid="{00000000-0005-0000-0000-000002170000}"/>
    <cellStyle name="Normal 10 2 10 9 3 3" xfId="5891" xr:uid="{00000000-0005-0000-0000-000003170000}"/>
    <cellStyle name="Normal 10 2 10 9 3 4" xfId="5892" xr:uid="{00000000-0005-0000-0000-000004170000}"/>
    <cellStyle name="Normal 10 2 10 9 3 5" xfId="5893" xr:uid="{00000000-0005-0000-0000-000005170000}"/>
    <cellStyle name="Normal 10 2 10 9 3 6" xfId="5894" xr:uid="{00000000-0005-0000-0000-000006170000}"/>
    <cellStyle name="Normal 10 2 10 9 3 7" xfId="5895" xr:uid="{00000000-0005-0000-0000-000007170000}"/>
    <cellStyle name="Normal 10 2 10 9 3 8" xfId="5896" xr:uid="{00000000-0005-0000-0000-000008170000}"/>
    <cellStyle name="Normal 10 2 10 9 3 9" xfId="5897" xr:uid="{00000000-0005-0000-0000-000009170000}"/>
    <cellStyle name="Normal 10 2 10 9 4" xfId="5898" xr:uid="{00000000-0005-0000-0000-00000A170000}"/>
    <cellStyle name="Normal 10 2 10 9 4 10" xfId="5899" xr:uid="{00000000-0005-0000-0000-00000B170000}"/>
    <cellStyle name="Normal 10 2 10 9 4 2" xfId="5900" xr:uid="{00000000-0005-0000-0000-00000C170000}"/>
    <cellStyle name="Normal 10 2 10 9 4 3" xfId="5901" xr:uid="{00000000-0005-0000-0000-00000D170000}"/>
    <cellStyle name="Normal 10 2 10 9 4 4" xfId="5902" xr:uid="{00000000-0005-0000-0000-00000E170000}"/>
    <cellStyle name="Normal 10 2 10 9 4 5" xfId="5903" xr:uid="{00000000-0005-0000-0000-00000F170000}"/>
    <cellStyle name="Normal 10 2 10 9 4 6" xfId="5904" xr:uid="{00000000-0005-0000-0000-000010170000}"/>
    <cellStyle name="Normal 10 2 10 9 4 7" xfId="5905" xr:uid="{00000000-0005-0000-0000-000011170000}"/>
    <cellStyle name="Normal 10 2 10 9 4 8" xfId="5906" xr:uid="{00000000-0005-0000-0000-000012170000}"/>
    <cellStyle name="Normal 10 2 10 9 4 9" xfId="5907" xr:uid="{00000000-0005-0000-0000-000013170000}"/>
    <cellStyle name="Normal 10 2 10 9 5" xfId="5908" xr:uid="{00000000-0005-0000-0000-000014170000}"/>
    <cellStyle name="Normal 10 2 10 9 5 10" xfId="5909" xr:uid="{00000000-0005-0000-0000-000015170000}"/>
    <cellStyle name="Normal 10 2 10 9 5 2" xfId="5910" xr:uid="{00000000-0005-0000-0000-000016170000}"/>
    <cellStyle name="Normal 10 2 10 9 5 3" xfId="5911" xr:uid="{00000000-0005-0000-0000-000017170000}"/>
    <cellStyle name="Normal 10 2 10 9 5 4" xfId="5912" xr:uid="{00000000-0005-0000-0000-000018170000}"/>
    <cellStyle name="Normal 10 2 10 9 5 5" xfId="5913" xr:uid="{00000000-0005-0000-0000-000019170000}"/>
    <cellStyle name="Normal 10 2 10 9 5 6" xfId="5914" xr:uid="{00000000-0005-0000-0000-00001A170000}"/>
    <cellStyle name="Normal 10 2 10 9 5 7" xfId="5915" xr:uid="{00000000-0005-0000-0000-00001B170000}"/>
    <cellStyle name="Normal 10 2 10 9 5 8" xfId="5916" xr:uid="{00000000-0005-0000-0000-00001C170000}"/>
    <cellStyle name="Normal 10 2 10 9 5 9" xfId="5917" xr:uid="{00000000-0005-0000-0000-00001D170000}"/>
    <cellStyle name="Normal 10 2 10 9 6" xfId="5918" xr:uid="{00000000-0005-0000-0000-00001E170000}"/>
    <cellStyle name="Normal 10 2 10 9 7" xfId="5919" xr:uid="{00000000-0005-0000-0000-00001F170000}"/>
    <cellStyle name="Normal 10 2 10 9 8" xfId="5920" xr:uid="{00000000-0005-0000-0000-000020170000}"/>
    <cellStyle name="Normal 10 2 10 9 9" xfId="5921" xr:uid="{00000000-0005-0000-0000-000021170000}"/>
    <cellStyle name="Normal 10 2 11" xfId="5922" xr:uid="{00000000-0005-0000-0000-000022170000}"/>
    <cellStyle name="Normal 10 2 12" xfId="5923" xr:uid="{00000000-0005-0000-0000-000023170000}"/>
    <cellStyle name="Normal 10 2 13" xfId="5924" xr:uid="{00000000-0005-0000-0000-000024170000}"/>
    <cellStyle name="Normal 10 2 14" xfId="5925" xr:uid="{00000000-0005-0000-0000-000025170000}"/>
    <cellStyle name="Normal 10 2 15" xfId="5926" xr:uid="{00000000-0005-0000-0000-000026170000}"/>
    <cellStyle name="Normal 10 2 16" xfId="5927" xr:uid="{00000000-0005-0000-0000-000027170000}"/>
    <cellStyle name="Normal 10 2 17" xfId="5928" xr:uid="{00000000-0005-0000-0000-000028170000}"/>
    <cellStyle name="Normal 10 2 18" xfId="5929" xr:uid="{00000000-0005-0000-0000-000029170000}"/>
    <cellStyle name="Normal 10 2 19" xfId="5930" xr:uid="{00000000-0005-0000-0000-00002A170000}"/>
    <cellStyle name="Normal 10 2 2" xfId="5931" xr:uid="{00000000-0005-0000-0000-00002B170000}"/>
    <cellStyle name="Normal 10 2 2 2" xfId="5932" xr:uid="{00000000-0005-0000-0000-00002C170000}"/>
    <cellStyle name="Normal 10 2 2 2 2" xfId="5933" xr:uid="{00000000-0005-0000-0000-00002D170000}"/>
    <cellStyle name="Normal 10 2 20" xfId="5934" xr:uid="{00000000-0005-0000-0000-00002E170000}"/>
    <cellStyle name="Normal 10 2 21" xfId="5935" xr:uid="{00000000-0005-0000-0000-00002F170000}"/>
    <cellStyle name="Normal 10 2 22" xfId="5936" xr:uid="{00000000-0005-0000-0000-000030170000}"/>
    <cellStyle name="Normal 10 2 23" xfId="5937" xr:uid="{00000000-0005-0000-0000-000031170000}"/>
    <cellStyle name="Normal 10 2 24" xfId="5938" xr:uid="{00000000-0005-0000-0000-000032170000}"/>
    <cellStyle name="Normal 10 2 25" xfId="5939" xr:uid="{00000000-0005-0000-0000-000033170000}"/>
    <cellStyle name="Normal 10 2 26" xfId="5940" xr:uid="{00000000-0005-0000-0000-000034170000}"/>
    <cellStyle name="Normal 10 2 27" xfId="5941" xr:uid="{00000000-0005-0000-0000-000035170000}"/>
    <cellStyle name="Normal 10 2 28" xfId="5942" xr:uid="{00000000-0005-0000-0000-000036170000}"/>
    <cellStyle name="Normal 10 2 29" xfId="5943" xr:uid="{00000000-0005-0000-0000-000037170000}"/>
    <cellStyle name="Normal 10 2 3" xfId="5944" xr:uid="{00000000-0005-0000-0000-000038170000}"/>
    <cellStyle name="Normal 10 2 30" xfId="5945" xr:uid="{00000000-0005-0000-0000-000039170000}"/>
    <cellStyle name="Normal 10 2 31" xfId="5946" xr:uid="{00000000-0005-0000-0000-00003A170000}"/>
    <cellStyle name="Normal 10 2 32" xfId="5947" xr:uid="{00000000-0005-0000-0000-00003B170000}"/>
    <cellStyle name="Normal 10 2 33" xfId="5948" xr:uid="{00000000-0005-0000-0000-00003C170000}"/>
    <cellStyle name="Normal 10 2 34" xfId="5949" xr:uid="{00000000-0005-0000-0000-00003D170000}"/>
    <cellStyle name="Normal 10 2 35" xfId="5950" xr:uid="{00000000-0005-0000-0000-00003E170000}"/>
    <cellStyle name="Normal 10 2 36" xfId="5951" xr:uid="{00000000-0005-0000-0000-00003F170000}"/>
    <cellStyle name="Normal 10 2 37" xfId="5952" xr:uid="{00000000-0005-0000-0000-000040170000}"/>
    <cellStyle name="Normal 10 2 38" xfId="5953" xr:uid="{00000000-0005-0000-0000-000041170000}"/>
    <cellStyle name="Normal 10 2 39" xfId="5954" xr:uid="{00000000-0005-0000-0000-000042170000}"/>
    <cellStyle name="Normal 10 2 4" xfId="5955" xr:uid="{00000000-0005-0000-0000-000043170000}"/>
    <cellStyle name="Normal 10 2 40" xfId="5956" xr:uid="{00000000-0005-0000-0000-000044170000}"/>
    <cellStyle name="Normal 10 2 41" xfId="5957" xr:uid="{00000000-0005-0000-0000-000045170000}"/>
    <cellStyle name="Normal 10 2 42" xfId="5958" xr:uid="{00000000-0005-0000-0000-000046170000}"/>
    <cellStyle name="Normal 10 2 43" xfId="5959" xr:uid="{00000000-0005-0000-0000-000047170000}"/>
    <cellStyle name="Normal 10 2 44" xfId="5960" xr:uid="{00000000-0005-0000-0000-000048170000}"/>
    <cellStyle name="Normal 10 2 45" xfId="5961" xr:uid="{00000000-0005-0000-0000-000049170000}"/>
    <cellStyle name="Normal 10 2 46" xfId="5962" xr:uid="{00000000-0005-0000-0000-00004A170000}"/>
    <cellStyle name="Normal 10 2 47" xfId="5963" xr:uid="{00000000-0005-0000-0000-00004B170000}"/>
    <cellStyle name="Normal 10 2 48" xfId="5964" xr:uid="{00000000-0005-0000-0000-00004C170000}"/>
    <cellStyle name="Normal 10 2 49" xfId="5965" xr:uid="{00000000-0005-0000-0000-00004D170000}"/>
    <cellStyle name="Normal 10 2 5" xfId="5966" xr:uid="{00000000-0005-0000-0000-00004E170000}"/>
    <cellStyle name="Normal 10 2 50" xfId="5967" xr:uid="{00000000-0005-0000-0000-00004F170000}"/>
    <cellStyle name="Normal 10 2 51" xfId="5968" xr:uid="{00000000-0005-0000-0000-000050170000}"/>
    <cellStyle name="Normal 10 2 52" xfId="5969" xr:uid="{00000000-0005-0000-0000-000051170000}"/>
    <cellStyle name="Normal 10 2 53" xfId="5970" xr:uid="{00000000-0005-0000-0000-000052170000}"/>
    <cellStyle name="Normal 10 2 54" xfId="5971" xr:uid="{00000000-0005-0000-0000-000053170000}"/>
    <cellStyle name="Normal 10 2 55" xfId="5972" xr:uid="{00000000-0005-0000-0000-000054170000}"/>
    <cellStyle name="Normal 10 2 56" xfId="5973" xr:uid="{00000000-0005-0000-0000-000055170000}"/>
    <cellStyle name="Normal 10 2 57" xfId="5974" xr:uid="{00000000-0005-0000-0000-000056170000}"/>
    <cellStyle name="Normal 10 2 58" xfId="5975" xr:uid="{00000000-0005-0000-0000-000057170000}"/>
    <cellStyle name="Normal 10 2 59" xfId="5976" xr:uid="{00000000-0005-0000-0000-000058170000}"/>
    <cellStyle name="Normal 10 2 6" xfId="5977" xr:uid="{00000000-0005-0000-0000-000059170000}"/>
    <cellStyle name="Normal 10 2 60" xfId="5978" xr:uid="{00000000-0005-0000-0000-00005A170000}"/>
    <cellStyle name="Normal 10 2 61" xfId="5979" xr:uid="{00000000-0005-0000-0000-00005B170000}"/>
    <cellStyle name="Normal 10 2 62" xfId="5980" xr:uid="{00000000-0005-0000-0000-00005C170000}"/>
    <cellStyle name="Normal 10 2 63" xfId="5981" xr:uid="{00000000-0005-0000-0000-00005D170000}"/>
    <cellStyle name="Normal 10 2 64" xfId="5982" xr:uid="{00000000-0005-0000-0000-00005E170000}"/>
    <cellStyle name="Normal 10 2 65" xfId="5983" xr:uid="{00000000-0005-0000-0000-00005F170000}"/>
    <cellStyle name="Normal 10 2 66" xfId="5984" xr:uid="{00000000-0005-0000-0000-000060170000}"/>
    <cellStyle name="Normal 10 2 67" xfId="5985" xr:uid="{00000000-0005-0000-0000-000061170000}"/>
    <cellStyle name="Normal 10 2 68" xfId="5986" xr:uid="{00000000-0005-0000-0000-000062170000}"/>
    <cellStyle name="Normal 10 2 69" xfId="5987" xr:uid="{00000000-0005-0000-0000-000063170000}"/>
    <cellStyle name="Normal 10 2 7" xfId="5988" xr:uid="{00000000-0005-0000-0000-000064170000}"/>
    <cellStyle name="Normal 10 2 70" xfId="5989" xr:uid="{00000000-0005-0000-0000-000065170000}"/>
    <cellStyle name="Normal 10 2 71" xfId="5990" xr:uid="{00000000-0005-0000-0000-000066170000}"/>
    <cellStyle name="Normal 10 2 72" xfId="5991" xr:uid="{00000000-0005-0000-0000-000067170000}"/>
    <cellStyle name="Normal 10 2 73" xfId="5992" xr:uid="{00000000-0005-0000-0000-000068170000}"/>
    <cellStyle name="Normal 10 2 74" xfId="5993" xr:uid="{00000000-0005-0000-0000-000069170000}"/>
    <cellStyle name="Normal 10 2 75" xfId="5994" xr:uid="{00000000-0005-0000-0000-00006A170000}"/>
    <cellStyle name="Normal 10 2 76" xfId="5995" xr:uid="{00000000-0005-0000-0000-00006B170000}"/>
    <cellStyle name="Normal 10 2 77" xfId="5996" xr:uid="{00000000-0005-0000-0000-00006C170000}"/>
    <cellStyle name="Normal 10 2 78" xfId="5997" xr:uid="{00000000-0005-0000-0000-00006D170000}"/>
    <cellStyle name="Normal 10 2 79" xfId="5998" xr:uid="{00000000-0005-0000-0000-00006E170000}"/>
    <cellStyle name="Normal 10 2 8" xfId="5999" xr:uid="{00000000-0005-0000-0000-00006F170000}"/>
    <cellStyle name="Normal 10 2 9" xfId="6000" xr:uid="{00000000-0005-0000-0000-000070170000}"/>
    <cellStyle name="Normal 10 2_Enlaces" xfId="6001" xr:uid="{00000000-0005-0000-0000-000071170000}"/>
    <cellStyle name="Normal 10 20" xfId="6002" xr:uid="{00000000-0005-0000-0000-000072170000}"/>
    <cellStyle name="Normal 10 21" xfId="6003" xr:uid="{00000000-0005-0000-0000-000073170000}"/>
    <cellStyle name="Normal 10 22" xfId="6004" xr:uid="{00000000-0005-0000-0000-000074170000}"/>
    <cellStyle name="Normal 10 23" xfId="6005" xr:uid="{00000000-0005-0000-0000-000075170000}"/>
    <cellStyle name="Normal 10 24" xfId="6006" xr:uid="{00000000-0005-0000-0000-000076170000}"/>
    <cellStyle name="Normal 10 25" xfId="6007" xr:uid="{00000000-0005-0000-0000-000077170000}"/>
    <cellStyle name="Normal 10 26" xfId="6008" xr:uid="{00000000-0005-0000-0000-000078170000}"/>
    <cellStyle name="Normal 10 27" xfId="6009" xr:uid="{00000000-0005-0000-0000-000079170000}"/>
    <cellStyle name="Normal 10 28" xfId="6010" xr:uid="{00000000-0005-0000-0000-00007A170000}"/>
    <cellStyle name="Normal 10 29" xfId="6011" xr:uid="{00000000-0005-0000-0000-00007B170000}"/>
    <cellStyle name="Normal 10 3" xfId="6012" xr:uid="{00000000-0005-0000-0000-00007C170000}"/>
    <cellStyle name="Normal 10 3 2" xfId="6013" xr:uid="{00000000-0005-0000-0000-00007D170000}"/>
    <cellStyle name="Normal 10 3 3" xfId="6014" xr:uid="{00000000-0005-0000-0000-00007E170000}"/>
    <cellStyle name="Normal 10 3 4" xfId="6015" xr:uid="{00000000-0005-0000-0000-00007F170000}"/>
    <cellStyle name="Normal 10 3 4 2" xfId="6016" xr:uid="{00000000-0005-0000-0000-000080170000}"/>
    <cellStyle name="Normal 10 3 4 2 2" xfId="6017" xr:uid="{00000000-0005-0000-0000-000081170000}"/>
    <cellStyle name="Normal 10 3 4 3" xfId="6018" xr:uid="{00000000-0005-0000-0000-000082170000}"/>
    <cellStyle name="Normal 10 3 5" xfId="6019" xr:uid="{00000000-0005-0000-0000-000083170000}"/>
    <cellStyle name="Normal 10 3 6" xfId="6020" xr:uid="{00000000-0005-0000-0000-000084170000}"/>
    <cellStyle name="Normal 10 3 7" xfId="6021" xr:uid="{00000000-0005-0000-0000-000085170000}"/>
    <cellStyle name="Normal 10 3 7 2" xfId="6022" xr:uid="{00000000-0005-0000-0000-000086170000}"/>
    <cellStyle name="Normal 10 3 8" xfId="6023" xr:uid="{00000000-0005-0000-0000-000087170000}"/>
    <cellStyle name="Normal 10 3 9" xfId="6024" xr:uid="{00000000-0005-0000-0000-000088170000}"/>
    <cellStyle name="Normal 10 3_Implem" xfId="6025" xr:uid="{00000000-0005-0000-0000-000089170000}"/>
    <cellStyle name="Normal 10 30" xfId="6026" xr:uid="{00000000-0005-0000-0000-00008A170000}"/>
    <cellStyle name="Normal 10 31" xfId="6027" xr:uid="{00000000-0005-0000-0000-00008B170000}"/>
    <cellStyle name="Normal 10 32" xfId="2606" xr:uid="{00000000-0005-0000-0000-00002E0A0000}"/>
    <cellStyle name="Normal 10 4" xfId="6028" xr:uid="{00000000-0005-0000-0000-00008C170000}"/>
    <cellStyle name="Normal 10 5" xfId="6029" xr:uid="{00000000-0005-0000-0000-00008D170000}"/>
    <cellStyle name="Normal 10 6" xfId="6030" xr:uid="{00000000-0005-0000-0000-00008E170000}"/>
    <cellStyle name="Normal 10 7" xfId="6031" xr:uid="{00000000-0005-0000-0000-00008F170000}"/>
    <cellStyle name="Normal 10 8" xfId="6032" xr:uid="{00000000-0005-0000-0000-000090170000}"/>
    <cellStyle name="Normal 10 9" xfId="6033" xr:uid="{00000000-0005-0000-0000-000091170000}"/>
    <cellStyle name="Normal 100" xfId="6034" xr:uid="{00000000-0005-0000-0000-000092170000}"/>
    <cellStyle name="Normal 100 2" xfId="6035" xr:uid="{00000000-0005-0000-0000-000093170000}"/>
    <cellStyle name="Normal 100 3" xfId="6036" xr:uid="{00000000-0005-0000-0000-000094170000}"/>
    <cellStyle name="Normal 101" xfId="6037" xr:uid="{00000000-0005-0000-0000-000095170000}"/>
    <cellStyle name="Normal 101 2" xfId="6038" xr:uid="{00000000-0005-0000-0000-000096170000}"/>
    <cellStyle name="Normal 101 3" xfId="6039" xr:uid="{00000000-0005-0000-0000-000097170000}"/>
    <cellStyle name="Normal 102" xfId="6040" xr:uid="{00000000-0005-0000-0000-000098170000}"/>
    <cellStyle name="Normal 102 2" xfId="6041" xr:uid="{00000000-0005-0000-0000-000099170000}"/>
    <cellStyle name="Normal 102 3" xfId="6042" xr:uid="{00000000-0005-0000-0000-00009A170000}"/>
    <cellStyle name="Normal 103" xfId="6043" xr:uid="{00000000-0005-0000-0000-00009B170000}"/>
    <cellStyle name="Normal 103 2" xfId="6044" xr:uid="{00000000-0005-0000-0000-00009C170000}"/>
    <cellStyle name="Normal 104" xfId="6045" xr:uid="{00000000-0005-0000-0000-00009D170000}"/>
    <cellStyle name="Normal 104 2" xfId="6046" xr:uid="{00000000-0005-0000-0000-00009E170000}"/>
    <cellStyle name="Normal 105" xfId="6047" xr:uid="{00000000-0005-0000-0000-00009F170000}"/>
    <cellStyle name="Normal 105 2" xfId="6048" xr:uid="{00000000-0005-0000-0000-0000A0170000}"/>
    <cellStyle name="Normal 106" xfId="6049" xr:uid="{00000000-0005-0000-0000-0000A1170000}"/>
    <cellStyle name="Normal 106 2" xfId="6050" xr:uid="{00000000-0005-0000-0000-0000A2170000}"/>
    <cellStyle name="Normal 107" xfId="6051" xr:uid="{00000000-0005-0000-0000-0000A3170000}"/>
    <cellStyle name="Normal 107 2" xfId="6052" xr:uid="{00000000-0005-0000-0000-0000A4170000}"/>
    <cellStyle name="Normal 108" xfId="6053" xr:uid="{00000000-0005-0000-0000-0000A5170000}"/>
    <cellStyle name="Normal 108 2" xfId="6054" xr:uid="{00000000-0005-0000-0000-0000A6170000}"/>
    <cellStyle name="Normal 109" xfId="6055" xr:uid="{00000000-0005-0000-0000-0000A7170000}"/>
    <cellStyle name="Normal 109 2" xfId="6056" xr:uid="{00000000-0005-0000-0000-0000A8170000}"/>
    <cellStyle name="Normal 11" xfId="407" xr:uid="{00000000-0005-0000-0000-000097010000}"/>
    <cellStyle name="Normal 11 10" xfId="6058" xr:uid="{00000000-0005-0000-0000-0000AA170000}"/>
    <cellStyle name="Normal 11 11" xfId="6059" xr:uid="{00000000-0005-0000-0000-0000AB170000}"/>
    <cellStyle name="Normal 11 12" xfId="6060" xr:uid="{00000000-0005-0000-0000-0000AC170000}"/>
    <cellStyle name="Normal 11 13" xfId="6061" xr:uid="{00000000-0005-0000-0000-0000AD170000}"/>
    <cellStyle name="Normal 11 14" xfId="6062" xr:uid="{00000000-0005-0000-0000-0000AE170000}"/>
    <cellStyle name="Normal 11 15" xfId="6063" xr:uid="{00000000-0005-0000-0000-0000AF170000}"/>
    <cellStyle name="Normal 11 16" xfId="6064" xr:uid="{00000000-0005-0000-0000-0000B0170000}"/>
    <cellStyle name="Normal 11 17" xfId="6065" xr:uid="{00000000-0005-0000-0000-0000B1170000}"/>
    <cellStyle name="Normal 11 18" xfId="6066" xr:uid="{00000000-0005-0000-0000-0000B2170000}"/>
    <cellStyle name="Normal 11 19" xfId="6067" xr:uid="{00000000-0005-0000-0000-0000B3170000}"/>
    <cellStyle name="Normal 11 2" xfId="6068" xr:uid="{00000000-0005-0000-0000-0000B4170000}"/>
    <cellStyle name="Normal 11 2 2" xfId="6069" xr:uid="{00000000-0005-0000-0000-0000B5170000}"/>
    <cellStyle name="Normal 11 2 3" xfId="6070" xr:uid="{00000000-0005-0000-0000-0000B6170000}"/>
    <cellStyle name="Normal 11 20" xfId="6071" xr:uid="{00000000-0005-0000-0000-0000B7170000}"/>
    <cellStyle name="Normal 11 21" xfId="6072" xr:uid="{00000000-0005-0000-0000-0000B8170000}"/>
    <cellStyle name="Normal 11 22" xfId="6073" xr:uid="{00000000-0005-0000-0000-0000B9170000}"/>
    <cellStyle name="Normal 11 23" xfId="6074" xr:uid="{00000000-0005-0000-0000-0000BA170000}"/>
    <cellStyle name="Normal 11 24" xfId="6075" xr:uid="{00000000-0005-0000-0000-0000BB170000}"/>
    <cellStyle name="Normal 11 25" xfId="6076" xr:uid="{00000000-0005-0000-0000-0000BC170000}"/>
    <cellStyle name="Normal 11 26" xfId="6057" xr:uid="{00000000-0005-0000-0000-0000A9170000}"/>
    <cellStyle name="Normal 11 3" xfId="6077" xr:uid="{00000000-0005-0000-0000-0000BD170000}"/>
    <cellStyle name="Normal 11 3 2" xfId="6078" xr:uid="{00000000-0005-0000-0000-0000BE170000}"/>
    <cellStyle name="Normal 11 3 3" xfId="6079" xr:uid="{00000000-0005-0000-0000-0000BF170000}"/>
    <cellStyle name="Normal 11 4" xfId="6080" xr:uid="{00000000-0005-0000-0000-0000C0170000}"/>
    <cellStyle name="Normal 11 5" xfId="6081" xr:uid="{00000000-0005-0000-0000-0000C1170000}"/>
    <cellStyle name="Normal 11 6" xfId="6082" xr:uid="{00000000-0005-0000-0000-0000C2170000}"/>
    <cellStyle name="Normal 11 7" xfId="6083" xr:uid="{00000000-0005-0000-0000-0000C3170000}"/>
    <cellStyle name="Normal 11 8" xfId="6084" xr:uid="{00000000-0005-0000-0000-0000C4170000}"/>
    <cellStyle name="Normal 11 9" xfId="6085" xr:uid="{00000000-0005-0000-0000-0000C5170000}"/>
    <cellStyle name="Normal 110" xfId="6086" xr:uid="{00000000-0005-0000-0000-0000C6170000}"/>
    <cellStyle name="Normal 110 2" xfId="6087" xr:uid="{00000000-0005-0000-0000-0000C7170000}"/>
    <cellStyle name="Normal 111" xfId="6088" xr:uid="{00000000-0005-0000-0000-0000C8170000}"/>
    <cellStyle name="Normal 111 2" xfId="6089" xr:uid="{00000000-0005-0000-0000-0000C9170000}"/>
    <cellStyle name="Normal 112" xfId="6090" xr:uid="{00000000-0005-0000-0000-0000CA170000}"/>
    <cellStyle name="Normal 112 2" xfId="6091" xr:uid="{00000000-0005-0000-0000-0000CB170000}"/>
    <cellStyle name="Normal 113" xfId="6092" xr:uid="{00000000-0005-0000-0000-0000CC170000}"/>
    <cellStyle name="Normal 113 2" xfId="6093" xr:uid="{00000000-0005-0000-0000-0000CD170000}"/>
    <cellStyle name="Normal 114" xfId="6094" xr:uid="{00000000-0005-0000-0000-0000CE170000}"/>
    <cellStyle name="Normal 114 2" xfId="6095" xr:uid="{00000000-0005-0000-0000-0000CF170000}"/>
    <cellStyle name="Normal 115" xfId="6096" xr:uid="{00000000-0005-0000-0000-0000D0170000}"/>
    <cellStyle name="Normal 115 2" xfId="6097" xr:uid="{00000000-0005-0000-0000-0000D1170000}"/>
    <cellStyle name="Normal 116" xfId="6098" xr:uid="{00000000-0005-0000-0000-0000D2170000}"/>
    <cellStyle name="Normal 116 2" xfId="6099" xr:uid="{00000000-0005-0000-0000-0000D3170000}"/>
    <cellStyle name="Normal 117" xfId="6100" xr:uid="{00000000-0005-0000-0000-0000D4170000}"/>
    <cellStyle name="Normal 117 2" xfId="6101" xr:uid="{00000000-0005-0000-0000-0000D5170000}"/>
    <cellStyle name="Normal 118" xfId="6102" xr:uid="{00000000-0005-0000-0000-0000D6170000}"/>
    <cellStyle name="Normal 118 2" xfId="6103" xr:uid="{00000000-0005-0000-0000-0000D7170000}"/>
    <cellStyle name="Normal 119" xfId="6104" xr:uid="{00000000-0005-0000-0000-0000D8170000}"/>
    <cellStyle name="Normal 119 2" xfId="6105" xr:uid="{00000000-0005-0000-0000-0000D9170000}"/>
    <cellStyle name="Normal 12" xfId="6106" xr:uid="{00000000-0005-0000-0000-0000DA170000}"/>
    <cellStyle name="Normal 12 10" xfId="6107" xr:uid="{00000000-0005-0000-0000-0000DB170000}"/>
    <cellStyle name="Normal 12 11" xfId="6108" xr:uid="{00000000-0005-0000-0000-0000DC170000}"/>
    <cellStyle name="Normal 12 12" xfId="6109" xr:uid="{00000000-0005-0000-0000-0000DD170000}"/>
    <cellStyle name="Normal 12 13" xfId="6110" xr:uid="{00000000-0005-0000-0000-0000DE170000}"/>
    <cellStyle name="Normal 12 14" xfId="6111" xr:uid="{00000000-0005-0000-0000-0000DF170000}"/>
    <cellStyle name="Normal 12 15" xfId="6112" xr:uid="{00000000-0005-0000-0000-0000E0170000}"/>
    <cellStyle name="Normal 12 16" xfId="6113" xr:uid="{00000000-0005-0000-0000-0000E1170000}"/>
    <cellStyle name="Normal 12 17" xfId="6114" xr:uid="{00000000-0005-0000-0000-0000E2170000}"/>
    <cellStyle name="Normal 12 18" xfId="6115" xr:uid="{00000000-0005-0000-0000-0000E3170000}"/>
    <cellStyle name="Normal 12 19" xfId="6116" xr:uid="{00000000-0005-0000-0000-0000E4170000}"/>
    <cellStyle name="Normal 12 2" xfId="6117" xr:uid="{00000000-0005-0000-0000-0000E5170000}"/>
    <cellStyle name="Normal 12 2 2" xfId="6118" xr:uid="{00000000-0005-0000-0000-0000E6170000}"/>
    <cellStyle name="Normal 12 2 3" xfId="6119" xr:uid="{00000000-0005-0000-0000-0000E7170000}"/>
    <cellStyle name="Normal 12 20" xfId="6120" xr:uid="{00000000-0005-0000-0000-0000E8170000}"/>
    <cellStyle name="Normal 12 21" xfId="6121" xr:uid="{00000000-0005-0000-0000-0000E9170000}"/>
    <cellStyle name="Normal 12 22" xfId="6122" xr:uid="{00000000-0005-0000-0000-0000EA170000}"/>
    <cellStyle name="Normal 12 23" xfId="6123" xr:uid="{00000000-0005-0000-0000-0000EB170000}"/>
    <cellStyle name="Normal 12 24" xfId="6124" xr:uid="{00000000-0005-0000-0000-0000EC170000}"/>
    <cellStyle name="Normal 12 25" xfId="6125" xr:uid="{00000000-0005-0000-0000-0000ED170000}"/>
    <cellStyle name="Normal 12 3" xfId="6126" xr:uid="{00000000-0005-0000-0000-0000EE170000}"/>
    <cellStyle name="Normal 12 3 2" xfId="6127" xr:uid="{00000000-0005-0000-0000-0000EF170000}"/>
    <cellStyle name="Normal 12 3 3" xfId="6128" xr:uid="{00000000-0005-0000-0000-0000F0170000}"/>
    <cellStyle name="Normal 12 4" xfId="6129" xr:uid="{00000000-0005-0000-0000-0000F1170000}"/>
    <cellStyle name="Normal 12 5" xfId="6130" xr:uid="{00000000-0005-0000-0000-0000F2170000}"/>
    <cellStyle name="Normal 12 6" xfId="6131" xr:uid="{00000000-0005-0000-0000-0000F3170000}"/>
    <cellStyle name="Normal 12 7" xfId="6132" xr:uid="{00000000-0005-0000-0000-0000F4170000}"/>
    <cellStyle name="Normal 12 8" xfId="6133" xr:uid="{00000000-0005-0000-0000-0000F5170000}"/>
    <cellStyle name="Normal 12 9" xfId="6134" xr:uid="{00000000-0005-0000-0000-0000F6170000}"/>
    <cellStyle name="Normal 120" xfId="6135" xr:uid="{00000000-0005-0000-0000-0000F7170000}"/>
    <cellStyle name="Normal 120 2" xfId="6136" xr:uid="{00000000-0005-0000-0000-0000F8170000}"/>
    <cellStyle name="Normal 121" xfId="6137" xr:uid="{00000000-0005-0000-0000-0000F9170000}"/>
    <cellStyle name="Normal 121 2" xfId="6138" xr:uid="{00000000-0005-0000-0000-0000FA170000}"/>
    <cellStyle name="Normal 122" xfId="6139" xr:uid="{00000000-0005-0000-0000-0000FB170000}"/>
    <cellStyle name="Normal 122 2" xfId="6140" xr:uid="{00000000-0005-0000-0000-0000FC170000}"/>
    <cellStyle name="Normal 123" xfId="6141" xr:uid="{00000000-0005-0000-0000-0000FD170000}"/>
    <cellStyle name="Normal 123 2" xfId="6142" xr:uid="{00000000-0005-0000-0000-0000FE170000}"/>
    <cellStyle name="Normal 124" xfId="6143" xr:uid="{00000000-0005-0000-0000-0000FF170000}"/>
    <cellStyle name="Normal 124 2" xfId="6144" xr:uid="{00000000-0005-0000-0000-000000180000}"/>
    <cellStyle name="Normal 125" xfId="6145" xr:uid="{00000000-0005-0000-0000-000001180000}"/>
    <cellStyle name="Normal 125 2" xfId="6146" xr:uid="{00000000-0005-0000-0000-000002180000}"/>
    <cellStyle name="Normal 126" xfId="6147" xr:uid="{00000000-0005-0000-0000-000003180000}"/>
    <cellStyle name="Normal 126 2" xfId="6148" xr:uid="{00000000-0005-0000-0000-000004180000}"/>
    <cellStyle name="Normal 127" xfId="6149" xr:uid="{00000000-0005-0000-0000-000005180000}"/>
    <cellStyle name="Normal 127 2" xfId="6150" xr:uid="{00000000-0005-0000-0000-000006180000}"/>
    <cellStyle name="Normal 128" xfId="6151" xr:uid="{00000000-0005-0000-0000-000007180000}"/>
    <cellStyle name="Normal 128 2" xfId="6152" xr:uid="{00000000-0005-0000-0000-000008180000}"/>
    <cellStyle name="Normal 129" xfId="6153" xr:uid="{00000000-0005-0000-0000-000009180000}"/>
    <cellStyle name="Normal 129 2" xfId="6154" xr:uid="{00000000-0005-0000-0000-00000A180000}"/>
    <cellStyle name="Normal 13" xfId="6155" xr:uid="{00000000-0005-0000-0000-00000B180000}"/>
    <cellStyle name="Normal 13 10" xfId="6156" xr:uid="{00000000-0005-0000-0000-00000C180000}"/>
    <cellStyle name="Normal 13 11" xfId="6157" xr:uid="{00000000-0005-0000-0000-00000D180000}"/>
    <cellStyle name="Normal 13 12" xfId="6158" xr:uid="{00000000-0005-0000-0000-00000E180000}"/>
    <cellStyle name="Normal 13 13" xfId="6159" xr:uid="{00000000-0005-0000-0000-00000F180000}"/>
    <cellStyle name="Normal 13 14" xfId="6160" xr:uid="{00000000-0005-0000-0000-000010180000}"/>
    <cellStyle name="Normal 13 15" xfId="6161" xr:uid="{00000000-0005-0000-0000-000011180000}"/>
    <cellStyle name="Normal 13 16" xfId="6162" xr:uid="{00000000-0005-0000-0000-000012180000}"/>
    <cellStyle name="Normal 13 17" xfId="6163" xr:uid="{00000000-0005-0000-0000-000013180000}"/>
    <cellStyle name="Normal 13 18" xfId="6164" xr:uid="{00000000-0005-0000-0000-000014180000}"/>
    <cellStyle name="Normal 13 19" xfId="6165" xr:uid="{00000000-0005-0000-0000-000015180000}"/>
    <cellStyle name="Normal 13 2" xfId="6166" xr:uid="{00000000-0005-0000-0000-000016180000}"/>
    <cellStyle name="Normal 13 2 2" xfId="6167" xr:uid="{00000000-0005-0000-0000-000017180000}"/>
    <cellStyle name="Normal 13 2 3" xfId="6168" xr:uid="{00000000-0005-0000-0000-000018180000}"/>
    <cellStyle name="Normal 13 20" xfId="6169" xr:uid="{00000000-0005-0000-0000-000019180000}"/>
    <cellStyle name="Normal 13 21" xfId="6170" xr:uid="{00000000-0005-0000-0000-00001A180000}"/>
    <cellStyle name="Normal 13 22" xfId="6171" xr:uid="{00000000-0005-0000-0000-00001B180000}"/>
    <cellStyle name="Normal 13 23" xfId="6172" xr:uid="{00000000-0005-0000-0000-00001C180000}"/>
    <cellStyle name="Normal 13 24" xfId="6173" xr:uid="{00000000-0005-0000-0000-00001D180000}"/>
    <cellStyle name="Normal 13 25" xfId="6174" xr:uid="{00000000-0005-0000-0000-00001E180000}"/>
    <cellStyle name="Normal 13 26" xfId="6175" xr:uid="{00000000-0005-0000-0000-00001F180000}"/>
    <cellStyle name="Normal 13 3" xfId="6176" xr:uid="{00000000-0005-0000-0000-000020180000}"/>
    <cellStyle name="Normal 13 3 2" xfId="6177" xr:uid="{00000000-0005-0000-0000-000021180000}"/>
    <cellStyle name="Normal 13 3 3" xfId="6178" xr:uid="{00000000-0005-0000-0000-000022180000}"/>
    <cellStyle name="Normal 13 4" xfId="6179" xr:uid="{00000000-0005-0000-0000-000023180000}"/>
    <cellStyle name="Normal 13 5" xfId="6180" xr:uid="{00000000-0005-0000-0000-000024180000}"/>
    <cellStyle name="Normal 13 6" xfId="6181" xr:uid="{00000000-0005-0000-0000-000025180000}"/>
    <cellStyle name="Normal 13 7" xfId="6182" xr:uid="{00000000-0005-0000-0000-000026180000}"/>
    <cellStyle name="Normal 13 8" xfId="6183" xr:uid="{00000000-0005-0000-0000-000027180000}"/>
    <cellStyle name="Normal 13 9" xfId="6184" xr:uid="{00000000-0005-0000-0000-000028180000}"/>
    <cellStyle name="Normal 130" xfId="6185" xr:uid="{00000000-0005-0000-0000-000029180000}"/>
    <cellStyle name="Normal 130 2" xfId="6186" xr:uid="{00000000-0005-0000-0000-00002A180000}"/>
    <cellStyle name="Normal 131" xfId="6187" xr:uid="{00000000-0005-0000-0000-00002B180000}"/>
    <cellStyle name="Normal 131 2" xfId="6188" xr:uid="{00000000-0005-0000-0000-00002C180000}"/>
    <cellStyle name="Normal 132" xfId="6189" xr:uid="{00000000-0005-0000-0000-00002D180000}"/>
    <cellStyle name="Normal 132 2" xfId="6190" xr:uid="{00000000-0005-0000-0000-00002E180000}"/>
    <cellStyle name="Normal 133" xfId="6191" xr:uid="{00000000-0005-0000-0000-00002F180000}"/>
    <cellStyle name="Normal 133 2" xfId="6192" xr:uid="{00000000-0005-0000-0000-000030180000}"/>
    <cellStyle name="Normal 134" xfId="6193" xr:uid="{00000000-0005-0000-0000-000031180000}"/>
    <cellStyle name="Normal 134 2" xfId="6194" xr:uid="{00000000-0005-0000-0000-000032180000}"/>
    <cellStyle name="Normal 135" xfId="6195" xr:uid="{00000000-0005-0000-0000-000033180000}"/>
    <cellStyle name="Normal 135 2" xfId="6196" xr:uid="{00000000-0005-0000-0000-000034180000}"/>
    <cellStyle name="Normal 136" xfId="6197" xr:uid="{00000000-0005-0000-0000-000035180000}"/>
    <cellStyle name="Normal 136 2" xfId="6198" xr:uid="{00000000-0005-0000-0000-000036180000}"/>
    <cellStyle name="Normal 137" xfId="6199" xr:uid="{00000000-0005-0000-0000-000037180000}"/>
    <cellStyle name="Normal 137 2" xfId="6200" xr:uid="{00000000-0005-0000-0000-000038180000}"/>
    <cellStyle name="Normal 138" xfId="6201" xr:uid="{00000000-0005-0000-0000-000039180000}"/>
    <cellStyle name="Normal 138 2" xfId="6202" xr:uid="{00000000-0005-0000-0000-00003A180000}"/>
    <cellStyle name="Normal 139" xfId="6203" xr:uid="{00000000-0005-0000-0000-00003B180000}"/>
    <cellStyle name="Normal 139 2" xfId="6204" xr:uid="{00000000-0005-0000-0000-00003C180000}"/>
    <cellStyle name="Normal 14" xfId="408" xr:uid="{00000000-0005-0000-0000-000098010000}"/>
    <cellStyle name="Normal 14 2" xfId="6206" xr:uid="{00000000-0005-0000-0000-00003E180000}"/>
    <cellStyle name="Normal 14 3" xfId="6207" xr:uid="{00000000-0005-0000-0000-00003F180000}"/>
    <cellStyle name="Normal 14 3 2" xfId="6208" xr:uid="{00000000-0005-0000-0000-000040180000}"/>
    <cellStyle name="Normal 14 4" xfId="6209" xr:uid="{00000000-0005-0000-0000-000041180000}"/>
    <cellStyle name="Normal 14 5" xfId="6210" xr:uid="{00000000-0005-0000-0000-000042180000}"/>
    <cellStyle name="Normal 14 6" xfId="6205" xr:uid="{00000000-0005-0000-0000-00003D180000}"/>
    <cellStyle name="Normal 140" xfId="6211" xr:uid="{00000000-0005-0000-0000-000043180000}"/>
    <cellStyle name="Normal 140 2" xfId="6212" xr:uid="{00000000-0005-0000-0000-000044180000}"/>
    <cellStyle name="Normal 141" xfId="6213" xr:uid="{00000000-0005-0000-0000-000045180000}"/>
    <cellStyle name="Normal 141 2" xfId="6214" xr:uid="{00000000-0005-0000-0000-000046180000}"/>
    <cellStyle name="Normal 142" xfId="6215" xr:uid="{00000000-0005-0000-0000-000047180000}"/>
    <cellStyle name="Normal 142 2" xfId="6216" xr:uid="{00000000-0005-0000-0000-000048180000}"/>
    <cellStyle name="Normal 143" xfId="6217" xr:uid="{00000000-0005-0000-0000-000049180000}"/>
    <cellStyle name="Normal 143 2" xfId="6218" xr:uid="{00000000-0005-0000-0000-00004A180000}"/>
    <cellStyle name="Normal 144" xfId="6219" xr:uid="{00000000-0005-0000-0000-00004B180000}"/>
    <cellStyle name="Normal 144 2" xfId="6220" xr:uid="{00000000-0005-0000-0000-00004C180000}"/>
    <cellStyle name="Normal 145" xfId="6221" xr:uid="{00000000-0005-0000-0000-00004D180000}"/>
    <cellStyle name="Normal 145 2" xfId="6222" xr:uid="{00000000-0005-0000-0000-00004E180000}"/>
    <cellStyle name="Normal 146" xfId="6223" xr:uid="{00000000-0005-0000-0000-00004F180000}"/>
    <cellStyle name="Normal 146 2" xfId="6224" xr:uid="{00000000-0005-0000-0000-000050180000}"/>
    <cellStyle name="Normal 147" xfId="6225" xr:uid="{00000000-0005-0000-0000-000051180000}"/>
    <cellStyle name="Normal 147 2" xfId="6226" xr:uid="{00000000-0005-0000-0000-000052180000}"/>
    <cellStyle name="Normal 148" xfId="6227" xr:uid="{00000000-0005-0000-0000-000053180000}"/>
    <cellStyle name="Normal 148 2" xfId="6228" xr:uid="{00000000-0005-0000-0000-000054180000}"/>
    <cellStyle name="Normal 149" xfId="6229" xr:uid="{00000000-0005-0000-0000-000055180000}"/>
    <cellStyle name="Normal 149 2" xfId="6230" xr:uid="{00000000-0005-0000-0000-000056180000}"/>
    <cellStyle name="Normal 15" xfId="6231" xr:uid="{00000000-0005-0000-0000-000057180000}"/>
    <cellStyle name="Normal 15 10" xfId="6232" xr:uid="{00000000-0005-0000-0000-000058180000}"/>
    <cellStyle name="Normal 15 11" xfId="6233" xr:uid="{00000000-0005-0000-0000-000059180000}"/>
    <cellStyle name="Normal 15 12" xfId="6234" xr:uid="{00000000-0005-0000-0000-00005A180000}"/>
    <cellStyle name="Normal 15 13" xfId="6235" xr:uid="{00000000-0005-0000-0000-00005B180000}"/>
    <cellStyle name="Normal 15 14" xfId="6236" xr:uid="{00000000-0005-0000-0000-00005C180000}"/>
    <cellStyle name="Normal 15 15" xfId="6237" xr:uid="{00000000-0005-0000-0000-00005D180000}"/>
    <cellStyle name="Normal 15 16" xfId="6238" xr:uid="{00000000-0005-0000-0000-00005E180000}"/>
    <cellStyle name="Normal 15 17" xfId="6239" xr:uid="{00000000-0005-0000-0000-00005F180000}"/>
    <cellStyle name="Normal 15 18" xfId="6240" xr:uid="{00000000-0005-0000-0000-000060180000}"/>
    <cellStyle name="Normal 15 19" xfId="6241" xr:uid="{00000000-0005-0000-0000-000061180000}"/>
    <cellStyle name="Normal 15 2" xfId="6242" xr:uid="{00000000-0005-0000-0000-000062180000}"/>
    <cellStyle name="Normal 15 2 2" xfId="6243" xr:uid="{00000000-0005-0000-0000-000063180000}"/>
    <cellStyle name="Normal 15 2 3" xfId="6244" xr:uid="{00000000-0005-0000-0000-000064180000}"/>
    <cellStyle name="Normal 15 20" xfId="6245" xr:uid="{00000000-0005-0000-0000-000065180000}"/>
    <cellStyle name="Normal 15 21" xfId="6246" xr:uid="{00000000-0005-0000-0000-000066180000}"/>
    <cellStyle name="Normal 15 22" xfId="6247" xr:uid="{00000000-0005-0000-0000-000067180000}"/>
    <cellStyle name="Normal 15 23" xfId="6248" xr:uid="{00000000-0005-0000-0000-000068180000}"/>
    <cellStyle name="Normal 15 24" xfId="6249" xr:uid="{00000000-0005-0000-0000-000069180000}"/>
    <cellStyle name="Normal 15 25" xfId="6250" xr:uid="{00000000-0005-0000-0000-00006A180000}"/>
    <cellStyle name="Normal 15 3" xfId="6251" xr:uid="{00000000-0005-0000-0000-00006B180000}"/>
    <cellStyle name="Normal 15 3 2" xfId="6252" xr:uid="{00000000-0005-0000-0000-00006C180000}"/>
    <cellStyle name="Normal 15 3 3" xfId="6253" xr:uid="{00000000-0005-0000-0000-00006D180000}"/>
    <cellStyle name="Normal 15 4" xfId="6254" xr:uid="{00000000-0005-0000-0000-00006E180000}"/>
    <cellStyle name="Normal 15 5" xfId="6255" xr:uid="{00000000-0005-0000-0000-00006F180000}"/>
    <cellStyle name="Normal 15 6" xfId="6256" xr:uid="{00000000-0005-0000-0000-000070180000}"/>
    <cellStyle name="Normal 15 7" xfId="6257" xr:uid="{00000000-0005-0000-0000-000071180000}"/>
    <cellStyle name="Normal 15 8" xfId="6258" xr:uid="{00000000-0005-0000-0000-000072180000}"/>
    <cellStyle name="Normal 15 9" xfId="6259" xr:uid="{00000000-0005-0000-0000-000073180000}"/>
    <cellStyle name="Normal 150" xfId="6260" xr:uid="{00000000-0005-0000-0000-000074180000}"/>
    <cellStyle name="Normal 150 2" xfId="6261" xr:uid="{00000000-0005-0000-0000-000075180000}"/>
    <cellStyle name="Normal 151" xfId="6262" xr:uid="{00000000-0005-0000-0000-000076180000}"/>
    <cellStyle name="Normal 151 2" xfId="6263" xr:uid="{00000000-0005-0000-0000-000077180000}"/>
    <cellStyle name="Normal 152" xfId="6264" xr:uid="{00000000-0005-0000-0000-000078180000}"/>
    <cellStyle name="Normal 152 2" xfId="6265" xr:uid="{00000000-0005-0000-0000-000079180000}"/>
    <cellStyle name="Normal 153" xfId="6266" xr:uid="{00000000-0005-0000-0000-00007A180000}"/>
    <cellStyle name="Normal 153 2" xfId="6267" xr:uid="{00000000-0005-0000-0000-00007B180000}"/>
    <cellStyle name="Normal 154" xfId="6268" xr:uid="{00000000-0005-0000-0000-00007C180000}"/>
    <cellStyle name="Normal 154 2" xfId="6269" xr:uid="{00000000-0005-0000-0000-00007D180000}"/>
    <cellStyle name="Normal 155" xfId="6270" xr:uid="{00000000-0005-0000-0000-00007E180000}"/>
    <cellStyle name="Normal 155 2" xfId="6271" xr:uid="{00000000-0005-0000-0000-00007F180000}"/>
    <cellStyle name="Normal 156" xfId="6272" xr:uid="{00000000-0005-0000-0000-000080180000}"/>
    <cellStyle name="Normal 156 2" xfId="6273" xr:uid="{00000000-0005-0000-0000-000081180000}"/>
    <cellStyle name="Normal 157" xfId="6274" xr:uid="{00000000-0005-0000-0000-000082180000}"/>
    <cellStyle name="Normal 157 2" xfId="6275" xr:uid="{00000000-0005-0000-0000-000083180000}"/>
    <cellStyle name="Normal 158" xfId="6276" xr:uid="{00000000-0005-0000-0000-000084180000}"/>
    <cellStyle name="Normal 158 2" xfId="6277" xr:uid="{00000000-0005-0000-0000-000085180000}"/>
    <cellStyle name="Normal 159" xfId="6278" xr:uid="{00000000-0005-0000-0000-000086180000}"/>
    <cellStyle name="Normal 159 2" xfId="6279" xr:uid="{00000000-0005-0000-0000-000087180000}"/>
    <cellStyle name="Normal 16" xfId="6280" xr:uid="{00000000-0005-0000-0000-000088180000}"/>
    <cellStyle name="Normal 16 10" xfId="6281" xr:uid="{00000000-0005-0000-0000-000089180000}"/>
    <cellStyle name="Normal 16 11" xfId="6282" xr:uid="{00000000-0005-0000-0000-00008A180000}"/>
    <cellStyle name="Normal 16 12" xfId="6283" xr:uid="{00000000-0005-0000-0000-00008B180000}"/>
    <cellStyle name="Normal 16 13" xfId="6284" xr:uid="{00000000-0005-0000-0000-00008C180000}"/>
    <cellStyle name="Normal 16 14" xfId="6285" xr:uid="{00000000-0005-0000-0000-00008D180000}"/>
    <cellStyle name="Normal 16 15" xfId="6286" xr:uid="{00000000-0005-0000-0000-00008E180000}"/>
    <cellStyle name="Normal 16 16" xfId="6287" xr:uid="{00000000-0005-0000-0000-00008F180000}"/>
    <cellStyle name="Normal 16 17" xfId="6288" xr:uid="{00000000-0005-0000-0000-000090180000}"/>
    <cellStyle name="Normal 16 18" xfId="6289" xr:uid="{00000000-0005-0000-0000-000091180000}"/>
    <cellStyle name="Normal 16 19" xfId="6290" xr:uid="{00000000-0005-0000-0000-000092180000}"/>
    <cellStyle name="Normal 16 2" xfId="6291" xr:uid="{00000000-0005-0000-0000-000093180000}"/>
    <cellStyle name="Normal 16 2 2" xfId="6292" xr:uid="{00000000-0005-0000-0000-000094180000}"/>
    <cellStyle name="Normal 16 2 3" xfId="6293" xr:uid="{00000000-0005-0000-0000-000095180000}"/>
    <cellStyle name="Normal 16 20" xfId="6294" xr:uid="{00000000-0005-0000-0000-000096180000}"/>
    <cellStyle name="Normal 16 21" xfId="6295" xr:uid="{00000000-0005-0000-0000-000097180000}"/>
    <cellStyle name="Normal 16 22" xfId="6296" xr:uid="{00000000-0005-0000-0000-000098180000}"/>
    <cellStyle name="Normal 16 23" xfId="6297" xr:uid="{00000000-0005-0000-0000-000099180000}"/>
    <cellStyle name="Normal 16 24" xfId="6298" xr:uid="{00000000-0005-0000-0000-00009A180000}"/>
    <cellStyle name="Normal 16 25" xfId="6299" xr:uid="{00000000-0005-0000-0000-00009B180000}"/>
    <cellStyle name="Normal 16 26" xfId="6300" xr:uid="{00000000-0005-0000-0000-00009C180000}"/>
    <cellStyle name="Normal 16 3" xfId="6301" xr:uid="{00000000-0005-0000-0000-00009D180000}"/>
    <cellStyle name="Normal 16 3 2" xfId="6302" xr:uid="{00000000-0005-0000-0000-00009E180000}"/>
    <cellStyle name="Normal 16 3 3" xfId="6303" xr:uid="{00000000-0005-0000-0000-00009F180000}"/>
    <cellStyle name="Normal 16 4" xfId="6304" xr:uid="{00000000-0005-0000-0000-0000A0180000}"/>
    <cellStyle name="Normal 16 5" xfId="6305" xr:uid="{00000000-0005-0000-0000-0000A1180000}"/>
    <cellStyle name="Normal 16 6" xfId="6306" xr:uid="{00000000-0005-0000-0000-0000A2180000}"/>
    <cellStyle name="Normal 16 7" xfId="6307" xr:uid="{00000000-0005-0000-0000-0000A3180000}"/>
    <cellStyle name="Normal 16 8" xfId="6308" xr:uid="{00000000-0005-0000-0000-0000A4180000}"/>
    <cellStyle name="Normal 16 9" xfId="6309" xr:uid="{00000000-0005-0000-0000-0000A5180000}"/>
    <cellStyle name="Normal 160" xfId="6310" xr:uid="{00000000-0005-0000-0000-0000A6180000}"/>
    <cellStyle name="Normal 160 2" xfId="6311" xr:uid="{00000000-0005-0000-0000-0000A7180000}"/>
    <cellStyle name="Normal 161" xfId="6312" xr:uid="{00000000-0005-0000-0000-0000A8180000}"/>
    <cellStyle name="Normal 161 2" xfId="6313" xr:uid="{00000000-0005-0000-0000-0000A9180000}"/>
    <cellStyle name="Normal 162" xfId="6314" xr:uid="{00000000-0005-0000-0000-0000AA180000}"/>
    <cellStyle name="Normal 162 2" xfId="6315" xr:uid="{00000000-0005-0000-0000-0000AB180000}"/>
    <cellStyle name="Normal 163" xfId="6316" xr:uid="{00000000-0005-0000-0000-0000AC180000}"/>
    <cellStyle name="Normal 163 2" xfId="6317" xr:uid="{00000000-0005-0000-0000-0000AD180000}"/>
    <cellStyle name="Normal 164" xfId="6318" xr:uid="{00000000-0005-0000-0000-0000AE180000}"/>
    <cellStyle name="Normal 164 2" xfId="6319" xr:uid="{00000000-0005-0000-0000-0000AF180000}"/>
    <cellStyle name="Normal 165" xfId="6320" xr:uid="{00000000-0005-0000-0000-0000B0180000}"/>
    <cellStyle name="Normal 165 2" xfId="6321" xr:uid="{00000000-0005-0000-0000-0000B1180000}"/>
    <cellStyle name="Normal 166" xfId="6322" xr:uid="{00000000-0005-0000-0000-0000B2180000}"/>
    <cellStyle name="Normal 166 2" xfId="6323" xr:uid="{00000000-0005-0000-0000-0000B3180000}"/>
    <cellStyle name="Normal 167" xfId="6324" xr:uid="{00000000-0005-0000-0000-0000B4180000}"/>
    <cellStyle name="Normal 167 2" xfId="6325" xr:uid="{00000000-0005-0000-0000-0000B5180000}"/>
    <cellStyle name="Normal 168" xfId="6326" xr:uid="{00000000-0005-0000-0000-0000B6180000}"/>
    <cellStyle name="Normal 168 2" xfId="6327" xr:uid="{00000000-0005-0000-0000-0000B7180000}"/>
    <cellStyle name="Normal 169" xfId="6328" xr:uid="{00000000-0005-0000-0000-0000B8180000}"/>
    <cellStyle name="Normal 169 2" xfId="6329" xr:uid="{00000000-0005-0000-0000-0000B9180000}"/>
    <cellStyle name="Normal 17" xfId="409" xr:uid="{00000000-0005-0000-0000-000099010000}"/>
    <cellStyle name="Normal 17 10" xfId="6331" xr:uid="{00000000-0005-0000-0000-0000BB180000}"/>
    <cellStyle name="Normal 17 11" xfId="6332" xr:uid="{00000000-0005-0000-0000-0000BC180000}"/>
    <cellStyle name="Normal 17 12" xfId="6333" xr:uid="{00000000-0005-0000-0000-0000BD180000}"/>
    <cellStyle name="Normal 17 13" xfId="6334" xr:uid="{00000000-0005-0000-0000-0000BE180000}"/>
    <cellStyle name="Normal 17 14" xfId="6335" xr:uid="{00000000-0005-0000-0000-0000BF180000}"/>
    <cellStyle name="Normal 17 15" xfId="6336" xr:uid="{00000000-0005-0000-0000-0000C0180000}"/>
    <cellStyle name="Normal 17 16" xfId="6337" xr:uid="{00000000-0005-0000-0000-0000C1180000}"/>
    <cellStyle name="Normal 17 17" xfId="6338" xr:uid="{00000000-0005-0000-0000-0000C2180000}"/>
    <cellStyle name="Normal 17 18" xfId="6339" xr:uid="{00000000-0005-0000-0000-0000C3180000}"/>
    <cellStyle name="Normal 17 19" xfId="6340" xr:uid="{00000000-0005-0000-0000-0000C4180000}"/>
    <cellStyle name="Normal 17 2" xfId="6341" xr:uid="{00000000-0005-0000-0000-0000C5180000}"/>
    <cellStyle name="Normal 17 2 2" xfId="6342" xr:uid="{00000000-0005-0000-0000-0000C6180000}"/>
    <cellStyle name="Normal 17 2 3" xfId="6343" xr:uid="{00000000-0005-0000-0000-0000C7180000}"/>
    <cellStyle name="Normal 17 20" xfId="6344" xr:uid="{00000000-0005-0000-0000-0000C8180000}"/>
    <cellStyle name="Normal 17 21" xfId="6345" xr:uid="{00000000-0005-0000-0000-0000C9180000}"/>
    <cellStyle name="Normal 17 22" xfId="6346" xr:uid="{00000000-0005-0000-0000-0000CA180000}"/>
    <cellStyle name="Normal 17 23" xfId="6347" xr:uid="{00000000-0005-0000-0000-0000CB180000}"/>
    <cellStyle name="Normal 17 24" xfId="6348" xr:uid="{00000000-0005-0000-0000-0000CC180000}"/>
    <cellStyle name="Normal 17 25" xfId="6349" xr:uid="{00000000-0005-0000-0000-0000CD180000}"/>
    <cellStyle name="Normal 17 26" xfId="6350" xr:uid="{00000000-0005-0000-0000-0000CE180000}"/>
    <cellStyle name="Normal 17 27" xfId="6351" xr:uid="{00000000-0005-0000-0000-0000CF180000}"/>
    <cellStyle name="Normal 17 28" xfId="6352" xr:uid="{00000000-0005-0000-0000-0000D0180000}"/>
    <cellStyle name="Normal 17 29" xfId="6353" xr:uid="{00000000-0005-0000-0000-0000D1180000}"/>
    <cellStyle name="Normal 17 3" xfId="6354" xr:uid="{00000000-0005-0000-0000-0000D2180000}"/>
    <cellStyle name="Normal 17 3 2" xfId="6355" xr:uid="{00000000-0005-0000-0000-0000D3180000}"/>
    <cellStyle name="Normal 17 3 3" xfId="6356" xr:uid="{00000000-0005-0000-0000-0000D4180000}"/>
    <cellStyle name="Normal 17 3 4" xfId="6357" xr:uid="{00000000-0005-0000-0000-0000D5180000}"/>
    <cellStyle name="Normal 17 3 5" xfId="6358" xr:uid="{00000000-0005-0000-0000-0000D6180000}"/>
    <cellStyle name="Normal 17 30" xfId="6330" xr:uid="{00000000-0005-0000-0000-0000BA180000}"/>
    <cellStyle name="Normal 17 4" xfId="6359" xr:uid="{00000000-0005-0000-0000-0000D7180000}"/>
    <cellStyle name="Normal 17 5" xfId="6360" xr:uid="{00000000-0005-0000-0000-0000D8180000}"/>
    <cellStyle name="Normal 17 6" xfId="6361" xr:uid="{00000000-0005-0000-0000-0000D9180000}"/>
    <cellStyle name="Normal 17 7" xfId="6362" xr:uid="{00000000-0005-0000-0000-0000DA180000}"/>
    <cellStyle name="Normal 17 8" xfId="6363" xr:uid="{00000000-0005-0000-0000-0000DB180000}"/>
    <cellStyle name="Normal 17 9" xfId="6364" xr:uid="{00000000-0005-0000-0000-0000DC180000}"/>
    <cellStyle name="Normal 170" xfId="6365" xr:uid="{00000000-0005-0000-0000-0000DD180000}"/>
    <cellStyle name="Normal 171" xfId="6366" xr:uid="{00000000-0005-0000-0000-0000DE180000}"/>
    <cellStyle name="Normal 172" xfId="410" xr:uid="{00000000-0005-0000-0000-00009A010000}"/>
    <cellStyle name="Normal 172 2" xfId="39519" xr:uid="{00000000-0005-0000-0000-00005F9A0000}"/>
    <cellStyle name="Normal 174" xfId="6367" xr:uid="{00000000-0005-0000-0000-0000DF180000}"/>
    <cellStyle name="Normal 175" xfId="6368" xr:uid="{00000000-0005-0000-0000-0000E0180000}"/>
    <cellStyle name="Normal 176" xfId="6369" xr:uid="{00000000-0005-0000-0000-0000E1180000}"/>
    <cellStyle name="Normal 177" xfId="39542" xr:uid="{00000000-0005-0000-0000-0000769A0000}"/>
    <cellStyle name="Normal 18" xfId="6370" xr:uid="{00000000-0005-0000-0000-0000E2180000}"/>
    <cellStyle name="Normal 18 10" xfId="6371" xr:uid="{00000000-0005-0000-0000-0000E3180000}"/>
    <cellStyle name="Normal 18 11" xfId="6372" xr:uid="{00000000-0005-0000-0000-0000E4180000}"/>
    <cellStyle name="Normal 18 12" xfId="6373" xr:uid="{00000000-0005-0000-0000-0000E5180000}"/>
    <cellStyle name="Normal 18 13" xfId="6374" xr:uid="{00000000-0005-0000-0000-0000E6180000}"/>
    <cellStyle name="Normal 18 14" xfId="6375" xr:uid="{00000000-0005-0000-0000-0000E7180000}"/>
    <cellStyle name="Normal 18 15" xfId="6376" xr:uid="{00000000-0005-0000-0000-0000E8180000}"/>
    <cellStyle name="Normal 18 16" xfId="6377" xr:uid="{00000000-0005-0000-0000-0000E9180000}"/>
    <cellStyle name="Normal 18 17" xfId="6378" xr:uid="{00000000-0005-0000-0000-0000EA180000}"/>
    <cellStyle name="Normal 18 18" xfId="6379" xr:uid="{00000000-0005-0000-0000-0000EB180000}"/>
    <cellStyle name="Normal 18 19" xfId="6380" xr:uid="{00000000-0005-0000-0000-0000EC180000}"/>
    <cellStyle name="Normal 18 2" xfId="6381" xr:uid="{00000000-0005-0000-0000-0000ED180000}"/>
    <cellStyle name="Normal 18 2 2" xfId="6382" xr:uid="{00000000-0005-0000-0000-0000EE180000}"/>
    <cellStyle name="Normal 18 2 3" xfId="6383" xr:uid="{00000000-0005-0000-0000-0000EF180000}"/>
    <cellStyle name="Normal 18 20" xfId="6384" xr:uid="{00000000-0005-0000-0000-0000F0180000}"/>
    <cellStyle name="Normal 18 21" xfId="6385" xr:uid="{00000000-0005-0000-0000-0000F1180000}"/>
    <cellStyle name="Normal 18 22" xfId="6386" xr:uid="{00000000-0005-0000-0000-0000F2180000}"/>
    <cellStyle name="Normal 18 23" xfId="6387" xr:uid="{00000000-0005-0000-0000-0000F3180000}"/>
    <cellStyle name="Normal 18 24" xfId="6388" xr:uid="{00000000-0005-0000-0000-0000F4180000}"/>
    <cellStyle name="Normal 18 25" xfId="6389" xr:uid="{00000000-0005-0000-0000-0000F5180000}"/>
    <cellStyle name="Normal 18 3" xfId="6390" xr:uid="{00000000-0005-0000-0000-0000F6180000}"/>
    <cellStyle name="Normal 18 3 2" xfId="6391" xr:uid="{00000000-0005-0000-0000-0000F7180000}"/>
    <cellStyle name="Normal 18 3 3" xfId="6392" xr:uid="{00000000-0005-0000-0000-0000F8180000}"/>
    <cellStyle name="Normal 18 3 4" xfId="6393" xr:uid="{00000000-0005-0000-0000-0000F9180000}"/>
    <cellStyle name="Normal 18 3 5" xfId="6394" xr:uid="{00000000-0005-0000-0000-0000FA180000}"/>
    <cellStyle name="Normal 18 4" xfId="6395" xr:uid="{00000000-0005-0000-0000-0000FB180000}"/>
    <cellStyle name="Normal 18 5" xfId="6396" xr:uid="{00000000-0005-0000-0000-0000FC180000}"/>
    <cellStyle name="Normal 18 6" xfId="6397" xr:uid="{00000000-0005-0000-0000-0000FD180000}"/>
    <cellStyle name="Normal 18 7" xfId="6398" xr:uid="{00000000-0005-0000-0000-0000FE180000}"/>
    <cellStyle name="Normal 18 8" xfId="6399" xr:uid="{00000000-0005-0000-0000-0000FF180000}"/>
    <cellStyle name="Normal 18 9" xfId="6400" xr:uid="{00000000-0005-0000-0000-000000190000}"/>
    <cellStyle name="Normal 19" xfId="6401" xr:uid="{00000000-0005-0000-0000-000001190000}"/>
    <cellStyle name="Normal 19 10" xfId="6402" xr:uid="{00000000-0005-0000-0000-000002190000}"/>
    <cellStyle name="Normal 19 11" xfId="6403" xr:uid="{00000000-0005-0000-0000-000003190000}"/>
    <cellStyle name="Normal 19 12" xfId="6404" xr:uid="{00000000-0005-0000-0000-000004190000}"/>
    <cellStyle name="Normal 19 13" xfId="6405" xr:uid="{00000000-0005-0000-0000-000005190000}"/>
    <cellStyle name="Normal 19 14" xfId="6406" xr:uid="{00000000-0005-0000-0000-000006190000}"/>
    <cellStyle name="Normal 19 15" xfId="6407" xr:uid="{00000000-0005-0000-0000-000007190000}"/>
    <cellStyle name="Normal 19 16" xfId="6408" xr:uid="{00000000-0005-0000-0000-000008190000}"/>
    <cellStyle name="Normal 19 17" xfId="6409" xr:uid="{00000000-0005-0000-0000-000009190000}"/>
    <cellStyle name="Normal 19 18" xfId="6410" xr:uid="{00000000-0005-0000-0000-00000A190000}"/>
    <cellStyle name="Normal 19 19" xfId="6411" xr:uid="{00000000-0005-0000-0000-00000B190000}"/>
    <cellStyle name="Normal 19 2" xfId="6412" xr:uid="{00000000-0005-0000-0000-00000C190000}"/>
    <cellStyle name="Normal 19 2 2" xfId="6413" xr:uid="{00000000-0005-0000-0000-00000D190000}"/>
    <cellStyle name="Normal 19 2 3" xfId="6414" xr:uid="{00000000-0005-0000-0000-00000E190000}"/>
    <cellStyle name="Normal 19 20" xfId="6415" xr:uid="{00000000-0005-0000-0000-00000F190000}"/>
    <cellStyle name="Normal 19 21" xfId="6416" xr:uid="{00000000-0005-0000-0000-000010190000}"/>
    <cellStyle name="Normal 19 22" xfId="6417" xr:uid="{00000000-0005-0000-0000-000011190000}"/>
    <cellStyle name="Normal 19 23" xfId="6418" xr:uid="{00000000-0005-0000-0000-000012190000}"/>
    <cellStyle name="Normal 19 24" xfId="6419" xr:uid="{00000000-0005-0000-0000-000013190000}"/>
    <cellStyle name="Normal 19 25" xfId="6420" xr:uid="{00000000-0005-0000-0000-000014190000}"/>
    <cellStyle name="Normal 19 3" xfId="6421" xr:uid="{00000000-0005-0000-0000-000015190000}"/>
    <cellStyle name="Normal 19 3 2" xfId="6422" xr:uid="{00000000-0005-0000-0000-000016190000}"/>
    <cellStyle name="Normal 19 3 3" xfId="6423" xr:uid="{00000000-0005-0000-0000-000017190000}"/>
    <cellStyle name="Normal 19 3 4" xfId="6424" xr:uid="{00000000-0005-0000-0000-000018190000}"/>
    <cellStyle name="Normal 19 3 5" xfId="6425" xr:uid="{00000000-0005-0000-0000-000019190000}"/>
    <cellStyle name="Normal 19 4" xfId="6426" xr:uid="{00000000-0005-0000-0000-00001A190000}"/>
    <cellStyle name="Normal 19 5" xfId="6427" xr:uid="{00000000-0005-0000-0000-00001B190000}"/>
    <cellStyle name="Normal 19 6" xfId="6428" xr:uid="{00000000-0005-0000-0000-00001C190000}"/>
    <cellStyle name="Normal 19 7" xfId="6429" xr:uid="{00000000-0005-0000-0000-00001D190000}"/>
    <cellStyle name="Normal 19 8" xfId="6430" xr:uid="{00000000-0005-0000-0000-00001E190000}"/>
    <cellStyle name="Normal 19 9" xfId="6431" xr:uid="{00000000-0005-0000-0000-00001F190000}"/>
    <cellStyle name="Normal 191" xfId="39541" xr:uid="{00000000-0005-0000-0000-0000759A0000}"/>
    <cellStyle name="Normal 2" xfId="411" xr:uid="{00000000-0005-0000-0000-00009B010000}"/>
    <cellStyle name="Normal 2 10" xfId="412" xr:uid="{00000000-0005-0000-0000-00009C010000}"/>
    <cellStyle name="Normal 2 10 10" xfId="6432" xr:uid="{00000000-0005-0000-0000-000020190000}"/>
    <cellStyle name="Normal 2 10 2" xfId="550" xr:uid="{00000000-0005-0000-0000-000026020000}"/>
    <cellStyle name="Normal 2 10 3" xfId="6433" xr:uid="{00000000-0005-0000-0000-000021190000}"/>
    <cellStyle name="Normal 2 10 4" xfId="6434" xr:uid="{00000000-0005-0000-0000-000022190000}"/>
    <cellStyle name="Normal 2 10_Enlaces" xfId="6435" xr:uid="{00000000-0005-0000-0000-000023190000}"/>
    <cellStyle name="Normal 2 100" xfId="6436" xr:uid="{00000000-0005-0000-0000-000024190000}"/>
    <cellStyle name="Normal 2 100 2" xfId="6437" xr:uid="{00000000-0005-0000-0000-000025190000}"/>
    <cellStyle name="Normal 2 101" xfId="6438" xr:uid="{00000000-0005-0000-0000-000026190000}"/>
    <cellStyle name="Normal 2 101 2" xfId="6439" xr:uid="{00000000-0005-0000-0000-000027190000}"/>
    <cellStyle name="Normal 2 102" xfId="6440" xr:uid="{00000000-0005-0000-0000-000028190000}"/>
    <cellStyle name="Normal 2 102 2" xfId="6441" xr:uid="{00000000-0005-0000-0000-000029190000}"/>
    <cellStyle name="Normal 2 103" xfId="6442" xr:uid="{00000000-0005-0000-0000-00002A190000}"/>
    <cellStyle name="Normal 2 103 2" xfId="6443" xr:uid="{00000000-0005-0000-0000-00002B190000}"/>
    <cellStyle name="Normal 2 104" xfId="6444" xr:uid="{00000000-0005-0000-0000-00002C190000}"/>
    <cellStyle name="Normal 2 104 2" xfId="6445" xr:uid="{00000000-0005-0000-0000-00002D190000}"/>
    <cellStyle name="Normal 2 105" xfId="6446" xr:uid="{00000000-0005-0000-0000-00002E190000}"/>
    <cellStyle name="Normal 2 106" xfId="6447" xr:uid="{00000000-0005-0000-0000-00002F190000}"/>
    <cellStyle name="Normal 2 107" xfId="6448" xr:uid="{00000000-0005-0000-0000-000030190000}"/>
    <cellStyle name="Normal 2 108" xfId="6449" xr:uid="{00000000-0005-0000-0000-000031190000}"/>
    <cellStyle name="Normal 2 109" xfId="6450" xr:uid="{00000000-0005-0000-0000-000032190000}"/>
    <cellStyle name="Normal 2 11" xfId="413" xr:uid="{00000000-0005-0000-0000-00009D010000}"/>
    <cellStyle name="Normal 2 11 2" xfId="6451" xr:uid="{00000000-0005-0000-0000-000033190000}"/>
    <cellStyle name="Normal 2 11 3" xfId="6452" xr:uid="{00000000-0005-0000-0000-000034190000}"/>
    <cellStyle name="Normal 2 11 4" xfId="6453" xr:uid="{00000000-0005-0000-0000-000035190000}"/>
    <cellStyle name="Normal 2 11 5" xfId="6454" xr:uid="{00000000-0005-0000-0000-000036190000}"/>
    <cellStyle name="Normal 2 110" xfId="6455" xr:uid="{00000000-0005-0000-0000-000037190000}"/>
    <cellStyle name="Normal 2 111" xfId="6456" xr:uid="{00000000-0005-0000-0000-000038190000}"/>
    <cellStyle name="Normal 2 112" xfId="6457" xr:uid="{00000000-0005-0000-0000-000039190000}"/>
    <cellStyle name="Normal 2 113" xfId="6458" xr:uid="{00000000-0005-0000-0000-00003A190000}"/>
    <cellStyle name="Normal 2 114" xfId="6459" xr:uid="{00000000-0005-0000-0000-00003B190000}"/>
    <cellStyle name="Normal 2 115" xfId="6460" xr:uid="{00000000-0005-0000-0000-00003C190000}"/>
    <cellStyle name="Normal 2 116" xfId="6461" xr:uid="{00000000-0005-0000-0000-00003D190000}"/>
    <cellStyle name="Normal 2 117" xfId="6462" xr:uid="{00000000-0005-0000-0000-00003E190000}"/>
    <cellStyle name="Normal 2 118" xfId="6463" xr:uid="{00000000-0005-0000-0000-00003F190000}"/>
    <cellStyle name="Normal 2 119" xfId="6464" xr:uid="{00000000-0005-0000-0000-000040190000}"/>
    <cellStyle name="Normal 2 12" xfId="414" xr:uid="{00000000-0005-0000-0000-00009E010000}"/>
    <cellStyle name="Normal 2 12 2" xfId="6465" xr:uid="{00000000-0005-0000-0000-000041190000}"/>
    <cellStyle name="Normal 2 12 3" xfId="6466" xr:uid="{00000000-0005-0000-0000-000042190000}"/>
    <cellStyle name="Normal 2 12 4" xfId="6467" xr:uid="{00000000-0005-0000-0000-000043190000}"/>
    <cellStyle name="Normal 2 12 5" xfId="6468" xr:uid="{00000000-0005-0000-0000-000044190000}"/>
    <cellStyle name="Normal 2 12 6" xfId="6469" xr:uid="{00000000-0005-0000-0000-000045190000}"/>
    <cellStyle name="Normal 2 120" xfId="6470" xr:uid="{00000000-0005-0000-0000-000046190000}"/>
    <cellStyle name="Normal 2 121" xfId="6471" xr:uid="{00000000-0005-0000-0000-000047190000}"/>
    <cellStyle name="Normal 2 122" xfId="6472" xr:uid="{00000000-0005-0000-0000-000048190000}"/>
    <cellStyle name="Normal 2 123" xfId="6473" xr:uid="{00000000-0005-0000-0000-000049190000}"/>
    <cellStyle name="Normal 2 124" xfId="6474" xr:uid="{00000000-0005-0000-0000-00004A190000}"/>
    <cellStyle name="Normal 2 125" xfId="6475" xr:uid="{00000000-0005-0000-0000-00004B190000}"/>
    <cellStyle name="Normal 2 126" xfId="6476" xr:uid="{00000000-0005-0000-0000-00004C190000}"/>
    <cellStyle name="Normal 2 127" xfId="6477" xr:uid="{00000000-0005-0000-0000-00004D190000}"/>
    <cellStyle name="Normal 2 128" xfId="6478" xr:uid="{00000000-0005-0000-0000-00004E190000}"/>
    <cellStyle name="Normal 2 129" xfId="6479" xr:uid="{00000000-0005-0000-0000-00004F190000}"/>
    <cellStyle name="Normal 2 13" xfId="6480" xr:uid="{00000000-0005-0000-0000-000050190000}"/>
    <cellStyle name="Normal 2 13 2" xfId="6481" xr:uid="{00000000-0005-0000-0000-000051190000}"/>
    <cellStyle name="Normal 2 13 3" xfId="6482" xr:uid="{00000000-0005-0000-0000-000052190000}"/>
    <cellStyle name="Normal 2 13 4" xfId="6483" xr:uid="{00000000-0005-0000-0000-000053190000}"/>
    <cellStyle name="Normal 2 13 5" xfId="6484" xr:uid="{00000000-0005-0000-0000-000054190000}"/>
    <cellStyle name="Normal 2 13 6" xfId="6485" xr:uid="{00000000-0005-0000-0000-000055190000}"/>
    <cellStyle name="Normal 2 130" xfId="6486" xr:uid="{00000000-0005-0000-0000-000056190000}"/>
    <cellStyle name="Normal 2 131" xfId="6487" xr:uid="{00000000-0005-0000-0000-000057190000}"/>
    <cellStyle name="Normal 2 132" xfId="6488" xr:uid="{00000000-0005-0000-0000-000058190000}"/>
    <cellStyle name="Normal 2 133" xfId="6489" xr:uid="{00000000-0005-0000-0000-000059190000}"/>
    <cellStyle name="Normal 2 134" xfId="6490" xr:uid="{00000000-0005-0000-0000-00005A190000}"/>
    <cellStyle name="Normal 2 135" xfId="6491" xr:uid="{00000000-0005-0000-0000-00005B190000}"/>
    <cellStyle name="Normal 2 136" xfId="6492" xr:uid="{00000000-0005-0000-0000-00005C190000}"/>
    <cellStyle name="Normal 2 137" xfId="6493" xr:uid="{00000000-0005-0000-0000-00005D190000}"/>
    <cellStyle name="Normal 2 138" xfId="6494" xr:uid="{00000000-0005-0000-0000-00005E190000}"/>
    <cellStyle name="Normal 2 139" xfId="6495" xr:uid="{00000000-0005-0000-0000-00005F190000}"/>
    <cellStyle name="Normal 2 14" xfId="6496" xr:uid="{00000000-0005-0000-0000-000060190000}"/>
    <cellStyle name="Normal 2 14 2" xfId="6497" xr:uid="{00000000-0005-0000-0000-000061190000}"/>
    <cellStyle name="Normal 2 14 3" xfId="6498" xr:uid="{00000000-0005-0000-0000-000062190000}"/>
    <cellStyle name="Normal 2 14 4" xfId="6499" xr:uid="{00000000-0005-0000-0000-000063190000}"/>
    <cellStyle name="Normal 2 14 5" xfId="6500" xr:uid="{00000000-0005-0000-0000-000064190000}"/>
    <cellStyle name="Normal 2 140" xfId="6501" xr:uid="{00000000-0005-0000-0000-000065190000}"/>
    <cellStyle name="Normal 2 141" xfId="6502" xr:uid="{00000000-0005-0000-0000-000066190000}"/>
    <cellStyle name="Normal 2 142" xfId="6503" xr:uid="{00000000-0005-0000-0000-000067190000}"/>
    <cellStyle name="Normal 2 143" xfId="6504" xr:uid="{00000000-0005-0000-0000-000068190000}"/>
    <cellStyle name="Normal 2 144" xfId="6505" xr:uid="{00000000-0005-0000-0000-000069190000}"/>
    <cellStyle name="Normal 2 145" xfId="6506" xr:uid="{00000000-0005-0000-0000-00006A190000}"/>
    <cellStyle name="Normal 2 146" xfId="6507" xr:uid="{00000000-0005-0000-0000-00006B190000}"/>
    <cellStyle name="Normal 2 147" xfId="6508" xr:uid="{00000000-0005-0000-0000-00006C190000}"/>
    <cellStyle name="Normal 2 148" xfId="6509" xr:uid="{00000000-0005-0000-0000-00006D190000}"/>
    <cellStyle name="Normal 2 149" xfId="6510" xr:uid="{00000000-0005-0000-0000-00006E190000}"/>
    <cellStyle name="Normal 2 15" xfId="6511" xr:uid="{00000000-0005-0000-0000-00006F190000}"/>
    <cellStyle name="Normal 2 15 2" xfId="6512" xr:uid="{00000000-0005-0000-0000-000070190000}"/>
    <cellStyle name="Normal 2 15 3" xfId="6513" xr:uid="{00000000-0005-0000-0000-000071190000}"/>
    <cellStyle name="Normal 2 15 4" xfId="6514" xr:uid="{00000000-0005-0000-0000-000072190000}"/>
    <cellStyle name="Normal 2 15 5" xfId="6515" xr:uid="{00000000-0005-0000-0000-000073190000}"/>
    <cellStyle name="Normal 2 15 6" xfId="6516" xr:uid="{00000000-0005-0000-0000-000074190000}"/>
    <cellStyle name="Normal 2 150" xfId="6517" xr:uid="{00000000-0005-0000-0000-000075190000}"/>
    <cellStyle name="Normal 2 151" xfId="6518" xr:uid="{00000000-0005-0000-0000-000076190000}"/>
    <cellStyle name="Normal 2 152" xfId="6519" xr:uid="{00000000-0005-0000-0000-000077190000}"/>
    <cellStyle name="Normal 2 153" xfId="6520" xr:uid="{00000000-0005-0000-0000-000078190000}"/>
    <cellStyle name="Normal 2 154" xfId="6521" xr:uid="{00000000-0005-0000-0000-000079190000}"/>
    <cellStyle name="Normal 2 155" xfId="6522" xr:uid="{00000000-0005-0000-0000-00007A190000}"/>
    <cellStyle name="Normal 2 156" xfId="6523" xr:uid="{00000000-0005-0000-0000-00007B190000}"/>
    <cellStyle name="Normal 2 157" xfId="6524" xr:uid="{00000000-0005-0000-0000-00007C190000}"/>
    <cellStyle name="Normal 2 158" xfId="6525" xr:uid="{00000000-0005-0000-0000-00007D190000}"/>
    <cellStyle name="Normal 2 159" xfId="6526" xr:uid="{00000000-0005-0000-0000-00007E190000}"/>
    <cellStyle name="Normal 2 16" xfId="6527" xr:uid="{00000000-0005-0000-0000-00007F190000}"/>
    <cellStyle name="Normal 2 16 2" xfId="6528" xr:uid="{00000000-0005-0000-0000-000080190000}"/>
    <cellStyle name="Normal 2 16 3" xfId="6529" xr:uid="{00000000-0005-0000-0000-000081190000}"/>
    <cellStyle name="Normal 2 16 4" xfId="6530" xr:uid="{00000000-0005-0000-0000-000082190000}"/>
    <cellStyle name="Normal 2 16 5" xfId="6531" xr:uid="{00000000-0005-0000-0000-000083190000}"/>
    <cellStyle name="Normal 2 160" xfId="6532" xr:uid="{00000000-0005-0000-0000-000084190000}"/>
    <cellStyle name="Normal 2 161" xfId="6533" xr:uid="{00000000-0005-0000-0000-000085190000}"/>
    <cellStyle name="Normal 2 162" xfId="6534" xr:uid="{00000000-0005-0000-0000-000086190000}"/>
    <cellStyle name="Normal 2 163" xfId="6535" xr:uid="{00000000-0005-0000-0000-000087190000}"/>
    <cellStyle name="Normal 2 164" xfId="6536" xr:uid="{00000000-0005-0000-0000-000088190000}"/>
    <cellStyle name="Normal 2 165" xfId="6537" xr:uid="{00000000-0005-0000-0000-000089190000}"/>
    <cellStyle name="Normal 2 166" xfId="6538" xr:uid="{00000000-0005-0000-0000-00008A190000}"/>
    <cellStyle name="Normal 2 167" xfId="6539" xr:uid="{00000000-0005-0000-0000-00008B190000}"/>
    <cellStyle name="Normal 2 168" xfId="6540" xr:uid="{00000000-0005-0000-0000-00008C190000}"/>
    <cellStyle name="Normal 2 169" xfId="6541" xr:uid="{00000000-0005-0000-0000-00008D190000}"/>
    <cellStyle name="Normal 2 17" xfId="6542" xr:uid="{00000000-0005-0000-0000-00008E190000}"/>
    <cellStyle name="Normal 2 17 2" xfId="6543" xr:uid="{00000000-0005-0000-0000-00008F190000}"/>
    <cellStyle name="Normal 2 17 3" xfId="6544" xr:uid="{00000000-0005-0000-0000-000090190000}"/>
    <cellStyle name="Normal 2 17 4" xfId="6545" xr:uid="{00000000-0005-0000-0000-000091190000}"/>
    <cellStyle name="Normal 2 17 5" xfId="6546" xr:uid="{00000000-0005-0000-0000-000092190000}"/>
    <cellStyle name="Normal 2 170" xfId="6547" xr:uid="{00000000-0005-0000-0000-000093190000}"/>
    <cellStyle name="Normal 2 171" xfId="6548" xr:uid="{00000000-0005-0000-0000-000094190000}"/>
    <cellStyle name="Normal 2 172" xfId="6549" xr:uid="{00000000-0005-0000-0000-000095190000}"/>
    <cellStyle name="Normal 2 173" xfId="6550" xr:uid="{00000000-0005-0000-0000-000096190000}"/>
    <cellStyle name="Normal 2 174" xfId="6551" xr:uid="{00000000-0005-0000-0000-000097190000}"/>
    <cellStyle name="Normal 2 175" xfId="6552" xr:uid="{00000000-0005-0000-0000-000098190000}"/>
    <cellStyle name="Normal 2 176" xfId="6553" xr:uid="{00000000-0005-0000-0000-000099190000}"/>
    <cellStyle name="Normal 2 177" xfId="6554" xr:uid="{00000000-0005-0000-0000-00009A190000}"/>
    <cellStyle name="Normal 2 178" xfId="6555" xr:uid="{00000000-0005-0000-0000-00009B190000}"/>
    <cellStyle name="Normal 2 179" xfId="6556" xr:uid="{00000000-0005-0000-0000-00009C190000}"/>
    <cellStyle name="Normal 2 18" xfId="6557" xr:uid="{00000000-0005-0000-0000-00009D190000}"/>
    <cellStyle name="Normal 2 18 2" xfId="6558" xr:uid="{00000000-0005-0000-0000-00009E190000}"/>
    <cellStyle name="Normal 2 18 3" xfId="6559" xr:uid="{00000000-0005-0000-0000-00009F190000}"/>
    <cellStyle name="Normal 2 18 4" xfId="6560" xr:uid="{00000000-0005-0000-0000-0000A0190000}"/>
    <cellStyle name="Normal 2 18 5" xfId="6561" xr:uid="{00000000-0005-0000-0000-0000A1190000}"/>
    <cellStyle name="Normal 2 19" xfId="6562" xr:uid="{00000000-0005-0000-0000-0000A2190000}"/>
    <cellStyle name="Normal 2 19 2" xfId="6563" xr:uid="{00000000-0005-0000-0000-0000A3190000}"/>
    <cellStyle name="Normal 2 19 3" xfId="6564" xr:uid="{00000000-0005-0000-0000-0000A4190000}"/>
    <cellStyle name="Normal 2 19 4" xfId="6565" xr:uid="{00000000-0005-0000-0000-0000A5190000}"/>
    <cellStyle name="Normal 2 19 5" xfId="6566" xr:uid="{00000000-0005-0000-0000-0000A6190000}"/>
    <cellStyle name="Normal 2 2" xfId="415" xr:uid="{00000000-0005-0000-0000-00009F010000}"/>
    <cellStyle name="Normal 2 2 10" xfId="6567" xr:uid="{00000000-0005-0000-0000-0000A7190000}"/>
    <cellStyle name="Normal 2 2 10 10" xfId="6568" xr:uid="{00000000-0005-0000-0000-0000A8190000}"/>
    <cellStyle name="Normal 2 2 10 10 10" xfId="6569" xr:uid="{00000000-0005-0000-0000-0000A9190000}"/>
    <cellStyle name="Normal 2 2 10 10 11" xfId="6570" xr:uid="{00000000-0005-0000-0000-0000AA190000}"/>
    <cellStyle name="Normal 2 2 10 10 12" xfId="6571" xr:uid="{00000000-0005-0000-0000-0000AB190000}"/>
    <cellStyle name="Normal 2 2 10 10 13" xfId="6572" xr:uid="{00000000-0005-0000-0000-0000AC190000}"/>
    <cellStyle name="Normal 2 2 10 10 14" xfId="6573" xr:uid="{00000000-0005-0000-0000-0000AD190000}"/>
    <cellStyle name="Normal 2 2 10 10 2" xfId="6574" xr:uid="{00000000-0005-0000-0000-0000AE190000}"/>
    <cellStyle name="Normal 2 2 10 10 2 10" xfId="6575" xr:uid="{00000000-0005-0000-0000-0000AF190000}"/>
    <cellStyle name="Normal 2 2 10 10 2 2" xfId="6576" xr:uid="{00000000-0005-0000-0000-0000B0190000}"/>
    <cellStyle name="Normal 2 2 10 10 2 3" xfId="6577" xr:uid="{00000000-0005-0000-0000-0000B1190000}"/>
    <cellStyle name="Normal 2 2 10 10 2 4" xfId="6578" xr:uid="{00000000-0005-0000-0000-0000B2190000}"/>
    <cellStyle name="Normal 2 2 10 10 2 5" xfId="6579" xr:uid="{00000000-0005-0000-0000-0000B3190000}"/>
    <cellStyle name="Normal 2 2 10 10 2 6" xfId="6580" xr:uid="{00000000-0005-0000-0000-0000B4190000}"/>
    <cellStyle name="Normal 2 2 10 10 2 7" xfId="6581" xr:uid="{00000000-0005-0000-0000-0000B5190000}"/>
    <cellStyle name="Normal 2 2 10 10 2 8" xfId="6582" xr:uid="{00000000-0005-0000-0000-0000B6190000}"/>
    <cellStyle name="Normal 2 2 10 10 2 9" xfId="6583" xr:uid="{00000000-0005-0000-0000-0000B7190000}"/>
    <cellStyle name="Normal 2 2 10 10 3" xfId="6584" xr:uid="{00000000-0005-0000-0000-0000B8190000}"/>
    <cellStyle name="Normal 2 2 10 10 3 10" xfId="6585" xr:uid="{00000000-0005-0000-0000-0000B9190000}"/>
    <cellStyle name="Normal 2 2 10 10 3 2" xfId="6586" xr:uid="{00000000-0005-0000-0000-0000BA190000}"/>
    <cellStyle name="Normal 2 2 10 10 3 3" xfId="6587" xr:uid="{00000000-0005-0000-0000-0000BB190000}"/>
    <cellStyle name="Normal 2 2 10 10 3 4" xfId="6588" xr:uid="{00000000-0005-0000-0000-0000BC190000}"/>
    <cellStyle name="Normal 2 2 10 10 3 5" xfId="6589" xr:uid="{00000000-0005-0000-0000-0000BD190000}"/>
    <cellStyle name="Normal 2 2 10 10 3 6" xfId="6590" xr:uid="{00000000-0005-0000-0000-0000BE190000}"/>
    <cellStyle name="Normal 2 2 10 10 3 7" xfId="6591" xr:uid="{00000000-0005-0000-0000-0000BF190000}"/>
    <cellStyle name="Normal 2 2 10 10 3 8" xfId="6592" xr:uid="{00000000-0005-0000-0000-0000C0190000}"/>
    <cellStyle name="Normal 2 2 10 10 3 9" xfId="6593" xr:uid="{00000000-0005-0000-0000-0000C1190000}"/>
    <cellStyle name="Normal 2 2 10 10 4" xfId="6594" xr:uid="{00000000-0005-0000-0000-0000C2190000}"/>
    <cellStyle name="Normal 2 2 10 10 4 10" xfId="6595" xr:uid="{00000000-0005-0000-0000-0000C3190000}"/>
    <cellStyle name="Normal 2 2 10 10 4 2" xfId="6596" xr:uid="{00000000-0005-0000-0000-0000C4190000}"/>
    <cellStyle name="Normal 2 2 10 10 4 3" xfId="6597" xr:uid="{00000000-0005-0000-0000-0000C5190000}"/>
    <cellStyle name="Normal 2 2 10 10 4 4" xfId="6598" xr:uid="{00000000-0005-0000-0000-0000C6190000}"/>
    <cellStyle name="Normal 2 2 10 10 4 5" xfId="6599" xr:uid="{00000000-0005-0000-0000-0000C7190000}"/>
    <cellStyle name="Normal 2 2 10 10 4 6" xfId="6600" xr:uid="{00000000-0005-0000-0000-0000C8190000}"/>
    <cellStyle name="Normal 2 2 10 10 4 7" xfId="6601" xr:uid="{00000000-0005-0000-0000-0000C9190000}"/>
    <cellStyle name="Normal 2 2 10 10 4 8" xfId="6602" xr:uid="{00000000-0005-0000-0000-0000CA190000}"/>
    <cellStyle name="Normal 2 2 10 10 4 9" xfId="6603" xr:uid="{00000000-0005-0000-0000-0000CB190000}"/>
    <cellStyle name="Normal 2 2 10 10 5" xfId="6604" xr:uid="{00000000-0005-0000-0000-0000CC190000}"/>
    <cellStyle name="Normal 2 2 10 10 5 10" xfId="6605" xr:uid="{00000000-0005-0000-0000-0000CD190000}"/>
    <cellStyle name="Normal 2 2 10 10 5 2" xfId="6606" xr:uid="{00000000-0005-0000-0000-0000CE190000}"/>
    <cellStyle name="Normal 2 2 10 10 5 3" xfId="6607" xr:uid="{00000000-0005-0000-0000-0000CF190000}"/>
    <cellStyle name="Normal 2 2 10 10 5 4" xfId="6608" xr:uid="{00000000-0005-0000-0000-0000D0190000}"/>
    <cellStyle name="Normal 2 2 10 10 5 5" xfId="6609" xr:uid="{00000000-0005-0000-0000-0000D1190000}"/>
    <cellStyle name="Normal 2 2 10 10 5 6" xfId="6610" xr:uid="{00000000-0005-0000-0000-0000D2190000}"/>
    <cellStyle name="Normal 2 2 10 10 5 7" xfId="6611" xr:uid="{00000000-0005-0000-0000-0000D3190000}"/>
    <cellStyle name="Normal 2 2 10 10 5 8" xfId="6612" xr:uid="{00000000-0005-0000-0000-0000D4190000}"/>
    <cellStyle name="Normal 2 2 10 10 5 9" xfId="6613" xr:uid="{00000000-0005-0000-0000-0000D5190000}"/>
    <cellStyle name="Normal 2 2 10 10 6" xfId="6614" xr:uid="{00000000-0005-0000-0000-0000D6190000}"/>
    <cellStyle name="Normal 2 2 10 10 7" xfId="6615" xr:uid="{00000000-0005-0000-0000-0000D7190000}"/>
    <cellStyle name="Normal 2 2 10 10 8" xfId="6616" xr:uid="{00000000-0005-0000-0000-0000D8190000}"/>
    <cellStyle name="Normal 2 2 10 10 9" xfId="6617" xr:uid="{00000000-0005-0000-0000-0000D9190000}"/>
    <cellStyle name="Normal 2 2 10 11" xfId="6618" xr:uid="{00000000-0005-0000-0000-0000DA190000}"/>
    <cellStyle name="Normal 2 2 10 11 10" xfId="6619" xr:uid="{00000000-0005-0000-0000-0000DB190000}"/>
    <cellStyle name="Normal 2 2 10 11 11" xfId="6620" xr:uid="{00000000-0005-0000-0000-0000DC190000}"/>
    <cellStyle name="Normal 2 2 10 11 12" xfId="6621" xr:uid="{00000000-0005-0000-0000-0000DD190000}"/>
    <cellStyle name="Normal 2 2 10 11 13" xfId="6622" xr:uid="{00000000-0005-0000-0000-0000DE190000}"/>
    <cellStyle name="Normal 2 2 10 11 14" xfId="6623" xr:uid="{00000000-0005-0000-0000-0000DF190000}"/>
    <cellStyle name="Normal 2 2 10 11 2" xfId="6624" xr:uid="{00000000-0005-0000-0000-0000E0190000}"/>
    <cellStyle name="Normal 2 2 10 11 2 10" xfId="6625" xr:uid="{00000000-0005-0000-0000-0000E1190000}"/>
    <cellStyle name="Normal 2 2 10 11 2 2" xfId="6626" xr:uid="{00000000-0005-0000-0000-0000E2190000}"/>
    <cellStyle name="Normal 2 2 10 11 2 3" xfId="6627" xr:uid="{00000000-0005-0000-0000-0000E3190000}"/>
    <cellStyle name="Normal 2 2 10 11 2 4" xfId="6628" xr:uid="{00000000-0005-0000-0000-0000E4190000}"/>
    <cellStyle name="Normal 2 2 10 11 2 5" xfId="6629" xr:uid="{00000000-0005-0000-0000-0000E5190000}"/>
    <cellStyle name="Normal 2 2 10 11 2 6" xfId="6630" xr:uid="{00000000-0005-0000-0000-0000E6190000}"/>
    <cellStyle name="Normal 2 2 10 11 2 7" xfId="6631" xr:uid="{00000000-0005-0000-0000-0000E7190000}"/>
    <cellStyle name="Normal 2 2 10 11 2 8" xfId="6632" xr:uid="{00000000-0005-0000-0000-0000E8190000}"/>
    <cellStyle name="Normal 2 2 10 11 2 9" xfId="6633" xr:uid="{00000000-0005-0000-0000-0000E9190000}"/>
    <cellStyle name="Normal 2 2 10 11 3" xfId="6634" xr:uid="{00000000-0005-0000-0000-0000EA190000}"/>
    <cellStyle name="Normal 2 2 10 11 3 10" xfId="6635" xr:uid="{00000000-0005-0000-0000-0000EB190000}"/>
    <cellStyle name="Normal 2 2 10 11 3 2" xfId="6636" xr:uid="{00000000-0005-0000-0000-0000EC190000}"/>
    <cellStyle name="Normal 2 2 10 11 3 3" xfId="6637" xr:uid="{00000000-0005-0000-0000-0000ED190000}"/>
    <cellStyle name="Normal 2 2 10 11 3 4" xfId="6638" xr:uid="{00000000-0005-0000-0000-0000EE190000}"/>
    <cellStyle name="Normal 2 2 10 11 3 5" xfId="6639" xr:uid="{00000000-0005-0000-0000-0000EF190000}"/>
    <cellStyle name="Normal 2 2 10 11 3 6" xfId="6640" xr:uid="{00000000-0005-0000-0000-0000F0190000}"/>
    <cellStyle name="Normal 2 2 10 11 3 7" xfId="6641" xr:uid="{00000000-0005-0000-0000-0000F1190000}"/>
    <cellStyle name="Normal 2 2 10 11 3 8" xfId="6642" xr:uid="{00000000-0005-0000-0000-0000F2190000}"/>
    <cellStyle name="Normal 2 2 10 11 3 9" xfId="6643" xr:uid="{00000000-0005-0000-0000-0000F3190000}"/>
    <cellStyle name="Normal 2 2 10 11 4" xfId="6644" xr:uid="{00000000-0005-0000-0000-0000F4190000}"/>
    <cellStyle name="Normal 2 2 10 11 4 10" xfId="6645" xr:uid="{00000000-0005-0000-0000-0000F5190000}"/>
    <cellStyle name="Normal 2 2 10 11 4 2" xfId="6646" xr:uid="{00000000-0005-0000-0000-0000F6190000}"/>
    <cellStyle name="Normal 2 2 10 11 4 3" xfId="6647" xr:uid="{00000000-0005-0000-0000-0000F7190000}"/>
    <cellStyle name="Normal 2 2 10 11 4 4" xfId="6648" xr:uid="{00000000-0005-0000-0000-0000F8190000}"/>
    <cellStyle name="Normal 2 2 10 11 4 5" xfId="6649" xr:uid="{00000000-0005-0000-0000-0000F9190000}"/>
    <cellStyle name="Normal 2 2 10 11 4 6" xfId="6650" xr:uid="{00000000-0005-0000-0000-0000FA190000}"/>
    <cellStyle name="Normal 2 2 10 11 4 7" xfId="6651" xr:uid="{00000000-0005-0000-0000-0000FB190000}"/>
    <cellStyle name="Normal 2 2 10 11 4 8" xfId="6652" xr:uid="{00000000-0005-0000-0000-0000FC190000}"/>
    <cellStyle name="Normal 2 2 10 11 4 9" xfId="6653" xr:uid="{00000000-0005-0000-0000-0000FD190000}"/>
    <cellStyle name="Normal 2 2 10 11 5" xfId="6654" xr:uid="{00000000-0005-0000-0000-0000FE190000}"/>
    <cellStyle name="Normal 2 2 10 11 5 10" xfId="6655" xr:uid="{00000000-0005-0000-0000-0000FF190000}"/>
    <cellStyle name="Normal 2 2 10 11 5 2" xfId="6656" xr:uid="{00000000-0005-0000-0000-0000001A0000}"/>
    <cellStyle name="Normal 2 2 10 11 5 3" xfId="6657" xr:uid="{00000000-0005-0000-0000-0000011A0000}"/>
    <cellStyle name="Normal 2 2 10 11 5 4" xfId="6658" xr:uid="{00000000-0005-0000-0000-0000021A0000}"/>
    <cellStyle name="Normal 2 2 10 11 5 5" xfId="6659" xr:uid="{00000000-0005-0000-0000-0000031A0000}"/>
    <cellStyle name="Normal 2 2 10 11 5 6" xfId="6660" xr:uid="{00000000-0005-0000-0000-0000041A0000}"/>
    <cellStyle name="Normal 2 2 10 11 5 7" xfId="6661" xr:uid="{00000000-0005-0000-0000-0000051A0000}"/>
    <cellStyle name="Normal 2 2 10 11 5 8" xfId="6662" xr:uid="{00000000-0005-0000-0000-0000061A0000}"/>
    <cellStyle name="Normal 2 2 10 11 5 9" xfId="6663" xr:uid="{00000000-0005-0000-0000-0000071A0000}"/>
    <cellStyle name="Normal 2 2 10 11 6" xfId="6664" xr:uid="{00000000-0005-0000-0000-0000081A0000}"/>
    <cellStyle name="Normal 2 2 10 11 7" xfId="6665" xr:uid="{00000000-0005-0000-0000-0000091A0000}"/>
    <cellStyle name="Normal 2 2 10 11 8" xfId="6666" xr:uid="{00000000-0005-0000-0000-00000A1A0000}"/>
    <cellStyle name="Normal 2 2 10 11 9" xfId="6667" xr:uid="{00000000-0005-0000-0000-00000B1A0000}"/>
    <cellStyle name="Normal 2 2 10 12" xfId="6668" xr:uid="{00000000-0005-0000-0000-00000C1A0000}"/>
    <cellStyle name="Normal 2 2 10 12 10" xfId="6669" xr:uid="{00000000-0005-0000-0000-00000D1A0000}"/>
    <cellStyle name="Normal 2 2 10 12 11" xfId="6670" xr:uid="{00000000-0005-0000-0000-00000E1A0000}"/>
    <cellStyle name="Normal 2 2 10 12 12" xfId="6671" xr:uid="{00000000-0005-0000-0000-00000F1A0000}"/>
    <cellStyle name="Normal 2 2 10 12 13" xfId="6672" xr:uid="{00000000-0005-0000-0000-0000101A0000}"/>
    <cellStyle name="Normal 2 2 10 12 14" xfId="6673" xr:uid="{00000000-0005-0000-0000-0000111A0000}"/>
    <cellStyle name="Normal 2 2 10 12 2" xfId="6674" xr:uid="{00000000-0005-0000-0000-0000121A0000}"/>
    <cellStyle name="Normal 2 2 10 12 2 10" xfId="6675" xr:uid="{00000000-0005-0000-0000-0000131A0000}"/>
    <cellStyle name="Normal 2 2 10 12 2 2" xfId="6676" xr:uid="{00000000-0005-0000-0000-0000141A0000}"/>
    <cellStyle name="Normal 2 2 10 12 2 3" xfId="6677" xr:uid="{00000000-0005-0000-0000-0000151A0000}"/>
    <cellStyle name="Normal 2 2 10 12 2 4" xfId="6678" xr:uid="{00000000-0005-0000-0000-0000161A0000}"/>
    <cellStyle name="Normal 2 2 10 12 2 5" xfId="6679" xr:uid="{00000000-0005-0000-0000-0000171A0000}"/>
    <cellStyle name="Normal 2 2 10 12 2 6" xfId="6680" xr:uid="{00000000-0005-0000-0000-0000181A0000}"/>
    <cellStyle name="Normal 2 2 10 12 2 7" xfId="6681" xr:uid="{00000000-0005-0000-0000-0000191A0000}"/>
    <cellStyle name="Normal 2 2 10 12 2 8" xfId="6682" xr:uid="{00000000-0005-0000-0000-00001A1A0000}"/>
    <cellStyle name="Normal 2 2 10 12 2 9" xfId="6683" xr:uid="{00000000-0005-0000-0000-00001B1A0000}"/>
    <cellStyle name="Normal 2 2 10 12 3" xfId="6684" xr:uid="{00000000-0005-0000-0000-00001C1A0000}"/>
    <cellStyle name="Normal 2 2 10 12 3 10" xfId="6685" xr:uid="{00000000-0005-0000-0000-00001D1A0000}"/>
    <cellStyle name="Normal 2 2 10 12 3 2" xfId="6686" xr:uid="{00000000-0005-0000-0000-00001E1A0000}"/>
    <cellStyle name="Normal 2 2 10 12 3 3" xfId="6687" xr:uid="{00000000-0005-0000-0000-00001F1A0000}"/>
    <cellStyle name="Normal 2 2 10 12 3 4" xfId="6688" xr:uid="{00000000-0005-0000-0000-0000201A0000}"/>
    <cellStyle name="Normal 2 2 10 12 3 5" xfId="6689" xr:uid="{00000000-0005-0000-0000-0000211A0000}"/>
    <cellStyle name="Normal 2 2 10 12 3 6" xfId="6690" xr:uid="{00000000-0005-0000-0000-0000221A0000}"/>
    <cellStyle name="Normal 2 2 10 12 3 7" xfId="6691" xr:uid="{00000000-0005-0000-0000-0000231A0000}"/>
    <cellStyle name="Normal 2 2 10 12 3 8" xfId="6692" xr:uid="{00000000-0005-0000-0000-0000241A0000}"/>
    <cellStyle name="Normal 2 2 10 12 3 9" xfId="6693" xr:uid="{00000000-0005-0000-0000-0000251A0000}"/>
    <cellStyle name="Normal 2 2 10 12 4" xfId="6694" xr:uid="{00000000-0005-0000-0000-0000261A0000}"/>
    <cellStyle name="Normal 2 2 10 12 4 10" xfId="6695" xr:uid="{00000000-0005-0000-0000-0000271A0000}"/>
    <cellStyle name="Normal 2 2 10 12 4 2" xfId="6696" xr:uid="{00000000-0005-0000-0000-0000281A0000}"/>
    <cellStyle name="Normal 2 2 10 12 4 3" xfId="6697" xr:uid="{00000000-0005-0000-0000-0000291A0000}"/>
    <cellStyle name="Normal 2 2 10 12 4 4" xfId="6698" xr:uid="{00000000-0005-0000-0000-00002A1A0000}"/>
    <cellStyle name="Normal 2 2 10 12 4 5" xfId="6699" xr:uid="{00000000-0005-0000-0000-00002B1A0000}"/>
    <cellStyle name="Normal 2 2 10 12 4 6" xfId="6700" xr:uid="{00000000-0005-0000-0000-00002C1A0000}"/>
    <cellStyle name="Normal 2 2 10 12 4 7" xfId="6701" xr:uid="{00000000-0005-0000-0000-00002D1A0000}"/>
    <cellStyle name="Normal 2 2 10 12 4 8" xfId="6702" xr:uid="{00000000-0005-0000-0000-00002E1A0000}"/>
    <cellStyle name="Normal 2 2 10 12 4 9" xfId="6703" xr:uid="{00000000-0005-0000-0000-00002F1A0000}"/>
    <cellStyle name="Normal 2 2 10 12 5" xfId="6704" xr:uid="{00000000-0005-0000-0000-0000301A0000}"/>
    <cellStyle name="Normal 2 2 10 12 5 10" xfId="6705" xr:uid="{00000000-0005-0000-0000-0000311A0000}"/>
    <cellStyle name="Normal 2 2 10 12 5 2" xfId="6706" xr:uid="{00000000-0005-0000-0000-0000321A0000}"/>
    <cellStyle name="Normal 2 2 10 12 5 3" xfId="6707" xr:uid="{00000000-0005-0000-0000-0000331A0000}"/>
    <cellStyle name="Normal 2 2 10 12 5 4" xfId="6708" xr:uid="{00000000-0005-0000-0000-0000341A0000}"/>
    <cellStyle name="Normal 2 2 10 12 5 5" xfId="6709" xr:uid="{00000000-0005-0000-0000-0000351A0000}"/>
    <cellStyle name="Normal 2 2 10 12 5 6" xfId="6710" xr:uid="{00000000-0005-0000-0000-0000361A0000}"/>
    <cellStyle name="Normal 2 2 10 12 5 7" xfId="6711" xr:uid="{00000000-0005-0000-0000-0000371A0000}"/>
    <cellStyle name="Normal 2 2 10 12 5 8" xfId="6712" xr:uid="{00000000-0005-0000-0000-0000381A0000}"/>
    <cellStyle name="Normal 2 2 10 12 5 9" xfId="6713" xr:uid="{00000000-0005-0000-0000-0000391A0000}"/>
    <cellStyle name="Normal 2 2 10 12 6" xfId="6714" xr:uid="{00000000-0005-0000-0000-00003A1A0000}"/>
    <cellStyle name="Normal 2 2 10 12 7" xfId="6715" xr:uid="{00000000-0005-0000-0000-00003B1A0000}"/>
    <cellStyle name="Normal 2 2 10 12 8" xfId="6716" xr:uid="{00000000-0005-0000-0000-00003C1A0000}"/>
    <cellStyle name="Normal 2 2 10 12 9" xfId="6717" xr:uid="{00000000-0005-0000-0000-00003D1A0000}"/>
    <cellStyle name="Normal 2 2 10 13" xfId="6718" xr:uid="{00000000-0005-0000-0000-00003E1A0000}"/>
    <cellStyle name="Normal 2 2 10 13 10" xfId="6719" xr:uid="{00000000-0005-0000-0000-00003F1A0000}"/>
    <cellStyle name="Normal 2 2 10 13 11" xfId="6720" xr:uid="{00000000-0005-0000-0000-0000401A0000}"/>
    <cellStyle name="Normal 2 2 10 13 12" xfId="6721" xr:uid="{00000000-0005-0000-0000-0000411A0000}"/>
    <cellStyle name="Normal 2 2 10 13 13" xfId="6722" xr:uid="{00000000-0005-0000-0000-0000421A0000}"/>
    <cellStyle name="Normal 2 2 10 13 14" xfId="6723" xr:uid="{00000000-0005-0000-0000-0000431A0000}"/>
    <cellStyle name="Normal 2 2 10 13 2" xfId="6724" xr:uid="{00000000-0005-0000-0000-0000441A0000}"/>
    <cellStyle name="Normal 2 2 10 13 2 10" xfId="6725" xr:uid="{00000000-0005-0000-0000-0000451A0000}"/>
    <cellStyle name="Normal 2 2 10 13 2 2" xfId="6726" xr:uid="{00000000-0005-0000-0000-0000461A0000}"/>
    <cellStyle name="Normal 2 2 10 13 2 3" xfId="6727" xr:uid="{00000000-0005-0000-0000-0000471A0000}"/>
    <cellStyle name="Normal 2 2 10 13 2 4" xfId="6728" xr:uid="{00000000-0005-0000-0000-0000481A0000}"/>
    <cellStyle name="Normal 2 2 10 13 2 5" xfId="6729" xr:uid="{00000000-0005-0000-0000-0000491A0000}"/>
    <cellStyle name="Normal 2 2 10 13 2 6" xfId="6730" xr:uid="{00000000-0005-0000-0000-00004A1A0000}"/>
    <cellStyle name="Normal 2 2 10 13 2 7" xfId="6731" xr:uid="{00000000-0005-0000-0000-00004B1A0000}"/>
    <cellStyle name="Normal 2 2 10 13 2 8" xfId="6732" xr:uid="{00000000-0005-0000-0000-00004C1A0000}"/>
    <cellStyle name="Normal 2 2 10 13 2 9" xfId="6733" xr:uid="{00000000-0005-0000-0000-00004D1A0000}"/>
    <cellStyle name="Normal 2 2 10 13 3" xfId="6734" xr:uid="{00000000-0005-0000-0000-00004E1A0000}"/>
    <cellStyle name="Normal 2 2 10 13 3 10" xfId="6735" xr:uid="{00000000-0005-0000-0000-00004F1A0000}"/>
    <cellStyle name="Normal 2 2 10 13 3 2" xfId="6736" xr:uid="{00000000-0005-0000-0000-0000501A0000}"/>
    <cellStyle name="Normal 2 2 10 13 3 3" xfId="6737" xr:uid="{00000000-0005-0000-0000-0000511A0000}"/>
    <cellStyle name="Normal 2 2 10 13 3 4" xfId="6738" xr:uid="{00000000-0005-0000-0000-0000521A0000}"/>
    <cellStyle name="Normal 2 2 10 13 3 5" xfId="6739" xr:uid="{00000000-0005-0000-0000-0000531A0000}"/>
    <cellStyle name="Normal 2 2 10 13 3 6" xfId="6740" xr:uid="{00000000-0005-0000-0000-0000541A0000}"/>
    <cellStyle name="Normal 2 2 10 13 3 7" xfId="6741" xr:uid="{00000000-0005-0000-0000-0000551A0000}"/>
    <cellStyle name="Normal 2 2 10 13 3 8" xfId="6742" xr:uid="{00000000-0005-0000-0000-0000561A0000}"/>
    <cellStyle name="Normal 2 2 10 13 3 9" xfId="6743" xr:uid="{00000000-0005-0000-0000-0000571A0000}"/>
    <cellStyle name="Normal 2 2 10 13 4" xfId="6744" xr:uid="{00000000-0005-0000-0000-0000581A0000}"/>
    <cellStyle name="Normal 2 2 10 13 4 10" xfId="6745" xr:uid="{00000000-0005-0000-0000-0000591A0000}"/>
    <cellStyle name="Normal 2 2 10 13 4 2" xfId="6746" xr:uid="{00000000-0005-0000-0000-00005A1A0000}"/>
    <cellStyle name="Normal 2 2 10 13 4 3" xfId="6747" xr:uid="{00000000-0005-0000-0000-00005B1A0000}"/>
    <cellStyle name="Normal 2 2 10 13 4 4" xfId="6748" xr:uid="{00000000-0005-0000-0000-00005C1A0000}"/>
    <cellStyle name="Normal 2 2 10 13 4 5" xfId="6749" xr:uid="{00000000-0005-0000-0000-00005D1A0000}"/>
    <cellStyle name="Normal 2 2 10 13 4 6" xfId="6750" xr:uid="{00000000-0005-0000-0000-00005E1A0000}"/>
    <cellStyle name="Normal 2 2 10 13 4 7" xfId="6751" xr:uid="{00000000-0005-0000-0000-00005F1A0000}"/>
    <cellStyle name="Normal 2 2 10 13 4 8" xfId="6752" xr:uid="{00000000-0005-0000-0000-0000601A0000}"/>
    <cellStyle name="Normal 2 2 10 13 4 9" xfId="6753" xr:uid="{00000000-0005-0000-0000-0000611A0000}"/>
    <cellStyle name="Normal 2 2 10 13 5" xfId="6754" xr:uid="{00000000-0005-0000-0000-0000621A0000}"/>
    <cellStyle name="Normal 2 2 10 13 5 10" xfId="6755" xr:uid="{00000000-0005-0000-0000-0000631A0000}"/>
    <cellStyle name="Normal 2 2 10 13 5 2" xfId="6756" xr:uid="{00000000-0005-0000-0000-0000641A0000}"/>
    <cellStyle name="Normal 2 2 10 13 5 3" xfId="6757" xr:uid="{00000000-0005-0000-0000-0000651A0000}"/>
    <cellStyle name="Normal 2 2 10 13 5 4" xfId="6758" xr:uid="{00000000-0005-0000-0000-0000661A0000}"/>
    <cellStyle name="Normal 2 2 10 13 5 5" xfId="6759" xr:uid="{00000000-0005-0000-0000-0000671A0000}"/>
    <cellStyle name="Normal 2 2 10 13 5 6" xfId="6760" xr:uid="{00000000-0005-0000-0000-0000681A0000}"/>
    <cellStyle name="Normal 2 2 10 13 5 7" xfId="6761" xr:uid="{00000000-0005-0000-0000-0000691A0000}"/>
    <cellStyle name="Normal 2 2 10 13 5 8" xfId="6762" xr:uid="{00000000-0005-0000-0000-00006A1A0000}"/>
    <cellStyle name="Normal 2 2 10 13 5 9" xfId="6763" xr:uid="{00000000-0005-0000-0000-00006B1A0000}"/>
    <cellStyle name="Normal 2 2 10 13 6" xfId="6764" xr:uid="{00000000-0005-0000-0000-00006C1A0000}"/>
    <cellStyle name="Normal 2 2 10 13 7" xfId="6765" xr:uid="{00000000-0005-0000-0000-00006D1A0000}"/>
    <cellStyle name="Normal 2 2 10 13 8" xfId="6766" xr:uid="{00000000-0005-0000-0000-00006E1A0000}"/>
    <cellStyle name="Normal 2 2 10 13 9" xfId="6767" xr:uid="{00000000-0005-0000-0000-00006F1A0000}"/>
    <cellStyle name="Normal 2 2 10 14" xfId="6768" xr:uid="{00000000-0005-0000-0000-0000701A0000}"/>
    <cellStyle name="Normal 2 2 10 14 10" xfId="6769" xr:uid="{00000000-0005-0000-0000-0000711A0000}"/>
    <cellStyle name="Normal 2 2 10 14 11" xfId="6770" xr:uid="{00000000-0005-0000-0000-0000721A0000}"/>
    <cellStyle name="Normal 2 2 10 14 12" xfId="6771" xr:uid="{00000000-0005-0000-0000-0000731A0000}"/>
    <cellStyle name="Normal 2 2 10 14 13" xfId="6772" xr:uid="{00000000-0005-0000-0000-0000741A0000}"/>
    <cellStyle name="Normal 2 2 10 14 14" xfId="6773" xr:uid="{00000000-0005-0000-0000-0000751A0000}"/>
    <cellStyle name="Normal 2 2 10 14 2" xfId="6774" xr:uid="{00000000-0005-0000-0000-0000761A0000}"/>
    <cellStyle name="Normal 2 2 10 14 2 10" xfId="6775" xr:uid="{00000000-0005-0000-0000-0000771A0000}"/>
    <cellStyle name="Normal 2 2 10 14 2 2" xfId="6776" xr:uid="{00000000-0005-0000-0000-0000781A0000}"/>
    <cellStyle name="Normal 2 2 10 14 2 3" xfId="6777" xr:uid="{00000000-0005-0000-0000-0000791A0000}"/>
    <cellStyle name="Normal 2 2 10 14 2 4" xfId="6778" xr:uid="{00000000-0005-0000-0000-00007A1A0000}"/>
    <cellStyle name="Normal 2 2 10 14 2 5" xfId="6779" xr:uid="{00000000-0005-0000-0000-00007B1A0000}"/>
    <cellStyle name="Normal 2 2 10 14 2 6" xfId="6780" xr:uid="{00000000-0005-0000-0000-00007C1A0000}"/>
    <cellStyle name="Normal 2 2 10 14 2 7" xfId="6781" xr:uid="{00000000-0005-0000-0000-00007D1A0000}"/>
    <cellStyle name="Normal 2 2 10 14 2 8" xfId="6782" xr:uid="{00000000-0005-0000-0000-00007E1A0000}"/>
    <cellStyle name="Normal 2 2 10 14 2 9" xfId="6783" xr:uid="{00000000-0005-0000-0000-00007F1A0000}"/>
    <cellStyle name="Normal 2 2 10 14 3" xfId="6784" xr:uid="{00000000-0005-0000-0000-0000801A0000}"/>
    <cellStyle name="Normal 2 2 10 14 3 10" xfId="6785" xr:uid="{00000000-0005-0000-0000-0000811A0000}"/>
    <cellStyle name="Normal 2 2 10 14 3 2" xfId="6786" xr:uid="{00000000-0005-0000-0000-0000821A0000}"/>
    <cellStyle name="Normal 2 2 10 14 3 3" xfId="6787" xr:uid="{00000000-0005-0000-0000-0000831A0000}"/>
    <cellStyle name="Normal 2 2 10 14 3 4" xfId="6788" xr:uid="{00000000-0005-0000-0000-0000841A0000}"/>
    <cellStyle name="Normal 2 2 10 14 3 5" xfId="6789" xr:uid="{00000000-0005-0000-0000-0000851A0000}"/>
    <cellStyle name="Normal 2 2 10 14 3 6" xfId="6790" xr:uid="{00000000-0005-0000-0000-0000861A0000}"/>
    <cellStyle name="Normal 2 2 10 14 3 7" xfId="6791" xr:uid="{00000000-0005-0000-0000-0000871A0000}"/>
    <cellStyle name="Normal 2 2 10 14 3 8" xfId="6792" xr:uid="{00000000-0005-0000-0000-0000881A0000}"/>
    <cellStyle name="Normal 2 2 10 14 3 9" xfId="6793" xr:uid="{00000000-0005-0000-0000-0000891A0000}"/>
    <cellStyle name="Normal 2 2 10 14 4" xfId="6794" xr:uid="{00000000-0005-0000-0000-00008A1A0000}"/>
    <cellStyle name="Normal 2 2 10 14 4 10" xfId="6795" xr:uid="{00000000-0005-0000-0000-00008B1A0000}"/>
    <cellStyle name="Normal 2 2 10 14 4 2" xfId="6796" xr:uid="{00000000-0005-0000-0000-00008C1A0000}"/>
    <cellStyle name="Normal 2 2 10 14 4 3" xfId="6797" xr:uid="{00000000-0005-0000-0000-00008D1A0000}"/>
    <cellStyle name="Normal 2 2 10 14 4 4" xfId="6798" xr:uid="{00000000-0005-0000-0000-00008E1A0000}"/>
    <cellStyle name="Normal 2 2 10 14 4 5" xfId="6799" xr:uid="{00000000-0005-0000-0000-00008F1A0000}"/>
    <cellStyle name="Normal 2 2 10 14 4 6" xfId="6800" xr:uid="{00000000-0005-0000-0000-0000901A0000}"/>
    <cellStyle name="Normal 2 2 10 14 4 7" xfId="6801" xr:uid="{00000000-0005-0000-0000-0000911A0000}"/>
    <cellStyle name="Normal 2 2 10 14 4 8" xfId="6802" xr:uid="{00000000-0005-0000-0000-0000921A0000}"/>
    <cellStyle name="Normal 2 2 10 14 4 9" xfId="6803" xr:uid="{00000000-0005-0000-0000-0000931A0000}"/>
    <cellStyle name="Normal 2 2 10 14 5" xfId="6804" xr:uid="{00000000-0005-0000-0000-0000941A0000}"/>
    <cellStyle name="Normal 2 2 10 14 5 10" xfId="6805" xr:uid="{00000000-0005-0000-0000-0000951A0000}"/>
    <cellStyle name="Normal 2 2 10 14 5 2" xfId="6806" xr:uid="{00000000-0005-0000-0000-0000961A0000}"/>
    <cellStyle name="Normal 2 2 10 14 5 3" xfId="6807" xr:uid="{00000000-0005-0000-0000-0000971A0000}"/>
    <cellStyle name="Normal 2 2 10 14 5 4" xfId="6808" xr:uid="{00000000-0005-0000-0000-0000981A0000}"/>
    <cellStyle name="Normal 2 2 10 14 5 5" xfId="6809" xr:uid="{00000000-0005-0000-0000-0000991A0000}"/>
    <cellStyle name="Normal 2 2 10 14 5 6" xfId="6810" xr:uid="{00000000-0005-0000-0000-00009A1A0000}"/>
    <cellStyle name="Normal 2 2 10 14 5 7" xfId="6811" xr:uid="{00000000-0005-0000-0000-00009B1A0000}"/>
    <cellStyle name="Normal 2 2 10 14 5 8" xfId="6812" xr:uid="{00000000-0005-0000-0000-00009C1A0000}"/>
    <cellStyle name="Normal 2 2 10 14 5 9" xfId="6813" xr:uid="{00000000-0005-0000-0000-00009D1A0000}"/>
    <cellStyle name="Normal 2 2 10 14 6" xfId="6814" xr:uid="{00000000-0005-0000-0000-00009E1A0000}"/>
    <cellStyle name="Normal 2 2 10 14 7" xfId="6815" xr:uid="{00000000-0005-0000-0000-00009F1A0000}"/>
    <cellStyle name="Normal 2 2 10 14 8" xfId="6816" xr:uid="{00000000-0005-0000-0000-0000A01A0000}"/>
    <cellStyle name="Normal 2 2 10 14 9" xfId="6817" xr:uid="{00000000-0005-0000-0000-0000A11A0000}"/>
    <cellStyle name="Normal 2 2 10 15" xfId="6818" xr:uid="{00000000-0005-0000-0000-0000A21A0000}"/>
    <cellStyle name="Normal 2 2 10 15 10" xfId="6819" xr:uid="{00000000-0005-0000-0000-0000A31A0000}"/>
    <cellStyle name="Normal 2 2 10 15 11" xfId="6820" xr:uid="{00000000-0005-0000-0000-0000A41A0000}"/>
    <cellStyle name="Normal 2 2 10 15 12" xfId="6821" xr:uid="{00000000-0005-0000-0000-0000A51A0000}"/>
    <cellStyle name="Normal 2 2 10 15 13" xfId="6822" xr:uid="{00000000-0005-0000-0000-0000A61A0000}"/>
    <cellStyle name="Normal 2 2 10 15 14" xfId="6823" xr:uid="{00000000-0005-0000-0000-0000A71A0000}"/>
    <cellStyle name="Normal 2 2 10 15 2" xfId="6824" xr:uid="{00000000-0005-0000-0000-0000A81A0000}"/>
    <cellStyle name="Normal 2 2 10 15 2 10" xfId="6825" xr:uid="{00000000-0005-0000-0000-0000A91A0000}"/>
    <cellStyle name="Normal 2 2 10 15 2 2" xfId="6826" xr:uid="{00000000-0005-0000-0000-0000AA1A0000}"/>
    <cellStyle name="Normal 2 2 10 15 2 3" xfId="6827" xr:uid="{00000000-0005-0000-0000-0000AB1A0000}"/>
    <cellStyle name="Normal 2 2 10 15 2 4" xfId="6828" xr:uid="{00000000-0005-0000-0000-0000AC1A0000}"/>
    <cellStyle name="Normal 2 2 10 15 2 5" xfId="6829" xr:uid="{00000000-0005-0000-0000-0000AD1A0000}"/>
    <cellStyle name="Normal 2 2 10 15 2 6" xfId="6830" xr:uid="{00000000-0005-0000-0000-0000AE1A0000}"/>
    <cellStyle name="Normal 2 2 10 15 2 7" xfId="6831" xr:uid="{00000000-0005-0000-0000-0000AF1A0000}"/>
    <cellStyle name="Normal 2 2 10 15 2 8" xfId="6832" xr:uid="{00000000-0005-0000-0000-0000B01A0000}"/>
    <cellStyle name="Normal 2 2 10 15 2 9" xfId="6833" xr:uid="{00000000-0005-0000-0000-0000B11A0000}"/>
    <cellStyle name="Normal 2 2 10 15 3" xfId="6834" xr:uid="{00000000-0005-0000-0000-0000B21A0000}"/>
    <cellStyle name="Normal 2 2 10 15 3 10" xfId="6835" xr:uid="{00000000-0005-0000-0000-0000B31A0000}"/>
    <cellStyle name="Normal 2 2 10 15 3 2" xfId="6836" xr:uid="{00000000-0005-0000-0000-0000B41A0000}"/>
    <cellStyle name="Normal 2 2 10 15 3 3" xfId="6837" xr:uid="{00000000-0005-0000-0000-0000B51A0000}"/>
    <cellStyle name="Normal 2 2 10 15 3 4" xfId="6838" xr:uid="{00000000-0005-0000-0000-0000B61A0000}"/>
    <cellStyle name="Normal 2 2 10 15 3 5" xfId="6839" xr:uid="{00000000-0005-0000-0000-0000B71A0000}"/>
    <cellStyle name="Normal 2 2 10 15 3 6" xfId="6840" xr:uid="{00000000-0005-0000-0000-0000B81A0000}"/>
    <cellStyle name="Normal 2 2 10 15 3 7" xfId="6841" xr:uid="{00000000-0005-0000-0000-0000B91A0000}"/>
    <cellStyle name="Normal 2 2 10 15 3 8" xfId="6842" xr:uid="{00000000-0005-0000-0000-0000BA1A0000}"/>
    <cellStyle name="Normal 2 2 10 15 3 9" xfId="6843" xr:uid="{00000000-0005-0000-0000-0000BB1A0000}"/>
    <cellStyle name="Normal 2 2 10 15 4" xfId="6844" xr:uid="{00000000-0005-0000-0000-0000BC1A0000}"/>
    <cellStyle name="Normal 2 2 10 15 4 10" xfId="6845" xr:uid="{00000000-0005-0000-0000-0000BD1A0000}"/>
    <cellStyle name="Normal 2 2 10 15 4 2" xfId="6846" xr:uid="{00000000-0005-0000-0000-0000BE1A0000}"/>
    <cellStyle name="Normal 2 2 10 15 4 3" xfId="6847" xr:uid="{00000000-0005-0000-0000-0000BF1A0000}"/>
    <cellStyle name="Normal 2 2 10 15 4 4" xfId="6848" xr:uid="{00000000-0005-0000-0000-0000C01A0000}"/>
    <cellStyle name="Normal 2 2 10 15 4 5" xfId="6849" xr:uid="{00000000-0005-0000-0000-0000C11A0000}"/>
    <cellStyle name="Normal 2 2 10 15 4 6" xfId="6850" xr:uid="{00000000-0005-0000-0000-0000C21A0000}"/>
    <cellStyle name="Normal 2 2 10 15 4 7" xfId="6851" xr:uid="{00000000-0005-0000-0000-0000C31A0000}"/>
    <cellStyle name="Normal 2 2 10 15 4 8" xfId="6852" xr:uid="{00000000-0005-0000-0000-0000C41A0000}"/>
    <cellStyle name="Normal 2 2 10 15 4 9" xfId="6853" xr:uid="{00000000-0005-0000-0000-0000C51A0000}"/>
    <cellStyle name="Normal 2 2 10 15 5" xfId="6854" xr:uid="{00000000-0005-0000-0000-0000C61A0000}"/>
    <cellStyle name="Normal 2 2 10 15 5 10" xfId="6855" xr:uid="{00000000-0005-0000-0000-0000C71A0000}"/>
    <cellStyle name="Normal 2 2 10 15 5 2" xfId="6856" xr:uid="{00000000-0005-0000-0000-0000C81A0000}"/>
    <cellStyle name="Normal 2 2 10 15 5 3" xfId="6857" xr:uid="{00000000-0005-0000-0000-0000C91A0000}"/>
    <cellStyle name="Normal 2 2 10 15 5 4" xfId="6858" xr:uid="{00000000-0005-0000-0000-0000CA1A0000}"/>
    <cellStyle name="Normal 2 2 10 15 5 5" xfId="6859" xr:uid="{00000000-0005-0000-0000-0000CB1A0000}"/>
    <cellStyle name="Normal 2 2 10 15 5 6" xfId="6860" xr:uid="{00000000-0005-0000-0000-0000CC1A0000}"/>
    <cellStyle name="Normal 2 2 10 15 5 7" xfId="6861" xr:uid="{00000000-0005-0000-0000-0000CD1A0000}"/>
    <cellStyle name="Normal 2 2 10 15 5 8" xfId="6862" xr:uid="{00000000-0005-0000-0000-0000CE1A0000}"/>
    <cellStyle name="Normal 2 2 10 15 5 9" xfId="6863" xr:uid="{00000000-0005-0000-0000-0000CF1A0000}"/>
    <cellStyle name="Normal 2 2 10 15 6" xfId="6864" xr:uid="{00000000-0005-0000-0000-0000D01A0000}"/>
    <cellStyle name="Normal 2 2 10 15 7" xfId="6865" xr:uid="{00000000-0005-0000-0000-0000D11A0000}"/>
    <cellStyle name="Normal 2 2 10 15 8" xfId="6866" xr:uid="{00000000-0005-0000-0000-0000D21A0000}"/>
    <cellStyle name="Normal 2 2 10 15 9" xfId="6867" xr:uid="{00000000-0005-0000-0000-0000D31A0000}"/>
    <cellStyle name="Normal 2 2 10 16" xfId="6868" xr:uid="{00000000-0005-0000-0000-0000D41A0000}"/>
    <cellStyle name="Normal 2 2 10 16 10" xfId="6869" xr:uid="{00000000-0005-0000-0000-0000D51A0000}"/>
    <cellStyle name="Normal 2 2 10 16 11" xfId="6870" xr:uid="{00000000-0005-0000-0000-0000D61A0000}"/>
    <cellStyle name="Normal 2 2 10 16 12" xfId="6871" xr:uid="{00000000-0005-0000-0000-0000D71A0000}"/>
    <cellStyle name="Normal 2 2 10 16 13" xfId="6872" xr:uid="{00000000-0005-0000-0000-0000D81A0000}"/>
    <cellStyle name="Normal 2 2 10 16 14" xfId="6873" xr:uid="{00000000-0005-0000-0000-0000D91A0000}"/>
    <cellStyle name="Normal 2 2 10 16 2" xfId="6874" xr:uid="{00000000-0005-0000-0000-0000DA1A0000}"/>
    <cellStyle name="Normal 2 2 10 16 2 10" xfId="6875" xr:uid="{00000000-0005-0000-0000-0000DB1A0000}"/>
    <cellStyle name="Normal 2 2 10 16 2 2" xfId="6876" xr:uid="{00000000-0005-0000-0000-0000DC1A0000}"/>
    <cellStyle name="Normal 2 2 10 16 2 3" xfId="6877" xr:uid="{00000000-0005-0000-0000-0000DD1A0000}"/>
    <cellStyle name="Normal 2 2 10 16 2 4" xfId="6878" xr:uid="{00000000-0005-0000-0000-0000DE1A0000}"/>
    <cellStyle name="Normal 2 2 10 16 2 5" xfId="6879" xr:uid="{00000000-0005-0000-0000-0000DF1A0000}"/>
    <cellStyle name="Normal 2 2 10 16 2 6" xfId="6880" xr:uid="{00000000-0005-0000-0000-0000E01A0000}"/>
    <cellStyle name="Normal 2 2 10 16 2 7" xfId="6881" xr:uid="{00000000-0005-0000-0000-0000E11A0000}"/>
    <cellStyle name="Normal 2 2 10 16 2 8" xfId="6882" xr:uid="{00000000-0005-0000-0000-0000E21A0000}"/>
    <cellStyle name="Normal 2 2 10 16 2 9" xfId="6883" xr:uid="{00000000-0005-0000-0000-0000E31A0000}"/>
    <cellStyle name="Normal 2 2 10 16 3" xfId="6884" xr:uid="{00000000-0005-0000-0000-0000E41A0000}"/>
    <cellStyle name="Normal 2 2 10 16 3 10" xfId="6885" xr:uid="{00000000-0005-0000-0000-0000E51A0000}"/>
    <cellStyle name="Normal 2 2 10 16 3 2" xfId="6886" xr:uid="{00000000-0005-0000-0000-0000E61A0000}"/>
    <cellStyle name="Normal 2 2 10 16 3 3" xfId="6887" xr:uid="{00000000-0005-0000-0000-0000E71A0000}"/>
    <cellStyle name="Normal 2 2 10 16 3 4" xfId="6888" xr:uid="{00000000-0005-0000-0000-0000E81A0000}"/>
    <cellStyle name="Normal 2 2 10 16 3 5" xfId="6889" xr:uid="{00000000-0005-0000-0000-0000E91A0000}"/>
    <cellStyle name="Normal 2 2 10 16 3 6" xfId="6890" xr:uid="{00000000-0005-0000-0000-0000EA1A0000}"/>
    <cellStyle name="Normal 2 2 10 16 3 7" xfId="6891" xr:uid="{00000000-0005-0000-0000-0000EB1A0000}"/>
    <cellStyle name="Normal 2 2 10 16 3 8" xfId="6892" xr:uid="{00000000-0005-0000-0000-0000EC1A0000}"/>
    <cellStyle name="Normal 2 2 10 16 3 9" xfId="6893" xr:uid="{00000000-0005-0000-0000-0000ED1A0000}"/>
    <cellStyle name="Normal 2 2 10 16 4" xfId="6894" xr:uid="{00000000-0005-0000-0000-0000EE1A0000}"/>
    <cellStyle name="Normal 2 2 10 16 4 10" xfId="6895" xr:uid="{00000000-0005-0000-0000-0000EF1A0000}"/>
    <cellStyle name="Normal 2 2 10 16 4 2" xfId="6896" xr:uid="{00000000-0005-0000-0000-0000F01A0000}"/>
    <cellStyle name="Normal 2 2 10 16 4 3" xfId="6897" xr:uid="{00000000-0005-0000-0000-0000F11A0000}"/>
    <cellStyle name="Normal 2 2 10 16 4 4" xfId="6898" xr:uid="{00000000-0005-0000-0000-0000F21A0000}"/>
    <cellStyle name="Normal 2 2 10 16 4 5" xfId="6899" xr:uid="{00000000-0005-0000-0000-0000F31A0000}"/>
    <cellStyle name="Normal 2 2 10 16 4 6" xfId="6900" xr:uid="{00000000-0005-0000-0000-0000F41A0000}"/>
    <cellStyle name="Normal 2 2 10 16 4 7" xfId="6901" xr:uid="{00000000-0005-0000-0000-0000F51A0000}"/>
    <cellStyle name="Normal 2 2 10 16 4 8" xfId="6902" xr:uid="{00000000-0005-0000-0000-0000F61A0000}"/>
    <cellStyle name="Normal 2 2 10 16 4 9" xfId="6903" xr:uid="{00000000-0005-0000-0000-0000F71A0000}"/>
    <cellStyle name="Normal 2 2 10 16 5" xfId="6904" xr:uid="{00000000-0005-0000-0000-0000F81A0000}"/>
    <cellStyle name="Normal 2 2 10 16 5 10" xfId="6905" xr:uid="{00000000-0005-0000-0000-0000F91A0000}"/>
    <cellStyle name="Normal 2 2 10 16 5 2" xfId="6906" xr:uid="{00000000-0005-0000-0000-0000FA1A0000}"/>
    <cellStyle name="Normal 2 2 10 16 5 3" xfId="6907" xr:uid="{00000000-0005-0000-0000-0000FB1A0000}"/>
    <cellStyle name="Normal 2 2 10 16 5 4" xfId="6908" xr:uid="{00000000-0005-0000-0000-0000FC1A0000}"/>
    <cellStyle name="Normal 2 2 10 16 5 5" xfId="6909" xr:uid="{00000000-0005-0000-0000-0000FD1A0000}"/>
    <cellStyle name="Normal 2 2 10 16 5 6" xfId="6910" xr:uid="{00000000-0005-0000-0000-0000FE1A0000}"/>
    <cellStyle name="Normal 2 2 10 16 5 7" xfId="6911" xr:uid="{00000000-0005-0000-0000-0000FF1A0000}"/>
    <cellStyle name="Normal 2 2 10 16 5 8" xfId="6912" xr:uid="{00000000-0005-0000-0000-0000001B0000}"/>
    <cellStyle name="Normal 2 2 10 16 5 9" xfId="6913" xr:uid="{00000000-0005-0000-0000-0000011B0000}"/>
    <cellStyle name="Normal 2 2 10 16 6" xfId="6914" xr:uid="{00000000-0005-0000-0000-0000021B0000}"/>
    <cellStyle name="Normal 2 2 10 16 7" xfId="6915" xr:uid="{00000000-0005-0000-0000-0000031B0000}"/>
    <cellStyle name="Normal 2 2 10 16 8" xfId="6916" xr:uid="{00000000-0005-0000-0000-0000041B0000}"/>
    <cellStyle name="Normal 2 2 10 16 9" xfId="6917" xr:uid="{00000000-0005-0000-0000-0000051B0000}"/>
    <cellStyle name="Normal 2 2 10 17" xfId="6918" xr:uid="{00000000-0005-0000-0000-0000061B0000}"/>
    <cellStyle name="Normal 2 2 10 17 10" xfId="6919" xr:uid="{00000000-0005-0000-0000-0000071B0000}"/>
    <cellStyle name="Normal 2 2 10 17 11" xfId="6920" xr:uid="{00000000-0005-0000-0000-0000081B0000}"/>
    <cellStyle name="Normal 2 2 10 17 12" xfId="6921" xr:uid="{00000000-0005-0000-0000-0000091B0000}"/>
    <cellStyle name="Normal 2 2 10 17 13" xfId="6922" xr:uid="{00000000-0005-0000-0000-00000A1B0000}"/>
    <cellStyle name="Normal 2 2 10 17 14" xfId="6923" xr:uid="{00000000-0005-0000-0000-00000B1B0000}"/>
    <cellStyle name="Normal 2 2 10 17 2" xfId="6924" xr:uid="{00000000-0005-0000-0000-00000C1B0000}"/>
    <cellStyle name="Normal 2 2 10 17 2 10" xfId="6925" xr:uid="{00000000-0005-0000-0000-00000D1B0000}"/>
    <cellStyle name="Normal 2 2 10 17 2 2" xfId="6926" xr:uid="{00000000-0005-0000-0000-00000E1B0000}"/>
    <cellStyle name="Normal 2 2 10 17 2 3" xfId="6927" xr:uid="{00000000-0005-0000-0000-00000F1B0000}"/>
    <cellStyle name="Normal 2 2 10 17 2 4" xfId="6928" xr:uid="{00000000-0005-0000-0000-0000101B0000}"/>
    <cellStyle name="Normal 2 2 10 17 2 5" xfId="6929" xr:uid="{00000000-0005-0000-0000-0000111B0000}"/>
    <cellStyle name="Normal 2 2 10 17 2 6" xfId="6930" xr:uid="{00000000-0005-0000-0000-0000121B0000}"/>
    <cellStyle name="Normal 2 2 10 17 2 7" xfId="6931" xr:uid="{00000000-0005-0000-0000-0000131B0000}"/>
    <cellStyle name="Normal 2 2 10 17 2 8" xfId="6932" xr:uid="{00000000-0005-0000-0000-0000141B0000}"/>
    <cellStyle name="Normal 2 2 10 17 2 9" xfId="6933" xr:uid="{00000000-0005-0000-0000-0000151B0000}"/>
    <cellStyle name="Normal 2 2 10 17 3" xfId="6934" xr:uid="{00000000-0005-0000-0000-0000161B0000}"/>
    <cellStyle name="Normal 2 2 10 17 3 10" xfId="6935" xr:uid="{00000000-0005-0000-0000-0000171B0000}"/>
    <cellStyle name="Normal 2 2 10 17 3 2" xfId="6936" xr:uid="{00000000-0005-0000-0000-0000181B0000}"/>
    <cellStyle name="Normal 2 2 10 17 3 3" xfId="6937" xr:uid="{00000000-0005-0000-0000-0000191B0000}"/>
    <cellStyle name="Normal 2 2 10 17 3 4" xfId="6938" xr:uid="{00000000-0005-0000-0000-00001A1B0000}"/>
    <cellStyle name="Normal 2 2 10 17 3 5" xfId="6939" xr:uid="{00000000-0005-0000-0000-00001B1B0000}"/>
    <cellStyle name="Normal 2 2 10 17 3 6" xfId="6940" xr:uid="{00000000-0005-0000-0000-00001C1B0000}"/>
    <cellStyle name="Normal 2 2 10 17 3 7" xfId="6941" xr:uid="{00000000-0005-0000-0000-00001D1B0000}"/>
    <cellStyle name="Normal 2 2 10 17 3 8" xfId="6942" xr:uid="{00000000-0005-0000-0000-00001E1B0000}"/>
    <cellStyle name="Normal 2 2 10 17 3 9" xfId="6943" xr:uid="{00000000-0005-0000-0000-00001F1B0000}"/>
    <cellStyle name="Normal 2 2 10 17 4" xfId="6944" xr:uid="{00000000-0005-0000-0000-0000201B0000}"/>
    <cellStyle name="Normal 2 2 10 17 4 10" xfId="6945" xr:uid="{00000000-0005-0000-0000-0000211B0000}"/>
    <cellStyle name="Normal 2 2 10 17 4 2" xfId="6946" xr:uid="{00000000-0005-0000-0000-0000221B0000}"/>
    <cellStyle name="Normal 2 2 10 17 4 3" xfId="6947" xr:uid="{00000000-0005-0000-0000-0000231B0000}"/>
    <cellStyle name="Normal 2 2 10 17 4 4" xfId="6948" xr:uid="{00000000-0005-0000-0000-0000241B0000}"/>
    <cellStyle name="Normal 2 2 10 17 4 5" xfId="6949" xr:uid="{00000000-0005-0000-0000-0000251B0000}"/>
    <cellStyle name="Normal 2 2 10 17 4 6" xfId="6950" xr:uid="{00000000-0005-0000-0000-0000261B0000}"/>
    <cellStyle name="Normal 2 2 10 17 4 7" xfId="6951" xr:uid="{00000000-0005-0000-0000-0000271B0000}"/>
    <cellStyle name="Normal 2 2 10 17 4 8" xfId="6952" xr:uid="{00000000-0005-0000-0000-0000281B0000}"/>
    <cellStyle name="Normal 2 2 10 17 4 9" xfId="6953" xr:uid="{00000000-0005-0000-0000-0000291B0000}"/>
    <cellStyle name="Normal 2 2 10 17 5" xfId="6954" xr:uid="{00000000-0005-0000-0000-00002A1B0000}"/>
    <cellStyle name="Normal 2 2 10 17 5 10" xfId="6955" xr:uid="{00000000-0005-0000-0000-00002B1B0000}"/>
    <cellStyle name="Normal 2 2 10 17 5 2" xfId="6956" xr:uid="{00000000-0005-0000-0000-00002C1B0000}"/>
    <cellStyle name="Normal 2 2 10 17 5 3" xfId="6957" xr:uid="{00000000-0005-0000-0000-00002D1B0000}"/>
    <cellStyle name="Normal 2 2 10 17 5 4" xfId="6958" xr:uid="{00000000-0005-0000-0000-00002E1B0000}"/>
    <cellStyle name="Normal 2 2 10 17 5 5" xfId="6959" xr:uid="{00000000-0005-0000-0000-00002F1B0000}"/>
    <cellStyle name="Normal 2 2 10 17 5 6" xfId="6960" xr:uid="{00000000-0005-0000-0000-0000301B0000}"/>
    <cellStyle name="Normal 2 2 10 17 5 7" xfId="6961" xr:uid="{00000000-0005-0000-0000-0000311B0000}"/>
    <cellStyle name="Normal 2 2 10 17 5 8" xfId="6962" xr:uid="{00000000-0005-0000-0000-0000321B0000}"/>
    <cellStyle name="Normal 2 2 10 17 5 9" xfId="6963" xr:uid="{00000000-0005-0000-0000-0000331B0000}"/>
    <cellStyle name="Normal 2 2 10 17 6" xfId="6964" xr:uid="{00000000-0005-0000-0000-0000341B0000}"/>
    <cellStyle name="Normal 2 2 10 17 7" xfId="6965" xr:uid="{00000000-0005-0000-0000-0000351B0000}"/>
    <cellStyle name="Normal 2 2 10 17 8" xfId="6966" xr:uid="{00000000-0005-0000-0000-0000361B0000}"/>
    <cellStyle name="Normal 2 2 10 17 9" xfId="6967" xr:uid="{00000000-0005-0000-0000-0000371B0000}"/>
    <cellStyle name="Normal 2 2 10 18" xfId="6968" xr:uid="{00000000-0005-0000-0000-0000381B0000}"/>
    <cellStyle name="Normal 2 2 10 18 10" xfId="6969" xr:uid="{00000000-0005-0000-0000-0000391B0000}"/>
    <cellStyle name="Normal 2 2 10 18 11" xfId="6970" xr:uid="{00000000-0005-0000-0000-00003A1B0000}"/>
    <cellStyle name="Normal 2 2 10 18 12" xfId="6971" xr:uid="{00000000-0005-0000-0000-00003B1B0000}"/>
    <cellStyle name="Normal 2 2 10 18 13" xfId="6972" xr:uid="{00000000-0005-0000-0000-00003C1B0000}"/>
    <cellStyle name="Normal 2 2 10 18 14" xfId="6973" xr:uid="{00000000-0005-0000-0000-00003D1B0000}"/>
    <cellStyle name="Normal 2 2 10 18 2" xfId="6974" xr:uid="{00000000-0005-0000-0000-00003E1B0000}"/>
    <cellStyle name="Normal 2 2 10 18 2 10" xfId="6975" xr:uid="{00000000-0005-0000-0000-00003F1B0000}"/>
    <cellStyle name="Normal 2 2 10 18 2 2" xfId="6976" xr:uid="{00000000-0005-0000-0000-0000401B0000}"/>
    <cellStyle name="Normal 2 2 10 18 2 3" xfId="6977" xr:uid="{00000000-0005-0000-0000-0000411B0000}"/>
    <cellStyle name="Normal 2 2 10 18 2 4" xfId="6978" xr:uid="{00000000-0005-0000-0000-0000421B0000}"/>
    <cellStyle name="Normal 2 2 10 18 2 5" xfId="6979" xr:uid="{00000000-0005-0000-0000-0000431B0000}"/>
    <cellStyle name="Normal 2 2 10 18 2 6" xfId="6980" xr:uid="{00000000-0005-0000-0000-0000441B0000}"/>
    <cellStyle name="Normal 2 2 10 18 2 7" xfId="6981" xr:uid="{00000000-0005-0000-0000-0000451B0000}"/>
    <cellStyle name="Normal 2 2 10 18 2 8" xfId="6982" xr:uid="{00000000-0005-0000-0000-0000461B0000}"/>
    <cellStyle name="Normal 2 2 10 18 2 9" xfId="6983" xr:uid="{00000000-0005-0000-0000-0000471B0000}"/>
    <cellStyle name="Normal 2 2 10 18 3" xfId="6984" xr:uid="{00000000-0005-0000-0000-0000481B0000}"/>
    <cellStyle name="Normal 2 2 10 18 3 10" xfId="6985" xr:uid="{00000000-0005-0000-0000-0000491B0000}"/>
    <cellStyle name="Normal 2 2 10 18 3 2" xfId="6986" xr:uid="{00000000-0005-0000-0000-00004A1B0000}"/>
    <cellStyle name="Normal 2 2 10 18 3 3" xfId="6987" xr:uid="{00000000-0005-0000-0000-00004B1B0000}"/>
    <cellStyle name="Normal 2 2 10 18 3 4" xfId="6988" xr:uid="{00000000-0005-0000-0000-00004C1B0000}"/>
    <cellStyle name="Normal 2 2 10 18 3 5" xfId="6989" xr:uid="{00000000-0005-0000-0000-00004D1B0000}"/>
    <cellStyle name="Normal 2 2 10 18 3 6" xfId="6990" xr:uid="{00000000-0005-0000-0000-00004E1B0000}"/>
    <cellStyle name="Normal 2 2 10 18 3 7" xfId="6991" xr:uid="{00000000-0005-0000-0000-00004F1B0000}"/>
    <cellStyle name="Normal 2 2 10 18 3 8" xfId="6992" xr:uid="{00000000-0005-0000-0000-0000501B0000}"/>
    <cellStyle name="Normal 2 2 10 18 3 9" xfId="6993" xr:uid="{00000000-0005-0000-0000-0000511B0000}"/>
    <cellStyle name="Normal 2 2 10 18 4" xfId="6994" xr:uid="{00000000-0005-0000-0000-0000521B0000}"/>
    <cellStyle name="Normal 2 2 10 18 4 10" xfId="6995" xr:uid="{00000000-0005-0000-0000-0000531B0000}"/>
    <cellStyle name="Normal 2 2 10 18 4 2" xfId="6996" xr:uid="{00000000-0005-0000-0000-0000541B0000}"/>
    <cellStyle name="Normal 2 2 10 18 4 3" xfId="6997" xr:uid="{00000000-0005-0000-0000-0000551B0000}"/>
    <cellStyle name="Normal 2 2 10 18 4 4" xfId="6998" xr:uid="{00000000-0005-0000-0000-0000561B0000}"/>
    <cellStyle name="Normal 2 2 10 18 4 5" xfId="6999" xr:uid="{00000000-0005-0000-0000-0000571B0000}"/>
    <cellStyle name="Normal 2 2 10 18 4 6" xfId="7000" xr:uid="{00000000-0005-0000-0000-0000581B0000}"/>
    <cellStyle name="Normal 2 2 10 18 4 7" xfId="7001" xr:uid="{00000000-0005-0000-0000-0000591B0000}"/>
    <cellStyle name="Normal 2 2 10 18 4 8" xfId="7002" xr:uid="{00000000-0005-0000-0000-00005A1B0000}"/>
    <cellStyle name="Normal 2 2 10 18 4 9" xfId="7003" xr:uid="{00000000-0005-0000-0000-00005B1B0000}"/>
    <cellStyle name="Normal 2 2 10 18 5" xfId="7004" xr:uid="{00000000-0005-0000-0000-00005C1B0000}"/>
    <cellStyle name="Normal 2 2 10 18 5 10" xfId="7005" xr:uid="{00000000-0005-0000-0000-00005D1B0000}"/>
    <cellStyle name="Normal 2 2 10 18 5 2" xfId="7006" xr:uid="{00000000-0005-0000-0000-00005E1B0000}"/>
    <cellStyle name="Normal 2 2 10 18 5 3" xfId="7007" xr:uid="{00000000-0005-0000-0000-00005F1B0000}"/>
    <cellStyle name="Normal 2 2 10 18 5 4" xfId="7008" xr:uid="{00000000-0005-0000-0000-0000601B0000}"/>
    <cellStyle name="Normal 2 2 10 18 5 5" xfId="7009" xr:uid="{00000000-0005-0000-0000-0000611B0000}"/>
    <cellStyle name="Normal 2 2 10 18 5 6" xfId="7010" xr:uid="{00000000-0005-0000-0000-0000621B0000}"/>
    <cellStyle name="Normal 2 2 10 18 5 7" xfId="7011" xr:uid="{00000000-0005-0000-0000-0000631B0000}"/>
    <cellStyle name="Normal 2 2 10 18 5 8" xfId="7012" xr:uid="{00000000-0005-0000-0000-0000641B0000}"/>
    <cellStyle name="Normal 2 2 10 18 5 9" xfId="7013" xr:uid="{00000000-0005-0000-0000-0000651B0000}"/>
    <cellStyle name="Normal 2 2 10 18 6" xfId="7014" xr:uid="{00000000-0005-0000-0000-0000661B0000}"/>
    <cellStyle name="Normal 2 2 10 18 7" xfId="7015" xr:uid="{00000000-0005-0000-0000-0000671B0000}"/>
    <cellStyle name="Normal 2 2 10 18 8" xfId="7016" xr:uid="{00000000-0005-0000-0000-0000681B0000}"/>
    <cellStyle name="Normal 2 2 10 18 9" xfId="7017" xr:uid="{00000000-0005-0000-0000-0000691B0000}"/>
    <cellStyle name="Normal 2 2 10 19" xfId="7018" xr:uid="{00000000-0005-0000-0000-00006A1B0000}"/>
    <cellStyle name="Normal 2 2 10 19 10" xfId="7019" xr:uid="{00000000-0005-0000-0000-00006B1B0000}"/>
    <cellStyle name="Normal 2 2 10 19 11" xfId="7020" xr:uid="{00000000-0005-0000-0000-00006C1B0000}"/>
    <cellStyle name="Normal 2 2 10 19 12" xfId="7021" xr:uid="{00000000-0005-0000-0000-00006D1B0000}"/>
    <cellStyle name="Normal 2 2 10 19 13" xfId="7022" xr:uid="{00000000-0005-0000-0000-00006E1B0000}"/>
    <cellStyle name="Normal 2 2 10 19 14" xfId="7023" xr:uid="{00000000-0005-0000-0000-00006F1B0000}"/>
    <cellStyle name="Normal 2 2 10 19 2" xfId="7024" xr:uid="{00000000-0005-0000-0000-0000701B0000}"/>
    <cellStyle name="Normal 2 2 10 19 2 10" xfId="7025" xr:uid="{00000000-0005-0000-0000-0000711B0000}"/>
    <cellStyle name="Normal 2 2 10 19 2 2" xfId="7026" xr:uid="{00000000-0005-0000-0000-0000721B0000}"/>
    <cellStyle name="Normal 2 2 10 19 2 3" xfId="7027" xr:uid="{00000000-0005-0000-0000-0000731B0000}"/>
    <cellStyle name="Normal 2 2 10 19 2 4" xfId="7028" xr:uid="{00000000-0005-0000-0000-0000741B0000}"/>
    <cellStyle name="Normal 2 2 10 19 2 5" xfId="7029" xr:uid="{00000000-0005-0000-0000-0000751B0000}"/>
    <cellStyle name="Normal 2 2 10 19 2 6" xfId="7030" xr:uid="{00000000-0005-0000-0000-0000761B0000}"/>
    <cellStyle name="Normal 2 2 10 19 2 7" xfId="7031" xr:uid="{00000000-0005-0000-0000-0000771B0000}"/>
    <cellStyle name="Normal 2 2 10 19 2 8" xfId="7032" xr:uid="{00000000-0005-0000-0000-0000781B0000}"/>
    <cellStyle name="Normal 2 2 10 19 2 9" xfId="7033" xr:uid="{00000000-0005-0000-0000-0000791B0000}"/>
    <cellStyle name="Normal 2 2 10 19 3" xfId="7034" xr:uid="{00000000-0005-0000-0000-00007A1B0000}"/>
    <cellStyle name="Normal 2 2 10 19 3 10" xfId="7035" xr:uid="{00000000-0005-0000-0000-00007B1B0000}"/>
    <cellStyle name="Normal 2 2 10 19 3 2" xfId="7036" xr:uid="{00000000-0005-0000-0000-00007C1B0000}"/>
    <cellStyle name="Normal 2 2 10 19 3 3" xfId="7037" xr:uid="{00000000-0005-0000-0000-00007D1B0000}"/>
    <cellStyle name="Normal 2 2 10 19 3 4" xfId="7038" xr:uid="{00000000-0005-0000-0000-00007E1B0000}"/>
    <cellStyle name="Normal 2 2 10 19 3 5" xfId="7039" xr:uid="{00000000-0005-0000-0000-00007F1B0000}"/>
    <cellStyle name="Normal 2 2 10 19 3 6" xfId="7040" xr:uid="{00000000-0005-0000-0000-0000801B0000}"/>
    <cellStyle name="Normal 2 2 10 19 3 7" xfId="7041" xr:uid="{00000000-0005-0000-0000-0000811B0000}"/>
    <cellStyle name="Normal 2 2 10 19 3 8" xfId="7042" xr:uid="{00000000-0005-0000-0000-0000821B0000}"/>
    <cellStyle name="Normal 2 2 10 19 3 9" xfId="7043" xr:uid="{00000000-0005-0000-0000-0000831B0000}"/>
    <cellStyle name="Normal 2 2 10 19 4" xfId="7044" xr:uid="{00000000-0005-0000-0000-0000841B0000}"/>
    <cellStyle name="Normal 2 2 10 19 4 10" xfId="7045" xr:uid="{00000000-0005-0000-0000-0000851B0000}"/>
    <cellStyle name="Normal 2 2 10 19 4 2" xfId="7046" xr:uid="{00000000-0005-0000-0000-0000861B0000}"/>
    <cellStyle name="Normal 2 2 10 19 4 3" xfId="7047" xr:uid="{00000000-0005-0000-0000-0000871B0000}"/>
    <cellStyle name="Normal 2 2 10 19 4 4" xfId="7048" xr:uid="{00000000-0005-0000-0000-0000881B0000}"/>
    <cellStyle name="Normal 2 2 10 19 4 5" xfId="7049" xr:uid="{00000000-0005-0000-0000-0000891B0000}"/>
    <cellStyle name="Normal 2 2 10 19 4 6" xfId="7050" xr:uid="{00000000-0005-0000-0000-00008A1B0000}"/>
    <cellStyle name="Normal 2 2 10 19 4 7" xfId="7051" xr:uid="{00000000-0005-0000-0000-00008B1B0000}"/>
    <cellStyle name="Normal 2 2 10 19 4 8" xfId="7052" xr:uid="{00000000-0005-0000-0000-00008C1B0000}"/>
    <cellStyle name="Normal 2 2 10 19 4 9" xfId="7053" xr:uid="{00000000-0005-0000-0000-00008D1B0000}"/>
    <cellStyle name="Normal 2 2 10 19 5" xfId="7054" xr:uid="{00000000-0005-0000-0000-00008E1B0000}"/>
    <cellStyle name="Normal 2 2 10 19 5 10" xfId="7055" xr:uid="{00000000-0005-0000-0000-00008F1B0000}"/>
    <cellStyle name="Normal 2 2 10 19 5 2" xfId="7056" xr:uid="{00000000-0005-0000-0000-0000901B0000}"/>
    <cellStyle name="Normal 2 2 10 19 5 3" xfId="7057" xr:uid="{00000000-0005-0000-0000-0000911B0000}"/>
    <cellStyle name="Normal 2 2 10 19 5 4" xfId="7058" xr:uid="{00000000-0005-0000-0000-0000921B0000}"/>
    <cellStyle name="Normal 2 2 10 19 5 5" xfId="7059" xr:uid="{00000000-0005-0000-0000-0000931B0000}"/>
    <cellStyle name="Normal 2 2 10 19 5 6" xfId="7060" xr:uid="{00000000-0005-0000-0000-0000941B0000}"/>
    <cellStyle name="Normal 2 2 10 19 5 7" xfId="7061" xr:uid="{00000000-0005-0000-0000-0000951B0000}"/>
    <cellStyle name="Normal 2 2 10 19 5 8" xfId="7062" xr:uid="{00000000-0005-0000-0000-0000961B0000}"/>
    <cellStyle name="Normal 2 2 10 19 5 9" xfId="7063" xr:uid="{00000000-0005-0000-0000-0000971B0000}"/>
    <cellStyle name="Normal 2 2 10 19 6" xfId="7064" xr:uid="{00000000-0005-0000-0000-0000981B0000}"/>
    <cellStyle name="Normal 2 2 10 19 7" xfId="7065" xr:uid="{00000000-0005-0000-0000-0000991B0000}"/>
    <cellStyle name="Normal 2 2 10 19 8" xfId="7066" xr:uid="{00000000-0005-0000-0000-00009A1B0000}"/>
    <cellStyle name="Normal 2 2 10 19 9" xfId="7067" xr:uid="{00000000-0005-0000-0000-00009B1B0000}"/>
    <cellStyle name="Normal 2 2 10 2" xfId="7068" xr:uid="{00000000-0005-0000-0000-00009C1B0000}"/>
    <cellStyle name="Normal 2 2 10 2 10" xfId="7069" xr:uid="{00000000-0005-0000-0000-00009D1B0000}"/>
    <cellStyle name="Normal 2 2 10 2 10 10" xfId="7070" xr:uid="{00000000-0005-0000-0000-00009E1B0000}"/>
    <cellStyle name="Normal 2 2 10 2 10 11" xfId="7071" xr:uid="{00000000-0005-0000-0000-00009F1B0000}"/>
    <cellStyle name="Normal 2 2 10 2 10 12" xfId="7072" xr:uid="{00000000-0005-0000-0000-0000A01B0000}"/>
    <cellStyle name="Normal 2 2 10 2 10 13" xfId="7073" xr:uid="{00000000-0005-0000-0000-0000A11B0000}"/>
    <cellStyle name="Normal 2 2 10 2 10 14" xfId="7074" xr:uid="{00000000-0005-0000-0000-0000A21B0000}"/>
    <cellStyle name="Normal 2 2 10 2 10 2" xfId="7075" xr:uid="{00000000-0005-0000-0000-0000A31B0000}"/>
    <cellStyle name="Normal 2 2 10 2 10 2 10" xfId="7076" xr:uid="{00000000-0005-0000-0000-0000A41B0000}"/>
    <cellStyle name="Normal 2 2 10 2 10 2 2" xfId="7077" xr:uid="{00000000-0005-0000-0000-0000A51B0000}"/>
    <cellStyle name="Normal 2 2 10 2 10 2 3" xfId="7078" xr:uid="{00000000-0005-0000-0000-0000A61B0000}"/>
    <cellStyle name="Normal 2 2 10 2 10 2 4" xfId="7079" xr:uid="{00000000-0005-0000-0000-0000A71B0000}"/>
    <cellStyle name="Normal 2 2 10 2 10 2 5" xfId="7080" xr:uid="{00000000-0005-0000-0000-0000A81B0000}"/>
    <cellStyle name="Normal 2 2 10 2 10 2 6" xfId="7081" xr:uid="{00000000-0005-0000-0000-0000A91B0000}"/>
    <cellStyle name="Normal 2 2 10 2 10 2 7" xfId="7082" xr:uid="{00000000-0005-0000-0000-0000AA1B0000}"/>
    <cellStyle name="Normal 2 2 10 2 10 2 8" xfId="7083" xr:uid="{00000000-0005-0000-0000-0000AB1B0000}"/>
    <cellStyle name="Normal 2 2 10 2 10 2 9" xfId="7084" xr:uid="{00000000-0005-0000-0000-0000AC1B0000}"/>
    <cellStyle name="Normal 2 2 10 2 10 3" xfId="7085" xr:uid="{00000000-0005-0000-0000-0000AD1B0000}"/>
    <cellStyle name="Normal 2 2 10 2 10 3 10" xfId="7086" xr:uid="{00000000-0005-0000-0000-0000AE1B0000}"/>
    <cellStyle name="Normal 2 2 10 2 10 3 2" xfId="7087" xr:uid="{00000000-0005-0000-0000-0000AF1B0000}"/>
    <cellStyle name="Normal 2 2 10 2 10 3 3" xfId="7088" xr:uid="{00000000-0005-0000-0000-0000B01B0000}"/>
    <cellStyle name="Normal 2 2 10 2 10 3 4" xfId="7089" xr:uid="{00000000-0005-0000-0000-0000B11B0000}"/>
    <cellStyle name="Normal 2 2 10 2 10 3 5" xfId="7090" xr:uid="{00000000-0005-0000-0000-0000B21B0000}"/>
    <cellStyle name="Normal 2 2 10 2 10 3 6" xfId="7091" xr:uid="{00000000-0005-0000-0000-0000B31B0000}"/>
    <cellStyle name="Normal 2 2 10 2 10 3 7" xfId="7092" xr:uid="{00000000-0005-0000-0000-0000B41B0000}"/>
    <cellStyle name="Normal 2 2 10 2 10 3 8" xfId="7093" xr:uid="{00000000-0005-0000-0000-0000B51B0000}"/>
    <cellStyle name="Normal 2 2 10 2 10 3 9" xfId="7094" xr:uid="{00000000-0005-0000-0000-0000B61B0000}"/>
    <cellStyle name="Normal 2 2 10 2 10 4" xfId="7095" xr:uid="{00000000-0005-0000-0000-0000B71B0000}"/>
    <cellStyle name="Normal 2 2 10 2 10 4 10" xfId="7096" xr:uid="{00000000-0005-0000-0000-0000B81B0000}"/>
    <cellStyle name="Normal 2 2 10 2 10 4 2" xfId="7097" xr:uid="{00000000-0005-0000-0000-0000B91B0000}"/>
    <cellStyle name="Normal 2 2 10 2 10 4 3" xfId="7098" xr:uid="{00000000-0005-0000-0000-0000BA1B0000}"/>
    <cellStyle name="Normal 2 2 10 2 10 4 4" xfId="7099" xr:uid="{00000000-0005-0000-0000-0000BB1B0000}"/>
    <cellStyle name="Normal 2 2 10 2 10 4 5" xfId="7100" xr:uid="{00000000-0005-0000-0000-0000BC1B0000}"/>
    <cellStyle name="Normal 2 2 10 2 10 4 6" xfId="7101" xr:uid="{00000000-0005-0000-0000-0000BD1B0000}"/>
    <cellStyle name="Normal 2 2 10 2 10 4 7" xfId="7102" xr:uid="{00000000-0005-0000-0000-0000BE1B0000}"/>
    <cellStyle name="Normal 2 2 10 2 10 4 8" xfId="7103" xr:uid="{00000000-0005-0000-0000-0000BF1B0000}"/>
    <cellStyle name="Normal 2 2 10 2 10 4 9" xfId="7104" xr:uid="{00000000-0005-0000-0000-0000C01B0000}"/>
    <cellStyle name="Normal 2 2 10 2 10 5" xfId="7105" xr:uid="{00000000-0005-0000-0000-0000C11B0000}"/>
    <cellStyle name="Normal 2 2 10 2 10 5 10" xfId="7106" xr:uid="{00000000-0005-0000-0000-0000C21B0000}"/>
    <cellStyle name="Normal 2 2 10 2 10 5 2" xfId="7107" xr:uid="{00000000-0005-0000-0000-0000C31B0000}"/>
    <cellStyle name="Normal 2 2 10 2 10 5 3" xfId="7108" xr:uid="{00000000-0005-0000-0000-0000C41B0000}"/>
    <cellStyle name="Normal 2 2 10 2 10 5 4" xfId="7109" xr:uid="{00000000-0005-0000-0000-0000C51B0000}"/>
    <cellStyle name="Normal 2 2 10 2 10 5 5" xfId="7110" xr:uid="{00000000-0005-0000-0000-0000C61B0000}"/>
    <cellStyle name="Normal 2 2 10 2 10 5 6" xfId="7111" xr:uid="{00000000-0005-0000-0000-0000C71B0000}"/>
    <cellStyle name="Normal 2 2 10 2 10 5 7" xfId="7112" xr:uid="{00000000-0005-0000-0000-0000C81B0000}"/>
    <cellStyle name="Normal 2 2 10 2 10 5 8" xfId="7113" xr:uid="{00000000-0005-0000-0000-0000C91B0000}"/>
    <cellStyle name="Normal 2 2 10 2 10 5 9" xfId="7114" xr:uid="{00000000-0005-0000-0000-0000CA1B0000}"/>
    <cellStyle name="Normal 2 2 10 2 10 6" xfId="7115" xr:uid="{00000000-0005-0000-0000-0000CB1B0000}"/>
    <cellStyle name="Normal 2 2 10 2 10 7" xfId="7116" xr:uid="{00000000-0005-0000-0000-0000CC1B0000}"/>
    <cellStyle name="Normal 2 2 10 2 10 8" xfId="7117" xr:uid="{00000000-0005-0000-0000-0000CD1B0000}"/>
    <cellStyle name="Normal 2 2 10 2 10 9" xfId="7118" xr:uid="{00000000-0005-0000-0000-0000CE1B0000}"/>
    <cellStyle name="Normal 2 2 10 2 11" xfId="7119" xr:uid="{00000000-0005-0000-0000-0000CF1B0000}"/>
    <cellStyle name="Normal 2 2 10 2 11 10" xfId="7120" xr:uid="{00000000-0005-0000-0000-0000D01B0000}"/>
    <cellStyle name="Normal 2 2 10 2 11 11" xfId="7121" xr:uid="{00000000-0005-0000-0000-0000D11B0000}"/>
    <cellStyle name="Normal 2 2 10 2 11 12" xfId="7122" xr:uid="{00000000-0005-0000-0000-0000D21B0000}"/>
    <cellStyle name="Normal 2 2 10 2 11 13" xfId="7123" xr:uid="{00000000-0005-0000-0000-0000D31B0000}"/>
    <cellStyle name="Normal 2 2 10 2 11 14" xfId="7124" xr:uid="{00000000-0005-0000-0000-0000D41B0000}"/>
    <cellStyle name="Normal 2 2 10 2 11 2" xfId="7125" xr:uid="{00000000-0005-0000-0000-0000D51B0000}"/>
    <cellStyle name="Normal 2 2 10 2 11 2 10" xfId="7126" xr:uid="{00000000-0005-0000-0000-0000D61B0000}"/>
    <cellStyle name="Normal 2 2 10 2 11 2 2" xfId="7127" xr:uid="{00000000-0005-0000-0000-0000D71B0000}"/>
    <cellStyle name="Normal 2 2 10 2 11 2 3" xfId="7128" xr:uid="{00000000-0005-0000-0000-0000D81B0000}"/>
    <cellStyle name="Normal 2 2 10 2 11 2 4" xfId="7129" xr:uid="{00000000-0005-0000-0000-0000D91B0000}"/>
    <cellStyle name="Normal 2 2 10 2 11 2 5" xfId="7130" xr:uid="{00000000-0005-0000-0000-0000DA1B0000}"/>
    <cellStyle name="Normal 2 2 10 2 11 2 6" xfId="7131" xr:uid="{00000000-0005-0000-0000-0000DB1B0000}"/>
    <cellStyle name="Normal 2 2 10 2 11 2 7" xfId="7132" xr:uid="{00000000-0005-0000-0000-0000DC1B0000}"/>
    <cellStyle name="Normal 2 2 10 2 11 2 8" xfId="7133" xr:uid="{00000000-0005-0000-0000-0000DD1B0000}"/>
    <cellStyle name="Normal 2 2 10 2 11 2 9" xfId="7134" xr:uid="{00000000-0005-0000-0000-0000DE1B0000}"/>
    <cellStyle name="Normal 2 2 10 2 11 3" xfId="7135" xr:uid="{00000000-0005-0000-0000-0000DF1B0000}"/>
    <cellStyle name="Normal 2 2 10 2 11 3 10" xfId="7136" xr:uid="{00000000-0005-0000-0000-0000E01B0000}"/>
    <cellStyle name="Normal 2 2 10 2 11 3 2" xfId="7137" xr:uid="{00000000-0005-0000-0000-0000E11B0000}"/>
    <cellStyle name="Normal 2 2 10 2 11 3 3" xfId="7138" xr:uid="{00000000-0005-0000-0000-0000E21B0000}"/>
    <cellStyle name="Normal 2 2 10 2 11 3 4" xfId="7139" xr:uid="{00000000-0005-0000-0000-0000E31B0000}"/>
    <cellStyle name="Normal 2 2 10 2 11 3 5" xfId="7140" xr:uid="{00000000-0005-0000-0000-0000E41B0000}"/>
    <cellStyle name="Normal 2 2 10 2 11 3 6" xfId="7141" xr:uid="{00000000-0005-0000-0000-0000E51B0000}"/>
    <cellStyle name="Normal 2 2 10 2 11 3 7" xfId="7142" xr:uid="{00000000-0005-0000-0000-0000E61B0000}"/>
    <cellStyle name="Normal 2 2 10 2 11 3 8" xfId="7143" xr:uid="{00000000-0005-0000-0000-0000E71B0000}"/>
    <cellStyle name="Normal 2 2 10 2 11 3 9" xfId="7144" xr:uid="{00000000-0005-0000-0000-0000E81B0000}"/>
    <cellStyle name="Normal 2 2 10 2 11 4" xfId="7145" xr:uid="{00000000-0005-0000-0000-0000E91B0000}"/>
    <cellStyle name="Normal 2 2 10 2 11 4 10" xfId="7146" xr:uid="{00000000-0005-0000-0000-0000EA1B0000}"/>
    <cellStyle name="Normal 2 2 10 2 11 4 2" xfId="7147" xr:uid="{00000000-0005-0000-0000-0000EB1B0000}"/>
    <cellStyle name="Normal 2 2 10 2 11 4 3" xfId="7148" xr:uid="{00000000-0005-0000-0000-0000EC1B0000}"/>
    <cellStyle name="Normal 2 2 10 2 11 4 4" xfId="7149" xr:uid="{00000000-0005-0000-0000-0000ED1B0000}"/>
    <cellStyle name="Normal 2 2 10 2 11 4 5" xfId="7150" xr:uid="{00000000-0005-0000-0000-0000EE1B0000}"/>
    <cellStyle name="Normal 2 2 10 2 11 4 6" xfId="7151" xr:uid="{00000000-0005-0000-0000-0000EF1B0000}"/>
    <cellStyle name="Normal 2 2 10 2 11 4 7" xfId="7152" xr:uid="{00000000-0005-0000-0000-0000F01B0000}"/>
    <cellStyle name="Normal 2 2 10 2 11 4 8" xfId="7153" xr:uid="{00000000-0005-0000-0000-0000F11B0000}"/>
    <cellStyle name="Normal 2 2 10 2 11 4 9" xfId="7154" xr:uid="{00000000-0005-0000-0000-0000F21B0000}"/>
    <cellStyle name="Normal 2 2 10 2 11 5" xfId="7155" xr:uid="{00000000-0005-0000-0000-0000F31B0000}"/>
    <cellStyle name="Normal 2 2 10 2 11 5 10" xfId="7156" xr:uid="{00000000-0005-0000-0000-0000F41B0000}"/>
    <cellStyle name="Normal 2 2 10 2 11 5 2" xfId="7157" xr:uid="{00000000-0005-0000-0000-0000F51B0000}"/>
    <cellStyle name="Normal 2 2 10 2 11 5 3" xfId="7158" xr:uid="{00000000-0005-0000-0000-0000F61B0000}"/>
    <cellStyle name="Normal 2 2 10 2 11 5 4" xfId="7159" xr:uid="{00000000-0005-0000-0000-0000F71B0000}"/>
    <cellStyle name="Normal 2 2 10 2 11 5 5" xfId="7160" xr:uid="{00000000-0005-0000-0000-0000F81B0000}"/>
    <cellStyle name="Normal 2 2 10 2 11 5 6" xfId="7161" xr:uid="{00000000-0005-0000-0000-0000F91B0000}"/>
    <cellStyle name="Normal 2 2 10 2 11 5 7" xfId="7162" xr:uid="{00000000-0005-0000-0000-0000FA1B0000}"/>
    <cellStyle name="Normal 2 2 10 2 11 5 8" xfId="7163" xr:uid="{00000000-0005-0000-0000-0000FB1B0000}"/>
    <cellStyle name="Normal 2 2 10 2 11 5 9" xfId="7164" xr:uid="{00000000-0005-0000-0000-0000FC1B0000}"/>
    <cellStyle name="Normal 2 2 10 2 11 6" xfId="7165" xr:uid="{00000000-0005-0000-0000-0000FD1B0000}"/>
    <cellStyle name="Normal 2 2 10 2 11 7" xfId="7166" xr:uid="{00000000-0005-0000-0000-0000FE1B0000}"/>
    <cellStyle name="Normal 2 2 10 2 11 8" xfId="7167" xr:uid="{00000000-0005-0000-0000-0000FF1B0000}"/>
    <cellStyle name="Normal 2 2 10 2 11 9" xfId="7168" xr:uid="{00000000-0005-0000-0000-0000001C0000}"/>
    <cellStyle name="Normal 2 2 10 2 12" xfId="7169" xr:uid="{00000000-0005-0000-0000-0000011C0000}"/>
    <cellStyle name="Normal 2 2 10 2 12 10" xfId="7170" xr:uid="{00000000-0005-0000-0000-0000021C0000}"/>
    <cellStyle name="Normal 2 2 10 2 12 11" xfId="7171" xr:uid="{00000000-0005-0000-0000-0000031C0000}"/>
    <cellStyle name="Normal 2 2 10 2 12 12" xfId="7172" xr:uid="{00000000-0005-0000-0000-0000041C0000}"/>
    <cellStyle name="Normal 2 2 10 2 12 13" xfId="7173" xr:uid="{00000000-0005-0000-0000-0000051C0000}"/>
    <cellStyle name="Normal 2 2 10 2 12 14" xfId="7174" xr:uid="{00000000-0005-0000-0000-0000061C0000}"/>
    <cellStyle name="Normal 2 2 10 2 12 2" xfId="7175" xr:uid="{00000000-0005-0000-0000-0000071C0000}"/>
    <cellStyle name="Normal 2 2 10 2 12 2 10" xfId="7176" xr:uid="{00000000-0005-0000-0000-0000081C0000}"/>
    <cellStyle name="Normal 2 2 10 2 12 2 2" xfId="7177" xr:uid="{00000000-0005-0000-0000-0000091C0000}"/>
    <cellStyle name="Normal 2 2 10 2 12 2 3" xfId="7178" xr:uid="{00000000-0005-0000-0000-00000A1C0000}"/>
    <cellStyle name="Normal 2 2 10 2 12 2 4" xfId="7179" xr:uid="{00000000-0005-0000-0000-00000B1C0000}"/>
    <cellStyle name="Normal 2 2 10 2 12 2 5" xfId="7180" xr:uid="{00000000-0005-0000-0000-00000C1C0000}"/>
    <cellStyle name="Normal 2 2 10 2 12 2 6" xfId="7181" xr:uid="{00000000-0005-0000-0000-00000D1C0000}"/>
    <cellStyle name="Normal 2 2 10 2 12 2 7" xfId="7182" xr:uid="{00000000-0005-0000-0000-00000E1C0000}"/>
    <cellStyle name="Normal 2 2 10 2 12 2 8" xfId="7183" xr:uid="{00000000-0005-0000-0000-00000F1C0000}"/>
    <cellStyle name="Normal 2 2 10 2 12 2 9" xfId="7184" xr:uid="{00000000-0005-0000-0000-0000101C0000}"/>
    <cellStyle name="Normal 2 2 10 2 12 3" xfId="7185" xr:uid="{00000000-0005-0000-0000-0000111C0000}"/>
    <cellStyle name="Normal 2 2 10 2 12 3 10" xfId="7186" xr:uid="{00000000-0005-0000-0000-0000121C0000}"/>
    <cellStyle name="Normal 2 2 10 2 12 3 2" xfId="7187" xr:uid="{00000000-0005-0000-0000-0000131C0000}"/>
    <cellStyle name="Normal 2 2 10 2 12 3 3" xfId="7188" xr:uid="{00000000-0005-0000-0000-0000141C0000}"/>
    <cellStyle name="Normal 2 2 10 2 12 3 4" xfId="7189" xr:uid="{00000000-0005-0000-0000-0000151C0000}"/>
    <cellStyle name="Normal 2 2 10 2 12 3 5" xfId="7190" xr:uid="{00000000-0005-0000-0000-0000161C0000}"/>
    <cellStyle name="Normal 2 2 10 2 12 3 6" xfId="7191" xr:uid="{00000000-0005-0000-0000-0000171C0000}"/>
    <cellStyle name="Normal 2 2 10 2 12 3 7" xfId="7192" xr:uid="{00000000-0005-0000-0000-0000181C0000}"/>
    <cellStyle name="Normal 2 2 10 2 12 3 8" xfId="7193" xr:uid="{00000000-0005-0000-0000-0000191C0000}"/>
    <cellStyle name="Normal 2 2 10 2 12 3 9" xfId="7194" xr:uid="{00000000-0005-0000-0000-00001A1C0000}"/>
    <cellStyle name="Normal 2 2 10 2 12 4" xfId="7195" xr:uid="{00000000-0005-0000-0000-00001B1C0000}"/>
    <cellStyle name="Normal 2 2 10 2 12 4 10" xfId="7196" xr:uid="{00000000-0005-0000-0000-00001C1C0000}"/>
    <cellStyle name="Normal 2 2 10 2 12 4 2" xfId="7197" xr:uid="{00000000-0005-0000-0000-00001D1C0000}"/>
    <cellStyle name="Normal 2 2 10 2 12 4 3" xfId="7198" xr:uid="{00000000-0005-0000-0000-00001E1C0000}"/>
    <cellStyle name="Normal 2 2 10 2 12 4 4" xfId="7199" xr:uid="{00000000-0005-0000-0000-00001F1C0000}"/>
    <cellStyle name="Normal 2 2 10 2 12 4 5" xfId="7200" xr:uid="{00000000-0005-0000-0000-0000201C0000}"/>
    <cellStyle name="Normal 2 2 10 2 12 4 6" xfId="7201" xr:uid="{00000000-0005-0000-0000-0000211C0000}"/>
    <cellStyle name="Normal 2 2 10 2 12 4 7" xfId="7202" xr:uid="{00000000-0005-0000-0000-0000221C0000}"/>
    <cellStyle name="Normal 2 2 10 2 12 4 8" xfId="7203" xr:uid="{00000000-0005-0000-0000-0000231C0000}"/>
    <cellStyle name="Normal 2 2 10 2 12 4 9" xfId="7204" xr:uid="{00000000-0005-0000-0000-0000241C0000}"/>
    <cellStyle name="Normal 2 2 10 2 12 5" xfId="7205" xr:uid="{00000000-0005-0000-0000-0000251C0000}"/>
    <cellStyle name="Normal 2 2 10 2 12 5 10" xfId="7206" xr:uid="{00000000-0005-0000-0000-0000261C0000}"/>
    <cellStyle name="Normal 2 2 10 2 12 5 2" xfId="7207" xr:uid="{00000000-0005-0000-0000-0000271C0000}"/>
    <cellStyle name="Normal 2 2 10 2 12 5 3" xfId="7208" xr:uid="{00000000-0005-0000-0000-0000281C0000}"/>
    <cellStyle name="Normal 2 2 10 2 12 5 4" xfId="7209" xr:uid="{00000000-0005-0000-0000-0000291C0000}"/>
    <cellStyle name="Normal 2 2 10 2 12 5 5" xfId="7210" xr:uid="{00000000-0005-0000-0000-00002A1C0000}"/>
    <cellStyle name="Normal 2 2 10 2 12 5 6" xfId="7211" xr:uid="{00000000-0005-0000-0000-00002B1C0000}"/>
    <cellStyle name="Normal 2 2 10 2 12 5 7" xfId="7212" xr:uid="{00000000-0005-0000-0000-00002C1C0000}"/>
    <cellStyle name="Normal 2 2 10 2 12 5 8" xfId="7213" xr:uid="{00000000-0005-0000-0000-00002D1C0000}"/>
    <cellStyle name="Normal 2 2 10 2 12 5 9" xfId="7214" xr:uid="{00000000-0005-0000-0000-00002E1C0000}"/>
    <cellStyle name="Normal 2 2 10 2 12 6" xfId="7215" xr:uid="{00000000-0005-0000-0000-00002F1C0000}"/>
    <cellStyle name="Normal 2 2 10 2 12 7" xfId="7216" xr:uid="{00000000-0005-0000-0000-0000301C0000}"/>
    <cellStyle name="Normal 2 2 10 2 12 8" xfId="7217" xr:uid="{00000000-0005-0000-0000-0000311C0000}"/>
    <cellStyle name="Normal 2 2 10 2 12 9" xfId="7218" xr:uid="{00000000-0005-0000-0000-0000321C0000}"/>
    <cellStyle name="Normal 2 2 10 2 13" xfId="7219" xr:uid="{00000000-0005-0000-0000-0000331C0000}"/>
    <cellStyle name="Normal 2 2 10 2 13 10" xfId="7220" xr:uid="{00000000-0005-0000-0000-0000341C0000}"/>
    <cellStyle name="Normal 2 2 10 2 13 11" xfId="7221" xr:uid="{00000000-0005-0000-0000-0000351C0000}"/>
    <cellStyle name="Normal 2 2 10 2 13 12" xfId="7222" xr:uid="{00000000-0005-0000-0000-0000361C0000}"/>
    <cellStyle name="Normal 2 2 10 2 13 13" xfId="7223" xr:uid="{00000000-0005-0000-0000-0000371C0000}"/>
    <cellStyle name="Normal 2 2 10 2 13 14" xfId="7224" xr:uid="{00000000-0005-0000-0000-0000381C0000}"/>
    <cellStyle name="Normal 2 2 10 2 13 2" xfId="7225" xr:uid="{00000000-0005-0000-0000-0000391C0000}"/>
    <cellStyle name="Normal 2 2 10 2 13 2 10" xfId="7226" xr:uid="{00000000-0005-0000-0000-00003A1C0000}"/>
    <cellStyle name="Normal 2 2 10 2 13 2 2" xfId="7227" xr:uid="{00000000-0005-0000-0000-00003B1C0000}"/>
    <cellStyle name="Normal 2 2 10 2 13 2 3" xfId="7228" xr:uid="{00000000-0005-0000-0000-00003C1C0000}"/>
    <cellStyle name="Normal 2 2 10 2 13 2 4" xfId="7229" xr:uid="{00000000-0005-0000-0000-00003D1C0000}"/>
    <cellStyle name="Normal 2 2 10 2 13 2 5" xfId="7230" xr:uid="{00000000-0005-0000-0000-00003E1C0000}"/>
    <cellStyle name="Normal 2 2 10 2 13 2 6" xfId="7231" xr:uid="{00000000-0005-0000-0000-00003F1C0000}"/>
    <cellStyle name="Normal 2 2 10 2 13 2 7" xfId="7232" xr:uid="{00000000-0005-0000-0000-0000401C0000}"/>
    <cellStyle name="Normal 2 2 10 2 13 2 8" xfId="7233" xr:uid="{00000000-0005-0000-0000-0000411C0000}"/>
    <cellStyle name="Normal 2 2 10 2 13 2 9" xfId="7234" xr:uid="{00000000-0005-0000-0000-0000421C0000}"/>
    <cellStyle name="Normal 2 2 10 2 13 3" xfId="7235" xr:uid="{00000000-0005-0000-0000-0000431C0000}"/>
    <cellStyle name="Normal 2 2 10 2 13 3 10" xfId="7236" xr:uid="{00000000-0005-0000-0000-0000441C0000}"/>
    <cellStyle name="Normal 2 2 10 2 13 3 2" xfId="7237" xr:uid="{00000000-0005-0000-0000-0000451C0000}"/>
    <cellStyle name="Normal 2 2 10 2 13 3 3" xfId="7238" xr:uid="{00000000-0005-0000-0000-0000461C0000}"/>
    <cellStyle name="Normal 2 2 10 2 13 3 4" xfId="7239" xr:uid="{00000000-0005-0000-0000-0000471C0000}"/>
    <cellStyle name="Normal 2 2 10 2 13 3 5" xfId="7240" xr:uid="{00000000-0005-0000-0000-0000481C0000}"/>
    <cellStyle name="Normal 2 2 10 2 13 3 6" xfId="7241" xr:uid="{00000000-0005-0000-0000-0000491C0000}"/>
    <cellStyle name="Normal 2 2 10 2 13 3 7" xfId="7242" xr:uid="{00000000-0005-0000-0000-00004A1C0000}"/>
    <cellStyle name="Normal 2 2 10 2 13 3 8" xfId="7243" xr:uid="{00000000-0005-0000-0000-00004B1C0000}"/>
    <cellStyle name="Normal 2 2 10 2 13 3 9" xfId="7244" xr:uid="{00000000-0005-0000-0000-00004C1C0000}"/>
    <cellStyle name="Normal 2 2 10 2 13 4" xfId="7245" xr:uid="{00000000-0005-0000-0000-00004D1C0000}"/>
    <cellStyle name="Normal 2 2 10 2 13 4 10" xfId="7246" xr:uid="{00000000-0005-0000-0000-00004E1C0000}"/>
    <cellStyle name="Normal 2 2 10 2 13 4 2" xfId="7247" xr:uid="{00000000-0005-0000-0000-00004F1C0000}"/>
    <cellStyle name="Normal 2 2 10 2 13 4 3" xfId="7248" xr:uid="{00000000-0005-0000-0000-0000501C0000}"/>
    <cellStyle name="Normal 2 2 10 2 13 4 4" xfId="7249" xr:uid="{00000000-0005-0000-0000-0000511C0000}"/>
    <cellStyle name="Normal 2 2 10 2 13 4 5" xfId="7250" xr:uid="{00000000-0005-0000-0000-0000521C0000}"/>
    <cellStyle name="Normal 2 2 10 2 13 4 6" xfId="7251" xr:uid="{00000000-0005-0000-0000-0000531C0000}"/>
    <cellStyle name="Normal 2 2 10 2 13 4 7" xfId="7252" xr:uid="{00000000-0005-0000-0000-0000541C0000}"/>
    <cellStyle name="Normal 2 2 10 2 13 4 8" xfId="7253" xr:uid="{00000000-0005-0000-0000-0000551C0000}"/>
    <cellStyle name="Normal 2 2 10 2 13 4 9" xfId="7254" xr:uid="{00000000-0005-0000-0000-0000561C0000}"/>
    <cellStyle name="Normal 2 2 10 2 13 5" xfId="7255" xr:uid="{00000000-0005-0000-0000-0000571C0000}"/>
    <cellStyle name="Normal 2 2 10 2 13 5 10" xfId="7256" xr:uid="{00000000-0005-0000-0000-0000581C0000}"/>
    <cellStyle name="Normal 2 2 10 2 13 5 2" xfId="7257" xr:uid="{00000000-0005-0000-0000-0000591C0000}"/>
    <cellStyle name="Normal 2 2 10 2 13 5 3" xfId="7258" xr:uid="{00000000-0005-0000-0000-00005A1C0000}"/>
    <cellStyle name="Normal 2 2 10 2 13 5 4" xfId="7259" xr:uid="{00000000-0005-0000-0000-00005B1C0000}"/>
    <cellStyle name="Normal 2 2 10 2 13 5 5" xfId="7260" xr:uid="{00000000-0005-0000-0000-00005C1C0000}"/>
    <cellStyle name="Normal 2 2 10 2 13 5 6" xfId="7261" xr:uid="{00000000-0005-0000-0000-00005D1C0000}"/>
    <cellStyle name="Normal 2 2 10 2 13 5 7" xfId="7262" xr:uid="{00000000-0005-0000-0000-00005E1C0000}"/>
    <cellStyle name="Normal 2 2 10 2 13 5 8" xfId="7263" xr:uid="{00000000-0005-0000-0000-00005F1C0000}"/>
    <cellStyle name="Normal 2 2 10 2 13 5 9" xfId="7264" xr:uid="{00000000-0005-0000-0000-0000601C0000}"/>
    <cellStyle name="Normal 2 2 10 2 13 6" xfId="7265" xr:uid="{00000000-0005-0000-0000-0000611C0000}"/>
    <cellStyle name="Normal 2 2 10 2 13 7" xfId="7266" xr:uid="{00000000-0005-0000-0000-0000621C0000}"/>
    <cellStyle name="Normal 2 2 10 2 13 8" xfId="7267" xr:uid="{00000000-0005-0000-0000-0000631C0000}"/>
    <cellStyle name="Normal 2 2 10 2 13 9" xfId="7268" xr:uid="{00000000-0005-0000-0000-0000641C0000}"/>
    <cellStyle name="Normal 2 2 10 2 14" xfId="7269" xr:uid="{00000000-0005-0000-0000-0000651C0000}"/>
    <cellStyle name="Normal 2 2 10 2 14 10" xfId="7270" xr:uid="{00000000-0005-0000-0000-0000661C0000}"/>
    <cellStyle name="Normal 2 2 10 2 14 11" xfId="7271" xr:uid="{00000000-0005-0000-0000-0000671C0000}"/>
    <cellStyle name="Normal 2 2 10 2 14 12" xfId="7272" xr:uid="{00000000-0005-0000-0000-0000681C0000}"/>
    <cellStyle name="Normal 2 2 10 2 14 13" xfId="7273" xr:uid="{00000000-0005-0000-0000-0000691C0000}"/>
    <cellStyle name="Normal 2 2 10 2 14 14" xfId="7274" xr:uid="{00000000-0005-0000-0000-00006A1C0000}"/>
    <cellStyle name="Normal 2 2 10 2 14 2" xfId="7275" xr:uid="{00000000-0005-0000-0000-00006B1C0000}"/>
    <cellStyle name="Normal 2 2 10 2 14 2 10" xfId="7276" xr:uid="{00000000-0005-0000-0000-00006C1C0000}"/>
    <cellStyle name="Normal 2 2 10 2 14 2 2" xfId="7277" xr:uid="{00000000-0005-0000-0000-00006D1C0000}"/>
    <cellStyle name="Normal 2 2 10 2 14 2 3" xfId="7278" xr:uid="{00000000-0005-0000-0000-00006E1C0000}"/>
    <cellStyle name="Normal 2 2 10 2 14 2 4" xfId="7279" xr:uid="{00000000-0005-0000-0000-00006F1C0000}"/>
    <cellStyle name="Normal 2 2 10 2 14 2 5" xfId="7280" xr:uid="{00000000-0005-0000-0000-0000701C0000}"/>
    <cellStyle name="Normal 2 2 10 2 14 2 6" xfId="7281" xr:uid="{00000000-0005-0000-0000-0000711C0000}"/>
    <cellStyle name="Normal 2 2 10 2 14 2 7" xfId="7282" xr:uid="{00000000-0005-0000-0000-0000721C0000}"/>
    <cellStyle name="Normal 2 2 10 2 14 2 8" xfId="7283" xr:uid="{00000000-0005-0000-0000-0000731C0000}"/>
    <cellStyle name="Normal 2 2 10 2 14 2 9" xfId="7284" xr:uid="{00000000-0005-0000-0000-0000741C0000}"/>
    <cellStyle name="Normal 2 2 10 2 14 3" xfId="7285" xr:uid="{00000000-0005-0000-0000-0000751C0000}"/>
    <cellStyle name="Normal 2 2 10 2 14 3 10" xfId="7286" xr:uid="{00000000-0005-0000-0000-0000761C0000}"/>
    <cellStyle name="Normal 2 2 10 2 14 3 2" xfId="7287" xr:uid="{00000000-0005-0000-0000-0000771C0000}"/>
    <cellStyle name="Normal 2 2 10 2 14 3 3" xfId="7288" xr:uid="{00000000-0005-0000-0000-0000781C0000}"/>
    <cellStyle name="Normal 2 2 10 2 14 3 4" xfId="7289" xr:uid="{00000000-0005-0000-0000-0000791C0000}"/>
    <cellStyle name="Normal 2 2 10 2 14 3 5" xfId="7290" xr:uid="{00000000-0005-0000-0000-00007A1C0000}"/>
    <cellStyle name="Normal 2 2 10 2 14 3 6" xfId="7291" xr:uid="{00000000-0005-0000-0000-00007B1C0000}"/>
    <cellStyle name="Normal 2 2 10 2 14 3 7" xfId="7292" xr:uid="{00000000-0005-0000-0000-00007C1C0000}"/>
    <cellStyle name="Normal 2 2 10 2 14 3 8" xfId="7293" xr:uid="{00000000-0005-0000-0000-00007D1C0000}"/>
    <cellStyle name="Normal 2 2 10 2 14 3 9" xfId="7294" xr:uid="{00000000-0005-0000-0000-00007E1C0000}"/>
    <cellStyle name="Normal 2 2 10 2 14 4" xfId="7295" xr:uid="{00000000-0005-0000-0000-00007F1C0000}"/>
    <cellStyle name="Normal 2 2 10 2 14 4 10" xfId="7296" xr:uid="{00000000-0005-0000-0000-0000801C0000}"/>
    <cellStyle name="Normal 2 2 10 2 14 4 2" xfId="7297" xr:uid="{00000000-0005-0000-0000-0000811C0000}"/>
    <cellStyle name="Normal 2 2 10 2 14 4 3" xfId="7298" xr:uid="{00000000-0005-0000-0000-0000821C0000}"/>
    <cellStyle name="Normal 2 2 10 2 14 4 4" xfId="7299" xr:uid="{00000000-0005-0000-0000-0000831C0000}"/>
    <cellStyle name="Normal 2 2 10 2 14 4 5" xfId="7300" xr:uid="{00000000-0005-0000-0000-0000841C0000}"/>
    <cellStyle name="Normal 2 2 10 2 14 4 6" xfId="7301" xr:uid="{00000000-0005-0000-0000-0000851C0000}"/>
    <cellStyle name="Normal 2 2 10 2 14 4 7" xfId="7302" xr:uid="{00000000-0005-0000-0000-0000861C0000}"/>
    <cellStyle name="Normal 2 2 10 2 14 4 8" xfId="7303" xr:uid="{00000000-0005-0000-0000-0000871C0000}"/>
    <cellStyle name="Normal 2 2 10 2 14 4 9" xfId="7304" xr:uid="{00000000-0005-0000-0000-0000881C0000}"/>
    <cellStyle name="Normal 2 2 10 2 14 5" xfId="7305" xr:uid="{00000000-0005-0000-0000-0000891C0000}"/>
    <cellStyle name="Normal 2 2 10 2 14 5 10" xfId="7306" xr:uid="{00000000-0005-0000-0000-00008A1C0000}"/>
    <cellStyle name="Normal 2 2 10 2 14 5 2" xfId="7307" xr:uid="{00000000-0005-0000-0000-00008B1C0000}"/>
    <cellStyle name="Normal 2 2 10 2 14 5 3" xfId="7308" xr:uid="{00000000-0005-0000-0000-00008C1C0000}"/>
    <cellStyle name="Normal 2 2 10 2 14 5 4" xfId="7309" xr:uid="{00000000-0005-0000-0000-00008D1C0000}"/>
    <cellStyle name="Normal 2 2 10 2 14 5 5" xfId="7310" xr:uid="{00000000-0005-0000-0000-00008E1C0000}"/>
    <cellStyle name="Normal 2 2 10 2 14 5 6" xfId="7311" xr:uid="{00000000-0005-0000-0000-00008F1C0000}"/>
    <cellStyle name="Normal 2 2 10 2 14 5 7" xfId="7312" xr:uid="{00000000-0005-0000-0000-0000901C0000}"/>
    <cellStyle name="Normal 2 2 10 2 14 5 8" xfId="7313" xr:uid="{00000000-0005-0000-0000-0000911C0000}"/>
    <cellStyle name="Normal 2 2 10 2 14 5 9" xfId="7314" xr:uid="{00000000-0005-0000-0000-0000921C0000}"/>
    <cellStyle name="Normal 2 2 10 2 14 6" xfId="7315" xr:uid="{00000000-0005-0000-0000-0000931C0000}"/>
    <cellStyle name="Normal 2 2 10 2 14 7" xfId="7316" xr:uid="{00000000-0005-0000-0000-0000941C0000}"/>
    <cellStyle name="Normal 2 2 10 2 14 8" xfId="7317" xr:uid="{00000000-0005-0000-0000-0000951C0000}"/>
    <cellStyle name="Normal 2 2 10 2 14 9" xfId="7318" xr:uid="{00000000-0005-0000-0000-0000961C0000}"/>
    <cellStyle name="Normal 2 2 10 2 15" xfId="7319" xr:uid="{00000000-0005-0000-0000-0000971C0000}"/>
    <cellStyle name="Normal 2 2 10 2 15 10" xfId="7320" xr:uid="{00000000-0005-0000-0000-0000981C0000}"/>
    <cellStyle name="Normal 2 2 10 2 15 11" xfId="7321" xr:uid="{00000000-0005-0000-0000-0000991C0000}"/>
    <cellStyle name="Normal 2 2 10 2 15 12" xfId="7322" xr:uid="{00000000-0005-0000-0000-00009A1C0000}"/>
    <cellStyle name="Normal 2 2 10 2 15 13" xfId="7323" xr:uid="{00000000-0005-0000-0000-00009B1C0000}"/>
    <cellStyle name="Normal 2 2 10 2 15 14" xfId="7324" xr:uid="{00000000-0005-0000-0000-00009C1C0000}"/>
    <cellStyle name="Normal 2 2 10 2 15 2" xfId="7325" xr:uid="{00000000-0005-0000-0000-00009D1C0000}"/>
    <cellStyle name="Normal 2 2 10 2 15 2 10" xfId="7326" xr:uid="{00000000-0005-0000-0000-00009E1C0000}"/>
    <cellStyle name="Normal 2 2 10 2 15 2 2" xfId="7327" xr:uid="{00000000-0005-0000-0000-00009F1C0000}"/>
    <cellStyle name="Normal 2 2 10 2 15 2 3" xfId="7328" xr:uid="{00000000-0005-0000-0000-0000A01C0000}"/>
    <cellStyle name="Normal 2 2 10 2 15 2 4" xfId="7329" xr:uid="{00000000-0005-0000-0000-0000A11C0000}"/>
    <cellStyle name="Normal 2 2 10 2 15 2 5" xfId="7330" xr:uid="{00000000-0005-0000-0000-0000A21C0000}"/>
    <cellStyle name="Normal 2 2 10 2 15 2 6" xfId="7331" xr:uid="{00000000-0005-0000-0000-0000A31C0000}"/>
    <cellStyle name="Normal 2 2 10 2 15 2 7" xfId="7332" xr:uid="{00000000-0005-0000-0000-0000A41C0000}"/>
    <cellStyle name="Normal 2 2 10 2 15 2 8" xfId="7333" xr:uid="{00000000-0005-0000-0000-0000A51C0000}"/>
    <cellStyle name="Normal 2 2 10 2 15 2 9" xfId="7334" xr:uid="{00000000-0005-0000-0000-0000A61C0000}"/>
    <cellStyle name="Normal 2 2 10 2 15 3" xfId="7335" xr:uid="{00000000-0005-0000-0000-0000A71C0000}"/>
    <cellStyle name="Normal 2 2 10 2 15 3 10" xfId="7336" xr:uid="{00000000-0005-0000-0000-0000A81C0000}"/>
    <cellStyle name="Normal 2 2 10 2 15 3 2" xfId="7337" xr:uid="{00000000-0005-0000-0000-0000A91C0000}"/>
    <cellStyle name="Normal 2 2 10 2 15 3 3" xfId="7338" xr:uid="{00000000-0005-0000-0000-0000AA1C0000}"/>
    <cellStyle name="Normal 2 2 10 2 15 3 4" xfId="7339" xr:uid="{00000000-0005-0000-0000-0000AB1C0000}"/>
    <cellStyle name="Normal 2 2 10 2 15 3 5" xfId="7340" xr:uid="{00000000-0005-0000-0000-0000AC1C0000}"/>
    <cellStyle name="Normal 2 2 10 2 15 3 6" xfId="7341" xr:uid="{00000000-0005-0000-0000-0000AD1C0000}"/>
    <cellStyle name="Normal 2 2 10 2 15 3 7" xfId="7342" xr:uid="{00000000-0005-0000-0000-0000AE1C0000}"/>
    <cellStyle name="Normal 2 2 10 2 15 3 8" xfId="7343" xr:uid="{00000000-0005-0000-0000-0000AF1C0000}"/>
    <cellStyle name="Normal 2 2 10 2 15 3 9" xfId="7344" xr:uid="{00000000-0005-0000-0000-0000B01C0000}"/>
    <cellStyle name="Normal 2 2 10 2 15 4" xfId="7345" xr:uid="{00000000-0005-0000-0000-0000B11C0000}"/>
    <cellStyle name="Normal 2 2 10 2 15 4 10" xfId="7346" xr:uid="{00000000-0005-0000-0000-0000B21C0000}"/>
    <cellStyle name="Normal 2 2 10 2 15 4 2" xfId="7347" xr:uid="{00000000-0005-0000-0000-0000B31C0000}"/>
    <cellStyle name="Normal 2 2 10 2 15 4 3" xfId="7348" xr:uid="{00000000-0005-0000-0000-0000B41C0000}"/>
    <cellStyle name="Normal 2 2 10 2 15 4 4" xfId="7349" xr:uid="{00000000-0005-0000-0000-0000B51C0000}"/>
    <cellStyle name="Normal 2 2 10 2 15 4 5" xfId="7350" xr:uid="{00000000-0005-0000-0000-0000B61C0000}"/>
    <cellStyle name="Normal 2 2 10 2 15 4 6" xfId="7351" xr:uid="{00000000-0005-0000-0000-0000B71C0000}"/>
    <cellStyle name="Normal 2 2 10 2 15 4 7" xfId="7352" xr:uid="{00000000-0005-0000-0000-0000B81C0000}"/>
    <cellStyle name="Normal 2 2 10 2 15 4 8" xfId="7353" xr:uid="{00000000-0005-0000-0000-0000B91C0000}"/>
    <cellStyle name="Normal 2 2 10 2 15 4 9" xfId="7354" xr:uid="{00000000-0005-0000-0000-0000BA1C0000}"/>
    <cellStyle name="Normal 2 2 10 2 15 5" xfId="7355" xr:uid="{00000000-0005-0000-0000-0000BB1C0000}"/>
    <cellStyle name="Normal 2 2 10 2 15 5 10" xfId="7356" xr:uid="{00000000-0005-0000-0000-0000BC1C0000}"/>
    <cellStyle name="Normal 2 2 10 2 15 5 2" xfId="7357" xr:uid="{00000000-0005-0000-0000-0000BD1C0000}"/>
    <cellStyle name="Normal 2 2 10 2 15 5 3" xfId="7358" xr:uid="{00000000-0005-0000-0000-0000BE1C0000}"/>
    <cellStyle name="Normal 2 2 10 2 15 5 4" xfId="7359" xr:uid="{00000000-0005-0000-0000-0000BF1C0000}"/>
    <cellStyle name="Normal 2 2 10 2 15 5 5" xfId="7360" xr:uid="{00000000-0005-0000-0000-0000C01C0000}"/>
    <cellStyle name="Normal 2 2 10 2 15 5 6" xfId="7361" xr:uid="{00000000-0005-0000-0000-0000C11C0000}"/>
    <cellStyle name="Normal 2 2 10 2 15 5 7" xfId="7362" xr:uid="{00000000-0005-0000-0000-0000C21C0000}"/>
    <cellStyle name="Normal 2 2 10 2 15 5 8" xfId="7363" xr:uid="{00000000-0005-0000-0000-0000C31C0000}"/>
    <cellStyle name="Normal 2 2 10 2 15 5 9" xfId="7364" xr:uid="{00000000-0005-0000-0000-0000C41C0000}"/>
    <cellStyle name="Normal 2 2 10 2 15 6" xfId="7365" xr:uid="{00000000-0005-0000-0000-0000C51C0000}"/>
    <cellStyle name="Normal 2 2 10 2 15 7" xfId="7366" xr:uid="{00000000-0005-0000-0000-0000C61C0000}"/>
    <cellStyle name="Normal 2 2 10 2 15 8" xfId="7367" xr:uid="{00000000-0005-0000-0000-0000C71C0000}"/>
    <cellStyle name="Normal 2 2 10 2 15 9" xfId="7368" xr:uid="{00000000-0005-0000-0000-0000C81C0000}"/>
    <cellStyle name="Normal 2 2 10 2 16" xfId="7369" xr:uid="{00000000-0005-0000-0000-0000C91C0000}"/>
    <cellStyle name="Normal 2 2 10 2 16 10" xfId="7370" xr:uid="{00000000-0005-0000-0000-0000CA1C0000}"/>
    <cellStyle name="Normal 2 2 10 2 16 11" xfId="7371" xr:uid="{00000000-0005-0000-0000-0000CB1C0000}"/>
    <cellStyle name="Normal 2 2 10 2 16 12" xfId="7372" xr:uid="{00000000-0005-0000-0000-0000CC1C0000}"/>
    <cellStyle name="Normal 2 2 10 2 16 13" xfId="7373" xr:uid="{00000000-0005-0000-0000-0000CD1C0000}"/>
    <cellStyle name="Normal 2 2 10 2 16 14" xfId="7374" xr:uid="{00000000-0005-0000-0000-0000CE1C0000}"/>
    <cellStyle name="Normal 2 2 10 2 16 2" xfId="7375" xr:uid="{00000000-0005-0000-0000-0000CF1C0000}"/>
    <cellStyle name="Normal 2 2 10 2 16 2 10" xfId="7376" xr:uid="{00000000-0005-0000-0000-0000D01C0000}"/>
    <cellStyle name="Normal 2 2 10 2 16 2 2" xfId="7377" xr:uid="{00000000-0005-0000-0000-0000D11C0000}"/>
    <cellStyle name="Normal 2 2 10 2 16 2 3" xfId="7378" xr:uid="{00000000-0005-0000-0000-0000D21C0000}"/>
    <cellStyle name="Normal 2 2 10 2 16 2 4" xfId="7379" xr:uid="{00000000-0005-0000-0000-0000D31C0000}"/>
    <cellStyle name="Normal 2 2 10 2 16 2 5" xfId="7380" xr:uid="{00000000-0005-0000-0000-0000D41C0000}"/>
    <cellStyle name="Normal 2 2 10 2 16 2 6" xfId="7381" xr:uid="{00000000-0005-0000-0000-0000D51C0000}"/>
    <cellStyle name="Normal 2 2 10 2 16 2 7" xfId="7382" xr:uid="{00000000-0005-0000-0000-0000D61C0000}"/>
    <cellStyle name="Normal 2 2 10 2 16 2 8" xfId="7383" xr:uid="{00000000-0005-0000-0000-0000D71C0000}"/>
    <cellStyle name="Normal 2 2 10 2 16 2 9" xfId="7384" xr:uid="{00000000-0005-0000-0000-0000D81C0000}"/>
    <cellStyle name="Normal 2 2 10 2 16 3" xfId="7385" xr:uid="{00000000-0005-0000-0000-0000D91C0000}"/>
    <cellStyle name="Normal 2 2 10 2 16 3 10" xfId="7386" xr:uid="{00000000-0005-0000-0000-0000DA1C0000}"/>
    <cellStyle name="Normal 2 2 10 2 16 3 2" xfId="7387" xr:uid="{00000000-0005-0000-0000-0000DB1C0000}"/>
    <cellStyle name="Normal 2 2 10 2 16 3 3" xfId="7388" xr:uid="{00000000-0005-0000-0000-0000DC1C0000}"/>
    <cellStyle name="Normal 2 2 10 2 16 3 4" xfId="7389" xr:uid="{00000000-0005-0000-0000-0000DD1C0000}"/>
    <cellStyle name="Normal 2 2 10 2 16 3 5" xfId="7390" xr:uid="{00000000-0005-0000-0000-0000DE1C0000}"/>
    <cellStyle name="Normal 2 2 10 2 16 3 6" xfId="7391" xr:uid="{00000000-0005-0000-0000-0000DF1C0000}"/>
    <cellStyle name="Normal 2 2 10 2 16 3 7" xfId="7392" xr:uid="{00000000-0005-0000-0000-0000E01C0000}"/>
    <cellStyle name="Normal 2 2 10 2 16 3 8" xfId="7393" xr:uid="{00000000-0005-0000-0000-0000E11C0000}"/>
    <cellStyle name="Normal 2 2 10 2 16 3 9" xfId="7394" xr:uid="{00000000-0005-0000-0000-0000E21C0000}"/>
    <cellStyle name="Normal 2 2 10 2 16 4" xfId="7395" xr:uid="{00000000-0005-0000-0000-0000E31C0000}"/>
    <cellStyle name="Normal 2 2 10 2 16 4 10" xfId="7396" xr:uid="{00000000-0005-0000-0000-0000E41C0000}"/>
    <cellStyle name="Normal 2 2 10 2 16 4 2" xfId="7397" xr:uid="{00000000-0005-0000-0000-0000E51C0000}"/>
    <cellStyle name="Normal 2 2 10 2 16 4 3" xfId="7398" xr:uid="{00000000-0005-0000-0000-0000E61C0000}"/>
    <cellStyle name="Normal 2 2 10 2 16 4 4" xfId="7399" xr:uid="{00000000-0005-0000-0000-0000E71C0000}"/>
    <cellStyle name="Normal 2 2 10 2 16 4 5" xfId="7400" xr:uid="{00000000-0005-0000-0000-0000E81C0000}"/>
    <cellStyle name="Normal 2 2 10 2 16 4 6" xfId="7401" xr:uid="{00000000-0005-0000-0000-0000E91C0000}"/>
    <cellStyle name="Normal 2 2 10 2 16 4 7" xfId="7402" xr:uid="{00000000-0005-0000-0000-0000EA1C0000}"/>
    <cellStyle name="Normal 2 2 10 2 16 4 8" xfId="7403" xr:uid="{00000000-0005-0000-0000-0000EB1C0000}"/>
    <cellStyle name="Normal 2 2 10 2 16 4 9" xfId="7404" xr:uid="{00000000-0005-0000-0000-0000EC1C0000}"/>
    <cellStyle name="Normal 2 2 10 2 16 5" xfId="7405" xr:uid="{00000000-0005-0000-0000-0000ED1C0000}"/>
    <cellStyle name="Normal 2 2 10 2 16 5 10" xfId="7406" xr:uid="{00000000-0005-0000-0000-0000EE1C0000}"/>
    <cellStyle name="Normal 2 2 10 2 16 5 2" xfId="7407" xr:uid="{00000000-0005-0000-0000-0000EF1C0000}"/>
    <cellStyle name="Normal 2 2 10 2 16 5 3" xfId="7408" xr:uid="{00000000-0005-0000-0000-0000F01C0000}"/>
    <cellStyle name="Normal 2 2 10 2 16 5 4" xfId="7409" xr:uid="{00000000-0005-0000-0000-0000F11C0000}"/>
    <cellStyle name="Normal 2 2 10 2 16 5 5" xfId="7410" xr:uid="{00000000-0005-0000-0000-0000F21C0000}"/>
    <cellStyle name="Normal 2 2 10 2 16 5 6" xfId="7411" xr:uid="{00000000-0005-0000-0000-0000F31C0000}"/>
    <cellStyle name="Normal 2 2 10 2 16 5 7" xfId="7412" xr:uid="{00000000-0005-0000-0000-0000F41C0000}"/>
    <cellStyle name="Normal 2 2 10 2 16 5 8" xfId="7413" xr:uid="{00000000-0005-0000-0000-0000F51C0000}"/>
    <cellStyle name="Normal 2 2 10 2 16 5 9" xfId="7414" xr:uid="{00000000-0005-0000-0000-0000F61C0000}"/>
    <cellStyle name="Normal 2 2 10 2 16 6" xfId="7415" xr:uid="{00000000-0005-0000-0000-0000F71C0000}"/>
    <cellStyle name="Normal 2 2 10 2 16 7" xfId="7416" xr:uid="{00000000-0005-0000-0000-0000F81C0000}"/>
    <cellStyle name="Normal 2 2 10 2 16 8" xfId="7417" xr:uid="{00000000-0005-0000-0000-0000F91C0000}"/>
    <cellStyle name="Normal 2 2 10 2 16 9" xfId="7418" xr:uid="{00000000-0005-0000-0000-0000FA1C0000}"/>
    <cellStyle name="Normal 2 2 10 2 17" xfId="7419" xr:uid="{00000000-0005-0000-0000-0000FB1C0000}"/>
    <cellStyle name="Normal 2 2 10 2 17 10" xfId="7420" xr:uid="{00000000-0005-0000-0000-0000FC1C0000}"/>
    <cellStyle name="Normal 2 2 10 2 17 11" xfId="7421" xr:uid="{00000000-0005-0000-0000-0000FD1C0000}"/>
    <cellStyle name="Normal 2 2 10 2 17 12" xfId="7422" xr:uid="{00000000-0005-0000-0000-0000FE1C0000}"/>
    <cellStyle name="Normal 2 2 10 2 17 13" xfId="7423" xr:uid="{00000000-0005-0000-0000-0000FF1C0000}"/>
    <cellStyle name="Normal 2 2 10 2 17 14" xfId="7424" xr:uid="{00000000-0005-0000-0000-0000001D0000}"/>
    <cellStyle name="Normal 2 2 10 2 17 2" xfId="7425" xr:uid="{00000000-0005-0000-0000-0000011D0000}"/>
    <cellStyle name="Normal 2 2 10 2 17 2 10" xfId="7426" xr:uid="{00000000-0005-0000-0000-0000021D0000}"/>
    <cellStyle name="Normal 2 2 10 2 17 2 2" xfId="7427" xr:uid="{00000000-0005-0000-0000-0000031D0000}"/>
    <cellStyle name="Normal 2 2 10 2 17 2 3" xfId="7428" xr:uid="{00000000-0005-0000-0000-0000041D0000}"/>
    <cellStyle name="Normal 2 2 10 2 17 2 4" xfId="7429" xr:uid="{00000000-0005-0000-0000-0000051D0000}"/>
    <cellStyle name="Normal 2 2 10 2 17 2 5" xfId="7430" xr:uid="{00000000-0005-0000-0000-0000061D0000}"/>
    <cellStyle name="Normal 2 2 10 2 17 2 6" xfId="7431" xr:uid="{00000000-0005-0000-0000-0000071D0000}"/>
    <cellStyle name="Normal 2 2 10 2 17 2 7" xfId="7432" xr:uid="{00000000-0005-0000-0000-0000081D0000}"/>
    <cellStyle name="Normal 2 2 10 2 17 2 8" xfId="7433" xr:uid="{00000000-0005-0000-0000-0000091D0000}"/>
    <cellStyle name="Normal 2 2 10 2 17 2 9" xfId="7434" xr:uid="{00000000-0005-0000-0000-00000A1D0000}"/>
    <cellStyle name="Normal 2 2 10 2 17 3" xfId="7435" xr:uid="{00000000-0005-0000-0000-00000B1D0000}"/>
    <cellStyle name="Normal 2 2 10 2 17 3 10" xfId="7436" xr:uid="{00000000-0005-0000-0000-00000C1D0000}"/>
    <cellStyle name="Normal 2 2 10 2 17 3 2" xfId="7437" xr:uid="{00000000-0005-0000-0000-00000D1D0000}"/>
    <cellStyle name="Normal 2 2 10 2 17 3 3" xfId="7438" xr:uid="{00000000-0005-0000-0000-00000E1D0000}"/>
    <cellStyle name="Normal 2 2 10 2 17 3 4" xfId="7439" xr:uid="{00000000-0005-0000-0000-00000F1D0000}"/>
    <cellStyle name="Normal 2 2 10 2 17 3 5" xfId="7440" xr:uid="{00000000-0005-0000-0000-0000101D0000}"/>
    <cellStyle name="Normal 2 2 10 2 17 3 6" xfId="7441" xr:uid="{00000000-0005-0000-0000-0000111D0000}"/>
    <cellStyle name="Normal 2 2 10 2 17 3 7" xfId="7442" xr:uid="{00000000-0005-0000-0000-0000121D0000}"/>
    <cellStyle name="Normal 2 2 10 2 17 3 8" xfId="7443" xr:uid="{00000000-0005-0000-0000-0000131D0000}"/>
    <cellStyle name="Normal 2 2 10 2 17 3 9" xfId="7444" xr:uid="{00000000-0005-0000-0000-0000141D0000}"/>
    <cellStyle name="Normal 2 2 10 2 17 4" xfId="7445" xr:uid="{00000000-0005-0000-0000-0000151D0000}"/>
    <cellStyle name="Normal 2 2 10 2 17 4 10" xfId="7446" xr:uid="{00000000-0005-0000-0000-0000161D0000}"/>
    <cellStyle name="Normal 2 2 10 2 17 4 2" xfId="7447" xr:uid="{00000000-0005-0000-0000-0000171D0000}"/>
    <cellStyle name="Normal 2 2 10 2 17 4 3" xfId="7448" xr:uid="{00000000-0005-0000-0000-0000181D0000}"/>
    <cellStyle name="Normal 2 2 10 2 17 4 4" xfId="7449" xr:uid="{00000000-0005-0000-0000-0000191D0000}"/>
    <cellStyle name="Normal 2 2 10 2 17 4 5" xfId="7450" xr:uid="{00000000-0005-0000-0000-00001A1D0000}"/>
    <cellStyle name="Normal 2 2 10 2 17 4 6" xfId="7451" xr:uid="{00000000-0005-0000-0000-00001B1D0000}"/>
    <cellStyle name="Normal 2 2 10 2 17 4 7" xfId="7452" xr:uid="{00000000-0005-0000-0000-00001C1D0000}"/>
    <cellStyle name="Normal 2 2 10 2 17 4 8" xfId="7453" xr:uid="{00000000-0005-0000-0000-00001D1D0000}"/>
    <cellStyle name="Normal 2 2 10 2 17 4 9" xfId="7454" xr:uid="{00000000-0005-0000-0000-00001E1D0000}"/>
    <cellStyle name="Normal 2 2 10 2 17 5" xfId="7455" xr:uid="{00000000-0005-0000-0000-00001F1D0000}"/>
    <cellStyle name="Normal 2 2 10 2 17 5 10" xfId="7456" xr:uid="{00000000-0005-0000-0000-0000201D0000}"/>
    <cellStyle name="Normal 2 2 10 2 17 5 2" xfId="7457" xr:uid="{00000000-0005-0000-0000-0000211D0000}"/>
    <cellStyle name="Normal 2 2 10 2 17 5 3" xfId="7458" xr:uid="{00000000-0005-0000-0000-0000221D0000}"/>
    <cellStyle name="Normal 2 2 10 2 17 5 4" xfId="7459" xr:uid="{00000000-0005-0000-0000-0000231D0000}"/>
    <cellStyle name="Normal 2 2 10 2 17 5 5" xfId="7460" xr:uid="{00000000-0005-0000-0000-0000241D0000}"/>
    <cellStyle name="Normal 2 2 10 2 17 5 6" xfId="7461" xr:uid="{00000000-0005-0000-0000-0000251D0000}"/>
    <cellStyle name="Normal 2 2 10 2 17 5 7" xfId="7462" xr:uid="{00000000-0005-0000-0000-0000261D0000}"/>
    <cellStyle name="Normal 2 2 10 2 17 5 8" xfId="7463" xr:uid="{00000000-0005-0000-0000-0000271D0000}"/>
    <cellStyle name="Normal 2 2 10 2 17 5 9" xfId="7464" xr:uid="{00000000-0005-0000-0000-0000281D0000}"/>
    <cellStyle name="Normal 2 2 10 2 17 6" xfId="7465" xr:uid="{00000000-0005-0000-0000-0000291D0000}"/>
    <cellStyle name="Normal 2 2 10 2 17 7" xfId="7466" xr:uid="{00000000-0005-0000-0000-00002A1D0000}"/>
    <cellStyle name="Normal 2 2 10 2 17 8" xfId="7467" xr:uid="{00000000-0005-0000-0000-00002B1D0000}"/>
    <cellStyle name="Normal 2 2 10 2 17 9" xfId="7468" xr:uid="{00000000-0005-0000-0000-00002C1D0000}"/>
    <cellStyle name="Normal 2 2 10 2 18" xfId="7469" xr:uid="{00000000-0005-0000-0000-00002D1D0000}"/>
    <cellStyle name="Normal 2 2 10 2 18 10" xfId="7470" xr:uid="{00000000-0005-0000-0000-00002E1D0000}"/>
    <cellStyle name="Normal 2 2 10 2 18 11" xfId="7471" xr:uid="{00000000-0005-0000-0000-00002F1D0000}"/>
    <cellStyle name="Normal 2 2 10 2 18 12" xfId="7472" xr:uid="{00000000-0005-0000-0000-0000301D0000}"/>
    <cellStyle name="Normal 2 2 10 2 18 13" xfId="7473" xr:uid="{00000000-0005-0000-0000-0000311D0000}"/>
    <cellStyle name="Normal 2 2 10 2 18 14" xfId="7474" xr:uid="{00000000-0005-0000-0000-0000321D0000}"/>
    <cellStyle name="Normal 2 2 10 2 18 2" xfId="7475" xr:uid="{00000000-0005-0000-0000-0000331D0000}"/>
    <cellStyle name="Normal 2 2 10 2 18 2 10" xfId="7476" xr:uid="{00000000-0005-0000-0000-0000341D0000}"/>
    <cellStyle name="Normal 2 2 10 2 18 2 2" xfId="7477" xr:uid="{00000000-0005-0000-0000-0000351D0000}"/>
    <cellStyle name="Normal 2 2 10 2 18 2 3" xfId="7478" xr:uid="{00000000-0005-0000-0000-0000361D0000}"/>
    <cellStyle name="Normal 2 2 10 2 18 2 4" xfId="7479" xr:uid="{00000000-0005-0000-0000-0000371D0000}"/>
    <cellStyle name="Normal 2 2 10 2 18 2 5" xfId="7480" xr:uid="{00000000-0005-0000-0000-0000381D0000}"/>
    <cellStyle name="Normal 2 2 10 2 18 2 6" xfId="7481" xr:uid="{00000000-0005-0000-0000-0000391D0000}"/>
    <cellStyle name="Normal 2 2 10 2 18 2 7" xfId="7482" xr:uid="{00000000-0005-0000-0000-00003A1D0000}"/>
    <cellStyle name="Normal 2 2 10 2 18 2 8" xfId="7483" xr:uid="{00000000-0005-0000-0000-00003B1D0000}"/>
    <cellStyle name="Normal 2 2 10 2 18 2 9" xfId="7484" xr:uid="{00000000-0005-0000-0000-00003C1D0000}"/>
    <cellStyle name="Normal 2 2 10 2 18 3" xfId="7485" xr:uid="{00000000-0005-0000-0000-00003D1D0000}"/>
    <cellStyle name="Normal 2 2 10 2 18 3 10" xfId="7486" xr:uid="{00000000-0005-0000-0000-00003E1D0000}"/>
    <cellStyle name="Normal 2 2 10 2 18 3 2" xfId="7487" xr:uid="{00000000-0005-0000-0000-00003F1D0000}"/>
    <cellStyle name="Normal 2 2 10 2 18 3 3" xfId="7488" xr:uid="{00000000-0005-0000-0000-0000401D0000}"/>
    <cellStyle name="Normal 2 2 10 2 18 3 4" xfId="7489" xr:uid="{00000000-0005-0000-0000-0000411D0000}"/>
    <cellStyle name="Normal 2 2 10 2 18 3 5" xfId="7490" xr:uid="{00000000-0005-0000-0000-0000421D0000}"/>
    <cellStyle name="Normal 2 2 10 2 18 3 6" xfId="7491" xr:uid="{00000000-0005-0000-0000-0000431D0000}"/>
    <cellStyle name="Normal 2 2 10 2 18 3 7" xfId="7492" xr:uid="{00000000-0005-0000-0000-0000441D0000}"/>
    <cellStyle name="Normal 2 2 10 2 18 3 8" xfId="7493" xr:uid="{00000000-0005-0000-0000-0000451D0000}"/>
    <cellStyle name="Normal 2 2 10 2 18 3 9" xfId="7494" xr:uid="{00000000-0005-0000-0000-0000461D0000}"/>
    <cellStyle name="Normal 2 2 10 2 18 4" xfId="7495" xr:uid="{00000000-0005-0000-0000-0000471D0000}"/>
    <cellStyle name="Normal 2 2 10 2 18 4 10" xfId="7496" xr:uid="{00000000-0005-0000-0000-0000481D0000}"/>
    <cellStyle name="Normal 2 2 10 2 18 4 2" xfId="7497" xr:uid="{00000000-0005-0000-0000-0000491D0000}"/>
    <cellStyle name="Normal 2 2 10 2 18 4 3" xfId="7498" xr:uid="{00000000-0005-0000-0000-00004A1D0000}"/>
    <cellStyle name="Normal 2 2 10 2 18 4 4" xfId="7499" xr:uid="{00000000-0005-0000-0000-00004B1D0000}"/>
    <cellStyle name="Normal 2 2 10 2 18 4 5" xfId="7500" xr:uid="{00000000-0005-0000-0000-00004C1D0000}"/>
    <cellStyle name="Normal 2 2 10 2 18 4 6" xfId="7501" xr:uid="{00000000-0005-0000-0000-00004D1D0000}"/>
    <cellStyle name="Normal 2 2 10 2 18 4 7" xfId="7502" xr:uid="{00000000-0005-0000-0000-00004E1D0000}"/>
    <cellStyle name="Normal 2 2 10 2 18 4 8" xfId="7503" xr:uid="{00000000-0005-0000-0000-00004F1D0000}"/>
    <cellStyle name="Normal 2 2 10 2 18 4 9" xfId="7504" xr:uid="{00000000-0005-0000-0000-0000501D0000}"/>
    <cellStyle name="Normal 2 2 10 2 18 5" xfId="7505" xr:uid="{00000000-0005-0000-0000-0000511D0000}"/>
    <cellStyle name="Normal 2 2 10 2 18 5 10" xfId="7506" xr:uid="{00000000-0005-0000-0000-0000521D0000}"/>
    <cellStyle name="Normal 2 2 10 2 18 5 2" xfId="7507" xr:uid="{00000000-0005-0000-0000-0000531D0000}"/>
    <cellStyle name="Normal 2 2 10 2 18 5 3" xfId="7508" xr:uid="{00000000-0005-0000-0000-0000541D0000}"/>
    <cellStyle name="Normal 2 2 10 2 18 5 4" xfId="7509" xr:uid="{00000000-0005-0000-0000-0000551D0000}"/>
    <cellStyle name="Normal 2 2 10 2 18 5 5" xfId="7510" xr:uid="{00000000-0005-0000-0000-0000561D0000}"/>
    <cellStyle name="Normal 2 2 10 2 18 5 6" xfId="7511" xr:uid="{00000000-0005-0000-0000-0000571D0000}"/>
    <cellStyle name="Normal 2 2 10 2 18 5 7" xfId="7512" xr:uid="{00000000-0005-0000-0000-0000581D0000}"/>
    <cellStyle name="Normal 2 2 10 2 18 5 8" xfId="7513" xr:uid="{00000000-0005-0000-0000-0000591D0000}"/>
    <cellStyle name="Normal 2 2 10 2 18 5 9" xfId="7514" xr:uid="{00000000-0005-0000-0000-00005A1D0000}"/>
    <cellStyle name="Normal 2 2 10 2 18 6" xfId="7515" xr:uid="{00000000-0005-0000-0000-00005B1D0000}"/>
    <cellStyle name="Normal 2 2 10 2 18 7" xfId="7516" xr:uid="{00000000-0005-0000-0000-00005C1D0000}"/>
    <cellStyle name="Normal 2 2 10 2 18 8" xfId="7517" xr:uid="{00000000-0005-0000-0000-00005D1D0000}"/>
    <cellStyle name="Normal 2 2 10 2 18 9" xfId="7518" xr:uid="{00000000-0005-0000-0000-00005E1D0000}"/>
    <cellStyle name="Normal 2 2 10 2 19" xfId="7519" xr:uid="{00000000-0005-0000-0000-00005F1D0000}"/>
    <cellStyle name="Normal 2 2 10 2 19 10" xfId="7520" xr:uid="{00000000-0005-0000-0000-0000601D0000}"/>
    <cellStyle name="Normal 2 2 10 2 19 11" xfId="7521" xr:uid="{00000000-0005-0000-0000-0000611D0000}"/>
    <cellStyle name="Normal 2 2 10 2 19 12" xfId="7522" xr:uid="{00000000-0005-0000-0000-0000621D0000}"/>
    <cellStyle name="Normal 2 2 10 2 19 13" xfId="7523" xr:uid="{00000000-0005-0000-0000-0000631D0000}"/>
    <cellStyle name="Normal 2 2 10 2 19 14" xfId="7524" xr:uid="{00000000-0005-0000-0000-0000641D0000}"/>
    <cellStyle name="Normal 2 2 10 2 19 2" xfId="7525" xr:uid="{00000000-0005-0000-0000-0000651D0000}"/>
    <cellStyle name="Normal 2 2 10 2 19 2 10" xfId="7526" xr:uid="{00000000-0005-0000-0000-0000661D0000}"/>
    <cellStyle name="Normal 2 2 10 2 19 2 2" xfId="7527" xr:uid="{00000000-0005-0000-0000-0000671D0000}"/>
    <cellStyle name="Normal 2 2 10 2 19 2 3" xfId="7528" xr:uid="{00000000-0005-0000-0000-0000681D0000}"/>
    <cellStyle name="Normal 2 2 10 2 19 2 4" xfId="7529" xr:uid="{00000000-0005-0000-0000-0000691D0000}"/>
    <cellStyle name="Normal 2 2 10 2 19 2 5" xfId="7530" xr:uid="{00000000-0005-0000-0000-00006A1D0000}"/>
    <cellStyle name="Normal 2 2 10 2 19 2 6" xfId="7531" xr:uid="{00000000-0005-0000-0000-00006B1D0000}"/>
    <cellStyle name="Normal 2 2 10 2 19 2 7" xfId="7532" xr:uid="{00000000-0005-0000-0000-00006C1D0000}"/>
    <cellStyle name="Normal 2 2 10 2 19 2 8" xfId="7533" xr:uid="{00000000-0005-0000-0000-00006D1D0000}"/>
    <cellStyle name="Normal 2 2 10 2 19 2 9" xfId="7534" xr:uid="{00000000-0005-0000-0000-00006E1D0000}"/>
    <cellStyle name="Normal 2 2 10 2 19 3" xfId="7535" xr:uid="{00000000-0005-0000-0000-00006F1D0000}"/>
    <cellStyle name="Normal 2 2 10 2 19 3 10" xfId="7536" xr:uid="{00000000-0005-0000-0000-0000701D0000}"/>
    <cellStyle name="Normal 2 2 10 2 19 3 2" xfId="7537" xr:uid="{00000000-0005-0000-0000-0000711D0000}"/>
    <cellStyle name="Normal 2 2 10 2 19 3 3" xfId="7538" xr:uid="{00000000-0005-0000-0000-0000721D0000}"/>
    <cellStyle name="Normal 2 2 10 2 19 3 4" xfId="7539" xr:uid="{00000000-0005-0000-0000-0000731D0000}"/>
    <cellStyle name="Normal 2 2 10 2 19 3 5" xfId="7540" xr:uid="{00000000-0005-0000-0000-0000741D0000}"/>
    <cellStyle name="Normal 2 2 10 2 19 3 6" xfId="7541" xr:uid="{00000000-0005-0000-0000-0000751D0000}"/>
    <cellStyle name="Normal 2 2 10 2 19 3 7" xfId="7542" xr:uid="{00000000-0005-0000-0000-0000761D0000}"/>
    <cellStyle name="Normal 2 2 10 2 19 3 8" xfId="7543" xr:uid="{00000000-0005-0000-0000-0000771D0000}"/>
    <cellStyle name="Normal 2 2 10 2 19 3 9" xfId="7544" xr:uid="{00000000-0005-0000-0000-0000781D0000}"/>
    <cellStyle name="Normal 2 2 10 2 19 4" xfId="7545" xr:uid="{00000000-0005-0000-0000-0000791D0000}"/>
    <cellStyle name="Normal 2 2 10 2 19 4 10" xfId="7546" xr:uid="{00000000-0005-0000-0000-00007A1D0000}"/>
    <cellStyle name="Normal 2 2 10 2 19 4 2" xfId="7547" xr:uid="{00000000-0005-0000-0000-00007B1D0000}"/>
    <cellStyle name="Normal 2 2 10 2 19 4 3" xfId="7548" xr:uid="{00000000-0005-0000-0000-00007C1D0000}"/>
    <cellStyle name="Normal 2 2 10 2 19 4 4" xfId="7549" xr:uid="{00000000-0005-0000-0000-00007D1D0000}"/>
    <cellStyle name="Normal 2 2 10 2 19 4 5" xfId="7550" xr:uid="{00000000-0005-0000-0000-00007E1D0000}"/>
    <cellStyle name="Normal 2 2 10 2 19 4 6" xfId="7551" xr:uid="{00000000-0005-0000-0000-00007F1D0000}"/>
    <cellStyle name="Normal 2 2 10 2 19 4 7" xfId="7552" xr:uid="{00000000-0005-0000-0000-0000801D0000}"/>
    <cellStyle name="Normal 2 2 10 2 19 4 8" xfId="7553" xr:uid="{00000000-0005-0000-0000-0000811D0000}"/>
    <cellStyle name="Normal 2 2 10 2 19 4 9" xfId="7554" xr:uid="{00000000-0005-0000-0000-0000821D0000}"/>
    <cellStyle name="Normal 2 2 10 2 19 5" xfId="7555" xr:uid="{00000000-0005-0000-0000-0000831D0000}"/>
    <cellStyle name="Normal 2 2 10 2 19 5 10" xfId="7556" xr:uid="{00000000-0005-0000-0000-0000841D0000}"/>
    <cellStyle name="Normal 2 2 10 2 19 5 2" xfId="7557" xr:uid="{00000000-0005-0000-0000-0000851D0000}"/>
    <cellStyle name="Normal 2 2 10 2 19 5 3" xfId="7558" xr:uid="{00000000-0005-0000-0000-0000861D0000}"/>
    <cellStyle name="Normal 2 2 10 2 19 5 4" xfId="7559" xr:uid="{00000000-0005-0000-0000-0000871D0000}"/>
    <cellStyle name="Normal 2 2 10 2 19 5 5" xfId="7560" xr:uid="{00000000-0005-0000-0000-0000881D0000}"/>
    <cellStyle name="Normal 2 2 10 2 19 5 6" xfId="7561" xr:uid="{00000000-0005-0000-0000-0000891D0000}"/>
    <cellStyle name="Normal 2 2 10 2 19 5 7" xfId="7562" xr:uid="{00000000-0005-0000-0000-00008A1D0000}"/>
    <cellStyle name="Normal 2 2 10 2 19 5 8" xfId="7563" xr:uid="{00000000-0005-0000-0000-00008B1D0000}"/>
    <cellStyle name="Normal 2 2 10 2 19 5 9" xfId="7564" xr:uid="{00000000-0005-0000-0000-00008C1D0000}"/>
    <cellStyle name="Normal 2 2 10 2 19 6" xfId="7565" xr:uid="{00000000-0005-0000-0000-00008D1D0000}"/>
    <cellStyle name="Normal 2 2 10 2 19 7" xfId="7566" xr:uid="{00000000-0005-0000-0000-00008E1D0000}"/>
    <cellStyle name="Normal 2 2 10 2 19 8" xfId="7567" xr:uid="{00000000-0005-0000-0000-00008F1D0000}"/>
    <cellStyle name="Normal 2 2 10 2 19 9" xfId="7568" xr:uid="{00000000-0005-0000-0000-0000901D0000}"/>
    <cellStyle name="Normal 2 2 10 2 2" xfId="7569" xr:uid="{00000000-0005-0000-0000-0000911D0000}"/>
    <cellStyle name="Normal 2 2 10 2 2 10" xfId="7570" xr:uid="{00000000-0005-0000-0000-0000921D0000}"/>
    <cellStyle name="Normal 2 2 10 2 2 11" xfId="7571" xr:uid="{00000000-0005-0000-0000-0000931D0000}"/>
    <cellStyle name="Normal 2 2 10 2 2 12" xfId="7572" xr:uid="{00000000-0005-0000-0000-0000941D0000}"/>
    <cellStyle name="Normal 2 2 10 2 2 13" xfId="7573" xr:uid="{00000000-0005-0000-0000-0000951D0000}"/>
    <cellStyle name="Normal 2 2 10 2 2 14" xfId="7574" xr:uid="{00000000-0005-0000-0000-0000961D0000}"/>
    <cellStyle name="Normal 2 2 10 2 2 2" xfId="7575" xr:uid="{00000000-0005-0000-0000-0000971D0000}"/>
    <cellStyle name="Normal 2 2 10 2 2 2 10" xfId="7576" xr:uid="{00000000-0005-0000-0000-0000981D0000}"/>
    <cellStyle name="Normal 2 2 10 2 2 2 2" xfId="7577" xr:uid="{00000000-0005-0000-0000-0000991D0000}"/>
    <cellStyle name="Normal 2 2 10 2 2 2 3" xfId="7578" xr:uid="{00000000-0005-0000-0000-00009A1D0000}"/>
    <cellStyle name="Normal 2 2 10 2 2 2 4" xfId="7579" xr:uid="{00000000-0005-0000-0000-00009B1D0000}"/>
    <cellStyle name="Normal 2 2 10 2 2 2 5" xfId="7580" xr:uid="{00000000-0005-0000-0000-00009C1D0000}"/>
    <cellStyle name="Normal 2 2 10 2 2 2 6" xfId="7581" xr:uid="{00000000-0005-0000-0000-00009D1D0000}"/>
    <cellStyle name="Normal 2 2 10 2 2 2 7" xfId="7582" xr:uid="{00000000-0005-0000-0000-00009E1D0000}"/>
    <cellStyle name="Normal 2 2 10 2 2 2 8" xfId="7583" xr:uid="{00000000-0005-0000-0000-00009F1D0000}"/>
    <cellStyle name="Normal 2 2 10 2 2 2 9" xfId="7584" xr:uid="{00000000-0005-0000-0000-0000A01D0000}"/>
    <cellStyle name="Normal 2 2 10 2 2 3" xfId="7585" xr:uid="{00000000-0005-0000-0000-0000A11D0000}"/>
    <cellStyle name="Normal 2 2 10 2 2 3 10" xfId="7586" xr:uid="{00000000-0005-0000-0000-0000A21D0000}"/>
    <cellStyle name="Normal 2 2 10 2 2 3 2" xfId="7587" xr:uid="{00000000-0005-0000-0000-0000A31D0000}"/>
    <cellStyle name="Normal 2 2 10 2 2 3 3" xfId="7588" xr:uid="{00000000-0005-0000-0000-0000A41D0000}"/>
    <cellStyle name="Normal 2 2 10 2 2 3 4" xfId="7589" xr:uid="{00000000-0005-0000-0000-0000A51D0000}"/>
    <cellStyle name="Normal 2 2 10 2 2 3 5" xfId="7590" xr:uid="{00000000-0005-0000-0000-0000A61D0000}"/>
    <cellStyle name="Normal 2 2 10 2 2 3 6" xfId="7591" xr:uid="{00000000-0005-0000-0000-0000A71D0000}"/>
    <cellStyle name="Normal 2 2 10 2 2 3 7" xfId="7592" xr:uid="{00000000-0005-0000-0000-0000A81D0000}"/>
    <cellStyle name="Normal 2 2 10 2 2 3 8" xfId="7593" xr:uid="{00000000-0005-0000-0000-0000A91D0000}"/>
    <cellStyle name="Normal 2 2 10 2 2 3 9" xfId="7594" xr:uid="{00000000-0005-0000-0000-0000AA1D0000}"/>
    <cellStyle name="Normal 2 2 10 2 2 4" xfId="7595" xr:uid="{00000000-0005-0000-0000-0000AB1D0000}"/>
    <cellStyle name="Normal 2 2 10 2 2 4 10" xfId="7596" xr:uid="{00000000-0005-0000-0000-0000AC1D0000}"/>
    <cellStyle name="Normal 2 2 10 2 2 4 2" xfId="7597" xr:uid="{00000000-0005-0000-0000-0000AD1D0000}"/>
    <cellStyle name="Normal 2 2 10 2 2 4 3" xfId="7598" xr:uid="{00000000-0005-0000-0000-0000AE1D0000}"/>
    <cellStyle name="Normal 2 2 10 2 2 4 4" xfId="7599" xr:uid="{00000000-0005-0000-0000-0000AF1D0000}"/>
    <cellStyle name="Normal 2 2 10 2 2 4 5" xfId="7600" xr:uid="{00000000-0005-0000-0000-0000B01D0000}"/>
    <cellStyle name="Normal 2 2 10 2 2 4 6" xfId="7601" xr:uid="{00000000-0005-0000-0000-0000B11D0000}"/>
    <cellStyle name="Normal 2 2 10 2 2 4 7" xfId="7602" xr:uid="{00000000-0005-0000-0000-0000B21D0000}"/>
    <cellStyle name="Normal 2 2 10 2 2 4 8" xfId="7603" xr:uid="{00000000-0005-0000-0000-0000B31D0000}"/>
    <cellStyle name="Normal 2 2 10 2 2 4 9" xfId="7604" xr:uid="{00000000-0005-0000-0000-0000B41D0000}"/>
    <cellStyle name="Normal 2 2 10 2 2 5" xfId="7605" xr:uid="{00000000-0005-0000-0000-0000B51D0000}"/>
    <cellStyle name="Normal 2 2 10 2 2 5 10" xfId="7606" xr:uid="{00000000-0005-0000-0000-0000B61D0000}"/>
    <cellStyle name="Normal 2 2 10 2 2 5 2" xfId="7607" xr:uid="{00000000-0005-0000-0000-0000B71D0000}"/>
    <cellStyle name="Normal 2 2 10 2 2 5 3" xfId="7608" xr:uid="{00000000-0005-0000-0000-0000B81D0000}"/>
    <cellStyle name="Normal 2 2 10 2 2 5 4" xfId="7609" xr:uid="{00000000-0005-0000-0000-0000B91D0000}"/>
    <cellStyle name="Normal 2 2 10 2 2 5 5" xfId="7610" xr:uid="{00000000-0005-0000-0000-0000BA1D0000}"/>
    <cellStyle name="Normal 2 2 10 2 2 5 6" xfId="7611" xr:uid="{00000000-0005-0000-0000-0000BB1D0000}"/>
    <cellStyle name="Normal 2 2 10 2 2 5 7" xfId="7612" xr:uid="{00000000-0005-0000-0000-0000BC1D0000}"/>
    <cellStyle name="Normal 2 2 10 2 2 5 8" xfId="7613" xr:uid="{00000000-0005-0000-0000-0000BD1D0000}"/>
    <cellStyle name="Normal 2 2 10 2 2 5 9" xfId="7614" xr:uid="{00000000-0005-0000-0000-0000BE1D0000}"/>
    <cellStyle name="Normal 2 2 10 2 2 6" xfId="7615" xr:uid="{00000000-0005-0000-0000-0000BF1D0000}"/>
    <cellStyle name="Normal 2 2 10 2 2 7" xfId="7616" xr:uid="{00000000-0005-0000-0000-0000C01D0000}"/>
    <cellStyle name="Normal 2 2 10 2 2 8" xfId="7617" xr:uid="{00000000-0005-0000-0000-0000C11D0000}"/>
    <cellStyle name="Normal 2 2 10 2 2 9" xfId="7618" xr:uid="{00000000-0005-0000-0000-0000C21D0000}"/>
    <cellStyle name="Normal 2 2 10 2 20" xfId="7619" xr:uid="{00000000-0005-0000-0000-0000C31D0000}"/>
    <cellStyle name="Normal 2 2 10 2 20 10" xfId="7620" xr:uid="{00000000-0005-0000-0000-0000C41D0000}"/>
    <cellStyle name="Normal 2 2 10 2 20 11" xfId="7621" xr:uid="{00000000-0005-0000-0000-0000C51D0000}"/>
    <cellStyle name="Normal 2 2 10 2 20 12" xfId="7622" xr:uid="{00000000-0005-0000-0000-0000C61D0000}"/>
    <cellStyle name="Normal 2 2 10 2 20 13" xfId="7623" xr:uid="{00000000-0005-0000-0000-0000C71D0000}"/>
    <cellStyle name="Normal 2 2 10 2 20 14" xfId="7624" xr:uid="{00000000-0005-0000-0000-0000C81D0000}"/>
    <cellStyle name="Normal 2 2 10 2 20 2" xfId="7625" xr:uid="{00000000-0005-0000-0000-0000C91D0000}"/>
    <cellStyle name="Normal 2 2 10 2 20 2 10" xfId="7626" xr:uid="{00000000-0005-0000-0000-0000CA1D0000}"/>
    <cellStyle name="Normal 2 2 10 2 20 2 2" xfId="7627" xr:uid="{00000000-0005-0000-0000-0000CB1D0000}"/>
    <cellStyle name="Normal 2 2 10 2 20 2 3" xfId="7628" xr:uid="{00000000-0005-0000-0000-0000CC1D0000}"/>
    <cellStyle name="Normal 2 2 10 2 20 2 4" xfId="7629" xr:uid="{00000000-0005-0000-0000-0000CD1D0000}"/>
    <cellStyle name="Normal 2 2 10 2 20 2 5" xfId="7630" xr:uid="{00000000-0005-0000-0000-0000CE1D0000}"/>
    <cellStyle name="Normal 2 2 10 2 20 2 6" xfId="7631" xr:uid="{00000000-0005-0000-0000-0000CF1D0000}"/>
    <cellStyle name="Normal 2 2 10 2 20 2 7" xfId="7632" xr:uid="{00000000-0005-0000-0000-0000D01D0000}"/>
    <cellStyle name="Normal 2 2 10 2 20 2 8" xfId="7633" xr:uid="{00000000-0005-0000-0000-0000D11D0000}"/>
    <cellStyle name="Normal 2 2 10 2 20 2 9" xfId="7634" xr:uid="{00000000-0005-0000-0000-0000D21D0000}"/>
    <cellStyle name="Normal 2 2 10 2 20 3" xfId="7635" xr:uid="{00000000-0005-0000-0000-0000D31D0000}"/>
    <cellStyle name="Normal 2 2 10 2 20 3 10" xfId="7636" xr:uid="{00000000-0005-0000-0000-0000D41D0000}"/>
    <cellStyle name="Normal 2 2 10 2 20 3 2" xfId="7637" xr:uid="{00000000-0005-0000-0000-0000D51D0000}"/>
    <cellStyle name="Normal 2 2 10 2 20 3 3" xfId="7638" xr:uid="{00000000-0005-0000-0000-0000D61D0000}"/>
    <cellStyle name="Normal 2 2 10 2 20 3 4" xfId="7639" xr:uid="{00000000-0005-0000-0000-0000D71D0000}"/>
    <cellStyle name="Normal 2 2 10 2 20 3 5" xfId="7640" xr:uid="{00000000-0005-0000-0000-0000D81D0000}"/>
    <cellStyle name="Normal 2 2 10 2 20 3 6" xfId="7641" xr:uid="{00000000-0005-0000-0000-0000D91D0000}"/>
    <cellStyle name="Normal 2 2 10 2 20 3 7" xfId="7642" xr:uid="{00000000-0005-0000-0000-0000DA1D0000}"/>
    <cellStyle name="Normal 2 2 10 2 20 3 8" xfId="7643" xr:uid="{00000000-0005-0000-0000-0000DB1D0000}"/>
    <cellStyle name="Normal 2 2 10 2 20 3 9" xfId="7644" xr:uid="{00000000-0005-0000-0000-0000DC1D0000}"/>
    <cellStyle name="Normal 2 2 10 2 20 4" xfId="7645" xr:uid="{00000000-0005-0000-0000-0000DD1D0000}"/>
    <cellStyle name="Normal 2 2 10 2 20 4 10" xfId="7646" xr:uid="{00000000-0005-0000-0000-0000DE1D0000}"/>
    <cellStyle name="Normal 2 2 10 2 20 4 2" xfId="7647" xr:uid="{00000000-0005-0000-0000-0000DF1D0000}"/>
    <cellStyle name="Normal 2 2 10 2 20 4 3" xfId="7648" xr:uid="{00000000-0005-0000-0000-0000E01D0000}"/>
    <cellStyle name="Normal 2 2 10 2 20 4 4" xfId="7649" xr:uid="{00000000-0005-0000-0000-0000E11D0000}"/>
    <cellStyle name="Normal 2 2 10 2 20 4 5" xfId="7650" xr:uid="{00000000-0005-0000-0000-0000E21D0000}"/>
    <cellStyle name="Normal 2 2 10 2 20 4 6" xfId="7651" xr:uid="{00000000-0005-0000-0000-0000E31D0000}"/>
    <cellStyle name="Normal 2 2 10 2 20 4 7" xfId="7652" xr:uid="{00000000-0005-0000-0000-0000E41D0000}"/>
    <cellStyle name="Normal 2 2 10 2 20 4 8" xfId="7653" xr:uid="{00000000-0005-0000-0000-0000E51D0000}"/>
    <cellStyle name="Normal 2 2 10 2 20 4 9" xfId="7654" xr:uid="{00000000-0005-0000-0000-0000E61D0000}"/>
    <cellStyle name="Normal 2 2 10 2 20 5" xfId="7655" xr:uid="{00000000-0005-0000-0000-0000E71D0000}"/>
    <cellStyle name="Normal 2 2 10 2 20 5 10" xfId="7656" xr:uid="{00000000-0005-0000-0000-0000E81D0000}"/>
    <cellStyle name="Normal 2 2 10 2 20 5 2" xfId="7657" xr:uid="{00000000-0005-0000-0000-0000E91D0000}"/>
    <cellStyle name="Normal 2 2 10 2 20 5 3" xfId="7658" xr:uid="{00000000-0005-0000-0000-0000EA1D0000}"/>
    <cellStyle name="Normal 2 2 10 2 20 5 4" xfId="7659" xr:uid="{00000000-0005-0000-0000-0000EB1D0000}"/>
    <cellStyle name="Normal 2 2 10 2 20 5 5" xfId="7660" xr:uid="{00000000-0005-0000-0000-0000EC1D0000}"/>
    <cellStyle name="Normal 2 2 10 2 20 5 6" xfId="7661" xr:uid="{00000000-0005-0000-0000-0000ED1D0000}"/>
    <cellStyle name="Normal 2 2 10 2 20 5 7" xfId="7662" xr:uid="{00000000-0005-0000-0000-0000EE1D0000}"/>
    <cellStyle name="Normal 2 2 10 2 20 5 8" xfId="7663" xr:uid="{00000000-0005-0000-0000-0000EF1D0000}"/>
    <cellStyle name="Normal 2 2 10 2 20 5 9" xfId="7664" xr:uid="{00000000-0005-0000-0000-0000F01D0000}"/>
    <cellStyle name="Normal 2 2 10 2 20 6" xfId="7665" xr:uid="{00000000-0005-0000-0000-0000F11D0000}"/>
    <cellStyle name="Normal 2 2 10 2 20 7" xfId="7666" xr:uid="{00000000-0005-0000-0000-0000F21D0000}"/>
    <cellStyle name="Normal 2 2 10 2 20 8" xfId="7667" xr:uid="{00000000-0005-0000-0000-0000F31D0000}"/>
    <cellStyle name="Normal 2 2 10 2 20 9" xfId="7668" xr:uid="{00000000-0005-0000-0000-0000F41D0000}"/>
    <cellStyle name="Normal 2 2 10 2 21" xfId="7669" xr:uid="{00000000-0005-0000-0000-0000F51D0000}"/>
    <cellStyle name="Normal 2 2 10 2 21 10" xfId="7670" xr:uid="{00000000-0005-0000-0000-0000F61D0000}"/>
    <cellStyle name="Normal 2 2 10 2 21 11" xfId="7671" xr:uid="{00000000-0005-0000-0000-0000F71D0000}"/>
    <cellStyle name="Normal 2 2 10 2 21 12" xfId="7672" xr:uid="{00000000-0005-0000-0000-0000F81D0000}"/>
    <cellStyle name="Normal 2 2 10 2 21 13" xfId="7673" xr:uid="{00000000-0005-0000-0000-0000F91D0000}"/>
    <cellStyle name="Normal 2 2 10 2 21 14" xfId="7674" xr:uid="{00000000-0005-0000-0000-0000FA1D0000}"/>
    <cellStyle name="Normal 2 2 10 2 21 2" xfId="7675" xr:uid="{00000000-0005-0000-0000-0000FB1D0000}"/>
    <cellStyle name="Normal 2 2 10 2 21 2 10" xfId="7676" xr:uid="{00000000-0005-0000-0000-0000FC1D0000}"/>
    <cellStyle name="Normal 2 2 10 2 21 2 2" xfId="7677" xr:uid="{00000000-0005-0000-0000-0000FD1D0000}"/>
    <cellStyle name="Normal 2 2 10 2 21 2 3" xfId="7678" xr:uid="{00000000-0005-0000-0000-0000FE1D0000}"/>
    <cellStyle name="Normal 2 2 10 2 21 2 4" xfId="7679" xr:uid="{00000000-0005-0000-0000-0000FF1D0000}"/>
    <cellStyle name="Normal 2 2 10 2 21 2 5" xfId="7680" xr:uid="{00000000-0005-0000-0000-0000001E0000}"/>
    <cellStyle name="Normal 2 2 10 2 21 2 6" xfId="7681" xr:uid="{00000000-0005-0000-0000-0000011E0000}"/>
    <cellStyle name="Normal 2 2 10 2 21 2 7" xfId="7682" xr:uid="{00000000-0005-0000-0000-0000021E0000}"/>
    <cellStyle name="Normal 2 2 10 2 21 2 8" xfId="7683" xr:uid="{00000000-0005-0000-0000-0000031E0000}"/>
    <cellStyle name="Normal 2 2 10 2 21 2 9" xfId="7684" xr:uid="{00000000-0005-0000-0000-0000041E0000}"/>
    <cellStyle name="Normal 2 2 10 2 21 3" xfId="7685" xr:uid="{00000000-0005-0000-0000-0000051E0000}"/>
    <cellStyle name="Normal 2 2 10 2 21 3 10" xfId="7686" xr:uid="{00000000-0005-0000-0000-0000061E0000}"/>
    <cellStyle name="Normal 2 2 10 2 21 3 2" xfId="7687" xr:uid="{00000000-0005-0000-0000-0000071E0000}"/>
    <cellStyle name="Normal 2 2 10 2 21 3 3" xfId="7688" xr:uid="{00000000-0005-0000-0000-0000081E0000}"/>
    <cellStyle name="Normal 2 2 10 2 21 3 4" xfId="7689" xr:uid="{00000000-0005-0000-0000-0000091E0000}"/>
    <cellStyle name="Normal 2 2 10 2 21 3 5" xfId="7690" xr:uid="{00000000-0005-0000-0000-00000A1E0000}"/>
    <cellStyle name="Normal 2 2 10 2 21 3 6" xfId="7691" xr:uid="{00000000-0005-0000-0000-00000B1E0000}"/>
    <cellStyle name="Normal 2 2 10 2 21 3 7" xfId="7692" xr:uid="{00000000-0005-0000-0000-00000C1E0000}"/>
    <cellStyle name="Normal 2 2 10 2 21 3 8" xfId="7693" xr:uid="{00000000-0005-0000-0000-00000D1E0000}"/>
    <cellStyle name="Normal 2 2 10 2 21 3 9" xfId="7694" xr:uid="{00000000-0005-0000-0000-00000E1E0000}"/>
    <cellStyle name="Normal 2 2 10 2 21 4" xfId="7695" xr:uid="{00000000-0005-0000-0000-00000F1E0000}"/>
    <cellStyle name="Normal 2 2 10 2 21 4 10" xfId="7696" xr:uid="{00000000-0005-0000-0000-0000101E0000}"/>
    <cellStyle name="Normal 2 2 10 2 21 4 2" xfId="7697" xr:uid="{00000000-0005-0000-0000-0000111E0000}"/>
    <cellStyle name="Normal 2 2 10 2 21 4 3" xfId="7698" xr:uid="{00000000-0005-0000-0000-0000121E0000}"/>
    <cellStyle name="Normal 2 2 10 2 21 4 4" xfId="7699" xr:uid="{00000000-0005-0000-0000-0000131E0000}"/>
    <cellStyle name="Normal 2 2 10 2 21 4 5" xfId="7700" xr:uid="{00000000-0005-0000-0000-0000141E0000}"/>
    <cellStyle name="Normal 2 2 10 2 21 4 6" xfId="7701" xr:uid="{00000000-0005-0000-0000-0000151E0000}"/>
    <cellStyle name="Normal 2 2 10 2 21 4 7" xfId="7702" xr:uid="{00000000-0005-0000-0000-0000161E0000}"/>
    <cellStyle name="Normal 2 2 10 2 21 4 8" xfId="7703" xr:uid="{00000000-0005-0000-0000-0000171E0000}"/>
    <cellStyle name="Normal 2 2 10 2 21 4 9" xfId="7704" xr:uid="{00000000-0005-0000-0000-0000181E0000}"/>
    <cellStyle name="Normal 2 2 10 2 21 5" xfId="7705" xr:uid="{00000000-0005-0000-0000-0000191E0000}"/>
    <cellStyle name="Normal 2 2 10 2 21 5 10" xfId="7706" xr:uid="{00000000-0005-0000-0000-00001A1E0000}"/>
    <cellStyle name="Normal 2 2 10 2 21 5 2" xfId="7707" xr:uid="{00000000-0005-0000-0000-00001B1E0000}"/>
    <cellStyle name="Normal 2 2 10 2 21 5 3" xfId="7708" xr:uid="{00000000-0005-0000-0000-00001C1E0000}"/>
    <cellStyle name="Normal 2 2 10 2 21 5 4" xfId="7709" xr:uid="{00000000-0005-0000-0000-00001D1E0000}"/>
    <cellStyle name="Normal 2 2 10 2 21 5 5" xfId="7710" xr:uid="{00000000-0005-0000-0000-00001E1E0000}"/>
    <cellStyle name="Normal 2 2 10 2 21 5 6" xfId="7711" xr:uid="{00000000-0005-0000-0000-00001F1E0000}"/>
    <cellStyle name="Normal 2 2 10 2 21 5 7" xfId="7712" xr:uid="{00000000-0005-0000-0000-0000201E0000}"/>
    <cellStyle name="Normal 2 2 10 2 21 5 8" xfId="7713" xr:uid="{00000000-0005-0000-0000-0000211E0000}"/>
    <cellStyle name="Normal 2 2 10 2 21 5 9" xfId="7714" xr:uid="{00000000-0005-0000-0000-0000221E0000}"/>
    <cellStyle name="Normal 2 2 10 2 21 6" xfId="7715" xr:uid="{00000000-0005-0000-0000-0000231E0000}"/>
    <cellStyle name="Normal 2 2 10 2 21 7" xfId="7716" xr:uid="{00000000-0005-0000-0000-0000241E0000}"/>
    <cellStyle name="Normal 2 2 10 2 21 8" xfId="7717" xr:uid="{00000000-0005-0000-0000-0000251E0000}"/>
    <cellStyle name="Normal 2 2 10 2 21 9" xfId="7718" xr:uid="{00000000-0005-0000-0000-0000261E0000}"/>
    <cellStyle name="Normal 2 2 10 2 22" xfId="7719" xr:uid="{00000000-0005-0000-0000-0000271E0000}"/>
    <cellStyle name="Normal 2 2 10 2 22 10" xfId="7720" xr:uid="{00000000-0005-0000-0000-0000281E0000}"/>
    <cellStyle name="Normal 2 2 10 2 22 11" xfId="7721" xr:uid="{00000000-0005-0000-0000-0000291E0000}"/>
    <cellStyle name="Normal 2 2 10 2 22 12" xfId="7722" xr:uid="{00000000-0005-0000-0000-00002A1E0000}"/>
    <cellStyle name="Normal 2 2 10 2 22 13" xfId="7723" xr:uid="{00000000-0005-0000-0000-00002B1E0000}"/>
    <cellStyle name="Normal 2 2 10 2 22 14" xfId="7724" xr:uid="{00000000-0005-0000-0000-00002C1E0000}"/>
    <cellStyle name="Normal 2 2 10 2 22 2" xfId="7725" xr:uid="{00000000-0005-0000-0000-00002D1E0000}"/>
    <cellStyle name="Normal 2 2 10 2 22 2 10" xfId="7726" xr:uid="{00000000-0005-0000-0000-00002E1E0000}"/>
    <cellStyle name="Normal 2 2 10 2 22 2 2" xfId="7727" xr:uid="{00000000-0005-0000-0000-00002F1E0000}"/>
    <cellStyle name="Normal 2 2 10 2 22 2 3" xfId="7728" xr:uid="{00000000-0005-0000-0000-0000301E0000}"/>
    <cellStyle name="Normal 2 2 10 2 22 2 4" xfId="7729" xr:uid="{00000000-0005-0000-0000-0000311E0000}"/>
    <cellStyle name="Normal 2 2 10 2 22 2 5" xfId="7730" xr:uid="{00000000-0005-0000-0000-0000321E0000}"/>
    <cellStyle name="Normal 2 2 10 2 22 2 6" xfId="7731" xr:uid="{00000000-0005-0000-0000-0000331E0000}"/>
    <cellStyle name="Normal 2 2 10 2 22 2 7" xfId="7732" xr:uid="{00000000-0005-0000-0000-0000341E0000}"/>
    <cellStyle name="Normal 2 2 10 2 22 2 8" xfId="7733" xr:uid="{00000000-0005-0000-0000-0000351E0000}"/>
    <cellStyle name="Normal 2 2 10 2 22 2 9" xfId="7734" xr:uid="{00000000-0005-0000-0000-0000361E0000}"/>
    <cellStyle name="Normal 2 2 10 2 22 3" xfId="7735" xr:uid="{00000000-0005-0000-0000-0000371E0000}"/>
    <cellStyle name="Normal 2 2 10 2 22 3 10" xfId="7736" xr:uid="{00000000-0005-0000-0000-0000381E0000}"/>
    <cellStyle name="Normal 2 2 10 2 22 3 2" xfId="7737" xr:uid="{00000000-0005-0000-0000-0000391E0000}"/>
    <cellStyle name="Normal 2 2 10 2 22 3 3" xfId="7738" xr:uid="{00000000-0005-0000-0000-00003A1E0000}"/>
    <cellStyle name="Normal 2 2 10 2 22 3 4" xfId="7739" xr:uid="{00000000-0005-0000-0000-00003B1E0000}"/>
    <cellStyle name="Normal 2 2 10 2 22 3 5" xfId="7740" xr:uid="{00000000-0005-0000-0000-00003C1E0000}"/>
    <cellStyle name="Normal 2 2 10 2 22 3 6" xfId="7741" xr:uid="{00000000-0005-0000-0000-00003D1E0000}"/>
    <cellStyle name="Normal 2 2 10 2 22 3 7" xfId="7742" xr:uid="{00000000-0005-0000-0000-00003E1E0000}"/>
    <cellStyle name="Normal 2 2 10 2 22 3 8" xfId="7743" xr:uid="{00000000-0005-0000-0000-00003F1E0000}"/>
    <cellStyle name="Normal 2 2 10 2 22 3 9" xfId="7744" xr:uid="{00000000-0005-0000-0000-0000401E0000}"/>
    <cellStyle name="Normal 2 2 10 2 22 4" xfId="7745" xr:uid="{00000000-0005-0000-0000-0000411E0000}"/>
    <cellStyle name="Normal 2 2 10 2 22 4 10" xfId="7746" xr:uid="{00000000-0005-0000-0000-0000421E0000}"/>
    <cellStyle name="Normal 2 2 10 2 22 4 2" xfId="7747" xr:uid="{00000000-0005-0000-0000-0000431E0000}"/>
    <cellStyle name="Normal 2 2 10 2 22 4 3" xfId="7748" xr:uid="{00000000-0005-0000-0000-0000441E0000}"/>
    <cellStyle name="Normal 2 2 10 2 22 4 4" xfId="7749" xr:uid="{00000000-0005-0000-0000-0000451E0000}"/>
    <cellStyle name="Normal 2 2 10 2 22 4 5" xfId="7750" xr:uid="{00000000-0005-0000-0000-0000461E0000}"/>
    <cellStyle name="Normal 2 2 10 2 22 4 6" xfId="7751" xr:uid="{00000000-0005-0000-0000-0000471E0000}"/>
    <cellStyle name="Normal 2 2 10 2 22 4 7" xfId="7752" xr:uid="{00000000-0005-0000-0000-0000481E0000}"/>
    <cellStyle name="Normal 2 2 10 2 22 4 8" xfId="7753" xr:uid="{00000000-0005-0000-0000-0000491E0000}"/>
    <cellStyle name="Normal 2 2 10 2 22 4 9" xfId="7754" xr:uid="{00000000-0005-0000-0000-00004A1E0000}"/>
    <cellStyle name="Normal 2 2 10 2 22 5" xfId="7755" xr:uid="{00000000-0005-0000-0000-00004B1E0000}"/>
    <cellStyle name="Normal 2 2 10 2 22 5 10" xfId="7756" xr:uid="{00000000-0005-0000-0000-00004C1E0000}"/>
    <cellStyle name="Normal 2 2 10 2 22 5 2" xfId="7757" xr:uid="{00000000-0005-0000-0000-00004D1E0000}"/>
    <cellStyle name="Normal 2 2 10 2 22 5 3" xfId="7758" xr:uid="{00000000-0005-0000-0000-00004E1E0000}"/>
    <cellStyle name="Normal 2 2 10 2 22 5 4" xfId="7759" xr:uid="{00000000-0005-0000-0000-00004F1E0000}"/>
    <cellStyle name="Normal 2 2 10 2 22 5 5" xfId="7760" xr:uid="{00000000-0005-0000-0000-0000501E0000}"/>
    <cellStyle name="Normal 2 2 10 2 22 5 6" xfId="7761" xr:uid="{00000000-0005-0000-0000-0000511E0000}"/>
    <cellStyle name="Normal 2 2 10 2 22 5 7" xfId="7762" xr:uid="{00000000-0005-0000-0000-0000521E0000}"/>
    <cellStyle name="Normal 2 2 10 2 22 5 8" xfId="7763" xr:uid="{00000000-0005-0000-0000-0000531E0000}"/>
    <cellStyle name="Normal 2 2 10 2 22 5 9" xfId="7764" xr:uid="{00000000-0005-0000-0000-0000541E0000}"/>
    <cellStyle name="Normal 2 2 10 2 22 6" xfId="7765" xr:uid="{00000000-0005-0000-0000-0000551E0000}"/>
    <cellStyle name="Normal 2 2 10 2 22 7" xfId="7766" xr:uid="{00000000-0005-0000-0000-0000561E0000}"/>
    <cellStyle name="Normal 2 2 10 2 22 8" xfId="7767" xr:uid="{00000000-0005-0000-0000-0000571E0000}"/>
    <cellStyle name="Normal 2 2 10 2 22 9" xfId="7768" xr:uid="{00000000-0005-0000-0000-0000581E0000}"/>
    <cellStyle name="Normal 2 2 10 2 23" xfId="7769" xr:uid="{00000000-0005-0000-0000-0000591E0000}"/>
    <cellStyle name="Normal 2 2 10 2 23 10" xfId="7770" xr:uid="{00000000-0005-0000-0000-00005A1E0000}"/>
    <cellStyle name="Normal 2 2 10 2 23 11" xfId="7771" xr:uid="{00000000-0005-0000-0000-00005B1E0000}"/>
    <cellStyle name="Normal 2 2 10 2 23 12" xfId="7772" xr:uid="{00000000-0005-0000-0000-00005C1E0000}"/>
    <cellStyle name="Normal 2 2 10 2 23 13" xfId="7773" xr:uid="{00000000-0005-0000-0000-00005D1E0000}"/>
    <cellStyle name="Normal 2 2 10 2 23 14" xfId="7774" xr:uid="{00000000-0005-0000-0000-00005E1E0000}"/>
    <cellStyle name="Normal 2 2 10 2 23 2" xfId="7775" xr:uid="{00000000-0005-0000-0000-00005F1E0000}"/>
    <cellStyle name="Normal 2 2 10 2 23 2 10" xfId="7776" xr:uid="{00000000-0005-0000-0000-0000601E0000}"/>
    <cellStyle name="Normal 2 2 10 2 23 2 2" xfId="7777" xr:uid="{00000000-0005-0000-0000-0000611E0000}"/>
    <cellStyle name="Normal 2 2 10 2 23 2 3" xfId="7778" xr:uid="{00000000-0005-0000-0000-0000621E0000}"/>
    <cellStyle name="Normal 2 2 10 2 23 2 4" xfId="7779" xr:uid="{00000000-0005-0000-0000-0000631E0000}"/>
    <cellStyle name="Normal 2 2 10 2 23 2 5" xfId="7780" xr:uid="{00000000-0005-0000-0000-0000641E0000}"/>
    <cellStyle name="Normal 2 2 10 2 23 2 6" xfId="7781" xr:uid="{00000000-0005-0000-0000-0000651E0000}"/>
    <cellStyle name="Normal 2 2 10 2 23 2 7" xfId="7782" xr:uid="{00000000-0005-0000-0000-0000661E0000}"/>
    <cellStyle name="Normal 2 2 10 2 23 2 8" xfId="7783" xr:uid="{00000000-0005-0000-0000-0000671E0000}"/>
    <cellStyle name="Normal 2 2 10 2 23 2 9" xfId="7784" xr:uid="{00000000-0005-0000-0000-0000681E0000}"/>
    <cellStyle name="Normal 2 2 10 2 23 3" xfId="7785" xr:uid="{00000000-0005-0000-0000-0000691E0000}"/>
    <cellStyle name="Normal 2 2 10 2 23 3 10" xfId="7786" xr:uid="{00000000-0005-0000-0000-00006A1E0000}"/>
    <cellStyle name="Normal 2 2 10 2 23 3 2" xfId="7787" xr:uid="{00000000-0005-0000-0000-00006B1E0000}"/>
    <cellStyle name="Normal 2 2 10 2 23 3 3" xfId="7788" xr:uid="{00000000-0005-0000-0000-00006C1E0000}"/>
    <cellStyle name="Normal 2 2 10 2 23 3 4" xfId="7789" xr:uid="{00000000-0005-0000-0000-00006D1E0000}"/>
    <cellStyle name="Normal 2 2 10 2 23 3 5" xfId="7790" xr:uid="{00000000-0005-0000-0000-00006E1E0000}"/>
    <cellStyle name="Normal 2 2 10 2 23 3 6" xfId="7791" xr:uid="{00000000-0005-0000-0000-00006F1E0000}"/>
    <cellStyle name="Normal 2 2 10 2 23 3 7" xfId="7792" xr:uid="{00000000-0005-0000-0000-0000701E0000}"/>
    <cellStyle name="Normal 2 2 10 2 23 3 8" xfId="7793" xr:uid="{00000000-0005-0000-0000-0000711E0000}"/>
    <cellStyle name="Normal 2 2 10 2 23 3 9" xfId="7794" xr:uid="{00000000-0005-0000-0000-0000721E0000}"/>
    <cellStyle name="Normal 2 2 10 2 23 4" xfId="7795" xr:uid="{00000000-0005-0000-0000-0000731E0000}"/>
    <cellStyle name="Normal 2 2 10 2 23 4 10" xfId="7796" xr:uid="{00000000-0005-0000-0000-0000741E0000}"/>
    <cellStyle name="Normal 2 2 10 2 23 4 2" xfId="7797" xr:uid="{00000000-0005-0000-0000-0000751E0000}"/>
    <cellStyle name="Normal 2 2 10 2 23 4 3" xfId="7798" xr:uid="{00000000-0005-0000-0000-0000761E0000}"/>
    <cellStyle name="Normal 2 2 10 2 23 4 4" xfId="7799" xr:uid="{00000000-0005-0000-0000-0000771E0000}"/>
    <cellStyle name="Normal 2 2 10 2 23 4 5" xfId="7800" xr:uid="{00000000-0005-0000-0000-0000781E0000}"/>
    <cellStyle name="Normal 2 2 10 2 23 4 6" xfId="7801" xr:uid="{00000000-0005-0000-0000-0000791E0000}"/>
    <cellStyle name="Normal 2 2 10 2 23 4 7" xfId="7802" xr:uid="{00000000-0005-0000-0000-00007A1E0000}"/>
    <cellStyle name="Normal 2 2 10 2 23 4 8" xfId="7803" xr:uid="{00000000-0005-0000-0000-00007B1E0000}"/>
    <cellStyle name="Normal 2 2 10 2 23 4 9" xfId="7804" xr:uid="{00000000-0005-0000-0000-00007C1E0000}"/>
    <cellStyle name="Normal 2 2 10 2 23 5" xfId="7805" xr:uid="{00000000-0005-0000-0000-00007D1E0000}"/>
    <cellStyle name="Normal 2 2 10 2 23 5 10" xfId="7806" xr:uid="{00000000-0005-0000-0000-00007E1E0000}"/>
    <cellStyle name="Normal 2 2 10 2 23 5 2" xfId="7807" xr:uid="{00000000-0005-0000-0000-00007F1E0000}"/>
    <cellStyle name="Normal 2 2 10 2 23 5 3" xfId="7808" xr:uid="{00000000-0005-0000-0000-0000801E0000}"/>
    <cellStyle name="Normal 2 2 10 2 23 5 4" xfId="7809" xr:uid="{00000000-0005-0000-0000-0000811E0000}"/>
    <cellStyle name="Normal 2 2 10 2 23 5 5" xfId="7810" xr:uid="{00000000-0005-0000-0000-0000821E0000}"/>
    <cellStyle name="Normal 2 2 10 2 23 5 6" xfId="7811" xr:uid="{00000000-0005-0000-0000-0000831E0000}"/>
    <cellStyle name="Normal 2 2 10 2 23 5 7" xfId="7812" xr:uid="{00000000-0005-0000-0000-0000841E0000}"/>
    <cellStyle name="Normal 2 2 10 2 23 5 8" xfId="7813" xr:uid="{00000000-0005-0000-0000-0000851E0000}"/>
    <cellStyle name="Normal 2 2 10 2 23 5 9" xfId="7814" xr:uid="{00000000-0005-0000-0000-0000861E0000}"/>
    <cellStyle name="Normal 2 2 10 2 23 6" xfId="7815" xr:uid="{00000000-0005-0000-0000-0000871E0000}"/>
    <cellStyle name="Normal 2 2 10 2 23 7" xfId="7816" xr:uid="{00000000-0005-0000-0000-0000881E0000}"/>
    <cellStyle name="Normal 2 2 10 2 23 8" xfId="7817" xr:uid="{00000000-0005-0000-0000-0000891E0000}"/>
    <cellStyle name="Normal 2 2 10 2 23 9" xfId="7818" xr:uid="{00000000-0005-0000-0000-00008A1E0000}"/>
    <cellStyle name="Normal 2 2 10 2 24" xfId="7819" xr:uid="{00000000-0005-0000-0000-00008B1E0000}"/>
    <cellStyle name="Normal 2 2 10 2 24 10" xfId="7820" xr:uid="{00000000-0005-0000-0000-00008C1E0000}"/>
    <cellStyle name="Normal 2 2 10 2 24 11" xfId="7821" xr:uid="{00000000-0005-0000-0000-00008D1E0000}"/>
    <cellStyle name="Normal 2 2 10 2 24 12" xfId="7822" xr:uid="{00000000-0005-0000-0000-00008E1E0000}"/>
    <cellStyle name="Normal 2 2 10 2 24 13" xfId="7823" xr:uid="{00000000-0005-0000-0000-00008F1E0000}"/>
    <cellStyle name="Normal 2 2 10 2 24 14" xfId="7824" xr:uid="{00000000-0005-0000-0000-0000901E0000}"/>
    <cellStyle name="Normal 2 2 10 2 24 2" xfId="7825" xr:uid="{00000000-0005-0000-0000-0000911E0000}"/>
    <cellStyle name="Normal 2 2 10 2 24 2 10" xfId="7826" xr:uid="{00000000-0005-0000-0000-0000921E0000}"/>
    <cellStyle name="Normal 2 2 10 2 24 2 2" xfId="7827" xr:uid="{00000000-0005-0000-0000-0000931E0000}"/>
    <cellStyle name="Normal 2 2 10 2 24 2 3" xfId="7828" xr:uid="{00000000-0005-0000-0000-0000941E0000}"/>
    <cellStyle name="Normal 2 2 10 2 24 2 4" xfId="7829" xr:uid="{00000000-0005-0000-0000-0000951E0000}"/>
    <cellStyle name="Normal 2 2 10 2 24 2 5" xfId="7830" xr:uid="{00000000-0005-0000-0000-0000961E0000}"/>
    <cellStyle name="Normal 2 2 10 2 24 2 6" xfId="7831" xr:uid="{00000000-0005-0000-0000-0000971E0000}"/>
    <cellStyle name="Normal 2 2 10 2 24 2 7" xfId="7832" xr:uid="{00000000-0005-0000-0000-0000981E0000}"/>
    <cellStyle name="Normal 2 2 10 2 24 2 8" xfId="7833" xr:uid="{00000000-0005-0000-0000-0000991E0000}"/>
    <cellStyle name="Normal 2 2 10 2 24 2 9" xfId="7834" xr:uid="{00000000-0005-0000-0000-00009A1E0000}"/>
    <cellStyle name="Normal 2 2 10 2 24 3" xfId="7835" xr:uid="{00000000-0005-0000-0000-00009B1E0000}"/>
    <cellStyle name="Normal 2 2 10 2 24 3 10" xfId="7836" xr:uid="{00000000-0005-0000-0000-00009C1E0000}"/>
    <cellStyle name="Normal 2 2 10 2 24 3 2" xfId="7837" xr:uid="{00000000-0005-0000-0000-00009D1E0000}"/>
    <cellStyle name="Normal 2 2 10 2 24 3 3" xfId="7838" xr:uid="{00000000-0005-0000-0000-00009E1E0000}"/>
    <cellStyle name="Normal 2 2 10 2 24 3 4" xfId="7839" xr:uid="{00000000-0005-0000-0000-00009F1E0000}"/>
    <cellStyle name="Normal 2 2 10 2 24 3 5" xfId="7840" xr:uid="{00000000-0005-0000-0000-0000A01E0000}"/>
    <cellStyle name="Normal 2 2 10 2 24 3 6" xfId="7841" xr:uid="{00000000-0005-0000-0000-0000A11E0000}"/>
    <cellStyle name="Normal 2 2 10 2 24 3 7" xfId="7842" xr:uid="{00000000-0005-0000-0000-0000A21E0000}"/>
    <cellStyle name="Normal 2 2 10 2 24 3 8" xfId="7843" xr:uid="{00000000-0005-0000-0000-0000A31E0000}"/>
    <cellStyle name="Normal 2 2 10 2 24 3 9" xfId="7844" xr:uid="{00000000-0005-0000-0000-0000A41E0000}"/>
    <cellStyle name="Normal 2 2 10 2 24 4" xfId="7845" xr:uid="{00000000-0005-0000-0000-0000A51E0000}"/>
    <cellStyle name="Normal 2 2 10 2 24 4 10" xfId="7846" xr:uid="{00000000-0005-0000-0000-0000A61E0000}"/>
    <cellStyle name="Normal 2 2 10 2 24 4 2" xfId="7847" xr:uid="{00000000-0005-0000-0000-0000A71E0000}"/>
    <cellStyle name="Normal 2 2 10 2 24 4 3" xfId="7848" xr:uid="{00000000-0005-0000-0000-0000A81E0000}"/>
    <cellStyle name="Normal 2 2 10 2 24 4 4" xfId="7849" xr:uid="{00000000-0005-0000-0000-0000A91E0000}"/>
    <cellStyle name="Normal 2 2 10 2 24 4 5" xfId="7850" xr:uid="{00000000-0005-0000-0000-0000AA1E0000}"/>
    <cellStyle name="Normal 2 2 10 2 24 4 6" xfId="7851" xr:uid="{00000000-0005-0000-0000-0000AB1E0000}"/>
    <cellStyle name="Normal 2 2 10 2 24 4 7" xfId="7852" xr:uid="{00000000-0005-0000-0000-0000AC1E0000}"/>
    <cellStyle name="Normal 2 2 10 2 24 4 8" xfId="7853" xr:uid="{00000000-0005-0000-0000-0000AD1E0000}"/>
    <cellStyle name="Normal 2 2 10 2 24 4 9" xfId="7854" xr:uid="{00000000-0005-0000-0000-0000AE1E0000}"/>
    <cellStyle name="Normal 2 2 10 2 24 5" xfId="7855" xr:uid="{00000000-0005-0000-0000-0000AF1E0000}"/>
    <cellStyle name="Normal 2 2 10 2 24 5 10" xfId="7856" xr:uid="{00000000-0005-0000-0000-0000B01E0000}"/>
    <cellStyle name="Normal 2 2 10 2 24 5 2" xfId="7857" xr:uid="{00000000-0005-0000-0000-0000B11E0000}"/>
    <cellStyle name="Normal 2 2 10 2 24 5 3" xfId="7858" xr:uid="{00000000-0005-0000-0000-0000B21E0000}"/>
    <cellStyle name="Normal 2 2 10 2 24 5 4" xfId="7859" xr:uid="{00000000-0005-0000-0000-0000B31E0000}"/>
    <cellStyle name="Normal 2 2 10 2 24 5 5" xfId="7860" xr:uid="{00000000-0005-0000-0000-0000B41E0000}"/>
    <cellStyle name="Normal 2 2 10 2 24 5 6" xfId="7861" xr:uid="{00000000-0005-0000-0000-0000B51E0000}"/>
    <cellStyle name="Normal 2 2 10 2 24 5 7" xfId="7862" xr:uid="{00000000-0005-0000-0000-0000B61E0000}"/>
    <cellStyle name="Normal 2 2 10 2 24 5 8" xfId="7863" xr:uid="{00000000-0005-0000-0000-0000B71E0000}"/>
    <cellStyle name="Normal 2 2 10 2 24 5 9" xfId="7864" xr:uid="{00000000-0005-0000-0000-0000B81E0000}"/>
    <cellStyle name="Normal 2 2 10 2 24 6" xfId="7865" xr:uid="{00000000-0005-0000-0000-0000B91E0000}"/>
    <cellStyle name="Normal 2 2 10 2 24 7" xfId="7866" xr:uid="{00000000-0005-0000-0000-0000BA1E0000}"/>
    <cellStyle name="Normal 2 2 10 2 24 8" xfId="7867" xr:uid="{00000000-0005-0000-0000-0000BB1E0000}"/>
    <cellStyle name="Normal 2 2 10 2 24 9" xfId="7868" xr:uid="{00000000-0005-0000-0000-0000BC1E0000}"/>
    <cellStyle name="Normal 2 2 10 2 25" xfId="7869" xr:uid="{00000000-0005-0000-0000-0000BD1E0000}"/>
    <cellStyle name="Normal 2 2 10 2 25 10" xfId="7870" xr:uid="{00000000-0005-0000-0000-0000BE1E0000}"/>
    <cellStyle name="Normal 2 2 10 2 25 11" xfId="7871" xr:uid="{00000000-0005-0000-0000-0000BF1E0000}"/>
    <cellStyle name="Normal 2 2 10 2 25 12" xfId="7872" xr:uid="{00000000-0005-0000-0000-0000C01E0000}"/>
    <cellStyle name="Normal 2 2 10 2 25 13" xfId="7873" xr:uid="{00000000-0005-0000-0000-0000C11E0000}"/>
    <cellStyle name="Normal 2 2 10 2 25 14" xfId="7874" xr:uid="{00000000-0005-0000-0000-0000C21E0000}"/>
    <cellStyle name="Normal 2 2 10 2 25 2" xfId="7875" xr:uid="{00000000-0005-0000-0000-0000C31E0000}"/>
    <cellStyle name="Normal 2 2 10 2 25 2 10" xfId="7876" xr:uid="{00000000-0005-0000-0000-0000C41E0000}"/>
    <cellStyle name="Normal 2 2 10 2 25 2 2" xfId="7877" xr:uid="{00000000-0005-0000-0000-0000C51E0000}"/>
    <cellStyle name="Normal 2 2 10 2 25 2 3" xfId="7878" xr:uid="{00000000-0005-0000-0000-0000C61E0000}"/>
    <cellStyle name="Normal 2 2 10 2 25 2 4" xfId="7879" xr:uid="{00000000-0005-0000-0000-0000C71E0000}"/>
    <cellStyle name="Normal 2 2 10 2 25 2 5" xfId="7880" xr:uid="{00000000-0005-0000-0000-0000C81E0000}"/>
    <cellStyle name="Normal 2 2 10 2 25 2 6" xfId="7881" xr:uid="{00000000-0005-0000-0000-0000C91E0000}"/>
    <cellStyle name="Normal 2 2 10 2 25 2 7" xfId="7882" xr:uid="{00000000-0005-0000-0000-0000CA1E0000}"/>
    <cellStyle name="Normal 2 2 10 2 25 2 8" xfId="7883" xr:uid="{00000000-0005-0000-0000-0000CB1E0000}"/>
    <cellStyle name="Normal 2 2 10 2 25 2 9" xfId="7884" xr:uid="{00000000-0005-0000-0000-0000CC1E0000}"/>
    <cellStyle name="Normal 2 2 10 2 25 3" xfId="7885" xr:uid="{00000000-0005-0000-0000-0000CD1E0000}"/>
    <cellStyle name="Normal 2 2 10 2 25 3 10" xfId="7886" xr:uid="{00000000-0005-0000-0000-0000CE1E0000}"/>
    <cellStyle name="Normal 2 2 10 2 25 3 2" xfId="7887" xr:uid="{00000000-0005-0000-0000-0000CF1E0000}"/>
    <cellStyle name="Normal 2 2 10 2 25 3 3" xfId="7888" xr:uid="{00000000-0005-0000-0000-0000D01E0000}"/>
    <cellStyle name="Normal 2 2 10 2 25 3 4" xfId="7889" xr:uid="{00000000-0005-0000-0000-0000D11E0000}"/>
    <cellStyle name="Normal 2 2 10 2 25 3 5" xfId="7890" xr:uid="{00000000-0005-0000-0000-0000D21E0000}"/>
    <cellStyle name="Normal 2 2 10 2 25 3 6" xfId="7891" xr:uid="{00000000-0005-0000-0000-0000D31E0000}"/>
    <cellStyle name="Normal 2 2 10 2 25 3 7" xfId="7892" xr:uid="{00000000-0005-0000-0000-0000D41E0000}"/>
    <cellStyle name="Normal 2 2 10 2 25 3 8" xfId="7893" xr:uid="{00000000-0005-0000-0000-0000D51E0000}"/>
    <cellStyle name="Normal 2 2 10 2 25 3 9" xfId="7894" xr:uid="{00000000-0005-0000-0000-0000D61E0000}"/>
    <cellStyle name="Normal 2 2 10 2 25 4" xfId="7895" xr:uid="{00000000-0005-0000-0000-0000D71E0000}"/>
    <cellStyle name="Normal 2 2 10 2 25 4 10" xfId="7896" xr:uid="{00000000-0005-0000-0000-0000D81E0000}"/>
    <cellStyle name="Normal 2 2 10 2 25 4 2" xfId="7897" xr:uid="{00000000-0005-0000-0000-0000D91E0000}"/>
    <cellStyle name="Normal 2 2 10 2 25 4 3" xfId="7898" xr:uid="{00000000-0005-0000-0000-0000DA1E0000}"/>
    <cellStyle name="Normal 2 2 10 2 25 4 4" xfId="7899" xr:uid="{00000000-0005-0000-0000-0000DB1E0000}"/>
    <cellStyle name="Normal 2 2 10 2 25 4 5" xfId="7900" xr:uid="{00000000-0005-0000-0000-0000DC1E0000}"/>
    <cellStyle name="Normal 2 2 10 2 25 4 6" xfId="7901" xr:uid="{00000000-0005-0000-0000-0000DD1E0000}"/>
    <cellStyle name="Normal 2 2 10 2 25 4 7" xfId="7902" xr:uid="{00000000-0005-0000-0000-0000DE1E0000}"/>
    <cellStyle name="Normal 2 2 10 2 25 4 8" xfId="7903" xr:uid="{00000000-0005-0000-0000-0000DF1E0000}"/>
    <cellStyle name="Normal 2 2 10 2 25 4 9" xfId="7904" xr:uid="{00000000-0005-0000-0000-0000E01E0000}"/>
    <cellStyle name="Normal 2 2 10 2 25 5" xfId="7905" xr:uid="{00000000-0005-0000-0000-0000E11E0000}"/>
    <cellStyle name="Normal 2 2 10 2 25 5 10" xfId="7906" xr:uid="{00000000-0005-0000-0000-0000E21E0000}"/>
    <cellStyle name="Normal 2 2 10 2 25 5 2" xfId="7907" xr:uid="{00000000-0005-0000-0000-0000E31E0000}"/>
    <cellStyle name="Normal 2 2 10 2 25 5 3" xfId="7908" xr:uid="{00000000-0005-0000-0000-0000E41E0000}"/>
    <cellStyle name="Normal 2 2 10 2 25 5 4" xfId="7909" xr:uid="{00000000-0005-0000-0000-0000E51E0000}"/>
    <cellStyle name="Normal 2 2 10 2 25 5 5" xfId="7910" xr:uid="{00000000-0005-0000-0000-0000E61E0000}"/>
    <cellStyle name="Normal 2 2 10 2 25 5 6" xfId="7911" xr:uid="{00000000-0005-0000-0000-0000E71E0000}"/>
    <cellStyle name="Normal 2 2 10 2 25 5 7" xfId="7912" xr:uid="{00000000-0005-0000-0000-0000E81E0000}"/>
    <cellStyle name="Normal 2 2 10 2 25 5 8" xfId="7913" xr:uid="{00000000-0005-0000-0000-0000E91E0000}"/>
    <cellStyle name="Normal 2 2 10 2 25 5 9" xfId="7914" xr:uid="{00000000-0005-0000-0000-0000EA1E0000}"/>
    <cellStyle name="Normal 2 2 10 2 25 6" xfId="7915" xr:uid="{00000000-0005-0000-0000-0000EB1E0000}"/>
    <cellStyle name="Normal 2 2 10 2 25 7" xfId="7916" xr:uid="{00000000-0005-0000-0000-0000EC1E0000}"/>
    <cellStyle name="Normal 2 2 10 2 25 8" xfId="7917" xr:uid="{00000000-0005-0000-0000-0000ED1E0000}"/>
    <cellStyle name="Normal 2 2 10 2 25 9" xfId="7918" xr:uid="{00000000-0005-0000-0000-0000EE1E0000}"/>
    <cellStyle name="Normal 2 2 10 2 26" xfId="7919" xr:uid="{00000000-0005-0000-0000-0000EF1E0000}"/>
    <cellStyle name="Normal 2 2 10 2 26 10" xfId="7920" xr:uid="{00000000-0005-0000-0000-0000F01E0000}"/>
    <cellStyle name="Normal 2 2 10 2 26 11" xfId="7921" xr:uid="{00000000-0005-0000-0000-0000F11E0000}"/>
    <cellStyle name="Normal 2 2 10 2 26 12" xfId="7922" xr:uid="{00000000-0005-0000-0000-0000F21E0000}"/>
    <cellStyle name="Normal 2 2 10 2 26 13" xfId="7923" xr:uid="{00000000-0005-0000-0000-0000F31E0000}"/>
    <cellStyle name="Normal 2 2 10 2 26 14" xfId="7924" xr:uid="{00000000-0005-0000-0000-0000F41E0000}"/>
    <cellStyle name="Normal 2 2 10 2 26 2" xfId="7925" xr:uid="{00000000-0005-0000-0000-0000F51E0000}"/>
    <cellStyle name="Normal 2 2 10 2 26 2 10" xfId="7926" xr:uid="{00000000-0005-0000-0000-0000F61E0000}"/>
    <cellStyle name="Normal 2 2 10 2 26 2 2" xfId="7927" xr:uid="{00000000-0005-0000-0000-0000F71E0000}"/>
    <cellStyle name="Normal 2 2 10 2 26 2 3" xfId="7928" xr:uid="{00000000-0005-0000-0000-0000F81E0000}"/>
    <cellStyle name="Normal 2 2 10 2 26 2 4" xfId="7929" xr:uid="{00000000-0005-0000-0000-0000F91E0000}"/>
    <cellStyle name="Normal 2 2 10 2 26 2 5" xfId="7930" xr:uid="{00000000-0005-0000-0000-0000FA1E0000}"/>
    <cellStyle name="Normal 2 2 10 2 26 2 6" xfId="7931" xr:uid="{00000000-0005-0000-0000-0000FB1E0000}"/>
    <cellStyle name="Normal 2 2 10 2 26 2 7" xfId="7932" xr:uid="{00000000-0005-0000-0000-0000FC1E0000}"/>
    <cellStyle name="Normal 2 2 10 2 26 2 8" xfId="7933" xr:uid="{00000000-0005-0000-0000-0000FD1E0000}"/>
    <cellStyle name="Normal 2 2 10 2 26 2 9" xfId="7934" xr:uid="{00000000-0005-0000-0000-0000FE1E0000}"/>
    <cellStyle name="Normal 2 2 10 2 26 3" xfId="7935" xr:uid="{00000000-0005-0000-0000-0000FF1E0000}"/>
    <cellStyle name="Normal 2 2 10 2 26 3 10" xfId="7936" xr:uid="{00000000-0005-0000-0000-0000001F0000}"/>
    <cellStyle name="Normal 2 2 10 2 26 3 2" xfId="7937" xr:uid="{00000000-0005-0000-0000-0000011F0000}"/>
    <cellStyle name="Normal 2 2 10 2 26 3 3" xfId="7938" xr:uid="{00000000-0005-0000-0000-0000021F0000}"/>
    <cellStyle name="Normal 2 2 10 2 26 3 4" xfId="7939" xr:uid="{00000000-0005-0000-0000-0000031F0000}"/>
    <cellStyle name="Normal 2 2 10 2 26 3 5" xfId="7940" xr:uid="{00000000-0005-0000-0000-0000041F0000}"/>
    <cellStyle name="Normal 2 2 10 2 26 3 6" xfId="7941" xr:uid="{00000000-0005-0000-0000-0000051F0000}"/>
    <cellStyle name="Normal 2 2 10 2 26 3 7" xfId="7942" xr:uid="{00000000-0005-0000-0000-0000061F0000}"/>
    <cellStyle name="Normal 2 2 10 2 26 3 8" xfId="7943" xr:uid="{00000000-0005-0000-0000-0000071F0000}"/>
    <cellStyle name="Normal 2 2 10 2 26 3 9" xfId="7944" xr:uid="{00000000-0005-0000-0000-0000081F0000}"/>
    <cellStyle name="Normal 2 2 10 2 26 4" xfId="7945" xr:uid="{00000000-0005-0000-0000-0000091F0000}"/>
    <cellStyle name="Normal 2 2 10 2 26 4 10" xfId="7946" xr:uid="{00000000-0005-0000-0000-00000A1F0000}"/>
    <cellStyle name="Normal 2 2 10 2 26 4 2" xfId="7947" xr:uid="{00000000-0005-0000-0000-00000B1F0000}"/>
    <cellStyle name="Normal 2 2 10 2 26 4 3" xfId="7948" xr:uid="{00000000-0005-0000-0000-00000C1F0000}"/>
    <cellStyle name="Normal 2 2 10 2 26 4 4" xfId="7949" xr:uid="{00000000-0005-0000-0000-00000D1F0000}"/>
    <cellStyle name="Normal 2 2 10 2 26 4 5" xfId="7950" xr:uid="{00000000-0005-0000-0000-00000E1F0000}"/>
    <cellStyle name="Normal 2 2 10 2 26 4 6" xfId="7951" xr:uid="{00000000-0005-0000-0000-00000F1F0000}"/>
    <cellStyle name="Normal 2 2 10 2 26 4 7" xfId="7952" xr:uid="{00000000-0005-0000-0000-0000101F0000}"/>
    <cellStyle name="Normal 2 2 10 2 26 4 8" xfId="7953" xr:uid="{00000000-0005-0000-0000-0000111F0000}"/>
    <cellStyle name="Normal 2 2 10 2 26 4 9" xfId="7954" xr:uid="{00000000-0005-0000-0000-0000121F0000}"/>
    <cellStyle name="Normal 2 2 10 2 26 5" xfId="7955" xr:uid="{00000000-0005-0000-0000-0000131F0000}"/>
    <cellStyle name="Normal 2 2 10 2 26 5 10" xfId="7956" xr:uid="{00000000-0005-0000-0000-0000141F0000}"/>
    <cellStyle name="Normal 2 2 10 2 26 5 2" xfId="7957" xr:uid="{00000000-0005-0000-0000-0000151F0000}"/>
    <cellStyle name="Normal 2 2 10 2 26 5 3" xfId="7958" xr:uid="{00000000-0005-0000-0000-0000161F0000}"/>
    <cellStyle name="Normal 2 2 10 2 26 5 4" xfId="7959" xr:uid="{00000000-0005-0000-0000-0000171F0000}"/>
    <cellStyle name="Normal 2 2 10 2 26 5 5" xfId="7960" xr:uid="{00000000-0005-0000-0000-0000181F0000}"/>
    <cellStyle name="Normal 2 2 10 2 26 5 6" xfId="7961" xr:uid="{00000000-0005-0000-0000-0000191F0000}"/>
    <cellStyle name="Normal 2 2 10 2 26 5 7" xfId="7962" xr:uid="{00000000-0005-0000-0000-00001A1F0000}"/>
    <cellStyle name="Normal 2 2 10 2 26 5 8" xfId="7963" xr:uid="{00000000-0005-0000-0000-00001B1F0000}"/>
    <cellStyle name="Normal 2 2 10 2 26 5 9" xfId="7964" xr:uid="{00000000-0005-0000-0000-00001C1F0000}"/>
    <cellStyle name="Normal 2 2 10 2 26 6" xfId="7965" xr:uid="{00000000-0005-0000-0000-00001D1F0000}"/>
    <cellStyle name="Normal 2 2 10 2 26 7" xfId="7966" xr:uid="{00000000-0005-0000-0000-00001E1F0000}"/>
    <cellStyle name="Normal 2 2 10 2 26 8" xfId="7967" xr:uid="{00000000-0005-0000-0000-00001F1F0000}"/>
    <cellStyle name="Normal 2 2 10 2 26 9" xfId="7968" xr:uid="{00000000-0005-0000-0000-0000201F0000}"/>
    <cellStyle name="Normal 2 2 10 2 27" xfId="7969" xr:uid="{00000000-0005-0000-0000-0000211F0000}"/>
    <cellStyle name="Normal 2 2 10 2 27 10" xfId="7970" xr:uid="{00000000-0005-0000-0000-0000221F0000}"/>
    <cellStyle name="Normal 2 2 10 2 27 11" xfId="7971" xr:uid="{00000000-0005-0000-0000-0000231F0000}"/>
    <cellStyle name="Normal 2 2 10 2 27 12" xfId="7972" xr:uid="{00000000-0005-0000-0000-0000241F0000}"/>
    <cellStyle name="Normal 2 2 10 2 27 13" xfId="7973" xr:uid="{00000000-0005-0000-0000-0000251F0000}"/>
    <cellStyle name="Normal 2 2 10 2 27 14" xfId="7974" xr:uid="{00000000-0005-0000-0000-0000261F0000}"/>
    <cellStyle name="Normal 2 2 10 2 27 2" xfId="7975" xr:uid="{00000000-0005-0000-0000-0000271F0000}"/>
    <cellStyle name="Normal 2 2 10 2 27 2 10" xfId="7976" xr:uid="{00000000-0005-0000-0000-0000281F0000}"/>
    <cellStyle name="Normal 2 2 10 2 27 2 2" xfId="7977" xr:uid="{00000000-0005-0000-0000-0000291F0000}"/>
    <cellStyle name="Normal 2 2 10 2 27 2 3" xfId="7978" xr:uid="{00000000-0005-0000-0000-00002A1F0000}"/>
    <cellStyle name="Normal 2 2 10 2 27 2 4" xfId="7979" xr:uid="{00000000-0005-0000-0000-00002B1F0000}"/>
    <cellStyle name="Normal 2 2 10 2 27 2 5" xfId="7980" xr:uid="{00000000-0005-0000-0000-00002C1F0000}"/>
    <cellStyle name="Normal 2 2 10 2 27 2 6" xfId="7981" xr:uid="{00000000-0005-0000-0000-00002D1F0000}"/>
    <cellStyle name="Normal 2 2 10 2 27 2 7" xfId="7982" xr:uid="{00000000-0005-0000-0000-00002E1F0000}"/>
    <cellStyle name="Normal 2 2 10 2 27 2 8" xfId="7983" xr:uid="{00000000-0005-0000-0000-00002F1F0000}"/>
    <cellStyle name="Normal 2 2 10 2 27 2 9" xfId="7984" xr:uid="{00000000-0005-0000-0000-0000301F0000}"/>
    <cellStyle name="Normal 2 2 10 2 27 3" xfId="7985" xr:uid="{00000000-0005-0000-0000-0000311F0000}"/>
    <cellStyle name="Normal 2 2 10 2 27 3 10" xfId="7986" xr:uid="{00000000-0005-0000-0000-0000321F0000}"/>
    <cellStyle name="Normal 2 2 10 2 27 3 2" xfId="7987" xr:uid="{00000000-0005-0000-0000-0000331F0000}"/>
    <cellStyle name="Normal 2 2 10 2 27 3 3" xfId="7988" xr:uid="{00000000-0005-0000-0000-0000341F0000}"/>
    <cellStyle name="Normal 2 2 10 2 27 3 4" xfId="7989" xr:uid="{00000000-0005-0000-0000-0000351F0000}"/>
    <cellStyle name="Normal 2 2 10 2 27 3 5" xfId="7990" xr:uid="{00000000-0005-0000-0000-0000361F0000}"/>
    <cellStyle name="Normal 2 2 10 2 27 3 6" xfId="7991" xr:uid="{00000000-0005-0000-0000-0000371F0000}"/>
    <cellStyle name="Normal 2 2 10 2 27 3 7" xfId="7992" xr:uid="{00000000-0005-0000-0000-0000381F0000}"/>
    <cellStyle name="Normal 2 2 10 2 27 3 8" xfId="7993" xr:uid="{00000000-0005-0000-0000-0000391F0000}"/>
    <cellStyle name="Normal 2 2 10 2 27 3 9" xfId="7994" xr:uid="{00000000-0005-0000-0000-00003A1F0000}"/>
    <cellStyle name="Normal 2 2 10 2 27 4" xfId="7995" xr:uid="{00000000-0005-0000-0000-00003B1F0000}"/>
    <cellStyle name="Normal 2 2 10 2 27 4 10" xfId="7996" xr:uid="{00000000-0005-0000-0000-00003C1F0000}"/>
    <cellStyle name="Normal 2 2 10 2 27 4 2" xfId="7997" xr:uid="{00000000-0005-0000-0000-00003D1F0000}"/>
    <cellStyle name="Normal 2 2 10 2 27 4 3" xfId="7998" xr:uid="{00000000-0005-0000-0000-00003E1F0000}"/>
    <cellStyle name="Normal 2 2 10 2 27 4 4" xfId="7999" xr:uid="{00000000-0005-0000-0000-00003F1F0000}"/>
    <cellStyle name="Normal 2 2 10 2 27 4 5" xfId="8000" xr:uid="{00000000-0005-0000-0000-0000401F0000}"/>
    <cellStyle name="Normal 2 2 10 2 27 4 6" xfId="8001" xr:uid="{00000000-0005-0000-0000-0000411F0000}"/>
    <cellStyle name="Normal 2 2 10 2 27 4 7" xfId="8002" xr:uid="{00000000-0005-0000-0000-0000421F0000}"/>
    <cellStyle name="Normal 2 2 10 2 27 4 8" xfId="8003" xr:uid="{00000000-0005-0000-0000-0000431F0000}"/>
    <cellStyle name="Normal 2 2 10 2 27 4 9" xfId="8004" xr:uid="{00000000-0005-0000-0000-0000441F0000}"/>
    <cellStyle name="Normal 2 2 10 2 27 5" xfId="8005" xr:uid="{00000000-0005-0000-0000-0000451F0000}"/>
    <cellStyle name="Normal 2 2 10 2 27 5 10" xfId="8006" xr:uid="{00000000-0005-0000-0000-0000461F0000}"/>
    <cellStyle name="Normal 2 2 10 2 27 5 2" xfId="8007" xr:uid="{00000000-0005-0000-0000-0000471F0000}"/>
    <cellStyle name="Normal 2 2 10 2 27 5 3" xfId="8008" xr:uid="{00000000-0005-0000-0000-0000481F0000}"/>
    <cellStyle name="Normal 2 2 10 2 27 5 4" xfId="8009" xr:uid="{00000000-0005-0000-0000-0000491F0000}"/>
    <cellStyle name="Normal 2 2 10 2 27 5 5" xfId="8010" xr:uid="{00000000-0005-0000-0000-00004A1F0000}"/>
    <cellStyle name="Normal 2 2 10 2 27 5 6" xfId="8011" xr:uid="{00000000-0005-0000-0000-00004B1F0000}"/>
    <cellStyle name="Normal 2 2 10 2 27 5 7" xfId="8012" xr:uid="{00000000-0005-0000-0000-00004C1F0000}"/>
    <cellStyle name="Normal 2 2 10 2 27 5 8" xfId="8013" xr:uid="{00000000-0005-0000-0000-00004D1F0000}"/>
    <cellStyle name="Normal 2 2 10 2 27 5 9" xfId="8014" xr:uid="{00000000-0005-0000-0000-00004E1F0000}"/>
    <cellStyle name="Normal 2 2 10 2 27 6" xfId="8015" xr:uid="{00000000-0005-0000-0000-00004F1F0000}"/>
    <cellStyle name="Normal 2 2 10 2 27 7" xfId="8016" xr:uid="{00000000-0005-0000-0000-0000501F0000}"/>
    <cellStyle name="Normal 2 2 10 2 27 8" xfId="8017" xr:uid="{00000000-0005-0000-0000-0000511F0000}"/>
    <cellStyle name="Normal 2 2 10 2 27 9" xfId="8018" xr:uid="{00000000-0005-0000-0000-0000521F0000}"/>
    <cellStyle name="Normal 2 2 10 2 28" xfId="8019" xr:uid="{00000000-0005-0000-0000-0000531F0000}"/>
    <cellStyle name="Normal 2 2 10 2 28 10" xfId="8020" xr:uid="{00000000-0005-0000-0000-0000541F0000}"/>
    <cellStyle name="Normal 2 2 10 2 28 11" xfId="8021" xr:uid="{00000000-0005-0000-0000-0000551F0000}"/>
    <cellStyle name="Normal 2 2 10 2 28 12" xfId="8022" xr:uid="{00000000-0005-0000-0000-0000561F0000}"/>
    <cellStyle name="Normal 2 2 10 2 28 13" xfId="8023" xr:uid="{00000000-0005-0000-0000-0000571F0000}"/>
    <cellStyle name="Normal 2 2 10 2 28 14" xfId="8024" xr:uid="{00000000-0005-0000-0000-0000581F0000}"/>
    <cellStyle name="Normal 2 2 10 2 28 2" xfId="8025" xr:uid="{00000000-0005-0000-0000-0000591F0000}"/>
    <cellStyle name="Normal 2 2 10 2 28 2 10" xfId="8026" xr:uid="{00000000-0005-0000-0000-00005A1F0000}"/>
    <cellStyle name="Normal 2 2 10 2 28 2 2" xfId="8027" xr:uid="{00000000-0005-0000-0000-00005B1F0000}"/>
    <cellStyle name="Normal 2 2 10 2 28 2 3" xfId="8028" xr:uid="{00000000-0005-0000-0000-00005C1F0000}"/>
    <cellStyle name="Normal 2 2 10 2 28 2 4" xfId="8029" xr:uid="{00000000-0005-0000-0000-00005D1F0000}"/>
    <cellStyle name="Normal 2 2 10 2 28 2 5" xfId="8030" xr:uid="{00000000-0005-0000-0000-00005E1F0000}"/>
    <cellStyle name="Normal 2 2 10 2 28 2 6" xfId="8031" xr:uid="{00000000-0005-0000-0000-00005F1F0000}"/>
    <cellStyle name="Normal 2 2 10 2 28 2 7" xfId="8032" xr:uid="{00000000-0005-0000-0000-0000601F0000}"/>
    <cellStyle name="Normal 2 2 10 2 28 2 8" xfId="8033" xr:uid="{00000000-0005-0000-0000-0000611F0000}"/>
    <cellStyle name="Normal 2 2 10 2 28 2 9" xfId="8034" xr:uid="{00000000-0005-0000-0000-0000621F0000}"/>
    <cellStyle name="Normal 2 2 10 2 28 3" xfId="8035" xr:uid="{00000000-0005-0000-0000-0000631F0000}"/>
    <cellStyle name="Normal 2 2 10 2 28 3 10" xfId="8036" xr:uid="{00000000-0005-0000-0000-0000641F0000}"/>
    <cellStyle name="Normal 2 2 10 2 28 3 2" xfId="8037" xr:uid="{00000000-0005-0000-0000-0000651F0000}"/>
    <cellStyle name="Normal 2 2 10 2 28 3 3" xfId="8038" xr:uid="{00000000-0005-0000-0000-0000661F0000}"/>
    <cellStyle name="Normal 2 2 10 2 28 3 4" xfId="8039" xr:uid="{00000000-0005-0000-0000-0000671F0000}"/>
    <cellStyle name="Normal 2 2 10 2 28 3 5" xfId="8040" xr:uid="{00000000-0005-0000-0000-0000681F0000}"/>
    <cellStyle name="Normal 2 2 10 2 28 3 6" xfId="8041" xr:uid="{00000000-0005-0000-0000-0000691F0000}"/>
    <cellStyle name="Normal 2 2 10 2 28 3 7" xfId="8042" xr:uid="{00000000-0005-0000-0000-00006A1F0000}"/>
    <cellStyle name="Normal 2 2 10 2 28 3 8" xfId="8043" xr:uid="{00000000-0005-0000-0000-00006B1F0000}"/>
    <cellStyle name="Normal 2 2 10 2 28 3 9" xfId="8044" xr:uid="{00000000-0005-0000-0000-00006C1F0000}"/>
    <cellStyle name="Normal 2 2 10 2 28 4" xfId="8045" xr:uid="{00000000-0005-0000-0000-00006D1F0000}"/>
    <cellStyle name="Normal 2 2 10 2 28 4 10" xfId="8046" xr:uid="{00000000-0005-0000-0000-00006E1F0000}"/>
    <cellStyle name="Normal 2 2 10 2 28 4 2" xfId="8047" xr:uid="{00000000-0005-0000-0000-00006F1F0000}"/>
    <cellStyle name="Normal 2 2 10 2 28 4 3" xfId="8048" xr:uid="{00000000-0005-0000-0000-0000701F0000}"/>
    <cellStyle name="Normal 2 2 10 2 28 4 4" xfId="8049" xr:uid="{00000000-0005-0000-0000-0000711F0000}"/>
    <cellStyle name="Normal 2 2 10 2 28 4 5" xfId="8050" xr:uid="{00000000-0005-0000-0000-0000721F0000}"/>
    <cellStyle name="Normal 2 2 10 2 28 4 6" xfId="8051" xr:uid="{00000000-0005-0000-0000-0000731F0000}"/>
    <cellStyle name="Normal 2 2 10 2 28 4 7" xfId="8052" xr:uid="{00000000-0005-0000-0000-0000741F0000}"/>
    <cellStyle name="Normal 2 2 10 2 28 4 8" xfId="8053" xr:uid="{00000000-0005-0000-0000-0000751F0000}"/>
    <cellStyle name="Normal 2 2 10 2 28 4 9" xfId="8054" xr:uid="{00000000-0005-0000-0000-0000761F0000}"/>
    <cellStyle name="Normal 2 2 10 2 28 5" xfId="8055" xr:uid="{00000000-0005-0000-0000-0000771F0000}"/>
    <cellStyle name="Normal 2 2 10 2 28 5 10" xfId="8056" xr:uid="{00000000-0005-0000-0000-0000781F0000}"/>
    <cellStyle name="Normal 2 2 10 2 28 5 2" xfId="8057" xr:uid="{00000000-0005-0000-0000-0000791F0000}"/>
    <cellStyle name="Normal 2 2 10 2 28 5 3" xfId="8058" xr:uid="{00000000-0005-0000-0000-00007A1F0000}"/>
    <cellStyle name="Normal 2 2 10 2 28 5 4" xfId="8059" xr:uid="{00000000-0005-0000-0000-00007B1F0000}"/>
    <cellStyle name="Normal 2 2 10 2 28 5 5" xfId="8060" xr:uid="{00000000-0005-0000-0000-00007C1F0000}"/>
    <cellStyle name="Normal 2 2 10 2 28 5 6" xfId="8061" xr:uid="{00000000-0005-0000-0000-00007D1F0000}"/>
    <cellStyle name="Normal 2 2 10 2 28 5 7" xfId="8062" xr:uid="{00000000-0005-0000-0000-00007E1F0000}"/>
    <cellStyle name="Normal 2 2 10 2 28 5 8" xfId="8063" xr:uid="{00000000-0005-0000-0000-00007F1F0000}"/>
    <cellStyle name="Normal 2 2 10 2 28 5 9" xfId="8064" xr:uid="{00000000-0005-0000-0000-0000801F0000}"/>
    <cellStyle name="Normal 2 2 10 2 28 6" xfId="8065" xr:uid="{00000000-0005-0000-0000-0000811F0000}"/>
    <cellStyle name="Normal 2 2 10 2 28 7" xfId="8066" xr:uid="{00000000-0005-0000-0000-0000821F0000}"/>
    <cellStyle name="Normal 2 2 10 2 28 8" xfId="8067" xr:uid="{00000000-0005-0000-0000-0000831F0000}"/>
    <cellStyle name="Normal 2 2 10 2 28 9" xfId="8068" xr:uid="{00000000-0005-0000-0000-0000841F0000}"/>
    <cellStyle name="Normal 2 2 10 2 29" xfId="8069" xr:uid="{00000000-0005-0000-0000-0000851F0000}"/>
    <cellStyle name="Normal 2 2 10 2 29 10" xfId="8070" xr:uid="{00000000-0005-0000-0000-0000861F0000}"/>
    <cellStyle name="Normal 2 2 10 2 29 11" xfId="8071" xr:uid="{00000000-0005-0000-0000-0000871F0000}"/>
    <cellStyle name="Normal 2 2 10 2 29 12" xfId="8072" xr:uid="{00000000-0005-0000-0000-0000881F0000}"/>
    <cellStyle name="Normal 2 2 10 2 29 13" xfId="8073" xr:uid="{00000000-0005-0000-0000-0000891F0000}"/>
    <cellStyle name="Normal 2 2 10 2 29 14" xfId="8074" xr:uid="{00000000-0005-0000-0000-00008A1F0000}"/>
    <cellStyle name="Normal 2 2 10 2 29 2" xfId="8075" xr:uid="{00000000-0005-0000-0000-00008B1F0000}"/>
    <cellStyle name="Normal 2 2 10 2 29 2 10" xfId="8076" xr:uid="{00000000-0005-0000-0000-00008C1F0000}"/>
    <cellStyle name="Normal 2 2 10 2 29 2 2" xfId="8077" xr:uid="{00000000-0005-0000-0000-00008D1F0000}"/>
    <cellStyle name="Normal 2 2 10 2 29 2 3" xfId="8078" xr:uid="{00000000-0005-0000-0000-00008E1F0000}"/>
    <cellStyle name="Normal 2 2 10 2 29 2 4" xfId="8079" xr:uid="{00000000-0005-0000-0000-00008F1F0000}"/>
    <cellStyle name="Normal 2 2 10 2 29 2 5" xfId="8080" xr:uid="{00000000-0005-0000-0000-0000901F0000}"/>
    <cellStyle name="Normal 2 2 10 2 29 2 6" xfId="8081" xr:uid="{00000000-0005-0000-0000-0000911F0000}"/>
    <cellStyle name="Normal 2 2 10 2 29 2 7" xfId="8082" xr:uid="{00000000-0005-0000-0000-0000921F0000}"/>
    <cellStyle name="Normal 2 2 10 2 29 2 8" xfId="8083" xr:uid="{00000000-0005-0000-0000-0000931F0000}"/>
    <cellStyle name="Normal 2 2 10 2 29 2 9" xfId="8084" xr:uid="{00000000-0005-0000-0000-0000941F0000}"/>
    <cellStyle name="Normal 2 2 10 2 29 3" xfId="8085" xr:uid="{00000000-0005-0000-0000-0000951F0000}"/>
    <cellStyle name="Normal 2 2 10 2 29 3 10" xfId="8086" xr:uid="{00000000-0005-0000-0000-0000961F0000}"/>
    <cellStyle name="Normal 2 2 10 2 29 3 2" xfId="8087" xr:uid="{00000000-0005-0000-0000-0000971F0000}"/>
    <cellStyle name="Normal 2 2 10 2 29 3 3" xfId="8088" xr:uid="{00000000-0005-0000-0000-0000981F0000}"/>
    <cellStyle name="Normal 2 2 10 2 29 3 4" xfId="8089" xr:uid="{00000000-0005-0000-0000-0000991F0000}"/>
    <cellStyle name="Normal 2 2 10 2 29 3 5" xfId="8090" xr:uid="{00000000-0005-0000-0000-00009A1F0000}"/>
    <cellStyle name="Normal 2 2 10 2 29 3 6" xfId="8091" xr:uid="{00000000-0005-0000-0000-00009B1F0000}"/>
    <cellStyle name="Normal 2 2 10 2 29 3 7" xfId="8092" xr:uid="{00000000-0005-0000-0000-00009C1F0000}"/>
    <cellStyle name="Normal 2 2 10 2 29 3 8" xfId="8093" xr:uid="{00000000-0005-0000-0000-00009D1F0000}"/>
    <cellStyle name="Normal 2 2 10 2 29 3 9" xfId="8094" xr:uid="{00000000-0005-0000-0000-00009E1F0000}"/>
    <cellStyle name="Normal 2 2 10 2 29 4" xfId="8095" xr:uid="{00000000-0005-0000-0000-00009F1F0000}"/>
    <cellStyle name="Normal 2 2 10 2 29 4 10" xfId="8096" xr:uid="{00000000-0005-0000-0000-0000A01F0000}"/>
    <cellStyle name="Normal 2 2 10 2 29 4 2" xfId="8097" xr:uid="{00000000-0005-0000-0000-0000A11F0000}"/>
    <cellStyle name="Normal 2 2 10 2 29 4 3" xfId="8098" xr:uid="{00000000-0005-0000-0000-0000A21F0000}"/>
    <cellStyle name="Normal 2 2 10 2 29 4 4" xfId="8099" xr:uid="{00000000-0005-0000-0000-0000A31F0000}"/>
    <cellStyle name="Normal 2 2 10 2 29 4 5" xfId="8100" xr:uid="{00000000-0005-0000-0000-0000A41F0000}"/>
    <cellStyle name="Normal 2 2 10 2 29 4 6" xfId="8101" xr:uid="{00000000-0005-0000-0000-0000A51F0000}"/>
    <cellStyle name="Normal 2 2 10 2 29 4 7" xfId="8102" xr:uid="{00000000-0005-0000-0000-0000A61F0000}"/>
    <cellStyle name="Normal 2 2 10 2 29 4 8" xfId="8103" xr:uid="{00000000-0005-0000-0000-0000A71F0000}"/>
    <cellStyle name="Normal 2 2 10 2 29 4 9" xfId="8104" xr:uid="{00000000-0005-0000-0000-0000A81F0000}"/>
    <cellStyle name="Normal 2 2 10 2 29 5" xfId="8105" xr:uid="{00000000-0005-0000-0000-0000A91F0000}"/>
    <cellStyle name="Normal 2 2 10 2 29 5 10" xfId="8106" xr:uid="{00000000-0005-0000-0000-0000AA1F0000}"/>
    <cellStyle name="Normal 2 2 10 2 29 5 2" xfId="8107" xr:uid="{00000000-0005-0000-0000-0000AB1F0000}"/>
    <cellStyle name="Normal 2 2 10 2 29 5 3" xfId="8108" xr:uid="{00000000-0005-0000-0000-0000AC1F0000}"/>
    <cellStyle name="Normal 2 2 10 2 29 5 4" xfId="8109" xr:uid="{00000000-0005-0000-0000-0000AD1F0000}"/>
    <cellStyle name="Normal 2 2 10 2 29 5 5" xfId="8110" xr:uid="{00000000-0005-0000-0000-0000AE1F0000}"/>
    <cellStyle name="Normal 2 2 10 2 29 5 6" xfId="8111" xr:uid="{00000000-0005-0000-0000-0000AF1F0000}"/>
    <cellStyle name="Normal 2 2 10 2 29 5 7" xfId="8112" xr:uid="{00000000-0005-0000-0000-0000B01F0000}"/>
    <cellStyle name="Normal 2 2 10 2 29 5 8" xfId="8113" xr:uid="{00000000-0005-0000-0000-0000B11F0000}"/>
    <cellStyle name="Normal 2 2 10 2 29 5 9" xfId="8114" xr:uid="{00000000-0005-0000-0000-0000B21F0000}"/>
    <cellStyle name="Normal 2 2 10 2 29 6" xfId="8115" xr:uid="{00000000-0005-0000-0000-0000B31F0000}"/>
    <cellStyle name="Normal 2 2 10 2 29 7" xfId="8116" xr:uid="{00000000-0005-0000-0000-0000B41F0000}"/>
    <cellStyle name="Normal 2 2 10 2 29 8" xfId="8117" xr:uid="{00000000-0005-0000-0000-0000B51F0000}"/>
    <cellStyle name="Normal 2 2 10 2 29 9" xfId="8118" xr:uid="{00000000-0005-0000-0000-0000B61F0000}"/>
    <cellStyle name="Normal 2 2 10 2 3" xfId="8119" xr:uid="{00000000-0005-0000-0000-0000B71F0000}"/>
    <cellStyle name="Normal 2 2 10 2 3 10" xfId="8120" xr:uid="{00000000-0005-0000-0000-0000B81F0000}"/>
    <cellStyle name="Normal 2 2 10 2 3 11" xfId="8121" xr:uid="{00000000-0005-0000-0000-0000B91F0000}"/>
    <cellStyle name="Normal 2 2 10 2 3 12" xfId="8122" xr:uid="{00000000-0005-0000-0000-0000BA1F0000}"/>
    <cellStyle name="Normal 2 2 10 2 3 13" xfId="8123" xr:uid="{00000000-0005-0000-0000-0000BB1F0000}"/>
    <cellStyle name="Normal 2 2 10 2 3 14" xfId="8124" xr:uid="{00000000-0005-0000-0000-0000BC1F0000}"/>
    <cellStyle name="Normal 2 2 10 2 3 2" xfId="8125" xr:uid="{00000000-0005-0000-0000-0000BD1F0000}"/>
    <cellStyle name="Normal 2 2 10 2 3 2 10" xfId="8126" xr:uid="{00000000-0005-0000-0000-0000BE1F0000}"/>
    <cellStyle name="Normal 2 2 10 2 3 2 2" xfId="8127" xr:uid="{00000000-0005-0000-0000-0000BF1F0000}"/>
    <cellStyle name="Normal 2 2 10 2 3 2 3" xfId="8128" xr:uid="{00000000-0005-0000-0000-0000C01F0000}"/>
    <cellStyle name="Normal 2 2 10 2 3 2 4" xfId="8129" xr:uid="{00000000-0005-0000-0000-0000C11F0000}"/>
    <cellStyle name="Normal 2 2 10 2 3 2 5" xfId="8130" xr:uid="{00000000-0005-0000-0000-0000C21F0000}"/>
    <cellStyle name="Normal 2 2 10 2 3 2 6" xfId="8131" xr:uid="{00000000-0005-0000-0000-0000C31F0000}"/>
    <cellStyle name="Normal 2 2 10 2 3 2 7" xfId="8132" xr:uid="{00000000-0005-0000-0000-0000C41F0000}"/>
    <cellStyle name="Normal 2 2 10 2 3 2 8" xfId="8133" xr:uid="{00000000-0005-0000-0000-0000C51F0000}"/>
    <cellStyle name="Normal 2 2 10 2 3 2 9" xfId="8134" xr:uid="{00000000-0005-0000-0000-0000C61F0000}"/>
    <cellStyle name="Normal 2 2 10 2 3 3" xfId="8135" xr:uid="{00000000-0005-0000-0000-0000C71F0000}"/>
    <cellStyle name="Normal 2 2 10 2 3 3 10" xfId="8136" xr:uid="{00000000-0005-0000-0000-0000C81F0000}"/>
    <cellStyle name="Normal 2 2 10 2 3 3 2" xfId="8137" xr:uid="{00000000-0005-0000-0000-0000C91F0000}"/>
    <cellStyle name="Normal 2 2 10 2 3 3 3" xfId="8138" xr:uid="{00000000-0005-0000-0000-0000CA1F0000}"/>
    <cellStyle name="Normal 2 2 10 2 3 3 4" xfId="8139" xr:uid="{00000000-0005-0000-0000-0000CB1F0000}"/>
    <cellStyle name="Normal 2 2 10 2 3 3 5" xfId="8140" xr:uid="{00000000-0005-0000-0000-0000CC1F0000}"/>
    <cellStyle name="Normal 2 2 10 2 3 3 6" xfId="8141" xr:uid="{00000000-0005-0000-0000-0000CD1F0000}"/>
    <cellStyle name="Normal 2 2 10 2 3 3 7" xfId="8142" xr:uid="{00000000-0005-0000-0000-0000CE1F0000}"/>
    <cellStyle name="Normal 2 2 10 2 3 3 8" xfId="8143" xr:uid="{00000000-0005-0000-0000-0000CF1F0000}"/>
    <cellStyle name="Normal 2 2 10 2 3 3 9" xfId="8144" xr:uid="{00000000-0005-0000-0000-0000D01F0000}"/>
    <cellStyle name="Normal 2 2 10 2 3 4" xfId="8145" xr:uid="{00000000-0005-0000-0000-0000D11F0000}"/>
    <cellStyle name="Normal 2 2 10 2 3 4 10" xfId="8146" xr:uid="{00000000-0005-0000-0000-0000D21F0000}"/>
    <cellStyle name="Normal 2 2 10 2 3 4 2" xfId="8147" xr:uid="{00000000-0005-0000-0000-0000D31F0000}"/>
    <cellStyle name="Normal 2 2 10 2 3 4 3" xfId="8148" xr:uid="{00000000-0005-0000-0000-0000D41F0000}"/>
    <cellStyle name="Normal 2 2 10 2 3 4 4" xfId="8149" xr:uid="{00000000-0005-0000-0000-0000D51F0000}"/>
    <cellStyle name="Normal 2 2 10 2 3 4 5" xfId="8150" xr:uid="{00000000-0005-0000-0000-0000D61F0000}"/>
    <cellStyle name="Normal 2 2 10 2 3 4 6" xfId="8151" xr:uid="{00000000-0005-0000-0000-0000D71F0000}"/>
    <cellStyle name="Normal 2 2 10 2 3 4 7" xfId="8152" xr:uid="{00000000-0005-0000-0000-0000D81F0000}"/>
    <cellStyle name="Normal 2 2 10 2 3 4 8" xfId="8153" xr:uid="{00000000-0005-0000-0000-0000D91F0000}"/>
    <cellStyle name="Normal 2 2 10 2 3 4 9" xfId="8154" xr:uid="{00000000-0005-0000-0000-0000DA1F0000}"/>
    <cellStyle name="Normal 2 2 10 2 3 5" xfId="8155" xr:uid="{00000000-0005-0000-0000-0000DB1F0000}"/>
    <cellStyle name="Normal 2 2 10 2 3 5 10" xfId="8156" xr:uid="{00000000-0005-0000-0000-0000DC1F0000}"/>
    <cellStyle name="Normal 2 2 10 2 3 5 2" xfId="8157" xr:uid="{00000000-0005-0000-0000-0000DD1F0000}"/>
    <cellStyle name="Normal 2 2 10 2 3 5 3" xfId="8158" xr:uid="{00000000-0005-0000-0000-0000DE1F0000}"/>
    <cellStyle name="Normal 2 2 10 2 3 5 4" xfId="8159" xr:uid="{00000000-0005-0000-0000-0000DF1F0000}"/>
    <cellStyle name="Normal 2 2 10 2 3 5 5" xfId="8160" xr:uid="{00000000-0005-0000-0000-0000E01F0000}"/>
    <cellStyle name="Normal 2 2 10 2 3 5 6" xfId="8161" xr:uid="{00000000-0005-0000-0000-0000E11F0000}"/>
    <cellStyle name="Normal 2 2 10 2 3 5 7" xfId="8162" xr:uid="{00000000-0005-0000-0000-0000E21F0000}"/>
    <cellStyle name="Normal 2 2 10 2 3 5 8" xfId="8163" xr:uid="{00000000-0005-0000-0000-0000E31F0000}"/>
    <cellStyle name="Normal 2 2 10 2 3 5 9" xfId="8164" xr:uid="{00000000-0005-0000-0000-0000E41F0000}"/>
    <cellStyle name="Normal 2 2 10 2 3 6" xfId="8165" xr:uid="{00000000-0005-0000-0000-0000E51F0000}"/>
    <cellStyle name="Normal 2 2 10 2 3 7" xfId="8166" xr:uid="{00000000-0005-0000-0000-0000E61F0000}"/>
    <cellStyle name="Normal 2 2 10 2 3 8" xfId="8167" xr:uid="{00000000-0005-0000-0000-0000E71F0000}"/>
    <cellStyle name="Normal 2 2 10 2 3 9" xfId="8168" xr:uid="{00000000-0005-0000-0000-0000E81F0000}"/>
    <cellStyle name="Normal 2 2 10 2 30" xfId="8169" xr:uid="{00000000-0005-0000-0000-0000E91F0000}"/>
    <cellStyle name="Normal 2 2 10 2 30 10" xfId="8170" xr:uid="{00000000-0005-0000-0000-0000EA1F0000}"/>
    <cellStyle name="Normal 2 2 10 2 30 11" xfId="8171" xr:uid="{00000000-0005-0000-0000-0000EB1F0000}"/>
    <cellStyle name="Normal 2 2 10 2 30 12" xfId="8172" xr:uid="{00000000-0005-0000-0000-0000EC1F0000}"/>
    <cellStyle name="Normal 2 2 10 2 30 13" xfId="8173" xr:uid="{00000000-0005-0000-0000-0000ED1F0000}"/>
    <cellStyle name="Normal 2 2 10 2 30 14" xfId="8174" xr:uid="{00000000-0005-0000-0000-0000EE1F0000}"/>
    <cellStyle name="Normal 2 2 10 2 30 2" xfId="8175" xr:uid="{00000000-0005-0000-0000-0000EF1F0000}"/>
    <cellStyle name="Normal 2 2 10 2 30 2 10" xfId="8176" xr:uid="{00000000-0005-0000-0000-0000F01F0000}"/>
    <cellStyle name="Normal 2 2 10 2 30 2 2" xfId="8177" xr:uid="{00000000-0005-0000-0000-0000F11F0000}"/>
    <cellStyle name="Normal 2 2 10 2 30 2 3" xfId="8178" xr:uid="{00000000-0005-0000-0000-0000F21F0000}"/>
    <cellStyle name="Normal 2 2 10 2 30 2 4" xfId="8179" xr:uid="{00000000-0005-0000-0000-0000F31F0000}"/>
    <cellStyle name="Normal 2 2 10 2 30 2 5" xfId="8180" xr:uid="{00000000-0005-0000-0000-0000F41F0000}"/>
    <cellStyle name="Normal 2 2 10 2 30 2 6" xfId="8181" xr:uid="{00000000-0005-0000-0000-0000F51F0000}"/>
    <cellStyle name="Normal 2 2 10 2 30 2 7" xfId="8182" xr:uid="{00000000-0005-0000-0000-0000F61F0000}"/>
    <cellStyle name="Normal 2 2 10 2 30 2 8" xfId="8183" xr:uid="{00000000-0005-0000-0000-0000F71F0000}"/>
    <cellStyle name="Normal 2 2 10 2 30 2 9" xfId="8184" xr:uid="{00000000-0005-0000-0000-0000F81F0000}"/>
    <cellStyle name="Normal 2 2 10 2 30 3" xfId="8185" xr:uid="{00000000-0005-0000-0000-0000F91F0000}"/>
    <cellStyle name="Normal 2 2 10 2 30 3 10" xfId="8186" xr:uid="{00000000-0005-0000-0000-0000FA1F0000}"/>
    <cellStyle name="Normal 2 2 10 2 30 3 2" xfId="8187" xr:uid="{00000000-0005-0000-0000-0000FB1F0000}"/>
    <cellStyle name="Normal 2 2 10 2 30 3 3" xfId="8188" xr:uid="{00000000-0005-0000-0000-0000FC1F0000}"/>
    <cellStyle name="Normal 2 2 10 2 30 3 4" xfId="8189" xr:uid="{00000000-0005-0000-0000-0000FD1F0000}"/>
    <cellStyle name="Normal 2 2 10 2 30 3 5" xfId="8190" xr:uid="{00000000-0005-0000-0000-0000FE1F0000}"/>
    <cellStyle name="Normal 2 2 10 2 30 3 6" xfId="8191" xr:uid="{00000000-0005-0000-0000-0000FF1F0000}"/>
    <cellStyle name="Normal 2 2 10 2 30 3 7" xfId="8192" xr:uid="{00000000-0005-0000-0000-000000200000}"/>
    <cellStyle name="Normal 2 2 10 2 30 3 8" xfId="8193" xr:uid="{00000000-0005-0000-0000-000001200000}"/>
    <cellStyle name="Normal 2 2 10 2 30 3 9" xfId="8194" xr:uid="{00000000-0005-0000-0000-000002200000}"/>
    <cellStyle name="Normal 2 2 10 2 30 4" xfId="8195" xr:uid="{00000000-0005-0000-0000-000003200000}"/>
    <cellStyle name="Normal 2 2 10 2 30 4 10" xfId="8196" xr:uid="{00000000-0005-0000-0000-000004200000}"/>
    <cellStyle name="Normal 2 2 10 2 30 4 2" xfId="8197" xr:uid="{00000000-0005-0000-0000-000005200000}"/>
    <cellStyle name="Normal 2 2 10 2 30 4 3" xfId="8198" xr:uid="{00000000-0005-0000-0000-000006200000}"/>
    <cellStyle name="Normal 2 2 10 2 30 4 4" xfId="8199" xr:uid="{00000000-0005-0000-0000-000007200000}"/>
    <cellStyle name="Normal 2 2 10 2 30 4 5" xfId="8200" xr:uid="{00000000-0005-0000-0000-000008200000}"/>
    <cellStyle name="Normal 2 2 10 2 30 4 6" xfId="8201" xr:uid="{00000000-0005-0000-0000-000009200000}"/>
    <cellStyle name="Normal 2 2 10 2 30 4 7" xfId="8202" xr:uid="{00000000-0005-0000-0000-00000A200000}"/>
    <cellStyle name="Normal 2 2 10 2 30 4 8" xfId="8203" xr:uid="{00000000-0005-0000-0000-00000B200000}"/>
    <cellStyle name="Normal 2 2 10 2 30 4 9" xfId="8204" xr:uid="{00000000-0005-0000-0000-00000C200000}"/>
    <cellStyle name="Normal 2 2 10 2 30 5" xfId="8205" xr:uid="{00000000-0005-0000-0000-00000D200000}"/>
    <cellStyle name="Normal 2 2 10 2 30 5 10" xfId="8206" xr:uid="{00000000-0005-0000-0000-00000E200000}"/>
    <cellStyle name="Normal 2 2 10 2 30 5 2" xfId="8207" xr:uid="{00000000-0005-0000-0000-00000F200000}"/>
    <cellStyle name="Normal 2 2 10 2 30 5 3" xfId="8208" xr:uid="{00000000-0005-0000-0000-000010200000}"/>
    <cellStyle name="Normal 2 2 10 2 30 5 4" xfId="8209" xr:uid="{00000000-0005-0000-0000-000011200000}"/>
    <cellStyle name="Normal 2 2 10 2 30 5 5" xfId="8210" xr:uid="{00000000-0005-0000-0000-000012200000}"/>
    <cellStyle name="Normal 2 2 10 2 30 5 6" xfId="8211" xr:uid="{00000000-0005-0000-0000-000013200000}"/>
    <cellStyle name="Normal 2 2 10 2 30 5 7" xfId="8212" xr:uid="{00000000-0005-0000-0000-000014200000}"/>
    <cellStyle name="Normal 2 2 10 2 30 5 8" xfId="8213" xr:uid="{00000000-0005-0000-0000-000015200000}"/>
    <cellStyle name="Normal 2 2 10 2 30 5 9" xfId="8214" xr:uid="{00000000-0005-0000-0000-000016200000}"/>
    <cellStyle name="Normal 2 2 10 2 30 6" xfId="8215" xr:uid="{00000000-0005-0000-0000-000017200000}"/>
    <cellStyle name="Normal 2 2 10 2 30 7" xfId="8216" xr:uid="{00000000-0005-0000-0000-000018200000}"/>
    <cellStyle name="Normal 2 2 10 2 30 8" xfId="8217" xr:uid="{00000000-0005-0000-0000-000019200000}"/>
    <cellStyle name="Normal 2 2 10 2 30 9" xfId="8218" xr:uid="{00000000-0005-0000-0000-00001A200000}"/>
    <cellStyle name="Normal 2 2 10 2 31" xfId="8219" xr:uid="{00000000-0005-0000-0000-00001B200000}"/>
    <cellStyle name="Normal 2 2 10 2 31 10" xfId="8220" xr:uid="{00000000-0005-0000-0000-00001C200000}"/>
    <cellStyle name="Normal 2 2 10 2 31 11" xfId="8221" xr:uid="{00000000-0005-0000-0000-00001D200000}"/>
    <cellStyle name="Normal 2 2 10 2 31 12" xfId="8222" xr:uid="{00000000-0005-0000-0000-00001E200000}"/>
    <cellStyle name="Normal 2 2 10 2 31 13" xfId="8223" xr:uid="{00000000-0005-0000-0000-00001F200000}"/>
    <cellStyle name="Normal 2 2 10 2 31 14" xfId="8224" xr:uid="{00000000-0005-0000-0000-000020200000}"/>
    <cellStyle name="Normal 2 2 10 2 31 2" xfId="8225" xr:uid="{00000000-0005-0000-0000-000021200000}"/>
    <cellStyle name="Normal 2 2 10 2 31 2 10" xfId="8226" xr:uid="{00000000-0005-0000-0000-000022200000}"/>
    <cellStyle name="Normal 2 2 10 2 31 2 2" xfId="8227" xr:uid="{00000000-0005-0000-0000-000023200000}"/>
    <cellStyle name="Normal 2 2 10 2 31 2 3" xfId="8228" xr:uid="{00000000-0005-0000-0000-000024200000}"/>
    <cellStyle name="Normal 2 2 10 2 31 2 4" xfId="8229" xr:uid="{00000000-0005-0000-0000-000025200000}"/>
    <cellStyle name="Normal 2 2 10 2 31 2 5" xfId="8230" xr:uid="{00000000-0005-0000-0000-000026200000}"/>
    <cellStyle name="Normal 2 2 10 2 31 2 6" xfId="8231" xr:uid="{00000000-0005-0000-0000-000027200000}"/>
    <cellStyle name="Normal 2 2 10 2 31 2 7" xfId="8232" xr:uid="{00000000-0005-0000-0000-000028200000}"/>
    <cellStyle name="Normal 2 2 10 2 31 2 8" xfId="8233" xr:uid="{00000000-0005-0000-0000-000029200000}"/>
    <cellStyle name="Normal 2 2 10 2 31 2 9" xfId="8234" xr:uid="{00000000-0005-0000-0000-00002A200000}"/>
    <cellStyle name="Normal 2 2 10 2 31 3" xfId="8235" xr:uid="{00000000-0005-0000-0000-00002B200000}"/>
    <cellStyle name="Normal 2 2 10 2 31 3 10" xfId="8236" xr:uid="{00000000-0005-0000-0000-00002C200000}"/>
    <cellStyle name="Normal 2 2 10 2 31 3 2" xfId="8237" xr:uid="{00000000-0005-0000-0000-00002D200000}"/>
    <cellStyle name="Normal 2 2 10 2 31 3 3" xfId="8238" xr:uid="{00000000-0005-0000-0000-00002E200000}"/>
    <cellStyle name="Normal 2 2 10 2 31 3 4" xfId="8239" xr:uid="{00000000-0005-0000-0000-00002F200000}"/>
    <cellStyle name="Normal 2 2 10 2 31 3 5" xfId="8240" xr:uid="{00000000-0005-0000-0000-000030200000}"/>
    <cellStyle name="Normal 2 2 10 2 31 3 6" xfId="8241" xr:uid="{00000000-0005-0000-0000-000031200000}"/>
    <cellStyle name="Normal 2 2 10 2 31 3 7" xfId="8242" xr:uid="{00000000-0005-0000-0000-000032200000}"/>
    <cellStyle name="Normal 2 2 10 2 31 3 8" xfId="8243" xr:uid="{00000000-0005-0000-0000-000033200000}"/>
    <cellStyle name="Normal 2 2 10 2 31 3 9" xfId="8244" xr:uid="{00000000-0005-0000-0000-000034200000}"/>
    <cellStyle name="Normal 2 2 10 2 31 4" xfId="8245" xr:uid="{00000000-0005-0000-0000-000035200000}"/>
    <cellStyle name="Normal 2 2 10 2 31 4 10" xfId="8246" xr:uid="{00000000-0005-0000-0000-000036200000}"/>
    <cellStyle name="Normal 2 2 10 2 31 4 2" xfId="8247" xr:uid="{00000000-0005-0000-0000-000037200000}"/>
    <cellStyle name="Normal 2 2 10 2 31 4 3" xfId="8248" xr:uid="{00000000-0005-0000-0000-000038200000}"/>
    <cellStyle name="Normal 2 2 10 2 31 4 4" xfId="8249" xr:uid="{00000000-0005-0000-0000-000039200000}"/>
    <cellStyle name="Normal 2 2 10 2 31 4 5" xfId="8250" xr:uid="{00000000-0005-0000-0000-00003A200000}"/>
    <cellStyle name="Normal 2 2 10 2 31 4 6" xfId="8251" xr:uid="{00000000-0005-0000-0000-00003B200000}"/>
    <cellStyle name="Normal 2 2 10 2 31 4 7" xfId="8252" xr:uid="{00000000-0005-0000-0000-00003C200000}"/>
    <cellStyle name="Normal 2 2 10 2 31 4 8" xfId="8253" xr:uid="{00000000-0005-0000-0000-00003D200000}"/>
    <cellStyle name="Normal 2 2 10 2 31 4 9" xfId="8254" xr:uid="{00000000-0005-0000-0000-00003E200000}"/>
    <cellStyle name="Normal 2 2 10 2 31 5" xfId="8255" xr:uid="{00000000-0005-0000-0000-00003F200000}"/>
    <cellStyle name="Normal 2 2 10 2 31 5 10" xfId="8256" xr:uid="{00000000-0005-0000-0000-000040200000}"/>
    <cellStyle name="Normal 2 2 10 2 31 5 2" xfId="8257" xr:uid="{00000000-0005-0000-0000-000041200000}"/>
    <cellStyle name="Normal 2 2 10 2 31 5 3" xfId="8258" xr:uid="{00000000-0005-0000-0000-000042200000}"/>
    <cellStyle name="Normal 2 2 10 2 31 5 4" xfId="8259" xr:uid="{00000000-0005-0000-0000-000043200000}"/>
    <cellStyle name="Normal 2 2 10 2 31 5 5" xfId="8260" xr:uid="{00000000-0005-0000-0000-000044200000}"/>
    <cellStyle name="Normal 2 2 10 2 31 5 6" xfId="8261" xr:uid="{00000000-0005-0000-0000-000045200000}"/>
    <cellStyle name="Normal 2 2 10 2 31 5 7" xfId="8262" xr:uid="{00000000-0005-0000-0000-000046200000}"/>
    <cellStyle name="Normal 2 2 10 2 31 5 8" xfId="8263" xr:uid="{00000000-0005-0000-0000-000047200000}"/>
    <cellStyle name="Normal 2 2 10 2 31 5 9" xfId="8264" xr:uid="{00000000-0005-0000-0000-000048200000}"/>
    <cellStyle name="Normal 2 2 10 2 31 6" xfId="8265" xr:uid="{00000000-0005-0000-0000-000049200000}"/>
    <cellStyle name="Normal 2 2 10 2 31 7" xfId="8266" xr:uid="{00000000-0005-0000-0000-00004A200000}"/>
    <cellStyle name="Normal 2 2 10 2 31 8" xfId="8267" xr:uid="{00000000-0005-0000-0000-00004B200000}"/>
    <cellStyle name="Normal 2 2 10 2 31 9" xfId="8268" xr:uid="{00000000-0005-0000-0000-00004C200000}"/>
    <cellStyle name="Normal 2 2 10 2 32" xfId="8269" xr:uid="{00000000-0005-0000-0000-00004D200000}"/>
    <cellStyle name="Normal 2 2 10 2 32 10" xfId="8270" xr:uid="{00000000-0005-0000-0000-00004E200000}"/>
    <cellStyle name="Normal 2 2 10 2 32 11" xfId="8271" xr:uid="{00000000-0005-0000-0000-00004F200000}"/>
    <cellStyle name="Normal 2 2 10 2 32 12" xfId="8272" xr:uid="{00000000-0005-0000-0000-000050200000}"/>
    <cellStyle name="Normal 2 2 10 2 32 13" xfId="8273" xr:uid="{00000000-0005-0000-0000-000051200000}"/>
    <cellStyle name="Normal 2 2 10 2 32 14" xfId="8274" xr:uid="{00000000-0005-0000-0000-000052200000}"/>
    <cellStyle name="Normal 2 2 10 2 32 2" xfId="8275" xr:uid="{00000000-0005-0000-0000-000053200000}"/>
    <cellStyle name="Normal 2 2 10 2 32 2 10" xfId="8276" xr:uid="{00000000-0005-0000-0000-000054200000}"/>
    <cellStyle name="Normal 2 2 10 2 32 2 2" xfId="8277" xr:uid="{00000000-0005-0000-0000-000055200000}"/>
    <cellStyle name="Normal 2 2 10 2 32 2 3" xfId="8278" xr:uid="{00000000-0005-0000-0000-000056200000}"/>
    <cellStyle name="Normal 2 2 10 2 32 2 4" xfId="8279" xr:uid="{00000000-0005-0000-0000-000057200000}"/>
    <cellStyle name="Normal 2 2 10 2 32 2 5" xfId="8280" xr:uid="{00000000-0005-0000-0000-000058200000}"/>
    <cellStyle name="Normal 2 2 10 2 32 2 6" xfId="8281" xr:uid="{00000000-0005-0000-0000-000059200000}"/>
    <cellStyle name="Normal 2 2 10 2 32 2 7" xfId="8282" xr:uid="{00000000-0005-0000-0000-00005A200000}"/>
    <cellStyle name="Normal 2 2 10 2 32 2 8" xfId="8283" xr:uid="{00000000-0005-0000-0000-00005B200000}"/>
    <cellStyle name="Normal 2 2 10 2 32 2 9" xfId="8284" xr:uid="{00000000-0005-0000-0000-00005C200000}"/>
    <cellStyle name="Normal 2 2 10 2 32 3" xfId="8285" xr:uid="{00000000-0005-0000-0000-00005D200000}"/>
    <cellStyle name="Normal 2 2 10 2 32 3 10" xfId="8286" xr:uid="{00000000-0005-0000-0000-00005E200000}"/>
    <cellStyle name="Normal 2 2 10 2 32 3 2" xfId="8287" xr:uid="{00000000-0005-0000-0000-00005F200000}"/>
    <cellStyle name="Normal 2 2 10 2 32 3 3" xfId="8288" xr:uid="{00000000-0005-0000-0000-000060200000}"/>
    <cellStyle name="Normal 2 2 10 2 32 3 4" xfId="8289" xr:uid="{00000000-0005-0000-0000-000061200000}"/>
    <cellStyle name="Normal 2 2 10 2 32 3 5" xfId="8290" xr:uid="{00000000-0005-0000-0000-000062200000}"/>
    <cellStyle name="Normal 2 2 10 2 32 3 6" xfId="8291" xr:uid="{00000000-0005-0000-0000-000063200000}"/>
    <cellStyle name="Normal 2 2 10 2 32 3 7" xfId="8292" xr:uid="{00000000-0005-0000-0000-000064200000}"/>
    <cellStyle name="Normal 2 2 10 2 32 3 8" xfId="8293" xr:uid="{00000000-0005-0000-0000-000065200000}"/>
    <cellStyle name="Normal 2 2 10 2 32 3 9" xfId="8294" xr:uid="{00000000-0005-0000-0000-000066200000}"/>
    <cellStyle name="Normal 2 2 10 2 32 4" xfId="8295" xr:uid="{00000000-0005-0000-0000-000067200000}"/>
    <cellStyle name="Normal 2 2 10 2 32 4 10" xfId="8296" xr:uid="{00000000-0005-0000-0000-000068200000}"/>
    <cellStyle name="Normal 2 2 10 2 32 4 2" xfId="8297" xr:uid="{00000000-0005-0000-0000-000069200000}"/>
    <cellStyle name="Normal 2 2 10 2 32 4 3" xfId="8298" xr:uid="{00000000-0005-0000-0000-00006A200000}"/>
    <cellStyle name="Normal 2 2 10 2 32 4 4" xfId="8299" xr:uid="{00000000-0005-0000-0000-00006B200000}"/>
    <cellStyle name="Normal 2 2 10 2 32 4 5" xfId="8300" xr:uid="{00000000-0005-0000-0000-00006C200000}"/>
    <cellStyle name="Normal 2 2 10 2 32 4 6" xfId="8301" xr:uid="{00000000-0005-0000-0000-00006D200000}"/>
    <cellStyle name="Normal 2 2 10 2 32 4 7" xfId="8302" xr:uid="{00000000-0005-0000-0000-00006E200000}"/>
    <cellStyle name="Normal 2 2 10 2 32 4 8" xfId="8303" xr:uid="{00000000-0005-0000-0000-00006F200000}"/>
    <cellStyle name="Normal 2 2 10 2 32 4 9" xfId="8304" xr:uid="{00000000-0005-0000-0000-000070200000}"/>
    <cellStyle name="Normal 2 2 10 2 32 5" xfId="8305" xr:uid="{00000000-0005-0000-0000-000071200000}"/>
    <cellStyle name="Normal 2 2 10 2 32 5 10" xfId="8306" xr:uid="{00000000-0005-0000-0000-000072200000}"/>
    <cellStyle name="Normal 2 2 10 2 32 5 2" xfId="8307" xr:uid="{00000000-0005-0000-0000-000073200000}"/>
    <cellStyle name="Normal 2 2 10 2 32 5 3" xfId="8308" xr:uid="{00000000-0005-0000-0000-000074200000}"/>
    <cellStyle name="Normal 2 2 10 2 32 5 4" xfId="8309" xr:uid="{00000000-0005-0000-0000-000075200000}"/>
    <cellStyle name="Normal 2 2 10 2 32 5 5" xfId="8310" xr:uid="{00000000-0005-0000-0000-000076200000}"/>
    <cellStyle name="Normal 2 2 10 2 32 5 6" xfId="8311" xr:uid="{00000000-0005-0000-0000-000077200000}"/>
    <cellStyle name="Normal 2 2 10 2 32 5 7" xfId="8312" xr:uid="{00000000-0005-0000-0000-000078200000}"/>
    <cellStyle name="Normal 2 2 10 2 32 5 8" xfId="8313" xr:uid="{00000000-0005-0000-0000-000079200000}"/>
    <cellStyle name="Normal 2 2 10 2 32 5 9" xfId="8314" xr:uid="{00000000-0005-0000-0000-00007A200000}"/>
    <cellStyle name="Normal 2 2 10 2 32 6" xfId="8315" xr:uid="{00000000-0005-0000-0000-00007B200000}"/>
    <cellStyle name="Normal 2 2 10 2 32 7" xfId="8316" xr:uid="{00000000-0005-0000-0000-00007C200000}"/>
    <cellStyle name="Normal 2 2 10 2 32 8" xfId="8317" xr:uid="{00000000-0005-0000-0000-00007D200000}"/>
    <cellStyle name="Normal 2 2 10 2 32 9" xfId="8318" xr:uid="{00000000-0005-0000-0000-00007E200000}"/>
    <cellStyle name="Normal 2 2 10 2 33" xfId="8319" xr:uid="{00000000-0005-0000-0000-00007F200000}"/>
    <cellStyle name="Normal 2 2 10 2 33 10" xfId="8320" xr:uid="{00000000-0005-0000-0000-000080200000}"/>
    <cellStyle name="Normal 2 2 10 2 33 11" xfId="8321" xr:uid="{00000000-0005-0000-0000-000081200000}"/>
    <cellStyle name="Normal 2 2 10 2 33 12" xfId="8322" xr:uid="{00000000-0005-0000-0000-000082200000}"/>
    <cellStyle name="Normal 2 2 10 2 33 13" xfId="8323" xr:uid="{00000000-0005-0000-0000-000083200000}"/>
    <cellStyle name="Normal 2 2 10 2 33 14" xfId="8324" xr:uid="{00000000-0005-0000-0000-000084200000}"/>
    <cellStyle name="Normal 2 2 10 2 33 2" xfId="8325" xr:uid="{00000000-0005-0000-0000-000085200000}"/>
    <cellStyle name="Normal 2 2 10 2 33 2 10" xfId="8326" xr:uid="{00000000-0005-0000-0000-000086200000}"/>
    <cellStyle name="Normal 2 2 10 2 33 2 2" xfId="8327" xr:uid="{00000000-0005-0000-0000-000087200000}"/>
    <cellStyle name="Normal 2 2 10 2 33 2 3" xfId="8328" xr:uid="{00000000-0005-0000-0000-000088200000}"/>
    <cellStyle name="Normal 2 2 10 2 33 2 4" xfId="8329" xr:uid="{00000000-0005-0000-0000-000089200000}"/>
    <cellStyle name="Normal 2 2 10 2 33 2 5" xfId="8330" xr:uid="{00000000-0005-0000-0000-00008A200000}"/>
    <cellStyle name="Normal 2 2 10 2 33 2 6" xfId="8331" xr:uid="{00000000-0005-0000-0000-00008B200000}"/>
    <cellStyle name="Normal 2 2 10 2 33 2 7" xfId="8332" xr:uid="{00000000-0005-0000-0000-00008C200000}"/>
    <cellStyle name="Normal 2 2 10 2 33 2 8" xfId="8333" xr:uid="{00000000-0005-0000-0000-00008D200000}"/>
    <cellStyle name="Normal 2 2 10 2 33 2 9" xfId="8334" xr:uid="{00000000-0005-0000-0000-00008E200000}"/>
    <cellStyle name="Normal 2 2 10 2 33 3" xfId="8335" xr:uid="{00000000-0005-0000-0000-00008F200000}"/>
    <cellStyle name="Normal 2 2 10 2 33 3 10" xfId="8336" xr:uid="{00000000-0005-0000-0000-000090200000}"/>
    <cellStyle name="Normal 2 2 10 2 33 3 2" xfId="8337" xr:uid="{00000000-0005-0000-0000-000091200000}"/>
    <cellStyle name="Normal 2 2 10 2 33 3 3" xfId="8338" xr:uid="{00000000-0005-0000-0000-000092200000}"/>
    <cellStyle name="Normal 2 2 10 2 33 3 4" xfId="8339" xr:uid="{00000000-0005-0000-0000-000093200000}"/>
    <cellStyle name="Normal 2 2 10 2 33 3 5" xfId="8340" xr:uid="{00000000-0005-0000-0000-000094200000}"/>
    <cellStyle name="Normal 2 2 10 2 33 3 6" xfId="8341" xr:uid="{00000000-0005-0000-0000-000095200000}"/>
    <cellStyle name="Normal 2 2 10 2 33 3 7" xfId="8342" xr:uid="{00000000-0005-0000-0000-000096200000}"/>
    <cellStyle name="Normal 2 2 10 2 33 3 8" xfId="8343" xr:uid="{00000000-0005-0000-0000-000097200000}"/>
    <cellStyle name="Normal 2 2 10 2 33 3 9" xfId="8344" xr:uid="{00000000-0005-0000-0000-000098200000}"/>
    <cellStyle name="Normal 2 2 10 2 33 4" xfId="8345" xr:uid="{00000000-0005-0000-0000-000099200000}"/>
    <cellStyle name="Normal 2 2 10 2 33 4 10" xfId="8346" xr:uid="{00000000-0005-0000-0000-00009A200000}"/>
    <cellStyle name="Normal 2 2 10 2 33 4 2" xfId="8347" xr:uid="{00000000-0005-0000-0000-00009B200000}"/>
    <cellStyle name="Normal 2 2 10 2 33 4 3" xfId="8348" xr:uid="{00000000-0005-0000-0000-00009C200000}"/>
    <cellStyle name="Normal 2 2 10 2 33 4 4" xfId="8349" xr:uid="{00000000-0005-0000-0000-00009D200000}"/>
    <cellStyle name="Normal 2 2 10 2 33 4 5" xfId="8350" xr:uid="{00000000-0005-0000-0000-00009E200000}"/>
    <cellStyle name="Normal 2 2 10 2 33 4 6" xfId="8351" xr:uid="{00000000-0005-0000-0000-00009F200000}"/>
    <cellStyle name="Normal 2 2 10 2 33 4 7" xfId="8352" xr:uid="{00000000-0005-0000-0000-0000A0200000}"/>
    <cellStyle name="Normal 2 2 10 2 33 4 8" xfId="8353" xr:uid="{00000000-0005-0000-0000-0000A1200000}"/>
    <cellStyle name="Normal 2 2 10 2 33 4 9" xfId="8354" xr:uid="{00000000-0005-0000-0000-0000A2200000}"/>
    <cellStyle name="Normal 2 2 10 2 33 5" xfId="8355" xr:uid="{00000000-0005-0000-0000-0000A3200000}"/>
    <cellStyle name="Normal 2 2 10 2 33 5 10" xfId="8356" xr:uid="{00000000-0005-0000-0000-0000A4200000}"/>
    <cellStyle name="Normal 2 2 10 2 33 5 2" xfId="8357" xr:uid="{00000000-0005-0000-0000-0000A5200000}"/>
    <cellStyle name="Normal 2 2 10 2 33 5 3" xfId="8358" xr:uid="{00000000-0005-0000-0000-0000A6200000}"/>
    <cellStyle name="Normal 2 2 10 2 33 5 4" xfId="8359" xr:uid="{00000000-0005-0000-0000-0000A7200000}"/>
    <cellStyle name="Normal 2 2 10 2 33 5 5" xfId="8360" xr:uid="{00000000-0005-0000-0000-0000A8200000}"/>
    <cellStyle name="Normal 2 2 10 2 33 5 6" xfId="8361" xr:uid="{00000000-0005-0000-0000-0000A9200000}"/>
    <cellStyle name="Normal 2 2 10 2 33 5 7" xfId="8362" xr:uid="{00000000-0005-0000-0000-0000AA200000}"/>
    <cellStyle name="Normal 2 2 10 2 33 5 8" xfId="8363" xr:uid="{00000000-0005-0000-0000-0000AB200000}"/>
    <cellStyle name="Normal 2 2 10 2 33 5 9" xfId="8364" xr:uid="{00000000-0005-0000-0000-0000AC200000}"/>
    <cellStyle name="Normal 2 2 10 2 33 6" xfId="8365" xr:uid="{00000000-0005-0000-0000-0000AD200000}"/>
    <cellStyle name="Normal 2 2 10 2 33 7" xfId="8366" xr:uid="{00000000-0005-0000-0000-0000AE200000}"/>
    <cellStyle name="Normal 2 2 10 2 33 8" xfId="8367" xr:uid="{00000000-0005-0000-0000-0000AF200000}"/>
    <cellStyle name="Normal 2 2 10 2 33 9" xfId="8368" xr:uid="{00000000-0005-0000-0000-0000B0200000}"/>
    <cellStyle name="Normal 2 2 10 2 34" xfId="8369" xr:uid="{00000000-0005-0000-0000-0000B1200000}"/>
    <cellStyle name="Normal 2 2 10 2 34 10" xfId="8370" xr:uid="{00000000-0005-0000-0000-0000B2200000}"/>
    <cellStyle name="Normal 2 2 10 2 34 2" xfId="8371" xr:uid="{00000000-0005-0000-0000-0000B3200000}"/>
    <cellStyle name="Normal 2 2 10 2 34 3" xfId="8372" xr:uid="{00000000-0005-0000-0000-0000B4200000}"/>
    <cellStyle name="Normal 2 2 10 2 34 4" xfId="8373" xr:uid="{00000000-0005-0000-0000-0000B5200000}"/>
    <cellStyle name="Normal 2 2 10 2 34 5" xfId="8374" xr:uid="{00000000-0005-0000-0000-0000B6200000}"/>
    <cellStyle name="Normal 2 2 10 2 34 6" xfId="8375" xr:uid="{00000000-0005-0000-0000-0000B7200000}"/>
    <cellStyle name="Normal 2 2 10 2 34 7" xfId="8376" xr:uid="{00000000-0005-0000-0000-0000B8200000}"/>
    <cellStyle name="Normal 2 2 10 2 34 8" xfId="8377" xr:uid="{00000000-0005-0000-0000-0000B9200000}"/>
    <cellStyle name="Normal 2 2 10 2 34 9" xfId="8378" xr:uid="{00000000-0005-0000-0000-0000BA200000}"/>
    <cellStyle name="Normal 2 2 10 2 35" xfId="8379" xr:uid="{00000000-0005-0000-0000-0000BB200000}"/>
    <cellStyle name="Normal 2 2 10 2 35 10" xfId="8380" xr:uid="{00000000-0005-0000-0000-0000BC200000}"/>
    <cellStyle name="Normal 2 2 10 2 35 2" xfId="8381" xr:uid="{00000000-0005-0000-0000-0000BD200000}"/>
    <cellStyle name="Normal 2 2 10 2 35 3" xfId="8382" xr:uid="{00000000-0005-0000-0000-0000BE200000}"/>
    <cellStyle name="Normal 2 2 10 2 35 4" xfId="8383" xr:uid="{00000000-0005-0000-0000-0000BF200000}"/>
    <cellStyle name="Normal 2 2 10 2 35 5" xfId="8384" xr:uid="{00000000-0005-0000-0000-0000C0200000}"/>
    <cellStyle name="Normal 2 2 10 2 35 6" xfId="8385" xr:uid="{00000000-0005-0000-0000-0000C1200000}"/>
    <cellStyle name="Normal 2 2 10 2 35 7" xfId="8386" xr:uid="{00000000-0005-0000-0000-0000C2200000}"/>
    <cellStyle name="Normal 2 2 10 2 35 8" xfId="8387" xr:uid="{00000000-0005-0000-0000-0000C3200000}"/>
    <cellStyle name="Normal 2 2 10 2 35 9" xfId="8388" xr:uid="{00000000-0005-0000-0000-0000C4200000}"/>
    <cellStyle name="Normal 2 2 10 2 36" xfId="8389" xr:uid="{00000000-0005-0000-0000-0000C5200000}"/>
    <cellStyle name="Normal 2 2 10 2 36 10" xfId="8390" xr:uid="{00000000-0005-0000-0000-0000C6200000}"/>
    <cellStyle name="Normal 2 2 10 2 36 2" xfId="8391" xr:uid="{00000000-0005-0000-0000-0000C7200000}"/>
    <cellStyle name="Normal 2 2 10 2 36 3" xfId="8392" xr:uid="{00000000-0005-0000-0000-0000C8200000}"/>
    <cellStyle name="Normal 2 2 10 2 36 4" xfId="8393" xr:uid="{00000000-0005-0000-0000-0000C9200000}"/>
    <cellStyle name="Normal 2 2 10 2 36 5" xfId="8394" xr:uid="{00000000-0005-0000-0000-0000CA200000}"/>
    <cellStyle name="Normal 2 2 10 2 36 6" xfId="8395" xr:uid="{00000000-0005-0000-0000-0000CB200000}"/>
    <cellStyle name="Normal 2 2 10 2 36 7" xfId="8396" xr:uid="{00000000-0005-0000-0000-0000CC200000}"/>
    <cellStyle name="Normal 2 2 10 2 36 8" xfId="8397" xr:uid="{00000000-0005-0000-0000-0000CD200000}"/>
    <cellStyle name="Normal 2 2 10 2 36 9" xfId="8398" xr:uid="{00000000-0005-0000-0000-0000CE200000}"/>
    <cellStyle name="Normal 2 2 10 2 37" xfId="8399" xr:uid="{00000000-0005-0000-0000-0000CF200000}"/>
    <cellStyle name="Normal 2 2 10 2 37 10" xfId="8400" xr:uid="{00000000-0005-0000-0000-0000D0200000}"/>
    <cellStyle name="Normal 2 2 10 2 37 2" xfId="8401" xr:uid="{00000000-0005-0000-0000-0000D1200000}"/>
    <cellStyle name="Normal 2 2 10 2 37 3" xfId="8402" xr:uid="{00000000-0005-0000-0000-0000D2200000}"/>
    <cellStyle name="Normal 2 2 10 2 37 4" xfId="8403" xr:uid="{00000000-0005-0000-0000-0000D3200000}"/>
    <cellStyle name="Normal 2 2 10 2 37 5" xfId="8404" xr:uid="{00000000-0005-0000-0000-0000D4200000}"/>
    <cellStyle name="Normal 2 2 10 2 37 6" xfId="8405" xr:uid="{00000000-0005-0000-0000-0000D5200000}"/>
    <cellStyle name="Normal 2 2 10 2 37 7" xfId="8406" xr:uid="{00000000-0005-0000-0000-0000D6200000}"/>
    <cellStyle name="Normal 2 2 10 2 37 8" xfId="8407" xr:uid="{00000000-0005-0000-0000-0000D7200000}"/>
    <cellStyle name="Normal 2 2 10 2 37 9" xfId="8408" xr:uid="{00000000-0005-0000-0000-0000D8200000}"/>
    <cellStyle name="Normal 2 2 10 2 38" xfId="8409" xr:uid="{00000000-0005-0000-0000-0000D9200000}"/>
    <cellStyle name="Normal 2 2 10 2 39" xfId="8410" xr:uid="{00000000-0005-0000-0000-0000DA200000}"/>
    <cellStyle name="Normal 2 2 10 2 4" xfId="8411" xr:uid="{00000000-0005-0000-0000-0000DB200000}"/>
    <cellStyle name="Normal 2 2 10 2 4 10" xfId="8412" xr:uid="{00000000-0005-0000-0000-0000DC200000}"/>
    <cellStyle name="Normal 2 2 10 2 4 11" xfId="8413" xr:uid="{00000000-0005-0000-0000-0000DD200000}"/>
    <cellStyle name="Normal 2 2 10 2 4 12" xfId="8414" xr:uid="{00000000-0005-0000-0000-0000DE200000}"/>
    <cellStyle name="Normal 2 2 10 2 4 13" xfId="8415" xr:uid="{00000000-0005-0000-0000-0000DF200000}"/>
    <cellStyle name="Normal 2 2 10 2 4 14" xfId="8416" xr:uid="{00000000-0005-0000-0000-0000E0200000}"/>
    <cellStyle name="Normal 2 2 10 2 4 2" xfId="8417" xr:uid="{00000000-0005-0000-0000-0000E1200000}"/>
    <cellStyle name="Normal 2 2 10 2 4 2 10" xfId="8418" xr:uid="{00000000-0005-0000-0000-0000E2200000}"/>
    <cellStyle name="Normal 2 2 10 2 4 2 2" xfId="8419" xr:uid="{00000000-0005-0000-0000-0000E3200000}"/>
    <cellStyle name="Normal 2 2 10 2 4 2 3" xfId="8420" xr:uid="{00000000-0005-0000-0000-0000E4200000}"/>
    <cellStyle name="Normal 2 2 10 2 4 2 4" xfId="8421" xr:uid="{00000000-0005-0000-0000-0000E5200000}"/>
    <cellStyle name="Normal 2 2 10 2 4 2 5" xfId="8422" xr:uid="{00000000-0005-0000-0000-0000E6200000}"/>
    <cellStyle name="Normal 2 2 10 2 4 2 6" xfId="8423" xr:uid="{00000000-0005-0000-0000-0000E7200000}"/>
    <cellStyle name="Normal 2 2 10 2 4 2 7" xfId="8424" xr:uid="{00000000-0005-0000-0000-0000E8200000}"/>
    <cellStyle name="Normal 2 2 10 2 4 2 8" xfId="8425" xr:uid="{00000000-0005-0000-0000-0000E9200000}"/>
    <cellStyle name="Normal 2 2 10 2 4 2 9" xfId="8426" xr:uid="{00000000-0005-0000-0000-0000EA200000}"/>
    <cellStyle name="Normal 2 2 10 2 4 3" xfId="8427" xr:uid="{00000000-0005-0000-0000-0000EB200000}"/>
    <cellStyle name="Normal 2 2 10 2 4 3 10" xfId="8428" xr:uid="{00000000-0005-0000-0000-0000EC200000}"/>
    <cellStyle name="Normal 2 2 10 2 4 3 2" xfId="8429" xr:uid="{00000000-0005-0000-0000-0000ED200000}"/>
    <cellStyle name="Normal 2 2 10 2 4 3 3" xfId="8430" xr:uid="{00000000-0005-0000-0000-0000EE200000}"/>
    <cellStyle name="Normal 2 2 10 2 4 3 4" xfId="8431" xr:uid="{00000000-0005-0000-0000-0000EF200000}"/>
    <cellStyle name="Normal 2 2 10 2 4 3 5" xfId="8432" xr:uid="{00000000-0005-0000-0000-0000F0200000}"/>
    <cellStyle name="Normal 2 2 10 2 4 3 6" xfId="8433" xr:uid="{00000000-0005-0000-0000-0000F1200000}"/>
    <cellStyle name="Normal 2 2 10 2 4 3 7" xfId="8434" xr:uid="{00000000-0005-0000-0000-0000F2200000}"/>
    <cellStyle name="Normal 2 2 10 2 4 3 8" xfId="8435" xr:uid="{00000000-0005-0000-0000-0000F3200000}"/>
    <cellStyle name="Normal 2 2 10 2 4 3 9" xfId="8436" xr:uid="{00000000-0005-0000-0000-0000F4200000}"/>
    <cellStyle name="Normal 2 2 10 2 4 4" xfId="8437" xr:uid="{00000000-0005-0000-0000-0000F5200000}"/>
    <cellStyle name="Normal 2 2 10 2 4 4 10" xfId="8438" xr:uid="{00000000-0005-0000-0000-0000F6200000}"/>
    <cellStyle name="Normal 2 2 10 2 4 4 2" xfId="8439" xr:uid="{00000000-0005-0000-0000-0000F7200000}"/>
    <cellStyle name="Normal 2 2 10 2 4 4 3" xfId="8440" xr:uid="{00000000-0005-0000-0000-0000F8200000}"/>
    <cellStyle name="Normal 2 2 10 2 4 4 4" xfId="8441" xr:uid="{00000000-0005-0000-0000-0000F9200000}"/>
    <cellStyle name="Normal 2 2 10 2 4 4 5" xfId="8442" xr:uid="{00000000-0005-0000-0000-0000FA200000}"/>
    <cellStyle name="Normal 2 2 10 2 4 4 6" xfId="8443" xr:uid="{00000000-0005-0000-0000-0000FB200000}"/>
    <cellStyle name="Normal 2 2 10 2 4 4 7" xfId="8444" xr:uid="{00000000-0005-0000-0000-0000FC200000}"/>
    <cellStyle name="Normal 2 2 10 2 4 4 8" xfId="8445" xr:uid="{00000000-0005-0000-0000-0000FD200000}"/>
    <cellStyle name="Normal 2 2 10 2 4 4 9" xfId="8446" xr:uid="{00000000-0005-0000-0000-0000FE200000}"/>
    <cellStyle name="Normal 2 2 10 2 4 5" xfId="8447" xr:uid="{00000000-0005-0000-0000-0000FF200000}"/>
    <cellStyle name="Normal 2 2 10 2 4 5 10" xfId="8448" xr:uid="{00000000-0005-0000-0000-000000210000}"/>
    <cellStyle name="Normal 2 2 10 2 4 5 2" xfId="8449" xr:uid="{00000000-0005-0000-0000-000001210000}"/>
    <cellStyle name="Normal 2 2 10 2 4 5 3" xfId="8450" xr:uid="{00000000-0005-0000-0000-000002210000}"/>
    <cellStyle name="Normal 2 2 10 2 4 5 4" xfId="8451" xr:uid="{00000000-0005-0000-0000-000003210000}"/>
    <cellStyle name="Normal 2 2 10 2 4 5 5" xfId="8452" xr:uid="{00000000-0005-0000-0000-000004210000}"/>
    <cellStyle name="Normal 2 2 10 2 4 5 6" xfId="8453" xr:uid="{00000000-0005-0000-0000-000005210000}"/>
    <cellStyle name="Normal 2 2 10 2 4 5 7" xfId="8454" xr:uid="{00000000-0005-0000-0000-000006210000}"/>
    <cellStyle name="Normal 2 2 10 2 4 5 8" xfId="8455" xr:uid="{00000000-0005-0000-0000-000007210000}"/>
    <cellStyle name="Normal 2 2 10 2 4 5 9" xfId="8456" xr:uid="{00000000-0005-0000-0000-000008210000}"/>
    <cellStyle name="Normal 2 2 10 2 4 6" xfId="8457" xr:uid="{00000000-0005-0000-0000-000009210000}"/>
    <cellStyle name="Normal 2 2 10 2 4 7" xfId="8458" xr:uid="{00000000-0005-0000-0000-00000A210000}"/>
    <cellStyle name="Normal 2 2 10 2 4 8" xfId="8459" xr:uid="{00000000-0005-0000-0000-00000B210000}"/>
    <cellStyle name="Normal 2 2 10 2 4 9" xfId="8460" xr:uid="{00000000-0005-0000-0000-00000C210000}"/>
    <cellStyle name="Normal 2 2 10 2 40" xfId="8461" xr:uid="{00000000-0005-0000-0000-00000D210000}"/>
    <cellStyle name="Normal 2 2 10 2 41" xfId="8462" xr:uid="{00000000-0005-0000-0000-00000E210000}"/>
    <cellStyle name="Normal 2 2 10 2 42" xfId="8463" xr:uid="{00000000-0005-0000-0000-00000F210000}"/>
    <cellStyle name="Normal 2 2 10 2 43" xfId="8464" xr:uid="{00000000-0005-0000-0000-000010210000}"/>
    <cellStyle name="Normal 2 2 10 2 44" xfId="8465" xr:uid="{00000000-0005-0000-0000-000011210000}"/>
    <cellStyle name="Normal 2 2 10 2 45" xfId="8466" xr:uid="{00000000-0005-0000-0000-000012210000}"/>
    <cellStyle name="Normal 2 2 10 2 46" xfId="8467" xr:uid="{00000000-0005-0000-0000-000013210000}"/>
    <cellStyle name="Normal 2 2 10 2 5" xfId="8468" xr:uid="{00000000-0005-0000-0000-000014210000}"/>
    <cellStyle name="Normal 2 2 10 2 5 10" xfId="8469" xr:uid="{00000000-0005-0000-0000-000015210000}"/>
    <cellStyle name="Normal 2 2 10 2 5 11" xfId="8470" xr:uid="{00000000-0005-0000-0000-000016210000}"/>
    <cellStyle name="Normal 2 2 10 2 5 12" xfId="8471" xr:uid="{00000000-0005-0000-0000-000017210000}"/>
    <cellStyle name="Normal 2 2 10 2 5 13" xfId="8472" xr:uid="{00000000-0005-0000-0000-000018210000}"/>
    <cellStyle name="Normal 2 2 10 2 5 14" xfId="8473" xr:uid="{00000000-0005-0000-0000-000019210000}"/>
    <cellStyle name="Normal 2 2 10 2 5 2" xfId="8474" xr:uid="{00000000-0005-0000-0000-00001A210000}"/>
    <cellStyle name="Normal 2 2 10 2 5 2 10" xfId="8475" xr:uid="{00000000-0005-0000-0000-00001B210000}"/>
    <cellStyle name="Normal 2 2 10 2 5 2 2" xfId="8476" xr:uid="{00000000-0005-0000-0000-00001C210000}"/>
    <cellStyle name="Normal 2 2 10 2 5 2 3" xfId="8477" xr:uid="{00000000-0005-0000-0000-00001D210000}"/>
    <cellStyle name="Normal 2 2 10 2 5 2 4" xfId="8478" xr:uid="{00000000-0005-0000-0000-00001E210000}"/>
    <cellStyle name="Normal 2 2 10 2 5 2 5" xfId="8479" xr:uid="{00000000-0005-0000-0000-00001F210000}"/>
    <cellStyle name="Normal 2 2 10 2 5 2 6" xfId="8480" xr:uid="{00000000-0005-0000-0000-000020210000}"/>
    <cellStyle name="Normal 2 2 10 2 5 2 7" xfId="8481" xr:uid="{00000000-0005-0000-0000-000021210000}"/>
    <cellStyle name="Normal 2 2 10 2 5 2 8" xfId="8482" xr:uid="{00000000-0005-0000-0000-000022210000}"/>
    <cellStyle name="Normal 2 2 10 2 5 2 9" xfId="8483" xr:uid="{00000000-0005-0000-0000-000023210000}"/>
    <cellStyle name="Normal 2 2 10 2 5 3" xfId="8484" xr:uid="{00000000-0005-0000-0000-000024210000}"/>
    <cellStyle name="Normal 2 2 10 2 5 3 10" xfId="8485" xr:uid="{00000000-0005-0000-0000-000025210000}"/>
    <cellStyle name="Normal 2 2 10 2 5 3 2" xfId="8486" xr:uid="{00000000-0005-0000-0000-000026210000}"/>
    <cellStyle name="Normal 2 2 10 2 5 3 3" xfId="8487" xr:uid="{00000000-0005-0000-0000-000027210000}"/>
    <cellStyle name="Normal 2 2 10 2 5 3 4" xfId="8488" xr:uid="{00000000-0005-0000-0000-000028210000}"/>
    <cellStyle name="Normal 2 2 10 2 5 3 5" xfId="8489" xr:uid="{00000000-0005-0000-0000-000029210000}"/>
    <cellStyle name="Normal 2 2 10 2 5 3 6" xfId="8490" xr:uid="{00000000-0005-0000-0000-00002A210000}"/>
    <cellStyle name="Normal 2 2 10 2 5 3 7" xfId="8491" xr:uid="{00000000-0005-0000-0000-00002B210000}"/>
    <cellStyle name="Normal 2 2 10 2 5 3 8" xfId="8492" xr:uid="{00000000-0005-0000-0000-00002C210000}"/>
    <cellStyle name="Normal 2 2 10 2 5 3 9" xfId="8493" xr:uid="{00000000-0005-0000-0000-00002D210000}"/>
    <cellStyle name="Normal 2 2 10 2 5 4" xfId="8494" xr:uid="{00000000-0005-0000-0000-00002E210000}"/>
    <cellStyle name="Normal 2 2 10 2 5 4 10" xfId="8495" xr:uid="{00000000-0005-0000-0000-00002F210000}"/>
    <cellStyle name="Normal 2 2 10 2 5 4 2" xfId="8496" xr:uid="{00000000-0005-0000-0000-000030210000}"/>
    <cellStyle name="Normal 2 2 10 2 5 4 3" xfId="8497" xr:uid="{00000000-0005-0000-0000-000031210000}"/>
    <cellStyle name="Normal 2 2 10 2 5 4 4" xfId="8498" xr:uid="{00000000-0005-0000-0000-000032210000}"/>
    <cellStyle name="Normal 2 2 10 2 5 4 5" xfId="8499" xr:uid="{00000000-0005-0000-0000-000033210000}"/>
    <cellStyle name="Normal 2 2 10 2 5 4 6" xfId="8500" xr:uid="{00000000-0005-0000-0000-000034210000}"/>
    <cellStyle name="Normal 2 2 10 2 5 4 7" xfId="8501" xr:uid="{00000000-0005-0000-0000-000035210000}"/>
    <cellStyle name="Normal 2 2 10 2 5 4 8" xfId="8502" xr:uid="{00000000-0005-0000-0000-000036210000}"/>
    <cellStyle name="Normal 2 2 10 2 5 4 9" xfId="8503" xr:uid="{00000000-0005-0000-0000-000037210000}"/>
    <cellStyle name="Normal 2 2 10 2 5 5" xfId="8504" xr:uid="{00000000-0005-0000-0000-000038210000}"/>
    <cellStyle name="Normal 2 2 10 2 5 5 10" xfId="8505" xr:uid="{00000000-0005-0000-0000-000039210000}"/>
    <cellStyle name="Normal 2 2 10 2 5 5 2" xfId="8506" xr:uid="{00000000-0005-0000-0000-00003A210000}"/>
    <cellStyle name="Normal 2 2 10 2 5 5 3" xfId="8507" xr:uid="{00000000-0005-0000-0000-00003B210000}"/>
    <cellStyle name="Normal 2 2 10 2 5 5 4" xfId="8508" xr:uid="{00000000-0005-0000-0000-00003C210000}"/>
    <cellStyle name="Normal 2 2 10 2 5 5 5" xfId="8509" xr:uid="{00000000-0005-0000-0000-00003D210000}"/>
    <cellStyle name="Normal 2 2 10 2 5 5 6" xfId="8510" xr:uid="{00000000-0005-0000-0000-00003E210000}"/>
    <cellStyle name="Normal 2 2 10 2 5 5 7" xfId="8511" xr:uid="{00000000-0005-0000-0000-00003F210000}"/>
    <cellStyle name="Normal 2 2 10 2 5 5 8" xfId="8512" xr:uid="{00000000-0005-0000-0000-000040210000}"/>
    <cellStyle name="Normal 2 2 10 2 5 5 9" xfId="8513" xr:uid="{00000000-0005-0000-0000-000041210000}"/>
    <cellStyle name="Normal 2 2 10 2 5 6" xfId="8514" xr:uid="{00000000-0005-0000-0000-000042210000}"/>
    <cellStyle name="Normal 2 2 10 2 5 7" xfId="8515" xr:uid="{00000000-0005-0000-0000-000043210000}"/>
    <cellStyle name="Normal 2 2 10 2 5 8" xfId="8516" xr:uid="{00000000-0005-0000-0000-000044210000}"/>
    <cellStyle name="Normal 2 2 10 2 5 9" xfId="8517" xr:uid="{00000000-0005-0000-0000-000045210000}"/>
    <cellStyle name="Normal 2 2 10 2 6" xfId="8518" xr:uid="{00000000-0005-0000-0000-000046210000}"/>
    <cellStyle name="Normal 2 2 10 2 6 10" xfId="8519" xr:uid="{00000000-0005-0000-0000-000047210000}"/>
    <cellStyle name="Normal 2 2 10 2 6 11" xfId="8520" xr:uid="{00000000-0005-0000-0000-000048210000}"/>
    <cellStyle name="Normal 2 2 10 2 6 12" xfId="8521" xr:uid="{00000000-0005-0000-0000-000049210000}"/>
    <cellStyle name="Normal 2 2 10 2 6 13" xfId="8522" xr:uid="{00000000-0005-0000-0000-00004A210000}"/>
    <cellStyle name="Normal 2 2 10 2 6 14" xfId="8523" xr:uid="{00000000-0005-0000-0000-00004B210000}"/>
    <cellStyle name="Normal 2 2 10 2 6 2" xfId="8524" xr:uid="{00000000-0005-0000-0000-00004C210000}"/>
    <cellStyle name="Normal 2 2 10 2 6 2 10" xfId="8525" xr:uid="{00000000-0005-0000-0000-00004D210000}"/>
    <cellStyle name="Normal 2 2 10 2 6 2 2" xfId="8526" xr:uid="{00000000-0005-0000-0000-00004E210000}"/>
    <cellStyle name="Normal 2 2 10 2 6 2 3" xfId="8527" xr:uid="{00000000-0005-0000-0000-00004F210000}"/>
    <cellStyle name="Normal 2 2 10 2 6 2 4" xfId="8528" xr:uid="{00000000-0005-0000-0000-000050210000}"/>
    <cellStyle name="Normal 2 2 10 2 6 2 5" xfId="8529" xr:uid="{00000000-0005-0000-0000-000051210000}"/>
    <cellStyle name="Normal 2 2 10 2 6 2 6" xfId="8530" xr:uid="{00000000-0005-0000-0000-000052210000}"/>
    <cellStyle name="Normal 2 2 10 2 6 2 7" xfId="8531" xr:uid="{00000000-0005-0000-0000-000053210000}"/>
    <cellStyle name="Normal 2 2 10 2 6 2 8" xfId="8532" xr:uid="{00000000-0005-0000-0000-000054210000}"/>
    <cellStyle name="Normal 2 2 10 2 6 2 9" xfId="8533" xr:uid="{00000000-0005-0000-0000-000055210000}"/>
    <cellStyle name="Normal 2 2 10 2 6 3" xfId="8534" xr:uid="{00000000-0005-0000-0000-000056210000}"/>
    <cellStyle name="Normal 2 2 10 2 6 3 10" xfId="8535" xr:uid="{00000000-0005-0000-0000-000057210000}"/>
    <cellStyle name="Normal 2 2 10 2 6 3 2" xfId="8536" xr:uid="{00000000-0005-0000-0000-000058210000}"/>
    <cellStyle name="Normal 2 2 10 2 6 3 3" xfId="8537" xr:uid="{00000000-0005-0000-0000-000059210000}"/>
    <cellStyle name="Normal 2 2 10 2 6 3 4" xfId="8538" xr:uid="{00000000-0005-0000-0000-00005A210000}"/>
    <cellStyle name="Normal 2 2 10 2 6 3 5" xfId="8539" xr:uid="{00000000-0005-0000-0000-00005B210000}"/>
    <cellStyle name="Normal 2 2 10 2 6 3 6" xfId="8540" xr:uid="{00000000-0005-0000-0000-00005C210000}"/>
    <cellStyle name="Normal 2 2 10 2 6 3 7" xfId="8541" xr:uid="{00000000-0005-0000-0000-00005D210000}"/>
    <cellStyle name="Normal 2 2 10 2 6 3 8" xfId="8542" xr:uid="{00000000-0005-0000-0000-00005E210000}"/>
    <cellStyle name="Normal 2 2 10 2 6 3 9" xfId="8543" xr:uid="{00000000-0005-0000-0000-00005F210000}"/>
    <cellStyle name="Normal 2 2 10 2 6 4" xfId="8544" xr:uid="{00000000-0005-0000-0000-000060210000}"/>
    <cellStyle name="Normal 2 2 10 2 6 4 10" xfId="8545" xr:uid="{00000000-0005-0000-0000-000061210000}"/>
    <cellStyle name="Normal 2 2 10 2 6 4 2" xfId="8546" xr:uid="{00000000-0005-0000-0000-000062210000}"/>
    <cellStyle name="Normal 2 2 10 2 6 4 3" xfId="8547" xr:uid="{00000000-0005-0000-0000-000063210000}"/>
    <cellStyle name="Normal 2 2 10 2 6 4 4" xfId="8548" xr:uid="{00000000-0005-0000-0000-000064210000}"/>
    <cellStyle name="Normal 2 2 10 2 6 4 5" xfId="8549" xr:uid="{00000000-0005-0000-0000-000065210000}"/>
    <cellStyle name="Normal 2 2 10 2 6 4 6" xfId="8550" xr:uid="{00000000-0005-0000-0000-000066210000}"/>
    <cellStyle name="Normal 2 2 10 2 6 4 7" xfId="8551" xr:uid="{00000000-0005-0000-0000-000067210000}"/>
    <cellStyle name="Normal 2 2 10 2 6 4 8" xfId="8552" xr:uid="{00000000-0005-0000-0000-000068210000}"/>
    <cellStyle name="Normal 2 2 10 2 6 4 9" xfId="8553" xr:uid="{00000000-0005-0000-0000-000069210000}"/>
    <cellStyle name="Normal 2 2 10 2 6 5" xfId="8554" xr:uid="{00000000-0005-0000-0000-00006A210000}"/>
    <cellStyle name="Normal 2 2 10 2 6 5 10" xfId="8555" xr:uid="{00000000-0005-0000-0000-00006B210000}"/>
    <cellStyle name="Normal 2 2 10 2 6 5 2" xfId="8556" xr:uid="{00000000-0005-0000-0000-00006C210000}"/>
    <cellStyle name="Normal 2 2 10 2 6 5 3" xfId="8557" xr:uid="{00000000-0005-0000-0000-00006D210000}"/>
    <cellStyle name="Normal 2 2 10 2 6 5 4" xfId="8558" xr:uid="{00000000-0005-0000-0000-00006E210000}"/>
    <cellStyle name="Normal 2 2 10 2 6 5 5" xfId="8559" xr:uid="{00000000-0005-0000-0000-00006F210000}"/>
    <cellStyle name="Normal 2 2 10 2 6 5 6" xfId="8560" xr:uid="{00000000-0005-0000-0000-000070210000}"/>
    <cellStyle name="Normal 2 2 10 2 6 5 7" xfId="8561" xr:uid="{00000000-0005-0000-0000-000071210000}"/>
    <cellStyle name="Normal 2 2 10 2 6 5 8" xfId="8562" xr:uid="{00000000-0005-0000-0000-000072210000}"/>
    <cellStyle name="Normal 2 2 10 2 6 5 9" xfId="8563" xr:uid="{00000000-0005-0000-0000-000073210000}"/>
    <cellStyle name="Normal 2 2 10 2 6 6" xfId="8564" xr:uid="{00000000-0005-0000-0000-000074210000}"/>
    <cellStyle name="Normal 2 2 10 2 6 7" xfId="8565" xr:uid="{00000000-0005-0000-0000-000075210000}"/>
    <cellStyle name="Normal 2 2 10 2 6 8" xfId="8566" xr:uid="{00000000-0005-0000-0000-000076210000}"/>
    <cellStyle name="Normal 2 2 10 2 6 9" xfId="8567" xr:uid="{00000000-0005-0000-0000-000077210000}"/>
    <cellStyle name="Normal 2 2 10 2 7" xfId="8568" xr:uid="{00000000-0005-0000-0000-000078210000}"/>
    <cellStyle name="Normal 2 2 10 2 7 10" xfId="8569" xr:uid="{00000000-0005-0000-0000-000079210000}"/>
    <cellStyle name="Normal 2 2 10 2 7 11" xfId="8570" xr:uid="{00000000-0005-0000-0000-00007A210000}"/>
    <cellStyle name="Normal 2 2 10 2 7 12" xfId="8571" xr:uid="{00000000-0005-0000-0000-00007B210000}"/>
    <cellStyle name="Normal 2 2 10 2 7 13" xfId="8572" xr:uid="{00000000-0005-0000-0000-00007C210000}"/>
    <cellStyle name="Normal 2 2 10 2 7 14" xfId="8573" xr:uid="{00000000-0005-0000-0000-00007D210000}"/>
    <cellStyle name="Normal 2 2 10 2 7 2" xfId="8574" xr:uid="{00000000-0005-0000-0000-00007E210000}"/>
    <cellStyle name="Normal 2 2 10 2 7 2 10" xfId="8575" xr:uid="{00000000-0005-0000-0000-00007F210000}"/>
    <cellStyle name="Normal 2 2 10 2 7 2 2" xfId="8576" xr:uid="{00000000-0005-0000-0000-000080210000}"/>
    <cellStyle name="Normal 2 2 10 2 7 2 3" xfId="8577" xr:uid="{00000000-0005-0000-0000-000081210000}"/>
    <cellStyle name="Normal 2 2 10 2 7 2 4" xfId="8578" xr:uid="{00000000-0005-0000-0000-000082210000}"/>
    <cellStyle name="Normal 2 2 10 2 7 2 5" xfId="8579" xr:uid="{00000000-0005-0000-0000-000083210000}"/>
    <cellStyle name="Normal 2 2 10 2 7 2 6" xfId="8580" xr:uid="{00000000-0005-0000-0000-000084210000}"/>
    <cellStyle name="Normal 2 2 10 2 7 2 7" xfId="8581" xr:uid="{00000000-0005-0000-0000-000085210000}"/>
    <cellStyle name="Normal 2 2 10 2 7 2 8" xfId="8582" xr:uid="{00000000-0005-0000-0000-000086210000}"/>
    <cellStyle name="Normal 2 2 10 2 7 2 9" xfId="8583" xr:uid="{00000000-0005-0000-0000-000087210000}"/>
    <cellStyle name="Normal 2 2 10 2 7 3" xfId="8584" xr:uid="{00000000-0005-0000-0000-000088210000}"/>
    <cellStyle name="Normal 2 2 10 2 7 3 10" xfId="8585" xr:uid="{00000000-0005-0000-0000-000089210000}"/>
    <cellStyle name="Normal 2 2 10 2 7 3 2" xfId="8586" xr:uid="{00000000-0005-0000-0000-00008A210000}"/>
    <cellStyle name="Normal 2 2 10 2 7 3 3" xfId="8587" xr:uid="{00000000-0005-0000-0000-00008B210000}"/>
    <cellStyle name="Normal 2 2 10 2 7 3 4" xfId="8588" xr:uid="{00000000-0005-0000-0000-00008C210000}"/>
    <cellStyle name="Normal 2 2 10 2 7 3 5" xfId="8589" xr:uid="{00000000-0005-0000-0000-00008D210000}"/>
    <cellStyle name="Normal 2 2 10 2 7 3 6" xfId="8590" xr:uid="{00000000-0005-0000-0000-00008E210000}"/>
    <cellStyle name="Normal 2 2 10 2 7 3 7" xfId="8591" xr:uid="{00000000-0005-0000-0000-00008F210000}"/>
    <cellStyle name="Normal 2 2 10 2 7 3 8" xfId="8592" xr:uid="{00000000-0005-0000-0000-000090210000}"/>
    <cellStyle name="Normal 2 2 10 2 7 3 9" xfId="8593" xr:uid="{00000000-0005-0000-0000-000091210000}"/>
    <cellStyle name="Normal 2 2 10 2 7 4" xfId="8594" xr:uid="{00000000-0005-0000-0000-000092210000}"/>
    <cellStyle name="Normal 2 2 10 2 7 4 10" xfId="8595" xr:uid="{00000000-0005-0000-0000-000093210000}"/>
    <cellStyle name="Normal 2 2 10 2 7 4 2" xfId="8596" xr:uid="{00000000-0005-0000-0000-000094210000}"/>
    <cellStyle name="Normal 2 2 10 2 7 4 3" xfId="8597" xr:uid="{00000000-0005-0000-0000-000095210000}"/>
    <cellStyle name="Normal 2 2 10 2 7 4 4" xfId="8598" xr:uid="{00000000-0005-0000-0000-000096210000}"/>
    <cellStyle name="Normal 2 2 10 2 7 4 5" xfId="8599" xr:uid="{00000000-0005-0000-0000-000097210000}"/>
    <cellStyle name="Normal 2 2 10 2 7 4 6" xfId="8600" xr:uid="{00000000-0005-0000-0000-000098210000}"/>
    <cellStyle name="Normal 2 2 10 2 7 4 7" xfId="8601" xr:uid="{00000000-0005-0000-0000-000099210000}"/>
    <cellStyle name="Normal 2 2 10 2 7 4 8" xfId="8602" xr:uid="{00000000-0005-0000-0000-00009A210000}"/>
    <cellStyle name="Normal 2 2 10 2 7 4 9" xfId="8603" xr:uid="{00000000-0005-0000-0000-00009B210000}"/>
    <cellStyle name="Normal 2 2 10 2 7 5" xfId="8604" xr:uid="{00000000-0005-0000-0000-00009C210000}"/>
    <cellStyle name="Normal 2 2 10 2 7 5 10" xfId="8605" xr:uid="{00000000-0005-0000-0000-00009D210000}"/>
    <cellStyle name="Normal 2 2 10 2 7 5 2" xfId="8606" xr:uid="{00000000-0005-0000-0000-00009E210000}"/>
    <cellStyle name="Normal 2 2 10 2 7 5 3" xfId="8607" xr:uid="{00000000-0005-0000-0000-00009F210000}"/>
    <cellStyle name="Normal 2 2 10 2 7 5 4" xfId="8608" xr:uid="{00000000-0005-0000-0000-0000A0210000}"/>
    <cellStyle name="Normal 2 2 10 2 7 5 5" xfId="8609" xr:uid="{00000000-0005-0000-0000-0000A1210000}"/>
    <cellStyle name="Normal 2 2 10 2 7 5 6" xfId="8610" xr:uid="{00000000-0005-0000-0000-0000A2210000}"/>
    <cellStyle name="Normal 2 2 10 2 7 5 7" xfId="8611" xr:uid="{00000000-0005-0000-0000-0000A3210000}"/>
    <cellStyle name="Normal 2 2 10 2 7 5 8" xfId="8612" xr:uid="{00000000-0005-0000-0000-0000A4210000}"/>
    <cellStyle name="Normal 2 2 10 2 7 5 9" xfId="8613" xr:uid="{00000000-0005-0000-0000-0000A5210000}"/>
    <cellStyle name="Normal 2 2 10 2 7 6" xfId="8614" xr:uid="{00000000-0005-0000-0000-0000A6210000}"/>
    <cellStyle name="Normal 2 2 10 2 7 7" xfId="8615" xr:uid="{00000000-0005-0000-0000-0000A7210000}"/>
    <cellStyle name="Normal 2 2 10 2 7 8" xfId="8616" xr:uid="{00000000-0005-0000-0000-0000A8210000}"/>
    <cellStyle name="Normal 2 2 10 2 7 9" xfId="8617" xr:uid="{00000000-0005-0000-0000-0000A9210000}"/>
    <cellStyle name="Normal 2 2 10 2 8" xfId="8618" xr:uid="{00000000-0005-0000-0000-0000AA210000}"/>
    <cellStyle name="Normal 2 2 10 2 8 10" xfId="8619" xr:uid="{00000000-0005-0000-0000-0000AB210000}"/>
    <cellStyle name="Normal 2 2 10 2 8 11" xfId="8620" xr:uid="{00000000-0005-0000-0000-0000AC210000}"/>
    <cellStyle name="Normal 2 2 10 2 8 12" xfId="8621" xr:uid="{00000000-0005-0000-0000-0000AD210000}"/>
    <cellStyle name="Normal 2 2 10 2 8 13" xfId="8622" xr:uid="{00000000-0005-0000-0000-0000AE210000}"/>
    <cellStyle name="Normal 2 2 10 2 8 14" xfId="8623" xr:uid="{00000000-0005-0000-0000-0000AF210000}"/>
    <cellStyle name="Normal 2 2 10 2 8 2" xfId="8624" xr:uid="{00000000-0005-0000-0000-0000B0210000}"/>
    <cellStyle name="Normal 2 2 10 2 8 2 10" xfId="8625" xr:uid="{00000000-0005-0000-0000-0000B1210000}"/>
    <cellStyle name="Normal 2 2 10 2 8 2 2" xfId="8626" xr:uid="{00000000-0005-0000-0000-0000B2210000}"/>
    <cellStyle name="Normal 2 2 10 2 8 2 3" xfId="8627" xr:uid="{00000000-0005-0000-0000-0000B3210000}"/>
    <cellStyle name="Normal 2 2 10 2 8 2 4" xfId="8628" xr:uid="{00000000-0005-0000-0000-0000B4210000}"/>
    <cellStyle name="Normal 2 2 10 2 8 2 5" xfId="8629" xr:uid="{00000000-0005-0000-0000-0000B5210000}"/>
    <cellStyle name="Normal 2 2 10 2 8 2 6" xfId="8630" xr:uid="{00000000-0005-0000-0000-0000B6210000}"/>
    <cellStyle name="Normal 2 2 10 2 8 2 7" xfId="8631" xr:uid="{00000000-0005-0000-0000-0000B7210000}"/>
    <cellStyle name="Normal 2 2 10 2 8 2 8" xfId="8632" xr:uid="{00000000-0005-0000-0000-0000B8210000}"/>
    <cellStyle name="Normal 2 2 10 2 8 2 9" xfId="8633" xr:uid="{00000000-0005-0000-0000-0000B9210000}"/>
    <cellStyle name="Normal 2 2 10 2 8 3" xfId="8634" xr:uid="{00000000-0005-0000-0000-0000BA210000}"/>
    <cellStyle name="Normal 2 2 10 2 8 3 10" xfId="8635" xr:uid="{00000000-0005-0000-0000-0000BB210000}"/>
    <cellStyle name="Normal 2 2 10 2 8 3 2" xfId="8636" xr:uid="{00000000-0005-0000-0000-0000BC210000}"/>
    <cellStyle name="Normal 2 2 10 2 8 3 3" xfId="8637" xr:uid="{00000000-0005-0000-0000-0000BD210000}"/>
    <cellStyle name="Normal 2 2 10 2 8 3 4" xfId="8638" xr:uid="{00000000-0005-0000-0000-0000BE210000}"/>
    <cellStyle name="Normal 2 2 10 2 8 3 5" xfId="8639" xr:uid="{00000000-0005-0000-0000-0000BF210000}"/>
    <cellStyle name="Normal 2 2 10 2 8 3 6" xfId="8640" xr:uid="{00000000-0005-0000-0000-0000C0210000}"/>
    <cellStyle name="Normal 2 2 10 2 8 3 7" xfId="8641" xr:uid="{00000000-0005-0000-0000-0000C1210000}"/>
    <cellStyle name="Normal 2 2 10 2 8 3 8" xfId="8642" xr:uid="{00000000-0005-0000-0000-0000C2210000}"/>
    <cellStyle name="Normal 2 2 10 2 8 3 9" xfId="8643" xr:uid="{00000000-0005-0000-0000-0000C3210000}"/>
    <cellStyle name="Normal 2 2 10 2 8 4" xfId="8644" xr:uid="{00000000-0005-0000-0000-0000C4210000}"/>
    <cellStyle name="Normal 2 2 10 2 8 4 10" xfId="8645" xr:uid="{00000000-0005-0000-0000-0000C5210000}"/>
    <cellStyle name="Normal 2 2 10 2 8 4 2" xfId="8646" xr:uid="{00000000-0005-0000-0000-0000C6210000}"/>
    <cellStyle name="Normal 2 2 10 2 8 4 3" xfId="8647" xr:uid="{00000000-0005-0000-0000-0000C7210000}"/>
    <cellStyle name="Normal 2 2 10 2 8 4 4" xfId="8648" xr:uid="{00000000-0005-0000-0000-0000C8210000}"/>
    <cellStyle name="Normal 2 2 10 2 8 4 5" xfId="8649" xr:uid="{00000000-0005-0000-0000-0000C9210000}"/>
    <cellStyle name="Normal 2 2 10 2 8 4 6" xfId="8650" xr:uid="{00000000-0005-0000-0000-0000CA210000}"/>
    <cellStyle name="Normal 2 2 10 2 8 4 7" xfId="8651" xr:uid="{00000000-0005-0000-0000-0000CB210000}"/>
    <cellStyle name="Normal 2 2 10 2 8 4 8" xfId="8652" xr:uid="{00000000-0005-0000-0000-0000CC210000}"/>
    <cellStyle name="Normal 2 2 10 2 8 4 9" xfId="8653" xr:uid="{00000000-0005-0000-0000-0000CD210000}"/>
    <cellStyle name="Normal 2 2 10 2 8 5" xfId="8654" xr:uid="{00000000-0005-0000-0000-0000CE210000}"/>
    <cellStyle name="Normal 2 2 10 2 8 5 10" xfId="8655" xr:uid="{00000000-0005-0000-0000-0000CF210000}"/>
    <cellStyle name="Normal 2 2 10 2 8 5 2" xfId="8656" xr:uid="{00000000-0005-0000-0000-0000D0210000}"/>
    <cellStyle name="Normal 2 2 10 2 8 5 3" xfId="8657" xr:uid="{00000000-0005-0000-0000-0000D1210000}"/>
    <cellStyle name="Normal 2 2 10 2 8 5 4" xfId="8658" xr:uid="{00000000-0005-0000-0000-0000D2210000}"/>
    <cellStyle name="Normal 2 2 10 2 8 5 5" xfId="8659" xr:uid="{00000000-0005-0000-0000-0000D3210000}"/>
    <cellStyle name="Normal 2 2 10 2 8 5 6" xfId="8660" xr:uid="{00000000-0005-0000-0000-0000D4210000}"/>
    <cellStyle name="Normal 2 2 10 2 8 5 7" xfId="8661" xr:uid="{00000000-0005-0000-0000-0000D5210000}"/>
    <cellStyle name="Normal 2 2 10 2 8 5 8" xfId="8662" xr:uid="{00000000-0005-0000-0000-0000D6210000}"/>
    <cellStyle name="Normal 2 2 10 2 8 5 9" xfId="8663" xr:uid="{00000000-0005-0000-0000-0000D7210000}"/>
    <cellStyle name="Normal 2 2 10 2 8 6" xfId="8664" xr:uid="{00000000-0005-0000-0000-0000D8210000}"/>
    <cellStyle name="Normal 2 2 10 2 8 7" xfId="8665" xr:uid="{00000000-0005-0000-0000-0000D9210000}"/>
    <cellStyle name="Normal 2 2 10 2 8 8" xfId="8666" xr:uid="{00000000-0005-0000-0000-0000DA210000}"/>
    <cellStyle name="Normal 2 2 10 2 8 9" xfId="8667" xr:uid="{00000000-0005-0000-0000-0000DB210000}"/>
    <cellStyle name="Normal 2 2 10 2 9" xfId="8668" xr:uid="{00000000-0005-0000-0000-0000DC210000}"/>
    <cellStyle name="Normal 2 2 10 2 9 10" xfId="8669" xr:uid="{00000000-0005-0000-0000-0000DD210000}"/>
    <cellStyle name="Normal 2 2 10 2 9 11" xfId="8670" xr:uid="{00000000-0005-0000-0000-0000DE210000}"/>
    <cellStyle name="Normal 2 2 10 2 9 12" xfId="8671" xr:uid="{00000000-0005-0000-0000-0000DF210000}"/>
    <cellStyle name="Normal 2 2 10 2 9 13" xfId="8672" xr:uid="{00000000-0005-0000-0000-0000E0210000}"/>
    <cellStyle name="Normal 2 2 10 2 9 14" xfId="8673" xr:uid="{00000000-0005-0000-0000-0000E1210000}"/>
    <cellStyle name="Normal 2 2 10 2 9 2" xfId="8674" xr:uid="{00000000-0005-0000-0000-0000E2210000}"/>
    <cellStyle name="Normal 2 2 10 2 9 2 10" xfId="8675" xr:uid="{00000000-0005-0000-0000-0000E3210000}"/>
    <cellStyle name="Normal 2 2 10 2 9 2 2" xfId="8676" xr:uid="{00000000-0005-0000-0000-0000E4210000}"/>
    <cellStyle name="Normal 2 2 10 2 9 2 3" xfId="8677" xr:uid="{00000000-0005-0000-0000-0000E5210000}"/>
    <cellStyle name="Normal 2 2 10 2 9 2 4" xfId="8678" xr:uid="{00000000-0005-0000-0000-0000E6210000}"/>
    <cellStyle name="Normal 2 2 10 2 9 2 5" xfId="8679" xr:uid="{00000000-0005-0000-0000-0000E7210000}"/>
    <cellStyle name="Normal 2 2 10 2 9 2 6" xfId="8680" xr:uid="{00000000-0005-0000-0000-0000E8210000}"/>
    <cellStyle name="Normal 2 2 10 2 9 2 7" xfId="8681" xr:uid="{00000000-0005-0000-0000-0000E9210000}"/>
    <cellStyle name="Normal 2 2 10 2 9 2 8" xfId="8682" xr:uid="{00000000-0005-0000-0000-0000EA210000}"/>
    <cellStyle name="Normal 2 2 10 2 9 2 9" xfId="8683" xr:uid="{00000000-0005-0000-0000-0000EB210000}"/>
    <cellStyle name="Normal 2 2 10 2 9 3" xfId="8684" xr:uid="{00000000-0005-0000-0000-0000EC210000}"/>
    <cellStyle name="Normal 2 2 10 2 9 3 10" xfId="8685" xr:uid="{00000000-0005-0000-0000-0000ED210000}"/>
    <cellStyle name="Normal 2 2 10 2 9 3 2" xfId="8686" xr:uid="{00000000-0005-0000-0000-0000EE210000}"/>
    <cellStyle name="Normal 2 2 10 2 9 3 3" xfId="8687" xr:uid="{00000000-0005-0000-0000-0000EF210000}"/>
    <cellStyle name="Normal 2 2 10 2 9 3 4" xfId="8688" xr:uid="{00000000-0005-0000-0000-0000F0210000}"/>
    <cellStyle name="Normal 2 2 10 2 9 3 5" xfId="8689" xr:uid="{00000000-0005-0000-0000-0000F1210000}"/>
    <cellStyle name="Normal 2 2 10 2 9 3 6" xfId="8690" xr:uid="{00000000-0005-0000-0000-0000F2210000}"/>
    <cellStyle name="Normal 2 2 10 2 9 3 7" xfId="8691" xr:uid="{00000000-0005-0000-0000-0000F3210000}"/>
    <cellStyle name="Normal 2 2 10 2 9 3 8" xfId="8692" xr:uid="{00000000-0005-0000-0000-0000F4210000}"/>
    <cellStyle name="Normal 2 2 10 2 9 3 9" xfId="8693" xr:uid="{00000000-0005-0000-0000-0000F5210000}"/>
    <cellStyle name="Normal 2 2 10 2 9 4" xfId="8694" xr:uid="{00000000-0005-0000-0000-0000F6210000}"/>
    <cellStyle name="Normal 2 2 10 2 9 4 10" xfId="8695" xr:uid="{00000000-0005-0000-0000-0000F7210000}"/>
    <cellStyle name="Normal 2 2 10 2 9 4 2" xfId="8696" xr:uid="{00000000-0005-0000-0000-0000F8210000}"/>
    <cellStyle name="Normal 2 2 10 2 9 4 3" xfId="8697" xr:uid="{00000000-0005-0000-0000-0000F9210000}"/>
    <cellStyle name="Normal 2 2 10 2 9 4 4" xfId="8698" xr:uid="{00000000-0005-0000-0000-0000FA210000}"/>
    <cellStyle name="Normal 2 2 10 2 9 4 5" xfId="8699" xr:uid="{00000000-0005-0000-0000-0000FB210000}"/>
    <cellStyle name="Normal 2 2 10 2 9 4 6" xfId="8700" xr:uid="{00000000-0005-0000-0000-0000FC210000}"/>
    <cellStyle name="Normal 2 2 10 2 9 4 7" xfId="8701" xr:uid="{00000000-0005-0000-0000-0000FD210000}"/>
    <cellStyle name="Normal 2 2 10 2 9 4 8" xfId="8702" xr:uid="{00000000-0005-0000-0000-0000FE210000}"/>
    <cellStyle name="Normal 2 2 10 2 9 4 9" xfId="8703" xr:uid="{00000000-0005-0000-0000-0000FF210000}"/>
    <cellStyle name="Normal 2 2 10 2 9 5" xfId="8704" xr:uid="{00000000-0005-0000-0000-000000220000}"/>
    <cellStyle name="Normal 2 2 10 2 9 5 10" xfId="8705" xr:uid="{00000000-0005-0000-0000-000001220000}"/>
    <cellStyle name="Normal 2 2 10 2 9 5 2" xfId="8706" xr:uid="{00000000-0005-0000-0000-000002220000}"/>
    <cellStyle name="Normal 2 2 10 2 9 5 3" xfId="8707" xr:uid="{00000000-0005-0000-0000-000003220000}"/>
    <cellStyle name="Normal 2 2 10 2 9 5 4" xfId="8708" xr:uid="{00000000-0005-0000-0000-000004220000}"/>
    <cellStyle name="Normal 2 2 10 2 9 5 5" xfId="8709" xr:uid="{00000000-0005-0000-0000-000005220000}"/>
    <cellStyle name="Normal 2 2 10 2 9 5 6" xfId="8710" xr:uid="{00000000-0005-0000-0000-000006220000}"/>
    <cellStyle name="Normal 2 2 10 2 9 5 7" xfId="8711" xr:uid="{00000000-0005-0000-0000-000007220000}"/>
    <cellStyle name="Normal 2 2 10 2 9 5 8" xfId="8712" xr:uid="{00000000-0005-0000-0000-000008220000}"/>
    <cellStyle name="Normal 2 2 10 2 9 5 9" xfId="8713" xr:uid="{00000000-0005-0000-0000-000009220000}"/>
    <cellStyle name="Normal 2 2 10 2 9 6" xfId="8714" xr:uid="{00000000-0005-0000-0000-00000A220000}"/>
    <cellStyle name="Normal 2 2 10 2 9 7" xfId="8715" xr:uid="{00000000-0005-0000-0000-00000B220000}"/>
    <cellStyle name="Normal 2 2 10 2 9 8" xfId="8716" xr:uid="{00000000-0005-0000-0000-00000C220000}"/>
    <cellStyle name="Normal 2 2 10 2 9 9" xfId="8717" xr:uid="{00000000-0005-0000-0000-00000D220000}"/>
    <cellStyle name="Normal 2 2 10 20" xfId="8718" xr:uid="{00000000-0005-0000-0000-00000E220000}"/>
    <cellStyle name="Normal 2 2 10 20 10" xfId="8719" xr:uid="{00000000-0005-0000-0000-00000F220000}"/>
    <cellStyle name="Normal 2 2 10 20 11" xfId="8720" xr:uid="{00000000-0005-0000-0000-000010220000}"/>
    <cellStyle name="Normal 2 2 10 20 12" xfId="8721" xr:uid="{00000000-0005-0000-0000-000011220000}"/>
    <cellStyle name="Normal 2 2 10 20 13" xfId="8722" xr:uid="{00000000-0005-0000-0000-000012220000}"/>
    <cellStyle name="Normal 2 2 10 20 14" xfId="8723" xr:uid="{00000000-0005-0000-0000-000013220000}"/>
    <cellStyle name="Normal 2 2 10 20 2" xfId="8724" xr:uid="{00000000-0005-0000-0000-000014220000}"/>
    <cellStyle name="Normal 2 2 10 20 2 10" xfId="8725" xr:uid="{00000000-0005-0000-0000-000015220000}"/>
    <cellStyle name="Normal 2 2 10 20 2 2" xfId="8726" xr:uid="{00000000-0005-0000-0000-000016220000}"/>
    <cellStyle name="Normal 2 2 10 20 2 3" xfId="8727" xr:uid="{00000000-0005-0000-0000-000017220000}"/>
    <cellStyle name="Normal 2 2 10 20 2 4" xfId="8728" xr:uid="{00000000-0005-0000-0000-000018220000}"/>
    <cellStyle name="Normal 2 2 10 20 2 5" xfId="8729" xr:uid="{00000000-0005-0000-0000-000019220000}"/>
    <cellStyle name="Normal 2 2 10 20 2 6" xfId="8730" xr:uid="{00000000-0005-0000-0000-00001A220000}"/>
    <cellStyle name="Normal 2 2 10 20 2 7" xfId="8731" xr:uid="{00000000-0005-0000-0000-00001B220000}"/>
    <cellStyle name="Normal 2 2 10 20 2 8" xfId="8732" xr:uid="{00000000-0005-0000-0000-00001C220000}"/>
    <cellStyle name="Normal 2 2 10 20 2 9" xfId="8733" xr:uid="{00000000-0005-0000-0000-00001D220000}"/>
    <cellStyle name="Normal 2 2 10 20 3" xfId="8734" xr:uid="{00000000-0005-0000-0000-00001E220000}"/>
    <cellStyle name="Normal 2 2 10 20 3 10" xfId="8735" xr:uid="{00000000-0005-0000-0000-00001F220000}"/>
    <cellStyle name="Normal 2 2 10 20 3 2" xfId="8736" xr:uid="{00000000-0005-0000-0000-000020220000}"/>
    <cellStyle name="Normal 2 2 10 20 3 3" xfId="8737" xr:uid="{00000000-0005-0000-0000-000021220000}"/>
    <cellStyle name="Normal 2 2 10 20 3 4" xfId="8738" xr:uid="{00000000-0005-0000-0000-000022220000}"/>
    <cellStyle name="Normal 2 2 10 20 3 5" xfId="8739" xr:uid="{00000000-0005-0000-0000-000023220000}"/>
    <cellStyle name="Normal 2 2 10 20 3 6" xfId="8740" xr:uid="{00000000-0005-0000-0000-000024220000}"/>
    <cellStyle name="Normal 2 2 10 20 3 7" xfId="8741" xr:uid="{00000000-0005-0000-0000-000025220000}"/>
    <cellStyle name="Normal 2 2 10 20 3 8" xfId="8742" xr:uid="{00000000-0005-0000-0000-000026220000}"/>
    <cellStyle name="Normal 2 2 10 20 3 9" xfId="8743" xr:uid="{00000000-0005-0000-0000-000027220000}"/>
    <cellStyle name="Normal 2 2 10 20 4" xfId="8744" xr:uid="{00000000-0005-0000-0000-000028220000}"/>
    <cellStyle name="Normal 2 2 10 20 4 10" xfId="8745" xr:uid="{00000000-0005-0000-0000-000029220000}"/>
    <cellStyle name="Normal 2 2 10 20 4 2" xfId="8746" xr:uid="{00000000-0005-0000-0000-00002A220000}"/>
    <cellStyle name="Normal 2 2 10 20 4 3" xfId="8747" xr:uid="{00000000-0005-0000-0000-00002B220000}"/>
    <cellStyle name="Normal 2 2 10 20 4 4" xfId="8748" xr:uid="{00000000-0005-0000-0000-00002C220000}"/>
    <cellStyle name="Normal 2 2 10 20 4 5" xfId="8749" xr:uid="{00000000-0005-0000-0000-00002D220000}"/>
    <cellStyle name="Normal 2 2 10 20 4 6" xfId="8750" xr:uid="{00000000-0005-0000-0000-00002E220000}"/>
    <cellStyle name="Normal 2 2 10 20 4 7" xfId="8751" xr:uid="{00000000-0005-0000-0000-00002F220000}"/>
    <cellStyle name="Normal 2 2 10 20 4 8" xfId="8752" xr:uid="{00000000-0005-0000-0000-000030220000}"/>
    <cellStyle name="Normal 2 2 10 20 4 9" xfId="8753" xr:uid="{00000000-0005-0000-0000-000031220000}"/>
    <cellStyle name="Normal 2 2 10 20 5" xfId="8754" xr:uid="{00000000-0005-0000-0000-000032220000}"/>
    <cellStyle name="Normal 2 2 10 20 5 10" xfId="8755" xr:uid="{00000000-0005-0000-0000-000033220000}"/>
    <cellStyle name="Normal 2 2 10 20 5 2" xfId="8756" xr:uid="{00000000-0005-0000-0000-000034220000}"/>
    <cellStyle name="Normal 2 2 10 20 5 3" xfId="8757" xr:uid="{00000000-0005-0000-0000-000035220000}"/>
    <cellStyle name="Normal 2 2 10 20 5 4" xfId="8758" xr:uid="{00000000-0005-0000-0000-000036220000}"/>
    <cellStyle name="Normal 2 2 10 20 5 5" xfId="8759" xr:uid="{00000000-0005-0000-0000-000037220000}"/>
    <cellStyle name="Normal 2 2 10 20 5 6" xfId="8760" xr:uid="{00000000-0005-0000-0000-000038220000}"/>
    <cellStyle name="Normal 2 2 10 20 5 7" xfId="8761" xr:uid="{00000000-0005-0000-0000-000039220000}"/>
    <cellStyle name="Normal 2 2 10 20 5 8" xfId="8762" xr:uid="{00000000-0005-0000-0000-00003A220000}"/>
    <cellStyle name="Normal 2 2 10 20 5 9" xfId="8763" xr:uid="{00000000-0005-0000-0000-00003B220000}"/>
    <cellStyle name="Normal 2 2 10 20 6" xfId="8764" xr:uid="{00000000-0005-0000-0000-00003C220000}"/>
    <cellStyle name="Normal 2 2 10 20 7" xfId="8765" xr:uid="{00000000-0005-0000-0000-00003D220000}"/>
    <cellStyle name="Normal 2 2 10 20 8" xfId="8766" xr:uid="{00000000-0005-0000-0000-00003E220000}"/>
    <cellStyle name="Normal 2 2 10 20 9" xfId="8767" xr:uid="{00000000-0005-0000-0000-00003F220000}"/>
    <cellStyle name="Normal 2 2 10 21" xfId="8768" xr:uid="{00000000-0005-0000-0000-000040220000}"/>
    <cellStyle name="Normal 2 2 10 21 10" xfId="8769" xr:uid="{00000000-0005-0000-0000-000041220000}"/>
    <cellStyle name="Normal 2 2 10 21 11" xfId="8770" xr:uid="{00000000-0005-0000-0000-000042220000}"/>
    <cellStyle name="Normal 2 2 10 21 12" xfId="8771" xr:uid="{00000000-0005-0000-0000-000043220000}"/>
    <cellStyle name="Normal 2 2 10 21 13" xfId="8772" xr:uid="{00000000-0005-0000-0000-000044220000}"/>
    <cellStyle name="Normal 2 2 10 21 14" xfId="8773" xr:uid="{00000000-0005-0000-0000-000045220000}"/>
    <cellStyle name="Normal 2 2 10 21 2" xfId="8774" xr:uid="{00000000-0005-0000-0000-000046220000}"/>
    <cellStyle name="Normal 2 2 10 21 2 10" xfId="8775" xr:uid="{00000000-0005-0000-0000-000047220000}"/>
    <cellStyle name="Normal 2 2 10 21 2 2" xfId="8776" xr:uid="{00000000-0005-0000-0000-000048220000}"/>
    <cellStyle name="Normal 2 2 10 21 2 3" xfId="8777" xr:uid="{00000000-0005-0000-0000-000049220000}"/>
    <cellStyle name="Normal 2 2 10 21 2 4" xfId="8778" xr:uid="{00000000-0005-0000-0000-00004A220000}"/>
    <cellStyle name="Normal 2 2 10 21 2 5" xfId="8779" xr:uid="{00000000-0005-0000-0000-00004B220000}"/>
    <cellStyle name="Normal 2 2 10 21 2 6" xfId="8780" xr:uid="{00000000-0005-0000-0000-00004C220000}"/>
    <cellStyle name="Normal 2 2 10 21 2 7" xfId="8781" xr:uid="{00000000-0005-0000-0000-00004D220000}"/>
    <cellStyle name="Normal 2 2 10 21 2 8" xfId="8782" xr:uid="{00000000-0005-0000-0000-00004E220000}"/>
    <cellStyle name="Normal 2 2 10 21 2 9" xfId="8783" xr:uid="{00000000-0005-0000-0000-00004F220000}"/>
    <cellStyle name="Normal 2 2 10 21 3" xfId="8784" xr:uid="{00000000-0005-0000-0000-000050220000}"/>
    <cellStyle name="Normal 2 2 10 21 3 10" xfId="8785" xr:uid="{00000000-0005-0000-0000-000051220000}"/>
    <cellStyle name="Normal 2 2 10 21 3 2" xfId="8786" xr:uid="{00000000-0005-0000-0000-000052220000}"/>
    <cellStyle name="Normal 2 2 10 21 3 3" xfId="8787" xr:uid="{00000000-0005-0000-0000-000053220000}"/>
    <cellStyle name="Normal 2 2 10 21 3 4" xfId="8788" xr:uid="{00000000-0005-0000-0000-000054220000}"/>
    <cellStyle name="Normal 2 2 10 21 3 5" xfId="8789" xr:uid="{00000000-0005-0000-0000-000055220000}"/>
    <cellStyle name="Normal 2 2 10 21 3 6" xfId="8790" xr:uid="{00000000-0005-0000-0000-000056220000}"/>
    <cellStyle name="Normal 2 2 10 21 3 7" xfId="8791" xr:uid="{00000000-0005-0000-0000-000057220000}"/>
    <cellStyle name="Normal 2 2 10 21 3 8" xfId="8792" xr:uid="{00000000-0005-0000-0000-000058220000}"/>
    <cellStyle name="Normal 2 2 10 21 3 9" xfId="8793" xr:uid="{00000000-0005-0000-0000-000059220000}"/>
    <cellStyle name="Normal 2 2 10 21 4" xfId="8794" xr:uid="{00000000-0005-0000-0000-00005A220000}"/>
    <cellStyle name="Normal 2 2 10 21 4 10" xfId="8795" xr:uid="{00000000-0005-0000-0000-00005B220000}"/>
    <cellStyle name="Normal 2 2 10 21 4 2" xfId="8796" xr:uid="{00000000-0005-0000-0000-00005C220000}"/>
    <cellStyle name="Normal 2 2 10 21 4 3" xfId="8797" xr:uid="{00000000-0005-0000-0000-00005D220000}"/>
    <cellStyle name="Normal 2 2 10 21 4 4" xfId="8798" xr:uid="{00000000-0005-0000-0000-00005E220000}"/>
    <cellStyle name="Normal 2 2 10 21 4 5" xfId="8799" xr:uid="{00000000-0005-0000-0000-00005F220000}"/>
    <cellStyle name="Normal 2 2 10 21 4 6" xfId="8800" xr:uid="{00000000-0005-0000-0000-000060220000}"/>
    <cellStyle name="Normal 2 2 10 21 4 7" xfId="8801" xr:uid="{00000000-0005-0000-0000-000061220000}"/>
    <cellStyle name="Normal 2 2 10 21 4 8" xfId="8802" xr:uid="{00000000-0005-0000-0000-000062220000}"/>
    <cellStyle name="Normal 2 2 10 21 4 9" xfId="8803" xr:uid="{00000000-0005-0000-0000-000063220000}"/>
    <cellStyle name="Normal 2 2 10 21 5" xfId="8804" xr:uid="{00000000-0005-0000-0000-000064220000}"/>
    <cellStyle name="Normal 2 2 10 21 5 10" xfId="8805" xr:uid="{00000000-0005-0000-0000-000065220000}"/>
    <cellStyle name="Normal 2 2 10 21 5 2" xfId="8806" xr:uid="{00000000-0005-0000-0000-000066220000}"/>
    <cellStyle name="Normal 2 2 10 21 5 3" xfId="8807" xr:uid="{00000000-0005-0000-0000-000067220000}"/>
    <cellStyle name="Normal 2 2 10 21 5 4" xfId="8808" xr:uid="{00000000-0005-0000-0000-000068220000}"/>
    <cellStyle name="Normal 2 2 10 21 5 5" xfId="8809" xr:uid="{00000000-0005-0000-0000-000069220000}"/>
    <cellStyle name="Normal 2 2 10 21 5 6" xfId="8810" xr:uid="{00000000-0005-0000-0000-00006A220000}"/>
    <cellStyle name="Normal 2 2 10 21 5 7" xfId="8811" xr:uid="{00000000-0005-0000-0000-00006B220000}"/>
    <cellStyle name="Normal 2 2 10 21 5 8" xfId="8812" xr:uid="{00000000-0005-0000-0000-00006C220000}"/>
    <cellStyle name="Normal 2 2 10 21 5 9" xfId="8813" xr:uid="{00000000-0005-0000-0000-00006D220000}"/>
    <cellStyle name="Normal 2 2 10 21 6" xfId="8814" xr:uid="{00000000-0005-0000-0000-00006E220000}"/>
    <cellStyle name="Normal 2 2 10 21 7" xfId="8815" xr:uid="{00000000-0005-0000-0000-00006F220000}"/>
    <cellStyle name="Normal 2 2 10 21 8" xfId="8816" xr:uid="{00000000-0005-0000-0000-000070220000}"/>
    <cellStyle name="Normal 2 2 10 21 9" xfId="8817" xr:uid="{00000000-0005-0000-0000-000071220000}"/>
    <cellStyle name="Normal 2 2 10 22" xfId="8818" xr:uid="{00000000-0005-0000-0000-000072220000}"/>
    <cellStyle name="Normal 2 2 10 22 10" xfId="8819" xr:uid="{00000000-0005-0000-0000-000073220000}"/>
    <cellStyle name="Normal 2 2 10 22 11" xfId="8820" xr:uid="{00000000-0005-0000-0000-000074220000}"/>
    <cellStyle name="Normal 2 2 10 22 12" xfId="8821" xr:uid="{00000000-0005-0000-0000-000075220000}"/>
    <cellStyle name="Normal 2 2 10 22 13" xfId="8822" xr:uid="{00000000-0005-0000-0000-000076220000}"/>
    <cellStyle name="Normal 2 2 10 22 14" xfId="8823" xr:uid="{00000000-0005-0000-0000-000077220000}"/>
    <cellStyle name="Normal 2 2 10 22 2" xfId="8824" xr:uid="{00000000-0005-0000-0000-000078220000}"/>
    <cellStyle name="Normal 2 2 10 22 2 10" xfId="8825" xr:uid="{00000000-0005-0000-0000-000079220000}"/>
    <cellStyle name="Normal 2 2 10 22 2 2" xfId="8826" xr:uid="{00000000-0005-0000-0000-00007A220000}"/>
    <cellStyle name="Normal 2 2 10 22 2 3" xfId="8827" xr:uid="{00000000-0005-0000-0000-00007B220000}"/>
    <cellStyle name="Normal 2 2 10 22 2 4" xfId="8828" xr:uid="{00000000-0005-0000-0000-00007C220000}"/>
    <cellStyle name="Normal 2 2 10 22 2 5" xfId="8829" xr:uid="{00000000-0005-0000-0000-00007D220000}"/>
    <cellStyle name="Normal 2 2 10 22 2 6" xfId="8830" xr:uid="{00000000-0005-0000-0000-00007E220000}"/>
    <cellStyle name="Normal 2 2 10 22 2 7" xfId="8831" xr:uid="{00000000-0005-0000-0000-00007F220000}"/>
    <cellStyle name="Normal 2 2 10 22 2 8" xfId="8832" xr:uid="{00000000-0005-0000-0000-000080220000}"/>
    <cellStyle name="Normal 2 2 10 22 2 9" xfId="8833" xr:uid="{00000000-0005-0000-0000-000081220000}"/>
    <cellStyle name="Normal 2 2 10 22 3" xfId="8834" xr:uid="{00000000-0005-0000-0000-000082220000}"/>
    <cellStyle name="Normal 2 2 10 22 3 10" xfId="8835" xr:uid="{00000000-0005-0000-0000-000083220000}"/>
    <cellStyle name="Normal 2 2 10 22 3 2" xfId="8836" xr:uid="{00000000-0005-0000-0000-000084220000}"/>
    <cellStyle name="Normal 2 2 10 22 3 3" xfId="8837" xr:uid="{00000000-0005-0000-0000-000085220000}"/>
    <cellStyle name="Normal 2 2 10 22 3 4" xfId="8838" xr:uid="{00000000-0005-0000-0000-000086220000}"/>
    <cellStyle name="Normal 2 2 10 22 3 5" xfId="8839" xr:uid="{00000000-0005-0000-0000-000087220000}"/>
    <cellStyle name="Normal 2 2 10 22 3 6" xfId="8840" xr:uid="{00000000-0005-0000-0000-000088220000}"/>
    <cellStyle name="Normal 2 2 10 22 3 7" xfId="8841" xr:uid="{00000000-0005-0000-0000-000089220000}"/>
    <cellStyle name="Normal 2 2 10 22 3 8" xfId="8842" xr:uid="{00000000-0005-0000-0000-00008A220000}"/>
    <cellStyle name="Normal 2 2 10 22 3 9" xfId="8843" xr:uid="{00000000-0005-0000-0000-00008B220000}"/>
    <cellStyle name="Normal 2 2 10 22 4" xfId="8844" xr:uid="{00000000-0005-0000-0000-00008C220000}"/>
    <cellStyle name="Normal 2 2 10 22 4 10" xfId="8845" xr:uid="{00000000-0005-0000-0000-00008D220000}"/>
    <cellStyle name="Normal 2 2 10 22 4 2" xfId="8846" xr:uid="{00000000-0005-0000-0000-00008E220000}"/>
    <cellStyle name="Normal 2 2 10 22 4 3" xfId="8847" xr:uid="{00000000-0005-0000-0000-00008F220000}"/>
    <cellStyle name="Normal 2 2 10 22 4 4" xfId="8848" xr:uid="{00000000-0005-0000-0000-000090220000}"/>
    <cellStyle name="Normal 2 2 10 22 4 5" xfId="8849" xr:uid="{00000000-0005-0000-0000-000091220000}"/>
    <cellStyle name="Normal 2 2 10 22 4 6" xfId="8850" xr:uid="{00000000-0005-0000-0000-000092220000}"/>
    <cellStyle name="Normal 2 2 10 22 4 7" xfId="8851" xr:uid="{00000000-0005-0000-0000-000093220000}"/>
    <cellStyle name="Normal 2 2 10 22 4 8" xfId="8852" xr:uid="{00000000-0005-0000-0000-000094220000}"/>
    <cellStyle name="Normal 2 2 10 22 4 9" xfId="8853" xr:uid="{00000000-0005-0000-0000-000095220000}"/>
    <cellStyle name="Normal 2 2 10 22 5" xfId="8854" xr:uid="{00000000-0005-0000-0000-000096220000}"/>
    <cellStyle name="Normal 2 2 10 22 5 10" xfId="8855" xr:uid="{00000000-0005-0000-0000-000097220000}"/>
    <cellStyle name="Normal 2 2 10 22 5 2" xfId="8856" xr:uid="{00000000-0005-0000-0000-000098220000}"/>
    <cellStyle name="Normal 2 2 10 22 5 3" xfId="8857" xr:uid="{00000000-0005-0000-0000-000099220000}"/>
    <cellStyle name="Normal 2 2 10 22 5 4" xfId="8858" xr:uid="{00000000-0005-0000-0000-00009A220000}"/>
    <cellStyle name="Normal 2 2 10 22 5 5" xfId="8859" xr:uid="{00000000-0005-0000-0000-00009B220000}"/>
    <cellStyle name="Normal 2 2 10 22 5 6" xfId="8860" xr:uid="{00000000-0005-0000-0000-00009C220000}"/>
    <cellStyle name="Normal 2 2 10 22 5 7" xfId="8861" xr:uid="{00000000-0005-0000-0000-00009D220000}"/>
    <cellStyle name="Normal 2 2 10 22 5 8" xfId="8862" xr:uid="{00000000-0005-0000-0000-00009E220000}"/>
    <cellStyle name="Normal 2 2 10 22 5 9" xfId="8863" xr:uid="{00000000-0005-0000-0000-00009F220000}"/>
    <cellStyle name="Normal 2 2 10 22 6" xfId="8864" xr:uid="{00000000-0005-0000-0000-0000A0220000}"/>
    <cellStyle name="Normal 2 2 10 22 7" xfId="8865" xr:uid="{00000000-0005-0000-0000-0000A1220000}"/>
    <cellStyle name="Normal 2 2 10 22 8" xfId="8866" xr:uid="{00000000-0005-0000-0000-0000A2220000}"/>
    <cellStyle name="Normal 2 2 10 22 9" xfId="8867" xr:uid="{00000000-0005-0000-0000-0000A3220000}"/>
    <cellStyle name="Normal 2 2 10 23" xfId="8868" xr:uid="{00000000-0005-0000-0000-0000A4220000}"/>
    <cellStyle name="Normal 2 2 10 23 10" xfId="8869" xr:uid="{00000000-0005-0000-0000-0000A5220000}"/>
    <cellStyle name="Normal 2 2 10 23 11" xfId="8870" xr:uid="{00000000-0005-0000-0000-0000A6220000}"/>
    <cellStyle name="Normal 2 2 10 23 12" xfId="8871" xr:uid="{00000000-0005-0000-0000-0000A7220000}"/>
    <cellStyle name="Normal 2 2 10 23 13" xfId="8872" xr:uid="{00000000-0005-0000-0000-0000A8220000}"/>
    <cellStyle name="Normal 2 2 10 23 14" xfId="8873" xr:uid="{00000000-0005-0000-0000-0000A9220000}"/>
    <cellStyle name="Normal 2 2 10 23 2" xfId="8874" xr:uid="{00000000-0005-0000-0000-0000AA220000}"/>
    <cellStyle name="Normal 2 2 10 23 2 10" xfId="8875" xr:uid="{00000000-0005-0000-0000-0000AB220000}"/>
    <cellStyle name="Normal 2 2 10 23 2 2" xfId="8876" xr:uid="{00000000-0005-0000-0000-0000AC220000}"/>
    <cellStyle name="Normal 2 2 10 23 2 3" xfId="8877" xr:uid="{00000000-0005-0000-0000-0000AD220000}"/>
    <cellStyle name="Normal 2 2 10 23 2 4" xfId="8878" xr:uid="{00000000-0005-0000-0000-0000AE220000}"/>
    <cellStyle name="Normal 2 2 10 23 2 5" xfId="8879" xr:uid="{00000000-0005-0000-0000-0000AF220000}"/>
    <cellStyle name="Normal 2 2 10 23 2 6" xfId="8880" xr:uid="{00000000-0005-0000-0000-0000B0220000}"/>
    <cellStyle name="Normal 2 2 10 23 2 7" xfId="8881" xr:uid="{00000000-0005-0000-0000-0000B1220000}"/>
    <cellStyle name="Normal 2 2 10 23 2 8" xfId="8882" xr:uid="{00000000-0005-0000-0000-0000B2220000}"/>
    <cellStyle name="Normal 2 2 10 23 2 9" xfId="8883" xr:uid="{00000000-0005-0000-0000-0000B3220000}"/>
    <cellStyle name="Normal 2 2 10 23 3" xfId="8884" xr:uid="{00000000-0005-0000-0000-0000B4220000}"/>
    <cellStyle name="Normal 2 2 10 23 3 10" xfId="8885" xr:uid="{00000000-0005-0000-0000-0000B5220000}"/>
    <cellStyle name="Normal 2 2 10 23 3 2" xfId="8886" xr:uid="{00000000-0005-0000-0000-0000B6220000}"/>
    <cellStyle name="Normal 2 2 10 23 3 3" xfId="8887" xr:uid="{00000000-0005-0000-0000-0000B7220000}"/>
    <cellStyle name="Normal 2 2 10 23 3 4" xfId="8888" xr:uid="{00000000-0005-0000-0000-0000B8220000}"/>
    <cellStyle name="Normal 2 2 10 23 3 5" xfId="8889" xr:uid="{00000000-0005-0000-0000-0000B9220000}"/>
    <cellStyle name="Normal 2 2 10 23 3 6" xfId="8890" xr:uid="{00000000-0005-0000-0000-0000BA220000}"/>
    <cellStyle name="Normal 2 2 10 23 3 7" xfId="8891" xr:uid="{00000000-0005-0000-0000-0000BB220000}"/>
    <cellStyle name="Normal 2 2 10 23 3 8" xfId="8892" xr:uid="{00000000-0005-0000-0000-0000BC220000}"/>
    <cellStyle name="Normal 2 2 10 23 3 9" xfId="8893" xr:uid="{00000000-0005-0000-0000-0000BD220000}"/>
    <cellStyle name="Normal 2 2 10 23 4" xfId="8894" xr:uid="{00000000-0005-0000-0000-0000BE220000}"/>
    <cellStyle name="Normal 2 2 10 23 4 10" xfId="8895" xr:uid="{00000000-0005-0000-0000-0000BF220000}"/>
    <cellStyle name="Normal 2 2 10 23 4 2" xfId="8896" xr:uid="{00000000-0005-0000-0000-0000C0220000}"/>
    <cellStyle name="Normal 2 2 10 23 4 3" xfId="8897" xr:uid="{00000000-0005-0000-0000-0000C1220000}"/>
    <cellStyle name="Normal 2 2 10 23 4 4" xfId="8898" xr:uid="{00000000-0005-0000-0000-0000C2220000}"/>
    <cellStyle name="Normal 2 2 10 23 4 5" xfId="8899" xr:uid="{00000000-0005-0000-0000-0000C3220000}"/>
    <cellStyle name="Normal 2 2 10 23 4 6" xfId="8900" xr:uid="{00000000-0005-0000-0000-0000C4220000}"/>
    <cellStyle name="Normal 2 2 10 23 4 7" xfId="8901" xr:uid="{00000000-0005-0000-0000-0000C5220000}"/>
    <cellStyle name="Normal 2 2 10 23 4 8" xfId="8902" xr:uid="{00000000-0005-0000-0000-0000C6220000}"/>
    <cellStyle name="Normal 2 2 10 23 4 9" xfId="8903" xr:uid="{00000000-0005-0000-0000-0000C7220000}"/>
    <cellStyle name="Normal 2 2 10 23 5" xfId="8904" xr:uid="{00000000-0005-0000-0000-0000C8220000}"/>
    <cellStyle name="Normal 2 2 10 23 5 10" xfId="8905" xr:uid="{00000000-0005-0000-0000-0000C9220000}"/>
    <cellStyle name="Normal 2 2 10 23 5 2" xfId="8906" xr:uid="{00000000-0005-0000-0000-0000CA220000}"/>
    <cellStyle name="Normal 2 2 10 23 5 3" xfId="8907" xr:uid="{00000000-0005-0000-0000-0000CB220000}"/>
    <cellStyle name="Normal 2 2 10 23 5 4" xfId="8908" xr:uid="{00000000-0005-0000-0000-0000CC220000}"/>
    <cellStyle name="Normal 2 2 10 23 5 5" xfId="8909" xr:uid="{00000000-0005-0000-0000-0000CD220000}"/>
    <cellStyle name="Normal 2 2 10 23 5 6" xfId="8910" xr:uid="{00000000-0005-0000-0000-0000CE220000}"/>
    <cellStyle name="Normal 2 2 10 23 5 7" xfId="8911" xr:uid="{00000000-0005-0000-0000-0000CF220000}"/>
    <cellStyle name="Normal 2 2 10 23 5 8" xfId="8912" xr:uid="{00000000-0005-0000-0000-0000D0220000}"/>
    <cellStyle name="Normal 2 2 10 23 5 9" xfId="8913" xr:uid="{00000000-0005-0000-0000-0000D1220000}"/>
    <cellStyle name="Normal 2 2 10 23 6" xfId="8914" xr:uid="{00000000-0005-0000-0000-0000D2220000}"/>
    <cellStyle name="Normal 2 2 10 23 7" xfId="8915" xr:uid="{00000000-0005-0000-0000-0000D3220000}"/>
    <cellStyle name="Normal 2 2 10 23 8" xfId="8916" xr:uid="{00000000-0005-0000-0000-0000D4220000}"/>
    <cellStyle name="Normal 2 2 10 23 9" xfId="8917" xr:uid="{00000000-0005-0000-0000-0000D5220000}"/>
    <cellStyle name="Normal 2 2 10 24" xfId="8918" xr:uid="{00000000-0005-0000-0000-0000D6220000}"/>
    <cellStyle name="Normal 2 2 10 24 10" xfId="8919" xr:uid="{00000000-0005-0000-0000-0000D7220000}"/>
    <cellStyle name="Normal 2 2 10 24 11" xfId="8920" xr:uid="{00000000-0005-0000-0000-0000D8220000}"/>
    <cellStyle name="Normal 2 2 10 24 12" xfId="8921" xr:uid="{00000000-0005-0000-0000-0000D9220000}"/>
    <cellStyle name="Normal 2 2 10 24 13" xfId="8922" xr:uid="{00000000-0005-0000-0000-0000DA220000}"/>
    <cellStyle name="Normal 2 2 10 24 14" xfId="8923" xr:uid="{00000000-0005-0000-0000-0000DB220000}"/>
    <cellStyle name="Normal 2 2 10 24 2" xfId="8924" xr:uid="{00000000-0005-0000-0000-0000DC220000}"/>
    <cellStyle name="Normal 2 2 10 24 2 10" xfId="8925" xr:uid="{00000000-0005-0000-0000-0000DD220000}"/>
    <cellStyle name="Normal 2 2 10 24 2 2" xfId="8926" xr:uid="{00000000-0005-0000-0000-0000DE220000}"/>
    <cellStyle name="Normal 2 2 10 24 2 3" xfId="8927" xr:uid="{00000000-0005-0000-0000-0000DF220000}"/>
    <cellStyle name="Normal 2 2 10 24 2 4" xfId="8928" xr:uid="{00000000-0005-0000-0000-0000E0220000}"/>
    <cellStyle name="Normal 2 2 10 24 2 5" xfId="8929" xr:uid="{00000000-0005-0000-0000-0000E1220000}"/>
    <cellStyle name="Normal 2 2 10 24 2 6" xfId="8930" xr:uid="{00000000-0005-0000-0000-0000E2220000}"/>
    <cellStyle name="Normal 2 2 10 24 2 7" xfId="8931" xr:uid="{00000000-0005-0000-0000-0000E3220000}"/>
    <cellStyle name="Normal 2 2 10 24 2 8" xfId="8932" xr:uid="{00000000-0005-0000-0000-0000E4220000}"/>
    <cellStyle name="Normal 2 2 10 24 2 9" xfId="8933" xr:uid="{00000000-0005-0000-0000-0000E5220000}"/>
    <cellStyle name="Normal 2 2 10 24 3" xfId="8934" xr:uid="{00000000-0005-0000-0000-0000E6220000}"/>
    <cellStyle name="Normal 2 2 10 24 3 10" xfId="8935" xr:uid="{00000000-0005-0000-0000-0000E7220000}"/>
    <cellStyle name="Normal 2 2 10 24 3 2" xfId="8936" xr:uid="{00000000-0005-0000-0000-0000E8220000}"/>
    <cellStyle name="Normal 2 2 10 24 3 3" xfId="8937" xr:uid="{00000000-0005-0000-0000-0000E9220000}"/>
    <cellStyle name="Normal 2 2 10 24 3 4" xfId="8938" xr:uid="{00000000-0005-0000-0000-0000EA220000}"/>
    <cellStyle name="Normal 2 2 10 24 3 5" xfId="8939" xr:uid="{00000000-0005-0000-0000-0000EB220000}"/>
    <cellStyle name="Normal 2 2 10 24 3 6" xfId="8940" xr:uid="{00000000-0005-0000-0000-0000EC220000}"/>
    <cellStyle name="Normal 2 2 10 24 3 7" xfId="8941" xr:uid="{00000000-0005-0000-0000-0000ED220000}"/>
    <cellStyle name="Normal 2 2 10 24 3 8" xfId="8942" xr:uid="{00000000-0005-0000-0000-0000EE220000}"/>
    <cellStyle name="Normal 2 2 10 24 3 9" xfId="8943" xr:uid="{00000000-0005-0000-0000-0000EF220000}"/>
    <cellStyle name="Normal 2 2 10 24 4" xfId="8944" xr:uid="{00000000-0005-0000-0000-0000F0220000}"/>
    <cellStyle name="Normal 2 2 10 24 4 10" xfId="8945" xr:uid="{00000000-0005-0000-0000-0000F1220000}"/>
    <cellStyle name="Normal 2 2 10 24 4 2" xfId="8946" xr:uid="{00000000-0005-0000-0000-0000F2220000}"/>
    <cellStyle name="Normal 2 2 10 24 4 3" xfId="8947" xr:uid="{00000000-0005-0000-0000-0000F3220000}"/>
    <cellStyle name="Normal 2 2 10 24 4 4" xfId="8948" xr:uid="{00000000-0005-0000-0000-0000F4220000}"/>
    <cellStyle name="Normal 2 2 10 24 4 5" xfId="8949" xr:uid="{00000000-0005-0000-0000-0000F5220000}"/>
    <cellStyle name="Normal 2 2 10 24 4 6" xfId="8950" xr:uid="{00000000-0005-0000-0000-0000F6220000}"/>
    <cellStyle name="Normal 2 2 10 24 4 7" xfId="8951" xr:uid="{00000000-0005-0000-0000-0000F7220000}"/>
    <cellStyle name="Normal 2 2 10 24 4 8" xfId="8952" xr:uid="{00000000-0005-0000-0000-0000F8220000}"/>
    <cellStyle name="Normal 2 2 10 24 4 9" xfId="8953" xr:uid="{00000000-0005-0000-0000-0000F9220000}"/>
    <cellStyle name="Normal 2 2 10 24 5" xfId="8954" xr:uid="{00000000-0005-0000-0000-0000FA220000}"/>
    <cellStyle name="Normal 2 2 10 24 5 10" xfId="8955" xr:uid="{00000000-0005-0000-0000-0000FB220000}"/>
    <cellStyle name="Normal 2 2 10 24 5 2" xfId="8956" xr:uid="{00000000-0005-0000-0000-0000FC220000}"/>
    <cellStyle name="Normal 2 2 10 24 5 3" xfId="8957" xr:uid="{00000000-0005-0000-0000-0000FD220000}"/>
    <cellStyle name="Normal 2 2 10 24 5 4" xfId="8958" xr:uid="{00000000-0005-0000-0000-0000FE220000}"/>
    <cellStyle name="Normal 2 2 10 24 5 5" xfId="8959" xr:uid="{00000000-0005-0000-0000-0000FF220000}"/>
    <cellStyle name="Normal 2 2 10 24 5 6" xfId="8960" xr:uid="{00000000-0005-0000-0000-000000230000}"/>
    <cellStyle name="Normal 2 2 10 24 5 7" xfId="8961" xr:uid="{00000000-0005-0000-0000-000001230000}"/>
    <cellStyle name="Normal 2 2 10 24 5 8" xfId="8962" xr:uid="{00000000-0005-0000-0000-000002230000}"/>
    <cellStyle name="Normal 2 2 10 24 5 9" xfId="8963" xr:uid="{00000000-0005-0000-0000-000003230000}"/>
    <cellStyle name="Normal 2 2 10 24 6" xfId="8964" xr:uid="{00000000-0005-0000-0000-000004230000}"/>
    <cellStyle name="Normal 2 2 10 24 7" xfId="8965" xr:uid="{00000000-0005-0000-0000-000005230000}"/>
    <cellStyle name="Normal 2 2 10 24 8" xfId="8966" xr:uid="{00000000-0005-0000-0000-000006230000}"/>
    <cellStyle name="Normal 2 2 10 24 9" xfId="8967" xr:uid="{00000000-0005-0000-0000-000007230000}"/>
    <cellStyle name="Normal 2 2 10 25" xfId="8968" xr:uid="{00000000-0005-0000-0000-000008230000}"/>
    <cellStyle name="Normal 2 2 10 25 10" xfId="8969" xr:uid="{00000000-0005-0000-0000-000009230000}"/>
    <cellStyle name="Normal 2 2 10 25 11" xfId="8970" xr:uid="{00000000-0005-0000-0000-00000A230000}"/>
    <cellStyle name="Normal 2 2 10 25 12" xfId="8971" xr:uid="{00000000-0005-0000-0000-00000B230000}"/>
    <cellStyle name="Normal 2 2 10 25 13" xfId="8972" xr:uid="{00000000-0005-0000-0000-00000C230000}"/>
    <cellStyle name="Normal 2 2 10 25 14" xfId="8973" xr:uid="{00000000-0005-0000-0000-00000D230000}"/>
    <cellStyle name="Normal 2 2 10 25 2" xfId="8974" xr:uid="{00000000-0005-0000-0000-00000E230000}"/>
    <cellStyle name="Normal 2 2 10 25 2 10" xfId="8975" xr:uid="{00000000-0005-0000-0000-00000F230000}"/>
    <cellStyle name="Normal 2 2 10 25 2 2" xfId="8976" xr:uid="{00000000-0005-0000-0000-000010230000}"/>
    <cellStyle name="Normal 2 2 10 25 2 3" xfId="8977" xr:uid="{00000000-0005-0000-0000-000011230000}"/>
    <cellStyle name="Normal 2 2 10 25 2 4" xfId="8978" xr:uid="{00000000-0005-0000-0000-000012230000}"/>
    <cellStyle name="Normal 2 2 10 25 2 5" xfId="8979" xr:uid="{00000000-0005-0000-0000-000013230000}"/>
    <cellStyle name="Normal 2 2 10 25 2 6" xfId="8980" xr:uid="{00000000-0005-0000-0000-000014230000}"/>
    <cellStyle name="Normal 2 2 10 25 2 7" xfId="8981" xr:uid="{00000000-0005-0000-0000-000015230000}"/>
    <cellStyle name="Normal 2 2 10 25 2 8" xfId="8982" xr:uid="{00000000-0005-0000-0000-000016230000}"/>
    <cellStyle name="Normal 2 2 10 25 2 9" xfId="8983" xr:uid="{00000000-0005-0000-0000-000017230000}"/>
    <cellStyle name="Normal 2 2 10 25 3" xfId="8984" xr:uid="{00000000-0005-0000-0000-000018230000}"/>
    <cellStyle name="Normal 2 2 10 25 3 10" xfId="8985" xr:uid="{00000000-0005-0000-0000-000019230000}"/>
    <cellStyle name="Normal 2 2 10 25 3 2" xfId="8986" xr:uid="{00000000-0005-0000-0000-00001A230000}"/>
    <cellStyle name="Normal 2 2 10 25 3 3" xfId="8987" xr:uid="{00000000-0005-0000-0000-00001B230000}"/>
    <cellStyle name="Normal 2 2 10 25 3 4" xfId="8988" xr:uid="{00000000-0005-0000-0000-00001C230000}"/>
    <cellStyle name="Normal 2 2 10 25 3 5" xfId="8989" xr:uid="{00000000-0005-0000-0000-00001D230000}"/>
    <cellStyle name="Normal 2 2 10 25 3 6" xfId="8990" xr:uid="{00000000-0005-0000-0000-00001E230000}"/>
    <cellStyle name="Normal 2 2 10 25 3 7" xfId="8991" xr:uid="{00000000-0005-0000-0000-00001F230000}"/>
    <cellStyle name="Normal 2 2 10 25 3 8" xfId="8992" xr:uid="{00000000-0005-0000-0000-000020230000}"/>
    <cellStyle name="Normal 2 2 10 25 3 9" xfId="8993" xr:uid="{00000000-0005-0000-0000-000021230000}"/>
    <cellStyle name="Normal 2 2 10 25 4" xfId="8994" xr:uid="{00000000-0005-0000-0000-000022230000}"/>
    <cellStyle name="Normal 2 2 10 25 4 10" xfId="8995" xr:uid="{00000000-0005-0000-0000-000023230000}"/>
    <cellStyle name="Normal 2 2 10 25 4 2" xfId="8996" xr:uid="{00000000-0005-0000-0000-000024230000}"/>
    <cellStyle name="Normal 2 2 10 25 4 3" xfId="8997" xr:uid="{00000000-0005-0000-0000-000025230000}"/>
    <cellStyle name="Normal 2 2 10 25 4 4" xfId="8998" xr:uid="{00000000-0005-0000-0000-000026230000}"/>
    <cellStyle name="Normal 2 2 10 25 4 5" xfId="8999" xr:uid="{00000000-0005-0000-0000-000027230000}"/>
    <cellStyle name="Normal 2 2 10 25 4 6" xfId="9000" xr:uid="{00000000-0005-0000-0000-000028230000}"/>
    <cellStyle name="Normal 2 2 10 25 4 7" xfId="9001" xr:uid="{00000000-0005-0000-0000-000029230000}"/>
    <cellStyle name="Normal 2 2 10 25 4 8" xfId="9002" xr:uid="{00000000-0005-0000-0000-00002A230000}"/>
    <cellStyle name="Normal 2 2 10 25 4 9" xfId="9003" xr:uid="{00000000-0005-0000-0000-00002B230000}"/>
    <cellStyle name="Normal 2 2 10 25 5" xfId="9004" xr:uid="{00000000-0005-0000-0000-00002C230000}"/>
    <cellStyle name="Normal 2 2 10 25 5 10" xfId="9005" xr:uid="{00000000-0005-0000-0000-00002D230000}"/>
    <cellStyle name="Normal 2 2 10 25 5 2" xfId="9006" xr:uid="{00000000-0005-0000-0000-00002E230000}"/>
    <cellStyle name="Normal 2 2 10 25 5 3" xfId="9007" xr:uid="{00000000-0005-0000-0000-00002F230000}"/>
    <cellStyle name="Normal 2 2 10 25 5 4" xfId="9008" xr:uid="{00000000-0005-0000-0000-000030230000}"/>
    <cellStyle name="Normal 2 2 10 25 5 5" xfId="9009" xr:uid="{00000000-0005-0000-0000-000031230000}"/>
    <cellStyle name="Normal 2 2 10 25 5 6" xfId="9010" xr:uid="{00000000-0005-0000-0000-000032230000}"/>
    <cellStyle name="Normal 2 2 10 25 5 7" xfId="9011" xr:uid="{00000000-0005-0000-0000-000033230000}"/>
    <cellStyle name="Normal 2 2 10 25 5 8" xfId="9012" xr:uid="{00000000-0005-0000-0000-000034230000}"/>
    <cellStyle name="Normal 2 2 10 25 5 9" xfId="9013" xr:uid="{00000000-0005-0000-0000-000035230000}"/>
    <cellStyle name="Normal 2 2 10 25 6" xfId="9014" xr:uid="{00000000-0005-0000-0000-000036230000}"/>
    <cellStyle name="Normal 2 2 10 25 7" xfId="9015" xr:uid="{00000000-0005-0000-0000-000037230000}"/>
    <cellStyle name="Normal 2 2 10 25 8" xfId="9016" xr:uid="{00000000-0005-0000-0000-000038230000}"/>
    <cellStyle name="Normal 2 2 10 25 9" xfId="9017" xr:uid="{00000000-0005-0000-0000-000039230000}"/>
    <cellStyle name="Normal 2 2 10 26" xfId="9018" xr:uid="{00000000-0005-0000-0000-00003A230000}"/>
    <cellStyle name="Normal 2 2 10 26 10" xfId="9019" xr:uid="{00000000-0005-0000-0000-00003B230000}"/>
    <cellStyle name="Normal 2 2 10 26 11" xfId="9020" xr:uid="{00000000-0005-0000-0000-00003C230000}"/>
    <cellStyle name="Normal 2 2 10 26 12" xfId="9021" xr:uid="{00000000-0005-0000-0000-00003D230000}"/>
    <cellStyle name="Normal 2 2 10 26 13" xfId="9022" xr:uid="{00000000-0005-0000-0000-00003E230000}"/>
    <cellStyle name="Normal 2 2 10 26 14" xfId="9023" xr:uid="{00000000-0005-0000-0000-00003F230000}"/>
    <cellStyle name="Normal 2 2 10 26 2" xfId="9024" xr:uid="{00000000-0005-0000-0000-000040230000}"/>
    <cellStyle name="Normal 2 2 10 26 2 10" xfId="9025" xr:uid="{00000000-0005-0000-0000-000041230000}"/>
    <cellStyle name="Normal 2 2 10 26 2 2" xfId="9026" xr:uid="{00000000-0005-0000-0000-000042230000}"/>
    <cellStyle name="Normal 2 2 10 26 2 3" xfId="9027" xr:uid="{00000000-0005-0000-0000-000043230000}"/>
    <cellStyle name="Normal 2 2 10 26 2 4" xfId="9028" xr:uid="{00000000-0005-0000-0000-000044230000}"/>
    <cellStyle name="Normal 2 2 10 26 2 5" xfId="9029" xr:uid="{00000000-0005-0000-0000-000045230000}"/>
    <cellStyle name="Normal 2 2 10 26 2 6" xfId="9030" xr:uid="{00000000-0005-0000-0000-000046230000}"/>
    <cellStyle name="Normal 2 2 10 26 2 7" xfId="9031" xr:uid="{00000000-0005-0000-0000-000047230000}"/>
    <cellStyle name="Normal 2 2 10 26 2 8" xfId="9032" xr:uid="{00000000-0005-0000-0000-000048230000}"/>
    <cellStyle name="Normal 2 2 10 26 2 9" xfId="9033" xr:uid="{00000000-0005-0000-0000-000049230000}"/>
    <cellStyle name="Normal 2 2 10 26 3" xfId="9034" xr:uid="{00000000-0005-0000-0000-00004A230000}"/>
    <cellStyle name="Normal 2 2 10 26 3 10" xfId="9035" xr:uid="{00000000-0005-0000-0000-00004B230000}"/>
    <cellStyle name="Normal 2 2 10 26 3 2" xfId="9036" xr:uid="{00000000-0005-0000-0000-00004C230000}"/>
    <cellStyle name="Normal 2 2 10 26 3 3" xfId="9037" xr:uid="{00000000-0005-0000-0000-00004D230000}"/>
    <cellStyle name="Normal 2 2 10 26 3 4" xfId="9038" xr:uid="{00000000-0005-0000-0000-00004E230000}"/>
    <cellStyle name="Normal 2 2 10 26 3 5" xfId="9039" xr:uid="{00000000-0005-0000-0000-00004F230000}"/>
    <cellStyle name="Normal 2 2 10 26 3 6" xfId="9040" xr:uid="{00000000-0005-0000-0000-000050230000}"/>
    <cellStyle name="Normal 2 2 10 26 3 7" xfId="9041" xr:uid="{00000000-0005-0000-0000-000051230000}"/>
    <cellStyle name="Normal 2 2 10 26 3 8" xfId="9042" xr:uid="{00000000-0005-0000-0000-000052230000}"/>
    <cellStyle name="Normal 2 2 10 26 3 9" xfId="9043" xr:uid="{00000000-0005-0000-0000-000053230000}"/>
    <cellStyle name="Normal 2 2 10 26 4" xfId="9044" xr:uid="{00000000-0005-0000-0000-000054230000}"/>
    <cellStyle name="Normal 2 2 10 26 4 10" xfId="9045" xr:uid="{00000000-0005-0000-0000-000055230000}"/>
    <cellStyle name="Normal 2 2 10 26 4 2" xfId="9046" xr:uid="{00000000-0005-0000-0000-000056230000}"/>
    <cellStyle name="Normal 2 2 10 26 4 3" xfId="9047" xr:uid="{00000000-0005-0000-0000-000057230000}"/>
    <cellStyle name="Normal 2 2 10 26 4 4" xfId="9048" xr:uid="{00000000-0005-0000-0000-000058230000}"/>
    <cellStyle name="Normal 2 2 10 26 4 5" xfId="9049" xr:uid="{00000000-0005-0000-0000-000059230000}"/>
    <cellStyle name="Normal 2 2 10 26 4 6" xfId="9050" xr:uid="{00000000-0005-0000-0000-00005A230000}"/>
    <cellStyle name="Normal 2 2 10 26 4 7" xfId="9051" xr:uid="{00000000-0005-0000-0000-00005B230000}"/>
    <cellStyle name="Normal 2 2 10 26 4 8" xfId="9052" xr:uid="{00000000-0005-0000-0000-00005C230000}"/>
    <cellStyle name="Normal 2 2 10 26 4 9" xfId="9053" xr:uid="{00000000-0005-0000-0000-00005D230000}"/>
    <cellStyle name="Normal 2 2 10 26 5" xfId="9054" xr:uid="{00000000-0005-0000-0000-00005E230000}"/>
    <cellStyle name="Normal 2 2 10 26 5 10" xfId="9055" xr:uid="{00000000-0005-0000-0000-00005F230000}"/>
    <cellStyle name="Normal 2 2 10 26 5 2" xfId="9056" xr:uid="{00000000-0005-0000-0000-000060230000}"/>
    <cellStyle name="Normal 2 2 10 26 5 3" xfId="9057" xr:uid="{00000000-0005-0000-0000-000061230000}"/>
    <cellStyle name="Normal 2 2 10 26 5 4" xfId="9058" xr:uid="{00000000-0005-0000-0000-000062230000}"/>
    <cellStyle name="Normal 2 2 10 26 5 5" xfId="9059" xr:uid="{00000000-0005-0000-0000-000063230000}"/>
    <cellStyle name="Normal 2 2 10 26 5 6" xfId="9060" xr:uid="{00000000-0005-0000-0000-000064230000}"/>
    <cellStyle name="Normal 2 2 10 26 5 7" xfId="9061" xr:uid="{00000000-0005-0000-0000-000065230000}"/>
    <cellStyle name="Normal 2 2 10 26 5 8" xfId="9062" xr:uid="{00000000-0005-0000-0000-000066230000}"/>
    <cellStyle name="Normal 2 2 10 26 5 9" xfId="9063" xr:uid="{00000000-0005-0000-0000-000067230000}"/>
    <cellStyle name="Normal 2 2 10 26 6" xfId="9064" xr:uid="{00000000-0005-0000-0000-000068230000}"/>
    <cellStyle name="Normal 2 2 10 26 7" xfId="9065" xr:uid="{00000000-0005-0000-0000-000069230000}"/>
    <cellStyle name="Normal 2 2 10 26 8" xfId="9066" xr:uid="{00000000-0005-0000-0000-00006A230000}"/>
    <cellStyle name="Normal 2 2 10 26 9" xfId="9067" xr:uid="{00000000-0005-0000-0000-00006B230000}"/>
    <cellStyle name="Normal 2 2 10 27" xfId="9068" xr:uid="{00000000-0005-0000-0000-00006C230000}"/>
    <cellStyle name="Normal 2 2 10 27 10" xfId="9069" xr:uid="{00000000-0005-0000-0000-00006D230000}"/>
    <cellStyle name="Normal 2 2 10 27 11" xfId="9070" xr:uid="{00000000-0005-0000-0000-00006E230000}"/>
    <cellStyle name="Normal 2 2 10 27 12" xfId="9071" xr:uid="{00000000-0005-0000-0000-00006F230000}"/>
    <cellStyle name="Normal 2 2 10 27 13" xfId="9072" xr:uid="{00000000-0005-0000-0000-000070230000}"/>
    <cellStyle name="Normal 2 2 10 27 14" xfId="9073" xr:uid="{00000000-0005-0000-0000-000071230000}"/>
    <cellStyle name="Normal 2 2 10 27 2" xfId="9074" xr:uid="{00000000-0005-0000-0000-000072230000}"/>
    <cellStyle name="Normal 2 2 10 27 2 10" xfId="9075" xr:uid="{00000000-0005-0000-0000-000073230000}"/>
    <cellStyle name="Normal 2 2 10 27 2 2" xfId="9076" xr:uid="{00000000-0005-0000-0000-000074230000}"/>
    <cellStyle name="Normal 2 2 10 27 2 3" xfId="9077" xr:uid="{00000000-0005-0000-0000-000075230000}"/>
    <cellStyle name="Normal 2 2 10 27 2 4" xfId="9078" xr:uid="{00000000-0005-0000-0000-000076230000}"/>
    <cellStyle name="Normal 2 2 10 27 2 5" xfId="9079" xr:uid="{00000000-0005-0000-0000-000077230000}"/>
    <cellStyle name="Normal 2 2 10 27 2 6" xfId="9080" xr:uid="{00000000-0005-0000-0000-000078230000}"/>
    <cellStyle name="Normal 2 2 10 27 2 7" xfId="9081" xr:uid="{00000000-0005-0000-0000-000079230000}"/>
    <cellStyle name="Normal 2 2 10 27 2 8" xfId="9082" xr:uid="{00000000-0005-0000-0000-00007A230000}"/>
    <cellStyle name="Normal 2 2 10 27 2 9" xfId="9083" xr:uid="{00000000-0005-0000-0000-00007B230000}"/>
    <cellStyle name="Normal 2 2 10 27 3" xfId="9084" xr:uid="{00000000-0005-0000-0000-00007C230000}"/>
    <cellStyle name="Normal 2 2 10 27 3 10" xfId="9085" xr:uid="{00000000-0005-0000-0000-00007D230000}"/>
    <cellStyle name="Normal 2 2 10 27 3 2" xfId="9086" xr:uid="{00000000-0005-0000-0000-00007E230000}"/>
    <cellStyle name="Normal 2 2 10 27 3 3" xfId="9087" xr:uid="{00000000-0005-0000-0000-00007F230000}"/>
    <cellStyle name="Normal 2 2 10 27 3 4" xfId="9088" xr:uid="{00000000-0005-0000-0000-000080230000}"/>
    <cellStyle name="Normal 2 2 10 27 3 5" xfId="9089" xr:uid="{00000000-0005-0000-0000-000081230000}"/>
    <cellStyle name="Normal 2 2 10 27 3 6" xfId="9090" xr:uid="{00000000-0005-0000-0000-000082230000}"/>
    <cellStyle name="Normal 2 2 10 27 3 7" xfId="9091" xr:uid="{00000000-0005-0000-0000-000083230000}"/>
    <cellStyle name="Normal 2 2 10 27 3 8" xfId="9092" xr:uid="{00000000-0005-0000-0000-000084230000}"/>
    <cellStyle name="Normal 2 2 10 27 3 9" xfId="9093" xr:uid="{00000000-0005-0000-0000-000085230000}"/>
    <cellStyle name="Normal 2 2 10 27 4" xfId="9094" xr:uid="{00000000-0005-0000-0000-000086230000}"/>
    <cellStyle name="Normal 2 2 10 27 4 10" xfId="9095" xr:uid="{00000000-0005-0000-0000-000087230000}"/>
    <cellStyle name="Normal 2 2 10 27 4 2" xfId="9096" xr:uid="{00000000-0005-0000-0000-000088230000}"/>
    <cellStyle name="Normal 2 2 10 27 4 3" xfId="9097" xr:uid="{00000000-0005-0000-0000-000089230000}"/>
    <cellStyle name="Normal 2 2 10 27 4 4" xfId="9098" xr:uid="{00000000-0005-0000-0000-00008A230000}"/>
    <cellStyle name="Normal 2 2 10 27 4 5" xfId="9099" xr:uid="{00000000-0005-0000-0000-00008B230000}"/>
    <cellStyle name="Normal 2 2 10 27 4 6" xfId="9100" xr:uid="{00000000-0005-0000-0000-00008C230000}"/>
    <cellStyle name="Normal 2 2 10 27 4 7" xfId="9101" xr:uid="{00000000-0005-0000-0000-00008D230000}"/>
    <cellStyle name="Normal 2 2 10 27 4 8" xfId="9102" xr:uid="{00000000-0005-0000-0000-00008E230000}"/>
    <cellStyle name="Normal 2 2 10 27 4 9" xfId="9103" xr:uid="{00000000-0005-0000-0000-00008F230000}"/>
    <cellStyle name="Normal 2 2 10 27 5" xfId="9104" xr:uid="{00000000-0005-0000-0000-000090230000}"/>
    <cellStyle name="Normal 2 2 10 27 5 10" xfId="9105" xr:uid="{00000000-0005-0000-0000-000091230000}"/>
    <cellStyle name="Normal 2 2 10 27 5 2" xfId="9106" xr:uid="{00000000-0005-0000-0000-000092230000}"/>
    <cellStyle name="Normal 2 2 10 27 5 3" xfId="9107" xr:uid="{00000000-0005-0000-0000-000093230000}"/>
    <cellStyle name="Normal 2 2 10 27 5 4" xfId="9108" xr:uid="{00000000-0005-0000-0000-000094230000}"/>
    <cellStyle name="Normal 2 2 10 27 5 5" xfId="9109" xr:uid="{00000000-0005-0000-0000-000095230000}"/>
    <cellStyle name="Normal 2 2 10 27 5 6" xfId="9110" xr:uid="{00000000-0005-0000-0000-000096230000}"/>
    <cellStyle name="Normal 2 2 10 27 5 7" xfId="9111" xr:uid="{00000000-0005-0000-0000-000097230000}"/>
    <cellStyle name="Normal 2 2 10 27 5 8" xfId="9112" xr:uid="{00000000-0005-0000-0000-000098230000}"/>
    <cellStyle name="Normal 2 2 10 27 5 9" xfId="9113" xr:uid="{00000000-0005-0000-0000-000099230000}"/>
    <cellStyle name="Normal 2 2 10 27 6" xfId="9114" xr:uid="{00000000-0005-0000-0000-00009A230000}"/>
    <cellStyle name="Normal 2 2 10 27 7" xfId="9115" xr:uid="{00000000-0005-0000-0000-00009B230000}"/>
    <cellStyle name="Normal 2 2 10 27 8" xfId="9116" xr:uid="{00000000-0005-0000-0000-00009C230000}"/>
    <cellStyle name="Normal 2 2 10 27 9" xfId="9117" xr:uid="{00000000-0005-0000-0000-00009D230000}"/>
    <cellStyle name="Normal 2 2 10 28" xfId="9118" xr:uid="{00000000-0005-0000-0000-00009E230000}"/>
    <cellStyle name="Normal 2 2 10 28 10" xfId="9119" xr:uid="{00000000-0005-0000-0000-00009F230000}"/>
    <cellStyle name="Normal 2 2 10 28 11" xfId="9120" xr:uid="{00000000-0005-0000-0000-0000A0230000}"/>
    <cellStyle name="Normal 2 2 10 28 12" xfId="9121" xr:uid="{00000000-0005-0000-0000-0000A1230000}"/>
    <cellStyle name="Normal 2 2 10 28 13" xfId="9122" xr:uid="{00000000-0005-0000-0000-0000A2230000}"/>
    <cellStyle name="Normal 2 2 10 28 14" xfId="9123" xr:uid="{00000000-0005-0000-0000-0000A3230000}"/>
    <cellStyle name="Normal 2 2 10 28 2" xfId="9124" xr:uid="{00000000-0005-0000-0000-0000A4230000}"/>
    <cellStyle name="Normal 2 2 10 28 2 10" xfId="9125" xr:uid="{00000000-0005-0000-0000-0000A5230000}"/>
    <cellStyle name="Normal 2 2 10 28 2 2" xfId="9126" xr:uid="{00000000-0005-0000-0000-0000A6230000}"/>
    <cellStyle name="Normal 2 2 10 28 2 3" xfId="9127" xr:uid="{00000000-0005-0000-0000-0000A7230000}"/>
    <cellStyle name="Normal 2 2 10 28 2 4" xfId="9128" xr:uid="{00000000-0005-0000-0000-0000A8230000}"/>
    <cellStyle name="Normal 2 2 10 28 2 5" xfId="9129" xr:uid="{00000000-0005-0000-0000-0000A9230000}"/>
    <cellStyle name="Normal 2 2 10 28 2 6" xfId="9130" xr:uid="{00000000-0005-0000-0000-0000AA230000}"/>
    <cellStyle name="Normal 2 2 10 28 2 7" xfId="9131" xr:uid="{00000000-0005-0000-0000-0000AB230000}"/>
    <cellStyle name="Normal 2 2 10 28 2 8" xfId="9132" xr:uid="{00000000-0005-0000-0000-0000AC230000}"/>
    <cellStyle name="Normal 2 2 10 28 2 9" xfId="9133" xr:uid="{00000000-0005-0000-0000-0000AD230000}"/>
    <cellStyle name="Normal 2 2 10 28 3" xfId="9134" xr:uid="{00000000-0005-0000-0000-0000AE230000}"/>
    <cellStyle name="Normal 2 2 10 28 3 10" xfId="9135" xr:uid="{00000000-0005-0000-0000-0000AF230000}"/>
    <cellStyle name="Normal 2 2 10 28 3 2" xfId="9136" xr:uid="{00000000-0005-0000-0000-0000B0230000}"/>
    <cellStyle name="Normal 2 2 10 28 3 3" xfId="9137" xr:uid="{00000000-0005-0000-0000-0000B1230000}"/>
    <cellStyle name="Normal 2 2 10 28 3 4" xfId="9138" xr:uid="{00000000-0005-0000-0000-0000B2230000}"/>
    <cellStyle name="Normal 2 2 10 28 3 5" xfId="9139" xr:uid="{00000000-0005-0000-0000-0000B3230000}"/>
    <cellStyle name="Normal 2 2 10 28 3 6" xfId="9140" xr:uid="{00000000-0005-0000-0000-0000B4230000}"/>
    <cellStyle name="Normal 2 2 10 28 3 7" xfId="9141" xr:uid="{00000000-0005-0000-0000-0000B5230000}"/>
    <cellStyle name="Normal 2 2 10 28 3 8" xfId="9142" xr:uid="{00000000-0005-0000-0000-0000B6230000}"/>
    <cellStyle name="Normal 2 2 10 28 3 9" xfId="9143" xr:uid="{00000000-0005-0000-0000-0000B7230000}"/>
    <cellStyle name="Normal 2 2 10 28 4" xfId="9144" xr:uid="{00000000-0005-0000-0000-0000B8230000}"/>
    <cellStyle name="Normal 2 2 10 28 4 10" xfId="9145" xr:uid="{00000000-0005-0000-0000-0000B9230000}"/>
    <cellStyle name="Normal 2 2 10 28 4 2" xfId="9146" xr:uid="{00000000-0005-0000-0000-0000BA230000}"/>
    <cellStyle name="Normal 2 2 10 28 4 3" xfId="9147" xr:uid="{00000000-0005-0000-0000-0000BB230000}"/>
    <cellStyle name="Normal 2 2 10 28 4 4" xfId="9148" xr:uid="{00000000-0005-0000-0000-0000BC230000}"/>
    <cellStyle name="Normal 2 2 10 28 4 5" xfId="9149" xr:uid="{00000000-0005-0000-0000-0000BD230000}"/>
    <cellStyle name="Normal 2 2 10 28 4 6" xfId="9150" xr:uid="{00000000-0005-0000-0000-0000BE230000}"/>
    <cellStyle name="Normal 2 2 10 28 4 7" xfId="9151" xr:uid="{00000000-0005-0000-0000-0000BF230000}"/>
    <cellStyle name="Normal 2 2 10 28 4 8" xfId="9152" xr:uid="{00000000-0005-0000-0000-0000C0230000}"/>
    <cellStyle name="Normal 2 2 10 28 4 9" xfId="9153" xr:uid="{00000000-0005-0000-0000-0000C1230000}"/>
    <cellStyle name="Normal 2 2 10 28 5" xfId="9154" xr:uid="{00000000-0005-0000-0000-0000C2230000}"/>
    <cellStyle name="Normal 2 2 10 28 5 10" xfId="9155" xr:uid="{00000000-0005-0000-0000-0000C3230000}"/>
    <cellStyle name="Normal 2 2 10 28 5 2" xfId="9156" xr:uid="{00000000-0005-0000-0000-0000C4230000}"/>
    <cellStyle name="Normal 2 2 10 28 5 3" xfId="9157" xr:uid="{00000000-0005-0000-0000-0000C5230000}"/>
    <cellStyle name="Normal 2 2 10 28 5 4" xfId="9158" xr:uid="{00000000-0005-0000-0000-0000C6230000}"/>
    <cellStyle name="Normal 2 2 10 28 5 5" xfId="9159" xr:uid="{00000000-0005-0000-0000-0000C7230000}"/>
    <cellStyle name="Normal 2 2 10 28 5 6" xfId="9160" xr:uid="{00000000-0005-0000-0000-0000C8230000}"/>
    <cellStyle name="Normal 2 2 10 28 5 7" xfId="9161" xr:uid="{00000000-0005-0000-0000-0000C9230000}"/>
    <cellStyle name="Normal 2 2 10 28 5 8" xfId="9162" xr:uid="{00000000-0005-0000-0000-0000CA230000}"/>
    <cellStyle name="Normal 2 2 10 28 5 9" xfId="9163" xr:uid="{00000000-0005-0000-0000-0000CB230000}"/>
    <cellStyle name="Normal 2 2 10 28 6" xfId="9164" xr:uid="{00000000-0005-0000-0000-0000CC230000}"/>
    <cellStyle name="Normal 2 2 10 28 7" xfId="9165" xr:uid="{00000000-0005-0000-0000-0000CD230000}"/>
    <cellStyle name="Normal 2 2 10 28 8" xfId="9166" xr:uid="{00000000-0005-0000-0000-0000CE230000}"/>
    <cellStyle name="Normal 2 2 10 28 9" xfId="9167" xr:uid="{00000000-0005-0000-0000-0000CF230000}"/>
    <cellStyle name="Normal 2 2 10 29" xfId="9168" xr:uid="{00000000-0005-0000-0000-0000D0230000}"/>
    <cellStyle name="Normal 2 2 10 29 10" xfId="9169" xr:uid="{00000000-0005-0000-0000-0000D1230000}"/>
    <cellStyle name="Normal 2 2 10 29 11" xfId="9170" xr:uid="{00000000-0005-0000-0000-0000D2230000}"/>
    <cellStyle name="Normal 2 2 10 29 12" xfId="9171" xr:uid="{00000000-0005-0000-0000-0000D3230000}"/>
    <cellStyle name="Normal 2 2 10 29 13" xfId="9172" xr:uid="{00000000-0005-0000-0000-0000D4230000}"/>
    <cellStyle name="Normal 2 2 10 29 14" xfId="9173" xr:uid="{00000000-0005-0000-0000-0000D5230000}"/>
    <cellStyle name="Normal 2 2 10 29 2" xfId="9174" xr:uid="{00000000-0005-0000-0000-0000D6230000}"/>
    <cellStyle name="Normal 2 2 10 29 2 10" xfId="9175" xr:uid="{00000000-0005-0000-0000-0000D7230000}"/>
    <cellStyle name="Normal 2 2 10 29 2 2" xfId="9176" xr:uid="{00000000-0005-0000-0000-0000D8230000}"/>
    <cellStyle name="Normal 2 2 10 29 2 3" xfId="9177" xr:uid="{00000000-0005-0000-0000-0000D9230000}"/>
    <cellStyle name="Normal 2 2 10 29 2 4" xfId="9178" xr:uid="{00000000-0005-0000-0000-0000DA230000}"/>
    <cellStyle name="Normal 2 2 10 29 2 5" xfId="9179" xr:uid="{00000000-0005-0000-0000-0000DB230000}"/>
    <cellStyle name="Normal 2 2 10 29 2 6" xfId="9180" xr:uid="{00000000-0005-0000-0000-0000DC230000}"/>
    <cellStyle name="Normal 2 2 10 29 2 7" xfId="9181" xr:uid="{00000000-0005-0000-0000-0000DD230000}"/>
    <cellStyle name="Normal 2 2 10 29 2 8" xfId="9182" xr:uid="{00000000-0005-0000-0000-0000DE230000}"/>
    <cellStyle name="Normal 2 2 10 29 2 9" xfId="9183" xr:uid="{00000000-0005-0000-0000-0000DF230000}"/>
    <cellStyle name="Normal 2 2 10 29 3" xfId="9184" xr:uid="{00000000-0005-0000-0000-0000E0230000}"/>
    <cellStyle name="Normal 2 2 10 29 3 10" xfId="9185" xr:uid="{00000000-0005-0000-0000-0000E1230000}"/>
    <cellStyle name="Normal 2 2 10 29 3 2" xfId="9186" xr:uid="{00000000-0005-0000-0000-0000E2230000}"/>
    <cellStyle name="Normal 2 2 10 29 3 3" xfId="9187" xr:uid="{00000000-0005-0000-0000-0000E3230000}"/>
    <cellStyle name="Normal 2 2 10 29 3 4" xfId="9188" xr:uid="{00000000-0005-0000-0000-0000E4230000}"/>
    <cellStyle name="Normal 2 2 10 29 3 5" xfId="9189" xr:uid="{00000000-0005-0000-0000-0000E5230000}"/>
    <cellStyle name="Normal 2 2 10 29 3 6" xfId="9190" xr:uid="{00000000-0005-0000-0000-0000E6230000}"/>
    <cellStyle name="Normal 2 2 10 29 3 7" xfId="9191" xr:uid="{00000000-0005-0000-0000-0000E7230000}"/>
    <cellStyle name="Normal 2 2 10 29 3 8" xfId="9192" xr:uid="{00000000-0005-0000-0000-0000E8230000}"/>
    <cellStyle name="Normal 2 2 10 29 3 9" xfId="9193" xr:uid="{00000000-0005-0000-0000-0000E9230000}"/>
    <cellStyle name="Normal 2 2 10 29 4" xfId="9194" xr:uid="{00000000-0005-0000-0000-0000EA230000}"/>
    <cellStyle name="Normal 2 2 10 29 4 10" xfId="9195" xr:uid="{00000000-0005-0000-0000-0000EB230000}"/>
    <cellStyle name="Normal 2 2 10 29 4 2" xfId="9196" xr:uid="{00000000-0005-0000-0000-0000EC230000}"/>
    <cellStyle name="Normal 2 2 10 29 4 3" xfId="9197" xr:uid="{00000000-0005-0000-0000-0000ED230000}"/>
    <cellStyle name="Normal 2 2 10 29 4 4" xfId="9198" xr:uid="{00000000-0005-0000-0000-0000EE230000}"/>
    <cellStyle name="Normal 2 2 10 29 4 5" xfId="9199" xr:uid="{00000000-0005-0000-0000-0000EF230000}"/>
    <cellStyle name="Normal 2 2 10 29 4 6" xfId="9200" xr:uid="{00000000-0005-0000-0000-0000F0230000}"/>
    <cellStyle name="Normal 2 2 10 29 4 7" xfId="9201" xr:uid="{00000000-0005-0000-0000-0000F1230000}"/>
    <cellStyle name="Normal 2 2 10 29 4 8" xfId="9202" xr:uid="{00000000-0005-0000-0000-0000F2230000}"/>
    <cellStyle name="Normal 2 2 10 29 4 9" xfId="9203" xr:uid="{00000000-0005-0000-0000-0000F3230000}"/>
    <cellStyle name="Normal 2 2 10 29 5" xfId="9204" xr:uid="{00000000-0005-0000-0000-0000F4230000}"/>
    <cellStyle name="Normal 2 2 10 29 5 10" xfId="9205" xr:uid="{00000000-0005-0000-0000-0000F5230000}"/>
    <cellStyle name="Normal 2 2 10 29 5 2" xfId="9206" xr:uid="{00000000-0005-0000-0000-0000F6230000}"/>
    <cellStyle name="Normal 2 2 10 29 5 3" xfId="9207" xr:uid="{00000000-0005-0000-0000-0000F7230000}"/>
    <cellStyle name="Normal 2 2 10 29 5 4" xfId="9208" xr:uid="{00000000-0005-0000-0000-0000F8230000}"/>
    <cellStyle name="Normal 2 2 10 29 5 5" xfId="9209" xr:uid="{00000000-0005-0000-0000-0000F9230000}"/>
    <cellStyle name="Normal 2 2 10 29 5 6" xfId="9210" xr:uid="{00000000-0005-0000-0000-0000FA230000}"/>
    <cellStyle name="Normal 2 2 10 29 5 7" xfId="9211" xr:uid="{00000000-0005-0000-0000-0000FB230000}"/>
    <cellStyle name="Normal 2 2 10 29 5 8" xfId="9212" xr:uid="{00000000-0005-0000-0000-0000FC230000}"/>
    <cellStyle name="Normal 2 2 10 29 5 9" xfId="9213" xr:uid="{00000000-0005-0000-0000-0000FD230000}"/>
    <cellStyle name="Normal 2 2 10 29 6" xfId="9214" xr:uid="{00000000-0005-0000-0000-0000FE230000}"/>
    <cellStyle name="Normal 2 2 10 29 7" xfId="9215" xr:uid="{00000000-0005-0000-0000-0000FF230000}"/>
    <cellStyle name="Normal 2 2 10 29 8" xfId="9216" xr:uid="{00000000-0005-0000-0000-000000240000}"/>
    <cellStyle name="Normal 2 2 10 29 9" xfId="9217" xr:uid="{00000000-0005-0000-0000-000001240000}"/>
    <cellStyle name="Normal 2 2 10 3" xfId="9218" xr:uid="{00000000-0005-0000-0000-000002240000}"/>
    <cellStyle name="Normal 2 2 10 3 10" xfId="9219" xr:uid="{00000000-0005-0000-0000-000003240000}"/>
    <cellStyle name="Normal 2 2 10 3 11" xfId="9220" xr:uid="{00000000-0005-0000-0000-000004240000}"/>
    <cellStyle name="Normal 2 2 10 3 12" xfId="9221" xr:uid="{00000000-0005-0000-0000-000005240000}"/>
    <cellStyle name="Normal 2 2 10 3 13" xfId="9222" xr:uid="{00000000-0005-0000-0000-000006240000}"/>
    <cellStyle name="Normal 2 2 10 3 14" xfId="9223" xr:uid="{00000000-0005-0000-0000-000007240000}"/>
    <cellStyle name="Normal 2 2 10 3 2" xfId="9224" xr:uid="{00000000-0005-0000-0000-000008240000}"/>
    <cellStyle name="Normal 2 2 10 3 2 10" xfId="9225" xr:uid="{00000000-0005-0000-0000-000009240000}"/>
    <cellStyle name="Normal 2 2 10 3 2 2" xfId="9226" xr:uid="{00000000-0005-0000-0000-00000A240000}"/>
    <cellStyle name="Normal 2 2 10 3 2 3" xfId="9227" xr:uid="{00000000-0005-0000-0000-00000B240000}"/>
    <cellStyle name="Normal 2 2 10 3 2 4" xfId="9228" xr:uid="{00000000-0005-0000-0000-00000C240000}"/>
    <cellStyle name="Normal 2 2 10 3 2 5" xfId="9229" xr:uid="{00000000-0005-0000-0000-00000D240000}"/>
    <cellStyle name="Normal 2 2 10 3 2 6" xfId="9230" xr:uid="{00000000-0005-0000-0000-00000E240000}"/>
    <cellStyle name="Normal 2 2 10 3 2 7" xfId="9231" xr:uid="{00000000-0005-0000-0000-00000F240000}"/>
    <cellStyle name="Normal 2 2 10 3 2 8" xfId="9232" xr:uid="{00000000-0005-0000-0000-000010240000}"/>
    <cellStyle name="Normal 2 2 10 3 2 9" xfId="9233" xr:uid="{00000000-0005-0000-0000-000011240000}"/>
    <cellStyle name="Normal 2 2 10 3 3" xfId="9234" xr:uid="{00000000-0005-0000-0000-000012240000}"/>
    <cellStyle name="Normal 2 2 10 3 3 10" xfId="9235" xr:uid="{00000000-0005-0000-0000-000013240000}"/>
    <cellStyle name="Normal 2 2 10 3 3 2" xfId="9236" xr:uid="{00000000-0005-0000-0000-000014240000}"/>
    <cellStyle name="Normal 2 2 10 3 3 3" xfId="9237" xr:uid="{00000000-0005-0000-0000-000015240000}"/>
    <cellStyle name="Normal 2 2 10 3 3 4" xfId="9238" xr:uid="{00000000-0005-0000-0000-000016240000}"/>
    <cellStyle name="Normal 2 2 10 3 3 5" xfId="9239" xr:uid="{00000000-0005-0000-0000-000017240000}"/>
    <cellStyle name="Normal 2 2 10 3 3 6" xfId="9240" xr:uid="{00000000-0005-0000-0000-000018240000}"/>
    <cellStyle name="Normal 2 2 10 3 3 7" xfId="9241" xr:uid="{00000000-0005-0000-0000-000019240000}"/>
    <cellStyle name="Normal 2 2 10 3 3 8" xfId="9242" xr:uid="{00000000-0005-0000-0000-00001A240000}"/>
    <cellStyle name="Normal 2 2 10 3 3 9" xfId="9243" xr:uid="{00000000-0005-0000-0000-00001B240000}"/>
    <cellStyle name="Normal 2 2 10 3 4" xfId="9244" xr:uid="{00000000-0005-0000-0000-00001C240000}"/>
    <cellStyle name="Normal 2 2 10 3 4 10" xfId="9245" xr:uid="{00000000-0005-0000-0000-00001D240000}"/>
    <cellStyle name="Normal 2 2 10 3 4 2" xfId="9246" xr:uid="{00000000-0005-0000-0000-00001E240000}"/>
    <cellStyle name="Normal 2 2 10 3 4 3" xfId="9247" xr:uid="{00000000-0005-0000-0000-00001F240000}"/>
    <cellStyle name="Normal 2 2 10 3 4 4" xfId="9248" xr:uid="{00000000-0005-0000-0000-000020240000}"/>
    <cellStyle name="Normal 2 2 10 3 4 5" xfId="9249" xr:uid="{00000000-0005-0000-0000-000021240000}"/>
    <cellStyle name="Normal 2 2 10 3 4 6" xfId="9250" xr:uid="{00000000-0005-0000-0000-000022240000}"/>
    <cellStyle name="Normal 2 2 10 3 4 7" xfId="9251" xr:uid="{00000000-0005-0000-0000-000023240000}"/>
    <cellStyle name="Normal 2 2 10 3 4 8" xfId="9252" xr:uid="{00000000-0005-0000-0000-000024240000}"/>
    <cellStyle name="Normal 2 2 10 3 4 9" xfId="9253" xr:uid="{00000000-0005-0000-0000-000025240000}"/>
    <cellStyle name="Normal 2 2 10 3 5" xfId="9254" xr:uid="{00000000-0005-0000-0000-000026240000}"/>
    <cellStyle name="Normal 2 2 10 3 5 10" xfId="9255" xr:uid="{00000000-0005-0000-0000-000027240000}"/>
    <cellStyle name="Normal 2 2 10 3 5 2" xfId="9256" xr:uid="{00000000-0005-0000-0000-000028240000}"/>
    <cellStyle name="Normal 2 2 10 3 5 3" xfId="9257" xr:uid="{00000000-0005-0000-0000-000029240000}"/>
    <cellStyle name="Normal 2 2 10 3 5 4" xfId="9258" xr:uid="{00000000-0005-0000-0000-00002A240000}"/>
    <cellStyle name="Normal 2 2 10 3 5 5" xfId="9259" xr:uid="{00000000-0005-0000-0000-00002B240000}"/>
    <cellStyle name="Normal 2 2 10 3 5 6" xfId="9260" xr:uid="{00000000-0005-0000-0000-00002C240000}"/>
    <cellStyle name="Normal 2 2 10 3 5 7" xfId="9261" xr:uid="{00000000-0005-0000-0000-00002D240000}"/>
    <cellStyle name="Normal 2 2 10 3 5 8" xfId="9262" xr:uid="{00000000-0005-0000-0000-00002E240000}"/>
    <cellStyle name="Normal 2 2 10 3 5 9" xfId="9263" xr:uid="{00000000-0005-0000-0000-00002F240000}"/>
    <cellStyle name="Normal 2 2 10 3 6" xfId="9264" xr:uid="{00000000-0005-0000-0000-000030240000}"/>
    <cellStyle name="Normal 2 2 10 3 7" xfId="9265" xr:uid="{00000000-0005-0000-0000-000031240000}"/>
    <cellStyle name="Normal 2 2 10 3 8" xfId="9266" xr:uid="{00000000-0005-0000-0000-000032240000}"/>
    <cellStyle name="Normal 2 2 10 3 9" xfId="9267" xr:uid="{00000000-0005-0000-0000-000033240000}"/>
    <cellStyle name="Normal 2 2 10 30" xfId="9268" xr:uid="{00000000-0005-0000-0000-000034240000}"/>
    <cellStyle name="Normal 2 2 10 30 10" xfId="9269" xr:uid="{00000000-0005-0000-0000-000035240000}"/>
    <cellStyle name="Normal 2 2 10 30 11" xfId="9270" xr:uid="{00000000-0005-0000-0000-000036240000}"/>
    <cellStyle name="Normal 2 2 10 30 12" xfId="9271" xr:uid="{00000000-0005-0000-0000-000037240000}"/>
    <cellStyle name="Normal 2 2 10 30 13" xfId="9272" xr:uid="{00000000-0005-0000-0000-000038240000}"/>
    <cellStyle name="Normal 2 2 10 30 14" xfId="9273" xr:uid="{00000000-0005-0000-0000-000039240000}"/>
    <cellStyle name="Normal 2 2 10 30 2" xfId="9274" xr:uid="{00000000-0005-0000-0000-00003A240000}"/>
    <cellStyle name="Normal 2 2 10 30 2 10" xfId="9275" xr:uid="{00000000-0005-0000-0000-00003B240000}"/>
    <cellStyle name="Normal 2 2 10 30 2 2" xfId="9276" xr:uid="{00000000-0005-0000-0000-00003C240000}"/>
    <cellStyle name="Normal 2 2 10 30 2 3" xfId="9277" xr:uid="{00000000-0005-0000-0000-00003D240000}"/>
    <cellStyle name="Normal 2 2 10 30 2 4" xfId="9278" xr:uid="{00000000-0005-0000-0000-00003E240000}"/>
    <cellStyle name="Normal 2 2 10 30 2 5" xfId="9279" xr:uid="{00000000-0005-0000-0000-00003F240000}"/>
    <cellStyle name="Normal 2 2 10 30 2 6" xfId="9280" xr:uid="{00000000-0005-0000-0000-000040240000}"/>
    <cellStyle name="Normal 2 2 10 30 2 7" xfId="9281" xr:uid="{00000000-0005-0000-0000-000041240000}"/>
    <cellStyle name="Normal 2 2 10 30 2 8" xfId="9282" xr:uid="{00000000-0005-0000-0000-000042240000}"/>
    <cellStyle name="Normal 2 2 10 30 2 9" xfId="9283" xr:uid="{00000000-0005-0000-0000-000043240000}"/>
    <cellStyle name="Normal 2 2 10 30 3" xfId="9284" xr:uid="{00000000-0005-0000-0000-000044240000}"/>
    <cellStyle name="Normal 2 2 10 30 3 10" xfId="9285" xr:uid="{00000000-0005-0000-0000-000045240000}"/>
    <cellStyle name="Normal 2 2 10 30 3 2" xfId="9286" xr:uid="{00000000-0005-0000-0000-000046240000}"/>
    <cellStyle name="Normal 2 2 10 30 3 3" xfId="9287" xr:uid="{00000000-0005-0000-0000-000047240000}"/>
    <cellStyle name="Normal 2 2 10 30 3 4" xfId="9288" xr:uid="{00000000-0005-0000-0000-000048240000}"/>
    <cellStyle name="Normal 2 2 10 30 3 5" xfId="9289" xr:uid="{00000000-0005-0000-0000-000049240000}"/>
    <cellStyle name="Normal 2 2 10 30 3 6" xfId="9290" xr:uid="{00000000-0005-0000-0000-00004A240000}"/>
    <cellStyle name="Normal 2 2 10 30 3 7" xfId="9291" xr:uid="{00000000-0005-0000-0000-00004B240000}"/>
    <cellStyle name="Normal 2 2 10 30 3 8" xfId="9292" xr:uid="{00000000-0005-0000-0000-00004C240000}"/>
    <cellStyle name="Normal 2 2 10 30 3 9" xfId="9293" xr:uid="{00000000-0005-0000-0000-00004D240000}"/>
    <cellStyle name="Normal 2 2 10 30 4" xfId="9294" xr:uid="{00000000-0005-0000-0000-00004E240000}"/>
    <cellStyle name="Normal 2 2 10 30 4 10" xfId="9295" xr:uid="{00000000-0005-0000-0000-00004F240000}"/>
    <cellStyle name="Normal 2 2 10 30 4 2" xfId="9296" xr:uid="{00000000-0005-0000-0000-000050240000}"/>
    <cellStyle name="Normal 2 2 10 30 4 3" xfId="9297" xr:uid="{00000000-0005-0000-0000-000051240000}"/>
    <cellStyle name="Normal 2 2 10 30 4 4" xfId="9298" xr:uid="{00000000-0005-0000-0000-000052240000}"/>
    <cellStyle name="Normal 2 2 10 30 4 5" xfId="9299" xr:uid="{00000000-0005-0000-0000-000053240000}"/>
    <cellStyle name="Normal 2 2 10 30 4 6" xfId="9300" xr:uid="{00000000-0005-0000-0000-000054240000}"/>
    <cellStyle name="Normal 2 2 10 30 4 7" xfId="9301" xr:uid="{00000000-0005-0000-0000-000055240000}"/>
    <cellStyle name="Normal 2 2 10 30 4 8" xfId="9302" xr:uid="{00000000-0005-0000-0000-000056240000}"/>
    <cellStyle name="Normal 2 2 10 30 4 9" xfId="9303" xr:uid="{00000000-0005-0000-0000-000057240000}"/>
    <cellStyle name="Normal 2 2 10 30 5" xfId="9304" xr:uid="{00000000-0005-0000-0000-000058240000}"/>
    <cellStyle name="Normal 2 2 10 30 5 10" xfId="9305" xr:uid="{00000000-0005-0000-0000-000059240000}"/>
    <cellStyle name="Normal 2 2 10 30 5 2" xfId="9306" xr:uid="{00000000-0005-0000-0000-00005A240000}"/>
    <cellStyle name="Normal 2 2 10 30 5 3" xfId="9307" xr:uid="{00000000-0005-0000-0000-00005B240000}"/>
    <cellStyle name="Normal 2 2 10 30 5 4" xfId="9308" xr:uid="{00000000-0005-0000-0000-00005C240000}"/>
    <cellStyle name="Normal 2 2 10 30 5 5" xfId="9309" xr:uid="{00000000-0005-0000-0000-00005D240000}"/>
    <cellStyle name="Normal 2 2 10 30 5 6" xfId="9310" xr:uid="{00000000-0005-0000-0000-00005E240000}"/>
    <cellStyle name="Normal 2 2 10 30 5 7" xfId="9311" xr:uid="{00000000-0005-0000-0000-00005F240000}"/>
    <cellStyle name="Normal 2 2 10 30 5 8" xfId="9312" xr:uid="{00000000-0005-0000-0000-000060240000}"/>
    <cellStyle name="Normal 2 2 10 30 5 9" xfId="9313" xr:uid="{00000000-0005-0000-0000-000061240000}"/>
    <cellStyle name="Normal 2 2 10 30 6" xfId="9314" xr:uid="{00000000-0005-0000-0000-000062240000}"/>
    <cellStyle name="Normal 2 2 10 30 7" xfId="9315" xr:uid="{00000000-0005-0000-0000-000063240000}"/>
    <cellStyle name="Normal 2 2 10 30 8" xfId="9316" xr:uid="{00000000-0005-0000-0000-000064240000}"/>
    <cellStyle name="Normal 2 2 10 30 9" xfId="9317" xr:uid="{00000000-0005-0000-0000-000065240000}"/>
    <cellStyle name="Normal 2 2 10 31" xfId="9318" xr:uid="{00000000-0005-0000-0000-000066240000}"/>
    <cellStyle name="Normal 2 2 10 31 10" xfId="9319" xr:uid="{00000000-0005-0000-0000-000067240000}"/>
    <cellStyle name="Normal 2 2 10 31 11" xfId="9320" xr:uid="{00000000-0005-0000-0000-000068240000}"/>
    <cellStyle name="Normal 2 2 10 31 12" xfId="9321" xr:uid="{00000000-0005-0000-0000-000069240000}"/>
    <cellStyle name="Normal 2 2 10 31 13" xfId="9322" xr:uid="{00000000-0005-0000-0000-00006A240000}"/>
    <cellStyle name="Normal 2 2 10 31 14" xfId="9323" xr:uid="{00000000-0005-0000-0000-00006B240000}"/>
    <cellStyle name="Normal 2 2 10 31 2" xfId="9324" xr:uid="{00000000-0005-0000-0000-00006C240000}"/>
    <cellStyle name="Normal 2 2 10 31 2 10" xfId="9325" xr:uid="{00000000-0005-0000-0000-00006D240000}"/>
    <cellStyle name="Normal 2 2 10 31 2 2" xfId="9326" xr:uid="{00000000-0005-0000-0000-00006E240000}"/>
    <cellStyle name="Normal 2 2 10 31 2 3" xfId="9327" xr:uid="{00000000-0005-0000-0000-00006F240000}"/>
    <cellStyle name="Normal 2 2 10 31 2 4" xfId="9328" xr:uid="{00000000-0005-0000-0000-000070240000}"/>
    <cellStyle name="Normal 2 2 10 31 2 5" xfId="9329" xr:uid="{00000000-0005-0000-0000-000071240000}"/>
    <cellStyle name="Normal 2 2 10 31 2 6" xfId="9330" xr:uid="{00000000-0005-0000-0000-000072240000}"/>
    <cellStyle name="Normal 2 2 10 31 2 7" xfId="9331" xr:uid="{00000000-0005-0000-0000-000073240000}"/>
    <cellStyle name="Normal 2 2 10 31 2 8" xfId="9332" xr:uid="{00000000-0005-0000-0000-000074240000}"/>
    <cellStyle name="Normal 2 2 10 31 2 9" xfId="9333" xr:uid="{00000000-0005-0000-0000-000075240000}"/>
    <cellStyle name="Normal 2 2 10 31 3" xfId="9334" xr:uid="{00000000-0005-0000-0000-000076240000}"/>
    <cellStyle name="Normal 2 2 10 31 3 10" xfId="9335" xr:uid="{00000000-0005-0000-0000-000077240000}"/>
    <cellStyle name="Normal 2 2 10 31 3 2" xfId="9336" xr:uid="{00000000-0005-0000-0000-000078240000}"/>
    <cellStyle name="Normal 2 2 10 31 3 3" xfId="9337" xr:uid="{00000000-0005-0000-0000-000079240000}"/>
    <cellStyle name="Normal 2 2 10 31 3 4" xfId="9338" xr:uid="{00000000-0005-0000-0000-00007A240000}"/>
    <cellStyle name="Normal 2 2 10 31 3 5" xfId="9339" xr:uid="{00000000-0005-0000-0000-00007B240000}"/>
    <cellStyle name="Normal 2 2 10 31 3 6" xfId="9340" xr:uid="{00000000-0005-0000-0000-00007C240000}"/>
    <cellStyle name="Normal 2 2 10 31 3 7" xfId="9341" xr:uid="{00000000-0005-0000-0000-00007D240000}"/>
    <cellStyle name="Normal 2 2 10 31 3 8" xfId="9342" xr:uid="{00000000-0005-0000-0000-00007E240000}"/>
    <cellStyle name="Normal 2 2 10 31 3 9" xfId="9343" xr:uid="{00000000-0005-0000-0000-00007F240000}"/>
    <cellStyle name="Normal 2 2 10 31 4" xfId="9344" xr:uid="{00000000-0005-0000-0000-000080240000}"/>
    <cellStyle name="Normal 2 2 10 31 4 10" xfId="9345" xr:uid="{00000000-0005-0000-0000-000081240000}"/>
    <cellStyle name="Normal 2 2 10 31 4 2" xfId="9346" xr:uid="{00000000-0005-0000-0000-000082240000}"/>
    <cellStyle name="Normal 2 2 10 31 4 3" xfId="9347" xr:uid="{00000000-0005-0000-0000-000083240000}"/>
    <cellStyle name="Normal 2 2 10 31 4 4" xfId="9348" xr:uid="{00000000-0005-0000-0000-000084240000}"/>
    <cellStyle name="Normal 2 2 10 31 4 5" xfId="9349" xr:uid="{00000000-0005-0000-0000-000085240000}"/>
    <cellStyle name="Normal 2 2 10 31 4 6" xfId="9350" xr:uid="{00000000-0005-0000-0000-000086240000}"/>
    <cellStyle name="Normal 2 2 10 31 4 7" xfId="9351" xr:uid="{00000000-0005-0000-0000-000087240000}"/>
    <cellStyle name="Normal 2 2 10 31 4 8" xfId="9352" xr:uid="{00000000-0005-0000-0000-000088240000}"/>
    <cellStyle name="Normal 2 2 10 31 4 9" xfId="9353" xr:uid="{00000000-0005-0000-0000-000089240000}"/>
    <cellStyle name="Normal 2 2 10 31 5" xfId="9354" xr:uid="{00000000-0005-0000-0000-00008A240000}"/>
    <cellStyle name="Normal 2 2 10 31 5 10" xfId="9355" xr:uid="{00000000-0005-0000-0000-00008B240000}"/>
    <cellStyle name="Normal 2 2 10 31 5 2" xfId="9356" xr:uid="{00000000-0005-0000-0000-00008C240000}"/>
    <cellStyle name="Normal 2 2 10 31 5 3" xfId="9357" xr:uid="{00000000-0005-0000-0000-00008D240000}"/>
    <cellStyle name="Normal 2 2 10 31 5 4" xfId="9358" xr:uid="{00000000-0005-0000-0000-00008E240000}"/>
    <cellStyle name="Normal 2 2 10 31 5 5" xfId="9359" xr:uid="{00000000-0005-0000-0000-00008F240000}"/>
    <cellStyle name="Normal 2 2 10 31 5 6" xfId="9360" xr:uid="{00000000-0005-0000-0000-000090240000}"/>
    <cellStyle name="Normal 2 2 10 31 5 7" xfId="9361" xr:uid="{00000000-0005-0000-0000-000091240000}"/>
    <cellStyle name="Normal 2 2 10 31 5 8" xfId="9362" xr:uid="{00000000-0005-0000-0000-000092240000}"/>
    <cellStyle name="Normal 2 2 10 31 5 9" xfId="9363" xr:uid="{00000000-0005-0000-0000-000093240000}"/>
    <cellStyle name="Normal 2 2 10 31 6" xfId="9364" xr:uid="{00000000-0005-0000-0000-000094240000}"/>
    <cellStyle name="Normal 2 2 10 31 7" xfId="9365" xr:uid="{00000000-0005-0000-0000-000095240000}"/>
    <cellStyle name="Normal 2 2 10 31 8" xfId="9366" xr:uid="{00000000-0005-0000-0000-000096240000}"/>
    <cellStyle name="Normal 2 2 10 31 9" xfId="9367" xr:uid="{00000000-0005-0000-0000-000097240000}"/>
    <cellStyle name="Normal 2 2 10 32" xfId="9368" xr:uid="{00000000-0005-0000-0000-000098240000}"/>
    <cellStyle name="Normal 2 2 10 32 10" xfId="9369" xr:uid="{00000000-0005-0000-0000-000099240000}"/>
    <cellStyle name="Normal 2 2 10 32 11" xfId="9370" xr:uid="{00000000-0005-0000-0000-00009A240000}"/>
    <cellStyle name="Normal 2 2 10 32 12" xfId="9371" xr:uid="{00000000-0005-0000-0000-00009B240000}"/>
    <cellStyle name="Normal 2 2 10 32 13" xfId="9372" xr:uid="{00000000-0005-0000-0000-00009C240000}"/>
    <cellStyle name="Normal 2 2 10 32 14" xfId="9373" xr:uid="{00000000-0005-0000-0000-00009D240000}"/>
    <cellStyle name="Normal 2 2 10 32 2" xfId="9374" xr:uid="{00000000-0005-0000-0000-00009E240000}"/>
    <cellStyle name="Normal 2 2 10 32 2 10" xfId="9375" xr:uid="{00000000-0005-0000-0000-00009F240000}"/>
    <cellStyle name="Normal 2 2 10 32 2 2" xfId="9376" xr:uid="{00000000-0005-0000-0000-0000A0240000}"/>
    <cellStyle name="Normal 2 2 10 32 2 3" xfId="9377" xr:uid="{00000000-0005-0000-0000-0000A1240000}"/>
    <cellStyle name="Normal 2 2 10 32 2 4" xfId="9378" xr:uid="{00000000-0005-0000-0000-0000A2240000}"/>
    <cellStyle name="Normal 2 2 10 32 2 5" xfId="9379" xr:uid="{00000000-0005-0000-0000-0000A3240000}"/>
    <cellStyle name="Normal 2 2 10 32 2 6" xfId="9380" xr:uid="{00000000-0005-0000-0000-0000A4240000}"/>
    <cellStyle name="Normal 2 2 10 32 2 7" xfId="9381" xr:uid="{00000000-0005-0000-0000-0000A5240000}"/>
    <cellStyle name="Normal 2 2 10 32 2 8" xfId="9382" xr:uid="{00000000-0005-0000-0000-0000A6240000}"/>
    <cellStyle name="Normal 2 2 10 32 2 9" xfId="9383" xr:uid="{00000000-0005-0000-0000-0000A7240000}"/>
    <cellStyle name="Normal 2 2 10 32 3" xfId="9384" xr:uid="{00000000-0005-0000-0000-0000A8240000}"/>
    <cellStyle name="Normal 2 2 10 32 3 10" xfId="9385" xr:uid="{00000000-0005-0000-0000-0000A9240000}"/>
    <cellStyle name="Normal 2 2 10 32 3 2" xfId="9386" xr:uid="{00000000-0005-0000-0000-0000AA240000}"/>
    <cellStyle name="Normal 2 2 10 32 3 3" xfId="9387" xr:uid="{00000000-0005-0000-0000-0000AB240000}"/>
    <cellStyle name="Normal 2 2 10 32 3 4" xfId="9388" xr:uid="{00000000-0005-0000-0000-0000AC240000}"/>
    <cellStyle name="Normal 2 2 10 32 3 5" xfId="9389" xr:uid="{00000000-0005-0000-0000-0000AD240000}"/>
    <cellStyle name="Normal 2 2 10 32 3 6" xfId="9390" xr:uid="{00000000-0005-0000-0000-0000AE240000}"/>
    <cellStyle name="Normal 2 2 10 32 3 7" xfId="9391" xr:uid="{00000000-0005-0000-0000-0000AF240000}"/>
    <cellStyle name="Normal 2 2 10 32 3 8" xfId="9392" xr:uid="{00000000-0005-0000-0000-0000B0240000}"/>
    <cellStyle name="Normal 2 2 10 32 3 9" xfId="9393" xr:uid="{00000000-0005-0000-0000-0000B1240000}"/>
    <cellStyle name="Normal 2 2 10 32 4" xfId="9394" xr:uid="{00000000-0005-0000-0000-0000B2240000}"/>
    <cellStyle name="Normal 2 2 10 32 4 10" xfId="9395" xr:uid="{00000000-0005-0000-0000-0000B3240000}"/>
    <cellStyle name="Normal 2 2 10 32 4 2" xfId="9396" xr:uid="{00000000-0005-0000-0000-0000B4240000}"/>
    <cellStyle name="Normal 2 2 10 32 4 3" xfId="9397" xr:uid="{00000000-0005-0000-0000-0000B5240000}"/>
    <cellStyle name="Normal 2 2 10 32 4 4" xfId="9398" xr:uid="{00000000-0005-0000-0000-0000B6240000}"/>
    <cellStyle name="Normal 2 2 10 32 4 5" xfId="9399" xr:uid="{00000000-0005-0000-0000-0000B7240000}"/>
    <cellStyle name="Normal 2 2 10 32 4 6" xfId="9400" xr:uid="{00000000-0005-0000-0000-0000B8240000}"/>
    <cellStyle name="Normal 2 2 10 32 4 7" xfId="9401" xr:uid="{00000000-0005-0000-0000-0000B9240000}"/>
    <cellStyle name="Normal 2 2 10 32 4 8" xfId="9402" xr:uid="{00000000-0005-0000-0000-0000BA240000}"/>
    <cellStyle name="Normal 2 2 10 32 4 9" xfId="9403" xr:uid="{00000000-0005-0000-0000-0000BB240000}"/>
    <cellStyle name="Normal 2 2 10 32 5" xfId="9404" xr:uid="{00000000-0005-0000-0000-0000BC240000}"/>
    <cellStyle name="Normal 2 2 10 32 5 10" xfId="9405" xr:uid="{00000000-0005-0000-0000-0000BD240000}"/>
    <cellStyle name="Normal 2 2 10 32 5 2" xfId="9406" xr:uid="{00000000-0005-0000-0000-0000BE240000}"/>
    <cellStyle name="Normal 2 2 10 32 5 3" xfId="9407" xr:uid="{00000000-0005-0000-0000-0000BF240000}"/>
    <cellStyle name="Normal 2 2 10 32 5 4" xfId="9408" xr:uid="{00000000-0005-0000-0000-0000C0240000}"/>
    <cellStyle name="Normal 2 2 10 32 5 5" xfId="9409" xr:uid="{00000000-0005-0000-0000-0000C1240000}"/>
    <cellStyle name="Normal 2 2 10 32 5 6" xfId="9410" xr:uid="{00000000-0005-0000-0000-0000C2240000}"/>
    <cellStyle name="Normal 2 2 10 32 5 7" xfId="9411" xr:uid="{00000000-0005-0000-0000-0000C3240000}"/>
    <cellStyle name="Normal 2 2 10 32 5 8" xfId="9412" xr:uid="{00000000-0005-0000-0000-0000C4240000}"/>
    <cellStyle name="Normal 2 2 10 32 5 9" xfId="9413" xr:uid="{00000000-0005-0000-0000-0000C5240000}"/>
    <cellStyle name="Normal 2 2 10 32 6" xfId="9414" xr:uid="{00000000-0005-0000-0000-0000C6240000}"/>
    <cellStyle name="Normal 2 2 10 32 7" xfId="9415" xr:uid="{00000000-0005-0000-0000-0000C7240000}"/>
    <cellStyle name="Normal 2 2 10 32 8" xfId="9416" xr:uid="{00000000-0005-0000-0000-0000C8240000}"/>
    <cellStyle name="Normal 2 2 10 32 9" xfId="9417" xr:uid="{00000000-0005-0000-0000-0000C9240000}"/>
    <cellStyle name="Normal 2 2 10 33" xfId="9418" xr:uid="{00000000-0005-0000-0000-0000CA240000}"/>
    <cellStyle name="Normal 2 2 10 33 10" xfId="9419" xr:uid="{00000000-0005-0000-0000-0000CB240000}"/>
    <cellStyle name="Normal 2 2 10 33 11" xfId="9420" xr:uid="{00000000-0005-0000-0000-0000CC240000}"/>
    <cellStyle name="Normal 2 2 10 33 12" xfId="9421" xr:uid="{00000000-0005-0000-0000-0000CD240000}"/>
    <cellStyle name="Normal 2 2 10 33 13" xfId="9422" xr:uid="{00000000-0005-0000-0000-0000CE240000}"/>
    <cellStyle name="Normal 2 2 10 33 14" xfId="9423" xr:uid="{00000000-0005-0000-0000-0000CF240000}"/>
    <cellStyle name="Normal 2 2 10 33 2" xfId="9424" xr:uid="{00000000-0005-0000-0000-0000D0240000}"/>
    <cellStyle name="Normal 2 2 10 33 2 10" xfId="9425" xr:uid="{00000000-0005-0000-0000-0000D1240000}"/>
    <cellStyle name="Normal 2 2 10 33 2 2" xfId="9426" xr:uid="{00000000-0005-0000-0000-0000D2240000}"/>
    <cellStyle name="Normal 2 2 10 33 2 3" xfId="9427" xr:uid="{00000000-0005-0000-0000-0000D3240000}"/>
    <cellStyle name="Normal 2 2 10 33 2 4" xfId="9428" xr:uid="{00000000-0005-0000-0000-0000D4240000}"/>
    <cellStyle name="Normal 2 2 10 33 2 5" xfId="9429" xr:uid="{00000000-0005-0000-0000-0000D5240000}"/>
    <cellStyle name="Normal 2 2 10 33 2 6" xfId="9430" xr:uid="{00000000-0005-0000-0000-0000D6240000}"/>
    <cellStyle name="Normal 2 2 10 33 2 7" xfId="9431" xr:uid="{00000000-0005-0000-0000-0000D7240000}"/>
    <cellStyle name="Normal 2 2 10 33 2 8" xfId="9432" xr:uid="{00000000-0005-0000-0000-0000D8240000}"/>
    <cellStyle name="Normal 2 2 10 33 2 9" xfId="9433" xr:uid="{00000000-0005-0000-0000-0000D9240000}"/>
    <cellStyle name="Normal 2 2 10 33 3" xfId="9434" xr:uid="{00000000-0005-0000-0000-0000DA240000}"/>
    <cellStyle name="Normal 2 2 10 33 3 10" xfId="9435" xr:uid="{00000000-0005-0000-0000-0000DB240000}"/>
    <cellStyle name="Normal 2 2 10 33 3 2" xfId="9436" xr:uid="{00000000-0005-0000-0000-0000DC240000}"/>
    <cellStyle name="Normal 2 2 10 33 3 3" xfId="9437" xr:uid="{00000000-0005-0000-0000-0000DD240000}"/>
    <cellStyle name="Normal 2 2 10 33 3 4" xfId="9438" xr:uid="{00000000-0005-0000-0000-0000DE240000}"/>
    <cellStyle name="Normal 2 2 10 33 3 5" xfId="9439" xr:uid="{00000000-0005-0000-0000-0000DF240000}"/>
    <cellStyle name="Normal 2 2 10 33 3 6" xfId="9440" xr:uid="{00000000-0005-0000-0000-0000E0240000}"/>
    <cellStyle name="Normal 2 2 10 33 3 7" xfId="9441" xr:uid="{00000000-0005-0000-0000-0000E1240000}"/>
    <cellStyle name="Normal 2 2 10 33 3 8" xfId="9442" xr:uid="{00000000-0005-0000-0000-0000E2240000}"/>
    <cellStyle name="Normal 2 2 10 33 3 9" xfId="9443" xr:uid="{00000000-0005-0000-0000-0000E3240000}"/>
    <cellStyle name="Normal 2 2 10 33 4" xfId="9444" xr:uid="{00000000-0005-0000-0000-0000E4240000}"/>
    <cellStyle name="Normal 2 2 10 33 4 10" xfId="9445" xr:uid="{00000000-0005-0000-0000-0000E5240000}"/>
    <cellStyle name="Normal 2 2 10 33 4 2" xfId="9446" xr:uid="{00000000-0005-0000-0000-0000E6240000}"/>
    <cellStyle name="Normal 2 2 10 33 4 3" xfId="9447" xr:uid="{00000000-0005-0000-0000-0000E7240000}"/>
    <cellStyle name="Normal 2 2 10 33 4 4" xfId="9448" xr:uid="{00000000-0005-0000-0000-0000E8240000}"/>
    <cellStyle name="Normal 2 2 10 33 4 5" xfId="9449" xr:uid="{00000000-0005-0000-0000-0000E9240000}"/>
    <cellStyle name="Normal 2 2 10 33 4 6" xfId="9450" xr:uid="{00000000-0005-0000-0000-0000EA240000}"/>
    <cellStyle name="Normal 2 2 10 33 4 7" xfId="9451" xr:uid="{00000000-0005-0000-0000-0000EB240000}"/>
    <cellStyle name="Normal 2 2 10 33 4 8" xfId="9452" xr:uid="{00000000-0005-0000-0000-0000EC240000}"/>
    <cellStyle name="Normal 2 2 10 33 4 9" xfId="9453" xr:uid="{00000000-0005-0000-0000-0000ED240000}"/>
    <cellStyle name="Normal 2 2 10 33 5" xfId="9454" xr:uid="{00000000-0005-0000-0000-0000EE240000}"/>
    <cellStyle name="Normal 2 2 10 33 5 10" xfId="9455" xr:uid="{00000000-0005-0000-0000-0000EF240000}"/>
    <cellStyle name="Normal 2 2 10 33 5 2" xfId="9456" xr:uid="{00000000-0005-0000-0000-0000F0240000}"/>
    <cellStyle name="Normal 2 2 10 33 5 3" xfId="9457" xr:uid="{00000000-0005-0000-0000-0000F1240000}"/>
    <cellStyle name="Normal 2 2 10 33 5 4" xfId="9458" xr:uid="{00000000-0005-0000-0000-0000F2240000}"/>
    <cellStyle name="Normal 2 2 10 33 5 5" xfId="9459" xr:uid="{00000000-0005-0000-0000-0000F3240000}"/>
    <cellStyle name="Normal 2 2 10 33 5 6" xfId="9460" xr:uid="{00000000-0005-0000-0000-0000F4240000}"/>
    <cellStyle name="Normal 2 2 10 33 5 7" xfId="9461" xr:uid="{00000000-0005-0000-0000-0000F5240000}"/>
    <cellStyle name="Normal 2 2 10 33 5 8" xfId="9462" xr:uid="{00000000-0005-0000-0000-0000F6240000}"/>
    <cellStyle name="Normal 2 2 10 33 5 9" xfId="9463" xr:uid="{00000000-0005-0000-0000-0000F7240000}"/>
    <cellStyle name="Normal 2 2 10 33 6" xfId="9464" xr:uid="{00000000-0005-0000-0000-0000F8240000}"/>
    <cellStyle name="Normal 2 2 10 33 7" xfId="9465" xr:uid="{00000000-0005-0000-0000-0000F9240000}"/>
    <cellStyle name="Normal 2 2 10 33 8" xfId="9466" xr:uid="{00000000-0005-0000-0000-0000FA240000}"/>
    <cellStyle name="Normal 2 2 10 33 9" xfId="9467" xr:uid="{00000000-0005-0000-0000-0000FB240000}"/>
    <cellStyle name="Normal 2 2 10 34" xfId="9468" xr:uid="{00000000-0005-0000-0000-0000FC240000}"/>
    <cellStyle name="Normal 2 2 10 34 10" xfId="9469" xr:uid="{00000000-0005-0000-0000-0000FD240000}"/>
    <cellStyle name="Normal 2 2 10 34 11" xfId="9470" xr:uid="{00000000-0005-0000-0000-0000FE240000}"/>
    <cellStyle name="Normal 2 2 10 34 12" xfId="9471" xr:uid="{00000000-0005-0000-0000-0000FF240000}"/>
    <cellStyle name="Normal 2 2 10 34 13" xfId="9472" xr:uid="{00000000-0005-0000-0000-000000250000}"/>
    <cellStyle name="Normal 2 2 10 34 14" xfId="9473" xr:uid="{00000000-0005-0000-0000-000001250000}"/>
    <cellStyle name="Normal 2 2 10 34 2" xfId="9474" xr:uid="{00000000-0005-0000-0000-000002250000}"/>
    <cellStyle name="Normal 2 2 10 34 2 10" xfId="9475" xr:uid="{00000000-0005-0000-0000-000003250000}"/>
    <cellStyle name="Normal 2 2 10 34 2 2" xfId="9476" xr:uid="{00000000-0005-0000-0000-000004250000}"/>
    <cellStyle name="Normal 2 2 10 34 2 3" xfId="9477" xr:uid="{00000000-0005-0000-0000-000005250000}"/>
    <cellStyle name="Normal 2 2 10 34 2 4" xfId="9478" xr:uid="{00000000-0005-0000-0000-000006250000}"/>
    <cellStyle name="Normal 2 2 10 34 2 5" xfId="9479" xr:uid="{00000000-0005-0000-0000-000007250000}"/>
    <cellStyle name="Normal 2 2 10 34 2 6" xfId="9480" xr:uid="{00000000-0005-0000-0000-000008250000}"/>
    <cellStyle name="Normal 2 2 10 34 2 7" xfId="9481" xr:uid="{00000000-0005-0000-0000-000009250000}"/>
    <cellStyle name="Normal 2 2 10 34 2 8" xfId="9482" xr:uid="{00000000-0005-0000-0000-00000A250000}"/>
    <cellStyle name="Normal 2 2 10 34 2 9" xfId="9483" xr:uid="{00000000-0005-0000-0000-00000B250000}"/>
    <cellStyle name="Normal 2 2 10 34 3" xfId="9484" xr:uid="{00000000-0005-0000-0000-00000C250000}"/>
    <cellStyle name="Normal 2 2 10 34 3 10" xfId="9485" xr:uid="{00000000-0005-0000-0000-00000D250000}"/>
    <cellStyle name="Normal 2 2 10 34 3 2" xfId="9486" xr:uid="{00000000-0005-0000-0000-00000E250000}"/>
    <cellStyle name="Normal 2 2 10 34 3 3" xfId="9487" xr:uid="{00000000-0005-0000-0000-00000F250000}"/>
    <cellStyle name="Normal 2 2 10 34 3 4" xfId="9488" xr:uid="{00000000-0005-0000-0000-000010250000}"/>
    <cellStyle name="Normal 2 2 10 34 3 5" xfId="9489" xr:uid="{00000000-0005-0000-0000-000011250000}"/>
    <cellStyle name="Normal 2 2 10 34 3 6" xfId="9490" xr:uid="{00000000-0005-0000-0000-000012250000}"/>
    <cellStyle name="Normal 2 2 10 34 3 7" xfId="9491" xr:uid="{00000000-0005-0000-0000-000013250000}"/>
    <cellStyle name="Normal 2 2 10 34 3 8" xfId="9492" xr:uid="{00000000-0005-0000-0000-000014250000}"/>
    <cellStyle name="Normal 2 2 10 34 3 9" xfId="9493" xr:uid="{00000000-0005-0000-0000-000015250000}"/>
    <cellStyle name="Normal 2 2 10 34 4" xfId="9494" xr:uid="{00000000-0005-0000-0000-000016250000}"/>
    <cellStyle name="Normal 2 2 10 34 4 10" xfId="9495" xr:uid="{00000000-0005-0000-0000-000017250000}"/>
    <cellStyle name="Normal 2 2 10 34 4 2" xfId="9496" xr:uid="{00000000-0005-0000-0000-000018250000}"/>
    <cellStyle name="Normal 2 2 10 34 4 3" xfId="9497" xr:uid="{00000000-0005-0000-0000-000019250000}"/>
    <cellStyle name="Normal 2 2 10 34 4 4" xfId="9498" xr:uid="{00000000-0005-0000-0000-00001A250000}"/>
    <cellStyle name="Normal 2 2 10 34 4 5" xfId="9499" xr:uid="{00000000-0005-0000-0000-00001B250000}"/>
    <cellStyle name="Normal 2 2 10 34 4 6" xfId="9500" xr:uid="{00000000-0005-0000-0000-00001C250000}"/>
    <cellStyle name="Normal 2 2 10 34 4 7" xfId="9501" xr:uid="{00000000-0005-0000-0000-00001D250000}"/>
    <cellStyle name="Normal 2 2 10 34 4 8" xfId="9502" xr:uid="{00000000-0005-0000-0000-00001E250000}"/>
    <cellStyle name="Normal 2 2 10 34 4 9" xfId="9503" xr:uid="{00000000-0005-0000-0000-00001F250000}"/>
    <cellStyle name="Normal 2 2 10 34 5" xfId="9504" xr:uid="{00000000-0005-0000-0000-000020250000}"/>
    <cellStyle name="Normal 2 2 10 34 5 10" xfId="9505" xr:uid="{00000000-0005-0000-0000-000021250000}"/>
    <cellStyle name="Normal 2 2 10 34 5 2" xfId="9506" xr:uid="{00000000-0005-0000-0000-000022250000}"/>
    <cellStyle name="Normal 2 2 10 34 5 3" xfId="9507" xr:uid="{00000000-0005-0000-0000-000023250000}"/>
    <cellStyle name="Normal 2 2 10 34 5 4" xfId="9508" xr:uid="{00000000-0005-0000-0000-000024250000}"/>
    <cellStyle name="Normal 2 2 10 34 5 5" xfId="9509" xr:uid="{00000000-0005-0000-0000-000025250000}"/>
    <cellStyle name="Normal 2 2 10 34 5 6" xfId="9510" xr:uid="{00000000-0005-0000-0000-000026250000}"/>
    <cellStyle name="Normal 2 2 10 34 5 7" xfId="9511" xr:uid="{00000000-0005-0000-0000-000027250000}"/>
    <cellStyle name="Normal 2 2 10 34 5 8" xfId="9512" xr:uid="{00000000-0005-0000-0000-000028250000}"/>
    <cellStyle name="Normal 2 2 10 34 5 9" xfId="9513" xr:uid="{00000000-0005-0000-0000-000029250000}"/>
    <cellStyle name="Normal 2 2 10 34 6" xfId="9514" xr:uid="{00000000-0005-0000-0000-00002A250000}"/>
    <cellStyle name="Normal 2 2 10 34 7" xfId="9515" xr:uid="{00000000-0005-0000-0000-00002B250000}"/>
    <cellStyle name="Normal 2 2 10 34 8" xfId="9516" xr:uid="{00000000-0005-0000-0000-00002C250000}"/>
    <cellStyle name="Normal 2 2 10 34 9" xfId="9517" xr:uid="{00000000-0005-0000-0000-00002D250000}"/>
    <cellStyle name="Normal 2 2 10 35" xfId="9518" xr:uid="{00000000-0005-0000-0000-00002E250000}"/>
    <cellStyle name="Normal 2 2 10 35 10" xfId="9519" xr:uid="{00000000-0005-0000-0000-00002F250000}"/>
    <cellStyle name="Normal 2 2 10 35 2" xfId="9520" xr:uid="{00000000-0005-0000-0000-000030250000}"/>
    <cellStyle name="Normal 2 2 10 35 3" xfId="9521" xr:uid="{00000000-0005-0000-0000-000031250000}"/>
    <cellStyle name="Normal 2 2 10 35 4" xfId="9522" xr:uid="{00000000-0005-0000-0000-000032250000}"/>
    <cellStyle name="Normal 2 2 10 35 5" xfId="9523" xr:uid="{00000000-0005-0000-0000-000033250000}"/>
    <cellStyle name="Normal 2 2 10 35 6" xfId="9524" xr:uid="{00000000-0005-0000-0000-000034250000}"/>
    <cellStyle name="Normal 2 2 10 35 7" xfId="9525" xr:uid="{00000000-0005-0000-0000-000035250000}"/>
    <cellStyle name="Normal 2 2 10 35 8" xfId="9526" xr:uid="{00000000-0005-0000-0000-000036250000}"/>
    <cellStyle name="Normal 2 2 10 35 9" xfId="9527" xr:uid="{00000000-0005-0000-0000-000037250000}"/>
    <cellStyle name="Normal 2 2 10 36" xfId="9528" xr:uid="{00000000-0005-0000-0000-000038250000}"/>
    <cellStyle name="Normal 2 2 10 36 10" xfId="9529" xr:uid="{00000000-0005-0000-0000-000039250000}"/>
    <cellStyle name="Normal 2 2 10 36 2" xfId="9530" xr:uid="{00000000-0005-0000-0000-00003A250000}"/>
    <cellStyle name="Normal 2 2 10 36 3" xfId="9531" xr:uid="{00000000-0005-0000-0000-00003B250000}"/>
    <cellStyle name="Normal 2 2 10 36 4" xfId="9532" xr:uid="{00000000-0005-0000-0000-00003C250000}"/>
    <cellStyle name="Normal 2 2 10 36 5" xfId="9533" xr:uid="{00000000-0005-0000-0000-00003D250000}"/>
    <cellStyle name="Normal 2 2 10 36 6" xfId="9534" xr:uid="{00000000-0005-0000-0000-00003E250000}"/>
    <cellStyle name="Normal 2 2 10 36 7" xfId="9535" xr:uid="{00000000-0005-0000-0000-00003F250000}"/>
    <cellStyle name="Normal 2 2 10 36 8" xfId="9536" xr:uid="{00000000-0005-0000-0000-000040250000}"/>
    <cellStyle name="Normal 2 2 10 36 9" xfId="9537" xr:uid="{00000000-0005-0000-0000-000041250000}"/>
    <cellStyle name="Normal 2 2 10 37" xfId="9538" xr:uid="{00000000-0005-0000-0000-000042250000}"/>
    <cellStyle name="Normal 2 2 10 37 10" xfId="9539" xr:uid="{00000000-0005-0000-0000-000043250000}"/>
    <cellStyle name="Normal 2 2 10 37 2" xfId="9540" xr:uid="{00000000-0005-0000-0000-000044250000}"/>
    <cellStyle name="Normal 2 2 10 37 3" xfId="9541" xr:uid="{00000000-0005-0000-0000-000045250000}"/>
    <cellStyle name="Normal 2 2 10 37 4" xfId="9542" xr:uid="{00000000-0005-0000-0000-000046250000}"/>
    <cellStyle name="Normal 2 2 10 37 5" xfId="9543" xr:uid="{00000000-0005-0000-0000-000047250000}"/>
    <cellStyle name="Normal 2 2 10 37 6" xfId="9544" xr:uid="{00000000-0005-0000-0000-000048250000}"/>
    <cellStyle name="Normal 2 2 10 37 7" xfId="9545" xr:uid="{00000000-0005-0000-0000-000049250000}"/>
    <cellStyle name="Normal 2 2 10 37 8" xfId="9546" xr:uid="{00000000-0005-0000-0000-00004A250000}"/>
    <cellStyle name="Normal 2 2 10 37 9" xfId="9547" xr:uid="{00000000-0005-0000-0000-00004B250000}"/>
    <cellStyle name="Normal 2 2 10 38" xfId="9548" xr:uid="{00000000-0005-0000-0000-00004C250000}"/>
    <cellStyle name="Normal 2 2 10 38 10" xfId="9549" xr:uid="{00000000-0005-0000-0000-00004D250000}"/>
    <cellStyle name="Normal 2 2 10 38 2" xfId="9550" xr:uid="{00000000-0005-0000-0000-00004E250000}"/>
    <cellStyle name="Normal 2 2 10 38 3" xfId="9551" xr:uid="{00000000-0005-0000-0000-00004F250000}"/>
    <cellStyle name="Normal 2 2 10 38 4" xfId="9552" xr:uid="{00000000-0005-0000-0000-000050250000}"/>
    <cellStyle name="Normal 2 2 10 38 5" xfId="9553" xr:uid="{00000000-0005-0000-0000-000051250000}"/>
    <cellStyle name="Normal 2 2 10 38 6" xfId="9554" xr:uid="{00000000-0005-0000-0000-000052250000}"/>
    <cellStyle name="Normal 2 2 10 38 7" xfId="9555" xr:uid="{00000000-0005-0000-0000-000053250000}"/>
    <cellStyle name="Normal 2 2 10 38 8" xfId="9556" xr:uid="{00000000-0005-0000-0000-000054250000}"/>
    <cellStyle name="Normal 2 2 10 38 9" xfId="9557" xr:uid="{00000000-0005-0000-0000-000055250000}"/>
    <cellStyle name="Normal 2 2 10 39" xfId="9558" xr:uid="{00000000-0005-0000-0000-000056250000}"/>
    <cellStyle name="Normal 2 2 10 4" xfId="9559" xr:uid="{00000000-0005-0000-0000-000057250000}"/>
    <cellStyle name="Normal 2 2 10 4 10" xfId="9560" xr:uid="{00000000-0005-0000-0000-000058250000}"/>
    <cellStyle name="Normal 2 2 10 4 11" xfId="9561" xr:uid="{00000000-0005-0000-0000-000059250000}"/>
    <cellStyle name="Normal 2 2 10 4 12" xfId="9562" xr:uid="{00000000-0005-0000-0000-00005A250000}"/>
    <cellStyle name="Normal 2 2 10 4 13" xfId="9563" xr:uid="{00000000-0005-0000-0000-00005B250000}"/>
    <cellStyle name="Normal 2 2 10 4 14" xfId="9564" xr:uid="{00000000-0005-0000-0000-00005C250000}"/>
    <cellStyle name="Normal 2 2 10 4 2" xfId="9565" xr:uid="{00000000-0005-0000-0000-00005D250000}"/>
    <cellStyle name="Normal 2 2 10 4 2 10" xfId="9566" xr:uid="{00000000-0005-0000-0000-00005E250000}"/>
    <cellStyle name="Normal 2 2 10 4 2 2" xfId="9567" xr:uid="{00000000-0005-0000-0000-00005F250000}"/>
    <cellStyle name="Normal 2 2 10 4 2 3" xfId="9568" xr:uid="{00000000-0005-0000-0000-000060250000}"/>
    <cellStyle name="Normal 2 2 10 4 2 4" xfId="9569" xr:uid="{00000000-0005-0000-0000-000061250000}"/>
    <cellStyle name="Normal 2 2 10 4 2 5" xfId="9570" xr:uid="{00000000-0005-0000-0000-000062250000}"/>
    <cellStyle name="Normal 2 2 10 4 2 6" xfId="9571" xr:uid="{00000000-0005-0000-0000-000063250000}"/>
    <cellStyle name="Normal 2 2 10 4 2 7" xfId="9572" xr:uid="{00000000-0005-0000-0000-000064250000}"/>
    <cellStyle name="Normal 2 2 10 4 2 8" xfId="9573" xr:uid="{00000000-0005-0000-0000-000065250000}"/>
    <cellStyle name="Normal 2 2 10 4 2 9" xfId="9574" xr:uid="{00000000-0005-0000-0000-000066250000}"/>
    <cellStyle name="Normal 2 2 10 4 3" xfId="9575" xr:uid="{00000000-0005-0000-0000-000067250000}"/>
    <cellStyle name="Normal 2 2 10 4 3 10" xfId="9576" xr:uid="{00000000-0005-0000-0000-000068250000}"/>
    <cellStyle name="Normal 2 2 10 4 3 2" xfId="9577" xr:uid="{00000000-0005-0000-0000-000069250000}"/>
    <cellStyle name="Normal 2 2 10 4 3 3" xfId="9578" xr:uid="{00000000-0005-0000-0000-00006A250000}"/>
    <cellStyle name="Normal 2 2 10 4 3 4" xfId="9579" xr:uid="{00000000-0005-0000-0000-00006B250000}"/>
    <cellStyle name="Normal 2 2 10 4 3 5" xfId="9580" xr:uid="{00000000-0005-0000-0000-00006C250000}"/>
    <cellStyle name="Normal 2 2 10 4 3 6" xfId="9581" xr:uid="{00000000-0005-0000-0000-00006D250000}"/>
    <cellStyle name="Normal 2 2 10 4 3 7" xfId="9582" xr:uid="{00000000-0005-0000-0000-00006E250000}"/>
    <cellStyle name="Normal 2 2 10 4 3 8" xfId="9583" xr:uid="{00000000-0005-0000-0000-00006F250000}"/>
    <cellStyle name="Normal 2 2 10 4 3 9" xfId="9584" xr:uid="{00000000-0005-0000-0000-000070250000}"/>
    <cellStyle name="Normal 2 2 10 4 4" xfId="9585" xr:uid="{00000000-0005-0000-0000-000071250000}"/>
    <cellStyle name="Normal 2 2 10 4 4 10" xfId="9586" xr:uid="{00000000-0005-0000-0000-000072250000}"/>
    <cellStyle name="Normal 2 2 10 4 4 2" xfId="9587" xr:uid="{00000000-0005-0000-0000-000073250000}"/>
    <cellStyle name="Normal 2 2 10 4 4 3" xfId="9588" xr:uid="{00000000-0005-0000-0000-000074250000}"/>
    <cellStyle name="Normal 2 2 10 4 4 4" xfId="9589" xr:uid="{00000000-0005-0000-0000-000075250000}"/>
    <cellStyle name="Normal 2 2 10 4 4 5" xfId="9590" xr:uid="{00000000-0005-0000-0000-000076250000}"/>
    <cellStyle name="Normal 2 2 10 4 4 6" xfId="9591" xr:uid="{00000000-0005-0000-0000-000077250000}"/>
    <cellStyle name="Normal 2 2 10 4 4 7" xfId="9592" xr:uid="{00000000-0005-0000-0000-000078250000}"/>
    <cellStyle name="Normal 2 2 10 4 4 8" xfId="9593" xr:uid="{00000000-0005-0000-0000-000079250000}"/>
    <cellStyle name="Normal 2 2 10 4 4 9" xfId="9594" xr:uid="{00000000-0005-0000-0000-00007A250000}"/>
    <cellStyle name="Normal 2 2 10 4 5" xfId="9595" xr:uid="{00000000-0005-0000-0000-00007B250000}"/>
    <cellStyle name="Normal 2 2 10 4 5 10" xfId="9596" xr:uid="{00000000-0005-0000-0000-00007C250000}"/>
    <cellStyle name="Normal 2 2 10 4 5 2" xfId="9597" xr:uid="{00000000-0005-0000-0000-00007D250000}"/>
    <cellStyle name="Normal 2 2 10 4 5 3" xfId="9598" xr:uid="{00000000-0005-0000-0000-00007E250000}"/>
    <cellStyle name="Normal 2 2 10 4 5 4" xfId="9599" xr:uid="{00000000-0005-0000-0000-00007F250000}"/>
    <cellStyle name="Normal 2 2 10 4 5 5" xfId="9600" xr:uid="{00000000-0005-0000-0000-000080250000}"/>
    <cellStyle name="Normal 2 2 10 4 5 6" xfId="9601" xr:uid="{00000000-0005-0000-0000-000081250000}"/>
    <cellStyle name="Normal 2 2 10 4 5 7" xfId="9602" xr:uid="{00000000-0005-0000-0000-000082250000}"/>
    <cellStyle name="Normal 2 2 10 4 5 8" xfId="9603" xr:uid="{00000000-0005-0000-0000-000083250000}"/>
    <cellStyle name="Normal 2 2 10 4 5 9" xfId="9604" xr:uid="{00000000-0005-0000-0000-000084250000}"/>
    <cellStyle name="Normal 2 2 10 4 6" xfId="9605" xr:uid="{00000000-0005-0000-0000-000085250000}"/>
    <cellStyle name="Normal 2 2 10 4 7" xfId="9606" xr:uid="{00000000-0005-0000-0000-000086250000}"/>
    <cellStyle name="Normal 2 2 10 4 8" xfId="9607" xr:uid="{00000000-0005-0000-0000-000087250000}"/>
    <cellStyle name="Normal 2 2 10 4 9" xfId="9608" xr:uid="{00000000-0005-0000-0000-000088250000}"/>
    <cellStyle name="Normal 2 2 10 40" xfId="9609" xr:uid="{00000000-0005-0000-0000-000089250000}"/>
    <cellStyle name="Normal 2 2 10 41" xfId="9610" xr:uid="{00000000-0005-0000-0000-00008A250000}"/>
    <cellStyle name="Normal 2 2 10 42" xfId="9611" xr:uid="{00000000-0005-0000-0000-00008B250000}"/>
    <cellStyle name="Normal 2 2 10 43" xfId="9612" xr:uid="{00000000-0005-0000-0000-00008C250000}"/>
    <cellStyle name="Normal 2 2 10 44" xfId="9613" xr:uid="{00000000-0005-0000-0000-00008D250000}"/>
    <cellStyle name="Normal 2 2 10 45" xfId="9614" xr:uid="{00000000-0005-0000-0000-00008E250000}"/>
    <cellStyle name="Normal 2 2 10 46" xfId="9615" xr:uid="{00000000-0005-0000-0000-00008F250000}"/>
    <cellStyle name="Normal 2 2 10 47" xfId="9616" xr:uid="{00000000-0005-0000-0000-000090250000}"/>
    <cellStyle name="Normal 2 2 10 5" xfId="9617" xr:uid="{00000000-0005-0000-0000-000091250000}"/>
    <cellStyle name="Normal 2 2 10 5 10" xfId="9618" xr:uid="{00000000-0005-0000-0000-000092250000}"/>
    <cellStyle name="Normal 2 2 10 5 11" xfId="9619" xr:uid="{00000000-0005-0000-0000-000093250000}"/>
    <cellStyle name="Normal 2 2 10 5 12" xfId="9620" xr:uid="{00000000-0005-0000-0000-000094250000}"/>
    <cellStyle name="Normal 2 2 10 5 13" xfId="9621" xr:uid="{00000000-0005-0000-0000-000095250000}"/>
    <cellStyle name="Normal 2 2 10 5 14" xfId="9622" xr:uid="{00000000-0005-0000-0000-000096250000}"/>
    <cellStyle name="Normal 2 2 10 5 2" xfId="9623" xr:uid="{00000000-0005-0000-0000-000097250000}"/>
    <cellStyle name="Normal 2 2 10 5 2 10" xfId="9624" xr:uid="{00000000-0005-0000-0000-000098250000}"/>
    <cellStyle name="Normal 2 2 10 5 2 2" xfId="9625" xr:uid="{00000000-0005-0000-0000-000099250000}"/>
    <cellStyle name="Normal 2 2 10 5 2 3" xfId="9626" xr:uid="{00000000-0005-0000-0000-00009A250000}"/>
    <cellStyle name="Normal 2 2 10 5 2 4" xfId="9627" xr:uid="{00000000-0005-0000-0000-00009B250000}"/>
    <cellStyle name="Normal 2 2 10 5 2 5" xfId="9628" xr:uid="{00000000-0005-0000-0000-00009C250000}"/>
    <cellStyle name="Normal 2 2 10 5 2 6" xfId="9629" xr:uid="{00000000-0005-0000-0000-00009D250000}"/>
    <cellStyle name="Normal 2 2 10 5 2 7" xfId="9630" xr:uid="{00000000-0005-0000-0000-00009E250000}"/>
    <cellStyle name="Normal 2 2 10 5 2 8" xfId="9631" xr:uid="{00000000-0005-0000-0000-00009F250000}"/>
    <cellStyle name="Normal 2 2 10 5 2 9" xfId="9632" xr:uid="{00000000-0005-0000-0000-0000A0250000}"/>
    <cellStyle name="Normal 2 2 10 5 3" xfId="9633" xr:uid="{00000000-0005-0000-0000-0000A1250000}"/>
    <cellStyle name="Normal 2 2 10 5 3 10" xfId="9634" xr:uid="{00000000-0005-0000-0000-0000A2250000}"/>
    <cellStyle name="Normal 2 2 10 5 3 2" xfId="9635" xr:uid="{00000000-0005-0000-0000-0000A3250000}"/>
    <cellStyle name="Normal 2 2 10 5 3 3" xfId="9636" xr:uid="{00000000-0005-0000-0000-0000A4250000}"/>
    <cellStyle name="Normal 2 2 10 5 3 4" xfId="9637" xr:uid="{00000000-0005-0000-0000-0000A5250000}"/>
    <cellStyle name="Normal 2 2 10 5 3 5" xfId="9638" xr:uid="{00000000-0005-0000-0000-0000A6250000}"/>
    <cellStyle name="Normal 2 2 10 5 3 6" xfId="9639" xr:uid="{00000000-0005-0000-0000-0000A7250000}"/>
    <cellStyle name="Normal 2 2 10 5 3 7" xfId="9640" xr:uid="{00000000-0005-0000-0000-0000A8250000}"/>
    <cellStyle name="Normal 2 2 10 5 3 8" xfId="9641" xr:uid="{00000000-0005-0000-0000-0000A9250000}"/>
    <cellStyle name="Normal 2 2 10 5 3 9" xfId="9642" xr:uid="{00000000-0005-0000-0000-0000AA250000}"/>
    <cellStyle name="Normal 2 2 10 5 4" xfId="9643" xr:uid="{00000000-0005-0000-0000-0000AB250000}"/>
    <cellStyle name="Normal 2 2 10 5 4 10" xfId="9644" xr:uid="{00000000-0005-0000-0000-0000AC250000}"/>
    <cellStyle name="Normal 2 2 10 5 4 2" xfId="9645" xr:uid="{00000000-0005-0000-0000-0000AD250000}"/>
    <cellStyle name="Normal 2 2 10 5 4 3" xfId="9646" xr:uid="{00000000-0005-0000-0000-0000AE250000}"/>
    <cellStyle name="Normal 2 2 10 5 4 4" xfId="9647" xr:uid="{00000000-0005-0000-0000-0000AF250000}"/>
    <cellStyle name="Normal 2 2 10 5 4 5" xfId="9648" xr:uid="{00000000-0005-0000-0000-0000B0250000}"/>
    <cellStyle name="Normal 2 2 10 5 4 6" xfId="9649" xr:uid="{00000000-0005-0000-0000-0000B1250000}"/>
    <cellStyle name="Normal 2 2 10 5 4 7" xfId="9650" xr:uid="{00000000-0005-0000-0000-0000B2250000}"/>
    <cellStyle name="Normal 2 2 10 5 4 8" xfId="9651" xr:uid="{00000000-0005-0000-0000-0000B3250000}"/>
    <cellStyle name="Normal 2 2 10 5 4 9" xfId="9652" xr:uid="{00000000-0005-0000-0000-0000B4250000}"/>
    <cellStyle name="Normal 2 2 10 5 5" xfId="9653" xr:uid="{00000000-0005-0000-0000-0000B5250000}"/>
    <cellStyle name="Normal 2 2 10 5 5 10" xfId="9654" xr:uid="{00000000-0005-0000-0000-0000B6250000}"/>
    <cellStyle name="Normal 2 2 10 5 5 2" xfId="9655" xr:uid="{00000000-0005-0000-0000-0000B7250000}"/>
    <cellStyle name="Normal 2 2 10 5 5 3" xfId="9656" xr:uid="{00000000-0005-0000-0000-0000B8250000}"/>
    <cellStyle name="Normal 2 2 10 5 5 4" xfId="9657" xr:uid="{00000000-0005-0000-0000-0000B9250000}"/>
    <cellStyle name="Normal 2 2 10 5 5 5" xfId="9658" xr:uid="{00000000-0005-0000-0000-0000BA250000}"/>
    <cellStyle name="Normal 2 2 10 5 5 6" xfId="9659" xr:uid="{00000000-0005-0000-0000-0000BB250000}"/>
    <cellStyle name="Normal 2 2 10 5 5 7" xfId="9660" xr:uid="{00000000-0005-0000-0000-0000BC250000}"/>
    <cellStyle name="Normal 2 2 10 5 5 8" xfId="9661" xr:uid="{00000000-0005-0000-0000-0000BD250000}"/>
    <cellStyle name="Normal 2 2 10 5 5 9" xfId="9662" xr:uid="{00000000-0005-0000-0000-0000BE250000}"/>
    <cellStyle name="Normal 2 2 10 5 6" xfId="9663" xr:uid="{00000000-0005-0000-0000-0000BF250000}"/>
    <cellStyle name="Normal 2 2 10 5 7" xfId="9664" xr:uid="{00000000-0005-0000-0000-0000C0250000}"/>
    <cellStyle name="Normal 2 2 10 5 8" xfId="9665" xr:uid="{00000000-0005-0000-0000-0000C1250000}"/>
    <cellStyle name="Normal 2 2 10 5 9" xfId="9666" xr:uid="{00000000-0005-0000-0000-0000C2250000}"/>
    <cellStyle name="Normal 2 2 10 6" xfId="9667" xr:uid="{00000000-0005-0000-0000-0000C3250000}"/>
    <cellStyle name="Normal 2 2 10 6 10" xfId="9668" xr:uid="{00000000-0005-0000-0000-0000C4250000}"/>
    <cellStyle name="Normal 2 2 10 6 11" xfId="9669" xr:uid="{00000000-0005-0000-0000-0000C5250000}"/>
    <cellStyle name="Normal 2 2 10 6 12" xfId="9670" xr:uid="{00000000-0005-0000-0000-0000C6250000}"/>
    <cellStyle name="Normal 2 2 10 6 13" xfId="9671" xr:uid="{00000000-0005-0000-0000-0000C7250000}"/>
    <cellStyle name="Normal 2 2 10 6 14" xfId="9672" xr:uid="{00000000-0005-0000-0000-0000C8250000}"/>
    <cellStyle name="Normal 2 2 10 6 2" xfId="9673" xr:uid="{00000000-0005-0000-0000-0000C9250000}"/>
    <cellStyle name="Normal 2 2 10 6 2 10" xfId="9674" xr:uid="{00000000-0005-0000-0000-0000CA250000}"/>
    <cellStyle name="Normal 2 2 10 6 2 2" xfId="9675" xr:uid="{00000000-0005-0000-0000-0000CB250000}"/>
    <cellStyle name="Normal 2 2 10 6 2 3" xfId="9676" xr:uid="{00000000-0005-0000-0000-0000CC250000}"/>
    <cellStyle name="Normal 2 2 10 6 2 4" xfId="9677" xr:uid="{00000000-0005-0000-0000-0000CD250000}"/>
    <cellStyle name="Normal 2 2 10 6 2 5" xfId="9678" xr:uid="{00000000-0005-0000-0000-0000CE250000}"/>
    <cellStyle name="Normal 2 2 10 6 2 6" xfId="9679" xr:uid="{00000000-0005-0000-0000-0000CF250000}"/>
    <cellStyle name="Normal 2 2 10 6 2 7" xfId="9680" xr:uid="{00000000-0005-0000-0000-0000D0250000}"/>
    <cellStyle name="Normal 2 2 10 6 2 8" xfId="9681" xr:uid="{00000000-0005-0000-0000-0000D1250000}"/>
    <cellStyle name="Normal 2 2 10 6 2 9" xfId="9682" xr:uid="{00000000-0005-0000-0000-0000D2250000}"/>
    <cellStyle name="Normal 2 2 10 6 3" xfId="9683" xr:uid="{00000000-0005-0000-0000-0000D3250000}"/>
    <cellStyle name="Normal 2 2 10 6 3 10" xfId="9684" xr:uid="{00000000-0005-0000-0000-0000D4250000}"/>
    <cellStyle name="Normal 2 2 10 6 3 2" xfId="9685" xr:uid="{00000000-0005-0000-0000-0000D5250000}"/>
    <cellStyle name="Normal 2 2 10 6 3 3" xfId="9686" xr:uid="{00000000-0005-0000-0000-0000D6250000}"/>
    <cellStyle name="Normal 2 2 10 6 3 4" xfId="9687" xr:uid="{00000000-0005-0000-0000-0000D7250000}"/>
    <cellStyle name="Normal 2 2 10 6 3 5" xfId="9688" xr:uid="{00000000-0005-0000-0000-0000D8250000}"/>
    <cellStyle name="Normal 2 2 10 6 3 6" xfId="9689" xr:uid="{00000000-0005-0000-0000-0000D9250000}"/>
    <cellStyle name="Normal 2 2 10 6 3 7" xfId="9690" xr:uid="{00000000-0005-0000-0000-0000DA250000}"/>
    <cellStyle name="Normal 2 2 10 6 3 8" xfId="9691" xr:uid="{00000000-0005-0000-0000-0000DB250000}"/>
    <cellStyle name="Normal 2 2 10 6 3 9" xfId="9692" xr:uid="{00000000-0005-0000-0000-0000DC250000}"/>
    <cellStyle name="Normal 2 2 10 6 4" xfId="9693" xr:uid="{00000000-0005-0000-0000-0000DD250000}"/>
    <cellStyle name="Normal 2 2 10 6 4 10" xfId="9694" xr:uid="{00000000-0005-0000-0000-0000DE250000}"/>
    <cellStyle name="Normal 2 2 10 6 4 2" xfId="9695" xr:uid="{00000000-0005-0000-0000-0000DF250000}"/>
    <cellStyle name="Normal 2 2 10 6 4 3" xfId="9696" xr:uid="{00000000-0005-0000-0000-0000E0250000}"/>
    <cellStyle name="Normal 2 2 10 6 4 4" xfId="9697" xr:uid="{00000000-0005-0000-0000-0000E1250000}"/>
    <cellStyle name="Normal 2 2 10 6 4 5" xfId="9698" xr:uid="{00000000-0005-0000-0000-0000E2250000}"/>
    <cellStyle name="Normal 2 2 10 6 4 6" xfId="9699" xr:uid="{00000000-0005-0000-0000-0000E3250000}"/>
    <cellStyle name="Normal 2 2 10 6 4 7" xfId="9700" xr:uid="{00000000-0005-0000-0000-0000E4250000}"/>
    <cellStyle name="Normal 2 2 10 6 4 8" xfId="9701" xr:uid="{00000000-0005-0000-0000-0000E5250000}"/>
    <cellStyle name="Normal 2 2 10 6 4 9" xfId="9702" xr:uid="{00000000-0005-0000-0000-0000E6250000}"/>
    <cellStyle name="Normal 2 2 10 6 5" xfId="9703" xr:uid="{00000000-0005-0000-0000-0000E7250000}"/>
    <cellStyle name="Normal 2 2 10 6 5 10" xfId="9704" xr:uid="{00000000-0005-0000-0000-0000E8250000}"/>
    <cellStyle name="Normal 2 2 10 6 5 2" xfId="9705" xr:uid="{00000000-0005-0000-0000-0000E9250000}"/>
    <cellStyle name="Normal 2 2 10 6 5 3" xfId="9706" xr:uid="{00000000-0005-0000-0000-0000EA250000}"/>
    <cellStyle name="Normal 2 2 10 6 5 4" xfId="9707" xr:uid="{00000000-0005-0000-0000-0000EB250000}"/>
    <cellStyle name="Normal 2 2 10 6 5 5" xfId="9708" xr:uid="{00000000-0005-0000-0000-0000EC250000}"/>
    <cellStyle name="Normal 2 2 10 6 5 6" xfId="9709" xr:uid="{00000000-0005-0000-0000-0000ED250000}"/>
    <cellStyle name="Normal 2 2 10 6 5 7" xfId="9710" xr:uid="{00000000-0005-0000-0000-0000EE250000}"/>
    <cellStyle name="Normal 2 2 10 6 5 8" xfId="9711" xr:uid="{00000000-0005-0000-0000-0000EF250000}"/>
    <cellStyle name="Normal 2 2 10 6 5 9" xfId="9712" xr:uid="{00000000-0005-0000-0000-0000F0250000}"/>
    <cellStyle name="Normal 2 2 10 6 6" xfId="9713" xr:uid="{00000000-0005-0000-0000-0000F1250000}"/>
    <cellStyle name="Normal 2 2 10 6 7" xfId="9714" xr:uid="{00000000-0005-0000-0000-0000F2250000}"/>
    <cellStyle name="Normal 2 2 10 6 8" xfId="9715" xr:uid="{00000000-0005-0000-0000-0000F3250000}"/>
    <cellStyle name="Normal 2 2 10 6 9" xfId="9716" xr:uid="{00000000-0005-0000-0000-0000F4250000}"/>
    <cellStyle name="Normal 2 2 10 7" xfId="9717" xr:uid="{00000000-0005-0000-0000-0000F5250000}"/>
    <cellStyle name="Normal 2 2 10 7 10" xfId="9718" xr:uid="{00000000-0005-0000-0000-0000F6250000}"/>
    <cellStyle name="Normal 2 2 10 7 11" xfId="9719" xr:uid="{00000000-0005-0000-0000-0000F7250000}"/>
    <cellStyle name="Normal 2 2 10 7 12" xfId="9720" xr:uid="{00000000-0005-0000-0000-0000F8250000}"/>
    <cellStyle name="Normal 2 2 10 7 13" xfId="9721" xr:uid="{00000000-0005-0000-0000-0000F9250000}"/>
    <cellStyle name="Normal 2 2 10 7 14" xfId="9722" xr:uid="{00000000-0005-0000-0000-0000FA250000}"/>
    <cellStyle name="Normal 2 2 10 7 2" xfId="9723" xr:uid="{00000000-0005-0000-0000-0000FB250000}"/>
    <cellStyle name="Normal 2 2 10 7 2 10" xfId="9724" xr:uid="{00000000-0005-0000-0000-0000FC250000}"/>
    <cellStyle name="Normal 2 2 10 7 2 2" xfId="9725" xr:uid="{00000000-0005-0000-0000-0000FD250000}"/>
    <cellStyle name="Normal 2 2 10 7 2 3" xfId="9726" xr:uid="{00000000-0005-0000-0000-0000FE250000}"/>
    <cellStyle name="Normal 2 2 10 7 2 4" xfId="9727" xr:uid="{00000000-0005-0000-0000-0000FF250000}"/>
    <cellStyle name="Normal 2 2 10 7 2 5" xfId="9728" xr:uid="{00000000-0005-0000-0000-000000260000}"/>
    <cellStyle name="Normal 2 2 10 7 2 6" xfId="9729" xr:uid="{00000000-0005-0000-0000-000001260000}"/>
    <cellStyle name="Normal 2 2 10 7 2 7" xfId="9730" xr:uid="{00000000-0005-0000-0000-000002260000}"/>
    <cellStyle name="Normal 2 2 10 7 2 8" xfId="9731" xr:uid="{00000000-0005-0000-0000-000003260000}"/>
    <cellStyle name="Normal 2 2 10 7 2 9" xfId="9732" xr:uid="{00000000-0005-0000-0000-000004260000}"/>
    <cellStyle name="Normal 2 2 10 7 3" xfId="9733" xr:uid="{00000000-0005-0000-0000-000005260000}"/>
    <cellStyle name="Normal 2 2 10 7 3 10" xfId="9734" xr:uid="{00000000-0005-0000-0000-000006260000}"/>
    <cellStyle name="Normal 2 2 10 7 3 2" xfId="9735" xr:uid="{00000000-0005-0000-0000-000007260000}"/>
    <cellStyle name="Normal 2 2 10 7 3 3" xfId="9736" xr:uid="{00000000-0005-0000-0000-000008260000}"/>
    <cellStyle name="Normal 2 2 10 7 3 4" xfId="9737" xr:uid="{00000000-0005-0000-0000-000009260000}"/>
    <cellStyle name="Normal 2 2 10 7 3 5" xfId="9738" xr:uid="{00000000-0005-0000-0000-00000A260000}"/>
    <cellStyle name="Normal 2 2 10 7 3 6" xfId="9739" xr:uid="{00000000-0005-0000-0000-00000B260000}"/>
    <cellStyle name="Normal 2 2 10 7 3 7" xfId="9740" xr:uid="{00000000-0005-0000-0000-00000C260000}"/>
    <cellStyle name="Normal 2 2 10 7 3 8" xfId="9741" xr:uid="{00000000-0005-0000-0000-00000D260000}"/>
    <cellStyle name="Normal 2 2 10 7 3 9" xfId="9742" xr:uid="{00000000-0005-0000-0000-00000E260000}"/>
    <cellStyle name="Normal 2 2 10 7 4" xfId="9743" xr:uid="{00000000-0005-0000-0000-00000F260000}"/>
    <cellStyle name="Normal 2 2 10 7 4 10" xfId="9744" xr:uid="{00000000-0005-0000-0000-000010260000}"/>
    <cellStyle name="Normal 2 2 10 7 4 2" xfId="9745" xr:uid="{00000000-0005-0000-0000-000011260000}"/>
    <cellStyle name="Normal 2 2 10 7 4 3" xfId="9746" xr:uid="{00000000-0005-0000-0000-000012260000}"/>
    <cellStyle name="Normal 2 2 10 7 4 4" xfId="9747" xr:uid="{00000000-0005-0000-0000-000013260000}"/>
    <cellStyle name="Normal 2 2 10 7 4 5" xfId="9748" xr:uid="{00000000-0005-0000-0000-000014260000}"/>
    <cellStyle name="Normal 2 2 10 7 4 6" xfId="9749" xr:uid="{00000000-0005-0000-0000-000015260000}"/>
    <cellStyle name="Normal 2 2 10 7 4 7" xfId="9750" xr:uid="{00000000-0005-0000-0000-000016260000}"/>
    <cellStyle name="Normal 2 2 10 7 4 8" xfId="9751" xr:uid="{00000000-0005-0000-0000-000017260000}"/>
    <cellStyle name="Normal 2 2 10 7 4 9" xfId="9752" xr:uid="{00000000-0005-0000-0000-000018260000}"/>
    <cellStyle name="Normal 2 2 10 7 5" xfId="9753" xr:uid="{00000000-0005-0000-0000-000019260000}"/>
    <cellStyle name="Normal 2 2 10 7 5 10" xfId="9754" xr:uid="{00000000-0005-0000-0000-00001A260000}"/>
    <cellStyle name="Normal 2 2 10 7 5 2" xfId="9755" xr:uid="{00000000-0005-0000-0000-00001B260000}"/>
    <cellStyle name="Normal 2 2 10 7 5 3" xfId="9756" xr:uid="{00000000-0005-0000-0000-00001C260000}"/>
    <cellStyle name="Normal 2 2 10 7 5 4" xfId="9757" xr:uid="{00000000-0005-0000-0000-00001D260000}"/>
    <cellStyle name="Normal 2 2 10 7 5 5" xfId="9758" xr:uid="{00000000-0005-0000-0000-00001E260000}"/>
    <cellStyle name="Normal 2 2 10 7 5 6" xfId="9759" xr:uid="{00000000-0005-0000-0000-00001F260000}"/>
    <cellStyle name="Normal 2 2 10 7 5 7" xfId="9760" xr:uid="{00000000-0005-0000-0000-000020260000}"/>
    <cellStyle name="Normal 2 2 10 7 5 8" xfId="9761" xr:uid="{00000000-0005-0000-0000-000021260000}"/>
    <cellStyle name="Normal 2 2 10 7 5 9" xfId="9762" xr:uid="{00000000-0005-0000-0000-000022260000}"/>
    <cellStyle name="Normal 2 2 10 7 6" xfId="9763" xr:uid="{00000000-0005-0000-0000-000023260000}"/>
    <cellStyle name="Normal 2 2 10 7 7" xfId="9764" xr:uid="{00000000-0005-0000-0000-000024260000}"/>
    <cellStyle name="Normal 2 2 10 7 8" xfId="9765" xr:uid="{00000000-0005-0000-0000-000025260000}"/>
    <cellStyle name="Normal 2 2 10 7 9" xfId="9766" xr:uid="{00000000-0005-0000-0000-000026260000}"/>
    <cellStyle name="Normal 2 2 10 8" xfId="9767" xr:uid="{00000000-0005-0000-0000-000027260000}"/>
    <cellStyle name="Normal 2 2 10 8 10" xfId="9768" xr:uid="{00000000-0005-0000-0000-000028260000}"/>
    <cellStyle name="Normal 2 2 10 8 11" xfId="9769" xr:uid="{00000000-0005-0000-0000-000029260000}"/>
    <cellStyle name="Normal 2 2 10 8 12" xfId="9770" xr:uid="{00000000-0005-0000-0000-00002A260000}"/>
    <cellStyle name="Normal 2 2 10 8 13" xfId="9771" xr:uid="{00000000-0005-0000-0000-00002B260000}"/>
    <cellStyle name="Normal 2 2 10 8 14" xfId="9772" xr:uid="{00000000-0005-0000-0000-00002C260000}"/>
    <cellStyle name="Normal 2 2 10 8 2" xfId="9773" xr:uid="{00000000-0005-0000-0000-00002D260000}"/>
    <cellStyle name="Normal 2 2 10 8 2 10" xfId="9774" xr:uid="{00000000-0005-0000-0000-00002E260000}"/>
    <cellStyle name="Normal 2 2 10 8 2 2" xfId="9775" xr:uid="{00000000-0005-0000-0000-00002F260000}"/>
    <cellStyle name="Normal 2 2 10 8 2 3" xfId="9776" xr:uid="{00000000-0005-0000-0000-000030260000}"/>
    <cellStyle name="Normal 2 2 10 8 2 4" xfId="9777" xr:uid="{00000000-0005-0000-0000-000031260000}"/>
    <cellStyle name="Normal 2 2 10 8 2 5" xfId="9778" xr:uid="{00000000-0005-0000-0000-000032260000}"/>
    <cellStyle name="Normal 2 2 10 8 2 6" xfId="9779" xr:uid="{00000000-0005-0000-0000-000033260000}"/>
    <cellStyle name="Normal 2 2 10 8 2 7" xfId="9780" xr:uid="{00000000-0005-0000-0000-000034260000}"/>
    <cellStyle name="Normal 2 2 10 8 2 8" xfId="9781" xr:uid="{00000000-0005-0000-0000-000035260000}"/>
    <cellStyle name="Normal 2 2 10 8 2 9" xfId="9782" xr:uid="{00000000-0005-0000-0000-000036260000}"/>
    <cellStyle name="Normal 2 2 10 8 3" xfId="9783" xr:uid="{00000000-0005-0000-0000-000037260000}"/>
    <cellStyle name="Normal 2 2 10 8 3 10" xfId="9784" xr:uid="{00000000-0005-0000-0000-000038260000}"/>
    <cellStyle name="Normal 2 2 10 8 3 2" xfId="9785" xr:uid="{00000000-0005-0000-0000-000039260000}"/>
    <cellStyle name="Normal 2 2 10 8 3 3" xfId="9786" xr:uid="{00000000-0005-0000-0000-00003A260000}"/>
    <cellStyle name="Normal 2 2 10 8 3 4" xfId="9787" xr:uid="{00000000-0005-0000-0000-00003B260000}"/>
    <cellStyle name="Normal 2 2 10 8 3 5" xfId="9788" xr:uid="{00000000-0005-0000-0000-00003C260000}"/>
    <cellStyle name="Normal 2 2 10 8 3 6" xfId="9789" xr:uid="{00000000-0005-0000-0000-00003D260000}"/>
    <cellStyle name="Normal 2 2 10 8 3 7" xfId="9790" xr:uid="{00000000-0005-0000-0000-00003E260000}"/>
    <cellStyle name="Normal 2 2 10 8 3 8" xfId="9791" xr:uid="{00000000-0005-0000-0000-00003F260000}"/>
    <cellStyle name="Normal 2 2 10 8 3 9" xfId="9792" xr:uid="{00000000-0005-0000-0000-000040260000}"/>
    <cellStyle name="Normal 2 2 10 8 4" xfId="9793" xr:uid="{00000000-0005-0000-0000-000041260000}"/>
    <cellStyle name="Normal 2 2 10 8 4 10" xfId="9794" xr:uid="{00000000-0005-0000-0000-000042260000}"/>
    <cellStyle name="Normal 2 2 10 8 4 2" xfId="9795" xr:uid="{00000000-0005-0000-0000-000043260000}"/>
    <cellStyle name="Normal 2 2 10 8 4 3" xfId="9796" xr:uid="{00000000-0005-0000-0000-000044260000}"/>
    <cellStyle name="Normal 2 2 10 8 4 4" xfId="9797" xr:uid="{00000000-0005-0000-0000-000045260000}"/>
    <cellStyle name="Normal 2 2 10 8 4 5" xfId="9798" xr:uid="{00000000-0005-0000-0000-000046260000}"/>
    <cellStyle name="Normal 2 2 10 8 4 6" xfId="9799" xr:uid="{00000000-0005-0000-0000-000047260000}"/>
    <cellStyle name="Normal 2 2 10 8 4 7" xfId="9800" xr:uid="{00000000-0005-0000-0000-000048260000}"/>
    <cellStyle name="Normal 2 2 10 8 4 8" xfId="9801" xr:uid="{00000000-0005-0000-0000-000049260000}"/>
    <cellStyle name="Normal 2 2 10 8 4 9" xfId="9802" xr:uid="{00000000-0005-0000-0000-00004A260000}"/>
    <cellStyle name="Normal 2 2 10 8 5" xfId="9803" xr:uid="{00000000-0005-0000-0000-00004B260000}"/>
    <cellStyle name="Normal 2 2 10 8 5 10" xfId="9804" xr:uid="{00000000-0005-0000-0000-00004C260000}"/>
    <cellStyle name="Normal 2 2 10 8 5 2" xfId="9805" xr:uid="{00000000-0005-0000-0000-00004D260000}"/>
    <cellStyle name="Normal 2 2 10 8 5 3" xfId="9806" xr:uid="{00000000-0005-0000-0000-00004E260000}"/>
    <cellStyle name="Normal 2 2 10 8 5 4" xfId="9807" xr:uid="{00000000-0005-0000-0000-00004F260000}"/>
    <cellStyle name="Normal 2 2 10 8 5 5" xfId="9808" xr:uid="{00000000-0005-0000-0000-000050260000}"/>
    <cellStyle name="Normal 2 2 10 8 5 6" xfId="9809" xr:uid="{00000000-0005-0000-0000-000051260000}"/>
    <cellStyle name="Normal 2 2 10 8 5 7" xfId="9810" xr:uid="{00000000-0005-0000-0000-000052260000}"/>
    <cellStyle name="Normal 2 2 10 8 5 8" xfId="9811" xr:uid="{00000000-0005-0000-0000-000053260000}"/>
    <cellStyle name="Normal 2 2 10 8 5 9" xfId="9812" xr:uid="{00000000-0005-0000-0000-000054260000}"/>
    <cellStyle name="Normal 2 2 10 8 6" xfId="9813" xr:uid="{00000000-0005-0000-0000-000055260000}"/>
    <cellStyle name="Normal 2 2 10 8 7" xfId="9814" xr:uid="{00000000-0005-0000-0000-000056260000}"/>
    <cellStyle name="Normal 2 2 10 8 8" xfId="9815" xr:uid="{00000000-0005-0000-0000-000057260000}"/>
    <cellStyle name="Normal 2 2 10 8 9" xfId="9816" xr:uid="{00000000-0005-0000-0000-000058260000}"/>
    <cellStyle name="Normal 2 2 10 9" xfId="9817" xr:uid="{00000000-0005-0000-0000-000059260000}"/>
    <cellStyle name="Normal 2 2 10 9 10" xfId="9818" xr:uid="{00000000-0005-0000-0000-00005A260000}"/>
    <cellStyle name="Normal 2 2 10 9 11" xfId="9819" xr:uid="{00000000-0005-0000-0000-00005B260000}"/>
    <cellStyle name="Normal 2 2 10 9 12" xfId="9820" xr:uid="{00000000-0005-0000-0000-00005C260000}"/>
    <cellStyle name="Normal 2 2 10 9 13" xfId="9821" xr:uid="{00000000-0005-0000-0000-00005D260000}"/>
    <cellStyle name="Normal 2 2 10 9 14" xfId="9822" xr:uid="{00000000-0005-0000-0000-00005E260000}"/>
    <cellStyle name="Normal 2 2 10 9 2" xfId="9823" xr:uid="{00000000-0005-0000-0000-00005F260000}"/>
    <cellStyle name="Normal 2 2 10 9 2 10" xfId="9824" xr:uid="{00000000-0005-0000-0000-000060260000}"/>
    <cellStyle name="Normal 2 2 10 9 2 2" xfId="9825" xr:uid="{00000000-0005-0000-0000-000061260000}"/>
    <cellStyle name="Normal 2 2 10 9 2 3" xfId="9826" xr:uid="{00000000-0005-0000-0000-000062260000}"/>
    <cellStyle name="Normal 2 2 10 9 2 4" xfId="9827" xr:uid="{00000000-0005-0000-0000-000063260000}"/>
    <cellStyle name="Normal 2 2 10 9 2 5" xfId="9828" xr:uid="{00000000-0005-0000-0000-000064260000}"/>
    <cellStyle name="Normal 2 2 10 9 2 6" xfId="9829" xr:uid="{00000000-0005-0000-0000-000065260000}"/>
    <cellStyle name="Normal 2 2 10 9 2 7" xfId="9830" xr:uid="{00000000-0005-0000-0000-000066260000}"/>
    <cellStyle name="Normal 2 2 10 9 2 8" xfId="9831" xr:uid="{00000000-0005-0000-0000-000067260000}"/>
    <cellStyle name="Normal 2 2 10 9 2 9" xfId="9832" xr:uid="{00000000-0005-0000-0000-000068260000}"/>
    <cellStyle name="Normal 2 2 10 9 3" xfId="9833" xr:uid="{00000000-0005-0000-0000-000069260000}"/>
    <cellStyle name="Normal 2 2 10 9 3 10" xfId="9834" xr:uid="{00000000-0005-0000-0000-00006A260000}"/>
    <cellStyle name="Normal 2 2 10 9 3 2" xfId="9835" xr:uid="{00000000-0005-0000-0000-00006B260000}"/>
    <cellStyle name="Normal 2 2 10 9 3 3" xfId="9836" xr:uid="{00000000-0005-0000-0000-00006C260000}"/>
    <cellStyle name="Normal 2 2 10 9 3 4" xfId="9837" xr:uid="{00000000-0005-0000-0000-00006D260000}"/>
    <cellStyle name="Normal 2 2 10 9 3 5" xfId="9838" xr:uid="{00000000-0005-0000-0000-00006E260000}"/>
    <cellStyle name="Normal 2 2 10 9 3 6" xfId="9839" xr:uid="{00000000-0005-0000-0000-00006F260000}"/>
    <cellStyle name="Normal 2 2 10 9 3 7" xfId="9840" xr:uid="{00000000-0005-0000-0000-000070260000}"/>
    <cellStyle name="Normal 2 2 10 9 3 8" xfId="9841" xr:uid="{00000000-0005-0000-0000-000071260000}"/>
    <cellStyle name="Normal 2 2 10 9 3 9" xfId="9842" xr:uid="{00000000-0005-0000-0000-000072260000}"/>
    <cellStyle name="Normal 2 2 10 9 4" xfId="9843" xr:uid="{00000000-0005-0000-0000-000073260000}"/>
    <cellStyle name="Normal 2 2 10 9 4 10" xfId="9844" xr:uid="{00000000-0005-0000-0000-000074260000}"/>
    <cellStyle name="Normal 2 2 10 9 4 2" xfId="9845" xr:uid="{00000000-0005-0000-0000-000075260000}"/>
    <cellStyle name="Normal 2 2 10 9 4 3" xfId="9846" xr:uid="{00000000-0005-0000-0000-000076260000}"/>
    <cellStyle name="Normal 2 2 10 9 4 4" xfId="9847" xr:uid="{00000000-0005-0000-0000-000077260000}"/>
    <cellStyle name="Normal 2 2 10 9 4 5" xfId="9848" xr:uid="{00000000-0005-0000-0000-000078260000}"/>
    <cellStyle name="Normal 2 2 10 9 4 6" xfId="9849" xr:uid="{00000000-0005-0000-0000-000079260000}"/>
    <cellStyle name="Normal 2 2 10 9 4 7" xfId="9850" xr:uid="{00000000-0005-0000-0000-00007A260000}"/>
    <cellStyle name="Normal 2 2 10 9 4 8" xfId="9851" xr:uid="{00000000-0005-0000-0000-00007B260000}"/>
    <cellStyle name="Normal 2 2 10 9 4 9" xfId="9852" xr:uid="{00000000-0005-0000-0000-00007C260000}"/>
    <cellStyle name="Normal 2 2 10 9 5" xfId="9853" xr:uid="{00000000-0005-0000-0000-00007D260000}"/>
    <cellStyle name="Normal 2 2 10 9 5 10" xfId="9854" xr:uid="{00000000-0005-0000-0000-00007E260000}"/>
    <cellStyle name="Normal 2 2 10 9 5 2" xfId="9855" xr:uid="{00000000-0005-0000-0000-00007F260000}"/>
    <cellStyle name="Normal 2 2 10 9 5 3" xfId="9856" xr:uid="{00000000-0005-0000-0000-000080260000}"/>
    <cellStyle name="Normal 2 2 10 9 5 4" xfId="9857" xr:uid="{00000000-0005-0000-0000-000081260000}"/>
    <cellStyle name="Normal 2 2 10 9 5 5" xfId="9858" xr:uid="{00000000-0005-0000-0000-000082260000}"/>
    <cellStyle name="Normal 2 2 10 9 5 6" xfId="9859" xr:uid="{00000000-0005-0000-0000-000083260000}"/>
    <cellStyle name="Normal 2 2 10 9 5 7" xfId="9860" xr:uid="{00000000-0005-0000-0000-000084260000}"/>
    <cellStyle name="Normal 2 2 10 9 5 8" xfId="9861" xr:uid="{00000000-0005-0000-0000-000085260000}"/>
    <cellStyle name="Normal 2 2 10 9 5 9" xfId="9862" xr:uid="{00000000-0005-0000-0000-000086260000}"/>
    <cellStyle name="Normal 2 2 10 9 6" xfId="9863" xr:uid="{00000000-0005-0000-0000-000087260000}"/>
    <cellStyle name="Normal 2 2 10 9 7" xfId="9864" xr:uid="{00000000-0005-0000-0000-000088260000}"/>
    <cellStyle name="Normal 2 2 10 9 8" xfId="9865" xr:uid="{00000000-0005-0000-0000-000089260000}"/>
    <cellStyle name="Normal 2 2 10 9 9" xfId="9866" xr:uid="{00000000-0005-0000-0000-00008A260000}"/>
    <cellStyle name="Normal 2 2 11" xfId="9867" xr:uid="{00000000-0005-0000-0000-00008B260000}"/>
    <cellStyle name="Normal 2 2 12" xfId="9868" xr:uid="{00000000-0005-0000-0000-00008C260000}"/>
    <cellStyle name="Normal 2 2 13" xfId="9869" xr:uid="{00000000-0005-0000-0000-00008D260000}"/>
    <cellStyle name="Normal 2 2 14" xfId="9870" xr:uid="{00000000-0005-0000-0000-00008E260000}"/>
    <cellStyle name="Normal 2 2 15" xfId="9871" xr:uid="{00000000-0005-0000-0000-00008F260000}"/>
    <cellStyle name="Normal 2 2 16" xfId="9872" xr:uid="{00000000-0005-0000-0000-000090260000}"/>
    <cellStyle name="Normal 2 2 17" xfId="9873" xr:uid="{00000000-0005-0000-0000-000091260000}"/>
    <cellStyle name="Normal 2 2 18" xfId="9874" xr:uid="{00000000-0005-0000-0000-000092260000}"/>
    <cellStyle name="Normal 2 2 19" xfId="9875" xr:uid="{00000000-0005-0000-0000-000093260000}"/>
    <cellStyle name="Normal 2 2 2" xfId="416" xr:uid="{00000000-0005-0000-0000-0000A0010000}"/>
    <cellStyle name="Normal 2 2 2 10" xfId="9876" xr:uid="{00000000-0005-0000-0000-000094260000}"/>
    <cellStyle name="Normal 2 2 2 10 10" xfId="9877" xr:uid="{00000000-0005-0000-0000-000095260000}"/>
    <cellStyle name="Normal 2 2 2 10 11" xfId="9878" xr:uid="{00000000-0005-0000-0000-000096260000}"/>
    <cellStyle name="Normal 2 2 2 10 12" xfId="9879" xr:uid="{00000000-0005-0000-0000-000097260000}"/>
    <cellStyle name="Normal 2 2 2 10 13" xfId="9880" xr:uid="{00000000-0005-0000-0000-000098260000}"/>
    <cellStyle name="Normal 2 2 2 10 14" xfId="9881" xr:uid="{00000000-0005-0000-0000-000099260000}"/>
    <cellStyle name="Normal 2 2 2 10 2" xfId="9882" xr:uid="{00000000-0005-0000-0000-00009A260000}"/>
    <cellStyle name="Normal 2 2 2 10 2 10" xfId="9883" xr:uid="{00000000-0005-0000-0000-00009B260000}"/>
    <cellStyle name="Normal 2 2 2 10 2 2" xfId="9884" xr:uid="{00000000-0005-0000-0000-00009C260000}"/>
    <cellStyle name="Normal 2 2 2 10 2 3" xfId="9885" xr:uid="{00000000-0005-0000-0000-00009D260000}"/>
    <cellStyle name="Normal 2 2 2 10 2 4" xfId="9886" xr:uid="{00000000-0005-0000-0000-00009E260000}"/>
    <cellStyle name="Normal 2 2 2 10 2 5" xfId="9887" xr:uid="{00000000-0005-0000-0000-00009F260000}"/>
    <cellStyle name="Normal 2 2 2 10 2 6" xfId="9888" xr:uid="{00000000-0005-0000-0000-0000A0260000}"/>
    <cellStyle name="Normal 2 2 2 10 2 7" xfId="9889" xr:uid="{00000000-0005-0000-0000-0000A1260000}"/>
    <cellStyle name="Normal 2 2 2 10 2 8" xfId="9890" xr:uid="{00000000-0005-0000-0000-0000A2260000}"/>
    <cellStyle name="Normal 2 2 2 10 2 9" xfId="9891" xr:uid="{00000000-0005-0000-0000-0000A3260000}"/>
    <cellStyle name="Normal 2 2 2 10 3" xfId="9892" xr:uid="{00000000-0005-0000-0000-0000A4260000}"/>
    <cellStyle name="Normal 2 2 2 10 3 10" xfId="9893" xr:uid="{00000000-0005-0000-0000-0000A5260000}"/>
    <cellStyle name="Normal 2 2 2 10 3 2" xfId="9894" xr:uid="{00000000-0005-0000-0000-0000A6260000}"/>
    <cellStyle name="Normal 2 2 2 10 3 3" xfId="9895" xr:uid="{00000000-0005-0000-0000-0000A7260000}"/>
    <cellStyle name="Normal 2 2 2 10 3 4" xfId="9896" xr:uid="{00000000-0005-0000-0000-0000A8260000}"/>
    <cellStyle name="Normal 2 2 2 10 3 5" xfId="9897" xr:uid="{00000000-0005-0000-0000-0000A9260000}"/>
    <cellStyle name="Normal 2 2 2 10 3 6" xfId="9898" xr:uid="{00000000-0005-0000-0000-0000AA260000}"/>
    <cellStyle name="Normal 2 2 2 10 3 7" xfId="9899" xr:uid="{00000000-0005-0000-0000-0000AB260000}"/>
    <cellStyle name="Normal 2 2 2 10 3 8" xfId="9900" xr:uid="{00000000-0005-0000-0000-0000AC260000}"/>
    <cellStyle name="Normal 2 2 2 10 3 9" xfId="9901" xr:uid="{00000000-0005-0000-0000-0000AD260000}"/>
    <cellStyle name="Normal 2 2 2 10 4" xfId="9902" xr:uid="{00000000-0005-0000-0000-0000AE260000}"/>
    <cellStyle name="Normal 2 2 2 10 4 10" xfId="9903" xr:uid="{00000000-0005-0000-0000-0000AF260000}"/>
    <cellStyle name="Normal 2 2 2 10 4 2" xfId="9904" xr:uid="{00000000-0005-0000-0000-0000B0260000}"/>
    <cellStyle name="Normal 2 2 2 10 4 3" xfId="9905" xr:uid="{00000000-0005-0000-0000-0000B1260000}"/>
    <cellStyle name="Normal 2 2 2 10 4 4" xfId="9906" xr:uid="{00000000-0005-0000-0000-0000B2260000}"/>
    <cellStyle name="Normal 2 2 2 10 4 5" xfId="9907" xr:uid="{00000000-0005-0000-0000-0000B3260000}"/>
    <cellStyle name="Normal 2 2 2 10 4 6" xfId="9908" xr:uid="{00000000-0005-0000-0000-0000B4260000}"/>
    <cellStyle name="Normal 2 2 2 10 4 7" xfId="9909" xr:uid="{00000000-0005-0000-0000-0000B5260000}"/>
    <cellStyle name="Normal 2 2 2 10 4 8" xfId="9910" xr:uid="{00000000-0005-0000-0000-0000B6260000}"/>
    <cellStyle name="Normal 2 2 2 10 4 9" xfId="9911" xr:uid="{00000000-0005-0000-0000-0000B7260000}"/>
    <cellStyle name="Normal 2 2 2 10 5" xfId="9912" xr:uid="{00000000-0005-0000-0000-0000B8260000}"/>
    <cellStyle name="Normal 2 2 2 10 5 10" xfId="9913" xr:uid="{00000000-0005-0000-0000-0000B9260000}"/>
    <cellStyle name="Normal 2 2 2 10 5 2" xfId="9914" xr:uid="{00000000-0005-0000-0000-0000BA260000}"/>
    <cellStyle name="Normal 2 2 2 10 5 3" xfId="9915" xr:uid="{00000000-0005-0000-0000-0000BB260000}"/>
    <cellStyle name="Normal 2 2 2 10 5 4" xfId="9916" xr:uid="{00000000-0005-0000-0000-0000BC260000}"/>
    <cellStyle name="Normal 2 2 2 10 5 5" xfId="9917" xr:uid="{00000000-0005-0000-0000-0000BD260000}"/>
    <cellStyle name="Normal 2 2 2 10 5 6" xfId="9918" xr:uid="{00000000-0005-0000-0000-0000BE260000}"/>
    <cellStyle name="Normal 2 2 2 10 5 7" xfId="9919" xr:uid="{00000000-0005-0000-0000-0000BF260000}"/>
    <cellStyle name="Normal 2 2 2 10 5 8" xfId="9920" xr:uid="{00000000-0005-0000-0000-0000C0260000}"/>
    <cellStyle name="Normal 2 2 2 10 5 9" xfId="9921" xr:uid="{00000000-0005-0000-0000-0000C1260000}"/>
    <cellStyle name="Normal 2 2 2 10 6" xfId="9922" xr:uid="{00000000-0005-0000-0000-0000C2260000}"/>
    <cellStyle name="Normal 2 2 2 10 7" xfId="9923" xr:uid="{00000000-0005-0000-0000-0000C3260000}"/>
    <cellStyle name="Normal 2 2 2 10 8" xfId="9924" xr:uid="{00000000-0005-0000-0000-0000C4260000}"/>
    <cellStyle name="Normal 2 2 2 10 9" xfId="9925" xr:uid="{00000000-0005-0000-0000-0000C5260000}"/>
    <cellStyle name="Normal 2 2 2 11" xfId="9926" xr:uid="{00000000-0005-0000-0000-0000C6260000}"/>
    <cellStyle name="Normal 2 2 2 11 10" xfId="9927" xr:uid="{00000000-0005-0000-0000-0000C7260000}"/>
    <cellStyle name="Normal 2 2 2 11 11" xfId="9928" xr:uid="{00000000-0005-0000-0000-0000C8260000}"/>
    <cellStyle name="Normal 2 2 2 11 12" xfId="9929" xr:uid="{00000000-0005-0000-0000-0000C9260000}"/>
    <cellStyle name="Normal 2 2 2 11 13" xfId="9930" xr:uid="{00000000-0005-0000-0000-0000CA260000}"/>
    <cellStyle name="Normal 2 2 2 11 14" xfId="9931" xr:uid="{00000000-0005-0000-0000-0000CB260000}"/>
    <cellStyle name="Normal 2 2 2 11 2" xfId="9932" xr:uid="{00000000-0005-0000-0000-0000CC260000}"/>
    <cellStyle name="Normal 2 2 2 11 2 10" xfId="9933" xr:uid="{00000000-0005-0000-0000-0000CD260000}"/>
    <cellStyle name="Normal 2 2 2 11 2 2" xfId="9934" xr:uid="{00000000-0005-0000-0000-0000CE260000}"/>
    <cellStyle name="Normal 2 2 2 11 2 3" xfId="9935" xr:uid="{00000000-0005-0000-0000-0000CF260000}"/>
    <cellStyle name="Normal 2 2 2 11 2 4" xfId="9936" xr:uid="{00000000-0005-0000-0000-0000D0260000}"/>
    <cellStyle name="Normal 2 2 2 11 2 5" xfId="9937" xr:uid="{00000000-0005-0000-0000-0000D1260000}"/>
    <cellStyle name="Normal 2 2 2 11 2 6" xfId="9938" xr:uid="{00000000-0005-0000-0000-0000D2260000}"/>
    <cellStyle name="Normal 2 2 2 11 2 7" xfId="9939" xr:uid="{00000000-0005-0000-0000-0000D3260000}"/>
    <cellStyle name="Normal 2 2 2 11 2 8" xfId="9940" xr:uid="{00000000-0005-0000-0000-0000D4260000}"/>
    <cellStyle name="Normal 2 2 2 11 2 9" xfId="9941" xr:uid="{00000000-0005-0000-0000-0000D5260000}"/>
    <cellStyle name="Normal 2 2 2 11 3" xfId="9942" xr:uid="{00000000-0005-0000-0000-0000D6260000}"/>
    <cellStyle name="Normal 2 2 2 11 3 10" xfId="9943" xr:uid="{00000000-0005-0000-0000-0000D7260000}"/>
    <cellStyle name="Normal 2 2 2 11 3 2" xfId="9944" xr:uid="{00000000-0005-0000-0000-0000D8260000}"/>
    <cellStyle name="Normal 2 2 2 11 3 3" xfId="9945" xr:uid="{00000000-0005-0000-0000-0000D9260000}"/>
    <cellStyle name="Normal 2 2 2 11 3 4" xfId="9946" xr:uid="{00000000-0005-0000-0000-0000DA260000}"/>
    <cellStyle name="Normal 2 2 2 11 3 5" xfId="9947" xr:uid="{00000000-0005-0000-0000-0000DB260000}"/>
    <cellStyle name="Normal 2 2 2 11 3 6" xfId="9948" xr:uid="{00000000-0005-0000-0000-0000DC260000}"/>
    <cellStyle name="Normal 2 2 2 11 3 7" xfId="9949" xr:uid="{00000000-0005-0000-0000-0000DD260000}"/>
    <cellStyle name="Normal 2 2 2 11 3 8" xfId="9950" xr:uid="{00000000-0005-0000-0000-0000DE260000}"/>
    <cellStyle name="Normal 2 2 2 11 3 9" xfId="9951" xr:uid="{00000000-0005-0000-0000-0000DF260000}"/>
    <cellStyle name="Normal 2 2 2 11 4" xfId="9952" xr:uid="{00000000-0005-0000-0000-0000E0260000}"/>
    <cellStyle name="Normal 2 2 2 11 4 10" xfId="9953" xr:uid="{00000000-0005-0000-0000-0000E1260000}"/>
    <cellStyle name="Normal 2 2 2 11 4 2" xfId="9954" xr:uid="{00000000-0005-0000-0000-0000E2260000}"/>
    <cellStyle name="Normal 2 2 2 11 4 3" xfId="9955" xr:uid="{00000000-0005-0000-0000-0000E3260000}"/>
    <cellStyle name="Normal 2 2 2 11 4 4" xfId="9956" xr:uid="{00000000-0005-0000-0000-0000E4260000}"/>
    <cellStyle name="Normal 2 2 2 11 4 5" xfId="9957" xr:uid="{00000000-0005-0000-0000-0000E5260000}"/>
    <cellStyle name="Normal 2 2 2 11 4 6" xfId="9958" xr:uid="{00000000-0005-0000-0000-0000E6260000}"/>
    <cellStyle name="Normal 2 2 2 11 4 7" xfId="9959" xr:uid="{00000000-0005-0000-0000-0000E7260000}"/>
    <cellStyle name="Normal 2 2 2 11 4 8" xfId="9960" xr:uid="{00000000-0005-0000-0000-0000E8260000}"/>
    <cellStyle name="Normal 2 2 2 11 4 9" xfId="9961" xr:uid="{00000000-0005-0000-0000-0000E9260000}"/>
    <cellStyle name="Normal 2 2 2 11 5" xfId="9962" xr:uid="{00000000-0005-0000-0000-0000EA260000}"/>
    <cellStyle name="Normal 2 2 2 11 5 10" xfId="9963" xr:uid="{00000000-0005-0000-0000-0000EB260000}"/>
    <cellStyle name="Normal 2 2 2 11 5 2" xfId="9964" xr:uid="{00000000-0005-0000-0000-0000EC260000}"/>
    <cellStyle name="Normal 2 2 2 11 5 3" xfId="9965" xr:uid="{00000000-0005-0000-0000-0000ED260000}"/>
    <cellStyle name="Normal 2 2 2 11 5 4" xfId="9966" xr:uid="{00000000-0005-0000-0000-0000EE260000}"/>
    <cellStyle name="Normal 2 2 2 11 5 5" xfId="9967" xr:uid="{00000000-0005-0000-0000-0000EF260000}"/>
    <cellStyle name="Normal 2 2 2 11 5 6" xfId="9968" xr:uid="{00000000-0005-0000-0000-0000F0260000}"/>
    <cellStyle name="Normal 2 2 2 11 5 7" xfId="9969" xr:uid="{00000000-0005-0000-0000-0000F1260000}"/>
    <cellStyle name="Normal 2 2 2 11 5 8" xfId="9970" xr:uid="{00000000-0005-0000-0000-0000F2260000}"/>
    <cellStyle name="Normal 2 2 2 11 5 9" xfId="9971" xr:uid="{00000000-0005-0000-0000-0000F3260000}"/>
    <cellStyle name="Normal 2 2 2 11 6" xfId="9972" xr:uid="{00000000-0005-0000-0000-0000F4260000}"/>
    <cellStyle name="Normal 2 2 2 11 7" xfId="9973" xr:uid="{00000000-0005-0000-0000-0000F5260000}"/>
    <cellStyle name="Normal 2 2 2 11 8" xfId="9974" xr:uid="{00000000-0005-0000-0000-0000F6260000}"/>
    <cellStyle name="Normal 2 2 2 11 9" xfId="9975" xr:uid="{00000000-0005-0000-0000-0000F7260000}"/>
    <cellStyle name="Normal 2 2 2 12" xfId="9976" xr:uid="{00000000-0005-0000-0000-0000F8260000}"/>
    <cellStyle name="Normal 2 2 2 12 10" xfId="9977" xr:uid="{00000000-0005-0000-0000-0000F9260000}"/>
    <cellStyle name="Normal 2 2 2 12 11" xfId="9978" xr:uid="{00000000-0005-0000-0000-0000FA260000}"/>
    <cellStyle name="Normal 2 2 2 12 12" xfId="9979" xr:uid="{00000000-0005-0000-0000-0000FB260000}"/>
    <cellStyle name="Normal 2 2 2 12 13" xfId="9980" xr:uid="{00000000-0005-0000-0000-0000FC260000}"/>
    <cellStyle name="Normal 2 2 2 12 14" xfId="9981" xr:uid="{00000000-0005-0000-0000-0000FD260000}"/>
    <cellStyle name="Normal 2 2 2 12 2" xfId="9982" xr:uid="{00000000-0005-0000-0000-0000FE260000}"/>
    <cellStyle name="Normal 2 2 2 12 2 10" xfId="9983" xr:uid="{00000000-0005-0000-0000-0000FF260000}"/>
    <cellStyle name="Normal 2 2 2 12 2 2" xfId="9984" xr:uid="{00000000-0005-0000-0000-000000270000}"/>
    <cellStyle name="Normal 2 2 2 12 2 3" xfId="9985" xr:uid="{00000000-0005-0000-0000-000001270000}"/>
    <cellStyle name="Normal 2 2 2 12 2 4" xfId="9986" xr:uid="{00000000-0005-0000-0000-000002270000}"/>
    <cellStyle name="Normal 2 2 2 12 2 5" xfId="9987" xr:uid="{00000000-0005-0000-0000-000003270000}"/>
    <cellStyle name="Normal 2 2 2 12 2 6" xfId="9988" xr:uid="{00000000-0005-0000-0000-000004270000}"/>
    <cellStyle name="Normal 2 2 2 12 2 7" xfId="9989" xr:uid="{00000000-0005-0000-0000-000005270000}"/>
    <cellStyle name="Normal 2 2 2 12 2 8" xfId="9990" xr:uid="{00000000-0005-0000-0000-000006270000}"/>
    <cellStyle name="Normal 2 2 2 12 2 9" xfId="9991" xr:uid="{00000000-0005-0000-0000-000007270000}"/>
    <cellStyle name="Normal 2 2 2 12 3" xfId="9992" xr:uid="{00000000-0005-0000-0000-000008270000}"/>
    <cellStyle name="Normal 2 2 2 12 3 10" xfId="9993" xr:uid="{00000000-0005-0000-0000-000009270000}"/>
    <cellStyle name="Normal 2 2 2 12 3 2" xfId="9994" xr:uid="{00000000-0005-0000-0000-00000A270000}"/>
    <cellStyle name="Normal 2 2 2 12 3 3" xfId="9995" xr:uid="{00000000-0005-0000-0000-00000B270000}"/>
    <cellStyle name="Normal 2 2 2 12 3 4" xfId="9996" xr:uid="{00000000-0005-0000-0000-00000C270000}"/>
    <cellStyle name="Normal 2 2 2 12 3 5" xfId="9997" xr:uid="{00000000-0005-0000-0000-00000D270000}"/>
    <cellStyle name="Normal 2 2 2 12 3 6" xfId="9998" xr:uid="{00000000-0005-0000-0000-00000E270000}"/>
    <cellStyle name="Normal 2 2 2 12 3 7" xfId="9999" xr:uid="{00000000-0005-0000-0000-00000F270000}"/>
    <cellStyle name="Normal 2 2 2 12 3 8" xfId="10000" xr:uid="{00000000-0005-0000-0000-000010270000}"/>
    <cellStyle name="Normal 2 2 2 12 3 9" xfId="10001" xr:uid="{00000000-0005-0000-0000-000011270000}"/>
    <cellStyle name="Normal 2 2 2 12 4" xfId="10002" xr:uid="{00000000-0005-0000-0000-000012270000}"/>
    <cellStyle name="Normal 2 2 2 12 4 10" xfId="10003" xr:uid="{00000000-0005-0000-0000-000013270000}"/>
    <cellStyle name="Normal 2 2 2 12 4 2" xfId="10004" xr:uid="{00000000-0005-0000-0000-000014270000}"/>
    <cellStyle name="Normal 2 2 2 12 4 3" xfId="10005" xr:uid="{00000000-0005-0000-0000-000015270000}"/>
    <cellStyle name="Normal 2 2 2 12 4 4" xfId="10006" xr:uid="{00000000-0005-0000-0000-000016270000}"/>
    <cellStyle name="Normal 2 2 2 12 4 5" xfId="10007" xr:uid="{00000000-0005-0000-0000-000017270000}"/>
    <cellStyle name="Normal 2 2 2 12 4 6" xfId="10008" xr:uid="{00000000-0005-0000-0000-000018270000}"/>
    <cellStyle name="Normal 2 2 2 12 4 7" xfId="10009" xr:uid="{00000000-0005-0000-0000-000019270000}"/>
    <cellStyle name="Normal 2 2 2 12 4 8" xfId="10010" xr:uid="{00000000-0005-0000-0000-00001A270000}"/>
    <cellStyle name="Normal 2 2 2 12 4 9" xfId="10011" xr:uid="{00000000-0005-0000-0000-00001B270000}"/>
    <cellStyle name="Normal 2 2 2 12 5" xfId="10012" xr:uid="{00000000-0005-0000-0000-00001C270000}"/>
    <cellStyle name="Normal 2 2 2 12 5 10" xfId="10013" xr:uid="{00000000-0005-0000-0000-00001D270000}"/>
    <cellStyle name="Normal 2 2 2 12 5 2" xfId="10014" xr:uid="{00000000-0005-0000-0000-00001E270000}"/>
    <cellStyle name="Normal 2 2 2 12 5 3" xfId="10015" xr:uid="{00000000-0005-0000-0000-00001F270000}"/>
    <cellStyle name="Normal 2 2 2 12 5 4" xfId="10016" xr:uid="{00000000-0005-0000-0000-000020270000}"/>
    <cellStyle name="Normal 2 2 2 12 5 5" xfId="10017" xr:uid="{00000000-0005-0000-0000-000021270000}"/>
    <cellStyle name="Normal 2 2 2 12 5 6" xfId="10018" xr:uid="{00000000-0005-0000-0000-000022270000}"/>
    <cellStyle name="Normal 2 2 2 12 5 7" xfId="10019" xr:uid="{00000000-0005-0000-0000-000023270000}"/>
    <cellStyle name="Normal 2 2 2 12 5 8" xfId="10020" xr:uid="{00000000-0005-0000-0000-000024270000}"/>
    <cellStyle name="Normal 2 2 2 12 5 9" xfId="10021" xr:uid="{00000000-0005-0000-0000-000025270000}"/>
    <cellStyle name="Normal 2 2 2 12 6" xfId="10022" xr:uid="{00000000-0005-0000-0000-000026270000}"/>
    <cellStyle name="Normal 2 2 2 12 7" xfId="10023" xr:uid="{00000000-0005-0000-0000-000027270000}"/>
    <cellStyle name="Normal 2 2 2 12 8" xfId="10024" xr:uid="{00000000-0005-0000-0000-000028270000}"/>
    <cellStyle name="Normal 2 2 2 12 9" xfId="10025" xr:uid="{00000000-0005-0000-0000-000029270000}"/>
    <cellStyle name="Normal 2 2 2 13" xfId="10026" xr:uid="{00000000-0005-0000-0000-00002A270000}"/>
    <cellStyle name="Normal 2 2 2 13 10" xfId="10027" xr:uid="{00000000-0005-0000-0000-00002B270000}"/>
    <cellStyle name="Normal 2 2 2 13 11" xfId="10028" xr:uid="{00000000-0005-0000-0000-00002C270000}"/>
    <cellStyle name="Normal 2 2 2 13 12" xfId="10029" xr:uid="{00000000-0005-0000-0000-00002D270000}"/>
    <cellStyle name="Normal 2 2 2 13 13" xfId="10030" xr:uid="{00000000-0005-0000-0000-00002E270000}"/>
    <cellStyle name="Normal 2 2 2 13 14" xfId="10031" xr:uid="{00000000-0005-0000-0000-00002F270000}"/>
    <cellStyle name="Normal 2 2 2 13 2" xfId="10032" xr:uid="{00000000-0005-0000-0000-000030270000}"/>
    <cellStyle name="Normal 2 2 2 13 2 10" xfId="10033" xr:uid="{00000000-0005-0000-0000-000031270000}"/>
    <cellStyle name="Normal 2 2 2 13 2 2" xfId="10034" xr:uid="{00000000-0005-0000-0000-000032270000}"/>
    <cellStyle name="Normal 2 2 2 13 2 3" xfId="10035" xr:uid="{00000000-0005-0000-0000-000033270000}"/>
    <cellStyle name="Normal 2 2 2 13 2 4" xfId="10036" xr:uid="{00000000-0005-0000-0000-000034270000}"/>
    <cellStyle name="Normal 2 2 2 13 2 5" xfId="10037" xr:uid="{00000000-0005-0000-0000-000035270000}"/>
    <cellStyle name="Normal 2 2 2 13 2 6" xfId="10038" xr:uid="{00000000-0005-0000-0000-000036270000}"/>
    <cellStyle name="Normal 2 2 2 13 2 7" xfId="10039" xr:uid="{00000000-0005-0000-0000-000037270000}"/>
    <cellStyle name="Normal 2 2 2 13 2 8" xfId="10040" xr:uid="{00000000-0005-0000-0000-000038270000}"/>
    <cellStyle name="Normal 2 2 2 13 2 9" xfId="10041" xr:uid="{00000000-0005-0000-0000-000039270000}"/>
    <cellStyle name="Normal 2 2 2 13 3" xfId="10042" xr:uid="{00000000-0005-0000-0000-00003A270000}"/>
    <cellStyle name="Normal 2 2 2 13 3 10" xfId="10043" xr:uid="{00000000-0005-0000-0000-00003B270000}"/>
    <cellStyle name="Normal 2 2 2 13 3 2" xfId="10044" xr:uid="{00000000-0005-0000-0000-00003C270000}"/>
    <cellStyle name="Normal 2 2 2 13 3 3" xfId="10045" xr:uid="{00000000-0005-0000-0000-00003D270000}"/>
    <cellStyle name="Normal 2 2 2 13 3 4" xfId="10046" xr:uid="{00000000-0005-0000-0000-00003E270000}"/>
    <cellStyle name="Normal 2 2 2 13 3 5" xfId="10047" xr:uid="{00000000-0005-0000-0000-00003F270000}"/>
    <cellStyle name="Normal 2 2 2 13 3 6" xfId="10048" xr:uid="{00000000-0005-0000-0000-000040270000}"/>
    <cellStyle name="Normal 2 2 2 13 3 7" xfId="10049" xr:uid="{00000000-0005-0000-0000-000041270000}"/>
    <cellStyle name="Normal 2 2 2 13 3 8" xfId="10050" xr:uid="{00000000-0005-0000-0000-000042270000}"/>
    <cellStyle name="Normal 2 2 2 13 3 9" xfId="10051" xr:uid="{00000000-0005-0000-0000-000043270000}"/>
    <cellStyle name="Normal 2 2 2 13 4" xfId="10052" xr:uid="{00000000-0005-0000-0000-000044270000}"/>
    <cellStyle name="Normal 2 2 2 13 4 10" xfId="10053" xr:uid="{00000000-0005-0000-0000-000045270000}"/>
    <cellStyle name="Normal 2 2 2 13 4 2" xfId="10054" xr:uid="{00000000-0005-0000-0000-000046270000}"/>
    <cellStyle name="Normal 2 2 2 13 4 3" xfId="10055" xr:uid="{00000000-0005-0000-0000-000047270000}"/>
    <cellStyle name="Normal 2 2 2 13 4 4" xfId="10056" xr:uid="{00000000-0005-0000-0000-000048270000}"/>
    <cellStyle name="Normal 2 2 2 13 4 5" xfId="10057" xr:uid="{00000000-0005-0000-0000-000049270000}"/>
    <cellStyle name="Normal 2 2 2 13 4 6" xfId="10058" xr:uid="{00000000-0005-0000-0000-00004A270000}"/>
    <cellStyle name="Normal 2 2 2 13 4 7" xfId="10059" xr:uid="{00000000-0005-0000-0000-00004B270000}"/>
    <cellStyle name="Normal 2 2 2 13 4 8" xfId="10060" xr:uid="{00000000-0005-0000-0000-00004C270000}"/>
    <cellStyle name="Normal 2 2 2 13 4 9" xfId="10061" xr:uid="{00000000-0005-0000-0000-00004D270000}"/>
    <cellStyle name="Normal 2 2 2 13 5" xfId="10062" xr:uid="{00000000-0005-0000-0000-00004E270000}"/>
    <cellStyle name="Normal 2 2 2 13 5 10" xfId="10063" xr:uid="{00000000-0005-0000-0000-00004F270000}"/>
    <cellStyle name="Normal 2 2 2 13 5 2" xfId="10064" xr:uid="{00000000-0005-0000-0000-000050270000}"/>
    <cellStyle name="Normal 2 2 2 13 5 3" xfId="10065" xr:uid="{00000000-0005-0000-0000-000051270000}"/>
    <cellStyle name="Normal 2 2 2 13 5 4" xfId="10066" xr:uid="{00000000-0005-0000-0000-000052270000}"/>
    <cellStyle name="Normal 2 2 2 13 5 5" xfId="10067" xr:uid="{00000000-0005-0000-0000-000053270000}"/>
    <cellStyle name="Normal 2 2 2 13 5 6" xfId="10068" xr:uid="{00000000-0005-0000-0000-000054270000}"/>
    <cellStyle name="Normal 2 2 2 13 5 7" xfId="10069" xr:uid="{00000000-0005-0000-0000-000055270000}"/>
    <cellStyle name="Normal 2 2 2 13 5 8" xfId="10070" xr:uid="{00000000-0005-0000-0000-000056270000}"/>
    <cellStyle name="Normal 2 2 2 13 5 9" xfId="10071" xr:uid="{00000000-0005-0000-0000-000057270000}"/>
    <cellStyle name="Normal 2 2 2 13 6" xfId="10072" xr:uid="{00000000-0005-0000-0000-000058270000}"/>
    <cellStyle name="Normal 2 2 2 13 7" xfId="10073" xr:uid="{00000000-0005-0000-0000-000059270000}"/>
    <cellStyle name="Normal 2 2 2 13 8" xfId="10074" xr:uid="{00000000-0005-0000-0000-00005A270000}"/>
    <cellStyle name="Normal 2 2 2 13 9" xfId="10075" xr:uid="{00000000-0005-0000-0000-00005B270000}"/>
    <cellStyle name="Normal 2 2 2 14" xfId="10076" xr:uid="{00000000-0005-0000-0000-00005C270000}"/>
    <cellStyle name="Normal 2 2 2 14 10" xfId="10077" xr:uid="{00000000-0005-0000-0000-00005D270000}"/>
    <cellStyle name="Normal 2 2 2 14 11" xfId="10078" xr:uid="{00000000-0005-0000-0000-00005E270000}"/>
    <cellStyle name="Normal 2 2 2 14 12" xfId="10079" xr:uid="{00000000-0005-0000-0000-00005F270000}"/>
    <cellStyle name="Normal 2 2 2 14 13" xfId="10080" xr:uid="{00000000-0005-0000-0000-000060270000}"/>
    <cellStyle name="Normal 2 2 2 14 14" xfId="10081" xr:uid="{00000000-0005-0000-0000-000061270000}"/>
    <cellStyle name="Normal 2 2 2 14 2" xfId="10082" xr:uid="{00000000-0005-0000-0000-000062270000}"/>
    <cellStyle name="Normal 2 2 2 14 2 10" xfId="10083" xr:uid="{00000000-0005-0000-0000-000063270000}"/>
    <cellStyle name="Normal 2 2 2 14 2 2" xfId="10084" xr:uid="{00000000-0005-0000-0000-000064270000}"/>
    <cellStyle name="Normal 2 2 2 14 2 3" xfId="10085" xr:uid="{00000000-0005-0000-0000-000065270000}"/>
    <cellStyle name="Normal 2 2 2 14 2 4" xfId="10086" xr:uid="{00000000-0005-0000-0000-000066270000}"/>
    <cellStyle name="Normal 2 2 2 14 2 5" xfId="10087" xr:uid="{00000000-0005-0000-0000-000067270000}"/>
    <cellStyle name="Normal 2 2 2 14 2 6" xfId="10088" xr:uid="{00000000-0005-0000-0000-000068270000}"/>
    <cellStyle name="Normal 2 2 2 14 2 7" xfId="10089" xr:uid="{00000000-0005-0000-0000-000069270000}"/>
    <cellStyle name="Normal 2 2 2 14 2 8" xfId="10090" xr:uid="{00000000-0005-0000-0000-00006A270000}"/>
    <cellStyle name="Normal 2 2 2 14 2 9" xfId="10091" xr:uid="{00000000-0005-0000-0000-00006B270000}"/>
    <cellStyle name="Normal 2 2 2 14 3" xfId="10092" xr:uid="{00000000-0005-0000-0000-00006C270000}"/>
    <cellStyle name="Normal 2 2 2 14 3 10" xfId="10093" xr:uid="{00000000-0005-0000-0000-00006D270000}"/>
    <cellStyle name="Normal 2 2 2 14 3 2" xfId="10094" xr:uid="{00000000-0005-0000-0000-00006E270000}"/>
    <cellStyle name="Normal 2 2 2 14 3 3" xfId="10095" xr:uid="{00000000-0005-0000-0000-00006F270000}"/>
    <cellStyle name="Normal 2 2 2 14 3 4" xfId="10096" xr:uid="{00000000-0005-0000-0000-000070270000}"/>
    <cellStyle name="Normal 2 2 2 14 3 5" xfId="10097" xr:uid="{00000000-0005-0000-0000-000071270000}"/>
    <cellStyle name="Normal 2 2 2 14 3 6" xfId="10098" xr:uid="{00000000-0005-0000-0000-000072270000}"/>
    <cellStyle name="Normal 2 2 2 14 3 7" xfId="10099" xr:uid="{00000000-0005-0000-0000-000073270000}"/>
    <cellStyle name="Normal 2 2 2 14 3 8" xfId="10100" xr:uid="{00000000-0005-0000-0000-000074270000}"/>
    <cellStyle name="Normal 2 2 2 14 3 9" xfId="10101" xr:uid="{00000000-0005-0000-0000-000075270000}"/>
    <cellStyle name="Normal 2 2 2 14 4" xfId="10102" xr:uid="{00000000-0005-0000-0000-000076270000}"/>
    <cellStyle name="Normal 2 2 2 14 4 10" xfId="10103" xr:uid="{00000000-0005-0000-0000-000077270000}"/>
    <cellStyle name="Normal 2 2 2 14 4 2" xfId="10104" xr:uid="{00000000-0005-0000-0000-000078270000}"/>
    <cellStyle name="Normal 2 2 2 14 4 3" xfId="10105" xr:uid="{00000000-0005-0000-0000-000079270000}"/>
    <cellStyle name="Normal 2 2 2 14 4 4" xfId="10106" xr:uid="{00000000-0005-0000-0000-00007A270000}"/>
    <cellStyle name="Normal 2 2 2 14 4 5" xfId="10107" xr:uid="{00000000-0005-0000-0000-00007B270000}"/>
    <cellStyle name="Normal 2 2 2 14 4 6" xfId="10108" xr:uid="{00000000-0005-0000-0000-00007C270000}"/>
    <cellStyle name="Normal 2 2 2 14 4 7" xfId="10109" xr:uid="{00000000-0005-0000-0000-00007D270000}"/>
    <cellStyle name="Normal 2 2 2 14 4 8" xfId="10110" xr:uid="{00000000-0005-0000-0000-00007E270000}"/>
    <cellStyle name="Normal 2 2 2 14 4 9" xfId="10111" xr:uid="{00000000-0005-0000-0000-00007F270000}"/>
    <cellStyle name="Normal 2 2 2 14 5" xfId="10112" xr:uid="{00000000-0005-0000-0000-000080270000}"/>
    <cellStyle name="Normal 2 2 2 14 5 10" xfId="10113" xr:uid="{00000000-0005-0000-0000-000081270000}"/>
    <cellStyle name="Normal 2 2 2 14 5 2" xfId="10114" xr:uid="{00000000-0005-0000-0000-000082270000}"/>
    <cellStyle name="Normal 2 2 2 14 5 3" xfId="10115" xr:uid="{00000000-0005-0000-0000-000083270000}"/>
    <cellStyle name="Normal 2 2 2 14 5 4" xfId="10116" xr:uid="{00000000-0005-0000-0000-000084270000}"/>
    <cellStyle name="Normal 2 2 2 14 5 5" xfId="10117" xr:uid="{00000000-0005-0000-0000-000085270000}"/>
    <cellStyle name="Normal 2 2 2 14 5 6" xfId="10118" xr:uid="{00000000-0005-0000-0000-000086270000}"/>
    <cellStyle name="Normal 2 2 2 14 5 7" xfId="10119" xr:uid="{00000000-0005-0000-0000-000087270000}"/>
    <cellStyle name="Normal 2 2 2 14 5 8" xfId="10120" xr:uid="{00000000-0005-0000-0000-000088270000}"/>
    <cellStyle name="Normal 2 2 2 14 5 9" xfId="10121" xr:uid="{00000000-0005-0000-0000-000089270000}"/>
    <cellStyle name="Normal 2 2 2 14 6" xfId="10122" xr:uid="{00000000-0005-0000-0000-00008A270000}"/>
    <cellStyle name="Normal 2 2 2 14 7" xfId="10123" xr:uid="{00000000-0005-0000-0000-00008B270000}"/>
    <cellStyle name="Normal 2 2 2 14 8" xfId="10124" xr:uid="{00000000-0005-0000-0000-00008C270000}"/>
    <cellStyle name="Normal 2 2 2 14 9" xfId="10125" xr:uid="{00000000-0005-0000-0000-00008D270000}"/>
    <cellStyle name="Normal 2 2 2 15" xfId="10126" xr:uid="{00000000-0005-0000-0000-00008E270000}"/>
    <cellStyle name="Normal 2 2 2 15 10" xfId="10127" xr:uid="{00000000-0005-0000-0000-00008F270000}"/>
    <cellStyle name="Normal 2 2 2 15 11" xfId="10128" xr:uid="{00000000-0005-0000-0000-000090270000}"/>
    <cellStyle name="Normal 2 2 2 15 12" xfId="10129" xr:uid="{00000000-0005-0000-0000-000091270000}"/>
    <cellStyle name="Normal 2 2 2 15 13" xfId="10130" xr:uid="{00000000-0005-0000-0000-000092270000}"/>
    <cellStyle name="Normal 2 2 2 15 14" xfId="10131" xr:uid="{00000000-0005-0000-0000-000093270000}"/>
    <cellStyle name="Normal 2 2 2 15 2" xfId="10132" xr:uid="{00000000-0005-0000-0000-000094270000}"/>
    <cellStyle name="Normal 2 2 2 15 2 10" xfId="10133" xr:uid="{00000000-0005-0000-0000-000095270000}"/>
    <cellStyle name="Normal 2 2 2 15 2 2" xfId="10134" xr:uid="{00000000-0005-0000-0000-000096270000}"/>
    <cellStyle name="Normal 2 2 2 15 2 3" xfId="10135" xr:uid="{00000000-0005-0000-0000-000097270000}"/>
    <cellStyle name="Normal 2 2 2 15 2 4" xfId="10136" xr:uid="{00000000-0005-0000-0000-000098270000}"/>
    <cellStyle name="Normal 2 2 2 15 2 5" xfId="10137" xr:uid="{00000000-0005-0000-0000-000099270000}"/>
    <cellStyle name="Normal 2 2 2 15 2 6" xfId="10138" xr:uid="{00000000-0005-0000-0000-00009A270000}"/>
    <cellStyle name="Normal 2 2 2 15 2 7" xfId="10139" xr:uid="{00000000-0005-0000-0000-00009B270000}"/>
    <cellStyle name="Normal 2 2 2 15 2 8" xfId="10140" xr:uid="{00000000-0005-0000-0000-00009C270000}"/>
    <cellStyle name="Normal 2 2 2 15 2 9" xfId="10141" xr:uid="{00000000-0005-0000-0000-00009D270000}"/>
    <cellStyle name="Normal 2 2 2 15 3" xfId="10142" xr:uid="{00000000-0005-0000-0000-00009E270000}"/>
    <cellStyle name="Normal 2 2 2 15 3 10" xfId="10143" xr:uid="{00000000-0005-0000-0000-00009F270000}"/>
    <cellStyle name="Normal 2 2 2 15 3 2" xfId="10144" xr:uid="{00000000-0005-0000-0000-0000A0270000}"/>
    <cellStyle name="Normal 2 2 2 15 3 3" xfId="10145" xr:uid="{00000000-0005-0000-0000-0000A1270000}"/>
    <cellStyle name="Normal 2 2 2 15 3 4" xfId="10146" xr:uid="{00000000-0005-0000-0000-0000A2270000}"/>
    <cellStyle name="Normal 2 2 2 15 3 5" xfId="10147" xr:uid="{00000000-0005-0000-0000-0000A3270000}"/>
    <cellStyle name="Normal 2 2 2 15 3 6" xfId="10148" xr:uid="{00000000-0005-0000-0000-0000A4270000}"/>
    <cellStyle name="Normal 2 2 2 15 3 7" xfId="10149" xr:uid="{00000000-0005-0000-0000-0000A5270000}"/>
    <cellStyle name="Normal 2 2 2 15 3 8" xfId="10150" xr:uid="{00000000-0005-0000-0000-0000A6270000}"/>
    <cellStyle name="Normal 2 2 2 15 3 9" xfId="10151" xr:uid="{00000000-0005-0000-0000-0000A7270000}"/>
    <cellStyle name="Normal 2 2 2 15 4" xfId="10152" xr:uid="{00000000-0005-0000-0000-0000A8270000}"/>
    <cellStyle name="Normal 2 2 2 15 4 10" xfId="10153" xr:uid="{00000000-0005-0000-0000-0000A9270000}"/>
    <cellStyle name="Normal 2 2 2 15 4 2" xfId="10154" xr:uid="{00000000-0005-0000-0000-0000AA270000}"/>
    <cellStyle name="Normal 2 2 2 15 4 3" xfId="10155" xr:uid="{00000000-0005-0000-0000-0000AB270000}"/>
    <cellStyle name="Normal 2 2 2 15 4 4" xfId="10156" xr:uid="{00000000-0005-0000-0000-0000AC270000}"/>
    <cellStyle name="Normal 2 2 2 15 4 5" xfId="10157" xr:uid="{00000000-0005-0000-0000-0000AD270000}"/>
    <cellStyle name="Normal 2 2 2 15 4 6" xfId="10158" xr:uid="{00000000-0005-0000-0000-0000AE270000}"/>
    <cellStyle name="Normal 2 2 2 15 4 7" xfId="10159" xr:uid="{00000000-0005-0000-0000-0000AF270000}"/>
    <cellStyle name="Normal 2 2 2 15 4 8" xfId="10160" xr:uid="{00000000-0005-0000-0000-0000B0270000}"/>
    <cellStyle name="Normal 2 2 2 15 4 9" xfId="10161" xr:uid="{00000000-0005-0000-0000-0000B1270000}"/>
    <cellStyle name="Normal 2 2 2 15 5" xfId="10162" xr:uid="{00000000-0005-0000-0000-0000B2270000}"/>
    <cellStyle name="Normal 2 2 2 15 5 10" xfId="10163" xr:uid="{00000000-0005-0000-0000-0000B3270000}"/>
    <cellStyle name="Normal 2 2 2 15 5 2" xfId="10164" xr:uid="{00000000-0005-0000-0000-0000B4270000}"/>
    <cellStyle name="Normal 2 2 2 15 5 3" xfId="10165" xr:uid="{00000000-0005-0000-0000-0000B5270000}"/>
    <cellStyle name="Normal 2 2 2 15 5 4" xfId="10166" xr:uid="{00000000-0005-0000-0000-0000B6270000}"/>
    <cellStyle name="Normal 2 2 2 15 5 5" xfId="10167" xr:uid="{00000000-0005-0000-0000-0000B7270000}"/>
    <cellStyle name="Normal 2 2 2 15 5 6" xfId="10168" xr:uid="{00000000-0005-0000-0000-0000B8270000}"/>
    <cellStyle name="Normal 2 2 2 15 5 7" xfId="10169" xr:uid="{00000000-0005-0000-0000-0000B9270000}"/>
    <cellStyle name="Normal 2 2 2 15 5 8" xfId="10170" xr:uid="{00000000-0005-0000-0000-0000BA270000}"/>
    <cellStyle name="Normal 2 2 2 15 5 9" xfId="10171" xr:uid="{00000000-0005-0000-0000-0000BB270000}"/>
    <cellStyle name="Normal 2 2 2 15 6" xfId="10172" xr:uid="{00000000-0005-0000-0000-0000BC270000}"/>
    <cellStyle name="Normal 2 2 2 15 7" xfId="10173" xr:uid="{00000000-0005-0000-0000-0000BD270000}"/>
    <cellStyle name="Normal 2 2 2 15 8" xfId="10174" xr:uid="{00000000-0005-0000-0000-0000BE270000}"/>
    <cellStyle name="Normal 2 2 2 15 9" xfId="10175" xr:uid="{00000000-0005-0000-0000-0000BF270000}"/>
    <cellStyle name="Normal 2 2 2 16" xfId="10176" xr:uid="{00000000-0005-0000-0000-0000C0270000}"/>
    <cellStyle name="Normal 2 2 2 16 10" xfId="10177" xr:uid="{00000000-0005-0000-0000-0000C1270000}"/>
    <cellStyle name="Normal 2 2 2 16 11" xfId="10178" xr:uid="{00000000-0005-0000-0000-0000C2270000}"/>
    <cellStyle name="Normal 2 2 2 16 12" xfId="10179" xr:uid="{00000000-0005-0000-0000-0000C3270000}"/>
    <cellStyle name="Normal 2 2 2 16 13" xfId="10180" xr:uid="{00000000-0005-0000-0000-0000C4270000}"/>
    <cellStyle name="Normal 2 2 2 16 14" xfId="10181" xr:uid="{00000000-0005-0000-0000-0000C5270000}"/>
    <cellStyle name="Normal 2 2 2 16 2" xfId="10182" xr:uid="{00000000-0005-0000-0000-0000C6270000}"/>
    <cellStyle name="Normal 2 2 2 16 2 10" xfId="10183" xr:uid="{00000000-0005-0000-0000-0000C7270000}"/>
    <cellStyle name="Normal 2 2 2 16 2 2" xfId="10184" xr:uid="{00000000-0005-0000-0000-0000C8270000}"/>
    <cellStyle name="Normal 2 2 2 16 2 3" xfId="10185" xr:uid="{00000000-0005-0000-0000-0000C9270000}"/>
    <cellStyle name="Normal 2 2 2 16 2 4" xfId="10186" xr:uid="{00000000-0005-0000-0000-0000CA270000}"/>
    <cellStyle name="Normal 2 2 2 16 2 5" xfId="10187" xr:uid="{00000000-0005-0000-0000-0000CB270000}"/>
    <cellStyle name="Normal 2 2 2 16 2 6" xfId="10188" xr:uid="{00000000-0005-0000-0000-0000CC270000}"/>
    <cellStyle name="Normal 2 2 2 16 2 7" xfId="10189" xr:uid="{00000000-0005-0000-0000-0000CD270000}"/>
    <cellStyle name="Normal 2 2 2 16 2 8" xfId="10190" xr:uid="{00000000-0005-0000-0000-0000CE270000}"/>
    <cellStyle name="Normal 2 2 2 16 2 9" xfId="10191" xr:uid="{00000000-0005-0000-0000-0000CF270000}"/>
    <cellStyle name="Normal 2 2 2 16 3" xfId="10192" xr:uid="{00000000-0005-0000-0000-0000D0270000}"/>
    <cellStyle name="Normal 2 2 2 16 3 10" xfId="10193" xr:uid="{00000000-0005-0000-0000-0000D1270000}"/>
    <cellStyle name="Normal 2 2 2 16 3 2" xfId="10194" xr:uid="{00000000-0005-0000-0000-0000D2270000}"/>
    <cellStyle name="Normal 2 2 2 16 3 3" xfId="10195" xr:uid="{00000000-0005-0000-0000-0000D3270000}"/>
    <cellStyle name="Normal 2 2 2 16 3 4" xfId="10196" xr:uid="{00000000-0005-0000-0000-0000D4270000}"/>
    <cellStyle name="Normal 2 2 2 16 3 5" xfId="10197" xr:uid="{00000000-0005-0000-0000-0000D5270000}"/>
    <cellStyle name="Normal 2 2 2 16 3 6" xfId="10198" xr:uid="{00000000-0005-0000-0000-0000D6270000}"/>
    <cellStyle name="Normal 2 2 2 16 3 7" xfId="10199" xr:uid="{00000000-0005-0000-0000-0000D7270000}"/>
    <cellStyle name="Normal 2 2 2 16 3 8" xfId="10200" xr:uid="{00000000-0005-0000-0000-0000D8270000}"/>
    <cellStyle name="Normal 2 2 2 16 3 9" xfId="10201" xr:uid="{00000000-0005-0000-0000-0000D9270000}"/>
    <cellStyle name="Normal 2 2 2 16 4" xfId="10202" xr:uid="{00000000-0005-0000-0000-0000DA270000}"/>
    <cellStyle name="Normal 2 2 2 16 4 10" xfId="10203" xr:uid="{00000000-0005-0000-0000-0000DB270000}"/>
    <cellStyle name="Normal 2 2 2 16 4 2" xfId="10204" xr:uid="{00000000-0005-0000-0000-0000DC270000}"/>
    <cellStyle name="Normal 2 2 2 16 4 3" xfId="10205" xr:uid="{00000000-0005-0000-0000-0000DD270000}"/>
    <cellStyle name="Normal 2 2 2 16 4 4" xfId="10206" xr:uid="{00000000-0005-0000-0000-0000DE270000}"/>
    <cellStyle name="Normal 2 2 2 16 4 5" xfId="10207" xr:uid="{00000000-0005-0000-0000-0000DF270000}"/>
    <cellStyle name="Normal 2 2 2 16 4 6" xfId="10208" xr:uid="{00000000-0005-0000-0000-0000E0270000}"/>
    <cellStyle name="Normal 2 2 2 16 4 7" xfId="10209" xr:uid="{00000000-0005-0000-0000-0000E1270000}"/>
    <cellStyle name="Normal 2 2 2 16 4 8" xfId="10210" xr:uid="{00000000-0005-0000-0000-0000E2270000}"/>
    <cellStyle name="Normal 2 2 2 16 4 9" xfId="10211" xr:uid="{00000000-0005-0000-0000-0000E3270000}"/>
    <cellStyle name="Normal 2 2 2 16 5" xfId="10212" xr:uid="{00000000-0005-0000-0000-0000E4270000}"/>
    <cellStyle name="Normal 2 2 2 16 5 10" xfId="10213" xr:uid="{00000000-0005-0000-0000-0000E5270000}"/>
    <cellStyle name="Normal 2 2 2 16 5 2" xfId="10214" xr:uid="{00000000-0005-0000-0000-0000E6270000}"/>
    <cellStyle name="Normal 2 2 2 16 5 3" xfId="10215" xr:uid="{00000000-0005-0000-0000-0000E7270000}"/>
    <cellStyle name="Normal 2 2 2 16 5 4" xfId="10216" xr:uid="{00000000-0005-0000-0000-0000E8270000}"/>
    <cellStyle name="Normal 2 2 2 16 5 5" xfId="10217" xr:uid="{00000000-0005-0000-0000-0000E9270000}"/>
    <cellStyle name="Normal 2 2 2 16 5 6" xfId="10218" xr:uid="{00000000-0005-0000-0000-0000EA270000}"/>
    <cellStyle name="Normal 2 2 2 16 5 7" xfId="10219" xr:uid="{00000000-0005-0000-0000-0000EB270000}"/>
    <cellStyle name="Normal 2 2 2 16 5 8" xfId="10220" xr:uid="{00000000-0005-0000-0000-0000EC270000}"/>
    <cellStyle name="Normal 2 2 2 16 5 9" xfId="10221" xr:uid="{00000000-0005-0000-0000-0000ED270000}"/>
    <cellStyle name="Normal 2 2 2 16 6" xfId="10222" xr:uid="{00000000-0005-0000-0000-0000EE270000}"/>
    <cellStyle name="Normal 2 2 2 16 7" xfId="10223" xr:uid="{00000000-0005-0000-0000-0000EF270000}"/>
    <cellStyle name="Normal 2 2 2 16 8" xfId="10224" xr:uid="{00000000-0005-0000-0000-0000F0270000}"/>
    <cellStyle name="Normal 2 2 2 16 9" xfId="10225" xr:uid="{00000000-0005-0000-0000-0000F1270000}"/>
    <cellStyle name="Normal 2 2 2 17" xfId="10226" xr:uid="{00000000-0005-0000-0000-0000F2270000}"/>
    <cellStyle name="Normal 2 2 2 17 10" xfId="10227" xr:uid="{00000000-0005-0000-0000-0000F3270000}"/>
    <cellStyle name="Normal 2 2 2 17 11" xfId="10228" xr:uid="{00000000-0005-0000-0000-0000F4270000}"/>
    <cellStyle name="Normal 2 2 2 17 12" xfId="10229" xr:uid="{00000000-0005-0000-0000-0000F5270000}"/>
    <cellStyle name="Normal 2 2 2 17 13" xfId="10230" xr:uid="{00000000-0005-0000-0000-0000F6270000}"/>
    <cellStyle name="Normal 2 2 2 17 14" xfId="10231" xr:uid="{00000000-0005-0000-0000-0000F7270000}"/>
    <cellStyle name="Normal 2 2 2 17 2" xfId="10232" xr:uid="{00000000-0005-0000-0000-0000F8270000}"/>
    <cellStyle name="Normal 2 2 2 17 2 10" xfId="10233" xr:uid="{00000000-0005-0000-0000-0000F9270000}"/>
    <cellStyle name="Normal 2 2 2 17 2 2" xfId="10234" xr:uid="{00000000-0005-0000-0000-0000FA270000}"/>
    <cellStyle name="Normal 2 2 2 17 2 3" xfId="10235" xr:uid="{00000000-0005-0000-0000-0000FB270000}"/>
    <cellStyle name="Normal 2 2 2 17 2 4" xfId="10236" xr:uid="{00000000-0005-0000-0000-0000FC270000}"/>
    <cellStyle name="Normal 2 2 2 17 2 5" xfId="10237" xr:uid="{00000000-0005-0000-0000-0000FD270000}"/>
    <cellStyle name="Normal 2 2 2 17 2 6" xfId="10238" xr:uid="{00000000-0005-0000-0000-0000FE270000}"/>
    <cellStyle name="Normal 2 2 2 17 2 7" xfId="10239" xr:uid="{00000000-0005-0000-0000-0000FF270000}"/>
    <cellStyle name="Normal 2 2 2 17 2 8" xfId="10240" xr:uid="{00000000-0005-0000-0000-000000280000}"/>
    <cellStyle name="Normal 2 2 2 17 2 9" xfId="10241" xr:uid="{00000000-0005-0000-0000-000001280000}"/>
    <cellStyle name="Normal 2 2 2 17 3" xfId="10242" xr:uid="{00000000-0005-0000-0000-000002280000}"/>
    <cellStyle name="Normal 2 2 2 17 3 10" xfId="10243" xr:uid="{00000000-0005-0000-0000-000003280000}"/>
    <cellStyle name="Normal 2 2 2 17 3 2" xfId="10244" xr:uid="{00000000-0005-0000-0000-000004280000}"/>
    <cellStyle name="Normal 2 2 2 17 3 3" xfId="10245" xr:uid="{00000000-0005-0000-0000-000005280000}"/>
    <cellStyle name="Normal 2 2 2 17 3 4" xfId="10246" xr:uid="{00000000-0005-0000-0000-000006280000}"/>
    <cellStyle name="Normal 2 2 2 17 3 5" xfId="10247" xr:uid="{00000000-0005-0000-0000-000007280000}"/>
    <cellStyle name="Normal 2 2 2 17 3 6" xfId="10248" xr:uid="{00000000-0005-0000-0000-000008280000}"/>
    <cellStyle name="Normal 2 2 2 17 3 7" xfId="10249" xr:uid="{00000000-0005-0000-0000-000009280000}"/>
    <cellStyle name="Normal 2 2 2 17 3 8" xfId="10250" xr:uid="{00000000-0005-0000-0000-00000A280000}"/>
    <cellStyle name="Normal 2 2 2 17 3 9" xfId="10251" xr:uid="{00000000-0005-0000-0000-00000B280000}"/>
    <cellStyle name="Normal 2 2 2 17 4" xfId="10252" xr:uid="{00000000-0005-0000-0000-00000C280000}"/>
    <cellStyle name="Normal 2 2 2 17 4 10" xfId="10253" xr:uid="{00000000-0005-0000-0000-00000D280000}"/>
    <cellStyle name="Normal 2 2 2 17 4 2" xfId="10254" xr:uid="{00000000-0005-0000-0000-00000E280000}"/>
    <cellStyle name="Normal 2 2 2 17 4 3" xfId="10255" xr:uid="{00000000-0005-0000-0000-00000F280000}"/>
    <cellStyle name="Normal 2 2 2 17 4 4" xfId="10256" xr:uid="{00000000-0005-0000-0000-000010280000}"/>
    <cellStyle name="Normal 2 2 2 17 4 5" xfId="10257" xr:uid="{00000000-0005-0000-0000-000011280000}"/>
    <cellStyle name="Normal 2 2 2 17 4 6" xfId="10258" xr:uid="{00000000-0005-0000-0000-000012280000}"/>
    <cellStyle name="Normal 2 2 2 17 4 7" xfId="10259" xr:uid="{00000000-0005-0000-0000-000013280000}"/>
    <cellStyle name="Normal 2 2 2 17 4 8" xfId="10260" xr:uid="{00000000-0005-0000-0000-000014280000}"/>
    <cellStyle name="Normal 2 2 2 17 4 9" xfId="10261" xr:uid="{00000000-0005-0000-0000-000015280000}"/>
    <cellStyle name="Normal 2 2 2 17 5" xfId="10262" xr:uid="{00000000-0005-0000-0000-000016280000}"/>
    <cellStyle name="Normal 2 2 2 17 5 10" xfId="10263" xr:uid="{00000000-0005-0000-0000-000017280000}"/>
    <cellStyle name="Normal 2 2 2 17 5 2" xfId="10264" xr:uid="{00000000-0005-0000-0000-000018280000}"/>
    <cellStyle name="Normal 2 2 2 17 5 3" xfId="10265" xr:uid="{00000000-0005-0000-0000-000019280000}"/>
    <cellStyle name="Normal 2 2 2 17 5 4" xfId="10266" xr:uid="{00000000-0005-0000-0000-00001A280000}"/>
    <cellStyle name="Normal 2 2 2 17 5 5" xfId="10267" xr:uid="{00000000-0005-0000-0000-00001B280000}"/>
    <cellStyle name="Normal 2 2 2 17 5 6" xfId="10268" xr:uid="{00000000-0005-0000-0000-00001C280000}"/>
    <cellStyle name="Normal 2 2 2 17 5 7" xfId="10269" xr:uid="{00000000-0005-0000-0000-00001D280000}"/>
    <cellStyle name="Normal 2 2 2 17 5 8" xfId="10270" xr:uid="{00000000-0005-0000-0000-00001E280000}"/>
    <cellStyle name="Normal 2 2 2 17 5 9" xfId="10271" xr:uid="{00000000-0005-0000-0000-00001F280000}"/>
    <cellStyle name="Normal 2 2 2 17 6" xfId="10272" xr:uid="{00000000-0005-0000-0000-000020280000}"/>
    <cellStyle name="Normal 2 2 2 17 7" xfId="10273" xr:uid="{00000000-0005-0000-0000-000021280000}"/>
    <cellStyle name="Normal 2 2 2 17 8" xfId="10274" xr:uid="{00000000-0005-0000-0000-000022280000}"/>
    <cellStyle name="Normal 2 2 2 17 9" xfId="10275" xr:uid="{00000000-0005-0000-0000-000023280000}"/>
    <cellStyle name="Normal 2 2 2 18" xfId="10276" xr:uid="{00000000-0005-0000-0000-000024280000}"/>
    <cellStyle name="Normal 2 2 2 18 10" xfId="10277" xr:uid="{00000000-0005-0000-0000-000025280000}"/>
    <cellStyle name="Normal 2 2 2 18 11" xfId="10278" xr:uid="{00000000-0005-0000-0000-000026280000}"/>
    <cellStyle name="Normal 2 2 2 18 12" xfId="10279" xr:uid="{00000000-0005-0000-0000-000027280000}"/>
    <cellStyle name="Normal 2 2 2 18 13" xfId="10280" xr:uid="{00000000-0005-0000-0000-000028280000}"/>
    <cellStyle name="Normal 2 2 2 18 14" xfId="10281" xr:uid="{00000000-0005-0000-0000-000029280000}"/>
    <cellStyle name="Normal 2 2 2 18 2" xfId="10282" xr:uid="{00000000-0005-0000-0000-00002A280000}"/>
    <cellStyle name="Normal 2 2 2 18 2 10" xfId="10283" xr:uid="{00000000-0005-0000-0000-00002B280000}"/>
    <cellStyle name="Normal 2 2 2 18 2 2" xfId="10284" xr:uid="{00000000-0005-0000-0000-00002C280000}"/>
    <cellStyle name="Normal 2 2 2 18 2 3" xfId="10285" xr:uid="{00000000-0005-0000-0000-00002D280000}"/>
    <cellStyle name="Normal 2 2 2 18 2 4" xfId="10286" xr:uid="{00000000-0005-0000-0000-00002E280000}"/>
    <cellStyle name="Normal 2 2 2 18 2 5" xfId="10287" xr:uid="{00000000-0005-0000-0000-00002F280000}"/>
    <cellStyle name="Normal 2 2 2 18 2 6" xfId="10288" xr:uid="{00000000-0005-0000-0000-000030280000}"/>
    <cellStyle name="Normal 2 2 2 18 2 7" xfId="10289" xr:uid="{00000000-0005-0000-0000-000031280000}"/>
    <cellStyle name="Normal 2 2 2 18 2 8" xfId="10290" xr:uid="{00000000-0005-0000-0000-000032280000}"/>
    <cellStyle name="Normal 2 2 2 18 2 9" xfId="10291" xr:uid="{00000000-0005-0000-0000-000033280000}"/>
    <cellStyle name="Normal 2 2 2 18 3" xfId="10292" xr:uid="{00000000-0005-0000-0000-000034280000}"/>
    <cellStyle name="Normal 2 2 2 18 3 10" xfId="10293" xr:uid="{00000000-0005-0000-0000-000035280000}"/>
    <cellStyle name="Normal 2 2 2 18 3 2" xfId="10294" xr:uid="{00000000-0005-0000-0000-000036280000}"/>
    <cellStyle name="Normal 2 2 2 18 3 3" xfId="10295" xr:uid="{00000000-0005-0000-0000-000037280000}"/>
    <cellStyle name="Normal 2 2 2 18 3 4" xfId="10296" xr:uid="{00000000-0005-0000-0000-000038280000}"/>
    <cellStyle name="Normal 2 2 2 18 3 5" xfId="10297" xr:uid="{00000000-0005-0000-0000-000039280000}"/>
    <cellStyle name="Normal 2 2 2 18 3 6" xfId="10298" xr:uid="{00000000-0005-0000-0000-00003A280000}"/>
    <cellStyle name="Normal 2 2 2 18 3 7" xfId="10299" xr:uid="{00000000-0005-0000-0000-00003B280000}"/>
    <cellStyle name="Normal 2 2 2 18 3 8" xfId="10300" xr:uid="{00000000-0005-0000-0000-00003C280000}"/>
    <cellStyle name="Normal 2 2 2 18 3 9" xfId="10301" xr:uid="{00000000-0005-0000-0000-00003D280000}"/>
    <cellStyle name="Normal 2 2 2 18 4" xfId="10302" xr:uid="{00000000-0005-0000-0000-00003E280000}"/>
    <cellStyle name="Normal 2 2 2 18 4 10" xfId="10303" xr:uid="{00000000-0005-0000-0000-00003F280000}"/>
    <cellStyle name="Normal 2 2 2 18 4 2" xfId="10304" xr:uid="{00000000-0005-0000-0000-000040280000}"/>
    <cellStyle name="Normal 2 2 2 18 4 3" xfId="10305" xr:uid="{00000000-0005-0000-0000-000041280000}"/>
    <cellStyle name="Normal 2 2 2 18 4 4" xfId="10306" xr:uid="{00000000-0005-0000-0000-000042280000}"/>
    <cellStyle name="Normal 2 2 2 18 4 5" xfId="10307" xr:uid="{00000000-0005-0000-0000-000043280000}"/>
    <cellStyle name="Normal 2 2 2 18 4 6" xfId="10308" xr:uid="{00000000-0005-0000-0000-000044280000}"/>
    <cellStyle name="Normal 2 2 2 18 4 7" xfId="10309" xr:uid="{00000000-0005-0000-0000-000045280000}"/>
    <cellStyle name="Normal 2 2 2 18 4 8" xfId="10310" xr:uid="{00000000-0005-0000-0000-000046280000}"/>
    <cellStyle name="Normal 2 2 2 18 4 9" xfId="10311" xr:uid="{00000000-0005-0000-0000-000047280000}"/>
    <cellStyle name="Normal 2 2 2 18 5" xfId="10312" xr:uid="{00000000-0005-0000-0000-000048280000}"/>
    <cellStyle name="Normal 2 2 2 18 5 10" xfId="10313" xr:uid="{00000000-0005-0000-0000-000049280000}"/>
    <cellStyle name="Normal 2 2 2 18 5 2" xfId="10314" xr:uid="{00000000-0005-0000-0000-00004A280000}"/>
    <cellStyle name="Normal 2 2 2 18 5 3" xfId="10315" xr:uid="{00000000-0005-0000-0000-00004B280000}"/>
    <cellStyle name="Normal 2 2 2 18 5 4" xfId="10316" xr:uid="{00000000-0005-0000-0000-00004C280000}"/>
    <cellStyle name="Normal 2 2 2 18 5 5" xfId="10317" xr:uid="{00000000-0005-0000-0000-00004D280000}"/>
    <cellStyle name="Normal 2 2 2 18 5 6" xfId="10318" xr:uid="{00000000-0005-0000-0000-00004E280000}"/>
    <cellStyle name="Normal 2 2 2 18 5 7" xfId="10319" xr:uid="{00000000-0005-0000-0000-00004F280000}"/>
    <cellStyle name="Normal 2 2 2 18 5 8" xfId="10320" xr:uid="{00000000-0005-0000-0000-000050280000}"/>
    <cellStyle name="Normal 2 2 2 18 5 9" xfId="10321" xr:uid="{00000000-0005-0000-0000-000051280000}"/>
    <cellStyle name="Normal 2 2 2 18 6" xfId="10322" xr:uid="{00000000-0005-0000-0000-000052280000}"/>
    <cellStyle name="Normal 2 2 2 18 7" xfId="10323" xr:uid="{00000000-0005-0000-0000-000053280000}"/>
    <cellStyle name="Normal 2 2 2 18 8" xfId="10324" xr:uid="{00000000-0005-0000-0000-000054280000}"/>
    <cellStyle name="Normal 2 2 2 18 9" xfId="10325" xr:uid="{00000000-0005-0000-0000-000055280000}"/>
    <cellStyle name="Normal 2 2 2 19" xfId="10326" xr:uid="{00000000-0005-0000-0000-000056280000}"/>
    <cellStyle name="Normal 2 2 2 19 10" xfId="10327" xr:uid="{00000000-0005-0000-0000-000057280000}"/>
    <cellStyle name="Normal 2 2 2 19 11" xfId="10328" xr:uid="{00000000-0005-0000-0000-000058280000}"/>
    <cellStyle name="Normal 2 2 2 19 12" xfId="10329" xr:uid="{00000000-0005-0000-0000-000059280000}"/>
    <cellStyle name="Normal 2 2 2 19 13" xfId="10330" xr:uid="{00000000-0005-0000-0000-00005A280000}"/>
    <cellStyle name="Normal 2 2 2 19 14" xfId="10331" xr:uid="{00000000-0005-0000-0000-00005B280000}"/>
    <cellStyle name="Normal 2 2 2 19 2" xfId="10332" xr:uid="{00000000-0005-0000-0000-00005C280000}"/>
    <cellStyle name="Normal 2 2 2 19 2 10" xfId="10333" xr:uid="{00000000-0005-0000-0000-00005D280000}"/>
    <cellStyle name="Normal 2 2 2 19 2 2" xfId="10334" xr:uid="{00000000-0005-0000-0000-00005E280000}"/>
    <cellStyle name="Normal 2 2 2 19 2 3" xfId="10335" xr:uid="{00000000-0005-0000-0000-00005F280000}"/>
    <cellStyle name="Normal 2 2 2 19 2 4" xfId="10336" xr:uid="{00000000-0005-0000-0000-000060280000}"/>
    <cellStyle name="Normal 2 2 2 19 2 5" xfId="10337" xr:uid="{00000000-0005-0000-0000-000061280000}"/>
    <cellStyle name="Normal 2 2 2 19 2 6" xfId="10338" xr:uid="{00000000-0005-0000-0000-000062280000}"/>
    <cellStyle name="Normal 2 2 2 19 2 7" xfId="10339" xr:uid="{00000000-0005-0000-0000-000063280000}"/>
    <cellStyle name="Normal 2 2 2 19 2 8" xfId="10340" xr:uid="{00000000-0005-0000-0000-000064280000}"/>
    <cellStyle name="Normal 2 2 2 19 2 9" xfId="10341" xr:uid="{00000000-0005-0000-0000-000065280000}"/>
    <cellStyle name="Normal 2 2 2 19 3" xfId="10342" xr:uid="{00000000-0005-0000-0000-000066280000}"/>
    <cellStyle name="Normal 2 2 2 19 3 10" xfId="10343" xr:uid="{00000000-0005-0000-0000-000067280000}"/>
    <cellStyle name="Normal 2 2 2 19 3 2" xfId="10344" xr:uid="{00000000-0005-0000-0000-000068280000}"/>
    <cellStyle name="Normal 2 2 2 19 3 3" xfId="10345" xr:uid="{00000000-0005-0000-0000-000069280000}"/>
    <cellStyle name="Normal 2 2 2 19 3 4" xfId="10346" xr:uid="{00000000-0005-0000-0000-00006A280000}"/>
    <cellStyle name="Normal 2 2 2 19 3 5" xfId="10347" xr:uid="{00000000-0005-0000-0000-00006B280000}"/>
    <cellStyle name="Normal 2 2 2 19 3 6" xfId="10348" xr:uid="{00000000-0005-0000-0000-00006C280000}"/>
    <cellStyle name="Normal 2 2 2 19 3 7" xfId="10349" xr:uid="{00000000-0005-0000-0000-00006D280000}"/>
    <cellStyle name="Normal 2 2 2 19 3 8" xfId="10350" xr:uid="{00000000-0005-0000-0000-00006E280000}"/>
    <cellStyle name="Normal 2 2 2 19 3 9" xfId="10351" xr:uid="{00000000-0005-0000-0000-00006F280000}"/>
    <cellStyle name="Normal 2 2 2 19 4" xfId="10352" xr:uid="{00000000-0005-0000-0000-000070280000}"/>
    <cellStyle name="Normal 2 2 2 19 4 10" xfId="10353" xr:uid="{00000000-0005-0000-0000-000071280000}"/>
    <cellStyle name="Normal 2 2 2 19 4 2" xfId="10354" xr:uid="{00000000-0005-0000-0000-000072280000}"/>
    <cellStyle name="Normal 2 2 2 19 4 3" xfId="10355" xr:uid="{00000000-0005-0000-0000-000073280000}"/>
    <cellStyle name="Normal 2 2 2 19 4 4" xfId="10356" xr:uid="{00000000-0005-0000-0000-000074280000}"/>
    <cellStyle name="Normal 2 2 2 19 4 5" xfId="10357" xr:uid="{00000000-0005-0000-0000-000075280000}"/>
    <cellStyle name="Normal 2 2 2 19 4 6" xfId="10358" xr:uid="{00000000-0005-0000-0000-000076280000}"/>
    <cellStyle name="Normal 2 2 2 19 4 7" xfId="10359" xr:uid="{00000000-0005-0000-0000-000077280000}"/>
    <cellStyle name="Normal 2 2 2 19 4 8" xfId="10360" xr:uid="{00000000-0005-0000-0000-000078280000}"/>
    <cellStyle name="Normal 2 2 2 19 4 9" xfId="10361" xr:uid="{00000000-0005-0000-0000-000079280000}"/>
    <cellStyle name="Normal 2 2 2 19 5" xfId="10362" xr:uid="{00000000-0005-0000-0000-00007A280000}"/>
    <cellStyle name="Normal 2 2 2 19 5 10" xfId="10363" xr:uid="{00000000-0005-0000-0000-00007B280000}"/>
    <cellStyle name="Normal 2 2 2 19 5 2" xfId="10364" xr:uid="{00000000-0005-0000-0000-00007C280000}"/>
    <cellStyle name="Normal 2 2 2 19 5 3" xfId="10365" xr:uid="{00000000-0005-0000-0000-00007D280000}"/>
    <cellStyle name="Normal 2 2 2 19 5 4" xfId="10366" xr:uid="{00000000-0005-0000-0000-00007E280000}"/>
    <cellStyle name="Normal 2 2 2 19 5 5" xfId="10367" xr:uid="{00000000-0005-0000-0000-00007F280000}"/>
    <cellStyle name="Normal 2 2 2 19 5 6" xfId="10368" xr:uid="{00000000-0005-0000-0000-000080280000}"/>
    <cellStyle name="Normal 2 2 2 19 5 7" xfId="10369" xr:uid="{00000000-0005-0000-0000-000081280000}"/>
    <cellStyle name="Normal 2 2 2 19 5 8" xfId="10370" xr:uid="{00000000-0005-0000-0000-000082280000}"/>
    <cellStyle name="Normal 2 2 2 19 5 9" xfId="10371" xr:uid="{00000000-0005-0000-0000-000083280000}"/>
    <cellStyle name="Normal 2 2 2 19 6" xfId="10372" xr:uid="{00000000-0005-0000-0000-000084280000}"/>
    <cellStyle name="Normal 2 2 2 19 7" xfId="10373" xr:uid="{00000000-0005-0000-0000-000085280000}"/>
    <cellStyle name="Normal 2 2 2 19 8" xfId="10374" xr:uid="{00000000-0005-0000-0000-000086280000}"/>
    <cellStyle name="Normal 2 2 2 19 9" xfId="10375" xr:uid="{00000000-0005-0000-0000-000087280000}"/>
    <cellStyle name="Normal 2 2 2 2" xfId="417" xr:uid="{00000000-0005-0000-0000-0000A1010000}"/>
    <cellStyle name="Normal 2 2 2 2 10" xfId="10376" xr:uid="{00000000-0005-0000-0000-000088280000}"/>
    <cellStyle name="Normal 2 2 2 2 11" xfId="10377" xr:uid="{00000000-0005-0000-0000-000089280000}"/>
    <cellStyle name="Normal 2 2 2 2 12" xfId="10378" xr:uid="{00000000-0005-0000-0000-00008A280000}"/>
    <cellStyle name="Normal 2 2 2 2 13" xfId="10379" xr:uid="{00000000-0005-0000-0000-00008B280000}"/>
    <cellStyle name="Normal 2 2 2 2 14" xfId="10380" xr:uid="{00000000-0005-0000-0000-00008C280000}"/>
    <cellStyle name="Normal 2 2 2 2 15" xfId="10381" xr:uid="{00000000-0005-0000-0000-00008D280000}"/>
    <cellStyle name="Normal 2 2 2 2 16" xfId="10382" xr:uid="{00000000-0005-0000-0000-00008E280000}"/>
    <cellStyle name="Normal 2 2 2 2 17" xfId="10383" xr:uid="{00000000-0005-0000-0000-00008F280000}"/>
    <cellStyle name="Normal 2 2 2 2 18" xfId="10384" xr:uid="{00000000-0005-0000-0000-000090280000}"/>
    <cellStyle name="Normal 2 2 2 2 19" xfId="10385" xr:uid="{00000000-0005-0000-0000-000091280000}"/>
    <cellStyle name="Normal 2 2 2 2 2" xfId="418" xr:uid="{00000000-0005-0000-0000-0000A2010000}"/>
    <cellStyle name="Normal 2 2 2 2 2 10" xfId="10386" xr:uid="{00000000-0005-0000-0000-000092280000}"/>
    <cellStyle name="Normal 2 2 2 2 2 10 10" xfId="10387" xr:uid="{00000000-0005-0000-0000-000093280000}"/>
    <cellStyle name="Normal 2 2 2 2 2 10 11" xfId="10388" xr:uid="{00000000-0005-0000-0000-000094280000}"/>
    <cellStyle name="Normal 2 2 2 2 2 10 12" xfId="10389" xr:uid="{00000000-0005-0000-0000-000095280000}"/>
    <cellStyle name="Normal 2 2 2 2 2 10 13" xfId="10390" xr:uid="{00000000-0005-0000-0000-000096280000}"/>
    <cellStyle name="Normal 2 2 2 2 2 10 14" xfId="10391" xr:uid="{00000000-0005-0000-0000-000097280000}"/>
    <cellStyle name="Normal 2 2 2 2 2 10 2" xfId="10392" xr:uid="{00000000-0005-0000-0000-000098280000}"/>
    <cellStyle name="Normal 2 2 2 2 2 10 2 10" xfId="10393" xr:uid="{00000000-0005-0000-0000-000099280000}"/>
    <cellStyle name="Normal 2 2 2 2 2 10 2 2" xfId="10394" xr:uid="{00000000-0005-0000-0000-00009A280000}"/>
    <cellStyle name="Normal 2 2 2 2 2 10 2 3" xfId="10395" xr:uid="{00000000-0005-0000-0000-00009B280000}"/>
    <cellStyle name="Normal 2 2 2 2 2 10 2 4" xfId="10396" xr:uid="{00000000-0005-0000-0000-00009C280000}"/>
    <cellStyle name="Normal 2 2 2 2 2 10 2 5" xfId="10397" xr:uid="{00000000-0005-0000-0000-00009D280000}"/>
    <cellStyle name="Normal 2 2 2 2 2 10 2 6" xfId="10398" xr:uid="{00000000-0005-0000-0000-00009E280000}"/>
    <cellStyle name="Normal 2 2 2 2 2 10 2 7" xfId="10399" xr:uid="{00000000-0005-0000-0000-00009F280000}"/>
    <cellStyle name="Normal 2 2 2 2 2 10 2 8" xfId="10400" xr:uid="{00000000-0005-0000-0000-0000A0280000}"/>
    <cellStyle name="Normal 2 2 2 2 2 10 2 9" xfId="10401" xr:uid="{00000000-0005-0000-0000-0000A1280000}"/>
    <cellStyle name="Normal 2 2 2 2 2 10 3" xfId="10402" xr:uid="{00000000-0005-0000-0000-0000A2280000}"/>
    <cellStyle name="Normal 2 2 2 2 2 10 3 10" xfId="10403" xr:uid="{00000000-0005-0000-0000-0000A3280000}"/>
    <cellStyle name="Normal 2 2 2 2 2 10 3 2" xfId="10404" xr:uid="{00000000-0005-0000-0000-0000A4280000}"/>
    <cellStyle name="Normal 2 2 2 2 2 10 3 3" xfId="10405" xr:uid="{00000000-0005-0000-0000-0000A5280000}"/>
    <cellStyle name="Normal 2 2 2 2 2 10 3 4" xfId="10406" xr:uid="{00000000-0005-0000-0000-0000A6280000}"/>
    <cellStyle name="Normal 2 2 2 2 2 10 3 5" xfId="10407" xr:uid="{00000000-0005-0000-0000-0000A7280000}"/>
    <cellStyle name="Normal 2 2 2 2 2 10 3 6" xfId="10408" xr:uid="{00000000-0005-0000-0000-0000A8280000}"/>
    <cellStyle name="Normal 2 2 2 2 2 10 3 7" xfId="10409" xr:uid="{00000000-0005-0000-0000-0000A9280000}"/>
    <cellStyle name="Normal 2 2 2 2 2 10 3 8" xfId="10410" xr:uid="{00000000-0005-0000-0000-0000AA280000}"/>
    <cellStyle name="Normal 2 2 2 2 2 10 3 9" xfId="10411" xr:uid="{00000000-0005-0000-0000-0000AB280000}"/>
    <cellStyle name="Normal 2 2 2 2 2 10 4" xfId="10412" xr:uid="{00000000-0005-0000-0000-0000AC280000}"/>
    <cellStyle name="Normal 2 2 2 2 2 10 4 10" xfId="10413" xr:uid="{00000000-0005-0000-0000-0000AD280000}"/>
    <cellStyle name="Normal 2 2 2 2 2 10 4 2" xfId="10414" xr:uid="{00000000-0005-0000-0000-0000AE280000}"/>
    <cellStyle name="Normal 2 2 2 2 2 10 4 3" xfId="10415" xr:uid="{00000000-0005-0000-0000-0000AF280000}"/>
    <cellStyle name="Normal 2 2 2 2 2 10 4 4" xfId="10416" xr:uid="{00000000-0005-0000-0000-0000B0280000}"/>
    <cellStyle name="Normal 2 2 2 2 2 10 4 5" xfId="10417" xr:uid="{00000000-0005-0000-0000-0000B1280000}"/>
    <cellStyle name="Normal 2 2 2 2 2 10 4 6" xfId="10418" xr:uid="{00000000-0005-0000-0000-0000B2280000}"/>
    <cellStyle name="Normal 2 2 2 2 2 10 4 7" xfId="10419" xr:uid="{00000000-0005-0000-0000-0000B3280000}"/>
    <cellStyle name="Normal 2 2 2 2 2 10 4 8" xfId="10420" xr:uid="{00000000-0005-0000-0000-0000B4280000}"/>
    <cellStyle name="Normal 2 2 2 2 2 10 4 9" xfId="10421" xr:uid="{00000000-0005-0000-0000-0000B5280000}"/>
    <cellStyle name="Normal 2 2 2 2 2 10 5" xfId="10422" xr:uid="{00000000-0005-0000-0000-0000B6280000}"/>
    <cellStyle name="Normal 2 2 2 2 2 10 5 10" xfId="10423" xr:uid="{00000000-0005-0000-0000-0000B7280000}"/>
    <cellStyle name="Normal 2 2 2 2 2 10 5 2" xfId="10424" xr:uid="{00000000-0005-0000-0000-0000B8280000}"/>
    <cellStyle name="Normal 2 2 2 2 2 10 5 3" xfId="10425" xr:uid="{00000000-0005-0000-0000-0000B9280000}"/>
    <cellStyle name="Normal 2 2 2 2 2 10 5 4" xfId="10426" xr:uid="{00000000-0005-0000-0000-0000BA280000}"/>
    <cellStyle name="Normal 2 2 2 2 2 10 5 5" xfId="10427" xr:uid="{00000000-0005-0000-0000-0000BB280000}"/>
    <cellStyle name="Normal 2 2 2 2 2 10 5 6" xfId="10428" xr:uid="{00000000-0005-0000-0000-0000BC280000}"/>
    <cellStyle name="Normal 2 2 2 2 2 10 5 7" xfId="10429" xr:uid="{00000000-0005-0000-0000-0000BD280000}"/>
    <cellStyle name="Normal 2 2 2 2 2 10 5 8" xfId="10430" xr:uid="{00000000-0005-0000-0000-0000BE280000}"/>
    <cellStyle name="Normal 2 2 2 2 2 10 5 9" xfId="10431" xr:uid="{00000000-0005-0000-0000-0000BF280000}"/>
    <cellStyle name="Normal 2 2 2 2 2 10 6" xfId="10432" xr:uid="{00000000-0005-0000-0000-0000C0280000}"/>
    <cellStyle name="Normal 2 2 2 2 2 10 7" xfId="10433" xr:uid="{00000000-0005-0000-0000-0000C1280000}"/>
    <cellStyle name="Normal 2 2 2 2 2 10 8" xfId="10434" xr:uid="{00000000-0005-0000-0000-0000C2280000}"/>
    <cellStyle name="Normal 2 2 2 2 2 10 9" xfId="10435" xr:uid="{00000000-0005-0000-0000-0000C3280000}"/>
    <cellStyle name="Normal 2 2 2 2 2 11" xfId="10436" xr:uid="{00000000-0005-0000-0000-0000C4280000}"/>
    <cellStyle name="Normal 2 2 2 2 2 11 10" xfId="10437" xr:uid="{00000000-0005-0000-0000-0000C5280000}"/>
    <cellStyle name="Normal 2 2 2 2 2 11 11" xfId="10438" xr:uid="{00000000-0005-0000-0000-0000C6280000}"/>
    <cellStyle name="Normal 2 2 2 2 2 11 12" xfId="10439" xr:uid="{00000000-0005-0000-0000-0000C7280000}"/>
    <cellStyle name="Normal 2 2 2 2 2 11 13" xfId="10440" xr:uid="{00000000-0005-0000-0000-0000C8280000}"/>
    <cellStyle name="Normal 2 2 2 2 2 11 14" xfId="10441" xr:uid="{00000000-0005-0000-0000-0000C9280000}"/>
    <cellStyle name="Normal 2 2 2 2 2 11 2" xfId="10442" xr:uid="{00000000-0005-0000-0000-0000CA280000}"/>
    <cellStyle name="Normal 2 2 2 2 2 11 2 10" xfId="10443" xr:uid="{00000000-0005-0000-0000-0000CB280000}"/>
    <cellStyle name="Normal 2 2 2 2 2 11 2 2" xfId="10444" xr:uid="{00000000-0005-0000-0000-0000CC280000}"/>
    <cellStyle name="Normal 2 2 2 2 2 11 2 3" xfId="10445" xr:uid="{00000000-0005-0000-0000-0000CD280000}"/>
    <cellStyle name="Normal 2 2 2 2 2 11 2 4" xfId="10446" xr:uid="{00000000-0005-0000-0000-0000CE280000}"/>
    <cellStyle name="Normal 2 2 2 2 2 11 2 5" xfId="10447" xr:uid="{00000000-0005-0000-0000-0000CF280000}"/>
    <cellStyle name="Normal 2 2 2 2 2 11 2 6" xfId="10448" xr:uid="{00000000-0005-0000-0000-0000D0280000}"/>
    <cellStyle name="Normal 2 2 2 2 2 11 2 7" xfId="10449" xr:uid="{00000000-0005-0000-0000-0000D1280000}"/>
    <cellStyle name="Normal 2 2 2 2 2 11 2 8" xfId="10450" xr:uid="{00000000-0005-0000-0000-0000D2280000}"/>
    <cellStyle name="Normal 2 2 2 2 2 11 2 9" xfId="10451" xr:uid="{00000000-0005-0000-0000-0000D3280000}"/>
    <cellStyle name="Normal 2 2 2 2 2 11 3" xfId="10452" xr:uid="{00000000-0005-0000-0000-0000D4280000}"/>
    <cellStyle name="Normal 2 2 2 2 2 11 3 10" xfId="10453" xr:uid="{00000000-0005-0000-0000-0000D5280000}"/>
    <cellStyle name="Normal 2 2 2 2 2 11 3 2" xfId="10454" xr:uid="{00000000-0005-0000-0000-0000D6280000}"/>
    <cellStyle name="Normal 2 2 2 2 2 11 3 3" xfId="10455" xr:uid="{00000000-0005-0000-0000-0000D7280000}"/>
    <cellStyle name="Normal 2 2 2 2 2 11 3 4" xfId="10456" xr:uid="{00000000-0005-0000-0000-0000D8280000}"/>
    <cellStyle name="Normal 2 2 2 2 2 11 3 5" xfId="10457" xr:uid="{00000000-0005-0000-0000-0000D9280000}"/>
    <cellStyle name="Normal 2 2 2 2 2 11 3 6" xfId="10458" xr:uid="{00000000-0005-0000-0000-0000DA280000}"/>
    <cellStyle name="Normal 2 2 2 2 2 11 3 7" xfId="10459" xr:uid="{00000000-0005-0000-0000-0000DB280000}"/>
    <cellStyle name="Normal 2 2 2 2 2 11 3 8" xfId="10460" xr:uid="{00000000-0005-0000-0000-0000DC280000}"/>
    <cellStyle name="Normal 2 2 2 2 2 11 3 9" xfId="10461" xr:uid="{00000000-0005-0000-0000-0000DD280000}"/>
    <cellStyle name="Normal 2 2 2 2 2 11 4" xfId="10462" xr:uid="{00000000-0005-0000-0000-0000DE280000}"/>
    <cellStyle name="Normal 2 2 2 2 2 11 4 10" xfId="10463" xr:uid="{00000000-0005-0000-0000-0000DF280000}"/>
    <cellStyle name="Normal 2 2 2 2 2 11 4 2" xfId="10464" xr:uid="{00000000-0005-0000-0000-0000E0280000}"/>
    <cellStyle name="Normal 2 2 2 2 2 11 4 3" xfId="10465" xr:uid="{00000000-0005-0000-0000-0000E1280000}"/>
    <cellStyle name="Normal 2 2 2 2 2 11 4 4" xfId="10466" xr:uid="{00000000-0005-0000-0000-0000E2280000}"/>
    <cellStyle name="Normal 2 2 2 2 2 11 4 5" xfId="10467" xr:uid="{00000000-0005-0000-0000-0000E3280000}"/>
    <cellStyle name="Normal 2 2 2 2 2 11 4 6" xfId="10468" xr:uid="{00000000-0005-0000-0000-0000E4280000}"/>
    <cellStyle name="Normal 2 2 2 2 2 11 4 7" xfId="10469" xr:uid="{00000000-0005-0000-0000-0000E5280000}"/>
    <cellStyle name="Normal 2 2 2 2 2 11 4 8" xfId="10470" xr:uid="{00000000-0005-0000-0000-0000E6280000}"/>
    <cellStyle name="Normal 2 2 2 2 2 11 4 9" xfId="10471" xr:uid="{00000000-0005-0000-0000-0000E7280000}"/>
    <cellStyle name="Normal 2 2 2 2 2 11 5" xfId="10472" xr:uid="{00000000-0005-0000-0000-0000E8280000}"/>
    <cellStyle name="Normal 2 2 2 2 2 11 5 10" xfId="10473" xr:uid="{00000000-0005-0000-0000-0000E9280000}"/>
    <cellStyle name="Normal 2 2 2 2 2 11 5 2" xfId="10474" xr:uid="{00000000-0005-0000-0000-0000EA280000}"/>
    <cellStyle name="Normal 2 2 2 2 2 11 5 3" xfId="10475" xr:uid="{00000000-0005-0000-0000-0000EB280000}"/>
    <cellStyle name="Normal 2 2 2 2 2 11 5 4" xfId="10476" xr:uid="{00000000-0005-0000-0000-0000EC280000}"/>
    <cellStyle name="Normal 2 2 2 2 2 11 5 5" xfId="10477" xr:uid="{00000000-0005-0000-0000-0000ED280000}"/>
    <cellStyle name="Normal 2 2 2 2 2 11 5 6" xfId="10478" xr:uid="{00000000-0005-0000-0000-0000EE280000}"/>
    <cellStyle name="Normal 2 2 2 2 2 11 5 7" xfId="10479" xr:uid="{00000000-0005-0000-0000-0000EF280000}"/>
    <cellStyle name="Normal 2 2 2 2 2 11 5 8" xfId="10480" xr:uid="{00000000-0005-0000-0000-0000F0280000}"/>
    <cellStyle name="Normal 2 2 2 2 2 11 5 9" xfId="10481" xr:uid="{00000000-0005-0000-0000-0000F1280000}"/>
    <cellStyle name="Normal 2 2 2 2 2 11 6" xfId="10482" xr:uid="{00000000-0005-0000-0000-0000F2280000}"/>
    <cellStyle name="Normal 2 2 2 2 2 11 7" xfId="10483" xr:uid="{00000000-0005-0000-0000-0000F3280000}"/>
    <cellStyle name="Normal 2 2 2 2 2 11 8" xfId="10484" xr:uid="{00000000-0005-0000-0000-0000F4280000}"/>
    <cellStyle name="Normal 2 2 2 2 2 11 9" xfId="10485" xr:uid="{00000000-0005-0000-0000-0000F5280000}"/>
    <cellStyle name="Normal 2 2 2 2 2 12" xfId="10486" xr:uid="{00000000-0005-0000-0000-0000F6280000}"/>
    <cellStyle name="Normal 2 2 2 2 2 12 10" xfId="10487" xr:uid="{00000000-0005-0000-0000-0000F7280000}"/>
    <cellStyle name="Normal 2 2 2 2 2 12 11" xfId="10488" xr:uid="{00000000-0005-0000-0000-0000F8280000}"/>
    <cellStyle name="Normal 2 2 2 2 2 12 12" xfId="10489" xr:uid="{00000000-0005-0000-0000-0000F9280000}"/>
    <cellStyle name="Normal 2 2 2 2 2 12 13" xfId="10490" xr:uid="{00000000-0005-0000-0000-0000FA280000}"/>
    <cellStyle name="Normal 2 2 2 2 2 12 14" xfId="10491" xr:uid="{00000000-0005-0000-0000-0000FB280000}"/>
    <cellStyle name="Normal 2 2 2 2 2 12 2" xfId="10492" xr:uid="{00000000-0005-0000-0000-0000FC280000}"/>
    <cellStyle name="Normal 2 2 2 2 2 12 2 10" xfId="10493" xr:uid="{00000000-0005-0000-0000-0000FD280000}"/>
    <cellStyle name="Normal 2 2 2 2 2 12 2 2" xfId="10494" xr:uid="{00000000-0005-0000-0000-0000FE280000}"/>
    <cellStyle name="Normal 2 2 2 2 2 12 2 3" xfId="10495" xr:uid="{00000000-0005-0000-0000-0000FF280000}"/>
    <cellStyle name="Normal 2 2 2 2 2 12 2 4" xfId="10496" xr:uid="{00000000-0005-0000-0000-000000290000}"/>
    <cellStyle name="Normal 2 2 2 2 2 12 2 5" xfId="10497" xr:uid="{00000000-0005-0000-0000-000001290000}"/>
    <cellStyle name="Normal 2 2 2 2 2 12 2 6" xfId="10498" xr:uid="{00000000-0005-0000-0000-000002290000}"/>
    <cellStyle name="Normal 2 2 2 2 2 12 2 7" xfId="10499" xr:uid="{00000000-0005-0000-0000-000003290000}"/>
    <cellStyle name="Normal 2 2 2 2 2 12 2 8" xfId="10500" xr:uid="{00000000-0005-0000-0000-000004290000}"/>
    <cellStyle name="Normal 2 2 2 2 2 12 2 9" xfId="10501" xr:uid="{00000000-0005-0000-0000-000005290000}"/>
    <cellStyle name="Normal 2 2 2 2 2 12 3" xfId="10502" xr:uid="{00000000-0005-0000-0000-000006290000}"/>
    <cellStyle name="Normal 2 2 2 2 2 12 3 10" xfId="10503" xr:uid="{00000000-0005-0000-0000-000007290000}"/>
    <cellStyle name="Normal 2 2 2 2 2 12 3 2" xfId="10504" xr:uid="{00000000-0005-0000-0000-000008290000}"/>
    <cellStyle name="Normal 2 2 2 2 2 12 3 3" xfId="10505" xr:uid="{00000000-0005-0000-0000-000009290000}"/>
    <cellStyle name="Normal 2 2 2 2 2 12 3 4" xfId="10506" xr:uid="{00000000-0005-0000-0000-00000A290000}"/>
    <cellStyle name="Normal 2 2 2 2 2 12 3 5" xfId="10507" xr:uid="{00000000-0005-0000-0000-00000B290000}"/>
    <cellStyle name="Normal 2 2 2 2 2 12 3 6" xfId="10508" xr:uid="{00000000-0005-0000-0000-00000C290000}"/>
    <cellStyle name="Normal 2 2 2 2 2 12 3 7" xfId="10509" xr:uid="{00000000-0005-0000-0000-00000D290000}"/>
    <cellStyle name="Normal 2 2 2 2 2 12 3 8" xfId="10510" xr:uid="{00000000-0005-0000-0000-00000E290000}"/>
    <cellStyle name="Normal 2 2 2 2 2 12 3 9" xfId="10511" xr:uid="{00000000-0005-0000-0000-00000F290000}"/>
    <cellStyle name="Normal 2 2 2 2 2 12 4" xfId="10512" xr:uid="{00000000-0005-0000-0000-000010290000}"/>
    <cellStyle name="Normal 2 2 2 2 2 12 4 10" xfId="10513" xr:uid="{00000000-0005-0000-0000-000011290000}"/>
    <cellStyle name="Normal 2 2 2 2 2 12 4 2" xfId="10514" xr:uid="{00000000-0005-0000-0000-000012290000}"/>
    <cellStyle name="Normal 2 2 2 2 2 12 4 3" xfId="10515" xr:uid="{00000000-0005-0000-0000-000013290000}"/>
    <cellStyle name="Normal 2 2 2 2 2 12 4 4" xfId="10516" xr:uid="{00000000-0005-0000-0000-000014290000}"/>
    <cellStyle name="Normal 2 2 2 2 2 12 4 5" xfId="10517" xr:uid="{00000000-0005-0000-0000-000015290000}"/>
    <cellStyle name="Normal 2 2 2 2 2 12 4 6" xfId="10518" xr:uid="{00000000-0005-0000-0000-000016290000}"/>
    <cellStyle name="Normal 2 2 2 2 2 12 4 7" xfId="10519" xr:uid="{00000000-0005-0000-0000-000017290000}"/>
    <cellStyle name="Normal 2 2 2 2 2 12 4 8" xfId="10520" xr:uid="{00000000-0005-0000-0000-000018290000}"/>
    <cellStyle name="Normal 2 2 2 2 2 12 4 9" xfId="10521" xr:uid="{00000000-0005-0000-0000-000019290000}"/>
    <cellStyle name="Normal 2 2 2 2 2 12 5" xfId="10522" xr:uid="{00000000-0005-0000-0000-00001A290000}"/>
    <cellStyle name="Normal 2 2 2 2 2 12 5 10" xfId="10523" xr:uid="{00000000-0005-0000-0000-00001B290000}"/>
    <cellStyle name="Normal 2 2 2 2 2 12 5 2" xfId="10524" xr:uid="{00000000-0005-0000-0000-00001C290000}"/>
    <cellStyle name="Normal 2 2 2 2 2 12 5 3" xfId="10525" xr:uid="{00000000-0005-0000-0000-00001D290000}"/>
    <cellStyle name="Normal 2 2 2 2 2 12 5 4" xfId="10526" xr:uid="{00000000-0005-0000-0000-00001E290000}"/>
    <cellStyle name="Normal 2 2 2 2 2 12 5 5" xfId="10527" xr:uid="{00000000-0005-0000-0000-00001F290000}"/>
    <cellStyle name="Normal 2 2 2 2 2 12 5 6" xfId="10528" xr:uid="{00000000-0005-0000-0000-000020290000}"/>
    <cellStyle name="Normal 2 2 2 2 2 12 5 7" xfId="10529" xr:uid="{00000000-0005-0000-0000-000021290000}"/>
    <cellStyle name="Normal 2 2 2 2 2 12 5 8" xfId="10530" xr:uid="{00000000-0005-0000-0000-000022290000}"/>
    <cellStyle name="Normal 2 2 2 2 2 12 5 9" xfId="10531" xr:uid="{00000000-0005-0000-0000-000023290000}"/>
    <cellStyle name="Normal 2 2 2 2 2 12 6" xfId="10532" xr:uid="{00000000-0005-0000-0000-000024290000}"/>
    <cellStyle name="Normal 2 2 2 2 2 12 7" xfId="10533" xr:uid="{00000000-0005-0000-0000-000025290000}"/>
    <cellStyle name="Normal 2 2 2 2 2 12 8" xfId="10534" xr:uid="{00000000-0005-0000-0000-000026290000}"/>
    <cellStyle name="Normal 2 2 2 2 2 12 9" xfId="10535" xr:uid="{00000000-0005-0000-0000-000027290000}"/>
    <cellStyle name="Normal 2 2 2 2 2 13" xfId="10536" xr:uid="{00000000-0005-0000-0000-000028290000}"/>
    <cellStyle name="Normal 2 2 2 2 2 13 10" xfId="10537" xr:uid="{00000000-0005-0000-0000-000029290000}"/>
    <cellStyle name="Normal 2 2 2 2 2 13 11" xfId="10538" xr:uid="{00000000-0005-0000-0000-00002A290000}"/>
    <cellStyle name="Normal 2 2 2 2 2 13 12" xfId="10539" xr:uid="{00000000-0005-0000-0000-00002B290000}"/>
    <cellStyle name="Normal 2 2 2 2 2 13 13" xfId="10540" xr:uid="{00000000-0005-0000-0000-00002C290000}"/>
    <cellStyle name="Normal 2 2 2 2 2 13 14" xfId="10541" xr:uid="{00000000-0005-0000-0000-00002D290000}"/>
    <cellStyle name="Normal 2 2 2 2 2 13 2" xfId="10542" xr:uid="{00000000-0005-0000-0000-00002E290000}"/>
    <cellStyle name="Normal 2 2 2 2 2 13 2 10" xfId="10543" xr:uid="{00000000-0005-0000-0000-00002F290000}"/>
    <cellStyle name="Normal 2 2 2 2 2 13 2 2" xfId="10544" xr:uid="{00000000-0005-0000-0000-000030290000}"/>
    <cellStyle name="Normal 2 2 2 2 2 13 2 3" xfId="10545" xr:uid="{00000000-0005-0000-0000-000031290000}"/>
    <cellStyle name="Normal 2 2 2 2 2 13 2 4" xfId="10546" xr:uid="{00000000-0005-0000-0000-000032290000}"/>
    <cellStyle name="Normal 2 2 2 2 2 13 2 5" xfId="10547" xr:uid="{00000000-0005-0000-0000-000033290000}"/>
    <cellStyle name="Normal 2 2 2 2 2 13 2 6" xfId="10548" xr:uid="{00000000-0005-0000-0000-000034290000}"/>
    <cellStyle name="Normal 2 2 2 2 2 13 2 7" xfId="10549" xr:uid="{00000000-0005-0000-0000-000035290000}"/>
    <cellStyle name="Normal 2 2 2 2 2 13 2 8" xfId="10550" xr:uid="{00000000-0005-0000-0000-000036290000}"/>
    <cellStyle name="Normal 2 2 2 2 2 13 2 9" xfId="10551" xr:uid="{00000000-0005-0000-0000-000037290000}"/>
    <cellStyle name="Normal 2 2 2 2 2 13 3" xfId="10552" xr:uid="{00000000-0005-0000-0000-000038290000}"/>
    <cellStyle name="Normal 2 2 2 2 2 13 3 10" xfId="10553" xr:uid="{00000000-0005-0000-0000-000039290000}"/>
    <cellStyle name="Normal 2 2 2 2 2 13 3 2" xfId="10554" xr:uid="{00000000-0005-0000-0000-00003A290000}"/>
    <cellStyle name="Normal 2 2 2 2 2 13 3 3" xfId="10555" xr:uid="{00000000-0005-0000-0000-00003B290000}"/>
    <cellStyle name="Normal 2 2 2 2 2 13 3 4" xfId="10556" xr:uid="{00000000-0005-0000-0000-00003C290000}"/>
    <cellStyle name="Normal 2 2 2 2 2 13 3 5" xfId="10557" xr:uid="{00000000-0005-0000-0000-00003D290000}"/>
    <cellStyle name="Normal 2 2 2 2 2 13 3 6" xfId="10558" xr:uid="{00000000-0005-0000-0000-00003E290000}"/>
    <cellStyle name="Normal 2 2 2 2 2 13 3 7" xfId="10559" xr:uid="{00000000-0005-0000-0000-00003F290000}"/>
    <cellStyle name="Normal 2 2 2 2 2 13 3 8" xfId="10560" xr:uid="{00000000-0005-0000-0000-000040290000}"/>
    <cellStyle name="Normal 2 2 2 2 2 13 3 9" xfId="10561" xr:uid="{00000000-0005-0000-0000-000041290000}"/>
    <cellStyle name="Normal 2 2 2 2 2 13 4" xfId="10562" xr:uid="{00000000-0005-0000-0000-000042290000}"/>
    <cellStyle name="Normal 2 2 2 2 2 13 4 10" xfId="10563" xr:uid="{00000000-0005-0000-0000-000043290000}"/>
    <cellStyle name="Normal 2 2 2 2 2 13 4 2" xfId="10564" xr:uid="{00000000-0005-0000-0000-000044290000}"/>
    <cellStyle name="Normal 2 2 2 2 2 13 4 3" xfId="10565" xr:uid="{00000000-0005-0000-0000-000045290000}"/>
    <cellStyle name="Normal 2 2 2 2 2 13 4 4" xfId="10566" xr:uid="{00000000-0005-0000-0000-000046290000}"/>
    <cellStyle name="Normal 2 2 2 2 2 13 4 5" xfId="10567" xr:uid="{00000000-0005-0000-0000-000047290000}"/>
    <cellStyle name="Normal 2 2 2 2 2 13 4 6" xfId="10568" xr:uid="{00000000-0005-0000-0000-000048290000}"/>
    <cellStyle name="Normal 2 2 2 2 2 13 4 7" xfId="10569" xr:uid="{00000000-0005-0000-0000-000049290000}"/>
    <cellStyle name="Normal 2 2 2 2 2 13 4 8" xfId="10570" xr:uid="{00000000-0005-0000-0000-00004A290000}"/>
    <cellStyle name="Normal 2 2 2 2 2 13 4 9" xfId="10571" xr:uid="{00000000-0005-0000-0000-00004B290000}"/>
    <cellStyle name="Normal 2 2 2 2 2 13 5" xfId="10572" xr:uid="{00000000-0005-0000-0000-00004C290000}"/>
    <cellStyle name="Normal 2 2 2 2 2 13 5 10" xfId="10573" xr:uid="{00000000-0005-0000-0000-00004D290000}"/>
    <cellStyle name="Normal 2 2 2 2 2 13 5 2" xfId="10574" xr:uid="{00000000-0005-0000-0000-00004E290000}"/>
    <cellStyle name="Normal 2 2 2 2 2 13 5 3" xfId="10575" xr:uid="{00000000-0005-0000-0000-00004F290000}"/>
    <cellStyle name="Normal 2 2 2 2 2 13 5 4" xfId="10576" xr:uid="{00000000-0005-0000-0000-000050290000}"/>
    <cellStyle name="Normal 2 2 2 2 2 13 5 5" xfId="10577" xr:uid="{00000000-0005-0000-0000-000051290000}"/>
    <cellStyle name="Normal 2 2 2 2 2 13 5 6" xfId="10578" xr:uid="{00000000-0005-0000-0000-000052290000}"/>
    <cellStyle name="Normal 2 2 2 2 2 13 5 7" xfId="10579" xr:uid="{00000000-0005-0000-0000-000053290000}"/>
    <cellStyle name="Normal 2 2 2 2 2 13 5 8" xfId="10580" xr:uid="{00000000-0005-0000-0000-000054290000}"/>
    <cellStyle name="Normal 2 2 2 2 2 13 5 9" xfId="10581" xr:uid="{00000000-0005-0000-0000-000055290000}"/>
    <cellStyle name="Normal 2 2 2 2 2 13 6" xfId="10582" xr:uid="{00000000-0005-0000-0000-000056290000}"/>
    <cellStyle name="Normal 2 2 2 2 2 13 7" xfId="10583" xr:uid="{00000000-0005-0000-0000-000057290000}"/>
    <cellStyle name="Normal 2 2 2 2 2 13 8" xfId="10584" xr:uid="{00000000-0005-0000-0000-000058290000}"/>
    <cellStyle name="Normal 2 2 2 2 2 13 9" xfId="10585" xr:uid="{00000000-0005-0000-0000-000059290000}"/>
    <cellStyle name="Normal 2 2 2 2 2 14" xfId="10586" xr:uid="{00000000-0005-0000-0000-00005A290000}"/>
    <cellStyle name="Normal 2 2 2 2 2 14 10" xfId="10587" xr:uid="{00000000-0005-0000-0000-00005B290000}"/>
    <cellStyle name="Normal 2 2 2 2 2 14 11" xfId="10588" xr:uid="{00000000-0005-0000-0000-00005C290000}"/>
    <cellStyle name="Normal 2 2 2 2 2 14 12" xfId="10589" xr:uid="{00000000-0005-0000-0000-00005D290000}"/>
    <cellStyle name="Normal 2 2 2 2 2 14 13" xfId="10590" xr:uid="{00000000-0005-0000-0000-00005E290000}"/>
    <cellStyle name="Normal 2 2 2 2 2 14 14" xfId="10591" xr:uid="{00000000-0005-0000-0000-00005F290000}"/>
    <cellStyle name="Normal 2 2 2 2 2 14 2" xfId="10592" xr:uid="{00000000-0005-0000-0000-000060290000}"/>
    <cellStyle name="Normal 2 2 2 2 2 14 2 10" xfId="10593" xr:uid="{00000000-0005-0000-0000-000061290000}"/>
    <cellStyle name="Normal 2 2 2 2 2 14 2 2" xfId="10594" xr:uid="{00000000-0005-0000-0000-000062290000}"/>
    <cellStyle name="Normal 2 2 2 2 2 14 2 3" xfId="10595" xr:uid="{00000000-0005-0000-0000-000063290000}"/>
    <cellStyle name="Normal 2 2 2 2 2 14 2 4" xfId="10596" xr:uid="{00000000-0005-0000-0000-000064290000}"/>
    <cellStyle name="Normal 2 2 2 2 2 14 2 5" xfId="10597" xr:uid="{00000000-0005-0000-0000-000065290000}"/>
    <cellStyle name="Normal 2 2 2 2 2 14 2 6" xfId="10598" xr:uid="{00000000-0005-0000-0000-000066290000}"/>
    <cellStyle name="Normal 2 2 2 2 2 14 2 7" xfId="10599" xr:uid="{00000000-0005-0000-0000-000067290000}"/>
    <cellStyle name="Normal 2 2 2 2 2 14 2 8" xfId="10600" xr:uid="{00000000-0005-0000-0000-000068290000}"/>
    <cellStyle name="Normal 2 2 2 2 2 14 2 9" xfId="10601" xr:uid="{00000000-0005-0000-0000-000069290000}"/>
    <cellStyle name="Normal 2 2 2 2 2 14 3" xfId="10602" xr:uid="{00000000-0005-0000-0000-00006A290000}"/>
    <cellStyle name="Normal 2 2 2 2 2 14 3 10" xfId="10603" xr:uid="{00000000-0005-0000-0000-00006B290000}"/>
    <cellStyle name="Normal 2 2 2 2 2 14 3 2" xfId="10604" xr:uid="{00000000-0005-0000-0000-00006C290000}"/>
    <cellStyle name="Normal 2 2 2 2 2 14 3 3" xfId="10605" xr:uid="{00000000-0005-0000-0000-00006D290000}"/>
    <cellStyle name="Normal 2 2 2 2 2 14 3 4" xfId="10606" xr:uid="{00000000-0005-0000-0000-00006E290000}"/>
    <cellStyle name="Normal 2 2 2 2 2 14 3 5" xfId="10607" xr:uid="{00000000-0005-0000-0000-00006F290000}"/>
    <cellStyle name="Normal 2 2 2 2 2 14 3 6" xfId="10608" xr:uid="{00000000-0005-0000-0000-000070290000}"/>
    <cellStyle name="Normal 2 2 2 2 2 14 3 7" xfId="10609" xr:uid="{00000000-0005-0000-0000-000071290000}"/>
    <cellStyle name="Normal 2 2 2 2 2 14 3 8" xfId="10610" xr:uid="{00000000-0005-0000-0000-000072290000}"/>
    <cellStyle name="Normal 2 2 2 2 2 14 3 9" xfId="10611" xr:uid="{00000000-0005-0000-0000-000073290000}"/>
    <cellStyle name="Normal 2 2 2 2 2 14 4" xfId="10612" xr:uid="{00000000-0005-0000-0000-000074290000}"/>
    <cellStyle name="Normal 2 2 2 2 2 14 4 10" xfId="10613" xr:uid="{00000000-0005-0000-0000-000075290000}"/>
    <cellStyle name="Normal 2 2 2 2 2 14 4 2" xfId="10614" xr:uid="{00000000-0005-0000-0000-000076290000}"/>
    <cellStyle name="Normal 2 2 2 2 2 14 4 3" xfId="10615" xr:uid="{00000000-0005-0000-0000-000077290000}"/>
    <cellStyle name="Normal 2 2 2 2 2 14 4 4" xfId="10616" xr:uid="{00000000-0005-0000-0000-000078290000}"/>
    <cellStyle name="Normal 2 2 2 2 2 14 4 5" xfId="10617" xr:uid="{00000000-0005-0000-0000-000079290000}"/>
    <cellStyle name="Normal 2 2 2 2 2 14 4 6" xfId="10618" xr:uid="{00000000-0005-0000-0000-00007A290000}"/>
    <cellStyle name="Normal 2 2 2 2 2 14 4 7" xfId="10619" xr:uid="{00000000-0005-0000-0000-00007B290000}"/>
    <cellStyle name="Normal 2 2 2 2 2 14 4 8" xfId="10620" xr:uid="{00000000-0005-0000-0000-00007C290000}"/>
    <cellStyle name="Normal 2 2 2 2 2 14 4 9" xfId="10621" xr:uid="{00000000-0005-0000-0000-00007D290000}"/>
    <cellStyle name="Normal 2 2 2 2 2 14 5" xfId="10622" xr:uid="{00000000-0005-0000-0000-00007E290000}"/>
    <cellStyle name="Normal 2 2 2 2 2 14 5 10" xfId="10623" xr:uid="{00000000-0005-0000-0000-00007F290000}"/>
    <cellStyle name="Normal 2 2 2 2 2 14 5 2" xfId="10624" xr:uid="{00000000-0005-0000-0000-000080290000}"/>
    <cellStyle name="Normal 2 2 2 2 2 14 5 3" xfId="10625" xr:uid="{00000000-0005-0000-0000-000081290000}"/>
    <cellStyle name="Normal 2 2 2 2 2 14 5 4" xfId="10626" xr:uid="{00000000-0005-0000-0000-000082290000}"/>
    <cellStyle name="Normal 2 2 2 2 2 14 5 5" xfId="10627" xr:uid="{00000000-0005-0000-0000-000083290000}"/>
    <cellStyle name="Normal 2 2 2 2 2 14 5 6" xfId="10628" xr:uid="{00000000-0005-0000-0000-000084290000}"/>
    <cellStyle name="Normal 2 2 2 2 2 14 5 7" xfId="10629" xr:uid="{00000000-0005-0000-0000-000085290000}"/>
    <cellStyle name="Normal 2 2 2 2 2 14 5 8" xfId="10630" xr:uid="{00000000-0005-0000-0000-000086290000}"/>
    <cellStyle name="Normal 2 2 2 2 2 14 5 9" xfId="10631" xr:uid="{00000000-0005-0000-0000-000087290000}"/>
    <cellStyle name="Normal 2 2 2 2 2 14 6" xfId="10632" xr:uid="{00000000-0005-0000-0000-000088290000}"/>
    <cellStyle name="Normal 2 2 2 2 2 14 7" xfId="10633" xr:uid="{00000000-0005-0000-0000-000089290000}"/>
    <cellStyle name="Normal 2 2 2 2 2 14 8" xfId="10634" xr:uid="{00000000-0005-0000-0000-00008A290000}"/>
    <cellStyle name="Normal 2 2 2 2 2 14 9" xfId="10635" xr:uid="{00000000-0005-0000-0000-00008B290000}"/>
    <cellStyle name="Normal 2 2 2 2 2 15" xfId="10636" xr:uid="{00000000-0005-0000-0000-00008C290000}"/>
    <cellStyle name="Normal 2 2 2 2 2 15 10" xfId="10637" xr:uid="{00000000-0005-0000-0000-00008D290000}"/>
    <cellStyle name="Normal 2 2 2 2 2 15 11" xfId="10638" xr:uid="{00000000-0005-0000-0000-00008E290000}"/>
    <cellStyle name="Normal 2 2 2 2 2 15 12" xfId="10639" xr:uid="{00000000-0005-0000-0000-00008F290000}"/>
    <cellStyle name="Normal 2 2 2 2 2 15 13" xfId="10640" xr:uid="{00000000-0005-0000-0000-000090290000}"/>
    <cellStyle name="Normal 2 2 2 2 2 15 14" xfId="10641" xr:uid="{00000000-0005-0000-0000-000091290000}"/>
    <cellStyle name="Normal 2 2 2 2 2 15 2" xfId="10642" xr:uid="{00000000-0005-0000-0000-000092290000}"/>
    <cellStyle name="Normal 2 2 2 2 2 15 2 10" xfId="10643" xr:uid="{00000000-0005-0000-0000-000093290000}"/>
    <cellStyle name="Normal 2 2 2 2 2 15 2 2" xfId="10644" xr:uid="{00000000-0005-0000-0000-000094290000}"/>
    <cellStyle name="Normal 2 2 2 2 2 15 2 3" xfId="10645" xr:uid="{00000000-0005-0000-0000-000095290000}"/>
    <cellStyle name="Normal 2 2 2 2 2 15 2 4" xfId="10646" xr:uid="{00000000-0005-0000-0000-000096290000}"/>
    <cellStyle name="Normal 2 2 2 2 2 15 2 5" xfId="10647" xr:uid="{00000000-0005-0000-0000-000097290000}"/>
    <cellStyle name="Normal 2 2 2 2 2 15 2 6" xfId="10648" xr:uid="{00000000-0005-0000-0000-000098290000}"/>
    <cellStyle name="Normal 2 2 2 2 2 15 2 7" xfId="10649" xr:uid="{00000000-0005-0000-0000-000099290000}"/>
    <cellStyle name="Normal 2 2 2 2 2 15 2 8" xfId="10650" xr:uid="{00000000-0005-0000-0000-00009A290000}"/>
    <cellStyle name="Normal 2 2 2 2 2 15 2 9" xfId="10651" xr:uid="{00000000-0005-0000-0000-00009B290000}"/>
    <cellStyle name="Normal 2 2 2 2 2 15 3" xfId="10652" xr:uid="{00000000-0005-0000-0000-00009C290000}"/>
    <cellStyle name="Normal 2 2 2 2 2 15 3 10" xfId="10653" xr:uid="{00000000-0005-0000-0000-00009D290000}"/>
    <cellStyle name="Normal 2 2 2 2 2 15 3 2" xfId="10654" xr:uid="{00000000-0005-0000-0000-00009E290000}"/>
    <cellStyle name="Normal 2 2 2 2 2 15 3 3" xfId="10655" xr:uid="{00000000-0005-0000-0000-00009F290000}"/>
    <cellStyle name="Normal 2 2 2 2 2 15 3 4" xfId="10656" xr:uid="{00000000-0005-0000-0000-0000A0290000}"/>
    <cellStyle name="Normal 2 2 2 2 2 15 3 5" xfId="10657" xr:uid="{00000000-0005-0000-0000-0000A1290000}"/>
    <cellStyle name="Normal 2 2 2 2 2 15 3 6" xfId="10658" xr:uid="{00000000-0005-0000-0000-0000A2290000}"/>
    <cellStyle name="Normal 2 2 2 2 2 15 3 7" xfId="10659" xr:uid="{00000000-0005-0000-0000-0000A3290000}"/>
    <cellStyle name="Normal 2 2 2 2 2 15 3 8" xfId="10660" xr:uid="{00000000-0005-0000-0000-0000A4290000}"/>
    <cellStyle name="Normal 2 2 2 2 2 15 3 9" xfId="10661" xr:uid="{00000000-0005-0000-0000-0000A5290000}"/>
    <cellStyle name="Normal 2 2 2 2 2 15 4" xfId="10662" xr:uid="{00000000-0005-0000-0000-0000A6290000}"/>
    <cellStyle name="Normal 2 2 2 2 2 15 4 10" xfId="10663" xr:uid="{00000000-0005-0000-0000-0000A7290000}"/>
    <cellStyle name="Normal 2 2 2 2 2 15 4 2" xfId="10664" xr:uid="{00000000-0005-0000-0000-0000A8290000}"/>
    <cellStyle name="Normal 2 2 2 2 2 15 4 3" xfId="10665" xr:uid="{00000000-0005-0000-0000-0000A9290000}"/>
    <cellStyle name="Normal 2 2 2 2 2 15 4 4" xfId="10666" xr:uid="{00000000-0005-0000-0000-0000AA290000}"/>
    <cellStyle name="Normal 2 2 2 2 2 15 4 5" xfId="10667" xr:uid="{00000000-0005-0000-0000-0000AB290000}"/>
    <cellStyle name="Normal 2 2 2 2 2 15 4 6" xfId="10668" xr:uid="{00000000-0005-0000-0000-0000AC290000}"/>
    <cellStyle name="Normal 2 2 2 2 2 15 4 7" xfId="10669" xr:uid="{00000000-0005-0000-0000-0000AD290000}"/>
    <cellStyle name="Normal 2 2 2 2 2 15 4 8" xfId="10670" xr:uid="{00000000-0005-0000-0000-0000AE290000}"/>
    <cellStyle name="Normal 2 2 2 2 2 15 4 9" xfId="10671" xr:uid="{00000000-0005-0000-0000-0000AF290000}"/>
    <cellStyle name="Normal 2 2 2 2 2 15 5" xfId="10672" xr:uid="{00000000-0005-0000-0000-0000B0290000}"/>
    <cellStyle name="Normal 2 2 2 2 2 15 5 10" xfId="10673" xr:uid="{00000000-0005-0000-0000-0000B1290000}"/>
    <cellStyle name="Normal 2 2 2 2 2 15 5 2" xfId="10674" xr:uid="{00000000-0005-0000-0000-0000B2290000}"/>
    <cellStyle name="Normal 2 2 2 2 2 15 5 3" xfId="10675" xr:uid="{00000000-0005-0000-0000-0000B3290000}"/>
    <cellStyle name="Normal 2 2 2 2 2 15 5 4" xfId="10676" xr:uid="{00000000-0005-0000-0000-0000B4290000}"/>
    <cellStyle name="Normal 2 2 2 2 2 15 5 5" xfId="10677" xr:uid="{00000000-0005-0000-0000-0000B5290000}"/>
    <cellStyle name="Normal 2 2 2 2 2 15 5 6" xfId="10678" xr:uid="{00000000-0005-0000-0000-0000B6290000}"/>
    <cellStyle name="Normal 2 2 2 2 2 15 5 7" xfId="10679" xr:uid="{00000000-0005-0000-0000-0000B7290000}"/>
    <cellStyle name="Normal 2 2 2 2 2 15 5 8" xfId="10680" xr:uid="{00000000-0005-0000-0000-0000B8290000}"/>
    <cellStyle name="Normal 2 2 2 2 2 15 5 9" xfId="10681" xr:uid="{00000000-0005-0000-0000-0000B9290000}"/>
    <cellStyle name="Normal 2 2 2 2 2 15 6" xfId="10682" xr:uid="{00000000-0005-0000-0000-0000BA290000}"/>
    <cellStyle name="Normal 2 2 2 2 2 15 7" xfId="10683" xr:uid="{00000000-0005-0000-0000-0000BB290000}"/>
    <cellStyle name="Normal 2 2 2 2 2 15 8" xfId="10684" xr:uid="{00000000-0005-0000-0000-0000BC290000}"/>
    <cellStyle name="Normal 2 2 2 2 2 15 9" xfId="10685" xr:uid="{00000000-0005-0000-0000-0000BD290000}"/>
    <cellStyle name="Normal 2 2 2 2 2 16" xfId="10686" xr:uid="{00000000-0005-0000-0000-0000BE290000}"/>
    <cellStyle name="Normal 2 2 2 2 2 16 10" xfId="10687" xr:uid="{00000000-0005-0000-0000-0000BF290000}"/>
    <cellStyle name="Normal 2 2 2 2 2 16 11" xfId="10688" xr:uid="{00000000-0005-0000-0000-0000C0290000}"/>
    <cellStyle name="Normal 2 2 2 2 2 16 12" xfId="10689" xr:uid="{00000000-0005-0000-0000-0000C1290000}"/>
    <cellStyle name="Normal 2 2 2 2 2 16 13" xfId="10690" xr:uid="{00000000-0005-0000-0000-0000C2290000}"/>
    <cellStyle name="Normal 2 2 2 2 2 16 14" xfId="10691" xr:uid="{00000000-0005-0000-0000-0000C3290000}"/>
    <cellStyle name="Normal 2 2 2 2 2 16 2" xfId="10692" xr:uid="{00000000-0005-0000-0000-0000C4290000}"/>
    <cellStyle name="Normal 2 2 2 2 2 16 2 10" xfId="10693" xr:uid="{00000000-0005-0000-0000-0000C5290000}"/>
    <cellStyle name="Normal 2 2 2 2 2 16 2 2" xfId="10694" xr:uid="{00000000-0005-0000-0000-0000C6290000}"/>
    <cellStyle name="Normal 2 2 2 2 2 16 2 3" xfId="10695" xr:uid="{00000000-0005-0000-0000-0000C7290000}"/>
    <cellStyle name="Normal 2 2 2 2 2 16 2 4" xfId="10696" xr:uid="{00000000-0005-0000-0000-0000C8290000}"/>
    <cellStyle name="Normal 2 2 2 2 2 16 2 5" xfId="10697" xr:uid="{00000000-0005-0000-0000-0000C9290000}"/>
    <cellStyle name="Normal 2 2 2 2 2 16 2 6" xfId="10698" xr:uid="{00000000-0005-0000-0000-0000CA290000}"/>
    <cellStyle name="Normal 2 2 2 2 2 16 2 7" xfId="10699" xr:uid="{00000000-0005-0000-0000-0000CB290000}"/>
    <cellStyle name="Normal 2 2 2 2 2 16 2 8" xfId="10700" xr:uid="{00000000-0005-0000-0000-0000CC290000}"/>
    <cellStyle name="Normal 2 2 2 2 2 16 2 9" xfId="10701" xr:uid="{00000000-0005-0000-0000-0000CD290000}"/>
    <cellStyle name="Normal 2 2 2 2 2 16 3" xfId="10702" xr:uid="{00000000-0005-0000-0000-0000CE290000}"/>
    <cellStyle name="Normal 2 2 2 2 2 16 3 10" xfId="10703" xr:uid="{00000000-0005-0000-0000-0000CF290000}"/>
    <cellStyle name="Normal 2 2 2 2 2 16 3 2" xfId="10704" xr:uid="{00000000-0005-0000-0000-0000D0290000}"/>
    <cellStyle name="Normal 2 2 2 2 2 16 3 3" xfId="10705" xr:uid="{00000000-0005-0000-0000-0000D1290000}"/>
    <cellStyle name="Normal 2 2 2 2 2 16 3 4" xfId="10706" xr:uid="{00000000-0005-0000-0000-0000D2290000}"/>
    <cellStyle name="Normal 2 2 2 2 2 16 3 5" xfId="10707" xr:uid="{00000000-0005-0000-0000-0000D3290000}"/>
    <cellStyle name="Normal 2 2 2 2 2 16 3 6" xfId="10708" xr:uid="{00000000-0005-0000-0000-0000D4290000}"/>
    <cellStyle name="Normal 2 2 2 2 2 16 3 7" xfId="10709" xr:uid="{00000000-0005-0000-0000-0000D5290000}"/>
    <cellStyle name="Normal 2 2 2 2 2 16 3 8" xfId="10710" xr:uid="{00000000-0005-0000-0000-0000D6290000}"/>
    <cellStyle name="Normal 2 2 2 2 2 16 3 9" xfId="10711" xr:uid="{00000000-0005-0000-0000-0000D7290000}"/>
    <cellStyle name="Normal 2 2 2 2 2 16 4" xfId="10712" xr:uid="{00000000-0005-0000-0000-0000D8290000}"/>
    <cellStyle name="Normal 2 2 2 2 2 16 4 10" xfId="10713" xr:uid="{00000000-0005-0000-0000-0000D9290000}"/>
    <cellStyle name="Normal 2 2 2 2 2 16 4 2" xfId="10714" xr:uid="{00000000-0005-0000-0000-0000DA290000}"/>
    <cellStyle name="Normal 2 2 2 2 2 16 4 3" xfId="10715" xr:uid="{00000000-0005-0000-0000-0000DB290000}"/>
    <cellStyle name="Normal 2 2 2 2 2 16 4 4" xfId="10716" xr:uid="{00000000-0005-0000-0000-0000DC290000}"/>
    <cellStyle name="Normal 2 2 2 2 2 16 4 5" xfId="10717" xr:uid="{00000000-0005-0000-0000-0000DD290000}"/>
    <cellStyle name="Normal 2 2 2 2 2 16 4 6" xfId="10718" xr:uid="{00000000-0005-0000-0000-0000DE290000}"/>
    <cellStyle name="Normal 2 2 2 2 2 16 4 7" xfId="10719" xr:uid="{00000000-0005-0000-0000-0000DF290000}"/>
    <cellStyle name="Normal 2 2 2 2 2 16 4 8" xfId="10720" xr:uid="{00000000-0005-0000-0000-0000E0290000}"/>
    <cellStyle name="Normal 2 2 2 2 2 16 4 9" xfId="10721" xr:uid="{00000000-0005-0000-0000-0000E1290000}"/>
    <cellStyle name="Normal 2 2 2 2 2 16 5" xfId="10722" xr:uid="{00000000-0005-0000-0000-0000E2290000}"/>
    <cellStyle name="Normal 2 2 2 2 2 16 5 10" xfId="10723" xr:uid="{00000000-0005-0000-0000-0000E3290000}"/>
    <cellStyle name="Normal 2 2 2 2 2 16 5 2" xfId="10724" xr:uid="{00000000-0005-0000-0000-0000E4290000}"/>
    <cellStyle name="Normal 2 2 2 2 2 16 5 3" xfId="10725" xr:uid="{00000000-0005-0000-0000-0000E5290000}"/>
    <cellStyle name="Normal 2 2 2 2 2 16 5 4" xfId="10726" xr:uid="{00000000-0005-0000-0000-0000E6290000}"/>
    <cellStyle name="Normal 2 2 2 2 2 16 5 5" xfId="10727" xr:uid="{00000000-0005-0000-0000-0000E7290000}"/>
    <cellStyle name="Normal 2 2 2 2 2 16 5 6" xfId="10728" xr:uid="{00000000-0005-0000-0000-0000E8290000}"/>
    <cellStyle name="Normal 2 2 2 2 2 16 5 7" xfId="10729" xr:uid="{00000000-0005-0000-0000-0000E9290000}"/>
    <cellStyle name="Normal 2 2 2 2 2 16 5 8" xfId="10730" xr:uid="{00000000-0005-0000-0000-0000EA290000}"/>
    <cellStyle name="Normal 2 2 2 2 2 16 5 9" xfId="10731" xr:uid="{00000000-0005-0000-0000-0000EB290000}"/>
    <cellStyle name="Normal 2 2 2 2 2 16 6" xfId="10732" xr:uid="{00000000-0005-0000-0000-0000EC290000}"/>
    <cellStyle name="Normal 2 2 2 2 2 16 7" xfId="10733" xr:uid="{00000000-0005-0000-0000-0000ED290000}"/>
    <cellStyle name="Normal 2 2 2 2 2 16 8" xfId="10734" xr:uid="{00000000-0005-0000-0000-0000EE290000}"/>
    <cellStyle name="Normal 2 2 2 2 2 16 9" xfId="10735" xr:uid="{00000000-0005-0000-0000-0000EF290000}"/>
    <cellStyle name="Normal 2 2 2 2 2 17" xfId="10736" xr:uid="{00000000-0005-0000-0000-0000F0290000}"/>
    <cellStyle name="Normal 2 2 2 2 2 17 10" xfId="10737" xr:uid="{00000000-0005-0000-0000-0000F1290000}"/>
    <cellStyle name="Normal 2 2 2 2 2 17 11" xfId="10738" xr:uid="{00000000-0005-0000-0000-0000F2290000}"/>
    <cellStyle name="Normal 2 2 2 2 2 17 12" xfId="10739" xr:uid="{00000000-0005-0000-0000-0000F3290000}"/>
    <cellStyle name="Normal 2 2 2 2 2 17 13" xfId="10740" xr:uid="{00000000-0005-0000-0000-0000F4290000}"/>
    <cellStyle name="Normal 2 2 2 2 2 17 14" xfId="10741" xr:uid="{00000000-0005-0000-0000-0000F5290000}"/>
    <cellStyle name="Normal 2 2 2 2 2 17 2" xfId="10742" xr:uid="{00000000-0005-0000-0000-0000F6290000}"/>
    <cellStyle name="Normal 2 2 2 2 2 17 2 10" xfId="10743" xr:uid="{00000000-0005-0000-0000-0000F7290000}"/>
    <cellStyle name="Normal 2 2 2 2 2 17 2 2" xfId="10744" xr:uid="{00000000-0005-0000-0000-0000F8290000}"/>
    <cellStyle name="Normal 2 2 2 2 2 17 2 3" xfId="10745" xr:uid="{00000000-0005-0000-0000-0000F9290000}"/>
    <cellStyle name="Normal 2 2 2 2 2 17 2 4" xfId="10746" xr:uid="{00000000-0005-0000-0000-0000FA290000}"/>
    <cellStyle name="Normal 2 2 2 2 2 17 2 5" xfId="10747" xr:uid="{00000000-0005-0000-0000-0000FB290000}"/>
    <cellStyle name="Normal 2 2 2 2 2 17 2 6" xfId="10748" xr:uid="{00000000-0005-0000-0000-0000FC290000}"/>
    <cellStyle name="Normal 2 2 2 2 2 17 2 7" xfId="10749" xr:uid="{00000000-0005-0000-0000-0000FD290000}"/>
    <cellStyle name="Normal 2 2 2 2 2 17 2 8" xfId="10750" xr:uid="{00000000-0005-0000-0000-0000FE290000}"/>
    <cellStyle name="Normal 2 2 2 2 2 17 2 9" xfId="10751" xr:uid="{00000000-0005-0000-0000-0000FF290000}"/>
    <cellStyle name="Normal 2 2 2 2 2 17 3" xfId="10752" xr:uid="{00000000-0005-0000-0000-0000002A0000}"/>
    <cellStyle name="Normal 2 2 2 2 2 17 3 10" xfId="10753" xr:uid="{00000000-0005-0000-0000-0000012A0000}"/>
    <cellStyle name="Normal 2 2 2 2 2 17 3 2" xfId="10754" xr:uid="{00000000-0005-0000-0000-0000022A0000}"/>
    <cellStyle name="Normal 2 2 2 2 2 17 3 3" xfId="10755" xr:uid="{00000000-0005-0000-0000-0000032A0000}"/>
    <cellStyle name="Normal 2 2 2 2 2 17 3 4" xfId="10756" xr:uid="{00000000-0005-0000-0000-0000042A0000}"/>
    <cellStyle name="Normal 2 2 2 2 2 17 3 5" xfId="10757" xr:uid="{00000000-0005-0000-0000-0000052A0000}"/>
    <cellStyle name="Normal 2 2 2 2 2 17 3 6" xfId="10758" xr:uid="{00000000-0005-0000-0000-0000062A0000}"/>
    <cellStyle name="Normal 2 2 2 2 2 17 3 7" xfId="10759" xr:uid="{00000000-0005-0000-0000-0000072A0000}"/>
    <cellStyle name="Normal 2 2 2 2 2 17 3 8" xfId="10760" xr:uid="{00000000-0005-0000-0000-0000082A0000}"/>
    <cellStyle name="Normal 2 2 2 2 2 17 3 9" xfId="10761" xr:uid="{00000000-0005-0000-0000-0000092A0000}"/>
    <cellStyle name="Normal 2 2 2 2 2 17 4" xfId="10762" xr:uid="{00000000-0005-0000-0000-00000A2A0000}"/>
    <cellStyle name="Normal 2 2 2 2 2 17 4 10" xfId="10763" xr:uid="{00000000-0005-0000-0000-00000B2A0000}"/>
    <cellStyle name="Normal 2 2 2 2 2 17 4 2" xfId="10764" xr:uid="{00000000-0005-0000-0000-00000C2A0000}"/>
    <cellStyle name="Normal 2 2 2 2 2 17 4 3" xfId="10765" xr:uid="{00000000-0005-0000-0000-00000D2A0000}"/>
    <cellStyle name="Normal 2 2 2 2 2 17 4 4" xfId="10766" xr:uid="{00000000-0005-0000-0000-00000E2A0000}"/>
    <cellStyle name="Normal 2 2 2 2 2 17 4 5" xfId="10767" xr:uid="{00000000-0005-0000-0000-00000F2A0000}"/>
    <cellStyle name="Normal 2 2 2 2 2 17 4 6" xfId="10768" xr:uid="{00000000-0005-0000-0000-0000102A0000}"/>
    <cellStyle name="Normal 2 2 2 2 2 17 4 7" xfId="10769" xr:uid="{00000000-0005-0000-0000-0000112A0000}"/>
    <cellStyle name="Normal 2 2 2 2 2 17 4 8" xfId="10770" xr:uid="{00000000-0005-0000-0000-0000122A0000}"/>
    <cellStyle name="Normal 2 2 2 2 2 17 4 9" xfId="10771" xr:uid="{00000000-0005-0000-0000-0000132A0000}"/>
    <cellStyle name="Normal 2 2 2 2 2 17 5" xfId="10772" xr:uid="{00000000-0005-0000-0000-0000142A0000}"/>
    <cellStyle name="Normal 2 2 2 2 2 17 5 10" xfId="10773" xr:uid="{00000000-0005-0000-0000-0000152A0000}"/>
    <cellStyle name="Normal 2 2 2 2 2 17 5 2" xfId="10774" xr:uid="{00000000-0005-0000-0000-0000162A0000}"/>
    <cellStyle name="Normal 2 2 2 2 2 17 5 3" xfId="10775" xr:uid="{00000000-0005-0000-0000-0000172A0000}"/>
    <cellStyle name="Normal 2 2 2 2 2 17 5 4" xfId="10776" xr:uid="{00000000-0005-0000-0000-0000182A0000}"/>
    <cellStyle name="Normal 2 2 2 2 2 17 5 5" xfId="10777" xr:uid="{00000000-0005-0000-0000-0000192A0000}"/>
    <cellStyle name="Normal 2 2 2 2 2 17 5 6" xfId="10778" xr:uid="{00000000-0005-0000-0000-00001A2A0000}"/>
    <cellStyle name="Normal 2 2 2 2 2 17 5 7" xfId="10779" xr:uid="{00000000-0005-0000-0000-00001B2A0000}"/>
    <cellStyle name="Normal 2 2 2 2 2 17 5 8" xfId="10780" xr:uid="{00000000-0005-0000-0000-00001C2A0000}"/>
    <cellStyle name="Normal 2 2 2 2 2 17 5 9" xfId="10781" xr:uid="{00000000-0005-0000-0000-00001D2A0000}"/>
    <cellStyle name="Normal 2 2 2 2 2 17 6" xfId="10782" xr:uid="{00000000-0005-0000-0000-00001E2A0000}"/>
    <cellStyle name="Normal 2 2 2 2 2 17 7" xfId="10783" xr:uid="{00000000-0005-0000-0000-00001F2A0000}"/>
    <cellStyle name="Normal 2 2 2 2 2 17 8" xfId="10784" xr:uid="{00000000-0005-0000-0000-0000202A0000}"/>
    <cellStyle name="Normal 2 2 2 2 2 17 9" xfId="10785" xr:uid="{00000000-0005-0000-0000-0000212A0000}"/>
    <cellStyle name="Normal 2 2 2 2 2 18" xfId="10786" xr:uid="{00000000-0005-0000-0000-0000222A0000}"/>
    <cellStyle name="Normal 2 2 2 2 2 18 10" xfId="10787" xr:uid="{00000000-0005-0000-0000-0000232A0000}"/>
    <cellStyle name="Normal 2 2 2 2 2 18 11" xfId="10788" xr:uid="{00000000-0005-0000-0000-0000242A0000}"/>
    <cellStyle name="Normal 2 2 2 2 2 18 12" xfId="10789" xr:uid="{00000000-0005-0000-0000-0000252A0000}"/>
    <cellStyle name="Normal 2 2 2 2 2 18 13" xfId="10790" xr:uid="{00000000-0005-0000-0000-0000262A0000}"/>
    <cellStyle name="Normal 2 2 2 2 2 18 14" xfId="10791" xr:uid="{00000000-0005-0000-0000-0000272A0000}"/>
    <cellStyle name="Normal 2 2 2 2 2 18 2" xfId="10792" xr:uid="{00000000-0005-0000-0000-0000282A0000}"/>
    <cellStyle name="Normal 2 2 2 2 2 18 2 10" xfId="10793" xr:uid="{00000000-0005-0000-0000-0000292A0000}"/>
    <cellStyle name="Normal 2 2 2 2 2 18 2 2" xfId="10794" xr:uid="{00000000-0005-0000-0000-00002A2A0000}"/>
    <cellStyle name="Normal 2 2 2 2 2 18 2 3" xfId="10795" xr:uid="{00000000-0005-0000-0000-00002B2A0000}"/>
    <cellStyle name="Normal 2 2 2 2 2 18 2 4" xfId="10796" xr:uid="{00000000-0005-0000-0000-00002C2A0000}"/>
    <cellStyle name="Normal 2 2 2 2 2 18 2 5" xfId="10797" xr:uid="{00000000-0005-0000-0000-00002D2A0000}"/>
    <cellStyle name="Normal 2 2 2 2 2 18 2 6" xfId="10798" xr:uid="{00000000-0005-0000-0000-00002E2A0000}"/>
    <cellStyle name="Normal 2 2 2 2 2 18 2 7" xfId="10799" xr:uid="{00000000-0005-0000-0000-00002F2A0000}"/>
    <cellStyle name="Normal 2 2 2 2 2 18 2 8" xfId="10800" xr:uid="{00000000-0005-0000-0000-0000302A0000}"/>
    <cellStyle name="Normal 2 2 2 2 2 18 2 9" xfId="10801" xr:uid="{00000000-0005-0000-0000-0000312A0000}"/>
    <cellStyle name="Normal 2 2 2 2 2 18 3" xfId="10802" xr:uid="{00000000-0005-0000-0000-0000322A0000}"/>
    <cellStyle name="Normal 2 2 2 2 2 18 3 10" xfId="10803" xr:uid="{00000000-0005-0000-0000-0000332A0000}"/>
    <cellStyle name="Normal 2 2 2 2 2 18 3 2" xfId="10804" xr:uid="{00000000-0005-0000-0000-0000342A0000}"/>
    <cellStyle name="Normal 2 2 2 2 2 18 3 3" xfId="10805" xr:uid="{00000000-0005-0000-0000-0000352A0000}"/>
    <cellStyle name="Normal 2 2 2 2 2 18 3 4" xfId="10806" xr:uid="{00000000-0005-0000-0000-0000362A0000}"/>
    <cellStyle name="Normal 2 2 2 2 2 18 3 5" xfId="10807" xr:uid="{00000000-0005-0000-0000-0000372A0000}"/>
    <cellStyle name="Normal 2 2 2 2 2 18 3 6" xfId="10808" xr:uid="{00000000-0005-0000-0000-0000382A0000}"/>
    <cellStyle name="Normal 2 2 2 2 2 18 3 7" xfId="10809" xr:uid="{00000000-0005-0000-0000-0000392A0000}"/>
    <cellStyle name="Normal 2 2 2 2 2 18 3 8" xfId="10810" xr:uid="{00000000-0005-0000-0000-00003A2A0000}"/>
    <cellStyle name="Normal 2 2 2 2 2 18 3 9" xfId="10811" xr:uid="{00000000-0005-0000-0000-00003B2A0000}"/>
    <cellStyle name="Normal 2 2 2 2 2 18 4" xfId="10812" xr:uid="{00000000-0005-0000-0000-00003C2A0000}"/>
    <cellStyle name="Normal 2 2 2 2 2 18 4 10" xfId="10813" xr:uid="{00000000-0005-0000-0000-00003D2A0000}"/>
    <cellStyle name="Normal 2 2 2 2 2 18 4 2" xfId="10814" xr:uid="{00000000-0005-0000-0000-00003E2A0000}"/>
    <cellStyle name="Normal 2 2 2 2 2 18 4 3" xfId="10815" xr:uid="{00000000-0005-0000-0000-00003F2A0000}"/>
    <cellStyle name="Normal 2 2 2 2 2 18 4 4" xfId="10816" xr:uid="{00000000-0005-0000-0000-0000402A0000}"/>
    <cellStyle name="Normal 2 2 2 2 2 18 4 5" xfId="10817" xr:uid="{00000000-0005-0000-0000-0000412A0000}"/>
    <cellStyle name="Normal 2 2 2 2 2 18 4 6" xfId="10818" xr:uid="{00000000-0005-0000-0000-0000422A0000}"/>
    <cellStyle name="Normal 2 2 2 2 2 18 4 7" xfId="10819" xr:uid="{00000000-0005-0000-0000-0000432A0000}"/>
    <cellStyle name="Normal 2 2 2 2 2 18 4 8" xfId="10820" xr:uid="{00000000-0005-0000-0000-0000442A0000}"/>
    <cellStyle name="Normal 2 2 2 2 2 18 4 9" xfId="10821" xr:uid="{00000000-0005-0000-0000-0000452A0000}"/>
    <cellStyle name="Normal 2 2 2 2 2 18 5" xfId="10822" xr:uid="{00000000-0005-0000-0000-0000462A0000}"/>
    <cellStyle name="Normal 2 2 2 2 2 18 5 10" xfId="10823" xr:uid="{00000000-0005-0000-0000-0000472A0000}"/>
    <cellStyle name="Normal 2 2 2 2 2 18 5 2" xfId="10824" xr:uid="{00000000-0005-0000-0000-0000482A0000}"/>
    <cellStyle name="Normal 2 2 2 2 2 18 5 3" xfId="10825" xr:uid="{00000000-0005-0000-0000-0000492A0000}"/>
    <cellStyle name="Normal 2 2 2 2 2 18 5 4" xfId="10826" xr:uid="{00000000-0005-0000-0000-00004A2A0000}"/>
    <cellStyle name="Normal 2 2 2 2 2 18 5 5" xfId="10827" xr:uid="{00000000-0005-0000-0000-00004B2A0000}"/>
    <cellStyle name="Normal 2 2 2 2 2 18 5 6" xfId="10828" xr:uid="{00000000-0005-0000-0000-00004C2A0000}"/>
    <cellStyle name="Normal 2 2 2 2 2 18 5 7" xfId="10829" xr:uid="{00000000-0005-0000-0000-00004D2A0000}"/>
    <cellStyle name="Normal 2 2 2 2 2 18 5 8" xfId="10830" xr:uid="{00000000-0005-0000-0000-00004E2A0000}"/>
    <cellStyle name="Normal 2 2 2 2 2 18 5 9" xfId="10831" xr:uid="{00000000-0005-0000-0000-00004F2A0000}"/>
    <cellStyle name="Normal 2 2 2 2 2 18 6" xfId="10832" xr:uid="{00000000-0005-0000-0000-0000502A0000}"/>
    <cellStyle name="Normal 2 2 2 2 2 18 7" xfId="10833" xr:uid="{00000000-0005-0000-0000-0000512A0000}"/>
    <cellStyle name="Normal 2 2 2 2 2 18 8" xfId="10834" xr:uid="{00000000-0005-0000-0000-0000522A0000}"/>
    <cellStyle name="Normal 2 2 2 2 2 18 9" xfId="10835" xr:uid="{00000000-0005-0000-0000-0000532A0000}"/>
    <cellStyle name="Normal 2 2 2 2 2 19" xfId="10836" xr:uid="{00000000-0005-0000-0000-0000542A0000}"/>
    <cellStyle name="Normal 2 2 2 2 2 19 10" xfId="10837" xr:uid="{00000000-0005-0000-0000-0000552A0000}"/>
    <cellStyle name="Normal 2 2 2 2 2 19 11" xfId="10838" xr:uid="{00000000-0005-0000-0000-0000562A0000}"/>
    <cellStyle name="Normal 2 2 2 2 2 19 12" xfId="10839" xr:uid="{00000000-0005-0000-0000-0000572A0000}"/>
    <cellStyle name="Normal 2 2 2 2 2 19 13" xfId="10840" xr:uid="{00000000-0005-0000-0000-0000582A0000}"/>
    <cellStyle name="Normal 2 2 2 2 2 19 14" xfId="10841" xr:uid="{00000000-0005-0000-0000-0000592A0000}"/>
    <cellStyle name="Normal 2 2 2 2 2 19 2" xfId="10842" xr:uid="{00000000-0005-0000-0000-00005A2A0000}"/>
    <cellStyle name="Normal 2 2 2 2 2 19 2 10" xfId="10843" xr:uid="{00000000-0005-0000-0000-00005B2A0000}"/>
    <cellStyle name="Normal 2 2 2 2 2 19 2 2" xfId="10844" xr:uid="{00000000-0005-0000-0000-00005C2A0000}"/>
    <cellStyle name="Normal 2 2 2 2 2 19 2 3" xfId="10845" xr:uid="{00000000-0005-0000-0000-00005D2A0000}"/>
    <cellStyle name="Normal 2 2 2 2 2 19 2 4" xfId="10846" xr:uid="{00000000-0005-0000-0000-00005E2A0000}"/>
    <cellStyle name="Normal 2 2 2 2 2 19 2 5" xfId="10847" xr:uid="{00000000-0005-0000-0000-00005F2A0000}"/>
    <cellStyle name="Normal 2 2 2 2 2 19 2 6" xfId="10848" xr:uid="{00000000-0005-0000-0000-0000602A0000}"/>
    <cellStyle name="Normal 2 2 2 2 2 19 2 7" xfId="10849" xr:uid="{00000000-0005-0000-0000-0000612A0000}"/>
    <cellStyle name="Normal 2 2 2 2 2 19 2 8" xfId="10850" xr:uid="{00000000-0005-0000-0000-0000622A0000}"/>
    <cellStyle name="Normal 2 2 2 2 2 19 2 9" xfId="10851" xr:uid="{00000000-0005-0000-0000-0000632A0000}"/>
    <cellStyle name="Normal 2 2 2 2 2 19 3" xfId="10852" xr:uid="{00000000-0005-0000-0000-0000642A0000}"/>
    <cellStyle name="Normal 2 2 2 2 2 19 3 10" xfId="10853" xr:uid="{00000000-0005-0000-0000-0000652A0000}"/>
    <cellStyle name="Normal 2 2 2 2 2 19 3 2" xfId="10854" xr:uid="{00000000-0005-0000-0000-0000662A0000}"/>
    <cellStyle name="Normal 2 2 2 2 2 19 3 3" xfId="10855" xr:uid="{00000000-0005-0000-0000-0000672A0000}"/>
    <cellStyle name="Normal 2 2 2 2 2 19 3 4" xfId="10856" xr:uid="{00000000-0005-0000-0000-0000682A0000}"/>
    <cellStyle name="Normal 2 2 2 2 2 19 3 5" xfId="10857" xr:uid="{00000000-0005-0000-0000-0000692A0000}"/>
    <cellStyle name="Normal 2 2 2 2 2 19 3 6" xfId="10858" xr:uid="{00000000-0005-0000-0000-00006A2A0000}"/>
    <cellStyle name="Normal 2 2 2 2 2 19 3 7" xfId="10859" xr:uid="{00000000-0005-0000-0000-00006B2A0000}"/>
    <cellStyle name="Normal 2 2 2 2 2 19 3 8" xfId="10860" xr:uid="{00000000-0005-0000-0000-00006C2A0000}"/>
    <cellStyle name="Normal 2 2 2 2 2 19 3 9" xfId="10861" xr:uid="{00000000-0005-0000-0000-00006D2A0000}"/>
    <cellStyle name="Normal 2 2 2 2 2 19 4" xfId="10862" xr:uid="{00000000-0005-0000-0000-00006E2A0000}"/>
    <cellStyle name="Normal 2 2 2 2 2 19 4 10" xfId="10863" xr:uid="{00000000-0005-0000-0000-00006F2A0000}"/>
    <cellStyle name="Normal 2 2 2 2 2 19 4 2" xfId="10864" xr:uid="{00000000-0005-0000-0000-0000702A0000}"/>
    <cellStyle name="Normal 2 2 2 2 2 19 4 3" xfId="10865" xr:uid="{00000000-0005-0000-0000-0000712A0000}"/>
    <cellStyle name="Normal 2 2 2 2 2 19 4 4" xfId="10866" xr:uid="{00000000-0005-0000-0000-0000722A0000}"/>
    <cellStyle name="Normal 2 2 2 2 2 19 4 5" xfId="10867" xr:uid="{00000000-0005-0000-0000-0000732A0000}"/>
    <cellStyle name="Normal 2 2 2 2 2 19 4 6" xfId="10868" xr:uid="{00000000-0005-0000-0000-0000742A0000}"/>
    <cellStyle name="Normal 2 2 2 2 2 19 4 7" xfId="10869" xr:uid="{00000000-0005-0000-0000-0000752A0000}"/>
    <cellStyle name="Normal 2 2 2 2 2 19 4 8" xfId="10870" xr:uid="{00000000-0005-0000-0000-0000762A0000}"/>
    <cellStyle name="Normal 2 2 2 2 2 19 4 9" xfId="10871" xr:uid="{00000000-0005-0000-0000-0000772A0000}"/>
    <cellStyle name="Normal 2 2 2 2 2 19 5" xfId="10872" xr:uid="{00000000-0005-0000-0000-0000782A0000}"/>
    <cellStyle name="Normal 2 2 2 2 2 19 5 10" xfId="10873" xr:uid="{00000000-0005-0000-0000-0000792A0000}"/>
    <cellStyle name="Normal 2 2 2 2 2 19 5 2" xfId="10874" xr:uid="{00000000-0005-0000-0000-00007A2A0000}"/>
    <cellStyle name="Normal 2 2 2 2 2 19 5 3" xfId="10875" xr:uid="{00000000-0005-0000-0000-00007B2A0000}"/>
    <cellStyle name="Normal 2 2 2 2 2 19 5 4" xfId="10876" xr:uid="{00000000-0005-0000-0000-00007C2A0000}"/>
    <cellStyle name="Normal 2 2 2 2 2 19 5 5" xfId="10877" xr:uid="{00000000-0005-0000-0000-00007D2A0000}"/>
    <cellStyle name="Normal 2 2 2 2 2 19 5 6" xfId="10878" xr:uid="{00000000-0005-0000-0000-00007E2A0000}"/>
    <cellStyle name="Normal 2 2 2 2 2 19 5 7" xfId="10879" xr:uid="{00000000-0005-0000-0000-00007F2A0000}"/>
    <cellStyle name="Normal 2 2 2 2 2 19 5 8" xfId="10880" xr:uid="{00000000-0005-0000-0000-0000802A0000}"/>
    <cellStyle name="Normal 2 2 2 2 2 19 5 9" xfId="10881" xr:uid="{00000000-0005-0000-0000-0000812A0000}"/>
    <cellStyle name="Normal 2 2 2 2 2 19 6" xfId="10882" xr:uid="{00000000-0005-0000-0000-0000822A0000}"/>
    <cellStyle name="Normal 2 2 2 2 2 19 7" xfId="10883" xr:uid="{00000000-0005-0000-0000-0000832A0000}"/>
    <cellStyle name="Normal 2 2 2 2 2 19 8" xfId="10884" xr:uid="{00000000-0005-0000-0000-0000842A0000}"/>
    <cellStyle name="Normal 2 2 2 2 2 19 9" xfId="10885" xr:uid="{00000000-0005-0000-0000-0000852A0000}"/>
    <cellStyle name="Normal 2 2 2 2 2 2" xfId="10886" xr:uid="{00000000-0005-0000-0000-0000862A0000}"/>
    <cellStyle name="Normal 2 2 2 2 2 2 10" xfId="10887" xr:uid="{00000000-0005-0000-0000-0000872A0000}"/>
    <cellStyle name="Normal 2 2 2 2 2 2 10 10" xfId="10888" xr:uid="{00000000-0005-0000-0000-0000882A0000}"/>
    <cellStyle name="Normal 2 2 2 2 2 2 10 11" xfId="10889" xr:uid="{00000000-0005-0000-0000-0000892A0000}"/>
    <cellStyle name="Normal 2 2 2 2 2 2 10 12" xfId="10890" xr:uid="{00000000-0005-0000-0000-00008A2A0000}"/>
    <cellStyle name="Normal 2 2 2 2 2 2 10 13" xfId="10891" xr:uid="{00000000-0005-0000-0000-00008B2A0000}"/>
    <cellStyle name="Normal 2 2 2 2 2 2 10 14" xfId="10892" xr:uid="{00000000-0005-0000-0000-00008C2A0000}"/>
    <cellStyle name="Normal 2 2 2 2 2 2 10 2" xfId="10893" xr:uid="{00000000-0005-0000-0000-00008D2A0000}"/>
    <cellStyle name="Normal 2 2 2 2 2 2 10 2 10" xfId="10894" xr:uid="{00000000-0005-0000-0000-00008E2A0000}"/>
    <cellStyle name="Normal 2 2 2 2 2 2 10 2 2" xfId="10895" xr:uid="{00000000-0005-0000-0000-00008F2A0000}"/>
    <cellStyle name="Normal 2 2 2 2 2 2 10 2 3" xfId="10896" xr:uid="{00000000-0005-0000-0000-0000902A0000}"/>
    <cellStyle name="Normal 2 2 2 2 2 2 10 2 4" xfId="10897" xr:uid="{00000000-0005-0000-0000-0000912A0000}"/>
    <cellStyle name="Normal 2 2 2 2 2 2 10 2 5" xfId="10898" xr:uid="{00000000-0005-0000-0000-0000922A0000}"/>
    <cellStyle name="Normal 2 2 2 2 2 2 10 2 6" xfId="10899" xr:uid="{00000000-0005-0000-0000-0000932A0000}"/>
    <cellStyle name="Normal 2 2 2 2 2 2 10 2 7" xfId="10900" xr:uid="{00000000-0005-0000-0000-0000942A0000}"/>
    <cellStyle name="Normal 2 2 2 2 2 2 10 2 8" xfId="10901" xr:uid="{00000000-0005-0000-0000-0000952A0000}"/>
    <cellStyle name="Normal 2 2 2 2 2 2 10 2 9" xfId="10902" xr:uid="{00000000-0005-0000-0000-0000962A0000}"/>
    <cellStyle name="Normal 2 2 2 2 2 2 10 3" xfId="10903" xr:uid="{00000000-0005-0000-0000-0000972A0000}"/>
    <cellStyle name="Normal 2 2 2 2 2 2 10 3 10" xfId="10904" xr:uid="{00000000-0005-0000-0000-0000982A0000}"/>
    <cellStyle name="Normal 2 2 2 2 2 2 10 3 2" xfId="10905" xr:uid="{00000000-0005-0000-0000-0000992A0000}"/>
    <cellStyle name="Normal 2 2 2 2 2 2 10 3 3" xfId="10906" xr:uid="{00000000-0005-0000-0000-00009A2A0000}"/>
    <cellStyle name="Normal 2 2 2 2 2 2 10 3 4" xfId="10907" xr:uid="{00000000-0005-0000-0000-00009B2A0000}"/>
    <cellStyle name="Normal 2 2 2 2 2 2 10 3 5" xfId="10908" xr:uid="{00000000-0005-0000-0000-00009C2A0000}"/>
    <cellStyle name="Normal 2 2 2 2 2 2 10 3 6" xfId="10909" xr:uid="{00000000-0005-0000-0000-00009D2A0000}"/>
    <cellStyle name="Normal 2 2 2 2 2 2 10 3 7" xfId="10910" xr:uid="{00000000-0005-0000-0000-00009E2A0000}"/>
    <cellStyle name="Normal 2 2 2 2 2 2 10 3 8" xfId="10911" xr:uid="{00000000-0005-0000-0000-00009F2A0000}"/>
    <cellStyle name="Normal 2 2 2 2 2 2 10 3 9" xfId="10912" xr:uid="{00000000-0005-0000-0000-0000A02A0000}"/>
    <cellStyle name="Normal 2 2 2 2 2 2 10 4" xfId="10913" xr:uid="{00000000-0005-0000-0000-0000A12A0000}"/>
    <cellStyle name="Normal 2 2 2 2 2 2 10 4 10" xfId="10914" xr:uid="{00000000-0005-0000-0000-0000A22A0000}"/>
    <cellStyle name="Normal 2 2 2 2 2 2 10 4 2" xfId="10915" xr:uid="{00000000-0005-0000-0000-0000A32A0000}"/>
    <cellStyle name="Normal 2 2 2 2 2 2 10 4 3" xfId="10916" xr:uid="{00000000-0005-0000-0000-0000A42A0000}"/>
    <cellStyle name="Normal 2 2 2 2 2 2 10 4 4" xfId="10917" xr:uid="{00000000-0005-0000-0000-0000A52A0000}"/>
    <cellStyle name="Normal 2 2 2 2 2 2 10 4 5" xfId="10918" xr:uid="{00000000-0005-0000-0000-0000A62A0000}"/>
    <cellStyle name="Normal 2 2 2 2 2 2 10 4 6" xfId="10919" xr:uid="{00000000-0005-0000-0000-0000A72A0000}"/>
    <cellStyle name="Normal 2 2 2 2 2 2 10 4 7" xfId="10920" xr:uid="{00000000-0005-0000-0000-0000A82A0000}"/>
    <cellStyle name="Normal 2 2 2 2 2 2 10 4 8" xfId="10921" xr:uid="{00000000-0005-0000-0000-0000A92A0000}"/>
    <cellStyle name="Normal 2 2 2 2 2 2 10 4 9" xfId="10922" xr:uid="{00000000-0005-0000-0000-0000AA2A0000}"/>
    <cellStyle name="Normal 2 2 2 2 2 2 10 5" xfId="10923" xr:uid="{00000000-0005-0000-0000-0000AB2A0000}"/>
    <cellStyle name="Normal 2 2 2 2 2 2 10 5 10" xfId="10924" xr:uid="{00000000-0005-0000-0000-0000AC2A0000}"/>
    <cellStyle name="Normal 2 2 2 2 2 2 10 5 2" xfId="10925" xr:uid="{00000000-0005-0000-0000-0000AD2A0000}"/>
    <cellStyle name="Normal 2 2 2 2 2 2 10 5 3" xfId="10926" xr:uid="{00000000-0005-0000-0000-0000AE2A0000}"/>
    <cellStyle name="Normal 2 2 2 2 2 2 10 5 4" xfId="10927" xr:uid="{00000000-0005-0000-0000-0000AF2A0000}"/>
    <cellStyle name="Normal 2 2 2 2 2 2 10 5 5" xfId="10928" xr:uid="{00000000-0005-0000-0000-0000B02A0000}"/>
    <cellStyle name="Normal 2 2 2 2 2 2 10 5 6" xfId="10929" xr:uid="{00000000-0005-0000-0000-0000B12A0000}"/>
    <cellStyle name="Normal 2 2 2 2 2 2 10 5 7" xfId="10930" xr:uid="{00000000-0005-0000-0000-0000B22A0000}"/>
    <cellStyle name="Normal 2 2 2 2 2 2 10 5 8" xfId="10931" xr:uid="{00000000-0005-0000-0000-0000B32A0000}"/>
    <cellStyle name="Normal 2 2 2 2 2 2 10 5 9" xfId="10932" xr:uid="{00000000-0005-0000-0000-0000B42A0000}"/>
    <cellStyle name="Normal 2 2 2 2 2 2 10 6" xfId="10933" xr:uid="{00000000-0005-0000-0000-0000B52A0000}"/>
    <cellStyle name="Normal 2 2 2 2 2 2 10 7" xfId="10934" xr:uid="{00000000-0005-0000-0000-0000B62A0000}"/>
    <cellStyle name="Normal 2 2 2 2 2 2 10 8" xfId="10935" xr:uid="{00000000-0005-0000-0000-0000B72A0000}"/>
    <cellStyle name="Normal 2 2 2 2 2 2 10 9" xfId="10936" xr:uid="{00000000-0005-0000-0000-0000B82A0000}"/>
    <cellStyle name="Normal 2 2 2 2 2 2 11" xfId="10937" xr:uid="{00000000-0005-0000-0000-0000B92A0000}"/>
    <cellStyle name="Normal 2 2 2 2 2 2 11 10" xfId="10938" xr:uid="{00000000-0005-0000-0000-0000BA2A0000}"/>
    <cellStyle name="Normal 2 2 2 2 2 2 11 11" xfId="10939" xr:uid="{00000000-0005-0000-0000-0000BB2A0000}"/>
    <cellStyle name="Normal 2 2 2 2 2 2 11 12" xfId="10940" xr:uid="{00000000-0005-0000-0000-0000BC2A0000}"/>
    <cellStyle name="Normal 2 2 2 2 2 2 11 13" xfId="10941" xr:uid="{00000000-0005-0000-0000-0000BD2A0000}"/>
    <cellStyle name="Normal 2 2 2 2 2 2 11 14" xfId="10942" xr:uid="{00000000-0005-0000-0000-0000BE2A0000}"/>
    <cellStyle name="Normal 2 2 2 2 2 2 11 2" xfId="10943" xr:uid="{00000000-0005-0000-0000-0000BF2A0000}"/>
    <cellStyle name="Normal 2 2 2 2 2 2 11 2 10" xfId="10944" xr:uid="{00000000-0005-0000-0000-0000C02A0000}"/>
    <cellStyle name="Normal 2 2 2 2 2 2 11 2 2" xfId="10945" xr:uid="{00000000-0005-0000-0000-0000C12A0000}"/>
    <cellStyle name="Normal 2 2 2 2 2 2 11 2 3" xfId="10946" xr:uid="{00000000-0005-0000-0000-0000C22A0000}"/>
    <cellStyle name="Normal 2 2 2 2 2 2 11 2 4" xfId="10947" xr:uid="{00000000-0005-0000-0000-0000C32A0000}"/>
    <cellStyle name="Normal 2 2 2 2 2 2 11 2 5" xfId="10948" xr:uid="{00000000-0005-0000-0000-0000C42A0000}"/>
    <cellStyle name="Normal 2 2 2 2 2 2 11 2 6" xfId="10949" xr:uid="{00000000-0005-0000-0000-0000C52A0000}"/>
    <cellStyle name="Normal 2 2 2 2 2 2 11 2 7" xfId="10950" xr:uid="{00000000-0005-0000-0000-0000C62A0000}"/>
    <cellStyle name="Normal 2 2 2 2 2 2 11 2 8" xfId="10951" xr:uid="{00000000-0005-0000-0000-0000C72A0000}"/>
    <cellStyle name="Normal 2 2 2 2 2 2 11 2 9" xfId="10952" xr:uid="{00000000-0005-0000-0000-0000C82A0000}"/>
    <cellStyle name="Normal 2 2 2 2 2 2 11 3" xfId="10953" xr:uid="{00000000-0005-0000-0000-0000C92A0000}"/>
    <cellStyle name="Normal 2 2 2 2 2 2 11 3 10" xfId="10954" xr:uid="{00000000-0005-0000-0000-0000CA2A0000}"/>
    <cellStyle name="Normal 2 2 2 2 2 2 11 3 2" xfId="10955" xr:uid="{00000000-0005-0000-0000-0000CB2A0000}"/>
    <cellStyle name="Normal 2 2 2 2 2 2 11 3 3" xfId="10956" xr:uid="{00000000-0005-0000-0000-0000CC2A0000}"/>
    <cellStyle name="Normal 2 2 2 2 2 2 11 3 4" xfId="10957" xr:uid="{00000000-0005-0000-0000-0000CD2A0000}"/>
    <cellStyle name="Normal 2 2 2 2 2 2 11 3 5" xfId="10958" xr:uid="{00000000-0005-0000-0000-0000CE2A0000}"/>
    <cellStyle name="Normal 2 2 2 2 2 2 11 3 6" xfId="10959" xr:uid="{00000000-0005-0000-0000-0000CF2A0000}"/>
    <cellStyle name="Normal 2 2 2 2 2 2 11 3 7" xfId="10960" xr:uid="{00000000-0005-0000-0000-0000D02A0000}"/>
    <cellStyle name="Normal 2 2 2 2 2 2 11 3 8" xfId="10961" xr:uid="{00000000-0005-0000-0000-0000D12A0000}"/>
    <cellStyle name="Normal 2 2 2 2 2 2 11 3 9" xfId="10962" xr:uid="{00000000-0005-0000-0000-0000D22A0000}"/>
    <cellStyle name="Normal 2 2 2 2 2 2 11 4" xfId="10963" xr:uid="{00000000-0005-0000-0000-0000D32A0000}"/>
    <cellStyle name="Normal 2 2 2 2 2 2 11 4 10" xfId="10964" xr:uid="{00000000-0005-0000-0000-0000D42A0000}"/>
    <cellStyle name="Normal 2 2 2 2 2 2 11 4 2" xfId="10965" xr:uid="{00000000-0005-0000-0000-0000D52A0000}"/>
    <cellStyle name="Normal 2 2 2 2 2 2 11 4 3" xfId="10966" xr:uid="{00000000-0005-0000-0000-0000D62A0000}"/>
    <cellStyle name="Normal 2 2 2 2 2 2 11 4 4" xfId="10967" xr:uid="{00000000-0005-0000-0000-0000D72A0000}"/>
    <cellStyle name="Normal 2 2 2 2 2 2 11 4 5" xfId="10968" xr:uid="{00000000-0005-0000-0000-0000D82A0000}"/>
    <cellStyle name="Normal 2 2 2 2 2 2 11 4 6" xfId="10969" xr:uid="{00000000-0005-0000-0000-0000D92A0000}"/>
    <cellStyle name="Normal 2 2 2 2 2 2 11 4 7" xfId="10970" xr:uid="{00000000-0005-0000-0000-0000DA2A0000}"/>
    <cellStyle name="Normal 2 2 2 2 2 2 11 4 8" xfId="10971" xr:uid="{00000000-0005-0000-0000-0000DB2A0000}"/>
    <cellStyle name="Normal 2 2 2 2 2 2 11 4 9" xfId="10972" xr:uid="{00000000-0005-0000-0000-0000DC2A0000}"/>
    <cellStyle name="Normal 2 2 2 2 2 2 11 5" xfId="10973" xr:uid="{00000000-0005-0000-0000-0000DD2A0000}"/>
    <cellStyle name="Normal 2 2 2 2 2 2 11 5 10" xfId="10974" xr:uid="{00000000-0005-0000-0000-0000DE2A0000}"/>
    <cellStyle name="Normal 2 2 2 2 2 2 11 5 2" xfId="10975" xr:uid="{00000000-0005-0000-0000-0000DF2A0000}"/>
    <cellStyle name="Normal 2 2 2 2 2 2 11 5 3" xfId="10976" xr:uid="{00000000-0005-0000-0000-0000E02A0000}"/>
    <cellStyle name="Normal 2 2 2 2 2 2 11 5 4" xfId="10977" xr:uid="{00000000-0005-0000-0000-0000E12A0000}"/>
    <cellStyle name="Normal 2 2 2 2 2 2 11 5 5" xfId="10978" xr:uid="{00000000-0005-0000-0000-0000E22A0000}"/>
    <cellStyle name="Normal 2 2 2 2 2 2 11 5 6" xfId="10979" xr:uid="{00000000-0005-0000-0000-0000E32A0000}"/>
    <cellStyle name="Normal 2 2 2 2 2 2 11 5 7" xfId="10980" xr:uid="{00000000-0005-0000-0000-0000E42A0000}"/>
    <cellStyle name="Normal 2 2 2 2 2 2 11 5 8" xfId="10981" xr:uid="{00000000-0005-0000-0000-0000E52A0000}"/>
    <cellStyle name="Normal 2 2 2 2 2 2 11 5 9" xfId="10982" xr:uid="{00000000-0005-0000-0000-0000E62A0000}"/>
    <cellStyle name="Normal 2 2 2 2 2 2 11 6" xfId="10983" xr:uid="{00000000-0005-0000-0000-0000E72A0000}"/>
    <cellStyle name="Normal 2 2 2 2 2 2 11 7" xfId="10984" xr:uid="{00000000-0005-0000-0000-0000E82A0000}"/>
    <cellStyle name="Normal 2 2 2 2 2 2 11 8" xfId="10985" xr:uid="{00000000-0005-0000-0000-0000E92A0000}"/>
    <cellStyle name="Normal 2 2 2 2 2 2 11 9" xfId="10986" xr:uid="{00000000-0005-0000-0000-0000EA2A0000}"/>
    <cellStyle name="Normal 2 2 2 2 2 2 12" xfId="10987" xr:uid="{00000000-0005-0000-0000-0000EB2A0000}"/>
    <cellStyle name="Normal 2 2 2 2 2 2 12 10" xfId="10988" xr:uid="{00000000-0005-0000-0000-0000EC2A0000}"/>
    <cellStyle name="Normal 2 2 2 2 2 2 12 11" xfId="10989" xr:uid="{00000000-0005-0000-0000-0000ED2A0000}"/>
    <cellStyle name="Normal 2 2 2 2 2 2 12 12" xfId="10990" xr:uid="{00000000-0005-0000-0000-0000EE2A0000}"/>
    <cellStyle name="Normal 2 2 2 2 2 2 12 13" xfId="10991" xr:uid="{00000000-0005-0000-0000-0000EF2A0000}"/>
    <cellStyle name="Normal 2 2 2 2 2 2 12 14" xfId="10992" xr:uid="{00000000-0005-0000-0000-0000F02A0000}"/>
    <cellStyle name="Normal 2 2 2 2 2 2 12 2" xfId="10993" xr:uid="{00000000-0005-0000-0000-0000F12A0000}"/>
    <cellStyle name="Normal 2 2 2 2 2 2 12 2 10" xfId="10994" xr:uid="{00000000-0005-0000-0000-0000F22A0000}"/>
    <cellStyle name="Normal 2 2 2 2 2 2 12 2 2" xfId="10995" xr:uid="{00000000-0005-0000-0000-0000F32A0000}"/>
    <cellStyle name="Normal 2 2 2 2 2 2 12 2 3" xfId="10996" xr:uid="{00000000-0005-0000-0000-0000F42A0000}"/>
    <cellStyle name="Normal 2 2 2 2 2 2 12 2 4" xfId="10997" xr:uid="{00000000-0005-0000-0000-0000F52A0000}"/>
    <cellStyle name="Normal 2 2 2 2 2 2 12 2 5" xfId="10998" xr:uid="{00000000-0005-0000-0000-0000F62A0000}"/>
    <cellStyle name="Normal 2 2 2 2 2 2 12 2 6" xfId="10999" xr:uid="{00000000-0005-0000-0000-0000F72A0000}"/>
    <cellStyle name="Normal 2 2 2 2 2 2 12 2 7" xfId="11000" xr:uid="{00000000-0005-0000-0000-0000F82A0000}"/>
    <cellStyle name="Normal 2 2 2 2 2 2 12 2 8" xfId="11001" xr:uid="{00000000-0005-0000-0000-0000F92A0000}"/>
    <cellStyle name="Normal 2 2 2 2 2 2 12 2 9" xfId="11002" xr:uid="{00000000-0005-0000-0000-0000FA2A0000}"/>
    <cellStyle name="Normal 2 2 2 2 2 2 12 3" xfId="11003" xr:uid="{00000000-0005-0000-0000-0000FB2A0000}"/>
    <cellStyle name="Normal 2 2 2 2 2 2 12 3 10" xfId="11004" xr:uid="{00000000-0005-0000-0000-0000FC2A0000}"/>
    <cellStyle name="Normal 2 2 2 2 2 2 12 3 2" xfId="11005" xr:uid="{00000000-0005-0000-0000-0000FD2A0000}"/>
    <cellStyle name="Normal 2 2 2 2 2 2 12 3 3" xfId="11006" xr:uid="{00000000-0005-0000-0000-0000FE2A0000}"/>
    <cellStyle name="Normal 2 2 2 2 2 2 12 3 4" xfId="11007" xr:uid="{00000000-0005-0000-0000-0000FF2A0000}"/>
    <cellStyle name="Normal 2 2 2 2 2 2 12 3 5" xfId="11008" xr:uid="{00000000-0005-0000-0000-0000002B0000}"/>
    <cellStyle name="Normal 2 2 2 2 2 2 12 3 6" xfId="11009" xr:uid="{00000000-0005-0000-0000-0000012B0000}"/>
    <cellStyle name="Normal 2 2 2 2 2 2 12 3 7" xfId="11010" xr:uid="{00000000-0005-0000-0000-0000022B0000}"/>
    <cellStyle name="Normal 2 2 2 2 2 2 12 3 8" xfId="11011" xr:uid="{00000000-0005-0000-0000-0000032B0000}"/>
    <cellStyle name="Normal 2 2 2 2 2 2 12 3 9" xfId="11012" xr:uid="{00000000-0005-0000-0000-0000042B0000}"/>
    <cellStyle name="Normal 2 2 2 2 2 2 12 4" xfId="11013" xr:uid="{00000000-0005-0000-0000-0000052B0000}"/>
    <cellStyle name="Normal 2 2 2 2 2 2 12 4 10" xfId="11014" xr:uid="{00000000-0005-0000-0000-0000062B0000}"/>
    <cellStyle name="Normal 2 2 2 2 2 2 12 4 2" xfId="11015" xr:uid="{00000000-0005-0000-0000-0000072B0000}"/>
    <cellStyle name="Normal 2 2 2 2 2 2 12 4 3" xfId="11016" xr:uid="{00000000-0005-0000-0000-0000082B0000}"/>
    <cellStyle name="Normal 2 2 2 2 2 2 12 4 4" xfId="11017" xr:uid="{00000000-0005-0000-0000-0000092B0000}"/>
    <cellStyle name="Normal 2 2 2 2 2 2 12 4 5" xfId="11018" xr:uid="{00000000-0005-0000-0000-00000A2B0000}"/>
    <cellStyle name="Normal 2 2 2 2 2 2 12 4 6" xfId="11019" xr:uid="{00000000-0005-0000-0000-00000B2B0000}"/>
    <cellStyle name="Normal 2 2 2 2 2 2 12 4 7" xfId="11020" xr:uid="{00000000-0005-0000-0000-00000C2B0000}"/>
    <cellStyle name="Normal 2 2 2 2 2 2 12 4 8" xfId="11021" xr:uid="{00000000-0005-0000-0000-00000D2B0000}"/>
    <cellStyle name="Normal 2 2 2 2 2 2 12 4 9" xfId="11022" xr:uid="{00000000-0005-0000-0000-00000E2B0000}"/>
    <cellStyle name="Normal 2 2 2 2 2 2 12 5" xfId="11023" xr:uid="{00000000-0005-0000-0000-00000F2B0000}"/>
    <cellStyle name="Normal 2 2 2 2 2 2 12 5 10" xfId="11024" xr:uid="{00000000-0005-0000-0000-0000102B0000}"/>
    <cellStyle name="Normal 2 2 2 2 2 2 12 5 2" xfId="11025" xr:uid="{00000000-0005-0000-0000-0000112B0000}"/>
    <cellStyle name="Normal 2 2 2 2 2 2 12 5 3" xfId="11026" xr:uid="{00000000-0005-0000-0000-0000122B0000}"/>
    <cellStyle name="Normal 2 2 2 2 2 2 12 5 4" xfId="11027" xr:uid="{00000000-0005-0000-0000-0000132B0000}"/>
    <cellStyle name="Normal 2 2 2 2 2 2 12 5 5" xfId="11028" xr:uid="{00000000-0005-0000-0000-0000142B0000}"/>
    <cellStyle name="Normal 2 2 2 2 2 2 12 5 6" xfId="11029" xr:uid="{00000000-0005-0000-0000-0000152B0000}"/>
    <cellStyle name="Normal 2 2 2 2 2 2 12 5 7" xfId="11030" xr:uid="{00000000-0005-0000-0000-0000162B0000}"/>
    <cellStyle name="Normal 2 2 2 2 2 2 12 5 8" xfId="11031" xr:uid="{00000000-0005-0000-0000-0000172B0000}"/>
    <cellStyle name="Normal 2 2 2 2 2 2 12 5 9" xfId="11032" xr:uid="{00000000-0005-0000-0000-0000182B0000}"/>
    <cellStyle name="Normal 2 2 2 2 2 2 12 6" xfId="11033" xr:uid="{00000000-0005-0000-0000-0000192B0000}"/>
    <cellStyle name="Normal 2 2 2 2 2 2 12 7" xfId="11034" xr:uid="{00000000-0005-0000-0000-00001A2B0000}"/>
    <cellStyle name="Normal 2 2 2 2 2 2 12 8" xfId="11035" xr:uid="{00000000-0005-0000-0000-00001B2B0000}"/>
    <cellStyle name="Normal 2 2 2 2 2 2 12 9" xfId="11036" xr:uid="{00000000-0005-0000-0000-00001C2B0000}"/>
    <cellStyle name="Normal 2 2 2 2 2 2 13" xfId="11037" xr:uid="{00000000-0005-0000-0000-00001D2B0000}"/>
    <cellStyle name="Normal 2 2 2 2 2 2 13 10" xfId="11038" xr:uid="{00000000-0005-0000-0000-00001E2B0000}"/>
    <cellStyle name="Normal 2 2 2 2 2 2 13 11" xfId="11039" xr:uid="{00000000-0005-0000-0000-00001F2B0000}"/>
    <cellStyle name="Normal 2 2 2 2 2 2 13 12" xfId="11040" xr:uid="{00000000-0005-0000-0000-0000202B0000}"/>
    <cellStyle name="Normal 2 2 2 2 2 2 13 13" xfId="11041" xr:uid="{00000000-0005-0000-0000-0000212B0000}"/>
    <cellStyle name="Normal 2 2 2 2 2 2 13 14" xfId="11042" xr:uid="{00000000-0005-0000-0000-0000222B0000}"/>
    <cellStyle name="Normal 2 2 2 2 2 2 13 2" xfId="11043" xr:uid="{00000000-0005-0000-0000-0000232B0000}"/>
    <cellStyle name="Normal 2 2 2 2 2 2 13 2 10" xfId="11044" xr:uid="{00000000-0005-0000-0000-0000242B0000}"/>
    <cellStyle name="Normal 2 2 2 2 2 2 13 2 2" xfId="11045" xr:uid="{00000000-0005-0000-0000-0000252B0000}"/>
    <cellStyle name="Normal 2 2 2 2 2 2 13 2 3" xfId="11046" xr:uid="{00000000-0005-0000-0000-0000262B0000}"/>
    <cellStyle name="Normal 2 2 2 2 2 2 13 2 4" xfId="11047" xr:uid="{00000000-0005-0000-0000-0000272B0000}"/>
    <cellStyle name="Normal 2 2 2 2 2 2 13 2 5" xfId="11048" xr:uid="{00000000-0005-0000-0000-0000282B0000}"/>
    <cellStyle name="Normal 2 2 2 2 2 2 13 2 6" xfId="11049" xr:uid="{00000000-0005-0000-0000-0000292B0000}"/>
    <cellStyle name="Normal 2 2 2 2 2 2 13 2 7" xfId="11050" xr:uid="{00000000-0005-0000-0000-00002A2B0000}"/>
    <cellStyle name="Normal 2 2 2 2 2 2 13 2 8" xfId="11051" xr:uid="{00000000-0005-0000-0000-00002B2B0000}"/>
    <cellStyle name="Normal 2 2 2 2 2 2 13 2 9" xfId="11052" xr:uid="{00000000-0005-0000-0000-00002C2B0000}"/>
    <cellStyle name="Normal 2 2 2 2 2 2 13 3" xfId="11053" xr:uid="{00000000-0005-0000-0000-00002D2B0000}"/>
    <cellStyle name="Normal 2 2 2 2 2 2 13 3 10" xfId="11054" xr:uid="{00000000-0005-0000-0000-00002E2B0000}"/>
    <cellStyle name="Normal 2 2 2 2 2 2 13 3 2" xfId="11055" xr:uid="{00000000-0005-0000-0000-00002F2B0000}"/>
    <cellStyle name="Normal 2 2 2 2 2 2 13 3 3" xfId="11056" xr:uid="{00000000-0005-0000-0000-0000302B0000}"/>
    <cellStyle name="Normal 2 2 2 2 2 2 13 3 4" xfId="11057" xr:uid="{00000000-0005-0000-0000-0000312B0000}"/>
    <cellStyle name="Normal 2 2 2 2 2 2 13 3 5" xfId="11058" xr:uid="{00000000-0005-0000-0000-0000322B0000}"/>
    <cellStyle name="Normal 2 2 2 2 2 2 13 3 6" xfId="11059" xr:uid="{00000000-0005-0000-0000-0000332B0000}"/>
    <cellStyle name="Normal 2 2 2 2 2 2 13 3 7" xfId="11060" xr:uid="{00000000-0005-0000-0000-0000342B0000}"/>
    <cellStyle name="Normal 2 2 2 2 2 2 13 3 8" xfId="11061" xr:uid="{00000000-0005-0000-0000-0000352B0000}"/>
    <cellStyle name="Normal 2 2 2 2 2 2 13 3 9" xfId="11062" xr:uid="{00000000-0005-0000-0000-0000362B0000}"/>
    <cellStyle name="Normal 2 2 2 2 2 2 13 4" xfId="11063" xr:uid="{00000000-0005-0000-0000-0000372B0000}"/>
    <cellStyle name="Normal 2 2 2 2 2 2 13 4 10" xfId="11064" xr:uid="{00000000-0005-0000-0000-0000382B0000}"/>
    <cellStyle name="Normal 2 2 2 2 2 2 13 4 2" xfId="11065" xr:uid="{00000000-0005-0000-0000-0000392B0000}"/>
    <cellStyle name="Normal 2 2 2 2 2 2 13 4 3" xfId="11066" xr:uid="{00000000-0005-0000-0000-00003A2B0000}"/>
    <cellStyle name="Normal 2 2 2 2 2 2 13 4 4" xfId="11067" xr:uid="{00000000-0005-0000-0000-00003B2B0000}"/>
    <cellStyle name="Normal 2 2 2 2 2 2 13 4 5" xfId="11068" xr:uid="{00000000-0005-0000-0000-00003C2B0000}"/>
    <cellStyle name="Normal 2 2 2 2 2 2 13 4 6" xfId="11069" xr:uid="{00000000-0005-0000-0000-00003D2B0000}"/>
    <cellStyle name="Normal 2 2 2 2 2 2 13 4 7" xfId="11070" xr:uid="{00000000-0005-0000-0000-00003E2B0000}"/>
    <cellStyle name="Normal 2 2 2 2 2 2 13 4 8" xfId="11071" xr:uid="{00000000-0005-0000-0000-00003F2B0000}"/>
    <cellStyle name="Normal 2 2 2 2 2 2 13 4 9" xfId="11072" xr:uid="{00000000-0005-0000-0000-0000402B0000}"/>
    <cellStyle name="Normal 2 2 2 2 2 2 13 5" xfId="11073" xr:uid="{00000000-0005-0000-0000-0000412B0000}"/>
    <cellStyle name="Normal 2 2 2 2 2 2 13 5 10" xfId="11074" xr:uid="{00000000-0005-0000-0000-0000422B0000}"/>
    <cellStyle name="Normal 2 2 2 2 2 2 13 5 2" xfId="11075" xr:uid="{00000000-0005-0000-0000-0000432B0000}"/>
    <cellStyle name="Normal 2 2 2 2 2 2 13 5 3" xfId="11076" xr:uid="{00000000-0005-0000-0000-0000442B0000}"/>
    <cellStyle name="Normal 2 2 2 2 2 2 13 5 4" xfId="11077" xr:uid="{00000000-0005-0000-0000-0000452B0000}"/>
    <cellStyle name="Normal 2 2 2 2 2 2 13 5 5" xfId="11078" xr:uid="{00000000-0005-0000-0000-0000462B0000}"/>
    <cellStyle name="Normal 2 2 2 2 2 2 13 5 6" xfId="11079" xr:uid="{00000000-0005-0000-0000-0000472B0000}"/>
    <cellStyle name="Normal 2 2 2 2 2 2 13 5 7" xfId="11080" xr:uid="{00000000-0005-0000-0000-0000482B0000}"/>
    <cellStyle name="Normal 2 2 2 2 2 2 13 5 8" xfId="11081" xr:uid="{00000000-0005-0000-0000-0000492B0000}"/>
    <cellStyle name="Normal 2 2 2 2 2 2 13 5 9" xfId="11082" xr:uid="{00000000-0005-0000-0000-00004A2B0000}"/>
    <cellStyle name="Normal 2 2 2 2 2 2 13 6" xfId="11083" xr:uid="{00000000-0005-0000-0000-00004B2B0000}"/>
    <cellStyle name="Normal 2 2 2 2 2 2 13 7" xfId="11084" xr:uid="{00000000-0005-0000-0000-00004C2B0000}"/>
    <cellStyle name="Normal 2 2 2 2 2 2 13 8" xfId="11085" xr:uid="{00000000-0005-0000-0000-00004D2B0000}"/>
    <cellStyle name="Normal 2 2 2 2 2 2 13 9" xfId="11086" xr:uid="{00000000-0005-0000-0000-00004E2B0000}"/>
    <cellStyle name="Normal 2 2 2 2 2 2 14" xfId="11087" xr:uid="{00000000-0005-0000-0000-00004F2B0000}"/>
    <cellStyle name="Normal 2 2 2 2 2 2 14 10" xfId="11088" xr:uid="{00000000-0005-0000-0000-0000502B0000}"/>
    <cellStyle name="Normal 2 2 2 2 2 2 14 11" xfId="11089" xr:uid="{00000000-0005-0000-0000-0000512B0000}"/>
    <cellStyle name="Normal 2 2 2 2 2 2 14 12" xfId="11090" xr:uid="{00000000-0005-0000-0000-0000522B0000}"/>
    <cellStyle name="Normal 2 2 2 2 2 2 14 13" xfId="11091" xr:uid="{00000000-0005-0000-0000-0000532B0000}"/>
    <cellStyle name="Normal 2 2 2 2 2 2 14 14" xfId="11092" xr:uid="{00000000-0005-0000-0000-0000542B0000}"/>
    <cellStyle name="Normal 2 2 2 2 2 2 14 2" xfId="11093" xr:uid="{00000000-0005-0000-0000-0000552B0000}"/>
    <cellStyle name="Normal 2 2 2 2 2 2 14 2 10" xfId="11094" xr:uid="{00000000-0005-0000-0000-0000562B0000}"/>
    <cellStyle name="Normal 2 2 2 2 2 2 14 2 2" xfId="11095" xr:uid="{00000000-0005-0000-0000-0000572B0000}"/>
    <cellStyle name="Normal 2 2 2 2 2 2 14 2 3" xfId="11096" xr:uid="{00000000-0005-0000-0000-0000582B0000}"/>
    <cellStyle name="Normal 2 2 2 2 2 2 14 2 4" xfId="11097" xr:uid="{00000000-0005-0000-0000-0000592B0000}"/>
    <cellStyle name="Normal 2 2 2 2 2 2 14 2 5" xfId="11098" xr:uid="{00000000-0005-0000-0000-00005A2B0000}"/>
    <cellStyle name="Normal 2 2 2 2 2 2 14 2 6" xfId="11099" xr:uid="{00000000-0005-0000-0000-00005B2B0000}"/>
    <cellStyle name="Normal 2 2 2 2 2 2 14 2 7" xfId="11100" xr:uid="{00000000-0005-0000-0000-00005C2B0000}"/>
    <cellStyle name="Normal 2 2 2 2 2 2 14 2 8" xfId="11101" xr:uid="{00000000-0005-0000-0000-00005D2B0000}"/>
    <cellStyle name="Normal 2 2 2 2 2 2 14 2 9" xfId="11102" xr:uid="{00000000-0005-0000-0000-00005E2B0000}"/>
    <cellStyle name="Normal 2 2 2 2 2 2 14 3" xfId="11103" xr:uid="{00000000-0005-0000-0000-00005F2B0000}"/>
    <cellStyle name="Normal 2 2 2 2 2 2 14 3 10" xfId="11104" xr:uid="{00000000-0005-0000-0000-0000602B0000}"/>
    <cellStyle name="Normal 2 2 2 2 2 2 14 3 2" xfId="11105" xr:uid="{00000000-0005-0000-0000-0000612B0000}"/>
    <cellStyle name="Normal 2 2 2 2 2 2 14 3 3" xfId="11106" xr:uid="{00000000-0005-0000-0000-0000622B0000}"/>
    <cellStyle name="Normal 2 2 2 2 2 2 14 3 4" xfId="11107" xr:uid="{00000000-0005-0000-0000-0000632B0000}"/>
    <cellStyle name="Normal 2 2 2 2 2 2 14 3 5" xfId="11108" xr:uid="{00000000-0005-0000-0000-0000642B0000}"/>
    <cellStyle name="Normal 2 2 2 2 2 2 14 3 6" xfId="11109" xr:uid="{00000000-0005-0000-0000-0000652B0000}"/>
    <cellStyle name="Normal 2 2 2 2 2 2 14 3 7" xfId="11110" xr:uid="{00000000-0005-0000-0000-0000662B0000}"/>
    <cellStyle name="Normal 2 2 2 2 2 2 14 3 8" xfId="11111" xr:uid="{00000000-0005-0000-0000-0000672B0000}"/>
    <cellStyle name="Normal 2 2 2 2 2 2 14 3 9" xfId="11112" xr:uid="{00000000-0005-0000-0000-0000682B0000}"/>
    <cellStyle name="Normal 2 2 2 2 2 2 14 4" xfId="11113" xr:uid="{00000000-0005-0000-0000-0000692B0000}"/>
    <cellStyle name="Normal 2 2 2 2 2 2 14 4 10" xfId="11114" xr:uid="{00000000-0005-0000-0000-00006A2B0000}"/>
    <cellStyle name="Normal 2 2 2 2 2 2 14 4 2" xfId="11115" xr:uid="{00000000-0005-0000-0000-00006B2B0000}"/>
    <cellStyle name="Normal 2 2 2 2 2 2 14 4 3" xfId="11116" xr:uid="{00000000-0005-0000-0000-00006C2B0000}"/>
    <cellStyle name="Normal 2 2 2 2 2 2 14 4 4" xfId="11117" xr:uid="{00000000-0005-0000-0000-00006D2B0000}"/>
    <cellStyle name="Normal 2 2 2 2 2 2 14 4 5" xfId="11118" xr:uid="{00000000-0005-0000-0000-00006E2B0000}"/>
    <cellStyle name="Normal 2 2 2 2 2 2 14 4 6" xfId="11119" xr:uid="{00000000-0005-0000-0000-00006F2B0000}"/>
    <cellStyle name="Normal 2 2 2 2 2 2 14 4 7" xfId="11120" xr:uid="{00000000-0005-0000-0000-0000702B0000}"/>
    <cellStyle name="Normal 2 2 2 2 2 2 14 4 8" xfId="11121" xr:uid="{00000000-0005-0000-0000-0000712B0000}"/>
    <cellStyle name="Normal 2 2 2 2 2 2 14 4 9" xfId="11122" xr:uid="{00000000-0005-0000-0000-0000722B0000}"/>
    <cellStyle name="Normal 2 2 2 2 2 2 14 5" xfId="11123" xr:uid="{00000000-0005-0000-0000-0000732B0000}"/>
    <cellStyle name="Normal 2 2 2 2 2 2 14 5 10" xfId="11124" xr:uid="{00000000-0005-0000-0000-0000742B0000}"/>
    <cellStyle name="Normal 2 2 2 2 2 2 14 5 2" xfId="11125" xr:uid="{00000000-0005-0000-0000-0000752B0000}"/>
    <cellStyle name="Normal 2 2 2 2 2 2 14 5 3" xfId="11126" xr:uid="{00000000-0005-0000-0000-0000762B0000}"/>
    <cellStyle name="Normal 2 2 2 2 2 2 14 5 4" xfId="11127" xr:uid="{00000000-0005-0000-0000-0000772B0000}"/>
    <cellStyle name="Normal 2 2 2 2 2 2 14 5 5" xfId="11128" xr:uid="{00000000-0005-0000-0000-0000782B0000}"/>
    <cellStyle name="Normal 2 2 2 2 2 2 14 5 6" xfId="11129" xr:uid="{00000000-0005-0000-0000-0000792B0000}"/>
    <cellStyle name="Normal 2 2 2 2 2 2 14 5 7" xfId="11130" xr:uid="{00000000-0005-0000-0000-00007A2B0000}"/>
    <cellStyle name="Normal 2 2 2 2 2 2 14 5 8" xfId="11131" xr:uid="{00000000-0005-0000-0000-00007B2B0000}"/>
    <cellStyle name="Normal 2 2 2 2 2 2 14 5 9" xfId="11132" xr:uid="{00000000-0005-0000-0000-00007C2B0000}"/>
    <cellStyle name="Normal 2 2 2 2 2 2 14 6" xfId="11133" xr:uid="{00000000-0005-0000-0000-00007D2B0000}"/>
    <cellStyle name="Normal 2 2 2 2 2 2 14 7" xfId="11134" xr:uid="{00000000-0005-0000-0000-00007E2B0000}"/>
    <cellStyle name="Normal 2 2 2 2 2 2 14 8" xfId="11135" xr:uid="{00000000-0005-0000-0000-00007F2B0000}"/>
    <cellStyle name="Normal 2 2 2 2 2 2 14 9" xfId="11136" xr:uid="{00000000-0005-0000-0000-0000802B0000}"/>
    <cellStyle name="Normal 2 2 2 2 2 2 15" xfId="11137" xr:uid="{00000000-0005-0000-0000-0000812B0000}"/>
    <cellStyle name="Normal 2 2 2 2 2 2 15 10" xfId="11138" xr:uid="{00000000-0005-0000-0000-0000822B0000}"/>
    <cellStyle name="Normal 2 2 2 2 2 2 15 11" xfId="11139" xr:uid="{00000000-0005-0000-0000-0000832B0000}"/>
    <cellStyle name="Normal 2 2 2 2 2 2 15 12" xfId="11140" xr:uid="{00000000-0005-0000-0000-0000842B0000}"/>
    <cellStyle name="Normal 2 2 2 2 2 2 15 13" xfId="11141" xr:uid="{00000000-0005-0000-0000-0000852B0000}"/>
    <cellStyle name="Normal 2 2 2 2 2 2 15 14" xfId="11142" xr:uid="{00000000-0005-0000-0000-0000862B0000}"/>
    <cellStyle name="Normal 2 2 2 2 2 2 15 2" xfId="11143" xr:uid="{00000000-0005-0000-0000-0000872B0000}"/>
    <cellStyle name="Normal 2 2 2 2 2 2 15 2 10" xfId="11144" xr:uid="{00000000-0005-0000-0000-0000882B0000}"/>
    <cellStyle name="Normal 2 2 2 2 2 2 15 2 2" xfId="11145" xr:uid="{00000000-0005-0000-0000-0000892B0000}"/>
    <cellStyle name="Normal 2 2 2 2 2 2 15 2 3" xfId="11146" xr:uid="{00000000-0005-0000-0000-00008A2B0000}"/>
    <cellStyle name="Normal 2 2 2 2 2 2 15 2 4" xfId="11147" xr:uid="{00000000-0005-0000-0000-00008B2B0000}"/>
    <cellStyle name="Normal 2 2 2 2 2 2 15 2 5" xfId="11148" xr:uid="{00000000-0005-0000-0000-00008C2B0000}"/>
    <cellStyle name="Normal 2 2 2 2 2 2 15 2 6" xfId="11149" xr:uid="{00000000-0005-0000-0000-00008D2B0000}"/>
    <cellStyle name="Normal 2 2 2 2 2 2 15 2 7" xfId="11150" xr:uid="{00000000-0005-0000-0000-00008E2B0000}"/>
    <cellStyle name="Normal 2 2 2 2 2 2 15 2 8" xfId="11151" xr:uid="{00000000-0005-0000-0000-00008F2B0000}"/>
    <cellStyle name="Normal 2 2 2 2 2 2 15 2 9" xfId="11152" xr:uid="{00000000-0005-0000-0000-0000902B0000}"/>
    <cellStyle name="Normal 2 2 2 2 2 2 15 3" xfId="11153" xr:uid="{00000000-0005-0000-0000-0000912B0000}"/>
    <cellStyle name="Normal 2 2 2 2 2 2 15 3 10" xfId="11154" xr:uid="{00000000-0005-0000-0000-0000922B0000}"/>
    <cellStyle name="Normal 2 2 2 2 2 2 15 3 2" xfId="11155" xr:uid="{00000000-0005-0000-0000-0000932B0000}"/>
    <cellStyle name="Normal 2 2 2 2 2 2 15 3 3" xfId="11156" xr:uid="{00000000-0005-0000-0000-0000942B0000}"/>
    <cellStyle name="Normal 2 2 2 2 2 2 15 3 4" xfId="11157" xr:uid="{00000000-0005-0000-0000-0000952B0000}"/>
    <cellStyle name="Normal 2 2 2 2 2 2 15 3 5" xfId="11158" xr:uid="{00000000-0005-0000-0000-0000962B0000}"/>
    <cellStyle name="Normal 2 2 2 2 2 2 15 3 6" xfId="11159" xr:uid="{00000000-0005-0000-0000-0000972B0000}"/>
    <cellStyle name="Normal 2 2 2 2 2 2 15 3 7" xfId="11160" xr:uid="{00000000-0005-0000-0000-0000982B0000}"/>
    <cellStyle name="Normal 2 2 2 2 2 2 15 3 8" xfId="11161" xr:uid="{00000000-0005-0000-0000-0000992B0000}"/>
    <cellStyle name="Normal 2 2 2 2 2 2 15 3 9" xfId="11162" xr:uid="{00000000-0005-0000-0000-00009A2B0000}"/>
    <cellStyle name="Normal 2 2 2 2 2 2 15 4" xfId="11163" xr:uid="{00000000-0005-0000-0000-00009B2B0000}"/>
    <cellStyle name="Normal 2 2 2 2 2 2 15 4 10" xfId="11164" xr:uid="{00000000-0005-0000-0000-00009C2B0000}"/>
    <cellStyle name="Normal 2 2 2 2 2 2 15 4 2" xfId="11165" xr:uid="{00000000-0005-0000-0000-00009D2B0000}"/>
    <cellStyle name="Normal 2 2 2 2 2 2 15 4 3" xfId="11166" xr:uid="{00000000-0005-0000-0000-00009E2B0000}"/>
    <cellStyle name="Normal 2 2 2 2 2 2 15 4 4" xfId="11167" xr:uid="{00000000-0005-0000-0000-00009F2B0000}"/>
    <cellStyle name="Normal 2 2 2 2 2 2 15 4 5" xfId="11168" xr:uid="{00000000-0005-0000-0000-0000A02B0000}"/>
    <cellStyle name="Normal 2 2 2 2 2 2 15 4 6" xfId="11169" xr:uid="{00000000-0005-0000-0000-0000A12B0000}"/>
    <cellStyle name="Normal 2 2 2 2 2 2 15 4 7" xfId="11170" xr:uid="{00000000-0005-0000-0000-0000A22B0000}"/>
    <cellStyle name="Normal 2 2 2 2 2 2 15 4 8" xfId="11171" xr:uid="{00000000-0005-0000-0000-0000A32B0000}"/>
    <cellStyle name="Normal 2 2 2 2 2 2 15 4 9" xfId="11172" xr:uid="{00000000-0005-0000-0000-0000A42B0000}"/>
    <cellStyle name="Normal 2 2 2 2 2 2 15 5" xfId="11173" xr:uid="{00000000-0005-0000-0000-0000A52B0000}"/>
    <cellStyle name="Normal 2 2 2 2 2 2 15 5 10" xfId="11174" xr:uid="{00000000-0005-0000-0000-0000A62B0000}"/>
    <cellStyle name="Normal 2 2 2 2 2 2 15 5 2" xfId="11175" xr:uid="{00000000-0005-0000-0000-0000A72B0000}"/>
    <cellStyle name="Normal 2 2 2 2 2 2 15 5 3" xfId="11176" xr:uid="{00000000-0005-0000-0000-0000A82B0000}"/>
    <cellStyle name="Normal 2 2 2 2 2 2 15 5 4" xfId="11177" xr:uid="{00000000-0005-0000-0000-0000A92B0000}"/>
    <cellStyle name="Normal 2 2 2 2 2 2 15 5 5" xfId="11178" xr:uid="{00000000-0005-0000-0000-0000AA2B0000}"/>
    <cellStyle name="Normal 2 2 2 2 2 2 15 5 6" xfId="11179" xr:uid="{00000000-0005-0000-0000-0000AB2B0000}"/>
    <cellStyle name="Normal 2 2 2 2 2 2 15 5 7" xfId="11180" xr:uid="{00000000-0005-0000-0000-0000AC2B0000}"/>
    <cellStyle name="Normal 2 2 2 2 2 2 15 5 8" xfId="11181" xr:uid="{00000000-0005-0000-0000-0000AD2B0000}"/>
    <cellStyle name="Normal 2 2 2 2 2 2 15 5 9" xfId="11182" xr:uid="{00000000-0005-0000-0000-0000AE2B0000}"/>
    <cellStyle name="Normal 2 2 2 2 2 2 15 6" xfId="11183" xr:uid="{00000000-0005-0000-0000-0000AF2B0000}"/>
    <cellStyle name="Normal 2 2 2 2 2 2 15 7" xfId="11184" xr:uid="{00000000-0005-0000-0000-0000B02B0000}"/>
    <cellStyle name="Normal 2 2 2 2 2 2 15 8" xfId="11185" xr:uid="{00000000-0005-0000-0000-0000B12B0000}"/>
    <cellStyle name="Normal 2 2 2 2 2 2 15 9" xfId="11186" xr:uid="{00000000-0005-0000-0000-0000B22B0000}"/>
    <cellStyle name="Normal 2 2 2 2 2 2 16" xfId="11187" xr:uid="{00000000-0005-0000-0000-0000B32B0000}"/>
    <cellStyle name="Normal 2 2 2 2 2 2 16 10" xfId="11188" xr:uid="{00000000-0005-0000-0000-0000B42B0000}"/>
    <cellStyle name="Normal 2 2 2 2 2 2 16 11" xfId="11189" xr:uid="{00000000-0005-0000-0000-0000B52B0000}"/>
    <cellStyle name="Normal 2 2 2 2 2 2 16 12" xfId="11190" xr:uid="{00000000-0005-0000-0000-0000B62B0000}"/>
    <cellStyle name="Normal 2 2 2 2 2 2 16 13" xfId="11191" xr:uid="{00000000-0005-0000-0000-0000B72B0000}"/>
    <cellStyle name="Normal 2 2 2 2 2 2 16 14" xfId="11192" xr:uid="{00000000-0005-0000-0000-0000B82B0000}"/>
    <cellStyle name="Normal 2 2 2 2 2 2 16 2" xfId="11193" xr:uid="{00000000-0005-0000-0000-0000B92B0000}"/>
    <cellStyle name="Normal 2 2 2 2 2 2 16 2 10" xfId="11194" xr:uid="{00000000-0005-0000-0000-0000BA2B0000}"/>
    <cellStyle name="Normal 2 2 2 2 2 2 16 2 2" xfId="11195" xr:uid="{00000000-0005-0000-0000-0000BB2B0000}"/>
    <cellStyle name="Normal 2 2 2 2 2 2 16 2 3" xfId="11196" xr:uid="{00000000-0005-0000-0000-0000BC2B0000}"/>
    <cellStyle name="Normal 2 2 2 2 2 2 16 2 4" xfId="11197" xr:uid="{00000000-0005-0000-0000-0000BD2B0000}"/>
    <cellStyle name="Normal 2 2 2 2 2 2 16 2 5" xfId="11198" xr:uid="{00000000-0005-0000-0000-0000BE2B0000}"/>
    <cellStyle name="Normal 2 2 2 2 2 2 16 2 6" xfId="11199" xr:uid="{00000000-0005-0000-0000-0000BF2B0000}"/>
    <cellStyle name="Normal 2 2 2 2 2 2 16 2 7" xfId="11200" xr:uid="{00000000-0005-0000-0000-0000C02B0000}"/>
    <cellStyle name="Normal 2 2 2 2 2 2 16 2 8" xfId="11201" xr:uid="{00000000-0005-0000-0000-0000C12B0000}"/>
    <cellStyle name="Normal 2 2 2 2 2 2 16 2 9" xfId="11202" xr:uid="{00000000-0005-0000-0000-0000C22B0000}"/>
    <cellStyle name="Normal 2 2 2 2 2 2 16 3" xfId="11203" xr:uid="{00000000-0005-0000-0000-0000C32B0000}"/>
    <cellStyle name="Normal 2 2 2 2 2 2 16 3 10" xfId="11204" xr:uid="{00000000-0005-0000-0000-0000C42B0000}"/>
    <cellStyle name="Normal 2 2 2 2 2 2 16 3 2" xfId="11205" xr:uid="{00000000-0005-0000-0000-0000C52B0000}"/>
    <cellStyle name="Normal 2 2 2 2 2 2 16 3 3" xfId="11206" xr:uid="{00000000-0005-0000-0000-0000C62B0000}"/>
    <cellStyle name="Normal 2 2 2 2 2 2 16 3 4" xfId="11207" xr:uid="{00000000-0005-0000-0000-0000C72B0000}"/>
    <cellStyle name="Normal 2 2 2 2 2 2 16 3 5" xfId="11208" xr:uid="{00000000-0005-0000-0000-0000C82B0000}"/>
    <cellStyle name="Normal 2 2 2 2 2 2 16 3 6" xfId="11209" xr:uid="{00000000-0005-0000-0000-0000C92B0000}"/>
    <cellStyle name="Normal 2 2 2 2 2 2 16 3 7" xfId="11210" xr:uid="{00000000-0005-0000-0000-0000CA2B0000}"/>
    <cellStyle name="Normal 2 2 2 2 2 2 16 3 8" xfId="11211" xr:uid="{00000000-0005-0000-0000-0000CB2B0000}"/>
    <cellStyle name="Normal 2 2 2 2 2 2 16 3 9" xfId="11212" xr:uid="{00000000-0005-0000-0000-0000CC2B0000}"/>
    <cellStyle name="Normal 2 2 2 2 2 2 16 4" xfId="11213" xr:uid="{00000000-0005-0000-0000-0000CD2B0000}"/>
    <cellStyle name="Normal 2 2 2 2 2 2 16 4 10" xfId="11214" xr:uid="{00000000-0005-0000-0000-0000CE2B0000}"/>
    <cellStyle name="Normal 2 2 2 2 2 2 16 4 2" xfId="11215" xr:uid="{00000000-0005-0000-0000-0000CF2B0000}"/>
    <cellStyle name="Normal 2 2 2 2 2 2 16 4 3" xfId="11216" xr:uid="{00000000-0005-0000-0000-0000D02B0000}"/>
    <cellStyle name="Normal 2 2 2 2 2 2 16 4 4" xfId="11217" xr:uid="{00000000-0005-0000-0000-0000D12B0000}"/>
    <cellStyle name="Normal 2 2 2 2 2 2 16 4 5" xfId="11218" xr:uid="{00000000-0005-0000-0000-0000D22B0000}"/>
    <cellStyle name="Normal 2 2 2 2 2 2 16 4 6" xfId="11219" xr:uid="{00000000-0005-0000-0000-0000D32B0000}"/>
    <cellStyle name="Normal 2 2 2 2 2 2 16 4 7" xfId="11220" xr:uid="{00000000-0005-0000-0000-0000D42B0000}"/>
    <cellStyle name="Normal 2 2 2 2 2 2 16 4 8" xfId="11221" xr:uid="{00000000-0005-0000-0000-0000D52B0000}"/>
    <cellStyle name="Normal 2 2 2 2 2 2 16 4 9" xfId="11222" xr:uid="{00000000-0005-0000-0000-0000D62B0000}"/>
    <cellStyle name="Normal 2 2 2 2 2 2 16 5" xfId="11223" xr:uid="{00000000-0005-0000-0000-0000D72B0000}"/>
    <cellStyle name="Normal 2 2 2 2 2 2 16 5 10" xfId="11224" xr:uid="{00000000-0005-0000-0000-0000D82B0000}"/>
    <cellStyle name="Normal 2 2 2 2 2 2 16 5 2" xfId="11225" xr:uid="{00000000-0005-0000-0000-0000D92B0000}"/>
    <cellStyle name="Normal 2 2 2 2 2 2 16 5 3" xfId="11226" xr:uid="{00000000-0005-0000-0000-0000DA2B0000}"/>
    <cellStyle name="Normal 2 2 2 2 2 2 16 5 4" xfId="11227" xr:uid="{00000000-0005-0000-0000-0000DB2B0000}"/>
    <cellStyle name="Normal 2 2 2 2 2 2 16 5 5" xfId="11228" xr:uid="{00000000-0005-0000-0000-0000DC2B0000}"/>
    <cellStyle name="Normal 2 2 2 2 2 2 16 5 6" xfId="11229" xr:uid="{00000000-0005-0000-0000-0000DD2B0000}"/>
    <cellStyle name="Normal 2 2 2 2 2 2 16 5 7" xfId="11230" xr:uid="{00000000-0005-0000-0000-0000DE2B0000}"/>
    <cellStyle name="Normal 2 2 2 2 2 2 16 5 8" xfId="11231" xr:uid="{00000000-0005-0000-0000-0000DF2B0000}"/>
    <cellStyle name="Normal 2 2 2 2 2 2 16 5 9" xfId="11232" xr:uid="{00000000-0005-0000-0000-0000E02B0000}"/>
    <cellStyle name="Normal 2 2 2 2 2 2 16 6" xfId="11233" xr:uid="{00000000-0005-0000-0000-0000E12B0000}"/>
    <cellStyle name="Normal 2 2 2 2 2 2 16 7" xfId="11234" xr:uid="{00000000-0005-0000-0000-0000E22B0000}"/>
    <cellStyle name="Normal 2 2 2 2 2 2 16 8" xfId="11235" xr:uid="{00000000-0005-0000-0000-0000E32B0000}"/>
    <cellStyle name="Normal 2 2 2 2 2 2 16 9" xfId="11236" xr:uid="{00000000-0005-0000-0000-0000E42B0000}"/>
    <cellStyle name="Normal 2 2 2 2 2 2 17" xfId="11237" xr:uid="{00000000-0005-0000-0000-0000E52B0000}"/>
    <cellStyle name="Normal 2 2 2 2 2 2 17 10" xfId="11238" xr:uid="{00000000-0005-0000-0000-0000E62B0000}"/>
    <cellStyle name="Normal 2 2 2 2 2 2 17 11" xfId="11239" xr:uid="{00000000-0005-0000-0000-0000E72B0000}"/>
    <cellStyle name="Normal 2 2 2 2 2 2 17 12" xfId="11240" xr:uid="{00000000-0005-0000-0000-0000E82B0000}"/>
    <cellStyle name="Normal 2 2 2 2 2 2 17 13" xfId="11241" xr:uid="{00000000-0005-0000-0000-0000E92B0000}"/>
    <cellStyle name="Normal 2 2 2 2 2 2 17 14" xfId="11242" xr:uid="{00000000-0005-0000-0000-0000EA2B0000}"/>
    <cellStyle name="Normal 2 2 2 2 2 2 17 2" xfId="11243" xr:uid="{00000000-0005-0000-0000-0000EB2B0000}"/>
    <cellStyle name="Normal 2 2 2 2 2 2 17 2 10" xfId="11244" xr:uid="{00000000-0005-0000-0000-0000EC2B0000}"/>
    <cellStyle name="Normal 2 2 2 2 2 2 17 2 2" xfId="11245" xr:uid="{00000000-0005-0000-0000-0000ED2B0000}"/>
    <cellStyle name="Normal 2 2 2 2 2 2 17 2 3" xfId="11246" xr:uid="{00000000-0005-0000-0000-0000EE2B0000}"/>
    <cellStyle name="Normal 2 2 2 2 2 2 17 2 4" xfId="11247" xr:uid="{00000000-0005-0000-0000-0000EF2B0000}"/>
    <cellStyle name="Normal 2 2 2 2 2 2 17 2 5" xfId="11248" xr:uid="{00000000-0005-0000-0000-0000F02B0000}"/>
    <cellStyle name="Normal 2 2 2 2 2 2 17 2 6" xfId="11249" xr:uid="{00000000-0005-0000-0000-0000F12B0000}"/>
    <cellStyle name="Normal 2 2 2 2 2 2 17 2 7" xfId="11250" xr:uid="{00000000-0005-0000-0000-0000F22B0000}"/>
    <cellStyle name="Normal 2 2 2 2 2 2 17 2 8" xfId="11251" xr:uid="{00000000-0005-0000-0000-0000F32B0000}"/>
    <cellStyle name="Normal 2 2 2 2 2 2 17 2 9" xfId="11252" xr:uid="{00000000-0005-0000-0000-0000F42B0000}"/>
    <cellStyle name="Normal 2 2 2 2 2 2 17 3" xfId="11253" xr:uid="{00000000-0005-0000-0000-0000F52B0000}"/>
    <cellStyle name="Normal 2 2 2 2 2 2 17 3 10" xfId="11254" xr:uid="{00000000-0005-0000-0000-0000F62B0000}"/>
    <cellStyle name="Normal 2 2 2 2 2 2 17 3 2" xfId="11255" xr:uid="{00000000-0005-0000-0000-0000F72B0000}"/>
    <cellStyle name="Normal 2 2 2 2 2 2 17 3 3" xfId="11256" xr:uid="{00000000-0005-0000-0000-0000F82B0000}"/>
    <cellStyle name="Normal 2 2 2 2 2 2 17 3 4" xfId="11257" xr:uid="{00000000-0005-0000-0000-0000F92B0000}"/>
    <cellStyle name="Normal 2 2 2 2 2 2 17 3 5" xfId="11258" xr:uid="{00000000-0005-0000-0000-0000FA2B0000}"/>
    <cellStyle name="Normal 2 2 2 2 2 2 17 3 6" xfId="11259" xr:uid="{00000000-0005-0000-0000-0000FB2B0000}"/>
    <cellStyle name="Normal 2 2 2 2 2 2 17 3 7" xfId="11260" xr:uid="{00000000-0005-0000-0000-0000FC2B0000}"/>
    <cellStyle name="Normal 2 2 2 2 2 2 17 3 8" xfId="11261" xr:uid="{00000000-0005-0000-0000-0000FD2B0000}"/>
    <cellStyle name="Normal 2 2 2 2 2 2 17 3 9" xfId="11262" xr:uid="{00000000-0005-0000-0000-0000FE2B0000}"/>
    <cellStyle name="Normal 2 2 2 2 2 2 17 4" xfId="11263" xr:uid="{00000000-0005-0000-0000-0000FF2B0000}"/>
    <cellStyle name="Normal 2 2 2 2 2 2 17 4 10" xfId="11264" xr:uid="{00000000-0005-0000-0000-0000002C0000}"/>
    <cellStyle name="Normal 2 2 2 2 2 2 17 4 2" xfId="11265" xr:uid="{00000000-0005-0000-0000-0000012C0000}"/>
    <cellStyle name="Normal 2 2 2 2 2 2 17 4 3" xfId="11266" xr:uid="{00000000-0005-0000-0000-0000022C0000}"/>
    <cellStyle name="Normal 2 2 2 2 2 2 17 4 4" xfId="11267" xr:uid="{00000000-0005-0000-0000-0000032C0000}"/>
    <cellStyle name="Normal 2 2 2 2 2 2 17 4 5" xfId="11268" xr:uid="{00000000-0005-0000-0000-0000042C0000}"/>
    <cellStyle name="Normal 2 2 2 2 2 2 17 4 6" xfId="11269" xr:uid="{00000000-0005-0000-0000-0000052C0000}"/>
    <cellStyle name="Normal 2 2 2 2 2 2 17 4 7" xfId="11270" xr:uid="{00000000-0005-0000-0000-0000062C0000}"/>
    <cellStyle name="Normal 2 2 2 2 2 2 17 4 8" xfId="11271" xr:uid="{00000000-0005-0000-0000-0000072C0000}"/>
    <cellStyle name="Normal 2 2 2 2 2 2 17 4 9" xfId="11272" xr:uid="{00000000-0005-0000-0000-0000082C0000}"/>
    <cellStyle name="Normal 2 2 2 2 2 2 17 5" xfId="11273" xr:uid="{00000000-0005-0000-0000-0000092C0000}"/>
    <cellStyle name="Normal 2 2 2 2 2 2 17 5 10" xfId="11274" xr:uid="{00000000-0005-0000-0000-00000A2C0000}"/>
    <cellStyle name="Normal 2 2 2 2 2 2 17 5 2" xfId="11275" xr:uid="{00000000-0005-0000-0000-00000B2C0000}"/>
    <cellStyle name="Normal 2 2 2 2 2 2 17 5 3" xfId="11276" xr:uid="{00000000-0005-0000-0000-00000C2C0000}"/>
    <cellStyle name="Normal 2 2 2 2 2 2 17 5 4" xfId="11277" xr:uid="{00000000-0005-0000-0000-00000D2C0000}"/>
    <cellStyle name="Normal 2 2 2 2 2 2 17 5 5" xfId="11278" xr:uid="{00000000-0005-0000-0000-00000E2C0000}"/>
    <cellStyle name="Normal 2 2 2 2 2 2 17 5 6" xfId="11279" xr:uid="{00000000-0005-0000-0000-00000F2C0000}"/>
    <cellStyle name="Normal 2 2 2 2 2 2 17 5 7" xfId="11280" xr:uid="{00000000-0005-0000-0000-0000102C0000}"/>
    <cellStyle name="Normal 2 2 2 2 2 2 17 5 8" xfId="11281" xr:uid="{00000000-0005-0000-0000-0000112C0000}"/>
    <cellStyle name="Normal 2 2 2 2 2 2 17 5 9" xfId="11282" xr:uid="{00000000-0005-0000-0000-0000122C0000}"/>
    <cellStyle name="Normal 2 2 2 2 2 2 17 6" xfId="11283" xr:uid="{00000000-0005-0000-0000-0000132C0000}"/>
    <cellStyle name="Normal 2 2 2 2 2 2 17 7" xfId="11284" xr:uid="{00000000-0005-0000-0000-0000142C0000}"/>
    <cellStyle name="Normal 2 2 2 2 2 2 17 8" xfId="11285" xr:uid="{00000000-0005-0000-0000-0000152C0000}"/>
    <cellStyle name="Normal 2 2 2 2 2 2 17 9" xfId="11286" xr:uid="{00000000-0005-0000-0000-0000162C0000}"/>
    <cellStyle name="Normal 2 2 2 2 2 2 18" xfId="11287" xr:uid="{00000000-0005-0000-0000-0000172C0000}"/>
    <cellStyle name="Normal 2 2 2 2 2 2 18 10" xfId="11288" xr:uid="{00000000-0005-0000-0000-0000182C0000}"/>
    <cellStyle name="Normal 2 2 2 2 2 2 18 11" xfId="11289" xr:uid="{00000000-0005-0000-0000-0000192C0000}"/>
    <cellStyle name="Normal 2 2 2 2 2 2 18 12" xfId="11290" xr:uid="{00000000-0005-0000-0000-00001A2C0000}"/>
    <cellStyle name="Normal 2 2 2 2 2 2 18 13" xfId="11291" xr:uid="{00000000-0005-0000-0000-00001B2C0000}"/>
    <cellStyle name="Normal 2 2 2 2 2 2 18 14" xfId="11292" xr:uid="{00000000-0005-0000-0000-00001C2C0000}"/>
    <cellStyle name="Normal 2 2 2 2 2 2 18 2" xfId="11293" xr:uid="{00000000-0005-0000-0000-00001D2C0000}"/>
    <cellStyle name="Normal 2 2 2 2 2 2 18 2 10" xfId="11294" xr:uid="{00000000-0005-0000-0000-00001E2C0000}"/>
    <cellStyle name="Normal 2 2 2 2 2 2 18 2 2" xfId="11295" xr:uid="{00000000-0005-0000-0000-00001F2C0000}"/>
    <cellStyle name="Normal 2 2 2 2 2 2 18 2 3" xfId="11296" xr:uid="{00000000-0005-0000-0000-0000202C0000}"/>
    <cellStyle name="Normal 2 2 2 2 2 2 18 2 4" xfId="11297" xr:uid="{00000000-0005-0000-0000-0000212C0000}"/>
    <cellStyle name="Normal 2 2 2 2 2 2 18 2 5" xfId="11298" xr:uid="{00000000-0005-0000-0000-0000222C0000}"/>
    <cellStyle name="Normal 2 2 2 2 2 2 18 2 6" xfId="11299" xr:uid="{00000000-0005-0000-0000-0000232C0000}"/>
    <cellStyle name="Normal 2 2 2 2 2 2 18 2 7" xfId="11300" xr:uid="{00000000-0005-0000-0000-0000242C0000}"/>
    <cellStyle name="Normal 2 2 2 2 2 2 18 2 8" xfId="11301" xr:uid="{00000000-0005-0000-0000-0000252C0000}"/>
    <cellStyle name="Normal 2 2 2 2 2 2 18 2 9" xfId="11302" xr:uid="{00000000-0005-0000-0000-0000262C0000}"/>
    <cellStyle name="Normal 2 2 2 2 2 2 18 3" xfId="11303" xr:uid="{00000000-0005-0000-0000-0000272C0000}"/>
    <cellStyle name="Normal 2 2 2 2 2 2 18 3 10" xfId="11304" xr:uid="{00000000-0005-0000-0000-0000282C0000}"/>
    <cellStyle name="Normal 2 2 2 2 2 2 18 3 2" xfId="11305" xr:uid="{00000000-0005-0000-0000-0000292C0000}"/>
    <cellStyle name="Normal 2 2 2 2 2 2 18 3 3" xfId="11306" xr:uid="{00000000-0005-0000-0000-00002A2C0000}"/>
    <cellStyle name="Normal 2 2 2 2 2 2 18 3 4" xfId="11307" xr:uid="{00000000-0005-0000-0000-00002B2C0000}"/>
    <cellStyle name="Normal 2 2 2 2 2 2 18 3 5" xfId="11308" xr:uid="{00000000-0005-0000-0000-00002C2C0000}"/>
    <cellStyle name="Normal 2 2 2 2 2 2 18 3 6" xfId="11309" xr:uid="{00000000-0005-0000-0000-00002D2C0000}"/>
    <cellStyle name="Normal 2 2 2 2 2 2 18 3 7" xfId="11310" xr:uid="{00000000-0005-0000-0000-00002E2C0000}"/>
    <cellStyle name="Normal 2 2 2 2 2 2 18 3 8" xfId="11311" xr:uid="{00000000-0005-0000-0000-00002F2C0000}"/>
    <cellStyle name="Normal 2 2 2 2 2 2 18 3 9" xfId="11312" xr:uid="{00000000-0005-0000-0000-0000302C0000}"/>
    <cellStyle name="Normal 2 2 2 2 2 2 18 4" xfId="11313" xr:uid="{00000000-0005-0000-0000-0000312C0000}"/>
    <cellStyle name="Normal 2 2 2 2 2 2 18 4 10" xfId="11314" xr:uid="{00000000-0005-0000-0000-0000322C0000}"/>
    <cellStyle name="Normal 2 2 2 2 2 2 18 4 2" xfId="11315" xr:uid="{00000000-0005-0000-0000-0000332C0000}"/>
    <cellStyle name="Normal 2 2 2 2 2 2 18 4 3" xfId="11316" xr:uid="{00000000-0005-0000-0000-0000342C0000}"/>
    <cellStyle name="Normal 2 2 2 2 2 2 18 4 4" xfId="11317" xr:uid="{00000000-0005-0000-0000-0000352C0000}"/>
    <cellStyle name="Normal 2 2 2 2 2 2 18 4 5" xfId="11318" xr:uid="{00000000-0005-0000-0000-0000362C0000}"/>
    <cellStyle name="Normal 2 2 2 2 2 2 18 4 6" xfId="11319" xr:uid="{00000000-0005-0000-0000-0000372C0000}"/>
    <cellStyle name="Normal 2 2 2 2 2 2 18 4 7" xfId="11320" xr:uid="{00000000-0005-0000-0000-0000382C0000}"/>
    <cellStyle name="Normal 2 2 2 2 2 2 18 4 8" xfId="11321" xr:uid="{00000000-0005-0000-0000-0000392C0000}"/>
    <cellStyle name="Normal 2 2 2 2 2 2 18 4 9" xfId="11322" xr:uid="{00000000-0005-0000-0000-00003A2C0000}"/>
    <cellStyle name="Normal 2 2 2 2 2 2 18 5" xfId="11323" xr:uid="{00000000-0005-0000-0000-00003B2C0000}"/>
    <cellStyle name="Normal 2 2 2 2 2 2 18 5 10" xfId="11324" xr:uid="{00000000-0005-0000-0000-00003C2C0000}"/>
    <cellStyle name="Normal 2 2 2 2 2 2 18 5 2" xfId="11325" xr:uid="{00000000-0005-0000-0000-00003D2C0000}"/>
    <cellStyle name="Normal 2 2 2 2 2 2 18 5 3" xfId="11326" xr:uid="{00000000-0005-0000-0000-00003E2C0000}"/>
    <cellStyle name="Normal 2 2 2 2 2 2 18 5 4" xfId="11327" xr:uid="{00000000-0005-0000-0000-00003F2C0000}"/>
    <cellStyle name="Normal 2 2 2 2 2 2 18 5 5" xfId="11328" xr:uid="{00000000-0005-0000-0000-0000402C0000}"/>
    <cellStyle name="Normal 2 2 2 2 2 2 18 5 6" xfId="11329" xr:uid="{00000000-0005-0000-0000-0000412C0000}"/>
    <cellStyle name="Normal 2 2 2 2 2 2 18 5 7" xfId="11330" xr:uid="{00000000-0005-0000-0000-0000422C0000}"/>
    <cellStyle name="Normal 2 2 2 2 2 2 18 5 8" xfId="11331" xr:uid="{00000000-0005-0000-0000-0000432C0000}"/>
    <cellStyle name="Normal 2 2 2 2 2 2 18 5 9" xfId="11332" xr:uid="{00000000-0005-0000-0000-0000442C0000}"/>
    <cellStyle name="Normal 2 2 2 2 2 2 18 6" xfId="11333" xr:uid="{00000000-0005-0000-0000-0000452C0000}"/>
    <cellStyle name="Normal 2 2 2 2 2 2 18 7" xfId="11334" xr:uid="{00000000-0005-0000-0000-0000462C0000}"/>
    <cellStyle name="Normal 2 2 2 2 2 2 18 8" xfId="11335" xr:uid="{00000000-0005-0000-0000-0000472C0000}"/>
    <cellStyle name="Normal 2 2 2 2 2 2 18 9" xfId="11336" xr:uid="{00000000-0005-0000-0000-0000482C0000}"/>
    <cellStyle name="Normal 2 2 2 2 2 2 19" xfId="11337" xr:uid="{00000000-0005-0000-0000-0000492C0000}"/>
    <cellStyle name="Normal 2 2 2 2 2 2 19 10" xfId="11338" xr:uid="{00000000-0005-0000-0000-00004A2C0000}"/>
    <cellStyle name="Normal 2 2 2 2 2 2 19 11" xfId="11339" xr:uid="{00000000-0005-0000-0000-00004B2C0000}"/>
    <cellStyle name="Normal 2 2 2 2 2 2 19 12" xfId="11340" xr:uid="{00000000-0005-0000-0000-00004C2C0000}"/>
    <cellStyle name="Normal 2 2 2 2 2 2 19 13" xfId="11341" xr:uid="{00000000-0005-0000-0000-00004D2C0000}"/>
    <cellStyle name="Normal 2 2 2 2 2 2 19 14" xfId="11342" xr:uid="{00000000-0005-0000-0000-00004E2C0000}"/>
    <cellStyle name="Normal 2 2 2 2 2 2 19 2" xfId="11343" xr:uid="{00000000-0005-0000-0000-00004F2C0000}"/>
    <cellStyle name="Normal 2 2 2 2 2 2 19 2 10" xfId="11344" xr:uid="{00000000-0005-0000-0000-0000502C0000}"/>
    <cellStyle name="Normal 2 2 2 2 2 2 19 2 2" xfId="11345" xr:uid="{00000000-0005-0000-0000-0000512C0000}"/>
    <cellStyle name="Normal 2 2 2 2 2 2 19 2 3" xfId="11346" xr:uid="{00000000-0005-0000-0000-0000522C0000}"/>
    <cellStyle name="Normal 2 2 2 2 2 2 19 2 4" xfId="11347" xr:uid="{00000000-0005-0000-0000-0000532C0000}"/>
    <cellStyle name="Normal 2 2 2 2 2 2 19 2 5" xfId="11348" xr:uid="{00000000-0005-0000-0000-0000542C0000}"/>
    <cellStyle name="Normal 2 2 2 2 2 2 19 2 6" xfId="11349" xr:uid="{00000000-0005-0000-0000-0000552C0000}"/>
    <cellStyle name="Normal 2 2 2 2 2 2 19 2 7" xfId="11350" xr:uid="{00000000-0005-0000-0000-0000562C0000}"/>
    <cellStyle name="Normal 2 2 2 2 2 2 19 2 8" xfId="11351" xr:uid="{00000000-0005-0000-0000-0000572C0000}"/>
    <cellStyle name="Normal 2 2 2 2 2 2 19 2 9" xfId="11352" xr:uid="{00000000-0005-0000-0000-0000582C0000}"/>
    <cellStyle name="Normal 2 2 2 2 2 2 19 3" xfId="11353" xr:uid="{00000000-0005-0000-0000-0000592C0000}"/>
    <cellStyle name="Normal 2 2 2 2 2 2 19 3 10" xfId="11354" xr:uid="{00000000-0005-0000-0000-00005A2C0000}"/>
    <cellStyle name="Normal 2 2 2 2 2 2 19 3 2" xfId="11355" xr:uid="{00000000-0005-0000-0000-00005B2C0000}"/>
    <cellStyle name="Normal 2 2 2 2 2 2 19 3 3" xfId="11356" xr:uid="{00000000-0005-0000-0000-00005C2C0000}"/>
    <cellStyle name="Normal 2 2 2 2 2 2 19 3 4" xfId="11357" xr:uid="{00000000-0005-0000-0000-00005D2C0000}"/>
    <cellStyle name="Normal 2 2 2 2 2 2 19 3 5" xfId="11358" xr:uid="{00000000-0005-0000-0000-00005E2C0000}"/>
    <cellStyle name="Normal 2 2 2 2 2 2 19 3 6" xfId="11359" xr:uid="{00000000-0005-0000-0000-00005F2C0000}"/>
    <cellStyle name="Normal 2 2 2 2 2 2 19 3 7" xfId="11360" xr:uid="{00000000-0005-0000-0000-0000602C0000}"/>
    <cellStyle name="Normal 2 2 2 2 2 2 19 3 8" xfId="11361" xr:uid="{00000000-0005-0000-0000-0000612C0000}"/>
    <cellStyle name="Normal 2 2 2 2 2 2 19 3 9" xfId="11362" xr:uid="{00000000-0005-0000-0000-0000622C0000}"/>
    <cellStyle name="Normal 2 2 2 2 2 2 19 4" xfId="11363" xr:uid="{00000000-0005-0000-0000-0000632C0000}"/>
    <cellStyle name="Normal 2 2 2 2 2 2 19 4 10" xfId="11364" xr:uid="{00000000-0005-0000-0000-0000642C0000}"/>
    <cellStyle name="Normal 2 2 2 2 2 2 19 4 2" xfId="11365" xr:uid="{00000000-0005-0000-0000-0000652C0000}"/>
    <cellStyle name="Normal 2 2 2 2 2 2 19 4 3" xfId="11366" xr:uid="{00000000-0005-0000-0000-0000662C0000}"/>
    <cellStyle name="Normal 2 2 2 2 2 2 19 4 4" xfId="11367" xr:uid="{00000000-0005-0000-0000-0000672C0000}"/>
    <cellStyle name="Normal 2 2 2 2 2 2 19 4 5" xfId="11368" xr:uid="{00000000-0005-0000-0000-0000682C0000}"/>
    <cellStyle name="Normal 2 2 2 2 2 2 19 4 6" xfId="11369" xr:uid="{00000000-0005-0000-0000-0000692C0000}"/>
    <cellStyle name="Normal 2 2 2 2 2 2 19 4 7" xfId="11370" xr:uid="{00000000-0005-0000-0000-00006A2C0000}"/>
    <cellStyle name="Normal 2 2 2 2 2 2 19 4 8" xfId="11371" xr:uid="{00000000-0005-0000-0000-00006B2C0000}"/>
    <cellStyle name="Normal 2 2 2 2 2 2 19 4 9" xfId="11372" xr:uid="{00000000-0005-0000-0000-00006C2C0000}"/>
    <cellStyle name="Normal 2 2 2 2 2 2 19 5" xfId="11373" xr:uid="{00000000-0005-0000-0000-00006D2C0000}"/>
    <cellStyle name="Normal 2 2 2 2 2 2 19 5 10" xfId="11374" xr:uid="{00000000-0005-0000-0000-00006E2C0000}"/>
    <cellStyle name="Normal 2 2 2 2 2 2 19 5 2" xfId="11375" xr:uid="{00000000-0005-0000-0000-00006F2C0000}"/>
    <cellStyle name="Normal 2 2 2 2 2 2 19 5 3" xfId="11376" xr:uid="{00000000-0005-0000-0000-0000702C0000}"/>
    <cellStyle name="Normal 2 2 2 2 2 2 19 5 4" xfId="11377" xr:uid="{00000000-0005-0000-0000-0000712C0000}"/>
    <cellStyle name="Normal 2 2 2 2 2 2 19 5 5" xfId="11378" xr:uid="{00000000-0005-0000-0000-0000722C0000}"/>
    <cellStyle name="Normal 2 2 2 2 2 2 19 5 6" xfId="11379" xr:uid="{00000000-0005-0000-0000-0000732C0000}"/>
    <cellStyle name="Normal 2 2 2 2 2 2 19 5 7" xfId="11380" xr:uid="{00000000-0005-0000-0000-0000742C0000}"/>
    <cellStyle name="Normal 2 2 2 2 2 2 19 5 8" xfId="11381" xr:uid="{00000000-0005-0000-0000-0000752C0000}"/>
    <cellStyle name="Normal 2 2 2 2 2 2 19 5 9" xfId="11382" xr:uid="{00000000-0005-0000-0000-0000762C0000}"/>
    <cellStyle name="Normal 2 2 2 2 2 2 19 6" xfId="11383" xr:uid="{00000000-0005-0000-0000-0000772C0000}"/>
    <cellStyle name="Normal 2 2 2 2 2 2 19 7" xfId="11384" xr:uid="{00000000-0005-0000-0000-0000782C0000}"/>
    <cellStyle name="Normal 2 2 2 2 2 2 19 8" xfId="11385" xr:uid="{00000000-0005-0000-0000-0000792C0000}"/>
    <cellStyle name="Normal 2 2 2 2 2 2 19 9" xfId="11386" xr:uid="{00000000-0005-0000-0000-00007A2C0000}"/>
    <cellStyle name="Normal 2 2 2 2 2 2 2" xfId="11387" xr:uid="{00000000-0005-0000-0000-00007B2C0000}"/>
    <cellStyle name="Normal 2 2 2 2 2 2 2 10" xfId="11388" xr:uid="{00000000-0005-0000-0000-00007C2C0000}"/>
    <cellStyle name="Normal 2 2 2 2 2 2 2 11" xfId="11389" xr:uid="{00000000-0005-0000-0000-00007D2C0000}"/>
    <cellStyle name="Normal 2 2 2 2 2 2 2 12" xfId="11390" xr:uid="{00000000-0005-0000-0000-00007E2C0000}"/>
    <cellStyle name="Normal 2 2 2 2 2 2 2 13" xfId="11391" xr:uid="{00000000-0005-0000-0000-00007F2C0000}"/>
    <cellStyle name="Normal 2 2 2 2 2 2 2 14" xfId="11392" xr:uid="{00000000-0005-0000-0000-0000802C0000}"/>
    <cellStyle name="Normal 2 2 2 2 2 2 2 15" xfId="11393" xr:uid="{00000000-0005-0000-0000-0000812C0000}"/>
    <cellStyle name="Normal 2 2 2 2 2 2 2 16" xfId="11394" xr:uid="{00000000-0005-0000-0000-0000822C0000}"/>
    <cellStyle name="Normal 2 2 2 2 2 2 2 2" xfId="11395" xr:uid="{00000000-0005-0000-0000-0000832C0000}"/>
    <cellStyle name="Normal 2 2 2 2 2 2 2 2 10" xfId="11396" xr:uid="{00000000-0005-0000-0000-0000842C0000}"/>
    <cellStyle name="Normal 2 2 2 2 2 2 2 2 11" xfId="11397" xr:uid="{00000000-0005-0000-0000-0000852C0000}"/>
    <cellStyle name="Normal 2 2 2 2 2 2 2 2 12" xfId="11398" xr:uid="{00000000-0005-0000-0000-0000862C0000}"/>
    <cellStyle name="Normal 2 2 2 2 2 2 2 2 2" xfId="11399" xr:uid="{00000000-0005-0000-0000-0000872C0000}"/>
    <cellStyle name="Normal 2 2 2 2 2 2 2 2 3" xfId="11400" xr:uid="{00000000-0005-0000-0000-0000882C0000}"/>
    <cellStyle name="Normal 2 2 2 2 2 2 2 2 4" xfId="11401" xr:uid="{00000000-0005-0000-0000-0000892C0000}"/>
    <cellStyle name="Normal 2 2 2 2 2 2 2 2 5" xfId="11402" xr:uid="{00000000-0005-0000-0000-00008A2C0000}"/>
    <cellStyle name="Normal 2 2 2 2 2 2 2 2 6" xfId="11403" xr:uid="{00000000-0005-0000-0000-00008B2C0000}"/>
    <cellStyle name="Normal 2 2 2 2 2 2 2 2 7" xfId="11404" xr:uid="{00000000-0005-0000-0000-00008C2C0000}"/>
    <cellStyle name="Normal 2 2 2 2 2 2 2 2 8" xfId="11405" xr:uid="{00000000-0005-0000-0000-00008D2C0000}"/>
    <cellStyle name="Normal 2 2 2 2 2 2 2 2 9" xfId="11406" xr:uid="{00000000-0005-0000-0000-00008E2C0000}"/>
    <cellStyle name="Normal 2 2 2 2 2 2 2 3" xfId="11407" xr:uid="{00000000-0005-0000-0000-00008F2C0000}"/>
    <cellStyle name="Normal 2 2 2 2 2 2 2 3 10" xfId="11408" xr:uid="{00000000-0005-0000-0000-0000902C0000}"/>
    <cellStyle name="Normal 2 2 2 2 2 2 2 3 2" xfId="11409" xr:uid="{00000000-0005-0000-0000-0000912C0000}"/>
    <cellStyle name="Normal 2 2 2 2 2 2 2 3 3" xfId="11410" xr:uid="{00000000-0005-0000-0000-0000922C0000}"/>
    <cellStyle name="Normal 2 2 2 2 2 2 2 3 4" xfId="11411" xr:uid="{00000000-0005-0000-0000-0000932C0000}"/>
    <cellStyle name="Normal 2 2 2 2 2 2 2 3 5" xfId="11412" xr:uid="{00000000-0005-0000-0000-0000942C0000}"/>
    <cellStyle name="Normal 2 2 2 2 2 2 2 3 6" xfId="11413" xr:uid="{00000000-0005-0000-0000-0000952C0000}"/>
    <cellStyle name="Normal 2 2 2 2 2 2 2 3 7" xfId="11414" xr:uid="{00000000-0005-0000-0000-0000962C0000}"/>
    <cellStyle name="Normal 2 2 2 2 2 2 2 3 8" xfId="11415" xr:uid="{00000000-0005-0000-0000-0000972C0000}"/>
    <cellStyle name="Normal 2 2 2 2 2 2 2 3 9" xfId="11416" xr:uid="{00000000-0005-0000-0000-0000982C0000}"/>
    <cellStyle name="Normal 2 2 2 2 2 2 2 4" xfId="11417" xr:uid="{00000000-0005-0000-0000-0000992C0000}"/>
    <cellStyle name="Normal 2 2 2 2 2 2 2 4 10" xfId="11418" xr:uid="{00000000-0005-0000-0000-00009A2C0000}"/>
    <cellStyle name="Normal 2 2 2 2 2 2 2 4 2" xfId="11419" xr:uid="{00000000-0005-0000-0000-00009B2C0000}"/>
    <cellStyle name="Normal 2 2 2 2 2 2 2 4 3" xfId="11420" xr:uid="{00000000-0005-0000-0000-00009C2C0000}"/>
    <cellStyle name="Normal 2 2 2 2 2 2 2 4 4" xfId="11421" xr:uid="{00000000-0005-0000-0000-00009D2C0000}"/>
    <cellStyle name="Normal 2 2 2 2 2 2 2 4 5" xfId="11422" xr:uid="{00000000-0005-0000-0000-00009E2C0000}"/>
    <cellStyle name="Normal 2 2 2 2 2 2 2 4 6" xfId="11423" xr:uid="{00000000-0005-0000-0000-00009F2C0000}"/>
    <cellStyle name="Normal 2 2 2 2 2 2 2 4 7" xfId="11424" xr:uid="{00000000-0005-0000-0000-0000A02C0000}"/>
    <cellStyle name="Normal 2 2 2 2 2 2 2 4 8" xfId="11425" xr:uid="{00000000-0005-0000-0000-0000A12C0000}"/>
    <cellStyle name="Normal 2 2 2 2 2 2 2 4 9" xfId="11426" xr:uid="{00000000-0005-0000-0000-0000A22C0000}"/>
    <cellStyle name="Normal 2 2 2 2 2 2 2 5" xfId="11427" xr:uid="{00000000-0005-0000-0000-0000A32C0000}"/>
    <cellStyle name="Normal 2 2 2 2 2 2 2 5 10" xfId="11428" xr:uid="{00000000-0005-0000-0000-0000A42C0000}"/>
    <cellStyle name="Normal 2 2 2 2 2 2 2 5 2" xfId="11429" xr:uid="{00000000-0005-0000-0000-0000A52C0000}"/>
    <cellStyle name="Normal 2 2 2 2 2 2 2 5 3" xfId="11430" xr:uid="{00000000-0005-0000-0000-0000A62C0000}"/>
    <cellStyle name="Normal 2 2 2 2 2 2 2 5 4" xfId="11431" xr:uid="{00000000-0005-0000-0000-0000A72C0000}"/>
    <cellStyle name="Normal 2 2 2 2 2 2 2 5 5" xfId="11432" xr:uid="{00000000-0005-0000-0000-0000A82C0000}"/>
    <cellStyle name="Normal 2 2 2 2 2 2 2 5 6" xfId="11433" xr:uid="{00000000-0005-0000-0000-0000A92C0000}"/>
    <cellStyle name="Normal 2 2 2 2 2 2 2 5 7" xfId="11434" xr:uid="{00000000-0005-0000-0000-0000AA2C0000}"/>
    <cellStyle name="Normal 2 2 2 2 2 2 2 5 8" xfId="11435" xr:uid="{00000000-0005-0000-0000-0000AB2C0000}"/>
    <cellStyle name="Normal 2 2 2 2 2 2 2 5 9" xfId="11436" xr:uid="{00000000-0005-0000-0000-0000AC2C0000}"/>
    <cellStyle name="Normal 2 2 2 2 2 2 2 6" xfId="11437" xr:uid="{00000000-0005-0000-0000-0000AD2C0000}"/>
    <cellStyle name="Normal 2 2 2 2 2 2 2 7" xfId="11438" xr:uid="{00000000-0005-0000-0000-0000AE2C0000}"/>
    <cellStyle name="Normal 2 2 2 2 2 2 2 8" xfId="11439" xr:uid="{00000000-0005-0000-0000-0000AF2C0000}"/>
    <cellStyle name="Normal 2 2 2 2 2 2 2 9" xfId="11440" xr:uid="{00000000-0005-0000-0000-0000B02C0000}"/>
    <cellStyle name="Normal 2 2 2 2 2 2 20" xfId="11441" xr:uid="{00000000-0005-0000-0000-0000B12C0000}"/>
    <cellStyle name="Normal 2 2 2 2 2 2 20 10" xfId="11442" xr:uid="{00000000-0005-0000-0000-0000B22C0000}"/>
    <cellStyle name="Normal 2 2 2 2 2 2 20 11" xfId="11443" xr:uid="{00000000-0005-0000-0000-0000B32C0000}"/>
    <cellStyle name="Normal 2 2 2 2 2 2 20 12" xfId="11444" xr:uid="{00000000-0005-0000-0000-0000B42C0000}"/>
    <cellStyle name="Normal 2 2 2 2 2 2 20 13" xfId="11445" xr:uid="{00000000-0005-0000-0000-0000B52C0000}"/>
    <cellStyle name="Normal 2 2 2 2 2 2 20 14" xfId="11446" xr:uid="{00000000-0005-0000-0000-0000B62C0000}"/>
    <cellStyle name="Normal 2 2 2 2 2 2 20 2" xfId="11447" xr:uid="{00000000-0005-0000-0000-0000B72C0000}"/>
    <cellStyle name="Normal 2 2 2 2 2 2 20 2 10" xfId="11448" xr:uid="{00000000-0005-0000-0000-0000B82C0000}"/>
    <cellStyle name="Normal 2 2 2 2 2 2 20 2 2" xfId="11449" xr:uid="{00000000-0005-0000-0000-0000B92C0000}"/>
    <cellStyle name="Normal 2 2 2 2 2 2 20 2 3" xfId="11450" xr:uid="{00000000-0005-0000-0000-0000BA2C0000}"/>
    <cellStyle name="Normal 2 2 2 2 2 2 20 2 4" xfId="11451" xr:uid="{00000000-0005-0000-0000-0000BB2C0000}"/>
    <cellStyle name="Normal 2 2 2 2 2 2 20 2 5" xfId="11452" xr:uid="{00000000-0005-0000-0000-0000BC2C0000}"/>
    <cellStyle name="Normal 2 2 2 2 2 2 20 2 6" xfId="11453" xr:uid="{00000000-0005-0000-0000-0000BD2C0000}"/>
    <cellStyle name="Normal 2 2 2 2 2 2 20 2 7" xfId="11454" xr:uid="{00000000-0005-0000-0000-0000BE2C0000}"/>
    <cellStyle name="Normal 2 2 2 2 2 2 20 2 8" xfId="11455" xr:uid="{00000000-0005-0000-0000-0000BF2C0000}"/>
    <cellStyle name="Normal 2 2 2 2 2 2 20 2 9" xfId="11456" xr:uid="{00000000-0005-0000-0000-0000C02C0000}"/>
    <cellStyle name="Normal 2 2 2 2 2 2 20 3" xfId="11457" xr:uid="{00000000-0005-0000-0000-0000C12C0000}"/>
    <cellStyle name="Normal 2 2 2 2 2 2 20 3 10" xfId="11458" xr:uid="{00000000-0005-0000-0000-0000C22C0000}"/>
    <cellStyle name="Normal 2 2 2 2 2 2 20 3 2" xfId="11459" xr:uid="{00000000-0005-0000-0000-0000C32C0000}"/>
    <cellStyle name="Normal 2 2 2 2 2 2 20 3 3" xfId="11460" xr:uid="{00000000-0005-0000-0000-0000C42C0000}"/>
    <cellStyle name="Normal 2 2 2 2 2 2 20 3 4" xfId="11461" xr:uid="{00000000-0005-0000-0000-0000C52C0000}"/>
    <cellStyle name="Normal 2 2 2 2 2 2 20 3 5" xfId="11462" xr:uid="{00000000-0005-0000-0000-0000C62C0000}"/>
    <cellStyle name="Normal 2 2 2 2 2 2 20 3 6" xfId="11463" xr:uid="{00000000-0005-0000-0000-0000C72C0000}"/>
    <cellStyle name="Normal 2 2 2 2 2 2 20 3 7" xfId="11464" xr:uid="{00000000-0005-0000-0000-0000C82C0000}"/>
    <cellStyle name="Normal 2 2 2 2 2 2 20 3 8" xfId="11465" xr:uid="{00000000-0005-0000-0000-0000C92C0000}"/>
    <cellStyle name="Normal 2 2 2 2 2 2 20 3 9" xfId="11466" xr:uid="{00000000-0005-0000-0000-0000CA2C0000}"/>
    <cellStyle name="Normal 2 2 2 2 2 2 20 4" xfId="11467" xr:uid="{00000000-0005-0000-0000-0000CB2C0000}"/>
    <cellStyle name="Normal 2 2 2 2 2 2 20 4 10" xfId="11468" xr:uid="{00000000-0005-0000-0000-0000CC2C0000}"/>
    <cellStyle name="Normal 2 2 2 2 2 2 20 4 2" xfId="11469" xr:uid="{00000000-0005-0000-0000-0000CD2C0000}"/>
    <cellStyle name="Normal 2 2 2 2 2 2 20 4 3" xfId="11470" xr:uid="{00000000-0005-0000-0000-0000CE2C0000}"/>
    <cellStyle name="Normal 2 2 2 2 2 2 20 4 4" xfId="11471" xr:uid="{00000000-0005-0000-0000-0000CF2C0000}"/>
    <cellStyle name="Normal 2 2 2 2 2 2 20 4 5" xfId="11472" xr:uid="{00000000-0005-0000-0000-0000D02C0000}"/>
    <cellStyle name="Normal 2 2 2 2 2 2 20 4 6" xfId="11473" xr:uid="{00000000-0005-0000-0000-0000D12C0000}"/>
    <cellStyle name="Normal 2 2 2 2 2 2 20 4 7" xfId="11474" xr:uid="{00000000-0005-0000-0000-0000D22C0000}"/>
    <cellStyle name="Normal 2 2 2 2 2 2 20 4 8" xfId="11475" xr:uid="{00000000-0005-0000-0000-0000D32C0000}"/>
    <cellStyle name="Normal 2 2 2 2 2 2 20 4 9" xfId="11476" xr:uid="{00000000-0005-0000-0000-0000D42C0000}"/>
    <cellStyle name="Normal 2 2 2 2 2 2 20 5" xfId="11477" xr:uid="{00000000-0005-0000-0000-0000D52C0000}"/>
    <cellStyle name="Normal 2 2 2 2 2 2 20 5 10" xfId="11478" xr:uid="{00000000-0005-0000-0000-0000D62C0000}"/>
    <cellStyle name="Normal 2 2 2 2 2 2 20 5 2" xfId="11479" xr:uid="{00000000-0005-0000-0000-0000D72C0000}"/>
    <cellStyle name="Normal 2 2 2 2 2 2 20 5 3" xfId="11480" xr:uid="{00000000-0005-0000-0000-0000D82C0000}"/>
    <cellStyle name="Normal 2 2 2 2 2 2 20 5 4" xfId="11481" xr:uid="{00000000-0005-0000-0000-0000D92C0000}"/>
    <cellStyle name="Normal 2 2 2 2 2 2 20 5 5" xfId="11482" xr:uid="{00000000-0005-0000-0000-0000DA2C0000}"/>
    <cellStyle name="Normal 2 2 2 2 2 2 20 5 6" xfId="11483" xr:uid="{00000000-0005-0000-0000-0000DB2C0000}"/>
    <cellStyle name="Normal 2 2 2 2 2 2 20 5 7" xfId="11484" xr:uid="{00000000-0005-0000-0000-0000DC2C0000}"/>
    <cellStyle name="Normal 2 2 2 2 2 2 20 5 8" xfId="11485" xr:uid="{00000000-0005-0000-0000-0000DD2C0000}"/>
    <cellStyle name="Normal 2 2 2 2 2 2 20 5 9" xfId="11486" xr:uid="{00000000-0005-0000-0000-0000DE2C0000}"/>
    <cellStyle name="Normal 2 2 2 2 2 2 20 6" xfId="11487" xr:uid="{00000000-0005-0000-0000-0000DF2C0000}"/>
    <cellStyle name="Normal 2 2 2 2 2 2 20 7" xfId="11488" xr:uid="{00000000-0005-0000-0000-0000E02C0000}"/>
    <cellStyle name="Normal 2 2 2 2 2 2 20 8" xfId="11489" xr:uid="{00000000-0005-0000-0000-0000E12C0000}"/>
    <cellStyle name="Normal 2 2 2 2 2 2 20 9" xfId="11490" xr:uid="{00000000-0005-0000-0000-0000E22C0000}"/>
    <cellStyle name="Normal 2 2 2 2 2 2 21" xfId="11491" xr:uid="{00000000-0005-0000-0000-0000E32C0000}"/>
    <cellStyle name="Normal 2 2 2 2 2 2 21 10" xfId="11492" xr:uid="{00000000-0005-0000-0000-0000E42C0000}"/>
    <cellStyle name="Normal 2 2 2 2 2 2 21 11" xfId="11493" xr:uid="{00000000-0005-0000-0000-0000E52C0000}"/>
    <cellStyle name="Normal 2 2 2 2 2 2 21 12" xfId="11494" xr:uid="{00000000-0005-0000-0000-0000E62C0000}"/>
    <cellStyle name="Normal 2 2 2 2 2 2 21 13" xfId="11495" xr:uid="{00000000-0005-0000-0000-0000E72C0000}"/>
    <cellStyle name="Normal 2 2 2 2 2 2 21 14" xfId="11496" xr:uid="{00000000-0005-0000-0000-0000E82C0000}"/>
    <cellStyle name="Normal 2 2 2 2 2 2 21 2" xfId="11497" xr:uid="{00000000-0005-0000-0000-0000E92C0000}"/>
    <cellStyle name="Normal 2 2 2 2 2 2 21 2 10" xfId="11498" xr:uid="{00000000-0005-0000-0000-0000EA2C0000}"/>
    <cellStyle name="Normal 2 2 2 2 2 2 21 2 2" xfId="11499" xr:uid="{00000000-0005-0000-0000-0000EB2C0000}"/>
    <cellStyle name="Normal 2 2 2 2 2 2 21 2 3" xfId="11500" xr:uid="{00000000-0005-0000-0000-0000EC2C0000}"/>
    <cellStyle name="Normal 2 2 2 2 2 2 21 2 4" xfId="11501" xr:uid="{00000000-0005-0000-0000-0000ED2C0000}"/>
    <cellStyle name="Normal 2 2 2 2 2 2 21 2 5" xfId="11502" xr:uid="{00000000-0005-0000-0000-0000EE2C0000}"/>
    <cellStyle name="Normal 2 2 2 2 2 2 21 2 6" xfId="11503" xr:uid="{00000000-0005-0000-0000-0000EF2C0000}"/>
    <cellStyle name="Normal 2 2 2 2 2 2 21 2 7" xfId="11504" xr:uid="{00000000-0005-0000-0000-0000F02C0000}"/>
    <cellStyle name="Normal 2 2 2 2 2 2 21 2 8" xfId="11505" xr:uid="{00000000-0005-0000-0000-0000F12C0000}"/>
    <cellStyle name="Normal 2 2 2 2 2 2 21 2 9" xfId="11506" xr:uid="{00000000-0005-0000-0000-0000F22C0000}"/>
    <cellStyle name="Normal 2 2 2 2 2 2 21 3" xfId="11507" xr:uid="{00000000-0005-0000-0000-0000F32C0000}"/>
    <cellStyle name="Normal 2 2 2 2 2 2 21 3 10" xfId="11508" xr:uid="{00000000-0005-0000-0000-0000F42C0000}"/>
    <cellStyle name="Normal 2 2 2 2 2 2 21 3 2" xfId="11509" xr:uid="{00000000-0005-0000-0000-0000F52C0000}"/>
    <cellStyle name="Normal 2 2 2 2 2 2 21 3 3" xfId="11510" xr:uid="{00000000-0005-0000-0000-0000F62C0000}"/>
    <cellStyle name="Normal 2 2 2 2 2 2 21 3 4" xfId="11511" xr:uid="{00000000-0005-0000-0000-0000F72C0000}"/>
    <cellStyle name="Normal 2 2 2 2 2 2 21 3 5" xfId="11512" xr:uid="{00000000-0005-0000-0000-0000F82C0000}"/>
    <cellStyle name="Normal 2 2 2 2 2 2 21 3 6" xfId="11513" xr:uid="{00000000-0005-0000-0000-0000F92C0000}"/>
    <cellStyle name="Normal 2 2 2 2 2 2 21 3 7" xfId="11514" xr:uid="{00000000-0005-0000-0000-0000FA2C0000}"/>
    <cellStyle name="Normal 2 2 2 2 2 2 21 3 8" xfId="11515" xr:uid="{00000000-0005-0000-0000-0000FB2C0000}"/>
    <cellStyle name="Normal 2 2 2 2 2 2 21 3 9" xfId="11516" xr:uid="{00000000-0005-0000-0000-0000FC2C0000}"/>
    <cellStyle name="Normal 2 2 2 2 2 2 21 4" xfId="11517" xr:uid="{00000000-0005-0000-0000-0000FD2C0000}"/>
    <cellStyle name="Normal 2 2 2 2 2 2 21 4 10" xfId="11518" xr:uid="{00000000-0005-0000-0000-0000FE2C0000}"/>
    <cellStyle name="Normal 2 2 2 2 2 2 21 4 2" xfId="11519" xr:uid="{00000000-0005-0000-0000-0000FF2C0000}"/>
    <cellStyle name="Normal 2 2 2 2 2 2 21 4 3" xfId="11520" xr:uid="{00000000-0005-0000-0000-0000002D0000}"/>
    <cellStyle name="Normal 2 2 2 2 2 2 21 4 4" xfId="11521" xr:uid="{00000000-0005-0000-0000-0000012D0000}"/>
    <cellStyle name="Normal 2 2 2 2 2 2 21 4 5" xfId="11522" xr:uid="{00000000-0005-0000-0000-0000022D0000}"/>
    <cellStyle name="Normal 2 2 2 2 2 2 21 4 6" xfId="11523" xr:uid="{00000000-0005-0000-0000-0000032D0000}"/>
    <cellStyle name="Normal 2 2 2 2 2 2 21 4 7" xfId="11524" xr:uid="{00000000-0005-0000-0000-0000042D0000}"/>
    <cellStyle name="Normal 2 2 2 2 2 2 21 4 8" xfId="11525" xr:uid="{00000000-0005-0000-0000-0000052D0000}"/>
    <cellStyle name="Normal 2 2 2 2 2 2 21 4 9" xfId="11526" xr:uid="{00000000-0005-0000-0000-0000062D0000}"/>
    <cellStyle name="Normal 2 2 2 2 2 2 21 5" xfId="11527" xr:uid="{00000000-0005-0000-0000-0000072D0000}"/>
    <cellStyle name="Normal 2 2 2 2 2 2 21 5 10" xfId="11528" xr:uid="{00000000-0005-0000-0000-0000082D0000}"/>
    <cellStyle name="Normal 2 2 2 2 2 2 21 5 2" xfId="11529" xr:uid="{00000000-0005-0000-0000-0000092D0000}"/>
    <cellStyle name="Normal 2 2 2 2 2 2 21 5 3" xfId="11530" xr:uid="{00000000-0005-0000-0000-00000A2D0000}"/>
    <cellStyle name="Normal 2 2 2 2 2 2 21 5 4" xfId="11531" xr:uid="{00000000-0005-0000-0000-00000B2D0000}"/>
    <cellStyle name="Normal 2 2 2 2 2 2 21 5 5" xfId="11532" xr:uid="{00000000-0005-0000-0000-00000C2D0000}"/>
    <cellStyle name="Normal 2 2 2 2 2 2 21 5 6" xfId="11533" xr:uid="{00000000-0005-0000-0000-00000D2D0000}"/>
    <cellStyle name="Normal 2 2 2 2 2 2 21 5 7" xfId="11534" xr:uid="{00000000-0005-0000-0000-00000E2D0000}"/>
    <cellStyle name="Normal 2 2 2 2 2 2 21 5 8" xfId="11535" xr:uid="{00000000-0005-0000-0000-00000F2D0000}"/>
    <cellStyle name="Normal 2 2 2 2 2 2 21 5 9" xfId="11536" xr:uid="{00000000-0005-0000-0000-0000102D0000}"/>
    <cellStyle name="Normal 2 2 2 2 2 2 21 6" xfId="11537" xr:uid="{00000000-0005-0000-0000-0000112D0000}"/>
    <cellStyle name="Normal 2 2 2 2 2 2 21 7" xfId="11538" xr:uid="{00000000-0005-0000-0000-0000122D0000}"/>
    <cellStyle name="Normal 2 2 2 2 2 2 21 8" xfId="11539" xr:uid="{00000000-0005-0000-0000-0000132D0000}"/>
    <cellStyle name="Normal 2 2 2 2 2 2 21 9" xfId="11540" xr:uid="{00000000-0005-0000-0000-0000142D0000}"/>
    <cellStyle name="Normal 2 2 2 2 2 2 22" xfId="11541" xr:uid="{00000000-0005-0000-0000-0000152D0000}"/>
    <cellStyle name="Normal 2 2 2 2 2 2 22 10" xfId="11542" xr:uid="{00000000-0005-0000-0000-0000162D0000}"/>
    <cellStyle name="Normal 2 2 2 2 2 2 22 11" xfId="11543" xr:uid="{00000000-0005-0000-0000-0000172D0000}"/>
    <cellStyle name="Normal 2 2 2 2 2 2 22 12" xfId="11544" xr:uid="{00000000-0005-0000-0000-0000182D0000}"/>
    <cellStyle name="Normal 2 2 2 2 2 2 22 13" xfId="11545" xr:uid="{00000000-0005-0000-0000-0000192D0000}"/>
    <cellStyle name="Normal 2 2 2 2 2 2 22 14" xfId="11546" xr:uid="{00000000-0005-0000-0000-00001A2D0000}"/>
    <cellStyle name="Normal 2 2 2 2 2 2 22 2" xfId="11547" xr:uid="{00000000-0005-0000-0000-00001B2D0000}"/>
    <cellStyle name="Normal 2 2 2 2 2 2 22 2 10" xfId="11548" xr:uid="{00000000-0005-0000-0000-00001C2D0000}"/>
    <cellStyle name="Normal 2 2 2 2 2 2 22 2 2" xfId="11549" xr:uid="{00000000-0005-0000-0000-00001D2D0000}"/>
    <cellStyle name="Normal 2 2 2 2 2 2 22 2 3" xfId="11550" xr:uid="{00000000-0005-0000-0000-00001E2D0000}"/>
    <cellStyle name="Normal 2 2 2 2 2 2 22 2 4" xfId="11551" xr:uid="{00000000-0005-0000-0000-00001F2D0000}"/>
    <cellStyle name="Normal 2 2 2 2 2 2 22 2 5" xfId="11552" xr:uid="{00000000-0005-0000-0000-0000202D0000}"/>
    <cellStyle name="Normal 2 2 2 2 2 2 22 2 6" xfId="11553" xr:uid="{00000000-0005-0000-0000-0000212D0000}"/>
    <cellStyle name="Normal 2 2 2 2 2 2 22 2 7" xfId="11554" xr:uid="{00000000-0005-0000-0000-0000222D0000}"/>
    <cellStyle name="Normal 2 2 2 2 2 2 22 2 8" xfId="11555" xr:uid="{00000000-0005-0000-0000-0000232D0000}"/>
    <cellStyle name="Normal 2 2 2 2 2 2 22 2 9" xfId="11556" xr:uid="{00000000-0005-0000-0000-0000242D0000}"/>
    <cellStyle name="Normal 2 2 2 2 2 2 22 3" xfId="11557" xr:uid="{00000000-0005-0000-0000-0000252D0000}"/>
    <cellStyle name="Normal 2 2 2 2 2 2 22 3 10" xfId="11558" xr:uid="{00000000-0005-0000-0000-0000262D0000}"/>
    <cellStyle name="Normal 2 2 2 2 2 2 22 3 2" xfId="11559" xr:uid="{00000000-0005-0000-0000-0000272D0000}"/>
    <cellStyle name="Normal 2 2 2 2 2 2 22 3 3" xfId="11560" xr:uid="{00000000-0005-0000-0000-0000282D0000}"/>
    <cellStyle name="Normal 2 2 2 2 2 2 22 3 4" xfId="11561" xr:uid="{00000000-0005-0000-0000-0000292D0000}"/>
    <cellStyle name="Normal 2 2 2 2 2 2 22 3 5" xfId="11562" xr:uid="{00000000-0005-0000-0000-00002A2D0000}"/>
    <cellStyle name="Normal 2 2 2 2 2 2 22 3 6" xfId="11563" xr:uid="{00000000-0005-0000-0000-00002B2D0000}"/>
    <cellStyle name="Normal 2 2 2 2 2 2 22 3 7" xfId="11564" xr:uid="{00000000-0005-0000-0000-00002C2D0000}"/>
    <cellStyle name="Normal 2 2 2 2 2 2 22 3 8" xfId="11565" xr:uid="{00000000-0005-0000-0000-00002D2D0000}"/>
    <cellStyle name="Normal 2 2 2 2 2 2 22 3 9" xfId="11566" xr:uid="{00000000-0005-0000-0000-00002E2D0000}"/>
    <cellStyle name="Normal 2 2 2 2 2 2 22 4" xfId="11567" xr:uid="{00000000-0005-0000-0000-00002F2D0000}"/>
    <cellStyle name="Normal 2 2 2 2 2 2 22 4 10" xfId="11568" xr:uid="{00000000-0005-0000-0000-0000302D0000}"/>
    <cellStyle name="Normal 2 2 2 2 2 2 22 4 2" xfId="11569" xr:uid="{00000000-0005-0000-0000-0000312D0000}"/>
    <cellStyle name="Normal 2 2 2 2 2 2 22 4 3" xfId="11570" xr:uid="{00000000-0005-0000-0000-0000322D0000}"/>
    <cellStyle name="Normal 2 2 2 2 2 2 22 4 4" xfId="11571" xr:uid="{00000000-0005-0000-0000-0000332D0000}"/>
    <cellStyle name="Normal 2 2 2 2 2 2 22 4 5" xfId="11572" xr:uid="{00000000-0005-0000-0000-0000342D0000}"/>
    <cellStyle name="Normal 2 2 2 2 2 2 22 4 6" xfId="11573" xr:uid="{00000000-0005-0000-0000-0000352D0000}"/>
    <cellStyle name="Normal 2 2 2 2 2 2 22 4 7" xfId="11574" xr:uid="{00000000-0005-0000-0000-0000362D0000}"/>
    <cellStyle name="Normal 2 2 2 2 2 2 22 4 8" xfId="11575" xr:uid="{00000000-0005-0000-0000-0000372D0000}"/>
    <cellStyle name="Normal 2 2 2 2 2 2 22 4 9" xfId="11576" xr:uid="{00000000-0005-0000-0000-0000382D0000}"/>
    <cellStyle name="Normal 2 2 2 2 2 2 22 5" xfId="11577" xr:uid="{00000000-0005-0000-0000-0000392D0000}"/>
    <cellStyle name="Normal 2 2 2 2 2 2 22 5 10" xfId="11578" xr:uid="{00000000-0005-0000-0000-00003A2D0000}"/>
    <cellStyle name="Normal 2 2 2 2 2 2 22 5 2" xfId="11579" xr:uid="{00000000-0005-0000-0000-00003B2D0000}"/>
    <cellStyle name="Normal 2 2 2 2 2 2 22 5 3" xfId="11580" xr:uid="{00000000-0005-0000-0000-00003C2D0000}"/>
    <cellStyle name="Normal 2 2 2 2 2 2 22 5 4" xfId="11581" xr:uid="{00000000-0005-0000-0000-00003D2D0000}"/>
    <cellStyle name="Normal 2 2 2 2 2 2 22 5 5" xfId="11582" xr:uid="{00000000-0005-0000-0000-00003E2D0000}"/>
    <cellStyle name="Normal 2 2 2 2 2 2 22 5 6" xfId="11583" xr:uid="{00000000-0005-0000-0000-00003F2D0000}"/>
    <cellStyle name="Normal 2 2 2 2 2 2 22 5 7" xfId="11584" xr:uid="{00000000-0005-0000-0000-0000402D0000}"/>
    <cellStyle name="Normal 2 2 2 2 2 2 22 5 8" xfId="11585" xr:uid="{00000000-0005-0000-0000-0000412D0000}"/>
    <cellStyle name="Normal 2 2 2 2 2 2 22 5 9" xfId="11586" xr:uid="{00000000-0005-0000-0000-0000422D0000}"/>
    <cellStyle name="Normal 2 2 2 2 2 2 22 6" xfId="11587" xr:uid="{00000000-0005-0000-0000-0000432D0000}"/>
    <cellStyle name="Normal 2 2 2 2 2 2 22 7" xfId="11588" xr:uid="{00000000-0005-0000-0000-0000442D0000}"/>
    <cellStyle name="Normal 2 2 2 2 2 2 22 8" xfId="11589" xr:uid="{00000000-0005-0000-0000-0000452D0000}"/>
    <cellStyle name="Normal 2 2 2 2 2 2 22 9" xfId="11590" xr:uid="{00000000-0005-0000-0000-0000462D0000}"/>
    <cellStyle name="Normal 2 2 2 2 2 2 23" xfId="11591" xr:uid="{00000000-0005-0000-0000-0000472D0000}"/>
    <cellStyle name="Normal 2 2 2 2 2 2 23 10" xfId="11592" xr:uid="{00000000-0005-0000-0000-0000482D0000}"/>
    <cellStyle name="Normal 2 2 2 2 2 2 23 11" xfId="11593" xr:uid="{00000000-0005-0000-0000-0000492D0000}"/>
    <cellStyle name="Normal 2 2 2 2 2 2 23 12" xfId="11594" xr:uid="{00000000-0005-0000-0000-00004A2D0000}"/>
    <cellStyle name="Normal 2 2 2 2 2 2 23 13" xfId="11595" xr:uid="{00000000-0005-0000-0000-00004B2D0000}"/>
    <cellStyle name="Normal 2 2 2 2 2 2 23 14" xfId="11596" xr:uid="{00000000-0005-0000-0000-00004C2D0000}"/>
    <cellStyle name="Normal 2 2 2 2 2 2 23 2" xfId="11597" xr:uid="{00000000-0005-0000-0000-00004D2D0000}"/>
    <cellStyle name="Normal 2 2 2 2 2 2 23 2 10" xfId="11598" xr:uid="{00000000-0005-0000-0000-00004E2D0000}"/>
    <cellStyle name="Normal 2 2 2 2 2 2 23 2 2" xfId="11599" xr:uid="{00000000-0005-0000-0000-00004F2D0000}"/>
    <cellStyle name="Normal 2 2 2 2 2 2 23 2 3" xfId="11600" xr:uid="{00000000-0005-0000-0000-0000502D0000}"/>
    <cellStyle name="Normal 2 2 2 2 2 2 23 2 4" xfId="11601" xr:uid="{00000000-0005-0000-0000-0000512D0000}"/>
    <cellStyle name="Normal 2 2 2 2 2 2 23 2 5" xfId="11602" xr:uid="{00000000-0005-0000-0000-0000522D0000}"/>
    <cellStyle name="Normal 2 2 2 2 2 2 23 2 6" xfId="11603" xr:uid="{00000000-0005-0000-0000-0000532D0000}"/>
    <cellStyle name="Normal 2 2 2 2 2 2 23 2 7" xfId="11604" xr:uid="{00000000-0005-0000-0000-0000542D0000}"/>
    <cellStyle name="Normal 2 2 2 2 2 2 23 2 8" xfId="11605" xr:uid="{00000000-0005-0000-0000-0000552D0000}"/>
    <cellStyle name="Normal 2 2 2 2 2 2 23 2 9" xfId="11606" xr:uid="{00000000-0005-0000-0000-0000562D0000}"/>
    <cellStyle name="Normal 2 2 2 2 2 2 23 3" xfId="11607" xr:uid="{00000000-0005-0000-0000-0000572D0000}"/>
    <cellStyle name="Normal 2 2 2 2 2 2 23 3 10" xfId="11608" xr:uid="{00000000-0005-0000-0000-0000582D0000}"/>
    <cellStyle name="Normal 2 2 2 2 2 2 23 3 2" xfId="11609" xr:uid="{00000000-0005-0000-0000-0000592D0000}"/>
    <cellStyle name="Normal 2 2 2 2 2 2 23 3 3" xfId="11610" xr:uid="{00000000-0005-0000-0000-00005A2D0000}"/>
    <cellStyle name="Normal 2 2 2 2 2 2 23 3 4" xfId="11611" xr:uid="{00000000-0005-0000-0000-00005B2D0000}"/>
    <cellStyle name="Normal 2 2 2 2 2 2 23 3 5" xfId="11612" xr:uid="{00000000-0005-0000-0000-00005C2D0000}"/>
    <cellStyle name="Normal 2 2 2 2 2 2 23 3 6" xfId="11613" xr:uid="{00000000-0005-0000-0000-00005D2D0000}"/>
    <cellStyle name="Normal 2 2 2 2 2 2 23 3 7" xfId="11614" xr:uid="{00000000-0005-0000-0000-00005E2D0000}"/>
    <cellStyle name="Normal 2 2 2 2 2 2 23 3 8" xfId="11615" xr:uid="{00000000-0005-0000-0000-00005F2D0000}"/>
    <cellStyle name="Normal 2 2 2 2 2 2 23 3 9" xfId="11616" xr:uid="{00000000-0005-0000-0000-0000602D0000}"/>
    <cellStyle name="Normal 2 2 2 2 2 2 23 4" xfId="11617" xr:uid="{00000000-0005-0000-0000-0000612D0000}"/>
    <cellStyle name="Normal 2 2 2 2 2 2 23 4 10" xfId="11618" xr:uid="{00000000-0005-0000-0000-0000622D0000}"/>
    <cellStyle name="Normal 2 2 2 2 2 2 23 4 2" xfId="11619" xr:uid="{00000000-0005-0000-0000-0000632D0000}"/>
    <cellStyle name="Normal 2 2 2 2 2 2 23 4 3" xfId="11620" xr:uid="{00000000-0005-0000-0000-0000642D0000}"/>
    <cellStyle name="Normal 2 2 2 2 2 2 23 4 4" xfId="11621" xr:uid="{00000000-0005-0000-0000-0000652D0000}"/>
    <cellStyle name="Normal 2 2 2 2 2 2 23 4 5" xfId="11622" xr:uid="{00000000-0005-0000-0000-0000662D0000}"/>
    <cellStyle name="Normal 2 2 2 2 2 2 23 4 6" xfId="11623" xr:uid="{00000000-0005-0000-0000-0000672D0000}"/>
    <cellStyle name="Normal 2 2 2 2 2 2 23 4 7" xfId="11624" xr:uid="{00000000-0005-0000-0000-0000682D0000}"/>
    <cellStyle name="Normal 2 2 2 2 2 2 23 4 8" xfId="11625" xr:uid="{00000000-0005-0000-0000-0000692D0000}"/>
    <cellStyle name="Normal 2 2 2 2 2 2 23 4 9" xfId="11626" xr:uid="{00000000-0005-0000-0000-00006A2D0000}"/>
    <cellStyle name="Normal 2 2 2 2 2 2 23 5" xfId="11627" xr:uid="{00000000-0005-0000-0000-00006B2D0000}"/>
    <cellStyle name="Normal 2 2 2 2 2 2 23 5 10" xfId="11628" xr:uid="{00000000-0005-0000-0000-00006C2D0000}"/>
    <cellStyle name="Normal 2 2 2 2 2 2 23 5 2" xfId="11629" xr:uid="{00000000-0005-0000-0000-00006D2D0000}"/>
    <cellStyle name="Normal 2 2 2 2 2 2 23 5 3" xfId="11630" xr:uid="{00000000-0005-0000-0000-00006E2D0000}"/>
    <cellStyle name="Normal 2 2 2 2 2 2 23 5 4" xfId="11631" xr:uid="{00000000-0005-0000-0000-00006F2D0000}"/>
    <cellStyle name="Normal 2 2 2 2 2 2 23 5 5" xfId="11632" xr:uid="{00000000-0005-0000-0000-0000702D0000}"/>
    <cellStyle name="Normal 2 2 2 2 2 2 23 5 6" xfId="11633" xr:uid="{00000000-0005-0000-0000-0000712D0000}"/>
    <cellStyle name="Normal 2 2 2 2 2 2 23 5 7" xfId="11634" xr:uid="{00000000-0005-0000-0000-0000722D0000}"/>
    <cellStyle name="Normal 2 2 2 2 2 2 23 5 8" xfId="11635" xr:uid="{00000000-0005-0000-0000-0000732D0000}"/>
    <cellStyle name="Normal 2 2 2 2 2 2 23 5 9" xfId="11636" xr:uid="{00000000-0005-0000-0000-0000742D0000}"/>
    <cellStyle name="Normal 2 2 2 2 2 2 23 6" xfId="11637" xr:uid="{00000000-0005-0000-0000-0000752D0000}"/>
    <cellStyle name="Normal 2 2 2 2 2 2 23 7" xfId="11638" xr:uid="{00000000-0005-0000-0000-0000762D0000}"/>
    <cellStyle name="Normal 2 2 2 2 2 2 23 8" xfId="11639" xr:uid="{00000000-0005-0000-0000-0000772D0000}"/>
    <cellStyle name="Normal 2 2 2 2 2 2 23 9" xfId="11640" xr:uid="{00000000-0005-0000-0000-0000782D0000}"/>
    <cellStyle name="Normal 2 2 2 2 2 2 24" xfId="11641" xr:uid="{00000000-0005-0000-0000-0000792D0000}"/>
    <cellStyle name="Normal 2 2 2 2 2 2 24 10" xfId="11642" xr:uid="{00000000-0005-0000-0000-00007A2D0000}"/>
    <cellStyle name="Normal 2 2 2 2 2 2 24 11" xfId="11643" xr:uid="{00000000-0005-0000-0000-00007B2D0000}"/>
    <cellStyle name="Normal 2 2 2 2 2 2 24 12" xfId="11644" xr:uid="{00000000-0005-0000-0000-00007C2D0000}"/>
    <cellStyle name="Normal 2 2 2 2 2 2 24 13" xfId="11645" xr:uid="{00000000-0005-0000-0000-00007D2D0000}"/>
    <cellStyle name="Normal 2 2 2 2 2 2 24 14" xfId="11646" xr:uid="{00000000-0005-0000-0000-00007E2D0000}"/>
    <cellStyle name="Normal 2 2 2 2 2 2 24 2" xfId="11647" xr:uid="{00000000-0005-0000-0000-00007F2D0000}"/>
    <cellStyle name="Normal 2 2 2 2 2 2 24 2 10" xfId="11648" xr:uid="{00000000-0005-0000-0000-0000802D0000}"/>
    <cellStyle name="Normal 2 2 2 2 2 2 24 2 2" xfId="11649" xr:uid="{00000000-0005-0000-0000-0000812D0000}"/>
    <cellStyle name="Normal 2 2 2 2 2 2 24 2 3" xfId="11650" xr:uid="{00000000-0005-0000-0000-0000822D0000}"/>
    <cellStyle name="Normal 2 2 2 2 2 2 24 2 4" xfId="11651" xr:uid="{00000000-0005-0000-0000-0000832D0000}"/>
    <cellStyle name="Normal 2 2 2 2 2 2 24 2 5" xfId="11652" xr:uid="{00000000-0005-0000-0000-0000842D0000}"/>
    <cellStyle name="Normal 2 2 2 2 2 2 24 2 6" xfId="11653" xr:uid="{00000000-0005-0000-0000-0000852D0000}"/>
    <cellStyle name="Normal 2 2 2 2 2 2 24 2 7" xfId="11654" xr:uid="{00000000-0005-0000-0000-0000862D0000}"/>
    <cellStyle name="Normal 2 2 2 2 2 2 24 2 8" xfId="11655" xr:uid="{00000000-0005-0000-0000-0000872D0000}"/>
    <cellStyle name="Normal 2 2 2 2 2 2 24 2 9" xfId="11656" xr:uid="{00000000-0005-0000-0000-0000882D0000}"/>
    <cellStyle name="Normal 2 2 2 2 2 2 24 3" xfId="11657" xr:uid="{00000000-0005-0000-0000-0000892D0000}"/>
    <cellStyle name="Normal 2 2 2 2 2 2 24 3 10" xfId="11658" xr:uid="{00000000-0005-0000-0000-00008A2D0000}"/>
    <cellStyle name="Normal 2 2 2 2 2 2 24 3 2" xfId="11659" xr:uid="{00000000-0005-0000-0000-00008B2D0000}"/>
    <cellStyle name="Normal 2 2 2 2 2 2 24 3 3" xfId="11660" xr:uid="{00000000-0005-0000-0000-00008C2D0000}"/>
    <cellStyle name="Normal 2 2 2 2 2 2 24 3 4" xfId="11661" xr:uid="{00000000-0005-0000-0000-00008D2D0000}"/>
    <cellStyle name="Normal 2 2 2 2 2 2 24 3 5" xfId="11662" xr:uid="{00000000-0005-0000-0000-00008E2D0000}"/>
    <cellStyle name="Normal 2 2 2 2 2 2 24 3 6" xfId="11663" xr:uid="{00000000-0005-0000-0000-00008F2D0000}"/>
    <cellStyle name="Normal 2 2 2 2 2 2 24 3 7" xfId="11664" xr:uid="{00000000-0005-0000-0000-0000902D0000}"/>
    <cellStyle name="Normal 2 2 2 2 2 2 24 3 8" xfId="11665" xr:uid="{00000000-0005-0000-0000-0000912D0000}"/>
    <cellStyle name="Normal 2 2 2 2 2 2 24 3 9" xfId="11666" xr:uid="{00000000-0005-0000-0000-0000922D0000}"/>
    <cellStyle name="Normal 2 2 2 2 2 2 24 4" xfId="11667" xr:uid="{00000000-0005-0000-0000-0000932D0000}"/>
    <cellStyle name="Normal 2 2 2 2 2 2 24 4 10" xfId="11668" xr:uid="{00000000-0005-0000-0000-0000942D0000}"/>
    <cellStyle name="Normal 2 2 2 2 2 2 24 4 2" xfId="11669" xr:uid="{00000000-0005-0000-0000-0000952D0000}"/>
    <cellStyle name="Normal 2 2 2 2 2 2 24 4 3" xfId="11670" xr:uid="{00000000-0005-0000-0000-0000962D0000}"/>
    <cellStyle name="Normal 2 2 2 2 2 2 24 4 4" xfId="11671" xr:uid="{00000000-0005-0000-0000-0000972D0000}"/>
    <cellStyle name="Normal 2 2 2 2 2 2 24 4 5" xfId="11672" xr:uid="{00000000-0005-0000-0000-0000982D0000}"/>
    <cellStyle name="Normal 2 2 2 2 2 2 24 4 6" xfId="11673" xr:uid="{00000000-0005-0000-0000-0000992D0000}"/>
    <cellStyle name="Normal 2 2 2 2 2 2 24 4 7" xfId="11674" xr:uid="{00000000-0005-0000-0000-00009A2D0000}"/>
    <cellStyle name="Normal 2 2 2 2 2 2 24 4 8" xfId="11675" xr:uid="{00000000-0005-0000-0000-00009B2D0000}"/>
    <cellStyle name="Normal 2 2 2 2 2 2 24 4 9" xfId="11676" xr:uid="{00000000-0005-0000-0000-00009C2D0000}"/>
    <cellStyle name="Normal 2 2 2 2 2 2 24 5" xfId="11677" xr:uid="{00000000-0005-0000-0000-00009D2D0000}"/>
    <cellStyle name="Normal 2 2 2 2 2 2 24 5 10" xfId="11678" xr:uid="{00000000-0005-0000-0000-00009E2D0000}"/>
    <cellStyle name="Normal 2 2 2 2 2 2 24 5 2" xfId="11679" xr:uid="{00000000-0005-0000-0000-00009F2D0000}"/>
    <cellStyle name="Normal 2 2 2 2 2 2 24 5 3" xfId="11680" xr:uid="{00000000-0005-0000-0000-0000A02D0000}"/>
    <cellStyle name="Normal 2 2 2 2 2 2 24 5 4" xfId="11681" xr:uid="{00000000-0005-0000-0000-0000A12D0000}"/>
    <cellStyle name="Normal 2 2 2 2 2 2 24 5 5" xfId="11682" xr:uid="{00000000-0005-0000-0000-0000A22D0000}"/>
    <cellStyle name="Normal 2 2 2 2 2 2 24 5 6" xfId="11683" xr:uid="{00000000-0005-0000-0000-0000A32D0000}"/>
    <cellStyle name="Normal 2 2 2 2 2 2 24 5 7" xfId="11684" xr:uid="{00000000-0005-0000-0000-0000A42D0000}"/>
    <cellStyle name="Normal 2 2 2 2 2 2 24 5 8" xfId="11685" xr:uid="{00000000-0005-0000-0000-0000A52D0000}"/>
    <cellStyle name="Normal 2 2 2 2 2 2 24 5 9" xfId="11686" xr:uid="{00000000-0005-0000-0000-0000A62D0000}"/>
    <cellStyle name="Normal 2 2 2 2 2 2 24 6" xfId="11687" xr:uid="{00000000-0005-0000-0000-0000A72D0000}"/>
    <cellStyle name="Normal 2 2 2 2 2 2 24 7" xfId="11688" xr:uid="{00000000-0005-0000-0000-0000A82D0000}"/>
    <cellStyle name="Normal 2 2 2 2 2 2 24 8" xfId="11689" xr:uid="{00000000-0005-0000-0000-0000A92D0000}"/>
    <cellStyle name="Normal 2 2 2 2 2 2 24 9" xfId="11690" xr:uid="{00000000-0005-0000-0000-0000AA2D0000}"/>
    <cellStyle name="Normal 2 2 2 2 2 2 25" xfId="11691" xr:uid="{00000000-0005-0000-0000-0000AB2D0000}"/>
    <cellStyle name="Normal 2 2 2 2 2 2 25 10" xfId="11692" xr:uid="{00000000-0005-0000-0000-0000AC2D0000}"/>
    <cellStyle name="Normal 2 2 2 2 2 2 25 11" xfId="11693" xr:uid="{00000000-0005-0000-0000-0000AD2D0000}"/>
    <cellStyle name="Normal 2 2 2 2 2 2 25 12" xfId="11694" xr:uid="{00000000-0005-0000-0000-0000AE2D0000}"/>
    <cellStyle name="Normal 2 2 2 2 2 2 25 13" xfId="11695" xr:uid="{00000000-0005-0000-0000-0000AF2D0000}"/>
    <cellStyle name="Normal 2 2 2 2 2 2 25 14" xfId="11696" xr:uid="{00000000-0005-0000-0000-0000B02D0000}"/>
    <cellStyle name="Normal 2 2 2 2 2 2 25 2" xfId="11697" xr:uid="{00000000-0005-0000-0000-0000B12D0000}"/>
    <cellStyle name="Normal 2 2 2 2 2 2 25 2 10" xfId="11698" xr:uid="{00000000-0005-0000-0000-0000B22D0000}"/>
    <cellStyle name="Normal 2 2 2 2 2 2 25 2 2" xfId="11699" xr:uid="{00000000-0005-0000-0000-0000B32D0000}"/>
    <cellStyle name="Normal 2 2 2 2 2 2 25 2 3" xfId="11700" xr:uid="{00000000-0005-0000-0000-0000B42D0000}"/>
    <cellStyle name="Normal 2 2 2 2 2 2 25 2 4" xfId="11701" xr:uid="{00000000-0005-0000-0000-0000B52D0000}"/>
    <cellStyle name="Normal 2 2 2 2 2 2 25 2 5" xfId="11702" xr:uid="{00000000-0005-0000-0000-0000B62D0000}"/>
    <cellStyle name="Normal 2 2 2 2 2 2 25 2 6" xfId="11703" xr:uid="{00000000-0005-0000-0000-0000B72D0000}"/>
    <cellStyle name="Normal 2 2 2 2 2 2 25 2 7" xfId="11704" xr:uid="{00000000-0005-0000-0000-0000B82D0000}"/>
    <cellStyle name="Normal 2 2 2 2 2 2 25 2 8" xfId="11705" xr:uid="{00000000-0005-0000-0000-0000B92D0000}"/>
    <cellStyle name="Normal 2 2 2 2 2 2 25 2 9" xfId="11706" xr:uid="{00000000-0005-0000-0000-0000BA2D0000}"/>
    <cellStyle name="Normal 2 2 2 2 2 2 25 3" xfId="11707" xr:uid="{00000000-0005-0000-0000-0000BB2D0000}"/>
    <cellStyle name="Normal 2 2 2 2 2 2 25 3 10" xfId="11708" xr:uid="{00000000-0005-0000-0000-0000BC2D0000}"/>
    <cellStyle name="Normal 2 2 2 2 2 2 25 3 2" xfId="11709" xr:uid="{00000000-0005-0000-0000-0000BD2D0000}"/>
    <cellStyle name="Normal 2 2 2 2 2 2 25 3 3" xfId="11710" xr:uid="{00000000-0005-0000-0000-0000BE2D0000}"/>
    <cellStyle name="Normal 2 2 2 2 2 2 25 3 4" xfId="11711" xr:uid="{00000000-0005-0000-0000-0000BF2D0000}"/>
    <cellStyle name="Normal 2 2 2 2 2 2 25 3 5" xfId="11712" xr:uid="{00000000-0005-0000-0000-0000C02D0000}"/>
    <cellStyle name="Normal 2 2 2 2 2 2 25 3 6" xfId="11713" xr:uid="{00000000-0005-0000-0000-0000C12D0000}"/>
    <cellStyle name="Normal 2 2 2 2 2 2 25 3 7" xfId="11714" xr:uid="{00000000-0005-0000-0000-0000C22D0000}"/>
    <cellStyle name="Normal 2 2 2 2 2 2 25 3 8" xfId="11715" xr:uid="{00000000-0005-0000-0000-0000C32D0000}"/>
    <cellStyle name="Normal 2 2 2 2 2 2 25 3 9" xfId="11716" xr:uid="{00000000-0005-0000-0000-0000C42D0000}"/>
    <cellStyle name="Normal 2 2 2 2 2 2 25 4" xfId="11717" xr:uid="{00000000-0005-0000-0000-0000C52D0000}"/>
    <cellStyle name="Normal 2 2 2 2 2 2 25 4 10" xfId="11718" xr:uid="{00000000-0005-0000-0000-0000C62D0000}"/>
    <cellStyle name="Normal 2 2 2 2 2 2 25 4 2" xfId="11719" xr:uid="{00000000-0005-0000-0000-0000C72D0000}"/>
    <cellStyle name="Normal 2 2 2 2 2 2 25 4 3" xfId="11720" xr:uid="{00000000-0005-0000-0000-0000C82D0000}"/>
    <cellStyle name="Normal 2 2 2 2 2 2 25 4 4" xfId="11721" xr:uid="{00000000-0005-0000-0000-0000C92D0000}"/>
    <cellStyle name="Normal 2 2 2 2 2 2 25 4 5" xfId="11722" xr:uid="{00000000-0005-0000-0000-0000CA2D0000}"/>
    <cellStyle name="Normal 2 2 2 2 2 2 25 4 6" xfId="11723" xr:uid="{00000000-0005-0000-0000-0000CB2D0000}"/>
    <cellStyle name="Normal 2 2 2 2 2 2 25 4 7" xfId="11724" xr:uid="{00000000-0005-0000-0000-0000CC2D0000}"/>
    <cellStyle name="Normal 2 2 2 2 2 2 25 4 8" xfId="11725" xr:uid="{00000000-0005-0000-0000-0000CD2D0000}"/>
    <cellStyle name="Normal 2 2 2 2 2 2 25 4 9" xfId="11726" xr:uid="{00000000-0005-0000-0000-0000CE2D0000}"/>
    <cellStyle name="Normal 2 2 2 2 2 2 25 5" xfId="11727" xr:uid="{00000000-0005-0000-0000-0000CF2D0000}"/>
    <cellStyle name="Normal 2 2 2 2 2 2 25 5 10" xfId="11728" xr:uid="{00000000-0005-0000-0000-0000D02D0000}"/>
    <cellStyle name="Normal 2 2 2 2 2 2 25 5 2" xfId="11729" xr:uid="{00000000-0005-0000-0000-0000D12D0000}"/>
    <cellStyle name="Normal 2 2 2 2 2 2 25 5 3" xfId="11730" xr:uid="{00000000-0005-0000-0000-0000D22D0000}"/>
    <cellStyle name="Normal 2 2 2 2 2 2 25 5 4" xfId="11731" xr:uid="{00000000-0005-0000-0000-0000D32D0000}"/>
    <cellStyle name="Normal 2 2 2 2 2 2 25 5 5" xfId="11732" xr:uid="{00000000-0005-0000-0000-0000D42D0000}"/>
    <cellStyle name="Normal 2 2 2 2 2 2 25 5 6" xfId="11733" xr:uid="{00000000-0005-0000-0000-0000D52D0000}"/>
    <cellStyle name="Normal 2 2 2 2 2 2 25 5 7" xfId="11734" xr:uid="{00000000-0005-0000-0000-0000D62D0000}"/>
    <cellStyle name="Normal 2 2 2 2 2 2 25 5 8" xfId="11735" xr:uid="{00000000-0005-0000-0000-0000D72D0000}"/>
    <cellStyle name="Normal 2 2 2 2 2 2 25 5 9" xfId="11736" xr:uid="{00000000-0005-0000-0000-0000D82D0000}"/>
    <cellStyle name="Normal 2 2 2 2 2 2 25 6" xfId="11737" xr:uid="{00000000-0005-0000-0000-0000D92D0000}"/>
    <cellStyle name="Normal 2 2 2 2 2 2 25 7" xfId="11738" xr:uid="{00000000-0005-0000-0000-0000DA2D0000}"/>
    <cellStyle name="Normal 2 2 2 2 2 2 25 8" xfId="11739" xr:uid="{00000000-0005-0000-0000-0000DB2D0000}"/>
    <cellStyle name="Normal 2 2 2 2 2 2 25 9" xfId="11740" xr:uid="{00000000-0005-0000-0000-0000DC2D0000}"/>
    <cellStyle name="Normal 2 2 2 2 2 2 26" xfId="11741" xr:uid="{00000000-0005-0000-0000-0000DD2D0000}"/>
    <cellStyle name="Normal 2 2 2 2 2 2 26 10" xfId="11742" xr:uid="{00000000-0005-0000-0000-0000DE2D0000}"/>
    <cellStyle name="Normal 2 2 2 2 2 2 26 11" xfId="11743" xr:uid="{00000000-0005-0000-0000-0000DF2D0000}"/>
    <cellStyle name="Normal 2 2 2 2 2 2 26 12" xfId="11744" xr:uid="{00000000-0005-0000-0000-0000E02D0000}"/>
    <cellStyle name="Normal 2 2 2 2 2 2 26 13" xfId="11745" xr:uid="{00000000-0005-0000-0000-0000E12D0000}"/>
    <cellStyle name="Normal 2 2 2 2 2 2 26 14" xfId="11746" xr:uid="{00000000-0005-0000-0000-0000E22D0000}"/>
    <cellStyle name="Normal 2 2 2 2 2 2 26 2" xfId="11747" xr:uid="{00000000-0005-0000-0000-0000E32D0000}"/>
    <cellStyle name="Normal 2 2 2 2 2 2 26 2 10" xfId="11748" xr:uid="{00000000-0005-0000-0000-0000E42D0000}"/>
    <cellStyle name="Normal 2 2 2 2 2 2 26 2 2" xfId="11749" xr:uid="{00000000-0005-0000-0000-0000E52D0000}"/>
    <cellStyle name="Normal 2 2 2 2 2 2 26 2 3" xfId="11750" xr:uid="{00000000-0005-0000-0000-0000E62D0000}"/>
    <cellStyle name="Normal 2 2 2 2 2 2 26 2 4" xfId="11751" xr:uid="{00000000-0005-0000-0000-0000E72D0000}"/>
    <cellStyle name="Normal 2 2 2 2 2 2 26 2 5" xfId="11752" xr:uid="{00000000-0005-0000-0000-0000E82D0000}"/>
    <cellStyle name="Normal 2 2 2 2 2 2 26 2 6" xfId="11753" xr:uid="{00000000-0005-0000-0000-0000E92D0000}"/>
    <cellStyle name="Normal 2 2 2 2 2 2 26 2 7" xfId="11754" xr:uid="{00000000-0005-0000-0000-0000EA2D0000}"/>
    <cellStyle name="Normal 2 2 2 2 2 2 26 2 8" xfId="11755" xr:uid="{00000000-0005-0000-0000-0000EB2D0000}"/>
    <cellStyle name="Normal 2 2 2 2 2 2 26 2 9" xfId="11756" xr:uid="{00000000-0005-0000-0000-0000EC2D0000}"/>
    <cellStyle name="Normal 2 2 2 2 2 2 26 3" xfId="11757" xr:uid="{00000000-0005-0000-0000-0000ED2D0000}"/>
    <cellStyle name="Normal 2 2 2 2 2 2 26 3 10" xfId="11758" xr:uid="{00000000-0005-0000-0000-0000EE2D0000}"/>
    <cellStyle name="Normal 2 2 2 2 2 2 26 3 2" xfId="11759" xr:uid="{00000000-0005-0000-0000-0000EF2D0000}"/>
    <cellStyle name="Normal 2 2 2 2 2 2 26 3 3" xfId="11760" xr:uid="{00000000-0005-0000-0000-0000F02D0000}"/>
    <cellStyle name="Normal 2 2 2 2 2 2 26 3 4" xfId="11761" xr:uid="{00000000-0005-0000-0000-0000F12D0000}"/>
    <cellStyle name="Normal 2 2 2 2 2 2 26 3 5" xfId="11762" xr:uid="{00000000-0005-0000-0000-0000F22D0000}"/>
    <cellStyle name="Normal 2 2 2 2 2 2 26 3 6" xfId="11763" xr:uid="{00000000-0005-0000-0000-0000F32D0000}"/>
    <cellStyle name="Normal 2 2 2 2 2 2 26 3 7" xfId="11764" xr:uid="{00000000-0005-0000-0000-0000F42D0000}"/>
    <cellStyle name="Normal 2 2 2 2 2 2 26 3 8" xfId="11765" xr:uid="{00000000-0005-0000-0000-0000F52D0000}"/>
    <cellStyle name="Normal 2 2 2 2 2 2 26 3 9" xfId="11766" xr:uid="{00000000-0005-0000-0000-0000F62D0000}"/>
    <cellStyle name="Normal 2 2 2 2 2 2 26 4" xfId="11767" xr:uid="{00000000-0005-0000-0000-0000F72D0000}"/>
    <cellStyle name="Normal 2 2 2 2 2 2 26 4 10" xfId="11768" xr:uid="{00000000-0005-0000-0000-0000F82D0000}"/>
    <cellStyle name="Normal 2 2 2 2 2 2 26 4 2" xfId="11769" xr:uid="{00000000-0005-0000-0000-0000F92D0000}"/>
    <cellStyle name="Normal 2 2 2 2 2 2 26 4 3" xfId="11770" xr:uid="{00000000-0005-0000-0000-0000FA2D0000}"/>
    <cellStyle name="Normal 2 2 2 2 2 2 26 4 4" xfId="11771" xr:uid="{00000000-0005-0000-0000-0000FB2D0000}"/>
    <cellStyle name="Normal 2 2 2 2 2 2 26 4 5" xfId="11772" xr:uid="{00000000-0005-0000-0000-0000FC2D0000}"/>
    <cellStyle name="Normal 2 2 2 2 2 2 26 4 6" xfId="11773" xr:uid="{00000000-0005-0000-0000-0000FD2D0000}"/>
    <cellStyle name="Normal 2 2 2 2 2 2 26 4 7" xfId="11774" xr:uid="{00000000-0005-0000-0000-0000FE2D0000}"/>
    <cellStyle name="Normal 2 2 2 2 2 2 26 4 8" xfId="11775" xr:uid="{00000000-0005-0000-0000-0000FF2D0000}"/>
    <cellStyle name="Normal 2 2 2 2 2 2 26 4 9" xfId="11776" xr:uid="{00000000-0005-0000-0000-0000002E0000}"/>
    <cellStyle name="Normal 2 2 2 2 2 2 26 5" xfId="11777" xr:uid="{00000000-0005-0000-0000-0000012E0000}"/>
    <cellStyle name="Normal 2 2 2 2 2 2 26 5 10" xfId="11778" xr:uid="{00000000-0005-0000-0000-0000022E0000}"/>
    <cellStyle name="Normal 2 2 2 2 2 2 26 5 2" xfId="11779" xr:uid="{00000000-0005-0000-0000-0000032E0000}"/>
    <cellStyle name="Normal 2 2 2 2 2 2 26 5 3" xfId="11780" xr:uid="{00000000-0005-0000-0000-0000042E0000}"/>
    <cellStyle name="Normal 2 2 2 2 2 2 26 5 4" xfId="11781" xr:uid="{00000000-0005-0000-0000-0000052E0000}"/>
    <cellStyle name="Normal 2 2 2 2 2 2 26 5 5" xfId="11782" xr:uid="{00000000-0005-0000-0000-0000062E0000}"/>
    <cellStyle name="Normal 2 2 2 2 2 2 26 5 6" xfId="11783" xr:uid="{00000000-0005-0000-0000-0000072E0000}"/>
    <cellStyle name="Normal 2 2 2 2 2 2 26 5 7" xfId="11784" xr:uid="{00000000-0005-0000-0000-0000082E0000}"/>
    <cellStyle name="Normal 2 2 2 2 2 2 26 5 8" xfId="11785" xr:uid="{00000000-0005-0000-0000-0000092E0000}"/>
    <cellStyle name="Normal 2 2 2 2 2 2 26 5 9" xfId="11786" xr:uid="{00000000-0005-0000-0000-00000A2E0000}"/>
    <cellStyle name="Normal 2 2 2 2 2 2 26 6" xfId="11787" xr:uid="{00000000-0005-0000-0000-00000B2E0000}"/>
    <cellStyle name="Normal 2 2 2 2 2 2 26 7" xfId="11788" xr:uid="{00000000-0005-0000-0000-00000C2E0000}"/>
    <cellStyle name="Normal 2 2 2 2 2 2 26 8" xfId="11789" xr:uid="{00000000-0005-0000-0000-00000D2E0000}"/>
    <cellStyle name="Normal 2 2 2 2 2 2 26 9" xfId="11790" xr:uid="{00000000-0005-0000-0000-00000E2E0000}"/>
    <cellStyle name="Normal 2 2 2 2 2 2 27" xfId="11791" xr:uid="{00000000-0005-0000-0000-00000F2E0000}"/>
    <cellStyle name="Normal 2 2 2 2 2 2 27 10" xfId="11792" xr:uid="{00000000-0005-0000-0000-0000102E0000}"/>
    <cellStyle name="Normal 2 2 2 2 2 2 27 11" xfId="11793" xr:uid="{00000000-0005-0000-0000-0000112E0000}"/>
    <cellStyle name="Normal 2 2 2 2 2 2 27 12" xfId="11794" xr:uid="{00000000-0005-0000-0000-0000122E0000}"/>
    <cellStyle name="Normal 2 2 2 2 2 2 27 13" xfId="11795" xr:uid="{00000000-0005-0000-0000-0000132E0000}"/>
    <cellStyle name="Normal 2 2 2 2 2 2 27 14" xfId="11796" xr:uid="{00000000-0005-0000-0000-0000142E0000}"/>
    <cellStyle name="Normal 2 2 2 2 2 2 27 2" xfId="11797" xr:uid="{00000000-0005-0000-0000-0000152E0000}"/>
    <cellStyle name="Normal 2 2 2 2 2 2 27 2 10" xfId="11798" xr:uid="{00000000-0005-0000-0000-0000162E0000}"/>
    <cellStyle name="Normal 2 2 2 2 2 2 27 2 2" xfId="11799" xr:uid="{00000000-0005-0000-0000-0000172E0000}"/>
    <cellStyle name="Normal 2 2 2 2 2 2 27 2 3" xfId="11800" xr:uid="{00000000-0005-0000-0000-0000182E0000}"/>
    <cellStyle name="Normal 2 2 2 2 2 2 27 2 4" xfId="11801" xr:uid="{00000000-0005-0000-0000-0000192E0000}"/>
    <cellStyle name="Normal 2 2 2 2 2 2 27 2 5" xfId="11802" xr:uid="{00000000-0005-0000-0000-00001A2E0000}"/>
    <cellStyle name="Normal 2 2 2 2 2 2 27 2 6" xfId="11803" xr:uid="{00000000-0005-0000-0000-00001B2E0000}"/>
    <cellStyle name="Normal 2 2 2 2 2 2 27 2 7" xfId="11804" xr:uid="{00000000-0005-0000-0000-00001C2E0000}"/>
    <cellStyle name="Normal 2 2 2 2 2 2 27 2 8" xfId="11805" xr:uid="{00000000-0005-0000-0000-00001D2E0000}"/>
    <cellStyle name="Normal 2 2 2 2 2 2 27 2 9" xfId="11806" xr:uid="{00000000-0005-0000-0000-00001E2E0000}"/>
    <cellStyle name="Normal 2 2 2 2 2 2 27 3" xfId="11807" xr:uid="{00000000-0005-0000-0000-00001F2E0000}"/>
    <cellStyle name="Normal 2 2 2 2 2 2 27 3 10" xfId="11808" xr:uid="{00000000-0005-0000-0000-0000202E0000}"/>
    <cellStyle name="Normal 2 2 2 2 2 2 27 3 2" xfId="11809" xr:uid="{00000000-0005-0000-0000-0000212E0000}"/>
    <cellStyle name="Normal 2 2 2 2 2 2 27 3 3" xfId="11810" xr:uid="{00000000-0005-0000-0000-0000222E0000}"/>
    <cellStyle name="Normal 2 2 2 2 2 2 27 3 4" xfId="11811" xr:uid="{00000000-0005-0000-0000-0000232E0000}"/>
    <cellStyle name="Normal 2 2 2 2 2 2 27 3 5" xfId="11812" xr:uid="{00000000-0005-0000-0000-0000242E0000}"/>
    <cellStyle name="Normal 2 2 2 2 2 2 27 3 6" xfId="11813" xr:uid="{00000000-0005-0000-0000-0000252E0000}"/>
    <cellStyle name="Normal 2 2 2 2 2 2 27 3 7" xfId="11814" xr:uid="{00000000-0005-0000-0000-0000262E0000}"/>
    <cellStyle name="Normal 2 2 2 2 2 2 27 3 8" xfId="11815" xr:uid="{00000000-0005-0000-0000-0000272E0000}"/>
    <cellStyle name="Normal 2 2 2 2 2 2 27 3 9" xfId="11816" xr:uid="{00000000-0005-0000-0000-0000282E0000}"/>
    <cellStyle name="Normal 2 2 2 2 2 2 27 4" xfId="11817" xr:uid="{00000000-0005-0000-0000-0000292E0000}"/>
    <cellStyle name="Normal 2 2 2 2 2 2 27 4 10" xfId="11818" xr:uid="{00000000-0005-0000-0000-00002A2E0000}"/>
    <cellStyle name="Normal 2 2 2 2 2 2 27 4 2" xfId="11819" xr:uid="{00000000-0005-0000-0000-00002B2E0000}"/>
    <cellStyle name="Normal 2 2 2 2 2 2 27 4 3" xfId="11820" xr:uid="{00000000-0005-0000-0000-00002C2E0000}"/>
    <cellStyle name="Normal 2 2 2 2 2 2 27 4 4" xfId="11821" xr:uid="{00000000-0005-0000-0000-00002D2E0000}"/>
    <cellStyle name="Normal 2 2 2 2 2 2 27 4 5" xfId="11822" xr:uid="{00000000-0005-0000-0000-00002E2E0000}"/>
    <cellStyle name="Normal 2 2 2 2 2 2 27 4 6" xfId="11823" xr:uid="{00000000-0005-0000-0000-00002F2E0000}"/>
    <cellStyle name="Normal 2 2 2 2 2 2 27 4 7" xfId="11824" xr:uid="{00000000-0005-0000-0000-0000302E0000}"/>
    <cellStyle name="Normal 2 2 2 2 2 2 27 4 8" xfId="11825" xr:uid="{00000000-0005-0000-0000-0000312E0000}"/>
    <cellStyle name="Normal 2 2 2 2 2 2 27 4 9" xfId="11826" xr:uid="{00000000-0005-0000-0000-0000322E0000}"/>
    <cellStyle name="Normal 2 2 2 2 2 2 27 5" xfId="11827" xr:uid="{00000000-0005-0000-0000-0000332E0000}"/>
    <cellStyle name="Normal 2 2 2 2 2 2 27 5 10" xfId="11828" xr:uid="{00000000-0005-0000-0000-0000342E0000}"/>
    <cellStyle name="Normal 2 2 2 2 2 2 27 5 2" xfId="11829" xr:uid="{00000000-0005-0000-0000-0000352E0000}"/>
    <cellStyle name="Normal 2 2 2 2 2 2 27 5 3" xfId="11830" xr:uid="{00000000-0005-0000-0000-0000362E0000}"/>
    <cellStyle name="Normal 2 2 2 2 2 2 27 5 4" xfId="11831" xr:uid="{00000000-0005-0000-0000-0000372E0000}"/>
    <cellStyle name="Normal 2 2 2 2 2 2 27 5 5" xfId="11832" xr:uid="{00000000-0005-0000-0000-0000382E0000}"/>
    <cellStyle name="Normal 2 2 2 2 2 2 27 5 6" xfId="11833" xr:uid="{00000000-0005-0000-0000-0000392E0000}"/>
    <cellStyle name="Normal 2 2 2 2 2 2 27 5 7" xfId="11834" xr:uid="{00000000-0005-0000-0000-00003A2E0000}"/>
    <cellStyle name="Normal 2 2 2 2 2 2 27 5 8" xfId="11835" xr:uid="{00000000-0005-0000-0000-00003B2E0000}"/>
    <cellStyle name="Normal 2 2 2 2 2 2 27 5 9" xfId="11836" xr:uid="{00000000-0005-0000-0000-00003C2E0000}"/>
    <cellStyle name="Normal 2 2 2 2 2 2 27 6" xfId="11837" xr:uid="{00000000-0005-0000-0000-00003D2E0000}"/>
    <cellStyle name="Normal 2 2 2 2 2 2 27 7" xfId="11838" xr:uid="{00000000-0005-0000-0000-00003E2E0000}"/>
    <cellStyle name="Normal 2 2 2 2 2 2 27 8" xfId="11839" xr:uid="{00000000-0005-0000-0000-00003F2E0000}"/>
    <cellStyle name="Normal 2 2 2 2 2 2 27 9" xfId="11840" xr:uid="{00000000-0005-0000-0000-0000402E0000}"/>
    <cellStyle name="Normal 2 2 2 2 2 2 28" xfId="11841" xr:uid="{00000000-0005-0000-0000-0000412E0000}"/>
    <cellStyle name="Normal 2 2 2 2 2 2 28 10" xfId="11842" xr:uid="{00000000-0005-0000-0000-0000422E0000}"/>
    <cellStyle name="Normal 2 2 2 2 2 2 28 11" xfId="11843" xr:uid="{00000000-0005-0000-0000-0000432E0000}"/>
    <cellStyle name="Normal 2 2 2 2 2 2 28 12" xfId="11844" xr:uid="{00000000-0005-0000-0000-0000442E0000}"/>
    <cellStyle name="Normal 2 2 2 2 2 2 28 13" xfId="11845" xr:uid="{00000000-0005-0000-0000-0000452E0000}"/>
    <cellStyle name="Normal 2 2 2 2 2 2 28 14" xfId="11846" xr:uid="{00000000-0005-0000-0000-0000462E0000}"/>
    <cellStyle name="Normal 2 2 2 2 2 2 28 2" xfId="11847" xr:uid="{00000000-0005-0000-0000-0000472E0000}"/>
    <cellStyle name="Normal 2 2 2 2 2 2 28 2 10" xfId="11848" xr:uid="{00000000-0005-0000-0000-0000482E0000}"/>
    <cellStyle name="Normal 2 2 2 2 2 2 28 2 2" xfId="11849" xr:uid="{00000000-0005-0000-0000-0000492E0000}"/>
    <cellStyle name="Normal 2 2 2 2 2 2 28 2 3" xfId="11850" xr:uid="{00000000-0005-0000-0000-00004A2E0000}"/>
    <cellStyle name="Normal 2 2 2 2 2 2 28 2 4" xfId="11851" xr:uid="{00000000-0005-0000-0000-00004B2E0000}"/>
    <cellStyle name="Normal 2 2 2 2 2 2 28 2 5" xfId="11852" xr:uid="{00000000-0005-0000-0000-00004C2E0000}"/>
    <cellStyle name="Normal 2 2 2 2 2 2 28 2 6" xfId="11853" xr:uid="{00000000-0005-0000-0000-00004D2E0000}"/>
    <cellStyle name="Normal 2 2 2 2 2 2 28 2 7" xfId="11854" xr:uid="{00000000-0005-0000-0000-00004E2E0000}"/>
    <cellStyle name="Normal 2 2 2 2 2 2 28 2 8" xfId="11855" xr:uid="{00000000-0005-0000-0000-00004F2E0000}"/>
    <cellStyle name="Normal 2 2 2 2 2 2 28 2 9" xfId="11856" xr:uid="{00000000-0005-0000-0000-0000502E0000}"/>
    <cellStyle name="Normal 2 2 2 2 2 2 28 3" xfId="11857" xr:uid="{00000000-0005-0000-0000-0000512E0000}"/>
    <cellStyle name="Normal 2 2 2 2 2 2 28 3 10" xfId="11858" xr:uid="{00000000-0005-0000-0000-0000522E0000}"/>
    <cellStyle name="Normal 2 2 2 2 2 2 28 3 2" xfId="11859" xr:uid="{00000000-0005-0000-0000-0000532E0000}"/>
    <cellStyle name="Normal 2 2 2 2 2 2 28 3 3" xfId="11860" xr:uid="{00000000-0005-0000-0000-0000542E0000}"/>
    <cellStyle name="Normal 2 2 2 2 2 2 28 3 4" xfId="11861" xr:uid="{00000000-0005-0000-0000-0000552E0000}"/>
    <cellStyle name="Normal 2 2 2 2 2 2 28 3 5" xfId="11862" xr:uid="{00000000-0005-0000-0000-0000562E0000}"/>
    <cellStyle name="Normal 2 2 2 2 2 2 28 3 6" xfId="11863" xr:uid="{00000000-0005-0000-0000-0000572E0000}"/>
    <cellStyle name="Normal 2 2 2 2 2 2 28 3 7" xfId="11864" xr:uid="{00000000-0005-0000-0000-0000582E0000}"/>
    <cellStyle name="Normal 2 2 2 2 2 2 28 3 8" xfId="11865" xr:uid="{00000000-0005-0000-0000-0000592E0000}"/>
    <cellStyle name="Normal 2 2 2 2 2 2 28 3 9" xfId="11866" xr:uid="{00000000-0005-0000-0000-00005A2E0000}"/>
    <cellStyle name="Normal 2 2 2 2 2 2 28 4" xfId="11867" xr:uid="{00000000-0005-0000-0000-00005B2E0000}"/>
    <cellStyle name="Normal 2 2 2 2 2 2 28 4 10" xfId="11868" xr:uid="{00000000-0005-0000-0000-00005C2E0000}"/>
    <cellStyle name="Normal 2 2 2 2 2 2 28 4 2" xfId="11869" xr:uid="{00000000-0005-0000-0000-00005D2E0000}"/>
    <cellStyle name="Normal 2 2 2 2 2 2 28 4 3" xfId="11870" xr:uid="{00000000-0005-0000-0000-00005E2E0000}"/>
    <cellStyle name="Normal 2 2 2 2 2 2 28 4 4" xfId="11871" xr:uid="{00000000-0005-0000-0000-00005F2E0000}"/>
    <cellStyle name="Normal 2 2 2 2 2 2 28 4 5" xfId="11872" xr:uid="{00000000-0005-0000-0000-0000602E0000}"/>
    <cellStyle name="Normal 2 2 2 2 2 2 28 4 6" xfId="11873" xr:uid="{00000000-0005-0000-0000-0000612E0000}"/>
    <cellStyle name="Normal 2 2 2 2 2 2 28 4 7" xfId="11874" xr:uid="{00000000-0005-0000-0000-0000622E0000}"/>
    <cellStyle name="Normal 2 2 2 2 2 2 28 4 8" xfId="11875" xr:uid="{00000000-0005-0000-0000-0000632E0000}"/>
    <cellStyle name="Normal 2 2 2 2 2 2 28 4 9" xfId="11876" xr:uid="{00000000-0005-0000-0000-0000642E0000}"/>
    <cellStyle name="Normal 2 2 2 2 2 2 28 5" xfId="11877" xr:uid="{00000000-0005-0000-0000-0000652E0000}"/>
    <cellStyle name="Normal 2 2 2 2 2 2 28 5 10" xfId="11878" xr:uid="{00000000-0005-0000-0000-0000662E0000}"/>
    <cellStyle name="Normal 2 2 2 2 2 2 28 5 2" xfId="11879" xr:uid="{00000000-0005-0000-0000-0000672E0000}"/>
    <cellStyle name="Normal 2 2 2 2 2 2 28 5 3" xfId="11880" xr:uid="{00000000-0005-0000-0000-0000682E0000}"/>
    <cellStyle name="Normal 2 2 2 2 2 2 28 5 4" xfId="11881" xr:uid="{00000000-0005-0000-0000-0000692E0000}"/>
    <cellStyle name="Normal 2 2 2 2 2 2 28 5 5" xfId="11882" xr:uid="{00000000-0005-0000-0000-00006A2E0000}"/>
    <cellStyle name="Normal 2 2 2 2 2 2 28 5 6" xfId="11883" xr:uid="{00000000-0005-0000-0000-00006B2E0000}"/>
    <cellStyle name="Normal 2 2 2 2 2 2 28 5 7" xfId="11884" xr:uid="{00000000-0005-0000-0000-00006C2E0000}"/>
    <cellStyle name="Normal 2 2 2 2 2 2 28 5 8" xfId="11885" xr:uid="{00000000-0005-0000-0000-00006D2E0000}"/>
    <cellStyle name="Normal 2 2 2 2 2 2 28 5 9" xfId="11886" xr:uid="{00000000-0005-0000-0000-00006E2E0000}"/>
    <cellStyle name="Normal 2 2 2 2 2 2 28 6" xfId="11887" xr:uid="{00000000-0005-0000-0000-00006F2E0000}"/>
    <cellStyle name="Normal 2 2 2 2 2 2 28 7" xfId="11888" xr:uid="{00000000-0005-0000-0000-0000702E0000}"/>
    <cellStyle name="Normal 2 2 2 2 2 2 28 8" xfId="11889" xr:uid="{00000000-0005-0000-0000-0000712E0000}"/>
    <cellStyle name="Normal 2 2 2 2 2 2 28 9" xfId="11890" xr:uid="{00000000-0005-0000-0000-0000722E0000}"/>
    <cellStyle name="Normal 2 2 2 2 2 2 29" xfId="11891" xr:uid="{00000000-0005-0000-0000-0000732E0000}"/>
    <cellStyle name="Normal 2 2 2 2 2 2 29 10" xfId="11892" xr:uid="{00000000-0005-0000-0000-0000742E0000}"/>
    <cellStyle name="Normal 2 2 2 2 2 2 29 11" xfId="11893" xr:uid="{00000000-0005-0000-0000-0000752E0000}"/>
    <cellStyle name="Normal 2 2 2 2 2 2 29 12" xfId="11894" xr:uid="{00000000-0005-0000-0000-0000762E0000}"/>
    <cellStyle name="Normal 2 2 2 2 2 2 29 13" xfId="11895" xr:uid="{00000000-0005-0000-0000-0000772E0000}"/>
    <cellStyle name="Normal 2 2 2 2 2 2 29 14" xfId="11896" xr:uid="{00000000-0005-0000-0000-0000782E0000}"/>
    <cellStyle name="Normal 2 2 2 2 2 2 29 2" xfId="11897" xr:uid="{00000000-0005-0000-0000-0000792E0000}"/>
    <cellStyle name="Normal 2 2 2 2 2 2 29 2 10" xfId="11898" xr:uid="{00000000-0005-0000-0000-00007A2E0000}"/>
    <cellStyle name="Normal 2 2 2 2 2 2 29 2 2" xfId="11899" xr:uid="{00000000-0005-0000-0000-00007B2E0000}"/>
    <cellStyle name="Normal 2 2 2 2 2 2 29 2 3" xfId="11900" xr:uid="{00000000-0005-0000-0000-00007C2E0000}"/>
    <cellStyle name="Normal 2 2 2 2 2 2 29 2 4" xfId="11901" xr:uid="{00000000-0005-0000-0000-00007D2E0000}"/>
    <cellStyle name="Normal 2 2 2 2 2 2 29 2 5" xfId="11902" xr:uid="{00000000-0005-0000-0000-00007E2E0000}"/>
    <cellStyle name="Normal 2 2 2 2 2 2 29 2 6" xfId="11903" xr:uid="{00000000-0005-0000-0000-00007F2E0000}"/>
    <cellStyle name="Normal 2 2 2 2 2 2 29 2 7" xfId="11904" xr:uid="{00000000-0005-0000-0000-0000802E0000}"/>
    <cellStyle name="Normal 2 2 2 2 2 2 29 2 8" xfId="11905" xr:uid="{00000000-0005-0000-0000-0000812E0000}"/>
    <cellStyle name="Normal 2 2 2 2 2 2 29 2 9" xfId="11906" xr:uid="{00000000-0005-0000-0000-0000822E0000}"/>
    <cellStyle name="Normal 2 2 2 2 2 2 29 3" xfId="11907" xr:uid="{00000000-0005-0000-0000-0000832E0000}"/>
    <cellStyle name="Normal 2 2 2 2 2 2 29 3 10" xfId="11908" xr:uid="{00000000-0005-0000-0000-0000842E0000}"/>
    <cellStyle name="Normal 2 2 2 2 2 2 29 3 2" xfId="11909" xr:uid="{00000000-0005-0000-0000-0000852E0000}"/>
    <cellStyle name="Normal 2 2 2 2 2 2 29 3 3" xfId="11910" xr:uid="{00000000-0005-0000-0000-0000862E0000}"/>
    <cellStyle name="Normal 2 2 2 2 2 2 29 3 4" xfId="11911" xr:uid="{00000000-0005-0000-0000-0000872E0000}"/>
    <cellStyle name="Normal 2 2 2 2 2 2 29 3 5" xfId="11912" xr:uid="{00000000-0005-0000-0000-0000882E0000}"/>
    <cellStyle name="Normal 2 2 2 2 2 2 29 3 6" xfId="11913" xr:uid="{00000000-0005-0000-0000-0000892E0000}"/>
    <cellStyle name="Normal 2 2 2 2 2 2 29 3 7" xfId="11914" xr:uid="{00000000-0005-0000-0000-00008A2E0000}"/>
    <cellStyle name="Normal 2 2 2 2 2 2 29 3 8" xfId="11915" xr:uid="{00000000-0005-0000-0000-00008B2E0000}"/>
    <cellStyle name="Normal 2 2 2 2 2 2 29 3 9" xfId="11916" xr:uid="{00000000-0005-0000-0000-00008C2E0000}"/>
    <cellStyle name="Normal 2 2 2 2 2 2 29 4" xfId="11917" xr:uid="{00000000-0005-0000-0000-00008D2E0000}"/>
    <cellStyle name="Normal 2 2 2 2 2 2 29 4 10" xfId="11918" xr:uid="{00000000-0005-0000-0000-00008E2E0000}"/>
    <cellStyle name="Normal 2 2 2 2 2 2 29 4 2" xfId="11919" xr:uid="{00000000-0005-0000-0000-00008F2E0000}"/>
    <cellStyle name="Normal 2 2 2 2 2 2 29 4 3" xfId="11920" xr:uid="{00000000-0005-0000-0000-0000902E0000}"/>
    <cellStyle name="Normal 2 2 2 2 2 2 29 4 4" xfId="11921" xr:uid="{00000000-0005-0000-0000-0000912E0000}"/>
    <cellStyle name="Normal 2 2 2 2 2 2 29 4 5" xfId="11922" xr:uid="{00000000-0005-0000-0000-0000922E0000}"/>
    <cellStyle name="Normal 2 2 2 2 2 2 29 4 6" xfId="11923" xr:uid="{00000000-0005-0000-0000-0000932E0000}"/>
    <cellStyle name="Normal 2 2 2 2 2 2 29 4 7" xfId="11924" xr:uid="{00000000-0005-0000-0000-0000942E0000}"/>
    <cellStyle name="Normal 2 2 2 2 2 2 29 4 8" xfId="11925" xr:uid="{00000000-0005-0000-0000-0000952E0000}"/>
    <cellStyle name="Normal 2 2 2 2 2 2 29 4 9" xfId="11926" xr:uid="{00000000-0005-0000-0000-0000962E0000}"/>
    <cellStyle name="Normal 2 2 2 2 2 2 29 5" xfId="11927" xr:uid="{00000000-0005-0000-0000-0000972E0000}"/>
    <cellStyle name="Normal 2 2 2 2 2 2 29 5 10" xfId="11928" xr:uid="{00000000-0005-0000-0000-0000982E0000}"/>
    <cellStyle name="Normal 2 2 2 2 2 2 29 5 2" xfId="11929" xr:uid="{00000000-0005-0000-0000-0000992E0000}"/>
    <cellStyle name="Normal 2 2 2 2 2 2 29 5 3" xfId="11930" xr:uid="{00000000-0005-0000-0000-00009A2E0000}"/>
    <cellStyle name="Normal 2 2 2 2 2 2 29 5 4" xfId="11931" xr:uid="{00000000-0005-0000-0000-00009B2E0000}"/>
    <cellStyle name="Normal 2 2 2 2 2 2 29 5 5" xfId="11932" xr:uid="{00000000-0005-0000-0000-00009C2E0000}"/>
    <cellStyle name="Normal 2 2 2 2 2 2 29 5 6" xfId="11933" xr:uid="{00000000-0005-0000-0000-00009D2E0000}"/>
    <cellStyle name="Normal 2 2 2 2 2 2 29 5 7" xfId="11934" xr:uid="{00000000-0005-0000-0000-00009E2E0000}"/>
    <cellStyle name="Normal 2 2 2 2 2 2 29 5 8" xfId="11935" xr:uid="{00000000-0005-0000-0000-00009F2E0000}"/>
    <cellStyle name="Normal 2 2 2 2 2 2 29 5 9" xfId="11936" xr:uid="{00000000-0005-0000-0000-0000A02E0000}"/>
    <cellStyle name="Normal 2 2 2 2 2 2 29 6" xfId="11937" xr:uid="{00000000-0005-0000-0000-0000A12E0000}"/>
    <cellStyle name="Normal 2 2 2 2 2 2 29 7" xfId="11938" xr:uid="{00000000-0005-0000-0000-0000A22E0000}"/>
    <cellStyle name="Normal 2 2 2 2 2 2 29 8" xfId="11939" xr:uid="{00000000-0005-0000-0000-0000A32E0000}"/>
    <cellStyle name="Normal 2 2 2 2 2 2 29 9" xfId="11940" xr:uid="{00000000-0005-0000-0000-0000A42E0000}"/>
    <cellStyle name="Normal 2 2 2 2 2 2 3" xfId="11941" xr:uid="{00000000-0005-0000-0000-0000A52E0000}"/>
    <cellStyle name="Normal 2 2 2 2 2 2 3 10" xfId="11942" xr:uid="{00000000-0005-0000-0000-0000A62E0000}"/>
    <cellStyle name="Normal 2 2 2 2 2 2 3 11" xfId="11943" xr:uid="{00000000-0005-0000-0000-0000A72E0000}"/>
    <cellStyle name="Normal 2 2 2 2 2 2 3 12" xfId="11944" xr:uid="{00000000-0005-0000-0000-0000A82E0000}"/>
    <cellStyle name="Normal 2 2 2 2 2 2 3 13" xfId="11945" xr:uid="{00000000-0005-0000-0000-0000A92E0000}"/>
    <cellStyle name="Normal 2 2 2 2 2 2 3 14" xfId="11946" xr:uid="{00000000-0005-0000-0000-0000AA2E0000}"/>
    <cellStyle name="Normal 2 2 2 2 2 2 3 15" xfId="11947" xr:uid="{00000000-0005-0000-0000-0000AB2E0000}"/>
    <cellStyle name="Normal 2 2 2 2 2 2 3 16" xfId="11948" xr:uid="{00000000-0005-0000-0000-0000AC2E0000}"/>
    <cellStyle name="Normal 2 2 2 2 2 2 3 2" xfId="11949" xr:uid="{00000000-0005-0000-0000-0000AD2E0000}"/>
    <cellStyle name="Normal 2 2 2 2 2 2 3 2 10" xfId="11950" xr:uid="{00000000-0005-0000-0000-0000AE2E0000}"/>
    <cellStyle name="Normal 2 2 2 2 2 2 3 2 2" xfId="11951" xr:uid="{00000000-0005-0000-0000-0000AF2E0000}"/>
    <cellStyle name="Normal 2 2 2 2 2 2 3 2 3" xfId="11952" xr:uid="{00000000-0005-0000-0000-0000B02E0000}"/>
    <cellStyle name="Normal 2 2 2 2 2 2 3 2 4" xfId="11953" xr:uid="{00000000-0005-0000-0000-0000B12E0000}"/>
    <cellStyle name="Normal 2 2 2 2 2 2 3 2 5" xfId="11954" xr:uid="{00000000-0005-0000-0000-0000B22E0000}"/>
    <cellStyle name="Normal 2 2 2 2 2 2 3 2 6" xfId="11955" xr:uid="{00000000-0005-0000-0000-0000B32E0000}"/>
    <cellStyle name="Normal 2 2 2 2 2 2 3 2 7" xfId="11956" xr:uid="{00000000-0005-0000-0000-0000B42E0000}"/>
    <cellStyle name="Normal 2 2 2 2 2 2 3 2 8" xfId="11957" xr:uid="{00000000-0005-0000-0000-0000B52E0000}"/>
    <cellStyle name="Normal 2 2 2 2 2 2 3 2 9" xfId="11958" xr:uid="{00000000-0005-0000-0000-0000B62E0000}"/>
    <cellStyle name="Normal 2 2 2 2 2 2 3 3" xfId="11959" xr:uid="{00000000-0005-0000-0000-0000B72E0000}"/>
    <cellStyle name="Normal 2 2 2 2 2 2 3 3 10" xfId="11960" xr:uid="{00000000-0005-0000-0000-0000B82E0000}"/>
    <cellStyle name="Normal 2 2 2 2 2 2 3 3 2" xfId="11961" xr:uid="{00000000-0005-0000-0000-0000B92E0000}"/>
    <cellStyle name="Normal 2 2 2 2 2 2 3 3 3" xfId="11962" xr:uid="{00000000-0005-0000-0000-0000BA2E0000}"/>
    <cellStyle name="Normal 2 2 2 2 2 2 3 3 4" xfId="11963" xr:uid="{00000000-0005-0000-0000-0000BB2E0000}"/>
    <cellStyle name="Normal 2 2 2 2 2 2 3 3 5" xfId="11964" xr:uid="{00000000-0005-0000-0000-0000BC2E0000}"/>
    <cellStyle name="Normal 2 2 2 2 2 2 3 3 6" xfId="11965" xr:uid="{00000000-0005-0000-0000-0000BD2E0000}"/>
    <cellStyle name="Normal 2 2 2 2 2 2 3 3 7" xfId="11966" xr:uid="{00000000-0005-0000-0000-0000BE2E0000}"/>
    <cellStyle name="Normal 2 2 2 2 2 2 3 3 8" xfId="11967" xr:uid="{00000000-0005-0000-0000-0000BF2E0000}"/>
    <cellStyle name="Normal 2 2 2 2 2 2 3 3 9" xfId="11968" xr:uid="{00000000-0005-0000-0000-0000C02E0000}"/>
    <cellStyle name="Normal 2 2 2 2 2 2 3 4" xfId="11969" xr:uid="{00000000-0005-0000-0000-0000C12E0000}"/>
    <cellStyle name="Normal 2 2 2 2 2 2 3 4 10" xfId="11970" xr:uid="{00000000-0005-0000-0000-0000C22E0000}"/>
    <cellStyle name="Normal 2 2 2 2 2 2 3 4 2" xfId="11971" xr:uid="{00000000-0005-0000-0000-0000C32E0000}"/>
    <cellStyle name="Normal 2 2 2 2 2 2 3 4 3" xfId="11972" xr:uid="{00000000-0005-0000-0000-0000C42E0000}"/>
    <cellStyle name="Normal 2 2 2 2 2 2 3 4 4" xfId="11973" xr:uid="{00000000-0005-0000-0000-0000C52E0000}"/>
    <cellStyle name="Normal 2 2 2 2 2 2 3 4 5" xfId="11974" xr:uid="{00000000-0005-0000-0000-0000C62E0000}"/>
    <cellStyle name="Normal 2 2 2 2 2 2 3 4 6" xfId="11975" xr:uid="{00000000-0005-0000-0000-0000C72E0000}"/>
    <cellStyle name="Normal 2 2 2 2 2 2 3 4 7" xfId="11976" xr:uid="{00000000-0005-0000-0000-0000C82E0000}"/>
    <cellStyle name="Normal 2 2 2 2 2 2 3 4 8" xfId="11977" xr:uid="{00000000-0005-0000-0000-0000C92E0000}"/>
    <cellStyle name="Normal 2 2 2 2 2 2 3 4 9" xfId="11978" xr:uid="{00000000-0005-0000-0000-0000CA2E0000}"/>
    <cellStyle name="Normal 2 2 2 2 2 2 3 5" xfId="11979" xr:uid="{00000000-0005-0000-0000-0000CB2E0000}"/>
    <cellStyle name="Normal 2 2 2 2 2 2 3 5 10" xfId="11980" xr:uid="{00000000-0005-0000-0000-0000CC2E0000}"/>
    <cellStyle name="Normal 2 2 2 2 2 2 3 5 2" xfId="11981" xr:uid="{00000000-0005-0000-0000-0000CD2E0000}"/>
    <cellStyle name="Normal 2 2 2 2 2 2 3 5 3" xfId="11982" xr:uid="{00000000-0005-0000-0000-0000CE2E0000}"/>
    <cellStyle name="Normal 2 2 2 2 2 2 3 5 4" xfId="11983" xr:uid="{00000000-0005-0000-0000-0000CF2E0000}"/>
    <cellStyle name="Normal 2 2 2 2 2 2 3 5 5" xfId="11984" xr:uid="{00000000-0005-0000-0000-0000D02E0000}"/>
    <cellStyle name="Normal 2 2 2 2 2 2 3 5 6" xfId="11985" xr:uid="{00000000-0005-0000-0000-0000D12E0000}"/>
    <cellStyle name="Normal 2 2 2 2 2 2 3 5 7" xfId="11986" xr:uid="{00000000-0005-0000-0000-0000D22E0000}"/>
    <cellStyle name="Normal 2 2 2 2 2 2 3 5 8" xfId="11987" xr:uid="{00000000-0005-0000-0000-0000D32E0000}"/>
    <cellStyle name="Normal 2 2 2 2 2 2 3 5 9" xfId="11988" xr:uid="{00000000-0005-0000-0000-0000D42E0000}"/>
    <cellStyle name="Normal 2 2 2 2 2 2 3 6" xfId="11989" xr:uid="{00000000-0005-0000-0000-0000D52E0000}"/>
    <cellStyle name="Normal 2 2 2 2 2 2 3 7" xfId="11990" xr:uid="{00000000-0005-0000-0000-0000D62E0000}"/>
    <cellStyle name="Normal 2 2 2 2 2 2 3 8" xfId="11991" xr:uid="{00000000-0005-0000-0000-0000D72E0000}"/>
    <cellStyle name="Normal 2 2 2 2 2 2 3 9" xfId="11992" xr:uid="{00000000-0005-0000-0000-0000D82E0000}"/>
    <cellStyle name="Normal 2 2 2 2 2 2 30" xfId="11993" xr:uid="{00000000-0005-0000-0000-0000D92E0000}"/>
    <cellStyle name="Normal 2 2 2 2 2 2 30 10" xfId="11994" xr:uid="{00000000-0005-0000-0000-0000DA2E0000}"/>
    <cellStyle name="Normal 2 2 2 2 2 2 30 11" xfId="11995" xr:uid="{00000000-0005-0000-0000-0000DB2E0000}"/>
    <cellStyle name="Normal 2 2 2 2 2 2 30 12" xfId="11996" xr:uid="{00000000-0005-0000-0000-0000DC2E0000}"/>
    <cellStyle name="Normal 2 2 2 2 2 2 30 13" xfId="11997" xr:uid="{00000000-0005-0000-0000-0000DD2E0000}"/>
    <cellStyle name="Normal 2 2 2 2 2 2 30 14" xfId="11998" xr:uid="{00000000-0005-0000-0000-0000DE2E0000}"/>
    <cellStyle name="Normal 2 2 2 2 2 2 30 2" xfId="11999" xr:uid="{00000000-0005-0000-0000-0000DF2E0000}"/>
    <cellStyle name="Normal 2 2 2 2 2 2 30 2 10" xfId="12000" xr:uid="{00000000-0005-0000-0000-0000E02E0000}"/>
    <cellStyle name="Normal 2 2 2 2 2 2 30 2 2" xfId="12001" xr:uid="{00000000-0005-0000-0000-0000E12E0000}"/>
    <cellStyle name="Normal 2 2 2 2 2 2 30 2 3" xfId="12002" xr:uid="{00000000-0005-0000-0000-0000E22E0000}"/>
    <cellStyle name="Normal 2 2 2 2 2 2 30 2 4" xfId="12003" xr:uid="{00000000-0005-0000-0000-0000E32E0000}"/>
    <cellStyle name="Normal 2 2 2 2 2 2 30 2 5" xfId="12004" xr:uid="{00000000-0005-0000-0000-0000E42E0000}"/>
    <cellStyle name="Normal 2 2 2 2 2 2 30 2 6" xfId="12005" xr:uid="{00000000-0005-0000-0000-0000E52E0000}"/>
    <cellStyle name="Normal 2 2 2 2 2 2 30 2 7" xfId="12006" xr:uid="{00000000-0005-0000-0000-0000E62E0000}"/>
    <cellStyle name="Normal 2 2 2 2 2 2 30 2 8" xfId="12007" xr:uid="{00000000-0005-0000-0000-0000E72E0000}"/>
    <cellStyle name="Normal 2 2 2 2 2 2 30 2 9" xfId="12008" xr:uid="{00000000-0005-0000-0000-0000E82E0000}"/>
    <cellStyle name="Normal 2 2 2 2 2 2 30 3" xfId="12009" xr:uid="{00000000-0005-0000-0000-0000E92E0000}"/>
    <cellStyle name="Normal 2 2 2 2 2 2 30 3 10" xfId="12010" xr:uid="{00000000-0005-0000-0000-0000EA2E0000}"/>
    <cellStyle name="Normal 2 2 2 2 2 2 30 3 2" xfId="12011" xr:uid="{00000000-0005-0000-0000-0000EB2E0000}"/>
    <cellStyle name="Normal 2 2 2 2 2 2 30 3 3" xfId="12012" xr:uid="{00000000-0005-0000-0000-0000EC2E0000}"/>
    <cellStyle name="Normal 2 2 2 2 2 2 30 3 4" xfId="12013" xr:uid="{00000000-0005-0000-0000-0000ED2E0000}"/>
    <cellStyle name="Normal 2 2 2 2 2 2 30 3 5" xfId="12014" xr:uid="{00000000-0005-0000-0000-0000EE2E0000}"/>
    <cellStyle name="Normal 2 2 2 2 2 2 30 3 6" xfId="12015" xr:uid="{00000000-0005-0000-0000-0000EF2E0000}"/>
    <cellStyle name="Normal 2 2 2 2 2 2 30 3 7" xfId="12016" xr:uid="{00000000-0005-0000-0000-0000F02E0000}"/>
    <cellStyle name="Normal 2 2 2 2 2 2 30 3 8" xfId="12017" xr:uid="{00000000-0005-0000-0000-0000F12E0000}"/>
    <cellStyle name="Normal 2 2 2 2 2 2 30 3 9" xfId="12018" xr:uid="{00000000-0005-0000-0000-0000F22E0000}"/>
    <cellStyle name="Normal 2 2 2 2 2 2 30 4" xfId="12019" xr:uid="{00000000-0005-0000-0000-0000F32E0000}"/>
    <cellStyle name="Normal 2 2 2 2 2 2 30 4 10" xfId="12020" xr:uid="{00000000-0005-0000-0000-0000F42E0000}"/>
    <cellStyle name="Normal 2 2 2 2 2 2 30 4 2" xfId="12021" xr:uid="{00000000-0005-0000-0000-0000F52E0000}"/>
    <cellStyle name="Normal 2 2 2 2 2 2 30 4 3" xfId="12022" xr:uid="{00000000-0005-0000-0000-0000F62E0000}"/>
    <cellStyle name="Normal 2 2 2 2 2 2 30 4 4" xfId="12023" xr:uid="{00000000-0005-0000-0000-0000F72E0000}"/>
    <cellStyle name="Normal 2 2 2 2 2 2 30 4 5" xfId="12024" xr:uid="{00000000-0005-0000-0000-0000F82E0000}"/>
    <cellStyle name="Normal 2 2 2 2 2 2 30 4 6" xfId="12025" xr:uid="{00000000-0005-0000-0000-0000F92E0000}"/>
    <cellStyle name="Normal 2 2 2 2 2 2 30 4 7" xfId="12026" xr:uid="{00000000-0005-0000-0000-0000FA2E0000}"/>
    <cellStyle name="Normal 2 2 2 2 2 2 30 4 8" xfId="12027" xr:uid="{00000000-0005-0000-0000-0000FB2E0000}"/>
    <cellStyle name="Normal 2 2 2 2 2 2 30 4 9" xfId="12028" xr:uid="{00000000-0005-0000-0000-0000FC2E0000}"/>
    <cellStyle name="Normal 2 2 2 2 2 2 30 5" xfId="12029" xr:uid="{00000000-0005-0000-0000-0000FD2E0000}"/>
    <cellStyle name="Normal 2 2 2 2 2 2 30 5 10" xfId="12030" xr:uid="{00000000-0005-0000-0000-0000FE2E0000}"/>
    <cellStyle name="Normal 2 2 2 2 2 2 30 5 2" xfId="12031" xr:uid="{00000000-0005-0000-0000-0000FF2E0000}"/>
    <cellStyle name="Normal 2 2 2 2 2 2 30 5 3" xfId="12032" xr:uid="{00000000-0005-0000-0000-0000002F0000}"/>
    <cellStyle name="Normal 2 2 2 2 2 2 30 5 4" xfId="12033" xr:uid="{00000000-0005-0000-0000-0000012F0000}"/>
    <cellStyle name="Normal 2 2 2 2 2 2 30 5 5" xfId="12034" xr:uid="{00000000-0005-0000-0000-0000022F0000}"/>
    <cellStyle name="Normal 2 2 2 2 2 2 30 5 6" xfId="12035" xr:uid="{00000000-0005-0000-0000-0000032F0000}"/>
    <cellStyle name="Normal 2 2 2 2 2 2 30 5 7" xfId="12036" xr:uid="{00000000-0005-0000-0000-0000042F0000}"/>
    <cellStyle name="Normal 2 2 2 2 2 2 30 5 8" xfId="12037" xr:uid="{00000000-0005-0000-0000-0000052F0000}"/>
    <cellStyle name="Normal 2 2 2 2 2 2 30 5 9" xfId="12038" xr:uid="{00000000-0005-0000-0000-0000062F0000}"/>
    <cellStyle name="Normal 2 2 2 2 2 2 30 6" xfId="12039" xr:uid="{00000000-0005-0000-0000-0000072F0000}"/>
    <cellStyle name="Normal 2 2 2 2 2 2 30 7" xfId="12040" xr:uid="{00000000-0005-0000-0000-0000082F0000}"/>
    <cellStyle name="Normal 2 2 2 2 2 2 30 8" xfId="12041" xr:uid="{00000000-0005-0000-0000-0000092F0000}"/>
    <cellStyle name="Normal 2 2 2 2 2 2 30 9" xfId="12042" xr:uid="{00000000-0005-0000-0000-00000A2F0000}"/>
    <cellStyle name="Normal 2 2 2 2 2 2 31" xfId="12043" xr:uid="{00000000-0005-0000-0000-00000B2F0000}"/>
    <cellStyle name="Normal 2 2 2 2 2 2 31 10" xfId="12044" xr:uid="{00000000-0005-0000-0000-00000C2F0000}"/>
    <cellStyle name="Normal 2 2 2 2 2 2 31 11" xfId="12045" xr:uid="{00000000-0005-0000-0000-00000D2F0000}"/>
    <cellStyle name="Normal 2 2 2 2 2 2 31 12" xfId="12046" xr:uid="{00000000-0005-0000-0000-00000E2F0000}"/>
    <cellStyle name="Normal 2 2 2 2 2 2 31 13" xfId="12047" xr:uid="{00000000-0005-0000-0000-00000F2F0000}"/>
    <cellStyle name="Normal 2 2 2 2 2 2 31 14" xfId="12048" xr:uid="{00000000-0005-0000-0000-0000102F0000}"/>
    <cellStyle name="Normal 2 2 2 2 2 2 31 2" xfId="12049" xr:uid="{00000000-0005-0000-0000-0000112F0000}"/>
    <cellStyle name="Normal 2 2 2 2 2 2 31 2 10" xfId="12050" xr:uid="{00000000-0005-0000-0000-0000122F0000}"/>
    <cellStyle name="Normal 2 2 2 2 2 2 31 2 2" xfId="12051" xr:uid="{00000000-0005-0000-0000-0000132F0000}"/>
    <cellStyle name="Normal 2 2 2 2 2 2 31 2 3" xfId="12052" xr:uid="{00000000-0005-0000-0000-0000142F0000}"/>
    <cellStyle name="Normal 2 2 2 2 2 2 31 2 4" xfId="12053" xr:uid="{00000000-0005-0000-0000-0000152F0000}"/>
    <cellStyle name="Normal 2 2 2 2 2 2 31 2 5" xfId="12054" xr:uid="{00000000-0005-0000-0000-0000162F0000}"/>
    <cellStyle name="Normal 2 2 2 2 2 2 31 2 6" xfId="12055" xr:uid="{00000000-0005-0000-0000-0000172F0000}"/>
    <cellStyle name="Normal 2 2 2 2 2 2 31 2 7" xfId="12056" xr:uid="{00000000-0005-0000-0000-0000182F0000}"/>
    <cellStyle name="Normal 2 2 2 2 2 2 31 2 8" xfId="12057" xr:uid="{00000000-0005-0000-0000-0000192F0000}"/>
    <cellStyle name="Normal 2 2 2 2 2 2 31 2 9" xfId="12058" xr:uid="{00000000-0005-0000-0000-00001A2F0000}"/>
    <cellStyle name="Normal 2 2 2 2 2 2 31 3" xfId="12059" xr:uid="{00000000-0005-0000-0000-00001B2F0000}"/>
    <cellStyle name="Normal 2 2 2 2 2 2 31 3 10" xfId="12060" xr:uid="{00000000-0005-0000-0000-00001C2F0000}"/>
    <cellStyle name="Normal 2 2 2 2 2 2 31 3 2" xfId="12061" xr:uid="{00000000-0005-0000-0000-00001D2F0000}"/>
    <cellStyle name="Normal 2 2 2 2 2 2 31 3 3" xfId="12062" xr:uid="{00000000-0005-0000-0000-00001E2F0000}"/>
    <cellStyle name="Normal 2 2 2 2 2 2 31 3 4" xfId="12063" xr:uid="{00000000-0005-0000-0000-00001F2F0000}"/>
    <cellStyle name="Normal 2 2 2 2 2 2 31 3 5" xfId="12064" xr:uid="{00000000-0005-0000-0000-0000202F0000}"/>
    <cellStyle name="Normal 2 2 2 2 2 2 31 3 6" xfId="12065" xr:uid="{00000000-0005-0000-0000-0000212F0000}"/>
    <cellStyle name="Normal 2 2 2 2 2 2 31 3 7" xfId="12066" xr:uid="{00000000-0005-0000-0000-0000222F0000}"/>
    <cellStyle name="Normal 2 2 2 2 2 2 31 3 8" xfId="12067" xr:uid="{00000000-0005-0000-0000-0000232F0000}"/>
    <cellStyle name="Normal 2 2 2 2 2 2 31 3 9" xfId="12068" xr:uid="{00000000-0005-0000-0000-0000242F0000}"/>
    <cellStyle name="Normal 2 2 2 2 2 2 31 4" xfId="12069" xr:uid="{00000000-0005-0000-0000-0000252F0000}"/>
    <cellStyle name="Normal 2 2 2 2 2 2 31 4 10" xfId="12070" xr:uid="{00000000-0005-0000-0000-0000262F0000}"/>
    <cellStyle name="Normal 2 2 2 2 2 2 31 4 2" xfId="12071" xr:uid="{00000000-0005-0000-0000-0000272F0000}"/>
    <cellStyle name="Normal 2 2 2 2 2 2 31 4 3" xfId="12072" xr:uid="{00000000-0005-0000-0000-0000282F0000}"/>
    <cellStyle name="Normal 2 2 2 2 2 2 31 4 4" xfId="12073" xr:uid="{00000000-0005-0000-0000-0000292F0000}"/>
    <cellStyle name="Normal 2 2 2 2 2 2 31 4 5" xfId="12074" xr:uid="{00000000-0005-0000-0000-00002A2F0000}"/>
    <cellStyle name="Normal 2 2 2 2 2 2 31 4 6" xfId="12075" xr:uid="{00000000-0005-0000-0000-00002B2F0000}"/>
    <cellStyle name="Normal 2 2 2 2 2 2 31 4 7" xfId="12076" xr:uid="{00000000-0005-0000-0000-00002C2F0000}"/>
    <cellStyle name="Normal 2 2 2 2 2 2 31 4 8" xfId="12077" xr:uid="{00000000-0005-0000-0000-00002D2F0000}"/>
    <cellStyle name="Normal 2 2 2 2 2 2 31 4 9" xfId="12078" xr:uid="{00000000-0005-0000-0000-00002E2F0000}"/>
    <cellStyle name="Normal 2 2 2 2 2 2 31 5" xfId="12079" xr:uid="{00000000-0005-0000-0000-00002F2F0000}"/>
    <cellStyle name="Normal 2 2 2 2 2 2 31 5 10" xfId="12080" xr:uid="{00000000-0005-0000-0000-0000302F0000}"/>
    <cellStyle name="Normal 2 2 2 2 2 2 31 5 2" xfId="12081" xr:uid="{00000000-0005-0000-0000-0000312F0000}"/>
    <cellStyle name="Normal 2 2 2 2 2 2 31 5 3" xfId="12082" xr:uid="{00000000-0005-0000-0000-0000322F0000}"/>
    <cellStyle name="Normal 2 2 2 2 2 2 31 5 4" xfId="12083" xr:uid="{00000000-0005-0000-0000-0000332F0000}"/>
    <cellStyle name="Normal 2 2 2 2 2 2 31 5 5" xfId="12084" xr:uid="{00000000-0005-0000-0000-0000342F0000}"/>
    <cellStyle name="Normal 2 2 2 2 2 2 31 5 6" xfId="12085" xr:uid="{00000000-0005-0000-0000-0000352F0000}"/>
    <cellStyle name="Normal 2 2 2 2 2 2 31 5 7" xfId="12086" xr:uid="{00000000-0005-0000-0000-0000362F0000}"/>
    <cellStyle name="Normal 2 2 2 2 2 2 31 5 8" xfId="12087" xr:uid="{00000000-0005-0000-0000-0000372F0000}"/>
    <cellStyle name="Normal 2 2 2 2 2 2 31 5 9" xfId="12088" xr:uid="{00000000-0005-0000-0000-0000382F0000}"/>
    <cellStyle name="Normal 2 2 2 2 2 2 31 6" xfId="12089" xr:uid="{00000000-0005-0000-0000-0000392F0000}"/>
    <cellStyle name="Normal 2 2 2 2 2 2 31 7" xfId="12090" xr:uid="{00000000-0005-0000-0000-00003A2F0000}"/>
    <cellStyle name="Normal 2 2 2 2 2 2 31 8" xfId="12091" xr:uid="{00000000-0005-0000-0000-00003B2F0000}"/>
    <cellStyle name="Normal 2 2 2 2 2 2 31 9" xfId="12092" xr:uid="{00000000-0005-0000-0000-00003C2F0000}"/>
    <cellStyle name="Normal 2 2 2 2 2 2 32" xfId="12093" xr:uid="{00000000-0005-0000-0000-00003D2F0000}"/>
    <cellStyle name="Normal 2 2 2 2 2 2 32 10" xfId="12094" xr:uid="{00000000-0005-0000-0000-00003E2F0000}"/>
    <cellStyle name="Normal 2 2 2 2 2 2 32 11" xfId="12095" xr:uid="{00000000-0005-0000-0000-00003F2F0000}"/>
    <cellStyle name="Normal 2 2 2 2 2 2 32 12" xfId="12096" xr:uid="{00000000-0005-0000-0000-0000402F0000}"/>
    <cellStyle name="Normal 2 2 2 2 2 2 32 13" xfId="12097" xr:uid="{00000000-0005-0000-0000-0000412F0000}"/>
    <cellStyle name="Normal 2 2 2 2 2 2 32 14" xfId="12098" xr:uid="{00000000-0005-0000-0000-0000422F0000}"/>
    <cellStyle name="Normal 2 2 2 2 2 2 32 2" xfId="12099" xr:uid="{00000000-0005-0000-0000-0000432F0000}"/>
    <cellStyle name="Normal 2 2 2 2 2 2 32 2 10" xfId="12100" xr:uid="{00000000-0005-0000-0000-0000442F0000}"/>
    <cellStyle name="Normal 2 2 2 2 2 2 32 2 2" xfId="12101" xr:uid="{00000000-0005-0000-0000-0000452F0000}"/>
    <cellStyle name="Normal 2 2 2 2 2 2 32 2 3" xfId="12102" xr:uid="{00000000-0005-0000-0000-0000462F0000}"/>
    <cellStyle name="Normal 2 2 2 2 2 2 32 2 4" xfId="12103" xr:uid="{00000000-0005-0000-0000-0000472F0000}"/>
    <cellStyle name="Normal 2 2 2 2 2 2 32 2 5" xfId="12104" xr:uid="{00000000-0005-0000-0000-0000482F0000}"/>
    <cellStyle name="Normal 2 2 2 2 2 2 32 2 6" xfId="12105" xr:uid="{00000000-0005-0000-0000-0000492F0000}"/>
    <cellStyle name="Normal 2 2 2 2 2 2 32 2 7" xfId="12106" xr:uid="{00000000-0005-0000-0000-00004A2F0000}"/>
    <cellStyle name="Normal 2 2 2 2 2 2 32 2 8" xfId="12107" xr:uid="{00000000-0005-0000-0000-00004B2F0000}"/>
    <cellStyle name="Normal 2 2 2 2 2 2 32 2 9" xfId="12108" xr:uid="{00000000-0005-0000-0000-00004C2F0000}"/>
    <cellStyle name="Normal 2 2 2 2 2 2 32 3" xfId="12109" xr:uid="{00000000-0005-0000-0000-00004D2F0000}"/>
    <cellStyle name="Normal 2 2 2 2 2 2 32 3 10" xfId="12110" xr:uid="{00000000-0005-0000-0000-00004E2F0000}"/>
    <cellStyle name="Normal 2 2 2 2 2 2 32 3 2" xfId="12111" xr:uid="{00000000-0005-0000-0000-00004F2F0000}"/>
    <cellStyle name="Normal 2 2 2 2 2 2 32 3 3" xfId="12112" xr:uid="{00000000-0005-0000-0000-0000502F0000}"/>
    <cellStyle name="Normal 2 2 2 2 2 2 32 3 4" xfId="12113" xr:uid="{00000000-0005-0000-0000-0000512F0000}"/>
    <cellStyle name="Normal 2 2 2 2 2 2 32 3 5" xfId="12114" xr:uid="{00000000-0005-0000-0000-0000522F0000}"/>
    <cellStyle name="Normal 2 2 2 2 2 2 32 3 6" xfId="12115" xr:uid="{00000000-0005-0000-0000-0000532F0000}"/>
    <cellStyle name="Normal 2 2 2 2 2 2 32 3 7" xfId="12116" xr:uid="{00000000-0005-0000-0000-0000542F0000}"/>
    <cellStyle name="Normal 2 2 2 2 2 2 32 3 8" xfId="12117" xr:uid="{00000000-0005-0000-0000-0000552F0000}"/>
    <cellStyle name="Normal 2 2 2 2 2 2 32 3 9" xfId="12118" xr:uid="{00000000-0005-0000-0000-0000562F0000}"/>
    <cellStyle name="Normal 2 2 2 2 2 2 32 4" xfId="12119" xr:uid="{00000000-0005-0000-0000-0000572F0000}"/>
    <cellStyle name="Normal 2 2 2 2 2 2 32 4 10" xfId="12120" xr:uid="{00000000-0005-0000-0000-0000582F0000}"/>
    <cellStyle name="Normal 2 2 2 2 2 2 32 4 2" xfId="12121" xr:uid="{00000000-0005-0000-0000-0000592F0000}"/>
    <cellStyle name="Normal 2 2 2 2 2 2 32 4 3" xfId="12122" xr:uid="{00000000-0005-0000-0000-00005A2F0000}"/>
    <cellStyle name="Normal 2 2 2 2 2 2 32 4 4" xfId="12123" xr:uid="{00000000-0005-0000-0000-00005B2F0000}"/>
    <cellStyle name="Normal 2 2 2 2 2 2 32 4 5" xfId="12124" xr:uid="{00000000-0005-0000-0000-00005C2F0000}"/>
    <cellStyle name="Normal 2 2 2 2 2 2 32 4 6" xfId="12125" xr:uid="{00000000-0005-0000-0000-00005D2F0000}"/>
    <cellStyle name="Normal 2 2 2 2 2 2 32 4 7" xfId="12126" xr:uid="{00000000-0005-0000-0000-00005E2F0000}"/>
    <cellStyle name="Normal 2 2 2 2 2 2 32 4 8" xfId="12127" xr:uid="{00000000-0005-0000-0000-00005F2F0000}"/>
    <cellStyle name="Normal 2 2 2 2 2 2 32 4 9" xfId="12128" xr:uid="{00000000-0005-0000-0000-0000602F0000}"/>
    <cellStyle name="Normal 2 2 2 2 2 2 32 5" xfId="12129" xr:uid="{00000000-0005-0000-0000-0000612F0000}"/>
    <cellStyle name="Normal 2 2 2 2 2 2 32 5 10" xfId="12130" xr:uid="{00000000-0005-0000-0000-0000622F0000}"/>
    <cellStyle name="Normal 2 2 2 2 2 2 32 5 2" xfId="12131" xr:uid="{00000000-0005-0000-0000-0000632F0000}"/>
    <cellStyle name="Normal 2 2 2 2 2 2 32 5 3" xfId="12132" xr:uid="{00000000-0005-0000-0000-0000642F0000}"/>
    <cellStyle name="Normal 2 2 2 2 2 2 32 5 4" xfId="12133" xr:uid="{00000000-0005-0000-0000-0000652F0000}"/>
    <cellStyle name="Normal 2 2 2 2 2 2 32 5 5" xfId="12134" xr:uid="{00000000-0005-0000-0000-0000662F0000}"/>
    <cellStyle name="Normal 2 2 2 2 2 2 32 5 6" xfId="12135" xr:uid="{00000000-0005-0000-0000-0000672F0000}"/>
    <cellStyle name="Normal 2 2 2 2 2 2 32 5 7" xfId="12136" xr:uid="{00000000-0005-0000-0000-0000682F0000}"/>
    <cellStyle name="Normal 2 2 2 2 2 2 32 5 8" xfId="12137" xr:uid="{00000000-0005-0000-0000-0000692F0000}"/>
    <cellStyle name="Normal 2 2 2 2 2 2 32 5 9" xfId="12138" xr:uid="{00000000-0005-0000-0000-00006A2F0000}"/>
    <cellStyle name="Normal 2 2 2 2 2 2 32 6" xfId="12139" xr:uid="{00000000-0005-0000-0000-00006B2F0000}"/>
    <cellStyle name="Normal 2 2 2 2 2 2 32 7" xfId="12140" xr:uid="{00000000-0005-0000-0000-00006C2F0000}"/>
    <cellStyle name="Normal 2 2 2 2 2 2 32 8" xfId="12141" xr:uid="{00000000-0005-0000-0000-00006D2F0000}"/>
    <cellStyle name="Normal 2 2 2 2 2 2 32 9" xfId="12142" xr:uid="{00000000-0005-0000-0000-00006E2F0000}"/>
    <cellStyle name="Normal 2 2 2 2 2 2 33" xfId="12143" xr:uid="{00000000-0005-0000-0000-00006F2F0000}"/>
    <cellStyle name="Normal 2 2 2 2 2 2 33 10" xfId="12144" xr:uid="{00000000-0005-0000-0000-0000702F0000}"/>
    <cellStyle name="Normal 2 2 2 2 2 2 33 11" xfId="12145" xr:uid="{00000000-0005-0000-0000-0000712F0000}"/>
    <cellStyle name="Normal 2 2 2 2 2 2 33 12" xfId="12146" xr:uid="{00000000-0005-0000-0000-0000722F0000}"/>
    <cellStyle name="Normal 2 2 2 2 2 2 33 13" xfId="12147" xr:uid="{00000000-0005-0000-0000-0000732F0000}"/>
    <cellStyle name="Normal 2 2 2 2 2 2 33 14" xfId="12148" xr:uid="{00000000-0005-0000-0000-0000742F0000}"/>
    <cellStyle name="Normal 2 2 2 2 2 2 33 2" xfId="12149" xr:uid="{00000000-0005-0000-0000-0000752F0000}"/>
    <cellStyle name="Normal 2 2 2 2 2 2 33 2 10" xfId="12150" xr:uid="{00000000-0005-0000-0000-0000762F0000}"/>
    <cellStyle name="Normal 2 2 2 2 2 2 33 2 2" xfId="12151" xr:uid="{00000000-0005-0000-0000-0000772F0000}"/>
    <cellStyle name="Normal 2 2 2 2 2 2 33 2 3" xfId="12152" xr:uid="{00000000-0005-0000-0000-0000782F0000}"/>
    <cellStyle name="Normal 2 2 2 2 2 2 33 2 4" xfId="12153" xr:uid="{00000000-0005-0000-0000-0000792F0000}"/>
    <cellStyle name="Normal 2 2 2 2 2 2 33 2 5" xfId="12154" xr:uid="{00000000-0005-0000-0000-00007A2F0000}"/>
    <cellStyle name="Normal 2 2 2 2 2 2 33 2 6" xfId="12155" xr:uid="{00000000-0005-0000-0000-00007B2F0000}"/>
    <cellStyle name="Normal 2 2 2 2 2 2 33 2 7" xfId="12156" xr:uid="{00000000-0005-0000-0000-00007C2F0000}"/>
    <cellStyle name="Normal 2 2 2 2 2 2 33 2 8" xfId="12157" xr:uid="{00000000-0005-0000-0000-00007D2F0000}"/>
    <cellStyle name="Normal 2 2 2 2 2 2 33 2 9" xfId="12158" xr:uid="{00000000-0005-0000-0000-00007E2F0000}"/>
    <cellStyle name="Normal 2 2 2 2 2 2 33 3" xfId="12159" xr:uid="{00000000-0005-0000-0000-00007F2F0000}"/>
    <cellStyle name="Normal 2 2 2 2 2 2 33 3 10" xfId="12160" xr:uid="{00000000-0005-0000-0000-0000802F0000}"/>
    <cellStyle name="Normal 2 2 2 2 2 2 33 3 2" xfId="12161" xr:uid="{00000000-0005-0000-0000-0000812F0000}"/>
    <cellStyle name="Normal 2 2 2 2 2 2 33 3 3" xfId="12162" xr:uid="{00000000-0005-0000-0000-0000822F0000}"/>
    <cellStyle name="Normal 2 2 2 2 2 2 33 3 4" xfId="12163" xr:uid="{00000000-0005-0000-0000-0000832F0000}"/>
    <cellStyle name="Normal 2 2 2 2 2 2 33 3 5" xfId="12164" xr:uid="{00000000-0005-0000-0000-0000842F0000}"/>
    <cellStyle name="Normal 2 2 2 2 2 2 33 3 6" xfId="12165" xr:uid="{00000000-0005-0000-0000-0000852F0000}"/>
    <cellStyle name="Normal 2 2 2 2 2 2 33 3 7" xfId="12166" xr:uid="{00000000-0005-0000-0000-0000862F0000}"/>
    <cellStyle name="Normal 2 2 2 2 2 2 33 3 8" xfId="12167" xr:uid="{00000000-0005-0000-0000-0000872F0000}"/>
    <cellStyle name="Normal 2 2 2 2 2 2 33 3 9" xfId="12168" xr:uid="{00000000-0005-0000-0000-0000882F0000}"/>
    <cellStyle name="Normal 2 2 2 2 2 2 33 4" xfId="12169" xr:uid="{00000000-0005-0000-0000-0000892F0000}"/>
    <cellStyle name="Normal 2 2 2 2 2 2 33 4 10" xfId="12170" xr:uid="{00000000-0005-0000-0000-00008A2F0000}"/>
    <cellStyle name="Normal 2 2 2 2 2 2 33 4 2" xfId="12171" xr:uid="{00000000-0005-0000-0000-00008B2F0000}"/>
    <cellStyle name="Normal 2 2 2 2 2 2 33 4 3" xfId="12172" xr:uid="{00000000-0005-0000-0000-00008C2F0000}"/>
    <cellStyle name="Normal 2 2 2 2 2 2 33 4 4" xfId="12173" xr:uid="{00000000-0005-0000-0000-00008D2F0000}"/>
    <cellStyle name="Normal 2 2 2 2 2 2 33 4 5" xfId="12174" xr:uid="{00000000-0005-0000-0000-00008E2F0000}"/>
    <cellStyle name="Normal 2 2 2 2 2 2 33 4 6" xfId="12175" xr:uid="{00000000-0005-0000-0000-00008F2F0000}"/>
    <cellStyle name="Normal 2 2 2 2 2 2 33 4 7" xfId="12176" xr:uid="{00000000-0005-0000-0000-0000902F0000}"/>
    <cellStyle name="Normal 2 2 2 2 2 2 33 4 8" xfId="12177" xr:uid="{00000000-0005-0000-0000-0000912F0000}"/>
    <cellStyle name="Normal 2 2 2 2 2 2 33 4 9" xfId="12178" xr:uid="{00000000-0005-0000-0000-0000922F0000}"/>
    <cellStyle name="Normal 2 2 2 2 2 2 33 5" xfId="12179" xr:uid="{00000000-0005-0000-0000-0000932F0000}"/>
    <cellStyle name="Normal 2 2 2 2 2 2 33 5 10" xfId="12180" xr:uid="{00000000-0005-0000-0000-0000942F0000}"/>
    <cellStyle name="Normal 2 2 2 2 2 2 33 5 2" xfId="12181" xr:uid="{00000000-0005-0000-0000-0000952F0000}"/>
    <cellStyle name="Normal 2 2 2 2 2 2 33 5 3" xfId="12182" xr:uid="{00000000-0005-0000-0000-0000962F0000}"/>
    <cellStyle name="Normal 2 2 2 2 2 2 33 5 4" xfId="12183" xr:uid="{00000000-0005-0000-0000-0000972F0000}"/>
    <cellStyle name="Normal 2 2 2 2 2 2 33 5 5" xfId="12184" xr:uid="{00000000-0005-0000-0000-0000982F0000}"/>
    <cellStyle name="Normal 2 2 2 2 2 2 33 5 6" xfId="12185" xr:uid="{00000000-0005-0000-0000-0000992F0000}"/>
    <cellStyle name="Normal 2 2 2 2 2 2 33 5 7" xfId="12186" xr:uid="{00000000-0005-0000-0000-00009A2F0000}"/>
    <cellStyle name="Normal 2 2 2 2 2 2 33 5 8" xfId="12187" xr:uid="{00000000-0005-0000-0000-00009B2F0000}"/>
    <cellStyle name="Normal 2 2 2 2 2 2 33 5 9" xfId="12188" xr:uid="{00000000-0005-0000-0000-00009C2F0000}"/>
    <cellStyle name="Normal 2 2 2 2 2 2 33 6" xfId="12189" xr:uid="{00000000-0005-0000-0000-00009D2F0000}"/>
    <cellStyle name="Normal 2 2 2 2 2 2 33 7" xfId="12190" xr:uid="{00000000-0005-0000-0000-00009E2F0000}"/>
    <cellStyle name="Normal 2 2 2 2 2 2 33 8" xfId="12191" xr:uid="{00000000-0005-0000-0000-00009F2F0000}"/>
    <cellStyle name="Normal 2 2 2 2 2 2 33 9" xfId="12192" xr:uid="{00000000-0005-0000-0000-0000A02F0000}"/>
    <cellStyle name="Normal 2 2 2 2 2 2 34" xfId="12193" xr:uid="{00000000-0005-0000-0000-0000A12F0000}"/>
    <cellStyle name="Normal 2 2 2 2 2 2 34 10" xfId="12194" xr:uid="{00000000-0005-0000-0000-0000A22F0000}"/>
    <cellStyle name="Normal 2 2 2 2 2 2 34 2" xfId="12195" xr:uid="{00000000-0005-0000-0000-0000A32F0000}"/>
    <cellStyle name="Normal 2 2 2 2 2 2 34 3" xfId="12196" xr:uid="{00000000-0005-0000-0000-0000A42F0000}"/>
    <cellStyle name="Normal 2 2 2 2 2 2 34 4" xfId="12197" xr:uid="{00000000-0005-0000-0000-0000A52F0000}"/>
    <cellStyle name="Normal 2 2 2 2 2 2 34 5" xfId="12198" xr:uid="{00000000-0005-0000-0000-0000A62F0000}"/>
    <cellStyle name="Normal 2 2 2 2 2 2 34 6" xfId="12199" xr:uid="{00000000-0005-0000-0000-0000A72F0000}"/>
    <cellStyle name="Normal 2 2 2 2 2 2 34 7" xfId="12200" xr:uid="{00000000-0005-0000-0000-0000A82F0000}"/>
    <cellStyle name="Normal 2 2 2 2 2 2 34 8" xfId="12201" xr:uid="{00000000-0005-0000-0000-0000A92F0000}"/>
    <cellStyle name="Normal 2 2 2 2 2 2 34 9" xfId="12202" xr:uid="{00000000-0005-0000-0000-0000AA2F0000}"/>
    <cellStyle name="Normal 2 2 2 2 2 2 35" xfId="12203" xr:uid="{00000000-0005-0000-0000-0000AB2F0000}"/>
    <cellStyle name="Normal 2 2 2 2 2 2 35 10" xfId="12204" xr:uid="{00000000-0005-0000-0000-0000AC2F0000}"/>
    <cellStyle name="Normal 2 2 2 2 2 2 35 2" xfId="12205" xr:uid="{00000000-0005-0000-0000-0000AD2F0000}"/>
    <cellStyle name="Normal 2 2 2 2 2 2 35 3" xfId="12206" xr:uid="{00000000-0005-0000-0000-0000AE2F0000}"/>
    <cellStyle name="Normal 2 2 2 2 2 2 35 4" xfId="12207" xr:uid="{00000000-0005-0000-0000-0000AF2F0000}"/>
    <cellStyle name="Normal 2 2 2 2 2 2 35 5" xfId="12208" xr:uid="{00000000-0005-0000-0000-0000B02F0000}"/>
    <cellStyle name="Normal 2 2 2 2 2 2 35 6" xfId="12209" xr:uid="{00000000-0005-0000-0000-0000B12F0000}"/>
    <cellStyle name="Normal 2 2 2 2 2 2 35 7" xfId="12210" xr:uid="{00000000-0005-0000-0000-0000B22F0000}"/>
    <cellStyle name="Normal 2 2 2 2 2 2 35 8" xfId="12211" xr:uid="{00000000-0005-0000-0000-0000B32F0000}"/>
    <cellStyle name="Normal 2 2 2 2 2 2 35 9" xfId="12212" xr:uid="{00000000-0005-0000-0000-0000B42F0000}"/>
    <cellStyle name="Normal 2 2 2 2 2 2 36" xfId="12213" xr:uid="{00000000-0005-0000-0000-0000B52F0000}"/>
    <cellStyle name="Normal 2 2 2 2 2 2 36 10" xfId="12214" xr:uid="{00000000-0005-0000-0000-0000B62F0000}"/>
    <cellStyle name="Normal 2 2 2 2 2 2 36 2" xfId="12215" xr:uid="{00000000-0005-0000-0000-0000B72F0000}"/>
    <cellStyle name="Normal 2 2 2 2 2 2 36 3" xfId="12216" xr:uid="{00000000-0005-0000-0000-0000B82F0000}"/>
    <cellStyle name="Normal 2 2 2 2 2 2 36 4" xfId="12217" xr:uid="{00000000-0005-0000-0000-0000B92F0000}"/>
    <cellStyle name="Normal 2 2 2 2 2 2 36 5" xfId="12218" xr:uid="{00000000-0005-0000-0000-0000BA2F0000}"/>
    <cellStyle name="Normal 2 2 2 2 2 2 36 6" xfId="12219" xr:uid="{00000000-0005-0000-0000-0000BB2F0000}"/>
    <cellStyle name="Normal 2 2 2 2 2 2 36 7" xfId="12220" xr:uid="{00000000-0005-0000-0000-0000BC2F0000}"/>
    <cellStyle name="Normal 2 2 2 2 2 2 36 8" xfId="12221" xr:uid="{00000000-0005-0000-0000-0000BD2F0000}"/>
    <cellStyle name="Normal 2 2 2 2 2 2 36 9" xfId="12222" xr:uid="{00000000-0005-0000-0000-0000BE2F0000}"/>
    <cellStyle name="Normal 2 2 2 2 2 2 37" xfId="12223" xr:uid="{00000000-0005-0000-0000-0000BF2F0000}"/>
    <cellStyle name="Normal 2 2 2 2 2 2 37 10" xfId="12224" xr:uid="{00000000-0005-0000-0000-0000C02F0000}"/>
    <cellStyle name="Normal 2 2 2 2 2 2 37 2" xfId="12225" xr:uid="{00000000-0005-0000-0000-0000C12F0000}"/>
    <cellStyle name="Normal 2 2 2 2 2 2 37 3" xfId="12226" xr:uid="{00000000-0005-0000-0000-0000C22F0000}"/>
    <cellStyle name="Normal 2 2 2 2 2 2 37 4" xfId="12227" xr:uid="{00000000-0005-0000-0000-0000C32F0000}"/>
    <cellStyle name="Normal 2 2 2 2 2 2 37 5" xfId="12228" xr:uid="{00000000-0005-0000-0000-0000C42F0000}"/>
    <cellStyle name="Normal 2 2 2 2 2 2 37 6" xfId="12229" xr:uid="{00000000-0005-0000-0000-0000C52F0000}"/>
    <cellStyle name="Normal 2 2 2 2 2 2 37 7" xfId="12230" xr:uid="{00000000-0005-0000-0000-0000C62F0000}"/>
    <cellStyle name="Normal 2 2 2 2 2 2 37 8" xfId="12231" xr:uid="{00000000-0005-0000-0000-0000C72F0000}"/>
    <cellStyle name="Normal 2 2 2 2 2 2 37 9" xfId="12232" xr:uid="{00000000-0005-0000-0000-0000C82F0000}"/>
    <cellStyle name="Normal 2 2 2 2 2 2 38" xfId="12233" xr:uid="{00000000-0005-0000-0000-0000C92F0000}"/>
    <cellStyle name="Normal 2 2 2 2 2 2 39" xfId="12234" xr:uid="{00000000-0005-0000-0000-0000CA2F0000}"/>
    <cellStyle name="Normal 2 2 2 2 2 2 4" xfId="12235" xr:uid="{00000000-0005-0000-0000-0000CB2F0000}"/>
    <cellStyle name="Normal 2 2 2 2 2 2 4 10" xfId="12236" xr:uid="{00000000-0005-0000-0000-0000CC2F0000}"/>
    <cellStyle name="Normal 2 2 2 2 2 2 4 11" xfId="12237" xr:uid="{00000000-0005-0000-0000-0000CD2F0000}"/>
    <cellStyle name="Normal 2 2 2 2 2 2 4 12" xfId="12238" xr:uid="{00000000-0005-0000-0000-0000CE2F0000}"/>
    <cellStyle name="Normal 2 2 2 2 2 2 4 13" xfId="12239" xr:uid="{00000000-0005-0000-0000-0000CF2F0000}"/>
    <cellStyle name="Normal 2 2 2 2 2 2 4 14" xfId="12240" xr:uid="{00000000-0005-0000-0000-0000D02F0000}"/>
    <cellStyle name="Normal 2 2 2 2 2 2 4 2" xfId="12241" xr:uid="{00000000-0005-0000-0000-0000D12F0000}"/>
    <cellStyle name="Normal 2 2 2 2 2 2 4 2 10" xfId="12242" xr:uid="{00000000-0005-0000-0000-0000D22F0000}"/>
    <cellStyle name="Normal 2 2 2 2 2 2 4 2 2" xfId="12243" xr:uid="{00000000-0005-0000-0000-0000D32F0000}"/>
    <cellStyle name="Normal 2 2 2 2 2 2 4 2 3" xfId="12244" xr:uid="{00000000-0005-0000-0000-0000D42F0000}"/>
    <cellStyle name="Normal 2 2 2 2 2 2 4 2 4" xfId="12245" xr:uid="{00000000-0005-0000-0000-0000D52F0000}"/>
    <cellStyle name="Normal 2 2 2 2 2 2 4 2 5" xfId="12246" xr:uid="{00000000-0005-0000-0000-0000D62F0000}"/>
    <cellStyle name="Normal 2 2 2 2 2 2 4 2 6" xfId="12247" xr:uid="{00000000-0005-0000-0000-0000D72F0000}"/>
    <cellStyle name="Normal 2 2 2 2 2 2 4 2 7" xfId="12248" xr:uid="{00000000-0005-0000-0000-0000D82F0000}"/>
    <cellStyle name="Normal 2 2 2 2 2 2 4 2 8" xfId="12249" xr:uid="{00000000-0005-0000-0000-0000D92F0000}"/>
    <cellStyle name="Normal 2 2 2 2 2 2 4 2 9" xfId="12250" xr:uid="{00000000-0005-0000-0000-0000DA2F0000}"/>
    <cellStyle name="Normal 2 2 2 2 2 2 4 3" xfId="12251" xr:uid="{00000000-0005-0000-0000-0000DB2F0000}"/>
    <cellStyle name="Normal 2 2 2 2 2 2 4 3 10" xfId="12252" xr:uid="{00000000-0005-0000-0000-0000DC2F0000}"/>
    <cellStyle name="Normal 2 2 2 2 2 2 4 3 2" xfId="12253" xr:uid="{00000000-0005-0000-0000-0000DD2F0000}"/>
    <cellStyle name="Normal 2 2 2 2 2 2 4 3 3" xfId="12254" xr:uid="{00000000-0005-0000-0000-0000DE2F0000}"/>
    <cellStyle name="Normal 2 2 2 2 2 2 4 3 4" xfId="12255" xr:uid="{00000000-0005-0000-0000-0000DF2F0000}"/>
    <cellStyle name="Normal 2 2 2 2 2 2 4 3 5" xfId="12256" xr:uid="{00000000-0005-0000-0000-0000E02F0000}"/>
    <cellStyle name="Normal 2 2 2 2 2 2 4 3 6" xfId="12257" xr:uid="{00000000-0005-0000-0000-0000E12F0000}"/>
    <cellStyle name="Normal 2 2 2 2 2 2 4 3 7" xfId="12258" xr:uid="{00000000-0005-0000-0000-0000E22F0000}"/>
    <cellStyle name="Normal 2 2 2 2 2 2 4 3 8" xfId="12259" xr:uid="{00000000-0005-0000-0000-0000E32F0000}"/>
    <cellStyle name="Normal 2 2 2 2 2 2 4 3 9" xfId="12260" xr:uid="{00000000-0005-0000-0000-0000E42F0000}"/>
    <cellStyle name="Normal 2 2 2 2 2 2 4 4" xfId="12261" xr:uid="{00000000-0005-0000-0000-0000E52F0000}"/>
    <cellStyle name="Normal 2 2 2 2 2 2 4 4 10" xfId="12262" xr:uid="{00000000-0005-0000-0000-0000E62F0000}"/>
    <cellStyle name="Normal 2 2 2 2 2 2 4 4 2" xfId="12263" xr:uid="{00000000-0005-0000-0000-0000E72F0000}"/>
    <cellStyle name="Normal 2 2 2 2 2 2 4 4 3" xfId="12264" xr:uid="{00000000-0005-0000-0000-0000E82F0000}"/>
    <cellStyle name="Normal 2 2 2 2 2 2 4 4 4" xfId="12265" xr:uid="{00000000-0005-0000-0000-0000E92F0000}"/>
    <cellStyle name="Normal 2 2 2 2 2 2 4 4 5" xfId="12266" xr:uid="{00000000-0005-0000-0000-0000EA2F0000}"/>
    <cellStyle name="Normal 2 2 2 2 2 2 4 4 6" xfId="12267" xr:uid="{00000000-0005-0000-0000-0000EB2F0000}"/>
    <cellStyle name="Normal 2 2 2 2 2 2 4 4 7" xfId="12268" xr:uid="{00000000-0005-0000-0000-0000EC2F0000}"/>
    <cellStyle name="Normal 2 2 2 2 2 2 4 4 8" xfId="12269" xr:uid="{00000000-0005-0000-0000-0000ED2F0000}"/>
    <cellStyle name="Normal 2 2 2 2 2 2 4 4 9" xfId="12270" xr:uid="{00000000-0005-0000-0000-0000EE2F0000}"/>
    <cellStyle name="Normal 2 2 2 2 2 2 4 5" xfId="12271" xr:uid="{00000000-0005-0000-0000-0000EF2F0000}"/>
    <cellStyle name="Normal 2 2 2 2 2 2 4 5 10" xfId="12272" xr:uid="{00000000-0005-0000-0000-0000F02F0000}"/>
    <cellStyle name="Normal 2 2 2 2 2 2 4 5 2" xfId="12273" xr:uid="{00000000-0005-0000-0000-0000F12F0000}"/>
    <cellStyle name="Normal 2 2 2 2 2 2 4 5 3" xfId="12274" xr:uid="{00000000-0005-0000-0000-0000F22F0000}"/>
    <cellStyle name="Normal 2 2 2 2 2 2 4 5 4" xfId="12275" xr:uid="{00000000-0005-0000-0000-0000F32F0000}"/>
    <cellStyle name="Normal 2 2 2 2 2 2 4 5 5" xfId="12276" xr:uid="{00000000-0005-0000-0000-0000F42F0000}"/>
    <cellStyle name="Normal 2 2 2 2 2 2 4 5 6" xfId="12277" xr:uid="{00000000-0005-0000-0000-0000F52F0000}"/>
    <cellStyle name="Normal 2 2 2 2 2 2 4 5 7" xfId="12278" xr:uid="{00000000-0005-0000-0000-0000F62F0000}"/>
    <cellStyle name="Normal 2 2 2 2 2 2 4 5 8" xfId="12279" xr:uid="{00000000-0005-0000-0000-0000F72F0000}"/>
    <cellStyle name="Normal 2 2 2 2 2 2 4 5 9" xfId="12280" xr:uid="{00000000-0005-0000-0000-0000F82F0000}"/>
    <cellStyle name="Normal 2 2 2 2 2 2 4 6" xfId="12281" xr:uid="{00000000-0005-0000-0000-0000F92F0000}"/>
    <cellStyle name="Normal 2 2 2 2 2 2 4 7" xfId="12282" xr:uid="{00000000-0005-0000-0000-0000FA2F0000}"/>
    <cellStyle name="Normal 2 2 2 2 2 2 4 8" xfId="12283" xr:uid="{00000000-0005-0000-0000-0000FB2F0000}"/>
    <cellStyle name="Normal 2 2 2 2 2 2 4 9" xfId="12284" xr:uid="{00000000-0005-0000-0000-0000FC2F0000}"/>
    <cellStyle name="Normal 2 2 2 2 2 2 40" xfId="12285" xr:uid="{00000000-0005-0000-0000-0000FD2F0000}"/>
    <cellStyle name="Normal 2 2 2 2 2 2 41" xfId="12286" xr:uid="{00000000-0005-0000-0000-0000FE2F0000}"/>
    <cellStyle name="Normal 2 2 2 2 2 2 42" xfId="12287" xr:uid="{00000000-0005-0000-0000-0000FF2F0000}"/>
    <cellStyle name="Normal 2 2 2 2 2 2 43" xfId="12288" xr:uid="{00000000-0005-0000-0000-000000300000}"/>
    <cellStyle name="Normal 2 2 2 2 2 2 44" xfId="12289" xr:uid="{00000000-0005-0000-0000-000001300000}"/>
    <cellStyle name="Normal 2 2 2 2 2 2 45" xfId="12290" xr:uid="{00000000-0005-0000-0000-000002300000}"/>
    <cellStyle name="Normal 2 2 2 2 2 2 46" xfId="12291" xr:uid="{00000000-0005-0000-0000-000003300000}"/>
    <cellStyle name="Normal 2 2 2 2 2 2 47" xfId="12292" xr:uid="{00000000-0005-0000-0000-000004300000}"/>
    <cellStyle name="Normal 2 2 2 2 2 2 48" xfId="12293" xr:uid="{00000000-0005-0000-0000-000005300000}"/>
    <cellStyle name="Normal 2 2 2 2 2 2 5" xfId="12294" xr:uid="{00000000-0005-0000-0000-000006300000}"/>
    <cellStyle name="Normal 2 2 2 2 2 2 5 10" xfId="12295" xr:uid="{00000000-0005-0000-0000-000007300000}"/>
    <cellStyle name="Normal 2 2 2 2 2 2 5 11" xfId="12296" xr:uid="{00000000-0005-0000-0000-000008300000}"/>
    <cellStyle name="Normal 2 2 2 2 2 2 5 12" xfId="12297" xr:uid="{00000000-0005-0000-0000-000009300000}"/>
    <cellStyle name="Normal 2 2 2 2 2 2 5 13" xfId="12298" xr:uid="{00000000-0005-0000-0000-00000A300000}"/>
    <cellStyle name="Normal 2 2 2 2 2 2 5 14" xfId="12299" xr:uid="{00000000-0005-0000-0000-00000B300000}"/>
    <cellStyle name="Normal 2 2 2 2 2 2 5 2" xfId="12300" xr:uid="{00000000-0005-0000-0000-00000C300000}"/>
    <cellStyle name="Normal 2 2 2 2 2 2 5 2 10" xfId="12301" xr:uid="{00000000-0005-0000-0000-00000D300000}"/>
    <cellStyle name="Normal 2 2 2 2 2 2 5 2 2" xfId="12302" xr:uid="{00000000-0005-0000-0000-00000E300000}"/>
    <cellStyle name="Normal 2 2 2 2 2 2 5 2 3" xfId="12303" xr:uid="{00000000-0005-0000-0000-00000F300000}"/>
    <cellStyle name="Normal 2 2 2 2 2 2 5 2 4" xfId="12304" xr:uid="{00000000-0005-0000-0000-000010300000}"/>
    <cellStyle name="Normal 2 2 2 2 2 2 5 2 5" xfId="12305" xr:uid="{00000000-0005-0000-0000-000011300000}"/>
    <cellStyle name="Normal 2 2 2 2 2 2 5 2 6" xfId="12306" xr:uid="{00000000-0005-0000-0000-000012300000}"/>
    <cellStyle name="Normal 2 2 2 2 2 2 5 2 7" xfId="12307" xr:uid="{00000000-0005-0000-0000-000013300000}"/>
    <cellStyle name="Normal 2 2 2 2 2 2 5 2 8" xfId="12308" xr:uid="{00000000-0005-0000-0000-000014300000}"/>
    <cellStyle name="Normal 2 2 2 2 2 2 5 2 9" xfId="12309" xr:uid="{00000000-0005-0000-0000-000015300000}"/>
    <cellStyle name="Normal 2 2 2 2 2 2 5 3" xfId="12310" xr:uid="{00000000-0005-0000-0000-000016300000}"/>
    <cellStyle name="Normal 2 2 2 2 2 2 5 3 10" xfId="12311" xr:uid="{00000000-0005-0000-0000-000017300000}"/>
    <cellStyle name="Normal 2 2 2 2 2 2 5 3 2" xfId="12312" xr:uid="{00000000-0005-0000-0000-000018300000}"/>
    <cellStyle name="Normal 2 2 2 2 2 2 5 3 3" xfId="12313" xr:uid="{00000000-0005-0000-0000-000019300000}"/>
    <cellStyle name="Normal 2 2 2 2 2 2 5 3 4" xfId="12314" xr:uid="{00000000-0005-0000-0000-00001A300000}"/>
    <cellStyle name="Normal 2 2 2 2 2 2 5 3 5" xfId="12315" xr:uid="{00000000-0005-0000-0000-00001B300000}"/>
    <cellStyle name="Normal 2 2 2 2 2 2 5 3 6" xfId="12316" xr:uid="{00000000-0005-0000-0000-00001C300000}"/>
    <cellStyle name="Normal 2 2 2 2 2 2 5 3 7" xfId="12317" xr:uid="{00000000-0005-0000-0000-00001D300000}"/>
    <cellStyle name="Normal 2 2 2 2 2 2 5 3 8" xfId="12318" xr:uid="{00000000-0005-0000-0000-00001E300000}"/>
    <cellStyle name="Normal 2 2 2 2 2 2 5 3 9" xfId="12319" xr:uid="{00000000-0005-0000-0000-00001F300000}"/>
    <cellStyle name="Normal 2 2 2 2 2 2 5 4" xfId="12320" xr:uid="{00000000-0005-0000-0000-000020300000}"/>
    <cellStyle name="Normal 2 2 2 2 2 2 5 4 10" xfId="12321" xr:uid="{00000000-0005-0000-0000-000021300000}"/>
    <cellStyle name="Normal 2 2 2 2 2 2 5 4 2" xfId="12322" xr:uid="{00000000-0005-0000-0000-000022300000}"/>
    <cellStyle name="Normal 2 2 2 2 2 2 5 4 3" xfId="12323" xr:uid="{00000000-0005-0000-0000-000023300000}"/>
    <cellStyle name="Normal 2 2 2 2 2 2 5 4 4" xfId="12324" xr:uid="{00000000-0005-0000-0000-000024300000}"/>
    <cellStyle name="Normal 2 2 2 2 2 2 5 4 5" xfId="12325" xr:uid="{00000000-0005-0000-0000-000025300000}"/>
    <cellStyle name="Normal 2 2 2 2 2 2 5 4 6" xfId="12326" xr:uid="{00000000-0005-0000-0000-000026300000}"/>
    <cellStyle name="Normal 2 2 2 2 2 2 5 4 7" xfId="12327" xr:uid="{00000000-0005-0000-0000-000027300000}"/>
    <cellStyle name="Normal 2 2 2 2 2 2 5 4 8" xfId="12328" xr:uid="{00000000-0005-0000-0000-000028300000}"/>
    <cellStyle name="Normal 2 2 2 2 2 2 5 4 9" xfId="12329" xr:uid="{00000000-0005-0000-0000-000029300000}"/>
    <cellStyle name="Normal 2 2 2 2 2 2 5 5" xfId="12330" xr:uid="{00000000-0005-0000-0000-00002A300000}"/>
    <cellStyle name="Normal 2 2 2 2 2 2 5 5 10" xfId="12331" xr:uid="{00000000-0005-0000-0000-00002B300000}"/>
    <cellStyle name="Normal 2 2 2 2 2 2 5 5 2" xfId="12332" xr:uid="{00000000-0005-0000-0000-00002C300000}"/>
    <cellStyle name="Normal 2 2 2 2 2 2 5 5 3" xfId="12333" xr:uid="{00000000-0005-0000-0000-00002D300000}"/>
    <cellStyle name="Normal 2 2 2 2 2 2 5 5 4" xfId="12334" xr:uid="{00000000-0005-0000-0000-00002E300000}"/>
    <cellStyle name="Normal 2 2 2 2 2 2 5 5 5" xfId="12335" xr:uid="{00000000-0005-0000-0000-00002F300000}"/>
    <cellStyle name="Normal 2 2 2 2 2 2 5 5 6" xfId="12336" xr:uid="{00000000-0005-0000-0000-000030300000}"/>
    <cellStyle name="Normal 2 2 2 2 2 2 5 5 7" xfId="12337" xr:uid="{00000000-0005-0000-0000-000031300000}"/>
    <cellStyle name="Normal 2 2 2 2 2 2 5 5 8" xfId="12338" xr:uid="{00000000-0005-0000-0000-000032300000}"/>
    <cellStyle name="Normal 2 2 2 2 2 2 5 5 9" xfId="12339" xr:uid="{00000000-0005-0000-0000-000033300000}"/>
    <cellStyle name="Normal 2 2 2 2 2 2 5 6" xfId="12340" xr:uid="{00000000-0005-0000-0000-000034300000}"/>
    <cellStyle name="Normal 2 2 2 2 2 2 5 7" xfId="12341" xr:uid="{00000000-0005-0000-0000-000035300000}"/>
    <cellStyle name="Normal 2 2 2 2 2 2 5 8" xfId="12342" xr:uid="{00000000-0005-0000-0000-000036300000}"/>
    <cellStyle name="Normal 2 2 2 2 2 2 5 9" xfId="12343" xr:uid="{00000000-0005-0000-0000-000037300000}"/>
    <cellStyle name="Normal 2 2 2 2 2 2 6" xfId="12344" xr:uid="{00000000-0005-0000-0000-000038300000}"/>
    <cellStyle name="Normal 2 2 2 2 2 2 6 10" xfId="12345" xr:uid="{00000000-0005-0000-0000-000039300000}"/>
    <cellStyle name="Normal 2 2 2 2 2 2 6 11" xfId="12346" xr:uid="{00000000-0005-0000-0000-00003A300000}"/>
    <cellStyle name="Normal 2 2 2 2 2 2 6 12" xfId="12347" xr:uid="{00000000-0005-0000-0000-00003B300000}"/>
    <cellStyle name="Normal 2 2 2 2 2 2 6 13" xfId="12348" xr:uid="{00000000-0005-0000-0000-00003C300000}"/>
    <cellStyle name="Normal 2 2 2 2 2 2 6 14" xfId="12349" xr:uid="{00000000-0005-0000-0000-00003D300000}"/>
    <cellStyle name="Normal 2 2 2 2 2 2 6 2" xfId="12350" xr:uid="{00000000-0005-0000-0000-00003E300000}"/>
    <cellStyle name="Normal 2 2 2 2 2 2 6 2 10" xfId="12351" xr:uid="{00000000-0005-0000-0000-00003F300000}"/>
    <cellStyle name="Normal 2 2 2 2 2 2 6 2 2" xfId="12352" xr:uid="{00000000-0005-0000-0000-000040300000}"/>
    <cellStyle name="Normal 2 2 2 2 2 2 6 2 3" xfId="12353" xr:uid="{00000000-0005-0000-0000-000041300000}"/>
    <cellStyle name="Normal 2 2 2 2 2 2 6 2 4" xfId="12354" xr:uid="{00000000-0005-0000-0000-000042300000}"/>
    <cellStyle name="Normal 2 2 2 2 2 2 6 2 5" xfId="12355" xr:uid="{00000000-0005-0000-0000-000043300000}"/>
    <cellStyle name="Normal 2 2 2 2 2 2 6 2 6" xfId="12356" xr:uid="{00000000-0005-0000-0000-000044300000}"/>
    <cellStyle name="Normal 2 2 2 2 2 2 6 2 7" xfId="12357" xr:uid="{00000000-0005-0000-0000-000045300000}"/>
    <cellStyle name="Normal 2 2 2 2 2 2 6 2 8" xfId="12358" xr:uid="{00000000-0005-0000-0000-000046300000}"/>
    <cellStyle name="Normal 2 2 2 2 2 2 6 2 9" xfId="12359" xr:uid="{00000000-0005-0000-0000-000047300000}"/>
    <cellStyle name="Normal 2 2 2 2 2 2 6 3" xfId="12360" xr:uid="{00000000-0005-0000-0000-000048300000}"/>
    <cellStyle name="Normal 2 2 2 2 2 2 6 3 10" xfId="12361" xr:uid="{00000000-0005-0000-0000-000049300000}"/>
    <cellStyle name="Normal 2 2 2 2 2 2 6 3 2" xfId="12362" xr:uid="{00000000-0005-0000-0000-00004A300000}"/>
    <cellStyle name="Normal 2 2 2 2 2 2 6 3 3" xfId="12363" xr:uid="{00000000-0005-0000-0000-00004B300000}"/>
    <cellStyle name="Normal 2 2 2 2 2 2 6 3 4" xfId="12364" xr:uid="{00000000-0005-0000-0000-00004C300000}"/>
    <cellStyle name="Normal 2 2 2 2 2 2 6 3 5" xfId="12365" xr:uid="{00000000-0005-0000-0000-00004D300000}"/>
    <cellStyle name="Normal 2 2 2 2 2 2 6 3 6" xfId="12366" xr:uid="{00000000-0005-0000-0000-00004E300000}"/>
    <cellStyle name="Normal 2 2 2 2 2 2 6 3 7" xfId="12367" xr:uid="{00000000-0005-0000-0000-00004F300000}"/>
    <cellStyle name="Normal 2 2 2 2 2 2 6 3 8" xfId="12368" xr:uid="{00000000-0005-0000-0000-000050300000}"/>
    <cellStyle name="Normal 2 2 2 2 2 2 6 3 9" xfId="12369" xr:uid="{00000000-0005-0000-0000-000051300000}"/>
    <cellStyle name="Normal 2 2 2 2 2 2 6 4" xfId="12370" xr:uid="{00000000-0005-0000-0000-000052300000}"/>
    <cellStyle name="Normal 2 2 2 2 2 2 6 4 10" xfId="12371" xr:uid="{00000000-0005-0000-0000-000053300000}"/>
    <cellStyle name="Normal 2 2 2 2 2 2 6 4 2" xfId="12372" xr:uid="{00000000-0005-0000-0000-000054300000}"/>
    <cellStyle name="Normal 2 2 2 2 2 2 6 4 3" xfId="12373" xr:uid="{00000000-0005-0000-0000-000055300000}"/>
    <cellStyle name="Normal 2 2 2 2 2 2 6 4 4" xfId="12374" xr:uid="{00000000-0005-0000-0000-000056300000}"/>
    <cellStyle name="Normal 2 2 2 2 2 2 6 4 5" xfId="12375" xr:uid="{00000000-0005-0000-0000-000057300000}"/>
    <cellStyle name="Normal 2 2 2 2 2 2 6 4 6" xfId="12376" xr:uid="{00000000-0005-0000-0000-000058300000}"/>
    <cellStyle name="Normal 2 2 2 2 2 2 6 4 7" xfId="12377" xr:uid="{00000000-0005-0000-0000-000059300000}"/>
    <cellStyle name="Normal 2 2 2 2 2 2 6 4 8" xfId="12378" xr:uid="{00000000-0005-0000-0000-00005A300000}"/>
    <cellStyle name="Normal 2 2 2 2 2 2 6 4 9" xfId="12379" xr:uid="{00000000-0005-0000-0000-00005B300000}"/>
    <cellStyle name="Normal 2 2 2 2 2 2 6 5" xfId="12380" xr:uid="{00000000-0005-0000-0000-00005C300000}"/>
    <cellStyle name="Normal 2 2 2 2 2 2 6 5 10" xfId="12381" xr:uid="{00000000-0005-0000-0000-00005D300000}"/>
    <cellStyle name="Normal 2 2 2 2 2 2 6 5 2" xfId="12382" xr:uid="{00000000-0005-0000-0000-00005E300000}"/>
    <cellStyle name="Normal 2 2 2 2 2 2 6 5 3" xfId="12383" xr:uid="{00000000-0005-0000-0000-00005F300000}"/>
    <cellStyle name="Normal 2 2 2 2 2 2 6 5 4" xfId="12384" xr:uid="{00000000-0005-0000-0000-000060300000}"/>
    <cellStyle name="Normal 2 2 2 2 2 2 6 5 5" xfId="12385" xr:uid="{00000000-0005-0000-0000-000061300000}"/>
    <cellStyle name="Normal 2 2 2 2 2 2 6 5 6" xfId="12386" xr:uid="{00000000-0005-0000-0000-000062300000}"/>
    <cellStyle name="Normal 2 2 2 2 2 2 6 5 7" xfId="12387" xr:uid="{00000000-0005-0000-0000-000063300000}"/>
    <cellStyle name="Normal 2 2 2 2 2 2 6 5 8" xfId="12388" xr:uid="{00000000-0005-0000-0000-000064300000}"/>
    <cellStyle name="Normal 2 2 2 2 2 2 6 5 9" xfId="12389" xr:uid="{00000000-0005-0000-0000-000065300000}"/>
    <cellStyle name="Normal 2 2 2 2 2 2 6 6" xfId="12390" xr:uid="{00000000-0005-0000-0000-000066300000}"/>
    <cellStyle name="Normal 2 2 2 2 2 2 6 7" xfId="12391" xr:uid="{00000000-0005-0000-0000-000067300000}"/>
    <cellStyle name="Normal 2 2 2 2 2 2 6 8" xfId="12392" xr:uid="{00000000-0005-0000-0000-000068300000}"/>
    <cellStyle name="Normal 2 2 2 2 2 2 6 9" xfId="12393" xr:uid="{00000000-0005-0000-0000-000069300000}"/>
    <cellStyle name="Normal 2 2 2 2 2 2 7" xfId="12394" xr:uid="{00000000-0005-0000-0000-00006A300000}"/>
    <cellStyle name="Normal 2 2 2 2 2 2 7 10" xfId="12395" xr:uid="{00000000-0005-0000-0000-00006B300000}"/>
    <cellStyle name="Normal 2 2 2 2 2 2 7 11" xfId="12396" xr:uid="{00000000-0005-0000-0000-00006C300000}"/>
    <cellStyle name="Normal 2 2 2 2 2 2 7 12" xfId="12397" xr:uid="{00000000-0005-0000-0000-00006D300000}"/>
    <cellStyle name="Normal 2 2 2 2 2 2 7 13" xfId="12398" xr:uid="{00000000-0005-0000-0000-00006E300000}"/>
    <cellStyle name="Normal 2 2 2 2 2 2 7 14" xfId="12399" xr:uid="{00000000-0005-0000-0000-00006F300000}"/>
    <cellStyle name="Normal 2 2 2 2 2 2 7 2" xfId="12400" xr:uid="{00000000-0005-0000-0000-000070300000}"/>
    <cellStyle name="Normal 2 2 2 2 2 2 7 2 10" xfId="12401" xr:uid="{00000000-0005-0000-0000-000071300000}"/>
    <cellStyle name="Normal 2 2 2 2 2 2 7 2 2" xfId="12402" xr:uid="{00000000-0005-0000-0000-000072300000}"/>
    <cellStyle name="Normal 2 2 2 2 2 2 7 2 3" xfId="12403" xr:uid="{00000000-0005-0000-0000-000073300000}"/>
    <cellStyle name="Normal 2 2 2 2 2 2 7 2 4" xfId="12404" xr:uid="{00000000-0005-0000-0000-000074300000}"/>
    <cellStyle name="Normal 2 2 2 2 2 2 7 2 5" xfId="12405" xr:uid="{00000000-0005-0000-0000-000075300000}"/>
    <cellStyle name="Normal 2 2 2 2 2 2 7 2 6" xfId="12406" xr:uid="{00000000-0005-0000-0000-000076300000}"/>
    <cellStyle name="Normal 2 2 2 2 2 2 7 2 7" xfId="12407" xr:uid="{00000000-0005-0000-0000-000077300000}"/>
    <cellStyle name="Normal 2 2 2 2 2 2 7 2 8" xfId="12408" xr:uid="{00000000-0005-0000-0000-000078300000}"/>
    <cellStyle name="Normal 2 2 2 2 2 2 7 2 9" xfId="12409" xr:uid="{00000000-0005-0000-0000-000079300000}"/>
    <cellStyle name="Normal 2 2 2 2 2 2 7 3" xfId="12410" xr:uid="{00000000-0005-0000-0000-00007A300000}"/>
    <cellStyle name="Normal 2 2 2 2 2 2 7 3 10" xfId="12411" xr:uid="{00000000-0005-0000-0000-00007B300000}"/>
    <cellStyle name="Normal 2 2 2 2 2 2 7 3 2" xfId="12412" xr:uid="{00000000-0005-0000-0000-00007C300000}"/>
    <cellStyle name="Normal 2 2 2 2 2 2 7 3 3" xfId="12413" xr:uid="{00000000-0005-0000-0000-00007D300000}"/>
    <cellStyle name="Normal 2 2 2 2 2 2 7 3 4" xfId="12414" xr:uid="{00000000-0005-0000-0000-00007E300000}"/>
    <cellStyle name="Normal 2 2 2 2 2 2 7 3 5" xfId="12415" xr:uid="{00000000-0005-0000-0000-00007F300000}"/>
    <cellStyle name="Normal 2 2 2 2 2 2 7 3 6" xfId="12416" xr:uid="{00000000-0005-0000-0000-000080300000}"/>
    <cellStyle name="Normal 2 2 2 2 2 2 7 3 7" xfId="12417" xr:uid="{00000000-0005-0000-0000-000081300000}"/>
    <cellStyle name="Normal 2 2 2 2 2 2 7 3 8" xfId="12418" xr:uid="{00000000-0005-0000-0000-000082300000}"/>
    <cellStyle name="Normal 2 2 2 2 2 2 7 3 9" xfId="12419" xr:uid="{00000000-0005-0000-0000-000083300000}"/>
    <cellStyle name="Normal 2 2 2 2 2 2 7 4" xfId="12420" xr:uid="{00000000-0005-0000-0000-000084300000}"/>
    <cellStyle name="Normal 2 2 2 2 2 2 7 4 10" xfId="12421" xr:uid="{00000000-0005-0000-0000-000085300000}"/>
    <cellStyle name="Normal 2 2 2 2 2 2 7 4 2" xfId="12422" xr:uid="{00000000-0005-0000-0000-000086300000}"/>
    <cellStyle name="Normal 2 2 2 2 2 2 7 4 3" xfId="12423" xr:uid="{00000000-0005-0000-0000-000087300000}"/>
    <cellStyle name="Normal 2 2 2 2 2 2 7 4 4" xfId="12424" xr:uid="{00000000-0005-0000-0000-000088300000}"/>
    <cellStyle name="Normal 2 2 2 2 2 2 7 4 5" xfId="12425" xr:uid="{00000000-0005-0000-0000-000089300000}"/>
    <cellStyle name="Normal 2 2 2 2 2 2 7 4 6" xfId="12426" xr:uid="{00000000-0005-0000-0000-00008A300000}"/>
    <cellStyle name="Normal 2 2 2 2 2 2 7 4 7" xfId="12427" xr:uid="{00000000-0005-0000-0000-00008B300000}"/>
    <cellStyle name="Normal 2 2 2 2 2 2 7 4 8" xfId="12428" xr:uid="{00000000-0005-0000-0000-00008C300000}"/>
    <cellStyle name="Normal 2 2 2 2 2 2 7 4 9" xfId="12429" xr:uid="{00000000-0005-0000-0000-00008D300000}"/>
    <cellStyle name="Normal 2 2 2 2 2 2 7 5" xfId="12430" xr:uid="{00000000-0005-0000-0000-00008E300000}"/>
    <cellStyle name="Normal 2 2 2 2 2 2 7 5 10" xfId="12431" xr:uid="{00000000-0005-0000-0000-00008F300000}"/>
    <cellStyle name="Normal 2 2 2 2 2 2 7 5 2" xfId="12432" xr:uid="{00000000-0005-0000-0000-000090300000}"/>
    <cellStyle name="Normal 2 2 2 2 2 2 7 5 3" xfId="12433" xr:uid="{00000000-0005-0000-0000-000091300000}"/>
    <cellStyle name="Normal 2 2 2 2 2 2 7 5 4" xfId="12434" xr:uid="{00000000-0005-0000-0000-000092300000}"/>
    <cellStyle name="Normal 2 2 2 2 2 2 7 5 5" xfId="12435" xr:uid="{00000000-0005-0000-0000-000093300000}"/>
    <cellStyle name="Normal 2 2 2 2 2 2 7 5 6" xfId="12436" xr:uid="{00000000-0005-0000-0000-000094300000}"/>
    <cellStyle name="Normal 2 2 2 2 2 2 7 5 7" xfId="12437" xr:uid="{00000000-0005-0000-0000-000095300000}"/>
    <cellStyle name="Normal 2 2 2 2 2 2 7 5 8" xfId="12438" xr:uid="{00000000-0005-0000-0000-000096300000}"/>
    <cellStyle name="Normal 2 2 2 2 2 2 7 5 9" xfId="12439" xr:uid="{00000000-0005-0000-0000-000097300000}"/>
    <cellStyle name="Normal 2 2 2 2 2 2 7 6" xfId="12440" xr:uid="{00000000-0005-0000-0000-000098300000}"/>
    <cellStyle name="Normal 2 2 2 2 2 2 7 7" xfId="12441" xr:uid="{00000000-0005-0000-0000-000099300000}"/>
    <cellStyle name="Normal 2 2 2 2 2 2 7 8" xfId="12442" xr:uid="{00000000-0005-0000-0000-00009A300000}"/>
    <cellStyle name="Normal 2 2 2 2 2 2 7 9" xfId="12443" xr:uid="{00000000-0005-0000-0000-00009B300000}"/>
    <cellStyle name="Normal 2 2 2 2 2 2 8" xfId="12444" xr:uid="{00000000-0005-0000-0000-00009C300000}"/>
    <cellStyle name="Normal 2 2 2 2 2 2 8 10" xfId="12445" xr:uid="{00000000-0005-0000-0000-00009D300000}"/>
    <cellStyle name="Normal 2 2 2 2 2 2 8 11" xfId="12446" xr:uid="{00000000-0005-0000-0000-00009E300000}"/>
    <cellStyle name="Normal 2 2 2 2 2 2 8 12" xfId="12447" xr:uid="{00000000-0005-0000-0000-00009F300000}"/>
    <cellStyle name="Normal 2 2 2 2 2 2 8 13" xfId="12448" xr:uid="{00000000-0005-0000-0000-0000A0300000}"/>
    <cellStyle name="Normal 2 2 2 2 2 2 8 14" xfId="12449" xr:uid="{00000000-0005-0000-0000-0000A1300000}"/>
    <cellStyle name="Normal 2 2 2 2 2 2 8 2" xfId="12450" xr:uid="{00000000-0005-0000-0000-0000A2300000}"/>
    <cellStyle name="Normal 2 2 2 2 2 2 8 2 10" xfId="12451" xr:uid="{00000000-0005-0000-0000-0000A3300000}"/>
    <cellStyle name="Normal 2 2 2 2 2 2 8 2 2" xfId="12452" xr:uid="{00000000-0005-0000-0000-0000A4300000}"/>
    <cellStyle name="Normal 2 2 2 2 2 2 8 2 3" xfId="12453" xr:uid="{00000000-0005-0000-0000-0000A5300000}"/>
    <cellStyle name="Normal 2 2 2 2 2 2 8 2 4" xfId="12454" xr:uid="{00000000-0005-0000-0000-0000A6300000}"/>
    <cellStyle name="Normal 2 2 2 2 2 2 8 2 5" xfId="12455" xr:uid="{00000000-0005-0000-0000-0000A7300000}"/>
    <cellStyle name="Normal 2 2 2 2 2 2 8 2 6" xfId="12456" xr:uid="{00000000-0005-0000-0000-0000A8300000}"/>
    <cellStyle name="Normal 2 2 2 2 2 2 8 2 7" xfId="12457" xr:uid="{00000000-0005-0000-0000-0000A9300000}"/>
    <cellStyle name="Normal 2 2 2 2 2 2 8 2 8" xfId="12458" xr:uid="{00000000-0005-0000-0000-0000AA300000}"/>
    <cellStyle name="Normal 2 2 2 2 2 2 8 2 9" xfId="12459" xr:uid="{00000000-0005-0000-0000-0000AB300000}"/>
    <cellStyle name="Normal 2 2 2 2 2 2 8 3" xfId="12460" xr:uid="{00000000-0005-0000-0000-0000AC300000}"/>
    <cellStyle name="Normal 2 2 2 2 2 2 8 3 10" xfId="12461" xr:uid="{00000000-0005-0000-0000-0000AD300000}"/>
    <cellStyle name="Normal 2 2 2 2 2 2 8 3 2" xfId="12462" xr:uid="{00000000-0005-0000-0000-0000AE300000}"/>
    <cellStyle name="Normal 2 2 2 2 2 2 8 3 3" xfId="12463" xr:uid="{00000000-0005-0000-0000-0000AF300000}"/>
    <cellStyle name="Normal 2 2 2 2 2 2 8 3 4" xfId="12464" xr:uid="{00000000-0005-0000-0000-0000B0300000}"/>
    <cellStyle name="Normal 2 2 2 2 2 2 8 3 5" xfId="12465" xr:uid="{00000000-0005-0000-0000-0000B1300000}"/>
    <cellStyle name="Normal 2 2 2 2 2 2 8 3 6" xfId="12466" xr:uid="{00000000-0005-0000-0000-0000B2300000}"/>
    <cellStyle name="Normal 2 2 2 2 2 2 8 3 7" xfId="12467" xr:uid="{00000000-0005-0000-0000-0000B3300000}"/>
    <cellStyle name="Normal 2 2 2 2 2 2 8 3 8" xfId="12468" xr:uid="{00000000-0005-0000-0000-0000B4300000}"/>
    <cellStyle name="Normal 2 2 2 2 2 2 8 3 9" xfId="12469" xr:uid="{00000000-0005-0000-0000-0000B5300000}"/>
    <cellStyle name="Normal 2 2 2 2 2 2 8 4" xfId="12470" xr:uid="{00000000-0005-0000-0000-0000B6300000}"/>
    <cellStyle name="Normal 2 2 2 2 2 2 8 4 10" xfId="12471" xr:uid="{00000000-0005-0000-0000-0000B7300000}"/>
    <cellStyle name="Normal 2 2 2 2 2 2 8 4 2" xfId="12472" xr:uid="{00000000-0005-0000-0000-0000B8300000}"/>
    <cellStyle name="Normal 2 2 2 2 2 2 8 4 3" xfId="12473" xr:uid="{00000000-0005-0000-0000-0000B9300000}"/>
    <cellStyle name="Normal 2 2 2 2 2 2 8 4 4" xfId="12474" xr:uid="{00000000-0005-0000-0000-0000BA300000}"/>
    <cellStyle name="Normal 2 2 2 2 2 2 8 4 5" xfId="12475" xr:uid="{00000000-0005-0000-0000-0000BB300000}"/>
    <cellStyle name="Normal 2 2 2 2 2 2 8 4 6" xfId="12476" xr:uid="{00000000-0005-0000-0000-0000BC300000}"/>
    <cellStyle name="Normal 2 2 2 2 2 2 8 4 7" xfId="12477" xr:uid="{00000000-0005-0000-0000-0000BD300000}"/>
    <cellStyle name="Normal 2 2 2 2 2 2 8 4 8" xfId="12478" xr:uid="{00000000-0005-0000-0000-0000BE300000}"/>
    <cellStyle name="Normal 2 2 2 2 2 2 8 4 9" xfId="12479" xr:uid="{00000000-0005-0000-0000-0000BF300000}"/>
    <cellStyle name="Normal 2 2 2 2 2 2 8 5" xfId="12480" xr:uid="{00000000-0005-0000-0000-0000C0300000}"/>
    <cellStyle name="Normal 2 2 2 2 2 2 8 5 10" xfId="12481" xr:uid="{00000000-0005-0000-0000-0000C1300000}"/>
    <cellStyle name="Normal 2 2 2 2 2 2 8 5 2" xfId="12482" xr:uid="{00000000-0005-0000-0000-0000C2300000}"/>
    <cellStyle name="Normal 2 2 2 2 2 2 8 5 3" xfId="12483" xr:uid="{00000000-0005-0000-0000-0000C3300000}"/>
    <cellStyle name="Normal 2 2 2 2 2 2 8 5 4" xfId="12484" xr:uid="{00000000-0005-0000-0000-0000C4300000}"/>
    <cellStyle name="Normal 2 2 2 2 2 2 8 5 5" xfId="12485" xr:uid="{00000000-0005-0000-0000-0000C5300000}"/>
    <cellStyle name="Normal 2 2 2 2 2 2 8 5 6" xfId="12486" xr:uid="{00000000-0005-0000-0000-0000C6300000}"/>
    <cellStyle name="Normal 2 2 2 2 2 2 8 5 7" xfId="12487" xr:uid="{00000000-0005-0000-0000-0000C7300000}"/>
    <cellStyle name="Normal 2 2 2 2 2 2 8 5 8" xfId="12488" xr:uid="{00000000-0005-0000-0000-0000C8300000}"/>
    <cellStyle name="Normal 2 2 2 2 2 2 8 5 9" xfId="12489" xr:uid="{00000000-0005-0000-0000-0000C9300000}"/>
    <cellStyle name="Normal 2 2 2 2 2 2 8 6" xfId="12490" xr:uid="{00000000-0005-0000-0000-0000CA300000}"/>
    <cellStyle name="Normal 2 2 2 2 2 2 8 7" xfId="12491" xr:uid="{00000000-0005-0000-0000-0000CB300000}"/>
    <cellStyle name="Normal 2 2 2 2 2 2 8 8" xfId="12492" xr:uid="{00000000-0005-0000-0000-0000CC300000}"/>
    <cellStyle name="Normal 2 2 2 2 2 2 8 9" xfId="12493" xr:uid="{00000000-0005-0000-0000-0000CD300000}"/>
    <cellStyle name="Normal 2 2 2 2 2 2 9" xfId="12494" xr:uid="{00000000-0005-0000-0000-0000CE300000}"/>
    <cellStyle name="Normal 2 2 2 2 2 2 9 10" xfId="12495" xr:uid="{00000000-0005-0000-0000-0000CF300000}"/>
    <cellStyle name="Normal 2 2 2 2 2 2 9 11" xfId="12496" xr:uid="{00000000-0005-0000-0000-0000D0300000}"/>
    <cellStyle name="Normal 2 2 2 2 2 2 9 12" xfId="12497" xr:uid="{00000000-0005-0000-0000-0000D1300000}"/>
    <cellStyle name="Normal 2 2 2 2 2 2 9 13" xfId="12498" xr:uid="{00000000-0005-0000-0000-0000D2300000}"/>
    <cellStyle name="Normal 2 2 2 2 2 2 9 14" xfId="12499" xr:uid="{00000000-0005-0000-0000-0000D3300000}"/>
    <cellStyle name="Normal 2 2 2 2 2 2 9 2" xfId="12500" xr:uid="{00000000-0005-0000-0000-0000D4300000}"/>
    <cellStyle name="Normal 2 2 2 2 2 2 9 2 10" xfId="12501" xr:uid="{00000000-0005-0000-0000-0000D5300000}"/>
    <cellStyle name="Normal 2 2 2 2 2 2 9 2 2" xfId="12502" xr:uid="{00000000-0005-0000-0000-0000D6300000}"/>
    <cellStyle name="Normal 2 2 2 2 2 2 9 2 3" xfId="12503" xr:uid="{00000000-0005-0000-0000-0000D7300000}"/>
    <cellStyle name="Normal 2 2 2 2 2 2 9 2 4" xfId="12504" xr:uid="{00000000-0005-0000-0000-0000D8300000}"/>
    <cellStyle name="Normal 2 2 2 2 2 2 9 2 5" xfId="12505" xr:uid="{00000000-0005-0000-0000-0000D9300000}"/>
    <cellStyle name="Normal 2 2 2 2 2 2 9 2 6" xfId="12506" xr:uid="{00000000-0005-0000-0000-0000DA300000}"/>
    <cellStyle name="Normal 2 2 2 2 2 2 9 2 7" xfId="12507" xr:uid="{00000000-0005-0000-0000-0000DB300000}"/>
    <cellStyle name="Normal 2 2 2 2 2 2 9 2 8" xfId="12508" xr:uid="{00000000-0005-0000-0000-0000DC300000}"/>
    <cellStyle name="Normal 2 2 2 2 2 2 9 2 9" xfId="12509" xr:uid="{00000000-0005-0000-0000-0000DD300000}"/>
    <cellStyle name="Normal 2 2 2 2 2 2 9 3" xfId="12510" xr:uid="{00000000-0005-0000-0000-0000DE300000}"/>
    <cellStyle name="Normal 2 2 2 2 2 2 9 3 10" xfId="12511" xr:uid="{00000000-0005-0000-0000-0000DF300000}"/>
    <cellStyle name="Normal 2 2 2 2 2 2 9 3 2" xfId="12512" xr:uid="{00000000-0005-0000-0000-0000E0300000}"/>
    <cellStyle name="Normal 2 2 2 2 2 2 9 3 3" xfId="12513" xr:uid="{00000000-0005-0000-0000-0000E1300000}"/>
    <cellStyle name="Normal 2 2 2 2 2 2 9 3 4" xfId="12514" xr:uid="{00000000-0005-0000-0000-0000E2300000}"/>
    <cellStyle name="Normal 2 2 2 2 2 2 9 3 5" xfId="12515" xr:uid="{00000000-0005-0000-0000-0000E3300000}"/>
    <cellStyle name="Normal 2 2 2 2 2 2 9 3 6" xfId="12516" xr:uid="{00000000-0005-0000-0000-0000E4300000}"/>
    <cellStyle name="Normal 2 2 2 2 2 2 9 3 7" xfId="12517" xr:uid="{00000000-0005-0000-0000-0000E5300000}"/>
    <cellStyle name="Normal 2 2 2 2 2 2 9 3 8" xfId="12518" xr:uid="{00000000-0005-0000-0000-0000E6300000}"/>
    <cellStyle name="Normal 2 2 2 2 2 2 9 3 9" xfId="12519" xr:uid="{00000000-0005-0000-0000-0000E7300000}"/>
    <cellStyle name="Normal 2 2 2 2 2 2 9 4" xfId="12520" xr:uid="{00000000-0005-0000-0000-0000E8300000}"/>
    <cellStyle name="Normal 2 2 2 2 2 2 9 4 10" xfId="12521" xr:uid="{00000000-0005-0000-0000-0000E9300000}"/>
    <cellStyle name="Normal 2 2 2 2 2 2 9 4 2" xfId="12522" xr:uid="{00000000-0005-0000-0000-0000EA300000}"/>
    <cellStyle name="Normal 2 2 2 2 2 2 9 4 3" xfId="12523" xr:uid="{00000000-0005-0000-0000-0000EB300000}"/>
    <cellStyle name="Normal 2 2 2 2 2 2 9 4 4" xfId="12524" xr:uid="{00000000-0005-0000-0000-0000EC300000}"/>
    <cellStyle name="Normal 2 2 2 2 2 2 9 4 5" xfId="12525" xr:uid="{00000000-0005-0000-0000-0000ED300000}"/>
    <cellStyle name="Normal 2 2 2 2 2 2 9 4 6" xfId="12526" xr:uid="{00000000-0005-0000-0000-0000EE300000}"/>
    <cellStyle name="Normal 2 2 2 2 2 2 9 4 7" xfId="12527" xr:uid="{00000000-0005-0000-0000-0000EF300000}"/>
    <cellStyle name="Normal 2 2 2 2 2 2 9 4 8" xfId="12528" xr:uid="{00000000-0005-0000-0000-0000F0300000}"/>
    <cellStyle name="Normal 2 2 2 2 2 2 9 4 9" xfId="12529" xr:uid="{00000000-0005-0000-0000-0000F1300000}"/>
    <cellStyle name="Normal 2 2 2 2 2 2 9 5" xfId="12530" xr:uid="{00000000-0005-0000-0000-0000F2300000}"/>
    <cellStyle name="Normal 2 2 2 2 2 2 9 5 10" xfId="12531" xr:uid="{00000000-0005-0000-0000-0000F3300000}"/>
    <cellStyle name="Normal 2 2 2 2 2 2 9 5 2" xfId="12532" xr:uid="{00000000-0005-0000-0000-0000F4300000}"/>
    <cellStyle name="Normal 2 2 2 2 2 2 9 5 3" xfId="12533" xr:uid="{00000000-0005-0000-0000-0000F5300000}"/>
    <cellStyle name="Normal 2 2 2 2 2 2 9 5 4" xfId="12534" xr:uid="{00000000-0005-0000-0000-0000F6300000}"/>
    <cellStyle name="Normal 2 2 2 2 2 2 9 5 5" xfId="12535" xr:uid="{00000000-0005-0000-0000-0000F7300000}"/>
    <cellStyle name="Normal 2 2 2 2 2 2 9 5 6" xfId="12536" xr:uid="{00000000-0005-0000-0000-0000F8300000}"/>
    <cellStyle name="Normal 2 2 2 2 2 2 9 5 7" xfId="12537" xr:uid="{00000000-0005-0000-0000-0000F9300000}"/>
    <cellStyle name="Normal 2 2 2 2 2 2 9 5 8" xfId="12538" xr:uid="{00000000-0005-0000-0000-0000FA300000}"/>
    <cellStyle name="Normal 2 2 2 2 2 2 9 5 9" xfId="12539" xr:uid="{00000000-0005-0000-0000-0000FB300000}"/>
    <cellStyle name="Normal 2 2 2 2 2 2 9 6" xfId="12540" xr:uid="{00000000-0005-0000-0000-0000FC300000}"/>
    <cellStyle name="Normal 2 2 2 2 2 2 9 7" xfId="12541" xr:uid="{00000000-0005-0000-0000-0000FD300000}"/>
    <cellStyle name="Normal 2 2 2 2 2 2 9 8" xfId="12542" xr:uid="{00000000-0005-0000-0000-0000FE300000}"/>
    <cellStyle name="Normal 2 2 2 2 2 2 9 9" xfId="12543" xr:uid="{00000000-0005-0000-0000-0000FF300000}"/>
    <cellStyle name="Normal 2 2 2 2 2 20" xfId="12544" xr:uid="{00000000-0005-0000-0000-000000310000}"/>
    <cellStyle name="Normal 2 2 2 2 2 20 10" xfId="12545" xr:uid="{00000000-0005-0000-0000-000001310000}"/>
    <cellStyle name="Normal 2 2 2 2 2 20 11" xfId="12546" xr:uid="{00000000-0005-0000-0000-000002310000}"/>
    <cellStyle name="Normal 2 2 2 2 2 20 12" xfId="12547" xr:uid="{00000000-0005-0000-0000-000003310000}"/>
    <cellStyle name="Normal 2 2 2 2 2 20 13" xfId="12548" xr:uid="{00000000-0005-0000-0000-000004310000}"/>
    <cellStyle name="Normal 2 2 2 2 2 20 14" xfId="12549" xr:uid="{00000000-0005-0000-0000-000005310000}"/>
    <cellStyle name="Normal 2 2 2 2 2 20 2" xfId="12550" xr:uid="{00000000-0005-0000-0000-000006310000}"/>
    <cellStyle name="Normal 2 2 2 2 2 20 2 10" xfId="12551" xr:uid="{00000000-0005-0000-0000-000007310000}"/>
    <cellStyle name="Normal 2 2 2 2 2 20 2 2" xfId="12552" xr:uid="{00000000-0005-0000-0000-000008310000}"/>
    <cellStyle name="Normal 2 2 2 2 2 20 2 3" xfId="12553" xr:uid="{00000000-0005-0000-0000-000009310000}"/>
    <cellStyle name="Normal 2 2 2 2 2 20 2 4" xfId="12554" xr:uid="{00000000-0005-0000-0000-00000A310000}"/>
    <cellStyle name="Normal 2 2 2 2 2 20 2 5" xfId="12555" xr:uid="{00000000-0005-0000-0000-00000B310000}"/>
    <cellStyle name="Normal 2 2 2 2 2 20 2 6" xfId="12556" xr:uid="{00000000-0005-0000-0000-00000C310000}"/>
    <cellStyle name="Normal 2 2 2 2 2 20 2 7" xfId="12557" xr:uid="{00000000-0005-0000-0000-00000D310000}"/>
    <cellStyle name="Normal 2 2 2 2 2 20 2 8" xfId="12558" xr:uid="{00000000-0005-0000-0000-00000E310000}"/>
    <cellStyle name="Normal 2 2 2 2 2 20 2 9" xfId="12559" xr:uid="{00000000-0005-0000-0000-00000F310000}"/>
    <cellStyle name="Normal 2 2 2 2 2 20 3" xfId="12560" xr:uid="{00000000-0005-0000-0000-000010310000}"/>
    <cellStyle name="Normal 2 2 2 2 2 20 3 10" xfId="12561" xr:uid="{00000000-0005-0000-0000-000011310000}"/>
    <cellStyle name="Normal 2 2 2 2 2 20 3 2" xfId="12562" xr:uid="{00000000-0005-0000-0000-000012310000}"/>
    <cellStyle name="Normal 2 2 2 2 2 20 3 3" xfId="12563" xr:uid="{00000000-0005-0000-0000-000013310000}"/>
    <cellStyle name="Normal 2 2 2 2 2 20 3 4" xfId="12564" xr:uid="{00000000-0005-0000-0000-000014310000}"/>
    <cellStyle name="Normal 2 2 2 2 2 20 3 5" xfId="12565" xr:uid="{00000000-0005-0000-0000-000015310000}"/>
    <cellStyle name="Normal 2 2 2 2 2 20 3 6" xfId="12566" xr:uid="{00000000-0005-0000-0000-000016310000}"/>
    <cellStyle name="Normal 2 2 2 2 2 20 3 7" xfId="12567" xr:uid="{00000000-0005-0000-0000-000017310000}"/>
    <cellStyle name="Normal 2 2 2 2 2 20 3 8" xfId="12568" xr:uid="{00000000-0005-0000-0000-000018310000}"/>
    <cellStyle name="Normal 2 2 2 2 2 20 3 9" xfId="12569" xr:uid="{00000000-0005-0000-0000-000019310000}"/>
    <cellStyle name="Normal 2 2 2 2 2 20 4" xfId="12570" xr:uid="{00000000-0005-0000-0000-00001A310000}"/>
    <cellStyle name="Normal 2 2 2 2 2 20 4 10" xfId="12571" xr:uid="{00000000-0005-0000-0000-00001B310000}"/>
    <cellStyle name="Normal 2 2 2 2 2 20 4 2" xfId="12572" xr:uid="{00000000-0005-0000-0000-00001C310000}"/>
    <cellStyle name="Normal 2 2 2 2 2 20 4 3" xfId="12573" xr:uid="{00000000-0005-0000-0000-00001D310000}"/>
    <cellStyle name="Normal 2 2 2 2 2 20 4 4" xfId="12574" xr:uid="{00000000-0005-0000-0000-00001E310000}"/>
    <cellStyle name="Normal 2 2 2 2 2 20 4 5" xfId="12575" xr:uid="{00000000-0005-0000-0000-00001F310000}"/>
    <cellStyle name="Normal 2 2 2 2 2 20 4 6" xfId="12576" xr:uid="{00000000-0005-0000-0000-000020310000}"/>
    <cellStyle name="Normal 2 2 2 2 2 20 4 7" xfId="12577" xr:uid="{00000000-0005-0000-0000-000021310000}"/>
    <cellStyle name="Normal 2 2 2 2 2 20 4 8" xfId="12578" xr:uid="{00000000-0005-0000-0000-000022310000}"/>
    <cellStyle name="Normal 2 2 2 2 2 20 4 9" xfId="12579" xr:uid="{00000000-0005-0000-0000-000023310000}"/>
    <cellStyle name="Normal 2 2 2 2 2 20 5" xfId="12580" xr:uid="{00000000-0005-0000-0000-000024310000}"/>
    <cellStyle name="Normal 2 2 2 2 2 20 5 10" xfId="12581" xr:uid="{00000000-0005-0000-0000-000025310000}"/>
    <cellStyle name="Normal 2 2 2 2 2 20 5 2" xfId="12582" xr:uid="{00000000-0005-0000-0000-000026310000}"/>
    <cellStyle name="Normal 2 2 2 2 2 20 5 3" xfId="12583" xr:uid="{00000000-0005-0000-0000-000027310000}"/>
    <cellStyle name="Normal 2 2 2 2 2 20 5 4" xfId="12584" xr:uid="{00000000-0005-0000-0000-000028310000}"/>
    <cellStyle name="Normal 2 2 2 2 2 20 5 5" xfId="12585" xr:uid="{00000000-0005-0000-0000-000029310000}"/>
    <cellStyle name="Normal 2 2 2 2 2 20 5 6" xfId="12586" xr:uid="{00000000-0005-0000-0000-00002A310000}"/>
    <cellStyle name="Normal 2 2 2 2 2 20 5 7" xfId="12587" xr:uid="{00000000-0005-0000-0000-00002B310000}"/>
    <cellStyle name="Normal 2 2 2 2 2 20 5 8" xfId="12588" xr:uid="{00000000-0005-0000-0000-00002C310000}"/>
    <cellStyle name="Normal 2 2 2 2 2 20 5 9" xfId="12589" xr:uid="{00000000-0005-0000-0000-00002D310000}"/>
    <cellStyle name="Normal 2 2 2 2 2 20 6" xfId="12590" xr:uid="{00000000-0005-0000-0000-00002E310000}"/>
    <cellStyle name="Normal 2 2 2 2 2 20 7" xfId="12591" xr:uid="{00000000-0005-0000-0000-00002F310000}"/>
    <cellStyle name="Normal 2 2 2 2 2 20 8" xfId="12592" xr:uid="{00000000-0005-0000-0000-000030310000}"/>
    <cellStyle name="Normal 2 2 2 2 2 20 9" xfId="12593" xr:uid="{00000000-0005-0000-0000-000031310000}"/>
    <cellStyle name="Normal 2 2 2 2 2 21" xfId="12594" xr:uid="{00000000-0005-0000-0000-000032310000}"/>
    <cellStyle name="Normal 2 2 2 2 2 21 10" xfId="12595" xr:uid="{00000000-0005-0000-0000-000033310000}"/>
    <cellStyle name="Normal 2 2 2 2 2 21 11" xfId="12596" xr:uid="{00000000-0005-0000-0000-000034310000}"/>
    <cellStyle name="Normal 2 2 2 2 2 21 12" xfId="12597" xr:uid="{00000000-0005-0000-0000-000035310000}"/>
    <cellStyle name="Normal 2 2 2 2 2 21 13" xfId="12598" xr:uid="{00000000-0005-0000-0000-000036310000}"/>
    <cellStyle name="Normal 2 2 2 2 2 21 14" xfId="12599" xr:uid="{00000000-0005-0000-0000-000037310000}"/>
    <cellStyle name="Normal 2 2 2 2 2 21 2" xfId="12600" xr:uid="{00000000-0005-0000-0000-000038310000}"/>
    <cellStyle name="Normal 2 2 2 2 2 21 2 10" xfId="12601" xr:uid="{00000000-0005-0000-0000-000039310000}"/>
    <cellStyle name="Normal 2 2 2 2 2 21 2 2" xfId="12602" xr:uid="{00000000-0005-0000-0000-00003A310000}"/>
    <cellStyle name="Normal 2 2 2 2 2 21 2 3" xfId="12603" xr:uid="{00000000-0005-0000-0000-00003B310000}"/>
    <cellStyle name="Normal 2 2 2 2 2 21 2 4" xfId="12604" xr:uid="{00000000-0005-0000-0000-00003C310000}"/>
    <cellStyle name="Normal 2 2 2 2 2 21 2 5" xfId="12605" xr:uid="{00000000-0005-0000-0000-00003D310000}"/>
    <cellStyle name="Normal 2 2 2 2 2 21 2 6" xfId="12606" xr:uid="{00000000-0005-0000-0000-00003E310000}"/>
    <cellStyle name="Normal 2 2 2 2 2 21 2 7" xfId="12607" xr:uid="{00000000-0005-0000-0000-00003F310000}"/>
    <cellStyle name="Normal 2 2 2 2 2 21 2 8" xfId="12608" xr:uid="{00000000-0005-0000-0000-000040310000}"/>
    <cellStyle name="Normal 2 2 2 2 2 21 2 9" xfId="12609" xr:uid="{00000000-0005-0000-0000-000041310000}"/>
    <cellStyle name="Normal 2 2 2 2 2 21 3" xfId="12610" xr:uid="{00000000-0005-0000-0000-000042310000}"/>
    <cellStyle name="Normal 2 2 2 2 2 21 3 10" xfId="12611" xr:uid="{00000000-0005-0000-0000-000043310000}"/>
    <cellStyle name="Normal 2 2 2 2 2 21 3 2" xfId="12612" xr:uid="{00000000-0005-0000-0000-000044310000}"/>
    <cellStyle name="Normal 2 2 2 2 2 21 3 3" xfId="12613" xr:uid="{00000000-0005-0000-0000-000045310000}"/>
    <cellStyle name="Normal 2 2 2 2 2 21 3 4" xfId="12614" xr:uid="{00000000-0005-0000-0000-000046310000}"/>
    <cellStyle name="Normal 2 2 2 2 2 21 3 5" xfId="12615" xr:uid="{00000000-0005-0000-0000-000047310000}"/>
    <cellStyle name="Normal 2 2 2 2 2 21 3 6" xfId="12616" xr:uid="{00000000-0005-0000-0000-000048310000}"/>
    <cellStyle name="Normal 2 2 2 2 2 21 3 7" xfId="12617" xr:uid="{00000000-0005-0000-0000-000049310000}"/>
    <cellStyle name="Normal 2 2 2 2 2 21 3 8" xfId="12618" xr:uid="{00000000-0005-0000-0000-00004A310000}"/>
    <cellStyle name="Normal 2 2 2 2 2 21 3 9" xfId="12619" xr:uid="{00000000-0005-0000-0000-00004B310000}"/>
    <cellStyle name="Normal 2 2 2 2 2 21 4" xfId="12620" xr:uid="{00000000-0005-0000-0000-00004C310000}"/>
    <cellStyle name="Normal 2 2 2 2 2 21 4 10" xfId="12621" xr:uid="{00000000-0005-0000-0000-00004D310000}"/>
    <cellStyle name="Normal 2 2 2 2 2 21 4 2" xfId="12622" xr:uid="{00000000-0005-0000-0000-00004E310000}"/>
    <cellStyle name="Normal 2 2 2 2 2 21 4 3" xfId="12623" xr:uid="{00000000-0005-0000-0000-00004F310000}"/>
    <cellStyle name="Normal 2 2 2 2 2 21 4 4" xfId="12624" xr:uid="{00000000-0005-0000-0000-000050310000}"/>
    <cellStyle name="Normal 2 2 2 2 2 21 4 5" xfId="12625" xr:uid="{00000000-0005-0000-0000-000051310000}"/>
    <cellStyle name="Normal 2 2 2 2 2 21 4 6" xfId="12626" xr:uid="{00000000-0005-0000-0000-000052310000}"/>
    <cellStyle name="Normal 2 2 2 2 2 21 4 7" xfId="12627" xr:uid="{00000000-0005-0000-0000-000053310000}"/>
    <cellStyle name="Normal 2 2 2 2 2 21 4 8" xfId="12628" xr:uid="{00000000-0005-0000-0000-000054310000}"/>
    <cellStyle name="Normal 2 2 2 2 2 21 4 9" xfId="12629" xr:uid="{00000000-0005-0000-0000-000055310000}"/>
    <cellStyle name="Normal 2 2 2 2 2 21 5" xfId="12630" xr:uid="{00000000-0005-0000-0000-000056310000}"/>
    <cellStyle name="Normal 2 2 2 2 2 21 5 10" xfId="12631" xr:uid="{00000000-0005-0000-0000-000057310000}"/>
    <cellStyle name="Normal 2 2 2 2 2 21 5 2" xfId="12632" xr:uid="{00000000-0005-0000-0000-000058310000}"/>
    <cellStyle name="Normal 2 2 2 2 2 21 5 3" xfId="12633" xr:uid="{00000000-0005-0000-0000-000059310000}"/>
    <cellStyle name="Normal 2 2 2 2 2 21 5 4" xfId="12634" xr:uid="{00000000-0005-0000-0000-00005A310000}"/>
    <cellStyle name="Normal 2 2 2 2 2 21 5 5" xfId="12635" xr:uid="{00000000-0005-0000-0000-00005B310000}"/>
    <cellStyle name="Normal 2 2 2 2 2 21 5 6" xfId="12636" xr:uid="{00000000-0005-0000-0000-00005C310000}"/>
    <cellStyle name="Normal 2 2 2 2 2 21 5 7" xfId="12637" xr:uid="{00000000-0005-0000-0000-00005D310000}"/>
    <cellStyle name="Normal 2 2 2 2 2 21 5 8" xfId="12638" xr:uid="{00000000-0005-0000-0000-00005E310000}"/>
    <cellStyle name="Normal 2 2 2 2 2 21 5 9" xfId="12639" xr:uid="{00000000-0005-0000-0000-00005F310000}"/>
    <cellStyle name="Normal 2 2 2 2 2 21 6" xfId="12640" xr:uid="{00000000-0005-0000-0000-000060310000}"/>
    <cellStyle name="Normal 2 2 2 2 2 21 7" xfId="12641" xr:uid="{00000000-0005-0000-0000-000061310000}"/>
    <cellStyle name="Normal 2 2 2 2 2 21 8" xfId="12642" xr:uid="{00000000-0005-0000-0000-000062310000}"/>
    <cellStyle name="Normal 2 2 2 2 2 21 9" xfId="12643" xr:uid="{00000000-0005-0000-0000-000063310000}"/>
    <cellStyle name="Normal 2 2 2 2 2 22" xfId="12644" xr:uid="{00000000-0005-0000-0000-000064310000}"/>
    <cellStyle name="Normal 2 2 2 2 2 22 10" xfId="12645" xr:uid="{00000000-0005-0000-0000-000065310000}"/>
    <cellStyle name="Normal 2 2 2 2 2 22 11" xfId="12646" xr:uid="{00000000-0005-0000-0000-000066310000}"/>
    <cellStyle name="Normal 2 2 2 2 2 22 12" xfId="12647" xr:uid="{00000000-0005-0000-0000-000067310000}"/>
    <cellStyle name="Normal 2 2 2 2 2 22 13" xfId="12648" xr:uid="{00000000-0005-0000-0000-000068310000}"/>
    <cellStyle name="Normal 2 2 2 2 2 22 14" xfId="12649" xr:uid="{00000000-0005-0000-0000-000069310000}"/>
    <cellStyle name="Normal 2 2 2 2 2 22 2" xfId="12650" xr:uid="{00000000-0005-0000-0000-00006A310000}"/>
    <cellStyle name="Normal 2 2 2 2 2 22 2 10" xfId="12651" xr:uid="{00000000-0005-0000-0000-00006B310000}"/>
    <cellStyle name="Normal 2 2 2 2 2 22 2 2" xfId="12652" xr:uid="{00000000-0005-0000-0000-00006C310000}"/>
    <cellStyle name="Normal 2 2 2 2 2 22 2 3" xfId="12653" xr:uid="{00000000-0005-0000-0000-00006D310000}"/>
    <cellStyle name="Normal 2 2 2 2 2 22 2 4" xfId="12654" xr:uid="{00000000-0005-0000-0000-00006E310000}"/>
    <cellStyle name="Normal 2 2 2 2 2 22 2 5" xfId="12655" xr:uid="{00000000-0005-0000-0000-00006F310000}"/>
    <cellStyle name="Normal 2 2 2 2 2 22 2 6" xfId="12656" xr:uid="{00000000-0005-0000-0000-000070310000}"/>
    <cellStyle name="Normal 2 2 2 2 2 22 2 7" xfId="12657" xr:uid="{00000000-0005-0000-0000-000071310000}"/>
    <cellStyle name="Normal 2 2 2 2 2 22 2 8" xfId="12658" xr:uid="{00000000-0005-0000-0000-000072310000}"/>
    <cellStyle name="Normal 2 2 2 2 2 22 2 9" xfId="12659" xr:uid="{00000000-0005-0000-0000-000073310000}"/>
    <cellStyle name="Normal 2 2 2 2 2 22 3" xfId="12660" xr:uid="{00000000-0005-0000-0000-000074310000}"/>
    <cellStyle name="Normal 2 2 2 2 2 22 3 10" xfId="12661" xr:uid="{00000000-0005-0000-0000-000075310000}"/>
    <cellStyle name="Normal 2 2 2 2 2 22 3 2" xfId="12662" xr:uid="{00000000-0005-0000-0000-000076310000}"/>
    <cellStyle name="Normal 2 2 2 2 2 22 3 3" xfId="12663" xr:uid="{00000000-0005-0000-0000-000077310000}"/>
    <cellStyle name="Normal 2 2 2 2 2 22 3 4" xfId="12664" xr:uid="{00000000-0005-0000-0000-000078310000}"/>
    <cellStyle name="Normal 2 2 2 2 2 22 3 5" xfId="12665" xr:uid="{00000000-0005-0000-0000-000079310000}"/>
    <cellStyle name="Normal 2 2 2 2 2 22 3 6" xfId="12666" xr:uid="{00000000-0005-0000-0000-00007A310000}"/>
    <cellStyle name="Normal 2 2 2 2 2 22 3 7" xfId="12667" xr:uid="{00000000-0005-0000-0000-00007B310000}"/>
    <cellStyle name="Normal 2 2 2 2 2 22 3 8" xfId="12668" xr:uid="{00000000-0005-0000-0000-00007C310000}"/>
    <cellStyle name="Normal 2 2 2 2 2 22 3 9" xfId="12669" xr:uid="{00000000-0005-0000-0000-00007D310000}"/>
    <cellStyle name="Normal 2 2 2 2 2 22 4" xfId="12670" xr:uid="{00000000-0005-0000-0000-00007E310000}"/>
    <cellStyle name="Normal 2 2 2 2 2 22 4 10" xfId="12671" xr:uid="{00000000-0005-0000-0000-00007F310000}"/>
    <cellStyle name="Normal 2 2 2 2 2 22 4 2" xfId="12672" xr:uid="{00000000-0005-0000-0000-000080310000}"/>
    <cellStyle name="Normal 2 2 2 2 2 22 4 3" xfId="12673" xr:uid="{00000000-0005-0000-0000-000081310000}"/>
    <cellStyle name="Normal 2 2 2 2 2 22 4 4" xfId="12674" xr:uid="{00000000-0005-0000-0000-000082310000}"/>
    <cellStyle name="Normal 2 2 2 2 2 22 4 5" xfId="12675" xr:uid="{00000000-0005-0000-0000-000083310000}"/>
    <cellStyle name="Normal 2 2 2 2 2 22 4 6" xfId="12676" xr:uid="{00000000-0005-0000-0000-000084310000}"/>
    <cellStyle name="Normal 2 2 2 2 2 22 4 7" xfId="12677" xr:uid="{00000000-0005-0000-0000-000085310000}"/>
    <cellStyle name="Normal 2 2 2 2 2 22 4 8" xfId="12678" xr:uid="{00000000-0005-0000-0000-000086310000}"/>
    <cellStyle name="Normal 2 2 2 2 2 22 4 9" xfId="12679" xr:uid="{00000000-0005-0000-0000-000087310000}"/>
    <cellStyle name="Normal 2 2 2 2 2 22 5" xfId="12680" xr:uid="{00000000-0005-0000-0000-000088310000}"/>
    <cellStyle name="Normal 2 2 2 2 2 22 5 10" xfId="12681" xr:uid="{00000000-0005-0000-0000-000089310000}"/>
    <cellStyle name="Normal 2 2 2 2 2 22 5 2" xfId="12682" xr:uid="{00000000-0005-0000-0000-00008A310000}"/>
    <cellStyle name="Normal 2 2 2 2 2 22 5 3" xfId="12683" xr:uid="{00000000-0005-0000-0000-00008B310000}"/>
    <cellStyle name="Normal 2 2 2 2 2 22 5 4" xfId="12684" xr:uid="{00000000-0005-0000-0000-00008C310000}"/>
    <cellStyle name="Normal 2 2 2 2 2 22 5 5" xfId="12685" xr:uid="{00000000-0005-0000-0000-00008D310000}"/>
    <cellStyle name="Normal 2 2 2 2 2 22 5 6" xfId="12686" xr:uid="{00000000-0005-0000-0000-00008E310000}"/>
    <cellStyle name="Normal 2 2 2 2 2 22 5 7" xfId="12687" xr:uid="{00000000-0005-0000-0000-00008F310000}"/>
    <cellStyle name="Normal 2 2 2 2 2 22 5 8" xfId="12688" xr:uid="{00000000-0005-0000-0000-000090310000}"/>
    <cellStyle name="Normal 2 2 2 2 2 22 5 9" xfId="12689" xr:uid="{00000000-0005-0000-0000-000091310000}"/>
    <cellStyle name="Normal 2 2 2 2 2 22 6" xfId="12690" xr:uid="{00000000-0005-0000-0000-000092310000}"/>
    <cellStyle name="Normal 2 2 2 2 2 22 7" xfId="12691" xr:uid="{00000000-0005-0000-0000-000093310000}"/>
    <cellStyle name="Normal 2 2 2 2 2 22 8" xfId="12692" xr:uid="{00000000-0005-0000-0000-000094310000}"/>
    <cellStyle name="Normal 2 2 2 2 2 22 9" xfId="12693" xr:uid="{00000000-0005-0000-0000-000095310000}"/>
    <cellStyle name="Normal 2 2 2 2 2 23" xfId="12694" xr:uid="{00000000-0005-0000-0000-000096310000}"/>
    <cellStyle name="Normal 2 2 2 2 2 23 10" xfId="12695" xr:uid="{00000000-0005-0000-0000-000097310000}"/>
    <cellStyle name="Normal 2 2 2 2 2 23 11" xfId="12696" xr:uid="{00000000-0005-0000-0000-000098310000}"/>
    <cellStyle name="Normal 2 2 2 2 2 23 12" xfId="12697" xr:uid="{00000000-0005-0000-0000-000099310000}"/>
    <cellStyle name="Normal 2 2 2 2 2 23 13" xfId="12698" xr:uid="{00000000-0005-0000-0000-00009A310000}"/>
    <cellStyle name="Normal 2 2 2 2 2 23 14" xfId="12699" xr:uid="{00000000-0005-0000-0000-00009B310000}"/>
    <cellStyle name="Normal 2 2 2 2 2 23 2" xfId="12700" xr:uid="{00000000-0005-0000-0000-00009C310000}"/>
    <cellStyle name="Normal 2 2 2 2 2 23 2 10" xfId="12701" xr:uid="{00000000-0005-0000-0000-00009D310000}"/>
    <cellStyle name="Normal 2 2 2 2 2 23 2 2" xfId="12702" xr:uid="{00000000-0005-0000-0000-00009E310000}"/>
    <cellStyle name="Normal 2 2 2 2 2 23 2 3" xfId="12703" xr:uid="{00000000-0005-0000-0000-00009F310000}"/>
    <cellStyle name="Normal 2 2 2 2 2 23 2 4" xfId="12704" xr:uid="{00000000-0005-0000-0000-0000A0310000}"/>
    <cellStyle name="Normal 2 2 2 2 2 23 2 5" xfId="12705" xr:uid="{00000000-0005-0000-0000-0000A1310000}"/>
    <cellStyle name="Normal 2 2 2 2 2 23 2 6" xfId="12706" xr:uid="{00000000-0005-0000-0000-0000A2310000}"/>
    <cellStyle name="Normal 2 2 2 2 2 23 2 7" xfId="12707" xr:uid="{00000000-0005-0000-0000-0000A3310000}"/>
    <cellStyle name="Normal 2 2 2 2 2 23 2 8" xfId="12708" xr:uid="{00000000-0005-0000-0000-0000A4310000}"/>
    <cellStyle name="Normal 2 2 2 2 2 23 2 9" xfId="12709" xr:uid="{00000000-0005-0000-0000-0000A5310000}"/>
    <cellStyle name="Normal 2 2 2 2 2 23 3" xfId="12710" xr:uid="{00000000-0005-0000-0000-0000A6310000}"/>
    <cellStyle name="Normal 2 2 2 2 2 23 3 10" xfId="12711" xr:uid="{00000000-0005-0000-0000-0000A7310000}"/>
    <cellStyle name="Normal 2 2 2 2 2 23 3 2" xfId="12712" xr:uid="{00000000-0005-0000-0000-0000A8310000}"/>
    <cellStyle name="Normal 2 2 2 2 2 23 3 3" xfId="12713" xr:uid="{00000000-0005-0000-0000-0000A9310000}"/>
    <cellStyle name="Normal 2 2 2 2 2 23 3 4" xfId="12714" xr:uid="{00000000-0005-0000-0000-0000AA310000}"/>
    <cellStyle name="Normal 2 2 2 2 2 23 3 5" xfId="12715" xr:uid="{00000000-0005-0000-0000-0000AB310000}"/>
    <cellStyle name="Normal 2 2 2 2 2 23 3 6" xfId="12716" xr:uid="{00000000-0005-0000-0000-0000AC310000}"/>
    <cellStyle name="Normal 2 2 2 2 2 23 3 7" xfId="12717" xr:uid="{00000000-0005-0000-0000-0000AD310000}"/>
    <cellStyle name="Normal 2 2 2 2 2 23 3 8" xfId="12718" xr:uid="{00000000-0005-0000-0000-0000AE310000}"/>
    <cellStyle name="Normal 2 2 2 2 2 23 3 9" xfId="12719" xr:uid="{00000000-0005-0000-0000-0000AF310000}"/>
    <cellStyle name="Normal 2 2 2 2 2 23 4" xfId="12720" xr:uid="{00000000-0005-0000-0000-0000B0310000}"/>
    <cellStyle name="Normal 2 2 2 2 2 23 4 10" xfId="12721" xr:uid="{00000000-0005-0000-0000-0000B1310000}"/>
    <cellStyle name="Normal 2 2 2 2 2 23 4 2" xfId="12722" xr:uid="{00000000-0005-0000-0000-0000B2310000}"/>
    <cellStyle name="Normal 2 2 2 2 2 23 4 3" xfId="12723" xr:uid="{00000000-0005-0000-0000-0000B3310000}"/>
    <cellStyle name="Normal 2 2 2 2 2 23 4 4" xfId="12724" xr:uid="{00000000-0005-0000-0000-0000B4310000}"/>
    <cellStyle name="Normal 2 2 2 2 2 23 4 5" xfId="12725" xr:uid="{00000000-0005-0000-0000-0000B5310000}"/>
    <cellStyle name="Normal 2 2 2 2 2 23 4 6" xfId="12726" xr:uid="{00000000-0005-0000-0000-0000B6310000}"/>
    <cellStyle name="Normal 2 2 2 2 2 23 4 7" xfId="12727" xr:uid="{00000000-0005-0000-0000-0000B7310000}"/>
    <cellStyle name="Normal 2 2 2 2 2 23 4 8" xfId="12728" xr:uid="{00000000-0005-0000-0000-0000B8310000}"/>
    <cellStyle name="Normal 2 2 2 2 2 23 4 9" xfId="12729" xr:uid="{00000000-0005-0000-0000-0000B9310000}"/>
    <cellStyle name="Normal 2 2 2 2 2 23 5" xfId="12730" xr:uid="{00000000-0005-0000-0000-0000BA310000}"/>
    <cellStyle name="Normal 2 2 2 2 2 23 5 10" xfId="12731" xr:uid="{00000000-0005-0000-0000-0000BB310000}"/>
    <cellStyle name="Normal 2 2 2 2 2 23 5 2" xfId="12732" xr:uid="{00000000-0005-0000-0000-0000BC310000}"/>
    <cellStyle name="Normal 2 2 2 2 2 23 5 3" xfId="12733" xr:uid="{00000000-0005-0000-0000-0000BD310000}"/>
    <cellStyle name="Normal 2 2 2 2 2 23 5 4" xfId="12734" xr:uid="{00000000-0005-0000-0000-0000BE310000}"/>
    <cellStyle name="Normal 2 2 2 2 2 23 5 5" xfId="12735" xr:uid="{00000000-0005-0000-0000-0000BF310000}"/>
    <cellStyle name="Normal 2 2 2 2 2 23 5 6" xfId="12736" xr:uid="{00000000-0005-0000-0000-0000C0310000}"/>
    <cellStyle name="Normal 2 2 2 2 2 23 5 7" xfId="12737" xr:uid="{00000000-0005-0000-0000-0000C1310000}"/>
    <cellStyle name="Normal 2 2 2 2 2 23 5 8" xfId="12738" xr:uid="{00000000-0005-0000-0000-0000C2310000}"/>
    <cellStyle name="Normal 2 2 2 2 2 23 5 9" xfId="12739" xr:uid="{00000000-0005-0000-0000-0000C3310000}"/>
    <cellStyle name="Normal 2 2 2 2 2 23 6" xfId="12740" xr:uid="{00000000-0005-0000-0000-0000C4310000}"/>
    <cellStyle name="Normal 2 2 2 2 2 23 7" xfId="12741" xr:uid="{00000000-0005-0000-0000-0000C5310000}"/>
    <cellStyle name="Normal 2 2 2 2 2 23 8" xfId="12742" xr:uid="{00000000-0005-0000-0000-0000C6310000}"/>
    <cellStyle name="Normal 2 2 2 2 2 23 9" xfId="12743" xr:uid="{00000000-0005-0000-0000-0000C7310000}"/>
    <cellStyle name="Normal 2 2 2 2 2 24" xfId="12744" xr:uid="{00000000-0005-0000-0000-0000C8310000}"/>
    <cellStyle name="Normal 2 2 2 2 2 24 10" xfId="12745" xr:uid="{00000000-0005-0000-0000-0000C9310000}"/>
    <cellStyle name="Normal 2 2 2 2 2 24 11" xfId="12746" xr:uid="{00000000-0005-0000-0000-0000CA310000}"/>
    <cellStyle name="Normal 2 2 2 2 2 24 12" xfId="12747" xr:uid="{00000000-0005-0000-0000-0000CB310000}"/>
    <cellStyle name="Normal 2 2 2 2 2 24 13" xfId="12748" xr:uid="{00000000-0005-0000-0000-0000CC310000}"/>
    <cellStyle name="Normal 2 2 2 2 2 24 14" xfId="12749" xr:uid="{00000000-0005-0000-0000-0000CD310000}"/>
    <cellStyle name="Normal 2 2 2 2 2 24 2" xfId="12750" xr:uid="{00000000-0005-0000-0000-0000CE310000}"/>
    <cellStyle name="Normal 2 2 2 2 2 24 2 10" xfId="12751" xr:uid="{00000000-0005-0000-0000-0000CF310000}"/>
    <cellStyle name="Normal 2 2 2 2 2 24 2 2" xfId="12752" xr:uid="{00000000-0005-0000-0000-0000D0310000}"/>
    <cellStyle name="Normal 2 2 2 2 2 24 2 3" xfId="12753" xr:uid="{00000000-0005-0000-0000-0000D1310000}"/>
    <cellStyle name="Normal 2 2 2 2 2 24 2 4" xfId="12754" xr:uid="{00000000-0005-0000-0000-0000D2310000}"/>
    <cellStyle name="Normal 2 2 2 2 2 24 2 5" xfId="12755" xr:uid="{00000000-0005-0000-0000-0000D3310000}"/>
    <cellStyle name="Normal 2 2 2 2 2 24 2 6" xfId="12756" xr:uid="{00000000-0005-0000-0000-0000D4310000}"/>
    <cellStyle name="Normal 2 2 2 2 2 24 2 7" xfId="12757" xr:uid="{00000000-0005-0000-0000-0000D5310000}"/>
    <cellStyle name="Normal 2 2 2 2 2 24 2 8" xfId="12758" xr:uid="{00000000-0005-0000-0000-0000D6310000}"/>
    <cellStyle name="Normal 2 2 2 2 2 24 2 9" xfId="12759" xr:uid="{00000000-0005-0000-0000-0000D7310000}"/>
    <cellStyle name="Normal 2 2 2 2 2 24 3" xfId="12760" xr:uid="{00000000-0005-0000-0000-0000D8310000}"/>
    <cellStyle name="Normal 2 2 2 2 2 24 3 10" xfId="12761" xr:uid="{00000000-0005-0000-0000-0000D9310000}"/>
    <cellStyle name="Normal 2 2 2 2 2 24 3 2" xfId="12762" xr:uid="{00000000-0005-0000-0000-0000DA310000}"/>
    <cellStyle name="Normal 2 2 2 2 2 24 3 3" xfId="12763" xr:uid="{00000000-0005-0000-0000-0000DB310000}"/>
    <cellStyle name="Normal 2 2 2 2 2 24 3 4" xfId="12764" xr:uid="{00000000-0005-0000-0000-0000DC310000}"/>
    <cellStyle name="Normal 2 2 2 2 2 24 3 5" xfId="12765" xr:uid="{00000000-0005-0000-0000-0000DD310000}"/>
    <cellStyle name="Normal 2 2 2 2 2 24 3 6" xfId="12766" xr:uid="{00000000-0005-0000-0000-0000DE310000}"/>
    <cellStyle name="Normal 2 2 2 2 2 24 3 7" xfId="12767" xr:uid="{00000000-0005-0000-0000-0000DF310000}"/>
    <cellStyle name="Normal 2 2 2 2 2 24 3 8" xfId="12768" xr:uid="{00000000-0005-0000-0000-0000E0310000}"/>
    <cellStyle name="Normal 2 2 2 2 2 24 3 9" xfId="12769" xr:uid="{00000000-0005-0000-0000-0000E1310000}"/>
    <cellStyle name="Normal 2 2 2 2 2 24 4" xfId="12770" xr:uid="{00000000-0005-0000-0000-0000E2310000}"/>
    <cellStyle name="Normal 2 2 2 2 2 24 4 10" xfId="12771" xr:uid="{00000000-0005-0000-0000-0000E3310000}"/>
    <cellStyle name="Normal 2 2 2 2 2 24 4 2" xfId="12772" xr:uid="{00000000-0005-0000-0000-0000E4310000}"/>
    <cellStyle name="Normal 2 2 2 2 2 24 4 3" xfId="12773" xr:uid="{00000000-0005-0000-0000-0000E5310000}"/>
    <cellStyle name="Normal 2 2 2 2 2 24 4 4" xfId="12774" xr:uid="{00000000-0005-0000-0000-0000E6310000}"/>
    <cellStyle name="Normal 2 2 2 2 2 24 4 5" xfId="12775" xr:uid="{00000000-0005-0000-0000-0000E7310000}"/>
    <cellStyle name="Normal 2 2 2 2 2 24 4 6" xfId="12776" xr:uid="{00000000-0005-0000-0000-0000E8310000}"/>
    <cellStyle name="Normal 2 2 2 2 2 24 4 7" xfId="12777" xr:uid="{00000000-0005-0000-0000-0000E9310000}"/>
    <cellStyle name="Normal 2 2 2 2 2 24 4 8" xfId="12778" xr:uid="{00000000-0005-0000-0000-0000EA310000}"/>
    <cellStyle name="Normal 2 2 2 2 2 24 4 9" xfId="12779" xr:uid="{00000000-0005-0000-0000-0000EB310000}"/>
    <cellStyle name="Normal 2 2 2 2 2 24 5" xfId="12780" xr:uid="{00000000-0005-0000-0000-0000EC310000}"/>
    <cellStyle name="Normal 2 2 2 2 2 24 5 10" xfId="12781" xr:uid="{00000000-0005-0000-0000-0000ED310000}"/>
    <cellStyle name="Normal 2 2 2 2 2 24 5 2" xfId="12782" xr:uid="{00000000-0005-0000-0000-0000EE310000}"/>
    <cellStyle name="Normal 2 2 2 2 2 24 5 3" xfId="12783" xr:uid="{00000000-0005-0000-0000-0000EF310000}"/>
    <cellStyle name="Normal 2 2 2 2 2 24 5 4" xfId="12784" xr:uid="{00000000-0005-0000-0000-0000F0310000}"/>
    <cellStyle name="Normal 2 2 2 2 2 24 5 5" xfId="12785" xr:uid="{00000000-0005-0000-0000-0000F1310000}"/>
    <cellStyle name="Normal 2 2 2 2 2 24 5 6" xfId="12786" xr:uid="{00000000-0005-0000-0000-0000F2310000}"/>
    <cellStyle name="Normal 2 2 2 2 2 24 5 7" xfId="12787" xr:uid="{00000000-0005-0000-0000-0000F3310000}"/>
    <cellStyle name="Normal 2 2 2 2 2 24 5 8" xfId="12788" xr:uid="{00000000-0005-0000-0000-0000F4310000}"/>
    <cellStyle name="Normal 2 2 2 2 2 24 5 9" xfId="12789" xr:uid="{00000000-0005-0000-0000-0000F5310000}"/>
    <cellStyle name="Normal 2 2 2 2 2 24 6" xfId="12790" xr:uid="{00000000-0005-0000-0000-0000F6310000}"/>
    <cellStyle name="Normal 2 2 2 2 2 24 7" xfId="12791" xr:uid="{00000000-0005-0000-0000-0000F7310000}"/>
    <cellStyle name="Normal 2 2 2 2 2 24 8" xfId="12792" xr:uid="{00000000-0005-0000-0000-0000F8310000}"/>
    <cellStyle name="Normal 2 2 2 2 2 24 9" xfId="12793" xr:uid="{00000000-0005-0000-0000-0000F9310000}"/>
    <cellStyle name="Normal 2 2 2 2 2 25" xfId="12794" xr:uid="{00000000-0005-0000-0000-0000FA310000}"/>
    <cellStyle name="Normal 2 2 2 2 2 25 10" xfId="12795" xr:uid="{00000000-0005-0000-0000-0000FB310000}"/>
    <cellStyle name="Normal 2 2 2 2 2 25 11" xfId="12796" xr:uid="{00000000-0005-0000-0000-0000FC310000}"/>
    <cellStyle name="Normal 2 2 2 2 2 25 12" xfId="12797" xr:uid="{00000000-0005-0000-0000-0000FD310000}"/>
    <cellStyle name="Normal 2 2 2 2 2 25 13" xfId="12798" xr:uid="{00000000-0005-0000-0000-0000FE310000}"/>
    <cellStyle name="Normal 2 2 2 2 2 25 14" xfId="12799" xr:uid="{00000000-0005-0000-0000-0000FF310000}"/>
    <cellStyle name="Normal 2 2 2 2 2 25 2" xfId="12800" xr:uid="{00000000-0005-0000-0000-000000320000}"/>
    <cellStyle name="Normal 2 2 2 2 2 25 2 10" xfId="12801" xr:uid="{00000000-0005-0000-0000-000001320000}"/>
    <cellStyle name="Normal 2 2 2 2 2 25 2 2" xfId="12802" xr:uid="{00000000-0005-0000-0000-000002320000}"/>
    <cellStyle name="Normal 2 2 2 2 2 25 2 3" xfId="12803" xr:uid="{00000000-0005-0000-0000-000003320000}"/>
    <cellStyle name="Normal 2 2 2 2 2 25 2 4" xfId="12804" xr:uid="{00000000-0005-0000-0000-000004320000}"/>
    <cellStyle name="Normal 2 2 2 2 2 25 2 5" xfId="12805" xr:uid="{00000000-0005-0000-0000-000005320000}"/>
    <cellStyle name="Normal 2 2 2 2 2 25 2 6" xfId="12806" xr:uid="{00000000-0005-0000-0000-000006320000}"/>
    <cellStyle name="Normal 2 2 2 2 2 25 2 7" xfId="12807" xr:uid="{00000000-0005-0000-0000-000007320000}"/>
    <cellStyle name="Normal 2 2 2 2 2 25 2 8" xfId="12808" xr:uid="{00000000-0005-0000-0000-000008320000}"/>
    <cellStyle name="Normal 2 2 2 2 2 25 2 9" xfId="12809" xr:uid="{00000000-0005-0000-0000-000009320000}"/>
    <cellStyle name="Normal 2 2 2 2 2 25 3" xfId="12810" xr:uid="{00000000-0005-0000-0000-00000A320000}"/>
    <cellStyle name="Normal 2 2 2 2 2 25 3 10" xfId="12811" xr:uid="{00000000-0005-0000-0000-00000B320000}"/>
    <cellStyle name="Normal 2 2 2 2 2 25 3 2" xfId="12812" xr:uid="{00000000-0005-0000-0000-00000C320000}"/>
    <cellStyle name="Normal 2 2 2 2 2 25 3 3" xfId="12813" xr:uid="{00000000-0005-0000-0000-00000D320000}"/>
    <cellStyle name="Normal 2 2 2 2 2 25 3 4" xfId="12814" xr:uid="{00000000-0005-0000-0000-00000E320000}"/>
    <cellStyle name="Normal 2 2 2 2 2 25 3 5" xfId="12815" xr:uid="{00000000-0005-0000-0000-00000F320000}"/>
    <cellStyle name="Normal 2 2 2 2 2 25 3 6" xfId="12816" xr:uid="{00000000-0005-0000-0000-000010320000}"/>
    <cellStyle name="Normal 2 2 2 2 2 25 3 7" xfId="12817" xr:uid="{00000000-0005-0000-0000-000011320000}"/>
    <cellStyle name="Normal 2 2 2 2 2 25 3 8" xfId="12818" xr:uid="{00000000-0005-0000-0000-000012320000}"/>
    <cellStyle name="Normal 2 2 2 2 2 25 3 9" xfId="12819" xr:uid="{00000000-0005-0000-0000-000013320000}"/>
    <cellStyle name="Normal 2 2 2 2 2 25 4" xfId="12820" xr:uid="{00000000-0005-0000-0000-000014320000}"/>
    <cellStyle name="Normal 2 2 2 2 2 25 4 10" xfId="12821" xr:uid="{00000000-0005-0000-0000-000015320000}"/>
    <cellStyle name="Normal 2 2 2 2 2 25 4 2" xfId="12822" xr:uid="{00000000-0005-0000-0000-000016320000}"/>
    <cellStyle name="Normal 2 2 2 2 2 25 4 3" xfId="12823" xr:uid="{00000000-0005-0000-0000-000017320000}"/>
    <cellStyle name="Normal 2 2 2 2 2 25 4 4" xfId="12824" xr:uid="{00000000-0005-0000-0000-000018320000}"/>
    <cellStyle name="Normal 2 2 2 2 2 25 4 5" xfId="12825" xr:uid="{00000000-0005-0000-0000-000019320000}"/>
    <cellStyle name="Normal 2 2 2 2 2 25 4 6" xfId="12826" xr:uid="{00000000-0005-0000-0000-00001A320000}"/>
    <cellStyle name="Normal 2 2 2 2 2 25 4 7" xfId="12827" xr:uid="{00000000-0005-0000-0000-00001B320000}"/>
    <cellStyle name="Normal 2 2 2 2 2 25 4 8" xfId="12828" xr:uid="{00000000-0005-0000-0000-00001C320000}"/>
    <cellStyle name="Normal 2 2 2 2 2 25 4 9" xfId="12829" xr:uid="{00000000-0005-0000-0000-00001D320000}"/>
    <cellStyle name="Normal 2 2 2 2 2 25 5" xfId="12830" xr:uid="{00000000-0005-0000-0000-00001E320000}"/>
    <cellStyle name="Normal 2 2 2 2 2 25 5 10" xfId="12831" xr:uid="{00000000-0005-0000-0000-00001F320000}"/>
    <cellStyle name="Normal 2 2 2 2 2 25 5 2" xfId="12832" xr:uid="{00000000-0005-0000-0000-000020320000}"/>
    <cellStyle name="Normal 2 2 2 2 2 25 5 3" xfId="12833" xr:uid="{00000000-0005-0000-0000-000021320000}"/>
    <cellStyle name="Normal 2 2 2 2 2 25 5 4" xfId="12834" xr:uid="{00000000-0005-0000-0000-000022320000}"/>
    <cellStyle name="Normal 2 2 2 2 2 25 5 5" xfId="12835" xr:uid="{00000000-0005-0000-0000-000023320000}"/>
    <cellStyle name="Normal 2 2 2 2 2 25 5 6" xfId="12836" xr:uid="{00000000-0005-0000-0000-000024320000}"/>
    <cellStyle name="Normal 2 2 2 2 2 25 5 7" xfId="12837" xr:uid="{00000000-0005-0000-0000-000025320000}"/>
    <cellStyle name="Normal 2 2 2 2 2 25 5 8" xfId="12838" xr:uid="{00000000-0005-0000-0000-000026320000}"/>
    <cellStyle name="Normal 2 2 2 2 2 25 5 9" xfId="12839" xr:uid="{00000000-0005-0000-0000-000027320000}"/>
    <cellStyle name="Normal 2 2 2 2 2 25 6" xfId="12840" xr:uid="{00000000-0005-0000-0000-000028320000}"/>
    <cellStyle name="Normal 2 2 2 2 2 25 7" xfId="12841" xr:uid="{00000000-0005-0000-0000-000029320000}"/>
    <cellStyle name="Normal 2 2 2 2 2 25 8" xfId="12842" xr:uid="{00000000-0005-0000-0000-00002A320000}"/>
    <cellStyle name="Normal 2 2 2 2 2 25 9" xfId="12843" xr:uid="{00000000-0005-0000-0000-00002B320000}"/>
    <cellStyle name="Normal 2 2 2 2 2 26" xfId="12844" xr:uid="{00000000-0005-0000-0000-00002C320000}"/>
    <cellStyle name="Normal 2 2 2 2 2 26 10" xfId="12845" xr:uid="{00000000-0005-0000-0000-00002D320000}"/>
    <cellStyle name="Normal 2 2 2 2 2 26 11" xfId="12846" xr:uid="{00000000-0005-0000-0000-00002E320000}"/>
    <cellStyle name="Normal 2 2 2 2 2 26 12" xfId="12847" xr:uid="{00000000-0005-0000-0000-00002F320000}"/>
    <cellStyle name="Normal 2 2 2 2 2 26 13" xfId="12848" xr:uid="{00000000-0005-0000-0000-000030320000}"/>
    <cellStyle name="Normal 2 2 2 2 2 26 14" xfId="12849" xr:uid="{00000000-0005-0000-0000-000031320000}"/>
    <cellStyle name="Normal 2 2 2 2 2 26 2" xfId="12850" xr:uid="{00000000-0005-0000-0000-000032320000}"/>
    <cellStyle name="Normal 2 2 2 2 2 26 2 10" xfId="12851" xr:uid="{00000000-0005-0000-0000-000033320000}"/>
    <cellStyle name="Normal 2 2 2 2 2 26 2 2" xfId="12852" xr:uid="{00000000-0005-0000-0000-000034320000}"/>
    <cellStyle name="Normal 2 2 2 2 2 26 2 3" xfId="12853" xr:uid="{00000000-0005-0000-0000-000035320000}"/>
    <cellStyle name="Normal 2 2 2 2 2 26 2 4" xfId="12854" xr:uid="{00000000-0005-0000-0000-000036320000}"/>
    <cellStyle name="Normal 2 2 2 2 2 26 2 5" xfId="12855" xr:uid="{00000000-0005-0000-0000-000037320000}"/>
    <cellStyle name="Normal 2 2 2 2 2 26 2 6" xfId="12856" xr:uid="{00000000-0005-0000-0000-000038320000}"/>
    <cellStyle name="Normal 2 2 2 2 2 26 2 7" xfId="12857" xr:uid="{00000000-0005-0000-0000-000039320000}"/>
    <cellStyle name="Normal 2 2 2 2 2 26 2 8" xfId="12858" xr:uid="{00000000-0005-0000-0000-00003A320000}"/>
    <cellStyle name="Normal 2 2 2 2 2 26 2 9" xfId="12859" xr:uid="{00000000-0005-0000-0000-00003B320000}"/>
    <cellStyle name="Normal 2 2 2 2 2 26 3" xfId="12860" xr:uid="{00000000-0005-0000-0000-00003C320000}"/>
    <cellStyle name="Normal 2 2 2 2 2 26 3 10" xfId="12861" xr:uid="{00000000-0005-0000-0000-00003D320000}"/>
    <cellStyle name="Normal 2 2 2 2 2 26 3 2" xfId="12862" xr:uid="{00000000-0005-0000-0000-00003E320000}"/>
    <cellStyle name="Normal 2 2 2 2 2 26 3 3" xfId="12863" xr:uid="{00000000-0005-0000-0000-00003F320000}"/>
    <cellStyle name="Normal 2 2 2 2 2 26 3 4" xfId="12864" xr:uid="{00000000-0005-0000-0000-000040320000}"/>
    <cellStyle name="Normal 2 2 2 2 2 26 3 5" xfId="12865" xr:uid="{00000000-0005-0000-0000-000041320000}"/>
    <cellStyle name="Normal 2 2 2 2 2 26 3 6" xfId="12866" xr:uid="{00000000-0005-0000-0000-000042320000}"/>
    <cellStyle name="Normal 2 2 2 2 2 26 3 7" xfId="12867" xr:uid="{00000000-0005-0000-0000-000043320000}"/>
    <cellStyle name="Normal 2 2 2 2 2 26 3 8" xfId="12868" xr:uid="{00000000-0005-0000-0000-000044320000}"/>
    <cellStyle name="Normal 2 2 2 2 2 26 3 9" xfId="12869" xr:uid="{00000000-0005-0000-0000-000045320000}"/>
    <cellStyle name="Normal 2 2 2 2 2 26 4" xfId="12870" xr:uid="{00000000-0005-0000-0000-000046320000}"/>
    <cellStyle name="Normal 2 2 2 2 2 26 4 10" xfId="12871" xr:uid="{00000000-0005-0000-0000-000047320000}"/>
    <cellStyle name="Normal 2 2 2 2 2 26 4 2" xfId="12872" xr:uid="{00000000-0005-0000-0000-000048320000}"/>
    <cellStyle name="Normal 2 2 2 2 2 26 4 3" xfId="12873" xr:uid="{00000000-0005-0000-0000-000049320000}"/>
    <cellStyle name="Normal 2 2 2 2 2 26 4 4" xfId="12874" xr:uid="{00000000-0005-0000-0000-00004A320000}"/>
    <cellStyle name="Normal 2 2 2 2 2 26 4 5" xfId="12875" xr:uid="{00000000-0005-0000-0000-00004B320000}"/>
    <cellStyle name="Normal 2 2 2 2 2 26 4 6" xfId="12876" xr:uid="{00000000-0005-0000-0000-00004C320000}"/>
    <cellStyle name="Normal 2 2 2 2 2 26 4 7" xfId="12877" xr:uid="{00000000-0005-0000-0000-00004D320000}"/>
    <cellStyle name="Normal 2 2 2 2 2 26 4 8" xfId="12878" xr:uid="{00000000-0005-0000-0000-00004E320000}"/>
    <cellStyle name="Normal 2 2 2 2 2 26 4 9" xfId="12879" xr:uid="{00000000-0005-0000-0000-00004F320000}"/>
    <cellStyle name="Normal 2 2 2 2 2 26 5" xfId="12880" xr:uid="{00000000-0005-0000-0000-000050320000}"/>
    <cellStyle name="Normal 2 2 2 2 2 26 5 10" xfId="12881" xr:uid="{00000000-0005-0000-0000-000051320000}"/>
    <cellStyle name="Normal 2 2 2 2 2 26 5 2" xfId="12882" xr:uid="{00000000-0005-0000-0000-000052320000}"/>
    <cellStyle name="Normal 2 2 2 2 2 26 5 3" xfId="12883" xr:uid="{00000000-0005-0000-0000-000053320000}"/>
    <cellStyle name="Normal 2 2 2 2 2 26 5 4" xfId="12884" xr:uid="{00000000-0005-0000-0000-000054320000}"/>
    <cellStyle name="Normal 2 2 2 2 2 26 5 5" xfId="12885" xr:uid="{00000000-0005-0000-0000-000055320000}"/>
    <cellStyle name="Normal 2 2 2 2 2 26 5 6" xfId="12886" xr:uid="{00000000-0005-0000-0000-000056320000}"/>
    <cellStyle name="Normal 2 2 2 2 2 26 5 7" xfId="12887" xr:uid="{00000000-0005-0000-0000-000057320000}"/>
    <cellStyle name="Normal 2 2 2 2 2 26 5 8" xfId="12888" xr:uid="{00000000-0005-0000-0000-000058320000}"/>
    <cellStyle name="Normal 2 2 2 2 2 26 5 9" xfId="12889" xr:uid="{00000000-0005-0000-0000-000059320000}"/>
    <cellStyle name="Normal 2 2 2 2 2 26 6" xfId="12890" xr:uid="{00000000-0005-0000-0000-00005A320000}"/>
    <cellStyle name="Normal 2 2 2 2 2 26 7" xfId="12891" xr:uid="{00000000-0005-0000-0000-00005B320000}"/>
    <cellStyle name="Normal 2 2 2 2 2 26 8" xfId="12892" xr:uid="{00000000-0005-0000-0000-00005C320000}"/>
    <cellStyle name="Normal 2 2 2 2 2 26 9" xfId="12893" xr:uid="{00000000-0005-0000-0000-00005D320000}"/>
    <cellStyle name="Normal 2 2 2 2 2 27" xfId="12894" xr:uid="{00000000-0005-0000-0000-00005E320000}"/>
    <cellStyle name="Normal 2 2 2 2 2 27 10" xfId="12895" xr:uid="{00000000-0005-0000-0000-00005F320000}"/>
    <cellStyle name="Normal 2 2 2 2 2 27 11" xfId="12896" xr:uid="{00000000-0005-0000-0000-000060320000}"/>
    <cellStyle name="Normal 2 2 2 2 2 27 12" xfId="12897" xr:uid="{00000000-0005-0000-0000-000061320000}"/>
    <cellStyle name="Normal 2 2 2 2 2 27 13" xfId="12898" xr:uid="{00000000-0005-0000-0000-000062320000}"/>
    <cellStyle name="Normal 2 2 2 2 2 27 14" xfId="12899" xr:uid="{00000000-0005-0000-0000-000063320000}"/>
    <cellStyle name="Normal 2 2 2 2 2 27 2" xfId="12900" xr:uid="{00000000-0005-0000-0000-000064320000}"/>
    <cellStyle name="Normal 2 2 2 2 2 27 2 10" xfId="12901" xr:uid="{00000000-0005-0000-0000-000065320000}"/>
    <cellStyle name="Normal 2 2 2 2 2 27 2 2" xfId="12902" xr:uid="{00000000-0005-0000-0000-000066320000}"/>
    <cellStyle name="Normal 2 2 2 2 2 27 2 3" xfId="12903" xr:uid="{00000000-0005-0000-0000-000067320000}"/>
    <cellStyle name="Normal 2 2 2 2 2 27 2 4" xfId="12904" xr:uid="{00000000-0005-0000-0000-000068320000}"/>
    <cellStyle name="Normal 2 2 2 2 2 27 2 5" xfId="12905" xr:uid="{00000000-0005-0000-0000-000069320000}"/>
    <cellStyle name="Normal 2 2 2 2 2 27 2 6" xfId="12906" xr:uid="{00000000-0005-0000-0000-00006A320000}"/>
    <cellStyle name="Normal 2 2 2 2 2 27 2 7" xfId="12907" xr:uid="{00000000-0005-0000-0000-00006B320000}"/>
    <cellStyle name="Normal 2 2 2 2 2 27 2 8" xfId="12908" xr:uid="{00000000-0005-0000-0000-00006C320000}"/>
    <cellStyle name="Normal 2 2 2 2 2 27 2 9" xfId="12909" xr:uid="{00000000-0005-0000-0000-00006D320000}"/>
    <cellStyle name="Normal 2 2 2 2 2 27 3" xfId="12910" xr:uid="{00000000-0005-0000-0000-00006E320000}"/>
    <cellStyle name="Normal 2 2 2 2 2 27 3 10" xfId="12911" xr:uid="{00000000-0005-0000-0000-00006F320000}"/>
    <cellStyle name="Normal 2 2 2 2 2 27 3 2" xfId="12912" xr:uid="{00000000-0005-0000-0000-000070320000}"/>
    <cellStyle name="Normal 2 2 2 2 2 27 3 3" xfId="12913" xr:uid="{00000000-0005-0000-0000-000071320000}"/>
    <cellStyle name="Normal 2 2 2 2 2 27 3 4" xfId="12914" xr:uid="{00000000-0005-0000-0000-000072320000}"/>
    <cellStyle name="Normal 2 2 2 2 2 27 3 5" xfId="12915" xr:uid="{00000000-0005-0000-0000-000073320000}"/>
    <cellStyle name="Normal 2 2 2 2 2 27 3 6" xfId="12916" xr:uid="{00000000-0005-0000-0000-000074320000}"/>
    <cellStyle name="Normal 2 2 2 2 2 27 3 7" xfId="12917" xr:uid="{00000000-0005-0000-0000-000075320000}"/>
    <cellStyle name="Normal 2 2 2 2 2 27 3 8" xfId="12918" xr:uid="{00000000-0005-0000-0000-000076320000}"/>
    <cellStyle name="Normal 2 2 2 2 2 27 3 9" xfId="12919" xr:uid="{00000000-0005-0000-0000-000077320000}"/>
    <cellStyle name="Normal 2 2 2 2 2 27 4" xfId="12920" xr:uid="{00000000-0005-0000-0000-000078320000}"/>
    <cellStyle name="Normal 2 2 2 2 2 27 4 10" xfId="12921" xr:uid="{00000000-0005-0000-0000-000079320000}"/>
    <cellStyle name="Normal 2 2 2 2 2 27 4 2" xfId="12922" xr:uid="{00000000-0005-0000-0000-00007A320000}"/>
    <cellStyle name="Normal 2 2 2 2 2 27 4 3" xfId="12923" xr:uid="{00000000-0005-0000-0000-00007B320000}"/>
    <cellStyle name="Normal 2 2 2 2 2 27 4 4" xfId="12924" xr:uid="{00000000-0005-0000-0000-00007C320000}"/>
    <cellStyle name="Normal 2 2 2 2 2 27 4 5" xfId="12925" xr:uid="{00000000-0005-0000-0000-00007D320000}"/>
    <cellStyle name="Normal 2 2 2 2 2 27 4 6" xfId="12926" xr:uid="{00000000-0005-0000-0000-00007E320000}"/>
    <cellStyle name="Normal 2 2 2 2 2 27 4 7" xfId="12927" xr:uid="{00000000-0005-0000-0000-00007F320000}"/>
    <cellStyle name="Normal 2 2 2 2 2 27 4 8" xfId="12928" xr:uid="{00000000-0005-0000-0000-000080320000}"/>
    <cellStyle name="Normal 2 2 2 2 2 27 4 9" xfId="12929" xr:uid="{00000000-0005-0000-0000-000081320000}"/>
    <cellStyle name="Normal 2 2 2 2 2 27 5" xfId="12930" xr:uid="{00000000-0005-0000-0000-000082320000}"/>
    <cellStyle name="Normal 2 2 2 2 2 27 5 10" xfId="12931" xr:uid="{00000000-0005-0000-0000-000083320000}"/>
    <cellStyle name="Normal 2 2 2 2 2 27 5 2" xfId="12932" xr:uid="{00000000-0005-0000-0000-000084320000}"/>
    <cellStyle name="Normal 2 2 2 2 2 27 5 3" xfId="12933" xr:uid="{00000000-0005-0000-0000-000085320000}"/>
    <cellStyle name="Normal 2 2 2 2 2 27 5 4" xfId="12934" xr:uid="{00000000-0005-0000-0000-000086320000}"/>
    <cellStyle name="Normal 2 2 2 2 2 27 5 5" xfId="12935" xr:uid="{00000000-0005-0000-0000-000087320000}"/>
    <cellStyle name="Normal 2 2 2 2 2 27 5 6" xfId="12936" xr:uid="{00000000-0005-0000-0000-000088320000}"/>
    <cellStyle name="Normal 2 2 2 2 2 27 5 7" xfId="12937" xr:uid="{00000000-0005-0000-0000-000089320000}"/>
    <cellStyle name="Normal 2 2 2 2 2 27 5 8" xfId="12938" xr:uid="{00000000-0005-0000-0000-00008A320000}"/>
    <cellStyle name="Normal 2 2 2 2 2 27 5 9" xfId="12939" xr:uid="{00000000-0005-0000-0000-00008B320000}"/>
    <cellStyle name="Normal 2 2 2 2 2 27 6" xfId="12940" xr:uid="{00000000-0005-0000-0000-00008C320000}"/>
    <cellStyle name="Normal 2 2 2 2 2 27 7" xfId="12941" xr:uid="{00000000-0005-0000-0000-00008D320000}"/>
    <cellStyle name="Normal 2 2 2 2 2 27 8" xfId="12942" xr:uid="{00000000-0005-0000-0000-00008E320000}"/>
    <cellStyle name="Normal 2 2 2 2 2 27 9" xfId="12943" xr:uid="{00000000-0005-0000-0000-00008F320000}"/>
    <cellStyle name="Normal 2 2 2 2 2 28" xfId="12944" xr:uid="{00000000-0005-0000-0000-000090320000}"/>
    <cellStyle name="Normal 2 2 2 2 2 28 10" xfId="12945" xr:uid="{00000000-0005-0000-0000-000091320000}"/>
    <cellStyle name="Normal 2 2 2 2 2 28 11" xfId="12946" xr:uid="{00000000-0005-0000-0000-000092320000}"/>
    <cellStyle name="Normal 2 2 2 2 2 28 12" xfId="12947" xr:uid="{00000000-0005-0000-0000-000093320000}"/>
    <cellStyle name="Normal 2 2 2 2 2 28 13" xfId="12948" xr:uid="{00000000-0005-0000-0000-000094320000}"/>
    <cellStyle name="Normal 2 2 2 2 2 28 14" xfId="12949" xr:uid="{00000000-0005-0000-0000-000095320000}"/>
    <cellStyle name="Normal 2 2 2 2 2 28 2" xfId="12950" xr:uid="{00000000-0005-0000-0000-000096320000}"/>
    <cellStyle name="Normal 2 2 2 2 2 28 2 10" xfId="12951" xr:uid="{00000000-0005-0000-0000-000097320000}"/>
    <cellStyle name="Normal 2 2 2 2 2 28 2 2" xfId="12952" xr:uid="{00000000-0005-0000-0000-000098320000}"/>
    <cellStyle name="Normal 2 2 2 2 2 28 2 3" xfId="12953" xr:uid="{00000000-0005-0000-0000-000099320000}"/>
    <cellStyle name="Normal 2 2 2 2 2 28 2 4" xfId="12954" xr:uid="{00000000-0005-0000-0000-00009A320000}"/>
    <cellStyle name="Normal 2 2 2 2 2 28 2 5" xfId="12955" xr:uid="{00000000-0005-0000-0000-00009B320000}"/>
    <cellStyle name="Normal 2 2 2 2 2 28 2 6" xfId="12956" xr:uid="{00000000-0005-0000-0000-00009C320000}"/>
    <cellStyle name="Normal 2 2 2 2 2 28 2 7" xfId="12957" xr:uid="{00000000-0005-0000-0000-00009D320000}"/>
    <cellStyle name="Normal 2 2 2 2 2 28 2 8" xfId="12958" xr:uid="{00000000-0005-0000-0000-00009E320000}"/>
    <cellStyle name="Normal 2 2 2 2 2 28 2 9" xfId="12959" xr:uid="{00000000-0005-0000-0000-00009F320000}"/>
    <cellStyle name="Normal 2 2 2 2 2 28 3" xfId="12960" xr:uid="{00000000-0005-0000-0000-0000A0320000}"/>
    <cellStyle name="Normal 2 2 2 2 2 28 3 10" xfId="12961" xr:uid="{00000000-0005-0000-0000-0000A1320000}"/>
    <cellStyle name="Normal 2 2 2 2 2 28 3 2" xfId="12962" xr:uid="{00000000-0005-0000-0000-0000A2320000}"/>
    <cellStyle name="Normal 2 2 2 2 2 28 3 3" xfId="12963" xr:uid="{00000000-0005-0000-0000-0000A3320000}"/>
    <cellStyle name="Normal 2 2 2 2 2 28 3 4" xfId="12964" xr:uid="{00000000-0005-0000-0000-0000A4320000}"/>
    <cellStyle name="Normal 2 2 2 2 2 28 3 5" xfId="12965" xr:uid="{00000000-0005-0000-0000-0000A5320000}"/>
    <cellStyle name="Normal 2 2 2 2 2 28 3 6" xfId="12966" xr:uid="{00000000-0005-0000-0000-0000A6320000}"/>
    <cellStyle name="Normal 2 2 2 2 2 28 3 7" xfId="12967" xr:uid="{00000000-0005-0000-0000-0000A7320000}"/>
    <cellStyle name="Normal 2 2 2 2 2 28 3 8" xfId="12968" xr:uid="{00000000-0005-0000-0000-0000A8320000}"/>
    <cellStyle name="Normal 2 2 2 2 2 28 3 9" xfId="12969" xr:uid="{00000000-0005-0000-0000-0000A9320000}"/>
    <cellStyle name="Normal 2 2 2 2 2 28 4" xfId="12970" xr:uid="{00000000-0005-0000-0000-0000AA320000}"/>
    <cellStyle name="Normal 2 2 2 2 2 28 4 10" xfId="12971" xr:uid="{00000000-0005-0000-0000-0000AB320000}"/>
    <cellStyle name="Normal 2 2 2 2 2 28 4 2" xfId="12972" xr:uid="{00000000-0005-0000-0000-0000AC320000}"/>
    <cellStyle name="Normal 2 2 2 2 2 28 4 3" xfId="12973" xr:uid="{00000000-0005-0000-0000-0000AD320000}"/>
    <cellStyle name="Normal 2 2 2 2 2 28 4 4" xfId="12974" xr:uid="{00000000-0005-0000-0000-0000AE320000}"/>
    <cellStyle name="Normal 2 2 2 2 2 28 4 5" xfId="12975" xr:uid="{00000000-0005-0000-0000-0000AF320000}"/>
    <cellStyle name="Normal 2 2 2 2 2 28 4 6" xfId="12976" xr:uid="{00000000-0005-0000-0000-0000B0320000}"/>
    <cellStyle name="Normal 2 2 2 2 2 28 4 7" xfId="12977" xr:uid="{00000000-0005-0000-0000-0000B1320000}"/>
    <cellStyle name="Normal 2 2 2 2 2 28 4 8" xfId="12978" xr:uid="{00000000-0005-0000-0000-0000B2320000}"/>
    <cellStyle name="Normal 2 2 2 2 2 28 4 9" xfId="12979" xr:uid="{00000000-0005-0000-0000-0000B3320000}"/>
    <cellStyle name="Normal 2 2 2 2 2 28 5" xfId="12980" xr:uid="{00000000-0005-0000-0000-0000B4320000}"/>
    <cellStyle name="Normal 2 2 2 2 2 28 5 10" xfId="12981" xr:uid="{00000000-0005-0000-0000-0000B5320000}"/>
    <cellStyle name="Normal 2 2 2 2 2 28 5 2" xfId="12982" xr:uid="{00000000-0005-0000-0000-0000B6320000}"/>
    <cellStyle name="Normal 2 2 2 2 2 28 5 3" xfId="12983" xr:uid="{00000000-0005-0000-0000-0000B7320000}"/>
    <cellStyle name="Normal 2 2 2 2 2 28 5 4" xfId="12984" xr:uid="{00000000-0005-0000-0000-0000B8320000}"/>
    <cellStyle name="Normal 2 2 2 2 2 28 5 5" xfId="12985" xr:uid="{00000000-0005-0000-0000-0000B9320000}"/>
    <cellStyle name="Normal 2 2 2 2 2 28 5 6" xfId="12986" xr:uid="{00000000-0005-0000-0000-0000BA320000}"/>
    <cellStyle name="Normal 2 2 2 2 2 28 5 7" xfId="12987" xr:uid="{00000000-0005-0000-0000-0000BB320000}"/>
    <cellStyle name="Normal 2 2 2 2 2 28 5 8" xfId="12988" xr:uid="{00000000-0005-0000-0000-0000BC320000}"/>
    <cellStyle name="Normal 2 2 2 2 2 28 5 9" xfId="12989" xr:uid="{00000000-0005-0000-0000-0000BD320000}"/>
    <cellStyle name="Normal 2 2 2 2 2 28 6" xfId="12990" xr:uid="{00000000-0005-0000-0000-0000BE320000}"/>
    <cellStyle name="Normal 2 2 2 2 2 28 7" xfId="12991" xr:uid="{00000000-0005-0000-0000-0000BF320000}"/>
    <cellStyle name="Normal 2 2 2 2 2 28 8" xfId="12992" xr:uid="{00000000-0005-0000-0000-0000C0320000}"/>
    <cellStyle name="Normal 2 2 2 2 2 28 9" xfId="12993" xr:uid="{00000000-0005-0000-0000-0000C1320000}"/>
    <cellStyle name="Normal 2 2 2 2 2 29" xfId="12994" xr:uid="{00000000-0005-0000-0000-0000C2320000}"/>
    <cellStyle name="Normal 2 2 2 2 2 29 10" xfId="12995" xr:uid="{00000000-0005-0000-0000-0000C3320000}"/>
    <cellStyle name="Normal 2 2 2 2 2 29 11" xfId="12996" xr:uid="{00000000-0005-0000-0000-0000C4320000}"/>
    <cellStyle name="Normal 2 2 2 2 2 29 12" xfId="12997" xr:uid="{00000000-0005-0000-0000-0000C5320000}"/>
    <cellStyle name="Normal 2 2 2 2 2 29 13" xfId="12998" xr:uid="{00000000-0005-0000-0000-0000C6320000}"/>
    <cellStyle name="Normal 2 2 2 2 2 29 14" xfId="12999" xr:uid="{00000000-0005-0000-0000-0000C7320000}"/>
    <cellStyle name="Normal 2 2 2 2 2 29 2" xfId="13000" xr:uid="{00000000-0005-0000-0000-0000C8320000}"/>
    <cellStyle name="Normal 2 2 2 2 2 29 2 10" xfId="13001" xr:uid="{00000000-0005-0000-0000-0000C9320000}"/>
    <cellStyle name="Normal 2 2 2 2 2 29 2 2" xfId="13002" xr:uid="{00000000-0005-0000-0000-0000CA320000}"/>
    <cellStyle name="Normal 2 2 2 2 2 29 2 3" xfId="13003" xr:uid="{00000000-0005-0000-0000-0000CB320000}"/>
    <cellStyle name="Normal 2 2 2 2 2 29 2 4" xfId="13004" xr:uid="{00000000-0005-0000-0000-0000CC320000}"/>
    <cellStyle name="Normal 2 2 2 2 2 29 2 5" xfId="13005" xr:uid="{00000000-0005-0000-0000-0000CD320000}"/>
    <cellStyle name="Normal 2 2 2 2 2 29 2 6" xfId="13006" xr:uid="{00000000-0005-0000-0000-0000CE320000}"/>
    <cellStyle name="Normal 2 2 2 2 2 29 2 7" xfId="13007" xr:uid="{00000000-0005-0000-0000-0000CF320000}"/>
    <cellStyle name="Normal 2 2 2 2 2 29 2 8" xfId="13008" xr:uid="{00000000-0005-0000-0000-0000D0320000}"/>
    <cellStyle name="Normal 2 2 2 2 2 29 2 9" xfId="13009" xr:uid="{00000000-0005-0000-0000-0000D1320000}"/>
    <cellStyle name="Normal 2 2 2 2 2 29 3" xfId="13010" xr:uid="{00000000-0005-0000-0000-0000D2320000}"/>
    <cellStyle name="Normal 2 2 2 2 2 29 3 10" xfId="13011" xr:uid="{00000000-0005-0000-0000-0000D3320000}"/>
    <cellStyle name="Normal 2 2 2 2 2 29 3 2" xfId="13012" xr:uid="{00000000-0005-0000-0000-0000D4320000}"/>
    <cellStyle name="Normal 2 2 2 2 2 29 3 3" xfId="13013" xr:uid="{00000000-0005-0000-0000-0000D5320000}"/>
    <cellStyle name="Normal 2 2 2 2 2 29 3 4" xfId="13014" xr:uid="{00000000-0005-0000-0000-0000D6320000}"/>
    <cellStyle name="Normal 2 2 2 2 2 29 3 5" xfId="13015" xr:uid="{00000000-0005-0000-0000-0000D7320000}"/>
    <cellStyle name="Normal 2 2 2 2 2 29 3 6" xfId="13016" xr:uid="{00000000-0005-0000-0000-0000D8320000}"/>
    <cellStyle name="Normal 2 2 2 2 2 29 3 7" xfId="13017" xr:uid="{00000000-0005-0000-0000-0000D9320000}"/>
    <cellStyle name="Normal 2 2 2 2 2 29 3 8" xfId="13018" xr:uid="{00000000-0005-0000-0000-0000DA320000}"/>
    <cellStyle name="Normal 2 2 2 2 2 29 3 9" xfId="13019" xr:uid="{00000000-0005-0000-0000-0000DB320000}"/>
    <cellStyle name="Normal 2 2 2 2 2 29 4" xfId="13020" xr:uid="{00000000-0005-0000-0000-0000DC320000}"/>
    <cellStyle name="Normal 2 2 2 2 2 29 4 10" xfId="13021" xr:uid="{00000000-0005-0000-0000-0000DD320000}"/>
    <cellStyle name="Normal 2 2 2 2 2 29 4 2" xfId="13022" xr:uid="{00000000-0005-0000-0000-0000DE320000}"/>
    <cellStyle name="Normal 2 2 2 2 2 29 4 3" xfId="13023" xr:uid="{00000000-0005-0000-0000-0000DF320000}"/>
    <cellStyle name="Normal 2 2 2 2 2 29 4 4" xfId="13024" xr:uid="{00000000-0005-0000-0000-0000E0320000}"/>
    <cellStyle name="Normal 2 2 2 2 2 29 4 5" xfId="13025" xr:uid="{00000000-0005-0000-0000-0000E1320000}"/>
    <cellStyle name="Normal 2 2 2 2 2 29 4 6" xfId="13026" xr:uid="{00000000-0005-0000-0000-0000E2320000}"/>
    <cellStyle name="Normal 2 2 2 2 2 29 4 7" xfId="13027" xr:uid="{00000000-0005-0000-0000-0000E3320000}"/>
    <cellStyle name="Normal 2 2 2 2 2 29 4 8" xfId="13028" xr:uid="{00000000-0005-0000-0000-0000E4320000}"/>
    <cellStyle name="Normal 2 2 2 2 2 29 4 9" xfId="13029" xr:uid="{00000000-0005-0000-0000-0000E5320000}"/>
    <cellStyle name="Normal 2 2 2 2 2 29 5" xfId="13030" xr:uid="{00000000-0005-0000-0000-0000E6320000}"/>
    <cellStyle name="Normal 2 2 2 2 2 29 5 10" xfId="13031" xr:uid="{00000000-0005-0000-0000-0000E7320000}"/>
    <cellStyle name="Normal 2 2 2 2 2 29 5 2" xfId="13032" xr:uid="{00000000-0005-0000-0000-0000E8320000}"/>
    <cellStyle name="Normal 2 2 2 2 2 29 5 3" xfId="13033" xr:uid="{00000000-0005-0000-0000-0000E9320000}"/>
    <cellStyle name="Normal 2 2 2 2 2 29 5 4" xfId="13034" xr:uid="{00000000-0005-0000-0000-0000EA320000}"/>
    <cellStyle name="Normal 2 2 2 2 2 29 5 5" xfId="13035" xr:uid="{00000000-0005-0000-0000-0000EB320000}"/>
    <cellStyle name="Normal 2 2 2 2 2 29 5 6" xfId="13036" xr:uid="{00000000-0005-0000-0000-0000EC320000}"/>
    <cellStyle name="Normal 2 2 2 2 2 29 5 7" xfId="13037" xr:uid="{00000000-0005-0000-0000-0000ED320000}"/>
    <cellStyle name="Normal 2 2 2 2 2 29 5 8" xfId="13038" xr:uid="{00000000-0005-0000-0000-0000EE320000}"/>
    <cellStyle name="Normal 2 2 2 2 2 29 5 9" xfId="13039" xr:uid="{00000000-0005-0000-0000-0000EF320000}"/>
    <cellStyle name="Normal 2 2 2 2 2 29 6" xfId="13040" xr:uid="{00000000-0005-0000-0000-0000F0320000}"/>
    <cellStyle name="Normal 2 2 2 2 2 29 7" xfId="13041" xr:uid="{00000000-0005-0000-0000-0000F1320000}"/>
    <cellStyle name="Normal 2 2 2 2 2 29 8" xfId="13042" xr:uid="{00000000-0005-0000-0000-0000F2320000}"/>
    <cellStyle name="Normal 2 2 2 2 2 29 9" xfId="13043" xr:uid="{00000000-0005-0000-0000-0000F3320000}"/>
    <cellStyle name="Normal 2 2 2 2 2 3" xfId="13044" xr:uid="{00000000-0005-0000-0000-0000F4320000}"/>
    <cellStyle name="Normal 2 2 2 2 2 3 10" xfId="13045" xr:uid="{00000000-0005-0000-0000-0000F5320000}"/>
    <cellStyle name="Normal 2 2 2 2 2 3 11" xfId="13046" xr:uid="{00000000-0005-0000-0000-0000F6320000}"/>
    <cellStyle name="Normal 2 2 2 2 2 3 12" xfId="13047" xr:uid="{00000000-0005-0000-0000-0000F7320000}"/>
    <cellStyle name="Normal 2 2 2 2 2 3 13" xfId="13048" xr:uid="{00000000-0005-0000-0000-0000F8320000}"/>
    <cellStyle name="Normal 2 2 2 2 2 3 14" xfId="13049" xr:uid="{00000000-0005-0000-0000-0000F9320000}"/>
    <cellStyle name="Normal 2 2 2 2 2 3 15" xfId="13050" xr:uid="{00000000-0005-0000-0000-0000FA320000}"/>
    <cellStyle name="Normal 2 2 2 2 2 3 16" xfId="13051" xr:uid="{00000000-0005-0000-0000-0000FB320000}"/>
    <cellStyle name="Normal 2 2 2 2 2 3 2" xfId="13052" xr:uid="{00000000-0005-0000-0000-0000FC320000}"/>
    <cellStyle name="Normal 2 2 2 2 2 3 2 10" xfId="13053" xr:uid="{00000000-0005-0000-0000-0000FD320000}"/>
    <cellStyle name="Normal 2 2 2 2 2 3 2 11" xfId="13054" xr:uid="{00000000-0005-0000-0000-0000FE320000}"/>
    <cellStyle name="Normal 2 2 2 2 2 3 2 12" xfId="13055" xr:uid="{00000000-0005-0000-0000-0000FF320000}"/>
    <cellStyle name="Normal 2 2 2 2 2 3 2 2" xfId="13056" xr:uid="{00000000-0005-0000-0000-000000330000}"/>
    <cellStyle name="Normal 2 2 2 2 2 3 2 3" xfId="13057" xr:uid="{00000000-0005-0000-0000-000001330000}"/>
    <cellStyle name="Normal 2 2 2 2 2 3 2 4" xfId="13058" xr:uid="{00000000-0005-0000-0000-000002330000}"/>
    <cellStyle name="Normal 2 2 2 2 2 3 2 5" xfId="13059" xr:uid="{00000000-0005-0000-0000-000003330000}"/>
    <cellStyle name="Normal 2 2 2 2 2 3 2 6" xfId="13060" xr:uid="{00000000-0005-0000-0000-000004330000}"/>
    <cellStyle name="Normal 2 2 2 2 2 3 2 7" xfId="13061" xr:uid="{00000000-0005-0000-0000-000005330000}"/>
    <cellStyle name="Normal 2 2 2 2 2 3 2 8" xfId="13062" xr:uid="{00000000-0005-0000-0000-000006330000}"/>
    <cellStyle name="Normal 2 2 2 2 2 3 2 9" xfId="13063" xr:uid="{00000000-0005-0000-0000-000007330000}"/>
    <cellStyle name="Normal 2 2 2 2 2 3 3" xfId="13064" xr:uid="{00000000-0005-0000-0000-000008330000}"/>
    <cellStyle name="Normal 2 2 2 2 2 3 3 10" xfId="13065" xr:uid="{00000000-0005-0000-0000-000009330000}"/>
    <cellStyle name="Normal 2 2 2 2 2 3 3 2" xfId="13066" xr:uid="{00000000-0005-0000-0000-00000A330000}"/>
    <cellStyle name="Normal 2 2 2 2 2 3 3 3" xfId="13067" xr:uid="{00000000-0005-0000-0000-00000B330000}"/>
    <cellStyle name="Normal 2 2 2 2 2 3 3 4" xfId="13068" xr:uid="{00000000-0005-0000-0000-00000C330000}"/>
    <cellStyle name="Normal 2 2 2 2 2 3 3 5" xfId="13069" xr:uid="{00000000-0005-0000-0000-00000D330000}"/>
    <cellStyle name="Normal 2 2 2 2 2 3 3 6" xfId="13070" xr:uid="{00000000-0005-0000-0000-00000E330000}"/>
    <cellStyle name="Normal 2 2 2 2 2 3 3 7" xfId="13071" xr:uid="{00000000-0005-0000-0000-00000F330000}"/>
    <cellStyle name="Normal 2 2 2 2 2 3 3 8" xfId="13072" xr:uid="{00000000-0005-0000-0000-000010330000}"/>
    <cellStyle name="Normal 2 2 2 2 2 3 3 9" xfId="13073" xr:uid="{00000000-0005-0000-0000-000011330000}"/>
    <cellStyle name="Normal 2 2 2 2 2 3 4" xfId="13074" xr:uid="{00000000-0005-0000-0000-000012330000}"/>
    <cellStyle name="Normal 2 2 2 2 2 3 4 10" xfId="13075" xr:uid="{00000000-0005-0000-0000-000013330000}"/>
    <cellStyle name="Normal 2 2 2 2 2 3 4 2" xfId="13076" xr:uid="{00000000-0005-0000-0000-000014330000}"/>
    <cellStyle name="Normal 2 2 2 2 2 3 4 3" xfId="13077" xr:uid="{00000000-0005-0000-0000-000015330000}"/>
    <cellStyle name="Normal 2 2 2 2 2 3 4 4" xfId="13078" xr:uid="{00000000-0005-0000-0000-000016330000}"/>
    <cellStyle name="Normal 2 2 2 2 2 3 4 5" xfId="13079" xr:uid="{00000000-0005-0000-0000-000017330000}"/>
    <cellStyle name="Normal 2 2 2 2 2 3 4 6" xfId="13080" xr:uid="{00000000-0005-0000-0000-000018330000}"/>
    <cellStyle name="Normal 2 2 2 2 2 3 4 7" xfId="13081" xr:uid="{00000000-0005-0000-0000-000019330000}"/>
    <cellStyle name="Normal 2 2 2 2 2 3 4 8" xfId="13082" xr:uid="{00000000-0005-0000-0000-00001A330000}"/>
    <cellStyle name="Normal 2 2 2 2 2 3 4 9" xfId="13083" xr:uid="{00000000-0005-0000-0000-00001B330000}"/>
    <cellStyle name="Normal 2 2 2 2 2 3 5" xfId="13084" xr:uid="{00000000-0005-0000-0000-00001C330000}"/>
    <cellStyle name="Normal 2 2 2 2 2 3 5 10" xfId="13085" xr:uid="{00000000-0005-0000-0000-00001D330000}"/>
    <cellStyle name="Normal 2 2 2 2 2 3 5 2" xfId="13086" xr:uid="{00000000-0005-0000-0000-00001E330000}"/>
    <cellStyle name="Normal 2 2 2 2 2 3 5 3" xfId="13087" xr:uid="{00000000-0005-0000-0000-00001F330000}"/>
    <cellStyle name="Normal 2 2 2 2 2 3 5 4" xfId="13088" xr:uid="{00000000-0005-0000-0000-000020330000}"/>
    <cellStyle name="Normal 2 2 2 2 2 3 5 5" xfId="13089" xr:uid="{00000000-0005-0000-0000-000021330000}"/>
    <cellStyle name="Normal 2 2 2 2 2 3 5 6" xfId="13090" xr:uid="{00000000-0005-0000-0000-000022330000}"/>
    <cellStyle name="Normal 2 2 2 2 2 3 5 7" xfId="13091" xr:uid="{00000000-0005-0000-0000-000023330000}"/>
    <cellStyle name="Normal 2 2 2 2 2 3 5 8" xfId="13092" xr:uid="{00000000-0005-0000-0000-000024330000}"/>
    <cellStyle name="Normal 2 2 2 2 2 3 5 9" xfId="13093" xr:uid="{00000000-0005-0000-0000-000025330000}"/>
    <cellStyle name="Normal 2 2 2 2 2 3 6" xfId="13094" xr:uid="{00000000-0005-0000-0000-000026330000}"/>
    <cellStyle name="Normal 2 2 2 2 2 3 7" xfId="13095" xr:uid="{00000000-0005-0000-0000-000027330000}"/>
    <cellStyle name="Normal 2 2 2 2 2 3 8" xfId="13096" xr:uid="{00000000-0005-0000-0000-000028330000}"/>
    <cellStyle name="Normal 2 2 2 2 2 3 9" xfId="13097" xr:uid="{00000000-0005-0000-0000-000029330000}"/>
    <cellStyle name="Normal 2 2 2 2 2 30" xfId="13098" xr:uid="{00000000-0005-0000-0000-00002A330000}"/>
    <cellStyle name="Normal 2 2 2 2 2 30 10" xfId="13099" xr:uid="{00000000-0005-0000-0000-00002B330000}"/>
    <cellStyle name="Normal 2 2 2 2 2 30 11" xfId="13100" xr:uid="{00000000-0005-0000-0000-00002C330000}"/>
    <cellStyle name="Normal 2 2 2 2 2 30 12" xfId="13101" xr:uid="{00000000-0005-0000-0000-00002D330000}"/>
    <cellStyle name="Normal 2 2 2 2 2 30 13" xfId="13102" xr:uid="{00000000-0005-0000-0000-00002E330000}"/>
    <cellStyle name="Normal 2 2 2 2 2 30 14" xfId="13103" xr:uid="{00000000-0005-0000-0000-00002F330000}"/>
    <cellStyle name="Normal 2 2 2 2 2 30 2" xfId="13104" xr:uid="{00000000-0005-0000-0000-000030330000}"/>
    <cellStyle name="Normal 2 2 2 2 2 30 2 10" xfId="13105" xr:uid="{00000000-0005-0000-0000-000031330000}"/>
    <cellStyle name="Normal 2 2 2 2 2 30 2 2" xfId="13106" xr:uid="{00000000-0005-0000-0000-000032330000}"/>
    <cellStyle name="Normal 2 2 2 2 2 30 2 3" xfId="13107" xr:uid="{00000000-0005-0000-0000-000033330000}"/>
    <cellStyle name="Normal 2 2 2 2 2 30 2 4" xfId="13108" xr:uid="{00000000-0005-0000-0000-000034330000}"/>
    <cellStyle name="Normal 2 2 2 2 2 30 2 5" xfId="13109" xr:uid="{00000000-0005-0000-0000-000035330000}"/>
    <cellStyle name="Normal 2 2 2 2 2 30 2 6" xfId="13110" xr:uid="{00000000-0005-0000-0000-000036330000}"/>
    <cellStyle name="Normal 2 2 2 2 2 30 2 7" xfId="13111" xr:uid="{00000000-0005-0000-0000-000037330000}"/>
    <cellStyle name="Normal 2 2 2 2 2 30 2 8" xfId="13112" xr:uid="{00000000-0005-0000-0000-000038330000}"/>
    <cellStyle name="Normal 2 2 2 2 2 30 2 9" xfId="13113" xr:uid="{00000000-0005-0000-0000-000039330000}"/>
    <cellStyle name="Normal 2 2 2 2 2 30 3" xfId="13114" xr:uid="{00000000-0005-0000-0000-00003A330000}"/>
    <cellStyle name="Normal 2 2 2 2 2 30 3 10" xfId="13115" xr:uid="{00000000-0005-0000-0000-00003B330000}"/>
    <cellStyle name="Normal 2 2 2 2 2 30 3 2" xfId="13116" xr:uid="{00000000-0005-0000-0000-00003C330000}"/>
    <cellStyle name="Normal 2 2 2 2 2 30 3 3" xfId="13117" xr:uid="{00000000-0005-0000-0000-00003D330000}"/>
    <cellStyle name="Normal 2 2 2 2 2 30 3 4" xfId="13118" xr:uid="{00000000-0005-0000-0000-00003E330000}"/>
    <cellStyle name="Normal 2 2 2 2 2 30 3 5" xfId="13119" xr:uid="{00000000-0005-0000-0000-00003F330000}"/>
    <cellStyle name="Normal 2 2 2 2 2 30 3 6" xfId="13120" xr:uid="{00000000-0005-0000-0000-000040330000}"/>
    <cellStyle name="Normal 2 2 2 2 2 30 3 7" xfId="13121" xr:uid="{00000000-0005-0000-0000-000041330000}"/>
    <cellStyle name="Normal 2 2 2 2 2 30 3 8" xfId="13122" xr:uid="{00000000-0005-0000-0000-000042330000}"/>
    <cellStyle name="Normal 2 2 2 2 2 30 3 9" xfId="13123" xr:uid="{00000000-0005-0000-0000-000043330000}"/>
    <cellStyle name="Normal 2 2 2 2 2 30 4" xfId="13124" xr:uid="{00000000-0005-0000-0000-000044330000}"/>
    <cellStyle name="Normal 2 2 2 2 2 30 4 10" xfId="13125" xr:uid="{00000000-0005-0000-0000-000045330000}"/>
    <cellStyle name="Normal 2 2 2 2 2 30 4 2" xfId="13126" xr:uid="{00000000-0005-0000-0000-000046330000}"/>
    <cellStyle name="Normal 2 2 2 2 2 30 4 3" xfId="13127" xr:uid="{00000000-0005-0000-0000-000047330000}"/>
    <cellStyle name="Normal 2 2 2 2 2 30 4 4" xfId="13128" xr:uid="{00000000-0005-0000-0000-000048330000}"/>
    <cellStyle name="Normal 2 2 2 2 2 30 4 5" xfId="13129" xr:uid="{00000000-0005-0000-0000-000049330000}"/>
    <cellStyle name="Normal 2 2 2 2 2 30 4 6" xfId="13130" xr:uid="{00000000-0005-0000-0000-00004A330000}"/>
    <cellStyle name="Normal 2 2 2 2 2 30 4 7" xfId="13131" xr:uid="{00000000-0005-0000-0000-00004B330000}"/>
    <cellStyle name="Normal 2 2 2 2 2 30 4 8" xfId="13132" xr:uid="{00000000-0005-0000-0000-00004C330000}"/>
    <cellStyle name="Normal 2 2 2 2 2 30 4 9" xfId="13133" xr:uid="{00000000-0005-0000-0000-00004D330000}"/>
    <cellStyle name="Normal 2 2 2 2 2 30 5" xfId="13134" xr:uid="{00000000-0005-0000-0000-00004E330000}"/>
    <cellStyle name="Normal 2 2 2 2 2 30 5 10" xfId="13135" xr:uid="{00000000-0005-0000-0000-00004F330000}"/>
    <cellStyle name="Normal 2 2 2 2 2 30 5 2" xfId="13136" xr:uid="{00000000-0005-0000-0000-000050330000}"/>
    <cellStyle name="Normal 2 2 2 2 2 30 5 3" xfId="13137" xr:uid="{00000000-0005-0000-0000-000051330000}"/>
    <cellStyle name="Normal 2 2 2 2 2 30 5 4" xfId="13138" xr:uid="{00000000-0005-0000-0000-000052330000}"/>
    <cellStyle name="Normal 2 2 2 2 2 30 5 5" xfId="13139" xr:uid="{00000000-0005-0000-0000-000053330000}"/>
    <cellStyle name="Normal 2 2 2 2 2 30 5 6" xfId="13140" xr:uid="{00000000-0005-0000-0000-000054330000}"/>
    <cellStyle name="Normal 2 2 2 2 2 30 5 7" xfId="13141" xr:uid="{00000000-0005-0000-0000-000055330000}"/>
    <cellStyle name="Normal 2 2 2 2 2 30 5 8" xfId="13142" xr:uid="{00000000-0005-0000-0000-000056330000}"/>
    <cellStyle name="Normal 2 2 2 2 2 30 5 9" xfId="13143" xr:uid="{00000000-0005-0000-0000-000057330000}"/>
    <cellStyle name="Normal 2 2 2 2 2 30 6" xfId="13144" xr:uid="{00000000-0005-0000-0000-000058330000}"/>
    <cellStyle name="Normal 2 2 2 2 2 30 7" xfId="13145" xr:uid="{00000000-0005-0000-0000-000059330000}"/>
    <cellStyle name="Normal 2 2 2 2 2 30 8" xfId="13146" xr:uid="{00000000-0005-0000-0000-00005A330000}"/>
    <cellStyle name="Normal 2 2 2 2 2 30 9" xfId="13147" xr:uid="{00000000-0005-0000-0000-00005B330000}"/>
    <cellStyle name="Normal 2 2 2 2 2 31" xfId="13148" xr:uid="{00000000-0005-0000-0000-00005C330000}"/>
    <cellStyle name="Normal 2 2 2 2 2 31 10" xfId="13149" xr:uid="{00000000-0005-0000-0000-00005D330000}"/>
    <cellStyle name="Normal 2 2 2 2 2 31 11" xfId="13150" xr:uid="{00000000-0005-0000-0000-00005E330000}"/>
    <cellStyle name="Normal 2 2 2 2 2 31 12" xfId="13151" xr:uid="{00000000-0005-0000-0000-00005F330000}"/>
    <cellStyle name="Normal 2 2 2 2 2 31 13" xfId="13152" xr:uid="{00000000-0005-0000-0000-000060330000}"/>
    <cellStyle name="Normal 2 2 2 2 2 31 14" xfId="13153" xr:uid="{00000000-0005-0000-0000-000061330000}"/>
    <cellStyle name="Normal 2 2 2 2 2 31 2" xfId="13154" xr:uid="{00000000-0005-0000-0000-000062330000}"/>
    <cellStyle name="Normal 2 2 2 2 2 31 2 10" xfId="13155" xr:uid="{00000000-0005-0000-0000-000063330000}"/>
    <cellStyle name="Normal 2 2 2 2 2 31 2 2" xfId="13156" xr:uid="{00000000-0005-0000-0000-000064330000}"/>
    <cellStyle name="Normal 2 2 2 2 2 31 2 3" xfId="13157" xr:uid="{00000000-0005-0000-0000-000065330000}"/>
    <cellStyle name="Normal 2 2 2 2 2 31 2 4" xfId="13158" xr:uid="{00000000-0005-0000-0000-000066330000}"/>
    <cellStyle name="Normal 2 2 2 2 2 31 2 5" xfId="13159" xr:uid="{00000000-0005-0000-0000-000067330000}"/>
    <cellStyle name="Normal 2 2 2 2 2 31 2 6" xfId="13160" xr:uid="{00000000-0005-0000-0000-000068330000}"/>
    <cellStyle name="Normal 2 2 2 2 2 31 2 7" xfId="13161" xr:uid="{00000000-0005-0000-0000-000069330000}"/>
    <cellStyle name="Normal 2 2 2 2 2 31 2 8" xfId="13162" xr:uid="{00000000-0005-0000-0000-00006A330000}"/>
    <cellStyle name="Normal 2 2 2 2 2 31 2 9" xfId="13163" xr:uid="{00000000-0005-0000-0000-00006B330000}"/>
    <cellStyle name="Normal 2 2 2 2 2 31 3" xfId="13164" xr:uid="{00000000-0005-0000-0000-00006C330000}"/>
    <cellStyle name="Normal 2 2 2 2 2 31 3 10" xfId="13165" xr:uid="{00000000-0005-0000-0000-00006D330000}"/>
    <cellStyle name="Normal 2 2 2 2 2 31 3 2" xfId="13166" xr:uid="{00000000-0005-0000-0000-00006E330000}"/>
    <cellStyle name="Normal 2 2 2 2 2 31 3 3" xfId="13167" xr:uid="{00000000-0005-0000-0000-00006F330000}"/>
    <cellStyle name="Normal 2 2 2 2 2 31 3 4" xfId="13168" xr:uid="{00000000-0005-0000-0000-000070330000}"/>
    <cellStyle name="Normal 2 2 2 2 2 31 3 5" xfId="13169" xr:uid="{00000000-0005-0000-0000-000071330000}"/>
    <cellStyle name="Normal 2 2 2 2 2 31 3 6" xfId="13170" xr:uid="{00000000-0005-0000-0000-000072330000}"/>
    <cellStyle name="Normal 2 2 2 2 2 31 3 7" xfId="13171" xr:uid="{00000000-0005-0000-0000-000073330000}"/>
    <cellStyle name="Normal 2 2 2 2 2 31 3 8" xfId="13172" xr:uid="{00000000-0005-0000-0000-000074330000}"/>
    <cellStyle name="Normal 2 2 2 2 2 31 3 9" xfId="13173" xr:uid="{00000000-0005-0000-0000-000075330000}"/>
    <cellStyle name="Normal 2 2 2 2 2 31 4" xfId="13174" xr:uid="{00000000-0005-0000-0000-000076330000}"/>
    <cellStyle name="Normal 2 2 2 2 2 31 4 10" xfId="13175" xr:uid="{00000000-0005-0000-0000-000077330000}"/>
    <cellStyle name="Normal 2 2 2 2 2 31 4 2" xfId="13176" xr:uid="{00000000-0005-0000-0000-000078330000}"/>
    <cellStyle name="Normal 2 2 2 2 2 31 4 3" xfId="13177" xr:uid="{00000000-0005-0000-0000-000079330000}"/>
    <cellStyle name="Normal 2 2 2 2 2 31 4 4" xfId="13178" xr:uid="{00000000-0005-0000-0000-00007A330000}"/>
    <cellStyle name="Normal 2 2 2 2 2 31 4 5" xfId="13179" xr:uid="{00000000-0005-0000-0000-00007B330000}"/>
    <cellStyle name="Normal 2 2 2 2 2 31 4 6" xfId="13180" xr:uid="{00000000-0005-0000-0000-00007C330000}"/>
    <cellStyle name="Normal 2 2 2 2 2 31 4 7" xfId="13181" xr:uid="{00000000-0005-0000-0000-00007D330000}"/>
    <cellStyle name="Normal 2 2 2 2 2 31 4 8" xfId="13182" xr:uid="{00000000-0005-0000-0000-00007E330000}"/>
    <cellStyle name="Normal 2 2 2 2 2 31 4 9" xfId="13183" xr:uid="{00000000-0005-0000-0000-00007F330000}"/>
    <cellStyle name="Normal 2 2 2 2 2 31 5" xfId="13184" xr:uid="{00000000-0005-0000-0000-000080330000}"/>
    <cellStyle name="Normal 2 2 2 2 2 31 5 10" xfId="13185" xr:uid="{00000000-0005-0000-0000-000081330000}"/>
    <cellStyle name="Normal 2 2 2 2 2 31 5 2" xfId="13186" xr:uid="{00000000-0005-0000-0000-000082330000}"/>
    <cellStyle name="Normal 2 2 2 2 2 31 5 3" xfId="13187" xr:uid="{00000000-0005-0000-0000-000083330000}"/>
    <cellStyle name="Normal 2 2 2 2 2 31 5 4" xfId="13188" xr:uid="{00000000-0005-0000-0000-000084330000}"/>
    <cellStyle name="Normal 2 2 2 2 2 31 5 5" xfId="13189" xr:uid="{00000000-0005-0000-0000-000085330000}"/>
    <cellStyle name="Normal 2 2 2 2 2 31 5 6" xfId="13190" xr:uid="{00000000-0005-0000-0000-000086330000}"/>
    <cellStyle name="Normal 2 2 2 2 2 31 5 7" xfId="13191" xr:uid="{00000000-0005-0000-0000-000087330000}"/>
    <cellStyle name="Normal 2 2 2 2 2 31 5 8" xfId="13192" xr:uid="{00000000-0005-0000-0000-000088330000}"/>
    <cellStyle name="Normal 2 2 2 2 2 31 5 9" xfId="13193" xr:uid="{00000000-0005-0000-0000-000089330000}"/>
    <cellStyle name="Normal 2 2 2 2 2 31 6" xfId="13194" xr:uid="{00000000-0005-0000-0000-00008A330000}"/>
    <cellStyle name="Normal 2 2 2 2 2 31 7" xfId="13195" xr:uid="{00000000-0005-0000-0000-00008B330000}"/>
    <cellStyle name="Normal 2 2 2 2 2 31 8" xfId="13196" xr:uid="{00000000-0005-0000-0000-00008C330000}"/>
    <cellStyle name="Normal 2 2 2 2 2 31 9" xfId="13197" xr:uid="{00000000-0005-0000-0000-00008D330000}"/>
    <cellStyle name="Normal 2 2 2 2 2 32" xfId="13198" xr:uid="{00000000-0005-0000-0000-00008E330000}"/>
    <cellStyle name="Normal 2 2 2 2 2 32 10" xfId="13199" xr:uid="{00000000-0005-0000-0000-00008F330000}"/>
    <cellStyle name="Normal 2 2 2 2 2 32 11" xfId="13200" xr:uid="{00000000-0005-0000-0000-000090330000}"/>
    <cellStyle name="Normal 2 2 2 2 2 32 12" xfId="13201" xr:uid="{00000000-0005-0000-0000-000091330000}"/>
    <cellStyle name="Normal 2 2 2 2 2 32 13" xfId="13202" xr:uid="{00000000-0005-0000-0000-000092330000}"/>
    <cellStyle name="Normal 2 2 2 2 2 32 14" xfId="13203" xr:uid="{00000000-0005-0000-0000-000093330000}"/>
    <cellStyle name="Normal 2 2 2 2 2 32 2" xfId="13204" xr:uid="{00000000-0005-0000-0000-000094330000}"/>
    <cellStyle name="Normal 2 2 2 2 2 32 2 10" xfId="13205" xr:uid="{00000000-0005-0000-0000-000095330000}"/>
    <cellStyle name="Normal 2 2 2 2 2 32 2 2" xfId="13206" xr:uid="{00000000-0005-0000-0000-000096330000}"/>
    <cellStyle name="Normal 2 2 2 2 2 32 2 3" xfId="13207" xr:uid="{00000000-0005-0000-0000-000097330000}"/>
    <cellStyle name="Normal 2 2 2 2 2 32 2 4" xfId="13208" xr:uid="{00000000-0005-0000-0000-000098330000}"/>
    <cellStyle name="Normal 2 2 2 2 2 32 2 5" xfId="13209" xr:uid="{00000000-0005-0000-0000-000099330000}"/>
    <cellStyle name="Normal 2 2 2 2 2 32 2 6" xfId="13210" xr:uid="{00000000-0005-0000-0000-00009A330000}"/>
    <cellStyle name="Normal 2 2 2 2 2 32 2 7" xfId="13211" xr:uid="{00000000-0005-0000-0000-00009B330000}"/>
    <cellStyle name="Normal 2 2 2 2 2 32 2 8" xfId="13212" xr:uid="{00000000-0005-0000-0000-00009C330000}"/>
    <cellStyle name="Normal 2 2 2 2 2 32 2 9" xfId="13213" xr:uid="{00000000-0005-0000-0000-00009D330000}"/>
    <cellStyle name="Normal 2 2 2 2 2 32 3" xfId="13214" xr:uid="{00000000-0005-0000-0000-00009E330000}"/>
    <cellStyle name="Normal 2 2 2 2 2 32 3 10" xfId="13215" xr:uid="{00000000-0005-0000-0000-00009F330000}"/>
    <cellStyle name="Normal 2 2 2 2 2 32 3 2" xfId="13216" xr:uid="{00000000-0005-0000-0000-0000A0330000}"/>
    <cellStyle name="Normal 2 2 2 2 2 32 3 3" xfId="13217" xr:uid="{00000000-0005-0000-0000-0000A1330000}"/>
    <cellStyle name="Normal 2 2 2 2 2 32 3 4" xfId="13218" xr:uid="{00000000-0005-0000-0000-0000A2330000}"/>
    <cellStyle name="Normal 2 2 2 2 2 32 3 5" xfId="13219" xr:uid="{00000000-0005-0000-0000-0000A3330000}"/>
    <cellStyle name="Normal 2 2 2 2 2 32 3 6" xfId="13220" xr:uid="{00000000-0005-0000-0000-0000A4330000}"/>
    <cellStyle name="Normal 2 2 2 2 2 32 3 7" xfId="13221" xr:uid="{00000000-0005-0000-0000-0000A5330000}"/>
    <cellStyle name="Normal 2 2 2 2 2 32 3 8" xfId="13222" xr:uid="{00000000-0005-0000-0000-0000A6330000}"/>
    <cellStyle name="Normal 2 2 2 2 2 32 3 9" xfId="13223" xr:uid="{00000000-0005-0000-0000-0000A7330000}"/>
    <cellStyle name="Normal 2 2 2 2 2 32 4" xfId="13224" xr:uid="{00000000-0005-0000-0000-0000A8330000}"/>
    <cellStyle name="Normal 2 2 2 2 2 32 4 10" xfId="13225" xr:uid="{00000000-0005-0000-0000-0000A9330000}"/>
    <cellStyle name="Normal 2 2 2 2 2 32 4 2" xfId="13226" xr:uid="{00000000-0005-0000-0000-0000AA330000}"/>
    <cellStyle name="Normal 2 2 2 2 2 32 4 3" xfId="13227" xr:uid="{00000000-0005-0000-0000-0000AB330000}"/>
    <cellStyle name="Normal 2 2 2 2 2 32 4 4" xfId="13228" xr:uid="{00000000-0005-0000-0000-0000AC330000}"/>
    <cellStyle name="Normal 2 2 2 2 2 32 4 5" xfId="13229" xr:uid="{00000000-0005-0000-0000-0000AD330000}"/>
    <cellStyle name="Normal 2 2 2 2 2 32 4 6" xfId="13230" xr:uid="{00000000-0005-0000-0000-0000AE330000}"/>
    <cellStyle name="Normal 2 2 2 2 2 32 4 7" xfId="13231" xr:uid="{00000000-0005-0000-0000-0000AF330000}"/>
    <cellStyle name="Normal 2 2 2 2 2 32 4 8" xfId="13232" xr:uid="{00000000-0005-0000-0000-0000B0330000}"/>
    <cellStyle name="Normal 2 2 2 2 2 32 4 9" xfId="13233" xr:uid="{00000000-0005-0000-0000-0000B1330000}"/>
    <cellStyle name="Normal 2 2 2 2 2 32 5" xfId="13234" xr:uid="{00000000-0005-0000-0000-0000B2330000}"/>
    <cellStyle name="Normal 2 2 2 2 2 32 5 10" xfId="13235" xr:uid="{00000000-0005-0000-0000-0000B3330000}"/>
    <cellStyle name="Normal 2 2 2 2 2 32 5 2" xfId="13236" xr:uid="{00000000-0005-0000-0000-0000B4330000}"/>
    <cellStyle name="Normal 2 2 2 2 2 32 5 3" xfId="13237" xr:uid="{00000000-0005-0000-0000-0000B5330000}"/>
    <cellStyle name="Normal 2 2 2 2 2 32 5 4" xfId="13238" xr:uid="{00000000-0005-0000-0000-0000B6330000}"/>
    <cellStyle name="Normal 2 2 2 2 2 32 5 5" xfId="13239" xr:uid="{00000000-0005-0000-0000-0000B7330000}"/>
    <cellStyle name="Normal 2 2 2 2 2 32 5 6" xfId="13240" xr:uid="{00000000-0005-0000-0000-0000B8330000}"/>
    <cellStyle name="Normal 2 2 2 2 2 32 5 7" xfId="13241" xr:uid="{00000000-0005-0000-0000-0000B9330000}"/>
    <cellStyle name="Normal 2 2 2 2 2 32 5 8" xfId="13242" xr:uid="{00000000-0005-0000-0000-0000BA330000}"/>
    <cellStyle name="Normal 2 2 2 2 2 32 5 9" xfId="13243" xr:uid="{00000000-0005-0000-0000-0000BB330000}"/>
    <cellStyle name="Normal 2 2 2 2 2 32 6" xfId="13244" xr:uid="{00000000-0005-0000-0000-0000BC330000}"/>
    <cellStyle name="Normal 2 2 2 2 2 32 7" xfId="13245" xr:uid="{00000000-0005-0000-0000-0000BD330000}"/>
    <cellStyle name="Normal 2 2 2 2 2 32 8" xfId="13246" xr:uid="{00000000-0005-0000-0000-0000BE330000}"/>
    <cellStyle name="Normal 2 2 2 2 2 32 9" xfId="13247" xr:uid="{00000000-0005-0000-0000-0000BF330000}"/>
    <cellStyle name="Normal 2 2 2 2 2 33" xfId="13248" xr:uid="{00000000-0005-0000-0000-0000C0330000}"/>
    <cellStyle name="Normal 2 2 2 2 2 33 10" xfId="13249" xr:uid="{00000000-0005-0000-0000-0000C1330000}"/>
    <cellStyle name="Normal 2 2 2 2 2 33 11" xfId="13250" xr:uid="{00000000-0005-0000-0000-0000C2330000}"/>
    <cellStyle name="Normal 2 2 2 2 2 33 12" xfId="13251" xr:uid="{00000000-0005-0000-0000-0000C3330000}"/>
    <cellStyle name="Normal 2 2 2 2 2 33 13" xfId="13252" xr:uid="{00000000-0005-0000-0000-0000C4330000}"/>
    <cellStyle name="Normal 2 2 2 2 2 33 14" xfId="13253" xr:uid="{00000000-0005-0000-0000-0000C5330000}"/>
    <cellStyle name="Normal 2 2 2 2 2 33 2" xfId="13254" xr:uid="{00000000-0005-0000-0000-0000C6330000}"/>
    <cellStyle name="Normal 2 2 2 2 2 33 2 10" xfId="13255" xr:uid="{00000000-0005-0000-0000-0000C7330000}"/>
    <cellStyle name="Normal 2 2 2 2 2 33 2 2" xfId="13256" xr:uid="{00000000-0005-0000-0000-0000C8330000}"/>
    <cellStyle name="Normal 2 2 2 2 2 33 2 3" xfId="13257" xr:uid="{00000000-0005-0000-0000-0000C9330000}"/>
    <cellStyle name="Normal 2 2 2 2 2 33 2 4" xfId="13258" xr:uid="{00000000-0005-0000-0000-0000CA330000}"/>
    <cellStyle name="Normal 2 2 2 2 2 33 2 5" xfId="13259" xr:uid="{00000000-0005-0000-0000-0000CB330000}"/>
    <cellStyle name="Normal 2 2 2 2 2 33 2 6" xfId="13260" xr:uid="{00000000-0005-0000-0000-0000CC330000}"/>
    <cellStyle name="Normal 2 2 2 2 2 33 2 7" xfId="13261" xr:uid="{00000000-0005-0000-0000-0000CD330000}"/>
    <cellStyle name="Normal 2 2 2 2 2 33 2 8" xfId="13262" xr:uid="{00000000-0005-0000-0000-0000CE330000}"/>
    <cellStyle name="Normal 2 2 2 2 2 33 2 9" xfId="13263" xr:uid="{00000000-0005-0000-0000-0000CF330000}"/>
    <cellStyle name="Normal 2 2 2 2 2 33 3" xfId="13264" xr:uid="{00000000-0005-0000-0000-0000D0330000}"/>
    <cellStyle name="Normal 2 2 2 2 2 33 3 10" xfId="13265" xr:uid="{00000000-0005-0000-0000-0000D1330000}"/>
    <cellStyle name="Normal 2 2 2 2 2 33 3 2" xfId="13266" xr:uid="{00000000-0005-0000-0000-0000D2330000}"/>
    <cellStyle name="Normal 2 2 2 2 2 33 3 3" xfId="13267" xr:uid="{00000000-0005-0000-0000-0000D3330000}"/>
    <cellStyle name="Normal 2 2 2 2 2 33 3 4" xfId="13268" xr:uid="{00000000-0005-0000-0000-0000D4330000}"/>
    <cellStyle name="Normal 2 2 2 2 2 33 3 5" xfId="13269" xr:uid="{00000000-0005-0000-0000-0000D5330000}"/>
    <cellStyle name="Normal 2 2 2 2 2 33 3 6" xfId="13270" xr:uid="{00000000-0005-0000-0000-0000D6330000}"/>
    <cellStyle name="Normal 2 2 2 2 2 33 3 7" xfId="13271" xr:uid="{00000000-0005-0000-0000-0000D7330000}"/>
    <cellStyle name="Normal 2 2 2 2 2 33 3 8" xfId="13272" xr:uid="{00000000-0005-0000-0000-0000D8330000}"/>
    <cellStyle name="Normal 2 2 2 2 2 33 3 9" xfId="13273" xr:uid="{00000000-0005-0000-0000-0000D9330000}"/>
    <cellStyle name="Normal 2 2 2 2 2 33 4" xfId="13274" xr:uid="{00000000-0005-0000-0000-0000DA330000}"/>
    <cellStyle name="Normal 2 2 2 2 2 33 4 10" xfId="13275" xr:uid="{00000000-0005-0000-0000-0000DB330000}"/>
    <cellStyle name="Normal 2 2 2 2 2 33 4 2" xfId="13276" xr:uid="{00000000-0005-0000-0000-0000DC330000}"/>
    <cellStyle name="Normal 2 2 2 2 2 33 4 3" xfId="13277" xr:uid="{00000000-0005-0000-0000-0000DD330000}"/>
    <cellStyle name="Normal 2 2 2 2 2 33 4 4" xfId="13278" xr:uid="{00000000-0005-0000-0000-0000DE330000}"/>
    <cellStyle name="Normal 2 2 2 2 2 33 4 5" xfId="13279" xr:uid="{00000000-0005-0000-0000-0000DF330000}"/>
    <cellStyle name="Normal 2 2 2 2 2 33 4 6" xfId="13280" xr:uid="{00000000-0005-0000-0000-0000E0330000}"/>
    <cellStyle name="Normal 2 2 2 2 2 33 4 7" xfId="13281" xr:uid="{00000000-0005-0000-0000-0000E1330000}"/>
    <cellStyle name="Normal 2 2 2 2 2 33 4 8" xfId="13282" xr:uid="{00000000-0005-0000-0000-0000E2330000}"/>
    <cellStyle name="Normal 2 2 2 2 2 33 4 9" xfId="13283" xr:uid="{00000000-0005-0000-0000-0000E3330000}"/>
    <cellStyle name="Normal 2 2 2 2 2 33 5" xfId="13284" xr:uid="{00000000-0005-0000-0000-0000E4330000}"/>
    <cellStyle name="Normal 2 2 2 2 2 33 5 10" xfId="13285" xr:uid="{00000000-0005-0000-0000-0000E5330000}"/>
    <cellStyle name="Normal 2 2 2 2 2 33 5 2" xfId="13286" xr:uid="{00000000-0005-0000-0000-0000E6330000}"/>
    <cellStyle name="Normal 2 2 2 2 2 33 5 3" xfId="13287" xr:uid="{00000000-0005-0000-0000-0000E7330000}"/>
    <cellStyle name="Normal 2 2 2 2 2 33 5 4" xfId="13288" xr:uid="{00000000-0005-0000-0000-0000E8330000}"/>
    <cellStyle name="Normal 2 2 2 2 2 33 5 5" xfId="13289" xr:uid="{00000000-0005-0000-0000-0000E9330000}"/>
    <cellStyle name="Normal 2 2 2 2 2 33 5 6" xfId="13290" xr:uid="{00000000-0005-0000-0000-0000EA330000}"/>
    <cellStyle name="Normal 2 2 2 2 2 33 5 7" xfId="13291" xr:uid="{00000000-0005-0000-0000-0000EB330000}"/>
    <cellStyle name="Normal 2 2 2 2 2 33 5 8" xfId="13292" xr:uid="{00000000-0005-0000-0000-0000EC330000}"/>
    <cellStyle name="Normal 2 2 2 2 2 33 5 9" xfId="13293" xr:uid="{00000000-0005-0000-0000-0000ED330000}"/>
    <cellStyle name="Normal 2 2 2 2 2 33 6" xfId="13294" xr:uid="{00000000-0005-0000-0000-0000EE330000}"/>
    <cellStyle name="Normal 2 2 2 2 2 33 7" xfId="13295" xr:uid="{00000000-0005-0000-0000-0000EF330000}"/>
    <cellStyle name="Normal 2 2 2 2 2 33 8" xfId="13296" xr:uid="{00000000-0005-0000-0000-0000F0330000}"/>
    <cellStyle name="Normal 2 2 2 2 2 33 9" xfId="13297" xr:uid="{00000000-0005-0000-0000-0000F1330000}"/>
    <cellStyle name="Normal 2 2 2 2 2 34" xfId="13298" xr:uid="{00000000-0005-0000-0000-0000F2330000}"/>
    <cellStyle name="Normal 2 2 2 2 2 34 10" xfId="13299" xr:uid="{00000000-0005-0000-0000-0000F3330000}"/>
    <cellStyle name="Normal 2 2 2 2 2 34 11" xfId="13300" xr:uid="{00000000-0005-0000-0000-0000F4330000}"/>
    <cellStyle name="Normal 2 2 2 2 2 34 12" xfId="13301" xr:uid="{00000000-0005-0000-0000-0000F5330000}"/>
    <cellStyle name="Normal 2 2 2 2 2 34 13" xfId="13302" xr:uid="{00000000-0005-0000-0000-0000F6330000}"/>
    <cellStyle name="Normal 2 2 2 2 2 34 14" xfId="13303" xr:uid="{00000000-0005-0000-0000-0000F7330000}"/>
    <cellStyle name="Normal 2 2 2 2 2 34 2" xfId="13304" xr:uid="{00000000-0005-0000-0000-0000F8330000}"/>
    <cellStyle name="Normal 2 2 2 2 2 34 2 10" xfId="13305" xr:uid="{00000000-0005-0000-0000-0000F9330000}"/>
    <cellStyle name="Normal 2 2 2 2 2 34 2 2" xfId="13306" xr:uid="{00000000-0005-0000-0000-0000FA330000}"/>
    <cellStyle name="Normal 2 2 2 2 2 34 2 3" xfId="13307" xr:uid="{00000000-0005-0000-0000-0000FB330000}"/>
    <cellStyle name="Normal 2 2 2 2 2 34 2 4" xfId="13308" xr:uid="{00000000-0005-0000-0000-0000FC330000}"/>
    <cellStyle name="Normal 2 2 2 2 2 34 2 5" xfId="13309" xr:uid="{00000000-0005-0000-0000-0000FD330000}"/>
    <cellStyle name="Normal 2 2 2 2 2 34 2 6" xfId="13310" xr:uid="{00000000-0005-0000-0000-0000FE330000}"/>
    <cellStyle name="Normal 2 2 2 2 2 34 2 7" xfId="13311" xr:uid="{00000000-0005-0000-0000-0000FF330000}"/>
    <cellStyle name="Normal 2 2 2 2 2 34 2 8" xfId="13312" xr:uid="{00000000-0005-0000-0000-000000340000}"/>
    <cellStyle name="Normal 2 2 2 2 2 34 2 9" xfId="13313" xr:uid="{00000000-0005-0000-0000-000001340000}"/>
    <cellStyle name="Normal 2 2 2 2 2 34 3" xfId="13314" xr:uid="{00000000-0005-0000-0000-000002340000}"/>
    <cellStyle name="Normal 2 2 2 2 2 34 3 10" xfId="13315" xr:uid="{00000000-0005-0000-0000-000003340000}"/>
    <cellStyle name="Normal 2 2 2 2 2 34 3 2" xfId="13316" xr:uid="{00000000-0005-0000-0000-000004340000}"/>
    <cellStyle name="Normal 2 2 2 2 2 34 3 3" xfId="13317" xr:uid="{00000000-0005-0000-0000-000005340000}"/>
    <cellStyle name="Normal 2 2 2 2 2 34 3 4" xfId="13318" xr:uid="{00000000-0005-0000-0000-000006340000}"/>
    <cellStyle name="Normal 2 2 2 2 2 34 3 5" xfId="13319" xr:uid="{00000000-0005-0000-0000-000007340000}"/>
    <cellStyle name="Normal 2 2 2 2 2 34 3 6" xfId="13320" xr:uid="{00000000-0005-0000-0000-000008340000}"/>
    <cellStyle name="Normal 2 2 2 2 2 34 3 7" xfId="13321" xr:uid="{00000000-0005-0000-0000-000009340000}"/>
    <cellStyle name="Normal 2 2 2 2 2 34 3 8" xfId="13322" xr:uid="{00000000-0005-0000-0000-00000A340000}"/>
    <cellStyle name="Normal 2 2 2 2 2 34 3 9" xfId="13323" xr:uid="{00000000-0005-0000-0000-00000B340000}"/>
    <cellStyle name="Normal 2 2 2 2 2 34 4" xfId="13324" xr:uid="{00000000-0005-0000-0000-00000C340000}"/>
    <cellStyle name="Normal 2 2 2 2 2 34 4 10" xfId="13325" xr:uid="{00000000-0005-0000-0000-00000D340000}"/>
    <cellStyle name="Normal 2 2 2 2 2 34 4 2" xfId="13326" xr:uid="{00000000-0005-0000-0000-00000E340000}"/>
    <cellStyle name="Normal 2 2 2 2 2 34 4 3" xfId="13327" xr:uid="{00000000-0005-0000-0000-00000F340000}"/>
    <cellStyle name="Normal 2 2 2 2 2 34 4 4" xfId="13328" xr:uid="{00000000-0005-0000-0000-000010340000}"/>
    <cellStyle name="Normal 2 2 2 2 2 34 4 5" xfId="13329" xr:uid="{00000000-0005-0000-0000-000011340000}"/>
    <cellStyle name="Normal 2 2 2 2 2 34 4 6" xfId="13330" xr:uid="{00000000-0005-0000-0000-000012340000}"/>
    <cellStyle name="Normal 2 2 2 2 2 34 4 7" xfId="13331" xr:uid="{00000000-0005-0000-0000-000013340000}"/>
    <cellStyle name="Normal 2 2 2 2 2 34 4 8" xfId="13332" xr:uid="{00000000-0005-0000-0000-000014340000}"/>
    <cellStyle name="Normal 2 2 2 2 2 34 4 9" xfId="13333" xr:uid="{00000000-0005-0000-0000-000015340000}"/>
    <cellStyle name="Normal 2 2 2 2 2 34 5" xfId="13334" xr:uid="{00000000-0005-0000-0000-000016340000}"/>
    <cellStyle name="Normal 2 2 2 2 2 34 5 10" xfId="13335" xr:uid="{00000000-0005-0000-0000-000017340000}"/>
    <cellStyle name="Normal 2 2 2 2 2 34 5 2" xfId="13336" xr:uid="{00000000-0005-0000-0000-000018340000}"/>
    <cellStyle name="Normal 2 2 2 2 2 34 5 3" xfId="13337" xr:uid="{00000000-0005-0000-0000-000019340000}"/>
    <cellStyle name="Normal 2 2 2 2 2 34 5 4" xfId="13338" xr:uid="{00000000-0005-0000-0000-00001A340000}"/>
    <cellStyle name="Normal 2 2 2 2 2 34 5 5" xfId="13339" xr:uid="{00000000-0005-0000-0000-00001B340000}"/>
    <cellStyle name="Normal 2 2 2 2 2 34 5 6" xfId="13340" xr:uid="{00000000-0005-0000-0000-00001C340000}"/>
    <cellStyle name="Normal 2 2 2 2 2 34 5 7" xfId="13341" xr:uid="{00000000-0005-0000-0000-00001D340000}"/>
    <cellStyle name="Normal 2 2 2 2 2 34 5 8" xfId="13342" xr:uid="{00000000-0005-0000-0000-00001E340000}"/>
    <cellStyle name="Normal 2 2 2 2 2 34 5 9" xfId="13343" xr:uid="{00000000-0005-0000-0000-00001F340000}"/>
    <cellStyle name="Normal 2 2 2 2 2 34 6" xfId="13344" xr:uid="{00000000-0005-0000-0000-000020340000}"/>
    <cellStyle name="Normal 2 2 2 2 2 34 7" xfId="13345" xr:uid="{00000000-0005-0000-0000-000021340000}"/>
    <cellStyle name="Normal 2 2 2 2 2 34 8" xfId="13346" xr:uid="{00000000-0005-0000-0000-000022340000}"/>
    <cellStyle name="Normal 2 2 2 2 2 34 9" xfId="13347" xr:uid="{00000000-0005-0000-0000-000023340000}"/>
    <cellStyle name="Normal 2 2 2 2 2 35" xfId="13348" xr:uid="{00000000-0005-0000-0000-000024340000}"/>
    <cellStyle name="Normal 2 2 2 2 2 35 10" xfId="13349" xr:uid="{00000000-0005-0000-0000-000025340000}"/>
    <cellStyle name="Normal 2 2 2 2 2 35 2" xfId="13350" xr:uid="{00000000-0005-0000-0000-000026340000}"/>
    <cellStyle name="Normal 2 2 2 2 2 35 3" xfId="13351" xr:uid="{00000000-0005-0000-0000-000027340000}"/>
    <cellStyle name="Normal 2 2 2 2 2 35 4" xfId="13352" xr:uid="{00000000-0005-0000-0000-000028340000}"/>
    <cellStyle name="Normal 2 2 2 2 2 35 5" xfId="13353" xr:uid="{00000000-0005-0000-0000-000029340000}"/>
    <cellStyle name="Normal 2 2 2 2 2 35 6" xfId="13354" xr:uid="{00000000-0005-0000-0000-00002A340000}"/>
    <cellStyle name="Normal 2 2 2 2 2 35 7" xfId="13355" xr:uid="{00000000-0005-0000-0000-00002B340000}"/>
    <cellStyle name="Normal 2 2 2 2 2 35 8" xfId="13356" xr:uid="{00000000-0005-0000-0000-00002C340000}"/>
    <cellStyle name="Normal 2 2 2 2 2 35 9" xfId="13357" xr:uid="{00000000-0005-0000-0000-00002D340000}"/>
    <cellStyle name="Normal 2 2 2 2 2 36" xfId="13358" xr:uid="{00000000-0005-0000-0000-00002E340000}"/>
    <cellStyle name="Normal 2 2 2 2 2 36 10" xfId="13359" xr:uid="{00000000-0005-0000-0000-00002F340000}"/>
    <cellStyle name="Normal 2 2 2 2 2 36 2" xfId="13360" xr:uid="{00000000-0005-0000-0000-000030340000}"/>
    <cellStyle name="Normal 2 2 2 2 2 36 3" xfId="13361" xr:uid="{00000000-0005-0000-0000-000031340000}"/>
    <cellStyle name="Normal 2 2 2 2 2 36 4" xfId="13362" xr:uid="{00000000-0005-0000-0000-000032340000}"/>
    <cellStyle name="Normal 2 2 2 2 2 36 5" xfId="13363" xr:uid="{00000000-0005-0000-0000-000033340000}"/>
    <cellStyle name="Normal 2 2 2 2 2 36 6" xfId="13364" xr:uid="{00000000-0005-0000-0000-000034340000}"/>
    <cellStyle name="Normal 2 2 2 2 2 36 7" xfId="13365" xr:uid="{00000000-0005-0000-0000-000035340000}"/>
    <cellStyle name="Normal 2 2 2 2 2 36 8" xfId="13366" xr:uid="{00000000-0005-0000-0000-000036340000}"/>
    <cellStyle name="Normal 2 2 2 2 2 36 9" xfId="13367" xr:uid="{00000000-0005-0000-0000-000037340000}"/>
    <cellStyle name="Normal 2 2 2 2 2 37" xfId="13368" xr:uid="{00000000-0005-0000-0000-000038340000}"/>
    <cellStyle name="Normal 2 2 2 2 2 37 10" xfId="13369" xr:uid="{00000000-0005-0000-0000-000039340000}"/>
    <cellStyle name="Normal 2 2 2 2 2 37 2" xfId="13370" xr:uid="{00000000-0005-0000-0000-00003A340000}"/>
    <cellStyle name="Normal 2 2 2 2 2 37 3" xfId="13371" xr:uid="{00000000-0005-0000-0000-00003B340000}"/>
    <cellStyle name="Normal 2 2 2 2 2 37 4" xfId="13372" xr:uid="{00000000-0005-0000-0000-00003C340000}"/>
    <cellStyle name="Normal 2 2 2 2 2 37 5" xfId="13373" xr:uid="{00000000-0005-0000-0000-00003D340000}"/>
    <cellStyle name="Normal 2 2 2 2 2 37 6" xfId="13374" xr:uid="{00000000-0005-0000-0000-00003E340000}"/>
    <cellStyle name="Normal 2 2 2 2 2 37 7" xfId="13375" xr:uid="{00000000-0005-0000-0000-00003F340000}"/>
    <cellStyle name="Normal 2 2 2 2 2 37 8" xfId="13376" xr:uid="{00000000-0005-0000-0000-000040340000}"/>
    <cellStyle name="Normal 2 2 2 2 2 37 9" xfId="13377" xr:uid="{00000000-0005-0000-0000-000041340000}"/>
    <cellStyle name="Normal 2 2 2 2 2 38" xfId="13378" xr:uid="{00000000-0005-0000-0000-000042340000}"/>
    <cellStyle name="Normal 2 2 2 2 2 38 10" xfId="13379" xr:uid="{00000000-0005-0000-0000-000043340000}"/>
    <cellStyle name="Normal 2 2 2 2 2 38 2" xfId="13380" xr:uid="{00000000-0005-0000-0000-000044340000}"/>
    <cellStyle name="Normal 2 2 2 2 2 38 3" xfId="13381" xr:uid="{00000000-0005-0000-0000-000045340000}"/>
    <cellStyle name="Normal 2 2 2 2 2 38 4" xfId="13382" xr:uid="{00000000-0005-0000-0000-000046340000}"/>
    <cellStyle name="Normal 2 2 2 2 2 38 5" xfId="13383" xr:uid="{00000000-0005-0000-0000-000047340000}"/>
    <cellStyle name="Normal 2 2 2 2 2 38 6" xfId="13384" xr:uid="{00000000-0005-0000-0000-000048340000}"/>
    <cellStyle name="Normal 2 2 2 2 2 38 7" xfId="13385" xr:uid="{00000000-0005-0000-0000-000049340000}"/>
    <cellStyle name="Normal 2 2 2 2 2 38 8" xfId="13386" xr:uid="{00000000-0005-0000-0000-00004A340000}"/>
    <cellStyle name="Normal 2 2 2 2 2 38 9" xfId="13387" xr:uid="{00000000-0005-0000-0000-00004B340000}"/>
    <cellStyle name="Normal 2 2 2 2 2 39" xfId="13388" xr:uid="{00000000-0005-0000-0000-00004C340000}"/>
    <cellStyle name="Normal 2 2 2 2 2 4" xfId="13389" xr:uid="{00000000-0005-0000-0000-00004D340000}"/>
    <cellStyle name="Normal 2 2 2 2 2 4 10" xfId="13390" xr:uid="{00000000-0005-0000-0000-00004E340000}"/>
    <cellStyle name="Normal 2 2 2 2 2 4 11" xfId="13391" xr:uid="{00000000-0005-0000-0000-00004F340000}"/>
    <cellStyle name="Normal 2 2 2 2 2 4 12" xfId="13392" xr:uid="{00000000-0005-0000-0000-000050340000}"/>
    <cellStyle name="Normal 2 2 2 2 2 4 13" xfId="13393" xr:uid="{00000000-0005-0000-0000-000051340000}"/>
    <cellStyle name="Normal 2 2 2 2 2 4 14" xfId="13394" xr:uid="{00000000-0005-0000-0000-000052340000}"/>
    <cellStyle name="Normal 2 2 2 2 2 4 15" xfId="13395" xr:uid="{00000000-0005-0000-0000-000053340000}"/>
    <cellStyle name="Normal 2 2 2 2 2 4 16" xfId="13396" xr:uid="{00000000-0005-0000-0000-000054340000}"/>
    <cellStyle name="Normal 2 2 2 2 2 4 2" xfId="13397" xr:uid="{00000000-0005-0000-0000-000055340000}"/>
    <cellStyle name="Normal 2 2 2 2 2 4 2 10" xfId="13398" xr:uid="{00000000-0005-0000-0000-000056340000}"/>
    <cellStyle name="Normal 2 2 2 2 2 4 2 2" xfId="13399" xr:uid="{00000000-0005-0000-0000-000057340000}"/>
    <cellStyle name="Normal 2 2 2 2 2 4 2 3" xfId="13400" xr:uid="{00000000-0005-0000-0000-000058340000}"/>
    <cellStyle name="Normal 2 2 2 2 2 4 2 4" xfId="13401" xr:uid="{00000000-0005-0000-0000-000059340000}"/>
    <cellStyle name="Normal 2 2 2 2 2 4 2 5" xfId="13402" xr:uid="{00000000-0005-0000-0000-00005A340000}"/>
    <cellStyle name="Normal 2 2 2 2 2 4 2 6" xfId="13403" xr:uid="{00000000-0005-0000-0000-00005B340000}"/>
    <cellStyle name="Normal 2 2 2 2 2 4 2 7" xfId="13404" xr:uid="{00000000-0005-0000-0000-00005C340000}"/>
    <cellStyle name="Normal 2 2 2 2 2 4 2 8" xfId="13405" xr:uid="{00000000-0005-0000-0000-00005D340000}"/>
    <cellStyle name="Normal 2 2 2 2 2 4 2 9" xfId="13406" xr:uid="{00000000-0005-0000-0000-00005E340000}"/>
    <cellStyle name="Normal 2 2 2 2 2 4 3" xfId="13407" xr:uid="{00000000-0005-0000-0000-00005F340000}"/>
    <cellStyle name="Normal 2 2 2 2 2 4 3 10" xfId="13408" xr:uid="{00000000-0005-0000-0000-000060340000}"/>
    <cellStyle name="Normal 2 2 2 2 2 4 3 2" xfId="13409" xr:uid="{00000000-0005-0000-0000-000061340000}"/>
    <cellStyle name="Normal 2 2 2 2 2 4 3 3" xfId="13410" xr:uid="{00000000-0005-0000-0000-000062340000}"/>
    <cellStyle name="Normal 2 2 2 2 2 4 3 4" xfId="13411" xr:uid="{00000000-0005-0000-0000-000063340000}"/>
    <cellStyle name="Normal 2 2 2 2 2 4 3 5" xfId="13412" xr:uid="{00000000-0005-0000-0000-000064340000}"/>
    <cellStyle name="Normal 2 2 2 2 2 4 3 6" xfId="13413" xr:uid="{00000000-0005-0000-0000-000065340000}"/>
    <cellStyle name="Normal 2 2 2 2 2 4 3 7" xfId="13414" xr:uid="{00000000-0005-0000-0000-000066340000}"/>
    <cellStyle name="Normal 2 2 2 2 2 4 3 8" xfId="13415" xr:uid="{00000000-0005-0000-0000-000067340000}"/>
    <cellStyle name="Normal 2 2 2 2 2 4 3 9" xfId="13416" xr:uid="{00000000-0005-0000-0000-000068340000}"/>
    <cellStyle name="Normal 2 2 2 2 2 4 4" xfId="13417" xr:uid="{00000000-0005-0000-0000-000069340000}"/>
    <cellStyle name="Normal 2 2 2 2 2 4 4 10" xfId="13418" xr:uid="{00000000-0005-0000-0000-00006A340000}"/>
    <cellStyle name="Normal 2 2 2 2 2 4 4 2" xfId="13419" xr:uid="{00000000-0005-0000-0000-00006B340000}"/>
    <cellStyle name="Normal 2 2 2 2 2 4 4 3" xfId="13420" xr:uid="{00000000-0005-0000-0000-00006C340000}"/>
    <cellStyle name="Normal 2 2 2 2 2 4 4 4" xfId="13421" xr:uid="{00000000-0005-0000-0000-00006D340000}"/>
    <cellStyle name="Normal 2 2 2 2 2 4 4 5" xfId="13422" xr:uid="{00000000-0005-0000-0000-00006E340000}"/>
    <cellStyle name="Normal 2 2 2 2 2 4 4 6" xfId="13423" xr:uid="{00000000-0005-0000-0000-00006F340000}"/>
    <cellStyle name="Normal 2 2 2 2 2 4 4 7" xfId="13424" xr:uid="{00000000-0005-0000-0000-000070340000}"/>
    <cellStyle name="Normal 2 2 2 2 2 4 4 8" xfId="13425" xr:uid="{00000000-0005-0000-0000-000071340000}"/>
    <cellStyle name="Normal 2 2 2 2 2 4 4 9" xfId="13426" xr:uid="{00000000-0005-0000-0000-000072340000}"/>
    <cellStyle name="Normal 2 2 2 2 2 4 5" xfId="13427" xr:uid="{00000000-0005-0000-0000-000073340000}"/>
    <cellStyle name="Normal 2 2 2 2 2 4 5 10" xfId="13428" xr:uid="{00000000-0005-0000-0000-000074340000}"/>
    <cellStyle name="Normal 2 2 2 2 2 4 5 2" xfId="13429" xr:uid="{00000000-0005-0000-0000-000075340000}"/>
    <cellStyle name="Normal 2 2 2 2 2 4 5 3" xfId="13430" xr:uid="{00000000-0005-0000-0000-000076340000}"/>
    <cellStyle name="Normal 2 2 2 2 2 4 5 4" xfId="13431" xr:uid="{00000000-0005-0000-0000-000077340000}"/>
    <cellStyle name="Normal 2 2 2 2 2 4 5 5" xfId="13432" xr:uid="{00000000-0005-0000-0000-000078340000}"/>
    <cellStyle name="Normal 2 2 2 2 2 4 5 6" xfId="13433" xr:uid="{00000000-0005-0000-0000-000079340000}"/>
    <cellStyle name="Normal 2 2 2 2 2 4 5 7" xfId="13434" xr:uid="{00000000-0005-0000-0000-00007A340000}"/>
    <cellStyle name="Normal 2 2 2 2 2 4 5 8" xfId="13435" xr:uid="{00000000-0005-0000-0000-00007B340000}"/>
    <cellStyle name="Normal 2 2 2 2 2 4 5 9" xfId="13436" xr:uid="{00000000-0005-0000-0000-00007C340000}"/>
    <cellStyle name="Normal 2 2 2 2 2 4 6" xfId="13437" xr:uid="{00000000-0005-0000-0000-00007D340000}"/>
    <cellStyle name="Normal 2 2 2 2 2 4 7" xfId="13438" xr:uid="{00000000-0005-0000-0000-00007E340000}"/>
    <cellStyle name="Normal 2 2 2 2 2 4 8" xfId="13439" xr:uid="{00000000-0005-0000-0000-00007F340000}"/>
    <cellStyle name="Normal 2 2 2 2 2 4 9" xfId="13440" xr:uid="{00000000-0005-0000-0000-000080340000}"/>
    <cellStyle name="Normal 2 2 2 2 2 40" xfId="13441" xr:uid="{00000000-0005-0000-0000-000081340000}"/>
    <cellStyle name="Normal 2 2 2 2 2 41" xfId="13442" xr:uid="{00000000-0005-0000-0000-000082340000}"/>
    <cellStyle name="Normal 2 2 2 2 2 42" xfId="13443" xr:uid="{00000000-0005-0000-0000-000083340000}"/>
    <cellStyle name="Normal 2 2 2 2 2 43" xfId="13444" xr:uid="{00000000-0005-0000-0000-000084340000}"/>
    <cellStyle name="Normal 2 2 2 2 2 44" xfId="13445" xr:uid="{00000000-0005-0000-0000-000085340000}"/>
    <cellStyle name="Normal 2 2 2 2 2 45" xfId="13446" xr:uid="{00000000-0005-0000-0000-000086340000}"/>
    <cellStyle name="Normal 2 2 2 2 2 46" xfId="13447" xr:uid="{00000000-0005-0000-0000-000087340000}"/>
    <cellStyle name="Normal 2 2 2 2 2 47" xfId="13448" xr:uid="{00000000-0005-0000-0000-000088340000}"/>
    <cellStyle name="Normal 2 2 2 2 2 48" xfId="13449" xr:uid="{00000000-0005-0000-0000-000089340000}"/>
    <cellStyle name="Normal 2 2 2 2 2 49" xfId="13450" xr:uid="{00000000-0005-0000-0000-00008A340000}"/>
    <cellStyle name="Normal 2 2 2 2 2 5" xfId="13451" xr:uid="{00000000-0005-0000-0000-00008B340000}"/>
    <cellStyle name="Normal 2 2 2 2 2 5 10" xfId="13452" xr:uid="{00000000-0005-0000-0000-00008C340000}"/>
    <cellStyle name="Normal 2 2 2 2 2 5 11" xfId="13453" xr:uid="{00000000-0005-0000-0000-00008D340000}"/>
    <cellStyle name="Normal 2 2 2 2 2 5 12" xfId="13454" xr:uid="{00000000-0005-0000-0000-00008E340000}"/>
    <cellStyle name="Normal 2 2 2 2 2 5 13" xfId="13455" xr:uid="{00000000-0005-0000-0000-00008F340000}"/>
    <cellStyle name="Normal 2 2 2 2 2 5 14" xfId="13456" xr:uid="{00000000-0005-0000-0000-000090340000}"/>
    <cellStyle name="Normal 2 2 2 2 2 5 2" xfId="13457" xr:uid="{00000000-0005-0000-0000-000091340000}"/>
    <cellStyle name="Normal 2 2 2 2 2 5 2 10" xfId="13458" xr:uid="{00000000-0005-0000-0000-000092340000}"/>
    <cellStyle name="Normal 2 2 2 2 2 5 2 2" xfId="13459" xr:uid="{00000000-0005-0000-0000-000093340000}"/>
    <cellStyle name="Normal 2 2 2 2 2 5 2 3" xfId="13460" xr:uid="{00000000-0005-0000-0000-000094340000}"/>
    <cellStyle name="Normal 2 2 2 2 2 5 2 4" xfId="13461" xr:uid="{00000000-0005-0000-0000-000095340000}"/>
    <cellStyle name="Normal 2 2 2 2 2 5 2 5" xfId="13462" xr:uid="{00000000-0005-0000-0000-000096340000}"/>
    <cellStyle name="Normal 2 2 2 2 2 5 2 6" xfId="13463" xr:uid="{00000000-0005-0000-0000-000097340000}"/>
    <cellStyle name="Normal 2 2 2 2 2 5 2 7" xfId="13464" xr:uid="{00000000-0005-0000-0000-000098340000}"/>
    <cellStyle name="Normal 2 2 2 2 2 5 2 8" xfId="13465" xr:uid="{00000000-0005-0000-0000-000099340000}"/>
    <cellStyle name="Normal 2 2 2 2 2 5 2 9" xfId="13466" xr:uid="{00000000-0005-0000-0000-00009A340000}"/>
    <cellStyle name="Normal 2 2 2 2 2 5 3" xfId="13467" xr:uid="{00000000-0005-0000-0000-00009B340000}"/>
    <cellStyle name="Normal 2 2 2 2 2 5 3 10" xfId="13468" xr:uid="{00000000-0005-0000-0000-00009C340000}"/>
    <cellStyle name="Normal 2 2 2 2 2 5 3 2" xfId="13469" xr:uid="{00000000-0005-0000-0000-00009D340000}"/>
    <cellStyle name="Normal 2 2 2 2 2 5 3 3" xfId="13470" xr:uid="{00000000-0005-0000-0000-00009E340000}"/>
    <cellStyle name="Normal 2 2 2 2 2 5 3 4" xfId="13471" xr:uid="{00000000-0005-0000-0000-00009F340000}"/>
    <cellStyle name="Normal 2 2 2 2 2 5 3 5" xfId="13472" xr:uid="{00000000-0005-0000-0000-0000A0340000}"/>
    <cellStyle name="Normal 2 2 2 2 2 5 3 6" xfId="13473" xr:uid="{00000000-0005-0000-0000-0000A1340000}"/>
    <cellStyle name="Normal 2 2 2 2 2 5 3 7" xfId="13474" xr:uid="{00000000-0005-0000-0000-0000A2340000}"/>
    <cellStyle name="Normal 2 2 2 2 2 5 3 8" xfId="13475" xr:uid="{00000000-0005-0000-0000-0000A3340000}"/>
    <cellStyle name="Normal 2 2 2 2 2 5 3 9" xfId="13476" xr:uid="{00000000-0005-0000-0000-0000A4340000}"/>
    <cellStyle name="Normal 2 2 2 2 2 5 4" xfId="13477" xr:uid="{00000000-0005-0000-0000-0000A5340000}"/>
    <cellStyle name="Normal 2 2 2 2 2 5 4 10" xfId="13478" xr:uid="{00000000-0005-0000-0000-0000A6340000}"/>
    <cellStyle name="Normal 2 2 2 2 2 5 4 2" xfId="13479" xr:uid="{00000000-0005-0000-0000-0000A7340000}"/>
    <cellStyle name="Normal 2 2 2 2 2 5 4 3" xfId="13480" xr:uid="{00000000-0005-0000-0000-0000A8340000}"/>
    <cellStyle name="Normal 2 2 2 2 2 5 4 4" xfId="13481" xr:uid="{00000000-0005-0000-0000-0000A9340000}"/>
    <cellStyle name="Normal 2 2 2 2 2 5 4 5" xfId="13482" xr:uid="{00000000-0005-0000-0000-0000AA340000}"/>
    <cellStyle name="Normal 2 2 2 2 2 5 4 6" xfId="13483" xr:uid="{00000000-0005-0000-0000-0000AB340000}"/>
    <cellStyle name="Normal 2 2 2 2 2 5 4 7" xfId="13484" xr:uid="{00000000-0005-0000-0000-0000AC340000}"/>
    <cellStyle name="Normal 2 2 2 2 2 5 4 8" xfId="13485" xr:uid="{00000000-0005-0000-0000-0000AD340000}"/>
    <cellStyle name="Normal 2 2 2 2 2 5 4 9" xfId="13486" xr:uid="{00000000-0005-0000-0000-0000AE340000}"/>
    <cellStyle name="Normal 2 2 2 2 2 5 5" xfId="13487" xr:uid="{00000000-0005-0000-0000-0000AF340000}"/>
    <cellStyle name="Normal 2 2 2 2 2 5 5 10" xfId="13488" xr:uid="{00000000-0005-0000-0000-0000B0340000}"/>
    <cellStyle name="Normal 2 2 2 2 2 5 5 2" xfId="13489" xr:uid="{00000000-0005-0000-0000-0000B1340000}"/>
    <cellStyle name="Normal 2 2 2 2 2 5 5 3" xfId="13490" xr:uid="{00000000-0005-0000-0000-0000B2340000}"/>
    <cellStyle name="Normal 2 2 2 2 2 5 5 4" xfId="13491" xr:uid="{00000000-0005-0000-0000-0000B3340000}"/>
    <cellStyle name="Normal 2 2 2 2 2 5 5 5" xfId="13492" xr:uid="{00000000-0005-0000-0000-0000B4340000}"/>
    <cellStyle name="Normal 2 2 2 2 2 5 5 6" xfId="13493" xr:uid="{00000000-0005-0000-0000-0000B5340000}"/>
    <cellStyle name="Normal 2 2 2 2 2 5 5 7" xfId="13494" xr:uid="{00000000-0005-0000-0000-0000B6340000}"/>
    <cellStyle name="Normal 2 2 2 2 2 5 5 8" xfId="13495" xr:uid="{00000000-0005-0000-0000-0000B7340000}"/>
    <cellStyle name="Normal 2 2 2 2 2 5 5 9" xfId="13496" xr:uid="{00000000-0005-0000-0000-0000B8340000}"/>
    <cellStyle name="Normal 2 2 2 2 2 5 6" xfId="13497" xr:uid="{00000000-0005-0000-0000-0000B9340000}"/>
    <cellStyle name="Normal 2 2 2 2 2 5 7" xfId="13498" xr:uid="{00000000-0005-0000-0000-0000BA340000}"/>
    <cellStyle name="Normal 2 2 2 2 2 5 8" xfId="13499" xr:uid="{00000000-0005-0000-0000-0000BB340000}"/>
    <cellStyle name="Normal 2 2 2 2 2 5 9" xfId="13500" xr:uid="{00000000-0005-0000-0000-0000BC340000}"/>
    <cellStyle name="Normal 2 2 2 2 2 6" xfId="13501" xr:uid="{00000000-0005-0000-0000-0000BD340000}"/>
    <cellStyle name="Normal 2 2 2 2 2 6 10" xfId="13502" xr:uid="{00000000-0005-0000-0000-0000BE340000}"/>
    <cellStyle name="Normal 2 2 2 2 2 6 11" xfId="13503" xr:uid="{00000000-0005-0000-0000-0000BF340000}"/>
    <cellStyle name="Normal 2 2 2 2 2 6 12" xfId="13504" xr:uid="{00000000-0005-0000-0000-0000C0340000}"/>
    <cellStyle name="Normal 2 2 2 2 2 6 13" xfId="13505" xr:uid="{00000000-0005-0000-0000-0000C1340000}"/>
    <cellStyle name="Normal 2 2 2 2 2 6 14" xfId="13506" xr:uid="{00000000-0005-0000-0000-0000C2340000}"/>
    <cellStyle name="Normal 2 2 2 2 2 6 2" xfId="13507" xr:uid="{00000000-0005-0000-0000-0000C3340000}"/>
    <cellStyle name="Normal 2 2 2 2 2 6 2 10" xfId="13508" xr:uid="{00000000-0005-0000-0000-0000C4340000}"/>
    <cellStyle name="Normal 2 2 2 2 2 6 2 2" xfId="13509" xr:uid="{00000000-0005-0000-0000-0000C5340000}"/>
    <cellStyle name="Normal 2 2 2 2 2 6 2 3" xfId="13510" xr:uid="{00000000-0005-0000-0000-0000C6340000}"/>
    <cellStyle name="Normal 2 2 2 2 2 6 2 4" xfId="13511" xr:uid="{00000000-0005-0000-0000-0000C7340000}"/>
    <cellStyle name="Normal 2 2 2 2 2 6 2 5" xfId="13512" xr:uid="{00000000-0005-0000-0000-0000C8340000}"/>
    <cellStyle name="Normal 2 2 2 2 2 6 2 6" xfId="13513" xr:uid="{00000000-0005-0000-0000-0000C9340000}"/>
    <cellStyle name="Normal 2 2 2 2 2 6 2 7" xfId="13514" xr:uid="{00000000-0005-0000-0000-0000CA340000}"/>
    <cellStyle name="Normal 2 2 2 2 2 6 2 8" xfId="13515" xr:uid="{00000000-0005-0000-0000-0000CB340000}"/>
    <cellStyle name="Normal 2 2 2 2 2 6 2 9" xfId="13516" xr:uid="{00000000-0005-0000-0000-0000CC340000}"/>
    <cellStyle name="Normal 2 2 2 2 2 6 3" xfId="13517" xr:uid="{00000000-0005-0000-0000-0000CD340000}"/>
    <cellStyle name="Normal 2 2 2 2 2 6 3 10" xfId="13518" xr:uid="{00000000-0005-0000-0000-0000CE340000}"/>
    <cellStyle name="Normal 2 2 2 2 2 6 3 2" xfId="13519" xr:uid="{00000000-0005-0000-0000-0000CF340000}"/>
    <cellStyle name="Normal 2 2 2 2 2 6 3 3" xfId="13520" xr:uid="{00000000-0005-0000-0000-0000D0340000}"/>
    <cellStyle name="Normal 2 2 2 2 2 6 3 4" xfId="13521" xr:uid="{00000000-0005-0000-0000-0000D1340000}"/>
    <cellStyle name="Normal 2 2 2 2 2 6 3 5" xfId="13522" xr:uid="{00000000-0005-0000-0000-0000D2340000}"/>
    <cellStyle name="Normal 2 2 2 2 2 6 3 6" xfId="13523" xr:uid="{00000000-0005-0000-0000-0000D3340000}"/>
    <cellStyle name="Normal 2 2 2 2 2 6 3 7" xfId="13524" xr:uid="{00000000-0005-0000-0000-0000D4340000}"/>
    <cellStyle name="Normal 2 2 2 2 2 6 3 8" xfId="13525" xr:uid="{00000000-0005-0000-0000-0000D5340000}"/>
    <cellStyle name="Normal 2 2 2 2 2 6 3 9" xfId="13526" xr:uid="{00000000-0005-0000-0000-0000D6340000}"/>
    <cellStyle name="Normal 2 2 2 2 2 6 4" xfId="13527" xr:uid="{00000000-0005-0000-0000-0000D7340000}"/>
    <cellStyle name="Normal 2 2 2 2 2 6 4 10" xfId="13528" xr:uid="{00000000-0005-0000-0000-0000D8340000}"/>
    <cellStyle name="Normal 2 2 2 2 2 6 4 2" xfId="13529" xr:uid="{00000000-0005-0000-0000-0000D9340000}"/>
    <cellStyle name="Normal 2 2 2 2 2 6 4 3" xfId="13530" xr:uid="{00000000-0005-0000-0000-0000DA340000}"/>
    <cellStyle name="Normal 2 2 2 2 2 6 4 4" xfId="13531" xr:uid="{00000000-0005-0000-0000-0000DB340000}"/>
    <cellStyle name="Normal 2 2 2 2 2 6 4 5" xfId="13532" xr:uid="{00000000-0005-0000-0000-0000DC340000}"/>
    <cellStyle name="Normal 2 2 2 2 2 6 4 6" xfId="13533" xr:uid="{00000000-0005-0000-0000-0000DD340000}"/>
    <cellStyle name="Normal 2 2 2 2 2 6 4 7" xfId="13534" xr:uid="{00000000-0005-0000-0000-0000DE340000}"/>
    <cellStyle name="Normal 2 2 2 2 2 6 4 8" xfId="13535" xr:uid="{00000000-0005-0000-0000-0000DF340000}"/>
    <cellStyle name="Normal 2 2 2 2 2 6 4 9" xfId="13536" xr:uid="{00000000-0005-0000-0000-0000E0340000}"/>
    <cellStyle name="Normal 2 2 2 2 2 6 5" xfId="13537" xr:uid="{00000000-0005-0000-0000-0000E1340000}"/>
    <cellStyle name="Normal 2 2 2 2 2 6 5 10" xfId="13538" xr:uid="{00000000-0005-0000-0000-0000E2340000}"/>
    <cellStyle name="Normal 2 2 2 2 2 6 5 2" xfId="13539" xr:uid="{00000000-0005-0000-0000-0000E3340000}"/>
    <cellStyle name="Normal 2 2 2 2 2 6 5 3" xfId="13540" xr:uid="{00000000-0005-0000-0000-0000E4340000}"/>
    <cellStyle name="Normal 2 2 2 2 2 6 5 4" xfId="13541" xr:uid="{00000000-0005-0000-0000-0000E5340000}"/>
    <cellStyle name="Normal 2 2 2 2 2 6 5 5" xfId="13542" xr:uid="{00000000-0005-0000-0000-0000E6340000}"/>
    <cellStyle name="Normal 2 2 2 2 2 6 5 6" xfId="13543" xr:uid="{00000000-0005-0000-0000-0000E7340000}"/>
    <cellStyle name="Normal 2 2 2 2 2 6 5 7" xfId="13544" xr:uid="{00000000-0005-0000-0000-0000E8340000}"/>
    <cellStyle name="Normal 2 2 2 2 2 6 5 8" xfId="13545" xr:uid="{00000000-0005-0000-0000-0000E9340000}"/>
    <cellStyle name="Normal 2 2 2 2 2 6 5 9" xfId="13546" xr:uid="{00000000-0005-0000-0000-0000EA340000}"/>
    <cellStyle name="Normal 2 2 2 2 2 6 6" xfId="13547" xr:uid="{00000000-0005-0000-0000-0000EB340000}"/>
    <cellStyle name="Normal 2 2 2 2 2 6 7" xfId="13548" xr:uid="{00000000-0005-0000-0000-0000EC340000}"/>
    <cellStyle name="Normal 2 2 2 2 2 6 8" xfId="13549" xr:uid="{00000000-0005-0000-0000-0000ED340000}"/>
    <cellStyle name="Normal 2 2 2 2 2 6 9" xfId="13550" xr:uid="{00000000-0005-0000-0000-0000EE340000}"/>
    <cellStyle name="Normal 2 2 2 2 2 7" xfId="13551" xr:uid="{00000000-0005-0000-0000-0000EF340000}"/>
    <cellStyle name="Normal 2 2 2 2 2 7 10" xfId="13552" xr:uid="{00000000-0005-0000-0000-0000F0340000}"/>
    <cellStyle name="Normal 2 2 2 2 2 7 11" xfId="13553" xr:uid="{00000000-0005-0000-0000-0000F1340000}"/>
    <cellStyle name="Normal 2 2 2 2 2 7 12" xfId="13554" xr:uid="{00000000-0005-0000-0000-0000F2340000}"/>
    <cellStyle name="Normal 2 2 2 2 2 7 13" xfId="13555" xr:uid="{00000000-0005-0000-0000-0000F3340000}"/>
    <cellStyle name="Normal 2 2 2 2 2 7 14" xfId="13556" xr:uid="{00000000-0005-0000-0000-0000F4340000}"/>
    <cellStyle name="Normal 2 2 2 2 2 7 2" xfId="13557" xr:uid="{00000000-0005-0000-0000-0000F5340000}"/>
    <cellStyle name="Normal 2 2 2 2 2 7 2 10" xfId="13558" xr:uid="{00000000-0005-0000-0000-0000F6340000}"/>
    <cellStyle name="Normal 2 2 2 2 2 7 2 2" xfId="13559" xr:uid="{00000000-0005-0000-0000-0000F7340000}"/>
    <cellStyle name="Normal 2 2 2 2 2 7 2 3" xfId="13560" xr:uid="{00000000-0005-0000-0000-0000F8340000}"/>
    <cellStyle name="Normal 2 2 2 2 2 7 2 4" xfId="13561" xr:uid="{00000000-0005-0000-0000-0000F9340000}"/>
    <cellStyle name="Normal 2 2 2 2 2 7 2 5" xfId="13562" xr:uid="{00000000-0005-0000-0000-0000FA340000}"/>
    <cellStyle name="Normal 2 2 2 2 2 7 2 6" xfId="13563" xr:uid="{00000000-0005-0000-0000-0000FB340000}"/>
    <cellStyle name="Normal 2 2 2 2 2 7 2 7" xfId="13564" xr:uid="{00000000-0005-0000-0000-0000FC340000}"/>
    <cellStyle name="Normal 2 2 2 2 2 7 2 8" xfId="13565" xr:uid="{00000000-0005-0000-0000-0000FD340000}"/>
    <cellStyle name="Normal 2 2 2 2 2 7 2 9" xfId="13566" xr:uid="{00000000-0005-0000-0000-0000FE340000}"/>
    <cellStyle name="Normal 2 2 2 2 2 7 3" xfId="13567" xr:uid="{00000000-0005-0000-0000-0000FF340000}"/>
    <cellStyle name="Normal 2 2 2 2 2 7 3 10" xfId="13568" xr:uid="{00000000-0005-0000-0000-000000350000}"/>
    <cellStyle name="Normal 2 2 2 2 2 7 3 2" xfId="13569" xr:uid="{00000000-0005-0000-0000-000001350000}"/>
    <cellStyle name="Normal 2 2 2 2 2 7 3 3" xfId="13570" xr:uid="{00000000-0005-0000-0000-000002350000}"/>
    <cellStyle name="Normal 2 2 2 2 2 7 3 4" xfId="13571" xr:uid="{00000000-0005-0000-0000-000003350000}"/>
    <cellStyle name="Normal 2 2 2 2 2 7 3 5" xfId="13572" xr:uid="{00000000-0005-0000-0000-000004350000}"/>
    <cellStyle name="Normal 2 2 2 2 2 7 3 6" xfId="13573" xr:uid="{00000000-0005-0000-0000-000005350000}"/>
    <cellStyle name="Normal 2 2 2 2 2 7 3 7" xfId="13574" xr:uid="{00000000-0005-0000-0000-000006350000}"/>
    <cellStyle name="Normal 2 2 2 2 2 7 3 8" xfId="13575" xr:uid="{00000000-0005-0000-0000-000007350000}"/>
    <cellStyle name="Normal 2 2 2 2 2 7 3 9" xfId="13576" xr:uid="{00000000-0005-0000-0000-000008350000}"/>
    <cellStyle name="Normal 2 2 2 2 2 7 4" xfId="13577" xr:uid="{00000000-0005-0000-0000-000009350000}"/>
    <cellStyle name="Normal 2 2 2 2 2 7 4 10" xfId="13578" xr:uid="{00000000-0005-0000-0000-00000A350000}"/>
    <cellStyle name="Normal 2 2 2 2 2 7 4 2" xfId="13579" xr:uid="{00000000-0005-0000-0000-00000B350000}"/>
    <cellStyle name="Normal 2 2 2 2 2 7 4 3" xfId="13580" xr:uid="{00000000-0005-0000-0000-00000C350000}"/>
    <cellStyle name="Normal 2 2 2 2 2 7 4 4" xfId="13581" xr:uid="{00000000-0005-0000-0000-00000D350000}"/>
    <cellStyle name="Normal 2 2 2 2 2 7 4 5" xfId="13582" xr:uid="{00000000-0005-0000-0000-00000E350000}"/>
    <cellStyle name="Normal 2 2 2 2 2 7 4 6" xfId="13583" xr:uid="{00000000-0005-0000-0000-00000F350000}"/>
    <cellStyle name="Normal 2 2 2 2 2 7 4 7" xfId="13584" xr:uid="{00000000-0005-0000-0000-000010350000}"/>
    <cellStyle name="Normal 2 2 2 2 2 7 4 8" xfId="13585" xr:uid="{00000000-0005-0000-0000-000011350000}"/>
    <cellStyle name="Normal 2 2 2 2 2 7 4 9" xfId="13586" xr:uid="{00000000-0005-0000-0000-000012350000}"/>
    <cellStyle name="Normal 2 2 2 2 2 7 5" xfId="13587" xr:uid="{00000000-0005-0000-0000-000013350000}"/>
    <cellStyle name="Normal 2 2 2 2 2 7 5 10" xfId="13588" xr:uid="{00000000-0005-0000-0000-000014350000}"/>
    <cellStyle name="Normal 2 2 2 2 2 7 5 2" xfId="13589" xr:uid="{00000000-0005-0000-0000-000015350000}"/>
    <cellStyle name="Normal 2 2 2 2 2 7 5 3" xfId="13590" xr:uid="{00000000-0005-0000-0000-000016350000}"/>
    <cellStyle name="Normal 2 2 2 2 2 7 5 4" xfId="13591" xr:uid="{00000000-0005-0000-0000-000017350000}"/>
    <cellStyle name="Normal 2 2 2 2 2 7 5 5" xfId="13592" xr:uid="{00000000-0005-0000-0000-000018350000}"/>
    <cellStyle name="Normal 2 2 2 2 2 7 5 6" xfId="13593" xr:uid="{00000000-0005-0000-0000-000019350000}"/>
    <cellStyle name="Normal 2 2 2 2 2 7 5 7" xfId="13594" xr:uid="{00000000-0005-0000-0000-00001A350000}"/>
    <cellStyle name="Normal 2 2 2 2 2 7 5 8" xfId="13595" xr:uid="{00000000-0005-0000-0000-00001B350000}"/>
    <cellStyle name="Normal 2 2 2 2 2 7 5 9" xfId="13596" xr:uid="{00000000-0005-0000-0000-00001C350000}"/>
    <cellStyle name="Normal 2 2 2 2 2 7 6" xfId="13597" xr:uid="{00000000-0005-0000-0000-00001D350000}"/>
    <cellStyle name="Normal 2 2 2 2 2 7 7" xfId="13598" xr:uid="{00000000-0005-0000-0000-00001E350000}"/>
    <cellStyle name="Normal 2 2 2 2 2 7 8" xfId="13599" xr:uid="{00000000-0005-0000-0000-00001F350000}"/>
    <cellStyle name="Normal 2 2 2 2 2 7 9" xfId="13600" xr:uid="{00000000-0005-0000-0000-000020350000}"/>
    <cellStyle name="Normal 2 2 2 2 2 8" xfId="13601" xr:uid="{00000000-0005-0000-0000-000021350000}"/>
    <cellStyle name="Normal 2 2 2 2 2 8 10" xfId="13602" xr:uid="{00000000-0005-0000-0000-000022350000}"/>
    <cellStyle name="Normal 2 2 2 2 2 8 11" xfId="13603" xr:uid="{00000000-0005-0000-0000-000023350000}"/>
    <cellStyle name="Normal 2 2 2 2 2 8 12" xfId="13604" xr:uid="{00000000-0005-0000-0000-000024350000}"/>
    <cellStyle name="Normal 2 2 2 2 2 8 13" xfId="13605" xr:uid="{00000000-0005-0000-0000-000025350000}"/>
    <cellStyle name="Normal 2 2 2 2 2 8 14" xfId="13606" xr:uid="{00000000-0005-0000-0000-000026350000}"/>
    <cellStyle name="Normal 2 2 2 2 2 8 2" xfId="13607" xr:uid="{00000000-0005-0000-0000-000027350000}"/>
    <cellStyle name="Normal 2 2 2 2 2 8 2 10" xfId="13608" xr:uid="{00000000-0005-0000-0000-000028350000}"/>
    <cellStyle name="Normal 2 2 2 2 2 8 2 2" xfId="13609" xr:uid="{00000000-0005-0000-0000-000029350000}"/>
    <cellStyle name="Normal 2 2 2 2 2 8 2 3" xfId="13610" xr:uid="{00000000-0005-0000-0000-00002A350000}"/>
    <cellStyle name="Normal 2 2 2 2 2 8 2 4" xfId="13611" xr:uid="{00000000-0005-0000-0000-00002B350000}"/>
    <cellStyle name="Normal 2 2 2 2 2 8 2 5" xfId="13612" xr:uid="{00000000-0005-0000-0000-00002C350000}"/>
    <cellStyle name="Normal 2 2 2 2 2 8 2 6" xfId="13613" xr:uid="{00000000-0005-0000-0000-00002D350000}"/>
    <cellStyle name="Normal 2 2 2 2 2 8 2 7" xfId="13614" xr:uid="{00000000-0005-0000-0000-00002E350000}"/>
    <cellStyle name="Normal 2 2 2 2 2 8 2 8" xfId="13615" xr:uid="{00000000-0005-0000-0000-00002F350000}"/>
    <cellStyle name="Normal 2 2 2 2 2 8 2 9" xfId="13616" xr:uid="{00000000-0005-0000-0000-000030350000}"/>
    <cellStyle name="Normal 2 2 2 2 2 8 3" xfId="13617" xr:uid="{00000000-0005-0000-0000-000031350000}"/>
    <cellStyle name="Normal 2 2 2 2 2 8 3 10" xfId="13618" xr:uid="{00000000-0005-0000-0000-000032350000}"/>
    <cellStyle name="Normal 2 2 2 2 2 8 3 2" xfId="13619" xr:uid="{00000000-0005-0000-0000-000033350000}"/>
    <cellStyle name="Normal 2 2 2 2 2 8 3 3" xfId="13620" xr:uid="{00000000-0005-0000-0000-000034350000}"/>
    <cellStyle name="Normal 2 2 2 2 2 8 3 4" xfId="13621" xr:uid="{00000000-0005-0000-0000-000035350000}"/>
    <cellStyle name="Normal 2 2 2 2 2 8 3 5" xfId="13622" xr:uid="{00000000-0005-0000-0000-000036350000}"/>
    <cellStyle name="Normal 2 2 2 2 2 8 3 6" xfId="13623" xr:uid="{00000000-0005-0000-0000-000037350000}"/>
    <cellStyle name="Normal 2 2 2 2 2 8 3 7" xfId="13624" xr:uid="{00000000-0005-0000-0000-000038350000}"/>
    <cellStyle name="Normal 2 2 2 2 2 8 3 8" xfId="13625" xr:uid="{00000000-0005-0000-0000-000039350000}"/>
    <cellStyle name="Normal 2 2 2 2 2 8 3 9" xfId="13626" xr:uid="{00000000-0005-0000-0000-00003A350000}"/>
    <cellStyle name="Normal 2 2 2 2 2 8 4" xfId="13627" xr:uid="{00000000-0005-0000-0000-00003B350000}"/>
    <cellStyle name="Normal 2 2 2 2 2 8 4 10" xfId="13628" xr:uid="{00000000-0005-0000-0000-00003C350000}"/>
    <cellStyle name="Normal 2 2 2 2 2 8 4 2" xfId="13629" xr:uid="{00000000-0005-0000-0000-00003D350000}"/>
    <cellStyle name="Normal 2 2 2 2 2 8 4 3" xfId="13630" xr:uid="{00000000-0005-0000-0000-00003E350000}"/>
    <cellStyle name="Normal 2 2 2 2 2 8 4 4" xfId="13631" xr:uid="{00000000-0005-0000-0000-00003F350000}"/>
    <cellStyle name="Normal 2 2 2 2 2 8 4 5" xfId="13632" xr:uid="{00000000-0005-0000-0000-000040350000}"/>
    <cellStyle name="Normal 2 2 2 2 2 8 4 6" xfId="13633" xr:uid="{00000000-0005-0000-0000-000041350000}"/>
    <cellStyle name="Normal 2 2 2 2 2 8 4 7" xfId="13634" xr:uid="{00000000-0005-0000-0000-000042350000}"/>
    <cellStyle name="Normal 2 2 2 2 2 8 4 8" xfId="13635" xr:uid="{00000000-0005-0000-0000-000043350000}"/>
    <cellStyle name="Normal 2 2 2 2 2 8 4 9" xfId="13636" xr:uid="{00000000-0005-0000-0000-000044350000}"/>
    <cellStyle name="Normal 2 2 2 2 2 8 5" xfId="13637" xr:uid="{00000000-0005-0000-0000-000045350000}"/>
    <cellStyle name="Normal 2 2 2 2 2 8 5 10" xfId="13638" xr:uid="{00000000-0005-0000-0000-000046350000}"/>
    <cellStyle name="Normal 2 2 2 2 2 8 5 2" xfId="13639" xr:uid="{00000000-0005-0000-0000-000047350000}"/>
    <cellStyle name="Normal 2 2 2 2 2 8 5 3" xfId="13640" xr:uid="{00000000-0005-0000-0000-000048350000}"/>
    <cellStyle name="Normal 2 2 2 2 2 8 5 4" xfId="13641" xr:uid="{00000000-0005-0000-0000-000049350000}"/>
    <cellStyle name="Normal 2 2 2 2 2 8 5 5" xfId="13642" xr:uid="{00000000-0005-0000-0000-00004A350000}"/>
    <cellStyle name="Normal 2 2 2 2 2 8 5 6" xfId="13643" xr:uid="{00000000-0005-0000-0000-00004B350000}"/>
    <cellStyle name="Normal 2 2 2 2 2 8 5 7" xfId="13644" xr:uid="{00000000-0005-0000-0000-00004C350000}"/>
    <cellStyle name="Normal 2 2 2 2 2 8 5 8" xfId="13645" xr:uid="{00000000-0005-0000-0000-00004D350000}"/>
    <cellStyle name="Normal 2 2 2 2 2 8 5 9" xfId="13646" xr:uid="{00000000-0005-0000-0000-00004E350000}"/>
    <cellStyle name="Normal 2 2 2 2 2 8 6" xfId="13647" xr:uid="{00000000-0005-0000-0000-00004F350000}"/>
    <cellStyle name="Normal 2 2 2 2 2 8 7" xfId="13648" xr:uid="{00000000-0005-0000-0000-000050350000}"/>
    <cellStyle name="Normal 2 2 2 2 2 8 8" xfId="13649" xr:uid="{00000000-0005-0000-0000-000051350000}"/>
    <cellStyle name="Normal 2 2 2 2 2 8 9" xfId="13650" xr:uid="{00000000-0005-0000-0000-000052350000}"/>
    <cellStyle name="Normal 2 2 2 2 2 9" xfId="13651" xr:uid="{00000000-0005-0000-0000-000053350000}"/>
    <cellStyle name="Normal 2 2 2 2 2 9 10" xfId="13652" xr:uid="{00000000-0005-0000-0000-000054350000}"/>
    <cellStyle name="Normal 2 2 2 2 2 9 11" xfId="13653" xr:uid="{00000000-0005-0000-0000-000055350000}"/>
    <cellStyle name="Normal 2 2 2 2 2 9 12" xfId="13654" xr:uid="{00000000-0005-0000-0000-000056350000}"/>
    <cellStyle name="Normal 2 2 2 2 2 9 13" xfId="13655" xr:uid="{00000000-0005-0000-0000-000057350000}"/>
    <cellStyle name="Normal 2 2 2 2 2 9 14" xfId="13656" xr:uid="{00000000-0005-0000-0000-000058350000}"/>
    <cellStyle name="Normal 2 2 2 2 2 9 2" xfId="13657" xr:uid="{00000000-0005-0000-0000-000059350000}"/>
    <cellStyle name="Normal 2 2 2 2 2 9 2 10" xfId="13658" xr:uid="{00000000-0005-0000-0000-00005A350000}"/>
    <cellStyle name="Normal 2 2 2 2 2 9 2 2" xfId="13659" xr:uid="{00000000-0005-0000-0000-00005B350000}"/>
    <cellStyle name="Normal 2 2 2 2 2 9 2 3" xfId="13660" xr:uid="{00000000-0005-0000-0000-00005C350000}"/>
    <cellStyle name="Normal 2 2 2 2 2 9 2 4" xfId="13661" xr:uid="{00000000-0005-0000-0000-00005D350000}"/>
    <cellStyle name="Normal 2 2 2 2 2 9 2 5" xfId="13662" xr:uid="{00000000-0005-0000-0000-00005E350000}"/>
    <cellStyle name="Normal 2 2 2 2 2 9 2 6" xfId="13663" xr:uid="{00000000-0005-0000-0000-00005F350000}"/>
    <cellStyle name="Normal 2 2 2 2 2 9 2 7" xfId="13664" xr:uid="{00000000-0005-0000-0000-000060350000}"/>
    <cellStyle name="Normal 2 2 2 2 2 9 2 8" xfId="13665" xr:uid="{00000000-0005-0000-0000-000061350000}"/>
    <cellStyle name="Normal 2 2 2 2 2 9 2 9" xfId="13666" xr:uid="{00000000-0005-0000-0000-000062350000}"/>
    <cellStyle name="Normal 2 2 2 2 2 9 3" xfId="13667" xr:uid="{00000000-0005-0000-0000-000063350000}"/>
    <cellStyle name="Normal 2 2 2 2 2 9 3 10" xfId="13668" xr:uid="{00000000-0005-0000-0000-000064350000}"/>
    <cellStyle name="Normal 2 2 2 2 2 9 3 2" xfId="13669" xr:uid="{00000000-0005-0000-0000-000065350000}"/>
    <cellStyle name="Normal 2 2 2 2 2 9 3 3" xfId="13670" xr:uid="{00000000-0005-0000-0000-000066350000}"/>
    <cellStyle name="Normal 2 2 2 2 2 9 3 4" xfId="13671" xr:uid="{00000000-0005-0000-0000-000067350000}"/>
    <cellStyle name="Normal 2 2 2 2 2 9 3 5" xfId="13672" xr:uid="{00000000-0005-0000-0000-000068350000}"/>
    <cellStyle name="Normal 2 2 2 2 2 9 3 6" xfId="13673" xr:uid="{00000000-0005-0000-0000-000069350000}"/>
    <cellStyle name="Normal 2 2 2 2 2 9 3 7" xfId="13674" xr:uid="{00000000-0005-0000-0000-00006A350000}"/>
    <cellStyle name="Normal 2 2 2 2 2 9 3 8" xfId="13675" xr:uid="{00000000-0005-0000-0000-00006B350000}"/>
    <cellStyle name="Normal 2 2 2 2 2 9 3 9" xfId="13676" xr:uid="{00000000-0005-0000-0000-00006C350000}"/>
    <cellStyle name="Normal 2 2 2 2 2 9 4" xfId="13677" xr:uid="{00000000-0005-0000-0000-00006D350000}"/>
    <cellStyle name="Normal 2 2 2 2 2 9 4 10" xfId="13678" xr:uid="{00000000-0005-0000-0000-00006E350000}"/>
    <cellStyle name="Normal 2 2 2 2 2 9 4 2" xfId="13679" xr:uid="{00000000-0005-0000-0000-00006F350000}"/>
    <cellStyle name="Normal 2 2 2 2 2 9 4 3" xfId="13680" xr:uid="{00000000-0005-0000-0000-000070350000}"/>
    <cellStyle name="Normal 2 2 2 2 2 9 4 4" xfId="13681" xr:uid="{00000000-0005-0000-0000-000071350000}"/>
    <cellStyle name="Normal 2 2 2 2 2 9 4 5" xfId="13682" xr:uid="{00000000-0005-0000-0000-000072350000}"/>
    <cellStyle name="Normal 2 2 2 2 2 9 4 6" xfId="13683" xr:uid="{00000000-0005-0000-0000-000073350000}"/>
    <cellStyle name="Normal 2 2 2 2 2 9 4 7" xfId="13684" xr:uid="{00000000-0005-0000-0000-000074350000}"/>
    <cellStyle name="Normal 2 2 2 2 2 9 4 8" xfId="13685" xr:uid="{00000000-0005-0000-0000-000075350000}"/>
    <cellStyle name="Normal 2 2 2 2 2 9 4 9" xfId="13686" xr:uid="{00000000-0005-0000-0000-000076350000}"/>
    <cellStyle name="Normal 2 2 2 2 2 9 5" xfId="13687" xr:uid="{00000000-0005-0000-0000-000077350000}"/>
    <cellStyle name="Normal 2 2 2 2 2 9 5 10" xfId="13688" xr:uid="{00000000-0005-0000-0000-000078350000}"/>
    <cellStyle name="Normal 2 2 2 2 2 9 5 2" xfId="13689" xr:uid="{00000000-0005-0000-0000-000079350000}"/>
    <cellStyle name="Normal 2 2 2 2 2 9 5 3" xfId="13690" xr:uid="{00000000-0005-0000-0000-00007A350000}"/>
    <cellStyle name="Normal 2 2 2 2 2 9 5 4" xfId="13691" xr:uid="{00000000-0005-0000-0000-00007B350000}"/>
    <cellStyle name="Normal 2 2 2 2 2 9 5 5" xfId="13692" xr:uid="{00000000-0005-0000-0000-00007C350000}"/>
    <cellStyle name="Normal 2 2 2 2 2 9 5 6" xfId="13693" xr:uid="{00000000-0005-0000-0000-00007D350000}"/>
    <cellStyle name="Normal 2 2 2 2 2 9 5 7" xfId="13694" xr:uid="{00000000-0005-0000-0000-00007E350000}"/>
    <cellStyle name="Normal 2 2 2 2 2 9 5 8" xfId="13695" xr:uid="{00000000-0005-0000-0000-00007F350000}"/>
    <cellStyle name="Normal 2 2 2 2 2 9 5 9" xfId="13696" xr:uid="{00000000-0005-0000-0000-000080350000}"/>
    <cellStyle name="Normal 2 2 2 2 2 9 6" xfId="13697" xr:uid="{00000000-0005-0000-0000-000081350000}"/>
    <cellStyle name="Normal 2 2 2 2 2 9 7" xfId="13698" xr:uid="{00000000-0005-0000-0000-000082350000}"/>
    <cellStyle name="Normal 2 2 2 2 2 9 8" xfId="13699" xr:uid="{00000000-0005-0000-0000-000083350000}"/>
    <cellStyle name="Normal 2 2 2 2 2 9 9" xfId="13700" xr:uid="{00000000-0005-0000-0000-000084350000}"/>
    <cellStyle name="Normal 2 2 2 2 20" xfId="13701" xr:uid="{00000000-0005-0000-0000-000085350000}"/>
    <cellStyle name="Normal 2 2 2 2 21" xfId="13702" xr:uid="{00000000-0005-0000-0000-000086350000}"/>
    <cellStyle name="Normal 2 2 2 2 22" xfId="13703" xr:uid="{00000000-0005-0000-0000-000087350000}"/>
    <cellStyle name="Normal 2 2 2 2 23" xfId="13704" xr:uid="{00000000-0005-0000-0000-000088350000}"/>
    <cellStyle name="Normal 2 2 2 2 24" xfId="13705" xr:uid="{00000000-0005-0000-0000-000089350000}"/>
    <cellStyle name="Normal 2 2 2 2 25" xfId="13706" xr:uid="{00000000-0005-0000-0000-00008A350000}"/>
    <cellStyle name="Normal 2 2 2 2 26" xfId="13707" xr:uid="{00000000-0005-0000-0000-00008B350000}"/>
    <cellStyle name="Normal 2 2 2 2 27" xfId="13708" xr:uid="{00000000-0005-0000-0000-00008C350000}"/>
    <cellStyle name="Normal 2 2 2 2 28" xfId="13709" xr:uid="{00000000-0005-0000-0000-00008D350000}"/>
    <cellStyle name="Normal 2 2 2 2 29" xfId="13710" xr:uid="{00000000-0005-0000-0000-00008E350000}"/>
    <cellStyle name="Normal 2 2 2 2 3" xfId="13711" xr:uid="{00000000-0005-0000-0000-00008F350000}"/>
    <cellStyle name="Normal 2 2 2 2 3 2" xfId="13712" xr:uid="{00000000-0005-0000-0000-000090350000}"/>
    <cellStyle name="Normal 2 2 2 2 3 2 2" xfId="13713" xr:uid="{00000000-0005-0000-0000-000091350000}"/>
    <cellStyle name="Normal 2 2 2 2 3 3" xfId="13714" xr:uid="{00000000-0005-0000-0000-000092350000}"/>
    <cellStyle name="Normal 2 2 2 2 3 4" xfId="13715" xr:uid="{00000000-0005-0000-0000-000093350000}"/>
    <cellStyle name="Normal 2 2 2 2 3 5" xfId="13716" xr:uid="{00000000-0005-0000-0000-000094350000}"/>
    <cellStyle name="Normal 2 2 2 2 30" xfId="13717" xr:uid="{00000000-0005-0000-0000-000095350000}"/>
    <cellStyle name="Normal 2 2 2 2 31" xfId="13718" xr:uid="{00000000-0005-0000-0000-000096350000}"/>
    <cellStyle name="Normal 2 2 2 2 32" xfId="13719" xr:uid="{00000000-0005-0000-0000-000097350000}"/>
    <cellStyle name="Normal 2 2 2 2 33" xfId="13720" xr:uid="{00000000-0005-0000-0000-000098350000}"/>
    <cellStyle name="Normal 2 2 2 2 34" xfId="13721" xr:uid="{00000000-0005-0000-0000-000099350000}"/>
    <cellStyle name="Normal 2 2 2 2 35" xfId="13722" xr:uid="{00000000-0005-0000-0000-00009A350000}"/>
    <cellStyle name="Normal 2 2 2 2 36" xfId="13723" xr:uid="{00000000-0005-0000-0000-00009B350000}"/>
    <cellStyle name="Normal 2 2 2 2 37" xfId="13724" xr:uid="{00000000-0005-0000-0000-00009C350000}"/>
    <cellStyle name="Normal 2 2 2 2 38" xfId="13725" xr:uid="{00000000-0005-0000-0000-00009D350000}"/>
    <cellStyle name="Normal 2 2 2 2 39" xfId="13726" xr:uid="{00000000-0005-0000-0000-00009E350000}"/>
    <cellStyle name="Normal 2 2 2 2 4" xfId="13727" xr:uid="{00000000-0005-0000-0000-00009F350000}"/>
    <cellStyle name="Normal 2 2 2 2 4 10" xfId="13728" xr:uid="{00000000-0005-0000-0000-0000A0350000}"/>
    <cellStyle name="Normal 2 2 2 2 4 10 10" xfId="13729" xr:uid="{00000000-0005-0000-0000-0000A1350000}"/>
    <cellStyle name="Normal 2 2 2 2 4 10 11" xfId="13730" xr:uid="{00000000-0005-0000-0000-0000A2350000}"/>
    <cellStyle name="Normal 2 2 2 2 4 10 12" xfId="13731" xr:uid="{00000000-0005-0000-0000-0000A3350000}"/>
    <cellStyle name="Normal 2 2 2 2 4 10 13" xfId="13732" xr:uid="{00000000-0005-0000-0000-0000A4350000}"/>
    <cellStyle name="Normal 2 2 2 2 4 10 14" xfId="13733" xr:uid="{00000000-0005-0000-0000-0000A5350000}"/>
    <cellStyle name="Normal 2 2 2 2 4 10 2" xfId="13734" xr:uid="{00000000-0005-0000-0000-0000A6350000}"/>
    <cellStyle name="Normal 2 2 2 2 4 10 2 10" xfId="13735" xr:uid="{00000000-0005-0000-0000-0000A7350000}"/>
    <cellStyle name="Normal 2 2 2 2 4 10 2 2" xfId="13736" xr:uid="{00000000-0005-0000-0000-0000A8350000}"/>
    <cellStyle name="Normal 2 2 2 2 4 10 2 3" xfId="13737" xr:uid="{00000000-0005-0000-0000-0000A9350000}"/>
    <cellStyle name="Normal 2 2 2 2 4 10 2 4" xfId="13738" xr:uid="{00000000-0005-0000-0000-0000AA350000}"/>
    <cellStyle name="Normal 2 2 2 2 4 10 2 5" xfId="13739" xr:uid="{00000000-0005-0000-0000-0000AB350000}"/>
    <cellStyle name="Normal 2 2 2 2 4 10 2 6" xfId="13740" xr:uid="{00000000-0005-0000-0000-0000AC350000}"/>
    <cellStyle name="Normal 2 2 2 2 4 10 2 7" xfId="13741" xr:uid="{00000000-0005-0000-0000-0000AD350000}"/>
    <cellStyle name="Normal 2 2 2 2 4 10 2 8" xfId="13742" xr:uid="{00000000-0005-0000-0000-0000AE350000}"/>
    <cellStyle name="Normal 2 2 2 2 4 10 2 9" xfId="13743" xr:uid="{00000000-0005-0000-0000-0000AF350000}"/>
    <cellStyle name="Normal 2 2 2 2 4 10 3" xfId="13744" xr:uid="{00000000-0005-0000-0000-0000B0350000}"/>
    <cellStyle name="Normal 2 2 2 2 4 10 3 10" xfId="13745" xr:uid="{00000000-0005-0000-0000-0000B1350000}"/>
    <cellStyle name="Normal 2 2 2 2 4 10 3 2" xfId="13746" xr:uid="{00000000-0005-0000-0000-0000B2350000}"/>
    <cellStyle name="Normal 2 2 2 2 4 10 3 3" xfId="13747" xr:uid="{00000000-0005-0000-0000-0000B3350000}"/>
    <cellStyle name="Normal 2 2 2 2 4 10 3 4" xfId="13748" xr:uid="{00000000-0005-0000-0000-0000B4350000}"/>
    <cellStyle name="Normal 2 2 2 2 4 10 3 5" xfId="13749" xr:uid="{00000000-0005-0000-0000-0000B5350000}"/>
    <cellStyle name="Normal 2 2 2 2 4 10 3 6" xfId="13750" xr:uid="{00000000-0005-0000-0000-0000B6350000}"/>
    <cellStyle name="Normal 2 2 2 2 4 10 3 7" xfId="13751" xr:uid="{00000000-0005-0000-0000-0000B7350000}"/>
    <cellStyle name="Normal 2 2 2 2 4 10 3 8" xfId="13752" xr:uid="{00000000-0005-0000-0000-0000B8350000}"/>
    <cellStyle name="Normal 2 2 2 2 4 10 3 9" xfId="13753" xr:uid="{00000000-0005-0000-0000-0000B9350000}"/>
    <cellStyle name="Normal 2 2 2 2 4 10 4" xfId="13754" xr:uid="{00000000-0005-0000-0000-0000BA350000}"/>
    <cellStyle name="Normal 2 2 2 2 4 10 4 10" xfId="13755" xr:uid="{00000000-0005-0000-0000-0000BB350000}"/>
    <cellStyle name="Normal 2 2 2 2 4 10 4 2" xfId="13756" xr:uid="{00000000-0005-0000-0000-0000BC350000}"/>
    <cellStyle name="Normal 2 2 2 2 4 10 4 3" xfId="13757" xr:uid="{00000000-0005-0000-0000-0000BD350000}"/>
    <cellStyle name="Normal 2 2 2 2 4 10 4 4" xfId="13758" xr:uid="{00000000-0005-0000-0000-0000BE350000}"/>
    <cellStyle name="Normal 2 2 2 2 4 10 4 5" xfId="13759" xr:uid="{00000000-0005-0000-0000-0000BF350000}"/>
    <cellStyle name="Normal 2 2 2 2 4 10 4 6" xfId="13760" xr:uid="{00000000-0005-0000-0000-0000C0350000}"/>
    <cellStyle name="Normal 2 2 2 2 4 10 4 7" xfId="13761" xr:uid="{00000000-0005-0000-0000-0000C1350000}"/>
    <cellStyle name="Normal 2 2 2 2 4 10 4 8" xfId="13762" xr:uid="{00000000-0005-0000-0000-0000C2350000}"/>
    <cellStyle name="Normal 2 2 2 2 4 10 4 9" xfId="13763" xr:uid="{00000000-0005-0000-0000-0000C3350000}"/>
    <cellStyle name="Normal 2 2 2 2 4 10 5" xfId="13764" xr:uid="{00000000-0005-0000-0000-0000C4350000}"/>
    <cellStyle name="Normal 2 2 2 2 4 10 5 10" xfId="13765" xr:uid="{00000000-0005-0000-0000-0000C5350000}"/>
    <cellStyle name="Normal 2 2 2 2 4 10 5 2" xfId="13766" xr:uid="{00000000-0005-0000-0000-0000C6350000}"/>
    <cellStyle name="Normal 2 2 2 2 4 10 5 3" xfId="13767" xr:uid="{00000000-0005-0000-0000-0000C7350000}"/>
    <cellStyle name="Normal 2 2 2 2 4 10 5 4" xfId="13768" xr:uid="{00000000-0005-0000-0000-0000C8350000}"/>
    <cellStyle name="Normal 2 2 2 2 4 10 5 5" xfId="13769" xr:uid="{00000000-0005-0000-0000-0000C9350000}"/>
    <cellStyle name="Normal 2 2 2 2 4 10 5 6" xfId="13770" xr:uid="{00000000-0005-0000-0000-0000CA350000}"/>
    <cellStyle name="Normal 2 2 2 2 4 10 5 7" xfId="13771" xr:uid="{00000000-0005-0000-0000-0000CB350000}"/>
    <cellStyle name="Normal 2 2 2 2 4 10 5 8" xfId="13772" xr:uid="{00000000-0005-0000-0000-0000CC350000}"/>
    <cellStyle name="Normal 2 2 2 2 4 10 5 9" xfId="13773" xr:uid="{00000000-0005-0000-0000-0000CD350000}"/>
    <cellStyle name="Normal 2 2 2 2 4 10 6" xfId="13774" xr:uid="{00000000-0005-0000-0000-0000CE350000}"/>
    <cellStyle name="Normal 2 2 2 2 4 10 7" xfId="13775" xr:uid="{00000000-0005-0000-0000-0000CF350000}"/>
    <cellStyle name="Normal 2 2 2 2 4 10 8" xfId="13776" xr:uid="{00000000-0005-0000-0000-0000D0350000}"/>
    <cellStyle name="Normal 2 2 2 2 4 10 9" xfId="13777" xr:uid="{00000000-0005-0000-0000-0000D1350000}"/>
    <cellStyle name="Normal 2 2 2 2 4 11" xfId="13778" xr:uid="{00000000-0005-0000-0000-0000D2350000}"/>
    <cellStyle name="Normal 2 2 2 2 4 11 10" xfId="13779" xr:uid="{00000000-0005-0000-0000-0000D3350000}"/>
    <cellStyle name="Normal 2 2 2 2 4 11 11" xfId="13780" xr:uid="{00000000-0005-0000-0000-0000D4350000}"/>
    <cellStyle name="Normal 2 2 2 2 4 11 12" xfId="13781" xr:uid="{00000000-0005-0000-0000-0000D5350000}"/>
    <cellStyle name="Normal 2 2 2 2 4 11 13" xfId="13782" xr:uid="{00000000-0005-0000-0000-0000D6350000}"/>
    <cellStyle name="Normal 2 2 2 2 4 11 14" xfId="13783" xr:uid="{00000000-0005-0000-0000-0000D7350000}"/>
    <cellStyle name="Normal 2 2 2 2 4 11 2" xfId="13784" xr:uid="{00000000-0005-0000-0000-0000D8350000}"/>
    <cellStyle name="Normal 2 2 2 2 4 11 2 10" xfId="13785" xr:uid="{00000000-0005-0000-0000-0000D9350000}"/>
    <cellStyle name="Normal 2 2 2 2 4 11 2 2" xfId="13786" xr:uid="{00000000-0005-0000-0000-0000DA350000}"/>
    <cellStyle name="Normal 2 2 2 2 4 11 2 3" xfId="13787" xr:uid="{00000000-0005-0000-0000-0000DB350000}"/>
    <cellStyle name="Normal 2 2 2 2 4 11 2 4" xfId="13788" xr:uid="{00000000-0005-0000-0000-0000DC350000}"/>
    <cellStyle name="Normal 2 2 2 2 4 11 2 5" xfId="13789" xr:uid="{00000000-0005-0000-0000-0000DD350000}"/>
    <cellStyle name="Normal 2 2 2 2 4 11 2 6" xfId="13790" xr:uid="{00000000-0005-0000-0000-0000DE350000}"/>
    <cellStyle name="Normal 2 2 2 2 4 11 2 7" xfId="13791" xr:uid="{00000000-0005-0000-0000-0000DF350000}"/>
    <cellStyle name="Normal 2 2 2 2 4 11 2 8" xfId="13792" xr:uid="{00000000-0005-0000-0000-0000E0350000}"/>
    <cellStyle name="Normal 2 2 2 2 4 11 2 9" xfId="13793" xr:uid="{00000000-0005-0000-0000-0000E1350000}"/>
    <cellStyle name="Normal 2 2 2 2 4 11 3" xfId="13794" xr:uid="{00000000-0005-0000-0000-0000E2350000}"/>
    <cellStyle name="Normal 2 2 2 2 4 11 3 10" xfId="13795" xr:uid="{00000000-0005-0000-0000-0000E3350000}"/>
    <cellStyle name="Normal 2 2 2 2 4 11 3 2" xfId="13796" xr:uid="{00000000-0005-0000-0000-0000E4350000}"/>
    <cellStyle name="Normal 2 2 2 2 4 11 3 3" xfId="13797" xr:uid="{00000000-0005-0000-0000-0000E5350000}"/>
    <cellStyle name="Normal 2 2 2 2 4 11 3 4" xfId="13798" xr:uid="{00000000-0005-0000-0000-0000E6350000}"/>
    <cellStyle name="Normal 2 2 2 2 4 11 3 5" xfId="13799" xr:uid="{00000000-0005-0000-0000-0000E7350000}"/>
    <cellStyle name="Normal 2 2 2 2 4 11 3 6" xfId="13800" xr:uid="{00000000-0005-0000-0000-0000E8350000}"/>
    <cellStyle name="Normal 2 2 2 2 4 11 3 7" xfId="13801" xr:uid="{00000000-0005-0000-0000-0000E9350000}"/>
    <cellStyle name="Normal 2 2 2 2 4 11 3 8" xfId="13802" xr:uid="{00000000-0005-0000-0000-0000EA350000}"/>
    <cellStyle name="Normal 2 2 2 2 4 11 3 9" xfId="13803" xr:uid="{00000000-0005-0000-0000-0000EB350000}"/>
    <cellStyle name="Normal 2 2 2 2 4 11 4" xfId="13804" xr:uid="{00000000-0005-0000-0000-0000EC350000}"/>
    <cellStyle name="Normal 2 2 2 2 4 11 4 10" xfId="13805" xr:uid="{00000000-0005-0000-0000-0000ED350000}"/>
    <cellStyle name="Normal 2 2 2 2 4 11 4 2" xfId="13806" xr:uid="{00000000-0005-0000-0000-0000EE350000}"/>
    <cellStyle name="Normal 2 2 2 2 4 11 4 3" xfId="13807" xr:uid="{00000000-0005-0000-0000-0000EF350000}"/>
    <cellStyle name="Normal 2 2 2 2 4 11 4 4" xfId="13808" xr:uid="{00000000-0005-0000-0000-0000F0350000}"/>
    <cellStyle name="Normal 2 2 2 2 4 11 4 5" xfId="13809" xr:uid="{00000000-0005-0000-0000-0000F1350000}"/>
    <cellStyle name="Normal 2 2 2 2 4 11 4 6" xfId="13810" xr:uid="{00000000-0005-0000-0000-0000F2350000}"/>
    <cellStyle name="Normal 2 2 2 2 4 11 4 7" xfId="13811" xr:uid="{00000000-0005-0000-0000-0000F3350000}"/>
    <cellStyle name="Normal 2 2 2 2 4 11 4 8" xfId="13812" xr:uid="{00000000-0005-0000-0000-0000F4350000}"/>
    <cellStyle name="Normal 2 2 2 2 4 11 4 9" xfId="13813" xr:uid="{00000000-0005-0000-0000-0000F5350000}"/>
    <cellStyle name="Normal 2 2 2 2 4 11 5" xfId="13814" xr:uid="{00000000-0005-0000-0000-0000F6350000}"/>
    <cellStyle name="Normal 2 2 2 2 4 11 5 10" xfId="13815" xr:uid="{00000000-0005-0000-0000-0000F7350000}"/>
    <cellStyle name="Normal 2 2 2 2 4 11 5 2" xfId="13816" xr:uid="{00000000-0005-0000-0000-0000F8350000}"/>
    <cellStyle name="Normal 2 2 2 2 4 11 5 3" xfId="13817" xr:uid="{00000000-0005-0000-0000-0000F9350000}"/>
    <cellStyle name="Normal 2 2 2 2 4 11 5 4" xfId="13818" xr:uid="{00000000-0005-0000-0000-0000FA350000}"/>
    <cellStyle name="Normal 2 2 2 2 4 11 5 5" xfId="13819" xr:uid="{00000000-0005-0000-0000-0000FB350000}"/>
    <cellStyle name="Normal 2 2 2 2 4 11 5 6" xfId="13820" xr:uid="{00000000-0005-0000-0000-0000FC350000}"/>
    <cellStyle name="Normal 2 2 2 2 4 11 5 7" xfId="13821" xr:uid="{00000000-0005-0000-0000-0000FD350000}"/>
    <cellStyle name="Normal 2 2 2 2 4 11 5 8" xfId="13822" xr:uid="{00000000-0005-0000-0000-0000FE350000}"/>
    <cellStyle name="Normal 2 2 2 2 4 11 5 9" xfId="13823" xr:uid="{00000000-0005-0000-0000-0000FF350000}"/>
    <cellStyle name="Normal 2 2 2 2 4 11 6" xfId="13824" xr:uid="{00000000-0005-0000-0000-000000360000}"/>
    <cellStyle name="Normal 2 2 2 2 4 11 7" xfId="13825" xr:uid="{00000000-0005-0000-0000-000001360000}"/>
    <cellStyle name="Normal 2 2 2 2 4 11 8" xfId="13826" xr:uid="{00000000-0005-0000-0000-000002360000}"/>
    <cellStyle name="Normal 2 2 2 2 4 11 9" xfId="13827" xr:uid="{00000000-0005-0000-0000-000003360000}"/>
    <cellStyle name="Normal 2 2 2 2 4 12" xfId="13828" xr:uid="{00000000-0005-0000-0000-000004360000}"/>
    <cellStyle name="Normal 2 2 2 2 4 12 10" xfId="13829" xr:uid="{00000000-0005-0000-0000-000005360000}"/>
    <cellStyle name="Normal 2 2 2 2 4 12 11" xfId="13830" xr:uid="{00000000-0005-0000-0000-000006360000}"/>
    <cellStyle name="Normal 2 2 2 2 4 12 12" xfId="13831" xr:uid="{00000000-0005-0000-0000-000007360000}"/>
    <cellStyle name="Normal 2 2 2 2 4 12 13" xfId="13832" xr:uid="{00000000-0005-0000-0000-000008360000}"/>
    <cellStyle name="Normal 2 2 2 2 4 12 14" xfId="13833" xr:uid="{00000000-0005-0000-0000-000009360000}"/>
    <cellStyle name="Normal 2 2 2 2 4 12 2" xfId="13834" xr:uid="{00000000-0005-0000-0000-00000A360000}"/>
    <cellStyle name="Normal 2 2 2 2 4 12 2 10" xfId="13835" xr:uid="{00000000-0005-0000-0000-00000B360000}"/>
    <cellStyle name="Normal 2 2 2 2 4 12 2 2" xfId="13836" xr:uid="{00000000-0005-0000-0000-00000C360000}"/>
    <cellStyle name="Normal 2 2 2 2 4 12 2 3" xfId="13837" xr:uid="{00000000-0005-0000-0000-00000D360000}"/>
    <cellStyle name="Normal 2 2 2 2 4 12 2 4" xfId="13838" xr:uid="{00000000-0005-0000-0000-00000E360000}"/>
    <cellStyle name="Normal 2 2 2 2 4 12 2 5" xfId="13839" xr:uid="{00000000-0005-0000-0000-00000F360000}"/>
    <cellStyle name="Normal 2 2 2 2 4 12 2 6" xfId="13840" xr:uid="{00000000-0005-0000-0000-000010360000}"/>
    <cellStyle name="Normal 2 2 2 2 4 12 2 7" xfId="13841" xr:uid="{00000000-0005-0000-0000-000011360000}"/>
    <cellStyle name="Normal 2 2 2 2 4 12 2 8" xfId="13842" xr:uid="{00000000-0005-0000-0000-000012360000}"/>
    <cellStyle name="Normal 2 2 2 2 4 12 2 9" xfId="13843" xr:uid="{00000000-0005-0000-0000-000013360000}"/>
    <cellStyle name="Normal 2 2 2 2 4 12 3" xfId="13844" xr:uid="{00000000-0005-0000-0000-000014360000}"/>
    <cellStyle name="Normal 2 2 2 2 4 12 3 10" xfId="13845" xr:uid="{00000000-0005-0000-0000-000015360000}"/>
    <cellStyle name="Normal 2 2 2 2 4 12 3 2" xfId="13846" xr:uid="{00000000-0005-0000-0000-000016360000}"/>
    <cellStyle name="Normal 2 2 2 2 4 12 3 3" xfId="13847" xr:uid="{00000000-0005-0000-0000-000017360000}"/>
    <cellStyle name="Normal 2 2 2 2 4 12 3 4" xfId="13848" xr:uid="{00000000-0005-0000-0000-000018360000}"/>
    <cellStyle name="Normal 2 2 2 2 4 12 3 5" xfId="13849" xr:uid="{00000000-0005-0000-0000-000019360000}"/>
    <cellStyle name="Normal 2 2 2 2 4 12 3 6" xfId="13850" xr:uid="{00000000-0005-0000-0000-00001A360000}"/>
    <cellStyle name="Normal 2 2 2 2 4 12 3 7" xfId="13851" xr:uid="{00000000-0005-0000-0000-00001B360000}"/>
    <cellStyle name="Normal 2 2 2 2 4 12 3 8" xfId="13852" xr:uid="{00000000-0005-0000-0000-00001C360000}"/>
    <cellStyle name="Normal 2 2 2 2 4 12 3 9" xfId="13853" xr:uid="{00000000-0005-0000-0000-00001D360000}"/>
    <cellStyle name="Normal 2 2 2 2 4 12 4" xfId="13854" xr:uid="{00000000-0005-0000-0000-00001E360000}"/>
    <cellStyle name="Normal 2 2 2 2 4 12 4 10" xfId="13855" xr:uid="{00000000-0005-0000-0000-00001F360000}"/>
    <cellStyle name="Normal 2 2 2 2 4 12 4 2" xfId="13856" xr:uid="{00000000-0005-0000-0000-000020360000}"/>
    <cellStyle name="Normal 2 2 2 2 4 12 4 3" xfId="13857" xr:uid="{00000000-0005-0000-0000-000021360000}"/>
    <cellStyle name="Normal 2 2 2 2 4 12 4 4" xfId="13858" xr:uid="{00000000-0005-0000-0000-000022360000}"/>
    <cellStyle name="Normal 2 2 2 2 4 12 4 5" xfId="13859" xr:uid="{00000000-0005-0000-0000-000023360000}"/>
    <cellStyle name="Normal 2 2 2 2 4 12 4 6" xfId="13860" xr:uid="{00000000-0005-0000-0000-000024360000}"/>
    <cellStyle name="Normal 2 2 2 2 4 12 4 7" xfId="13861" xr:uid="{00000000-0005-0000-0000-000025360000}"/>
    <cellStyle name="Normal 2 2 2 2 4 12 4 8" xfId="13862" xr:uid="{00000000-0005-0000-0000-000026360000}"/>
    <cellStyle name="Normal 2 2 2 2 4 12 4 9" xfId="13863" xr:uid="{00000000-0005-0000-0000-000027360000}"/>
    <cellStyle name="Normal 2 2 2 2 4 12 5" xfId="13864" xr:uid="{00000000-0005-0000-0000-000028360000}"/>
    <cellStyle name="Normal 2 2 2 2 4 12 5 10" xfId="13865" xr:uid="{00000000-0005-0000-0000-000029360000}"/>
    <cellStyle name="Normal 2 2 2 2 4 12 5 2" xfId="13866" xr:uid="{00000000-0005-0000-0000-00002A360000}"/>
    <cellStyle name="Normal 2 2 2 2 4 12 5 3" xfId="13867" xr:uid="{00000000-0005-0000-0000-00002B360000}"/>
    <cellStyle name="Normal 2 2 2 2 4 12 5 4" xfId="13868" xr:uid="{00000000-0005-0000-0000-00002C360000}"/>
    <cellStyle name="Normal 2 2 2 2 4 12 5 5" xfId="13869" xr:uid="{00000000-0005-0000-0000-00002D360000}"/>
    <cellStyle name="Normal 2 2 2 2 4 12 5 6" xfId="13870" xr:uid="{00000000-0005-0000-0000-00002E360000}"/>
    <cellStyle name="Normal 2 2 2 2 4 12 5 7" xfId="13871" xr:uid="{00000000-0005-0000-0000-00002F360000}"/>
    <cellStyle name="Normal 2 2 2 2 4 12 5 8" xfId="13872" xr:uid="{00000000-0005-0000-0000-000030360000}"/>
    <cellStyle name="Normal 2 2 2 2 4 12 5 9" xfId="13873" xr:uid="{00000000-0005-0000-0000-000031360000}"/>
    <cellStyle name="Normal 2 2 2 2 4 12 6" xfId="13874" xr:uid="{00000000-0005-0000-0000-000032360000}"/>
    <cellStyle name="Normal 2 2 2 2 4 12 7" xfId="13875" xr:uid="{00000000-0005-0000-0000-000033360000}"/>
    <cellStyle name="Normal 2 2 2 2 4 12 8" xfId="13876" xr:uid="{00000000-0005-0000-0000-000034360000}"/>
    <cellStyle name="Normal 2 2 2 2 4 12 9" xfId="13877" xr:uid="{00000000-0005-0000-0000-000035360000}"/>
    <cellStyle name="Normal 2 2 2 2 4 13" xfId="13878" xr:uid="{00000000-0005-0000-0000-000036360000}"/>
    <cellStyle name="Normal 2 2 2 2 4 13 10" xfId="13879" xr:uid="{00000000-0005-0000-0000-000037360000}"/>
    <cellStyle name="Normal 2 2 2 2 4 13 11" xfId="13880" xr:uid="{00000000-0005-0000-0000-000038360000}"/>
    <cellStyle name="Normal 2 2 2 2 4 13 12" xfId="13881" xr:uid="{00000000-0005-0000-0000-000039360000}"/>
    <cellStyle name="Normal 2 2 2 2 4 13 13" xfId="13882" xr:uid="{00000000-0005-0000-0000-00003A360000}"/>
    <cellStyle name="Normal 2 2 2 2 4 13 14" xfId="13883" xr:uid="{00000000-0005-0000-0000-00003B360000}"/>
    <cellStyle name="Normal 2 2 2 2 4 13 2" xfId="13884" xr:uid="{00000000-0005-0000-0000-00003C360000}"/>
    <cellStyle name="Normal 2 2 2 2 4 13 2 10" xfId="13885" xr:uid="{00000000-0005-0000-0000-00003D360000}"/>
    <cellStyle name="Normal 2 2 2 2 4 13 2 2" xfId="13886" xr:uid="{00000000-0005-0000-0000-00003E360000}"/>
    <cellStyle name="Normal 2 2 2 2 4 13 2 3" xfId="13887" xr:uid="{00000000-0005-0000-0000-00003F360000}"/>
    <cellStyle name="Normal 2 2 2 2 4 13 2 4" xfId="13888" xr:uid="{00000000-0005-0000-0000-000040360000}"/>
    <cellStyle name="Normal 2 2 2 2 4 13 2 5" xfId="13889" xr:uid="{00000000-0005-0000-0000-000041360000}"/>
    <cellStyle name="Normal 2 2 2 2 4 13 2 6" xfId="13890" xr:uid="{00000000-0005-0000-0000-000042360000}"/>
    <cellStyle name="Normal 2 2 2 2 4 13 2 7" xfId="13891" xr:uid="{00000000-0005-0000-0000-000043360000}"/>
    <cellStyle name="Normal 2 2 2 2 4 13 2 8" xfId="13892" xr:uid="{00000000-0005-0000-0000-000044360000}"/>
    <cellStyle name="Normal 2 2 2 2 4 13 2 9" xfId="13893" xr:uid="{00000000-0005-0000-0000-000045360000}"/>
    <cellStyle name="Normal 2 2 2 2 4 13 3" xfId="13894" xr:uid="{00000000-0005-0000-0000-000046360000}"/>
    <cellStyle name="Normal 2 2 2 2 4 13 3 10" xfId="13895" xr:uid="{00000000-0005-0000-0000-000047360000}"/>
    <cellStyle name="Normal 2 2 2 2 4 13 3 2" xfId="13896" xr:uid="{00000000-0005-0000-0000-000048360000}"/>
    <cellStyle name="Normal 2 2 2 2 4 13 3 3" xfId="13897" xr:uid="{00000000-0005-0000-0000-000049360000}"/>
    <cellStyle name="Normal 2 2 2 2 4 13 3 4" xfId="13898" xr:uid="{00000000-0005-0000-0000-00004A360000}"/>
    <cellStyle name="Normal 2 2 2 2 4 13 3 5" xfId="13899" xr:uid="{00000000-0005-0000-0000-00004B360000}"/>
    <cellStyle name="Normal 2 2 2 2 4 13 3 6" xfId="13900" xr:uid="{00000000-0005-0000-0000-00004C360000}"/>
    <cellStyle name="Normal 2 2 2 2 4 13 3 7" xfId="13901" xr:uid="{00000000-0005-0000-0000-00004D360000}"/>
    <cellStyle name="Normal 2 2 2 2 4 13 3 8" xfId="13902" xr:uid="{00000000-0005-0000-0000-00004E360000}"/>
    <cellStyle name="Normal 2 2 2 2 4 13 3 9" xfId="13903" xr:uid="{00000000-0005-0000-0000-00004F360000}"/>
    <cellStyle name="Normal 2 2 2 2 4 13 4" xfId="13904" xr:uid="{00000000-0005-0000-0000-000050360000}"/>
    <cellStyle name="Normal 2 2 2 2 4 13 4 10" xfId="13905" xr:uid="{00000000-0005-0000-0000-000051360000}"/>
    <cellStyle name="Normal 2 2 2 2 4 13 4 2" xfId="13906" xr:uid="{00000000-0005-0000-0000-000052360000}"/>
    <cellStyle name="Normal 2 2 2 2 4 13 4 3" xfId="13907" xr:uid="{00000000-0005-0000-0000-000053360000}"/>
    <cellStyle name="Normal 2 2 2 2 4 13 4 4" xfId="13908" xr:uid="{00000000-0005-0000-0000-000054360000}"/>
    <cellStyle name="Normal 2 2 2 2 4 13 4 5" xfId="13909" xr:uid="{00000000-0005-0000-0000-000055360000}"/>
    <cellStyle name="Normal 2 2 2 2 4 13 4 6" xfId="13910" xr:uid="{00000000-0005-0000-0000-000056360000}"/>
    <cellStyle name="Normal 2 2 2 2 4 13 4 7" xfId="13911" xr:uid="{00000000-0005-0000-0000-000057360000}"/>
    <cellStyle name="Normal 2 2 2 2 4 13 4 8" xfId="13912" xr:uid="{00000000-0005-0000-0000-000058360000}"/>
    <cellStyle name="Normal 2 2 2 2 4 13 4 9" xfId="13913" xr:uid="{00000000-0005-0000-0000-000059360000}"/>
    <cellStyle name="Normal 2 2 2 2 4 13 5" xfId="13914" xr:uid="{00000000-0005-0000-0000-00005A360000}"/>
    <cellStyle name="Normal 2 2 2 2 4 13 5 10" xfId="13915" xr:uid="{00000000-0005-0000-0000-00005B360000}"/>
    <cellStyle name="Normal 2 2 2 2 4 13 5 2" xfId="13916" xr:uid="{00000000-0005-0000-0000-00005C360000}"/>
    <cellStyle name="Normal 2 2 2 2 4 13 5 3" xfId="13917" xr:uid="{00000000-0005-0000-0000-00005D360000}"/>
    <cellStyle name="Normal 2 2 2 2 4 13 5 4" xfId="13918" xr:uid="{00000000-0005-0000-0000-00005E360000}"/>
    <cellStyle name="Normal 2 2 2 2 4 13 5 5" xfId="13919" xr:uid="{00000000-0005-0000-0000-00005F360000}"/>
    <cellStyle name="Normal 2 2 2 2 4 13 5 6" xfId="13920" xr:uid="{00000000-0005-0000-0000-000060360000}"/>
    <cellStyle name="Normal 2 2 2 2 4 13 5 7" xfId="13921" xr:uid="{00000000-0005-0000-0000-000061360000}"/>
    <cellStyle name="Normal 2 2 2 2 4 13 5 8" xfId="13922" xr:uid="{00000000-0005-0000-0000-000062360000}"/>
    <cellStyle name="Normal 2 2 2 2 4 13 5 9" xfId="13923" xr:uid="{00000000-0005-0000-0000-000063360000}"/>
    <cellStyle name="Normal 2 2 2 2 4 13 6" xfId="13924" xr:uid="{00000000-0005-0000-0000-000064360000}"/>
    <cellStyle name="Normal 2 2 2 2 4 13 7" xfId="13925" xr:uid="{00000000-0005-0000-0000-000065360000}"/>
    <cellStyle name="Normal 2 2 2 2 4 13 8" xfId="13926" xr:uid="{00000000-0005-0000-0000-000066360000}"/>
    <cellStyle name="Normal 2 2 2 2 4 13 9" xfId="13927" xr:uid="{00000000-0005-0000-0000-000067360000}"/>
    <cellStyle name="Normal 2 2 2 2 4 14" xfId="13928" xr:uid="{00000000-0005-0000-0000-000068360000}"/>
    <cellStyle name="Normal 2 2 2 2 4 14 10" xfId="13929" xr:uid="{00000000-0005-0000-0000-000069360000}"/>
    <cellStyle name="Normal 2 2 2 2 4 14 11" xfId="13930" xr:uid="{00000000-0005-0000-0000-00006A360000}"/>
    <cellStyle name="Normal 2 2 2 2 4 14 12" xfId="13931" xr:uid="{00000000-0005-0000-0000-00006B360000}"/>
    <cellStyle name="Normal 2 2 2 2 4 14 13" xfId="13932" xr:uid="{00000000-0005-0000-0000-00006C360000}"/>
    <cellStyle name="Normal 2 2 2 2 4 14 14" xfId="13933" xr:uid="{00000000-0005-0000-0000-00006D360000}"/>
    <cellStyle name="Normal 2 2 2 2 4 14 2" xfId="13934" xr:uid="{00000000-0005-0000-0000-00006E360000}"/>
    <cellStyle name="Normal 2 2 2 2 4 14 2 10" xfId="13935" xr:uid="{00000000-0005-0000-0000-00006F360000}"/>
    <cellStyle name="Normal 2 2 2 2 4 14 2 2" xfId="13936" xr:uid="{00000000-0005-0000-0000-000070360000}"/>
    <cellStyle name="Normal 2 2 2 2 4 14 2 3" xfId="13937" xr:uid="{00000000-0005-0000-0000-000071360000}"/>
    <cellStyle name="Normal 2 2 2 2 4 14 2 4" xfId="13938" xr:uid="{00000000-0005-0000-0000-000072360000}"/>
    <cellStyle name="Normal 2 2 2 2 4 14 2 5" xfId="13939" xr:uid="{00000000-0005-0000-0000-000073360000}"/>
    <cellStyle name="Normal 2 2 2 2 4 14 2 6" xfId="13940" xr:uid="{00000000-0005-0000-0000-000074360000}"/>
    <cellStyle name="Normal 2 2 2 2 4 14 2 7" xfId="13941" xr:uid="{00000000-0005-0000-0000-000075360000}"/>
    <cellStyle name="Normal 2 2 2 2 4 14 2 8" xfId="13942" xr:uid="{00000000-0005-0000-0000-000076360000}"/>
    <cellStyle name="Normal 2 2 2 2 4 14 2 9" xfId="13943" xr:uid="{00000000-0005-0000-0000-000077360000}"/>
    <cellStyle name="Normal 2 2 2 2 4 14 3" xfId="13944" xr:uid="{00000000-0005-0000-0000-000078360000}"/>
    <cellStyle name="Normal 2 2 2 2 4 14 3 10" xfId="13945" xr:uid="{00000000-0005-0000-0000-000079360000}"/>
    <cellStyle name="Normal 2 2 2 2 4 14 3 2" xfId="13946" xr:uid="{00000000-0005-0000-0000-00007A360000}"/>
    <cellStyle name="Normal 2 2 2 2 4 14 3 3" xfId="13947" xr:uid="{00000000-0005-0000-0000-00007B360000}"/>
    <cellStyle name="Normal 2 2 2 2 4 14 3 4" xfId="13948" xr:uid="{00000000-0005-0000-0000-00007C360000}"/>
    <cellStyle name="Normal 2 2 2 2 4 14 3 5" xfId="13949" xr:uid="{00000000-0005-0000-0000-00007D360000}"/>
    <cellStyle name="Normal 2 2 2 2 4 14 3 6" xfId="13950" xr:uid="{00000000-0005-0000-0000-00007E360000}"/>
    <cellStyle name="Normal 2 2 2 2 4 14 3 7" xfId="13951" xr:uid="{00000000-0005-0000-0000-00007F360000}"/>
    <cellStyle name="Normal 2 2 2 2 4 14 3 8" xfId="13952" xr:uid="{00000000-0005-0000-0000-000080360000}"/>
    <cellStyle name="Normal 2 2 2 2 4 14 3 9" xfId="13953" xr:uid="{00000000-0005-0000-0000-000081360000}"/>
    <cellStyle name="Normal 2 2 2 2 4 14 4" xfId="13954" xr:uid="{00000000-0005-0000-0000-000082360000}"/>
    <cellStyle name="Normal 2 2 2 2 4 14 4 10" xfId="13955" xr:uid="{00000000-0005-0000-0000-000083360000}"/>
    <cellStyle name="Normal 2 2 2 2 4 14 4 2" xfId="13956" xr:uid="{00000000-0005-0000-0000-000084360000}"/>
    <cellStyle name="Normal 2 2 2 2 4 14 4 3" xfId="13957" xr:uid="{00000000-0005-0000-0000-000085360000}"/>
    <cellStyle name="Normal 2 2 2 2 4 14 4 4" xfId="13958" xr:uid="{00000000-0005-0000-0000-000086360000}"/>
    <cellStyle name="Normal 2 2 2 2 4 14 4 5" xfId="13959" xr:uid="{00000000-0005-0000-0000-000087360000}"/>
    <cellStyle name="Normal 2 2 2 2 4 14 4 6" xfId="13960" xr:uid="{00000000-0005-0000-0000-000088360000}"/>
    <cellStyle name="Normal 2 2 2 2 4 14 4 7" xfId="13961" xr:uid="{00000000-0005-0000-0000-000089360000}"/>
    <cellStyle name="Normal 2 2 2 2 4 14 4 8" xfId="13962" xr:uid="{00000000-0005-0000-0000-00008A360000}"/>
    <cellStyle name="Normal 2 2 2 2 4 14 4 9" xfId="13963" xr:uid="{00000000-0005-0000-0000-00008B360000}"/>
    <cellStyle name="Normal 2 2 2 2 4 14 5" xfId="13964" xr:uid="{00000000-0005-0000-0000-00008C360000}"/>
    <cellStyle name="Normal 2 2 2 2 4 14 5 10" xfId="13965" xr:uid="{00000000-0005-0000-0000-00008D360000}"/>
    <cellStyle name="Normal 2 2 2 2 4 14 5 2" xfId="13966" xr:uid="{00000000-0005-0000-0000-00008E360000}"/>
    <cellStyle name="Normal 2 2 2 2 4 14 5 3" xfId="13967" xr:uid="{00000000-0005-0000-0000-00008F360000}"/>
    <cellStyle name="Normal 2 2 2 2 4 14 5 4" xfId="13968" xr:uid="{00000000-0005-0000-0000-000090360000}"/>
    <cellStyle name="Normal 2 2 2 2 4 14 5 5" xfId="13969" xr:uid="{00000000-0005-0000-0000-000091360000}"/>
    <cellStyle name="Normal 2 2 2 2 4 14 5 6" xfId="13970" xr:uid="{00000000-0005-0000-0000-000092360000}"/>
    <cellStyle name="Normal 2 2 2 2 4 14 5 7" xfId="13971" xr:uid="{00000000-0005-0000-0000-000093360000}"/>
    <cellStyle name="Normal 2 2 2 2 4 14 5 8" xfId="13972" xr:uid="{00000000-0005-0000-0000-000094360000}"/>
    <cellStyle name="Normal 2 2 2 2 4 14 5 9" xfId="13973" xr:uid="{00000000-0005-0000-0000-000095360000}"/>
    <cellStyle name="Normal 2 2 2 2 4 14 6" xfId="13974" xr:uid="{00000000-0005-0000-0000-000096360000}"/>
    <cellStyle name="Normal 2 2 2 2 4 14 7" xfId="13975" xr:uid="{00000000-0005-0000-0000-000097360000}"/>
    <cellStyle name="Normal 2 2 2 2 4 14 8" xfId="13976" xr:uid="{00000000-0005-0000-0000-000098360000}"/>
    <cellStyle name="Normal 2 2 2 2 4 14 9" xfId="13977" xr:uid="{00000000-0005-0000-0000-000099360000}"/>
    <cellStyle name="Normal 2 2 2 2 4 15" xfId="13978" xr:uid="{00000000-0005-0000-0000-00009A360000}"/>
    <cellStyle name="Normal 2 2 2 2 4 15 10" xfId="13979" xr:uid="{00000000-0005-0000-0000-00009B360000}"/>
    <cellStyle name="Normal 2 2 2 2 4 15 11" xfId="13980" xr:uid="{00000000-0005-0000-0000-00009C360000}"/>
    <cellStyle name="Normal 2 2 2 2 4 15 12" xfId="13981" xr:uid="{00000000-0005-0000-0000-00009D360000}"/>
    <cellStyle name="Normal 2 2 2 2 4 15 13" xfId="13982" xr:uid="{00000000-0005-0000-0000-00009E360000}"/>
    <cellStyle name="Normal 2 2 2 2 4 15 14" xfId="13983" xr:uid="{00000000-0005-0000-0000-00009F360000}"/>
    <cellStyle name="Normal 2 2 2 2 4 15 2" xfId="13984" xr:uid="{00000000-0005-0000-0000-0000A0360000}"/>
    <cellStyle name="Normal 2 2 2 2 4 15 2 10" xfId="13985" xr:uid="{00000000-0005-0000-0000-0000A1360000}"/>
    <cellStyle name="Normal 2 2 2 2 4 15 2 2" xfId="13986" xr:uid="{00000000-0005-0000-0000-0000A2360000}"/>
    <cellStyle name="Normal 2 2 2 2 4 15 2 3" xfId="13987" xr:uid="{00000000-0005-0000-0000-0000A3360000}"/>
    <cellStyle name="Normal 2 2 2 2 4 15 2 4" xfId="13988" xr:uid="{00000000-0005-0000-0000-0000A4360000}"/>
    <cellStyle name="Normal 2 2 2 2 4 15 2 5" xfId="13989" xr:uid="{00000000-0005-0000-0000-0000A5360000}"/>
    <cellStyle name="Normal 2 2 2 2 4 15 2 6" xfId="13990" xr:uid="{00000000-0005-0000-0000-0000A6360000}"/>
    <cellStyle name="Normal 2 2 2 2 4 15 2 7" xfId="13991" xr:uid="{00000000-0005-0000-0000-0000A7360000}"/>
    <cellStyle name="Normal 2 2 2 2 4 15 2 8" xfId="13992" xr:uid="{00000000-0005-0000-0000-0000A8360000}"/>
    <cellStyle name="Normal 2 2 2 2 4 15 2 9" xfId="13993" xr:uid="{00000000-0005-0000-0000-0000A9360000}"/>
    <cellStyle name="Normal 2 2 2 2 4 15 3" xfId="13994" xr:uid="{00000000-0005-0000-0000-0000AA360000}"/>
    <cellStyle name="Normal 2 2 2 2 4 15 3 10" xfId="13995" xr:uid="{00000000-0005-0000-0000-0000AB360000}"/>
    <cellStyle name="Normal 2 2 2 2 4 15 3 2" xfId="13996" xr:uid="{00000000-0005-0000-0000-0000AC360000}"/>
    <cellStyle name="Normal 2 2 2 2 4 15 3 3" xfId="13997" xr:uid="{00000000-0005-0000-0000-0000AD360000}"/>
    <cellStyle name="Normal 2 2 2 2 4 15 3 4" xfId="13998" xr:uid="{00000000-0005-0000-0000-0000AE360000}"/>
    <cellStyle name="Normal 2 2 2 2 4 15 3 5" xfId="13999" xr:uid="{00000000-0005-0000-0000-0000AF360000}"/>
    <cellStyle name="Normal 2 2 2 2 4 15 3 6" xfId="14000" xr:uid="{00000000-0005-0000-0000-0000B0360000}"/>
    <cellStyle name="Normal 2 2 2 2 4 15 3 7" xfId="14001" xr:uid="{00000000-0005-0000-0000-0000B1360000}"/>
    <cellStyle name="Normal 2 2 2 2 4 15 3 8" xfId="14002" xr:uid="{00000000-0005-0000-0000-0000B2360000}"/>
    <cellStyle name="Normal 2 2 2 2 4 15 3 9" xfId="14003" xr:uid="{00000000-0005-0000-0000-0000B3360000}"/>
    <cellStyle name="Normal 2 2 2 2 4 15 4" xfId="14004" xr:uid="{00000000-0005-0000-0000-0000B4360000}"/>
    <cellStyle name="Normal 2 2 2 2 4 15 4 10" xfId="14005" xr:uid="{00000000-0005-0000-0000-0000B5360000}"/>
    <cellStyle name="Normal 2 2 2 2 4 15 4 2" xfId="14006" xr:uid="{00000000-0005-0000-0000-0000B6360000}"/>
    <cellStyle name="Normal 2 2 2 2 4 15 4 3" xfId="14007" xr:uid="{00000000-0005-0000-0000-0000B7360000}"/>
    <cellStyle name="Normal 2 2 2 2 4 15 4 4" xfId="14008" xr:uid="{00000000-0005-0000-0000-0000B8360000}"/>
    <cellStyle name="Normal 2 2 2 2 4 15 4 5" xfId="14009" xr:uid="{00000000-0005-0000-0000-0000B9360000}"/>
    <cellStyle name="Normal 2 2 2 2 4 15 4 6" xfId="14010" xr:uid="{00000000-0005-0000-0000-0000BA360000}"/>
    <cellStyle name="Normal 2 2 2 2 4 15 4 7" xfId="14011" xr:uid="{00000000-0005-0000-0000-0000BB360000}"/>
    <cellStyle name="Normal 2 2 2 2 4 15 4 8" xfId="14012" xr:uid="{00000000-0005-0000-0000-0000BC360000}"/>
    <cellStyle name="Normal 2 2 2 2 4 15 4 9" xfId="14013" xr:uid="{00000000-0005-0000-0000-0000BD360000}"/>
    <cellStyle name="Normal 2 2 2 2 4 15 5" xfId="14014" xr:uid="{00000000-0005-0000-0000-0000BE360000}"/>
    <cellStyle name="Normal 2 2 2 2 4 15 5 10" xfId="14015" xr:uid="{00000000-0005-0000-0000-0000BF360000}"/>
    <cellStyle name="Normal 2 2 2 2 4 15 5 2" xfId="14016" xr:uid="{00000000-0005-0000-0000-0000C0360000}"/>
    <cellStyle name="Normal 2 2 2 2 4 15 5 3" xfId="14017" xr:uid="{00000000-0005-0000-0000-0000C1360000}"/>
    <cellStyle name="Normal 2 2 2 2 4 15 5 4" xfId="14018" xr:uid="{00000000-0005-0000-0000-0000C2360000}"/>
    <cellStyle name="Normal 2 2 2 2 4 15 5 5" xfId="14019" xr:uid="{00000000-0005-0000-0000-0000C3360000}"/>
    <cellStyle name="Normal 2 2 2 2 4 15 5 6" xfId="14020" xr:uid="{00000000-0005-0000-0000-0000C4360000}"/>
    <cellStyle name="Normal 2 2 2 2 4 15 5 7" xfId="14021" xr:uid="{00000000-0005-0000-0000-0000C5360000}"/>
    <cellStyle name="Normal 2 2 2 2 4 15 5 8" xfId="14022" xr:uid="{00000000-0005-0000-0000-0000C6360000}"/>
    <cellStyle name="Normal 2 2 2 2 4 15 5 9" xfId="14023" xr:uid="{00000000-0005-0000-0000-0000C7360000}"/>
    <cellStyle name="Normal 2 2 2 2 4 15 6" xfId="14024" xr:uid="{00000000-0005-0000-0000-0000C8360000}"/>
    <cellStyle name="Normal 2 2 2 2 4 15 7" xfId="14025" xr:uid="{00000000-0005-0000-0000-0000C9360000}"/>
    <cellStyle name="Normal 2 2 2 2 4 15 8" xfId="14026" xr:uid="{00000000-0005-0000-0000-0000CA360000}"/>
    <cellStyle name="Normal 2 2 2 2 4 15 9" xfId="14027" xr:uid="{00000000-0005-0000-0000-0000CB360000}"/>
    <cellStyle name="Normal 2 2 2 2 4 16" xfId="14028" xr:uid="{00000000-0005-0000-0000-0000CC360000}"/>
    <cellStyle name="Normal 2 2 2 2 4 16 10" xfId="14029" xr:uid="{00000000-0005-0000-0000-0000CD360000}"/>
    <cellStyle name="Normal 2 2 2 2 4 16 11" xfId="14030" xr:uid="{00000000-0005-0000-0000-0000CE360000}"/>
    <cellStyle name="Normal 2 2 2 2 4 16 12" xfId="14031" xr:uid="{00000000-0005-0000-0000-0000CF360000}"/>
    <cellStyle name="Normal 2 2 2 2 4 16 13" xfId="14032" xr:uid="{00000000-0005-0000-0000-0000D0360000}"/>
    <cellStyle name="Normal 2 2 2 2 4 16 14" xfId="14033" xr:uid="{00000000-0005-0000-0000-0000D1360000}"/>
    <cellStyle name="Normal 2 2 2 2 4 16 2" xfId="14034" xr:uid="{00000000-0005-0000-0000-0000D2360000}"/>
    <cellStyle name="Normal 2 2 2 2 4 16 2 10" xfId="14035" xr:uid="{00000000-0005-0000-0000-0000D3360000}"/>
    <cellStyle name="Normal 2 2 2 2 4 16 2 2" xfId="14036" xr:uid="{00000000-0005-0000-0000-0000D4360000}"/>
    <cellStyle name="Normal 2 2 2 2 4 16 2 3" xfId="14037" xr:uid="{00000000-0005-0000-0000-0000D5360000}"/>
    <cellStyle name="Normal 2 2 2 2 4 16 2 4" xfId="14038" xr:uid="{00000000-0005-0000-0000-0000D6360000}"/>
    <cellStyle name="Normal 2 2 2 2 4 16 2 5" xfId="14039" xr:uid="{00000000-0005-0000-0000-0000D7360000}"/>
    <cellStyle name="Normal 2 2 2 2 4 16 2 6" xfId="14040" xr:uid="{00000000-0005-0000-0000-0000D8360000}"/>
    <cellStyle name="Normal 2 2 2 2 4 16 2 7" xfId="14041" xr:uid="{00000000-0005-0000-0000-0000D9360000}"/>
    <cellStyle name="Normal 2 2 2 2 4 16 2 8" xfId="14042" xr:uid="{00000000-0005-0000-0000-0000DA360000}"/>
    <cellStyle name="Normal 2 2 2 2 4 16 2 9" xfId="14043" xr:uid="{00000000-0005-0000-0000-0000DB360000}"/>
    <cellStyle name="Normal 2 2 2 2 4 16 3" xfId="14044" xr:uid="{00000000-0005-0000-0000-0000DC360000}"/>
    <cellStyle name="Normal 2 2 2 2 4 16 3 10" xfId="14045" xr:uid="{00000000-0005-0000-0000-0000DD360000}"/>
    <cellStyle name="Normal 2 2 2 2 4 16 3 2" xfId="14046" xr:uid="{00000000-0005-0000-0000-0000DE360000}"/>
    <cellStyle name="Normal 2 2 2 2 4 16 3 3" xfId="14047" xr:uid="{00000000-0005-0000-0000-0000DF360000}"/>
    <cellStyle name="Normal 2 2 2 2 4 16 3 4" xfId="14048" xr:uid="{00000000-0005-0000-0000-0000E0360000}"/>
    <cellStyle name="Normal 2 2 2 2 4 16 3 5" xfId="14049" xr:uid="{00000000-0005-0000-0000-0000E1360000}"/>
    <cellStyle name="Normal 2 2 2 2 4 16 3 6" xfId="14050" xr:uid="{00000000-0005-0000-0000-0000E2360000}"/>
    <cellStyle name="Normal 2 2 2 2 4 16 3 7" xfId="14051" xr:uid="{00000000-0005-0000-0000-0000E3360000}"/>
    <cellStyle name="Normal 2 2 2 2 4 16 3 8" xfId="14052" xr:uid="{00000000-0005-0000-0000-0000E4360000}"/>
    <cellStyle name="Normal 2 2 2 2 4 16 3 9" xfId="14053" xr:uid="{00000000-0005-0000-0000-0000E5360000}"/>
    <cellStyle name="Normal 2 2 2 2 4 16 4" xfId="14054" xr:uid="{00000000-0005-0000-0000-0000E6360000}"/>
    <cellStyle name="Normal 2 2 2 2 4 16 4 10" xfId="14055" xr:uid="{00000000-0005-0000-0000-0000E7360000}"/>
    <cellStyle name="Normal 2 2 2 2 4 16 4 2" xfId="14056" xr:uid="{00000000-0005-0000-0000-0000E8360000}"/>
    <cellStyle name="Normal 2 2 2 2 4 16 4 3" xfId="14057" xr:uid="{00000000-0005-0000-0000-0000E9360000}"/>
    <cellStyle name="Normal 2 2 2 2 4 16 4 4" xfId="14058" xr:uid="{00000000-0005-0000-0000-0000EA360000}"/>
    <cellStyle name="Normal 2 2 2 2 4 16 4 5" xfId="14059" xr:uid="{00000000-0005-0000-0000-0000EB360000}"/>
    <cellStyle name="Normal 2 2 2 2 4 16 4 6" xfId="14060" xr:uid="{00000000-0005-0000-0000-0000EC360000}"/>
    <cellStyle name="Normal 2 2 2 2 4 16 4 7" xfId="14061" xr:uid="{00000000-0005-0000-0000-0000ED360000}"/>
    <cellStyle name="Normal 2 2 2 2 4 16 4 8" xfId="14062" xr:uid="{00000000-0005-0000-0000-0000EE360000}"/>
    <cellStyle name="Normal 2 2 2 2 4 16 4 9" xfId="14063" xr:uid="{00000000-0005-0000-0000-0000EF360000}"/>
    <cellStyle name="Normal 2 2 2 2 4 16 5" xfId="14064" xr:uid="{00000000-0005-0000-0000-0000F0360000}"/>
    <cellStyle name="Normal 2 2 2 2 4 16 5 10" xfId="14065" xr:uid="{00000000-0005-0000-0000-0000F1360000}"/>
    <cellStyle name="Normal 2 2 2 2 4 16 5 2" xfId="14066" xr:uid="{00000000-0005-0000-0000-0000F2360000}"/>
    <cellStyle name="Normal 2 2 2 2 4 16 5 3" xfId="14067" xr:uid="{00000000-0005-0000-0000-0000F3360000}"/>
    <cellStyle name="Normal 2 2 2 2 4 16 5 4" xfId="14068" xr:uid="{00000000-0005-0000-0000-0000F4360000}"/>
    <cellStyle name="Normal 2 2 2 2 4 16 5 5" xfId="14069" xr:uid="{00000000-0005-0000-0000-0000F5360000}"/>
    <cellStyle name="Normal 2 2 2 2 4 16 5 6" xfId="14070" xr:uid="{00000000-0005-0000-0000-0000F6360000}"/>
    <cellStyle name="Normal 2 2 2 2 4 16 5 7" xfId="14071" xr:uid="{00000000-0005-0000-0000-0000F7360000}"/>
    <cellStyle name="Normal 2 2 2 2 4 16 5 8" xfId="14072" xr:uid="{00000000-0005-0000-0000-0000F8360000}"/>
    <cellStyle name="Normal 2 2 2 2 4 16 5 9" xfId="14073" xr:uid="{00000000-0005-0000-0000-0000F9360000}"/>
    <cellStyle name="Normal 2 2 2 2 4 16 6" xfId="14074" xr:uid="{00000000-0005-0000-0000-0000FA360000}"/>
    <cellStyle name="Normal 2 2 2 2 4 16 7" xfId="14075" xr:uid="{00000000-0005-0000-0000-0000FB360000}"/>
    <cellStyle name="Normal 2 2 2 2 4 16 8" xfId="14076" xr:uid="{00000000-0005-0000-0000-0000FC360000}"/>
    <cellStyle name="Normal 2 2 2 2 4 16 9" xfId="14077" xr:uid="{00000000-0005-0000-0000-0000FD360000}"/>
    <cellStyle name="Normal 2 2 2 2 4 17" xfId="14078" xr:uid="{00000000-0005-0000-0000-0000FE360000}"/>
    <cellStyle name="Normal 2 2 2 2 4 17 10" xfId="14079" xr:uid="{00000000-0005-0000-0000-0000FF360000}"/>
    <cellStyle name="Normal 2 2 2 2 4 17 11" xfId="14080" xr:uid="{00000000-0005-0000-0000-000000370000}"/>
    <cellStyle name="Normal 2 2 2 2 4 17 12" xfId="14081" xr:uid="{00000000-0005-0000-0000-000001370000}"/>
    <cellStyle name="Normal 2 2 2 2 4 17 13" xfId="14082" xr:uid="{00000000-0005-0000-0000-000002370000}"/>
    <cellStyle name="Normal 2 2 2 2 4 17 14" xfId="14083" xr:uid="{00000000-0005-0000-0000-000003370000}"/>
    <cellStyle name="Normal 2 2 2 2 4 17 2" xfId="14084" xr:uid="{00000000-0005-0000-0000-000004370000}"/>
    <cellStyle name="Normal 2 2 2 2 4 17 2 10" xfId="14085" xr:uid="{00000000-0005-0000-0000-000005370000}"/>
    <cellStyle name="Normal 2 2 2 2 4 17 2 2" xfId="14086" xr:uid="{00000000-0005-0000-0000-000006370000}"/>
    <cellStyle name="Normal 2 2 2 2 4 17 2 3" xfId="14087" xr:uid="{00000000-0005-0000-0000-000007370000}"/>
    <cellStyle name="Normal 2 2 2 2 4 17 2 4" xfId="14088" xr:uid="{00000000-0005-0000-0000-000008370000}"/>
    <cellStyle name="Normal 2 2 2 2 4 17 2 5" xfId="14089" xr:uid="{00000000-0005-0000-0000-000009370000}"/>
    <cellStyle name="Normal 2 2 2 2 4 17 2 6" xfId="14090" xr:uid="{00000000-0005-0000-0000-00000A370000}"/>
    <cellStyle name="Normal 2 2 2 2 4 17 2 7" xfId="14091" xr:uid="{00000000-0005-0000-0000-00000B370000}"/>
    <cellStyle name="Normal 2 2 2 2 4 17 2 8" xfId="14092" xr:uid="{00000000-0005-0000-0000-00000C370000}"/>
    <cellStyle name="Normal 2 2 2 2 4 17 2 9" xfId="14093" xr:uid="{00000000-0005-0000-0000-00000D370000}"/>
    <cellStyle name="Normal 2 2 2 2 4 17 3" xfId="14094" xr:uid="{00000000-0005-0000-0000-00000E370000}"/>
    <cellStyle name="Normal 2 2 2 2 4 17 3 10" xfId="14095" xr:uid="{00000000-0005-0000-0000-00000F370000}"/>
    <cellStyle name="Normal 2 2 2 2 4 17 3 2" xfId="14096" xr:uid="{00000000-0005-0000-0000-000010370000}"/>
    <cellStyle name="Normal 2 2 2 2 4 17 3 3" xfId="14097" xr:uid="{00000000-0005-0000-0000-000011370000}"/>
    <cellStyle name="Normal 2 2 2 2 4 17 3 4" xfId="14098" xr:uid="{00000000-0005-0000-0000-000012370000}"/>
    <cellStyle name="Normal 2 2 2 2 4 17 3 5" xfId="14099" xr:uid="{00000000-0005-0000-0000-000013370000}"/>
    <cellStyle name="Normal 2 2 2 2 4 17 3 6" xfId="14100" xr:uid="{00000000-0005-0000-0000-000014370000}"/>
    <cellStyle name="Normal 2 2 2 2 4 17 3 7" xfId="14101" xr:uid="{00000000-0005-0000-0000-000015370000}"/>
    <cellStyle name="Normal 2 2 2 2 4 17 3 8" xfId="14102" xr:uid="{00000000-0005-0000-0000-000016370000}"/>
    <cellStyle name="Normal 2 2 2 2 4 17 3 9" xfId="14103" xr:uid="{00000000-0005-0000-0000-000017370000}"/>
    <cellStyle name="Normal 2 2 2 2 4 17 4" xfId="14104" xr:uid="{00000000-0005-0000-0000-000018370000}"/>
    <cellStyle name="Normal 2 2 2 2 4 17 4 10" xfId="14105" xr:uid="{00000000-0005-0000-0000-000019370000}"/>
    <cellStyle name="Normal 2 2 2 2 4 17 4 2" xfId="14106" xr:uid="{00000000-0005-0000-0000-00001A370000}"/>
    <cellStyle name="Normal 2 2 2 2 4 17 4 3" xfId="14107" xr:uid="{00000000-0005-0000-0000-00001B370000}"/>
    <cellStyle name="Normal 2 2 2 2 4 17 4 4" xfId="14108" xr:uid="{00000000-0005-0000-0000-00001C370000}"/>
    <cellStyle name="Normal 2 2 2 2 4 17 4 5" xfId="14109" xr:uid="{00000000-0005-0000-0000-00001D370000}"/>
    <cellStyle name="Normal 2 2 2 2 4 17 4 6" xfId="14110" xr:uid="{00000000-0005-0000-0000-00001E370000}"/>
    <cellStyle name="Normal 2 2 2 2 4 17 4 7" xfId="14111" xr:uid="{00000000-0005-0000-0000-00001F370000}"/>
    <cellStyle name="Normal 2 2 2 2 4 17 4 8" xfId="14112" xr:uid="{00000000-0005-0000-0000-000020370000}"/>
    <cellStyle name="Normal 2 2 2 2 4 17 4 9" xfId="14113" xr:uid="{00000000-0005-0000-0000-000021370000}"/>
    <cellStyle name="Normal 2 2 2 2 4 17 5" xfId="14114" xr:uid="{00000000-0005-0000-0000-000022370000}"/>
    <cellStyle name="Normal 2 2 2 2 4 17 5 10" xfId="14115" xr:uid="{00000000-0005-0000-0000-000023370000}"/>
    <cellStyle name="Normal 2 2 2 2 4 17 5 2" xfId="14116" xr:uid="{00000000-0005-0000-0000-000024370000}"/>
    <cellStyle name="Normal 2 2 2 2 4 17 5 3" xfId="14117" xr:uid="{00000000-0005-0000-0000-000025370000}"/>
    <cellStyle name="Normal 2 2 2 2 4 17 5 4" xfId="14118" xr:uid="{00000000-0005-0000-0000-000026370000}"/>
    <cellStyle name="Normal 2 2 2 2 4 17 5 5" xfId="14119" xr:uid="{00000000-0005-0000-0000-000027370000}"/>
    <cellStyle name="Normal 2 2 2 2 4 17 5 6" xfId="14120" xr:uid="{00000000-0005-0000-0000-000028370000}"/>
    <cellStyle name="Normal 2 2 2 2 4 17 5 7" xfId="14121" xr:uid="{00000000-0005-0000-0000-000029370000}"/>
    <cellStyle name="Normal 2 2 2 2 4 17 5 8" xfId="14122" xr:uid="{00000000-0005-0000-0000-00002A370000}"/>
    <cellStyle name="Normal 2 2 2 2 4 17 5 9" xfId="14123" xr:uid="{00000000-0005-0000-0000-00002B370000}"/>
    <cellStyle name="Normal 2 2 2 2 4 17 6" xfId="14124" xr:uid="{00000000-0005-0000-0000-00002C370000}"/>
    <cellStyle name="Normal 2 2 2 2 4 17 7" xfId="14125" xr:uid="{00000000-0005-0000-0000-00002D370000}"/>
    <cellStyle name="Normal 2 2 2 2 4 17 8" xfId="14126" xr:uid="{00000000-0005-0000-0000-00002E370000}"/>
    <cellStyle name="Normal 2 2 2 2 4 17 9" xfId="14127" xr:uid="{00000000-0005-0000-0000-00002F370000}"/>
    <cellStyle name="Normal 2 2 2 2 4 18" xfId="14128" xr:uid="{00000000-0005-0000-0000-000030370000}"/>
    <cellStyle name="Normal 2 2 2 2 4 18 10" xfId="14129" xr:uid="{00000000-0005-0000-0000-000031370000}"/>
    <cellStyle name="Normal 2 2 2 2 4 18 11" xfId="14130" xr:uid="{00000000-0005-0000-0000-000032370000}"/>
    <cellStyle name="Normal 2 2 2 2 4 18 12" xfId="14131" xr:uid="{00000000-0005-0000-0000-000033370000}"/>
    <cellStyle name="Normal 2 2 2 2 4 18 13" xfId="14132" xr:uid="{00000000-0005-0000-0000-000034370000}"/>
    <cellStyle name="Normal 2 2 2 2 4 18 14" xfId="14133" xr:uid="{00000000-0005-0000-0000-000035370000}"/>
    <cellStyle name="Normal 2 2 2 2 4 18 2" xfId="14134" xr:uid="{00000000-0005-0000-0000-000036370000}"/>
    <cellStyle name="Normal 2 2 2 2 4 18 2 10" xfId="14135" xr:uid="{00000000-0005-0000-0000-000037370000}"/>
    <cellStyle name="Normal 2 2 2 2 4 18 2 2" xfId="14136" xr:uid="{00000000-0005-0000-0000-000038370000}"/>
    <cellStyle name="Normal 2 2 2 2 4 18 2 3" xfId="14137" xr:uid="{00000000-0005-0000-0000-000039370000}"/>
    <cellStyle name="Normal 2 2 2 2 4 18 2 4" xfId="14138" xr:uid="{00000000-0005-0000-0000-00003A370000}"/>
    <cellStyle name="Normal 2 2 2 2 4 18 2 5" xfId="14139" xr:uid="{00000000-0005-0000-0000-00003B370000}"/>
    <cellStyle name="Normal 2 2 2 2 4 18 2 6" xfId="14140" xr:uid="{00000000-0005-0000-0000-00003C370000}"/>
    <cellStyle name="Normal 2 2 2 2 4 18 2 7" xfId="14141" xr:uid="{00000000-0005-0000-0000-00003D370000}"/>
    <cellStyle name="Normal 2 2 2 2 4 18 2 8" xfId="14142" xr:uid="{00000000-0005-0000-0000-00003E370000}"/>
    <cellStyle name="Normal 2 2 2 2 4 18 2 9" xfId="14143" xr:uid="{00000000-0005-0000-0000-00003F370000}"/>
    <cellStyle name="Normal 2 2 2 2 4 18 3" xfId="14144" xr:uid="{00000000-0005-0000-0000-000040370000}"/>
    <cellStyle name="Normal 2 2 2 2 4 18 3 10" xfId="14145" xr:uid="{00000000-0005-0000-0000-000041370000}"/>
    <cellStyle name="Normal 2 2 2 2 4 18 3 2" xfId="14146" xr:uid="{00000000-0005-0000-0000-000042370000}"/>
    <cellStyle name="Normal 2 2 2 2 4 18 3 3" xfId="14147" xr:uid="{00000000-0005-0000-0000-000043370000}"/>
    <cellStyle name="Normal 2 2 2 2 4 18 3 4" xfId="14148" xr:uid="{00000000-0005-0000-0000-000044370000}"/>
    <cellStyle name="Normal 2 2 2 2 4 18 3 5" xfId="14149" xr:uid="{00000000-0005-0000-0000-000045370000}"/>
    <cellStyle name="Normal 2 2 2 2 4 18 3 6" xfId="14150" xr:uid="{00000000-0005-0000-0000-000046370000}"/>
    <cellStyle name="Normal 2 2 2 2 4 18 3 7" xfId="14151" xr:uid="{00000000-0005-0000-0000-000047370000}"/>
    <cellStyle name="Normal 2 2 2 2 4 18 3 8" xfId="14152" xr:uid="{00000000-0005-0000-0000-000048370000}"/>
    <cellStyle name="Normal 2 2 2 2 4 18 3 9" xfId="14153" xr:uid="{00000000-0005-0000-0000-000049370000}"/>
    <cellStyle name="Normal 2 2 2 2 4 18 4" xfId="14154" xr:uid="{00000000-0005-0000-0000-00004A370000}"/>
    <cellStyle name="Normal 2 2 2 2 4 18 4 10" xfId="14155" xr:uid="{00000000-0005-0000-0000-00004B370000}"/>
    <cellStyle name="Normal 2 2 2 2 4 18 4 2" xfId="14156" xr:uid="{00000000-0005-0000-0000-00004C370000}"/>
    <cellStyle name="Normal 2 2 2 2 4 18 4 3" xfId="14157" xr:uid="{00000000-0005-0000-0000-00004D370000}"/>
    <cellStyle name="Normal 2 2 2 2 4 18 4 4" xfId="14158" xr:uid="{00000000-0005-0000-0000-00004E370000}"/>
    <cellStyle name="Normal 2 2 2 2 4 18 4 5" xfId="14159" xr:uid="{00000000-0005-0000-0000-00004F370000}"/>
    <cellStyle name="Normal 2 2 2 2 4 18 4 6" xfId="14160" xr:uid="{00000000-0005-0000-0000-000050370000}"/>
    <cellStyle name="Normal 2 2 2 2 4 18 4 7" xfId="14161" xr:uid="{00000000-0005-0000-0000-000051370000}"/>
    <cellStyle name="Normal 2 2 2 2 4 18 4 8" xfId="14162" xr:uid="{00000000-0005-0000-0000-000052370000}"/>
    <cellStyle name="Normal 2 2 2 2 4 18 4 9" xfId="14163" xr:uid="{00000000-0005-0000-0000-000053370000}"/>
    <cellStyle name="Normal 2 2 2 2 4 18 5" xfId="14164" xr:uid="{00000000-0005-0000-0000-000054370000}"/>
    <cellStyle name="Normal 2 2 2 2 4 18 5 10" xfId="14165" xr:uid="{00000000-0005-0000-0000-000055370000}"/>
    <cellStyle name="Normal 2 2 2 2 4 18 5 2" xfId="14166" xr:uid="{00000000-0005-0000-0000-000056370000}"/>
    <cellStyle name="Normal 2 2 2 2 4 18 5 3" xfId="14167" xr:uid="{00000000-0005-0000-0000-000057370000}"/>
    <cellStyle name="Normal 2 2 2 2 4 18 5 4" xfId="14168" xr:uid="{00000000-0005-0000-0000-000058370000}"/>
    <cellStyle name="Normal 2 2 2 2 4 18 5 5" xfId="14169" xr:uid="{00000000-0005-0000-0000-000059370000}"/>
    <cellStyle name="Normal 2 2 2 2 4 18 5 6" xfId="14170" xr:uid="{00000000-0005-0000-0000-00005A370000}"/>
    <cellStyle name="Normal 2 2 2 2 4 18 5 7" xfId="14171" xr:uid="{00000000-0005-0000-0000-00005B370000}"/>
    <cellStyle name="Normal 2 2 2 2 4 18 5 8" xfId="14172" xr:uid="{00000000-0005-0000-0000-00005C370000}"/>
    <cellStyle name="Normal 2 2 2 2 4 18 5 9" xfId="14173" xr:uid="{00000000-0005-0000-0000-00005D370000}"/>
    <cellStyle name="Normal 2 2 2 2 4 18 6" xfId="14174" xr:uid="{00000000-0005-0000-0000-00005E370000}"/>
    <cellStyle name="Normal 2 2 2 2 4 18 7" xfId="14175" xr:uid="{00000000-0005-0000-0000-00005F370000}"/>
    <cellStyle name="Normal 2 2 2 2 4 18 8" xfId="14176" xr:uid="{00000000-0005-0000-0000-000060370000}"/>
    <cellStyle name="Normal 2 2 2 2 4 18 9" xfId="14177" xr:uid="{00000000-0005-0000-0000-000061370000}"/>
    <cellStyle name="Normal 2 2 2 2 4 19" xfId="14178" xr:uid="{00000000-0005-0000-0000-000062370000}"/>
    <cellStyle name="Normal 2 2 2 2 4 19 10" xfId="14179" xr:uid="{00000000-0005-0000-0000-000063370000}"/>
    <cellStyle name="Normal 2 2 2 2 4 19 11" xfId="14180" xr:uid="{00000000-0005-0000-0000-000064370000}"/>
    <cellStyle name="Normal 2 2 2 2 4 19 12" xfId="14181" xr:uid="{00000000-0005-0000-0000-000065370000}"/>
    <cellStyle name="Normal 2 2 2 2 4 19 13" xfId="14182" xr:uid="{00000000-0005-0000-0000-000066370000}"/>
    <cellStyle name="Normal 2 2 2 2 4 19 14" xfId="14183" xr:uid="{00000000-0005-0000-0000-000067370000}"/>
    <cellStyle name="Normal 2 2 2 2 4 19 2" xfId="14184" xr:uid="{00000000-0005-0000-0000-000068370000}"/>
    <cellStyle name="Normal 2 2 2 2 4 19 2 10" xfId="14185" xr:uid="{00000000-0005-0000-0000-000069370000}"/>
    <cellStyle name="Normal 2 2 2 2 4 19 2 2" xfId="14186" xr:uid="{00000000-0005-0000-0000-00006A370000}"/>
    <cellStyle name="Normal 2 2 2 2 4 19 2 3" xfId="14187" xr:uid="{00000000-0005-0000-0000-00006B370000}"/>
    <cellStyle name="Normal 2 2 2 2 4 19 2 4" xfId="14188" xr:uid="{00000000-0005-0000-0000-00006C370000}"/>
    <cellStyle name="Normal 2 2 2 2 4 19 2 5" xfId="14189" xr:uid="{00000000-0005-0000-0000-00006D370000}"/>
    <cellStyle name="Normal 2 2 2 2 4 19 2 6" xfId="14190" xr:uid="{00000000-0005-0000-0000-00006E370000}"/>
    <cellStyle name="Normal 2 2 2 2 4 19 2 7" xfId="14191" xr:uid="{00000000-0005-0000-0000-00006F370000}"/>
    <cellStyle name="Normal 2 2 2 2 4 19 2 8" xfId="14192" xr:uid="{00000000-0005-0000-0000-000070370000}"/>
    <cellStyle name="Normal 2 2 2 2 4 19 2 9" xfId="14193" xr:uid="{00000000-0005-0000-0000-000071370000}"/>
    <cellStyle name="Normal 2 2 2 2 4 19 3" xfId="14194" xr:uid="{00000000-0005-0000-0000-000072370000}"/>
    <cellStyle name="Normal 2 2 2 2 4 19 3 10" xfId="14195" xr:uid="{00000000-0005-0000-0000-000073370000}"/>
    <cellStyle name="Normal 2 2 2 2 4 19 3 2" xfId="14196" xr:uid="{00000000-0005-0000-0000-000074370000}"/>
    <cellStyle name="Normal 2 2 2 2 4 19 3 3" xfId="14197" xr:uid="{00000000-0005-0000-0000-000075370000}"/>
    <cellStyle name="Normal 2 2 2 2 4 19 3 4" xfId="14198" xr:uid="{00000000-0005-0000-0000-000076370000}"/>
    <cellStyle name="Normal 2 2 2 2 4 19 3 5" xfId="14199" xr:uid="{00000000-0005-0000-0000-000077370000}"/>
    <cellStyle name="Normal 2 2 2 2 4 19 3 6" xfId="14200" xr:uid="{00000000-0005-0000-0000-000078370000}"/>
    <cellStyle name="Normal 2 2 2 2 4 19 3 7" xfId="14201" xr:uid="{00000000-0005-0000-0000-000079370000}"/>
    <cellStyle name="Normal 2 2 2 2 4 19 3 8" xfId="14202" xr:uid="{00000000-0005-0000-0000-00007A370000}"/>
    <cellStyle name="Normal 2 2 2 2 4 19 3 9" xfId="14203" xr:uid="{00000000-0005-0000-0000-00007B370000}"/>
    <cellStyle name="Normal 2 2 2 2 4 19 4" xfId="14204" xr:uid="{00000000-0005-0000-0000-00007C370000}"/>
    <cellStyle name="Normal 2 2 2 2 4 19 4 10" xfId="14205" xr:uid="{00000000-0005-0000-0000-00007D370000}"/>
    <cellStyle name="Normal 2 2 2 2 4 19 4 2" xfId="14206" xr:uid="{00000000-0005-0000-0000-00007E370000}"/>
    <cellStyle name="Normal 2 2 2 2 4 19 4 3" xfId="14207" xr:uid="{00000000-0005-0000-0000-00007F370000}"/>
    <cellStyle name="Normal 2 2 2 2 4 19 4 4" xfId="14208" xr:uid="{00000000-0005-0000-0000-000080370000}"/>
    <cellStyle name="Normal 2 2 2 2 4 19 4 5" xfId="14209" xr:uid="{00000000-0005-0000-0000-000081370000}"/>
    <cellStyle name="Normal 2 2 2 2 4 19 4 6" xfId="14210" xr:uid="{00000000-0005-0000-0000-000082370000}"/>
    <cellStyle name="Normal 2 2 2 2 4 19 4 7" xfId="14211" xr:uid="{00000000-0005-0000-0000-000083370000}"/>
    <cellStyle name="Normal 2 2 2 2 4 19 4 8" xfId="14212" xr:uid="{00000000-0005-0000-0000-000084370000}"/>
    <cellStyle name="Normal 2 2 2 2 4 19 4 9" xfId="14213" xr:uid="{00000000-0005-0000-0000-000085370000}"/>
    <cellStyle name="Normal 2 2 2 2 4 19 5" xfId="14214" xr:uid="{00000000-0005-0000-0000-000086370000}"/>
    <cellStyle name="Normal 2 2 2 2 4 19 5 10" xfId="14215" xr:uid="{00000000-0005-0000-0000-000087370000}"/>
    <cellStyle name="Normal 2 2 2 2 4 19 5 2" xfId="14216" xr:uid="{00000000-0005-0000-0000-000088370000}"/>
    <cellStyle name="Normal 2 2 2 2 4 19 5 3" xfId="14217" xr:uid="{00000000-0005-0000-0000-000089370000}"/>
    <cellStyle name="Normal 2 2 2 2 4 19 5 4" xfId="14218" xr:uid="{00000000-0005-0000-0000-00008A370000}"/>
    <cellStyle name="Normal 2 2 2 2 4 19 5 5" xfId="14219" xr:uid="{00000000-0005-0000-0000-00008B370000}"/>
    <cellStyle name="Normal 2 2 2 2 4 19 5 6" xfId="14220" xr:uid="{00000000-0005-0000-0000-00008C370000}"/>
    <cellStyle name="Normal 2 2 2 2 4 19 5 7" xfId="14221" xr:uid="{00000000-0005-0000-0000-00008D370000}"/>
    <cellStyle name="Normal 2 2 2 2 4 19 5 8" xfId="14222" xr:uid="{00000000-0005-0000-0000-00008E370000}"/>
    <cellStyle name="Normal 2 2 2 2 4 19 5 9" xfId="14223" xr:uid="{00000000-0005-0000-0000-00008F370000}"/>
    <cellStyle name="Normal 2 2 2 2 4 19 6" xfId="14224" xr:uid="{00000000-0005-0000-0000-000090370000}"/>
    <cellStyle name="Normal 2 2 2 2 4 19 7" xfId="14225" xr:uid="{00000000-0005-0000-0000-000091370000}"/>
    <cellStyle name="Normal 2 2 2 2 4 19 8" xfId="14226" xr:uid="{00000000-0005-0000-0000-000092370000}"/>
    <cellStyle name="Normal 2 2 2 2 4 19 9" xfId="14227" xr:uid="{00000000-0005-0000-0000-000093370000}"/>
    <cellStyle name="Normal 2 2 2 2 4 2" xfId="14228" xr:uid="{00000000-0005-0000-0000-000094370000}"/>
    <cellStyle name="Normal 2 2 2 2 4 2 10" xfId="14229" xr:uid="{00000000-0005-0000-0000-000095370000}"/>
    <cellStyle name="Normal 2 2 2 2 4 2 11" xfId="14230" xr:uid="{00000000-0005-0000-0000-000096370000}"/>
    <cellStyle name="Normal 2 2 2 2 4 2 12" xfId="14231" xr:uid="{00000000-0005-0000-0000-000097370000}"/>
    <cellStyle name="Normal 2 2 2 2 4 2 13" xfId="14232" xr:uid="{00000000-0005-0000-0000-000098370000}"/>
    <cellStyle name="Normal 2 2 2 2 4 2 14" xfId="14233" xr:uid="{00000000-0005-0000-0000-000099370000}"/>
    <cellStyle name="Normal 2 2 2 2 4 2 15" xfId="14234" xr:uid="{00000000-0005-0000-0000-00009A370000}"/>
    <cellStyle name="Normal 2 2 2 2 4 2 16" xfId="14235" xr:uid="{00000000-0005-0000-0000-00009B370000}"/>
    <cellStyle name="Normal 2 2 2 2 4 2 17" xfId="14236" xr:uid="{00000000-0005-0000-0000-00009C370000}"/>
    <cellStyle name="Normal 2 2 2 2 4 2 18" xfId="14237" xr:uid="{00000000-0005-0000-0000-00009D370000}"/>
    <cellStyle name="Normal 2 2 2 2 4 2 19" xfId="14238" xr:uid="{00000000-0005-0000-0000-00009E370000}"/>
    <cellStyle name="Normal 2 2 2 2 4 2 2" xfId="14239" xr:uid="{00000000-0005-0000-0000-00009F370000}"/>
    <cellStyle name="Normal 2 2 2 2 4 2 2 10" xfId="14240" xr:uid="{00000000-0005-0000-0000-0000A0370000}"/>
    <cellStyle name="Normal 2 2 2 2 4 2 2 10 10" xfId="14241" xr:uid="{00000000-0005-0000-0000-0000A1370000}"/>
    <cellStyle name="Normal 2 2 2 2 4 2 2 10 11" xfId="14242" xr:uid="{00000000-0005-0000-0000-0000A2370000}"/>
    <cellStyle name="Normal 2 2 2 2 4 2 2 10 12" xfId="14243" xr:uid="{00000000-0005-0000-0000-0000A3370000}"/>
    <cellStyle name="Normal 2 2 2 2 4 2 2 10 13" xfId="14244" xr:uid="{00000000-0005-0000-0000-0000A4370000}"/>
    <cellStyle name="Normal 2 2 2 2 4 2 2 10 14" xfId="14245" xr:uid="{00000000-0005-0000-0000-0000A5370000}"/>
    <cellStyle name="Normal 2 2 2 2 4 2 2 10 2" xfId="14246" xr:uid="{00000000-0005-0000-0000-0000A6370000}"/>
    <cellStyle name="Normal 2 2 2 2 4 2 2 10 2 10" xfId="14247" xr:uid="{00000000-0005-0000-0000-0000A7370000}"/>
    <cellStyle name="Normal 2 2 2 2 4 2 2 10 2 2" xfId="14248" xr:uid="{00000000-0005-0000-0000-0000A8370000}"/>
    <cellStyle name="Normal 2 2 2 2 4 2 2 10 2 3" xfId="14249" xr:uid="{00000000-0005-0000-0000-0000A9370000}"/>
    <cellStyle name="Normal 2 2 2 2 4 2 2 10 2 4" xfId="14250" xr:uid="{00000000-0005-0000-0000-0000AA370000}"/>
    <cellStyle name="Normal 2 2 2 2 4 2 2 10 2 5" xfId="14251" xr:uid="{00000000-0005-0000-0000-0000AB370000}"/>
    <cellStyle name="Normal 2 2 2 2 4 2 2 10 2 6" xfId="14252" xr:uid="{00000000-0005-0000-0000-0000AC370000}"/>
    <cellStyle name="Normal 2 2 2 2 4 2 2 10 2 7" xfId="14253" xr:uid="{00000000-0005-0000-0000-0000AD370000}"/>
    <cellStyle name="Normal 2 2 2 2 4 2 2 10 2 8" xfId="14254" xr:uid="{00000000-0005-0000-0000-0000AE370000}"/>
    <cellStyle name="Normal 2 2 2 2 4 2 2 10 2 9" xfId="14255" xr:uid="{00000000-0005-0000-0000-0000AF370000}"/>
    <cellStyle name="Normal 2 2 2 2 4 2 2 10 3" xfId="14256" xr:uid="{00000000-0005-0000-0000-0000B0370000}"/>
    <cellStyle name="Normal 2 2 2 2 4 2 2 10 3 10" xfId="14257" xr:uid="{00000000-0005-0000-0000-0000B1370000}"/>
    <cellStyle name="Normal 2 2 2 2 4 2 2 10 3 2" xfId="14258" xr:uid="{00000000-0005-0000-0000-0000B2370000}"/>
    <cellStyle name="Normal 2 2 2 2 4 2 2 10 3 3" xfId="14259" xr:uid="{00000000-0005-0000-0000-0000B3370000}"/>
    <cellStyle name="Normal 2 2 2 2 4 2 2 10 3 4" xfId="14260" xr:uid="{00000000-0005-0000-0000-0000B4370000}"/>
    <cellStyle name="Normal 2 2 2 2 4 2 2 10 3 5" xfId="14261" xr:uid="{00000000-0005-0000-0000-0000B5370000}"/>
    <cellStyle name="Normal 2 2 2 2 4 2 2 10 3 6" xfId="14262" xr:uid="{00000000-0005-0000-0000-0000B6370000}"/>
    <cellStyle name="Normal 2 2 2 2 4 2 2 10 3 7" xfId="14263" xr:uid="{00000000-0005-0000-0000-0000B7370000}"/>
    <cellStyle name="Normal 2 2 2 2 4 2 2 10 3 8" xfId="14264" xr:uid="{00000000-0005-0000-0000-0000B8370000}"/>
    <cellStyle name="Normal 2 2 2 2 4 2 2 10 3 9" xfId="14265" xr:uid="{00000000-0005-0000-0000-0000B9370000}"/>
    <cellStyle name="Normal 2 2 2 2 4 2 2 10 4" xfId="14266" xr:uid="{00000000-0005-0000-0000-0000BA370000}"/>
    <cellStyle name="Normal 2 2 2 2 4 2 2 10 4 10" xfId="14267" xr:uid="{00000000-0005-0000-0000-0000BB370000}"/>
    <cellStyle name="Normal 2 2 2 2 4 2 2 10 4 2" xfId="14268" xr:uid="{00000000-0005-0000-0000-0000BC370000}"/>
    <cellStyle name="Normal 2 2 2 2 4 2 2 10 4 3" xfId="14269" xr:uid="{00000000-0005-0000-0000-0000BD370000}"/>
    <cellStyle name="Normal 2 2 2 2 4 2 2 10 4 4" xfId="14270" xr:uid="{00000000-0005-0000-0000-0000BE370000}"/>
    <cellStyle name="Normal 2 2 2 2 4 2 2 10 4 5" xfId="14271" xr:uid="{00000000-0005-0000-0000-0000BF370000}"/>
    <cellStyle name="Normal 2 2 2 2 4 2 2 10 4 6" xfId="14272" xr:uid="{00000000-0005-0000-0000-0000C0370000}"/>
    <cellStyle name="Normal 2 2 2 2 4 2 2 10 4 7" xfId="14273" xr:uid="{00000000-0005-0000-0000-0000C1370000}"/>
    <cellStyle name="Normal 2 2 2 2 4 2 2 10 4 8" xfId="14274" xr:uid="{00000000-0005-0000-0000-0000C2370000}"/>
    <cellStyle name="Normal 2 2 2 2 4 2 2 10 4 9" xfId="14275" xr:uid="{00000000-0005-0000-0000-0000C3370000}"/>
    <cellStyle name="Normal 2 2 2 2 4 2 2 10 5" xfId="14276" xr:uid="{00000000-0005-0000-0000-0000C4370000}"/>
    <cellStyle name="Normal 2 2 2 2 4 2 2 10 5 10" xfId="14277" xr:uid="{00000000-0005-0000-0000-0000C5370000}"/>
    <cellStyle name="Normal 2 2 2 2 4 2 2 10 5 2" xfId="14278" xr:uid="{00000000-0005-0000-0000-0000C6370000}"/>
    <cellStyle name="Normal 2 2 2 2 4 2 2 10 5 3" xfId="14279" xr:uid="{00000000-0005-0000-0000-0000C7370000}"/>
    <cellStyle name="Normal 2 2 2 2 4 2 2 10 5 4" xfId="14280" xr:uid="{00000000-0005-0000-0000-0000C8370000}"/>
    <cellStyle name="Normal 2 2 2 2 4 2 2 10 5 5" xfId="14281" xr:uid="{00000000-0005-0000-0000-0000C9370000}"/>
    <cellStyle name="Normal 2 2 2 2 4 2 2 10 5 6" xfId="14282" xr:uid="{00000000-0005-0000-0000-0000CA370000}"/>
    <cellStyle name="Normal 2 2 2 2 4 2 2 10 5 7" xfId="14283" xr:uid="{00000000-0005-0000-0000-0000CB370000}"/>
    <cellStyle name="Normal 2 2 2 2 4 2 2 10 5 8" xfId="14284" xr:uid="{00000000-0005-0000-0000-0000CC370000}"/>
    <cellStyle name="Normal 2 2 2 2 4 2 2 10 5 9" xfId="14285" xr:uid="{00000000-0005-0000-0000-0000CD370000}"/>
    <cellStyle name="Normal 2 2 2 2 4 2 2 10 6" xfId="14286" xr:uid="{00000000-0005-0000-0000-0000CE370000}"/>
    <cellStyle name="Normal 2 2 2 2 4 2 2 10 7" xfId="14287" xr:uid="{00000000-0005-0000-0000-0000CF370000}"/>
    <cellStyle name="Normal 2 2 2 2 4 2 2 10 8" xfId="14288" xr:uid="{00000000-0005-0000-0000-0000D0370000}"/>
    <cellStyle name="Normal 2 2 2 2 4 2 2 10 9" xfId="14289" xr:uid="{00000000-0005-0000-0000-0000D1370000}"/>
    <cellStyle name="Normal 2 2 2 2 4 2 2 11" xfId="14290" xr:uid="{00000000-0005-0000-0000-0000D2370000}"/>
    <cellStyle name="Normal 2 2 2 2 4 2 2 11 10" xfId="14291" xr:uid="{00000000-0005-0000-0000-0000D3370000}"/>
    <cellStyle name="Normal 2 2 2 2 4 2 2 11 11" xfId="14292" xr:uid="{00000000-0005-0000-0000-0000D4370000}"/>
    <cellStyle name="Normal 2 2 2 2 4 2 2 11 12" xfId="14293" xr:uid="{00000000-0005-0000-0000-0000D5370000}"/>
    <cellStyle name="Normal 2 2 2 2 4 2 2 11 13" xfId="14294" xr:uid="{00000000-0005-0000-0000-0000D6370000}"/>
    <cellStyle name="Normal 2 2 2 2 4 2 2 11 14" xfId="14295" xr:uid="{00000000-0005-0000-0000-0000D7370000}"/>
    <cellStyle name="Normal 2 2 2 2 4 2 2 11 2" xfId="14296" xr:uid="{00000000-0005-0000-0000-0000D8370000}"/>
    <cellStyle name="Normal 2 2 2 2 4 2 2 11 2 10" xfId="14297" xr:uid="{00000000-0005-0000-0000-0000D9370000}"/>
    <cellStyle name="Normal 2 2 2 2 4 2 2 11 2 2" xfId="14298" xr:uid="{00000000-0005-0000-0000-0000DA370000}"/>
    <cellStyle name="Normal 2 2 2 2 4 2 2 11 2 3" xfId="14299" xr:uid="{00000000-0005-0000-0000-0000DB370000}"/>
    <cellStyle name="Normal 2 2 2 2 4 2 2 11 2 4" xfId="14300" xr:uid="{00000000-0005-0000-0000-0000DC370000}"/>
    <cellStyle name="Normal 2 2 2 2 4 2 2 11 2 5" xfId="14301" xr:uid="{00000000-0005-0000-0000-0000DD370000}"/>
    <cellStyle name="Normal 2 2 2 2 4 2 2 11 2 6" xfId="14302" xr:uid="{00000000-0005-0000-0000-0000DE370000}"/>
    <cellStyle name="Normal 2 2 2 2 4 2 2 11 2 7" xfId="14303" xr:uid="{00000000-0005-0000-0000-0000DF370000}"/>
    <cellStyle name="Normal 2 2 2 2 4 2 2 11 2 8" xfId="14304" xr:uid="{00000000-0005-0000-0000-0000E0370000}"/>
    <cellStyle name="Normal 2 2 2 2 4 2 2 11 2 9" xfId="14305" xr:uid="{00000000-0005-0000-0000-0000E1370000}"/>
    <cellStyle name="Normal 2 2 2 2 4 2 2 11 3" xfId="14306" xr:uid="{00000000-0005-0000-0000-0000E2370000}"/>
    <cellStyle name="Normal 2 2 2 2 4 2 2 11 3 10" xfId="14307" xr:uid="{00000000-0005-0000-0000-0000E3370000}"/>
    <cellStyle name="Normal 2 2 2 2 4 2 2 11 3 2" xfId="14308" xr:uid="{00000000-0005-0000-0000-0000E4370000}"/>
    <cellStyle name="Normal 2 2 2 2 4 2 2 11 3 3" xfId="14309" xr:uid="{00000000-0005-0000-0000-0000E5370000}"/>
    <cellStyle name="Normal 2 2 2 2 4 2 2 11 3 4" xfId="14310" xr:uid="{00000000-0005-0000-0000-0000E6370000}"/>
    <cellStyle name="Normal 2 2 2 2 4 2 2 11 3 5" xfId="14311" xr:uid="{00000000-0005-0000-0000-0000E7370000}"/>
    <cellStyle name="Normal 2 2 2 2 4 2 2 11 3 6" xfId="14312" xr:uid="{00000000-0005-0000-0000-0000E8370000}"/>
    <cellStyle name="Normal 2 2 2 2 4 2 2 11 3 7" xfId="14313" xr:uid="{00000000-0005-0000-0000-0000E9370000}"/>
    <cellStyle name="Normal 2 2 2 2 4 2 2 11 3 8" xfId="14314" xr:uid="{00000000-0005-0000-0000-0000EA370000}"/>
    <cellStyle name="Normal 2 2 2 2 4 2 2 11 3 9" xfId="14315" xr:uid="{00000000-0005-0000-0000-0000EB370000}"/>
    <cellStyle name="Normal 2 2 2 2 4 2 2 11 4" xfId="14316" xr:uid="{00000000-0005-0000-0000-0000EC370000}"/>
    <cellStyle name="Normal 2 2 2 2 4 2 2 11 4 10" xfId="14317" xr:uid="{00000000-0005-0000-0000-0000ED370000}"/>
    <cellStyle name="Normal 2 2 2 2 4 2 2 11 4 2" xfId="14318" xr:uid="{00000000-0005-0000-0000-0000EE370000}"/>
    <cellStyle name="Normal 2 2 2 2 4 2 2 11 4 3" xfId="14319" xr:uid="{00000000-0005-0000-0000-0000EF370000}"/>
    <cellStyle name="Normal 2 2 2 2 4 2 2 11 4 4" xfId="14320" xr:uid="{00000000-0005-0000-0000-0000F0370000}"/>
    <cellStyle name="Normal 2 2 2 2 4 2 2 11 4 5" xfId="14321" xr:uid="{00000000-0005-0000-0000-0000F1370000}"/>
    <cellStyle name="Normal 2 2 2 2 4 2 2 11 4 6" xfId="14322" xr:uid="{00000000-0005-0000-0000-0000F2370000}"/>
    <cellStyle name="Normal 2 2 2 2 4 2 2 11 4 7" xfId="14323" xr:uid="{00000000-0005-0000-0000-0000F3370000}"/>
    <cellStyle name="Normal 2 2 2 2 4 2 2 11 4 8" xfId="14324" xr:uid="{00000000-0005-0000-0000-0000F4370000}"/>
    <cellStyle name="Normal 2 2 2 2 4 2 2 11 4 9" xfId="14325" xr:uid="{00000000-0005-0000-0000-0000F5370000}"/>
    <cellStyle name="Normal 2 2 2 2 4 2 2 11 5" xfId="14326" xr:uid="{00000000-0005-0000-0000-0000F6370000}"/>
    <cellStyle name="Normal 2 2 2 2 4 2 2 11 5 10" xfId="14327" xr:uid="{00000000-0005-0000-0000-0000F7370000}"/>
    <cellStyle name="Normal 2 2 2 2 4 2 2 11 5 2" xfId="14328" xr:uid="{00000000-0005-0000-0000-0000F8370000}"/>
    <cellStyle name="Normal 2 2 2 2 4 2 2 11 5 3" xfId="14329" xr:uid="{00000000-0005-0000-0000-0000F9370000}"/>
    <cellStyle name="Normal 2 2 2 2 4 2 2 11 5 4" xfId="14330" xr:uid="{00000000-0005-0000-0000-0000FA370000}"/>
    <cellStyle name="Normal 2 2 2 2 4 2 2 11 5 5" xfId="14331" xr:uid="{00000000-0005-0000-0000-0000FB370000}"/>
    <cellStyle name="Normal 2 2 2 2 4 2 2 11 5 6" xfId="14332" xr:uid="{00000000-0005-0000-0000-0000FC370000}"/>
    <cellStyle name="Normal 2 2 2 2 4 2 2 11 5 7" xfId="14333" xr:uid="{00000000-0005-0000-0000-0000FD370000}"/>
    <cellStyle name="Normal 2 2 2 2 4 2 2 11 5 8" xfId="14334" xr:uid="{00000000-0005-0000-0000-0000FE370000}"/>
    <cellStyle name="Normal 2 2 2 2 4 2 2 11 5 9" xfId="14335" xr:uid="{00000000-0005-0000-0000-0000FF370000}"/>
    <cellStyle name="Normal 2 2 2 2 4 2 2 11 6" xfId="14336" xr:uid="{00000000-0005-0000-0000-000000380000}"/>
    <cellStyle name="Normal 2 2 2 2 4 2 2 11 7" xfId="14337" xr:uid="{00000000-0005-0000-0000-000001380000}"/>
    <cellStyle name="Normal 2 2 2 2 4 2 2 11 8" xfId="14338" xr:uid="{00000000-0005-0000-0000-000002380000}"/>
    <cellStyle name="Normal 2 2 2 2 4 2 2 11 9" xfId="14339" xr:uid="{00000000-0005-0000-0000-000003380000}"/>
    <cellStyle name="Normal 2 2 2 2 4 2 2 12" xfId="14340" xr:uid="{00000000-0005-0000-0000-000004380000}"/>
    <cellStyle name="Normal 2 2 2 2 4 2 2 12 10" xfId="14341" xr:uid="{00000000-0005-0000-0000-000005380000}"/>
    <cellStyle name="Normal 2 2 2 2 4 2 2 12 11" xfId="14342" xr:uid="{00000000-0005-0000-0000-000006380000}"/>
    <cellStyle name="Normal 2 2 2 2 4 2 2 12 12" xfId="14343" xr:uid="{00000000-0005-0000-0000-000007380000}"/>
    <cellStyle name="Normal 2 2 2 2 4 2 2 12 13" xfId="14344" xr:uid="{00000000-0005-0000-0000-000008380000}"/>
    <cellStyle name="Normal 2 2 2 2 4 2 2 12 14" xfId="14345" xr:uid="{00000000-0005-0000-0000-000009380000}"/>
    <cellStyle name="Normal 2 2 2 2 4 2 2 12 2" xfId="14346" xr:uid="{00000000-0005-0000-0000-00000A380000}"/>
    <cellStyle name="Normal 2 2 2 2 4 2 2 12 2 10" xfId="14347" xr:uid="{00000000-0005-0000-0000-00000B380000}"/>
    <cellStyle name="Normal 2 2 2 2 4 2 2 12 2 2" xfId="14348" xr:uid="{00000000-0005-0000-0000-00000C380000}"/>
    <cellStyle name="Normal 2 2 2 2 4 2 2 12 2 3" xfId="14349" xr:uid="{00000000-0005-0000-0000-00000D380000}"/>
    <cellStyle name="Normal 2 2 2 2 4 2 2 12 2 4" xfId="14350" xr:uid="{00000000-0005-0000-0000-00000E380000}"/>
    <cellStyle name="Normal 2 2 2 2 4 2 2 12 2 5" xfId="14351" xr:uid="{00000000-0005-0000-0000-00000F380000}"/>
    <cellStyle name="Normal 2 2 2 2 4 2 2 12 2 6" xfId="14352" xr:uid="{00000000-0005-0000-0000-000010380000}"/>
    <cellStyle name="Normal 2 2 2 2 4 2 2 12 2 7" xfId="14353" xr:uid="{00000000-0005-0000-0000-000011380000}"/>
    <cellStyle name="Normal 2 2 2 2 4 2 2 12 2 8" xfId="14354" xr:uid="{00000000-0005-0000-0000-000012380000}"/>
    <cellStyle name="Normal 2 2 2 2 4 2 2 12 2 9" xfId="14355" xr:uid="{00000000-0005-0000-0000-000013380000}"/>
    <cellStyle name="Normal 2 2 2 2 4 2 2 12 3" xfId="14356" xr:uid="{00000000-0005-0000-0000-000014380000}"/>
    <cellStyle name="Normal 2 2 2 2 4 2 2 12 3 10" xfId="14357" xr:uid="{00000000-0005-0000-0000-000015380000}"/>
    <cellStyle name="Normal 2 2 2 2 4 2 2 12 3 2" xfId="14358" xr:uid="{00000000-0005-0000-0000-000016380000}"/>
    <cellStyle name="Normal 2 2 2 2 4 2 2 12 3 3" xfId="14359" xr:uid="{00000000-0005-0000-0000-000017380000}"/>
    <cellStyle name="Normal 2 2 2 2 4 2 2 12 3 4" xfId="14360" xr:uid="{00000000-0005-0000-0000-000018380000}"/>
    <cellStyle name="Normal 2 2 2 2 4 2 2 12 3 5" xfId="14361" xr:uid="{00000000-0005-0000-0000-000019380000}"/>
    <cellStyle name="Normal 2 2 2 2 4 2 2 12 3 6" xfId="14362" xr:uid="{00000000-0005-0000-0000-00001A380000}"/>
    <cellStyle name="Normal 2 2 2 2 4 2 2 12 3 7" xfId="14363" xr:uid="{00000000-0005-0000-0000-00001B380000}"/>
    <cellStyle name="Normal 2 2 2 2 4 2 2 12 3 8" xfId="14364" xr:uid="{00000000-0005-0000-0000-00001C380000}"/>
    <cellStyle name="Normal 2 2 2 2 4 2 2 12 3 9" xfId="14365" xr:uid="{00000000-0005-0000-0000-00001D380000}"/>
    <cellStyle name="Normal 2 2 2 2 4 2 2 12 4" xfId="14366" xr:uid="{00000000-0005-0000-0000-00001E380000}"/>
    <cellStyle name="Normal 2 2 2 2 4 2 2 12 4 10" xfId="14367" xr:uid="{00000000-0005-0000-0000-00001F380000}"/>
    <cellStyle name="Normal 2 2 2 2 4 2 2 12 4 2" xfId="14368" xr:uid="{00000000-0005-0000-0000-000020380000}"/>
    <cellStyle name="Normal 2 2 2 2 4 2 2 12 4 3" xfId="14369" xr:uid="{00000000-0005-0000-0000-000021380000}"/>
    <cellStyle name="Normal 2 2 2 2 4 2 2 12 4 4" xfId="14370" xr:uid="{00000000-0005-0000-0000-000022380000}"/>
    <cellStyle name="Normal 2 2 2 2 4 2 2 12 4 5" xfId="14371" xr:uid="{00000000-0005-0000-0000-000023380000}"/>
    <cellStyle name="Normal 2 2 2 2 4 2 2 12 4 6" xfId="14372" xr:uid="{00000000-0005-0000-0000-000024380000}"/>
    <cellStyle name="Normal 2 2 2 2 4 2 2 12 4 7" xfId="14373" xr:uid="{00000000-0005-0000-0000-000025380000}"/>
    <cellStyle name="Normal 2 2 2 2 4 2 2 12 4 8" xfId="14374" xr:uid="{00000000-0005-0000-0000-000026380000}"/>
    <cellStyle name="Normal 2 2 2 2 4 2 2 12 4 9" xfId="14375" xr:uid="{00000000-0005-0000-0000-000027380000}"/>
    <cellStyle name="Normal 2 2 2 2 4 2 2 12 5" xfId="14376" xr:uid="{00000000-0005-0000-0000-000028380000}"/>
    <cellStyle name="Normal 2 2 2 2 4 2 2 12 5 10" xfId="14377" xr:uid="{00000000-0005-0000-0000-000029380000}"/>
    <cellStyle name="Normal 2 2 2 2 4 2 2 12 5 2" xfId="14378" xr:uid="{00000000-0005-0000-0000-00002A380000}"/>
    <cellStyle name="Normal 2 2 2 2 4 2 2 12 5 3" xfId="14379" xr:uid="{00000000-0005-0000-0000-00002B380000}"/>
    <cellStyle name="Normal 2 2 2 2 4 2 2 12 5 4" xfId="14380" xr:uid="{00000000-0005-0000-0000-00002C380000}"/>
    <cellStyle name="Normal 2 2 2 2 4 2 2 12 5 5" xfId="14381" xr:uid="{00000000-0005-0000-0000-00002D380000}"/>
    <cellStyle name="Normal 2 2 2 2 4 2 2 12 5 6" xfId="14382" xr:uid="{00000000-0005-0000-0000-00002E380000}"/>
    <cellStyle name="Normal 2 2 2 2 4 2 2 12 5 7" xfId="14383" xr:uid="{00000000-0005-0000-0000-00002F380000}"/>
    <cellStyle name="Normal 2 2 2 2 4 2 2 12 5 8" xfId="14384" xr:uid="{00000000-0005-0000-0000-000030380000}"/>
    <cellStyle name="Normal 2 2 2 2 4 2 2 12 5 9" xfId="14385" xr:uid="{00000000-0005-0000-0000-000031380000}"/>
    <cellStyle name="Normal 2 2 2 2 4 2 2 12 6" xfId="14386" xr:uid="{00000000-0005-0000-0000-000032380000}"/>
    <cellStyle name="Normal 2 2 2 2 4 2 2 12 7" xfId="14387" xr:uid="{00000000-0005-0000-0000-000033380000}"/>
    <cellStyle name="Normal 2 2 2 2 4 2 2 12 8" xfId="14388" xr:uid="{00000000-0005-0000-0000-000034380000}"/>
    <cellStyle name="Normal 2 2 2 2 4 2 2 12 9" xfId="14389" xr:uid="{00000000-0005-0000-0000-000035380000}"/>
    <cellStyle name="Normal 2 2 2 2 4 2 2 13" xfId="14390" xr:uid="{00000000-0005-0000-0000-000036380000}"/>
    <cellStyle name="Normal 2 2 2 2 4 2 2 13 10" xfId="14391" xr:uid="{00000000-0005-0000-0000-000037380000}"/>
    <cellStyle name="Normal 2 2 2 2 4 2 2 13 11" xfId="14392" xr:uid="{00000000-0005-0000-0000-000038380000}"/>
    <cellStyle name="Normal 2 2 2 2 4 2 2 13 12" xfId="14393" xr:uid="{00000000-0005-0000-0000-000039380000}"/>
    <cellStyle name="Normal 2 2 2 2 4 2 2 13 13" xfId="14394" xr:uid="{00000000-0005-0000-0000-00003A380000}"/>
    <cellStyle name="Normal 2 2 2 2 4 2 2 13 14" xfId="14395" xr:uid="{00000000-0005-0000-0000-00003B380000}"/>
    <cellStyle name="Normal 2 2 2 2 4 2 2 13 2" xfId="14396" xr:uid="{00000000-0005-0000-0000-00003C380000}"/>
    <cellStyle name="Normal 2 2 2 2 4 2 2 13 2 10" xfId="14397" xr:uid="{00000000-0005-0000-0000-00003D380000}"/>
    <cellStyle name="Normal 2 2 2 2 4 2 2 13 2 2" xfId="14398" xr:uid="{00000000-0005-0000-0000-00003E380000}"/>
    <cellStyle name="Normal 2 2 2 2 4 2 2 13 2 3" xfId="14399" xr:uid="{00000000-0005-0000-0000-00003F380000}"/>
    <cellStyle name="Normal 2 2 2 2 4 2 2 13 2 4" xfId="14400" xr:uid="{00000000-0005-0000-0000-000040380000}"/>
    <cellStyle name="Normal 2 2 2 2 4 2 2 13 2 5" xfId="14401" xr:uid="{00000000-0005-0000-0000-000041380000}"/>
    <cellStyle name="Normal 2 2 2 2 4 2 2 13 2 6" xfId="14402" xr:uid="{00000000-0005-0000-0000-000042380000}"/>
    <cellStyle name="Normal 2 2 2 2 4 2 2 13 2 7" xfId="14403" xr:uid="{00000000-0005-0000-0000-000043380000}"/>
    <cellStyle name="Normal 2 2 2 2 4 2 2 13 2 8" xfId="14404" xr:uid="{00000000-0005-0000-0000-000044380000}"/>
    <cellStyle name="Normal 2 2 2 2 4 2 2 13 2 9" xfId="14405" xr:uid="{00000000-0005-0000-0000-000045380000}"/>
    <cellStyle name="Normal 2 2 2 2 4 2 2 13 3" xfId="14406" xr:uid="{00000000-0005-0000-0000-000046380000}"/>
    <cellStyle name="Normal 2 2 2 2 4 2 2 13 3 10" xfId="14407" xr:uid="{00000000-0005-0000-0000-000047380000}"/>
    <cellStyle name="Normal 2 2 2 2 4 2 2 13 3 2" xfId="14408" xr:uid="{00000000-0005-0000-0000-000048380000}"/>
    <cellStyle name="Normal 2 2 2 2 4 2 2 13 3 3" xfId="14409" xr:uid="{00000000-0005-0000-0000-000049380000}"/>
    <cellStyle name="Normal 2 2 2 2 4 2 2 13 3 4" xfId="14410" xr:uid="{00000000-0005-0000-0000-00004A380000}"/>
    <cellStyle name="Normal 2 2 2 2 4 2 2 13 3 5" xfId="14411" xr:uid="{00000000-0005-0000-0000-00004B380000}"/>
    <cellStyle name="Normal 2 2 2 2 4 2 2 13 3 6" xfId="14412" xr:uid="{00000000-0005-0000-0000-00004C380000}"/>
    <cellStyle name="Normal 2 2 2 2 4 2 2 13 3 7" xfId="14413" xr:uid="{00000000-0005-0000-0000-00004D380000}"/>
    <cellStyle name="Normal 2 2 2 2 4 2 2 13 3 8" xfId="14414" xr:uid="{00000000-0005-0000-0000-00004E380000}"/>
    <cellStyle name="Normal 2 2 2 2 4 2 2 13 3 9" xfId="14415" xr:uid="{00000000-0005-0000-0000-00004F380000}"/>
    <cellStyle name="Normal 2 2 2 2 4 2 2 13 4" xfId="14416" xr:uid="{00000000-0005-0000-0000-000050380000}"/>
    <cellStyle name="Normal 2 2 2 2 4 2 2 13 4 10" xfId="14417" xr:uid="{00000000-0005-0000-0000-000051380000}"/>
    <cellStyle name="Normal 2 2 2 2 4 2 2 13 4 2" xfId="14418" xr:uid="{00000000-0005-0000-0000-000052380000}"/>
    <cellStyle name="Normal 2 2 2 2 4 2 2 13 4 3" xfId="14419" xr:uid="{00000000-0005-0000-0000-000053380000}"/>
    <cellStyle name="Normal 2 2 2 2 4 2 2 13 4 4" xfId="14420" xr:uid="{00000000-0005-0000-0000-000054380000}"/>
    <cellStyle name="Normal 2 2 2 2 4 2 2 13 4 5" xfId="14421" xr:uid="{00000000-0005-0000-0000-000055380000}"/>
    <cellStyle name="Normal 2 2 2 2 4 2 2 13 4 6" xfId="14422" xr:uid="{00000000-0005-0000-0000-000056380000}"/>
    <cellStyle name="Normal 2 2 2 2 4 2 2 13 4 7" xfId="14423" xr:uid="{00000000-0005-0000-0000-000057380000}"/>
    <cellStyle name="Normal 2 2 2 2 4 2 2 13 4 8" xfId="14424" xr:uid="{00000000-0005-0000-0000-000058380000}"/>
    <cellStyle name="Normal 2 2 2 2 4 2 2 13 4 9" xfId="14425" xr:uid="{00000000-0005-0000-0000-000059380000}"/>
    <cellStyle name="Normal 2 2 2 2 4 2 2 13 5" xfId="14426" xr:uid="{00000000-0005-0000-0000-00005A380000}"/>
    <cellStyle name="Normal 2 2 2 2 4 2 2 13 5 10" xfId="14427" xr:uid="{00000000-0005-0000-0000-00005B380000}"/>
    <cellStyle name="Normal 2 2 2 2 4 2 2 13 5 2" xfId="14428" xr:uid="{00000000-0005-0000-0000-00005C380000}"/>
    <cellStyle name="Normal 2 2 2 2 4 2 2 13 5 3" xfId="14429" xr:uid="{00000000-0005-0000-0000-00005D380000}"/>
    <cellStyle name="Normal 2 2 2 2 4 2 2 13 5 4" xfId="14430" xr:uid="{00000000-0005-0000-0000-00005E380000}"/>
    <cellStyle name="Normal 2 2 2 2 4 2 2 13 5 5" xfId="14431" xr:uid="{00000000-0005-0000-0000-00005F380000}"/>
    <cellStyle name="Normal 2 2 2 2 4 2 2 13 5 6" xfId="14432" xr:uid="{00000000-0005-0000-0000-000060380000}"/>
    <cellStyle name="Normal 2 2 2 2 4 2 2 13 5 7" xfId="14433" xr:uid="{00000000-0005-0000-0000-000061380000}"/>
    <cellStyle name="Normal 2 2 2 2 4 2 2 13 5 8" xfId="14434" xr:uid="{00000000-0005-0000-0000-000062380000}"/>
    <cellStyle name="Normal 2 2 2 2 4 2 2 13 5 9" xfId="14435" xr:uid="{00000000-0005-0000-0000-000063380000}"/>
    <cellStyle name="Normal 2 2 2 2 4 2 2 13 6" xfId="14436" xr:uid="{00000000-0005-0000-0000-000064380000}"/>
    <cellStyle name="Normal 2 2 2 2 4 2 2 13 7" xfId="14437" xr:uid="{00000000-0005-0000-0000-000065380000}"/>
    <cellStyle name="Normal 2 2 2 2 4 2 2 13 8" xfId="14438" xr:uid="{00000000-0005-0000-0000-000066380000}"/>
    <cellStyle name="Normal 2 2 2 2 4 2 2 13 9" xfId="14439" xr:uid="{00000000-0005-0000-0000-000067380000}"/>
    <cellStyle name="Normal 2 2 2 2 4 2 2 14" xfId="14440" xr:uid="{00000000-0005-0000-0000-000068380000}"/>
    <cellStyle name="Normal 2 2 2 2 4 2 2 14 10" xfId="14441" xr:uid="{00000000-0005-0000-0000-000069380000}"/>
    <cellStyle name="Normal 2 2 2 2 4 2 2 14 11" xfId="14442" xr:uid="{00000000-0005-0000-0000-00006A380000}"/>
    <cellStyle name="Normal 2 2 2 2 4 2 2 14 12" xfId="14443" xr:uid="{00000000-0005-0000-0000-00006B380000}"/>
    <cellStyle name="Normal 2 2 2 2 4 2 2 14 13" xfId="14444" xr:uid="{00000000-0005-0000-0000-00006C380000}"/>
    <cellStyle name="Normal 2 2 2 2 4 2 2 14 14" xfId="14445" xr:uid="{00000000-0005-0000-0000-00006D380000}"/>
    <cellStyle name="Normal 2 2 2 2 4 2 2 14 2" xfId="14446" xr:uid="{00000000-0005-0000-0000-00006E380000}"/>
    <cellStyle name="Normal 2 2 2 2 4 2 2 14 2 10" xfId="14447" xr:uid="{00000000-0005-0000-0000-00006F380000}"/>
    <cellStyle name="Normal 2 2 2 2 4 2 2 14 2 2" xfId="14448" xr:uid="{00000000-0005-0000-0000-000070380000}"/>
    <cellStyle name="Normal 2 2 2 2 4 2 2 14 2 3" xfId="14449" xr:uid="{00000000-0005-0000-0000-000071380000}"/>
    <cellStyle name="Normal 2 2 2 2 4 2 2 14 2 4" xfId="14450" xr:uid="{00000000-0005-0000-0000-000072380000}"/>
    <cellStyle name="Normal 2 2 2 2 4 2 2 14 2 5" xfId="14451" xr:uid="{00000000-0005-0000-0000-000073380000}"/>
    <cellStyle name="Normal 2 2 2 2 4 2 2 14 2 6" xfId="14452" xr:uid="{00000000-0005-0000-0000-000074380000}"/>
    <cellStyle name="Normal 2 2 2 2 4 2 2 14 2 7" xfId="14453" xr:uid="{00000000-0005-0000-0000-000075380000}"/>
    <cellStyle name="Normal 2 2 2 2 4 2 2 14 2 8" xfId="14454" xr:uid="{00000000-0005-0000-0000-000076380000}"/>
    <cellStyle name="Normal 2 2 2 2 4 2 2 14 2 9" xfId="14455" xr:uid="{00000000-0005-0000-0000-000077380000}"/>
    <cellStyle name="Normal 2 2 2 2 4 2 2 14 3" xfId="14456" xr:uid="{00000000-0005-0000-0000-000078380000}"/>
    <cellStyle name="Normal 2 2 2 2 4 2 2 14 3 10" xfId="14457" xr:uid="{00000000-0005-0000-0000-000079380000}"/>
    <cellStyle name="Normal 2 2 2 2 4 2 2 14 3 2" xfId="14458" xr:uid="{00000000-0005-0000-0000-00007A380000}"/>
    <cellStyle name="Normal 2 2 2 2 4 2 2 14 3 3" xfId="14459" xr:uid="{00000000-0005-0000-0000-00007B380000}"/>
    <cellStyle name="Normal 2 2 2 2 4 2 2 14 3 4" xfId="14460" xr:uid="{00000000-0005-0000-0000-00007C380000}"/>
    <cellStyle name="Normal 2 2 2 2 4 2 2 14 3 5" xfId="14461" xr:uid="{00000000-0005-0000-0000-00007D380000}"/>
    <cellStyle name="Normal 2 2 2 2 4 2 2 14 3 6" xfId="14462" xr:uid="{00000000-0005-0000-0000-00007E380000}"/>
    <cellStyle name="Normal 2 2 2 2 4 2 2 14 3 7" xfId="14463" xr:uid="{00000000-0005-0000-0000-00007F380000}"/>
    <cellStyle name="Normal 2 2 2 2 4 2 2 14 3 8" xfId="14464" xr:uid="{00000000-0005-0000-0000-000080380000}"/>
    <cellStyle name="Normal 2 2 2 2 4 2 2 14 3 9" xfId="14465" xr:uid="{00000000-0005-0000-0000-000081380000}"/>
    <cellStyle name="Normal 2 2 2 2 4 2 2 14 4" xfId="14466" xr:uid="{00000000-0005-0000-0000-000082380000}"/>
    <cellStyle name="Normal 2 2 2 2 4 2 2 14 4 10" xfId="14467" xr:uid="{00000000-0005-0000-0000-000083380000}"/>
    <cellStyle name="Normal 2 2 2 2 4 2 2 14 4 2" xfId="14468" xr:uid="{00000000-0005-0000-0000-000084380000}"/>
    <cellStyle name="Normal 2 2 2 2 4 2 2 14 4 3" xfId="14469" xr:uid="{00000000-0005-0000-0000-000085380000}"/>
    <cellStyle name="Normal 2 2 2 2 4 2 2 14 4 4" xfId="14470" xr:uid="{00000000-0005-0000-0000-000086380000}"/>
    <cellStyle name="Normal 2 2 2 2 4 2 2 14 4 5" xfId="14471" xr:uid="{00000000-0005-0000-0000-000087380000}"/>
    <cellStyle name="Normal 2 2 2 2 4 2 2 14 4 6" xfId="14472" xr:uid="{00000000-0005-0000-0000-000088380000}"/>
    <cellStyle name="Normal 2 2 2 2 4 2 2 14 4 7" xfId="14473" xr:uid="{00000000-0005-0000-0000-000089380000}"/>
    <cellStyle name="Normal 2 2 2 2 4 2 2 14 4 8" xfId="14474" xr:uid="{00000000-0005-0000-0000-00008A380000}"/>
    <cellStyle name="Normal 2 2 2 2 4 2 2 14 4 9" xfId="14475" xr:uid="{00000000-0005-0000-0000-00008B380000}"/>
    <cellStyle name="Normal 2 2 2 2 4 2 2 14 5" xfId="14476" xr:uid="{00000000-0005-0000-0000-00008C380000}"/>
    <cellStyle name="Normal 2 2 2 2 4 2 2 14 5 10" xfId="14477" xr:uid="{00000000-0005-0000-0000-00008D380000}"/>
    <cellStyle name="Normal 2 2 2 2 4 2 2 14 5 2" xfId="14478" xr:uid="{00000000-0005-0000-0000-00008E380000}"/>
    <cellStyle name="Normal 2 2 2 2 4 2 2 14 5 3" xfId="14479" xr:uid="{00000000-0005-0000-0000-00008F380000}"/>
    <cellStyle name="Normal 2 2 2 2 4 2 2 14 5 4" xfId="14480" xr:uid="{00000000-0005-0000-0000-000090380000}"/>
    <cellStyle name="Normal 2 2 2 2 4 2 2 14 5 5" xfId="14481" xr:uid="{00000000-0005-0000-0000-000091380000}"/>
    <cellStyle name="Normal 2 2 2 2 4 2 2 14 5 6" xfId="14482" xr:uid="{00000000-0005-0000-0000-000092380000}"/>
    <cellStyle name="Normal 2 2 2 2 4 2 2 14 5 7" xfId="14483" xr:uid="{00000000-0005-0000-0000-000093380000}"/>
    <cellStyle name="Normal 2 2 2 2 4 2 2 14 5 8" xfId="14484" xr:uid="{00000000-0005-0000-0000-000094380000}"/>
    <cellStyle name="Normal 2 2 2 2 4 2 2 14 5 9" xfId="14485" xr:uid="{00000000-0005-0000-0000-000095380000}"/>
    <cellStyle name="Normal 2 2 2 2 4 2 2 14 6" xfId="14486" xr:uid="{00000000-0005-0000-0000-000096380000}"/>
    <cellStyle name="Normal 2 2 2 2 4 2 2 14 7" xfId="14487" xr:uid="{00000000-0005-0000-0000-000097380000}"/>
    <cellStyle name="Normal 2 2 2 2 4 2 2 14 8" xfId="14488" xr:uid="{00000000-0005-0000-0000-000098380000}"/>
    <cellStyle name="Normal 2 2 2 2 4 2 2 14 9" xfId="14489" xr:uid="{00000000-0005-0000-0000-000099380000}"/>
    <cellStyle name="Normal 2 2 2 2 4 2 2 15" xfId="14490" xr:uid="{00000000-0005-0000-0000-00009A380000}"/>
    <cellStyle name="Normal 2 2 2 2 4 2 2 15 10" xfId="14491" xr:uid="{00000000-0005-0000-0000-00009B380000}"/>
    <cellStyle name="Normal 2 2 2 2 4 2 2 15 11" xfId="14492" xr:uid="{00000000-0005-0000-0000-00009C380000}"/>
    <cellStyle name="Normal 2 2 2 2 4 2 2 15 12" xfId="14493" xr:uid="{00000000-0005-0000-0000-00009D380000}"/>
    <cellStyle name="Normal 2 2 2 2 4 2 2 15 13" xfId="14494" xr:uid="{00000000-0005-0000-0000-00009E380000}"/>
    <cellStyle name="Normal 2 2 2 2 4 2 2 15 14" xfId="14495" xr:uid="{00000000-0005-0000-0000-00009F380000}"/>
    <cellStyle name="Normal 2 2 2 2 4 2 2 15 2" xfId="14496" xr:uid="{00000000-0005-0000-0000-0000A0380000}"/>
    <cellStyle name="Normal 2 2 2 2 4 2 2 15 2 10" xfId="14497" xr:uid="{00000000-0005-0000-0000-0000A1380000}"/>
    <cellStyle name="Normal 2 2 2 2 4 2 2 15 2 2" xfId="14498" xr:uid="{00000000-0005-0000-0000-0000A2380000}"/>
    <cellStyle name="Normal 2 2 2 2 4 2 2 15 2 3" xfId="14499" xr:uid="{00000000-0005-0000-0000-0000A3380000}"/>
    <cellStyle name="Normal 2 2 2 2 4 2 2 15 2 4" xfId="14500" xr:uid="{00000000-0005-0000-0000-0000A4380000}"/>
    <cellStyle name="Normal 2 2 2 2 4 2 2 15 2 5" xfId="14501" xr:uid="{00000000-0005-0000-0000-0000A5380000}"/>
    <cellStyle name="Normal 2 2 2 2 4 2 2 15 2 6" xfId="14502" xr:uid="{00000000-0005-0000-0000-0000A6380000}"/>
    <cellStyle name="Normal 2 2 2 2 4 2 2 15 2 7" xfId="14503" xr:uid="{00000000-0005-0000-0000-0000A7380000}"/>
    <cellStyle name="Normal 2 2 2 2 4 2 2 15 2 8" xfId="14504" xr:uid="{00000000-0005-0000-0000-0000A8380000}"/>
    <cellStyle name="Normal 2 2 2 2 4 2 2 15 2 9" xfId="14505" xr:uid="{00000000-0005-0000-0000-0000A9380000}"/>
    <cellStyle name="Normal 2 2 2 2 4 2 2 15 3" xfId="14506" xr:uid="{00000000-0005-0000-0000-0000AA380000}"/>
    <cellStyle name="Normal 2 2 2 2 4 2 2 15 3 10" xfId="14507" xr:uid="{00000000-0005-0000-0000-0000AB380000}"/>
    <cellStyle name="Normal 2 2 2 2 4 2 2 15 3 2" xfId="14508" xr:uid="{00000000-0005-0000-0000-0000AC380000}"/>
    <cellStyle name="Normal 2 2 2 2 4 2 2 15 3 3" xfId="14509" xr:uid="{00000000-0005-0000-0000-0000AD380000}"/>
    <cellStyle name="Normal 2 2 2 2 4 2 2 15 3 4" xfId="14510" xr:uid="{00000000-0005-0000-0000-0000AE380000}"/>
    <cellStyle name="Normal 2 2 2 2 4 2 2 15 3 5" xfId="14511" xr:uid="{00000000-0005-0000-0000-0000AF380000}"/>
    <cellStyle name="Normal 2 2 2 2 4 2 2 15 3 6" xfId="14512" xr:uid="{00000000-0005-0000-0000-0000B0380000}"/>
    <cellStyle name="Normal 2 2 2 2 4 2 2 15 3 7" xfId="14513" xr:uid="{00000000-0005-0000-0000-0000B1380000}"/>
    <cellStyle name="Normal 2 2 2 2 4 2 2 15 3 8" xfId="14514" xr:uid="{00000000-0005-0000-0000-0000B2380000}"/>
    <cellStyle name="Normal 2 2 2 2 4 2 2 15 3 9" xfId="14515" xr:uid="{00000000-0005-0000-0000-0000B3380000}"/>
    <cellStyle name="Normal 2 2 2 2 4 2 2 15 4" xfId="14516" xr:uid="{00000000-0005-0000-0000-0000B4380000}"/>
    <cellStyle name="Normal 2 2 2 2 4 2 2 15 4 10" xfId="14517" xr:uid="{00000000-0005-0000-0000-0000B5380000}"/>
    <cellStyle name="Normal 2 2 2 2 4 2 2 15 4 2" xfId="14518" xr:uid="{00000000-0005-0000-0000-0000B6380000}"/>
    <cellStyle name="Normal 2 2 2 2 4 2 2 15 4 3" xfId="14519" xr:uid="{00000000-0005-0000-0000-0000B7380000}"/>
    <cellStyle name="Normal 2 2 2 2 4 2 2 15 4 4" xfId="14520" xr:uid="{00000000-0005-0000-0000-0000B8380000}"/>
    <cellStyle name="Normal 2 2 2 2 4 2 2 15 4 5" xfId="14521" xr:uid="{00000000-0005-0000-0000-0000B9380000}"/>
    <cellStyle name="Normal 2 2 2 2 4 2 2 15 4 6" xfId="14522" xr:uid="{00000000-0005-0000-0000-0000BA380000}"/>
    <cellStyle name="Normal 2 2 2 2 4 2 2 15 4 7" xfId="14523" xr:uid="{00000000-0005-0000-0000-0000BB380000}"/>
    <cellStyle name="Normal 2 2 2 2 4 2 2 15 4 8" xfId="14524" xr:uid="{00000000-0005-0000-0000-0000BC380000}"/>
    <cellStyle name="Normal 2 2 2 2 4 2 2 15 4 9" xfId="14525" xr:uid="{00000000-0005-0000-0000-0000BD380000}"/>
    <cellStyle name="Normal 2 2 2 2 4 2 2 15 5" xfId="14526" xr:uid="{00000000-0005-0000-0000-0000BE380000}"/>
    <cellStyle name="Normal 2 2 2 2 4 2 2 15 5 10" xfId="14527" xr:uid="{00000000-0005-0000-0000-0000BF380000}"/>
    <cellStyle name="Normal 2 2 2 2 4 2 2 15 5 2" xfId="14528" xr:uid="{00000000-0005-0000-0000-0000C0380000}"/>
    <cellStyle name="Normal 2 2 2 2 4 2 2 15 5 3" xfId="14529" xr:uid="{00000000-0005-0000-0000-0000C1380000}"/>
    <cellStyle name="Normal 2 2 2 2 4 2 2 15 5 4" xfId="14530" xr:uid="{00000000-0005-0000-0000-0000C2380000}"/>
    <cellStyle name="Normal 2 2 2 2 4 2 2 15 5 5" xfId="14531" xr:uid="{00000000-0005-0000-0000-0000C3380000}"/>
    <cellStyle name="Normal 2 2 2 2 4 2 2 15 5 6" xfId="14532" xr:uid="{00000000-0005-0000-0000-0000C4380000}"/>
    <cellStyle name="Normal 2 2 2 2 4 2 2 15 5 7" xfId="14533" xr:uid="{00000000-0005-0000-0000-0000C5380000}"/>
    <cellStyle name="Normal 2 2 2 2 4 2 2 15 5 8" xfId="14534" xr:uid="{00000000-0005-0000-0000-0000C6380000}"/>
    <cellStyle name="Normal 2 2 2 2 4 2 2 15 5 9" xfId="14535" xr:uid="{00000000-0005-0000-0000-0000C7380000}"/>
    <cellStyle name="Normal 2 2 2 2 4 2 2 15 6" xfId="14536" xr:uid="{00000000-0005-0000-0000-0000C8380000}"/>
    <cellStyle name="Normal 2 2 2 2 4 2 2 15 7" xfId="14537" xr:uid="{00000000-0005-0000-0000-0000C9380000}"/>
    <cellStyle name="Normal 2 2 2 2 4 2 2 15 8" xfId="14538" xr:uid="{00000000-0005-0000-0000-0000CA380000}"/>
    <cellStyle name="Normal 2 2 2 2 4 2 2 15 9" xfId="14539" xr:uid="{00000000-0005-0000-0000-0000CB380000}"/>
    <cellStyle name="Normal 2 2 2 2 4 2 2 16" xfId="14540" xr:uid="{00000000-0005-0000-0000-0000CC380000}"/>
    <cellStyle name="Normal 2 2 2 2 4 2 2 16 10" xfId="14541" xr:uid="{00000000-0005-0000-0000-0000CD380000}"/>
    <cellStyle name="Normal 2 2 2 2 4 2 2 16 11" xfId="14542" xr:uid="{00000000-0005-0000-0000-0000CE380000}"/>
    <cellStyle name="Normal 2 2 2 2 4 2 2 16 12" xfId="14543" xr:uid="{00000000-0005-0000-0000-0000CF380000}"/>
    <cellStyle name="Normal 2 2 2 2 4 2 2 16 13" xfId="14544" xr:uid="{00000000-0005-0000-0000-0000D0380000}"/>
    <cellStyle name="Normal 2 2 2 2 4 2 2 16 14" xfId="14545" xr:uid="{00000000-0005-0000-0000-0000D1380000}"/>
    <cellStyle name="Normal 2 2 2 2 4 2 2 16 2" xfId="14546" xr:uid="{00000000-0005-0000-0000-0000D2380000}"/>
    <cellStyle name="Normal 2 2 2 2 4 2 2 16 2 10" xfId="14547" xr:uid="{00000000-0005-0000-0000-0000D3380000}"/>
    <cellStyle name="Normal 2 2 2 2 4 2 2 16 2 2" xfId="14548" xr:uid="{00000000-0005-0000-0000-0000D4380000}"/>
    <cellStyle name="Normal 2 2 2 2 4 2 2 16 2 3" xfId="14549" xr:uid="{00000000-0005-0000-0000-0000D5380000}"/>
    <cellStyle name="Normal 2 2 2 2 4 2 2 16 2 4" xfId="14550" xr:uid="{00000000-0005-0000-0000-0000D6380000}"/>
    <cellStyle name="Normal 2 2 2 2 4 2 2 16 2 5" xfId="14551" xr:uid="{00000000-0005-0000-0000-0000D7380000}"/>
    <cellStyle name="Normal 2 2 2 2 4 2 2 16 2 6" xfId="14552" xr:uid="{00000000-0005-0000-0000-0000D8380000}"/>
    <cellStyle name="Normal 2 2 2 2 4 2 2 16 2 7" xfId="14553" xr:uid="{00000000-0005-0000-0000-0000D9380000}"/>
    <cellStyle name="Normal 2 2 2 2 4 2 2 16 2 8" xfId="14554" xr:uid="{00000000-0005-0000-0000-0000DA380000}"/>
    <cellStyle name="Normal 2 2 2 2 4 2 2 16 2 9" xfId="14555" xr:uid="{00000000-0005-0000-0000-0000DB380000}"/>
    <cellStyle name="Normal 2 2 2 2 4 2 2 16 3" xfId="14556" xr:uid="{00000000-0005-0000-0000-0000DC380000}"/>
    <cellStyle name="Normal 2 2 2 2 4 2 2 16 3 10" xfId="14557" xr:uid="{00000000-0005-0000-0000-0000DD380000}"/>
    <cellStyle name="Normal 2 2 2 2 4 2 2 16 3 2" xfId="14558" xr:uid="{00000000-0005-0000-0000-0000DE380000}"/>
    <cellStyle name="Normal 2 2 2 2 4 2 2 16 3 3" xfId="14559" xr:uid="{00000000-0005-0000-0000-0000DF380000}"/>
    <cellStyle name="Normal 2 2 2 2 4 2 2 16 3 4" xfId="14560" xr:uid="{00000000-0005-0000-0000-0000E0380000}"/>
    <cellStyle name="Normal 2 2 2 2 4 2 2 16 3 5" xfId="14561" xr:uid="{00000000-0005-0000-0000-0000E1380000}"/>
    <cellStyle name="Normal 2 2 2 2 4 2 2 16 3 6" xfId="14562" xr:uid="{00000000-0005-0000-0000-0000E2380000}"/>
    <cellStyle name="Normal 2 2 2 2 4 2 2 16 3 7" xfId="14563" xr:uid="{00000000-0005-0000-0000-0000E3380000}"/>
    <cellStyle name="Normal 2 2 2 2 4 2 2 16 3 8" xfId="14564" xr:uid="{00000000-0005-0000-0000-0000E4380000}"/>
    <cellStyle name="Normal 2 2 2 2 4 2 2 16 3 9" xfId="14565" xr:uid="{00000000-0005-0000-0000-0000E5380000}"/>
    <cellStyle name="Normal 2 2 2 2 4 2 2 16 4" xfId="14566" xr:uid="{00000000-0005-0000-0000-0000E6380000}"/>
    <cellStyle name="Normal 2 2 2 2 4 2 2 16 4 10" xfId="14567" xr:uid="{00000000-0005-0000-0000-0000E7380000}"/>
    <cellStyle name="Normal 2 2 2 2 4 2 2 16 4 2" xfId="14568" xr:uid="{00000000-0005-0000-0000-0000E8380000}"/>
    <cellStyle name="Normal 2 2 2 2 4 2 2 16 4 3" xfId="14569" xr:uid="{00000000-0005-0000-0000-0000E9380000}"/>
    <cellStyle name="Normal 2 2 2 2 4 2 2 16 4 4" xfId="14570" xr:uid="{00000000-0005-0000-0000-0000EA380000}"/>
    <cellStyle name="Normal 2 2 2 2 4 2 2 16 4 5" xfId="14571" xr:uid="{00000000-0005-0000-0000-0000EB380000}"/>
    <cellStyle name="Normal 2 2 2 2 4 2 2 16 4 6" xfId="14572" xr:uid="{00000000-0005-0000-0000-0000EC380000}"/>
    <cellStyle name="Normal 2 2 2 2 4 2 2 16 4 7" xfId="14573" xr:uid="{00000000-0005-0000-0000-0000ED380000}"/>
    <cellStyle name="Normal 2 2 2 2 4 2 2 16 4 8" xfId="14574" xr:uid="{00000000-0005-0000-0000-0000EE380000}"/>
    <cellStyle name="Normal 2 2 2 2 4 2 2 16 4 9" xfId="14575" xr:uid="{00000000-0005-0000-0000-0000EF380000}"/>
    <cellStyle name="Normal 2 2 2 2 4 2 2 16 5" xfId="14576" xr:uid="{00000000-0005-0000-0000-0000F0380000}"/>
    <cellStyle name="Normal 2 2 2 2 4 2 2 16 5 10" xfId="14577" xr:uid="{00000000-0005-0000-0000-0000F1380000}"/>
    <cellStyle name="Normal 2 2 2 2 4 2 2 16 5 2" xfId="14578" xr:uid="{00000000-0005-0000-0000-0000F2380000}"/>
    <cellStyle name="Normal 2 2 2 2 4 2 2 16 5 3" xfId="14579" xr:uid="{00000000-0005-0000-0000-0000F3380000}"/>
    <cellStyle name="Normal 2 2 2 2 4 2 2 16 5 4" xfId="14580" xr:uid="{00000000-0005-0000-0000-0000F4380000}"/>
    <cellStyle name="Normal 2 2 2 2 4 2 2 16 5 5" xfId="14581" xr:uid="{00000000-0005-0000-0000-0000F5380000}"/>
    <cellStyle name="Normal 2 2 2 2 4 2 2 16 5 6" xfId="14582" xr:uid="{00000000-0005-0000-0000-0000F6380000}"/>
    <cellStyle name="Normal 2 2 2 2 4 2 2 16 5 7" xfId="14583" xr:uid="{00000000-0005-0000-0000-0000F7380000}"/>
    <cellStyle name="Normal 2 2 2 2 4 2 2 16 5 8" xfId="14584" xr:uid="{00000000-0005-0000-0000-0000F8380000}"/>
    <cellStyle name="Normal 2 2 2 2 4 2 2 16 5 9" xfId="14585" xr:uid="{00000000-0005-0000-0000-0000F9380000}"/>
    <cellStyle name="Normal 2 2 2 2 4 2 2 16 6" xfId="14586" xr:uid="{00000000-0005-0000-0000-0000FA380000}"/>
    <cellStyle name="Normal 2 2 2 2 4 2 2 16 7" xfId="14587" xr:uid="{00000000-0005-0000-0000-0000FB380000}"/>
    <cellStyle name="Normal 2 2 2 2 4 2 2 16 8" xfId="14588" xr:uid="{00000000-0005-0000-0000-0000FC380000}"/>
    <cellStyle name="Normal 2 2 2 2 4 2 2 16 9" xfId="14589" xr:uid="{00000000-0005-0000-0000-0000FD380000}"/>
    <cellStyle name="Normal 2 2 2 2 4 2 2 17" xfId="14590" xr:uid="{00000000-0005-0000-0000-0000FE380000}"/>
    <cellStyle name="Normal 2 2 2 2 4 2 2 17 10" xfId="14591" xr:uid="{00000000-0005-0000-0000-0000FF380000}"/>
    <cellStyle name="Normal 2 2 2 2 4 2 2 17 11" xfId="14592" xr:uid="{00000000-0005-0000-0000-000000390000}"/>
    <cellStyle name="Normal 2 2 2 2 4 2 2 17 12" xfId="14593" xr:uid="{00000000-0005-0000-0000-000001390000}"/>
    <cellStyle name="Normal 2 2 2 2 4 2 2 17 13" xfId="14594" xr:uid="{00000000-0005-0000-0000-000002390000}"/>
    <cellStyle name="Normal 2 2 2 2 4 2 2 17 14" xfId="14595" xr:uid="{00000000-0005-0000-0000-000003390000}"/>
    <cellStyle name="Normal 2 2 2 2 4 2 2 17 2" xfId="14596" xr:uid="{00000000-0005-0000-0000-000004390000}"/>
    <cellStyle name="Normal 2 2 2 2 4 2 2 17 2 10" xfId="14597" xr:uid="{00000000-0005-0000-0000-000005390000}"/>
    <cellStyle name="Normal 2 2 2 2 4 2 2 17 2 2" xfId="14598" xr:uid="{00000000-0005-0000-0000-000006390000}"/>
    <cellStyle name="Normal 2 2 2 2 4 2 2 17 2 3" xfId="14599" xr:uid="{00000000-0005-0000-0000-000007390000}"/>
    <cellStyle name="Normal 2 2 2 2 4 2 2 17 2 4" xfId="14600" xr:uid="{00000000-0005-0000-0000-000008390000}"/>
    <cellStyle name="Normal 2 2 2 2 4 2 2 17 2 5" xfId="14601" xr:uid="{00000000-0005-0000-0000-000009390000}"/>
    <cellStyle name="Normal 2 2 2 2 4 2 2 17 2 6" xfId="14602" xr:uid="{00000000-0005-0000-0000-00000A390000}"/>
    <cellStyle name="Normal 2 2 2 2 4 2 2 17 2 7" xfId="14603" xr:uid="{00000000-0005-0000-0000-00000B390000}"/>
    <cellStyle name="Normal 2 2 2 2 4 2 2 17 2 8" xfId="14604" xr:uid="{00000000-0005-0000-0000-00000C390000}"/>
    <cellStyle name="Normal 2 2 2 2 4 2 2 17 2 9" xfId="14605" xr:uid="{00000000-0005-0000-0000-00000D390000}"/>
    <cellStyle name="Normal 2 2 2 2 4 2 2 17 3" xfId="14606" xr:uid="{00000000-0005-0000-0000-00000E390000}"/>
    <cellStyle name="Normal 2 2 2 2 4 2 2 17 3 10" xfId="14607" xr:uid="{00000000-0005-0000-0000-00000F390000}"/>
    <cellStyle name="Normal 2 2 2 2 4 2 2 17 3 2" xfId="14608" xr:uid="{00000000-0005-0000-0000-000010390000}"/>
    <cellStyle name="Normal 2 2 2 2 4 2 2 17 3 3" xfId="14609" xr:uid="{00000000-0005-0000-0000-000011390000}"/>
    <cellStyle name="Normal 2 2 2 2 4 2 2 17 3 4" xfId="14610" xr:uid="{00000000-0005-0000-0000-000012390000}"/>
    <cellStyle name="Normal 2 2 2 2 4 2 2 17 3 5" xfId="14611" xr:uid="{00000000-0005-0000-0000-000013390000}"/>
    <cellStyle name="Normal 2 2 2 2 4 2 2 17 3 6" xfId="14612" xr:uid="{00000000-0005-0000-0000-000014390000}"/>
    <cellStyle name="Normal 2 2 2 2 4 2 2 17 3 7" xfId="14613" xr:uid="{00000000-0005-0000-0000-000015390000}"/>
    <cellStyle name="Normal 2 2 2 2 4 2 2 17 3 8" xfId="14614" xr:uid="{00000000-0005-0000-0000-000016390000}"/>
    <cellStyle name="Normal 2 2 2 2 4 2 2 17 3 9" xfId="14615" xr:uid="{00000000-0005-0000-0000-000017390000}"/>
    <cellStyle name="Normal 2 2 2 2 4 2 2 17 4" xfId="14616" xr:uid="{00000000-0005-0000-0000-000018390000}"/>
    <cellStyle name="Normal 2 2 2 2 4 2 2 17 4 10" xfId="14617" xr:uid="{00000000-0005-0000-0000-000019390000}"/>
    <cellStyle name="Normal 2 2 2 2 4 2 2 17 4 2" xfId="14618" xr:uid="{00000000-0005-0000-0000-00001A390000}"/>
    <cellStyle name="Normal 2 2 2 2 4 2 2 17 4 3" xfId="14619" xr:uid="{00000000-0005-0000-0000-00001B390000}"/>
    <cellStyle name="Normal 2 2 2 2 4 2 2 17 4 4" xfId="14620" xr:uid="{00000000-0005-0000-0000-00001C390000}"/>
    <cellStyle name="Normal 2 2 2 2 4 2 2 17 4 5" xfId="14621" xr:uid="{00000000-0005-0000-0000-00001D390000}"/>
    <cellStyle name="Normal 2 2 2 2 4 2 2 17 4 6" xfId="14622" xr:uid="{00000000-0005-0000-0000-00001E390000}"/>
    <cellStyle name="Normal 2 2 2 2 4 2 2 17 4 7" xfId="14623" xr:uid="{00000000-0005-0000-0000-00001F390000}"/>
    <cellStyle name="Normal 2 2 2 2 4 2 2 17 4 8" xfId="14624" xr:uid="{00000000-0005-0000-0000-000020390000}"/>
    <cellStyle name="Normal 2 2 2 2 4 2 2 17 4 9" xfId="14625" xr:uid="{00000000-0005-0000-0000-000021390000}"/>
    <cellStyle name="Normal 2 2 2 2 4 2 2 17 5" xfId="14626" xr:uid="{00000000-0005-0000-0000-000022390000}"/>
    <cellStyle name="Normal 2 2 2 2 4 2 2 17 5 10" xfId="14627" xr:uid="{00000000-0005-0000-0000-000023390000}"/>
    <cellStyle name="Normal 2 2 2 2 4 2 2 17 5 2" xfId="14628" xr:uid="{00000000-0005-0000-0000-000024390000}"/>
    <cellStyle name="Normal 2 2 2 2 4 2 2 17 5 3" xfId="14629" xr:uid="{00000000-0005-0000-0000-000025390000}"/>
    <cellStyle name="Normal 2 2 2 2 4 2 2 17 5 4" xfId="14630" xr:uid="{00000000-0005-0000-0000-000026390000}"/>
    <cellStyle name="Normal 2 2 2 2 4 2 2 17 5 5" xfId="14631" xr:uid="{00000000-0005-0000-0000-000027390000}"/>
    <cellStyle name="Normal 2 2 2 2 4 2 2 17 5 6" xfId="14632" xr:uid="{00000000-0005-0000-0000-000028390000}"/>
    <cellStyle name="Normal 2 2 2 2 4 2 2 17 5 7" xfId="14633" xr:uid="{00000000-0005-0000-0000-000029390000}"/>
    <cellStyle name="Normal 2 2 2 2 4 2 2 17 5 8" xfId="14634" xr:uid="{00000000-0005-0000-0000-00002A390000}"/>
    <cellStyle name="Normal 2 2 2 2 4 2 2 17 5 9" xfId="14635" xr:uid="{00000000-0005-0000-0000-00002B390000}"/>
    <cellStyle name="Normal 2 2 2 2 4 2 2 17 6" xfId="14636" xr:uid="{00000000-0005-0000-0000-00002C390000}"/>
    <cellStyle name="Normal 2 2 2 2 4 2 2 17 7" xfId="14637" xr:uid="{00000000-0005-0000-0000-00002D390000}"/>
    <cellStyle name="Normal 2 2 2 2 4 2 2 17 8" xfId="14638" xr:uid="{00000000-0005-0000-0000-00002E390000}"/>
    <cellStyle name="Normal 2 2 2 2 4 2 2 17 9" xfId="14639" xr:uid="{00000000-0005-0000-0000-00002F390000}"/>
    <cellStyle name="Normal 2 2 2 2 4 2 2 18" xfId="14640" xr:uid="{00000000-0005-0000-0000-000030390000}"/>
    <cellStyle name="Normal 2 2 2 2 4 2 2 18 10" xfId="14641" xr:uid="{00000000-0005-0000-0000-000031390000}"/>
    <cellStyle name="Normal 2 2 2 2 4 2 2 18 11" xfId="14642" xr:uid="{00000000-0005-0000-0000-000032390000}"/>
    <cellStyle name="Normal 2 2 2 2 4 2 2 18 12" xfId="14643" xr:uid="{00000000-0005-0000-0000-000033390000}"/>
    <cellStyle name="Normal 2 2 2 2 4 2 2 18 13" xfId="14644" xr:uid="{00000000-0005-0000-0000-000034390000}"/>
    <cellStyle name="Normal 2 2 2 2 4 2 2 18 14" xfId="14645" xr:uid="{00000000-0005-0000-0000-000035390000}"/>
    <cellStyle name="Normal 2 2 2 2 4 2 2 18 2" xfId="14646" xr:uid="{00000000-0005-0000-0000-000036390000}"/>
    <cellStyle name="Normal 2 2 2 2 4 2 2 18 2 10" xfId="14647" xr:uid="{00000000-0005-0000-0000-000037390000}"/>
    <cellStyle name="Normal 2 2 2 2 4 2 2 18 2 2" xfId="14648" xr:uid="{00000000-0005-0000-0000-000038390000}"/>
    <cellStyle name="Normal 2 2 2 2 4 2 2 18 2 3" xfId="14649" xr:uid="{00000000-0005-0000-0000-000039390000}"/>
    <cellStyle name="Normal 2 2 2 2 4 2 2 18 2 4" xfId="14650" xr:uid="{00000000-0005-0000-0000-00003A390000}"/>
    <cellStyle name="Normal 2 2 2 2 4 2 2 18 2 5" xfId="14651" xr:uid="{00000000-0005-0000-0000-00003B390000}"/>
    <cellStyle name="Normal 2 2 2 2 4 2 2 18 2 6" xfId="14652" xr:uid="{00000000-0005-0000-0000-00003C390000}"/>
    <cellStyle name="Normal 2 2 2 2 4 2 2 18 2 7" xfId="14653" xr:uid="{00000000-0005-0000-0000-00003D390000}"/>
    <cellStyle name="Normal 2 2 2 2 4 2 2 18 2 8" xfId="14654" xr:uid="{00000000-0005-0000-0000-00003E390000}"/>
    <cellStyle name="Normal 2 2 2 2 4 2 2 18 2 9" xfId="14655" xr:uid="{00000000-0005-0000-0000-00003F390000}"/>
    <cellStyle name="Normal 2 2 2 2 4 2 2 18 3" xfId="14656" xr:uid="{00000000-0005-0000-0000-000040390000}"/>
    <cellStyle name="Normal 2 2 2 2 4 2 2 18 3 10" xfId="14657" xr:uid="{00000000-0005-0000-0000-000041390000}"/>
    <cellStyle name="Normal 2 2 2 2 4 2 2 18 3 2" xfId="14658" xr:uid="{00000000-0005-0000-0000-000042390000}"/>
    <cellStyle name="Normal 2 2 2 2 4 2 2 18 3 3" xfId="14659" xr:uid="{00000000-0005-0000-0000-000043390000}"/>
    <cellStyle name="Normal 2 2 2 2 4 2 2 18 3 4" xfId="14660" xr:uid="{00000000-0005-0000-0000-000044390000}"/>
    <cellStyle name="Normal 2 2 2 2 4 2 2 18 3 5" xfId="14661" xr:uid="{00000000-0005-0000-0000-000045390000}"/>
    <cellStyle name="Normal 2 2 2 2 4 2 2 18 3 6" xfId="14662" xr:uid="{00000000-0005-0000-0000-000046390000}"/>
    <cellStyle name="Normal 2 2 2 2 4 2 2 18 3 7" xfId="14663" xr:uid="{00000000-0005-0000-0000-000047390000}"/>
    <cellStyle name="Normal 2 2 2 2 4 2 2 18 3 8" xfId="14664" xr:uid="{00000000-0005-0000-0000-000048390000}"/>
    <cellStyle name="Normal 2 2 2 2 4 2 2 18 3 9" xfId="14665" xr:uid="{00000000-0005-0000-0000-000049390000}"/>
    <cellStyle name="Normal 2 2 2 2 4 2 2 18 4" xfId="14666" xr:uid="{00000000-0005-0000-0000-00004A390000}"/>
    <cellStyle name="Normal 2 2 2 2 4 2 2 18 4 10" xfId="14667" xr:uid="{00000000-0005-0000-0000-00004B390000}"/>
    <cellStyle name="Normal 2 2 2 2 4 2 2 18 4 2" xfId="14668" xr:uid="{00000000-0005-0000-0000-00004C390000}"/>
    <cellStyle name="Normal 2 2 2 2 4 2 2 18 4 3" xfId="14669" xr:uid="{00000000-0005-0000-0000-00004D390000}"/>
    <cellStyle name="Normal 2 2 2 2 4 2 2 18 4 4" xfId="14670" xr:uid="{00000000-0005-0000-0000-00004E390000}"/>
    <cellStyle name="Normal 2 2 2 2 4 2 2 18 4 5" xfId="14671" xr:uid="{00000000-0005-0000-0000-00004F390000}"/>
    <cellStyle name="Normal 2 2 2 2 4 2 2 18 4 6" xfId="14672" xr:uid="{00000000-0005-0000-0000-000050390000}"/>
    <cellStyle name="Normal 2 2 2 2 4 2 2 18 4 7" xfId="14673" xr:uid="{00000000-0005-0000-0000-000051390000}"/>
    <cellStyle name="Normal 2 2 2 2 4 2 2 18 4 8" xfId="14674" xr:uid="{00000000-0005-0000-0000-000052390000}"/>
    <cellStyle name="Normal 2 2 2 2 4 2 2 18 4 9" xfId="14675" xr:uid="{00000000-0005-0000-0000-000053390000}"/>
    <cellStyle name="Normal 2 2 2 2 4 2 2 18 5" xfId="14676" xr:uid="{00000000-0005-0000-0000-000054390000}"/>
    <cellStyle name="Normal 2 2 2 2 4 2 2 18 5 10" xfId="14677" xr:uid="{00000000-0005-0000-0000-000055390000}"/>
    <cellStyle name="Normal 2 2 2 2 4 2 2 18 5 2" xfId="14678" xr:uid="{00000000-0005-0000-0000-000056390000}"/>
    <cellStyle name="Normal 2 2 2 2 4 2 2 18 5 3" xfId="14679" xr:uid="{00000000-0005-0000-0000-000057390000}"/>
    <cellStyle name="Normal 2 2 2 2 4 2 2 18 5 4" xfId="14680" xr:uid="{00000000-0005-0000-0000-000058390000}"/>
    <cellStyle name="Normal 2 2 2 2 4 2 2 18 5 5" xfId="14681" xr:uid="{00000000-0005-0000-0000-000059390000}"/>
    <cellStyle name="Normal 2 2 2 2 4 2 2 18 5 6" xfId="14682" xr:uid="{00000000-0005-0000-0000-00005A390000}"/>
    <cellStyle name="Normal 2 2 2 2 4 2 2 18 5 7" xfId="14683" xr:uid="{00000000-0005-0000-0000-00005B390000}"/>
    <cellStyle name="Normal 2 2 2 2 4 2 2 18 5 8" xfId="14684" xr:uid="{00000000-0005-0000-0000-00005C390000}"/>
    <cellStyle name="Normal 2 2 2 2 4 2 2 18 5 9" xfId="14685" xr:uid="{00000000-0005-0000-0000-00005D390000}"/>
    <cellStyle name="Normal 2 2 2 2 4 2 2 18 6" xfId="14686" xr:uid="{00000000-0005-0000-0000-00005E390000}"/>
    <cellStyle name="Normal 2 2 2 2 4 2 2 18 7" xfId="14687" xr:uid="{00000000-0005-0000-0000-00005F390000}"/>
    <cellStyle name="Normal 2 2 2 2 4 2 2 18 8" xfId="14688" xr:uid="{00000000-0005-0000-0000-000060390000}"/>
    <cellStyle name="Normal 2 2 2 2 4 2 2 18 9" xfId="14689" xr:uid="{00000000-0005-0000-0000-000061390000}"/>
    <cellStyle name="Normal 2 2 2 2 4 2 2 19" xfId="14690" xr:uid="{00000000-0005-0000-0000-000062390000}"/>
    <cellStyle name="Normal 2 2 2 2 4 2 2 19 10" xfId="14691" xr:uid="{00000000-0005-0000-0000-000063390000}"/>
    <cellStyle name="Normal 2 2 2 2 4 2 2 19 11" xfId="14692" xr:uid="{00000000-0005-0000-0000-000064390000}"/>
    <cellStyle name="Normal 2 2 2 2 4 2 2 19 12" xfId="14693" xr:uid="{00000000-0005-0000-0000-000065390000}"/>
    <cellStyle name="Normal 2 2 2 2 4 2 2 19 13" xfId="14694" xr:uid="{00000000-0005-0000-0000-000066390000}"/>
    <cellStyle name="Normal 2 2 2 2 4 2 2 19 14" xfId="14695" xr:uid="{00000000-0005-0000-0000-000067390000}"/>
    <cellStyle name="Normal 2 2 2 2 4 2 2 19 2" xfId="14696" xr:uid="{00000000-0005-0000-0000-000068390000}"/>
    <cellStyle name="Normal 2 2 2 2 4 2 2 19 2 10" xfId="14697" xr:uid="{00000000-0005-0000-0000-000069390000}"/>
    <cellStyle name="Normal 2 2 2 2 4 2 2 19 2 2" xfId="14698" xr:uid="{00000000-0005-0000-0000-00006A390000}"/>
    <cellStyle name="Normal 2 2 2 2 4 2 2 19 2 3" xfId="14699" xr:uid="{00000000-0005-0000-0000-00006B390000}"/>
    <cellStyle name="Normal 2 2 2 2 4 2 2 19 2 4" xfId="14700" xr:uid="{00000000-0005-0000-0000-00006C390000}"/>
    <cellStyle name="Normal 2 2 2 2 4 2 2 19 2 5" xfId="14701" xr:uid="{00000000-0005-0000-0000-00006D390000}"/>
    <cellStyle name="Normal 2 2 2 2 4 2 2 19 2 6" xfId="14702" xr:uid="{00000000-0005-0000-0000-00006E390000}"/>
    <cellStyle name="Normal 2 2 2 2 4 2 2 19 2 7" xfId="14703" xr:uid="{00000000-0005-0000-0000-00006F390000}"/>
    <cellStyle name="Normal 2 2 2 2 4 2 2 19 2 8" xfId="14704" xr:uid="{00000000-0005-0000-0000-000070390000}"/>
    <cellStyle name="Normal 2 2 2 2 4 2 2 19 2 9" xfId="14705" xr:uid="{00000000-0005-0000-0000-000071390000}"/>
    <cellStyle name="Normal 2 2 2 2 4 2 2 19 3" xfId="14706" xr:uid="{00000000-0005-0000-0000-000072390000}"/>
    <cellStyle name="Normal 2 2 2 2 4 2 2 19 3 10" xfId="14707" xr:uid="{00000000-0005-0000-0000-000073390000}"/>
    <cellStyle name="Normal 2 2 2 2 4 2 2 19 3 2" xfId="14708" xr:uid="{00000000-0005-0000-0000-000074390000}"/>
    <cellStyle name="Normal 2 2 2 2 4 2 2 19 3 3" xfId="14709" xr:uid="{00000000-0005-0000-0000-000075390000}"/>
    <cellStyle name="Normal 2 2 2 2 4 2 2 19 3 4" xfId="14710" xr:uid="{00000000-0005-0000-0000-000076390000}"/>
    <cellStyle name="Normal 2 2 2 2 4 2 2 19 3 5" xfId="14711" xr:uid="{00000000-0005-0000-0000-000077390000}"/>
    <cellStyle name="Normal 2 2 2 2 4 2 2 19 3 6" xfId="14712" xr:uid="{00000000-0005-0000-0000-000078390000}"/>
    <cellStyle name="Normal 2 2 2 2 4 2 2 19 3 7" xfId="14713" xr:uid="{00000000-0005-0000-0000-000079390000}"/>
    <cellStyle name="Normal 2 2 2 2 4 2 2 19 3 8" xfId="14714" xr:uid="{00000000-0005-0000-0000-00007A390000}"/>
    <cellStyle name="Normal 2 2 2 2 4 2 2 19 3 9" xfId="14715" xr:uid="{00000000-0005-0000-0000-00007B390000}"/>
    <cellStyle name="Normal 2 2 2 2 4 2 2 19 4" xfId="14716" xr:uid="{00000000-0005-0000-0000-00007C390000}"/>
    <cellStyle name="Normal 2 2 2 2 4 2 2 19 4 10" xfId="14717" xr:uid="{00000000-0005-0000-0000-00007D390000}"/>
    <cellStyle name="Normal 2 2 2 2 4 2 2 19 4 2" xfId="14718" xr:uid="{00000000-0005-0000-0000-00007E390000}"/>
    <cellStyle name="Normal 2 2 2 2 4 2 2 19 4 3" xfId="14719" xr:uid="{00000000-0005-0000-0000-00007F390000}"/>
    <cellStyle name="Normal 2 2 2 2 4 2 2 19 4 4" xfId="14720" xr:uid="{00000000-0005-0000-0000-000080390000}"/>
    <cellStyle name="Normal 2 2 2 2 4 2 2 19 4 5" xfId="14721" xr:uid="{00000000-0005-0000-0000-000081390000}"/>
    <cellStyle name="Normal 2 2 2 2 4 2 2 19 4 6" xfId="14722" xr:uid="{00000000-0005-0000-0000-000082390000}"/>
    <cellStyle name="Normal 2 2 2 2 4 2 2 19 4 7" xfId="14723" xr:uid="{00000000-0005-0000-0000-000083390000}"/>
    <cellStyle name="Normal 2 2 2 2 4 2 2 19 4 8" xfId="14724" xr:uid="{00000000-0005-0000-0000-000084390000}"/>
    <cellStyle name="Normal 2 2 2 2 4 2 2 19 4 9" xfId="14725" xr:uid="{00000000-0005-0000-0000-000085390000}"/>
    <cellStyle name="Normal 2 2 2 2 4 2 2 19 5" xfId="14726" xr:uid="{00000000-0005-0000-0000-000086390000}"/>
    <cellStyle name="Normal 2 2 2 2 4 2 2 19 5 10" xfId="14727" xr:uid="{00000000-0005-0000-0000-000087390000}"/>
    <cellStyle name="Normal 2 2 2 2 4 2 2 19 5 2" xfId="14728" xr:uid="{00000000-0005-0000-0000-000088390000}"/>
    <cellStyle name="Normal 2 2 2 2 4 2 2 19 5 3" xfId="14729" xr:uid="{00000000-0005-0000-0000-000089390000}"/>
    <cellStyle name="Normal 2 2 2 2 4 2 2 19 5 4" xfId="14730" xr:uid="{00000000-0005-0000-0000-00008A390000}"/>
    <cellStyle name="Normal 2 2 2 2 4 2 2 19 5 5" xfId="14731" xr:uid="{00000000-0005-0000-0000-00008B390000}"/>
    <cellStyle name="Normal 2 2 2 2 4 2 2 19 5 6" xfId="14732" xr:uid="{00000000-0005-0000-0000-00008C390000}"/>
    <cellStyle name="Normal 2 2 2 2 4 2 2 19 5 7" xfId="14733" xr:uid="{00000000-0005-0000-0000-00008D390000}"/>
    <cellStyle name="Normal 2 2 2 2 4 2 2 19 5 8" xfId="14734" xr:uid="{00000000-0005-0000-0000-00008E390000}"/>
    <cellStyle name="Normal 2 2 2 2 4 2 2 19 5 9" xfId="14735" xr:uid="{00000000-0005-0000-0000-00008F390000}"/>
    <cellStyle name="Normal 2 2 2 2 4 2 2 19 6" xfId="14736" xr:uid="{00000000-0005-0000-0000-000090390000}"/>
    <cellStyle name="Normal 2 2 2 2 4 2 2 19 7" xfId="14737" xr:uid="{00000000-0005-0000-0000-000091390000}"/>
    <cellStyle name="Normal 2 2 2 2 4 2 2 19 8" xfId="14738" xr:uid="{00000000-0005-0000-0000-000092390000}"/>
    <cellStyle name="Normal 2 2 2 2 4 2 2 19 9" xfId="14739" xr:uid="{00000000-0005-0000-0000-000093390000}"/>
    <cellStyle name="Normal 2 2 2 2 4 2 2 2" xfId="14740" xr:uid="{00000000-0005-0000-0000-000094390000}"/>
    <cellStyle name="Normal 2 2 2 2 4 2 2 2 10" xfId="14741" xr:uid="{00000000-0005-0000-0000-000095390000}"/>
    <cellStyle name="Normal 2 2 2 2 4 2 2 2 11" xfId="14742" xr:uid="{00000000-0005-0000-0000-000096390000}"/>
    <cellStyle name="Normal 2 2 2 2 4 2 2 2 12" xfId="14743" xr:uid="{00000000-0005-0000-0000-000097390000}"/>
    <cellStyle name="Normal 2 2 2 2 4 2 2 2 13" xfId="14744" xr:uid="{00000000-0005-0000-0000-000098390000}"/>
    <cellStyle name="Normal 2 2 2 2 4 2 2 2 14" xfId="14745" xr:uid="{00000000-0005-0000-0000-000099390000}"/>
    <cellStyle name="Normal 2 2 2 2 4 2 2 2 2" xfId="14746" xr:uid="{00000000-0005-0000-0000-00009A390000}"/>
    <cellStyle name="Normal 2 2 2 2 4 2 2 2 2 10" xfId="14747" xr:uid="{00000000-0005-0000-0000-00009B390000}"/>
    <cellStyle name="Normal 2 2 2 2 4 2 2 2 2 2" xfId="14748" xr:uid="{00000000-0005-0000-0000-00009C390000}"/>
    <cellStyle name="Normal 2 2 2 2 4 2 2 2 2 3" xfId="14749" xr:uid="{00000000-0005-0000-0000-00009D390000}"/>
    <cellStyle name="Normal 2 2 2 2 4 2 2 2 2 4" xfId="14750" xr:uid="{00000000-0005-0000-0000-00009E390000}"/>
    <cellStyle name="Normal 2 2 2 2 4 2 2 2 2 5" xfId="14751" xr:uid="{00000000-0005-0000-0000-00009F390000}"/>
    <cellStyle name="Normal 2 2 2 2 4 2 2 2 2 6" xfId="14752" xr:uid="{00000000-0005-0000-0000-0000A0390000}"/>
    <cellStyle name="Normal 2 2 2 2 4 2 2 2 2 7" xfId="14753" xr:uid="{00000000-0005-0000-0000-0000A1390000}"/>
    <cellStyle name="Normal 2 2 2 2 4 2 2 2 2 8" xfId="14754" xr:uid="{00000000-0005-0000-0000-0000A2390000}"/>
    <cellStyle name="Normal 2 2 2 2 4 2 2 2 2 9" xfId="14755" xr:uid="{00000000-0005-0000-0000-0000A3390000}"/>
    <cellStyle name="Normal 2 2 2 2 4 2 2 2 3" xfId="14756" xr:uid="{00000000-0005-0000-0000-0000A4390000}"/>
    <cellStyle name="Normal 2 2 2 2 4 2 2 2 3 10" xfId="14757" xr:uid="{00000000-0005-0000-0000-0000A5390000}"/>
    <cellStyle name="Normal 2 2 2 2 4 2 2 2 3 2" xfId="14758" xr:uid="{00000000-0005-0000-0000-0000A6390000}"/>
    <cellStyle name="Normal 2 2 2 2 4 2 2 2 3 3" xfId="14759" xr:uid="{00000000-0005-0000-0000-0000A7390000}"/>
    <cellStyle name="Normal 2 2 2 2 4 2 2 2 3 4" xfId="14760" xr:uid="{00000000-0005-0000-0000-0000A8390000}"/>
    <cellStyle name="Normal 2 2 2 2 4 2 2 2 3 5" xfId="14761" xr:uid="{00000000-0005-0000-0000-0000A9390000}"/>
    <cellStyle name="Normal 2 2 2 2 4 2 2 2 3 6" xfId="14762" xr:uid="{00000000-0005-0000-0000-0000AA390000}"/>
    <cellStyle name="Normal 2 2 2 2 4 2 2 2 3 7" xfId="14763" xr:uid="{00000000-0005-0000-0000-0000AB390000}"/>
    <cellStyle name="Normal 2 2 2 2 4 2 2 2 3 8" xfId="14764" xr:uid="{00000000-0005-0000-0000-0000AC390000}"/>
    <cellStyle name="Normal 2 2 2 2 4 2 2 2 3 9" xfId="14765" xr:uid="{00000000-0005-0000-0000-0000AD390000}"/>
    <cellStyle name="Normal 2 2 2 2 4 2 2 2 4" xfId="14766" xr:uid="{00000000-0005-0000-0000-0000AE390000}"/>
    <cellStyle name="Normal 2 2 2 2 4 2 2 2 4 10" xfId="14767" xr:uid="{00000000-0005-0000-0000-0000AF390000}"/>
    <cellStyle name="Normal 2 2 2 2 4 2 2 2 4 2" xfId="14768" xr:uid="{00000000-0005-0000-0000-0000B0390000}"/>
    <cellStyle name="Normal 2 2 2 2 4 2 2 2 4 3" xfId="14769" xr:uid="{00000000-0005-0000-0000-0000B1390000}"/>
    <cellStyle name="Normal 2 2 2 2 4 2 2 2 4 4" xfId="14770" xr:uid="{00000000-0005-0000-0000-0000B2390000}"/>
    <cellStyle name="Normal 2 2 2 2 4 2 2 2 4 5" xfId="14771" xr:uid="{00000000-0005-0000-0000-0000B3390000}"/>
    <cellStyle name="Normal 2 2 2 2 4 2 2 2 4 6" xfId="14772" xr:uid="{00000000-0005-0000-0000-0000B4390000}"/>
    <cellStyle name="Normal 2 2 2 2 4 2 2 2 4 7" xfId="14773" xr:uid="{00000000-0005-0000-0000-0000B5390000}"/>
    <cellStyle name="Normal 2 2 2 2 4 2 2 2 4 8" xfId="14774" xr:uid="{00000000-0005-0000-0000-0000B6390000}"/>
    <cellStyle name="Normal 2 2 2 2 4 2 2 2 4 9" xfId="14775" xr:uid="{00000000-0005-0000-0000-0000B7390000}"/>
    <cellStyle name="Normal 2 2 2 2 4 2 2 2 5" xfId="14776" xr:uid="{00000000-0005-0000-0000-0000B8390000}"/>
    <cellStyle name="Normal 2 2 2 2 4 2 2 2 5 10" xfId="14777" xr:uid="{00000000-0005-0000-0000-0000B9390000}"/>
    <cellStyle name="Normal 2 2 2 2 4 2 2 2 5 2" xfId="14778" xr:uid="{00000000-0005-0000-0000-0000BA390000}"/>
    <cellStyle name="Normal 2 2 2 2 4 2 2 2 5 3" xfId="14779" xr:uid="{00000000-0005-0000-0000-0000BB390000}"/>
    <cellStyle name="Normal 2 2 2 2 4 2 2 2 5 4" xfId="14780" xr:uid="{00000000-0005-0000-0000-0000BC390000}"/>
    <cellStyle name="Normal 2 2 2 2 4 2 2 2 5 5" xfId="14781" xr:uid="{00000000-0005-0000-0000-0000BD390000}"/>
    <cellStyle name="Normal 2 2 2 2 4 2 2 2 5 6" xfId="14782" xr:uid="{00000000-0005-0000-0000-0000BE390000}"/>
    <cellStyle name="Normal 2 2 2 2 4 2 2 2 5 7" xfId="14783" xr:uid="{00000000-0005-0000-0000-0000BF390000}"/>
    <cellStyle name="Normal 2 2 2 2 4 2 2 2 5 8" xfId="14784" xr:uid="{00000000-0005-0000-0000-0000C0390000}"/>
    <cellStyle name="Normal 2 2 2 2 4 2 2 2 5 9" xfId="14785" xr:uid="{00000000-0005-0000-0000-0000C1390000}"/>
    <cellStyle name="Normal 2 2 2 2 4 2 2 2 6" xfId="14786" xr:uid="{00000000-0005-0000-0000-0000C2390000}"/>
    <cellStyle name="Normal 2 2 2 2 4 2 2 2 7" xfId="14787" xr:uid="{00000000-0005-0000-0000-0000C3390000}"/>
    <cellStyle name="Normal 2 2 2 2 4 2 2 2 8" xfId="14788" xr:uid="{00000000-0005-0000-0000-0000C4390000}"/>
    <cellStyle name="Normal 2 2 2 2 4 2 2 2 9" xfId="14789" xr:uid="{00000000-0005-0000-0000-0000C5390000}"/>
    <cellStyle name="Normal 2 2 2 2 4 2 2 20" xfId="14790" xr:uid="{00000000-0005-0000-0000-0000C6390000}"/>
    <cellStyle name="Normal 2 2 2 2 4 2 2 20 10" xfId="14791" xr:uid="{00000000-0005-0000-0000-0000C7390000}"/>
    <cellStyle name="Normal 2 2 2 2 4 2 2 20 11" xfId="14792" xr:uid="{00000000-0005-0000-0000-0000C8390000}"/>
    <cellStyle name="Normal 2 2 2 2 4 2 2 20 12" xfId="14793" xr:uid="{00000000-0005-0000-0000-0000C9390000}"/>
    <cellStyle name="Normal 2 2 2 2 4 2 2 20 13" xfId="14794" xr:uid="{00000000-0005-0000-0000-0000CA390000}"/>
    <cellStyle name="Normal 2 2 2 2 4 2 2 20 14" xfId="14795" xr:uid="{00000000-0005-0000-0000-0000CB390000}"/>
    <cellStyle name="Normal 2 2 2 2 4 2 2 20 2" xfId="14796" xr:uid="{00000000-0005-0000-0000-0000CC390000}"/>
    <cellStyle name="Normal 2 2 2 2 4 2 2 20 2 10" xfId="14797" xr:uid="{00000000-0005-0000-0000-0000CD390000}"/>
    <cellStyle name="Normal 2 2 2 2 4 2 2 20 2 2" xfId="14798" xr:uid="{00000000-0005-0000-0000-0000CE390000}"/>
    <cellStyle name="Normal 2 2 2 2 4 2 2 20 2 3" xfId="14799" xr:uid="{00000000-0005-0000-0000-0000CF390000}"/>
    <cellStyle name="Normal 2 2 2 2 4 2 2 20 2 4" xfId="14800" xr:uid="{00000000-0005-0000-0000-0000D0390000}"/>
    <cellStyle name="Normal 2 2 2 2 4 2 2 20 2 5" xfId="14801" xr:uid="{00000000-0005-0000-0000-0000D1390000}"/>
    <cellStyle name="Normal 2 2 2 2 4 2 2 20 2 6" xfId="14802" xr:uid="{00000000-0005-0000-0000-0000D2390000}"/>
    <cellStyle name="Normal 2 2 2 2 4 2 2 20 2 7" xfId="14803" xr:uid="{00000000-0005-0000-0000-0000D3390000}"/>
    <cellStyle name="Normal 2 2 2 2 4 2 2 20 2 8" xfId="14804" xr:uid="{00000000-0005-0000-0000-0000D4390000}"/>
    <cellStyle name="Normal 2 2 2 2 4 2 2 20 2 9" xfId="14805" xr:uid="{00000000-0005-0000-0000-0000D5390000}"/>
    <cellStyle name="Normal 2 2 2 2 4 2 2 20 3" xfId="14806" xr:uid="{00000000-0005-0000-0000-0000D6390000}"/>
    <cellStyle name="Normal 2 2 2 2 4 2 2 20 3 10" xfId="14807" xr:uid="{00000000-0005-0000-0000-0000D7390000}"/>
    <cellStyle name="Normal 2 2 2 2 4 2 2 20 3 2" xfId="14808" xr:uid="{00000000-0005-0000-0000-0000D8390000}"/>
    <cellStyle name="Normal 2 2 2 2 4 2 2 20 3 3" xfId="14809" xr:uid="{00000000-0005-0000-0000-0000D9390000}"/>
    <cellStyle name="Normal 2 2 2 2 4 2 2 20 3 4" xfId="14810" xr:uid="{00000000-0005-0000-0000-0000DA390000}"/>
    <cellStyle name="Normal 2 2 2 2 4 2 2 20 3 5" xfId="14811" xr:uid="{00000000-0005-0000-0000-0000DB390000}"/>
    <cellStyle name="Normal 2 2 2 2 4 2 2 20 3 6" xfId="14812" xr:uid="{00000000-0005-0000-0000-0000DC390000}"/>
    <cellStyle name="Normal 2 2 2 2 4 2 2 20 3 7" xfId="14813" xr:uid="{00000000-0005-0000-0000-0000DD390000}"/>
    <cellStyle name="Normal 2 2 2 2 4 2 2 20 3 8" xfId="14814" xr:uid="{00000000-0005-0000-0000-0000DE390000}"/>
    <cellStyle name="Normal 2 2 2 2 4 2 2 20 3 9" xfId="14815" xr:uid="{00000000-0005-0000-0000-0000DF390000}"/>
    <cellStyle name="Normal 2 2 2 2 4 2 2 20 4" xfId="14816" xr:uid="{00000000-0005-0000-0000-0000E0390000}"/>
    <cellStyle name="Normal 2 2 2 2 4 2 2 20 4 10" xfId="14817" xr:uid="{00000000-0005-0000-0000-0000E1390000}"/>
    <cellStyle name="Normal 2 2 2 2 4 2 2 20 4 2" xfId="14818" xr:uid="{00000000-0005-0000-0000-0000E2390000}"/>
    <cellStyle name="Normal 2 2 2 2 4 2 2 20 4 3" xfId="14819" xr:uid="{00000000-0005-0000-0000-0000E3390000}"/>
    <cellStyle name="Normal 2 2 2 2 4 2 2 20 4 4" xfId="14820" xr:uid="{00000000-0005-0000-0000-0000E4390000}"/>
    <cellStyle name="Normal 2 2 2 2 4 2 2 20 4 5" xfId="14821" xr:uid="{00000000-0005-0000-0000-0000E5390000}"/>
    <cellStyle name="Normal 2 2 2 2 4 2 2 20 4 6" xfId="14822" xr:uid="{00000000-0005-0000-0000-0000E6390000}"/>
    <cellStyle name="Normal 2 2 2 2 4 2 2 20 4 7" xfId="14823" xr:uid="{00000000-0005-0000-0000-0000E7390000}"/>
    <cellStyle name="Normal 2 2 2 2 4 2 2 20 4 8" xfId="14824" xr:uid="{00000000-0005-0000-0000-0000E8390000}"/>
    <cellStyle name="Normal 2 2 2 2 4 2 2 20 4 9" xfId="14825" xr:uid="{00000000-0005-0000-0000-0000E9390000}"/>
    <cellStyle name="Normal 2 2 2 2 4 2 2 20 5" xfId="14826" xr:uid="{00000000-0005-0000-0000-0000EA390000}"/>
    <cellStyle name="Normal 2 2 2 2 4 2 2 20 5 10" xfId="14827" xr:uid="{00000000-0005-0000-0000-0000EB390000}"/>
    <cellStyle name="Normal 2 2 2 2 4 2 2 20 5 2" xfId="14828" xr:uid="{00000000-0005-0000-0000-0000EC390000}"/>
    <cellStyle name="Normal 2 2 2 2 4 2 2 20 5 3" xfId="14829" xr:uid="{00000000-0005-0000-0000-0000ED390000}"/>
    <cellStyle name="Normal 2 2 2 2 4 2 2 20 5 4" xfId="14830" xr:uid="{00000000-0005-0000-0000-0000EE390000}"/>
    <cellStyle name="Normal 2 2 2 2 4 2 2 20 5 5" xfId="14831" xr:uid="{00000000-0005-0000-0000-0000EF390000}"/>
    <cellStyle name="Normal 2 2 2 2 4 2 2 20 5 6" xfId="14832" xr:uid="{00000000-0005-0000-0000-0000F0390000}"/>
    <cellStyle name="Normal 2 2 2 2 4 2 2 20 5 7" xfId="14833" xr:uid="{00000000-0005-0000-0000-0000F1390000}"/>
    <cellStyle name="Normal 2 2 2 2 4 2 2 20 5 8" xfId="14834" xr:uid="{00000000-0005-0000-0000-0000F2390000}"/>
    <cellStyle name="Normal 2 2 2 2 4 2 2 20 5 9" xfId="14835" xr:uid="{00000000-0005-0000-0000-0000F3390000}"/>
    <cellStyle name="Normal 2 2 2 2 4 2 2 20 6" xfId="14836" xr:uid="{00000000-0005-0000-0000-0000F4390000}"/>
    <cellStyle name="Normal 2 2 2 2 4 2 2 20 7" xfId="14837" xr:uid="{00000000-0005-0000-0000-0000F5390000}"/>
    <cellStyle name="Normal 2 2 2 2 4 2 2 20 8" xfId="14838" xr:uid="{00000000-0005-0000-0000-0000F6390000}"/>
    <cellStyle name="Normal 2 2 2 2 4 2 2 20 9" xfId="14839" xr:uid="{00000000-0005-0000-0000-0000F7390000}"/>
    <cellStyle name="Normal 2 2 2 2 4 2 2 3" xfId="14840" xr:uid="{00000000-0005-0000-0000-0000F8390000}"/>
    <cellStyle name="Normal 2 2 2 2 4 2 2 3 10" xfId="14841" xr:uid="{00000000-0005-0000-0000-0000F9390000}"/>
    <cellStyle name="Normal 2 2 2 2 4 2 2 3 11" xfId="14842" xr:uid="{00000000-0005-0000-0000-0000FA390000}"/>
    <cellStyle name="Normal 2 2 2 2 4 2 2 3 12" xfId="14843" xr:uid="{00000000-0005-0000-0000-0000FB390000}"/>
    <cellStyle name="Normal 2 2 2 2 4 2 2 3 13" xfId="14844" xr:uid="{00000000-0005-0000-0000-0000FC390000}"/>
    <cellStyle name="Normal 2 2 2 2 4 2 2 3 14" xfId="14845" xr:uid="{00000000-0005-0000-0000-0000FD390000}"/>
    <cellStyle name="Normal 2 2 2 2 4 2 2 3 2" xfId="14846" xr:uid="{00000000-0005-0000-0000-0000FE390000}"/>
    <cellStyle name="Normal 2 2 2 2 4 2 2 3 2 10" xfId="14847" xr:uid="{00000000-0005-0000-0000-0000FF390000}"/>
    <cellStyle name="Normal 2 2 2 2 4 2 2 3 2 2" xfId="14848" xr:uid="{00000000-0005-0000-0000-0000003A0000}"/>
    <cellStyle name="Normal 2 2 2 2 4 2 2 3 2 3" xfId="14849" xr:uid="{00000000-0005-0000-0000-0000013A0000}"/>
    <cellStyle name="Normal 2 2 2 2 4 2 2 3 2 4" xfId="14850" xr:uid="{00000000-0005-0000-0000-0000023A0000}"/>
    <cellStyle name="Normal 2 2 2 2 4 2 2 3 2 5" xfId="14851" xr:uid="{00000000-0005-0000-0000-0000033A0000}"/>
    <cellStyle name="Normal 2 2 2 2 4 2 2 3 2 6" xfId="14852" xr:uid="{00000000-0005-0000-0000-0000043A0000}"/>
    <cellStyle name="Normal 2 2 2 2 4 2 2 3 2 7" xfId="14853" xr:uid="{00000000-0005-0000-0000-0000053A0000}"/>
    <cellStyle name="Normal 2 2 2 2 4 2 2 3 2 8" xfId="14854" xr:uid="{00000000-0005-0000-0000-0000063A0000}"/>
    <cellStyle name="Normal 2 2 2 2 4 2 2 3 2 9" xfId="14855" xr:uid="{00000000-0005-0000-0000-0000073A0000}"/>
    <cellStyle name="Normal 2 2 2 2 4 2 2 3 3" xfId="14856" xr:uid="{00000000-0005-0000-0000-0000083A0000}"/>
    <cellStyle name="Normal 2 2 2 2 4 2 2 3 3 10" xfId="14857" xr:uid="{00000000-0005-0000-0000-0000093A0000}"/>
    <cellStyle name="Normal 2 2 2 2 4 2 2 3 3 2" xfId="14858" xr:uid="{00000000-0005-0000-0000-00000A3A0000}"/>
    <cellStyle name="Normal 2 2 2 2 4 2 2 3 3 3" xfId="14859" xr:uid="{00000000-0005-0000-0000-00000B3A0000}"/>
    <cellStyle name="Normal 2 2 2 2 4 2 2 3 3 4" xfId="14860" xr:uid="{00000000-0005-0000-0000-00000C3A0000}"/>
    <cellStyle name="Normal 2 2 2 2 4 2 2 3 3 5" xfId="14861" xr:uid="{00000000-0005-0000-0000-00000D3A0000}"/>
    <cellStyle name="Normal 2 2 2 2 4 2 2 3 3 6" xfId="14862" xr:uid="{00000000-0005-0000-0000-00000E3A0000}"/>
    <cellStyle name="Normal 2 2 2 2 4 2 2 3 3 7" xfId="14863" xr:uid="{00000000-0005-0000-0000-00000F3A0000}"/>
    <cellStyle name="Normal 2 2 2 2 4 2 2 3 3 8" xfId="14864" xr:uid="{00000000-0005-0000-0000-0000103A0000}"/>
    <cellStyle name="Normal 2 2 2 2 4 2 2 3 3 9" xfId="14865" xr:uid="{00000000-0005-0000-0000-0000113A0000}"/>
    <cellStyle name="Normal 2 2 2 2 4 2 2 3 4" xfId="14866" xr:uid="{00000000-0005-0000-0000-0000123A0000}"/>
    <cellStyle name="Normal 2 2 2 2 4 2 2 3 4 10" xfId="14867" xr:uid="{00000000-0005-0000-0000-0000133A0000}"/>
    <cellStyle name="Normal 2 2 2 2 4 2 2 3 4 2" xfId="14868" xr:uid="{00000000-0005-0000-0000-0000143A0000}"/>
    <cellStyle name="Normal 2 2 2 2 4 2 2 3 4 3" xfId="14869" xr:uid="{00000000-0005-0000-0000-0000153A0000}"/>
    <cellStyle name="Normal 2 2 2 2 4 2 2 3 4 4" xfId="14870" xr:uid="{00000000-0005-0000-0000-0000163A0000}"/>
    <cellStyle name="Normal 2 2 2 2 4 2 2 3 4 5" xfId="14871" xr:uid="{00000000-0005-0000-0000-0000173A0000}"/>
    <cellStyle name="Normal 2 2 2 2 4 2 2 3 4 6" xfId="14872" xr:uid="{00000000-0005-0000-0000-0000183A0000}"/>
    <cellStyle name="Normal 2 2 2 2 4 2 2 3 4 7" xfId="14873" xr:uid="{00000000-0005-0000-0000-0000193A0000}"/>
    <cellStyle name="Normal 2 2 2 2 4 2 2 3 4 8" xfId="14874" xr:uid="{00000000-0005-0000-0000-00001A3A0000}"/>
    <cellStyle name="Normal 2 2 2 2 4 2 2 3 4 9" xfId="14875" xr:uid="{00000000-0005-0000-0000-00001B3A0000}"/>
    <cellStyle name="Normal 2 2 2 2 4 2 2 3 5" xfId="14876" xr:uid="{00000000-0005-0000-0000-00001C3A0000}"/>
    <cellStyle name="Normal 2 2 2 2 4 2 2 3 5 10" xfId="14877" xr:uid="{00000000-0005-0000-0000-00001D3A0000}"/>
    <cellStyle name="Normal 2 2 2 2 4 2 2 3 5 2" xfId="14878" xr:uid="{00000000-0005-0000-0000-00001E3A0000}"/>
    <cellStyle name="Normal 2 2 2 2 4 2 2 3 5 3" xfId="14879" xr:uid="{00000000-0005-0000-0000-00001F3A0000}"/>
    <cellStyle name="Normal 2 2 2 2 4 2 2 3 5 4" xfId="14880" xr:uid="{00000000-0005-0000-0000-0000203A0000}"/>
    <cellStyle name="Normal 2 2 2 2 4 2 2 3 5 5" xfId="14881" xr:uid="{00000000-0005-0000-0000-0000213A0000}"/>
    <cellStyle name="Normal 2 2 2 2 4 2 2 3 5 6" xfId="14882" xr:uid="{00000000-0005-0000-0000-0000223A0000}"/>
    <cellStyle name="Normal 2 2 2 2 4 2 2 3 5 7" xfId="14883" xr:uid="{00000000-0005-0000-0000-0000233A0000}"/>
    <cellStyle name="Normal 2 2 2 2 4 2 2 3 5 8" xfId="14884" xr:uid="{00000000-0005-0000-0000-0000243A0000}"/>
    <cellStyle name="Normal 2 2 2 2 4 2 2 3 5 9" xfId="14885" xr:uid="{00000000-0005-0000-0000-0000253A0000}"/>
    <cellStyle name="Normal 2 2 2 2 4 2 2 3 6" xfId="14886" xr:uid="{00000000-0005-0000-0000-0000263A0000}"/>
    <cellStyle name="Normal 2 2 2 2 4 2 2 3 7" xfId="14887" xr:uid="{00000000-0005-0000-0000-0000273A0000}"/>
    <cellStyle name="Normal 2 2 2 2 4 2 2 3 8" xfId="14888" xr:uid="{00000000-0005-0000-0000-0000283A0000}"/>
    <cellStyle name="Normal 2 2 2 2 4 2 2 3 9" xfId="14889" xr:uid="{00000000-0005-0000-0000-0000293A0000}"/>
    <cellStyle name="Normal 2 2 2 2 4 2 2 4" xfId="14890" xr:uid="{00000000-0005-0000-0000-00002A3A0000}"/>
    <cellStyle name="Normal 2 2 2 2 4 2 2 4 10" xfId="14891" xr:uid="{00000000-0005-0000-0000-00002B3A0000}"/>
    <cellStyle name="Normal 2 2 2 2 4 2 2 4 11" xfId="14892" xr:uid="{00000000-0005-0000-0000-00002C3A0000}"/>
    <cellStyle name="Normal 2 2 2 2 4 2 2 4 12" xfId="14893" xr:uid="{00000000-0005-0000-0000-00002D3A0000}"/>
    <cellStyle name="Normal 2 2 2 2 4 2 2 4 13" xfId="14894" xr:uid="{00000000-0005-0000-0000-00002E3A0000}"/>
    <cellStyle name="Normal 2 2 2 2 4 2 2 4 14" xfId="14895" xr:uid="{00000000-0005-0000-0000-00002F3A0000}"/>
    <cellStyle name="Normal 2 2 2 2 4 2 2 4 2" xfId="14896" xr:uid="{00000000-0005-0000-0000-0000303A0000}"/>
    <cellStyle name="Normal 2 2 2 2 4 2 2 4 2 10" xfId="14897" xr:uid="{00000000-0005-0000-0000-0000313A0000}"/>
    <cellStyle name="Normal 2 2 2 2 4 2 2 4 2 2" xfId="14898" xr:uid="{00000000-0005-0000-0000-0000323A0000}"/>
    <cellStyle name="Normal 2 2 2 2 4 2 2 4 2 3" xfId="14899" xr:uid="{00000000-0005-0000-0000-0000333A0000}"/>
    <cellStyle name="Normal 2 2 2 2 4 2 2 4 2 4" xfId="14900" xr:uid="{00000000-0005-0000-0000-0000343A0000}"/>
    <cellStyle name="Normal 2 2 2 2 4 2 2 4 2 5" xfId="14901" xr:uid="{00000000-0005-0000-0000-0000353A0000}"/>
    <cellStyle name="Normal 2 2 2 2 4 2 2 4 2 6" xfId="14902" xr:uid="{00000000-0005-0000-0000-0000363A0000}"/>
    <cellStyle name="Normal 2 2 2 2 4 2 2 4 2 7" xfId="14903" xr:uid="{00000000-0005-0000-0000-0000373A0000}"/>
    <cellStyle name="Normal 2 2 2 2 4 2 2 4 2 8" xfId="14904" xr:uid="{00000000-0005-0000-0000-0000383A0000}"/>
    <cellStyle name="Normal 2 2 2 2 4 2 2 4 2 9" xfId="14905" xr:uid="{00000000-0005-0000-0000-0000393A0000}"/>
    <cellStyle name="Normal 2 2 2 2 4 2 2 4 3" xfId="14906" xr:uid="{00000000-0005-0000-0000-00003A3A0000}"/>
    <cellStyle name="Normal 2 2 2 2 4 2 2 4 3 10" xfId="14907" xr:uid="{00000000-0005-0000-0000-00003B3A0000}"/>
    <cellStyle name="Normal 2 2 2 2 4 2 2 4 3 2" xfId="14908" xr:uid="{00000000-0005-0000-0000-00003C3A0000}"/>
    <cellStyle name="Normal 2 2 2 2 4 2 2 4 3 3" xfId="14909" xr:uid="{00000000-0005-0000-0000-00003D3A0000}"/>
    <cellStyle name="Normal 2 2 2 2 4 2 2 4 3 4" xfId="14910" xr:uid="{00000000-0005-0000-0000-00003E3A0000}"/>
    <cellStyle name="Normal 2 2 2 2 4 2 2 4 3 5" xfId="14911" xr:uid="{00000000-0005-0000-0000-00003F3A0000}"/>
    <cellStyle name="Normal 2 2 2 2 4 2 2 4 3 6" xfId="14912" xr:uid="{00000000-0005-0000-0000-0000403A0000}"/>
    <cellStyle name="Normal 2 2 2 2 4 2 2 4 3 7" xfId="14913" xr:uid="{00000000-0005-0000-0000-0000413A0000}"/>
    <cellStyle name="Normal 2 2 2 2 4 2 2 4 3 8" xfId="14914" xr:uid="{00000000-0005-0000-0000-0000423A0000}"/>
    <cellStyle name="Normal 2 2 2 2 4 2 2 4 3 9" xfId="14915" xr:uid="{00000000-0005-0000-0000-0000433A0000}"/>
    <cellStyle name="Normal 2 2 2 2 4 2 2 4 4" xfId="14916" xr:uid="{00000000-0005-0000-0000-0000443A0000}"/>
    <cellStyle name="Normal 2 2 2 2 4 2 2 4 4 10" xfId="14917" xr:uid="{00000000-0005-0000-0000-0000453A0000}"/>
    <cellStyle name="Normal 2 2 2 2 4 2 2 4 4 2" xfId="14918" xr:uid="{00000000-0005-0000-0000-0000463A0000}"/>
    <cellStyle name="Normal 2 2 2 2 4 2 2 4 4 3" xfId="14919" xr:uid="{00000000-0005-0000-0000-0000473A0000}"/>
    <cellStyle name="Normal 2 2 2 2 4 2 2 4 4 4" xfId="14920" xr:uid="{00000000-0005-0000-0000-0000483A0000}"/>
    <cellStyle name="Normal 2 2 2 2 4 2 2 4 4 5" xfId="14921" xr:uid="{00000000-0005-0000-0000-0000493A0000}"/>
    <cellStyle name="Normal 2 2 2 2 4 2 2 4 4 6" xfId="14922" xr:uid="{00000000-0005-0000-0000-00004A3A0000}"/>
    <cellStyle name="Normal 2 2 2 2 4 2 2 4 4 7" xfId="14923" xr:uid="{00000000-0005-0000-0000-00004B3A0000}"/>
    <cellStyle name="Normal 2 2 2 2 4 2 2 4 4 8" xfId="14924" xr:uid="{00000000-0005-0000-0000-00004C3A0000}"/>
    <cellStyle name="Normal 2 2 2 2 4 2 2 4 4 9" xfId="14925" xr:uid="{00000000-0005-0000-0000-00004D3A0000}"/>
    <cellStyle name="Normal 2 2 2 2 4 2 2 4 5" xfId="14926" xr:uid="{00000000-0005-0000-0000-00004E3A0000}"/>
    <cellStyle name="Normal 2 2 2 2 4 2 2 4 5 10" xfId="14927" xr:uid="{00000000-0005-0000-0000-00004F3A0000}"/>
    <cellStyle name="Normal 2 2 2 2 4 2 2 4 5 2" xfId="14928" xr:uid="{00000000-0005-0000-0000-0000503A0000}"/>
    <cellStyle name="Normal 2 2 2 2 4 2 2 4 5 3" xfId="14929" xr:uid="{00000000-0005-0000-0000-0000513A0000}"/>
    <cellStyle name="Normal 2 2 2 2 4 2 2 4 5 4" xfId="14930" xr:uid="{00000000-0005-0000-0000-0000523A0000}"/>
    <cellStyle name="Normal 2 2 2 2 4 2 2 4 5 5" xfId="14931" xr:uid="{00000000-0005-0000-0000-0000533A0000}"/>
    <cellStyle name="Normal 2 2 2 2 4 2 2 4 5 6" xfId="14932" xr:uid="{00000000-0005-0000-0000-0000543A0000}"/>
    <cellStyle name="Normal 2 2 2 2 4 2 2 4 5 7" xfId="14933" xr:uid="{00000000-0005-0000-0000-0000553A0000}"/>
    <cellStyle name="Normal 2 2 2 2 4 2 2 4 5 8" xfId="14934" xr:uid="{00000000-0005-0000-0000-0000563A0000}"/>
    <cellStyle name="Normal 2 2 2 2 4 2 2 4 5 9" xfId="14935" xr:uid="{00000000-0005-0000-0000-0000573A0000}"/>
    <cellStyle name="Normal 2 2 2 2 4 2 2 4 6" xfId="14936" xr:uid="{00000000-0005-0000-0000-0000583A0000}"/>
    <cellStyle name="Normal 2 2 2 2 4 2 2 4 7" xfId="14937" xr:uid="{00000000-0005-0000-0000-0000593A0000}"/>
    <cellStyle name="Normal 2 2 2 2 4 2 2 4 8" xfId="14938" xr:uid="{00000000-0005-0000-0000-00005A3A0000}"/>
    <cellStyle name="Normal 2 2 2 2 4 2 2 4 9" xfId="14939" xr:uid="{00000000-0005-0000-0000-00005B3A0000}"/>
    <cellStyle name="Normal 2 2 2 2 4 2 2 5" xfId="14940" xr:uid="{00000000-0005-0000-0000-00005C3A0000}"/>
    <cellStyle name="Normal 2 2 2 2 4 2 2 5 10" xfId="14941" xr:uid="{00000000-0005-0000-0000-00005D3A0000}"/>
    <cellStyle name="Normal 2 2 2 2 4 2 2 5 11" xfId="14942" xr:uid="{00000000-0005-0000-0000-00005E3A0000}"/>
    <cellStyle name="Normal 2 2 2 2 4 2 2 5 12" xfId="14943" xr:uid="{00000000-0005-0000-0000-00005F3A0000}"/>
    <cellStyle name="Normal 2 2 2 2 4 2 2 5 13" xfId="14944" xr:uid="{00000000-0005-0000-0000-0000603A0000}"/>
    <cellStyle name="Normal 2 2 2 2 4 2 2 5 14" xfId="14945" xr:uid="{00000000-0005-0000-0000-0000613A0000}"/>
    <cellStyle name="Normal 2 2 2 2 4 2 2 5 2" xfId="14946" xr:uid="{00000000-0005-0000-0000-0000623A0000}"/>
    <cellStyle name="Normal 2 2 2 2 4 2 2 5 2 10" xfId="14947" xr:uid="{00000000-0005-0000-0000-0000633A0000}"/>
    <cellStyle name="Normal 2 2 2 2 4 2 2 5 2 2" xfId="14948" xr:uid="{00000000-0005-0000-0000-0000643A0000}"/>
    <cellStyle name="Normal 2 2 2 2 4 2 2 5 2 3" xfId="14949" xr:uid="{00000000-0005-0000-0000-0000653A0000}"/>
    <cellStyle name="Normal 2 2 2 2 4 2 2 5 2 4" xfId="14950" xr:uid="{00000000-0005-0000-0000-0000663A0000}"/>
    <cellStyle name="Normal 2 2 2 2 4 2 2 5 2 5" xfId="14951" xr:uid="{00000000-0005-0000-0000-0000673A0000}"/>
    <cellStyle name="Normal 2 2 2 2 4 2 2 5 2 6" xfId="14952" xr:uid="{00000000-0005-0000-0000-0000683A0000}"/>
    <cellStyle name="Normal 2 2 2 2 4 2 2 5 2 7" xfId="14953" xr:uid="{00000000-0005-0000-0000-0000693A0000}"/>
    <cellStyle name="Normal 2 2 2 2 4 2 2 5 2 8" xfId="14954" xr:uid="{00000000-0005-0000-0000-00006A3A0000}"/>
    <cellStyle name="Normal 2 2 2 2 4 2 2 5 2 9" xfId="14955" xr:uid="{00000000-0005-0000-0000-00006B3A0000}"/>
    <cellStyle name="Normal 2 2 2 2 4 2 2 5 3" xfId="14956" xr:uid="{00000000-0005-0000-0000-00006C3A0000}"/>
    <cellStyle name="Normal 2 2 2 2 4 2 2 5 3 10" xfId="14957" xr:uid="{00000000-0005-0000-0000-00006D3A0000}"/>
    <cellStyle name="Normal 2 2 2 2 4 2 2 5 3 2" xfId="14958" xr:uid="{00000000-0005-0000-0000-00006E3A0000}"/>
    <cellStyle name="Normal 2 2 2 2 4 2 2 5 3 3" xfId="14959" xr:uid="{00000000-0005-0000-0000-00006F3A0000}"/>
    <cellStyle name="Normal 2 2 2 2 4 2 2 5 3 4" xfId="14960" xr:uid="{00000000-0005-0000-0000-0000703A0000}"/>
    <cellStyle name="Normal 2 2 2 2 4 2 2 5 3 5" xfId="14961" xr:uid="{00000000-0005-0000-0000-0000713A0000}"/>
    <cellStyle name="Normal 2 2 2 2 4 2 2 5 3 6" xfId="14962" xr:uid="{00000000-0005-0000-0000-0000723A0000}"/>
    <cellStyle name="Normal 2 2 2 2 4 2 2 5 3 7" xfId="14963" xr:uid="{00000000-0005-0000-0000-0000733A0000}"/>
    <cellStyle name="Normal 2 2 2 2 4 2 2 5 3 8" xfId="14964" xr:uid="{00000000-0005-0000-0000-0000743A0000}"/>
    <cellStyle name="Normal 2 2 2 2 4 2 2 5 3 9" xfId="14965" xr:uid="{00000000-0005-0000-0000-0000753A0000}"/>
    <cellStyle name="Normal 2 2 2 2 4 2 2 5 4" xfId="14966" xr:uid="{00000000-0005-0000-0000-0000763A0000}"/>
    <cellStyle name="Normal 2 2 2 2 4 2 2 5 4 10" xfId="14967" xr:uid="{00000000-0005-0000-0000-0000773A0000}"/>
    <cellStyle name="Normal 2 2 2 2 4 2 2 5 4 2" xfId="14968" xr:uid="{00000000-0005-0000-0000-0000783A0000}"/>
    <cellStyle name="Normal 2 2 2 2 4 2 2 5 4 3" xfId="14969" xr:uid="{00000000-0005-0000-0000-0000793A0000}"/>
    <cellStyle name="Normal 2 2 2 2 4 2 2 5 4 4" xfId="14970" xr:uid="{00000000-0005-0000-0000-00007A3A0000}"/>
    <cellStyle name="Normal 2 2 2 2 4 2 2 5 4 5" xfId="14971" xr:uid="{00000000-0005-0000-0000-00007B3A0000}"/>
    <cellStyle name="Normal 2 2 2 2 4 2 2 5 4 6" xfId="14972" xr:uid="{00000000-0005-0000-0000-00007C3A0000}"/>
    <cellStyle name="Normal 2 2 2 2 4 2 2 5 4 7" xfId="14973" xr:uid="{00000000-0005-0000-0000-00007D3A0000}"/>
    <cellStyle name="Normal 2 2 2 2 4 2 2 5 4 8" xfId="14974" xr:uid="{00000000-0005-0000-0000-00007E3A0000}"/>
    <cellStyle name="Normal 2 2 2 2 4 2 2 5 4 9" xfId="14975" xr:uid="{00000000-0005-0000-0000-00007F3A0000}"/>
    <cellStyle name="Normal 2 2 2 2 4 2 2 5 5" xfId="14976" xr:uid="{00000000-0005-0000-0000-0000803A0000}"/>
    <cellStyle name="Normal 2 2 2 2 4 2 2 5 5 10" xfId="14977" xr:uid="{00000000-0005-0000-0000-0000813A0000}"/>
    <cellStyle name="Normal 2 2 2 2 4 2 2 5 5 2" xfId="14978" xr:uid="{00000000-0005-0000-0000-0000823A0000}"/>
    <cellStyle name="Normal 2 2 2 2 4 2 2 5 5 3" xfId="14979" xr:uid="{00000000-0005-0000-0000-0000833A0000}"/>
    <cellStyle name="Normal 2 2 2 2 4 2 2 5 5 4" xfId="14980" xr:uid="{00000000-0005-0000-0000-0000843A0000}"/>
    <cellStyle name="Normal 2 2 2 2 4 2 2 5 5 5" xfId="14981" xr:uid="{00000000-0005-0000-0000-0000853A0000}"/>
    <cellStyle name="Normal 2 2 2 2 4 2 2 5 5 6" xfId="14982" xr:uid="{00000000-0005-0000-0000-0000863A0000}"/>
    <cellStyle name="Normal 2 2 2 2 4 2 2 5 5 7" xfId="14983" xr:uid="{00000000-0005-0000-0000-0000873A0000}"/>
    <cellStyle name="Normal 2 2 2 2 4 2 2 5 5 8" xfId="14984" xr:uid="{00000000-0005-0000-0000-0000883A0000}"/>
    <cellStyle name="Normal 2 2 2 2 4 2 2 5 5 9" xfId="14985" xr:uid="{00000000-0005-0000-0000-0000893A0000}"/>
    <cellStyle name="Normal 2 2 2 2 4 2 2 5 6" xfId="14986" xr:uid="{00000000-0005-0000-0000-00008A3A0000}"/>
    <cellStyle name="Normal 2 2 2 2 4 2 2 5 7" xfId="14987" xr:uid="{00000000-0005-0000-0000-00008B3A0000}"/>
    <cellStyle name="Normal 2 2 2 2 4 2 2 5 8" xfId="14988" xr:uid="{00000000-0005-0000-0000-00008C3A0000}"/>
    <cellStyle name="Normal 2 2 2 2 4 2 2 5 9" xfId="14989" xr:uid="{00000000-0005-0000-0000-00008D3A0000}"/>
    <cellStyle name="Normal 2 2 2 2 4 2 2 6" xfId="14990" xr:uid="{00000000-0005-0000-0000-00008E3A0000}"/>
    <cellStyle name="Normal 2 2 2 2 4 2 2 6 10" xfId="14991" xr:uid="{00000000-0005-0000-0000-00008F3A0000}"/>
    <cellStyle name="Normal 2 2 2 2 4 2 2 6 11" xfId="14992" xr:uid="{00000000-0005-0000-0000-0000903A0000}"/>
    <cellStyle name="Normal 2 2 2 2 4 2 2 6 12" xfId="14993" xr:uid="{00000000-0005-0000-0000-0000913A0000}"/>
    <cellStyle name="Normal 2 2 2 2 4 2 2 6 13" xfId="14994" xr:uid="{00000000-0005-0000-0000-0000923A0000}"/>
    <cellStyle name="Normal 2 2 2 2 4 2 2 6 14" xfId="14995" xr:uid="{00000000-0005-0000-0000-0000933A0000}"/>
    <cellStyle name="Normal 2 2 2 2 4 2 2 6 2" xfId="14996" xr:uid="{00000000-0005-0000-0000-0000943A0000}"/>
    <cellStyle name="Normal 2 2 2 2 4 2 2 6 2 10" xfId="14997" xr:uid="{00000000-0005-0000-0000-0000953A0000}"/>
    <cellStyle name="Normal 2 2 2 2 4 2 2 6 2 2" xfId="14998" xr:uid="{00000000-0005-0000-0000-0000963A0000}"/>
    <cellStyle name="Normal 2 2 2 2 4 2 2 6 2 3" xfId="14999" xr:uid="{00000000-0005-0000-0000-0000973A0000}"/>
    <cellStyle name="Normal 2 2 2 2 4 2 2 6 2 4" xfId="15000" xr:uid="{00000000-0005-0000-0000-0000983A0000}"/>
    <cellStyle name="Normal 2 2 2 2 4 2 2 6 2 5" xfId="15001" xr:uid="{00000000-0005-0000-0000-0000993A0000}"/>
    <cellStyle name="Normal 2 2 2 2 4 2 2 6 2 6" xfId="15002" xr:uid="{00000000-0005-0000-0000-00009A3A0000}"/>
    <cellStyle name="Normal 2 2 2 2 4 2 2 6 2 7" xfId="15003" xr:uid="{00000000-0005-0000-0000-00009B3A0000}"/>
    <cellStyle name="Normal 2 2 2 2 4 2 2 6 2 8" xfId="15004" xr:uid="{00000000-0005-0000-0000-00009C3A0000}"/>
    <cellStyle name="Normal 2 2 2 2 4 2 2 6 2 9" xfId="15005" xr:uid="{00000000-0005-0000-0000-00009D3A0000}"/>
    <cellStyle name="Normal 2 2 2 2 4 2 2 6 3" xfId="15006" xr:uid="{00000000-0005-0000-0000-00009E3A0000}"/>
    <cellStyle name="Normal 2 2 2 2 4 2 2 6 3 10" xfId="15007" xr:uid="{00000000-0005-0000-0000-00009F3A0000}"/>
    <cellStyle name="Normal 2 2 2 2 4 2 2 6 3 2" xfId="15008" xr:uid="{00000000-0005-0000-0000-0000A03A0000}"/>
    <cellStyle name="Normal 2 2 2 2 4 2 2 6 3 3" xfId="15009" xr:uid="{00000000-0005-0000-0000-0000A13A0000}"/>
    <cellStyle name="Normal 2 2 2 2 4 2 2 6 3 4" xfId="15010" xr:uid="{00000000-0005-0000-0000-0000A23A0000}"/>
    <cellStyle name="Normal 2 2 2 2 4 2 2 6 3 5" xfId="15011" xr:uid="{00000000-0005-0000-0000-0000A33A0000}"/>
    <cellStyle name="Normal 2 2 2 2 4 2 2 6 3 6" xfId="15012" xr:uid="{00000000-0005-0000-0000-0000A43A0000}"/>
    <cellStyle name="Normal 2 2 2 2 4 2 2 6 3 7" xfId="15013" xr:uid="{00000000-0005-0000-0000-0000A53A0000}"/>
    <cellStyle name="Normal 2 2 2 2 4 2 2 6 3 8" xfId="15014" xr:uid="{00000000-0005-0000-0000-0000A63A0000}"/>
    <cellStyle name="Normal 2 2 2 2 4 2 2 6 3 9" xfId="15015" xr:uid="{00000000-0005-0000-0000-0000A73A0000}"/>
    <cellStyle name="Normal 2 2 2 2 4 2 2 6 4" xfId="15016" xr:uid="{00000000-0005-0000-0000-0000A83A0000}"/>
    <cellStyle name="Normal 2 2 2 2 4 2 2 6 4 10" xfId="15017" xr:uid="{00000000-0005-0000-0000-0000A93A0000}"/>
    <cellStyle name="Normal 2 2 2 2 4 2 2 6 4 2" xfId="15018" xr:uid="{00000000-0005-0000-0000-0000AA3A0000}"/>
    <cellStyle name="Normal 2 2 2 2 4 2 2 6 4 3" xfId="15019" xr:uid="{00000000-0005-0000-0000-0000AB3A0000}"/>
    <cellStyle name="Normal 2 2 2 2 4 2 2 6 4 4" xfId="15020" xr:uid="{00000000-0005-0000-0000-0000AC3A0000}"/>
    <cellStyle name="Normal 2 2 2 2 4 2 2 6 4 5" xfId="15021" xr:uid="{00000000-0005-0000-0000-0000AD3A0000}"/>
    <cellStyle name="Normal 2 2 2 2 4 2 2 6 4 6" xfId="15022" xr:uid="{00000000-0005-0000-0000-0000AE3A0000}"/>
    <cellStyle name="Normal 2 2 2 2 4 2 2 6 4 7" xfId="15023" xr:uid="{00000000-0005-0000-0000-0000AF3A0000}"/>
    <cellStyle name="Normal 2 2 2 2 4 2 2 6 4 8" xfId="15024" xr:uid="{00000000-0005-0000-0000-0000B03A0000}"/>
    <cellStyle name="Normal 2 2 2 2 4 2 2 6 4 9" xfId="15025" xr:uid="{00000000-0005-0000-0000-0000B13A0000}"/>
    <cellStyle name="Normal 2 2 2 2 4 2 2 6 5" xfId="15026" xr:uid="{00000000-0005-0000-0000-0000B23A0000}"/>
    <cellStyle name="Normal 2 2 2 2 4 2 2 6 5 10" xfId="15027" xr:uid="{00000000-0005-0000-0000-0000B33A0000}"/>
    <cellStyle name="Normal 2 2 2 2 4 2 2 6 5 2" xfId="15028" xr:uid="{00000000-0005-0000-0000-0000B43A0000}"/>
    <cellStyle name="Normal 2 2 2 2 4 2 2 6 5 3" xfId="15029" xr:uid="{00000000-0005-0000-0000-0000B53A0000}"/>
    <cellStyle name="Normal 2 2 2 2 4 2 2 6 5 4" xfId="15030" xr:uid="{00000000-0005-0000-0000-0000B63A0000}"/>
    <cellStyle name="Normal 2 2 2 2 4 2 2 6 5 5" xfId="15031" xr:uid="{00000000-0005-0000-0000-0000B73A0000}"/>
    <cellStyle name="Normal 2 2 2 2 4 2 2 6 5 6" xfId="15032" xr:uid="{00000000-0005-0000-0000-0000B83A0000}"/>
    <cellStyle name="Normal 2 2 2 2 4 2 2 6 5 7" xfId="15033" xr:uid="{00000000-0005-0000-0000-0000B93A0000}"/>
    <cellStyle name="Normal 2 2 2 2 4 2 2 6 5 8" xfId="15034" xr:uid="{00000000-0005-0000-0000-0000BA3A0000}"/>
    <cellStyle name="Normal 2 2 2 2 4 2 2 6 5 9" xfId="15035" xr:uid="{00000000-0005-0000-0000-0000BB3A0000}"/>
    <cellStyle name="Normal 2 2 2 2 4 2 2 6 6" xfId="15036" xr:uid="{00000000-0005-0000-0000-0000BC3A0000}"/>
    <cellStyle name="Normal 2 2 2 2 4 2 2 6 7" xfId="15037" xr:uid="{00000000-0005-0000-0000-0000BD3A0000}"/>
    <cellStyle name="Normal 2 2 2 2 4 2 2 6 8" xfId="15038" xr:uid="{00000000-0005-0000-0000-0000BE3A0000}"/>
    <cellStyle name="Normal 2 2 2 2 4 2 2 6 9" xfId="15039" xr:uid="{00000000-0005-0000-0000-0000BF3A0000}"/>
    <cellStyle name="Normal 2 2 2 2 4 2 2 7" xfId="15040" xr:uid="{00000000-0005-0000-0000-0000C03A0000}"/>
    <cellStyle name="Normal 2 2 2 2 4 2 2 7 10" xfId="15041" xr:uid="{00000000-0005-0000-0000-0000C13A0000}"/>
    <cellStyle name="Normal 2 2 2 2 4 2 2 7 11" xfId="15042" xr:uid="{00000000-0005-0000-0000-0000C23A0000}"/>
    <cellStyle name="Normal 2 2 2 2 4 2 2 7 12" xfId="15043" xr:uid="{00000000-0005-0000-0000-0000C33A0000}"/>
    <cellStyle name="Normal 2 2 2 2 4 2 2 7 13" xfId="15044" xr:uid="{00000000-0005-0000-0000-0000C43A0000}"/>
    <cellStyle name="Normal 2 2 2 2 4 2 2 7 14" xfId="15045" xr:uid="{00000000-0005-0000-0000-0000C53A0000}"/>
    <cellStyle name="Normal 2 2 2 2 4 2 2 7 2" xfId="15046" xr:uid="{00000000-0005-0000-0000-0000C63A0000}"/>
    <cellStyle name="Normal 2 2 2 2 4 2 2 7 2 10" xfId="15047" xr:uid="{00000000-0005-0000-0000-0000C73A0000}"/>
    <cellStyle name="Normal 2 2 2 2 4 2 2 7 2 2" xfId="15048" xr:uid="{00000000-0005-0000-0000-0000C83A0000}"/>
    <cellStyle name="Normal 2 2 2 2 4 2 2 7 2 3" xfId="15049" xr:uid="{00000000-0005-0000-0000-0000C93A0000}"/>
    <cellStyle name="Normal 2 2 2 2 4 2 2 7 2 4" xfId="15050" xr:uid="{00000000-0005-0000-0000-0000CA3A0000}"/>
    <cellStyle name="Normal 2 2 2 2 4 2 2 7 2 5" xfId="15051" xr:uid="{00000000-0005-0000-0000-0000CB3A0000}"/>
    <cellStyle name="Normal 2 2 2 2 4 2 2 7 2 6" xfId="15052" xr:uid="{00000000-0005-0000-0000-0000CC3A0000}"/>
    <cellStyle name="Normal 2 2 2 2 4 2 2 7 2 7" xfId="15053" xr:uid="{00000000-0005-0000-0000-0000CD3A0000}"/>
    <cellStyle name="Normal 2 2 2 2 4 2 2 7 2 8" xfId="15054" xr:uid="{00000000-0005-0000-0000-0000CE3A0000}"/>
    <cellStyle name="Normal 2 2 2 2 4 2 2 7 2 9" xfId="15055" xr:uid="{00000000-0005-0000-0000-0000CF3A0000}"/>
    <cellStyle name="Normal 2 2 2 2 4 2 2 7 3" xfId="15056" xr:uid="{00000000-0005-0000-0000-0000D03A0000}"/>
    <cellStyle name="Normal 2 2 2 2 4 2 2 7 3 10" xfId="15057" xr:uid="{00000000-0005-0000-0000-0000D13A0000}"/>
    <cellStyle name="Normal 2 2 2 2 4 2 2 7 3 2" xfId="15058" xr:uid="{00000000-0005-0000-0000-0000D23A0000}"/>
    <cellStyle name="Normal 2 2 2 2 4 2 2 7 3 3" xfId="15059" xr:uid="{00000000-0005-0000-0000-0000D33A0000}"/>
    <cellStyle name="Normal 2 2 2 2 4 2 2 7 3 4" xfId="15060" xr:uid="{00000000-0005-0000-0000-0000D43A0000}"/>
    <cellStyle name="Normal 2 2 2 2 4 2 2 7 3 5" xfId="15061" xr:uid="{00000000-0005-0000-0000-0000D53A0000}"/>
    <cellStyle name="Normal 2 2 2 2 4 2 2 7 3 6" xfId="15062" xr:uid="{00000000-0005-0000-0000-0000D63A0000}"/>
    <cellStyle name="Normal 2 2 2 2 4 2 2 7 3 7" xfId="15063" xr:uid="{00000000-0005-0000-0000-0000D73A0000}"/>
    <cellStyle name="Normal 2 2 2 2 4 2 2 7 3 8" xfId="15064" xr:uid="{00000000-0005-0000-0000-0000D83A0000}"/>
    <cellStyle name="Normal 2 2 2 2 4 2 2 7 3 9" xfId="15065" xr:uid="{00000000-0005-0000-0000-0000D93A0000}"/>
    <cellStyle name="Normal 2 2 2 2 4 2 2 7 4" xfId="15066" xr:uid="{00000000-0005-0000-0000-0000DA3A0000}"/>
    <cellStyle name="Normal 2 2 2 2 4 2 2 7 4 10" xfId="15067" xr:uid="{00000000-0005-0000-0000-0000DB3A0000}"/>
    <cellStyle name="Normal 2 2 2 2 4 2 2 7 4 2" xfId="15068" xr:uid="{00000000-0005-0000-0000-0000DC3A0000}"/>
    <cellStyle name="Normal 2 2 2 2 4 2 2 7 4 3" xfId="15069" xr:uid="{00000000-0005-0000-0000-0000DD3A0000}"/>
    <cellStyle name="Normal 2 2 2 2 4 2 2 7 4 4" xfId="15070" xr:uid="{00000000-0005-0000-0000-0000DE3A0000}"/>
    <cellStyle name="Normal 2 2 2 2 4 2 2 7 4 5" xfId="15071" xr:uid="{00000000-0005-0000-0000-0000DF3A0000}"/>
    <cellStyle name="Normal 2 2 2 2 4 2 2 7 4 6" xfId="15072" xr:uid="{00000000-0005-0000-0000-0000E03A0000}"/>
    <cellStyle name="Normal 2 2 2 2 4 2 2 7 4 7" xfId="15073" xr:uid="{00000000-0005-0000-0000-0000E13A0000}"/>
    <cellStyle name="Normal 2 2 2 2 4 2 2 7 4 8" xfId="15074" xr:uid="{00000000-0005-0000-0000-0000E23A0000}"/>
    <cellStyle name="Normal 2 2 2 2 4 2 2 7 4 9" xfId="15075" xr:uid="{00000000-0005-0000-0000-0000E33A0000}"/>
    <cellStyle name="Normal 2 2 2 2 4 2 2 7 5" xfId="15076" xr:uid="{00000000-0005-0000-0000-0000E43A0000}"/>
    <cellStyle name="Normal 2 2 2 2 4 2 2 7 5 10" xfId="15077" xr:uid="{00000000-0005-0000-0000-0000E53A0000}"/>
    <cellStyle name="Normal 2 2 2 2 4 2 2 7 5 2" xfId="15078" xr:uid="{00000000-0005-0000-0000-0000E63A0000}"/>
    <cellStyle name="Normal 2 2 2 2 4 2 2 7 5 3" xfId="15079" xr:uid="{00000000-0005-0000-0000-0000E73A0000}"/>
    <cellStyle name="Normal 2 2 2 2 4 2 2 7 5 4" xfId="15080" xr:uid="{00000000-0005-0000-0000-0000E83A0000}"/>
    <cellStyle name="Normal 2 2 2 2 4 2 2 7 5 5" xfId="15081" xr:uid="{00000000-0005-0000-0000-0000E93A0000}"/>
    <cellStyle name="Normal 2 2 2 2 4 2 2 7 5 6" xfId="15082" xr:uid="{00000000-0005-0000-0000-0000EA3A0000}"/>
    <cellStyle name="Normal 2 2 2 2 4 2 2 7 5 7" xfId="15083" xr:uid="{00000000-0005-0000-0000-0000EB3A0000}"/>
    <cellStyle name="Normal 2 2 2 2 4 2 2 7 5 8" xfId="15084" xr:uid="{00000000-0005-0000-0000-0000EC3A0000}"/>
    <cellStyle name="Normal 2 2 2 2 4 2 2 7 5 9" xfId="15085" xr:uid="{00000000-0005-0000-0000-0000ED3A0000}"/>
    <cellStyle name="Normal 2 2 2 2 4 2 2 7 6" xfId="15086" xr:uid="{00000000-0005-0000-0000-0000EE3A0000}"/>
    <cellStyle name="Normal 2 2 2 2 4 2 2 7 7" xfId="15087" xr:uid="{00000000-0005-0000-0000-0000EF3A0000}"/>
    <cellStyle name="Normal 2 2 2 2 4 2 2 7 8" xfId="15088" xr:uid="{00000000-0005-0000-0000-0000F03A0000}"/>
    <cellStyle name="Normal 2 2 2 2 4 2 2 7 9" xfId="15089" xr:uid="{00000000-0005-0000-0000-0000F13A0000}"/>
    <cellStyle name="Normal 2 2 2 2 4 2 2 8" xfId="15090" xr:uid="{00000000-0005-0000-0000-0000F23A0000}"/>
    <cellStyle name="Normal 2 2 2 2 4 2 2 8 10" xfId="15091" xr:uid="{00000000-0005-0000-0000-0000F33A0000}"/>
    <cellStyle name="Normal 2 2 2 2 4 2 2 8 11" xfId="15092" xr:uid="{00000000-0005-0000-0000-0000F43A0000}"/>
    <cellStyle name="Normal 2 2 2 2 4 2 2 8 12" xfId="15093" xr:uid="{00000000-0005-0000-0000-0000F53A0000}"/>
    <cellStyle name="Normal 2 2 2 2 4 2 2 8 13" xfId="15094" xr:uid="{00000000-0005-0000-0000-0000F63A0000}"/>
    <cellStyle name="Normal 2 2 2 2 4 2 2 8 14" xfId="15095" xr:uid="{00000000-0005-0000-0000-0000F73A0000}"/>
    <cellStyle name="Normal 2 2 2 2 4 2 2 8 2" xfId="15096" xr:uid="{00000000-0005-0000-0000-0000F83A0000}"/>
    <cellStyle name="Normal 2 2 2 2 4 2 2 8 2 10" xfId="15097" xr:uid="{00000000-0005-0000-0000-0000F93A0000}"/>
    <cellStyle name="Normal 2 2 2 2 4 2 2 8 2 2" xfId="15098" xr:uid="{00000000-0005-0000-0000-0000FA3A0000}"/>
    <cellStyle name="Normal 2 2 2 2 4 2 2 8 2 3" xfId="15099" xr:uid="{00000000-0005-0000-0000-0000FB3A0000}"/>
    <cellStyle name="Normal 2 2 2 2 4 2 2 8 2 4" xfId="15100" xr:uid="{00000000-0005-0000-0000-0000FC3A0000}"/>
    <cellStyle name="Normal 2 2 2 2 4 2 2 8 2 5" xfId="15101" xr:uid="{00000000-0005-0000-0000-0000FD3A0000}"/>
    <cellStyle name="Normal 2 2 2 2 4 2 2 8 2 6" xfId="15102" xr:uid="{00000000-0005-0000-0000-0000FE3A0000}"/>
    <cellStyle name="Normal 2 2 2 2 4 2 2 8 2 7" xfId="15103" xr:uid="{00000000-0005-0000-0000-0000FF3A0000}"/>
    <cellStyle name="Normal 2 2 2 2 4 2 2 8 2 8" xfId="15104" xr:uid="{00000000-0005-0000-0000-0000003B0000}"/>
    <cellStyle name="Normal 2 2 2 2 4 2 2 8 2 9" xfId="15105" xr:uid="{00000000-0005-0000-0000-0000013B0000}"/>
    <cellStyle name="Normal 2 2 2 2 4 2 2 8 3" xfId="15106" xr:uid="{00000000-0005-0000-0000-0000023B0000}"/>
    <cellStyle name="Normal 2 2 2 2 4 2 2 8 3 10" xfId="15107" xr:uid="{00000000-0005-0000-0000-0000033B0000}"/>
    <cellStyle name="Normal 2 2 2 2 4 2 2 8 3 2" xfId="15108" xr:uid="{00000000-0005-0000-0000-0000043B0000}"/>
    <cellStyle name="Normal 2 2 2 2 4 2 2 8 3 3" xfId="15109" xr:uid="{00000000-0005-0000-0000-0000053B0000}"/>
    <cellStyle name="Normal 2 2 2 2 4 2 2 8 3 4" xfId="15110" xr:uid="{00000000-0005-0000-0000-0000063B0000}"/>
    <cellStyle name="Normal 2 2 2 2 4 2 2 8 3 5" xfId="15111" xr:uid="{00000000-0005-0000-0000-0000073B0000}"/>
    <cellStyle name="Normal 2 2 2 2 4 2 2 8 3 6" xfId="15112" xr:uid="{00000000-0005-0000-0000-0000083B0000}"/>
    <cellStyle name="Normal 2 2 2 2 4 2 2 8 3 7" xfId="15113" xr:uid="{00000000-0005-0000-0000-0000093B0000}"/>
    <cellStyle name="Normal 2 2 2 2 4 2 2 8 3 8" xfId="15114" xr:uid="{00000000-0005-0000-0000-00000A3B0000}"/>
    <cellStyle name="Normal 2 2 2 2 4 2 2 8 3 9" xfId="15115" xr:uid="{00000000-0005-0000-0000-00000B3B0000}"/>
    <cellStyle name="Normal 2 2 2 2 4 2 2 8 4" xfId="15116" xr:uid="{00000000-0005-0000-0000-00000C3B0000}"/>
    <cellStyle name="Normal 2 2 2 2 4 2 2 8 4 10" xfId="15117" xr:uid="{00000000-0005-0000-0000-00000D3B0000}"/>
    <cellStyle name="Normal 2 2 2 2 4 2 2 8 4 2" xfId="15118" xr:uid="{00000000-0005-0000-0000-00000E3B0000}"/>
    <cellStyle name="Normal 2 2 2 2 4 2 2 8 4 3" xfId="15119" xr:uid="{00000000-0005-0000-0000-00000F3B0000}"/>
    <cellStyle name="Normal 2 2 2 2 4 2 2 8 4 4" xfId="15120" xr:uid="{00000000-0005-0000-0000-0000103B0000}"/>
    <cellStyle name="Normal 2 2 2 2 4 2 2 8 4 5" xfId="15121" xr:uid="{00000000-0005-0000-0000-0000113B0000}"/>
    <cellStyle name="Normal 2 2 2 2 4 2 2 8 4 6" xfId="15122" xr:uid="{00000000-0005-0000-0000-0000123B0000}"/>
    <cellStyle name="Normal 2 2 2 2 4 2 2 8 4 7" xfId="15123" xr:uid="{00000000-0005-0000-0000-0000133B0000}"/>
    <cellStyle name="Normal 2 2 2 2 4 2 2 8 4 8" xfId="15124" xr:uid="{00000000-0005-0000-0000-0000143B0000}"/>
    <cellStyle name="Normal 2 2 2 2 4 2 2 8 4 9" xfId="15125" xr:uid="{00000000-0005-0000-0000-0000153B0000}"/>
    <cellStyle name="Normal 2 2 2 2 4 2 2 8 5" xfId="15126" xr:uid="{00000000-0005-0000-0000-0000163B0000}"/>
    <cellStyle name="Normal 2 2 2 2 4 2 2 8 5 10" xfId="15127" xr:uid="{00000000-0005-0000-0000-0000173B0000}"/>
    <cellStyle name="Normal 2 2 2 2 4 2 2 8 5 2" xfId="15128" xr:uid="{00000000-0005-0000-0000-0000183B0000}"/>
    <cellStyle name="Normal 2 2 2 2 4 2 2 8 5 3" xfId="15129" xr:uid="{00000000-0005-0000-0000-0000193B0000}"/>
    <cellStyle name="Normal 2 2 2 2 4 2 2 8 5 4" xfId="15130" xr:uid="{00000000-0005-0000-0000-00001A3B0000}"/>
    <cellStyle name="Normal 2 2 2 2 4 2 2 8 5 5" xfId="15131" xr:uid="{00000000-0005-0000-0000-00001B3B0000}"/>
    <cellStyle name="Normal 2 2 2 2 4 2 2 8 5 6" xfId="15132" xr:uid="{00000000-0005-0000-0000-00001C3B0000}"/>
    <cellStyle name="Normal 2 2 2 2 4 2 2 8 5 7" xfId="15133" xr:uid="{00000000-0005-0000-0000-00001D3B0000}"/>
    <cellStyle name="Normal 2 2 2 2 4 2 2 8 5 8" xfId="15134" xr:uid="{00000000-0005-0000-0000-00001E3B0000}"/>
    <cellStyle name="Normal 2 2 2 2 4 2 2 8 5 9" xfId="15135" xr:uid="{00000000-0005-0000-0000-00001F3B0000}"/>
    <cellStyle name="Normal 2 2 2 2 4 2 2 8 6" xfId="15136" xr:uid="{00000000-0005-0000-0000-0000203B0000}"/>
    <cellStyle name="Normal 2 2 2 2 4 2 2 8 7" xfId="15137" xr:uid="{00000000-0005-0000-0000-0000213B0000}"/>
    <cellStyle name="Normal 2 2 2 2 4 2 2 8 8" xfId="15138" xr:uid="{00000000-0005-0000-0000-0000223B0000}"/>
    <cellStyle name="Normal 2 2 2 2 4 2 2 8 9" xfId="15139" xr:uid="{00000000-0005-0000-0000-0000233B0000}"/>
    <cellStyle name="Normal 2 2 2 2 4 2 2 9" xfId="15140" xr:uid="{00000000-0005-0000-0000-0000243B0000}"/>
    <cellStyle name="Normal 2 2 2 2 4 2 2 9 10" xfId="15141" xr:uid="{00000000-0005-0000-0000-0000253B0000}"/>
    <cellStyle name="Normal 2 2 2 2 4 2 2 9 11" xfId="15142" xr:uid="{00000000-0005-0000-0000-0000263B0000}"/>
    <cellStyle name="Normal 2 2 2 2 4 2 2 9 12" xfId="15143" xr:uid="{00000000-0005-0000-0000-0000273B0000}"/>
    <cellStyle name="Normal 2 2 2 2 4 2 2 9 13" xfId="15144" xr:uid="{00000000-0005-0000-0000-0000283B0000}"/>
    <cellStyle name="Normal 2 2 2 2 4 2 2 9 14" xfId="15145" xr:uid="{00000000-0005-0000-0000-0000293B0000}"/>
    <cellStyle name="Normal 2 2 2 2 4 2 2 9 2" xfId="15146" xr:uid="{00000000-0005-0000-0000-00002A3B0000}"/>
    <cellStyle name="Normal 2 2 2 2 4 2 2 9 2 10" xfId="15147" xr:uid="{00000000-0005-0000-0000-00002B3B0000}"/>
    <cellStyle name="Normal 2 2 2 2 4 2 2 9 2 2" xfId="15148" xr:uid="{00000000-0005-0000-0000-00002C3B0000}"/>
    <cellStyle name="Normal 2 2 2 2 4 2 2 9 2 3" xfId="15149" xr:uid="{00000000-0005-0000-0000-00002D3B0000}"/>
    <cellStyle name="Normal 2 2 2 2 4 2 2 9 2 4" xfId="15150" xr:uid="{00000000-0005-0000-0000-00002E3B0000}"/>
    <cellStyle name="Normal 2 2 2 2 4 2 2 9 2 5" xfId="15151" xr:uid="{00000000-0005-0000-0000-00002F3B0000}"/>
    <cellStyle name="Normal 2 2 2 2 4 2 2 9 2 6" xfId="15152" xr:uid="{00000000-0005-0000-0000-0000303B0000}"/>
    <cellStyle name="Normal 2 2 2 2 4 2 2 9 2 7" xfId="15153" xr:uid="{00000000-0005-0000-0000-0000313B0000}"/>
    <cellStyle name="Normal 2 2 2 2 4 2 2 9 2 8" xfId="15154" xr:uid="{00000000-0005-0000-0000-0000323B0000}"/>
    <cellStyle name="Normal 2 2 2 2 4 2 2 9 2 9" xfId="15155" xr:uid="{00000000-0005-0000-0000-0000333B0000}"/>
    <cellStyle name="Normal 2 2 2 2 4 2 2 9 3" xfId="15156" xr:uid="{00000000-0005-0000-0000-0000343B0000}"/>
    <cellStyle name="Normal 2 2 2 2 4 2 2 9 3 10" xfId="15157" xr:uid="{00000000-0005-0000-0000-0000353B0000}"/>
    <cellStyle name="Normal 2 2 2 2 4 2 2 9 3 2" xfId="15158" xr:uid="{00000000-0005-0000-0000-0000363B0000}"/>
    <cellStyle name="Normal 2 2 2 2 4 2 2 9 3 3" xfId="15159" xr:uid="{00000000-0005-0000-0000-0000373B0000}"/>
    <cellStyle name="Normal 2 2 2 2 4 2 2 9 3 4" xfId="15160" xr:uid="{00000000-0005-0000-0000-0000383B0000}"/>
    <cellStyle name="Normal 2 2 2 2 4 2 2 9 3 5" xfId="15161" xr:uid="{00000000-0005-0000-0000-0000393B0000}"/>
    <cellStyle name="Normal 2 2 2 2 4 2 2 9 3 6" xfId="15162" xr:uid="{00000000-0005-0000-0000-00003A3B0000}"/>
    <cellStyle name="Normal 2 2 2 2 4 2 2 9 3 7" xfId="15163" xr:uid="{00000000-0005-0000-0000-00003B3B0000}"/>
    <cellStyle name="Normal 2 2 2 2 4 2 2 9 3 8" xfId="15164" xr:uid="{00000000-0005-0000-0000-00003C3B0000}"/>
    <cellStyle name="Normal 2 2 2 2 4 2 2 9 3 9" xfId="15165" xr:uid="{00000000-0005-0000-0000-00003D3B0000}"/>
    <cellStyle name="Normal 2 2 2 2 4 2 2 9 4" xfId="15166" xr:uid="{00000000-0005-0000-0000-00003E3B0000}"/>
    <cellStyle name="Normal 2 2 2 2 4 2 2 9 4 10" xfId="15167" xr:uid="{00000000-0005-0000-0000-00003F3B0000}"/>
    <cellStyle name="Normal 2 2 2 2 4 2 2 9 4 2" xfId="15168" xr:uid="{00000000-0005-0000-0000-0000403B0000}"/>
    <cellStyle name="Normal 2 2 2 2 4 2 2 9 4 3" xfId="15169" xr:uid="{00000000-0005-0000-0000-0000413B0000}"/>
    <cellStyle name="Normal 2 2 2 2 4 2 2 9 4 4" xfId="15170" xr:uid="{00000000-0005-0000-0000-0000423B0000}"/>
    <cellStyle name="Normal 2 2 2 2 4 2 2 9 4 5" xfId="15171" xr:uid="{00000000-0005-0000-0000-0000433B0000}"/>
    <cellStyle name="Normal 2 2 2 2 4 2 2 9 4 6" xfId="15172" xr:uid="{00000000-0005-0000-0000-0000443B0000}"/>
    <cellStyle name="Normal 2 2 2 2 4 2 2 9 4 7" xfId="15173" xr:uid="{00000000-0005-0000-0000-0000453B0000}"/>
    <cellStyle name="Normal 2 2 2 2 4 2 2 9 4 8" xfId="15174" xr:uid="{00000000-0005-0000-0000-0000463B0000}"/>
    <cellStyle name="Normal 2 2 2 2 4 2 2 9 4 9" xfId="15175" xr:uid="{00000000-0005-0000-0000-0000473B0000}"/>
    <cellStyle name="Normal 2 2 2 2 4 2 2 9 5" xfId="15176" xr:uid="{00000000-0005-0000-0000-0000483B0000}"/>
    <cellStyle name="Normal 2 2 2 2 4 2 2 9 5 10" xfId="15177" xr:uid="{00000000-0005-0000-0000-0000493B0000}"/>
    <cellStyle name="Normal 2 2 2 2 4 2 2 9 5 2" xfId="15178" xr:uid="{00000000-0005-0000-0000-00004A3B0000}"/>
    <cellStyle name="Normal 2 2 2 2 4 2 2 9 5 3" xfId="15179" xr:uid="{00000000-0005-0000-0000-00004B3B0000}"/>
    <cellStyle name="Normal 2 2 2 2 4 2 2 9 5 4" xfId="15180" xr:uid="{00000000-0005-0000-0000-00004C3B0000}"/>
    <cellStyle name="Normal 2 2 2 2 4 2 2 9 5 5" xfId="15181" xr:uid="{00000000-0005-0000-0000-00004D3B0000}"/>
    <cellStyle name="Normal 2 2 2 2 4 2 2 9 5 6" xfId="15182" xr:uid="{00000000-0005-0000-0000-00004E3B0000}"/>
    <cellStyle name="Normal 2 2 2 2 4 2 2 9 5 7" xfId="15183" xr:uid="{00000000-0005-0000-0000-00004F3B0000}"/>
    <cellStyle name="Normal 2 2 2 2 4 2 2 9 5 8" xfId="15184" xr:uid="{00000000-0005-0000-0000-0000503B0000}"/>
    <cellStyle name="Normal 2 2 2 2 4 2 2 9 5 9" xfId="15185" xr:uid="{00000000-0005-0000-0000-0000513B0000}"/>
    <cellStyle name="Normal 2 2 2 2 4 2 2 9 6" xfId="15186" xr:uid="{00000000-0005-0000-0000-0000523B0000}"/>
    <cellStyle name="Normal 2 2 2 2 4 2 2 9 7" xfId="15187" xr:uid="{00000000-0005-0000-0000-0000533B0000}"/>
    <cellStyle name="Normal 2 2 2 2 4 2 2 9 8" xfId="15188" xr:uid="{00000000-0005-0000-0000-0000543B0000}"/>
    <cellStyle name="Normal 2 2 2 2 4 2 2 9 9" xfId="15189" xr:uid="{00000000-0005-0000-0000-0000553B0000}"/>
    <cellStyle name="Normal 2 2 2 2 4 2 20" xfId="15190" xr:uid="{00000000-0005-0000-0000-0000563B0000}"/>
    <cellStyle name="Normal 2 2 2 2 4 2 21" xfId="15191" xr:uid="{00000000-0005-0000-0000-0000573B0000}"/>
    <cellStyle name="Normal 2 2 2 2 4 2 21 10" xfId="15192" xr:uid="{00000000-0005-0000-0000-0000583B0000}"/>
    <cellStyle name="Normal 2 2 2 2 4 2 21 2" xfId="15193" xr:uid="{00000000-0005-0000-0000-0000593B0000}"/>
    <cellStyle name="Normal 2 2 2 2 4 2 21 3" xfId="15194" xr:uid="{00000000-0005-0000-0000-00005A3B0000}"/>
    <cellStyle name="Normal 2 2 2 2 4 2 21 4" xfId="15195" xr:uid="{00000000-0005-0000-0000-00005B3B0000}"/>
    <cellStyle name="Normal 2 2 2 2 4 2 21 5" xfId="15196" xr:uid="{00000000-0005-0000-0000-00005C3B0000}"/>
    <cellStyle name="Normal 2 2 2 2 4 2 21 6" xfId="15197" xr:uid="{00000000-0005-0000-0000-00005D3B0000}"/>
    <cellStyle name="Normal 2 2 2 2 4 2 21 7" xfId="15198" xr:uid="{00000000-0005-0000-0000-00005E3B0000}"/>
    <cellStyle name="Normal 2 2 2 2 4 2 21 8" xfId="15199" xr:uid="{00000000-0005-0000-0000-00005F3B0000}"/>
    <cellStyle name="Normal 2 2 2 2 4 2 21 9" xfId="15200" xr:uid="{00000000-0005-0000-0000-0000603B0000}"/>
    <cellStyle name="Normal 2 2 2 2 4 2 22" xfId="15201" xr:uid="{00000000-0005-0000-0000-0000613B0000}"/>
    <cellStyle name="Normal 2 2 2 2 4 2 22 10" xfId="15202" xr:uid="{00000000-0005-0000-0000-0000623B0000}"/>
    <cellStyle name="Normal 2 2 2 2 4 2 22 2" xfId="15203" xr:uid="{00000000-0005-0000-0000-0000633B0000}"/>
    <cellStyle name="Normal 2 2 2 2 4 2 22 3" xfId="15204" xr:uid="{00000000-0005-0000-0000-0000643B0000}"/>
    <cellStyle name="Normal 2 2 2 2 4 2 22 4" xfId="15205" xr:uid="{00000000-0005-0000-0000-0000653B0000}"/>
    <cellStyle name="Normal 2 2 2 2 4 2 22 5" xfId="15206" xr:uid="{00000000-0005-0000-0000-0000663B0000}"/>
    <cellStyle name="Normal 2 2 2 2 4 2 22 6" xfId="15207" xr:uid="{00000000-0005-0000-0000-0000673B0000}"/>
    <cellStyle name="Normal 2 2 2 2 4 2 22 7" xfId="15208" xr:uid="{00000000-0005-0000-0000-0000683B0000}"/>
    <cellStyle name="Normal 2 2 2 2 4 2 22 8" xfId="15209" xr:uid="{00000000-0005-0000-0000-0000693B0000}"/>
    <cellStyle name="Normal 2 2 2 2 4 2 22 9" xfId="15210" xr:uid="{00000000-0005-0000-0000-00006A3B0000}"/>
    <cellStyle name="Normal 2 2 2 2 4 2 23" xfId="15211" xr:uid="{00000000-0005-0000-0000-00006B3B0000}"/>
    <cellStyle name="Normal 2 2 2 2 4 2 23 10" xfId="15212" xr:uid="{00000000-0005-0000-0000-00006C3B0000}"/>
    <cellStyle name="Normal 2 2 2 2 4 2 23 2" xfId="15213" xr:uid="{00000000-0005-0000-0000-00006D3B0000}"/>
    <cellStyle name="Normal 2 2 2 2 4 2 23 3" xfId="15214" xr:uid="{00000000-0005-0000-0000-00006E3B0000}"/>
    <cellStyle name="Normal 2 2 2 2 4 2 23 4" xfId="15215" xr:uid="{00000000-0005-0000-0000-00006F3B0000}"/>
    <cellStyle name="Normal 2 2 2 2 4 2 23 5" xfId="15216" xr:uid="{00000000-0005-0000-0000-0000703B0000}"/>
    <cellStyle name="Normal 2 2 2 2 4 2 23 6" xfId="15217" xr:uid="{00000000-0005-0000-0000-0000713B0000}"/>
    <cellStyle name="Normal 2 2 2 2 4 2 23 7" xfId="15218" xr:uid="{00000000-0005-0000-0000-0000723B0000}"/>
    <cellStyle name="Normal 2 2 2 2 4 2 23 8" xfId="15219" xr:uid="{00000000-0005-0000-0000-0000733B0000}"/>
    <cellStyle name="Normal 2 2 2 2 4 2 23 9" xfId="15220" xr:uid="{00000000-0005-0000-0000-0000743B0000}"/>
    <cellStyle name="Normal 2 2 2 2 4 2 24" xfId="15221" xr:uid="{00000000-0005-0000-0000-0000753B0000}"/>
    <cellStyle name="Normal 2 2 2 2 4 2 24 10" xfId="15222" xr:uid="{00000000-0005-0000-0000-0000763B0000}"/>
    <cellStyle name="Normal 2 2 2 2 4 2 24 2" xfId="15223" xr:uid="{00000000-0005-0000-0000-0000773B0000}"/>
    <cellStyle name="Normal 2 2 2 2 4 2 24 3" xfId="15224" xr:uid="{00000000-0005-0000-0000-0000783B0000}"/>
    <cellStyle name="Normal 2 2 2 2 4 2 24 4" xfId="15225" xr:uid="{00000000-0005-0000-0000-0000793B0000}"/>
    <cellStyle name="Normal 2 2 2 2 4 2 24 5" xfId="15226" xr:uid="{00000000-0005-0000-0000-00007A3B0000}"/>
    <cellStyle name="Normal 2 2 2 2 4 2 24 6" xfId="15227" xr:uid="{00000000-0005-0000-0000-00007B3B0000}"/>
    <cellStyle name="Normal 2 2 2 2 4 2 24 7" xfId="15228" xr:uid="{00000000-0005-0000-0000-00007C3B0000}"/>
    <cellStyle name="Normal 2 2 2 2 4 2 24 8" xfId="15229" xr:uid="{00000000-0005-0000-0000-00007D3B0000}"/>
    <cellStyle name="Normal 2 2 2 2 4 2 24 9" xfId="15230" xr:uid="{00000000-0005-0000-0000-00007E3B0000}"/>
    <cellStyle name="Normal 2 2 2 2 4 2 25" xfId="15231" xr:uid="{00000000-0005-0000-0000-00007F3B0000}"/>
    <cellStyle name="Normal 2 2 2 2 4 2 26" xfId="15232" xr:uid="{00000000-0005-0000-0000-0000803B0000}"/>
    <cellStyle name="Normal 2 2 2 2 4 2 27" xfId="15233" xr:uid="{00000000-0005-0000-0000-0000813B0000}"/>
    <cellStyle name="Normal 2 2 2 2 4 2 28" xfId="15234" xr:uid="{00000000-0005-0000-0000-0000823B0000}"/>
    <cellStyle name="Normal 2 2 2 2 4 2 29" xfId="15235" xr:uid="{00000000-0005-0000-0000-0000833B0000}"/>
    <cellStyle name="Normal 2 2 2 2 4 2 3" xfId="15236" xr:uid="{00000000-0005-0000-0000-0000843B0000}"/>
    <cellStyle name="Normal 2 2 2 2 4 2 30" xfId="15237" xr:uid="{00000000-0005-0000-0000-0000853B0000}"/>
    <cellStyle name="Normal 2 2 2 2 4 2 31" xfId="15238" xr:uid="{00000000-0005-0000-0000-0000863B0000}"/>
    <cellStyle name="Normal 2 2 2 2 4 2 32" xfId="15239" xr:uid="{00000000-0005-0000-0000-0000873B0000}"/>
    <cellStyle name="Normal 2 2 2 2 4 2 33" xfId="15240" xr:uid="{00000000-0005-0000-0000-0000883B0000}"/>
    <cellStyle name="Normal 2 2 2 2 4 2 34" xfId="15241" xr:uid="{00000000-0005-0000-0000-0000893B0000}"/>
    <cellStyle name="Normal 2 2 2 2 4 2 35" xfId="15242" xr:uid="{00000000-0005-0000-0000-00008A3B0000}"/>
    <cellStyle name="Normal 2 2 2 2 4 2 4" xfId="15243" xr:uid="{00000000-0005-0000-0000-00008B3B0000}"/>
    <cellStyle name="Normal 2 2 2 2 4 2 5" xfId="15244" xr:uid="{00000000-0005-0000-0000-00008C3B0000}"/>
    <cellStyle name="Normal 2 2 2 2 4 2 6" xfId="15245" xr:uid="{00000000-0005-0000-0000-00008D3B0000}"/>
    <cellStyle name="Normal 2 2 2 2 4 2 7" xfId="15246" xr:uid="{00000000-0005-0000-0000-00008E3B0000}"/>
    <cellStyle name="Normal 2 2 2 2 4 2 8" xfId="15247" xr:uid="{00000000-0005-0000-0000-00008F3B0000}"/>
    <cellStyle name="Normal 2 2 2 2 4 2 9" xfId="15248" xr:uid="{00000000-0005-0000-0000-0000903B0000}"/>
    <cellStyle name="Normal 2 2 2 2 4 20" xfId="15249" xr:uid="{00000000-0005-0000-0000-0000913B0000}"/>
    <cellStyle name="Normal 2 2 2 2 4 20 10" xfId="15250" xr:uid="{00000000-0005-0000-0000-0000923B0000}"/>
    <cellStyle name="Normal 2 2 2 2 4 20 11" xfId="15251" xr:uid="{00000000-0005-0000-0000-0000933B0000}"/>
    <cellStyle name="Normal 2 2 2 2 4 20 12" xfId="15252" xr:uid="{00000000-0005-0000-0000-0000943B0000}"/>
    <cellStyle name="Normal 2 2 2 2 4 20 13" xfId="15253" xr:uid="{00000000-0005-0000-0000-0000953B0000}"/>
    <cellStyle name="Normal 2 2 2 2 4 20 14" xfId="15254" xr:uid="{00000000-0005-0000-0000-0000963B0000}"/>
    <cellStyle name="Normal 2 2 2 2 4 20 2" xfId="15255" xr:uid="{00000000-0005-0000-0000-0000973B0000}"/>
    <cellStyle name="Normal 2 2 2 2 4 20 2 10" xfId="15256" xr:uid="{00000000-0005-0000-0000-0000983B0000}"/>
    <cellStyle name="Normal 2 2 2 2 4 20 2 2" xfId="15257" xr:uid="{00000000-0005-0000-0000-0000993B0000}"/>
    <cellStyle name="Normal 2 2 2 2 4 20 2 3" xfId="15258" xr:uid="{00000000-0005-0000-0000-00009A3B0000}"/>
    <cellStyle name="Normal 2 2 2 2 4 20 2 4" xfId="15259" xr:uid="{00000000-0005-0000-0000-00009B3B0000}"/>
    <cellStyle name="Normal 2 2 2 2 4 20 2 5" xfId="15260" xr:uid="{00000000-0005-0000-0000-00009C3B0000}"/>
    <cellStyle name="Normal 2 2 2 2 4 20 2 6" xfId="15261" xr:uid="{00000000-0005-0000-0000-00009D3B0000}"/>
    <cellStyle name="Normal 2 2 2 2 4 20 2 7" xfId="15262" xr:uid="{00000000-0005-0000-0000-00009E3B0000}"/>
    <cellStyle name="Normal 2 2 2 2 4 20 2 8" xfId="15263" xr:uid="{00000000-0005-0000-0000-00009F3B0000}"/>
    <cellStyle name="Normal 2 2 2 2 4 20 2 9" xfId="15264" xr:uid="{00000000-0005-0000-0000-0000A03B0000}"/>
    <cellStyle name="Normal 2 2 2 2 4 20 3" xfId="15265" xr:uid="{00000000-0005-0000-0000-0000A13B0000}"/>
    <cellStyle name="Normal 2 2 2 2 4 20 3 10" xfId="15266" xr:uid="{00000000-0005-0000-0000-0000A23B0000}"/>
    <cellStyle name="Normal 2 2 2 2 4 20 3 2" xfId="15267" xr:uid="{00000000-0005-0000-0000-0000A33B0000}"/>
    <cellStyle name="Normal 2 2 2 2 4 20 3 3" xfId="15268" xr:uid="{00000000-0005-0000-0000-0000A43B0000}"/>
    <cellStyle name="Normal 2 2 2 2 4 20 3 4" xfId="15269" xr:uid="{00000000-0005-0000-0000-0000A53B0000}"/>
    <cellStyle name="Normal 2 2 2 2 4 20 3 5" xfId="15270" xr:uid="{00000000-0005-0000-0000-0000A63B0000}"/>
    <cellStyle name="Normal 2 2 2 2 4 20 3 6" xfId="15271" xr:uid="{00000000-0005-0000-0000-0000A73B0000}"/>
    <cellStyle name="Normal 2 2 2 2 4 20 3 7" xfId="15272" xr:uid="{00000000-0005-0000-0000-0000A83B0000}"/>
    <cellStyle name="Normal 2 2 2 2 4 20 3 8" xfId="15273" xr:uid="{00000000-0005-0000-0000-0000A93B0000}"/>
    <cellStyle name="Normal 2 2 2 2 4 20 3 9" xfId="15274" xr:uid="{00000000-0005-0000-0000-0000AA3B0000}"/>
    <cellStyle name="Normal 2 2 2 2 4 20 4" xfId="15275" xr:uid="{00000000-0005-0000-0000-0000AB3B0000}"/>
    <cellStyle name="Normal 2 2 2 2 4 20 4 10" xfId="15276" xr:uid="{00000000-0005-0000-0000-0000AC3B0000}"/>
    <cellStyle name="Normal 2 2 2 2 4 20 4 2" xfId="15277" xr:uid="{00000000-0005-0000-0000-0000AD3B0000}"/>
    <cellStyle name="Normal 2 2 2 2 4 20 4 3" xfId="15278" xr:uid="{00000000-0005-0000-0000-0000AE3B0000}"/>
    <cellStyle name="Normal 2 2 2 2 4 20 4 4" xfId="15279" xr:uid="{00000000-0005-0000-0000-0000AF3B0000}"/>
    <cellStyle name="Normal 2 2 2 2 4 20 4 5" xfId="15280" xr:uid="{00000000-0005-0000-0000-0000B03B0000}"/>
    <cellStyle name="Normal 2 2 2 2 4 20 4 6" xfId="15281" xr:uid="{00000000-0005-0000-0000-0000B13B0000}"/>
    <cellStyle name="Normal 2 2 2 2 4 20 4 7" xfId="15282" xr:uid="{00000000-0005-0000-0000-0000B23B0000}"/>
    <cellStyle name="Normal 2 2 2 2 4 20 4 8" xfId="15283" xr:uid="{00000000-0005-0000-0000-0000B33B0000}"/>
    <cellStyle name="Normal 2 2 2 2 4 20 4 9" xfId="15284" xr:uid="{00000000-0005-0000-0000-0000B43B0000}"/>
    <cellStyle name="Normal 2 2 2 2 4 20 5" xfId="15285" xr:uid="{00000000-0005-0000-0000-0000B53B0000}"/>
    <cellStyle name="Normal 2 2 2 2 4 20 5 10" xfId="15286" xr:uid="{00000000-0005-0000-0000-0000B63B0000}"/>
    <cellStyle name="Normal 2 2 2 2 4 20 5 2" xfId="15287" xr:uid="{00000000-0005-0000-0000-0000B73B0000}"/>
    <cellStyle name="Normal 2 2 2 2 4 20 5 3" xfId="15288" xr:uid="{00000000-0005-0000-0000-0000B83B0000}"/>
    <cellStyle name="Normal 2 2 2 2 4 20 5 4" xfId="15289" xr:uid="{00000000-0005-0000-0000-0000B93B0000}"/>
    <cellStyle name="Normal 2 2 2 2 4 20 5 5" xfId="15290" xr:uid="{00000000-0005-0000-0000-0000BA3B0000}"/>
    <cellStyle name="Normal 2 2 2 2 4 20 5 6" xfId="15291" xr:uid="{00000000-0005-0000-0000-0000BB3B0000}"/>
    <cellStyle name="Normal 2 2 2 2 4 20 5 7" xfId="15292" xr:uid="{00000000-0005-0000-0000-0000BC3B0000}"/>
    <cellStyle name="Normal 2 2 2 2 4 20 5 8" xfId="15293" xr:uid="{00000000-0005-0000-0000-0000BD3B0000}"/>
    <cellStyle name="Normal 2 2 2 2 4 20 5 9" xfId="15294" xr:uid="{00000000-0005-0000-0000-0000BE3B0000}"/>
    <cellStyle name="Normal 2 2 2 2 4 20 6" xfId="15295" xr:uid="{00000000-0005-0000-0000-0000BF3B0000}"/>
    <cellStyle name="Normal 2 2 2 2 4 20 7" xfId="15296" xr:uid="{00000000-0005-0000-0000-0000C03B0000}"/>
    <cellStyle name="Normal 2 2 2 2 4 20 8" xfId="15297" xr:uid="{00000000-0005-0000-0000-0000C13B0000}"/>
    <cellStyle name="Normal 2 2 2 2 4 20 9" xfId="15298" xr:uid="{00000000-0005-0000-0000-0000C23B0000}"/>
    <cellStyle name="Normal 2 2 2 2 4 21" xfId="15299" xr:uid="{00000000-0005-0000-0000-0000C33B0000}"/>
    <cellStyle name="Normal 2 2 2 2 4 21 10" xfId="15300" xr:uid="{00000000-0005-0000-0000-0000C43B0000}"/>
    <cellStyle name="Normal 2 2 2 2 4 21 11" xfId="15301" xr:uid="{00000000-0005-0000-0000-0000C53B0000}"/>
    <cellStyle name="Normal 2 2 2 2 4 21 12" xfId="15302" xr:uid="{00000000-0005-0000-0000-0000C63B0000}"/>
    <cellStyle name="Normal 2 2 2 2 4 21 13" xfId="15303" xr:uid="{00000000-0005-0000-0000-0000C73B0000}"/>
    <cellStyle name="Normal 2 2 2 2 4 21 14" xfId="15304" xr:uid="{00000000-0005-0000-0000-0000C83B0000}"/>
    <cellStyle name="Normal 2 2 2 2 4 21 2" xfId="15305" xr:uid="{00000000-0005-0000-0000-0000C93B0000}"/>
    <cellStyle name="Normal 2 2 2 2 4 21 2 10" xfId="15306" xr:uid="{00000000-0005-0000-0000-0000CA3B0000}"/>
    <cellStyle name="Normal 2 2 2 2 4 21 2 2" xfId="15307" xr:uid="{00000000-0005-0000-0000-0000CB3B0000}"/>
    <cellStyle name="Normal 2 2 2 2 4 21 2 3" xfId="15308" xr:uid="{00000000-0005-0000-0000-0000CC3B0000}"/>
    <cellStyle name="Normal 2 2 2 2 4 21 2 4" xfId="15309" xr:uid="{00000000-0005-0000-0000-0000CD3B0000}"/>
    <cellStyle name="Normal 2 2 2 2 4 21 2 5" xfId="15310" xr:uid="{00000000-0005-0000-0000-0000CE3B0000}"/>
    <cellStyle name="Normal 2 2 2 2 4 21 2 6" xfId="15311" xr:uid="{00000000-0005-0000-0000-0000CF3B0000}"/>
    <cellStyle name="Normal 2 2 2 2 4 21 2 7" xfId="15312" xr:uid="{00000000-0005-0000-0000-0000D03B0000}"/>
    <cellStyle name="Normal 2 2 2 2 4 21 2 8" xfId="15313" xr:uid="{00000000-0005-0000-0000-0000D13B0000}"/>
    <cellStyle name="Normal 2 2 2 2 4 21 2 9" xfId="15314" xr:uid="{00000000-0005-0000-0000-0000D23B0000}"/>
    <cellStyle name="Normal 2 2 2 2 4 21 3" xfId="15315" xr:uid="{00000000-0005-0000-0000-0000D33B0000}"/>
    <cellStyle name="Normal 2 2 2 2 4 21 3 10" xfId="15316" xr:uid="{00000000-0005-0000-0000-0000D43B0000}"/>
    <cellStyle name="Normal 2 2 2 2 4 21 3 2" xfId="15317" xr:uid="{00000000-0005-0000-0000-0000D53B0000}"/>
    <cellStyle name="Normal 2 2 2 2 4 21 3 3" xfId="15318" xr:uid="{00000000-0005-0000-0000-0000D63B0000}"/>
    <cellStyle name="Normal 2 2 2 2 4 21 3 4" xfId="15319" xr:uid="{00000000-0005-0000-0000-0000D73B0000}"/>
    <cellStyle name="Normal 2 2 2 2 4 21 3 5" xfId="15320" xr:uid="{00000000-0005-0000-0000-0000D83B0000}"/>
    <cellStyle name="Normal 2 2 2 2 4 21 3 6" xfId="15321" xr:uid="{00000000-0005-0000-0000-0000D93B0000}"/>
    <cellStyle name="Normal 2 2 2 2 4 21 3 7" xfId="15322" xr:uid="{00000000-0005-0000-0000-0000DA3B0000}"/>
    <cellStyle name="Normal 2 2 2 2 4 21 3 8" xfId="15323" xr:uid="{00000000-0005-0000-0000-0000DB3B0000}"/>
    <cellStyle name="Normal 2 2 2 2 4 21 3 9" xfId="15324" xr:uid="{00000000-0005-0000-0000-0000DC3B0000}"/>
    <cellStyle name="Normal 2 2 2 2 4 21 4" xfId="15325" xr:uid="{00000000-0005-0000-0000-0000DD3B0000}"/>
    <cellStyle name="Normal 2 2 2 2 4 21 4 10" xfId="15326" xr:uid="{00000000-0005-0000-0000-0000DE3B0000}"/>
    <cellStyle name="Normal 2 2 2 2 4 21 4 2" xfId="15327" xr:uid="{00000000-0005-0000-0000-0000DF3B0000}"/>
    <cellStyle name="Normal 2 2 2 2 4 21 4 3" xfId="15328" xr:uid="{00000000-0005-0000-0000-0000E03B0000}"/>
    <cellStyle name="Normal 2 2 2 2 4 21 4 4" xfId="15329" xr:uid="{00000000-0005-0000-0000-0000E13B0000}"/>
    <cellStyle name="Normal 2 2 2 2 4 21 4 5" xfId="15330" xr:uid="{00000000-0005-0000-0000-0000E23B0000}"/>
    <cellStyle name="Normal 2 2 2 2 4 21 4 6" xfId="15331" xr:uid="{00000000-0005-0000-0000-0000E33B0000}"/>
    <cellStyle name="Normal 2 2 2 2 4 21 4 7" xfId="15332" xr:uid="{00000000-0005-0000-0000-0000E43B0000}"/>
    <cellStyle name="Normal 2 2 2 2 4 21 4 8" xfId="15333" xr:uid="{00000000-0005-0000-0000-0000E53B0000}"/>
    <cellStyle name="Normal 2 2 2 2 4 21 4 9" xfId="15334" xr:uid="{00000000-0005-0000-0000-0000E63B0000}"/>
    <cellStyle name="Normal 2 2 2 2 4 21 5" xfId="15335" xr:uid="{00000000-0005-0000-0000-0000E73B0000}"/>
    <cellStyle name="Normal 2 2 2 2 4 21 5 10" xfId="15336" xr:uid="{00000000-0005-0000-0000-0000E83B0000}"/>
    <cellStyle name="Normal 2 2 2 2 4 21 5 2" xfId="15337" xr:uid="{00000000-0005-0000-0000-0000E93B0000}"/>
    <cellStyle name="Normal 2 2 2 2 4 21 5 3" xfId="15338" xr:uid="{00000000-0005-0000-0000-0000EA3B0000}"/>
    <cellStyle name="Normal 2 2 2 2 4 21 5 4" xfId="15339" xr:uid="{00000000-0005-0000-0000-0000EB3B0000}"/>
    <cellStyle name="Normal 2 2 2 2 4 21 5 5" xfId="15340" xr:uid="{00000000-0005-0000-0000-0000EC3B0000}"/>
    <cellStyle name="Normal 2 2 2 2 4 21 5 6" xfId="15341" xr:uid="{00000000-0005-0000-0000-0000ED3B0000}"/>
    <cellStyle name="Normal 2 2 2 2 4 21 5 7" xfId="15342" xr:uid="{00000000-0005-0000-0000-0000EE3B0000}"/>
    <cellStyle name="Normal 2 2 2 2 4 21 5 8" xfId="15343" xr:uid="{00000000-0005-0000-0000-0000EF3B0000}"/>
    <cellStyle name="Normal 2 2 2 2 4 21 5 9" xfId="15344" xr:uid="{00000000-0005-0000-0000-0000F03B0000}"/>
    <cellStyle name="Normal 2 2 2 2 4 21 6" xfId="15345" xr:uid="{00000000-0005-0000-0000-0000F13B0000}"/>
    <cellStyle name="Normal 2 2 2 2 4 21 7" xfId="15346" xr:uid="{00000000-0005-0000-0000-0000F23B0000}"/>
    <cellStyle name="Normal 2 2 2 2 4 21 8" xfId="15347" xr:uid="{00000000-0005-0000-0000-0000F33B0000}"/>
    <cellStyle name="Normal 2 2 2 2 4 21 9" xfId="15348" xr:uid="{00000000-0005-0000-0000-0000F43B0000}"/>
    <cellStyle name="Normal 2 2 2 2 4 22" xfId="15349" xr:uid="{00000000-0005-0000-0000-0000F53B0000}"/>
    <cellStyle name="Normal 2 2 2 2 4 22 10" xfId="15350" xr:uid="{00000000-0005-0000-0000-0000F63B0000}"/>
    <cellStyle name="Normal 2 2 2 2 4 22 11" xfId="15351" xr:uid="{00000000-0005-0000-0000-0000F73B0000}"/>
    <cellStyle name="Normal 2 2 2 2 4 22 12" xfId="15352" xr:uid="{00000000-0005-0000-0000-0000F83B0000}"/>
    <cellStyle name="Normal 2 2 2 2 4 22 13" xfId="15353" xr:uid="{00000000-0005-0000-0000-0000F93B0000}"/>
    <cellStyle name="Normal 2 2 2 2 4 22 14" xfId="15354" xr:uid="{00000000-0005-0000-0000-0000FA3B0000}"/>
    <cellStyle name="Normal 2 2 2 2 4 22 2" xfId="15355" xr:uid="{00000000-0005-0000-0000-0000FB3B0000}"/>
    <cellStyle name="Normal 2 2 2 2 4 22 2 10" xfId="15356" xr:uid="{00000000-0005-0000-0000-0000FC3B0000}"/>
    <cellStyle name="Normal 2 2 2 2 4 22 2 2" xfId="15357" xr:uid="{00000000-0005-0000-0000-0000FD3B0000}"/>
    <cellStyle name="Normal 2 2 2 2 4 22 2 3" xfId="15358" xr:uid="{00000000-0005-0000-0000-0000FE3B0000}"/>
    <cellStyle name="Normal 2 2 2 2 4 22 2 4" xfId="15359" xr:uid="{00000000-0005-0000-0000-0000FF3B0000}"/>
    <cellStyle name="Normal 2 2 2 2 4 22 2 5" xfId="15360" xr:uid="{00000000-0005-0000-0000-0000003C0000}"/>
    <cellStyle name="Normal 2 2 2 2 4 22 2 6" xfId="15361" xr:uid="{00000000-0005-0000-0000-0000013C0000}"/>
    <cellStyle name="Normal 2 2 2 2 4 22 2 7" xfId="15362" xr:uid="{00000000-0005-0000-0000-0000023C0000}"/>
    <cellStyle name="Normal 2 2 2 2 4 22 2 8" xfId="15363" xr:uid="{00000000-0005-0000-0000-0000033C0000}"/>
    <cellStyle name="Normal 2 2 2 2 4 22 2 9" xfId="15364" xr:uid="{00000000-0005-0000-0000-0000043C0000}"/>
    <cellStyle name="Normal 2 2 2 2 4 22 3" xfId="15365" xr:uid="{00000000-0005-0000-0000-0000053C0000}"/>
    <cellStyle name="Normal 2 2 2 2 4 22 3 10" xfId="15366" xr:uid="{00000000-0005-0000-0000-0000063C0000}"/>
    <cellStyle name="Normal 2 2 2 2 4 22 3 2" xfId="15367" xr:uid="{00000000-0005-0000-0000-0000073C0000}"/>
    <cellStyle name="Normal 2 2 2 2 4 22 3 3" xfId="15368" xr:uid="{00000000-0005-0000-0000-0000083C0000}"/>
    <cellStyle name="Normal 2 2 2 2 4 22 3 4" xfId="15369" xr:uid="{00000000-0005-0000-0000-0000093C0000}"/>
    <cellStyle name="Normal 2 2 2 2 4 22 3 5" xfId="15370" xr:uid="{00000000-0005-0000-0000-00000A3C0000}"/>
    <cellStyle name="Normal 2 2 2 2 4 22 3 6" xfId="15371" xr:uid="{00000000-0005-0000-0000-00000B3C0000}"/>
    <cellStyle name="Normal 2 2 2 2 4 22 3 7" xfId="15372" xr:uid="{00000000-0005-0000-0000-00000C3C0000}"/>
    <cellStyle name="Normal 2 2 2 2 4 22 3 8" xfId="15373" xr:uid="{00000000-0005-0000-0000-00000D3C0000}"/>
    <cellStyle name="Normal 2 2 2 2 4 22 3 9" xfId="15374" xr:uid="{00000000-0005-0000-0000-00000E3C0000}"/>
    <cellStyle name="Normal 2 2 2 2 4 22 4" xfId="15375" xr:uid="{00000000-0005-0000-0000-00000F3C0000}"/>
    <cellStyle name="Normal 2 2 2 2 4 22 4 10" xfId="15376" xr:uid="{00000000-0005-0000-0000-0000103C0000}"/>
    <cellStyle name="Normal 2 2 2 2 4 22 4 2" xfId="15377" xr:uid="{00000000-0005-0000-0000-0000113C0000}"/>
    <cellStyle name="Normal 2 2 2 2 4 22 4 3" xfId="15378" xr:uid="{00000000-0005-0000-0000-0000123C0000}"/>
    <cellStyle name="Normal 2 2 2 2 4 22 4 4" xfId="15379" xr:uid="{00000000-0005-0000-0000-0000133C0000}"/>
    <cellStyle name="Normal 2 2 2 2 4 22 4 5" xfId="15380" xr:uid="{00000000-0005-0000-0000-0000143C0000}"/>
    <cellStyle name="Normal 2 2 2 2 4 22 4 6" xfId="15381" xr:uid="{00000000-0005-0000-0000-0000153C0000}"/>
    <cellStyle name="Normal 2 2 2 2 4 22 4 7" xfId="15382" xr:uid="{00000000-0005-0000-0000-0000163C0000}"/>
    <cellStyle name="Normal 2 2 2 2 4 22 4 8" xfId="15383" xr:uid="{00000000-0005-0000-0000-0000173C0000}"/>
    <cellStyle name="Normal 2 2 2 2 4 22 4 9" xfId="15384" xr:uid="{00000000-0005-0000-0000-0000183C0000}"/>
    <cellStyle name="Normal 2 2 2 2 4 22 5" xfId="15385" xr:uid="{00000000-0005-0000-0000-0000193C0000}"/>
    <cellStyle name="Normal 2 2 2 2 4 22 5 10" xfId="15386" xr:uid="{00000000-0005-0000-0000-00001A3C0000}"/>
    <cellStyle name="Normal 2 2 2 2 4 22 5 2" xfId="15387" xr:uid="{00000000-0005-0000-0000-00001B3C0000}"/>
    <cellStyle name="Normal 2 2 2 2 4 22 5 3" xfId="15388" xr:uid="{00000000-0005-0000-0000-00001C3C0000}"/>
    <cellStyle name="Normal 2 2 2 2 4 22 5 4" xfId="15389" xr:uid="{00000000-0005-0000-0000-00001D3C0000}"/>
    <cellStyle name="Normal 2 2 2 2 4 22 5 5" xfId="15390" xr:uid="{00000000-0005-0000-0000-00001E3C0000}"/>
    <cellStyle name="Normal 2 2 2 2 4 22 5 6" xfId="15391" xr:uid="{00000000-0005-0000-0000-00001F3C0000}"/>
    <cellStyle name="Normal 2 2 2 2 4 22 5 7" xfId="15392" xr:uid="{00000000-0005-0000-0000-0000203C0000}"/>
    <cellStyle name="Normal 2 2 2 2 4 22 5 8" xfId="15393" xr:uid="{00000000-0005-0000-0000-0000213C0000}"/>
    <cellStyle name="Normal 2 2 2 2 4 22 5 9" xfId="15394" xr:uid="{00000000-0005-0000-0000-0000223C0000}"/>
    <cellStyle name="Normal 2 2 2 2 4 22 6" xfId="15395" xr:uid="{00000000-0005-0000-0000-0000233C0000}"/>
    <cellStyle name="Normal 2 2 2 2 4 22 7" xfId="15396" xr:uid="{00000000-0005-0000-0000-0000243C0000}"/>
    <cellStyle name="Normal 2 2 2 2 4 22 8" xfId="15397" xr:uid="{00000000-0005-0000-0000-0000253C0000}"/>
    <cellStyle name="Normal 2 2 2 2 4 22 9" xfId="15398" xr:uid="{00000000-0005-0000-0000-0000263C0000}"/>
    <cellStyle name="Normal 2 2 2 2 4 23" xfId="15399" xr:uid="{00000000-0005-0000-0000-0000273C0000}"/>
    <cellStyle name="Normal 2 2 2 2 4 23 10" xfId="15400" xr:uid="{00000000-0005-0000-0000-0000283C0000}"/>
    <cellStyle name="Normal 2 2 2 2 4 23 11" xfId="15401" xr:uid="{00000000-0005-0000-0000-0000293C0000}"/>
    <cellStyle name="Normal 2 2 2 2 4 23 12" xfId="15402" xr:uid="{00000000-0005-0000-0000-00002A3C0000}"/>
    <cellStyle name="Normal 2 2 2 2 4 23 13" xfId="15403" xr:uid="{00000000-0005-0000-0000-00002B3C0000}"/>
    <cellStyle name="Normal 2 2 2 2 4 23 14" xfId="15404" xr:uid="{00000000-0005-0000-0000-00002C3C0000}"/>
    <cellStyle name="Normal 2 2 2 2 4 23 2" xfId="15405" xr:uid="{00000000-0005-0000-0000-00002D3C0000}"/>
    <cellStyle name="Normal 2 2 2 2 4 23 2 10" xfId="15406" xr:uid="{00000000-0005-0000-0000-00002E3C0000}"/>
    <cellStyle name="Normal 2 2 2 2 4 23 2 2" xfId="15407" xr:uid="{00000000-0005-0000-0000-00002F3C0000}"/>
    <cellStyle name="Normal 2 2 2 2 4 23 2 3" xfId="15408" xr:uid="{00000000-0005-0000-0000-0000303C0000}"/>
    <cellStyle name="Normal 2 2 2 2 4 23 2 4" xfId="15409" xr:uid="{00000000-0005-0000-0000-0000313C0000}"/>
    <cellStyle name="Normal 2 2 2 2 4 23 2 5" xfId="15410" xr:uid="{00000000-0005-0000-0000-0000323C0000}"/>
    <cellStyle name="Normal 2 2 2 2 4 23 2 6" xfId="15411" xr:uid="{00000000-0005-0000-0000-0000333C0000}"/>
    <cellStyle name="Normal 2 2 2 2 4 23 2 7" xfId="15412" xr:uid="{00000000-0005-0000-0000-0000343C0000}"/>
    <cellStyle name="Normal 2 2 2 2 4 23 2 8" xfId="15413" xr:uid="{00000000-0005-0000-0000-0000353C0000}"/>
    <cellStyle name="Normal 2 2 2 2 4 23 2 9" xfId="15414" xr:uid="{00000000-0005-0000-0000-0000363C0000}"/>
    <cellStyle name="Normal 2 2 2 2 4 23 3" xfId="15415" xr:uid="{00000000-0005-0000-0000-0000373C0000}"/>
    <cellStyle name="Normal 2 2 2 2 4 23 3 10" xfId="15416" xr:uid="{00000000-0005-0000-0000-0000383C0000}"/>
    <cellStyle name="Normal 2 2 2 2 4 23 3 2" xfId="15417" xr:uid="{00000000-0005-0000-0000-0000393C0000}"/>
    <cellStyle name="Normal 2 2 2 2 4 23 3 3" xfId="15418" xr:uid="{00000000-0005-0000-0000-00003A3C0000}"/>
    <cellStyle name="Normal 2 2 2 2 4 23 3 4" xfId="15419" xr:uid="{00000000-0005-0000-0000-00003B3C0000}"/>
    <cellStyle name="Normal 2 2 2 2 4 23 3 5" xfId="15420" xr:uid="{00000000-0005-0000-0000-00003C3C0000}"/>
    <cellStyle name="Normal 2 2 2 2 4 23 3 6" xfId="15421" xr:uid="{00000000-0005-0000-0000-00003D3C0000}"/>
    <cellStyle name="Normal 2 2 2 2 4 23 3 7" xfId="15422" xr:uid="{00000000-0005-0000-0000-00003E3C0000}"/>
    <cellStyle name="Normal 2 2 2 2 4 23 3 8" xfId="15423" xr:uid="{00000000-0005-0000-0000-00003F3C0000}"/>
    <cellStyle name="Normal 2 2 2 2 4 23 3 9" xfId="15424" xr:uid="{00000000-0005-0000-0000-0000403C0000}"/>
    <cellStyle name="Normal 2 2 2 2 4 23 4" xfId="15425" xr:uid="{00000000-0005-0000-0000-0000413C0000}"/>
    <cellStyle name="Normal 2 2 2 2 4 23 4 10" xfId="15426" xr:uid="{00000000-0005-0000-0000-0000423C0000}"/>
    <cellStyle name="Normal 2 2 2 2 4 23 4 2" xfId="15427" xr:uid="{00000000-0005-0000-0000-0000433C0000}"/>
    <cellStyle name="Normal 2 2 2 2 4 23 4 3" xfId="15428" xr:uid="{00000000-0005-0000-0000-0000443C0000}"/>
    <cellStyle name="Normal 2 2 2 2 4 23 4 4" xfId="15429" xr:uid="{00000000-0005-0000-0000-0000453C0000}"/>
    <cellStyle name="Normal 2 2 2 2 4 23 4 5" xfId="15430" xr:uid="{00000000-0005-0000-0000-0000463C0000}"/>
    <cellStyle name="Normal 2 2 2 2 4 23 4 6" xfId="15431" xr:uid="{00000000-0005-0000-0000-0000473C0000}"/>
    <cellStyle name="Normal 2 2 2 2 4 23 4 7" xfId="15432" xr:uid="{00000000-0005-0000-0000-0000483C0000}"/>
    <cellStyle name="Normal 2 2 2 2 4 23 4 8" xfId="15433" xr:uid="{00000000-0005-0000-0000-0000493C0000}"/>
    <cellStyle name="Normal 2 2 2 2 4 23 4 9" xfId="15434" xr:uid="{00000000-0005-0000-0000-00004A3C0000}"/>
    <cellStyle name="Normal 2 2 2 2 4 23 5" xfId="15435" xr:uid="{00000000-0005-0000-0000-00004B3C0000}"/>
    <cellStyle name="Normal 2 2 2 2 4 23 5 10" xfId="15436" xr:uid="{00000000-0005-0000-0000-00004C3C0000}"/>
    <cellStyle name="Normal 2 2 2 2 4 23 5 2" xfId="15437" xr:uid="{00000000-0005-0000-0000-00004D3C0000}"/>
    <cellStyle name="Normal 2 2 2 2 4 23 5 3" xfId="15438" xr:uid="{00000000-0005-0000-0000-00004E3C0000}"/>
    <cellStyle name="Normal 2 2 2 2 4 23 5 4" xfId="15439" xr:uid="{00000000-0005-0000-0000-00004F3C0000}"/>
    <cellStyle name="Normal 2 2 2 2 4 23 5 5" xfId="15440" xr:uid="{00000000-0005-0000-0000-0000503C0000}"/>
    <cellStyle name="Normal 2 2 2 2 4 23 5 6" xfId="15441" xr:uid="{00000000-0005-0000-0000-0000513C0000}"/>
    <cellStyle name="Normal 2 2 2 2 4 23 5 7" xfId="15442" xr:uid="{00000000-0005-0000-0000-0000523C0000}"/>
    <cellStyle name="Normal 2 2 2 2 4 23 5 8" xfId="15443" xr:uid="{00000000-0005-0000-0000-0000533C0000}"/>
    <cellStyle name="Normal 2 2 2 2 4 23 5 9" xfId="15444" xr:uid="{00000000-0005-0000-0000-0000543C0000}"/>
    <cellStyle name="Normal 2 2 2 2 4 23 6" xfId="15445" xr:uid="{00000000-0005-0000-0000-0000553C0000}"/>
    <cellStyle name="Normal 2 2 2 2 4 23 7" xfId="15446" xr:uid="{00000000-0005-0000-0000-0000563C0000}"/>
    <cellStyle name="Normal 2 2 2 2 4 23 8" xfId="15447" xr:uid="{00000000-0005-0000-0000-0000573C0000}"/>
    <cellStyle name="Normal 2 2 2 2 4 23 9" xfId="15448" xr:uid="{00000000-0005-0000-0000-0000583C0000}"/>
    <cellStyle name="Normal 2 2 2 2 4 24" xfId="15449" xr:uid="{00000000-0005-0000-0000-0000593C0000}"/>
    <cellStyle name="Normal 2 2 2 2 4 24 10" xfId="15450" xr:uid="{00000000-0005-0000-0000-00005A3C0000}"/>
    <cellStyle name="Normal 2 2 2 2 4 24 11" xfId="15451" xr:uid="{00000000-0005-0000-0000-00005B3C0000}"/>
    <cellStyle name="Normal 2 2 2 2 4 24 12" xfId="15452" xr:uid="{00000000-0005-0000-0000-00005C3C0000}"/>
    <cellStyle name="Normal 2 2 2 2 4 24 13" xfId="15453" xr:uid="{00000000-0005-0000-0000-00005D3C0000}"/>
    <cellStyle name="Normal 2 2 2 2 4 24 14" xfId="15454" xr:uid="{00000000-0005-0000-0000-00005E3C0000}"/>
    <cellStyle name="Normal 2 2 2 2 4 24 2" xfId="15455" xr:uid="{00000000-0005-0000-0000-00005F3C0000}"/>
    <cellStyle name="Normal 2 2 2 2 4 24 2 10" xfId="15456" xr:uid="{00000000-0005-0000-0000-0000603C0000}"/>
    <cellStyle name="Normal 2 2 2 2 4 24 2 2" xfId="15457" xr:uid="{00000000-0005-0000-0000-0000613C0000}"/>
    <cellStyle name="Normal 2 2 2 2 4 24 2 3" xfId="15458" xr:uid="{00000000-0005-0000-0000-0000623C0000}"/>
    <cellStyle name="Normal 2 2 2 2 4 24 2 4" xfId="15459" xr:uid="{00000000-0005-0000-0000-0000633C0000}"/>
    <cellStyle name="Normal 2 2 2 2 4 24 2 5" xfId="15460" xr:uid="{00000000-0005-0000-0000-0000643C0000}"/>
    <cellStyle name="Normal 2 2 2 2 4 24 2 6" xfId="15461" xr:uid="{00000000-0005-0000-0000-0000653C0000}"/>
    <cellStyle name="Normal 2 2 2 2 4 24 2 7" xfId="15462" xr:uid="{00000000-0005-0000-0000-0000663C0000}"/>
    <cellStyle name="Normal 2 2 2 2 4 24 2 8" xfId="15463" xr:uid="{00000000-0005-0000-0000-0000673C0000}"/>
    <cellStyle name="Normal 2 2 2 2 4 24 2 9" xfId="15464" xr:uid="{00000000-0005-0000-0000-0000683C0000}"/>
    <cellStyle name="Normal 2 2 2 2 4 24 3" xfId="15465" xr:uid="{00000000-0005-0000-0000-0000693C0000}"/>
    <cellStyle name="Normal 2 2 2 2 4 24 3 10" xfId="15466" xr:uid="{00000000-0005-0000-0000-00006A3C0000}"/>
    <cellStyle name="Normal 2 2 2 2 4 24 3 2" xfId="15467" xr:uid="{00000000-0005-0000-0000-00006B3C0000}"/>
    <cellStyle name="Normal 2 2 2 2 4 24 3 3" xfId="15468" xr:uid="{00000000-0005-0000-0000-00006C3C0000}"/>
    <cellStyle name="Normal 2 2 2 2 4 24 3 4" xfId="15469" xr:uid="{00000000-0005-0000-0000-00006D3C0000}"/>
    <cellStyle name="Normal 2 2 2 2 4 24 3 5" xfId="15470" xr:uid="{00000000-0005-0000-0000-00006E3C0000}"/>
    <cellStyle name="Normal 2 2 2 2 4 24 3 6" xfId="15471" xr:uid="{00000000-0005-0000-0000-00006F3C0000}"/>
    <cellStyle name="Normal 2 2 2 2 4 24 3 7" xfId="15472" xr:uid="{00000000-0005-0000-0000-0000703C0000}"/>
    <cellStyle name="Normal 2 2 2 2 4 24 3 8" xfId="15473" xr:uid="{00000000-0005-0000-0000-0000713C0000}"/>
    <cellStyle name="Normal 2 2 2 2 4 24 3 9" xfId="15474" xr:uid="{00000000-0005-0000-0000-0000723C0000}"/>
    <cellStyle name="Normal 2 2 2 2 4 24 4" xfId="15475" xr:uid="{00000000-0005-0000-0000-0000733C0000}"/>
    <cellStyle name="Normal 2 2 2 2 4 24 4 10" xfId="15476" xr:uid="{00000000-0005-0000-0000-0000743C0000}"/>
    <cellStyle name="Normal 2 2 2 2 4 24 4 2" xfId="15477" xr:uid="{00000000-0005-0000-0000-0000753C0000}"/>
    <cellStyle name="Normal 2 2 2 2 4 24 4 3" xfId="15478" xr:uid="{00000000-0005-0000-0000-0000763C0000}"/>
    <cellStyle name="Normal 2 2 2 2 4 24 4 4" xfId="15479" xr:uid="{00000000-0005-0000-0000-0000773C0000}"/>
    <cellStyle name="Normal 2 2 2 2 4 24 4 5" xfId="15480" xr:uid="{00000000-0005-0000-0000-0000783C0000}"/>
    <cellStyle name="Normal 2 2 2 2 4 24 4 6" xfId="15481" xr:uid="{00000000-0005-0000-0000-0000793C0000}"/>
    <cellStyle name="Normal 2 2 2 2 4 24 4 7" xfId="15482" xr:uid="{00000000-0005-0000-0000-00007A3C0000}"/>
    <cellStyle name="Normal 2 2 2 2 4 24 4 8" xfId="15483" xr:uid="{00000000-0005-0000-0000-00007B3C0000}"/>
    <cellStyle name="Normal 2 2 2 2 4 24 4 9" xfId="15484" xr:uid="{00000000-0005-0000-0000-00007C3C0000}"/>
    <cellStyle name="Normal 2 2 2 2 4 24 5" xfId="15485" xr:uid="{00000000-0005-0000-0000-00007D3C0000}"/>
    <cellStyle name="Normal 2 2 2 2 4 24 5 10" xfId="15486" xr:uid="{00000000-0005-0000-0000-00007E3C0000}"/>
    <cellStyle name="Normal 2 2 2 2 4 24 5 2" xfId="15487" xr:uid="{00000000-0005-0000-0000-00007F3C0000}"/>
    <cellStyle name="Normal 2 2 2 2 4 24 5 3" xfId="15488" xr:uid="{00000000-0005-0000-0000-0000803C0000}"/>
    <cellStyle name="Normal 2 2 2 2 4 24 5 4" xfId="15489" xr:uid="{00000000-0005-0000-0000-0000813C0000}"/>
    <cellStyle name="Normal 2 2 2 2 4 24 5 5" xfId="15490" xr:uid="{00000000-0005-0000-0000-0000823C0000}"/>
    <cellStyle name="Normal 2 2 2 2 4 24 5 6" xfId="15491" xr:uid="{00000000-0005-0000-0000-0000833C0000}"/>
    <cellStyle name="Normal 2 2 2 2 4 24 5 7" xfId="15492" xr:uid="{00000000-0005-0000-0000-0000843C0000}"/>
    <cellStyle name="Normal 2 2 2 2 4 24 5 8" xfId="15493" xr:uid="{00000000-0005-0000-0000-0000853C0000}"/>
    <cellStyle name="Normal 2 2 2 2 4 24 5 9" xfId="15494" xr:uid="{00000000-0005-0000-0000-0000863C0000}"/>
    <cellStyle name="Normal 2 2 2 2 4 24 6" xfId="15495" xr:uid="{00000000-0005-0000-0000-0000873C0000}"/>
    <cellStyle name="Normal 2 2 2 2 4 24 7" xfId="15496" xr:uid="{00000000-0005-0000-0000-0000883C0000}"/>
    <cellStyle name="Normal 2 2 2 2 4 24 8" xfId="15497" xr:uid="{00000000-0005-0000-0000-0000893C0000}"/>
    <cellStyle name="Normal 2 2 2 2 4 24 9" xfId="15498" xr:uid="{00000000-0005-0000-0000-00008A3C0000}"/>
    <cellStyle name="Normal 2 2 2 2 4 25" xfId="15499" xr:uid="{00000000-0005-0000-0000-00008B3C0000}"/>
    <cellStyle name="Normal 2 2 2 2 4 25 10" xfId="15500" xr:uid="{00000000-0005-0000-0000-00008C3C0000}"/>
    <cellStyle name="Normal 2 2 2 2 4 25 11" xfId="15501" xr:uid="{00000000-0005-0000-0000-00008D3C0000}"/>
    <cellStyle name="Normal 2 2 2 2 4 25 12" xfId="15502" xr:uid="{00000000-0005-0000-0000-00008E3C0000}"/>
    <cellStyle name="Normal 2 2 2 2 4 25 13" xfId="15503" xr:uid="{00000000-0005-0000-0000-00008F3C0000}"/>
    <cellStyle name="Normal 2 2 2 2 4 25 14" xfId="15504" xr:uid="{00000000-0005-0000-0000-0000903C0000}"/>
    <cellStyle name="Normal 2 2 2 2 4 25 2" xfId="15505" xr:uid="{00000000-0005-0000-0000-0000913C0000}"/>
    <cellStyle name="Normal 2 2 2 2 4 25 2 10" xfId="15506" xr:uid="{00000000-0005-0000-0000-0000923C0000}"/>
    <cellStyle name="Normal 2 2 2 2 4 25 2 2" xfId="15507" xr:uid="{00000000-0005-0000-0000-0000933C0000}"/>
    <cellStyle name="Normal 2 2 2 2 4 25 2 3" xfId="15508" xr:uid="{00000000-0005-0000-0000-0000943C0000}"/>
    <cellStyle name="Normal 2 2 2 2 4 25 2 4" xfId="15509" xr:uid="{00000000-0005-0000-0000-0000953C0000}"/>
    <cellStyle name="Normal 2 2 2 2 4 25 2 5" xfId="15510" xr:uid="{00000000-0005-0000-0000-0000963C0000}"/>
    <cellStyle name="Normal 2 2 2 2 4 25 2 6" xfId="15511" xr:uid="{00000000-0005-0000-0000-0000973C0000}"/>
    <cellStyle name="Normal 2 2 2 2 4 25 2 7" xfId="15512" xr:uid="{00000000-0005-0000-0000-0000983C0000}"/>
    <cellStyle name="Normal 2 2 2 2 4 25 2 8" xfId="15513" xr:uid="{00000000-0005-0000-0000-0000993C0000}"/>
    <cellStyle name="Normal 2 2 2 2 4 25 2 9" xfId="15514" xr:uid="{00000000-0005-0000-0000-00009A3C0000}"/>
    <cellStyle name="Normal 2 2 2 2 4 25 3" xfId="15515" xr:uid="{00000000-0005-0000-0000-00009B3C0000}"/>
    <cellStyle name="Normal 2 2 2 2 4 25 3 10" xfId="15516" xr:uid="{00000000-0005-0000-0000-00009C3C0000}"/>
    <cellStyle name="Normal 2 2 2 2 4 25 3 2" xfId="15517" xr:uid="{00000000-0005-0000-0000-00009D3C0000}"/>
    <cellStyle name="Normal 2 2 2 2 4 25 3 3" xfId="15518" xr:uid="{00000000-0005-0000-0000-00009E3C0000}"/>
    <cellStyle name="Normal 2 2 2 2 4 25 3 4" xfId="15519" xr:uid="{00000000-0005-0000-0000-00009F3C0000}"/>
    <cellStyle name="Normal 2 2 2 2 4 25 3 5" xfId="15520" xr:uid="{00000000-0005-0000-0000-0000A03C0000}"/>
    <cellStyle name="Normal 2 2 2 2 4 25 3 6" xfId="15521" xr:uid="{00000000-0005-0000-0000-0000A13C0000}"/>
    <cellStyle name="Normal 2 2 2 2 4 25 3 7" xfId="15522" xr:uid="{00000000-0005-0000-0000-0000A23C0000}"/>
    <cellStyle name="Normal 2 2 2 2 4 25 3 8" xfId="15523" xr:uid="{00000000-0005-0000-0000-0000A33C0000}"/>
    <cellStyle name="Normal 2 2 2 2 4 25 3 9" xfId="15524" xr:uid="{00000000-0005-0000-0000-0000A43C0000}"/>
    <cellStyle name="Normal 2 2 2 2 4 25 4" xfId="15525" xr:uid="{00000000-0005-0000-0000-0000A53C0000}"/>
    <cellStyle name="Normal 2 2 2 2 4 25 4 10" xfId="15526" xr:uid="{00000000-0005-0000-0000-0000A63C0000}"/>
    <cellStyle name="Normal 2 2 2 2 4 25 4 2" xfId="15527" xr:uid="{00000000-0005-0000-0000-0000A73C0000}"/>
    <cellStyle name="Normal 2 2 2 2 4 25 4 3" xfId="15528" xr:uid="{00000000-0005-0000-0000-0000A83C0000}"/>
    <cellStyle name="Normal 2 2 2 2 4 25 4 4" xfId="15529" xr:uid="{00000000-0005-0000-0000-0000A93C0000}"/>
    <cellStyle name="Normal 2 2 2 2 4 25 4 5" xfId="15530" xr:uid="{00000000-0005-0000-0000-0000AA3C0000}"/>
    <cellStyle name="Normal 2 2 2 2 4 25 4 6" xfId="15531" xr:uid="{00000000-0005-0000-0000-0000AB3C0000}"/>
    <cellStyle name="Normal 2 2 2 2 4 25 4 7" xfId="15532" xr:uid="{00000000-0005-0000-0000-0000AC3C0000}"/>
    <cellStyle name="Normal 2 2 2 2 4 25 4 8" xfId="15533" xr:uid="{00000000-0005-0000-0000-0000AD3C0000}"/>
    <cellStyle name="Normal 2 2 2 2 4 25 4 9" xfId="15534" xr:uid="{00000000-0005-0000-0000-0000AE3C0000}"/>
    <cellStyle name="Normal 2 2 2 2 4 25 5" xfId="15535" xr:uid="{00000000-0005-0000-0000-0000AF3C0000}"/>
    <cellStyle name="Normal 2 2 2 2 4 25 5 10" xfId="15536" xr:uid="{00000000-0005-0000-0000-0000B03C0000}"/>
    <cellStyle name="Normal 2 2 2 2 4 25 5 2" xfId="15537" xr:uid="{00000000-0005-0000-0000-0000B13C0000}"/>
    <cellStyle name="Normal 2 2 2 2 4 25 5 3" xfId="15538" xr:uid="{00000000-0005-0000-0000-0000B23C0000}"/>
    <cellStyle name="Normal 2 2 2 2 4 25 5 4" xfId="15539" xr:uid="{00000000-0005-0000-0000-0000B33C0000}"/>
    <cellStyle name="Normal 2 2 2 2 4 25 5 5" xfId="15540" xr:uid="{00000000-0005-0000-0000-0000B43C0000}"/>
    <cellStyle name="Normal 2 2 2 2 4 25 5 6" xfId="15541" xr:uid="{00000000-0005-0000-0000-0000B53C0000}"/>
    <cellStyle name="Normal 2 2 2 2 4 25 5 7" xfId="15542" xr:uid="{00000000-0005-0000-0000-0000B63C0000}"/>
    <cellStyle name="Normal 2 2 2 2 4 25 5 8" xfId="15543" xr:uid="{00000000-0005-0000-0000-0000B73C0000}"/>
    <cellStyle name="Normal 2 2 2 2 4 25 5 9" xfId="15544" xr:uid="{00000000-0005-0000-0000-0000B83C0000}"/>
    <cellStyle name="Normal 2 2 2 2 4 25 6" xfId="15545" xr:uid="{00000000-0005-0000-0000-0000B93C0000}"/>
    <cellStyle name="Normal 2 2 2 2 4 25 7" xfId="15546" xr:uid="{00000000-0005-0000-0000-0000BA3C0000}"/>
    <cellStyle name="Normal 2 2 2 2 4 25 8" xfId="15547" xr:uid="{00000000-0005-0000-0000-0000BB3C0000}"/>
    <cellStyle name="Normal 2 2 2 2 4 25 9" xfId="15548" xr:uid="{00000000-0005-0000-0000-0000BC3C0000}"/>
    <cellStyle name="Normal 2 2 2 2 4 26" xfId="15549" xr:uid="{00000000-0005-0000-0000-0000BD3C0000}"/>
    <cellStyle name="Normal 2 2 2 2 4 26 10" xfId="15550" xr:uid="{00000000-0005-0000-0000-0000BE3C0000}"/>
    <cellStyle name="Normal 2 2 2 2 4 26 11" xfId="15551" xr:uid="{00000000-0005-0000-0000-0000BF3C0000}"/>
    <cellStyle name="Normal 2 2 2 2 4 26 12" xfId="15552" xr:uid="{00000000-0005-0000-0000-0000C03C0000}"/>
    <cellStyle name="Normal 2 2 2 2 4 26 13" xfId="15553" xr:uid="{00000000-0005-0000-0000-0000C13C0000}"/>
    <cellStyle name="Normal 2 2 2 2 4 26 14" xfId="15554" xr:uid="{00000000-0005-0000-0000-0000C23C0000}"/>
    <cellStyle name="Normal 2 2 2 2 4 26 2" xfId="15555" xr:uid="{00000000-0005-0000-0000-0000C33C0000}"/>
    <cellStyle name="Normal 2 2 2 2 4 26 2 10" xfId="15556" xr:uid="{00000000-0005-0000-0000-0000C43C0000}"/>
    <cellStyle name="Normal 2 2 2 2 4 26 2 2" xfId="15557" xr:uid="{00000000-0005-0000-0000-0000C53C0000}"/>
    <cellStyle name="Normal 2 2 2 2 4 26 2 3" xfId="15558" xr:uid="{00000000-0005-0000-0000-0000C63C0000}"/>
    <cellStyle name="Normal 2 2 2 2 4 26 2 4" xfId="15559" xr:uid="{00000000-0005-0000-0000-0000C73C0000}"/>
    <cellStyle name="Normal 2 2 2 2 4 26 2 5" xfId="15560" xr:uid="{00000000-0005-0000-0000-0000C83C0000}"/>
    <cellStyle name="Normal 2 2 2 2 4 26 2 6" xfId="15561" xr:uid="{00000000-0005-0000-0000-0000C93C0000}"/>
    <cellStyle name="Normal 2 2 2 2 4 26 2 7" xfId="15562" xr:uid="{00000000-0005-0000-0000-0000CA3C0000}"/>
    <cellStyle name="Normal 2 2 2 2 4 26 2 8" xfId="15563" xr:uid="{00000000-0005-0000-0000-0000CB3C0000}"/>
    <cellStyle name="Normal 2 2 2 2 4 26 2 9" xfId="15564" xr:uid="{00000000-0005-0000-0000-0000CC3C0000}"/>
    <cellStyle name="Normal 2 2 2 2 4 26 3" xfId="15565" xr:uid="{00000000-0005-0000-0000-0000CD3C0000}"/>
    <cellStyle name="Normal 2 2 2 2 4 26 3 10" xfId="15566" xr:uid="{00000000-0005-0000-0000-0000CE3C0000}"/>
    <cellStyle name="Normal 2 2 2 2 4 26 3 2" xfId="15567" xr:uid="{00000000-0005-0000-0000-0000CF3C0000}"/>
    <cellStyle name="Normal 2 2 2 2 4 26 3 3" xfId="15568" xr:uid="{00000000-0005-0000-0000-0000D03C0000}"/>
    <cellStyle name="Normal 2 2 2 2 4 26 3 4" xfId="15569" xr:uid="{00000000-0005-0000-0000-0000D13C0000}"/>
    <cellStyle name="Normal 2 2 2 2 4 26 3 5" xfId="15570" xr:uid="{00000000-0005-0000-0000-0000D23C0000}"/>
    <cellStyle name="Normal 2 2 2 2 4 26 3 6" xfId="15571" xr:uid="{00000000-0005-0000-0000-0000D33C0000}"/>
    <cellStyle name="Normal 2 2 2 2 4 26 3 7" xfId="15572" xr:uid="{00000000-0005-0000-0000-0000D43C0000}"/>
    <cellStyle name="Normal 2 2 2 2 4 26 3 8" xfId="15573" xr:uid="{00000000-0005-0000-0000-0000D53C0000}"/>
    <cellStyle name="Normal 2 2 2 2 4 26 3 9" xfId="15574" xr:uid="{00000000-0005-0000-0000-0000D63C0000}"/>
    <cellStyle name="Normal 2 2 2 2 4 26 4" xfId="15575" xr:uid="{00000000-0005-0000-0000-0000D73C0000}"/>
    <cellStyle name="Normal 2 2 2 2 4 26 4 10" xfId="15576" xr:uid="{00000000-0005-0000-0000-0000D83C0000}"/>
    <cellStyle name="Normal 2 2 2 2 4 26 4 2" xfId="15577" xr:uid="{00000000-0005-0000-0000-0000D93C0000}"/>
    <cellStyle name="Normal 2 2 2 2 4 26 4 3" xfId="15578" xr:uid="{00000000-0005-0000-0000-0000DA3C0000}"/>
    <cellStyle name="Normal 2 2 2 2 4 26 4 4" xfId="15579" xr:uid="{00000000-0005-0000-0000-0000DB3C0000}"/>
    <cellStyle name="Normal 2 2 2 2 4 26 4 5" xfId="15580" xr:uid="{00000000-0005-0000-0000-0000DC3C0000}"/>
    <cellStyle name="Normal 2 2 2 2 4 26 4 6" xfId="15581" xr:uid="{00000000-0005-0000-0000-0000DD3C0000}"/>
    <cellStyle name="Normal 2 2 2 2 4 26 4 7" xfId="15582" xr:uid="{00000000-0005-0000-0000-0000DE3C0000}"/>
    <cellStyle name="Normal 2 2 2 2 4 26 4 8" xfId="15583" xr:uid="{00000000-0005-0000-0000-0000DF3C0000}"/>
    <cellStyle name="Normal 2 2 2 2 4 26 4 9" xfId="15584" xr:uid="{00000000-0005-0000-0000-0000E03C0000}"/>
    <cellStyle name="Normal 2 2 2 2 4 26 5" xfId="15585" xr:uid="{00000000-0005-0000-0000-0000E13C0000}"/>
    <cellStyle name="Normal 2 2 2 2 4 26 5 10" xfId="15586" xr:uid="{00000000-0005-0000-0000-0000E23C0000}"/>
    <cellStyle name="Normal 2 2 2 2 4 26 5 2" xfId="15587" xr:uid="{00000000-0005-0000-0000-0000E33C0000}"/>
    <cellStyle name="Normal 2 2 2 2 4 26 5 3" xfId="15588" xr:uid="{00000000-0005-0000-0000-0000E43C0000}"/>
    <cellStyle name="Normal 2 2 2 2 4 26 5 4" xfId="15589" xr:uid="{00000000-0005-0000-0000-0000E53C0000}"/>
    <cellStyle name="Normal 2 2 2 2 4 26 5 5" xfId="15590" xr:uid="{00000000-0005-0000-0000-0000E63C0000}"/>
    <cellStyle name="Normal 2 2 2 2 4 26 5 6" xfId="15591" xr:uid="{00000000-0005-0000-0000-0000E73C0000}"/>
    <cellStyle name="Normal 2 2 2 2 4 26 5 7" xfId="15592" xr:uid="{00000000-0005-0000-0000-0000E83C0000}"/>
    <cellStyle name="Normal 2 2 2 2 4 26 5 8" xfId="15593" xr:uid="{00000000-0005-0000-0000-0000E93C0000}"/>
    <cellStyle name="Normal 2 2 2 2 4 26 5 9" xfId="15594" xr:uid="{00000000-0005-0000-0000-0000EA3C0000}"/>
    <cellStyle name="Normal 2 2 2 2 4 26 6" xfId="15595" xr:uid="{00000000-0005-0000-0000-0000EB3C0000}"/>
    <cellStyle name="Normal 2 2 2 2 4 26 7" xfId="15596" xr:uid="{00000000-0005-0000-0000-0000EC3C0000}"/>
    <cellStyle name="Normal 2 2 2 2 4 26 8" xfId="15597" xr:uid="{00000000-0005-0000-0000-0000ED3C0000}"/>
    <cellStyle name="Normal 2 2 2 2 4 26 9" xfId="15598" xr:uid="{00000000-0005-0000-0000-0000EE3C0000}"/>
    <cellStyle name="Normal 2 2 2 2 4 27" xfId="15599" xr:uid="{00000000-0005-0000-0000-0000EF3C0000}"/>
    <cellStyle name="Normal 2 2 2 2 4 27 10" xfId="15600" xr:uid="{00000000-0005-0000-0000-0000F03C0000}"/>
    <cellStyle name="Normal 2 2 2 2 4 27 11" xfId="15601" xr:uid="{00000000-0005-0000-0000-0000F13C0000}"/>
    <cellStyle name="Normal 2 2 2 2 4 27 12" xfId="15602" xr:uid="{00000000-0005-0000-0000-0000F23C0000}"/>
    <cellStyle name="Normal 2 2 2 2 4 27 13" xfId="15603" xr:uid="{00000000-0005-0000-0000-0000F33C0000}"/>
    <cellStyle name="Normal 2 2 2 2 4 27 14" xfId="15604" xr:uid="{00000000-0005-0000-0000-0000F43C0000}"/>
    <cellStyle name="Normal 2 2 2 2 4 27 2" xfId="15605" xr:uid="{00000000-0005-0000-0000-0000F53C0000}"/>
    <cellStyle name="Normal 2 2 2 2 4 27 2 10" xfId="15606" xr:uid="{00000000-0005-0000-0000-0000F63C0000}"/>
    <cellStyle name="Normal 2 2 2 2 4 27 2 2" xfId="15607" xr:uid="{00000000-0005-0000-0000-0000F73C0000}"/>
    <cellStyle name="Normal 2 2 2 2 4 27 2 3" xfId="15608" xr:uid="{00000000-0005-0000-0000-0000F83C0000}"/>
    <cellStyle name="Normal 2 2 2 2 4 27 2 4" xfId="15609" xr:uid="{00000000-0005-0000-0000-0000F93C0000}"/>
    <cellStyle name="Normal 2 2 2 2 4 27 2 5" xfId="15610" xr:uid="{00000000-0005-0000-0000-0000FA3C0000}"/>
    <cellStyle name="Normal 2 2 2 2 4 27 2 6" xfId="15611" xr:uid="{00000000-0005-0000-0000-0000FB3C0000}"/>
    <cellStyle name="Normal 2 2 2 2 4 27 2 7" xfId="15612" xr:uid="{00000000-0005-0000-0000-0000FC3C0000}"/>
    <cellStyle name="Normal 2 2 2 2 4 27 2 8" xfId="15613" xr:uid="{00000000-0005-0000-0000-0000FD3C0000}"/>
    <cellStyle name="Normal 2 2 2 2 4 27 2 9" xfId="15614" xr:uid="{00000000-0005-0000-0000-0000FE3C0000}"/>
    <cellStyle name="Normal 2 2 2 2 4 27 3" xfId="15615" xr:uid="{00000000-0005-0000-0000-0000FF3C0000}"/>
    <cellStyle name="Normal 2 2 2 2 4 27 3 10" xfId="15616" xr:uid="{00000000-0005-0000-0000-0000003D0000}"/>
    <cellStyle name="Normal 2 2 2 2 4 27 3 2" xfId="15617" xr:uid="{00000000-0005-0000-0000-0000013D0000}"/>
    <cellStyle name="Normal 2 2 2 2 4 27 3 3" xfId="15618" xr:uid="{00000000-0005-0000-0000-0000023D0000}"/>
    <cellStyle name="Normal 2 2 2 2 4 27 3 4" xfId="15619" xr:uid="{00000000-0005-0000-0000-0000033D0000}"/>
    <cellStyle name="Normal 2 2 2 2 4 27 3 5" xfId="15620" xr:uid="{00000000-0005-0000-0000-0000043D0000}"/>
    <cellStyle name="Normal 2 2 2 2 4 27 3 6" xfId="15621" xr:uid="{00000000-0005-0000-0000-0000053D0000}"/>
    <cellStyle name="Normal 2 2 2 2 4 27 3 7" xfId="15622" xr:uid="{00000000-0005-0000-0000-0000063D0000}"/>
    <cellStyle name="Normal 2 2 2 2 4 27 3 8" xfId="15623" xr:uid="{00000000-0005-0000-0000-0000073D0000}"/>
    <cellStyle name="Normal 2 2 2 2 4 27 3 9" xfId="15624" xr:uid="{00000000-0005-0000-0000-0000083D0000}"/>
    <cellStyle name="Normal 2 2 2 2 4 27 4" xfId="15625" xr:uid="{00000000-0005-0000-0000-0000093D0000}"/>
    <cellStyle name="Normal 2 2 2 2 4 27 4 10" xfId="15626" xr:uid="{00000000-0005-0000-0000-00000A3D0000}"/>
    <cellStyle name="Normal 2 2 2 2 4 27 4 2" xfId="15627" xr:uid="{00000000-0005-0000-0000-00000B3D0000}"/>
    <cellStyle name="Normal 2 2 2 2 4 27 4 3" xfId="15628" xr:uid="{00000000-0005-0000-0000-00000C3D0000}"/>
    <cellStyle name="Normal 2 2 2 2 4 27 4 4" xfId="15629" xr:uid="{00000000-0005-0000-0000-00000D3D0000}"/>
    <cellStyle name="Normal 2 2 2 2 4 27 4 5" xfId="15630" xr:uid="{00000000-0005-0000-0000-00000E3D0000}"/>
    <cellStyle name="Normal 2 2 2 2 4 27 4 6" xfId="15631" xr:uid="{00000000-0005-0000-0000-00000F3D0000}"/>
    <cellStyle name="Normal 2 2 2 2 4 27 4 7" xfId="15632" xr:uid="{00000000-0005-0000-0000-0000103D0000}"/>
    <cellStyle name="Normal 2 2 2 2 4 27 4 8" xfId="15633" xr:uid="{00000000-0005-0000-0000-0000113D0000}"/>
    <cellStyle name="Normal 2 2 2 2 4 27 4 9" xfId="15634" xr:uid="{00000000-0005-0000-0000-0000123D0000}"/>
    <cellStyle name="Normal 2 2 2 2 4 27 5" xfId="15635" xr:uid="{00000000-0005-0000-0000-0000133D0000}"/>
    <cellStyle name="Normal 2 2 2 2 4 27 5 10" xfId="15636" xr:uid="{00000000-0005-0000-0000-0000143D0000}"/>
    <cellStyle name="Normal 2 2 2 2 4 27 5 2" xfId="15637" xr:uid="{00000000-0005-0000-0000-0000153D0000}"/>
    <cellStyle name="Normal 2 2 2 2 4 27 5 3" xfId="15638" xr:uid="{00000000-0005-0000-0000-0000163D0000}"/>
    <cellStyle name="Normal 2 2 2 2 4 27 5 4" xfId="15639" xr:uid="{00000000-0005-0000-0000-0000173D0000}"/>
    <cellStyle name="Normal 2 2 2 2 4 27 5 5" xfId="15640" xr:uid="{00000000-0005-0000-0000-0000183D0000}"/>
    <cellStyle name="Normal 2 2 2 2 4 27 5 6" xfId="15641" xr:uid="{00000000-0005-0000-0000-0000193D0000}"/>
    <cellStyle name="Normal 2 2 2 2 4 27 5 7" xfId="15642" xr:uid="{00000000-0005-0000-0000-00001A3D0000}"/>
    <cellStyle name="Normal 2 2 2 2 4 27 5 8" xfId="15643" xr:uid="{00000000-0005-0000-0000-00001B3D0000}"/>
    <cellStyle name="Normal 2 2 2 2 4 27 5 9" xfId="15644" xr:uid="{00000000-0005-0000-0000-00001C3D0000}"/>
    <cellStyle name="Normal 2 2 2 2 4 27 6" xfId="15645" xr:uid="{00000000-0005-0000-0000-00001D3D0000}"/>
    <cellStyle name="Normal 2 2 2 2 4 27 7" xfId="15646" xr:uid="{00000000-0005-0000-0000-00001E3D0000}"/>
    <cellStyle name="Normal 2 2 2 2 4 27 8" xfId="15647" xr:uid="{00000000-0005-0000-0000-00001F3D0000}"/>
    <cellStyle name="Normal 2 2 2 2 4 27 9" xfId="15648" xr:uid="{00000000-0005-0000-0000-0000203D0000}"/>
    <cellStyle name="Normal 2 2 2 2 4 28" xfId="15649" xr:uid="{00000000-0005-0000-0000-0000213D0000}"/>
    <cellStyle name="Normal 2 2 2 2 4 28 10" xfId="15650" xr:uid="{00000000-0005-0000-0000-0000223D0000}"/>
    <cellStyle name="Normal 2 2 2 2 4 28 11" xfId="15651" xr:uid="{00000000-0005-0000-0000-0000233D0000}"/>
    <cellStyle name="Normal 2 2 2 2 4 28 12" xfId="15652" xr:uid="{00000000-0005-0000-0000-0000243D0000}"/>
    <cellStyle name="Normal 2 2 2 2 4 28 13" xfId="15653" xr:uid="{00000000-0005-0000-0000-0000253D0000}"/>
    <cellStyle name="Normal 2 2 2 2 4 28 14" xfId="15654" xr:uid="{00000000-0005-0000-0000-0000263D0000}"/>
    <cellStyle name="Normal 2 2 2 2 4 28 2" xfId="15655" xr:uid="{00000000-0005-0000-0000-0000273D0000}"/>
    <cellStyle name="Normal 2 2 2 2 4 28 2 10" xfId="15656" xr:uid="{00000000-0005-0000-0000-0000283D0000}"/>
    <cellStyle name="Normal 2 2 2 2 4 28 2 2" xfId="15657" xr:uid="{00000000-0005-0000-0000-0000293D0000}"/>
    <cellStyle name="Normal 2 2 2 2 4 28 2 3" xfId="15658" xr:uid="{00000000-0005-0000-0000-00002A3D0000}"/>
    <cellStyle name="Normal 2 2 2 2 4 28 2 4" xfId="15659" xr:uid="{00000000-0005-0000-0000-00002B3D0000}"/>
    <cellStyle name="Normal 2 2 2 2 4 28 2 5" xfId="15660" xr:uid="{00000000-0005-0000-0000-00002C3D0000}"/>
    <cellStyle name="Normal 2 2 2 2 4 28 2 6" xfId="15661" xr:uid="{00000000-0005-0000-0000-00002D3D0000}"/>
    <cellStyle name="Normal 2 2 2 2 4 28 2 7" xfId="15662" xr:uid="{00000000-0005-0000-0000-00002E3D0000}"/>
    <cellStyle name="Normal 2 2 2 2 4 28 2 8" xfId="15663" xr:uid="{00000000-0005-0000-0000-00002F3D0000}"/>
    <cellStyle name="Normal 2 2 2 2 4 28 2 9" xfId="15664" xr:uid="{00000000-0005-0000-0000-0000303D0000}"/>
    <cellStyle name="Normal 2 2 2 2 4 28 3" xfId="15665" xr:uid="{00000000-0005-0000-0000-0000313D0000}"/>
    <cellStyle name="Normal 2 2 2 2 4 28 3 10" xfId="15666" xr:uid="{00000000-0005-0000-0000-0000323D0000}"/>
    <cellStyle name="Normal 2 2 2 2 4 28 3 2" xfId="15667" xr:uid="{00000000-0005-0000-0000-0000333D0000}"/>
    <cellStyle name="Normal 2 2 2 2 4 28 3 3" xfId="15668" xr:uid="{00000000-0005-0000-0000-0000343D0000}"/>
    <cellStyle name="Normal 2 2 2 2 4 28 3 4" xfId="15669" xr:uid="{00000000-0005-0000-0000-0000353D0000}"/>
    <cellStyle name="Normal 2 2 2 2 4 28 3 5" xfId="15670" xr:uid="{00000000-0005-0000-0000-0000363D0000}"/>
    <cellStyle name="Normal 2 2 2 2 4 28 3 6" xfId="15671" xr:uid="{00000000-0005-0000-0000-0000373D0000}"/>
    <cellStyle name="Normal 2 2 2 2 4 28 3 7" xfId="15672" xr:uid="{00000000-0005-0000-0000-0000383D0000}"/>
    <cellStyle name="Normal 2 2 2 2 4 28 3 8" xfId="15673" xr:uid="{00000000-0005-0000-0000-0000393D0000}"/>
    <cellStyle name="Normal 2 2 2 2 4 28 3 9" xfId="15674" xr:uid="{00000000-0005-0000-0000-00003A3D0000}"/>
    <cellStyle name="Normal 2 2 2 2 4 28 4" xfId="15675" xr:uid="{00000000-0005-0000-0000-00003B3D0000}"/>
    <cellStyle name="Normal 2 2 2 2 4 28 4 10" xfId="15676" xr:uid="{00000000-0005-0000-0000-00003C3D0000}"/>
    <cellStyle name="Normal 2 2 2 2 4 28 4 2" xfId="15677" xr:uid="{00000000-0005-0000-0000-00003D3D0000}"/>
    <cellStyle name="Normal 2 2 2 2 4 28 4 3" xfId="15678" xr:uid="{00000000-0005-0000-0000-00003E3D0000}"/>
    <cellStyle name="Normal 2 2 2 2 4 28 4 4" xfId="15679" xr:uid="{00000000-0005-0000-0000-00003F3D0000}"/>
    <cellStyle name="Normal 2 2 2 2 4 28 4 5" xfId="15680" xr:uid="{00000000-0005-0000-0000-0000403D0000}"/>
    <cellStyle name="Normal 2 2 2 2 4 28 4 6" xfId="15681" xr:uid="{00000000-0005-0000-0000-0000413D0000}"/>
    <cellStyle name="Normal 2 2 2 2 4 28 4 7" xfId="15682" xr:uid="{00000000-0005-0000-0000-0000423D0000}"/>
    <cellStyle name="Normal 2 2 2 2 4 28 4 8" xfId="15683" xr:uid="{00000000-0005-0000-0000-0000433D0000}"/>
    <cellStyle name="Normal 2 2 2 2 4 28 4 9" xfId="15684" xr:uid="{00000000-0005-0000-0000-0000443D0000}"/>
    <cellStyle name="Normal 2 2 2 2 4 28 5" xfId="15685" xr:uid="{00000000-0005-0000-0000-0000453D0000}"/>
    <cellStyle name="Normal 2 2 2 2 4 28 5 10" xfId="15686" xr:uid="{00000000-0005-0000-0000-0000463D0000}"/>
    <cellStyle name="Normal 2 2 2 2 4 28 5 2" xfId="15687" xr:uid="{00000000-0005-0000-0000-0000473D0000}"/>
    <cellStyle name="Normal 2 2 2 2 4 28 5 3" xfId="15688" xr:uid="{00000000-0005-0000-0000-0000483D0000}"/>
    <cellStyle name="Normal 2 2 2 2 4 28 5 4" xfId="15689" xr:uid="{00000000-0005-0000-0000-0000493D0000}"/>
    <cellStyle name="Normal 2 2 2 2 4 28 5 5" xfId="15690" xr:uid="{00000000-0005-0000-0000-00004A3D0000}"/>
    <cellStyle name="Normal 2 2 2 2 4 28 5 6" xfId="15691" xr:uid="{00000000-0005-0000-0000-00004B3D0000}"/>
    <cellStyle name="Normal 2 2 2 2 4 28 5 7" xfId="15692" xr:uid="{00000000-0005-0000-0000-00004C3D0000}"/>
    <cellStyle name="Normal 2 2 2 2 4 28 5 8" xfId="15693" xr:uid="{00000000-0005-0000-0000-00004D3D0000}"/>
    <cellStyle name="Normal 2 2 2 2 4 28 5 9" xfId="15694" xr:uid="{00000000-0005-0000-0000-00004E3D0000}"/>
    <cellStyle name="Normal 2 2 2 2 4 28 6" xfId="15695" xr:uid="{00000000-0005-0000-0000-00004F3D0000}"/>
    <cellStyle name="Normal 2 2 2 2 4 28 7" xfId="15696" xr:uid="{00000000-0005-0000-0000-0000503D0000}"/>
    <cellStyle name="Normal 2 2 2 2 4 28 8" xfId="15697" xr:uid="{00000000-0005-0000-0000-0000513D0000}"/>
    <cellStyle name="Normal 2 2 2 2 4 28 9" xfId="15698" xr:uid="{00000000-0005-0000-0000-0000523D0000}"/>
    <cellStyle name="Normal 2 2 2 2 4 29" xfId="15699" xr:uid="{00000000-0005-0000-0000-0000533D0000}"/>
    <cellStyle name="Normal 2 2 2 2 4 29 10" xfId="15700" xr:uid="{00000000-0005-0000-0000-0000543D0000}"/>
    <cellStyle name="Normal 2 2 2 2 4 29 11" xfId="15701" xr:uid="{00000000-0005-0000-0000-0000553D0000}"/>
    <cellStyle name="Normal 2 2 2 2 4 29 12" xfId="15702" xr:uid="{00000000-0005-0000-0000-0000563D0000}"/>
    <cellStyle name="Normal 2 2 2 2 4 29 13" xfId="15703" xr:uid="{00000000-0005-0000-0000-0000573D0000}"/>
    <cellStyle name="Normal 2 2 2 2 4 29 14" xfId="15704" xr:uid="{00000000-0005-0000-0000-0000583D0000}"/>
    <cellStyle name="Normal 2 2 2 2 4 29 2" xfId="15705" xr:uid="{00000000-0005-0000-0000-0000593D0000}"/>
    <cellStyle name="Normal 2 2 2 2 4 29 2 10" xfId="15706" xr:uid="{00000000-0005-0000-0000-00005A3D0000}"/>
    <cellStyle name="Normal 2 2 2 2 4 29 2 2" xfId="15707" xr:uid="{00000000-0005-0000-0000-00005B3D0000}"/>
    <cellStyle name="Normal 2 2 2 2 4 29 2 3" xfId="15708" xr:uid="{00000000-0005-0000-0000-00005C3D0000}"/>
    <cellStyle name="Normal 2 2 2 2 4 29 2 4" xfId="15709" xr:uid="{00000000-0005-0000-0000-00005D3D0000}"/>
    <cellStyle name="Normal 2 2 2 2 4 29 2 5" xfId="15710" xr:uid="{00000000-0005-0000-0000-00005E3D0000}"/>
    <cellStyle name="Normal 2 2 2 2 4 29 2 6" xfId="15711" xr:uid="{00000000-0005-0000-0000-00005F3D0000}"/>
    <cellStyle name="Normal 2 2 2 2 4 29 2 7" xfId="15712" xr:uid="{00000000-0005-0000-0000-0000603D0000}"/>
    <cellStyle name="Normal 2 2 2 2 4 29 2 8" xfId="15713" xr:uid="{00000000-0005-0000-0000-0000613D0000}"/>
    <cellStyle name="Normal 2 2 2 2 4 29 2 9" xfId="15714" xr:uid="{00000000-0005-0000-0000-0000623D0000}"/>
    <cellStyle name="Normal 2 2 2 2 4 29 3" xfId="15715" xr:uid="{00000000-0005-0000-0000-0000633D0000}"/>
    <cellStyle name="Normal 2 2 2 2 4 29 3 10" xfId="15716" xr:uid="{00000000-0005-0000-0000-0000643D0000}"/>
    <cellStyle name="Normal 2 2 2 2 4 29 3 2" xfId="15717" xr:uid="{00000000-0005-0000-0000-0000653D0000}"/>
    <cellStyle name="Normal 2 2 2 2 4 29 3 3" xfId="15718" xr:uid="{00000000-0005-0000-0000-0000663D0000}"/>
    <cellStyle name="Normal 2 2 2 2 4 29 3 4" xfId="15719" xr:uid="{00000000-0005-0000-0000-0000673D0000}"/>
    <cellStyle name="Normal 2 2 2 2 4 29 3 5" xfId="15720" xr:uid="{00000000-0005-0000-0000-0000683D0000}"/>
    <cellStyle name="Normal 2 2 2 2 4 29 3 6" xfId="15721" xr:uid="{00000000-0005-0000-0000-0000693D0000}"/>
    <cellStyle name="Normal 2 2 2 2 4 29 3 7" xfId="15722" xr:uid="{00000000-0005-0000-0000-00006A3D0000}"/>
    <cellStyle name="Normal 2 2 2 2 4 29 3 8" xfId="15723" xr:uid="{00000000-0005-0000-0000-00006B3D0000}"/>
    <cellStyle name="Normal 2 2 2 2 4 29 3 9" xfId="15724" xr:uid="{00000000-0005-0000-0000-00006C3D0000}"/>
    <cellStyle name="Normal 2 2 2 2 4 29 4" xfId="15725" xr:uid="{00000000-0005-0000-0000-00006D3D0000}"/>
    <cellStyle name="Normal 2 2 2 2 4 29 4 10" xfId="15726" xr:uid="{00000000-0005-0000-0000-00006E3D0000}"/>
    <cellStyle name="Normal 2 2 2 2 4 29 4 2" xfId="15727" xr:uid="{00000000-0005-0000-0000-00006F3D0000}"/>
    <cellStyle name="Normal 2 2 2 2 4 29 4 3" xfId="15728" xr:uid="{00000000-0005-0000-0000-0000703D0000}"/>
    <cellStyle name="Normal 2 2 2 2 4 29 4 4" xfId="15729" xr:uid="{00000000-0005-0000-0000-0000713D0000}"/>
    <cellStyle name="Normal 2 2 2 2 4 29 4 5" xfId="15730" xr:uid="{00000000-0005-0000-0000-0000723D0000}"/>
    <cellStyle name="Normal 2 2 2 2 4 29 4 6" xfId="15731" xr:uid="{00000000-0005-0000-0000-0000733D0000}"/>
    <cellStyle name="Normal 2 2 2 2 4 29 4 7" xfId="15732" xr:uid="{00000000-0005-0000-0000-0000743D0000}"/>
    <cellStyle name="Normal 2 2 2 2 4 29 4 8" xfId="15733" xr:uid="{00000000-0005-0000-0000-0000753D0000}"/>
    <cellStyle name="Normal 2 2 2 2 4 29 4 9" xfId="15734" xr:uid="{00000000-0005-0000-0000-0000763D0000}"/>
    <cellStyle name="Normal 2 2 2 2 4 29 5" xfId="15735" xr:uid="{00000000-0005-0000-0000-0000773D0000}"/>
    <cellStyle name="Normal 2 2 2 2 4 29 5 10" xfId="15736" xr:uid="{00000000-0005-0000-0000-0000783D0000}"/>
    <cellStyle name="Normal 2 2 2 2 4 29 5 2" xfId="15737" xr:uid="{00000000-0005-0000-0000-0000793D0000}"/>
    <cellStyle name="Normal 2 2 2 2 4 29 5 3" xfId="15738" xr:uid="{00000000-0005-0000-0000-00007A3D0000}"/>
    <cellStyle name="Normal 2 2 2 2 4 29 5 4" xfId="15739" xr:uid="{00000000-0005-0000-0000-00007B3D0000}"/>
    <cellStyle name="Normal 2 2 2 2 4 29 5 5" xfId="15740" xr:uid="{00000000-0005-0000-0000-00007C3D0000}"/>
    <cellStyle name="Normal 2 2 2 2 4 29 5 6" xfId="15741" xr:uid="{00000000-0005-0000-0000-00007D3D0000}"/>
    <cellStyle name="Normal 2 2 2 2 4 29 5 7" xfId="15742" xr:uid="{00000000-0005-0000-0000-00007E3D0000}"/>
    <cellStyle name="Normal 2 2 2 2 4 29 5 8" xfId="15743" xr:uid="{00000000-0005-0000-0000-00007F3D0000}"/>
    <cellStyle name="Normal 2 2 2 2 4 29 5 9" xfId="15744" xr:uid="{00000000-0005-0000-0000-0000803D0000}"/>
    <cellStyle name="Normal 2 2 2 2 4 29 6" xfId="15745" xr:uid="{00000000-0005-0000-0000-0000813D0000}"/>
    <cellStyle name="Normal 2 2 2 2 4 29 7" xfId="15746" xr:uid="{00000000-0005-0000-0000-0000823D0000}"/>
    <cellStyle name="Normal 2 2 2 2 4 29 8" xfId="15747" xr:uid="{00000000-0005-0000-0000-0000833D0000}"/>
    <cellStyle name="Normal 2 2 2 2 4 29 9" xfId="15748" xr:uid="{00000000-0005-0000-0000-0000843D0000}"/>
    <cellStyle name="Normal 2 2 2 2 4 3" xfId="15749" xr:uid="{00000000-0005-0000-0000-0000853D0000}"/>
    <cellStyle name="Normal 2 2 2 2 4 3 10" xfId="15750" xr:uid="{00000000-0005-0000-0000-0000863D0000}"/>
    <cellStyle name="Normal 2 2 2 2 4 3 11" xfId="15751" xr:uid="{00000000-0005-0000-0000-0000873D0000}"/>
    <cellStyle name="Normal 2 2 2 2 4 3 12" xfId="15752" xr:uid="{00000000-0005-0000-0000-0000883D0000}"/>
    <cellStyle name="Normal 2 2 2 2 4 3 13" xfId="15753" xr:uid="{00000000-0005-0000-0000-0000893D0000}"/>
    <cellStyle name="Normal 2 2 2 2 4 3 14" xfId="15754" xr:uid="{00000000-0005-0000-0000-00008A3D0000}"/>
    <cellStyle name="Normal 2 2 2 2 4 3 2" xfId="15755" xr:uid="{00000000-0005-0000-0000-00008B3D0000}"/>
    <cellStyle name="Normal 2 2 2 2 4 3 2 10" xfId="15756" xr:uid="{00000000-0005-0000-0000-00008C3D0000}"/>
    <cellStyle name="Normal 2 2 2 2 4 3 2 2" xfId="15757" xr:uid="{00000000-0005-0000-0000-00008D3D0000}"/>
    <cellStyle name="Normal 2 2 2 2 4 3 2 3" xfId="15758" xr:uid="{00000000-0005-0000-0000-00008E3D0000}"/>
    <cellStyle name="Normal 2 2 2 2 4 3 2 4" xfId="15759" xr:uid="{00000000-0005-0000-0000-00008F3D0000}"/>
    <cellStyle name="Normal 2 2 2 2 4 3 2 5" xfId="15760" xr:uid="{00000000-0005-0000-0000-0000903D0000}"/>
    <cellStyle name="Normal 2 2 2 2 4 3 2 6" xfId="15761" xr:uid="{00000000-0005-0000-0000-0000913D0000}"/>
    <cellStyle name="Normal 2 2 2 2 4 3 2 7" xfId="15762" xr:uid="{00000000-0005-0000-0000-0000923D0000}"/>
    <cellStyle name="Normal 2 2 2 2 4 3 2 8" xfId="15763" xr:uid="{00000000-0005-0000-0000-0000933D0000}"/>
    <cellStyle name="Normal 2 2 2 2 4 3 2 9" xfId="15764" xr:uid="{00000000-0005-0000-0000-0000943D0000}"/>
    <cellStyle name="Normal 2 2 2 2 4 3 3" xfId="15765" xr:uid="{00000000-0005-0000-0000-0000953D0000}"/>
    <cellStyle name="Normal 2 2 2 2 4 3 3 10" xfId="15766" xr:uid="{00000000-0005-0000-0000-0000963D0000}"/>
    <cellStyle name="Normal 2 2 2 2 4 3 3 2" xfId="15767" xr:uid="{00000000-0005-0000-0000-0000973D0000}"/>
    <cellStyle name="Normal 2 2 2 2 4 3 3 3" xfId="15768" xr:uid="{00000000-0005-0000-0000-0000983D0000}"/>
    <cellStyle name="Normal 2 2 2 2 4 3 3 4" xfId="15769" xr:uid="{00000000-0005-0000-0000-0000993D0000}"/>
    <cellStyle name="Normal 2 2 2 2 4 3 3 5" xfId="15770" xr:uid="{00000000-0005-0000-0000-00009A3D0000}"/>
    <cellStyle name="Normal 2 2 2 2 4 3 3 6" xfId="15771" xr:uid="{00000000-0005-0000-0000-00009B3D0000}"/>
    <cellStyle name="Normal 2 2 2 2 4 3 3 7" xfId="15772" xr:uid="{00000000-0005-0000-0000-00009C3D0000}"/>
    <cellStyle name="Normal 2 2 2 2 4 3 3 8" xfId="15773" xr:uid="{00000000-0005-0000-0000-00009D3D0000}"/>
    <cellStyle name="Normal 2 2 2 2 4 3 3 9" xfId="15774" xr:uid="{00000000-0005-0000-0000-00009E3D0000}"/>
    <cellStyle name="Normal 2 2 2 2 4 3 4" xfId="15775" xr:uid="{00000000-0005-0000-0000-00009F3D0000}"/>
    <cellStyle name="Normal 2 2 2 2 4 3 4 10" xfId="15776" xr:uid="{00000000-0005-0000-0000-0000A03D0000}"/>
    <cellStyle name="Normal 2 2 2 2 4 3 4 2" xfId="15777" xr:uid="{00000000-0005-0000-0000-0000A13D0000}"/>
    <cellStyle name="Normal 2 2 2 2 4 3 4 3" xfId="15778" xr:uid="{00000000-0005-0000-0000-0000A23D0000}"/>
    <cellStyle name="Normal 2 2 2 2 4 3 4 4" xfId="15779" xr:uid="{00000000-0005-0000-0000-0000A33D0000}"/>
    <cellStyle name="Normal 2 2 2 2 4 3 4 5" xfId="15780" xr:uid="{00000000-0005-0000-0000-0000A43D0000}"/>
    <cellStyle name="Normal 2 2 2 2 4 3 4 6" xfId="15781" xr:uid="{00000000-0005-0000-0000-0000A53D0000}"/>
    <cellStyle name="Normal 2 2 2 2 4 3 4 7" xfId="15782" xr:uid="{00000000-0005-0000-0000-0000A63D0000}"/>
    <cellStyle name="Normal 2 2 2 2 4 3 4 8" xfId="15783" xr:uid="{00000000-0005-0000-0000-0000A73D0000}"/>
    <cellStyle name="Normal 2 2 2 2 4 3 4 9" xfId="15784" xr:uid="{00000000-0005-0000-0000-0000A83D0000}"/>
    <cellStyle name="Normal 2 2 2 2 4 3 5" xfId="15785" xr:uid="{00000000-0005-0000-0000-0000A93D0000}"/>
    <cellStyle name="Normal 2 2 2 2 4 3 5 10" xfId="15786" xr:uid="{00000000-0005-0000-0000-0000AA3D0000}"/>
    <cellStyle name="Normal 2 2 2 2 4 3 5 2" xfId="15787" xr:uid="{00000000-0005-0000-0000-0000AB3D0000}"/>
    <cellStyle name="Normal 2 2 2 2 4 3 5 3" xfId="15788" xr:uid="{00000000-0005-0000-0000-0000AC3D0000}"/>
    <cellStyle name="Normal 2 2 2 2 4 3 5 4" xfId="15789" xr:uid="{00000000-0005-0000-0000-0000AD3D0000}"/>
    <cellStyle name="Normal 2 2 2 2 4 3 5 5" xfId="15790" xr:uid="{00000000-0005-0000-0000-0000AE3D0000}"/>
    <cellStyle name="Normal 2 2 2 2 4 3 5 6" xfId="15791" xr:uid="{00000000-0005-0000-0000-0000AF3D0000}"/>
    <cellStyle name="Normal 2 2 2 2 4 3 5 7" xfId="15792" xr:uid="{00000000-0005-0000-0000-0000B03D0000}"/>
    <cellStyle name="Normal 2 2 2 2 4 3 5 8" xfId="15793" xr:uid="{00000000-0005-0000-0000-0000B13D0000}"/>
    <cellStyle name="Normal 2 2 2 2 4 3 5 9" xfId="15794" xr:uid="{00000000-0005-0000-0000-0000B23D0000}"/>
    <cellStyle name="Normal 2 2 2 2 4 3 6" xfId="15795" xr:uid="{00000000-0005-0000-0000-0000B33D0000}"/>
    <cellStyle name="Normal 2 2 2 2 4 3 7" xfId="15796" xr:uid="{00000000-0005-0000-0000-0000B43D0000}"/>
    <cellStyle name="Normal 2 2 2 2 4 3 8" xfId="15797" xr:uid="{00000000-0005-0000-0000-0000B53D0000}"/>
    <cellStyle name="Normal 2 2 2 2 4 3 9" xfId="15798" xr:uid="{00000000-0005-0000-0000-0000B63D0000}"/>
    <cellStyle name="Normal 2 2 2 2 4 30" xfId="15799" xr:uid="{00000000-0005-0000-0000-0000B73D0000}"/>
    <cellStyle name="Normal 2 2 2 2 4 30 10" xfId="15800" xr:uid="{00000000-0005-0000-0000-0000B83D0000}"/>
    <cellStyle name="Normal 2 2 2 2 4 30 11" xfId="15801" xr:uid="{00000000-0005-0000-0000-0000B93D0000}"/>
    <cellStyle name="Normal 2 2 2 2 4 30 12" xfId="15802" xr:uid="{00000000-0005-0000-0000-0000BA3D0000}"/>
    <cellStyle name="Normal 2 2 2 2 4 30 13" xfId="15803" xr:uid="{00000000-0005-0000-0000-0000BB3D0000}"/>
    <cellStyle name="Normal 2 2 2 2 4 30 14" xfId="15804" xr:uid="{00000000-0005-0000-0000-0000BC3D0000}"/>
    <cellStyle name="Normal 2 2 2 2 4 30 2" xfId="15805" xr:uid="{00000000-0005-0000-0000-0000BD3D0000}"/>
    <cellStyle name="Normal 2 2 2 2 4 30 2 10" xfId="15806" xr:uid="{00000000-0005-0000-0000-0000BE3D0000}"/>
    <cellStyle name="Normal 2 2 2 2 4 30 2 2" xfId="15807" xr:uid="{00000000-0005-0000-0000-0000BF3D0000}"/>
    <cellStyle name="Normal 2 2 2 2 4 30 2 3" xfId="15808" xr:uid="{00000000-0005-0000-0000-0000C03D0000}"/>
    <cellStyle name="Normal 2 2 2 2 4 30 2 4" xfId="15809" xr:uid="{00000000-0005-0000-0000-0000C13D0000}"/>
    <cellStyle name="Normal 2 2 2 2 4 30 2 5" xfId="15810" xr:uid="{00000000-0005-0000-0000-0000C23D0000}"/>
    <cellStyle name="Normal 2 2 2 2 4 30 2 6" xfId="15811" xr:uid="{00000000-0005-0000-0000-0000C33D0000}"/>
    <cellStyle name="Normal 2 2 2 2 4 30 2 7" xfId="15812" xr:uid="{00000000-0005-0000-0000-0000C43D0000}"/>
    <cellStyle name="Normal 2 2 2 2 4 30 2 8" xfId="15813" xr:uid="{00000000-0005-0000-0000-0000C53D0000}"/>
    <cellStyle name="Normal 2 2 2 2 4 30 2 9" xfId="15814" xr:uid="{00000000-0005-0000-0000-0000C63D0000}"/>
    <cellStyle name="Normal 2 2 2 2 4 30 3" xfId="15815" xr:uid="{00000000-0005-0000-0000-0000C73D0000}"/>
    <cellStyle name="Normal 2 2 2 2 4 30 3 10" xfId="15816" xr:uid="{00000000-0005-0000-0000-0000C83D0000}"/>
    <cellStyle name="Normal 2 2 2 2 4 30 3 2" xfId="15817" xr:uid="{00000000-0005-0000-0000-0000C93D0000}"/>
    <cellStyle name="Normal 2 2 2 2 4 30 3 3" xfId="15818" xr:uid="{00000000-0005-0000-0000-0000CA3D0000}"/>
    <cellStyle name="Normal 2 2 2 2 4 30 3 4" xfId="15819" xr:uid="{00000000-0005-0000-0000-0000CB3D0000}"/>
    <cellStyle name="Normal 2 2 2 2 4 30 3 5" xfId="15820" xr:uid="{00000000-0005-0000-0000-0000CC3D0000}"/>
    <cellStyle name="Normal 2 2 2 2 4 30 3 6" xfId="15821" xr:uid="{00000000-0005-0000-0000-0000CD3D0000}"/>
    <cellStyle name="Normal 2 2 2 2 4 30 3 7" xfId="15822" xr:uid="{00000000-0005-0000-0000-0000CE3D0000}"/>
    <cellStyle name="Normal 2 2 2 2 4 30 3 8" xfId="15823" xr:uid="{00000000-0005-0000-0000-0000CF3D0000}"/>
    <cellStyle name="Normal 2 2 2 2 4 30 3 9" xfId="15824" xr:uid="{00000000-0005-0000-0000-0000D03D0000}"/>
    <cellStyle name="Normal 2 2 2 2 4 30 4" xfId="15825" xr:uid="{00000000-0005-0000-0000-0000D13D0000}"/>
    <cellStyle name="Normal 2 2 2 2 4 30 4 10" xfId="15826" xr:uid="{00000000-0005-0000-0000-0000D23D0000}"/>
    <cellStyle name="Normal 2 2 2 2 4 30 4 2" xfId="15827" xr:uid="{00000000-0005-0000-0000-0000D33D0000}"/>
    <cellStyle name="Normal 2 2 2 2 4 30 4 3" xfId="15828" xr:uid="{00000000-0005-0000-0000-0000D43D0000}"/>
    <cellStyle name="Normal 2 2 2 2 4 30 4 4" xfId="15829" xr:uid="{00000000-0005-0000-0000-0000D53D0000}"/>
    <cellStyle name="Normal 2 2 2 2 4 30 4 5" xfId="15830" xr:uid="{00000000-0005-0000-0000-0000D63D0000}"/>
    <cellStyle name="Normal 2 2 2 2 4 30 4 6" xfId="15831" xr:uid="{00000000-0005-0000-0000-0000D73D0000}"/>
    <cellStyle name="Normal 2 2 2 2 4 30 4 7" xfId="15832" xr:uid="{00000000-0005-0000-0000-0000D83D0000}"/>
    <cellStyle name="Normal 2 2 2 2 4 30 4 8" xfId="15833" xr:uid="{00000000-0005-0000-0000-0000D93D0000}"/>
    <cellStyle name="Normal 2 2 2 2 4 30 4 9" xfId="15834" xr:uid="{00000000-0005-0000-0000-0000DA3D0000}"/>
    <cellStyle name="Normal 2 2 2 2 4 30 5" xfId="15835" xr:uid="{00000000-0005-0000-0000-0000DB3D0000}"/>
    <cellStyle name="Normal 2 2 2 2 4 30 5 10" xfId="15836" xr:uid="{00000000-0005-0000-0000-0000DC3D0000}"/>
    <cellStyle name="Normal 2 2 2 2 4 30 5 2" xfId="15837" xr:uid="{00000000-0005-0000-0000-0000DD3D0000}"/>
    <cellStyle name="Normal 2 2 2 2 4 30 5 3" xfId="15838" xr:uid="{00000000-0005-0000-0000-0000DE3D0000}"/>
    <cellStyle name="Normal 2 2 2 2 4 30 5 4" xfId="15839" xr:uid="{00000000-0005-0000-0000-0000DF3D0000}"/>
    <cellStyle name="Normal 2 2 2 2 4 30 5 5" xfId="15840" xr:uid="{00000000-0005-0000-0000-0000E03D0000}"/>
    <cellStyle name="Normal 2 2 2 2 4 30 5 6" xfId="15841" xr:uid="{00000000-0005-0000-0000-0000E13D0000}"/>
    <cellStyle name="Normal 2 2 2 2 4 30 5 7" xfId="15842" xr:uid="{00000000-0005-0000-0000-0000E23D0000}"/>
    <cellStyle name="Normal 2 2 2 2 4 30 5 8" xfId="15843" xr:uid="{00000000-0005-0000-0000-0000E33D0000}"/>
    <cellStyle name="Normal 2 2 2 2 4 30 5 9" xfId="15844" xr:uid="{00000000-0005-0000-0000-0000E43D0000}"/>
    <cellStyle name="Normal 2 2 2 2 4 30 6" xfId="15845" xr:uid="{00000000-0005-0000-0000-0000E53D0000}"/>
    <cellStyle name="Normal 2 2 2 2 4 30 7" xfId="15846" xr:uid="{00000000-0005-0000-0000-0000E63D0000}"/>
    <cellStyle name="Normal 2 2 2 2 4 30 8" xfId="15847" xr:uid="{00000000-0005-0000-0000-0000E73D0000}"/>
    <cellStyle name="Normal 2 2 2 2 4 30 9" xfId="15848" xr:uid="{00000000-0005-0000-0000-0000E83D0000}"/>
    <cellStyle name="Normal 2 2 2 2 4 31" xfId="15849" xr:uid="{00000000-0005-0000-0000-0000E93D0000}"/>
    <cellStyle name="Normal 2 2 2 2 4 31 10" xfId="15850" xr:uid="{00000000-0005-0000-0000-0000EA3D0000}"/>
    <cellStyle name="Normal 2 2 2 2 4 31 11" xfId="15851" xr:uid="{00000000-0005-0000-0000-0000EB3D0000}"/>
    <cellStyle name="Normal 2 2 2 2 4 31 12" xfId="15852" xr:uid="{00000000-0005-0000-0000-0000EC3D0000}"/>
    <cellStyle name="Normal 2 2 2 2 4 31 13" xfId="15853" xr:uid="{00000000-0005-0000-0000-0000ED3D0000}"/>
    <cellStyle name="Normal 2 2 2 2 4 31 14" xfId="15854" xr:uid="{00000000-0005-0000-0000-0000EE3D0000}"/>
    <cellStyle name="Normal 2 2 2 2 4 31 2" xfId="15855" xr:uid="{00000000-0005-0000-0000-0000EF3D0000}"/>
    <cellStyle name="Normal 2 2 2 2 4 31 2 10" xfId="15856" xr:uid="{00000000-0005-0000-0000-0000F03D0000}"/>
    <cellStyle name="Normal 2 2 2 2 4 31 2 2" xfId="15857" xr:uid="{00000000-0005-0000-0000-0000F13D0000}"/>
    <cellStyle name="Normal 2 2 2 2 4 31 2 3" xfId="15858" xr:uid="{00000000-0005-0000-0000-0000F23D0000}"/>
    <cellStyle name="Normal 2 2 2 2 4 31 2 4" xfId="15859" xr:uid="{00000000-0005-0000-0000-0000F33D0000}"/>
    <cellStyle name="Normal 2 2 2 2 4 31 2 5" xfId="15860" xr:uid="{00000000-0005-0000-0000-0000F43D0000}"/>
    <cellStyle name="Normal 2 2 2 2 4 31 2 6" xfId="15861" xr:uid="{00000000-0005-0000-0000-0000F53D0000}"/>
    <cellStyle name="Normal 2 2 2 2 4 31 2 7" xfId="15862" xr:uid="{00000000-0005-0000-0000-0000F63D0000}"/>
    <cellStyle name="Normal 2 2 2 2 4 31 2 8" xfId="15863" xr:uid="{00000000-0005-0000-0000-0000F73D0000}"/>
    <cellStyle name="Normal 2 2 2 2 4 31 2 9" xfId="15864" xr:uid="{00000000-0005-0000-0000-0000F83D0000}"/>
    <cellStyle name="Normal 2 2 2 2 4 31 3" xfId="15865" xr:uid="{00000000-0005-0000-0000-0000F93D0000}"/>
    <cellStyle name="Normal 2 2 2 2 4 31 3 10" xfId="15866" xr:uid="{00000000-0005-0000-0000-0000FA3D0000}"/>
    <cellStyle name="Normal 2 2 2 2 4 31 3 2" xfId="15867" xr:uid="{00000000-0005-0000-0000-0000FB3D0000}"/>
    <cellStyle name="Normal 2 2 2 2 4 31 3 3" xfId="15868" xr:uid="{00000000-0005-0000-0000-0000FC3D0000}"/>
    <cellStyle name="Normal 2 2 2 2 4 31 3 4" xfId="15869" xr:uid="{00000000-0005-0000-0000-0000FD3D0000}"/>
    <cellStyle name="Normal 2 2 2 2 4 31 3 5" xfId="15870" xr:uid="{00000000-0005-0000-0000-0000FE3D0000}"/>
    <cellStyle name="Normal 2 2 2 2 4 31 3 6" xfId="15871" xr:uid="{00000000-0005-0000-0000-0000FF3D0000}"/>
    <cellStyle name="Normal 2 2 2 2 4 31 3 7" xfId="15872" xr:uid="{00000000-0005-0000-0000-0000003E0000}"/>
    <cellStyle name="Normal 2 2 2 2 4 31 3 8" xfId="15873" xr:uid="{00000000-0005-0000-0000-0000013E0000}"/>
    <cellStyle name="Normal 2 2 2 2 4 31 3 9" xfId="15874" xr:uid="{00000000-0005-0000-0000-0000023E0000}"/>
    <cellStyle name="Normal 2 2 2 2 4 31 4" xfId="15875" xr:uid="{00000000-0005-0000-0000-0000033E0000}"/>
    <cellStyle name="Normal 2 2 2 2 4 31 4 10" xfId="15876" xr:uid="{00000000-0005-0000-0000-0000043E0000}"/>
    <cellStyle name="Normal 2 2 2 2 4 31 4 2" xfId="15877" xr:uid="{00000000-0005-0000-0000-0000053E0000}"/>
    <cellStyle name="Normal 2 2 2 2 4 31 4 3" xfId="15878" xr:uid="{00000000-0005-0000-0000-0000063E0000}"/>
    <cellStyle name="Normal 2 2 2 2 4 31 4 4" xfId="15879" xr:uid="{00000000-0005-0000-0000-0000073E0000}"/>
    <cellStyle name="Normal 2 2 2 2 4 31 4 5" xfId="15880" xr:uid="{00000000-0005-0000-0000-0000083E0000}"/>
    <cellStyle name="Normal 2 2 2 2 4 31 4 6" xfId="15881" xr:uid="{00000000-0005-0000-0000-0000093E0000}"/>
    <cellStyle name="Normal 2 2 2 2 4 31 4 7" xfId="15882" xr:uid="{00000000-0005-0000-0000-00000A3E0000}"/>
    <cellStyle name="Normal 2 2 2 2 4 31 4 8" xfId="15883" xr:uid="{00000000-0005-0000-0000-00000B3E0000}"/>
    <cellStyle name="Normal 2 2 2 2 4 31 4 9" xfId="15884" xr:uid="{00000000-0005-0000-0000-00000C3E0000}"/>
    <cellStyle name="Normal 2 2 2 2 4 31 5" xfId="15885" xr:uid="{00000000-0005-0000-0000-00000D3E0000}"/>
    <cellStyle name="Normal 2 2 2 2 4 31 5 10" xfId="15886" xr:uid="{00000000-0005-0000-0000-00000E3E0000}"/>
    <cellStyle name="Normal 2 2 2 2 4 31 5 2" xfId="15887" xr:uid="{00000000-0005-0000-0000-00000F3E0000}"/>
    <cellStyle name="Normal 2 2 2 2 4 31 5 3" xfId="15888" xr:uid="{00000000-0005-0000-0000-0000103E0000}"/>
    <cellStyle name="Normal 2 2 2 2 4 31 5 4" xfId="15889" xr:uid="{00000000-0005-0000-0000-0000113E0000}"/>
    <cellStyle name="Normal 2 2 2 2 4 31 5 5" xfId="15890" xr:uid="{00000000-0005-0000-0000-0000123E0000}"/>
    <cellStyle name="Normal 2 2 2 2 4 31 5 6" xfId="15891" xr:uid="{00000000-0005-0000-0000-0000133E0000}"/>
    <cellStyle name="Normal 2 2 2 2 4 31 5 7" xfId="15892" xr:uid="{00000000-0005-0000-0000-0000143E0000}"/>
    <cellStyle name="Normal 2 2 2 2 4 31 5 8" xfId="15893" xr:uid="{00000000-0005-0000-0000-0000153E0000}"/>
    <cellStyle name="Normal 2 2 2 2 4 31 5 9" xfId="15894" xr:uid="{00000000-0005-0000-0000-0000163E0000}"/>
    <cellStyle name="Normal 2 2 2 2 4 31 6" xfId="15895" xr:uid="{00000000-0005-0000-0000-0000173E0000}"/>
    <cellStyle name="Normal 2 2 2 2 4 31 7" xfId="15896" xr:uid="{00000000-0005-0000-0000-0000183E0000}"/>
    <cellStyle name="Normal 2 2 2 2 4 31 8" xfId="15897" xr:uid="{00000000-0005-0000-0000-0000193E0000}"/>
    <cellStyle name="Normal 2 2 2 2 4 31 9" xfId="15898" xr:uid="{00000000-0005-0000-0000-00001A3E0000}"/>
    <cellStyle name="Normal 2 2 2 2 4 32" xfId="15899" xr:uid="{00000000-0005-0000-0000-00001B3E0000}"/>
    <cellStyle name="Normal 2 2 2 2 4 32 10" xfId="15900" xr:uid="{00000000-0005-0000-0000-00001C3E0000}"/>
    <cellStyle name="Normal 2 2 2 2 4 32 11" xfId="15901" xr:uid="{00000000-0005-0000-0000-00001D3E0000}"/>
    <cellStyle name="Normal 2 2 2 2 4 32 12" xfId="15902" xr:uid="{00000000-0005-0000-0000-00001E3E0000}"/>
    <cellStyle name="Normal 2 2 2 2 4 32 13" xfId="15903" xr:uid="{00000000-0005-0000-0000-00001F3E0000}"/>
    <cellStyle name="Normal 2 2 2 2 4 32 14" xfId="15904" xr:uid="{00000000-0005-0000-0000-0000203E0000}"/>
    <cellStyle name="Normal 2 2 2 2 4 32 2" xfId="15905" xr:uid="{00000000-0005-0000-0000-0000213E0000}"/>
    <cellStyle name="Normal 2 2 2 2 4 32 2 10" xfId="15906" xr:uid="{00000000-0005-0000-0000-0000223E0000}"/>
    <cellStyle name="Normal 2 2 2 2 4 32 2 2" xfId="15907" xr:uid="{00000000-0005-0000-0000-0000233E0000}"/>
    <cellStyle name="Normal 2 2 2 2 4 32 2 3" xfId="15908" xr:uid="{00000000-0005-0000-0000-0000243E0000}"/>
    <cellStyle name="Normal 2 2 2 2 4 32 2 4" xfId="15909" xr:uid="{00000000-0005-0000-0000-0000253E0000}"/>
    <cellStyle name="Normal 2 2 2 2 4 32 2 5" xfId="15910" xr:uid="{00000000-0005-0000-0000-0000263E0000}"/>
    <cellStyle name="Normal 2 2 2 2 4 32 2 6" xfId="15911" xr:uid="{00000000-0005-0000-0000-0000273E0000}"/>
    <cellStyle name="Normal 2 2 2 2 4 32 2 7" xfId="15912" xr:uid="{00000000-0005-0000-0000-0000283E0000}"/>
    <cellStyle name="Normal 2 2 2 2 4 32 2 8" xfId="15913" xr:uid="{00000000-0005-0000-0000-0000293E0000}"/>
    <cellStyle name="Normal 2 2 2 2 4 32 2 9" xfId="15914" xr:uid="{00000000-0005-0000-0000-00002A3E0000}"/>
    <cellStyle name="Normal 2 2 2 2 4 32 3" xfId="15915" xr:uid="{00000000-0005-0000-0000-00002B3E0000}"/>
    <cellStyle name="Normal 2 2 2 2 4 32 3 10" xfId="15916" xr:uid="{00000000-0005-0000-0000-00002C3E0000}"/>
    <cellStyle name="Normal 2 2 2 2 4 32 3 2" xfId="15917" xr:uid="{00000000-0005-0000-0000-00002D3E0000}"/>
    <cellStyle name="Normal 2 2 2 2 4 32 3 3" xfId="15918" xr:uid="{00000000-0005-0000-0000-00002E3E0000}"/>
    <cellStyle name="Normal 2 2 2 2 4 32 3 4" xfId="15919" xr:uid="{00000000-0005-0000-0000-00002F3E0000}"/>
    <cellStyle name="Normal 2 2 2 2 4 32 3 5" xfId="15920" xr:uid="{00000000-0005-0000-0000-0000303E0000}"/>
    <cellStyle name="Normal 2 2 2 2 4 32 3 6" xfId="15921" xr:uid="{00000000-0005-0000-0000-0000313E0000}"/>
    <cellStyle name="Normal 2 2 2 2 4 32 3 7" xfId="15922" xr:uid="{00000000-0005-0000-0000-0000323E0000}"/>
    <cellStyle name="Normal 2 2 2 2 4 32 3 8" xfId="15923" xr:uid="{00000000-0005-0000-0000-0000333E0000}"/>
    <cellStyle name="Normal 2 2 2 2 4 32 3 9" xfId="15924" xr:uid="{00000000-0005-0000-0000-0000343E0000}"/>
    <cellStyle name="Normal 2 2 2 2 4 32 4" xfId="15925" xr:uid="{00000000-0005-0000-0000-0000353E0000}"/>
    <cellStyle name="Normal 2 2 2 2 4 32 4 10" xfId="15926" xr:uid="{00000000-0005-0000-0000-0000363E0000}"/>
    <cellStyle name="Normal 2 2 2 2 4 32 4 2" xfId="15927" xr:uid="{00000000-0005-0000-0000-0000373E0000}"/>
    <cellStyle name="Normal 2 2 2 2 4 32 4 3" xfId="15928" xr:uid="{00000000-0005-0000-0000-0000383E0000}"/>
    <cellStyle name="Normal 2 2 2 2 4 32 4 4" xfId="15929" xr:uid="{00000000-0005-0000-0000-0000393E0000}"/>
    <cellStyle name="Normal 2 2 2 2 4 32 4 5" xfId="15930" xr:uid="{00000000-0005-0000-0000-00003A3E0000}"/>
    <cellStyle name="Normal 2 2 2 2 4 32 4 6" xfId="15931" xr:uid="{00000000-0005-0000-0000-00003B3E0000}"/>
    <cellStyle name="Normal 2 2 2 2 4 32 4 7" xfId="15932" xr:uid="{00000000-0005-0000-0000-00003C3E0000}"/>
    <cellStyle name="Normal 2 2 2 2 4 32 4 8" xfId="15933" xr:uid="{00000000-0005-0000-0000-00003D3E0000}"/>
    <cellStyle name="Normal 2 2 2 2 4 32 4 9" xfId="15934" xr:uid="{00000000-0005-0000-0000-00003E3E0000}"/>
    <cellStyle name="Normal 2 2 2 2 4 32 5" xfId="15935" xr:uid="{00000000-0005-0000-0000-00003F3E0000}"/>
    <cellStyle name="Normal 2 2 2 2 4 32 5 10" xfId="15936" xr:uid="{00000000-0005-0000-0000-0000403E0000}"/>
    <cellStyle name="Normal 2 2 2 2 4 32 5 2" xfId="15937" xr:uid="{00000000-0005-0000-0000-0000413E0000}"/>
    <cellStyle name="Normal 2 2 2 2 4 32 5 3" xfId="15938" xr:uid="{00000000-0005-0000-0000-0000423E0000}"/>
    <cellStyle name="Normal 2 2 2 2 4 32 5 4" xfId="15939" xr:uid="{00000000-0005-0000-0000-0000433E0000}"/>
    <cellStyle name="Normal 2 2 2 2 4 32 5 5" xfId="15940" xr:uid="{00000000-0005-0000-0000-0000443E0000}"/>
    <cellStyle name="Normal 2 2 2 2 4 32 5 6" xfId="15941" xr:uid="{00000000-0005-0000-0000-0000453E0000}"/>
    <cellStyle name="Normal 2 2 2 2 4 32 5 7" xfId="15942" xr:uid="{00000000-0005-0000-0000-0000463E0000}"/>
    <cellStyle name="Normal 2 2 2 2 4 32 5 8" xfId="15943" xr:uid="{00000000-0005-0000-0000-0000473E0000}"/>
    <cellStyle name="Normal 2 2 2 2 4 32 5 9" xfId="15944" xr:uid="{00000000-0005-0000-0000-0000483E0000}"/>
    <cellStyle name="Normal 2 2 2 2 4 32 6" xfId="15945" xr:uid="{00000000-0005-0000-0000-0000493E0000}"/>
    <cellStyle name="Normal 2 2 2 2 4 32 7" xfId="15946" xr:uid="{00000000-0005-0000-0000-00004A3E0000}"/>
    <cellStyle name="Normal 2 2 2 2 4 32 8" xfId="15947" xr:uid="{00000000-0005-0000-0000-00004B3E0000}"/>
    <cellStyle name="Normal 2 2 2 2 4 32 9" xfId="15948" xr:uid="{00000000-0005-0000-0000-00004C3E0000}"/>
    <cellStyle name="Normal 2 2 2 2 4 33" xfId="15949" xr:uid="{00000000-0005-0000-0000-00004D3E0000}"/>
    <cellStyle name="Normal 2 2 2 2 4 33 10" xfId="15950" xr:uid="{00000000-0005-0000-0000-00004E3E0000}"/>
    <cellStyle name="Normal 2 2 2 2 4 33 11" xfId="15951" xr:uid="{00000000-0005-0000-0000-00004F3E0000}"/>
    <cellStyle name="Normal 2 2 2 2 4 33 12" xfId="15952" xr:uid="{00000000-0005-0000-0000-0000503E0000}"/>
    <cellStyle name="Normal 2 2 2 2 4 33 13" xfId="15953" xr:uid="{00000000-0005-0000-0000-0000513E0000}"/>
    <cellStyle name="Normal 2 2 2 2 4 33 14" xfId="15954" xr:uid="{00000000-0005-0000-0000-0000523E0000}"/>
    <cellStyle name="Normal 2 2 2 2 4 33 2" xfId="15955" xr:uid="{00000000-0005-0000-0000-0000533E0000}"/>
    <cellStyle name="Normal 2 2 2 2 4 33 2 10" xfId="15956" xr:uid="{00000000-0005-0000-0000-0000543E0000}"/>
    <cellStyle name="Normal 2 2 2 2 4 33 2 2" xfId="15957" xr:uid="{00000000-0005-0000-0000-0000553E0000}"/>
    <cellStyle name="Normal 2 2 2 2 4 33 2 3" xfId="15958" xr:uid="{00000000-0005-0000-0000-0000563E0000}"/>
    <cellStyle name="Normal 2 2 2 2 4 33 2 4" xfId="15959" xr:uid="{00000000-0005-0000-0000-0000573E0000}"/>
    <cellStyle name="Normal 2 2 2 2 4 33 2 5" xfId="15960" xr:uid="{00000000-0005-0000-0000-0000583E0000}"/>
    <cellStyle name="Normal 2 2 2 2 4 33 2 6" xfId="15961" xr:uid="{00000000-0005-0000-0000-0000593E0000}"/>
    <cellStyle name="Normal 2 2 2 2 4 33 2 7" xfId="15962" xr:uid="{00000000-0005-0000-0000-00005A3E0000}"/>
    <cellStyle name="Normal 2 2 2 2 4 33 2 8" xfId="15963" xr:uid="{00000000-0005-0000-0000-00005B3E0000}"/>
    <cellStyle name="Normal 2 2 2 2 4 33 2 9" xfId="15964" xr:uid="{00000000-0005-0000-0000-00005C3E0000}"/>
    <cellStyle name="Normal 2 2 2 2 4 33 3" xfId="15965" xr:uid="{00000000-0005-0000-0000-00005D3E0000}"/>
    <cellStyle name="Normal 2 2 2 2 4 33 3 10" xfId="15966" xr:uid="{00000000-0005-0000-0000-00005E3E0000}"/>
    <cellStyle name="Normal 2 2 2 2 4 33 3 2" xfId="15967" xr:uid="{00000000-0005-0000-0000-00005F3E0000}"/>
    <cellStyle name="Normal 2 2 2 2 4 33 3 3" xfId="15968" xr:uid="{00000000-0005-0000-0000-0000603E0000}"/>
    <cellStyle name="Normal 2 2 2 2 4 33 3 4" xfId="15969" xr:uid="{00000000-0005-0000-0000-0000613E0000}"/>
    <cellStyle name="Normal 2 2 2 2 4 33 3 5" xfId="15970" xr:uid="{00000000-0005-0000-0000-0000623E0000}"/>
    <cellStyle name="Normal 2 2 2 2 4 33 3 6" xfId="15971" xr:uid="{00000000-0005-0000-0000-0000633E0000}"/>
    <cellStyle name="Normal 2 2 2 2 4 33 3 7" xfId="15972" xr:uid="{00000000-0005-0000-0000-0000643E0000}"/>
    <cellStyle name="Normal 2 2 2 2 4 33 3 8" xfId="15973" xr:uid="{00000000-0005-0000-0000-0000653E0000}"/>
    <cellStyle name="Normal 2 2 2 2 4 33 3 9" xfId="15974" xr:uid="{00000000-0005-0000-0000-0000663E0000}"/>
    <cellStyle name="Normal 2 2 2 2 4 33 4" xfId="15975" xr:uid="{00000000-0005-0000-0000-0000673E0000}"/>
    <cellStyle name="Normal 2 2 2 2 4 33 4 10" xfId="15976" xr:uid="{00000000-0005-0000-0000-0000683E0000}"/>
    <cellStyle name="Normal 2 2 2 2 4 33 4 2" xfId="15977" xr:uid="{00000000-0005-0000-0000-0000693E0000}"/>
    <cellStyle name="Normal 2 2 2 2 4 33 4 3" xfId="15978" xr:uid="{00000000-0005-0000-0000-00006A3E0000}"/>
    <cellStyle name="Normal 2 2 2 2 4 33 4 4" xfId="15979" xr:uid="{00000000-0005-0000-0000-00006B3E0000}"/>
    <cellStyle name="Normal 2 2 2 2 4 33 4 5" xfId="15980" xr:uid="{00000000-0005-0000-0000-00006C3E0000}"/>
    <cellStyle name="Normal 2 2 2 2 4 33 4 6" xfId="15981" xr:uid="{00000000-0005-0000-0000-00006D3E0000}"/>
    <cellStyle name="Normal 2 2 2 2 4 33 4 7" xfId="15982" xr:uid="{00000000-0005-0000-0000-00006E3E0000}"/>
    <cellStyle name="Normal 2 2 2 2 4 33 4 8" xfId="15983" xr:uid="{00000000-0005-0000-0000-00006F3E0000}"/>
    <cellStyle name="Normal 2 2 2 2 4 33 4 9" xfId="15984" xr:uid="{00000000-0005-0000-0000-0000703E0000}"/>
    <cellStyle name="Normal 2 2 2 2 4 33 5" xfId="15985" xr:uid="{00000000-0005-0000-0000-0000713E0000}"/>
    <cellStyle name="Normal 2 2 2 2 4 33 5 10" xfId="15986" xr:uid="{00000000-0005-0000-0000-0000723E0000}"/>
    <cellStyle name="Normal 2 2 2 2 4 33 5 2" xfId="15987" xr:uid="{00000000-0005-0000-0000-0000733E0000}"/>
    <cellStyle name="Normal 2 2 2 2 4 33 5 3" xfId="15988" xr:uid="{00000000-0005-0000-0000-0000743E0000}"/>
    <cellStyle name="Normal 2 2 2 2 4 33 5 4" xfId="15989" xr:uid="{00000000-0005-0000-0000-0000753E0000}"/>
    <cellStyle name="Normal 2 2 2 2 4 33 5 5" xfId="15990" xr:uid="{00000000-0005-0000-0000-0000763E0000}"/>
    <cellStyle name="Normal 2 2 2 2 4 33 5 6" xfId="15991" xr:uid="{00000000-0005-0000-0000-0000773E0000}"/>
    <cellStyle name="Normal 2 2 2 2 4 33 5 7" xfId="15992" xr:uid="{00000000-0005-0000-0000-0000783E0000}"/>
    <cellStyle name="Normal 2 2 2 2 4 33 5 8" xfId="15993" xr:uid="{00000000-0005-0000-0000-0000793E0000}"/>
    <cellStyle name="Normal 2 2 2 2 4 33 5 9" xfId="15994" xr:uid="{00000000-0005-0000-0000-00007A3E0000}"/>
    <cellStyle name="Normal 2 2 2 2 4 33 6" xfId="15995" xr:uid="{00000000-0005-0000-0000-00007B3E0000}"/>
    <cellStyle name="Normal 2 2 2 2 4 33 7" xfId="15996" xr:uid="{00000000-0005-0000-0000-00007C3E0000}"/>
    <cellStyle name="Normal 2 2 2 2 4 33 8" xfId="15997" xr:uid="{00000000-0005-0000-0000-00007D3E0000}"/>
    <cellStyle name="Normal 2 2 2 2 4 33 9" xfId="15998" xr:uid="{00000000-0005-0000-0000-00007E3E0000}"/>
    <cellStyle name="Normal 2 2 2 2 4 34" xfId="15999" xr:uid="{00000000-0005-0000-0000-00007F3E0000}"/>
    <cellStyle name="Normal 2 2 2 2 4 35" xfId="16000" xr:uid="{00000000-0005-0000-0000-0000803E0000}"/>
    <cellStyle name="Normal 2 2 2 2 4 4" xfId="16001" xr:uid="{00000000-0005-0000-0000-0000813E0000}"/>
    <cellStyle name="Normal 2 2 2 2 4 4 10" xfId="16002" xr:uid="{00000000-0005-0000-0000-0000823E0000}"/>
    <cellStyle name="Normal 2 2 2 2 4 4 11" xfId="16003" xr:uid="{00000000-0005-0000-0000-0000833E0000}"/>
    <cellStyle name="Normal 2 2 2 2 4 4 12" xfId="16004" xr:uid="{00000000-0005-0000-0000-0000843E0000}"/>
    <cellStyle name="Normal 2 2 2 2 4 4 13" xfId="16005" xr:uid="{00000000-0005-0000-0000-0000853E0000}"/>
    <cellStyle name="Normal 2 2 2 2 4 4 14" xfId="16006" xr:uid="{00000000-0005-0000-0000-0000863E0000}"/>
    <cellStyle name="Normal 2 2 2 2 4 4 2" xfId="16007" xr:uid="{00000000-0005-0000-0000-0000873E0000}"/>
    <cellStyle name="Normal 2 2 2 2 4 4 2 10" xfId="16008" xr:uid="{00000000-0005-0000-0000-0000883E0000}"/>
    <cellStyle name="Normal 2 2 2 2 4 4 2 2" xfId="16009" xr:uid="{00000000-0005-0000-0000-0000893E0000}"/>
    <cellStyle name="Normal 2 2 2 2 4 4 2 3" xfId="16010" xr:uid="{00000000-0005-0000-0000-00008A3E0000}"/>
    <cellStyle name="Normal 2 2 2 2 4 4 2 4" xfId="16011" xr:uid="{00000000-0005-0000-0000-00008B3E0000}"/>
    <cellStyle name="Normal 2 2 2 2 4 4 2 5" xfId="16012" xr:uid="{00000000-0005-0000-0000-00008C3E0000}"/>
    <cellStyle name="Normal 2 2 2 2 4 4 2 6" xfId="16013" xr:uid="{00000000-0005-0000-0000-00008D3E0000}"/>
    <cellStyle name="Normal 2 2 2 2 4 4 2 7" xfId="16014" xr:uid="{00000000-0005-0000-0000-00008E3E0000}"/>
    <cellStyle name="Normal 2 2 2 2 4 4 2 8" xfId="16015" xr:uid="{00000000-0005-0000-0000-00008F3E0000}"/>
    <cellStyle name="Normal 2 2 2 2 4 4 2 9" xfId="16016" xr:uid="{00000000-0005-0000-0000-0000903E0000}"/>
    <cellStyle name="Normal 2 2 2 2 4 4 3" xfId="16017" xr:uid="{00000000-0005-0000-0000-0000913E0000}"/>
    <cellStyle name="Normal 2 2 2 2 4 4 3 10" xfId="16018" xr:uid="{00000000-0005-0000-0000-0000923E0000}"/>
    <cellStyle name="Normal 2 2 2 2 4 4 3 2" xfId="16019" xr:uid="{00000000-0005-0000-0000-0000933E0000}"/>
    <cellStyle name="Normal 2 2 2 2 4 4 3 3" xfId="16020" xr:uid="{00000000-0005-0000-0000-0000943E0000}"/>
    <cellStyle name="Normal 2 2 2 2 4 4 3 4" xfId="16021" xr:uid="{00000000-0005-0000-0000-0000953E0000}"/>
    <cellStyle name="Normal 2 2 2 2 4 4 3 5" xfId="16022" xr:uid="{00000000-0005-0000-0000-0000963E0000}"/>
    <cellStyle name="Normal 2 2 2 2 4 4 3 6" xfId="16023" xr:uid="{00000000-0005-0000-0000-0000973E0000}"/>
    <cellStyle name="Normal 2 2 2 2 4 4 3 7" xfId="16024" xr:uid="{00000000-0005-0000-0000-0000983E0000}"/>
    <cellStyle name="Normal 2 2 2 2 4 4 3 8" xfId="16025" xr:uid="{00000000-0005-0000-0000-0000993E0000}"/>
    <cellStyle name="Normal 2 2 2 2 4 4 3 9" xfId="16026" xr:uid="{00000000-0005-0000-0000-00009A3E0000}"/>
    <cellStyle name="Normal 2 2 2 2 4 4 4" xfId="16027" xr:uid="{00000000-0005-0000-0000-00009B3E0000}"/>
    <cellStyle name="Normal 2 2 2 2 4 4 4 10" xfId="16028" xr:uid="{00000000-0005-0000-0000-00009C3E0000}"/>
    <cellStyle name="Normal 2 2 2 2 4 4 4 2" xfId="16029" xr:uid="{00000000-0005-0000-0000-00009D3E0000}"/>
    <cellStyle name="Normal 2 2 2 2 4 4 4 3" xfId="16030" xr:uid="{00000000-0005-0000-0000-00009E3E0000}"/>
    <cellStyle name="Normal 2 2 2 2 4 4 4 4" xfId="16031" xr:uid="{00000000-0005-0000-0000-00009F3E0000}"/>
    <cellStyle name="Normal 2 2 2 2 4 4 4 5" xfId="16032" xr:uid="{00000000-0005-0000-0000-0000A03E0000}"/>
    <cellStyle name="Normal 2 2 2 2 4 4 4 6" xfId="16033" xr:uid="{00000000-0005-0000-0000-0000A13E0000}"/>
    <cellStyle name="Normal 2 2 2 2 4 4 4 7" xfId="16034" xr:uid="{00000000-0005-0000-0000-0000A23E0000}"/>
    <cellStyle name="Normal 2 2 2 2 4 4 4 8" xfId="16035" xr:uid="{00000000-0005-0000-0000-0000A33E0000}"/>
    <cellStyle name="Normal 2 2 2 2 4 4 4 9" xfId="16036" xr:uid="{00000000-0005-0000-0000-0000A43E0000}"/>
    <cellStyle name="Normal 2 2 2 2 4 4 5" xfId="16037" xr:uid="{00000000-0005-0000-0000-0000A53E0000}"/>
    <cellStyle name="Normal 2 2 2 2 4 4 5 10" xfId="16038" xr:uid="{00000000-0005-0000-0000-0000A63E0000}"/>
    <cellStyle name="Normal 2 2 2 2 4 4 5 2" xfId="16039" xr:uid="{00000000-0005-0000-0000-0000A73E0000}"/>
    <cellStyle name="Normal 2 2 2 2 4 4 5 3" xfId="16040" xr:uid="{00000000-0005-0000-0000-0000A83E0000}"/>
    <cellStyle name="Normal 2 2 2 2 4 4 5 4" xfId="16041" xr:uid="{00000000-0005-0000-0000-0000A93E0000}"/>
    <cellStyle name="Normal 2 2 2 2 4 4 5 5" xfId="16042" xr:uid="{00000000-0005-0000-0000-0000AA3E0000}"/>
    <cellStyle name="Normal 2 2 2 2 4 4 5 6" xfId="16043" xr:uid="{00000000-0005-0000-0000-0000AB3E0000}"/>
    <cellStyle name="Normal 2 2 2 2 4 4 5 7" xfId="16044" xr:uid="{00000000-0005-0000-0000-0000AC3E0000}"/>
    <cellStyle name="Normal 2 2 2 2 4 4 5 8" xfId="16045" xr:uid="{00000000-0005-0000-0000-0000AD3E0000}"/>
    <cellStyle name="Normal 2 2 2 2 4 4 5 9" xfId="16046" xr:uid="{00000000-0005-0000-0000-0000AE3E0000}"/>
    <cellStyle name="Normal 2 2 2 2 4 4 6" xfId="16047" xr:uid="{00000000-0005-0000-0000-0000AF3E0000}"/>
    <cellStyle name="Normal 2 2 2 2 4 4 7" xfId="16048" xr:uid="{00000000-0005-0000-0000-0000B03E0000}"/>
    <cellStyle name="Normal 2 2 2 2 4 4 8" xfId="16049" xr:uid="{00000000-0005-0000-0000-0000B13E0000}"/>
    <cellStyle name="Normal 2 2 2 2 4 4 9" xfId="16050" xr:uid="{00000000-0005-0000-0000-0000B23E0000}"/>
    <cellStyle name="Normal 2 2 2 2 4 5" xfId="16051" xr:uid="{00000000-0005-0000-0000-0000B33E0000}"/>
    <cellStyle name="Normal 2 2 2 2 4 5 10" xfId="16052" xr:uid="{00000000-0005-0000-0000-0000B43E0000}"/>
    <cellStyle name="Normal 2 2 2 2 4 5 11" xfId="16053" xr:uid="{00000000-0005-0000-0000-0000B53E0000}"/>
    <cellStyle name="Normal 2 2 2 2 4 5 12" xfId="16054" xr:uid="{00000000-0005-0000-0000-0000B63E0000}"/>
    <cellStyle name="Normal 2 2 2 2 4 5 13" xfId="16055" xr:uid="{00000000-0005-0000-0000-0000B73E0000}"/>
    <cellStyle name="Normal 2 2 2 2 4 5 14" xfId="16056" xr:uid="{00000000-0005-0000-0000-0000B83E0000}"/>
    <cellStyle name="Normal 2 2 2 2 4 5 2" xfId="16057" xr:uid="{00000000-0005-0000-0000-0000B93E0000}"/>
    <cellStyle name="Normal 2 2 2 2 4 5 2 10" xfId="16058" xr:uid="{00000000-0005-0000-0000-0000BA3E0000}"/>
    <cellStyle name="Normal 2 2 2 2 4 5 2 2" xfId="16059" xr:uid="{00000000-0005-0000-0000-0000BB3E0000}"/>
    <cellStyle name="Normal 2 2 2 2 4 5 2 3" xfId="16060" xr:uid="{00000000-0005-0000-0000-0000BC3E0000}"/>
    <cellStyle name="Normal 2 2 2 2 4 5 2 4" xfId="16061" xr:uid="{00000000-0005-0000-0000-0000BD3E0000}"/>
    <cellStyle name="Normal 2 2 2 2 4 5 2 5" xfId="16062" xr:uid="{00000000-0005-0000-0000-0000BE3E0000}"/>
    <cellStyle name="Normal 2 2 2 2 4 5 2 6" xfId="16063" xr:uid="{00000000-0005-0000-0000-0000BF3E0000}"/>
    <cellStyle name="Normal 2 2 2 2 4 5 2 7" xfId="16064" xr:uid="{00000000-0005-0000-0000-0000C03E0000}"/>
    <cellStyle name="Normal 2 2 2 2 4 5 2 8" xfId="16065" xr:uid="{00000000-0005-0000-0000-0000C13E0000}"/>
    <cellStyle name="Normal 2 2 2 2 4 5 2 9" xfId="16066" xr:uid="{00000000-0005-0000-0000-0000C23E0000}"/>
    <cellStyle name="Normal 2 2 2 2 4 5 3" xfId="16067" xr:uid="{00000000-0005-0000-0000-0000C33E0000}"/>
    <cellStyle name="Normal 2 2 2 2 4 5 3 10" xfId="16068" xr:uid="{00000000-0005-0000-0000-0000C43E0000}"/>
    <cellStyle name="Normal 2 2 2 2 4 5 3 2" xfId="16069" xr:uid="{00000000-0005-0000-0000-0000C53E0000}"/>
    <cellStyle name="Normal 2 2 2 2 4 5 3 3" xfId="16070" xr:uid="{00000000-0005-0000-0000-0000C63E0000}"/>
    <cellStyle name="Normal 2 2 2 2 4 5 3 4" xfId="16071" xr:uid="{00000000-0005-0000-0000-0000C73E0000}"/>
    <cellStyle name="Normal 2 2 2 2 4 5 3 5" xfId="16072" xr:uid="{00000000-0005-0000-0000-0000C83E0000}"/>
    <cellStyle name="Normal 2 2 2 2 4 5 3 6" xfId="16073" xr:uid="{00000000-0005-0000-0000-0000C93E0000}"/>
    <cellStyle name="Normal 2 2 2 2 4 5 3 7" xfId="16074" xr:uid="{00000000-0005-0000-0000-0000CA3E0000}"/>
    <cellStyle name="Normal 2 2 2 2 4 5 3 8" xfId="16075" xr:uid="{00000000-0005-0000-0000-0000CB3E0000}"/>
    <cellStyle name="Normal 2 2 2 2 4 5 3 9" xfId="16076" xr:uid="{00000000-0005-0000-0000-0000CC3E0000}"/>
    <cellStyle name="Normal 2 2 2 2 4 5 4" xfId="16077" xr:uid="{00000000-0005-0000-0000-0000CD3E0000}"/>
    <cellStyle name="Normal 2 2 2 2 4 5 4 10" xfId="16078" xr:uid="{00000000-0005-0000-0000-0000CE3E0000}"/>
    <cellStyle name="Normal 2 2 2 2 4 5 4 2" xfId="16079" xr:uid="{00000000-0005-0000-0000-0000CF3E0000}"/>
    <cellStyle name="Normal 2 2 2 2 4 5 4 3" xfId="16080" xr:uid="{00000000-0005-0000-0000-0000D03E0000}"/>
    <cellStyle name="Normal 2 2 2 2 4 5 4 4" xfId="16081" xr:uid="{00000000-0005-0000-0000-0000D13E0000}"/>
    <cellStyle name="Normal 2 2 2 2 4 5 4 5" xfId="16082" xr:uid="{00000000-0005-0000-0000-0000D23E0000}"/>
    <cellStyle name="Normal 2 2 2 2 4 5 4 6" xfId="16083" xr:uid="{00000000-0005-0000-0000-0000D33E0000}"/>
    <cellStyle name="Normal 2 2 2 2 4 5 4 7" xfId="16084" xr:uid="{00000000-0005-0000-0000-0000D43E0000}"/>
    <cellStyle name="Normal 2 2 2 2 4 5 4 8" xfId="16085" xr:uid="{00000000-0005-0000-0000-0000D53E0000}"/>
    <cellStyle name="Normal 2 2 2 2 4 5 4 9" xfId="16086" xr:uid="{00000000-0005-0000-0000-0000D63E0000}"/>
    <cellStyle name="Normal 2 2 2 2 4 5 5" xfId="16087" xr:uid="{00000000-0005-0000-0000-0000D73E0000}"/>
    <cellStyle name="Normal 2 2 2 2 4 5 5 10" xfId="16088" xr:uid="{00000000-0005-0000-0000-0000D83E0000}"/>
    <cellStyle name="Normal 2 2 2 2 4 5 5 2" xfId="16089" xr:uid="{00000000-0005-0000-0000-0000D93E0000}"/>
    <cellStyle name="Normal 2 2 2 2 4 5 5 3" xfId="16090" xr:uid="{00000000-0005-0000-0000-0000DA3E0000}"/>
    <cellStyle name="Normal 2 2 2 2 4 5 5 4" xfId="16091" xr:uid="{00000000-0005-0000-0000-0000DB3E0000}"/>
    <cellStyle name="Normal 2 2 2 2 4 5 5 5" xfId="16092" xr:uid="{00000000-0005-0000-0000-0000DC3E0000}"/>
    <cellStyle name="Normal 2 2 2 2 4 5 5 6" xfId="16093" xr:uid="{00000000-0005-0000-0000-0000DD3E0000}"/>
    <cellStyle name="Normal 2 2 2 2 4 5 5 7" xfId="16094" xr:uid="{00000000-0005-0000-0000-0000DE3E0000}"/>
    <cellStyle name="Normal 2 2 2 2 4 5 5 8" xfId="16095" xr:uid="{00000000-0005-0000-0000-0000DF3E0000}"/>
    <cellStyle name="Normal 2 2 2 2 4 5 5 9" xfId="16096" xr:uid="{00000000-0005-0000-0000-0000E03E0000}"/>
    <cellStyle name="Normal 2 2 2 2 4 5 6" xfId="16097" xr:uid="{00000000-0005-0000-0000-0000E13E0000}"/>
    <cellStyle name="Normal 2 2 2 2 4 5 7" xfId="16098" xr:uid="{00000000-0005-0000-0000-0000E23E0000}"/>
    <cellStyle name="Normal 2 2 2 2 4 5 8" xfId="16099" xr:uid="{00000000-0005-0000-0000-0000E33E0000}"/>
    <cellStyle name="Normal 2 2 2 2 4 5 9" xfId="16100" xr:uid="{00000000-0005-0000-0000-0000E43E0000}"/>
    <cellStyle name="Normal 2 2 2 2 4 6" xfId="16101" xr:uid="{00000000-0005-0000-0000-0000E53E0000}"/>
    <cellStyle name="Normal 2 2 2 2 4 6 10" xfId="16102" xr:uid="{00000000-0005-0000-0000-0000E63E0000}"/>
    <cellStyle name="Normal 2 2 2 2 4 6 11" xfId="16103" xr:uid="{00000000-0005-0000-0000-0000E73E0000}"/>
    <cellStyle name="Normal 2 2 2 2 4 6 12" xfId="16104" xr:uid="{00000000-0005-0000-0000-0000E83E0000}"/>
    <cellStyle name="Normal 2 2 2 2 4 6 13" xfId="16105" xr:uid="{00000000-0005-0000-0000-0000E93E0000}"/>
    <cellStyle name="Normal 2 2 2 2 4 6 14" xfId="16106" xr:uid="{00000000-0005-0000-0000-0000EA3E0000}"/>
    <cellStyle name="Normal 2 2 2 2 4 6 2" xfId="16107" xr:uid="{00000000-0005-0000-0000-0000EB3E0000}"/>
    <cellStyle name="Normal 2 2 2 2 4 6 2 10" xfId="16108" xr:uid="{00000000-0005-0000-0000-0000EC3E0000}"/>
    <cellStyle name="Normal 2 2 2 2 4 6 2 2" xfId="16109" xr:uid="{00000000-0005-0000-0000-0000ED3E0000}"/>
    <cellStyle name="Normal 2 2 2 2 4 6 2 3" xfId="16110" xr:uid="{00000000-0005-0000-0000-0000EE3E0000}"/>
    <cellStyle name="Normal 2 2 2 2 4 6 2 4" xfId="16111" xr:uid="{00000000-0005-0000-0000-0000EF3E0000}"/>
    <cellStyle name="Normal 2 2 2 2 4 6 2 5" xfId="16112" xr:uid="{00000000-0005-0000-0000-0000F03E0000}"/>
    <cellStyle name="Normal 2 2 2 2 4 6 2 6" xfId="16113" xr:uid="{00000000-0005-0000-0000-0000F13E0000}"/>
    <cellStyle name="Normal 2 2 2 2 4 6 2 7" xfId="16114" xr:uid="{00000000-0005-0000-0000-0000F23E0000}"/>
    <cellStyle name="Normal 2 2 2 2 4 6 2 8" xfId="16115" xr:uid="{00000000-0005-0000-0000-0000F33E0000}"/>
    <cellStyle name="Normal 2 2 2 2 4 6 2 9" xfId="16116" xr:uid="{00000000-0005-0000-0000-0000F43E0000}"/>
    <cellStyle name="Normal 2 2 2 2 4 6 3" xfId="16117" xr:uid="{00000000-0005-0000-0000-0000F53E0000}"/>
    <cellStyle name="Normal 2 2 2 2 4 6 3 10" xfId="16118" xr:uid="{00000000-0005-0000-0000-0000F63E0000}"/>
    <cellStyle name="Normal 2 2 2 2 4 6 3 2" xfId="16119" xr:uid="{00000000-0005-0000-0000-0000F73E0000}"/>
    <cellStyle name="Normal 2 2 2 2 4 6 3 3" xfId="16120" xr:uid="{00000000-0005-0000-0000-0000F83E0000}"/>
    <cellStyle name="Normal 2 2 2 2 4 6 3 4" xfId="16121" xr:uid="{00000000-0005-0000-0000-0000F93E0000}"/>
    <cellStyle name="Normal 2 2 2 2 4 6 3 5" xfId="16122" xr:uid="{00000000-0005-0000-0000-0000FA3E0000}"/>
    <cellStyle name="Normal 2 2 2 2 4 6 3 6" xfId="16123" xr:uid="{00000000-0005-0000-0000-0000FB3E0000}"/>
    <cellStyle name="Normal 2 2 2 2 4 6 3 7" xfId="16124" xr:uid="{00000000-0005-0000-0000-0000FC3E0000}"/>
    <cellStyle name="Normal 2 2 2 2 4 6 3 8" xfId="16125" xr:uid="{00000000-0005-0000-0000-0000FD3E0000}"/>
    <cellStyle name="Normal 2 2 2 2 4 6 3 9" xfId="16126" xr:uid="{00000000-0005-0000-0000-0000FE3E0000}"/>
    <cellStyle name="Normal 2 2 2 2 4 6 4" xfId="16127" xr:uid="{00000000-0005-0000-0000-0000FF3E0000}"/>
    <cellStyle name="Normal 2 2 2 2 4 6 4 10" xfId="16128" xr:uid="{00000000-0005-0000-0000-0000003F0000}"/>
    <cellStyle name="Normal 2 2 2 2 4 6 4 2" xfId="16129" xr:uid="{00000000-0005-0000-0000-0000013F0000}"/>
    <cellStyle name="Normal 2 2 2 2 4 6 4 3" xfId="16130" xr:uid="{00000000-0005-0000-0000-0000023F0000}"/>
    <cellStyle name="Normal 2 2 2 2 4 6 4 4" xfId="16131" xr:uid="{00000000-0005-0000-0000-0000033F0000}"/>
    <cellStyle name="Normal 2 2 2 2 4 6 4 5" xfId="16132" xr:uid="{00000000-0005-0000-0000-0000043F0000}"/>
    <cellStyle name="Normal 2 2 2 2 4 6 4 6" xfId="16133" xr:uid="{00000000-0005-0000-0000-0000053F0000}"/>
    <cellStyle name="Normal 2 2 2 2 4 6 4 7" xfId="16134" xr:uid="{00000000-0005-0000-0000-0000063F0000}"/>
    <cellStyle name="Normal 2 2 2 2 4 6 4 8" xfId="16135" xr:uid="{00000000-0005-0000-0000-0000073F0000}"/>
    <cellStyle name="Normal 2 2 2 2 4 6 4 9" xfId="16136" xr:uid="{00000000-0005-0000-0000-0000083F0000}"/>
    <cellStyle name="Normal 2 2 2 2 4 6 5" xfId="16137" xr:uid="{00000000-0005-0000-0000-0000093F0000}"/>
    <cellStyle name="Normal 2 2 2 2 4 6 5 10" xfId="16138" xr:uid="{00000000-0005-0000-0000-00000A3F0000}"/>
    <cellStyle name="Normal 2 2 2 2 4 6 5 2" xfId="16139" xr:uid="{00000000-0005-0000-0000-00000B3F0000}"/>
    <cellStyle name="Normal 2 2 2 2 4 6 5 3" xfId="16140" xr:uid="{00000000-0005-0000-0000-00000C3F0000}"/>
    <cellStyle name="Normal 2 2 2 2 4 6 5 4" xfId="16141" xr:uid="{00000000-0005-0000-0000-00000D3F0000}"/>
    <cellStyle name="Normal 2 2 2 2 4 6 5 5" xfId="16142" xr:uid="{00000000-0005-0000-0000-00000E3F0000}"/>
    <cellStyle name="Normal 2 2 2 2 4 6 5 6" xfId="16143" xr:uid="{00000000-0005-0000-0000-00000F3F0000}"/>
    <cellStyle name="Normal 2 2 2 2 4 6 5 7" xfId="16144" xr:uid="{00000000-0005-0000-0000-0000103F0000}"/>
    <cellStyle name="Normal 2 2 2 2 4 6 5 8" xfId="16145" xr:uid="{00000000-0005-0000-0000-0000113F0000}"/>
    <cellStyle name="Normal 2 2 2 2 4 6 5 9" xfId="16146" xr:uid="{00000000-0005-0000-0000-0000123F0000}"/>
    <cellStyle name="Normal 2 2 2 2 4 6 6" xfId="16147" xr:uid="{00000000-0005-0000-0000-0000133F0000}"/>
    <cellStyle name="Normal 2 2 2 2 4 6 7" xfId="16148" xr:uid="{00000000-0005-0000-0000-0000143F0000}"/>
    <cellStyle name="Normal 2 2 2 2 4 6 8" xfId="16149" xr:uid="{00000000-0005-0000-0000-0000153F0000}"/>
    <cellStyle name="Normal 2 2 2 2 4 6 9" xfId="16150" xr:uid="{00000000-0005-0000-0000-0000163F0000}"/>
    <cellStyle name="Normal 2 2 2 2 4 7" xfId="16151" xr:uid="{00000000-0005-0000-0000-0000173F0000}"/>
    <cellStyle name="Normal 2 2 2 2 4 7 10" xfId="16152" xr:uid="{00000000-0005-0000-0000-0000183F0000}"/>
    <cellStyle name="Normal 2 2 2 2 4 7 11" xfId="16153" xr:uid="{00000000-0005-0000-0000-0000193F0000}"/>
    <cellStyle name="Normal 2 2 2 2 4 7 12" xfId="16154" xr:uid="{00000000-0005-0000-0000-00001A3F0000}"/>
    <cellStyle name="Normal 2 2 2 2 4 7 13" xfId="16155" xr:uid="{00000000-0005-0000-0000-00001B3F0000}"/>
    <cellStyle name="Normal 2 2 2 2 4 7 14" xfId="16156" xr:uid="{00000000-0005-0000-0000-00001C3F0000}"/>
    <cellStyle name="Normal 2 2 2 2 4 7 2" xfId="16157" xr:uid="{00000000-0005-0000-0000-00001D3F0000}"/>
    <cellStyle name="Normal 2 2 2 2 4 7 2 10" xfId="16158" xr:uid="{00000000-0005-0000-0000-00001E3F0000}"/>
    <cellStyle name="Normal 2 2 2 2 4 7 2 2" xfId="16159" xr:uid="{00000000-0005-0000-0000-00001F3F0000}"/>
    <cellStyle name="Normal 2 2 2 2 4 7 2 3" xfId="16160" xr:uid="{00000000-0005-0000-0000-0000203F0000}"/>
    <cellStyle name="Normal 2 2 2 2 4 7 2 4" xfId="16161" xr:uid="{00000000-0005-0000-0000-0000213F0000}"/>
    <cellStyle name="Normal 2 2 2 2 4 7 2 5" xfId="16162" xr:uid="{00000000-0005-0000-0000-0000223F0000}"/>
    <cellStyle name="Normal 2 2 2 2 4 7 2 6" xfId="16163" xr:uid="{00000000-0005-0000-0000-0000233F0000}"/>
    <cellStyle name="Normal 2 2 2 2 4 7 2 7" xfId="16164" xr:uid="{00000000-0005-0000-0000-0000243F0000}"/>
    <cellStyle name="Normal 2 2 2 2 4 7 2 8" xfId="16165" xr:uid="{00000000-0005-0000-0000-0000253F0000}"/>
    <cellStyle name="Normal 2 2 2 2 4 7 2 9" xfId="16166" xr:uid="{00000000-0005-0000-0000-0000263F0000}"/>
    <cellStyle name="Normal 2 2 2 2 4 7 3" xfId="16167" xr:uid="{00000000-0005-0000-0000-0000273F0000}"/>
    <cellStyle name="Normal 2 2 2 2 4 7 3 10" xfId="16168" xr:uid="{00000000-0005-0000-0000-0000283F0000}"/>
    <cellStyle name="Normal 2 2 2 2 4 7 3 2" xfId="16169" xr:uid="{00000000-0005-0000-0000-0000293F0000}"/>
    <cellStyle name="Normal 2 2 2 2 4 7 3 3" xfId="16170" xr:uid="{00000000-0005-0000-0000-00002A3F0000}"/>
    <cellStyle name="Normal 2 2 2 2 4 7 3 4" xfId="16171" xr:uid="{00000000-0005-0000-0000-00002B3F0000}"/>
    <cellStyle name="Normal 2 2 2 2 4 7 3 5" xfId="16172" xr:uid="{00000000-0005-0000-0000-00002C3F0000}"/>
    <cellStyle name="Normal 2 2 2 2 4 7 3 6" xfId="16173" xr:uid="{00000000-0005-0000-0000-00002D3F0000}"/>
    <cellStyle name="Normal 2 2 2 2 4 7 3 7" xfId="16174" xr:uid="{00000000-0005-0000-0000-00002E3F0000}"/>
    <cellStyle name="Normal 2 2 2 2 4 7 3 8" xfId="16175" xr:uid="{00000000-0005-0000-0000-00002F3F0000}"/>
    <cellStyle name="Normal 2 2 2 2 4 7 3 9" xfId="16176" xr:uid="{00000000-0005-0000-0000-0000303F0000}"/>
    <cellStyle name="Normal 2 2 2 2 4 7 4" xfId="16177" xr:uid="{00000000-0005-0000-0000-0000313F0000}"/>
    <cellStyle name="Normal 2 2 2 2 4 7 4 10" xfId="16178" xr:uid="{00000000-0005-0000-0000-0000323F0000}"/>
    <cellStyle name="Normal 2 2 2 2 4 7 4 2" xfId="16179" xr:uid="{00000000-0005-0000-0000-0000333F0000}"/>
    <cellStyle name="Normal 2 2 2 2 4 7 4 3" xfId="16180" xr:uid="{00000000-0005-0000-0000-0000343F0000}"/>
    <cellStyle name="Normal 2 2 2 2 4 7 4 4" xfId="16181" xr:uid="{00000000-0005-0000-0000-0000353F0000}"/>
    <cellStyle name="Normal 2 2 2 2 4 7 4 5" xfId="16182" xr:uid="{00000000-0005-0000-0000-0000363F0000}"/>
    <cellStyle name="Normal 2 2 2 2 4 7 4 6" xfId="16183" xr:uid="{00000000-0005-0000-0000-0000373F0000}"/>
    <cellStyle name="Normal 2 2 2 2 4 7 4 7" xfId="16184" xr:uid="{00000000-0005-0000-0000-0000383F0000}"/>
    <cellStyle name="Normal 2 2 2 2 4 7 4 8" xfId="16185" xr:uid="{00000000-0005-0000-0000-0000393F0000}"/>
    <cellStyle name="Normal 2 2 2 2 4 7 4 9" xfId="16186" xr:uid="{00000000-0005-0000-0000-00003A3F0000}"/>
    <cellStyle name="Normal 2 2 2 2 4 7 5" xfId="16187" xr:uid="{00000000-0005-0000-0000-00003B3F0000}"/>
    <cellStyle name="Normal 2 2 2 2 4 7 5 10" xfId="16188" xr:uid="{00000000-0005-0000-0000-00003C3F0000}"/>
    <cellStyle name="Normal 2 2 2 2 4 7 5 2" xfId="16189" xr:uid="{00000000-0005-0000-0000-00003D3F0000}"/>
    <cellStyle name="Normal 2 2 2 2 4 7 5 3" xfId="16190" xr:uid="{00000000-0005-0000-0000-00003E3F0000}"/>
    <cellStyle name="Normal 2 2 2 2 4 7 5 4" xfId="16191" xr:uid="{00000000-0005-0000-0000-00003F3F0000}"/>
    <cellStyle name="Normal 2 2 2 2 4 7 5 5" xfId="16192" xr:uid="{00000000-0005-0000-0000-0000403F0000}"/>
    <cellStyle name="Normal 2 2 2 2 4 7 5 6" xfId="16193" xr:uid="{00000000-0005-0000-0000-0000413F0000}"/>
    <cellStyle name="Normal 2 2 2 2 4 7 5 7" xfId="16194" xr:uid="{00000000-0005-0000-0000-0000423F0000}"/>
    <cellStyle name="Normal 2 2 2 2 4 7 5 8" xfId="16195" xr:uid="{00000000-0005-0000-0000-0000433F0000}"/>
    <cellStyle name="Normal 2 2 2 2 4 7 5 9" xfId="16196" xr:uid="{00000000-0005-0000-0000-0000443F0000}"/>
    <cellStyle name="Normal 2 2 2 2 4 7 6" xfId="16197" xr:uid="{00000000-0005-0000-0000-0000453F0000}"/>
    <cellStyle name="Normal 2 2 2 2 4 7 7" xfId="16198" xr:uid="{00000000-0005-0000-0000-0000463F0000}"/>
    <cellStyle name="Normal 2 2 2 2 4 7 8" xfId="16199" xr:uid="{00000000-0005-0000-0000-0000473F0000}"/>
    <cellStyle name="Normal 2 2 2 2 4 7 9" xfId="16200" xr:uid="{00000000-0005-0000-0000-0000483F0000}"/>
    <cellStyle name="Normal 2 2 2 2 4 8" xfId="16201" xr:uid="{00000000-0005-0000-0000-0000493F0000}"/>
    <cellStyle name="Normal 2 2 2 2 4 8 10" xfId="16202" xr:uid="{00000000-0005-0000-0000-00004A3F0000}"/>
    <cellStyle name="Normal 2 2 2 2 4 8 11" xfId="16203" xr:uid="{00000000-0005-0000-0000-00004B3F0000}"/>
    <cellStyle name="Normal 2 2 2 2 4 8 12" xfId="16204" xr:uid="{00000000-0005-0000-0000-00004C3F0000}"/>
    <cellStyle name="Normal 2 2 2 2 4 8 13" xfId="16205" xr:uid="{00000000-0005-0000-0000-00004D3F0000}"/>
    <cellStyle name="Normal 2 2 2 2 4 8 14" xfId="16206" xr:uid="{00000000-0005-0000-0000-00004E3F0000}"/>
    <cellStyle name="Normal 2 2 2 2 4 8 2" xfId="16207" xr:uid="{00000000-0005-0000-0000-00004F3F0000}"/>
    <cellStyle name="Normal 2 2 2 2 4 8 2 10" xfId="16208" xr:uid="{00000000-0005-0000-0000-0000503F0000}"/>
    <cellStyle name="Normal 2 2 2 2 4 8 2 2" xfId="16209" xr:uid="{00000000-0005-0000-0000-0000513F0000}"/>
    <cellStyle name="Normal 2 2 2 2 4 8 2 3" xfId="16210" xr:uid="{00000000-0005-0000-0000-0000523F0000}"/>
    <cellStyle name="Normal 2 2 2 2 4 8 2 4" xfId="16211" xr:uid="{00000000-0005-0000-0000-0000533F0000}"/>
    <cellStyle name="Normal 2 2 2 2 4 8 2 5" xfId="16212" xr:uid="{00000000-0005-0000-0000-0000543F0000}"/>
    <cellStyle name="Normal 2 2 2 2 4 8 2 6" xfId="16213" xr:uid="{00000000-0005-0000-0000-0000553F0000}"/>
    <cellStyle name="Normal 2 2 2 2 4 8 2 7" xfId="16214" xr:uid="{00000000-0005-0000-0000-0000563F0000}"/>
    <cellStyle name="Normal 2 2 2 2 4 8 2 8" xfId="16215" xr:uid="{00000000-0005-0000-0000-0000573F0000}"/>
    <cellStyle name="Normal 2 2 2 2 4 8 2 9" xfId="16216" xr:uid="{00000000-0005-0000-0000-0000583F0000}"/>
    <cellStyle name="Normal 2 2 2 2 4 8 3" xfId="16217" xr:uid="{00000000-0005-0000-0000-0000593F0000}"/>
    <cellStyle name="Normal 2 2 2 2 4 8 3 10" xfId="16218" xr:uid="{00000000-0005-0000-0000-00005A3F0000}"/>
    <cellStyle name="Normal 2 2 2 2 4 8 3 2" xfId="16219" xr:uid="{00000000-0005-0000-0000-00005B3F0000}"/>
    <cellStyle name="Normal 2 2 2 2 4 8 3 3" xfId="16220" xr:uid="{00000000-0005-0000-0000-00005C3F0000}"/>
    <cellStyle name="Normal 2 2 2 2 4 8 3 4" xfId="16221" xr:uid="{00000000-0005-0000-0000-00005D3F0000}"/>
    <cellStyle name="Normal 2 2 2 2 4 8 3 5" xfId="16222" xr:uid="{00000000-0005-0000-0000-00005E3F0000}"/>
    <cellStyle name="Normal 2 2 2 2 4 8 3 6" xfId="16223" xr:uid="{00000000-0005-0000-0000-00005F3F0000}"/>
    <cellStyle name="Normal 2 2 2 2 4 8 3 7" xfId="16224" xr:uid="{00000000-0005-0000-0000-0000603F0000}"/>
    <cellStyle name="Normal 2 2 2 2 4 8 3 8" xfId="16225" xr:uid="{00000000-0005-0000-0000-0000613F0000}"/>
    <cellStyle name="Normal 2 2 2 2 4 8 3 9" xfId="16226" xr:uid="{00000000-0005-0000-0000-0000623F0000}"/>
    <cellStyle name="Normal 2 2 2 2 4 8 4" xfId="16227" xr:uid="{00000000-0005-0000-0000-0000633F0000}"/>
    <cellStyle name="Normal 2 2 2 2 4 8 4 10" xfId="16228" xr:uid="{00000000-0005-0000-0000-0000643F0000}"/>
    <cellStyle name="Normal 2 2 2 2 4 8 4 2" xfId="16229" xr:uid="{00000000-0005-0000-0000-0000653F0000}"/>
    <cellStyle name="Normal 2 2 2 2 4 8 4 3" xfId="16230" xr:uid="{00000000-0005-0000-0000-0000663F0000}"/>
    <cellStyle name="Normal 2 2 2 2 4 8 4 4" xfId="16231" xr:uid="{00000000-0005-0000-0000-0000673F0000}"/>
    <cellStyle name="Normal 2 2 2 2 4 8 4 5" xfId="16232" xr:uid="{00000000-0005-0000-0000-0000683F0000}"/>
    <cellStyle name="Normal 2 2 2 2 4 8 4 6" xfId="16233" xr:uid="{00000000-0005-0000-0000-0000693F0000}"/>
    <cellStyle name="Normal 2 2 2 2 4 8 4 7" xfId="16234" xr:uid="{00000000-0005-0000-0000-00006A3F0000}"/>
    <cellStyle name="Normal 2 2 2 2 4 8 4 8" xfId="16235" xr:uid="{00000000-0005-0000-0000-00006B3F0000}"/>
    <cellStyle name="Normal 2 2 2 2 4 8 4 9" xfId="16236" xr:uid="{00000000-0005-0000-0000-00006C3F0000}"/>
    <cellStyle name="Normal 2 2 2 2 4 8 5" xfId="16237" xr:uid="{00000000-0005-0000-0000-00006D3F0000}"/>
    <cellStyle name="Normal 2 2 2 2 4 8 5 10" xfId="16238" xr:uid="{00000000-0005-0000-0000-00006E3F0000}"/>
    <cellStyle name="Normal 2 2 2 2 4 8 5 2" xfId="16239" xr:uid="{00000000-0005-0000-0000-00006F3F0000}"/>
    <cellStyle name="Normal 2 2 2 2 4 8 5 3" xfId="16240" xr:uid="{00000000-0005-0000-0000-0000703F0000}"/>
    <cellStyle name="Normal 2 2 2 2 4 8 5 4" xfId="16241" xr:uid="{00000000-0005-0000-0000-0000713F0000}"/>
    <cellStyle name="Normal 2 2 2 2 4 8 5 5" xfId="16242" xr:uid="{00000000-0005-0000-0000-0000723F0000}"/>
    <cellStyle name="Normal 2 2 2 2 4 8 5 6" xfId="16243" xr:uid="{00000000-0005-0000-0000-0000733F0000}"/>
    <cellStyle name="Normal 2 2 2 2 4 8 5 7" xfId="16244" xr:uid="{00000000-0005-0000-0000-0000743F0000}"/>
    <cellStyle name="Normal 2 2 2 2 4 8 5 8" xfId="16245" xr:uid="{00000000-0005-0000-0000-0000753F0000}"/>
    <cellStyle name="Normal 2 2 2 2 4 8 5 9" xfId="16246" xr:uid="{00000000-0005-0000-0000-0000763F0000}"/>
    <cellStyle name="Normal 2 2 2 2 4 8 6" xfId="16247" xr:uid="{00000000-0005-0000-0000-0000773F0000}"/>
    <cellStyle name="Normal 2 2 2 2 4 8 7" xfId="16248" xr:uid="{00000000-0005-0000-0000-0000783F0000}"/>
    <cellStyle name="Normal 2 2 2 2 4 8 8" xfId="16249" xr:uid="{00000000-0005-0000-0000-0000793F0000}"/>
    <cellStyle name="Normal 2 2 2 2 4 8 9" xfId="16250" xr:uid="{00000000-0005-0000-0000-00007A3F0000}"/>
    <cellStyle name="Normal 2 2 2 2 4 9" xfId="16251" xr:uid="{00000000-0005-0000-0000-00007B3F0000}"/>
    <cellStyle name="Normal 2 2 2 2 4 9 10" xfId="16252" xr:uid="{00000000-0005-0000-0000-00007C3F0000}"/>
    <cellStyle name="Normal 2 2 2 2 4 9 11" xfId="16253" xr:uid="{00000000-0005-0000-0000-00007D3F0000}"/>
    <cellStyle name="Normal 2 2 2 2 4 9 12" xfId="16254" xr:uid="{00000000-0005-0000-0000-00007E3F0000}"/>
    <cellStyle name="Normal 2 2 2 2 4 9 13" xfId="16255" xr:uid="{00000000-0005-0000-0000-00007F3F0000}"/>
    <cellStyle name="Normal 2 2 2 2 4 9 14" xfId="16256" xr:uid="{00000000-0005-0000-0000-0000803F0000}"/>
    <cellStyle name="Normal 2 2 2 2 4 9 2" xfId="16257" xr:uid="{00000000-0005-0000-0000-0000813F0000}"/>
    <cellStyle name="Normal 2 2 2 2 4 9 2 10" xfId="16258" xr:uid="{00000000-0005-0000-0000-0000823F0000}"/>
    <cellStyle name="Normal 2 2 2 2 4 9 2 2" xfId="16259" xr:uid="{00000000-0005-0000-0000-0000833F0000}"/>
    <cellStyle name="Normal 2 2 2 2 4 9 2 3" xfId="16260" xr:uid="{00000000-0005-0000-0000-0000843F0000}"/>
    <cellStyle name="Normal 2 2 2 2 4 9 2 4" xfId="16261" xr:uid="{00000000-0005-0000-0000-0000853F0000}"/>
    <cellStyle name="Normal 2 2 2 2 4 9 2 5" xfId="16262" xr:uid="{00000000-0005-0000-0000-0000863F0000}"/>
    <cellStyle name="Normal 2 2 2 2 4 9 2 6" xfId="16263" xr:uid="{00000000-0005-0000-0000-0000873F0000}"/>
    <cellStyle name="Normal 2 2 2 2 4 9 2 7" xfId="16264" xr:uid="{00000000-0005-0000-0000-0000883F0000}"/>
    <cellStyle name="Normal 2 2 2 2 4 9 2 8" xfId="16265" xr:uid="{00000000-0005-0000-0000-0000893F0000}"/>
    <cellStyle name="Normal 2 2 2 2 4 9 2 9" xfId="16266" xr:uid="{00000000-0005-0000-0000-00008A3F0000}"/>
    <cellStyle name="Normal 2 2 2 2 4 9 3" xfId="16267" xr:uid="{00000000-0005-0000-0000-00008B3F0000}"/>
    <cellStyle name="Normal 2 2 2 2 4 9 3 10" xfId="16268" xr:uid="{00000000-0005-0000-0000-00008C3F0000}"/>
    <cellStyle name="Normal 2 2 2 2 4 9 3 2" xfId="16269" xr:uid="{00000000-0005-0000-0000-00008D3F0000}"/>
    <cellStyle name="Normal 2 2 2 2 4 9 3 3" xfId="16270" xr:uid="{00000000-0005-0000-0000-00008E3F0000}"/>
    <cellStyle name="Normal 2 2 2 2 4 9 3 4" xfId="16271" xr:uid="{00000000-0005-0000-0000-00008F3F0000}"/>
    <cellStyle name="Normal 2 2 2 2 4 9 3 5" xfId="16272" xr:uid="{00000000-0005-0000-0000-0000903F0000}"/>
    <cellStyle name="Normal 2 2 2 2 4 9 3 6" xfId="16273" xr:uid="{00000000-0005-0000-0000-0000913F0000}"/>
    <cellStyle name="Normal 2 2 2 2 4 9 3 7" xfId="16274" xr:uid="{00000000-0005-0000-0000-0000923F0000}"/>
    <cellStyle name="Normal 2 2 2 2 4 9 3 8" xfId="16275" xr:uid="{00000000-0005-0000-0000-0000933F0000}"/>
    <cellStyle name="Normal 2 2 2 2 4 9 3 9" xfId="16276" xr:uid="{00000000-0005-0000-0000-0000943F0000}"/>
    <cellStyle name="Normal 2 2 2 2 4 9 4" xfId="16277" xr:uid="{00000000-0005-0000-0000-0000953F0000}"/>
    <cellStyle name="Normal 2 2 2 2 4 9 4 10" xfId="16278" xr:uid="{00000000-0005-0000-0000-0000963F0000}"/>
    <cellStyle name="Normal 2 2 2 2 4 9 4 2" xfId="16279" xr:uid="{00000000-0005-0000-0000-0000973F0000}"/>
    <cellStyle name="Normal 2 2 2 2 4 9 4 3" xfId="16280" xr:uid="{00000000-0005-0000-0000-0000983F0000}"/>
    <cellStyle name="Normal 2 2 2 2 4 9 4 4" xfId="16281" xr:uid="{00000000-0005-0000-0000-0000993F0000}"/>
    <cellStyle name="Normal 2 2 2 2 4 9 4 5" xfId="16282" xr:uid="{00000000-0005-0000-0000-00009A3F0000}"/>
    <cellStyle name="Normal 2 2 2 2 4 9 4 6" xfId="16283" xr:uid="{00000000-0005-0000-0000-00009B3F0000}"/>
    <cellStyle name="Normal 2 2 2 2 4 9 4 7" xfId="16284" xr:uid="{00000000-0005-0000-0000-00009C3F0000}"/>
    <cellStyle name="Normal 2 2 2 2 4 9 4 8" xfId="16285" xr:uid="{00000000-0005-0000-0000-00009D3F0000}"/>
    <cellStyle name="Normal 2 2 2 2 4 9 4 9" xfId="16286" xr:uid="{00000000-0005-0000-0000-00009E3F0000}"/>
    <cellStyle name="Normal 2 2 2 2 4 9 5" xfId="16287" xr:uid="{00000000-0005-0000-0000-00009F3F0000}"/>
    <cellStyle name="Normal 2 2 2 2 4 9 5 10" xfId="16288" xr:uid="{00000000-0005-0000-0000-0000A03F0000}"/>
    <cellStyle name="Normal 2 2 2 2 4 9 5 2" xfId="16289" xr:uid="{00000000-0005-0000-0000-0000A13F0000}"/>
    <cellStyle name="Normal 2 2 2 2 4 9 5 3" xfId="16290" xr:uid="{00000000-0005-0000-0000-0000A23F0000}"/>
    <cellStyle name="Normal 2 2 2 2 4 9 5 4" xfId="16291" xr:uid="{00000000-0005-0000-0000-0000A33F0000}"/>
    <cellStyle name="Normal 2 2 2 2 4 9 5 5" xfId="16292" xr:uid="{00000000-0005-0000-0000-0000A43F0000}"/>
    <cellStyle name="Normal 2 2 2 2 4 9 5 6" xfId="16293" xr:uid="{00000000-0005-0000-0000-0000A53F0000}"/>
    <cellStyle name="Normal 2 2 2 2 4 9 5 7" xfId="16294" xr:uid="{00000000-0005-0000-0000-0000A63F0000}"/>
    <cellStyle name="Normal 2 2 2 2 4 9 5 8" xfId="16295" xr:uid="{00000000-0005-0000-0000-0000A73F0000}"/>
    <cellStyle name="Normal 2 2 2 2 4 9 5 9" xfId="16296" xr:uid="{00000000-0005-0000-0000-0000A83F0000}"/>
    <cellStyle name="Normal 2 2 2 2 4 9 6" xfId="16297" xr:uid="{00000000-0005-0000-0000-0000A93F0000}"/>
    <cellStyle name="Normal 2 2 2 2 4 9 7" xfId="16298" xr:uid="{00000000-0005-0000-0000-0000AA3F0000}"/>
    <cellStyle name="Normal 2 2 2 2 4 9 8" xfId="16299" xr:uid="{00000000-0005-0000-0000-0000AB3F0000}"/>
    <cellStyle name="Normal 2 2 2 2 4 9 9" xfId="16300" xr:uid="{00000000-0005-0000-0000-0000AC3F0000}"/>
    <cellStyle name="Normal 2 2 2 2 40" xfId="16301" xr:uid="{00000000-0005-0000-0000-0000AD3F0000}"/>
    <cellStyle name="Normal 2 2 2 2 40 10" xfId="16302" xr:uid="{00000000-0005-0000-0000-0000AE3F0000}"/>
    <cellStyle name="Normal 2 2 2 2 40 2" xfId="16303" xr:uid="{00000000-0005-0000-0000-0000AF3F0000}"/>
    <cellStyle name="Normal 2 2 2 2 40 3" xfId="16304" xr:uid="{00000000-0005-0000-0000-0000B03F0000}"/>
    <cellStyle name="Normal 2 2 2 2 40 4" xfId="16305" xr:uid="{00000000-0005-0000-0000-0000B13F0000}"/>
    <cellStyle name="Normal 2 2 2 2 40 5" xfId="16306" xr:uid="{00000000-0005-0000-0000-0000B23F0000}"/>
    <cellStyle name="Normal 2 2 2 2 40 6" xfId="16307" xr:uid="{00000000-0005-0000-0000-0000B33F0000}"/>
    <cellStyle name="Normal 2 2 2 2 40 7" xfId="16308" xr:uid="{00000000-0005-0000-0000-0000B43F0000}"/>
    <cellStyle name="Normal 2 2 2 2 40 8" xfId="16309" xr:uid="{00000000-0005-0000-0000-0000B53F0000}"/>
    <cellStyle name="Normal 2 2 2 2 40 9" xfId="16310" xr:uid="{00000000-0005-0000-0000-0000B63F0000}"/>
    <cellStyle name="Normal 2 2 2 2 41" xfId="16311" xr:uid="{00000000-0005-0000-0000-0000B73F0000}"/>
    <cellStyle name="Normal 2 2 2 2 42" xfId="16312" xr:uid="{00000000-0005-0000-0000-0000B83F0000}"/>
    <cellStyle name="Normal 2 2 2 2 43" xfId="16313" xr:uid="{00000000-0005-0000-0000-0000B93F0000}"/>
    <cellStyle name="Normal 2 2 2 2 44" xfId="16314" xr:uid="{00000000-0005-0000-0000-0000BA3F0000}"/>
    <cellStyle name="Normal 2 2 2 2 45" xfId="16315" xr:uid="{00000000-0005-0000-0000-0000BB3F0000}"/>
    <cellStyle name="Normal 2 2 2 2 46" xfId="16316" xr:uid="{00000000-0005-0000-0000-0000BC3F0000}"/>
    <cellStyle name="Normal 2 2 2 2 47" xfId="16317" xr:uid="{00000000-0005-0000-0000-0000BD3F0000}"/>
    <cellStyle name="Normal 2 2 2 2 48" xfId="16318" xr:uid="{00000000-0005-0000-0000-0000BE3F0000}"/>
    <cellStyle name="Normal 2 2 2 2 49" xfId="16319" xr:uid="{00000000-0005-0000-0000-0000BF3F0000}"/>
    <cellStyle name="Normal 2 2 2 2 5" xfId="16320" xr:uid="{00000000-0005-0000-0000-0000C03F0000}"/>
    <cellStyle name="Normal 2 2 2 2 5 10" xfId="16321" xr:uid="{00000000-0005-0000-0000-0000C13F0000}"/>
    <cellStyle name="Normal 2 2 2 2 5 10 10" xfId="16322" xr:uid="{00000000-0005-0000-0000-0000C23F0000}"/>
    <cellStyle name="Normal 2 2 2 2 5 10 11" xfId="16323" xr:uid="{00000000-0005-0000-0000-0000C33F0000}"/>
    <cellStyle name="Normal 2 2 2 2 5 10 12" xfId="16324" xr:uid="{00000000-0005-0000-0000-0000C43F0000}"/>
    <cellStyle name="Normal 2 2 2 2 5 10 13" xfId="16325" xr:uid="{00000000-0005-0000-0000-0000C53F0000}"/>
    <cellStyle name="Normal 2 2 2 2 5 10 14" xfId="16326" xr:uid="{00000000-0005-0000-0000-0000C63F0000}"/>
    <cellStyle name="Normal 2 2 2 2 5 10 2" xfId="16327" xr:uid="{00000000-0005-0000-0000-0000C73F0000}"/>
    <cellStyle name="Normal 2 2 2 2 5 10 2 10" xfId="16328" xr:uid="{00000000-0005-0000-0000-0000C83F0000}"/>
    <cellStyle name="Normal 2 2 2 2 5 10 2 2" xfId="16329" xr:uid="{00000000-0005-0000-0000-0000C93F0000}"/>
    <cellStyle name="Normal 2 2 2 2 5 10 2 3" xfId="16330" xr:uid="{00000000-0005-0000-0000-0000CA3F0000}"/>
    <cellStyle name="Normal 2 2 2 2 5 10 2 4" xfId="16331" xr:uid="{00000000-0005-0000-0000-0000CB3F0000}"/>
    <cellStyle name="Normal 2 2 2 2 5 10 2 5" xfId="16332" xr:uid="{00000000-0005-0000-0000-0000CC3F0000}"/>
    <cellStyle name="Normal 2 2 2 2 5 10 2 6" xfId="16333" xr:uid="{00000000-0005-0000-0000-0000CD3F0000}"/>
    <cellStyle name="Normal 2 2 2 2 5 10 2 7" xfId="16334" xr:uid="{00000000-0005-0000-0000-0000CE3F0000}"/>
    <cellStyle name="Normal 2 2 2 2 5 10 2 8" xfId="16335" xr:uid="{00000000-0005-0000-0000-0000CF3F0000}"/>
    <cellStyle name="Normal 2 2 2 2 5 10 2 9" xfId="16336" xr:uid="{00000000-0005-0000-0000-0000D03F0000}"/>
    <cellStyle name="Normal 2 2 2 2 5 10 3" xfId="16337" xr:uid="{00000000-0005-0000-0000-0000D13F0000}"/>
    <cellStyle name="Normal 2 2 2 2 5 10 3 10" xfId="16338" xr:uid="{00000000-0005-0000-0000-0000D23F0000}"/>
    <cellStyle name="Normal 2 2 2 2 5 10 3 2" xfId="16339" xr:uid="{00000000-0005-0000-0000-0000D33F0000}"/>
    <cellStyle name="Normal 2 2 2 2 5 10 3 3" xfId="16340" xr:uid="{00000000-0005-0000-0000-0000D43F0000}"/>
    <cellStyle name="Normal 2 2 2 2 5 10 3 4" xfId="16341" xr:uid="{00000000-0005-0000-0000-0000D53F0000}"/>
    <cellStyle name="Normal 2 2 2 2 5 10 3 5" xfId="16342" xr:uid="{00000000-0005-0000-0000-0000D63F0000}"/>
    <cellStyle name="Normal 2 2 2 2 5 10 3 6" xfId="16343" xr:uid="{00000000-0005-0000-0000-0000D73F0000}"/>
    <cellStyle name="Normal 2 2 2 2 5 10 3 7" xfId="16344" xr:uid="{00000000-0005-0000-0000-0000D83F0000}"/>
    <cellStyle name="Normal 2 2 2 2 5 10 3 8" xfId="16345" xr:uid="{00000000-0005-0000-0000-0000D93F0000}"/>
    <cellStyle name="Normal 2 2 2 2 5 10 3 9" xfId="16346" xr:uid="{00000000-0005-0000-0000-0000DA3F0000}"/>
    <cellStyle name="Normal 2 2 2 2 5 10 4" xfId="16347" xr:uid="{00000000-0005-0000-0000-0000DB3F0000}"/>
    <cellStyle name="Normal 2 2 2 2 5 10 4 10" xfId="16348" xr:uid="{00000000-0005-0000-0000-0000DC3F0000}"/>
    <cellStyle name="Normal 2 2 2 2 5 10 4 2" xfId="16349" xr:uid="{00000000-0005-0000-0000-0000DD3F0000}"/>
    <cellStyle name="Normal 2 2 2 2 5 10 4 3" xfId="16350" xr:uid="{00000000-0005-0000-0000-0000DE3F0000}"/>
    <cellStyle name="Normal 2 2 2 2 5 10 4 4" xfId="16351" xr:uid="{00000000-0005-0000-0000-0000DF3F0000}"/>
    <cellStyle name="Normal 2 2 2 2 5 10 4 5" xfId="16352" xr:uid="{00000000-0005-0000-0000-0000E03F0000}"/>
    <cellStyle name="Normal 2 2 2 2 5 10 4 6" xfId="16353" xr:uid="{00000000-0005-0000-0000-0000E13F0000}"/>
    <cellStyle name="Normal 2 2 2 2 5 10 4 7" xfId="16354" xr:uid="{00000000-0005-0000-0000-0000E23F0000}"/>
    <cellStyle name="Normal 2 2 2 2 5 10 4 8" xfId="16355" xr:uid="{00000000-0005-0000-0000-0000E33F0000}"/>
    <cellStyle name="Normal 2 2 2 2 5 10 4 9" xfId="16356" xr:uid="{00000000-0005-0000-0000-0000E43F0000}"/>
    <cellStyle name="Normal 2 2 2 2 5 10 5" xfId="16357" xr:uid="{00000000-0005-0000-0000-0000E53F0000}"/>
    <cellStyle name="Normal 2 2 2 2 5 10 5 10" xfId="16358" xr:uid="{00000000-0005-0000-0000-0000E63F0000}"/>
    <cellStyle name="Normal 2 2 2 2 5 10 5 2" xfId="16359" xr:uid="{00000000-0005-0000-0000-0000E73F0000}"/>
    <cellStyle name="Normal 2 2 2 2 5 10 5 3" xfId="16360" xr:uid="{00000000-0005-0000-0000-0000E83F0000}"/>
    <cellStyle name="Normal 2 2 2 2 5 10 5 4" xfId="16361" xr:uid="{00000000-0005-0000-0000-0000E93F0000}"/>
    <cellStyle name="Normal 2 2 2 2 5 10 5 5" xfId="16362" xr:uid="{00000000-0005-0000-0000-0000EA3F0000}"/>
    <cellStyle name="Normal 2 2 2 2 5 10 5 6" xfId="16363" xr:uid="{00000000-0005-0000-0000-0000EB3F0000}"/>
    <cellStyle name="Normal 2 2 2 2 5 10 5 7" xfId="16364" xr:uid="{00000000-0005-0000-0000-0000EC3F0000}"/>
    <cellStyle name="Normal 2 2 2 2 5 10 5 8" xfId="16365" xr:uid="{00000000-0005-0000-0000-0000ED3F0000}"/>
    <cellStyle name="Normal 2 2 2 2 5 10 5 9" xfId="16366" xr:uid="{00000000-0005-0000-0000-0000EE3F0000}"/>
    <cellStyle name="Normal 2 2 2 2 5 10 6" xfId="16367" xr:uid="{00000000-0005-0000-0000-0000EF3F0000}"/>
    <cellStyle name="Normal 2 2 2 2 5 10 7" xfId="16368" xr:uid="{00000000-0005-0000-0000-0000F03F0000}"/>
    <cellStyle name="Normal 2 2 2 2 5 10 8" xfId="16369" xr:uid="{00000000-0005-0000-0000-0000F13F0000}"/>
    <cellStyle name="Normal 2 2 2 2 5 10 9" xfId="16370" xr:uid="{00000000-0005-0000-0000-0000F23F0000}"/>
    <cellStyle name="Normal 2 2 2 2 5 11" xfId="16371" xr:uid="{00000000-0005-0000-0000-0000F33F0000}"/>
    <cellStyle name="Normal 2 2 2 2 5 11 10" xfId="16372" xr:uid="{00000000-0005-0000-0000-0000F43F0000}"/>
    <cellStyle name="Normal 2 2 2 2 5 11 11" xfId="16373" xr:uid="{00000000-0005-0000-0000-0000F53F0000}"/>
    <cellStyle name="Normal 2 2 2 2 5 11 12" xfId="16374" xr:uid="{00000000-0005-0000-0000-0000F63F0000}"/>
    <cellStyle name="Normal 2 2 2 2 5 11 13" xfId="16375" xr:uid="{00000000-0005-0000-0000-0000F73F0000}"/>
    <cellStyle name="Normal 2 2 2 2 5 11 14" xfId="16376" xr:uid="{00000000-0005-0000-0000-0000F83F0000}"/>
    <cellStyle name="Normal 2 2 2 2 5 11 2" xfId="16377" xr:uid="{00000000-0005-0000-0000-0000F93F0000}"/>
    <cellStyle name="Normal 2 2 2 2 5 11 2 10" xfId="16378" xr:uid="{00000000-0005-0000-0000-0000FA3F0000}"/>
    <cellStyle name="Normal 2 2 2 2 5 11 2 2" xfId="16379" xr:uid="{00000000-0005-0000-0000-0000FB3F0000}"/>
    <cellStyle name="Normal 2 2 2 2 5 11 2 3" xfId="16380" xr:uid="{00000000-0005-0000-0000-0000FC3F0000}"/>
    <cellStyle name="Normal 2 2 2 2 5 11 2 4" xfId="16381" xr:uid="{00000000-0005-0000-0000-0000FD3F0000}"/>
    <cellStyle name="Normal 2 2 2 2 5 11 2 5" xfId="16382" xr:uid="{00000000-0005-0000-0000-0000FE3F0000}"/>
    <cellStyle name="Normal 2 2 2 2 5 11 2 6" xfId="16383" xr:uid="{00000000-0005-0000-0000-0000FF3F0000}"/>
    <cellStyle name="Normal 2 2 2 2 5 11 2 7" xfId="16384" xr:uid="{00000000-0005-0000-0000-000000400000}"/>
    <cellStyle name="Normal 2 2 2 2 5 11 2 8" xfId="16385" xr:uid="{00000000-0005-0000-0000-000001400000}"/>
    <cellStyle name="Normal 2 2 2 2 5 11 2 9" xfId="16386" xr:uid="{00000000-0005-0000-0000-000002400000}"/>
    <cellStyle name="Normal 2 2 2 2 5 11 3" xfId="16387" xr:uid="{00000000-0005-0000-0000-000003400000}"/>
    <cellStyle name="Normal 2 2 2 2 5 11 3 10" xfId="16388" xr:uid="{00000000-0005-0000-0000-000004400000}"/>
    <cellStyle name="Normal 2 2 2 2 5 11 3 2" xfId="16389" xr:uid="{00000000-0005-0000-0000-000005400000}"/>
    <cellStyle name="Normal 2 2 2 2 5 11 3 3" xfId="16390" xr:uid="{00000000-0005-0000-0000-000006400000}"/>
    <cellStyle name="Normal 2 2 2 2 5 11 3 4" xfId="16391" xr:uid="{00000000-0005-0000-0000-000007400000}"/>
    <cellStyle name="Normal 2 2 2 2 5 11 3 5" xfId="16392" xr:uid="{00000000-0005-0000-0000-000008400000}"/>
    <cellStyle name="Normal 2 2 2 2 5 11 3 6" xfId="16393" xr:uid="{00000000-0005-0000-0000-000009400000}"/>
    <cellStyle name="Normal 2 2 2 2 5 11 3 7" xfId="16394" xr:uid="{00000000-0005-0000-0000-00000A400000}"/>
    <cellStyle name="Normal 2 2 2 2 5 11 3 8" xfId="16395" xr:uid="{00000000-0005-0000-0000-00000B400000}"/>
    <cellStyle name="Normal 2 2 2 2 5 11 3 9" xfId="16396" xr:uid="{00000000-0005-0000-0000-00000C400000}"/>
    <cellStyle name="Normal 2 2 2 2 5 11 4" xfId="16397" xr:uid="{00000000-0005-0000-0000-00000D400000}"/>
    <cellStyle name="Normal 2 2 2 2 5 11 4 10" xfId="16398" xr:uid="{00000000-0005-0000-0000-00000E400000}"/>
    <cellStyle name="Normal 2 2 2 2 5 11 4 2" xfId="16399" xr:uid="{00000000-0005-0000-0000-00000F400000}"/>
    <cellStyle name="Normal 2 2 2 2 5 11 4 3" xfId="16400" xr:uid="{00000000-0005-0000-0000-000010400000}"/>
    <cellStyle name="Normal 2 2 2 2 5 11 4 4" xfId="16401" xr:uid="{00000000-0005-0000-0000-000011400000}"/>
    <cellStyle name="Normal 2 2 2 2 5 11 4 5" xfId="16402" xr:uid="{00000000-0005-0000-0000-000012400000}"/>
    <cellStyle name="Normal 2 2 2 2 5 11 4 6" xfId="16403" xr:uid="{00000000-0005-0000-0000-000013400000}"/>
    <cellStyle name="Normal 2 2 2 2 5 11 4 7" xfId="16404" xr:uid="{00000000-0005-0000-0000-000014400000}"/>
    <cellStyle name="Normal 2 2 2 2 5 11 4 8" xfId="16405" xr:uid="{00000000-0005-0000-0000-000015400000}"/>
    <cellStyle name="Normal 2 2 2 2 5 11 4 9" xfId="16406" xr:uid="{00000000-0005-0000-0000-000016400000}"/>
    <cellStyle name="Normal 2 2 2 2 5 11 5" xfId="16407" xr:uid="{00000000-0005-0000-0000-000017400000}"/>
    <cellStyle name="Normal 2 2 2 2 5 11 5 10" xfId="16408" xr:uid="{00000000-0005-0000-0000-000018400000}"/>
    <cellStyle name="Normal 2 2 2 2 5 11 5 2" xfId="16409" xr:uid="{00000000-0005-0000-0000-000019400000}"/>
    <cellStyle name="Normal 2 2 2 2 5 11 5 3" xfId="16410" xr:uid="{00000000-0005-0000-0000-00001A400000}"/>
    <cellStyle name="Normal 2 2 2 2 5 11 5 4" xfId="16411" xr:uid="{00000000-0005-0000-0000-00001B400000}"/>
    <cellStyle name="Normal 2 2 2 2 5 11 5 5" xfId="16412" xr:uid="{00000000-0005-0000-0000-00001C400000}"/>
    <cellStyle name="Normal 2 2 2 2 5 11 5 6" xfId="16413" xr:uid="{00000000-0005-0000-0000-00001D400000}"/>
    <cellStyle name="Normal 2 2 2 2 5 11 5 7" xfId="16414" xr:uid="{00000000-0005-0000-0000-00001E400000}"/>
    <cellStyle name="Normal 2 2 2 2 5 11 5 8" xfId="16415" xr:uid="{00000000-0005-0000-0000-00001F400000}"/>
    <cellStyle name="Normal 2 2 2 2 5 11 5 9" xfId="16416" xr:uid="{00000000-0005-0000-0000-000020400000}"/>
    <cellStyle name="Normal 2 2 2 2 5 11 6" xfId="16417" xr:uid="{00000000-0005-0000-0000-000021400000}"/>
    <cellStyle name="Normal 2 2 2 2 5 11 7" xfId="16418" xr:uid="{00000000-0005-0000-0000-000022400000}"/>
    <cellStyle name="Normal 2 2 2 2 5 11 8" xfId="16419" xr:uid="{00000000-0005-0000-0000-000023400000}"/>
    <cellStyle name="Normal 2 2 2 2 5 11 9" xfId="16420" xr:uid="{00000000-0005-0000-0000-000024400000}"/>
    <cellStyle name="Normal 2 2 2 2 5 12" xfId="16421" xr:uid="{00000000-0005-0000-0000-000025400000}"/>
    <cellStyle name="Normal 2 2 2 2 5 12 10" xfId="16422" xr:uid="{00000000-0005-0000-0000-000026400000}"/>
    <cellStyle name="Normal 2 2 2 2 5 12 11" xfId="16423" xr:uid="{00000000-0005-0000-0000-000027400000}"/>
    <cellStyle name="Normal 2 2 2 2 5 12 12" xfId="16424" xr:uid="{00000000-0005-0000-0000-000028400000}"/>
    <cellStyle name="Normal 2 2 2 2 5 12 13" xfId="16425" xr:uid="{00000000-0005-0000-0000-000029400000}"/>
    <cellStyle name="Normal 2 2 2 2 5 12 14" xfId="16426" xr:uid="{00000000-0005-0000-0000-00002A400000}"/>
    <cellStyle name="Normal 2 2 2 2 5 12 2" xfId="16427" xr:uid="{00000000-0005-0000-0000-00002B400000}"/>
    <cellStyle name="Normal 2 2 2 2 5 12 2 10" xfId="16428" xr:uid="{00000000-0005-0000-0000-00002C400000}"/>
    <cellStyle name="Normal 2 2 2 2 5 12 2 2" xfId="16429" xr:uid="{00000000-0005-0000-0000-00002D400000}"/>
    <cellStyle name="Normal 2 2 2 2 5 12 2 3" xfId="16430" xr:uid="{00000000-0005-0000-0000-00002E400000}"/>
    <cellStyle name="Normal 2 2 2 2 5 12 2 4" xfId="16431" xr:uid="{00000000-0005-0000-0000-00002F400000}"/>
    <cellStyle name="Normal 2 2 2 2 5 12 2 5" xfId="16432" xr:uid="{00000000-0005-0000-0000-000030400000}"/>
    <cellStyle name="Normal 2 2 2 2 5 12 2 6" xfId="16433" xr:uid="{00000000-0005-0000-0000-000031400000}"/>
    <cellStyle name="Normal 2 2 2 2 5 12 2 7" xfId="16434" xr:uid="{00000000-0005-0000-0000-000032400000}"/>
    <cellStyle name="Normal 2 2 2 2 5 12 2 8" xfId="16435" xr:uid="{00000000-0005-0000-0000-000033400000}"/>
    <cellStyle name="Normal 2 2 2 2 5 12 2 9" xfId="16436" xr:uid="{00000000-0005-0000-0000-000034400000}"/>
    <cellStyle name="Normal 2 2 2 2 5 12 3" xfId="16437" xr:uid="{00000000-0005-0000-0000-000035400000}"/>
    <cellStyle name="Normal 2 2 2 2 5 12 3 10" xfId="16438" xr:uid="{00000000-0005-0000-0000-000036400000}"/>
    <cellStyle name="Normal 2 2 2 2 5 12 3 2" xfId="16439" xr:uid="{00000000-0005-0000-0000-000037400000}"/>
    <cellStyle name="Normal 2 2 2 2 5 12 3 3" xfId="16440" xr:uid="{00000000-0005-0000-0000-000038400000}"/>
    <cellStyle name="Normal 2 2 2 2 5 12 3 4" xfId="16441" xr:uid="{00000000-0005-0000-0000-000039400000}"/>
    <cellStyle name="Normal 2 2 2 2 5 12 3 5" xfId="16442" xr:uid="{00000000-0005-0000-0000-00003A400000}"/>
    <cellStyle name="Normal 2 2 2 2 5 12 3 6" xfId="16443" xr:uid="{00000000-0005-0000-0000-00003B400000}"/>
    <cellStyle name="Normal 2 2 2 2 5 12 3 7" xfId="16444" xr:uid="{00000000-0005-0000-0000-00003C400000}"/>
    <cellStyle name="Normal 2 2 2 2 5 12 3 8" xfId="16445" xr:uid="{00000000-0005-0000-0000-00003D400000}"/>
    <cellStyle name="Normal 2 2 2 2 5 12 3 9" xfId="16446" xr:uid="{00000000-0005-0000-0000-00003E400000}"/>
    <cellStyle name="Normal 2 2 2 2 5 12 4" xfId="16447" xr:uid="{00000000-0005-0000-0000-00003F400000}"/>
    <cellStyle name="Normal 2 2 2 2 5 12 4 10" xfId="16448" xr:uid="{00000000-0005-0000-0000-000040400000}"/>
    <cellStyle name="Normal 2 2 2 2 5 12 4 2" xfId="16449" xr:uid="{00000000-0005-0000-0000-000041400000}"/>
    <cellStyle name="Normal 2 2 2 2 5 12 4 3" xfId="16450" xr:uid="{00000000-0005-0000-0000-000042400000}"/>
    <cellStyle name="Normal 2 2 2 2 5 12 4 4" xfId="16451" xr:uid="{00000000-0005-0000-0000-000043400000}"/>
    <cellStyle name="Normal 2 2 2 2 5 12 4 5" xfId="16452" xr:uid="{00000000-0005-0000-0000-000044400000}"/>
    <cellStyle name="Normal 2 2 2 2 5 12 4 6" xfId="16453" xr:uid="{00000000-0005-0000-0000-000045400000}"/>
    <cellStyle name="Normal 2 2 2 2 5 12 4 7" xfId="16454" xr:uid="{00000000-0005-0000-0000-000046400000}"/>
    <cellStyle name="Normal 2 2 2 2 5 12 4 8" xfId="16455" xr:uid="{00000000-0005-0000-0000-000047400000}"/>
    <cellStyle name="Normal 2 2 2 2 5 12 4 9" xfId="16456" xr:uid="{00000000-0005-0000-0000-000048400000}"/>
    <cellStyle name="Normal 2 2 2 2 5 12 5" xfId="16457" xr:uid="{00000000-0005-0000-0000-000049400000}"/>
    <cellStyle name="Normal 2 2 2 2 5 12 5 10" xfId="16458" xr:uid="{00000000-0005-0000-0000-00004A400000}"/>
    <cellStyle name="Normal 2 2 2 2 5 12 5 2" xfId="16459" xr:uid="{00000000-0005-0000-0000-00004B400000}"/>
    <cellStyle name="Normal 2 2 2 2 5 12 5 3" xfId="16460" xr:uid="{00000000-0005-0000-0000-00004C400000}"/>
    <cellStyle name="Normal 2 2 2 2 5 12 5 4" xfId="16461" xr:uid="{00000000-0005-0000-0000-00004D400000}"/>
    <cellStyle name="Normal 2 2 2 2 5 12 5 5" xfId="16462" xr:uid="{00000000-0005-0000-0000-00004E400000}"/>
    <cellStyle name="Normal 2 2 2 2 5 12 5 6" xfId="16463" xr:uid="{00000000-0005-0000-0000-00004F400000}"/>
    <cellStyle name="Normal 2 2 2 2 5 12 5 7" xfId="16464" xr:uid="{00000000-0005-0000-0000-000050400000}"/>
    <cellStyle name="Normal 2 2 2 2 5 12 5 8" xfId="16465" xr:uid="{00000000-0005-0000-0000-000051400000}"/>
    <cellStyle name="Normal 2 2 2 2 5 12 5 9" xfId="16466" xr:uid="{00000000-0005-0000-0000-000052400000}"/>
    <cellStyle name="Normal 2 2 2 2 5 12 6" xfId="16467" xr:uid="{00000000-0005-0000-0000-000053400000}"/>
    <cellStyle name="Normal 2 2 2 2 5 12 7" xfId="16468" xr:uid="{00000000-0005-0000-0000-000054400000}"/>
    <cellStyle name="Normal 2 2 2 2 5 12 8" xfId="16469" xr:uid="{00000000-0005-0000-0000-000055400000}"/>
    <cellStyle name="Normal 2 2 2 2 5 12 9" xfId="16470" xr:uid="{00000000-0005-0000-0000-000056400000}"/>
    <cellStyle name="Normal 2 2 2 2 5 13" xfId="16471" xr:uid="{00000000-0005-0000-0000-000057400000}"/>
    <cellStyle name="Normal 2 2 2 2 5 13 10" xfId="16472" xr:uid="{00000000-0005-0000-0000-000058400000}"/>
    <cellStyle name="Normal 2 2 2 2 5 13 11" xfId="16473" xr:uid="{00000000-0005-0000-0000-000059400000}"/>
    <cellStyle name="Normal 2 2 2 2 5 13 12" xfId="16474" xr:uid="{00000000-0005-0000-0000-00005A400000}"/>
    <cellStyle name="Normal 2 2 2 2 5 13 13" xfId="16475" xr:uid="{00000000-0005-0000-0000-00005B400000}"/>
    <cellStyle name="Normal 2 2 2 2 5 13 14" xfId="16476" xr:uid="{00000000-0005-0000-0000-00005C400000}"/>
    <cellStyle name="Normal 2 2 2 2 5 13 2" xfId="16477" xr:uid="{00000000-0005-0000-0000-00005D400000}"/>
    <cellStyle name="Normal 2 2 2 2 5 13 2 10" xfId="16478" xr:uid="{00000000-0005-0000-0000-00005E400000}"/>
    <cellStyle name="Normal 2 2 2 2 5 13 2 2" xfId="16479" xr:uid="{00000000-0005-0000-0000-00005F400000}"/>
    <cellStyle name="Normal 2 2 2 2 5 13 2 3" xfId="16480" xr:uid="{00000000-0005-0000-0000-000060400000}"/>
    <cellStyle name="Normal 2 2 2 2 5 13 2 4" xfId="16481" xr:uid="{00000000-0005-0000-0000-000061400000}"/>
    <cellStyle name="Normal 2 2 2 2 5 13 2 5" xfId="16482" xr:uid="{00000000-0005-0000-0000-000062400000}"/>
    <cellStyle name="Normal 2 2 2 2 5 13 2 6" xfId="16483" xr:uid="{00000000-0005-0000-0000-000063400000}"/>
    <cellStyle name="Normal 2 2 2 2 5 13 2 7" xfId="16484" xr:uid="{00000000-0005-0000-0000-000064400000}"/>
    <cellStyle name="Normal 2 2 2 2 5 13 2 8" xfId="16485" xr:uid="{00000000-0005-0000-0000-000065400000}"/>
    <cellStyle name="Normal 2 2 2 2 5 13 2 9" xfId="16486" xr:uid="{00000000-0005-0000-0000-000066400000}"/>
    <cellStyle name="Normal 2 2 2 2 5 13 3" xfId="16487" xr:uid="{00000000-0005-0000-0000-000067400000}"/>
    <cellStyle name="Normal 2 2 2 2 5 13 3 10" xfId="16488" xr:uid="{00000000-0005-0000-0000-000068400000}"/>
    <cellStyle name="Normal 2 2 2 2 5 13 3 2" xfId="16489" xr:uid="{00000000-0005-0000-0000-000069400000}"/>
    <cellStyle name="Normal 2 2 2 2 5 13 3 3" xfId="16490" xr:uid="{00000000-0005-0000-0000-00006A400000}"/>
    <cellStyle name="Normal 2 2 2 2 5 13 3 4" xfId="16491" xr:uid="{00000000-0005-0000-0000-00006B400000}"/>
    <cellStyle name="Normal 2 2 2 2 5 13 3 5" xfId="16492" xr:uid="{00000000-0005-0000-0000-00006C400000}"/>
    <cellStyle name="Normal 2 2 2 2 5 13 3 6" xfId="16493" xr:uid="{00000000-0005-0000-0000-00006D400000}"/>
    <cellStyle name="Normal 2 2 2 2 5 13 3 7" xfId="16494" xr:uid="{00000000-0005-0000-0000-00006E400000}"/>
    <cellStyle name="Normal 2 2 2 2 5 13 3 8" xfId="16495" xr:uid="{00000000-0005-0000-0000-00006F400000}"/>
    <cellStyle name="Normal 2 2 2 2 5 13 3 9" xfId="16496" xr:uid="{00000000-0005-0000-0000-000070400000}"/>
    <cellStyle name="Normal 2 2 2 2 5 13 4" xfId="16497" xr:uid="{00000000-0005-0000-0000-000071400000}"/>
    <cellStyle name="Normal 2 2 2 2 5 13 4 10" xfId="16498" xr:uid="{00000000-0005-0000-0000-000072400000}"/>
    <cellStyle name="Normal 2 2 2 2 5 13 4 2" xfId="16499" xr:uid="{00000000-0005-0000-0000-000073400000}"/>
    <cellStyle name="Normal 2 2 2 2 5 13 4 3" xfId="16500" xr:uid="{00000000-0005-0000-0000-000074400000}"/>
    <cellStyle name="Normal 2 2 2 2 5 13 4 4" xfId="16501" xr:uid="{00000000-0005-0000-0000-000075400000}"/>
    <cellStyle name="Normal 2 2 2 2 5 13 4 5" xfId="16502" xr:uid="{00000000-0005-0000-0000-000076400000}"/>
    <cellStyle name="Normal 2 2 2 2 5 13 4 6" xfId="16503" xr:uid="{00000000-0005-0000-0000-000077400000}"/>
    <cellStyle name="Normal 2 2 2 2 5 13 4 7" xfId="16504" xr:uid="{00000000-0005-0000-0000-000078400000}"/>
    <cellStyle name="Normal 2 2 2 2 5 13 4 8" xfId="16505" xr:uid="{00000000-0005-0000-0000-000079400000}"/>
    <cellStyle name="Normal 2 2 2 2 5 13 4 9" xfId="16506" xr:uid="{00000000-0005-0000-0000-00007A400000}"/>
    <cellStyle name="Normal 2 2 2 2 5 13 5" xfId="16507" xr:uid="{00000000-0005-0000-0000-00007B400000}"/>
    <cellStyle name="Normal 2 2 2 2 5 13 5 10" xfId="16508" xr:uid="{00000000-0005-0000-0000-00007C400000}"/>
    <cellStyle name="Normal 2 2 2 2 5 13 5 2" xfId="16509" xr:uid="{00000000-0005-0000-0000-00007D400000}"/>
    <cellStyle name="Normal 2 2 2 2 5 13 5 3" xfId="16510" xr:uid="{00000000-0005-0000-0000-00007E400000}"/>
    <cellStyle name="Normal 2 2 2 2 5 13 5 4" xfId="16511" xr:uid="{00000000-0005-0000-0000-00007F400000}"/>
    <cellStyle name="Normal 2 2 2 2 5 13 5 5" xfId="16512" xr:uid="{00000000-0005-0000-0000-000080400000}"/>
    <cellStyle name="Normal 2 2 2 2 5 13 5 6" xfId="16513" xr:uid="{00000000-0005-0000-0000-000081400000}"/>
    <cellStyle name="Normal 2 2 2 2 5 13 5 7" xfId="16514" xr:uid="{00000000-0005-0000-0000-000082400000}"/>
    <cellStyle name="Normal 2 2 2 2 5 13 5 8" xfId="16515" xr:uid="{00000000-0005-0000-0000-000083400000}"/>
    <cellStyle name="Normal 2 2 2 2 5 13 5 9" xfId="16516" xr:uid="{00000000-0005-0000-0000-000084400000}"/>
    <cellStyle name="Normal 2 2 2 2 5 13 6" xfId="16517" xr:uid="{00000000-0005-0000-0000-000085400000}"/>
    <cellStyle name="Normal 2 2 2 2 5 13 7" xfId="16518" xr:uid="{00000000-0005-0000-0000-000086400000}"/>
    <cellStyle name="Normal 2 2 2 2 5 13 8" xfId="16519" xr:uid="{00000000-0005-0000-0000-000087400000}"/>
    <cellStyle name="Normal 2 2 2 2 5 13 9" xfId="16520" xr:uid="{00000000-0005-0000-0000-000088400000}"/>
    <cellStyle name="Normal 2 2 2 2 5 14" xfId="16521" xr:uid="{00000000-0005-0000-0000-000089400000}"/>
    <cellStyle name="Normal 2 2 2 2 5 14 10" xfId="16522" xr:uid="{00000000-0005-0000-0000-00008A400000}"/>
    <cellStyle name="Normal 2 2 2 2 5 14 11" xfId="16523" xr:uid="{00000000-0005-0000-0000-00008B400000}"/>
    <cellStyle name="Normal 2 2 2 2 5 14 12" xfId="16524" xr:uid="{00000000-0005-0000-0000-00008C400000}"/>
    <cellStyle name="Normal 2 2 2 2 5 14 13" xfId="16525" xr:uid="{00000000-0005-0000-0000-00008D400000}"/>
    <cellStyle name="Normal 2 2 2 2 5 14 14" xfId="16526" xr:uid="{00000000-0005-0000-0000-00008E400000}"/>
    <cellStyle name="Normal 2 2 2 2 5 14 2" xfId="16527" xr:uid="{00000000-0005-0000-0000-00008F400000}"/>
    <cellStyle name="Normal 2 2 2 2 5 14 2 10" xfId="16528" xr:uid="{00000000-0005-0000-0000-000090400000}"/>
    <cellStyle name="Normal 2 2 2 2 5 14 2 2" xfId="16529" xr:uid="{00000000-0005-0000-0000-000091400000}"/>
    <cellStyle name="Normal 2 2 2 2 5 14 2 3" xfId="16530" xr:uid="{00000000-0005-0000-0000-000092400000}"/>
    <cellStyle name="Normal 2 2 2 2 5 14 2 4" xfId="16531" xr:uid="{00000000-0005-0000-0000-000093400000}"/>
    <cellStyle name="Normal 2 2 2 2 5 14 2 5" xfId="16532" xr:uid="{00000000-0005-0000-0000-000094400000}"/>
    <cellStyle name="Normal 2 2 2 2 5 14 2 6" xfId="16533" xr:uid="{00000000-0005-0000-0000-000095400000}"/>
    <cellStyle name="Normal 2 2 2 2 5 14 2 7" xfId="16534" xr:uid="{00000000-0005-0000-0000-000096400000}"/>
    <cellStyle name="Normal 2 2 2 2 5 14 2 8" xfId="16535" xr:uid="{00000000-0005-0000-0000-000097400000}"/>
    <cellStyle name="Normal 2 2 2 2 5 14 2 9" xfId="16536" xr:uid="{00000000-0005-0000-0000-000098400000}"/>
    <cellStyle name="Normal 2 2 2 2 5 14 3" xfId="16537" xr:uid="{00000000-0005-0000-0000-000099400000}"/>
    <cellStyle name="Normal 2 2 2 2 5 14 3 10" xfId="16538" xr:uid="{00000000-0005-0000-0000-00009A400000}"/>
    <cellStyle name="Normal 2 2 2 2 5 14 3 2" xfId="16539" xr:uid="{00000000-0005-0000-0000-00009B400000}"/>
    <cellStyle name="Normal 2 2 2 2 5 14 3 3" xfId="16540" xr:uid="{00000000-0005-0000-0000-00009C400000}"/>
    <cellStyle name="Normal 2 2 2 2 5 14 3 4" xfId="16541" xr:uid="{00000000-0005-0000-0000-00009D400000}"/>
    <cellStyle name="Normal 2 2 2 2 5 14 3 5" xfId="16542" xr:uid="{00000000-0005-0000-0000-00009E400000}"/>
    <cellStyle name="Normal 2 2 2 2 5 14 3 6" xfId="16543" xr:uid="{00000000-0005-0000-0000-00009F400000}"/>
    <cellStyle name="Normal 2 2 2 2 5 14 3 7" xfId="16544" xr:uid="{00000000-0005-0000-0000-0000A0400000}"/>
    <cellStyle name="Normal 2 2 2 2 5 14 3 8" xfId="16545" xr:uid="{00000000-0005-0000-0000-0000A1400000}"/>
    <cellStyle name="Normal 2 2 2 2 5 14 3 9" xfId="16546" xr:uid="{00000000-0005-0000-0000-0000A2400000}"/>
    <cellStyle name="Normal 2 2 2 2 5 14 4" xfId="16547" xr:uid="{00000000-0005-0000-0000-0000A3400000}"/>
    <cellStyle name="Normal 2 2 2 2 5 14 4 10" xfId="16548" xr:uid="{00000000-0005-0000-0000-0000A4400000}"/>
    <cellStyle name="Normal 2 2 2 2 5 14 4 2" xfId="16549" xr:uid="{00000000-0005-0000-0000-0000A5400000}"/>
    <cellStyle name="Normal 2 2 2 2 5 14 4 3" xfId="16550" xr:uid="{00000000-0005-0000-0000-0000A6400000}"/>
    <cellStyle name="Normal 2 2 2 2 5 14 4 4" xfId="16551" xr:uid="{00000000-0005-0000-0000-0000A7400000}"/>
    <cellStyle name="Normal 2 2 2 2 5 14 4 5" xfId="16552" xr:uid="{00000000-0005-0000-0000-0000A8400000}"/>
    <cellStyle name="Normal 2 2 2 2 5 14 4 6" xfId="16553" xr:uid="{00000000-0005-0000-0000-0000A9400000}"/>
    <cellStyle name="Normal 2 2 2 2 5 14 4 7" xfId="16554" xr:uid="{00000000-0005-0000-0000-0000AA400000}"/>
    <cellStyle name="Normal 2 2 2 2 5 14 4 8" xfId="16555" xr:uid="{00000000-0005-0000-0000-0000AB400000}"/>
    <cellStyle name="Normal 2 2 2 2 5 14 4 9" xfId="16556" xr:uid="{00000000-0005-0000-0000-0000AC400000}"/>
    <cellStyle name="Normal 2 2 2 2 5 14 5" xfId="16557" xr:uid="{00000000-0005-0000-0000-0000AD400000}"/>
    <cellStyle name="Normal 2 2 2 2 5 14 5 10" xfId="16558" xr:uid="{00000000-0005-0000-0000-0000AE400000}"/>
    <cellStyle name="Normal 2 2 2 2 5 14 5 2" xfId="16559" xr:uid="{00000000-0005-0000-0000-0000AF400000}"/>
    <cellStyle name="Normal 2 2 2 2 5 14 5 3" xfId="16560" xr:uid="{00000000-0005-0000-0000-0000B0400000}"/>
    <cellStyle name="Normal 2 2 2 2 5 14 5 4" xfId="16561" xr:uid="{00000000-0005-0000-0000-0000B1400000}"/>
    <cellStyle name="Normal 2 2 2 2 5 14 5 5" xfId="16562" xr:uid="{00000000-0005-0000-0000-0000B2400000}"/>
    <cellStyle name="Normal 2 2 2 2 5 14 5 6" xfId="16563" xr:uid="{00000000-0005-0000-0000-0000B3400000}"/>
    <cellStyle name="Normal 2 2 2 2 5 14 5 7" xfId="16564" xr:uid="{00000000-0005-0000-0000-0000B4400000}"/>
    <cellStyle name="Normal 2 2 2 2 5 14 5 8" xfId="16565" xr:uid="{00000000-0005-0000-0000-0000B5400000}"/>
    <cellStyle name="Normal 2 2 2 2 5 14 5 9" xfId="16566" xr:uid="{00000000-0005-0000-0000-0000B6400000}"/>
    <cellStyle name="Normal 2 2 2 2 5 14 6" xfId="16567" xr:uid="{00000000-0005-0000-0000-0000B7400000}"/>
    <cellStyle name="Normal 2 2 2 2 5 14 7" xfId="16568" xr:uid="{00000000-0005-0000-0000-0000B8400000}"/>
    <cellStyle name="Normal 2 2 2 2 5 14 8" xfId="16569" xr:uid="{00000000-0005-0000-0000-0000B9400000}"/>
    <cellStyle name="Normal 2 2 2 2 5 14 9" xfId="16570" xr:uid="{00000000-0005-0000-0000-0000BA400000}"/>
    <cellStyle name="Normal 2 2 2 2 5 15" xfId="16571" xr:uid="{00000000-0005-0000-0000-0000BB400000}"/>
    <cellStyle name="Normal 2 2 2 2 5 15 10" xfId="16572" xr:uid="{00000000-0005-0000-0000-0000BC400000}"/>
    <cellStyle name="Normal 2 2 2 2 5 15 11" xfId="16573" xr:uid="{00000000-0005-0000-0000-0000BD400000}"/>
    <cellStyle name="Normal 2 2 2 2 5 15 12" xfId="16574" xr:uid="{00000000-0005-0000-0000-0000BE400000}"/>
    <cellStyle name="Normal 2 2 2 2 5 15 13" xfId="16575" xr:uid="{00000000-0005-0000-0000-0000BF400000}"/>
    <cellStyle name="Normal 2 2 2 2 5 15 14" xfId="16576" xr:uid="{00000000-0005-0000-0000-0000C0400000}"/>
    <cellStyle name="Normal 2 2 2 2 5 15 2" xfId="16577" xr:uid="{00000000-0005-0000-0000-0000C1400000}"/>
    <cellStyle name="Normal 2 2 2 2 5 15 2 10" xfId="16578" xr:uid="{00000000-0005-0000-0000-0000C2400000}"/>
    <cellStyle name="Normal 2 2 2 2 5 15 2 2" xfId="16579" xr:uid="{00000000-0005-0000-0000-0000C3400000}"/>
    <cellStyle name="Normal 2 2 2 2 5 15 2 3" xfId="16580" xr:uid="{00000000-0005-0000-0000-0000C4400000}"/>
    <cellStyle name="Normal 2 2 2 2 5 15 2 4" xfId="16581" xr:uid="{00000000-0005-0000-0000-0000C5400000}"/>
    <cellStyle name="Normal 2 2 2 2 5 15 2 5" xfId="16582" xr:uid="{00000000-0005-0000-0000-0000C6400000}"/>
    <cellStyle name="Normal 2 2 2 2 5 15 2 6" xfId="16583" xr:uid="{00000000-0005-0000-0000-0000C7400000}"/>
    <cellStyle name="Normal 2 2 2 2 5 15 2 7" xfId="16584" xr:uid="{00000000-0005-0000-0000-0000C8400000}"/>
    <cellStyle name="Normal 2 2 2 2 5 15 2 8" xfId="16585" xr:uid="{00000000-0005-0000-0000-0000C9400000}"/>
    <cellStyle name="Normal 2 2 2 2 5 15 2 9" xfId="16586" xr:uid="{00000000-0005-0000-0000-0000CA400000}"/>
    <cellStyle name="Normal 2 2 2 2 5 15 3" xfId="16587" xr:uid="{00000000-0005-0000-0000-0000CB400000}"/>
    <cellStyle name="Normal 2 2 2 2 5 15 3 10" xfId="16588" xr:uid="{00000000-0005-0000-0000-0000CC400000}"/>
    <cellStyle name="Normal 2 2 2 2 5 15 3 2" xfId="16589" xr:uid="{00000000-0005-0000-0000-0000CD400000}"/>
    <cellStyle name="Normal 2 2 2 2 5 15 3 3" xfId="16590" xr:uid="{00000000-0005-0000-0000-0000CE400000}"/>
    <cellStyle name="Normal 2 2 2 2 5 15 3 4" xfId="16591" xr:uid="{00000000-0005-0000-0000-0000CF400000}"/>
    <cellStyle name="Normal 2 2 2 2 5 15 3 5" xfId="16592" xr:uid="{00000000-0005-0000-0000-0000D0400000}"/>
    <cellStyle name="Normal 2 2 2 2 5 15 3 6" xfId="16593" xr:uid="{00000000-0005-0000-0000-0000D1400000}"/>
    <cellStyle name="Normal 2 2 2 2 5 15 3 7" xfId="16594" xr:uid="{00000000-0005-0000-0000-0000D2400000}"/>
    <cellStyle name="Normal 2 2 2 2 5 15 3 8" xfId="16595" xr:uid="{00000000-0005-0000-0000-0000D3400000}"/>
    <cellStyle name="Normal 2 2 2 2 5 15 3 9" xfId="16596" xr:uid="{00000000-0005-0000-0000-0000D4400000}"/>
    <cellStyle name="Normal 2 2 2 2 5 15 4" xfId="16597" xr:uid="{00000000-0005-0000-0000-0000D5400000}"/>
    <cellStyle name="Normal 2 2 2 2 5 15 4 10" xfId="16598" xr:uid="{00000000-0005-0000-0000-0000D6400000}"/>
    <cellStyle name="Normal 2 2 2 2 5 15 4 2" xfId="16599" xr:uid="{00000000-0005-0000-0000-0000D7400000}"/>
    <cellStyle name="Normal 2 2 2 2 5 15 4 3" xfId="16600" xr:uid="{00000000-0005-0000-0000-0000D8400000}"/>
    <cellStyle name="Normal 2 2 2 2 5 15 4 4" xfId="16601" xr:uid="{00000000-0005-0000-0000-0000D9400000}"/>
    <cellStyle name="Normal 2 2 2 2 5 15 4 5" xfId="16602" xr:uid="{00000000-0005-0000-0000-0000DA400000}"/>
    <cellStyle name="Normal 2 2 2 2 5 15 4 6" xfId="16603" xr:uid="{00000000-0005-0000-0000-0000DB400000}"/>
    <cellStyle name="Normal 2 2 2 2 5 15 4 7" xfId="16604" xr:uid="{00000000-0005-0000-0000-0000DC400000}"/>
    <cellStyle name="Normal 2 2 2 2 5 15 4 8" xfId="16605" xr:uid="{00000000-0005-0000-0000-0000DD400000}"/>
    <cellStyle name="Normal 2 2 2 2 5 15 4 9" xfId="16606" xr:uid="{00000000-0005-0000-0000-0000DE400000}"/>
    <cellStyle name="Normal 2 2 2 2 5 15 5" xfId="16607" xr:uid="{00000000-0005-0000-0000-0000DF400000}"/>
    <cellStyle name="Normal 2 2 2 2 5 15 5 10" xfId="16608" xr:uid="{00000000-0005-0000-0000-0000E0400000}"/>
    <cellStyle name="Normal 2 2 2 2 5 15 5 2" xfId="16609" xr:uid="{00000000-0005-0000-0000-0000E1400000}"/>
    <cellStyle name="Normal 2 2 2 2 5 15 5 3" xfId="16610" xr:uid="{00000000-0005-0000-0000-0000E2400000}"/>
    <cellStyle name="Normal 2 2 2 2 5 15 5 4" xfId="16611" xr:uid="{00000000-0005-0000-0000-0000E3400000}"/>
    <cellStyle name="Normal 2 2 2 2 5 15 5 5" xfId="16612" xr:uid="{00000000-0005-0000-0000-0000E4400000}"/>
    <cellStyle name="Normal 2 2 2 2 5 15 5 6" xfId="16613" xr:uid="{00000000-0005-0000-0000-0000E5400000}"/>
    <cellStyle name="Normal 2 2 2 2 5 15 5 7" xfId="16614" xr:uid="{00000000-0005-0000-0000-0000E6400000}"/>
    <cellStyle name="Normal 2 2 2 2 5 15 5 8" xfId="16615" xr:uid="{00000000-0005-0000-0000-0000E7400000}"/>
    <cellStyle name="Normal 2 2 2 2 5 15 5 9" xfId="16616" xr:uid="{00000000-0005-0000-0000-0000E8400000}"/>
    <cellStyle name="Normal 2 2 2 2 5 15 6" xfId="16617" xr:uid="{00000000-0005-0000-0000-0000E9400000}"/>
    <cellStyle name="Normal 2 2 2 2 5 15 7" xfId="16618" xr:uid="{00000000-0005-0000-0000-0000EA400000}"/>
    <cellStyle name="Normal 2 2 2 2 5 15 8" xfId="16619" xr:uid="{00000000-0005-0000-0000-0000EB400000}"/>
    <cellStyle name="Normal 2 2 2 2 5 15 9" xfId="16620" xr:uid="{00000000-0005-0000-0000-0000EC400000}"/>
    <cellStyle name="Normal 2 2 2 2 5 16" xfId="16621" xr:uid="{00000000-0005-0000-0000-0000ED400000}"/>
    <cellStyle name="Normal 2 2 2 2 5 16 10" xfId="16622" xr:uid="{00000000-0005-0000-0000-0000EE400000}"/>
    <cellStyle name="Normal 2 2 2 2 5 16 11" xfId="16623" xr:uid="{00000000-0005-0000-0000-0000EF400000}"/>
    <cellStyle name="Normal 2 2 2 2 5 16 12" xfId="16624" xr:uid="{00000000-0005-0000-0000-0000F0400000}"/>
    <cellStyle name="Normal 2 2 2 2 5 16 13" xfId="16625" xr:uid="{00000000-0005-0000-0000-0000F1400000}"/>
    <cellStyle name="Normal 2 2 2 2 5 16 14" xfId="16626" xr:uid="{00000000-0005-0000-0000-0000F2400000}"/>
    <cellStyle name="Normal 2 2 2 2 5 16 2" xfId="16627" xr:uid="{00000000-0005-0000-0000-0000F3400000}"/>
    <cellStyle name="Normal 2 2 2 2 5 16 2 10" xfId="16628" xr:uid="{00000000-0005-0000-0000-0000F4400000}"/>
    <cellStyle name="Normal 2 2 2 2 5 16 2 2" xfId="16629" xr:uid="{00000000-0005-0000-0000-0000F5400000}"/>
    <cellStyle name="Normal 2 2 2 2 5 16 2 3" xfId="16630" xr:uid="{00000000-0005-0000-0000-0000F6400000}"/>
    <cellStyle name="Normal 2 2 2 2 5 16 2 4" xfId="16631" xr:uid="{00000000-0005-0000-0000-0000F7400000}"/>
    <cellStyle name="Normal 2 2 2 2 5 16 2 5" xfId="16632" xr:uid="{00000000-0005-0000-0000-0000F8400000}"/>
    <cellStyle name="Normal 2 2 2 2 5 16 2 6" xfId="16633" xr:uid="{00000000-0005-0000-0000-0000F9400000}"/>
    <cellStyle name="Normal 2 2 2 2 5 16 2 7" xfId="16634" xr:uid="{00000000-0005-0000-0000-0000FA400000}"/>
    <cellStyle name="Normal 2 2 2 2 5 16 2 8" xfId="16635" xr:uid="{00000000-0005-0000-0000-0000FB400000}"/>
    <cellStyle name="Normal 2 2 2 2 5 16 2 9" xfId="16636" xr:uid="{00000000-0005-0000-0000-0000FC400000}"/>
    <cellStyle name="Normal 2 2 2 2 5 16 3" xfId="16637" xr:uid="{00000000-0005-0000-0000-0000FD400000}"/>
    <cellStyle name="Normal 2 2 2 2 5 16 3 10" xfId="16638" xr:uid="{00000000-0005-0000-0000-0000FE400000}"/>
    <cellStyle name="Normal 2 2 2 2 5 16 3 2" xfId="16639" xr:uid="{00000000-0005-0000-0000-0000FF400000}"/>
    <cellStyle name="Normal 2 2 2 2 5 16 3 3" xfId="16640" xr:uid="{00000000-0005-0000-0000-000000410000}"/>
    <cellStyle name="Normal 2 2 2 2 5 16 3 4" xfId="16641" xr:uid="{00000000-0005-0000-0000-000001410000}"/>
    <cellStyle name="Normal 2 2 2 2 5 16 3 5" xfId="16642" xr:uid="{00000000-0005-0000-0000-000002410000}"/>
    <cellStyle name="Normal 2 2 2 2 5 16 3 6" xfId="16643" xr:uid="{00000000-0005-0000-0000-000003410000}"/>
    <cellStyle name="Normal 2 2 2 2 5 16 3 7" xfId="16644" xr:uid="{00000000-0005-0000-0000-000004410000}"/>
    <cellStyle name="Normal 2 2 2 2 5 16 3 8" xfId="16645" xr:uid="{00000000-0005-0000-0000-000005410000}"/>
    <cellStyle name="Normal 2 2 2 2 5 16 3 9" xfId="16646" xr:uid="{00000000-0005-0000-0000-000006410000}"/>
    <cellStyle name="Normal 2 2 2 2 5 16 4" xfId="16647" xr:uid="{00000000-0005-0000-0000-000007410000}"/>
    <cellStyle name="Normal 2 2 2 2 5 16 4 10" xfId="16648" xr:uid="{00000000-0005-0000-0000-000008410000}"/>
    <cellStyle name="Normal 2 2 2 2 5 16 4 2" xfId="16649" xr:uid="{00000000-0005-0000-0000-000009410000}"/>
    <cellStyle name="Normal 2 2 2 2 5 16 4 3" xfId="16650" xr:uid="{00000000-0005-0000-0000-00000A410000}"/>
    <cellStyle name="Normal 2 2 2 2 5 16 4 4" xfId="16651" xr:uid="{00000000-0005-0000-0000-00000B410000}"/>
    <cellStyle name="Normal 2 2 2 2 5 16 4 5" xfId="16652" xr:uid="{00000000-0005-0000-0000-00000C410000}"/>
    <cellStyle name="Normal 2 2 2 2 5 16 4 6" xfId="16653" xr:uid="{00000000-0005-0000-0000-00000D410000}"/>
    <cellStyle name="Normal 2 2 2 2 5 16 4 7" xfId="16654" xr:uid="{00000000-0005-0000-0000-00000E410000}"/>
    <cellStyle name="Normal 2 2 2 2 5 16 4 8" xfId="16655" xr:uid="{00000000-0005-0000-0000-00000F410000}"/>
    <cellStyle name="Normal 2 2 2 2 5 16 4 9" xfId="16656" xr:uid="{00000000-0005-0000-0000-000010410000}"/>
    <cellStyle name="Normal 2 2 2 2 5 16 5" xfId="16657" xr:uid="{00000000-0005-0000-0000-000011410000}"/>
    <cellStyle name="Normal 2 2 2 2 5 16 5 10" xfId="16658" xr:uid="{00000000-0005-0000-0000-000012410000}"/>
    <cellStyle name="Normal 2 2 2 2 5 16 5 2" xfId="16659" xr:uid="{00000000-0005-0000-0000-000013410000}"/>
    <cellStyle name="Normal 2 2 2 2 5 16 5 3" xfId="16660" xr:uid="{00000000-0005-0000-0000-000014410000}"/>
    <cellStyle name="Normal 2 2 2 2 5 16 5 4" xfId="16661" xr:uid="{00000000-0005-0000-0000-000015410000}"/>
    <cellStyle name="Normal 2 2 2 2 5 16 5 5" xfId="16662" xr:uid="{00000000-0005-0000-0000-000016410000}"/>
    <cellStyle name="Normal 2 2 2 2 5 16 5 6" xfId="16663" xr:uid="{00000000-0005-0000-0000-000017410000}"/>
    <cellStyle name="Normal 2 2 2 2 5 16 5 7" xfId="16664" xr:uid="{00000000-0005-0000-0000-000018410000}"/>
    <cellStyle name="Normal 2 2 2 2 5 16 5 8" xfId="16665" xr:uid="{00000000-0005-0000-0000-000019410000}"/>
    <cellStyle name="Normal 2 2 2 2 5 16 5 9" xfId="16666" xr:uid="{00000000-0005-0000-0000-00001A410000}"/>
    <cellStyle name="Normal 2 2 2 2 5 16 6" xfId="16667" xr:uid="{00000000-0005-0000-0000-00001B410000}"/>
    <cellStyle name="Normal 2 2 2 2 5 16 7" xfId="16668" xr:uid="{00000000-0005-0000-0000-00001C410000}"/>
    <cellStyle name="Normal 2 2 2 2 5 16 8" xfId="16669" xr:uid="{00000000-0005-0000-0000-00001D410000}"/>
    <cellStyle name="Normal 2 2 2 2 5 16 9" xfId="16670" xr:uid="{00000000-0005-0000-0000-00001E410000}"/>
    <cellStyle name="Normal 2 2 2 2 5 17" xfId="16671" xr:uid="{00000000-0005-0000-0000-00001F410000}"/>
    <cellStyle name="Normal 2 2 2 2 5 17 10" xfId="16672" xr:uid="{00000000-0005-0000-0000-000020410000}"/>
    <cellStyle name="Normal 2 2 2 2 5 17 11" xfId="16673" xr:uid="{00000000-0005-0000-0000-000021410000}"/>
    <cellStyle name="Normal 2 2 2 2 5 17 12" xfId="16674" xr:uid="{00000000-0005-0000-0000-000022410000}"/>
    <cellStyle name="Normal 2 2 2 2 5 17 13" xfId="16675" xr:uid="{00000000-0005-0000-0000-000023410000}"/>
    <cellStyle name="Normal 2 2 2 2 5 17 14" xfId="16676" xr:uid="{00000000-0005-0000-0000-000024410000}"/>
    <cellStyle name="Normal 2 2 2 2 5 17 2" xfId="16677" xr:uid="{00000000-0005-0000-0000-000025410000}"/>
    <cellStyle name="Normal 2 2 2 2 5 17 2 10" xfId="16678" xr:uid="{00000000-0005-0000-0000-000026410000}"/>
    <cellStyle name="Normal 2 2 2 2 5 17 2 2" xfId="16679" xr:uid="{00000000-0005-0000-0000-000027410000}"/>
    <cellStyle name="Normal 2 2 2 2 5 17 2 3" xfId="16680" xr:uid="{00000000-0005-0000-0000-000028410000}"/>
    <cellStyle name="Normal 2 2 2 2 5 17 2 4" xfId="16681" xr:uid="{00000000-0005-0000-0000-000029410000}"/>
    <cellStyle name="Normal 2 2 2 2 5 17 2 5" xfId="16682" xr:uid="{00000000-0005-0000-0000-00002A410000}"/>
    <cellStyle name="Normal 2 2 2 2 5 17 2 6" xfId="16683" xr:uid="{00000000-0005-0000-0000-00002B410000}"/>
    <cellStyle name="Normal 2 2 2 2 5 17 2 7" xfId="16684" xr:uid="{00000000-0005-0000-0000-00002C410000}"/>
    <cellStyle name="Normal 2 2 2 2 5 17 2 8" xfId="16685" xr:uid="{00000000-0005-0000-0000-00002D410000}"/>
    <cellStyle name="Normal 2 2 2 2 5 17 2 9" xfId="16686" xr:uid="{00000000-0005-0000-0000-00002E410000}"/>
    <cellStyle name="Normal 2 2 2 2 5 17 3" xfId="16687" xr:uid="{00000000-0005-0000-0000-00002F410000}"/>
    <cellStyle name="Normal 2 2 2 2 5 17 3 10" xfId="16688" xr:uid="{00000000-0005-0000-0000-000030410000}"/>
    <cellStyle name="Normal 2 2 2 2 5 17 3 2" xfId="16689" xr:uid="{00000000-0005-0000-0000-000031410000}"/>
    <cellStyle name="Normal 2 2 2 2 5 17 3 3" xfId="16690" xr:uid="{00000000-0005-0000-0000-000032410000}"/>
    <cellStyle name="Normal 2 2 2 2 5 17 3 4" xfId="16691" xr:uid="{00000000-0005-0000-0000-000033410000}"/>
    <cellStyle name="Normal 2 2 2 2 5 17 3 5" xfId="16692" xr:uid="{00000000-0005-0000-0000-000034410000}"/>
    <cellStyle name="Normal 2 2 2 2 5 17 3 6" xfId="16693" xr:uid="{00000000-0005-0000-0000-000035410000}"/>
    <cellStyle name="Normal 2 2 2 2 5 17 3 7" xfId="16694" xr:uid="{00000000-0005-0000-0000-000036410000}"/>
    <cellStyle name="Normal 2 2 2 2 5 17 3 8" xfId="16695" xr:uid="{00000000-0005-0000-0000-000037410000}"/>
    <cellStyle name="Normal 2 2 2 2 5 17 3 9" xfId="16696" xr:uid="{00000000-0005-0000-0000-000038410000}"/>
    <cellStyle name="Normal 2 2 2 2 5 17 4" xfId="16697" xr:uid="{00000000-0005-0000-0000-000039410000}"/>
    <cellStyle name="Normal 2 2 2 2 5 17 4 10" xfId="16698" xr:uid="{00000000-0005-0000-0000-00003A410000}"/>
    <cellStyle name="Normal 2 2 2 2 5 17 4 2" xfId="16699" xr:uid="{00000000-0005-0000-0000-00003B410000}"/>
    <cellStyle name="Normal 2 2 2 2 5 17 4 3" xfId="16700" xr:uid="{00000000-0005-0000-0000-00003C410000}"/>
    <cellStyle name="Normal 2 2 2 2 5 17 4 4" xfId="16701" xr:uid="{00000000-0005-0000-0000-00003D410000}"/>
    <cellStyle name="Normal 2 2 2 2 5 17 4 5" xfId="16702" xr:uid="{00000000-0005-0000-0000-00003E410000}"/>
    <cellStyle name="Normal 2 2 2 2 5 17 4 6" xfId="16703" xr:uid="{00000000-0005-0000-0000-00003F410000}"/>
    <cellStyle name="Normal 2 2 2 2 5 17 4 7" xfId="16704" xr:uid="{00000000-0005-0000-0000-000040410000}"/>
    <cellStyle name="Normal 2 2 2 2 5 17 4 8" xfId="16705" xr:uid="{00000000-0005-0000-0000-000041410000}"/>
    <cellStyle name="Normal 2 2 2 2 5 17 4 9" xfId="16706" xr:uid="{00000000-0005-0000-0000-000042410000}"/>
    <cellStyle name="Normal 2 2 2 2 5 17 5" xfId="16707" xr:uid="{00000000-0005-0000-0000-000043410000}"/>
    <cellStyle name="Normal 2 2 2 2 5 17 5 10" xfId="16708" xr:uid="{00000000-0005-0000-0000-000044410000}"/>
    <cellStyle name="Normal 2 2 2 2 5 17 5 2" xfId="16709" xr:uid="{00000000-0005-0000-0000-000045410000}"/>
    <cellStyle name="Normal 2 2 2 2 5 17 5 3" xfId="16710" xr:uid="{00000000-0005-0000-0000-000046410000}"/>
    <cellStyle name="Normal 2 2 2 2 5 17 5 4" xfId="16711" xr:uid="{00000000-0005-0000-0000-000047410000}"/>
    <cellStyle name="Normal 2 2 2 2 5 17 5 5" xfId="16712" xr:uid="{00000000-0005-0000-0000-000048410000}"/>
    <cellStyle name="Normal 2 2 2 2 5 17 5 6" xfId="16713" xr:uid="{00000000-0005-0000-0000-000049410000}"/>
    <cellStyle name="Normal 2 2 2 2 5 17 5 7" xfId="16714" xr:uid="{00000000-0005-0000-0000-00004A410000}"/>
    <cellStyle name="Normal 2 2 2 2 5 17 5 8" xfId="16715" xr:uid="{00000000-0005-0000-0000-00004B410000}"/>
    <cellStyle name="Normal 2 2 2 2 5 17 5 9" xfId="16716" xr:uid="{00000000-0005-0000-0000-00004C410000}"/>
    <cellStyle name="Normal 2 2 2 2 5 17 6" xfId="16717" xr:uid="{00000000-0005-0000-0000-00004D410000}"/>
    <cellStyle name="Normal 2 2 2 2 5 17 7" xfId="16718" xr:uid="{00000000-0005-0000-0000-00004E410000}"/>
    <cellStyle name="Normal 2 2 2 2 5 17 8" xfId="16719" xr:uid="{00000000-0005-0000-0000-00004F410000}"/>
    <cellStyle name="Normal 2 2 2 2 5 17 9" xfId="16720" xr:uid="{00000000-0005-0000-0000-000050410000}"/>
    <cellStyle name="Normal 2 2 2 2 5 18" xfId="16721" xr:uid="{00000000-0005-0000-0000-000051410000}"/>
    <cellStyle name="Normal 2 2 2 2 5 18 10" xfId="16722" xr:uid="{00000000-0005-0000-0000-000052410000}"/>
    <cellStyle name="Normal 2 2 2 2 5 18 11" xfId="16723" xr:uid="{00000000-0005-0000-0000-000053410000}"/>
    <cellStyle name="Normal 2 2 2 2 5 18 12" xfId="16724" xr:uid="{00000000-0005-0000-0000-000054410000}"/>
    <cellStyle name="Normal 2 2 2 2 5 18 13" xfId="16725" xr:uid="{00000000-0005-0000-0000-000055410000}"/>
    <cellStyle name="Normal 2 2 2 2 5 18 14" xfId="16726" xr:uid="{00000000-0005-0000-0000-000056410000}"/>
    <cellStyle name="Normal 2 2 2 2 5 18 2" xfId="16727" xr:uid="{00000000-0005-0000-0000-000057410000}"/>
    <cellStyle name="Normal 2 2 2 2 5 18 2 10" xfId="16728" xr:uid="{00000000-0005-0000-0000-000058410000}"/>
    <cellStyle name="Normal 2 2 2 2 5 18 2 2" xfId="16729" xr:uid="{00000000-0005-0000-0000-000059410000}"/>
    <cellStyle name="Normal 2 2 2 2 5 18 2 3" xfId="16730" xr:uid="{00000000-0005-0000-0000-00005A410000}"/>
    <cellStyle name="Normal 2 2 2 2 5 18 2 4" xfId="16731" xr:uid="{00000000-0005-0000-0000-00005B410000}"/>
    <cellStyle name="Normal 2 2 2 2 5 18 2 5" xfId="16732" xr:uid="{00000000-0005-0000-0000-00005C410000}"/>
    <cellStyle name="Normal 2 2 2 2 5 18 2 6" xfId="16733" xr:uid="{00000000-0005-0000-0000-00005D410000}"/>
    <cellStyle name="Normal 2 2 2 2 5 18 2 7" xfId="16734" xr:uid="{00000000-0005-0000-0000-00005E410000}"/>
    <cellStyle name="Normal 2 2 2 2 5 18 2 8" xfId="16735" xr:uid="{00000000-0005-0000-0000-00005F410000}"/>
    <cellStyle name="Normal 2 2 2 2 5 18 2 9" xfId="16736" xr:uid="{00000000-0005-0000-0000-000060410000}"/>
    <cellStyle name="Normal 2 2 2 2 5 18 3" xfId="16737" xr:uid="{00000000-0005-0000-0000-000061410000}"/>
    <cellStyle name="Normal 2 2 2 2 5 18 3 10" xfId="16738" xr:uid="{00000000-0005-0000-0000-000062410000}"/>
    <cellStyle name="Normal 2 2 2 2 5 18 3 2" xfId="16739" xr:uid="{00000000-0005-0000-0000-000063410000}"/>
    <cellStyle name="Normal 2 2 2 2 5 18 3 3" xfId="16740" xr:uid="{00000000-0005-0000-0000-000064410000}"/>
    <cellStyle name="Normal 2 2 2 2 5 18 3 4" xfId="16741" xr:uid="{00000000-0005-0000-0000-000065410000}"/>
    <cellStyle name="Normal 2 2 2 2 5 18 3 5" xfId="16742" xr:uid="{00000000-0005-0000-0000-000066410000}"/>
    <cellStyle name="Normal 2 2 2 2 5 18 3 6" xfId="16743" xr:uid="{00000000-0005-0000-0000-000067410000}"/>
    <cellStyle name="Normal 2 2 2 2 5 18 3 7" xfId="16744" xr:uid="{00000000-0005-0000-0000-000068410000}"/>
    <cellStyle name="Normal 2 2 2 2 5 18 3 8" xfId="16745" xr:uid="{00000000-0005-0000-0000-000069410000}"/>
    <cellStyle name="Normal 2 2 2 2 5 18 3 9" xfId="16746" xr:uid="{00000000-0005-0000-0000-00006A410000}"/>
    <cellStyle name="Normal 2 2 2 2 5 18 4" xfId="16747" xr:uid="{00000000-0005-0000-0000-00006B410000}"/>
    <cellStyle name="Normal 2 2 2 2 5 18 4 10" xfId="16748" xr:uid="{00000000-0005-0000-0000-00006C410000}"/>
    <cellStyle name="Normal 2 2 2 2 5 18 4 2" xfId="16749" xr:uid="{00000000-0005-0000-0000-00006D410000}"/>
    <cellStyle name="Normal 2 2 2 2 5 18 4 3" xfId="16750" xr:uid="{00000000-0005-0000-0000-00006E410000}"/>
    <cellStyle name="Normal 2 2 2 2 5 18 4 4" xfId="16751" xr:uid="{00000000-0005-0000-0000-00006F410000}"/>
    <cellStyle name="Normal 2 2 2 2 5 18 4 5" xfId="16752" xr:uid="{00000000-0005-0000-0000-000070410000}"/>
    <cellStyle name="Normal 2 2 2 2 5 18 4 6" xfId="16753" xr:uid="{00000000-0005-0000-0000-000071410000}"/>
    <cellStyle name="Normal 2 2 2 2 5 18 4 7" xfId="16754" xr:uid="{00000000-0005-0000-0000-000072410000}"/>
    <cellStyle name="Normal 2 2 2 2 5 18 4 8" xfId="16755" xr:uid="{00000000-0005-0000-0000-000073410000}"/>
    <cellStyle name="Normal 2 2 2 2 5 18 4 9" xfId="16756" xr:uid="{00000000-0005-0000-0000-000074410000}"/>
    <cellStyle name="Normal 2 2 2 2 5 18 5" xfId="16757" xr:uid="{00000000-0005-0000-0000-000075410000}"/>
    <cellStyle name="Normal 2 2 2 2 5 18 5 10" xfId="16758" xr:uid="{00000000-0005-0000-0000-000076410000}"/>
    <cellStyle name="Normal 2 2 2 2 5 18 5 2" xfId="16759" xr:uid="{00000000-0005-0000-0000-000077410000}"/>
    <cellStyle name="Normal 2 2 2 2 5 18 5 3" xfId="16760" xr:uid="{00000000-0005-0000-0000-000078410000}"/>
    <cellStyle name="Normal 2 2 2 2 5 18 5 4" xfId="16761" xr:uid="{00000000-0005-0000-0000-000079410000}"/>
    <cellStyle name="Normal 2 2 2 2 5 18 5 5" xfId="16762" xr:uid="{00000000-0005-0000-0000-00007A410000}"/>
    <cellStyle name="Normal 2 2 2 2 5 18 5 6" xfId="16763" xr:uid="{00000000-0005-0000-0000-00007B410000}"/>
    <cellStyle name="Normal 2 2 2 2 5 18 5 7" xfId="16764" xr:uid="{00000000-0005-0000-0000-00007C410000}"/>
    <cellStyle name="Normal 2 2 2 2 5 18 5 8" xfId="16765" xr:uid="{00000000-0005-0000-0000-00007D410000}"/>
    <cellStyle name="Normal 2 2 2 2 5 18 5 9" xfId="16766" xr:uid="{00000000-0005-0000-0000-00007E410000}"/>
    <cellStyle name="Normal 2 2 2 2 5 18 6" xfId="16767" xr:uid="{00000000-0005-0000-0000-00007F410000}"/>
    <cellStyle name="Normal 2 2 2 2 5 18 7" xfId="16768" xr:uid="{00000000-0005-0000-0000-000080410000}"/>
    <cellStyle name="Normal 2 2 2 2 5 18 8" xfId="16769" xr:uid="{00000000-0005-0000-0000-000081410000}"/>
    <cellStyle name="Normal 2 2 2 2 5 18 9" xfId="16770" xr:uid="{00000000-0005-0000-0000-000082410000}"/>
    <cellStyle name="Normal 2 2 2 2 5 19" xfId="16771" xr:uid="{00000000-0005-0000-0000-000083410000}"/>
    <cellStyle name="Normal 2 2 2 2 5 19 10" xfId="16772" xr:uid="{00000000-0005-0000-0000-000084410000}"/>
    <cellStyle name="Normal 2 2 2 2 5 19 11" xfId="16773" xr:uid="{00000000-0005-0000-0000-000085410000}"/>
    <cellStyle name="Normal 2 2 2 2 5 19 12" xfId="16774" xr:uid="{00000000-0005-0000-0000-000086410000}"/>
    <cellStyle name="Normal 2 2 2 2 5 19 13" xfId="16775" xr:uid="{00000000-0005-0000-0000-000087410000}"/>
    <cellStyle name="Normal 2 2 2 2 5 19 14" xfId="16776" xr:uid="{00000000-0005-0000-0000-000088410000}"/>
    <cellStyle name="Normal 2 2 2 2 5 19 2" xfId="16777" xr:uid="{00000000-0005-0000-0000-000089410000}"/>
    <cellStyle name="Normal 2 2 2 2 5 19 2 10" xfId="16778" xr:uid="{00000000-0005-0000-0000-00008A410000}"/>
    <cellStyle name="Normal 2 2 2 2 5 19 2 2" xfId="16779" xr:uid="{00000000-0005-0000-0000-00008B410000}"/>
    <cellStyle name="Normal 2 2 2 2 5 19 2 3" xfId="16780" xr:uid="{00000000-0005-0000-0000-00008C410000}"/>
    <cellStyle name="Normal 2 2 2 2 5 19 2 4" xfId="16781" xr:uid="{00000000-0005-0000-0000-00008D410000}"/>
    <cellStyle name="Normal 2 2 2 2 5 19 2 5" xfId="16782" xr:uid="{00000000-0005-0000-0000-00008E410000}"/>
    <cellStyle name="Normal 2 2 2 2 5 19 2 6" xfId="16783" xr:uid="{00000000-0005-0000-0000-00008F410000}"/>
    <cellStyle name="Normal 2 2 2 2 5 19 2 7" xfId="16784" xr:uid="{00000000-0005-0000-0000-000090410000}"/>
    <cellStyle name="Normal 2 2 2 2 5 19 2 8" xfId="16785" xr:uid="{00000000-0005-0000-0000-000091410000}"/>
    <cellStyle name="Normal 2 2 2 2 5 19 2 9" xfId="16786" xr:uid="{00000000-0005-0000-0000-000092410000}"/>
    <cellStyle name="Normal 2 2 2 2 5 19 3" xfId="16787" xr:uid="{00000000-0005-0000-0000-000093410000}"/>
    <cellStyle name="Normal 2 2 2 2 5 19 3 10" xfId="16788" xr:uid="{00000000-0005-0000-0000-000094410000}"/>
    <cellStyle name="Normal 2 2 2 2 5 19 3 2" xfId="16789" xr:uid="{00000000-0005-0000-0000-000095410000}"/>
    <cellStyle name="Normal 2 2 2 2 5 19 3 3" xfId="16790" xr:uid="{00000000-0005-0000-0000-000096410000}"/>
    <cellStyle name="Normal 2 2 2 2 5 19 3 4" xfId="16791" xr:uid="{00000000-0005-0000-0000-000097410000}"/>
    <cellStyle name="Normal 2 2 2 2 5 19 3 5" xfId="16792" xr:uid="{00000000-0005-0000-0000-000098410000}"/>
    <cellStyle name="Normal 2 2 2 2 5 19 3 6" xfId="16793" xr:uid="{00000000-0005-0000-0000-000099410000}"/>
    <cellStyle name="Normal 2 2 2 2 5 19 3 7" xfId="16794" xr:uid="{00000000-0005-0000-0000-00009A410000}"/>
    <cellStyle name="Normal 2 2 2 2 5 19 3 8" xfId="16795" xr:uid="{00000000-0005-0000-0000-00009B410000}"/>
    <cellStyle name="Normal 2 2 2 2 5 19 3 9" xfId="16796" xr:uid="{00000000-0005-0000-0000-00009C410000}"/>
    <cellStyle name="Normal 2 2 2 2 5 19 4" xfId="16797" xr:uid="{00000000-0005-0000-0000-00009D410000}"/>
    <cellStyle name="Normal 2 2 2 2 5 19 4 10" xfId="16798" xr:uid="{00000000-0005-0000-0000-00009E410000}"/>
    <cellStyle name="Normal 2 2 2 2 5 19 4 2" xfId="16799" xr:uid="{00000000-0005-0000-0000-00009F410000}"/>
    <cellStyle name="Normal 2 2 2 2 5 19 4 3" xfId="16800" xr:uid="{00000000-0005-0000-0000-0000A0410000}"/>
    <cellStyle name="Normal 2 2 2 2 5 19 4 4" xfId="16801" xr:uid="{00000000-0005-0000-0000-0000A1410000}"/>
    <cellStyle name="Normal 2 2 2 2 5 19 4 5" xfId="16802" xr:uid="{00000000-0005-0000-0000-0000A2410000}"/>
    <cellStyle name="Normal 2 2 2 2 5 19 4 6" xfId="16803" xr:uid="{00000000-0005-0000-0000-0000A3410000}"/>
    <cellStyle name="Normal 2 2 2 2 5 19 4 7" xfId="16804" xr:uid="{00000000-0005-0000-0000-0000A4410000}"/>
    <cellStyle name="Normal 2 2 2 2 5 19 4 8" xfId="16805" xr:uid="{00000000-0005-0000-0000-0000A5410000}"/>
    <cellStyle name="Normal 2 2 2 2 5 19 4 9" xfId="16806" xr:uid="{00000000-0005-0000-0000-0000A6410000}"/>
    <cellStyle name="Normal 2 2 2 2 5 19 5" xfId="16807" xr:uid="{00000000-0005-0000-0000-0000A7410000}"/>
    <cellStyle name="Normal 2 2 2 2 5 19 5 10" xfId="16808" xr:uid="{00000000-0005-0000-0000-0000A8410000}"/>
    <cellStyle name="Normal 2 2 2 2 5 19 5 2" xfId="16809" xr:uid="{00000000-0005-0000-0000-0000A9410000}"/>
    <cellStyle name="Normal 2 2 2 2 5 19 5 3" xfId="16810" xr:uid="{00000000-0005-0000-0000-0000AA410000}"/>
    <cellStyle name="Normal 2 2 2 2 5 19 5 4" xfId="16811" xr:uid="{00000000-0005-0000-0000-0000AB410000}"/>
    <cellStyle name="Normal 2 2 2 2 5 19 5 5" xfId="16812" xr:uid="{00000000-0005-0000-0000-0000AC410000}"/>
    <cellStyle name="Normal 2 2 2 2 5 19 5 6" xfId="16813" xr:uid="{00000000-0005-0000-0000-0000AD410000}"/>
    <cellStyle name="Normal 2 2 2 2 5 19 5 7" xfId="16814" xr:uid="{00000000-0005-0000-0000-0000AE410000}"/>
    <cellStyle name="Normal 2 2 2 2 5 19 5 8" xfId="16815" xr:uid="{00000000-0005-0000-0000-0000AF410000}"/>
    <cellStyle name="Normal 2 2 2 2 5 19 5 9" xfId="16816" xr:uid="{00000000-0005-0000-0000-0000B0410000}"/>
    <cellStyle name="Normal 2 2 2 2 5 19 6" xfId="16817" xr:uid="{00000000-0005-0000-0000-0000B1410000}"/>
    <cellStyle name="Normal 2 2 2 2 5 19 7" xfId="16818" xr:uid="{00000000-0005-0000-0000-0000B2410000}"/>
    <cellStyle name="Normal 2 2 2 2 5 19 8" xfId="16819" xr:uid="{00000000-0005-0000-0000-0000B3410000}"/>
    <cellStyle name="Normal 2 2 2 2 5 19 9" xfId="16820" xr:uid="{00000000-0005-0000-0000-0000B4410000}"/>
    <cellStyle name="Normal 2 2 2 2 5 2" xfId="16821" xr:uid="{00000000-0005-0000-0000-0000B5410000}"/>
    <cellStyle name="Normal 2 2 2 2 5 2 10" xfId="16822" xr:uid="{00000000-0005-0000-0000-0000B6410000}"/>
    <cellStyle name="Normal 2 2 2 2 5 2 11" xfId="16823" xr:uid="{00000000-0005-0000-0000-0000B7410000}"/>
    <cellStyle name="Normal 2 2 2 2 5 2 12" xfId="16824" xr:uid="{00000000-0005-0000-0000-0000B8410000}"/>
    <cellStyle name="Normal 2 2 2 2 5 2 13" xfId="16825" xr:uid="{00000000-0005-0000-0000-0000B9410000}"/>
    <cellStyle name="Normal 2 2 2 2 5 2 14" xfId="16826" xr:uid="{00000000-0005-0000-0000-0000BA410000}"/>
    <cellStyle name="Normal 2 2 2 2 5 2 15" xfId="16827" xr:uid="{00000000-0005-0000-0000-0000BB410000}"/>
    <cellStyle name="Normal 2 2 2 2 5 2 16" xfId="16828" xr:uid="{00000000-0005-0000-0000-0000BC410000}"/>
    <cellStyle name="Normal 2 2 2 2 5 2 17" xfId="16829" xr:uid="{00000000-0005-0000-0000-0000BD410000}"/>
    <cellStyle name="Normal 2 2 2 2 5 2 18" xfId="16830" xr:uid="{00000000-0005-0000-0000-0000BE410000}"/>
    <cellStyle name="Normal 2 2 2 2 5 2 19" xfId="16831" xr:uid="{00000000-0005-0000-0000-0000BF410000}"/>
    <cellStyle name="Normal 2 2 2 2 5 2 2" xfId="16832" xr:uid="{00000000-0005-0000-0000-0000C0410000}"/>
    <cellStyle name="Normal 2 2 2 2 5 2 20" xfId="16833" xr:uid="{00000000-0005-0000-0000-0000C1410000}"/>
    <cellStyle name="Normal 2 2 2 2 5 2 21" xfId="16834" xr:uid="{00000000-0005-0000-0000-0000C2410000}"/>
    <cellStyle name="Normal 2 2 2 2 5 2 21 10" xfId="16835" xr:uid="{00000000-0005-0000-0000-0000C3410000}"/>
    <cellStyle name="Normal 2 2 2 2 5 2 21 2" xfId="16836" xr:uid="{00000000-0005-0000-0000-0000C4410000}"/>
    <cellStyle name="Normal 2 2 2 2 5 2 21 3" xfId="16837" xr:uid="{00000000-0005-0000-0000-0000C5410000}"/>
    <cellStyle name="Normal 2 2 2 2 5 2 21 4" xfId="16838" xr:uid="{00000000-0005-0000-0000-0000C6410000}"/>
    <cellStyle name="Normal 2 2 2 2 5 2 21 5" xfId="16839" xr:uid="{00000000-0005-0000-0000-0000C7410000}"/>
    <cellStyle name="Normal 2 2 2 2 5 2 21 6" xfId="16840" xr:uid="{00000000-0005-0000-0000-0000C8410000}"/>
    <cellStyle name="Normal 2 2 2 2 5 2 21 7" xfId="16841" xr:uid="{00000000-0005-0000-0000-0000C9410000}"/>
    <cellStyle name="Normal 2 2 2 2 5 2 21 8" xfId="16842" xr:uid="{00000000-0005-0000-0000-0000CA410000}"/>
    <cellStyle name="Normal 2 2 2 2 5 2 21 9" xfId="16843" xr:uid="{00000000-0005-0000-0000-0000CB410000}"/>
    <cellStyle name="Normal 2 2 2 2 5 2 22" xfId="16844" xr:uid="{00000000-0005-0000-0000-0000CC410000}"/>
    <cellStyle name="Normal 2 2 2 2 5 2 22 10" xfId="16845" xr:uid="{00000000-0005-0000-0000-0000CD410000}"/>
    <cellStyle name="Normal 2 2 2 2 5 2 22 2" xfId="16846" xr:uid="{00000000-0005-0000-0000-0000CE410000}"/>
    <cellStyle name="Normal 2 2 2 2 5 2 22 3" xfId="16847" xr:uid="{00000000-0005-0000-0000-0000CF410000}"/>
    <cellStyle name="Normal 2 2 2 2 5 2 22 4" xfId="16848" xr:uid="{00000000-0005-0000-0000-0000D0410000}"/>
    <cellStyle name="Normal 2 2 2 2 5 2 22 5" xfId="16849" xr:uid="{00000000-0005-0000-0000-0000D1410000}"/>
    <cellStyle name="Normal 2 2 2 2 5 2 22 6" xfId="16850" xr:uid="{00000000-0005-0000-0000-0000D2410000}"/>
    <cellStyle name="Normal 2 2 2 2 5 2 22 7" xfId="16851" xr:uid="{00000000-0005-0000-0000-0000D3410000}"/>
    <cellStyle name="Normal 2 2 2 2 5 2 22 8" xfId="16852" xr:uid="{00000000-0005-0000-0000-0000D4410000}"/>
    <cellStyle name="Normal 2 2 2 2 5 2 22 9" xfId="16853" xr:uid="{00000000-0005-0000-0000-0000D5410000}"/>
    <cellStyle name="Normal 2 2 2 2 5 2 23" xfId="16854" xr:uid="{00000000-0005-0000-0000-0000D6410000}"/>
    <cellStyle name="Normal 2 2 2 2 5 2 23 10" xfId="16855" xr:uid="{00000000-0005-0000-0000-0000D7410000}"/>
    <cellStyle name="Normal 2 2 2 2 5 2 23 2" xfId="16856" xr:uid="{00000000-0005-0000-0000-0000D8410000}"/>
    <cellStyle name="Normal 2 2 2 2 5 2 23 3" xfId="16857" xr:uid="{00000000-0005-0000-0000-0000D9410000}"/>
    <cellStyle name="Normal 2 2 2 2 5 2 23 4" xfId="16858" xr:uid="{00000000-0005-0000-0000-0000DA410000}"/>
    <cellStyle name="Normal 2 2 2 2 5 2 23 5" xfId="16859" xr:uid="{00000000-0005-0000-0000-0000DB410000}"/>
    <cellStyle name="Normal 2 2 2 2 5 2 23 6" xfId="16860" xr:uid="{00000000-0005-0000-0000-0000DC410000}"/>
    <cellStyle name="Normal 2 2 2 2 5 2 23 7" xfId="16861" xr:uid="{00000000-0005-0000-0000-0000DD410000}"/>
    <cellStyle name="Normal 2 2 2 2 5 2 23 8" xfId="16862" xr:uid="{00000000-0005-0000-0000-0000DE410000}"/>
    <cellStyle name="Normal 2 2 2 2 5 2 23 9" xfId="16863" xr:uid="{00000000-0005-0000-0000-0000DF410000}"/>
    <cellStyle name="Normal 2 2 2 2 5 2 24" xfId="16864" xr:uid="{00000000-0005-0000-0000-0000E0410000}"/>
    <cellStyle name="Normal 2 2 2 2 5 2 24 10" xfId="16865" xr:uid="{00000000-0005-0000-0000-0000E1410000}"/>
    <cellStyle name="Normal 2 2 2 2 5 2 24 2" xfId="16866" xr:uid="{00000000-0005-0000-0000-0000E2410000}"/>
    <cellStyle name="Normal 2 2 2 2 5 2 24 3" xfId="16867" xr:uid="{00000000-0005-0000-0000-0000E3410000}"/>
    <cellStyle name="Normal 2 2 2 2 5 2 24 4" xfId="16868" xr:uid="{00000000-0005-0000-0000-0000E4410000}"/>
    <cellStyle name="Normal 2 2 2 2 5 2 24 5" xfId="16869" xr:uid="{00000000-0005-0000-0000-0000E5410000}"/>
    <cellStyle name="Normal 2 2 2 2 5 2 24 6" xfId="16870" xr:uid="{00000000-0005-0000-0000-0000E6410000}"/>
    <cellStyle name="Normal 2 2 2 2 5 2 24 7" xfId="16871" xr:uid="{00000000-0005-0000-0000-0000E7410000}"/>
    <cellStyle name="Normal 2 2 2 2 5 2 24 8" xfId="16872" xr:uid="{00000000-0005-0000-0000-0000E8410000}"/>
    <cellStyle name="Normal 2 2 2 2 5 2 24 9" xfId="16873" xr:uid="{00000000-0005-0000-0000-0000E9410000}"/>
    <cellStyle name="Normal 2 2 2 2 5 2 25" xfId="16874" xr:uid="{00000000-0005-0000-0000-0000EA410000}"/>
    <cellStyle name="Normal 2 2 2 2 5 2 26" xfId="16875" xr:uid="{00000000-0005-0000-0000-0000EB410000}"/>
    <cellStyle name="Normal 2 2 2 2 5 2 27" xfId="16876" xr:uid="{00000000-0005-0000-0000-0000EC410000}"/>
    <cellStyle name="Normal 2 2 2 2 5 2 28" xfId="16877" xr:uid="{00000000-0005-0000-0000-0000ED410000}"/>
    <cellStyle name="Normal 2 2 2 2 5 2 29" xfId="16878" xr:uid="{00000000-0005-0000-0000-0000EE410000}"/>
    <cellStyle name="Normal 2 2 2 2 5 2 3" xfId="16879" xr:uid="{00000000-0005-0000-0000-0000EF410000}"/>
    <cellStyle name="Normal 2 2 2 2 5 2 30" xfId="16880" xr:uid="{00000000-0005-0000-0000-0000F0410000}"/>
    <cellStyle name="Normal 2 2 2 2 5 2 31" xfId="16881" xr:uid="{00000000-0005-0000-0000-0000F1410000}"/>
    <cellStyle name="Normal 2 2 2 2 5 2 32" xfId="16882" xr:uid="{00000000-0005-0000-0000-0000F2410000}"/>
    <cellStyle name="Normal 2 2 2 2 5 2 33" xfId="16883" xr:uid="{00000000-0005-0000-0000-0000F3410000}"/>
    <cellStyle name="Normal 2 2 2 2 5 2 4" xfId="16884" xr:uid="{00000000-0005-0000-0000-0000F4410000}"/>
    <cellStyle name="Normal 2 2 2 2 5 2 5" xfId="16885" xr:uid="{00000000-0005-0000-0000-0000F5410000}"/>
    <cellStyle name="Normal 2 2 2 2 5 2 6" xfId="16886" xr:uid="{00000000-0005-0000-0000-0000F6410000}"/>
    <cellStyle name="Normal 2 2 2 2 5 2 7" xfId="16887" xr:uid="{00000000-0005-0000-0000-0000F7410000}"/>
    <cellStyle name="Normal 2 2 2 2 5 2 8" xfId="16888" xr:uid="{00000000-0005-0000-0000-0000F8410000}"/>
    <cellStyle name="Normal 2 2 2 2 5 2 9" xfId="16889" xr:uid="{00000000-0005-0000-0000-0000F9410000}"/>
    <cellStyle name="Normal 2 2 2 2 5 20" xfId="16890" xr:uid="{00000000-0005-0000-0000-0000FA410000}"/>
    <cellStyle name="Normal 2 2 2 2 5 20 10" xfId="16891" xr:uid="{00000000-0005-0000-0000-0000FB410000}"/>
    <cellStyle name="Normal 2 2 2 2 5 20 11" xfId="16892" xr:uid="{00000000-0005-0000-0000-0000FC410000}"/>
    <cellStyle name="Normal 2 2 2 2 5 20 12" xfId="16893" xr:uid="{00000000-0005-0000-0000-0000FD410000}"/>
    <cellStyle name="Normal 2 2 2 2 5 20 13" xfId="16894" xr:uid="{00000000-0005-0000-0000-0000FE410000}"/>
    <cellStyle name="Normal 2 2 2 2 5 20 14" xfId="16895" xr:uid="{00000000-0005-0000-0000-0000FF410000}"/>
    <cellStyle name="Normal 2 2 2 2 5 20 2" xfId="16896" xr:uid="{00000000-0005-0000-0000-000000420000}"/>
    <cellStyle name="Normal 2 2 2 2 5 20 2 10" xfId="16897" xr:uid="{00000000-0005-0000-0000-000001420000}"/>
    <cellStyle name="Normal 2 2 2 2 5 20 2 2" xfId="16898" xr:uid="{00000000-0005-0000-0000-000002420000}"/>
    <cellStyle name="Normal 2 2 2 2 5 20 2 3" xfId="16899" xr:uid="{00000000-0005-0000-0000-000003420000}"/>
    <cellStyle name="Normal 2 2 2 2 5 20 2 4" xfId="16900" xr:uid="{00000000-0005-0000-0000-000004420000}"/>
    <cellStyle name="Normal 2 2 2 2 5 20 2 5" xfId="16901" xr:uid="{00000000-0005-0000-0000-000005420000}"/>
    <cellStyle name="Normal 2 2 2 2 5 20 2 6" xfId="16902" xr:uid="{00000000-0005-0000-0000-000006420000}"/>
    <cellStyle name="Normal 2 2 2 2 5 20 2 7" xfId="16903" xr:uid="{00000000-0005-0000-0000-000007420000}"/>
    <cellStyle name="Normal 2 2 2 2 5 20 2 8" xfId="16904" xr:uid="{00000000-0005-0000-0000-000008420000}"/>
    <cellStyle name="Normal 2 2 2 2 5 20 2 9" xfId="16905" xr:uid="{00000000-0005-0000-0000-000009420000}"/>
    <cellStyle name="Normal 2 2 2 2 5 20 3" xfId="16906" xr:uid="{00000000-0005-0000-0000-00000A420000}"/>
    <cellStyle name="Normal 2 2 2 2 5 20 3 10" xfId="16907" xr:uid="{00000000-0005-0000-0000-00000B420000}"/>
    <cellStyle name="Normal 2 2 2 2 5 20 3 2" xfId="16908" xr:uid="{00000000-0005-0000-0000-00000C420000}"/>
    <cellStyle name="Normal 2 2 2 2 5 20 3 3" xfId="16909" xr:uid="{00000000-0005-0000-0000-00000D420000}"/>
    <cellStyle name="Normal 2 2 2 2 5 20 3 4" xfId="16910" xr:uid="{00000000-0005-0000-0000-00000E420000}"/>
    <cellStyle name="Normal 2 2 2 2 5 20 3 5" xfId="16911" xr:uid="{00000000-0005-0000-0000-00000F420000}"/>
    <cellStyle name="Normal 2 2 2 2 5 20 3 6" xfId="16912" xr:uid="{00000000-0005-0000-0000-000010420000}"/>
    <cellStyle name="Normal 2 2 2 2 5 20 3 7" xfId="16913" xr:uid="{00000000-0005-0000-0000-000011420000}"/>
    <cellStyle name="Normal 2 2 2 2 5 20 3 8" xfId="16914" xr:uid="{00000000-0005-0000-0000-000012420000}"/>
    <cellStyle name="Normal 2 2 2 2 5 20 3 9" xfId="16915" xr:uid="{00000000-0005-0000-0000-000013420000}"/>
    <cellStyle name="Normal 2 2 2 2 5 20 4" xfId="16916" xr:uid="{00000000-0005-0000-0000-000014420000}"/>
    <cellStyle name="Normal 2 2 2 2 5 20 4 10" xfId="16917" xr:uid="{00000000-0005-0000-0000-000015420000}"/>
    <cellStyle name="Normal 2 2 2 2 5 20 4 2" xfId="16918" xr:uid="{00000000-0005-0000-0000-000016420000}"/>
    <cellStyle name="Normal 2 2 2 2 5 20 4 3" xfId="16919" xr:uid="{00000000-0005-0000-0000-000017420000}"/>
    <cellStyle name="Normal 2 2 2 2 5 20 4 4" xfId="16920" xr:uid="{00000000-0005-0000-0000-000018420000}"/>
    <cellStyle name="Normal 2 2 2 2 5 20 4 5" xfId="16921" xr:uid="{00000000-0005-0000-0000-000019420000}"/>
    <cellStyle name="Normal 2 2 2 2 5 20 4 6" xfId="16922" xr:uid="{00000000-0005-0000-0000-00001A420000}"/>
    <cellStyle name="Normal 2 2 2 2 5 20 4 7" xfId="16923" xr:uid="{00000000-0005-0000-0000-00001B420000}"/>
    <cellStyle name="Normal 2 2 2 2 5 20 4 8" xfId="16924" xr:uid="{00000000-0005-0000-0000-00001C420000}"/>
    <cellStyle name="Normal 2 2 2 2 5 20 4 9" xfId="16925" xr:uid="{00000000-0005-0000-0000-00001D420000}"/>
    <cellStyle name="Normal 2 2 2 2 5 20 5" xfId="16926" xr:uid="{00000000-0005-0000-0000-00001E420000}"/>
    <cellStyle name="Normal 2 2 2 2 5 20 5 10" xfId="16927" xr:uid="{00000000-0005-0000-0000-00001F420000}"/>
    <cellStyle name="Normal 2 2 2 2 5 20 5 2" xfId="16928" xr:uid="{00000000-0005-0000-0000-000020420000}"/>
    <cellStyle name="Normal 2 2 2 2 5 20 5 3" xfId="16929" xr:uid="{00000000-0005-0000-0000-000021420000}"/>
    <cellStyle name="Normal 2 2 2 2 5 20 5 4" xfId="16930" xr:uid="{00000000-0005-0000-0000-000022420000}"/>
    <cellStyle name="Normal 2 2 2 2 5 20 5 5" xfId="16931" xr:uid="{00000000-0005-0000-0000-000023420000}"/>
    <cellStyle name="Normal 2 2 2 2 5 20 5 6" xfId="16932" xr:uid="{00000000-0005-0000-0000-000024420000}"/>
    <cellStyle name="Normal 2 2 2 2 5 20 5 7" xfId="16933" xr:uid="{00000000-0005-0000-0000-000025420000}"/>
    <cellStyle name="Normal 2 2 2 2 5 20 5 8" xfId="16934" xr:uid="{00000000-0005-0000-0000-000026420000}"/>
    <cellStyle name="Normal 2 2 2 2 5 20 5 9" xfId="16935" xr:uid="{00000000-0005-0000-0000-000027420000}"/>
    <cellStyle name="Normal 2 2 2 2 5 20 6" xfId="16936" xr:uid="{00000000-0005-0000-0000-000028420000}"/>
    <cellStyle name="Normal 2 2 2 2 5 20 7" xfId="16937" xr:uid="{00000000-0005-0000-0000-000029420000}"/>
    <cellStyle name="Normal 2 2 2 2 5 20 8" xfId="16938" xr:uid="{00000000-0005-0000-0000-00002A420000}"/>
    <cellStyle name="Normal 2 2 2 2 5 20 9" xfId="16939" xr:uid="{00000000-0005-0000-0000-00002B420000}"/>
    <cellStyle name="Normal 2 2 2 2 5 21" xfId="16940" xr:uid="{00000000-0005-0000-0000-00002C420000}"/>
    <cellStyle name="Normal 2 2 2 2 5 22" xfId="16941" xr:uid="{00000000-0005-0000-0000-00002D420000}"/>
    <cellStyle name="Normal 2 2 2 2 5 3" xfId="16942" xr:uid="{00000000-0005-0000-0000-00002E420000}"/>
    <cellStyle name="Normal 2 2 2 2 5 3 10" xfId="16943" xr:uid="{00000000-0005-0000-0000-00002F420000}"/>
    <cellStyle name="Normal 2 2 2 2 5 3 11" xfId="16944" xr:uid="{00000000-0005-0000-0000-000030420000}"/>
    <cellStyle name="Normal 2 2 2 2 5 3 12" xfId="16945" xr:uid="{00000000-0005-0000-0000-000031420000}"/>
    <cellStyle name="Normal 2 2 2 2 5 3 13" xfId="16946" xr:uid="{00000000-0005-0000-0000-000032420000}"/>
    <cellStyle name="Normal 2 2 2 2 5 3 14" xfId="16947" xr:uid="{00000000-0005-0000-0000-000033420000}"/>
    <cellStyle name="Normal 2 2 2 2 5 3 2" xfId="16948" xr:uid="{00000000-0005-0000-0000-000034420000}"/>
    <cellStyle name="Normal 2 2 2 2 5 3 2 10" xfId="16949" xr:uid="{00000000-0005-0000-0000-000035420000}"/>
    <cellStyle name="Normal 2 2 2 2 5 3 2 2" xfId="16950" xr:uid="{00000000-0005-0000-0000-000036420000}"/>
    <cellStyle name="Normal 2 2 2 2 5 3 2 3" xfId="16951" xr:uid="{00000000-0005-0000-0000-000037420000}"/>
    <cellStyle name="Normal 2 2 2 2 5 3 2 4" xfId="16952" xr:uid="{00000000-0005-0000-0000-000038420000}"/>
    <cellStyle name="Normal 2 2 2 2 5 3 2 5" xfId="16953" xr:uid="{00000000-0005-0000-0000-000039420000}"/>
    <cellStyle name="Normal 2 2 2 2 5 3 2 6" xfId="16954" xr:uid="{00000000-0005-0000-0000-00003A420000}"/>
    <cellStyle name="Normal 2 2 2 2 5 3 2 7" xfId="16955" xr:uid="{00000000-0005-0000-0000-00003B420000}"/>
    <cellStyle name="Normal 2 2 2 2 5 3 2 8" xfId="16956" xr:uid="{00000000-0005-0000-0000-00003C420000}"/>
    <cellStyle name="Normal 2 2 2 2 5 3 2 9" xfId="16957" xr:uid="{00000000-0005-0000-0000-00003D420000}"/>
    <cellStyle name="Normal 2 2 2 2 5 3 3" xfId="16958" xr:uid="{00000000-0005-0000-0000-00003E420000}"/>
    <cellStyle name="Normal 2 2 2 2 5 3 3 10" xfId="16959" xr:uid="{00000000-0005-0000-0000-00003F420000}"/>
    <cellStyle name="Normal 2 2 2 2 5 3 3 2" xfId="16960" xr:uid="{00000000-0005-0000-0000-000040420000}"/>
    <cellStyle name="Normal 2 2 2 2 5 3 3 3" xfId="16961" xr:uid="{00000000-0005-0000-0000-000041420000}"/>
    <cellStyle name="Normal 2 2 2 2 5 3 3 4" xfId="16962" xr:uid="{00000000-0005-0000-0000-000042420000}"/>
    <cellStyle name="Normal 2 2 2 2 5 3 3 5" xfId="16963" xr:uid="{00000000-0005-0000-0000-000043420000}"/>
    <cellStyle name="Normal 2 2 2 2 5 3 3 6" xfId="16964" xr:uid="{00000000-0005-0000-0000-000044420000}"/>
    <cellStyle name="Normal 2 2 2 2 5 3 3 7" xfId="16965" xr:uid="{00000000-0005-0000-0000-000045420000}"/>
    <cellStyle name="Normal 2 2 2 2 5 3 3 8" xfId="16966" xr:uid="{00000000-0005-0000-0000-000046420000}"/>
    <cellStyle name="Normal 2 2 2 2 5 3 3 9" xfId="16967" xr:uid="{00000000-0005-0000-0000-000047420000}"/>
    <cellStyle name="Normal 2 2 2 2 5 3 4" xfId="16968" xr:uid="{00000000-0005-0000-0000-000048420000}"/>
    <cellStyle name="Normal 2 2 2 2 5 3 4 10" xfId="16969" xr:uid="{00000000-0005-0000-0000-000049420000}"/>
    <cellStyle name="Normal 2 2 2 2 5 3 4 2" xfId="16970" xr:uid="{00000000-0005-0000-0000-00004A420000}"/>
    <cellStyle name="Normal 2 2 2 2 5 3 4 3" xfId="16971" xr:uid="{00000000-0005-0000-0000-00004B420000}"/>
    <cellStyle name="Normal 2 2 2 2 5 3 4 4" xfId="16972" xr:uid="{00000000-0005-0000-0000-00004C420000}"/>
    <cellStyle name="Normal 2 2 2 2 5 3 4 5" xfId="16973" xr:uid="{00000000-0005-0000-0000-00004D420000}"/>
    <cellStyle name="Normal 2 2 2 2 5 3 4 6" xfId="16974" xr:uid="{00000000-0005-0000-0000-00004E420000}"/>
    <cellStyle name="Normal 2 2 2 2 5 3 4 7" xfId="16975" xr:uid="{00000000-0005-0000-0000-00004F420000}"/>
    <cellStyle name="Normal 2 2 2 2 5 3 4 8" xfId="16976" xr:uid="{00000000-0005-0000-0000-000050420000}"/>
    <cellStyle name="Normal 2 2 2 2 5 3 4 9" xfId="16977" xr:uid="{00000000-0005-0000-0000-000051420000}"/>
    <cellStyle name="Normal 2 2 2 2 5 3 5" xfId="16978" xr:uid="{00000000-0005-0000-0000-000052420000}"/>
    <cellStyle name="Normal 2 2 2 2 5 3 5 10" xfId="16979" xr:uid="{00000000-0005-0000-0000-000053420000}"/>
    <cellStyle name="Normal 2 2 2 2 5 3 5 2" xfId="16980" xr:uid="{00000000-0005-0000-0000-000054420000}"/>
    <cellStyle name="Normal 2 2 2 2 5 3 5 3" xfId="16981" xr:uid="{00000000-0005-0000-0000-000055420000}"/>
    <cellStyle name="Normal 2 2 2 2 5 3 5 4" xfId="16982" xr:uid="{00000000-0005-0000-0000-000056420000}"/>
    <cellStyle name="Normal 2 2 2 2 5 3 5 5" xfId="16983" xr:uid="{00000000-0005-0000-0000-000057420000}"/>
    <cellStyle name="Normal 2 2 2 2 5 3 5 6" xfId="16984" xr:uid="{00000000-0005-0000-0000-000058420000}"/>
    <cellStyle name="Normal 2 2 2 2 5 3 5 7" xfId="16985" xr:uid="{00000000-0005-0000-0000-000059420000}"/>
    <cellStyle name="Normal 2 2 2 2 5 3 5 8" xfId="16986" xr:uid="{00000000-0005-0000-0000-00005A420000}"/>
    <cellStyle name="Normal 2 2 2 2 5 3 5 9" xfId="16987" xr:uid="{00000000-0005-0000-0000-00005B420000}"/>
    <cellStyle name="Normal 2 2 2 2 5 3 6" xfId="16988" xr:uid="{00000000-0005-0000-0000-00005C420000}"/>
    <cellStyle name="Normal 2 2 2 2 5 3 7" xfId="16989" xr:uid="{00000000-0005-0000-0000-00005D420000}"/>
    <cellStyle name="Normal 2 2 2 2 5 3 8" xfId="16990" xr:uid="{00000000-0005-0000-0000-00005E420000}"/>
    <cellStyle name="Normal 2 2 2 2 5 3 9" xfId="16991" xr:uid="{00000000-0005-0000-0000-00005F420000}"/>
    <cellStyle name="Normal 2 2 2 2 5 4" xfId="16992" xr:uid="{00000000-0005-0000-0000-000060420000}"/>
    <cellStyle name="Normal 2 2 2 2 5 4 10" xfId="16993" xr:uid="{00000000-0005-0000-0000-000061420000}"/>
    <cellStyle name="Normal 2 2 2 2 5 4 11" xfId="16994" xr:uid="{00000000-0005-0000-0000-000062420000}"/>
    <cellStyle name="Normal 2 2 2 2 5 4 12" xfId="16995" xr:uid="{00000000-0005-0000-0000-000063420000}"/>
    <cellStyle name="Normal 2 2 2 2 5 4 13" xfId="16996" xr:uid="{00000000-0005-0000-0000-000064420000}"/>
    <cellStyle name="Normal 2 2 2 2 5 4 14" xfId="16997" xr:uid="{00000000-0005-0000-0000-000065420000}"/>
    <cellStyle name="Normal 2 2 2 2 5 4 2" xfId="16998" xr:uid="{00000000-0005-0000-0000-000066420000}"/>
    <cellStyle name="Normal 2 2 2 2 5 4 2 10" xfId="16999" xr:uid="{00000000-0005-0000-0000-000067420000}"/>
    <cellStyle name="Normal 2 2 2 2 5 4 2 2" xfId="17000" xr:uid="{00000000-0005-0000-0000-000068420000}"/>
    <cellStyle name="Normal 2 2 2 2 5 4 2 3" xfId="17001" xr:uid="{00000000-0005-0000-0000-000069420000}"/>
    <cellStyle name="Normal 2 2 2 2 5 4 2 4" xfId="17002" xr:uid="{00000000-0005-0000-0000-00006A420000}"/>
    <cellStyle name="Normal 2 2 2 2 5 4 2 5" xfId="17003" xr:uid="{00000000-0005-0000-0000-00006B420000}"/>
    <cellStyle name="Normal 2 2 2 2 5 4 2 6" xfId="17004" xr:uid="{00000000-0005-0000-0000-00006C420000}"/>
    <cellStyle name="Normal 2 2 2 2 5 4 2 7" xfId="17005" xr:uid="{00000000-0005-0000-0000-00006D420000}"/>
    <cellStyle name="Normal 2 2 2 2 5 4 2 8" xfId="17006" xr:uid="{00000000-0005-0000-0000-00006E420000}"/>
    <cellStyle name="Normal 2 2 2 2 5 4 2 9" xfId="17007" xr:uid="{00000000-0005-0000-0000-00006F420000}"/>
    <cellStyle name="Normal 2 2 2 2 5 4 3" xfId="17008" xr:uid="{00000000-0005-0000-0000-000070420000}"/>
    <cellStyle name="Normal 2 2 2 2 5 4 3 10" xfId="17009" xr:uid="{00000000-0005-0000-0000-000071420000}"/>
    <cellStyle name="Normal 2 2 2 2 5 4 3 2" xfId="17010" xr:uid="{00000000-0005-0000-0000-000072420000}"/>
    <cellStyle name="Normal 2 2 2 2 5 4 3 3" xfId="17011" xr:uid="{00000000-0005-0000-0000-000073420000}"/>
    <cellStyle name="Normal 2 2 2 2 5 4 3 4" xfId="17012" xr:uid="{00000000-0005-0000-0000-000074420000}"/>
    <cellStyle name="Normal 2 2 2 2 5 4 3 5" xfId="17013" xr:uid="{00000000-0005-0000-0000-000075420000}"/>
    <cellStyle name="Normal 2 2 2 2 5 4 3 6" xfId="17014" xr:uid="{00000000-0005-0000-0000-000076420000}"/>
    <cellStyle name="Normal 2 2 2 2 5 4 3 7" xfId="17015" xr:uid="{00000000-0005-0000-0000-000077420000}"/>
    <cellStyle name="Normal 2 2 2 2 5 4 3 8" xfId="17016" xr:uid="{00000000-0005-0000-0000-000078420000}"/>
    <cellStyle name="Normal 2 2 2 2 5 4 3 9" xfId="17017" xr:uid="{00000000-0005-0000-0000-000079420000}"/>
    <cellStyle name="Normal 2 2 2 2 5 4 4" xfId="17018" xr:uid="{00000000-0005-0000-0000-00007A420000}"/>
    <cellStyle name="Normal 2 2 2 2 5 4 4 10" xfId="17019" xr:uid="{00000000-0005-0000-0000-00007B420000}"/>
    <cellStyle name="Normal 2 2 2 2 5 4 4 2" xfId="17020" xr:uid="{00000000-0005-0000-0000-00007C420000}"/>
    <cellStyle name="Normal 2 2 2 2 5 4 4 3" xfId="17021" xr:uid="{00000000-0005-0000-0000-00007D420000}"/>
    <cellStyle name="Normal 2 2 2 2 5 4 4 4" xfId="17022" xr:uid="{00000000-0005-0000-0000-00007E420000}"/>
    <cellStyle name="Normal 2 2 2 2 5 4 4 5" xfId="17023" xr:uid="{00000000-0005-0000-0000-00007F420000}"/>
    <cellStyle name="Normal 2 2 2 2 5 4 4 6" xfId="17024" xr:uid="{00000000-0005-0000-0000-000080420000}"/>
    <cellStyle name="Normal 2 2 2 2 5 4 4 7" xfId="17025" xr:uid="{00000000-0005-0000-0000-000081420000}"/>
    <cellStyle name="Normal 2 2 2 2 5 4 4 8" xfId="17026" xr:uid="{00000000-0005-0000-0000-000082420000}"/>
    <cellStyle name="Normal 2 2 2 2 5 4 4 9" xfId="17027" xr:uid="{00000000-0005-0000-0000-000083420000}"/>
    <cellStyle name="Normal 2 2 2 2 5 4 5" xfId="17028" xr:uid="{00000000-0005-0000-0000-000084420000}"/>
    <cellStyle name="Normal 2 2 2 2 5 4 5 10" xfId="17029" xr:uid="{00000000-0005-0000-0000-000085420000}"/>
    <cellStyle name="Normal 2 2 2 2 5 4 5 2" xfId="17030" xr:uid="{00000000-0005-0000-0000-000086420000}"/>
    <cellStyle name="Normal 2 2 2 2 5 4 5 3" xfId="17031" xr:uid="{00000000-0005-0000-0000-000087420000}"/>
    <cellStyle name="Normal 2 2 2 2 5 4 5 4" xfId="17032" xr:uid="{00000000-0005-0000-0000-000088420000}"/>
    <cellStyle name="Normal 2 2 2 2 5 4 5 5" xfId="17033" xr:uid="{00000000-0005-0000-0000-000089420000}"/>
    <cellStyle name="Normal 2 2 2 2 5 4 5 6" xfId="17034" xr:uid="{00000000-0005-0000-0000-00008A420000}"/>
    <cellStyle name="Normal 2 2 2 2 5 4 5 7" xfId="17035" xr:uid="{00000000-0005-0000-0000-00008B420000}"/>
    <cellStyle name="Normal 2 2 2 2 5 4 5 8" xfId="17036" xr:uid="{00000000-0005-0000-0000-00008C420000}"/>
    <cellStyle name="Normal 2 2 2 2 5 4 5 9" xfId="17037" xr:uid="{00000000-0005-0000-0000-00008D420000}"/>
    <cellStyle name="Normal 2 2 2 2 5 4 6" xfId="17038" xr:uid="{00000000-0005-0000-0000-00008E420000}"/>
    <cellStyle name="Normal 2 2 2 2 5 4 7" xfId="17039" xr:uid="{00000000-0005-0000-0000-00008F420000}"/>
    <cellStyle name="Normal 2 2 2 2 5 4 8" xfId="17040" xr:uid="{00000000-0005-0000-0000-000090420000}"/>
    <cellStyle name="Normal 2 2 2 2 5 4 9" xfId="17041" xr:uid="{00000000-0005-0000-0000-000091420000}"/>
    <cellStyle name="Normal 2 2 2 2 5 5" xfId="17042" xr:uid="{00000000-0005-0000-0000-000092420000}"/>
    <cellStyle name="Normal 2 2 2 2 5 5 10" xfId="17043" xr:uid="{00000000-0005-0000-0000-000093420000}"/>
    <cellStyle name="Normal 2 2 2 2 5 5 11" xfId="17044" xr:uid="{00000000-0005-0000-0000-000094420000}"/>
    <cellStyle name="Normal 2 2 2 2 5 5 12" xfId="17045" xr:uid="{00000000-0005-0000-0000-000095420000}"/>
    <cellStyle name="Normal 2 2 2 2 5 5 13" xfId="17046" xr:uid="{00000000-0005-0000-0000-000096420000}"/>
    <cellStyle name="Normal 2 2 2 2 5 5 14" xfId="17047" xr:uid="{00000000-0005-0000-0000-000097420000}"/>
    <cellStyle name="Normal 2 2 2 2 5 5 2" xfId="17048" xr:uid="{00000000-0005-0000-0000-000098420000}"/>
    <cellStyle name="Normal 2 2 2 2 5 5 2 10" xfId="17049" xr:uid="{00000000-0005-0000-0000-000099420000}"/>
    <cellStyle name="Normal 2 2 2 2 5 5 2 2" xfId="17050" xr:uid="{00000000-0005-0000-0000-00009A420000}"/>
    <cellStyle name="Normal 2 2 2 2 5 5 2 3" xfId="17051" xr:uid="{00000000-0005-0000-0000-00009B420000}"/>
    <cellStyle name="Normal 2 2 2 2 5 5 2 4" xfId="17052" xr:uid="{00000000-0005-0000-0000-00009C420000}"/>
    <cellStyle name="Normal 2 2 2 2 5 5 2 5" xfId="17053" xr:uid="{00000000-0005-0000-0000-00009D420000}"/>
    <cellStyle name="Normal 2 2 2 2 5 5 2 6" xfId="17054" xr:uid="{00000000-0005-0000-0000-00009E420000}"/>
    <cellStyle name="Normal 2 2 2 2 5 5 2 7" xfId="17055" xr:uid="{00000000-0005-0000-0000-00009F420000}"/>
    <cellStyle name="Normal 2 2 2 2 5 5 2 8" xfId="17056" xr:uid="{00000000-0005-0000-0000-0000A0420000}"/>
    <cellStyle name="Normal 2 2 2 2 5 5 2 9" xfId="17057" xr:uid="{00000000-0005-0000-0000-0000A1420000}"/>
    <cellStyle name="Normal 2 2 2 2 5 5 3" xfId="17058" xr:uid="{00000000-0005-0000-0000-0000A2420000}"/>
    <cellStyle name="Normal 2 2 2 2 5 5 3 10" xfId="17059" xr:uid="{00000000-0005-0000-0000-0000A3420000}"/>
    <cellStyle name="Normal 2 2 2 2 5 5 3 2" xfId="17060" xr:uid="{00000000-0005-0000-0000-0000A4420000}"/>
    <cellStyle name="Normal 2 2 2 2 5 5 3 3" xfId="17061" xr:uid="{00000000-0005-0000-0000-0000A5420000}"/>
    <cellStyle name="Normal 2 2 2 2 5 5 3 4" xfId="17062" xr:uid="{00000000-0005-0000-0000-0000A6420000}"/>
    <cellStyle name="Normal 2 2 2 2 5 5 3 5" xfId="17063" xr:uid="{00000000-0005-0000-0000-0000A7420000}"/>
    <cellStyle name="Normal 2 2 2 2 5 5 3 6" xfId="17064" xr:uid="{00000000-0005-0000-0000-0000A8420000}"/>
    <cellStyle name="Normal 2 2 2 2 5 5 3 7" xfId="17065" xr:uid="{00000000-0005-0000-0000-0000A9420000}"/>
    <cellStyle name="Normal 2 2 2 2 5 5 3 8" xfId="17066" xr:uid="{00000000-0005-0000-0000-0000AA420000}"/>
    <cellStyle name="Normal 2 2 2 2 5 5 3 9" xfId="17067" xr:uid="{00000000-0005-0000-0000-0000AB420000}"/>
    <cellStyle name="Normal 2 2 2 2 5 5 4" xfId="17068" xr:uid="{00000000-0005-0000-0000-0000AC420000}"/>
    <cellStyle name="Normal 2 2 2 2 5 5 4 10" xfId="17069" xr:uid="{00000000-0005-0000-0000-0000AD420000}"/>
    <cellStyle name="Normal 2 2 2 2 5 5 4 2" xfId="17070" xr:uid="{00000000-0005-0000-0000-0000AE420000}"/>
    <cellStyle name="Normal 2 2 2 2 5 5 4 3" xfId="17071" xr:uid="{00000000-0005-0000-0000-0000AF420000}"/>
    <cellStyle name="Normal 2 2 2 2 5 5 4 4" xfId="17072" xr:uid="{00000000-0005-0000-0000-0000B0420000}"/>
    <cellStyle name="Normal 2 2 2 2 5 5 4 5" xfId="17073" xr:uid="{00000000-0005-0000-0000-0000B1420000}"/>
    <cellStyle name="Normal 2 2 2 2 5 5 4 6" xfId="17074" xr:uid="{00000000-0005-0000-0000-0000B2420000}"/>
    <cellStyle name="Normal 2 2 2 2 5 5 4 7" xfId="17075" xr:uid="{00000000-0005-0000-0000-0000B3420000}"/>
    <cellStyle name="Normal 2 2 2 2 5 5 4 8" xfId="17076" xr:uid="{00000000-0005-0000-0000-0000B4420000}"/>
    <cellStyle name="Normal 2 2 2 2 5 5 4 9" xfId="17077" xr:uid="{00000000-0005-0000-0000-0000B5420000}"/>
    <cellStyle name="Normal 2 2 2 2 5 5 5" xfId="17078" xr:uid="{00000000-0005-0000-0000-0000B6420000}"/>
    <cellStyle name="Normal 2 2 2 2 5 5 5 10" xfId="17079" xr:uid="{00000000-0005-0000-0000-0000B7420000}"/>
    <cellStyle name="Normal 2 2 2 2 5 5 5 2" xfId="17080" xr:uid="{00000000-0005-0000-0000-0000B8420000}"/>
    <cellStyle name="Normal 2 2 2 2 5 5 5 3" xfId="17081" xr:uid="{00000000-0005-0000-0000-0000B9420000}"/>
    <cellStyle name="Normal 2 2 2 2 5 5 5 4" xfId="17082" xr:uid="{00000000-0005-0000-0000-0000BA420000}"/>
    <cellStyle name="Normal 2 2 2 2 5 5 5 5" xfId="17083" xr:uid="{00000000-0005-0000-0000-0000BB420000}"/>
    <cellStyle name="Normal 2 2 2 2 5 5 5 6" xfId="17084" xr:uid="{00000000-0005-0000-0000-0000BC420000}"/>
    <cellStyle name="Normal 2 2 2 2 5 5 5 7" xfId="17085" xr:uid="{00000000-0005-0000-0000-0000BD420000}"/>
    <cellStyle name="Normal 2 2 2 2 5 5 5 8" xfId="17086" xr:uid="{00000000-0005-0000-0000-0000BE420000}"/>
    <cellStyle name="Normal 2 2 2 2 5 5 5 9" xfId="17087" xr:uid="{00000000-0005-0000-0000-0000BF420000}"/>
    <cellStyle name="Normal 2 2 2 2 5 5 6" xfId="17088" xr:uid="{00000000-0005-0000-0000-0000C0420000}"/>
    <cellStyle name="Normal 2 2 2 2 5 5 7" xfId="17089" xr:uid="{00000000-0005-0000-0000-0000C1420000}"/>
    <cellStyle name="Normal 2 2 2 2 5 5 8" xfId="17090" xr:uid="{00000000-0005-0000-0000-0000C2420000}"/>
    <cellStyle name="Normal 2 2 2 2 5 5 9" xfId="17091" xr:uid="{00000000-0005-0000-0000-0000C3420000}"/>
    <cellStyle name="Normal 2 2 2 2 5 6" xfId="17092" xr:uid="{00000000-0005-0000-0000-0000C4420000}"/>
    <cellStyle name="Normal 2 2 2 2 5 6 10" xfId="17093" xr:uid="{00000000-0005-0000-0000-0000C5420000}"/>
    <cellStyle name="Normal 2 2 2 2 5 6 11" xfId="17094" xr:uid="{00000000-0005-0000-0000-0000C6420000}"/>
    <cellStyle name="Normal 2 2 2 2 5 6 12" xfId="17095" xr:uid="{00000000-0005-0000-0000-0000C7420000}"/>
    <cellStyle name="Normal 2 2 2 2 5 6 13" xfId="17096" xr:uid="{00000000-0005-0000-0000-0000C8420000}"/>
    <cellStyle name="Normal 2 2 2 2 5 6 14" xfId="17097" xr:uid="{00000000-0005-0000-0000-0000C9420000}"/>
    <cellStyle name="Normal 2 2 2 2 5 6 2" xfId="17098" xr:uid="{00000000-0005-0000-0000-0000CA420000}"/>
    <cellStyle name="Normal 2 2 2 2 5 6 2 10" xfId="17099" xr:uid="{00000000-0005-0000-0000-0000CB420000}"/>
    <cellStyle name="Normal 2 2 2 2 5 6 2 2" xfId="17100" xr:uid="{00000000-0005-0000-0000-0000CC420000}"/>
    <cellStyle name="Normal 2 2 2 2 5 6 2 3" xfId="17101" xr:uid="{00000000-0005-0000-0000-0000CD420000}"/>
    <cellStyle name="Normal 2 2 2 2 5 6 2 4" xfId="17102" xr:uid="{00000000-0005-0000-0000-0000CE420000}"/>
    <cellStyle name="Normal 2 2 2 2 5 6 2 5" xfId="17103" xr:uid="{00000000-0005-0000-0000-0000CF420000}"/>
    <cellStyle name="Normal 2 2 2 2 5 6 2 6" xfId="17104" xr:uid="{00000000-0005-0000-0000-0000D0420000}"/>
    <cellStyle name="Normal 2 2 2 2 5 6 2 7" xfId="17105" xr:uid="{00000000-0005-0000-0000-0000D1420000}"/>
    <cellStyle name="Normal 2 2 2 2 5 6 2 8" xfId="17106" xr:uid="{00000000-0005-0000-0000-0000D2420000}"/>
    <cellStyle name="Normal 2 2 2 2 5 6 2 9" xfId="17107" xr:uid="{00000000-0005-0000-0000-0000D3420000}"/>
    <cellStyle name="Normal 2 2 2 2 5 6 3" xfId="17108" xr:uid="{00000000-0005-0000-0000-0000D4420000}"/>
    <cellStyle name="Normal 2 2 2 2 5 6 3 10" xfId="17109" xr:uid="{00000000-0005-0000-0000-0000D5420000}"/>
    <cellStyle name="Normal 2 2 2 2 5 6 3 2" xfId="17110" xr:uid="{00000000-0005-0000-0000-0000D6420000}"/>
    <cellStyle name="Normal 2 2 2 2 5 6 3 3" xfId="17111" xr:uid="{00000000-0005-0000-0000-0000D7420000}"/>
    <cellStyle name="Normal 2 2 2 2 5 6 3 4" xfId="17112" xr:uid="{00000000-0005-0000-0000-0000D8420000}"/>
    <cellStyle name="Normal 2 2 2 2 5 6 3 5" xfId="17113" xr:uid="{00000000-0005-0000-0000-0000D9420000}"/>
    <cellStyle name="Normal 2 2 2 2 5 6 3 6" xfId="17114" xr:uid="{00000000-0005-0000-0000-0000DA420000}"/>
    <cellStyle name="Normal 2 2 2 2 5 6 3 7" xfId="17115" xr:uid="{00000000-0005-0000-0000-0000DB420000}"/>
    <cellStyle name="Normal 2 2 2 2 5 6 3 8" xfId="17116" xr:uid="{00000000-0005-0000-0000-0000DC420000}"/>
    <cellStyle name="Normal 2 2 2 2 5 6 3 9" xfId="17117" xr:uid="{00000000-0005-0000-0000-0000DD420000}"/>
    <cellStyle name="Normal 2 2 2 2 5 6 4" xfId="17118" xr:uid="{00000000-0005-0000-0000-0000DE420000}"/>
    <cellStyle name="Normal 2 2 2 2 5 6 4 10" xfId="17119" xr:uid="{00000000-0005-0000-0000-0000DF420000}"/>
    <cellStyle name="Normal 2 2 2 2 5 6 4 2" xfId="17120" xr:uid="{00000000-0005-0000-0000-0000E0420000}"/>
    <cellStyle name="Normal 2 2 2 2 5 6 4 3" xfId="17121" xr:uid="{00000000-0005-0000-0000-0000E1420000}"/>
    <cellStyle name="Normal 2 2 2 2 5 6 4 4" xfId="17122" xr:uid="{00000000-0005-0000-0000-0000E2420000}"/>
    <cellStyle name="Normal 2 2 2 2 5 6 4 5" xfId="17123" xr:uid="{00000000-0005-0000-0000-0000E3420000}"/>
    <cellStyle name="Normal 2 2 2 2 5 6 4 6" xfId="17124" xr:uid="{00000000-0005-0000-0000-0000E4420000}"/>
    <cellStyle name="Normal 2 2 2 2 5 6 4 7" xfId="17125" xr:uid="{00000000-0005-0000-0000-0000E5420000}"/>
    <cellStyle name="Normal 2 2 2 2 5 6 4 8" xfId="17126" xr:uid="{00000000-0005-0000-0000-0000E6420000}"/>
    <cellStyle name="Normal 2 2 2 2 5 6 4 9" xfId="17127" xr:uid="{00000000-0005-0000-0000-0000E7420000}"/>
    <cellStyle name="Normal 2 2 2 2 5 6 5" xfId="17128" xr:uid="{00000000-0005-0000-0000-0000E8420000}"/>
    <cellStyle name="Normal 2 2 2 2 5 6 5 10" xfId="17129" xr:uid="{00000000-0005-0000-0000-0000E9420000}"/>
    <cellStyle name="Normal 2 2 2 2 5 6 5 2" xfId="17130" xr:uid="{00000000-0005-0000-0000-0000EA420000}"/>
    <cellStyle name="Normal 2 2 2 2 5 6 5 3" xfId="17131" xr:uid="{00000000-0005-0000-0000-0000EB420000}"/>
    <cellStyle name="Normal 2 2 2 2 5 6 5 4" xfId="17132" xr:uid="{00000000-0005-0000-0000-0000EC420000}"/>
    <cellStyle name="Normal 2 2 2 2 5 6 5 5" xfId="17133" xr:uid="{00000000-0005-0000-0000-0000ED420000}"/>
    <cellStyle name="Normal 2 2 2 2 5 6 5 6" xfId="17134" xr:uid="{00000000-0005-0000-0000-0000EE420000}"/>
    <cellStyle name="Normal 2 2 2 2 5 6 5 7" xfId="17135" xr:uid="{00000000-0005-0000-0000-0000EF420000}"/>
    <cellStyle name="Normal 2 2 2 2 5 6 5 8" xfId="17136" xr:uid="{00000000-0005-0000-0000-0000F0420000}"/>
    <cellStyle name="Normal 2 2 2 2 5 6 5 9" xfId="17137" xr:uid="{00000000-0005-0000-0000-0000F1420000}"/>
    <cellStyle name="Normal 2 2 2 2 5 6 6" xfId="17138" xr:uid="{00000000-0005-0000-0000-0000F2420000}"/>
    <cellStyle name="Normal 2 2 2 2 5 6 7" xfId="17139" xr:uid="{00000000-0005-0000-0000-0000F3420000}"/>
    <cellStyle name="Normal 2 2 2 2 5 6 8" xfId="17140" xr:uid="{00000000-0005-0000-0000-0000F4420000}"/>
    <cellStyle name="Normal 2 2 2 2 5 6 9" xfId="17141" xr:uid="{00000000-0005-0000-0000-0000F5420000}"/>
    <cellStyle name="Normal 2 2 2 2 5 7" xfId="17142" xr:uid="{00000000-0005-0000-0000-0000F6420000}"/>
    <cellStyle name="Normal 2 2 2 2 5 7 10" xfId="17143" xr:uid="{00000000-0005-0000-0000-0000F7420000}"/>
    <cellStyle name="Normal 2 2 2 2 5 7 11" xfId="17144" xr:uid="{00000000-0005-0000-0000-0000F8420000}"/>
    <cellStyle name="Normal 2 2 2 2 5 7 12" xfId="17145" xr:uid="{00000000-0005-0000-0000-0000F9420000}"/>
    <cellStyle name="Normal 2 2 2 2 5 7 13" xfId="17146" xr:uid="{00000000-0005-0000-0000-0000FA420000}"/>
    <cellStyle name="Normal 2 2 2 2 5 7 14" xfId="17147" xr:uid="{00000000-0005-0000-0000-0000FB420000}"/>
    <cellStyle name="Normal 2 2 2 2 5 7 2" xfId="17148" xr:uid="{00000000-0005-0000-0000-0000FC420000}"/>
    <cellStyle name="Normal 2 2 2 2 5 7 2 10" xfId="17149" xr:uid="{00000000-0005-0000-0000-0000FD420000}"/>
    <cellStyle name="Normal 2 2 2 2 5 7 2 2" xfId="17150" xr:uid="{00000000-0005-0000-0000-0000FE420000}"/>
    <cellStyle name="Normal 2 2 2 2 5 7 2 3" xfId="17151" xr:uid="{00000000-0005-0000-0000-0000FF420000}"/>
    <cellStyle name="Normal 2 2 2 2 5 7 2 4" xfId="17152" xr:uid="{00000000-0005-0000-0000-000000430000}"/>
    <cellStyle name="Normal 2 2 2 2 5 7 2 5" xfId="17153" xr:uid="{00000000-0005-0000-0000-000001430000}"/>
    <cellStyle name="Normal 2 2 2 2 5 7 2 6" xfId="17154" xr:uid="{00000000-0005-0000-0000-000002430000}"/>
    <cellStyle name="Normal 2 2 2 2 5 7 2 7" xfId="17155" xr:uid="{00000000-0005-0000-0000-000003430000}"/>
    <cellStyle name="Normal 2 2 2 2 5 7 2 8" xfId="17156" xr:uid="{00000000-0005-0000-0000-000004430000}"/>
    <cellStyle name="Normal 2 2 2 2 5 7 2 9" xfId="17157" xr:uid="{00000000-0005-0000-0000-000005430000}"/>
    <cellStyle name="Normal 2 2 2 2 5 7 3" xfId="17158" xr:uid="{00000000-0005-0000-0000-000006430000}"/>
    <cellStyle name="Normal 2 2 2 2 5 7 3 10" xfId="17159" xr:uid="{00000000-0005-0000-0000-000007430000}"/>
    <cellStyle name="Normal 2 2 2 2 5 7 3 2" xfId="17160" xr:uid="{00000000-0005-0000-0000-000008430000}"/>
    <cellStyle name="Normal 2 2 2 2 5 7 3 3" xfId="17161" xr:uid="{00000000-0005-0000-0000-000009430000}"/>
    <cellStyle name="Normal 2 2 2 2 5 7 3 4" xfId="17162" xr:uid="{00000000-0005-0000-0000-00000A430000}"/>
    <cellStyle name="Normal 2 2 2 2 5 7 3 5" xfId="17163" xr:uid="{00000000-0005-0000-0000-00000B430000}"/>
    <cellStyle name="Normal 2 2 2 2 5 7 3 6" xfId="17164" xr:uid="{00000000-0005-0000-0000-00000C430000}"/>
    <cellStyle name="Normal 2 2 2 2 5 7 3 7" xfId="17165" xr:uid="{00000000-0005-0000-0000-00000D430000}"/>
    <cellStyle name="Normal 2 2 2 2 5 7 3 8" xfId="17166" xr:uid="{00000000-0005-0000-0000-00000E430000}"/>
    <cellStyle name="Normal 2 2 2 2 5 7 3 9" xfId="17167" xr:uid="{00000000-0005-0000-0000-00000F430000}"/>
    <cellStyle name="Normal 2 2 2 2 5 7 4" xfId="17168" xr:uid="{00000000-0005-0000-0000-000010430000}"/>
    <cellStyle name="Normal 2 2 2 2 5 7 4 10" xfId="17169" xr:uid="{00000000-0005-0000-0000-000011430000}"/>
    <cellStyle name="Normal 2 2 2 2 5 7 4 2" xfId="17170" xr:uid="{00000000-0005-0000-0000-000012430000}"/>
    <cellStyle name="Normal 2 2 2 2 5 7 4 3" xfId="17171" xr:uid="{00000000-0005-0000-0000-000013430000}"/>
    <cellStyle name="Normal 2 2 2 2 5 7 4 4" xfId="17172" xr:uid="{00000000-0005-0000-0000-000014430000}"/>
    <cellStyle name="Normal 2 2 2 2 5 7 4 5" xfId="17173" xr:uid="{00000000-0005-0000-0000-000015430000}"/>
    <cellStyle name="Normal 2 2 2 2 5 7 4 6" xfId="17174" xr:uid="{00000000-0005-0000-0000-000016430000}"/>
    <cellStyle name="Normal 2 2 2 2 5 7 4 7" xfId="17175" xr:uid="{00000000-0005-0000-0000-000017430000}"/>
    <cellStyle name="Normal 2 2 2 2 5 7 4 8" xfId="17176" xr:uid="{00000000-0005-0000-0000-000018430000}"/>
    <cellStyle name="Normal 2 2 2 2 5 7 4 9" xfId="17177" xr:uid="{00000000-0005-0000-0000-000019430000}"/>
    <cellStyle name="Normal 2 2 2 2 5 7 5" xfId="17178" xr:uid="{00000000-0005-0000-0000-00001A430000}"/>
    <cellStyle name="Normal 2 2 2 2 5 7 5 10" xfId="17179" xr:uid="{00000000-0005-0000-0000-00001B430000}"/>
    <cellStyle name="Normal 2 2 2 2 5 7 5 2" xfId="17180" xr:uid="{00000000-0005-0000-0000-00001C430000}"/>
    <cellStyle name="Normal 2 2 2 2 5 7 5 3" xfId="17181" xr:uid="{00000000-0005-0000-0000-00001D430000}"/>
    <cellStyle name="Normal 2 2 2 2 5 7 5 4" xfId="17182" xr:uid="{00000000-0005-0000-0000-00001E430000}"/>
    <cellStyle name="Normal 2 2 2 2 5 7 5 5" xfId="17183" xr:uid="{00000000-0005-0000-0000-00001F430000}"/>
    <cellStyle name="Normal 2 2 2 2 5 7 5 6" xfId="17184" xr:uid="{00000000-0005-0000-0000-000020430000}"/>
    <cellStyle name="Normal 2 2 2 2 5 7 5 7" xfId="17185" xr:uid="{00000000-0005-0000-0000-000021430000}"/>
    <cellStyle name="Normal 2 2 2 2 5 7 5 8" xfId="17186" xr:uid="{00000000-0005-0000-0000-000022430000}"/>
    <cellStyle name="Normal 2 2 2 2 5 7 5 9" xfId="17187" xr:uid="{00000000-0005-0000-0000-000023430000}"/>
    <cellStyle name="Normal 2 2 2 2 5 7 6" xfId="17188" xr:uid="{00000000-0005-0000-0000-000024430000}"/>
    <cellStyle name="Normal 2 2 2 2 5 7 7" xfId="17189" xr:uid="{00000000-0005-0000-0000-000025430000}"/>
    <cellStyle name="Normal 2 2 2 2 5 7 8" xfId="17190" xr:uid="{00000000-0005-0000-0000-000026430000}"/>
    <cellStyle name="Normal 2 2 2 2 5 7 9" xfId="17191" xr:uid="{00000000-0005-0000-0000-000027430000}"/>
    <cellStyle name="Normal 2 2 2 2 5 8" xfId="17192" xr:uid="{00000000-0005-0000-0000-000028430000}"/>
    <cellStyle name="Normal 2 2 2 2 5 8 10" xfId="17193" xr:uid="{00000000-0005-0000-0000-000029430000}"/>
    <cellStyle name="Normal 2 2 2 2 5 8 11" xfId="17194" xr:uid="{00000000-0005-0000-0000-00002A430000}"/>
    <cellStyle name="Normal 2 2 2 2 5 8 12" xfId="17195" xr:uid="{00000000-0005-0000-0000-00002B430000}"/>
    <cellStyle name="Normal 2 2 2 2 5 8 13" xfId="17196" xr:uid="{00000000-0005-0000-0000-00002C430000}"/>
    <cellStyle name="Normal 2 2 2 2 5 8 14" xfId="17197" xr:uid="{00000000-0005-0000-0000-00002D430000}"/>
    <cellStyle name="Normal 2 2 2 2 5 8 2" xfId="17198" xr:uid="{00000000-0005-0000-0000-00002E430000}"/>
    <cellStyle name="Normal 2 2 2 2 5 8 2 10" xfId="17199" xr:uid="{00000000-0005-0000-0000-00002F430000}"/>
    <cellStyle name="Normal 2 2 2 2 5 8 2 2" xfId="17200" xr:uid="{00000000-0005-0000-0000-000030430000}"/>
    <cellStyle name="Normal 2 2 2 2 5 8 2 3" xfId="17201" xr:uid="{00000000-0005-0000-0000-000031430000}"/>
    <cellStyle name="Normal 2 2 2 2 5 8 2 4" xfId="17202" xr:uid="{00000000-0005-0000-0000-000032430000}"/>
    <cellStyle name="Normal 2 2 2 2 5 8 2 5" xfId="17203" xr:uid="{00000000-0005-0000-0000-000033430000}"/>
    <cellStyle name="Normal 2 2 2 2 5 8 2 6" xfId="17204" xr:uid="{00000000-0005-0000-0000-000034430000}"/>
    <cellStyle name="Normal 2 2 2 2 5 8 2 7" xfId="17205" xr:uid="{00000000-0005-0000-0000-000035430000}"/>
    <cellStyle name="Normal 2 2 2 2 5 8 2 8" xfId="17206" xr:uid="{00000000-0005-0000-0000-000036430000}"/>
    <cellStyle name="Normal 2 2 2 2 5 8 2 9" xfId="17207" xr:uid="{00000000-0005-0000-0000-000037430000}"/>
    <cellStyle name="Normal 2 2 2 2 5 8 3" xfId="17208" xr:uid="{00000000-0005-0000-0000-000038430000}"/>
    <cellStyle name="Normal 2 2 2 2 5 8 3 10" xfId="17209" xr:uid="{00000000-0005-0000-0000-000039430000}"/>
    <cellStyle name="Normal 2 2 2 2 5 8 3 2" xfId="17210" xr:uid="{00000000-0005-0000-0000-00003A430000}"/>
    <cellStyle name="Normal 2 2 2 2 5 8 3 3" xfId="17211" xr:uid="{00000000-0005-0000-0000-00003B430000}"/>
    <cellStyle name="Normal 2 2 2 2 5 8 3 4" xfId="17212" xr:uid="{00000000-0005-0000-0000-00003C430000}"/>
    <cellStyle name="Normal 2 2 2 2 5 8 3 5" xfId="17213" xr:uid="{00000000-0005-0000-0000-00003D430000}"/>
    <cellStyle name="Normal 2 2 2 2 5 8 3 6" xfId="17214" xr:uid="{00000000-0005-0000-0000-00003E430000}"/>
    <cellStyle name="Normal 2 2 2 2 5 8 3 7" xfId="17215" xr:uid="{00000000-0005-0000-0000-00003F430000}"/>
    <cellStyle name="Normal 2 2 2 2 5 8 3 8" xfId="17216" xr:uid="{00000000-0005-0000-0000-000040430000}"/>
    <cellStyle name="Normal 2 2 2 2 5 8 3 9" xfId="17217" xr:uid="{00000000-0005-0000-0000-000041430000}"/>
    <cellStyle name="Normal 2 2 2 2 5 8 4" xfId="17218" xr:uid="{00000000-0005-0000-0000-000042430000}"/>
    <cellStyle name="Normal 2 2 2 2 5 8 4 10" xfId="17219" xr:uid="{00000000-0005-0000-0000-000043430000}"/>
    <cellStyle name="Normal 2 2 2 2 5 8 4 2" xfId="17220" xr:uid="{00000000-0005-0000-0000-000044430000}"/>
    <cellStyle name="Normal 2 2 2 2 5 8 4 3" xfId="17221" xr:uid="{00000000-0005-0000-0000-000045430000}"/>
    <cellStyle name="Normal 2 2 2 2 5 8 4 4" xfId="17222" xr:uid="{00000000-0005-0000-0000-000046430000}"/>
    <cellStyle name="Normal 2 2 2 2 5 8 4 5" xfId="17223" xr:uid="{00000000-0005-0000-0000-000047430000}"/>
    <cellStyle name="Normal 2 2 2 2 5 8 4 6" xfId="17224" xr:uid="{00000000-0005-0000-0000-000048430000}"/>
    <cellStyle name="Normal 2 2 2 2 5 8 4 7" xfId="17225" xr:uid="{00000000-0005-0000-0000-000049430000}"/>
    <cellStyle name="Normal 2 2 2 2 5 8 4 8" xfId="17226" xr:uid="{00000000-0005-0000-0000-00004A430000}"/>
    <cellStyle name="Normal 2 2 2 2 5 8 4 9" xfId="17227" xr:uid="{00000000-0005-0000-0000-00004B430000}"/>
    <cellStyle name="Normal 2 2 2 2 5 8 5" xfId="17228" xr:uid="{00000000-0005-0000-0000-00004C430000}"/>
    <cellStyle name="Normal 2 2 2 2 5 8 5 10" xfId="17229" xr:uid="{00000000-0005-0000-0000-00004D430000}"/>
    <cellStyle name="Normal 2 2 2 2 5 8 5 2" xfId="17230" xr:uid="{00000000-0005-0000-0000-00004E430000}"/>
    <cellStyle name="Normal 2 2 2 2 5 8 5 3" xfId="17231" xr:uid="{00000000-0005-0000-0000-00004F430000}"/>
    <cellStyle name="Normal 2 2 2 2 5 8 5 4" xfId="17232" xr:uid="{00000000-0005-0000-0000-000050430000}"/>
    <cellStyle name="Normal 2 2 2 2 5 8 5 5" xfId="17233" xr:uid="{00000000-0005-0000-0000-000051430000}"/>
    <cellStyle name="Normal 2 2 2 2 5 8 5 6" xfId="17234" xr:uid="{00000000-0005-0000-0000-000052430000}"/>
    <cellStyle name="Normal 2 2 2 2 5 8 5 7" xfId="17235" xr:uid="{00000000-0005-0000-0000-000053430000}"/>
    <cellStyle name="Normal 2 2 2 2 5 8 5 8" xfId="17236" xr:uid="{00000000-0005-0000-0000-000054430000}"/>
    <cellStyle name="Normal 2 2 2 2 5 8 5 9" xfId="17237" xr:uid="{00000000-0005-0000-0000-000055430000}"/>
    <cellStyle name="Normal 2 2 2 2 5 8 6" xfId="17238" xr:uid="{00000000-0005-0000-0000-000056430000}"/>
    <cellStyle name="Normal 2 2 2 2 5 8 7" xfId="17239" xr:uid="{00000000-0005-0000-0000-000057430000}"/>
    <cellStyle name="Normal 2 2 2 2 5 8 8" xfId="17240" xr:uid="{00000000-0005-0000-0000-000058430000}"/>
    <cellStyle name="Normal 2 2 2 2 5 8 9" xfId="17241" xr:uid="{00000000-0005-0000-0000-000059430000}"/>
    <cellStyle name="Normal 2 2 2 2 5 9" xfId="17242" xr:uid="{00000000-0005-0000-0000-00005A430000}"/>
    <cellStyle name="Normal 2 2 2 2 5 9 10" xfId="17243" xr:uid="{00000000-0005-0000-0000-00005B430000}"/>
    <cellStyle name="Normal 2 2 2 2 5 9 11" xfId="17244" xr:uid="{00000000-0005-0000-0000-00005C430000}"/>
    <cellStyle name="Normal 2 2 2 2 5 9 12" xfId="17245" xr:uid="{00000000-0005-0000-0000-00005D430000}"/>
    <cellStyle name="Normal 2 2 2 2 5 9 13" xfId="17246" xr:uid="{00000000-0005-0000-0000-00005E430000}"/>
    <cellStyle name="Normal 2 2 2 2 5 9 14" xfId="17247" xr:uid="{00000000-0005-0000-0000-00005F430000}"/>
    <cellStyle name="Normal 2 2 2 2 5 9 2" xfId="17248" xr:uid="{00000000-0005-0000-0000-000060430000}"/>
    <cellStyle name="Normal 2 2 2 2 5 9 2 10" xfId="17249" xr:uid="{00000000-0005-0000-0000-000061430000}"/>
    <cellStyle name="Normal 2 2 2 2 5 9 2 2" xfId="17250" xr:uid="{00000000-0005-0000-0000-000062430000}"/>
    <cellStyle name="Normal 2 2 2 2 5 9 2 3" xfId="17251" xr:uid="{00000000-0005-0000-0000-000063430000}"/>
    <cellStyle name="Normal 2 2 2 2 5 9 2 4" xfId="17252" xr:uid="{00000000-0005-0000-0000-000064430000}"/>
    <cellStyle name="Normal 2 2 2 2 5 9 2 5" xfId="17253" xr:uid="{00000000-0005-0000-0000-000065430000}"/>
    <cellStyle name="Normal 2 2 2 2 5 9 2 6" xfId="17254" xr:uid="{00000000-0005-0000-0000-000066430000}"/>
    <cellStyle name="Normal 2 2 2 2 5 9 2 7" xfId="17255" xr:uid="{00000000-0005-0000-0000-000067430000}"/>
    <cellStyle name="Normal 2 2 2 2 5 9 2 8" xfId="17256" xr:uid="{00000000-0005-0000-0000-000068430000}"/>
    <cellStyle name="Normal 2 2 2 2 5 9 2 9" xfId="17257" xr:uid="{00000000-0005-0000-0000-000069430000}"/>
    <cellStyle name="Normal 2 2 2 2 5 9 3" xfId="17258" xr:uid="{00000000-0005-0000-0000-00006A430000}"/>
    <cellStyle name="Normal 2 2 2 2 5 9 3 10" xfId="17259" xr:uid="{00000000-0005-0000-0000-00006B430000}"/>
    <cellStyle name="Normal 2 2 2 2 5 9 3 2" xfId="17260" xr:uid="{00000000-0005-0000-0000-00006C430000}"/>
    <cellStyle name="Normal 2 2 2 2 5 9 3 3" xfId="17261" xr:uid="{00000000-0005-0000-0000-00006D430000}"/>
    <cellStyle name="Normal 2 2 2 2 5 9 3 4" xfId="17262" xr:uid="{00000000-0005-0000-0000-00006E430000}"/>
    <cellStyle name="Normal 2 2 2 2 5 9 3 5" xfId="17263" xr:uid="{00000000-0005-0000-0000-00006F430000}"/>
    <cellStyle name="Normal 2 2 2 2 5 9 3 6" xfId="17264" xr:uid="{00000000-0005-0000-0000-000070430000}"/>
    <cellStyle name="Normal 2 2 2 2 5 9 3 7" xfId="17265" xr:uid="{00000000-0005-0000-0000-000071430000}"/>
    <cellStyle name="Normal 2 2 2 2 5 9 3 8" xfId="17266" xr:uid="{00000000-0005-0000-0000-000072430000}"/>
    <cellStyle name="Normal 2 2 2 2 5 9 3 9" xfId="17267" xr:uid="{00000000-0005-0000-0000-000073430000}"/>
    <cellStyle name="Normal 2 2 2 2 5 9 4" xfId="17268" xr:uid="{00000000-0005-0000-0000-000074430000}"/>
    <cellStyle name="Normal 2 2 2 2 5 9 4 10" xfId="17269" xr:uid="{00000000-0005-0000-0000-000075430000}"/>
    <cellStyle name="Normal 2 2 2 2 5 9 4 2" xfId="17270" xr:uid="{00000000-0005-0000-0000-000076430000}"/>
    <cellStyle name="Normal 2 2 2 2 5 9 4 3" xfId="17271" xr:uid="{00000000-0005-0000-0000-000077430000}"/>
    <cellStyle name="Normal 2 2 2 2 5 9 4 4" xfId="17272" xr:uid="{00000000-0005-0000-0000-000078430000}"/>
    <cellStyle name="Normal 2 2 2 2 5 9 4 5" xfId="17273" xr:uid="{00000000-0005-0000-0000-000079430000}"/>
    <cellStyle name="Normal 2 2 2 2 5 9 4 6" xfId="17274" xr:uid="{00000000-0005-0000-0000-00007A430000}"/>
    <cellStyle name="Normal 2 2 2 2 5 9 4 7" xfId="17275" xr:uid="{00000000-0005-0000-0000-00007B430000}"/>
    <cellStyle name="Normal 2 2 2 2 5 9 4 8" xfId="17276" xr:uid="{00000000-0005-0000-0000-00007C430000}"/>
    <cellStyle name="Normal 2 2 2 2 5 9 4 9" xfId="17277" xr:uid="{00000000-0005-0000-0000-00007D430000}"/>
    <cellStyle name="Normal 2 2 2 2 5 9 5" xfId="17278" xr:uid="{00000000-0005-0000-0000-00007E430000}"/>
    <cellStyle name="Normal 2 2 2 2 5 9 5 10" xfId="17279" xr:uid="{00000000-0005-0000-0000-00007F430000}"/>
    <cellStyle name="Normal 2 2 2 2 5 9 5 2" xfId="17280" xr:uid="{00000000-0005-0000-0000-000080430000}"/>
    <cellStyle name="Normal 2 2 2 2 5 9 5 3" xfId="17281" xr:uid="{00000000-0005-0000-0000-000081430000}"/>
    <cellStyle name="Normal 2 2 2 2 5 9 5 4" xfId="17282" xr:uid="{00000000-0005-0000-0000-000082430000}"/>
    <cellStyle name="Normal 2 2 2 2 5 9 5 5" xfId="17283" xr:uid="{00000000-0005-0000-0000-000083430000}"/>
    <cellStyle name="Normal 2 2 2 2 5 9 5 6" xfId="17284" xr:uid="{00000000-0005-0000-0000-000084430000}"/>
    <cellStyle name="Normal 2 2 2 2 5 9 5 7" xfId="17285" xr:uid="{00000000-0005-0000-0000-000085430000}"/>
    <cellStyle name="Normal 2 2 2 2 5 9 5 8" xfId="17286" xr:uid="{00000000-0005-0000-0000-000086430000}"/>
    <cellStyle name="Normal 2 2 2 2 5 9 5 9" xfId="17287" xr:uid="{00000000-0005-0000-0000-000087430000}"/>
    <cellStyle name="Normal 2 2 2 2 5 9 6" xfId="17288" xr:uid="{00000000-0005-0000-0000-000088430000}"/>
    <cellStyle name="Normal 2 2 2 2 5 9 7" xfId="17289" xr:uid="{00000000-0005-0000-0000-000089430000}"/>
    <cellStyle name="Normal 2 2 2 2 5 9 8" xfId="17290" xr:uid="{00000000-0005-0000-0000-00008A430000}"/>
    <cellStyle name="Normal 2 2 2 2 5 9 9" xfId="17291" xr:uid="{00000000-0005-0000-0000-00008B430000}"/>
    <cellStyle name="Normal 2 2 2 2 50" xfId="17292" xr:uid="{00000000-0005-0000-0000-00008C430000}"/>
    <cellStyle name="Normal 2 2 2 2 51" xfId="17293" xr:uid="{00000000-0005-0000-0000-00008D430000}"/>
    <cellStyle name="Normal 2 2 2 2 6" xfId="17294" xr:uid="{00000000-0005-0000-0000-00008E430000}"/>
    <cellStyle name="Normal 2 2 2 2 6 2" xfId="419" xr:uid="{00000000-0005-0000-0000-0000A3010000}"/>
    <cellStyle name="Normal 2 2 2 2 7" xfId="17295" xr:uid="{00000000-0005-0000-0000-00008F430000}"/>
    <cellStyle name="Normal 2 2 2 2 8" xfId="17296" xr:uid="{00000000-0005-0000-0000-000090430000}"/>
    <cellStyle name="Normal 2 2 2 2 9" xfId="17297" xr:uid="{00000000-0005-0000-0000-000091430000}"/>
    <cellStyle name="Normal 2 2 2 20" xfId="17298" xr:uid="{00000000-0005-0000-0000-000092430000}"/>
    <cellStyle name="Normal 2 2 2 20 10" xfId="17299" xr:uid="{00000000-0005-0000-0000-000093430000}"/>
    <cellStyle name="Normal 2 2 2 20 11" xfId="17300" xr:uid="{00000000-0005-0000-0000-000094430000}"/>
    <cellStyle name="Normal 2 2 2 20 12" xfId="17301" xr:uid="{00000000-0005-0000-0000-000095430000}"/>
    <cellStyle name="Normal 2 2 2 20 13" xfId="17302" xr:uid="{00000000-0005-0000-0000-000096430000}"/>
    <cellStyle name="Normal 2 2 2 20 14" xfId="17303" xr:uid="{00000000-0005-0000-0000-000097430000}"/>
    <cellStyle name="Normal 2 2 2 20 2" xfId="17304" xr:uid="{00000000-0005-0000-0000-000098430000}"/>
    <cellStyle name="Normal 2 2 2 20 2 10" xfId="17305" xr:uid="{00000000-0005-0000-0000-000099430000}"/>
    <cellStyle name="Normal 2 2 2 20 2 2" xfId="17306" xr:uid="{00000000-0005-0000-0000-00009A430000}"/>
    <cellStyle name="Normal 2 2 2 20 2 3" xfId="17307" xr:uid="{00000000-0005-0000-0000-00009B430000}"/>
    <cellStyle name="Normal 2 2 2 20 2 4" xfId="17308" xr:uid="{00000000-0005-0000-0000-00009C430000}"/>
    <cellStyle name="Normal 2 2 2 20 2 5" xfId="17309" xr:uid="{00000000-0005-0000-0000-00009D430000}"/>
    <cellStyle name="Normal 2 2 2 20 2 6" xfId="17310" xr:uid="{00000000-0005-0000-0000-00009E430000}"/>
    <cellStyle name="Normal 2 2 2 20 2 7" xfId="17311" xr:uid="{00000000-0005-0000-0000-00009F430000}"/>
    <cellStyle name="Normal 2 2 2 20 2 8" xfId="17312" xr:uid="{00000000-0005-0000-0000-0000A0430000}"/>
    <cellStyle name="Normal 2 2 2 20 2 9" xfId="17313" xr:uid="{00000000-0005-0000-0000-0000A1430000}"/>
    <cellStyle name="Normal 2 2 2 20 3" xfId="17314" xr:uid="{00000000-0005-0000-0000-0000A2430000}"/>
    <cellStyle name="Normal 2 2 2 20 3 10" xfId="17315" xr:uid="{00000000-0005-0000-0000-0000A3430000}"/>
    <cellStyle name="Normal 2 2 2 20 3 2" xfId="17316" xr:uid="{00000000-0005-0000-0000-0000A4430000}"/>
    <cellStyle name="Normal 2 2 2 20 3 3" xfId="17317" xr:uid="{00000000-0005-0000-0000-0000A5430000}"/>
    <cellStyle name="Normal 2 2 2 20 3 4" xfId="17318" xr:uid="{00000000-0005-0000-0000-0000A6430000}"/>
    <cellStyle name="Normal 2 2 2 20 3 5" xfId="17319" xr:uid="{00000000-0005-0000-0000-0000A7430000}"/>
    <cellStyle name="Normal 2 2 2 20 3 6" xfId="17320" xr:uid="{00000000-0005-0000-0000-0000A8430000}"/>
    <cellStyle name="Normal 2 2 2 20 3 7" xfId="17321" xr:uid="{00000000-0005-0000-0000-0000A9430000}"/>
    <cellStyle name="Normal 2 2 2 20 3 8" xfId="17322" xr:uid="{00000000-0005-0000-0000-0000AA430000}"/>
    <cellStyle name="Normal 2 2 2 20 3 9" xfId="17323" xr:uid="{00000000-0005-0000-0000-0000AB430000}"/>
    <cellStyle name="Normal 2 2 2 20 4" xfId="17324" xr:uid="{00000000-0005-0000-0000-0000AC430000}"/>
    <cellStyle name="Normal 2 2 2 20 4 10" xfId="17325" xr:uid="{00000000-0005-0000-0000-0000AD430000}"/>
    <cellStyle name="Normal 2 2 2 20 4 2" xfId="17326" xr:uid="{00000000-0005-0000-0000-0000AE430000}"/>
    <cellStyle name="Normal 2 2 2 20 4 3" xfId="17327" xr:uid="{00000000-0005-0000-0000-0000AF430000}"/>
    <cellStyle name="Normal 2 2 2 20 4 4" xfId="17328" xr:uid="{00000000-0005-0000-0000-0000B0430000}"/>
    <cellStyle name="Normal 2 2 2 20 4 5" xfId="17329" xr:uid="{00000000-0005-0000-0000-0000B1430000}"/>
    <cellStyle name="Normal 2 2 2 20 4 6" xfId="17330" xr:uid="{00000000-0005-0000-0000-0000B2430000}"/>
    <cellStyle name="Normal 2 2 2 20 4 7" xfId="17331" xr:uid="{00000000-0005-0000-0000-0000B3430000}"/>
    <cellStyle name="Normal 2 2 2 20 4 8" xfId="17332" xr:uid="{00000000-0005-0000-0000-0000B4430000}"/>
    <cellStyle name="Normal 2 2 2 20 4 9" xfId="17333" xr:uid="{00000000-0005-0000-0000-0000B5430000}"/>
    <cellStyle name="Normal 2 2 2 20 5" xfId="17334" xr:uid="{00000000-0005-0000-0000-0000B6430000}"/>
    <cellStyle name="Normal 2 2 2 20 5 10" xfId="17335" xr:uid="{00000000-0005-0000-0000-0000B7430000}"/>
    <cellStyle name="Normal 2 2 2 20 5 2" xfId="17336" xr:uid="{00000000-0005-0000-0000-0000B8430000}"/>
    <cellStyle name="Normal 2 2 2 20 5 3" xfId="17337" xr:uid="{00000000-0005-0000-0000-0000B9430000}"/>
    <cellStyle name="Normal 2 2 2 20 5 4" xfId="17338" xr:uid="{00000000-0005-0000-0000-0000BA430000}"/>
    <cellStyle name="Normal 2 2 2 20 5 5" xfId="17339" xr:uid="{00000000-0005-0000-0000-0000BB430000}"/>
    <cellStyle name="Normal 2 2 2 20 5 6" xfId="17340" xr:uid="{00000000-0005-0000-0000-0000BC430000}"/>
    <cellStyle name="Normal 2 2 2 20 5 7" xfId="17341" xr:uid="{00000000-0005-0000-0000-0000BD430000}"/>
    <cellStyle name="Normal 2 2 2 20 5 8" xfId="17342" xr:uid="{00000000-0005-0000-0000-0000BE430000}"/>
    <cellStyle name="Normal 2 2 2 20 5 9" xfId="17343" xr:uid="{00000000-0005-0000-0000-0000BF430000}"/>
    <cellStyle name="Normal 2 2 2 20 6" xfId="17344" xr:uid="{00000000-0005-0000-0000-0000C0430000}"/>
    <cellStyle name="Normal 2 2 2 20 7" xfId="17345" xr:uid="{00000000-0005-0000-0000-0000C1430000}"/>
    <cellStyle name="Normal 2 2 2 20 8" xfId="17346" xr:uid="{00000000-0005-0000-0000-0000C2430000}"/>
    <cellStyle name="Normal 2 2 2 20 9" xfId="17347" xr:uid="{00000000-0005-0000-0000-0000C3430000}"/>
    <cellStyle name="Normal 2 2 2 21" xfId="17348" xr:uid="{00000000-0005-0000-0000-0000C4430000}"/>
    <cellStyle name="Normal 2 2 2 21 10" xfId="17349" xr:uid="{00000000-0005-0000-0000-0000C5430000}"/>
    <cellStyle name="Normal 2 2 2 21 11" xfId="17350" xr:uid="{00000000-0005-0000-0000-0000C6430000}"/>
    <cellStyle name="Normal 2 2 2 21 12" xfId="17351" xr:uid="{00000000-0005-0000-0000-0000C7430000}"/>
    <cellStyle name="Normal 2 2 2 21 13" xfId="17352" xr:uid="{00000000-0005-0000-0000-0000C8430000}"/>
    <cellStyle name="Normal 2 2 2 21 14" xfId="17353" xr:uid="{00000000-0005-0000-0000-0000C9430000}"/>
    <cellStyle name="Normal 2 2 2 21 2" xfId="17354" xr:uid="{00000000-0005-0000-0000-0000CA430000}"/>
    <cellStyle name="Normal 2 2 2 21 2 10" xfId="17355" xr:uid="{00000000-0005-0000-0000-0000CB430000}"/>
    <cellStyle name="Normal 2 2 2 21 2 2" xfId="17356" xr:uid="{00000000-0005-0000-0000-0000CC430000}"/>
    <cellStyle name="Normal 2 2 2 21 2 3" xfId="17357" xr:uid="{00000000-0005-0000-0000-0000CD430000}"/>
    <cellStyle name="Normal 2 2 2 21 2 4" xfId="17358" xr:uid="{00000000-0005-0000-0000-0000CE430000}"/>
    <cellStyle name="Normal 2 2 2 21 2 5" xfId="17359" xr:uid="{00000000-0005-0000-0000-0000CF430000}"/>
    <cellStyle name="Normal 2 2 2 21 2 6" xfId="17360" xr:uid="{00000000-0005-0000-0000-0000D0430000}"/>
    <cellStyle name="Normal 2 2 2 21 2 7" xfId="17361" xr:uid="{00000000-0005-0000-0000-0000D1430000}"/>
    <cellStyle name="Normal 2 2 2 21 2 8" xfId="17362" xr:uid="{00000000-0005-0000-0000-0000D2430000}"/>
    <cellStyle name="Normal 2 2 2 21 2 9" xfId="17363" xr:uid="{00000000-0005-0000-0000-0000D3430000}"/>
    <cellStyle name="Normal 2 2 2 21 3" xfId="17364" xr:uid="{00000000-0005-0000-0000-0000D4430000}"/>
    <cellStyle name="Normal 2 2 2 21 3 10" xfId="17365" xr:uid="{00000000-0005-0000-0000-0000D5430000}"/>
    <cellStyle name="Normal 2 2 2 21 3 2" xfId="17366" xr:uid="{00000000-0005-0000-0000-0000D6430000}"/>
    <cellStyle name="Normal 2 2 2 21 3 3" xfId="17367" xr:uid="{00000000-0005-0000-0000-0000D7430000}"/>
    <cellStyle name="Normal 2 2 2 21 3 4" xfId="17368" xr:uid="{00000000-0005-0000-0000-0000D8430000}"/>
    <cellStyle name="Normal 2 2 2 21 3 5" xfId="17369" xr:uid="{00000000-0005-0000-0000-0000D9430000}"/>
    <cellStyle name="Normal 2 2 2 21 3 6" xfId="17370" xr:uid="{00000000-0005-0000-0000-0000DA430000}"/>
    <cellStyle name="Normal 2 2 2 21 3 7" xfId="17371" xr:uid="{00000000-0005-0000-0000-0000DB430000}"/>
    <cellStyle name="Normal 2 2 2 21 3 8" xfId="17372" xr:uid="{00000000-0005-0000-0000-0000DC430000}"/>
    <cellStyle name="Normal 2 2 2 21 3 9" xfId="17373" xr:uid="{00000000-0005-0000-0000-0000DD430000}"/>
    <cellStyle name="Normal 2 2 2 21 4" xfId="17374" xr:uid="{00000000-0005-0000-0000-0000DE430000}"/>
    <cellStyle name="Normal 2 2 2 21 4 10" xfId="17375" xr:uid="{00000000-0005-0000-0000-0000DF430000}"/>
    <cellStyle name="Normal 2 2 2 21 4 2" xfId="17376" xr:uid="{00000000-0005-0000-0000-0000E0430000}"/>
    <cellStyle name="Normal 2 2 2 21 4 3" xfId="17377" xr:uid="{00000000-0005-0000-0000-0000E1430000}"/>
    <cellStyle name="Normal 2 2 2 21 4 4" xfId="17378" xr:uid="{00000000-0005-0000-0000-0000E2430000}"/>
    <cellStyle name="Normal 2 2 2 21 4 5" xfId="17379" xr:uid="{00000000-0005-0000-0000-0000E3430000}"/>
    <cellStyle name="Normal 2 2 2 21 4 6" xfId="17380" xr:uid="{00000000-0005-0000-0000-0000E4430000}"/>
    <cellStyle name="Normal 2 2 2 21 4 7" xfId="17381" xr:uid="{00000000-0005-0000-0000-0000E5430000}"/>
    <cellStyle name="Normal 2 2 2 21 4 8" xfId="17382" xr:uid="{00000000-0005-0000-0000-0000E6430000}"/>
    <cellStyle name="Normal 2 2 2 21 4 9" xfId="17383" xr:uid="{00000000-0005-0000-0000-0000E7430000}"/>
    <cellStyle name="Normal 2 2 2 21 5" xfId="17384" xr:uid="{00000000-0005-0000-0000-0000E8430000}"/>
    <cellStyle name="Normal 2 2 2 21 5 10" xfId="17385" xr:uid="{00000000-0005-0000-0000-0000E9430000}"/>
    <cellStyle name="Normal 2 2 2 21 5 2" xfId="17386" xr:uid="{00000000-0005-0000-0000-0000EA430000}"/>
    <cellStyle name="Normal 2 2 2 21 5 3" xfId="17387" xr:uid="{00000000-0005-0000-0000-0000EB430000}"/>
    <cellStyle name="Normal 2 2 2 21 5 4" xfId="17388" xr:uid="{00000000-0005-0000-0000-0000EC430000}"/>
    <cellStyle name="Normal 2 2 2 21 5 5" xfId="17389" xr:uid="{00000000-0005-0000-0000-0000ED430000}"/>
    <cellStyle name="Normal 2 2 2 21 5 6" xfId="17390" xr:uid="{00000000-0005-0000-0000-0000EE430000}"/>
    <cellStyle name="Normal 2 2 2 21 5 7" xfId="17391" xr:uid="{00000000-0005-0000-0000-0000EF430000}"/>
    <cellStyle name="Normal 2 2 2 21 5 8" xfId="17392" xr:uid="{00000000-0005-0000-0000-0000F0430000}"/>
    <cellStyle name="Normal 2 2 2 21 5 9" xfId="17393" xr:uid="{00000000-0005-0000-0000-0000F1430000}"/>
    <cellStyle name="Normal 2 2 2 21 6" xfId="17394" xr:uid="{00000000-0005-0000-0000-0000F2430000}"/>
    <cellStyle name="Normal 2 2 2 21 7" xfId="17395" xr:uid="{00000000-0005-0000-0000-0000F3430000}"/>
    <cellStyle name="Normal 2 2 2 21 8" xfId="17396" xr:uid="{00000000-0005-0000-0000-0000F4430000}"/>
    <cellStyle name="Normal 2 2 2 21 9" xfId="17397" xr:uid="{00000000-0005-0000-0000-0000F5430000}"/>
    <cellStyle name="Normal 2 2 2 22" xfId="17398" xr:uid="{00000000-0005-0000-0000-0000F6430000}"/>
    <cellStyle name="Normal 2 2 2 22 10" xfId="17399" xr:uid="{00000000-0005-0000-0000-0000F7430000}"/>
    <cellStyle name="Normal 2 2 2 22 11" xfId="17400" xr:uid="{00000000-0005-0000-0000-0000F8430000}"/>
    <cellStyle name="Normal 2 2 2 22 12" xfId="17401" xr:uid="{00000000-0005-0000-0000-0000F9430000}"/>
    <cellStyle name="Normal 2 2 2 22 13" xfId="17402" xr:uid="{00000000-0005-0000-0000-0000FA430000}"/>
    <cellStyle name="Normal 2 2 2 22 14" xfId="17403" xr:uid="{00000000-0005-0000-0000-0000FB430000}"/>
    <cellStyle name="Normal 2 2 2 22 2" xfId="17404" xr:uid="{00000000-0005-0000-0000-0000FC430000}"/>
    <cellStyle name="Normal 2 2 2 22 2 10" xfId="17405" xr:uid="{00000000-0005-0000-0000-0000FD430000}"/>
    <cellStyle name="Normal 2 2 2 22 2 2" xfId="17406" xr:uid="{00000000-0005-0000-0000-0000FE430000}"/>
    <cellStyle name="Normal 2 2 2 22 2 3" xfId="17407" xr:uid="{00000000-0005-0000-0000-0000FF430000}"/>
    <cellStyle name="Normal 2 2 2 22 2 4" xfId="17408" xr:uid="{00000000-0005-0000-0000-000000440000}"/>
    <cellStyle name="Normal 2 2 2 22 2 5" xfId="17409" xr:uid="{00000000-0005-0000-0000-000001440000}"/>
    <cellStyle name="Normal 2 2 2 22 2 6" xfId="17410" xr:uid="{00000000-0005-0000-0000-000002440000}"/>
    <cellStyle name="Normal 2 2 2 22 2 7" xfId="17411" xr:uid="{00000000-0005-0000-0000-000003440000}"/>
    <cellStyle name="Normal 2 2 2 22 2 8" xfId="17412" xr:uid="{00000000-0005-0000-0000-000004440000}"/>
    <cellStyle name="Normal 2 2 2 22 2 9" xfId="17413" xr:uid="{00000000-0005-0000-0000-000005440000}"/>
    <cellStyle name="Normal 2 2 2 22 3" xfId="17414" xr:uid="{00000000-0005-0000-0000-000006440000}"/>
    <cellStyle name="Normal 2 2 2 22 3 10" xfId="17415" xr:uid="{00000000-0005-0000-0000-000007440000}"/>
    <cellStyle name="Normal 2 2 2 22 3 2" xfId="17416" xr:uid="{00000000-0005-0000-0000-000008440000}"/>
    <cellStyle name="Normal 2 2 2 22 3 3" xfId="17417" xr:uid="{00000000-0005-0000-0000-000009440000}"/>
    <cellStyle name="Normal 2 2 2 22 3 4" xfId="17418" xr:uid="{00000000-0005-0000-0000-00000A440000}"/>
    <cellStyle name="Normal 2 2 2 22 3 5" xfId="17419" xr:uid="{00000000-0005-0000-0000-00000B440000}"/>
    <cellStyle name="Normal 2 2 2 22 3 6" xfId="17420" xr:uid="{00000000-0005-0000-0000-00000C440000}"/>
    <cellStyle name="Normal 2 2 2 22 3 7" xfId="17421" xr:uid="{00000000-0005-0000-0000-00000D440000}"/>
    <cellStyle name="Normal 2 2 2 22 3 8" xfId="17422" xr:uid="{00000000-0005-0000-0000-00000E440000}"/>
    <cellStyle name="Normal 2 2 2 22 3 9" xfId="17423" xr:uid="{00000000-0005-0000-0000-00000F440000}"/>
    <cellStyle name="Normal 2 2 2 22 4" xfId="17424" xr:uid="{00000000-0005-0000-0000-000010440000}"/>
    <cellStyle name="Normal 2 2 2 22 4 10" xfId="17425" xr:uid="{00000000-0005-0000-0000-000011440000}"/>
    <cellStyle name="Normal 2 2 2 22 4 2" xfId="17426" xr:uid="{00000000-0005-0000-0000-000012440000}"/>
    <cellStyle name="Normal 2 2 2 22 4 3" xfId="17427" xr:uid="{00000000-0005-0000-0000-000013440000}"/>
    <cellStyle name="Normal 2 2 2 22 4 4" xfId="17428" xr:uid="{00000000-0005-0000-0000-000014440000}"/>
    <cellStyle name="Normal 2 2 2 22 4 5" xfId="17429" xr:uid="{00000000-0005-0000-0000-000015440000}"/>
    <cellStyle name="Normal 2 2 2 22 4 6" xfId="17430" xr:uid="{00000000-0005-0000-0000-000016440000}"/>
    <cellStyle name="Normal 2 2 2 22 4 7" xfId="17431" xr:uid="{00000000-0005-0000-0000-000017440000}"/>
    <cellStyle name="Normal 2 2 2 22 4 8" xfId="17432" xr:uid="{00000000-0005-0000-0000-000018440000}"/>
    <cellStyle name="Normal 2 2 2 22 4 9" xfId="17433" xr:uid="{00000000-0005-0000-0000-000019440000}"/>
    <cellStyle name="Normal 2 2 2 22 5" xfId="17434" xr:uid="{00000000-0005-0000-0000-00001A440000}"/>
    <cellStyle name="Normal 2 2 2 22 5 10" xfId="17435" xr:uid="{00000000-0005-0000-0000-00001B440000}"/>
    <cellStyle name="Normal 2 2 2 22 5 2" xfId="17436" xr:uid="{00000000-0005-0000-0000-00001C440000}"/>
    <cellStyle name="Normal 2 2 2 22 5 3" xfId="17437" xr:uid="{00000000-0005-0000-0000-00001D440000}"/>
    <cellStyle name="Normal 2 2 2 22 5 4" xfId="17438" xr:uid="{00000000-0005-0000-0000-00001E440000}"/>
    <cellStyle name="Normal 2 2 2 22 5 5" xfId="17439" xr:uid="{00000000-0005-0000-0000-00001F440000}"/>
    <cellStyle name="Normal 2 2 2 22 5 6" xfId="17440" xr:uid="{00000000-0005-0000-0000-000020440000}"/>
    <cellStyle name="Normal 2 2 2 22 5 7" xfId="17441" xr:uid="{00000000-0005-0000-0000-000021440000}"/>
    <cellStyle name="Normal 2 2 2 22 5 8" xfId="17442" xr:uid="{00000000-0005-0000-0000-000022440000}"/>
    <cellStyle name="Normal 2 2 2 22 5 9" xfId="17443" xr:uid="{00000000-0005-0000-0000-000023440000}"/>
    <cellStyle name="Normal 2 2 2 22 6" xfId="17444" xr:uid="{00000000-0005-0000-0000-000024440000}"/>
    <cellStyle name="Normal 2 2 2 22 7" xfId="17445" xr:uid="{00000000-0005-0000-0000-000025440000}"/>
    <cellStyle name="Normal 2 2 2 22 8" xfId="17446" xr:uid="{00000000-0005-0000-0000-000026440000}"/>
    <cellStyle name="Normal 2 2 2 22 9" xfId="17447" xr:uid="{00000000-0005-0000-0000-000027440000}"/>
    <cellStyle name="Normal 2 2 2 23" xfId="17448" xr:uid="{00000000-0005-0000-0000-000028440000}"/>
    <cellStyle name="Normal 2 2 2 23 10" xfId="17449" xr:uid="{00000000-0005-0000-0000-000029440000}"/>
    <cellStyle name="Normal 2 2 2 23 11" xfId="17450" xr:uid="{00000000-0005-0000-0000-00002A440000}"/>
    <cellStyle name="Normal 2 2 2 23 12" xfId="17451" xr:uid="{00000000-0005-0000-0000-00002B440000}"/>
    <cellStyle name="Normal 2 2 2 23 13" xfId="17452" xr:uid="{00000000-0005-0000-0000-00002C440000}"/>
    <cellStyle name="Normal 2 2 2 23 14" xfId="17453" xr:uid="{00000000-0005-0000-0000-00002D440000}"/>
    <cellStyle name="Normal 2 2 2 23 2" xfId="17454" xr:uid="{00000000-0005-0000-0000-00002E440000}"/>
    <cellStyle name="Normal 2 2 2 23 2 10" xfId="17455" xr:uid="{00000000-0005-0000-0000-00002F440000}"/>
    <cellStyle name="Normal 2 2 2 23 2 2" xfId="17456" xr:uid="{00000000-0005-0000-0000-000030440000}"/>
    <cellStyle name="Normal 2 2 2 23 2 3" xfId="17457" xr:uid="{00000000-0005-0000-0000-000031440000}"/>
    <cellStyle name="Normal 2 2 2 23 2 4" xfId="17458" xr:uid="{00000000-0005-0000-0000-000032440000}"/>
    <cellStyle name="Normal 2 2 2 23 2 5" xfId="17459" xr:uid="{00000000-0005-0000-0000-000033440000}"/>
    <cellStyle name="Normal 2 2 2 23 2 6" xfId="17460" xr:uid="{00000000-0005-0000-0000-000034440000}"/>
    <cellStyle name="Normal 2 2 2 23 2 7" xfId="17461" xr:uid="{00000000-0005-0000-0000-000035440000}"/>
    <cellStyle name="Normal 2 2 2 23 2 8" xfId="17462" xr:uid="{00000000-0005-0000-0000-000036440000}"/>
    <cellStyle name="Normal 2 2 2 23 2 9" xfId="17463" xr:uid="{00000000-0005-0000-0000-000037440000}"/>
    <cellStyle name="Normal 2 2 2 23 3" xfId="17464" xr:uid="{00000000-0005-0000-0000-000038440000}"/>
    <cellStyle name="Normal 2 2 2 23 3 10" xfId="17465" xr:uid="{00000000-0005-0000-0000-000039440000}"/>
    <cellStyle name="Normal 2 2 2 23 3 2" xfId="17466" xr:uid="{00000000-0005-0000-0000-00003A440000}"/>
    <cellStyle name="Normal 2 2 2 23 3 3" xfId="17467" xr:uid="{00000000-0005-0000-0000-00003B440000}"/>
    <cellStyle name="Normal 2 2 2 23 3 4" xfId="17468" xr:uid="{00000000-0005-0000-0000-00003C440000}"/>
    <cellStyle name="Normal 2 2 2 23 3 5" xfId="17469" xr:uid="{00000000-0005-0000-0000-00003D440000}"/>
    <cellStyle name="Normal 2 2 2 23 3 6" xfId="17470" xr:uid="{00000000-0005-0000-0000-00003E440000}"/>
    <cellStyle name="Normal 2 2 2 23 3 7" xfId="17471" xr:uid="{00000000-0005-0000-0000-00003F440000}"/>
    <cellStyle name="Normal 2 2 2 23 3 8" xfId="17472" xr:uid="{00000000-0005-0000-0000-000040440000}"/>
    <cellStyle name="Normal 2 2 2 23 3 9" xfId="17473" xr:uid="{00000000-0005-0000-0000-000041440000}"/>
    <cellStyle name="Normal 2 2 2 23 4" xfId="17474" xr:uid="{00000000-0005-0000-0000-000042440000}"/>
    <cellStyle name="Normal 2 2 2 23 4 10" xfId="17475" xr:uid="{00000000-0005-0000-0000-000043440000}"/>
    <cellStyle name="Normal 2 2 2 23 4 2" xfId="17476" xr:uid="{00000000-0005-0000-0000-000044440000}"/>
    <cellStyle name="Normal 2 2 2 23 4 3" xfId="17477" xr:uid="{00000000-0005-0000-0000-000045440000}"/>
    <cellStyle name="Normal 2 2 2 23 4 4" xfId="17478" xr:uid="{00000000-0005-0000-0000-000046440000}"/>
    <cellStyle name="Normal 2 2 2 23 4 5" xfId="17479" xr:uid="{00000000-0005-0000-0000-000047440000}"/>
    <cellStyle name="Normal 2 2 2 23 4 6" xfId="17480" xr:uid="{00000000-0005-0000-0000-000048440000}"/>
    <cellStyle name="Normal 2 2 2 23 4 7" xfId="17481" xr:uid="{00000000-0005-0000-0000-000049440000}"/>
    <cellStyle name="Normal 2 2 2 23 4 8" xfId="17482" xr:uid="{00000000-0005-0000-0000-00004A440000}"/>
    <cellStyle name="Normal 2 2 2 23 4 9" xfId="17483" xr:uid="{00000000-0005-0000-0000-00004B440000}"/>
    <cellStyle name="Normal 2 2 2 23 5" xfId="17484" xr:uid="{00000000-0005-0000-0000-00004C440000}"/>
    <cellStyle name="Normal 2 2 2 23 5 10" xfId="17485" xr:uid="{00000000-0005-0000-0000-00004D440000}"/>
    <cellStyle name="Normal 2 2 2 23 5 2" xfId="17486" xr:uid="{00000000-0005-0000-0000-00004E440000}"/>
    <cellStyle name="Normal 2 2 2 23 5 3" xfId="17487" xr:uid="{00000000-0005-0000-0000-00004F440000}"/>
    <cellStyle name="Normal 2 2 2 23 5 4" xfId="17488" xr:uid="{00000000-0005-0000-0000-000050440000}"/>
    <cellStyle name="Normal 2 2 2 23 5 5" xfId="17489" xr:uid="{00000000-0005-0000-0000-000051440000}"/>
    <cellStyle name="Normal 2 2 2 23 5 6" xfId="17490" xr:uid="{00000000-0005-0000-0000-000052440000}"/>
    <cellStyle name="Normal 2 2 2 23 5 7" xfId="17491" xr:uid="{00000000-0005-0000-0000-000053440000}"/>
    <cellStyle name="Normal 2 2 2 23 5 8" xfId="17492" xr:uid="{00000000-0005-0000-0000-000054440000}"/>
    <cellStyle name="Normal 2 2 2 23 5 9" xfId="17493" xr:uid="{00000000-0005-0000-0000-000055440000}"/>
    <cellStyle name="Normal 2 2 2 23 6" xfId="17494" xr:uid="{00000000-0005-0000-0000-000056440000}"/>
    <cellStyle name="Normal 2 2 2 23 7" xfId="17495" xr:uid="{00000000-0005-0000-0000-000057440000}"/>
    <cellStyle name="Normal 2 2 2 23 8" xfId="17496" xr:uid="{00000000-0005-0000-0000-000058440000}"/>
    <cellStyle name="Normal 2 2 2 23 9" xfId="17497" xr:uid="{00000000-0005-0000-0000-000059440000}"/>
    <cellStyle name="Normal 2 2 2 24" xfId="17498" xr:uid="{00000000-0005-0000-0000-00005A440000}"/>
    <cellStyle name="Normal 2 2 2 24 10" xfId="17499" xr:uid="{00000000-0005-0000-0000-00005B440000}"/>
    <cellStyle name="Normal 2 2 2 24 11" xfId="17500" xr:uid="{00000000-0005-0000-0000-00005C440000}"/>
    <cellStyle name="Normal 2 2 2 24 12" xfId="17501" xr:uid="{00000000-0005-0000-0000-00005D440000}"/>
    <cellStyle name="Normal 2 2 2 24 13" xfId="17502" xr:uid="{00000000-0005-0000-0000-00005E440000}"/>
    <cellStyle name="Normal 2 2 2 24 14" xfId="17503" xr:uid="{00000000-0005-0000-0000-00005F440000}"/>
    <cellStyle name="Normal 2 2 2 24 2" xfId="17504" xr:uid="{00000000-0005-0000-0000-000060440000}"/>
    <cellStyle name="Normal 2 2 2 24 2 10" xfId="17505" xr:uid="{00000000-0005-0000-0000-000061440000}"/>
    <cellStyle name="Normal 2 2 2 24 2 2" xfId="17506" xr:uid="{00000000-0005-0000-0000-000062440000}"/>
    <cellStyle name="Normal 2 2 2 24 2 3" xfId="17507" xr:uid="{00000000-0005-0000-0000-000063440000}"/>
    <cellStyle name="Normal 2 2 2 24 2 4" xfId="17508" xr:uid="{00000000-0005-0000-0000-000064440000}"/>
    <cellStyle name="Normal 2 2 2 24 2 5" xfId="17509" xr:uid="{00000000-0005-0000-0000-000065440000}"/>
    <cellStyle name="Normal 2 2 2 24 2 6" xfId="17510" xr:uid="{00000000-0005-0000-0000-000066440000}"/>
    <cellStyle name="Normal 2 2 2 24 2 7" xfId="17511" xr:uid="{00000000-0005-0000-0000-000067440000}"/>
    <cellStyle name="Normal 2 2 2 24 2 8" xfId="17512" xr:uid="{00000000-0005-0000-0000-000068440000}"/>
    <cellStyle name="Normal 2 2 2 24 2 9" xfId="17513" xr:uid="{00000000-0005-0000-0000-000069440000}"/>
    <cellStyle name="Normal 2 2 2 24 3" xfId="17514" xr:uid="{00000000-0005-0000-0000-00006A440000}"/>
    <cellStyle name="Normal 2 2 2 24 3 10" xfId="17515" xr:uid="{00000000-0005-0000-0000-00006B440000}"/>
    <cellStyle name="Normal 2 2 2 24 3 2" xfId="17516" xr:uid="{00000000-0005-0000-0000-00006C440000}"/>
    <cellStyle name="Normal 2 2 2 24 3 3" xfId="17517" xr:uid="{00000000-0005-0000-0000-00006D440000}"/>
    <cellStyle name="Normal 2 2 2 24 3 4" xfId="17518" xr:uid="{00000000-0005-0000-0000-00006E440000}"/>
    <cellStyle name="Normal 2 2 2 24 3 5" xfId="17519" xr:uid="{00000000-0005-0000-0000-00006F440000}"/>
    <cellStyle name="Normal 2 2 2 24 3 6" xfId="17520" xr:uid="{00000000-0005-0000-0000-000070440000}"/>
    <cellStyle name="Normal 2 2 2 24 3 7" xfId="17521" xr:uid="{00000000-0005-0000-0000-000071440000}"/>
    <cellStyle name="Normal 2 2 2 24 3 8" xfId="17522" xr:uid="{00000000-0005-0000-0000-000072440000}"/>
    <cellStyle name="Normal 2 2 2 24 3 9" xfId="17523" xr:uid="{00000000-0005-0000-0000-000073440000}"/>
    <cellStyle name="Normal 2 2 2 24 4" xfId="17524" xr:uid="{00000000-0005-0000-0000-000074440000}"/>
    <cellStyle name="Normal 2 2 2 24 4 10" xfId="17525" xr:uid="{00000000-0005-0000-0000-000075440000}"/>
    <cellStyle name="Normal 2 2 2 24 4 2" xfId="17526" xr:uid="{00000000-0005-0000-0000-000076440000}"/>
    <cellStyle name="Normal 2 2 2 24 4 3" xfId="17527" xr:uid="{00000000-0005-0000-0000-000077440000}"/>
    <cellStyle name="Normal 2 2 2 24 4 4" xfId="17528" xr:uid="{00000000-0005-0000-0000-000078440000}"/>
    <cellStyle name="Normal 2 2 2 24 4 5" xfId="17529" xr:uid="{00000000-0005-0000-0000-000079440000}"/>
    <cellStyle name="Normal 2 2 2 24 4 6" xfId="17530" xr:uid="{00000000-0005-0000-0000-00007A440000}"/>
    <cellStyle name="Normal 2 2 2 24 4 7" xfId="17531" xr:uid="{00000000-0005-0000-0000-00007B440000}"/>
    <cellStyle name="Normal 2 2 2 24 4 8" xfId="17532" xr:uid="{00000000-0005-0000-0000-00007C440000}"/>
    <cellStyle name="Normal 2 2 2 24 4 9" xfId="17533" xr:uid="{00000000-0005-0000-0000-00007D440000}"/>
    <cellStyle name="Normal 2 2 2 24 5" xfId="17534" xr:uid="{00000000-0005-0000-0000-00007E440000}"/>
    <cellStyle name="Normal 2 2 2 24 5 10" xfId="17535" xr:uid="{00000000-0005-0000-0000-00007F440000}"/>
    <cellStyle name="Normal 2 2 2 24 5 2" xfId="17536" xr:uid="{00000000-0005-0000-0000-000080440000}"/>
    <cellStyle name="Normal 2 2 2 24 5 3" xfId="17537" xr:uid="{00000000-0005-0000-0000-000081440000}"/>
    <cellStyle name="Normal 2 2 2 24 5 4" xfId="17538" xr:uid="{00000000-0005-0000-0000-000082440000}"/>
    <cellStyle name="Normal 2 2 2 24 5 5" xfId="17539" xr:uid="{00000000-0005-0000-0000-000083440000}"/>
    <cellStyle name="Normal 2 2 2 24 5 6" xfId="17540" xr:uid="{00000000-0005-0000-0000-000084440000}"/>
    <cellStyle name="Normal 2 2 2 24 5 7" xfId="17541" xr:uid="{00000000-0005-0000-0000-000085440000}"/>
    <cellStyle name="Normal 2 2 2 24 5 8" xfId="17542" xr:uid="{00000000-0005-0000-0000-000086440000}"/>
    <cellStyle name="Normal 2 2 2 24 5 9" xfId="17543" xr:uid="{00000000-0005-0000-0000-000087440000}"/>
    <cellStyle name="Normal 2 2 2 24 6" xfId="17544" xr:uid="{00000000-0005-0000-0000-000088440000}"/>
    <cellStyle name="Normal 2 2 2 24 7" xfId="17545" xr:uid="{00000000-0005-0000-0000-000089440000}"/>
    <cellStyle name="Normal 2 2 2 24 8" xfId="17546" xr:uid="{00000000-0005-0000-0000-00008A440000}"/>
    <cellStyle name="Normal 2 2 2 24 9" xfId="17547" xr:uid="{00000000-0005-0000-0000-00008B440000}"/>
    <cellStyle name="Normal 2 2 2 25" xfId="17548" xr:uid="{00000000-0005-0000-0000-00008C440000}"/>
    <cellStyle name="Normal 2 2 2 25 10" xfId="17549" xr:uid="{00000000-0005-0000-0000-00008D440000}"/>
    <cellStyle name="Normal 2 2 2 25 11" xfId="17550" xr:uid="{00000000-0005-0000-0000-00008E440000}"/>
    <cellStyle name="Normal 2 2 2 25 12" xfId="17551" xr:uid="{00000000-0005-0000-0000-00008F440000}"/>
    <cellStyle name="Normal 2 2 2 25 13" xfId="17552" xr:uid="{00000000-0005-0000-0000-000090440000}"/>
    <cellStyle name="Normal 2 2 2 25 14" xfId="17553" xr:uid="{00000000-0005-0000-0000-000091440000}"/>
    <cellStyle name="Normal 2 2 2 25 2" xfId="17554" xr:uid="{00000000-0005-0000-0000-000092440000}"/>
    <cellStyle name="Normal 2 2 2 25 2 10" xfId="17555" xr:uid="{00000000-0005-0000-0000-000093440000}"/>
    <cellStyle name="Normal 2 2 2 25 2 2" xfId="17556" xr:uid="{00000000-0005-0000-0000-000094440000}"/>
    <cellStyle name="Normal 2 2 2 25 2 3" xfId="17557" xr:uid="{00000000-0005-0000-0000-000095440000}"/>
    <cellStyle name="Normal 2 2 2 25 2 4" xfId="17558" xr:uid="{00000000-0005-0000-0000-000096440000}"/>
    <cellStyle name="Normal 2 2 2 25 2 5" xfId="17559" xr:uid="{00000000-0005-0000-0000-000097440000}"/>
    <cellStyle name="Normal 2 2 2 25 2 6" xfId="17560" xr:uid="{00000000-0005-0000-0000-000098440000}"/>
    <cellStyle name="Normal 2 2 2 25 2 7" xfId="17561" xr:uid="{00000000-0005-0000-0000-000099440000}"/>
    <cellStyle name="Normal 2 2 2 25 2 8" xfId="17562" xr:uid="{00000000-0005-0000-0000-00009A440000}"/>
    <cellStyle name="Normal 2 2 2 25 2 9" xfId="17563" xr:uid="{00000000-0005-0000-0000-00009B440000}"/>
    <cellStyle name="Normal 2 2 2 25 3" xfId="17564" xr:uid="{00000000-0005-0000-0000-00009C440000}"/>
    <cellStyle name="Normal 2 2 2 25 3 10" xfId="17565" xr:uid="{00000000-0005-0000-0000-00009D440000}"/>
    <cellStyle name="Normal 2 2 2 25 3 2" xfId="17566" xr:uid="{00000000-0005-0000-0000-00009E440000}"/>
    <cellStyle name="Normal 2 2 2 25 3 3" xfId="17567" xr:uid="{00000000-0005-0000-0000-00009F440000}"/>
    <cellStyle name="Normal 2 2 2 25 3 4" xfId="17568" xr:uid="{00000000-0005-0000-0000-0000A0440000}"/>
    <cellStyle name="Normal 2 2 2 25 3 5" xfId="17569" xr:uid="{00000000-0005-0000-0000-0000A1440000}"/>
    <cellStyle name="Normal 2 2 2 25 3 6" xfId="17570" xr:uid="{00000000-0005-0000-0000-0000A2440000}"/>
    <cellStyle name="Normal 2 2 2 25 3 7" xfId="17571" xr:uid="{00000000-0005-0000-0000-0000A3440000}"/>
    <cellStyle name="Normal 2 2 2 25 3 8" xfId="17572" xr:uid="{00000000-0005-0000-0000-0000A4440000}"/>
    <cellStyle name="Normal 2 2 2 25 3 9" xfId="17573" xr:uid="{00000000-0005-0000-0000-0000A5440000}"/>
    <cellStyle name="Normal 2 2 2 25 4" xfId="17574" xr:uid="{00000000-0005-0000-0000-0000A6440000}"/>
    <cellStyle name="Normal 2 2 2 25 4 10" xfId="17575" xr:uid="{00000000-0005-0000-0000-0000A7440000}"/>
    <cellStyle name="Normal 2 2 2 25 4 2" xfId="17576" xr:uid="{00000000-0005-0000-0000-0000A8440000}"/>
    <cellStyle name="Normal 2 2 2 25 4 3" xfId="17577" xr:uid="{00000000-0005-0000-0000-0000A9440000}"/>
    <cellStyle name="Normal 2 2 2 25 4 4" xfId="17578" xr:uid="{00000000-0005-0000-0000-0000AA440000}"/>
    <cellStyle name="Normal 2 2 2 25 4 5" xfId="17579" xr:uid="{00000000-0005-0000-0000-0000AB440000}"/>
    <cellStyle name="Normal 2 2 2 25 4 6" xfId="17580" xr:uid="{00000000-0005-0000-0000-0000AC440000}"/>
    <cellStyle name="Normal 2 2 2 25 4 7" xfId="17581" xr:uid="{00000000-0005-0000-0000-0000AD440000}"/>
    <cellStyle name="Normal 2 2 2 25 4 8" xfId="17582" xr:uid="{00000000-0005-0000-0000-0000AE440000}"/>
    <cellStyle name="Normal 2 2 2 25 4 9" xfId="17583" xr:uid="{00000000-0005-0000-0000-0000AF440000}"/>
    <cellStyle name="Normal 2 2 2 25 5" xfId="17584" xr:uid="{00000000-0005-0000-0000-0000B0440000}"/>
    <cellStyle name="Normal 2 2 2 25 5 10" xfId="17585" xr:uid="{00000000-0005-0000-0000-0000B1440000}"/>
    <cellStyle name="Normal 2 2 2 25 5 2" xfId="17586" xr:uid="{00000000-0005-0000-0000-0000B2440000}"/>
    <cellStyle name="Normal 2 2 2 25 5 3" xfId="17587" xr:uid="{00000000-0005-0000-0000-0000B3440000}"/>
    <cellStyle name="Normal 2 2 2 25 5 4" xfId="17588" xr:uid="{00000000-0005-0000-0000-0000B4440000}"/>
    <cellStyle name="Normal 2 2 2 25 5 5" xfId="17589" xr:uid="{00000000-0005-0000-0000-0000B5440000}"/>
    <cellStyle name="Normal 2 2 2 25 5 6" xfId="17590" xr:uid="{00000000-0005-0000-0000-0000B6440000}"/>
    <cellStyle name="Normal 2 2 2 25 5 7" xfId="17591" xr:uid="{00000000-0005-0000-0000-0000B7440000}"/>
    <cellStyle name="Normal 2 2 2 25 5 8" xfId="17592" xr:uid="{00000000-0005-0000-0000-0000B8440000}"/>
    <cellStyle name="Normal 2 2 2 25 5 9" xfId="17593" xr:uid="{00000000-0005-0000-0000-0000B9440000}"/>
    <cellStyle name="Normal 2 2 2 25 6" xfId="17594" xr:uid="{00000000-0005-0000-0000-0000BA440000}"/>
    <cellStyle name="Normal 2 2 2 25 7" xfId="17595" xr:uid="{00000000-0005-0000-0000-0000BB440000}"/>
    <cellStyle name="Normal 2 2 2 25 8" xfId="17596" xr:uid="{00000000-0005-0000-0000-0000BC440000}"/>
    <cellStyle name="Normal 2 2 2 25 9" xfId="17597" xr:uid="{00000000-0005-0000-0000-0000BD440000}"/>
    <cellStyle name="Normal 2 2 2 26" xfId="17598" xr:uid="{00000000-0005-0000-0000-0000BE440000}"/>
    <cellStyle name="Normal 2 2 2 26 10" xfId="17599" xr:uid="{00000000-0005-0000-0000-0000BF440000}"/>
    <cellStyle name="Normal 2 2 2 26 11" xfId="17600" xr:uid="{00000000-0005-0000-0000-0000C0440000}"/>
    <cellStyle name="Normal 2 2 2 26 12" xfId="17601" xr:uid="{00000000-0005-0000-0000-0000C1440000}"/>
    <cellStyle name="Normal 2 2 2 26 13" xfId="17602" xr:uid="{00000000-0005-0000-0000-0000C2440000}"/>
    <cellStyle name="Normal 2 2 2 26 14" xfId="17603" xr:uid="{00000000-0005-0000-0000-0000C3440000}"/>
    <cellStyle name="Normal 2 2 2 26 2" xfId="17604" xr:uid="{00000000-0005-0000-0000-0000C4440000}"/>
    <cellStyle name="Normal 2 2 2 26 2 10" xfId="17605" xr:uid="{00000000-0005-0000-0000-0000C5440000}"/>
    <cellStyle name="Normal 2 2 2 26 2 2" xfId="17606" xr:uid="{00000000-0005-0000-0000-0000C6440000}"/>
    <cellStyle name="Normal 2 2 2 26 2 3" xfId="17607" xr:uid="{00000000-0005-0000-0000-0000C7440000}"/>
    <cellStyle name="Normal 2 2 2 26 2 4" xfId="17608" xr:uid="{00000000-0005-0000-0000-0000C8440000}"/>
    <cellStyle name="Normal 2 2 2 26 2 5" xfId="17609" xr:uid="{00000000-0005-0000-0000-0000C9440000}"/>
    <cellStyle name="Normal 2 2 2 26 2 6" xfId="17610" xr:uid="{00000000-0005-0000-0000-0000CA440000}"/>
    <cellStyle name="Normal 2 2 2 26 2 7" xfId="17611" xr:uid="{00000000-0005-0000-0000-0000CB440000}"/>
    <cellStyle name="Normal 2 2 2 26 2 8" xfId="17612" xr:uid="{00000000-0005-0000-0000-0000CC440000}"/>
    <cellStyle name="Normal 2 2 2 26 2 9" xfId="17613" xr:uid="{00000000-0005-0000-0000-0000CD440000}"/>
    <cellStyle name="Normal 2 2 2 26 3" xfId="17614" xr:uid="{00000000-0005-0000-0000-0000CE440000}"/>
    <cellStyle name="Normal 2 2 2 26 3 10" xfId="17615" xr:uid="{00000000-0005-0000-0000-0000CF440000}"/>
    <cellStyle name="Normal 2 2 2 26 3 2" xfId="17616" xr:uid="{00000000-0005-0000-0000-0000D0440000}"/>
    <cellStyle name="Normal 2 2 2 26 3 3" xfId="17617" xr:uid="{00000000-0005-0000-0000-0000D1440000}"/>
    <cellStyle name="Normal 2 2 2 26 3 4" xfId="17618" xr:uid="{00000000-0005-0000-0000-0000D2440000}"/>
    <cellStyle name="Normal 2 2 2 26 3 5" xfId="17619" xr:uid="{00000000-0005-0000-0000-0000D3440000}"/>
    <cellStyle name="Normal 2 2 2 26 3 6" xfId="17620" xr:uid="{00000000-0005-0000-0000-0000D4440000}"/>
    <cellStyle name="Normal 2 2 2 26 3 7" xfId="17621" xr:uid="{00000000-0005-0000-0000-0000D5440000}"/>
    <cellStyle name="Normal 2 2 2 26 3 8" xfId="17622" xr:uid="{00000000-0005-0000-0000-0000D6440000}"/>
    <cellStyle name="Normal 2 2 2 26 3 9" xfId="17623" xr:uid="{00000000-0005-0000-0000-0000D7440000}"/>
    <cellStyle name="Normal 2 2 2 26 4" xfId="17624" xr:uid="{00000000-0005-0000-0000-0000D8440000}"/>
    <cellStyle name="Normal 2 2 2 26 4 10" xfId="17625" xr:uid="{00000000-0005-0000-0000-0000D9440000}"/>
    <cellStyle name="Normal 2 2 2 26 4 2" xfId="17626" xr:uid="{00000000-0005-0000-0000-0000DA440000}"/>
    <cellStyle name="Normal 2 2 2 26 4 3" xfId="17627" xr:uid="{00000000-0005-0000-0000-0000DB440000}"/>
    <cellStyle name="Normal 2 2 2 26 4 4" xfId="17628" xr:uid="{00000000-0005-0000-0000-0000DC440000}"/>
    <cellStyle name="Normal 2 2 2 26 4 5" xfId="17629" xr:uid="{00000000-0005-0000-0000-0000DD440000}"/>
    <cellStyle name="Normal 2 2 2 26 4 6" xfId="17630" xr:uid="{00000000-0005-0000-0000-0000DE440000}"/>
    <cellStyle name="Normal 2 2 2 26 4 7" xfId="17631" xr:uid="{00000000-0005-0000-0000-0000DF440000}"/>
    <cellStyle name="Normal 2 2 2 26 4 8" xfId="17632" xr:uid="{00000000-0005-0000-0000-0000E0440000}"/>
    <cellStyle name="Normal 2 2 2 26 4 9" xfId="17633" xr:uid="{00000000-0005-0000-0000-0000E1440000}"/>
    <cellStyle name="Normal 2 2 2 26 5" xfId="17634" xr:uid="{00000000-0005-0000-0000-0000E2440000}"/>
    <cellStyle name="Normal 2 2 2 26 5 10" xfId="17635" xr:uid="{00000000-0005-0000-0000-0000E3440000}"/>
    <cellStyle name="Normal 2 2 2 26 5 2" xfId="17636" xr:uid="{00000000-0005-0000-0000-0000E4440000}"/>
    <cellStyle name="Normal 2 2 2 26 5 3" xfId="17637" xr:uid="{00000000-0005-0000-0000-0000E5440000}"/>
    <cellStyle name="Normal 2 2 2 26 5 4" xfId="17638" xr:uid="{00000000-0005-0000-0000-0000E6440000}"/>
    <cellStyle name="Normal 2 2 2 26 5 5" xfId="17639" xr:uid="{00000000-0005-0000-0000-0000E7440000}"/>
    <cellStyle name="Normal 2 2 2 26 5 6" xfId="17640" xr:uid="{00000000-0005-0000-0000-0000E8440000}"/>
    <cellStyle name="Normal 2 2 2 26 5 7" xfId="17641" xr:uid="{00000000-0005-0000-0000-0000E9440000}"/>
    <cellStyle name="Normal 2 2 2 26 5 8" xfId="17642" xr:uid="{00000000-0005-0000-0000-0000EA440000}"/>
    <cellStyle name="Normal 2 2 2 26 5 9" xfId="17643" xr:uid="{00000000-0005-0000-0000-0000EB440000}"/>
    <cellStyle name="Normal 2 2 2 26 6" xfId="17644" xr:uid="{00000000-0005-0000-0000-0000EC440000}"/>
    <cellStyle name="Normal 2 2 2 26 7" xfId="17645" xr:uid="{00000000-0005-0000-0000-0000ED440000}"/>
    <cellStyle name="Normal 2 2 2 26 8" xfId="17646" xr:uid="{00000000-0005-0000-0000-0000EE440000}"/>
    <cellStyle name="Normal 2 2 2 26 9" xfId="17647" xr:uid="{00000000-0005-0000-0000-0000EF440000}"/>
    <cellStyle name="Normal 2 2 2 27" xfId="17648" xr:uid="{00000000-0005-0000-0000-0000F0440000}"/>
    <cellStyle name="Normal 2 2 2 27 10" xfId="17649" xr:uid="{00000000-0005-0000-0000-0000F1440000}"/>
    <cellStyle name="Normal 2 2 2 27 11" xfId="17650" xr:uid="{00000000-0005-0000-0000-0000F2440000}"/>
    <cellStyle name="Normal 2 2 2 27 12" xfId="17651" xr:uid="{00000000-0005-0000-0000-0000F3440000}"/>
    <cellStyle name="Normal 2 2 2 27 13" xfId="17652" xr:uid="{00000000-0005-0000-0000-0000F4440000}"/>
    <cellStyle name="Normal 2 2 2 27 14" xfId="17653" xr:uid="{00000000-0005-0000-0000-0000F5440000}"/>
    <cellStyle name="Normal 2 2 2 27 2" xfId="17654" xr:uid="{00000000-0005-0000-0000-0000F6440000}"/>
    <cellStyle name="Normal 2 2 2 27 2 10" xfId="17655" xr:uid="{00000000-0005-0000-0000-0000F7440000}"/>
    <cellStyle name="Normal 2 2 2 27 2 2" xfId="17656" xr:uid="{00000000-0005-0000-0000-0000F8440000}"/>
    <cellStyle name="Normal 2 2 2 27 2 3" xfId="17657" xr:uid="{00000000-0005-0000-0000-0000F9440000}"/>
    <cellStyle name="Normal 2 2 2 27 2 4" xfId="17658" xr:uid="{00000000-0005-0000-0000-0000FA440000}"/>
    <cellStyle name="Normal 2 2 2 27 2 5" xfId="17659" xr:uid="{00000000-0005-0000-0000-0000FB440000}"/>
    <cellStyle name="Normal 2 2 2 27 2 6" xfId="17660" xr:uid="{00000000-0005-0000-0000-0000FC440000}"/>
    <cellStyle name="Normal 2 2 2 27 2 7" xfId="17661" xr:uid="{00000000-0005-0000-0000-0000FD440000}"/>
    <cellStyle name="Normal 2 2 2 27 2 8" xfId="17662" xr:uid="{00000000-0005-0000-0000-0000FE440000}"/>
    <cellStyle name="Normal 2 2 2 27 2 9" xfId="17663" xr:uid="{00000000-0005-0000-0000-0000FF440000}"/>
    <cellStyle name="Normal 2 2 2 27 3" xfId="17664" xr:uid="{00000000-0005-0000-0000-000000450000}"/>
    <cellStyle name="Normal 2 2 2 27 3 10" xfId="17665" xr:uid="{00000000-0005-0000-0000-000001450000}"/>
    <cellStyle name="Normal 2 2 2 27 3 2" xfId="17666" xr:uid="{00000000-0005-0000-0000-000002450000}"/>
    <cellStyle name="Normal 2 2 2 27 3 3" xfId="17667" xr:uid="{00000000-0005-0000-0000-000003450000}"/>
    <cellStyle name="Normal 2 2 2 27 3 4" xfId="17668" xr:uid="{00000000-0005-0000-0000-000004450000}"/>
    <cellStyle name="Normal 2 2 2 27 3 5" xfId="17669" xr:uid="{00000000-0005-0000-0000-000005450000}"/>
    <cellStyle name="Normal 2 2 2 27 3 6" xfId="17670" xr:uid="{00000000-0005-0000-0000-000006450000}"/>
    <cellStyle name="Normal 2 2 2 27 3 7" xfId="17671" xr:uid="{00000000-0005-0000-0000-000007450000}"/>
    <cellStyle name="Normal 2 2 2 27 3 8" xfId="17672" xr:uid="{00000000-0005-0000-0000-000008450000}"/>
    <cellStyle name="Normal 2 2 2 27 3 9" xfId="17673" xr:uid="{00000000-0005-0000-0000-000009450000}"/>
    <cellStyle name="Normal 2 2 2 27 4" xfId="17674" xr:uid="{00000000-0005-0000-0000-00000A450000}"/>
    <cellStyle name="Normal 2 2 2 27 4 10" xfId="17675" xr:uid="{00000000-0005-0000-0000-00000B450000}"/>
    <cellStyle name="Normal 2 2 2 27 4 2" xfId="17676" xr:uid="{00000000-0005-0000-0000-00000C450000}"/>
    <cellStyle name="Normal 2 2 2 27 4 3" xfId="17677" xr:uid="{00000000-0005-0000-0000-00000D450000}"/>
    <cellStyle name="Normal 2 2 2 27 4 4" xfId="17678" xr:uid="{00000000-0005-0000-0000-00000E450000}"/>
    <cellStyle name="Normal 2 2 2 27 4 5" xfId="17679" xr:uid="{00000000-0005-0000-0000-00000F450000}"/>
    <cellStyle name="Normal 2 2 2 27 4 6" xfId="17680" xr:uid="{00000000-0005-0000-0000-000010450000}"/>
    <cellStyle name="Normal 2 2 2 27 4 7" xfId="17681" xr:uid="{00000000-0005-0000-0000-000011450000}"/>
    <cellStyle name="Normal 2 2 2 27 4 8" xfId="17682" xr:uid="{00000000-0005-0000-0000-000012450000}"/>
    <cellStyle name="Normal 2 2 2 27 4 9" xfId="17683" xr:uid="{00000000-0005-0000-0000-000013450000}"/>
    <cellStyle name="Normal 2 2 2 27 5" xfId="17684" xr:uid="{00000000-0005-0000-0000-000014450000}"/>
    <cellStyle name="Normal 2 2 2 27 5 10" xfId="17685" xr:uid="{00000000-0005-0000-0000-000015450000}"/>
    <cellStyle name="Normal 2 2 2 27 5 2" xfId="17686" xr:uid="{00000000-0005-0000-0000-000016450000}"/>
    <cellStyle name="Normal 2 2 2 27 5 3" xfId="17687" xr:uid="{00000000-0005-0000-0000-000017450000}"/>
    <cellStyle name="Normal 2 2 2 27 5 4" xfId="17688" xr:uid="{00000000-0005-0000-0000-000018450000}"/>
    <cellStyle name="Normal 2 2 2 27 5 5" xfId="17689" xr:uid="{00000000-0005-0000-0000-000019450000}"/>
    <cellStyle name="Normal 2 2 2 27 5 6" xfId="17690" xr:uid="{00000000-0005-0000-0000-00001A450000}"/>
    <cellStyle name="Normal 2 2 2 27 5 7" xfId="17691" xr:uid="{00000000-0005-0000-0000-00001B450000}"/>
    <cellStyle name="Normal 2 2 2 27 5 8" xfId="17692" xr:uid="{00000000-0005-0000-0000-00001C450000}"/>
    <cellStyle name="Normal 2 2 2 27 5 9" xfId="17693" xr:uid="{00000000-0005-0000-0000-00001D450000}"/>
    <cellStyle name="Normal 2 2 2 27 6" xfId="17694" xr:uid="{00000000-0005-0000-0000-00001E450000}"/>
    <cellStyle name="Normal 2 2 2 27 7" xfId="17695" xr:uid="{00000000-0005-0000-0000-00001F450000}"/>
    <cellStyle name="Normal 2 2 2 27 8" xfId="17696" xr:uid="{00000000-0005-0000-0000-000020450000}"/>
    <cellStyle name="Normal 2 2 2 27 9" xfId="17697" xr:uid="{00000000-0005-0000-0000-000021450000}"/>
    <cellStyle name="Normal 2 2 2 28" xfId="17698" xr:uid="{00000000-0005-0000-0000-000022450000}"/>
    <cellStyle name="Normal 2 2 2 28 10" xfId="17699" xr:uid="{00000000-0005-0000-0000-000023450000}"/>
    <cellStyle name="Normal 2 2 2 28 11" xfId="17700" xr:uid="{00000000-0005-0000-0000-000024450000}"/>
    <cellStyle name="Normal 2 2 2 28 12" xfId="17701" xr:uid="{00000000-0005-0000-0000-000025450000}"/>
    <cellStyle name="Normal 2 2 2 28 13" xfId="17702" xr:uid="{00000000-0005-0000-0000-000026450000}"/>
    <cellStyle name="Normal 2 2 2 28 14" xfId="17703" xr:uid="{00000000-0005-0000-0000-000027450000}"/>
    <cellStyle name="Normal 2 2 2 28 2" xfId="17704" xr:uid="{00000000-0005-0000-0000-000028450000}"/>
    <cellStyle name="Normal 2 2 2 28 2 10" xfId="17705" xr:uid="{00000000-0005-0000-0000-000029450000}"/>
    <cellStyle name="Normal 2 2 2 28 2 2" xfId="17706" xr:uid="{00000000-0005-0000-0000-00002A450000}"/>
    <cellStyle name="Normal 2 2 2 28 2 3" xfId="17707" xr:uid="{00000000-0005-0000-0000-00002B450000}"/>
    <cellStyle name="Normal 2 2 2 28 2 4" xfId="17708" xr:uid="{00000000-0005-0000-0000-00002C450000}"/>
    <cellStyle name="Normal 2 2 2 28 2 5" xfId="17709" xr:uid="{00000000-0005-0000-0000-00002D450000}"/>
    <cellStyle name="Normal 2 2 2 28 2 6" xfId="17710" xr:uid="{00000000-0005-0000-0000-00002E450000}"/>
    <cellStyle name="Normal 2 2 2 28 2 7" xfId="17711" xr:uid="{00000000-0005-0000-0000-00002F450000}"/>
    <cellStyle name="Normal 2 2 2 28 2 8" xfId="17712" xr:uid="{00000000-0005-0000-0000-000030450000}"/>
    <cellStyle name="Normal 2 2 2 28 2 9" xfId="17713" xr:uid="{00000000-0005-0000-0000-000031450000}"/>
    <cellStyle name="Normal 2 2 2 28 3" xfId="17714" xr:uid="{00000000-0005-0000-0000-000032450000}"/>
    <cellStyle name="Normal 2 2 2 28 3 10" xfId="17715" xr:uid="{00000000-0005-0000-0000-000033450000}"/>
    <cellStyle name="Normal 2 2 2 28 3 2" xfId="17716" xr:uid="{00000000-0005-0000-0000-000034450000}"/>
    <cellStyle name="Normal 2 2 2 28 3 3" xfId="17717" xr:uid="{00000000-0005-0000-0000-000035450000}"/>
    <cellStyle name="Normal 2 2 2 28 3 4" xfId="17718" xr:uid="{00000000-0005-0000-0000-000036450000}"/>
    <cellStyle name="Normal 2 2 2 28 3 5" xfId="17719" xr:uid="{00000000-0005-0000-0000-000037450000}"/>
    <cellStyle name="Normal 2 2 2 28 3 6" xfId="17720" xr:uid="{00000000-0005-0000-0000-000038450000}"/>
    <cellStyle name="Normal 2 2 2 28 3 7" xfId="17721" xr:uid="{00000000-0005-0000-0000-000039450000}"/>
    <cellStyle name="Normal 2 2 2 28 3 8" xfId="17722" xr:uid="{00000000-0005-0000-0000-00003A450000}"/>
    <cellStyle name="Normal 2 2 2 28 3 9" xfId="17723" xr:uid="{00000000-0005-0000-0000-00003B450000}"/>
    <cellStyle name="Normal 2 2 2 28 4" xfId="17724" xr:uid="{00000000-0005-0000-0000-00003C450000}"/>
    <cellStyle name="Normal 2 2 2 28 4 10" xfId="17725" xr:uid="{00000000-0005-0000-0000-00003D450000}"/>
    <cellStyle name="Normal 2 2 2 28 4 2" xfId="17726" xr:uid="{00000000-0005-0000-0000-00003E450000}"/>
    <cellStyle name="Normal 2 2 2 28 4 3" xfId="17727" xr:uid="{00000000-0005-0000-0000-00003F450000}"/>
    <cellStyle name="Normal 2 2 2 28 4 4" xfId="17728" xr:uid="{00000000-0005-0000-0000-000040450000}"/>
    <cellStyle name="Normal 2 2 2 28 4 5" xfId="17729" xr:uid="{00000000-0005-0000-0000-000041450000}"/>
    <cellStyle name="Normal 2 2 2 28 4 6" xfId="17730" xr:uid="{00000000-0005-0000-0000-000042450000}"/>
    <cellStyle name="Normal 2 2 2 28 4 7" xfId="17731" xr:uid="{00000000-0005-0000-0000-000043450000}"/>
    <cellStyle name="Normal 2 2 2 28 4 8" xfId="17732" xr:uid="{00000000-0005-0000-0000-000044450000}"/>
    <cellStyle name="Normal 2 2 2 28 4 9" xfId="17733" xr:uid="{00000000-0005-0000-0000-000045450000}"/>
    <cellStyle name="Normal 2 2 2 28 5" xfId="17734" xr:uid="{00000000-0005-0000-0000-000046450000}"/>
    <cellStyle name="Normal 2 2 2 28 5 10" xfId="17735" xr:uid="{00000000-0005-0000-0000-000047450000}"/>
    <cellStyle name="Normal 2 2 2 28 5 2" xfId="17736" xr:uid="{00000000-0005-0000-0000-000048450000}"/>
    <cellStyle name="Normal 2 2 2 28 5 3" xfId="17737" xr:uid="{00000000-0005-0000-0000-000049450000}"/>
    <cellStyle name="Normal 2 2 2 28 5 4" xfId="17738" xr:uid="{00000000-0005-0000-0000-00004A450000}"/>
    <cellStyle name="Normal 2 2 2 28 5 5" xfId="17739" xr:uid="{00000000-0005-0000-0000-00004B450000}"/>
    <cellStyle name="Normal 2 2 2 28 5 6" xfId="17740" xr:uid="{00000000-0005-0000-0000-00004C450000}"/>
    <cellStyle name="Normal 2 2 2 28 5 7" xfId="17741" xr:uid="{00000000-0005-0000-0000-00004D450000}"/>
    <cellStyle name="Normal 2 2 2 28 5 8" xfId="17742" xr:uid="{00000000-0005-0000-0000-00004E450000}"/>
    <cellStyle name="Normal 2 2 2 28 5 9" xfId="17743" xr:uid="{00000000-0005-0000-0000-00004F450000}"/>
    <cellStyle name="Normal 2 2 2 28 6" xfId="17744" xr:uid="{00000000-0005-0000-0000-000050450000}"/>
    <cellStyle name="Normal 2 2 2 28 7" xfId="17745" xr:uid="{00000000-0005-0000-0000-000051450000}"/>
    <cellStyle name="Normal 2 2 2 28 8" xfId="17746" xr:uid="{00000000-0005-0000-0000-000052450000}"/>
    <cellStyle name="Normal 2 2 2 28 9" xfId="17747" xr:uid="{00000000-0005-0000-0000-000053450000}"/>
    <cellStyle name="Normal 2 2 2 29" xfId="17748" xr:uid="{00000000-0005-0000-0000-000054450000}"/>
    <cellStyle name="Normal 2 2 2 29 10" xfId="17749" xr:uid="{00000000-0005-0000-0000-000055450000}"/>
    <cellStyle name="Normal 2 2 2 29 11" xfId="17750" xr:uid="{00000000-0005-0000-0000-000056450000}"/>
    <cellStyle name="Normal 2 2 2 29 12" xfId="17751" xr:uid="{00000000-0005-0000-0000-000057450000}"/>
    <cellStyle name="Normal 2 2 2 29 13" xfId="17752" xr:uid="{00000000-0005-0000-0000-000058450000}"/>
    <cellStyle name="Normal 2 2 2 29 14" xfId="17753" xr:uid="{00000000-0005-0000-0000-000059450000}"/>
    <cellStyle name="Normal 2 2 2 29 2" xfId="17754" xr:uid="{00000000-0005-0000-0000-00005A450000}"/>
    <cellStyle name="Normal 2 2 2 29 2 10" xfId="17755" xr:uid="{00000000-0005-0000-0000-00005B450000}"/>
    <cellStyle name="Normal 2 2 2 29 2 2" xfId="17756" xr:uid="{00000000-0005-0000-0000-00005C450000}"/>
    <cellStyle name="Normal 2 2 2 29 2 3" xfId="17757" xr:uid="{00000000-0005-0000-0000-00005D450000}"/>
    <cellStyle name="Normal 2 2 2 29 2 4" xfId="17758" xr:uid="{00000000-0005-0000-0000-00005E450000}"/>
    <cellStyle name="Normal 2 2 2 29 2 5" xfId="17759" xr:uid="{00000000-0005-0000-0000-00005F450000}"/>
    <cellStyle name="Normal 2 2 2 29 2 6" xfId="17760" xr:uid="{00000000-0005-0000-0000-000060450000}"/>
    <cellStyle name="Normal 2 2 2 29 2 7" xfId="17761" xr:uid="{00000000-0005-0000-0000-000061450000}"/>
    <cellStyle name="Normal 2 2 2 29 2 8" xfId="17762" xr:uid="{00000000-0005-0000-0000-000062450000}"/>
    <cellStyle name="Normal 2 2 2 29 2 9" xfId="17763" xr:uid="{00000000-0005-0000-0000-000063450000}"/>
    <cellStyle name="Normal 2 2 2 29 3" xfId="17764" xr:uid="{00000000-0005-0000-0000-000064450000}"/>
    <cellStyle name="Normal 2 2 2 29 3 10" xfId="17765" xr:uid="{00000000-0005-0000-0000-000065450000}"/>
    <cellStyle name="Normal 2 2 2 29 3 2" xfId="17766" xr:uid="{00000000-0005-0000-0000-000066450000}"/>
    <cellStyle name="Normal 2 2 2 29 3 3" xfId="17767" xr:uid="{00000000-0005-0000-0000-000067450000}"/>
    <cellStyle name="Normal 2 2 2 29 3 4" xfId="17768" xr:uid="{00000000-0005-0000-0000-000068450000}"/>
    <cellStyle name="Normal 2 2 2 29 3 5" xfId="17769" xr:uid="{00000000-0005-0000-0000-000069450000}"/>
    <cellStyle name="Normal 2 2 2 29 3 6" xfId="17770" xr:uid="{00000000-0005-0000-0000-00006A450000}"/>
    <cellStyle name="Normal 2 2 2 29 3 7" xfId="17771" xr:uid="{00000000-0005-0000-0000-00006B450000}"/>
    <cellStyle name="Normal 2 2 2 29 3 8" xfId="17772" xr:uid="{00000000-0005-0000-0000-00006C450000}"/>
    <cellStyle name="Normal 2 2 2 29 3 9" xfId="17773" xr:uid="{00000000-0005-0000-0000-00006D450000}"/>
    <cellStyle name="Normal 2 2 2 29 4" xfId="17774" xr:uid="{00000000-0005-0000-0000-00006E450000}"/>
    <cellStyle name="Normal 2 2 2 29 4 10" xfId="17775" xr:uid="{00000000-0005-0000-0000-00006F450000}"/>
    <cellStyle name="Normal 2 2 2 29 4 2" xfId="17776" xr:uid="{00000000-0005-0000-0000-000070450000}"/>
    <cellStyle name="Normal 2 2 2 29 4 3" xfId="17777" xr:uid="{00000000-0005-0000-0000-000071450000}"/>
    <cellStyle name="Normal 2 2 2 29 4 4" xfId="17778" xr:uid="{00000000-0005-0000-0000-000072450000}"/>
    <cellStyle name="Normal 2 2 2 29 4 5" xfId="17779" xr:uid="{00000000-0005-0000-0000-000073450000}"/>
    <cellStyle name="Normal 2 2 2 29 4 6" xfId="17780" xr:uid="{00000000-0005-0000-0000-000074450000}"/>
    <cellStyle name="Normal 2 2 2 29 4 7" xfId="17781" xr:uid="{00000000-0005-0000-0000-000075450000}"/>
    <cellStyle name="Normal 2 2 2 29 4 8" xfId="17782" xr:uid="{00000000-0005-0000-0000-000076450000}"/>
    <cellStyle name="Normal 2 2 2 29 4 9" xfId="17783" xr:uid="{00000000-0005-0000-0000-000077450000}"/>
    <cellStyle name="Normal 2 2 2 29 5" xfId="17784" xr:uid="{00000000-0005-0000-0000-000078450000}"/>
    <cellStyle name="Normal 2 2 2 29 5 10" xfId="17785" xr:uid="{00000000-0005-0000-0000-000079450000}"/>
    <cellStyle name="Normal 2 2 2 29 5 2" xfId="17786" xr:uid="{00000000-0005-0000-0000-00007A450000}"/>
    <cellStyle name="Normal 2 2 2 29 5 3" xfId="17787" xr:uid="{00000000-0005-0000-0000-00007B450000}"/>
    <cellStyle name="Normal 2 2 2 29 5 4" xfId="17788" xr:uid="{00000000-0005-0000-0000-00007C450000}"/>
    <cellStyle name="Normal 2 2 2 29 5 5" xfId="17789" xr:uid="{00000000-0005-0000-0000-00007D450000}"/>
    <cellStyle name="Normal 2 2 2 29 5 6" xfId="17790" xr:uid="{00000000-0005-0000-0000-00007E450000}"/>
    <cellStyle name="Normal 2 2 2 29 5 7" xfId="17791" xr:uid="{00000000-0005-0000-0000-00007F450000}"/>
    <cellStyle name="Normal 2 2 2 29 5 8" xfId="17792" xr:uid="{00000000-0005-0000-0000-000080450000}"/>
    <cellStyle name="Normal 2 2 2 29 5 9" xfId="17793" xr:uid="{00000000-0005-0000-0000-000081450000}"/>
    <cellStyle name="Normal 2 2 2 29 6" xfId="17794" xr:uid="{00000000-0005-0000-0000-000082450000}"/>
    <cellStyle name="Normal 2 2 2 29 7" xfId="17795" xr:uid="{00000000-0005-0000-0000-000083450000}"/>
    <cellStyle name="Normal 2 2 2 29 8" xfId="17796" xr:uid="{00000000-0005-0000-0000-000084450000}"/>
    <cellStyle name="Normal 2 2 2 29 9" xfId="17797" xr:uid="{00000000-0005-0000-0000-000085450000}"/>
    <cellStyle name="Normal 2 2 2 3" xfId="420" xr:uid="{00000000-0005-0000-0000-0000A4010000}"/>
    <cellStyle name="Normal 2 2 2 3 10" xfId="17798" xr:uid="{00000000-0005-0000-0000-000086450000}"/>
    <cellStyle name="Normal 2 2 2 3 10 10" xfId="17799" xr:uid="{00000000-0005-0000-0000-000087450000}"/>
    <cellStyle name="Normal 2 2 2 3 10 11" xfId="17800" xr:uid="{00000000-0005-0000-0000-000088450000}"/>
    <cellStyle name="Normal 2 2 2 3 10 12" xfId="17801" xr:uid="{00000000-0005-0000-0000-000089450000}"/>
    <cellStyle name="Normal 2 2 2 3 10 13" xfId="17802" xr:uid="{00000000-0005-0000-0000-00008A450000}"/>
    <cellStyle name="Normal 2 2 2 3 10 14" xfId="17803" xr:uid="{00000000-0005-0000-0000-00008B450000}"/>
    <cellStyle name="Normal 2 2 2 3 10 2" xfId="17804" xr:uid="{00000000-0005-0000-0000-00008C450000}"/>
    <cellStyle name="Normal 2 2 2 3 10 2 10" xfId="17805" xr:uid="{00000000-0005-0000-0000-00008D450000}"/>
    <cellStyle name="Normal 2 2 2 3 10 2 2" xfId="17806" xr:uid="{00000000-0005-0000-0000-00008E450000}"/>
    <cellStyle name="Normal 2 2 2 3 10 2 3" xfId="17807" xr:uid="{00000000-0005-0000-0000-00008F450000}"/>
    <cellStyle name="Normal 2 2 2 3 10 2 4" xfId="17808" xr:uid="{00000000-0005-0000-0000-000090450000}"/>
    <cellStyle name="Normal 2 2 2 3 10 2 5" xfId="17809" xr:uid="{00000000-0005-0000-0000-000091450000}"/>
    <cellStyle name="Normal 2 2 2 3 10 2 6" xfId="17810" xr:uid="{00000000-0005-0000-0000-000092450000}"/>
    <cellStyle name="Normal 2 2 2 3 10 2 7" xfId="17811" xr:uid="{00000000-0005-0000-0000-000093450000}"/>
    <cellStyle name="Normal 2 2 2 3 10 2 8" xfId="17812" xr:uid="{00000000-0005-0000-0000-000094450000}"/>
    <cellStyle name="Normal 2 2 2 3 10 2 9" xfId="17813" xr:uid="{00000000-0005-0000-0000-000095450000}"/>
    <cellStyle name="Normal 2 2 2 3 10 3" xfId="17814" xr:uid="{00000000-0005-0000-0000-000096450000}"/>
    <cellStyle name="Normal 2 2 2 3 10 3 10" xfId="17815" xr:uid="{00000000-0005-0000-0000-000097450000}"/>
    <cellStyle name="Normal 2 2 2 3 10 3 2" xfId="17816" xr:uid="{00000000-0005-0000-0000-000098450000}"/>
    <cellStyle name="Normal 2 2 2 3 10 3 3" xfId="17817" xr:uid="{00000000-0005-0000-0000-000099450000}"/>
    <cellStyle name="Normal 2 2 2 3 10 3 4" xfId="17818" xr:uid="{00000000-0005-0000-0000-00009A450000}"/>
    <cellStyle name="Normal 2 2 2 3 10 3 5" xfId="17819" xr:uid="{00000000-0005-0000-0000-00009B450000}"/>
    <cellStyle name="Normal 2 2 2 3 10 3 6" xfId="17820" xr:uid="{00000000-0005-0000-0000-00009C450000}"/>
    <cellStyle name="Normal 2 2 2 3 10 3 7" xfId="17821" xr:uid="{00000000-0005-0000-0000-00009D450000}"/>
    <cellStyle name="Normal 2 2 2 3 10 3 8" xfId="17822" xr:uid="{00000000-0005-0000-0000-00009E450000}"/>
    <cellStyle name="Normal 2 2 2 3 10 3 9" xfId="17823" xr:uid="{00000000-0005-0000-0000-00009F450000}"/>
    <cellStyle name="Normal 2 2 2 3 10 4" xfId="17824" xr:uid="{00000000-0005-0000-0000-0000A0450000}"/>
    <cellStyle name="Normal 2 2 2 3 10 4 10" xfId="17825" xr:uid="{00000000-0005-0000-0000-0000A1450000}"/>
    <cellStyle name="Normal 2 2 2 3 10 4 2" xfId="17826" xr:uid="{00000000-0005-0000-0000-0000A2450000}"/>
    <cellStyle name="Normal 2 2 2 3 10 4 3" xfId="17827" xr:uid="{00000000-0005-0000-0000-0000A3450000}"/>
    <cellStyle name="Normal 2 2 2 3 10 4 4" xfId="17828" xr:uid="{00000000-0005-0000-0000-0000A4450000}"/>
    <cellStyle name="Normal 2 2 2 3 10 4 5" xfId="17829" xr:uid="{00000000-0005-0000-0000-0000A5450000}"/>
    <cellStyle name="Normal 2 2 2 3 10 4 6" xfId="17830" xr:uid="{00000000-0005-0000-0000-0000A6450000}"/>
    <cellStyle name="Normal 2 2 2 3 10 4 7" xfId="17831" xr:uid="{00000000-0005-0000-0000-0000A7450000}"/>
    <cellStyle name="Normal 2 2 2 3 10 4 8" xfId="17832" xr:uid="{00000000-0005-0000-0000-0000A8450000}"/>
    <cellStyle name="Normal 2 2 2 3 10 4 9" xfId="17833" xr:uid="{00000000-0005-0000-0000-0000A9450000}"/>
    <cellStyle name="Normal 2 2 2 3 10 5" xfId="17834" xr:uid="{00000000-0005-0000-0000-0000AA450000}"/>
    <cellStyle name="Normal 2 2 2 3 10 5 10" xfId="17835" xr:uid="{00000000-0005-0000-0000-0000AB450000}"/>
    <cellStyle name="Normal 2 2 2 3 10 5 2" xfId="17836" xr:uid="{00000000-0005-0000-0000-0000AC450000}"/>
    <cellStyle name="Normal 2 2 2 3 10 5 3" xfId="17837" xr:uid="{00000000-0005-0000-0000-0000AD450000}"/>
    <cellStyle name="Normal 2 2 2 3 10 5 4" xfId="17838" xr:uid="{00000000-0005-0000-0000-0000AE450000}"/>
    <cellStyle name="Normal 2 2 2 3 10 5 5" xfId="17839" xr:uid="{00000000-0005-0000-0000-0000AF450000}"/>
    <cellStyle name="Normal 2 2 2 3 10 5 6" xfId="17840" xr:uid="{00000000-0005-0000-0000-0000B0450000}"/>
    <cellStyle name="Normal 2 2 2 3 10 5 7" xfId="17841" xr:uid="{00000000-0005-0000-0000-0000B1450000}"/>
    <cellStyle name="Normal 2 2 2 3 10 5 8" xfId="17842" xr:uid="{00000000-0005-0000-0000-0000B2450000}"/>
    <cellStyle name="Normal 2 2 2 3 10 5 9" xfId="17843" xr:uid="{00000000-0005-0000-0000-0000B3450000}"/>
    <cellStyle name="Normal 2 2 2 3 10 6" xfId="17844" xr:uid="{00000000-0005-0000-0000-0000B4450000}"/>
    <cellStyle name="Normal 2 2 2 3 10 7" xfId="17845" xr:uid="{00000000-0005-0000-0000-0000B5450000}"/>
    <cellStyle name="Normal 2 2 2 3 10 8" xfId="17846" xr:uid="{00000000-0005-0000-0000-0000B6450000}"/>
    <cellStyle name="Normal 2 2 2 3 10 9" xfId="17847" xr:uid="{00000000-0005-0000-0000-0000B7450000}"/>
    <cellStyle name="Normal 2 2 2 3 11" xfId="17848" xr:uid="{00000000-0005-0000-0000-0000B8450000}"/>
    <cellStyle name="Normal 2 2 2 3 11 10" xfId="17849" xr:uid="{00000000-0005-0000-0000-0000B9450000}"/>
    <cellStyle name="Normal 2 2 2 3 11 11" xfId="17850" xr:uid="{00000000-0005-0000-0000-0000BA450000}"/>
    <cellStyle name="Normal 2 2 2 3 11 12" xfId="17851" xr:uid="{00000000-0005-0000-0000-0000BB450000}"/>
    <cellStyle name="Normal 2 2 2 3 11 13" xfId="17852" xr:uid="{00000000-0005-0000-0000-0000BC450000}"/>
    <cellStyle name="Normal 2 2 2 3 11 14" xfId="17853" xr:uid="{00000000-0005-0000-0000-0000BD450000}"/>
    <cellStyle name="Normal 2 2 2 3 11 2" xfId="17854" xr:uid="{00000000-0005-0000-0000-0000BE450000}"/>
    <cellStyle name="Normal 2 2 2 3 11 2 10" xfId="17855" xr:uid="{00000000-0005-0000-0000-0000BF450000}"/>
    <cellStyle name="Normal 2 2 2 3 11 2 2" xfId="17856" xr:uid="{00000000-0005-0000-0000-0000C0450000}"/>
    <cellStyle name="Normal 2 2 2 3 11 2 3" xfId="17857" xr:uid="{00000000-0005-0000-0000-0000C1450000}"/>
    <cellStyle name="Normal 2 2 2 3 11 2 4" xfId="17858" xr:uid="{00000000-0005-0000-0000-0000C2450000}"/>
    <cellStyle name="Normal 2 2 2 3 11 2 5" xfId="17859" xr:uid="{00000000-0005-0000-0000-0000C3450000}"/>
    <cellStyle name="Normal 2 2 2 3 11 2 6" xfId="17860" xr:uid="{00000000-0005-0000-0000-0000C4450000}"/>
    <cellStyle name="Normal 2 2 2 3 11 2 7" xfId="17861" xr:uid="{00000000-0005-0000-0000-0000C5450000}"/>
    <cellStyle name="Normal 2 2 2 3 11 2 8" xfId="17862" xr:uid="{00000000-0005-0000-0000-0000C6450000}"/>
    <cellStyle name="Normal 2 2 2 3 11 2 9" xfId="17863" xr:uid="{00000000-0005-0000-0000-0000C7450000}"/>
    <cellStyle name="Normal 2 2 2 3 11 3" xfId="17864" xr:uid="{00000000-0005-0000-0000-0000C8450000}"/>
    <cellStyle name="Normal 2 2 2 3 11 3 10" xfId="17865" xr:uid="{00000000-0005-0000-0000-0000C9450000}"/>
    <cellStyle name="Normal 2 2 2 3 11 3 2" xfId="17866" xr:uid="{00000000-0005-0000-0000-0000CA450000}"/>
    <cellStyle name="Normal 2 2 2 3 11 3 3" xfId="17867" xr:uid="{00000000-0005-0000-0000-0000CB450000}"/>
    <cellStyle name="Normal 2 2 2 3 11 3 4" xfId="17868" xr:uid="{00000000-0005-0000-0000-0000CC450000}"/>
    <cellStyle name="Normal 2 2 2 3 11 3 5" xfId="17869" xr:uid="{00000000-0005-0000-0000-0000CD450000}"/>
    <cellStyle name="Normal 2 2 2 3 11 3 6" xfId="17870" xr:uid="{00000000-0005-0000-0000-0000CE450000}"/>
    <cellStyle name="Normal 2 2 2 3 11 3 7" xfId="17871" xr:uid="{00000000-0005-0000-0000-0000CF450000}"/>
    <cellStyle name="Normal 2 2 2 3 11 3 8" xfId="17872" xr:uid="{00000000-0005-0000-0000-0000D0450000}"/>
    <cellStyle name="Normal 2 2 2 3 11 3 9" xfId="17873" xr:uid="{00000000-0005-0000-0000-0000D1450000}"/>
    <cellStyle name="Normal 2 2 2 3 11 4" xfId="17874" xr:uid="{00000000-0005-0000-0000-0000D2450000}"/>
    <cellStyle name="Normal 2 2 2 3 11 4 10" xfId="17875" xr:uid="{00000000-0005-0000-0000-0000D3450000}"/>
    <cellStyle name="Normal 2 2 2 3 11 4 2" xfId="17876" xr:uid="{00000000-0005-0000-0000-0000D4450000}"/>
    <cellStyle name="Normal 2 2 2 3 11 4 3" xfId="17877" xr:uid="{00000000-0005-0000-0000-0000D5450000}"/>
    <cellStyle name="Normal 2 2 2 3 11 4 4" xfId="17878" xr:uid="{00000000-0005-0000-0000-0000D6450000}"/>
    <cellStyle name="Normal 2 2 2 3 11 4 5" xfId="17879" xr:uid="{00000000-0005-0000-0000-0000D7450000}"/>
    <cellStyle name="Normal 2 2 2 3 11 4 6" xfId="17880" xr:uid="{00000000-0005-0000-0000-0000D8450000}"/>
    <cellStyle name="Normal 2 2 2 3 11 4 7" xfId="17881" xr:uid="{00000000-0005-0000-0000-0000D9450000}"/>
    <cellStyle name="Normal 2 2 2 3 11 4 8" xfId="17882" xr:uid="{00000000-0005-0000-0000-0000DA450000}"/>
    <cellStyle name="Normal 2 2 2 3 11 4 9" xfId="17883" xr:uid="{00000000-0005-0000-0000-0000DB450000}"/>
    <cellStyle name="Normal 2 2 2 3 11 5" xfId="17884" xr:uid="{00000000-0005-0000-0000-0000DC450000}"/>
    <cellStyle name="Normal 2 2 2 3 11 5 10" xfId="17885" xr:uid="{00000000-0005-0000-0000-0000DD450000}"/>
    <cellStyle name="Normal 2 2 2 3 11 5 2" xfId="17886" xr:uid="{00000000-0005-0000-0000-0000DE450000}"/>
    <cellStyle name="Normal 2 2 2 3 11 5 3" xfId="17887" xr:uid="{00000000-0005-0000-0000-0000DF450000}"/>
    <cellStyle name="Normal 2 2 2 3 11 5 4" xfId="17888" xr:uid="{00000000-0005-0000-0000-0000E0450000}"/>
    <cellStyle name="Normal 2 2 2 3 11 5 5" xfId="17889" xr:uid="{00000000-0005-0000-0000-0000E1450000}"/>
    <cellStyle name="Normal 2 2 2 3 11 5 6" xfId="17890" xr:uid="{00000000-0005-0000-0000-0000E2450000}"/>
    <cellStyle name="Normal 2 2 2 3 11 5 7" xfId="17891" xr:uid="{00000000-0005-0000-0000-0000E3450000}"/>
    <cellStyle name="Normal 2 2 2 3 11 5 8" xfId="17892" xr:uid="{00000000-0005-0000-0000-0000E4450000}"/>
    <cellStyle name="Normal 2 2 2 3 11 5 9" xfId="17893" xr:uid="{00000000-0005-0000-0000-0000E5450000}"/>
    <cellStyle name="Normal 2 2 2 3 11 6" xfId="17894" xr:uid="{00000000-0005-0000-0000-0000E6450000}"/>
    <cellStyle name="Normal 2 2 2 3 11 7" xfId="17895" xr:uid="{00000000-0005-0000-0000-0000E7450000}"/>
    <cellStyle name="Normal 2 2 2 3 11 8" xfId="17896" xr:uid="{00000000-0005-0000-0000-0000E8450000}"/>
    <cellStyle name="Normal 2 2 2 3 11 9" xfId="17897" xr:uid="{00000000-0005-0000-0000-0000E9450000}"/>
    <cellStyle name="Normal 2 2 2 3 12" xfId="17898" xr:uid="{00000000-0005-0000-0000-0000EA450000}"/>
    <cellStyle name="Normal 2 2 2 3 12 10" xfId="17899" xr:uid="{00000000-0005-0000-0000-0000EB450000}"/>
    <cellStyle name="Normal 2 2 2 3 12 11" xfId="17900" xr:uid="{00000000-0005-0000-0000-0000EC450000}"/>
    <cellStyle name="Normal 2 2 2 3 12 12" xfId="17901" xr:uid="{00000000-0005-0000-0000-0000ED450000}"/>
    <cellStyle name="Normal 2 2 2 3 12 13" xfId="17902" xr:uid="{00000000-0005-0000-0000-0000EE450000}"/>
    <cellStyle name="Normal 2 2 2 3 12 14" xfId="17903" xr:uid="{00000000-0005-0000-0000-0000EF450000}"/>
    <cellStyle name="Normal 2 2 2 3 12 2" xfId="17904" xr:uid="{00000000-0005-0000-0000-0000F0450000}"/>
    <cellStyle name="Normal 2 2 2 3 12 2 10" xfId="17905" xr:uid="{00000000-0005-0000-0000-0000F1450000}"/>
    <cellStyle name="Normal 2 2 2 3 12 2 2" xfId="17906" xr:uid="{00000000-0005-0000-0000-0000F2450000}"/>
    <cellStyle name="Normal 2 2 2 3 12 2 3" xfId="17907" xr:uid="{00000000-0005-0000-0000-0000F3450000}"/>
    <cellStyle name="Normal 2 2 2 3 12 2 4" xfId="17908" xr:uid="{00000000-0005-0000-0000-0000F4450000}"/>
    <cellStyle name="Normal 2 2 2 3 12 2 5" xfId="17909" xr:uid="{00000000-0005-0000-0000-0000F5450000}"/>
    <cellStyle name="Normal 2 2 2 3 12 2 6" xfId="17910" xr:uid="{00000000-0005-0000-0000-0000F6450000}"/>
    <cellStyle name="Normal 2 2 2 3 12 2 7" xfId="17911" xr:uid="{00000000-0005-0000-0000-0000F7450000}"/>
    <cellStyle name="Normal 2 2 2 3 12 2 8" xfId="17912" xr:uid="{00000000-0005-0000-0000-0000F8450000}"/>
    <cellStyle name="Normal 2 2 2 3 12 2 9" xfId="17913" xr:uid="{00000000-0005-0000-0000-0000F9450000}"/>
    <cellStyle name="Normal 2 2 2 3 12 3" xfId="17914" xr:uid="{00000000-0005-0000-0000-0000FA450000}"/>
    <cellStyle name="Normal 2 2 2 3 12 3 10" xfId="17915" xr:uid="{00000000-0005-0000-0000-0000FB450000}"/>
    <cellStyle name="Normal 2 2 2 3 12 3 2" xfId="17916" xr:uid="{00000000-0005-0000-0000-0000FC450000}"/>
    <cellStyle name="Normal 2 2 2 3 12 3 3" xfId="17917" xr:uid="{00000000-0005-0000-0000-0000FD450000}"/>
    <cellStyle name="Normal 2 2 2 3 12 3 4" xfId="17918" xr:uid="{00000000-0005-0000-0000-0000FE450000}"/>
    <cellStyle name="Normal 2 2 2 3 12 3 5" xfId="17919" xr:uid="{00000000-0005-0000-0000-0000FF450000}"/>
    <cellStyle name="Normal 2 2 2 3 12 3 6" xfId="17920" xr:uid="{00000000-0005-0000-0000-000000460000}"/>
    <cellStyle name="Normal 2 2 2 3 12 3 7" xfId="17921" xr:uid="{00000000-0005-0000-0000-000001460000}"/>
    <cellStyle name="Normal 2 2 2 3 12 3 8" xfId="17922" xr:uid="{00000000-0005-0000-0000-000002460000}"/>
    <cellStyle name="Normal 2 2 2 3 12 3 9" xfId="17923" xr:uid="{00000000-0005-0000-0000-000003460000}"/>
    <cellStyle name="Normal 2 2 2 3 12 4" xfId="17924" xr:uid="{00000000-0005-0000-0000-000004460000}"/>
    <cellStyle name="Normal 2 2 2 3 12 4 10" xfId="17925" xr:uid="{00000000-0005-0000-0000-000005460000}"/>
    <cellStyle name="Normal 2 2 2 3 12 4 2" xfId="17926" xr:uid="{00000000-0005-0000-0000-000006460000}"/>
    <cellStyle name="Normal 2 2 2 3 12 4 3" xfId="17927" xr:uid="{00000000-0005-0000-0000-000007460000}"/>
    <cellStyle name="Normal 2 2 2 3 12 4 4" xfId="17928" xr:uid="{00000000-0005-0000-0000-000008460000}"/>
    <cellStyle name="Normal 2 2 2 3 12 4 5" xfId="17929" xr:uid="{00000000-0005-0000-0000-000009460000}"/>
    <cellStyle name="Normal 2 2 2 3 12 4 6" xfId="17930" xr:uid="{00000000-0005-0000-0000-00000A460000}"/>
    <cellStyle name="Normal 2 2 2 3 12 4 7" xfId="17931" xr:uid="{00000000-0005-0000-0000-00000B460000}"/>
    <cellStyle name="Normal 2 2 2 3 12 4 8" xfId="17932" xr:uid="{00000000-0005-0000-0000-00000C460000}"/>
    <cellStyle name="Normal 2 2 2 3 12 4 9" xfId="17933" xr:uid="{00000000-0005-0000-0000-00000D460000}"/>
    <cellStyle name="Normal 2 2 2 3 12 5" xfId="17934" xr:uid="{00000000-0005-0000-0000-00000E460000}"/>
    <cellStyle name="Normal 2 2 2 3 12 5 10" xfId="17935" xr:uid="{00000000-0005-0000-0000-00000F460000}"/>
    <cellStyle name="Normal 2 2 2 3 12 5 2" xfId="17936" xr:uid="{00000000-0005-0000-0000-000010460000}"/>
    <cellStyle name="Normal 2 2 2 3 12 5 3" xfId="17937" xr:uid="{00000000-0005-0000-0000-000011460000}"/>
    <cellStyle name="Normal 2 2 2 3 12 5 4" xfId="17938" xr:uid="{00000000-0005-0000-0000-000012460000}"/>
    <cellStyle name="Normal 2 2 2 3 12 5 5" xfId="17939" xr:uid="{00000000-0005-0000-0000-000013460000}"/>
    <cellStyle name="Normal 2 2 2 3 12 5 6" xfId="17940" xr:uid="{00000000-0005-0000-0000-000014460000}"/>
    <cellStyle name="Normal 2 2 2 3 12 5 7" xfId="17941" xr:uid="{00000000-0005-0000-0000-000015460000}"/>
    <cellStyle name="Normal 2 2 2 3 12 5 8" xfId="17942" xr:uid="{00000000-0005-0000-0000-000016460000}"/>
    <cellStyle name="Normal 2 2 2 3 12 5 9" xfId="17943" xr:uid="{00000000-0005-0000-0000-000017460000}"/>
    <cellStyle name="Normal 2 2 2 3 12 6" xfId="17944" xr:uid="{00000000-0005-0000-0000-000018460000}"/>
    <cellStyle name="Normal 2 2 2 3 12 7" xfId="17945" xr:uid="{00000000-0005-0000-0000-000019460000}"/>
    <cellStyle name="Normal 2 2 2 3 12 8" xfId="17946" xr:uid="{00000000-0005-0000-0000-00001A460000}"/>
    <cellStyle name="Normal 2 2 2 3 12 9" xfId="17947" xr:uid="{00000000-0005-0000-0000-00001B460000}"/>
    <cellStyle name="Normal 2 2 2 3 13" xfId="17948" xr:uid="{00000000-0005-0000-0000-00001C460000}"/>
    <cellStyle name="Normal 2 2 2 3 13 10" xfId="17949" xr:uid="{00000000-0005-0000-0000-00001D460000}"/>
    <cellStyle name="Normal 2 2 2 3 13 11" xfId="17950" xr:uid="{00000000-0005-0000-0000-00001E460000}"/>
    <cellStyle name="Normal 2 2 2 3 13 12" xfId="17951" xr:uid="{00000000-0005-0000-0000-00001F460000}"/>
    <cellStyle name="Normal 2 2 2 3 13 13" xfId="17952" xr:uid="{00000000-0005-0000-0000-000020460000}"/>
    <cellStyle name="Normal 2 2 2 3 13 14" xfId="17953" xr:uid="{00000000-0005-0000-0000-000021460000}"/>
    <cellStyle name="Normal 2 2 2 3 13 2" xfId="17954" xr:uid="{00000000-0005-0000-0000-000022460000}"/>
    <cellStyle name="Normal 2 2 2 3 13 2 10" xfId="17955" xr:uid="{00000000-0005-0000-0000-000023460000}"/>
    <cellStyle name="Normal 2 2 2 3 13 2 2" xfId="17956" xr:uid="{00000000-0005-0000-0000-000024460000}"/>
    <cellStyle name="Normal 2 2 2 3 13 2 3" xfId="17957" xr:uid="{00000000-0005-0000-0000-000025460000}"/>
    <cellStyle name="Normal 2 2 2 3 13 2 4" xfId="17958" xr:uid="{00000000-0005-0000-0000-000026460000}"/>
    <cellStyle name="Normal 2 2 2 3 13 2 5" xfId="17959" xr:uid="{00000000-0005-0000-0000-000027460000}"/>
    <cellStyle name="Normal 2 2 2 3 13 2 6" xfId="17960" xr:uid="{00000000-0005-0000-0000-000028460000}"/>
    <cellStyle name="Normal 2 2 2 3 13 2 7" xfId="17961" xr:uid="{00000000-0005-0000-0000-000029460000}"/>
    <cellStyle name="Normal 2 2 2 3 13 2 8" xfId="17962" xr:uid="{00000000-0005-0000-0000-00002A460000}"/>
    <cellStyle name="Normal 2 2 2 3 13 2 9" xfId="17963" xr:uid="{00000000-0005-0000-0000-00002B460000}"/>
    <cellStyle name="Normal 2 2 2 3 13 3" xfId="17964" xr:uid="{00000000-0005-0000-0000-00002C460000}"/>
    <cellStyle name="Normal 2 2 2 3 13 3 10" xfId="17965" xr:uid="{00000000-0005-0000-0000-00002D460000}"/>
    <cellStyle name="Normal 2 2 2 3 13 3 2" xfId="17966" xr:uid="{00000000-0005-0000-0000-00002E460000}"/>
    <cellStyle name="Normal 2 2 2 3 13 3 3" xfId="17967" xr:uid="{00000000-0005-0000-0000-00002F460000}"/>
    <cellStyle name="Normal 2 2 2 3 13 3 4" xfId="17968" xr:uid="{00000000-0005-0000-0000-000030460000}"/>
    <cellStyle name="Normal 2 2 2 3 13 3 5" xfId="17969" xr:uid="{00000000-0005-0000-0000-000031460000}"/>
    <cellStyle name="Normal 2 2 2 3 13 3 6" xfId="17970" xr:uid="{00000000-0005-0000-0000-000032460000}"/>
    <cellStyle name="Normal 2 2 2 3 13 3 7" xfId="17971" xr:uid="{00000000-0005-0000-0000-000033460000}"/>
    <cellStyle name="Normal 2 2 2 3 13 3 8" xfId="17972" xr:uid="{00000000-0005-0000-0000-000034460000}"/>
    <cellStyle name="Normal 2 2 2 3 13 3 9" xfId="17973" xr:uid="{00000000-0005-0000-0000-000035460000}"/>
    <cellStyle name="Normal 2 2 2 3 13 4" xfId="17974" xr:uid="{00000000-0005-0000-0000-000036460000}"/>
    <cellStyle name="Normal 2 2 2 3 13 4 10" xfId="17975" xr:uid="{00000000-0005-0000-0000-000037460000}"/>
    <cellStyle name="Normal 2 2 2 3 13 4 2" xfId="17976" xr:uid="{00000000-0005-0000-0000-000038460000}"/>
    <cellStyle name="Normal 2 2 2 3 13 4 3" xfId="17977" xr:uid="{00000000-0005-0000-0000-000039460000}"/>
    <cellStyle name="Normal 2 2 2 3 13 4 4" xfId="17978" xr:uid="{00000000-0005-0000-0000-00003A460000}"/>
    <cellStyle name="Normal 2 2 2 3 13 4 5" xfId="17979" xr:uid="{00000000-0005-0000-0000-00003B460000}"/>
    <cellStyle name="Normal 2 2 2 3 13 4 6" xfId="17980" xr:uid="{00000000-0005-0000-0000-00003C460000}"/>
    <cellStyle name="Normal 2 2 2 3 13 4 7" xfId="17981" xr:uid="{00000000-0005-0000-0000-00003D460000}"/>
    <cellStyle name="Normal 2 2 2 3 13 4 8" xfId="17982" xr:uid="{00000000-0005-0000-0000-00003E460000}"/>
    <cellStyle name="Normal 2 2 2 3 13 4 9" xfId="17983" xr:uid="{00000000-0005-0000-0000-00003F460000}"/>
    <cellStyle name="Normal 2 2 2 3 13 5" xfId="17984" xr:uid="{00000000-0005-0000-0000-000040460000}"/>
    <cellStyle name="Normal 2 2 2 3 13 5 10" xfId="17985" xr:uid="{00000000-0005-0000-0000-000041460000}"/>
    <cellStyle name="Normal 2 2 2 3 13 5 2" xfId="17986" xr:uid="{00000000-0005-0000-0000-000042460000}"/>
    <cellStyle name="Normal 2 2 2 3 13 5 3" xfId="17987" xr:uid="{00000000-0005-0000-0000-000043460000}"/>
    <cellStyle name="Normal 2 2 2 3 13 5 4" xfId="17988" xr:uid="{00000000-0005-0000-0000-000044460000}"/>
    <cellStyle name="Normal 2 2 2 3 13 5 5" xfId="17989" xr:uid="{00000000-0005-0000-0000-000045460000}"/>
    <cellStyle name="Normal 2 2 2 3 13 5 6" xfId="17990" xr:uid="{00000000-0005-0000-0000-000046460000}"/>
    <cellStyle name="Normal 2 2 2 3 13 5 7" xfId="17991" xr:uid="{00000000-0005-0000-0000-000047460000}"/>
    <cellStyle name="Normal 2 2 2 3 13 5 8" xfId="17992" xr:uid="{00000000-0005-0000-0000-000048460000}"/>
    <cellStyle name="Normal 2 2 2 3 13 5 9" xfId="17993" xr:uid="{00000000-0005-0000-0000-000049460000}"/>
    <cellStyle name="Normal 2 2 2 3 13 6" xfId="17994" xr:uid="{00000000-0005-0000-0000-00004A460000}"/>
    <cellStyle name="Normal 2 2 2 3 13 7" xfId="17995" xr:uid="{00000000-0005-0000-0000-00004B460000}"/>
    <cellStyle name="Normal 2 2 2 3 13 8" xfId="17996" xr:uid="{00000000-0005-0000-0000-00004C460000}"/>
    <cellStyle name="Normal 2 2 2 3 13 9" xfId="17997" xr:uid="{00000000-0005-0000-0000-00004D460000}"/>
    <cellStyle name="Normal 2 2 2 3 14" xfId="17998" xr:uid="{00000000-0005-0000-0000-00004E460000}"/>
    <cellStyle name="Normal 2 2 2 3 14 10" xfId="17999" xr:uid="{00000000-0005-0000-0000-00004F460000}"/>
    <cellStyle name="Normal 2 2 2 3 14 11" xfId="18000" xr:uid="{00000000-0005-0000-0000-000050460000}"/>
    <cellStyle name="Normal 2 2 2 3 14 12" xfId="18001" xr:uid="{00000000-0005-0000-0000-000051460000}"/>
    <cellStyle name="Normal 2 2 2 3 14 13" xfId="18002" xr:uid="{00000000-0005-0000-0000-000052460000}"/>
    <cellStyle name="Normal 2 2 2 3 14 14" xfId="18003" xr:uid="{00000000-0005-0000-0000-000053460000}"/>
    <cellStyle name="Normal 2 2 2 3 14 2" xfId="18004" xr:uid="{00000000-0005-0000-0000-000054460000}"/>
    <cellStyle name="Normal 2 2 2 3 14 2 10" xfId="18005" xr:uid="{00000000-0005-0000-0000-000055460000}"/>
    <cellStyle name="Normal 2 2 2 3 14 2 2" xfId="18006" xr:uid="{00000000-0005-0000-0000-000056460000}"/>
    <cellStyle name="Normal 2 2 2 3 14 2 3" xfId="18007" xr:uid="{00000000-0005-0000-0000-000057460000}"/>
    <cellStyle name="Normal 2 2 2 3 14 2 4" xfId="18008" xr:uid="{00000000-0005-0000-0000-000058460000}"/>
    <cellStyle name="Normal 2 2 2 3 14 2 5" xfId="18009" xr:uid="{00000000-0005-0000-0000-000059460000}"/>
    <cellStyle name="Normal 2 2 2 3 14 2 6" xfId="18010" xr:uid="{00000000-0005-0000-0000-00005A460000}"/>
    <cellStyle name="Normal 2 2 2 3 14 2 7" xfId="18011" xr:uid="{00000000-0005-0000-0000-00005B460000}"/>
    <cellStyle name="Normal 2 2 2 3 14 2 8" xfId="18012" xr:uid="{00000000-0005-0000-0000-00005C460000}"/>
    <cellStyle name="Normal 2 2 2 3 14 2 9" xfId="18013" xr:uid="{00000000-0005-0000-0000-00005D460000}"/>
    <cellStyle name="Normal 2 2 2 3 14 3" xfId="18014" xr:uid="{00000000-0005-0000-0000-00005E460000}"/>
    <cellStyle name="Normal 2 2 2 3 14 3 10" xfId="18015" xr:uid="{00000000-0005-0000-0000-00005F460000}"/>
    <cellStyle name="Normal 2 2 2 3 14 3 2" xfId="18016" xr:uid="{00000000-0005-0000-0000-000060460000}"/>
    <cellStyle name="Normal 2 2 2 3 14 3 3" xfId="18017" xr:uid="{00000000-0005-0000-0000-000061460000}"/>
    <cellStyle name="Normal 2 2 2 3 14 3 4" xfId="18018" xr:uid="{00000000-0005-0000-0000-000062460000}"/>
    <cellStyle name="Normal 2 2 2 3 14 3 5" xfId="18019" xr:uid="{00000000-0005-0000-0000-000063460000}"/>
    <cellStyle name="Normal 2 2 2 3 14 3 6" xfId="18020" xr:uid="{00000000-0005-0000-0000-000064460000}"/>
    <cellStyle name="Normal 2 2 2 3 14 3 7" xfId="18021" xr:uid="{00000000-0005-0000-0000-000065460000}"/>
    <cellStyle name="Normal 2 2 2 3 14 3 8" xfId="18022" xr:uid="{00000000-0005-0000-0000-000066460000}"/>
    <cellStyle name="Normal 2 2 2 3 14 3 9" xfId="18023" xr:uid="{00000000-0005-0000-0000-000067460000}"/>
    <cellStyle name="Normal 2 2 2 3 14 4" xfId="18024" xr:uid="{00000000-0005-0000-0000-000068460000}"/>
    <cellStyle name="Normal 2 2 2 3 14 4 10" xfId="18025" xr:uid="{00000000-0005-0000-0000-000069460000}"/>
    <cellStyle name="Normal 2 2 2 3 14 4 2" xfId="18026" xr:uid="{00000000-0005-0000-0000-00006A460000}"/>
    <cellStyle name="Normal 2 2 2 3 14 4 3" xfId="18027" xr:uid="{00000000-0005-0000-0000-00006B460000}"/>
    <cellStyle name="Normal 2 2 2 3 14 4 4" xfId="18028" xr:uid="{00000000-0005-0000-0000-00006C460000}"/>
    <cellStyle name="Normal 2 2 2 3 14 4 5" xfId="18029" xr:uid="{00000000-0005-0000-0000-00006D460000}"/>
    <cellStyle name="Normal 2 2 2 3 14 4 6" xfId="18030" xr:uid="{00000000-0005-0000-0000-00006E460000}"/>
    <cellStyle name="Normal 2 2 2 3 14 4 7" xfId="18031" xr:uid="{00000000-0005-0000-0000-00006F460000}"/>
    <cellStyle name="Normal 2 2 2 3 14 4 8" xfId="18032" xr:uid="{00000000-0005-0000-0000-000070460000}"/>
    <cellStyle name="Normal 2 2 2 3 14 4 9" xfId="18033" xr:uid="{00000000-0005-0000-0000-000071460000}"/>
    <cellStyle name="Normal 2 2 2 3 14 5" xfId="18034" xr:uid="{00000000-0005-0000-0000-000072460000}"/>
    <cellStyle name="Normal 2 2 2 3 14 5 10" xfId="18035" xr:uid="{00000000-0005-0000-0000-000073460000}"/>
    <cellStyle name="Normal 2 2 2 3 14 5 2" xfId="18036" xr:uid="{00000000-0005-0000-0000-000074460000}"/>
    <cellStyle name="Normal 2 2 2 3 14 5 3" xfId="18037" xr:uid="{00000000-0005-0000-0000-000075460000}"/>
    <cellStyle name="Normal 2 2 2 3 14 5 4" xfId="18038" xr:uid="{00000000-0005-0000-0000-000076460000}"/>
    <cellStyle name="Normal 2 2 2 3 14 5 5" xfId="18039" xr:uid="{00000000-0005-0000-0000-000077460000}"/>
    <cellStyle name="Normal 2 2 2 3 14 5 6" xfId="18040" xr:uid="{00000000-0005-0000-0000-000078460000}"/>
    <cellStyle name="Normal 2 2 2 3 14 5 7" xfId="18041" xr:uid="{00000000-0005-0000-0000-000079460000}"/>
    <cellStyle name="Normal 2 2 2 3 14 5 8" xfId="18042" xr:uid="{00000000-0005-0000-0000-00007A460000}"/>
    <cellStyle name="Normal 2 2 2 3 14 5 9" xfId="18043" xr:uid="{00000000-0005-0000-0000-00007B460000}"/>
    <cellStyle name="Normal 2 2 2 3 14 6" xfId="18044" xr:uid="{00000000-0005-0000-0000-00007C460000}"/>
    <cellStyle name="Normal 2 2 2 3 14 7" xfId="18045" xr:uid="{00000000-0005-0000-0000-00007D460000}"/>
    <cellStyle name="Normal 2 2 2 3 14 8" xfId="18046" xr:uid="{00000000-0005-0000-0000-00007E460000}"/>
    <cellStyle name="Normal 2 2 2 3 14 9" xfId="18047" xr:uid="{00000000-0005-0000-0000-00007F460000}"/>
    <cellStyle name="Normal 2 2 2 3 15" xfId="18048" xr:uid="{00000000-0005-0000-0000-000080460000}"/>
    <cellStyle name="Normal 2 2 2 3 15 10" xfId="18049" xr:uid="{00000000-0005-0000-0000-000081460000}"/>
    <cellStyle name="Normal 2 2 2 3 15 11" xfId="18050" xr:uid="{00000000-0005-0000-0000-000082460000}"/>
    <cellStyle name="Normal 2 2 2 3 15 12" xfId="18051" xr:uid="{00000000-0005-0000-0000-000083460000}"/>
    <cellStyle name="Normal 2 2 2 3 15 13" xfId="18052" xr:uid="{00000000-0005-0000-0000-000084460000}"/>
    <cellStyle name="Normal 2 2 2 3 15 14" xfId="18053" xr:uid="{00000000-0005-0000-0000-000085460000}"/>
    <cellStyle name="Normal 2 2 2 3 15 2" xfId="18054" xr:uid="{00000000-0005-0000-0000-000086460000}"/>
    <cellStyle name="Normal 2 2 2 3 15 2 10" xfId="18055" xr:uid="{00000000-0005-0000-0000-000087460000}"/>
    <cellStyle name="Normal 2 2 2 3 15 2 2" xfId="18056" xr:uid="{00000000-0005-0000-0000-000088460000}"/>
    <cellStyle name="Normal 2 2 2 3 15 2 3" xfId="18057" xr:uid="{00000000-0005-0000-0000-000089460000}"/>
    <cellStyle name="Normal 2 2 2 3 15 2 4" xfId="18058" xr:uid="{00000000-0005-0000-0000-00008A460000}"/>
    <cellStyle name="Normal 2 2 2 3 15 2 5" xfId="18059" xr:uid="{00000000-0005-0000-0000-00008B460000}"/>
    <cellStyle name="Normal 2 2 2 3 15 2 6" xfId="18060" xr:uid="{00000000-0005-0000-0000-00008C460000}"/>
    <cellStyle name="Normal 2 2 2 3 15 2 7" xfId="18061" xr:uid="{00000000-0005-0000-0000-00008D460000}"/>
    <cellStyle name="Normal 2 2 2 3 15 2 8" xfId="18062" xr:uid="{00000000-0005-0000-0000-00008E460000}"/>
    <cellStyle name="Normal 2 2 2 3 15 2 9" xfId="18063" xr:uid="{00000000-0005-0000-0000-00008F460000}"/>
    <cellStyle name="Normal 2 2 2 3 15 3" xfId="18064" xr:uid="{00000000-0005-0000-0000-000090460000}"/>
    <cellStyle name="Normal 2 2 2 3 15 3 10" xfId="18065" xr:uid="{00000000-0005-0000-0000-000091460000}"/>
    <cellStyle name="Normal 2 2 2 3 15 3 2" xfId="18066" xr:uid="{00000000-0005-0000-0000-000092460000}"/>
    <cellStyle name="Normal 2 2 2 3 15 3 3" xfId="18067" xr:uid="{00000000-0005-0000-0000-000093460000}"/>
    <cellStyle name="Normal 2 2 2 3 15 3 4" xfId="18068" xr:uid="{00000000-0005-0000-0000-000094460000}"/>
    <cellStyle name="Normal 2 2 2 3 15 3 5" xfId="18069" xr:uid="{00000000-0005-0000-0000-000095460000}"/>
    <cellStyle name="Normal 2 2 2 3 15 3 6" xfId="18070" xr:uid="{00000000-0005-0000-0000-000096460000}"/>
    <cellStyle name="Normal 2 2 2 3 15 3 7" xfId="18071" xr:uid="{00000000-0005-0000-0000-000097460000}"/>
    <cellStyle name="Normal 2 2 2 3 15 3 8" xfId="18072" xr:uid="{00000000-0005-0000-0000-000098460000}"/>
    <cellStyle name="Normal 2 2 2 3 15 3 9" xfId="18073" xr:uid="{00000000-0005-0000-0000-000099460000}"/>
    <cellStyle name="Normal 2 2 2 3 15 4" xfId="18074" xr:uid="{00000000-0005-0000-0000-00009A460000}"/>
    <cellStyle name="Normal 2 2 2 3 15 4 10" xfId="18075" xr:uid="{00000000-0005-0000-0000-00009B460000}"/>
    <cellStyle name="Normal 2 2 2 3 15 4 2" xfId="18076" xr:uid="{00000000-0005-0000-0000-00009C460000}"/>
    <cellStyle name="Normal 2 2 2 3 15 4 3" xfId="18077" xr:uid="{00000000-0005-0000-0000-00009D460000}"/>
    <cellStyle name="Normal 2 2 2 3 15 4 4" xfId="18078" xr:uid="{00000000-0005-0000-0000-00009E460000}"/>
    <cellStyle name="Normal 2 2 2 3 15 4 5" xfId="18079" xr:uid="{00000000-0005-0000-0000-00009F460000}"/>
    <cellStyle name="Normal 2 2 2 3 15 4 6" xfId="18080" xr:uid="{00000000-0005-0000-0000-0000A0460000}"/>
    <cellStyle name="Normal 2 2 2 3 15 4 7" xfId="18081" xr:uid="{00000000-0005-0000-0000-0000A1460000}"/>
    <cellStyle name="Normal 2 2 2 3 15 4 8" xfId="18082" xr:uid="{00000000-0005-0000-0000-0000A2460000}"/>
    <cellStyle name="Normal 2 2 2 3 15 4 9" xfId="18083" xr:uid="{00000000-0005-0000-0000-0000A3460000}"/>
    <cellStyle name="Normal 2 2 2 3 15 5" xfId="18084" xr:uid="{00000000-0005-0000-0000-0000A4460000}"/>
    <cellStyle name="Normal 2 2 2 3 15 5 10" xfId="18085" xr:uid="{00000000-0005-0000-0000-0000A5460000}"/>
    <cellStyle name="Normal 2 2 2 3 15 5 2" xfId="18086" xr:uid="{00000000-0005-0000-0000-0000A6460000}"/>
    <cellStyle name="Normal 2 2 2 3 15 5 3" xfId="18087" xr:uid="{00000000-0005-0000-0000-0000A7460000}"/>
    <cellStyle name="Normal 2 2 2 3 15 5 4" xfId="18088" xr:uid="{00000000-0005-0000-0000-0000A8460000}"/>
    <cellStyle name="Normal 2 2 2 3 15 5 5" xfId="18089" xr:uid="{00000000-0005-0000-0000-0000A9460000}"/>
    <cellStyle name="Normal 2 2 2 3 15 5 6" xfId="18090" xr:uid="{00000000-0005-0000-0000-0000AA460000}"/>
    <cellStyle name="Normal 2 2 2 3 15 5 7" xfId="18091" xr:uid="{00000000-0005-0000-0000-0000AB460000}"/>
    <cellStyle name="Normal 2 2 2 3 15 5 8" xfId="18092" xr:uid="{00000000-0005-0000-0000-0000AC460000}"/>
    <cellStyle name="Normal 2 2 2 3 15 5 9" xfId="18093" xr:uid="{00000000-0005-0000-0000-0000AD460000}"/>
    <cellStyle name="Normal 2 2 2 3 15 6" xfId="18094" xr:uid="{00000000-0005-0000-0000-0000AE460000}"/>
    <cellStyle name="Normal 2 2 2 3 15 7" xfId="18095" xr:uid="{00000000-0005-0000-0000-0000AF460000}"/>
    <cellStyle name="Normal 2 2 2 3 15 8" xfId="18096" xr:uid="{00000000-0005-0000-0000-0000B0460000}"/>
    <cellStyle name="Normal 2 2 2 3 15 9" xfId="18097" xr:uid="{00000000-0005-0000-0000-0000B1460000}"/>
    <cellStyle name="Normal 2 2 2 3 16" xfId="18098" xr:uid="{00000000-0005-0000-0000-0000B2460000}"/>
    <cellStyle name="Normal 2 2 2 3 16 10" xfId="18099" xr:uid="{00000000-0005-0000-0000-0000B3460000}"/>
    <cellStyle name="Normal 2 2 2 3 16 11" xfId="18100" xr:uid="{00000000-0005-0000-0000-0000B4460000}"/>
    <cellStyle name="Normal 2 2 2 3 16 12" xfId="18101" xr:uid="{00000000-0005-0000-0000-0000B5460000}"/>
    <cellStyle name="Normal 2 2 2 3 16 13" xfId="18102" xr:uid="{00000000-0005-0000-0000-0000B6460000}"/>
    <cellStyle name="Normal 2 2 2 3 16 14" xfId="18103" xr:uid="{00000000-0005-0000-0000-0000B7460000}"/>
    <cellStyle name="Normal 2 2 2 3 16 2" xfId="18104" xr:uid="{00000000-0005-0000-0000-0000B8460000}"/>
    <cellStyle name="Normal 2 2 2 3 16 2 10" xfId="18105" xr:uid="{00000000-0005-0000-0000-0000B9460000}"/>
    <cellStyle name="Normal 2 2 2 3 16 2 2" xfId="18106" xr:uid="{00000000-0005-0000-0000-0000BA460000}"/>
    <cellStyle name="Normal 2 2 2 3 16 2 3" xfId="18107" xr:uid="{00000000-0005-0000-0000-0000BB460000}"/>
    <cellStyle name="Normal 2 2 2 3 16 2 4" xfId="18108" xr:uid="{00000000-0005-0000-0000-0000BC460000}"/>
    <cellStyle name="Normal 2 2 2 3 16 2 5" xfId="18109" xr:uid="{00000000-0005-0000-0000-0000BD460000}"/>
    <cellStyle name="Normal 2 2 2 3 16 2 6" xfId="18110" xr:uid="{00000000-0005-0000-0000-0000BE460000}"/>
    <cellStyle name="Normal 2 2 2 3 16 2 7" xfId="18111" xr:uid="{00000000-0005-0000-0000-0000BF460000}"/>
    <cellStyle name="Normal 2 2 2 3 16 2 8" xfId="18112" xr:uid="{00000000-0005-0000-0000-0000C0460000}"/>
    <cellStyle name="Normal 2 2 2 3 16 2 9" xfId="18113" xr:uid="{00000000-0005-0000-0000-0000C1460000}"/>
    <cellStyle name="Normal 2 2 2 3 16 3" xfId="18114" xr:uid="{00000000-0005-0000-0000-0000C2460000}"/>
    <cellStyle name="Normal 2 2 2 3 16 3 10" xfId="18115" xr:uid="{00000000-0005-0000-0000-0000C3460000}"/>
    <cellStyle name="Normal 2 2 2 3 16 3 2" xfId="18116" xr:uid="{00000000-0005-0000-0000-0000C4460000}"/>
    <cellStyle name="Normal 2 2 2 3 16 3 3" xfId="18117" xr:uid="{00000000-0005-0000-0000-0000C5460000}"/>
    <cellStyle name="Normal 2 2 2 3 16 3 4" xfId="18118" xr:uid="{00000000-0005-0000-0000-0000C6460000}"/>
    <cellStyle name="Normal 2 2 2 3 16 3 5" xfId="18119" xr:uid="{00000000-0005-0000-0000-0000C7460000}"/>
    <cellStyle name="Normal 2 2 2 3 16 3 6" xfId="18120" xr:uid="{00000000-0005-0000-0000-0000C8460000}"/>
    <cellStyle name="Normal 2 2 2 3 16 3 7" xfId="18121" xr:uid="{00000000-0005-0000-0000-0000C9460000}"/>
    <cellStyle name="Normal 2 2 2 3 16 3 8" xfId="18122" xr:uid="{00000000-0005-0000-0000-0000CA460000}"/>
    <cellStyle name="Normal 2 2 2 3 16 3 9" xfId="18123" xr:uid="{00000000-0005-0000-0000-0000CB460000}"/>
    <cellStyle name="Normal 2 2 2 3 16 4" xfId="18124" xr:uid="{00000000-0005-0000-0000-0000CC460000}"/>
    <cellStyle name="Normal 2 2 2 3 16 4 10" xfId="18125" xr:uid="{00000000-0005-0000-0000-0000CD460000}"/>
    <cellStyle name="Normal 2 2 2 3 16 4 2" xfId="18126" xr:uid="{00000000-0005-0000-0000-0000CE460000}"/>
    <cellStyle name="Normal 2 2 2 3 16 4 3" xfId="18127" xr:uid="{00000000-0005-0000-0000-0000CF460000}"/>
    <cellStyle name="Normal 2 2 2 3 16 4 4" xfId="18128" xr:uid="{00000000-0005-0000-0000-0000D0460000}"/>
    <cellStyle name="Normal 2 2 2 3 16 4 5" xfId="18129" xr:uid="{00000000-0005-0000-0000-0000D1460000}"/>
    <cellStyle name="Normal 2 2 2 3 16 4 6" xfId="18130" xr:uid="{00000000-0005-0000-0000-0000D2460000}"/>
    <cellStyle name="Normal 2 2 2 3 16 4 7" xfId="18131" xr:uid="{00000000-0005-0000-0000-0000D3460000}"/>
    <cellStyle name="Normal 2 2 2 3 16 4 8" xfId="18132" xr:uid="{00000000-0005-0000-0000-0000D4460000}"/>
    <cellStyle name="Normal 2 2 2 3 16 4 9" xfId="18133" xr:uid="{00000000-0005-0000-0000-0000D5460000}"/>
    <cellStyle name="Normal 2 2 2 3 16 5" xfId="18134" xr:uid="{00000000-0005-0000-0000-0000D6460000}"/>
    <cellStyle name="Normal 2 2 2 3 16 5 10" xfId="18135" xr:uid="{00000000-0005-0000-0000-0000D7460000}"/>
    <cellStyle name="Normal 2 2 2 3 16 5 2" xfId="18136" xr:uid="{00000000-0005-0000-0000-0000D8460000}"/>
    <cellStyle name="Normal 2 2 2 3 16 5 3" xfId="18137" xr:uid="{00000000-0005-0000-0000-0000D9460000}"/>
    <cellStyle name="Normal 2 2 2 3 16 5 4" xfId="18138" xr:uid="{00000000-0005-0000-0000-0000DA460000}"/>
    <cellStyle name="Normal 2 2 2 3 16 5 5" xfId="18139" xr:uid="{00000000-0005-0000-0000-0000DB460000}"/>
    <cellStyle name="Normal 2 2 2 3 16 5 6" xfId="18140" xr:uid="{00000000-0005-0000-0000-0000DC460000}"/>
    <cellStyle name="Normal 2 2 2 3 16 5 7" xfId="18141" xr:uid="{00000000-0005-0000-0000-0000DD460000}"/>
    <cellStyle name="Normal 2 2 2 3 16 5 8" xfId="18142" xr:uid="{00000000-0005-0000-0000-0000DE460000}"/>
    <cellStyle name="Normal 2 2 2 3 16 5 9" xfId="18143" xr:uid="{00000000-0005-0000-0000-0000DF460000}"/>
    <cellStyle name="Normal 2 2 2 3 16 6" xfId="18144" xr:uid="{00000000-0005-0000-0000-0000E0460000}"/>
    <cellStyle name="Normal 2 2 2 3 16 7" xfId="18145" xr:uid="{00000000-0005-0000-0000-0000E1460000}"/>
    <cellStyle name="Normal 2 2 2 3 16 8" xfId="18146" xr:uid="{00000000-0005-0000-0000-0000E2460000}"/>
    <cellStyle name="Normal 2 2 2 3 16 9" xfId="18147" xr:uid="{00000000-0005-0000-0000-0000E3460000}"/>
    <cellStyle name="Normal 2 2 2 3 17" xfId="18148" xr:uid="{00000000-0005-0000-0000-0000E4460000}"/>
    <cellStyle name="Normal 2 2 2 3 17 10" xfId="18149" xr:uid="{00000000-0005-0000-0000-0000E5460000}"/>
    <cellStyle name="Normal 2 2 2 3 17 11" xfId="18150" xr:uid="{00000000-0005-0000-0000-0000E6460000}"/>
    <cellStyle name="Normal 2 2 2 3 17 12" xfId="18151" xr:uid="{00000000-0005-0000-0000-0000E7460000}"/>
    <cellStyle name="Normal 2 2 2 3 17 13" xfId="18152" xr:uid="{00000000-0005-0000-0000-0000E8460000}"/>
    <cellStyle name="Normal 2 2 2 3 17 14" xfId="18153" xr:uid="{00000000-0005-0000-0000-0000E9460000}"/>
    <cellStyle name="Normal 2 2 2 3 17 2" xfId="18154" xr:uid="{00000000-0005-0000-0000-0000EA460000}"/>
    <cellStyle name="Normal 2 2 2 3 17 2 10" xfId="18155" xr:uid="{00000000-0005-0000-0000-0000EB460000}"/>
    <cellStyle name="Normal 2 2 2 3 17 2 2" xfId="18156" xr:uid="{00000000-0005-0000-0000-0000EC460000}"/>
    <cellStyle name="Normal 2 2 2 3 17 2 3" xfId="18157" xr:uid="{00000000-0005-0000-0000-0000ED460000}"/>
    <cellStyle name="Normal 2 2 2 3 17 2 4" xfId="18158" xr:uid="{00000000-0005-0000-0000-0000EE460000}"/>
    <cellStyle name="Normal 2 2 2 3 17 2 5" xfId="18159" xr:uid="{00000000-0005-0000-0000-0000EF460000}"/>
    <cellStyle name="Normal 2 2 2 3 17 2 6" xfId="18160" xr:uid="{00000000-0005-0000-0000-0000F0460000}"/>
    <cellStyle name="Normal 2 2 2 3 17 2 7" xfId="18161" xr:uid="{00000000-0005-0000-0000-0000F1460000}"/>
    <cellStyle name="Normal 2 2 2 3 17 2 8" xfId="18162" xr:uid="{00000000-0005-0000-0000-0000F2460000}"/>
    <cellStyle name="Normal 2 2 2 3 17 2 9" xfId="18163" xr:uid="{00000000-0005-0000-0000-0000F3460000}"/>
    <cellStyle name="Normal 2 2 2 3 17 3" xfId="18164" xr:uid="{00000000-0005-0000-0000-0000F4460000}"/>
    <cellStyle name="Normal 2 2 2 3 17 3 10" xfId="18165" xr:uid="{00000000-0005-0000-0000-0000F5460000}"/>
    <cellStyle name="Normal 2 2 2 3 17 3 2" xfId="18166" xr:uid="{00000000-0005-0000-0000-0000F6460000}"/>
    <cellStyle name="Normal 2 2 2 3 17 3 3" xfId="18167" xr:uid="{00000000-0005-0000-0000-0000F7460000}"/>
    <cellStyle name="Normal 2 2 2 3 17 3 4" xfId="18168" xr:uid="{00000000-0005-0000-0000-0000F8460000}"/>
    <cellStyle name="Normal 2 2 2 3 17 3 5" xfId="18169" xr:uid="{00000000-0005-0000-0000-0000F9460000}"/>
    <cellStyle name="Normal 2 2 2 3 17 3 6" xfId="18170" xr:uid="{00000000-0005-0000-0000-0000FA460000}"/>
    <cellStyle name="Normal 2 2 2 3 17 3 7" xfId="18171" xr:uid="{00000000-0005-0000-0000-0000FB460000}"/>
    <cellStyle name="Normal 2 2 2 3 17 3 8" xfId="18172" xr:uid="{00000000-0005-0000-0000-0000FC460000}"/>
    <cellStyle name="Normal 2 2 2 3 17 3 9" xfId="18173" xr:uid="{00000000-0005-0000-0000-0000FD460000}"/>
    <cellStyle name="Normal 2 2 2 3 17 4" xfId="18174" xr:uid="{00000000-0005-0000-0000-0000FE460000}"/>
    <cellStyle name="Normal 2 2 2 3 17 4 10" xfId="18175" xr:uid="{00000000-0005-0000-0000-0000FF460000}"/>
    <cellStyle name="Normal 2 2 2 3 17 4 2" xfId="18176" xr:uid="{00000000-0005-0000-0000-000000470000}"/>
    <cellStyle name="Normal 2 2 2 3 17 4 3" xfId="18177" xr:uid="{00000000-0005-0000-0000-000001470000}"/>
    <cellStyle name="Normal 2 2 2 3 17 4 4" xfId="18178" xr:uid="{00000000-0005-0000-0000-000002470000}"/>
    <cellStyle name="Normal 2 2 2 3 17 4 5" xfId="18179" xr:uid="{00000000-0005-0000-0000-000003470000}"/>
    <cellStyle name="Normal 2 2 2 3 17 4 6" xfId="18180" xr:uid="{00000000-0005-0000-0000-000004470000}"/>
    <cellStyle name="Normal 2 2 2 3 17 4 7" xfId="18181" xr:uid="{00000000-0005-0000-0000-000005470000}"/>
    <cellStyle name="Normal 2 2 2 3 17 4 8" xfId="18182" xr:uid="{00000000-0005-0000-0000-000006470000}"/>
    <cellStyle name="Normal 2 2 2 3 17 4 9" xfId="18183" xr:uid="{00000000-0005-0000-0000-000007470000}"/>
    <cellStyle name="Normal 2 2 2 3 17 5" xfId="18184" xr:uid="{00000000-0005-0000-0000-000008470000}"/>
    <cellStyle name="Normal 2 2 2 3 17 5 10" xfId="18185" xr:uid="{00000000-0005-0000-0000-000009470000}"/>
    <cellStyle name="Normal 2 2 2 3 17 5 2" xfId="18186" xr:uid="{00000000-0005-0000-0000-00000A470000}"/>
    <cellStyle name="Normal 2 2 2 3 17 5 3" xfId="18187" xr:uid="{00000000-0005-0000-0000-00000B470000}"/>
    <cellStyle name="Normal 2 2 2 3 17 5 4" xfId="18188" xr:uid="{00000000-0005-0000-0000-00000C470000}"/>
    <cellStyle name="Normal 2 2 2 3 17 5 5" xfId="18189" xr:uid="{00000000-0005-0000-0000-00000D470000}"/>
    <cellStyle name="Normal 2 2 2 3 17 5 6" xfId="18190" xr:uid="{00000000-0005-0000-0000-00000E470000}"/>
    <cellStyle name="Normal 2 2 2 3 17 5 7" xfId="18191" xr:uid="{00000000-0005-0000-0000-00000F470000}"/>
    <cellStyle name="Normal 2 2 2 3 17 5 8" xfId="18192" xr:uid="{00000000-0005-0000-0000-000010470000}"/>
    <cellStyle name="Normal 2 2 2 3 17 5 9" xfId="18193" xr:uid="{00000000-0005-0000-0000-000011470000}"/>
    <cellStyle name="Normal 2 2 2 3 17 6" xfId="18194" xr:uid="{00000000-0005-0000-0000-000012470000}"/>
    <cellStyle name="Normal 2 2 2 3 17 7" xfId="18195" xr:uid="{00000000-0005-0000-0000-000013470000}"/>
    <cellStyle name="Normal 2 2 2 3 17 8" xfId="18196" xr:uid="{00000000-0005-0000-0000-000014470000}"/>
    <cellStyle name="Normal 2 2 2 3 17 9" xfId="18197" xr:uid="{00000000-0005-0000-0000-000015470000}"/>
    <cellStyle name="Normal 2 2 2 3 18" xfId="18198" xr:uid="{00000000-0005-0000-0000-000016470000}"/>
    <cellStyle name="Normal 2 2 2 3 18 10" xfId="18199" xr:uid="{00000000-0005-0000-0000-000017470000}"/>
    <cellStyle name="Normal 2 2 2 3 18 11" xfId="18200" xr:uid="{00000000-0005-0000-0000-000018470000}"/>
    <cellStyle name="Normal 2 2 2 3 18 12" xfId="18201" xr:uid="{00000000-0005-0000-0000-000019470000}"/>
    <cellStyle name="Normal 2 2 2 3 18 13" xfId="18202" xr:uid="{00000000-0005-0000-0000-00001A470000}"/>
    <cellStyle name="Normal 2 2 2 3 18 14" xfId="18203" xr:uid="{00000000-0005-0000-0000-00001B470000}"/>
    <cellStyle name="Normal 2 2 2 3 18 2" xfId="18204" xr:uid="{00000000-0005-0000-0000-00001C470000}"/>
    <cellStyle name="Normal 2 2 2 3 18 2 10" xfId="18205" xr:uid="{00000000-0005-0000-0000-00001D470000}"/>
    <cellStyle name="Normal 2 2 2 3 18 2 2" xfId="18206" xr:uid="{00000000-0005-0000-0000-00001E470000}"/>
    <cellStyle name="Normal 2 2 2 3 18 2 3" xfId="18207" xr:uid="{00000000-0005-0000-0000-00001F470000}"/>
    <cellStyle name="Normal 2 2 2 3 18 2 4" xfId="18208" xr:uid="{00000000-0005-0000-0000-000020470000}"/>
    <cellStyle name="Normal 2 2 2 3 18 2 5" xfId="18209" xr:uid="{00000000-0005-0000-0000-000021470000}"/>
    <cellStyle name="Normal 2 2 2 3 18 2 6" xfId="18210" xr:uid="{00000000-0005-0000-0000-000022470000}"/>
    <cellStyle name="Normal 2 2 2 3 18 2 7" xfId="18211" xr:uid="{00000000-0005-0000-0000-000023470000}"/>
    <cellStyle name="Normal 2 2 2 3 18 2 8" xfId="18212" xr:uid="{00000000-0005-0000-0000-000024470000}"/>
    <cellStyle name="Normal 2 2 2 3 18 2 9" xfId="18213" xr:uid="{00000000-0005-0000-0000-000025470000}"/>
    <cellStyle name="Normal 2 2 2 3 18 3" xfId="18214" xr:uid="{00000000-0005-0000-0000-000026470000}"/>
    <cellStyle name="Normal 2 2 2 3 18 3 10" xfId="18215" xr:uid="{00000000-0005-0000-0000-000027470000}"/>
    <cellStyle name="Normal 2 2 2 3 18 3 2" xfId="18216" xr:uid="{00000000-0005-0000-0000-000028470000}"/>
    <cellStyle name="Normal 2 2 2 3 18 3 3" xfId="18217" xr:uid="{00000000-0005-0000-0000-000029470000}"/>
    <cellStyle name="Normal 2 2 2 3 18 3 4" xfId="18218" xr:uid="{00000000-0005-0000-0000-00002A470000}"/>
    <cellStyle name="Normal 2 2 2 3 18 3 5" xfId="18219" xr:uid="{00000000-0005-0000-0000-00002B470000}"/>
    <cellStyle name="Normal 2 2 2 3 18 3 6" xfId="18220" xr:uid="{00000000-0005-0000-0000-00002C470000}"/>
    <cellStyle name="Normal 2 2 2 3 18 3 7" xfId="18221" xr:uid="{00000000-0005-0000-0000-00002D470000}"/>
    <cellStyle name="Normal 2 2 2 3 18 3 8" xfId="18222" xr:uid="{00000000-0005-0000-0000-00002E470000}"/>
    <cellStyle name="Normal 2 2 2 3 18 3 9" xfId="18223" xr:uid="{00000000-0005-0000-0000-00002F470000}"/>
    <cellStyle name="Normal 2 2 2 3 18 4" xfId="18224" xr:uid="{00000000-0005-0000-0000-000030470000}"/>
    <cellStyle name="Normal 2 2 2 3 18 4 10" xfId="18225" xr:uid="{00000000-0005-0000-0000-000031470000}"/>
    <cellStyle name="Normal 2 2 2 3 18 4 2" xfId="18226" xr:uid="{00000000-0005-0000-0000-000032470000}"/>
    <cellStyle name="Normal 2 2 2 3 18 4 3" xfId="18227" xr:uid="{00000000-0005-0000-0000-000033470000}"/>
    <cellStyle name="Normal 2 2 2 3 18 4 4" xfId="18228" xr:uid="{00000000-0005-0000-0000-000034470000}"/>
    <cellStyle name="Normal 2 2 2 3 18 4 5" xfId="18229" xr:uid="{00000000-0005-0000-0000-000035470000}"/>
    <cellStyle name="Normal 2 2 2 3 18 4 6" xfId="18230" xr:uid="{00000000-0005-0000-0000-000036470000}"/>
    <cellStyle name="Normal 2 2 2 3 18 4 7" xfId="18231" xr:uid="{00000000-0005-0000-0000-000037470000}"/>
    <cellStyle name="Normal 2 2 2 3 18 4 8" xfId="18232" xr:uid="{00000000-0005-0000-0000-000038470000}"/>
    <cellStyle name="Normal 2 2 2 3 18 4 9" xfId="18233" xr:uid="{00000000-0005-0000-0000-000039470000}"/>
    <cellStyle name="Normal 2 2 2 3 18 5" xfId="18234" xr:uid="{00000000-0005-0000-0000-00003A470000}"/>
    <cellStyle name="Normal 2 2 2 3 18 5 10" xfId="18235" xr:uid="{00000000-0005-0000-0000-00003B470000}"/>
    <cellStyle name="Normal 2 2 2 3 18 5 2" xfId="18236" xr:uid="{00000000-0005-0000-0000-00003C470000}"/>
    <cellStyle name="Normal 2 2 2 3 18 5 3" xfId="18237" xr:uid="{00000000-0005-0000-0000-00003D470000}"/>
    <cellStyle name="Normal 2 2 2 3 18 5 4" xfId="18238" xr:uid="{00000000-0005-0000-0000-00003E470000}"/>
    <cellStyle name="Normal 2 2 2 3 18 5 5" xfId="18239" xr:uid="{00000000-0005-0000-0000-00003F470000}"/>
    <cellStyle name="Normal 2 2 2 3 18 5 6" xfId="18240" xr:uid="{00000000-0005-0000-0000-000040470000}"/>
    <cellStyle name="Normal 2 2 2 3 18 5 7" xfId="18241" xr:uid="{00000000-0005-0000-0000-000041470000}"/>
    <cellStyle name="Normal 2 2 2 3 18 5 8" xfId="18242" xr:uid="{00000000-0005-0000-0000-000042470000}"/>
    <cellStyle name="Normal 2 2 2 3 18 5 9" xfId="18243" xr:uid="{00000000-0005-0000-0000-000043470000}"/>
    <cellStyle name="Normal 2 2 2 3 18 6" xfId="18244" xr:uid="{00000000-0005-0000-0000-000044470000}"/>
    <cellStyle name="Normal 2 2 2 3 18 7" xfId="18245" xr:uid="{00000000-0005-0000-0000-000045470000}"/>
    <cellStyle name="Normal 2 2 2 3 18 8" xfId="18246" xr:uid="{00000000-0005-0000-0000-000046470000}"/>
    <cellStyle name="Normal 2 2 2 3 18 9" xfId="18247" xr:uid="{00000000-0005-0000-0000-000047470000}"/>
    <cellStyle name="Normal 2 2 2 3 19" xfId="18248" xr:uid="{00000000-0005-0000-0000-000048470000}"/>
    <cellStyle name="Normal 2 2 2 3 19 10" xfId="18249" xr:uid="{00000000-0005-0000-0000-000049470000}"/>
    <cellStyle name="Normal 2 2 2 3 19 11" xfId="18250" xr:uid="{00000000-0005-0000-0000-00004A470000}"/>
    <cellStyle name="Normal 2 2 2 3 19 12" xfId="18251" xr:uid="{00000000-0005-0000-0000-00004B470000}"/>
    <cellStyle name="Normal 2 2 2 3 19 13" xfId="18252" xr:uid="{00000000-0005-0000-0000-00004C470000}"/>
    <cellStyle name="Normal 2 2 2 3 19 14" xfId="18253" xr:uid="{00000000-0005-0000-0000-00004D470000}"/>
    <cellStyle name="Normal 2 2 2 3 19 2" xfId="18254" xr:uid="{00000000-0005-0000-0000-00004E470000}"/>
    <cellStyle name="Normal 2 2 2 3 19 2 10" xfId="18255" xr:uid="{00000000-0005-0000-0000-00004F470000}"/>
    <cellStyle name="Normal 2 2 2 3 19 2 2" xfId="18256" xr:uid="{00000000-0005-0000-0000-000050470000}"/>
    <cellStyle name="Normal 2 2 2 3 19 2 3" xfId="18257" xr:uid="{00000000-0005-0000-0000-000051470000}"/>
    <cellStyle name="Normal 2 2 2 3 19 2 4" xfId="18258" xr:uid="{00000000-0005-0000-0000-000052470000}"/>
    <cellStyle name="Normal 2 2 2 3 19 2 5" xfId="18259" xr:uid="{00000000-0005-0000-0000-000053470000}"/>
    <cellStyle name="Normal 2 2 2 3 19 2 6" xfId="18260" xr:uid="{00000000-0005-0000-0000-000054470000}"/>
    <cellStyle name="Normal 2 2 2 3 19 2 7" xfId="18261" xr:uid="{00000000-0005-0000-0000-000055470000}"/>
    <cellStyle name="Normal 2 2 2 3 19 2 8" xfId="18262" xr:uid="{00000000-0005-0000-0000-000056470000}"/>
    <cellStyle name="Normal 2 2 2 3 19 2 9" xfId="18263" xr:uid="{00000000-0005-0000-0000-000057470000}"/>
    <cellStyle name="Normal 2 2 2 3 19 3" xfId="18264" xr:uid="{00000000-0005-0000-0000-000058470000}"/>
    <cellStyle name="Normal 2 2 2 3 19 3 10" xfId="18265" xr:uid="{00000000-0005-0000-0000-000059470000}"/>
    <cellStyle name="Normal 2 2 2 3 19 3 2" xfId="18266" xr:uid="{00000000-0005-0000-0000-00005A470000}"/>
    <cellStyle name="Normal 2 2 2 3 19 3 3" xfId="18267" xr:uid="{00000000-0005-0000-0000-00005B470000}"/>
    <cellStyle name="Normal 2 2 2 3 19 3 4" xfId="18268" xr:uid="{00000000-0005-0000-0000-00005C470000}"/>
    <cellStyle name="Normal 2 2 2 3 19 3 5" xfId="18269" xr:uid="{00000000-0005-0000-0000-00005D470000}"/>
    <cellStyle name="Normal 2 2 2 3 19 3 6" xfId="18270" xr:uid="{00000000-0005-0000-0000-00005E470000}"/>
    <cellStyle name="Normal 2 2 2 3 19 3 7" xfId="18271" xr:uid="{00000000-0005-0000-0000-00005F470000}"/>
    <cellStyle name="Normal 2 2 2 3 19 3 8" xfId="18272" xr:uid="{00000000-0005-0000-0000-000060470000}"/>
    <cellStyle name="Normal 2 2 2 3 19 3 9" xfId="18273" xr:uid="{00000000-0005-0000-0000-000061470000}"/>
    <cellStyle name="Normal 2 2 2 3 19 4" xfId="18274" xr:uid="{00000000-0005-0000-0000-000062470000}"/>
    <cellStyle name="Normal 2 2 2 3 19 4 10" xfId="18275" xr:uid="{00000000-0005-0000-0000-000063470000}"/>
    <cellStyle name="Normal 2 2 2 3 19 4 2" xfId="18276" xr:uid="{00000000-0005-0000-0000-000064470000}"/>
    <cellStyle name="Normal 2 2 2 3 19 4 3" xfId="18277" xr:uid="{00000000-0005-0000-0000-000065470000}"/>
    <cellStyle name="Normal 2 2 2 3 19 4 4" xfId="18278" xr:uid="{00000000-0005-0000-0000-000066470000}"/>
    <cellStyle name="Normal 2 2 2 3 19 4 5" xfId="18279" xr:uid="{00000000-0005-0000-0000-000067470000}"/>
    <cellStyle name="Normal 2 2 2 3 19 4 6" xfId="18280" xr:uid="{00000000-0005-0000-0000-000068470000}"/>
    <cellStyle name="Normal 2 2 2 3 19 4 7" xfId="18281" xr:uid="{00000000-0005-0000-0000-000069470000}"/>
    <cellStyle name="Normal 2 2 2 3 19 4 8" xfId="18282" xr:uid="{00000000-0005-0000-0000-00006A470000}"/>
    <cellStyle name="Normal 2 2 2 3 19 4 9" xfId="18283" xr:uid="{00000000-0005-0000-0000-00006B470000}"/>
    <cellStyle name="Normal 2 2 2 3 19 5" xfId="18284" xr:uid="{00000000-0005-0000-0000-00006C470000}"/>
    <cellStyle name="Normal 2 2 2 3 19 5 10" xfId="18285" xr:uid="{00000000-0005-0000-0000-00006D470000}"/>
    <cellStyle name="Normal 2 2 2 3 19 5 2" xfId="18286" xr:uid="{00000000-0005-0000-0000-00006E470000}"/>
    <cellStyle name="Normal 2 2 2 3 19 5 3" xfId="18287" xr:uid="{00000000-0005-0000-0000-00006F470000}"/>
    <cellStyle name="Normal 2 2 2 3 19 5 4" xfId="18288" xr:uid="{00000000-0005-0000-0000-000070470000}"/>
    <cellStyle name="Normal 2 2 2 3 19 5 5" xfId="18289" xr:uid="{00000000-0005-0000-0000-000071470000}"/>
    <cellStyle name="Normal 2 2 2 3 19 5 6" xfId="18290" xr:uid="{00000000-0005-0000-0000-000072470000}"/>
    <cellStyle name="Normal 2 2 2 3 19 5 7" xfId="18291" xr:uid="{00000000-0005-0000-0000-000073470000}"/>
    <cellStyle name="Normal 2 2 2 3 19 5 8" xfId="18292" xr:uid="{00000000-0005-0000-0000-000074470000}"/>
    <cellStyle name="Normal 2 2 2 3 19 5 9" xfId="18293" xr:uid="{00000000-0005-0000-0000-000075470000}"/>
    <cellStyle name="Normal 2 2 2 3 19 6" xfId="18294" xr:uid="{00000000-0005-0000-0000-000076470000}"/>
    <cellStyle name="Normal 2 2 2 3 19 7" xfId="18295" xr:uid="{00000000-0005-0000-0000-000077470000}"/>
    <cellStyle name="Normal 2 2 2 3 19 8" xfId="18296" xr:uid="{00000000-0005-0000-0000-000078470000}"/>
    <cellStyle name="Normal 2 2 2 3 19 9" xfId="18297" xr:uid="{00000000-0005-0000-0000-000079470000}"/>
    <cellStyle name="Normal 2 2 2 3 2" xfId="18298" xr:uid="{00000000-0005-0000-0000-00007A470000}"/>
    <cellStyle name="Normal 2 2 2 3 2 10" xfId="18299" xr:uid="{00000000-0005-0000-0000-00007B470000}"/>
    <cellStyle name="Normal 2 2 2 3 2 11" xfId="18300" xr:uid="{00000000-0005-0000-0000-00007C470000}"/>
    <cellStyle name="Normal 2 2 2 3 2 12" xfId="18301" xr:uid="{00000000-0005-0000-0000-00007D470000}"/>
    <cellStyle name="Normal 2 2 2 3 2 13" xfId="18302" xr:uid="{00000000-0005-0000-0000-00007E470000}"/>
    <cellStyle name="Normal 2 2 2 3 2 14" xfId="18303" xr:uid="{00000000-0005-0000-0000-00007F470000}"/>
    <cellStyle name="Normal 2 2 2 3 2 15" xfId="18304" xr:uid="{00000000-0005-0000-0000-000080470000}"/>
    <cellStyle name="Normal 2 2 2 3 2 16" xfId="18305" xr:uid="{00000000-0005-0000-0000-000081470000}"/>
    <cellStyle name="Normal 2 2 2 3 2 17" xfId="18306" xr:uid="{00000000-0005-0000-0000-000082470000}"/>
    <cellStyle name="Normal 2 2 2 3 2 2" xfId="18307" xr:uid="{00000000-0005-0000-0000-000083470000}"/>
    <cellStyle name="Normal 2 2 2 3 2 2 10" xfId="18308" xr:uid="{00000000-0005-0000-0000-000084470000}"/>
    <cellStyle name="Normal 2 2 2 3 2 2 11" xfId="18309" xr:uid="{00000000-0005-0000-0000-000085470000}"/>
    <cellStyle name="Normal 2 2 2 3 2 2 12" xfId="18310" xr:uid="{00000000-0005-0000-0000-000086470000}"/>
    <cellStyle name="Normal 2 2 2 3 2 2 2" xfId="18311" xr:uid="{00000000-0005-0000-0000-000087470000}"/>
    <cellStyle name="Normal 2 2 2 3 2 2 2 2" xfId="18312" xr:uid="{00000000-0005-0000-0000-000088470000}"/>
    <cellStyle name="Normal 2 2 2 3 2 2 2 3" xfId="18313" xr:uid="{00000000-0005-0000-0000-000089470000}"/>
    <cellStyle name="Normal 2 2 2 3 2 2 3" xfId="18314" xr:uid="{00000000-0005-0000-0000-00008A470000}"/>
    <cellStyle name="Normal 2 2 2 3 2 2 4" xfId="18315" xr:uid="{00000000-0005-0000-0000-00008B470000}"/>
    <cellStyle name="Normal 2 2 2 3 2 2 5" xfId="18316" xr:uid="{00000000-0005-0000-0000-00008C470000}"/>
    <cellStyle name="Normal 2 2 2 3 2 2 6" xfId="18317" xr:uid="{00000000-0005-0000-0000-00008D470000}"/>
    <cellStyle name="Normal 2 2 2 3 2 2 7" xfId="18318" xr:uid="{00000000-0005-0000-0000-00008E470000}"/>
    <cellStyle name="Normal 2 2 2 3 2 2 8" xfId="18319" xr:uid="{00000000-0005-0000-0000-00008F470000}"/>
    <cellStyle name="Normal 2 2 2 3 2 2 9" xfId="18320" xr:uid="{00000000-0005-0000-0000-000090470000}"/>
    <cellStyle name="Normal 2 2 2 3 2 3" xfId="18321" xr:uid="{00000000-0005-0000-0000-000091470000}"/>
    <cellStyle name="Normal 2 2 2 3 2 3 10" xfId="18322" xr:uid="{00000000-0005-0000-0000-000092470000}"/>
    <cellStyle name="Normal 2 2 2 3 2 3 11" xfId="18323" xr:uid="{00000000-0005-0000-0000-000093470000}"/>
    <cellStyle name="Normal 2 2 2 3 2 3 12" xfId="18324" xr:uid="{00000000-0005-0000-0000-000094470000}"/>
    <cellStyle name="Normal 2 2 2 3 2 3 2" xfId="18325" xr:uid="{00000000-0005-0000-0000-000095470000}"/>
    <cellStyle name="Normal 2 2 2 3 2 3 3" xfId="18326" xr:uid="{00000000-0005-0000-0000-000096470000}"/>
    <cellStyle name="Normal 2 2 2 3 2 3 4" xfId="18327" xr:uid="{00000000-0005-0000-0000-000097470000}"/>
    <cellStyle name="Normal 2 2 2 3 2 3 5" xfId="18328" xr:uid="{00000000-0005-0000-0000-000098470000}"/>
    <cellStyle name="Normal 2 2 2 3 2 3 6" xfId="18329" xr:uid="{00000000-0005-0000-0000-000099470000}"/>
    <cellStyle name="Normal 2 2 2 3 2 3 7" xfId="18330" xr:uid="{00000000-0005-0000-0000-00009A470000}"/>
    <cellStyle name="Normal 2 2 2 3 2 3 8" xfId="18331" xr:uid="{00000000-0005-0000-0000-00009B470000}"/>
    <cellStyle name="Normal 2 2 2 3 2 3 9" xfId="18332" xr:uid="{00000000-0005-0000-0000-00009C470000}"/>
    <cellStyle name="Normal 2 2 2 3 2 4" xfId="18333" xr:uid="{00000000-0005-0000-0000-00009D470000}"/>
    <cellStyle name="Normal 2 2 2 3 2 4 10" xfId="18334" xr:uid="{00000000-0005-0000-0000-00009E470000}"/>
    <cellStyle name="Normal 2 2 2 3 2 4 2" xfId="18335" xr:uid="{00000000-0005-0000-0000-00009F470000}"/>
    <cellStyle name="Normal 2 2 2 3 2 4 3" xfId="18336" xr:uid="{00000000-0005-0000-0000-0000A0470000}"/>
    <cellStyle name="Normal 2 2 2 3 2 4 4" xfId="18337" xr:uid="{00000000-0005-0000-0000-0000A1470000}"/>
    <cellStyle name="Normal 2 2 2 3 2 4 5" xfId="18338" xr:uid="{00000000-0005-0000-0000-0000A2470000}"/>
    <cellStyle name="Normal 2 2 2 3 2 4 6" xfId="18339" xr:uid="{00000000-0005-0000-0000-0000A3470000}"/>
    <cellStyle name="Normal 2 2 2 3 2 4 7" xfId="18340" xr:uid="{00000000-0005-0000-0000-0000A4470000}"/>
    <cellStyle name="Normal 2 2 2 3 2 4 8" xfId="18341" xr:uid="{00000000-0005-0000-0000-0000A5470000}"/>
    <cellStyle name="Normal 2 2 2 3 2 4 9" xfId="18342" xr:uid="{00000000-0005-0000-0000-0000A6470000}"/>
    <cellStyle name="Normal 2 2 2 3 2 5" xfId="18343" xr:uid="{00000000-0005-0000-0000-0000A7470000}"/>
    <cellStyle name="Normal 2 2 2 3 2 5 10" xfId="18344" xr:uid="{00000000-0005-0000-0000-0000A8470000}"/>
    <cellStyle name="Normal 2 2 2 3 2 5 2" xfId="18345" xr:uid="{00000000-0005-0000-0000-0000A9470000}"/>
    <cellStyle name="Normal 2 2 2 3 2 5 3" xfId="18346" xr:uid="{00000000-0005-0000-0000-0000AA470000}"/>
    <cellStyle name="Normal 2 2 2 3 2 5 4" xfId="18347" xr:uid="{00000000-0005-0000-0000-0000AB470000}"/>
    <cellStyle name="Normal 2 2 2 3 2 5 5" xfId="18348" xr:uid="{00000000-0005-0000-0000-0000AC470000}"/>
    <cellStyle name="Normal 2 2 2 3 2 5 6" xfId="18349" xr:uid="{00000000-0005-0000-0000-0000AD470000}"/>
    <cellStyle name="Normal 2 2 2 3 2 5 7" xfId="18350" xr:uid="{00000000-0005-0000-0000-0000AE470000}"/>
    <cellStyle name="Normal 2 2 2 3 2 5 8" xfId="18351" xr:uid="{00000000-0005-0000-0000-0000AF470000}"/>
    <cellStyle name="Normal 2 2 2 3 2 5 9" xfId="18352" xr:uid="{00000000-0005-0000-0000-0000B0470000}"/>
    <cellStyle name="Normal 2 2 2 3 2 6" xfId="18353" xr:uid="{00000000-0005-0000-0000-0000B1470000}"/>
    <cellStyle name="Normal 2 2 2 3 2 7" xfId="18354" xr:uid="{00000000-0005-0000-0000-0000B2470000}"/>
    <cellStyle name="Normal 2 2 2 3 2 8" xfId="18355" xr:uid="{00000000-0005-0000-0000-0000B3470000}"/>
    <cellStyle name="Normal 2 2 2 3 2 9" xfId="18356" xr:uid="{00000000-0005-0000-0000-0000B4470000}"/>
    <cellStyle name="Normal 2 2 2 3 20" xfId="18357" xr:uid="{00000000-0005-0000-0000-0000B5470000}"/>
    <cellStyle name="Normal 2 2 2 3 20 10" xfId="18358" xr:uid="{00000000-0005-0000-0000-0000B6470000}"/>
    <cellStyle name="Normal 2 2 2 3 20 11" xfId="18359" xr:uid="{00000000-0005-0000-0000-0000B7470000}"/>
    <cellStyle name="Normal 2 2 2 3 20 12" xfId="18360" xr:uid="{00000000-0005-0000-0000-0000B8470000}"/>
    <cellStyle name="Normal 2 2 2 3 20 13" xfId="18361" xr:uid="{00000000-0005-0000-0000-0000B9470000}"/>
    <cellStyle name="Normal 2 2 2 3 20 14" xfId="18362" xr:uid="{00000000-0005-0000-0000-0000BA470000}"/>
    <cellStyle name="Normal 2 2 2 3 20 2" xfId="18363" xr:uid="{00000000-0005-0000-0000-0000BB470000}"/>
    <cellStyle name="Normal 2 2 2 3 20 2 10" xfId="18364" xr:uid="{00000000-0005-0000-0000-0000BC470000}"/>
    <cellStyle name="Normal 2 2 2 3 20 2 2" xfId="18365" xr:uid="{00000000-0005-0000-0000-0000BD470000}"/>
    <cellStyle name="Normal 2 2 2 3 20 2 3" xfId="18366" xr:uid="{00000000-0005-0000-0000-0000BE470000}"/>
    <cellStyle name="Normal 2 2 2 3 20 2 4" xfId="18367" xr:uid="{00000000-0005-0000-0000-0000BF470000}"/>
    <cellStyle name="Normal 2 2 2 3 20 2 5" xfId="18368" xr:uid="{00000000-0005-0000-0000-0000C0470000}"/>
    <cellStyle name="Normal 2 2 2 3 20 2 6" xfId="18369" xr:uid="{00000000-0005-0000-0000-0000C1470000}"/>
    <cellStyle name="Normal 2 2 2 3 20 2 7" xfId="18370" xr:uid="{00000000-0005-0000-0000-0000C2470000}"/>
    <cellStyle name="Normal 2 2 2 3 20 2 8" xfId="18371" xr:uid="{00000000-0005-0000-0000-0000C3470000}"/>
    <cellStyle name="Normal 2 2 2 3 20 2 9" xfId="18372" xr:uid="{00000000-0005-0000-0000-0000C4470000}"/>
    <cellStyle name="Normal 2 2 2 3 20 3" xfId="18373" xr:uid="{00000000-0005-0000-0000-0000C5470000}"/>
    <cellStyle name="Normal 2 2 2 3 20 3 10" xfId="18374" xr:uid="{00000000-0005-0000-0000-0000C6470000}"/>
    <cellStyle name="Normal 2 2 2 3 20 3 2" xfId="18375" xr:uid="{00000000-0005-0000-0000-0000C7470000}"/>
    <cellStyle name="Normal 2 2 2 3 20 3 3" xfId="18376" xr:uid="{00000000-0005-0000-0000-0000C8470000}"/>
    <cellStyle name="Normal 2 2 2 3 20 3 4" xfId="18377" xr:uid="{00000000-0005-0000-0000-0000C9470000}"/>
    <cellStyle name="Normal 2 2 2 3 20 3 5" xfId="18378" xr:uid="{00000000-0005-0000-0000-0000CA470000}"/>
    <cellStyle name="Normal 2 2 2 3 20 3 6" xfId="18379" xr:uid="{00000000-0005-0000-0000-0000CB470000}"/>
    <cellStyle name="Normal 2 2 2 3 20 3 7" xfId="18380" xr:uid="{00000000-0005-0000-0000-0000CC470000}"/>
    <cellStyle name="Normal 2 2 2 3 20 3 8" xfId="18381" xr:uid="{00000000-0005-0000-0000-0000CD470000}"/>
    <cellStyle name="Normal 2 2 2 3 20 3 9" xfId="18382" xr:uid="{00000000-0005-0000-0000-0000CE470000}"/>
    <cellStyle name="Normal 2 2 2 3 20 4" xfId="18383" xr:uid="{00000000-0005-0000-0000-0000CF470000}"/>
    <cellStyle name="Normal 2 2 2 3 20 4 10" xfId="18384" xr:uid="{00000000-0005-0000-0000-0000D0470000}"/>
    <cellStyle name="Normal 2 2 2 3 20 4 2" xfId="18385" xr:uid="{00000000-0005-0000-0000-0000D1470000}"/>
    <cellStyle name="Normal 2 2 2 3 20 4 3" xfId="18386" xr:uid="{00000000-0005-0000-0000-0000D2470000}"/>
    <cellStyle name="Normal 2 2 2 3 20 4 4" xfId="18387" xr:uid="{00000000-0005-0000-0000-0000D3470000}"/>
    <cellStyle name="Normal 2 2 2 3 20 4 5" xfId="18388" xr:uid="{00000000-0005-0000-0000-0000D4470000}"/>
    <cellStyle name="Normal 2 2 2 3 20 4 6" xfId="18389" xr:uid="{00000000-0005-0000-0000-0000D5470000}"/>
    <cellStyle name="Normal 2 2 2 3 20 4 7" xfId="18390" xr:uid="{00000000-0005-0000-0000-0000D6470000}"/>
    <cellStyle name="Normal 2 2 2 3 20 4 8" xfId="18391" xr:uid="{00000000-0005-0000-0000-0000D7470000}"/>
    <cellStyle name="Normal 2 2 2 3 20 4 9" xfId="18392" xr:uid="{00000000-0005-0000-0000-0000D8470000}"/>
    <cellStyle name="Normal 2 2 2 3 20 5" xfId="18393" xr:uid="{00000000-0005-0000-0000-0000D9470000}"/>
    <cellStyle name="Normal 2 2 2 3 20 5 10" xfId="18394" xr:uid="{00000000-0005-0000-0000-0000DA470000}"/>
    <cellStyle name="Normal 2 2 2 3 20 5 2" xfId="18395" xr:uid="{00000000-0005-0000-0000-0000DB470000}"/>
    <cellStyle name="Normal 2 2 2 3 20 5 3" xfId="18396" xr:uid="{00000000-0005-0000-0000-0000DC470000}"/>
    <cellStyle name="Normal 2 2 2 3 20 5 4" xfId="18397" xr:uid="{00000000-0005-0000-0000-0000DD470000}"/>
    <cellStyle name="Normal 2 2 2 3 20 5 5" xfId="18398" xr:uid="{00000000-0005-0000-0000-0000DE470000}"/>
    <cellStyle name="Normal 2 2 2 3 20 5 6" xfId="18399" xr:uid="{00000000-0005-0000-0000-0000DF470000}"/>
    <cellStyle name="Normal 2 2 2 3 20 5 7" xfId="18400" xr:uid="{00000000-0005-0000-0000-0000E0470000}"/>
    <cellStyle name="Normal 2 2 2 3 20 5 8" xfId="18401" xr:uid="{00000000-0005-0000-0000-0000E1470000}"/>
    <cellStyle name="Normal 2 2 2 3 20 5 9" xfId="18402" xr:uid="{00000000-0005-0000-0000-0000E2470000}"/>
    <cellStyle name="Normal 2 2 2 3 20 6" xfId="18403" xr:uid="{00000000-0005-0000-0000-0000E3470000}"/>
    <cellStyle name="Normal 2 2 2 3 20 7" xfId="18404" xr:uid="{00000000-0005-0000-0000-0000E4470000}"/>
    <cellStyle name="Normal 2 2 2 3 20 8" xfId="18405" xr:uid="{00000000-0005-0000-0000-0000E5470000}"/>
    <cellStyle name="Normal 2 2 2 3 20 9" xfId="18406" xr:uid="{00000000-0005-0000-0000-0000E6470000}"/>
    <cellStyle name="Normal 2 2 2 3 21" xfId="18407" xr:uid="{00000000-0005-0000-0000-0000E7470000}"/>
    <cellStyle name="Normal 2 2 2 3 21 10" xfId="18408" xr:uid="{00000000-0005-0000-0000-0000E8470000}"/>
    <cellStyle name="Normal 2 2 2 3 21 11" xfId="18409" xr:uid="{00000000-0005-0000-0000-0000E9470000}"/>
    <cellStyle name="Normal 2 2 2 3 21 12" xfId="18410" xr:uid="{00000000-0005-0000-0000-0000EA470000}"/>
    <cellStyle name="Normal 2 2 2 3 21 13" xfId="18411" xr:uid="{00000000-0005-0000-0000-0000EB470000}"/>
    <cellStyle name="Normal 2 2 2 3 21 14" xfId="18412" xr:uid="{00000000-0005-0000-0000-0000EC470000}"/>
    <cellStyle name="Normal 2 2 2 3 21 2" xfId="18413" xr:uid="{00000000-0005-0000-0000-0000ED470000}"/>
    <cellStyle name="Normal 2 2 2 3 21 2 10" xfId="18414" xr:uid="{00000000-0005-0000-0000-0000EE470000}"/>
    <cellStyle name="Normal 2 2 2 3 21 2 2" xfId="18415" xr:uid="{00000000-0005-0000-0000-0000EF470000}"/>
    <cellStyle name="Normal 2 2 2 3 21 2 3" xfId="18416" xr:uid="{00000000-0005-0000-0000-0000F0470000}"/>
    <cellStyle name="Normal 2 2 2 3 21 2 4" xfId="18417" xr:uid="{00000000-0005-0000-0000-0000F1470000}"/>
    <cellStyle name="Normal 2 2 2 3 21 2 5" xfId="18418" xr:uid="{00000000-0005-0000-0000-0000F2470000}"/>
    <cellStyle name="Normal 2 2 2 3 21 2 6" xfId="18419" xr:uid="{00000000-0005-0000-0000-0000F3470000}"/>
    <cellStyle name="Normal 2 2 2 3 21 2 7" xfId="18420" xr:uid="{00000000-0005-0000-0000-0000F4470000}"/>
    <cellStyle name="Normal 2 2 2 3 21 2 8" xfId="18421" xr:uid="{00000000-0005-0000-0000-0000F5470000}"/>
    <cellStyle name="Normal 2 2 2 3 21 2 9" xfId="18422" xr:uid="{00000000-0005-0000-0000-0000F6470000}"/>
    <cellStyle name="Normal 2 2 2 3 21 3" xfId="18423" xr:uid="{00000000-0005-0000-0000-0000F7470000}"/>
    <cellStyle name="Normal 2 2 2 3 21 3 10" xfId="18424" xr:uid="{00000000-0005-0000-0000-0000F8470000}"/>
    <cellStyle name="Normal 2 2 2 3 21 3 2" xfId="18425" xr:uid="{00000000-0005-0000-0000-0000F9470000}"/>
    <cellStyle name="Normal 2 2 2 3 21 3 3" xfId="18426" xr:uid="{00000000-0005-0000-0000-0000FA470000}"/>
    <cellStyle name="Normal 2 2 2 3 21 3 4" xfId="18427" xr:uid="{00000000-0005-0000-0000-0000FB470000}"/>
    <cellStyle name="Normal 2 2 2 3 21 3 5" xfId="18428" xr:uid="{00000000-0005-0000-0000-0000FC470000}"/>
    <cellStyle name="Normal 2 2 2 3 21 3 6" xfId="18429" xr:uid="{00000000-0005-0000-0000-0000FD470000}"/>
    <cellStyle name="Normal 2 2 2 3 21 3 7" xfId="18430" xr:uid="{00000000-0005-0000-0000-0000FE470000}"/>
    <cellStyle name="Normal 2 2 2 3 21 3 8" xfId="18431" xr:uid="{00000000-0005-0000-0000-0000FF470000}"/>
    <cellStyle name="Normal 2 2 2 3 21 3 9" xfId="18432" xr:uid="{00000000-0005-0000-0000-000000480000}"/>
    <cellStyle name="Normal 2 2 2 3 21 4" xfId="18433" xr:uid="{00000000-0005-0000-0000-000001480000}"/>
    <cellStyle name="Normal 2 2 2 3 21 4 10" xfId="18434" xr:uid="{00000000-0005-0000-0000-000002480000}"/>
    <cellStyle name="Normal 2 2 2 3 21 4 2" xfId="18435" xr:uid="{00000000-0005-0000-0000-000003480000}"/>
    <cellStyle name="Normal 2 2 2 3 21 4 3" xfId="18436" xr:uid="{00000000-0005-0000-0000-000004480000}"/>
    <cellStyle name="Normal 2 2 2 3 21 4 4" xfId="18437" xr:uid="{00000000-0005-0000-0000-000005480000}"/>
    <cellStyle name="Normal 2 2 2 3 21 4 5" xfId="18438" xr:uid="{00000000-0005-0000-0000-000006480000}"/>
    <cellStyle name="Normal 2 2 2 3 21 4 6" xfId="18439" xr:uid="{00000000-0005-0000-0000-000007480000}"/>
    <cellStyle name="Normal 2 2 2 3 21 4 7" xfId="18440" xr:uid="{00000000-0005-0000-0000-000008480000}"/>
    <cellStyle name="Normal 2 2 2 3 21 4 8" xfId="18441" xr:uid="{00000000-0005-0000-0000-000009480000}"/>
    <cellStyle name="Normal 2 2 2 3 21 4 9" xfId="18442" xr:uid="{00000000-0005-0000-0000-00000A480000}"/>
    <cellStyle name="Normal 2 2 2 3 21 5" xfId="18443" xr:uid="{00000000-0005-0000-0000-00000B480000}"/>
    <cellStyle name="Normal 2 2 2 3 21 5 10" xfId="18444" xr:uid="{00000000-0005-0000-0000-00000C480000}"/>
    <cellStyle name="Normal 2 2 2 3 21 5 2" xfId="18445" xr:uid="{00000000-0005-0000-0000-00000D480000}"/>
    <cellStyle name="Normal 2 2 2 3 21 5 3" xfId="18446" xr:uid="{00000000-0005-0000-0000-00000E480000}"/>
    <cellStyle name="Normal 2 2 2 3 21 5 4" xfId="18447" xr:uid="{00000000-0005-0000-0000-00000F480000}"/>
    <cellStyle name="Normal 2 2 2 3 21 5 5" xfId="18448" xr:uid="{00000000-0005-0000-0000-000010480000}"/>
    <cellStyle name="Normal 2 2 2 3 21 5 6" xfId="18449" xr:uid="{00000000-0005-0000-0000-000011480000}"/>
    <cellStyle name="Normal 2 2 2 3 21 5 7" xfId="18450" xr:uid="{00000000-0005-0000-0000-000012480000}"/>
    <cellStyle name="Normal 2 2 2 3 21 5 8" xfId="18451" xr:uid="{00000000-0005-0000-0000-000013480000}"/>
    <cellStyle name="Normal 2 2 2 3 21 5 9" xfId="18452" xr:uid="{00000000-0005-0000-0000-000014480000}"/>
    <cellStyle name="Normal 2 2 2 3 21 6" xfId="18453" xr:uid="{00000000-0005-0000-0000-000015480000}"/>
    <cellStyle name="Normal 2 2 2 3 21 7" xfId="18454" xr:uid="{00000000-0005-0000-0000-000016480000}"/>
    <cellStyle name="Normal 2 2 2 3 21 8" xfId="18455" xr:uid="{00000000-0005-0000-0000-000017480000}"/>
    <cellStyle name="Normal 2 2 2 3 21 9" xfId="18456" xr:uid="{00000000-0005-0000-0000-000018480000}"/>
    <cellStyle name="Normal 2 2 2 3 22" xfId="18457" xr:uid="{00000000-0005-0000-0000-000019480000}"/>
    <cellStyle name="Normal 2 2 2 3 22 10" xfId="18458" xr:uid="{00000000-0005-0000-0000-00001A480000}"/>
    <cellStyle name="Normal 2 2 2 3 22 11" xfId="18459" xr:uid="{00000000-0005-0000-0000-00001B480000}"/>
    <cellStyle name="Normal 2 2 2 3 22 12" xfId="18460" xr:uid="{00000000-0005-0000-0000-00001C480000}"/>
    <cellStyle name="Normal 2 2 2 3 22 13" xfId="18461" xr:uid="{00000000-0005-0000-0000-00001D480000}"/>
    <cellStyle name="Normal 2 2 2 3 22 14" xfId="18462" xr:uid="{00000000-0005-0000-0000-00001E480000}"/>
    <cellStyle name="Normal 2 2 2 3 22 2" xfId="18463" xr:uid="{00000000-0005-0000-0000-00001F480000}"/>
    <cellStyle name="Normal 2 2 2 3 22 2 10" xfId="18464" xr:uid="{00000000-0005-0000-0000-000020480000}"/>
    <cellStyle name="Normal 2 2 2 3 22 2 2" xfId="18465" xr:uid="{00000000-0005-0000-0000-000021480000}"/>
    <cellStyle name="Normal 2 2 2 3 22 2 3" xfId="18466" xr:uid="{00000000-0005-0000-0000-000022480000}"/>
    <cellStyle name="Normal 2 2 2 3 22 2 4" xfId="18467" xr:uid="{00000000-0005-0000-0000-000023480000}"/>
    <cellStyle name="Normal 2 2 2 3 22 2 5" xfId="18468" xr:uid="{00000000-0005-0000-0000-000024480000}"/>
    <cellStyle name="Normal 2 2 2 3 22 2 6" xfId="18469" xr:uid="{00000000-0005-0000-0000-000025480000}"/>
    <cellStyle name="Normal 2 2 2 3 22 2 7" xfId="18470" xr:uid="{00000000-0005-0000-0000-000026480000}"/>
    <cellStyle name="Normal 2 2 2 3 22 2 8" xfId="18471" xr:uid="{00000000-0005-0000-0000-000027480000}"/>
    <cellStyle name="Normal 2 2 2 3 22 2 9" xfId="18472" xr:uid="{00000000-0005-0000-0000-000028480000}"/>
    <cellStyle name="Normal 2 2 2 3 22 3" xfId="18473" xr:uid="{00000000-0005-0000-0000-000029480000}"/>
    <cellStyle name="Normal 2 2 2 3 22 3 10" xfId="18474" xr:uid="{00000000-0005-0000-0000-00002A480000}"/>
    <cellStyle name="Normal 2 2 2 3 22 3 2" xfId="18475" xr:uid="{00000000-0005-0000-0000-00002B480000}"/>
    <cellStyle name="Normal 2 2 2 3 22 3 3" xfId="18476" xr:uid="{00000000-0005-0000-0000-00002C480000}"/>
    <cellStyle name="Normal 2 2 2 3 22 3 4" xfId="18477" xr:uid="{00000000-0005-0000-0000-00002D480000}"/>
    <cellStyle name="Normal 2 2 2 3 22 3 5" xfId="18478" xr:uid="{00000000-0005-0000-0000-00002E480000}"/>
    <cellStyle name="Normal 2 2 2 3 22 3 6" xfId="18479" xr:uid="{00000000-0005-0000-0000-00002F480000}"/>
    <cellStyle name="Normal 2 2 2 3 22 3 7" xfId="18480" xr:uid="{00000000-0005-0000-0000-000030480000}"/>
    <cellStyle name="Normal 2 2 2 3 22 3 8" xfId="18481" xr:uid="{00000000-0005-0000-0000-000031480000}"/>
    <cellStyle name="Normal 2 2 2 3 22 3 9" xfId="18482" xr:uid="{00000000-0005-0000-0000-000032480000}"/>
    <cellStyle name="Normal 2 2 2 3 22 4" xfId="18483" xr:uid="{00000000-0005-0000-0000-000033480000}"/>
    <cellStyle name="Normal 2 2 2 3 22 4 10" xfId="18484" xr:uid="{00000000-0005-0000-0000-000034480000}"/>
    <cellStyle name="Normal 2 2 2 3 22 4 2" xfId="18485" xr:uid="{00000000-0005-0000-0000-000035480000}"/>
    <cellStyle name="Normal 2 2 2 3 22 4 3" xfId="18486" xr:uid="{00000000-0005-0000-0000-000036480000}"/>
    <cellStyle name="Normal 2 2 2 3 22 4 4" xfId="18487" xr:uid="{00000000-0005-0000-0000-000037480000}"/>
    <cellStyle name="Normal 2 2 2 3 22 4 5" xfId="18488" xr:uid="{00000000-0005-0000-0000-000038480000}"/>
    <cellStyle name="Normal 2 2 2 3 22 4 6" xfId="18489" xr:uid="{00000000-0005-0000-0000-000039480000}"/>
    <cellStyle name="Normal 2 2 2 3 22 4 7" xfId="18490" xr:uid="{00000000-0005-0000-0000-00003A480000}"/>
    <cellStyle name="Normal 2 2 2 3 22 4 8" xfId="18491" xr:uid="{00000000-0005-0000-0000-00003B480000}"/>
    <cellStyle name="Normal 2 2 2 3 22 4 9" xfId="18492" xr:uid="{00000000-0005-0000-0000-00003C480000}"/>
    <cellStyle name="Normal 2 2 2 3 22 5" xfId="18493" xr:uid="{00000000-0005-0000-0000-00003D480000}"/>
    <cellStyle name="Normal 2 2 2 3 22 5 10" xfId="18494" xr:uid="{00000000-0005-0000-0000-00003E480000}"/>
    <cellStyle name="Normal 2 2 2 3 22 5 2" xfId="18495" xr:uid="{00000000-0005-0000-0000-00003F480000}"/>
    <cellStyle name="Normal 2 2 2 3 22 5 3" xfId="18496" xr:uid="{00000000-0005-0000-0000-000040480000}"/>
    <cellStyle name="Normal 2 2 2 3 22 5 4" xfId="18497" xr:uid="{00000000-0005-0000-0000-000041480000}"/>
    <cellStyle name="Normal 2 2 2 3 22 5 5" xfId="18498" xr:uid="{00000000-0005-0000-0000-000042480000}"/>
    <cellStyle name="Normal 2 2 2 3 22 5 6" xfId="18499" xr:uid="{00000000-0005-0000-0000-000043480000}"/>
    <cellStyle name="Normal 2 2 2 3 22 5 7" xfId="18500" xr:uid="{00000000-0005-0000-0000-000044480000}"/>
    <cellStyle name="Normal 2 2 2 3 22 5 8" xfId="18501" xr:uid="{00000000-0005-0000-0000-000045480000}"/>
    <cellStyle name="Normal 2 2 2 3 22 5 9" xfId="18502" xr:uid="{00000000-0005-0000-0000-000046480000}"/>
    <cellStyle name="Normal 2 2 2 3 22 6" xfId="18503" xr:uid="{00000000-0005-0000-0000-000047480000}"/>
    <cellStyle name="Normal 2 2 2 3 22 7" xfId="18504" xr:uid="{00000000-0005-0000-0000-000048480000}"/>
    <cellStyle name="Normal 2 2 2 3 22 8" xfId="18505" xr:uid="{00000000-0005-0000-0000-000049480000}"/>
    <cellStyle name="Normal 2 2 2 3 22 9" xfId="18506" xr:uid="{00000000-0005-0000-0000-00004A480000}"/>
    <cellStyle name="Normal 2 2 2 3 23" xfId="18507" xr:uid="{00000000-0005-0000-0000-00004B480000}"/>
    <cellStyle name="Normal 2 2 2 3 23 10" xfId="18508" xr:uid="{00000000-0005-0000-0000-00004C480000}"/>
    <cellStyle name="Normal 2 2 2 3 23 11" xfId="18509" xr:uid="{00000000-0005-0000-0000-00004D480000}"/>
    <cellStyle name="Normal 2 2 2 3 23 12" xfId="18510" xr:uid="{00000000-0005-0000-0000-00004E480000}"/>
    <cellStyle name="Normal 2 2 2 3 23 13" xfId="18511" xr:uid="{00000000-0005-0000-0000-00004F480000}"/>
    <cellStyle name="Normal 2 2 2 3 23 14" xfId="18512" xr:uid="{00000000-0005-0000-0000-000050480000}"/>
    <cellStyle name="Normal 2 2 2 3 23 2" xfId="18513" xr:uid="{00000000-0005-0000-0000-000051480000}"/>
    <cellStyle name="Normal 2 2 2 3 23 2 10" xfId="18514" xr:uid="{00000000-0005-0000-0000-000052480000}"/>
    <cellStyle name="Normal 2 2 2 3 23 2 2" xfId="18515" xr:uid="{00000000-0005-0000-0000-000053480000}"/>
    <cellStyle name="Normal 2 2 2 3 23 2 3" xfId="18516" xr:uid="{00000000-0005-0000-0000-000054480000}"/>
    <cellStyle name="Normal 2 2 2 3 23 2 4" xfId="18517" xr:uid="{00000000-0005-0000-0000-000055480000}"/>
    <cellStyle name="Normal 2 2 2 3 23 2 5" xfId="18518" xr:uid="{00000000-0005-0000-0000-000056480000}"/>
    <cellStyle name="Normal 2 2 2 3 23 2 6" xfId="18519" xr:uid="{00000000-0005-0000-0000-000057480000}"/>
    <cellStyle name="Normal 2 2 2 3 23 2 7" xfId="18520" xr:uid="{00000000-0005-0000-0000-000058480000}"/>
    <cellStyle name="Normal 2 2 2 3 23 2 8" xfId="18521" xr:uid="{00000000-0005-0000-0000-000059480000}"/>
    <cellStyle name="Normal 2 2 2 3 23 2 9" xfId="18522" xr:uid="{00000000-0005-0000-0000-00005A480000}"/>
    <cellStyle name="Normal 2 2 2 3 23 3" xfId="18523" xr:uid="{00000000-0005-0000-0000-00005B480000}"/>
    <cellStyle name="Normal 2 2 2 3 23 3 10" xfId="18524" xr:uid="{00000000-0005-0000-0000-00005C480000}"/>
    <cellStyle name="Normal 2 2 2 3 23 3 2" xfId="18525" xr:uid="{00000000-0005-0000-0000-00005D480000}"/>
    <cellStyle name="Normal 2 2 2 3 23 3 3" xfId="18526" xr:uid="{00000000-0005-0000-0000-00005E480000}"/>
    <cellStyle name="Normal 2 2 2 3 23 3 4" xfId="18527" xr:uid="{00000000-0005-0000-0000-00005F480000}"/>
    <cellStyle name="Normal 2 2 2 3 23 3 5" xfId="18528" xr:uid="{00000000-0005-0000-0000-000060480000}"/>
    <cellStyle name="Normal 2 2 2 3 23 3 6" xfId="18529" xr:uid="{00000000-0005-0000-0000-000061480000}"/>
    <cellStyle name="Normal 2 2 2 3 23 3 7" xfId="18530" xr:uid="{00000000-0005-0000-0000-000062480000}"/>
    <cellStyle name="Normal 2 2 2 3 23 3 8" xfId="18531" xr:uid="{00000000-0005-0000-0000-000063480000}"/>
    <cellStyle name="Normal 2 2 2 3 23 3 9" xfId="18532" xr:uid="{00000000-0005-0000-0000-000064480000}"/>
    <cellStyle name="Normal 2 2 2 3 23 4" xfId="18533" xr:uid="{00000000-0005-0000-0000-000065480000}"/>
    <cellStyle name="Normal 2 2 2 3 23 4 10" xfId="18534" xr:uid="{00000000-0005-0000-0000-000066480000}"/>
    <cellStyle name="Normal 2 2 2 3 23 4 2" xfId="18535" xr:uid="{00000000-0005-0000-0000-000067480000}"/>
    <cellStyle name="Normal 2 2 2 3 23 4 3" xfId="18536" xr:uid="{00000000-0005-0000-0000-000068480000}"/>
    <cellStyle name="Normal 2 2 2 3 23 4 4" xfId="18537" xr:uid="{00000000-0005-0000-0000-000069480000}"/>
    <cellStyle name="Normal 2 2 2 3 23 4 5" xfId="18538" xr:uid="{00000000-0005-0000-0000-00006A480000}"/>
    <cellStyle name="Normal 2 2 2 3 23 4 6" xfId="18539" xr:uid="{00000000-0005-0000-0000-00006B480000}"/>
    <cellStyle name="Normal 2 2 2 3 23 4 7" xfId="18540" xr:uid="{00000000-0005-0000-0000-00006C480000}"/>
    <cellStyle name="Normal 2 2 2 3 23 4 8" xfId="18541" xr:uid="{00000000-0005-0000-0000-00006D480000}"/>
    <cellStyle name="Normal 2 2 2 3 23 4 9" xfId="18542" xr:uid="{00000000-0005-0000-0000-00006E480000}"/>
    <cellStyle name="Normal 2 2 2 3 23 5" xfId="18543" xr:uid="{00000000-0005-0000-0000-00006F480000}"/>
    <cellStyle name="Normal 2 2 2 3 23 5 10" xfId="18544" xr:uid="{00000000-0005-0000-0000-000070480000}"/>
    <cellStyle name="Normal 2 2 2 3 23 5 2" xfId="18545" xr:uid="{00000000-0005-0000-0000-000071480000}"/>
    <cellStyle name="Normal 2 2 2 3 23 5 3" xfId="18546" xr:uid="{00000000-0005-0000-0000-000072480000}"/>
    <cellStyle name="Normal 2 2 2 3 23 5 4" xfId="18547" xr:uid="{00000000-0005-0000-0000-000073480000}"/>
    <cellStyle name="Normal 2 2 2 3 23 5 5" xfId="18548" xr:uid="{00000000-0005-0000-0000-000074480000}"/>
    <cellStyle name="Normal 2 2 2 3 23 5 6" xfId="18549" xr:uid="{00000000-0005-0000-0000-000075480000}"/>
    <cellStyle name="Normal 2 2 2 3 23 5 7" xfId="18550" xr:uid="{00000000-0005-0000-0000-000076480000}"/>
    <cellStyle name="Normal 2 2 2 3 23 5 8" xfId="18551" xr:uid="{00000000-0005-0000-0000-000077480000}"/>
    <cellStyle name="Normal 2 2 2 3 23 5 9" xfId="18552" xr:uid="{00000000-0005-0000-0000-000078480000}"/>
    <cellStyle name="Normal 2 2 2 3 23 6" xfId="18553" xr:uid="{00000000-0005-0000-0000-000079480000}"/>
    <cellStyle name="Normal 2 2 2 3 23 7" xfId="18554" xr:uid="{00000000-0005-0000-0000-00007A480000}"/>
    <cellStyle name="Normal 2 2 2 3 23 8" xfId="18555" xr:uid="{00000000-0005-0000-0000-00007B480000}"/>
    <cellStyle name="Normal 2 2 2 3 23 9" xfId="18556" xr:uid="{00000000-0005-0000-0000-00007C480000}"/>
    <cellStyle name="Normal 2 2 2 3 24" xfId="18557" xr:uid="{00000000-0005-0000-0000-00007D480000}"/>
    <cellStyle name="Normal 2 2 2 3 24 10" xfId="18558" xr:uid="{00000000-0005-0000-0000-00007E480000}"/>
    <cellStyle name="Normal 2 2 2 3 24 11" xfId="18559" xr:uid="{00000000-0005-0000-0000-00007F480000}"/>
    <cellStyle name="Normal 2 2 2 3 24 12" xfId="18560" xr:uid="{00000000-0005-0000-0000-000080480000}"/>
    <cellStyle name="Normal 2 2 2 3 24 13" xfId="18561" xr:uid="{00000000-0005-0000-0000-000081480000}"/>
    <cellStyle name="Normal 2 2 2 3 24 14" xfId="18562" xr:uid="{00000000-0005-0000-0000-000082480000}"/>
    <cellStyle name="Normal 2 2 2 3 24 2" xfId="18563" xr:uid="{00000000-0005-0000-0000-000083480000}"/>
    <cellStyle name="Normal 2 2 2 3 24 2 10" xfId="18564" xr:uid="{00000000-0005-0000-0000-000084480000}"/>
    <cellStyle name="Normal 2 2 2 3 24 2 2" xfId="18565" xr:uid="{00000000-0005-0000-0000-000085480000}"/>
    <cellStyle name="Normal 2 2 2 3 24 2 3" xfId="18566" xr:uid="{00000000-0005-0000-0000-000086480000}"/>
    <cellStyle name="Normal 2 2 2 3 24 2 4" xfId="18567" xr:uid="{00000000-0005-0000-0000-000087480000}"/>
    <cellStyle name="Normal 2 2 2 3 24 2 5" xfId="18568" xr:uid="{00000000-0005-0000-0000-000088480000}"/>
    <cellStyle name="Normal 2 2 2 3 24 2 6" xfId="18569" xr:uid="{00000000-0005-0000-0000-000089480000}"/>
    <cellStyle name="Normal 2 2 2 3 24 2 7" xfId="18570" xr:uid="{00000000-0005-0000-0000-00008A480000}"/>
    <cellStyle name="Normal 2 2 2 3 24 2 8" xfId="18571" xr:uid="{00000000-0005-0000-0000-00008B480000}"/>
    <cellStyle name="Normal 2 2 2 3 24 2 9" xfId="18572" xr:uid="{00000000-0005-0000-0000-00008C480000}"/>
    <cellStyle name="Normal 2 2 2 3 24 3" xfId="18573" xr:uid="{00000000-0005-0000-0000-00008D480000}"/>
    <cellStyle name="Normal 2 2 2 3 24 3 10" xfId="18574" xr:uid="{00000000-0005-0000-0000-00008E480000}"/>
    <cellStyle name="Normal 2 2 2 3 24 3 2" xfId="18575" xr:uid="{00000000-0005-0000-0000-00008F480000}"/>
    <cellStyle name="Normal 2 2 2 3 24 3 3" xfId="18576" xr:uid="{00000000-0005-0000-0000-000090480000}"/>
    <cellStyle name="Normal 2 2 2 3 24 3 4" xfId="18577" xr:uid="{00000000-0005-0000-0000-000091480000}"/>
    <cellStyle name="Normal 2 2 2 3 24 3 5" xfId="18578" xr:uid="{00000000-0005-0000-0000-000092480000}"/>
    <cellStyle name="Normal 2 2 2 3 24 3 6" xfId="18579" xr:uid="{00000000-0005-0000-0000-000093480000}"/>
    <cellStyle name="Normal 2 2 2 3 24 3 7" xfId="18580" xr:uid="{00000000-0005-0000-0000-000094480000}"/>
    <cellStyle name="Normal 2 2 2 3 24 3 8" xfId="18581" xr:uid="{00000000-0005-0000-0000-000095480000}"/>
    <cellStyle name="Normal 2 2 2 3 24 3 9" xfId="18582" xr:uid="{00000000-0005-0000-0000-000096480000}"/>
    <cellStyle name="Normal 2 2 2 3 24 4" xfId="18583" xr:uid="{00000000-0005-0000-0000-000097480000}"/>
    <cellStyle name="Normal 2 2 2 3 24 4 10" xfId="18584" xr:uid="{00000000-0005-0000-0000-000098480000}"/>
    <cellStyle name="Normal 2 2 2 3 24 4 2" xfId="18585" xr:uid="{00000000-0005-0000-0000-000099480000}"/>
    <cellStyle name="Normal 2 2 2 3 24 4 3" xfId="18586" xr:uid="{00000000-0005-0000-0000-00009A480000}"/>
    <cellStyle name="Normal 2 2 2 3 24 4 4" xfId="18587" xr:uid="{00000000-0005-0000-0000-00009B480000}"/>
    <cellStyle name="Normal 2 2 2 3 24 4 5" xfId="18588" xr:uid="{00000000-0005-0000-0000-00009C480000}"/>
    <cellStyle name="Normal 2 2 2 3 24 4 6" xfId="18589" xr:uid="{00000000-0005-0000-0000-00009D480000}"/>
    <cellStyle name="Normal 2 2 2 3 24 4 7" xfId="18590" xr:uid="{00000000-0005-0000-0000-00009E480000}"/>
    <cellStyle name="Normal 2 2 2 3 24 4 8" xfId="18591" xr:uid="{00000000-0005-0000-0000-00009F480000}"/>
    <cellStyle name="Normal 2 2 2 3 24 4 9" xfId="18592" xr:uid="{00000000-0005-0000-0000-0000A0480000}"/>
    <cellStyle name="Normal 2 2 2 3 24 5" xfId="18593" xr:uid="{00000000-0005-0000-0000-0000A1480000}"/>
    <cellStyle name="Normal 2 2 2 3 24 5 10" xfId="18594" xr:uid="{00000000-0005-0000-0000-0000A2480000}"/>
    <cellStyle name="Normal 2 2 2 3 24 5 2" xfId="18595" xr:uid="{00000000-0005-0000-0000-0000A3480000}"/>
    <cellStyle name="Normal 2 2 2 3 24 5 3" xfId="18596" xr:uid="{00000000-0005-0000-0000-0000A4480000}"/>
    <cellStyle name="Normal 2 2 2 3 24 5 4" xfId="18597" xr:uid="{00000000-0005-0000-0000-0000A5480000}"/>
    <cellStyle name="Normal 2 2 2 3 24 5 5" xfId="18598" xr:uid="{00000000-0005-0000-0000-0000A6480000}"/>
    <cellStyle name="Normal 2 2 2 3 24 5 6" xfId="18599" xr:uid="{00000000-0005-0000-0000-0000A7480000}"/>
    <cellStyle name="Normal 2 2 2 3 24 5 7" xfId="18600" xr:uid="{00000000-0005-0000-0000-0000A8480000}"/>
    <cellStyle name="Normal 2 2 2 3 24 5 8" xfId="18601" xr:uid="{00000000-0005-0000-0000-0000A9480000}"/>
    <cellStyle name="Normal 2 2 2 3 24 5 9" xfId="18602" xr:uid="{00000000-0005-0000-0000-0000AA480000}"/>
    <cellStyle name="Normal 2 2 2 3 24 6" xfId="18603" xr:uid="{00000000-0005-0000-0000-0000AB480000}"/>
    <cellStyle name="Normal 2 2 2 3 24 7" xfId="18604" xr:uid="{00000000-0005-0000-0000-0000AC480000}"/>
    <cellStyle name="Normal 2 2 2 3 24 8" xfId="18605" xr:uid="{00000000-0005-0000-0000-0000AD480000}"/>
    <cellStyle name="Normal 2 2 2 3 24 9" xfId="18606" xr:uid="{00000000-0005-0000-0000-0000AE480000}"/>
    <cellStyle name="Normal 2 2 2 3 25" xfId="18607" xr:uid="{00000000-0005-0000-0000-0000AF480000}"/>
    <cellStyle name="Normal 2 2 2 3 25 10" xfId="18608" xr:uid="{00000000-0005-0000-0000-0000B0480000}"/>
    <cellStyle name="Normal 2 2 2 3 25 11" xfId="18609" xr:uid="{00000000-0005-0000-0000-0000B1480000}"/>
    <cellStyle name="Normal 2 2 2 3 25 12" xfId="18610" xr:uid="{00000000-0005-0000-0000-0000B2480000}"/>
    <cellStyle name="Normal 2 2 2 3 25 13" xfId="18611" xr:uid="{00000000-0005-0000-0000-0000B3480000}"/>
    <cellStyle name="Normal 2 2 2 3 25 14" xfId="18612" xr:uid="{00000000-0005-0000-0000-0000B4480000}"/>
    <cellStyle name="Normal 2 2 2 3 25 2" xfId="18613" xr:uid="{00000000-0005-0000-0000-0000B5480000}"/>
    <cellStyle name="Normal 2 2 2 3 25 2 10" xfId="18614" xr:uid="{00000000-0005-0000-0000-0000B6480000}"/>
    <cellStyle name="Normal 2 2 2 3 25 2 2" xfId="18615" xr:uid="{00000000-0005-0000-0000-0000B7480000}"/>
    <cellStyle name="Normal 2 2 2 3 25 2 3" xfId="18616" xr:uid="{00000000-0005-0000-0000-0000B8480000}"/>
    <cellStyle name="Normal 2 2 2 3 25 2 4" xfId="18617" xr:uid="{00000000-0005-0000-0000-0000B9480000}"/>
    <cellStyle name="Normal 2 2 2 3 25 2 5" xfId="18618" xr:uid="{00000000-0005-0000-0000-0000BA480000}"/>
    <cellStyle name="Normal 2 2 2 3 25 2 6" xfId="18619" xr:uid="{00000000-0005-0000-0000-0000BB480000}"/>
    <cellStyle name="Normal 2 2 2 3 25 2 7" xfId="18620" xr:uid="{00000000-0005-0000-0000-0000BC480000}"/>
    <cellStyle name="Normal 2 2 2 3 25 2 8" xfId="18621" xr:uid="{00000000-0005-0000-0000-0000BD480000}"/>
    <cellStyle name="Normal 2 2 2 3 25 2 9" xfId="18622" xr:uid="{00000000-0005-0000-0000-0000BE480000}"/>
    <cellStyle name="Normal 2 2 2 3 25 3" xfId="18623" xr:uid="{00000000-0005-0000-0000-0000BF480000}"/>
    <cellStyle name="Normal 2 2 2 3 25 3 10" xfId="18624" xr:uid="{00000000-0005-0000-0000-0000C0480000}"/>
    <cellStyle name="Normal 2 2 2 3 25 3 2" xfId="18625" xr:uid="{00000000-0005-0000-0000-0000C1480000}"/>
    <cellStyle name="Normal 2 2 2 3 25 3 3" xfId="18626" xr:uid="{00000000-0005-0000-0000-0000C2480000}"/>
    <cellStyle name="Normal 2 2 2 3 25 3 4" xfId="18627" xr:uid="{00000000-0005-0000-0000-0000C3480000}"/>
    <cellStyle name="Normal 2 2 2 3 25 3 5" xfId="18628" xr:uid="{00000000-0005-0000-0000-0000C4480000}"/>
    <cellStyle name="Normal 2 2 2 3 25 3 6" xfId="18629" xr:uid="{00000000-0005-0000-0000-0000C5480000}"/>
    <cellStyle name="Normal 2 2 2 3 25 3 7" xfId="18630" xr:uid="{00000000-0005-0000-0000-0000C6480000}"/>
    <cellStyle name="Normal 2 2 2 3 25 3 8" xfId="18631" xr:uid="{00000000-0005-0000-0000-0000C7480000}"/>
    <cellStyle name="Normal 2 2 2 3 25 3 9" xfId="18632" xr:uid="{00000000-0005-0000-0000-0000C8480000}"/>
    <cellStyle name="Normal 2 2 2 3 25 4" xfId="18633" xr:uid="{00000000-0005-0000-0000-0000C9480000}"/>
    <cellStyle name="Normal 2 2 2 3 25 4 10" xfId="18634" xr:uid="{00000000-0005-0000-0000-0000CA480000}"/>
    <cellStyle name="Normal 2 2 2 3 25 4 2" xfId="18635" xr:uid="{00000000-0005-0000-0000-0000CB480000}"/>
    <cellStyle name="Normal 2 2 2 3 25 4 3" xfId="18636" xr:uid="{00000000-0005-0000-0000-0000CC480000}"/>
    <cellStyle name="Normal 2 2 2 3 25 4 4" xfId="18637" xr:uid="{00000000-0005-0000-0000-0000CD480000}"/>
    <cellStyle name="Normal 2 2 2 3 25 4 5" xfId="18638" xr:uid="{00000000-0005-0000-0000-0000CE480000}"/>
    <cellStyle name="Normal 2 2 2 3 25 4 6" xfId="18639" xr:uid="{00000000-0005-0000-0000-0000CF480000}"/>
    <cellStyle name="Normal 2 2 2 3 25 4 7" xfId="18640" xr:uid="{00000000-0005-0000-0000-0000D0480000}"/>
    <cellStyle name="Normal 2 2 2 3 25 4 8" xfId="18641" xr:uid="{00000000-0005-0000-0000-0000D1480000}"/>
    <cellStyle name="Normal 2 2 2 3 25 4 9" xfId="18642" xr:uid="{00000000-0005-0000-0000-0000D2480000}"/>
    <cellStyle name="Normal 2 2 2 3 25 5" xfId="18643" xr:uid="{00000000-0005-0000-0000-0000D3480000}"/>
    <cellStyle name="Normal 2 2 2 3 25 5 10" xfId="18644" xr:uid="{00000000-0005-0000-0000-0000D4480000}"/>
    <cellStyle name="Normal 2 2 2 3 25 5 2" xfId="18645" xr:uid="{00000000-0005-0000-0000-0000D5480000}"/>
    <cellStyle name="Normal 2 2 2 3 25 5 3" xfId="18646" xr:uid="{00000000-0005-0000-0000-0000D6480000}"/>
    <cellStyle name="Normal 2 2 2 3 25 5 4" xfId="18647" xr:uid="{00000000-0005-0000-0000-0000D7480000}"/>
    <cellStyle name="Normal 2 2 2 3 25 5 5" xfId="18648" xr:uid="{00000000-0005-0000-0000-0000D8480000}"/>
    <cellStyle name="Normal 2 2 2 3 25 5 6" xfId="18649" xr:uid="{00000000-0005-0000-0000-0000D9480000}"/>
    <cellStyle name="Normal 2 2 2 3 25 5 7" xfId="18650" xr:uid="{00000000-0005-0000-0000-0000DA480000}"/>
    <cellStyle name="Normal 2 2 2 3 25 5 8" xfId="18651" xr:uid="{00000000-0005-0000-0000-0000DB480000}"/>
    <cellStyle name="Normal 2 2 2 3 25 5 9" xfId="18652" xr:uid="{00000000-0005-0000-0000-0000DC480000}"/>
    <cellStyle name="Normal 2 2 2 3 25 6" xfId="18653" xr:uid="{00000000-0005-0000-0000-0000DD480000}"/>
    <cellStyle name="Normal 2 2 2 3 25 7" xfId="18654" xr:uid="{00000000-0005-0000-0000-0000DE480000}"/>
    <cellStyle name="Normal 2 2 2 3 25 8" xfId="18655" xr:uid="{00000000-0005-0000-0000-0000DF480000}"/>
    <cellStyle name="Normal 2 2 2 3 25 9" xfId="18656" xr:uid="{00000000-0005-0000-0000-0000E0480000}"/>
    <cellStyle name="Normal 2 2 2 3 26" xfId="18657" xr:uid="{00000000-0005-0000-0000-0000E1480000}"/>
    <cellStyle name="Normal 2 2 2 3 26 10" xfId="18658" xr:uid="{00000000-0005-0000-0000-0000E2480000}"/>
    <cellStyle name="Normal 2 2 2 3 26 11" xfId="18659" xr:uid="{00000000-0005-0000-0000-0000E3480000}"/>
    <cellStyle name="Normal 2 2 2 3 26 12" xfId="18660" xr:uid="{00000000-0005-0000-0000-0000E4480000}"/>
    <cellStyle name="Normal 2 2 2 3 26 13" xfId="18661" xr:uid="{00000000-0005-0000-0000-0000E5480000}"/>
    <cellStyle name="Normal 2 2 2 3 26 14" xfId="18662" xr:uid="{00000000-0005-0000-0000-0000E6480000}"/>
    <cellStyle name="Normal 2 2 2 3 26 2" xfId="18663" xr:uid="{00000000-0005-0000-0000-0000E7480000}"/>
    <cellStyle name="Normal 2 2 2 3 26 2 10" xfId="18664" xr:uid="{00000000-0005-0000-0000-0000E8480000}"/>
    <cellStyle name="Normal 2 2 2 3 26 2 2" xfId="18665" xr:uid="{00000000-0005-0000-0000-0000E9480000}"/>
    <cellStyle name="Normal 2 2 2 3 26 2 3" xfId="18666" xr:uid="{00000000-0005-0000-0000-0000EA480000}"/>
    <cellStyle name="Normal 2 2 2 3 26 2 4" xfId="18667" xr:uid="{00000000-0005-0000-0000-0000EB480000}"/>
    <cellStyle name="Normal 2 2 2 3 26 2 5" xfId="18668" xr:uid="{00000000-0005-0000-0000-0000EC480000}"/>
    <cellStyle name="Normal 2 2 2 3 26 2 6" xfId="18669" xr:uid="{00000000-0005-0000-0000-0000ED480000}"/>
    <cellStyle name="Normal 2 2 2 3 26 2 7" xfId="18670" xr:uid="{00000000-0005-0000-0000-0000EE480000}"/>
    <cellStyle name="Normal 2 2 2 3 26 2 8" xfId="18671" xr:uid="{00000000-0005-0000-0000-0000EF480000}"/>
    <cellStyle name="Normal 2 2 2 3 26 2 9" xfId="18672" xr:uid="{00000000-0005-0000-0000-0000F0480000}"/>
    <cellStyle name="Normal 2 2 2 3 26 3" xfId="18673" xr:uid="{00000000-0005-0000-0000-0000F1480000}"/>
    <cellStyle name="Normal 2 2 2 3 26 3 10" xfId="18674" xr:uid="{00000000-0005-0000-0000-0000F2480000}"/>
    <cellStyle name="Normal 2 2 2 3 26 3 2" xfId="18675" xr:uid="{00000000-0005-0000-0000-0000F3480000}"/>
    <cellStyle name="Normal 2 2 2 3 26 3 3" xfId="18676" xr:uid="{00000000-0005-0000-0000-0000F4480000}"/>
    <cellStyle name="Normal 2 2 2 3 26 3 4" xfId="18677" xr:uid="{00000000-0005-0000-0000-0000F5480000}"/>
    <cellStyle name="Normal 2 2 2 3 26 3 5" xfId="18678" xr:uid="{00000000-0005-0000-0000-0000F6480000}"/>
    <cellStyle name="Normal 2 2 2 3 26 3 6" xfId="18679" xr:uid="{00000000-0005-0000-0000-0000F7480000}"/>
    <cellStyle name="Normal 2 2 2 3 26 3 7" xfId="18680" xr:uid="{00000000-0005-0000-0000-0000F8480000}"/>
    <cellStyle name="Normal 2 2 2 3 26 3 8" xfId="18681" xr:uid="{00000000-0005-0000-0000-0000F9480000}"/>
    <cellStyle name="Normal 2 2 2 3 26 3 9" xfId="18682" xr:uid="{00000000-0005-0000-0000-0000FA480000}"/>
    <cellStyle name="Normal 2 2 2 3 26 4" xfId="18683" xr:uid="{00000000-0005-0000-0000-0000FB480000}"/>
    <cellStyle name="Normal 2 2 2 3 26 4 10" xfId="18684" xr:uid="{00000000-0005-0000-0000-0000FC480000}"/>
    <cellStyle name="Normal 2 2 2 3 26 4 2" xfId="18685" xr:uid="{00000000-0005-0000-0000-0000FD480000}"/>
    <cellStyle name="Normal 2 2 2 3 26 4 3" xfId="18686" xr:uid="{00000000-0005-0000-0000-0000FE480000}"/>
    <cellStyle name="Normal 2 2 2 3 26 4 4" xfId="18687" xr:uid="{00000000-0005-0000-0000-0000FF480000}"/>
    <cellStyle name="Normal 2 2 2 3 26 4 5" xfId="18688" xr:uid="{00000000-0005-0000-0000-000000490000}"/>
    <cellStyle name="Normal 2 2 2 3 26 4 6" xfId="18689" xr:uid="{00000000-0005-0000-0000-000001490000}"/>
    <cellStyle name="Normal 2 2 2 3 26 4 7" xfId="18690" xr:uid="{00000000-0005-0000-0000-000002490000}"/>
    <cellStyle name="Normal 2 2 2 3 26 4 8" xfId="18691" xr:uid="{00000000-0005-0000-0000-000003490000}"/>
    <cellStyle name="Normal 2 2 2 3 26 4 9" xfId="18692" xr:uid="{00000000-0005-0000-0000-000004490000}"/>
    <cellStyle name="Normal 2 2 2 3 26 5" xfId="18693" xr:uid="{00000000-0005-0000-0000-000005490000}"/>
    <cellStyle name="Normal 2 2 2 3 26 5 10" xfId="18694" xr:uid="{00000000-0005-0000-0000-000006490000}"/>
    <cellStyle name="Normal 2 2 2 3 26 5 2" xfId="18695" xr:uid="{00000000-0005-0000-0000-000007490000}"/>
    <cellStyle name="Normal 2 2 2 3 26 5 3" xfId="18696" xr:uid="{00000000-0005-0000-0000-000008490000}"/>
    <cellStyle name="Normal 2 2 2 3 26 5 4" xfId="18697" xr:uid="{00000000-0005-0000-0000-000009490000}"/>
    <cellStyle name="Normal 2 2 2 3 26 5 5" xfId="18698" xr:uid="{00000000-0005-0000-0000-00000A490000}"/>
    <cellStyle name="Normal 2 2 2 3 26 5 6" xfId="18699" xr:uid="{00000000-0005-0000-0000-00000B490000}"/>
    <cellStyle name="Normal 2 2 2 3 26 5 7" xfId="18700" xr:uid="{00000000-0005-0000-0000-00000C490000}"/>
    <cellStyle name="Normal 2 2 2 3 26 5 8" xfId="18701" xr:uid="{00000000-0005-0000-0000-00000D490000}"/>
    <cellStyle name="Normal 2 2 2 3 26 5 9" xfId="18702" xr:uid="{00000000-0005-0000-0000-00000E490000}"/>
    <cellStyle name="Normal 2 2 2 3 26 6" xfId="18703" xr:uid="{00000000-0005-0000-0000-00000F490000}"/>
    <cellStyle name="Normal 2 2 2 3 26 7" xfId="18704" xr:uid="{00000000-0005-0000-0000-000010490000}"/>
    <cellStyle name="Normal 2 2 2 3 26 8" xfId="18705" xr:uid="{00000000-0005-0000-0000-000011490000}"/>
    <cellStyle name="Normal 2 2 2 3 26 9" xfId="18706" xr:uid="{00000000-0005-0000-0000-000012490000}"/>
    <cellStyle name="Normal 2 2 2 3 27" xfId="18707" xr:uid="{00000000-0005-0000-0000-000013490000}"/>
    <cellStyle name="Normal 2 2 2 3 27 10" xfId="18708" xr:uid="{00000000-0005-0000-0000-000014490000}"/>
    <cellStyle name="Normal 2 2 2 3 27 11" xfId="18709" xr:uid="{00000000-0005-0000-0000-000015490000}"/>
    <cellStyle name="Normal 2 2 2 3 27 12" xfId="18710" xr:uid="{00000000-0005-0000-0000-000016490000}"/>
    <cellStyle name="Normal 2 2 2 3 27 13" xfId="18711" xr:uid="{00000000-0005-0000-0000-000017490000}"/>
    <cellStyle name="Normal 2 2 2 3 27 14" xfId="18712" xr:uid="{00000000-0005-0000-0000-000018490000}"/>
    <cellStyle name="Normal 2 2 2 3 27 2" xfId="18713" xr:uid="{00000000-0005-0000-0000-000019490000}"/>
    <cellStyle name="Normal 2 2 2 3 27 2 10" xfId="18714" xr:uid="{00000000-0005-0000-0000-00001A490000}"/>
    <cellStyle name="Normal 2 2 2 3 27 2 2" xfId="18715" xr:uid="{00000000-0005-0000-0000-00001B490000}"/>
    <cellStyle name="Normal 2 2 2 3 27 2 3" xfId="18716" xr:uid="{00000000-0005-0000-0000-00001C490000}"/>
    <cellStyle name="Normal 2 2 2 3 27 2 4" xfId="18717" xr:uid="{00000000-0005-0000-0000-00001D490000}"/>
    <cellStyle name="Normal 2 2 2 3 27 2 5" xfId="18718" xr:uid="{00000000-0005-0000-0000-00001E490000}"/>
    <cellStyle name="Normal 2 2 2 3 27 2 6" xfId="18719" xr:uid="{00000000-0005-0000-0000-00001F490000}"/>
    <cellStyle name="Normal 2 2 2 3 27 2 7" xfId="18720" xr:uid="{00000000-0005-0000-0000-000020490000}"/>
    <cellStyle name="Normal 2 2 2 3 27 2 8" xfId="18721" xr:uid="{00000000-0005-0000-0000-000021490000}"/>
    <cellStyle name="Normal 2 2 2 3 27 2 9" xfId="18722" xr:uid="{00000000-0005-0000-0000-000022490000}"/>
    <cellStyle name="Normal 2 2 2 3 27 3" xfId="18723" xr:uid="{00000000-0005-0000-0000-000023490000}"/>
    <cellStyle name="Normal 2 2 2 3 27 3 10" xfId="18724" xr:uid="{00000000-0005-0000-0000-000024490000}"/>
    <cellStyle name="Normal 2 2 2 3 27 3 2" xfId="18725" xr:uid="{00000000-0005-0000-0000-000025490000}"/>
    <cellStyle name="Normal 2 2 2 3 27 3 3" xfId="18726" xr:uid="{00000000-0005-0000-0000-000026490000}"/>
    <cellStyle name="Normal 2 2 2 3 27 3 4" xfId="18727" xr:uid="{00000000-0005-0000-0000-000027490000}"/>
    <cellStyle name="Normal 2 2 2 3 27 3 5" xfId="18728" xr:uid="{00000000-0005-0000-0000-000028490000}"/>
    <cellStyle name="Normal 2 2 2 3 27 3 6" xfId="18729" xr:uid="{00000000-0005-0000-0000-000029490000}"/>
    <cellStyle name="Normal 2 2 2 3 27 3 7" xfId="18730" xr:uid="{00000000-0005-0000-0000-00002A490000}"/>
    <cellStyle name="Normal 2 2 2 3 27 3 8" xfId="18731" xr:uid="{00000000-0005-0000-0000-00002B490000}"/>
    <cellStyle name="Normal 2 2 2 3 27 3 9" xfId="18732" xr:uid="{00000000-0005-0000-0000-00002C490000}"/>
    <cellStyle name="Normal 2 2 2 3 27 4" xfId="18733" xr:uid="{00000000-0005-0000-0000-00002D490000}"/>
    <cellStyle name="Normal 2 2 2 3 27 4 10" xfId="18734" xr:uid="{00000000-0005-0000-0000-00002E490000}"/>
    <cellStyle name="Normal 2 2 2 3 27 4 2" xfId="18735" xr:uid="{00000000-0005-0000-0000-00002F490000}"/>
    <cellStyle name="Normal 2 2 2 3 27 4 3" xfId="18736" xr:uid="{00000000-0005-0000-0000-000030490000}"/>
    <cellStyle name="Normal 2 2 2 3 27 4 4" xfId="18737" xr:uid="{00000000-0005-0000-0000-000031490000}"/>
    <cellStyle name="Normal 2 2 2 3 27 4 5" xfId="18738" xr:uid="{00000000-0005-0000-0000-000032490000}"/>
    <cellStyle name="Normal 2 2 2 3 27 4 6" xfId="18739" xr:uid="{00000000-0005-0000-0000-000033490000}"/>
    <cellStyle name="Normal 2 2 2 3 27 4 7" xfId="18740" xr:uid="{00000000-0005-0000-0000-000034490000}"/>
    <cellStyle name="Normal 2 2 2 3 27 4 8" xfId="18741" xr:uid="{00000000-0005-0000-0000-000035490000}"/>
    <cellStyle name="Normal 2 2 2 3 27 4 9" xfId="18742" xr:uid="{00000000-0005-0000-0000-000036490000}"/>
    <cellStyle name="Normal 2 2 2 3 27 5" xfId="18743" xr:uid="{00000000-0005-0000-0000-000037490000}"/>
    <cellStyle name="Normal 2 2 2 3 27 5 10" xfId="18744" xr:uid="{00000000-0005-0000-0000-000038490000}"/>
    <cellStyle name="Normal 2 2 2 3 27 5 2" xfId="18745" xr:uid="{00000000-0005-0000-0000-000039490000}"/>
    <cellStyle name="Normal 2 2 2 3 27 5 3" xfId="18746" xr:uid="{00000000-0005-0000-0000-00003A490000}"/>
    <cellStyle name="Normal 2 2 2 3 27 5 4" xfId="18747" xr:uid="{00000000-0005-0000-0000-00003B490000}"/>
    <cellStyle name="Normal 2 2 2 3 27 5 5" xfId="18748" xr:uid="{00000000-0005-0000-0000-00003C490000}"/>
    <cellStyle name="Normal 2 2 2 3 27 5 6" xfId="18749" xr:uid="{00000000-0005-0000-0000-00003D490000}"/>
    <cellStyle name="Normal 2 2 2 3 27 5 7" xfId="18750" xr:uid="{00000000-0005-0000-0000-00003E490000}"/>
    <cellStyle name="Normal 2 2 2 3 27 5 8" xfId="18751" xr:uid="{00000000-0005-0000-0000-00003F490000}"/>
    <cellStyle name="Normal 2 2 2 3 27 5 9" xfId="18752" xr:uid="{00000000-0005-0000-0000-000040490000}"/>
    <cellStyle name="Normal 2 2 2 3 27 6" xfId="18753" xr:uid="{00000000-0005-0000-0000-000041490000}"/>
    <cellStyle name="Normal 2 2 2 3 27 7" xfId="18754" xr:uid="{00000000-0005-0000-0000-000042490000}"/>
    <cellStyle name="Normal 2 2 2 3 27 8" xfId="18755" xr:uid="{00000000-0005-0000-0000-000043490000}"/>
    <cellStyle name="Normal 2 2 2 3 27 9" xfId="18756" xr:uid="{00000000-0005-0000-0000-000044490000}"/>
    <cellStyle name="Normal 2 2 2 3 28" xfId="18757" xr:uid="{00000000-0005-0000-0000-000045490000}"/>
    <cellStyle name="Normal 2 2 2 3 28 10" xfId="18758" xr:uid="{00000000-0005-0000-0000-000046490000}"/>
    <cellStyle name="Normal 2 2 2 3 28 11" xfId="18759" xr:uid="{00000000-0005-0000-0000-000047490000}"/>
    <cellStyle name="Normal 2 2 2 3 28 12" xfId="18760" xr:uid="{00000000-0005-0000-0000-000048490000}"/>
    <cellStyle name="Normal 2 2 2 3 28 13" xfId="18761" xr:uid="{00000000-0005-0000-0000-000049490000}"/>
    <cellStyle name="Normal 2 2 2 3 28 14" xfId="18762" xr:uid="{00000000-0005-0000-0000-00004A490000}"/>
    <cellStyle name="Normal 2 2 2 3 28 2" xfId="18763" xr:uid="{00000000-0005-0000-0000-00004B490000}"/>
    <cellStyle name="Normal 2 2 2 3 28 2 10" xfId="18764" xr:uid="{00000000-0005-0000-0000-00004C490000}"/>
    <cellStyle name="Normal 2 2 2 3 28 2 2" xfId="18765" xr:uid="{00000000-0005-0000-0000-00004D490000}"/>
    <cellStyle name="Normal 2 2 2 3 28 2 3" xfId="18766" xr:uid="{00000000-0005-0000-0000-00004E490000}"/>
    <cellStyle name="Normal 2 2 2 3 28 2 4" xfId="18767" xr:uid="{00000000-0005-0000-0000-00004F490000}"/>
    <cellStyle name="Normal 2 2 2 3 28 2 5" xfId="18768" xr:uid="{00000000-0005-0000-0000-000050490000}"/>
    <cellStyle name="Normal 2 2 2 3 28 2 6" xfId="18769" xr:uid="{00000000-0005-0000-0000-000051490000}"/>
    <cellStyle name="Normal 2 2 2 3 28 2 7" xfId="18770" xr:uid="{00000000-0005-0000-0000-000052490000}"/>
    <cellStyle name="Normal 2 2 2 3 28 2 8" xfId="18771" xr:uid="{00000000-0005-0000-0000-000053490000}"/>
    <cellStyle name="Normal 2 2 2 3 28 2 9" xfId="18772" xr:uid="{00000000-0005-0000-0000-000054490000}"/>
    <cellStyle name="Normal 2 2 2 3 28 3" xfId="18773" xr:uid="{00000000-0005-0000-0000-000055490000}"/>
    <cellStyle name="Normal 2 2 2 3 28 3 10" xfId="18774" xr:uid="{00000000-0005-0000-0000-000056490000}"/>
    <cellStyle name="Normal 2 2 2 3 28 3 2" xfId="18775" xr:uid="{00000000-0005-0000-0000-000057490000}"/>
    <cellStyle name="Normal 2 2 2 3 28 3 3" xfId="18776" xr:uid="{00000000-0005-0000-0000-000058490000}"/>
    <cellStyle name="Normal 2 2 2 3 28 3 4" xfId="18777" xr:uid="{00000000-0005-0000-0000-000059490000}"/>
    <cellStyle name="Normal 2 2 2 3 28 3 5" xfId="18778" xr:uid="{00000000-0005-0000-0000-00005A490000}"/>
    <cellStyle name="Normal 2 2 2 3 28 3 6" xfId="18779" xr:uid="{00000000-0005-0000-0000-00005B490000}"/>
    <cellStyle name="Normal 2 2 2 3 28 3 7" xfId="18780" xr:uid="{00000000-0005-0000-0000-00005C490000}"/>
    <cellStyle name="Normal 2 2 2 3 28 3 8" xfId="18781" xr:uid="{00000000-0005-0000-0000-00005D490000}"/>
    <cellStyle name="Normal 2 2 2 3 28 3 9" xfId="18782" xr:uid="{00000000-0005-0000-0000-00005E490000}"/>
    <cellStyle name="Normal 2 2 2 3 28 4" xfId="18783" xr:uid="{00000000-0005-0000-0000-00005F490000}"/>
    <cellStyle name="Normal 2 2 2 3 28 4 10" xfId="18784" xr:uid="{00000000-0005-0000-0000-000060490000}"/>
    <cellStyle name="Normal 2 2 2 3 28 4 2" xfId="18785" xr:uid="{00000000-0005-0000-0000-000061490000}"/>
    <cellStyle name="Normal 2 2 2 3 28 4 3" xfId="18786" xr:uid="{00000000-0005-0000-0000-000062490000}"/>
    <cellStyle name="Normal 2 2 2 3 28 4 4" xfId="18787" xr:uid="{00000000-0005-0000-0000-000063490000}"/>
    <cellStyle name="Normal 2 2 2 3 28 4 5" xfId="18788" xr:uid="{00000000-0005-0000-0000-000064490000}"/>
    <cellStyle name="Normal 2 2 2 3 28 4 6" xfId="18789" xr:uid="{00000000-0005-0000-0000-000065490000}"/>
    <cellStyle name="Normal 2 2 2 3 28 4 7" xfId="18790" xr:uid="{00000000-0005-0000-0000-000066490000}"/>
    <cellStyle name="Normal 2 2 2 3 28 4 8" xfId="18791" xr:uid="{00000000-0005-0000-0000-000067490000}"/>
    <cellStyle name="Normal 2 2 2 3 28 4 9" xfId="18792" xr:uid="{00000000-0005-0000-0000-000068490000}"/>
    <cellStyle name="Normal 2 2 2 3 28 5" xfId="18793" xr:uid="{00000000-0005-0000-0000-000069490000}"/>
    <cellStyle name="Normal 2 2 2 3 28 5 10" xfId="18794" xr:uid="{00000000-0005-0000-0000-00006A490000}"/>
    <cellStyle name="Normal 2 2 2 3 28 5 2" xfId="18795" xr:uid="{00000000-0005-0000-0000-00006B490000}"/>
    <cellStyle name="Normal 2 2 2 3 28 5 3" xfId="18796" xr:uid="{00000000-0005-0000-0000-00006C490000}"/>
    <cellStyle name="Normal 2 2 2 3 28 5 4" xfId="18797" xr:uid="{00000000-0005-0000-0000-00006D490000}"/>
    <cellStyle name="Normal 2 2 2 3 28 5 5" xfId="18798" xr:uid="{00000000-0005-0000-0000-00006E490000}"/>
    <cellStyle name="Normal 2 2 2 3 28 5 6" xfId="18799" xr:uid="{00000000-0005-0000-0000-00006F490000}"/>
    <cellStyle name="Normal 2 2 2 3 28 5 7" xfId="18800" xr:uid="{00000000-0005-0000-0000-000070490000}"/>
    <cellStyle name="Normal 2 2 2 3 28 5 8" xfId="18801" xr:uid="{00000000-0005-0000-0000-000071490000}"/>
    <cellStyle name="Normal 2 2 2 3 28 5 9" xfId="18802" xr:uid="{00000000-0005-0000-0000-000072490000}"/>
    <cellStyle name="Normal 2 2 2 3 28 6" xfId="18803" xr:uid="{00000000-0005-0000-0000-000073490000}"/>
    <cellStyle name="Normal 2 2 2 3 28 7" xfId="18804" xr:uid="{00000000-0005-0000-0000-000074490000}"/>
    <cellStyle name="Normal 2 2 2 3 28 8" xfId="18805" xr:uid="{00000000-0005-0000-0000-000075490000}"/>
    <cellStyle name="Normal 2 2 2 3 28 9" xfId="18806" xr:uid="{00000000-0005-0000-0000-000076490000}"/>
    <cellStyle name="Normal 2 2 2 3 29" xfId="18807" xr:uid="{00000000-0005-0000-0000-000077490000}"/>
    <cellStyle name="Normal 2 2 2 3 29 10" xfId="18808" xr:uid="{00000000-0005-0000-0000-000078490000}"/>
    <cellStyle name="Normal 2 2 2 3 29 11" xfId="18809" xr:uid="{00000000-0005-0000-0000-000079490000}"/>
    <cellStyle name="Normal 2 2 2 3 29 12" xfId="18810" xr:uid="{00000000-0005-0000-0000-00007A490000}"/>
    <cellStyle name="Normal 2 2 2 3 29 13" xfId="18811" xr:uid="{00000000-0005-0000-0000-00007B490000}"/>
    <cellStyle name="Normal 2 2 2 3 29 14" xfId="18812" xr:uid="{00000000-0005-0000-0000-00007C490000}"/>
    <cellStyle name="Normal 2 2 2 3 29 2" xfId="18813" xr:uid="{00000000-0005-0000-0000-00007D490000}"/>
    <cellStyle name="Normal 2 2 2 3 29 2 10" xfId="18814" xr:uid="{00000000-0005-0000-0000-00007E490000}"/>
    <cellStyle name="Normal 2 2 2 3 29 2 2" xfId="18815" xr:uid="{00000000-0005-0000-0000-00007F490000}"/>
    <cellStyle name="Normal 2 2 2 3 29 2 3" xfId="18816" xr:uid="{00000000-0005-0000-0000-000080490000}"/>
    <cellStyle name="Normal 2 2 2 3 29 2 4" xfId="18817" xr:uid="{00000000-0005-0000-0000-000081490000}"/>
    <cellStyle name="Normal 2 2 2 3 29 2 5" xfId="18818" xr:uid="{00000000-0005-0000-0000-000082490000}"/>
    <cellStyle name="Normal 2 2 2 3 29 2 6" xfId="18819" xr:uid="{00000000-0005-0000-0000-000083490000}"/>
    <cellStyle name="Normal 2 2 2 3 29 2 7" xfId="18820" xr:uid="{00000000-0005-0000-0000-000084490000}"/>
    <cellStyle name="Normal 2 2 2 3 29 2 8" xfId="18821" xr:uid="{00000000-0005-0000-0000-000085490000}"/>
    <cellStyle name="Normal 2 2 2 3 29 2 9" xfId="18822" xr:uid="{00000000-0005-0000-0000-000086490000}"/>
    <cellStyle name="Normal 2 2 2 3 29 3" xfId="18823" xr:uid="{00000000-0005-0000-0000-000087490000}"/>
    <cellStyle name="Normal 2 2 2 3 29 3 10" xfId="18824" xr:uid="{00000000-0005-0000-0000-000088490000}"/>
    <cellStyle name="Normal 2 2 2 3 29 3 2" xfId="18825" xr:uid="{00000000-0005-0000-0000-000089490000}"/>
    <cellStyle name="Normal 2 2 2 3 29 3 3" xfId="18826" xr:uid="{00000000-0005-0000-0000-00008A490000}"/>
    <cellStyle name="Normal 2 2 2 3 29 3 4" xfId="18827" xr:uid="{00000000-0005-0000-0000-00008B490000}"/>
    <cellStyle name="Normal 2 2 2 3 29 3 5" xfId="18828" xr:uid="{00000000-0005-0000-0000-00008C490000}"/>
    <cellStyle name="Normal 2 2 2 3 29 3 6" xfId="18829" xr:uid="{00000000-0005-0000-0000-00008D490000}"/>
    <cellStyle name="Normal 2 2 2 3 29 3 7" xfId="18830" xr:uid="{00000000-0005-0000-0000-00008E490000}"/>
    <cellStyle name="Normal 2 2 2 3 29 3 8" xfId="18831" xr:uid="{00000000-0005-0000-0000-00008F490000}"/>
    <cellStyle name="Normal 2 2 2 3 29 3 9" xfId="18832" xr:uid="{00000000-0005-0000-0000-000090490000}"/>
    <cellStyle name="Normal 2 2 2 3 29 4" xfId="18833" xr:uid="{00000000-0005-0000-0000-000091490000}"/>
    <cellStyle name="Normal 2 2 2 3 29 4 10" xfId="18834" xr:uid="{00000000-0005-0000-0000-000092490000}"/>
    <cellStyle name="Normal 2 2 2 3 29 4 2" xfId="18835" xr:uid="{00000000-0005-0000-0000-000093490000}"/>
    <cellStyle name="Normal 2 2 2 3 29 4 3" xfId="18836" xr:uid="{00000000-0005-0000-0000-000094490000}"/>
    <cellStyle name="Normal 2 2 2 3 29 4 4" xfId="18837" xr:uid="{00000000-0005-0000-0000-000095490000}"/>
    <cellStyle name="Normal 2 2 2 3 29 4 5" xfId="18838" xr:uid="{00000000-0005-0000-0000-000096490000}"/>
    <cellStyle name="Normal 2 2 2 3 29 4 6" xfId="18839" xr:uid="{00000000-0005-0000-0000-000097490000}"/>
    <cellStyle name="Normal 2 2 2 3 29 4 7" xfId="18840" xr:uid="{00000000-0005-0000-0000-000098490000}"/>
    <cellStyle name="Normal 2 2 2 3 29 4 8" xfId="18841" xr:uid="{00000000-0005-0000-0000-000099490000}"/>
    <cellStyle name="Normal 2 2 2 3 29 4 9" xfId="18842" xr:uid="{00000000-0005-0000-0000-00009A490000}"/>
    <cellStyle name="Normal 2 2 2 3 29 5" xfId="18843" xr:uid="{00000000-0005-0000-0000-00009B490000}"/>
    <cellStyle name="Normal 2 2 2 3 29 5 10" xfId="18844" xr:uid="{00000000-0005-0000-0000-00009C490000}"/>
    <cellStyle name="Normal 2 2 2 3 29 5 2" xfId="18845" xr:uid="{00000000-0005-0000-0000-00009D490000}"/>
    <cellStyle name="Normal 2 2 2 3 29 5 3" xfId="18846" xr:uid="{00000000-0005-0000-0000-00009E490000}"/>
    <cellStyle name="Normal 2 2 2 3 29 5 4" xfId="18847" xr:uid="{00000000-0005-0000-0000-00009F490000}"/>
    <cellStyle name="Normal 2 2 2 3 29 5 5" xfId="18848" xr:uid="{00000000-0005-0000-0000-0000A0490000}"/>
    <cellStyle name="Normal 2 2 2 3 29 5 6" xfId="18849" xr:uid="{00000000-0005-0000-0000-0000A1490000}"/>
    <cellStyle name="Normal 2 2 2 3 29 5 7" xfId="18850" xr:uid="{00000000-0005-0000-0000-0000A2490000}"/>
    <cellStyle name="Normal 2 2 2 3 29 5 8" xfId="18851" xr:uid="{00000000-0005-0000-0000-0000A3490000}"/>
    <cellStyle name="Normal 2 2 2 3 29 5 9" xfId="18852" xr:uid="{00000000-0005-0000-0000-0000A4490000}"/>
    <cellStyle name="Normal 2 2 2 3 29 6" xfId="18853" xr:uid="{00000000-0005-0000-0000-0000A5490000}"/>
    <cellStyle name="Normal 2 2 2 3 29 7" xfId="18854" xr:uid="{00000000-0005-0000-0000-0000A6490000}"/>
    <cellStyle name="Normal 2 2 2 3 29 8" xfId="18855" xr:uid="{00000000-0005-0000-0000-0000A7490000}"/>
    <cellStyle name="Normal 2 2 2 3 29 9" xfId="18856" xr:uid="{00000000-0005-0000-0000-0000A8490000}"/>
    <cellStyle name="Normal 2 2 2 3 3" xfId="18857" xr:uid="{00000000-0005-0000-0000-0000A9490000}"/>
    <cellStyle name="Normal 2 2 2 3 3 10" xfId="18858" xr:uid="{00000000-0005-0000-0000-0000AA490000}"/>
    <cellStyle name="Normal 2 2 2 3 3 11" xfId="18859" xr:uid="{00000000-0005-0000-0000-0000AB490000}"/>
    <cellStyle name="Normal 2 2 2 3 3 12" xfId="18860" xr:uid="{00000000-0005-0000-0000-0000AC490000}"/>
    <cellStyle name="Normal 2 2 2 3 3 13" xfId="18861" xr:uid="{00000000-0005-0000-0000-0000AD490000}"/>
    <cellStyle name="Normal 2 2 2 3 3 14" xfId="18862" xr:uid="{00000000-0005-0000-0000-0000AE490000}"/>
    <cellStyle name="Normal 2 2 2 3 3 15" xfId="18863" xr:uid="{00000000-0005-0000-0000-0000AF490000}"/>
    <cellStyle name="Normal 2 2 2 3 3 16" xfId="18864" xr:uid="{00000000-0005-0000-0000-0000B0490000}"/>
    <cellStyle name="Normal 2 2 2 3 3 2" xfId="18865" xr:uid="{00000000-0005-0000-0000-0000B1490000}"/>
    <cellStyle name="Normal 2 2 2 3 3 2 10" xfId="18866" xr:uid="{00000000-0005-0000-0000-0000B2490000}"/>
    <cellStyle name="Normal 2 2 2 3 3 2 11" xfId="18867" xr:uid="{00000000-0005-0000-0000-0000B3490000}"/>
    <cellStyle name="Normal 2 2 2 3 3 2 12" xfId="18868" xr:uid="{00000000-0005-0000-0000-0000B4490000}"/>
    <cellStyle name="Normal 2 2 2 3 3 2 2" xfId="18869" xr:uid="{00000000-0005-0000-0000-0000B5490000}"/>
    <cellStyle name="Normal 2 2 2 3 3 2 3" xfId="18870" xr:uid="{00000000-0005-0000-0000-0000B6490000}"/>
    <cellStyle name="Normal 2 2 2 3 3 2 4" xfId="18871" xr:uid="{00000000-0005-0000-0000-0000B7490000}"/>
    <cellStyle name="Normal 2 2 2 3 3 2 5" xfId="18872" xr:uid="{00000000-0005-0000-0000-0000B8490000}"/>
    <cellStyle name="Normal 2 2 2 3 3 2 6" xfId="18873" xr:uid="{00000000-0005-0000-0000-0000B9490000}"/>
    <cellStyle name="Normal 2 2 2 3 3 2 7" xfId="18874" xr:uid="{00000000-0005-0000-0000-0000BA490000}"/>
    <cellStyle name="Normal 2 2 2 3 3 2 8" xfId="18875" xr:uid="{00000000-0005-0000-0000-0000BB490000}"/>
    <cellStyle name="Normal 2 2 2 3 3 2 9" xfId="18876" xr:uid="{00000000-0005-0000-0000-0000BC490000}"/>
    <cellStyle name="Normal 2 2 2 3 3 3" xfId="18877" xr:uid="{00000000-0005-0000-0000-0000BD490000}"/>
    <cellStyle name="Normal 2 2 2 3 3 3 10" xfId="18878" xr:uid="{00000000-0005-0000-0000-0000BE490000}"/>
    <cellStyle name="Normal 2 2 2 3 3 3 2" xfId="18879" xr:uid="{00000000-0005-0000-0000-0000BF490000}"/>
    <cellStyle name="Normal 2 2 2 3 3 3 3" xfId="18880" xr:uid="{00000000-0005-0000-0000-0000C0490000}"/>
    <cellStyle name="Normal 2 2 2 3 3 3 4" xfId="18881" xr:uid="{00000000-0005-0000-0000-0000C1490000}"/>
    <cellStyle name="Normal 2 2 2 3 3 3 5" xfId="18882" xr:uid="{00000000-0005-0000-0000-0000C2490000}"/>
    <cellStyle name="Normal 2 2 2 3 3 3 6" xfId="18883" xr:uid="{00000000-0005-0000-0000-0000C3490000}"/>
    <cellStyle name="Normal 2 2 2 3 3 3 7" xfId="18884" xr:uid="{00000000-0005-0000-0000-0000C4490000}"/>
    <cellStyle name="Normal 2 2 2 3 3 3 8" xfId="18885" xr:uid="{00000000-0005-0000-0000-0000C5490000}"/>
    <cellStyle name="Normal 2 2 2 3 3 3 9" xfId="18886" xr:uid="{00000000-0005-0000-0000-0000C6490000}"/>
    <cellStyle name="Normal 2 2 2 3 3 4" xfId="18887" xr:uid="{00000000-0005-0000-0000-0000C7490000}"/>
    <cellStyle name="Normal 2 2 2 3 3 4 10" xfId="18888" xr:uid="{00000000-0005-0000-0000-0000C8490000}"/>
    <cellStyle name="Normal 2 2 2 3 3 4 2" xfId="18889" xr:uid="{00000000-0005-0000-0000-0000C9490000}"/>
    <cellStyle name="Normal 2 2 2 3 3 4 3" xfId="18890" xr:uid="{00000000-0005-0000-0000-0000CA490000}"/>
    <cellStyle name="Normal 2 2 2 3 3 4 4" xfId="18891" xr:uid="{00000000-0005-0000-0000-0000CB490000}"/>
    <cellStyle name="Normal 2 2 2 3 3 4 5" xfId="18892" xr:uid="{00000000-0005-0000-0000-0000CC490000}"/>
    <cellStyle name="Normal 2 2 2 3 3 4 6" xfId="18893" xr:uid="{00000000-0005-0000-0000-0000CD490000}"/>
    <cellStyle name="Normal 2 2 2 3 3 4 7" xfId="18894" xr:uid="{00000000-0005-0000-0000-0000CE490000}"/>
    <cellStyle name="Normal 2 2 2 3 3 4 8" xfId="18895" xr:uid="{00000000-0005-0000-0000-0000CF490000}"/>
    <cellStyle name="Normal 2 2 2 3 3 4 9" xfId="18896" xr:uid="{00000000-0005-0000-0000-0000D0490000}"/>
    <cellStyle name="Normal 2 2 2 3 3 5" xfId="18897" xr:uid="{00000000-0005-0000-0000-0000D1490000}"/>
    <cellStyle name="Normal 2 2 2 3 3 5 10" xfId="18898" xr:uid="{00000000-0005-0000-0000-0000D2490000}"/>
    <cellStyle name="Normal 2 2 2 3 3 5 2" xfId="18899" xr:uid="{00000000-0005-0000-0000-0000D3490000}"/>
    <cellStyle name="Normal 2 2 2 3 3 5 3" xfId="18900" xr:uid="{00000000-0005-0000-0000-0000D4490000}"/>
    <cellStyle name="Normal 2 2 2 3 3 5 4" xfId="18901" xr:uid="{00000000-0005-0000-0000-0000D5490000}"/>
    <cellStyle name="Normal 2 2 2 3 3 5 5" xfId="18902" xr:uid="{00000000-0005-0000-0000-0000D6490000}"/>
    <cellStyle name="Normal 2 2 2 3 3 5 6" xfId="18903" xr:uid="{00000000-0005-0000-0000-0000D7490000}"/>
    <cellStyle name="Normal 2 2 2 3 3 5 7" xfId="18904" xr:uid="{00000000-0005-0000-0000-0000D8490000}"/>
    <cellStyle name="Normal 2 2 2 3 3 5 8" xfId="18905" xr:uid="{00000000-0005-0000-0000-0000D9490000}"/>
    <cellStyle name="Normal 2 2 2 3 3 5 9" xfId="18906" xr:uid="{00000000-0005-0000-0000-0000DA490000}"/>
    <cellStyle name="Normal 2 2 2 3 3 6" xfId="18907" xr:uid="{00000000-0005-0000-0000-0000DB490000}"/>
    <cellStyle name="Normal 2 2 2 3 3 7" xfId="18908" xr:uid="{00000000-0005-0000-0000-0000DC490000}"/>
    <cellStyle name="Normal 2 2 2 3 3 8" xfId="18909" xr:uid="{00000000-0005-0000-0000-0000DD490000}"/>
    <cellStyle name="Normal 2 2 2 3 3 9" xfId="18910" xr:uid="{00000000-0005-0000-0000-0000DE490000}"/>
    <cellStyle name="Normal 2 2 2 3 30" xfId="18911" xr:uid="{00000000-0005-0000-0000-0000DF490000}"/>
    <cellStyle name="Normal 2 2 2 3 30 10" xfId="18912" xr:uid="{00000000-0005-0000-0000-0000E0490000}"/>
    <cellStyle name="Normal 2 2 2 3 30 11" xfId="18913" xr:uid="{00000000-0005-0000-0000-0000E1490000}"/>
    <cellStyle name="Normal 2 2 2 3 30 12" xfId="18914" xr:uid="{00000000-0005-0000-0000-0000E2490000}"/>
    <cellStyle name="Normal 2 2 2 3 30 13" xfId="18915" xr:uid="{00000000-0005-0000-0000-0000E3490000}"/>
    <cellStyle name="Normal 2 2 2 3 30 14" xfId="18916" xr:uid="{00000000-0005-0000-0000-0000E4490000}"/>
    <cellStyle name="Normal 2 2 2 3 30 2" xfId="18917" xr:uid="{00000000-0005-0000-0000-0000E5490000}"/>
    <cellStyle name="Normal 2 2 2 3 30 2 10" xfId="18918" xr:uid="{00000000-0005-0000-0000-0000E6490000}"/>
    <cellStyle name="Normal 2 2 2 3 30 2 2" xfId="18919" xr:uid="{00000000-0005-0000-0000-0000E7490000}"/>
    <cellStyle name="Normal 2 2 2 3 30 2 3" xfId="18920" xr:uid="{00000000-0005-0000-0000-0000E8490000}"/>
    <cellStyle name="Normal 2 2 2 3 30 2 4" xfId="18921" xr:uid="{00000000-0005-0000-0000-0000E9490000}"/>
    <cellStyle name="Normal 2 2 2 3 30 2 5" xfId="18922" xr:uid="{00000000-0005-0000-0000-0000EA490000}"/>
    <cellStyle name="Normal 2 2 2 3 30 2 6" xfId="18923" xr:uid="{00000000-0005-0000-0000-0000EB490000}"/>
    <cellStyle name="Normal 2 2 2 3 30 2 7" xfId="18924" xr:uid="{00000000-0005-0000-0000-0000EC490000}"/>
    <cellStyle name="Normal 2 2 2 3 30 2 8" xfId="18925" xr:uid="{00000000-0005-0000-0000-0000ED490000}"/>
    <cellStyle name="Normal 2 2 2 3 30 2 9" xfId="18926" xr:uid="{00000000-0005-0000-0000-0000EE490000}"/>
    <cellStyle name="Normal 2 2 2 3 30 3" xfId="18927" xr:uid="{00000000-0005-0000-0000-0000EF490000}"/>
    <cellStyle name="Normal 2 2 2 3 30 3 10" xfId="18928" xr:uid="{00000000-0005-0000-0000-0000F0490000}"/>
    <cellStyle name="Normal 2 2 2 3 30 3 2" xfId="18929" xr:uid="{00000000-0005-0000-0000-0000F1490000}"/>
    <cellStyle name="Normal 2 2 2 3 30 3 3" xfId="18930" xr:uid="{00000000-0005-0000-0000-0000F2490000}"/>
    <cellStyle name="Normal 2 2 2 3 30 3 4" xfId="18931" xr:uid="{00000000-0005-0000-0000-0000F3490000}"/>
    <cellStyle name="Normal 2 2 2 3 30 3 5" xfId="18932" xr:uid="{00000000-0005-0000-0000-0000F4490000}"/>
    <cellStyle name="Normal 2 2 2 3 30 3 6" xfId="18933" xr:uid="{00000000-0005-0000-0000-0000F5490000}"/>
    <cellStyle name="Normal 2 2 2 3 30 3 7" xfId="18934" xr:uid="{00000000-0005-0000-0000-0000F6490000}"/>
    <cellStyle name="Normal 2 2 2 3 30 3 8" xfId="18935" xr:uid="{00000000-0005-0000-0000-0000F7490000}"/>
    <cellStyle name="Normal 2 2 2 3 30 3 9" xfId="18936" xr:uid="{00000000-0005-0000-0000-0000F8490000}"/>
    <cellStyle name="Normal 2 2 2 3 30 4" xfId="18937" xr:uid="{00000000-0005-0000-0000-0000F9490000}"/>
    <cellStyle name="Normal 2 2 2 3 30 4 10" xfId="18938" xr:uid="{00000000-0005-0000-0000-0000FA490000}"/>
    <cellStyle name="Normal 2 2 2 3 30 4 2" xfId="18939" xr:uid="{00000000-0005-0000-0000-0000FB490000}"/>
    <cellStyle name="Normal 2 2 2 3 30 4 3" xfId="18940" xr:uid="{00000000-0005-0000-0000-0000FC490000}"/>
    <cellStyle name="Normal 2 2 2 3 30 4 4" xfId="18941" xr:uid="{00000000-0005-0000-0000-0000FD490000}"/>
    <cellStyle name="Normal 2 2 2 3 30 4 5" xfId="18942" xr:uid="{00000000-0005-0000-0000-0000FE490000}"/>
    <cellStyle name="Normal 2 2 2 3 30 4 6" xfId="18943" xr:uid="{00000000-0005-0000-0000-0000FF490000}"/>
    <cellStyle name="Normal 2 2 2 3 30 4 7" xfId="18944" xr:uid="{00000000-0005-0000-0000-0000004A0000}"/>
    <cellStyle name="Normal 2 2 2 3 30 4 8" xfId="18945" xr:uid="{00000000-0005-0000-0000-0000014A0000}"/>
    <cellStyle name="Normal 2 2 2 3 30 4 9" xfId="18946" xr:uid="{00000000-0005-0000-0000-0000024A0000}"/>
    <cellStyle name="Normal 2 2 2 3 30 5" xfId="18947" xr:uid="{00000000-0005-0000-0000-0000034A0000}"/>
    <cellStyle name="Normal 2 2 2 3 30 5 10" xfId="18948" xr:uid="{00000000-0005-0000-0000-0000044A0000}"/>
    <cellStyle name="Normal 2 2 2 3 30 5 2" xfId="18949" xr:uid="{00000000-0005-0000-0000-0000054A0000}"/>
    <cellStyle name="Normal 2 2 2 3 30 5 3" xfId="18950" xr:uid="{00000000-0005-0000-0000-0000064A0000}"/>
    <cellStyle name="Normal 2 2 2 3 30 5 4" xfId="18951" xr:uid="{00000000-0005-0000-0000-0000074A0000}"/>
    <cellStyle name="Normal 2 2 2 3 30 5 5" xfId="18952" xr:uid="{00000000-0005-0000-0000-0000084A0000}"/>
    <cellStyle name="Normal 2 2 2 3 30 5 6" xfId="18953" xr:uid="{00000000-0005-0000-0000-0000094A0000}"/>
    <cellStyle name="Normal 2 2 2 3 30 5 7" xfId="18954" xr:uid="{00000000-0005-0000-0000-00000A4A0000}"/>
    <cellStyle name="Normal 2 2 2 3 30 5 8" xfId="18955" xr:uid="{00000000-0005-0000-0000-00000B4A0000}"/>
    <cellStyle name="Normal 2 2 2 3 30 5 9" xfId="18956" xr:uid="{00000000-0005-0000-0000-00000C4A0000}"/>
    <cellStyle name="Normal 2 2 2 3 30 6" xfId="18957" xr:uid="{00000000-0005-0000-0000-00000D4A0000}"/>
    <cellStyle name="Normal 2 2 2 3 30 7" xfId="18958" xr:uid="{00000000-0005-0000-0000-00000E4A0000}"/>
    <cellStyle name="Normal 2 2 2 3 30 8" xfId="18959" xr:uid="{00000000-0005-0000-0000-00000F4A0000}"/>
    <cellStyle name="Normal 2 2 2 3 30 9" xfId="18960" xr:uid="{00000000-0005-0000-0000-0000104A0000}"/>
    <cellStyle name="Normal 2 2 2 3 31" xfId="18961" xr:uid="{00000000-0005-0000-0000-0000114A0000}"/>
    <cellStyle name="Normal 2 2 2 3 31 10" xfId="18962" xr:uid="{00000000-0005-0000-0000-0000124A0000}"/>
    <cellStyle name="Normal 2 2 2 3 31 11" xfId="18963" xr:uid="{00000000-0005-0000-0000-0000134A0000}"/>
    <cellStyle name="Normal 2 2 2 3 31 12" xfId="18964" xr:uid="{00000000-0005-0000-0000-0000144A0000}"/>
    <cellStyle name="Normal 2 2 2 3 31 13" xfId="18965" xr:uid="{00000000-0005-0000-0000-0000154A0000}"/>
    <cellStyle name="Normal 2 2 2 3 31 14" xfId="18966" xr:uid="{00000000-0005-0000-0000-0000164A0000}"/>
    <cellStyle name="Normal 2 2 2 3 31 2" xfId="18967" xr:uid="{00000000-0005-0000-0000-0000174A0000}"/>
    <cellStyle name="Normal 2 2 2 3 31 2 10" xfId="18968" xr:uid="{00000000-0005-0000-0000-0000184A0000}"/>
    <cellStyle name="Normal 2 2 2 3 31 2 2" xfId="18969" xr:uid="{00000000-0005-0000-0000-0000194A0000}"/>
    <cellStyle name="Normal 2 2 2 3 31 2 3" xfId="18970" xr:uid="{00000000-0005-0000-0000-00001A4A0000}"/>
    <cellStyle name="Normal 2 2 2 3 31 2 4" xfId="18971" xr:uid="{00000000-0005-0000-0000-00001B4A0000}"/>
    <cellStyle name="Normal 2 2 2 3 31 2 5" xfId="18972" xr:uid="{00000000-0005-0000-0000-00001C4A0000}"/>
    <cellStyle name="Normal 2 2 2 3 31 2 6" xfId="18973" xr:uid="{00000000-0005-0000-0000-00001D4A0000}"/>
    <cellStyle name="Normal 2 2 2 3 31 2 7" xfId="18974" xr:uid="{00000000-0005-0000-0000-00001E4A0000}"/>
    <cellStyle name="Normal 2 2 2 3 31 2 8" xfId="18975" xr:uid="{00000000-0005-0000-0000-00001F4A0000}"/>
    <cellStyle name="Normal 2 2 2 3 31 2 9" xfId="18976" xr:uid="{00000000-0005-0000-0000-0000204A0000}"/>
    <cellStyle name="Normal 2 2 2 3 31 3" xfId="18977" xr:uid="{00000000-0005-0000-0000-0000214A0000}"/>
    <cellStyle name="Normal 2 2 2 3 31 3 10" xfId="18978" xr:uid="{00000000-0005-0000-0000-0000224A0000}"/>
    <cellStyle name="Normal 2 2 2 3 31 3 2" xfId="18979" xr:uid="{00000000-0005-0000-0000-0000234A0000}"/>
    <cellStyle name="Normal 2 2 2 3 31 3 3" xfId="18980" xr:uid="{00000000-0005-0000-0000-0000244A0000}"/>
    <cellStyle name="Normal 2 2 2 3 31 3 4" xfId="18981" xr:uid="{00000000-0005-0000-0000-0000254A0000}"/>
    <cellStyle name="Normal 2 2 2 3 31 3 5" xfId="18982" xr:uid="{00000000-0005-0000-0000-0000264A0000}"/>
    <cellStyle name="Normal 2 2 2 3 31 3 6" xfId="18983" xr:uid="{00000000-0005-0000-0000-0000274A0000}"/>
    <cellStyle name="Normal 2 2 2 3 31 3 7" xfId="18984" xr:uid="{00000000-0005-0000-0000-0000284A0000}"/>
    <cellStyle name="Normal 2 2 2 3 31 3 8" xfId="18985" xr:uid="{00000000-0005-0000-0000-0000294A0000}"/>
    <cellStyle name="Normal 2 2 2 3 31 3 9" xfId="18986" xr:uid="{00000000-0005-0000-0000-00002A4A0000}"/>
    <cellStyle name="Normal 2 2 2 3 31 4" xfId="18987" xr:uid="{00000000-0005-0000-0000-00002B4A0000}"/>
    <cellStyle name="Normal 2 2 2 3 31 4 10" xfId="18988" xr:uid="{00000000-0005-0000-0000-00002C4A0000}"/>
    <cellStyle name="Normal 2 2 2 3 31 4 2" xfId="18989" xr:uid="{00000000-0005-0000-0000-00002D4A0000}"/>
    <cellStyle name="Normal 2 2 2 3 31 4 3" xfId="18990" xr:uid="{00000000-0005-0000-0000-00002E4A0000}"/>
    <cellStyle name="Normal 2 2 2 3 31 4 4" xfId="18991" xr:uid="{00000000-0005-0000-0000-00002F4A0000}"/>
    <cellStyle name="Normal 2 2 2 3 31 4 5" xfId="18992" xr:uid="{00000000-0005-0000-0000-0000304A0000}"/>
    <cellStyle name="Normal 2 2 2 3 31 4 6" xfId="18993" xr:uid="{00000000-0005-0000-0000-0000314A0000}"/>
    <cellStyle name="Normal 2 2 2 3 31 4 7" xfId="18994" xr:uid="{00000000-0005-0000-0000-0000324A0000}"/>
    <cellStyle name="Normal 2 2 2 3 31 4 8" xfId="18995" xr:uid="{00000000-0005-0000-0000-0000334A0000}"/>
    <cellStyle name="Normal 2 2 2 3 31 4 9" xfId="18996" xr:uid="{00000000-0005-0000-0000-0000344A0000}"/>
    <cellStyle name="Normal 2 2 2 3 31 5" xfId="18997" xr:uid="{00000000-0005-0000-0000-0000354A0000}"/>
    <cellStyle name="Normal 2 2 2 3 31 5 10" xfId="18998" xr:uid="{00000000-0005-0000-0000-0000364A0000}"/>
    <cellStyle name="Normal 2 2 2 3 31 5 2" xfId="18999" xr:uid="{00000000-0005-0000-0000-0000374A0000}"/>
    <cellStyle name="Normal 2 2 2 3 31 5 3" xfId="19000" xr:uid="{00000000-0005-0000-0000-0000384A0000}"/>
    <cellStyle name="Normal 2 2 2 3 31 5 4" xfId="19001" xr:uid="{00000000-0005-0000-0000-0000394A0000}"/>
    <cellStyle name="Normal 2 2 2 3 31 5 5" xfId="19002" xr:uid="{00000000-0005-0000-0000-00003A4A0000}"/>
    <cellStyle name="Normal 2 2 2 3 31 5 6" xfId="19003" xr:uid="{00000000-0005-0000-0000-00003B4A0000}"/>
    <cellStyle name="Normal 2 2 2 3 31 5 7" xfId="19004" xr:uid="{00000000-0005-0000-0000-00003C4A0000}"/>
    <cellStyle name="Normal 2 2 2 3 31 5 8" xfId="19005" xr:uid="{00000000-0005-0000-0000-00003D4A0000}"/>
    <cellStyle name="Normal 2 2 2 3 31 5 9" xfId="19006" xr:uid="{00000000-0005-0000-0000-00003E4A0000}"/>
    <cellStyle name="Normal 2 2 2 3 31 6" xfId="19007" xr:uid="{00000000-0005-0000-0000-00003F4A0000}"/>
    <cellStyle name="Normal 2 2 2 3 31 7" xfId="19008" xr:uid="{00000000-0005-0000-0000-0000404A0000}"/>
    <cellStyle name="Normal 2 2 2 3 31 8" xfId="19009" xr:uid="{00000000-0005-0000-0000-0000414A0000}"/>
    <cellStyle name="Normal 2 2 2 3 31 9" xfId="19010" xr:uid="{00000000-0005-0000-0000-0000424A0000}"/>
    <cellStyle name="Normal 2 2 2 3 32" xfId="19011" xr:uid="{00000000-0005-0000-0000-0000434A0000}"/>
    <cellStyle name="Normal 2 2 2 3 32 10" xfId="19012" xr:uid="{00000000-0005-0000-0000-0000444A0000}"/>
    <cellStyle name="Normal 2 2 2 3 32 11" xfId="19013" xr:uid="{00000000-0005-0000-0000-0000454A0000}"/>
    <cellStyle name="Normal 2 2 2 3 32 12" xfId="19014" xr:uid="{00000000-0005-0000-0000-0000464A0000}"/>
    <cellStyle name="Normal 2 2 2 3 32 13" xfId="19015" xr:uid="{00000000-0005-0000-0000-0000474A0000}"/>
    <cellStyle name="Normal 2 2 2 3 32 14" xfId="19016" xr:uid="{00000000-0005-0000-0000-0000484A0000}"/>
    <cellStyle name="Normal 2 2 2 3 32 2" xfId="19017" xr:uid="{00000000-0005-0000-0000-0000494A0000}"/>
    <cellStyle name="Normal 2 2 2 3 32 2 10" xfId="19018" xr:uid="{00000000-0005-0000-0000-00004A4A0000}"/>
    <cellStyle name="Normal 2 2 2 3 32 2 2" xfId="19019" xr:uid="{00000000-0005-0000-0000-00004B4A0000}"/>
    <cellStyle name="Normal 2 2 2 3 32 2 3" xfId="19020" xr:uid="{00000000-0005-0000-0000-00004C4A0000}"/>
    <cellStyle name="Normal 2 2 2 3 32 2 4" xfId="19021" xr:uid="{00000000-0005-0000-0000-00004D4A0000}"/>
    <cellStyle name="Normal 2 2 2 3 32 2 5" xfId="19022" xr:uid="{00000000-0005-0000-0000-00004E4A0000}"/>
    <cellStyle name="Normal 2 2 2 3 32 2 6" xfId="19023" xr:uid="{00000000-0005-0000-0000-00004F4A0000}"/>
    <cellStyle name="Normal 2 2 2 3 32 2 7" xfId="19024" xr:uid="{00000000-0005-0000-0000-0000504A0000}"/>
    <cellStyle name="Normal 2 2 2 3 32 2 8" xfId="19025" xr:uid="{00000000-0005-0000-0000-0000514A0000}"/>
    <cellStyle name="Normal 2 2 2 3 32 2 9" xfId="19026" xr:uid="{00000000-0005-0000-0000-0000524A0000}"/>
    <cellStyle name="Normal 2 2 2 3 32 3" xfId="19027" xr:uid="{00000000-0005-0000-0000-0000534A0000}"/>
    <cellStyle name="Normal 2 2 2 3 32 3 10" xfId="19028" xr:uid="{00000000-0005-0000-0000-0000544A0000}"/>
    <cellStyle name="Normal 2 2 2 3 32 3 2" xfId="19029" xr:uid="{00000000-0005-0000-0000-0000554A0000}"/>
    <cellStyle name="Normal 2 2 2 3 32 3 3" xfId="19030" xr:uid="{00000000-0005-0000-0000-0000564A0000}"/>
    <cellStyle name="Normal 2 2 2 3 32 3 4" xfId="19031" xr:uid="{00000000-0005-0000-0000-0000574A0000}"/>
    <cellStyle name="Normal 2 2 2 3 32 3 5" xfId="19032" xr:uid="{00000000-0005-0000-0000-0000584A0000}"/>
    <cellStyle name="Normal 2 2 2 3 32 3 6" xfId="19033" xr:uid="{00000000-0005-0000-0000-0000594A0000}"/>
    <cellStyle name="Normal 2 2 2 3 32 3 7" xfId="19034" xr:uid="{00000000-0005-0000-0000-00005A4A0000}"/>
    <cellStyle name="Normal 2 2 2 3 32 3 8" xfId="19035" xr:uid="{00000000-0005-0000-0000-00005B4A0000}"/>
    <cellStyle name="Normal 2 2 2 3 32 3 9" xfId="19036" xr:uid="{00000000-0005-0000-0000-00005C4A0000}"/>
    <cellStyle name="Normal 2 2 2 3 32 4" xfId="19037" xr:uid="{00000000-0005-0000-0000-00005D4A0000}"/>
    <cellStyle name="Normal 2 2 2 3 32 4 10" xfId="19038" xr:uid="{00000000-0005-0000-0000-00005E4A0000}"/>
    <cellStyle name="Normal 2 2 2 3 32 4 2" xfId="19039" xr:uid="{00000000-0005-0000-0000-00005F4A0000}"/>
    <cellStyle name="Normal 2 2 2 3 32 4 3" xfId="19040" xr:uid="{00000000-0005-0000-0000-0000604A0000}"/>
    <cellStyle name="Normal 2 2 2 3 32 4 4" xfId="19041" xr:uid="{00000000-0005-0000-0000-0000614A0000}"/>
    <cellStyle name="Normal 2 2 2 3 32 4 5" xfId="19042" xr:uid="{00000000-0005-0000-0000-0000624A0000}"/>
    <cellStyle name="Normal 2 2 2 3 32 4 6" xfId="19043" xr:uid="{00000000-0005-0000-0000-0000634A0000}"/>
    <cellStyle name="Normal 2 2 2 3 32 4 7" xfId="19044" xr:uid="{00000000-0005-0000-0000-0000644A0000}"/>
    <cellStyle name="Normal 2 2 2 3 32 4 8" xfId="19045" xr:uid="{00000000-0005-0000-0000-0000654A0000}"/>
    <cellStyle name="Normal 2 2 2 3 32 4 9" xfId="19046" xr:uid="{00000000-0005-0000-0000-0000664A0000}"/>
    <cellStyle name="Normal 2 2 2 3 32 5" xfId="19047" xr:uid="{00000000-0005-0000-0000-0000674A0000}"/>
    <cellStyle name="Normal 2 2 2 3 32 5 10" xfId="19048" xr:uid="{00000000-0005-0000-0000-0000684A0000}"/>
    <cellStyle name="Normal 2 2 2 3 32 5 2" xfId="19049" xr:uid="{00000000-0005-0000-0000-0000694A0000}"/>
    <cellStyle name="Normal 2 2 2 3 32 5 3" xfId="19050" xr:uid="{00000000-0005-0000-0000-00006A4A0000}"/>
    <cellStyle name="Normal 2 2 2 3 32 5 4" xfId="19051" xr:uid="{00000000-0005-0000-0000-00006B4A0000}"/>
    <cellStyle name="Normal 2 2 2 3 32 5 5" xfId="19052" xr:uid="{00000000-0005-0000-0000-00006C4A0000}"/>
    <cellStyle name="Normal 2 2 2 3 32 5 6" xfId="19053" xr:uid="{00000000-0005-0000-0000-00006D4A0000}"/>
    <cellStyle name="Normal 2 2 2 3 32 5 7" xfId="19054" xr:uid="{00000000-0005-0000-0000-00006E4A0000}"/>
    <cellStyle name="Normal 2 2 2 3 32 5 8" xfId="19055" xr:uid="{00000000-0005-0000-0000-00006F4A0000}"/>
    <cellStyle name="Normal 2 2 2 3 32 5 9" xfId="19056" xr:uid="{00000000-0005-0000-0000-0000704A0000}"/>
    <cellStyle name="Normal 2 2 2 3 32 6" xfId="19057" xr:uid="{00000000-0005-0000-0000-0000714A0000}"/>
    <cellStyle name="Normal 2 2 2 3 32 7" xfId="19058" xr:uid="{00000000-0005-0000-0000-0000724A0000}"/>
    <cellStyle name="Normal 2 2 2 3 32 8" xfId="19059" xr:uid="{00000000-0005-0000-0000-0000734A0000}"/>
    <cellStyle name="Normal 2 2 2 3 32 9" xfId="19060" xr:uid="{00000000-0005-0000-0000-0000744A0000}"/>
    <cellStyle name="Normal 2 2 2 3 33" xfId="19061" xr:uid="{00000000-0005-0000-0000-0000754A0000}"/>
    <cellStyle name="Normal 2 2 2 3 33 10" xfId="19062" xr:uid="{00000000-0005-0000-0000-0000764A0000}"/>
    <cellStyle name="Normal 2 2 2 3 33 11" xfId="19063" xr:uid="{00000000-0005-0000-0000-0000774A0000}"/>
    <cellStyle name="Normal 2 2 2 3 33 12" xfId="19064" xr:uid="{00000000-0005-0000-0000-0000784A0000}"/>
    <cellStyle name="Normal 2 2 2 3 33 13" xfId="19065" xr:uid="{00000000-0005-0000-0000-0000794A0000}"/>
    <cellStyle name="Normal 2 2 2 3 33 14" xfId="19066" xr:uid="{00000000-0005-0000-0000-00007A4A0000}"/>
    <cellStyle name="Normal 2 2 2 3 33 2" xfId="19067" xr:uid="{00000000-0005-0000-0000-00007B4A0000}"/>
    <cellStyle name="Normal 2 2 2 3 33 2 10" xfId="19068" xr:uid="{00000000-0005-0000-0000-00007C4A0000}"/>
    <cellStyle name="Normal 2 2 2 3 33 2 2" xfId="19069" xr:uid="{00000000-0005-0000-0000-00007D4A0000}"/>
    <cellStyle name="Normal 2 2 2 3 33 2 3" xfId="19070" xr:uid="{00000000-0005-0000-0000-00007E4A0000}"/>
    <cellStyle name="Normal 2 2 2 3 33 2 4" xfId="19071" xr:uid="{00000000-0005-0000-0000-00007F4A0000}"/>
    <cellStyle name="Normal 2 2 2 3 33 2 5" xfId="19072" xr:uid="{00000000-0005-0000-0000-0000804A0000}"/>
    <cellStyle name="Normal 2 2 2 3 33 2 6" xfId="19073" xr:uid="{00000000-0005-0000-0000-0000814A0000}"/>
    <cellStyle name="Normal 2 2 2 3 33 2 7" xfId="19074" xr:uid="{00000000-0005-0000-0000-0000824A0000}"/>
    <cellStyle name="Normal 2 2 2 3 33 2 8" xfId="19075" xr:uid="{00000000-0005-0000-0000-0000834A0000}"/>
    <cellStyle name="Normal 2 2 2 3 33 2 9" xfId="19076" xr:uid="{00000000-0005-0000-0000-0000844A0000}"/>
    <cellStyle name="Normal 2 2 2 3 33 3" xfId="19077" xr:uid="{00000000-0005-0000-0000-0000854A0000}"/>
    <cellStyle name="Normal 2 2 2 3 33 3 10" xfId="19078" xr:uid="{00000000-0005-0000-0000-0000864A0000}"/>
    <cellStyle name="Normal 2 2 2 3 33 3 2" xfId="19079" xr:uid="{00000000-0005-0000-0000-0000874A0000}"/>
    <cellStyle name="Normal 2 2 2 3 33 3 3" xfId="19080" xr:uid="{00000000-0005-0000-0000-0000884A0000}"/>
    <cellStyle name="Normal 2 2 2 3 33 3 4" xfId="19081" xr:uid="{00000000-0005-0000-0000-0000894A0000}"/>
    <cellStyle name="Normal 2 2 2 3 33 3 5" xfId="19082" xr:uid="{00000000-0005-0000-0000-00008A4A0000}"/>
    <cellStyle name="Normal 2 2 2 3 33 3 6" xfId="19083" xr:uid="{00000000-0005-0000-0000-00008B4A0000}"/>
    <cellStyle name="Normal 2 2 2 3 33 3 7" xfId="19084" xr:uid="{00000000-0005-0000-0000-00008C4A0000}"/>
    <cellStyle name="Normal 2 2 2 3 33 3 8" xfId="19085" xr:uid="{00000000-0005-0000-0000-00008D4A0000}"/>
    <cellStyle name="Normal 2 2 2 3 33 3 9" xfId="19086" xr:uid="{00000000-0005-0000-0000-00008E4A0000}"/>
    <cellStyle name="Normal 2 2 2 3 33 4" xfId="19087" xr:uid="{00000000-0005-0000-0000-00008F4A0000}"/>
    <cellStyle name="Normal 2 2 2 3 33 4 10" xfId="19088" xr:uid="{00000000-0005-0000-0000-0000904A0000}"/>
    <cellStyle name="Normal 2 2 2 3 33 4 2" xfId="19089" xr:uid="{00000000-0005-0000-0000-0000914A0000}"/>
    <cellStyle name="Normal 2 2 2 3 33 4 3" xfId="19090" xr:uid="{00000000-0005-0000-0000-0000924A0000}"/>
    <cellStyle name="Normal 2 2 2 3 33 4 4" xfId="19091" xr:uid="{00000000-0005-0000-0000-0000934A0000}"/>
    <cellStyle name="Normal 2 2 2 3 33 4 5" xfId="19092" xr:uid="{00000000-0005-0000-0000-0000944A0000}"/>
    <cellStyle name="Normal 2 2 2 3 33 4 6" xfId="19093" xr:uid="{00000000-0005-0000-0000-0000954A0000}"/>
    <cellStyle name="Normal 2 2 2 3 33 4 7" xfId="19094" xr:uid="{00000000-0005-0000-0000-0000964A0000}"/>
    <cellStyle name="Normal 2 2 2 3 33 4 8" xfId="19095" xr:uid="{00000000-0005-0000-0000-0000974A0000}"/>
    <cellStyle name="Normal 2 2 2 3 33 4 9" xfId="19096" xr:uid="{00000000-0005-0000-0000-0000984A0000}"/>
    <cellStyle name="Normal 2 2 2 3 33 5" xfId="19097" xr:uid="{00000000-0005-0000-0000-0000994A0000}"/>
    <cellStyle name="Normal 2 2 2 3 33 5 10" xfId="19098" xr:uid="{00000000-0005-0000-0000-00009A4A0000}"/>
    <cellStyle name="Normal 2 2 2 3 33 5 2" xfId="19099" xr:uid="{00000000-0005-0000-0000-00009B4A0000}"/>
    <cellStyle name="Normal 2 2 2 3 33 5 3" xfId="19100" xr:uid="{00000000-0005-0000-0000-00009C4A0000}"/>
    <cellStyle name="Normal 2 2 2 3 33 5 4" xfId="19101" xr:uid="{00000000-0005-0000-0000-00009D4A0000}"/>
    <cellStyle name="Normal 2 2 2 3 33 5 5" xfId="19102" xr:uid="{00000000-0005-0000-0000-00009E4A0000}"/>
    <cellStyle name="Normal 2 2 2 3 33 5 6" xfId="19103" xr:uid="{00000000-0005-0000-0000-00009F4A0000}"/>
    <cellStyle name="Normal 2 2 2 3 33 5 7" xfId="19104" xr:uid="{00000000-0005-0000-0000-0000A04A0000}"/>
    <cellStyle name="Normal 2 2 2 3 33 5 8" xfId="19105" xr:uid="{00000000-0005-0000-0000-0000A14A0000}"/>
    <cellStyle name="Normal 2 2 2 3 33 5 9" xfId="19106" xr:uid="{00000000-0005-0000-0000-0000A24A0000}"/>
    <cellStyle name="Normal 2 2 2 3 33 6" xfId="19107" xr:uid="{00000000-0005-0000-0000-0000A34A0000}"/>
    <cellStyle name="Normal 2 2 2 3 33 7" xfId="19108" xr:uid="{00000000-0005-0000-0000-0000A44A0000}"/>
    <cellStyle name="Normal 2 2 2 3 33 8" xfId="19109" xr:uid="{00000000-0005-0000-0000-0000A54A0000}"/>
    <cellStyle name="Normal 2 2 2 3 33 9" xfId="19110" xr:uid="{00000000-0005-0000-0000-0000A64A0000}"/>
    <cellStyle name="Normal 2 2 2 3 34" xfId="19111" xr:uid="{00000000-0005-0000-0000-0000A74A0000}"/>
    <cellStyle name="Normal 2 2 2 3 34 10" xfId="19112" xr:uid="{00000000-0005-0000-0000-0000A84A0000}"/>
    <cellStyle name="Normal 2 2 2 3 34 2" xfId="19113" xr:uid="{00000000-0005-0000-0000-0000A94A0000}"/>
    <cellStyle name="Normal 2 2 2 3 34 3" xfId="19114" xr:uid="{00000000-0005-0000-0000-0000AA4A0000}"/>
    <cellStyle name="Normal 2 2 2 3 34 4" xfId="19115" xr:uid="{00000000-0005-0000-0000-0000AB4A0000}"/>
    <cellStyle name="Normal 2 2 2 3 34 5" xfId="19116" xr:uid="{00000000-0005-0000-0000-0000AC4A0000}"/>
    <cellStyle name="Normal 2 2 2 3 34 6" xfId="19117" xr:uid="{00000000-0005-0000-0000-0000AD4A0000}"/>
    <cellStyle name="Normal 2 2 2 3 34 7" xfId="19118" xr:uid="{00000000-0005-0000-0000-0000AE4A0000}"/>
    <cellStyle name="Normal 2 2 2 3 34 8" xfId="19119" xr:uid="{00000000-0005-0000-0000-0000AF4A0000}"/>
    <cellStyle name="Normal 2 2 2 3 34 9" xfId="19120" xr:uid="{00000000-0005-0000-0000-0000B04A0000}"/>
    <cellStyle name="Normal 2 2 2 3 35" xfId="19121" xr:uid="{00000000-0005-0000-0000-0000B14A0000}"/>
    <cellStyle name="Normal 2 2 2 3 35 10" xfId="19122" xr:uid="{00000000-0005-0000-0000-0000B24A0000}"/>
    <cellStyle name="Normal 2 2 2 3 35 2" xfId="19123" xr:uid="{00000000-0005-0000-0000-0000B34A0000}"/>
    <cellStyle name="Normal 2 2 2 3 35 3" xfId="19124" xr:uid="{00000000-0005-0000-0000-0000B44A0000}"/>
    <cellStyle name="Normal 2 2 2 3 35 4" xfId="19125" xr:uid="{00000000-0005-0000-0000-0000B54A0000}"/>
    <cellStyle name="Normal 2 2 2 3 35 5" xfId="19126" xr:uid="{00000000-0005-0000-0000-0000B64A0000}"/>
    <cellStyle name="Normal 2 2 2 3 35 6" xfId="19127" xr:uid="{00000000-0005-0000-0000-0000B74A0000}"/>
    <cellStyle name="Normal 2 2 2 3 35 7" xfId="19128" xr:uid="{00000000-0005-0000-0000-0000B84A0000}"/>
    <cellStyle name="Normal 2 2 2 3 35 8" xfId="19129" xr:uid="{00000000-0005-0000-0000-0000B94A0000}"/>
    <cellStyle name="Normal 2 2 2 3 35 9" xfId="19130" xr:uid="{00000000-0005-0000-0000-0000BA4A0000}"/>
    <cellStyle name="Normal 2 2 2 3 36" xfId="19131" xr:uid="{00000000-0005-0000-0000-0000BB4A0000}"/>
    <cellStyle name="Normal 2 2 2 3 36 10" xfId="19132" xr:uid="{00000000-0005-0000-0000-0000BC4A0000}"/>
    <cellStyle name="Normal 2 2 2 3 36 2" xfId="19133" xr:uid="{00000000-0005-0000-0000-0000BD4A0000}"/>
    <cellStyle name="Normal 2 2 2 3 36 3" xfId="19134" xr:uid="{00000000-0005-0000-0000-0000BE4A0000}"/>
    <cellStyle name="Normal 2 2 2 3 36 4" xfId="19135" xr:uid="{00000000-0005-0000-0000-0000BF4A0000}"/>
    <cellStyle name="Normal 2 2 2 3 36 5" xfId="19136" xr:uid="{00000000-0005-0000-0000-0000C04A0000}"/>
    <cellStyle name="Normal 2 2 2 3 36 6" xfId="19137" xr:uid="{00000000-0005-0000-0000-0000C14A0000}"/>
    <cellStyle name="Normal 2 2 2 3 36 7" xfId="19138" xr:uid="{00000000-0005-0000-0000-0000C24A0000}"/>
    <cellStyle name="Normal 2 2 2 3 36 8" xfId="19139" xr:uid="{00000000-0005-0000-0000-0000C34A0000}"/>
    <cellStyle name="Normal 2 2 2 3 36 9" xfId="19140" xr:uid="{00000000-0005-0000-0000-0000C44A0000}"/>
    <cellStyle name="Normal 2 2 2 3 37" xfId="19141" xr:uid="{00000000-0005-0000-0000-0000C54A0000}"/>
    <cellStyle name="Normal 2 2 2 3 37 10" xfId="19142" xr:uid="{00000000-0005-0000-0000-0000C64A0000}"/>
    <cellStyle name="Normal 2 2 2 3 37 2" xfId="19143" xr:uid="{00000000-0005-0000-0000-0000C74A0000}"/>
    <cellStyle name="Normal 2 2 2 3 37 3" xfId="19144" xr:uid="{00000000-0005-0000-0000-0000C84A0000}"/>
    <cellStyle name="Normal 2 2 2 3 37 4" xfId="19145" xr:uid="{00000000-0005-0000-0000-0000C94A0000}"/>
    <cellStyle name="Normal 2 2 2 3 37 5" xfId="19146" xr:uid="{00000000-0005-0000-0000-0000CA4A0000}"/>
    <cellStyle name="Normal 2 2 2 3 37 6" xfId="19147" xr:uid="{00000000-0005-0000-0000-0000CB4A0000}"/>
    <cellStyle name="Normal 2 2 2 3 37 7" xfId="19148" xr:uid="{00000000-0005-0000-0000-0000CC4A0000}"/>
    <cellStyle name="Normal 2 2 2 3 37 8" xfId="19149" xr:uid="{00000000-0005-0000-0000-0000CD4A0000}"/>
    <cellStyle name="Normal 2 2 2 3 37 9" xfId="19150" xr:uid="{00000000-0005-0000-0000-0000CE4A0000}"/>
    <cellStyle name="Normal 2 2 2 3 38" xfId="19151" xr:uid="{00000000-0005-0000-0000-0000CF4A0000}"/>
    <cellStyle name="Normal 2 2 2 3 39" xfId="19152" xr:uid="{00000000-0005-0000-0000-0000D04A0000}"/>
    <cellStyle name="Normal 2 2 2 3 4" xfId="19153" xr:uid="{00000000-0005-0000-0000-0000D14A0000}"/>
    <cellStyle name="Normal 2 2 2 3 4 10" xfId="19154" xr:uid="{00000000-0005-0000-0000-0000D24A0000}"/>
    <cellStyle name="Normal 2 2 2 3 4 11" xfId="19155" xr:uid="{00000000-0005-0000-0000-0000D34A0000}"/>
    <cellStyle name="Normal 2 2 2 3 4 12" xfId="19156" xr:uid="{00000000-0005-0000-0000-0000D44A0000}"/>
    <cellStyle name="Normal 2 2 2 3 4 13" xfId="19157" xr:uid="{00000000-0005-0000-0000-0000D54A0000}"/>
    <cellStyle name="Normal 2 2 2 3 4 14" xfId="19158" xr:uid="{00000000-0005-0000-0000-0000D64A0000}"/>
    <cellStyle name="Normal 2 2 2 3 4 15" xfId="19159" xr:uid="{00000000-0005-0000-0000-0000D74A0000}"/>
    <cellStyle name="Normal 2 2 2 3 4 16" xfId="19160" xr:uid="{00000000-0005-0000-0000-0000D84A0000}"/>
    <cellStyle name="Normal 2 2 2 3 4 2" xfId="19161" xr:uid="{00000000-0005-0000-0000-0000D94A0000}"/>
    <cellStyle name="Normal 2 2 2 3 4 2 10" xfId="19162" xr:uid="{00000000-0005-0000-0000-0000DA4A0000}"/>
    <cellStyle name="Normal 2 2 2 3 4 2 2" xfId="19163" xr:uid="{00000000-0005-0000-0000-0000DB4A0000}"/>
    <cellStyle name="Normal 2 2 2 3 4 2 3" xfId="19164" xr:uid="{00000000-0005-0000-0000-0000DC4A0000}"/>
    <cellStyle name="Normal 2 2 2 3 4 2 4" xfId="19165" xr:uid="{00000000-0005-0000-0000-0000DD4A0000}"/>
    <cellStyle name="Normal 2 2 2 3 4 2 5" xfId="19166" xr:uid="{00000000-0005-0000-0000-0000DE4A0000}"/>
    <cellStyle name="Normal 2 2 2 3 4 2 6" xfId="19167" xr:uid="{00000000-0005-0000-0000-0000DF4A0000}"/>
    <cellStyle name="Normal 2 2 2 3 4 2 7" xfId="19168" xr:uid="{00000000-0005-0000-0000-0000E04A0000}"/>
    <cellStyle name="Normal 2 2 2 3 4 2 8" xfId="19169" xr:uid="{00000000-0005-0000-0000-0000E14A0000}"/>
    <cellStyle name="Normal 2 2 2 3 4 2 9" xfId="19170" xr:uid="{00000000-0005-0000-0000-0000E24A0000}"/>
    <cellStyle name="Normal 2 2 2 3 4 3" xfId="19171" xr:uid="{00000000-0005-0000-0000-0000E34A0000}"/>
    <cellStyle name="Normal 2 2 2 3 4 3 10" xfId="19172" xr:uid="{00000000-0005-0000-0000-0000E44A0000}"/>
    <cellStyle name="Normal 2 2 2 3 4 3 2" xfId="19173" xr:uid="{00000000-0005-0000-0000-0000E54A0000}"/>
    <cellStyle name="Normal 2 2 2 3 4 3 3" xfId="19174" xr:uid="{00000000-0005-0000-0000-0000E64A0000}"/>
    <cellStyle name="Normal 2 2 2 3 4 3 4" xfId="19175" xr:uid="{00000000-0005-0000-0000-0000E74A0000}"/>
    <cellStyle name="Normal 2 2 2 3 4 3 5" xfId="19176" xr:uid="{00000000-0005-0000-0000-0000E84A0000}"/>
    <cellStyle name="Normal 2 2 2 3 4 3 6" xfId="19177" xr:uid="{00000000-0005-0000-0000-0000E94A0000}"/>
    <cellStyle name="Normal 2 2 2 3 4 3 7" xfId="19178" xr:uid="{00000000-0005-0000-0000-0000EA4A0000}"/>
    <cellStyle name="Normal 2 2 2 3 4 3 8" xfId="19179" xr:uid="{00000000-0005-0000-0000-0000EB4A0000}"/>
    <cellStyle name="Normal 2 2 2 3 4 3 9" xfId="19180" xr:uid="{00000000-0005-0000-0000-0000EC4A0000}"/>
    <cellStyle name="Normal 2 2 2 3 4 4" xfId="19181" xr:uid="{00000000-0005-0000-0000-0000ED4A0000}"/>
    <cellStyle name="Normal 2 2 2 3 4 4 10" xfId="19182" xr:uid="{00000000-0005-0000-0000-0000EE4A0000}"/>
    <cellStyle name="Normal 2 2 2 3 4 4 2" xfId="19183" xr:uid="{00000000-0005-0000-0000-0000EF4A0000}"/>
    <cellStyle name="Normal 2 2 2 3 4 4 3" xfId="19184" xr:uid="{00000000-0005-0000-0000-0000F04A0000}"/>
    <cellStyle name="Normal 2 2 2 3 4 4 4" xfId="19185" xr:uid="{00000000-0005-0000-0000-0000F14A0000}"/>
    <cellStyle name="Normal 2 2 2 3 4 4 5" xfId="19186" xr:uid="{00000000-0005-0000-0000-0000F24A0000}"/>
    <cellStyle name="Normal 2 2 2 3 4 4 6" xfId="19187" xr:uid="{00000000-0005-0000-0000-0000F34A0000}"/>
    <cellStyle name="Normal 2 2 2 3 4 4 7" xfId="19188" xr:uid="{00000000-0005-0000-0000-0000F44A0000}"/>
    <cellStyle name="Normal 2 2 2 3 4 4 8" xfId="19189" xr:uid="{00000000-0005-0000-0000-0000F54A0000}"/>
    <cellStyle name="Normal 2 2 2 3 4 4 9" xfId="19190" xr:uid="{00000000-0005-0000-0000-0000F64A0000}"/>
    <cellStyle name="Normal 2 2 2 3 4 5" xfId="19191" xr:uid="{00000000-0005-0000-0000-0000F74A0000}"/>
    <cellStyle name="Normal 2 2 2 3 4 5 10" xfId="19192" xr:uid="{00000000-0005-0000-0000-0000F84A0000}"/>
    <cellStyle name="Normal 2 2 2 3 4 5 2" xfId="19193" xr:uid="{00000000-0005-0000-0000-0000F94A0000}"/>
    <cellStyle name="Normal 2 2 2 3 4 5 3" xfId="19194" xr:uid="{00000000-0005-0000-0000-0000FA4A0000}"/>
    <cellStyle name="Normal 2 2 2 3 4 5 4" xfId="19195" xr:uid="{00000000-0005-0000-0000-0000FB4A0000}"/>
    <cellStyle name="Normal 2 2 2 3 4 5 5" xfId="19196" xr:uid="{00000000-0005-0000-0000-0000FC4A0000}"/>
    <cellStyle name="Normal 2 2 2 3 4 5 6" xfId="19197" xr:uid="{00000000-0005-0000-0000-0000FD4A0000}"/>
    <cellStyle name="Normal 2 2 2 3 4 5 7" xfId="19198" xr:uid="{00000000-0005-0000-0000-0000FE4A0000}"/>
    <cellStyle name="Normal 2 2 2 3 4 5 8" xfId="19199" xr:uid="{00000000-0005-0000-0000-0000FF4A0000}"/>
    <cellStyle name="Normal 2 2 2 3 4 5 9" xfId="19200" xr:uid="{00000000-0005-0000-0000-0000004B0000}"/>
    <cellStyle name="Normal 2 2 2 3 4 6" xfId="19201" xr:uid="{00000000-0005-0000-0000-0000014B0000}"/>
    <cellStyle name="Normal 2 2 2 3 4 7" xfId="19202" xr:uid="{00000000-0005-0000-0000-0000024B0000}"/>
    <cellStyle name="Normal 2 2 2 3 4 8" xfId="19203" xr:uid="{00000000-0005-0000-0000-0000034B0000}"/>
    <cellStyle name="Normal 2 2 2 3 4 9" xfId="19204" xr:uid="{00000000-0005-0000-0000-0000044B0000}"/>
    <cellStyle name="Normal 2 2 2 3 40" xfId="19205" xr:uid="{00000000-0005-0000-0000-0000054B0000}"/>
    <cellStyle name="Normal 2 2 2 3 41" xfId="19206" xr:uid="{00000000-0005-0000-0000-0000064B0000}"/>
    <cellStyle name="Normal 2 2 2 3 42" xfId="19207" xr:uid="{00000000-0005-0000-0000-0000074B0000}"/>
    <cellStyle name="Normal 2 2 2 3 43" xfId="19208" xr:uid="{00000000-0005-0000-0000-0000084B0000}"/>
    <cellStyle name="Normal 2 2 2 3 44" xfId="19209" xr:uid="{00000000-0005-0000-0000-0000094B0000}"/>
    <cellStyle name="Normal 2 2 2 3 45" xfId="19210" xr:uid="{00000000-0005-0000-0000-00000A4B0000}"/>
    <cellStyle name="Normal 2 2 2 3 46" xfId="19211" xr:uid="{00000000-0005-0000-0000-00000B4B0000}"/>
    <cellStyle name="Normal 2 2 2 3 47" xfId="19212" xr:uid="{00000000-0005-0000-0000-00000C4B0000}"/>
    <cellStyle name="Normal 2 2 2 3 48" xfId="19213" xr:uid="{00000000-0005-0000-0000-00000D4B0000}"/>
    <cellStyle name="Normal 2 2 2 3 49" xfId="421" xr:uid="{00000000-0005-0000-0000-0000A5010000}"/>
    <cellStyle name="Normal 2 2 2 3 5" xfId="19214" xr:uid="{00000000-0005-0000-0000-00000E4B0000}"/>
    <cellStyle name="Normal 2 2 2 3 5 10" xfId="19215" xr:uid="{00000000-0005-0000-0000-00000F4B0000}"/>
    <cellStyle name="Normal 2 2 2 3 5 11" xfId="19216" xr:uid="{00000000-0005-0000-0000-0000104B0000}"/>
    <cellStyle name="Normal 2 2 2 3 5 12" xfId="19217" xr:uid="{00000000-0005-0000-0000-0000114B0000}"/>
    <cellStyle name="Normal 2 2 2 3 5 13" xfId="19218" xr:uid="{00000000-0005-0000-0000-0000124B0000}"/>
    <cellStyle name="Normal 2 2 2 3 5 14" xfId="19219" xr:uid="{00000000-0005-0000-0000-0000134B0000}"/>
    <cellStyle name="Normal 2 2 2 3 5 15" xfId="19220" xr:uid="{00000000-0005-0000-0000-0000144B0000}"/>
    <cellStyle name="Normal 2 2 2 3 5 2" xfId="19221" xr:uid="{00000000-0005-0000-0000-0000154B0000}"/>
    <cellStyle name="Normal 2 2 2 3 5 2 10" xfId="19222" xr:uid="{00000000-0005-0000-0000-0000164B0000}"/>
    <cellStyle name="Normal 2 2 2 3 5 2 2" xfId="19223" xr:uid="{00000000-0005-0000-0000-0000174B0000}"/>
    <cellStyle name="Normal 2 2 2 3 5 2 3" xfId="19224" xr:uid="{00000000-0005-0000-0000-0000184B0000}"/>
    <cellStyle name="Normal 2 2 2 3 5 2 4" xfId="19225" xr:uid="{00000000-0005-0000-0000-0000194B0000}"/>
    <cellStyle name="Normal 2 2 2 3 5 2 5" xfId="19226" xr:uid="{00000000-0005-0000-0000-00001A4B0000}"/>
    <cellStyle name="Normal 2 2 2 3 5 2 6" xfId="19227" xr:uid="{00000000-0005-0000-0000-00001B4B0000}"/>
    <cellStyle name="Normal 2 2 2 3 5 2 7" xfId="19228" xr:uid="{00000000-0005-0000-0000-00001C4B0000}"/>
    <cellStyle name="Normal 2 2 2 3 5 2 8" xfId="19229" xr:uid="{00000000-0005-0000-0000-00001D4B0000}"/>
    <cellStyle name="Normal 2 2 2 3 5 2 9" xfId="19230" xr:uid="{00000000-0005-0000-0000-00001E4B0000}"/>
    <cellStyle name="Normal 2 2 2 3 5 3" xfId="19231" xr:uid="{00000000-0005-0000-0000-00001F4B0000}"/>
    <cellStyle name="Normal 2 2 2 3 5 3 10" xfId="19232" xr:uid="{00000000-0005-0000-0000-0000204B0000}"/>
    <cellStyle name="Normal 2 2 2 3 5 3 2" xfId="19233" xr:uid="{00000000-0005-0000-0000-0000214B0000}"/>
    <cellStyle name="Normal 2 2 2 3 5 3 3" xfId="19234" xr:uid="{00000000-0005-0000-0000-0000224B0000}"/>
    <cellStyle name="Normal 2 2 2 3 5 3 4" xfId="19235" xr:uid="{00000000-0005-0000-0000-0000234B0000}"/>
    <cellStyle name="Normal 2 2 2 3 5 3 5" xfId="19236" xr:uid="{00000000-0005-0000-0000-0000244B0000}"/>
    <cellStyle name="Normal 2 2 2 3 5 3 6" xfId="19237" xr:uid="{00000000-0005-0000-0000-0000254B0000}"/>
    <cellStyle name="Normal 2 2 2 3 5 3 7" xfId="19238" xr:uid="{00000000-0005-0000-0000-0000264B0000}"/>
    <cellStyle name="Normal 2 2 2 3 5 3 8" xfId="19239" xr:uid="{00000000-0005-0000-0000-0000274B0000}"/>
    <cellStyle name="Normal 2 2 2 3 5 3 9" xfId="19240" xr:uid="{00000000-0005-0000-0000-0000284B0000}"/>
    <cellStyle name="Normal 2 2 2 3 5 4" xfId="19241" xr:uid="{00000000-0005-0000-0000-0000294B0000}"/>
    <cellStyle name="Normal 2 2 2 3 5 4 10" xfId="19242" xr:uid="{00000000-0005-0000-0000-00002A4B0000}"/>
    <cellStyle name="Normal 2 2 2 3 5 4 2" xfId="19243" xr:uid="{00000000-0005-0000-0000-00002B4B0000}"/>
    <cellStyle name="Normal 2 2 2 3 5 4 3" xfId="19244" xr:uid="{00000000-0005-0000-0000-00002C4B0000}"/>
    <cellStyle name="Normal 2 2 2 3 5 4 4" xfId="19245" xr:uid="{00000000-0005-0000-0000-00002D4B0000}"/>
    <cellStyle name="Normal 2 2 2 3 5 4 5" xfId="19246" xr:uid="{00000000-0005-0000-0000-00002E4B0000}"/>
    <cellStyle name="Normal 2 2 2 3 5 4 6" xfId="19247" xr:uid="{00000000-0005-0000-0000-00002F4B0000}"/>
    <cellStyle name="Normal 2 2 2 3 5 4 7" xfId="19248" xr:uid="{00000000-0005-0000-0000-0000304B0000}"/>
    <cellStyle name="Normal 2 2 2 3 5 4 8" xfId="19249" xr:uid="{00000000-0005-0000-0000-0000314B0000}"/>
    <cellStyle name="Normal 2 2 2 3 5 4 9" xfId="19250" xr:uid="{00000000-0005-0000-0000-0000324B0000}"/>
    <cellStyle name="Normal 2 2 2 3 5 5" xfId="19251" xr:uid="{00000000-0005-0000-0000-0000334B0000}"/>
    <cellStyle name="Normal 2 2 2 3 5 5 10" xfId="19252" xr:uid="{00000000-0005-0000-0000-0000344B0000}"/>
    <cellStyle name="Normal 2 2 2 3 5 5 2" xfId="19253" xr:uid="{00000000-0005-0000-0000-0000354B0000}"/>
    <cellStyle name="Normal 2 2 2 3 5 5 3" xfId="19254" xr:uid="{00000000-0005-0000-0000-0000364B0000}"/>
    <cellStyle name="Normal 2 2 2 3 5 5 4" xfId="19255" xr:uid="{00000000-0005-0000-0000-0000374B0000}"/>
    <cellStyle name="Normal 2 2 2 3 5 5 5" xfId="19256" xr:uid="{00000000-0005-0000-0000-0000384B0000}"/>
    <cellStyle name="Normal 2 2 2 3 5 5 6" xfId="19257" xr:uid="{00000000-0005-0000-0000-0000394B0000}"/>
    <cellStyle name="Normal 2 2 2 3 5 5 7" xfId="19258" xr:uid="{00000000-0005-0000-0000-00003A4B0000}"/>
    <cellStyle name="Normal 2 2 2 3 5 5 8" xfId="19259" xr:uid="{00000000-0005-0000-0000-00003B4B0000}"/>
    <cellStyle name="Normal 2 2 2 3 5 5 9" xfId="19260" xr:uid="{00000000-0005-0000-0000-00003C4B0000}"/>
    <cellStyle name="Normal 2 2 2 3 5 6" xfId="19261" xr:uid="{00000000-0005-0000-0000-00003D4B0000}"/>
    <cellStyle name="Normal 2 2 2 3 5 7" xfId="19262" xr:uid="{00000000-0005-0000-0000-00003E4B0000}"/>
    <cellStyle name="Normal 2 2 2 3 5 8" xfId="19263" xr:uid="{00000000-0005-0000-0000-00003F4B0000}"/>
    <cellStyle name="Normal 2 2 2 3 5 9" xfId="19264" xr:uid="{00000000-0005-0000-0000-0000404B0000}"/>
    <cellStyle name="Normal 2 2 2 3 6" xfId="19265" xr:uid="{00000000-0005-0000-0000-0000414B0000}"/>
    <cellStyle name="Normal 2 2 2 3 6 10" xfId="19266" xr:uid="{00000000-0005-0000-0000-0000424B0000}"/>
    <cellStyle name="Normal 2 2 2 3 6 11" xfId="19267" xr:uid="{00000000-0005-0000-0000-0000434B0000}"/>
    <cellStyle name="Normal 2 2 2 3 6 12" xfId="19268" xr:uid="{00000000-0005-0000-0000-0000444B0000}"/>
    <cellStyle name="Normal 2 2 2 3 6 13" xfId="19269" xr:uid="{00000000-0005-0000-0000-0000454B0000}"/>
    <cellStyle name="Normal 2 2 2 3 6 14" xfId="19270" xr:uid="{00000000-0005-0000-0000-0000464B0000}"/>
    <cellStyle name="Normal 2 2 2 3 6 15" xfId="19271" xr:uid="{00000000-0005-0000-0000-0000474B0000}"/>
    <cellStyle name="Normal 2 2 2 3 6 2" xfId="19272" xr:uid="{00000000-0005-0000-0000-0000484B0000}"/>
    <cellStyle name="Normal 2 2 2 3 6 2 10" xfId="19273" xr:uid="{00000000-0005-0000-0000-0000494B0000}"/>
    <cellStyle name="Normal 2 2 2 3 6 2 2" xfId="19274" xr:uid="{00000000-0005-0000-0000-00004A4B0000}"/>
    <cellStyle name="Normal 2 2 2 3 6 2 3" xfId="19275" xr:uid="{00000000-0005-0000-0000-00004B4B0000}"/>
    <cellStyle name="Normal 2 2 2 3 6 2 4" xfId="19276" xr:uid="{00000000-0005-0000-0000-00004C4B0000}"/>
    <cellStyle name="Normal 2 2 2 3 6 2 5" xfId="19277" xr:uid="{00000000-0005-0000-0000-00004D4B0000}"/>
    <cellStyle name="Normal 2 2 2 3 6 2 6" xfId="19278" xr:uid="{00000000-0005-0000-0000-00004E4B0000}"/>
    <cellStyle name="Normal 2 2 2 3 6 2 7" xfId="19279" xr:uid="{00000000-0005-0000-0000-00004F4B0000}"/>
    <cellStyle name="Normal 2 2 2 3 6 2 8" xfId="19280" xr:uid="{00000000-0005-0000-0000-0000504B0000}"/>
    <cellStyle name="Normal 2 2 2 3 6 2 9" xfId="19281" xr:uid="{00000000-0005-0000-0000-0000514B0000}"/>
    <cellStyle name="Normal 2 2 2 3 6 3" xfId="19282" xr:uid="{00000000-0005-0000-0000-0000524B0000}"/>
    <cellStyle name="Normal 2 2 2 3 6 3 10" xfId="19283" xr:uid="{00000000-0005-0000-0000-0000534B0000}"/>
    <cellStyle name="Normal 2 2 2 3 6 3 2" xfId="19284" xr:uid="{00000000-0005-0000-0000-0000544B0000}"/>
    <cellStyle name="Normal 2 2 2 3 6 3 3" xfId="19285" xr:uid="{00000000-0005-0000-0000-0000554B0000}"/>
    <cellStyle name="Normal 2 2 2 3 6 3 4" xfId="19286" xr:uid="{00000000-0005-0000-0000-0000564B0000}"/>
    <cellStyle name="Normal 2 2 2 3 6 3 5" xfId="19287" xr:uid="{00000000-0005-0000-0000-0000574B0000}"/>
    <cellStyle name="Normal 2 2 2 3 6 3 6" xfId="19288" xr:uid="{00000000-0005-0000-0000-0000584B0000}"/>
    <cellStyle name="Normal 2 2 2 3 6 3 7" xfId="19289" xr:uid="{00000000-0005-0000-0000-0000594B0000}"/>
    <cellStyle name="Normal 2 2 2 3 6 3 8" xfId="19290" xr:uid="{00000000-0005-0000-0000-00005A4B0000}"/>
    <cellStyle name="Normal 2 2 2 3 6 3 9" xfId="19291" xr:uid="{00000000-0005-0000-0000-00005B4B0000}"/>
    <cellStyle name="Normal 2 2 2 3 6 4" xfId="19292" xr:uid="{00000000-0005-0000-0000-00005C4B0000}"/>
    <cellStyle name="Normal 2 2 2 3 6 4 10" xfId="19293" xr:uid="{00000000-0005-0000-0000-00005D4B0000}"/>
    <cellStyle name="Normal 2 2 2 3 6 4 2" xfId="19294" xr:uid="{00000000-0005-0000-0000-00005E4B0000}"/>
    <cellStyle name="Normal 2 2 2 3 6 4 3" xfId="19295" xr:uid="{00000000-0005-0000-0000-00005F4B0000}"/>
    <cellStyle name="Normal 2 2 2 3 6 4 4" xfId="19296" xr:uid="{00000000-0005-0000-0000-0000604B0000}"/>
    <cellStyle name="Normal 2 2 2 3 6 4 5" xfId="19297" xr:uid="{00000000-0005-0000-0000-0000614B0000}"/>
    <cellStyle name="Normal 2 2 2 3 6 4 6" xfId="19298" xr:uid="{00000000-0005-0000-0000-0000624B0000}"/>
    <cellStyle name="Normal 2 2 2 3 6 4 7" xfId="19299" xr:uid="{00000000-0005-0000-0000-0000634B0000}"/>
    <cellStyle name="Normal 2 2 2 3 6 4 8" xfId="19300" xr:uid="{00000000-0005-0000-0000-0000644B0000}"/>
    <cellStyle name="Normal 2 2 2 3 6 4 9" xfId="19301" xr:uid="{00000000-0005-0000-0000-0000654B0000}"/>
    <cellStyle name="Normal 2 2 2 3 6 5" xfId="19302" xr:uid="{00000000-0005-0000-0000-0000664B0000}"/>
    <cellStyle name="Normal 2 2 2 3 6 5 10" xfId="19303" xr:uid="{00000000-0005-0000-0000-0000674B0000}"/>
    <cellStyle name="Normal 2 2 2 3 6 5 2" xfId="19304" xr:uid="{00000000-0005-0000-0000-0000684B0000}"/>
    <cellStyle name="Normal 2 2 2 3 6 5 3" xfId="19305" xr:uid="{00000000-0005-0000-0000-0000694B0000}"/>
    <cellStyle name="Normal 2 2 2 3 6 5 4" xfId="19306" xr:uid="{00000000-0005-0000-0000-00006A4B0000}"/>
    <cellStyle name="Normal 2 2 2 3 6 5 5" xfId="19307" xr:uid="{00000000-0005-0000-0000-00006B4B0000}"/>
    <cellStyle name="Normal 2 2 2 3 6 5 6" xfId="19308" xr:uid="{00000000-0005-0000-0000-00006C4B0000}"/>
    <cellStyle name="Normal 2 2 2 3 6 5 7" xfId="19309" xr:uid="{00000000-0005-0000-0000-00006D4B0000}"/>
    <cellStyle name="Normal 2 2 2 3 6 5 8" xfId="19310" xr:uid="{00000000-0005-0000-0000-00006E4B0000}"/>
    <cellStyle name="Normal 2 2 2 3 6 5 9" xfId="19311" xr:uid="{00000000-0005-0000-0000-00006F4B0000}"/>
    <cellStyle name="Normal 2 2 2 3 6 6" xfId="19312" xr:uid="{00000000-0005-0000-0000-0000704B0000}"/>
    <cellStyle name="Normal 2 2 2 3 6 7" xfId="19313" xr:uid="{00000000-0005-0000-0000-0000714B0000}"/>
    <cellStyle name="Normal 2 2 2 3 6 8" xfId="19314" xr:uid="{00000000-0005-0000-0000-0000724B0000}"/>
    <cellStyle name="Normal 2 2 2 3 6 9" xfId="19315" xr:uid="{00000000-0005-0000-0000-0000734B0000}"/>
    <cellStyle name="Normal 2 2 2 3 7" xfId="19316" xr:uid="{00000000-0005-0000-0000-0000744B0000}"/>
    <cellStyle name="Normal 2 2 2 3 7 10" xfId="19317" xr:uid="{00000000-0005-0000-0000-0000754B0000}"/>
    <cellStyle name="Normal 2 2 2 3 7 11" xfId="19318" xr:uid="{00000000-0005-0000-0000-0000764B0000}"/>
    <cellStyle name="Normal 2 2 2 3 7 12" xfId="19319" xr:uid="{00000000-0005-0000-0000-0000774B0000}"/>
    <cellStyle name="Normal 2 2 2 3 7 13" xfId="19320" xr:uid="{00000000-0005-0000-0000-0000784B0000}"/>
    <cellStyle name="Normal 2 2 2 3 7 14" xfId="19321" xr:uid="{00000000-0005-0000-0000-0000794B0000}"/>
    <cellStyle name="Normal 2 2 2 3 7 15" xfId="19322" xr:uid="{00000000-0005-0000-0000-00007A4B0000}"/>
    <cellStyle name="Normal 2 2 2 3 7 2" xfId="19323" xr:uid="{00000000-0005-0000-0000-00007B4B0000}"/>
    <cellStyle name="Normal 2 2 2 3 7 2 10" xfId="19324" xr:uid="{00000000-0005-0000-0000-00007C4B0000}"/>
    <cellStyle name="Normal 2 2 2 3 7 2 2" xfId="19325" xr:uid="{00000000-0005-0000-0000-00007D4B0000}"/>
    <cellStyle name="Normal 2 2 2 3 7 2 3" xfId="19326" xr:uid="{00000000-0005-0000-0000-00007E4B0000}"/>
    <cellStyle name="Normal 2 2 2 3 7 2 4" xfId="19327" xr:uid="{00000000-0005-0000-0000-00007F4B0000}"/>
    <cellStyle name="Normal 2 2 2 3 7 2 5" xfId="19328" xr:uid="{00000000-0005-0000-0000-0000804B0000}"/>
    <cellStyle name="Normal 2 2 2 3 7 2 6" xfId="19329" xr:uid="{00000000-0005-0000-0000-0000814B0000}"/>
    <cellStyle name="Normal 2 2 2 3 7 2 7" xfId="19330" xr:uid="{00000000-0005-0000-0000-0000824B0000}"/>
    <cellStyle name="Normal 2 2 2 3 7 2 8" xfId="19331" xr:uid="{00000000-0005-0000-0000-0000834B0000}"/>
    <cellStyle name="Normal 2 2 2 3 7 2 9" xfId="19332" xr:uid="{00000000-0005-0000-0000-0000844B0000}"/>
    <cellStyle name="Normal 2 2 2 3 7 3" xfId="19333" xr:uid="{00000000-0005-0000-0000-0000854B0000}"/>
    <cellStyle name="Normal 2 2 2 3 7 3 10" xfId="19334" xr:uid="{00000000-0005-0000-0000-0000864B0000}"/>
    <cellStyle name="Normal 2 2 2 3 7 3 2" xfId="19335" xr:uid="{00000000-0005-0000-0000-0000874B0000}"/>
    <cellStyle name="Normal 2 2 2 3 7 3 3" xfId="19336" xr:uid="{00000000-0005-0000-0000-0000884B0000}"/>
    <cellStyle name="Normal 2 2 2 3 7 3 4" xfId="19337" xr:uid="{00000000-0005-0000-0000-0000894B0000}"/>
    <cellStyle name="Normal 2 2 2 3 7 3 5" xfId="19338" xr:uid="{00000000-0005-0000-0000-00008A4B0000}"/>
    <cellStyle name="Normal 2 2 2 3 7 3 6" xfId="19339" xr:uid="{00000000-0005-0000-0000-00008B4B0000}"/>
    <cellStyle name="Normal 2 2 2 3 7 3 7" xfId="19340" xr:uid="{00000000-0005-0000-0000-00008C4B0000}"/>
    <cellStyle name="Normal 2 2 2 3 7 3 8" xfId="19341" xr:uid="{00000000-0005-0000-0000-00008D4B0000}"/>
    <cellStyle name="Normal 2 2 2 3 7 3 9" xfId="19342" xr:uid="{00000000-0005-0000-0000-00008E4B0000}"/>
    <cellStyle name="Normal 2 2 2 3 7 4" xfId="19343" xr:uid="{00000000-0005-0000-0000-00008F4B0000}"/>
    <cellStyle name="Normal 2 2 2 3 7 4 10" xfId="19344" xr:uid="{00000000-0005-0000-0000-0000904B0000}"/>
    <cellStyle name="Normal 2 2 2 3 7 4 2" xfId="19345" xr:uid="{00000000-0005-0000-0000-0000914B0000}"/>
    <cellStyle name="Normal 2 2 2 3 7 4 3" xfId="19346" xr:uid="{00000000-0005-0000-0000-0000924B0000}"/>
    <cellStyle name="Normal 2 2 2 3 7 4 4" xfId="19347" xr:uid="{00000000-0005-0000-0000-0000934B0000}"/>
    <cellStyle name="Normal 2 2 2 3 7 4 5" xfId="19348" xr:uid="{00000000-0005-0000-0000-0000944B0000}"/>
    <cellStyle name="Normal 2 2 2 3 7 4 6" xfId="19349" xr:uid="{00000000-0005-0000-0000-0000954B0000}"/>
    <cellStyle name="Normal 2 2 2 3 7 4 7" xfId="19350" xr:uid="{00000000-0005-0000-0000-0000964B0000}"/>
    <cellStyle name="Normal 2 2 2 3 7 4 8" xfId="19351" xr:uid="{00000000-0005-0000-0000-0000974B0000}"/>
    <cellStyle name="Normal 2 2 2 3 7 4 9" xfId="19352" xr:uid="{00000000-0005-0000-0000-0000984B0000}"/>
    <cellStyle name="Normal 2 2 2 3 7 5" xfId="19353" xr:uid="{00000000-0005-0000-0000-0000994B0000}"/>
    <cellStyle name="Normal 2 2 2 3 7 5 10" xfId="19354" xr:uid="{00000000-0005-0000-0000-00009A4B0000}"/>
    <cellStyle name="Normal 2 2 2 3 7 5 2" xfId="19355" xr:uid="{00000000-0005-0000-0000-00009B4B0000}"/>
    <cellStyle name="Normal 2 2 2 3 7 5 3" xfId="19356" xr:uid="{00000000-0005-0000-0000-00009C4B0000}"/>
    <cellStyle name="Normal 2 2 2 3 7 5 4" xfId="19357" xr:uid="{00000000-0005-0000-0000-00009D4B0000}"/>
    <cellStyle name="Normal 2 2 2 3 7 5 5" xfId="19358" xr:uid="{00000000-0005-0000-0000-00009E4B0000}"/>
    <cellStyle name="Normal 2 2 2 3 7 5 6" xfId="19359" xr:uid="{00000000-0005-0000-0000-00009F4B0000}"/>
    <cellStyle name="Normal 2 2 2 3 7 5 7" xfId="19360" xr:uid="{00000000-0005-0000-0000-0000A04B0000}"/>
    <cellStyle name="Normal 2 2 2 3 7 5 8" xfId="19361" xr:uid="{00000000-0005-0000-0000-0000A14B0000}"/>
    <cellStyle name="Normal 2 2 2 3 7 5 9" xfId="19362" xr:uid="{00000000-0005-0000-0000-0000A24B0000}"/>
    <cellStyle name="Normal 2 2 2 3 7 6" xfId="19363" xr:uid="{00000000-0005-0000-0000-0000A34B0000}"/>
    <cellStyle name="Normal 2 2 2 3 7 7" xfId="19364" xr:uid="{00000000-0005-0000-0000-0000A44B0000}"/>
    <cellStyle name="Normal 2 2 2 3 7 8" xfId="19365" xr:uid="{00000000-0005-0000-0000-0000A54B0000}"/>
    <cellStyle name="Normal 2 2 2 3 7 9" xfId="19366" xr:uid="{00000000-0005-0000-0000-0000A64B0000}"/>
    <cellStyle name="Normal 2 2 2 3 8" xfId="19367" xr:uid="{00000000-0005-0000-0000-0000A74B0000}"/>
    <cellStyle name="Normal 2 2 2 3 8 10" xfId="19368" xr:uid="{00000000-0005-0000-0000-0000A84B0000}"/>
    <cellStyle name="Normal 2 2 2 3 8 11" xfId="19369" xr:uid="{00000000-0005-0000-0000-0000A94B0000}"/>
    <cellStyle name="Normal 2 2 2 3 8 12" xfId="19370" xr:uid="{00000000-0005-0000-0000-0000AA4B0000}"/>
    <cellStyle name="Normal 2 2 2 3 8 13" xfId="19371" xr:uid="{00000000-0005-0000-0000-0000AB4B0000}"/>
    <cellStyle name="Normal 2 2 2 3 8 14" xfId="19372" xr:uid="{00000000-0005-0000-0000-0000AC4B0000}"/>
    <cellStyle name="Normal 2 2 2 3 8 2" xfId="19373" xr:uid="{00000000-0005-0000-0000-0000AD4B0000}"/>
    <cellStyle name="Normal 2 2 2 3 8 2 10" xfId="19374" xr:uid="{00000000-0005-0000-0000-0000AE4B0000}"/>
    <cellStyle name="Normal 2 2 2 3 8 2 2" xfId="19375" xr:uid="{00000000-0005-0000-0000-0000AF4B0000}"/>
    <cellStyle name="Normal 2 2 2 3 8 2 3" xfId="19376" xr:uid="{00000000-0005-0000-0000-0000B04B0000}"/>
    <cellStyle name="Normal 2 2 2 3 8 2 4" xfId="19377" xr:uid="{00000000-0005-0000-0000-0000B14B0000}"/>
    <cellStyle name="Normal 2 2 2 3 8 2 5" xfId="19378" xr:uid="{00000000-0005-0000-0000-0000B24B0000}"/>
    <cellStyle name="Normal 2 2 2 3 8 2 6" xfId="19379" xr:uid="{00000000-0005-0000-0000-0000B34B0000}"/>
    <cellStyle name="Normal 2 2 2 3 8 2 7" xfId="19380" xr:uid="{00000000-0005-0000-0000-0000B44B0000}"/>
    <cellStyle name="Normal 2 2 2 3 8 2 8" xfId="19381" xr:uid="{00000000-0005-0000-0000-0000B54B0000}"/>
    <cellStyle name="Normal 2 2 2 3 8 2 9" xfId="19382" xr:uid="{00000000-0005-0000-0000-0000B64B0000}"/>
    <cellStyle name="Normal 2 2 2 3 8 3" xfId="19383" xr:uid="{00000000-0005-0000-0000-0000B74B0000}"/>
    <cellStyle name="Normal 2 2 2 3 8 3 10" xfId="19384" xr:uid="{00000000-0005-0000-0000-0000B84B0000}"/>
    <cellStyle name="Normal 2 2 2 3 8 3 2" xfId="19385" xr:uid="{00000000-0005-0000-0000-0000B94B0000}"/>
    <cellStyle name="Normal 2 2 2 3 8 3 3" xfId="19386" xr:uid="{00000000-0005-0000-0000-0000BA4B0000}"/>
    <cellStyle name="Normal 2 2 2 3 8 3 4" xfId="19387" xr:uid="{00000000-0005-0000-0000-0000BB4B0000}"/>
    <cellStyle name="Normal 2 2 2 3 8 3 5" xfId="19388" xr:uid="{00000000-0005-0000-0000-0000BC4B0000}"/>
    <cellStyle name="Normal 2 2 2 3 8 3 6" xfId="19389" xr:uid="{00000000-0005-0000-0000-0000BD4B0000}"/>
    <cellStyle name="Normal 2 2 2 3 8 3 7" xfId="19390" xr:uid="{00000000-0005-0000-0000-0000BE4B0000}"/>
    <cellStyle name="Normal 2 2 2 3 8 3 8" xfId="19391" xr:uid="{00000000-0005-0000-0000-0000BF4B0000}"/>
    <cellStyle name="Normal 2 2 2 3 8 3 9" xfId="19392" xr:uid="{00000000-0005-0000-0000-0000C04B0000}"/>
    <cellStyle name="Normal 2 2 2 3 8 4" xfId="19393" xr:uid="{00000000-0005-0000-0000-0000C14B0000}"/>
    <cellStyle name="Normal 2 2 2 3 8 4 10" xfId="19394" xr:uid="{00000000-0005-0000-0000-0000C24B0000}"/>
    <cellStyle name="Normal 2 2 2 3 8 4 2" xfId="19395" xr:uid="{00000000-0005-0000-0000-0000C34B0000}"/>
    <cellStyle name="Normal 2 2 2 3 8 4 3" xfId="19396" xr:uid="{00000000-0005-0000-0000-0000C44B0000}"/>
    <cellStyle name="Normal 2 2 2 3 8 4 4" xfId="19397" xr:uid="{00000000-0005-0000-0000-0000C54B0000}"/>
    <cellStyle name="Normal 2 2 2 3 8 4 5" xfId="19398" xr:uid="{00000000-0005-0000-0000-0000C64B0000}"/>
    <cellStyle name="Normal 2 2 2 3 8 4 6" xfId="19399" xr:uid="{00000000-0005-0000-0000-0000C74B0000}"/>
    <cellStyle name="Normal 2 2 2 3 8 4 7" xfId="19400" xr:uid="{00000000-0005-0000-0000-0000C84B0000}"/>
    <cellStyle name="Normal 2 2 2 3 8 4 8" xfId="19401" xr:uid="{00000000-0005-0000-0000-0000C94B0000}"/>
    <cellStyle name="Normal 2 2 2 3 8 4 9" xfId="19402" xr:uid="{00000000-0005-0000-0000-0000CA4B0000}"/>
    <cellStyle name="Normal 2 2 2 3 8 5" xfId="19403" xr:uid="{00000000-0005-0000-0000-0000CB4B0000}"/>
    <cellStyle name="Normal 2 2 2 3 8 5 10" xfId="19404" xr:uid="{00000000-0005-0000-0000-0000CC4B0000}"/>
    <cellStyle name="Normal 2 2 2 3 8 5 2" xfId="19405" xr:uid="{00000000-0005-0000-0000-0000CD4B0000}"/>
    <cellStyle name="Normal 2 2 2 3 8 5 3" xfId="19406" xr:uid="{00000000-0005-0000-0000-0000CE4B0000}"/>
    <cellStyle name="Normal 2 2 2 3 8 5 4" xfId="19407" xr:uid="{00000000-0005-0000-0000-0000CF4B0000}"/>
    <cellStyle name="Normal 2 2 2 3 8 5 5" xfId="19408" xr:uid="{00000000-0005-0000-0000-0000D04B0000}"/>
    <cellStyle name="Normal 2 2 2 3 8 5 6" xfId="19409" xr:uid="{00000000-0005-0000-0000-0000D14B0000}"/>
    <cellStyle name="Normal 2 2 2 3 8 5 7" xfId="19410" xr:uid="{00000000-0005-0000-0000-0000D24B0000}"/>
    <cellStyle name="Normal 2 2 2 3 8 5 8" xfId="19411" xr:uid="{00000000-0005-0000-0000-0000D34B0000}"/>
    <cellStyle name="Normal 2 2 2 3 8 5 9" xfId="19412" xr:uid="{00000000-0005-0000-0000-0000D44B0000}"/>
    <cellStyle name="Normal 2 2 2 3 8 6" xfId="19413" xr:uid="{00000000-0005-0000-0000-0000D54B0000}"/>
    <cellStyle name="Normal 2 2 2 3 8 7" xfId="19414" xr:uid="{00000000-0005-0000-0000-0000D64B0000}"/>
    <cellStyle name="Normal 2 2 2 3 8 8" xfId="19415" xr:uid="{00000000-0005-0000-0000-0000D74B0000}"/>
    <cellStyle name="Normal 2 2 2 3 8 9" xfId="19416" xr:uid="{00000000-0005-0000-0000-0000D84B0000}"/>
    <cellStyle name="Normal 2 2 2 3 9" xfId="19417" xr:uid="{00000000-0005-0000-0000-0000D94B0000}"/>
    <cellStyle name="Normal 2 2 2 3 9 10" xfId="19418" xr:uid="{00000000-0005-0000-0000-0000DA4B0000}"/>
    <cellStyle name="Normal 2 2 2 3 9 11" xfId="19419" xr:uid="{00000000-0005-0000-0000-0000DB4B0000}"/>
    <cellStyle name="Normal 2 2 2 3 9 12" xfId="19420" xr:uid="{00000000-0005-0000-0000-0000DC4B0000}"/>
    <cellStyle name="Normal 2 2 2 3 9 13" xfId="19421" xr:uid="{00000000-0005-0000-0000-0000DD4B0000}"/>
    <cellStyle name="Normal 2 2 2 3 9 14" xfId="19422" xr:uid="{00000000-0005-0000-0000-0000DE4B0000}"/>
    <cellStyle name="Normal 2 2 2 3 9 2" xfId="19423" xr:uid="{00000000-0005-0000-0000-0000DF4B0000}"/>
    <cellStyle name="Normal 2 2 2 3 9 2 10" xfId="19424" xr:uid="{00000000-0005-0000-0000-0000E04B0000}"/>
    <cellStyle name="Normal 2 2 2 3 9 2 2" xfId="19425" xr:uid="{00000000-0005-0000-0000-0000E14B0000}"/>
    <cellStyle name="Normal 2 2 2 3 9 2 3" xfId="19426" xr:uid="{00000000-0005-0000-0000-0000E24B0000}"/>
    <cellStyle name="Normal 2 2 2 3 9 2 4" xfId="19427" xr:uid="{00000000-0005-0000-0000-0000E34B0000}"/>
    <cellStyle name="Normal 2 2 2 3 9 2 5" xfId="19428" xr:uid="{00000000-0005-0000-0000-0000E44B0000}"/>
    <cellStyle name="Normal 2 2 2 3 9 2 6" xfId="19429" xr:uid="{00000000-0005-0000-0000-0000E54B0000}"/>
    <cellStyle name="Normal 2 2 2 3 9 2 7" xfId="19430" xr:uid="{00000000-0005-0000-0000-0000E64B0000}"/>
    <cellStyle name="Normal 2 2 2 3 9 2 8" xfId="19431" xr:uid="{00000000-0005-0000-0000-0000E74B0000}"/>
    <cellStyle name="Normal 2 2 2 3 9 2 9" xfId="19432" xr:uid="{00000000-0005-0000-0000-0000E84B0000}"/>
    <cellStyle name="Normal 2 2 2 3 9 3" xfId="19433" xr:uid="{00000000-0005-0000-0000-0000E94B0000}"/>
    <cellStyle name="Normal 2 2 2 3 9 3 10" xfId="19434" xr:uid="{00000000-0005-0000-0000-0000EA4B0000}"/>
    <cellStyle name="Normal 2 2 2 3 9 3 2" xfId="19435" xr:uid="{00000000-0005-0000-0000-0000EB4B0000}"/>
    <cellStyle name="Normal 2 2 2 3 9 3 3" xfId="19436" xr:uid="{00000000-0005-0000-0000-0000EC4B0000}"/>
    <cellStyle name="Normal 2 2 2 3 9 3 4" xfId="19437" xr:uid="{00000000-0005-0000-0000-0000ED4B0000}"/>
    <cellStyle name="Normal 2 2 2 3 9 3 5" xfId="19438" xr:uid="{00000000-0005-0000-0000-0000EE4B0000}"/>
    <cellStyle name="Normal 2 2 2 3 9 3 6" xfId="19439" xr:uid="{00000000-0005-0000-0000-0000EF4B0000}"/>
    <cellStyle name="Normal 2 2 2 3 9 3 7" xfId="19440" xr:uid="{00000000-0005-0000-0000-0000F04B0000}"/>
    <cellStyle name="Normal 2 2 2 3 9 3 8" xfId="19441" xr:uid="{00000000-0005-0000-0000-0000F14B0000}"/>
    <cellStyle name="Normal 2 2 2 3 9 3 9" xfId="19442" xr:uid="{00000000-0005-0000-0000-0000F24B0000}"/>
    <cellStyle name="Normal 2 2 2 3 9 4" xfId="19443" xr:uid="{00000000-0005-0000-0000-0000F34B0000}"/>
    <cellStyle name="Normal 2 2 2 3 9 4 10" xfId="19444" xr:uid="{00000000-0005-0000-0000-0000F44B0000}"/>
    <cellStyle name="Normal 2 2 2 3 9 4 2" xfId="19445" xr:uid="{00000000-0005-0000-0000-0000F54B0000}"/>
    <cellStyle name="Normal 2 2 2 3 9 4 3" xfId="19446" xr:uid="{00000000-0005-0000-0000-0000F64B0000}"/>
    <cellStyle name="Normal 2 2 2 3 9 4 4" xfId="19447" xr:uid="{00000000-0005-0000-0000-0000F74B0000}"/>
    <cellStyle name="Normal 2 2 2 3 9 4 5" xfId="19448" xr:uid="{00000000-0005-0000-0000-0000F84B0000}"/>
    <cellStyle name="Normal 2 2 2 3 9 4 6" xfId="19449" xr:uid="{00000000-0005-0000-0000-0000F94B0000}"/>
    <cellStyle name="Normal 2 2 2 3 9 4 7" xfId="19450" xr:uid="{00000000-0005-0000-0000-0000FA4B0000}"/>
    <cellStyle name="Normal 2 2 2 3 9 4 8" xfId="19451" xr:uid="{00000000-0005-0000-0000-0000FB4B0000}"/>
    <cellStyle name="Normal 2 2 2 3 9 4 9" xfId="19452" xr:uid="{00000000-0005-0000-0000-0000FC4B0000}"/>
    <cellStyle name="Normal 2 2 2 3 9 5" xfId="19453" xr:uid="{00000000-0005-0000-0000-0000FD4B0000}"/>
    <cellStyle name="Normal 2 2 2 3 9 5 10" xfId="19454" xr:uid="{00000000-0005-0000-0000-0000FE4B0000}"/>
    <cellStyle name="Normal 2 2 2 3 9 5 2" xfId="19455" xr:uid="{00000000-0005-0000-0000-0000FF4B0000}"/>
    <cellStyle name="Normal 2 2 2 3 9 5 3" xfId="19456" xr:uid="{00000000-0005-0000-0000-0000004C0000}"/>
    <cellStyle name="Normal 2 2 2 3 9 5 4" xfId="19457" xr:uid="{00000000-0005-0000-0000-0000014C0000}"/>
    <cellStyle name="Normal 2 2 2 3 9 5 5" xfId="19458" xr:uid="{00000000-0005-0000-0000-0000024C0000}"/>
    <cellStyle name="Normal 2 2 2 3 9 5 6" xfId="19459" xr:uid="{00000000-0005-0000-0000-0000034C0000}"/>
    <cellStyle name="Normal 2 2 2 3 9 5 7" xfId="19460" xr:uid="{00000000-0005-0000-0000-0000044C0000}"/>
    <cellStyle name="Normal 2 2 2 3 9 5 8" xfId="19461" xr:uid="{00000000-0005-0000-0000-0000054C0000}"/>
    <cellStyle name="Normal 2 2 2 3 9 5 9" xfId="19462" xr:uid="{00000000-0005-0000-0000-0000064C0000}"/>
    <cellStyle name="Normal 2 2 2 3 9 6" xfId="19463" xr:uid="{00000000-0005-0000-0000-0000074C0000}"/>
    <cellStyle name="Normal 2 2 2 3 9 7" xfId="19464" xr:uid="{00000000-0005-0000-0000-0000084C0000}"/>
    <cellStyle name="Normal 2 2 2 3 9 8" xfId="19465" xr:uid="{00000000-0005-0000-0000-0000094C0000}"/>
    <cellStyle name="Normal 2 2 2 3 9 9" xfId="19466" xr:uid="{00000000-0005-0000-0000-00000A4C0000}"/>
    <cellStyle name="Normal 2 2 2 30" xfId="19467" xr:uid="{00000000-0005-0000-0000-00000B4C0000}"/>
    <cellStyle name="Normal 2 2 2 30 10" xfId="19468" xr:uid="{00000000-0005-0000-0000-00000C4C0000}"/>
    <cellStyle name="Normal 2 2 2 30 11" xfId="19469" xr:uid="{00000000-0005-0000-0000-00000D4C0000}"/>
    <cellStyle name="Normal 2 2 2 30 12" xfId="19470" xr:uid="{00000000-0005-0000-0000-00000E4C0000}"/>
    <cellStyle name="Normal 2 2 2 30 13" xfId="19471" xr:uid="{00000000-0005-0000-0000-00000F4C0000}"/>
    <cellStyle name="Normal 2 2 2 30 14" xfId="19472" xr:uid="{00000000-0005-0000-0000-0000104C0000}"/>
    <cellStyle name="Normal 2 2 2 30 2" xfId="19473" xr:uid="{00000000-0005-0000-0000-0000114C0000}"/>
    <cellStyle name="Normal 2 2 2 30 2 10" xfId="19474" xr:uid="{00000000-0005-0000-0000-0000124C0000}"/>
    <cellStyle name="Normal 2 2 2 30 2 2" xfId="19475" xr:uid="{00000000-0005-0000-0000-0000134C0000}"/>
    <cellStyle name="Normal 2 2 2 30 2 3" xfId="19476" xr:uid="{00000000-0005-0000-0000-0000144C0000}"/>
    <cellStyle name="Normal 2 2 2 30 2 4" xfId="19477" xr:uid="{00000000-0005-0000-0000-0000154C0000}"/>
    <cellStyle name="Normal 2 2 2 30 2 5" xfId="19478" xr:uid="{00000000-0005-0000-0000-0000164C0000}"/>
    <cellStyle name="Normal 2 2 2 30 2 6" xfId="19479" xr:uid="{00000000-0005-0000-0000-0000174C0000}"/>
    <cellStyle name="Normal 2 2 2 30 2 7" xfId="19480" xr:uid="{00000000-0005-0000-0000-0000184C0000}"/>
    <cellStyle name="Normal 2 2 2 30 2 8" xfId="19481" xr:uid="{00000000-0005-0000-0000-0000194C0000}"/>
    <cellStyle name="Normal 2 2 2 30 2 9" xfId="19482" xr:uid="{00000000-0005-0000-0000-00001A4C0000}"/>
    <cellStyle name="Normal 2 2 2 30 3" xfId="19483" xr:uid="{00000000-0005-0000-0000-00001B4C0000}"/>
    <cellStyle name="Normal 2 2 2 30 3 10" xfId="19484" xr:uid="{00000000-0005-0000-0000-00001C4C0000}"/>
    <cellStyle name="Normal 2 2 2 30 3 2" xfId="19485" xr:uid="{00000000-0005-0000-0000-00001D4C0000}"/>
    <cellStyle name="Normal 2 2 2 30 3 3" xfId="19486" xr:uid="{00000000-0005-0000-0000-00001E4C0000}"/>
    <cellStyle name="Normal 2 2 2 30 3 4" xfId="19487" xr:uid="{00000000-0005-0000-0000-00001F4C0000}"/>
    <cellStyle name="Normal 2 2 2 30 3 5" xfId="19488" xr:uid="{00000000-0005-0000-0000-0000204C0000}"/>
    <cellStyle name="Normal 2 2 2 30 3 6" xfId="19489" xr:uid="{00000000-0005-0000-0000-0000214C0000}"/>
    <cellStyle name="Normal 2 2 2 30 3 7" xfId="19490" xr:uid="{00000000-0005-0000-0000-0000224C0000}"/>
    <cellStyle name="Normal 2 2 2 30 3 8" xfId="19491" xr:uid="{00000000-0005-0000-0000-0000234C0000}"/>
    <cellStyle name="Normal 2 2 2 30 3 9" xfId="19492" xr:uid="{00000000-0005-0000-0000-0000244C0000}"/>
    <cellStyle name="Normal 2 2 2 30 4" xfId="19493" xr:uid="{00000000-0005-0000-0000-0000254C0000}"/>
    <cellStyle name="Normal 2 2 2 30 4 10" xfId="19494" xr:uid="{00000000-0005-0000-0000-0000264C0000}"/>
    <cellStyle name="Normal 2 2 2 30 4 2" xfId="19495" xr:uid="{00000000-0005-0000-0000-0000274C0000}"/>
    <cellStyle name="Normal 2 2 2 30 4 3" xfId="19496" xr:uid="{00000000-0005-0000-0000-0000284C0000}"/>
    <cellStyle name="Normal 2 2 2 30 4 4" xfId="19497" xr:uid="{00000000-0005-0000-0000-0000294C0000}"/>
    <cellStyle name="Normal 2 2 2 30 4 5" xfId="19498" xr:uid="{00000000-0005-0000-0000-00002A4C0000}"/>
    <cellStyle name="Normal 2 2 2 30 4 6" xfId="19499" xr:uid="{00000000-0005-0000-0000-00002B4C0000}"/>
    <cellStyle name="Normal 2 2 2 30 4 7" xfId="19500" xr:uid="{00000000-0005-0000-0000-00002C4C0000}"/>
    <cellStyle name="Normal 2 2 2 30 4 8" xfId="19501" xr:uid="{00000000-0005-0000-0000-00002D4C0000}"/>
    <cellStyle name="Normal 2 2 2 30 4 9" xfId="19502" xr:uid="{00000000-0005-0000-0000-00002E4C0000}"/>
    <cellStyle name="Normal 2 2 2 30 5" xfId="19503" xr:uid="{00000000-0005-0000-0000-00002F4C0000}"/>
    <cellStyle name="Normal 2 2 2 30 5 10" xfId="19504" xr:uid="{00000000-0005-0000-0000-0000304C0000}"/>
    <cellStyle name="Normal 2 2 2 30 5 2" xfId="19505" xr:uid="{00000000-0005-0000-0000-0000314C0000}"/>
    <cellStyle name="Normal 2 2 2 30 5 3" xfId="19506" xr:uid="{00000000-0005-0000-0000-0000324C0000}"/>
    <cellStyle name="Normal 2 2 2 30 5 4" xfId="19507" xr:uid="{00000000-0005-0000-0000-0000334C0000}"/>
    <cellStyle name="Normal 2 2 2 30 5 5" xfId="19508" xr:uid="{00000000-0005-0000-0000-0000344C0000}"/>
    <cellStyle name="Normal 2 2 2 30 5 6" xfId="19509" xr:uid="{00000000-0005-0000-0000-0000354C0000}"/>
    <cellStyle name="Normal 2 2 2 30 5 7" xfId="19510" xr:uid="{00000000-0005-0000-0000-0000364C0000}"/>
    <cellStyle name="Normal 2 2 2 30 5 8" xfId="19511" xr:uid="{00000000-0005-0000-0000-0000374C0000}"/>
    <cellStyle name="Normal 2 2 2 30 5 9" xfId="19512" xr:uid="{00000000-0005-0000-0000-0000384C0000}"/>
    <cellStyle name="Normal 2 2 2 30 6" xfId="19513" xr:uid="{00000000-0005-0000-0000-0000394C0000}"/>
    <cellStyle name="Normal 2 2 2 30 7" xfId="19514" xr:uid="{00000000-0005-0000-0000-00003A4C0000}"/>
    <cellStyle name="Normal 2 2 2 30 8" xfId="19515" xr:uid="{00000000-0005-0000-0000-00003B4C0000}"/>
    <cellStyle name="Normal 2 2 2 30 9" xfId="19516" xr:uid="{00000000-0005-0000-0000-00003C4C0000}"/>
    <cellStyle name="Normal 2 2 2 31" xfId="19517" xr:uid="{00000000-0005-0000-0000-00003D4C0000}"/>
    <cellStyle name="Normal 2 2 2 31 10" xfId="19518" xr:uid="{00000000-0005-0000-0000-00003E4C0000}"/>
    <cellStyle name="Normal 2 2 2 31 11" xfId="19519" xr:uid="{00000000-0005-0000-0000-00003F4C0000}"/>
    <cellStyle name="Normal 2 2 2 31 12" xfId="19520" xr:uid="{00000000-0005-0000-0000-0000404C0000}"/>
    <cellStyle name="Normal 2 2 2 31 13" xfId="19521" xr:uid="{00000000-0005-0000-0000-0000414C0000}"/>
    <cellStyle name="Normal 2 2 2 31 14" xfId="19522" xr:uid="{00000000-0005-0000-0000-0000424C0000}"/>
    <cellStyle name="Normal 2 2 2 31 2" xfId="19523" xr:uid="{00000000-0005-0000-0000-0000434C0000}"/>
    <cellStyle name="Normal 2 2 2 31 2 10" xfId="19524" xr:uid="{00000000-0005-0000-0000-0000444C0000}"/>
    <cellStyle name="Normal 2 2 2 31 2 2" xfId="19525" xr:uid="{00000000-0005-0000-0000-0000454C0000}"/>
    <cellStyle name="Normal 2 2 2 31 2 3" xfId="19526" xr:uid="{00000000-0005-0000-0000-0000464C0000}"/>
    <cellStyle name="Normal 2 2 2 31 2 4" xfId="19527" xr:uid="{00000000-0005-0000-0000-0000474C0000}"/>
    <cellStyle name="Normal 2 2 2 31 2 5" xfId="19528" xr:uid="{00000000-0005-0000-0000-0000484C0000}"/>
    <cellStyle name="Normal 2 2 2 31 2 6" xfId="19529" xr:uid="{00000000-0005-0000-0000-0000494C0000}"/>
    <cellStyle name="Normal 2 2 2 31 2 7" xfId="19530" xr:uid="{00000000-0005-0000-0000-00004A4C0000}"/>
    <cellStyle name="Normal 2 2 2 31 2 8" xfId="19531" xr:uid="{00000000-0005-0000-0000-00004B4C0000}"/>
    <cellStyle name="Normal 2 2 2 31 2 9" xfId="19532" xr:uid="{00000000-0005-0000-0000-00004C4C0000}"/>
    <cellStyle name="Normal 2 2 2 31 3" xfId="19533" xr:uid="{00000000-0005-0000-0000-00004D4C0000}"/>
    <cellStyle name="Normal 2 2 2 31 3 10" xfId="19534" xr:uid="{00000000-0005-0000-0000-00004E4C0000}"/>
    <cellStyle name="Normal 2 2 2 31 3 2" xfId="19535" xr:uid="{00000000-0005-0000-0000-00004F4C0000}"/>
    <cellStyle name="Normal 2 2 2 31 3 3" xfId="19536" xr:uid="{00000000-0005-0000-0000-0000504C0000}"/>
    <cellStyle name="Normal 2 2 2 31 3 4" xfId="19537" xr:uid="{00000000-0005-0000-0000-0000514C0000}"/>
    <cellStyle name="Normal 2 2 2 31 3 5" xfId="19538" xr:uid="{00000000-0005-0000-0000-0000524C0000}"/>
    <cellStyle name="Normal 2 2 2 31 3 6" xfId="19539" xr:uid="{00000000-0005-0000-0000-0000534C0000}"/>
    <cellStyle name="Normal 2 2 2 31 3 7" xfId="19540" xr:uid="{00000000-0005-0000-0000-0000544C0000}"/>
    <cellStyle name="Normal 2 2 2 31 3 8" xfId="19541" xr:uid="{00000000-0005-0000-0000-0000554C0000}"/>
    <cellStyle name="Normal 2 2 2 31 3 9" xfId="19542" xr:uid="{00000000-0005-0000-0000-0000564C0000}"/>
    <cellStyle name="Normal 2 2 2 31 4" xfId="19543" xr:uid="{00000000-0005-0000-0000-0000574C0000}"/>
    <cellStyle name="Normal 2 2 2 31 4 10" xfId="19544" xr:uid="{00000000-0005-0000-0000-0000584C0000}"/>
    <cellStyle name="Normal 2 2 2 31 4 2" xfId="19545" xr:uid="{00000000-0005-0000-0000-0000594C0000}"/>
    <cellStyle name="Normal 2 2 2 31 4 3" xfId="19546" xr:uid="{00000000-0005-0000-0000-00005A4C0000}"/>
    <cellStyle name="Normal 2 2 2 31 4 4" xfId="19547" xr:uid="{00000000-0005-0000-0000-00005B4C0000}"/>
    <cellStyle name="Normal 2 2 2 31 4 5" xfId="19548" xr:uid="{00000000-0005-0000-0000-00005C4C0000}"/>
    <cellStyle name="Normal 2 2 2 31 4 6" xfId="19549" xr:uid="{00000000-0005-0000-0000-00005D4C0000}"/>
    <cellStyle name="Normal 2 2 2 31 4 7" xfId="19550" xr:uid="{00000000-0005-0000-0000-00005E4C0000}"/>
    <cellStyle name="Normal 2 2 2 31 4 8" xfId="19551" xr:uid="{00000000-0005-0000-0000-00005F4C0000}"/>
    <cellStyle name="Normal 2 2 2 31 4 9" xfId="19552" xr:uid="{00000000-0005-0000-0000-0000604C0000}"/>
    <cellStyle name="Normal 2 2 2 31 5" xfId="19553" xr:uid="{00000000-0005-0000-0000-0000614C0000}"/>
    <cellStyle name="Normal 2 2 2 31 5 10" xfId="19554" xr:uid="{00000000-0005-0000-0000-0000624C0000}"/>
    <cellStyle name="Normal 2 2 2 31 5 2" xfId="19555" xr:uid="{00000000-0005-0000-0000-0000634C0000}"/>
    <cellStyle name="Normal 2 2 2 31 5 3" xfId="19556" xr:uid="{00000000-0005-0000-0000-0000644C0000}"/>
    <cellStyle name="Normal 2 2 2 31 5 4" xfId="19557" xr:uid="{00000000-0005-0000-0000-0000654C0000}"/>
    <cellStyle name="Normal 2 2 2 31 5 5" xfId="19558" xr:uid="{00000000-0005-0000-0000-0000664C0000}"/>
    <cellStyle name="Normal 2 2 2 31 5 6" xfId="19559" xr:uid="{00000000-0005-0000-0000-0000674C0000}"/>
    <cellStyle name="Normal 2 2 2 31 5 7" xfId="19560" xr:uid="{00000000-0005-0000-0000-0000684C0000}"/>
    <cellStyle name="Normal 2 2 2 31 5 8" xfId="19561" xr:uid="{00000000-0005-0000-0000-0000694C0000}"/>
    <cellStyle name="Normal 2 2 2 31 5 9" xfId="19562" xr:uid="{00000000-0005-0000-0000-00006A4C0000}"/>
    <cellStyle name="Normal 2 2 2 31 6" xfId="19563" xr:uid="{00000000-0005-0000-0000-00006B4C0000}"/>
    <cellStyle name="Normal 2 2 2 31 7" xfId="19564" xr:uid="{00000000-0005-0000-0000-00006C4C0000}"/>
    <cellStyle name="Normal 2 2 2 31 8" xfId="19565" xr:uid="{00000000-0005-0000-0000-00006D4C0000}"/>
    <cellStyle name="Normal 2 2 2 31 9" xfId="19566" xr:uid="{00000000-0005-0000-0000-00006E4C0000}"/>
    <cellStyle name="Normal 2 2 2 32" xfId="19567" xr:uid="{00000000-0005-0000-0000-00006F4C0000}"/>
    <cellStyle name="Normal 2 2 2 32 10" xfId="19568" xr:uid="{00000000-0005-0000-0000-0000704C0000}"/>
    <cellStyle name="Normal 2 2 2 32 11" xfId="19569" xr:uid="{00000000-0005-0000-0000-0000714C0000}"/>
    <cellStyle name="Normal 2 2 2 32 12" xfId="19570" xr:uid="{00000000-0005-0000-0000-0000724C0000}"/>
    <cellStyle name="Normal 2 2 2 32 13" xfId="19571" xr:uid="{00000000-0005-0000-0000-0000734C0000}"/>
    <cellStyle name="Normal 2 2 2 32 14" xfId="19572" xr:uid="{00000000-0005-0000-0000-0000744C0000}"/>
    <cellStyle name="Normal 2 2 2 32 2" xfId="19573" xr:uid="{00000000-0005-0000-0000-0000754C0000}"/>
    <cellStyle name="Normal 2 2 2 32 2 10" xfId="19574" xr:uid="{00000000-0005-0000-0000-0000764C0000}"/>
    <cellStyle name="Normal 2 2 2 32 2 2" xfId="19575" xr:uid="{00000000-0005-0000-0000-0000774C0000}"/>
    <cellStyle name="Normal 2 2 2 32 2 3" xfId="19576" xr:uid="{00000000-0005-0000-0000-0000784C0000}"/>
    <cellStyle name="Normal 2 2 2 32 2 4" xfId="19577" xr:uid="{00000000-0005-0000-0000-0000794C0000}"/>
    <cellStyle name="Normal 2 2 2 32 2 5" xfId="19578" xr:uid="{00000000-0005-0000-0000-00007A4C0000}"/>
    <cellStyle name="Normal 2 2 2 32 2 6" xfId="19579" xr:uid="{00000000-0005-0000-0000-00007B4C0000}"/>
    <cellStyle name="Normal 2 2 2 32 2 7" xfId="19580" xr:uid="{00000000-0005-0000-0000-00007C4C0000}"/>
    <cellStyle name="Normal 2 2 2 32 2 8" xfId="19581" xr:uid="{00000000-0005-0000-0000-00007D4C0000}"/>
    <cellStyle name="Normal 2 2 2 32 2 9" xfId="19582" xr:uid="{00000000-0005-0000-0000-00007E4C0000}"/>
    <cellStyle name="Normal 2 2 2 32 3" xfId="19583" xr:uid="{00000000-0005-0000-0000-00007F4C0000}"/>
    <cellStyle name="Normal 2 2 2 32 3 10" xfId="19584" xr:uid="{00000000-0005-0000-0000-0000804C0000}"/>
    <cellStyle name="Normal 2 2 2 32 3 2" xfId="19585" xr:uid="{00000000-0005-0000-0000-0000814C0000}"/>
    <cellStyle name="Normal 2 2 2 32 3 3" xfId="19586" xr:uid="{00000000-0005-0000-0000-0000824C0000}"/>
    <cellStyle name="Normal 2 2 2 32 3 4" xfId="19587" xr:uid="{00000000-0005-0000-0000-0000834C0000}"/>
    <cellStyle name="Normal 2 2 2 32 3 5" xfId="19588" xr:uid="{00000000-0005-0000-0000-0000844C0000}"/>
    <cellStyle name="Normal 2 2 2 32 3 6" xfId="19589" xr:uid="{00000000-0005-0000-0000-0000854C0000}"/>
    <cellStyle name="Normal 2 2 2 32 3 7" xfId="19590" xr:uid="{00000000-0005-0000-0000-0000864C0000}"/>
    <cellStyle name="Normal 2 2 2 32 3 8" xfId="19591" xr:uid="{00000000-0005-0000-0000-0000874C0000}"/>
    <cellStyle name="Normal 2 2 2 32 3 9" xfId="19592" xr:uid="{00000000-0005-0000-0000-0000884C0000}"/>
    <cellStyle name="Normal 2 2 2 32 4" xfId="19593" xr:uid="{00000000-0005-0000-0000-0000894C0000}"/>
    <cellStyle name="Normal 2 2 2 32 4 10" xfId="19594" xr:uid="{00000000-0005-0000-0000-00008A4C0000}"/>
    <cellStyle name="Normal 2 2 2 32 4 2" xfId="19595" xr:uid="{00000000-0005-0000-0000-00008B4C0000}"/>
    <cellStyle name="Normal 2 2 2 32 4 3" xfId="19596" xr:uid="{00000000-0005-0000-0000-00008C4C0000}"/>
    <cellStyle name="Normal 2 2 2 32 4 4" xfId="19597" xr:uid="{00000000-0005-0000-0000-00008D4C0000}"/>
    <cellStyle name="Normal 2 2 2 32 4 5" xfId="19598" xr:uid="{00000000-0005-0000-0000-00008E4C0000}"/>
    <cellStyle name="Normal 2 2 2 32 4 6" xfId="19599" xr:uid="{00000000-0005-0000-0000-00008F4C0000}"/>
    <cellStyle name="Normal 2 2 2 32 4 7" xfId="19600" xr:uid="{00000000-0005-0000-0000-0000904C0000}"/>
    <cellStyle name="Normal 2 2 2 32 4 8" xfId="19601" xr:uid="{00000000-0005-0000-0000-0000914C0000}"/>
    <cellStyle name="Normal 2 2 2 32 4 9" xfId="19602" xr:uid="{00000000-0005-0000-0000-0000924C0000}"/>
    <cellStyle name="Normal 2 2 2 32 5" xfId="19603" xr:uid="{00000000-0005-0000-0000-0000934C0000}"/>
    <cellStyle name="Normal 2 2 2 32 5 10" xfId="19604" xr:uid="{00000000-0005-0000-0000-0000944C0000}"/>
    <cellStyle name="Normal 2 2 2 32 5 2" xfId="19605" xr:uid="{00000000-0005-0000-0000-0000954C0000}"/>
    <cellStyle name="Normal 2 2 2 32 5 3" xfId="19606" xr:uid="{00000000-0005-0000-0000-0000964C0000}"/>
    <cellStyle name="Normal 2 2 2 32 5 4" xfId="19607" xr:uid="{00000000-0005-0000-0000-0000974C0000}"/>
    <cellStyle name="Normal 2 2 2 32 5 5" xfId="19608" xr:uid="{00000000-0005-0000-0000-0000984C0000}"/>
    <cellStyle name="Normal 2 2 2 32 5 6" xfId="19609" xr:uid="{00000000-0005-0000-0000-0000994C0000}"/>
    <cellStyle name="Normal 2 2 2 32 5 7" xfId="19610" xr:uid="{00000000-0005-0000-0000-00009A4C0000}"/>
    <cellStyle name="Normal 2 2 2 32 5 8" xfId="19611" xr:uid="{00000000-0005-0000-0000-00009B4C0000}"/>
    <cellStyle name="Normal 2 2 2 32 5 9" xfId="19612" xr:uid="{00000000-0005-0000-0000-00009C4C0000}"/>
    <cellStyle name="Normal 2 2 2 32 6" xfId="19613" xr:uid="{00000000-0005-0000-0000-00009D4C0000}"/>
    <cellStyle name="Normal 2 2 2 32 7" xfId="19614" xr:uid="{00000000-0005-0000-0000-00009E4C0000}"/>
    <cellStyle name="Normal 2 2 2 32 8" xfId="19615" xr:uid="{00000000-0005-0000-0000-00009F4C0000}"/>
    <cellStyle name="Normal 2 2 2 32 9" xfId="19616" xr:uid="{00000000-0005-0000-0000-0000A04C0000}"/>
    <cellStyle name="Normal 2 2 2 33" xfId="19617" xr:uid="{00000000-0005-0000-0000-0000A14C0000}"/>
    <cellStyle name="Normal 2 2 2 33 10" xfId="19618" xr:uid="{00000000-0005-0000-0000-0000A24C0000}"/>
    <cellStyle name="Normal 2 2 2 33 11" xfId="19619" xr:uid="{00000000-0005-0000-0000-0000A34C0000}"/>
    <cellStyle name="Normal 2 2 2 33 12" xfId="19620" xr:uid="{00000000-0005-0000-0000-0000A44C0000}"/>
    <cellStyle name="Normal 2 2 2 33 13" xfId="19621" xr:uid="{00000000-0005-0000-0000-0000A54C0000}"/>
    <cellStyle name="Normal 2 2 2 33 14" xfId="19622" xr:uid="{00000000-0005-0000-0000-0000A64C0000}"/>
    <cellStyle name="Normal 2 2 2 33 2" xfId="19623" xr:uid="{00000000-0005-0000-0000-0000A74C0000}"/>
    <cellStyle name="Normal 2 2 2 33 2 10" xfId="19624" xr:uid="{00000000-0005-0000-0000-0000A84C0000}"/>
    <cellStyle name="Normal 2 2 2 33 2 2" xfId="19625" xr:uid="{00000000-0005-0000-0000-0000A94C0000}"/>
    <cellStyle name="Normal 2 2 2 33 2 3" xfId="19626" xr:uid="{00000000-0005-0000-0000-0000AA4C0000}"/>
    <cellStyle name="Normal 2 2 2 33 2 4" xfId="19627" xr:uid="{00000000-0005-0000-0000-0000AB4C0000}"/>
    <cellStyle name="Normal 2 2 2 33 2 5" xfId="19628" xr:uid="{00000000-0005-0000-0000-0000AC4C0000}"/>
    <cellStyle name="Normal 2 2 2 33 2 6" xfId="19629" xr:uid="{00000000-0005-0000-0000-0000AD4C0000}"/>
    <cellStyle name="Normal 2 2 2 33 2 7" xfId="19630" xr:uid="{00000000-0005-0000-0000-0000AE4C0000}"/>
    <cellStyle name="Normal 2 2 2 33 2 8" xfId="19631" xr:uid="{00000000-0005-0000-0000-0000AF4C0000}"/>
    <cellStyle name="Normal 2 2 2 33 2 9" xfId="19632" xr:uid="{00000000-0005-0000-0000-0000B04C0000}"/>
    <cellStyle name="Normal 2 2 2 33 3" xfId="19633" xr:uid="{00000000-0005-0000-0000-0000B14C0000}"/>
    <cellStyle name="Normal 2 2 2 33 3 10" xfId="19634" xr:uid="{00000000-0005-0000-0000-0000B24C0000}"/>
    <cellStyle name="Normal 2 2 2 33 3 2" xfId="19635" xr:uid="{00000000-0005-0000-0000-0000B34C0000}"/>
    <cellStyle name="Normal 2 2 2 33 3 3" xfId="19636" xr:uid="{00000000-0005-0000-0000-0000B44C0000}"/>
    <cellStyle name="Normal 2 2 2 33 3 4" xfId="19637" xr:uid="{00000000-0005-0000-0000-0000B54C0000}"/>
    <cellStyle name="Normal 2 2 2 33 3 5" xfId="19638" xr:uid="{00000000-0005-0000-0000-0000B64C0000}"/>
    <cellStyle name="Normal 2 2 2 33 3 6" xfId="19639" xr:uid="{00000000-0005-0000-0000-0000B74C0000}"/>
    <cellStyle name="Normal 2 2 2 33 3 7" xfId="19640" xr:uid="{00000000-0005-0000-0000-0000B84C0000}"/>
    <cellStyle name="Normal 2 2 2 33 3 8" xfId="19641" xr:uid="{00000000-0005-0000-0000-0000B94C0000}"/>
    <cellStyle name="Normal 2 2 2 33 3 9" xfId="19642" xr:uid="{00000000-0005-0000-0000-0000BA4C0000}"/>
    <cellStyle name="Normal 2 2 2 33 4" xfId="19643" xr:uid="{00000000-0005-0000-0000-0000BB4C0000}"/>
    <cellStyle name="Normal 2 2 2 33 4 10" xfId="19644" xr:uid="{00000000-0005-0000-0000-0000BC4C0000}"/>
    <cellStyle name="Normal 2 2 2 33 4 2" xfId="19645" xr:uid="{00000000-0005-0000-0000-0000BD4C0000}"/>
    <cellStyle name="Normal 2 2 2 33 4 3" xfId="19646" xr:uid="{00000000-0005-0000-0000-0000BE4C0000}"/>
    <cellStyle name="Normal 2 2 2 33 4 4" xfId="19647" xr:uid="{00000000-0005-0000-0000-0000BF4C0000}"/>
    <cellStyle name="Normal 2 2 2 33 4 5" xfId="19648" xr:uid="{00000000-0005-0000-0000-0000C04C0000}"/>
    <cellStyle name="Normal 2 2 2 33 4 6" xfId="19649" xr:uid="{00000000-0005-0000-0000-0000C14C0000}"/>
    <cellStyle name="Normal 2 2 2 33 4 7" xfId="19650" xr:uid="{00000000-0005-0000-0000-0000C24C0000}"/>
    <cellStyle name="Normal 2 2 2 33 4 8" xfId="19651" xr:uid="{00000000-0005-0000-0000-0000C34C0000}"/>
    <cellStyle name="Normal 2 2 2 33 4 9" xfId="19652" xr:uid="{00000000-0005-0000-0000-0000C44C0000}"/>
    <cellStyle name="Normal 2 2 2 33 5" xfId="19653" xr:uid="{00000000-0005-0000-0000-0000C54C0000}"/>
    <cellStyle name="Normal 2 2 2 33 5 10" xfId="19654" xr:uid="{00000000-0005-0000-0000-0000C64C0000}"/>
    <cellStyle name="Normal 2 2 2 33 5 2" xfId="19655" xr:uid="{00000000-0005-0000-0000-0000C74C0000}"/>
    <cellStyle name="Normal 2 2 2 33 5 3" xfId="19656" xr:uid="{00000000-0005-0000-0000-0000C84C0000}"/>
    <cellStyle name="Normal 2 2 2 33 5 4" xfId="19657" xr:uid="{00000000-0005-0000-0000-0000C94C0000}"/>
    <cellStyle name="Normal 2 2 2 33 5 5" xfId="19658" xr:uid="{00000000-0005-0000-0000-0000CA4C0000}"/>
    <cellStyle name="Normal 2 2 2 33 5 6" xfId="19659" xr:uid="{00000000-0005-0000-0000-0000CB4C0000}"/>
    <cellStyle name="Normal 2 2 2 33 5 7" xfId="19660" xr:uid="{00000000-0005-0000-0000-0000CC4C0000}"/>
    <cellStyle name="Normal 2 2 2 33 5 8" xfId="19661" xr:uid="{00000000-0005-0000-0000-0000CD4C0000}"/>
    <cellStyle name="Normal 2 2 2 33 5 9" xfId="19662" xr:uid="{00000000-0005-0000-0000-0000CE4C0000}"/>
    <cellStyle name="Normal 2 2 2 33 6" xfId="19663" xr:uid="{00000000-0005-0000-0000-0000CF4C0000}"/>
    <cellStyle name="Normal 2 2 2 33 7" xfId="19664" xr:uid="{00000000-0005-0000-0000-0000D04C0000}"/>
    <cellStyle name="Normal 2 2 2 33 8" xfId="19665" xr:uid="{00000000-0005-0000-0000-0000D14C0000}"/>
    <cellStyle name="Normal 2 2 2 33 9" xfId="19666" xr:uid="{00000000-0005-0000-0000-0000D24C0000}"/>
    <cellStyle name="Normal 2 2 2 34" xfId="19667" xr:uid="{00000000-0005-0000-0000-0000D34C0000}"/>
    <cellStyle name="Normal 2 2 2 34 10" xfId="19668" xr:uid="{00000000-0005-0000-0000-0000D44C0000}"/>
    <cellStyle name="Normal 2 2 2 34 11" xfId="19669" xr:uid="{00000000-0005-0000-0000-0000D54C0000}"/>
    <cellStyle name="Normal 2 2 2 34 12" xfId="19670" xr:uid="{00000000-0005-0000-0000-0000D64C0000}"/>
    <cellStyle name="Normal 2 2 2 34 13" xfId="19671" xr:uid="{00000000-0005-0000-0000-0000D74C0000}"/>
    <cellStyle name="Normal 2 2 2 34 14" xfId="19672" xr:uid="{00000000-0005-0000-0000-0000D84C0000}"/>
    <cellStyle name="Normal 2 2 2 34 2" xfId="19673" xr:uid="{00000000-0005-0000-0000-0000D94C0000}"/>
    <cellStyle name="Normal 2 2 2 34 2 10" xfId="19674" xr:uid="{00000000-0005-0000-0000-0000DA4C0000}"/>
    <cellStyle name="Normal 2 2 2 34 2 2" xfId="19675" xr:uid="{00000000-0005-0000-0000-0000DB4C0000}"/>
    <cellStyle name="Normal 2 2 2 34 2 3" xfId="19676" xr:uid="{00000000-0005-0000-0000-0000DC4C0000}"/>
    <cellStyle name="Normal 2 2 2 34 2 4" xfId="19677" xr:uid="{00000000-0005-0000-0000-0000DD4C0000}"/>
    <cellStyle name="Normal 2 2 2 34 2 5" xfId="19678" xr:uid="{00000000-0005-0000-0000-0000DE4C0000}"/>
    <cellStyle name="Normal 2 2 2 34 2 6" xfId="19679" xr:uid="{00000000-0005-0000-0000-0000DF4C0000}"/>
    <cellStyle name="Normal 2 2 2 34 2 7" xfId="19680" xr:uid="{00000000-0005-0000-0000-0000E04C0000}"/>
    <cellStyle name="Normal 2 2 2 34 2 8" xfId="19681" xr:uid="{00000000-0005-0000-0000-0000E14C0000}"/>
    <cellStyle name="Normal 2 2 2 34 2 9" xfId="19682" xr:uid="{00000000-0005-0000-0000-0000E24C0000}"/>
    <cellStyle name="Normal 2 2 2 34 3" xfId="19683" xr:uid="{00000000-0005-0000-0000-0000E34C0000}"/>
    <cellStyle name="Normal 2 2 2 34 3 10" xfId="19684" xr:uid="{00000000-0005-0000-0000-0000E44C0000}"/>
    <cellStyle name="Normal 2 2 2 34 3 2" xfId="19685" xr:uid="{00000000-0005-0000-0000-0000E54C0000}"/>
    <cellStyle name="Normal 2 2 2 34 3 3" xfId="19686" xr:uid="{00000000-0005-0000-0000-0000E64C0000}"/>
    <cellStyle name="Normal 2 2 2 34 3 4" xfId="19687" xr:uid="{00000000-0005-0000-0000-0000E74C0000}"/>
    <cellStyle name="Normal 2 2 2 34 3 5" xfId="19688" xr:uid="{00000000-0005-0000-0000-0000E84C0000}"/>
    <cellStyle name="Normal 2 2 2 34 3 6" xfId="19689" xr:uid="{00000000-0005-0000-0000-0000E94C0000}"/>
    <cellStyle name="Normal 2 2 2 34 3 7" xfId="19690" xr:uid="{00000000-0005-0000-0000-0000EA4C0000}"/>
    <cellStyle name="Normal 2 2 2 34 3 8" xfId="19691" xr:uid="{00000000-0005-0000-0000-0000EB4C0000}"/>
    <cellStyle name="Normal 2 2 2 34 3 9" xfId="19692" xr:uid="{00000000-0005-0000-0000-0000EC4C0000}"/>
    <cellStyle name="Normal 2 2 2 34 4" xfId="19693" xr:uid="{00000000-0005-0000-0000-0000ED4C0000}"/>
    <cellStyle name="Normal 2 2 2 34 4 10" xfId="19694" xr:uid="{00000000-0005-0000-0000-0000EE4C0000}"/>
    <cellStyle name="Normal 2 2 2 34 4 2" xfId="19695" xr:uid="{00000000-0005-0000-0000-0000EF4C0000}"/>
    <cellStyle name="Normal 2 2 2 34 4 3" xfId="19696" xr:uid="{00000000-0005-0000-0000-0000F04C0000}"/>
    <cellStyle name="Normal 2 2 2 34 4 4" xfId="19697" xr:uid="{00000000-0005-0000-0000-0000F14C0000}"/>
    <cellStyle name="Normal 2 2 2 34 4 5" xfId="19698" xr:uid="{00000000-0005-0000-0000-0000F24C0000}"/>
    <cellStyle name="Normal 2 2 2 34 4 6" xfId="19699" xr:uid="{00000000-0005-0000-0000-0000F34C0000}"/>
    <cellStyle name="Normal 2 2 2 34 4 7" xfId="19700" xr:uid="{00000000-0005-0000-0000-0000F44C0000}"/>
    <cellStyle name="Normal 2 2 2 34 4 8" xfId="19701" xr:uid="{00000000-0005-0000-0000-0000F54C0000}"/>
    <cellStyle name="Normal 2 2 2 34 4 9" xfId="19702" xr:uid="{00000000-0005-0000-0000-0000F64C0000}"/>
    <cellStyle name="Normal 2 2 2 34 5" xfId="19703" xr:uid="{00000000-0005-0000-0000-0000F74C0000}"/>
    <cellStyle name="Normal 2 2 2 34 5 10" xfId="19704" xr:uid="{00000000-0005-0000-0000-0000F84C0000}"/>
    <cellStyle name="Normal 2 2 2 34 5 2" xfId="19705" xr:uid="{00000000-0005-0000-0000-0000F94C0000}"/>
    <cellStyle name="Normal 2 2 2 34 5 3" xfId="19706" xr:uid="{00000000-0005-0000-0000-0000FA4C0000}"/>
    <cellStyle name="Normal 2 2 2 34 5 4" xfId="19707" xr:uid="{00000000-0005-0000-0000-0000FB4C0000}"/>
    <cellStyle name="Normal 2 2 2 34 5 5" xfId="19708" xr:uid="{00000000-0005-0000-0000-0000FC4C0000}"/>
    <cellStyle name="Normal 2 2 2 34 5 6" xfId="19709" xr:uid="{00000000-0005-0000-0000-0000FD4C0000}"/>
    <cellStyle name="Normal 2 2 2 34 5 7" xfId="19710" xr:uid="{00000000-0005-0000-0000-0000FE4C0000}"/>
    <cellStyle name="Normal 2 2 2 34 5 8" xfId="19711" xr:uid="{00000000-0005-0000-0000-0000FF4C0000}"/>
    <cellStyle name="Normal 2 2 2 34 5 9" xfId="19712" xr:uid="{00000000-0005-0000-0000-0000004D0000}"/>
    <cellStyle name="Normal 2 2 2 34 6" xfId="19713" xr:uid="{00000000-0005-0000-0000-0000014D0000}"/>
    <cellStyle name="Normal 2 2 2 34 7" xfId="19714" xr:uid="{00000000-0005-0000-0000-0000024D0000}"/>
    <cellStyle name="Normal 2 2 2 34 8" xfId="19715" xr:uid="{00000000-0005-0000-0000-0000034D0000}"/>
    <cellStyle name="Normal 2 2 2 34 9" xfId="19716" xr:uid="{00000000-0005-0000-0000-0000044D0000}"/>
    <cellStyle name="Normal 2 2 2 35" xfId="19717" xr:uid="{00000000-0005-0000-0000-0000054D0000}"/>
    <cellStyle name="Normal 2 2 2 35 10" xfId="19718" xr:uid="{00000000-0005-0000-0000-0000064D0000}"/>
    <cellStyle name="Normal 2 2 2 35 11" xfId="19719" xr:uid="{00000000-0005-0000-0000-0000074D0000}"/>
    <cellStyle name="Normal 2 2 2 35 12" xfId="19720" xr:uid="{00000000-0005-0000-0000-0000084D0000}"/>
    <cellStyle name="Normal 2 2 2 35 13" xfId="19721" xr:uid="{00000000-0005-0000-0000-0000094D0000}"/>
    <cellStyle name="Normal 2 2 2 35 14" xfId="19722" xr:uid="{00000000-0005-0000-0000-00000A4D0000}"/>
    <cellStyle name="Normal 2 2 2 35 2" xfId="19723" xr:uid="{00000000-0005-0000-0000-00000B4D0000}"/>
    <cellStyle name="Normal 2 2 2 35 2 10" xfId="19724" xr:uid="{00000000-0005-0000-0000-00000C4D0000}"/>
    <cellStyle name="Normal 2 2 2 35 2 2" xfId="19725" xr:uid="{00000000-0005-0000-0000-00000D4D0000}"/>
    <cellStyle name="Normal 2 2 2 35 2 3" xfId="19726" xr:uid="{00000000-0005-0000-0000-00000E4D0000}"/>
    <cellStyle name="Normal 2 2 2 35 2 4" xfId="19727" xr:uid="{00000000-0005-0000-0000-00000F4D0000}"/>
    <cellStyle name="Normal 2 2 2 35 2 5" xfId="19728" xr:uid="{00000000-0005-0000-0000-0000104D0000}"/>
    <cellStyle name="Normal 2 2 2 35 2 6" xfId="19729" xr:uid="{00000000-0005-0000-0000-0000114D0000}"/>
    <cellStyle name="Normal 2 2 2 35 2 7" xfId="19730" xr:uid="{00000000-0005-0000-0000-0000124D0000}"/>
    <cellStyle name="Normal 2 2 2 35 2 8" xfId="19731" xr:uid="{00000000-0005-0000-0000-0000134D0000}"/>
    <cellStyle name="Normal 2 2 2 35 2 9" xfId="19732" xr:uid="{00000000-0005-0000-0000-0000144D0000}"/>
    <cellStyle name="Normal 2 2 2 35 3" xfId="19733" xr:uid="{00000000-0005-0000-0000-0000154D0000}"/>
    <cellStyle name="Normal 2 2 2 35 3 10" xfId="19734" xr:uid="{00000000-0005-0000-0000-0000164D0000}"/>
    <cellStyle name="Normal 2 2 2 35 3 2" xfId="19735" xr:uid="{00000000-0005-0000-0000-0000174D0000}"/>
    <cellStyle name="Normal 2 2 2 35 3 3" xfId="19736" xr:uid="{00000000-0005-0000-0000-0000184D0000}"/>
    <cellStyle name="Normal 2 2 2 35 3 4" xfId="19737" xr:uid="{00000000-0005-0000-0000-0000194D0000}"/>
    <cellStyle name="Normal 2 2 2 35 3 5" xfId="19738" xr:uid="{00000000-0005-0000-0000-00001A4D0000}"/>
    <cellStyle name="Normal 2 2 2 35 3 6" xfId="19739" xr:uid="{00000000-0005-0000-0000-00001B4D0000}"/>
    <cellStyle name="Normal 2 2 2 35 3 7" xfId="19740" xr:uid="{00000000-0005-0000-0000-00001C4D0000}"/>
    <cellStyle name="Normal 2 2 2 35 3 8" xfId="19741" xr:uid="{00000000-0005-0000-0000-00001D4D0000}"/>
    <cellStyle name="Normal 2 2 2 35 3 9" xfId="19742" xr:uid="{00000000-0005-0000-0000-00001E4D0000}"/>
    <cellStyle name="Normal 2 2 2 35 4" xfId="19743" xr:uid="{00000000-0005-0000-0000-00001F4D0000}"/>
    <cellStyle name="Normal 2 2 2 35 4 10" xfId="19744" xr:uid="{00000000-0005-0000-0000-0000204D0000}"/>
    <cellStyle name="Normal 2 2 2 35 4 2" xfId="19745" xr:uid="{00000000-0005-0000-0000-0000214D0000}"/>
    <cellStyle name="Normal 2 2 2 35 4 3" xfId="19746" xr:uid="{00000000-0005-0000-0000-0000224D0000}"/>
    <cellStyle name="Normal 2 2 2 35 4 4" xfId="19747" xr:uid="{00000000-0005-0000-0000-0000234D0000}"/>
    <cellStyle name="Normal 2 2 2 35 4 5" xfId="19748" xr:uid="{00000000-0005-0000-0000-0000244D0000}"/>
    <cellStyle name="Normal 2 2 2 35 4 6" xfId="19749" xr:uid="{00000000-0005-0000-0000-0000254D0000}"/>
    <cellStyle name="Normal 2 2 2 35 4 7" xfId="19750" xr:uid="{00000000-0005-0000-0000-0000264D0000}"/>
    <cellStyle name="Normal 2 2 2 35 4 8" xfId="19751" xr:uid="{00000000-0005-0000-0000-0000274D0000}"/>
    <cellStyle name="Normal 2 2 2 35 4 9" xfId="19752" xr:uid="{00000000-0005-0000-0000-0000284D0000}"/>
    <cellStyle name="Normal 2 2 2 35 5" xfId="19753" xr:uid="{00000000-0005-0000-0000-0000294D0000}"/>
    <cellStyle name="Normal 2 2 2 35 5 10" xfId="19754" xr:uid="{00000000-0005-0000-0000-00002A4D0000}"/>
    <cellStyle name="Normal 2 2 2 35 5 2" xfId="19755" xr:uid="{00000000-0005-0000-0000-00002B4D0000}"/>
    <cellStyle name="Normal 2 2 2 35 5 3" xfId="19756" xr:uid="{00000000-0005-0000-0000-00002C4D0000}"/>
    <cellStyle name="Normal 2 2 2 35 5 4" xfId="19757" xr:uid="{00000000-0005-0000-0000-00002D4D0000}"/>
    <cellStyle name="Normal 2 2 2 35 5 5" xfId="19758" xr:uid="{00000000-0005-0000-0000-00002E4D0000}"/>
    <cellStyle name="Normal 2 2 2 35 5 6" xfId="19759" xr:uid="{00000000-0005-0000-0000-00002F4D0000}"/>
    <cellStyle name="Normal 2 2 2 35 5 7" xfId="19760" xr:uid="{00000000-0005-0000-0000-0000304D0000}"/>
    <cellStyle name="Normal 2 2 2 35 5 8" xfId="19761" xr:uid="{00000000-0005-0000-0000-0000314D0000}"/>
    <cellStyle name="Normal 2 2 2 35 5 9" xfId="19762" xr:uid="{00000000-0005-0000-0000-0000324D0000}"/>
    <cellStyle name="Normal 2 2 2 35 6" xfId="19763" xr:uid="{00000000-0005-0000-0000-0000334D0000}"/>
    <cellStyle name="Normal 2 2 2 35 7" xfId="19764" xr:uid="{00000000-0005-0000-0000-0000344D0000}"/>
    <cellStyle name="Normal 2 2 2 35 8" xfId="19765" xr:uid="{00000000-0005-0000-0000-0000354D0000}"/>
    <cellStyle name="Normal 2 2 2 35 9" xfId="19766" xr:uid="{00000000-0005-0000-0000-0000364D0000}"/>
    <cellStyle name="Normal 2 2 2 36" xfId="19767" xr:uid="{00000000-0005-0000-0000-0000374D0000}"/>
    <cellStyle name="Normal 2 2 2 36 10" xfId="19768" xr:uid="{00000000-0005-0000-0000-0000384D0000}"/>
    <cellStyle name="Normal 2 2 2 36 2" xfId="19769" xr:uid="{00000000-0005-0000-0000-0000394D0000}"/>
    <cellStyle name="Normal 2 2 2 36 3" xfId="19770" xr:uid="{00000000-0005-0000-0000-00003A4D0000}"/>
    <cellStyle name="Normal 2 2 2 36 4" xfId="19771" xr:uid="{00000000-0005-0000-0000-00003B4D0000}"/>
    <cellStyle name="Normal 2 2 2 36 5" xfId="19772" xr:uid="{00000000-0005-0000-0000-00003C4D0000}"/>
    <cellStyle name="Normal 2 2 2 36 6" xfId="19773" xr:uid="{00000000-0005-0000-0000-00003D4D0000}"/>
    <cellStyle name="Normal 2 2 2 36 7" xfId="19774" xr:uid="{00000000-0005-0000-0000-00003E4D0000}"/>
    <cellStyle name="Normal 2 2 2 36 8" xfId="19775" xr:uid="{00000000-0005-0000-0000-00003F4D0000}"/>
    <cellStyle name="Normal 2 2 2 36 9" xfId="19776" xr:uid="{00000000-0005-0000-0000-0000404D0000}"/>
    <cellStyle name="Normal 2 2 2 37" xfId="19777" xr:uid="{00000000-0005-0000-0000-0000414D0000}"/>
    <cellStyle name="Normal 2 2 2 37 10" xfId="19778" xr:uid="{00000000-0005-0000-0000-0000424D0000}"/>
    <cellStyle name="Normal 2 2 2 37 2" xfId="19779" xr:uid="{00000000-0005-0000-0000-0000434D0000}"/>
    <cellStyle name="Normal 2 2 2 37 3" xfId="19780" xr:uid="{00000000-0005-0000-0000-0000444D0000}"/>
    <cellStyle name="Normal 2 2 2 37 4" xfId="19781" xr:uid="{00000000-0005-0000-0000-0000454D0000}"/>
    <cellStyle name="Normal 2 2 2 37 5" xfId="19782" xr:uid="{00000000-0005-0000-0000-0000464D0000}"/>
    <cellStyle name="Normal 2 2 2 37 6" xfId="19783" xr:uid="{00000000-0005-0000-0000-0000474D0000}"/>
    <cellStyle name="Normal 2 2 2 37 7" xfId="19784" xr:uid="{00000000-0005-0000-0000-0000484D0000}"/>
    <cellStyle name="Normal 2 2 2 37 8" xfId="19785" xr:uid="{00000000-0005-0000-0000-0000494D0000}"/>
    <cellStyle name="Normal 2 2 2 37 9" xfId="19786" xr:uid="{00000000-0005-0000-0000-00004A4D0000}"/>
    <cellStyle name="Normal 2 2 2 38" xfId="19787" xr:uid="{00000000-0005-0000-0000-00004B4D0000}"/>
    <cellStyle name="Normal 2 2 2 38 10" xfId="19788" xr:uid="{00000000-0005-0000-0000-00004C4D0000}"/>
    <cellStyle name="Normal 2 2 2 38 2" xfId="19789" xr:uid="{00000000-0005-0000-0000-00004D4D0000}"/>
    <cellStyle name="Normal 2 2 2 38 3" xfId="19790" xr:uid="{00000000-0005-0000-0000-00004E4D0000}"/>
    <cellStyle name="Normal 2 2 2 38 4" xfId="19791" xr:uid="{00000000-0005-0000-0000-00004F4D0000}"/>
    <cellStyle name="Normal 2 2 2 38 5" xfId="19792" xr:uid="{00000000-0005-0000-0000-0000504D0000}"/>
    <cellStyle name="Normal 2 2 2 38 6" xfId="19793" xr:uid="{00000000-0005-0000-0000-0000514D0000}"/>
    <cellStyle name="Normal 2 2 2 38 7" xfId="19794" xr:uid="{00000000-0005-0000-0000-0000524D0000}"/>
    <cellStyle name="Normal 2 2 2 38 8" xfId="19795" xr:uid="{00000000-0005-0000-0000-0000534D0000}"/>
    <cellStyle name="Normal 2 2 2 38 9" xfId="19796" xr:uid="{00000000-0005-0000-0000-0000544D0000}"/>
    <cellStyle name="Normal 2 2 2 39" xfId="19797" xr:uid="{00000000-0005-0000-0000-0000554D0000}"/>
    <cellStyle name="Normal 2 2 2 39 10" xfId="19798" xr:uid="{00000000-0005-0000-0000-0000564D0000}"/>
    <cellStyle name="Normal 2 2 2 39 2" xfId="19799" xr:uid="{00000000-0005-0000-0000-0000574D0000}"/>
    <cellStyle name="Normal 2 2 2 39 3" xfId="19800" xr:uid="{00000000-0005-0000-0000-0000584D0000}"/>
    <cellStyle name="Normal 2 2 2 39 4" xfId="19801" xr:uid="{00000000-0005-0000-0000-0000594D0000}"/>
    <cellStyle name="Normal 2 2 2 39 5" xfId="19802" xr:uid="{00000000-0005-0000-0000-00005A4D0000}"/>
    <cellStyle name="Normal 2 2 2 39 6" xfId="19803" xr:uid="{00000000-0005-0000-0000-00005B4D0000}"/>
    <cellStyle name="Normal 2 2 2 39 7" xfId="19804" xr:uid="{00000000-0005-0000-0000-00005C4D0000}"/>
    <cellStyle name="Normal 2 2 2 39 8" xfId="19805" xr:uid="{00000000-0005-0000-0000-00005D4D0000}"/>
    <cellStyle name="Normal 2 2 2 39 9" xfId="19806" xr:uid="{00000000-0005-0000-0000-00005E4D0000}"/>
    <cellStyle name="Normal 2 2 2 4" xfId="19807" xr:uid="{00000000-0005-0000-0000-00005F4D0000}"/>
    <cellStyle name="Normal 2 2 2 4 10" xfId="19808" xr:uid="{00000000-0005-0000-0000-0000604D0000}"/>
    <cellStyle name="Normal 2 2 2 4 11" xfId="19809" xr:uid="{00000000-0005-0000-0000-0000614D0000}"/>
    <cellStyle name="Normal 2 2 2 4 12" xfId="19810" xr:uid="{00000000-0005-0000-0000-0000624D0000}"/>
    <cellStyle name="Normal 2 2 2 4 13" xfId="19811" xr:uid="{00000000-0005-0000-0000-0000634D0000}"/>
    <cellStyle name="Normal 2 2 2 4 14" xfId="19812" xr:uid="{00000000-0005-0000-0000-0000644D0000}"/>
    <cellStyle name="Normal 2 2 2 4 15" xfId="19813" xr:uid="{00000000-0005-0000-0000-0000654D0000}"/>
    <cellStyle name="Normal 2 2 2 4 16" xfId="19814" xr:uid="{00000000-0005-0000-0000-0000664D0000}"/>
    <cellStyle name="Normal 2 2 2 4 17" xfId="19815" xr:uid="{00000000-0005-0000-0000-0000674D0000}"/>
    <cellStyle name="Normal 2 2 2 4 18" xfId="19816" xr:uid="{00000000-0005-0000-0000-0000684D0000}"/>
    <cellStyle name="Normal 2 2 2 4 19" xfId="19817" xr:uid="{00000000-0005-0000-0000-0000694D0000}"/>
    <cellStyle name="Normal 2 2 2 4 2" xfId="19818" xr:uid="{00000000-0005-0000-0000-00006A4D0000}"/>
    <cellStyle name="Normal 2 2 2 4 2 10" xfId="19819" xr:uid="{00000000-0005-0000-0000-00006B4D0000}"/>
    <cellStyle name="Normal 2 2 2 4 2 10 10" xfId="19820" xr:uid="{00000000-0005-0000-0000-00006C4D0000}"/>
    <cellStyle name="Normal 2 2 2 4 2 10 11" xfId="19821" xr:uid="{00000000-0005-0000-0000-00006D4D0000}"/>
    <cellStyle name="Normal 2 2 2 4 2 10 12" xfId="19822" xr:uid="{00000000-0005-0000-0000-00006E4D0000}"/>
    <cellStyle name="Normal 2 2 2 4 2 10 13" xfId="19823" xr:uid="{00000000-0005-0000-0000-00006F4D0000}"/>
    <cellStyle name="Normal 2 2 2 4 2 10 14" xfId="19824" xr:uid="{00000000-0005-0000-0000-0000704D0000}"/>
    <cellStyle name="Normal 2 2 2 4 2 10 2" xfId="19825" xr:uid="{00000000-0005-0000-0000-0000714D0000}"/>
    <cellStyle name="Normal 2 2 2 4 2 10 2 10" xfId="19826" xr:uid="{00000000-0005-0000-0000-0000724D0000}"/>
    <cellStyle name="Normal 2 2 2 4 2 10 2 2" xfId="19827" xr:uid="{00000000-0005-0000-0000-0000734D0000}"/>
    <cellStyle name="Normal 2 2 2 4 2 10 2 3" xfId="19828" xr:uid="{00000000-0005-0000-0000-0000744D0000}"/>
    <cellStyle name="Normal 2 2 2 4 2 10 2 4" xfId="19829" xr:uid="{00000000-0005-0000-0000-0000754D0000}"/>
    <cellStyle name="Normal 2 2 2 4 2 10 2 5" xfId="19830" xr:uid="{00000000-0005-0000-0000-0000764D0000}"/>
    <cellStyle name="Normal 2 2 2 4 2 10 2 6" xfId="19831" xr:uid="{00000000-0005-0000-0000-0000774D0000}"/>
    <cellStyle name="Normal 2 2 2 4 2 10 2 7" xfId="19832" xr:uid="{00000000-0005-0000-0000-0000784D0000}"/>
    <cellStyle name="Normal 2 2 2 4 2 10 2 8" xfId="19833" xr:uid="{00000000-0005-0000-0000-0000794D0000}"/>
    <cellStyle name="Normal 2 2 2 4 2 10 2 9" xfId="19834" xr:uid="{00000000-0005-0000-0000-00007A4D0000}"/>
    <cellStyle name="Normal 2 2 2 4 2 10 3" xfId="19835" xr:uid="{00000000-0005-0000-0000-00007B4D0000}"/>
    <cellStyle name="Normal 2 2 2 4 2 10 3 10" xfId="19836" xr:uid="{00000000-0005-0000-0000-00007C4D0000}"/>
    <cellStyle name="Normal 2 2 2 4 2 10 3 2" xfId="19837" xr:uid="{00000000-0005-0000-0000-00007D4D0000}"/>
    <cellStyle name="Normal 2 2 2 4 2 10 3 3" xfId="19838" xr:uid="{00000000-0005-0000-0000-00007E4D0000}"/>
    <cellStyle name="Normal 2 2 2 4 2 10 3 4" xfId="19839" xr:uid="{00000000-0005-0000-0000-00007F4D0000}"/>
    <cellStyle name="Normal 2 2 2 4 2 10 3 5" xfId="19840" xr:uid="{00000000-0005-0000-0000-0000804D0000}"/>
    <cellStyle name="Normal 2 2 2 4 2 10 3 6" xfId="19841" xr:uid="{00000000-0005-0000-0000-0000814D0000}"/>
    <cellStyle name="Normal 2 2 2 4 2 10 3 7" xfId="19842" xr:uid="{00000000-0005-0000-0000-0000824D0000}"/>
    <cellStyle name="Normal 2 2 2 4 2 10 3 8" xfId="19843" xr:uid="{00000000-0005-0000-0000-0000834D0000}"/>
    <cellStyle name="Normal 2 2 2 4 2 10 3 9" xfId="19844" xr:uid="{00000000-0005-0000-0000-0000844D0000}"/>
    <cellStyle name="Normal 2 2 2 4 2 10 4" xfId="19845" xr:uid="{00000000-0005-0000-0000-0000854D0000}"/>
    <cellStyle name="Normal 2 2 2 4 2 10 4 10" xfId="19846" xr:uid="{00000000-0005-0000-0000-0000864D0000}"/>
    <cellStyle name="Normal 2 2 2 4 2 10 4 2" xfId="19847" xr:uid="{00000000-0005-0000-0000-0000874D0000}"/>
    <cellStyle name="Normal 2 2 2 4 2 10 4 3" xfId="19848" xr:uid="{00000000-0005-0000-0000-0000884D0000}"/>
    <cellStyle name="Normal 2 2 2 4 2 10 4 4" xfId="19849" xr:uid="{00000000-0005-0000-0000-0000894D0000}"/>
    <cellStyle name="Normal 2 2 2 4 2 10 4 5" xfId="19850" xr:uid="{00000000-0005-0000-0000-00008A4D0000}"/>
    <cellStyle name="Normal 2 2 2 4 2 10 4 6" xfId="19851" xr:uid="{00000000-0005-0000-0000-00008B4D0000}"/>
    <cellStyle name="Normal 2 2 2 4 2 10 4 7" xfId="19852" xr:uid="{00000000-0005-0000-0000-00008C4D0000}"/>
    <cellStyle name="Normal 2 2 2 4 2 10 4 8" xfId="19853" xr:uid="{00000000-0005-0000-0000-00008D4D0000}"/>
    <cellStyle name="Normal 2 2 2 4 2 10 4 9" xfId="19854" xr:uid="{00000000-0005-0000-0000-00008E4D0000}"/>
    <cellStyle name="Normal 2 2 2 4 2 10 5" xfId="19855" xr:uid="{00000000-0005-0000-0000-00008F4D0000}"/>
    <cellStyle name="Normal 2 2 2 4 2 10 5 10" xfId="19856" xr:uid="{00000000-0005-0000-0000-0000904D0000}"/>
    <cellStyle name="Normal 2 2 2 4 2 10 5 2" xfId="19857" xr:uid="{00000000-0005-0000-0000-0000914D0000}"/>
    <cellStyle name="Normal 2 2 2 4 2 10 5 3" xfId="19858" xr:uid="{00000000-0005-0000-0000-0000924D0000}"/>
    <cellStyle name="Normal 2 2 2 4 2 10 5 4" xfId="19859" xr:uid="{00000000-0005-0000-0000-0000934D0000}"/>
    <cellStyle name="Normal 2 2 2 4 2 10 5 5" xfId="19860" xr:uid="{00000000-0005-0000-0000-0000944D0000}"/>
    <cellStyle name="Normal 2 2 2 4 2 10 5 6" xfId="19861" xr:uid="{00000000-0005-0000-0000-0000954D0000}"/>
    <cellStyle name="Normal 2 2 2 4 2 10 5 7" xfId="19862" xr:uid="{00000000-0005-0000-0000-0000964D0000}"/>
    <cellStyle name="Normal 2 2 2 4 2 10 5 8" xfId="19863" xr:uid="{00000000-0005-0000-0000-0000974D0000}"/>
    <cellStyle name="Normal 2 2 2 4 2 10 5 9" xfId="19864" xr:uid="{00000000-0005-0000-0000-0000984D0000}"/>
    <cellStyle name="Normal 2 2 2 4 2 10 6" xfId="19865" xr:uid="{00000000-0005-0000-0000-0000994D0000}"/>
    <cellStyle name="Normal 2 2 2 4 2 10 7" xfId="19866" xr:uid="{00000000-0005-0000-0000-00009A4D0000}"/>
    <cellStyle name="Normal 2 2 2 4 2 10 8" xfId="19867" xr:uid="{00000000-0005-0000-0000-00009B4D0000}"/>
    <cellStyle name="Normal 2 2 2 4 2 10 9" xfId="19868" xr:uid="{00000000-0005-0000-0000-00009C4D0000}"/>
    <cellStyle name="Normal 2 2 2 4 2 11" xfId="19869" xr:uid="{00000000-0005-0000-0000-00009D4D0000}"/>
    <cellStyle name="Normal 2 2 2 4 2 11 10" xfId="19870" xr:uid="{00000000-0005-0000-0000-00009E4D0000}"/>
    <cellStyle name="Normal 2 2 2 4 2 11 11" xfId="19871" xr:uid="{00000000-0005-0000-0000-00009F4D0000}"/>
    <cellStyle name="Normal 2 2 2 4 2 11 12" xfId="19872" xr:uid="{00000000-0005-0000-0000-0000A04D0000}"/>
    <cellStyle name="Normal 2 2 2 4 2 11 13" xfId="19873" xr:uid="{00000000-0005-0000-0000-0000A14D0000}"/>
    <cellStyle name="Normal 2 2 2 4 2 11 14" xfId="19874" xr:uid="{00000000-0005-0000-0000-0000A24D0000}"/>
    <cellStyle name="Normal 2 2 2 4 2 11 2" xfId="19875" xr:uid="{00000000-0005-0000-0000-0000A34D0000}"/>
    <cellStyle name="Normal 2 2 2 4 2 11 2 10" xfId="19876" xr:uid="{00000000-0005-0000-0000-0000A44D0000}"/>
    <cellStyle name="Normal 2 2 2 4 2 11 2 2" xfId="19877" xr:uid="{00000000-0005-0000-0000-0000A54D0000}"/>
    <cellStyle name="Normal 2 2 2 4 2 11 2 3" xfId="19878" xr:uid="{00000000-0005-0000-0000-0000A64D0000}"/>
    <cellStyle name="Normal 2 2 2 4 2 11 2 4" xfId="19879" xr:uid="{00000000-0005-0000-0000-0000A74D0000}"/>
    <cellStyle name="Normal 2 2 2 4 2 11 2 5" xfId="19880" xr:uid="{00000000-0005-0000-0000-0000A84D0000}"/>
    <cellStyle name="Normal 2 2 2 4 2 11 2 6" xfId="19881" xr:uid="{00000000-0005-0000-0000-0000A94D0000}"/>
    <cellStyle name="Normal 2 2 2 4 2 11 2 7" xfId="19882" xr:uid="{00000000-0005-0000-0000-0000AA4D0000}"/>
    <cellStyle name="Normal 2 2 2 4 2 11 2 8" xfId="19883" xr:uid="{00000000-0005-0000-0000-0000AB4D0000}"/>
    <cellStyle name="Normal 2 2 2 4 2 11 2 9" xfId="19884" xr:uid="{00000000-0005-0000-0000-0000AC4D0000}"/>
    <cellStyle name="Normal 2 2 2 4 2 11 3" xfId="19885" xr:uid="{00000000-0005-0000-0000-0000AD4D0000}"/>
    <cellStyle name="Normal 2 2 2 4 2 11 3 10" xfId="19886" xr:uid="{00000000-0005-0000-0000-0000AE4D0000}"/>
    <cellStyle name="Normal 2 2 2 4 2 11 3 2" xfId="19887" xr:uid="{00000000-0005-0000-0000-0000AF4D0000}"/>
    <cellStyle name="Normal 2 2 2 4 2 11 3 3" xfId="19888" xr:uid="{00000000-0005-0000-0000-0000B04D0000}"/>
    <cellStyle name="Normal 2 2 2 4 2 11 3 4" xfId="19889" xr:uid="{00000000-0005-0000-0000-0000B14D0000}"/>
    <cellStyle name="Normal 2 2 2 4 2 11 3 5" xfId="19890" xr:uid="{00000000-0005-0000-0000-0000B24D0000}"/>
    <cellStyle name="Normal 2 2 2 4 2 11 3 6" xfId="19891" xr:uid="{00000000-0005-0000-0000-0000B34D0000}"/>
    <cellStyle name="Normal 2 2 2 4 2 11 3 7" xfId="19892" xr:uid="{00000000-0005-0000-0000-0000B44D0000}"/>
    <cellStyle name="Normal 2 2 2 4 2 11 3 8" xfId="19893" xr:uid="{00000000-0005-0000-0000-0000B54D0000}"/>
    <cellStyle name="Normal 2 2 2 4 2 11 3 9" xfId="19894" xr:uid="{00000000-0005-0000-0000-0000B64D0000}"/>
    <cellStyle name="Normal 2 2 2 4 2 11 4" xfId="19895" xr:uid="{00000000-0005-0000-0000-0000B74D0000}"/>
    <cellStyle name="Normal 2 2 2 4 2 11 4 10" xfId="19896" xr:uid="{00000000-0005-0000-0000-0000B84D0000}"/>
    <cellStyle name="Normal 2 2 2 4 2 11 4 2" xfId="19897" xr:uid="{00000000-0005-0000-0000-0000B94D0000}"/>
    <cellStyle name="Normal 2 2 2 4 2 11 4 3" xfId="19898" xr:uid="{00000000-0005-0000-0000-0000BA4D0000}"/>
    <cellStyle name="Normal 2 2 2 4 2 11 4 4" xfId="19899" xr:uid="{00000000-0005-0000-0000-0000BB4D0000}"/>
    <cellStyle name="Normal 2 2 2 4 2 11 4 5" xfId="19900" xr:uid="{00000000-0005-0000-0000-0000BC4D0000}"/>
    <cellStyle name="Normal 2 2 2 4 2 11 4 6" xfId="19901" xr:uid="{00000000-0005-0000-0000-0000BD4D0000}"/>
    <cellStyle name="Normal 2 2 2 4 2 11 4 7" xfId="19902" xr:uid="{00000000-0005-0000-0000-0000BE4D0000}"/>
    <cellStyle name="Normal 2 2 2 4 2 11 4 8" xfId="19903" xr:uid="{00000000-0005-0000-0000-0000BF4D0000}"/>
    <cellStyle name="Normal 2 2 2 4 2 11 4 9" xfId="19904" xr:uid="{00000000-0005-0000-0000-0000C04D0000}"/>
    <cellStyle name="Normal 2 2 2 4 2 11 5" xfId="19905" xr:uid="{00000000-0005-0000-0000-0000C14D0000}"/>
    <cellStyle name="Normal 2 2 2 4 2 11 5 10" xfId="19906" xr:uid="{00000000-0005-0000-0000-0000C24D0000}"/>
    <cellStyle name="Normal 2 2 2 4 2 11 5 2" xfId="19907" xr:uid="{00000000-0005-0000-0000-0000C34D0000}"/>
    <cellStyle name="Normal 2 2 2 4 2 11 5 3" xfId="19908" xr:uid="{00000000-0005-0000-0000-0000C44D0000}"/>
    <cellStyle name="Normal 2 2 2 4 2 11 5 4" xfId="19909" xr:uid="{00000000-0005-0000-0000-0000C54D0000}"/>
    <cellStyle name="Normal 2 2 2 4 2 11 5 5" xfId="19910" xr:uid="{00000000-0005-0000-0000-0000C64D0000}"/>
    <cellStyle name="Normal 2 2 2 4 2 11 5 6" xfId="19911" xr:uid="{00000000-0005-0000-0000-0000C74D0000}"/>
    <cellStyle name="Normal 2 2 2 4 2 11 5 7" xfId="19912" xr:uid="{00000000-0005-0000-0000-0000C84D0000}"/>
    <cellStyle name="Normal 2 2 2 4 2 11 5 8" xfId="19913" xr:uid="{00000000-0005-0000-0000-0000C94D0000}"/>
    <cellStyle name="Normal 2 2 2 4 2 11 5 9" xfId="19914" xr:uid="{00000000-0005-0000-0000-0000CA4D0000}"/>
    <cellStyle name="Normal 2 2 2 4 2 11 6" xfId="19915" xr:uid="{00000000-0005-0000-0000-0000CB4D0000}"/>
    <cellStyle name="Normal 2 2 2 4 2 11 7" xfId="19916" xr:uid="{00000000-0005-0000-0000-0000CC4D0000}"/>
    <cellStyle name="Normal 2 2 2 4 2 11 8" xfId="19917" xr:uid="{00000000-0005-0000-0000-0000CD4D0000}"/>
    <cellStyle name="Normal 2 2 2 4 2 11 9" xfId="19918" xr:uid="{00000000-0005-0000-0000-0000CE4D0000}"/>
    <cellStyle name="Normal 2 2 2 4 2 12" xfId="19919" xr:uid="{00000000-0005-0000-0000-0000CF4D0000}"/>
    <cellStyle name="Normal 2 2 2 4 2 12 10" xfId="19920" xr:uid="{00000000-0005-0000-0000-0000D04D0000}"/>
    <cellStyle name="Normal 2 2 2 4 2 12 11" xfId="19921" xr:uid="{00000000-0005-0000-0000-0000D14D0000}"/>
    <cellStyle name="Normal 2 2 2 4 2 12 12" xfId="19922" xr:uid="{00000000-0005-0000-0000-0000D24D0000}"/>
    <cellStyle name="Normal 2 2 2 4 2 12 13" xfId="19923" xr:uid="{00000000-0005-0000-0000-0000D34D0000}"/>
    <cellStyle name="Normal 2 2 2 4 2 12 14" xfId="19924" xr:uid="{00000000-0005-0000-0000-0000D44D0000}"/>
    <cellStyle name="Normal 2 2 2 4 2 12 2" xfId="19925" xr:uid="{00000000-0005-0000-0000-0000D54D0000}"/>
    <cellStyle name="Normal 2 2 2 4 2 12 2 10" xfId="19926" xr:uid="{00000000-0005-0000-0000-0000D64D0000}"/>
    <cellStyle name="Normal 2 2 2 4 2 12 2 2" xfId="19927" xr:uid="{00000000-0005-0000-0000-0000D74D0000}"/>
    <cellStyle name="Normal 2 2 2 4 2 12 2 3" xfId="19928" xr:uid="{00000000-0005-0000-0000-0000D84D0000}"/>
    <cellStyle name="Normal 2 2 2 4 2 12 2 4" xfId="19929" xr:uid="{00000000-0005-0000-0000-0000D94D0000}"/>
    <cellStyle name="Normal 2 2 2 4 2 12 2 5" xfId="19930" xr:uid="{00000000-0005-0000-0000-0000DA4D0000}"/>
    <cellStyle name="Normal 2 2 2 4 2 12 2 6" xfId="19931" xr:uid="{00000000-0005-0000-0000-0000DB4D0000}"/>
    <cellStyle name="Normal 2 2 2 4 2 12 2 7" xfId="19932" xr:uid="{00000000-0005-0000-0000-0000DC4D0000}"/>
    <cellStyle name="Normal 2 2 2 4 2 12 2 8" xfId="19933" xr:uid="{00000000-0005-0000-0000-0000DD4D0000}"/>
    <cellStyle name="Normal 2 2 2 4 2 12 2 9" xfId="19934" xr:uid="{00000000-0005-0000-0000-0000DE4D0000}"/>
    <cellStyle name="Normal 2 2 2 4 2 12 3" xfId="19935" xr:uid="{00000000-0005-0000-0000-0000DF4D0000}"/>
    <cellStyle name="Normal 2 2 2 4 2 12 3 10" xfId="19936" xr:uid="{00000000-0005-0000-0000-0000E04D0000}"/>
    <cellStyle name="Normal 2 2 2 4 2 12 3 2" xfId="19937" xr:uid="{00000000-0005-0000-0000-0000E14D0000}"/>
    <cellStyle name="Normal 2 2 2 4 2 12 3 3" xfId="19938" xr:uid="{00000000-0005-0000-0000-0000E24D0000}"/>
    <cellStyle name="Normal 2 2 2 4 2 12 3 4" xfId="19939" xr:uid="{00000000-0005-0000-0000-0000E34D0000}"/>
    <cellStyle name="Normal 2 2 2 4 2 12 3 5" xfId="19940" xr:uid="{00000000-0005-0000-0000-0000E44D0000}"/>
    <cellStyle name="Normal 2 2 2 4 2 12 3 6" xfId="19941" xr:uid="{00000000-0005-0000-0000-0000E54D0000}"/>
    <cellStyle name="Normal 2 2 2 4 2 12 3 7" xfId="19942" xr:uid="{00000000-0005-0000-0000-0000E64D0000}"/>
    <cellStyle name="Normal 2 2 2 4 2 12 3 8" xfId="19943" xr:uid="{00000000-0005-0000-0000-0000E74D0000}"/>
    <cellStyle name="Normal 2 2 2 4 2 12 3 9" xfId="19944" xr:uid="{00000000-0005-0000-0000-0000E84D0000}"/>
    <cellStyle name="Normal 2 2 2 4 2 12 4" xfId="19945" xr:uid="{00000000-0005-0000-0000-0000E94D0000}"/>
    <cellStyle name="Normal 2 2 2 4 2 12 4 10" xfId="19946" xr:uid="{00000000-0005-0000-0000-0000EA4D0000}"/>
    <cellStyle name="Normal 2 2 2 4 2 12 4 2" xfId="19947" xr:uid="{00000000-0005-0000-0000-0000EB4D0000}"/>
    <cellStyle name="Normal 2 2 2 4 2 12 4 3" xfId="19948" xr:uid="{00000000-0005-0000-0000-0000EC4D0000}"/>
    <cellStyle name="Normal 2 2 2 4 2 12 4 4" xfId="19949" xr:uid="{00000000-0005-0000-0000-0000ED4D0000}"/>
    <cellStyle name="Normal 2 2 2 4 2 12 4 5" xfId="19950" xr:uid="{00000000-0005-0000-0000-0000EE4D0000}"/>
    <cellStyle name="Normal 2 2 2 4 2 12 4 6" xfId="19951" xr:uid="{00000000-0005-0000-0000-0000EF4D0000}"/>
    <cellStyle name="Normal 2 2 2 4 2 12 4 7" xfId="19952" xr:uid="{00000000-0005-0000-0000-0000F04D0000}"/>
    <cellStyle name="Normal 2 2 2 4 2 12 4 8" xfId="19953" xr:uid="{00000000-0005-0000-0000-0000F14D0000}"/>
    <cellStyle name="Normal 2 2 2 4 2 12 4 9" xfId="19954" xr:uid="{00000000-0005-0000-0000-0000F24D0000}"/>
    <cellStyle name="Normal 2 2 2 4 2 12 5" xfId="19955" xr:uid="{00000000-0005-0000-0000-0000F34D0000}"/>
    <cellStyle name="Normal 2 2 2 4 2 12 5 10" xfId="19956" xr:uid="{00000000-0005-0000-0000-0000F44D0000}"/>
    <cellStyle name="Normal 2 2 2 4 2 12 5 2" xfId="19957" xr:uid="{00000000-0005-0000-0000-0000F54D0000}"/>
    <cellStyle name="Normal 2 2 2 4 2 12 5 3" xfId="19958" xr:uid="{00000000-0005-0000-0000-0000F64D0000}"/>
    <cellStyle name="Normal 2 2 2 4 2 12 5 4" xfId="19959" xr:uid="{00000000-0005-0000-0000-0000F74D0000}"/>
    <cellStyle name="Normal 2 2 2 4 2 12 5 5" xfId="19960" xr:uid="{00000000-0005-0000-0000-0000F84D0000}"/>
    <cellStyle name="Normal 2 2 2 4 2 12 5 6" xfId="19961" xr:uid="{00000000-0005-0000-0000-0000F94D0000}"/>
    <cellStyle name="Normal 2 2 2 4 2 12 5 7" xfId="19962" xr:uid="{00000000-0005-0000-0000-0000FA4D0000}"/>
    <cellStyle name="Normal 2 2 2 4 2 12 5 8" xfId="19963" xr:uid="{00000000-0005-0000-0000-0000FB4D0000}"/>
    <cellStyle name="Normal 2 2 2 4 2 12 5 9" xfId="19964" xr:uid="{00000000-0005-0000-0000-0000FC4D0000}"/>
    <cellStyle name="Normal 2 2 2 4 2 12 6" xfId="19965" xr:uid="{00000000-0005-0000-0000-0000FD4D0000}"/>
    <cellStyle name="Normal 2 2 2 4 2 12 7" xfId="19966" xr:uid="{00000000-0005-0000-0000-0000FE4D0000}"/>
    <cellStyle name="Normal 2 2 2 4 2 12 8" xfId="19967" xr:uid="{00000000-0005-0000-0000-0000FF4D0000}"/>
    <cellStyle name="Normal 2 2 2 4 2 12 9" xfId="19968" xr:uid="{00000000-0005-0000-0000-0000004E0000}"/>
    <cellStyle name="Normal 2 2 2 4 2 13" xfId="19969" xr:uid="{00000000-0005-0000-0000-0000014E0000}"/>
    <cellStyle name="Normal 2 2 2 4 2 13 10" xfId="19970" xr:uid="{00000000-0005-0000-0000-0000024E0000}"/>
    <cellStyle name="Normal 2 2 2 4 2 13 11" xfId="19971" xr:uid="{00000000-0005-0000-0000-0000034E0000}"/>
    <cellStyle name="Normal 2 2 2 4 2 13 12" xfId="19972" xr:uid="{00000000-0005-0000-0000-0000044E0000}"/>
    <cellStyle name="Normal 2 2 2 4 2 13 13" xfId="19973" xr:uid="{00000000-0005-0000-0000-0000054E0000}"/>
    <cellStyle name="Normal 2 2 2 4 2 13 14" xfId="19974" xr:uid="{00000000-0005-0000-0000-0000064E0000}"/>
    <cellStyle name="Normal 2 2 2 4 2 13 2" xfId="19975" xr:uid="{00000000-0005-0000-0000-0000074E0000}"/>
    <cellStyle name="Normal 2 2 2 4 2 13 2 10" xfId="19976" xr:uid="{00000000-0005-0000-0000-0000084E0000}"/>
    <cellStyle name="Normal 2 2 2 4 2 13 2 2" xfId="19977" xr:uid="{00000000-0005-0000-0000-0000094E0000}"/>
    <cellStyle name="Normal 2 2 2 4 2 13 2 3" xfId="19978" xr:uid="{00000000-0005-0000-0000-00000A4E0000}"/>
    <cellStyle name="Normal 2 2 2 4 2 13 2 4" xfId="19979" xr:uid="{00000000-0005-0000-0000-00000B4E0000}"/>
    <cellStyle name="Normal 2 2 2 4 2 13 2 5" xfId="19980" xr:uid="{00000000-0005-0000-0000-00000C4E0000}"/>
    <cellStyle name="Normal 2 2 2 4 2 13 2 6" xfId="19981" xr:uid="{00000000-0005-0000-0000-00000D4E0000}"/>
    <cellStyle name="Normal 2 2 2 4 2 13 2 7" xfId="19982" xr:uid="{00000000-0005-0000-0000-00000E4E0000}"/>
    <cellStyle name="Normal 2 2 2 4 2 13 2 8" xfId="19983" xr:uid="{00000000-0005-0000-0000-00000F4E0000}"/>
    <cellStyle name="Normal 2 2 2 4 2 13 2 9" xfId="19984" xr:uid="{00000000-0005-0000-0000-0000104E0000}"/>
    <cellStyle name="Normal 2 2 2 4 2 13 3" xfId="19985" xr:uid="{00000000-0005-0000-0000-0000114E0000}"/>
    <cellStyle name="Normal 2 2 2 4 2 13 3 10" xfId="19986" xr:uid="{00000000-0005-0000-0000-0000124E0000}"/>
    <cellStyle name="Normal 2 2 2 4 2 13 3 2" xfId="19987" xr:uid="{00000000-0005-0000-0000-0000134E0000}"/>
    <cellStyle name="Normal 2 2 2 4 2 13 3 3" xfId="19988" xr:uid="{00000000-0005-0000-0000-0000144E0000}"/>
    <cellStyle name="Normal 2 2 2 4 2 13 3 4" xfId="19989" xr:uid="{00000000-0005-0000-0000-0000154E0000}"/>
    <cellStyle name="Normal 2 2 2 4 2 13 3 5" xfId="19990" xr:uid="{00000000-0005-0000-0000-0000164E0000}"/>
    <cellStyle name="Normal 2 2 2 4 2 13 3 6" xfId="19991" xr:uid="{00000000-0005-0000-0000-0000174E0000}"/>
    <cellStyle name="Normal 2 2 2 4 2 13 3 7" xfId="19992" xr:uid="{00000000-0005-0000-0000-0000184E0000}"/>
    <cellStyle name="Normal 2 2 2 4 2 13 3 8" xfId="19993" xr:uid="{00000000-0005-0000-0000-0000194E0000}"/>
    <cellStyle name="Normal 2 2 2 4 2 13 3 9" xfId="19994" xr:uid="{00000000-0005-0000-0000-00001A4E0000}"/>
    <cellStyle name="Normal 2 2 2 4 2 13 4" xfId="19995" xr:uid="{00000000-0005-0000-0000-00001B4E0000}"/>
    <cellStyle name="Normal 2 2 2 4 2 13 4 10" xfId="19996" xr:uid="{00000000-0005-0000-0000-00001C4E0000}"/>
    <cellStyle name="Normal 2 2 2 4 2 13 4 2" xfId="19997" xr:uid="{00000000-0005-0000-0000-00001D4E0000}"/>
    <cellStyle name="Normal 2 2 2 4 2 13 4 3" xfId="19998" xr:uid="{00000000-0005-0000-0000-00001E4E0000}"/>
    <cellStyle name="Normal 2 2 2 4 2 13 4 4" xfId="19999" xr:uid="{00000000-0005-0000-0000-00001F4E0000}"/>
    <cellStyle name="Normal 2 2 2 4 2 13 4 5" xfId="20000" xr:uid="{00000000-0005-0000-0000-0000204E0000}"/>
    <cellStyle name="Normal 2 2 2 4 2 13 4 6" xfId="20001" xr:uid="{00000000-0005-0000-0000-0000214E0000}"/>
    <cellStyle name="Normal 2 2 2 4 2 13 4 7" xfId="20002" xr:uid="{00000000-0005-0000-0000-0000224E0000}"/>
    <cellStyle name="Normal 2 2 2 4 2 13 4 8" xfId="20003" xr:uid="{00000000-0005-0000-0000-0000234E0000}"/>
    <cellStyle name="Normal 2 2 2 4 2 13 4 9" xfId="20004" xr:uid="{00000000-0005-0000-0000-0000244E0000}"/>
    <cellStyle name="Normal 2 2 2 4 2 13 5" xfId="20005" xr:uid="{00000000-0005-0000-0000-0000254E0000}"/>
    <cellStyle name="Normal 2 2 2 4 2 13 5 10" xfId="20006" xr:uid="{00000000-0005-0000-0000-0000264E0000}"/>
    <cellStyle name="Normal 2 2 2 4 2 13 5 2" xfId="20007" xr:uid="{00000000-0005-0000-0000-0000274E0000}"/>
    <cellStyle name="Normal 2 2 2 4 2 13 5 3" xfId="20008" xr:uid="{00000000-0005-0000-0000-0000284E0000}"/>
    <cellStyle name="Normal 2 2 2 4 2 13 5 4" xfId="20009" xr:uid="{00000000-0005-0000-0000-0000294E0000}"/>
    <cellStyle name="Normal 2 2 2 4 2 13 5 5" xfId="20010" xr:uid="{00000000-0005-0000-0000-00002A4E0000}"/>
    <cellStyle name="Normal 2 2 2 4 2 13 5 6" xfId="20011" xr:uid="{00000000-0005-0000-0000-00002B4E0000}"/>
    <cellStyle name="Normal 2 2 2 4 2 13 5 7" xfId="20012" xr:uid="{00000000-0005-0000-0000-00002C4E0000}"/>
    <cellStyle name="Normal 2 2 2 4 2 13 5 8" xfId="20013" xr:uid="{00000000-0005-0000-0000-00002D4E0000}"/>
    <cellStyle name="Normal 2 2 2 4 2 13 5 9" xfId="20014" xr:uid="{00000000-0005-0000-0000-00002E4E0000}"/>
    <cellStyle name="Normal 2 2 2 4 2 13 6" xfId="20015" xr:uid="{00000000-0005-0000-0000-00002F4E0000}"/>
    <cellStyle name="Normal 2 2 2 4 2 13 7" xfId="20016" xr:uid="{00000000-0005-0000-0000-0000304E0000}"/>
    <cellStyle name="Normal 2 2 2 4 2 13 8" xfId="20017" xr:uid="{00000000-0005-0000-0000-0000314E0000}"/>
    <cellStyle name="Normal 2 2 2 4 2 13 9" xfId="20018" xr:uid="{00000000-0005-0000-0000-0000324E0000}"/>
    <cellStyle name="Normal 2 2 2 4 2 14" xfId="20019" xr:uid="{00000000-0005-0000-0000-0000334E0000}"/>
    <cellStyle name="Normal 2 2 2 4 2 14 10" xfId="20020" xr:uid="{00000000-0005-0000-0000-0000344E0000}"/>
    <cellStyle name="Normal 2 2 2 4 2 14 11" xfId="20021" xr:uid="{00000000-0005-0000-0000-0000354E0000}"/>
    <cellStyle name="Normal 2 2 2 4 2 14 12" xfId="20022" xr:uid="{00000000-0005-0000-0000-0000364E0000}"/>
    <cellStyle name="Normal 2 2 2 4 2 14 13" xfId="20023" xr:uid="{00000000-0005-0000-0000-0000374E0000}"/>
    <cellStyle name="Normal 2 2 2 4 2 14 14" xfId="20024" xr:uid="{00000000-0005-0000-0000-0000384E0000}"/>
    <cellStyle name="Normal 2 2 2 4 2 14 2" xfId="20025" xr:uid="{00000000-0005-0000-0000-0000394E0000}"/>
    <cellStyle name="Normal 2 2 2 4 2 14 2 10" xfId="20026" xr:uid="{00000000-0005-0000-0000-00003A4E0000}"/>
    <cellStyle name="Normal 2 2 2 4 2 14 2 2" xfId="20027" xr:uid="{00000000-0005-0000-0000-00003B4E0000}"/>
    <cellStyle name="Normal 2 2 2 4 2 14 2 3" xfId="20028" xr:uid="{00000000-0005-0000-0000-00003C4E0000}"/>
    <cellStyle name="Normal 2 2 2 4 2 14 2 4" xfId="20029" xr:uid="{00000000-0005-0000-0000-00003D4E0000}"/>
    <cellStyle name="Normal 2 2 2 4 2 14 2 5" xfId="20030" xr:uid="{00000000-0005-0000-0000-00003E4E0000}"/>
    <cellStyle name="Normal 2 2 2 4 2 14 2 6" xfId="20031" xr:uid="{00000000-0005-0000-0000-00003F4E0000}"/>
    <cellStyle name="Normal 2 2 2 4 2 14 2 7" xfId="20032" xr:uid="{00000000-0005-0000-0000-0000404E0000}"/>
    <cellStyle name="Normal 2 2 2 4 2 14 2 8" xfId="20033" xr:uid="{00000000-0005-0000-0000-0000414E0000}"/>
    <cellStyle name="Normal 2 2 2 4 2 14 2 9" xfId="20034" xr:uid="{00000000-0005-0000-0000-0000424E0000}"/>
    <cellStyle name="Normal 2 2 2 4 2 14 3" xfId="20035" xr:uid="{00000000-0005-0000-0000-0000434E0000}"/>
    <cellStyle name="Normal 2 2 2 4 2 14 3 10" xfId="20036" xr:uid="{00000000-0005-0000-0000-0000444E0000}"/>
    <cellStyle name="Normal 2 2 2 4 2 14 3 2" xfId="20037" xr:uid="{00000000-0005-0000-0000-0000454E0000}"/>
    <cellStyle name="Normal 2 2 2 4 2 14 3 3" xfId="20038" xr:uid="{00000000-0005-0000-0000-0000464E0000}"/>
    <cellStyle name="Normal 2 2 2 4 2 14 3 4" xfId="20039" xr:uid="{00000000-0005-0000-0000-0000474E0000}"/>
    <cellStyle name="Normal 2 2 2 4 2 14 3 5" xfId="20040" xr:uid="{00000000-0005-0000-0000-0000484E0000}"/>
    <cellStyle name="Normal 2 2 2 4 2 14 3 6" xfId="20041" xr:uid="{00000000-0005-0000-0000-0000494E0000}"/>
    <cellStyle name="Normal 2 2 2 4 2 14 3 7" xfId="20042" xr:uid="{00000000-0005-0000-0000-00004A4E0000}"/>
    <cellStyle name="Normal 2 2 2 4 2 14 3 8" xfId="20043" xr:uid="{00000000-0005-0000-0000-00004B4E0000}"/>
    <cellStyle name="Normal 2 2 2 4 2 14 3 9" xfId="20044" xr:uid="{00000000-0005-0000-0000-00004C4E0000}"/>
    <cellStyle name="Normal 2 2 2 4 2 14 4" xfId="20045" xr:uid="{00000000-0005-0000-0000-00004D4E0000}"/>
    <cellStyle name="Normal 2 2 2 4 2 14 4 10" xfId="20046" xr:uid="{00000000-0005-0000-0000-00004E4E0000}"/>
    <cellStyle name="Normal 2 2 2 4 2 14 4 2" xfId="20047" xr:uid="{00000000-0005-0000-0000-00004F4E0000}"/>
    <cellStyle name="Normal 2 2 2 4 2 14 4 3" xfId="20048" xr:uid="{00000000-0005-0000-0000-0000504E0000}"/>
    <cellStyle name="Normal 2 2 2 4 2 14 4 4" xfId="20049" xr:uid="{00000000-0005-0000-0000-0000514E0000}"/>
    <cellStyle name="Normal 2 2 2 4 2 14 4 5" xfId="20050" xr:uid="{00000000-0005-0000-0000-0000524E0000}"/>
    <cellStyle name="Normal 2 2 2 4 2 14 4 6" xfId="20051" xr:uid="{00000000-0005-0000-0000-0000534E0000}"/>
    <cellStyle name="Normal 2 2 2 4 2 14 4 7" xfId="20052" xr:uid="{00000000-0005-0000-0000-0000544E0000}"/>
    <cellStyle name="Normal 2 2 2 4 2 14 4 8" xfId="20053" xr:uid="{00000000-0005-0000-0000-0000554E0000}"/>
    <cellStyle name="Normal 2 2 2 4 2 14 4 9" xfId="20054" xr:uid="{00000000-0005-0000-0000-0000564E0000}"/>
    <cellStyle name="Normal 2 2 2 4 2 14 5" xfId="20055" xr:uid="{00000000-0005-0000-0000-0000574E0000}"/>
    <cellStyle name="Normal 2 2 2 4 2 14 5 10" xfId="20056" xr:uid="{00000000-0005-0000-0000-0000584E0000}"/>
    <cellStyle name="Normal 2 2 2 4 2 14 5 2" xfId="20057" xr:uid="{00000000-0005-0000-0000-0000594E0000}"/>
    <cellStyle name="Normal 2 2 2 4 2 14 5 3" xfId="20058" xr:uid="{00000000-0005-0000-0000-00005A4E0000}"/>
    <cellStyle name="Normal 2 2 2 4 2 14 5 4" xfId="20059" xr:uid="{00000000-0005-0000-0000-00005B4E0000}"/>
    <cellStyle name="Normal 2 2 2 4 2 14 5 5" xfId="20060" xr:uid="{00000000-0005-0000-0000-00005C4E0000}"/>
    <cellStyle name="Normal 2 2 2 4 2 14 5 6" xfId="20061" xr:uid="{00000000-0005-0000-0000-00005D4E0000}"/>
    <cellStyle name="Normal 2 2 2 4 2 14 5 7" xfId="20062" xr:uid="{00000000-0005-0000-0000-00005E4E0000}"/>
    <cellStyle name="Normal 2 2 2 4 2 14 5 8" xfId="20063" xr:uid="{00000000-0005-0000-0000-00005F4E0000}"/>
    <cellStyle name="Normal 2 2 2 4 2 14 5 9" xfId="20064" xr:uid="{00000000-0005-0000-0000-0000604E0000}"/>
    <cellStyle name="Normal 2 2 2 4 2 14 6" xfId="20065" xr:uid="{00000000-0005-0000-0000-0000614E0000}"/>
    <cellStyle name="Normal 2 2 2 4 2 14 7" xfId="20066" xr:uid="{00000000-0005-0000-0000-0000624E0000}"/>
    <cellStyle name="Normal 2 2 2 4 2 14 8" xfId="20067" xr:uid="{00000000-0005-0000-0000-0000634E0000}"/>
    <cellStyle name="Normal 2 2 2 4 2 14 9" xfId="20068" xr:uid="{00000000-0005-0000-0000-0000644E0000}"/>
    <cellStyle name="Normal 2 2 2 4 2 15" xfId="20069" xr:uid="{00000000-0005-0000-0000-0000654E0000}"/>
    <cellStyle name="Normal 2 2 2 4 2 15 10" xfId="20070" xr:uid="{00000000-0005-0000-0000-0000664E0000}"/>
    <cellStyle name="Normal 2 2 2 4 2 15 11" xfId="20071" xr:uid="{00000000-0005-0000-0000-0000674E0000}"/>
    <cellStyle name="Normal 2 2 2 4 2 15 12" xfId="20072" xr:uid="{00000000-0005-0000-0000-0000684E0000}"/>
    <cellStyle name="Normal 2 2 2 4 2 15 13" xfId="20073" xr:uid="{00000000-0005-0000-0000-0000694E0000}"/>
    <cellStyle name="Normal 2 2 2 4 2 15 14" xfId="20074" xr:uid="{00000000-0005-0000-0000-00006A4E0000}"/>
    <cellStyle name="Normal 2 2 2 4 2 15 2" xfId="20075" xr:uid="{00000000-0005-0000-0000-00006B4E0000}"/>
    <cellStyle name="Normal 2 2 2 4 2 15 2 10" xfId="20076" xr:uid="{00000000-0005-0000-0000-00006C4E0000}"/>
    <cellStyle name="Normal 2 2 2 4 2 15 2 2" xfId="20077" xr:uid="{00000000-0005-0000-0000-00006D4E0000}"/>
    <cellStyle name="Normal 2 2 2 4 2 15 2 3" xfId="20078" xr:uid="{00000000-0005-0000-0000-00006E4E0000}"/>
    <cellStyle name="Normal 2 2 2 4 2 15 2 4" xfId="20079" xr:uid="{00000000-0005-0000-0000-00006F4E0000}"/>
    <cellStyle name="Normal 2 2 2 4 2 15 2 5" xfId="20080" xr:uid="{00000000-0005-0000-0000-0000704E0000}"/>
    <cellStyle name="Normal 2 2 2 4 2 15 2 6" xfId="20081" xr:uid="{00000000-0005-0000-0000-0000714E0000}"/>
    <cellStyle name="Normal 2 2 2 4 2 15 2 7" xfId="20082" xr:uid="{00000000-0005-0000-0000-0000724E0000}"/>
    <cellStyle name="Normal 2 2 2 4 2 15 2 8" xfId="20083" xr:uid="{00000000-0005-0000-0000-0000734E0000}"/>
    <cellStyle name="Normal 2 2 2 4 2 15 2 9" xfId="20084" xr:uid="{00000000-0005-0000-0000-0000744E0000}"/>
    <cellStyle name="Normal 2 2 2 4 2 15 3" xfId="20085" xr:uid="{00000000-0005-0000-0000-0000754E0000}"/>
    <cellStyle name="Normal 2 2 2 4 2 15 3 10" xfId="20086" xr:uid="{00000000-0005-0000-0000-0000764E0000}"/>
    <cellStyle name="Normal 2 2 2 4 2 15 3 2" xfId="20087" xr:uid="{00000000-0005-0000-0000-0000774E0000}"/>
    <cellStyle name="Normal 2 2 2 4 2 15 3 3" xfId="20088" xr:uid="{00000000-0005-0000-0000-0000784E0000}"/>
    <cellStyle name="Normal 2 2 2 4 2 15 3 4" xfId="20089" xr:uid="{00000000-0005-0000-0000-0000794E0000}"/>
    <cellStyle name="Normal 2 2 2 4 2 15 3 5" xfId="20090" xr:uid="{00000000-0005-0000-0000-00007A4E0000}"/>
    <cellStyle name="Normal 2 2 2 4 2 15 3 6" xfId="20091" xr:uid="{00000000-0005-0000-0000-00007B4E0000}"/>
    <cellStyle name="Normal 2 2 2 4 2 15 3 7" xfId="20092" xr:uid="{00000000-0005-0000-0000-00007C4E0000}"/>
    <cellStyle name="Normal 2 2 2 4 2 15 3 8" xfId="20093" xr:uid="{00000000-0005-0000-0000-00007D4E0000}"/>
    <cellStyle name="Normal 2 2 2 4 2 15 3 9" xfId="20094" xr:uid="{00000000-0005-0000-0000-00007E4E0000}"/>
    <cellStyle name="Normal 2 2 2 4 2 15 4" xfId="20095" xr:uid="{00000000-0005-0000-0000-00007F4E0000}"/>
    <cellStyle name="Normal 2 2 2 4 2 15 4 10" xfId="20096" xr:uid="{00000000-0005-0000-0000-0000804E0000}"/>
    <cellStyle name="Normal 2 2 2 4 2 15 4 2" xfId="20097" xr:uid="{00000000-0005-0000-0000-0000814E0000}"/>
    <cellStyle name="Normal 2 2 2 4 2 15 4 3" xfId="20098" xr:uid="{00000000-0005-0000-0000-0000824E0000}"/>
    <cellStyle name="Normal 2 2 2 4 2 15 4 4" xfId="20099" xr:uid="{00000000-0005-0000-0000-0000834E0000}"/>
    <cellStyle name="Normal 2 2 2 4 2 15 4 5" xfId="20100" xr:uid="{00000000-0005-0000-0000-0000844E0000}"/>
    <cellStyle name="Normal 2 2 2 4 2 15 4 6" xfId="20101" xr:uid="{00000000-0005-0000-0000-0000854E0000}"/>
    <cellStyle name="Normal 2 2 2 4 2 15 4 7" xfId="20102" xr:uid="{00000000-0005-0000-0000-0000864E0000}"/>
    <cellStyle name="Normal 2 2 2 4 2 15 4 8" xfId="20103" xr:uid="{00000000-0005-0000-0000-0000874E0000}"/>
    <cellStyle name="Normal 2 2 2 4 2 15 4 9" xfId="20104" xr:uid="{00000000-0005-0000-0000-0000884E0000}"/>
    <cellStyle name="Normal 2 2 2 4 2 15 5" xfId="20105" xr:uid="{00000000-0005-0000-0000-0000894E0000}"/>
    <cellStyle name="Normal 2 2 2 4 2 15 5 10" xfId="20106" xr:uid="{00000000-0005-0000-0000-00008A4E0000}"/>
    <cellStyle name="Normal 2 2 2 4 2 15 5 2" xfId="20107" xr:uid="{00000000-0005-0000-0000-00008B4E0000}"/>
    <cellStyle name="Normal 2 2 2 4 2 15 5 3" xfId="20108" xr:uid="{00000000-0005-0000-0000-00008C4E0000}"/>
    <cellStyle name="Normal 2 2 2 4 2 15 5 4" xfId="20109" xr:uid="{00000000-0005-0000-0000-00008D4E0000}"/>
    <cellStyle name="Normal 2 2 2 4 2 15 5 5" xfId="20110" xr:uid="{00000000-0005-0000-0000-00008E4E0000}"/>
    <cellStyle name="Normal 2 2 2 4 2 15 5 6" xfId="20111" xr:uid="{00000000-0005-0000-0000-00008F4E0000}"/>
    <cellStyle name="Normal 2 2 2 4 2 15 5 7" xfId="20112" xr:uid="{00000000-0005-0000-0000-0000904E0000}"/>
    <cellStyle name="Normal 2 2 2 4 2 15 5 8" xfId="20113" xr:uid="{00000000-0005-0000-0000-0000914E0000}"/>
    <cellStyle name="Normal 2 2 2 4 2 15 5 9" xfId="20114" xr:uid="{00000000-0005-0000-0000-0000924E0000}"/>
    <cellStyle name="Normal 2 2 2 4 2 15 6" xfId="20115" xr:uid="{00000000-0005-0000-0000-0000934E0000}"/>
    <cellStyle name="Normal 2 2 2 4 2 15 7" xfId="20116" xr:uid="{00000000-0005-0000-0000-0000944E0000}"/>
    <cellStyle name="Normal 2 2 2 4 2 15 8" xfId="20117" xr:uid="{00000000-0005-0000-0000-0000954E0000}"/>
    <cellStyle name="Normal 2 2 2 4 2 15 9" xfId="20118" xr:uid="{00000000-0005-0000-0000-0000964E0000}"/>
    <cellStyle name="Normal 2 2 2 4 2 16" xfId="20119" xr:uid="{00000000-0005-0000-0000-0000974E0000}"/>
    <cellStyle name="Normal 2 2 2 4 2 16 10" xfId="20120" xr:uid="{00000000-0005-0000-0000-0000984E0000}"/>
    <cellStyle name="Normal 2 2 2 4 2 16 11" xfId="20121" xr:uid="{00000000-0005-0000-0000-0000994E0000}"/>
    <cellStyle name="Normal 2 2 2 4 2 16 12" xfId="20122" xr:uid="{00000000-0005-0000-0000-00009A4E0000}"/>
    <cellStyle name="Normal 2 2 2 4 2 16 13" xfId="20123" xr:uid="{00000000-0005-0000-0000-00009B4E0000}"/>
    <cellStyle name="Normal 2 2 2 4 2 16 14" xfId="20124" xr:uid="{00000000-0005-0000-0000-00009C4E0000}"/>
    <cellStyle name="Normal 2 2 2 4 2 16 2" xfId="20125" xr:uid="{00000000-0005-0000-0000-00009D4E0000}"/>
    <cellStyle name="Normal 2 2 2 4 2 16 2 10" xfId="20126" xr:uid="{00000000-0005-0000-0000-00009E4E0000}"/>
    <cellStyle name="Normal 2 2 2 4 2 16 2 2" xfId="20127" xr:uid="{00000000-0005-0000-0000-00009F4E0000}"/>
    <cellStyle name="Normal 2 2 2 4 2 16 2 3" xfId="20128" xr:uid="{00000000-0005-0000-0000-0000A04E0000}"/>
    <cellStyle name="Normal 2 2 2 4 2 16 2 4" xfId="20129" xr:uid="{00000000-0005-0000-0000-0000A14E0000}"/>
    <cellStyle name="Normal 2 2 2 4 2 16 2 5" xfId="20130" xr:uid="{00000000-0005-0000-0000-0000A24E0000}"/>
    <cellStyle name="Normal 2 2 2 4 2 16 2 6" xfId="20131" xr:uid="{00000000-0005-0000-0000-0000A34E0000}"/>
    <cellStyle name="Normal 2 2 2 4 2 16 2 7" xfId="20132" xr:uid="{00000000-0005-0000-0000-0000A44E0000}"/>
    <cellStyle name="Normal 2 2 2 4 2 16 2 8" xfId="20133" xr:uid="{00000000-0005-0000-0000-0000A54E0000}"/>
    <cellStyle name="Normal 2 2 2 4 2 16 2 9" xfId="20134" xr:uid="{00000000-0005-0000-0000-0000A64E0000}"/>
    <cellStyle name="Normal 2 2 2 4 2 16 3" xfId="20135" xr:uid="{00000000-0005-0000-0000-0000A74E0000}"/>
    <cellStyle name="Normal 2 2 2 4 2 16 3 10" xfId="20136" xr:uid="{00000000-0005-0000-0000-0000A84E0000}"/>
    <cellStyle name="Normal 2 2 2 4 2 16 3 2" xfId="20137" xr:uid="{00000000-0005-0000-0000-0000A94E0000}"/>
    <cellStyle name="Normal 2 2 2 4 2 16 3 3" xfId="20138" xr:uid="{00000000-0005-0000-0000-0000AA4E0000}"/>
    <cellStyle name="Normal 2 2 2 4 2 16 3 4" xfId="20139" xr:uid="{00000000-0005-0000-0000-0000AB4E0000}"/>
    <cellStyle name="Normal 2 2 2 4 2 16 3 5" xfId="20140" xr:uid="{00000000-0005-0000-0000-0000AC4E0000}"/>
    <cellStyle name="Normal 2 2 2 4 2 16 3 6" xfId="20141" xr:uid="{00000000-0005-0000-0000-0000AD4E0000}"/>
    <cellStyle name="Normal 2 2 2 4 2 16 3 7" xfId="20142" xr:uid="{00000000-0005-0000-0000-0000AE4E0000}"/>
    <cellStyle name="Normal 2 2 2 4 2 16 3 8" xfId="20143" xr:uid="{00000000-0005-0000-0000-0000AF4E0000}"/>
    <cellStyle name="Normal 2 2 2 4 2 16 3 9" xfId="20144" xr:uid="{00000000-0005-0000-0000-0000B04E0000}"/>
    <cellStyle name="Normal 2 2 2 4 2 16 4" xfId="20145" xr:uid="{00000000-0005-0000-0000-0000B14E0000}"/>
    <cellStyle name="Normal 2 2 2 4 2 16 4 10" xfId="20146" xr:uid="{00000000-0005-0000-0000-0000B24E0000}"/>
    <cellStyle name="Normal 2 2 2 4 2 16 4 2" xfId="20147" xr:uid="{00000000-0005-0000-0000-0000B34E0000}"/>
    <cellStyle name="Normal 2 2 2 4 2 16 4 3" xfId="20148" xr:uid="{00000000-0005-0000-0000-0000B44E0000}"/>
    <cellStyle name="Normal 2 2 2 4 2 16 4 4" xfId="20149" xr:uid="{00000000-0005-0000-0000-0000B54E0000}"/>
    <cellStyle name="Normal 2 2 2 4 2 16 4 5" xfId="20150" xr:uid="{00000000-0005-0000-0000-0000B64E0000}"/>
    <cellStyle name="Normal 2 2 2 4 2 16 4 6" xfId="20151" xr:uid="{00000000-0005-0000-0000-0000B74E0000}"/>
    <cellStyle name="Normal 2 2 2 4 2 16 4 7" xfId="20152" xr:uid="{00000000-0005-0000-0000-0000B84E0000}"/>
    <cellStyle name="Normal 2 2 2 4 2 16 4 8" xfId="20153" xr:uid="{00000000-0005-0000-0000-0000B94E0000}"/>
    <cellStyle name="Normal 2 2 2 4 2 16 4 9" xfId="20154" xr:uid="{00000000-0005-0000-0000-0000BA4E0000}"/>
    <cellStyle name="Normal 2 2 2 4 2 16 5" xfId="20155" xr:uid="{00000000-0005-0000-0000-0000BB4E0000}"/>
    <cellStyle name="Normal 2 2 2 4 2 16 5 10" xfId="20156" xr:uid="{00000000-0005-0000-0000-0000BC4E0000}"/>
    <cellStyle name="Normal 2 2 2 4 2 16 5 2" xfId="20157" xr:uid="{00000000-0005-0000-0000-0000BD4E0000}"/>
    <cellStyle name="Normal 2 2 2 4 2 16 5 3" xfId="20158" xr:uid="{00000000-0005-0000-0000-0000BE4E0000}"/>
    <cellStyle name="Normal 2 2 2 4 2 16 5 4" xfId="20159" xr:uid="{00000000-0005-0000-0000-0000BF4E0000}"/>
    <cellStyle name="Normal 2 2 2 4 2 16 5 5" xfId="20160" xr:uid="{00000000-0005-0000-0000-0000C04E0000}"/>
    <cellStyle name="Normal 2 2 2 4 2 16 5 6" xfId="20161" xr:uid="{00000000-0005-0000-0000-0000C14E0000}"/>
    <cellStyle name="Normal 2 2 2 4 2 16 5 7" xfId="20162" xr:uid="{00000000-0005-0000-0000-0000C24E0000}"/>
    <cellStyle name="Normal 2 2 2 4 2 16 5 8" xfId="20163" xr:uid="{00000000-0005-0000-0000-0000C34E0000}"/>
    <cellStyle name="Normal 2 2 2 4 2 16 5 9" xfId="20164" xr:uid="{00000000-0005-0000-0000-0000C44E0000}"/>
    <cellStyle name="Normal 2 2 2 4 2 16 6" xfId="20165" xr:uid="{00000000-0005-0000-0000-0000C54E0000}"/>
    <cellStyle name="Normal 2 2 2 4 2 16 7" xfId="20166" xr:uid="{00000000-0005-0000-0000-0000C64E0000}"/>
    <cellStyle name="Normal 2 2 2 4 2 16 8" xfId="20167" xr:uid="{00000000-0005-0000-0000-0000C74E0000}"/>
    <cellStyle name="Normal 2 2 2 4 2 16 9" xfId="20168" xr:uid="{00000000-0005-0000-0000-0000C84E0000}"/>
    <cellStyle name="Normal 2 2 2 4 2 17" xfId="20169" xr:uid="{00000000-0005-0000-0000-0000C94E0000}"/>
    <cellStyle name="Normal 2 2 2 4 2 17 10" xfId="20170" xr:uid="{00000000-0005-0000-0000-0000CA4E0000}"/>
    <cellStyle name="Normal 2 2 2 4 2 17 11" xfId="20171" xr:uid="{00000000-0005-0000-0000-0000CB4E0000}"/>
    <cellStyle name="Normal 2 2 2 4 2 17 12" xfId="20172" xr:uid="{00000000-0005-0000-0000-0000CC4E0000}"/>
    <cellStyle name="Normal 2 2 2 4 2 17 13" xfId="20173" xr:uid="{00000000-0005-0000-0000-0000CD4E0000}"/>
    <cellStyle name="Normal 2 2 2 4 2 17 14" xfId="20174" xr:uid="{00000000-0005-0000-0000-0000CE4E0000}"/>
    <cellStyle name="Normal 2 2 2 4 2 17 2" xfId="20175" xr:uid="{00000000-0005-0000-0000-0000CF4E0000}"/>
    <cellStyle name="Normal 2 2 2 4 2 17 2 10" xfId="20176" xr:uid="{00000000-0005-0000-0000-0000D04E0000}"/>
    <cellStyle name="Normal 2 2 2 4 2 17 2 2" xfId="20177" xr:uid="{00000000-0005-0000-0000-0000D14E0000}"/>
    <cellStyle name="Normal 2 2 2 4 2 17 2 3" xfId="20178" xr:uid="{00000000-0005-0000-0000-0000D24E0000}"/>
    <cellStyle name="Normal 2 2 2 4 2 17 2 4" xfId="20179" xr:uid="{00000000-0005-0000-0000-0000D34E0000}"/>
    <cellStyle name="Normal 2 2 2 4 2 17 2 5" xfId="20180" xr:uid="{00000000-0005-0000-0000-0000D44E0000}"/>
    <cellStyle name="Normal 2 2 2 4 2 17 2 6" xfId="20181" xr:uid="{00000000-0005-0000-0000-0000D54E0000}"/>
    <cellStyle name="Normal 2 2 2 4 2 17 2 7" xfId="20182" xr:uid="{00000000-0005-0000-0000-0000D64E0000}"/>
    <cellStyle name="Normal 2 2 2 4 2 17 2 8" xfId="20183" xr:uid="{00000000-0005-0000-0000-0000D74E0000}"/>
    <cellStyle name="Normal 2 2 2 4 2 17 2 9" xfId="20184" xr:uid="{00000000-0005-0000-0000-0000D84E0000}"/>
    <cellStyle name="Normal 2 2 2 4 2 17 3" xfId="20185" xr:uid="{00000000-0005-0000-0000-0000D94E0000}"/>
    <cellStyle name="Normal 2 2 2 4 2 17 3 10" xfId="20186" xr:uid="{00000000-0005-0000-0000-0000DA4E0000}"/>
    <cellStyle name="Normal 2 2 2 4 2 17 3 2" xfId="20187" xr:uid="{00000000-0005-0000-0000-0000DB4E0000}"/>
    <cellStyle name="Normal 2 2 2 4 2 17 3 3" xfId="20188" xr:uid="{00000000-0005-0000-0000-0000DC4E0000}"/>
    <cellStyle name="Normal 2 2 2 4 2 17 3 4" xfId="20189" xr:uid="{00000000-0005-0000-0000-0000DD4E0000}"/>
    <cellStyle name="Normal 2 2 2 4 2 17 3 5" xfId="20190" xr:uid="{00000000-0005-0000-0000-0000DE4E0000}"/>
    <cellStyle name="Normal 2 2 2 4 2 17 3 6" xfId="20191" xr:uid="{00000000-0005-0000-0000-0000DF4E0000}"/>
    <cellStyle name="Normal 2 2 2 4 2 17 3 7" xfId="20192" xr:uid="{00000000-0005-0000-0000-0000E04E0000}"/>
    <cellStyle name="Normal 2 2 2 4 2 17 3 8" xfId="20193" xr:uid="{00000000-0005-0000-0000-0000E14E0000}"/>
    <cellStyle name="Normal 2 2 2 4 2 17 3 9" xfId="20194" xr:uid="{00000000-0005-0000-0000-0000E24E0000}"/>
    <cellStyle name="Normal 2 2 2 4 2 17 4" xfId="20195" xr:uid="{00000000-0005-0000-0000-0000E34E0000}"/>
    <cellStyle name="Normal 2 2 2 4 2 17 4 10" xfId="20196" xr:uid="{00000000-0005-0000-0000-0000E44E0000}"/>
    <cellStyle name="Normal 2 2 2 4 2 17 4 2" xfId="20197" xr:uid="{00000000-0005-0000-0000-0000E54E0000}"/>
    <cellStyle name="Normal 2 2 2 4 2 17 4 3" xfId="20198" xr:uid="{00000000-0005-0000-0000-0000E64E0000}"/>
    <cellStyle name="Normal 2 2 2 4 2 17 4 4" xfId="20199" xr:uid="{00000000-0005-0000-0000-0000E74E0000}"/>
    <cellStyle name="Normal 2 2 2 4 2 17 4 5" xfId="20200" xr:uid="{00000000-0005-0000-0000-0000E84E0000}"/>
    <cellStyle name="Normal 2 2 2 4 2 17 4 6" xfId="20201" xr:uid="{00000000-0005-0000-0000-0000E94E0000}"/>
    <cellStyle name="Normal 2 2 2 4 2 17 4 7" xfId="20202" xr:uid="{00000000-0005-0000-0000-0000EA4E0000}"/>
    <cellStyle name="Normal 2 2 2 4 2 17 4 8" xfId="20203" xr:uid="{00000000-0005-0000-0000-0000EB4E0000}"/>
    <cellStyle name="Normal 2 2 2 4 2 17 4 9" xfId="20204" xr:uid="{00000000-0005-0000-0000-0000EC4E0000}"/>
    <cellStyle name="Normal 2 2 2 4 2 17 5" xfId="20205" xr:uid="{00000000-0005-0000-0000-0000ED4E0000}"/>
    <cellStyle name="Normal 2 2 2 4 2 17 5 10" xfId="20206" xr:uid="{00000000-0005-0000-0000-0000EE4E0000}"/>
    <cellStyle name="Normal 2 2 2 4 2 17 5 2" xfId="20207" xr:uid="{00000000-0005-0000-0000-0000EF4E0000}"/>
    <cellStyle name="Normal 2 2 2 4 2 17 5 3" xfId="20208" xr:uid="{00000000-0005-0000-0000-0000F04E0000}"/>
    <cellStyle name="Normal 2 2 2 4 2 17 5 4" xfId="20209" xr:uid="{00000000-0005-0000-0000-0000F14E0000}"/>
    <cellStyle name="Normal 2 2 2 4 2 17 5 5" xfId="20210" xr:uid="{00000000-0005-0000-0000-0000F24E0000}"/>
    <cellStyle name="Normal 2 2 2 4 2 17 5 6" xfId="20211" xr:uid="{00000000-0005-0000-0000-0000F34E0000}"/>
    <cellStyle name="Normal 2 2 2 4 2 17 5 7" xfId="20212" xr:uid="{00000000-0005-0000-0000-0000F44E0000}"/>
    <cellStyle name="Normal 2 2 2 4 2 17 5 8" xfId="20213" xr:uid="{00000000-0005-0000-0000-0000F54E0000}"/>
    <cellStyle name="Normal 2 2 2 4 2 17 5 9" xfId="20214" xr:uid="{00000000-0005-0000-0000-0000F64E0000}"/>
    <cellStyle name="Normal 2 2 2 4 2 17 6" xfId="20215" xr:uid="{00000000-0005-0000-0000-0000F74E0000}"/>
    <cellStyle name="Normal 2 2 2 4 2 17 7" xfId="20216" xr:uid="{00000000-0005-0000-0000-0000F84E0000}"/>
    <cellStyle name="Normal 2 2 2 4 2 17 8" xfId="20217" xr:uid="{00000000-0005-0000-0000-0000F94E0000}"/>
    <cellStyle name="Normal 2 2 2 4 2 17 9" xfId="20218" xr:uid="{00000000-0005-0000-0000-0000FA4E0000}"/>
    <cellStyle name="Normal 2 2 2 4 2 18" xfId="20219" xr:uid="{00000000-0005-0000-0000-0000FB4E0000}"/>
    <cellStyle name="Normal 2 2 2 4 2 18 10" xfId="20220" xr:uid="{00000000-0005-0000-0000-0000FC4E0000}"/>
    <cellStyle name="Normal 2 2 2 4 2 18 11" xfId="20221" xr:uid="{00000000-0005-0000-0000-0000FD4E0000}"/>
    <cellStyle name="Normal 2 2 2 4 2 18 12" xfId="20222" xr:uid="{00000000-0005-0000-0000-0000FE4E0000}"/>
    <cellStyle name="Normal 2 2 2 4 2 18 13" xfId="20223" xr:uid="{00000000-0005-0000-0000-0000FF4E0000}"/>
    <cellStyle name="Normal 2 2 2 4 2 18 14" xfId="20224" xr:uid="{00000000-0005-0000-0000-0000004F0000}"/>
    <cellStyle name="Normal 2 2 2 4 2 18 2" xfId="20225" xr:uid="{00000000-0005-0000-0000-0000014F0000}"/>
    <cellStyle name="Normal 2 2 2 4 2 18 2 10" xfId="20226" xr:uid="{00000000-0005-0000-0000-0000024F0000}"/>
    <cellStyle name="Normal 2 2 2 4 2 18 2 2" xfId="20227" xr:uid="{00000000-0005-0000-0000-0000034F0000}"/>
    <cellStyle name="Normal 2 2 2 4 2 18 2 3" xfId="20228" xr:uid="{00000000-0005-0000-0000-0000044F0000}"/>
    <cellStyle name="Normal 2 2 2 4 2 18 2 4" xfId="20229" xr:uid="{00000000-0005-0000-0000-0000054F0000}"/>
    <cellStyle name="Normal 2 2 2 4 2 18 2 5" xfId="20230" xr:uid="{00000000-0005-0000-0000-0000064F0000}"/>
    <cellStyle name="Normal 2 2 2 4 2 18 2 6" xfId="20231" xr:uid="{00000000-0005-0000-0000-0000074F0000}"/>
    <cellStyle name="Normal 2 2 2 4 2 18 2 7" xfId="20232" xr:uid="{00000000-0005-0000-0000-0000084F0000}"/>
    <cellStyle name="Normal 2 2 2 4 2 18 2 8" xfId="20233" xr:uid="{00000000-0005-0000-0000-0000094F0000}"/>
    <cellStyle name="Normal 2 2 2 4 2 18 2 9" xfId="20234" xr:uid="{00000000-0005-0000-0000-00000A4F0000}"/>
    <cellStyle name="Normal 2 2 2 4 2 18 3" xfId="20235" xr:uid="{00000000-0005-0000-0000-00000B4F0000}"/>
    <cellStyle name="Normal 2 2 2 4 2 18 3 10" xfId="20236" xr:uid="{00000000-0005-0000-0000-00000C4F0000}"/>
    <cellStyle name="Normal 2 2 2 4 2 18 3 2" xfId="20237" xr:uid="{00000000-0005-0000-0000-00000D4F0000}"/>
    <cellStyle name="Normal 2 2 2 4 2 18 3 3" xfId="20238" xr:uid="{00000000-0005-0000-0000-00000E4F0000}"/>
    <cellStyle name="Normal 2 2 2 4 2 18 3 4" xfId="20239" xr:uid="{00000000-0005-0000-0000-00000F4F0000}"/>
    <cellStyle name="Normal 2 2 2 4 2 18 3 5" xfId="20240" xr:uid="{00000000-0005-0000-0000-0000104F0000}"/>
    <cellStyle name="Normal 2 2 2 4 2 18 3 6" xfId="20241" xr:uid="{00000000-0005-0000-0000-0000114F0000}"/>
    <cellStyle name="Normal 2 2 2 4 2 18 3 7" xfId="20242" xr:uid="{00000000-0005-0000-0000-0000124F0000}"/>
    <cellStyle name="Normal 2 2 2 4 2 18 3 8" xfId="20243" xr:uid="{00000000-0005-0000-0000-0000134F0000}"/>
    <cellStyle name="Normal 2 2 2 4 2 18 3 9" xfId="20244" xr:uid="{00000000-0005-0000-0000-0000144F0000}"/>
    <cellStyle name="Normal 2 2 2 4 2 18 4" xfId="20245" xr:uid="{00000000-0005-0000-0000-0000154F0000}"/>
    <cellStyle name="Normal 2 2 2 4 2 18 4 10" xfId="20246" xr:uid="{00000000-0005-0000-0000-0000164F0000}"/>
    <cellStyle name="Normal 2 2 2 4 2 18 4 2" xfId="20247" xr:uid="{00000000-0005-0000-0000-0000174F0000}"/>
    <cellStyle name="Normal 2 2 2 4 2 18 4 3" xfId="20248" xr:uid="{00000000-0005-0000-0000-0000184F0000}"/>
    <cellStyle name="Normal 2 2 2 4 2 18 4 4" xfId="20249" xr:uid="{00000000-0005-0000-0000-0000194F0000}"/>
    <cellStyle name="Normal 2 2 2 4 2 18 4 5" xfId="20250" xr:uid="{00000000-0005-0000-0000-00001A4F0000}"/>
    <cellStyle name="Normal 2 2 2 4 2 18 4 6" xfId="20251" xr:uid="{00000000-0005-0000-0000-00001B4F0000}"/>
    <cellStyle name="Normal 2 2 2 4 2 18 4 7" xfId="20252" xr:uid="{00000000-0005-0000-0000-00001C4F0000}"/>
    <cellStyle name="Normal 2 2 2 4 2 18 4 8" xfId="20253" xr:uid="{00000000-0005-0000-0000-00001D4F0000}"/>
    <cellStyle name="Normal 2 2 2 4 2 18 4 9" xfId="20254" xr:uid="{00000000-0005-0000-0000-00001E4F0000}"/>
    <cellStyle name="Normal 2 2 2 4 2 18 5" xfId="20255" xr:uid="{00000000-0005-0000-0000-00001F4F0000}"/>
    <cellStyle name="Normal 2 2 2 4 2 18 5 10" xfId="20256" xr:uid="{00000000-0005-0000-0000-0000204F0000}"/>
    <cellStyle name="Normal 2 2 2 4 2 18 5 2" xfId="20257" xr:uid="{00000000-0005-0000-0000-0000214F0000}"/>
    <cellStyle name="Normal 2 2 2 4 2 18 5 3" xfId="20258" xr:uid="{00000000-0005-0000-0000-0000224F0000}"/>
    <cellStyle name="Normal 2 2 2 4 2 18 5 4" xfId="20259" xr:uid="{00000000-0005-0000-0000-0000234F0000}"/>
    <cellStyle name="Normal 2 2 2 4 2 18 5 5" xfId="20260" xr:uid="{00000000-0005-0000-0000-0000244F0000}"/>
    <cellStyle name="Normal 2 2 2 4 2 18 5 6" xfId="20261" xr:uid="{00000000-0005-0000-0000-0000254F0000}"/>
    <cellStyle name="Normal 2 2 2 4 2 18 5 7" xfId="20262" xr:uid="{00000000-0005-0000-0000-0000264F0000}"/>
    <cellStyle name="Normal 2 2 2 4 2 18 5 8" xfId="20263" xr:uid="{00000000-0005-0000-0000-0000274F0000}"/>
    <cellStyle name="Normal 2 2 2 4 2 18 5 9" xfId="20264" xr:uid="{00000000-0005-0000-0000-0000284F0000}"/>
    <cellStyle name="Normal 2 2 2 4 2 18 6" xfId="20265" xr:uid="{00000000-0005-0000-0000-0000294F0000}"/>
    <cellStyle name="Normal 2 2 2 4 2 18 7" xfId="20266" xr:uid="{00000000-0005-0000-0000-00002A4F0000}"/>
    <cellStyle name="Normal 2 2 2 4 2 18 8" xfId="20267" xr:uid="{00000000-0005-0000-0000-00002B4F0000}"/>
    <cellStyle name="Normal 2 2 2 4 2 18 9" xfId="20268" xr:uid="{00000000-0005-0000-0000-00002C4F0000}"/>
    <cellStyle name="Normal 2 2 2 4 2 19" xfId="20269" xr:uid="{00000000-0005-0000-0000-00002D4F0000}"/>
    <cellStyle name="Normal 2 2 2 4 2 19 10" xfId="20270" xr:uid="{00000000-0005-0000-0000-00002E4F0000}"/>
    <cellStyle name="Normal 2 2 2 4 2 19 11" xfId="20271" xr:uid="{00000000-0005-0000-0000-00002F4F0000}"/>
    <cellStyle name="Normal 2 2 2 4 2 19 12" xfId="20272" xr:uid="{00000000-0005-0000-0000-0000304F0000}"/>
    <cellStyle name="Normal 2 2 2 4 2 19 13" xfId="20273" xr:uid="{00000000-0005-0000-0000-0000314F0000}"/>
    <cellStyle name="Normal 2 2 2 4 2 19 14" xfId="20274" xr:uid="{00000000-0005-0000-0000-0000324F0000}"/>
    <cellStyle name="Normal 2 2 2 4 2 19 2" xfId="20275" xr:uid="{00000000-0005-0000-0000-0000334F0000}"/>
    <cellStyle name="Normal 2 2 2 4 2 19 2 10" xfId="20276" xr:uid="{00000000-0005-0000-0000-0000344F0000}"/>
    <cellStyle name="Normal 2 2 2 4 2 19 2 2" xfId="20277" xr:uid="{00000000-0005-0000-0000-0000354F0000}"/>
    <cellStyle name="Normal 2 2 2 4 2 19 2 3" xfId="20278" xr:uid="{00000000-0005-0000-0000-0000364F0000}"/>
    <cellStyle name="Normal 2 2 2 4 2 19 2 4" xfId="20279" xr:uid="{00000000-0005-0000-0000-0000374F0000}"/>
    <cellStyle name="Normal 2 2 2 4 2 19 2 5" xfId="20280" xr:uid="{00000000-0005-0000-0000-0000384F0000}"/>
    <cellStyle name="Normal 2 2 2 4 2 19 2 6" xfId="20281" xr:uid="{00000000-0005-0000-0000-0000394F0000}"/>
    <cellStyle name="Normal 2 2 2 4 2 19 2 7" xfId="20282" xr:uid="{00000000-0005-0000-0000-00003A4F0000}"/>
    <cellStyle name="Normal 2 2 2 4 2 19 2 8" xfId="20283" xr:uid="{00000000-0005-0000-0000-00003B4F0000}"/>
    <cellStyle name="Normal 2 2 2 4 2 19 2 9" xfId="20284" xr:uid="{00000000-0005-0000-0000-00003C4F0000}"/>
    <cellStyle name="Normal 2 2 2 4 2 19 3" xfId="20285" xr:uid="{00000000-0005-0000-0000-00003D4F0000}"/>
    <cellStyle name="Normal 2 2 2 4 2 19 3 10" xfId="20286" xr:uid="{00000000-0005-0000-0000-00003E4F0000}"/>
    <cellStyle name="Normal 2 2 2 4 2 19 3 2" xfId="20287" xr:uid="{00000000-0005-0000-0000-00003F4F0000}"/>
    <cellStyle name="Normal 2 2 2 4 2 19 3 3" xfId="20288" xr:uid="{00000000-0005-0000-0000-0000404F0000}"/>
    <cellStyle name="Normal 2 2 2 4 2 19 3 4" xfId="20289" xr:uid="{00000000-0005-0000-0000-0000414F0000}"/>
    <cellStyle name="Normal 2 2 2 4 2 19 3 5" xfId="20290" xr:uid="{00000000-0005-0000-0000-0000424F0000}"/>
    <cellStyle name="Normal 2 2 2 4 2 19 3 6" xfId="20291" xr:uid="{00000000-0005-0000-0000-0000434F0000}"/>
    <cellStyle name="Normal 2 2 2 4 2 19 3 7" xfId="20292" xr:uid="{00000000-0005-0000-0000-0000444F0000}"/>
    <cellStyle name="Normal 2 2 2 4 2 19 3 8" xfId="20293" xr:uid="{00000000-0005-0000-0000-0000454F0000}"/>
    <cellStyle name="Normal 2 2 2 4 2 19 3 9" xfId="20294" xr:uid="{00000000-0005-0000-0000-0000464F0000}"/>
    <cellStyle name="Normal 2 2 2 4 2 19 4" xfId="20295" xr:uid="{00000000-0005-0000-0000-0000474F0000}"/>
    <cellStyle name="Normal 2 2 2 4 2 19 4 10" xfId="20296" xr:uid="{00000000-0005-0000-0000-0000484F0000}"/>
    <cellStyle name="Normal 2 2 2 4 2 19 4 2" xfId="20297" xr:uid="{00000000-0005-0000-0000-0000494F0000}"/>
    <cellStyle name="Normal 2 2 2 4 2 19 4 3" xfId="20298" xr:uid="{00000000-0005-0000-0000-00004A4F0000}"/>
    <cellStyle name="Normal 2 2 2 4 2 19 4 4" xfId="20299" xr:uid="{00000000-0005-0000-0000-00004B4F0000}"/>
    <cellStyle name="Normal 2 2 2 4 2 19 4 5" xfId="20300" xr:uid="{00000000-0005-0000-0000-00004C4F0000}"/>
    <cellStyle name="Normal 2 2 2 4 2 19 4 6" xfId="20301" xr:uid="{00000000-0005-0000-0000-00004D4F0000}"/>
    <cellStyle name="Normal 2 2 2 4 2 19 4 7" xfId="20302" xr:uid="{00000000-0005-0000-0000-00004E4F0000}"/>
    <cellStyle name="Normal 2 2 2 4 2 19 4 8" xfId="20303" xr:uid="{00000000-0005-0000-0000-00004F4F0000}"/>
    <cellStyle name="Normal 2 2 2 4 2 19 4 9" xfId="20304" xr:uid="{00000000-0005-0000-0000-0000504F0000}"/>
    <cellStyle name="Normal 2 2 2 4 2 19 5" xfId="20305" xr:uid="{00000000-0005-0000-0000-0000514F0000}"/>
    <cellStyle name="Normal 2 2 2 4 2 19 5 10" xfId="20306" xr:uid="{00000000-0005-0000-0000-0000524F0000}"/>
    <cellStyle name="Normal 2 2 2 4 2 19 5 2" xfId="20307" xr:uid="{00000000-0005-0000-0000-0000534F0000}"/>
    <cellStyle name="Normal 2 2 2 4 2 19 5 3" xfId="20308" xr:uid="{00000000-0005-0000-0000-0000544F0000}"/>
    <cellStyle name="Normal 2 2 2 4 2 19 5 4" xfId="20309" xr:uid="{00000000-0005-0000-0000-0000554F0000}"/>
    <cellStyle name="Normal 2 2 2 4 2 19 5 5" xfId="20310" xr:uid="{00000000-0005-0000-0000-0000564F0000}"/>
    <cellStyle name="Normal 2 2 2 4 2 19 5 6" xfId="20311" xr:uid="{00000000-0005-0000-0000-0000574F0000}"/>
    <cellStyle name="Normal 2 2 2 4 2 19 5 7" xfId="20312" xr:uid="{00000000-0005-0000-0000-0000584F0000}"/>
    <cellStyle name="Normal 2 2 2 4 2 19 5 8" xfId="20313" xr:uid="{00000000-0005-0000-0000-0000594F0000}"/>
    <cellStyle name="Normal 2 2 2 4 2 19 5 9" xfId="20314" xr:uid="{00000000-0005-0000-0000-00005A4F0000}"/>
    <cellStyle name="Normal 2 2 2 4 2 19 6" xfId="20315" xr:uid="{00000000-0005-0000-0000-00005B4F0000}"/>
    <cellStyle name="Normal 2 2 2 4 2 19 7" xfId="20316" xr:uid="{00000000-0005-0000-0000-00005C4F0000}"/>
    <cellStyle name="Normal 2 2 2 4 2 19 8" xfId="20317" xr:uid="{00000000-0005-0000-0000-00005D4F0000}"/>
    <cellStyle name="Normal 2 2 2 4 2 19 9" xfId="20318" xr:uid="{00000000-0005-0000-0000-00005E4F0000}"/>
    <cellStyle name="Normal 2 2 2 4 2 2" xfId="20319" xr:uid="{00000000-0005-0000-0000-00005F4F0000}"/>
    <cellStyle name="Normal 2 2 2 4 2 2 10" xfId="20320" xr:uid="{00000000-0005-0000-0000-0000604F0000}"/>
    <cellStyle name="Normal 2 2 2 4 2 2 11" xfId="20321" xr:uid="{00000000-0005-0000-0000-0000614F0000}"/>
    <cellStyle name="Normal 2 2 2 4 2 2 12" xfId="20322" xr:uid="{00000000-0005-0000-0000-0000624F0000}"/>
    <cellStyle name="Normal 2 2 2 4 2 2 13" xfId="20323" xr:uid="{00000000-0005-0000-0000-0000634F0000}"/>
    <cellStyle name="Normal 2 2 2 4 2 2 14" xfId="20324" xr:uid="{00000000-0005-0000-0000-0000644F0000}"/>
    <cellStyle name="Normal 2 2 2 4 2 2 15" xfId="20325" xr:uid="{00000000-0005-0000-0000-0000654F0000}"/>
    <cellStyle name="Normal 2 2 2 4 2 2 16" xfId="20326" xr:uid="{00000000-0005-0000-0000-0000664F0000}"/>
    <cellStyle name="Normal 2 2 2 4 2 2 17" xfId="20327" xr:uid="{00000000-0005-0000-0000-0000674F0000}"/>
    <cellStyle name="Normal 2 2 2 4 2 2 18" xfId="20328" xr:uid="{00000000-0005-0000-0000-0000684F0000}"/>
    <cellStyle name="Normal 2 2 2 4 2 2 19" xfId="20329" xr:uid="{00000000-0005-0000-0000-0000694F0000}"/>
    <cellStyle name="Normal 2 2 2 4 2 2 2" xfId="20330" xr:uid="{00000000-0005-0000-0000-00006A4F0000}"/>
    <cellStyle name="Normal 2 2 2 4 2 2 20" xfId="20331" xr:uid="{00000000-0005-0000-0000-00006B4F0000}"/>
    <cellStyle name="Normal 2 2 2 4 2 2 21" xfId="20332" xr:uid="{00000000-0005-0000-0000-00006C4F0000}"/>
    <cellStyle name="Normal 2 2 2 4 2 2 21 10" xfId="20333" xr:uid="{00000000-0005-0000-0000-00006D4F0000}"/>
    <cellStyle name="Normal 2 2 2 4 2 2 21 2" xfId="20334" xr:uid="{00000000-0005-0000-0000-00006E4F0000}"/>
    <cellStyle name="Normal 2 2 2 4 2 2 21 3" xfId="20335" xr:uid="{00000000-0005-0000-0000-00006F4F0000}"/>
    <cellStyle name="Normal 2 2 2 4 2 2 21 4" xfId="20336" xr:uid="{00000000-0005-0000-0000-0000704F0000}"/>
    <cellStyle name="Normal 2 2 2 4 2 2 21 5" xfId="20337" xr:uid="{00000000-0005-0000-0000-0000714F0000}"/>
    <cellStyle name="Normal 2 2 2 4 2 2 21 6" xfId="20338" xr:uid="{00000000-0005-0000-0000-0000724F0000}"/>
    <cellStyle name="Normal 2 2 2 4 2 2 21 7" xfId="20339" xr:uid="{00000000-0005-0000-0000-0000734F0000}"/>
    <cellStyle name="Normal 2 2 2 4 2 2 21 8" xfId="20340" xr:uid="{00000000-0005-0000-0000-0000744F0000}"/>
    <cellStyle name="Normal 2 2 2 4 2 2 21 9" xfId="20341" xr:uid="{00000000-0005-0000-0000-0000754F0000}"/>
    <cellStyle name="Normal 2 2 2 4 2 2 22" xfId="20342" xr:uid="{00000000-0005-0000-0000-0000764F0000}"/>
    <cellStyle name="Normal 2 2 2 4 2 2 22 10" xfId="20343" xr:uid="{00000000-0005-0000-0000-0000774F0000}"/>
    <cellStyle name="Normal 2 2 2 4 2 2 22 2" xfId="20344" xr:uid="{00000000-0005-0000-0000-0000784F0000}"/>
    <cellStyle name="Normal 2 2 2 4 2 2 22 3" xfId="20345" xr:uid="{00000000-0005-0000-0000-0000794F0000}"/>
    <cellStyle name="Normal 2 2 2 4 2 2 22 4" xfId="20346" xr:uid="{00000000-0005-0000-0000-00007A4F0000}"/>
    <cellStyle name="Normal 2 2 2 4 2 2 22 5" xfId="20347" xr:uid="{00000000-0005-0000-0000-00007B4F0000}"/>
    <cellStyle name="Normal 2 2 2 4 2 2 22 6" xfId="20348" xr:uid="{00000000-0005-0000-0000-00007C4F0000}"/>
    <cellStyle name="Normal 2 2 2 4 2 2 22 7" xfId="20349" xr:uid="{00000000-0005-0000-0000-00007D4F0000}"/>
    <cellStyle name="Normal 2 2 2 4 2 2 22 8" xfId="20350" xr:uid="{00000000-0005-0000-0000-00007E4F0000}"/>
    <cellStyle name="Normal 2 2 2 4 2 2 22 9" xfId="20351" xr:uid="{00000000-0005-0000-0000-00007F4F0000}"/>
    <cellStyle name="Normal 2 2 2 4 2 2 23" xfId="20352" xr:uid="{00000000-0005-0000-0000-0000804F0000}"/>
    <cellStyle name="Normal 2 2 2 4 2 2 23 10" xfId="20353" xr:uid="{00000000-0005-0000-0000-0000814F0000}"/>
    <cellStyle name="Normal 2 2 2 4 2 2 23 2" xfId="20354" xr:uid="{00000000-0005-0000-0000-0000824F0000}"/>
    <cellStyle name="Normal 2 2 2 4 2 2 23 3" xfId="20355" xr:uid="{00000000-0005-0000-0000-0000834F0000}"/>
    <cellStyle name="Normal 2 2 2 4 2 2 23 4" xfId="20356" xr:uid="{00000000-0005-0000-0000-0000844F0000}"/>
    <cellStyle name="Normal 2 2 2 4 2 2 23 5" xfId="20357" xr:uid="{00000000-0005-0000-0000-0000854F0000}"/>
    <cellStyle name="Normal 2 2 2 4 2 2 23 6" xfId="20358" xr:uid="{00000000-0005-0000-0000-0000864F0000}"/>
    <cellStyle name="Normal 2 2 2 4 2 2 23 7" xfId="20359" xr:uid="{00000000-0005-0000-0000-0000874F0000}"/>
    <cellStyle name="Normal 2 2 2 4 2 2 23 8" xfId="20360" xr:uid="{00000000-0005-0000-0000-0000884F0000}"/>
    <cellStyle name="Normal 2 2 2 4 2 2 23 9" xfId="20361" xr:uid="{00000000-0005-0000-0000-0000894F0000}"/>
    <cellStyle name="Normal 2 2 2 4 2 2 24" xfId="20362" xr:uid="{00000000-0005-0000-0000-00008A4F0000}"/>
    <cellStyle name="Normal 2 2 2 4 2 2 24 10" xfId="20363" xr:uid="{00000000-0005-0000-0000-00008B4F0000}"/>
    <cellStyle name="Normal 2 2 2 4 2 2 24 2" xfId="20364" xr:uid="{00000000-0005-0000-0000-00008C4F0000}"/>
    <cellStyle name="Normal 2 2 2 4 2 2 24 3" xfId="20365" xr:uid="{00000000-0005-0000-0000-00008D4F0000}"/>
    <cellStyle name="Normal 2 2 2 4 2 2 24 4" xfId="20366" xr:uid="{00000000-0005-0000-0000-00008E4F0000}"/>
    <cellStyle name="Normal 2 2 2 4 2 2 24 5" xfId="20367" xr:uid="{00000000-0005-0000-0000-00008F4F0000}"/>
    <cellStyle name="Normal 2 2 2 4 2 2 24 6" xfId="20368" xr:uid="{00000000-0005-0000-0000-0000904F0000}"/>
    <cellStyle name="Normal 2 2 2 4 2 2 24 7" xfId="20369" xr:uid="{00000000-0005-0000-0000-0000914F0000}"/>
    <cellStyle name="Normal 2 2 2 4 2 2 24 8" xfId="20370" xr:uid="{00000000-0005-0000-0000-0000924F0000}"/>
    <cellStyle name="Normal 2 2 2 4 2 2 24 9" xfId="20371" xr:uid="{00000000-0005-0000-0000-0000934F0000}"/>
    <cellStyle name="Normal 2 2 2 4 2 2 25" xfId="20372" xr:uid="{00000000-0005-0000-0000-0000944F0000}"/>
    <cellStyle name="Normal 2 2 2 4 2 2 26" xfId="20373" xr:uid="{00000000-0005-0000-0000-0000954F0000}"/>
    <cellStyle name="Normal 2 2 2 4 2 2 27" xfId="20374" xr:uid="{00000000-0005-0000-0000-0000964F0000}"/>
    <cellStyle name="Normal 2 2 2 4 2 2 28" xfId="20375" xr:uid="{00000000-0005-0000-0000-0000974F0000}"/>
    <cellStyle name="Normal 2 2 2 4 2 2 29" xfId="20376" xr:uid="{00000000-0005-0000-0000-0000984F0000}"/>
    <cellStyle name="Normal 2 2 2 4 2 2 3" xfId="20377" xr:uid="{00000000-0005-0000-0000-0000994F0000}"/>
    <cellStyle name="Normal 2 2 2 4 2 2 30" xfId="20378" xr:uid="{00000000-0005-0000-0000-00009A4F0000}"/>
    <cellStyle name="Normal 2 2 2 4 2 2 31" xfId="20379" xr:uid="{00000000-0005-0000-0000-00009B4F0000}"/>
    <cellStyle name="Normal 2 2 2 4 2 2 32" xfId="20380" xr:uid="{00000000-0005-0000-0000-00009C4F0000}"/>
    <cellStyle name="Normal 2 2 2 4 2 2 33" xfId="20381" xr:uid="{00000000-0005-0000-0000-00009D4F0000}"/>
    <cellStyle name="Normal 2 2 2 4 2 2 34" xfId="20382" xr:uid="{00000000-0005-0000-0000-00009E4F0000}"/>
    <cellStyle name="Normal 2 2 2 4 2 2 35" xfId="20383" xr:uid="{00000000-0005-0000-0000-00009F4F0000}"/>
    <cellStyle name="Normal 2 2 2 4 2 2 4" xfId="20384" xr:uid="{00000000-0005-0000-0000-0000A04F0000}"/>
    <cellStyle name="Normal 2 2 2 4 2 2 5" xfId="20385" xr:uid="{00000000-0005-0000-0000-0000A14F0000}"/>
    <cellStyle name="Normal 2 2 2 4 2 2 6" xfId="20386" xr:uid="{00000000-0005-0000-0000-0000A24F0000}"/>
    <cellStyle name="Normal 2 2 2 4 2 2 7" xfId="20387" xr:uid="{00000000-0005-0000-0000-0000A34F0000}"/>
    <cellStyle name="Normal 2 2 2 4 2 2 8" xfId="20388" xr:uid="{00000000-0005-0000-0000-0000A44F0000}"/>
    <cellStyle name="Normal 2 2 2 4 2 2 9" xfId="20389" xr:uid="{00000000-0005-0000-0000-0000A54F0000}"/>
    <cellStyle name="Normal 2 2 2 4 2 20" xfId="20390" xr:uid="{00000000-0005-0000-0000-0000A64F0000}"/>
    <cellStyle name="Normal 2 2 2 4 2 20 10" xfId="20391" xr:uid="{00000000-0005-0000-0000-0000A74F0000}"/>
    <cellStyle name="Normal 2 2 2 4 2 20 11" xfId="20392" xr:uid="{00000000-0005-0000-0000-0000A84F0000}"/>
    <cellStyle name="Normal 2 2 2 4 2 20 12" xfId="20393" xr:uid="{00000000-0005-0000-0000-0000A94F0000}"/>
    <cellStyle name="Normal 2 2 2 4 2 20 13" xfId="20394" xr:uid="{00000000-0005-0000-0000-0000AA4F0000}"/>
    <cellStyle name="Normal 2 2 2 4 2 20 14" xfId="20395" xr:uid="{00000000-0005-0000-0000-0000AB4F0000}"/>
    <cellStyle name="Normal 2 2 2 4 2 20 2" xfId="20396" xr:uid="{00000000-0005-0000-0000-0000AC4F0000}"/>
    <cellStyle name="Normal 2 2 2 4 2 20 2 10" xfId="20397" xr:uid="{00000000-0005-0000-0000-0000AD4F0000}"/>
    <cellStyle name="Normal 2 2 2 4 2 20 2 2" xfId="20398" xr:uid="{00000000-0005-0000-0000-0000AE4F0000}"/>
    <cellStyle name="Normal 2 2 2 4 2 20 2 3" xfId="20399" xr:uid="{00000000-0005-0000-0000-0000AF4F0000}"/>
    <cellStyle name="Normal 2 2 2 4 2 20 2 4" xfId="20400" xr:uid="{00000000-0005-0000-0000-0000B04F0000}"/>
    <cellStyle name="Normal 2 2 2 4 2 20 2 5" xfId="20401" xr:uid="{00000000-0005-0000-0000-0000B14F0000}"/>
    <cellStyle name="Normal 2 2 2 4 2 20 2 6" xfId="20402" xr:uid="{00000000-0005-0000-0000-0000B24F0000}"/>
    <cellStyle name="Normal 2 2 2 4 2 20 2 7" xfId="20403" xr:uid="{00000000-0005-0000-0000-0000B34F0000}"/>
    <cellStyle name="Normal 2 2 2 4 2 20 2 8" xfId="20404" xr:uid="{00000000-0005-0000-0000-0000B44F0000}"/>
    <cellStyle name="Normal 2 2 2 4 2 20 2 9" xfId="20405" xr:uid="{00000000-0005-0000-0000-0000B54F0000}"/>
    <cellStyle name="Normal 2 2 2 4 2 20 3" xfId="20406" xr:uid="{00000000-0005-0000-0000-0000B64F0000}"/>
    <cellStyle name="Normal 2 2 2 4 2 20 3 10" xfId="20407" xr:uid="{00000000-0005-0000-0000-0000B74F0000}"/>
    <cellStyle name="Normal 2 2 2 4 2 20 3 2" xfId="20408" xr:uid="{00000000-0005-0000-0000-0000B84F0000}"/>
    <cellStyle name="Normal 2 2 2 4 2 20 3 3" xfId="20409" xr:uid="{00000000-0005-0000-0000-0000B94F0000}"/>
    <cellStyle name="Normal 2 2 2 4 2 20 3 4" xfId="20410" xr:uid="{00000000-0005-0000-0000-0000BA4F0000}"/>
    <cellStyle name="Normal 2 2 2 4 2 20 3 5" xfId="20411" xr:uid="{00000000-0005-0000-0000-0000BB4F0000}"/>
    <cellStyle name="Normal 2 2 2 4 2 20 3 6" xfId="20412" xr:uid="{00000000-0005-0000-0000-0000BC4F0000}"/>
    <cellStyle name="Normal 2 2 2 4 2 20 3 7" xfId="20413" xr:uid="{00000000-0005-0000-0000-0000BD4F0000}"/>
    <cellStyle name="Normal 2 2 2 4 2 20 3 8" xfId="20414" xr:uid="{00000000-0005-0000-0000-0000BE4F0000}"/>
    <cellStyle name="Normal 2 2 2 4 2 20 3 9" xfId="20415" xr:uid="{00000000-0005-0000-0000-0000BF4F0000}"/>
    <cellStyle name="Normal 2 2 2 4 2 20 4" xfId="20416" xr:uid="{00000000-0005-0000-0000-0000C04F0000}"/>
    <cellStyle name="Normal 2 2 2 4 2 20 4 10" xfId="20417" xr:uid="{00000000-0005-0000-0000-0000C14F0000}"/>
    <cellStyle name="Normal 2 2 2 4 2 20 4 2" xfId="20418" xr:uid="{00000000-0005-0000-0000-0000C24F0000}"/>
    <cellStyle name="Normal 2 2 2 4 2 20 4 3" xfId="20419" xr:uid="{00000000-0005-0000-0000-0000C34F0000}"/>
    <cellStyle name="Normal 2 2 2 4 2 20 4 4" xfId="20420" xr:uid="{00000000-0005-0000-0000-0000C44F0000}"/>
    <cellStyle name="Normal 2 2 2 4 2 20 4 5" xfId="20421" xr:uid="{00000000-0005-0000-0000-0000C54F0000}"/>
    <cellStyle name="Normal 2 2 2 4 2 20 4 6" xfId="20422" xr:uid="{00000000-0005-0000-0000-0000C64F0000}"/>
    <cellStyle name="Normal 2 2 2 4 2 20 4 7" xfId="20423" xr:uid="{00000000-0005-0000-0000-0000C74F0000}"/>
    <cellStyle name="Normal 2 2 2 4 2 20 4 8" xfId="20424" xr:uid="{00000000-0005-0000-0000-0000C84F0000}"/>
    <cellStyle name="Normal 2 2 2 4 2 20 4 9" xfId="20425" xr:uid="{00000000-0005-0000-0000-0000C94F0000}"/>
    <cellStyle name="Normal 2 2 2 4 2 20 5" xfId="20426" xr:uid="{00000000-0005-0000-0000-0000CA4F0000}"/>
    <cellStyle name="Normal 2 2 2 4 2 20 5 10" xfId="20427" xr:uid="{00000000-0005-0000-0000-0000CB4F0000}"/>
    <cellStyle name="Normal 2 2 2 4 2 20 5 2" xfId="20428" xr:uid="{00000000-0005-0000-0000-0000CC4F0000}"/>
    <cellStyle name="Normal 2 2 2 4 2 20 5 3" xfId="20429" xr:uid="{00000000-0005-0000-0000-0000CD4F0000}"/>
    <cellStyle name="Normal 2 2 2 4 2 20 5 4" xfId="20430" xr:uid="{00000000-0005-0000-0000-0000CE4F0000}"/>
    <cellStyle name="Normal 2 2 2 4 2 20 5 5" xfId="20431" xr:uid="{00000000-0005-0000-0000-0000CF4F0000}"/>
    <cellStyle name="Normal 2 2 2 4 2 20 5 6" xfId="20432" xr:uid="{00000000-0005-0000-0000-0000D04F0000}"/>
    <cellStyle name="Normal 2 2 2 4 2 20 5 7" xfId="20433" xr:uid="{00000000-0005-0000-0000-0000D14F0000}"/>
    <cellStyle name="Normal 2 2 2 4 2 20 5 8" xfId="20434" xr:uid="{00000000-0005-0000-0000-0000D24F0000}"/>
    <cellStyle name="Normal 2 2 2 4 2 20 5 9" xfId="20435" xr:uid="{00000000-0005-0000-0000-0000D34F0000}"/>
    <cellStyle name="Normal 2 2 2 4 2 20 6" xfId="20436" xr:uid="{00000000-0005-0000-0000-0000D44F0000}"/>
    <cellStyle name="Normal 2 2 2 4 2 20 7" xfId="20437" xr:uid="{00000000-0005-0000-0000-0000D54F0000}"/>
    <cellStyle name="Normal 2 2 2 4 2 20 8" xfId="20438" xr:uid="{00000000-0005-0000-0000-0000D64F0000}"/>
    <cellStyle name="Normal 2 2 2 4 2 20 9" xfId="20439" xr:uid="{00000000-0005-0000-0000-0000D74F0000}"/>
    <cellStyle name="Normal 2 2 2 4 2 21" xfId="20440" xr:uid="{00000000-0005-0000-0000-0000D84F0000}"/>
    <cellStyle name="Normal 2 2 2 4 2 22" xfId="20441" xr:uid="{00000000-0005-0000-0000-0000D94F0000}"/>
    <cellStyle name="Normal 2 2 2 4 2 3" xfId="20442" xr:uid="{00000000-0005-0000-0000-0000DA4F0000}"/>
    <cellStyle name="Normal 2 2 2 4 2 3 10" xfId="20443" xr:uid="{00000000-0005-0000-0000-0000DB4F0000}"/>
    <cellStyle name="Normal 2 2 2 4 2 3 11" xfId="20444" xr:uid="{00000000-0005-0000-0000-0000DC4F0000}"/>
    <cellStyle name="Normal 2 2 2 4 2 3 12" xfId="20445" xr:uid="{00000000-0005-0000-0000-0000DD4F0000}"/>
    <cellStyle name="Normal 2 2 2 4 2 3 13" xfId="20446" xr:uid="{00000000-0005-0000-0000-0000DE4F0000}"/>
    <cellStyle name="Normal 2 2 2 4 2 3 14" xfId="20447" xr:uid="{00000000-0005-0000-0000-0000DF4F0000}"/>
    <cellStyle name="Normal 2 2 2 4 2 3 2" xfId="20448" xr:uid="{00000000-0005-0000-0000-0000E04F0000}"/>
    <cellStyle name="Normal 2 2 2 4 2 3 2 10" xfId="20449" xr:uid="{00000000-0005-0000-0000-0000E14F0000}"/>
    <cellStyle name="Normal 2 2 2 4 2 3 2 2" xfId="20450" xr:uid="{00000000-0005-0000-0000-0000E24F0000}"/>
    <cellStyle name="Normal 2 2 2 4 2 3 2 3" xfId="20451" xr:uid="{00000000-0005-0000-0000-0000E34F0000}"/>
    <cellStyle name="Normal 2 2 2 4 2 3 2 4" xfId="20452" xr:uid="{00000000-0005-0000-0000-0000E44F0000}"/>
    <cellStyle name="Normal 2 2 2 4 2 3 2 5" xfId="20453" xr:uid="{00000000-0005-0000-0000-0000E54F0000}"/>
    <cellStyle name="Normal 2 2 2 4 2 3 2 6" xfId="20454" xr:uid="{00000000-0005-0000-0000-0000E64F0000}"/>
    <cellStyle name="Normal 2 2 2 4 2 3 2 7" xfId="20455" xr:uid="{00000000-0005-0000-0000-0000E74F0000}"/>
    <cellStyle name="Normal 2 2 2 4 2 3 2 8" xfId="20456" xr:uid="{00000000-0005-0000-0000-0000E84F0000}"/>
    <cellStyle name="Normal 2 2 2 4 2 3 2 9" xfId="20457" xr:uid="{00000000-0005-0000-0000-0000E94F0000}"/>
    <cellStyle name="Normal 2 2 2 4 2 3 3" xfId="20458" xr:uid="{00000000-0005-0000-0000-0000EA4F0000}"/>
    <cellStyle name="Normal 2 2 2 4 2 3 3 10" xfId="20459" xr:uid="{00000000-0005-0000-0000-0000EB4F0000}"/>
    <cellStyle name="Normal 2 2 2 4 2 3 3 2" xfId="20460" xr:uid="{00000000-0005-0000-0000-0000EC4F0000}"/>
    <cellStyle name="Normal 2 2 2 4 2 3 3 3" xfId="20461" xr:uid="{00000000-0005-0000-0000-0000ED4F0000}"/>
    <cellStyle name="Normal 2 2 2 4 2 3 3 4" xfId="20462" xr:uid="{00000000-0005-0000-0000-0000EE4F0000}"/>
    <cellStyle name="Normal 2 2 2 4 2 3 3 5" xfId="20463" xr:uid="{00000000-0005-0000-0000-0000EF4F0000}"/>
    <cellStyle name="Normal 2 2 2 4 2 3 3 6" xfId="20464" xr:uid="{00000000-0005-0000-0000-0000F04F0000}"/>
    <cellStyle name="Normal 2 2 2 4 2 3 3 7" xfId="20465" xr:uid="{00000000-0005-0000-0000-0000F14F0000}"/>
    <cellStyle name="Normal 2 2 2 4 2 3 3 8" xfId="20466" xr:uid="{00000000-0005-0000-0000-0000F24F0000}"/>
    <cellStyle name="Normal 2 2 2 4 2 3 3 9" xfId="20467" xr:uid="{00000000-0005-0000-0000-0000F34F0000}"/>
    <cellStyle name="Normal 2 2 2 4 2 3 4" xfId="20468" xr:uid="{00000000-0005-0000-0000-0000F44F0000}"/>
    <cellStyle name="Normal 2 2 2 4 2 3 4 10" xfId="20469" xr:uid="{00000000-0005-0000-0000-0000F54F0000}"/>
    <cellStyle name="Normal 2 2 2 4 2 3 4 2" xfId="20470" xr:uid="{00000000-0005-0000-0000-0000F64F0000}"/>
    <cellStyle name="Normal 2 2 2 4 2 3 4 3" xfId="20471" xr:uid="{00000000-0005-0000-0000-0000F74F0000}"/>
    <cellStyle name="Normal 2 2 2 4 2 3 4 4" xfId="20472" xr:uid="{00000000-0005-0000-0000-0000F84F0000}"/>
    <cellStyle name="Normal 2 2 2 4 2 3 4 5" xfId="20473" xr:uid="{00000000-0005-0000-0000-0000F94F0000}"/>
    <cellStyle name="Normal 2 2 2 4 2 3 4 6" xfId="20474" xr:uid="{00000000-0005-0000-0000-0000FA4F0000}"/>
    <cellStyle name="Normal 2 2 2 4 2 3 4 7" xfId="20475" xr:uid="{00000000-0005-0000-0000-0000FB4F0000}"/>
    <cellStyle name="Normal 2 2 2 4 2 3 4 8" xfId="20476" xr:uid="{00000000-0005-0000-0000-0000FC4F0000}"/>
    <cellStyle name="Normal 2 2 2 4 2 3 4 9" xfId="20477" xr:uid="{00000000-0005-0000-0000-0000FD4F0000}"/>
    <cellStyle name="Normal 2 2 2 4 2 3 5" xfId="20478" xr:uid="{00000000-0005-0000-0000-0000FE4F0000}"/>
    <cellStyle name="Normal 2 2 2 4 2 3 5 10" xfId="20479" xr:uid="{00000000-0005-0000-0000-0000FF4F0000}"/>
    <cellStyle name="Normal 2 2 2 4 2 3 5 2" xfId="20480" xr:uid="{00000000-0005-0000-0000-000000500000}"/>
    <cellStyle name="Normal 2 2 2 4 2 3 5 3" xfId="20481" xr:uid="{00000000-0005-0000-0000-000001500000}"/>
    <cellStyle name="Normal 2 2 2 4 2 3 5 4" xfId="20482" xr:uid="{00000000-0005-0000-0000-000002500000}"/>
    <cellStyle name="Normal 2 2 2 4 2 3 5 5" xfId="20483" xr:uid="{00000000-0005-0000-0000-000003500000}"/>
    <cellStyle name="Normal 2 2 2 4 2 3 5 6" xfId="20484" xr:uid="{00000000-0005-0000-0000-000004500000}"/>
    <cellStyle name="Normal 2 2 2 4 2 3 5 7" xfId="20485" xr:uid="{00000000-0005-0000-0000-000005500000}"/>
    <cellStyle name="Normal 2 2 2 4 2 3 5 8" xfId="20486" xr:uid="{00000000-0005-0000-0000-000006500000}"/>
    <cellStyle name="Normal 2 2 2 4 2 3 5 9" xfId="20487" xr:uid="{00000000-0005-0000-0000-000007500000}"/>
    <cellStyle name="Normal 2 2 2 4 2 3 6" xfId="20488" xr:uid="{00000000-0005-0000-0000-000008500000}"/>
    <cellStyle name="Normal 2 2 2 4 2 3 7" xfId="20489" xr:uid="{00000000-0005-0000-0000-000009500000}"/>
    <cellStyle name="Normal 2 2 2 4 2 3 8" xfId="20490" xr:uid="{00000000-0005-0000-0000-00000A500000}"/>
    <cellStyle name="Normal 2 2 2 4 2 3 9" xfId="20491" xr:uid="{00000000-0005-0000-0000-00000B500000}"/>
    <cellStyle name="Normal 2 2 2 4 2 4" xfId="20492" xr:uid="{00000000-0005-0000-0000-00000C500000}"/>
    <cellStyle name="Normal 2 2 2 4 2 4 10" xfId="20493" xr:uid="{00000000-0005-0000-0000-00000D500000}"/>
    <cellStyle name="Normal 2 2 2 4 2 4 11" xfId="20494" xr:uid="{00000000-0005-0000-0000-00000E500000}"/>
    <cellStyle name="Normal 2 2 2 4 2 4 12" xfId="20495" xr:uid="{00000000-0005-0000-0000-00000F500000}"/>
    <cellStyle name="Normal 2 2 2 4 2 4 13" xfId="20496" xr:uid="{00000000-0005-0000-0000-000010500000}"/>
    <cellStyle name="Normal 2 2 2 4 2 4 14" xfId="20497" xr:uid="{00000000-0005-0000-0000-000011500000}"/>
    <cellStyle name="Normal 2 2 2 4 2 4 2" xfId="20498" xr:uid="{00000000-0005-0000-0000-000012500000}"/>
    <cellStyle name="Normal 2 2 2 4 2 4 2 10" xfId="20499" xr:uid="{00000000-0005-0000-0000-000013500000}"/>
    <cellStyle name="Normal 2 2 2 4 2 4 2 2" xfId="20500" xr:uid="{00000000-0005-0000-0000-000014500000}"/>
    <cellStyle name="Normal 2 2 2 4 2 4 2 3" xfId="20501" xr:uid="{00000000-0005-0000-0000-000015500000}"/>
    <cellStyle name="Normal 2 2 2 4 2 4 2 4" xfId="20502" xr:uid="{00000000-0005-0000-0000-000016500000}"/>
    <cellStyle name="Normal 2 2 2 4 2 4 2 5" xfId="20503" xr:uid="{00000000-0005-0000-0000-000017500000}"/>
    <cellStyle name="Normal 2 2 2 4 2 4 2 6" xfId="20504" xr:uid="{00000000-0005-0000-0000-000018500000}"/>
    <cellStyle name="Normal 2 2 2 4 2 4 2 7" xfId="20505" xr:uid="{00000000-0005-0000-0000-000019500000}"/>
    <cellStyle name="Normal 2 2 2 4 2 4 2 8" xfId="20506" xr:uid="{00000000-0005-0000-0000-00001A500000}"/>
    <cellStyle name="Normal 2 2 2 4 2 4 2 9" xfId="20507" xr:uid="{00000000-0005-0000-0000-00001B500000}"/>
    <cellStyle name="Normal 2 2 2 4 2 4 3" xfId="20508" xr:uid="{00000000-0005-0000-0000-00001C500000}"/>
    <cellStyle name="Normal 2 2 2 4 2 4 3 10" xfId="20509" xr:uid="{00000000-0005-0000-0000-00001D500000}"/>
    <cellStyle name="Normal 2 2 2 4 2 4 3 2" xfId="20510" xr:uid="{00000000-0005-0000-0000-00001E500000}"/>
    <cellStyle name="Normal 2 2 2 4 2 4 3 3" xfId="20511" xr:uid="{00000000-0005-0000-0000-00001F500000}"/>
    <cellStyle name="Normal 2 2 2 4 2 4 3 4" xfId="20512" xr:uid="{00000000-0005-0000-0000-000020500000}"/>
    <cellStyle name="Normal 2 2 2 4 2 4 3 5" xfId="20513" xr:uid="{00000000-0005-0000-0000-000021500000}"/>
    <cellStyle name="Normal 2 2 2 4 2 4 3 6" xfId="20514" xr:uid="{00000000-0005-0000-0000-000022500000}"/>
    <cellStyle name="Normal 2 2 2 4 2 4 3 7" xfId="20515" xr:uid="{00000000-0005-0000-0000-000023500000}"/>
    <cellStyle name="Normal 2 2 2 4 2 4 3 8" xfId="20516" xr:uid="{00000000-0005-0000-0000-000024500000}"/>
    <cellStyle name="Normal 2 2 2 4 2 4 3 9" xfId="20517" xr:uid="{00000000-0005-0000-0000-000025500000}"/>
    <cellStyle name="Normal 2 2 2 4 2 4 4" xfId="20518" xr:uid="{00000000-0005-0000-0000-000026500000}"/>
    <cellStyle name="Normal 2 2 2 4 2 4 4 10" xfId="20519" xr:uid="{00000000-0005-0000-0000-000027500000}"/>
    <cellStyle name="Normal 2 2 2 4 2 4 4 2" xfId="20520" xr:uid="{00000000-0005-0000-0000-000028500000}"/>
    <cellStyle name="Normal 2 2 2 4 2 4 4 3" xfId="20521" xr:uid="{00000000-0005-0000-0000-000029500000}"/>
    <cellStyle name="Normal 2 2 2 4 2 4 4 4" xfId="20522" xr:uid="{00000000-0005-0000-0000-00002A500000}"/>
    <cellStyle name="Normal 2 2 2 4 2 4 4 5" xfId="20523" xr:uid="{00000000-0005-0000-0000-00002B500000}"/>
    <cellStyle name="Normal 2 2 2 4 2 4 4 6" xfId="20524" xr:uid="{00000000-0005-0000-0000-00002C500000}"/>
    <cellStyle name="Normal 2 2 2 4 2 4 4 7" xfId="20525" xr:uid="{00000000-0005-0000-0000-00002D500000}"/>
    <cellStyle name="Normal 2 2 2 4 2 4 4 8" xfId="20526" xr:uid="{00000000-0005-0000-0000-00002E500000}"/>
    <cellStyle name="Normal 2 2 2 4 2 4 4 9" xfId="20527" xr:uid="{00000000-0005-0000-0000-00002F500000}"/>
    <cellStyle name="Normal 2 2 2 4 2 4 5" xfId="20528" xr:uid="{00000000-0005-0000-0000-000030500000}"/>
    <cellStyle name="Normal 2 2 2 4 2 4 5 10" xfId="20529" xr:uid="{00000000-0005-0000-0000-000031500000}"/>
    <cellStyle name="Normal 2 2 2 4 2 4 5 2" xfId="20530" xr:uid="{00000000-0005-0000-0000-000032500000}"/>
    <cellStyle name="Normal 2 2 2 4 2 4 5 3" xfId="20531" xr:uid="{00000000-0005-0000-0000-000033500000}"/>
    <cellStyle name="Normal 2 2 2 4 2 4 5 4" xfId="20532" xr:uid="{00000000-0005-0000-0000-000034500000}"/>
    <cellStyle name="Normal 2 2 2 4 2 4 5 5" xfId="20533" xr:uid="{00000000-0005-0000-0000-000035500000}"/>
    <cellStyle name="Normal 2 2 2 4 2 4 5 6" xfId="20534" xr:uid="{00000000-0005-0000-0000-000036500000}"/>
    <cellStyle name="Normal 2 2 2 4 2 4 5 7" xfId="20535" xr:uid="{00000000-0005-0000-0000-000037500000}"/>
    <cellStyle name="Normal 2 2 2 4 2 4 5 8" xfId="20536" xr:uid="{00000000-0005-0000-0000-000038500000}"/>
    <cellStyle name="Normal 2 2 2 4 2 4 5 9" xfId="20537" xr:uid="{00000000-0005-0000-0000-000039500000}"/>
    <cellStyle name="Normal 2 2 2 4 2 4 6" xfId="20538" xr:uid="{00000000-0005-0000-0000-00003A500000}"/>
    <cellStyle name="Normal 2 2 2 4 2 4 7" xfId="20539" xr:uid="{00000000-0005-0000-0000-00003B500000}"/>
    <cellStyle name="Normal 2 2 2 4 2 4 8" xfId="20540" xr:uid="{00000000-0005-0000-0000-00003C500000}"/>
    <cellStyle name="Normal 2 2 2 4 2 4 9" xfId="20541" xr:uid="{00000000-0005-0000-0000-00003D500000}"/>
    <cellStyle name="Normal 2 2 2 4 2 5" xfId="20542" xr:uid="{00000000-0005-0000-0000-00003E500000}"/>
    <cellStyle name="Normal 2 2 2 4 2 5 10" xfId="20543" xr:uid="{00000000-0005-0000-0000-00003F500000}"/>
    <cellStyle name="Normal 2 2 2 4 2 5 11" xfId="20544" xr:uid="{00000000-0005-0000-0000-000040500000}"/>
    <cellStyle name="Normal 2 2 2 4 2 5 12" xfId="20545" xr:uid="{00000000-0005-0000-0000-000041500000}"/>
    <cellStyle name="Normal 2 2 2 4 2 5 13" xfId="20546" xr:uid="{00000000-0005-0000-0000-000042500000}"/>
    <cellStyle name="Normal 2 2 2 4 2 5 14" xfId="20547" xr:uid="{00000000-0005-0000-0000-000043500000}"/>
    <cellStyle name="Normal 2 2 2 4 2 5 2" xfId="20548" xr:uid="{00000000-0005-0000-0000-000044500000}"/>
    <cellStyle name="Normal 2 2 2 4 2 5 2 10" xfId="20549" xr:uid="{00000000-0005-0000-0000-000045500000}"/>
    <cellStyle name="Normal 2 2 2 4 2 5 2 2" xfId="20550" xr:uid="{00000000-0005-0000-0000-000046500000}"/>
    <cellStyle name="Normal 2 2 2 4 2 5 2 3" xfId="20551" xr:uid="{00000000-0005-0000-0000-000047500000}"/>
    <cellStyle name="Normal 2 2 2 4 2 5 2 4" xfId="20552" xr:uid="{00000000-0005-0000-0000-000048500000}"/>
    <cellStyle name="Normal 2 2 2 4 2 5 2 5" xfId="20553" xr:uid="{00000000-0005-0000-0000-000049500000}"/>
    <cellStyle name="Normal 2 2 2 4 2 5 2 6" xfId="20554" xr:uid="{00000000-0005-0000-0000-00004A500000}"/>
    <cellStyle name="Normal 2 2 2 4 2 5 2 7" xfId="20555" xr:uid="{00000000-0005-0000-0000-00004B500000}"/>
    <cellStyle name="Normal 2 2 2 4 2 5 2 8" xfId="20556" xr:uid="{00000000-0005-0000-0000-00004C500000}"/>
    <cellStyle name="Normal 2 2 2 4 2 5 2 9" xfId="20557" xr:uid="{00000000-0005-0000-0000-00004D500000}"/>
    <cellStyle name="Normal 2 2 2 4 2 5 3" xfId="20558" xr:uid="{00000000-0005-0000-0000-00004E500000}"/>
    <cellStyle name="Normal 2 2 2 4 2 5 3 10" xfId="20559" xr:uid="{00000000-0005-0000-0000-00004F500000}"/>
    <cellStyle name="Normal 2 2 2 4 2 5 3 2" xfId="20560" xr:uid="{00000000-0005-0000-0000-000050500000}"/>
    <cellStyle name="Normal 2 2 2 4 2 5 3 3" xfId="20561" xr:uid="{00000000-0005-0000-0000-000051500000}"/>
    <cellStyle name="Normal 2 2 2 4 2 5 3 4" xfId="20562" xr:uid="{00000000-0005-0000-0000-000052500000}"/>
    <cellStyle name="Normal 2 2 2 4 2 5 3 5" xfId="20563" xr:uid="{00000000-0005-0000-0000-000053500000}"/>
    <cellStyle name="Normal 2 2 2 4 2 5 3 6" xfId="20564" xr:uid="{00000000-0005-0000-0000-000054500000}"/>
    <cellStyle name="Normal 2 2 2 4 2 5 3 7" xfId="20565" xr:uid="{00000000-0005-0000-0000-000055500000}"/>
    <cellStyle name="Normal 2 2 2 4 2 5 3 8" xfId="20566" xr:uid="{00000000-0005-0000-0000-000056500000}"/>
    <cellStyle name="Normal 2 2 2 4 2 5 3 9" xfId="20567" xr:uid="{00000000-0005-0000-0000-000057500000}"/>
    <cellStyle name="Normal 2 2 2 4 2 5 4" xfId="20568" xr:uid="{00000000-0005-0000-0000-000058500000}"/>
    <cellStyle name="Normal 2 2 2 4 2 5 4 10" xfId="20569" xr:uid="{00000000-0005-0000-0000-000059500000}"/>
    <cellStyle name="Normal 2 2 2 4 2 5 4 2" xfId="20570" xr:uid="{00000000-0005-0000-0000-00005A500000}"/>
    <cellStyle name="Normal 2 2 2 4 2 5 4 3" xfId="20571" xr:uid="{00000000-0005-0000-0000-00005B500000}"/>
    <cellStyle name="Normal 2 2 2 4 2 5 4 4" xfId="20572" xr:uid="{00000000-0005-0000-0000-00005C500000}"/>
    <cellStyle name="Normal 2 2 2 4 2 5 4 5" xfId="20573" xr:uid="{00000000-0005-0000-0000-00005D500000}"/>
    <cellStyle name="Normal 2 2 2 4 2 5 4 6" xfId="20574" xr:uid="{00000000-0005-0000-0000-00005E500000}"/>
    <cellStyle name="Normal 2 2 2 4 2 5 4 7" xfId="20575" xr:uid="{00000000-0005-0000-0000-00005F500000}"/>
    <cellStyle name="Normal 2 2 2 4 2 5 4 8" xfId="20576" xr:uid="{00000000-0005-0000-0000-000060500000}"/>
    <cellStyle name="Normal 2 2 2 4 2 5 4 9" xfId="20577" xr:uid="{00000000-0005-0000-0000-000061500000}"/>
    <cellStyle name="Normal 2 2 2 4 2 5 5" xfId="20578" xr:uid="{00000000-0005-0000-0000-000062500000}"/>
    <cellStyle name="Normal 2 2 2 4 2 5 5 10" xfId="20579" xr:uid="{00000000-0005-0000-0000-000063500000}"/>
    <cellStyle name="Normal 2 2 2 4 2 5 5 2" xfId="20580" xr:uid="{00000000-0005-0000-0000-000064500000}"/>
    <cellStyle name="Normal 2 2 2 4 2 5 5 3" xfId="20581" xr:uid="{00000000-0005-0000-0000-000065500000}"/>
    <cellStyle name="Normal 2 2 2 4 2 5 5 4" xfId="20582" xr:uid="{00000000-0005-0000-0000-000066500000}"/>
    <cellStyle name="Normal 2 2 2 4 2 5 5 5" xfId="20583" xr:uid="{00000000-0005-0000-0000-000067500000}"/>
    <cellStyle name="Normal 2 2 2 4 2 5 5 6" xfId="20584" xr:uid="{00000000-0005-0000-0000-000068500000}"/>
    <cellStyle name="Normal 2 2 2 4 2 5 5 7" xfId="20585" xr:uid="{00000000-0005-0000-0000-000069500000}"/>
    <cellStyle name="Normal 2 2 2 4 2 5 5 8" xfId="20586" xr:uid="{00000000-0005-0000-0000-00006A500000}"/>
    <cellStyle name="Normal 2 2 2 4 2 5 5 9" xfId="20587" xr:uid="{00000000-0005-0000-0000-00006B500000}"/>
    <cellStyle name="Normal 2 2 2 4 2 5 6" xfId="20588" xr:uid="{00000000-0005-0000-0000-00006C500000}"/>
    <cellStyle name="Normal 2 2 2 4 2 5 7" xfId="20589" xr:uid="{00000000-0005-0000-0000-00006D500000}"/>
    <cellStyle name="Normal 2 2 2 4 2 5 8" xfId="20590" xr:uid="{00000000-0005-0000-0000-00006E500000}"/>
    <cellStyle name="Normal 2 2 2 4 2 5 9" xfId="20591" xr:uid="{00000000-0005-0000-0000-00006F500000}"/>
    <cellStyle name="Normal 2 2 2 4 2 6" xfId="20592" xr:uid="{00000000-0005-0000-0000-000070500000}"/>
    <cellStyle name="Normal 2 2 2 4 2 6 10" xfId="20593" xr:uid="{00000000-0005-0000-0000-000071500000}"/>
    <cellStyle name="Normal 2 2 2 4 2 6 11" xfId="20594" xr:uid="{00000000-0005-0000-0000-000072500000}"/>
    <cellStyle name="Normal 2 2 2 4 2 6 12" xfId="20595" xr:uid="{00000000-0005-0000-0000-000073500000}"/>
    <cellStyle name="Normal 2 2 2 4 2 6 13" xfId="20596" xr:uid="{00000000-0005-0000-0000-000074500000}"/>
    <cellStyle name="Normal 2 2 2 4 2 6 14" xfId="20597" xr:uid="{00000000-0005-0000-0000-000075500000}"/>
    <cellStyle name="Normal 2 2 2 4 2 6 2" xfId="20598" xr:uid="{00000000-0005-0000-0000-000076500000}"/>
    <cellStyle name="Normal 2 2 2 4 2 6 2 10" xfId="20599" xr:uid="{00000000-0005-0000-0000-000077500000}"/>
    <cellStyle name="Normal 2 2 2 4 2 6 2 2" xfId="20600" xr:uid="{00000000-0005-0000-0000-000078500000}"/>
    <cellStyle name="Normal 2 2 2 4 2 6 2 3" xfId="20601" xr:uid="{00000000-0005-0000-0000-000079500000}"/>
    <cellStyle name="Normal 2 2 2 4 2 6 2 4" xfId="20602" xr:uid="{00000000-0005-0000-0000-00007A500000}"/>
    <cellStyle name="Normal 2 2 2 4 2 6 2 5" xfId="20603" xr:uid="{00000000-0005-0000-0000-00007B500000}"/>
    <cellStyle name="Normal 2 2 2 4 2 6 2 6" xfId="20604" xr:uid="{00000000-0005-0000-0000-00007C500000}"/>
    <cellStyle name="Normal 2 2 2 4 2 6 2 7" xfId="20605" xr:uid="{00000000-0005-0000-0000-00007D500000}"/>
    <cellStyle name="Normal 2 2 2 4 2 6 2 8" xfId="20606" xr:uid="{00000000-0005-0000-0000-00007E500000}"/>
    <cellStyle name="Normal 2 2 2 4 2 6 2 9" xfId="20607" xr:uid="{00000000-0005-0000-0000-00007F500000}"/>
    <cellStyle name="Normal 2 2 2 4 2 6 3" xfId="20608" xr:uid="{00000000-0005-0000-0000-000080500000}"/>
    <cellStyle name="Normal 2 2 2 4 2 6 3 10" xfId="20609" xr:uid="{00000000-0005-0000-0000-000081500000}"/>
    <cellStyle name="Normal 2 2 2 4 2 6 3 2" xfId="20610" xr:uid="{00000000-0005-0000-0000-000082500000}"/>
    <cellStyle name="Normal 2 2 2 4 2 6 3 3" xfId="20611" xr:uid="{00000000-0005-0000-0000-000083500000}"/>
    <cellStyle name="Normal 2 2 2 4 2 6 3 4" xfId="20612" xr:uid="{00000000-0005-0000-0000-000084500000}"/>
    <cellStyle name="Normal 2 2 2 4 2 6 3 5" xfId="20613" xr:uid="{00000000-0005-0000-0000-000085500000}"/>
    <cellStyle name="Normal 2 2 2 4 2 6 3 6" xfId="20614" xr:uid="{00000000-0005-0000-0000-000086500000}"/>
    <cellStyle name="Normal 2 2 2 4 2 6 3 7" xfId="20615" xr:uid="{00000000-0005-0000-0000-000087500000}"/>
    <cellStyle name="Normal 2 2 2 4 2 6 3 8" xfId="20616" xr:uid="{00000000-0005-0000-0000-000088500000}"/>
    <cellStyle name="Normal 2 2 2 4 2 6 3 9" xfId="20617" xr:uid="{00000000-0005-0000-0000-000089500000}"/>
    <cellStyle name="Normal 2 2 2 4 2 6 4" xfId="20618" xr:uid="{00000000-0005-0000-0000-00008A500000}"/>
    <cellStyle name="Normal 2 2 2 4 2 6 4 10" xfId="20619" xr:uid="{00000000-0005-0000-0000-00008B500000}"/>
    <cellStyle name="Normal 2 2 2 4 2 6 4 2" xfId="20620" xr:uid="{00000000-0005-0000-0000-00008C500000}"/>
    <cellStyle name="Normal 2 2 2 4 2 6 4 3" xfId="20621" xr:uid="{00000000-0005-0000-0000-00008D500000}"/>
    <cellStyle name="Normal 2 2 2 4 2 6 4 4" xfId="20622" xr:uid="{00000000-0005-0000-0000-00008E500000}"/>
    <cellStyle name="Normal 2 2 2 4 2 6 4 5" xfId="20623" xr:uid="{00000000-0005-0000-0000-00008F500000}"/>
    <cellStyle name="Normal 2 2 2 4 2 6 4 6" xfId="20624" xr:uid="{00000000-0005-0000-0000-000090500000}"/>
    <cellStyle name="Normal 2 2 2 4 2 6 4 7" xfId="20625" xr:uid="{00000000-0005-0000-0000-000091500000}"/>
    <cellStyle name="Normal 2 2 2 4 2 6 4 8" xfId="20626" xr:uid="{00000000-0005-0000-0000-000092500000}"/>
    <cellStyle name="Normal 2 2 2 4 2 6 4 9" xfId="20627" xr:uid="{00000000-0005-0000-0000-000093500000}"/>
    <cellStyle name="Normal 2 2 2 4 2 6 5" xfId="20628" xr:uid="{00000000-0005-0000-0000-000094500000}"/>
    <cellStyle name="Normal 2 2 2 4 2 6 5 10" xfId="20629" xr:uid="{00000000-0005-0000-0000-000095500000}"/>
    <cellStyle name="Normal 2 2 2 4 2 6 5 2" xfId="20630" xr:uid="{00000000-0005-0000-0000-000096500000}"/>
    <cellStyle name="Normal 2 2 2 4 2 6 5 3" xfId="20631" xr:uid="{00000000-0005-0000-0000-000097500000}"/>
    <cellStyle name="Normal 2 2 2 4 2 6 5 4" xfId="20632" xr:uid="{00000000-0005-0000-0000-000098500000}"/>
    <cellStyle name="Normal 2 2 2 4 2 6 5 5" xfId="20633" xr:uid="{00000000-0005-0000-0000-000099500000}"/>
    <cellStyle name="Normal 2 2 2 4 2 6 5 6" xfId="20634" xr:uid="{00000000-0005-0000-0000-00009A500000}"/>
    <cellStyle name="Normal 2 2 2 4 2 6 5 7" xfId="20635" xr:uid="{00000000-0005-0000-0000-00009B500000}"/>
    <cellStyle name="Normal 2 2 2 4 2 6 5 8" xfId="20636" xr:uid="{00000000-0005-0000-0000-00009C500000}"/>
    <cellStyle name="Normal 2 2 2 4 2 6 5 9" xfId="20637" xr:uid="{00000000-0005-0000-0000-00009D500000}"/>
    <cellStyle name="Normal 2 2 2 4 2 6 6" xfId="20638" xr:uid="{00000000-0005-0000-0000-00009E500000}"/>
    <cellStyle name="Normal 2 2 2 4 2 6 7" xfId="20639" xr:uid="{00000000-0005-0000-0000-00009F500000}"/>
    <cellStyle name="Normal 2 2 2 4 2 6 8" xfId="20640" xr:uid="{00000000-0005-0000-0000-0000A0500000}"/>
    <cellStyle name="Normal 2 2 2 4 2 6 9" xfId="20641" xr:uid="{00000000-0005-0000-0000-0000A1500000}"/>
    <cellStyle name="Normal 2 2 2 4 2 7" xfId="20642" xr:uid="{00000000-0005-0000-0000-0000A2500000}"/>
    <cellStyle name="Normal 2 2 2 4 2 7 10" xfId="20643" xr:uid="{00000000-0005-0000-0000-0000A3500000}"/>
    <cellStyle name="Normal 2 2 2 4 2 7 11" xfId="20644" xr:uid="{00000000-0005-0000-0000-0000A4500000}"/>
    <cellStyle name="Normal 2 2 2 4 2 7 12" xfId="20645" xr:uid="{00000000-0005-0000-0000-0000A5500000}"/>
    <cellStyle name="Normal 2 2 2 4 2 7 13" xfId="20646" xr:uid="{00000000-0005-0000-0000-0000A6500000}"/>
    <cellStyle name="Normal 2 2 2 4 2 7 14" xfId="20647" xr:uid="{00000000-0005-0000-0000-0000A7500000}"/>
    <cellStyle name="Normal 2 2 2 4 2 7 2" xfId="20648" xr:uid="{00000000-0005-0000-0000-0000A8500000}"/>
    <cellStyle name="Normal 2 2 2 4 2 7 2 10" xfId="20649" xr:uid="{00000000-0005-0000-0000-0000A9500000}"/>
    <cellStyle name="Normal 2 2 2 4 2 7 2 2" xfId="20650" xr:uid="{00000000-0005-0000-0000-0000AA500000}"/>
    <cellStyle name="Normal 2 2 2 4 2 7 2 3" xfId="20651" xr:uid="{00000000-0005-0000-0000-0000AB500000}"/>
    <cellStyle name="Normal 2 2 2 4 2 7 2 4" xfId="20652" xr:uid="{00000000-0005-0000-0000-0000AC500000}"/>
    <cellStyle name="Normal 2 2 2 4 2 7 2 5" xfId="20653" xr:uid="{00000000-0005-0000-0000-0000AD500000}"/>
    <cellStyle name="Normal 2 2 2 4 2 7 2 6" xfId="20654" xr:uid="{00000000-0005-0000-0000-0000AE500000}"/>
    <cellStyle name="Normal 2 2 2 4 2 7 2 7" xfId="20655" xr:uid="{00000000-0005-0000-0000-0000AF500000}"/>
    <cellStyle name="Normal 2 2 2 4 2 7 2 8" xfId="20656" xr:uid="{00000000-0005-0000-0000-0000B0500000}"/>
    <cellStyle name="Normal 2 2 2 4 2 7 2 9" xfId="20657" xr:uid="{00000000-0005-0000-0000-0000B1500000}"/>
    <cellStyle name="Normal 2 2 2 4 2 7 3" xfId="20658" xr:uid="{00000000-0005-0000-0000-0000B2500000}"/>
    <cellStyle name="Normal 2 2 2 4 2 7 3 10" xfId="20659" xr:uid="{00000000-0005-0000-0000-0000B3500000}"/>
    <cellStyle name="Normal 2 2 2 4 2 7 3 2" xfId="20660" xr:uid="{00000000-0005-0000-0000-0000B4500000}"/>
    <cellStyle name="Normal 2 2 2 4 2 7 3 3" xfId="20661" xr:uid="{00000000-0005-0000-0000-0000B5500000}"/>
    <cellStyle name="Normal 2 2 2 4 2 7 3 4" xfId="20662" xr:uid="{00000000-0005-0000-0000-0000B6500000}"/>
    <cellStyle name="Normal 2 2 2 4 2 7 3 5" xfId="20663" xr:uid="{00000000-0005-0000-0000-0000B7500000}"/>
    <cellStyle name="Normal 2 2 2 4 2 7 3 6" xfId="20664" xr:uid="{00000000-0005-0000-0000-0000B8500000}"/>
    <cellStyle name="Normal 2 2 2 4 2 7 3 7" xfId="20665" xr:uid="{00000000-0005-0000-0000-0000B9500000}"/>
    <cellStyle name="Normal 2 2 2 4 2 7 3 8" xfId="20666" xr:uid="{00000000-0005-0000-0000-0000BA500000}"/>
    <cellStyle name="Normal 2 2 2 4 2 7 3 9" xfId="20667" xr:uid="{00000000-0005-0000-0000-0000BB500000}"/>
    <cellStyle name="Normal 2 2 2 4 2 7 4" xfId="20668" xr:uid="{00000000-0005-0000-0000-0000BC500000}"/>
    <cellStyle name="Normal 2 2 2 4 2 7 4 10" xfId="20669" xr:uid="{00000000-0005-0000-0000-0000BD500000}"/>
    <cellStyle name="Normal 2 2 2 4 2 7 4 2" xfId="20670" xr:uid="{00000000-0005-0000-0000-0000BE500000}"/>
    <cellStyle name="Normal 2 2 2 4 2 7 4 3" xfId="20671" xr:uid="{00000000-0005-0000-0000-0000BF500000}"/>
    <cellStyle name="Normal 2 2 2 4 2 7 4 4" xfId="20672" xr:uid="{00000000-0005-0000-0000-0000C0500000}"/>
    <cellStyle name="Normal 2 2 2 4 2 7 4 5" xfId="20673" xr:uid="{00000000-0005-0000-0000-0000C1500000}"/>
    <cellStyle name="Normal 2 2 2 4 2 7 4 6" xfId="20674" xr:uid="{00000000-0005-0000-0000-0000C2500000}"/>
    <cellStyle name="Normal 2 2 2 4 2 7 4 7" xfId="20675" xr:uid="{00000000-0005-0000-0000-0000C3500000}"/>
    <cellStyle name="Normal 2 2 2 4 2 7 4 8" xfId="20676" xr:uid="{00000000-0005-0000-0000-0000C4500000}"/>
    <cellStyle name="Normal 2 2 2 4 2 7 4 9" xfId="20677" xr:uid="{00000000-0005-0000-0000-0000C5500000}"/>
    <cellStyle name="Normal 2 2 2 4 2 7 5" xfId="20678" xr:uid="{00000000-0005-0000-0000-0000C6500000}"/>
    <cellStyle name="Normal 2 2 2 4 2 7 5 10" xfId="20679" xr:uid="{00000000-0005-0000-0000-0000C7500000}"/>
    <cellStyle name="Normal 2 2 2 4 2 7 5 2" xfId="20680" xr:uid="{00000000-0005-0000-0000-0000C8500000}"/>
    <cellStyle name="Normal 2 2 2 4 2 7 5 3" xfId="20681" xr:uid="{00000000-0005-0000-0000-0000C9500000}"/>
    <cellStyle name="Normal 2 2 2 4 2 7 5 4" xfId="20682" xr:uid="{00000000-0005-0000-0000-0000CA500000}"/>
    <cellStyle name="Normal 2 2 2 4 2 7 5 5" xfId="20683" xr:uid="{00000000-0005-0000-0000-0000CB500000}"/>
    <cellStyle name="Normal 2 2 2 4 2 7 5 6" xfId="20684" xr:uid="{00000000-0005-0000-0000-0000CC500000}"/>
    <cellStyle name="Normal 2 2 2 4 2 7 5 7" xfId="20685" xr:uid="{00000000-0005-0000-0000-0000CD500000}"/>
    <cellStyle name="Normal 2 2 2 4 2 7 5 8" xfId="20686" xr:uid="{00000000-0005-0000-0000-0000CE500000}"/>
    <cellStyle name="Normal 2 2 2 4 2 7 5 9" xfId="20687" xr:uid="{00000000-0005-0000-0000-0000CF500000}"/>
    <cellStyle name="Normal 2 2 2 4 2 7 6" xfId="20688" xr:uid="{00000000-0005-0000-0000-0000D0500000}"/>
    <cellStyle name="Normal 2 2 2 4 2 7 7" xfId="20689" xr:uid="{00000000-0005-0000-0000-0000D1500000}"/>
    <cellStyle name="Normal 2 2 2 4 2 7 8" xfId="20690" xr:uid="{00000000-0005-0000-0000-0000D2500000}"/>
    <cellStyle name="Normal 2 2 2 4 2 7 9" xfId="20691" xr:uid="{00000000-0005-0000-0000-0000D3500000}"/>
    <cellStyle name="Normal 2 2 2 4 2 8" xfId="20692" xr:uid="{00000000-0005-0000-0000-0000D4500000}"/>
    <cellStyle name="Normal 2 2 2 4 2 8 10" xfId="20693" xr:uid="{00000000-0005-0000-0000-0000D5500000}"/>
    <cellStyle name="Normal 2 2 2 4 2 8 11" xfId="20694" xr:uid="{00000000-0005-0000-0000-0000D6500000}"/>
    <cellStyle name="Normal 2 2 2 4 2 8 12" xfId="20695" xr:uid="{00000000-0005-0000-0000-0000D7500000}"/>
    <cellStyle name="Normal 2 2 2 4 2 8 13" xfId="20696" xr:uid="{00000000-0005-0000-0000-0000D8500000}"/>
    <cellStyle name="Normal 2 2 2 4 2 8 14" xfId="20697" xr:uid="{00000000-0005-0000-0000-0000D9500000}"/>
    <cellStyle name="Normal 2 2 2 4 2 8 2" xfId="20698" xr:uid="{00000000-0005-0000-0000-0000DA500000}"/>
    <cellStyle name="Normal 2 2 2 4 2 8 2 10" xfId="20699" xr:uid="{00000000-0005-0000-0000-0000DB500000}"/>
    <cellStyle name="Normal 2 2 2 4 2 8 2 2" xfId="20700" xr:uid="{00000000-0005-0000-0000-0000DC500000}"/>
    <cellStyle name="Normal 2 2 2 4 2 8 2 3" xfId="20701" xr:uid="{00000000-0005-0000-0000-0000DD500000}"/>
    <cellStyle name="Normal 2 2 2 4 2 8 2 4" xfId="20702" xr:uid="{00000000-0005-0000-0000-0000DE500000}"/>
    <cellStyle name="Normal 2 2 2 4 2 8 2 5" xfId="20703" xr:uid="{00000000-0005-0000-0000-0000DF500000}"/>
    <cellStyle name="Normal 2 2 2 4 2 8 2 6" xfId="20704" xr:uid="{00000000-0005-0000-0000-0000E0500000}"/>
    <cellStyle name="Normal 2 2 2 4 2 8 2 7" xfId="20705" xr:uid="{00000000-0005-0000-0000-0000E1500000}"/>
    <cellStyle name="Normal 2 2 2 4 2 8 2 8" xfId="20706" xr:uid="{00000000-0005-0000-0000-0000E2500000}"/>
    <cellStyle name="Normal 2 2 2 4 2 8 2 9" xfId="20707" xr:uid="{00000000-0005-0000-0000-0000E3500000}"/>
    <cellStyle name="Normal 2 2 2 4 2 8 3" xfId="20708" xr:uid="{00000000-0005-0000-0000-0000E4500000}"/>
    <cellStyle name="Normal 2 2 2 4 2 8 3 10" xfId="20709" xr:uid="{00000000-0005-0000-0000-0000E5500000}"/>
    <cellStyle name="Normal 2 2 2 4 2 8 3 2" xfId="20710" xr:uid="{00000000-0005-0000-0000-0000E6500000}"/>
    <cellStyle name="Normal 2 2 2 4 2 8 3 3" xfId="20711" xr:uid="{00000000-0005-0000-0000-0000E7500000}"/>
    <cellStyle name="Normal 2 2 2 4 2 8 3 4" xfId="20712" xr:uid="{00000000-0005-0000-0000-0000E8500000}"/>
    <cellStyle name="Normal 2 2 2 4 2 8 3 5" xfId="20713" xr:uid="{00000000-0005-0000-0000-0000E9500000}"/>
    <cellStyle name="Normal 2 2 2 4 2 8 3 6" xfId="20714" xr:uid="{00000000-0005-0000-0000-0000EA500000}"/>
    <cellStyle name="Normal 2 2 2 4 2 8 3 7" xfId="20715" xr:uid="{00000000-0005-0000-0000-0000EB500000}"/>
    <cellStyle name="Normal 2 2 2 4 2 8 3 8" xfId="20716" xr:uid="{00000000-0005-0000-0000-0000EC500000}"/>
    <cellStyle name="Normal 2 2 2 4 2 8 3 9" xfId="20717" xr:uid="{00000000-0005-0000-0000-0000ED500000}"/>
    <cellStyle name="Normal 2 2 2 4 2 8 4" xfId="20718" xr:uid="{00000000-0005-0000-0000-0000EE500000}"/>
    <cellStyle name="Normal 2 2 2 4 2 8 4 10" xfId="20719" xr:uid="{00000000-0005-0000-0000-0000EF500000}"/>
    <cellStyle name="Normal 2 2 2 4 2 8 4 2" xfId="20720" xr:uid="{00000000-0005-0000-0000-0000F0500000}"/>
    <cellStyle name="Normal 2 2 2 4 2 8 4 3" xfId="20721" xr:uid="{00000000-0005-0000-0000-0000F1500000}"/>
    <cellStyle name="Normal 2 2 2 4 2 8 4 4" xfId="20722" xr:uid="{00000000-0005-0000-0000-0000F2500000}"/>
    <cellStyle name="Normal 2 2 2 4 2 8 4 5" xfId="20723" xr:uid="{00000000-0005-0000-0000-0000F3500000}"/>
    <cellStyle name="Normal 2 2 2 4 2 8 4 6" xfId="20724" xr:uid="{00000000-0005-0000-0000-0000F4500000}"/>
    <cellStyle name="Normal 2 2 2 4 2 8 4 7" xfId="20725" xr:uid="{00000000-0005-0000-0000-0000F5500000}"/>
    <cellStyle name="Normal 2 2 2 4 2 8 4 8" xfId="20726" xr:uid="{00000000-0005-0000-0000-0000F6500000}"/>
    <cellStyle name="Normal 2 2 2 4 2 8 4 9" xfId="20727" xr:uid="{00000000-0005-0000-0000-0000F7500000}"/>
    <cellStyle name="Normal 2 2 2 4 2 8 5" xfId="20728" xr:uid="{00000000-0005-0000-0000-0000F8500000}"/>
    <cellStyle name="Normal 2 2 2 4 2 8 5 10" xfId="20729" xr:uid="{00000000-0005-0000-0000-0000F9500000}"/>
    <cellStyle name="Normal 2 2 2 4 2 8 5 2" xfId="20730" xr:uid="{00000000-0005-0000-0000-0000FA500000}"/>
    <cellStyle name="Normal 2 2 2 4 2 8 5 3" xfId="20731" xr:uid="{00000000-0005-0000-0000-0000FB500000}"/>
    <cellStyle name="Normal 2 2 2 4 2 8 5 4" xfId="20732" xr:uid="{00000000-0005-0000-0000-0000FC500000}"/>
    <cellStyle name="Normal 2 2 2 4 2 8 5 5" xfId="20733" xr:uid="{00000000-0005-0000-0000-0000FD500000}"/>
    <cellStyle name="Normal 2 2 2 4 2 8 5 6" xfId="20734" xr:uid="{00000000-0005-0000-0000-0000FE500000}"/>
    <cellStyle name="Normal 2 2 2 4 2 8 5 7" xfId="20735" xr:uid="{00000000-0005-0000-0000-0000FF500000}"/>
    <cellStyle name="Normal 2 2 2 4 2 8 5 8" xfId="20736" xr:uid="{00000000-0005-0000-0000-000000510000}"/>
    <cellStyle name="Normal 2 2 2 4 2 8 5 9" xfId="20737" xr:uid="{00000000-0005-0000-0000-000001510000}"/>
    <cellStyle name="Normal 2 2 2 4 2 8 6" xfId="20738" xr:uid="{00000000-0005-0000-0000-000002510000}"/>
    <cellStyle name="Normal 2 2 2 4 2 8 7" xfId="20739" xr:uid="{00000000-0005-0000-0000-000003510000}"/>
    <cellStyle name="Normal 2 2 2 4 2 8 8" xfId="20740" xr:uid="{00000000-0005-0000-0000-000004510000}"/>
    <cellStyle name="Normal 2 2 2 4 2 8 9" xfId="20741" xr:uid="{00000000-0005-0000-0000-000005510000}"/>
    <cellStyle name="Normal 2 2 2 4 2 9" xfId="20742" xr:uid="{00000000-0005-0000-0000-000006510000}"/>
    <cellStyle name="Normal 2 2 2 4 2 9 10" xfId="20743" xr:uid="{00000000-0005-0000-0000-000007510000}"/>
    <cellStyle name="Normal 2 2 2 4 2 9 11" xfId="20744" xr:uid="{00000000-0005-0000-0000-000008510000}"/>
    <cellStyle name="Normal 2 2 2 4 2 9 12" xfId="20745" xr:uid="{00000000-0005-0000-0000-000009510000}"/>
    <cellStyle name="Normal 2 2 2 4 2 9 13" xfId="20746" xr:uid="{00000000-0005-0000-0000-00000A510000}"/>
    <cellStyle name="Normal 2 2 2 4 2 9 14" xfId="20747" xr:uid="{00000000-0005-0000-0000-00000B510000}"/>
    <cellStyle name="Normal 2 2 2 4 2 9 2" xfId="20748" xr:uid="{00000000-0005-0000-0000-00000C510000}"/>
    <cellStyle name="Normal 2 2 2 4 2 9 2 10" xfId="20749" xr:uid="{00000000-0005-0000-0000-00000D510000}"/>
    <cellStyle name="Normal 2 2 2 4 2 9 2 2" xfId="20750" xr:uid="{00000000-0005-0000-0000-00000E510000}"/>
    <cellStyle name="Normal 2 2 2 4 2 9 2 3" xfId="20751" xr:uid="{00000000-0005-0000-0000-00000F510000}"/>
    <cellStyle name="Normal 2 2 2 4 2 9 2 4" xfId="20752" xr:uid="{00000000-0005-0000-0000-000010510000}"/>
    <cellStyle name="Normal 2 2 2 4 2 9 2 5" xfId="20753" xr:uid="{00000000-0005-0000-0000-000011510000}"/>
    <cellStyle name="Normal 2 2 2 4 2 9 2 6" xfId="20754" xr:uid="{00000000-0005-0000-0000-000012510000}"/>
    <cellStyle name="Normal 2 2 2 4 2 9 2 7" xfId="20755" xr:uid="{00000000-0005-0000-0000-000013510000}"/>
    <cellStyle name="Normal 2 2 2 4 2 9 2 8" xfId="20756" xr:uid="{00000000-0005-0000-0000-000014510000}"/>
    <cellStyle name="Normal 2 2 2 4 2 9 2 9" xfId="20757" xr:uid="{00000000-0005-0000-0000-000015510000}"/>
    <cellStyle name="Normal 2 2 2 4 2 9 3" xfId="20758" xr:uid="{00000000-0005-0000-0000-000016510000}"/>
    <cellStyle name="Normal 2 2 2 4 2 9 3 10" xfId="20759" xr:uid="{00000000-0005-0000-0000-000017510000}"/>
    <cellStyle name="Normal 2 2 2 4 2 9 3 2" xfId="20760" xr:uid="{00000000-0005-0000-0000-000018510000}"/>
    <cellStyle name="Normal 2 2 2 4 2 9 3 3" xfId="20761" xr:uid="{00000000-0005-0000-0000-000019510000}"/>
    <cellStyle name="Normal 2 2 2 4 2 9 3 4" xfId="20762" xr:uid="{00000000-0005-0000-0000-00001A510000}"/>
    <cellStyle name="Normal 2 2 2 4 2 9 3 5" xfId="20763" xr:uid="{00000000-0005-0000-0000-00001B510000}"/>
    <cellStyle name="Normal 2 2 2 4 2 9 3 6" xfId="20764" xr:uid="{00000000-0005-0000-0000-00001C510000}"/>
    <cellStyle name="Normal 2 2 2 4 2 9 3 7" xfId="20765" xr:uid="{00000000-0005-0000-0000-00001D510000}"/>
    <cellStyle name="Normal 2 2 2 4 2 9 3 8" xfId="20766" xr:uid="{00000000-0005-0000-0000-00001E510000}"/>
    <cellStyle name="Normal 2 2 2 4 2 9 3 9" xfId="20767" xr:uid="{00000000-0005-0000-0000-00001F510000}"/>
    <cellStyle name="Normal 2 2 2 4 2 9 4" xfId="20768" xr:uid="{00000000-0005-0000-0000-000020510000}"/>
    <cellStyle name="Normal 2 2 2 4 2 9 4 10" xfId="20769" xr:uid="{00000000-0005-0000-0000-000021510000}"/>
    <cellStyle name="Normal 2 2 2 4 2 9 4 2" xfId="20770" xr:uid="{00000000-0005-0000-0000-000022510000}"/>
    <cellStyle name="Normal 2 2 2 4 2 9 4 3" xfId="20771" xr:uid="{00000000-0005-0000-0000-000023510000}"/>
    <cellStyle name="Normal 2 2 2 4 2 9 4 4" xfId="20772" xr:uid="{00000000-0005-0000-0000-000024510000}"/>
    <cellStyle name="Normal 2 2 2 4 2 9 4 5" xfId="20773" xr:uid="{00000000-0005-0000-0000-000025510000}"/>
    <cellStyle name="Normal 2 2 2 4 2 9 4 6" xfId="20774" xr:uid="{00000000-0005-0000-0000-000026510000}"/>
    <cellStyle name="Normal 2 2 2 4 2 9 4 7" xfId="20775" xr:uid="{00000000-0005-0000-0000-000027510000}"/>
    <cellStyle name="Normal 2 2 2 4 2 9 4 8" xfId="20776" xr:uid="{00000000-0005-0000-0000-000028510000}"/>
    <cellStyle name="Normal 2 2 2 4 2 9 4 9" xfId="20777" xr:uid="{00000000-0005-0000-0000-000029510000}"/>
    <cellStyle name="Normal 2 2 2 4 2 9 5" xfId="20778" xr:uid="{00000000-0005-0000-0000-00002A510000}"/>
    <cellStyle name="Normal 2 2 2 4 2 9 5 10" xfId="20779" xr:uid="{00000000-0005-0000-0000-00002B510000}"/>
    <cellStyle name="Normal 2 2 2 4 2 9 5 2" xfId="20780" xr:uid="{00000000-0005-0000-0000-00002C510000}"/>
    <cellStyle name="Normal 2 2 2 4 2 9 5 3" xfId="20781" xr:uid="{00000000-0005-0000-0000-00002D510000}"/>
    <cellStyle name="Normal 2 2 2 4 2 9 5 4" xfId="20782" xr:uid="{00000000-0005-0000-0000-00002E510000}"/>
    <cellStyle name="Normal 2 2 2 4 2 9 5 5" xfId="20783" xr:uid="{00000000-0005-0000-0000-00002F510000}"/>
    <cellStyle name="Normal 2 2 2 4 2 9 5 6" xfId="20784" xr:uid="{00000000-0005-0000-0000-000030510000}"/>
    <cellStyle name="Normal 2 2 2 4 2 9 5 7" xfId="20785" xr:uid="{00000000-0005-0000-0000-000031510000}"/>
    <cellStyle name="Normal 2 2 2 4 2 9 5 8" xfId="20786" xr:uid="{00000000-0005-0000-0000-000032510000}"/>
    <cellStyle name="Normal 2 2 2 4 2 9 5 9" xfId="20787" xr:uid="{00000000-0005-0000-0000-000033510000}"/>
    <cellStyle name="Normal 2 2 2 4 2 9 6" xfId="20788" xr:uid="{00000000-0005-0000-0000-000034510000}"/>
    <cellStyle name="Normal 2 2 2 4 2 9 7" xfId="20789" xr:uid="{00000000-0005-0000-0000-000035510000}"/>
    <cellStyle name="Normal 2 2 2 4 2 9 8" xfId="20790" xr:uid="{00000000-0005-0000-0000-000036510000}"/>
    <cellStyle name="Normal 2 2 2 4 2 9 9" xfId="20791" xr:uid="{00000000-0005-0000-0000-000037510000}"/>
    <cellStyle name="Normal 2 2 2 4 20" xfId="20792" xr:uid="{00000000-0005-0000-0000-000038510000}"/>
    <cellStyle name="Normal 2 2 2 4 21" xfId="20793" xr:uid="{00000000-0005-0000-0000-000039510000}"/>
    <cellStyle name="Normal 2 2 2 4 22" xfId="20794" xr:uid="{00000000-0005-0000-0000-00003A510000}"/>
    <cellStyle name="Normal 2 2 2 4 23" xfId="20795" xr:uid="{00000000-0005-0000-0000-00003B510000}"/>
    <cellStyle name="Normal 2 2 2 4 24" xfId="20796" xr:uid="{00000000-0005-0000-0000-00003C510000}"/>
    <cellStyle name="Normal 2 2 2 4 25" xfId="20797" xr:uid="{00000000-0005-0000-0000-00003D510000}"/>
    <cellStyle name="Normal 2 2 2 4 26" xfId="20798" xr:uid="{00000000-0005-0000-0000-00003E510000}"/>
    <cellStyle name="Normal 2 2 2 4 27" xfId="20799" xr:uid="{00000000-0005-0000-0000-00003F510000}"/>
    <cellStyle name="Normal 2 2 2 4 28" xfId="20800" xr:uid="{00000000-0005-0000-0000-000040510000}"/>
    <cellStyle name="Normal 2 2 2 4 29" xfId="20801" xr:uid="{00000000-0005-0000-0000-000041510000}"/>
    <cellStyle name="Normal 2 2 2 4 3" xfId="20802" xr:uid="{00000000-0005-0000-0000-000042510000}"/>
    <cellStyle name="Normal 2 2 2 4 3 2" xfId="20803" xr:uid="{00000000-0005-0000-0000-000043510000}"/>
    <cellStyle name="Normal 2 2 2 4 3 3" xfId="20804" xr:uid="{00000000-0005-0000-0000-000044510000}"/>
    <cellStyle name="Normal 2 2 2 4 30" xfId="20805" xr:uid="{00000000-0005-0000-0000-000045510000}"/>
    <cellStyle name="Normal 2 2 2 4 31" xfId="20806" xr:uid="{00000000-0005-0000-0000-000046510000}"/>
    <cellStyle name="Normal 2 2 2 4 32" xfId="20807" xr:uid="{00000000-0005-0000-0000-000047510000}"/>
    <cellStyle name="Normal 2 2 2 4 33" xfId="20808" xr:uid="{00000000-0005-0000-0000-000048510000}"/>
    <cellStyle name="Normal 2 2 2 4 34" xfId="20809" xr:uid="{00000000-0005-0000-0000-000049510000}"/>
    <cellStyle name="Normal 2 2 2 4 34 10" xfId="20810" xr:uid="{00000000-0005-0000-0000-00004A510000}"/>
    <cellStyle name="Normal 2 2 2 4 34 2" xfId="20811" xr:uid="{00000000-0005-0000-0000-00004B510000}"/>
    <cellStyle name="Normal 2 2 2 4 34 3" xfId="20812" xr:uid="{00000000-0005-0000-0000-00004C510000}"/>
    <cellStyle name="Normal 2 2 2 4 34 4" xfId="20813" xr:uid="{00000000-0005-0000-0000-00004D510000}"/>
    <cellStyle name="Normal 2 2 2 4 34 5" xfId="20814" xr:uid="{00000000-0005-0000-0000-00004E510000}"/>
    <cellStyle name="Normal 2 2 2 4 34 6" xfId="20815" xr:uid="{00000000-0005-0000-0000-00004F510000}"/>
    <cellStyle name="Normal 2 2 2 4 34 7" xfId="20816" xr:uid="{00000000-0005-0000-0000-000050510000}"/>
    <cellStyle name="Normal 2 2 2 4 34 8" xfId="20817" xr:uid="{00000000-0005-0000-0000-000051510000}"/>
    <cellStyle name="Normal 2 2 2 4 34 9" xfId="20818" xr:uid="{00000000-0005-0000-0000-000052510000}"/>
    <cellStyle name="Normal 2 2 2 4 35" xfId="20819" xr:uid="{00000000-0005-0000-0000-000053510000}"/>
    <cellStyle name="Normal 2 2 2 4 35 10" xfId="20820" xr:uid="{00000000-0005-0000-0000-000054510000}"/>
    <cellStyle name="Normal 2 2 2 4 35 2" xfId="20821" xr:uid="{00000000-0005-0000-0000-000055510000}"/>
    <cellStyle name="Normal 2 2 2 4 35 3" xfId="20822" xr:uid="{00000000-0005-0000-0000-000056510000}"/>
    <cellStyle name="Normal 2 2 2 4 35 4" xfId="20823" xr:uid="{00000000-0005-0000-0000-000057510000}"/>
    <cellStyle name="Normal 2 2 2 4 35 5" xfId="20824" xr:uid="{00000000-0005-0000-0000-000058510000}"/>
    <cellStyle name="Normal 2 2 2 4 35 6" xfId="20825" xr:uid="{00000000-0005-0000-0000-000059510000}"/>
    <cellStyle name="Normal 2 2 2 4 35 7" xfId="20826" xr:uid="{00000000-0005-0000-0000-00005A510000}"/>
    <cellStyle name="Normal 2 2 2 4 35 8" xfId="20827" xr:uid="{00000000-0005-0000-0000-00005B510000}"/>
    <cellStyle name="Normal 2 2 2 4 35 9" xfId="20828" xr:uid="{00000000-0005-0000-0000-00005C510000}"/>
    <cellStyle name="Normal 2 2 2 4 36" xfId="20829" xr:uid="{00000000-0005-0000-0000-00005D510000}"/>
    <cellStyle name="Normal 2 2 2 4 36 10" xfId="20830" xr:uid="{00000000-0005-0000-0000-00005E510000}"/>
    <cellStyle name="Normal 2 2 2 4 36 2" xfId="20831" xr:uid="{00000000-0005-0000-0000-00005F510000}"/>
    <cellStyle name="Normal 2 2 2 4 36 3" xfId="20832" xr:uid="{00000000-0005-0000-0000-000060510000}"/>
    <cellStyle name="Normal 2 2 2 4 36 4" xfId="20833" xr:uid="{00000000-0005-0000-0000-000061510000}"/>
    <cellStyle name="Normal 2 2 2 4 36 5" xfId="20834" xr:uid="{00000000-0005-0000-0000-000062510000}"/>
    <cellStyle name="Normal 2 2 2 4 36 6" xfId="20835" xr:uid="{00000000-0005-0000-0000-000063510000}"/>
    <cellStyle name="Normal 2 2 2 4 36 7" xfId="20836" xr:uid="{00000000-0005-0000-0000-000064510000}"/>
    <cellStyle name="Normal 2 2 2 4 36 8" xfId="20837" xr:uid="{00000000-0005-0000-0000-000065510000}"/>
    <cellStyle name="Normal 2 2 2 4 36 9" xfId="20838" xr:uid="{00000000-0005-0000-0000-000066510000}"/>
    <cellStyle name="Normal 2 2 2 4 37" xfId="20839" xr:uid="{00000000-0005-0000-0000-000067510000}"/>
    <cellStyle name="Normal 2 2 2 4 37 10" xfId="20840" xr:uid="{00000000-0005-0000-0000-000068510000}"/>
    <cellStyle name="Normal 2 2 2 4 37 2" xfId="20841" xr:uid="{00000000-0005-0000-0000-000069510000}"/>
    <cellStyle name="Normal 2 2 2 4 37 3" xfId="20842" xr:uid="{00000000-0005-0000-0000-00006A510000}"/>
    <cellStyle name="Normal 2 2 2 4 37 4" xfId="20843" xr:uid="{00000000-0005-0000-0000-00006B510000}"/>
    <cellStyle name="Normal 2 2 2 4 37 5" xfId="20844" xr:uid="{00000000-0005-0000-0000-00006C510000}"/>
    <cellStyle name="Normal 2 2 2 4 37 6" xfId="20845" xr:uid="{00000000-0005-0000-0000-00006D510000}"/>
    <cellStyle name="Normal 2 2 2 4 37 7" xfId="20846" xr:uid="{00000000-0005-0000-0000-00006E510000}"/>
    <cellStyle name="Normal 2 2 2 4 37 8" xfId="20847" xr:uid="{00000000-0005-0000-0000-00006F510000}"/>
    <cellStyle name="Normal 2 2 2 4 37 9" xfId="20848" xr:uid="{00000000-0005-0000-0000-000070510000}"/>
    <cellStyle name="Normal 2 2 2 4 38" xfId="20849" xr:uid="{00000000-0005-0000-0000-000071510000}"/>
    <cellStyle name="Normal 2 2 2 4 39" xfId="20850" xr:uid="{00000000-0005-0000-0000-000072510000}"/>
    <cellStyle name="Normal 2 2 2 4 4" xfId="20851" xr:uid="{00000000-0005-0000-0000-000073510000}"/>
    <cellStyle name="Normal 2 2 2 4 40" xfId="20852" xr:uid="{00000000-0005-0000-0000-000074510000}"/>
    <cellStyle name="Normal 2 2 2 4 41" xfId="20853" xr:uid="{00000000-0005-0000-0000-000075510000}"/>
    <cellStyle name="Normal 2 2 2 4 42" xfId="20854" xr:uid="{00000000-0005-0000-0000-000076510000}"/>
    <cellStyle name="Normal 2 2 2 4 43" xfId="20855" xr:uid="{00000000-0005-0000-0000-000077510000}"/>
    <cellStyle name="Normal 2 2 2 4 44" xfId="20856" xr:uid="{00000000-0005-0000-0000-000078510000}"/>
    <cellStyle name="Normal 2 2 2 4 45" xfId="20857" xr:uid="{00000000-0005-0000-0000-000079510000}"/>
    <cellStyle name="Normal 2 2 2 4 46" xfId="20858" xr:uid="{00000000-0005-0000-0000-00007A510000}"/>
    <cellStyle name="Normal 2 2 2 4 47" xfId="20859" xr:uid="{00000000-0005-0000-0000-00007B510000}"/>
    <cellStyle name="Normal 2 2 2 4 48" xfId="20860" xr:uid="{00000000-0005-0000-0000-00007C510000}"/>
    <cellStyle name="Normal 2 2 2 4 5" xfId="20861" xr:uid="{00000000-0005-0000-0000-00007D510000}"/>
    <cellStyle name="Normal 2 2 2 4 6" xfId="20862" xr:uid="{00000000-0005-0000-0000-00007E510000}"/>
    <cellStyle name="Normal 2 2 2 4 7" xfId="20863" xr:uid="{00000000-0005-0000-0000-00007F510000}"/>
    <cellStyle name="Normal 2 2 2 4 8" xfId="20864" xr:uid="{00000000-0005-0000-0000-000080510000}"/>
    <cellStyle name="Normal 2 2 2 4 9" xfId="20865" xr:uid="{00000000-0005-0000-0000-000081510000}"/>
    <cellStyle name="Normal 2 2 2 40" xfId="20866" xr:uid="{00000000-0005-0000-0000-000082510000}"/>
    <cellStyle name="Normal 2 2 2 40 10" xfId="20867" xr:uid="{00000000-0005-0000-0000-000083510000}"/>
    <cellStyle name="Normal 2 2 2 40 2" xfId="20868" xr:uid="{00000000-0005-0000-0000-000084510000}"/>
    <cellStyle name="Normal 2 2 2 40 3" xfId="20869" xr:uid="{00000000-0005-0000-0000-000085510000}"/>
    <cellStyle name="Normal 2 2 2 40 4" xfId="20870" xr:uid="{00000000-0005-0000-0000-000086510000}"/>
    <cellStyle name="Normal 2 2 2 40 5" xfId="20871" xr:uid="{00000000-0005-0000-0000-000087510000}"/>
    <cellStyle name="Normal 2 2 2 40 6" xfId="20872" xr:uid="{00000000-0005-0000-0000-000088510000}"/>
    <cellStyle name="Normal 2 2 2 40 7" xfId="20873" xr:uid="{00000000-0005-0000-0000-000089510000}"/>
    <cellStyle name="Normal 2 2 2 40 8" xfId="20874" xr:uid="{00000000-0005-0000-0000-00008A510000}"/>
    <cellStyle name="Normal 2 2 2 40 9" xfId="20875" xr:uid="{00000000-0005-0000-0000-00008B510000}"/>
    <cellStyle name="Normal 2 2 2 41" xfId="20876" xr:uid="{00000000-0005-0000-0000-00008C510000}"/>
    <cellStyle name="Normal 2 2 2 42" xfId="20877" xr:uid="{00000000-0005-0000-0000-00008D510000}"/>
    <cellStyle name="Normal 2 2 2 43" xfId="20878" xr:uid="{00000000-0005-0000-0000-00008E510000}"/>
    <cellStyle name="Normal 2 2 2 44" xfId="20879" xr:uid="{00000000-0005-0000-0000-00008F510000}"/>
    <cellStyle name="Normal 2 2 2 45" xfId="20880" xr:uid="{00000000-0005-0000-0000-000090510000}"/>
    <cellStyle name="Normal 2 2 2 46" xfId="20881" xr:uid="{00000000-0005-0000-0000-000091510000}"/>
    <cellStyle name="Normal 2 2 2 47" xfId="20882" xr:uid="{00000000-0005-0000-0000-000092510000}"/>
    <cellStyle name="Normal 2 2 2 48" xfId="20883" xr:uid="{00000000-0005-0000-0000-000093510000}"/>
    <cellStyle name="Normal 2 2 2 49" xfId="20884" xr:uid="{00000000-0005-0000-0000-000094510000}"/>
    <cellStyle name="Normal 2 2 2 5" xfId="20885" xr:uid="{00000000-0005-0000-0000-000095510000}"/>
    <cellStyle name="Normal 2 2 2 5 10" xfId="20886" xr:uid="{00000000-0005-0000-0000-000096510000}"/>
    <cellStyle name="Normal 2 2 2 5 11" xfId="20887" xr:uid="{00000000-0005-0000-0000-000097510000}"/>
    <cellStyle name="Normal 2 2 2 5 12" xfId="20888" xr:uid="{00000000-0005-0000-0000-000098510000}"/>
    <cellStyle name="Normal 2 2 2 5 13" xfId="20889" xr:uid="{00000000-0005-0000-0000-000099510000}"/>
    <cellStyle name="Normal 2 2 2 5 14" xfId="20890" xr:uid="{00000000-0005-0000-0000-00009A510000}"/>
    <cellStyle name="Normal 2 2 2 5 15" xfId="20891" xr:uid="{00000000-0005-0000-0000-00009B510000}"/>
    <cellStyle name="Normal 2 2 2 5 16" xfId="20892" xr:uid="{00000000-0005-0000-0000-00009C510000}"/>
    <cellStyle name="Normal 2 2 2 5 17" xfId="20893" xr:uid="{00000000-0005-0000-0000-00009D510000}"/>
    <cellStyle name="Normal 2 2 2 5 18" xfId="20894" xr:uid="{00000000-0005-0000-0000-00009E510000}"/>
    <cellStyle name="Normal 2 2 2 5 19" xfId="20895" xr:uid="{00000000-0005-0000-0000-00009F510000}"/>
    <cellStyle name="Normal 2 2 2 5 2" xfId="20896" xr:uid="{00000000-0005-0000-0000-0000A0510000}"/>
    <cellStyle name="Normal 2 2 2 5 2 10" xfId="20897" xr:uid="{00000000-0005-0000-0000-0000A1510000}"/>
    <cellStyle name="Normal 2 2 2 5 2 10 10" xfId="20898" xr:uid="{00000000-0005-0000-0000-0000A2510000}"/>
    <cellStyle name="Normal 2 2 2 5 2 10 11" xfId="20899" xr:uid="{00000000-0005-0000-0000-0000A3510000}"/>
    <cellStyle name="Normal 2 2 2 5 2 10 12" xfId="20900" xr:uid="{00000000-0005-0000-0000-0000A4510000}"/>
    <cellStyle name="Normal 2 2 2 5 2 10 13" xfId="20901" xr:uid="{00000000-0005-0000-0000-0000A5510000}"/>
    <cellStyle name="Normal 2 2 2 5 2 10 14" xfId="20902" xr:uid="{00000000-0005-0000-0000-0000A6510000}"/>
    <cellStyle name="Normal 2 2 2 5 2 10 2" xfId="20903" xr:uid="{00000000-0005-0000-0000-0000A7510000}"/>
    <cellStyle name="Normal 2 2 2 5 2 10 2 10" xfId="20904" xr:uid="{00000000-0005-0000-0000-0000A8510000}"/>
    <cellStyle name="Normal 2 2 2 5 2 10 2 2" xfId="20905" xr:uid="{00000000-0005-0000-0000-0000A9510000}"/>
    <cellStyle name="Normal 2 2 2 5 2 10 2 3" xfId="20906" xr:uid="{00000000-0005-0000-0000-0000AA510000}"/>
    <cellStyle name="Normal 2 2 2 5 2 10 2 4" xfId="20907" xr:uid="{00000000-0005-0000-0000-0000AB510000}"/>
    <cellStyle name="Normal 2 2 2 5 2 10 2 5" xfId="20908" xr:uid="{00000000-0005-0000-0000-0000AC510000}"/>
    <cellStyle name="Normal 2 2 2 5 2 10 2 6" xfId="20909" xr:uid="{00000000-0005-0000-0000-0000AD510000}"/>
    <cellStyle name="Normal 2 2 2 5 2 10 2 7" xfId="20910" xr:uid="{00000000-0005-0000-0000-0000AE510000}"/>
    <cellStyle name="Normal 2 2 2 5 2 10 2 8" xfId="20911" xr:uid="{00000000-0005-0000-0000-0000AF510000}"/>
    <cellStyle name="Normal 2 2 2 5 2 10 2 9" xfId="20912" xr:uid="{00000000-0005-0000-0000-0000B0510000}"/>
    <cellStyle name="Normal 2 2 2 5 2 10 3" xfId="20913" xr:uid="{00000000-0005-0000-0000-0000B1510000}"/>
    <cellStyle name="Normal 2 2 2 5 2 10 3 10" xfId="20914" xr:uid="{00000000-0005-0000-0000-0000B2510000}"/>
    <cellStyle name="Normal 2 2 2 5 2 10 3 2" xfId="20915" xr:uid="{00000000-0005-0000-0000-0000B3510000}"/>
    <cellStyle name="Normal 2 2 2 5 2 10 3 3" xfId="20916" xr:uid="{00000000-0005-0000-0000-0000B4510000}"/>
    <cellStyle name="Normal 2 2 2 5 2 10 3 4" xfId="20917" xr:uid="{00000000-0005-0000-0000-0000B5510000}"/>
    <cellStyle name="Normal 2 2 2 5 2 10 3 5" xfId="20918" xr:uid="{00000000-0005-0000-0000-0000B6510000}"/>
    <cellStyle name="Normal 2 2 2 5 2 10 3 6" xfId="20919" xr:uid="{00000000-0005-0000-0000-0000B7510000}"/>
    <cellStyle name="Normal 2 2 2 5 2 10 3 7" xfId="20920" xr:uid="{00000000-0005-0000-0000-0000B8510000}"/>
    <cellStyle name="Normal 2 2 2 5 2 10 3 8" xfId="20921" xr:uid="{00000000-0005-0000-0000-0000B9510000}"/>
    <cellStyle name="Normal 2 2 2 5 2 10 3 9" xfId="20922" xr:uid="{00000000-0005-0000-0000-0000BA510000}"/>
    <cellStyle name="Normal 2 2 2 5 2 10 4" xfId="20923" xr:uid="{00000000-0005-0000-0000-0000BB510000}"/>
    <cellStyle name="Normal 2 2 2 5 2 10 4 10" xfId="20924" xr:uid="{00000000-0005-0000-0000-0000BC510000}"/>
    <cellStyle name="Normal 2 2 2 5 2 10 4 2" xfId="20925" xr:uid="{00000000-0005-0000-0000-0000BD510000}"/>
    <cellStyle name="Normal 2 2 2 5 2 10 4 3" xfId="20926" xr:uid="{00000000-0005-0000-0000-0000BE510000}"/>
    <cellStyle name="Normal 2 2 2 5 2 10 4 4" xfId="20927" xr:uid="{00000000-0005-0000-0000-0000BF510000}"/>
    <cellStyle name="Normal 2 2 2 5 2 10 4 5" xfId="20928" xr:uid="{00000000-0005-0000-0000-0000C0510000}"/>
    <cellStyle name="Normal 2 2 2 5 2 10 4 6" xfId="20929" xr:uid="{00000000-0005-0000-0000-0000C1510000}"/>
    <cellStyle name="Normal 2 2 2 5 2 10 4 7" xfId="20930" xr:uid="{00000000-0005-0000-0000-0000C2510000}"/>
    <cellStyle name="Normal 2 2 2 5 2 10 4 8" xfId="20931" xr:uid="{00000000-0005-0000-0000-0000C3510000}"/>
    <cellStyle name="Normal 2 2 2 5 2 10 4 9" xfId="20932" xr:uid="{00000000-0005-0000-0000-0000C4510000}"/>
    <cellStyle name="Normal 2 2 2 5 2 10 5" xfId="20933" xr:uid="{00000000-0005-0000-0000-0000C5510000}"/>
    <cellStyle name="Normal 2 2 2 5 2 10 5 10" xfId="20934" xr:uid="{00000000-0005-0000-0000-0000C6510000}"/>
    <cellStyle name="Normal 2 2 2 5 2 10 5 2" xfId="20935" xr:uid="{00000000-0005-0000-0000-0000C7510000}"/>
    <cellStyle name="Normal 2 2 2 5 2 10 5 3" xfId="20936" xr:uid="{00000000-0005-0000-0000-0000C8510000}"/>
    <cellStyle name="Normal 2 2 2 5 2 10 5 4" xfId="20937" xr:uid="{00000000-0005-0000-0000-0000C9510000}"/>
    <cellStyle name="Normal 2 2 2 5 2 10 5 5" xfId="20938" xr:uid="{00000000-0005-0000-0000-0000CA510000}"/>
    <cellStyle name="Normal 2 2 2 5 2 10 5 6" xfId="20939" xr:uid="{00000000-0005-0000-0000-0000CB510000}"/>
    <cellStyle name="Normal 2 2 2 5 2 10 5 7" xfId="20940" xr:uid="{00000000-0005-0000-0000-0000CC510000}"/>
    <cellStyle name="Normal 2 2 2 5 2 10 5 8" xfId="20941" xr:uid="{00000000-0005-0000-0000-0000CD510000}"/>
    <cellStyle name="Normal 2 2 2 5 2 10 5 9" xfId="20942" xr:uid="{00000000-0005-0000-0000-0000CE510000}"/>
    <cellStyle name="Normal 2 2 2 5 2 10 6" xfId="20943" xr:uid="{00000000-0005-0000-0000-0000CF510000}"/>
    <cellStyle name="Normal 2 2 2 5 2 10 7" xfId="20944" xr:uid="{00000000-0005-0000-0000-0000D0510000}"/>
    <cellStyle name="Normal 2 2 2 5 2 10 8" xfId="20945" xr:uid="{00000000-0005-0000-0000-0000D1510000}"/>
    <cellStyle name="Normal 2 2 2 5 2 10 9" xfId="20946" xr:uid="{00000000-0005-0000-0000-0000D2510000}"/>
    <cellStyle name="Normal 2 2 2 5 2 11" xfId="20947" xr:uid="{00000000-0005-0000-0000-0000D3510000}"/>
    <cellStyle name="Normal 2 2 2 5 2 11 10" xfId="20948" xr:uid="{00000000-0005-0000-0000-0000D4510000}"/>
    <cellStyle name="Normal 2 2 2 5 2 11 11" xfId="20949" xr:uid="{00000000-0005-0000-0000-0000D5510000}"/>
    <cellStyle name="Normal 2 2 2 5 2 11 12" xfId="20950" xr:uid="{00000000-0005-0000-0000-0000D6510000}"/>
    <cellStyle name="Normal 2 2 2 5 2 11 13" xfId="20951" xr:uid="{00000000-0005-0000-0000-0000D7510000}"/>
    <cellStyle name="Normal 2 2 2 5 2 11 14" xfId="20952" xr:uid="{00000000-0005-0000-0000-0000D8510000}"/>
    <cellStyle name="Normal 2 2 2 5 2 11 2" xfId="20953" xr:uid="{00000000-0005-0000-0000-0000D9510000}"/>
    <cellStyle name="Normal 2 2 2 5 2 11 2 10" xfId="20954" xr:uid="{00000000-0005-0000-0000-0000DA510000}"/>
    <cellStyle name="Normal 2 2 2 5 2 11 2 2" xfId="20955" xr:uid="{00000000-0005-0000-0000-0000DB510000}"/>
    <cellStyle name="Normal 2 2 2 5 2 11 2 3" xfId="20956" xr:uid="{00000000-0005-0000-0000-0000DC510000}"/>
    <cellStyle name="Normal 2 2 2 5 2 11 2 4" xfId="20957" xr:uid="{00000000-0005-0000-0000-0000DD510000}"/>
    <cellStyle name="Normal 2 2 2 5 2 11 2 5" xfId="20958" xr:uid="{00000000-0005-0000-0000-0000DE510000}"/>
    <cellStyle name="Normal 2 2 2 5 2 11 2 6" xfId="20959" xr:uid="{00000000-0005-0000-0000-0000DF510000}"/>
    <cellStyle name="Normal 2 2 2 5 2 11 2 7" xfId="20960" xr:uid="{00000000-0005-0000-0000-0000E0510000}"/>
    <cellStyle name="Normal 2 2 2 5 2 11 2 8" xfId="20961" xr:uid="{00000000-0005-0000-0000-0000E1510000}"/>
    <cellStyle name="Normal 2 2 2 5 2 11 2 9" xfId="20962" xr:uid="{00000000-0005-0000-0000-0000E2510000}"/>
    <cellStyle name="Normal 2 2 2 5 2 11 3" xfId="20963" xr:uid="{00000000-0005-0000-0000-0000E3510000}"/>
    <cellStyle name="Normal 2 2 2 5 2 11 3 10" xfId="20964" xr:uid="{00000000-0005-0000-0000-0000E4510000}"/>
    <cellStyle name="Normal 2 2 2 5 2 11 3 2" xfId="20965" xr:uid="{00000000-0005-0000-0000-0000E5510000}"/>
    <cellStyle name="Normal 2 2 2 5 2 11 3 3" xfId="20966" xr:uid="{00000000-0005-0000-0000-0000E6510000}"/>
    <cellStyle name="Normal 2 2 2 5 2 11 3 4" xfId="20967" xr:uid="{00000000-0005-0000-0000-0000E7510000}"/>
    <cellStyle name="Normal 2 2 2 5 2 11 3 5" xfId="20968" xr:uid="{00000000-0005-0000-0000-0000E8510000}"/>
    <cellStyle name="Normal 2 2 2 5 2 11 3 6" xfId="20969" xr:uid="{00000000-0005-0000-0000-0000E9510000}"/>
    <cellStyle name="Normal 2 2 2 5 2 11 3 7" xfId="20970" xr:uid="{00000000-0005-0000-0000-0000EA510000}"/>
    <cellStyle name="Normal 2 2 2 5 2 11 3 8" xfId="20971" xr:uid="{00000000-0005-0000-0000-0000EB510000}"/>
    <cellStyle name="Normal 2 2 2 5 2 11 3 9" xfId="20972" xr:uid="{00000000-0005-0000-0000-0000EC510000}"/>
    <cellStyle name="Normal 2 2 2 5 2 11 4" xfId="20973" xr:uid="{00000000-0005-0000-0000-0000ED510000}"/>
    <cellStyle name="Normal 2 2 2 5 2 11 4 10" xfId="20974" xr:uid="{00000000-0005-0000-0000-0000EE510000}"/>
    <cellStyle name="Normal 2 2 2 5 2 11 4 2" xfId="20975" xr:uid="{00000000-0005-0000-0000-0000EF510000}"/>
    <cellStyle name="Normal 2 2 2 5 2 11 4 3" xfId="20976" xr:uid="{00000000-0005-0000-0000-0000F0510000}"/>
    <cellStyle name="Normal 2 2 2 5 2 11 4 4" xfId="20977" xr:uid="{00000000-0005-0000-0000-0000F1510000}"/>
    <cellStyle name="Normal 2 2 2 5 2 11 4 5" xfId="20978" xr:uid="{00000000-0005-0000-0000-0000F2510000}"/>
    <cellStyle name="Normal 2 2 2 5 2 11 4 6" xfId="20979" xr:uid="{00000000-0005-0000-0000-0000F3510000}"/>
    <cellStyle name="Normal 2 2 2 5 2 11 4 7" xfId="20980" xr:uid="{00000000-0005-0000-0000-0000F4510000}"/>
    <cellStyle name="Normal 2 2 2 5 2 11 4 8" xfId="20981" xr:uid="{00000000-0005-0000-0000-0000F5510000}"/>
    <cellStyle name="Normal 2 2 2 5 2 11 4 9" xfId="20982" xr:uid="{00000000-0005-0000-0000-0000F6510000}"/>
    <cellStyle name="Normal 2 2 2 5 2 11 5" xfId="20983" xr:uid="{00000000-0005-0000-0000-0000F7510000}"/>
    <cellStyle name="Normal 2 2 2 5 2 11 5 10" xfId="20984" xr:uid="{00000000-0005-0000-0000-0000F8510000}"/>
    <cellStyle name="Normal 2 2 2 5 2 11 5 2" xfId="20985" xr:uid="{00000000-0005-0000-0000-0000F9510000}"/>
    <cellStyle name="Normal 2 2 2 5 2 11 5 3" xfId="20986" xr:uid="{00000000-0005-0000-0000-0000FA510000}"/>
    <cellStyle name="Normal 2 2 2 5 2 11 5 4" xfId="20987" xr:uid="{00000000-0005-0000-0000-0000FB510000}"/>
    <cellStyle name="Normal 2 2 2 5 2 11 5 5" xfId="20988" xr:uid="{00000000-0005-0000-0000-0000FC510000}"/>
    <cellStyle name="Normal 2 2 2 5 2 11 5 6" xfId="20989" xr:uid="{00000000-0005-0000-0000-0000FD510000}"/>
    <cellStyle name="Normal 2 2 2 5 2 11 5 7" xfId="20990" xr:uid="{00000000-0005-0000-0000-0000FE510000}"/>
    <cellStyle name="Normal 2 2 2 5 2 11 5 8" xfId="20991" xr:uid="{00000000-0005-0000-0000-0000FF510000}"/>
    <cellStyle name="Normal 2 2 2 5 2 11 5 9" xfId="20992" xr:uid="{00000000-0005-0000-0000-000000520000}"/>
    <cellStyle name="Normal 2 2 2 5 2 11 6" xfId="20993" xr:uid="{00000000-0005-0000-0000-000001520000}"/>
    <cellStyle name="Normal 2 2 2 5 2 11 7" xfId="20994" xr:uid="{00000000-0005-0000-0000-000002520000}"/>
    <cellStyle name="Normal 2 2 2 5 2 11 8" xfId="20995" xr:uid="{00000000-0005-0000-0000-000003520000}"/>
    <cellStyle name="Normal 2 2 2 5 2 11 9" xfId="20996" xr:uid="{00000000-0005-0000-0000-000004520000}"/>
    <cellStyle name="Normal 2 2 2 5 2 12" xfId="20997" xr:uid="{00000000-0005-0000-0000-000005520000}"/>
    <cellStyle name="Normal 2 2 2 5 2 12 10" xfId="20998" xr:uid="{00000000-0005-0000-0000-000006520000}"/>
    <cellStyle name="Normal 2 2 2 5 2 12 11" xfId="20999" xr:uid="{00000000-0005-0000-0000-000007520000}"/>
    <cellStyle name="Normal 2 2 2 5 2 12 12" xfId="21000" xr:uid="{00000000-0005-0000-0000-000008520000}"/>
    <cellStyle name="Normal 2 2 2 5 2 12 13" xfId="21001" xr:uid="{00000000-0005-0000-0000-000009520000}"/>
    <cellStyle name="Normal 2 2 2 5 2 12 14" xfId="21002" xr:uid="{00000000-0005-0000-0000-00000A520000}"/>
    <cellStyle name="Normal 2 2 2 5 2 12 2" xfId="21003" xr:uid="{00000000-0005-0000-0000-00000B520000}"/>
    <cellStyle name="Normal 2 2 2 5 2 12 2 10" xfId="21004" xr:uid="{00000000-0005-0000-0000-00000C520000}"/>
    <cellStyle name="Normal 2 2 2 5 2 12 2 2" xfId="21005" xr:uid="{00000000-0005-0000-0000-00000D520000}"/>
    <cellStyle name="Normal 2 2 2 5 2 12 2 3" xfId="21006" xr:uid="{00000000-0005-0000-0000-00000E520000}"/>
    <cellStyle name="Normal 2 2 2 5 2 12 2 4" xfId="21007" xr:uid="{00000000-0005-0000-0000-00000F520000}"/>
    <cellStyle name="Normal 2 2 2 5 2 12 2 5" xfId="21008" xr:uid="{00000000-0005-0000-0000-000010520000}"/>
    <cellStyle name="Normal 2 2 2 5 2 12 2 6" xfId="21009" xr:uid="{00000000-0005-0000-0000-000011520000}"/>
    <cellStyle name="Normal 2 2 2 5 2 12 2 7" xfId="21010" xr:uid="{00000000-0005-0000-0000-000012520000}"/>
    <cellStyle name="Normal 2 2 2 5 2 12 2 8" xfId="21011" xr:uid="{00000000-0005-0000-0000-000013520000}"/>
    <cellStyle name="Normal 2 2 2 5 2 12 2 9" xfId="21012" xr:uid="{00000000-0005-0000-0000-000014520000}"/>
    <cellStyle name="Normal 2 2 2 5 2 12 3" xfId="21013" xr:uid="{00000000-0005-0000-0000-000015520000}"/>
    <cellStyle name="Normal 2 2 2 5 2 12 3 10" xfId="21014" xr:uid="{00000000-0005-0000-0000-000016520000}"/>
    <cellStyle name="Normal 2 2 2 5 2 12 3 2" xfId="21015" xr:uid="{00000000-0005-0000-0000-000017520000}"/>
    <cellStyle name="Normal 2 2 2 5 2 12 3 3" xfId="21016" xr:uid="{00000000-0005-0000-0000-000018520000}"/>
    <cellStyle name="Normal 2 2 2 5 2 12 3 4" xfId="21017" xr:uid="{00000000-0005-0000-0000-000019520000}"/>
    <cellStyle name="Normal 2 2 2 5 2 12 3 5" xfId="21018" xr:uid="{00000000-0005-0000-0000-00001A520000}"/>
    <cellStyle name="Normal 2 2 2 5 2 12 3 6" xfId="21019" xr:uid="{00000000-0005-0000-0000-00001B520000}"/>
    <cellStyle name="Normal 2 2 2 5 2 12 3 7" xfId="21020" xr:uid="{00000000-0005-0000-0000-00001C520000}"/>
    <cellStyle name="Normal 2 2 2 5 2 12 3 8" xfId="21021" xr:uid="{00000000-0005-0000-0000-00001D520000}"/>
    <cellStyle name="Normal 2 2 2 5 2 12 3 9" xfId="21022" xr:uid="{00000000-0005-0000-0000-00001E520000}"/>
    <cellStyle name="Normal 2 2 2 5 2 12 4" xfId="21023" xr:uid="{00000000-0005-0000-0000-00001F520000}"/>
    <cellStyle name="Normal 2 2 2 5 2 12 4 10" xfId="21024" xr:uid="{00000000-0005-0000-0000-000020520000}"/>
    <cellStyle name="Normal 2 2 2 5 2 12 4 2" xfId="21025" xr:uid="{00000000-0005-0000-0000-000021520000}"/>
    <cellStyle name="Normal 2 2 2 5 2 12 4 3" xfId="21026" xr:uid="{00000000-0005-0000-0000-000022520000}"/>
    <cellStyle name="Normal 2 2 2 5 2 12 4 4" xfId="21027" xr:uid="{00000000-0005-0000-0000-000023520000}"/>
    <cellStyle name="Normal 2 2 2 5 2 12 4 5" xfId="21028" xr:uid="{00000000-0005-0000-0000-000024520000}"/>
    <cellStyle name="Normal 2 2 2 5 2 12 4 6" xfId="21029" xr:uid="{00000000-0005-0000-0000-000025520000}"/>
    <cellStyle name="Normal 2 2 2 5 2 12 4 7" xfId="21030" xr:uid="{00000000-0005-0000-0000-000026520000}"/>
    <cellStyle name="Normal 2 2 2 5 2 12 4 8" xfId="21031" xr:uid="{00000000-0005-0000-0000-000027520000}"/>
    <cellStyle name="Normal 2 2 2 5 2 12 4 9" xfId="21032" xr:uid="{00000000-0005-0000-0000-000028520000}"/>
    <cellStyle name="Normal 2 2 2 5 2 12 5" xfId="21033" xr:uid="{00000000-0005-0000-0000-000029520000}"/>
    <cellStyle name="Normal 2 2 2 5 2 12 5 10" xfId="21034" xr:uid="{00000000-0005-0000-0000-00002A520000}"/>
    <cellStyle name="Normal 2 2 2 5 2 12 5 2" xfId="21035" xr:uid="{00000000-0005-0000-0000-00002B520000}"/>
    <cellStyle name="Normal 2 2 2 5 2 12 5 3" xfId="21036" xr:uid="{00000000-0005-0000-0000-00002C520000}"/>
    <cellStyle name="Normal 2 2 2 5 2 12 5 4" xfId="21037" xr:uid="{00000000-0005-0000-0000-00002D520000}"/>
    <cellStyle name="Normal 2 2 2 5 2 12 5 5" xfId="21038" xr:uid="{00000000-0005-0000-0000-00002E520000}"/>
    <cellStyle name="Normal 2 2 2 5 2 12 5 6" xfId="21039" xr:uid="{00000000-0005-0000-0000-00002F520000}"/>
    <cellStyle name="Normal 2 2 2 5 2 12 5 7" xfId="21040" xr:uid="{00000000-0005-0000-0000-000030520000}"/>
    <cellStyle name="Normal 2 2 2 5 2 12 5 8" xfId="21041" xr:uid="{00000000-0005-0000-0000-000031520000}"/>
    <cellStyle name="Normal 2 2 2 5 2 12 5 9" xfId="21042" xr:uid="{00000000-0005-0000-0000-000032520000}"/>
    <cellStyle name="Normal 2 2 2 5 2 12 6" xfId="21043" xr:uid="{00000000-0005-0000-0000-000033520000}"/>
    <cellStyle name="Normal 2 2 2 5 2 12 7" xfId="21044" xr:uid="{00000000-0005-0000-0000-000034520000}"/>
    <cellStyle name="Normal 2 2 2 5 2 12 8" xfId="21045" xr:uid="{00000000-0005-0000-0000-000035520000}"/>
    <cellStyle name="Normal 2 2 2 5 2 12 9" xfId="21046" xr:uid="{00000000-0005-0000-0000-000036520000}"/>
    <cellStyle name="Normal 2 2 2 5 2 13" xfId="21047" xr:uid="{00000000-0005-0000-0000-000037520000}"/>
    <cellStyle name="Normal 2 2 2 5 2 13 10" xfId="21048" xr:uid="{00000000-0005-0000-0000-000038520000}"/>
    <cellStyle name="Normal 2 2 2 5 2 13 11" xfId="21049" xr:uid="{00000000-0005-0000-0000-000039520000}"/>
    <cellStyle name="Normal 2 2 2 5 2 13 12" xfId="21050" xr:uid="{00000000-0005-0000-0000-00003A520000}"/>
    <cellStyle name="Normal 2 2 2 5 2 13 13" xfId="21051" xr:uid="{00000000-0005-0000-0000-00003B520000}"/>
    <cellStyle name="Normal 2 2 2 5 2 13 14" xfId="21052" xr:uid="{00000000-0005-0000-0000-00003C520000}"/>
    <cellStyle name="Normal 2 2 2 5 2 13 2" xfId="21053" xr:uid="{00000000-0005-0000-0000-00003D520000}"/>
    <cellStyle name="Normal 2 2 2 5 2 13 2 10" xfId="21054" xr:uid="{00000000-0005-0000-0000-00003E520000}"/>
    <cellStyle name="Normal 2 2 2 5 2 13 2 2" xfId="21055" xr:uid="{00000000-0005-0000-0000-00003F520000}"/>
    <cellStyle name="Normal 2 2 2 5 2 13 2 3" xfId="21056" xr:uid="{00000000-0005-0000-0000-000040520000}"/>
    <cellStyle name="Normal 2 2 2 5 2 13 2 4" xfId="21057" xr:uid="{00000000-0005-0000-0000-000041520000}"/>
    <cellStyle name="Normal 2 2 2 5 2 13 2 5" xfId="21058" xr:uid="{00000000-0005-0000-0000-000042520000}"/>
    <cellStyle name="Normal 2 2 2 5 2 13 2 6" xfId="21059" xr:uid="{00000000-0005-0000-0000-000043520000}"/>
    <cellStyle name="Normal 2 2 2 5 2 13 2 7" xfId="21060" xr:uid="{00000000-0005-0000-0000-000044520000}"/>
    <cellStyle name="Normal 2 2 2 5 2 13 2 8" xfId="21061" xr:uid="{00000000-0005-0000-0000-000045520000}"/>
    <cellStyle name="Normal 2 2 2 5 2 13 2 9" xfId="21062" xr:uid="{00000000-0005-0000-0000-000046520000}"/>
    <cellStyle name="Normal 2 2 2 5 2 13 3" xfId="21063" xr:uid="{00000000-0005-0000-0000-000047520000}"/>
    <cellStyle name="Normal 2 2 2 5 2 13 3 10" xfId="21064" xr:uid="{00000000-0005-0000-0000-000048520000}"/>
    <cellStyle name="Normal 2 2 2 5 2 13 3 2" xfId="21065" xr:uid="{00000000-0005-0000-0000-000049520000}"/>
    <cellStyle name="Normal 2 2 2 5 2 13 3 3" xfId="21066" xr:uid="{00000000-0005-0000-0000-00004A520000}"/>
    <cellStyle name="Normal 2 2 2 5 2 13 3 4" xfId="21067" xr:uid="{00000000-0005-0000-0000-00004B520000}"/>
    <cellStyle name="Normal 2 2 2 5 2 13 3 5" xfId="21068" xr:uid="{00000000-0005-0000-0000-00004C520000}"/>
    <cellStyle name="Normal 2 2 2 5 2 13 3 6" xfId="21069" xr:uid="{00000000-0005-0000-0000-00004D520000}"/>
    <cellStyle name="Normal 2 2 2 5 2 13 3 7" xfId="21070" xr:uid="{00000000-0005-0000-0000-00004E520000}"/>
    <cellStyle name="Normal 2 2 2 5 2 13 3 8" xfId="21071" xr:uid="{00000000-0005-0000-0000-00004F520000}"/>
    <cellStyle name="Normal 2 2 2 5 2 13 3 9" xfId="21072" xr:uid="{00000000-0005-0000-0000-000050520000}"/>
    <cellStyle name="Normal 2 2 2 5 2 13 4" xfId="21073" xr:uid="{00000000-0005-0000-0000-000051520000}"/>
    <cellStyle name="Normal 2 2 2 5 2 13 4 10" xfId="21074" xr:uid="{00000000-0005-0000-0000-000052520000}"/>
    <cellStyle name="Normal 2 2 2 5 2 13 4 2" xfId="21075" xr:uid="{00000000-0005-0000-0000-000053520000}"/>
    <cellStyle name="Normal 2 2 2 5 2 13 4 3" xfId="21076" xr:uid="{00000000-0005-0000-0000-000054520000}"/>
    <cellStyle name="Normal 2 2 2 5 2 13 4 4" xfId="21077" xr:uid="{00000000-0005-0000-0000-000055520000}"/>
    <cellStyle name="Normal 2 2 2 5 2 13 4 5" xfId="21078" xr:uid="{00000000-0005-0000-0000-000056520000}"/>
    <cellStyle name="Normal 2 2 2 5 2 13 4 6" xfId="21079" xr:uid="{00000000-0005-0000-0000-000057520000}"/>
    <cellStyle name="Normal 2 2 2 5 2 13 4 7" xfId="21080" xr:uid="{00000000-0005-0000-0000-000058520000}"/>
    <cellStyle name="Normal 2 2 2 5 2 13 4 8" xfId="21081" xr:uid="{00000000-0005-0000-0000-000059520000}"/>
    <cellStyle name="Normal 2 2 2 5 2 13 4 9" xfId="21082" xr:uid="{00000000-0005-0000-0000-00005A520000}"/>
    <cellStyle name="Normal 2 2 2 5 2 13 5" xfId="21083" xr:uid="{00000000-0005-0000-0000-00005B520000}"/>
    <cellStyle name="Normal 2 2 2 5 2 13 5 10" xfId="21084" xr:uid="{00000000-0005-0000-0000-00005C520000}"/>
    <cellStyle name="Normal 2 2 2 5 2 13 5 2" xfId="21085" xr:uid="{00000000-0005-0000-0000-00005D520000}"/>
    <cellStyle name="Normal 2 2 2 5 2 13 5 3" xfId="21086" xr:uid="{00000000-0005-0000-0000-00005E520000}"/>
    <cellStyle name="Normal 2 2 2 5 2 13 5 4" xfId="21087" xr:uid="{00000000-0005-0000-0000-00005F520000}"/>
    <cellStyle name="Normal 2 2 2 5 2 13 5 5" xfId="21088" xr:uid="{00000000-0005-0000-0000-000060520000}"/>
    <cellStyle name="Normal 2 2 2 5 2 13 5 6" xfId="21089" xr:uid="{00000000-0005-0000-0000-000061520000}"/>
    <cellStyle name="Normal 2 2 2 5 2 13 5 7" xfId="21090" xr:uid="{00000000-0005-0000-0000-000062520000}"/>
    <cellStyle name="Normal 2 2 2 5 2 13 5 8" xfId="21091" xr:uid="{00000000-0005-0000-0000-000063520000}"/>
    <cellStyle name="Normal 2 2 2 5 2 13 5 9" xfId="21092" xr:uid="{00000000-0005-0000-0000-000064520000}"/>
    <cellStyle name="Normal 2 2 2 5 2 13 6" xfId="21093" xr:uid="{00000000-0005-0000-0000-000065520000}"/>
    <cellStyle name="Normal 2 2 2 5 2 13 7" xfId="21094" xr:uid="{00000000-0005-0000-0000-000066520000}"/>
    <cellStyle name="Normal 2 2 2 5 2 13 8" xfId="21095" xr:uid="{00000000-0005-0000-0000-000067520000}"/>
    <cellStyle name="Normal 2 2 2 5 2 13 9" xfId="21096" xr:uid="{00000000-0005-0000-0000-000068520000}"/>
    <cellStyle name="Normal 2 2 2 5 2 14" xfId="21097" xr:uid="{00000000-0005-0000-0000-000069520000}"/>
    <cellStyle name="Normal 2 2 2 5 2 14 10" xfId="21098" xr:uid="{00000000-0005-0000-0000-00006A520000}"/>
    <cellStyle name="Normal 2 2 2 5 2 14 11" xfId="21099" xr:uid="{00000000-0005-0000-0000-00006B520000}"/>
    <cellStyle name="Normal 2 2 2 5 2 14 12" xfId="21100" xr:uid="{00000000-0005-0000-0000-00006C520000}"/>
    <cellStyle name="Normal 2 2 2 5 2 14 13" xfId="21101" xr:uid="{00000000-0005-0000-0000-00006D520000}"/>
    <cellStyle name="Normal 2 2 2 5 2 14 14" xfId="21102" xr:uid="{00000000-0005-0000-0000-00006E520000}"/>
    <cellStyle name="Normal 2 2 2 5 2 14 2" xfId="21103" xr:uid="{00000000-0005-0000-0000-00006F520000}"/>
    <cellStyle name="Normal 2 2 2 5 2 14 2 10" xfId="21104" xr:uid="{00000000-0005-0000-0000-000070520000}"/>
    <cellStyle name="Normal 2 2 2 5 2 14 2 2" xfId="21105" xr:uid="{00000000-0005-0000-0000-000071520000}"/>
    <cellStyle name="Normal 2 2 2 5 2 14 2 3" xfId="21106" xr:uid="{00000000-0005-0000-0000-000072520000}"/>
    <cellStyle name="Normal 2 2 2 5 2 14 2 4" xfId="21107" xr:uid="{00000000-0005-0000-0000-000073520000}"/>
    <cellStyle name="Normal 2 2 2 5 2 14 2 5" xfId="21108" xr:uid="{00000000-0005-0000-0000-000074520000}"/>
    <cellStyle name="Normal 2 2 2 5 2 14 2 6" xfId="21109" xr:uid="{00000000-0005-0000-0000-000075520000}"/>
    <cellStyle name="Normal 2 2 2 5 2 14 2 7" xfId="21110" xr:uid="{00000000-0005-0000-0000-000076520000}"/>
    <cellStyle name="Normal 2 2 2 5 2 14 2 8" xfId="21111" xr:uid="{00000000-0005-0000-0000-000077520000}"/>
    <cellStyle name="Normal 2 2 2 5 2 14 2 9" xfId="21112" xr:uid="{00000000-0005-0000-0000-000078520000}"/>
    <cellStyle name="Normal 2 2 2 5 2 14 3" xfId="21113" xr:uid="{00000000-0005-0000-0000-000079520000}"/>
    <cellStyle name="Normal 2 2 2 5 2 14 3 10" xfId="21114" xr:uid="{00000000-0005-0000-0000-00007A520000}"/>
    <cellStyle name="Normal 2 2 2 5 2 14 3 2" xfId="21115" xr:uid="{00000000-0005-0000-0000-00007B520000}"/>
    <cellStyle name="Normal 2 2 2 5 2 14 3 3" xfId="21116" xr:uid="{00000000-0005-0000-0000-00007C520000}"/>
    <cellStyle name="Normal 2 2 2 5 2 14 3 4" xfId="21117" xr:uid="{00000000-0005-0000-0000-00007D520000}"/>
    <cellStyle name="Normal 2 2 2 5 2 14 3 5" xfId="21118" xr:uid="{00000000-0005-0000-0000-00007E520000}"/>
    <cellStyle name="Normal 2 2 2 5 2 14 3 6" xfId="21119" xr:uid="{00000000-0005-0000-0000-00007F520000}"/>
    <cellStyle name="Normal 2 2 2 5 2 14 3 7" xfId="21120" xr:uid="{00000000-0005-0000-0000-000080520000}"/>
    <cellStyle name="Normal 2 2 2 5 2 14 3 8" xfId="21121" xr:uid="{00000000-0005-0000-0000-000081520000}"/>
    <cellStyle name="Normal 2 2 2 5 2 14 3 9" xfId="21122" xr:uid="{00000000-0005-0000-0000-000082520000}"/>
    <cellStyle name="Normal 2 2 2 5 2 14 4" xfId="21123" xr:uid="{00000000-0005-0000-0000-000083520000}"/>
    <cellStyle name="Normal 2 2 2 5 2 14 4 10" xfId="21124" xr:uid="{00000000-0005-0000-0000-000084520000}"/>
    <cellStyle name="Normal 2 2 2 5 2 14 4 2" xfId="21125" xr:uid="{00000000-0005-0000-0000-000085520000}"/>
    <cellStyle name="Normal 2 2 2 5 2 14 4 3" xfId="21126" xr:uid="{00000000-0005-0000-0000-000086520000}"/>
    <cellStyle name="Normal 2 2 2 5 2 14 4 4" xfId="21127" xr:uid="{00000000-0005-0000-0000-000087520000}"/>
    <cellStyle name="Normal 2 2 2 5 2 14 4 5" xfId="21128" xr:uid="{00000000-0005-0000-0000-000088520000}"/>
    <cellStyle name="Normal 2 2 2 5 2 14 4 6" xfId="21129" xr:uid="{00000000-0005-0000-0000-000089520000}"/>
    <cellStyle name="Normal 2 2 2 5 2 14 4 7" xfId="21130" xr:uid="{00000000-0005-0000-0000-00008A520000}"/>
    <cellStyle name="Normal 2 2 2 5 2 14 4 8" xfId="21131" xr:uid="{00000000-0005-0000-0000-00008B520000}"/>
    <cellStyle name="Normal 2 2 2 5 2 14 4 9" xfId="21132" xr:uid="{00000000-0005-0000-0000-00008C520000}"/>
    <cellStyle name="Normal 2 2 2 5 2 14 5" xfId="21133" xr:uid="{00000000-0005-0000-0000-00008D520000}"/>
    <cellStyle name="Normal 2 2 2 5 2 14 5 10" xfId="21134" xr:uid="{00000000-0005-0000-0000-00008E520000}"/>
    <cellStyle name="Normal 2 2 2 5 2 14 5 2" xfId="21135" xr:uid="{00000000-0005-0000-0000-00008F520000}"/>
    <cellStyle name="Normal 2 2 2 5 2 14 5 3" xfId="21136" xr:uid="{00000000-0005-0000-0000-000090520000}"/>
    <cellStyle name="Normal 2 2 2 5 2 14 5 4" xfId="21137" xr:uid="{00000000-0005-0000-0000-000091520000}"/>
    <cellStyle name="Normal 2 2 2 5 2 14 5 5" xfId="21138" xr:uid="{00000000-0005-0000-0000-000092520000}"/>
    <cellStyle name="Normal 2 2 2 5 2 14 5 6" xfId="21139" xr:uid="{00000000-0005-0000-0000-000093520000}"/>
    <cellStyle name="Normal 2 2 2 5 2 14 5 7" xfId="21140" xr:uid="{00000000-0005-0000-0000-000094520000}"/>
    <cellStyle name="Normal 2 2 2 5 2 14 5 8" xfId="21141" xr:uid="{00000000-0005-0000-0000-000095520000}"/>
    <cellStyle name="Normal 2 2 2 5 2 14 5 9" xfId="21142" xr:uid="{00000000-0005-0000-0000-000096520000}"/>
    <cellStyle name="Normal 2 2 2 5 2 14 6" xfId="21143" xr:uid="{00000000-0005-0000-0000-000097520000}"/>
    <cellStyle name="Normal 2 2 2 5 2 14 7" xfId="21144" xr:uid="{00000000-0005-0000-0000-000098520000}"/>
    <cellStyle name="Normal 2 2 2 5 2 14 8" xfId="21145" xr:uid="{00000000-0005-0000-0000-000099520000}"/>
    <cellStyle name="Normal 2 2 2 5 2 14 9" xfId="21146" xr:uid="{00000000-0005-0000-0000-00009A520000}"/>
    <cellStyle name="Normal 2 2 2 5 2 15" xfId="21147" xr:uid="{00000000-0005-0000-0000-00009B520000}"/>
    <cellStyle name="Normal 2 2 2 5 2 15 10" xfId="21148" xr:uid="{00000000-0005-0000-0000-00009C520000}"/>
    <cellStyle name="Normal 2 2 2 5 2 15 11" xfId="21149" xr:uid="{00000000-0005-0000-0000-00009D520000}"/>
    <cellStyle name="Normal 2 2 2 5 2 15 12" xfId="21150" xr:uid="{00000000-0005-0000-0000-00009E520000}"/>
    <cellStyle name="Normal 2 2 2 5 2 15 13" xfId="21151" xr:uid="{00000000-0005-0000-0000-00009F520000}"/>
    <cellStyle name="Normal 2 2 2 5 2 15 14" xfId="21152" xr:uid="{00000000-0005-0000-0000-0000A0520000}"/>
    <cellStyle name="Normal 2 2 2 5 2 15 2" xfId="21153" xr:uid="{00000000-0005-0000-0000-0000A1520000}"/>
    <cellStyle name="Normal 2 2 2 5 2 15 2 10" xfId="21154" xr:uid="{00000000-0005-0000-0000-0000A2520000}"/>
    <cellStyle name="Normal 2 2 2 5 2 15 2 2" xfId="21155" xr:uid="{00000000-0005-0000-0000-0000A3520000}"/>
    <cellStyle name="Normal 2 2 2 5 2 15 2 3" xfId="21156" xr:uid="{00000000-0005-0000-0000-0000A4520000}"/>
    <cellStyle name="Normal 2 2 2 5 2 15 2 4" xfId="21157" xr:uid="{00000000-0005-0000-0000-0000A5520000}"/>
    <cellStyle name="Normal 2 2 2 5 2 15 2 5" xfId="21158" xr:uid="{00000000-0005-0000-0000-0000A6520000}"/>
    <cellStyle name="Normal 2 2 2 5 2 15 2 6" xfId="21159" xr:uid="{00000000-0005-0000-0000-0000A7520000}"/>
    <cellStyle name="Normal 2 2 2 5 2 15 2 7" xfId="21160" xr:uid="{00000000-0005-0000-0000-0000A8520000}"/>
    <cellStyle name="Normal 2 2 2 5 2 15 2 8" xfId="21161" xr:uid="{00000000-0005-0000-0000-0000A9520000}"/>
    <cellStyle name="Normal 2 2 2 5 2 15 2 9" xfId="21162" xr:uid="{00000000-0005-0000-0000-0000AA520000}"/>
    <cellStyle name="Normal 2 2 2 5 2 15 3" xfId="21163" xr:uid="{00000000-0005-0000-0000-0000AB520000}"/>
    <cellStyle name="Normal 2 2 2 5 2 15 3 10" xfId="21164" xr:uid="{00000000-0005-0000-0000-0000AC520000}"/>
    <cellStyle name="Normal 2 2 2 5 2 15 3 2" xfId="21165" xr:uid="{00000000-0005-0000-0000-0000AD520000}"/>
    <cellStyle name="Normal 2 2 2 5 2 15 3 3" xfId="21166" xr:uid="{00000000-0005-0000-0000-0000AE520000}"/>
    <cellStyle name="Normal 2 2 2 5 2 15 3 4" xfId="21167" xr:uid="{00000000-0005-0000-0000-0000AF520000}"/>
    <cellStyle name="Normal 2 2 2 5 2 15 3 5" xfId="21168" xr:uid="{00000000-0005-0000-0000-0000B0520000}"/>
    <cellStyle name="Normal 2 2 2 5 2 15 3 6" xfId="21169" xr:uid="{00000000-0005-0000-0000-0000B1520000}"/>
    <cellStyle name="Normal 2 2 2 5 2 15 3 7" xfId="21170" xr:uid="{00000000-0005-0000-0000-0000B2520000}"/>
    <cellStyle name="Normal 2 2 2 5 2 15 3 8" xfId="21171" xr:uid="{00000000-0005-0000-0000-0000B3520000}"/>
    <cellStyle name="Normal 2 2 2 5 2 15 3 9" xfId="21172" xr:uid="{00000000-0005-0000-0000-0000B4520000}"/>
    <cellStyle name="Normal 2 2 2 5 2 15 4" xfId="21173" xr:uid="{00000000-0005-0000-0000-0000B5520000}"/>
    <cellStyle name="Normal 2 2 2 5 2 15 4 10" xfId="21174" xr:uid="{00000000-0005-0000-0000-0000B6520000}"/>
    <cellStyle name="Normal 2 2 2 5 2 15 4 2" xfId="21175" xr:uid="{00000000-0005-0000-0000-0000B7520000}"/>
    <cellStyle name="Normal 2 2 2 5 2 15 4 3" xfId="21176" xr:uid="{00000000-0005-0000-0000-0000B8520000}"/>
    <cellStyle name="Normal 2 2 2 5 2 15 4 4" xfId="21177" xr:uid="{00000000-0005-0000-0000-0000B9520000}"/>
    <cellStyle name="Normal 2 2 2 5 2 15 4 5" xfId="21178" xr:uid="{00000000-0005-0000-0000-0000BA520000}"/>
    <cellStyle name="Normal 2 2 2 5 2 15 4 6" xfId="21179" xr:uid="{00000000-0005-0000-0000-0000BB520000}"/>
    <cellStyle name="Normal 2 2 2 5 2 15 4 7" xfId="21180" xr:uid="{00000000-0005-0000-0000-0000BC520000}"/>
    <cellStyle name="Normal 2 2 2 5 2 15 4 8" xfId="21181" xr:uid="{00000000-0005-0000-0000-0000BD520000}"/>
    <cellStyle name="Normal 2 2 2 5 2 15 4 9" xfId="21182" xr:uid="{00000000-0005-0000-0000-0000BE520000}"/>
    <cellStyle name="Normal 2 2 2 5 2 15 5" xfId="21183" xr:uid="{00000000-0005-0000-0000-0000BF520000}"/>
    <cellStyle name="Normal 2 2 2 5 2 15 5 10" xfId="21184" xr:uid="{00000000-0005-0000-0000-0000C0520000}"/>
    <cellStyle name="Normal 2 2 2 5 2 15 5 2" xfId="21185" xr:uid="{00000000-0005-0000-0000-0000C1520000}"/>
    <cellStyle name="Normal 2 2 2 5 2 15 5 3" xfId="21186" xr:uid="{00000000-0005-0000-0000-0000C2520000}"/>
    <cellStyle name="Normal 2 2 2 5 2 15 5 4" xfId="21187" xr:uid="{00000000-0005-0000-0000-0000C3520000}"/>
    <cellStyle name="Normal 2 2 2 5 2 15 5 5" xfId="21188" xr:uid="{00000000-0005-0000-0000-0000C4520000}"/>
    <cellStyle name="Normal 2 2 2 5 2 15 5 6" xfId="21189" xr:uid="{00000000-0005-0000-0000-0000C5520000}"/>
    <cellStyle name="Normal 2 2 2 5 2 15 5 7" xfId="21190" xr:uid="{00000000-0005-0000-0000-0000C6520000}"/>
    <cellStyle name="Normal 2 2 2 5 2 15 5 8" xfId="21191" xr:uid="{00000000-0005-0000-0000-0000C7520000}"/>
    <cellStyle name="Normal 2 2 2 5 2 15 5 9" xfId="21192" xr:uid="{00000000-0005-0000-0000-0000C8520000}"/>
    <cellStyle name="Normal 2 2 2 5 2 15 6" xfId="21193" xr:uid="{00000000-0005-0000-0000-0000C9520000}"/>
    <cellStyle name="Normal 2 2 2 5 2 15 7" xfId="21194" xr:uid="{00000000-0005-0000-0000-0000CA520000}"/>
    <cellStyle name="Normal 2 2 2 5 2 15 8" xfId="21195" xr:uid="{00000000-0005-0000-0000-0000CB520000}"/>
    <cellStyle name="Normal 2 2 2 5 2 15 9" xfId="21196" xr:uid="{00000000-0005-0000-0000-0000CC520000}"/>
    <cellStyle name="Normal 2 2 2 5 2 16" xfId="21197" xr:uid="{00000000-0005-0000-0000-0000CD520000}"/>
    <cellStyle name="Normal 2 2 2 5 2 16 10" xfId="21198" xr:uid="{00000000-0005-0000-0000-0000CE520000}"/>
    <cellStyle name="Normal 2 2 2 5 2 16 11" xfId="21199" xr:uid="{00000000-0005-0000-0000-0000CF520000}"/>
    <cellStyle name="Normal 2 2 2 5 2 16 12" xfId="21200" xr:uid="{00000000-0005-0000-0000-0000D0520000}"/>
    <cellStyle name="Normal 2 2 2 5 2 16 13" xfId="21201" xr:uid="{00000000-0005-0000-0000-0000D1520000}"/>
    <cellStyle name="Normal 2 2 2 5 2 16 14" xfId="21202" xr:uid="{00000000-0005-0000-0000-0000D2520000}"/>
    <cellStyle name="Normal 2 2 2 5 2 16 2" xfId="21203" xr:uid="{00000000-0005-0000-0000-0000D3520000}"/>
    <cellStyle name="Normal 2 2 2 5 2 16 2 10" xfId="21204" xr:uid="{00000000-0005-0000-0000-0000D4520000}"/>
    <cellStyle name="Normal 2 2 2 5 2 16 2 2" xfId="21205" xr:uid="{00000000-0005-0000-0000-0000D5520000}"/>
    <cellStyle name="Normal 2 2 2 5 2 16 2 3" xfId="21206" xr:uid="{00000000-0005-0000-0000-0000D6520000}"/>
    <cellStyle name="Normal 2 2 2 5 2 16 2 4" xfId="21207" xr:uid="{00000000-0005-0000-0000-0000D7520000}"/>
    <cellStyle name="Normal 2 2 2 5 2 16 2 5" xfId="21208" xr:uid="{00000000-0005-0000-0000-0000D8520000}"/>
    <cellStyle name="Normal 2 2 2 5 2 16 2 6" xfId="21209" xr:uid="{00000000-0005-0000-0000-0000D9520000}"/>
    <cellStyle name="Normal 2 2 2 5 2 16 2 7" xfId="21210" xr:uid="{00000000-0005-0000-0000-0000DA520000}"/>
    <cellStyle name="Normal 2 2 2 5 2 16 2 8" xfId="21211" xr:uid="{00000000-0005-0000-0000-0000DB520000}"/>
    <cellStyle name="Normal 2 2 2 5 2 16 2 9" xfId="21212" xr:uid="{00000000-0005-0000-0000-0000DC520000}"/>
    <cellStyle name="Normal 2 2 2 5 2 16 3" xfId="21213" xr:uid="{00000000-0005-0000-0000-0000DD520000}"/>
    <cellStyle name="Normal 2 2 2 5 2 16 3 10" xfId="21214" xr:uid="{00000000-0005-0000-0000-0000DE520000}"/>
    <cellStyle name="Normal 2 2 2 5 2 16 3 2" xfId="21215" xr:uid="{00000000-0005-0000-0000-0000DF520000}"/>
    <cellStyle name="Normal 2 2 2 5 2 16 3 3" xfId="21216" xr:uid="{00000000-0005-0000-0000-0000E0520000}"/>
    <cellStyle name="Normal 2 2 2 5 2 16 3 4" xfId="21217" xr:uid="{00000000-0005-0000-0000-0000E1520000}"/>
    <cellStyle name="Normal 2 2 2 5 2 16 3 5" xfId="21218" xr:uid="{00000000-0005-0000-0000-0000E2520000}"/>
    <cellStyle name="Normal 2 2 2 5 2 16 3 6" xfId="21219" xr:uid="{00000000-0005-0000-0000-0000E3520000}"/>
    <cellStyle name="Normal 2 2 2 5 2 16 3 7" xfId="21220" xr:uid="{00000000-0005-0000-0000-0000E4520000}"/>
    <cellStyle name="Normal 2 2 2 5 2 16 3 8" xfId="21221" xr:uid="{00000000-0005-0000-0000-0000E5520000}"/>
    <cellStyle name="Normal 2 2 2 5 2 16 3 9" xfId="21222" xr:uid="{00000000-0005-0000-0000-0000E6520000}"/>
    <cellStyle name="Normal 2 2 2 5 2 16 4" xfId="21223" xr:uid="{00000000-0005-0000-0000-0000E7520000}"/>
    <cellStyle name="Normal 2 2 2 5 2 16 4 10" xfId="21224" xr:uid="{00000000-0005-0000-0000-0000E8520000}"/>
    <cellStyle name="Normal 2 2 2 5 2 16 4 2" xfId="21225" xr:uid="{00000000-0005-0000-0000-0000E9520000}"/>
    <cellStyle name="Normal 2 2 2 5 2 16 4 3" xfId="21226" xr:uid="{00000000-0005-0000-0000-0000EA520000}"/>
    <cellStyle name="Normal 2 2 2 5 2 16 4 4" xfId="21227" xr:uid="{00000000-0005-0000-0000-0000EB520000}"/>
    <cellStyle name="Normal 2 2 2 5 2 16 4 5" xfId="21228" xr:uid="{00000000-0005-0000-0000-0000EC520000}"/>
    <cellStyle name="Normal 2 2 2 5 2 16 4 6" xfId="21229" xr:uid="{00000000-0005-0000-0000-0000ED520000}"/>
    <cellStyle name="Normal 2 2 2 5 2 16 4 7" xfId="21230" xr:uid="{00000000-0005-0000-0000-0000EE520000}"/>
    <cellStyle name="Normal 2 2 2 5 2 16 4 8" xfId="21231" xr:uid="{00000000-0005-0000-0000-0000EF520000}"/>
    <cellStyle name="Normal 2 2 2 5 2 16 4 9" xfId="21232" xr:uid="{00000000-0005-0000-0000-0000F0520000}"/>
    <cellStyle name="Normal 2 2 2 5 2 16 5" xfId="21233" xr:uid="{00000000-0005-0000-0000-0000F1520000}"/>
    <cellStyle name="Normal 2 2 2 5 2 16 5 10" xfId="21234" xr:uid="{00000000-0005-0000-0000-0000F2520000}"/>
    <cellStyle name="Normal 2 2 2 5 2 16 5 2" xfId="21235" xr:uid="{00000000-0005-0000-0000-0000F3520000}"/>
    <cellStyle name="Normal 2 2 2 5 2 16 5 3" xfId="21236" xr:uid="{00000000-0005-0000-0000-0000F4520000}"/>
    <cellStyle name="Normal 2 2 2 5 2 16 5 4" xfId="21237" xr:uid="{00000000-0005-0000-0000-0000F5520000}"/>
    <cellStyle name="Normal 2 2 2 5 2 16 5 5" xfId="21238" xr:uid="{00000000-0005-0000-0000-0000F6520000}"/>
    <cellStyle name="Normal 2 2 2 5 2 16 5 6" xfId="21239" xr:uid="{00000000-0005-0000-0000-0000F7520000}"/>
    <cellStyle name="Normal 2 2 2 5 2 16 5 7" xfId="21240" xr:uid="{00000000-0005-0000-0000-0000F8520000}"/>
    <cellStyle name="Normal 2 2 2 5 2 16 5 8" xfId="21241" xr:uid="{00000000-0005-0000-0000-0000F9520000}"/>
    <cellStyle name="Normal 2 2 2 5 2 16 5 9" xfId="21242" xr:uid="{00000000-0005-0000-0000-0000FA520000}"/>
    <cellStyle name="Normal 2 2 2 5 2 16 6" xfId="21243" xr:uid="{00000000-0005-0000-0000-0000FB520000}"/>
    <cellStyle name="Normal 2 2 2 5 2 16 7" xfId="21244" xr:uid="{00000000-0005-0000-0000-0000FC520000}"/>
    <cellStyle name="Normal 2 2 2 5 2 16 8" xfId="21245" xr:uid="{00000000-0005-0000-0000-0000FD520000}"/>
    <cellStyle name="Normal 2 2 2 5 2 16 9" xfId="21246" xr:uid="{00000000-0005-0000-0000-0000FE520000}"/>
    <cellStyle name="Normal 2 2 2 5 2 17" xfId="21247" xr:uid="{00000000-0005-0000-0000-0000FF520000}"/>
    <cellStyle name="Normal 2 2 2 5 2 17 10" xfId="21248" xr:uid="{00000000-0005-0000-0000-000000530000}"/>
    <cellStyle name="Normal 2 2 2 5 2 17 11" xfId="21249" xr:uid="{00000000-0005-0000-0000-000001530000}"/>
    <cellStyle name="Normal 2 2 2 5 2 17 12" xfId="21250" xr:uid="{00000000-0005-0000-0000-000002530000}"/>
    <cellStyle name="Normal 2 2 2 5 2 17 13" xfId="21251" xr:uid="{00000000-0005-0000-0000-000003530000}"/>
    <cellStyle name="Normal 2 2 2 5 2 17 14" xfId="21252" xr:uid="{00000000-0005-0000-0000-000004530000}"/>
    <cellStyle name="Normal 2 2 2 5 2 17 2" xfId="21253" xr:uid="{00000000-0005-0000-0000-000005530000}"/>
    <cellStyle name="Normal 2 2 2 5 2 17 2 10" xfId="21254" xr:uid="{00000000-0005-0000-0000-000006530000}"/>
    <cellStyle name="Normal 2 2 2 5 2 17 2 2" xfId="21255" xr:uid="{00000000-0005-0000-0000-000007530000}"/>
    <cellStyle name="Normal 2 2 2 5 2 17 2 3" xfId="21256" xr:uid="{00000000-0005-0000-0000-000008530000}"/>
    <cellStyle name="Normal 2 2 2 5 2 17 2 4" xfId="21257" xr:uid="{00000000-0005-0000-0000-000009530000}"/>
    <cellStyle name="Normal 2 2 2 5 2 17 2 5" xfId="21258" xr:uid="{00000000-0005-0000-0000-00000A530000}"/>
    <cellStyle name="Normal 2 2 2 5 2 17 2 6" xfId="21259" xr:uid="{00000000-0005-0000-0000-00000B530000}"/>
    <cellStyle name="Normal 2 2 2 5 2 17 2 7" xfId="21260" xr:uid="{00000000-0005-0000-0000-00000C530000}"/>
    <cellStyle name="Normal 2 2 2 5 2 17 2 8" xfId="21261" xr:uid="{00000000-0005-0000-0000-00000D530000}"/>
    <cellStyle name="Normal 2 2 2 5 2 17 2 9" xfId="21262" xr:uid="{00000000-0005-0000-0000-00000E530000}"/>
    <cellStyle name="Normal 2 2 2 5 2 17 3" xfId="21263" xr:uid="{00000000-0005-0000-0000-00000F530000}"/>
    <cellStyle name="Normal 2 2 2 5 2 17 3 10" xfId="21264" xr:uid="{00000000-0005-0000-0000-000010530000}"/>
    <cellStyle name="Normal 2 2 2 5 2 17 3 2" xfId="21265" xr:uid="{00000000-0005-0000-0000-000011530000}"/>
    <cellStyle name="Normal 2 2 2 5 2 17 3 3" xfId="21266" xr:uid="{00000000-0005-0000-0000-000012530000}"/>
    <cellStyle name="Normal 2 2 2 5 2 17 3 4" xfId="21267" xr:uid="{00000000-0005-0000-0000-000013530000}"/>
    <cellStyle name="Normal 2 2 2 5 2 17 3 5" xfId="21268" xr:uid="{00000000-0005-0000-0000-000014530000}"/>
    <cellStyle name="Normal 2 2 2 5 2 17 3 6" xfId="21269" xr:uid="{00000000-0005-0000-0000-000015530000}"/>
    <cellStyle name="Normal 2 2 2 5 2 17 3 7" xfId="21270" xr:uid="{00000000-0005-0000-0000-000016530000}"/>
    <cellStyle name="Normal 2 2 2 5 2 17 3 8" xfId="21271" xr:uid="{00000000-0005-0000-0000-000017530000}"/>
    <cellStyle name="Normal 2 2 2 5 2 17 3 9" xfId="21272" xr:uid="{00000000-0005-0000-0000-000018530000}"/>
    <cellStyle name="Normal 2 2 2 5 2 17 4" xfId="21273" xr:uid="{00000000-0005-0000-0000-000019530000}"/>
    <cellStyle name="Normal 2 2 2 5 2 17 4 10" xfId="21274" xr:uid="{00000000-0005-0000-0000-00001A530000}"/>
    <cellStyle name="Normal 2 2 2 5 2 17 4 2" xfId="21275" xr:uid="{00000000-0005-0000-0000-00001B530000}"/>
    <cellStyle name="Normal 2 2 2 5 2 17 4 3" xfId="21276" xr:uid="{00000000-0005-0000-0000-00001C530000}"/>
    <cellStyle name="Normal 2 2 2 5 2 17 4 4" xfId="21277" xr:uid="{00000000-0005-0000-0000-00001D530000}"/>
    <cellStyle name="Normal 2 2 2 5 2 17 4 5" xfId="21278" xr:uid="{00000000-0005-0000-0000-00001E530000}"/>
    <cellStyle name="Normal 2 2 2 5 2 17 4 6" xfId="21279" xr:uid="{00000000-0005-0000-0000-00001F530000}"/>
    <cellStyle name="Normal 2 2 2 5 2 17 4 7" xfId="21280" xr:uid="{00000000-0005-0000-0000-000020530000}"/>
    <cellStyle name="Normal 2 2 2 5 2 17 4 8" xfId="21281" xr:uid="{00000000-0005-0000-0000-000021530000}"/>
    <cellStyle name="Normal 2 2 2 5 2 17 4 9" xfId="21282" xr:uid="{00000000-0005-0000-0000-000022530000}"/>
    <cellStyle name="Normal 2 2 2 5 2 17 5" xfId="21283" xr:uid="{00000000-0005-0000-0000-000023530000}"/>
    <cellStyle name="Normal 2 2 2 5 2 17 5 10" xfId="21284" xr:uid="{00000000-0005-0000-0000-000024530000}"/>
    <cellStyle name="Normal 2 2 2 5 2 17 5 2" xfId="21285" xr:uid="{00000000-0005-0000-0000-000025530000}"/>
    <cellStyle name="Normal 2 2 2 5 2 17 5 3" xfId="21286" xr:uid="{00000000-0005-0000-0000-000026530000}"/>
    <cellStyle name="Normal 2 2 2 5 2 17 5 4" xfId="21287" xr:uid="{00000000-0005-0000-0000-000027530000}"/>
    <cellStyle name="Normal 2 2 2 5 2 17 5 5" xfId="21288" xr:uid="{00000000-0005-0000-0000-000028530000}"/>
    <cellStyle name="Normal 2 2 2 5 2 17 5 6" xfId="21289" xr:uid="{00000000-0005-0000-0000-000029530000}"/>
    <cellStyle name="Normal 2 2 2 5 2 17 5 7" xfId="21290" xr:uid="{00000000-0005-0000-0000-00002A530000}"/>
    <cellStyle name="Normal 2 2 2 5 2 17 5 8" xfId="21291" xr:uid="{00000000-0005-0000-0000-00002B530000}"/>
    <cellStyle name="Normal 2 2 2 5 2 17 5 9" xfId="21292" xr:uid="{00000000-0005-0000-0000-00002C530000}"/>
    <cellStyle name="Normal 2 2 2 5 2 17 6" xfId="21293" xr:uid="{00000000-0005-0000-0000-00002D530000}"/>
    <cellStyle name="Normal 2 2 2 5 2 17 7" xfId="21294" xr:uid="{00000000-0005-0000-0000-00002E530000}"/>
    <cellStyle name="Normal 2 2 2 5 2 17 8" xfId="21295" xr:uid="{00000000-0005-0000-0000-00002F530000}"/>
    <cellStyle name="Normal 2 2 2 5 2 17 9" xfId="21296" xr:uid="{00000000-0005-0000-0000-000030530000}"/>
    <cellStyle name="Normal 2 2 2 5 2 18" xfId="21297" xr:uid="{00000000-0005-0000-0000-000031530000}"/>
    <cellStyle name="Normal 2 2 2 5 2 18 10" xfId="21298" xr:uid="{00000000-0005-0000-0000-000032530000}"/>
    <cellStyle name="Normal 2 2 2 5 2 18 11" xfId="21299" xr:uid="{00000000-0005-0000-0000-000033530000}"/>
    <cellStyle name="Normal 2 2 2 5 2 18 12" xfId="21300" xr:uid="{00000000-0005-0000-0000-000034530000}"/>
    <cellStyle name="Normal 2 2 2 5 2 18 13" xfId="21301" xr:uid="{00000000-0005-0000-0000-000035530000}"/>
    <cellStyle name="Normal 2 2 2 5 2 18 14" xfId="21302" xr:uid="{00000000-0005-0000-0000-000036530000}"/>
    <cellStyle name="Normal 2 2 2 5 2 18 2" xfId="21303" xr:uid="{00000000-0005-0000-0000-000037530000}"/>
    <cellStyle name="Normal 2 2 2 5 2 18 2 10" xfId="21304" xr:uid="{00000000-0005-0000-0000-000038530000}"/>
    <cellStyle name="Normal 2 2 2 5 2 18 2 2" xfId="21305" xr:uid="{00000000-0005-0000-0000-000039530000}"/>
    <cellStyle name="Normal 2 2 2 5 2 18 2 3" xfId="21306" xr:uid="{00000000-0005-0000-0000-00003A530000}"/>
    <cellStyle name="Normal 2 2 2 5 2 18 2 4" xfId="21307" xr:uid="{00000000-0005-0000-0000-00003B530000}"/>
    <cellStyle name="Normal 2 2 2 5 2 18 2 5" xfId="21308" xr:uid="{00000000-0005-0000-0000-00003C530000}"/>
    <cellStyle name="Normal 2 2 2 5 2 18 2 6" xfId="21309" xr:uid="{00000000-0005-0000-0000-00003D530000}"/>
    <cellStyle name="Normal 2 2 2 5 2 18 2 7" xfId="21310" xr:uid="{00000000-0005-0000-0000-00003E530000}"/>
    <cellStyle name="Normal 2 2 2 5 2 18 2 8" xfId="21311" xr:uid="{00000000-0005-0000-0000-00003F530000}"/>
    <cellStyle name="Normal 2 2 2 5 2 18 2 9" xfId="21312" xr:uid="{00000000-0005-0000-0000-000040530000}"/>
    <cellStyle name="Normal 2 2 2 5 2 18 3" xfId="21313" xr:uid="{00000000-0005-0000-0000-000041530000}"/>
    <cellStyle name="Normal 2 2 2 5 2 18 3 10" xfId="21314" xr:uid="{00000000-0005-0000-0000-000042530000}"/>
    <cellStyle name="Normal 2 2 2 5 2 18 3 2" xfId="21315" xr:uid="{00000000-0005-0000-0000-000043530000}"/>
    <cellStyle name="Normal 2 2 2 5 2 18 3 3" xfId="21316" xr:uid="{00000000-0005-0000-0000-000044530000}"/>
    <cellStyle name="Normal 2 2 2 5 2 18 3 4" xfId="21317" xr:uid="{00000000-0005-0000-0000-000045530000}"/>
    <cellStyle name="Normal 2 2 2 5 2 18 3 5" xfId="21318" xr:uid="{00000000-0005-0000-0000-000046530000}"/>
    <cellStyle name="Normal 2 2 2 5 2 18 3 6" xfId="21319" xr:uid="{00000000-0005-0000-0000-000047530000}"/>
    <cellStyle name="Normal 2 2 2 5 2 18 3 7" xfId="21320" xr:uid="{00000000-0005-0000-0000-000048530000}"/>
    <cellStyle name="Normal 2 2 2 5 2 18 3 8" xfId="21321" xr:uid="{00000000-0005-0000-0000-000049530000}"/>
    <cellStyle name="Normal 2 2 2 5 2 18 3 9" xfId="21322" xr:uid="{00000000-0005-0000-0000-00004A530000}"/>
    <cellStyle name="Normal 2 2 2 5 2 18 4" xfId="21323" xr:uid="{00000000-0005-0000-0000-00004B530000}"/>
    <cellStyle name="Normal 2 2 2 5 2 18 4 10" xfId="21324" xr:uid="{00000000-0005-0000-0000-00004C530000}"/>
    <cellStyle name="Normal 2 2 2 5 2 18 4 2" xfId="21325" xr:uid="{00000000-0005-0000-0000-00004D530000}"/>
    <cellStyle name="Normal 2 2 2 5 2 18 4 3" xfId="21326" xr:uid="{00000000-0005-0000-0000-00004E530000}"/>
    <cellStyle name="Normal 2 2 2 5 2 18 4 4" xfId="21327" xr:uid="{00000000-0005-0000-0000-00004F530000}"/>
    <cellStyle name="Normal 2 2 2 5 2 18 4 5" xfId="21328" xr:uid="{00000000-0005-0000-0000-000050530000}"/>
    <cellStyle name="Normal 2 2 2 5 2 18 4 6" xfId="21329" xr:uid="{00000000-0005-0000-0000-000051530000}"/>
    <cellStyle name="Normal 2 2 2 5 2 18 4 7" xfId="21330" xr:uid="{00000000-0005-0000-0000-000052530000}"/>
    <cellStyle name="Normal 2 2 2 5 2 18 4 8" xfId="21331" xr:uid="{00000000-0005-0000-0000-000053530000}"/>
    <cellStyle name="Normal 2 2 2 5 2 18 4 9" xfId="21332" xr:uid="{00000000-0005-0000-0000-000054530000}"/>
    <cellStyle name="Normal 2 2 2 5 2 18 5" xfId="21333" xr:uid="{00000000-0005-0000-0000-000055530000}"/>
    <cellStyle name="Normal 2 2 2 5 2 18 5 10" xfId="21334" xr:uid="{00000000-0005-0000-0000-000056530000}"/>
    <cellStyle name="Normal 2 2 2 5 2 18 5 2" xfId="21335" xr:uid="{00000000-0005-0000-0000-000057530000}"/>
    <cellStyle name="Normal 2 2 2 5 2 18 5 3" xfId="21336" xr:uid="{00000000-0005-0000-0000-000058530000}"/>
    <cellStyle name="Normal 2 2 2 5 2 18 5 4" xfId="21337" xr:uid="{00000000-0005-0000-0000-000059530000}"/>
    <cellStyle name="Normal 2 2 2 5 2 18 5 5" xfId="21338" xr:uid="{00000000-0005-0000-0000-00005A530000}"/>
    <cellStyle name="Normal 2 2 2 5 2 18 5 6" xfId="21339" xr:uid="{00000000-0005-0000-0000-00005B530000}"/>
    <cellStyle name="Normal 2 2 2 5 2 18 5 7" xfId="21340" xr:uid="{00000000-0005-0000-0000-00005C530000}"/>
    <cellStyle name="Normal 2 2 2 5 2 18 5 8" xfId="21341" xr:uid="{00000000-0005-0000-0000-00005D530000}"/>
    <cellStyle name="Normal 2 2 2 5 2 18 5 9" xfId="21342" xr:uid="{00000000-0005-0000-0000-00005E530000}"/>
    <cellStyle name="Normal 2 2 2 5 2 18 6" xfId="21343" xr:uid="{00000000-0005-0000-0000-00005F530000}"/>
    <cellStyle name="Normal 2 2 2 5 2 18 7" xfId="21344" xr:uid="{00000000-0005-0000-0000-000060530000}"/>
    <cellStyle name="Normal 2 2 2 5 2 18 8" xfId="21345" xr:uid="{00000000-0005-0000-0000-000061530000}"/>
    <cellStyle name="Normal 2 2 2 5 2 18 9" xfId="21346" xr:uid="{00000000-0005-0000-0000-000062530000}"/>
    <cellStyle name="Normal 2 2 2 5 2 19" xfId="21347" xr:uid="{00000000-0005-0000-0000-000063530000}"/>
    <cellStyle name="Normal 2 2 2 5 2 19 10" xfId="21348" xr:uid="{00000000-0005-0000-0000-000064530000}"/>
    <cellStyle name="Normal 2 2 2 5 2 19 11" xfId="21349" xr:uid="{00000000-0005-0000-0000-000065530000}"/>
    <cellStyle name="Normal 2 2 2 5 2 19 12" xfId="21350" xr:uid="{00000000-0005-0000-0000-000066530000}"/>
    <cellStyle name="Normal 2 2 2 5 2 19 13" xfId="21351" xr:uid="{00000000-0005-0000-0000-000067530000}"/>
    <cellStyle name="Normal 2 2 2 5 2 19 14" xfId="21352" xr:uid="{00000000-0005-0000-0000-000068530000}"/>
    <cellStyle name="Normal 2 2 2 5 2 19 2" xfId="21353" xr:uid="{00000000-0005-0000-0000-000069530000}"/>
    <cellStyle name="Normal 2 2 2 5 2 19 2 10" xfId="21354" xr:uid="{00000000-0005-0000-0000-00006A530000}"/>
    <cellStyle name="Normal 2 2 2 5 2 19 2 2" xfId="21355" xr:uid="{00000000-0005-0000-0000-00006B530000}"/>
    <cellStyle name="Normal 2 2 2 5 2 19 2 3" xfId="21356" xr:uid="{00000000-0005-0000-0000-00006C530000}"/>
    <cellStyle name="Normal 2 2 2 5 2 19 2 4" xfId="21357" xr:uid="{00000000-0005-0000-0000-00006D530000}"/>
    <cellStyle name="Normal 2 2 2 5 2 19 2 5" xfId="21358" xr:uid="{00000000-0005-0000-0000-00006E530000}"/>
    <cellStyle name="Normal 2 2 2 5 2 19 2 6" xfId="21359" xr:uid="{00000000-0005-0000-0000-00006F530000}"/>
    <cellStyle name="Normal 2 2 2 5 2 19 2 7" xfId="21360" xr:uid="{00000000-0005-0000-0000-000070530000}"/>
    <cellStyle name="Normal 2 2 2 5 2 19 2 8" xfId="21361" xr:uid="{00000000-0005-0000-0000-000071530000}"/>
    <cellStyle name="Normal 2 2 2 5 2 19 2 9" xfId="21362" xr:uid="{00000000-0005-0000-0000-000072530000}"/>
    <cellStyle name="Normal 2 2 2 5 2 19 3" xfId="21363" xr:uid="{00000000-0005-0000-0000-000073530000}"/>
    <cellStyle name="Normal 2 2 2 5 2 19 3 10" xfId="21364" xr:uid="{00000000-0005-0000-0000-000074530000}"/>
    <cellStyle name="Normal 2 2 2 5 2 19 3 2" xfId="21365" xr:uid="{00000000-0005-0000-0000-000075530000}"/>
    <cellStyle name="Normal 2 2 2 5 2 19 3 3" xfId="21366" xr:uid="{00000000-0005-0000-0000-000076530000}"/>
    <cellStyle name="Normal 2 2 2 5 2 19 3 4" xfId="21367" xr:uid="{00000000-0005-0000-0000-000077530000}"/>
    <cellStyle name="Normal 2 2 2 5 2 19 3 5" xfId="21368" xr:uid="{00000000-0005-0000-0000-000078530000}"/>
    <cellStyle name="Normal 2 2 2 5 2 19 3 6" xfId="21369" xr:uid="{00000000-0005-0000-0000-000079530000}"/>
    <cellStyle name="Normal 2 2 2 5 2 19 3 7" xfId="21370" xr:uid="{00000000-0005-0000-0000-00007A530000}"/>
    <cellStyle name="Normal 2 2 2 5 2 19 3 8" xfId="21371" xr:uid="{00000000-0005-0000-0000-00007B530000}"/>
    <cellStyle name="Normal 2 2 2 5 2 19 3 9" xfId="21372" xr:uid="{00000000-0005-0000-0000-00007C530000}"/>
    <cellStyle name="Normal 2 2 2 5 2 19 4" xfId="21373" xr:uid="{00000000-0005-0000-0000-00007D530000}"/>
    <cellStyle name="Normal 2 2 2 5 2 19 4 10" xfId="21374" xr:uid="{00000000-0005-0000-0000-00007E530000}"/>
    <cellStyle name="Normal 2 2 2 5 2 19 4 2" xfId="21375" xr:uid="{00000000-0005-0000-0000-00007F530000}"/>
    <cellStyle name="Normal 2 2 2 5 2 19 4 3" xfId="21376" xr:uid="{00000000-0005-0000-0000-000080530000}"/>
    <cellStyle name="Normal 2 2 2 5 2 19 4 4" xfId="21377" xr:uid="{00000000-0005-0000-0000-000081530000}"/>
    <cellStyle name="Normal 2 2 2 5 2 19 4 5" xfId="21378" xr:uid="{00000000-0005-0000-0000-000082530000}"/>
    <cellStyle name="Normal 2 2 2 5 2 19 4 6" xfId="21379" xr:uid="{00000000-0005-0000-0000-000083530000}"/>
    <cellStyle name="Normal 2 2 2 5 2 19 4 7" xfId="21380" xr:uid="{00000000-0005-0000-0000-000084530000}"/>
    <cellStyle name="Normal 2 2 2 5 2 19 4 8" xfId="21381" xr:uid="{00000000-0005-0000-0000-000085530000}"/>
    <cellStyle name="Normal 2 2 2 5 2 19 4 9" xfId="21382" xr:uid="{00000000-0005-0000-0000-000086530000}"/>
    <cellStyle name="Normal 2 2 2 5 2 19 5" xfId="21383" xr:uid="{00000000-0005-0000-0000-000087530000}"/>
    <cellStyle name="Normal 2 2 2 5 2 19 5 10" xfId="21384" xr:uid="{00000000-0005-0000-0000-000088530000}"/>
    <cellStyle name="Normal 2 2 2 5 2 19 5 2" xfId="21385" xr:uid="{00000000-0005-0000-0000-000089530000}"/>
    <cellStyle name="Normal 2 2 2 5 2 19 5 3" xfId="21386" xr:uid="{00000000-0005-0000-0000-00008A530000}"/>
    <cellStyle name="Normal 2 2 2 5 2 19 5 4" xfId="21387" xr:uid="{00000000-0005-0000-0000-00008B530000}"/>
    <cellStyle name="Normal 2 2 2 5 2 19 5 5" xfId="21388" xr:uid="{00000000-0005-0000-0000-00008C530000}"/>
    <cellStyle name="Normal 2 2 2 5 2 19 5 6" xfId="21389" xr:uid="{00000000-0005-0000-0000-00008D530000}"/>
    <cellStyle name="Normal 2 2 2 5 2 19 5 7" xfId="21390" xr:uid="{00000000-0005-0000-0000-00008E530000}"/>
    <cellStyle name="Normal 2 2 2 5 2 19 5 8" xfId="21391" xr:uid="{00000000-0005-0000-0000-00008F530000}"/>
    <cellStyle name="Normal 2 2 2 5 2 19 5 9" xfId="21392" xr:uid="{00000000-0005-0000-0000-000090530000}"/>
    <cellStyle name="Normal 2 2 2 5 2 19 6" xfId="21393" xr:uid="{00000000-0005-0000-0000-000091530000}"/>
    <cellStyle name="Normal 2 2 2 5 2 19 7" xfId="21394" xr:uid="{00000000-0005-0000-0000-000092530000}"/>
    <cellStyle name="Normal 2 2 2 5 2 19 8" xfId="21395" xr:uid="{00000000-0005-0000-0000-000093530000}"/>
    <cellStyle name="Normal 2 2 2 5 2 19 9" xfId="21396" xr:uid="{00000000-0005-0000-0000-000094530000}"/>
    <cellStyle name="Normal 2 2 2 5 2 2" xfId="21397" xr:uid="{00000000-0005-0000-0000-000095530000}"/>
    <cellStyle name="Normal 2 2 2 5 2 2 10" xfId="21398" xr:uid="{00000000-0005-0000-0000-000096530000}"/>
    <cellStyle name="Normal 2 2 2 5 2 2 11" xfId="21399" xr:uid="{00000000-0005-0000-0000-000097530000}"/>
    <cellStyle name="Normal 2 2 2 5 2 2 12" xfId="21400" xr:uid="{00000000-0005-0000-0000-000098530000}"/>
    <cellStyle name="Normal 2 2 2 5 2 2 13" xfId="21401" xr:uid="{00000000-0005-0000-0000-000099530000}"/>
    <cellStyle name="Normal 2 2 2 5 2 2 14" xfId="21402" xr:uid="{00000000-0005-0000-0000-00009A530000}"/>
    <cellStyle name="Normal 2 2 2 5 2 2 2" xfId="21403" xr:uid="{00000000-0005-0000-0000-00009B530000}"/>
    <cellStyle name="Normal 2 2 2 5 2 2 2 10" xfId="21404" xr:uid="{00000000-0005-0000-0000-00009C530000}"/>
    <cellStyle name="Normal 2 2 2 5 2 2 2 2" xfId="21405" xr:uid="{00000000-0005-0000-0000-00009D530000}"/>
    <cellStyle name="Normal 2 2 2 5 2 2 2 3" xfId="21406" xr:uid="{00000000-0005-0000-0000-00009E530000}"/>
    <cellStyle name="Normal 2 2 2 5 2 2 2 4" xfId="21407" xr:uid="{00000000-0005-0000-0000-00009F530000}"/>
    <cellStyle name="Normal 2 2 2 5 2 2 2 5" xfId="21408" xr:uid="{00000000-0005-0000-0000-0000A0530000}"/>
    <cellStyle name="Normal 2 2 2 5 2 2 2 6" xfId="21409" xr:uid="{00000000-0005-0000-0000-0000A1530000}"/>
    <cellStyle name="Normal 2 2 2 5 2 2 2 7" xfId="21410" xr:uid="{00000000-0005-0000-0000-0000A2530000}"/>
    <cellStyle name="Normal 2 2 2 5 2 2 2 8" xfId="21411" xr:uid="{00000000-0005-0000-0000-0000A3530000}"/>
    <cellStyle name="Normal 2 2 2 5 2 2 2 9" xfId="21412" xr:uid="{00000000-0005-0000-0000-0000A4530000}"/>
    <cellStyle name="Normal 2 2 2 5 2 2 3" xfId="21413" xr:uid="{00000000-0005-0000-0000-0000A5530000}"/>
    <cellStyle name="Normal 2 2 2 5 2 2 3 10" xfId="21414" xr:uid="{00000000-0005-0000-0000-0000A6530000}"/>
    <cellStyle name="Normal 2 2 2 5 2 2 3 2" xfId="21415" xr:uid="{00000000-0005-0000-0000-0000A7530000}"/>
    <cellStyle name="Normal 2 2 2 5 2 2 3 3" xfId="21416" xr:uid="{00000000-0005-0000-0000-0000A8530000}"/>
    <cellStyle name="Normal 2 2 2 5 2 2 3 4" xfId="21417" xr:uid="{00000000-0005-0000-0000-0000A9530000}"/>
    <cellStyle name="Normal 2 2 2 5 2 2 3 5" xfId="21418" xr:uid="{00000000-0005-0000-0000-0000AA530000}"/>
    <cellStyle name="Normal 2 2 2 5 2 2 3 6" xfId="21419" xr:uid="{00000000-0005-0000-0000-0000AB530000}"/>
    <cellStyle name="Normal 2 2 2 5 2 2 3 7" xfId="21420" xr:uid="{00000000-0005-0000-0000-0000AC530000}"/>
    <cellStyle name="Normal 2 2 2 5 2 2 3 8" xfId="21421" xr:uid="{00000000-0005-0000-0000-0000AD530000}"/>
    <cellStyle name="Normal 2 2 2 5 2 2 3 9" xfId="21422" xr:uid="{00000000-0005-0000-0000-0000AE530000}"/>
    <cellStyle name="Normal 2 2 2 5 2 2 4" xfId="21423" xr:uid="{00000000-0005-0000-0000-0000AF530000}"/>
    <cellStyle name="Normal 2 2 2 5 2 2 4 10" xfId="21424" xr:uid="{00000000-0005-0000-0000-0000B0530000}"/>
    <cellStyle name="Normal 2 2 2 5 2 2 4 2" xfId="21425" xr:uid="{00000000-0005-0000-0000-0000B1530000}"/>
    <cellStyle name="Normal 2 2 2 5 2 2 4 3" xfId="21426" xr:uid="{00000000-0005-0000-0000-0000B2530000}"/>
    <cellStyle name="Normal 2 2 2 5 2 2 4 4" xfId="21427" xr:uid="{00000000-0005-0000-0000-0000B3530000}"/>
    <cellStyle name="Normal 2 2 2 5 2 2 4 5" xfId="21428" xr:uid="{00000000-0005-0000-0000-0000B4530000}"/>
    <cellStyle name="Normal 2 2 2 5 2 2 4 6" xfId="21429" xr:uid="{00000000-0005-0000-0000-0000B5530000}"/>
    <cellStyle name="Normal 2 2 2 5 2 2 4 7" xfId="21430" xr:uid="{00000000-0005-0000-0000-0000B6530000}"/>
    <cellStyle name="Normal 2 2 2 5 2 2 4 8" xfId="21431" xr:uid="{00000000-0005-0000-0000-0000B7530000}"/>
    <cellStyle name="Normal 2 2 2 5 2 2 4 9" xfId="21432" xr:uid="{00000000-0005-0000-0000-0000B8530000}"/>
    <cellStyle name="Normal 2 2 2 5 2 2 5" xfId="21433" xr:uid="{00000000-0005-0000-0000-0000B9530000}"/>
    <cellStyle name="Normal 2 2 2 5 2 2 5 10" xfId="21434" xr:uid="{00000000-0005-0000-0000-0000BA530000}"/>
    <cellStyle name="Normal 2 2 2 5 2 2 5 2" xfId="21435" xr:uid="{00000000-0005-0000-0000-0000BB530000}"/>
    <cellStyle name="Normal 2 2 2 5 2 2 5 3" xfId="21436" xr:uid="{00000000-0005-0000-0000-0000BC530000}"/>
    <cellStyle name="Normal 2 2 2 5 2 2 5 4" xfId="21437" xr:uid="{00000000-0005-0000-0000-0000BD530000}"/>
    <cellStyle name="Normal 2 2 2 5 2 2 5 5" xfId="21438" xr:uid="{00000000-0005-0000-0000-0000BE530000}"/>
    <cellStyle name="Normal 2 2 2 5 2 2 5 6" xfId="21439" xr:uid="{00000000-0005-0000-0000-0000BF530000}"/>
    <cellStyle name="Normal 2 2 2 5 2 2 5 7" xfId="21440" xr:uid="{00000000-0005-0000-0000-0000C0530000}"/>
    <cellStyle name="Normal 2 2 2 5 2 2 5 8" xfId="21441" xr:uid="{00000000-0005-0000-0000-0000C1530000}"/>
    <cellStyle name="Normal 2 2 2 5 2 2 5 9" xfId="21442" xr:uid="{00000000-0005-0000-0000-0000C2530000}"/>
    <cellStyle name="Normal 2 2 2 5 2 2 6" xfId="21443" xr:uid="{00000000-0005-0000-0000-0000C3530000}"/>
    <cellStyle name="Normal 2 2 2 5 2 2 7" xfId="21444" xr:uid="{00000000-0005-0000-0000-0000C4530000}"/>
    <cellStyle name="Normal 2 2 2 5 2 2 8" xfId="21445" xr:uid="{00000000-0005-0000-0000-0000C5530000}"/>
    <cellStyle name="Normal 2 2 2 5 2 2 9" xfId="21446" xr:uid="{00000000-0005-0000-0000-0000C6530000}"/>
    <cellStyle name="Normal 2 2 2 5 2 20" xfId="21447" xr:uid="{00000000-0005-0000-0000-0000C7530000}"/>
    <cellStyle name="Normal 2 2 2 5 2 20 10" xfId="21448" xr:uid="{00000000-0005-0000-0000-0000C8530000}"/>
    <cellStyle name="Normal 2 2 2 5 2 20 11" xfId="21449" xr:uid="{00000000-0005-0000-0000-0000C9530000}"/>
    <cellStyle name="Normal 2 2 2 5 2 20 12" xfId="21450" xr:uid="{00000000-0005-0000-0000-0000CA530000}"/>
    <cellStyle name="Normal 2 2 2 5 2 20 13" xfId="21451" xr:uid="{00000000-0005-0000-0000-0000CB530000}"/>
    <cellStyle name="Normal 2 2 2 5 2 20 14" xfId="21452" xr:uid="{00000000-0005-0000-0000-0000CC530000}"/>
    <cellStyle name="Normal 2 2 2 5 2 20 2" xfId="21453" xr:uid="{00000000-0005-0000-0000-0000CD530000}"/>
    <cellStyle name="Normal 2 2 2 5 2 20 2 10" xfId="21454" xr:uid="{00000000-0005-0000-0000-0000CE530000}"/>
    <cellStyle name="Normal 2 2 2 5 2 20 2 2" xfId="21455" xr:uid="{00000000-0005-0000-0000-0000CF530000}"/>
    <cellStyle name="Normal 2 2 2 5 2 20 2 3" xfId="21456" xr:uid="{00000000-0005-0000-0000-0000D0530000}"/>
    <cellStyle name="Normal 2 2 2 5 2 20 2 4" xfId="21457" xr:uid="{00000000-0005-0000-0000-0000D1530000}"/>
    <cellStyle name="Normal 2 2 2 5 2 20 2 5" xfId="21458" xr:uid="{00000000-0005-0000-0000-0000D2530000}"/>
    <cellStyle name="Normal 2 2 2 5 2 20 2 6" xfId="21459" xr:uid="{00000000-0005-0000-0000-0000D3530000}"/>
    <cellStyle name="Normal 2 2 2 5 2 20 2 7" xfId="21460" xr:uid="{00000000-0005-0000-0000-0000D4530000}"/>
    <cellStyle name="Normal 2 2 2 5 2 20 2 8" xfId="21461" xr:uid="{00000000-0005-0000-0000-0000D5530000}"/>
    <cellStyle name="Normal 2 2 2 5 2 20 2 9" xfId="21462" xr:uid="{00000000-0005-0000-0000-0000D6530000}"/>
    <cellStyle name="Normal 2 2 2 5 2 20 3" xfId="21463" xr:uid="{00000000-0005-0000-0000-0000D7530000}"/>
    <cellStyle name="Normal 2 2 2 5 2 20 3 10" xfId="21464" xr:uid="{00000000-0005-0000-0000-0000D8530000}"/>
    <cellStyle name="Normal 2 2 2 5 2 20 3 2" xfId="21465" xr:uid="{00000000-0005-0000-0000-0000D9530000}"/>
    <cellStyle name="Normal 2 2 2 5 2 20 3 3" xfId="21466" xr:uid="{00000000-0005-0000-0000-0000DA530000}"/>
    <cellStyle name="Normal 2 2 2 5 2 20 3 4" xfId="21467" xr:uid="{00000000-0005-0000-0000-0000DB530000}"/>
    <cellStyle name="Normal 2 2 2 5 2 20 3 5" xfId="21468" xr:uid="{00000000-0005-0000-0000-0000DC530000}"/>
    <cellStyle name="Normal 2 2 2 5 2 20 3 6" xfId="21469" xr:uid="{00000000-0005-0000-0000-0000DD530000}"/>
    <cellStyle name="Normal 2 2 2 5 2 20 3 7" xfId="21470" xr:uid="{00000000-0005-0000-0000-0000DE530000}"/>
    <cellStyle name="Normal 2 2 2 5 2 20 3 8" xfId="21471" xr:uid="{00000000-0005-0000-0000-0000DF530000}"/>
    <cellStyle name="Normal 2 2 2 5 2 20 3 9" xfId="21472" xr:uid="{00000000-0005-0000-0000-0000E0530000}"/>
    <cellStyle name="Normal 2 2 2 5 2 20 4" xfId="21473" xr:uid="{00000000-0005-0000-0000-0000E1530000}"/>
    <cellStyle name="Normal 2 2 2 5 2 20 4 10" xfId="21474" xr:uid="{00000000-0005-0000-0000-0000E2530000}"/>
    <cellStyle name="Normal 2 2 2 5 2 20 4 2" xfId="21475" xr:uid="{00000000-0005-0000-0000-0000E3530000}"/>
    <cellStyle name="Normal 2 2 2 5 2 20 4 3" xfId="21476" xr:uid="{00000000-0005-0000-0000-0000E4530000}"/>
    <cellStyle name="Normal 2 2 2 5 2 20 4 4" xfId="21477" xr:uid="{00000000-0005-0000-0000-0000E5530000}"/>
    <cellStyle name="Normal 2 2 2 5 2 20 4 5" xfId="21478" xr:uid="{00000000-0005-0000-0000-0000E6530000}"/>
    <cellStyle name="Normal 2 2 2 5 2 20 4 6" xfId="21479" xr:uid="{00000000-0005-0000-0000-0000E7530000}"/>
    <cellStyle name="Normal 2 2 2 5 2 20 4 7" xfId="21480" xr:uid="{00000000-0005-0000-0000-0000E8530000}"/>
    <cellStyle name="Normal 2 2 2 5 2 20 4 8" xfId="21481" xr:uid="{00000000-0005-0000-0000-0000E9530000}"/>
    <cellStyle name="Normal 2 2 2 5 2 20 4 9" xfId="21482" xr:uid="{00000000-0005-0000-0000-0000EA530000}"/>
    <cellStyle name="Normal 2 2 2 5 2 20 5" xfId="21483" xr:uid="{00000000-0005-0000-0000-0000EB530000}"/>
    <cellStyle name="Normal 2 2 2 5 2 20 5 10" xfId="21484" xr:uid="{00000000-0005-0000-0000-0000EC530000}"/>
    <cellStyle name="Normal 2 2 2 5 2 20 5 2" xfId="21485" xr:uid="{00000000-0005-0000-0000-0000ED530000}"/>
    <cellStyle name="Normal 2 2 2 5 2 20 5 3" xfId="21486" xr:uid="{00000000-0005-0000-0000-0000EE530000}"/>
    <cellStyle name="Normal 2 2 2 5 2 20 5 4" xfId="21487" xr:uid="{00000000-0005-0000-0000-0000EF530000}"/>
    <cellStyle name="Normal 2 2 2 5 2 20 5 5" xfId="21488" xr:uid="{00000000-0005-0000-0000-0000F0530000}"/>
    <cellStyle name="Normal 2 2 2 5 2 20 5 6" xfId="21489" xr:uid="{00000000-0005-0000-0000-0000F1530000}"/>
    <cellStyle name="Normal 2 2 2 5 2 20 5 7" xfId="21490" xr:uid="{00000000-0005-0000-0000-0000F2530000}"/>
    <cellStyle name="Normal 2 2 2 5 2 20 5 8" xfId="21491" xr:uid="{00000000-0005-0000-0000-0000F3530000}"/>
    <cellStyle name="Normal 2 2 2 5 2 20 5 9" xfId="21492" xr:uid="{00000000-0005-0000-0000-0000F4530000}"/>
    <cellStyle name="Normal 2 2 2 5 2 20 6" xfId="21493" xr:uid="{00000000-0005-0000-0000-0000F5530000}"/>
    <cellStyle name="Normal 2 2 2 5 2 20 7" xfId="21494" xr:uid="{00000000-0005-0000-0000-0000F6530000}"/>
    <cellStyle name="Normal 2 2 2 5 2 20 8" xfId="21495" xr:uid="{00000000-0005-0000-0000-0000F7530000}"/>
    <cellStyle name="Normal 2 2 2 5 2 20 9" xfId="21496" xr:uid="{00000000-0005-0000-0000-0000F8530000}"/>
    <cellStyle name="Normal 2 2 2 5 2 21" xfId="21497" xr:uid="{00000000-0005-0000-0000-0000F9530000}"/>
    <cellStyle name="Normal 2 2 2 5 2 22" xfId="21498" xr:uid="{00000000-0005-0000-0000-0000FA530000}"/>
    <cellStyle name="Normal 2 2 2 5 2 3" xfId="21499" xr:uid="{00000000-0005-0000-0000-0000FB530000}"/>
    <cellStyle name="Normal 2 2 2 5 2 3 10" xfId="21500" xr:uid="{00000000-0005-0000-0000-0000FC530000}"/>
    <cellStyle name="Normal 2 2 2 5 2 3 11" xfId="21501" xr:uid="{00000000-0005-0000-0000-0000FD530000}"/>
    <cellStyle name="Normal 2 2 2 5 2 3 12" xfId="21502" xr:uid="{00000000-0005-0000-0000-0000FE530000}"/>
    <cellStyle name="Normal 2 2 2 5 2 3 13" xfId="21503" xr:uid="{00000000-0005-0000-0000-0000FF530000}"/>
    <cellStyle name="Normal 2 2 2 5 2 3 14" xfId="21504" xr:uid="{00000000-0005-0000-0000-000000540000}"/>
    <cellStyle name="Normal 2 2 2 5 2 3 2" xfId="21505" xr:uid="{00000000-0005-0000-0000-000001540000}"/>
    <cellStyle name="Normal 2 2 2 5 2 3 2 10" xfId="21506" xr:uid="{00000000-0005-0000-0000-000002540000}"/>
    <cellStyle name="Normal 2 2 2 5 2 3 2 2" xfId="21507" xr:uid="{00000000-0005-0000-0000-000003540000}"/>
    <cellStyle name="Normal 2 2 2 5 2 3 2 3" xfId="21508" xr:uid="{00000000-0005-0000-0000-000004540000}"/>
    <cellStyle name="Normal 2 2 2 5 2 3 2 4" xfId="21509" xr:uid="{00000000-0005-0000-0000-000005540000}"/>
    <cellStyle name="Normal 2 2 2 5 2 3 2 5" xfId="21510" xr:uid="{00000000-0005-0000-0000-000006540000}"/>
    <cellStyle name="Normal 2 2 2 5 2 3 2 6" xfId="21511" xr:uid="{00000000-0005-0000-0000-000007540000}"/>
    <cellStyle name="Normal 2 2 2 5 2 3 2 7" xfId="21512" xr:uid="{00000000-0005-0000-0000-000008540000}"/>
    <cellStyle name="Normal 2 2 2 5 2 3 2 8" xfId="21513" xr:uid="{00000000-0005-0000-0000-000009540000}"/>
    <cellStyle name="Normal 2 2 2 5 2 3 2 9" xfId="21514" xr:uid="{00000000-0005-0000-0000-00000A540000}"/>
    <cellStyle name="Normal 2 2 2 5 2 3 3" xfId="21515" xr:uid="{00000000-0005-0000-0000-00000B540000}"/>
    <cellStyle name="Normal 2 2 2 5 2 3 3 10" xfId="21516" xr:uid="{00000000-0005-0000-0000-00000C540000}"/>
    <cellStyle name="Normal 2 2 2 5 2 3 3 2" xfId="21517" xr:uid="{00000000-0005-0000-0000-00000D540000}"/>
    <cellStyle name="Normal 2 2 2 5 2 3 3 3" xfId="21518" xr:uid="{00000000-0005-0000-0000-00000E540000}"/>
    <cellStyle name="Normal 2 2 2 5 2 3 3 4" xfId="21519" xr:uid="{00000000-0005-0000-0000-00000F540000}"/>
    <cellStyle name="Normal 2 2 2 5 2 3 3 5" xfId="21520" xr:uid="{00000000-0005-0000-0000-000010540000}"/>
    <cellStyle name="Normal 2 2 2 5 2 3 3 6" xfId="21521" xr:uid="{00000000-0005-0000-0000-000011540000}"/>
    <cellStyle name="Normal 2 2 2 5 2 3 3 7" xfId="21522" xr:uid="{00000000-0005-0000-0000-000012540000}"/>
    <cellStyle name="Normal 2 2 2 5 2 3 3 8" xfId="21523" xr:uid="{00000000-0005-0000-0000-000013540000}"/>
    <cellStyle name="Normal 2 2 2 5 2 3 3 9" xfId="21524" xr:uid="{00000000-0005-0000-0000-000014540000}"/>
    <cellStyle name="Normal 2 2 2 5 2 3 4" xfId="21525" xr:uid="{00000000-0005-0000-0000-000015540000}"/>
    <cellStyle name="Normal 2 2 2 5 2 3 4 10" xfId="21526" xr:uid="{00000000-0005-0000-0000-000016540000}"/>
    <cellStyle name="Normal 2 2 2 5 2 3 4 2" xfId="21527" xr:uid="{00000000-0005-0000-0000-000017540000}"/>
    <cellStyle name="Normal 2 2 2 5 2 3 4 3" xfId="21528" xr:uid="{00000000-0005-0000-0000-000018540000}"/>
    <cellStyle name="Normal 2 2 2 5 2 3 4 4" xfId="21529" xr:uid="{00000000-0005-0000-0000-000019540000}"/>
    <cellStyle name="Normal 2 2 2 5 2 3 4 5" xfId="21530" xr:uid="{00000000-0005-0000-0000-00001A540000}"/>
    <cellStyle name="Normal 2 2 2 5 2 3 4 6" xfId="21531" xr:uid="{00000000-0005-0000-0000-00001B540000}"/>
    <cellStyle name="Normal 2 2 2 5 2 3 4 7" xfId="21532" xr:uid="{00000000-0005-0000-0000-00001C540000}"/>
    <cellStyle name="Normal 2 2 2 5 2 3 4 8" xfId="21533" xr:uid="{00000000-0005-0000-0000-00001D540000}"/>
    <cellStyle name="Normal 2 2 2 5 2 3 4 9" xfId="21534" xr:uid="{00000000-0005-0000-0000-00001E540000}"/>
    <cellStyle name="Normal 2 2 2 5 2 3 5" xfId="21535" xr:uid="{00000000-0005-0000-0000-00001F540000}"/>
    <cellStyle name="Normal 2 2 2 5 2 3 5 10" xfId="21536" xr:uid="{00000000-0005-0000-0000-000020540000}"/>
    <cellStyle name="Normal 2 2 2 5 2 3 5 2" xfId="21537" xr:uid="{00000000-0005-0000-0000-000021540000}"/>
    <cellStyle name="Normal 2 2 2 5 2 3 5 3" xfId="21538" xr:uid="{00000000-0005-0000-0000-000022540000}"/>
    <cellStyle name="Normal 2 2 2 5 2 3 5 4" xfId="21539" xr:uid="{00000000-0005-0000-0000-000023540000}"/>
    <cellStyle name="Normal 2 2 2 5 2 3 5 5" xfId="21540" xr:uid="{00000000-0005-0000-0000-000024540000}"/>
    <cellStyle name="Normal 2 2 2 5 2 3 5 6" xfId="21541" xr:uid="{00000000-0005-0000-0000-000025540000}"/>
    <cellStyle name="Normal 2 2 2 5 2 3 5 7" xfId="21542" xr:uid="{00000000-0005-0000-0000-000026540000}"/>
    <cellStyle name="Normal 2 2 2 5 2 3 5 8" xfId="21543" xr:uid="{00000000-0005-0000-0000-000027540000}"/>
    <cellStyle name="Normal 2 2 2 5 2 3 5 9" xfId="21544" xr:uid="{00000000-0005-0000-0000-000028540000}"/>
    <cellStyle name="Normal 2 2 2 5 2 3 6" xfId="21545" xr:uid="{00000000-0005-0000-0000-000029540000}"/>
    <cellStyle name="Normal 2 2 2 5 2 3 7" xfId="21546" xr:uid="{00000000-0005-0000-0000-00002A540000}"/>
    <cellStyle name="Normal 2 2 2 5 2 3 8" xfId="21547" xr:uid="{00000000-0005-0000-0000-00002B540000}"/>
    <cellStyle name="Normal 2 2 2 5 2 3 9" xfId="21548" xr:uid="{00000000-0005-0000-0000-00002C540000}"/>
    <cellStyle name="Normal 2 2 2 5 2 4" xfId="21549" xr:uid="{00000000-0005-0000-0000-00002D540000}"/>
    <cellStyle name="Normal 2 2 2 5 2 4 10" xfId="21550" xr:uid="{00000000-0005-0000-0000-00002E540000}"/>
    <cellStyle name="Normal 2 2 2 5 2 4 11" xfId="21551" xr:uid="{00000000-0005-0000-0000-00002F540000}"/>
    <cellStyle name="Normal 2 2 2 5 2 4 12" xfId="21552" xr:uid="{00000000-0005-0000-0000-000030540000}"/>
    <cellStyle name="Normal 2 2 2 5 2 4 13" xfId="21553" xr:uid="{00000000-0005-0000-0000-000031540000}"/>
    <cellStyle name="Normal 2 2 2 5 2 4 14" xfId="21554" xr:uid="{00000000-0005-0000-0000-000032540000}"/>
    <cellStyle name="Normal 2 2 2 5 2 4 2" xfId="21555" xr:uid="{00000000-0005-0000-0000-000033540000}"/>
    <cellStyle name="Normal 2 2 2 5 2 4 2 10" xfId="21556" xr:uid="{00000000-0005-0000-0000-000034540000}"/>
    <cellStyle name="Normal 2 2 2 5 2 4 2 2" xfId="21557" xr:uid="{00000000-0005-0000-0000-000035540000}"/>
    <cellStyle name="Normal 2 2 2 5 2 4 2 3" xfId="21558" xr:uid="{00000000-0005-0000-0000-000036540000}"/>
    <cellStyle name="Normal 2 2 2 5 2 4 2 4" xfId="21559" xr:uid="{00000000-0005-0000-0000-000037540000}"/>
    <cellStyle name="Normal 2 2 2 5 2 4 2 5" xfId="21560" xr:uid="{00000000-0005-0000-0000-000038540000}"/>
    <cellStyle name="Normal 2 2 2 5 2 4 2 6" xfId="21561" xr:uid="{00000000-0005-0000-0000-000039540000}"/>
    <cellStyle name="Normal 2 2 2 5 2 4 2 7" xfId="21562" xr:uid="{00000000-0005-0000-0000-00003A540000}"/>
    <cellStyle name="Normal 2 2 2 5 2 4 2 8" xfId="21563" xr:uid="{00000000-0005-0000-0000-00003B540000}"/>
    <cellStyle name="Normal 2 2 2 5 2 4 2 9" xfId="21564" xr:uid="{00000000-0005-0000-0000-00003C540000}"/>
    <cellStyle name="Normal 2 2 2 5 2 4 3" xfId="21565" xr:uid="{00000000-0005-0000-0000-00003D540000}"/>
    <cellStyle name="Normal 2 2 2 5 2 4 3 10" xfId="21566" xr:uid="{00000000-0005-0000-0000-00003E540000}"/>
    <cellStyle name="Normal 2 2 2 5 2 4 3 2" xfId="21567" xr:uid="{00000000-0005-0000-0000-00003F540000}"/>
    <cellStyle name="Normal 2 2 2 5 2 4 3 3" xfId="21568" xr:uid="{00000000-0005-0000-0000-000040540000}"/>
    <cellStyle name="Normal 2 2 2 5 2 4 3 4" xfId="21569" xr:uid="{00000000-0005-0000-0000-000041540000}"/>
    <cellStyle name="Normal 2 2 2 5 2 4 3 5" xfId="21570" xr:uid="{00000000-0005-0000-0000-000042540000}"/>
    <cellStyle name="Normal 2 2 2 5 2 4 3 6" xfId="21571" xr:uid="{00000000-0005-0000-0000-000043540000}"/>
    <cellStyle name="Normal 2 2 2 5 2 4 3 7" xfId="21572" xr:uid="{00000000-0005-0000-0000-000044540000}"/>
    <cellStyle name="Normal 2 2 2 5 2 4 3 8" xfId="21573" xr:uid="{00000000-0005-0000-0000-000045540000}"/>
    <cellStyle name="Normal 2 2 2 5 2 4 3 9" xfId="21574" xr:uid="{00000000-0005-0000-0000-000046540000}"/>
    <cellStyle name="Normal 2 2 2 5 2 4 4" xfId="21575" xr:uid="{00000000-0005-0000-0000-000047540000}"/>
    <cellStyle name="Normal 2 2 2 5 2 4 4 10" xfId="21576" xr:uid="{00000000-0005-0000-0000-000048540000}"/>
    <cellStyle name="Normal 2 2 2 5 2 4 4 2" xfId="21577" xr:uid="{00000000-0005-0000-0000-000049540000}"/>
    <cellStyle name="Normal 2 2 2 5 2 4 4 3" xfId="21578" xr:uid="{00000000-0005-0000-0000-00004A540000}"/>
    <cellStyle name="Normal 2 2 2 5 2 4 4 4" xfId="21579" xr:uid="{00000000-0005-0000-0000-00004B540000}"/>
    <cellStyle name="Normal 2 2 2 5 2 4 4 5" xfId="21580" xr:uid="{00000000-0005-0000-0000-00004C540000}"/>
    <cellStyle name="Normal 2 2 2 5 2 4 4 6" xfId="21581" xr:uid="{00000000-0005-0000-0000-00004D540000}"/>
    <cellStyle name="Normal 2 2 2 5 2 4 4 7" xfId="21582" xr:uid="{00000000-0005-0000-0000-00004E540000}"/>
    <cellStyle name="Normal 2 2 2 5 2 4 4 8" xfId="21583" xr:uid="{00000000-0005-0000-0000-00004F540000}"/>
    <cellStyle name="Normal 2 2 2 5 2 4 4 9" xfId="21584" xr:uid="{00000000-0005-0000-0000-000050540000}"/>
    <cellStyle name="Normal 2 2 2 5 2 4 5" xfId="21585" xr:uid="{00000000-0005-0000-0000-000051540000}"/>
    <cellStyle name="Normal 2 2 2 5 2 4 5 10" xfId="21586" xr:uid="{00000000-0005-0000-0000-000052540000}"/>
    <cellStyle name="Normal 2 2 2 5 2 4 5 2" xfId="21587" xr:uid="{00000000-0005-0000-0000-000053540000}"/>
    <cellStyle name="Normal 2 2 2 5 2 4 5 3" xfId="21588" xr:uid="{00000000-0005-0000-0000-000054540000}"/>
    <cellStyle name="Normal 2 2 2 5 2 4 5 4" xfId="21589" xr:uid="{00000000-0005-0000-0000-000055540000}"/>
    <cellStyle name="Normal 2 2 2 5 2 4 5 5" xfId="21590" xr:uid="{00000000-0005-0000-0000-000056540000}"/>
    <cellStyle name="Normal 2 2 2 5 2 4 5 6" xfId="21591" xr:uid="{00000000-0005-0000-0000-000057540000}"/>
    <cellStyle name="Normal 2 2 2 5 2 4 5 7" xfId="21592" xr:uid="{00000000-0005-0000-0000-000058540000}"/>
    <cellStyle name="Normal 2 2 2 5 2 4 5 8" xfId="21593" xr:uid="{00000000-0005-0000-0000-000059540000}"/>
    <cellStyle name="Normal 2 2 2 5 2 4 5 9" xfId="21594" xr:uid="{00000000-0005-0000-0000-00005A540000}"/>
    <cellStyle name="Normal 2 2 2 5 2 4 6" xfId="21595" xr:uid="{00000000-0005-0000-0000-00005B540000}"/>
    <cellStyle name="Normal 2 2 2 5 2 4 7" xfId="21596" xr:uid="{00000000-0005-0000-0000-00005C540000}"/>
    <cellStyle name="Normal 2 2 2 5 2 4 8" xfId="21597" xr:uid="{00000000-0005-0000-0000-00005D540000}"/>
    <cellStyle name="Normal 2 2 2 5 2 4 9" xfId="21598" xr:uid="{00000000-0005-0000-0000-00005E540000}"/>
    <cellStyle name="Normal 2 2 2 5 2 5" xfId="21599" xr:uid="{00000000-0005-0000-0000-00005F540000}"/>
    <cellStyle name="Normal 2 2 2 5 2 5 10" xfId="21600" xr:uid="{00000000-0005-0000-0000-000060540000}"/>
    <cellStyle name="Normal 2 2 2 5 2 5 11" xfId="21601" xr:uid="{00000000-0005-0000-0000-000061540000}"/>
    <cellStyle name="Normal 2 2 2 5 2 5 12" xfId="21602" xr:uid="{00000000-0005-0000-0000-000062540000}"/>
    <cellStyle name="Normal 2 2 2 5 2 5 13" xfId="21603" xr:uid="{00000000-0005-0000-0000-000063540000}"/>
    <cellStyle name="Normal 2 2 2 5 2 5 14" xfId="21604" xr:uid="{00000000-0005-0000-0000-000064540000}"/>
    <cellStyle name="Normal 2 2 2 5 2 5 2" xfId="21605" xr:uid="{00000000-0005-0000-0000-000065540000}"/>
    <cellStyle name="Normal 2 2 2 5 2 5 2 10" xfId="21606" xr:uid="{00000000-0005-0000-0000-000066540000}"/>
    <cellStyle name="Normal 2 2 2 5 2 5 2 2" xfId="21607" xr:uid="{00000000-0005-0000-0000-000067540000}"/>
    <cellStyle name="Normal 2 2 2 5 2 5 2 3" xfId="21608" xr:uid="{00000000-0005-0000-0000-000068540000}"/>
    <cellStyle name="Normal 2 2 2 5 2 5 2 4" xfId="21609" xr:uid="{00000000-0005-0000-0000-000069540000}"/>
    <cellStyle name="Normal 2 2 2 5 2 5 2 5" xfId="21610" xr:uid="{00000000-0005-0000-0000-00006A540000}"/>
    <cellStyle name="Normal 2 2 2 5 2 5 2 6" xfId="21611" xr:uid="{00000000-0005-0000-0000-00006B540000}"/>
    <cellStyle name="Normal 2 2 2 5 2 5 2 7" xfId="21612" xr:uid="{00000000-0005-0000-0000-00006C540000}"/>
    <cellStyle name="Normal 2 2 2 5 2 5 2 8" xfId="21613" xr:uid="{00000000-0005-0000-0000-00006D540000}"/>
    <cellStyle name="Normal 2 2 2 5 2 5 2 9" xfId="21614" xr:uid="{00000000-0005-0000-0000-00006E540000}"/>
    <cellStyle name="Normal 2 2 2 5 2 5 3" xfId="21615" xr:uid="{00000000-0005-0000-0000-00006F540000}"/>
    <cellStyle name="Normal 2 2 2 5 2 5 3 10" xfId="21616" xr:uid="{00000000-0005-0000-0000-000070540000}"/>
    <cellStyle name="Normal 2 2 2 5 2 5 3 2" xfId="21617" xr:uid="{00000000-0005-0000-0000-000071540000}"/>
    <cellStyle name="Normal 2 2 2 5 2 5 3 3" xfId="21618" xr:uid="{00000000-0005-0000-0000-000072540000}"/>
    <cellStyle name="Normal 2 2 2 5 2 5 3 4" xfId="21619" xr:uid="{00000000-0005-0000-0000-000073540000}"/>
    <cellStyle name="Normal 2 2 2 5 2 5 3 5" xfId="21620" xr:uid="{00000000-0005-0000-0000-000074540000}"/>
    <cellStyle name="Normal 2 2 2 5 2 5 3 6" xfId="21621" xr:uid="{00000000-0005-0000-0000-000075540000}"/>
    <cellStyle name="Normal 2 2 2 5 2 5 3 7" xfId="21622" xr:uid="{00000000-0005-0000-0000-000076540000}"/>
    <cellStyle name="Normal 2 2 2 5 2 5 3 8" xfId="21623" xr:uid="{00000000-0005-0000-0000-000077540000}"/>
    <cellStyle name="Normal 2 2 2 5 2 5 3 9" xfId="21624" xr:uid="{00000000-0005-0000-0000-000078540000}"/>
    <cellStyle name="Normal 2 2 2 5 2 5 4" xfId="21625" xr:uid="{00000000-0005-0000-0000-000079540000}"/>
    <cellStyle name="Normal 2 2 2 5 2 5 4 10" xfId="21626" xr:uid="{00000000-0005-0000-0000-00007A540000}"/>
    <cellStyle name="Normal 2 2 2 5 2 5 4 2" xfId="21627" xr:uid="{00000000-0005-0000-0000-00007B540000}"/>
    <cellStyle name="Normal 2 2 2 5 2 5 4 3" xfId="21628" xr:uid="{00000000-0005-0000-0000-00007C540000}"/>
    <cellStyle name="Normal 2 2 2 5 2 5 4 4" xfId="21629" xr:uid="{00000000-0005-0000-0000-00007D540000}"/>
    <cellStyle name="Normal 2 2 2 5 2 5 4 5" xfId="21630" xr:uid="{00000000-0005-0000-0000-00007E540000}"/>
    <cellStyle name="Normal 2 2 2 5 2 5 4 6" xfId="21631" xr:uid="{00000000-0005-0000-0000-00007F540000}"/>
    <cellStyle name="Normal 2 2 2 5 2 5 4 7" xfId="21632" xr:uid="{00000000-0005-0000-0000-000080540000}"/>
    <cellStyle name="Normal 2 2 2 5 2 5 4 8" xfId="21633" xr:uid="{00000000-0005-0000-0000-000081540000}"/>
    <cellStyle name="Normal 2 2 2 5 2 5 4 9" xfId="21634" xr:uid="{00000000-0005-0000-0000-000082540000}"/>
    <cellStyle name="Normal 2 2 2 5 2 5 5" xfId="21635" xr:uid="{00000000-0005-0000-0000-000083540000}"/>
    <cellStyle name="Normal 2 2 2 5 2 5 5 10" xfId="21636" xr:uid="{00000000-0005-0000-0000-000084540000}"/>
    <cellStyle name="Normal 2 2 2 5 2 5 5 2" xfId="21637" xr:uid="{00000000-0005-0000-0000-000085540000}"/>
    <cellStyle name="Normal 2 2 2 5 2 5 5 3" xfId="21638" xr:uid="{00000000-0005-0000-0000-000086540000}"/>
    <cellStyle name="Normal 2 2 2 5 2 5 5 4" xfId="21639" xr:uid="{00000000-0005-0000-0000-000087540000}"/>
    <cellStyle name="Normal 2 2 2 5 2 5 5 5" xfId="21640" xr:uid="{00000000-0005-0000-0000-000088540000}"/>
    <cellStyle name="Normal 2 2 2 5 2 5 5 6" xfId="21641" xr:uid="{00000000-0005-0000-0000-000089540000}"/>
    <cellStyle name="Normal 2 2 2 5 2 5 5 7" xfId="21642" xr:uid="{00000000-0005-0000-0000-00008A540000}"/>
    <cellStyle name="Normal 2 2 2 5 2 5 5 8" xfId="21643" xr:uid="{00000000-0005-0000-0000-00008B540000}"/>
    <cellStyle name="Normal 2 2 2 5 2 5 5 9" xfId="21644" xr:uid="{00000000-0005-0000-0000-00008C540000}"/>
    <cellStyle name="Normal 2 2 2 5 2 5 6" xfId="21645" xr:uid="{00000000-0005-0000-0000-00008D540000}"/>
    <cellStyle name="Normal 2 2 2 5 2 5 7" xfId="21646" xr:uid="{00000000-0005-0000-0000-00008E540000}"/>
    <cellStyle name="Normal 2 2 2 5 2 5 8" xfId="21647" xr:uid="{00000000-0005-0000-0000-00008F540000}"/>
    <cellStyle name="Normal 2 2 2 5 2 5 9" xfId="21648" xr:uid="{00000000-0005-0000-0000-000090540000}"/>
    <cellStyle name="Normal 2 2 2 5 2 6" xfId="21649" xr:uid="{00000000-0005-0000-0000-000091540000}"/>
    <cellStyle name="Normal 2 2 2 5 2 6 10" xfId="21650" xr:uid="{00000000-0005-0000-0000-000092540000}"/>
    <cellStyle name="Normal 2 2 2 5 2 6 11" xfId="21651" xr:uid="{00000000-0005-0000-0000-000093540000}"/>
    <cellStyle name="Normal 2 2 2 5 2 6 12" xfId="21652" xr:uid="{00000000-0005-0000-0000-000094540000}"/>
    <cellStyle name="Normal 2 2 2 5 2 6 13" xfId="21653" xr:uid="{00000000-0005-0000-0000-000095540000}"/>
    <cellStyle name="Normal 2 2 2 5 2 6 14" xfId="21654" xr:uid="{00000000-0005-0000-0000-000096540000}"/>
    <cellStyle name="Normal 2 2 2 5 2 6 2" xfId="21655" xr:uid="{00000000-0005-0000-0000-000097540000}"/>
    <cellStyle name="Normal 2 2 2 5 2 6 2 10" xfId="21656" xr:uid="{00000000-0005-0000-0000-000098540000}"/>
    <cellStyle name="Normal 2 2 2 5 2 6 2 2" xfId="21657" xr:uid="{00000000-0005-0000-0000-000099540000}"/>
    <cellStyle name="Normal 2 2 2 5 2 6 2 3" xfId="21658" xr:uid="{00000000-0005-0000-0000-00009A540000}"/>
    <cellStyle name="Normal 2 2 2 5 2 6 2 4" xfId="21659" xr:uid="{00000000-0005-0000-0000-00009B540000}"/>
    <cellStyle name="Normal 2 2 2 5 2 6 2 5" xfId="21660" xr:uid="{00000000-0005-0000-0000-00009C540000}"/>
    <cellStyle name="Normal 2 2 2 5 2 6 2 6" xfId="21661" xr:uid="{00000000-0005-0000-0000-00009D540000}"/>
    <cellStyle name="Normal 2 2 2 5 2 6 2 7" xfId="21662" xr:uid="{00000000-0005-0000-0000-00009E540000}"/>
    <cellStyle name="Normal 2 2 2 5 2 6 2 8" xfId="21663" xr:uid="{00000000-0005-0000-0000-00009F540000}"/>
    <cellStyle name="Normal 2 2 2 5 2 6 2 9" xfId="21664" xr:uid="{00000000-0005-0000-0000-0000A0540000}"/>
    <cellStyle name="Normal 2 2 2 5 2 6 3" xfId="21665" xr:uid="{00000000-0005-0000-0000-0000A1540000}"/>
    <cellStyle name="Normal 2 2 2 5 2 6 3 10" xfId="21666" xr:uid="{00000000-0005-0000-0000-0000A2540000}"/>
    <cellStyle name="Normal 2 2 2 5 2 6 3 2" xfId="21667" xr:uid="{00000000-0005-0000-0000-0000A3540000}"/>
    <cellStyle name="Normal 2 2 2 5 2 6 3 3" xfId="21668" xr:uid="{00000000-0005-0000-0000-0000A4540000}"/>
    <cellStyle name="Normal 2 2 2 5 2 6 3 4" xfId="21669" xr:uid="{00000000-0005-0000-0000-0000A5540000}"/>
    <cellStyle name="Normal 2 2 2 5 2 6 3 5" xfId="21670" xr:uid="{00000000-0005-0000-0000-0000A6540000}"/>
    <cellStyle name="Normal 2 2 2 5 2 6 3 6" xfId="21671" xr:uid="{00000000-0005-0000-0000-0000A7540000}"/>
    <cellStyle name="Normal 2 2 2 5 2 6 3 7" xfId="21672" xr:uid="{00000000-0005-0000-0000-0000A8540000}"/>
    <cellStyle name="Normal 2 2 2 5 2 6 3 8" xfId="21673" xr:uid="{00000000-0005-0000-0000-0000A9540000}"/>
    <cellStyle name="Normal 2 2 2 5 2 6 3 9" xfId="21674" xr:uid="{00000000-0005-0000-0000-0000AA540000}"/>
    <cellStyle name="Normal 2 2 2 5 2 6 4" xfId="21675" xr:uid="{00000000-0005-0000-0000-0000AB540000}"/>
    <cellStyle name="Normal 2 2 2 5 2 6 4 10" xfId="21676" xr:uid="{00000000-0005-0000-0000-0000AC540000}"/>
    <cellStyle name="Normal 2 2 2 5 2 6 4 2" xfId="21677" xr:uid="{00000000-0005-0000-0000-0000AD540000}"/>
    <cellStyle name="Normal 2 2 2 5 2 6 4 3" xfId="21678" xr:uid="{00000000-0005-0000-0000-0000AE540000}"/>
    <cellStyle name="Normal 2 2 2 5 2 6 4 4" xfId="21679" xr:uid="{00000000-0005-0000-0000-0000AF540000}"/>
    <cellStyle name="Normal 2 2 2 5 2 6 4 5" xfId="21680" xr:uid="{00000000-0005-0000-0000-0000B0540000}"/>
    <cellStyle name="Normal 2 2 2 5 2 6 4 6" xfId="21681" xr:uid="{00000000-0005-0000-0000-0000B1540000}"/>
    <cellStyle name="Normal 2 2 2 5 2 6 4 7" xfId="21682" xr:uid="{00000000-0005-0000-0000-0000B2540000}"/>
    <cellStyle name="Normal 2 2 2 5 2 6 4 8" xfId="21683" xr:uid="{00000000-0005-0000-0000-0000B3540000}"/>
    <cellStyle name="Normal 2 2 2 5 2 6 4 9" xfId="21684" xr:uid="{00000000-0005-0000-0000-0000B4540000}"/>
    <cellStyle name="Normal 2 2 2 5 2 6 5" xfId="21685" xr:uid="{00000000-0005-0000-0000-0000B5540000}"/>
    <cellStyle name="Normal 2 2 2 5 2 6 5 10" xfId="21686" xr:uid="{00000000-0005-0000-0000-0000B6540000}"/>
    <cellStyle name="Normal 2 2 2 5 2 6 5 2" xfId="21687" xr:uid="{00000000-0005-0000-0000-0000B7540000}"/>
    <cellStyle name="Normal 2 2 2 5 2 6 5 3" xfId="21688" xr:uid="{00000000-0005-0000-0000-0000B8540000}"/>
    <cellStyle name="Normal 2 2 2 5 2 6 5 4" xfId="21689" xr:uid="{00000000-0005-0000-0000-0000B9540000}"/>
    <cellStyle name="Normal 2 2 2 5 2 6 5 5" xfId="21690" xr:uid="{00000000-0005-0000-0000-0000BA540000}"/>
    <cellStyle name="Normal 2 2 2 5 2 6 5 6" xfId="21691" xr:uid="{00000000-0005-0000-0000-0000BB540000}"/>
    <cellStyle name="Normal 2 2 2 5 2 6 5 7" xfId="21692" xr:uid="{00000000-0005-0000-0000-0000BC540000}"/>
    <cellStyle name="Normal 2 2 2 5 2 6 5 8" xfId="21693" xr:uid="{00000000-0005-0000-0000-0000BD540000}"/>
    <cellStyle name="Normal 2 2 2 5 2 6 5 9" xfId="21694" xr:uid="{00000000-0005-0000-0000-0000BE540000}"/>
    <cellStyle name="Normal 2 2 2 5 2 6 6" xfId="21695" xr:uid="{00000000-0005-0000-0000-0000BF540000}"/>
    <cellStyle name="Normal 2 2 2 5 2 6 7" xfId="21696" xr:uid="{00000000-0005-0000-0000-0000C0540000}"/>
    <cellStyle name="Normal 2 2 2 5 2 6 8" xfId="21697" xr:uid="{00000000-0005-0000-0000-0000C1540000}"/>
    <cellStyle name="Normal 2 2 2 5 2 6 9" xfId="21698" xr:uid="{00000000-0005-0000-0000-0000C2540000}"/>
    <cellStyle name="Normal 2 2 2 5 2 7" xfId="21699" xr:uid="{00000000-0005-0000-0000-0000C3540000}"/>
    <cellStyle name="Normal 2 2 2 5 2 7 10" xfId="21700" xr:uid="{00000000-0005-0000-0000-0000C4540000}"/>
    <cellStyle name="Normal 2 2 2 5 2 7 11" xfId="21701" xr:uid="{00000000-0005-0000-0000-0000C5540000}"/>
    <cellStyle name="Normal 2 2 2 5 2 7 12" xfId="21702" xr:uid="{00000000-0005-0000-0000-0000C6540000}"/>
    <cellStyle name="Normal 2 2 2 5 2 7 13" xfId="21703" xr:uid="{00000000-0005-0000-0000-0000C7540000}"/>
    <cellStyle name="Normal 2 2 2 5 2 7 14" xfId="21704" xr:uid="{00000000-0005-0000-0000-0000C8540000}"/>
    <cellStyle name="Normal 2 2 2 5 2 7 2" xfId="21705" xr:uid="{00000000-0005-0000-0000-0000C9540000}"/>
    <cellStyle name="Normal 2 2 2 5 2 7 2 10" xfId="21706" xr:uid="{00000000-0005-0000-0000-0000CA540000}"/>
    <cellStyle name="Normal 2 2 2 5 2 7 2 2" xfId="21707" xr:uid="{00000000-0005-0000-0000-0000CB540000}"/>
    <cellStyle name="Normal 2 2 2 5 2 7 2 3" xfId="21708" xr:uid="{00000000-0005-0000-0000-0000CC540000}"/>
    <cellStyle name="Normal 2 2 2 5 2 7 2 4" xfId="21709" xr:uid="{00000000-0005-0000-0000-0000CD540000}"/>
    <cellStyle name="Normal 2 2 2 5 2 7 2 5" xfId="21710" xr:uid="{00000000-0005-0000-0000-0000CE540000}"/>
    <cellStyle name="Normal 2 2 2 5 2 7 2 6" xfId="21711" xr:uid="{00000000-0005-0000-0000-0000CF540000}"/>
    <cellStyle name="Normal 2 2 2 5 2 7 2 7" xfId="21712" xr:uid="{00000000-0005-0000-0000-0000D0540000}"/>
    <cellStyle name="Normal 2 2 2 5 2 7 2 8" xfId="21713" xr:uid="{00000000-0005-0000-0000-0000D1540000}"/>
    <cellStyle name="Normal 2 2 2 5 2 7 2 9" xfId="21714" xr:uid="{00000000-0005-0000-0000-0000D2540000}"/>
    <cellStyle name="Normal 2 2 2 5 2 7 3" xfId="21715" xr:uid="{00000000-0005-0000-0000-0000D3540000}"/>
    <cellStyle name="Normal 2 2 2 5 2 7 3 10" xfId="21716" xr:uid="{00000000-0005-0000-0000-0000D4540000}"/>
    <cellStyle name="Normal 2 2 2 5 2 7 3 2" xfId="21717" xr:uid="{00000000-0005-0000-0000-0000D5540000}"/>
    <cellStyle name="Normal 2 2 2 5 2 7 3 3" xfId="21718" xr:uid="{00000000-0005-0000-0000-0000D6540000}"/>
    <cellStyle name="Normal 2 2 2 5 2 7 3 4" xfId="21719" xr:uid="{00000000-0005-0000-0000-0000D7540000}"/>
    <cellStyle name="Normal 2 2 2 5 2 7 3 5" xfId="21720" xr:uid="{00000000-0005-0000-0000-0000D8540000}"/>
    <cellStyle name="Normal 2 2 2 5 2 7 3 6" xfId="21721" xr:uid="{00000000-0005-0000-0000-0000D9540000}"/>
    <cellStyle name="Normal 2 2 2 5 2 7 3 7" xfId="21722" xr:uid="{00000000-0005-0000-0000-0000DA540000}"/>
    <cellStyle name="Normal 2 2 2 5 2 7 3 8" xfId="21723" xr:uid="{00000000-0005-0000-0000-0000DB540000}"/>
    <cellStyle name="Normal 2 2 2 5 2 7 3 9" xfId="21724" xr:uid="{00000000-0005-0000-0000-0000DC540000}"/>
    <cellStyle name="Normal 2 2 2 5 2 7 4" xfId="21725" xr:uid="{00000000-0005-0000-0000-0000DD540000}"/>
    <cellStyle name="Normal 2 2 2 5 2 7 4 10" xfId="21726" xr:uid="{00000000-0005-0000-0000-0000DE540000}"/>
    <cellStyle name="Normal 2 2 2 5 2 7 4 2" xfId="21727" xr:uid="{00000000-0005-0000-0000-0000DF540000}"/>
    <cellStyle name="Normal 2 2 2 5 2 7 4 3" xfId="21728" xr:uid="{00000000-0005-0000-0000-0000E0540000}"/>
    <cellStyle name="Normal 2 2 2 5 2 7 4 4" xfId="21729" xr:uid="{00000000-0005-0000-0000-0000E1540000}"/>
    <cellStyle name="Normal 2 2 2 5 2 7 4 5" xfId="21730" xr:uid="{00000000-0005-0000-0000-0000E2540000}"/>
    <cellStyle name="Normal 2 2 2 5 2 7 4 6" xfId="21731" xr:uid="{00000000-0005-0000-0000-0000E3540000}"/>
    <cellStyle name="Normal 2 2 2 5 2 7 4 7" xfId="21732" xr:uid="{00000000-0005-0000-0000-0000E4540000}"/>
    <cellStyle name="Normal 2 2 2 5 2 7 4 8" xfId="21733" xr:uid="{00000000-0005-0000-0000-0000E5540000}"/>
    <cellStyle name="Normal 2 2 2 5 2 7 4 9" xfId="21734" xr:uid="{00000000-0005-0000-0000-0000E6540000}"/>
    <cellStyle name="Normal 2 2 2 5 2 7 5" xfId="21735" xr:uid="{00000000-0005-0000-0000-0000E7540000}"/>
    <cellStyle name="Normal 2 2 2 5 2 7 5 10" xfId="21736" xr:uid="{00000000-0005-0000-0000-0000E8540000}"/>
    <cellStyle name="Normal 2 2 2 5 2 7 5 2" xfId="21737" xr:uid="{00000000-0005-0000-0000-0000E9540000}"/>
    <cellStyle name="Normal 2 2 2 5 2 7 5 3" xfId="21738" xr:uid="{00000000-0005-0000-0000-0000EA540000}"/>
    <cellStyle name="Normal 2 2 2 5 2 7 5 4" xfId="21739" xr:uid="{00000000-0005-0000-0000-0000EB540000}"/>
    <cellStyle name="Normal 2 2 2 5 2 7 5 5" xfId="21740" xr:uid="{00000000-0005-0000-0000-0000EC540000}"/>
    <cellStyle name="Normal 2 2 2 5 2 7 5 6" xfId="21741" xr:uid="{00000000-0005-0000-0000-0000ED540000}"/>
    <cellStyle name="Normal 2 2 2 5 2 7 5 7" xfId="21742" xr:uid="{00000000-0005-0000-0000-0000EE540000}"/>
    <cellStyle name="Normal 2 2 2 5 2 7 5 8" xfId="21743" xr:uid="{00000000-0005-0000-0000-0000EF540000}"/>
    <cellStyle name="Normal 2 2 2 5 2 7 5 9" xfId="21744" xr:uid="{00000000-0005-0000-0000-0000F0540000}"/>
    <cellStyle name="Normal 2 2 2 5 2 7 6" xfId="21745" xr:uid="{00000000-0005-0000-0000-0000F1540000}"/>
    <cellStyle name="Normal 2 2 2 5 2 7 7" xfId="21746" xr:uid="{00000000-0005-0000-0000-0000F2540000}"/>
    <cellStyle name="Normal 2 2 2 5 2 7 8" xfId="21747" xr:uid="{00000000-0005-0000-0000-0000F3540000}"/>
    <cellStyle name="Normal 2 2 2 5 2 7 9" xfId="21748" xr:uid="{00000000-0005-0000-0000-0000F4540000}"/>
    <cellStyle name="Normal 2 2 2 5 2 8" xfId="21749" xr:uid="{00000000-0005-0000-0000-0000F5540000}"/>
    <cellStyle name="Normal 2 2 2 5 2 8 10" xfId="21750" xr:uid="{00000000-0005-0000-0000-0000F6540000}"/>
    <cellStyle name="Normal 2 2 2 5 2 8 11" xfId="21751" xr:uid="{00000000-0005-0000-0000-0000F7540000}"/>
    <cellStyle name="Normal 2 2 2 5 2 8 12" xfId="21752" xr:uid="{00000000-0005-0000-0000-0000F8540000}"/>
    <cellStyle name="Normal 2 2 2 5 2 8 13" xfId="21753" xr:uid="{00000000-0005-0000-0000-0000F9540000}"/>
    <cellStyle name="Normal 2 2 2 5 2 8 14" xfId="21754" xr:uid="{00000000-0005-0000-0000-0000FA540000}"/>
    <cellStyle name="Normal 2 2 2 5 2 8 2" xfId="21755" xr:uid="{00000000-0005-0000-0000-0000FB540000}"/>
    <cellStyle name="Normal 2 2 2 5 2 8 2 10" xfId="21756" xr:uid="{00000000-0005-0000-0000-0000FC540000}"/>
    <cellStyle name="Normal 2 2 2 5 2 8 2 2" xfId="21757" xr:uid="{00000000-0005-0000-0000-0000FD540000}"/>
    <cellStyle name="Normal 2 2 2 5 2 8 2 3" xfId="21758" xr:uid="{00000000-0005-0000-0000-0000FE540000}"/>
    <cellStyle name="Normal 2 2 2 5 2 8 2 4" xfId="21759" xr:uid="{00000000-0005-0000-0000-0000FF540000}"/>
    <cellStyle name="Normal 2 2 2 5 2 8 2 5" xfId="21760" xr:uid="{00000000-0005-0000-0000-000000550000}"/>
    <cellStyle name="Normal 2 2 2 5 2 8 2 6" xfId="21761" xr:uid="{00000000-0005-0000-0000-000001550000}"/>
    <cellStyle name="Normal 2 2 2 5 2 8 2 7" xfId="21762" xr:uid="{00000000-0005-0000-0000-000002550000}"/>
    <cellStyle name="Normal 2 2 2 5 2 8 2 8" xfId="21763" xr:uid="{00000000-0005-0000-0000-000003550000}"/>
    <cellStyle name="Normal 2 2 2 5 2 8 2 9" xfId="21764" xr:uid="{00000000-0005-0000-0000-000004550000}"/>
    <cellStyle name="Normal 2 2 2 5 2 8 3" xfId="21765" xr:uid="{00000000-0005-0000-0000-000005550000}"/>
    <cellStyle name="Normal 2 2 2 5 2 8 3 10" xfId="21766" xr:uid="{00000000-0005-0000-0000-000006550000}"/>
    <cellStyle name="Normal 2 2 2 5 2 8 3 2" xfId="21767" xr:uid="{00000000-0005-0000-0000-000007550000}"/>
    <cellStyle name="Normal 2 2 2 5 2 8 3 3" xfId="21768" xr:uid="{00000000-0005-0000-0000-000008550000}"/>
    <cellStyle name="Normal 2 2 2 5 2 8 3 4" xfId="21769" xr:uid="{00000000-0005-0000-0000-000009550000}"/>
    <cellStyle name="Normal 2 2 2 5 2 8 3 5" xfId="21770" xr:uid="{00000000-0005-0000-0000-00000A550000}"/>
    <cellStyle name="Normal 2 2 2 5 2 8 3 6" xfId="21771" xr:uid="{00000000-0005-0000-0000-00000B550000}"/>
    <cellStyle name="Normal 2 2 2 5 2 8 3 7" xfId="21772" xr:uid="{00000000-0005-0000-0000-00000C550000}"/>
    <cellStyle name="Normal 2 2 2 5 2 8 3 8" xfId="21773" xr:uid="{00000000-0005-0000-0000-00000D550000}"/>
    <cellStyle name="Normal 2 2 2 5 2 8 3 9" xfId="21774" xr:uid="{00000000-0005-0000-0000-00000E550000}"/>
    <cellStyle name="Normal 2 2 2 5 2 8 4" xfId="21775" xr:uid="{00000000-0005-0000-0000-00000F550000}"/>
    <cellStyle name="Normal 2 2 2 5 2 8 4 10" xfId="21776" xr:uid="{00000000-0005-0000-0000-000010550000}"/>
    <cellStyle name="Normal 2 2 2 5 2 8 4 2" xfId="21777" xr:uid="{00000000-0005-0000-0000-000011550000}"/>
    <cellStyle name="Normal 2 2 2 5 2 8 4 3" xfId="21778" xr:uid="{00000000-0005-0000-0000-000012550000}"/>
    <cellStyle name="Normal 2 2 2 5 2 8 4 4" xfId="21779" xr:uid="{00000000-0005-0000-0000-000013550000}"/>
    <cellStyle name="Normal 2 2 2 5 2 8 4 5" xfId="21780" xr:uid="{00000000-0005-0000-0000-000014550000}"/>
    <cellStyle name="Normal 2 2 2 5 2 8 4 6" xfId="21781" xr:uid="{00000000-0005-0000-0000-000015550000}"/>
    <cellStyle name="Normal 2 2 2 5 2 8 4 7" xfId="21782" xr:uid="{00000000-0005-0000-0000-000016550000}"/>
    <cellStyle name="Normal 2 2 2 5 2 8 4 8" xfId="21783" xr:uid="{00000000-0005-0000-0000-000017550000}"/>
    <cellStyle name="Normal 2 2 2 5 2 8 4 9" xfId="21784" xr:uid="{00000000-0005-0000-0000-000018550000}"/>
    <cellStyle name="Normal 2 2 2 5 2 8 5" xfId="21785" xr:uid="{00000000-0005-0000-0000-000019550000}"/>
    <cellStyle name="Normal 2 2 2 5 2 8 5 10" xfId="21786" xr:uid="{00000000-0005-0000-0000-00001A550000}"/>
    <cellStyle name="Normal 2 2 2 5 2 8 5 2" xfId="21787" xr:uid="{00000000-0005-0000-0000-00001B550000}"/>
    <cellStyle name="Normal 2 2 2 5 2 8 5 3" xfId="21788" xr:uid="{00000000-0005-0000-0000-00001C550000}"/>
    <cellStyle name="Normal 2 2 2 5 2 8 5 4" xfId="21789" xr:uid="{00000000-0005-0000-0000-00001D550000}"/>
    <cellStyle name="Normal 2 2 2 5 2 8 5 5" xfId="21790" xr:uid="{00000000-0005-0000-0000-00001E550000}"/>
    <cellStyle name="Normal 2 2 2 5 2 8 5 6" xfId="21791" xr:uid="{00000000-0005-0000-0000-00001F550000}"/>
    <cellStyle name="Normal 2 2 2 5 2 8 5 7" xfId="21792" xr:uid="{00000000-0005-0000-0000-000020550000}"/>
    <cellStyle name="Normal 2 2 2 5 2 8 5 8" xfId="21793" xr:uid="{00000000-0005-0000-0000-000021550000}"/>
    <cellStyle name="Normal 2 2 2 5 2 8 5 9" xfId="21794" xr:uid="{00000000-0005-0000-0000-000022550000}"/>
    <cellStyle name="Normal 2 2 2 5 2 8 6" xfId="21795" xr:uid="{00000000-0005-0000-0000-000023550000}"/>
    <cellStyle name="Normal 2 2 2 5 2 8 7" xfId="21796" xr:uid="{00000000-0005-0000-0000-000024550000}"/>
    <cellStyle name="Normal 2 2 2 5 2 8 8" xfId="21797" xr:uid="{00000000-0005-0000-0000-000025550000}"/>
    <cellStyle name="Normal 2 2 2 5 2 8 9" xfId="21798" xr:uid="{00000000-0005-0000-0000-000026550000}"/>
    <cellStyle name="Normal 2 2 2 5 2 9" xfId="21799" xr:uid="{00000000-0005-0000-0000-000027550000}"/>
    <cellStyle name="Normal 2 2 2 5 2 9 10" xfId="21800" xr:uid="{00000000-0005-0000-0000-000028550000}"/>
    <cellStyle name="Normal 2 2 2 5 2 9 11" xfId="21801" xr:uid="{00000000-0005-0000-0000-000029550000}"/>
    <cellStyle name="Normal 2 2 2 5 2 9 12" xfId="21802" xr:uid="{00000000-0005-0000-0000-00002A550000}"/>
    <cellStyle name="Normal 2 2 2 5 2 9 13" xfId="21803" xr:uid="{00000000-0005-0000-0000-00002B550000}"/>
    <cellStyle name="Normal 2 2 2 5 2 9 14" xfId="21804" xr:uid="{00000000-0005-0000-0000-00002C550000}"/>
    <cellStyle name="Normal 2 2 2 5 2 9 2" xfId="21805" xr:uid="{00000000-0005-0000-0000-00002D550000}"/>
    <cellStyle name="Normal 2 2 2 5 2 9 2 10" xfId="21806" xr:uid="{00000000-0005-0000-0000-00002E550000}"/>
    <cellStyle name="Normal 2 2 2 5 2 9 2 2" xfId="21807" xr:uid="{00000000-0005-0000-0000-00002F550000}"/>
    <cellStyle name="Normal 2 2 2 5 2 9 2 3" xfId="21808" xr:uid="{00000000-0005-0000-0000-000030550000}"/>
    <cellStyle name="Normal 2 2 2 5 2 9 2 4" xfId="21809" xr:uid="{00000000-0005-0000-0000-000031550000}"/>
    <cellStyle name="Normal 2 2 2 5 2 9 2 5" xfId="21810" xr:uid="{00000000-0005-0000-0000-000032550000}"/>
    <cellStyle name="Normal 2 2 2 5 2 9 2 6" xfId="21811" xr:uid="{00000000-0005-0000-0000-000033550000}"/>
    <cellStyle name="Normal 2 2 2 5 2 9 2 7" xfId="21812" xr:uid="{00000000-0005-0000-0000-000034550000}"/>
    <cellStyle name="Normal 2 2 2 5 2 9 2 8" xfId="21813" xr:uid="{00000000-0005-0000-0000-000035550000}"/>
    <cellStyle name="Normal 2 2 2 5 2 9 2 9" xfId="21814" xr:uid="{00000000-0005-0000-0000-000036550000}"/>
    <cellStyle name="Normal 2 2 2 5 2 9 3" xfId="21815" xr:uid="{00000000-0005-0000-0000-000037550000}"/>
    <cellStyle name="Normal 2 2 2 5 2 9 3 10" xfId="21816" xr:uid="{00000000-0005-0000-0000-000038550000}"/>
    <cellStyle name="Normal 2 2 2 5 2 9 3 2" xfId="21817" xr:uid="{00000000-0005-0000-0000-000039550000}"/>
    <cellStyle name="Normal 2 2 2 5 2 9 3 3" xfId="21818" xr:uid="{00000000-0005-0000-0000-00003A550000}"/>
    <cellStyle name="Normal 2 2 2 5 2 9 3 4" xfId="21819" xr:uid="{00000000-0005-0000-0000-00003B550000}"/>
    <cellStyle name="Normal 2 2 2 5 2 9 3 5" xfId="21820" xr:uid="{00000000-0005-0000-0000-00003C550000}"/>
    <cellStyle name="Normal 2 2 2 5 2 9 3 6" xfId="21821" xr:uid="{00000000-0005-0000-0000-00003D550000}"/>
    <cellStyle name="Normal 2 2 2 5 2 9 3 7" xfId="21822" xr:uid="{00000000-0005-0000-0000-00003E550000}"/>
    <cellStyle name="Normal 2 2 2 5 2 9 3 8" xfId="21823" xr:uid="{00000000-0005-0000-0000-00003F550000}"/>
    <cellStyle name="Normal 2 2 2 5 2 9 3 9" xfId="21824" xr:uid="{00000000-0005-0000-0000-000040550000}"/>
    <cellStyle name="Normal 2 2 2 5 2 9 4" xfId="21825" xr:uid="{00000000-0005-0000-0000-000041550000}"/>
    <cellStyle name="Normal 2 2 2 5 2 9 4 10" xfId="21826" xr:uid="{00000000-0005-0000-0000-000042550000}"/>
    <cellStyle name="Normal 2 2 2 5 2 9 4 2" xfId="21827" xr:uid="{00000000-0005-0000-0000-000043550000}"/>
    <cellStyle name="Normal 2 2 2 5 2 9 4 3" xfId="21828" xr:uid="{00000000-0005-0000-0000-000044550000}"/>
    <cellStyle name="Normal 2 2 2 5 2 9 4 4" xfId="21829" xr:uid="{00000000-0005-0000-0000-000045550000}"/>
    <cellStyle name="Normal 2 2 2 5 2 9 4 5" xfId="21830" xr:uid="{00000000-0005-0000-0000-000046550000}"/>
    <cellStyle name="Normal 2 2 2 5 2 9 4 6" xfId="21831" xr:uid="{00000000-0005-0000-0000-000047550000}"/>
    <cellStyle name="Normal 2 2 2 5 2 9 4 7" xfId="21832" xr:uid="{00000000-0005-0000-0000-000048550000}"/>
    <cellStyle name="Normal 2 2 2 5 2 9 4 8" xfId="21833" xr:uid="{00000000-0005-0000-0000-000049550000}"/>
    <cellStyle name="Normal 2 2 2 5 2 9 4 9" xfId="21834" xr:uid="{00000000-0005-0000-0000-00004A550000}"/>
    <cellStyle name="Normal 2 2 2 5 2 9 5" xfId="21835" xr:uid="{00000000-0005-0000-0000-00004B550000}"/>
    <cellStyle name="Normal 2 2 2 5 2 9 5 10" xfId="21836" xr:uid="{00000000-0005-0000-0000-00004C550000}"/>
    <cellStyle name="Normal 2 2 2 5 2 9 5 2" xfId="21837" xr:uid="{00000000-0005-0000-0000-00004D550000}"/>
    <cellStyle name="Normal 2 2 2 5 2 9 5 3" xfId="21838" xr:uid="{00000000-0005-0000-0000-00004E550000}"/>
    <cellStyle name="Normal 2 2 2 5 2 9 5 4" xfId="21839" xr:uid="{00000000-0005-0000-0000-00004F550000}"/>
    <cellStyle name="Normal 2 2 2 5 2 9 5 5" xfId="21840" xr:uid="{00000000-0005-0000-0000-000050550000}"/>
    <cellStyle name="Normal 2 2 2 5 2 9 5 6" xfId="21841" xr:uid="{00000000-0005-0000-0000-000051550000}"/>
    <cellStyle name="Normal 2 2 2 5 2 9 5 7" xfId="21842" xr:uid="{00000000-0005-0000-0000-000052550000}"/>
    <cellStyle name="Normal 2 2 2 5 2 9 5 8" xfId="21843" xr:uid="{00000000-0005-0000-0000-000053550000}"/>
    <cellStyle name="Normal 2 2 2 5 2 9 5 9" xfId="21844" xr:uid="{00000000-0005-0000-0000-000054550000}"/>
    <cellStyle name="Normal 2 2 2 5 2 9 6" xfId="21845" xr:uid="{00000000-0005-0000-0000-000055550000}"/>
    <cellStyle name="Normal 2 2 2 5 2 9 7" xfId="21846" xr:uid="{00000000-0005-0000-0000-000056550000}"/>
    <cellStyle name="Normal 2 2 2 5 2 9 8" xfId="21847" xr:uid="{00000000-0005-0000-0000-000057550000}"/>
    <cellStyle name="Normal 2 2 2 5 2 9 9" xfId="21848" xr:uid="{00000000-0005-0000-0000-000058550000}"/>
    <cellStyle name="Normal 2 2 2 5 20" xfId="21849" xr:uid="{00000000-0005-0000-0000-000059550000}"/>
    <cellStyle name="Normal 2 2 2 5 21" xfId="21850" xr:uid="{00000000-0005-0000-0000-00005A550000}"/>
    <cellStyle name="Normal 2 2 2 5 21 10" xfId="21851" xr:uid="{00000000-0005-0000-0000-00005B550000}"/>
    <cellStyle name="Normal 2 2 2 5 21 2" xfId="21852" xr:uid="{00000000-0005-0000-0000-00005C550000}"/>
    <cellStyle name="Normal 2 2 2 5 21 3" xfId="21853" xr:uid="{00000000-0005-0000-0000-00005D550000}"/>
    <cellStyle name="Normal 2 2 2 5 21 4" xfId="21854" xr:uid="{00000000-0005-0000-0000-00005E550000}"/>
    <cellStyle name="Normal 2 2 2 5 21 5" xfId="21855" xr:uid="{00000000-0005-0000-0000-00005F550000}"/>
    <cellStyle name="Normal 2 2 2 5 21 6" xfId="21856" xr:uid="{00000000-0005-0000-0000-000060550000}"/>
    <cellStyle name="Normal 2 2 2 5 21 7" xfId="21857" xr:uid="{00000000-0005-0000-0000-000061550000}"/>
    <cellStyle name="Normal 2 2 2 5 21 8" xfId="21858" xr:uid="{00000000-0005-0000-0000-000062550000}"/>
    <cellStyle name="Normal 2 2 2 5 21 9" xfId="21859" xr:uid="{00000000-0005-0000-0000-000063550000}"/>
    <cellStyle name="Normal 2 2 2 5 22" xfId="21860" xr:uid="{00000000-0005-0000-0000-000064550000}"/>
    <cellStyle name="Normal 2 2 2 5 22 10" xfId="21861" xr:uid="{00000000-0005-0000-0000-000065550000}"/>
    <cellStyle name="Normal 2 2 2 5 22 2" xfId="21862" xr:uid="{00000000-0005-0000-0000-000066550000}"/>
    <cellStyle name="Normal 2 2 2 5 22 3" xfId="21863" xr:uid="{00000000-0005-0000-0000-000067550000}"/>
    <cellStyle name="Normal 2 2 2 5 22 4" xfId="21864" xr:uid="{00000000-0005-0000-0000-000068550000}"/>
    <cellStyle name="Normal 2 2 2 5 22 5" xfId="21865" xr:uid="{00000000-0005-0000-0000-000069550000}"/>
    <cellStyle name="Normal 2 2 2 5 22 6" xfId="21866" xr:uid="{00000000-0005-0000-0000-00006A550000}"/>
    <cellStyle name="Normal 2 2 2 5 22 7" xfId="21867" xr:uid="{00000000-0005-0000-0000-00006B550000}"/>
    <cellStyle name="Normal 2 2 2 5 22 8" xfId="21868" xr:uid="{00000000-0005-0000-0000-00006C550000}"/>
    <cellStyle name="Normal 2 2 2 5 22 9" xfId="21869" xr:uid="{00000000-0005-0000-0000-00006D550000}"/>
    <cellStyle name="Normal 2 2 2 5 23" xfId="21870" xr:uid="{00000000-0005-0000-0000-00006E550000}"/>
    <cellStyle name="Normal 2 2 2 5 23 10" xfId="21871" xr:uid="{00000000-0005-0000-0000-00006F550000}"/>
    <cellStyle name="Normal 2 2 2 5 23 2" xfId="21872" xr:uid="{00000000-0005-0000-0000-000070550000}"/>
    <cellStyle name="Normal 2 2 2 5 23 3" xfId="21873" xr:uid="{00000000-0005-0000-0000-000071550000}"/>
    <cellStyle name="Normal 2 2 2 5 23 4" xfId="21874" xr:uid="{00000000-0005-0000-0000-000072550000}"/>
    <cellStyle name="Normal 2 2 2 5 23 5" xfId="21875" xr:uid="{00000000-0005-0000-0000-000073550000}"/>
    <cellStyle name="Normal 2 2 2 5 23 6" xfId="21876" xr:uid="{00000000-0005-0000-0000-000074550000}"/>
    <cellStyle name="Normal 2 2 2 5 23 7" xfId="21877" xr:uid="{00000000-0005-0000-0000-000075550000}"/>
    <cellStyle name="Normal 2 2 2 5 23 8" xfId="21878" xr:uid="{00000000-0005-0000-0000-000076550000}"/>
    <cellStyle name="Normal 2 2 2 5 23 9" xfId="21879" xr:uid="{00000000-0005-0000-0000-000077550000}"/>
    <cellStyle name="Normal 2 2 2 5 24" xfId="21880" xr:uid="{00000000-0005-0000-0000-000078550000}"/>
    <cellStyle name="Normal 2 2 2 5 24 10" xfId="21881" xr:uid="{00000000-0005-0000-0000-000079550000}"/>
    <cellStyle name="Normal 2 2 2 5 24 2" xfId="21882" xr:uid="{00000000-0005-0000-0000-00007A550000}"/>
    <cellStyle name="Normal 2 2 2 5 24 3" xfId="21883" xr:uid="{00000000-0005-0000-0000-00007B550000}"/>
    <cellStyle name="Normal 2 2 2 5 24 4" xfId="21884" xr:uid="{00000000-0005-0000-0000-00007C550000}"/>
    <cellStyle name="Normal 2 2 2 5 24 5" xfId="21885" xr:uid="{00000000-0005-0000-0000-00007D550000}"/>
    <cellStyle name="Normal 2 2 2 5 24 6" xfId="21886" xr:uid="{00000000-0005-0000-0000-00007E550000}"/>
    <cellStyle name="Normal 2 2 2 5 24 7" xfId="21887" xr:uid="{00000000-0005-0000-0000-00007F550000}"/>
    <cellStyle name="Normal 2 2 2 5 24 8" xfId="21888" xr:uid="{00000000-0005-0000-0000-000080550000}"/>
    <cellStyle name="Normal 2 2 2 5 24 9" xfId="21889" xr:uid="{00000000-0005-0000-0000-000081550000}"/>
    <cellStyle name="Normal 2 2 2 5 25" xfId="21890" xr:uid="{00000000-0005-0000-0000-000082550000}"/>
    <cellStyle name="Normal 2 2 2 5 26" xfId="21891" xr:uid="{00000000-0005-0000-0000-000083550000}"/>
    <cellStyle name="Normal 2 2 2 5 27" xfId="21892" xr:uid="{00000000-0005-0000-0000-000084550000}"/>
    <cellStyle name="Normal 2 2 2 5 28" xfId="21893" xr:uid="{00000000-0005-0000-0000-000085550000}"/>
    <cellStyle name="Normal 2 2 2 5 29" xfId="21894" xr:uid="{00000000-0005-0000-0000-000086550000}"/>
    <cellStyle name="Normal 2 2 2 5 3" xfId="21895" xr:uid="{00000000-0005-0000-0000-000087550000}"/>
    <cellStyle name="Normal 2 2 2 5 30" xfId="21896" xr:uid="{00000000-0005-0000-0000-000088550000}"/>
    <cellStyle name="Normal 2 2 2 5 31" xfId="21897" xr:uid="{00000000-0005-0000-0000-000089550000}"/>
    <cellStyle name="Normal 2 2 2 5 32" xfId="21898" xr:uid="{00000000-0005-0000-0000-00008A550000}"/>
    <cellStyle name="Normal 2 2 2 5 33" xfId="21899" xr:uid="{00000000-0005-0000-0000-00008B550000}"/>
    <cellStyle name="Normal 2 2 2 5 34" xfId="21900" xr:uid="{00000000-0005-0000-0000-00008C550000}"/>
    <cellStyle name="Normal 2 2 2 5 35" xfId="21901" xr:uid="{00000000-0005-0000-0000-00008D550000}"/>
    <cellStyle name="Normal 2 2 2 5 4" xfId="21902" xr:uid="{00000000-0005-0000-0000-00008E550000}"/>
    <cellStyle name="Normal 2 2 2 5 5" xfId="21903" xr:uid="{00000000-0005-0000-0000-00008F550000}"/>
    <cellStyle name="Normal 2 2 2 5 6" xfId="21904" xr:uid="{00000000-0005-0000-0000-000090550000}"/>
    <cellStyle name="Normal 2 2 2 5 7" xfId="21905" xr:uid="{00000000-0005-0000-0000-000091550000}"/>
    <cellStyle name="Normal 2 2 2 5 8" xfId="21906" xr:uid="{00000000-0005-0000-0000-000092550000}"/>
    <cellStyle name="Normal 2 2 2 5 9" xfId="21907" xr:uid="{00000000-0005-0000-0000-000093550000}"/>
    <cellStyle name="Normal 2 2 2 50" xfId="21908" xr:uid="{00000000-0005-0000-0000-000094550000}"/>
    <cellStyle name="Normal 2 2 2 51" xfId="21909" xr:uid="{00000000-0005-0000-0000-000095550000}"/>
    <cellStyle name="Normal 2 2 2 6" xfId="21910" xr:uid="{00000000-0005-0000-0000-000096550000}"/>
    <cellStyle name="Normal 2 2 2 6 10" xfId="21911" xr:uid="{00000000-0005-0000-0000-000097550000}"/>
    <cellStyle name="Normal 2 2 2 6 11" xfId="21912" xr:uid="{00000000-0005-0000-0000-000098550000}"/>
    <cellStyle name="Normal 2 2 2 6 12" xfId="21913" xr:uid="{00000000-0005-0000-0000-000099550000}"/>
    <cellStyle name="Normal 2 2 2 6 13" xfId="21914" xr:uid="{00000000-0005-0000-0000-00009A550000}"/>
    <cellStyle name="Normal 2 2 2 6 14" xfId="21915" xr:uid="{00000000-0005-0000-0000-00009B550000}"/>
    <cellStyle name="Normal 2 2 2 6 15" xfId="21916" xr:uid="{00000000-0005-0000-0000-00009C550000}"/>
    <cellStyle name="Normal 2 2 2 6 16" xfId="21917" xr:uid="{00000000-0005-0000-0000-00009D550000}"/>
    <cellStyle name="Normal 2 2 2 6 2" xfId="21918" xr:uid="{00000000-0005-0000-0000-00009E550000}"/>
    <cellStyle name="Normal 2 2 2 6 2 10" xfId="21919" xr:uid="{00000000-0005-0000-0000-00009F550000}"/>
    <cellStyle name="Normal 2 2 2 6 2 2" xfId="21920" xr:uid="{00000000-0005-0000-0000-0000A0550000}"/>
    <cellStyle name="Normal 2 2 2 6 2 3" xfId="21921" xr:uid="{00000000-0005-0000-0000-0000A1550000}"/>
    <cellStyle name="Normal 2 2 2 6 2 4" xfId="21922" xr:uid="{00000000-0005-0000-0000-0000A2550000}"/>
    <cellStyle name="Normal 2 2 2 6 2 5" xfId="21923" xr:uid="{00000000-0005-0000-0000-0000A3550000}"/>
    <cellStyle name="Normal 2 2 2 6 2 6" xfId="21924" xr:uid="{00000000-0005-0000-0000-0000A4550000}"/>
    <cellStyle name="Normal 2 2 2 6 2 7" xfId="21925" xr:uid="{00000000-0005-0000-0000-0000A5550000}"/>
    <cellStyle name="Normal 2 2 2 6 2 8" xfId="21926" xr:uid="{00000000-0005-0000-0000-0000A6550000}"/>
    <cellStyle name="Normal 2 2 2 6 2 9" xfId="21927" xr:uid="{00000000-0005-0000-0000-0000A7550000}"/>
    <cellStyle name="Normal 2 2 2 6 3" xfId="21928" xr:uid="{00000000-0005-0000-0000-0000A8550000}"/>
    <cellStyle name="Normal 2 2 2 6 3 10" xfId="21929" xr:uid="{00000000-0005-0000-0000-0000A9550000}"/>
    <cellStyle name="Normal 2 2 2 6 3 2" xfId="21930" xr:uid="{00000000-0005-0000-0000-0000AA550000}"/>
    <cellStyle name="Normal 2 2 2 6 3 3" xfId="21931" xr:uid="{00000000-0005-0000-0000-0000AB550000}"/>
    <cellStyle name="Normal 2 2 2 6 3 4" xfId="21932" xr:uid="{00000000-0005-0000-0000-0000AC550000}"/>
    <cellStyle name="Normal 2 2 2 6 3 5" xfId="21933" xr:uid="{00000000-0005-0000-0000-0000AD550000}"/>
    <cellStyle name="Normal 2 2 2 6 3 6" xfId="21934" xr:uid="{00000000-0005-0000-0000-0000AE550000}"/>
    <cellStyle name="Normal 2 2 2 6 3 7" xfId="21935" xr:uid="{00000000-0005-0000-0000-0000AF550000}"/>
    <cellStyle name="Normal 2 2 2 6 3 8" xfId="21936" xr:uid="{00000000-0005-0000-0000-0000B0550000}"/>
    <cellStyle name="Normal 2 2 2 6 3 9" xfId="21937" xr:uid="{00000000-0005-0000-0000-0000B1550000}"/>
    <cellStyle name="Normal 2 2 2 6 4" xfId="21938" xr:uid="{00000000-0005-0000-0000-0000B2550000}"/>
    <cellStyle name="Normal 2 2 2 6 4 10" xfId="21939" xr:uid="{00000000-0005-0000-0000-0000B3550000}"/>
    <cellStyle name="Normal 2 2 2 6 4 2" xfId="21940" xr:uid="{00000000-0005-0000-0000-0000B4550000}"/>
    <cellStyle name="Normal 2 2 2 6 4 3" xfId="21941" xr:uid="{00000000-0005-0000-0000-0000B5550000}"/>
    <cellStyle name="Normal 2 2 2 6 4 4" xfId="21942" xr:uid="{00000000-0005-0000-0000-0000B6550000}"/>
    <cellStyle name="Normal 2 2 2 6 4 5" xfId="21943" xr:uid="{00000000-0005-0000-0000-0000B7550000}"/>
    <cellStyle name="Normal 2 2 2 6 4 6" xfId="21944" xr:uid="{00000000-0005-0000-0000-0000B8550000}"/>
    <cellStyle name="Normal 2 2 2 6 4 7" xfId="21945" xr:uid="{00000000-0005-0000-0000-0000B9550000}"/>
    <cellStyle name="Normal 2 2 2 6 4 8" xfId="21946" xr:uid="{00000000-0005-0000-0000-0000BA550000}"/>
    <cellStyle name="Normal 2 2 2 6 4 9" xfId="21947" xr:uid="{00000000-0005-0000-0000-0000BB550000}"/>
    <cellStyle name="Normal 2 2 2 6 5" xfId="21948" xr:uid="{00000000-0005-0000-0000-0000BC550000}"/>
    <cellStyle name="Normal 2 2 2 6 5 10" xfId="21949" xr:uid="{00000000-0005-0000-0000-0000BD550000}"/>
    <cellStyle name="Normal 2 2 2 6 5 2" xfId="21950" xr:uid="{00000000-0005-0000-0000-0000BE550000}"/>
    <cellStyle name="Normal 2 2 2 6 5 3" xfId="21951" xr:uid="{00000000-0005-0000-0000-0000BF550000}"/>
    <cellStyle name="Normal 2 2 2 6 5 4" xfId="21952" xr:uid="{00000000-0005-0000-0000-0000C0550000}"/>
    <cellStyle name="Normal 2 2 2 6 5 5" xfId="21953" xr:uid="{00000000-0005-0000-0000-0000C1550000}"/>
    <cellStyle name="Normal 2 2 2 6 5 6" xfId="21954" xr:uid="{00000000-0005-0000-0000-0000C2550000}"/>
    <cellStyle name="Normal 2 2 2 6 5 7" xfId="21955" xr:uid="{00000000-0005-0000-0000-0000C3550000}"/>
    <cellStyle name="Normal 2 2 2 6 5 8" xfId="21956" xr:uid="{00000000-0005-0000-0000-0000C4550000}"/>
    <cellStyle name="Normal 2 2 2 6 5 9" xfId="21957" xr:uid="{00000000-0005-0000-0000-0000C5550000}"/>
    <cellStyle name="Normal 2 2 2 6 6" xfId="21958" xr:uid="{00000000-0005-0000-0000-0000C6550000}"/>
    <cellStyle name="Normal 2 2 2 6 7" xfId="21959" xr:uid="{00000000-0005-0000-0000-0000C7550000}"/>
    <cellStyle name="Normal 2 2 2 6 8" xfId="21960" xr:uid="{00000000-0005-0000-0000-0000C8550000}"/>
    <cellStyle name="Normal 2 2 2 6 9" xfId="21961" xr:uid="{00000000-0005-0000-0000-0000C9550000}"/>
    <cellStyle name="Normal 2 2 2 7" xfId="21962" xr:uid="{00000000-0005-0000-0000-0000CA550000}"/>
    <cellStyle name="Normal 2 2 2 7 10" xfId="21963" xr:uid="{00000000-0005-0000-0000-0000CB550000}"/>
    <cellStyle name="Normal 2 2 2 7 11" xfId="21964" xr:uid="{00000000-0005-0000-0000-0000CC550000}"/>
    <cellStyle name="Normal 2 2 2 7 12" xfId="21965" xr:uid="{00000000-0005-0000-0000-0000CD550000}"/>
    <cellStyle name="Normal 2 2 2 7 13" xfId="21966" xr:uid="{00000000-0005-0000-0000-0000CE550000}"/>
    <cellStyle name="Normal 2 2 2 7 14" xfId="21967" xr:uid="{00000000-0005-0000-0000-0000CF550000}"/>
    <cellStyle name="Normal 2 2 2 7 15" xfId="21968" xr:uid="{00000000-0005-0000-0000-0000D0550000}"/>
    <cellStyle name="Normal 2 2 2 7 16" xfId="21969" xr:uid="{00000000-0005-0000-0000-0000D1550000}"/>
    <cellStyle name="Normal 2 2 2 7 2" xfId="21970" xr:uid="{00000000-0005-0000-0000-0000D2550000}"/>
    <cellStyle name="Normal 2 2 2 7 2 10" xfId="21971" xr:uid="{00000000-0005-0000-0000-0000D3550000}"/>
    <cellStyle name="Normal 2 2 2 7 2 2" xfId="21972" xr:uid="{00000000-0005-0000-0000-0000D4550000}"/>
    <cellStyle name="Normal 2 2 2 7 2 3" xfId="21973" xr:uid="{00000000-0005-0000-0000-0000D5550000}"/>
    <cellStyle name="Normal 2 2 2 7 2 4" xfId="21974" xr:uid="{00000000-0005-0000-0000-0000D6550000}"/>
    <cellStyle name="Normal 2 2 2 7 2 5" xfId="21975" xr:uid="{00000000-0005-0000-0000-0000D7550000}"/>
    <cellStyle name="Normal 2 2 2 7 2 6" xfId="21976" xr:uid="{00000000-0005-0000-0000-0000D8550000}"/>
    <cellStyle name="Normal 2 2 2 7 2 7" xfId="21977" xr:uid="{00000000-0005-0000-0000-0000D9550000}"/>
    <cellStyle name="Normal 2 2 2 7 2 8" xfId="21978" xr:uid="{00000000-0005-0000-0000-0000DA550000}"/>
    <cellStyle name="Normal 2 2 2 7 2 9" xfId="21979" xr:uid="{00000000-0005-0000-0000-0000DB550000}"/>
    <cellStyle name="Normal 2 2 2 7 3" xfId="21980" xr:uid="{00000000-0005-0000-0000-0000DC550000}"/>
    <cellStyle name="Normal 2 2 2 7 3 10" xfId="21981" xr:uid="{00000000-0005-0000-0000-0000DD550000}"/>
    <cellStyle name="Normal 2 2 2 7 3 2" xfId="21982" xr:uid="{00000000-0005-0000-0000-0000DE550000}"/>
    <cellStyle name="Normal 2 2 2 7 3 3" xfId="21983" xr:uid="{00000000-0005-0000-0000-0000DF550000}"/>
    <cellStyle name="Normal 2 2 2 7 3 4" xfId="21984" xr:uid="{00000000-0005-0000-0000-0000E0550000}"/>
    <cellStyle name="Normal 2 2 2 7 3 5" xfId="21985" xr:uid="{00000000-0005-0000-0000-0000E1550000}"/>
    <cellStyle name="Normal 2 2 2 7 3 6" xfId="21986" xr:uid="{00000000-0005-0000-0000-0000E2550000}"/>
    <cellStyle name="Normal 2 2 2 7 3 7" xfId="21987" xr:uid="{00000000-0005-0000-0000-0000E3550000}"/>
    <cellStyle name="Normal 2 2 2 7 3 8" xfId="21988" xr:uid="{00000000-0005-0000-0000-0000E4550000}"/>
    <cellStyle name="Normal 2 2 2 7 3 9" xfId="21989" xr:uid="{00000000-0005-0000-0000-0000E5550000}"/>
    <cellStyle name="Normal 2 2 2 7 4" xfId="21990" xr:uid="{00000000-0005-0000-0000-0000E6550000}"/>
    <cellStyle name="Normal 2 2 2 7 4 10" xfId="21991" xr:uid="{00000000-0005-0000-0000-0000E7550000}"/>
    <cellStyle name="Normal 2 2 2 7 4 2" xfId="21992" xr:uid="{00000000-0005-0000-0000-0000E8550000}"/>
    <cellStyle name="Normal 2 2 2 7 4 3" xfId="21993" xr:uid="{00000000-0005-0000-0000-0000E9550000}"/>
    <cellStyle name="Normal 2 2 2 7 4 4" xfId="21994" xr:uid="{00000000-0005-0000-0000-0000EA550000}"/>
    <cellStyle name="Normal 2 2 2 7 4 5" xfId="21995" xr:uid="{00000000-0005-0000-0000-0000EB550000}"/>
    <cellStyle name="Normal 2 2 2 7 4 6" xfId="21996" xr:uid="{00000000-0005-0000-0000-0000EC550000}"/>
    <cellStyle name="Normal 2 2 2 7 4 7" xfId="21997" xr:uid="{00000000-0005-0000-0000-0000ED550000}"/>
    <cellStyle name="Normal 2 2 2 7 4 8" xfId="21998" xr:uid="{00000000-0005-0000-0000-0000EE550000}"/>
    <cellStyle name="Normal 2 2 2 7 4 9" xfId="21999" xr:uid="{00000000-0005-0000-0000-0000EF550000}"/>
    <cellStyle name="Normal 2 2 2 7 5" xfId="22000" xr:uid="{00000000-0005-0000-0000-0000F0550000}"/>
    <cellStyle name="Normal 2 2 2 7 5 10" xfId="22001" xr:uid="{00000000-0005-0000-0000-0000F1550000}"/>
    <cellStyle name="Normal 2 2 2 7 5 2" xfId="22002" xr:uid="{00000000-0005-0000-0000-0000F2550000}"/>
    <cellStyle name="Normal 2 2 2 7 5 3" xfId="22003" xr:uid="{00000000-0005-0000-0000-0000F3550000}"/>
    <cellStyle name="Normal 2 2 2 7 5 4" xfId="22004" xr:uid="{00000000-0005-0000-0000-0000F4550000}"/>
    <cellStyle name="Normal 2 2 2 7 5 5" xfId="22005" xr:uid="{00000000-0005-0000-0000-0000F5550000}"/>
    <cellStyle name="Normal 2 2 2 7 5 6" xfId="22006" xr:uid="{00000000-0005-0000-0000-0000F6550000}"/>
    <cellStyle name="Normal 2 2 2 7 5 7" xfId="22007" xr:uid="{00000000-0005-0000-0000-0000F7550000}"/>
    <cellStyle name="Normal 2 2 2 7 5 8" xfId="22008" xr:uid="{00000000-0005-0000-0000-0000F8550000}"/>
    <cellStyle name="Normal 2 2 2 7 5 9" xfId="22009" xr:uid="{00000000-0005-0000-0000-0000F9550000}"/>
    <cellStyle name="Normal 2 2 2 7 6" xfId="22010" xr:uid="{00000000-0005-0000-0000-0000FA550000}"/>
    <cellStyle name="Normal 2 2 2 7 7" xfId="22011" xr:uid="{00000000-0005-0000-0000-0000FB550000}"/>
    <cellStyle name="Normal 2 2 2 7 8" xfId="22012" xr:uid="{00000000-0005-0000-0000-0000FC550000}"/>
    <cellStyle name="Normal 2 2 2 7 9" xfId="22013" xr:uid="{00000000-0005-0000-0000-0000FD550000}"/>
    <cellStyle name="Normal 2 2 2 8" xfId="22014" xr:uid="{00000000-0005-0000-0000-0000FE550000}"/>
    <cellStyle name="Normal 2 2 2 8 10" xfId="22015" xr:uid="{00000000-0005-0000-0000-0000FF550000}"/>
    <cellStyle name="Normal 2 2 2 8 11" xfId="22016" xr:uid="{00000000-0005-0000-0000-000000560000}"/>
    <cellStyle name="Normal 2 2 2 8 12" xfId="22017" xr:uid="{00000000-0005-0000-0000-000001560000}"/>
    <cellStyle name="Normal 2 2 2 8 13" xfId="22018" xr:uid="{00000000-0005-0000-0000-000002560000}"/>
    <cellStyle name="Normal 2 2 2 8 14" xfId="22019" xr:uid="{00000000-0005-0000-0000-000003560000}"/>
    <cellStyle name="Normal 2 2 2 8 2" xfId="22020" xr:uid="{00000000-0005-0000-0000-000004560000}"/>
    <cellStyle name="Normal 2 2 2 8 2 10" xfId="22021" xr:uid="{00000000-0005-0000-0000-000005560000}"/>
    <cellStyle name="Normal 2 2 2 8 2 2" xfId="22022" xr:uid="{00000000-0005-0000-0000-000006560000}"/>
    <cellStyle name="Normal 2 2 2 8 2 3" xfId="22023" xr:uid="{00000000-0005-0000-0000-000007560000}"/>
    <cellStyle name="Normal 2 2 2 8 2 4" xfId="22024" xr:uid="{00000000-0005-0000-0000-000008560000}"/>
    <cellStyle name="Normal 2 2 2 8 2 5" xfId="22025" xr:uid="{00000000-0005-0000-0000-000009560000}"/>
    <cellStyle name="Normal 2 2 2 8 2 6" xfId="22026" xr:uid="{00000000-0005-0000-0000-00000A560000}"/>
    <cellStyle name="Normal 2 2 2 8 2 7" xfId="22027" xr:uid="{00000000-0005-0000-0000-00000B560000}"/>
    <cellStyle name="Normal 2 2 2 8 2 8" xfId="22028" xr:uid="{00000000-0005-0000-0000-00000C560000}"/>
    <cellStyle name="Normal 2 2 2 8 2 9" xfId="22029" xr:uid="{00000000-0005-0000-0000-00000D560000}"/>
    <cellStyle name="Normal 2 2 2 8 3" xfId="22030" xr:uid="{00000000-0005-0000-0000-00000E560000}"/>
    <cellStyle name="Normal 2 2 2 8 3 10" xfId="22031" xr:uid="{00000000-0005-0000-0000-00000F560000}"/>
    <cellStyle name="Normal 2 2 2 8 3 2" xfId="22032" xr:uid="{00000000-0005-0000-0000-000010560000}"/>
    <cellStyle name="Normal 2 2 2 8 3 3" xfId="22033" xr:uid="{00000000-0005-0000-0000-000011560000}"/>
    <cellStyle name="Normal 2 2 2 8 3 4" xfId="22034" xr:uid="{00000000-0005-0000-0000-000012560000}"/>
    <cellStyle name="Normal 2 2 2 8 3 5" xfId="22035" xr:uid="{00000000-0005-0000-0000-000013560000}"/>
    <cellStyle name="Normal 2 2 2 8 3 6" xfId="22036" xr:uid="{00000000-0005-0000-0000-000014560000}"/>
    <cellStyle name="Normal 2 2 2 8 3 7" xfId="22037" xr:uid="{00000000-0005-0000-0000-000015560000}"/>
    <cellStyle name="Normal 2 2 2 8 3 8" xfId="22038" xr:uid="{00000000-0005-0000-0000-000016560000}"/>
    <cellStyle name="Normal 2 2 2 8 3 9" xfId="22039" xr:uid="{00000000-0005-0000-0000-000017560000}"/>
    <cellStyle name="Normal 2 2 2 8 4" xfId="22040" xr:uid="{00000000-0005-0000-0000-000018560000}"/>
    <cellStyle name="Normal 2 2 2 8 4 10" xfId="22041" xr:uid="{00000000-0005-0000-0000-000019560000}"/>
    <cellStyle name="Normal 2 2 2 8 4 2" xfId="22042" xr:uid="{00000000-0005-0000-0000-00001A560000}"/>
    <cellStyle name="Normal 2 2 2 8 4 3" xfId="22043" xr:uid="{00000000-0005-0000-0000-00001B560000}"/>
    <cellStyle name="Normal 2 2 2 8 4 4" xfId="22044" xr:uid="{00000000-0005-0000-0000-00001C560000}"/>
    <cellStyle name="Normal 2 2 2 8 4 5" xfId="22045" xr:uid="{00000000-0005-0000-0000-00001D560000}"/>
    <cellStyle name="Normal 2 2 2 8 4 6" xfId="22046" xr:uid="{00000000-0005-0000-0000-00001E560000}"/>
    <cellStyle name="Normal 2 2 2 8 4 7" xfId="22047" xr:uid="{00000000-0005-0000-0000-00001F560000}"/>
    <cellStyle name="Normal 2 2 2 8 4 8" xfId="22048" xr:uid="{00000000-0005-0000-0000-000020560000}"/>
    <cellStyle name="Normal 2 2 2 8 4 9" xfId="22049" xr:uid="{00000000-0005-0000-0000-000021560000}"/>
    <cellStyle name="Normal 2 2 2 8 5" xfId="22050" xr:uid="{00000000-0005-0000-0000-000022560000}"/>
    <cellStyle name="Normal 2 2 2 8 5 10" xfId="22051" xr:uid="{00000000-0005-0000-0000-000023560000}"/>
    <cellStyle name="Normal 2 2 2 8 5 2" xfId="22052" xr:uid="{00000000-0005-0000-0000-000024560000}"/>
    <cellStyle name="Normal 2 2 2 8 5 3" xfId="22053" xr:uid="{00000000-0005-0000-0000-000025560000}"/>
    <cellStyle name="Normal 2 2 2 8 5 4" xfId="22054" xr:uid="{00000000-0005-0000-0000-000026560000}"/>
    <cellStyle name="Normal 2 2 2 8 5 5" xfId="22055" xr:uid="{00000000-0005-0000-0000-000027560000}"/>
    <cellStyle name="Normal 2 2 2 8 5 6" xfId="22056" xr:uid="{00000000-0005-0000-0000-000028560000}"/>
    <cellStyle name="Normal 2 2 2 8 5 7" xfId="22057" xr:uid="{00000000-0005-0000-0000-000029560000}"/>
    <cellStyle name="Normal 2 2 2 8 5 8" xfId="22058" xr:uid="{00000000-0005-0000-0000-00002A560000}"/>
    <cellStyle name="Normal 2 2 2 8 5 9" xfId="22059" xr:uid="{00000000-0005-0000-0000-00002B560000}"/>
    <cellStyle name="Normal 2 2 2 8 6" xfId="22060" xr:uid="{00000000-0005-0000-0000-00002C560000}"/>
    <cellStyle name="Normal 2 2 2 8 7" xfId="22061" xr:uid="{00000000-0005-0000-0000-00002D560000}"/>
    <cellStyle name="Normal 2 2 2 8 8" xfId="22062" xr:uid="{00000000-0005-0000-0000-00002E560000}"/>
    <cellStyle name="Normal 2 2 2 8 9" xfId="22063" xr:uid="{00000000-0005-0000-0000-00002F560000}"/>
    <cellStyle name="Normal 2 2 2 9" xfId="22064" xr:uid="{00000000-0005-0000-0000-000030560000}"/>
    <cellStyle name="Normal 2 2 2 9 10" xfId="22065" xr:uid="{00000000-0005-0000-0000-000031560000}"/>
    <cellStyle name="Normal 2 2 2 9 11" xfId="22066" xr:uid="{00000000-0005-0000-0000-000032560000}"/>
    <cellStyle name="Normal 2 2 2 9 12" xfId="22067" xr:uid="{00000000-0005-0000-0000-000033560000}"/>
    <cellStyle name="Normal 2 2 2 9 13" xfId="22068" xr:uid="{00000000-0005-0000-0000-000034560000}"/>
    <cellStyle name="Normal 2 2 2 9 14" xfId="22069" xr:uid="{00000000-0005-0000-0000-000035560000}"/>
    <cellStyle name="Normal 2 2 2 9 2" xfId="22070" xr:uid="{00000000-0005-0000-0000-000036560000}"/>
    <cellStyle name="Normal 2 2 2 9 2 10" xfId="22071" xr:uid="{00000000-0005-0000-0000-000037560000}"/>
    <cellStyle name="Normal 2 2 2 9 2 2" xfId="22072" xr:uid="{00000000-0005-0000-0000-000038560000}"/>
    <cellStyle name="Normal 2 2 2 9 2 3" xfId="22073" xr:uid="{00000000-0005-0000-0000-000039560000}"/>
    <cellStyle name="Normal 2 2 2 9 2 4" xfId="22074" xr:uid="{00000000-0005-0000-0000-00003A560000}"/>
    <cellStyle name="Normal 2 2 2 9 2 5" xfId="22075" xr:uid="{00000000-0005-0000-0000-00003B560000}"/>
    <cellStyle name="Normal 2 2 2 9 2 6" xfId="22076" xr:uid="{00000000-0005-0000-0000-00003C560000}"/>
    <cellStyle name="Normal 2 2 2 9 2 7" xfId="22077" xr:uid="{00000000-0005-0000-0000-00003D560000}"/>
    <cellStyle name="Normal 2 2 2 9 2 8" xfId="22078" xr:uid="{00000000-0005-0000-0000-00003E560000}"/>
    <cellStyle name="Normal 2 2 2 9 2 9" xfId="22079" xr:uid="{00000000-0005-0000-0000-00003F560000}"/>
    <cellStyle name="Normal 2 2 2 9 3" xfId="22080" xr:uid="{00000000-0005-0000-0000-000040560000}"/>
    <cellStyle name="Normal 2 2 2 9 3 10" xfId="22081" xr:uid="{00000000-0005-0000-0000-000041560000}"/>
    <cellStyle name="Normal 2 2 2 9 3 2" xfId="22082" xr:uid="{00000000-0005-0000-0000-000042560000}"/>
    <cellStyle name="Normal 2 2 2 9 3 3" xfId="22083" xr:uid="{00000000-0005-0000-0000-000043560000}"/>
    <cellStyle name="Normal 2 2 2 9 3 4" xfId="22084" xr:uid="{00000000-0005-0000-0000-000044560000}"/>
    <cellStyle name="Normal 2 2 2 9 3 5" xfId="22085" xr:uid="{00000000-0005-0000-0000-000045560000}"/>
    <cellStyle name="Normal 2 2 2 9 3 6" xfId="22086" xr:uid="{00000000-0005-0000-0000-000046560000}"/>
    <cellStyle name="Normal 2 2 2 9 3 7" xfId="22087" xr:uid="{00000000-0005-0000-0000-000047560000}"/>
    <cellStyle name="Normal 2 2 2 9 3 8" xfId="22088" xr:uid="{00000000-0005-0000-0000-000048560000}"/>
    <cellStyle name="Normal 2 2 2 9 3 9" xfId="22089" xr:uid="{00000000-0005-0000-0000-000049560000}"/>
    <cellStyle name="Normal 2 2 2 9 4" xfId="22090" xr:uid="{00000000-0005-0000-0000-00004A560000}"/>
    <cellStyle name="Normal 2 2 2 9 4 10" xfId="22091" xr:uid="{00000000-0005-0000-0000-00004B560000}"/>
    <cellStyle name="Normal 2 2 2 9 4 2" xfId="22092" xr:uid="{00000000-0005-0000-0000-00004C560000}"/>
    <cellStyle name="Normal 2 2 2 9 4 3" xfId="22093" xr:uid="{00000000-0005-0000-0000-00004D560000}"/>
    <cellStyle name="Normal 2 2 2 9 4 4" xfId="22094" xr:uid="{00000000-0005-0000-0000-00004E560000}"/>
    <cellStyle name="Normal 2 2 2 9 4 5" xfId="22095" xr:uid="{00000000-0005-0000-0000-00004F560000}"/>
    <cellStyle name="Normal 2 2 2 9 4 6" xfId="22096" xr:uid="{00000000-0005-0000-0000-000050560000}"/>
    <cellStyle name="Normal 2 2 2 9 4 7" xfId="22097" xr:uid="{00000000-0005-0000-0000-000051560000}"/>
    <cellStyle name="Normal 2 2 2 9 4 8" xfId="22098" xr:uid="{00000000-0005-0000-0000-000052560000}"/>
    <cellStyle name="Normal 2 2 2 9 4 9" xfId="22099" xr:uid="{00000000-0005-0000-0000-000053560000}"/>
    <cellStyle name="Normal 2 2 2 9 5" xfId="22100" xr:uid="{00000000-0005-0000-0000-000054560000}"/>
    <cellStyle name="Normal 2 2 2 9 5 10" xfId="22101" xr:uid="{00000000-0005-0000-0000-000055560000}"/>
    <cellStyle name="Normal 2 2 2 9 5 2" xfId="22102" xr:uid="{00000000-0005-0000-0000-000056560000}"/>
    <cellStyle name="Normal 2 2 2 9 5 3" xfId="22103" xr:uid="{00000000-0005-0000-0000-000057560000}"/>
    <cellStyle name="Normal 2 2 2 9 5 4" xfId="22104" xr:uid="{00000000-0005-0000-0000-000058560000}"/>
    <cellStyle name="Normal 2 2 2 9 5 5" xfId="22105" xr:uid="{00000000-0005-0000-0000-000059560000}"/>
    <cellStyle name="Normal 2 2 2 9 5 6" xfId="22106" xr:uid="{00000000-0005-0000-0000-00005A560000}"/>
    <cellStyle name="Normal 2 2 2 9 5 7" xfId="22107" xr:uid="{00000000-0005-0000-0000-00005B560000}"/>
    <cellStyle name="Normal 2 2 2 9 5 8" xfId="22108" xr:uid="{00000000-0005-0000-0000-00005C560000}"/>
    <cellStyle name="Normal 2 2 2 9 5 9" xfId="22109" xr:uid="{00000000-0005-0000-0000-00005D560000}"/>
    <cellStyle name="Normal 2 2 2 9 6" xfId="22110" xr:uid="{00000000-0005-0000-0000-00005E560000}"/>
    <cellStyle name="Normal 2 2 2 9 7" xfId="22111" xr:uid="{00000000-0005-0000-0000-00005F560000}"/>
    <cellStyle name="Normal 2 2 2 9 8" xfId="22112" xr:uid="{00000000-0005-0000-0000-000060560000}"/>
    <cellStyle name="Normal 2 2 2 9 9" xfId="22113" xr:uid="{00000000-0005-0000-0000-000061560000}"/>
    <cellStyle name="Normal 2 2 20" xfId="22114" xr:uid="{00000000-0005-0000-0000-000062560000}"/>
    <cellStyle name="Normal 2 2 21" xfId="22115" xr:uid="{00000000-0005-0000-0000-000063560000}"/>
    <cellStyle name="Normal 2 2 22" xfId="22116" xr:uid="{00000000-0005-0000-0000-000064560000}"/>
    <cellStyle name="Normal 2 2 23" xfId="22117" xr:uid="{00000000-0005-0000-0000-000065560000}"/>
    <cellStyle name="Normal 2 2 24" xfId="22118" xr:uid="{00000000-0005-0000-0000-000066560000}"/>
    <cellStyle name="Normal 2 2 25" xfId="22119" xr:uid="{00000000-0005-0000-0000-000067560000}"/>
    <cellStyle name="Normal 2 2 26" xfId="22120" xr:uid="{00000000-0005-0000-0000-000068560000}"/>
    <cellStyle name="Normal 2 2 27" xfId="22121" xr:uid="{00000000-0005-0000-0000-000069560000}"/>
    <cellStyle name="Normal 2 2 28" xfId="22122" xr:uid="{00000000-0005-0000-0000-00006A560000}"/>
    <cellStyle name="Normal 2 2 29" xfId="22123" xr:uid="{00000000-0005-0000-0000-00006B560000}"/>
    <cellStyle name="Normal 2 2 3" xfId="422" xr:uid="{00000000-0005-0000-0000-0000A6010000}"/>
    <cellStyle name="Normal 2 2 3 2" xfId="22124" xr:uid="{00000000-0005-0000-0000-00006C560000}"/>
    <cellStyle name="Normal 2 2 3 3" xfId="22125" xr:uid="{00000000-0005-0000-0000-00006D560000}"/>
    <cellStyle name="Normal 2 2 3 4" xfId="22126" xr:uid="{00000000-0005-0000-0000-00006E560000}"/>
    <cellStyle name="Normal 2 2 30" xfId="22127" xr:uid="{00000000-0005-0000-0000-00006F560000}"/>
    <cellStyle name="Normal 2 2 31" xfId="22128" xr:uid="{00000000-0005-0000-0000-000070560000}"/>
    <cellStyle name="Normal 2 2 32" xfId="22129" xr:uid="{00000000-0005-0000-0000-000071560000}"/>
    <cellStyle name="Normal 2 2 33" xfId="22130" xr:uid="{00000000-0005-0000-0000-000072560000}"/>
    <cellStyle name="Normal 2 2 34" xfId="22131" xr:uid="{00000000-0005-0000-0000-000073560000}"/>
    <cellStyle name="Normal 2 2 35" xfId="22132" xr:uid="{00000000-0005-0000-0000-000074560000}"/>
    <cellStyle name="Normal 2 2 36" xfId="22133" xr:uid="{00000000-0005-0000-0000-000075560000}"/>
    <cellStyle name="Normal 2 2 37" xfId="22134" xr:uid="{00000000-0005-0000-0000-000076560000}"/>
    <cellStyle name="Normal 2 2 38" xfId="22135" xr:uid="{00000000-0005-0000-0000-000077560000}"/>
    <cellStyle name="Normal 2 2 39" xfId="22136" xr:uid="{00000000-0005-0000-0000-000078560000}"/>
    <cellStyle name="Normal 2 2 4" xfId="423" xr:uid="{00000000-0005-0000-0000-0000A7010000}"/>
    <cellStyle name="Normal 2 2 4 10" xfId="22138" xr:uid="{00000000-0005-0000-0000-00007A560000}"/>
    <cellStyle name="Normal 2 2 4 10 10" xfId="22139" xr:uid="{00000000-0005-0000-0000-00007B560000}"/>
    <cellStyle name="Normal 2 2 4 10 11" xfId="22140" xr:uid="{00000000-0005-0000-0000-00007C560000}"/>
    <cellStyle name="Normal 2 2 4 10 12" xfId="22141" xr:uid="{00000000-0005-0000-0000-00007D560000}"/>
    <cellStyle name="Normal 2 2 4 10 13" xfId="22142" xr:uid="{00000000-0005-0000-0000-00007E560000}"/>
    <cellStyle name="Normal 2 2 4 10 14" xfId="22143" xr:uid="{00000000-0005-0000-0000-00007F560000}"/>
    <cellStyle name="Normal 2 2 4 10 2" xfId="22144" xr:uid="{00000000-0005-0000-0000-000080560000}"/>
    <cellStyle name="Normal 2 2 4 10 2 10" xfId="22145" xr:uid="{00000000-0005-0000-0000-000081560000}"/>
    <cellStyle name="Normal 2 2 4 10 2 2" xfId="22146" xr:uid="{00000000-0005-0000-0000-000082560000}"/>
    <cellStyle name="Normal 2 2 4 10 2 3" xfId="22147" xr:uid="{00000000-0005-0000-0000-000083560000}"/>
    <cellStyle name="Normal 2 2 4 10 2 4" xfId="22148" xr:uid="{00000000-0005-0000-0000-000084560000}"/>
    <cellStyle name="Normal 2 2 4 10 2 5" xfId="22149" xr:uid="{00000000-0005-0000-0000-000085560000}"/>
    <cellStyle name="Normal 2 2 4 10 2 6" xfId="22150" xr:uid="{00000000-0005-0000-0000-000086560000}"/>
    <cellStyle name="Normal 2 2 4 10 2 7" xfId="22151" xr:uid="{00000000-0005-0000-0000-000087560000}"/>
    <cellStyle name="Normal 2 2 4 10 2 8" xfId="22152" xr:uid="{00000000-0005-0000-0000-000088560000}"/>
    <cellStyle name="Normal 2 2 4 10 2 9" xfId="22153" xr:uid="{00000000-0005-0000-0000-000089560000}"/>
    <cellStyle name="Normal 2 2 4 10 3" xfId="22154" xr:uid="{00000000-0005-0000-0000-00008A560000}"/>
    <cellStyle name="Normal 2 2 4 10 3 10" xfId="22155" xr:uid="{00000000-0005-0000-0000-00008B560000}"/>
    <cellStyle name="Normal 2 2 4 10 3 2" xfId="22156" xr:uid="{00000000-0005-0000-0000-00008C560000}"/>
    <cellStyle name="Normal 2 2 4 10 3 3" xfId="22157" xr:uid="{00000000-0005-0000-0000-00008D560000}"/>
    <cellStyle name="Normal 2 2 4 10 3 4" xfId="22158" xr:uid="{00000000-0005-0000-0000-00008E560000}"/>
    <cellStyle name="Normal 2 2 4 10 3 5" xfId="22159" xr:uid="{00000000-0005-0000-0000-00008F560000}"/>
    <cellStyle name="Normal 2 2 4 10 3 6" xfId="22160" xr:uid="{00000000-0005-0000-0000-000090560000}"/>
    <cellStyle name="Normal 2 2 4 10 3 7" xfId="22161" xr:uid="{00000000-0005-0000-0000-000091560000}"/>
    <cellStyle name="Normal 2 2 4 10 3 8" xfId="22162" xr:uid="{00000000-0005-0000-0000-000092560000}"/>
    <cellStyle name="Normal 2 2 4 10 3 9" xfId="22163" xr:uid="{00000000-0005-0000-0000-000093560000}"/>
    <cellStyle name="Normal 2 2 4 10 4" xfId="22164" xr:uid="{00000000-0005-0000-0000-000094560000}"/>
    <cellStyle name="Normal 2 2 4 10 4 10" xfId="22165" xr:uid="{00000000-0005-0000-0000-000095560000}"/>
    <cellStyle name="Normal 2 2 4 10 4 2" xfId="22166" xr:uid="{00000000-0005-0000-0000-000096560000}"/>
    <cellStyle name="Normal 2 2 4 10 4 3" xfId="22167" xr:uid="{00000000-0005-0000-0000-000097560000}"/>
    <cellStyle name="Normal 2 2 4 10 4 4" xfId="22168" xr:uid="{00000000-0005-0000-0000-000098560000}"/>
    <cellStyle name="Normal 2 2 4 10 4 5" xfId="22169" xr:uid="{00000000-0005-0000-0000-000099560000}"/>
    <cellStyle name="Normal 2 2 4 10 4 6" xfId="22170" xr:uid="{00000000-0005-0000-0000-00009A560000}"/>
    <cellStyle name="Normal 2 2 4 10 4 7" xfId="22171" xr:uid="{00000000-0005-0000-0000-00009B560000}"/>
    <cellStyle name="Normal 2 2 4 10 4 8" xfId="22172" xr:uid="{00000000-0005-0000-0000-00009C560000}"/>
    <cellStyle name="Normal 2 2 4 10 4 9" xfId="22173" xr:uid="{00000000-0005-0000-0000-00009D560000}"/>
    <cellStyle name="Normal 2 2 4 10 5" xfId="22174" xr:uid="{00000000-0005-0000-0000-00009E560000}"/>
    <cellStyle name="Normal 2 2 4 10 5 10" xfId="22175" xr:uid="{00000000-0005-0000-0000-00009F560000}"/>
    <cellStyle name="Normal 2 2 4 10 5 2" xfId="22176" xr:uid="{00000000-0005-0000-0000-0000A0560000}"/>
    <cellStyle name="Normal 2 2 4 10 5 3" xfId="22177" xr:uid="{00000000-0005-0000-0000-0000A1560000}"/>
    <cellStyle name="Normal 2 2 4 10 5 4" xfId="22178" xr:uid="{00000000-0005-0000-0000-0000A2560000}"/>
    <cellStyle name="Normal 2 2 4 10 5 5" xfId="22179" xr:uid="{00000000-0005-0000-0000-0000A3560000}"/>
    <cellStyle name="Normal 2 2 4 10 5 6" xfId="22180" xr:uid="{00000000-0005-0000-0000-0000A4560000}"/>
    <cellStyle name="Normal 2 2 4 10 5 7" xfId="22181" xr:uid="{00000000-0005-0000-0000-0000A5560000}"/>
    <cellStyle name="Normal 2 2 4 10 5 8" xfId="22182" xr:uid="{00000000-0005-0000-0000-0000A6560000}"/>
    <cellStyle name="Normal 2 2 4 10 5 9" xfId="22183" xr:uid="{00000000-0005-0000-0000-0000A7560000}"/>
    <cellStyle name="Normal 2 2 4 10 6" xfId="22184" xr:uid="{00000000-0005-0000-0000-0000A8560000}"/>
    <cellStyle name="Normal 2 2 4 10 7" xfId="22185" xr:uid="{00000000-0005-0000-0000-0000A9560000}"/>
    <cellStyle name="Normal 2 2 4 10 8" xfId="22186" xr:uid="{00000000-0005-0000-0000-0000AA560000}"/>
    <cellStyle name="Normal 2 2 4 10 9" xfId="22187" xr:uid="{00000000-0005-0000-0000-0000AB560000}"/>
    <cellStyle name="Normal 2 2 4 11" xfId="22188" xr:uid="{00000000-0005-0000-0000-0000AC560000}"/>
    <cellStyle name="Normal 2 2 4 11 10" xfId="22189" xr:uid="{00000000-0005-0000-0000-0000AD560000}"/>
    <cellStyle name="Normal 2 2 4 11 11" xfId="22190" xr:uid="{00000000-0005-0000-0000-0000AE560000}"/>
    <cellStyle name="Normal 2 2 4 11 12" xfId="22191" xr:uid="{00000000-0005-0000-0000-0000AF560000}"/>
    <cellStyle name="Normal 2 2 4 11 13" xfId="22192" xr:uid="{00000000-0005-0000-0000-0000B0560000}"/>
    <cellStyle name="Normal 2 2 4 11 14" xfId="22193" xr:uid="{00000000-0005-0000-0000-0000B1560000}"/>
    <cellStyle name="Normal 2 2 4 11 2" xfId="22194" xr:uid="{00000000-0005-0000-0000-0000B2560000}"/>
    <cellStyle name="Normal 2 2 4 11 2 10" xfId="22195" xr:uid="{00000000-0005-0000-0000-0000B3560000}"/>
    <cellStyle name="Normal 2 2 4 11 2 2" xfId="22196" xr:uid="{00000000-0005-0000-0000-0000B4560000}"/>
    <cellStyle name="Normal 2 2 4 11 2 3" xfId="22197" xr:uid="{00000000-0005-0000-0000-0000B5560000}"/>
    <cellStyle name="Normal 2 2 4 11 2 4" xfId="22198" xr:uid="{00000000-0005-0000-0000-0000B6560000}"/>
    <cellStyle name="Normal 2 2 4 11 2 5" xfId="22199" xr:uid="{00000000-0005-0000-0000-0000B7560000}"/>
    <cellStyle name="Normal 2 2 4 11 2 6" xfId="22200" xr:uid="{00000000-0005-0000-0000-0000B8560000}"/>
    <cellStyle name="Normal 2 2 4 11 2 7" xfId="22201" xr:uid="{00000000-0005-0000-0000-0000B9560000}"/>
    <cellStyle name="Normal 2 2 4 11 2 8" xfId="22202" xr:uid="{00000000-0005-0000-0000-0000BA560000}"/>
    <cellStyle name="Normal 2 2 4 11 2 9" xfId="22203" xr:uid="{00000000-0005-0000-0000-0000BB560000}"/>
    <cellStyle name="Normal 2 2 4 11 3" xfId="22204" xr:uid="{00000000-0005-0000-0000-0000BC560000}"/>
    <cellStyle name="Normal 2 2 4 11 3 10" xfId="22205" xr:uid="{00000000-0005-0000-0000-0000BD560000}"/>
    <cellStyle name="Normal 2 2 4 11 3 2" xfId="22206" xr:uid="{00000000-0005-0000-0000-0000BE560000}"/>
    <cellStyle name="Normal 2 2 4 11 3 3" xfId="22207" xr:uid="{00000000-0005-0000-0000-0000BF560000}"/>
    <cellStyle name="Normal 2 2 4 11 3 4" xfId="22208" xr:uid="{00000000-0005-0000-0000-0000C0560000}"/>
    <cellStyle name="Normal 2 2 4 11 3 5" xfId="22209" xr:uid="{00000000-0005-0000-0000-0000C1560000}"/>
    <cellStyle name="Normal 2 2 4 11 3 6" xfId="22210" xr:uid="{00000000-0005-0000-0000-0000C2560000}"/>
    <cellStyle name="Normal 2 2 4 11 3 7" xfId="22211" xr:uid="{00000000-0005-0000-0000-0000C3560000}"/>
    <cellStyle name="Normal 2 2 4 11 3 8" xfId="22212" xr:uid="{00000000-0005-0000-0000-0000C4560000}"/>
    <cellStyle name="Normal 2 2 4 11 3 9" xfId="22213" xr:uid="{00000000-0005-0000-0000-0000C5560000}"/>
    <cellStyle name="Normal 2 2 4 11 4" xfId="22214" xr:uid="{00000000-0005-0000-0000-0000C6560000}"/>
    <cellStyle name="Normal 2 2 4 11 4 10" xfId="22215" xr:uid="{00000000-0005-0000-0000-0000C7560000}"/>
    <cellStyle name="Normal 2 2 4 11 4 2" xfId="22216" xr:uid="{00000000-0005-0000-0000-0000C8560000}"/>
    <cellStyle name="Normal 2 2 4 11 4 3" xfId="22217" xr:uid="{00000000-0005-0000-0000-0000C9560000}"/>
    <cellStyle name="Normal 2 2 4 11 4 4" xfId="22218" xr:uid="{00000000-0005-0000-0000-0000CA560000}"/>
    <cellStyle name="Normal 2 2 4 11 4 5" xfId="22219" xr:uid="{00000000-0005-0000-0000-0000CB560000}"/>
    <cellStyle name="Normal 2 2 4 11 4 6" xfId="22220" xr:uid="{00000000-0005-0000-0000-0000CC560000}"/>
    <cellStyle name="Normal 2 2 4 11 4 7" xfId="22221" xr:uid="{00000000-0005-0000-0000-0000CD560000}"/>
    <cellStyle name="Normal 2 2 4 11 4 8" xfId="22222" xr:uid="{00000000-0005-0000-0000-0000CE560000}"/>
    <cellStyle name="Normal 2 2 4 11 4 9" xfId="22223" xr:uid="{00000000-0005-0000-0000-0000CF560000}"/>
    <cellStyle name="Normal 2 2 4 11 5" xfId="22224" xr:uid="{00000000-0005-0000-0000-0000D0560000}"/>
    <cellStyle name="Normal 2 2 4 11 5 10" xfId="22225" xr:uid="{00000000-0005-0000-0000-0000D1560000}"/>
    <cellStyle name="Normal 2 2 4 11 5 2" xfId="22226" xr:uid="{00000000-0005-0000-0000-0000D2560000}"/>
    <cellStyle name="Normal 2 2 4 11 5 3" xfId="22227" xr:uid="{00000000-0005-0000-0000-0000D3560000}"/>
    <cellStyle name="Normal 2 2 4 11 5 4" xfId="22228" xr:uid="{00000000-0005-0000-0000-0000D4560000}"/>
    <cellStyle name="Normal 2 2 4 11 5 5" xfId="22229" xr:uid="{00000000-0005-0000-0000-0000D5560000}"/>
    <cellStyle name="Normal 2 2 4 11 5 6" xfId="22230" xr:uid="{00000000-0005-0000-0000-0000D6560000}"/>
    <cellStyle name="Normal 2 2 4 11 5 7" xfId="22231" xr:uid="{00000000-0005-0000-0000-0000D7560000}"/>
    <cellStyle name="Normal 2 2 4 11 5 8" xfId="22232" xr:uid="{00000000-0005-0000-0000-0000D8560000}"/>
    <cellStyle name="Normal 2 2 4 11 5 9" xfId="22233" xr:uid="{00000000-0005-0000-0000-0000D9560000}"/>
    <cellStyle name="Normal 2 2 4 11 6" xfId="22234" xr:uid="{00000000-0005-0000-0000-0000DA560000}"/>
    <cellStyle name="Normal 2 2 4 11 7" xfId="22235" xr:uid="{00000000-0005-0000-0000-0000DB560000}"/>
    <cellStyle name="Normal 2 2 4 11 8" xfId="22236" xr:uid="{00000000-0005-0000-0000-0000DC560000}"/>
    <cellStyle name="Normal 2 2 4 11 9" xfId="22237" xr:uid="{00000000-0005-0000-0000-0000DD560000}"/>
    <cellStyle name="Normal 2 2 4 12" xfId="22238" xr:uid="{00000000-0005-0000-0000-0000DE560000}"/>
    <cellStyle name="Normal 2 2 4 12 10" xfId="22239" xr:uid="{00000000-0005-0000-0000-0000DF560000}"/>
    <cellStyle name="Normal 2 2 4 12 11" xfId="22240" xr:uid="{00000000-0005-0000-0000-0000E0560000}"/>
    <cellStyle name="Normal 2 2 4 12 12" xfId="22241" xr:uid="{00000000-0005-0000-0000-0000E1560000}"/>
    <cellStyle name="Normal 2 2 4 12 13" xfId="22242" xr:uid="{00000000-0005-0000-0000-0000E2560000}"/>
    <cellStyle name="Normal 2 2 4 12 14" xfId="22243" xr:uid="{00000000-0005-0000-0000-0000E3560000}"/>
    <cellStyle name="Normal 2 2 4 12 2" xfId="22244" xr:uid="{00000000-0005-0000-0000-0000E4560000}"/>
    <cellStyle name="Normal 2 2 4 12 2 10" xfId="22245" xr:uid="{00000000-0005-0000-0000-0000E5560000}"/>
    <cellStyle name="Normal 2 2 4 12 2 2" xfId="22246" xr:uid="{00000000-0005-0000-0000-0000E6560000}"/>
    <cellStyle name="Normal 2 2 4 12 2 3" xfId="22247" xr:uid="{00000000-0005-0000-0000-0000E7560000}"/>
    <cellStyle name="Normal 2 2 4 12 2 4" xfId="22248" xr:uid="{00000000-0005-0000-0000-0000E8560000}"/>
    <cellStyle name="Normal 2 2 4 12 2 5" xfId="22249" xr:uid="{00000000-0005-0000-0000-0000E9560000}"/>
    <cellStyle name="Normal 2 2 4 12 2 6" xfId="22250" xr:uid="{00000000-0005-0000-0000-0000EA560000}"/>
    <cellStyle name="Normal 2 2 4 12 2 7" xfId="22251" xr:uid="{00000000-0005-0000-0000-0000EB560000}"/>
    <cellStyle name="Normal 2 2 4 12 2 8" xfId="22252" xr:uid="{00000000-0005-0000-0000-0000EC560000}"/>
    <cellStyle name="Normal 2 2 4 12 2 9" xfId="22253" xr:uid="{00000000-0005-0000-0000-0000ED560000}"/>
    <cellStyle name="Normal 2 2 4 12 3" xfId="22254" xr:uid="{00000000-0005-0000-0000-0000EE560000}"/>
    <cellStyle name="Normal 2 2 4 12 3 10" xfId="22255" xr:uid="{00000000-0005-0000-0000-0000EF560000}"/>
    <cellStyle name="Normal 2 2 4 12 3 2" xfId="22256" xr:uid="{00000000-0005-0000-0000-0000F0560000}"/>
    <cellStyle name="Normal 2 2 4 12 3 3" xfId="22257" xr:uid="{00000000-0005-0000-0000-0000F1560000}"/>
    <cellStyle name="Normal 2 2 4 12 3 4" xfId="22258" xr:uid="{00000000-0005-0000-0000-0000F2560000}"/>
    <cellStyle name="Normal 2 2 4 12 3 5" xfId="22259" xr:uid="{00000000-0005-0000-0000-0000F3560000}"/>
    <cellStyle name="Normal 2 2 4 12 3 6" xfId="22260" xr:uid="{00000000-0005-0000-0000-0000F4560000}"/>
    <cellStyle name="Normal 2 2 4 12 3 7" xfId="22261" xr:uid="{00000000-0005-0000-0000-0000F5560000}"/>
    <cellStyle name="Normal 2 2 4 12 3 8" xfId="22262" xr:uid="{00000000-0005-0000-0000-0000F6560000}"/>
    <cellStyle name="Normal 2 2 4 12 3 9" xfId="22263" xr:uid="{00000000-0005-0000-0000-0000F7560000}"/>
    <cellStyle name="Normal 2 2 4 12 4" xfId="22264" xr:uid="{00000000-0005-0000-0000-0000F8560000}"/>
    <cellStyle name="Normal 2 2 4 12 4 10" xfId="22265" xr:uid="{00000000-0005-0000-0000-0000F9560000}"/>
    <cellStyle name="Normal 2 2 4 12 4 2" xfId="22266" xr:uid="{00000000-0005-0000-0000-0000FA560000}"/>
    <cellStyle name="Normal 2 2 4 12 4 3" xfId="22267" xr:uid="{00000000-0005-0000-0000-0000FB560000}"/>
    <cellStyle name="Normal 2 2 4 12 4 4" xfId="22268" xr:uid="{00000000-0005-0000-0000-0000FC560000}"/>
    <cellStyle name="Normal 2 2 4 12 4 5" xfId="22269" xr:uid="{00000000-0005-0000-0000-0000FD560000}"/>
    <cellStyle name="Normal 2 2 4 12 4 6" xfId="22270" xr:uid="{00000000-0005-0000-0000-0000FE560000}"/>
    <cellStyle name="Normal 2 2 4 12 4 7" xfId="22271" xr:uid="{00000000-0005-0000-0000-0000FF560000}"/>
    <cellStyle name="Normal 2 2 4 12 4 8" xfId="22272" xr:uid="{00000000-0005-0000-0000-000000570000}"/>
    <cellStyle name="Normal 2 2 4 12 4 9" xfId="22273" xr:uid="{00000000-0005-0000-0000-000001570000}"/>
    <cellStyle name="Normal 2 2 4 12 5" xfId="22274" xr:uid="{00000000-0005-0000-0000-000002570000}"/>
    <cellStyle name="Normal 2 2 4 12 5 10" xfId="22275" xr:uid="{00000000-0005-0000-0000-000003570000}"/>
    <cellStyle name="Normal 2 2 4 12 5 2" xfId="22276" xr:uid="{00000000-0005-0000-0000-000004570000}"/>
    <cellStyle name="Normal 2 2 4 12 5 3" xfId="22277" xr:uid="{00000000-0005-0000-0000-000005570000}"/>
    <cellStyle name="Normal 2 2 4 12 5 4" xfId="22278" xr:uid="{00000000-0005-0000-0000-000006570000}"/>
    <cellStyle name="Normal 2 2 4 12 5 5" xfId="22279" xr:uid="{00000000-0005-0000-0000-000007570000}"/>
    <cellStyle name="Normal 2 2 4 12 5 6" xfId="22280" xr:uid="{00000000-0005-0000-0000-000008570000}"/>
    <cellStyle name="Normal 2 2 4 12 5 7" xfId="22281" xr:uid="{00000000-0005-0000-0000-000009570000}"/>
    <cellStyle name="Normal 2 2 4 12 5 8" xfId="22282" xr:uid="{00000000-0005-0000-0000-00000A570000}"/>
    <cellStyle name="Normal 2 2 4 12 5 9" xfId="22283" xr:uid="{00000000-0005-0000-0000-00000B570000}"/>
    <cellStyle name="Normal 2 2 4 12 6" xfId="22284" xr:uid="{00000000-0005-0000-0000-00000C570000}"/>
    <cellStyle name="Normal 2 2 4 12 7" xfId="22285" xr:uid="{00000000-0005-0000-0000-00000D570000}"/>
    <cellStyle name="Normal 2 2 4 12 8" xfId="22286" xr:uid="{00000000-0005-0000-0000-00000E570000}"/>
    <cellStyle name="Normal 2 2 4 12 9" xfId="22287" xr:uid="{00000000-0005-0000-0000-00000F570000}"/>
    <cellStyle name="Normal 2 2 4 13" xfId="22288" xr:uid="{00000000-0005-0000-0000-000010570000}"/>
    <cellStyle name="Normal 2 2 4 13 10" xfId="22289" xr:uid="{00000000-0005-0000-0000-000011570000}"/>
    <cellStyle name="Normal 2 2 4 13 11" xfId="22290" xr:uid="{00000000-0005-0000-0000-000012570000}"/>
    <cellStyle name="Normal 2 2 4 13 12" xfId="22291" xr:uid="{00000000-0005-0000-0000-000013570000}"/>
    <cellStyle name="Normal 2 2 4 13 13" xfId="22292" xr:uid="{00000000-0005-0000-0000-000014570000}"/>
    <cellStyle name="Normal 2 2 4 13 14" xfId="22293" xr:uid="{00000000-0005-0000-0000-000015570000}"/>
    <cellStyle name="Normal 2 2 4 13 2" xfId="22294" xr:uid="{00000000-0005-0000-0000-000016570000}"/>
    <cellStyle name="Normal 2 2 4 13 2 10" xfId="22295" xr:uid="{00000000-0005-0000-0000-000017570000}"/>
    <cellStyle name="Normal 2 2 4 13 2 2" xfId="22296" xr:uid="{00000000-0005-0000-0000-000018570000}"/>
    <cellStyle name="Normal 2 2 4 13 2 3" xfId="22297" xr:uid="{00000000-0005-0000-0000-000019570000}"/>
    <cellStyle name="Normal 2 2 4 13 2 4" xfId="22298" xr:uid="{00000000-0005-0000-0000-00001A570000}"/>
    <cellStyle name="Normal 2 2 4 13 2 5" xfId="22299" xr:uid="{00000000-0005-0000-0000-00001B570000}"/>
    <cellStyle name="Normal 2 2 4 13 2 6" xfId="22300" xr:uid="{00000000-0005-0000-0000-00001C570000}"/>
    <cellStyle name="Normal 2 2 4 13 2 7" xfId="22301" xr:uid="{00000000-0005-0000-0000-00001D570000}"/>
    <cellStyle name="Normal 2 2 4 13 2 8" xfId="22302" xr:uid="{00000000-0005-0000-0000-00001E570000}"/>
    <cellStyle name="Normal 2 2 4 13 2 9" xfId="22303" xr:uid="{00000000-0005-0000-0000-00001F570000}"/>
    <cellStyle name="Normal 2 2 4 13 3" xfId="22304" xr:uid="{00000000-0005-0000-0000-000020570000}"/>
    <cellStyle name="Normal 2 2 4 13 3 10" xfId="22305" xr:uid="{00000000-0005-0000-0000-000021570000}"/>
    <cellStyle name="Normal 2 2 4 13 3 2" xfId="22306" xr:uid="{00000000-0005-0000-0000-000022570000}"/>
    <cellStyle name="Normal 2 2 4 13 3 3" xfId="22307" xr:uid="{00000000-0005-0000-0000-000023570000}"/>
    <cellStyle name="Normal 2 2 4 13 3 4" xfId="22308" xr:uid="{00000000-0005-0000-0000-000024570000}"/>
    <cellStyle name="Normal 2 2 4 13 3 5" xfId="22309" xr:uid="{00000000-0005-0000-0000-000025570000}"/>
    <cellStyle name="Normal 2 2 4 13 3 6" xfId="22310" xr:uid="{00000000-0005-0000-0000-000026570000}"/>
    <cellStyle name="Normal 2 2 4 13 3 7" xfId="22311" xr:uid="{00000000-0005-0000-0000-000027570000}"/>
    <cellStyle name="Normal 2 2 4 13 3 8" xfId="22312" xr:uid="{00000000-0005-0000-0000-000028570000}"/>
    <cellStyle name="Normal 2 2 4 13 3 9" xfId="22313" xr:uid="{00000000-0005-0000-0000-000029570000}"/>
    <cellStyle name="Normal 2 2 4 13 4" xfId="22314" xr:uid="{00000000-0005-0000-0000-00002A570000}"/>
    <cellStyle name="Normal 2 2 4 13 4 10" xfId="22315" xr:uid="{00000000-0005-0000-0000-00002B570000}"/>
    <cellStyle name="Normal 2 2 4 13 4 2" xfId="22316" xr:uid="{00000000-0005-0000-0000-00002C570000}"/>
    <cellStyle name="Normal 2 2 4 13 4 3" xfId="22317" xr:uid="{00000000-0005-0000-0000-00002D570000}"/>
    <cellStyle name="Normal 2 2 4 13 4 4" xfId="22318" xr:uid="{00000000-0005-0000-0000-00002E570000}"/>
    <cellStyle name="Normal 2 2 4 13 4 5" xfId="22319" xr:uid="{00000000-0005-0000-0000-00002F570000}"/>
    <cellStyle name="Normal 2 2 4 13 4 6" xfId="22320" xr:uid="{00000000-0005-0000-0000-000030570000}"/>
    <cellStyle name="Normal 2 2 4 13 4 7" xfId="22321" xr:uid="{00000000-0005-0000-0000-000031570000}"/>
    <cellStyle name="Normal 2 2 4 13 4 8" xfId="22322" xr:uid="{00000000-0005-0000-0000-000032570000}"/>
    <cellStyle name="Normal 2 2 4 13 4 9" xfId="22323" xr:uid="{00000000-0005-0000-0000-000033570000}"/>
    <cellStyle name="Normal 2 2 4 13 5" xfId="22324" xr:uid="{00000000-0005-0000-0000-000034570000}"/>
    <cellStyle name="Normal 2 2 4 13 5 10" xfId="22325" xr:uid="{00000000-0005-0000-0000-000035570000}"/>
    <cellStyle name="Normal 2 2 4 13 5 2" xfId="22326" xr:uid="{00000000-0005-0000-0000-000036570000}"/>
    <cellStyle name="Normal 2 2 4 13 5 3" xfId="22327" xr:uid="{00000000-0005-0000-0000-000037570000}"/>
    <cellStyle name="Normal 2 2 4 13 5 4" xfId="22328" xr:uid="{00000000-0005-0000-0000-000038570000}"/>
    <cellStyle name="Normal 2 2 4 13 5 5" xfId="22329" xr:uid="{00000000-0005-0000-0000-000039570000}"/>
    <cellStyle name="Normal 2 2 4 13 5 6" xfId="22330" xr:uid="{00000000-0005-0000-0000-00003A570000}"/>
    <cellStyle name="Normal 2 2 4 13 5 7" xfId="22331" xr:uid="{00000000-0005-0000-0000-00003B570000}"/>
    <cellStyle name="Normal 2 2 4 13 5 8" xfId="22332" xr:uid="{00000000-0005-0000-0000-00003C570000}"/>
    <cellStyle name="Normal 2 2 4 13 5 9" xfId="22333" xr:uid="{00000000-0005-0000-0000-00003D570000}"/>
    <cellStyle name="Normal 2 2 4 13 6" xfId="22334" xr:uid="{00000000-0005-0000-0000-00003E570000}"/>
    <cellStyle name="Normal 2 2 4 13 7" xfId="22335" xr:uid="{00000000-0005-0000-0000-00003F570000}"/>
    <cellStyle name="Normal 2 2 4 13 8" xfId="22336" xr:uid="{00000000-0005-0000-0000-000040570000}"/>
    <cellStyle name="Normal 2 2 4 13 9" xfId="22337" xr:uid="{00000000-0005-0000-0000-000041570000}"/>
    <cellStyle name="Normal 2 2 4 14" xfId="22338" xr:uid="{00000000-0005-0000-0000-000042570000}"/>
    <cellStyle name="Normal 2 2 4 14 10" xfId="22339" xr:uid="{00000000-0005-0000-0000-000043570000}"/>
    <cellStyle name="Normal 2 2 4 14 11" xfId="22340" xr:uid="{00000000-0005-0000-0000-000044570000}"/>
    <cellStyle name="Normal 2 2 4 14 12" xfId="22341" xr:uid="{00000000-0005-0000-0000-000045570000}"/>
    <cellStyle name="Normal 2 2 4 14 13" xfId="22342" xr:uid="{00000000-0005-0000-0000-000046570000}"/>
    <cellStyle name="Normal 2 2 4 14 14" xfId="22343" xr:uid="{00000000-0005-0000-0000-000047570000}"/>
    <cellStyle name="Normal 2 2 4 14 2" xfId="22344" xr:uid="{00000000-0005-0000-0000-000048570000}"/>
    <cellStyle name="Normal 2 2 4 14 2 10" xfId="22345" xr:uid="{00000000-0005-0000-0000-000049570000}"/>
    <cellStyle name="Normal 2 2 4 14 2 2" xfId="22346" xr:uid="{00000000-0005-0000-0000-00004A570000}"/>
    <cellStyle name="Normal 2 2 4 14 2 3" xfId="22347" xr:uid="{00000000-0005-0000-0000-00004B570000}"/>
    <cellStyle name="Normal 2 2 4 14 2 4" xfId="22348" xr:uid="{00000000-0005-0000-0000-00004C570000}"/>
    <cellStyle name="Normal 2 2 4 14 2 5" xfId="22349" xr:uid="{00000000-0005-0000-0000-00004D570000}"/>
    <cellStyle name="Normal 2 2 4 14 2 6" xfId="22350" xr:uid="{00000000-0005-0000-0000-00004E570000}"/>
    <cellStyle name="Normal 2 2 4 14 2 7" xfId="22351" xr:uid="{00000000-0005-0000-0000-00004F570000}"/>
    <cellStyle name="Normal 2 2 4 14 2 8" xfId="22352" xr:uid="{00000000-0005-0000-0000-000050570000}"/>
    <cellStyle name="Normal 2 2 4 14 2 9" xfId="22353" xr:uid="{00000000-0005-0000-0000-000051570000}"/>
    <cellStyle name="Normal 2 2 4 14 3" xfId="22354" xr:uid="{00000000-0005-0000-0000-000052570000}"/>
    <cellStyle name="Normal 2 2 4 14 3 10" xfId="22355" xr:uid="{00000000-0005-0000-0000-000053570000}"/>
    <cellStyle name="Normal 2 2 4 14 3 2" xfId="22356" xr:uid="{00000000-0005-0000-0000-000054570000}"/>
    <cellStyle name="Normal 2 2 4 14 3 3" xfId="22357" xr:uid="{00000000-0005-0000-0000-000055570000}"/>
    <cellStyle name="Normal 2 2 4 14 3 4" xfId="22358" xr:uid="{00000000-0005-0000-0000-000056570000}"/>
    <cellStyle name="Normal 2 2 4 14 3 5" xfId="22359" xr:uid="{00000000-0005-0000-0000-000057570000}"/>
    <cellStyle name="Normal 2 2 4 14 3 6" xfId="22360" xr:uid="{00000000-0005-0000-0000-000058570000}"/>
    <cellStyle name="Normal 2 2 4 14 3 7" xfId="22361" xr:uid="{00000000-0005-0000-0000-000059570000}"/>
    <cellStyle name="Normal 2 2 4 14 3 8" xfId="22362" xr:uid="{00000000-0005-0000-0000-00005A570000}"/>
    <cellStyle name="Normal 2 2 4 14 3 9" xfId="22363" xr:uid="{00000000-0005-0000-0000-00005B570000}"/>
    <cellStyle name="Normal 2 2 4 14 4" xfId="22364" xr:uid="{00000000-0005-0000-0000-00005C570000}"/>
    <cellStyle name="Normal 2 2 4 14 4 10" xfId="22365" xr:uid="{00000000-0005-0000-0000-00005D570000}"/>
    <cellStyle name="Normal 2 2 4 14 4 2" xfId="22366" xr:uid="{00000000-0005-0000-0000-00005E570000}"/>
    <cellStyle name="Normal 2 2 4 14 4 3" xfId="22367" xr:uid="{00000000-0005-0000-0000-00005F570000}"/>
    <cellStyle name="Normal 2 2 4 14 4 4" xfId="22368" xr:uid="{00000000-0005-0000-0000-000060570000}"/>
    <cellStyle name="Normal 2 2 4 14 4 5" xfId="22369" xr:uid="{00000000-0005-0000-0000-000061570000}"/>
    <cellStyle name="Normal 2 2 4 14 4 6" xfId="22370" xr:uid="{00000000-0005-0000-0000-000062570000}"/>
    <cellStyle name="Normal 2 2 4 14 4 7" xfId="22371" xr:uid="{00000000-0005-0000-0000-000063570000}"/>
    <cellStyle name="Normal 2 2 4 14 4 8" xfId="22372" xr:uid="{00000000-0005-0000-0000-000064570000}"/>
    <cellStyle name="Normal 2 2 4 14 4 9" xfId="22373" xr:uid="{00000000-0005-0000-0000-000065570000}"/>
    <cellStyle name="Normal 2 2 4 14 5" xfId="22374" xr:uid="{00000000-0005-0000-0000-000066570000}"/>
    <cellStyle name="Normal 2 2 4 14 5 10" xfId="22375" xr:uid="{00000000-0005-0000-0000-000067570000}"/>
    <cellStyle name="Normal 2 2 4 14 5 2" xfId="22376" xr:uid="{00000000-0005-0000-0000-000068570000}"/>
    <cellStyle name="Normal 2 2 4 14 5 3" xfId="22377" xr:uid="{00000000-0005-0000-0000-000069570000}"/>
    <cellStyle name="Normal 2 2 4 14 5 4" xfId="22378" xr:uid="{00000000-0005-0000-0000-00006A570000}"/>
    <cellStyle name="Normal 2 2 4 14 5 5" xfId="22379" xr:uid="{00000000-0005-0000-0000-00006B570000}"/>
    <cellStyle name="Normal 2 2 4 14 5 6" xfId="22380" xr:uid="{00000000-0005-0000-0000-00006C570000}"/>
    <cellStyle name="Normal 2 2 4 14 5 7" xfId="22381" xr:uid="{00000000-0005-0000-0000-00006D570000}"/>
    <cellStyle name="Normal 2 2 4 14 5 8" xfId="22382" xr:uid="{00000000-0005-0000-0000-00006E570000}"/>
    <cellStyle name="Normal 2 2 4 14 5 9" xfId="22383" xr:uid="{00000000-0005-0000-0000-00006F570000}"/>
    <cellStyle name="Normal 2 2 4 14 6" xfId="22384" xr:uid="{00000000-0005-0000-0000-000070570000}"/>
    <cellStyle name="Normal 2 2 4 14 7" xfId="22385" xr:uid="{00000000-0005-0000-0000-000071570000}"/>
    <cellStyle name="Normal 2 2 4 14 8" xfId="22386" xr:uid="{00000000-0005-0000-0000-000072570000}"/>
    <cellStyle name="Normal 2 2 4 14 9" xfId="22387" xr:uid="{00000000-0005-0000-0000-000073570000}"/>
    <cellStyle name="Normal 2 2 4 15" xfId="22388" xr:uid="{00000000-0005-0000-0000-000074570000}"/>
    <cellStyle name="Normal 2 2 4 15 10" xfId="22389" xr:uid="{00000000-0005-0000-0000-000075570000}"/>
    <cellStyle name="Normal 2 2 4 15 11" xfId="22390" xr:uid="{00000000-0005-0000-0000-000076570000}"/>
    <cellStyle name="Normal 2 2 4 15 12" xfId="22391" xr:uid="{00000000-0005-0000-0000-000077570000}"/>
    <cellStyle name="Normal 2 2 4 15 13" xfId="22392" xr:uid="{00000000-0005-0000-0000-000078570000}"/>
    <cellStyle name="Normal 2 2 4 15 14" xfId="22393" xr:uid="{00000000-0005-0000-0000-000079570000}"/>
    <cellStyle name="Normal 2 2 4 15 2" xfId="22394" xr:uid="{00000000-0005-0000-0000-00007A570000}"/>
    <cellStyle name="Normal 2 2 4 15 2 10" xfId="22395" xr:uid="{00000000-0005-0000-0000-00007B570000}"/>
    <cellStyle name="Normal 2 2 4 15 2 2" xfId="22396" xr:uid="{00000000-0005-0000-0000-00007C570000}"/>
    <cellStyle name="Normal 2 2 4 15 2 3" xfId="22397" xr:uid="{00000000-0005-0000-0000-00007D570000}"/>
    <cellStyle name="Normal 2 2 4 15 2 4" xfId="22398" xr:uid="{00000000-0005-0000-0000-00007E570000}"/>
    <cellStyle name="Normal 2 2 4 15 2 5" xfId="22399" xr:uid="{00000000-0005-0000-0000-00007F570000}"/>
    <cellStyle name="Normal 2 2 4 15 2 6" xfId="22400" xr:uid="{00000000-0005-0000-0000-000080570000}"/>
    <cellStyle name="Normal 2 2 4 15 2 7" xfId="22401" xr:uid="{00000000-0005-0000-0000-000081570000}"/>
    <cellStyle name="Normal 2 2 4 15 2 8" xfId="22402" xr:uid="{00000000-0005-0000-0000-000082570000}"/>
    <cellStyle name="Normal 2 2 4 15 2 9" xfId="22403" xr:uid="{00000000-0005-0000-0000-000083570000}"/>
    <cellStyle name="Normal 2 2 4 15 3" xfId="22404" xr:uid="{00000000-0005-0000-0000-000084570000}"/>
    <cellStyle name="Normal 2 2 4 15 3 10" xfId="22405" xr:uid="{00000000-0005-0000-0000-000085570000}"/>
    <cellStyle name="Normal 2 2 4 15 3 2" xfId="22406" xr:uid="{00000000-0005-0000-0000-000086570000}"/>
    <cellStyle name="Normal 2 2 4 15 3 3" xfId="22407" xr:uid="{00000000-0005-0000-0000-000087570000}"/>
    <cellStyle name="Normal 2 2 4 15 3 4" xfId="22408" xr:uid="{00000000-0005-0000-0000-000088570000}"/>
    <cellStyle name="Normal 2 2 4 15 3 5" xfId="22409" xr:uid="{00000000-0005-0000-0000-000089570000}"/>
    <cellStyle name="Normal 2 2 4 15 3 6" xfId="22410" xr:uid="{00000000-0005-0000-0000-00008A570000}"/>
    <cellStyle name="Normal 2 2 4 15 3 7" xfId="22411" xr:uid="{00000000-0005-0000-0000-00008B570000}"/>
    <cellStyle name="Normal 2 2 4 15 3 8" xfId="22412" xr:uid="{00000000-0005-0000-0000-00008C570000}"/>
    <cellStyle name="Normal 2 2 4 15 3 9" xfId="22413" xr:uid="{00000000-0005-0000-0000-00008D570000}"/>
    <cellStyle name="Normal 2 2 4 15 4" xfId="22414" xr:uid="{00000000-0005-0000-0000-00008E570000}"/>
    <cellStyle name="Normal 2 2 4 15 4 10" xfId="22415" xr:uid="{00000000-0005-0000-0000-00008F570000}"/>
    <cellStyle name="Normal 2 2 4 15 4 2" xfId="22416" xr:uid="{00000000-0005-0000-0000-000090570000}"/>
    <cellStyle name="Normal 2 2 4 15 4 3" xfId="22417" xr:uid="{00000000-0005-0000-0000-000091570000}"/>
    <cellStyle name="Normal 2 2 4 15 4 4" xfId="22418" xr:uid="{00000000-0005-0000-0000-000092570000}"/>
    <cellStyle name="Normal 2 2 4 15 4 5" xfId="22419" xr:uid="{00000000-0005-0000-0000-000093570000}"/>
    <cellStyle name="Normal 2 2 4 15 4 6" xfId="22420" xr:uid="{00000000-0005-0000-0000-000094570000}"/>
    <cellStyle name="Normal 2 2 4 15 4 7" xfId="22421" xr:uid="{00000000-0005-0000-0000-000095570000}"/>
    <cellStyle name="Normal 2 2 4 15 4 8" xfId="22422" xr:uid="{00000000-0005-0000-0000-000096570000}"/>
    <cellStyle name="Normal 2 2 4 15 4 9" xfId="22423" xr:uid="{00000000-0005-0000-0000-000097570000}"/>
    <cellStyle name="Normal 2 2 4 15 5" xfId="22424" xr:uid="{00000000-0005-0000-0000-000098570000}"/>
    <cellStyle name="Normal 2 2 4 15 5 10" xfId="22425" xr:uid="{00000000-0005-0000-0000-000099570000}"/>
    <cellStyle name="Normal 2 2 4 15 5 2" xfId="22426" xr:uid="{00000000-0005-0000-0000-00009A570000}"/>
    <cellStyle name="Normal 2 2 4 15 5 3" xfId="22427" xr:uid="{00000000-0005-0000-0000-00009B570000}"/>
    <cellStyle name="Normal 2 2 4 15 5 4" xfId="22428" xr:uid="{00000000-0005-0000-0000-00009C570000}"/>
    <cellStyle name="Normal 2 2 4 15 5 5" xfId="22429" xr:uid="{00000000-0005-0000-0000-00009D570000}"/>
    <cellStyle name="Normal 2 2 4 15 5 6" xfId="22430" xr:uid="{00000000-0005-0000-0000-00009E570000}"/>
    <cellStyle name="Normal 2 2 4 15 5 7" xfId="22431" xr:uid="{00000000-0005-0000-0000-00009F570000}"/>
    <cellStyle name="Normal 2 2 4 15 5 8" xfId="22432" xr:uid="{00000000-0005-0000-0000-0000A0570000}"/>
    <cellStyle name="Normal 2 2 4 15 5 9" xfId="22433" xr:uid="{00000000-0005-0000-0000-0000A1570000}"/>
    <cellStyle name="Normal 2 2 4 15 6" xfId="22434" xr:uid="{00000000-0005-0000-0000-0000A2570000}"/>
    <cellStyle name="Normal 2 2 4 15 7" xfId="22435" xr:uid="{00000000-0005-0000-0000-0000A3570000}"/>
    <cellStyle name="Normal 2 2 4 15 8" xfId="22436" xr:uid="{00000000-0005-0000-0000-0000A4570000}"/>
    <cellStyle name="Normal 2 2 4 15 9" xfId="22437" xr:uid="{00000000-0005-0000-0000-0000A5570000}"/>
    <cellStyle name="Normal 2 2 4 16" xfId="22438" xr:uid="{00000000-0005-0000-0000-0000A6570000}"/>
    <cellStyle name="Normal 2 2 4 16 10" xfId="22439" xr:uid="{00000000-0005-0000-0000-0000A7570000}"/>
    <cellStyle name="Normal 2 2 4 16 11" xfId="22440" xr:uid="{00000000-0005-0000-0000-0000A8570000}"/>
    <cellStyle name="Normal 2 2 4 16 12" xfId="22441" xr:uid="{00000000-0005-0000-0000-0000A9570000}"/>
    <cellStyle name="Normal 2 2 4 16 13" xfId="22442" xr:uid="{00000000-0005-0000-0000-0000AA570000}"/>
    <cellStyle name="Normal 2 2 4 16 14" xfId="22443" xr:uid="{00000000-0005-0000-0000-0000AB570000}"/>
    <cellStyle name="Normal 2 2 4 16 2" xfId="22444" xr:uid="{00000000-0005-0000-0000-0000AC570000}"/>
    <cellStyle name="Normal 2 2 4 16 2 10" xfId="22445" xr:uid="{00000000-0005-0000-0000-0000AD570000}"/>
    <cellStyle name="Normal 2 2 4 16 2 2" xfId="22446" xr:uid="{00000000-0005-0000-0000-0000AE570000}"/>
    <cellStyle name="Normal 2 2 4 16 2 3" xfId="22447" xr:uid="{00000000-0005-0000-0000-0000AF570000}"/>
    <cellStyle name="Normal 2 2 4 16 2 4" xfId="22448" xr:uid="{00000000-0005-0000-0000-0000B0570000}"/>
    <cellStyle name="Normal 2 2 4 16 2 5" xfId="22449" xr:uid="{00000000-0005-0000-0000-0000B1570000}"/>
    <cellStyle name="Normal 2 2 4 16 2 6" xfId="22450" xr:uid="{00000000-0005-0000-0000-0000B2570000}"/>
    <cellStyle name="Normal 2 2 4 16 2 7" xfId="22451" xr:uid="{00000000-0005-0000-0000-0000B3570000}"/>
    <cellStyle name="Normal 2 2 4 16 2 8" xfId="22452" xr:uid="{00000000-0005-0000-0000-0000B4570000}"/>
    <cellStyle name="Normal 2 2 4 16 2 9" xfId="22453" xr:uid="{00000000-0005-0000-0000-0000B5570000}"/>
    <cellStyle name="Normal 2 2 4 16 3" xfId="22454" xr:uid="{00000000-0005-0000-0000-0000B6570000}"/>
    <cellStyle name="Normal 2 2 4 16 3 10" xfId="22455" xr:uid="{00000000-0005-0000-0000-0000B7570000}"/>
    <cellStyle name="Normal 2 2 4 16 3 2" xfId="22456" xr:uid="{00000000-0005-0000-0000-0000B8570000}"/>
    <cellStyle name="Normal 2 2 4 16 3 3" xfId="22457" xr:uid="{00000000-0005-0000-0000-0000B9570000}"/>
    <cellStyle name="Normal 2 2 4 16 3 4" xfId="22458" xr:uid="{00000000-0005-0000-0000-0000BA570000}"/>
    <cellStyle name="Normal 2 2 4 16 3 5" xfId="22459" xr:uid="{00000000-0005-0000-0000-0000BB570000}"/>
    <cellStyle name="Normal 2 2 4 16 3 6" xfId="22460" xr:uid="{00000000-0005-0000-0000-0000BC570000}"/>
    <cellStyle name="Normal 2 2 4 16 3 7" xfId="22461" xr:uid="{00000000-0005-0000-0000-0000BD570000}"/>
    <cellStyle name="Normal 2 2 4 16 3 8" xfId="22462" xr:uid="{00000000-0005-0000-0000-0000BE570000}"/>
    <cellStyle name="Normal 2 2 4 16 3 9" xfId="22463" xr:uid="{00000000-0005-0000-0000-0000BF570000}"/>
    <cellStyle name="Normal 2 2 4 16 4" xfId="22464" xr:uid="{00000000-0005-0000-0000-0000C0570000}"/>
    <cellStyle name="Normal 2 2 4 16 4 10" xfId="22465" xr:uid="{00000000-0005-0000-0000-0000C1570000}"/>
    <cellStyle name="Normal 2 2 4 16 4 2" xfId="22466" xr:uid="{00000000-0005-0000-0000-0000C2570000}"/>
    <cellStyle name="Normal 2 2 4 16 4 3" xfId="22467" xr:uid="{00000000-0005-0000-0000-0000C3570000}"/>
    <cellStyle name="Normal 2 2 4 16 4 4" xfId="22468" xr:uid="{00000000-0005-0000-0000-0000C4570000}"/>
    <cellStyle name="Normal 2 2 4 16 4 5" xfId="22469" xr:uid="{00000000-0005-0000-0000-0000C5570000}"/>
    <cellStyle name="Normal 2 2 4 16 4 6" xfId="22470" xr:uid="{00000000-0005-0000-0000-0000C6570000}"/>
    <cellStyle name="Normal 2 2 4 16 4 7" xfId="22471" xr:uid="{00000000-0005-0000-0000-0000C7570000}"/>
    <cellStyle name="Normal 2 2 4 16 4 8" xfId="22472" xr:uid="{00000000-0005-0000-0000-0000C8570000}"/>
    <cellStyle name="Normal 2 2 4 16 4 9" xfId="22473" xr:uid="{00000000-0005-0000-0000-0000C9570000}"/>
    <cellStyle name="Normal 2 2 4 16 5" xfId="22474" xr:uid="{00000000-0005-0000-0000-0000CA570000}"/>
    <cellStyle name="Normal 2 2 4 16 5 10" xfId="22475" xr:uid="{00000000-0005-0000-0000-0000CB570000}"/>
    <cellStyle name="Normal 2 2 4 16 5 2" xfId="22476" xr:uid="{00000000-0005-0000-0000-0000CC570000}"/>
    <cellStyle name="Normal 2 2 4 16 5 3" xfId="22477" xr:uid="{00000000-0005-0000-0000-0000CD570000}"/>
    <cellStyle name="Normal 2 2 4 16 5 4" xfId="22478" xr:uid="{00000000-0005-0000-0000-0000CE570000}"/>
    <cellStyle name="Normal 2 2 4 16 5 5" xfId="22479" xr:uid="{00000000-0005-0000-0000-0000CF570000}"/>
    <cellStyle name="Normal 2 2 4 16 5 6" xfId="22480" xr:uid="{00000000-0005-0000-0000-0000D0570000}"/>
    <cellStyle name="Normal 2 2 4 16 5 7" xfId="22481" xr:uid="{00000000-0005-0000-0000-0000D1570000}"/>
    <cellStyle name="Normal 2 2 4 16 5 8" xfId="22482" xr:uid="{00000000-0005-0000-0000-0000D2570000}"/>
    <cellStyle name="Normal 2 2 4 16 5 9" xfId="22483" xr:uid="{00000000-0005-0000-0000-0000D3570000}"/>
    <cellStyle name="Normal 2 2 4 16 6" xfId="22484" xr:uid="{00000000-0005-0000-0000-0000D4570000}"/>
    <cellStyle name="Normal 2 2 4 16 7" xfId="22485" xr:uid="{00000000-0005-0000-0000-0000D5570000}"/>
    <cellStyle name="Normal 2 2 4 16 8" xfId="22486" xr:uid="{00000000-0005-0000-0000-0000D6570000}"/>
    <cellStyle name="Normal 2 2 4 16 9" xfId="22487" xr:uid="{00000000-0005-0000-0000-0000D7570000}"/>
    <cellStyle name="Normal 2 2 4 17" xfId="22488" xr:uid="{00000000-0005-0000-0000-0000D8570000}"/>
    <cellStyle name="Normal 2 2 4 17 10" xfId="22489" xr:uid="{00000000-0005-0000-0000-0000D9570000}"/>
    <cellStyle name="Normal 2 2 4 17 11" xfId="22490" xr:uid="{00000000-0005-0000-0000-0000DA570000}"/>
    <cellStyle name="Normal 2 2 4 17 12" xfId="22491" xr:uid="{00000000-0005-0000-0000-0000DB570000}"/>
    <cellStyle name="Normal 2 2 4 17 13" xfId="22492" xr:uid="{00000000-0005-0000-0000-0000DC570000}"/>
    <cellStyle name="Normal 2 2 4 17 14" xfId="22493" xr:uid="{00000000-0005-0000-0000-0000DD570000}"/>
    <cellStyle name="Normal 2 2 4 17 2" xfId="22494" xr:uid="{00000000-0005-0000-0000-0000DE570000}"/>
    <cellStyle name="Normal 2 2 4 17 2 10" xfId="22495" xr:uid="{00000000-0005-0000-0000-0000DF570000}"/>
    <cellStyle name="Normal 2 2 4 17 2 2" xfId="22496" xr:uid="{00000000-0005-0000-0000-0000E0570000}"/>
    <cellStyle name="Normal 2 2 4 17 2 3" xfId="22497" xr:uid="{00000000-0005-0000-0000-0000E1570000}"/>
    <cellStyle name="Normal 2 2 4 17 2 4" xfId="22498" xr:uid="{00000000-0005-0000-0000-0000E2570000}"/>
    <cellStyle name="Normal 2 2 4 17 2 5" xfId="22499" xr:uid="{00000000-0005-0000-0000-0000E3570000}"/>
    <cellStyle name="Normal 2 2 4 17 2 6" xfId="22500" xr:uid="{00000000-0005-0000-0000-0000E4570000}"/>
    <cellStyle name="Normal 2 2 4 17 2 7" xfId="22501" xr:uid="{00000000-0005-0000-0000-0000E5570000}"/>
    <cellStyle name="Normal 2 2 4 17 2 8" xfId="22502" xr:uid="{00000000-0005-0000-0000-0000E6570000}"/>
    <cellStyle name="Normal 2 2 4 17 2 9" xfId="22503" xr:uid="{00000000-0005-0000-0000-0000E7570000}"/>
    <cellStyle name="Normal 2 2 4 17 3" xfId="22504" xr:uid="{00000000-0005-0000-0000-0000E8570000}"/>
    <cellStyle name="Normal 2 2 4 17 3 10" xfId="22505" xr:uid="{00000000-0005-0000-0000-0000E9570000}"/>
    <cellStyle name="Normal 2 2 4 17 3 2" xfId="22506" xr:uid="{00000000-0005-0000-0000-0000EA570000}"/>
    <cellStyle name="Normal 2 2 4 17 3 3" xfId="22507" xr:uid="{00000000-0005-0000-0000-0000EB570000}"/>
    <cellStyle name="Normal 2 2 4 17 3 4" xfId="22508" xr:uid="{00000000-0005-0000-0000-0000EC570000}"/>
    <cellStyle name="Normal 2 2 4 17 3 5" xfId="22509" xr:uid="{00000000-0005-0000-0000-0000ED570000}"/>
    <cellStyle name="Normal 2 2 4 17 3 6" xfId="22510" xr:uid="{00000000-0005-0000-0000-0000EE570000}"/>
    <cellStyle name="Normal 2 2 4 17 3 7" xfId="22511" xr:uid="{00000000-0005-0000-0000-0000EF570000}"/>
    <cellStyle name="Normal 2 2 4 17 3 8" xfId="22512" xr:uid="{00000000-0005-0000-0000-0000F0570000}"/>
    <cellStyle name="Normal 2 2 4 17 3 9" xfId="22513" xr:uid="{00000000-0005-0000-0000-0000F1570000}"/>
    <cellStyle name="Normal 2 2 4 17 4" xfId="22514" xr:uid="{00000000-0005-0000-0000-0000F2570000}"/>
    <cellStyle name="Normal 2 2 4 17 4 10" xfId="22515" xr:uid="{00000000-0005-0000-0000-0000F3570000}"/>
    <cellStyle name="Normal 2 2 4 17 4 2" xfId="22516" xr:uid="{00000000-0005-0000-0000-0000F4570000}"/>
    <cellStyle name="Normal 2 2 4 17 4 3" xfId="22517" xr:uid="{00000000-0005-0000-0000-0000F5570000}"/>
    <cellStyle name="Normal 2 2 4 17 4 4" xfId="22518" xr:uid="{00000000-0005-0000-0000-0000F6570000}"/>
    <cellStyle name="Normal 2 2 4 17 4 5" xfId="22519" xr:uid="{00000000-0005-0000-0000-0000F7570000}"/>
    <cellStyle name="Normal 2 2 4 17 4 6" xfId="22520" xr:uid="{00000000-0005-0000-0000-0000F8570000}"/>
    <cellStyle name="Normal 2 2 4 17 4 7" xfId="22521" xr:uid="{00000000-0005-0000-0000-0000F9570000}"/>
    <cellStyle name="Normal 2 2 4 17 4 8" xfId="22522" xr:uid="{00000000-0005-0000-0000-0000FA570000}"/>
    <cellStyle name="Normal 2 2 4 17 4 9" xfId="22523" xr:uid="{00000000-0005-0000-0000-0000FB570000}"/>
    <cellStyle name="Normal 2 2 4 17 5" xfId="22524" xr:uid="{00000000-0005-0000-0000-0000FC570000}"/>
    <cellStyle name="Normal 2 2 4 17 5 10" xfId="22525" xr:uid="{00000000-0005-0000-0000-0000FD570000}"/>
    <cellStyle name="Normal 2 2 4 17 5 2" xfId="22526" xr:uid="{00000000-0005-0000-0000-0000FE570000}"/>
    <cellStyle name="Normal 2 2 4 17 5 3" xfId="22527" xr:uid="{00000000-0005-0000-0000-0000FF570000}"/>
    <cellStyle name="Normal 2 2 4 17 5 4" xfId="22528" xr:uid="{00000000-0005-0000-0000-000000580000}"/>
    <cellStyle name="Normal 2 2 4 17 5 5" xfId="22529" xr:uid="{00000000-0005-0000-0000-000001580000}"/>
    <cellStyle name="Normal 2 2 4 17 5 6" xfId="22530" xr:uid="{00000000-0005-0000-0000-000002580000}"/>
    <cellStyle name="Normal 2 2 4 17 5 7" xfId="22531" xr:uid="{00000000-0005-0000-0000-000003580000}"/>
    <cellStyle name="Normal 2 2 4 17 5 8" xfId="22532" xr:uid="{00000000-0005-0000-0000-000004580000}"/>
    <cellStyle name="Normal 2 2 4 17 5 9" xfId="22533" xr:uid="{00000000-0005-0000-0000-000005580000}"/>
    <cellStyle name="Normal 2 2 4 17 6" xfId="22534" xr:uid="{00000000-0005-0000-0000-000006580000}"/>
    <cellStyle name="Normal 2 2 4 17 7" xfId="22535" xr:uid="{00000000-0005-0000-0000-000007580000}"/>
    <cellStyle name="Normal 2 2 4 17 8" xfId="22536" xr:uid="{00000000-0005-0000-0000-000008580000}"/>
    <cellStyle name="Normal 2 2 4 17 9" xfId="22537" xr:uid="{00000000-0005-0000-0000-000009580000}"/>
    <cellStyle name="Normal 2 2 4 18" xfId="22538" xr:uid="{00000000-0005-0000-0000-00000A580000}"/>
    <cellStyle name="Normal 2 2 4 18 10" xfId="22539" xr:uid="{00000000-0005-0000-0000-00000B580000}"/>
    <cellStyle name="Normal 2 2 4 18 11" xfId="22540" xr:uid="{00000000-0005-0000-0000-00000C580000}"/>
    <cellStyle name="Normal 2 2 4 18 12" xfId="22541" xr:uid="{00000000-0005-0000-0000-00000D580000}"/>
    <cellStyle name="Normal 2 2 4 18 13" xfId="22542" xr:uid="{00000000-0005-0000-0000-00000E580000}"/>
    <cellStyle name="Normal 2 2 4 18 14" xfId="22543" xr:uid="{00000000-0005-0000-0000-00000F580000}"/>
    <cellStyle name="Normal 2 2 4 18 2" xfId="22544" xr:uid="{00000000-0005-0000-0000-000010580000}"/>
    <cellStyle name="Normal 2 2 4 18 2 10" xfId="22545" xr:uid="{00000000-0005-0000-0000-000011580000}"/>
    <cellStyle name="Normal 2 2 4 18 2 2" xfId="22546" xr:uid="{00000000-0005-0000-0000-000012580000}"/>
    <cellStyle name="Normal 2 2 4 18 2 3" xfId="22547" xr:uid="{00000000-0005-0000-0000-000013580000}"/>
    <cellStyle name="Normal 2 2 4 18 2 4" xfId="22548" xr:uid="{00000000-0005-0000-0000-000014580000}"/>
    <cellStyle name="Normal 2 2 4 18 2 5" xfId="22549" xr:uid="{00000000-0005-0000-0000-000015580000}"/>
    <cellStyle name="Normal 2 2 4 18 2 6" xfId="22550" xr:uid="{00000000-0005-0000-0000-000016580000}"/>
    <cellStyle name="Normal 2 2 4 18 2 7" xfId="22551" xr:uid="{00000000-0005-0000-0000-000017580000}"/>
    <cellStyle name="Normal 2 2 4 18 2 8" xfId="22552" xr:uid="{00000000-0005-0000-0000-000018580000}"/>
    <cellStyle name="Normal 2 2 4 18 2 9" xfId="22553" xr:uid="{00000000-0005-0000-0000-000019580000}"/>
    <cellStyle name="Normal 2 2 4 18 3" xfId="22554" xr:uid="{00000000-0005-0000-0000-00001A580000}"/>
    <cellStyle name="Normal 2 2 4 18 3 10" xfId="22555" xr:uid="{00000000-0005-0000-0000-00001B580000}"/>
    <cellStyle name="Normal 2 2 4 18 3 2" xfId="22556" xr:uid="{00000000-0005-0000-0000-00001C580000}"/>
    <cellStyle name="Normal 2 2 4 18 3 3" xfId="22557" xr:uid="{00000000-0005-0000-0000-00001D580000}"/>
    <cellStyle name="Normal 2 2 4 18 3 4" xfId="22558" xr:uid="{00000000-0005-0000-0000-00001E580000}"/>
    <cellStyle name="Normal 2 2 4 18 3 5" xfId="22559" xr:uid="{00000000-0005-0000-0000-00001F580000}"/>
    <cellStyle name="Normal 2 2 4 18 3 6" xfId="22560" xr:uid="{00000000-0005-0000-0000-000020580000}"/>
    <cellStyle name="Normal 2 2 4 18 3 7" xfId="22561" xr:uid="{00000000-0005-0000-0000-000021580000}"/>
    <cellStyle name="Normal 2 2 4 18 3 8" xfId="22562" xr:uid="{00000000-0005-0000-0000-000022580000}"/>
    <cellStyle name="Normal 2 2 4 18 3 9" xfId="22563" xr:uid="{00000000-0005-0000-0000-000023580000}"/>
    <cellStyle name="Normal 2 2 4 18 4" xfId="22564" xr:uid="{00000000-0005-0000-0000-000024580000}"/>
    <cellStyle name="Normal 2 2 4 18 4 10" xfId="22565" xr:uid="{00000000-0005-0000-0000-000025580000}"/>
    <cellStyle name="Normal 2 2 4 18 4 2" xfId="22566" xr:uid="{00000000-0005-0000-0000-000026580000}"/>
    <cellStyle name="Normal 2 2 4 18 4 3" xfId="22567" xr:uid="{00000000-0005-0000-0000-000027580000}"/>
    <cellStyle name="Normal 2 2 4 18 4 4" xfId="22568" xr:uid="{00000000-0005-0000-0000-000028580000}"/>
    <cellStyle name="Normal 2 2 4 18 4 5" xfId="22569" xr:uid="{00000000-0005-0000-0000-000029580000}"/>
    <cellStyle name="Normal 2 2 4 18 4 6" xfId="22570" xr:uid="{00000000-0005-0000-0000-00002A580000}"/>
    <cellStyle name="Normal 2 2 4 18 4 7" xfId="22571" xr:uid="{00000000-0005-0000-0000-00002B580000}"/>
    <cellStyle name="Normal 2 2 4 18 4 8" xfId="22572" xr:uid="{00000000-0005-0000-0000-00002C580000}"/>
    <cellStyle name="Normal 2 2 4 18 4 9" xfId="22573" xr:uid="{00000000-0005-0000-0000-00002D580000}"/>
    <cellStyle name="Normal 2 2 4 18 5" xfId="22574" xr:uid="{00000000-0005-0000-0000-00002E580000}"/>
    <cellStyle name="Normal 2 2 4 18 5 10" xfId="22575" xr:uid="{00000000-0005-0000-0000-00002F580000}"/>
    <cellStyle name="Normal 2 2 4 18 5 2" xfId="22576" xr:uid="{00000000-0005-0000-0000-000030580000}"/>
    <cellStyle name="Normal 2 2 4 18 5 3" xfId="22577" xr:uid="{00000000-0005-0000-0000-000031580000}"/>
    <cellStyle name="Normal 2 2 4 18 5 4" xfId="22578" xr:uid="{00000000-0005-0000-0000-000032580000}"/>
    <cellStyle name="Normal 2 2 4 18 5 5" xfId="22579" xr:uid="{00000000-0005-0000-0000-000033580000}"/>
    <cellStyle name="Normal 2 2 4 18 5 6" xfId="22580" xr:uid="{00000000-0005-0000-0000-000034580000}"/>
    <cellStyle name="Normal 2 2 4 18 5 7" xfId="22581" xr:uid="{00000000-0005-0000-0000-000035580000}"/>
    <cellStyle name="Normal 2 2 4 18 5 8" xfId="22582" xr:uid="{00000000-0005-0000-0000-000036580000}"/>
    <cellStyle name="Normal 2 2 4 18 5 9" xfId="22583" xr:uid="{00000000-0005-0000-0000-000037580000}"/>
    <cellStyle name="Normal 2 2 4 18 6" xfId="22584" xr:uid="{00000000-0005-0000-0000-000038580000}"/>
    <cellStyle name="Normal 2 2 4 18 7" xfId="22585" xr:uid="{00000000-0005-0000-0000-000039580000}"/>
    <cellStyle name="Normal 2 2 4 18 8" xfId="22586" xr:uid="{00000000-0005-0000-0000-00003A580000}"/>
    <cellStyle name="Normal 2 2 4 18 9" xfId="22587" xr:uid="{00000000-0005-0000-0000-00003B580000}"/>
    <cellStyle name="Normal 2 2 4 19" xfId="22588" xr:uid="{00000000-0005-0000-0000-00003C580000}"/>
    <cellStyle name="Normal 2 2 4 19 10" xfId="22589" xr:uid="{00000000-0005-0000-0000-00003D580000}"/>
    <cellStyle name="Normal 2 2 4 19 11" xfId="22590" xr:uid="{00000000-0005-0000-0000-00003E580000}"/>
    <cellStyle name="Normal 2 2 4 19 12" xfId="22591" xr:uid="{00000000-0005-0000-0000-00003F580000}"/>
    <cellStyle name="Normal 2 2 4 19 13" xfId="22592" xr:uid="{00000000-0005-0000-0000-000040580000}"/>
    <cellStyle name="Normal 2 2 4 19 14" xfId="22593" xr:uid="{00000000-0005-0000-0000-000041580000}"/>
    <cellStyle name="Normal 2 2 4 19 2" xfId="22594" xr:uid="{00000000-0005-0000-0000-000042580000}"/>
    <cellStyle name="Normal 2 2 4 19 2 10" xfId="22595" xr:uid="{00000000-0005-0000-0000-000043580000}"/>
    <cellStyle name="Normal 2 2 4 19 2 2" xfId="22596" xr:uid="{00000000-0005-0000-0000-000044580000}"/>
    <cellStyle name="Normal 2 2 4 19 2 3" xfId="22597" xr:uid="{00000000-0005-0000-0000-000045580000}"/>
    <cellStyle name="Normal 2 2 4 19 2 4" xfId="22598" xr:uid="{00000000-0005-0000-0000-000046580000}"/>
    <cellStyle name="Normal 2 2 4 19 2 5" xfId="22599" xr:uid="{00000000-0005-0000-0000-000047580000}"/>
    <cellStyle name="Normal 2 2 4 19 2 6" xfId="22600" xr:uid="{00000000-0005-0000-0000-000048580000}"/>
    <cellStyle name="Normal 2 2 4 19 2 7" xfId="22601" xr:uid="{00000000-0005-0000-0000-000049580000}"/>
    <cellStyle name="Normal 2 2 4 19 2 8" xfId="22602" xr:uid="{00000000-0005-0000-0000-00004A580000}"/>
    <cellStyle name="Normal 2 2 4 19 2 9" xfId="22603" xr:uid="{00000000-0005-0000-0000-00004B580000}"/>
    <cellStyle name="Normal 2 2 4 19 3" xfId="22604" xr:uid="{00000000-0005-0000-0000-00004C580000}"/>
    <cellStyle name="Normal 2 2 4 19 3 10" xfId="22605" xr:uid="{00000000-0005-0000-0000-00004D580000}"/>
    <cellStyle name="Normal 2 2 4 19 3 2" xfId="22606" xr:uid="{00000000-0005-0000-0000-00004E580000}"/>
    <cellStyle name="Normal 2 2 4 19 3 3" xfId="22607" xr:uid="{00000000-0005-0000-0000-00004F580000}"/>
    <cellStyle name="Normal 2 2 4 19 3 4" xfId="22608" xr:uid="{00000000-0005-0000-0000-000050580000}"/>
    <cellStyle name="Normal 2 2 4 19 3 5" xfId="22609" xr:uid="{00000000-0005-0000-0000-000051580000}"/>
    <cellStyle name="Normal 2 2 4 19 3 6" xfId="22610" xr:uid="{00000000-0005-0000-0000-000052580000}"/>
    <cellStyle name="Normal 2 2 4 19 3 7" xfId="22611" xr:uid="{00000000-0005-0000-0000-000053580000}"/>
    <cellStyle name="Normal 2 2 4 19 3 8" xfId="22612" xr:uid="{00000000-0005-0000-0000-000054580000}"/>
    <cellStyle name="Normal 2 2 4 19 3 9" xfId="22613" xr:uid="{00000000-0005-0000-0000-000055580000}"/>
    <cellStyle name="Normal 2 2 4 19 4" xfId="22614" xr:uid="{00000000-0005-0000-0000-000056580000}"/>
    <cellStyle name="Normal 2 2 4 19 4 10" xfId="22615" xr:uid="{00000000-0005-0000-0000-000057580000}"/>
    <cellStyle name="Normal 2 2 4 19 4 2" xfId="22616" xr:uid="{00000000-0005-0000-0000-000058580000}"/>
    <cellStyle name="Normal 2 2 4 19 4 3" xfId="22617" xr:uid="{00000000-0005-0000-0000-000059580000}"/>
    <cellStyle name="Normal 2 2 4 19 4 4" xfId="22618" xr:uid="{00000000-0005-0000-0000-00005A580000}"/>
    <cellStyle name="Normal 2 2 4 19 4 5" xfId="22619" xr:uid="{00000000-0005-0000-0000-00005B580000}"/>
    <cellStyle name="Normal 2 2 4 19 4 6" xfId="22620" xr:uid="{00000000-0005-0000-0000-00005C580000}"/>
    <cellStyle name="Normal 2 2 4 19 4 7" xfId="22621" xr:uid="{00000000-0005-0000-0000-00005D580000}"/>
    <cellStyle name="Normal 2 2 4 19 4 8" xfId="22622" xr:uid="{00000000-0005-0000-0000-00005E580000}"/>
    <cellStyle name="Normal 2 2 4 19 4 9" xfId="22623" xr:uid="{00000000-0005-0000-0000-00005F580000}"/>
    <cellStyle name="Normal 2 2 4 19 5" xfId="22624" xr:uid="{00000000-0005-0000-0000-000060580000}"/>
    <cellStyle name="Normal 2 2 4 19 5 10" xfId="22625" xr:uid="{00000000-0005-0000-0000-000061580000}"/>
    <cellStyle name="Normal 2 2 4 19 5 2" xfId="22626" xr:uid="{00000000-0005-0000-0000-000062580000}"/>
    <cellStyle name="Normal 2 2 4 19 5 3" xfId="22627" xr:uid="{00000000-0005-0000-0000-000063580000}"/>
    <cellStyle name="Normal 2 2 4 19 5 4" xfId="22628" xr:uid="{00000000-0005-0000-0000-000064580000}"/>
    <cellStyle name="Normal 2 2 4 19 5 5" xfId="22629" xr:uid="{00000000-0005-0000-0000-000065580000}"/>
    <cellStyle name="Normal 2 2 4 19 5 6" xfId="22630" xr:uid="{00000000-0005-0000-0000-000066580000}"/>
    <cellStyle name="Normal 2 2 4 19 5 7" xfId="22631" xr:uid="{00000000-0005-0000-0000-000067580000}"/>
    <cellStyle name="Normal 2 2 4 19 5 8" xfId="22632" xr:uid="{00000000-0005-0000-0000-000068580000}"/>
    <cellStyle name="Normal 2 2 4 19 5 9" xfId="22633" xr:uid="{00000000-0005-0000-0000-000069580000}"/>
    <cellStyle name="Normal 2 2 4 19 6" xfId="22634" xr:uid="{00000000-0005-0000-0000-00006A580000}"/>
    <cellStyle name="Normal 2 2 4 19 7" xfId="22635" xr:uid="{00000000-0005-0000-0000-00006B580000}"/>
    <cellStyle name="Normal 2 2 4 19 8" xfId="22636" xr:uid="{00000000-0005-0000-0000-00006C580000}"/>
    <cellStyle name="Normal 2 2 4 19 9" xfId="22637" xr:uid="{00000000-0005-0000-0000-00006D580000}"/>
    <cellStyle name="Normal 2 2 4 2" xfId="22638" xr:uid="{00000000-0005-0000-0000-00006E580000}"/>
    <cellStyle name="Normal 2 2 4 2 10" xfId="22639" xr:uid="{00000000-0005-0000-0000-00006F580000}"/>
    <cellStyle name="Normal 2 2 4 2 11" xfId="22640" xr:uid="{00000000-0005-0000-0000-000070580000}"/>
    <cellStyle name="Normal 2 2 4 2 12" xfId="22641" xr:uid="{00000000-0005-0000-0000-000071580000}"/>
    <cellStyle name="Normal 2 2 4 2 13" xfId="22642" xr:uid="{00000000-0005-0000-0000-000072580000}"/>
    <cellStyle name="Normal 2 2 4 2 14" xfId="22643" xr:uid="{00000000-0005-0000-0000-000073580000}"/>
    <cellStyle name="Normal 2 2 4 2 15" xfId="22644" xr:uid="{00000000-0005-0000-0000-000074580000}"/>
    <cellStyle name="Normal 2 2 4 2 16" xfId="22645" xr:uid="{00000000-0005-0000-0000-000075580000}"/>
    <cellStyle name="Normal 2 2 4 2 17" xfId="22646" xr:uid="{00000000-0005-0000-0000-000076580000}"/>
    <cellStyle name="Normal 2 2 4 2 18" xfId="22647" xr:uid="{00000000-0005-0000-0000-000077580000}"/>
    <cellStyle name="Normal 2 2 4 2 19" xfId="22648" xr:uid="{00000000-0005-0000-0000-000078580000}"/>
    <cellStyle name="Normal 2 2 4 2 2" xfId="22649" xr:uid="{00000000-0005-0000-0000-000079580000}"/>
    <cellStyle name="Normal 2 2 4 2 2 10" xfId="22650" xr:uid="{00000000-0005-0000-0000-00007A580000}"/>
    <cellStyle name="Normal 2 2 4 2 2 10 10" xfId="22651" xr:uid="{00000000-0005-0000-0000-00007B580000}"/>
    <cellStyle name="Normal 2 2 4 2 2 10 11" xfId="22652" xr:uid="{00000000-0005-0000-0000-00007C580000}"/>
    <cellStyle name="Normal 2 2 4 2 2 10 12" xfId="22653" xr:uid="{00000000-0005-0000-0000-00007D580000}"/>
    <cellStyle name="Normal 2 2 4 2 2 10 13" xfId="22654" xr:uid="{00000000-0005-0000-0000-00007E580000}"/>
    <cellStyle name="Normal 2 2 4 2 2 10 14" xfId="22655" xr:uid="{00000000-0005-0000-0000-00007F580000}"/>
    <cellStyle name="Normal 2 2 4 2 2 10 2" xfId="22656" xr:uid="{00000000-0005-0000-0000-000080580000}"/>
    <cellStyle name="Normal 2 2 4 2 2 10 2 10" xfId="22657" xr:uid="{00000000-0005-0000-0000-000081580000}"/>
    <cellStyle name="Normal 2 2 4 2 2 10 2 2" xfId="22658" xr:uid="{00000000-0005-0000-0000-000082580000}"/>
    <cellStyle name="Normal 2 2 4 2 2 10 2 3" xfId="22659" xr:uid="{00000000-0005-0000-0000-000083580000}"/>
    <cellStyle name="Normal 2 2 4 2 2 10 2 4" xfId="22660" xr:uid="{00000000-0005-0000-0000-000084580000}"/>
    <cellStyle name="Normal 2 2 4 2 2 10 2 5" xfId="22661" xr:uid="{00000000-0005-0000-0000-000085580000}"/>
    <cellStyle name="Normal 2 2 4 2 2 10 2 6" xfId="22662" xr:uid="{00000000-0005-0000-0000-000086580000}"/>
    <cellStyle name="Normal 2 2 4 2 2 10 2 7" xfId="22663" xr:uid="{00000000-0005-0000-0000-000087580000}"/>
    <cellStyle name="Normal 2 2 4 2 2 10 2 8" xfId="22664" xr:uid="{00000000-0005-0000-0000-000088580000}"/>
    <cellStyle name="Normal 2 2 4 2 2 10 2 9" xfId="22665" xr:uid="{00000000-0005-0000-0000-000089580000}"/>
    <cellStyle name="Normal 2 2 4 2 2 10 3" xfId="22666" xr:uid="{00000000-0005-0000-0000-00008A580000}"/>
    <cellStyle name="Normal 2 2 4 2 2 10 3 10" xfId="22667" xr:uid="{00000000-0005-0000-0000-00008B580000}"/>
    <cellStyle name="Normal 2 2 4 2 2 10 3 2" xfId="22668" xr:uid="{00000000-0005-0000-0000-00008C580000}"/>
    <cellStyle name="Normal 2 2 4 2 2 10 3 3" xfId="22669" xr:uid="{00000000-0005-0000-0000-00008D580000}"/>
    <cellStyle name="Normal 2 2 4 2 2 10 3 4" xfId="22670" xr:uid="{00000000-0005-0000-0000-00008E580000}"/>
    <cellStyle name="Normal 2 2 4 2 2 10 3 5" xfId="22671" xr:uid="{00000000-0005-0000-0000-00008F580000}"/>
    <cellStyle name="Normal 2 2 4 2 2 10 3 6" xfId="22672" xr:uid="{00000000-0005-0000-0000-000090580000}"/>
    <cellStyle name="Normal 2 2 4 2 2 10 3 7" xfId="22673" xr:uid="{00000000-0005-0000-0000-000091580000}"/>
    <cellStyle name="Normal 2 2 4 2 2 10 3 8" xfId="22674" xr:uid="{00000000-0005-0000-0000-000092580000}"/>
    <cellStyle name="Normal 2 2 4 2 2 10 3 9" xfId="22675" xr:uid="{00000000-0005-0000-0000-000093580000}"/>
    <cellStyle name="Normal 2 2 4 2 2 10 4" xfId="22676" xr:uid="{00000000-0005-0000-0000-000094580000}"/>
    <cellStyle name="Normal 2 2 4 2 2 10 4 10" xfId="22677" xr:uid="{00000000-0005-0000-0000-000095580000}"/>
    <cellStyle name="Normal 2 2 4 2 2 10 4 2" xfId="22678" xr:uid="{00000000-0005-0000-0000-000096580000}"/>
    <cellStyle name="Normal 2 2 4 2 2 10 4 3" xfId="22679" xr:uid="{00000000-0005-0000-0000-000097580000}"/>
    <cellStyle name="Normal 2 2 4 2 2 10 4 4" xfId="22680" xr:uid="{00000000-0005-0000-0000-000098580000}"/>
    <cellStyle name="Normal 2 2 4 2 2 10 4 5" xfId="22681" xr:uid="{00000000-0005-0000-0000-000099580000}"/>
    <cellStyle name="Normal 2 2 4 2 2 10 4 6" xfId="22682" xr:uid="{00000000-0005-0000-0000-00009A580000}"/>
    <cellStyle name="Normal 2 2 4 2 2 10 4 7" xfId="22683" xr:uid="{00000000-0005-0000-0000-00009B580000}"/>
    <cellStyle name="Normal 2 2 4 2 2 10 4 8" xfId="22684" xr:uid="{00000000-0005-0000-0000-00009C580000}"/>
    <cellStyle name="Normal 2 2 4 2 2 10 4 9" xfId="22685" xr:uid="{00000000-0005-0000-0000-00009D580000}"/>
    <cellStyle name="Normal 2 2 4 2 2 10 5" xfId="22686" xr:uid="{00000000-0005-0000-0000-00009E580000}"/>
    <cellStyle name="Normal 2 2 4 2 2 10 5 10" xfId="22687" xr:uid="{00000000-0005-0000-0000-00009F580000}"/>
    <cellStyle name="Normal 2 2 4 2 2 10 5 2" xfId="22688" xr:uid="{00000000-0005-0000-0000-0000A0580000}"/>
    <cellStyle name="Normal 2 2 4 2 2 10 5 3" xfId="22689" xr:uid="{00000000-0005-0000-0000-0000A1580000}"/>
    <cellStyle name="Normal 2 2 4 2 2 10 5 4" xfId="22690" xr:uid="{00000000-0005-0000-0000-0000A2580000}"/>
    <cellStyle name="Normal 2 2 4 2 2 10 5 5" xfId="22691" xr:uid="{00000000-0005-0000-0000-0000A3580000}"/>
    <cellStyle name="Normal 2 2 4 2 2 10 5 6" xfId="22692" xr:uid="{00000000-0005-0000-0000-0000A4580000}"/>
    <cellStyle name="Normal 2 2 4 2 2 10 5 7" xfId="22693" xr:uid="{00000000-0005-0000-0000-0000A5580000}"/>
    <cellStyle name="Normal 2 2 4 2 2 10 5 8" xfId="22694" xr:uid="{00000000-0005-0000-0000-0000A6580000}"/>
    <cellStyle name="Normal 2 2 4 2 2 10 5 9" xfId="22695" xr:uid="{00000000-0005-0000-0000-0000A7580000}"/>
    <cellStyle name="Normal 2 2 4 2 2 10 6" xfId="22696" xr:uid="{00000000-0005-0000-0000-0000A8580000}"/>
    <cellStyle name="Normal 2 2 4 2 2 10 7" xfId="22697" xr:uid="{00000000-0005-0000-0000-0000A9580000}"/>
    <cellStyle name="Normal 2 2 4 2 2 10 8" xfId="22698" xr:uid="{00000000-0005-0000-0000-0000AA580000}"/>
    <cellStyle name="Normal 2 2 4 2 2 10 9" xfId="22699" xr:uid="{00000000-0005-0000-0000-0000AB580000}"/>
    <cellStyle name="Normal 2 2 4 2 2 11" xfId="22700" xr:uid="{00000000-0005-0000-0000-0000AC580000}"/>
    <cellStyle name="Normal 2 2 4 2 2 11 10" xfId="22701" xr:uid="{00000000-0005-0000-0000-0000AD580000}"/>
    <cellStyle name="Normal 2 2 4 2 2 11 11" xfId="22702" xr:uid="{00000000-0005-0000-0000-0000AE580000}"/>
    <cellStyle name="Normal 2 2 4 2 2 11 12" xfId="22703" xr:uid="{00000000-0005-0000-0000-0000AF580000}"/>
    <cellStyle name="Normal 2 2 4 2 2 11 13" xfId="22704" xr:uid="{00000000-0005-0000-0000-0000B0580000}"/>
    <cellStyle name="Normal 2 2 4 2 2 11 14" xfId="22705" xr:uid="{00000000-0005-0000-0000-0000B1580000}"/>
    <cellStyle name="Normal 2 2 4 2 2 11 2" xfId="22706" xr:uid="{00000000-0005-0000-0000-0000B2580000}"/>
    <cellStyle name="Normal 2 2 4 2 2 11 2 10" xfId="22707" xr:uid="{00000000-0005-0000-0000-0000B3580000}"/>
    <cellStyle name="Normal 2 2 4 2 2 11 2 2" xfId="22708" xr:uid="{00000000-0005-0000-0000-0000B4580000}"/>
    <cellStyle name="Normal 2 2 4 2 2 11 2 3" xfId="22709" xr:uid="{00000000-0005-0000-0000-0000B5580000}"/>
    <cellStyle name="Normal 2 2 4 2 2 11 2 4" xfId="22710" xr:uid="{00000000-0005-0000-0000-0000B6580000}"/>
    <cellStyle name="Normal 2 2 4 2 2 11 2 5" xfId="22711" xr:uid="{00000000-0005-0000-0000-0000B7580000}"/>
    <cellStyle name="Normal 2 2 4 2 2 11 2 6" xfId="22712" xr:uid="{00000000-0005-0000-0000-0000B8580000}"/>
    <cellStyle name="Normal 2 2 4 2 2 11 2 7" xfId="22713" xr:uid="{00000000-0005-0000-0000-0000B9580000}"/>
    <cellStyle name="Normal 2 2 4 2 2 11 2 8" xfId="22714" xr:uid="{00000000-0005-0000-0000-0000BA580000}"/>
    <cellStyle name="Normal 2 2 4 2 2 11 2 9" xfId="22715" xr:uid="{00000000-0005-0000-0000-0000BB580000}"/>
    <cellStyle name="Normal 2 2 4 2 2 11 3" xfId="22716" xr:uid="{00000000-0005-0000-0000-0000BC580000}"/>
    <cellStyle name="Normal 2 2 4 2 2 11 3 10" xfId="22717" xr:uid="{00000000-0005-0000-0000-0000BD580000}"/>
    <cellStyle name="Normal 2 2 4 2 2 11 3 2" xfId="22718" xr:uid="{00000000-0005-0000-0000-0000BE580000}"/>
    <cellStyle name="Normal 2 2 4 2 2 11 3 3" xfId="22719" xr:uid="{00000000-0005-0000-0000-0000BF580000}"/>
    <cellStyle name="Normal 2 2 4 2 2 11 3 4" xfId="22720" xr:uid="{00000000-0005-0000-0000-0000C0580000}"/>
    <cellStyle name="Normal 2 2 4 2 2 11 3 5" xfId="22721" xr:uid="{00000000-0005-0000-0000-0000C1580000}"/>
    <cellStyle name="Normal 2 2 4 2 2 11 3 6" xfId="22722" xr:uid="{00000000-0005-0000-0000-0000C2580000}"/>
    <cellStyle name="Normal 2 2 4 2 2 11 3 7" xfId="22723" xr:uid="{00000000-0005-0000-0000-0000C3580000}"/>
    <cellStyle name="Normal 2 2 4 2 2 11 3 8" xfId="22724" xr:uid="{00000000-0005-0000-0000-0000C4580000}"/>
    <cellStyle name="Normal 2 2 4 2 2 11 3 9" xfId="22725" xr:uid="{00000000-0005-0000-0000-0000C5580000}"/>
    <cellStyle name="Normal 2 2 4 2 2 11 4" xfId="22726" xr:uid="{00000000-0005-0000-0000-0000C6580000}"/>
    <cellStyle name="Normal 2 2 4 2 2 11 4 10" xfId="22727" xr:uid="{00000000-0005-0000-0000-0000C7580000}"/>
    <cellStyle name="Normal 2 2 4 2 2 11 4 2" xfId="22728" xr:uid="{00000000-0005-0000-0000-0000C8580000}"/>
    <cellStyle name="Normal 2 2 4 2 2 11 4 3" xfId="22729" xr:uid="{00000000-0005-0000-0000-0000C9580000}"/>
    <cellStyle name="Normal 2 2 4 2 2 11 4 4" xfId="22730" xr:uid="{00000000-0005-0000-0000-0000CA580000}"/>
    <cellStyle name="Normal 2 2 4 2 2 11 4 5" xfId="22731" xr:uid="{00000000-0005-0000-0000-0000CB580000}"/>
    <cellStyle name="Normal 2 2 4 2 2 11 4 6" xfId="22732" xr:uid="{00000000-0005-0000-0000-0000CC580000}"/>
    <cellStyle name="Normal 2 2 4 2 2 11 4 7" xfId="22733" xr:uid="{00000000-0005-0000-0000-0000CD580000}"/>
    <cellStyle name="Normal 2 2 4 2 2 11 4 8" xfId="22734" xr:uid="{00000000-0005-0000-0000-0000CE580000}"/>
    <cellStyle name="Normal 2 2 4 2 2 11 4 9" xfId="22735" xr:uid="{00000000-0005-0000-0000-0000CF580000}"/>
    <cellStyle name="Normal 2 2 4 2 2 11 5" xfId="22736" xr:uid="{00000000-0005-0000-0000-0000D0580000}"/>
    <cellStyle name="Normal 2 2 4 2 2 11 5 10" xfId="22737" xr:uid="{00000000-0005-0000-0000-0000D1580000}"/>
    <cellStyle name="Normal 2 2 4 2 2 11 5 2" xfId="22738" xr:uid="{00000000-0005-0000-0000-0000D2580000}"/>
    <cellStyle name="Normal 2 2 4 2 2 11 5 3" xfId="22739" xr:uid="{00000000-0005-0000-0000-0000D3580000}"/>
    <cellStyle name="Normal 2 2 4 2 2 11 5 4" xfId="22740" xr:uid="{00000000-0005-0000-0000-0000D4580000}"/>
    <cellStyle name="Normal 2 2 4 2 2 11 5 5" xfId="22741" xr:uid="{00000000-0005-0000-0000-0000D5580000}"/>
    <cellStyle name="Normal 2 2 4 2 2 11 5 6" xfId="22742" xr:uid="{00000000-0005-0000-0000-0000D6580000}"/>
    <cellStyle name="Normal 2 2 4 2 2 11 5 7" xfId="22743" xr:uid="{00000000-0005-0000-0000-0000D7580000}"/>
    <cellStyle name="Normal 2 2 4 2 2 11 5 8" xfId="22744" xr:uid="{00000000-0005-0000-0000-0000D8580000}"/>
    <cellStyle name="Normal 2 2 4 2 2 11 5 9" xfId="22745" xr:uid="{00000000-0005-0000-0000-0000D9580000}"/>
    <cellStyle name="Normal 2 2 4 2 2 11 6" xfId="22746" xr:uid="{00000000-0005-0000-0000-0000DA580000}"/>
    <cellStyle name="Normal 2 2 4 2 2 11 7" xfId="22747" xr:uid="{00000000-0005-0000-0000-0000DB580000}"/>
    <cellStyle name="Normal 2 2 4 2 2 11 8" xfId="22748" xr:uid="{00000000-0005-0000-0000-0000DC580000}"/>
    <cellStyle name="Normal 2 2 4 2 2 11 9" xfId="22749" xr:uid="{00000000-0005-0000-0000-0000DD580000}"/>
    <cellStyle name="Normal 2 2 4 2 2 12" xfId="22750" xr:uid="{00000000-0005-0000-0000-0000DE580000}"/>
    <cellStyle name="Normal 2 2 4 2 2 12 10" xfId="22751" xr:uid="{00000000-0005-0000-0000-0000DF580000}"/>
    <cellStyle name="Normal 2 2 4 2 2 12 11" xfId="22752" xr:uid="{00000000-0005-0000-0000-0000E0580000}"/>
    <cellStyle name="Normal 2 2 4 2 2 12 12" xfId="22753" xr:uid="{00000000-0005-0000-0000-0000E1580000}"/>
    <cellStyle name="Normal 2 2 4 2 2 12 13" xfId="22754" xr:uid="{00000000-0005-0000-0000-0000E2580000}"/>
    <cellStyle name="Normal 2 2 4 2 2 12 14" xfId="22755" xr:uid="{00000000-0005-0000-0000-0000E3580000}"/>
    <cellStyle name="Normal 2 2 4 2 2 12 2" xfId="22756" xr:uid="{00000000-0005-0000-0000-0000E4580000}"/>
    <cellStyle name="Normal 2 2 4 2 2 12 2 10" xfId="22757" xr:uid="{00000000-0005-0000-0000-0000E5580000}"/>
    <cellStyle name="Normal 2 2 4 2 2 12 2 2" xfId="22758" xr:uid="{00000000-0005-0000-0000-0000E6580000}"/>
    <cellStyle name="Normal 2 2 4 2 2 12 2 3" xfId="22759" xr:uid="{00000000-0005-0000-0000-0000E7580000}"/>
    <cellStyle name="Normal 2 2 4 2 2 12 2 4" xfId="22760" xr:uid="{00000000-0005-0000-0000-0000E8580000}"/>
    <cellStyle name="Normal 2 2 4 2 2 12 2 5" xfId="22761" xr:uid="{00000000-0005-0000-0000-0000E9580000}"/>
    <cellStyle name="Normal 2 2 4 2 2 12 2 6" xfId="22762" xr:uid="{00000000-0005-0000-0000-0000EA580000}"/>
    <cellStyle name="Normal 2 2 4 2 2 12 2 7" xfId="22763" xr:uid="{00000000-0005-0000-0000-0000EB580000}"/>
    <cellStyle name="Normal 2 2 4 2 2 12 2 8" xfId="22764" xr:uid="{00000000-0005-0000-0000-0000EC580000}"/>
    <cellStyle name="Normal 2 2 4 2 2 12 2 9" xfId="22765" xr:uid="{00000000-0005-0000-0000-0000ED580000}"/>
    <cellStyle name="Normal 2 2 4 2 2 12 3" xfId="22766" xr:uid="{00000000-0005-0000-0000-0000EE580000}"/>
    <cellStyle name="Normal 2 2 4 2 2 12 3 10" xfId="22767" xr:uid="{00000000-0005-0000-0000-0000EF580000}"/>
    <cellStyle name="Normal 2 2 4 2 2 12 3 2" xfId="22768" xr:uid="{00000000-0005-0000-0000-0000F0580000}"/>
    <cellStyle name="Normal 2 2 4 2 2 12 3 3" xfId="22769" xr:uid="{00000000-0005-0000-0000-0000F1580000}"/>
    <cellStyle name="Normal 2 2 4 2 2 12 3 4" xfId="22770" xr:uid="{00000000-0005-0000-0000-0000F2580000}"/>
    <cellStyle name="Normal 2 2 4 2 2 12 3 5" xfId="22771" xr:uid="{00000000-0005-0000-0000-0000F3580000}"/>
    <cellStyle name="Normal 2 2 4 2 2 12 3 6" xfId="22772" xr:uid="{00000000-0005-0000-0000-0000F4580000}"/>
    <cellStyle name="Normal 2 2 4 2 2 12 3 7" xfId="22773" xr:uid="{00000000-0005-0000-0000-0000F5580000}"/>
    <cellStyle name="Normal 2 2 4 2 2 12 3 8" xfId="22774" xr:uid="{00000000-0005-0000-0000-0000F6580000}"/>
    <cellStyle name="Normal 2 2 4 2 2 12 3 9" xfId="22775" xr:uid="{00000000-0005-0000-0000-0000F7580000}"/>
    <cellStyle name="Normal 2 2 4 2 2 12 4" xfId="22776" xr:uid="{00000000-0005-0000-0000-0000F8580000}"/>
    <cellStyle name="Normal 2 2 4 2 2 12 4 10" xfId="22777" xr:uid="{00000000-0005-0000-0000-0000F9580000}"/>
    <cellStyle name="Normal 2 2 4 2 2 12 4 2" xfId="22778" xr:uid="{00000000-0005-0000-0000-0000FA580000}"/>
    <cellStyle name="Normal 2 2 4 2 2 12 4 3" xfId="22779" xr:uid="{00000000-0005-0000-0000-0000FB580000}"/>
    <cellStyle name="Normal 2 2 4 2 2 12 4 4" xfId="22780" xr:uid="{00000000-0005-0000-0000-0000FC580000}"/>
    <cellStyle name="Normal 2 2 4 2 2 12 4 5" xfId="22781" xr:uid="{00000000-0005-0000-0000-0000FD580000}"/>
    <cellStyle name="Normal 2 2 4 2 2 12 4 6" xfId="22782" xr:uid="{00000000-0005-0000-0000-0000FE580000}"/>
    <cellStyle name="Normal 2 2 4 2 2 12 4 7" xfId="22783" xr:uid="{00000000-0005-0000-0000-0000FF580000}"/>
    <cellStyle name="Normal 2 2 4 2 2 12 4 8" xfId="22784" xr:uid="{00000000-0005-0000-0000-000000590000}"/>
    <cellStyle name="Normal 2 2 4 2 2 12 4 9" xfId="22785" xr:uid="{00000000-0005-0000-0000-000001590000}"/>
    <cellStyle name="Normal 2 2 4 2 2 12 5" xfId="22786" xr:uid="{00000000-0005-0000-0000-000002590000}"/>
    <cellStyle name="Normal 2 2 4 2 2 12 5 10" xfId="22787" xr:uid="{00000000-0005-0000-0000-000003590000}"/>
    <cellStyle name="Normal 2 2 4 2 2 12 5 2" xfId="22788" xr:uid="{00000000-0005-0000-0000-000004590000}"/>
    <cellStyle name="Normal 2 2 4 2 2 12 5 3" xfId="22789" xr:uid="{00000000-0005-0000-0000-000005590000}"/>
    <cellStyle name="Normal 2 2 4 2 2 12 5 4" xfId="22790" xr:uid="{00000000-0005-0000-0000-000006590000}"/>
    <cellStyle name="Normal 2 2 4 2 2 12 5 5" xfId="22791" xr:uid="{00000000-0005-0000-0000-000007590000}"/>
    <cellStyle name="Normal 2 2 4 2 2 12 5 6" xfId="22792" xr:uid="{00000000-0005-0000-0000-000008590000}"/>
    <cellStyle name="Normal 2 2 4 2 2 12 5 7" xfId="22793" xr:uid="{00000000-0005-0000-0000-000009590000}"/>
    <cellStyle name="Normal 2 2 4 2 2 12 5 8" xfId="22794" xr:uid="{00000000-0005-0000-0000-00000A590000}"/>
    <cellStyle name="Normal 2 2 4 2 2 12 5 9" xfId="22795" xr:uid="{00000000-0005-0000-0000-00000B590000}"/>
    <cellStyle name="Normal 2 2 4 2 2 12 6" xfId="22796" xr:uid="{00000000-0005-0000-0000-00000C590000}"/>
    <cellStyle name="Normal 2 2 4 2 2 12 7" xfId="22797" xr:uid="{00000000-0005-0000-0000-00000D590000}"/>
    <cellStyle name="Normal 2 2 4 2 2 12 8" xfId="22798" xr:uid="{00000000-0005-0000-0000-00000E590000}"/>
    <cellStyle name="Normal 2 2 4 2 2 12 9" xfId="22799" xr:uid="{00000000-0005-0000-0000-00000F590000}"/>
    <cellStyle name="Normal 2 2 4 2 2 13" xfId="22800" xr:uid="{00000000-0005-0000-0000-000010590000}"/>
    <cellStyle name="Normal 2 2 4 2 2 13 10" xfId="22801" xr:uid="{00000000-0005-0000-0000-000011590000}"/>
    <cellStyle name="Normal 2 2 4 2 2 13 11" xfId="22802" xr:uid="{00000000-0005-0000-0000-000012590000}"/>
    <cellStyle name="Normal 2 2 4 2 2 13 12" xfId="22803" xr:uid="{00000000-0005-0000-0000-000013590000}"/>
    <cellStyle name="Normal 2 2 4 2 2 13 13" xfId="22804" xr:uid="{00000000-0005-0000-0000-000014590000}"/>
    <cellStyle name="Normal 2 2 4 2 2 13 14" xfId="22805" xr:uid="{00000000-0005-0000-0000-000015590000}"/>
    <cellStyle name="Normal 2 2 4 2 2 13 2" xfId="22806" xr:uid="{00000000-0005-0000-0000-000016590000}"/>
    <cellStyle name="Normal 2 2 4 2 2 13 2 10" xfId="22807" xr:uid="{00000000-0005-0000-0000-000017590000}"/>
    <cellStyle name="Normal 2 2 4 2 2 13 2 2" xfId="22808" xr:uid="{00000000-0005-0000-0000-000018590000}"/>
    <cellStyle name="Normal 2 2 4 2 2 13 2 3" xfId="22809" xr:uid="{00000000-0005-0000-0000-000019590000}"/>
    <cellStyle name="Normal 2 2 4 2 2 13 2 4" xfId="22810" xr:uid="{00000000-0005-0000-0000-00001A590000}"/>
    <cellStyle name="Normal 2 2 4 2 2 13 2 5" xfId="22811" xr:uid="{00000000-0005-0000-0000-00001B590000}"/>
    <cellStyle name="Normal 2 2 4 2 2 13 2 6" xfId="22812" xr:uid="{00000000-0005-0000-0000-00001C590000}"/>
    <cellStyle name="Normal 2 2 4 2 2 13 2 7" xfId="22813" xr:uid="{00000000-0005-0000-0000-00001D590000}"/>
    <cellStyle name="Normal 2 2 4 2 2 13 2 8" xfId="22814" xr:uid="{00000000-0005-0000-0000-00001E590000}"/>
    <cellStyle name="Normal 2 2 4 2 2 13 2 9" xfId="22815" xr:uid="{00000000-0005-0000-0000-00001F590000}"/>
    <cellStyle name="Normal 2 2 4 2 2 13 3" xfId="22816" xr:uid="{00000000-0005-0000-0000-000020590000}"/>
    <cellStyle name="Normal 2 2 4 2 2 13 3 10" xfId="22817" xr:uid="{00000000-0005-0000-0000-000021590000}"/>
    <cellStyle name="Normal 2 2 4 2 2 13 3 2" xfId="22818" xr:uid="{00000000-0005-0000-0000-000022590000}"/>
    <cellStyle name="Normal 2 2 4 2 2 13 3 3" xfId="22819" xr:uid="{00000000-0005-0000-0000-000023590000}"/>
    <cellStyle name="Normal 2 2 4 2 2 13 3 4" xfId="22820" xr:uid="{00000000-0005-0000-0000-000024590000}"/>
    <cellStyle name="Normal 2 2 4 2 2 13 3 5" xfId="22821" xr:uid="{00000000-0005-0000-0000-000025590000}"/>
    <cellStyle name="Normal 2 2 4 2 2 13 3 6" xfId="22822" xr:uid="{00000000-0005-0000-0000-000026590000}"/>
    <cellStyle name="Normal 2 2 4 2 2 13 3 7" xfId="22823" xr:uid="{00000000-0005-0000-0000-000027590000}"/>
    <cellStyle name="Normal 2 2 4 2 2 13 3 8" xfId="22824" xr:uid="{00000000-0005-0000-0000-000028590000}"/>
    <cellStyle name="Normal 2 2 4 2 2 13 3 9" xfId="22825" xr:uid="{00000000-0005-0000-0000-000029590000}"/>
    <cellStyle name="Normal 2 2 4 2 2 13 4" xfId="22826" xr:uid="{00000000-0005-0000-0000-00002A590000}"/>
    <cellStyle name="Normal 2 2 4 2 2 13 4 10" xfId="22827" xr:uid="{00000000-0005-0000-0000-00002B590000}"/>
    <cellStyle name="Normal 2 2 4 2 2 13 4 2" xfId="22828" xr:uid="{00000000-0005-0000-0000-00002C590000}"/>
    <cellStyle name="Normal 2 2 4 2 2 13 4 3" xfId="22829" xr:uid="{00000000-0005-0000-0000-00002D590000}"/>
    <cellStyle name="Normal 2 2 4 2 2 13 4 4" xfId="22830" xr:uid="{00000000-0005-0000-0000-00002E590000}"/>
    <cellStyle name="Normal 2 2 4 2 2 13 4 5" xfId="22831" xr:uid="{00000000-0005-0000-0000-00002F590000}"/>
    <cellStyle name="Normal 2 2 4 2 2 13 4 6" xfId="22832" xr:uid="{00000000-0005-0000-0000-000030590000}"/>
    <cellStyle name="Normal 2 2 4 2 2 13 4 7" xfId="22833" xr:uid="{00000000-0005-0000-0000-000031590000}"/>
    <cellStyle name="Normal 2 2 4 2 2 13 4 8" xfId="22834" xr:uid="{00000000-0005-0000-0000-000032590000}"/>
    <cellStyle name="Normal 2 2 4 2 2 13 4 9" xfId="22835" xr:uid="{00000000-0005-0000-0000-000033590000}"/>
    <cellStyle name="Normal 2 2 4 2 2 13 5" xfId="22836" xr:uid="{00000000-0005-0000-0000-000034590000}"/>
    <cellStyle name="Normal 2 2 4 2 2 13 5 10" xfId="22837" xr:uid="{00000000-0005-0000-0000-000035590000}"/>
    <cellStyle name="Normal 2 2 4 2 2 13 5 2" xfId="22838" xr:uid="{00000000-0005-0000-0000-000036590000}"/>
    <cellStyle name="Normal 2 2 4 2 2 13 5 3" xfId="22839" xr:uid="{00000000-0005-0000-0000-000037590000}"/>
    <cellStyle name="Normal 2 2 4 2 2 13 5 4" xfId="22840" xr:uid="{00000000-0005-0000-0000-000038590000}"/>
    <cellStyle name="Normal 2 2 4 2 2 13 5 5" xfId="22841" xr:uid="{00000000-0005-0000-0000-000039590000}"/>
    <cellStyle name="Normal 2 2 4 2 2 13 5 6" xfId="22842" xr:uid="{00000000-0005-0000-0000-00003A590000}"/>
    <cellStyle name="Normal 2 2 4 2 2 13 5 7" xfId="22843" xr:uid="{00000000-0005-0000-0000-00003B590000}"/>
    <cellStyle name="Normal 2 2 4 2 2 13 5 8" xfId="22844" xr:uid="{00000000-0005-0000-0000-00003C590000}"/>
    <cellStyle name="Normal 2 2 4 2 2 13 5 9" xfId="22845" xr:uid="{00000000-0005-0000-0000-00003D590000}"/>
    <cellStyle name="Normal 2 2 4 2 2 13 6" xfId="22846" xr:uid="{00000000-0005-0000-0000-00003E590000}"/>
    <cellStyle name="Normal 2 2 4 2 2 13 7" xfId="22847" xr:uid="{00000000-0005-0000-0000-00003F590000}"/>
    <cellStyle name="Normal 2 2 4 2 2 13 8" xfId="22848" xr:uid="{00000000-0005-0000-0000-000040590000}"/>
    <cellStyle name="Normal 2 2 4 2 2 13 9" xfId="22849" xr:uid="{00000000-0005-0000-0000-000041590000}"/>
    <cellStyle name="Normal 2 2 4 2 2 14" xfId="22850" xr:uid="{00000000-0005-0000-0000-000042590000}"/>
    <cellStyle name="Normal 2 2 4 2 2 14 10" xfId="22851" xr:uid="{00000000-0005-0000-0000-000043590000}"/>
    <cellStyle name="Normal 2 2 4 2 2 14 11" xfId="22852" xr:uid="{00000000-0005-0000-0000-000044590000}"/>
    <cellStyle name="Normal 2 2 4 2 2 14 12" xfId="22853" xr:uid="{00000000-0005-0000-0000-000045590000}"/>
    <cellStyle name="Normal 2 2 4 2 2 14 13" xfId="22854" xr:uid="{00000000-0005-0000-0000-000046590000}"/>
    <cellStyle name="Normal 2 2 4 2 2 14 14" xfId="22855" xr:uid="{00000000-0005-0000-0000-000047590000}"/>
    <cellStyle name="Normal 2 2 4 2 2 14 2" xfId="22856" xr:uid="{00000000-0005-0000-0000-000048590000}"/>
    <cellStyle name="Normal 2 2 4 2 2 14 2 10" xfId="22857" xr:uid="{00000000-0005-0000-0000-000049590000}"/>
    <cellStyle name="Normal 2 2 4 2 2 14 2 2" xfId="22858" xr:uid="{00000000-0005-0000-0000-00004A590000}"/>
    <cellStyle name="Normal 2 2 4 2 2 14 2 3" xfId="22859" xr:uid="{00000000-0005-0000-0000-00004B590000}"/>
    <cellStyle name="Normal 2 2 4 2 2 14 2 4" xfId="22860" xr:uid="{00000000-0005-0000-0000-00004C590000}"/>
    <cellStyle name="Normal 2 2 4 2 2 14 2 5" xfId="22861" xr:uid="{00000000-0005-0000-0000-00004D590000}"/>
    <cellStyle name="Normal 2 2 4 2 2 14 2 6" xfId="22862" xr:uid="{00000000-0005-0000-0000-00004E590000}"/>
    <cellStyle name="Normal 2 2 4 2 2 14 2 7" xfId="22863" xr:uid="{00000000-0005-0000-0000-00004F590000}"/>
    <cellStyle name="Normal 2 2 4 2 2 14 2 8" xfId="22864" xr:uid="{00000000-0005-0000-0000-000050590000}"/>
    <cellStyle name="Normal 2 2 4 2 2 14 2 9" xfId="22865" xr:uid="{00000000-0005-0000-0000-000051590000}"/>
    <cellStyle name="Normal 2 2 4 2 2 14 3" xfId="22866" xr:uid="{00000000-0005-0000-0000-000052590000}"/>
    <cellStyle name="Normal 2 2 4 2 2 14 3 10" xfId="22867" xr:uid="{00000000-0005-0000-0000-000053590000}"/>
    <cellStyle name="Normal 2 2 4 2 2 14 3 2" xfId="22868" xr:uid="{00000000-0005-0000-0000-000054590000}"/>
    <cellStyle name="Normal 2 2 4 2 2 14 3 3" xfId="22869" xr:uid="{00000000-0005-0000-0000-000055590000}"/>
    <cellStyle name="Normal 2 2 4 2 2 14 3 4" xfId="22870" xr:uid="{00000000-0005-0000-0000-000056590000}"/>
    <cellStyle name="Normal 2 2 4 2 2 14 3 5" xfId="22871" xr:uid="{00000000-0005-0000-0000-000057590000}"/>
    <cellStyle name="Normal 2 2 4 2 2 14 3 6" xfId="22872" xr:uid="{00000000-0005-0000-0000-000058590000}"/>
    <cellStyle name="Normal 2 2 4 2 2 14 3 7" xfId="22873" xr:uid="{00000000-0005-0000-0000-000059590000}"/>
    <cellStyle name="Normal 2 2 4 2 2 14 3 8" xfId="22874" xr:uid="{00000000-0005-0000-0000-00005A590000}"/>
    <cellStyle name="Normal 2 2 4 2 2 14 3 9" xfId="22875" xr:uid="{00000000-0005-0000-0000-00005B590000}"/>
    <cellStyle name="Normal 2 2 4 2 2 14 4" xfId="22876" xr:uid="{00000000-0005-0000-0000-00005C590000}"/>
    <cellStyle name="Normal 2 2 4 2 2 14 4 10" xfId="22877" xr:uid="{00000000-0005-0000-0000-00005D590000}"/>
    <cellStyle name="Normal 2 2 4 2 2 14 4 2" xfId="22878" xr:uid="{00000000-0005-0000-0000-00005E590000}"/>
    <cellStyle name="Normal 2 2 4 2 2 14 4 3" xfId="22879" xr:uid="{00000000-0005-0000-0000-00005F590000}"/>
    <cellStyle name="Normal 2 2 4 2 2 14 4 4" xfId="22880" xr:uid="{00000000-0005-0000-0000-000060590000}"/>
    <cellStyle name="Normal 2 2 4 2 2 14 4 5" xfId="22881" xr:uid="{00000000-0005-0000-0000-000061590000}"/>
    <cellStyle name="Normal 2 2 4 2 2 14 4 6" xfId="22882" xr:uid="{00000000-0005-0000-0000-000062590000}"/>
    <cellStyle name="Normal 2 2 4 2 2 14 4 7" xfId="22883" xr:uid="{00000000-0005-0000-0000-000063590000}"/>
    <cellStyle name="Normal 2 2 4 2 2 14 4 8" xfId="22884" xr:uid="{00000000-0005-0000-0000-000064590000}"/>
    <cellStyle name="Normal 2 2 4 2 2 14 4 9" xfId="22885" xr:uid="{00000000-0005-0000-0000-000065590000}"/>
    <cellStyle name="Normal 2 2 4 2 2 14 5" xfId="22886" xr:uid="{00000000-0005-0000-0000-000066590000}"/>
    <cellStyle name="Normal 2 2 4 2 2 14 5 10" xfId="22887" xr:uid="{00000000-0005-0000-0000-000067590000}"/>
    <cellStyle name="Normal 2 2 4 2 2 14 5 2" xfId="22888" xr:uid="{00000000-0005-0000-0000-000068590000}"/>
    <cellStyle name="Normal 2 2 4 2 2 14 5 3" xfId="22889" xr:uid="{00000000-0005-0000-0000-000069590000}"/>
    <cellStyle name="Normal 2 2 4 2 2 14 5 4" xfId="22890" xr:uid="{00000000-0005-0000-0000-00006A590000}"/>
    <cellStyle name="Normal 2 2 4 2 2 14 5 5" xfId="22891" xr:uid="{00000000-0005-0000-0000-00006B590000}"/>
    <cellStyle name="Normal 2 2 4 2 2 14 5 6" xfId="22892" xr:uid="{00000000-0005-0000-0000-00006C590000}"/>
    <cellStyle name="Normal 2 2 4 2 2 14 5 7" xfId="22893" xr:uid="{00000000-0005-0000-0000-00006D590000}"/>
    <cellStyle name="Normal 2 2 4 2 2 14 5 8" xfId="22894" xr:uid="{00000000-0005-0000-0000-00006E590000}"/>
    <cellStyle name="Normal 2 2 4 2 2 14 5 9" xfId="22895" xr:uid="{00000000-0005-0000-0000-00006F590000}"/>
    <cellStyle name="Normal 2 2 4 2 2 14 6" xfId="22896" xr:uid="{00000000-0005-0000-0000-000070590000}"/>
    <cellStyle name="Normal 2 2 4 2 2 14 7" xfId="22897" xr:uid="{00000000-0005-0000-0000-000071590000}"/>
    <cellStyle name="Normal 2 2 4 2 2 14 8" xfId="22898" xr:uid="{00000000-0005-0000-0000-000072590000}"/>
    <cellStyle name="Normal 2 2 4 2 2 14 9" xfId="22899" xr:uid="{00000000-0005-0000-0000-000073590000}"/>
    <cellStyle name="Normal 2 2 4 2 2 15" xfId="22900" xr:uid="{00000000-0005-0000-0000-000074590000}"/>
    <cellStyle name="Normal 2 2 4 2 2 15 10" xfId="22901" xr:uid="{00000000-0005-0000-0000-000075590000}"/>
    <cellStyle name="Normal 2 2 4 2 2 15 11" xfId="22902" xr:uid="{00000000-0005-0000-0000-000076590000}"/>
    <cellStyle name="Normal 2 2 4 2 2 15 12" xfId="22903" xr:uid="{00000000-0005-0000-0000-000077590000}"/>
    <cellStyle name="Normal 2 2 4 2 2 15 13" xfId="22904" xr:uid="{00000000-0005-0000-0000-000078590000}"/>
    <cellStyle name="Normal 2 2 4 2 2 15 14" xfId="22905" xr:uid="{00000000-0005-0000-0000-000079590000}"/>
    <cellStyle name="Normal 2 2 4 2 2 15 2" xfId="22906" xr:uid="{00000000-0005-0000-0000-00007A590000}"/>
    <cellStyle name="Normal 2 2 4 2 2 15 2 10" xfId="22907" xr:uid="{00000000-0005-0000-0000-00007B590000}"/>
    <cellStyle name="Normal 2 2 4 2 2 15 2 2" xfId="22908" xr:uid="{00000000-0005-0000-0000-00007C590000}"/>
    <cellStyle name="Normal 2 2 4 2 2 15 2 3" xfId="22909" xr:uid="{00000000-0005-0000-0000-00007D590000}"/>
    <cellStyle name="Normal 2 2 4 2 2 15 2 4" xfId="22910" xr:uid="{00000000-0005-0000-0000-00007E590000}"/>
    <cellStyle name="Normal 2 2 4 2 2 15 2 5" xfId="22911" xr:uid="{00000000-0005-0000-0000-00007F590000}"/>
    <cellStyle name="Normal 2 2 4 2 2 15 2 6" xfId="22912" xr:uid="{00000000-0005-0000-0000-000080590000}"/>
    <cellStyle name="Normal 2 2 4 2 2 15 2 7" xfId="22913" xr:uid="{00000000-0005-0000-0000-000081590000}"/>
    <cellStyle name="Normal 2 2 4 2 2 15 2 8" xfId="22914" xr:uid="{00000000-0005-0000-0000-000082590000}"/>
    <cellStyle name="Normal 2 2 4 2 2 15 2 9" xfId="22915" xr:uid="{00000000-0005-0000-0000-000083590000}"/>
    <cellStyle name="Normal 2 2 4 2 2 15 3" xfId="22916" xr:uid="{00000000-0005-0000-0000-000084590000}"/>
    <cellStyle name="Normal 2 2 4 2 2 15 3 10" xfId="22917" xr:uid="{00000000-0005-0000-0000-000085590000}"/>
    <cellStyle name="Normal 2 2 4 2 2 15 3 2" xfId="22918" xr:uid="{00000000-0005-0000-0000-000086590000}"/>
    <cellStyle name="Normal 2 2 4 2 2 15 3 3" xfId="22919" xr:uid="{00000000-0005-0000-0000-000087590000}"/>
    <cellStyle name="Normal 2 2 4 2 2 15 3 4" xfId="22920" xr:uid="{00000000-0005-0000-0000-000088590000}"/>
    <cellStyle name="Normal 2 2 4 2 2 15 3 5" xfId="22921" xr:uid="{00000000-0005-0000-0000-000089590000}"/>
    <cellStyle name="Normal 2 2 4 2 2 15 3 6" xfId="22922" xr:uid="{00000000-0005-0000-0000-00008A590000}"/>
    <cellStyle name="Normal 2 2 4 2 2 15 3 7" xfId="22923" xr:uid="{00000000-0005-0000-0000-00008B590000}"/>
    <cellStyle name="Normal 2 2 4 2 2 15 3 8" xfId="22924" xr:uid="{00000000-0005-0000-0000-00008C590000}"/>
    <cellStyle name="Normal 2 2 4 2 2 15 3 9" xfId="22925" xr:uid="{00000000-0005-0000-0000-00008D590000}"/>
    <cellStyle name="Normal 2 2 4 2 2 15 4" xfId="22926" xr:uid="{00000000-0005-0000-0000-00008E590000}"/>
    <cellStyle name="Normal 2 2 4 2 2 15 4 10" xfId="22927" xr:uid="{00000000-0005-0000-0000-00008F590000}"/>
    <cellStyle name="Normal 2 2 4 2 2 15 4 2" xfId="22928" xr:uid="{00000000-0005-0000-0000-000090590000}"/>
    <cellStyle name="Normal 2 2 4 2 2 15 4 3" xfId="22929" xr:uid="{00000000-0005-0000-0000-000091590000}"/>
    <cellStyle name="Normal 2 2 4 2 2 15 4 4" xfId="22930" xr:uid="{00000000-0005-0000-0000-000092590000}"/>
    <cellStyle name="Normal 2 2 4 2 2 15 4 5" xfId="22931" xr:uid="{00000000-0005-0000-0000-000093590000}"/>
    <cellStyle name="Normal 2 2 4 2 2 15 4 6" xfId="22932" xr:uid="{00000000-0005-0000-0000-000094590000}"/>
    <cellStyle name="Normal 2 2 4 2 2 15 4 7" xfId="22933" xr:uid="{00000000-0005-0000-0000-000095590000}"/>
    <cellStyle name="Normal 2 2 4 2 2 15 4 8" xfId="22934" xr:uid="{00000000-0005-0000-0000-000096590000}"/>
    <cellStyle name="Normal 2 2 4 2 2 15 4 9" xfId="22935" xr:uid="{00000000-0005-0000-0000-000097590000}"/>
    <cellStyle name="Normal 2 2 4 2 2 15 5" xfId="22936" xr:uid="{00000000-0005-0000-0000-000098590000}"/>
    <cellStyle name="Normal 2 2 4 2 2 15 5 10" xfId="22937" xr:uid="{00000000-0005-0000-0000-000099590000}"/>
    <cellStyle name="Normal 2 2 4 2 2 15 5 2" xfId="22938" xr:uid="{00000000-0005-0000-0000-00009A590000}"/>
    <cellStyle name="Normal 2 2 4 2 2 15 5 3" xfId="22939" xr:uid="{00000000-0005-0000-0000-00009B590000}"/>
    <cellStyle name="Normal 2 2 4 2 2 15 5 4" xfId="22940" xr:uid="{00000000-0005-0000-0000-00009C590000}"/>
    <cellStyle name="Normal 2 2 4 2 2 15 5 5" xfId="22941" xr:uid="{00000000-0005-0000-0000-00009D590000}"/>
    <cellStyle name="Normal 2 2 4 2 2 15 5 6" xfId="22942" xr:uid="{00000000-0005-0000-0000-00009E590000}"/>
    <cellStyle name="Normal 2 2 4 2 2 15 5 7" xfId="22943" xr:uid="{00000000-0005-0000-0000-00009F590000}"/>
    <cellStyle name="Normal 2 2 4 2 2 15 5 8" xfId="22944" xr:uid="{00000000-0005-0000-0000-0000A0590000}"/>
    <cellStyle name="Normal 2 2 4 2 2 15 5 9" xfId="22945" xr:uid="{00000000-0005-0000-0000-0000A1590000}"/>
    <cellStyle name="Normal 2 2 4 2 2 15 6" xfId="22946" xr:uid="{00000000-0005-0000-0000-0000A2590000}"/>
    <cellStyle name="Normal 2 2 4 2 2 15 7" xfId="22947" xr:uid="{00000000-0005-0000-0000-0000A3590000}"/>
    <cellStyle name="Normal 2 2 4 2 2 15 8" xfId="22948" xr:uid="{00000000-0005-0000-0000-0000A4590000}"/>
    <cellStyle name="Normal 2 2 4 2 2 15 9" xfId="22949" xr:uid="{00000000-0005-0000-0000-0000A5590000}"/>
    <cellStyle name="Normal 2 2 4 2 2 16" xfId="22950" xr:uid="{00000000-0005-0000-0000-0000A6590000}"/>
    <cellStyle name="Normal 2 2 4 2 2 16 10" xfId="22951" xr:uid="{00000000-0005-0000-0000-0000A7590000}"/>
    <cellStyle name="Normal 2 2 4 2 2 16 11" xfId="22952" xr:uid="{00000000-0005-0000-0000-0000A8590000}"/>
    <cellStyle name="Normal 2 2 4 2 2 16 12" xfId="22953" xr:uid="{00000000-0005-0000-0000-0000A9590000}"/>
    <cellStyle name="Normal 2 2 4 2 2 16 13" xfId="22954" xr:uid="{00000000-0005-0000-0000-0000AA590000}"/>
    <cellStyle name="Normal 2 2 4 2 2 16 14" xfId="22955" xr:uid="{00000000-0005-0000-0000-0000AB590000}"/>
    <cellStyle name="Normal 2 2 4 2 2 16 2" xfId="22956" xr:uid="{00000000-0005-0000-0000-0000AC590000}"/>
    <cellStyle name="Normal 2 2 4 2 2 16 2 10" xfId="22957" xr:uid="{00000000-0005-0000-0000-0000AD590000}"/>
    <cellStyle name="Normal 2 2 4 2 2 16 2 2" xfId="22958" xr:uid="{00000000-0005-0000-0000-0000AE590000}"/>
    <cellStyle name="Normal 2 2 4 2 2 16 2 3" xfId="22959" xr:uid="{00000000-0005-0000-0000-0000AF590000}"/>
    <cellStyle name="Normal 2 2 4 2 2 16 2 4" xfId="22960" xr:uid="{00000000-0005-0000-0000-0000B0590000}"/>
    <cellStyle name="Normal 2 2 4 2 2 16 2 5" xfId="22961" xr:uid="{00000000-0005-0000-0000-0000B1590000}"/>
    <cellStyle name="Normal 2 2 4 2 2 16 2 6" xfId="22962" xr:uid="{00000000-0005-0000-0000-0000B2590000}"/>
    <cellStyle name="Normal 2 2 4 2 2 16 2 7" xfId="22963" xr:uid="{00000000-0005-0000-0000-0000B3590000}"/>
    <cellStyle name="Normal 2 2 4 2 2 16 2 8" xfId="22964" xr:uid="{00000000-0005-0000-0000-0000B4590000}"/>
    <cellStyle name="Normal 2 2 4 2 2 16 2 9" xfId="22965" xr:uid="{00000000-0005-0000-0000-0000B5590000}"/>
    <cellStyle name="Normal 2 2 4 2 2 16 3" xfId="22966" xr:uid="{00000000-0005-0000-0000-0000B6590000}"/>
    <cellStyle name="Normal 2 2 4 2 2 16 3 10" xfId="22967" xr:uid="{00000000-0005-0000-0000-0000B7590000}"/>
    <cellStyle name="Normal 2 2 4 2 2 16 3 2" xfId="22968" xr:uid="{00000000-0005-0000-0000-0000B8590000}"/>
    <cellStyle name="Normal 2 2 4 2 2 16 3 3" xfId="22969" xr:uid="{00000000-0005-0000-0000-0000B9590000}"/>
    <cellStyle name="Normal 2 2 4 2 2 16 3 4" xfId="22970" xr:uid="{00000000-0005-0000-0000-0000BA590000}"/>
    <cellStyle name="Normal 2 2 4 2 2 16 3 5" xfId="22971" xr:uid="{00000000-0005-0000-0000-0000BB590000}"/>
    <cellStyle name="Normal 2 2 4 2 2 16 3 6" xfId="22972" xr:uid="{00000000-0005-0000-0000-0000BC590000}"/>
    <cellStyle name="Normal 2 2 4 2 2 16 3 7" xfId="22973" xr:uid="{00000000-0005-0000-0000-0000BD590000}"/>
    <cellStyle name="Normal 2 2 4 2 2 16 3 8" xfId="22974" xr:uid="{00000000-0005-0000-0000-0000BE590000}"/>
    <cellStyle name="Normal 2 2 4 2 2 16 3 9" xfId="22975" xr:uid="{00000000-0005-0000-0000-0000BF590000}"/>
    <cellStyle name="Normal 2 2 4 2 2 16 4" xfId="22976" xr:uid="{00000000-0005-0000-0000-0000C0590000}"/>
    <cellStyle name="Normal 2 2 4 2 2 16 4 10" xfId="22977" xr:uid="{00000000-0005-0000-0000-0000C1590000}"/>
    <cellStyle name="Normal 2 2 4 2 2 16 4 2" xfId="22978" xr:uid="{00000000-0005-0000-0000-0000C2590000}"/>
    <cellStyle name="Normal 2 2 4 2 2 16 4 3" xfId="22979" xr:uid="{00000000-0005-0000-0000-0000C3590000}"/>
    <cellStyle name="Normal 2 2 4 2 2 16 4 4" xfId="22980" xr:uid="{00000000-0005-0000-0000-0000C4590000}"/>
    <cellStyle name="Normal 2 2 4 2 2 16 4 5" xfId="22981" xr:uid="{00000000-0005-0000-0000-0000C5590000}"/>
    <cellStyle name="Normal 2 2 4 2 2 16 4 6" xfId="22982" xr:uid="{00000000-0005-0000-0000-0000C6590000}"/>
    <cellStyle name="Normal 2 2 4 2 2 16 4 7" xfId="22983" xr:uid="{00000000-0005-0000-0000-0000C7590000}"/>
    <cellStyle name="Normal 2 2 4 2 2 16 4 8" xfId="22984" xr:uid="{00000000-0005-0000-0000-0000C8590000}"/>
    <cellStyle name="Normal 2 2 4 2 2 16 4 9" xfId="22985" xr:uid="{00000000-0005-0000-0000-0000C9590000}"/>
    <cellStyle name="Normal 2 2 4 2 2 16 5" xfId="22986" xr:uid="{00000000-0005-0000-0000-0000CA590000}"/>
    <cellStyle name="Normal 2 2 4 2 2 16 5 10" xfId="22987" xr:uid="{00000000-0005-0000-0000-0000CB590000}"/>
    <cellStyle name="Normal 2 2 4 2 2 16 5 2" xfId="22988" xr:uid="{00000000-0005-0000-0000-0000CC590000}"/>
    <cellStyle name="Normal 2 2 4 2 2 16 5 3" xfId="22989" xr:uid="{00000000-0005-0000-0000-0000CD590000}"/>
    <cellStyle name="Normal 2 2 4 2 2 16 5 4" xfId="22990" xr:uid="{00000000-0005-0000-0000-0000CE590000}"/>
    <cellStyle name="Normal 2 2 4 2 2 16 5 5" xfId="22991" xr:uid="{00000000-0005-0000-0000-0000CF590000}"/>
    <cellStyle name="Normal 2 2 4 2 2 16 5 6" xfId="22992" xr:uid="{00000000-0005-0000-0000-0000D0590000}"/>
    <cellStyle name="Normal 2 2 4 2 2 16 5 7" xfId="22993" xr:uid="{00000000-0005-0000-0000-0000D1590000}"/>
    <cellStyle name="Normal 2 2 4 2 2 16 5 8" xfId="22994" xr:uid="{00000000-0005-0000-0000-0000D2590000}"/>
    <cellStyle name="Normal 2 2 4 2 2 16 5 9" xfId="22995" xr:uid="{00000000-0005-0000-0000-0000D3590000}"/>
    <cellStyle name="Normal 2 2 4 2 2 16 6" xfId="22996" xr:uid="{00000000-0005-0000-0000-0000D4590000}"/>
    <cellStyle name="Normal 2 2 4 2 2 16 7" xfId="22997" xr:uid="{00000000-0005-0000-0000-0000D5590000}"/>
    <cellStyle name="Normal 2 2 4 2 2 16 8" xfId="22998" xr:uid="{00000000-0005-0000-0000-0000D6590000}"/>
    <cellStyle name="Normal 2 2 4 2 2 16 9" xfId="22999" xr:uid="{00000000-0005-0000-0000-0000D7590000}"/>
    <cellStyle name="Normal 2 2 4 2 2 17" xfId="23000" xr:uid="{00000000-0005-0000-0000-0000D8590000}"/>
    <cellStyle name="Normal 2 2 4 2 2 17 10" xfId="23001" xr:uid="{00000000-0005-0000-0000-0000D9590000}"/>
    <cellStyle name="Normal 2 2 4 2 2 17 11" xfId="23002" xr:uid="{00000000-0005-0000-0000-0000DA590000}"/>
    <cellStyle name="Normal 2 2 4 2 2 17 12" xfId="23003" xr:uid="{00000000-0005-0000-0000-0000DB590000}"/>
    <cellStyle name="Normal 2 2 4 2 2 17 13" xfId="23004" xr:uid="{00000000-0005-0000-0000-0000DC590000}"/>
    <cellStyle name="Normal 2 2 4 2 2 17 14" xfId="23005" xr:uid="{00000000-0005-0000-0000-0000DD590000}"/>
    <cellStyle name="Normal 2 2 4 2 2 17 2" xfId="23006" xr:uid="{00000000-0005-0000-0000-0000DE590000}"/>
    <cellStyle name="Normal 2 2 4 2 2 17 2 10" xfId="23007" xr:uid="{00000000-0005-0000-0000-0000DF590000}"/>
    <cellStyle name="Normal 2 2 4 2 2 17 2 2" xfId="23008" xr:uid="{00000000-0005-0000-0000-0000E0590000}"/>
    <cellStyle name="Normal 2 2 4 2 2 17 2 3" xfId="23009" xr:uid="{00000000-0005-0000-0000-0000E1590000}"/>
    <cellStyle name="Normal 2 2 4 2 2 17 2 4" xfId="23010" xr:uid="{00000000-0005-0000-0000-0000E2590000}"/>
    <cellStyle name="Normal 2 2 4 2 2 17 2 5" xfId="23011" xr:uid="{00000000-0005-0000-0000-0000E3590000}"/>
    <cellStyle name="Normal 2 2 4 2 2 17 2 6" xfId="23012" xr:uid="{00000000-0005-0000-0000-0000E4590000}"/>
    <cellStyle name="Normal 2 2 4 2 2 17 2 7" xfId="23013" xr:uid="{00000000-0005-0000-0000-0000E5590000}"/>
    <cellStyle name="Normal 2 2 4 2 2 17 2 8" xfId="23014" xr:uid="{00000000-0005-0000-0000-0000E6590000}"/>
    <cellStyle name="Normal 2 2 4 2 2 17 2 9" xfId="23015" xr:uid="{00000000-0005-0000-0000-0000E7590000}"/>
    <cellStyle name="Normal 2 2 4 2 2 17 3" xfId="23016" xr:uid="{00000000-0005-0000-0000-0000E8590000}"/>
    <cellStyle name="Normal 2 2 4 2 2 17 3 10" xfId="23017" xr:uid="{00000000-0005-0000-0000-0000E9590000}"/>
    <cellStyle name="Normal 2 2 4 2 2 17 3 2" xfId="23018" xr:uid="{00000000-0005-0000-0000-0000EA590000}"/>
    <cellStyle name="Normal 2 2 4 2 2 17 3 3" xfId="23019" xr:uid="{00000000-0005-0000-0000-0000EB590000}"/>
    <cellStyle name="Normal 2 2 4 2 2 17 3 4" xfId="23020" xr:uid="{00000000-0005-0000-0000-0000EC590000}"/>
    <cellStyle name="Normal 2 2 4 2 2 17 3 5" xfId="23021" xr:uid="{00000000-0005-0000-0000-0000ED590000}"/>
    <cellStyle name="Normal 2 2 4 2 2 17 3 6" xfId="23022" xr:uid="{00000000-0005-0000-0000-0000EE590000}"/>
    <cellStyle name="Normal 2 2 4 2 2 17 3 7" xfId="23023" xr:uid="{00000000-0005-0000-0000-0000EF590000}"/>
    <cellStyle name="Normal 2 2 4 2 2 17 3 8" xfId="23024" xr:uid="{00000000-0005-0000-0000-0000F0590000}"/>
    <cellStyle name="Normal 2 2 4 2 2 17 3 9" xfId="23025" xr:uid="{00000000-0005-0000-0000-0000F1590000}"/>
    <cellStyle name="Normal 2 2 4 2 2 17 4" xfId="23026" xr:uid="{00000000-0005-0000-0000-0000F2590000}"/>
    <cellStyle name="Normal 2 2 4 2 2 17 4 10" xfId="23027" xr:uid="{00000000-0005-0000-0000-0000F3590000}"/>
    <cellStyle name="Normal 2 2 4 2 2 17 4 2" xfId="23028" xr:uid="{00000000-0005-0000-0000-0000F4590000}"/>
    <cellStyle name="Normal 2 2 4 2 2 17 4 3" xfId="23029" xr:uid="{00000000-0005-0000-0000-0000F5590000}"/>
    <cellStyle name="Normal 2 2 4 2 2 17 4 4" xfId="23030" xr:uid="{00000000-0005-0000-0000-0000F6590000}"/>
    <cellStyle name="Normal 2 2 4 2 2 17 4 5" xfId="23031" xr:uid="{00000000-0005-0000-0000-0000F7590000}"/>
    <cellStyle name="Normal 2 2 4 2 2 17 4 6" xfId="23032" xr:uid="{00000000-0005-0000-0000-0000F8590000}"/>
    <cellStyle name="Normal 2 2 4 2 2 17 4 7" xfId="23033" xr:uid="{00000000-0005-0000-0000-0000F9590000}"/>
    <cellStyle name="Normal 2 2 4 2 2 17 4 8" xfId="23034" xr:uid="{00000000-0005-0000-0000-0000FA590000}"/>
    <cellStyle name="Normal 2 2 4 2 2 17 4 9" xfId="23035" xr:uid="{00000000-0005-0000-0000-0000FB590000}"/>
    <cellStyle name="Normal 2 2 4 2 2 17 5" xfId="23036" xr:uid="{00000000-0005-0000-0000-0000FC590000}"/>
    <cellStyle name="Normal 2 2 4 2 2 17 5 10" xfId="23037" xr:uid="{00000000-0005-0000-0000-0000FD590000}"/>
    <cellStyle name="Normal 2 2 4 2 2 17 5 2" xfId="23038" xr:uid="{00000000-0005-0000-0000-0000FE590000}"/>
    <cellStyle name="Normal 2 2 4 2 2 17 5 3" xfId="23039" xr:uid="{00000000-0005-0000-0000-0000FF590000}"/>
    <cellStyle name="Normal 2 2 4 2 2 17 5 4" xfId="23040" xr:uid="{00000000-0005-0000-0000-0000005A0000}"/>
    <cellStyle name="Normal 2 2 4 2 2 17 5 5" xfId="23041" xr:uid="{00000000-0005-0000-0000-0000015A0000}"/>
    <cellStyle name="Normal 2 2 4 2 2 17 5 6" xfId="23042" xr:uid="{00000000-0005-0000-0000-0000025A0000}"/>
    <cellStyle name="Normal 2 2 4 2 2 17 5 7" xfId="23043" xr:uid="{00000000-0005-0000-0000-0000035A0000}"/>
    <cellStyle name="Normal 2 2 4 2 2 17 5 8" xfId="23044" xr:uid="{00000000-0005-0000-0000-0000045A0000}"/>
    <cellStyle name="Normal 2 2 4 2 2 17 5 9" xfId="23045" xr:uid="{00000000-0005-0000-0000-0000055A0000}"/>
    <cellStyle name="Normal 2 2 4 2 2 17 6" xfId="23046" xr:uid="{00000000-0005-0000-0000-0000065A0000}"/>
    <cellStyle name="Normal 2 2 4 2 2 17 7" xfId="23047" xr:uid="{00000000-0005-0000-0000-0000075A0000}"/>
    <cellStyle name="Normal 2 2 4 2 2 17 8" xfId="23048" xr:uid="{00000000-0005-0000-0000-0000085A0000}"/>
    <cellStyle name="Normal 2 2 4 2 2 17 9" xfId="23049" xr:uid="{00000000-0005-0000-0000-0000095A0000}"/>
    <cellStyle name="Normal 2 2 4 2 2 18" xfId="23050" xr:uid="{00000000-0005-0000-0000-00000A5A0000}"/>
    <cellStyle name="Normal 2 2 4 2 2 18 10" xfId="23051" xr:uid="{00000000-0005-0000-0000-00000B5A0000}"/>
    <cellStyle name="Normal 2 2 4 2 2 18 11" xfId="23052" xr:uid="{00000000-0005-0000-0000-00000C5A0000}"/>
    <cellStyle name="Normal 2 2 4 2 2 18 12" xfId="23053" xr:uid="{00000000-0005-0000-0000-00000D5A0000}"/>
    <cellStyle name="Normal 2 2 4 2 2 18 13" xfId="23054" xr:uid="{00000000-0005-0000-0000-00000E5A0000}"/>
    <cellStyle name="Normal 2 2 4 2 2 18 14" xfId="23055" xr:uid="{00000000-0005-0000-0000-00000F5A0000}"/>
    <cellStyle name="Normal 2 2 4 2 2 18 2" xfId="23056" xr:uid="{00000000-0005-0000-0000-0000105A0000}"/>
    <cellStyle name="Normal 2 2 4 2 2 18 2 10" xfId="23057" xr:uid="{00000000-0005-0000-0000-0000115A0000}"/>
    <cellStyle name="Normal 2 2 4 2 2 18 2 2" xfId="23058" xr:uid="{00000000-0005-0000-0000-0000125A0000}"/>
    <cellStyle name="Normal 2 2 4 2 2 18 2 3" xfId="23059" xr:uid="{00000000-0005-0000-0000-0000135A0000}"/>
    <cellStyle name="Normal 2 2 4 2 2 18 2 4" xfId="23060" xr:uid="{00000000-0005-0000-0000-0000145A0000}"/>
    <cellStyle name="Normal 2 2 4 2 2 18 2 5" xfId="23061" xr:uid="{00000000-0005-0000-0000-0000155A0000}"/>
    <cellStyle name="Normal 2 2 4 2 2 18 2 6" xfId="23062" xr:uid="{00000000-0005-0000-0000-0000165A0000}"/>
    <cellStyle name="Normal 2 2 4 2 2 18 2 7" xfId="23063" xr:uid="{00000000-0005-0000-0000-0000175A0000}"/>
    <cellStyle name="Normal 2 2 4 2 2 18 2 8" xfId="23064" xr:uid="{00000000-0005-0000-0000-0000185A0000}"/>
    <cellStyle name="Normal 2 2 4 2 2 18 2 9" xfId="23065" xr:uid="{00000000-0005-0000-0000-0000195A0000}"/>
    <cellStyle name="Normal 2 2 4 2 2 18 3" xfId="23066" xr:uid="{00000000-0005-0000-0000-00001A5A0000}"/>
    <cellStyle name="Normal 2 2 4 2 2 18 3 10" xfId="23067" xr:uid="{00000000-0005-0000-0000-00001B5A0000}"/>
    <cellStyle name="Normal 2 2 4 2 2 18 3 2" xfId="23068" xr:uid="{00000000-0005-0000-0000-00001C5A0000}"/>
    <cellStyle name="Normal 2 2 4 2 2 18 3 3" xfId="23069" xr:uid="{00000000-0005-0000-0000-00001D5A0000}"/>
    <cellStyle name="Normal 2 2 4 2 2 18 3 4" xfId="23070" xr:uid="{00000000-0005-0000-0000-00001E5A0000}"/>
    <cellStyle name="Normal 2 2 4 2 2 18 3 5" xfId="23071" xr:uid="{00000000-0005-0000-0000-00001F5A0000}"/>
    <cellStyle name="Normal 2 2 4 2 2 18 3 6" xfId="23072" xr:uid="{00000000-0005-0000-0000-0000205A0000}"/>
    <cellStyle name="Normal 2 2 4 2 2 18 3 7" xfId="23073" xr:uid="{00000000-0005-0000-0000-0000215A0000}"/>
    <cellStyle name="Normal 2 2 4 2 2 18 3 8" xfId="23074" xr:uid="{00000000-0005-0000-0000-0000225A0000}"/>
    <cellStyle name="Normal 2 2 4 2 2 18 3 9" xfId="23075" xr:uid="{00000000-0005-0000-0000-0000235A0000}"/>
    <cellStyle name="Normal 2 2 4 2 2 18 4" xfId="23076" xr:uid="{00000000-0005-0000-0000-0000245A0000}"/>
    <cellStyle name="Normal 2 2 4 2 2 18 4 10" xfId="23077" xr:uid="{00000000-0005-0000-0000-0000255A0000}"/>
    <cellStyle name="Normal 2 2 4 2 2 18 4 2" xfId="23078" xr:uid="{00000000-0005-0000-0000-0000265A0000}"/>
    <cellStyle name="Normal 2 2 4 2 2 18 4 3" xfId="23079" xr:uid="{00000000-0005-0000-0000-0000275A0000}"/>
    <cellStyle name="Normal 2 2 4 2 2 18 4 4" xfId="23080" xr:uid="{00000000-0005-0000-0000-0000285A0000}"/>
    <cellStyle name="Normal 2 2 4 2 2 18 4 5" xfId="23081" xr:uid="{00000000-0005-0000-0000-0000295A0000}"/>
    <cellStyle name="Normal 2 2 4 2 2 18 4 6" xfId="23082" xr:uid="{00000000-0005-0000-0000-00002A5A0000}"/>
    <cellStyle name="Normal 2 2 4 2 2 18 4 7" xfId="23083" xr:uid="{00000000-0005-0000-0000-00002B5A0000}"/>
    <cellStyle name="Normal 2 2 4 2 2 18 4 8" xfId="23084" xr:uid="{00000000-0005-0000-0000-00002C5A0000}"/>
    <cellStyle name="Normal 2 2 4 2 2 18 4 9" xfId="23085" xr:uid="{00000000-0005-0000-0000-00002D5A0000}"/>
    <cellStyle name="Normal 2 2 4 2 2 18 5" xfId="23086" xr:uid="{00000000-0005-0000-0000-00002E5A0000}"/>
    <cellStyle name="Normal 2 2 4 2 2 18 5 10" xfId="23087" xr:uid="{00000000-0005-0000-0000-00002F5A0000}"/>
    <cellStyle name="Normal 2 2 4 2 2 18 5 2" xfId="23088" xr:uid="{00000000-0005-0000-0000-0000305A0000}"/>
    <cellStyle name="Normal 2 2 4 2 2 18 5 3" xfId="23089" xr:uid="{00000000-0005-0000-0000-0000315A0000}"/>
    <cellStyle name="Normal 2 2 4 2 2 18 5 4" xfId="23090" xr:uid="{00000000-0005-0000-0000-0000325A0000}"/>
    <cellStyle name="Normal 2 2 4 2 2 18 5 5" xfId="23091" xr:uid="{00000000-0005-0000-0000-0000335A0000}"/>
    <cellStyle name="Normal 2 2 4 2 2 18 5 6" xfId="23092" xr:uid="{00000000-0005-0000-0000-0000345A0000}"/>
    <cellStyle name="Normal 2 2 4 2 2 18 5 7" xfId="23093" xr:uid="{00000000-0005-0000-0000-0000355A0000}"/>
    <cellStyle name="Normal 2 2 4 2 2 18 5 8" xfId="23094" xr:uid="{00000000-0005-0000-0000-0000365A0000}"/>
    <cellStyle name="Normal 2 2 4 2 2 18 5 9" xfId="23095" xr:uid="{00000000-0005-0000-0000-0000375A0000}"/>
    <cellStyle name="Normal 2 2 4 2 2 18 6" xfId="23096" xr:uid="{00000000-0005-0000-0000-0000385A0000}"/>
    <cellStyle name="Normal 2 2 4 2 2 18 7" xfId="23097" xr:uid="{00000000-0005-0000-0000-0000395A0000}"/>
    <cellStyle name="Normal 2 2 4 2 2 18 8" xfId="23098" xr:uid="{00000000-0005-0000-0000-00003A5A0000}"/>
    <cellStyle name="Normal 2 2 4 2 2 18 9" xfId="23099" xr:uid="{00000000-0005-0000-0000-00003B5A0000}"/>
    <cellStyle name="Normal 2 2 4 2 2 19" xfId="23100" xr:uid="{00000000-0005-0000-0000-00003C5A0000}"/>
    <cellStyle name="Normal 2 2 4 2 2 19 10" xfId="23101" xr:uid="{00000000-0005-0000-0000-00003D5A0000}"/>
    <cellStyle name="Normal 2 2 4 2 2 19 11" xfId="23102" xr:uid="{00000000-0005-0000-0000-00003E5A0000}"/>
    <cellStyle name="Normal 2 2 4 2 2 19 12" xfId="23103" xr:uid="{00000000-0005-0000-0000-00003F5A0000}"/>
    <cellStyle name="Normal 2 2 4 2 2 19 13" xfId="23104" xr:uid="{00000000-0005-0000-0000-0000405A0000}"/>
    <cellStyle name="Normal 2 2 4 2 2 19 14" xfId="23105" xr:uid="{00000000-0005-0000-0000-0000415A0000}"/>
    <cellStyle name="Normal 2 2 4 2 2 19 2" xfId="23106" xr:uid="{00000000-0005-0000-0000-0000425A0000}"/>
    <cellStyle name="Normal 2 2 4 2 2 19 2 10" xfId="23107" xr:uid="{00000000-0005-0000-0000-0000435A0000}"/>
    <cellStyle name="Normal 2 2 4 2 2 19 2 2" xfId="23108" xr:uid="{00000000-0005-0000-0000-0000445A0000}"/>
    <cellStyle name="Normal 2 2 4 2 2 19 2 3" xfId="23109" xr:uid="{00000000-0005-0000-0000-0000455A0000}"/>
    <cellStyle name="Normal 2 2 4 2 2 19 2 4" xfId="23110" xr:uid="{00000000-0005-0000-0000-0000465A0000}"/>
    <cellStyle name="Normal 2 2 4 2 2 19 2 5" xfId="23111" xr:uid="{00000000-0005-0000-0000-0000475A0000}"/>
    <cellStyle name="Normal 2 2 4 2 2 19 2 6" xfId="23112" xr:uid="{00000000-0005-0000-0000-0000485A0000}"/>
    <cellStyle name="Normal 2 2 4 2 2 19 2 7" xfId="23113" xr:uid="{00000000-0005-0000-0000-0000495A0000}"/>
    <cellStyle name="Normal 2 2 4 2 2 19 2 8" xfId="23114" xr:uid="{00000000-0005-0000-0000-00004A5A0000}"/>
    <cellStyle name="Normal 2 2 4 2 2 19 2 9" xfId="23115" xr:uid="{00000000-0005-0000-0000-00004B5A0000}"/>
    <cellStyle name="Normal 2 2 4 2 2 19 3" xfId="23116" xr:uid="{00000000-0005-0000-0000-00004C5A0000}"/>
    <cellStyle name="Normal 2 2 4 2 2 19 3 10" xfId="23117" xr:uid="{00000000-0005-0000-0000-00004D5A0000}"/>
    <cellStyle name="Normal 2 2 4 2 2 19 3 2" xfId="23118" xr:uid="{00000000-0005-0000-0000-00004E5A0000}"/>
    <cellStyle name="Normal 2 2 4 2 2 19 3 3" xfId="23119" xr:uid="{00000000-0005-0000-0000-00004F5A0000}"/>
    <cellStyle name="Normal 2 2 4 2 2 19 3 4" xfId="23120" xr:uid="{00000000-0005-0000-0000-0000505A0000}"/>
    <cellStyle name="Normal 2 2 4 2 2 19 3 5" xfId="23121" xr:uid="{00000000-0005-0000-0000-0000515A0000}"/>
    <cellStyle name="Normal 2 2 4 2 2 19 3 6" xfId="23122" xr:uid="{00000000-0005-0000-0000-0000525A0000}"/>
    <cellStyle name="Normal 2 2 4 2 2 19 3 7" xfId="23123" xr:uid="{00000000-0005-0000-0000-0000535A0000}"/>
    <cellStyle name="Normal 2 2 4 2 2 19 3 8" xfId="23124" xr:uid="{00000000-0005-0000-0000-0000545A0000}"/>
    <cellStyle name="Normal 2 2 4 2 2 19 3 9" xfId="23125" xr:uid="{00000000-0005-0000-0000-0000555A0000}"/>
    <cellStyle name="Normal 2 2 4 2 2 19 4" xfId="23126" xr:uid="{00000000-0005-0000-0000-0000565A0000}"/>
    <cellStyle name="Normal 2 2 4 2 2 19 4 10" xfId="23127" xr:uid="{00000000-0005-0000-0000-0000575A0000}"/>
    <cellStyle name="Normal 2 2 4 2 2 19 4 2" xfId="23128" xr:uid="{00000000-0005-0000-0000-0000585A0000}"/>
    <cellStyle name="Normal 2 2 4 2 2 19 4 3" xfId="23129" xr:uid="{00000000-0005-0000-0000-0000595A0000}"/>
    <cellStyle name="Normal 2 2 4 2 2 19 4 4" xfId="23130" xr:uid="{00000000-0005-0000-0000-00005A5A0000}"/>
    <cellStyle name="Normal 2 2 4 2 2 19 4 5" xfId="23131" xr:uid="{00000000-0005-0000-0000-00005B5A0000}"/>
    <cellStyle name="Normal 2 2 4 2 2 19 4 6" xfId="23132" xr:uid="{00000000-0005-0000-0000-00005C5A0000}"/>
    <cellStyle name="Normal 2 2 4 2 2 19 4 7" xfId="23133" xr:uid="{00000000-0005-0000-0000-00005D5A0000}"/>
    <cellStyle name="Normal 2 2 4 2 2 19 4 8" xfId="23134" xr:uid="{00000000-0005-0000-0000-00005E5A0000}"/>
    <cellStyle name="Normal 2 2 4 2 2 19 4 9" xfId="23135" xr:uid="{00000000-0005-0000-0000-00005F5A0000}"/>
    <cellStyle name="Normal 2 2 4 2 2 19 5" xfId="23136" xr:uid="{00000000-0005-0000-0000-0000605A0000}"/>
    <cellStyle name="Normal 2 2 4 2 2 19 5 10" xfId="23137" xr:uid="{00000000-0005-0000-0000-0000615A0000}"/>
    <cellStyle name="Normal 2 2 4 2 2 19 5 2" xfId="23138" xr:uid="{00000000-0005-0000-0000-0000625A0000}"/>
    <cellStyle name="Normal 2 2 4 2 2 19 5 3" xfId="23139" xr:uid="{00000000-0005-0000-0000-0000635A0000}"/>
    <cellStyle name="Normal 2 2 4 2 2 19 5 4" xfId="23140" xr:uid="{00000000-0005-0000-0000-0000645A0000}"/>
    <cellStyle name="Normal 2 2 4 2 2 19 5 5" xfId="23141" xr:uid="{00000000-0005-0000-0000-0000655A0000}"/>
    <cellStyle name="Normal 2 2 4 2 2 19 5 6" xfId="23142" xr:uid="{00000000-0005-0000-0000-0000665A0000}"/>
    <cellStyle name="Normal 2 2 4 2 2 19 5 7" xfId="23143" xr:uid="{00000000-0005-0000-0000-0000675A0000}"/>
    <cellStyle name="Normal 2 2 4 2 2 19 5 8" xfId="23144" xr:uid="{00000000-0005-0000-0000-0000685A0000}"/>
    <cellStyle name="Normal 2 2 4 2 2 19 5 9" xfId="23145" xr:uid="{00000000-0005-0000-0000-0000695A0000}"/>
    <cellStyle name="Normal 2 2 4 2 2 19 6" xfId="23146" xr:uid="{00000000-0005-0000-0000-00006A5A0000}"/>
    <cellStyle name="Normal 2 2 4 2 2 19 7" xfId="23147" xr:uid="{00000000-0005-0000-0000-00006B5A0000}"/>
    <cellStyle name="Normal 2 2 4 2 2 19 8" xfId="23148" xr:uid="{00000000-0005-0000-0000-00006C5A0000}"/>
    <cellStyle name="Normal 2 2 4 2 2 19 9" xfId="23149" xr:uid="{00000000-0005-0000-0000-00006D5A0000}"/>
    <cellStyle name="Normal 2 2 4 2 2 2" xfId="23150" xr:uid="{00000000-0005-0000-0000-00006E5A0000}"/>
    <cellStyle name="Normal 2 2 4 2 2 2 10" xfId="23151" xr:uid="{00000000-0005-0000-0000-00006F5A0000}"/>
    <cellStyle name="Normal 2 2 4 2 2 2 11" xfId="23152" xr:uid="{00000000-0005-0000-0000-0000705A0000}"/>
    <cellStyle name="Normal 2 2 4 2 2 2 12" xfId="23153" xr:uid="{00000000-0005-0000-0000-0000715A0000}"/>
    <cellStyle name="Normal 2 2 4 2 2 2 13" xfId="23154" xr:uid="{00000000-0005-0000-0000-0000725A0000}"/>
    <cellStyle name="Normal 2 2 4 2 2 2 14" xfId="23155" xr:uid="{00000000-0005-0000-0000-0000735A0000}"/>
    <cellStyle name="Normal 2 2 4 2 2 2 2" xfId="23156" xr:uid="{00000000-0005-0000-0000-0000745A0000}"/>
    <cellStyle name="Normal 2 2 4 2 2 2 2 10" xfId="23157" xr:uid="{00000000-0005-0000-0000-0000755A0000}"/>
    <cellStyle name="Normal 2 2 4 2 2 2 2 2" xfId="23158" xr:uid="{00000000-0005-0000-0000-0000765A0000}"/>
    <cellStyle name="Normal 2 2 4 2 2 2 2 3" xfId="23159" xr:uid="{00000000-0005-0000-0000-0000775A0000}"/>
    <cellStyle name="Normal 2 2 4 2 2 2 2 4" xfId="23160" xr:uid="{00000000-0005-0000-0000-0000785A0000}"/>
    <cellStyle name="Normal 2 2 4 2 2 2 2 5" xfId="23161" xr:uid="{00000000-0005-0000-0000-0000795A0000}"/>
    <cellStyle name="Normal 2 2 4 2 2 2 2 6" xfId="23162" xr:uid="{00000000-0005-0000-0000-00007A5A0000}"/>
    <cellStyle name="Normal 2 2 4 2 2 2 2 7" xfId="23163" xr:uid="{00000000-0005-0000-0000-00007B5A0000}"/>
    <cellStyle name="Normal 2 2 4 2 2 2 2 8" xfId="23164" xr:uid="{00000000-0005-0000-0000-00007C5A0000}"/>
    <cellStyle name="Normal 2 2 4 2 2 2 2 9" xfId="23165" xr:uid="{00000000-0005-0000-0000-00007D5A0000}"/>
    <cellStyle name="Normal 2 2 4 2 2 2 3" xfId="23166" xr:uid="{00000000-0005-0000-0000-00007E5A0000}"/>
    <cellStyle name="Normal 2 2 4 2 2 2 3 10" xfId="23167" xr:uid="{00000000-0005-0000-0000-00007F5A0000}"/>
    <cellStyle name="Normal 2 2 4 2 2 2 3 2" xfId="23168" xr:uid="{00000000-0005-0000-0000-0000805A0000}"/>
    <cellStyle name="Normal 2 2 4 2 2 2 3 3" xfId="23169" xr:uid="{00000000-0005-0000-0000-0000815A0000}"/>
    <cellStyle name="Normal 2 2 4 2 2 2 3 4" xfId="23170" xr:uid="{00000000-0005-0000-0000-0000825A0000}"/>
    <cellStyle name="Normal 2 2 4 2 2 2 3 5" xfId="23171" xr:uid="{00000000-0005-0000-0000-0000835A0000}"/>
    <cellStyle name="Normal 2 2 4 2 2 2 3 6" xfId="23172" xr:uid="{00000000-0005-0000-0000-0000845A0000}"/>
    <cellStyle name="Normal 2 2 4 2 2 2 3 7" xfId="23173" xr:uid="{00000000-0005-0000-0000-0000855A0000}"/>
    <cellStyle name="Normal 2 2 4 2 2 2 3 8" xfId="23174" xr:uid="{00000000-0005-0000-0000-0000865A0000}"/>
    <cellStyle name="Normal 2 2 4 2 2 2 3 9" xfId="23175" xr:uid="{00000000-0005-0000-0000-0000875A0000}"/>
    <cellStyle name="Normal 2 2 4 2 2 2 4" xfId="23176" xr:uid="{00000000-0005-0000-0000-0000885A0000}"/>
    <cellStyle name="Normal 2 2 4 2 2 2 4 10" xfId="23177" xr:uid="{00000000-0005-0000-0000-0000895A0000}"/>
    <cellStyle name="Normal 2 2 4 2 2 2 4 2" xfId="23178" xr:uid="{00000000-0005-0000-0000-00008A5A0000}"/>
    <cellStyle name="Normal 2 2 4 2 2 2 4 3" xfId="23179" xr:uid="{00000000-0005-0000-0000-00008B5A0000}"/>
    <cellStyle name="Normal 2 2 4 2 2 2 4 4" xfId="23180" xr:uid="{00000000-0005-0000-0000-00008C5A0000}"/>
    <cellStyle name="Normal 2 2 4 2 2 2 4 5" xfId="23181" xr:uid="{00000000-0005-0000-0000-00008D5A0000}"/>
    <cellStyle name="Normal 2 2 4 2 2 2 4 6" xfId="23182" xr:uid="{00000000-0005-0000-0000-00008E5A0000}"/>
    <cellStyle name="Normal 2 2 4 2 2 2 4 7" xfId="23183" xr:uid="{00000000-0005-0000-0000-00008F5A0000}"/>
    <cellStyle name="Normal 2 2 4 2 2 2 4 8" xfId="23184" xr:uid="{00000000-0005-0000-0000-0000905A0000}"/>
    <cellStyle name="Normal 2 2 4 2 2 2 4 9" xfId="23185" xr:uid="{00000000-0005-0000-0000-0000915A0000}"/>
    <cellStyle name="Normal 2 2 4 2 2 2 5" xfId="23186" xr:uid="{00000000-0005-0000-0000-0000925A0000}"/>
    <cellStyle name="Normal 2 2 4 2 2 2 5 10" xfId="23187" xr:uid="{00000000-0005-0000-0000-0000935A0000}"/>
    <cellStyle name="Normal 2 2 4 2 2 2 5 2" xfId="23188" xr:uid="{00000000-0005-0000-0000-0000945A0000}"/>
    <cellStyle name="Normal 2 2 4 2 2 2 5 3" xfId="23189" xr:uid="{00000000-0005-0000-0000-0000955A0000}"/>
    <cellStyle name="Normal 2 2 4 2 2 2 5 4" xfId="23190" xr:uid="{00000000-0005-0000-0000-0000965A0000}"/>
    <cellStyle name="Normal 2 2 4 2 2 2 5 5" xfId="23191" xr:uid="{00000000-0005-0000-0000-0000975A0000}"/>
    <cellStyle name="Normal 2 2 4 2 2 2 5 6" xfId="23192" xr:uid="{00000000-0005-0000-0000-0000985A0000}"/>
    <cellStyle name="Normal 2 2 4 2 2 2 5 7" xfId="23193" xr:uid="{00000000-0005-0000-0000-0000995A0000}"/>
    <cellStyle name="Normal 2 2 4 2 2 2 5 8" xfId="23194" xr:uid="{00000000-0005-0000-0000-00009A5A0000}"/>
    <cellStyle name="Normal 2 2 4 2 2 2 5 9" xfId="23195" xr:uid="{00000000-0005-0000-0000-00009B5A0000}"/>
    <cellStyle name="Normal 2 2 4 2 2 2 6" xfId="23196" xr:uid="{00000000-0005-0000-0000-00009C5A0000}"/>
    <cellStyle name="Normal 2 2 4 2 2 2 7" xfId="23197" xr:uid="{00000000-0005-0000-0000-00009D5A0000}"/>
    <cellStyle name="Normal 2 2 4 2 2 2 8" xfId="23198" xr:uid="{00000000-0005-0000-0000-00009E5A0000}"/>
    <cellStyle name="Normal 2 2 4 2 2 2 9" xfId="23199" xr:uid="{00000000-0005-0000-0000-00009F5A0000}"/>
    <cellStyle name="Normal 2 2 4 2 2 20" xfId="23200" xr:uid="{00000000-0005-0000-0000-0000A05A0000}"/>
    <cellStyle name="Normal 2 2 4 2 2 20 10" xfId="23201" xr:uid="{00000000-0005-0000-0000-0000A15A0000}"/>
    <cellStyle name="Normal 2 2 4 2 2 20 11" xfId="23202" xr:uid="{00000000-0005-0000-0000-0000A25A0000}"/>
    <cellStyle name="Normal 2 2 4 2 2 20 12" xfId="23203" xr:uid="{00000000-0005-0000-0000-0000A35A0000}"/>
    <cellStyle name="Normal 2 2 4 2 2 20 13" xfId="23204" xr:uid="{00000000-0005-0000-0000-0000A45A0000}"/>
    <cellStyle name="Normal 2 2 4 2 2 20 14" xfId="23205" xr:uid="{00000000-0005-0000-0000-0000A55A0000}"/>
    <cellStyle name="Normal 2 2 4 2 2 20 2" xfId="23206" xr:uid="{00000000-0005-0000-0000-0000A65A0000}"/>
    <cellStyle name="Normal 2 2 4 2 2 20 2 10" xfId="23207" xr:uid="{00000000-0005-0000-0000-0000A75A0000}"/>
    <cellStyle name="Normal 2 2 4 2 2 20 2 2" xfId="23208" xr:uid="{00000000-0005-0000-0000-0000A85A0000}"/>
    <cellStyle name="Normal 2 2 4 2 2 20 2 3" xfId="23209" xr:uid="{00000000-0005-0000-0000-0000A95A0000}"/>
    <cellStyle name="Normal 2 2 4 2 2 20 2 4" xfId="23210" xr:uid="{00000000-0005-0000-0000-0000AA5A0000}"/>
    <cellStyle name="Normal 2 2 4 2 2 20 2 5" xfId="23211" xr:uid="{00000000-0005-0000-0000-0000AB5A0000}"/>
    <cellStyle name="Normal 2 2 4 2 2 20 2 6" xfId="23212" xr:uid="{00000000-0005-0000-0000-0000AC5A0000}"/>
    <cellStyle name="Normal 2 2 4 2 2 20 2 7" xfId="23213" xr:uid="{00000000-0005-0000-0000-0000AD5A0000}"/>
    <cellStyle name="Normal 2 2 4 2 2 20 2 8" xfId="23214" xr:uid="{00000000-0005-0000-0000-0000AE5A0000}"/>
    <cellStyle name="Normal 2 2 4 2 2 20 2 9" xfId="23215" xr:uid="{00000000-0005-0000-0000-0000AF5A0000}"/>
    <cellStyle name="Normal 2 2 4 2 2 20 3" xfId="23216" xr:uid="{00000000-0005-0000-0000-0000B05A0000}"/>
    <cellStyle name="Normal 2 2 4 2 2 20 3 10" xfId="23217" xr:uid="{00000000-0005-0000-0000-0000B15A0000}"/>
    <cellStyle name="Normal 2 2 4 2 2 20 3 2" xfId="23218" xr:uid="{00000000-0005-0000-0000-0000B25A0000}"/>
    <cellStyle name="Normal 2 2 4 2 2 20 3 3" xfId="23219" xr:uid="{00000000-0005-0000-0000-0000B35A0000}"/>
    <cellStyle name="Normal 2 2 4 2 2 20 3 4" xfId="23220" xr:uid="{00000000-0005-0000-0000-0000B45A0000}"/>
    <cellStyle name="Normal 2 2 4 2 2 20 3 5" xfId="23221" xr:uid="{00000000-0005-0000-0000-0000B55A0000}"/>
    <cellStyle name="Normal 2 2 4 2 2 20 3 6" xfId="23222" xr:uid="{00000000-0005-0000-0000-0000B65A0000}"/>
    <cellStyle name="Normal 2 2 4 2 2 20 3 7" xfId="23223" xr:uid="{00000000-0005-0000-0000-0000B75A0000}"/>
    <cellStyle name="Normal 2 2 4 2 2 20 3 8" xfId="23224" xr:uid="{00000000-0005-0000-0000-0000B85A0000}"/>
    <cellStyle name="Normal 2 2 4 2 2 20 3 9" xfId="23225" xr:uid="{00000000-0005-0000-0000-0000B95A0000}"/>
    <cellStyle name="Normal 2 2 4 2 2 20 4" xfId="23226" xr:uid="{00000000-0005-0000-0000-0000BA5A0000}"/>
    <cellStyle name="Normal 2 2 4 2 2 20 4 10" xfId="23227" xr:uid="{00000000-0005-0000-0000-0000BB5A0000}"/>
    <cellStyle name="Normal 2 2 4 2 2 20 4 2" xfId="23228" xr:uid="{00000000-0005-0000-0000-0000BC5A0000}"/>
    <cellStyle name="Normal 2 2 4 2 2 20 4 3" xfId="23229" xr:uid="{00000000-0005-0000-0000-0000BD5A0000}"/>
    <cellStyle name="Normal 2 2 4 2 2 20 4 4" xfId="23230" xr:uid="{00000000-0005-0000-0000-0000BE5A0000}"/>
    <cellStyle name="Normal 2 2 4 2 2 20 4 5" xfId="23231" xr:uid="{00000000-0005-0000-0000-0000BF5A0000}"/>
    <cellStyle name="Normal 2 2 4 2 2 20 4 6" xfId="23232" xr:uid="{00000000-0005-0000-0000-0000C05A0000}"/>
    <cellStyle name="Normal 2 2 4 2 2 20 4 7" xfId="23233" xr:uid="{00000000-0005-0000-0000-0000C15A0000}"/>
    <cellStyle name="Normal 2 2 4 2 2 20 4 8" xfId="23234" xr:uid="{00000000-0005-0000-0000-0000C25A0000}"/>
    <cellStyle name="Normal 2 2 4 2 2 20 4 9" xfId="23235" xr:uid="{00000000-0005-0000-0000-0000C35A0000}"/>
    <cellStyle name="Normal 2 2 4 2 2 20 5" xfId="23236" xr:uid="{00000000-0005-0000-0000-0000C45A0000}"/>
    <cellStyle name="Normal 2 2 4 2 2 20 5 10" xfId="23237" xr:uid="{00000000-0005-0000-0000-0000C55A0000}"/>
    <cellStyle name="Normal 2 2 4 2 2 20 5 2" xfId="23238" xr:uid="{00000000-0005-0000-0000-0000C65A0000}"/>
    <cellStyle name="Normal 2 2 4 2 2 20 5 3" xfId="23239" xr:uid="{00000000-0005-0000-0000-0000C75A0000}"/>
    <cellStyle name="Normal 2 2 4 2 2 20 5 4" xfId="23240" xr:uid="{00000000-0005-0000-0000-0000C85A0000}"/>
    <cellStyle name="Normal 2 2 4 2 2 20 5 5" xfId="23241" xr:uid="{00000000-0005-0000-0000-0000C95A0000}"/>
    <cellStyle name="Normal 2 2 4 2 2 20 5 6" xfId="23242" xr:uid="{00000000-0005-0000-0000-0000CA5A0000}"/>
    <cellStyle name="Normal 2 2 4 2 2 20 5 7" xfId="23243" xr:uid="{00000000-0005-0000-0000-0000CB5A0000}"/>
    <cellStyle name="Normal 2 2 4 2 2 20 5 8" xfId="23244" xr:uid="{00000000-0005-0000-0000-0000CC5A0000}"/>
    <cellStyle name="Normal 2 2 4 2 2 20 5 9" xfId="23245" xr:uid="{00000000-0005-0000-0000-0000CD5A0000}"/>
    <cellStyle name="Normal 2 2 4 2 2 20 6" xfId="23246" xr:uid="{00000000-0005-0000-0000-0000CE5A0000}"/>
    <cellStyle name="Normal 2 2 4 2 2 20 7" xfId="23247" xr:uid="{00000000-0005-0000-0000-0000CF5A0000}"/>
    <cellStyle name="Normal 2 2 4 2 2 20 8" xfId="23248" xr:uid="{00000000-0005-0000-0000-0000D05A0000}"/>
    <cellStyle name="Normal 2 2 4 2 2 20 9" xfId="23249" xr:uid="{00000000-0005-0000-0000-0000D15A0000}"/>
    <cellStyle name="Normal 2 2 4 2 2 3" xfId="23250" xr:uid="{00000000-0005-0000-0000-0000D25A0000}"/>
    <cellStyle name="Normal 2 2 4 2 2 3 10" xfId="23251" xr:uid="{00000000-0005-0000-0000-0000D35A0000}"/>
    <cellStyle name="Normal 2 2 4 2 2 3 11" xfId="23252" xr:uid="{00000000-0005-0000-0000-0000D45A0000}"/>
    <cellStyle name="Normal 2 2 4 2 2 3 12" xfId="23253" xr:uid="{00000000-0005-0000-0000-0000D55A0000}"/>
    <cellStyle name="Normal 2 2 4 2 2 3 13" xfId="23254" xr:uid="{00000000-0005-0000-0000-0000D65A0000}"/>
    <cellStyle name="Normal 2 2 4 2 2 3 14" xfId="23255" xr:uid="{00000000-0005-0000-0000-0000D75A0000}"/>
    <cellStyle name="Normal 2 2 4 2 2 3 2" xfId="23256" xr:uid="{00000000-0005-0000-0000-0000D85A0000}"/>
    <cellStyle name="Normal 2 2 4 2 2 3 2 10" xfId="23257" xr:uid="{00000000-0005-0000-0000-0000D95A0000}"/>
    <cellStyle name="Normal 2 2 4 2 2 3 2 2" xfId="23258" xr:uid="{00000000-0005-0000-0000-0000DA5A0000}"/>
    <cellStyle name="Normal 2 2 4 2 2 3 2 3" xfId="23259" xr:uid="{00000000-0005-0000-0000-0000DB5A0000}"/>
    <cellStyle name="Normal 2 2 4 2 2 3 2 4" xfId="23260" xr:uid="{00000000-0005-0000-0000-0000DC5A0000}"/>
    <cellStyle name="Normal 2 2 4 2 2 3 2 5" xfId="23261" xr:uid="{00000000-0005-0000-0000-0000DD5A0000}"/>
    <cellStyle name="Normal 2 2 4 2 2 3 2 6" xfId="23262" xr:uid="{00000000-0005-0000-0000-0000DE5A0000}"/>
    <cellStyle name="Normal 2 2 4 2 2 3 2 7" xfId="23263" xr:uid="{00000000-0005-0000-0000-0000DF5A0000}"/>
    <cellStyle name="Normal 2 2 4 2 2 3 2 8" xfId="23264" xr:uid="{00000000-0005-0000-0000-0000E05A0000}"/>
    <cellStyle name="Normal 2 2 4 2 2 3 2 9" xfId="23265" xr:uid="{00000000-0005-0000-0000-0000E15A0000}"/>
    <cellStyle name="Normal 2 2 4 2 2 3 3" xfId="23266" xr:uid="{00000000-0005-0000-0000-0000E25A0000}"/>
    <cellStyle name="Normal 2 2 4 2 2 3 3 10" xfId="23267" xr:uid="{00000000-0005-0000-0000-0000E35A0000}"/>
    <cellStyle name="Normal 2 2 4 2 2 3 3 2" xfId="23268" xr:uid="{00000000-0005-0000-0000-0000E45A0000}"/>
    <cellStyle name="Normal 2 2 4 2 2 3 3 3" xfId="23269" xr:uid="{00000000-0005-0000-0000-0000E55A0000}"/>
    <cellStyle name="Normal 2 2 4 2 2 3 3 4" xfId="23270" xr:uid="{00000000-0005-0000-0000-0000E65A0000}"/>
    <cellStyle name="Normal 2 2 4 2 2 3 3 5" xfId="23271" xr:uid="{00000000-0005-0000-0000-0000E75A0000}"/>
    <cellStyle name="Normal 2 2 4 2 2 3 3 6" xfId="23272" xr:uid="{00000000-0005-0000-0000-0000E85A0000}"/>
    <cellStyle name="Normal 2 2 4 2 2 3 3 7" xfId="23273" xr:uid="{00000000-0005-0000-0000-0000E95A0000}"/>
    <cellStyle name="Normal 2 2 4 2 2 3 3 8" xfId="23274" xr:uid="{00000000-0005-0000-0000-0000EA5A0000}"/>
    <cellStyle name="Normal 2 2 4 2 2 3 3 9" xfId="23275" xr:uid="{00000000-0005-0000-0000-0000EB5A0000}"/>
    <cellStyle name="Normal 2 2 4 2 2 3 4" xfId="23276" xr:uid="{00000000-0005-0000-0000-0000EC5A0000}"/>
    <cellStyle name="Normal 2 2 4 2 2 3 4 10" xfId="23277" xr:uid="{00000000-0005-0000-0000-0000ED5A0000}"/>
    <cellStyle name="Normal 2 2 4 2 2 3 4 2" xfId="23278" xr:uid="{00000000-0005-0000-0000-0000EE5A0000}"/>
    <cellStyle name="Normal 2 2 4 2 2 3 4 3" xfId="23279" xr:uid="{00000000-0005-0000-0000-0000EF5A0000}"/>
    <cellStyle name="Normal 2 2 4 2 2 3 4 4" xfId="23280" xr:uid="{00000000-0005-0000-0000-0000F05A0000}"/>
    <cellStyle name="Normal 2 2 4 2 2 3 4 5" xfId="23281" xr:uid="{00000000-0005-0000-0000-0000F15A0000}"/>
    <cellStyle name="Normal 2 2 4 2 2 3 4 6" xfId="23282" xr:uid="{00000000-0005-0000-0000-0000F25A0000}"/>
    <cellStyle name="Normal 2 2 4 2 2 3 4 7" xfId="23283" xr:uid="{00000000-0005-0000-0000-0000F35A0000}"/>
    <cellStyle name="Normal 2 2 4 2 2 3 4 8" xfId="23284" xr:uid="{00000000-0005-0000-0000-0000F45A0000}"/>
    <cellStyle name="Normal 2 2 4 2 2 3 4 9" xfId="23285" xr:uid="{00000000-0005-0000-0000-0000F55A0000}"/>
    <cellStyle name="Normal 2 2 4 2 2 3 5" xfId="23286" xr:uid="{00000000-0005-0000-0000-0000F65A0000}"/>
    <cellStyle name="Normal 2 2 4 2 2 3 5 10" xfId="23287" xr:uid="{00000000-0005-0000-0000-0000F75A0000}"/>
    <cellStyle name="Normal 2 2 4 2 2 3 5 2" xfId="23288" xr:uid="{00000000-0005-0000-0000-0000F85A0000}"/>
    <cellStyle name="Normal 2 2 4 2 2 3 5 3" xfId="23289" xr:uid="{00000000-0005-0000-0000-0000F95A0000}"/>
    <cellStyle name="Normal 2 2 4 2 2 3 5 4" xfId="23290" xr:uid="{00000000-0005-0000-0000-0000FA5A0000}"/>
    <cellStyle name="Normal 2 2 4 2 2 3 5 5" xfId="23291" xr:uid="{00000000-0005-0000-0000-0000FB5A0000}"/>
    <cellStyle name="Normal 2 2 4 2 2 3 5 6" xfId="23292" xr:uid="{00000000-0005-0000-0000-0000FC5A0000}"/>
    <cellStyle name="Normal 2 2 4 2 2 3 5 7" xfId="23293" xr:uid="{00000000-0005-0000-0000-0000FD5A0000}"/>
    <cellStyle name="Normal 2 2 4 2 2 3 5 8" xfId="23294" xr:uid="{00000000-0005-0000-0000-0000FE5A0000}"/>
    <cellStyle name="Normal 2 2 4 2 2 3 5 9" xfId="23295" xr:uid="{00000000-0005-0000-0000-0000FF5A0000}"/>
    <cellStyle name="Normal 2 2 4 2 2 3 6" xfId="23296" xr:uid="{00000000-0005-0000-0000-0000005B0000}"/>
    <cellStyle name="Normal 2 2 4 2 2 3 7" xfId="23297" xr:uid="{00000000-0005-0000-0000-0000015B0000}"/>
    <cellStyle name="Normal 2 2 4 2 2 3 8" xfId="23298" xr:uid="{00000000-0005-0000-0000-0000025B0000}"/>
    <cellStyle name="Normal 2 2 4 2 2 3 9" xfId="23299" xr:uid="{00000000-0005-0000-0000-0000035B0000}"/>
    <cellStyle name="Normal 2 2 4 2 2 4" xfId="23300" xr:uid="{00000000-0005-0000-0000-0000045B0000}"/>
    <cellStyle name="Normal 2 2 4 2 2 4 10" xfId="23301" xr:uid="{00000000-0005-0000-0000-0000055B0000}"/>
    <cellStyle name="Normal 2 2 4 2 2 4 11" xfId="23302" xr:uid="{00000000-0005-0000-0000-0000065B0000}"/>
    <cellStyle name="Normal 2 2 4 2 2 4 12" xfId="23303" xr:uid="{00000000-0005-0000-0000-0000075B0000}"/>
    <cellStyle name="Normal 2 2 4 2 2 4 13" xfId="23304" xr:uid="{00000000-0005-0000-0000-0000085B0000}"/>
    <cellStyle name="Normal 2 2 4 2 2 4 14" xfId="23305" xr:uid="{00000000-0005-0000-0000-0000095B0000}"/>
    <cellStyle name="Normal 2 2 4 2 2 4 2" xfId="23306" xr:uid="{00000000-0005-0000-0000-00000A5B0000}"/>
    <cellStyle name="Normal 2 2 4 2 2 4 2 10" xfId="23307" xr:uid="{00000000-0005-0000-0000-00000B5B0000}"/>
    <cellStyle name="Normal 2 2 4 2 2 4 2 2" xfId="23308" xr:uid="{00000000-0005-0000-0000-00000C5B0000}"/>
    <cellStyle name="Normal 2 2 4 2 2 4 2 3" xfId="23309" xr:uid="{00000000-0005-0000-0000-00000D5B0000}"/>
    <cellStyle name="Normal 2 2 4 2 2 4 2 4" xfId="23310" xr:uid="{00000000-0005-0000-0000-00000E5B0000}"/>
    <cellStyle name="Normal 2 2 4 2 2 4 2 5" xfId="23311" xr:uid="{00000000-0005-0000-0000-00000F5B0000}"/>
    <cellStyle name="Normal 2 2 4 2 2 4 2 6" xfId="23312" xr:uid="{00000000-0005-0000-0000-0000105B0000}"/>
    <cellStyle name="Normal 2 2 4 2 2 4 2 7" xfId="23313" xr:uid="{00000000-0005-0000-0000-0000115B0000}"/>
    <cellStyle name="Normal 2 2 4 2 2 4 2 8" xfId="23314" xr:uid="{00000000-0005-0000-0000-0000125B0000}"/>
    <cellStyle name="Normal 2 2 4 2 2 4 2 9" xfId="23315" xr:uid="{00000000-0005-0000-0000-0000135B0000}"/>
    <cellStyle name="Normal 2 2 4 2 2 4 3" xfId="23316" xr:uid="{00000000-0005-0000-0000-0000145B0000}"/>
    <cellStyle name="Normal 2 2 4 2 2 4 3 10" xfId="23317" xr:uid="{00000000-0005-0000-0000-0000155B0000}"/>
    <cellStyle name="Normal 2 2 4 2 2 4 3 2" xfId="23318" xr:uid="{00000000-0005-0000-0000-0000165B0000}"/>
    <cellStyle name="Normal 2 2 4 2 2 4 3 3" xfId="23319" xr:uid="{00000000-0005-0000-0000-0000175B0000}"/>
    <cellStyle name="Normal 2 2 4 2 2 4 3 4" xfId="23320" xr:uid="{00000000-0005-0000-0000-0000185B0000}"/>
    <cellStyle name="Normal 2 2 4 2 2 4 3 5" xfId="23321" xr:uid="{00000000-0005-0000-0000-0000195B0000}"/>
    <cellStyle name="Normal 2 2 4 2 2 4 3 6" xfId="23322" xr:uid="{00000000-0005-0000-0000-00001A5B0000}"/>
    <cellStyle name="Normal 2 2 4 2 2 4 3 7" xfId="23323" xr:uid="{00000000-0005-0000-0000-00001B5B0000}"/>
    <cellStyle name="Normal 2 2 4 2 2 4 3 8" xfId="23324" xr:uid="{00000000-0005-0000-0000-00001C5B0000}"/>
    <cellStyle name="Normal 2 2 4 2 2 4 3 9" xfId="23325" xr:uid="{00000000-0005-0000-0000-00001D5B0000}"/>
    <cellStyle name="Normal 2 2 4 2 2 4 4" xfId="23326" xr:uid="{00000000-0005-0000-0000-00001E5B0000}"/>
    <cellStyle name="Normal 2 2 4 2 2 4 4 10" xfId="23327" xr:uid="{00000000-0005-0000-0000-00001F5B0000}"/>
    <cellStyle name="Normal 2 2 4 2 2 4 4 2" xfId="23328" xr:uid="{00000000-0005-0000-0000-0000205B0000}"/>
    <cellStyle name="Normal 2 2 4 2 2 4 4 3" xfId="23329" xr:uid="{00000000-0005-0000-0000-0000215B0000}"/>
    <cellStyle name="Normal 2 2 4 2 2 4 4 4" xfId="23330" xr:uid="{00000000-0005-0000-0000-0000225B0000}"/>
    <cellStyle name="Normal 2 2 4 2 2 4 4 5" xfId="23331" xr:uid="{00000000-0005-0000-0000-0000235B0000}"/>
    <cellStyle name="Normal 2 2 4 2 2 4 4 6" xfId="23332" xr:uid="{00000000-0005-0000-0000-0000245B0000}"/>
    <cellStyle name="Normal 2 2 4 2 2 4 4 7" xfId="23333" xr:uid="{00000000-0005-0000-0000-0000255B0000}"/>
    <cellStyle name="Normal 2 2 4 2 2 4 4 8" xfId="23334" xr:uid="{00000000-0005-0000-0000-0000265B0000}"/>
    <cellStyle name="Normal 2 2 4 2 2 4 4 9" xfId="23335" xr:uid="{00000000-0005-0000-0000-0000275B0000}"/>
    <cellStyle name="Normal 2 2 4 2 2 4 5" xfId="23336" xr:uid="{00000000-0005-0000-0000-0000285B0000}"/>
    <cellStyle name="Normal 2 2 4 2 2 4 5 10" xfId="23337" xr:uid="{00000000-0005-0000-0000-0000295B0000}"/>
    <cellStyle name="Normal 2 2 4 2 2 4 5 2" xfId="23338" xr:uid="{00000000-0005-0000-0000-00002A5B0000}"/>
    <cellStyle name="Normal 2 2 4 2 2 4 5 3" xfId="23339" xr:uid="{00000000-0005-0000-0000-00002B5B0000}"/>
    <cellStyle name="Normal 2 2 4 2 2 4 5 4" xfId="23340" xr:uid="{00000000-0005-0000-0000-00002C5B0000}"/>
    <cellStyle name="Normal 2 2 4 2 2 4 5 5" xfId="23341" xr:uid="{00000000-0005-0000-0000-00002D5B0000}"/>
    <cellStyle name="Normal 2 2 4 2 2 4 5 6" xfId="23342" xr:uid="{00000000-0005-0000-0000-00002E5B0000}"/>
    <cellStyle name="Normal 2 2 4 2 2 4 5 7" xfId="23343" xr:uid="{00000000-0005-0000-0000-00002F5B0000}"/>
    <cellStyle name="Normal 2 2 4 2 2 4 5 8" xfId="23344" xr:uid="{00000000-0005-0000-0000-0000305B0000}"/>
    <cellStyle name="Normal 2 2 4 2 2 4 5 9" xfId="23345" xr:uid="{00000000-0005-0000-0000-0000315B0000}"/>
    <cellStyle name="Normal 2 2 4 2 2 4 6" xfId="23346" xr:uid="{00000000-0005-0000-0000-0000325B0000}"/>
    <cellStyle name="Normal 2 2 4 2 2 4 7" xfId="23347" xr:uid="{00000000-0005-0000-0000-0000335B0000}"/>
    <cellStyle name="Normal 2 2 4 2 2 4 8" xfId="23348" xr:uid="{00000000-0005-0000-0000-0000345B0000}"/>
    <cellStyle name="Normal 2 2 4 2 2 4 9" xfId="23349" xr:uid="{00000000-0005-0000-0000-0000355B0000}"/>
    <cellStyle name="Normal 2 2 4 2 2 5" xfId="23350" xr:uid="{00000000-0005-0000-0000-0000365B0000}"/>
    <cellStyle name="Normal 2 2 4 2 2 5 10" xfId="23351" xr:uid="{00000000-0005-0000-0000-0000375B0000}"/>
    <cellStyle name="Normal 2 2 4 2 2 5 11" xfId="23352" xr:uid="{00000000-0005-0000-0000-0000385B0000}"/>
    <cellStyle name="Normal 2 2 4 2 2 5 12" xfId="23353" xr:uid="{00000000-0005-0000-0000-0000395B0000}"/>
    <cellStyle name="Normal 2 2 4 2 2 5 13" xfId="23354" xr:uid="{00000000-0005-0000-0000-00003A5B0000}"/>
    <cellStyle name="Normal 2 2 4 2 2 5 14" xfId="23355" xr:uid="{00000000-0005-0000-0000-00003B5B0000}"/>
    <cellStyle name="Normal 2 2 4 2 2 5 2" xfId="23356" xr:uid="{00000000-0005-0000-0000-00003C5B0000}"/>
    <cellStyle name="Normal 2 2 4 2 2 5 2 10" xfId="23357" xr:uid="{00000000-0005-0000-0000-00003D5B0000}"/>
    <cellStyle name="Normal 2 2 4 2 2 5 2 2" xfId="23358" xr:uid="{00000000-0005-0000-0000-00003E5B0000}"/>
    <cellStyle name="Normal 2 2 4 2 2 5 2 3" xfId="23359" xr:uid="{00000000-0005-0000-0000-00003F5B0000}"/>
    <cellStyle name="Normal 2 2 4 2 2 5 2 4" xfId="23360" xr:uid="{00000000-0005-0000-0000-0000405B0000}"/>
    <cellStyle name="Normal 2 2 4 2 2 5 2 5" xfId="23361" xr:uid="{00000000-0005-0000-0000-0000415B0000}"/>
    <cellStyle name="Normal 2 2 4 2 2 5 2 6" xfId="23362" xr:uid="{00000000-0005-0000-0000-0000425B0000}"/>
    <cellStyle name="Normal 2 2 4 2 2 5 2 7" xfId="23363" xr:uid="{00000000-0005-0000-0000-0000435B0000}"/>
    <cellStyle name="Normal 2 2 4 2 2 5 2 8" xfId="23364" xr:uid="{00000000-0005-0000-0000-0000445B0000}"/>
    <cellStyle name="Normal 2 2 4 2 2 5 2 9" xfId="23365" xr:uid="{00000000-0005-0000-0000-0000455B0000}"/>
    <cellStyle name="Normal 2 2 4 2 2 5 3" xfId="23366" xr:uid="{00000000-0005-0000-0000-0000465B0000}"/>
    <cellStyle name="Normal 2 2 4 2 2 5 3 10" xfId="23367" xr:uid="{00000000-0005-0000-0000-0000475B0000}"/>
    <cellStyle name="Normal 2 2 4 2 2 5 3 2" xfId="23368" xr:uid="{00000000-0005-0000-0000-0000485B0000}"/>
    <cellStyle name="Normal 2 2 4 2 2 5 3 3" xfId="23369" xr:uid="{00000000-0005-0000-0000-0000495B0000}"/>
    <cellStyle name="Normal 2 2 4 2 2 5 3 4" xfId="23370" xr:uid="{00000000-0005-0000-0000-00004A5B0000}"/>
    <cellStyle name="Normal 2 2 4 2 2 5 3 5" xfId="23371" xr:uid="{00000000-0005-0000-0000-00004B5B0000}"/>
    <cellStyle name="Normal 2 2 4 2 2 5 3 6" xfId="23372" xr:uid="{00000000-0005-0000-0000-00004C5B0000}"/>
    <cellStyle name="Normal 2 2 4 2 2 5 3 7" xfId="23373" xr:uid="{00000000-0005-0000-0000-00004D5B0000}"/>
    <cellStyle name="Normal 2 2 4 2 2 5 3 8" xfId="23374" xr:uid="{00000000-0005-0000-0000-00004E5B0000}"/>
    <cellStyle name="Normal 2 2 4 2 2 5 3 9" xfId="23375" xr:uid="{00000000-0005-0000-0000-00004F5B0000}"/>
    <cellStyle name="Normal 2 2 4 2 2 5 4" xfId="23376" xr:uid="{00000000-0005-0000-0000-0000505B0000}"/>
    <cellStyle name="Normal 2 2 4 2 2 5 4 10" xfId="23377" xr:uid="{00000000-0005-0000-0000-0000515B0000}"/>
    <cellStyle name="Normal 2 2 4 2 2 5 4 2" xfId="23378" xr:uid="{00000000-0005-0000-0000-0000525B0000}"/>
    <cellStyle name="Normal 2 2 4 2 2 5 4 3" xfId="23379" xr:uid="{00000000-0005-0000-0000-0000535B0000}"/>
    <cellStyle name="Normal 2 2 4 2 2 5 4 4" xfId="23380" xr:uid="{00000000-0005-0000-0000-0000545B0000}"/>
    <cellStyle name="Normal 2 2 4 2 2 5 4 5" xfId="23381" xr:uid="{00000000-0005-0000-0000-0000555B0000}"/>
    <cellStyle name="Normal 2 2 4 2 2 5 4 6" xfId="23382" xr:uid="{00000000-0005-0000-0000-0000565B0000}"/>
    <cellStyle name="Normal 2 2 4 2 2 5 4 7" xfId="23383" xr:uid="{00000000-0005-0000-0000-0000575B0000}"/>
    <cellStyle name="Normal 2 2 4 2 2 5 4 8" xfId="23384" xr:uid="{00000000-0005-0000-0000-0000585B0000}"/>
    <cellStyle name="Normal 2 2 4 2 2 5 4 9" xfId="23385" xr:uid="{00000000-0005-0000-0000-0000595B0000}"/>
    <cellStyle name="Normal 2 2 4 2 2 5 5" xfId="23386" xr:uid="{00000000-0005-0000-0000-00005A5B0000}"/>
    <cellStyle name="Normal 2 2 4 2 2 5 5 10" xfId="23387" xr:uid="{00000000-0005-0000-0000-00005B5B0000}"/>
    <cellStyle name="Normal 2 2 4 2 2 5 5 2" xfId="23388" xr:uid="{00000000-0005-0000-0000-00005C5B0000}"/>
    <cellStyle name="Normal 2 2 4 2 2 5 5 3" xfId="23389" xr:uid="{00000000-0005-0000-0000-00005D5B0000}"/>
    <cellStyle name="Normal 2 2 4 2 2 5 5 4" xfId="23390" xr:uid="{00000000-0005-0000-0000-00005E5B0000}"/>
    <cellStyle name="Normal 2 2 4 2 2 5 5 5" xfId="23391" xr:uid="{00000000-0005-0000-0000-00005F5B0000}"/>
    <cellStyle name="Normal 2 2 4 2 2 5 5 6" xfId="23392" xr:uid="{00000000-0005-0000-0000-0000605B0000}"/>
    <cellStyle name="Normal 2 2 4 2 2 5 5 7" xfId="23393" xr:uid="{00000000-0005-0000-0000-0000615B0000}"/>
    <cellStyle name="Normal 2 2 4 2 2 5 5 8" xfId="23394" xr:uid="{00000000-0005-0000-0000-0000625B0000}"/>
    <cellStyle name="Normal 2 2 4 2 2 5 5 9" xfId="23395" xr:uid="{00000000-0005-0000-0000-0000635B0000}"/>
    <cellStyle name="Normal 2 2 4 2 2 5 6" xfId="23396" xr:uid="{00000000-0005-0000-0000-0000645B0000}"/>
    <cellStyle name="Normal 2 2 4 2 2 5 7" xfId="23397" xr:uid="{00000000-0005-0000-0000-0000655B0000}"/>
    <cellStyle name="Normal 2 2 4 2 2 5 8" xfId="23398" xr:uid="{00000000-0005-0000-0000-0000665B0000}"/>
    <cellStyle name="Normal 2 2 4 2 2 5 9" xfId="23399" xr:uid="{00000000-0005-0000-0000-0000675B0000}"/>
    <cellStyle name="Normal 2 2 4 2 2 6" xfId="23400" xr:uid="{00000000-0005-0000-0000-0000685B0000}"/>
    <cellStyle name="Normal 2 2 4 2 2 6 10" xfId="23401" xr:uid="{00000000-0005-0000-0000-0000695B0000}"/>
    <cellStyle name="Normal 2 2 4 2 2 6 11" xfId="23402" xr:uid="{00000000-0005-0000-0000-00006A5B0000}"/>
    <cellStyle name="Normal 2 2 4 2 2 6 12" xfId="23403" xr:uid="{00000000-0005-0000-0000-00006B5B0000}"/>
    <cellStyle name="Normal 2 2 4 2 2 6 13" xfId="23404" xr:uid="{00000000-0005-0000-0000-00006C5B0000}"/>
    <cellStyle name="Normal 2 2 4 2 2 6 14" xfId="23405" xr:uid="{00000000-0005-0000-0000-00006D5B0000}"/>
    <cellStyle name="Normal 2 2 4 2 2 6 2" xfId="23406" xr:uid="{00000000-0005-0000-0000-00006E5B0000}"/>
    <cellStyle name="Normal 2 2 4 2 2 6 2 10" xfId="23407" xr:uid="{00000000-0005-0000-0000-00006F5B0000}"/>
    <cellStyle name="Normal 2 2 4 2 2 6 2 2" xfId="23408" xr:uid="{00000000-0005-0000-0000-0000705B0000}"/>
    <cellStyle name="Normal 2 2 4 2 2 6 2 3" xfId="23409" xr:uid="{00000000-0005-0000-0000-0000715B0000}"/>
    <cellStyle name="Normal 2 2 4 2 2 6 2 4" xfId="23410" xr:uid="{00000000-0005-0000-0000-0000725B0000}"/>
    <cellStyle name="Normal 2 2 4 2 2 6 2 5" xfId="23411" xr:uid="{00000000-0005-0000-0000-0000735B0000}"/>
    <cellStyle name="Normal 2 2 4 2 2 6 2 6" xfId="23412" xr:uid="{00000000-0005-0000-0000-0000745B0000}"/>
    <cellStyle name="Normal 2 2 4 2 2 6 2 7" xfId="23413" xr:uid="{00000000-0005-0000-0000-0000755B0000}"/>
    <cellStyle name="Normal 2 2 4 2 2 6 2 8" xfId="23414" xr:uid="{00000000-0005-0000-0000-0000765B0000}"/>
    <cellStyle name="Normal 2 2 4 2 2 6 2 9" xfId="23415" xr:uid="{00000000-0005-0000-0000-0000775B0000}"/>
    <cellStyle name="Normal 2 2 4 2 2 6 3" xfId="23416" xr:uid="{00000000-0005-0000-0000-0000785B0000}"/>
    <cellStyle name="Normal 2 2 4 2 2 6 3 10" xfId="23417" xr:uid="{00000000-0005-0000-0000-0000795B0000}"/>
    <cellStyle name="Normal 2 2 4 2 2 6 3 2" xfId="23418" xr:uid="{00000000-0005-0000-0000-00007A5B0000}"/>
    <cellStyle name="Normal 2 2 4 2 2 6 3 3" xfId="23419" xr:uid="{00000000-0005-0000-0000-00007B5B0000}"/>
    <cellStyle name="Normal 2 2 4 2 2 6 3 4" xfId="23420" xr:uid="{00000000-0005-0000-0000-00007C5B0000}"/>
    <cellStyle name="Normal 2 2 4 2 2 6 3 5" xfId="23421" xr:uid="{00000000-0005-0000-0000-00007D5B0000}"/>
    <cellStyle name="Normal 2 2 4 2 2 6 3 6" xfId="23422" xr:uid="{00000000-0005-0000-0000-00007E5B0000}"/>
    <cellStyle name="Normal 2 2 4 2 2 6 3 7" xfId="23423" xr:uid="{00000000-0005-0000-0000-00007F5B0000}"/>
    <cellStyle name="Normal 2 2 4 2 2 6 3 8" xfId="23424" xr:uid="{00000000-0005-0000-0000-0000805B0000}"/>
    <cellStyle name="Normal 2 2 4 2 2 6 3 9" xfId="23425" xr:uid="{00000000-0005-0000-0000-0000815B0000}"/>
    <cellStyle name="Normal 2 2 4 2 2 6 4" xfId="23426" xr:uid="{00000000-0005-0000-0000-0000825B0000}"/>
    <cellStyle name="Normal 2 2 4 2 2 6 4 10" xfId="23427" xr:uid="{00000000-0005-0000-0000-0000835B0000}"/>
    <cellStyle name="Normal 2 2 4 2 2 6 4 2" xfId="23428" xr:uid="{00000000-0005-0000-0000-0000845B0000}"/>
    <cellStyle name="Normal 2 2 4 2 2 6 4 3" xfId="23429" xr:uid="{00000000-0005-0000-0000-0000855B0000}"/>
    <cellStyle name="Normal 2 2 4 2 2 6 4 4" xfId="23430" xr:uid="{00000000-0005-0000-0000-0000865B0000}"/>
    <cellStyle name="Normal 2 2 4 2 2 6 4 5" xfId="23431" xr:uid="{00000000-0005-0000-0000-0000875B0000}"/>
    <cellStyle name="Normal 2 2 4 2 2 6 4 6" xfId="23432" xr:uid="{00000000-0005-0000-0000-0000885B0000}"/>
    <cellStyle name="Normal 2 2 4 2 2 6 4 7" xfId="23433" xr:uid="{00000000-0005-0000-0000-0000895B0000}"/>
    <cellStyle name="Normal 2 2 4 2 2 6 4 8" xfId="23434" xr:uid="{00000000-0005-0000-0000-00008A5B0000}"/>
    <cellStyle name="Normal 2 2 4 2 2 6 4 9" xfId="23435" xr:uid="{00000000-0005-0000-0000-00008B5B0000}"/>
    <cellStyle name="Normal 2 2 4 2 2 6 5" xfId="23436" xr:uid="{00000000-0005-0000-0000-00008C5B0000}"/>
    <cellStyle name="Normal 2 2 4 2 2 6 5 10" xfId="23437" xr:uid="{00000000-0005-0000-0000-00008D5B0000}"/>
    <cellStyle name="Normal 2 2 4 2 2 6 5 2" xfId="23438" xr:uid="{00000000-0005-0000-0000-00008E5B0000}"/>
    <cellStyle name="Normal 2 2 4 2 2 6 5 3" xfId="23439" xr:uid="{00000000-0005-0000-0000-00008F5B0000}"/>
    <cellStyle name="Normal 2 2 4 2 2 6 5 4" xfId="23440" xr:uid="{00000000-0005-0000-0000-0000905B0000}"/>
    <cellStyle name="Normal 2 2 4 2 2 6 5 5" xfId="23441" xr:uid="{00000000-0005-0000-0000-0000915B0000}"/>
    <cellStyle name="Normal 2 2 4 2 2 6 5 6" xfId="23442" xr:uid="{00000000-0005-0000-0000-0000925B0000}"/>
    <cellStyle name="Normal 2 2 4 2 2 6 5 7" xfId="23443" xr:uid="{00000000-0005-0000-0000-0000935B0000}"/>
    <cellStyle name="Normal 2 2 4 2 2 6 5 8" xfId="23444" xr:uid="{00000000-0005-0000-0000-0000945B0000}"/>
    <cellStyle name="Normal 2 2 4 2 2 6 5 9" xfId="23445" xr:uid="{00000000-0005-0000-0000-0000955B0000}"/>
    <cellStyle name="Normal 2 2 4 2 2 6 6" xfId="23446" xr:uid="{00000000-0005-0000-0000-0000965B0000}"/>
    <cellStyle name="Normal 2 2 4 2 2 6 7" xfId="23447" xr:uid="{00000000-0005-0000-0000-0000975B0000}"/>
    <cellStyle name="Normal 2 2 4 2 2 6 8" xfId="23448" xr:uid="{00000000-0005-0000-0000-0000985B0000}"/>
    <cellStyle name="Normal 2 2 4 2 2 6 9" xfId="23449" xr:uid="{00000000-0005-0000-0000-0000995B0000}"/>
    <cellStyle name="Normal 2 2 4 2 2 7" xfId="23450" xr:uid="{00000000-0005-0000-0000-00009A5B0000}"/>
    <cellStyle name="Normal 2 2 4 2 2 7 10" xfId="23451" xr:uid="{00000000-0005-0000-0000-00009B5B0000}"/>
    <cellStyle name="Normal 2 2 4 2 2 7 11" xfId="23452" xr:uid="{00000000-0005-0000-0000-00009C5B0000}"/>
    <cellStyle name="Normal 2 2 4 2 2 7 12" xfId="23453" xr:uid="{00000000-0005-0000-0000-00009D5B0000}"/>
    <cellStyle name="Normal 2 2 4 2 2 7 13" xfId="23454" xr:uid="{00000000-0005-0000-0000-00009E5B0000}"/>
    <cellStyle name="Normal 2 2 4 2 2 7 14" xfId="23455" xr:uid="{00000000-0005-0000-0000-00009F5B0000}"/>
    <cellStyle name="Normal 2 2 4 2 2 7 2" xfId="23456" xr:uid="{00000000-0005-0000-0000-0000A05B0000}"/>
    <cellStyle name="Normal 2 2 4 2 2 7 2 10" xfId="23457" xr:uid="{00000000-0005-0000-0000-0000A15B0000}"/>
    <cellStyle name="Normal 2 2 4 2 2 7 2 2" xfId="23458" xr:uid="{00000000-0005-0000-0000-0000A25B0000}"/>
    <cellStyle name="Normal 2 2 4 2 2 7 2 3" xfId="23459" xr:uid="{00000000-0005-0000-0000-0000A35B0000}"/>
    <cellStyle name="Normal 2 2 4 2 2 7 2 4" xfId="23460" xr:uid="{00000000-0005-0000-0000-0000A45B0000}"/>
    <cellStyle name="Normal 2 2 4 2 2 7 2 5" xfId="23461" xr:uid="{00000000-0005-0000-0000-0000A55B0000}"/>
    <cellStyle name="Normal 2 2 4 2 2 7 2 6" xfId="23462" xr:uid="{00000000-0005-0000-0000-0000A65B0000}"/>
    <cellStyle name="Normal 2 2 4 2 2 7 2 7" xfId="23463" xr:uid="{00000000-0005-0000-0000-0000A75B0000}"/>
    <cellStyle name="Normal 2 2 4 2 2 7 2 8" xfId="23464" xr:uid="{00000000-0005-0000-0000-0000A85B0000}"/>
    <cellStyle name="Normal 2 2 4 2 2 7 2 9" xfId="23465" xr:uid="{00000000-0005-0000-0000-0000A95B0000}"/>
    <cellStyle name="Normal 2 2 4 2 2 7 3" xfId="23466" xr:uid="{00000000-0005-0000-0000-0000AA5B0000}"/>
    <cellStyle name="Normal 2 2 4 2 2 7 3 10" xfId="23467" xr:uid="{00000000-0005-0000-0000-0000AB5B0000}"/>
    <cellStyle name="Normal 2 2 4 2 2 7 3 2" xfId="23468" xr:uid="{00000000-0005-0000-0000-0000AC5B0000}"/>
    <cellStyle name="Normal 2 2 4 2 2 7 3 3" xfId="23469" xr:uid="{00000000-0005-0000-0000-0000AD5B0000}"/>
    <cellStyle name="Normal 2 2 4 2 2 7 3 4" xfId="23470" xr:uid="{00000000-0005-0000-0000-0000AE5B0000}"/>
    <cellStyle name="Normal 2 2 4 2 2 7 3 5" xfId="23471" xr:uid="{00000000-0005-0000-0000-0000AF5B0000}"/>
    <cellStyle name="Normal 2 2 4 2 2 7 3 6" xfId="23472" xr:uid="{00000000-0005-0000-0000-0000B05B0000}"/>
    <cellStyle name="Normal 2 2 4 2 2 7 3 7" xfId="23473" xr:uid="{00000000-0005-0000-0000-0000B15B0000}"/>
    <cellStyle name="Normal 2 2 4 2 2 7 3 8" xfId="23474" xr:uid="{00000000-0005-0000-0000-0000B25B0000}"/>
    <cellStyle name="Normal 2 2 4 2 2 7 3 9" xfId="23475" xr:uid="{00000000-0005-0000-0000-0000B35B0000}"/>
    <cellStyle name="Normal 2 2 4 2 2 7 4" xfId="23476" xr:uid="{00000000-0005-0000-0000-0000B45B0000}"/>
    <cellStyle name="Normal 2 2 4 2 2 7 4 10" xfId="23477" xr:uid="{00000000-0005-0000-0000-0000B55B0000}"/>
    <cellStyle name="Normal 2 2 4 2 2 7 4 2" xfId="23478" xr:uid="{00000000-0005-0000-0000-0000B65B0000}"/>
    <cellStyle name="Normal 2 2 4 2 2 7 4 3" xfId="23479" xr:uid="{00000000-0005-0000-0000-0000B75B0000}"/>
    <cellStyle name="Normal 2 2 4 2 2 7 4 4" xfId="23480" xr:uid="{00000000-0005-0000-0000-0000B85B0000}"/>
    <cellStyle name="Normal 2 2 4 2 2 7 4 5" xfId="23481" xr:uid="{00000000-0005-0000-0000-0000B95B0000}"/>
    <cellStyle name="Normal 2 2 4 2 2 7 4 6" xfId="23482" xr:uid="{00000000-0005-0000-0000-0000BA5B0000}"/>
    <cellStyle name="Normal 2 2 4 2 2 7 4 7" xfId="23483" xr:uid="{00000000-0005-0000-0000-0000BB5B0000}"/>
    <cellStyle name="Normal 2 2 4 2 2 7 4 8" xfId="23484" xr:uid="{00000000-0005-0000-0000-0000BC5B0000}"/>
    <cellStyle name="Normal 2 2 4 2 2 7 4 9" xfId="23485" xr:uid="{00000000-0005-0000-0000-0000BD5B0000}"/>
    <cellStyle name="Normal 2 2 4 2 2 7 5" xfId="23486" xr:uid="{00000000-0005-0000-0000-0000BE5B0000}"/>
    <cellStyle name="Normal 2 2 4 2 2 7 5 10" xfId="23487" xr:uid="{00000000-0005-0000-0000-0000BF5B0000}"/>
    <cellStyle name="Normal 2 2 4 2 2 7 5 2" xfId="23488" xr:uid="{00000000-0005-0000-0000-0000C05B0000}"/>
    <cellStyle name="Normal 2 2 4 2 2 7 5 3" xfId="23489" xr:uid="{00000000-0005-0000-0000-0000C15B0000}"/>
    <cellStyle name="Normal 2 2 4 2 2 7 5 4" xfId="23490" xr:uid="{00000000-0005-0000-0000-0000C25B0000}"/>
    <cellStyle name="Normal 2 2 4 2 2 7 5 5" xfId="23491" xr:uid="{00000000-0005-0000-0000-0000C35B0000}"/>
    <cellStyle name="Normal 2 2 4 2 2 7 5 6" xfId="23492" xr:uid="{00000000-0005-0000-0000-0000C45B0000}"/>
    <cellStyle name="Normal 2 2 4 2 2 7 5 7" xfId="23493" xr:uid="{00000000-0005-0000-0000-0000C55B0000}"/>
    <cellStyle name="Normal 2 2 4 2 2 7 5 8" xfId="23494" xr:uid="{00000000-0005-0000-0000-0000C65B0000}"/>
    <cellStyle name="Normal 2 2 4 2 2 7 5 9" xfId="23495" xr:uid="{00000000-0005-0000-0000-0000C75B0000}"/>
    <cellStyle name="Normal 2 2 4 2 2 7 6" xfId="23496" xr:uid="{00000000-0005-0000-0000-0000C85B0000}"/>
    <cellStyle name="Normal 2 2 4 2 2 7 7" xfId="23497" xr:uid="{00000000-0005-0000-0000-0000C95B0000}"/>
    <cellStyle name="Normal 2 2 4 2 2 7 8" xfId="23498" xr:uid="{00000000-0005-0000-0000-0000CA5B0000}"/>
    <cellStyle name="Normal 2 2 4 2 2 7 9" xfId="23499" xr:uid="{00000000-0005-0000-0000-0000CB5B0000}"/>
    <cellStyle name="Normal 2 2 4 2 2 8" xfId="23500" xr:uid="{00000000-0005-0000-0000-0000CC5B0000}"/>
    <cellStyle name="Normal 2 2 4 2 2 8 10" xfId="23501" xr:uid="{00000000-0005-0000-0000-0000CD5B0000}"/>
    <cellStyle name="Normal 2 2 4 2 2 8 11" xfId="23502" xr:uid="{00000000-0005-0000-0000-0000CE5B0000}"/>
    <cellStyle name="Normal 2 2 4 2 2 8 12" xfId="23503" xr:uid="{00000000-0005-0000-0000-0000CF5B0000}"/>
    <cellStyle name="Normal 2 2 4 2 2 8 13" xfId="23504" xr:uid="{00000000-0005-0000-0000-0000D05B0000}"/>
    <cellStyle name="Normal 2 2 4 2 2 8 14" xfId="23505" xr:uid="{00000000-0005-0000-0000-0000D15B0000}"/>
    <cellStyle name="Normal 2 2 4 2 2 8 2" xfId="23506" xr:uid="{00000000-0005-0000-0000-0000D25B0000}"/>
    <cellStyle name="Normal 2 2 4 2 2 8 2 10" xfId="23507" xr:uid="{00000000-0005-0000-0000-0000D35B0000}"/>
    <cellStyle name="Normal 2 2 4 2 2 8 2 2" xfId="23508" xr:uid="{00000000-0005-0000-0000-0000D45B0000}"/>
    <cellStyle name="Normal 2 2 4 2 2 8 2 3" xfId="23509" xr:uid="{00000000-0005-0000-0000-0000D55B0000}"/>
    <cellStyle name="Normal 2 2 4 2 2 8 2 4" xfId="23510" xr:uid="{00000000-0005-0000-0000-0000D65B0000}"/>
    <cellStyle name="Normal 2 2 4 2 2 8 2 5" xfId="23511" xr:uid="{00000000-0005-0000-0000-0000D75B0000}"/>
    <cellStyle name="Normal 2 2 4 2 2 8 2 6" xfId="23512" xr:uid="{00000000-0005-0000-0000-0000D85B0000}"/>
    <cellStyle name="Normal 2 2 4 2 2 8 2 7" xfId="23513" xr:uid="{00000000-0005-0000-0000-0000D95B0000}"/>
    <cellStyle name="Normal 2 2 4 2 2 8 2 8" xfId="23514" xr:uid="{00000000-0005-0000-0000-0000DA5B0000}"/>
    <cellStyle name="Normal 2 2 4 2 2 8 2 9" xfId="23515" xr:uid="{00000000-0005-0000-0000-0000DB5B0000}"/>
    <cellStyle name="Normal 2 2 4 2 2 8 3" xfId="23516" xr:uid="{00000000-0005-0000-0000-0000DC5B0000}"/>
    <cellStyle name="Normal 2 2 4 2 2 8 3 10" xfId="23517" xr:uid="{00000000-0005-0000-0000-0000DD5B0000}"/>
    <cellStyle name="Normal 2 2 4 2 2 8 3 2" xfId="23518" xr:uid="{00000000-0005-0000-0000-0000DE5B0000}"/>
    <cellStyle name="Normal 2 2 4 2 2 8 3 3" xfId="23519" xr:uid="{00000000-0005-0000-0000-0000DF5B0000}"/>
    <cellStyle name="Normal 2 2 4 2 2 8 3 4" xfId="23520" xr:uid="{00000000-0005-0000-0000-0000E05B0000}"/>
    <cellStyle name="Normal 2 2 4 2 2 8 3 5" xfId="23521" xr:uid="{00000000-0005-0000-0000-0000E15B0000}"/>
    <cellStyle name="Normal 2 2 4 2 2 8 3 6" xfId="23522" xr:uid="{00000000-0005-0000-0000-0000E25B0000}"/>
    <cellStyle name="Normal 2 2 4 2 2 8 3 7" xfId="23523" xr:uid="{00000000-0005-0000-0000-0000E35B0000}"/>
    <cellStyle name="Normal 2 2 4 2 2 8 3 8" xfId="23524" xr:uid="{00000000-0005-0000-0000-0000E45B0000}"/>
    <cellStyle name="Normal 2 2 4 2 2 8 3 9" xfId="23525" xr:uid="{00000000-0005-0000-0000-0000E55B0000}"/>
    <cellStyle name="Normal 2 2 4 2 2 8 4" xfId="23526" xr:uid="{00000000-0005-0000-0000-0000E65B0000}"/>
    <cellStyle name="Normal 2 2 4 2 2 8 4 10" xfId="23527" xr:uid="{00000000-0005-0000-0000-0000E75B0000}"/>
    <cellStyle name="Normal 2 2 4 2 2 8 4 2" xfId="23528" xr:uid="{00000000-0005-0000-0000-0000E85B0000}"/>
    <cellStyle name="Normal 2 2 4 2 2 8 4 3" xfId="23529" xr:uid="{00000000-0005-0000-0000-0000E95B0000}"/>
    <cellStyle name="Normal 2 2 4 2 2 8 4 4" xfId="23530" xr:uid="{00000000-0005-0000-0000-0000EA5B0000}"/>
    <cellStyle name="Normal 2 2 4 2 2 8 4 5" xfId="23531" xr:uid="{00000000-0005-0000-0000-0000EB5B0000}"/>
    <cellStyle name="Normal 2 2 4 2 2 8 4 6" xfId="23532" xr:uid="{00000000-0005-0000-0000-0000EC5B0000}"/>
    <cellStyle name="Normal 2 2 4 2 2 8 4 7" xfId="23533" xr:uid="{00000000-0005-0000-0000-0000ED5B0000}"/>
    <cellStyle name="Normal 2 2 4 2 2 8 4 8" xfId="23534" xr:uid="{00000000-0005-0000-0000-0000EE5B0000}"/>
    <cellStyle name="Normal 2 2 4 2 2 8 4 9" xfId="23535" xr:uid="{00000000-0005-0000-0000-0000EF5B0000}"/>
    <cellStyle name="Normal 2 2 4 2 2 8 5" xfId="23536" xr:uid="{00000000-0005-0000-0000-0000F05B0000}"/>
    <cellStyle name="Normal 2 2 4 2 2 8 5 10" xfId="23537" xr:uid="{00000000-0005-0000-0000-0000F15B0000}"/>
    <cellStyle name="Normal 2 2 4 2 2 8 5 2" xfId="23538" xr:uid="{00000000-0005-0000-0000-0000F25B0000}"/>
    <cellStyle name="Normal 2 2 4 2 2 8 5 3" xfId="23539" xr:uid="{00000000-0005-0000-0000-0000F35B0000}"/>
    <cellStyle name="Normal 2 2 4 2 2 8 5 4" xfId="23540" xr:uid="{00000000-0005-0000-0000-0000F45B0000}"/>
    <cellStyle name="Normal 2 2 4 2 2 8 5 5" xfId="23541" xr:uid="{00000000-0005-0000-0000-0000F55B0000}"/>
    <cellStyle name="Normal 2 2 4 2 2 8 5 6" xfId="23542" xr:uid="{00000000-0005-0000-0000-0000F65B0000}"/>
    <cellStyle name="Normal 2 2 4 2 2 8 5 7" xfId="23543" xr:uid="{00000000-0005-0000-0000-0000F75B0000}"/>
    <cellStyle name="Normal 2 2 4 2 2 8 5 8" xfId="23544" xr:uid="{00000000-0005-0000-0000-0000F85B0000}"/>
    <cellStyle name="Normal 2 2 4 2 2 8 5 9" xfId="23545" xr:uid="{00000000-0005-0000-0000-0000F95B0000}"/>
    <cellStyle name="Normal 2 2 4 2 2 8 6" xfId="23546" xr:uid="{00000000-0005-0000-0000-0000FA5B0000}"/>
    <cellStyle name="Normal 2 2 4 2 2 8 7" xfId="23547" xr:uid="{00000000-0005-0000-0000-0000FB5B0000}"/>
    <cellStyle name="Normal 2 2 4 2 2 8 8" xfId="23548" xr:uid="{00000000-0005-0000-0000-0000FC5B0000}"/>
    <cellStyle name="Normal 2 2 4 2 2 8 9" xfId="23549" xr:uid="{00000000-0005-0000-0000-0000FD5B0000}"/>
    <cellStyle name="Normal 2 2 4 2 2 9" xfId="23550" xr:uid="{00000000-0005-0000-0000-0000FE5B0000}"/>
    <cellStyle name="Normal 2 2 4 2 2 9 10" xfId="23551" xr:uid="{00000000-0005-0000-0000-0000FF5B0000}"/>
    <cellStyle name="Normal 2 2 4 2 2 9 11" xfId="23552" xr:uid="{00000000-0005-0000-0000-0000005C0000}"/>
    <cellStyle name="Normal 2 2 4 2 2 9 12" xfId="23553" xr:uid="{00000000-0005-0000-0000-0000015C0000}"/>
    <cellStyle name="Normal 2 2 4 2 2 9 13" xfId="23554" xr:uid="{00000000-0005-0000-0000-0000025C0000}"/>
    <cellStyle name="Normal 2 2 4 2 2 9 14" xfId="23555" xr:uid="{00000000-0005-0000-0000-0000035C0000}"/>
    <cellStyle name="Normal 2 2 4 2 2 9 2" xfId="23556" xr:uid="{00000000-0005-0000-0000-0000045C0000}"/>
    <cellStyle name="Normal 2 2 4 2 2 9 2 10" xfId="23557" xr:uid="{00000000-0005-0000-0000-0000055C0000}"/>
    <cellStyle name="Normal 2 2 4 2 2 9 2 2" xfId="23558" xr:uid="{00000000-0005-0000-0000-0000065C0000}"/>
    <cellStyle name="Normal 2 2 4 2 2 9 2 3" xfId="23559" xr:uid="{00000000-0005-0000-0000-0000075C0000}"/>
    <cellStyle name="Normal 2 2 4 2 2 9 2 4" xfId="23560" xr:uid="{00000000-0005-0000-0000-0000085C0000}"/>
    <cellStyle name="Normal 2 2 4 2 2 9 2 5" xfId="23561" xr:uid="{00000000-0005-0000-0000-0000095C0000}"/>
    <cellStyle name="Normal 2 2 4 2 2 9 2 6" xfId="23562" xr:uid="{00000000-0005-0000-0000-00000A5C0000}"/>
    <cellStyle name="Normal 2 2 4 2 2 9 2 7" xfId="23563" xr:uid="{00000000-0005-0000-0000-00000B5C0000}"/>
    <cellStyle name="Normal 2 2 4 2 2 9 2 8" xfId="23564" xr:uid="{00000000-0005-0000-0000-00000C5C0000}"/>
    <cellStyle name="Normal 2 2 4 2 2 9 2 9" xfId="23565" xr:uid="{00000000-0005-0000-0000-00000D5C0000}"/>
    <cellStyle name="Normal 2 2 4 2 2 9 3" xfId="23566" xr:uid="{00000000-0005-0000-0000-00000E5C0000}"/>
    <cellStyle name="Normal 2 2 4 2 2 9 3 10" xfId="23567" xr:uid="{00000000-0005-0000-0000-00000F5C0000}"/>
    <cellStyle name="Normal 2 2 4 2 2 9 3 2" xfId="23568" xr:uid="{00000000-0005-0000-0000-0000105C0000}"/>
    <cellStyle name="Normal 2 2 4 2 2 9 3 3" xfId="23569" xr:uid="{00000000-0005-0000-0000-0000115C0000}"/>
    <cellStyle name="Normal 2 2 4 2 2 9 3 4" xfId="23570" xr:uid="{00000000-0005-0000-0000-0000125C0000}"/>
    <cellStyle name="Normal 2 2 4 2 2 9 3 5" xfId="23571" xr:uid="{00000000-0005-0000-0000-0000135C0000}"/>
    <cellStyle name="Normal 2 2 4 2 2 9 3 6" xfId="23572" xr:uid="{00000000-0005-0000-0000-0000145C0000}"/>
    <cellStyle name="Normal 2 2 4 2 2 9 3 7" xfId="23573" xr:uid="{00000000-0005-0000-0000-0000155C0000}"/>
    <cellStyle name="Normal 2 2 4 2 2 9 3 8" xfId="23574" xr:uid="{00000000-0005-0000-0000-0000165C0000}"/>
    <cellStyle name="Normal 2 2 4 2 2 9 3 9" xfId="23575" xr:uid="{00000000-0005-0000-0000-0000175C0000}"/>
    <cellStyle name="Normal 2 2 4 2 2 9 4" xfId="23576" xr:uid="{00000000-0005-0000-0000-0000185C0000}"/>
    <cellStyle name="Normal 2 2 4 2 2 9 4 10" xfId="23577" xr:uid="{00000000-0005-0000-0000-0000195C0000}"/>
    <cellStyle name="Normal 2 2 4 2 2 9 4 2" xfId="23578" xr:uid="{00000000-0005-0000-0000-00001A5C0000}"/>
    <cellStyle name="Normal 2 2 4 2 2 9 4 3" xfId="23579" xr:uid="{00000000-0005-0000-0000-00001B5C0000}"/>
    <cellStyle name="Normal 2 2 4 2 2 9 4 4" xfId="23580" xr:uid="{00000000-0005-0000-0000-00001C5C0000}"/>
    <cellStyle name="Normal 2 2 4 2 2 9 4 5" xfId="23581" xr:uid="{00000000-0005-0000-0000-00001D5C0000}"/>
    <cellStyle name="Normal 2 2 4 2 2 9 4 6" xfId="23582" xr:uid="{00000000-0005-0000-0000-00001E5C0000}"/>
    <cellStyle name="Normal 2 2 4 2 2 9 4 7" xfId="23583" xr:uid="{00000000-0005-0000-0000-00001F5C0000}"/>
    <cellStyle name="Normal 2 2 4 2 2 9 4 8" xfId="23584" xr:uid="{00000000-0005-0000-0000-0000205C0000}"/>
    <cellStyle name="Normal 2 2 4 2 2 9 4 9" xfId="23585" xr:uid="{00000000-0005-0000-0000-0000215C0000}"/>
    <cellStyle name="Normal 2 2 4 2 2 9 5" xfId="23586" xr:uid="{00000000-0005-0000-0000-0000225C0000}"/>
    <cellStyle name="Normal 2 2 4 2 2 9 5 10" xfId="23587" xr:uid="{00000000-0005-0000-0000-0000235C0000}"/>
    <cellStyle name="Normal 2 2 4 2 2 9 5 2" xfId="23588" xr:uid="{00000000-0005-0000-0000-0000245C0000}"/>
    <cellStyle name="Normal 2 2 4 2 2 9 5 3" xfId="23589" xr:uid="{00000000-0005-0000-0000-0000255C0000}"/>
    <cellStyle name="Normal 2 2 4 2 2 9 5 4" xfId="23590" xr:uid="{00000000-0005-0000-0000-0000265C0000}"/>
    <cellStyle name="Normal 2 2 4 2 2 9 5 5" xfId="23591" xr:uid="{00000000-0005-0000-0000-0000275C0000}"/>
    <cellStyle name="Normal 2 2 4 2 2 9 5 6" xfId="23592" xr:uid="{00000000-0005-0000-0000-0000285C0000}"/>
    <cellStyle name="Normal 2 2 4 2 2 9 5 7" xfId="23593" xr:uid="{00000000-0005-0000-0000-0000295C0000}"/>
    <cellStyle name="Normal 2 2 4 2 2 9 5 8" xfId="23594" xr:uid="{00000000-0005-0000-0000-00002A5C0000}"/>
    <cellStyle name="Normal 2 2 4 2 2 9 5 9" xfId="23595" xr:uid="{00000000-0005-0000-0000-00002B5C0000}"/>
    <cellStyle name="Normal 2 2 4 2 2 9 6" xfId="23596" xr:uid="{00000000-0005-0000-0000-00002C5C0000}"/>
    <cellStyle name="Normal 2 2 4 2 2 9 7" xfId="23597" xr:uid="{00000000-0005-0000-0000-00002D5C0000}"/>
    <cellStyle name="Normal 2 2 4 2 2 9 8" xfId="23598" xr:uid="{00000000-0005-0000-0000-00002E5C0000}"/>
    <cellStyle name="Normal 2 2 4 2 2 9 9" xfId="23599" xr:uid="{00000000-0005-0000-0000-00002F5C0000}"/>
    <cellStyle name="Normal 2 2 4 2 20" xfId="23600" xr:uid="{00000000-0005-0000-0000-0000305C0000}"/>
    <cellStyle name="Normal 2 2 4 2 21" xfId="23601" xr:uid="{00000000-0005-0000-0000-0000315C0000}"/>
    <cellStyle name="Normal 2 2 4 2 21 10" xfId="23602" xr:uid="{00000000-0005-0000-0000-0000325C0000}"/>
    <cellStyle name="Normal 2 2 4 2 21 2" xfId="23603" xr:uid="{00000000-0005-0000-0000-0000335C0000}"/>
    <cellStyle name="Normal 2 2 4 2 21 3" xfId="23604" xr:uid="{00000000-0005-0000-0000-0000345C0000}"/>
    <cellStyle name="Normal 2 2 4 2 21 4" xfId="23605" xr:uid="{00000000-0005-0000-0000-0000355C0000}"/>
    <cellStyle name="Normal 2 2 4 2 21 5" xfId="23606" xr:uid="{00000000-0005-0000-0000-0000365C0000}"/>
    <cellStyle name="Normal 2 2 4 2 21 6" xfId="23607" xr:uid="{00000000-0005-0000-0000-0000375C0000}"/>
    <cellStyle name="Normal 2 2 4 2 21 7" xfId="23608" xr:uid="{00000000-0005-0000-0000-0000385C0000}"/>
    <cellStyle name="Normal 2 2 4 2 21 8" xfId="23609" xr:uid="{00000000-0005-0000-0000-0000395C0000}"/>
    <cellStyle name="Normal 2 2 4 2 21 9" xfId="23610" xr:uid="{00000000-0005-0000-0000-00003A5C0000}"/>
    <cellStyle name="Normal 2 2 4 2 22" xfId="23611" xr:uid="{00000000-0005-0000-0000-00003B5C0000}"/>
    <cellStyle name="Normal 2 2 4 2 22 10" xfId="23612" xr:uid="{00000000-0005-0000-0000-00003C5C0000}"/>
    <cellStyle name="Normal 2 2 4 2 22 2" xfId="23613" xr:uid="{00000000-0005-0000-0000-00003D5C0000}"/>
    <cellStyle name="Normal 2 2 4 2 22 3" xfId="23614" xr:uid="{00000000-0005-0000-0000-00003E5C0000}"/>
    <cellStyle name="Normal 2 2 4 2 22 4" xfId="23615" xr:uid="{00000000-0005-0000-0000-00003F5C0000}"/>
    <cellStyle name="Normal 2 2 4 2 22 5" xfId="23616" xr:uid="{00000000-0005-0000-0000-0000405C0000}"/>
    <cellStyle name="Normal 2 2 4 2 22 6" xfId="23617" xr:uid="{00000000-0005-0000-0000-0000415C0000}"/>
    <cellStyle name="Normal 2 2 4 2 22 7" xfId="23618" xr:uid="{00000000-0005-0000-0000-0000425C0000}"/>
    <cellStyle name="Normal 2 2 4 2 22 8" xfId="23619" xr:uid="{00000000-0005-0000-0000-0000435C0000}"/>
    <cellStyle name="Normal 2 2 4 2 22 9" xfId="23620" xr:uid="{00000000-0005-0000-0000-0000445C0000}"/>
    <cellStyle name="Normal 2 2 4 2 23" xfId="23621" xr:uid="{00000000-0005-0000-0000-0000455C0000}"/>
    <cellStyle name="Normal 2 2 4 2 23 10" xfId="23622" xr:uid="{00000000-0005-0000-0000-0000465C0000}"/>
    <cellStyle name="Normal 2 2 4 2 23 2" xfId="23623" xr:uid="{00000000-0005-0000-0000-0000475C0000}"/>
    <cellStyle name="Normal 2 2 4 2 23 3" xfId="23624" xr:uid="{00000000-0005-0000-0000-0000485C0000}"/>
    <cellStyle name="Normal 2 2 4 2 23 4" xfId="23625" xr:uid="{00000000-0005-0000-0000-0000495C0000}"/>
    <cellStyle name="Normal 2 2 4 2 23 5" xfId="23626" xr:uid="{00000000-0005-0000-0000-00004A5C0000}"/>
    <cellStyle name="Normal 2 2 4 2 23 6" xfId="23627" xr:uid="{00000000-0005-0000-0000-00004B5C0000}"/>
    <cellStyle name="Normal 2 2 4 2 23 7" xfId="23628" xr:uid="{00000000-0005-0000-0000-00004C5C0000}"/>
    <cellStyle name="Normal 2 2 4 2 23 8" xfId="23629" xr:uid="{00000000-0005-0000-0000-00004D5C0000}"/>
    <cellStyle name="Normal 2 2 4 2 23 9" xfId="23630" xr:uid="{00000000-0005-0000-0000-00004E5C0000}"/>
    <cellStyle name="Normal 2 2 4 2 24" xfId="23631" xr:uid="{00000000-0005-0000-0000-00004F5C0000}"/>
    <cellStyle name="Normal 2 2 4 2 24 10" xfId="23632" xr:uid="{00000000-0005-0000-0000-0000505C0000}"/>
    <cellStyle name="Normal 2 2 4 2 24 2" xfId="23633" xr:uid="{00000000-0005-0000-0000-0000515C0000}"/>
    <cellStyle name="Normal 2 2 4 2 24 3" xfId="23634" xr:uid="{00000000-0005-0000-0000-0000525C0000}"/>
    <cellStyle name="Normal 2 2 4 2 24 4" xfId="23635" xr:uid="{00000000-0005-0000-0000-0000535C0000}"/>
    <cellStyle name="Normal 2 2 4 2 24 5" xfId="23636" xr:uid="{00000000-0005-0000-0000-0000545C0000}"/>
    <cellStyle name="Normal 2 2 4 2 24 6" xfId="23637" xr:uid="{00000000-0005-0000-0000-0000555C0000}"/>
    <cellStyle name="Normal 2 2 4 2 24 7" xfId="23638" xr:uid="{00000000-0005-0000-0000-0000565C0000}"/>
    <cellStyle name="Normal 2 2 4 2 24 8" xfId="23639" xr:uid="{00000000-0005-0000-0000-0000575C0000}"/>
    <cellStyle name="Normal 2 2 4 2 24 9" xfId="23640" xr:uid="{00000000-0005-0000-0000-0000585C0000}"/>
    <cellStyle name="Normal 2 2 4 2 25" xfId="23641" xr:uid="{00000000-0005-0000-0000-0000595C0000}"/>
    <cellStyle name="Normal 2 2 4 2 26" xfId="23642" xr:uid="{00000000-0005-0000-0000-00005A5C0000}"/>
    <cellStyle name="Normal 2 2 4 2 27" xfId="23643" xr:uid="{00000000-0005-0000-0000-00005B5C0000}"/>
    <cellStyle name="Normal 2 2 4 2 28" xfId="23644" xr:uid="{00000000-0005-0000-0000-00005C5C0000}"/>
    <cellStyle name="Normal 2 2 4 2 29" xfId="23645" xr:uid="{00000000-0005-0000-0000-00005D5C0000}"/>
    <cellStyle name="Normal 2 2 4 2 3" xfId="23646" xr:uid="{00000000-0005-0000-0000-00005E5C0000}"/>
    <cellStyle name="Normal 2 2 4 2 30" xfId="23647" xr:uid="{00000000-0005-0000-0000-00005F5C0000}"/>
    <cellStyle name="Normal 2 2 4 2 31" xfId="23648" xr:uid="{00000000-0005-0000-0000-0000605C0000}"/>
    <cellStyle name="Normal 2 2 4 2 32" xfId="23649" xr:uid="{00000000-0005-0000-0000-0000615C0000}"/>
    <cellStyle name="Normal 2 2 4 2 33" xfId="23650" xr:uid="{00000000-0005-0000-0000-0000625C0000}"/>
    <cellStyle name="Normal 2 2 4 2 4" xfId="23651" xr:uid="{00000000-0005-0000-0000-0000635C0000}"/>
    <cellStyle name="Normal 2 2 4 2 5" xfId="23652" xr:uid="{00000000-0005-0000-0000-0000645C0000}"/>
    <cellStyle name="Normal 2 2 4 2 6" xfId="23653" xr:uid="{00000000-0005-0000-0000-0000655C0000}"/>
    <cellStyle name="Normal 2 2 4 2 7" xfId="23654" xr:uid="{00000000-0005-0000-0000-0000665C0000}"/>
    <cellStyle name="Normal 2 2 4 2 8" xfId="23655" xr:uid="{00000000-0005-0000-0000-0000675C0000}"/>
    <cellStyle name="Normal 2 2 4 2 9" xfId="23656" xr:uid="{00000000-0005-0000-0000-0000685C0000}"/>
    <cellStyle name="Normal 2 2 4 20" xfId="23657" xr:uid="{00000000-0005-0000-0000-0000695C0000}"/>
    <cellStyle name="Normal 2 2 4 20 10" xfId="23658" xr:uid="{00000000-0005-0000-0000-00006A5C0000}"/>
    <cellStyle name="Normal 2 2 4 20 11" xfId="23659" xr:uid="{00000000-0005-0000-0000-00006B5C0000}"/>
    <cellStyle name="Normal 2 2 4 20 12" xfId="23660" xr:uid="{00000000-0005-0000-0000-00006C5C0000}"/>
    <cellStyle name="Normal 2 2 4 20 13" xfId="23661" xr:uid="{00000000-0005-0000-0000-00006D5C0000}"/>
    <cellStyle name="Normal 2 2 4 20 14" xfId="23662" xr:uid="{00000000-0005-0000-0000-00006E5C0000}"/>
    <cellStyle name="Normal 2 2 4 20 2" xfId="23663" xr:uid="{00000000-0005-0000-0000-00006F5C0000}"/>
    <cellStyle name="Normal 2 2 4 20 2 10" xfId="23664" xr:uid="{00000000-0005-0000-0000-0000705C0000}"/>
    <cellStyle name="Normal 2 2 4 20 2 2" xfId="23665" xr:uid="{00000000-0005-0000-0000-0000715C0000}"/>
    <cellStyle name="Normal 2 2 4 20 2 3" xfId="23666" xr:uid="{00000000-0005-0000-0000-0000725C0000}"/>
    <cellStyle name="Normal 2 2 4 20 2 4" xfId="23667" xr:uid="{00000000-0005-0000-0000-0000735C0000}"/>
    <cellStyle name="Normal 2 2 4 20 2 5" xfId="23668" xr:uid="{00000000-0005-0000-0000-0000745C0000}"/>
    <cellStyle name="Normal 2 2 4 20 2 6" xfId="23669" xr:uid="{00000000-0005-0000-0000-0000755C0000}"/>
    <cellStyle name="Normal 2 2 4 20 2 7" xfId="23670" xr:uid="{00000000-0005-0000-0000-0000765C0000}"/>
    <cellStyle name="Normal 2 2 4 20 2 8" xfId="23671" xr:uid="{00000000-0005-0000-0000-0000775C0000}"/>
    <cellStyle name="Normal 2 2 4 20 2 9" xfId="23672" xr:uid="{00000000-0005-0000-0000-0000785C0000}"/>
    <cellStyle name="Normal 2 2 4 20 3" xfId="23673" xr:uid="{00000000-0005-0000-0000-0000795C0000}"/>
    <cellStyle name="Normal 2 2 4 20 3 10" xfId="23674" xr:uid="{00000000-0005-0000-0000-00007A5C0000}"/>
    <cellStyle name="Normal 2 2 4 20 3 2" xfId="23675" xr:uid="{00000000-0005-0000-0000-00007B5C0000}"/>
    <cellStyle name="Normal 2 2 4 20 3 3" xfId="23676" xr:uid="{00000000-0005-0000-0000-00007C5C0000}"/>
    <cellStyle name="Normal 2 2 4 20 3 4" xfId="23677" xr:uid="{00000000-0005-0000-0000-00007D5C0000}"/>
    <cellStyle name="Normal 2 2 4 20 3 5" xfId="23678" xr:uid="{00000000-0005-0000-0000-00007E5C0000}"/>
    <cellStyle name="Normal 2 2 4 20 3 6" xfId="23679" xr:uid="{00000000-0005-0000-0000-00007F5C0000}"/>
    <cellStyle name="Normal 2 2 4 20 3 7" xfId="23680" xr:uid="{00000000-0005-0000-0000-0000805C0000}"/>
    <cellStyle name="Normal 2 2 4 20 3 8" xfId="23681" xr:uid="{00000000-0005-0000-0000-0000815C0000}"/>
    <cellStyle name="Normal 2 2 4 20 3 9" xfId="23682" xr:uid="{00000000-0005-0000-0000-0000825C0000}"/>
    <cellStyle name="Normal 2 2 4 20 4" xfId="23683" xr:uid="{00000000-0005-0000-0000-0000835C0000}"/>
    <cellStyle name="Normal 2 2 4 20 4 10" xfId="23684" xr:uid="{00000000-0005-0000-0000-0000845C0000}"/>
    <cellStyle name="Normal 2 2 4 20 4 2" xfId="23685" xr:uid="{00000000-0005-0000-0000-0000855C0000}"/>
    <cellStyle name="Normal 2 2 4 20 4 3" xfId="23686" xr:uid="{00000000-0005-0000-0000-0000865C0000}"/>
    <cellStyle name="Normal 2 2 4 20 4 4" xfId="23687" xr:uid="{00000000-0005-0000-0000-0000875C0000}"/>
    <cellStyle name="Normal 2 2 4 20 4 5" xfId="23688" xr:uid="{00000000-0005-0000-0000-0000885C0000}"/>
    <cellStyle name="Normal 2 2 4 20 4 6" xfId="23689" xr:uid="{00000000-0005-0000-0000-0000895C0000}"/>
    <cellStyle name="Normal 2 2 4 20 4 7" xfId="23690" xr:uid="{00000000-0005-0000-0000-00008A5C0000}"/>
    <cellStyle name="Normal 2 2 4 20 4 8" xfId="23691" xr:uid="{00000000-0005-0000-0000-00008B5C0000}"/>
    <cellStyle name="Normal 2 2 4 20 4 9" xfId="23692" xr:uid="{00000000-0005-0000-0000-00008C5C0000}"/>
    <cellStyle name="Normal 2 2 4 20 5" xfId="23693" xr:uid="{00000000-0005-0000-0000-00008D5C0000}"/>
    <cellStyle name="Normal 2 2 4 20 5 10" xfId="23694" xr:uid="{00000000-0005-0000-0000-00008E5C0000}"/>
    <cellStyle name="Normal 2 2 4 20 5 2" xfId="23695" xr:uid="{00000000-0005-0000-0000-00008F5C0000}"/>
    <cellStyle name="Normal 2 2 4 20 5 3" xfId="23696" xr:uid="{00000000-0005-0000-0000-0000905C0000}"/>
    <cellStyle name="Normal 2 2 4 20 5 4" xfId="23697" xr:uid="{00000000-0005-0000-0000-0000915C0000}"/>
    <cellStyle name="Normal 2 2 4 20 5 5" xfId="23698" xr:uid="{00000000-0005-0000-0000-0000925C0000}"/>
    <cellStyle name="Normal 2 2 4 20 5 6" xfId="23699" xr:uid="{00000000-0005-0000-0000-0000935C0000}"/>
    <cellStyle name="Normal 2 2 4 20 5 7" xfId="23700" xr:uid="{00000000-0005-0000-0000-0000945C0000}"/>
    <cellStyle name="Normal 2 2 4 20 5 8" xfId="23701" xr:uid="{00000000-0005-0000-0000-0000955C0000}"/>
    <cellStyle name="Normal 2 2 4 20 5 9" xfId="23702" xr:uid="{00000000-0005-0000-0000-0000965C0000}"/>
    <cellStyle name="Normal 2 2 4 20 6" xfId="23703" xr:uid="{00000000-0005-0000-0000-0000975C0000}"/>
    <cellStyle name="Normal 2 2 4 20 7" xfId="23704" xr:uid="{00000000-0005-0000-0000-0000985C0000}"/>
    <cellStyle name="Normal 2 2 4 20 8" xfId="23705" xr:uid="{00000000-0005-0000-0000-0000995C0000}"/>
    <cellStyle name="Normal 2 2 4 20 9" xfId="23706" xr:uid="{00000000-0005-0000-0000-00009A5C0000}"/>
    <cellStyle name="Normal 2 2 4 21" xfId="23707" xr:uid="{00000000-0005-0000-0000-00009B5C0000}"/>
    <cellStyle name="Normal 2 2 4 21 10" xfId="23708" xr:uid="{00000000-0005-0000-0000-00009C5C0000}"/>
    <cellStyle name="Normal 2 2 4 21 11" xfId="23709" xr:uid="{00000000-0005-0000-0000-00009D5C0000}"/>
    <cellStyle name="Normal 2 2 4 21 12" xfId="23710" xr:uid="{00000000-0005-0000-0000-00009E5C0000}"/>
    <cellStyle name="Normal 2 2 4 21 13" xfId="23711" xr:uid="{00000000-0005-0000-0000-00009F5C0000}"/>
    <cellStyle name="Normal 2 2 4 21 14" xfId="23712" xr:uid="{00000000-0005-0000-0000-0000A05C0000}"/>
    <cellStyle name="Normal 2 2 4 21 2" xfId="23713" xr:uid="{00000000-0005-0000-0000-0000A15C0000}"/>
    <cellStyle name="Normal 2 2 4 21 2 10" xfId="23714" xr:uid="{00000000-0005-0000-0000-0000A25C0000}"/>
    <cellStyle name="Normal 2 2 4 21 2 2" xfId="23715" xr:uid="{00000000-0005-0000-0000-0000A35C0000}"/>
    <cellStyle name="Normal 2 2 4 21 2 3" xfId="23716" xr:uid="{00000000-0005-0000-0000-0000A45C0000}"/>
    <cellStyle name="Normal 2 2 4 21 2 4" xfId="23717" xr:uid="{00000000-0005-0000-0000-0000A55C0000}"/>
    <cellStyle name="Normal 2 2 4 21 2 5" xfId="23718" xr:uid="{00000000-0005-0000-0000-0000A65C0000}"/>
    <cellStyle name="Normal 2 2 4 21 2 6" xfId="23719" xr:uid="{00000000-0005-0000-0000-0000A75C0000}"/>
    <cellStyle name="Normal 2 2 4 21 2 7" xfId="23720" xr:uid="{00000000-0005-0000-0000-0000A85C0000}"/>
    <cellStyle name="Normal 2 2 4 21 2 8" xfId="23721" xr:uid="{00000000-0005-0000-0000-0000A95C0000}"/>
    <cellStyle name="Normal 2 2 4 21 2 9" xfId="23722" xr:uid="{00000000-0005-0000-0000-0000AA5C0000}"/>
    <cellStyle name="Normal 2 2 4 21 3" xfId="23723" xr:uid="{00000000-0005-0000-0000-0000AB5C0000}"/>
    <cellStyle name="Normal 2 2 4 21 3 10" xfId="23724" xr:uid="{00000000-0005-0000-0000-0000AC5C0000}"/>
    <cellStyle name="Normal 2 2 4 21 3 2" xfId="23725" xr:uid="{00000000-0005-0000-0000-0000AD5C0000}"/>
    <cellStyle name="Normal 2 2 4 21 3 3" xfId="23726" xr:uid="{00000000-0005-0000-0000-0000AE5C0000}"/>
    <cellStyle name="Normal 2 2 4 21 3 4" xfId="23727" xr:uid="{00000000-0005-0000-0000-0000AF5C0000}"/>
    <cellStyle name="Normal 2 2 4 21 3 5" xfId="23728" xr:uid="{00000000-0005-0000-0000-0000B05C0000}"/>
    <cellStyle name="Normal 2 2 4 21 3 6" xfId="23729" xr:uid="{00000000-0005-0000-0000-0000B15C0000}"/>
    <cellStyle name="Normal 2 2 4 21 3 7" xfId="23730" xr:uid="{00000000-0005-0000-0000-0000B25C0000}"/>
    <cellStyle name="Normal 2 2 4 21 3 8" xfId="23731" xr:uid="{00000000-0005-0000-0000-0000B35C0000}"/>
    <cellStyle name="Normal 2 2 4 21 3 9" xfId="23732" xr:uid="{00000000-0005-0000-0000-0000B45C0000}"/>
    <cellStyle name="Normal 2 2 4 21 4" xfId="23733" xr:uid="{00000000-0005-0000-0000-0000B55C0000}"/>
    <cellStyle name="Normal 2 2 4 21 4 10" xfId="23734" xr:uid="{00000000-0005-0000-0000-0000B65C0000}"/>
    <cellStyle name="Normal 2 2 4 21 4 2" xfId="23735" xr:uid="{00000000-0005-0000-0000-0000B75C0000}"/>
    <cellStyle name="Normal 2 2 4 21 4 3" xfId="23736" xr:uid="{00000000-0005-0000-0000-0000B85C0000}"/>
    <cellStyle name="Normal 2 2 4 21 4 4" xfId="23737" xr:uid="{00000000-0005-0000-0000-0000B95C0000}"/>
    <cellStyle name="Normal 2 2 4 21 4 5" xfId="23738" xr:uid="{00000000-0005-0000-0000-0000BA5C0000}"/>
    <cellStyle name="Normal 2 2 4 21 4 6" xfId="23739" xr:uid="{00000000-0005-0000-0000-0000BB5C0000}"/>
    <cellStyle name="Normal 2 2 4 21 4 7" xfId="23740" xr:uid="{00000000-0005-0000-0000-0000BC5C0000}"/>
    <cellStyle name="Normal 2 2 4 21 4 8" xfId="23741" xr:uid="{00000000-0005-0000-0000-0000BD5C0000}"/>
    <cellStyle name="Normal 2 2 4 21 4 9" xfId="23742" xr:uid="{00000000-0005-0000-0000-0000BE5C0000}"/>
    <cellStyle name="Normal 2 2 4 21 5" xfId="23743" xr:uid="{00000000-0005-0000-0000-0000BF5C0000}"/>
    <cellStyle name="Normal 2 2 4 21 5 10" xfId="23744" xr:uid="{00000000-0005-0000-0000-0000C05C0000}"/>
    <cellStyle name="Normal 2 2 4 21 5 2" xfId="23745" xr:uid="{00000000-0005-0000-0000-0000C15C0000}"/>
    <cellStyle name="Normal 2 2 4 21 5 3" xfId="23746" xr:uid="{00000000-0005-0000-0000-0000C25C0000}"/>
    <cellStyle name="Normal 2 2 4 21 5 4" xfId="23747" xr:uid="{00000000-0005-0000-0000-0000C35C0000}"/>
    <cellStyle name="Normal 2 2 4 21 5 5" xfId="23748" xr:uid="{00000000-0005-0000-0000-0000C45C0000}"/>
    <cellStyle name="Normal 2 2 4 21 5 6" xfId="23749" xr:uid="{00000000-0005-0000-0000-0000C55C0000}"/>
    <cellStyle name="Normal 2 2 4 21 5 7" xfId="23750" xr:uid="{00000000-0005-0000-0000-0000C65C0000}"/>
    <cellStyle name="Normal 2 2 4 21 5 8" xfId="23751" xr:uid="{00000000-0005-0000-0000-0000C75C0000}"/>
    <cellStyle name="Normal 2 2 4 21 5 9" xfId="23752" xr:uid="{00000000-0005-0000-0000-0000C85C0000}"/>
    <cellStyle name="Normal 2 2 4 21 6" xfId="23753" xr:uid="{00000000-0005-0000-0000-0000C95C0000}"/>
    <cellStyle name="Normal 2 2 4 21 7" xfId="23754" xr:uid="{00000000-0005-0000-0000-0000CA5C0000}"/>
    <cellStyle name="Normal 2 2 4 21 8" xfId="23755" xr:uid="{00000000-0005-0000-0000-0000CB5C0000}"/>
    <cellStyle name="Normal 2 2 4 21 9" xfId="23756" xr:uid="{00000000-0005-0000-0000-0000CC5C0000}"/>
    <cellStyle name="Normal 2 2 4 22" xfId="23757" xr:uid="{00000000-0005-0000-0000-0000CD5C0000}"/>
    <cellStyle name="Normal 2 2 4 22 10" xfId="23758" xr:uid="{00000000-0005-0000-0000-0000CE5C0000}"/>
    <cellStyle name="Normal 2 2 4 22 11" xfId="23759" xr:uid="{00000000-0005-0000-0000-0000CF5C0000}"/>
    <cellStyle name="Normal 2 2 4 22 12" xfId="23760" xr:uid="{00000000-0005-0000-0000-0000D05C0000}"/>
    <cellStyle name="Normal 2 2 4 22 13" xfId="23761" xr:uid="{00000000-0005-0000-0000-0000D15C0000}"/>
    <cellStyle name="Normal 2 2 4 22 14" xfId="23762" xr:uid="{00000000-0005-0000-0000-0000D25C0000}"/>
    <cellStyle name="Normal 2 2 4 22 2" xfId="23763" xr:uid="{00000000-0005-0000-0000-0000D35C0000}"/>
    <cellStyle name="Normal 2 2 4 22 2 10" xfId="23764" xr:uid="{00000000-0005-0000-0000-0000D45C0000}"/>
    <cellStyle name="Normal 2 2 4 22 2 2" xfId="23765" xr:uid="{00000000-0005-0000-0000-0000D55C0000}"/>
    <cellStyle name="Normal 2 2 4 22 2 3" xfId="23766" xr:uid="{00000000-0005-0000-0000-0000D65C0000}"/>
    <cellStyle name="Normal 2 2 4 22 2 4" xfId="23767" xr:uid="{00000000-0005-0000-0000-0000D75C0000}"/>
    <cellStyle name="Normal 2 2 4 22 2 5" xfId="23768" xr:uid="{00000000-0005-0000-0000-0000D85C0000}"/>
    <cellStyle name="Normal 2 2 4 22 2 6" xfId="23769" xr:uid="{00000000-0005-0000-0000-0000D95C0000}"/>
    <cellStyle name="Normal 2 2 4 22 2 7" xfId="23770" xr:uid="{00000000-0005-0000-0000-0000DA5C0000}"/>
    <cellStyle name="Normal 2 2 4 22 2 8" xfId="23771" xr:uid="{00000000-0005-0000-0000-0000DB5C0000}"/>
    <cellStyle name="Normal 2 2 4 22 2 9" xfId="23772" xr:uid="{00000000-0005-0000-0000-0000DC5C0000}"/>
    <cellStyle name="Normal 2 2 4 22 3" xfId="23773" xr:uid="{00000000-0005-0000-0000-0000DD5C0000}"/>
    <cellStyle name="Normal 2 2 4 22 3 10" xfId="23774" xr:uid="{00000000-0005-0000-0000-0000DE5C0000}"/>
    <cellStyle name="Normal 2 2 4 22 3 2" xfId="23775" xr:uid="{00000000-0005-0000-0000-0000DF5C0000}"/>
    <cellStyle name="Normal 2 2 4 22 3 3" xfId="23776" xr:uid="{00000000-0005-0000-0000-0000E05C0000}"/>
    <cellStyle name="Normal 2 2 4 22 3 4" xfId="23777" xr:uid="{00000000-0005-0000-0000-0000E15C0000}"/>
    <cellStyle name="Normal 2 2 4 22 3 5" xfId="23778" xr:uid="{00000000-0005-0000-0000-0000E25C0000}"/>
    <cellStyle name="Normal 2 2 4 22 3 6" xfId="23779" xr:uid="{00000000-0005-0000-0000-0000E35C0000}"/>
    <cellStyle name="Normal 2 2 4 22 3 7" xfId="23780" xr:uid="{00000000-0005-0000-0000-0000E45C0000}"/>
    <cellStyle name="Normal 2 2 4 22 3 8" xfId="23781" xr:uid="{00000000-0005-0000-0000-0000E55C0000}"/>
    <cellStyle name="Normal 2 2 4 22 3 9" xfId="23782" xr:uid="{00000000-0005-0000-0000-0000E65C0000}"/>
    <cellStyle name="Normal 2 2 4 22 4" xfId="23783" xr:uid="{00000000-0005-0000-0000-0000E75C0000}"/>
    <cellStyle name="Normal 2 2 4 22 4 10" xfId="23784" xr:uid="{00000000-0005-0000-0000-0000E85C0000}"/>
    <cellStyle name="Normal 2 2 4 22 4 2" xfId="23785" xr:uid="{00000000-0005-0000-0000-0000E95C0000}"/>
    <cellStyle name="Normal 2 2 4 22 4 3" xfId="23786" xr:uid="{00000000-0005-0000-0000-0000EA5C0000}"/>
    <cellStyle name="Normal 2 2 4 22 4 4" xfId="23787" xr:uid="{00000000-0005-0000-0000-0000EB5C0000}"/>
    <cellStyle name="Normal 2 2 4 22 4 5" xfId="23788" xr:uid="{00000000-0005-0000-0000-0000EC5C0000}"/>
    <cellStyle name="Normal 2 2 4 22 4 6" xfId="23789" xr:uid="{00000000-0005-0000-0000-0000ED5C0000}"/>
    <cellStyle name="Normal 2 2 4 22 4 7" xfId="23790" xr:uid="{00000000-0005-0000-0000-0000EE5C0000}"/>
    <cellStyle name="Normal 2 2 4 22 4 8" xfId="23791" xr:uid="{00000000-0005-0000-0000-0000EF5C0000}"/>
    <cellStyle name="Normal 2 2 4 22 4 9" xfId="23792" xr:uid="{00000000-0005-0000-0000-0000F05C0000}"/>
    <cellStyle name="Normal 2 2 4 22 5" xfId="23793" xr:uid="{00000000-0005-0000-0000-0000F15C0000}"/>
    <cellStyle name="Normal 2 2 4 22 5 10" xfId="23794" xr:uid="{00000000-0005-0000-0000-0000F25C0000}"/>
    <cellStyle name="Normal 2 2 4 22 5 2" xfId="23795" xr:uid="{00000000-0005-0000-0000-0000F35C0000}"/>
    <cellStyle name="Normal 2 2 4 22 5 3" xfId="23796" xr:uid="{00000000-0005-0000-0000-0000F45C0000}"/>
    <cellStyle name="Normal 2 2 4 22 5 4" xfId="23797" xr:uid="{00000000-0005-0000-0000-0000F55C0000}"/>
    <cellStyle name="Normal 2 2 4 22 5 5" xfId="23798" xr:uid="{00000000-0005-0000-0000-0000F65C0000}"/>
    <cellStyle name="Normal 2 2 4 22 5 6" xfId="23799" xr:uid="{00000000-0005-0000-0000-0000F75C0000}"/>
    <cellStyle name="Normal 2 2 4 22 5 7" xfId="23800" xr:uid="{00000000-0005-0000-0000-0000F85C0000}"/>
    <cellStyle name="Normal 2 2 4 22 5 8" xfId="23801" xr:uid="{00000000-0005-0000-0000-0000F95C0000}"/>
    <cellStyle name="Normal 2 2 4 22 5 9" xfId="23802" xr:uid="{00000000-0005-0000-0000-0000FA5C0000}"/>
    <cellStyle name="Normal 2 2 4 22 6" xfId="23803" xr:uid="{00000000-0005-0000-0000-0000FB5C0000}"/>
    <cellStyle name="Normal 2 2 4 22 7" xfId="23804" xr:uid="{00000000-0005-0000-0000-0000FC5C0000}"/>
    <cellStyle name="Normal 2 2 4 22 8" xfId="23805" xr:uid="{00000000-0005-0000-0000-0000FD5C0000}"/>
    <cellStyle name="Normal 2 2 4 22 9" xfId="23806" xr:uid="{00000000-0005-0000-0000-0000FE5C0000}"/>
    <cellStyle name="Normal 2 2 4 23" xfId="23807" xr:uid="{00000000-0005-0000-0000-0000FF5C0000}"/>
    <cellStyle name="Normal 2 2 4 23 10" xfId="23808" xr:uid="{00000000-0005-0000-0000-0000005D0000}"/>
    <cellStyle name="Normal 2 2 4 23 11" xfId="23809" xr:uid="{00000000-0005-0000-0000-0000015D0000}"/>
    <cellStyle name="Normal 2 2 4 23 12" xfId="23810" xr:uid="{00000000-0005-0000-0000-0000025D0000}"/>
    <cellStyle name="Normal 2 2 4 23 13" xfId="23811" xr:uid="{00000000-0005-0000-0000-0000035D0000}"/>
    <cellStyle name="Normal 2 2 4 23 14" xfId="23812" xr:uid="{00000000-0005-0000-0000-0000045D0000}"/>
    <cellStyle name="Normal 2 2 4 23 2" xfId="23813" xr:uid="{00000000-0005-0000-0000-0000055D0000}"/>
    <cellStyle name="Normal 2 2 4 23 2 10" xfId="23814" xr:uid="{00000000-0005-0000-0000-0000065D0000}"/>
    <cellStyle name="Normal 2 2 4 23 2 2" xfId="23815" xr:uid="{00000000-0005-0000-0000-0000075D0000}"/>
    <cellStyle name="Normal 2 2 4 23 2 3" xfId="23816" xr:uid="{00000000-0005-0000-0000-0000085D0000}"/>
    <cellStyle name="Normal 2 2 4 23 2 4" xfId="23817" xr:uid="{00000000-0005-0000-0000-0000095D0000}"/>
    <cellStyle name="Normal 2 2 4 23 2 5" xfId="23818" xr:uid="{00000000-0005-0000-0000-00000A5D0000}"/>
    <cellStyle name="Normal 2 2 4 23 2 6" xfId="23819" xr:uid="{00000000-0005-0000-0000-00000B5D0000}"/>
    <cellStyle name="Normal 2 2 4 23 2 7" xfId="23820" xr:uid="{00000000-0005-0000-0000-00000C5D0000}"/>
    <cellStyle name="Normal 2 2 4 23 2 8" xfId="23821" xr:uid="{00000000-0005-0000-0000-00000D5D0000}"/>
    <cellStyle name="Normal 2 2 4 23 2 9" xfId="23822" xr:uid="{00000000-0005-0000-0000-00000E5D0000}"/>
    <cellStyle name="Normal 2 2 4 23 3" xfId="23823" xr:uid="{00000000-0005-0000-0000-00000F5D0000}"/>
    <cellStyle name="Normal 2 2 4 23 3 10" xfId="23824" xr:uid="{00000000-0005-0000-0000-0000105D0000}"/>
    <cellStyle name="Normal 2 2 4 23 3 2" xfId="23825" xr:uid="{00000000-0005-0000-0000-0000115D0000}"/>
    <cellStyle name="Normal 2 2 4 23 3 3" xfId="23826" xr:uid="{00000000-0005-0000-0000-0000125D0000}"/>
    <cellStyle name="Normal 2 2 4 23 3 4" xfId="23827" xr:uid="{00000000-0005-0000-0000-0000135D0000}"/>
    <cellStyle name="Normal 2 2 4 23 3 5" xfId="23828" xr:uid="{00000000-0005-0000-0000-0000145D0000}"/>
    <cellStyle name="Normal 2 2 4 23 3 6" xfId="23829" xr:uid="{00000000-0005-0000-0000-0000155D0000}"/>
    <cellStyle name="Normal 2 2 4 23 3 7" xfId="23830" xr:uid="{00000000-0005-0000-0000-0000165D0000}"/>
    <cellStyle name="Normal 2 2 4 23 3 8" xfId="23831" xr:uid="{00000000-0005-0000-0000-0000175D0000}"/>
    <cellStyle name="Normal 2 2 4 23 3 9" xfId="23832" xr:uid="{00000000-0005-0000-0000-0000185D0000}"/>
    <cellStyle name="Normal 2 2 4 23 4" xfId="23833" xr:uid="{00000000-0005-0000-0000-0000195D0000}"/>
    <cellStyle name="Normal 2 2 4 23 4 10" xfId="23834" xr:uid="{00000000-0005-0000-0000-00001A5D0000}"/>
    <cellStyle name="Normal 2 2 4 23 4 2" xfId="23835" xr:uid="{00000000-0005-0000-0000-00001B5D0000}"/>
    <cellStyle name="Normal 2 2 4 23 4 3" xfId="23836" xr:uid="{00000000-0005-0000-0000-00001C5D0000}"/>
    <cellStyle name="Normal 2 2 4 23 4 4" xfId="23837" xr:uid="{00000000-0005-0000-0000-00001D5D0000}"/>
    <cellStyle name="Normal 2 2 4 23 4 5" xfId="23838" xr:uid="{00000000-0005-0000-0000-00001E5D0000}"/>
    <cellStyle name="Normal 2 2 4 23 4 6" xfId="23839" xr:uid="{00000000-0005-0000-0000-00001F5D0000}"/>
    <cellStyle name="Normal 2 2 4 23 4 7" xfId="23840" xr:uid="{00000000-0005-0000-0000-0000205D0000}"/>
    <cellStyle name="Normal 2 2 4 23 4 8" xfId="23841" xr:uid="{00000000-0005-0000-0000-0000215D0000}"/>
    <cellStyle name="Normal 2 2 4 23 4 9" xfId="23842" xr:uid="{00000000-0005-0000-0000-0000225D0000}"/>
    <cellStyle name="Normal 2 2 4 23 5" xfId="23843" xr:uid="{00000000-0005-0000-0000-0000235D0000}"/>
    <cellStyle name="Normal 2 2 4 23 5 10" xfId="23844" xr:uid="{00000000-0005-0000-0000-0000245D0000}"/>
    <cellStyle name="Normal 2 2 4 23 5 2" xfId="23845" xr:uid="{00000000-0005-0000-0000-0000255D0000}"/>
    <cellStyle name="Normal 2 2 4 23 5 3" xfId="23846" xr:uid="{00000000-0005-0000-0000-0000265D0000}"/>
    <cellStyle name="Normal 2 2 4 23 5 4" xfId="23847" xr:uid="{00000000-0005-0000-0000-0000275D0000}"/>
    <cellStyle name="Normal 2 2 4 23 5 5" xfId="23848" xr:uid="{00000000-0005-0000-0000-0000285D0000}"/>
    <cellStyle name="Normal 2 2 4 23 5 6" xfId="23849" xr:uid="{00000000-0005-0000-0000-0000295D0000}"/>
    <cellStyle name="Normal 2 2 4 23 5 7" xfId="23850" xr:uid="{00000000-0005-0000-0000-00002A5D0000}"/>
    <cellStyle name="Normal 2 2 4 23 5 8" xfId="23851" xr:uid="{00000000-0005-0000-0000-00002B5D0000}"/>
    <cellStyle name="Normal 2 2 4 23 5 9" xfId="23852" xr:uid="{00000000-0005-0000-0000-00002C5D0000}"/>
    <cellStyle name="Normal 2 2 4 23 6" xfId="23853" xr:uid="{00000000-0005-0000-0000-00002D5D0000}"/>
    <cellStyle name="Normal 2 2 4 23 7" xfId="23854" xr:uid="{00000000-0005-0000-0000-00002E5D0000}"/>
    <cellStyle name="Normal 2 2 4 23 8" xfId="23855" xr:uid="{00000000-0005-0000-0000-00002F5D0000}"/>
    <cellStyle name="Normal 2 2 4 23 9" xfId="23856" xr:uid="{00000000-0005-0000-0000-0000305D0000}"/>
    <cellStyle name="Normal 2 2 4 24" xfId="23857" xr:uid="{00000000-0005-0000-0000-0000315D0000}"/>
    <cellStyle name="Normal 2 2 4 24 10" xfId="23858" xr:uid="{00000000-0005-0000-0000-0000325D0000}"/>
    <cellStyle name="Normal 2 2 4 24 11" xfId="23859" xr:uid="{00000000-0005-0000-0000-0000335D0000}"/>
    <cellStyle name="Normal 2 2 4 24 12" xfId="23860" xr:uid="{00000000-0005-0000-0000-0000345D0000}"/>
    <cellStyle name="Normal 2 2 4 24 13" xfId="23861" xr:uid="{00000000-0005-0000-0000-0000355D0000}"/>
    <cellStyle name="Normal 2 2 4 24 14" xfId="23862" xr:uid="{00000000-0005-0000-0000-0000365D0000}"/>
    <cellStyle name="Normal 2 2 4 24 2" xfId="23863" xr:uid="{00000000-0005-0000-0000-0000375D0000}"/>
    <cellStyle name="Normal 2 2 4 24 2 10" xfId="23864" xr:uid="{00000000-0005-0000-0000-0000385D0000}"/>
    <cellStyle name="Normal 2 2 4 24 2 2" xfId="23865" xr:uid="{00000000-0005-0000-0000-0000395D0000}"/>
    <cellStyle name="Normal 2 2 4 24 2 3" xfId="23866" xr:uid="{00000000-0005-0000-0000-00003A5D0000}"/>
    <cellStyle name="Normal 2 2 4 24 2 4" xfId="23867" xr:uid="{00000000-0005-0000-0000-00003B5D0000}"/>
    <cellStyle name="Normal 2 2 4 24 2 5" xfId="23868" xr:uid="{00000000-0005-0000-0000-00003C5D0000}"/>
    <cellStyle name="Normal 2 2 4 24 2 6" xfId="23869" xr:uid="{00000000-0005-0000-0000-00003D5D0000}"/>
    <cellStyle name="Normal 2 2 4 24 2 7" xfId="23870" xr:uid="{00000000-0005-0000-0000-00003E5D0000}"/>
    <cellStyle name="Normal 2 2 4 24 2 8" xfId="23871" xr:uid="{00000000-0005-0000-0000-00003F5D0000}"/>
    <cellStyle name="Normal 2 2 4 24 2 9" xfId="23872" xr:uid="{00000000-0005-0000-0000-0000405D0000}"/>
    <cellStyle name="Normal 2 2 4 24 3" xfId="23873" xr:uid="{00000000-0005-0000-0000-0000415D0000}"/>
    <cellStyle name="Normal 2 2 4 24 3 10" xfId="23874" xr:uid="{00000000-0005-0000-0000-0000425D0000}"/>
    <cellStyle name="Normal 2 2 4 24 3 2" xfId="23875" xr:uid="{00000000-0005-0000-0000-0000435D0000}"/>
    <cellStyle name="Normal 2 2 4 24 3 3" xfId="23876" xr:uid="{00000000-0005-0000-0000-0000445D0000}"/>
    <cellStyle name="Normal 2 2 4 24 3 4" xfId="23877" xr:uid="{00000000-0005-0000-0000-0000455D0000}"/>
    <cellStyle name="Normal 2 2 4 24 3 5" xfId="23878" xr:uid="{00000000-0005-0000-0000-0000465D0000}"/>
    <cellStyle name="Normal 2 2 4 24 3 6" xfId="23879" xr:uid="{00000000-0005-0000-0000-0000475D0000}"/>
    <cellStyle name="Normal 2 2 4 24 3 7" xfId="23880" xr:uid="{00000000-0005-0000-0000-0000485D0000}"/>
    <cellStyle name="Normal 2 2 4 24 3 8" xfId="23881" xr:uid="{00000000-0005-0000-0000-0000495D0000}"/>
    <cellStyle name="Normal 2 2 4 24 3 9" xfId="23882" xr:uid="{00000000-0005-0000-0000-00004A5D0000}"/>
    <cellStyle name="Normal 2 2 4 24 4" xfId="23883" xr:uid="{00000000-0005-0000-0000-00004B5D0000}"/>
    <cellStyle name="Normal 2 2 4 24 4 10" xfId="23884" xr:uid="{00000000-0005-0000-0000-00004C5D0000}"/>
    <cellStyle name="Normal 2 2 4 24 4 2" xfId="23885" xr:uid="{00000000-0005-0000-0000-00004D5D0000}"/>
    <cellStyle name="Normal 2 2 4 24 4 3" xfId="23886" xr:uid="{00000000-0005-0000-0000-00004E5D0000}"/>
    <cellStyle name="Normal 2 2 4 24 4 4" xfId="23887" xr:uid="{00000000-0005-0000-0000-00004F5D0000}"/>
    <cellStyle name="Normal 2 2 4 24 4 5" xfId="23888" xr:uid="{00000000-0005-0000-0000-0000505D0000}"/>
    <cellStyle name="Normal 2 2 4 24 4 6" xfId="23889" xr:uid="{00000000-0005-0000-0000-0000515D0000}"/>
    <cellStyle name="Normal 2 2 4 24 4 7" xfId="23890" xr:uid="{00000000-0005-0000-0000-0000525D0000}"/>
    <cellStyle name="Normal 2 2 4 24 4 8" xfId="23891" xr:uid="{00000000-0005-0000-0000-0000535D0000}"/>
    <cellStyle name="Normal 2 2 4 24 4 9" xfId="23892" xr:uid="{00000000-0005-0000-0000-0000545D0000}"/>
    <cellStyle name="Normal 2 2 4 24 5" xfId="23893" xr:uid="{00000000-0005-0000-0000-0000555D0000}"/>
    <cellStyle name="Normal 2 2 4 24 5 10" xfId="23894" xr:uid="{00000000-0005-0000-0000-0000565D0000}"/>
    <cellStyle name="Normal 2 2 4 24 5 2" xfId="23895" xr:uid="{00000000-0005-0000-0000-0000575D0000}"/>
    <cellStyle name="Normal 2 2 4 24 5 3" xfId="23896" xr:uid="{00000000-0005-0000-0000-0000585D0000}"/>
    <cellStyle name="Normal 2 2 4 24 5 4" xfId="23897" xr:uid="{00000000-0005-0000-0000-0000595D0000}"/>
    <cellStyle name="Normal 2 2 4 24 5 5" xfId="23898" xr:uid="{00000000-0005-0000-0000-00005A5D0000}"/>
    <cellStyle name="Normal 2 2 4 24 5 6" xfId="23899" xr:uid="{00000000-0005-0000-0000-00005B5D0000}"/>
    <cellStyle name="Normal 2 2 4 24 5 7" xfId="23900" xr:uid="{00000000-0005-0000-0000-00005C5D0000}"/>
    <cellStyle name="Normal 2 2 4 24 5 8" xfId="23901" xr:uid="{00000000-0005-0000-0000-00005D5D0000}"/>
    <cellStyle name="Normal 2 2 4 24 5 9" xfId="23902" xr:uid="{00000000-0005-0000-0000-00005E5D0000}"/>
    <cellStyle name="Normal 2 2 4 24 6" xfId="23903" xr:uid="{00000000-0005-0000-0000-00005F5D0000}"/>
    <cellStyle name="Normal 2 2 4 24 7" xfId="23904" xr:uid="{00000000-0005-0000-0000-0000605D0000}"/>
    <cellStyle name="Normal 2 2 4 24 8" xfId="23905" xr:uid="{00000000-0005-0000-0000-0000615D0000}"/>
    <cellStyle name="Normal 2 2 4 24 9" xfId="23906" xr:uid="{00000000-0005-0000-0000-0000625D0000}"/>
    <cellStyle name="Normal 2 2 4 25" xfId="23907" xr:uid="{00000000-0005-0000-0000-0000635D0000}"/>
    <cellStyle name="Normal 2 2 4 25 10" xfId="23908" xr:uid="{00000000-0005-0000-0000-0000645D0000}"/>
    <cellStyle name="Normal 2 2 4 25 11" xfId="23909" xr:uid="{00000000-0005-0000-0000-0000655D0000}"/>
    <cellStyle name="Normal 2 2 4 25 12" xfId="23910" xr:uid="{00000000-0005-0000-0000-0000665D0000}"/>
    <cellStyle name="Normal 2 2 4 25 13" xfId="23911" xr:uid="{00000000-0005-0000-0000-0000675D0000}"/>
    <cellStyle name="Normal 2 2 4 25 14" xfId="23912" xr:uid="{00000000-0005-0000-0000-0000685D0000}"/>
    <cellStyle name="Normal 2 2 4 25 2" xfId="23913" xr:uid="{00000000-0005-0000-0000-0000695D0000}"/>
    <cellStyle name="Normal 2 2 4 25 2 10" xfId="23914" xr:uid="{00000000-0005-0000-0000-00006A5D0000}"/>
    <cellStyle name="Normal 2 2 4 25 2 2" xfId="23915" xr:uid="{00000000-0005-0000-0000-00006B5D0000}"/>
    <cellStyle name="Normal 2 2 4 25 2 3" xfId="23916" xr:uid="{00000000-0005-0000-0000-00006C5D0000}"/>
    <cellStyle name="Normal 2 2 4 25 2 4" xfId="23917" xr:uid="{00000000-0005-0000-0000-00006D5D0000}"/>
    <cellStyle name="Normal 2 2 4 25 2 5" xfId="23918" xr:uid="{00000000-0005-0000-0000-00006E5D0000}"/>
    <cellStyle name="Normal 2 2 4 25 2 6" xfId="23919" xr:uid="{00000000-0005-0000-0000-00006F5D0000}"/>
    <cellStyle name="Normal 2 2 4 25 2 7" xfId="23920" xr:uid="{00000000-0005-0000-0000-0000705D0000}"/>
    <cellStyle name="Normal 2 2 4 25 2 8" xfId="23921" xr:uid="{00000000-0005-0000-0000-0000715D0000}"/>
    <cellStyle name="Normal 2 2 4 25 2 9" xfId="23922" xr:uid="{00000000-0005-0000-0000-0000725D0000}"/>
    <cellStyle name="Normal 2 2 4 25 3" xfId="23923" xr:uid="{00000000-0005-0000-0000-0000735D0000}"/>
    <cellStyle name="Normal 2 2 4 25 3 10" xfId="23924" xr:uid="{00000000-0005-0000-0000-0000745D0000}"/>
    <cellStyle name="Normal 2 2 4 25 3 2" xfId="23925" xr:uid="{00000000-0005-0000-0000-0000755D0000}"/>
    <cellStyle name="Normal 2 2 4 25 3 3" xfId="23926" xr:uid="{00000000-0005-0000-0000-0000765D0000}"/>
    <cellStyle name="Normal 2 2 4 25 3 4" xfId="23927" xr:uid="{00000000-0005-0000-0000-0000775D0000}"/>
    <cellStyle name="Normal 2 2 4 25 3 5" xfId="23928" xr:uid="{00000000-0005-0000-0000-0000785D0000}"/>
    <cellStyle name="Normal 2 2 4 25 3 6" xfId="23929" xr:uid="{00000000-0005-0000-0000-0000795D0000}"/>
    <cellStyle name="Normal 2 2 4 25 3 7" xfId="23930" xr:uid="{00000000-0005-0000-0000-00007A5D0000}"/>
    <cellStyle name="Normal 2 2 4 25 3 8" xfId="23931" xr:uid="{00000000-0005-0000-0000-00007B5D0000}"/>
    <cellStyle name="Normal 2 2 4 25 3 9" xfId="23932" xr:uid="{00000000-0005-0000-0000-00007C5D0000}"/>
    <cellStyle name="Normal 2 2 4 25 4" xfId="23933" xr:uid="{00000000-0005-0000-0000-00007D5D0000}"/>
    <cellStyle name="Normal 2 2 4 25 4 10" xfId="23934" xr:uid="{00000000-0005-0000-0000-00007E5D0000}"/>
    <cellStyle name="Normal 2 2 4 25 4 2" xfId="23935" xr:uid="{00000000-0005-0000-0000-00007F5D0000}"/>
    <cellStyle name="Normal 2 2 4 25 4 3" xfId="23936" xr:uid="{00000000-0005-0000-0000-0000805D0000}"/>
    <cellStyle name="Normal 2 2 4 25 4 4" xfId="23937" xr:uid="{00000000-0005-0000-0000-0000815D0000}"/>
    <cellStyle name="Normal 2 2 4 25 4 5" xfId="23938" xr:uid="{00000000-0005-0000-0000-0000825D0000}"/>
    <cellStyle name="Normal 2 2 4 25 4 6" xfId="23939" xr:uid="{00000000-0005-0000-0000-0000835D0000}"/>
    <cellStyle name="Normal 2 2 4 25 4 7" xfId="23940" xr:uid="{00000000-0005-0000-0000-0000845D0000}"/>
    <cellStyle name="Normal 2 2 4 25 4 8" xfId="23941" xr:uid="{00000000-0005-0000-0000-0000855D0000}"/>
    <cellStyle name="Normal 2 2 4 25 4 9" xfId="23942" xr:uid="{00000000-0005-0000-0000-0000865D0000}"/>
    <cellStyle name="Normal 2 2 4 25 5" xfId="23943" xr:uid="{00000000-0005-0000-0000-0000875D0000}"/>
    <cellStyle name="Normal 2 2 4 25 5 10" xfId="23944" xr:uid="{00000000-0005-0000-0000-0000885D0000}"/>
    <cellStyle name="Normal 2 2 4 25 5 2" xfId="23945" xr:uid="{00000000-0005-0000-0000-0000895D0000}"/>
    <cellStyle name="Normal 2 2 4 25 5 3" xfId="23946" xr:uid="{00000000-0005-0000-0000-00008A5D0000}"/>
    <cellStyle name="Normal 2 2 4 25 5 4" xfId="23947" xr:uid="{00000000-0005-0000-0000-00008B5D0000}"/>
    <cellStyle name="Normal 2 2 4 25 5 5" xfId="23948" xr:uid="{00000000-0005-0000-0000-00008C5D0000}"/>
    <cellStyle name="Normal 2 2 4 25 5 6" xfId="23949" xr:uid="{00000000-0005-0000-0000-00008D5D0000}"/>
    <cellStyle name="Normal 2 2 4 25 5 7" xfId="23950" xr:uid="{00000000-0005-0000-0000-00008E5D0000}"/>
    <cellStyle name="Normal 2 2 4 25 5 8" xfId="23951" xr:uid="{00000000-0005-0000-0000-00008F5D0000}"/>
    <cellStyle name="Normal 2 2 4 25 5 9" xfId="23952" xr:uid="{00000000-0005-0000-0000-0000905D0000}"/>
    <cellStyle name="Normal 2 2 4 25 6" xfId="23953" xr:uid="{00000000-0005-0000-0000-0000915D0000}"/>
    <cellStyle name="Normal 2 2 4 25 7" xfId="23954" xr:uid="{00000000-0005-0000-0000-0000925D0000}"/>
    <cellStyle name="Normal 2 2 4 25 8" xfId="23955" xr:uid="{00000000-0005-0000-0000-0000935D0000}"/>
    <cellStyle name="Normal 2 2 4 25 9" xfId="23956" xr:uid="{00000000-0005-0000-0000-0000945D0000}"/>
    <cellStyle name="Normal 2 2 4 26" xfId="23957" xr:uid="{00000000-0005-0000-0000-0000955D0000}"/>
    <cellStyle name="Normal 2 2 4 26 10" xfId="23958" xr:uid="{00000000-0005-0000-0000-0000965D0000}"/>
    <cellStyle name="Normal 2 2 4 26 11" xfId="23959" xr:uid="{00000000-0005-0000-0000-0000975D0000}"/>
    <cellStyle name="Normal 2 2 4 26 12" xfId="23960" xr:uid="{00000000-0005-0000-0000-0000985D0000}"/>
    <cellStyle name="Normal 2 2 4 26 13" xfId="23961" xr:uid="{00000000-0005-0000-0000-0000995D0000}"/>
    <cellStyle name="Normal 2 2 4 26 14" xfId="23962" xr:uid="{00000000-0005-0000-0000-00009A5D0000}"/>
    <cellStyle name="Normal 2 2 4 26 2" xfId="23963" xr:uid="{00000000-0005-0000-0000-00009B5D0000}"/>
    <cellStyle name="Normal 2 2 4 26 2 10" xfId="23964" xr:uid="{00000000-0005-0000-0000-00009C5D0000}"/>
    <cellStyle name="Normal 2 2 4 26 2 2" xfId="23965" xr:uid="{00000000-0005-0000-0000-00009D5D0000}"/>
    <cellStyle name="Normal 2 2 4 26 2 3" xfId="23966" xr:uid="{00000000-0005-0000-0000-00009E5D0000}"/>
    <cellStyle name="Normal 2 2 4 26 2 4" xfId="23967" xr:uid="{00000000-0005-0000-0000-00009F5D0000}"/>
    <cellStyle name="Normal 2 2 4 26 2 5" xfId="23968" xr:uid="{00000000-0005-0000-0000-0000A05D0000}"/>
    <cellStyle name="Normal 2 2 4 26 2 6" xfId="23969" xr:uid="{00000000-0005-0000-0000-0000A15D0000}"/>
    <cellStyle name="Normal 2 2 4 26 2 7" xfId="23970" xr:uid="{00000000-0005-0000-0000-0000A25D0000}"/>
    <cellStyle name="Normal 2 2 4 26 2 8" xfId="23971" xr:uid="{00000000-0005-0000-0000-0000A35D0000}"/>
    <cellStyle name="Normal 2 2 4 26 2 9" xfId="23972" xr:uid="{00000000-0005-0000-0000-0000A45D0000}"/>
    <cellStyle name="Normal 2 2 4 26 3" xfId="23973" xr:uid="{00000000-0005-0000-0000-0000A55D0000}"/>
    <cellStyle name="Normal 2 2 4 26 3 10" xfId="23974" xr:uid="{00000000-0005-0000-0000-0000A65D0000}"/>
    <cellStyle name="Normal 2 2 4 26 3 2" xfId="23975" xr:uid="{00000000-0005-0000-0000-0000A75D0000}"/>
    <cellStyle name="Normal 2 2 4 26 3 3" xfId="23976" xr:uid="{00000000-0005-0000-0000-0000A85D0000}"/>
    <cellStyle name="Normal 2 2 4 26 3 4" xfId="23977" xr:uid="{00000000-0005-0000-0000-0000A95D0000}"/>
    <cellStyle name="Normal 2 2 4 26 3 5" xfId="23978" xr:uid="{00000000-0005-0000-0000-0000AA5D0000}"/>
    <cellStyle name="Normal 2 2 4 26 3 6" xfId="23979" xr:uid="{00000000-0005-0000-0000-0000AB5D0000}"/>
    <cellStyle name="Normal 2 2 4 26 3 7" xfId="23980" xr:uid="{00000000-0005-0000-0000-0000AC5D0000}"/>
    <cellStyle name="Normal 2 2 4 26 3 8" xfId="23981" xr:uid="{00000000-0005-0000-0000-0000AD5D0000}"/>
    <cellStyle name="Normal 2 2 4 26 3 9" xfId="23982" xr:uid="{00000000-0005-0000-0000-0000AE5D0000}"/>
    <cellStyle name="Normal 2 2 4 26 4" xfId="23983" xr:uid="{00000000-0005-0000-0000-0000AF5D0000}"/>
    <cellStyle name="Normal 2 2 4 26 4 10" xfId="23984" xr:uid="{00000000-0005-0000-0000-0000B05D0000}"/>
    <cellStyle name="Normal 2 2 4 26 4 2" xfId="23985" xr:uid="{00000000-0005-0000-0000-0000B15D0000}"/>
    <cellStyle name="Normal 2 2 4 26 4 3" xfId="23986" xr:uid="{00000000-0005-0000-0000-0000B25D0000}"/>
    <cellStyle name="Normal 2 2 4 26 4 4" xfId="23987" xr:uid="{00000000-0005-0000-0000-0000B35D0000}"/>
    <cellStyle name="Normal 2 2 4 26 4 5" xfId="23988" xr:uid="{00000000-0005-0000-0000-0000B45D0000}"/>
    <cellStyle name="Normal 2 2 4 26 4 6" xfId="23989" xr:uid="{00000000-0005-0000-0000-0000B55D0000}"/>
    <cellStyle name="Normal 2 2 4 26 4 7" xfId="23990" xr:uid="{00000000-0005-0000-0000-0000B65D0000}"/>
    <cellStyle name="Normal 2 2 4 26 4 8" xfId="23991" xr:uid="{00000000-0005-0000-0000-0000B75D0000}"/>
    <cellStyle name="Normal 2 2 4 26 4 9" xfId="23992" xr:uid="{00000000-0005-0000-0000-0000B85D0000}"/>
    <cellStyle name="Normal 2 2 4 26 5" xfId="23993" xr:uid="{00000000-0005-0000-0000-0000B95D0000}"/>
    <cellStyle name="Normal 2 2 4 26 5 10" xfId="23994" xr:uid="{00000000-0005-0000-0000-0000BA5D0000}"/>
    <cellStyle name="Normal 2 2 4 26 5 2" xfId="23995" xr:uid="{00000000-0005-0000-0000-0000BB5D0000}"/>
    <cellStyle name="Normal 2 2 4 26 5 3" xfId="23996" xr:uid="{00000000-0005-0000-0000-0000BC5D0000}"/>
    <cellStyle name="Normal 2 2 4 26 5 4" xfId="23997" xr:uid="{00000000-0005-0000-0000-0000BD5D0000}"/>
    <cellStyle name="Normal 2 2 4 26 5 5" xfId="23998" xr:uid="{00000000-0005-0000-0000-0000BE5D0000}"/>
    <cellStyle name="Normal 2 2 4 26 5 6" xfId="23999" xr:uid="{00000000-0005-0000-0000-0000BF5D0000}"/>
    <cellStyle name="Normal 2 2 4 26 5 7" xfId="24000" xr:uid="{00000000-0005-0000-0000-0000C05D0000}"/>
    <cellStyle name="Normal 2 2 4 26 5 8" xfId="24001" xr:uid="{00000000-0005-0000-0000-0000C15D0000}"/>
    <cellStyle name="Normal 2 2 4 26 5 9" xfId="24002" xr:uid="{00000000-0005-0000-0000-0000C25D0000}"/>
    <cellStyle name="Normal 2 2 4 26 6" xfId="24003" xr:uid="{00000000-0005-0000-0000-0000C35D0000}"/>
    <cellStyle name="Normal 2 2 4 26 7" xfId="24004" xr:uid="{00000000-0005-0000-0000-0000C45D0000}"/>
    <cellStyle name="Normal 2 2 4 26 8" xfId="24005" xr:uid="{00000000-0005-0000-0000-0000C55D0000}"/>
    <cellStyle name="Normal 2 2 4 26 9" xfId="24006" xr:uid="{00000000-0005-0000-0000-0000C65D0000}"/>
    <cellStyle name="Normal 2 2 4 27" xfId="24007" xr:uid="{00000000-0005-0000-0000-0000C75D0000}"/>
    <cellStyle name="Normal 2 2 4 27 10" xfId="24008" xr:uid="{00000000-0005-0000-0000-0000C85D0000}"/>
    <cellStyle name="Normal 2 2 4 27 11" xfId="24009" xr:uid="{00000000-0005-0000-0000-0000C95D0000}"/>
    <cellStyle name="Normal 2 2 4 27 12" xfId="24010" xr:uid="{00000000-0005-0000-0000-0000CA5D0000}"/>
    <cellStyle name="Normal 2 2 4 27 13" xfId="24011" xr:uid="{00000000-0005-0000-0000-0000CB5D0000}"/>
    <cellStyle name="Normal 2 2 4 27 14" xfId="24012" xr:uid="{00000000-0005-0000-0000-0000CC5D0000}"/>
    <cellStyle name="Normal 2 2 4 27 2" xfId="24013" xr:uid="{00000000-0005-0000-0000-0000CD5D0000}"/>
    <cellStyle name="Normal 2 2 4 27 2 10" xfId="24014" xr:uid="{00000000-0005-0000-0000-0000CE5D0000}"/>
    <cellStyle name="Normal 2 2 4 27 2 2" xfId="24015" xr:uid="{00000000-0005-0000-0000-0000CF5D0000}"/>
    <cellStyle name="Normal 2 2 4 27 2 3" xfId="24016" xr:uid="{00000000-0005-0000-0000-0000D05D0000}"/>
    <cellStyle name="Normal 2 2 4 27 2 4" xfId="24017" xr:uid="{00000000-0005-0000-0000-0000D15D0000}"/>
    <cellStyle name="Normal 2 2 4 27 2 5" xfId="24018" xr:uid="{00000000-0005-0000-0000-0000D25D0000}"/>
    <cellStyle name="Normal 2 2 4 27 2 6" xfId="24019" xr:uid="{00000000-0005-0000-0000-0000D35D0000}"/>
    <cellStyle name="Normal 2 2 4 27 2 7" xfId="24020" xr:uid="{00000000-0005-0000-0000-0000D45D0000}"/>
    <cellStyle name="Normal 2 2 4 27 2 8" xfId="24021" xr:uid="{00000000-0005-0000-0000-0000D55D0000}"/>
    <cellStyle name="Normal 2 2 4 27 2 9" xfId="24022" xr:uid="{00000000-0005-0000-0000-0000D65D0000}"/>
    <cellStyle name="Normal 2 2 4 27 3" xfId="24023" xr:uid="{00000000-0005-0000-0000-0000D75D0000}"/>
    <cellStyle name="Normal 2 2 4 27 3 10" xfId="24024" xr:uid="{00000000-0005-0000-0000-0000D85D0000}"/>
    <cellStyle name="Normal 2 2 4 27 3 2" xfId="24025" xr:uid="{00000000-0005-0000-0000-0000D95D0000}"/>
    <cellStyle name="Normal 2 2 4 27 3 3" xfId="24026" xr:uid="{00000000-0005-0000-0000-0000DA5D0000}"/>
    <cellStyle name="Normal 2 2 4 27 3 4" xfId="24027" xr:uid="{00000000-0005-0000-0000-0000DB5D0000}"/>
    <cellStyle name="Normal 2 2 4 27 3 5" xfId="24028" xr:uid="{00000000-0005-0000-0000-0000DC5D0000}"/>
    <cellStyle name="Normal 2 2 4 27 3 6" xfId="24029" xr:uid="{00000000-0005-0000-0000-0000DD5D0000}"/>
    <cellStyle name="Normal 2 2 4 27 3 7" xfId="24030" xr:uid="{00000000-0005-0000-0000-0000DE5D0000}"/>
    <cellStyle name="Normal 2 2 4 27 3 8" xfId="24031" xr:uid="{00000000-0005-0000-0000-0000DF5D0000}"/>
    <cellStyle name="Normal 2 2 4 27 3 9" xfId="24032" xr:uid="{00000000-0005-0000-0000-0000E05D0000}"/>
    <cellStyle name="Normal 2 2 4 27 4" xfId="24033" xr:uid="{00000000-0005-0000-0000-0000E15D0000}"/>
    <cellStyle name="Normal 2 2 4 27 4 10" xfId="24034" xr:uid="{00000000-0005-0000-0000-0000E25D0000}"/>
    <cellStyle name="Normal 2 2 4 27 4 2" xfId="24035" xr:uid="{00000000-0005-0000-0000-0000E35D0000}"/>
    <cellStyle name="Normal 2 2 4 27 4 3" xfId="24036" xr:uid="{00000000-0005-0000-0000-0000E45D0000}"/>
    <cellStyle name="Normal 2 2 4 27 4 4" xfId="24037" xr:uid="{00000000-0005-0000-0000-0000E55D0000}"/>
    <cellStyle name="Normal 2 2 4 27 4 5" xfId="24038" xr:uid="{00000000-0005-0000-0000-0000E65D0000}"/>
    <cellStyle name="Normal 2 2 4 27 4 6" xfId="24039" xr:uid="{00000000-0005-0000-0000-0000E75D0000}"/>
    <cellStyle name="Normal 2 2 4 27 4 7" xfId="24040" xr:uid="{00000000-0005-0000-0000-0000E85D0000}"/>
    <cellStyle name="Normal 2 2 4 27 4 8" xfId="24041" xr:uid="{00000000-0005-0000-0000-0000E95D0000}"/>
    <cellStyle name="Normal 2 2 4 27 4 9" xfId="24042" xr:uid="{00000000-0005-0000-0000-0000EA5D0000}"/>
    <cellStyle name="Normal 2 2 4 27 5" xfId="24043" xr:uid="{00000000-0005-0000-0000-0000EB5D0000}"/>
    <cellStyle name="Normal 2 2 4 27 5 10" xfId="24044" xr:uid="{00000000-0005-0000-0000-0000EC5D0000}"/>
    <cellStyle name="Normal 2 2 4 27 5 2" xfId="24045" xr:uid="{00000000-0005-0000-0000-0000ED5D0000}"/>
    <cellStyle name="Normal 2 2 4 27 5 3" xfId="24046" xr:uid="{00000000-0005-0000-0000-0000EE5D0000}"/>
    <cellStyle name="Normal 2 2 4 27 5 4" xfId="24047" xr:uid="{00000000-0005-0000-0000-0000EF5D0000}"/>
    <cellStyle name="Normal 2 2 4 27 5 5" xfId="24048" xr:uid="{00000000-0005-0000-0000-0000F05D0000}"/>
    <cellStyle name="Normal 2 2 4 27 5 6" xfId="24049" xr:uid="{00000000-0005-0000-0000-0000F15D0000}"/>
    <cellStyle name="Normal 2 2 4 27 5 7" xfId="24050" xr:uid="{00000000-0005-0000-0000-0000F25D0000}"/>
    <cellStyle name="Normal 2 2 4 27 5 8" xfId="24051" xr:uid="{00000000-0005-0000-0000-0000F35D0000}"/>
    <cellStyle name="Normal 2 2 4 27 5 9" xfId="24052" xr:uid="{00000000-0005-0000-0000-0000F45D0000}"/>
    <cellStyle name="Normal 2 2 4 27 6" xfId="24053" xr:uid="{00000000-0005-0000-0000-0000F55D0000}"/>
    <cellStyle name="Normal 2 2 4 27 7" xfId="24054" xr:uid="{00000000-0005-0000-0000-0000F65D0000}"/>
    <cellStyle name="Normal 2 2 4 27 8" xfId="24055" xr:uid="{00000000-0005-0000-0000-0000F75D0000}"/>
    <cellStyle name="Normal 2 2 4 27 9" xfId="24056" xr:uid="{00000000-0005-0000-0000-0000F85D0000}"/>
    <cellStyle name="Normal 2 2 4 28" xfId="24057" xr:uid="{00000000-0005-0000-0000-0000F95D0000}"/>
    <cellStyle name="Normal 2 2 4 28 10" xfId="24058" xr:uid="{00000000-0005-0000-0000-0000FA5D0000}"/>
    <cellStyle name="Normal 2 2 4 28 11" xfId="24059" xr:uid="{00000000-0005-0000-0000-0000FB5D0000}"/>
    <cellStyle name="Normal 2 2 4 28 12" xfId="24060" xr:uid="{00000000-0005-0000-0000-0000FC5D0000}"/>
    <cellStyle name="Normal 2 2 4 28 13" xfId="24061" xr:uid="{00000000-0005-0000-0000-0000FD5D0000}"/>
    <cellStyle name="Normal 2 2 4 28 14" xfId="24062" xr:uid="{00000000-0005-0000-0000-0000FE5D0000}"/>
    <cellStyle name="Normal 2 2 4 28 2" xfId="24063" xr:uid="{00000000-0005-0000-0000-0000FF5D0000}"/>
    <cellStyle name="Normal 2 2 4 28 2 10" xfId="24064" xr:uid="{00000000-0005-0000-0000-0000005E0000}"/>
    <cellStyle name="Normal 2 2 4 28 2 2" xfId="24065" xr:uid="{00000000-0005-0000-0000-0000015E0000}"/>
    <cellStyle name="Normal 2 2 4 28 2 3" xfId="24066" xr:uid="{00000000-0005-0000-0000-0000025E0000}"/>
    <cellStyle name="Normal 2 2 4 28 2 4" xfId="24067" xr:uid="{00000000-0005-0000-0000-0000035E0000}"/>
    <cellStyle name="Normal 2 2 4 28 2 5" xfId="24068" xr:uid="{00000000-0005-0000-0000-0000045E0000}"/>
    <cellStyle name="Normal 2 2 4 28 2 6" xfId="24069" xr:uid="{00000000-0005-0000-0000-0000055E0000}"/>
    <cellStyle name="Normal 2 2 4 28 2 7" xfId="24070" xr:uid="{00000000-0005-0000-0000-0000065E0000}"/>
    <cellStyle name="Normal 2 2 4 28 2 8" xfId="24071" xr:uid="{00000000-0005-0000-0000-0000075E0000}"/>
    <cellStyle name="Normal 2 2 4 28 2 9" xfId="24072" xr:uid="{00000000-0005-0000-0000-0000085E0000}"/>
    <cellStyle name="Normal 2 2 4 28 3" xfId="24073" xr:uid="{00000000-0005-0000-0000-0000095E0000}"/>
    <cellStyle name="Normal 2 2 4 28 3 10" xfId="24074" xr:uid="{00000000-0005-0000-0000-00000A5E0000}"/>
    <cellStyle name="Normal 2 2 4 28 3 2" xfId="24075" xr:uid="{00000000-0005-0000-0000-00000B5E0000}"/>
    <cellStyle name="Normal 2 2 4 28 3 3" xfId="24076" xr:uid="{00000000-0005-0000-0000-00000C5E0000}"/>
    <cellStyle name="Normal 2 2 4 28 3 4" xfId="24077" xr:uid="{00000000-0005-0000-0000-00000D5E0000}"/>
    <cellStyle name="Normal 2 2 4 28 3 5" xfId="24078" xr:uid="{00000000-0005-0000-0000-00000E5E0000}"/>
    <cellStyle name="Normal 2 2 4 28 3 6" xfId="24079" xr:uid="{00000000-0005-0000-0000-00000F5E0000}"/>
    <cellStyle name="Normal 2 2 4 28 3 7" xfId="24080" xr:uid="{00000000-0005-0000-0000-0000105E0000}"/>
    <cellStyle name="Normal 2 2 4 28 3 8" xfId="24081" xr:uid="{00000000-0005-0000-0000-0000115E0000}"/>
    <cellStyle name="Normal 2 2 4 28 3 9" xfId="24082" xr:uid="{00000000-0005-0000-0000-0000125E0000}"/>
    <cellStyle name="Normal 2 2 4 28 4" xfId="24083" xr:uid="{00000000-0005-0000-0000-0000135E0000}"/>
    <cellStyle name="Normal 2 2 4 28 4 10" xfId="24084" xr:uid="{00000000-0005-0000-0000-0000145E0000}"/>
    <cellStyle name="Normal 2 2 4 28 4 2" xfId="24085" xr:uid="{00000000-0005-0000-0000-0000155E0000}"/>
    <cellStyle name="Normal 2 2 4 28 4 3" xfId="24086" xr:uid="{00000000-0005-0000-0000-0000165E0000}"/>
    <cellStyle name="Normal 2 2 4 28 4 4" xfId="24087" xr:uid="{00000000-0005-0000-0000-0000175E0000}"/>
    <cellStyle name="Normal 2 2 4 28 4 5" xfId="24088" xr:uid="{00000000-0005-0000-0000-0000185E0000}"/>
    <cellStyle name="Normal 2 2 4 28 4 6" xfId="24089" xr:uid="{00000000-0005-0000-0000-0000195E0000}"/>
    <cellStyle name="Normal 2 2 4 28 4 7" xfId="24090" xr:uid="{00000000-0005-0000-0000-00001A5E0000}"/>
    <cellStyle name="Normal 2 2 4 28 4 8" xfId="24091" xr:uid="{00000000-0005-0000-0000-00001B5E0000}"/>
    <cellStyle name="Normal 2 2 4 28 4 9" xfId="24092" xr:uid="{00000000-0005-0000-0000-00001C5E0000}"/>
    <cellStyle name="Normal 2 2 4 28 5" xfId="24093" xr:uid="{00000000-0005-0000-0000-00001D5E0000}"/>
    <cellStyle name="Normal 2 2 4 28 5 10" xfId="24094" xr:uid="{00000000-0005-0000-0000-00001E5E0000}"/>
    <cellStyle name="Normal 2 2 4 28 5 2" xfId="24095" xr:uid="{00000000-0005-0000-0000-00001F5E0000}"/>
    <cellStyle name="Normal 2 2 4 28 5 3" xfId="24096" xr:uid="{00000000-0005-0000-0000-0000205E0000}"/>
    <cellStyle name="Normal 2 2 4 28 5 4" xfId="24097" xr:uid="{00000000-0005-0000-0000-0000215E0000}"/>
    <cellStyle name="Normal 2 2 4 28 5 5" xfId="24098" xr:uid="{00000000-0005-0000-0000-0000225E0000}"/>
    <cellStyle name="Normal 2 2 4 28 5 6" xfId="24099" xr:uid="{00000000-0005-0000-0000-0000235E0000}"/>
    <cellStyle name="Normal 2 2 4 28 5 7" xfId="24100" xr:uid="{00000000-0005-0000-0000-0000245E0000}"/>
    <cellStyle name="Normal 2 2 4 28 5 8" xfId="24101" xr:uid="{00000000-0005-0000-0000-0000255E0000}"/>
    <cellStyle name="Normal 2 2 4 28 5 9" xfId="24102" xr:uid="{00000000-0005-0000-0000-0000265E0000}"/>
    <cellStyle name="Normal 2 2 4 28 6" xfId="24103" xr:uid="{00000000-0005-0000-0000-0000275E0000}"/>
    <cellStyle name="Normal 2 2 4 28 7" xfId="24104" xr:uid="{00000000-0005-0000-0000-0000285E0000}"/>
    <cellStyle name="Normal 2 2 4 28 8" xfId="24105" xr:uid="{00000000-0005-0000-0000-0000295E0000}"/>
    <cellStyle name="Normal 2 2 4 28 9" xfId="24106" xr:uid="{00000000-0005-0000-0000-00002A5E0000}"/>
    <cellStyle name="Normal 2 2 4 29" xfId="24107" xr:uid="{00000000-0005-0000-0000-00002B5E0000}"/>
    <cellStyle name="Normal 2 2 4 29 10" xfId="24108" xr:uid="{00000000-0005-0000-0000-00002C5E0000}"/>
    <cellStyle name="Normal 2 2 4 29 11" xfId="24109" xr:uid="{00000000-0005-0000-0000-00002D5E0000}"/>
    <cellStyle name="Normal 2 2 4 29 12" xfId="24110" xr:uid="{00000000-0005-0000-0000-00002E5E0000}"/>
    <cellStyle name="Normal 2 2 4 29 13" xfId="24111" xr:uid="{00000000-0005-0000-0000-00002F5E0000}"/>
    <cellStyle name="Normal 2 2 4 29 14" xfId="24112" xr:uid="{00000000-0005-0000-0000-0000305E0000}"/>
    <cellStyle name="Normal 2 2 4 29 2" xfId="24113" xr:uid="{00000000-0005-0000-0000-0000315E0000}"/>
    <cellStyle name="Normal 2 2 4 29 2 10" xfId="24114" xr:uid="{00000000-0005-0000-0000-0000325E0000}"/>
    <cellStyle name="Normal 2 2 4 29 2 2" xfId="24115" xr:uid="{00000000-0005-0000-0000-0000335E0000}"/>
    <cellStyle name="Normal 2 2 4 29 2 3" xfId="24116" xr:uid="{00000000-0005-0000-0000-0000345E0000}"/>
    <cellStyle name="Normal 2 2 4 29 2 4" xfId="24117" xr:uid="{00000000-0005-0000-0000-0000355E0000}"/>
    <cellStyle name="Normal 2 2 4 29 2 5" xfId="24118" xr:uid="{00000000-0005-0000-0000-0000365E0000}"/>
    <cellStyle name="Normal 2 2 4 29 2 6" xfId="24119" xr:uid="{00000000-0005-0000-0000-0000375E0000}"/>
    <cellStyle name="Normal 2 2 4 29 2 7" xfId="24120" xr:uid="{00000000-0005-0000-0000-0000385E0000}"/>
    <cellStyle name="Normal 2 2 4 29 2 8" xfId="24121" xr:uid="{00000000-0005-0000-0000-0000395E0000}"/>
    <cellStyle name="Normal 2 2 4 29 2 9" xfId="24122" xr:uid="{00000000-0005-0000-0000-00003A5E0000}"/>
    <cellStyle name="Normal 2 2 4 29 3" xfId="24123" xr:uid="{00000000-0005-0000-0000-00003B5E0000}"/>
    <cellStyle name="Normal 2 2 4 29 3 10" xfId="24124" xr:uid="{00000000-0005-0000-0000-00003C5E0000}"/>
    <cellStyle name="Normal 2 2 4 29 3 2" xfId="24125" xr:uid="{00000000-0005-0000-0000-00003D5E0000}"/>
    <cellStyle name="Normal 2 2 4 29 3 3" xfId="24126" xr:uid="{00000000-0005-0000-0000-00003E5E0000}"/>
    <cellStyle name="Normal 2 2 4 29 3 4" xfId="24127" xr:uid="{00000000-0005-0000-0000-00003F5E0000}"/>
    <cellStyle name="Normal 2 2 4 29 3 5" xfId="24128" xr:uid="{00000000-0005-0000-0000-0000405E0000}"/>
    <cellStyle name="Normal 2 2 4 29 3 6" xfId="24129" xr:uid="{00000000-0005-0000-0000-0000415E0000}"/>
    <cellStyle name="Normal 2 2 4 29 3 7" xfId="24130" xr:uid="{00000000-0005-0000-0000-0000425E0000}"/>
    <cellStyle name="Normal 2 2 4 29 3 8" xfId="24131" xr:uid="{00000000-0005-0000-0000-0000435E0000}"/>
    <cellStyle name="Normal 2 2 4 29 3 9" xfId="24132" xr:uid="{00000000-0005-0000-0000-0000445E0000}"/>
    <cellStyle name="Normal 2 2 4 29 4" xfId="24133" xr:uid="{00000000-0005-0000-0000-0000455E0000}"/>
    <cellStyle name="Normal 2 2 4 29 4 10" xfId="24134" xr:uid="{00000000-0005-0000-0000-0000465E0000}"/>
    <cellStyle name="Normal 2 2 4 29 4 2" xfId="24135" xr:uid="{00000000-0005-0000-0000-0000475E0000}"/>
    <cellStyle name="Normal 2 2 4 29 4 3" xfId="24136" xr:uid="{00000000-0005-0000-0000-0000485E0000}"/>
    <cellStyle name="Normal 2 2 4 29 4 4" xfId="24137" xr:uid="{00000000-0005-0000-0000-0000495E0000}"/>
    <cellStyle name="Normal 2 2 4 29 4 5" xfId="24138" xr:uid="{00000000-0005-0000-0000-00004A5E0000}"/>
    <cellStyle name="Normal 2 2 4 29 4 6" xfId="24139" xr:uid="{00000000-0005-0000-0000-00004B5E0000}"/>
    <cellStyle name="Normal 2 2 4 29 4 7" xfId="24140" xr:uid="{00000000-0005-0000-0000-00004C5E0000}"/>
    <cellStyle name="Normal 2 2 4 29 4 8" xfId="24141" xr:uid="{00000000-0005-0000-0000-00004D5E0000}"/>
    <cellStyle name="Normal 2 2 4 29 4 9" xfId="24142" xr:uid="{00000000-0005-0000-0000-00004E5E0000}"/>
    <cellStyle name="Normal 2 2 4 29 5" xfId="24143" xr:uid="{00000000-0005-0000-0000-00004F5E0000}"/>
    <cellStyle name="Normal 2 2 4 29 5 10" xfId="24144" xr:uid="{00000000-0005-0000-0000-0000505E0000}"/>
    <cellStyle name="Normal 2 2 4 29 5 2" xfId="24145" xr:uid="{00000000-0005-0000-0000-0000515E0000}"/>
    <cellStyle name="Normal 2 2 4 29 5 3" xfId="24146" xr:uid="{00000000-0005-0000-0000-0000525E0000}"/>
    <cellStyle name="Normal 2 2 4 29 5 4" xfId="24147" xr:uid="{00000000-0005-0000-0000-0000535E0000}"/>
    <cellStyle name="Normal 2 2 4 29 5 5" xfId="24148" xr:uid="{00000000-0005-0000-0000-0000545E0000}"/>
    <cellStyle name="Normal 2 2 4 29 5 6" xfId="24149" xr:uid="{00000000-0005-0000-0000-0000555E0000}"/>
    <cellStyle name="Normal 2 2 4 29 5 7" xfId="24150" xr:uid="{00000000-0005-0000-0000-0000565E0000}"/>
    <cellStyle name="Normal 2 2 4 29 5 8" xfId="24151" xr:uid="{00000000-0005-0000-0000-0000575E0000}"/>
    <cellStyle name="Normal 2 2 4 29 5 9" xfId="24152" xr:uid="{00000000-0005-0000-0000-0000585E0000}"/>
    <cellStyle name="Normal 2 2 4 29 6" xfId="24153" xr:uid="{00000000-0005-0000-0000-0000595E0000}"/>
    <cellStyle name="Normal 2 2 4 29 7" xfId="24154" xr:uid="{00000000-0005-0000-0000-00005A5E0000}"/>
    <cellStyle name="Normal 2 2 4 29 8" xfId="24155" xr:uid="{00000000-0005-0000-0000-00005B5E0000}"/>
    <cellStyle name="Normal 2 2 4 29 9" xfId="24156" xr:uid="{00000000-0005-0000-0000-00005C5E0000}"/>
    <cellStyle name="Normal 2 2 4 3" xfId="24157" xr:uid="{00000000-0005-0000-0000-00005D5E0000}"/>
    <cellStyle name="Normal 2 2 4 3 10" xfId="24158" xr:uid="{00000000-0005-0000-0000-00005E5E0000}"/>
    <cellStyle name="Normal 2 2 4 3 11" xfId="24159" xr:uid="{00000000-0005-0000-0000-00005F5E0000}"/>
    <cellStyle name="Normal 2 2 4 3 12" xfId="24160" xr:uid="{00000000-0005-0000-0000-0000605E0000}"/>
    <cellStyle name="Normal 2 2 4 3 13" xfId="24161" xr:uid="{00000000-0005-0000-0000-0000615E0000}"/>
    <cellStyle name="Normal 2 2 4 3 14" xfId="24162" xr:uid="{00000000-0005-0000-0000-0000625E0000}"/>
    <cellStyle name="Normal 2 2 4 3 2" xfId="24163" xr:uid="{00000000-0005-0000-0000-0000635E0000}"/>
    <cellStyle name="Normal 2 2 4 3 2 10" xfId="24164" xr:uid="{00000000-0005-0000-0000-0000645E0000}"/>
    <cellStyle name="Normal 2 2 4 3 2 2" xfId="24165" xr:uid="{00000000-0005-0000-0000-0000655E0000}"/>
    <cellStyle name="Normal 2 2 4 3 2 3" xfId="24166" xr:uid="{00000000-0005-0000-0000-0000665E0000}"/>
    <cellStyle name="Normal 2 2 4 3 2 4" xfId="24167" xr:uid="{00000000-0005-0000-0000-0000675E0000}"/>
    <cellStyle name="Normal 2 2 4 3 2 5" xfId="24168" xr:uid="{00000000-0005-0000-0000-0000685E0000}"/>
    <cellStyle name="Normal 2 2 4 3 2 6" xfId="24169" xr:uid="{00000000-0005-0000-0000-0000695E0000}"/>
    <cellStyle name="Normal 2 2 4 3 2 7" xfId="24170" xr:uid="{00000000-0005-0000-0000-00006A5E0000}"/>
    <cellStyle name="Normal 2 2 4 3 2 8" xfId="24171" xr:uid="{00000000-0005-0000-0000-00006B5E0000}"/>
    <cellStyle name="Normal 2 2 4 3 2 9" xfId="24172" xr:uid="{00000000-0005-0000-0000-00006C5E0000}"/>
    <cellStyle name="Normal 2 2 4 3 3" xfId="24173" xr:uid="{00000000-0005-0000-0000-00006D5E0000}"/>
    <cellStyle name="Normal 2 2 4 3 3 10" xfId="24174" xr:uid="{00000000-0005-0000-0000-00006E5E0000}"/>
    <cellStyle name="Normal 2 2 4 3 3 2" xfId="24175" xr:uid="{00000000-0005-0000-0000-00006F5E0000}"/>
    <cellStyle name="Normal 2 2 4 3 3 3" xfId="24176" xr:uid="{00000000-0005-0000-0000-0000705E0000}"/>
    <cellStyle name="Normal 2 2 4 3 3 4" xfId="24177" xr:uid="{00000000-0005-0000-0000-0000715E0000}"/>
    <cellStyle name="Normal 2 2 4 3 3 5" xfId="24178" xr:uid="{00000000-0005-0000-0000-0000725E0000}"/>
    <cellStyle name="Normal 2 2 4 3 3 6" xfId="24179" xr:uid="{00000000-0005-0000-0000-0000735E0000}"/>
    <cellStyle name="Normal 2 2 4 3 3 7" xfId="24180" xr:uid="{00000000-0005-0000-0000-0000745E0000}"/>
    <cellStyle name="Normal 2 2 4 3 3 8" xfId="24181" xr:uid="{00000000-0005-0000-0000-0000755E0000}"/>
    <cellStyle name="Normal 2 2 4 3 3 9" xfId="24182" xr:uid="{00000000-0005-0000-0000-0000765E0000}"/>
    <cellStyle name="Normal 2 2 4 3 4" xfId="24183" xr:uid="{00000000-0005-0000-0000-0000775E0000}"/>
    <cellStyle name="Normal 2 2 4 3 4 10" xfId="24184" xr:uid="{00000000-0005-0000-0000-0000785E0000}"/>
    <cellStyle name="Normal 2 2 4 3 4 2" xfId="24185" xr:uid="{00000000-0005-0000-0000-0000795E0000}"/>
    <cellStyle name="Normal 2 2 4 3 4 3" xfId="24186" xr:uid="{00000000-0005-0000-0000-00007A5E0000}"/>
    <cellStyle name="Normal 2 2 4 3 4 4" xfId="24187" xr:uid="{00000000-0005-0000-0000-00007B5E0000}"/>
    <cellStyle name="Normal 2 2 4 3 4 5" xfId="24188" xr:uid="{00000000-0005-0000-0000-00007C5E0000}"/>
    <cellStyle name="Normal 2 2 4 3 4 6" xfId="24189" xr:uid="{00000000-0005-0000-0000-00007D5E0000}"/>
    <cellStyle name="Normal 2 2 4 3 4 7" xfId="24190" xr:uid="{00000000-0005-0000-0000-00007E5E0000}"/>
    <cellStyle name="Normal 2 2 4 3 4 8" xfId="24191" xr:uid="{00000000-0005-0000-0000-00007F5E0000}"/>
    <cellStyle name="Normal 2 2 4 3 4 9" xfId="24192" xr:uid="{00000000-0005-0000-0000-0000805E0000}"/>
    <cellStyle name="Normal 2 2 4 3 5" xfId="24193" xr:uid="{00000000-0005-0000-0000-0000815E0000}"/>
    <cellStyle name="Normal 2 2 4 3 5 10" xfId="24194" xr:uid="{00000000-0005-0000-0000-0000825E0000}"/>
    <cellStyle name="Normal 2 2 4 3 5 2" xfId="24195" xr:uid="{00000000-0005-0000-0000-0000835E0000}"/>
    <cellStyle name="Normal 2 2 4 3 5 3" xfId="24196" xr:uid="{00000000-0005-0000-0000-0000845E0000}"/>
    <cellStyle name="Normal 2 2 4 3 5 4" xfId="24197" xr:uid="{00000000-0005-0000-0000-0000855E0000}"/>
    <cellStyle name="Normal 2 2 4 3 5 5" xfId="24198" xr:uid="{00000000-0005-0000-0000-0000865E0000}"/>
    <cellStyle name="Normal 2 2 4 3 5 6" xfId="24199" xr:uid="{00000000-0005-0000-0000-0000875E0000}"/>
    <cellStyle name="Normal 2 2 4 3 5 7" xfId="24200" xr:uid="{00000000-0005-0000-0000-0000885E0000}"/>
    <cellStyle name="Normal 2 2 4 3 5 8" xfId="24201" xr:uid="{00000000-0005-0000-0000-0000895E0000}"/>
    <cellStyle name="Normal 2 2 4 3 5 9" xfId="24202" xr:uid="{00000000-0005-0000-0000-00008A5E0000}"/>
    <cellStyle name="Normal 2 2 4 3 6" xfId="24203" xr:uid="{00000000-0005-0000-0000-00008B5E0000}"/>
    <cellStyle name="Normal 2 2 4 3 7" xfId="24204" xr:uid="{00000000-0005-0000-0000-00008C5E0000}"/>
    <cellStyle name="Normal 2 2 4 3 8" xfId="24205" xr:uid="{00000000-0005-0000-0000-00008D5E0000}"/>
    <cellStyle name="Normal 2 2 4 3 9" xfId="24206" xr:uid="{00000000-0005-0000-0000-00008E5E0000}"/>
    <cellStyle name="Normal 2 2 4 30" xfId="24207" xr:uid="{00000000-0005-0000-0000-00008F5E0000}"/>
    <cellStyle name="Normal 2 2 4 30 10" xfId="24208" xr:uid="{00000000-0005-0000-0000-0000905E0000}"/>
    <cellStyle name="Normal 2 2 4 30 11" xfId="24209" xr:uid="{00000000-0005-0000-0000-0000915E0000}"/>
    <cellStyle name="Normal 2 2 4 30 12" xfId="24210" xr:uid="{00000000-0005-0000-0000-0000925E0000}"/>
    <cellStyle name="Normal 2 2 4 30 13" xfId="24211" xr:uid="{00000000-0005-0000-0000-0000935E0000}"/>
    <cellStyle name="Normal 2 2 4 30 14" xfId="24212" xr:uid="{00000000-0005-0000-0000-0000945E0000}"/>
    <cellStyle name="Normal 2 2 4 30 2" xfId="24213" xr:uid="{00000000-0005-0000-0000-0000955E0000}"/>
    <cellStyle name="Normal 2 2 4 30 2 10" xfId="24214" xr:uid="{00000000-0005-0000-0000-0000965E0000}"/>
    <cellStyle name="Normal 2 2 4 30 2 2" xfId="24215" xr:uid="{00000000-0005-0000-0000-0000975E0000}"/>
    <cellStyle name="Normal 2 2 4 30 2 3" xfId="24216" xr:uid="{00000000-0005-0000-0000-0000985E0000}"/>
    <cellStyle name="Normal 2 2 4 30 2 4" xfId="24217" xr:uid="{00000000-0005-0000-0000-0000995E0000}"/>
    <cellStyle name="Normal 2 2 4 30 2 5" xfId="24218" xr:uid="{00000000-0005-0000-0000-00009A5E0000}"/>
    <cellStyle name="Normal 2 2 4 30 2 6" xfId="24219" xr:uid="{00000000-0005-0000-0000-00009B5E0000}"/>
    <cellStyle name="Normal 2 2 4 30 2 7" xfId="24220" xr:uid="{00000000-0005-0000-0000-00009C5E0000}"/>
    <cellStyle name="Normal 2 2 4 30 2 8" xfId="24221" xr:uid="{00000000-0005-0000-0000-00009D5E0000}"/>
    <cellStyle name="Normal 2 2 4 30 2 9" xfId="24222" xr:uid="{00000000-0005-0000-0000-00009E5E0000}"/>
    <cellStyle name="Normal 2 2 4 30 3" xfId="24223" xr:uid="{00000000-0005-0000-0000-00009F5E0000}"/>
    <cellStyle name="Normal 2 2 4 30 3 10" xfId="24224" xr:uid="{00000000-0005-0000-0000-0000A05E0000}"/>
    <cellStyle name="Normal 2 2 4 30 3 2" xfId="24225" xr:uid="{00000000-0005-0000-0000-0000A15E0000}"/>
    <cellStyle name="Normal 2 2 4 30 3 3" xfId="24226" xr:uid="{00000000-0005-0000-0000-0000A25E0000}"/>
    <cellStyle name="Normal 2 2 4 30 3 4" xfId="24227" xr:uid="{00000000-0005-0000-0000-0000A35E0000}"/>
    <cellStyle name="Normal 2 2 4 30 3 5" xfId="24228" xr:uid="{00000000-0005-0000-0000-0000A45E0000}"/>
    <cellStyle name="Normal 2 2 4 30 3 6" xfId="24229" xr:uid="{00000000-0005-0000-0000-0000A55E0000}"/>
    <cellStyle name="Normal 2 2 4 30 3 7" xfId="24230" xr:uid="{00000000-0005-0000-0000-0000A65E0000}"/>
    <cellStyle name="Normal 2 2 4 30 3 8" xfId="24231" xr:uid="{00000000-0005-0000-0000-0000A75E0000}"/>
    <cellStyle name="Normal 2 2 4 30 3 9" xfId="24232" xr:uid="{00000000-0005-0000-0000-0000A85E0000}"/>
    <cellStyle name="Normal 2 2 4 30 4" xfId="24233" xr:uid="{00000000-0005-0000-0000-0000A95E0000}"/>
    <cellStyle name="Normal 2 2 4 30 4 10" xfId="24234" xr:uid="{00000000-0005-0000-0000-0000AA5E0000}"/>
    <cellStyle name="Normal 2 2 4 30 4 2" xfId="24235" xr:uid="{00000000-0005-0000-0000-0000AB5E0000}"/>
    <cellStyle name="Normal 2 2 4 30 4 3" xfId="24236" xr:uid="{00000000-0005-0000-0000-0000AC5E0000}"/>
    <cellStyle name="Normal 2 2 4 30 4 4" xfId="24237" xr:uid="{00000000-0005-0000-0000-0000AD5E0000}"/>
    <cellStyle name="Normal 2 2 4 30 4 5" xfId="24238" xr:uid="{00000000-0005-0000-0000-0000AE5E0000}"/>
    <cellStyle name="Normal 2 2 4 30 4 6" xfId="24239" xr:uid="{00000000-0005-0000-0000-0000AF5E0000}"/>
    <cellStyle name="Normal 2 2 4 30 4 7" xfId="24240" xr:uid="{00000000-0005-0000-0000-0000B05E0000}"/>
    <cellStyle name="Normal 2 2 4 30 4 8" xfId="24241" xr:uid="{00000000-0005-0000-0000-0000B15E0000}"/>
    <cellStyle name="Normal 2 2 4 30 4 9" xfId="24242" xr:uid="{00000000-0005-0000-0000-0000B25E0000}"/>
    <cellStyle name="Normal 2 2 4 30 5" xfId="24243" xr:uid="{00000000-0005-0000-0000-0000B35E0000}"/>
    <cellStyle name="Normal 2 2 4 30 5 10" xfId="24244" xr:uid="{00000000-0005-0000-0000-0000B45E0000}"/>
    <cellStyle name="Normal 2 2 4 30 5 2" xfId="24245" xr:uid="{00000000-0005-0000-0000-0000B55E0000}"/>
    <cellStyle name="Normal 2 2 4 30 5 3" xfId="24246" xr:uid="{00000000-0005-0000-0000-0000B65E0000}"/>
    <cellStyle name="Normal 2 2 4 30 5 4" xfId="24247" xr:uid="{00000000-0005-0000-0000-0000B75E0000}"/>
    <cellStyle name="Normal 2 2 4 30 5 5" xfId="24248" xr:uid="{00000000-0005-0000-0000-0000B85E0000}"/>
    <cellStyle name="Normal 2 2 4 30 5 6" xfId="24249" xr:uid="{00000000-0005-0000-0000-0000B95E0000}"/>
    <cellStyle name="Normal 2 2 4 30 5 7" xfId="24250" xr:uid="{00000000-0005-0000-0000-0000BA5E0000}"/>
    <cellStyle name="Normal 2 2 4 30 5 8" xfId="24251" xr:uid="{00000000-0005-0000-0000-0000BB5E0000}"/>
    <cellStyle name="Normal 2 2 4 30 5 9" xfId="24252" xr:uid="{00000000-0005-0000-0000-0000BC5E0000}"/>
    <cellStyle name="Normal 2 2 4 30 6" xfId="24253" xr:uid="{00000000-0005-0000-0000-0000BD5E0000}"/>
    <cellStyle name="Normal 2 2 4 30 7" xfId="24254" xr:uid="{00000000-0005-0000-0000-0000BE5E0000}"/>
    <cellStyle name="Normal 2 2 4 30 8" xfId="24255" xr:uid="{00000000-0005-0000-0000-0000BF5E0000}"/>
    <cellStyle name="Normal 2 2 4 30 9" xfId="24256" xr:uid="{00000000-0005-0000-0000-0000C05E0000}"/>
    <cellStyle name="Normal 2 2 4 31" xfId="24257" xr:uid="{00000000-0005-0000-0000-0000C15E0000}"/>
    <cellStyle name="Normal 2 2 4 31 10" xfId="24258" xr:uid="{00000000-0005-0000-0000-0000C25E0000}"/>
    <cellStyle name="Normal 2 2 4 31 11" xfId="24259" xr:uid="{00000000-0005-0000-0000-0000C35E0000}"/>
    <cellStyle name="Normal 2 2 4 31 12" xfId="24260" xr:uid="{00000000-0005-0000-0000-0000C45E0000}"/>
    <cellStyle name="Normal 2 2 4 31 13" xfId="24261" xr:uid="{00000000-0005-0000-0000-0000C55E0000}"/>
    <cellStyle name="Normal 2 2 4 31 14" xfId="24262" xr:uid="{00000000-0005-0000-0000-0000C65E0000}"/>
    <cellStyle name="Normal 2 2 4 31 2" xfId="24263" xr:uid="{00000000-0005-0000-0000-0000C75E0000}"/>
    <cellStyle name="Normal 2 2 4 31 2 10" xfId="24264" xr:uid="{00000000-0005-0000-0000-0000C85E0000}"/>
    <cellStyle name="Normal 2 2 4 31 2 2" xfId="24265" xr:uid="{00000000-0005-0000-0000-0000C95E0000}"/>
    <cellStyle name="Normal 2 2 4 31 2 3" xfId="24266" xr:uid="{00000000-0005-0000-0000-0000CA5E0000}"/>
    <cellStyle name="Normal 2 2 4 31 2 4" xfId="24267" xr:uid="{00000000-0005-0000-0000-0000CB5E0000}"/>
    <cellStyle name="Normal 2 2 4 31 2 5" xfId="24268" xr:uid="{00000000-0005-0000-0000-0000CC5E0000}"/>
    <cellStyle name="Normal 2 2 4 31 2 6" xfId="24269" xr:uid="{00000000-0005-0000-0000-0000CD5E0000}"/>
    <cellStyle name="Normal 2 2 4 31 2 7" xfId="24270" xr:uid="{00000000-0005-0000-0000-0000CE5E0000}"/>
    <cellStyle name="Normal 2 2 4 31 2 8" xfId="24271" xr:uid="{00000000-0005-0000-0000-0000CF5E0000}"/>
    <cellStyle name="Normal 2 2 4 31 2 9" xfId="24272" xr:uid="{00000000-0005-0000-0000-0000D05E0000}"/>
    <cellStyle name="Normal 2 2 4 31 3" xfId="24273" xr:uid="{00000000-0005-0000-0000-0000D15E0000}"/>
    <cellStyle name="Normal 2 2 4 31 3 10" xfId="24274" xr:uid="{00000000-0005-0000-0000-0000D25E0000}"/>
    <cellStyle name="Normal 2 2 4 31 3 2" xfId="24275" xr:uid="{00000000-0005-0000-0000-0000D35E0000}"/>
    <cellStyle name="Normal 2 2 4 31 3 3" xfId="24276" xr:uid="{00000000-0005-0000-0000-0000D45E0000}"/>
    <cellStyle name="Normal 2 2 4 31 3 4" xfId="24277" xr:uid="{00000000-0005-0000-0000-0000D55E0000}"/>
    <cellStyle name="Normal 2 2 4 31 3 5" xfId="24278" xr:uid="{00000000-0005-0000-0000-0000D65E0000}"/>
    <cellStyle name="Normal 2 2 4 31 3 6" xfId="24279" xr:uid="{00000000-0005-0000-0000-0000D75E0000}"/>
    <cellStyle name="Normal 2 2 4 31 3 7" xfId="24280" xr:uid="{00000000-0005-0000-0000-0000D85E0000}"/>
    <cellStyle name="Normal 2 2 4 31 3 8" xfId="24281" xr:uid="{00000000-0005-0000-0000-0000D95E0000}"/>
    <cellStyle name="Normal 2 2 4 31 3 9" xfId="24282" xr:uid="{00000000-0005-0000-0000-0000DA5E0000}"/>
    <cellStyle name="Normal 2 2 4 31 4" xfId="24283" xr:uid="{00000000-0005-0000-0000-0000DB5E0000}"/>
    <cellStyle name="Normal 2 2 4 31 4 10" xfId="24284" xr:uid="{00000000-0005-0000-0000-0000DC5E0000}"/>
    <cellStyle name="Normal 2 2 4 31 4 2" xfId="24285" xr:uid="{00000000-0005-0000-0000-0000DD5E0000}"/>
    <cellStyle name="Normal 2 2 4 31 4 3" xfId="24286" xr:uid="{00000000-0005-0000-0000-0000DE5E0000}"/>
    <cellStyle name="Normal 2 2 4 31 4 4" xfId="24287" xr:uid="{00000000-0005-0000-0000-0000DF5E0000}"/>
    <cellStyle name="Normal 2 2 4 31 4 5" xfId="24288" xr:uid="{00000000-0005-0000-0000-0000E05E0000}"/>
    <cellStyle name="Normal 2 2 4 31 4 6" xfId="24289" xr:uid="{00000000-0005-0000-0000-0000E15E0000}"/>
    <cellStyle name="Normal 2 2 4 31 4 7" xfId="24290" xr:uid="{00000000-0005-0000-0000-0000E25E0000}"/>
    <cellStyle name="Normal 2 2 4 31 4 8" xfId="24291" xr:uid="{00000000-0005-0000-0000-0000E35E0000}"/>
    <cellStyle name="Normal 2 2 4 31 4 9" xfId="24292" xr:uid="{00000000-0005-0000-0000-0000E45E0000}"/>
    <cellStyle name="Normal 2 2 4 31 5" xfId="24293" xr:uid="{00000000-0005-0000-0000-0000E55E0000}"/>
    <cellStyle name="Normal 2 2 4 31 5 10" xfId="24294" xr:uid="{00000000-0005-0000-0000-0000E65E0000}"/>
    <cellStyle name="Normal 2 2 4 31 5 2" xfId="24295" xr:uid="{00000000-0005-0000-0000-0000E75E0000}"/>
    <cellStyle name="Normal 2 2 4 31 5 3" xfId="24296" xr:uid="{00000000-0005-0000-0000-0000E85E0000}"/>
    <cellStyle name="Normal 2 2 4 31 5 4" xfId="24297" xr:uid="{00000000-0005-0000-0000-0000E95E0000}"/>
    <cellStyle name="Normal 2 2 4 31 5 5" xfId="24298" xr:uid="{00000000-0005-0000-0000-0000EA5E0000}"/>
    <cellStyle name="Normal 2 2 4 31 5 6" xfId="24299" xr:uid="{00000000-0005-0000-0000-0000EB5E0000}"/>
    <cellStyle name="Normal 2 2 4 31 5 7" xfId="24300" xr:uid="{00000000-0005-0000-0000-0000EC5E0000}"/>
    <cellStyle name="Normal 2 2 4 31 5 8" xfId="24301" xr:uid="{00000000-0005-0000-0000-0000ED5E0000}"/>
    <cellStyle name="Normal 2 2 4 31 5 9" xfId="24302" xr:uid="{00000000-0005-0000-0000-0000EE5E0000}"/>
    <cellStyle name="Normal 2 2 4 31 6" xfId="24303" xr:uid="{00000000-0005-0000-0000-0000EF5E0000}"/>
    <cellStyle name="Normal 2 2 4 31 7" xfId="24304" xr:uid="{00000000-0005-0000-0000-0000F05E0000}"/>
    <cellStyle name="Normal 2 2 4 31 8" xfId="24305" xr:uid="{00000000-0005-0000-0000-0000F15E0000}"/>
    <cellStyle name="Normal 2 2 4 31 9" xfId="24306" xr:uid="{00000000-0005-0000-0000-0000F25E0000}"/>
    <cellStyle name="Normal 2 2 4 32" xfId="24307" xr:uid="{00000000-0005-0000-0000-0000F35E0000}"/>
    <cellStyle name="Normal 2 2 4 32 10" xfId="24308" xr:uid="{00000000-0005-0000-0000-0000F45E0000}"/>
    <cellStyle name="Normal 2 2 4 32 11" xfId="24309" xr:uid="{00000000-0005-0000-0000-0000F55E0000}"/>
    <cellStyle name="Normal 2 2 4 32 12" xfId="24310" xr:uid="{00000000-0005-0000-0000-0000F65E0000}"/>
    <cellStyle name="Normal 2 2 4 32 13" xfId="24311" xr:uid="{00000000-0005-0000-0000-0000F75E0000}"/>
    <cellStyle name="Normal 2 2 4 32 14" xfId="24312" xr:uid="{00000000-0005-0000-0000-0000F85E0000}"/>
    <cellStyle name="Normal 2 2 4 32 2" xfId="24313" xr:uid="{00000000-0005-0000-0000-0000F95E0000}"/>
    <cellStyle name="Normal 2 2 4 32 2 10" xfId="24314" xr:uid="{00000000-0005-0000-0000-0000FA5E0000}"/>
    <cellStyle name="Normal 2 2 4 32 2 2" xfId="24315" xr:uid="{00000000-0005-0000-0000-0000FB5E0000}"/>
    <cellStyle name="Normal 2 2 4 32 2 3" xfId="24316" xr:uid="{00000000-0005-0000-0000-0000FC5E0000}"/>
    <cellStyle name="Normal 2 2 4 32 2 4" xfId="24317" xr:uid="{00000000-0005-0000-0000-0000FD5E0000}"/>
    <cellStyle name="Normal 2 2 4 32 2 5" xfId="24318" xr:uid="{00000000-0005-0000-0000-0000FE5E0000}"/>
    <cellStyle name="Normal 2 2 4 32 2 6" xfId="24319" xr:uid="{00000000-0005-0000-0000-0000FF5E0000}"/>
    <cellStyle name="Normal 2 2 4 32 2 7" xfId="24320" xr:uid="{00000000-0005-0000-0000-0000005F0000}"/>
    <cellStyle name="Normal 2 2 4 32 2 8" xfId="24321" xr:uid="{00000000-0005-0000-0000-0000015F0000}"/>
    <cellStyle name="Normal 2 2 4 32 2 9" xfId="24322" xr:uid="{00000000-0005-0000-0000-0000025F0000}"/>
    <cellStyle name="Normal 2 2 4 32 3" xfId="24323" xr:uid="{00000000-0005-0000-0000-0000035F0000}"/>
    <cellStyle name="Normal 2 2 4 32 3 10" xfId="24324" xr:uid="{00000000-0005-0000-0000-0000045F0000}"/>
    <cellStyle name="Normal 2 2 4 32 3 2" xfId="24325" xr:uid="{00000000-0005-0000-0000-0000055F0000}"/>
    <cellStyle name="Normal 2 2 4 32 3 3" xfId="24326" xr:uid="{00000000-0005-0000-0000-0000065F0000}"/>
    <cellStyle name="Normal 2 2 4 32 3 4" xfId="24327" xr:uid="{00000000-0005-0000-0000-0000075F0000}"/>
    <cellStyle name="Normal 2 2 4 32 3 5" xfId="24328" xr:uid="{00000000-0005-0000-0000-0000085F0000}"/>
    <cellStyle name="Normal 2 2 4 32 3 6" xfId="24329" xr:uid="{00000000-0005-0000-0000-0000095F0000}"/>
    <cellStyle name="Normal 2 2 4 32 3 7" xfId="24330" xr:uid="{00000000-0005-0000-0000-00000A5F0000}"/>
    <cellStyle name="Normal 2 2 4 32 3 8" xfId="24331" xr:uid="{00000000-0005-0000-0000-00000B5F0000}"/>
    <cellStyle name="Normal 2 2 4 32 3 9" xfId="24332" xr:uid="{00000000-0005-0000-0000-00000C5F0000}"/>
    <cellStyle name="Normal 2 2 4 32 4" xfId="24333" xr:uid="{00000000-0005-0000-0000-00000D5F0000}"/>
    <cellStyle name="Normal 2 2 4 32 4 10" xfId="24334" xr:uid="{00000000-0005-0000-0000-00000E5F0000}"/>
    <cellStyle name="Normal 2 2 4 32 4 2" xfId="24335" xr:uid="{00000000-0005-0000-0000-00000F5F0000}"/>
    <cellStyle name="Normal 2 2 4 32 4 3" xfId="24336" xr:uid="{00000000-0005-0000-0000-0000105F0000}"/>
    <cellStyle name="Normal 2 2 4 32 4 4" xfId="24337" xr:uid="{00000000-0005-0000-0000-0000115F0000}"/>
    <cellStyle name="Normal 2 2 4 32 4 5" xfId="24338" xr:uid="{00000000-0005-0000-0000-0000125F0000}"/>
    <cellStyle name="Normal 2 2 4 32 4 6" xfId="24339" xr:uid="{00000000-0005-0000-0000-0000135F0000}"/>
    <cellStyle name="Normal 2 2 4 32 4 7" xfId="24340" xr:uid="{00000000-0005-0000-0000-0000145F0000}"/>
    <cellStyle name="Normal 2 2 4 32 4 8" xfId="24341" xr:uid="{00000000-0005-0000-0000-0000155F0000}"/>
    <cellStyle name="Normal 2 2 4 32 4 9" xfId="24342" xr:uid="{00000000-0005-0000-0000-0000165F0000}"/>
    <cellStyle name="Normal 2 2 4 32 5" xfId="24343" xr:uid="{00000000-0005-0000-0000-0000175F0000}"/>
    <cellStyle name="Normal 2 2 4 32 5 10" xfId="24344" xr:uid="{00000000-0005-0000-0000-0000185F0000}"/>
    <cellStyle name="Normal 2 2 4 32 5 2" xfId="24345" xr:uid="{00000000-0005-0000-0000-0000195F0000}"/>
    <cellStyle name="Normal 2 2 4 32 5 3" xfId="24346" xr:uid="{00000000-0005-0000-0000-00001A5F0000}"/>
    <cellStyle name="Normal 2 2 4 32 5 4" xfId="24347" xr:uid="{00000000-0005-0000-0000-00001B5F0000}"/>
    <cellStyle name="Normal 2 2 4 32 5 5" xfId="24348" xr:uid="{00000000-0005-0000-0000-00001C5F0000}"/>
    <cellStyle name="Normal 2 2 4 32 5 6" xfId="24349" xr:uid="{00000000-0005-0000-0000-00001D5F0000}"/>
    <cellStyle name="Normal 2 2 4 32 5 7" xfId="24350" xr:uid="{00000000-0005-0000-0000-00001E5F0000}"/>
    <cellStyle name="Normal 2 2 4 32 5 8" xfId="24351" xr:uid="{00000000-0005-0000-0000-00001F5F0000}"/>
    <cellStyle name="Normal 2 2 4 32 5 9" xfId="24352" xr:uid="{00000000-0005-0000-0000-0000205F0000}"/>
    <cellStyle name="Normal 2 2 4 32 6" xfId="24353" xr:uid="{00000000-0005-0000-0000-0000215F0000}"/>
    <cellStyle name="Normal 2 2 4 32 7" xfId="24354" xr:uid="{00000000-0005-0000-0000-0000225F0000}"/>
    <cellStyle name="Normal 2 2 4 32 8" xfId="24355" xr:uid="{00000000-0005-0000-0000-0000235F0000}"/>
    <cellStyle name="Normal 2 2 4 32 9" xfId="24356" xr:uid="{00000000-0005-0000-0000-0000245F0000}"/>
    <cellStyle name="Normal 2 2 4 33" xfId="24357" xr:uid="{00000000-0005-0000-0000-0000255F0000}"/>
    <cellStyle name="Normal 2 2 4 33 10" xfId="24358" xr:uid="{00000000-0005-0000-0000-0000265F0000}"/>
    <cellStyle name="Normal 2 2 4 33 11" xfId="24359" xr:uid="{00000000-0005-0000-0000-0000275F0000}"/>
    <cellStyle name="Normal 2 2 4 33 12" xfId="24360" xr:uid="{00000000-0005-0000-0000-0000285F0000}"/>
    <cellStyle name="Normal 2 2 4 33 13" xfId="24361" xr:uid="{00000000-0005-0000-0000-0000295F0000}"/>
    <cellStyle name="Normal 2 2 4 33 14" xfId="24362" xr:uid="{00000000-0005-0000-0000-00002A5F0000}"/>
    <cellStyle name="Normal 2 2 4 33 2" xfId="24363" xr:uid="{00000000-0005-0000-0000-00002B5F0000}"/>
    <cellStyle name="Normal 2 2 4 33 2 10" xfId="24364" xr:uid="{00000000-0005-0000-0000-00002C5F0000}"/>
    <cellStyle name="Normal 2 2 4 33 2 2" xfId="24365" xr:uid="{00000000-0005-0000-0000-00002D5F0000}"/>
    <cellStyle name="Normal 2 2 4 33 2 3" xfId="24366" xr:uid="{00000000-0005-0000-0000-00002E5F0000}"/>
    <cellStyle name="Normal 2 2 4 33 2 4" xfId="24367" xr:uid="{00000000-0005-0000-0000-00002F5F0000}"/>
    <cellStyle name="Normal 2 2 4 33 2 5" xfId="24368" xr:uid="{00000000-0005-0000-0000-0000305F0000}"/>
    <cellStyle name="Normal 2 2 4 33 2 6" xfId="24369" xr:uid="{00000000-0005-0000-0000-0000315F0000}"/>
    <cellStyle name="Normal 2 2 4 33 2 7" xfId="24370" xr:uid="{00000000-0005-0000-0000-0000325F0000}"/>
    <cellStyle name="Normal 2 2 4 33 2 8" xfId="24371" xr:uid="{00000000-0005-0000-0000-0000335F0000}"/>
    <cellStyle name="Normal 2 2 4 33 2 9" xfId="24372" xr:uid="{00000000-0005-0000-0000-0000345F0000}"/>
    <cellStyle name="Normal 2 2 4 33 3" xfId="24373" xr:uid="{00000000-0005-0000-0000-0000355F0000}"/>
    <cellStyle name="Normal 2 2 4 33 3 10" xfId="24374" xr:uid="{00000000-0005-0000-0000-0000365F0000}"/>
    <cellStyle name="Normal 2 2 4 33 3 2" xfId="24375" xr:uid="{00000000-0005-0000-0000-0000375F0000}"/>
    <cellStyle name="Normal 2 2 4 33 3 3" xfId="24376" xr:uid="{00000000-0005-0000-0000-0000385F0000}"/>
    <cellStyle name="Normal 2 2 4 33 3 4" xfId="24377" xr:uid="{00000000-0005-0000-0000-0000395F0000}"/>
    <cellStyle name="Normal 2 2 4 33 3 5" xfId="24378" xr:uid="{00000000-0005-0000-0000-00003A5F0000}"/>
    <cellStyle name="Normal 2 2 4 33 3 6" xfId="24379" xr:uid="{00000000-0005-0000-0000-00003B5F0000}"/>
    <cellStyle name="Normal 2 2 4 33 3 7" xfId="24380" xr:uid="{00000000-0005-0000-0000-00003C5F0000}"/>
    <cellStyle name="Normal 2 2 4 33 3 8" xfId="24381" xr:uid="{00000000-0005-0000-0000-00003D5F0000}"/>
    <cellStyle name="Normal 2 2 4 33 3 9" xfId="24382" xr:uid="{00000000-0005-0000-0000-00003E5F0000}"/>
    <cellStyle name="Normal 2 2 4 33 4" xfId="24383" xr:uid="{00000000-0005-0000-0000-00003F5F0000}"/>
    <cellStyle name="Normal 2 2 4 33 4 10" xfId="24384" xr:uid="{00000000-0005-0000-0000-0000405F0000}"/>
    <cellStyle name="Normal 2 2 4 33 4 2" xfId="24385" xr:uid="{00000000-0005-0000-0000-0000415F0000}"/>
    <cellStyle name="Normal 2 2 4 33 4 3" xfId="24386" xr:uid="{00000000-0005-0000-0000-0000425F0000}"/>
    <cellStyle name="Normal 2 2 4 33 4 4" xfId="24387" xr:uid="{00000000-0005-0000-0000-0000435F0000}"/>
    <cellStyle name="Normal 2 2 4 33 4 5" xfId="24388" xr:uid="{00000000-0005-0000-0000-0000445F0000}"/>
    <cellStyle name="Normal 2 2 4 33 4 6" xfId="24389" xr:uid="{00000000-0005-0000-0000-0000455F0000}"/>
    <cellStyle name="Normal 2 2 4 33 4 7" xfId="24390" xr:uid="{00000000-0005-0000-0000-0000465F0000}"/>
    <cellStyle name="Normal 2 2 4 33 4 8" xfId="24391" xr:uid="{00000000-0005-0000-0000-0000475F0000}"/>
    <cellStyle name="Normal 2 2 4 33 4 9" xfId="24392" xr:uid="{00000000-0005-0000-0000-0000485F0000}"/>
    <cellStyle name="Normal 2 2 4 33 5" xfId="24393" xr:uid="{00000000-0005-0000-0000-0000495F0000}"/>
    <cellStyle name="Normal 2 2 4 33 5 10" xfId="24394" xr:uid="{00000000-0005-0000-0000-00004A5F0000}"/>
    <cellStyle name="Normal 2 2 4 33 5 2" xfId="24395" xr:uid="{00000000-0005-0000-0000-00004B5F0000}"/>
    <cellStyle name="Normal 2 2 4 33 5 3" xfId="24396" xr:uid="{00000000-0005-0000-0000-00004C5F0000}"/>
    <cellStyle name="Normal 2 2 4 33 5 4" xfId="24397" xr:uid="{00000000-0005-0000-0000-00004D5F0000}"/>
    <cellStyle name="Normal 2 2 4 33 5 5" xfId="24398" xr:uid="{00000000-0005-0000-0000-00004E5F0000}"/>
    <cellStyle name="Normal 2 2 4 33 5 6" xfId="24399" xr:uid="{00000000-0005-0000-0000-00004F5F0000}"/>
    <cellStyle name="Normal 2 2 4 33 5 7" xfId="24400" xr:uid="{00000000-0005-0000-0000-0000505F0000}"/>
    <cellStyle name="Normal 2 2 4 33 5 8" xfId="24401" xr:uid="{00000000-0005-0000-0000-0000515F0000}"/>
    <cellStyle name="Normal 2 2 4 33 5 9" xfId="24402" xr:uid="{00000000-0005-0000-0000-0000525F0000}"/>
    <cellStyle name="Normal 2 2 4 33 6" xfId="24403" xr:uid="{00000000-0005-0000-0000-0000535F0000}"/>
    <cellStyle name="Normal 2 2 4 33 7" xfId="24404" xr:uid="{00000000-0005-0000-0000-0000545F0000}"/>
    <cellStyle name="Normal 2 2 4 33 8" xfId="24405" xr:uid="{00000000-0005-0000-0000-0000555F0000}"/>
    <cellStyle name="Normal 2 2 4 33 9" xfId="24406" xr:uid="{00000000-0005-0000-0000-0000565F0000}"/>
    <cellStyle name="Normal 2 2 4 34" xfId="24407" xr:uid="{00000000-0005-0000-0000-0000575F0000}"/>
    <cellStyle name="Normal 2 2 4 35" xfId="24408" xr:uid="{00000000-0005-0000-0000-0000585F0000}"/>
    <cellStyle name="Normal 2 2 4 36" xfId="24409" xr:uid="{00000000-0005-0000-0000-0000595F0000}"/>
    <cellStyle name="Normal 2 2 4 37" xfId="22137" xr:uid="{00000000-0005-0000-0000-000079560000}"/>
    <cellStyle name="Normal 2 2 4 4" xfId="24410" xr:uid="{00000000-0005-0000-0000-00005A5F0000}"/>
    <cellStyle name="Normal 2 2 4 4 10" xfId="24411" xr:uid="{00000000-0005-0000-0000-00005B5F0000}"/>
    <cellStyle name="Normal 2 2 4 4 11" xfId="24412" xr:uid="{00000000-0005-0000-0000-00005C5F0000}"/>
    <cellStyle name="Normal 2 2 4 4 12" xfId="24413" xr:uid="{00000000-0005-0000-0000-00005D5F0000}"/>
    <cellStyle name="Normal 2 2 4 4 13" xfId="24414" xr:uid="{00000000-0005-0000-0000-00005E5F0000}"/>
    <cellStyle name="Normal 2 2 4 4 14" xfId="24415" xr:uid="{00000000-0005-0000-0000-00005F5F0000}"/>
    <cellStyle name="Normal 2 2 4 4 2" xfId="24416" xr:uid="{00000000-0005-0000-0000-0000605F0000}"/>
    <cellStyle name="Normal 2 2 4 4 2 10" xfId="24417" xr:uid="{00000000-0005-0000-0000-0000615F0000}"/>
    <cellStyle name="Normal 2 2 4 4 2 2" xfId="24418" xr:uid="{00000000-0005-0000-0000-0000625F0000}"/>
    <cellStyle name="Normal 2 2 4 4 2 3" xfId="24419" xr:uid="{00000000-0005-0000-0000-0000635F0000}"/>
    <cellStyle name="Normal 2 2 4 4 2 4" xfId="24420" xr:uid="{00000000-0005-0000-0000-0000645F0000}"/>
    <cellStyle name="Normal 2 2 4 4 2 5" xfId="24421" xr:uid="{00000000-0005-0000-0000-0000655F0000}"/>
    <cellStyle name="Normal 2 2 4 4 2 6" xfId="24422" xr:uid="{00000000-0005-0000-0000-0000665F0000}"/>
    <cellStyle name="Normal 2 2 4 4 2 7" xfId="24423" xr:uid="{00000000-0005-0000-0000-0000675F0000}"/>
    <cellStyle name="Normal 2 2 4 4 2 8" xfId="24424" xr:uid="{00000000-0005-0000-0000-0000685F0000}"/>
    <cellStyle name="Normal 2 2 4 4 2 9" xfId="24425" xr:uid="{00000000-0005-0000-0000-0000695F0000}"/>
    <cellStyle name="Normal 2 2 4 4 3" xfId="24426" xr:uid="{00000000-0005-0000-0000-00006A5F0000}"/>
    <cellStyle name="Normal 2 2 4 4 3 10" xfId="24427" xr:uid="{00000000-0005-0000-0000-00006B5F0000}"/>
    <cellStyle name="Normal 2 2 4 4 3 2" xfId="24428" xr:uid="{00000000-0005-0000-0000-00006C5F0000}"/>
    <cellStyle name="Normal 2 2 4 4 3 3" xfId="24429" xr:uid="{00000000-0005-0000-0000-00006D5F0000}"/>
    <cellStyle name="Normal 2 2 4 4 3 4" xfId="24430" xr:uid="{00000000-0005-0000-0000-00006E5F0000}"/>
    <cellStyle name="Normal 2 2 4 4 3 5" xfId="24431" xr:uid="{00000000-0005-0000-0000-00006F5F0000}"/>
    <cellStyle name="Normal 2 2 4 4 3 6" xfId="24432" xr:uid="{00000000-0005-0000-0000-0000705F0000}"/>
    <cellStyle name="Normal 2 2 4 4 3 7" xfId="24433" xr:uid="{00000000-0005-0000-0000-0000715F0000}"/>
    <cellStyle name="Normal 2 2 4 4 3 8" xfId="24434" xr:uid="{00000000-0005-0000-0000-0000725F0000}"/>
    <cellStyle name="Normal 2 2 4 4 3 9" xfId="24435" xr:uid="{00000000-0005-0000-0000-0000735F0000}"/>
    <cellStyle name="Normal 2 2 4 4 4" xfId="24436" xr:uid="{00000000-0005-0000-0000-0000745F0000}"/>
    <cellStyle name="Normal 2 2 4 4 4 10" xfId="24437" xr:uid="{00000000-0005-0000-0000-0000755F0000}"/>
    <cellStyle name="Normal 2 2 4 4 4 2" xfId="24438" xr:uid="{00000000-0005-0000-0000-0000765F0000}"/>
    <cellStyle name="Normal 2 2 4 4 4 3" xfId="24439" xr:uid="{00000000-0005-0000-0000-0000775F0000}"/>
    <cellStyle name="Normal 2 2 4 4 4 4" xfId="24440" xr:uid="{00000000-0005-0000-0000-0000785F0000}"/>
    <cellStyle name="Normal 2 2 4 4 4 5" xfId="24441" xr:uid="{00000000-0005-0000-0000-0000795F0000}"/>
    <cellStyle name="Normal 2 2 4 4 4 6" xfId="24442" xr:uid="{00000000-0005-0000-0000-00007A5F0000}"/>
    <cellStyle name="Normal 2 2 4 4 4 7" xfId="24443" xr:uid="{00000000-0005-0000-0000-00007B5F0000}"/>
    <cellStyle name="Normal 2 2 4 4 4 8" xfId="24444" xr:uid="{00000000-0005-0000-0000-00007C5F0000}"/>
    <cellStyle name="Normal 2 2 4 4 4 9" xfId="24445" xr:uid="{00000000-0005-0000-0000-00007D5F0000}"/>
    <cellStyle name="Normal 2 2 4 4 5" xfId="24446" xr:uid="{00000000-0005-0000-0000-00007E5F0000}"/>
    <cellStyle name="Normal 2 2 4 4 5 10" xfId="24447" xr:uid="{00000000-0005-0000-0000-00007F5F0000}"/>
    <cellStyle name="Normal 2 2 4 4 5 2" xfId="24448" xr:uid="{00000000-0005-0000-0000-0000805F0000}"/>
    <cellStyle name="Normal 2 2 4 4 5 3" xfId="24449" xr:uid="{00000000-0005-0000-0000-0000815F0000}"/>
    <cellStyle name="Normal 2 2 4 4 5 4" xfId="24450" xr:uid="{00000000-0005-0000-0000-0000825F0000}"/>
    <cellStyle name="Normal 2 2 4 4 5 5" xfId="24451" xr:uid="{00000000-0005-0000-0000-0000835F0000}"/>
    <cellStyle name="Normal 2 2 4 4 5 6" xfId="24452" xr:uid="{00000000-0005-0000-0000-0000845F0000}"/>
    <cellStyle name="Normal 2 2 4 4 5 7" xfId="24453" xr:uid="{00000000-0005-0000-0000-0000855F0000}"/>
    <cellStyle name="Normal 2 2 4 4 5 8" xfId="24454" xr:uid="{00000000-0005-0000-0000-0000865F0000}"/>
    <cellStyle name="Normal 2 2 4 4 5 9" xfId="24455" xr:uid="{00000000-0005-0000-0000-0000875F0000}"/>
    <cellStyle name="Normal 2 2 4 4 6" xfId="24456" xr:uid="{00000000-0005-0000-0000-0000885F0000}"/>
    <cellStyle name="Normal 2 2 4 4 7" xfId="24457" xr:uid="{00000000-0005-0000-0000-0000895F0000}"/>
    <cellStyle name="Normal 2 2 4 4 8" xfId="24458" xr:uid="{00000000-0005-0000-0000-00008A5F0000}"/>
    <cellStyle name="Normal 2 2 4 4 9" xfId="24459" xr:uid="{00000000-0005-0000-0000-00008B5F0000}"/>
    <cellStyle name="Normal 2 2 4 5" xfId="24460" xr:uid="{00000000-0005-0000-0000-00008C5F0000}"/>
    <cellStyle name="Normal 2 2 4 5 10" xfId="24461" xr:uid="{00000000-0005-0000-0000-00008D5F0000}"/>
    <cellStyle name="Normal 2 2 4 5 11" xfId="24462" xr:uid="{00000000-0005-0000-0000-00008E5F0000}"/>
    <cellStyle name="Normal 2 2 4 5 12" xfId="24463" xr:uid="{00000000-0005-0000-0000-00008F5F0000}"/>
    <cellStyle name="Normal 2 2 4 5 13" xfId="24464" xr:uid="{00000000-0005-0000-0000-0000905F0000}"/>
    <cellStyle name="Normal 2 2 4 5 14" xfId="24465" xr:uid="{00000000-0005-0000-0000-0000915F0000}"/>
    <cellStyle name="Normal 2 2 4 5 2" xfId="24466" xr:uid="{00000000-0005-0000-0000-0000925F0000}"/>
    <cellStyle name="Normal 2 2 4 5 2 10" xfId="24467" xr:uid="{00000000-0005-0000-0000-0000935F0000}"/>
    <cellStyle name="Normal 2 2 4 5 2 2" xfId="24468" xr:uid="{00000000-0005-0000-0000-0000945F0000}"/>
    <cellStyle name="Normal 2 2 4 5 2 3" xfId="24469" xr:uid="{00000000-0005-0000-0000-0000955F0000}"/>
    <cellStyle name="Normal 2 2 4 5 2 4" xfId="24470" xr:uid="{00000000-0005-0000-0000-0000965F0000}"/>
    <cellStyle name="Normal 2 2 4 5 2 5" xfId="24471" xr:uid="{00000000-0005-0000-0000-0000975F0000}"/>
    <cellStyle name="Normal 2 2 4 5 2 6" xfId="24472" xr:uid="{00000000-0005-0000-0000-0000985F0000}"/>
    <cellStyle name="Normal 2 2 4 5 2 7" xfId="24473" xr:uid="{00000000-0005-0000-0000-0000995F0000}"/>
    <cellStyle name="Normal 2 2 4 5 2 8" xfId="24474" xr:uid="{00000000-0005-0000-0000-00009A5F0000}"/>
    <cellStyle name="Normal 2 2 4 5 2 9" xfId="24475" xr:uid="{00000000-0005-0000-0000-00009B5F0000}"/>
    <cellStyle name="Normal 2 2 4 5 3" xfId="24476" xr:uid="{00000000-0005-0000-0000-00009C5F0000}"/>
    <cellStyle name="Normal 2 2 4 5 3 10" xfId="24477" xr:uid="{00000000-0005-0000-0000-00009D5F0000}"/>
    <cellStyle name="Normal 2 2 4 5 3 2" xfId="24478" xr:uid="{00000000-0005-0000-0000-00009E5F0000}"/>
    <cellStyle name="Normal 2 2 4 5 3 3" xfId="24479" xr:uid="{00000000-0005-0000-0000-00009F5F0000}"/>
    <cellStyle name="Normal 2 2 4 5 3 4" xfId="24480" xr:uid="{00000000-0005-0000-0000-0000A05F0000}"/>
    <cellStyle name="Normal 2 2 4 5 3 5" xfId="24481" xr:uid="{00000000-0005-0000-0000-0000A15F0000}"/>
    <cellStyle name="Normal 2 2 4 5 3 6" xfId="24482" xr:uid="{00000000-0005-0000-0000-0000A25F0000}"/>
    <cellStyle name="Normal 2 2 4 5 3 7" xfId="24483" xr:uid="{00000000-0005-0000-0000-0000A35F0000}"/>
    <cellStyle name="Normal 2 2 4 5 3 8" xfId="24484" xr:uid="{00000000-0005-0000-0000-0000A45F0000}"/>
    <cellStyle name="Normal 2 2 4 5 3 9" xfId="24485" xr:uid="{00000000-0005-0000-0000-0000A55F0000}"/>
    <cellStyle name="Normal 2 2 4 5 4" xfId="24486" xr:uid="{00000000-0005-0000-0000-0000A65F0000}"/>
    <cellStyle name="Normal 2 2 4 5 4 10" xfId="24487" xr:uid="{00000000-0005-0000-0000-0000A75F0000}"/>
    <cellStyle name="Normal 2 2 4 5 4 2" xfId="24488" xr:uid="{00000000-0005-0000-0000-0000A85F0000}"/>
    <cellStyle name="Normal 2 2 4 5 4 3" xfId="24489" xr:uid="{00000000-0005-0000-0000-0000A95F0000}"/>
    <cellStyle name="Normal 2 2 4 5 4 4" xfId="24490" xr:uid="{00000000-0005-0000-0000-0000AA5F0000}"/>
    <cellStyle name="Normal 2 2 4 5 4 5" xfId="24491" xr:uid="{00000000-0005-0000-0000-0000AB5F0000}"/>
    <cellStyle name="Normal 2 2 4 5 4 6" xfId="24492" xr:uid="{00000000-0005-0000-0000-0000AC5F0000}"/>
    <cellStyle name="Normal 2 2 4 5 4 7" xfId="24493" xr:uid="{00000000-0005-0000-0000-0000AD5F0000}"/>
    <cellStyle name="Normal 2 2 4 5 4 8" xfId="24494" xr:uid="{00000000-0005-0000-0000-0000AE5F0000}"/>
    <cellStyle name="Normal 2 2 4 5 4 9" xfId="24495" xr:uid="{00000000-0005-0000-0000-0000AF5F0000}"/>
    <cellStyle name="Normal 2 2 4 5 5" xfId="24496" xr:uid="{00000000-0005-0000-0000-0000B05F0000}"/>
    <cellStyle name="Normal 2 2 4 5 5 10" xfId="24497" xr:uid="{00000000-0005-0000-0000-0000B15F0000}"/>
    <cellStyle name="Normal 2 2 4 5 5 2" xfId="24498" xr:uid="{00000000-0005-0000-0000-0000B25F0000}"/>
    <cellStyle name="Normal 2 2 4 5 5 3" xfId="24499" xr:uid="{00000000-0005-0000-0000-0000B35F0000}"/>
    <cellStyle name="Normal 2 2 4 5 5 4" xfId="24500" xr:uid="{00000000-0005-0000-0000-0000B45F0000}"/>
    <cellStyle name="Normal 2 2 4 5 5 5" xfId="24501" xr:uid="{00000000-0005-0000-0000-0000B55F0000}"/>
    <cellStyle name="Normal 2 2 4 5 5 6" xfId="24502" xr:uid="{00000000-0005-0000-0000-0000B65F0000}"/>
    <cellStyle name="Normal 2 2 4 5 5 7" xfId="24503" xr:uid="{00000000-0005-0000-0000-0000B75F0000}"/>
    <cellStyle name="Normal 2 2 4 5 5 8" xfId="24504" xr:uid="{00000000-0005-0000-0000-0000B85F0000}"/>
    <cellStyle name="Normal 2 2 4 5 5 9" xfId="24505" xr:uid="{00000000-0005-0000-0000-0000B95F0000}"/>
    <cellStyle name="Normal 2 2 4 5 6" xfId="24506" xr:uid="{00000000-0005-0000-0000-0000BA5F0000}"/>
    <cellStyle name="Normal 2 2 4 5 7" xfId="24507" xr:uid="{00000000-0005-0000-0000-0000BB5F0000}"/>
    <cellStyle name="Normal 2 2 4 5 8" xfId="24508" xr:uid="{00000000-0005-0000-0000-0000BC5F0000}"/>
    <cellStyle name="Normal 2 2 4 5 9" xfId="24509" xr:uid="{00000000-0005-0000-0000-0000BD5F0000}"/>
    <cellStyle name="Normal 2 2 4 6" xfId="24510" xr:uid="{00000000-0005-0000-0000-0000BE5F0000}"/>
    <cellStyle name="Normal 2 2 4 6 10" xfId="24511" xr:uid="{00000000-0005-0000-0000-0000BF5F0000}"/>
    <cellStyle name="Normal 2 2 4 6 11" xfId="24512" xr:uid="{00000000-0005-0000-0000-0000C05F0000}"/>
    <cellStyle name="Normal 2 2 4 6 12" xfId="24513" xr:uid="{00000000-0005-0000-0000-0000C15F0000}"/>
    <cellStyle name="Normal 2 2 4 6 13" xfId="24514" xr:uid="{00000000-0005-0000-0000-0000C25F0000}"/>
    <cellStyle name="Normal 2 2 4 6 14" xfId="24515" xr:uid="{00000000-0005-0000-0000-0000C35F0000}"/>
    <cellStyle name="Normal 2 2 4 6 2" xfId="24516" xr:uid="{00000000-0005-0000-0000-0000C45F0000}"/>
    <cellStyle name="Normal 2 2 4 6 2 10" xfId="24517" xr:uid="{00000000-0005-0000-0000-0000C55F0000}"/>
    <cellStyle name="Normal 2 2 4 6 2 2" xfId="24518" xr:uid="{00000000-0005-0000-0000-0000C65F0000}"/>
    <cellStyle name="Normal 2 2 4 6 2 3" xfId="24519" xr:uid="{00000000-0005-0000-0000-0000C75F0000}"/>
    <cellStyle name="Normal 2 2 4 6 2 4" xfId="24520" xr:uid="{00000000-0005-0000-0000-0000C85F0000}"/>
    <cellStyle name="Normal 2 2 4 6 2 5" xfId="24521" xr:uid="{00000000-0005-0000-0000-0000C95F0000}"/>
    <cellStyle name="Normal 2 2 4 6 2 6" xfId="24522" xr:uid="{00000000-0005-0000-0000-0000CA5F0000}"/>
    <cellStyle name="Normal 2 2 4 6 2 7" xfId="24523" xr:uid="{00000000-0005-0000-0000-0000CB5F0000}"/>
    <cellStyle name="Normal 2 2 4 6 2 8" xfId="24524" xr:uid="{00000000-0005-0000-0000-0000CC5F0000}"/>
    <cellStyle name="Normal 2 2 4 6 2 9" xfId="24525" xr:uid="{00000000-0005-0000-0000-0000CD5F0000}"/>
    <cellStyle name="Normal 2 2 4 6 3" xfId="24526" xr:uid="{00000000-0005-0000-0000-0000CE5F0000}"/>
    <cellStyle name="Normal 2 2 4 6 3 10" xfId="24527" xr:uid="{00000000-0005-0000-0000-0000CF5F0000}"/>
    <cellStyle name="Normal 2 2 4 6 3 2" xfId="24528" xr:uid="{00000000-0005-0000-0000-0000D05F0000}"/>
    <cellStyle name="Normal 2 2 4 6 3 3" xfId="24529" xr:uid="{00000000-0005-0000-0000-0000D15F0000}"/>
    <cellStyle name="Normal 2 2 4 6 3 4" xfId="24530" xr:uid="{00000000-0005-0000-0000-0000D25F0000}"/>
    <cellStyle name="Normal 2 2 4 6 3 5" xfId="24531" xr:uid="{00000000-0005-0000-0000-0000D35F0000}"/>
    <cellStyle name="Normal 2 2 4 6 3 6" xfId="24532" xr:uid="{00000000-0005-0000-0000-0000D45F0000}"/>
    <cellStyle name="Normal 2 2 4 6 3 7" xfId="24533" xr:uid="{00000000-0005-0000-0000-0000D55F0000}"/>
    <cellStyle name="Normal 2 2 4 6 3 8" xfId="24534" xr:uid="{00000000-0005-0000-0000-0000D65F0000}"/>
    <cellStyle name="Normal 2 2 4 6 3 9" xfId="24535" xr:uid="{00000000-0005-0000-0000-0000D75F0000}"/>
    <cellStyle name="Normal 2 2 4 6 4" xfId="24536" xr:uid="{00000000-0005-0000-0000-0000D85F0000}"/>
    <cellStyle name="Normal 2 2 4 6 4 10" xfId="24537" xr:uid="{00000000-0005-0000-0000-0000D95F0000}"/>
    <cellStyle name="Normal 2 2 4 6 4 2" xfId="24538" xr:uid="{00000000-0005-0000-0000-0000DA5F0000}"/>
    <cellStyle name="Normal 2 2 4 6 4 3" xfId="24539" xr:uid="{00000000-0005-0000-0000-0000DB5F0000}"/>
    <cellStyle name="Normal 2 2 4 6 4 4" xfId="24540" xr:uid="{00000000-0005-0000-0000-0000DC5F0000}"/>
    <cellStyle name="Normal 2 2 4 6 4 5" xfId="24541" xr:uid="{00000000-0005-0000-0000-0000DD5F0000}"/>
    <cellStyle name="Normal 2 2 4 6 4 6" xfId="24542" xr:uid="{00000000-0005-0000-0000-0000DE5F0000}"/>
    <cellStyle name="Normal 2 2 4 6 4 7" xfId="24543" xr:uid="{00000000-0005-0000-0000-0000DF5F0000}"/>
    <cellStyle name="Normal 2 2 4 6 4 8" xfId="24544" xr:uid="{00000000-0005-0000-0000-0000E05F0000}"/>
    <cellStyle name="Normal 2 2 4 6 4 9" xfId="24545" xr:uid="{00000000-0005-0000-0000-0000E15F0000}"/>
    <cellStyle name="Normal 2 2 4 6 5" xfId="24546" xr:uid="{00000000-0005-0000-0000-0000E25F0000}"/>
    <cellStyle name="Normal 2 2 4 6 5 10" xfId="24547" xr:uid="{00000000-0005-0000-0000-0000E35F0000}"/>
    <cellStyle name="Normal 2 2 4 6 5 2" xfId="24548" xr:uid="{00000000-0005-0000-0000-0000E45F0000}"/>
    <cellStyle name="Normal 2 2 4 6 5 3" xfId="24549" xr:uid="{00000000-0005-0000-0000-0000E55F0000}"/>
    <cellStyle name="Normal 2 2 4 6 5 4" xfId="24550" xr:uid="{00000000-0005-0000-0000-0000E65F0000}"/>
    <cellStyle name="Normal 2 2 4 6 5 5" xfId="24551" xr:uid="{00000000-0005-0000-0000-0000E75F0000}"/>
    <cellStyle name="Normal 2 2 4 6 5 6" xfId="24552" xr:uid="{00000000-0005-0000-0000-0000E85F0000}"/>
    <cellStyle name="Normal 2 2 4 6 5 7" xfId="24553" xr:uid="{00000000-0005-0000-0000-0000E95F0000}"/>
    <cellStyle name="Normal 2 2 4 6 5 8" xfId="24554" xr:uid="{00000000-0005-0000-0000-0000EA5F0000}"/>
    <cellStyle name="Normal 2 2 4 6 5 9" xfId="24555" xr:uid="{00000000-0005-0000-0000-0000EB5F0000}"/>
    <cellStyle name="Normal 2 2 4 6 6" xfId="24556" xr:uid="{00000000-0005-0000-0000-0000EC5F0000}"/>
    <cellStyle name="Normal 2 2 4 6 7" xfId="24557" xr:uid="{00000000-0005-0000-0000-0000ED5F0000}"/>
    <cellStyle name="Normal 2 2 4 6 8" xfId="24558" xr:uid="{00000000-0005-0000-0000-0000EE5F0000}"/>
    <cellStyle name="Normal 2 2 4 6 9" xfId="24559" xr:uid="{00000000-0005-0000-0000-0000EF5F0000}"/>
    <cellStyle name="Normal 2 2 4 7" xfId="24560" xr:uid="{00000000-0005-0000-0000-0000F05F0000}"/>
    <cellStyle name="Normal 2 2 4 7 10" xfId="24561" xr:uid="{00000000-0005-0000-0000-0000F15F0000}"/>
    <cellStyle name="Normal 2 2 4 7 11" xfId="24562" xr:uid="{00000000-0005-0000-0000-0000F25F0000}"/>
    <cellStyle name="Normal 2 2 4 7 12" xfId="24563" xr:uid="{00000000-0005-0000-0000-0000F35F0000}"/>
    <cellStyle name="Normal 2 2 4 7 13" xfId="24564" xr:uid="{00000000-0005-0000-0000-0000F45F0000}"/>
    <cellStyle name="Normal 2 2 4 7 14" xfId="24565" xr:uid="{00000000-0005-0000-0000-0000F55F0000}"/>
    <cellStyle name="Normal 2 2 4 7 2" xfId="24566" xr:uid="{00000000-0005-0000-0000-0000F65F0000}"/>
    <cellStyle name="Normal 2 2 4 7 2 10" xfId="24567" xr:uid="{00000000-0005-0000-0000-0000F75F0000}"/>
    <cellStyle name="Normal 2 2 4 7 2 2" xfId="24568" xr:uid="{00000000-0005-0000-0000-0000F85F0000}"/>
    <cellStyle name="Normal 2 2 4 7 2 3" xfId="24569" xr:uid="{00000000-0005-0000-0000-0000F95F0000}"/>
    <cellStyle name="Normal 2 2 4 7 2 4" xfId="24570" xr:uid="{00000000-0005-0000-0000-0000FA5F0000}"/>
    <cellStyle name="Normal 2 2 4 7 2 5" xfId="24571" xr:uid="{00000000-0005-0000-0000-0000FB5F0000}"/>
    <cellStyle name="Normal 2 2 4 7 2 6" xfId="24572" xr:uid="{00000000-0005-0000-0000-0000FC5F0000}"/>
    <cellStyle name="Normal 2 2 4 7 2 7" xfId="24573" xr:uid="{00000000-0005-0000-0000-0000FD5F0000}"/>
    <cellStyle name="Normal 2 2 4 7 2 8" xfId="24574" xr:uid="{00000000-0005-0000-0000-0000FE5F0000}"/>
    <cellStyle name="Normal 2 2 4 7 2 9" xfId="24575" xr:uid="{00000000-0005-0000-0000-0000FF5F0000}"/>
    <cellStyle name="Normal 2 2 4 7 3" xfId="24576" xr:uid="{00000000-0005-0000-0000-000000600000}"/>
    <cellStyle name="Normal 2 2 4 7 3 10" xfId="24577" xr:uid="{00000000-0005-0000-0000-000001600000}"/>
    <cellStyle name="Normal 2 2 4 7 3 2" xfId="24578" xr:uid="{00000000-0005-0000-0000-000002600000}"/>
    <cellStyle name="Normal 2 2 4 7 3 3" xfId="24579" xr:uid="{00000000-0005-0000-0000-000003600000}"/>
    <cellStyle name="Normal 2 2 4 7 3 4" xfId="24580" xr:uid="{00000000-0005-0000-0000-000004600000}"/>
    <cellStyle name="Normal 2 2 4 7 3 5" xfId="24581" xr:uid="{00000000-0005-0000-0000-000005600000}"/>
    <cellStyle name="Normal 2 2 4 7 3 6" xfId="24582" xr:uid="{00000000-0005-0000-0000-000006600000}"/>
    <cellStyle name="Normal 2 2 4 7 3 7" xfId="24583" xr:uid="{00000000-0005-0000-0000-000007600000}"/>
    <cellStyle name="Normal 2 2 4 7 3 8" xfId="24584" xr:uid="{00000000-0005-0000-0000-000008600000}"/>
    <cellStyle name="Normal 2 2 4 7 3 9" xfId="24585" xr:uid="{00000000-0005-0000-0000-000009600000}"/>
    <cellStyle name="Normal 2 2 4 7 4" xfId="24586" xr:uid="{00000000-0005-0000-0000-00000A600000}"/>
    <cellStyle name="Normal 2 2 4 7 4 10" xfId="24587" xr:uid="{00000000-0005-0000-0000-00000B600000}"/>
    <cellStyle name="Normal 2 2 4 7 4 2" xfId="24588" xr:uid="{00000000-0005-0000-0000-00000C600000}"/>
    <cellStyle name="Normal 2 2 4 7 4 3" xfId="24589" xr:uid="{00000000-0005-0000-0000-00000D600000}"/>
    <cellStyle name="Normal 2 2 4 7 4 4" xfId="24590" xr:uid="{00000000-0005-0000-0000-00000E600000}"/>
    <cellStyle name="Normal 2 2 4 7 4 5" xfId="24591" xr:uid="{00000000-0005-0000-0000-00000F600000}"/>
    <cellStyle name="Normal 2 2 4 7 4 6" xfId="24592" xr:uid="{00000000-0005-0000-0000-000010600000}"/>
    <cellStyle name="Normal 2 2 4 7 4 7" xfId="24593" xr:uid="{00000000-0005-0000-0000-000011600000}"/>
    <cellStyle name="Normal 2 2 4 7 4 8" xfId="24594" xr:uid="{00000000-0005-0000-0000-000012600000}"/>
    <cellStyle name="Normal 2 2 4 7 4 9" xfId="24595" xr:uid="{00000000-0005-0000-0000-000013600000}"/>
    <cellStyle name="Normal 2 2 4 7 5" xfId="24596" xr:uid="{00000000-0005-0000-0000-000014600000}"/>
    <cellStyle name="Normal 2 2 4 7 5 10" xfId="24597" xr:uid="{00000000-0005-0000-0000-000015600000}"/>
    <cellStyle name="Normal 2 2 4 7 5 2" xfId="24598" xr:uid="{00000000-0005-0000-0000-000016600000}"/>
    <cellStyle name="Normal 2 2 4 7 5 3" xfId="24599" xr:uid="{00000000-0005-0000-0000-000017600000}"/>
    <cellStyle name="Normal 2 2 4 7 5 4" xfId="24600" xr:uid="{00000000-0005-0000-0000-000018600000}"/>
    <cellStyle name="Normal 2 2 4 7 5 5" xfId="24601" xr:uid="{00000000-0005-0000-0000-000019600000}"/>
    <cellStyle name="Normal 2 2 4 7 5 6" xfId="24602" xr:uid="{00000000-0005-0000-0000-00001A600000}"/>
    <cellStyle name="Normal 2 2 4 7 5 7" xfId="24603" xr:uid="{00000000-0005-0000-0000-00001B600000}"/>
    <cellStyle name="Normal 2 2 4 7 5 8" xfId="24604" xr:uid="{00000000-0005-0000-0000-00001C600000}"/>
    <cellStyle name="Normal 2 2 4 7 5 9" xfId="24605" xr:uid="{00000000-0005-0000-0000-00001D600000}"/>
    <cellStyle name="Normal 2 2 4 7 6" xfId="24606" xr:uid="{00000000-0005-0000-0000-00001E600000}"/>
    <cellStyle name="Normal 2 2 4 7 7" xfId="24607" xr:uid="{00000000-0005-0000-0000-00001F600000}"/>
    <cellStyle name="Normal 2 2 4 7 8" xfId="24608" xr:uid="{00000000-0005-0000-0000-000020600000}"/>
    <cellStyle name="Normal 2 2 4 7 9" xfId="24609" xr:uid="{00000000-0005-0000-0000-000021600000}"/>
    <cellStyle name="Normal 2 2 4 8" xfId="24610" xr:uid="{00000000-0005-0000-0000-000022600000}"/>
    <cellStyle name="Normal 2 2 4 8 10" xfId="24611" xr:uid="{00000000-0005-0000-0000-000023600000}"/>
    <cellStyle name="Normal 2 2 4 8 11" xfId="24612" xr:uid="{00000000-0005-0000-0000-000024600000}"/>
    <cellStyle name="Normal 2 2 4 8 12" xfId="24613" xr:uid="{00000000-0005-0000-0000-000025600000}"/>
    <cellStyle name="Normal 2 2 4 8 13" xfId="24614" xr:uid="{00000000-0005-0000-0000-000026600000}"/>
    <cellStyle name="Normal 2 2 4 8 14" xfId="24615" xr:uid="{00000000-0005-0000-0000-000027600000}"/>
    <cellStyle name="Normal 2 2 4 8 2" xfId="24616" xr:uid="{00000000-0005-0000-0000-000028600000}"/>
    <cellStyle name="Normal 2 2 4 8 2 10" xfId="24617" xr:uid="{00000000-0005-0000-0000-000029600000}"/>
    <cellStyle name="Normal 2 2 4 8 2 2" xfId="24618" xr:uid="{00000000-0005-0000-0000-00002A600000}"/>
    <cellStyle name="Normal 2 2 4 8 2 3" xfId="24619" xr:uid="{00000000-0005-0000-0000-00002B600000}"/>
    <cellStyle name="Normal 2 2 4 8 2 4" xfId="24620" xr:uid="{00000000-0005-0000-0000-00002C600000}"/>
    <cellStyle name="Normal 2 2 4 8 2 5" xfId="24621" xr:uid="{00000000-0005-0000-0000-00002D600000}"/>
    <cellStyle name="Normal 2 2 4 8 2 6" xfId="24622" xr:uid="{00000000-0005-0000-0000-00002E600000}"/>
    <cellStyle name="Normal 2 2 4 8 2 7" xfId="24623" xr:uid="{00000000-0005-0000-0000-00002F600000}"/>
    <cellStyle name="Normal 2 2 4 8 2 8" xfId="24624" xr:uid="{00000000-0005-0000-0000-000030600000}"/>
    <cellStyle name="Normal 2 2 4 8 2 9" xfId="24625" xr:uid="{00000000-0005-0000-0000-000031600000}"/>
    <cellStyle name="Normal 2 2 4 8 3" xfId="24626" xr:uid="{00000000-0005-0000-0000-000032600000}"/>
    <cellStyle name="Normal 2 2 4 8 3 10" xfId="24627" xr:uid="{00000000-0005-0000-0000-000033600000}"/>
    <cellStyle name="Normal 2 2 4 8 3 2" xfId="24628" xr:uid="{00000000-0005-0000-0000-000034600000}"/>
    <cellStyle name="Normal 2 2 4 8 3 3" xfId="24629" xr:uid="{00000000-0005-0000-0000-000035600000}"/>
    <cellStyle name="Normal 2 2 4 8 3 4" xfId="24630" xr:uid="{00000000-0005-0000-0000-000036600000}"/>
    <cellStyle name="Normal 2 2 4 8 3 5" xfId="24631" xr:uid="{00000000-0005-0000-0000-000037600000}"/>
    <cellStyle name="Normal 2 2 4 8 3 6" xfId="24632" xr:uid="{00000000-0005-0000-0000-000038600000}"/>
    <cellStyle name="Normal 2 2 4 8 3 7" xfId="24633" xr:uid="{00000000-0005-0000-0000-000039600000}"/>
    <cellStyle name="Normal 2 2 4 8 3 8" xfId="24634" xr:uid="{00000000-0005-0000-0000-00003A600000}"/>
    <cellStyle name="Normal 2 2 4 8 3 9" xfId="24635" xr:uid="{00000000-0005-0000-0000-00003B600000}"/>
    <cellStyle name="Normal 2 2 4 8 4" xfId="24636" xr:uid="{00000000-0005-0000-0000-00003C600000}"/>
    <cellStyle name="Normal 2 2 4 8 4 10" xfId="24637" xr:uid="{00000000-0005-0000-0000-00003D600000}"/>
    <cellStyle name="Normal 2 2 4 8 4 2" xfId="24638" xr:uid="{00000000-0005-0000-0000-00003E600000}"/>
    <cellStyle name="Normal 2 2 4 8 4 3" xfId="24639" xr:uid="{00000000-0005-0000-0000-00003F600000}"/>
    <cellStyle name="Normal 2 2 4 8 4 4" xfId="24640" xr:uid="{00000000-0005-0000-0000-000040600000}"/>
    <cellStyle name="Normal 2 2 4 8 4 5" xfId="24641" xr:uid="{00000000-0005-0000-0000-000041600000}"/>
    <cellStyle name="Normal 2 2 4 8 4 6" xfId="24642" xr:uid="{00000000-0005-0000-0000-000042600000}"/>
    <cellStyle name="Normal 2 2 4 8 4 7" xfId="24643" xr:uid="{00000000-0005-0000-0000-000043600000}"/>
    <cellStyle name="Normal 2 2 4 8 4 8" xfId="24644" xr:uid="{00000000-0005-0000-0000-000044600000}"/>
    <cellStyle name="Normal 2 2 4 8 4 9" xfId="24645" xr:uid="{00000000-0005-0000-0000-000045600000}"/>
    <cellStyle name="Normal 2 2 4 8 5" xfId="24646" xr:uid="{00000000-0005-0000-0000-000046600000}"/>
    <cellStyle name="Normal 2 2 4 8 5 10" xfId="24647" xr:uid="{00000000-0005-0000-0000-000047600000}"/>
    <cellStyle name="Normal 2 2 4 8 5 2" xfId="24648" xr:uid="{00000000-0005-0000-0000-000048600000}"/>
    <cellStyle name="Normal 2 2 4 8 5 3" xfId="24649" xr:uid="{00000000-0005-0000-0000-000049600000}"/>
    <cellStyle name="Normal 2 2 4 8 5 4" xfId="24650" xr:uid="{00000000-0005-0000-0000-00004A600000}"/>
    <cellStyle name="Normal 2 2 4 8 5 5" xfId="24651" xr:uid="{00000000-0005-0000-0000-00004B600000}"/>
    <cellStyle name="Normal 2 2 4 8 5 6" xfId="24652" xr:uid="{00000000-0005-0000-0000-00004C600000}"/>
    <cellStyle name="Normal 2 2 4 8 5 7" xfId="24653" xr:uid="{00000000-0005-0000-0000-00004D600000}"/>
    <cellStyle name="Normal 2 2 4 8 5 8" xfId="24654" xr:uid="{00000000-0005-0000-0000-00004E600000}"/>
    <cellStyle name="Normal 2 2 4 8 5 9" xfId="24655" xr:uid="{00000000-0005-0000-0000-00004F600000}"/>
    <cellStyle name="Normal 2 2 4 8 6" xfId="24656" xr:uid="{00000000-0005-0000-0000-000050600000}"/>
    <cellStyle name="Normal 2 2 4 8 7" xfId="24657" xr:uid="{00000000-0005-0000-0000-000051600000}"/>
    <cellStyle name="Normal 2 2 4 8 8" xfId="24658" xr:uid="{00000000-0005-0000-0000-000052600000}"/>
    <cellStyle name="Normal 2 2 4 8 9" xfId="24659" xr:uid="{00000000-0005-0000-0000-000053600000}"/>
    <cellStyle name="Normal 2 2 4 9" xfId="24660" xr:uid="{00000000-0005-0000-0000-000054600000}"/>
    <cellStyle name="Normal 2 2 4 9 10" xfId="24661" xr:uid="{00000000-0005-0000-0000-000055600000}"/>
    <cellStyle name="Normal 2 2 4 9 11" xfId="24662" xr:uid="{00000000-0005-0000-0000-000056600000}"/>
    <cellStyle name="Normal 2 2 4 9 12" xfId="24663" xr:uid="{00000000-0005-0000-0000-000057600000}"/>
    <cellStyle name="Normal 2 2 4 9 13" xfId="24664" xr:uid="{00000000-0005-0000-0000-000058600000}"/>
    <cellStyle name="Normal 2 2 4 9 14" xfId="24665" xr:uid="{00000000-0005-0000-0000-000059600000}"/>
    <cellStyle name="Normal 2 2 4 9 2" xfId="24666" xr:uid="{00000000-0005-0000-0000-00005A600000}"/>
    <cellStyle name="Normal 2 2 4 9 2 10" xfId="24667" xr:uid="{00000000-0005-0000-0000-00005B600000}"/>
    <cellStyle name="Normal 2 2 4 9 2 2" xfId="24668" xr:uid="{00000000-0005-0000-0000-00005C600000}"/>
    <cellStyle name="Normal 2 2 4 9 2 3" xfId="24669" xr:uid="{00000000-0005-0000-0000-00005D600000}"/>
    <cellStyle name="Normal 2 2 4 9 2 4" xfId="24670" xr:uid="{00000000-0005-0000-0000-00005E600000}"/>
    <cellStyle name="Normal 2 2 4 9 2 5" xfId="24671" xr:uid="{00000000-0005-0000-0000-00005F600000}"/>
    <cellStyle name="Normal 2 2 4 9 2 6" xfId="24672" xr:uid="{00000000-0005-0000-0000-000060600000}"/>
    <cellStyle name="Normal 2 2 4 9 2 7" xfId="24673" xr:uid="{00000000-0005-0000-0000-000061600000}"/>
    <cellStyle name="Normal 2 2 4 9 2 8" xfId="24674" xr:uid="{00000000-0005-0000-0000-000062600000}"/>
    <cellStyle name="Normal 2 2 4 9 2 9" xfId="24675" xr:uid="{00000000-0005-0000-0000-000063600000}"/>
    <cellStyle name="Normal 2 2 4 9 3" xfId="24676" xr:uid="{00000000-0005-0000-0000-000064600000}"/>
    <cellStyle name="Normal 2 2 4 9 3 10" xfId="24677" xr:uid="{00000000-0005-0000-0000-000065600000}"/>
    <cellStyle name="Normal 2 2 4 9 3 2" xfId="24678" xr:uid="{00000000-0005-0000-0000-000066600000}"/>
    <cellStyle name="Normal 2 2 4 9 3 3" xfId="24679" xr:uid="{00000000-0005-0000-0000-000067600000}"/>
    <cellStyle name="Normal 2 2 4 9 3 4" xfId="24680" xr:uid="{00000000-0005-0000-0000-000068600000}"/>
    <cellStyle name="Normal 2 2 4 9 3 5" xfId="24681" xr:uid="{00000000-0005-0000-0000-000069600000}"/>
    <cellStyle name="Normal 2 2 4 9 3 6" xfId="24682" xr:uid="{00000000-0005-0000-0000-00006A600000}"/>
    <cellStyle name="Normal 2 2 4 9 3 7" xfId="24683" xr:uid="{00000000-0005-0000-0000-00006B600000}"/>
    <cellStyle name="Normal 2 2 4 9 3 8" xfId="24684" xr:uid="{00000000-0005-0000-0000-00006C600000}"/>
    <cellStyle name="Normal 2 2 4 9 3 9" xfId="24685" xr:uid="{00000000-0005-0000-0000-00006D600000}"/>
    <cellStyle name="Normal 2 2 4 9 4" xfId="24686" xr:uid="{00000000-0005-0000-0000-00006E600000}"/>
    <cellStyle name="Normal 2 2 4 9 4 10" xfId="24687" xr:uid="{00000000-0005-0000-0000-00006F600000}"/>
    <cellStyle name="Normal 2 2 4 9 4 2" xfId="24688" xr:uid="{00000000-0005-0000-0000-000070600000}"/>
    <cellStyle name="Normal 2 2 4 9 4 3" xfId="24689" xr:uid="{00000000-0005-0000-0000-000071600000}"/>
    <cellStyle name="Normal 2 2 4 9 4 4" xfId="24690" xr:uid="{00000000-0005-0000-0000-000072600000}"/>
    <cellStyle name="Normal 2 2 4 9 4 5" xfId="24691" xr:uid="{00000000-0005-0000-0000-000073600000}"/>
    <cellStyle name="Normal 2 2 4 9 4 6" xfId="24692" xr:uid="{00000000-0005-0000-0000-000074600000}"/>
    <cellStyle name="Normal 2 2 4 9 4 7" xfId="24693" xr:uid="{00000000-0005-0000-0000-000075600000}"/>
    <cellStyle name="Normal 2 2 4 9 4 8" xfId="24694" xr:uid="{00000000-0005-0000-0000-000076600000}"/>
    <cellStyle name="Normal 2 2 4 9 4 9" xfId="24695" xr:uid="{00000000-0005-0000-0000-000077600000}"/>
    <cellStyle name="Normal 2 2 4 9 5" xfId="24696" xr:uid="{00000000-0005-0000-0000-000078600000}"/>
    <cellStyle name="Normal 2 2 4 9 5 10" xfId="24697" xr:uid="{00000000-0005-0000-0000-000079600000}"/>
    <cellStyle name="Normal 2 2 4 9 5 2" xfId="24698" xr:uid="{00000000-0005-0000-0000-00007A600000}"/>
    <cellStyle name="Normal 2 2 4 9 5 3" xfId="24699" xr:uid="{00000000-0005-0000-0000-00007B600000}"/>
    <cellStyle name="Normal 2 2 4 9 5 4" xfId="24700" xr:uid="{00000000-0005-0000-0000-00007C600000}"/>
    <cellStyle name="Normal 2 2 4 9 5 5" xfId="24701" xr:uid="{00000000-0005-0000-0000-00007D600000}"/>
    <cellStyle name="Normal 2 2 4 9 5 6" xfId="24702" xr:uid="{00000000-0005-0000-0000-00007E600000}"/>
    <cellStyle name="Normal 2 2 4 9 5 7" xfId="24703" xr:uid="{00000000-0005-0000-0000-00007F600000}"/>
    <cellStyle name="Normal 2 2 4 9 5 8" xfId="24704" xr:uid="{00000000-0005-0000-0000-000080600000}"/>
    <cellStyle name="Normal 2 2 4 9 5 9" xfId="24705" xr:uid="{00000000-0005-0000-0000-000081600000}"/>
    <cellStyle name="Normal 2 2 4 9 6" xfId="24706" xr:uid="{00000000-0005-0000-0000-000082600000}"/>
    <cellStyle name="Normal 2 2 4 9 7" xfId="24707" xr:uid="{00000000-0005-0000-0000-000083600000}"/>
    <cellStyle name="Normal 2 2 4 9 8" xfId="24708" xr:uid="{00000000-0005-0000-0000-000084600000}"/>
    <cellStyle name="Normal 2 2 4 9 9" xfId="24709" xr:uid="{00000000-0005-0000-0000-000085600000}"/>
    <cellStyle name="Normal 2 2 40" xfId="24710" xr:uid="{00000000-0005-0000-0000-000086600000}"/>
    <cellStyle name="Normal 2 2 41" xfId="24711" xr:uid="{00000000-0005-0000-0000-000087600000}"/>
    <cellStyle name="Normal 2 2 41 10" xfId="24712" xr:uid="{00000000-0005-0000-0000-000088600000}"/>
    <cellStyle name="Normal 2 2 41 2" xfId="24713" xr:uid="{00000000-0005-0000-0000-000089600000}"/>
    <cellStyle name="Normal 2 2 41 3" xfId="24714" xr:uid="{00000000-0005-0000-0000-00008A600000}"/>
    <cellStyle name="Normal 2 2 41 4" xfId="24715" xr:uid="{00000000-0005-0000-0000-00008B600000}"/>
    <cellStyle name="Normal 2 2 41 5" xfId="24716" xr:uid="{00000000-0005-0000-0000-00008C600000}"/>
    <cellStyle name="Normal 2 2 41 6" xfId="24717" xr:uid="{00000000-0005-0000-0000-00008D600000}"/>
    <cellStyle name="Normal 2 2 41 7" xfId="24718" xr:uid="{00000000-0005-0000-0000-00008E600000}"/>
    <cellStyle name="Normal 2 2 41 8" xfId="24719" xr:uid="{00000000-0005-0000-0000-00008F600000}"/>
    <cellStyle name="Normal 2 2 41 9" xfId="24720" xr:uid="{00000000-0005-0000-0000-000090600000}"/>
    <cellStyle name="Normal 2 2 42" xfId="24721" xr:uid="{00000000-0005-0000-0000-000091600000}"/>
    <cellStyle name="Normal 2 2 43" xfId="24722" xr:uid="{00000000-0005-0000-0000-000092600000}"/>
    <cellStyle name="Normal 2 2 44" xfId="24723" xr:uid="{00000000-0005-0000-0000-000093600000}"/>
    <cellStyle name="Normal 2 2 45" xfId="24724" xr:uid="{00000000-0005-0000-0000-000094600000}"/>
    <cellStyle name="Normal 2 2 46" xfId="24725" xr:uid="{00000000-0005-0000-0000-000095600000}"/>
    <cellStyle name="Normal 2 2 47" xfId="24726" xr:uid="{00000000-0005-0000-0000-000096600000}"/>
    <cellStyle name="Normal 2 2 48" xfId="24727" xr:uid="{00000000-0005-0000-0000-000097600000}"/>
    <cellStyle name="Normal 2 2 49" xfId="24728" xr:uid="{00000000-0005-0000-0000-000098600000}"/>
    <cellStyle name="Normal 2 2 5" xfId="24729" xr:uid="{00000000-0005-0000-0000-000099600000}"/>
    <cellStyle name="Normal 2 2 5 10" xfId="24730" xr:uid="{00000000-0005-0000-0000-00009A600000}"/>
    <cellStyle name="Normal 2 2 5 10 10" xfId="24731" xr:uid="{00000000-0005-0000-0000-00009B600000}"/>
    <cellStyle name="Normal 2 2 5 10 11" xfId="24732" xr:uid="{00000000-0005-0000-0000-00009C600000}"/>
    <cellStyle name="Normal 2 2 5 10 12" xfId="24733" xr:uid="{00000000-0005-0000-0000-00009D600000}"/>
    <cellStyle name="Normal 2 2 5 10 13" xfId="24734" xr:uid="{00000000-0005-0000-0000-00009E600000}"/>
    <cellStyle name="Normal 2 2 5 10 14" xfId="24735" xr:uid="{00000000-0005-0000-0000-00009F600000}"/>
    <cellStyle name="Normal 2 2 5 10 2" xfId="24736" xr:uid="{00000000-0005-0000-0000-0000A0600000}"/>
    <cellStyle name="Normal 2 2 5 10 2 10" xfId="24737" xr:uid="{00000000-0005-0000-0000-0000A1600000}"/>
    <cellStyle name="Normal 2 2 5 10 2 2" xfId="24738" xr:uid="{00000000-0005-0000-0000-0000A2600000}"/>
    <cellStyle name="Normal 2 2 5 10 2 3" xfId="24739" xr:uid="{00000000-0005-0000-0000-0000A3600000}"/>
    <cellStyle name="Normal 2 2 5 10 2 4" xfId="24740" xr:uid="{00000000-0005-0000-0000-0000A4600000}"/>
    <cellStyle name="Normal 2 2 5 10 2 5" xfId="24741" xr:uid="{00000000-0005-0000-0000-0000A5600000}"/>
    <cellStyle name="Normal 2 2 5 10 2 6" xfId="24742" xr:uid="{00000000-0005-0000-0000-0000A6600000}"/>
    <cellStyle name="Normal 2 2 5 10 2 7" xfId="24743" xr:uid="{00000000-0005-0000-0000-0000A7600000}"/>
    <cellStyle name="Normal 2 2 5 10 2 8" xfId="24744" xr:uid="{00000000-0005-0000-0000-0000A8600000}"/>
    <cellStyle name="Normal 2 2 5 10 2 9" xfId="24745" xr:uid="{00000000-0005-0000-0000-0000A9600000}"/>
    <cellStyle name="Normal 2 2 5 10 3" xfId="24746" xr:uid="{00000000-0005-0000-0000-0000AA600000}"/>
    <cellStyle name="Normal 2 2 5 10 3 10" xfId="24747" xr:uid="{00000000-0005-0000-0000-0000AB600000}"/>
    <cellStyle name="Normal 2 2 5 10 3 2" xfId="24748" xr:uid="{00000000-0005-0000-0000-0000AC600000}"/>
    <cellStyle name="Normal 2 2 5 10 3 3" xfId="24749" xr:uid="{00000000-0005-0000-0000-0000AD600000}"/>
    <cellStyle name="Normal 2 2 5 10 3 4" xfId="24750" xr:uid="{00000000-0005-0000-0000-0000AE600000}"/>
    <cellStyle name="Normal 2 2 5 10 3 5" xfId="24751" xr:uid="{00000000-0005-0000-0000-0000AF600000}"/>
    <cellStyle name="Normal 2 2 5 10 3 6" xfId="24752" xr:uid="{00000000-0005-0000-0000-0000B0600000}"/>
    <cellStyle name="Normal 2 2 5 10 3 7" xfId="24753" xr:uid="{00000000-0005-0000-0000-0000B1600000}"/>
    <cellStyle name="Normal 2 2 5 10 3 8" xfId="24754" xr:uid="{00000000-0005-0000-0000-0000B2600000}"/>
    <cellStyle name="Normal 2 2 5 10 3 9" xfId="24755" xr:uid="{00000000-0005-0000-0000-0000B3600000}"/>
    <cellStyle name="Normal 2 2 5 10 4" xfId="24756" xr:uid="{00000000-0005-0000-0000-0000B4600000}"/>
    <cellStyle name="Normal 2 2 5 10 4 10" xfId="24757" xr:uid="{00000000-0005-0000-0000-0000B5600000}"/>
    <cellStyle name="Normal 2 2 5 10 4 2" xfId="24758" xr:uid="{00000000-0005-0000-0000-0000B6600000}"/>
    <cellStyle name="Normal 2 2 5 10 4 3" xfId="24759" xr:uid="{00000000-0005-0000-0000-0000B7600000}"/>
    <cellStyle name="Normal 2 2 5 10 4 4" xfId="24760" xr:uid="{00000000-0005-0000-0000-0000B8600000}"/>
    <cellStyle name="Normal 2 2 5 10 4 5" xfId="24761" xr:uid="{00000000-0005-0000-0000-0000B9600000}"/>
    <cellStyle name="Normal 2 2 5 10 4 6" xfId="24762" xr:uid="{00000000-0005-0000-0000-0000BA600000}"/>
    <cellStyle name="Normal 2 2 5 10 4 7" xfId="24763" xr:uid="{00000000-0005-0000-0000-0000BB600000}"/>
    <cellStyle name="Normal 2 2 5 10 4 8" xfId="24764" xr:uid="{00000000-0005-0000-0000-0000BC600000}"/>
    <cellStyle name="Normal 2 2 5 10 4 9" xfId="24765" xr:uid="{00000000-0005-0000-0000-0000BD600000}"/>
    <cellStyle name="Normal 2 2 5 10 5" xfId="24766" xr:uid="{00000000-0005-0000-0000-0000BE600000}"/>
    <cellStyle name="Normal 2 2 5 10 5 10" xfId="24767" xr:uid="{00000000-0005-0000-0000-0000BF600000}"/>
    <cellStyle name="Normal 2 2 5 10 5 2" xfId="24768" xr:uid="{00000000-0005-0000-0000-0000C0600000}"/>
    <cellStyle name="Normal 2 2 5 10 5 3" xfId="24769" xr:uid="{00000000-0005-0000-0000-0000C1600000}"/>
    <cellStyle name="Normal 2 2 5 10 5 4" xfId="24770" xr:uid="{00000000-0005-0000-0000-0000C2600000}"/>
    <cellStyle name="Normal 2 2 5 10 5 5" xfId="24771" xr:uid="{00000000-0005-0000-0000-0000C3600000}"/>
    <cellStyle name="Normal 2 2 5 10 5 6" xfId="24772" xr:uid="{00000000-0005-0000-0000-0000C4600000}"/>
    <cellStyle name="Normal 2 2 5 10 5 7" xfId="24773" xr:uid="{00000000-0005-0000-0000-0000C5600000}"/>
    <cellStyle name="Normal 2 2 5 10 5 8" xfId="24774" xr:uid="{00000000-0005-0000-0000-0000C6600000}"/>
    <cellStyle name="Normal 2 2 5 10 5 9" xfId="24775" xr:uid="{00000000-0005-0000-0000-0000C7600000}"/>
    <cellStyle name="Normal 2 2 5 10 6" xfId="24776" xr:uid="{00000000-0005-0000-0000-0000C8600000}"/>
    <cellStyle name="Normal 2 2 5 10 7" xfId="24777" xr:uid="{00000000-0005-0000-0000-0000C9600000}"/>
    <cellStyle name="Normal 2 2 5 10 8" xfId="24778" xr:uid="{00000000-0005-0000-0000-0000CA600000}"/>
    <cellStyle name="Normal 2 2 5 10 9" xfId="24779" xr:uid="{00000000-0005-0000-0000-0000CB600000}"/>
    <cellStyle name="Normal 2 2 5 11" xfId="24780" xr:uid="{00000000-0005-0000-0000-0000CC600000}"/>
    <cellStyle name="Normal 2 2 5 11 10" xfId="24781" xr:uid="{00000000-0005-0000-0000-0000CD600000}"/>
    <cellStyle name="Normal 2 2 5 11 11" xfId="24782" xr:uid="{00000000-0005-0000-0000-0000CE600000}"/>
    <cellStyle name="Normal 2 2 5 11 12" xfId="24783" xr:uid="{00000000-0005-0000-0000-0000CF600000}"/>
    <cellStyle name="Normal 2 2 5 11 13" xfId="24784" xr:uid="{00000000-0005-0000-0000-0000D0600000}"/>
    <cellStyle name="Normal 2 2 5 11 14" xfId="24785" xr:uid="{00000000-0005-0000-0000-0000D1600000}"/>
    <cellStyle name="Normal 2 2 5 11 2" xfId="24786" xr:uid="{00000000-0005-0000-0000-0000D2600000}"/>
    <cellStyle name="Normal 2 2 5 11 2 10" xfId="24787" xr:uid="{00000000-0005-0000-0000-0000D3600000}"/>
    <cellStyle name="Normal 2 2 5 11 2 2" xfId="24788" xr:uid="{00000000-0005-0000-0000-0000D4600000}"/>
    <cellStyle name="Normal 2 2 5 11 2 3" xfId="24789" xr:uid="{00000000-0005-0000-0000-0000D5600000}"/>
    <cellStyle name="Normal 2 2 5 11 2 4" xfId="24790" xr:uid="{00000000-0005-0000-0000-0000D6600000}"/>
    <cellStyle name="Normal 2 2 5 11 2 5" xfId="24791" xr:uid="{00000000-0005-0000-0000-0000D7600000}"/>
    <cellStyle name="Normal 2 2 5 11 2 6" xfId="24792" xr:uid="{00000000-0005-0000-0000-0000D8600000}"/>
    <cellStyle name="Normal 2 2 5 11 2 7" xfId="24793" xr:uid="{00000000-0005-0000-0000-0000D9600000}"/>
    <cellStyle name="Normal 2 2 5 11 2 8" xfId="24794" xr:uid="{00000000-0005-0000-0000-0000DA600000}"/>
    <cellStyle name="Normal 2 2 5 11 2 9" xfId="24795" xr:uid="{00000000-0005-0000-0000-0000DB600000}"/>
    <cellStyle name="Normal 2 2 5 11 3" xfId="24796" xr:uid="{00000000-0005-0000-0000-0000DC600000}"/>
    <cellStyle name="Normal 2 2 5 11 3 10" xfId="24797" xr:uid="{00000000-0005-0000-0000-0000DD600000}"/>
    <cellStyle name="Normal 2 2 5 11 3 2" xfId="24798" xr:uid="{00000000-0005-0000-0000-0000DE600000}"/>
    <cellStyle name="Normal 2 2 5 11 3 3" xfId="24799" xr:uid="{00000000-0005-0000-0000-0000DF600000}"/>
    <cellStyle name="Normal 2 2 5 11 3 4" xfId="24800" xr:uid="{00000000-0005-0000-0000-0000E0600000}"/>
    <cellStyle name="Normal 2 2 5 11 3 5" xfId="24801" xr:uid="{00000000-0005-0000-0000-0000E1600000}"/>
    <cellStyle name="Normal 2 2 5 11 3 6" xfId="24802" xr:uid="{00000000-0005-0000-0000-0000E2600000}"/>
    <cellStyle name="Normal 2 2 5 11 3 7" xfId="24803" xr:uid="{00000000-0005-0000-0000-0000E3600000}"/>
    <cellStyle name="Normal 2 2 5 11 3 8" xfId="24804" xr:uid="{00000000-0005-0000-0000-0000E4600000}"/>
    <cellStyle name="Normal 2 2 5 11 3 9" xfId="24805" xr:uid="{00000000-0005-0000-0000-0000E5600000}"/>
    <cellStyle name="Normal 2 2 5 11 4" xfId="24806" xr:uid="{00000000-0005-0000-0000-0000E6600000}"/>
    <cellStyle name="Normal 2 2 5 11 4 10" xfId="24807" xr:uid="{00000000-0005-0000-0000-0000E7600000}"/>
    <cellStyle name="Normal 2 2 5 11 4 2" xfId="24808" xr:uid="{00000000-0005-0000-0000-0000E8600000}"/>
    <cellStyle name="Normal 2 2 5 11 4 3" xfId="24809" xr:uid="{00000000-0005-0000-0000-0000E9600000}"/>
    <cellStyle name="Normal 2 2 5 11 4 4" xfId="24810" xr:uid="{00000000-0005-0000-0000-0000EA600000}"/>
    <cellStyle name="Normal 2 2 5 11 4 5" xfId="24811" xr:uid="{00000000-0005-0000-0000-0000EB600000}"/>
    <cellStyle name="Normal 2 2 5 11 4 6" xfId="24812" xr:uid="{00000000-0005-0000-0000-0000EC600000}"/>
    <cellStyle name="Normal 2 2 5 11 4 7" xfId="24813" xr:uid="{00000000-0005-0000-0000-0000ED600000}"/>
    <cellStyle name="Normal 2 2 5 11 4 8" xfId="24814" xr:uid="{00000000-0005-0000-0000-0000EE600000}"/>
    <cellStyle name="Normal 2 2 5 11 4 9" xfId="24815" xr:uid="{00000000-0005-0000-0000-0000EF600000}"/>
    <cellStyle name="Normal 2 2 5 11 5" xfId="24816" xr:uid="{00000000-0005-0000-0000-0000F0600000}"/>
    <cellStyle name="Normal 2 2 5 11 5 10" xfId="24817" xr:uid="{00000000-0005-0000-0000-0000F1600000}"/>
    <cellStyle name="Normal 2 2 5 11 5 2" xfId="24818" xr:uid="{00000000-0005-0000-0000-0000F2600000}"/>
    <cellStyle name="Normal 2 2 5 11 5 3" xfId="24819" xr:uid="{00000000-0005-0000-0000-0000F3600000}"/>
    <cellStyle name="Normal 2 2 5 11 5 4" xfId="24820" xr:uid="{00000000-0005-0000-0000-0000F4600000}"/>
    <cellStyle name="Normal 2 2 5 11 5 5" xfId="24821" xr:uid="{00000000-0005-0000-0000-0000F5600000}"/>
    <cellStyle name="Normal 2 2 5 11 5 6" xfId="24822" xr:uid="{00000000-0005-0000-0000-0000F6600000}"/>
    <cellStyle name="Normal 2 2 5 11 5 7" xfId="24823" xr:uid="{00000000-0005-0000-0000-0000F7600000}"/>
    <cellStyle name="Normal 2 2 5 11 5 8" xfId="24824" xr:uid="{00000000-0005-0000-0000-0000F8600000}"/>
    <cellStyle name="Normal 2 2 5 11 5 9" xfId="24825" xr:uid="{00000000-0005-0000-0000-0000F9600000}"/>
    <cellStyle name="Normal 2 2 5 11 6" xfId="24826" xr:uid="{00000000-0005-0000-0000-0000FA600000}"/>
    <cellStyle name="Normal 2 2 5 11 7" xfId="24827" xr:uid="{00000000-0005-0000-0000-0000FB600000}"/>
    <cellStyle name="Normal 2 2 5 11 8" xfId="24828" xr:uid="{00000000-0005-0000-0000-0000FC600000}"/>
    <cellStyle name="Normal 2 2 5 11 9" xfId="24829" xr:uid="{00000000-0005-0000-0000-0000FD600000}"/>
    <cellStyle name="Normal 2 2 5 12" xfId="24830" xr:uid="{00000000-0005-0000-0000-0000FE600000}"/>
    <cellStyle name="Normal 2 2 5 12 10" xfId="24831" xr:uid="{00000000-0005-0000-0000-0000FF600000}"/>
    <cellStyle name="Normal 2 2 5 12 11" xfId="24832" xr:uid="{00000000-0005-0000-0000-000000610000}"/>
    <cellStyle name="Normal 2 2 5 12 12" xfId="24833" xr:uid="{00000000-0005-0000-0000-000001610000}"/>
    <cellStyle name="Normal 2 2 5 12 13" xfId="24834" xr:uid="{00000000-0005-0000-0000-000002610000}"/>
    <cellStyle name="Normal 2 2 5 12 14" xfId="24835" xr:uid="{00000000-0005-0000-0000-000003610000}"/>
    <cellStyle name="Normal 2 2 5 12 2" xfId="24836" xr:uid="{00000000-0005-0000-0000-000004610000}"/>
    <cellStyle name="Normal 2 2 5 12 2 10" xfId="24837" xr:uid="{00000000-0005-0000-0000-000005610000}"/>
    <cellStyle name="Normal 2 2 5 12 2 2" xfId="24838" xr:uid="{00000000-0005-0000-0000-000006610000}"/>
    <cellStyle name="Normal 2 2 5 12 2 3" xfId="24839" xr:uid="{00000000-0005-0000-0000-000007610000}"/>
    <cellStyle name="Normal 2 2 5 12 2 4" xfId="24840" xr:uid="{00000000-0005-0000-0000-000008610000}"/>
    <cellStyle name="Normal 2 2 5 12 2 5" xfId="24841" xr:uid="{00000000-0005-0000-0000-000009610000}"/>
    <cellStyle name="Normal 2 2 5 12 2 6" xfId="24842" xr:uid="{00000000-0005-0000-0000-00000A610000}"/>
    <cellStyle name="Normal 2 2 5 12 2 7" xfId="24843" xr:uid="{00000000-0005-0000-0000-00000B610000}"/>
    <cellStyle name="Normal 2 2 5 12 2 8" xfId="24844" xr:uid="{00000000-0005-0000-0000-00000C610000}"/>
    <cellStyle name="Normal 2 2 5 12 2 9" xfId="24845" xr:uid="{00000000-0005-0000-0000-00000D610000}"/>
    <cellStyle name="Normal 2 2 5 12 3" xfId="24846" xr:uid="{00000000-0005-0000-0000-00000E610000}"/>
    <cellStyle name="Normal 2 2 5 12 3 10" xfId="24847" xr:uid="{00000000-0005-0000-0000-00000F610000}"/>
    <cellStyle name="Normal 2 2 5 12 3 2" xfId="24848" xr:uid="{00000000-0005-0000-0000-000010610000}"/>
    <cellStyle name="Normal 2 2 5 12 3 3" xfId="24849" xr:uid="{00000000-0005-0000-0000-000011610000}"/>
    <cellStyle name="Normal 2 2 5 12 3 4" xfId="24850" xr:uid="{00000000-0005-0000-0000-000012610000}"/>
    <cellStyle name="Normal 2 2 5 12 3 5" xfId="24851" xr:uid="{00000000-0005-0000-0000-000013610000}"/>
    <cellStyle name="Normal 2 2 5 12 3 6" xfId="24852" xr:uid="{00000000-0005-0000-0000-000014610000}"/>
    <cellStyle name="Normal 2 2 5 12 3 7" xfId="24853" xr:uid="{00000000-0005-0000-0000-000015610000}"/>
    <cellStyle name="Normal 2 2 5 12 3 8" xfId="24854" xr:uid="{00000000-0005-0000-0000-000016610000}"/>
    <cellStyle name="Normal 2 2 5 12 3 9" xfId="24855" xr:uid="{00000000-0005-0000-0000-000017610000}"/>
    <cellStyle name="Normal 2 2 5 12 4" xfId="24856" xr:uid="{00000000-0005-0000-0000-000018610000}"/>
    <cellStyle name="Normal 2 2 5 12 4 10" xfId="24857" xr:uid="{00000000-0005-0000-0000-000019610000}"/>
    <cellStyle name="Normal 2 2 5 12 4 2" xfId="24858" xr:uid="{00000000-0005-0000-0000-00001A610000}"/>
    <cellStyle name="Normal 2 2 5 12 4 3" xfId="24859" xr:uid="{00000000-0005-0000-0000-00001B610000}"/>
    <cellStyle name="Normal 2 2 5 12 4 4" xfId="24860" xr:uid="{00000000-0005-0000-0000-00001C610000}"/>
    <cellStyle name="Normal 2 2 5 12 4 5" xfId="24861" xr:uid="{00000000-0005-0000-0000-00001D610000}"/>
    <cellStyle name="Normal 2 2 5 12 4 6" xfId="24862" xr:uid="{00000000-0005-0000-0000-00001E610000}"/>
    <cellStyle name="Normal 2 2 5 12 4 7" xfId="24863" xr:uid="{00000000-0005-0000-0000-00001F610000}"/>
    <cellStyle name="Normal 2 2 5 12 4 8" xfId="24864" xr:uid="{00000000-0005-0000-0000-000020610000}"/>
    <cellStyle name="Normal 2 2 5 12 4 9" xfId="24865" xr:uid="{00000000-0005-0000-0000-000021610000}"/>
    <cellStyle name="Normal 2 2 5 12 5" xfId="24866" xr:uid="{00000000-0005-0000-0000-000022610000}"/>
    <cellStyle name="Normal 2 2 5 12 5 10" xfId="24867" xr:uid="{00000000-0005-0000-0000-000023610000}"/>
    <cellStyle name="Normal 2 2 5 12 5 2" xfId="24868" xr:uid="{00000000-0005-0000-0000-000024610000}"/>
    <cellStyle name="Normal 2 2 5 12 5 3" xfId="24869" xr:uid="{00000000-0005-0000-0000-000025610000}"/>
    <cellStyle name="Normal 2 2 5 12 5 4" xfId="24870" xr:uid="{00000000-0005-0000-0000-000026610000}"/>
    <cellStyle name="Normal 2 2 5 12 5 5" xfId="24871" xr:uid="{00000000-0005-0000-0000-000027610000}"/>
    <cellStyle name="Normal 2 2 5 12 5 6" xfId="24872" xr:uid="{00000000-0005-0000-0000-000028610000}"/>
    <cellStyle name="Normal 2 2 5 12 5 7" xfId="24873" xr:uid="{00000000-0005-0000-0000-000029610000}"/>
    <cellStyle name="Normal 2 2 5 12 5 8" xfId="24874" xr:uid="{00000000-0005-0000-0000-00002A610000}"/>
    <cellStyle name="Normal 2 2 5 12 5 9" xfId="24875" xr:uid="{00000000-0005-0000-0000-00002B610000}"/>
    <cellStyle name="Normal 2 2 5 12 6" xfId="24876" xr:uid="{00000000-0005-0000-0000-00002C610000}"/>
    <cellStyle name="Normal 2 2 5 12 7" xfId="24877" xr:uid="{00000000-0005-0000-0000-00002D610000}"/>
    <cellStyle name="Normal 2 2 5 12 8" xfId="24878" xr:uid="{00000000-0005-0000-0000-00002E610000}"/>
    <cellStyle name="Normal 2 2 5 12 9" xfId="24879" xr:uid="{00000000-0005-0000-0000-00002F610000}"/>
    <cellStyle name="Normal 2 2 5 13" xfId="24880" xr:uid="{00000000-0005-0000-0000-000030610000}"/>
    <cellStyle name="Normal 2 2 5 13 10" xfId="24881" xr:uid="{00000000-0005-0000-0000-000031610000}"/>
    <cellStyle name="Normal 2 2 5 13 11" xfId="24882" xr:uid="{00000000-0005-0000-0000-000032610000}"/>
    <cellStyle name="Normal 2 2 5 13 12" xfId="24883" xr:uid="{00000000-0005-0000-0000-000033610000}"/>
    <cellStyle name="Normal 2 2 5 13 13" xfId="24884" xr:uid="{00000000-0005-0000-0000-000034610000}"/>
    <cellStyle name="Normal 2 2 5 13 14" xfId="24885" xr:uid="{00000000-0005-0000-0000-000035610000}"/>
    <cellStyle name="Normal 2 2 5 13 2" xfId="24886" xr:uid="{00000000-0005-0000-0000-000036610000}"/>
    <cellStyle name="Normal 2 2 5 13 2 10" xfId="24887" xr:uid="{00000000-0005-0000-0000-000037610000}"/>
    <cellStyle name="Normal 2 2 5 13 2 2" xfId="24888" xr:uid="{00000000-0005-0000-0000-000038610000}"/>
    <cellStyle name="Normal 2 2 5 13 2 3" xfId="24889" xr:uid="{00000000-0005-0000-0000-000039610000}"/>
    <cellStyle name="Normal 2 2 5 13 2 4" xfId="24890" xr:uid="{00000000-0005-0000-0000-00003A610000}"/>
    <cellStyle name="Normal 2 2 5 13 2 5" xfId="24891" xr:uid="{00000000-0005-0000-0000-00003B610000}"/>
    <cellStyle name="Normal 2 2 5 13 2 6" xfId="24892" xr:uid="{00000000-0005-0000-0000-00003C610000}"/>
    <cellStyle name="Normal 2 2 5 13 2 7" xfId="24893" xr:uid="{00000000-0005-0000-0000-00003D610000}"/>
    <cellStyle name="Normal 2 2 5 13 2 8" xfId="24894" xr:uid="{00000000-0005-0000-0000-00003E610000}"/>
    <cellStyle name="Normal 2 2 5 13 2 9" xfId="24895" xr:uid="{00000000-0005-0000-0000-00003F610000}"/>
    <cellStyle name="Normal 2 2 5 13 3" xfId="24896" xr:uid="{00000000-0005-0000-0000-000040610000}"/>
    <cellStyle name="Normal 2 2 5 13 3 10" xfId="24897" xr:uid="{00000000-0005-0000-0000-000041610000}"/>
    <cellStyle name="Normal 2 2 5 13 3 2" xfId="24898" xr:uid="{00000000-0005-0000-0000-000042610000}"/>
    <cellStyle name="Normal 2 2 5 13 3 3" xfId="24899" xr:uid="{00000000-0005-0000-0000-000043610000}"/>
    <cellStyle name="Normal 2 2 5 13 3 4" xfId="24900" xr:uid="{00000000-0005-0000-0000-000044610000}"/>
    <cellStyle name="Normal 2 2 5 13 3 5" xfId="24901" xr:uid="{00000000-0005-0000-0000-000045610000}"/>
    <cellStyle name="Normal 2 2 5 13 3 6" xfId="24902" xr:uid="{00000000-0005-0000-0000-000046610000}"/>
    <cellStyle name="Normal 2 2 5 13 3 7" xfId="24903" xr:uid="{00000000-0005-0000-0000-000047610000}"/>
    <cellStyle name="Normal 2 2 5 13 3 8" xfId="24904" xr:uid="{00000000-0005-0000-0000-000048610000}"/>
    <cellStyle name="Normal 2 2 5 13 3 9" xfId="24905" xr:uid="{00000000-0005-0000-0000-000049610000}"/>
    <cellStyle name="Normal 2 2 5 13 4" xfId="24906" xr:uid="{00000000-0005-0000-0000-00004A610000}"/>
    <cellStyle name="Normal 2 2 5 13 4 10" xfId="24907" xr:uid="{00000000-0005-0000-0000-00004B610000}"/>
    <cellStyle name="Normal 2 2 5 13 4 2" xfId="24908" xr:uid="{00000000-0005-0000-0000-00004C610000}"/>
    <cellStyle name="Normal 2 2 5 13 4 3" xfId="24909" xr:uid="{00000000-0005-0000-0000-00004D610000}"/>
    <cellStyle name="Normal 2 2 5 13 4 4" xfId="24910" xr:uid="{00000000-0005-0000-0000-00004E610000}"/>
    <cellStyle name="Normal 2 2 5 13 4 5" xfId="24911" xr:uid="{00000000-0005-0000-0000-00004F610000}"/>
    <cellStyle name="Normal 2 2 5 13 4 6" xfId="24912" xr:uid="{00000000-0005-0000-0000-000050610000}"/>
    <cellStyle name="Normal 2 2 5 13 4 7" xfId="24913" xr:uid="{00000000-0005-0000-0000-000051610000}"/>
    <cellStyle name="Normal 2 2 5 13 4 8" xfId="24914" xr:uid="{00000000-0005-0000-0000-000052610000}"/>
    <cellStyle name="Normal 2 2 5 13 4 9" xfId="24915" xr:uid="{00000000-0005-0000-0000-000053610000}"/>
    <cellStyle name="Normal 2 2 5 13 5" xfId="24916" xr:uid="{00000000-0005-0000-0000-000054610000}"/>
    <cellStyle name="Normal 2 2 5 13 5 10" xfId="24917" xr:uid="{00000000-0005-0000-0000-000055610000}"/>
    <cellStyle name="Normal 2 2 5 13 5 2" xfId="24918" xr:uid="{00000000-0005-0000-0000-000056610000}"/>
    <cellStyle name="Normal 2 2 5 13 5 3" xfId="24919" xr:uid="{00000000-0005-0000-0000-000057610000}"/>
    <cellStyle name="Normal 2 2 5 13 5 4" xfId="24920" xr:uid="{00000000-0005-0000-0000-000058610000}"/>
    <cellStyle name="Normal 2 2 5 13 5 5" xfId="24921" xr:uid="{00000000-0005-0000-0000-000059610000}"/>
    <cellStyle name="Normal 2 2 5 13 5 6" xfId="24922" xr:uid="{00000000-0005-0000-0000-00005A610000}"/>
    <cellStyle name="Normal 2 2 5 13 5 7" xfId="24923" xr:uid="{00000000-0005-0000-0000-00005B610000}"/>
    <cellStyle name="Normal 2 2 5 13 5 8" xfId="24924" xr:uid="{00000000-0005-0000-0000-00005C610000}"/>
    <cellStyle name="Normal 2 2 5 13 5 9" xfId="24925" xr:uid="{00000000-0005-0000-0000-00005D610000}"/>
    <cellStyle name="Normal 2 2 5 13 6" xfId="24926" xr:uid="{00000000-0005-0000-0000-00005E610000}"/>
    <cellStyle name="Normal 2 2 5 13 7" xfId="24927" xr:uid="{00000000-0005-0000-0000-00005F610000}"/>
    <cellStyle name="Normal 2 2 5 13 8" xfId="24928" xr:uid="{00000000-0005-0000-0000-000060610000}"/>
    <cellStyle name="Normal 2 2 5 13 9" xfId="24929" xr:uid="{00000000-0005-0000-0000-000061610000}"/>
    <cellStyle name="Normal 2 2 5 14" xfId="24930" xr:uid="{00000000-0005-0000-0000-000062610000}"/>
    <cellStyle name="Normal 2 2 5 14 10" xfId="24931" xr:uid="{00000000-0005-0000-0000-000063610000}"/>
    <cellStyle name="Normal 2 2 5 14 11" xfId="24932" xr:uid="{00000000-0005-0000-0000-000064610000}"/>
    <cellStyle name="Normal 2 2 5 14 12" xfId="24933" xr:uid="{00000000-0005-0000-0000-000065610000}"/>
    <cellStyle name="Normal 2 2 5 14 13" xfId="24934" xr:uid="{00000000-0005-0000-0000-000066610000}"/>
    <cellStyle name="Normal 2 2 5 14 14" xfId="24935" xr:uid="{00000000-0005-0000-0000-000067610000}"/>
    <cellStyle name="Normal 2 2 5 14 2" xfId="24936" xr:uid="{00000000-0005-0000-0000-000068610000}"/>
    <cellStyle name="Normal 2 2 5 14 2 10" xfId="24937" xr:uid="{00000000-0005-0000-0000-000069610000}"/>
    <cellStyle name="Normal 2 2 5 14 2 2" xfId="24938" xr:uid="{00000000-0005-0000-0000-00006A610000}"/>
    <cellStyle name="Normal 2 2 5 14 2 3" xfId="24939" xr:uid="{00000000-0005-0000-0000-00006B610000}"/>
    <cellStyle name="Normal 2 2 5 14 2 4" xfId="24940" xr:uid="{00000000-0005-0000-0000-00006C610000}"/>
    <cellStyle name="Normal 2 2 5 14 2 5" xfId="24941" xr:uid="{00000000-0005-0000-0000-00006D610000}"/>
    <cellStyle name="Normal 2 2 5 14 2 6" xfId="24942" xr:uid="{00000000-0005-0000-0000-00006E610000}"/>
    <cellStyle name="Normal 2 2 5 14 2 7" xfId="24943" xr:uid="{00000000-0005-0000-0000-00006F610000}"/>
    <cellStyle name="Normal 2 2 5 14 2 8" xfId="24944" xr:uid="{00000000-0005-0000-0000-000070610000}"/>
    <cellStyle name="Normal 2 2 5 14 2 9" xfId="24945" xr:uid="{00000000-0005-0000-0000-000071610000}"/>
    <cellStyle name="Normal 2 2 5 14 3" xfId="24946" xr:uid="{00000000-0005-0000-0000-000072610000}"/>
    <cellStyle name="Normal 2 2 5 14 3 10" xfId="24947" xr:uid="{00000000-0005-0000-0000-000073610000}"/>
    <cellStyle name="Normal 2 2 5 14 3 2" xfId="24948" xr:uid="{00000000-0005-0000-0000-000074610000}"/>
    <cellStyle name="Normal 2 2 5 14 3 3" xfId="24949" xr:uid="{00000000-0005-0000-0000-000075610000}"/>
    <cellStyle name="Normal 2 2 5 14 3 4" xfId="24950" xr:uid="{00000000-0005-0000-0000-000076610000}"/>
    <cellStyle name="Normal 2 2 5 14 3 5" xfId="24951" xr:uid="{00000000-0005-0000-0000-000077610000}"/>
    <cellStyle name="Normal 2 2 5 14 3 6" xfId="24952" xr:uid="{00000000-0005-0000-0000-000078610000}"/>
    <cellStyle name="Normal 2 2 5 14 3 7" xfId="24953" xr:uid="{00000000-0005-0000-0000-000079610000}"/>
    <cellStyle name="Normal 2 2 5 14 3 8" xfId="24954" xr:uid="{00000000-0005-0000-0000-00007A610000}"/>
    <cellStyle name="Normal 2 2 5 14 3 9" xfId="24955" xr:uid="{00000000-0005-0000-0000-00007B610000}"/>
    <cellStyle name="Normal 2 2 5 14 4" xfId="24956" xr:uid="{00000000-0005-0000-0000-00007C610000}"/>
    <cellStyle name="Normal 2 2 5 14 4 10" xfId="24957" xr:uid="{00000000-0005-0000-0000-00007D610000}"/>
    <cellStyle name="Normal 2 2 5 14 4 2" xfId="24958" xr:uid="{00000000-0005-0000-0000-00007E610000}"/>
    <cellStyle name="Normal 2 2 5 14 4 3" xfId="24959" xr:uid="{00000000-0005-0000-0000-00007F610000}"/>
    <cellStyle name="Normal 2 2 5 14 4 4" xfId="24960" xr:uid="{00000000-0005-0000-0000-000080610000}"/>
    <cellStyle name="Normal 2 2 5 14 4 5" xfId="24961" xr:uid="{00000000-0005-0000-0000-000081610000}"/>
    <cellStyle name="Normal 2 2 5 14 4 6" xfId="24962" xr:uid="{00000000-0005-0000-0000-000082610000}"/>
    <cellStyle name="Normal 2 2 5 14 4 7" xfId="24963" xr:uid="{00000000-0005-0000-0000-000083610000}"/>
    <cellStyle name="Normal 2 2 5 14 4 8" xfId="24964" xr:uid="{00000000-0005-0000-0000-000084610000}"/>
    <cellStyle name="Normal 2 2 5 14 4 9" xfId="24965" xr:uid="{00000000-0005-0000-0000-000085610000}"/>
    <cellStyle name="Normal 2 2 5 14 5" xfId="24966" xr:uid="{00000000-0005-0000-0000-000086610000}"/>
    <cellStyle name="Normal 2 2 5 14 5 10" xfId="24967" xr:uid="{00000000-0005-0000-0000-000087610000}"/>
    <cellStyle name="Normal 2 2 5 14 5 2" xfId="24968" xr:uid="{00000000-0005-0000-0000-000088610000}"/>
    <cellStyle name="Normal 2 2 5 14 5 3" xfId="24969" xr:uid="{00000000-0005-0000-0000-000089610000}"/>
    <cellStyle name="Normal 2 2 5 14 5 4" xfId="24970" xr:uid="{00000000-0005-0000-0000-00008A610000}"/>
    <cellStyle name="Normal 2 2 5 14 5 5" xfId="24971" xr:uid="{00000000-0005-0000-0000-00008B610000}"/>
    <cellStyle name="Normal 2 2 5 14 5 6" xfId="24972" xr:uid="{00000000-0005-0000-0000-00008C610000}"/>
    <cellStyle name="Normal 2 2 5 14 5 7" xfId="24973" xr:uid="{00000000-0005-0000-0000-00008D610000}"/>
    <cellStyle name="Normal 2 2 5 14 5 8" xfId="24974" xr:uid="{00000000-0005-0000-0000-00008E610000}"/>
    <cellStyle name="Normal 2 2 5 14 5 9" xfId="24975" xr:uid="{00000000-0005-0000-0000-00008F610000}"/>
    <cellStyle name="Normal 2 2 5 14 6" xfId="24976" xr:uid="{00000000-0005-0000-0000-000090610000}"/>
    <cellStyle name="Normal 2 2 5 14 7" xfId="24977" xr:uid="{00000000-0005-0000-0000-000091610000}"/>
    <cellStyle name="Normal 2 2 5 14 8" xfId="24978" xr:uid="{00000000-0005-0000-0000-000092610000}"/>
    <cellStyle name="Normal 2 2 5 14 9" xfId="24979" xr:uid="{00000000-0005-0000-0000-000093610000}"/>
    <cellStyle name="Normal 2 2 5 15" xfId="24980" xr:uid="{00000000-0005-0000-0000-000094610000}"/>
    <cellStyle name="Normal 2 2 5 15 10" xfId="24981" xr:uid="{00000000-0005-0000-0000-000095610000}"/>
    <cellStyle name="Normal 2 2 5 15 11" xfId="24982" xr:uid="{00000000-0005-0000-0000-000096610000}"/>
    <cellStyle name="Normal 2 2 5 15 12" xfId="24983" xr:uid="{00000000-0005-0000-0000-000097610000}"/>
    <cellStyle name="Normal 2 2 5 15 13" xfId="24984" xr:uid="{00000000-0005-0000-0000-000098610000}"/>
    <cellStyle name="Normal 2 2 5 15 14" xfId="24985" xr:uid="{00000000-0005-0000-0000-000099610000}"/>
    <cellStyle name="Normal 2 2 5 15 2" xfId="24986" xr:uid="{00000000-0005-0000-0000-00009A610000}"/>
    <cellStyle name="Normal 2 2 5 15 2 10" xfId="24987" xr:uid="{00000000-0005-0000-0000-00009B610000}"/>
    <cellStyle name="Normal 2 2 5 15 2 2" xfId="24988" xr:uid="{00000000-0005-0000-0000-00009C610000}"/>
    <cellStyle name="Normal 2 2 5 15 2 3" xfId="24989" xr:uid="{00000000-0005-0000-0000-00009D610000}"/>
    <cellStyle name="Normal 2 2 5 15 2 4" xfId="24990" xr:uid="{00000000-0005-0000-0000-00009E610000}"/>
    <cellStyle name="Normal 2 2 5 15 2 5" xfId="24991" xr:uid="{00000000-0005-0000-0000-00009F610000}"/>
    <cellStyle name="Normal 2 2 5 15 2 6" xfId="24992" xr:uid="{00000000-0005-0000-0000-0000A0610000}"/>
    <cellStyle name="Normal 2 2 5 15 2 7" xfId="24993" xr:uid="{00000000-0005-0000-0000-0000A1610000}"/>
    <cellStyle name="Normal 2 2 5 15 2 8" xfId="24994" xr:uid="{00000000-0005-0000-0000-0000A2610000}"/>
    <cellStyle name="Normal 2 2 5 15 2 9" xfId="24995" xr:uid="{00000000-0005-0000-0000-0000A3610000}"/>
    <cellStyle name="Normal 2 2 5 15 3" xfId="24996" xr:uid="{00000000-0005-0000-0000-0000A4610000}"/>
    <cellStyle name="Normal 2 2 5 15 3 10" xfId="24997" xr:uid="{00000000-0005-0000-0000-0000A5610000}"/>
    <cellStyle name="Normal 2 2 5 15 3 2" xfId="24998" xr:uid="{00000000-0005-0000-0000-0000A6610000}"/>
    <cellStyle name="Normal 2 2 5 15 3 3" xfId="24999" xr:uid="{00000000-0005-0000-0000-0000A7610000}"/>
    <cellStyle name="Normal 2 2 5 15 3 4" xfId="25000" xr:uid="{00000000-0005-0000-0000-0000A8610000}"/>
    <cellStyle name="Normal 2 2 5 15 3 5" xfId="25001" xr:uid="{00000000-0005-0000-0000-0000A9610000}"/>
    <cellStyle name="Normal 2 2 5 15 3 6" xfId="25002" xr:uid="{00000000-0005-0000-0000-0000AA610000}"/>
    <cellStyle name="Normal 2 2 5 15 3 7" xfId="25003" xr:uid="{00000000-0005-0000-0000-0000AB610000}"/>
    <cellStyle name="Normal 2 2 5 15 3 8" xfId="25004" xr:uid="{00000000-0005-0000-0000-0000AC610000}"/>
    <cellStyle name="Normal 2 2 5 15 3 9" xfId="25005" xr:uid="{00000000-0005-0000-0000-0000AD610000}"/>
    <cellStyle name="Normal 2 2 5 15 4" xfId="25006" xr:uid="{00000000-0005-0000-0000-0000AE610000}"/>
    <cellStyle name="Normal 2 2 5 15 4 10" xfId="25007" xr:uid="{00000000-0005-0000-0000-0000AF610000}"/>
    <cellStyle name="Normal 2 2 5 15 4 2" xfId="25008" xr:uid="{00000000-0005-0000-0000-0000B0610000}"/>
    <cellStyle name="Normal 2 2 5 15 4 3" xfId="25009" xr:uid="{00000000-0005-0000-0000-0000B1610000}"/>
    <cellStyle name="Normal 2 2 5 15 4 4" xfId="25010" xr:uid="{00000000-0005-0000-0000-0000B2610000}"/>
    <cellStyle name="Normal 2 2 5 15 4 5" xfId="25011" xr:uid="{00000000-0005-0000-0000-0000B3610000}"/>
    <cellStyle name="Normal 2 2 5 15 4 6" xfId="25012" xr:uid="{00000000-0005-0000-0000-0000B4610000}"/>
    <cellStyle name="Normal 2 2 5 15 4 7" xfId="25013" xr:uid="{00000000-0005-0000-0000-0000B5610000}"/>
    <cellStyle name="Normal 2 2 5 15 4 8" xfId="25014" xr:uid="{00000000-0005-0000-0000-0000B6610000}"/>
    <cellStyle name="Normal 2 2 5 15 4 9" xfId="25015" xr:uid="{00000000-0005-0000-0000-0000B7610000}"/>
    <cellStyle name="Normal 2 2 5 15 5" xfId="25016" xr:uid="{00000000-0005-0000-0000-0000B8610000}"/>
    <cellStyle name="Normal 2 2 5 15 5 10" xfId="25017" xr:uid="{00000000-0005-0000-0000-0000B9610000}"/>
    <cellStyle name="Normal 2 2 5 15 5 2" xfId="25018" xr:uid="{00000000-0005-0000-0000-0000BA610000}"/>
    <cellStyle name="Normal 2 2 5 15 5 3" xfId="25019" xr:uid="{00000000-0005-0000-0000-0000BB610000}"/>
    <cellStyle name="Normal 2 2 5 15 5 4" xfId="25020" xr:uid="{00000000-0005-0000-0000-0000BC610000}"/>
    <cellStyle name="Normal 2 2 5 15 5 5" xfId="25021" xr:uid="{00000000-0005-0000-0000-0000BD610000}"/>
    <cellStyle name="Normal 2 2 5 15 5 6" xfId="25022" xr:uid="{00000000-0005-0000-0000-0000BE610000}"/>
    <cellStyle name="Normal 2 2 5 15 5 7" xfId="25023" xr:uid="{00000000-0005-0000-0000-0000BF610000}"/>
    <cellStyle name="Normal 2 2 5 15 5 8" xfId="25024" xr:uid="{00000000-0005-0000-0000-0000C0610000}"/>
    <cellStyle name="Normal 2 2 5 15 5 9" xfId="25025" xr:uid="{00000000-0005-0000-0000-0000C1610000}"/>
    <cellStyle name="Normal 2 2 5 15 6" xfId="25026" xr:uid="{00000000-0005-0000-0000-0000C2610000}"/>
    <cellStyle name="Normal 2 2 5 15 7" xfId="25027" xr:uid="{00000000-0005-0000-0000-0000C3610000}"/>
    <cellStyle name="Normal 2 2 5 15 8" xfId="25028" xr:uid="{00000000-0005-0000-0000-0000C4610000}"/>
    <cellStyle name="Normal 2 2 5 15 9" xfId="25029" xr:uid="{00000000-0005-0000-0000-0000C5610000}"/>
    <cellStyle name="Normal 2 2 5 16" xfId="25030" xr:uid="{00000000-0005-0000-0000-0000C6610000}"/>
    <cellStyle name="Normal 2 2 5 16 10" xfId="25031" xr:uid="{00000000-0005-0000-0000-0000C7610000}"/>
    <cellStyle name="Normal 2 2 5 16 11" xfId="25032" xr:uid="{00000000-0005-0000-0000-0000C8610000}"/>
    <cellStyle name="Normal 2 2 5 16 12" xfId="25033" xr:uid="{00000000-0005-0000-0000-0000C9610000}"/>
    <cellStyle name="Normal 2 2 5 16 13" xfId="25034" xr:uid="{00000000-0005-0000-0000-0000CA610000}"/>
    <cellStyle name="Normal 2 2 5 16 14" xfId="25035" xr:uid="{00000000-0005-0000-0000-0000CB610000}"/>
    <cellStyle name="Normal 2 2 5 16 2" xfId="25036" xr:uid="{00000000-0005-0000-0000-0000CC610000}"/>
    <cellStyle name="Normal 2 2 5 16 2 10" xfId="25037" xr:uid="{00000000-0005-0000-0000-0000CD610000}"/>
    <cellStyle name="Normal 2 2 5 16 2 2" xfId="25038" xr:uid="{00000000-0005-0000-0000-0000CE610000}"/>
    <cellStyle name="Normal 2 2 5 16 2 3" xfId="25039" xr:uid="{00000000-0005-0000-0000-0000CF610000}"/>
    <cellStyle name="Normal 2 2 5 16 2 4" xfId="25040" xr:uid="{00000000-0005-0000-0000-0000D0610000}"/>
    <cellStyle name="Normal 2 2 5 16 2 5" xfId="25041" xr:uid="{00000000-0005-0000-0000-0000D1610000}"/>
    <cellStyle name="Normal 2 2 5 16 2 6" xfId="25042" xr:uid="{00000000-0005-0000-0000-0000D2610000}"/>
    <cellStyle name="Normal 2 2 5 16 2 7" xfId="25043" xr:uid="{00000000-0005-0000-0000-0000D3610000}"/>
    <cellStyle name="Normal 2 2 5 16 2 8" xfId="25044" xr:uid="{00000000-0005-0000-0000-0000D4610000}"/>
    <cellStyle name="Normal 2 2 5 16 2 9" xfId="25045" xr:uid="{00000000-0005-0000-0000-0000D5610000}"/>
    <cellStyle name="Normal 2 2 5 16 3" xfId="25046" xr:uid="{00000000-0005-0000-0000-0000D6610000}"/>
    <cellStyle name="Normal 2 2 5 16 3 10" xfId="25047" xr:uid="{00000000-0005-0000-0000-0000D7610000}"/>
    <cellStyle name="Normal 2 2 5 16 3 2" xfId="25048" xr:uid="{00000000-0005-0000-0000-0000D8610000}"/>
    <cellStyle name="Normal 2 2 5 16 3 3" xfId="25049" xr:uid="{00000000-0005-0000-0000-0000D9610000}"/>
    <cellStyle name="Normal 2 2 5 16 3 4" xfId="25050" xr:uid="{00000000-0005-0000-0000-0000DA610000}"/>
    <cellStyle name="Normal 2 2 5 16 3 5" xfId="25051" xr:uid="{00000000-0005-0000-0000-0000DB610000}"/>
    <cellStyle name="Normal 2 2 5 16 3 6" xfId="25052" xr:uid="{00000000-0005-0000-0000-0000DC610000}"/>
    <cellStyle name="Normal 2 2 5 16 3 7" xfId="25053" xr:uid="{00000000-0005-0000-0000-0000DD610000}"/>
    <cellStyle name="Normal 2 2 5 16 3 8" xfId="25054" xr:uid="{00000000-0005-0000-0000-0000DE610000}"/>
    <cellStyle name="Normal 2 2 5 16 3 9" xfId="25055" xr:uid="{00000000-0005-0000-0000-0000DF610000}"/>
    <cellStyle name="Normal 2 2 5 16 4" xfId="25056" xr:uid="{00000000-0005-0000-0000-0000E0610000}"/>
    <cellStyle name="Normal 2 2 5 16 4 10" xfId="25057" xr:uid="{00000000-0005-0000-0000-0000E1610000}"/>
    <cellStyle name="Normal 2 2 5 16 4 2" xfId="25058" xr:uid="{00000000-0005-0000-0000-0000E2610000}"/>
    <cellStyle name="Normal 2 2 5 16 4 3" xfId="25059" xr:uid="{00000000-0005-0000-0000-0000E3610000}"/>
    <cellStyle name="Normal 2 2 5 16 4 4" xfId="25060" xr:uid="{00000000-0005-0000-0000-0000E4610000}"/>
    <cellStyle name="Normal 2 2 5 16 4 5" xfId="25061" xr:uid="{00000000-0005-0000-0000-0000E5610000}"/>
    <cellStyle name="Normal 2 2 5 16 4 6" xfId="25062" xr:uid="{00000000-0005-0000-0000-0000E6610000}"/>
    <cellStyle name="Normal 2 2 5 16 4 7" xfId="25063" xr:uid="{00000000-0005-0000-0000-0000E7610000}"/>
    <cellStyle name="Normal 2 2 5 16 4 8" xfId="25064" xr:uid="{00000000-0005-0000-0000-0000E8610000}"/>
    <cellStyle name="Normal 2 2 5 16 4 9" xfId="25065" xr:uid="{00000000-0005-0000-0000-0000E9610000}"/>
    <cellStyle name="Normal 2 2 5 16 5" xfId="25066" xr:uid="{00000000-0005-0000-0000-0000EA610000}"/>
    <cellStyle name="Normal 2 2 5 16 5 10" xfId="25067" xr:uid="{00000000-0005-0000-0000-0000EB610000}"/>
    <cellStyle name="Normal 2 2 5 16 5 2" xfId="25068" xr:uid="{00000000-0005-0000-0000-0000EC610000}"/>
    <cellStyle name="Normal 2 2 5 16 5 3" xfId="25069" xr:uid="{00000000-0005-0000-0000-0000ED610000}"/>
    <cellStyle name="Normal 2 2 5 16 5 4" xfId="25070" xr:uid="{00000000-0005-0000-0000-0000EE610000}"/>
    <cellStyle name="Normal 2 2 5 16 5 5" xfId="25071" xr:uid="{00000000-0005-0000-0000-0000EF610000}"/>
    <cellStyle name="Normal 2 2 5 16 5 6" xfId="25072" xr:uid="{00000000-0005-0000-0000-0000F0610000}"/>
    <cellStyle name="Normal 2 2 5 16 5 7" xfId="25073" xr:uid="{00000000-0005-0000-0000-0000F1610000}"/>
    <cellStyle name="Normal 2 2 5 16 5 8" xfId="25074" xr:uid="{00000000-0005-0000-0000-0000F2610000}"/>
    <cellStyle name="Normal 2 2 5 16 5 9" xfId="25075" xr:uid="{00000000-0005-0000-0000-0000F3610000}"/>
    <cellStyle name="Normal 2 2 5 16 6" xfId="25076" xr:uid="{00000000-0005-0000-0000-0000F4610000}"/>
    <cellStyle name="Normal 2 2 5 16 7" xfId="25077" xr:uid="{00000000-0005-0000-0000-0000F5610000}"/>
    <cellStyle name="Normal 2 2 5 16 8" xfId="25078" xr:uid="{00000000-0005-0000-0000-0000F6610000}"/>
    <cellStyle name="Normal 2 2 5 16 9" xfId="25079" xr:uid="{00000000-0005-0000-0000-0000F7610000}"/>
    <cellStyle name="Normal 2 2 5 17" xfId="25080" xr:uid="{00000000-0005-0000-0000-0000F8610000}"/>
    <cellStyle name="Normal 2 2 5 17 10" xfId="25081" xr:uid="{00000000-0005-0000-0000-0000F9610000}"/>
    <cellStyle name="Normal 2 2 5 17 11" xfId="25082" xr:uid="{00000000-0005-0000-0000-0000FA610000}"/>
    <cellStyle name="Normal 2 2 5 17 12" xfId="25083" xr:uid="{00000000-0005-0000-0000-0000FB610000}"/>
    <cellStyle name="Normal 2 2 5 17 13" xfId="25084" xr:uid="{00000000-0005-0000-0000-0000FC610000}"/>
    <cellStyle name="Normal 2 2 5 17 14" xfId="25085" xr:uid="{00000000-0005-0000-0000-0000FD610000}"/>
    <cellStyle name="Normal 2 2 5 17 2" xfId="25086" xr:uid="{00000000-0005-0000-0000-0000FE610000}"/>
    <cellStyle name="Normal 2 2 5 17 2 10" xfId="25087" xr:uid="{00000000-0005-0000-0000-0000FF610000}"/>
    <cellStyle name="Normal 2 2 5 17 2 2" xfId="25088" xr:uid="{00000000-0005-0000-0000-000000620000}"/>
    <cellStyle name="Normal 2 2 5 17 2 3" xfId="25089" xr:uid="{00000000-0005-0000-0000-000001620000}"/>
    <cellStyle name="Normal 2 2 5 17 2 4" xfId="25090" xr:uid="{00000000-0005-0000-0000-000002620000}"/>
    <cellStyle name="Normal 2 2 5 17 2 5" xfId="25091" xr:uid="{00000000-0005-0000-0000-000003620000}"/>
    <cellStyle name="Normal 2 2 5 17 2 6" xfId="25092" xr:uid="{00000000-0005-0000-0000-000004620000}"/>
    <cellStyle name="Normal 2 2 5 17 2 7" xfId="25093" xr:uid="{00000000-0005-0000-0000-000005620000}"/>
    <cellStyle name="Normal 2 2 5 17 2 8" xfId="25094" xr:uid="{00000000-0005-0000-0000-000006620000}"/>
    <cellStyle name="Normal 2 2 5 17 2 9" xfId="25095" xr:uid="{00000000-0005-0000-0000-000007620000}"/>
    <cellStyle name="Normal 2 2 5 17 3" xfId="25096" xr:uid="{00000000-0005-0000-0000-000008620000}"/>
    <cellStyle name="Normal 2 2 5 17 3 10" xfId="25097" xr:uid="{00000000-0005-0000-0000-000009620000}"/>
    <cellStyle name="Normal 2 2 5 17 3 2" xfId="25098" xr:uid="{00000000-0005-0000-0000-00000A620000}"/>
    <cellStyle name="Normal 2 2 5 17 3 3" xfId="25099" xr:uid="{00000000-0005-0000-0000-00000B620000}"/>
    <cellStyle name="Normal 2 2 5 17 3 4" xfId="25100" xr:uid="{00000000-0005-0000-0000-00000C620000}"/>
    <cellStyle name="Normal 2 2 5 17 3 5" xfId="25101" xr:uid="{00000000-0005-0000-0000-00000D620000}"/>
    <cellStyle name="Normal 2 2 5 17 3 6" xfId="25102" xr:uid="{00000000-0005-0000-0000-00000E620000}"/>
    <cellStyle name="Normal 2 2 5 17 3 7" xfId="25103" xr:uid="{00000000-0005-0000-0000-00000F620000}"/>
    <cellStyle name="Normal 2 2 5 17 3 8" xfId="25104" xr:uid="{00000000-0005-0000-0000-000010620000}"/>
    <cellStyle name="Normal 2 2 5 17 3 9" xfId="25105" xr:uid="{00000000-0005-0000-0000-000011620000}"/>
    <cellStyle name="Normal 2 2 5 17 4" xfId="25106" xr:uid="{00000000-0005-0000-0000-000012620000}"/>
    <cellStyle name="Normal 2 2 5 17 4 10" xfId="25107" xr:uid="{00000000-0005-0000-0000-000013620000}"/>
    <cellStyle name="Normal 2 2 5 17 4 2" xfId="25108" xr:uid="{00000000-0005-0000-0000-000014620000}"/>
    <cellStyle name="Normal 2 2 5 17 4 3" xfId="25109" xr:uid="{00000000-0005-0000-0000-000015620000}"/>
    <cellStyle name="Normal 2 2 5 17 4 4" xfId="25110" xr:uid="{00000000-0005-0000-0000-000016620000}"/>
    <cellStyle name="Normal 2 2 5 17 4 5" xfId="25111" xr:uid="{00000000-0005-0000-0000-000017620000}"/>
    <cellStyle name="Normal 2 2 5 17 4 6" xfId="25112" xr:uid="{00000000-0005-0000-0000-000018620000}"/>
    <cellStyle name="Normal 2 2 5 17 4 7" xfId="25113" xr:uid="{00000000-0005-0000-0000-000019620000}"/>
    <cellStyle name="Normal 2 2 5 17 4 8" xfId="25114" xr:uid="{00000000-0005-0000-0000-00001A620000}"/>
    <cellStyle name="Normal 2 2 5 17 4 9" xfId="25115" xr:uid="{00000000-0005-0000-0000-00001B620000}"/>
    <cellStyle name="Normal 2 2 5 17 5" xfId="25116" xr:uid="{00000000-0005-0000-0000-00001C620000}"/>
    <cellStyle name="Normal 2 2 5 17 5 10" xfId="25117" xr:uid="{00000000-0005-0000-0000-00001D620000}"/>
    <cellStyle name="Normal 2 2 5 17 5 2" xfId="25118" xr:uid="{00000000-0005-0000-0000-00001E620000}"/>
    <cellStyle name="Normal 2 2 5 17 5 3" xfId="25119" xr:uid="{00000000-0005-0000-0000-00001F620000}"/>
    <cellStyle name="Normal 2 2 5 17 5 4" xfId="25120" xr:uid="{00000000-0005-0000-0000-000020620000}"/>
    <cellStyle name="Normal 2 2 5 17 5 5" xfId="25121" xr:uid="{00000000-0005-0000-0000-000021620000}"/>
    <cellStyle name="Normal 2 2 5 17 5 6" xfId="25122" xr:uid="{00000000-0005-0000-0000-000022620000}"/>
    <cellStyle name="Normal 2 2 5 17 5 7" xfId="25123" xr:uid="{00000000-0005-0000-0000-000023620000}"/>
    <cellStyle name="Normal 2 2 5 17 5 8" xfId="25124" xr:uid="{00000000-0005-0000-0000-000024620000}"/>
    <cellStyle name="Normal 2 2 5 17 5 9" xfId="25125" xr:uid="{00000000-0005-0000-0000-000025620000}"/>
    <cellStyle name="Normal 2 2 5 17 6" xfId="25126" xr:uid="{00000000-0005-0000-0000-000026620000}"/>
    <cellStyle name="Normal 2 2 5 17 7" xfId="25127" xr:uid="{00000000-0005-0000-0000-000027620000}"/>
    <cellStyle name="Normal 2 2 5 17 8" xfId="25128" xr:uid="{00000000-0005-0000-0000-000028620000}"/>
    <cellStyle name="Normal 2 2 5 17 9" xfId="25129" xr:uid="{00000000-0005-0000-0000-000029620000}"/>
    <cellStyle name="Normal 2 2 5 18" xfId="25130" xr:uid="{00000000-0005-0000-0000-00002A620000}"/>
    <cellStyle name="Normal 2 2 5 18 10" xfId="25131" xr:uid="{00000000-0005-0000-0000-00002B620000}"/>
    <cellStyle name="Normal 2 2 5 18 11" xfId="25132" xr:uid="{00000000-0005-0000-0000-00002C620000}"/>
    <cellStyle name="Normal 2 2 5 18 12" xfId="25133" xr:uid="{00000000-0005-0000-0000-00002D620000}"/>
    <cellStyle name="Normal 2 2 5 18 13" xfId="25134" xr:uid="{00000000-0005-0000-0000-00002E620000}"/>
    <cellStyle name="Normal 2 2 5 18 14" xfId="25135" xr:uid="{00000000-0005-0000-0000-00002F620000}"/>
    <cellStyle name="Normal 2 2 5 18 2" xfId="25136" xr:uid="{00000000-0005-0000-0000-000030620000}"/>
    <cellStyle name="Normal 2 2 5 18 2 10" xfId="25137" xr:uid="{00000000-0005-0000-0000-000031620000}"/>
    <cellStyle name="Normal 2 2 5 18 2 2" xfId="25138" xr:uid="{00000000-0005-0000-0000-000032620000}"/>
    <cellStyle name="Normal 2 2 5 18 2 3" xfId="25139" xr:uid="{00000000-0005-0000-0000-000033620000}"/>
    <cellStyle name="Normal 2 2 5 18 2 4" xfId="25140" xr:uid="{00000000-0005-0000-0000-000034620000}"/>
    <cellStyle name="Normal 2 2 5 18 2 5" xfId="25141" xr:uid="{00000000-0005-0000-0000-000035620000}"/>
    <cellStyle name="Normal 2 2 5 18 2 6" xfId="25142" xr:uid="{00000000-0005-0000-0000-000036620000}"/>
    <cellStyle name="Normal 2 2 5 18 2 7" xfId="25143" xr:uid="{00000000-0005-0000-0000-000037620000}"/>
    <cellStyle name="Normal 2 2 5 18 2 8" xfId="25144" xr:uid="{00000000-0005-0000-0000-000038620000}"/>
    <cellStyle name="Normal 2 2 5 18 2 9" xfId="25145" xr:uid="{00000000-0005-0000-0000-000039620000}"/>
    <cellStyle name="Normal 2 2 5 18 3" xfId="25146" xr:uid="{00000000-0005-0000-0000-00003A620000}"/>
    <cellStyle name="Normal 2 2 5 18 3 10" xfId="25147" xr:uid="{00000000-0005-0000-0000-00003B620000}"/>
    <cellStyle name="Normal 2 2 5 18 3 2" xfId="25148" xr:uid="{00000000-0005-0000-0000-00003C620000}"/>
    <cellStyle name="Normal 2 2 5 18 3 3" xfId="25149" xr:uid="{00000000-0005-0000-0000-00003D620000}"/>
    <cellStyle name="Normal 2 2 5 18 3 4" xfId="25150" xr:uid="{00000000-0005-0000-0000-00003E620000}"/>
    <cellStyle name="Normal 2 2 5 18 3 5" xfId="25151" xr:uid="{00000000-0005-0000-0000-00003F620000}"/>
    <cellStyle name="Normal 2 2 5 18 3 6" xfId="25152" xr:uid="{00000000-0005-0000-0000-000040620000}"/>
    <cellStyle name="Normal 2 2 5 18 3 7" xfId="25153" xr:uid="{00000000-0005-0000-0000-000041620000}"/>
    <cellStyle name="Normal 2 2 5 18 3 8" xfId="25154" xr:uid="{00000000-0005-0000-0000-000042620000}"/>
    <cellStyle name="Normal 2 2 5 18 3 9" xfId="25155" xr:uid="{00000000-0005-0000-0000-000043620000}"/>
    <cellStyle name="Normal 2 2 5 18 4" xfId="25156" xr:uid="{00000000-0005-0000-0000-000044620000}"/>
    <cellStyle name="Normal 2 2 5 18 4 10" xfId="25157" xr:uid="{00000000-0005-0000-0000-000045620000}"/>
    <cellStyle name="Normal 2 2 5 18 4 2" xfId="25158" xr:uid="{00000000-0005-0000-0000-000046620000}"/>
    <cellStyle name="Normal 2 2 5 18 4 3" xfId="25159" xr:uid="{00000000-0005-0000-0000-000047620000}"/>
    <cellStyle name="Normal 2 2 5 18 4 4" xfId="25160" xr:uid="{00000000-0005-0000-0000-000048620000}"/>
    <cellStyle name="Normal 2 2 5 18 4 5" xfId="25161" xr:uid="{00000000-0005-0000-0000-000049620000}"/>
    <cellStyle name="Normal 2 2 5 18 4 6" xfId="25162" xr:uid="{00000000-0005-0000-0000-00004A620000}"/>
    <cellStyle name="Normal 2 2 5 18 4 7" xfId="25163" xr:uid="{00000000-0005-0000-0000-00004B620000}"/>
    <cellStyle name="Normal 2 2 5 18 4 8" xfId="25164" xr:uid="{00000000-0005-0000-0000-00004C620000}"/>
    <cellStyle name="Normal 2 2 5 18 4 9" xfId="25165" xr:uid="{00000000-0005-0000-0000-00004D620000}"/>
    <cellStyle name="Normal 2 2 5 18 5" xfId="25166" xr:uid="{00000000-0005-0000-0000-00004E620000}"/>
    <cellStyle name="Normal 2 2 5 18 5 10" xfId="25167" xr:uid="{00000000-0005-0000-0000-00004F620000}"/>
    <cellStyle name="Normal 2 2 5 18 5 2" xfId="25168" xr:uid="{00000000-0005-0000-0000-000050620000}"/>
    <cellStyle name="Normal 2 2 5 18 5 3" xfId="25169" xr:uid="{00000000-0005-0000-0000-000051620000}"/>
    <cellStyle name="Normal 2 2 5 18 5 4" xfId="25170" xr:uid="{00000000-0005-0000-0000-000052620000}"/>
    <cellStyle name="Normal 2 2 5 18 5 5" xfId="25171" xr:uid="{00000000-0005-0000-0000-000053620000}"/>
    <cellStyle name="Normal 2 2 5 18 5 6" xfId="25172" xr:uid="{00000000-0005-0000-0000-000054620000}"/>
    <cellStyle name="Normal 2 2 5 18 5 7" xfId="25173" xr:uid="{00000000-0005-0000-0000-000055620000}"/>
    <cellStyle name="Normal 2 2 5 18 5 8" xfId="25174" xr:uid="{00000000-0005-0000-0000-000056620000}"/>
    <cellStyle name="Normal 2 2 5 18 5 9" xfId="25175" xr:uid="{00000000-0005-0000-0000-000057620000}"/>
    <cellStyle name="Normal 2 2 5 18 6" xfId="25176" xr:uid="{00000000-0005-0000-0000-000058620000}"/>
    <cellStyle name="Normal 2 2 5 18 7" xfId="25177" xr:uid="{00000000-0005-0000-0000-000059620000}"/>
    <cellStyle name="Normal 2 2 5 18 8" xfId="25178" xr:uid="{00000000-0005-0000-0000-00005A620000}"/>
    <cellStyle name="Normal 2 2 5 18 9" xfId="25179" xr:uid="{00000000-0005-0000-0000-00005B620000}"/>
    <cellStyle name="Normal 2 2 5 19" xfId="25180" xr:uid="{00000000-0005-0000-0000-00005C620000}"/>
    <cellStyle name="Normal 2 2 5 19 10" xfId="25181" xr:uid="{00000000-0005-0000-0000-00005D620000}"/>
    <cellStyle name="Normal 2 2 5 19 11" xfId="25182" xr:uid="{00000000-0005-0000-0000-00005E620000}"/>
    <cellStyle name="Normal 2 2 5 19 12" xfId="25183" xr:uid="{00000000-0005-0000-0000-00005F620000}"/>
    <cellStyle name="Normal 2 2 5 19 13" xfId="25184" xr:uid="{00000000-0005-0000-0000-000060620000}"/>
    <cellStyle name="Normal 2 2 5 19 14" xfId="25185" xr:uid="{00000000-0005-0000-0000-000061620000}"/>
    <cellStyle name="Normal 2 2 5 19 2" xfId="25186" xr:uid="{00000000-0005-0000-0000-000062620000}"/>
    <cellStyle name="Normal 2 2 5 19 2 10" xfId="25187" xr:uid="{00000000-0005-0000-0000-000063620000}"/>
    <cellStyle name="Normal 2 2 5 19 2 2" xfId="25188" xr:uid="{00000000-0005-0000-0000-000064620000}"/>
    <cellStyle name="Normal 2 2 5 19 2 3" xfId="25189" xr:uid="{00000000-0005-0000-0000-000065620000}"/>
    <cellStyle name="Normal 2 2 5 19 2 4" xfId="25190" xr:uid="{00000000-0005-0000-0000-000066620000}"/>
    <cellStyle name="Normal 2 2 5 19 2 5" xfId="25191" xr:uid="{00000000-0005-0000-0000-000067620000}"/>
    <cellStyle name="Normal 2 2 5 19 2 6" xfId="25192" xr:uid="{00000000-0005-0000-0000-000068620000}"/>
    <cellStyle name="Normal 2 2 5 19 2 7" xfId="25193" xr:uid="{00000000-0005-0000-0000-000069620000}"/>
    <cellStyle name="Normal 2 2 5 19 2 8" xfId="25194" xr:uid="{00000000-0005-0000-0000-00006A620000}"/>
    <cellStyle name="Normal 2 2 5 19 2 9" xfId="25195" xr:uid="{00000000-0005-0000-0000-00006B620000}"/>
    <cellStyle name="Normal 2 2 5 19 3" xfId="25196" xr:uid="{00000000-0005-0000-0000-00006C620000}"/>
    <cellStyle name="Normal 2 2 5 19 3 10" xfId="25197" xr:uid="{00000000-0005-0000-0000-00006D620000}"/>
    <cellStyle name="Normal 2 2 5 19 3 2" xfId="25198" xr:uid="{00000000-0005-0000-0000-00006E620000}"/>
    <cellStyle name="Normal 2 2 5 19 3 3" xfId="25199" xr:uid="{00000000-0005-0000-0000-00006F620000}"/>
    <cellStyle name="Normal 2 2 5 19 3 4" xfId="25200" xr:uid="{00000000-0005-0000-0000-000070620000}"/>
    <cellStyle name="Normal 2 2 5 19 3 5" xfId="25201" xr:uid="{00000000-0005-0000-0000-000071620000}"/>
    <cellStyle name="Normal 2 2 5 19 3 6" xfId="25202" xr:uid="{00000000-0005-0000-0000-000072620000}"/>
    <cellStyle name="Normal 2 2 5 19 3 7" xfId="25203" xr:uid="{00000000-0005-0000-0000-000073620000}"/>
    <cellStyle name="Normal 2 2 5 19 3 8" xfId="25204" xr:uid="{00000000-0005-0000-0000-000074620000}"/>
    <cellStyle name="Normal 2 2 5 19 3 9" xfId="25205" xr:uid="{00000000-0005-0000-0000-000075620000}"/>
    <cellStyle name="Normal 2 2 5 19 4" xfId="25206" xr:uid="{00000000-0005-0000-0000-000076620000}"/>
    <cellStyle name="Normal 2 2 5 19 4 10" xfId="25207" xr:uid="{00000000-0005-0000-0000-000077620000}"/>
    <cellStyle name="Normal 2 2 5 19 4 2" xfId="25208" xr:uid="{00000000-0005-0000-0000-000078620000}"/>
    <cellStyle name="Normal 2 2 5 19 4 3" xfId="25209" xr:uid="{00000000-0005-0000-0000-000079620000}"/>
    <cellStyle name="Normal 2 2 5 19 4 4" xfId="25210" xr:uid="{00000000-0005-0000-0000-00007A620000}"/>
    <cellStyle name="Normal 2 2 5 19 4 5" xfId="25211" xr:uid="{00000000-0005-0000-0000-00007B620000}"/>
    <cellStyle name="Normal 2 2 5 19 4 6" xfId="25212" xr:uid="{00000000-0005-0000-0000-00007C620000}"/>
    <cellStyle name="Normal 2 2 5 19 4 7" xfId="25213" xr:uid="{00000000-0005-0000-0000-00007D620000}"/>
    <cellStyle name="Normal 2 2 5 19 4 8" xfId="25214" xr:uid="{00000000-0005-0000-0000-00007E620000}"/>
    <cellStyle name="Normal 2 2 5 19 4 9" xfId="25215" xr:uid="{00000000-0005-0000-0000-00007F620000}"/>
    <cellStyle name="Normal 2 2 5 19 5" xfId="25216" xr:uid="{00000000-0005-0000-0000-000080620000}"/>
    <cellStyle name="Normal 2 2 5 19 5 10" xfId="25217" xr:uid="{00000000-0005-0000-0000-000081620000}"/>
    <cellStyle name="Normal 2 2 5 19 5 2" xfId="25218" xr:uid="{00000000-0005-0000-0000-000082620000}"/>
    <cellStyle name="Normal 2 2 5 19 5 3" xfId="25219" xr:uid="{00000000-0005-0000-0000-000083620000}"/>
    <cellStyle name="Normal 2 2 5 19 5 4" xfId="25220" xr:uid="{00000000-0005-0000-0000-000084620000}"/>
    <cellStyle name="Normal 2 2 5 19 5 5" xfId="25221" xr:uid="{00000000-0005-0000-0000-000085620000}"/>
    <cellStyle name="Normal 2 2 5 19 5 6" xfId="25222" xr:uid="{00000000-0005-0000-0000-000086620000}"/>
    <cellStyle name="Normal 2 2 5 19 5 7" xfId="25223" xr:uid="{00000000-0005-0000-0000-000087620000}"/>
    <cellStyle name="Normal 2 2 5 19 5 8" xfId="25224" xr:uid="{00000000-0005-0000-0000-000088620000}"/>
    <cellStyle name="Normal 2 2 5 19 5 9" xfId="25225" xr:uid="{00000000-0005-0000-0000-000089620000}"/>
    <cellStyle name="Normal 2 2 5 19 6" xfId="25226" xr:uid="{00000000-0005-0000-0000-00008A620000}"/>
    <cellStyle name="Normal 2 2 5 19 7" xfId="25227" xr:uid="{00000000-0005-0000-0000-00008B620000}"/>
    <cellStyle name="Normal 2 2 5 19 8" xfId="25228" xr:uid="{00000000-0005-0000-0000-00008C620000}"/>
    <cellStyle name="Normal 2 2 5 19 9" xfId="25229" xr:uid="{00000000-0005-0000-0000-00008D620000}"/>
    <cellStyle name="Normal 2 2 5 2" xfId="25230" xr:uid="{00000000-0005-0000-0000-00008E620000}"/>
    <cellStyle name="Normal 2 2 5 2 10" xfId="25231" xr:uid="{00000000-0005-0000-0000-00008F620000}"/>
    <cellStyle name="Normal 2 2 5 2 11" xfId="25232" xr:uid="{00000000-0005-0000-0000-000090620000}"/>
    <cellStyle name="Normal 2 2 5 2 12" xfId="25233" xr:uid="{00000000-0005-0000-0000-000091620000}"/>
    <cellStyle name="Normal 2 2 5 2 13" xfId="25234" xr:uid="{00000000-0005-0000-0000-000092620000}"/>
    <cellStyle name="Normal 2 2 5 2 14" xfId="25235" xr:uid="{00000000-0005-0000-0000-000093620000}"/>
    <cellStyle name="Normal 2 2 5 2 15" xfId="25236" xr:uid="{00000000-0005-0000-0000-000094620000}"/>
    <cellStyle name="Normal 2 2 5 2 16" xfId="25237" xr:uid="{00000000-0005-0000-0000-000095620000}"/>
    <cellStyle name="Normal 2 2 5 2 17" xfId="25238" xr:uid="{00000000-0005-0000-0000-000096620000}"/>
    <cellStyle name="Normal 2 2 5 2 18" xfId="25239" xr:uid="{00000000-0005-0000-0000-000097620000}"/>
    <cellStyle name="Normal 2 2 5 2 19" xfId="25240" xr:uid="{00000000-0005-0000-0000-000098620000}"/>
    <cellStyle name="Normal 2 2 5 2 2" xfId="25241" xr:uid="{00000000-0005-0000-0000-000099620000}"/>
    <cellStyle name="Normal 2 2 5 2 20" xfId="25242" xr:uid="{00000000-0005-0000-0000-00009A620000}"/>
    <cellStyle name="Normal 2 2 5 2 21" xfId="25243" xr:uid="{00000000-0005-0000-0000-00009B620000}"/>
    <cellStyle name="Normal 2 2 5 2 21 10" xfId="25244" xr:uid="{00000000-0005-0000-0000-00009C620000}"/>
    <cellStyle name="Normal 2 2 5 2 21 2" xfId="25245" xr:uid="{00000000-0005-0000-0000-00009D620000}"/>
    <cellStyle name="Normal 2 2 5 2 21 3" xfId="25246" xr:uid="{00000000-0005-0000-0000-00009E620000}"/>
    <cellStyle name="Normal 2 2 5 2 21 4" xfId="25247" xr:uid="{00000000-0005-0000-0000-00009F620000}"/>
    <cellStyle name="Normal 2 2 5 2 21 5" xfId="25248" xr:uid="{00000000-0005-0000-0000-0000A0620000}"/>
    <cellStyle name="Normal 2 2 5 2 21 6" xfId="25249" xr:uid="{00000000-0005-0000-0000-0000A1620000}"/>
    <cellStyle name="Normal 2 2 5 2 21 7" xfId="25250" xr:uid="{00000000-0005-0000-0000-0000A2620000}"/>
    <cellStyle name="Normal 2 2 5 2 21 8" xfId="25251" xr:uid="{00000000-0005-0000-0000-0000A3620000}"/>
    <cellStyle name="Normal 2 2 5 2 21 9" xfId="25252" xr:uid="{00000000-0005-0000-0000-0000A4620000}"/>
    <cellStyle name="Normal 2 2 5 2 22" xfId="25253" xr:uid="{00000000-0005-0000-0000-0000A5620000}"/>
    <cellStyle name="Normal 2 2 5 2 22 10" xfId="25254" xr:uid="{00000000-0005-0000-0000-0000A6620000}"/>
    <cellStyle name="Normal 2 2 5 2 22 2" xfId="25255" xr:uid="{00000000-0005-0000-0000-0000A7620000}"/>
    <cellStyle name="Normal 2 2 5 2 22 3" xfId="25256" xr:uid="{00000000-0005-0000-0000-0000A8620000}"/>
    <cellStyle name="Normal 2 2 5 2 22 4" xfId="25257" xr:uid="{00000000-0005-0000-0000-0000A9620000}"/>
    <cellStyle name="Normal 2 2 5 2 22 5" xfId="25258" xr:uid="{00000000-0005-0000-0000-0000AA620000}"/>
    <cellStyle name="Normal 2 2 5 2 22 6" xfId="25259" xr:uid="{00000000-0005-0000-0000-0000AB620000}"/>
    <cellStyle name="Normal 2 2 5 2 22 7" xfId="25260" xr:uid="{00000000-0005-0000-0000-0000AC620000}"/>
    <cellStyle name="Normal 2 2 5 2 22 8" xfId="25261" xr:uid="{00000000-0005-0000-0000-0000AD620000}"/>
    <cellStyle name="Normal 2 2 5 2 22 9" xfId="25262" xr:uid="{00000000-0005-0000-0000-0000AE620000}"/>
    <cellStyle name="Normal 2 2 5 2 23" xfId="25263" xr:uid="{00000000-0005-0000-0000-0000AF620000}"/>
    <cellStyle name="Normal 2 2 5 2 23 10" xfId="25264" xr:uid="{00000000-0005-0000-0000-0000B0620000}"/>
    <cellStyle name="Normal 2 2 5 2 23 2" xfId="25265" xr:uid="{00000000-0005-0000-0000-0000B1620000}"/>
    <cellStyle name="Normal 2 2 5 2 23 3" xfId="25266" xr:uid="{00000000-0005-0000-0000-0000B2620000}"/>
    <cellStyle name="Normal 2 2 5 2 23 4" xfId="25267" xr:uid="{00000000-0005-0000-0000-0000B3620000}"/>
    <cellStyle name="Normal 2 2 5 2 23 5" xfId="25268" xr:uid="{00000000-0005-0000-0000-0000B4620000}"/>
    <cellStyle name="Normal 2 2 5 2 23 6" xfId="25269" xr:uid="{00000000-0005-0000-0000-0000B5620000}"/>
    <cellStyle name="Normal 2 2 5 2 23 7" xfId="25270" xr:uid="{00000000-0005-0000-0000-0000B6620000}"/>
    <cellStyle name="Normal 2 2 5 2 23 8" xfId="25271" xr:uid="{00000000-0005-0000-0000-0000B7620000}"/>
    <cellStyle name="Normal 2 2 5 2 23 9" xfId="25272" xr:uid="{00000000-0005-0000-0000-0000B8620000}"/>
    <cellStyle name="Normal 2 2 5 2 24" xfId="25273" xr:uid="{00000000-0005-0000-0000-0000B9620000}"/>
    <cellStyle name="Normal 2 2 5 2 24 10" xfId="25274" xr:uid="{00000000-0005-0000-0000-0000BA620000}"/>
    <cellStyle name="Normal 2 2 5 2 24 2" xfId="25275" xr:uid="{00000000-0005-0000-0000-0000BB620000}"/>
    <cellStyle name="Normal 2 2 5 2 24 3" xfId="25276" xr:uid="{00000000-0005-0000-0000-0000BC620000}"/>
    <cellStyle name="Normal 2 2 5 2 24 4" xfId="25277" xr:uid="{00000000-0005-0000-0000-0000BD620000}"/>
    <cellStyle name="Normal 2 2 5 2 24 5" xfId="25278" xr:uid="{00000000-0005-0000-0000-0000BE620000}"/>
    <cellStyle name="Normal 2 2 5 2 24 6" xfId="25279" xr:uid="{00000000-0005-0000-0000-0000BF620000}"/>
    <cellStyle name="Normal 2 2 5 2 24 7" xfId="25280" xr:uid="{00000000-0005-0000-0000-0000C0620000}"/>
    <cellStyle name="Normal 2 2 5 2 24 8" xfId="25281" xr:uid="{00000000-0005-0000-0000-0000C1620000}"/>
    <cellStyle name="Normal 2 2 5 2 24 9" xfId="25282" xr:uid="{00000000-0005-0000-0000-0000C2620000}"/>
    <cellStyle name="Normal 2 2 5 2 25" xfId="25283" xr:uid="{00000000-0005-0000-0000-0000C3620000}"/>
    <cellStyle name="Normal 2 2 5 2 26" xfId="25284" xr:uid="{00000000-0005-0000-0000-0000C4620000}"/>
    <cellStyle name="Normal 2 2 5 2 27" xfId="25285" xr:uid="{00000000-0005-0000-0000-0000C5620000}"/>
    <cellStyle name="Normal 2 2 5 2 28" xfId="25286" xr:uid="{00000000-0005-0000-0000-0000C6620000}"/>
    <cellStyle name="Normal 2 2 5 2 29" xfId="25287" xr:uid="{00000000-0005-0000-0000-0000C7620000}"/>
    <cellStyle name="Normal 2 2 5 2 3" xfId="25288" xr:uid="{00000000-0005-0000-0000-0000C8620000}"/>
    <cellStyle name="Normal 2 2 5 2 30" xfId="25289" xr:uid="{00000000-0005-0000-0000-0000C9620000}"/>
    <cellStyle name="Normal 2 2 5 2 31" xfId="25290" xr:uid="{00000000-0005-0000-0000-0000CA620000}"/>
    <cellStyle name="Normal 2 2 5 2 32" xfId="25291" xr:uid="{00000000-0005-0000-0000-0000CB620000}"/>
    <cellStyle name="Normal 2 2 5 2 33" xfId="25292" xr:uid="{00000000-0005-0000-0000-0000CC620000}"/>
    <cellStyle name="Normal 2 2 5 2 4" xfId="25293" xr:uid="{00000000-0005-0000-0000-0000CD620000}"/>
    <cellStyle name="Normal 2 2 5 2 5" xfId="25294" xr:uid="{00000000-0005-0000-0000-0000CE620000}"/>
    <cellStyle name="Normal 2 2 5 2 6" xfId="25295" xr:uid="{00000000-0005-0000-0000-0000CF620000}"/>
    <cellStyle name="Normal 2 2 5 2 7" xfId="25296" xr:uid="{00000000-0005-0000-0000-0000D0620000}"/>
    <cellStyle name="Normal 2 2 5 2 8" xfId="25297" xr:uid="{00000000-0005-0000-0000-0000D1620000}"/>
    <cellStyle name="Normal 2 2 5 2 9" xfId="25298" xr:uid="{00000000-0005-0000-0000-0000D2620000}"/>
    <cellStyle name="Normal 2 2 5 20" xfId="25299" xr:uid="{00000000-0005-0000-0000-0000D3620000}"/>
    <cellStyle name="Normal 2 2 5 20 10" xfId="25300" xr:uid="{00000000-0005-0000-0000-0000D4620000}"/>
    <cellStyle name="Normal 2 2 5 20 11" xfId="25301" xr:uid="{00000000-0005-0000-0000-0000D5620000}"/>
    <cellStyle name="Normal 2 2 5 20 12" xfId="25302" xr:uid="{00000000-0005-0000-0000-0000D6620000}"/>
    <cellStyle name="Normal 2 2 5 20 13" xfId="25303" xr:uid="{00000000-0005-0000-0000-0000D7620000}"/>
    <cellStyle name="Normal 2 2 5 20 14" xfId="25304" xr:uid="{00000000-0005-0000-0000-0000D8620000}"/>
    <cellStyle name="Normal 2 2 5 20 2" xfId="25305" xr:uid="{00000000-0005-0000-0000-0000D9620000}"/>
    <cellStyle name="Normal 2 2 5 20 2 10" xfId="25306" xr:uid="{00000000-0005-0000-0000-0000DA620000}"/>
    <cellStyle name="Normal 2 2 5 20 2 2" xfId="25307" xr:uid="{00000000-0005-0000-0000-0000DB620000}"/>
    <cellStyle name="Normal 2 2 5 20 2 3" xfId="25308" xr:uid="{00000000-0005-0000-0000-0000DC620000}"/>
    <cellStyle name="Normal 2 2 5 20 2 4" xfId="25309" xr:uid="{00000000-0005-0000-0000-0000DD620000}"/>
    <cellStyle name="Normal 2 2 5 20 2 5" xfId="25310" xr:uid="{00000000-0005-0000-0000-0000DE620000}"/>
    <cellStyle name="Normal 2 2 5 20 2 6" xfId="25311" xr:uid="{00000000-0005-0000-0000-0000DF620000}"/>
    <cellStyle name="Normal 2 2 5 20 2 7" xfId="25312" xr:uid="{00000000-0005-0000-0000-0000E0620000}"/>
    <cellStyle name="Normal 2 2 5 20 2 8" xfId="25313" xr:uid="{00000000-0005-0000-0000-0000E1620000}"/>
    <cellStyle name="Normal 2 2 5 20 2 9" xfId="25314" xr:uid="{00000000-0005-0000-0000-0000E2620000}"/>
    <cellStyle name="Normal 2 2 5 20 3" xfId="25315" xr:uid="{00000000-0005-0000-0000-0000E3620000}"/>
    <cellStyle name="Normal 2 2 5 20 3 10" xfId="25316" xr:uid="{00000000-0005-0000-0000-0000E4620000}"/>
    <cellStyle name="Normal 2 2 5 20 3 2" xfId="25317" xr:uid="{00000000-0005-0000-0000-0000E5620000}"/>
    <cellStyle name="Normal 2 2 5 20 3 3" xfId="25318" xr:uid="{00000000-0005-0000-0000-0000E6620000}"/>
    <cellStyle name="Normal 2 2 5 20 3 4" xfId="25319" xr:uid="{00000000-0005-0000-0000-0000E7620000}"/>
    <cellStyle name="Normal 2 2 5 20 3 5" xfId="25320" xr:uid="{00000000-0005-0000-0000-0000E8620000}"/>
    <cellStyle name="Normal 2 2 5 20 3 6" xfId="25321" xr:uid="{00000000-0005-0000-0000-0000E9620000}"/>
    <cellStyle name="Normal 2 2 5 20 3 7" xfId="25322" xr:uid="{00000000-0005-0000-0000-0000EA620000}"/>
    <cellStyle name="Normal 2 2 5 20 3 8" xfId="25323" xr:uid="{00000000-0005-0000-0000-0000EB620000}"/>
    <cellStyle name="Normal 2 2 5 20 3 9" xfId="25324" xr:uid="{00000000-0005-0000-0000-0000EC620000}"/>
    <cellStyle name="Normal 2 2 5 20 4" xfId="25325" xr:uid="{00000000-0005-0000-0000-0000ED620000}"/>
    <cellStyle name="Normal 2 2 5 20 4 10" xfId="25326" xr:uid="{00000000-0005-0000-0000-0000EE620000}"/>
    <cellStyle name="Normal 2 2 5 20 4 2" xfId="25327" xr:uid="{00000000-0005-0000-0000-0000EF620000}"/>
    <cellStyle name="Normal 2 2 5 20 4 3" xfId="25328" xr:uid="{00000000-0005-0000-0000-0000F0620000}"/>
    <cellStyle name="Normal 2 2 5 20 4 4" xfId="25329" xr:uid="{00000000-0005-0000-0000-0000F1620000}"/>
    <cellStyle name="Normal 2 2 5 20 4 5" xfId="25330" xr:uid="{00000000-0005-0000-0000-0000F2620000}"/>
    <cellStyle name="Normal 2 2 5 20 4 6" xfId="25331" xr:uid="{00000000-0005-0000-0000-0000F3620000}"/>
    <cellStyle name="Normal 2 2 5 20 4 7" xfId="25332" xr:uid="{00000000-0005-0000-0000-0000F4620000}"/>
    <cellStyle name="Normal 2 2 5 20 4 8" xfId="25333" xr:uid="{00000000-0005-0000-0000-0000F5620000}"/>
    <cellStyle name="Normal 2 2 5 20 4 9" xfId="25334" xr:uid="{00000000-0005-0000-0000-0000F6620000}"/>
    <cellStyle name="Normal 2 2 5 20 5" xfId="25335" xr:uid="{00000000-0005-0000-0000-0000F7620000}"/>
    <cellStyle name="Normal 2 2 5 20 5 10" xfId="25336" xr:uid="{00000000-0005-0000-0000-0000F8620000}"/>
    <cellStyle name="Normal 2 2 5 20 5 2" xfId="25337" xr:uid="{00000000-0005-0000-0000-0000F9620000}"/>
    <cellStyle name="Normal 2 2 5 20 5 3" xfId="25338" xr:uid="{00000000-0005-0000-0000-0000FA620000}"/>
    <cellStyle name="Normal 2 2 5 20 5 4" xfId="25339" xr:uid="{00000000-0005-0000-0000-0000FB620000}"/>
    <cellStyle name="Normal 2 2 5 20 5 5" xfId="25340" xr:uid="{00000000-0005-0000-0000-0000FC620000}"/>
    <cellStyle name="Normal 2 2 5 20 5 6" xfId="25341" xr:uid="{00000000-0005-0000-0000-0000FD620000}"/>
    <cellStyle name="Normal 2 2 5 20 5 7" xfId="25342" xr:uid="{00000000-0005-0000-0000-0000FE620000}"/>
    <cellStyle name="Normal 2 2 5 20 5 8" xfId="25343" xr:uid="{00000000-0005-0000-0000-0000FF620000}"/>
    <cellStyle name="Normal 2 2 5 20 5 9" xfId="25344" xr:uid="{00000000-0005-0000-0000-000000630000}"/>
    <cellStyle name="Normal 2 2 5 20 6" xfId="25345" xr:uid="{00000000-0005-0000-0000-000001630000}"/>
    <cellStyle name="Normal 2 2 5 20 7" xfId="25346" xr:uid="{00000000-0005-0000-0000-000002630000}"/>
    <cellStyle name="Normal 2 2 5 20 8" xfId="25347" xr:uid="{00000000-0005-0000-0000-000003630000}"/>
    <cellStyle name="Normal 2 2 5 20 9" xfId="25348" xr:uid="{00000000-0005-0000-0000-000004630000}"/>
    <cellStyle name="Normal 2 2 5 21" xfId="25349" xr:uid="{00000000-0005-0000-0000-000005630000}"/>
    <cellStyle name="Normal 2 2 5 22" xfId="25350" xr:uid="{00000000-0005-0000-0000-000006630000}"/>
    <cellStyle name="Normal 2 2 5 23" xfId="25351" xr:uid="{00000000-0005-0000-0000-000007630000}"/>
    <cellStyle name="Normal 2 2 5 3" xfId="25352" xr:uid="{00000000-0005-0000-0000-000008630000}"/>
    <cellStyle name="Normal 2 2 5 3 10" xfId="25353" xr:uid="{00000000-0005-0000-0000-000009630000}"/>
    <cellStyle name="Normal 2 2 5 3 11" xfId="25354" xr:uid="{00000000-0005-0000-0000-00000A630000}"/>
    <cellStyle name="Normal 2 2 5 3 12" xfId="25355" xr:uid="{00000000-0005-0000-0000-00000B630000}"/>
    <cellStyle name="Normal 2 2 5 3 13" xfId="25356" xr:uid="{00000000-0005-0000-0000-00000C630000}"/>
    <cellStyle name="Normal 2 2 5 3 14" xfId="25357" xr:uid="{00000000-0005-0000-0000-00000D630000}"/>
    <cellStyle name="Normal 2 2 5 3 2" xfId="25358" xr:uid="{00000000-0005-0000-0000-00000E630000}"/>
    <cellStyle name="Normal 2 2 5 3 2 10" xfId="25359" xr:uid="{00000000-0005-0000-0000-00000F630000}"/>
    <cellStyle name="Normal 2 2 5 3 2 2" xfId="25360" xr:uid="{00000000-0005-0000-0000-000010630000}"/>
    <cellStyle name="Normal 2 2 5 3 2 3" xfId="25361" xr:uid="{00000000-0005-0000-0000-000011630000}"/>
    <cellStyle name="Normal 2 2 5 3 2 4" xfId="25362" xr:uid="{00000000-0005-0000-0000-000012630000}"/>
    <cellStyle name="Normal 2 2 5 3 2 5" xfId="25363" xr:uid="{00000000-0005-0000-0000-000013630000}"/>
    <cellStyle name="Normal 2 2 5 3 2 6" xfId="25364" xr:uid="{00000000-0005-0000-0000-000014630000}"/>
    <cellStyle name="Normal 2 2 5 3 2 7" xfId="25365" xr:uid="{00000000-0005-0000-0000-000015630000}"/>
    <cellStyle name="Normal 2 2 5 3 2 8" xfId="25366" xr:uid="{00000000-0005-0000-0000-000016630000}"/>
    <cellStyle name="Normal 2 2 5 3 2 9" xfId="25367" xr:uid="{00000000-0005-0000-0000-000017630000}"/>
    <cellStyle name="Normal 2 2 5 3 3" xfId="25368" xr:uid="{00000000-0005-0000-0000-000018630000}"/>
    <cellStyle name="Normal 2 2 5 3 3 10" xfId="25369" xr:uid="{00000000-0005-0000-0000-000019630000}"/>
    <cellStyle name="Normal 2 2 5 3 3 2" xfId="25370" xr:uid="{00000000-0005-0000-0000-00001A630000}"/>
    <cellStyle name="Normal 2 2 5 3 3 3" xfId="25371" xr:uid="{00000000-0005-0000-0000-00001B630000}"/>
    <cellStyle name="Normal 2 2 5 3 3 4" xfId="25372" xr:uid="{00000000-0005-0000-0000-00001C630000}"/>
    <cellStyle name="Normal 2 2 5 3 3 5" xfId="25373" xr:uid="{00000000-0005-0000-0000-00001D630000}"/>
    <cellStyle name="Normal 2 2 5 3 3 6" xfId="25374" xr:uid="{00000000-0005-0000-0000-00001E630000}"/>
    <cellStyle name="Normal 2 2 5 3 3 7" xfId="25375" xr:uid="{00000000-0005-0000-0000-00001F630000}"/>
    <cellStyle name="Normal 2 2 5 3 3 8" xfId="25376" xr:uid="{00000000-0005-0000-0000-000020630000}"/>
    <cellStyle name="Normal 2 2 5 3 3 9" xfId="25377" xr:uid="{00000000-0005-0000-0000-000021630000}"/>
    <cellStyle name="Normal 2 2 5 3 4" xfId="25378" xr:uid="{00000000-0005-0000-0000-000022630000}"/>
    <cellStyle name="Normal 2 2 5 3 4 10" xfId="25379" xr:uid="{00000000-0005-0000-0000-000023630000}"/>
    <cellStyle name="Normal 2 2 5 3 4 2" xfId="25380" xr:uid="{00000000-0005-0000-0000-000024630000}"/>
    <cellStyle name="Normal 2 2 5 3 4 3" xfId="25381" xr:uid="{00000000-0005-0000-0000-000025630000}"/>
    <cellStyle name="Normal 2 2 5 3 4 4" xfId="25382" xr:uid="{00000000-0005-0000-0000-000026630000}"/>
    <cellStyle name="Normal 2 2 5 3 4 5" xfId="25383" xr:uid="{00000000-0005-0000-0000-000027630000}"/>
    <cellStyle name="Normal 2 2 5 3 4 6" xfId="25384" xr:uid="{00000000-0005-0000-0000-000028630000}"/>
    <cellStyle name="Normal 2 2 5 3 4 7" xfId="25385" xr:uid="{00000000-0005-0000-0000-000029630000}"/>
    <cellStyle name="Normal 2 2 5 3 4 8" xfId="25386" xr:uid="{00000000-0005-0000-0000-00002A630000}"/>
    <cellStyle name="Normal 2 2 5 3 4 9" xfId="25387" xr:uid="{00000000-0005-0000-0000-00002B630000}"/>
    <cellStyle name="Normal 2 2 5 3 5" xfId="25388" xr:uid="{00000000-0005-0000-0000-00002C630000}"/>
    <cellStyle name="Normal 2 2 5 3 5 10" xfId="25389" xr:uid="{00000000-0005-0000-0000-00002D630000}"/>
    <cellStyle name="Normal 2 2 5 3 5 2" xfId="25390" xr:uid="{00000000-0005-0000-0000-00002E630000}"/>
    <cellStyle name="Normal 2 2 5 3 5 3" xfId="25391" xr:uid="{00000000-0005-0000-0000-00002F630000}"/>
    <cellStyle name="Normal 2 2 5 3 5 4" xfId="25392" xr:uid="{00000000-0005-0000-0000-000030630000}"/>
    <cellStyle name="Normal 2 2 5 3 5 5" xfId="25393" xr:uid="{00000000-0005-0000-0000-000031630000}"/>
    <cellStyle name="Normal 2 2 5 3 5 6" xfId="25394" xr:uid="{00000000-0005-0000-0000-000032630000}"/>
    <cellStyle name="Normal 2 2 5 3 5 7" xfId="25395" xr:uid="{00000000-0005-0000-0000-000033630000}"/>
    <cellStyle name="Normal 2 2 5 3 5 8" xfId="25396" xr:uid="{00000000-0005-0000-0000-000034630000}"/>
    <cellStyle name="Normal 2 2 5 3 5 9" xfId="25397" xr:uid="{00000000-0005-0000-0000-000035630000}"/>
    <cellStyle name="Normal 2 2 5 3 6" xfId="25398" xr:uid="{00000000-0005-0000-0000-000036630000}"/>
    <cellStyle name="Normal 2 2 5 3 7" xfId="25399" xr:uid="{00000000-0005-0000-0000-000037630000}"/>
    <cellStyle name="Normal 2 2 5 3 8" xfId="25400" xr:uid="{00000000-0005-0000-0000-000038630000}"/>
    <cellStyle name="Normal 2 2 5 3 9" xfId="25401" xr:uid="{00000000-0005-0000-0000-000039630000}"/>
    <cellStyle name="Normal 2 2 5 4" xfId="25402" xr:uid="{00000000-0005-0000-0000-00003A630000}"/>
    <cellStyle name="Normal 2 2 5 4 10" xfId="25403" xr:uid="{00000000-0005-0000-0000-00003B630000}"/>
    <cellStyle name="Normal 2 2 5 4 11" xfId="25404" xr:uid="{00000000-0005-0000-0000-00003C630000}"/>
    <cellStyle name="Normal 2 2 5 4 12" xfId="25405" xr:uid="{00000000-0005-0000-0000-00003D630000}"/>
    <cellStyle name="Normal 2 2 5 4 13" xfId="25406" xr:uid="{00000000-0005-0000-0000-00003E630000}"/>
    <cellStyle name="Normal 2 2 5 4 14" xfId="25407" xr:uid="{00000000-0005-0000-0000-00003F630000}"/>
    <cellStyle name="Normal 2 2 5 4 2" xfId="25408" xr:uid="{00000000-0005-0000-0000-000040630000}"/>
    <cellStyle name="Normal 2 2 5 4 2 10" xfId="25409" xr:uid="{00000000-0005-0000-0000-000041630000}"/>
    <cellStyle name="Normal 2 2 5 4 2 2" xfId="25410" xr:uid="{00000000-0005-0000-0000-000042630000}"/>
    <cellStyle name="Normal 2 2 5 4 2 3" xfId="25411" xr:uid="{00000000-0005-0000-0000-000043630000}"/>
    <cellStyle name="Normal 2 2 5 4 2 4" xfId="25412" xr:uid="{00000000-0005-0000-0000-000044630000}"/>
    <cellStyle name="Normal 2 2 5 4 2 5" xfId="25413" xr:uid="{00000000-0005-0000-0000-000045630000}"/>
    <cellStyle name="Normal 2 2 5 4 2 6" xfId="25414" xr:uid="{00000000-0005-0000-0000-000046630000}"/>
    <cellStyle name="Normal 2 2 5 4 2 7" xfId="25415" xr:uid="{00000000-0005-0000-0000-000047630000}"/>
    <cellStyle name="Normal 2 2 5 4 2 8" xfId="25416" xr:uid="{00000000-0005-0000-0000-000048630000}"/>
    <cellStyle name="Normal 2 2 5 4 2 9" xfId="25417" xr:uid="{00000000-0005-0000-0000-000049630000}"/>
    <cellStyle name="Normal 2 2 5 4 3" xfId="25418" xr:uid="{00000000-0005-0000-0000-00004A630000}"/>
    <cellStyle name="Normal 2 2 5 4 3 10" xfId="25419" xr:uid="{00000000-0005-0000-0000-00004B630000}"/>
    <cellStyle name="Normal 2 2 5 4 3 2" xfId="25420" xr:uid="{00000000-0005-0000-0000-00004C630000}"/>
    <cellStyle name="Normal 2 2 5 4 3 3" xfId="25421" xr:uid="{00000000-0005-0000-0000-00004D630000}"/>
    <cellStyle name="Normal 2 2 5 4 3 4" xfId="25422" xr:uid="{00000000-0005-0000-0000-00004E630000}"/>
    <cellStyle name="Normal 2 2 5 4 3 5" xfId="25423" xr:uid="{00000000-0005-0000-0000-00004F630000}"/>
    <cellStyle name="Normal 2 2 5 4 3 6" xfId="25424" xr:uid="{00000000-0005-0000-0000-000050630000}"/>
    <cellStyle name="Normal 2 2 5 4 3 7" xfId="25425" xr:uid="{00000000-0005-0000-0000-000051630000}"/>
    <cellStyle name="Normal 2 2 5 4 3 8" xfId="25426" xr:uid="{00000000-0005-0000-0000-000052630000}"/>
    <cellStyle name="Normal 2 2 5 4 3 9" xfId="25427" xr:uid="{00000000-0005-0000-0000-000053630000}"/>
    <cellStyle name="Normal 2 2 5 4 4" xfId="25428" xr:uid="{00000000-0005-0000-0000-000054630000}"/>
    <cellStyle name="Normal 2 2 5 4 4 10" xfId="25429" xr:uid="{00000000-0005-0000-0000-000055630000}"/>
    <cellStyle name="Normal 2 2 5 4 4 2" xfId="25430" xr:uid="{00000000-0005-0000-0000-000056630000}"/>
    <cellStyle name="Normal 2 2 5 4 4 3" xfId="25431" xr:uid="{00000000-0005-0000-0000-000057630000}"/>
    <cellStyle name="Normal 2 2 5 4 4 4" xfId="25432" xr:uid="{00000000-0005-0000-0000-000058630000}"/>
    <cellStyle name="Normal 2 2 5 4 4 5" xfId="25433" xr:uid="{00000000-0005-0000-0000-000059630000}"/>
    <cellStyle name="Normal 2 2 5 4 4 6" xfId="25434" xr:uid="{00000000-0005-0000-0000-00005A630000}"/>
    <cellStyle name="Normal 2 2 5 4 4 7" xfId="25435" xr:uid="{00000000-0005-0000-0000-00005B630000}"/>
    <cellStyle name="Normal 2 2 5 4 4 8" xfId="25436" xr:uid="{00000000-0005-0000-0000-00005C630000}"/>
    <cellStyle name="Normal 2 2 5 4 4 9" xfId="25437" xr:uid="{00000000-0005-0000-0000-00005D630000}"/>
    <cellStyle name="Normal 2 2 5 4 5" xfId="25438" xr:uid="{00000000-0005-0000-0000-00005E630000}"/>
    <cellStyle name="Normal 2 2 5 4 5 10" xfId="25439" xr:uid="{00000000-0005-0000-0000-00005F630000}"/>
    <cellStyle name="Normal 2 2 5 4 5 2" xfId="25440" xr:uid="{00000000-0005-0000-0000-000060630000}"/>
    <cellStyle name="Normal 2 2 5 4 5 3" xfId="25441" xr:uid="{00000000-0005-0000-0000-000061630000}"/>
    <cellStyle name="Normal 2 2 5 4 5 4" xfId="25442" xr:uid="{00000000-0005-0000-0000-000062630000}"/>
    <cellStyle name="Normal 2 2 5 4 5 5" xfId="25443" xr:uid="{00000000-0005-0000-0000-000063630000}"/>
    <cellStyle name="Normal 2 2 5 4 5 6" xfId="25444" xr:uid="{00000000-0005-0000-0000-000064630000}"/>
    <cellStyle name="Normal 2 2 5 4 5 7" xfId="25445" xr:uid="{00000000-0005-0000-0000-000065630000}"/>
    <cellStyle name="Normal 2 2 5 4 5 8" xfId="25446" xr:uid="{00000000-0005-0000-0000-000066630000}"/>
    <cellStyle name="Normal 2 2 5 4 5 9" xfId="25447" xr:uid="{00000000-0005-0000-0000-000067630000}"/>
    <cellStyle name="Normal 2 2 5 4 6" xfId="25448" xr:uid="{00000000-0005-0000-0000-000068630000}"/>
    <cellStyle name="Normal 2 2 5 4 7" xfId="25449" xr:uid="{00000000-0005-0000-0000-000069630000}"/>
    <cellStyle name="Normal 2 2 5 4 8" xfId="25450" xr:uid="{00000000-0005-0000-0000-00006A630000}"/>
    <cellStyle name="Normal 2 2 5 4 9" xfId="25451" xr:uid="{00000000-0005-0000-0000-00006B630000}"/>
    <cellStyle name="Normal 2 2 5 5" xfId="25452" xr:uid="{00000000-0005-0000-0000-00006C630000}"/>
    <cellStyle name="Normal 2 2 5 5 10" xfId="25453" xr:uid="{00000000-0005-0000-0000-00006D630000}"/>
    <cellStyle name="Normal 2 2 5 5 11" xfId="25454" xr:uid="{00000000-0005-0000-0000-00006E630000}"/>
    <cellStyle name="Normal 2 2 5 5 12" xfId="25455" xr:uid="{00000000-0005-0000-0000-00006F630000}"/>
    <cellStyle name="Normal 2 2 5 5 13" xfId="25456" xr:uid="{00000000-0005-0000-0000-000070630000}"/>
    <cellStyle name="Normal 2 2 5 5 14" xfId="25457" xr:uid="{00000000-0005-0000-0000-000071630000}"/>
    <cellStyle name="Normal 2 2 5 5 2" xfId="25458" xr:uid="{00000000-0005-0000-0000-000072630000}"/>
    <cellStyle name="Normal 2 2 5 5 2 10" xfId="25459" xr:uid="{00000000-0005-0000-0000-000073630000}"/>
    <cellStyle name="Normal 2 2 5 5 2 2" xfId="25460" xr:uid="{00000000-0005-0000-0000-000074630000}"/>
    <cellStyle name="Normal 2 2 5 5 2 3" xfId="25461" xr:uid="{00000000-0005-0000-0000-000075630000}"/>
    <cellStyle name="Normal 2 2 5 5 2 4" xfId="25462" xr:uid="{00000000-0005-0000-0000-000076630000}"/>
    <cellStyle name="Normal 2 2 5 5 2 5" xfId="25463" xr:uid="{00000000-0005-0000-0000-000077630000}"/>
    <cellStyle name="Normal 2 2 5 5 2 6" xfId="25464" xr:uid="{00000000-0005-0000-0000-000078630000}"/>
    <cellStyle name="Normal 2 2 5 5 2 7" xfId="25465" xr:uid="{00000000-0005-0000-0000-000079630000}"/>
    <cellStyle name="Normal 2 2 5 5 2 8" xfId="25466" xr:uid="{00000000-0005-0000-0000-00007A630000}"/>
    <cellStyle name="Normal 2 2 5 5 2 9" xfId="25467" xr:uid="{00000000-0005-0000-0000-00007B630000}"/>
    <cellStyle name="Normal 2 2 5 5 3" xfId="25468" xr:uid="{00000000-0005-0000-0000-00007C630000}"/>
    <cellStyle name="Normal 2 2 5 5 3 10" xfId="25469" xr:uid="{00000000-0005-0000-0000-00007D630000}"/>
    <cellStyle name="Normal 2 2 5 5 3 2" xfId="25470" xr:uid="{00000000-0005-0000-0000-00007E630000}"/>
    <cellStyle name="Normal 2 2 5 5 3 3" xfId="25471" xr:uid="{00000000-0005-0000-0000-00007F630000}"/>
    <cellStyle name="Normal 2 2 5 5 3 4" xfId="25472" xr:uid="{00000000-0005-0000-0000-000080630000}"/>
    <cellStyle name="Normal 2 2 5 5 3 5" xfId="25473" xr:uid="{00000000-0005-0000-0000-000081630000}"/>
    <cellStyle name="Normal 2 2 5 5 3 6" xfId="25474" xr:uid="{00000000-0005-0000-0000-000082630000}"/>
    <cellStyle name="Normal 2 2 5 5 3 7" xfId="25475" xr:uid="{00000000-0005-0000-0000-000083630000}"/>
    <cellStyle name="Normal 2 2 5 5 3 8" xfId="25476" xr:uid="{00000000-0005-0000-0000-000084630000}"/>
    <cellStyle name="Normal 2 2 5 5 3 9" xfId="25477" xr:uid="{00000000-0005-0000-0000-000085630000}"/>
    <cellStyle name="Normal 2 2 5 5 4" xfId="25478" xr:uid="{00000000-0005-0000-0000-000086630000}"/>
    <cellStyle name="Normal 2 2 5 5 4 10" xfId="25479" xr:uid="{00000000-0005-0000-0000-000087630000}"/>
    <cellStyle name="Normal 2 2 5 5 4 2" xfId="25480" xr:uid="{00000000-0005-0000-0000-000088630000}"/>
    <cellStyle name="Normal 2 2 5 5 4 3" xfId="25481" xr:uid="{00000000-0005-0000-0000-000089630000}"/>
    <cellStyle name="Normal 2 2 5 5 4 4" xfId="25482" xr:uid="{00000000-0005-0000-0000-00008A630000}"/>
    <cellStyle name="Normal 2 2 5 5 4 5" xfId="25483" xr:uid="{00000000-0005-0000-0000-00008B630000}"/>
    <cellStyle name="Normal 2 2 5 5 4 6" xfId="25484" xr:uid="{00000000-0005-0000-0000-00008C630000}"/>
    <cellStyle name="Normal 2 2 5 5 4 7" xfId="25485" xr:uid="{00000000-0005-0000-0000-00008D630000}"/>
    <cellStyle name="Normal 2 2 5 5 4 8" xfId="25486" xr:uid="{00000000-0005-0000-0000-00008E630000}"/>
    <cellStyle name="Normal 2 2 5 5 4 9" xfId="25487" xr:uid="{00000000-0005-0000-0000-00008F630000}"/>
    <cellStyle name="Normal 2 2 5 5 5" xfId="25488" xr:uid="{00000000-0005-0000-0000-000090630000}"/>
    <cellStyle name="Normal 2 2 5 5 5 10" xfId="25489" xr:uid="{00000000-0005-0000-0000-000091630000}"/>
    <cellStyle name="Normal 2 2 5 5 5 2" xfId="25490" xr:uid="{00000000-0005-0000-0000-000092630000}"/>
    <cellStyle name="Normal 2 2 5 5 5 3" xfId="25491" xr:uid="{00000000-0005-0000-0000-000093630000}"/>
    <cellStyle name="Normal 2 2 5 5 5 4" xfId="25492" xr:uid="{00000000-0005-0000-0000-000094630000}"/>
    <cellStyle name="Normal 2 2 5 5 5 5" xfId="25493" xr:uid="{00000000-0005-0000-0000-000095630000}"/>
    <cellStyle name="Normal 2 2 5 5 5 6" xfId="25494" xr:uid="{00000000-0005-0000-0000-000096630000}"/>
    <cellStyle name="Normal 2 2 5 5 5 7" xfId="25495" xr:uid="{00000000-0005-0000-0000-000097630000}"/>
    <cellStyle name="Normal 2 2 5 5 5 8" xfId="25496" xr:uid="{00000000-0005-0000-0000-000098630000}"/>
    <cellStyle name="Normal 2 2 5 5 5 9" xfId="25497" xr:uid="{00000000-0005-0000-0000-000099630000}"/>
    <cellStyle name="Normal 2 2 5 5 6" xfId="25498" xr:uid="{00000000-0005-0000-0000-00009A630000}"/>
    <cellStyle name="Normal 2 2 5 5 7" xfId="25499" xr:uid="{00000000-0005-0000-0000-00009B630000}"/>
    <cellStyle name="Normal 2 2 5 5 8" xfId="25500" xr:uid="{00000000-0005-0000-0000-00009C630000}"/>
    <cellStyle name="Normal 2 2 5 5 9" xfId="25501" xr:uid="{00000000-0005-0000-0000-00009D630000}"/>
    <cellStyle name="Normal 2 2 5 6" xfId="25502" xr:uid="{00000000-0005-0000-0000-00009E630000}"/>
    <cellStyle name="Normal 2 2 5 6 10" xfId="25503" xr:uid="{00000000-0005-0000-0000-00009F630000}"/>
    <cellStyle name="Normal 2 2 5 6 11" xfId="25504" xr:uid="{00000000-0005-0000-0000-0000A0630000}"/>
    <cellStyle name="Normal 2 2 5 6 12" xfId="25505" xr:uid="{00000000-0005-0000-0000-0000A1630000}"/>
    <cellStyle name="Normal 2 2 5 6 13" xfId="25506" xr:uid="{00000000-0005-0000-0000-0000A2630000}"/>
    <cellStyle name="Normal 2 2 5 6 14" xfId="25507" xr:uid="{00000000-0005-0000-0000-0000A3630000}"/>
    <cellStyle name="Normal 2 2 5 6 2" xfId="25508" xr:uid="{00000000-0005-0000-0000-0000A4630000}"/>
    <cellStyle name="Normal 2 2 5 6 2 10" xfId="25509" xr:uid="{00000000-0005-0000-0000-0000A5630000}"/>
    <cellStyle name="Normal 2 2 5 6 2 2" xfId="25510" xr:uid="{00000000-0005-0000-0000-0000A6630000}"/>
    <cellStyle name="Normal 2 2 5 6 2 3" xfId="25511" xr:uid="{00000000-0005-0000-0000-0000A7630000}"/>
    <cellStyle name="Normal 2 2 5 6 2 4" xfId="25512" xr:uid="{00000000-0005-0000-0000-0000A8630000}"/>
    <cellStyle name="Normal 2 2 5 6 2 5" xfId="25513" xr:uid="{00000000-0005-0000-0000-0000A9630000}"/>
    <cellStyle name="Normal 2 2 5 6 2 6" xfId="25514" xr:uid="{00000000-0005-0000-0000-0000AA630000}"/>
    <cellStyle name="Normal 2 2 5 6 2 7" xfId="25515" xr:uid="{00000000-0005-0000-0000-0000AB630000}"/>
    <cellStyle name="Normal 2 2 5 6 2 8" xfId="25516" xr:uid="{00000000-0005-0000-0000-0000AC630000}"/>
    <cellStyle name="Normal 2 2 5 6 2 9" xfId="25517" xr:uid="{00000000-0005-0000-0000-0000AD630000}"/>
    <cellStyle name="Normal 2 2 5 6 3" xfId="25518" xr:uid="{00000000-0005-0000-0000-0000AE630000}"/>
    <cellStyle name="Normal 2 2 5 6 3 10" xfId="25519" xr:uid="{00000000-0005-0000-0000-0000AF630000}"/>
    <cellStyle name="Normal 2 2 5 6 3 2" xfId="25520" xr:uid="{00000000-0005-0000-0000-0000B0630000}"/>
    <cellStyle name="Normal 2 2 5 6 3 3" xfId="25521" xr:uid="{00000000-0005-0000-0000-0000B1630000}"/>
    <cellStyle name="Normal 2 2 5 6 3 4" xfId="25522" xr:uid="{00000000-0005-0000-0000-0000B2630000}"/>
    <cellStyle name="Normal 2 2 5 6 3 5" xfId="25523" xr:uid="{00000000-0005-0000-0000-0000B3630000}"/>
    <cellStyle name="Normal 2 2 5 6 3 6" xfId="25524" xr:uid="{00000000-0005-0000-0000-0000B4630000}"/>
    <cellStyle name="Normal 2 2 5 6 3 7" xfId="25525" xr:uid="{00000000-0005-0000-0000-0000B5630000}"/>
    <cellStyle name="Normal 2 2 5 6 3 8" xfId="25526" xr:uid="{00000000-0005-0000-0000-0000B6630000}"/>
    <cellStyle name="Normal 2 2 5 6 3 9" xfId="25527" xr:uid="{00000000-0005-0000-0000-0000B7630000}"/>
    <cellStyle name="Normal 2 2 5 6 4" xfId="25528" xr:uid="{00000000-0005-0000-0000-0000B8630000}"/>
    <cellStyle name="Normal 2 2 5 6 4 10" xfId="25529" xr:uid="{00000000-0005-0000-0000-0000B9630000}"/>
    <cellStyle name="Normal 2 2 5 6 4 2" xfId="25530" xr:uid="{00000000-0005-0000-0000-0000BA630000}"/>
    <cellStyle name="Normal 2 2 5 6 4 3" xfId="25531" xr:uid="{00000000-0005-0000-0000-0000BB630000}"/>
    <cellStyle name="Normal 2 2 5 6 4 4" xfId="25532" xr:uid="{00000000-0005-0000-0000-0000BC630000}"/>
    <cellStyle name="Normal 2 2 5 6 4 5" xfId="25533" xr:uid="{00000000-0005-0000-0000-0000BD630000}"/>
    <cellStyle name="Normal 2 2 5 6 4 6" xfId="25534" xr:uid="{00000000-0005-0000-0000-0000BE630000}"/>
    <cellStyle name="Normal 2 2 5 6 4 7" xfId="25535" xr:uid="{00000000-0005-0000-0000-0000BF630000}"/>
    <cellStyle name="Normal 2 2 5 6 4 8" xfId="25536" xr:uid="{00000000-0005-0000-0000-0000C0630000}"/>
    <cellStyle name="Normal 2 2 5 6 4 9" xfId="25537" xr:uid="{00000000-0005-0000-0000-0000C1630000}"/>
    <cellStyle name="Normal 2 2 5 6 5" xfId="25538" xr:uid="{00000000-0005-0000-0000-0000C2630000}"/>
    <cellStyle name="Normal 2 2 5 6 5 10" xfId="25539" xr:uid="{00000000-0005-0000-0000-0000C3630000}"/>
    <cellStyle name="Normal 2 2 5 6 5 2" xfId="25540" xr:uid="{00000000-0005-0000-0000-0000C4630000}"/>
    <cellStyle name="Normal 2 2 5 6 5 3" xfId="25541" xr:uid="{00000000-0005-0000-0000-0000C5630000}"/>
    <cellStyle name="Normal 2 2 5 6 5 4" xfId="25542" xr:uid="{00000000-0005-0000-0000-0000C6630000}"/>
    <cellStyle name="Normal 2 2 5 6 5 5" xfId="25543" xr:uid="{00000000-0005-0000-0000-0000C7630000}"/>
    <cellStyle name="Normal 2 2 5 6 5 6" xfId="25544" xr:uid="{00000000-0005-0000-0000-0000C8630000}"/>
    <cellStyle name="Normal 2 2 5 6 5 7" xfId="25545" xr:uid="{00000000-0005-0000-0000-0000C9630000}"/>
    <cellStyle name="Normal 2 2 5 6 5 8" xfId="25546" xr:uid="{00000000-0005-0000-0000-0000CA630000}"/>
    <cellStyle name="Normal 2 2 5 6 5 9" xfId="25547" xr:uid="{00000000-0005-0000-0000-0000CB630000}"/>
    <cellStyle name="Normal 2 2 5 6 6" xfId="25548" xr:uid="{00000000-0005-0000-0000-0000CC630000}"/>
    <cellStyle name="Normal 2 2 5 6 7" xfId="25549" xr:uid="{00000000-0005-0000-0000-0000CD630000}"/>
    <cellStyle name="Normal 2 2 5 6 8" xfId="25550" xr:uid="{00000000-0005-0000-0000-0000CE630000}"/>
    <cellStyle name="Normal 2 2 5 6 9" xfId="25551" xr:uid="{00000000-0005-0000-0000-0000CF630000}"/>
    <cellStyle name="Normal 2 2 5 7" xfId="25552" xr:uid="{00000000-0005-0000-0000-0000D0630000}"/>
    <cellStyle name="Normal 2 2 5 7 10" xfId="25553" xr:uid="{00000000-0005-0000-0000-0000D1630000}"/>
    <cellStyle name="Normal 2 2 5 7 11" xfId="25554" xr:uid="{00000000-0005-0000-0000-0000D2630000}"/>
    <cellStyle name="Normal 2 2 5 7 12" xfId="25555" xr:uid="{00000000-0005-0000-0000-0000D3630000}"/>
    <cellStyle name="Normal 2 2 5 7 13" xfId="25556" xr:uid="{00000000-0005-0000-0000-0000D4630000}"/>
    <cellStyle name="Normal 2 2 5 7 14" xfId="25557" xr:uid="{00000000-0005-0000-0000-0000D5630000}"/>
    <cellStyle name="Normal 2 2 5 7 2" xfId="25558" xr:uid="{00000000-0005-0000-0000-0000D6630000}"/>
    <cellStyle name="Normal 2 2 5 7 2 10" xfId="25559" xr:uid="{00000000-0005-0000-0000-0000D7630000}"/>
    <cellStyle name="Normal 2 2 5 7 2 2" xfId="25560" xr:uid="{00000000-0005-0000-0000-0000D8630000}"/>
    <cellStyle name="Normal 2 2 5 7 2 3" xfId="25561" xr:uid="{00000000-0005-0000-0000-0000D9630000}"/>
    <cellStyle name="Normal 2 2 5 7 2 4" xfId="25562" xr:uid="{00000000-0005-0000-0000-0000DA630000}"/>
    <cellStyle name="Normal 2 2 5 7 2 5" xfId="25563" xr:uid="{00000000-0005-0000-0000-0000DB630000}"/>
    <cellStyle name="Normal 2 2 5 7 2 6" xfId="25564" xr:uid="{00000000-0005-0000-0000-0000DC630000}"/>
    <cellStyle name="Normal 2 2 5 7 2 7" xfId="25565" xr:uid="{00000000-0005-0000-0000-0000DD630000}"/>
    <cellStyle name="Normal 2 2 5 7 2 8" xfId="25566" xr:uid="{00000000-0005-0000-0000-0000DE630000}"/>
    <cellStyle name="Normal 2 2 5 7 2 9" xfId="25567" xr:uid="{00000000-0005-0000-0000-0000DF630000}"/>
    <cellStyle name="Normal 2 2 5 7 3" xfId="25568" xr:uid="{00000000-0005-0000-0000-0000E0630000}"/>
    <cellStyle name="Normal 2 2 5 7 3 10" xfId="25569" xr:uid="{00000000-0005-0000-0000-0000E1630000}"/>
    <cellStyle name="Normal 2 2 5 7 3 2" xfId="25570" xr:uid="{00000000-0005-0000-0000-0000E2630000}"/>
    <cellStyle name="Normal 2 2 5 7 3 3" xfId="25571" xr:uid="{00000000-0005-0000-0000-0000E3630000}"/>
    <cellStyle name="Normal 2 2 5 7 3 4" xfId="25572" xr:uid="{00000000-0005-0000-0000-0000E4630000}"/>
    <cellStyle name="Normal 2 2 5 7 3 5" xfId="25573" xr:uid="{00000000-0005-0000-0000-0000E5630000}"/>
    <cellStyle name="Normal 2 2 5 7 3 6" xfId="25574" xr:uid="{00000000-0005-0000-0000-0000E6630000}"/>
    <cellStyle name="Normal 2 2 5 7 3 7" xfId="25575" xr:uid="{00000000-0005-0000-0000-0000E7630000}"/>
    <cellStyle name="Normal 2 2 5 7 3 8" xfId="25576" xr:uid="{00000000-0005-0000-0000-0000E8630000}"/>
    <cellStyle name="Normal 2 2 5 7 3 9" xfId="25577" xr:uid="{00000000-0005-0000-0000-0000E9630000}"/>
    <cellStyle name="Normal 2 2 5 7 4" xfId="25578" xr:uid="{00000000-0005-0000-0000-0000EA630000}"/>
    <cellStyle name="Normal 2 2 5 7 4 10" xfId="25579" xr:uid="{00000000-0005-0000-0000-0000EB630000}"/>
    <cellStyle name="Normal 2 2 5 7 4 2" xfId="25580" xr:uid="{00000000-0005-0000-0000-0000EC630000}"/>
    <cellStyle name="Normal 2 2 5 7 4 3" xfId="25581" xr:uid="{00000000-0005-0000-0000-0000ED630000}"/>
    <cellStyle name="Normal 2 2 5 7 4 4" xfId="25582" xr:uid="{00000000-0005-0000-0000-0000EE630000}"/>
    <cellStyle name="Normal 2 2 5 7 4 5" xfId="25583" xr:uid="{00000000-0005-0000-0000-0000EF630000}"/>
    <cellStyle name="Normal 2 2 5 7 4 6" xfId="25584" xr:uid="{00000000-0005-0000-0000-0000F0630000}"/>
    <cellStyle name="Normal 2 2 5 7 4 7" xfId="25585" xr:uid="{00000000-0005-0000-0000-0000F1630000}"/>
    <cellStyle name="Normal 2 2 5 7 4 8" xfId="25586" xr:uid="{00000000-0005-0000-0000-0000F2630000}"/>
    <cellStyle name="Normal 2 2 5 7 4 9" xfId="25587" xr:uid="{00000000-0005-0000-0000-0000F3630000}"/>
    <cellStyle name="Normal 2 2 5 7 5" xfId="25588" xr:uid="{00000000-0005-0000-0000-0000F4630000}"/>
    <cellStyle name="Normal 2 2 5 7 5 10" xfId="25589" xr:uid="{00000000-0005-0000-0000-0000F5630000}"/>
    <cellStyle name="Normal 2 2 5 7 5 2" xfId="25590" xr:uid="{00000000-0005-0000-0000-0000F6630000}"/>
    <cellStyle name="Normal 2 2 5 7 5 3" xfId="25591" xr:uid="{00000000-0005-0000-0000-0000F7630000}"/>
    <cellStyle name="Normal 2 2 5 7 5 4" xfId="25592" xr:uid="{00000000-0005-0000-0000-0000F8630000}"/>
    <cellStyle name="Normal 2 2 5 7 5 5" xfId="25593" xr:uid="{00000000-0005-0000-0000-0000F9630000}"/>
    <cellStyle name="Normal 2 2 5 7 5 6" xfId="25594" xr:uid="{00000000-0005-0000-0000-0000FA630000}"/>
    <cellStyle name="Normal 2 2 5 7 5 7" xfId="25595" xr:uid="{00000000-0005-0000-0000-0000FB630000}"/>
    <cellStyle name="Normal 2 2 5 7 5 8" xfId="25596" xr:uid="{00000000-0005-0000-0000-0000FC630000}"/>
    <cellStyle name="Normal 2 2 5 7 5 9" xfId="25597" xr:uid="{00000000-0005-0000-0000-0000FD630000}"/>
    <cellStyle name="Normal 2 2 5 7 6" xfId="25598" xr:uid="{00000000-0005-0000-0000-0000FE630000}"/>
    <cellStyle name="Normal 2 2 5 7 7" xfId="25599" xr:uid="{00000000-0005-0000-0000-0000FF630000}"/>
    <cellStyle name="Normal 2 2 5 7 8" xfId="25600" xr:uid="{00000000-0005-0000-0000-000000640000}"/>
    <cellStyle name="Normal 2 2 5 7 9" xfId="25601" xr:uid="{00000000-0005-0000-0000-000001640000}"/>
    <cellStyle name="Normal 2 2 5 8" xfId="25602" xr:uid="{00000000-0005-0000-0000-000002640000}"/>
    <cellStyle name="Normal 2 2 5 8 10" xfId="25603" xr:uid="{00000000-0005-0000-0000-000003640000}"/>
    <cellStyle name="Normal 2 2 5 8 11" xfId="25604" xr:uid="{00000000-0005-0000-0000-000004640000}"/>
    <cellStyle name="Normal 2 2 5 8 12" xfId="25605" xr:uid="{00000000-0005-0000-0000-000005640000}"/>
    <cellStyle name="Normal 2 2 5 8 13" xfId="25606" xr:uid="{00000000-0005-0000-0000-000006640000}"/>
    <cellStyle name="Normal 2 2 5 8 14" xfId="25607" xr:uid="{00000000-0005-0000-0000-000007640000}"/>
    <cellStyle name="Normal 2 2 5 8 2" xfId="25608" xr:uid="{00000000-0005-0000-0000-000008640000}"/>
    <cellStyle name="Normal 2 2 5 8 2 10" xfId="25609" xr:uid="{00000000-0005-0000-0000-000009640000}"/>
    <cellStyle name="Normal 2 2 5 8 2 2" xfId="25610" xr:uid="{00000000-0005-0000-0000-00000A640000}"/>
    <cellStyle name="Normal 2 2 5 8 2 3" xfId="25611" xr:uid="{00000000-0005-0000-0000-00000B640000}"/>
    <cellStyle name="Normal 2 2 5 8 2 4" xfId="25612" xr:uid="{00000000-0005-0000-0000-00000C640000}"/>
    <cellStyle name="Normal 2 2 5 8 2 5" xfId="25613" xr:uid="{00000000-0005-0000-0000-00000D640000}"/>
    <cellStyle name="Normal 2 2 5 8 2 6" xfId="25614" xr:uid="{00000000-0005-0000-0000-00000E640000}"/>
    <cellStyle name="Normal 2 2 5 8 2 7" xfId="25615" xr:uid="{00000000-0005-0000-0000-00000F640000}"/>
    <cellStyle name="Normal 2 2 5 8 2 8" xfId="25616" xr:uid="{00000000-0005-0000-0000-000010640000}"/>
    <cellStyle name="Normal 2 2 5 8 2 9" xfId="25617" xr:uid="{00000000-0005-0000-0000-000011640000}"/>
    <cellStyle name="Normal 2 2 5 8 3" xfId="25618" xr:uid="{00000000-0005-0000-0000-000012640000}"/>
    <cellStyle name="Normal 2 2 5 8 3 10" xfId="25619" xr:uid="{00000000-0005-0000-0000-000013640000}"/>
    <cellStyle name="Normal 2 2 5 8 3 2" xfId="25620" xr:uid="{00000000-0005-0000-0000-000014640000}"/>
    <cellStyle name="Normal 2 2 5 8 3 3" xfId="25621" xr:uid="{00000000-0005-0000-0000-000015640000}"/>
    <cellStyle name="Normal 2 2 5 8 3 4" xfId="25622" xr:uid="{00000000-0005-0000-0000-000016640000}"/>
    <cellStyle name="Normal 2 2 5 8 3 5" xfId="25623" xr:uid="{00000000-0005-0000-0000-000017640000}"/>
    <cellStyle name="Normal 2 2 5 8 3 6" xfId="25624" xr:uid="{00000000-0005-0000-0000-000018640000}"/>
    <cellStyle name="Normal 2 2 5 8 3 7" xfId="25625" xr:uid="{00000000-0005-0000-0000-000019640000}"/>
    <cellStyle name="Normal 2 2 5 8 3 8" xfId="25626" xr:uid="{00000000-0005-0000-0000-00001A640000}"/>
    <cellStyle name="Normal 2 2 5 8 3 9" xfId="25627" xr:uid="{00000000-0005-0000-0000-00001B640000}"/>
    <cellStyle name="Normal 2 2 5 8 4" xfId="25628" xr:uid="{00000000-0005-0000-0000-00001C640000}"/>
    <cellStyle name="Normal 2 2 5 8 4 10" xfId="25629" xr:uid="{00000000-0005-0000-0000-00001D640000}"/>
    <cellStyle name="Normal 2 2 5 8 4 2" xfId="25630" xr:uid="{00000000-0005-0000-0000-00001E640000}"/>
    <cellStyle name="Normal 2 2 5 8 4 3" xfId="25631" xr:uid="{00000000-0005-0000-0000-00001F640000}"/>
    <cellStyle name="Normal 2 2 5 8 4 4" xfId="25632" xr:uid="{00000000-0005-0000-0000-000020640000}"/>
    <cellStyle name="Normal 2 2 5 8 4 5" xfId="25633" xr:uid="{00000000-0005-0000-0000-000021640000}"/>
    <cellStyle name="Normal 2 2 5 8 4 6" xfId="25634" xr:uid="{00000000-0005-0000-0000-000022640000}"/>
    <cellStyle name="Normal 2 2 5 8 4 7" xfId="25635" xr:uid="{00000000-0005-0000-0000-000023640000}"/>
    <cellStyle name="Normal 2 2 5 8 4 8" xfId="25636" xr:uid="{00000000-0005-0000-0000-000024640000}"/>
    <cellStyle name="Normal 2 2 5 8 4 9" xfId="25637" xr:uid="{00000000-0005-0000-0000-000025640000}"/>
    <cellStyle name="Normal 2 2 5 8 5" xfId="25638" xr:uid="{00000000-0005-0000-0000-000026640000}"/>
    <cellStyle name="Normal 2 2 5 8 5 10" xfId="25639" xr:uid="{00000000-0005-0000-0000-000027640000}"/>
    <cellStyle name="Normal 2 2 5 8 5 2" xfId="25640" xr:uid="{00000000-0005-0000-0000-000028640000}"/>
    <cellStyle name="Normal 2 2 5 8 5 3" xfId="25641" xr:uid="{00000000-0005-0000-0000-000029640000}"/>
    <cellStyle name="Normal 2 2 5 8 5 4" xfId="25642" xr:uid="{00000000-0005-0000-0000-00002A640000}"/>
    <cellStyle name="Normal 2 2 5 8 5 5" xfId="25643" xr:uid="{00000000-0005-0000-0000-00002B640000}"/>
    <cellStyle name="Normal 2 2 5 8 5 6" xfId="25644" xr:uid="{00000000-0005-0000-0000-00002C640000}"/>
    <cellStyle name="Normal 2 2 5 8 5 7" xfId="25645" xr:uid="{00000000-0005-0000-0000-00002D640000}"/>
    <cellStyle name="Normal 2 2 5 8 5 8" xfId="25646" xr:uid="{00000000-0005-0000-0000-00002E640000}"/>
    <cellStyle name="Normal 2 2 5 8 5 9" xfId="25647" xr:uid="{00000000-0005-0000-0000-00002F640000}"/>
    <cellStyle name="Normal 2 2 5 8 6" xfId="25648" xr:uid="{00000000-0005-0000-0000-000030640000}"/>
    <cellStyle name="Normal 2 2 5 8 7" xfId="25649" xr:uid="{00000000-0005-0000-0000-000031640000}"/>
    <cellStyle name="Normal 2 2 5 8 8" xfId="25650" xr:uid="{00000000-0005-0000-0000-000032640000}"/>
    <cellStyle name="Normal 2 2 5 8 9" xfId="25651" xr:uid="{00000000-0005-0000-0000-000033640000}"/>
    <cellStyle name="Normal 2 2 5 9" xfId="25652" xr:uid="{00000000-0005-0000-0000-000034640000}"/>
    <cellStyle name="Normal 2 2 5 9 10" xfId="25653" xr:uid="{00000000-0005-0000-0000-000035640000}"/>
    <cellStyle name="Normal 2 2 5 9 11" xfId="25654" xr:uid="{00000000-0005-0000-0000-000036640000}"/>
    <cellStyle name="Normal 2 2 5 9 12" xfId="25655" xr:uid="{00000000-0005-0000-0000-000037640000}"/>
    <cellStyle name="Normal 2 2 5 9 13" xfId="25656" xr:uid="{00000000-0005-0000-0000-000038640000}"/>
    <cellStyle name="Normal 2 2 5 9 14" xfId="25657" xr:uid="{00000000-0005-0000-0000-000039640000}"/>
    <cellStyle name="Normal 2 2 5 9 2" xfId="25658" xr:uid="{00000000-0005-0000-0000-00003A640000}"/>
    <cellStyle name="Normal 2 2 5 9 2 10" xfId="25659" xr:uid="{00000000-0005-0000-0000-00003B640000}"/>
    <cellStyle name="Normal 2 2 5 9 2 2" xfId="25660" xr:uid="{00000000-0005-0000-0000-00003C640000}"/>
    <cellStyle name="Normal 2 2 5 9 2 3" xfId="25661" xr:uid="{00000000-0005-0000-0000-00003D640000}"/>
    <cellStyle name="Normal 2 2 5 9 2 4" xfId="25662" xr:uid="{00000000-0005-0000-0000-00003E640000}"/>
    <cellStyle name="Normal 2 2 5 9 2 5" xfId="25663" xr:uid="{00000000-0005-0000-0000-00003F640000}"/>
    <cellStyle name="Normal 2 2 5 9 2 6" xfId="25664" xr:uid="{00000000-0005-0000-0000-000040640000}"/>
    <cellStyle name="Normal 2 2 5 9 2 7" xfId="25665" xr:uid="{00000000-0005-0000-0000-000041640000}"/>
    <cellStyle name="Normal 2 2 5 9 2 8" xfId="25666" xr:uid="{00000000-0005-0000-0000-000042640000}"/>
    <cellStyle name="Normal 2 2 5 9 2 9" xfId="25667" xr:uid="{00000000-0005-0000-0000-000043640000}"/>
    <cellStyle name="Normal 2 2 5 9 3" xfId="25668" xr:uid="{00000000-0005-0000-0000-000044640000}"/>
    <cellStyle name="Normal 2 2 5 9 3 10" xfId="25669" xr:uid="{00000000-0005-0000-0000-000045640000}"/>
    <cellStyle name="Normal 2 2 5 9 3 2" xfId="25670" xr:uid="{00000000-0005-0000-0000-000046640000}"/>
    <cellStyle name="Normal 2 2 5 9 3 3" xfId="25671" xr:uid="{00000000-0005-0000-0000-000047640000}"/>
    <cellStyle name="Normal 2 2 5 9 3 4" xfId="25672" xr:uid="{00000000-0005-0000-0000-000048640000}"/>
    <cellStyle name="Normal 2 2 5 9 3 5" xfId="25673" xr:uid="{00000000-0005-0000-0000-000049640000}"/>
    <cellStyle name="Normal 2 2 5 9 3 6" xfId="25674" xr:uid="{00000000-0005-0000-0000-00004A640000}"/>
    <cellStyle name="Normal 2 2 5 9 3 7" xfId="25675" xr:uid="{00000000-0005-0000-0000-00004B640000}"/>
    <cellStyle name="Normal 2 2 5 9 3 8" xfId="25676" xr:uid="{00000000-0005-0000-0000-00004C640000}"/>
    <cellStyle name="Normal 2 2 5 9 3 9" xfId="25677" xr:uid="{00000000-0005-0000-0000-00004D640000}"/>
    <cellStyle name="Normal 2 2 5 9 4" xfId="25678" xr:uid="{00000000-0005-0000-0000-00004E640000}"/>
    <cellStyle name="Normal 2 2 5 9 4 10" xfId="25679" xr:uid="{00000000-0005-0000-0000-00004F640000}"/>
    <cellStyle name="Normal 2 2 5 9 4 2" xfId="25680" xr:uid="{00000000-0005-0000-0000-000050640000}"/>
    <cellStyle name="Normal 2 2 5 9 4 3" xfId="25681" xr:uid="{00000000-0005-0000-0000-000051640000}"/>
    <cellStyle name="Normal 2 2 5 9 4 4" xfId="25682" xr:uid="{00000000-0005-0000-0000-000052640000}"/>
    <cellStyle name="Normal 2 2 5 9 4 5" xfId="25683" xr:uid="{00000000-0005-0000-0000-000053640000}"/>
    <cellStyle name="Normal 2 2 5 9 4 6" xfId="25684" xr:uid="{00000000-0005-0000-0000-000054640000}"/>
    <cellStyle name="Normal 2 2 5 9 4 7" xfId="25685" xr:uid="{00000000-0005-0000-0000-000055640000}"/>
    <cellStyle name="Normal 2 2 5 9 4 8" xfId="25686" xr:uid="{00000000-0005-0000-0000-000056640000}"/>
    <cellStyle name="Normal 2 2 5 9 4 9" xfId="25687" xr:uid="{00000000-0005-0000-0000-000057640000}"/>
    <cellStyle name="Normal 2 2 5 9 5" xfId="25688" xr:uid="{00000000-0005-0000-0000-000058640000}"/>
    <cellStyle name="Normal 2 2 5 9 5 10" xfId="25689" xr:uid="{00000000-0005-0000-0000-000059640000}"/>
    <cellStyle name="Normal 2 2 5 9 5 2" xfId="25690" xr:uid="{00000000-0005-0000-0000-00005A640000}"/>
    <cellStyle name="Normal 2 2 5 9 5 3" xfId="25691" xr:uid="{00000000-0005-0000-0000-00005B640000}"/>
    <cellStyle name="Normal 2 2 5 9 5 4" xfId="25692" xr:uid="{00000000-0005-0000-0000-00005C640000}"/>
    <cellStyle name="Normal 2 2 5 9 5 5" xfId="25693" xr:uid="{00000000-0005-0000-0000-00005D640000}"/>
    <cellStyle name="Normal 2 2 5 9 5 6" xfId="25694" xr:uid="{00000000-0005-0000-0000-00005E640000}"/>
    <cellStyle name="Normal 2 2 5 9 5 7" xfId="25695" xr:uid="{00000000-0005-0000-0000-00005F640000}"/>
    <cellStyle name="Normal 2 2 5 9 5 8" xfId="25696" xr:uid="{00000000-0005-0000-0000-000060640000}"/>
    <cellStyle name="Normal 2 2 5 9 5 9" xfId="25697" xr:uid="{00000000-0005-0000-0000-000061640000}"/>
    <cellStyle name="Normal 2 2 5 9 6" xfId="25698" xr:uid="{00000000-0005-0000-0000-000062640000}"/>
    <cellStyle name="Normal 2 2 5 9 7" xfId="25699" xr:uid="{00000000-0005-0000-0000-000063640000}"/>
    <cellStyle name="Normal 2 2 5 9 8" xfId="25700" xr:uid="{00000000-0005-0000-0000-000064640000}"/>
    <cellStyle name="Normal 2 2 5 9 9" xfId="25701" xr:uid="{00000000-0005-0000-0000-000065640000}"/>
    <cellStyle name="Normal 2 2 50" xfId="25702" xr:uid="{00000000-0005-0000-0000-000066640000}"/>
    <cellStyle name="Normal 2 2 51" xfId="25703" xr:uid="{00000000-0005-0000-0000-000067640000}"/>
    <cellStyle name="Normal 2 2 52" xfId="25704" xr:uid="{00000000-0005-0000-0000-000068640000}"/>
    <cellStyle name="Normal 2 2 6" xfId="25705" xr:uid="{00000000-0005-0000-0000-000069640000}"/>
    <cellStyle name="Normal 2 2 6 2" xfId="25706" xr:uid="{00000000-0005-0000-0000-00006A640000}"/>
    <cellStyle name="Normal 2 2 6 3" xfId="25707" xr:uid="{00000000-0005-0000-0000-00006B640000}"/>
    <cellStyle name="Normal 2 2 7" xfId="25708" xr:uid="{00000000-0005-0000-0000-00006C640000}"/>
    <cellStyle name="Normal 2 2 7 2" xfId="25709" xr:uid="{00000000-0005-0000-0000-00006D640000}"/>
    <cellStyle name="Normal 2 2 7 3" xfId="25710" xr:uid="{00000000-0005-0000-0000-00006E640000}"/>
    <cellStyle name="Normal 2 2 8" xfId="25711" xr:uid="{00000000-0005-0000-0000-00006F640000}"/>
    <cellStyle name="Normal 2 2 8 2" xfId="25712" xr:uid="{00000000-0005-0000-0000-000070640000}"/>
    <cellStyle name="Normal 2 2 8 3" xfId="25713" xr:uid="{00000000-0005-0000-0000-000071640000}"/>
    <cellStyle name="Normal 2 2 9" xfId="25714" xr:uid="{00000000-0005-0000-0000-000072640000}"/>
    <cellStyle name="Normal 2 2 9 2" xfId="25715" xr:uid="{00000000-0005-0000-0000-000073640000}"/>
    <cellStyle name="Normal 2 2 9 3" xfId="25716" xr:uid="{00000000-0005-0000-0000-000074640000}"/>
    <cellStyle name="Normal 2 20" xfId="25717" xr:uid="{00000000-0005-0000-0000-000075640000}"/>
    <cellStyle name="Normal 2 20 2" xfId="25718" xr:uid="{00000000-0005-0000-0000-000076640000}"/>
    <cellStyle name="Normal 2 20 3" xfId="25719" xr:uid="{00000000-0005-0000-0000-000077640000}"/>
    <cellStyle name="Normal 2 21" xfId="25720" xr:uid="{00000000-0005-0000-0000-000078640000}"/>
    <cellStyle name="Normal 2 21 2" xfId="25721" xr:uid="{00000000-0005-0000-0000-000079640000}"/>
    <cellStyle name="Normal 2 21 3" xfId="25722" xr:uid="{00000000-0005-0000-0000-00007A640000}"/>
    <cellStyle name="Normal 2 22" xfId="25723" xr:uid="{00000000-0005-0000-0000-00007B640000}"/>
    <cellStyle name="Normal 2 22 2" xfId="25724" xr:uid="{00000000-0005-0000-0000-00007C640000}"/>
    <cellStyle name="Normal 2 22 3" xfId="25725" xr:uid="{00000000-0005-0000-0000-00007D640000}"/>
    <cellStyle name="Normal 2 23" xfId="25726" xr:uid="{00000000-0005-0000-0000-00007E640000}"/>
    <cellStyle name="Normal 2 23 2" xfId="25727" xr:uid="{00000000-0005-0000-0000-00007F640000}"/>
    <cellStyle name="Normal 2 23 2 2" xfId="25728" xr:uid="{00000000-0005-0000-0000-000080640000}"/>
    <cellStyle name="Normal 2 23 3" xfId="25729" xr:uid="{00000000-0005-0000-0000-000081640000}"/>
    <cellStyle name="Normal 2 24" xfId="25730" xr:uid="{00000000-0005-0000-0000-000082640000}"/>
    <cellStyle name="Normal 2 24 2" xfId="25731" xr:uid="{00000000-0005-0000-0000-000083640000}"/>
    <cellStyle name="Normal 2 24 3" xfId="25732" xr:uid="{00000000-0005-0000-0000-000084640000}"/>
    <cellStyle name="Normal 2 25" xfId="25733" xr:uid="{00000000-0005-0000-0000-000085640000}"/>
    <cellStyle name="Normal 2 25 2" xfId="25734" xr:uid="{00000000-0005-0000-0000-000086640000}"/>
    <cellStyle name="Normal 2 25 3" xfId="25735" xr:uid="{00000000-0005-0000-0000-000087640000}"/>
    <cellStyle name="Normal 2 26" xfId="25736" xr:uid="{00000000-0005-0000-0000-000088640000}"/>
    <cellStyle name="Normal 2 26 2" xfId="25737" xr:uid="{00000000-0005-0000-0000-000089640000}"/>
    <cellStyle name="Normal 2 26 3" xfId="25738" xr:uid="{00000000-0005-0000-0000-00008A640000}"/>
    <cellStyle name="Normal 2 27" xfId="25739" xr:uid="{00000000-0005-0000-0000-00008B640000}"/>
    <cellStyle name="Normal 2 27 2" xfId="25740" xr:uid="{00000000-0005-0000-0000-00008C640000}"/>
    <cellStyle name="Normal 2 27 3" xfId="25741" xr:uid="{00000000-0005-0000-0000-00008D640000}"/>
    <cellStyle name="Normal 2 28" xfId="25742" xr:uid="{00000000-0005-0000-0000-00008E640000}"/>
    <cellStyle name="Normal 2 28 2" xfId="25743" xr:uid="{00000000-0005-0000-0000-00008F640000}"/>
    <cellStyle name="Normal 2 28 3" xfId="25744" xr:uid="{00000000-0005-0000-0000-000090640000}"/>
    <cellStyle name="Normal 2 29" xfId="25745" xr:uid="{00000000-0005-0000-0000-000091640000}"/>
    <cellStyle name="Normal 2 29 2" xfId="25746" xr:uid="{00000000-0005-0000-0000-000092640000}"/>
    <cellStyle name="Normal 2 29 3" xfId="25747" xr:uid="{00000000-0005-0000-0000-000093640000}"/>
    <cellStyle name="Normal 2 3" xfId="424" xr:uid="{00000000-0005-0000-0000-0000A8010000}"/>
    <cellStyle name="Normal 2 3 10" xfId="25749" xr:uid="{00000000-0005-0000-0000-000095640000}"/>
    <cellStyle name="Normal 2 3 10 10" xfId="25750" xr:uid="{00000000-0005-0000-0000-000096640000}"/>
    <cellStyle name="Normal 2 3 10 11" xfId="25751" xr:uid="{00000000-0005-0000-0000-000097640000}"/>
    <cellStyle name="Normal 2 3 10 12" xfId="25752" xr:uid="{00000000-0005-0000-0000-000098640000}"/>
    <cellStyle name="Normal 2 3 10 13" xfId="25753" xr:uid="{00000000-0005-0000-0000-000099640000}"/>
    <cellStyle name="Normal 2 3 10 14" xfId="25754" xr:uid="{00000000-0005-0000-0000-00009A640000}"/>
    <cellStyle name="Normal 2 3 10 2" xfId="25755" xr:uid="{00000000-0005-0000-0000-00009B640000}"/>
    <cellStyle name="Normal 2 3 10 2 10" xfId="25756" xr:uid="{00000000-0005-0000-0000-00009C640000}"/>
    <cellStyle name="Normal 2 3 10 2 2" xfId="25757" xr:uid="{00000000-0005-0000-0000-00009D640000}"/>
    <cellStyle name="Normal 2 3 10 2 3" xfId="25758" xr:uid="{00000000-0005-0000-0000-00009E640000}"/>
    <cellStyle name="Normal 2 3 10 2 4" xfId="25759" xr:uid="{00000000-0005-0000-0000-00009F640000}"/>
    <cellStyle name="Normal 2 3 10 2 5" xfId="25760" xr:uid="{00000000-0005-0000-0000-0000A0640000}"/>
    <cellStyle name="Normal 2 3 10 2 6" xfId="25761" xr:uid="{00000000-0005-0000-0000-0000A1640000}"/>
    <cellStyle name="Normal 2 3 10 2 7" xfId="25762" xr:uid="{00000000-0005-0000-0000-0000A2640000}"/>
    <cellStyle name="Normal 2 3 10 2 8" xfId="25763" xr:uid="{00000000-0005-0000-0000-0000A3640000}"/>
    <cellStyle name="Normal 2 3 10 2 9" xfId="25764" xr:uid="{00000000-0005-0000-0000-0000A4640000}"/>
    <cellStyle name="Normal 2 3 10 3" xfId="25765" xr:uid="{00000000-0005-0000-0000-0000A5640000}"/>
    <cellStyle name="Normal 2 3 10 3 10" xfId="25766" xr:uid="{00000000-0005-0000-0000-0000A6640000}"/>
    <cellStyle name="Normal 2 3 10 3 2" xfId="25767" xr:uid="{00000000-0005-0000-0000-0000A7640000}"/>
    <cellStyle name="Normal 2 3 10 3 3" xfId="25768" xr:uid="{00000000-0005-0000-0000-0000A8640000}"/>
    <cellStyle name="Normal 2 3 10 3 4" xfId="25769" xr:uid="{00000000-0005-0000-0000-0000A9640000}"/>
    <cellStyle name="Normal 2 3 10 3 5" xfId="25770" xr:uid="{00000000-0005-0000-0000-0000AA640000}"/>
    <cellStyle name="Normal 2 3 10 3 6" xfId="25771" xr:uid="{00000000-0005-0000-0000-0000AB640000}"/>
    <cellStyle name="Normal 2 3 10 3 7" xfId="25772" xr:uid="{00000000-0005-0000-0000-0000AC640000}"/>
    <cellStyle name="Normal 2 3 10 3 8" xfId="25773" xr:uid="{00000000-0005-0000-0000-0000AD640000}"/>
    <cellStyle name="Normal 2 3 10 3 9" xfId="25774" xr:uid="{00000000-0005-0000-0000-0000AE640000}"/>
    <cellStyle name="Normal 2 3 10 4" xfId="25775" xr:uid="{00000000-0005-0000-0000-0000AF640000}"/>
    <cellStyle name="Normal 2 3 10 4 10" xfId="25776" xr:uid="{00000000-0005-0000-0000-0000B0640000}"/>
    <cellStyle name="Normal 2 3 10 4 2" xfId="25777" xr:uid="{00000000-0005-0000-0000-0000B1640000}"/>
    <cellStyle name="Normal 2 3 10 4 3" xfId="25778" xr:uid="{00000000-0005-0000-0000-0000B2640000}"/>
    <cellStyle name="Normal 2 3 10 4 4" xfId="25779" xr:uid="{00000000-0005-0000-0000-0000B3640000}"/>
    <cellStyle name="Normal 2 3 10 4 5" xfId="25780" xr:uid="{00000000-0005-0000-0000-0000B4640000}"/>
    <cellStyle name="Normal 2 3 10 4 6" xfId="25781" xr:uid="{00000000-0005-0000-0000-0000B5640000}"/>
    <cellStyle name="Normal 2 3 10 4 7" xfId="25782" xr:uid="{00000000-0005-0000-0000-0000B6640000}"/>
    <cellStyle name="Normal 2 3 10 4 8" xfId="25783" xr:uid="{00000000-0005-0000-0000-0000B7640000}"/>
    <cellStyle name="Normal 2 3 10 4 9" xfId="25784" xr:uid="{00000000-0005-0000-0000-0000B8640000}"/>
    <cellStyle name="Normal 2 3 10 5" xfId="25785" xr:uid="{00000000-0005-0000-0000-0000B9640000}"/>
    <cellStyle name="Normal 2 3 10 5 10" xfId="25786" xr:uid="{00000000-0005-0000-0000-0000BA640000}"/>
    <cellStyle name="Normal 2 3 10 5 2" xfId="25787" xr:uid="{00000000-0005-0000-0000-0000BB640000}"/>
    <cellStyle name="Normal 2 3 10 5 3" xfId="25788" xr:uid="{00000000-0005-0000-0000-0000BC640000}"/>
    <cellStyle name="Normal 2 3 10 5 4" xfId="25789" xr:uid="{00000000-0005-0000-0000-0000BD640000}"/>
    <cellStyle name="Normal 2 3 10 5 5" xfId="25790" xr:uid="{00000000-0005-0000-0000-0000BE640000}"/>
    <cellStyle name="Normal 2 3 10 5 6" xfId="25791" xr:uid="{00000000-0005-0000-0000-0000BF640000}"/>
    <cellStyle name="Normal 2 3 10 5 7" xfId="25792" xr:uid="{00000000-0005-0000-0000-0000C0640000}"/>
    <cellStyle name="Normal 2 3 10 5 8" xfId="25793" xr:uid="{00000000-0005-0000-0000-0000C1640000}"/>
    <cellStyle name="Normal 2 3 10 5 9" xfId="25794" xr:uid="{00000000-0005-0000-0000-0000C2640000}"/>
    <cellStyle name="Normal 2 3 10 6" xfId="25795" xr:uid="{00000000-0005-0000-0000-0000C3640000}"/>
    <cellStyle name="Normal 2 3 10 7" xfId="25796" xr:uid="{00000000-0005-0000-0000-0000C4640000}"/>
    <cellStyle name="Normal 2 3 10 8" xfId="25797" xr:uid="{00000000-0005-0000-0000-0000C5640000}"/>
    <cellStyle name="Normal 2 3 10 9" xfId="25798" xr:uid="{00000000-0005-0000-0000-0000C6640000}"/>
    <cellStyle name="Normal 2 3 11" xfId="25799" xr:uid="{00000000-0005-0000-0000-0000C7640000}"/>
    <cellStyle name="Normal 2 3 11 10" xfId="25800" xr:uid="{00000000-0005-0000-0000-0000C8640000}"/>
    <cellStyle name="Normal 2 3 11 11" xfId="25801" xr:uid="{00000000-0005-0000-0000-0000C9640000}"/>
    <cellStyle name="Normal 2 3 11 12" xfId="25802" xr:uid="{00000000-0005-0000-0000-0000CA640000}"/>
    <cellStyle name="Normal 2 3 11 13" xfId="25803" xr:uid="{00000000-0005-0000-0000-0000CB640000}"/>
    <cellStyle name="Normal 2 3 11 14" xfId="25804" xr:uid="{00000000-0005-0000-0000-0000CC640000}"/>
    <cellStyle name="Normal 2 3 11 2" xfId="25805" xr:uid="{00000000-0005-0000-0000-0000CD640000}"/>
    <cellStyle name="Normal 2 3 11 2 10" xfId="25806" xr:uid="{00000000-0005-0000-0000-0000CE640000}"/>
    <cellStyle name="Normal 2 3 11 2 2" xfId="25807" xr:uid="{00000000-0005-0000-0000-0000CF640000}"/>
    <cellStyle name="Normal 2 3 11 2 3" xfId="25808" xr:uid="{00000000-0005-0000-0000-0000D0640000}"/>
    <cellStyle name="Normal 2 3 11 2 4" xfId="25809" xr:uid="{00000000-0005-0000-0000-0000D1640000}"/>
    <cellStyle name="Normal 2 3 11 2 5" xfId="25810" xr:uid="{00000000-0005-0000-0000-0000D2640000}"/>
    <cellStyle name="Normal 2 3 11 2 6" xfId="25811" xr:uid="{00000000-0005-0000-0000-0000D3640000}"/>
    <cellStyle name="Normal 2 3 11 2 7" xfId="25812" xr:uid="{00000000-0005-0000-0000-0000D4640000}"/>
    <cellStyle name="Normal 2 3 11 2 8" xfId="25813" xr:uid="{00000000-0005-0000-0000-0000D5640000}"/>
    <cellStyle name="Normal 2 3 11 2 9" xfId="25814" xr:uid="{00000000-0005-0000-0000-0000D6640000}"/>
    <cellStyle name="Normal 2 3 11 3" xfId="25815" xr:uid="{00000000-0005-0000-0000-0000D7640000}"/>
    <cellStyle name="Normal 2 3 11 3 10" xfId="25816" xr:uid="{00000000-0005-0000-0000-0000D8640000}"/>
    <cellStyle name="Normal 2 3 11 3 2" xfId="25817" xr:uid="{00000000-0005-0000-0000-0000D9640000}"/>
    <cellStyle name="Normal 2 3 11 3 3" xfId="25818" xr:uid="{00000000-0005-0000-0000-0000DA640000}"/>
    <cellStyle name="Normal 2 3 11 3 4" xfId="25819" xr:uid="{00000000-0005-0000-0000-0000DB640000}"/>
    <cellStyle name="Normal 2 3 11 3 5" xfId="25820" xr:uid="{00000000-0005-0000-0000-0000DC640000}"/>
    <cellStyle name="Normal 2 3 11 3 6" xfId="25821" xr:uid="{00000000-0005-0000-0000-0000DD640000}"/>
    <cellStyle name="Normal 2 3 11 3 7" xfId="25822" xr:uid="{00000000-0005-0000-0000-0000DE640000}"/>
    <cellStyle name="Normal 2 3 11 3 8" xfId="25823" xr:uid="{00000000-0005-0000-0000-0000DF640000}"/>
    <cellStyle name="Normal 2 3 11 3 9" xfId="25824" xr:uid="{00000000-0005-0000-0000-0000E0640000}"/>
    <cellStyle name="Normal 2 3 11 4" xfId="25825" xr:uid="{00000000-0005-0000-0000-0000E1640000}"/>
    <cellStyle name="Normal 2 3 11 4 10" xfId="25826" xr:uid="{00000000-0005-0000-0000-0000E2640000}"/>
    <cellStyle name="Normal 2 3 11 4 2" xfId="25827" xr:uid="{00000000-0005-0000-0000-0000E3640000}"/>
    <cellStyle name="Normal 2 3 11 4 3" xfId="25828" xr:uid="{00000000-0005-0000-0000-0000E4640000}"/>
    <cellStyle name="Normal 2 3 11 4 4" xfId="25829" xr:uid="{00000000-0005-0000-0000-0000E5640000}"/>
    <cellStyle name="Normal 2 3 11 4 5" xfId="25830" xr:uid="{00000000-0005-0000-0000-0000E6640000}"/>
    <cellStyle name="Normal 2 3 11 4 6" xfId="25831" xr:uid="{00000000-0005-0000-0000-0000E7640000}"/>
    <cellStyle name="Normal 2 3 11 4 7" xfId="25832" xr:uid="{00000000-0005-0000-0000-0000E8640000}"/>
    <cellStyle name="Normal 2 3 11 4 8" xfId="25833" xr:uid="{00000000-0005-0000-0000-0000E9640000}"/>
    <cellStyle name="Normal 2 3 11 4 9" xfId="25834" xr:uid="{00000000-0005-0000-0000-0000EA640000}"/>
    <cellStyle name="Normal 2 3 11 5" xfId="25835" xr:uid="{00000000-0005-0000-0000-0000EB640000}"/>
    <cellStyle name="Normal 2 3 11 5 10" xfId="25836" xr:uid="{00000000-0005-0000-0000-0000EC640000}"/>
    <cellStyle name="Normal 2 3 11 5 2" xfId="25837" xr:uid="{00000000-0005-0000-0000-0000ED640000}"/>
    <cellStyle name="Normal 2 3 11 5 3" xfId="25838" xr:uid="{00000000-0005-0000-0000-0000EE640000}"/>
    <cellStyle name="Normal 2 3 11 5 4" xfId="25839" xr:uid="{00000000-0005-0000-0000-0000EF640000}"/>
    <cellStyle name="Normal 2 3 11 5 5" xfId="25840" xr:uid="{00000000-0005-0000-0000-0000F0640000}"/>
    <cellStyle name="Normal 2 3 11 5 6" xfId="25841" xr:uid="{00000000-0005-0000-0000-0000F1640000}"/>
    <cellStyle name="Normal 2 3 11 5 7" xfId="25842" xr:uid="{00000000-0005-0000-0000-0000F2640000}"/>
    <cellStyle name="Normal 2 3 11 5 8" xfId="25843" xr:uid="{00000000-0005-0000-0000-0000F3640000}"/>
    <cellStyle name="Normal 2 3 11 5 9" xfId="25844" xr:uid="{00000000-0005-0000-0000-0000F4640000}"/>
    <cellStyle name="Normal 2 3 11 6" xfId="25845" xr:uid="{00000000-0005-0000-0000-0000F5640000}"/>
    <cellStyle name="Normal 2 3 11 7" xfId="25846" xr:uid="{00000000-0005-0000-0000-0000F6640000}"/>
    <cellStyle name="Normal 2 3 11 8" xfId="25847" xr:uid="{00000000-0005-0000-0000-0000F7640000}"/>
    <cellStyle name="Normal 2 3 11 9" xfId="25848" xr:uid="{00000000-0005-0000-0000-0000F8640000}"/>
    <cellStyle name="Normal 2 3 12" xfId="25849" xr:uid="{00000000-0005-0000-0000-0000F9640000}"/>
    <cellStyle name="Normal 2 3 12 10" xfId="25850" xr:uid="{00000000-0005-0000-0000-0000FA640000}"/>
    <cellStyle name="Normal 2 3 12 11" xfId="25851" xr:uid="{00000000-0005-0000-0000-0000FB640000}"/>
    <cellStyle name="Normal 2 3 12 12" xfId="25852" xr:uid="{00000000-0005-0000-0000-0000FC640000}"/>
    <cellStyle name="Normal 2 3 12 13" xfId="25853" xr:uid="{00000000-0005-0000-0000-0000FD640000}"/>
    <cellStyle name="Normal 2 3 12 14" xfId="25854" xr:uid="{00000000-0005-0000-0000-0000FE640000}"/>
    <cellStyle name="Normal 2 3 12 2" xfId="25855" xr:uid="{00000000-0005-0000-0000-0000FF640000}"/>
    <cellStyle name="Normal 2 3 12 2 10" xfId="25856" xr:uid="{00000000-0005-0000-0000-000000650000}"/>
    <cellStyle name="Normal 2 3 12 2 2" xfId="25857" xr:uid="{00000000-0005-0000-0000-000001650000}"/>
    <cellStyle name="Normal 2 3 12 2 3" xfId="25858" xr:uid="{00000000-0005-0000-0000-000002650000}"/>
    <cellStyle name="Normal 2 3 12 2 4" xfId="25859" xr:uid="{00000000-0005-0000-0000-000003650000}"/>
    <cellStyle name="Normal 2 3 12 2 5" xfId="25860" xr:uid="{00000000-0005-0000-0000-000004650000}"/>
    <cellStyle name="Normal 2 3 12 2 6" xfId="25861" xr:uid="{00000000-0005-0000-0000-000005650000}"/>
    <cellStyle name="Normal 2 3 12 2 7" xfId="25862" xr:uid="{00000000-0005-0000-0000-000006650000}"/>
    <cellStyle name="Normal 2 3 12 2 8" xfId="25863" xr:uid="{00000000-0005-0000-0000-000007650000}"/>
    <cellStyle name="Normal 2 3 12 2 9" xfId="25864" xr:uid="{00000000-0005-0000-0000-000008650000}"/>
    <cellStyle name="Normal 2 3 12 3" xfId="25865" xr:uid="{00000000-0005-0000-0000-000009650000}"/>
    <cellStyle name="Normal 2 3 12 3 10" xfId="25866" xr:uid="{00000000-0005-0000-0000-00000A650000}"/>
    <cellStyle name="Normal 2 3 12 3 2" xfId="25867" xr:uid="{00000000-0005-0000-0000-00000B650000}"/>
    <cellStyle name="Normal 2 3 12 3 3" xfId="25868" xr:uid="{00000000-0005-0000-0000-00000C650000}"/>
    <cellStyle name="Normal 2 3 12 3 4" xfId="25869" xr:uid="{00000000-0005-0000-0000-00000D650000}"/>
    <cellStyle name="Normal 2 3 12 3 5" xfId="25870" xr:uid="{00000000-0005-0000-0000-00000E650000}"/>
    <cellStyle name="Normal 2 3 12 3 6" xfId="25871" xr:uid="{00000000-0005-0000-0000-00000F650000}"/>
    <cellStyle name="Normal 2 3 12 3 7" xfId="25872" xr:uid="{00000000-0005-0000-0000-000010650000}"/>
    <cellStyle name="Normal 2 3 12 3 8" xfId="25873" xr:uid="{00000000-0005-0000-0000-000011650000}"/>
    <cellStyle name="Normal 2 3 12 3 9" xfId="25874" xr:uid="{00000000-0005-0000-0000-000012650000}"/>
    <cellStyle name="Normal 2 3 12 4" xfId="25875" xr:uid="{00000000-0005-0000-0000-000013650000}"/>
    <cellStyle name="Normal 2 3 12 4 10" xfId="25876" xr:uid="{00000000-0005-0000-0000-000014650000}"/>
    <cellStyle name="Normal 2 3 12 4 2" xfId="25877" xr:uid="{00000000-0005-0000-0000-000015650000}"/>
    <cellStyle name="Normal 2 3 12 4 3" xfId="25878" xr:uid="{00000000-0005-0000-0000-000016650000}"/>
    <cellStyle name="Normal 2 3 12 4 4" xfId="25879" xr:uid="{00000000-0005-0000-0000-000017650000}"/>
    <cellStyle name="Normal 2 3 12 4 5" xfId="25880" xr:uid="{00000000-0005-0000-0000-000018650000}"/>
    <cellStyle name="Normal 2 3 12 4 6" xfId="25881" xr:uid="{00000000-0005-0000-0000-000019650000}"/>
    <cellStyle name="Normal 2 3 12 4 7" xfId="25882" xr:uid="{00000000-0005-0000-0000-00001A650000}"/>
    <cellStyle name="Normal 2 3 12 4 8" xfId="25883" xr:uid="{00000000-0005-0000-0000-00001B650000}"/>
    <cellStyle name="Normal 2 3 12 4 9" xfId="25884" xr:uid="{00000000-0005-0000-0000-00001C650000}"/>
    <cellStyle name="Normal 2 3 12 5" xfId="25885" xr:uid="{00000000-0005-0000-0000-00001D650000}"/>
    <cellStyle name="Normal 2 3 12 5 10" xfId="25886" xr:uid="{00000000-0005-0000-0000-00001E650000}"/>
    <cellStyle name="Normal 2 3 12 5 2" xfId="25887" xr:uid="{00000000-0005-0000-0000-00001F650000}"/>
    <cellStyle name="Normal 2 3 12 5 3" xfId="25888" xr:uid="{00000000-0005-0000-0000-000020650000}"/>
    <cellStyle name="Normal 2 3 12 5 4" xfId="25889" xr:uid="{00000000-0005-0000-0000-000021650000}"/>
    <cellStyle name="Normal 2 3 12 5 5" xfId="25890" xr:uid="{00000000-0005-0000-0000-000022650000}"/>
    <cellStyle name="Normal 2 3 12 5 6" xfId="25891" xr:uid="{00000000-0005-0000-0000-000023650000}"/>
    <cellStyle name="Normal 2 3 12 5 7" xfId="25892" xr:uid="{00000000-0005-0000-0000-000024650000}"/>
    <cellStyle name="Normal 2 3 12 5 8" xfId="25893" xr:uid="{00000000-0005-0000-0000-000025650000}"/>
    <cellStyle name="Normal 2 3 12 5 9" xfId="25894" xr:uid="{00000000-0005-0000-0000-000026650000}"/>
    <cellStyle name="Normal 2 3 12 6" xfId="25895" xr:uid="{00000000-0005-0000-0000-000027650000}"/>
    <cellStyle name="Normal 2 3 12 7" xfId="25896" xr:uid="{00000000-0005-0000-0000-000028650000}"/>
    <cellStyle name="Normal 2 3 12 8" xfId="25897" xr:uid="{00000000-0005-0000-0000-000029650000}"/>
    <cellStyle name="Normal 2 3 12 9" xfId="25898" xr:uid="{00000000-0005-0000-0000-00002A650000}"/>
    <cellStyle name="Normal 2 3 13" xfId="25899" xr:uid="{00000000-0005-0000-0000-00002B650000}"/>
    <cellStyle name="Normal 2 3 13 10" xfId="25900" xr:uid="{00000000-0005-0000-0000-00002C650000}"/>
    <cellStyle name="Normal 2 3 13 11" xfId="25901" xr:uid="{00000000-0005-0000-0000-00002D650000}"/>
    <cellStyle name="Normal 2 3 13 12" xfId="25902" xr:uid="{00000000-0005-0000-0000-00002E650000}"/>
    <cellStyle name="Normal 2 3 13 13" xfId="25903" xr:uid="{00000000-0005-0000-0000-00002F650000}"/>
    <cellStyle name="Normal 2 3 13 14" xfId="25904" xr:uid="{00000000-0005-0000-0000-000030650000}"/>
    <cellStyle name="Normal 2 3 13 2" xfId="25905" xr:uid="{00000000-0005-0000-0000-000031650000}"/>
    <cellStyle name="Normal 2 3 13 2 10" xfId="25906" xr:uid="{00000000-0005-0000-0000-000032650000}"/>
    <cellStyle name="Normal 2 3 13 2 2" xfId="25907" xr:uid="{00000000-0005-0000-0000-000033650000}"/>
    <cellStyle name="Normal 2 3 13 2 3" xfId="25908" xr:uid="{00000000-0005-0000-0000-000034650000}"/>
    <cellStyle name="Normal 2 3 13 2 4" xfId="25909" xr:uid="{00000000-0005-0000-0000-000035650000}"/>
    <cellStyle name="Normal 2 3 13 2 5" xfId="25910" xr:uid="{00000000-0005-0000-0000-000036650000}"/>
    <cellStyle name="Normal 2 3 13 2 6" xfId="25911" xr:uid="{00000000-0005-0000-0000-000037650000}"/>
    <cellStyle name="Normal 2 3 13 2 7" xfId="25912" xr:uid="{00000000-0005-0000-0000-000038650000}"/>
    <cellStyle name="Normal 2 3 13 2 8" xfId="25913" xr:uid="{00000000-0005-0000-0000-000039650000}"/>
    <cellStyle name="Normal 2 3 13 2 9" xfId="25914" xr:uid="{00000000-0005-0000-0000-00003A650000}"/>
    <cellStyle name="Normal 2 3 13 3" xfId="25915" xr:uid="{00000000-0005-0000-0000-00003B650000}"/>
    <cellStyle name="Normal 2 3 13 3 10" xfId="25916" xr:uid="{00000000-0005-0000-0000-00003C650000}"/>
    <cellStyle name="Normal 2 3 13 3 2" xfId="25917" xr:uid="{00000000-0005-0000-0000-00003D650000}"/>
    <cellStyle name="Normal 2 3 13 3 3" xfId="25918" xr:uid="{00000000-0005-0000-0000-00003E650000}"/>
    <cellStyle name="Normal 2 3 13 3 4" xfId="25919" xr:uid="{00000000-0005-0000-0000-00003F650000}"/>
    <cellStyle name="Normal 2 3 13 3 5" xfId="25920" xr:uid="{00000000-0005-0000-0000-000040650000}"/>
    <cellStyle name="Normal 2 3 13 3 6" xfId="25921" xr:uid="{00000000-0005-0000-0000-000041650000}"/>
    <cellStyle name="Normal 2 3 13 3 7" xfId="25922" xr:uid="{00000000-0005-0000-0000-000042650000}"/>
    <cellStyle name="Normal 2 3 13 3 8" xfId="25923" xr:uid="{00000000-0005-0000-0000-000043650000}"/>
    <cellStyle name="Normal 2 3 13 3 9" xfId="25924" xr:uid="{00000000-0005-0000-0000-000044650000}"/>
    <cellStyle name="Normal 2 3 13 4" xfId="25925" xr:uid="{00000000-0005-0000-0000-000045650000}"/>
    <cellStyle name="Normal 2 3 13 4 10" xfId="25926" xr:uid="{00000000-0005-0000-0000-000046650000}"/>
    <cellStyle name="Normal 2 3 13 4 2" xfId="25927" xr:uid="{00000000-0005-0000-0000-000047650000}"/>
    <cellStyle name="Normal 2 3 13 4 3" xfId="25928" xr:uid="{00000000-0005-0000-0000-000048650000}"/>
    <cellStyle name="Normal 2 3 13 4 4" xfId="25929" xr:uid="{00000000-0005-0000-0000-000049650000}"/>
    <cellStyle name="Normal 2 3 13 4 5" xfId="25930" xr:uid="{00000000-0005-0000-0000-00004A650000}"/>
    <cellStyle name="Normal 2 3 13 4 6" xfId="25931" xr:uid="{00000000-0005-0000-0000-00004B650000}"/>
    <cellStyle name="Normal 2 3 13 4 7" xfId="25932" xr:uid="{00000000-0005-0000-0000-00004C650000}"/>
    <cellStyle name="Normal 2 3 13 4 8" xfId="25933" xr:uid="{00000000-0005-0000-0000-00004D650000}"/>
    <cellStyle name="Normal 2 3 13 4 9" xfId="25934" xr:uid="{00000000-0005-0000-0000-00004E650000}"/>
    <cellStyle name="Normal 2 3 13 5" xfId="25935" xr:uid="{00000000-0005-0000-0000-00004F650000}"/>
    <cellStyle name="Normal 2 3 13 5 10" xfId="25936" xr:uid="{00000000-0005-0000-0000-000050650000}"/>
    <cellStyle name="Normal 2 3 13 5 2" xfId="25937" xr:uid="{00000000-0005-0000-0000-000051650000}"/>
    <cellStyle name="Normal 2 3 13 5 3" xfId="25938" xr:uid="{00000000-0005-0000-0000-000052650000}"/>
    <cellStyle name="Normal 2 3 13 5 4" xfId="25939" xr:uid="{00000000-0005-0000-0000-000053650000}"/>
    <cellStyle name="Normal 2 3 13 5 5" xfId="25940" xr:uid="{00000000-0005-0000-0000-000054650000}"/>
    <cellStyle name="Normal 2 3 13 5 6" xfId="25941" xr:uid="{00000000-0005-0000-0000-000055650000}"/>
    <cellStyle name="Normal 2 3 13 5 7" xfId="25942" xr:uid="{00000000-0005-0000-0000-000056650000}"/>
    <cellStyle name="Normal 2 3 13 5 8" xfId="25943" xr:uid="{00000000-0005-0000-0000-000057650000}"/>
    <cellStyle name="Normal 2 3 13 5 9" xfId="25944" xr:uid="{00000000-0005-0000-0000-000058650000}"/>
    <cellStyle name="Normal 2 3 13 6" xfId="25945" xr:uid="{00000000-0005-0000-0000-000059650000}"/>
    <cellStyle name="Normal 2 3 13 7" xfId="25946" xr:uid="{00000000-0005-0000-0000-00005A650000}"/>
    <cellStyle name="Normal 2 3 13 8" xfId="25947" xr:uid="{00000000-0005-0000-0000-00005B650000}"/>
    <cellStyle name="Normal 2 3 13 9" xfId="25948" xr:uid="{00000000-0005-0000-0000-00005C650000}"/>
    <cellStyle name="Normal 2 3 14" xfId="25949" xr:uid="{00000000-0005-0000-0000-00005D650000}"/>
    <cellStyle name="Normal 2 3 14 10" xfId="25950" xr:uid="{00000000-0005-0000-0000-00005E650000}"/>
    <cellStyle name="Normal 2 3 14 11" xfId="25951" xr:uid="{00000000-0005-0000-0000-00005F650000}"/>
    <cellStyle name="Normal 2 3 14 12" xfId="25952" xr:uid="{00000000-0005-0000-0000-000060650000}"/>
    <cellStyle name="Normal 2 3 14 13" xfId="25953" xr:uid="{00000000-0005-0000-0000-000061650000}"/>
    <cellStyle name="Normal 2 3 14 14" xfId="25954" xr:uid="{00000000-0005-0000-0000-000062650000}"/>
    <cellStyle name="Normal 2 3 14 2" xfId="25955" xr:uid="{00000000-0005-0000-0000-000063650000}"/>
    <cellStyle name="Normal 2 3 14 2 10" xfId="25956" xr:uid="{00000000-0005-0000-0000-000064650000}"/>
    <cellStyle name="Normal 2 3 14 2 2" xfId="25957" xr:uid="{00000000-0005-0000-0000-000065650000}"/>
    <cellStyle name="Normal 2 3 14 2 3" xfId="25958" xr:uid="{00000000-0005-0000-0000-000066650000}"/>
    <cellStyle name="Normal 2 3 14 2 4" xfId="25959" xr:uid="{00000000-0005-0000-0000-000067650000}"/>
    <cellStyle name="Normal 2 3 14 2 5" xfId="25960" xr:uid="{00000000-0005-0000-0000-000068650000}"/>
    <cellStyle name="Normal 2 3 14 2 6" xfId="25961" xr:uid="{00000000-0005-0000-0000-000069650000}"/>
    <cellStyle name="Normal 2 3 14 2 7" xfId="25962" xr:uid="{00000000-0005-0000-0000-00006A650000}"/>
    <cellStyle name="Normal 2 3 14 2 8" xfId="25963" xr:uid="{00000000-0005-0000-0000-00006B650000}"/>
    <cellStyle name="Normal 2 3 14 2 9" xfId="25964" xr:uid="{00000000-0005-0000-0000-00006C650000}"/>
    <cellStyle name="Normal 2 3 14 3" xfId="25965" xr:uid="{00000000-0005-0000-0000-00006D650000}"/>
    <cellStyle name="Normal 2 3 14 3 10" xfId="25966" xr:uid="{00000000-0005-0000-0000-00006E650000}"/>
    <cellStyle name="Normal 2 3 14 3 2" xfId="25967" xr:uid="{00000000-0005-0000-0000-00006F650000}"/>
    <cellStyle name="Normal 2 3 14 3 3" xfId="25968" xr:uid="{00000000-0005-0000-0000-000070650000}"/>
    <cellStyle name="Normal 2 3 14 3 4" xfId="25969" xr:uid="{00000000-0005-0000-0000-000071650000}"/>
    <cellStyle name="Normal 2 3 14 3 5" xfId="25970" xr:uid="{00000000-0005-0000-0000-000072650000}"/>
    <cellStyle name="Normal 2 3 14 3 6" xfId="25971" xr:uid="{00000000-0005-0000-0000-000073650000}"/>
    <cellStyle name="Normal 2 3 14 3 7" xfId="25972" xr:uid="{00000000-0005-0000-0000-000074650000}"/>
    <cellStyle name="Normal 2 3 14 3 8" xfId="25973" xr:uid="{00000000-0005-0000-0000-000075650000}"/>
    <cellStyle name="Normal 2 3 14 3 9" xfId="25974" xr:uid="{00000000-0005-0000-0000-000076650000}"/>
    <cellStyle name="Normal 2 3 14 4" xfId="25975" xr:uid="{00000000-0005-0000-0000-000077650000}"/>
    <cellStyle name="Normal 2 3 14 4 10" xfId="25976" xr:uid="{00000000-0005-0000-0000-000078650000}"/>
    <cellStyle name="Normal 2 3 14 4 2" xfId="25977" xr:uid="{00000000-0005-0000-0000-000079650000}"/>
    <cellStyle name="Normal 2 3 14 4 3" xfId="25978" xr:uid="{00000000-0005-0000-0000-00007A650000}"/>
    <cellStyle name="Normal 2 3 14 4 4" xfId="25979" xr:uid="{00000000-0005-0000-0000-00007B650000}"/>
    <cellStyle name="Normal 2 3 14 4 5" xfId="25980" xr:uid="{00000000-0005-0000-0000-00007C650000}"/>
    <cellStyle name="Normal 2 3 14 4 6" xfId="25981" xr:uid="{00000000-0005-0000-0000-00007D650000}"/>
    <cellStyle name="Normal 2 3 14 4 7" xfId="25982" xr:uid="{00000000-0005-0000-0000-00007E650000}"/>
    <cellStyle name="Normal 2 3 14 4 8" xfId="25983" xr:uid="{00000000-0005-0000-0000-00007F650000}"/>
    <cellStyle name="Normal 2 3 14 4 9" xfId="25984" xr:uid="{00000000-0005-0000-0000-000080650000}"/>
    <cellStyle name="Normal 2 3 14 5" xfId="25985" xr:uid="{00000000-0005-0000-0000-000081650000}"/>
    <cellStyle name="Normal 2 3 14 5 10" xfId="25986" xr:uid="{00000000-0005-0000-0000-000082650000}"/>
    <cellStyle name="Normal 2 3 14 5 2" xfId="25987" xr:uid="{00000000-0005-0000-0000-000083650000}"/>
    <cellStyle name="Normal 2 3 14 5 3" xfId="25988" xr:uid="{00000000-0005-0000-0000-000084650000}"/>
    <cellStyle name="Normal 2 3 14 5 4" xfId="25989" xr:uid="{00000000-0005-0000-0000-000085650000}"/>
    <cellStyle name="Normal 2 3 14 5 5" xfId="25990" xr:uid="{00000000-0005-0000-0000-000086650000}"/>
    <cellStyle name="Normal 2 3 14 5 6" xfId="25991" xr:uid="{00000000-0005-0000-0000-000087650000}"/>
    <cellStyle name="Normal 2 3 14 5 7" xfId="25992" xr:uid="{00000000-0005-0000-0000-000088650000}"/>
    <cellStyle name="Normal 2 3 14 5 8" xfId="25993" xr:uid="{00000000-0005-0000-0000-000089650000}"/>
    <cellStyle name="Normal 2 3 14 5 9" xfId="25994" xr:uid="{00000000-0005-0000-0000-00008A650000}"/>
    <cellStyle name="Normal 2 3 14 6" xfId="25995" xr:uid="{00000000-0005-0000-0000-00008B650000}"/>
    <cellStyle name="Normal 2 3 14 7" xfId="25996" xr:uid="{00000000-0005-0000-0000-00008C650000}"/>
    <cellStyle name="Normal 2 3 14 8" xfId="25997" xr:uid="{00000000-0005-0000-0000-00008D650000}"/>
    <cellStyle name="Normal 2 3 14 9" xfId="25998" xr:uid="{00000000-0005-0000-0000-00008E650000}"/>
    <cellStyle name="Normal 2 3 15" xfId="25999" xr:uid="{00000000-0005-0000-0000-00008F650000}"/>
    <cellStyle name="Normal 2 3 15 10" xfId="26000" xr:uid="{00000000-0005-0000-0000-000090650000}"/>
    <cellStyle name="Normal 2 3 15 11" xfId="26001" xr:uid="{00000000-0005-0000-0000-000091650000}"/>
    <cellStyle name="Normal 2 3 15 12" xfId="26002" xr:uid="{00000000-0005-0000-0000-000092650000}"/>
    <cellStyle name="Normal 2 3 15 13" xfId="26003" xr:uid="{00000000-0005-0000-0000-000093650000}"/>
    <cellStyle name="Normal 2 3 15 14" xfId="26004" xr:uid="{00000000-0005-0000-0000-000094650000}"/>
    <cellStyle name="Normal 2 3 15 2" xfId="26005" xr:uid="{00000000-0005-0000-0000-000095650000}"/>
    <cellStyle name="Normal 2 3 15 2 10" xfId="26006" xr:uid="{00000000-0005-0000-0000-000096650000}"/>
    <cellStyle name="Normal 2 3 15 2 2" xfId="26007" xr:uid="{00000000-0005-0000-0000-000097650000}"/>
    <cellStyle name="Normal 2 3 15 2 3" xfId="26008" xr:uid="{00000000-0005-0000-0000-000098650000}"/>
    <cellStyle name="Normal 2 3 15 2 4" xfId="26009" xr:uid="{00000000-0005-0000-0000-000099650000}"/>
    <cellStyle name="Normal 2 3 15 2 5" xfId="26010" xr:uid="{00000000-0005-0000-0000-00009A650000}"/>
    <cellStyle name="Normal 2 3 15 2 6" xfId="26011" xr:uid="{00000000-0005-0000-0000-00009B650000}"/>
    <cellStyle name="Normal 2 3 15 2 7" xfId="26012" xr:uid="{00000000-0005-0000-0000-00009C650000}"/>
    <cellStyle name="Normal 2 3 15 2 8" xfId="26013" xr:uid="{00000000-0005-0000-0000-00009D650000}"/>
    <cellStyle name="Normal 2 3 15 2 9" xfId="26014" xr:uid="{00000000-0005-0000-0000-00009E650000}"/>
    <cellStyle name="Normal 2 3 15 3" xfId="26015" xr:uid="{00000000-0005-0000-0000-00009F650000}"/>
    <cellStyle name="Normal 2 3 15 3 10" xfId="26016" xr:uid="{00000000-0005-0000-0000-0000A0650000}"/>
    <cellStyle name="Normal 2 3 15 3 2" xfId="26017" xr:uid="{00000000-0005-0000-0000-0000A1650000}"/>
    <cellStyle name="Normal 2 3 15 3 3" xfId="26018" xr:uid="{00000000-0005-0000-0000-0000A2650000}"/>
    <cellStyle name="Normal 2 3 15 3 4" xfId="26019" xr:uid="{00000000-0005-0000-0000-0000A3650000}"/>
    <cellStyle name="Normal 2 3 15 3 5" xfId="26020" xr:uid="{00000000-0005-0000-0000-0000A4650000}"/>
    <cellStyle name="Normal 2 3 15 3 6" xfId="26021" xr:uid="{00000000-0005-0000-0000-0000A5650000}"/>
    <cellStyle name="Normal 2 3 15 3 7" xfId="26022" xr:uid="{00000000-0005-0000-0000-0000A6650000}"/>
    <cellStyle name="Normal 2 3 15 3 8" xfId="26023" xr:uid="{00000000-0005-0000-0000-0000A7650000}"/>
    <cellStyle name="Normal 2 3 15 3 9" xfId="26024" xr:uid="{00000000-0005-0000-0000-0000A8650000}"/>
    <cellStyle name="Normal 2 3 15 4" xfId="26025" xr:uid="{00000000-0005-0000-0000-0000A9650000}"/>
    <cellStyle name="Normal 2 3 15 4 10" xfId="26026" xr:uid="{00000000-0005-0000-0000-0000AA650000}"/>
    <cellStyle name="Normal 2 3 15 4 2" xfId="26027" xr:uid="{00000000-0005-0000-0000-0000AB650000}"/>
    <cellStyle name="Normal 2 3 15 4 3" xfId="26028" xr:uid="{00000000-0005-0000-0000-0000AC650000}"/>
    <cellStyle name="Normal 2 3 15 4 4" xfId="26029" xr:uid="{00000000-0005-0000-0000-0000AD650000}"/>
    <cellStyle name="Normal 2 3 15 4 5" xfId="26030" xr:uid="{00000000-0005-0000-0000-0000AE650000}"/>
    <cellStyle name="Normal 2 3 15 4 6" xfId="26031" xr:uid="{00000000-0005-0000-0000-0000AF650000}"/>
    <cellStyle name="Normal 2 3 15 4 7" xfId="26032" xr:uid="{00000000-0005-0000-0000-0000B0650000}"/>
    <cellStyle name="Normal 2 3 15 4 8" xfId="26033" xr:uid="{00000000-0005-0000-0000-0000B1650000}"/>
    <cellStyle name="Normal 2 3 15 4 9" xfId="26034" xr:uid="{00000000-0005-0000-0000-0000B2650000}"/>
    <cellStyle name="Normal 2 3 15 5" xfId="26035" xr:uid="{00000000-0005-0000-0000-0000B3650000}"/>
    <cellStyle name="Normal 2 3 15 5 10" xfId="26036" xr:uid="{00000000-0005-0000-0000-0000B4650000}"/>
    <cellStyle name="Normal 2 3 15 5 2" xfId="26037" xr:uid="{00000000-0005-0000-0000-0000B5650000}"/>
    <cellStyle name="Normal 2 3 15 5 3" xfId="26038" xr:uid="{00000000-0005-0000-0000-0000B6650000}"/>
    <cellStyle name="Normal 2 3 15 5 4" xfId="26039" xr:uid="{00000000-0005-0000-0000-0000B7650000}"/>
    <cellStyle name="Normal 2 3 15 5 5" xfId="26040" xr:uid="{00000000-0005-0000-0000-0000B8650000}"/>
    <cellStyle name="Normal 2 3 15 5 6" xfId="26041" xr:uid="{00000000-0005-0000-0000-0000B9650000}"/>
    <cellStyle name="Normal 2 3 15 5 7" xfId="26042" xr:uid="{00000000-0005-0000-0000-0000BA650000}"/>
    <cellStyle name="Normal 2 3 15 5 8" xfId="26043" xr:uid="{00000000-0005-0000-0000-0000BB650000}"/>
    <cellStyle name="Normal 2 3 15 5 9" xfId="26044" xr:uid="{00000000-0005-0000-0000-0000BC650000}"/>
    <cellStyle name="Normal 2 3 15 6" xfId="26045" xr:uid="{00000000-0005-0000-0000-0000BD650000}"/>
    <cellStyle name="Normal 2 3 15 7" xfId="26046" xr:uid="{00000000-0005-0000-0000-0000BE650000}"/>
    <cellStyle name="Normal 2 3 15 8" xfId="26047" xr:uid="{00000000-0005-0000-0000-0000BF650000}"/>
    <cellStyle name="Normal 2 3 15 9" xfId="26048" xr:uid="{00000000-0005-0000-0000-0000C0650000}"/>
    <cellStyle name="Normal 2 3 16" xfId="26049" xr:uid="{00000000-0005-0000-0000-0000C1650000}"/>
    <cellStyle name="Normal 2 3 16 10" xfId="26050" xr:uid="{00000000-0005-0000-0000-0000C2650000}"/>
    <cellStyle name="Normal 2 3 16 11" xfId="26051" xr:uid="{00000000-0005-0000-0000-0000C3650000}"/>
    <cellStyle name="Normal 2 3 16 12" xfId="26052" xr:uid="{00000000-0005-0000-0000-0000C4650000}"/>
    <cellStyle name="Normal 2 3 16 13" xfId="26053" xr:uid="{00000000-0005-0000-0000-0000C5650000}"/>
    <cellStyle name="Normal 2 3 16 14" xfId="26054" xr:uid="{00000000-0005-0000-0000-0000C6650000}"/>
    <cellStyle name="Normal 2 3 16 2" xfId="26055" xr:uid="{00000000-0005-0000-0000-0000C7650000}"/>
    <cellStyle name="Normal 2 3 16 2 10" xfId="26056" xr:uid="{00000000-0005-0000-0000-0000C8650000}"/>
    <cellStyle name="Normal 2 3 16 2 2" xfId="26057" xr:uid="{00000000-0005-0000-0000-0000C9650000}"/>
    <cellStyle name="Normal 2 3 16 2 3" xfId="26058" xr:uid="{00000000-0005-0000-0000-0000CA650000}"/>
    <cellStyle name="Normal 2 3 16 2 4" xfId="26059" xr:uid="{00000000-0005-0000-0000-0000CB650000}"/>
    <cellStyle name="Normal 2 3 16 2 5" xfId="26060" xr:uid="{00000000-0005-0000-0000-0000CC650000}"/>
    <cellStyle name="Normal 2 3 16 2 6" xfId="26061" xr:uid="{00000000-0005-0000-0000-0000CD650000}"/>
    <cellStyle name="Normal 2 3 16 2 7" xfId="26062" xr:uid="{00000000-0005-0000-0000-0000CE650000}"/>
    <cellStyle name="Normal 2 3 16 2 8" xfId="26063" xr:uid="{00000000-0005-0000-0000-0000CF650000}"/>
    <cellStyle name="Normal 2 3 16 2 9" xfId="26064" xr:uid="{00000000-0005-0000-0000-0000D0650000}"/>
    <cellStyle name="Normal 2 3 16 3" xfId="26065" xr:uid="{00000000-0005-0000-0000-0000D1650000}"/>
    <cellStyle name="Normal 2 3 16 3 10" xfId="26066" xr:uid="{00000000-0005-0000-0000-0000D2650000}"/>
    <cellStyle name="Normal 2 3 16 3 2" xfId="26067" xr:uid="{00000000-0005-0000-0000-0000D3650000}"/>
    <cellStyle name="Normal 2 3 16 3 3" xfId="26068" xr:uid="{00000000-0005-0000-0000-0000D4650000}"/>
    <cellStyle name="Normal 2 3 16 3 4" xfId="26069" xr:uid="{00000000-0005-0000-0000-0000D5650000}"/>
    <cellStyle name="Normal 2 3 16 3 5" xfId="26070" xr:uid="{00000000-0005-0000-0000-0000D6650000}"/>
    <cellStyle name="Normal 2 3 16 3 6" xfId="26071" xr:uid="{00000000-0005-0000-0000-0000D7650000}"/>
    <cellStyle name="Normal 2 3 16 3 7" xfId="26072" xr:uid="{00000000-0005-0000-0000-0000D8650000}"/>
    <cellStyle name="Normal 2 3 16 3 8" xfId="26073" xr:uid="{00000000-0005-0000-0000-0000D9650000}"/>
    <cellStyle name="Normal 2 3 16 3 9" xfId="26074" xr:uid="{00000000-0005-0000-0000-0000DA650000}"/>
    <cellStyle name="Normal 2 3 16 4" xfId="26075" xr:uid="{00000000-0005-0000-0000-0000DB650000}"/>
    <cellStyle name="Normal 2 3 16 4 10" xfId="26076" xr:uid="{00000000-0005-0000-0000-0000DC650000}"/>
    <cellStyle name="Normal 2 3 16 4 2" xfId="26077" xr:uid="{00000000-0005-0000-0000-0000DD650000}"/>
    <cellStyle name="Normal 2 3 16 4 3" xfId="26078" xr:uid="{00000000-0005-0000-0000-0000DE650000}"/>
    <cellStyle name="Normal 2 3 16 4 4" xfId="26079" xr:uid="{00000000-0005-0000-0000-0000DF650000}"/>
    <cellStyle name="Normal 2 3 16 4 5" xfId="26080" xr:uid="{00000000-0005-0000-0000-0000E0650000}"/>
    <cellStyle name="Normal 2 3 16 4 6" xfId="26081" xr:uid="{00000000-0005-0000-0000-0000E1650000}"/>
    <cellStyle name="Normal 2 3 16 4 7" xfId="26082" xr:uid="{00000000-0005-0000-0000-0000E2650000}"/>
    <cellStyle name="Normal 2 3 16 4 8" xfId="26083" xr:uid="{00000000-0005-0000-0000-0000E3650000}"/>
    <cellStyle name="Normal 2 3 16 4 9" xfId="26084" xr:uid="{00000000-0005-0000-0000-0000E4650000}"/>
    <cellStyle name="Normal 2 3 16 5" xfId="26085" xr:uid="{00000000-0005-0000-0000-0000E5650000}"/>
    <cellStyle name="Normal 2 3 16 5 10" xfId="26086" xr:uid="{00000000-0005-0000-0000-0000E6650000}"/>
    <cellStyle name="Normal 2 3 16 5 2" xfId="26087" xr:uid="{00000000-0005-0000-0000-0000E7650000}"/>
    <cellStyle name="Normal 2 3 16 5 3" xfId="26088" xr:uid="{00000000-0005-0000-0000-0000E8650000}"/>
    <cellStyle name="Normal 2 3 16 5 4" xfId="26089" xr:uid="{00000000-0005-0000-0000-0000E9650000}"/>
    <cellStyle name="Normal 2 3 16 5 5" xfId="26090" xr:uid="{00000000-0005-0000-0000-0000EA650000}"/>
    <cellStyle name="Normal 2 3 16 5 6" xfId="26091" xr:uid="{00000000-0005-0000-0000-0000EB650000}"/>
    <cellStyle name="Normal 2 3 16 5 7" xfId="26092" xr:uid="{00000000-0005-0000-0000-0000EC650000}"/>
    <cellStyle name="Normal 2 3 16 5 8" xfId="26093" xr:uid="{00000000-0005-0000-0000-0000ED650000}"/>
    <cellStyle name="Normal 2 3 16 5 9" xfId="26094" xr:uid="{00000000-0005-0000-0000-0000EE650000}"/>
    <cellStyle name="Normal 2 3 16 6" xfId="26095" xr:uid="{00000000-0005-0000-0000-0000EF650000}"/>
    <cellStyle name="Normal 2 3 16 7" xfId="26096" xr:uid="{00000000-0005-0000-0000-0000F0650000}"/>
    <cellStyle name="Normal 2 3 16 8" xfId="26097" xr:uid="{00000000-0005-0000-0000-0000F1650000}"/>
    <cellStyle name="Normal 2 3 16 9" xfId="26098" xr:uid="{00000000-0005-0000-0000-0000F2650000}"/>
    <cellStyle name="Normal 2 3 17" xfId="26099" xr:uid="{00000000-0005-0000-0000-0000F3650000}"/>
    <cellStyle name="Normal 2 3 17 10" xfId="26100" xr:uid="{00000000-0005-0000-0000-0000F4650000}"/>
    <cellStyle name="Normal 2 3 17 11" xfId="26101" xr:uid="{00000000-0005-0000-0000-0000F5650000}"/>
    <cellStyle name="Normal 2 3 17 12" xfId="26102" xr:uid="{00000000-0005-0000-0000-0000F6650000}"/>
    <cellStyle name="Normal 2 3 17 13" xfId="26103" xr:uid="{00000000-0005-0000-0000-0000F7650000}"/>
    <cellStyle name="Normal 2 3 17 14" xfId="26104" xr:uid="{00000000-0005-0000-0000-0000F8650000}"/>
    <cellStyle name="Normal 2 3 17 2" xfId="26105" xr:uid="{00000000-0005-0000-0000-0000F9650000}"/>
    <cellStyle name="Normal 2 3 17 2 10" xfId="26106" xr:uid="{00000000-0005-0000-0000-0000FA650000}"/>
    <cellStyle name="Normal 2 3 17 2 2" xfId="26107" xr:uid="{00000000-0005-0000-0000-0000FB650000}"/>
    <cellStyle name="Normal 2 3 17 2 3" xfId="26108" xr:uid="{00000000-0005-0000-0000-0000FC650000}"/>
    <cellStyle name="Normal 2 3 17 2 4" xfId="26109" xr:uid="{00000000-0005-0000-0000-0000FD650000}"/>
    <cellStyle name="Normal 2 3 17 2 5" xfId="26110" xr:uid="{00000000-0005-0000-0000-0000FE650000}"/>
    <cellStyle name="Normal 2 3 17 2 6" xfId="26111" xr:uid="{00000000-0005-0000-0000-0000FF650000}"/>
    <cellStyle name="Normal 2 3 17 2 7" xfId="26112" xr:uid="{00000000-0005-0000-0000-000000660000}"/>
    <cellStyle name="Normal 2 3 17 2 8" xfId="26113" xr:uid="{00000000-0005-0000-0000-000001660000}"/>
    <cellStyle name="Normal 2 3 17 2 9" xfId="26114" xr:uid="{00000000-0005-0000-0000-000002660000}"/>
    <cellStyle name="Normal 2 3 17 3" xfId="26115" xr:uid="{00000000-0005-0000-0000-000003660000}"/>
    <cellStyle name="Normal 2 3 17 3 10" xfId="26116" xr:uid="{00000000-0005-0000-0000-000004660000}"/>
    <cellStyle name="Normal 2 3 17 3 2" xfId="26117" xr:uid="{00000000-0005-0000-0000-000005660000}"/>
    <cellStyle name="Normal 2 3 17 3 3" xfId="26118" xr:uid="{00000000-0005-0000-0000-000006660000}"/>
    <cellStyle name="Normal 2 3 17 3 4" xfId="26119" xr:uid="{00000000-0005-0000-0000-000007660000}"/>
    <cellStyle name="Normal 2 3 17 3 5" xfId="26120" xr:uid="{00000000-0005-0000-0000-000008660000}"/>
    <cellStyle name="Normal 2 3 17 3 6" xfId="26121" xr:uid="{00000000-0005-0000-0000-000009660000}"/>
    <cellStyle name="Normal 2 3 17 3 7" xfId="26122" xr:uid="{00000000-0005-0000-0000-00000A660000}"/>
    <cellStyle name="Normal 2 3 17 3 8" xfId="26123" xr:uid="{00000000-0005-0000-0000-00000B660000}"/>
    <cellStyle name="Normal 2 3 17 3 9" xfId="26124" xr:uid="{00000000-0005-0000-0000-00000C660000}"/>
    <cellStyle name="Normal 2 3 17 4" xfId="26125" xr:uid="{00000000-0005-0000-0000-00000D660000}"/>
    <cellStyle name="Normal 2 3 17 4 10" xfId="26126" xr:uid="{00000000-0005-0000-0000-00000E660000}"/>
    <cellStyle name="Normal 2 3 17 4 2" xfId="26127" xr:uid="{00000000-0005-0000-0000-00000F660000}"/>
    <cellStyle name="Normal 2 3 17 4 3" xfId="26128" xr:uid="{00000000-0005-0000-0000-000010660000}"/>
    <cellStyle name="Normal 2 3 17 4 4" xfId="26129" xr:uid="{00000000-0005-0000-0000-000011660000}"/>
    <cellStyle name="Normal 2 3 17 4 5" xfId="26130" xr:uid="{00000000-0005-0000-0000-000012660000}"/>
    <cellStyle name="Normal 2 3 17 4 6" xfId="26131" xr:uid="{00000000-0005-0000-0000-000013660000}"/>
    <cellStyle name="Normal 2 3 17 4 7" xfId="26132" xr:uid="{00000000-0005-0000-0000-000014660000}"/>
    <cellStyle name="Normal 2 3 17 4 8" xfId="26133" xr:uid="{00000000-0005-0000-0000-000015660000}"/>
    <cellStyle name="Normal 2 3 17 4 9" xfId="26134" xr:uid="{00000000-0005-0000-0000-000016660000}"/>
    <cellStyle name="Normal 2 3 17 5" xfId="26135" xr:uid="{00000000-0005-0000-0000-000017660000}"/>
    <cellStyle name="Normal 2 3 17 5 10" xfId="26136" xr:uid="{00000000-0005-0000-0000-000018660000}"/>
    <cellStyle name="Normal 2 3 17 5 2" xfId="26137" xr:uid="{00000000-0005-0000-0000-000019660000}"/>
    <cellStyle name="Normal 2 3 17 5 3" xfId="26138" xr:uid="{00000000-0005-0000-0000-00001A660000}"/>
    <cellStyle name="Normal 2 3 17 5 4" xfId="26139" xr:uid="{00000000-0005-0000-0000-00001B660000}"/>
    <cellStyle name="Normal 2 3 17 5 5" xfId="26140" xr:uid="{00000000-0005-0000-0000-00001C660000}"/>
    <cellStyle name="Normal 2 3 17 5 6" xfId="26141" xr:uid="{00000000-0005-0000-0000-00001D660000}"/>
    <cellStyle name="Normal 2 3 17 5 7" xfId="26142" xr:uid="{00000000-0005-0000-0000-00001E660000}"/>
    <cellStyle name="Normal 2 3 17 5 8" xfId="26143" xr:uid="{00000000-0005-0000-0000-00001F660000}"/>
    <cellStyle name="Normal 2 3 17 5 9" xfId="26144" xr:uid="{00000000-0005-0000-0000-000020660000}"/>
    <cellStyle name="Normal 2 3 17 6" xfId="26145" xr:uid="{00000000-0005-0000-0000-000021660000}"/>
    <cellStyle name="Normal 2 3 17 7" xfId="26146" xr:uid="{00000000-0005-0000-0000-000022660000}"/>
    <cellStyle name="Normal 2 3 17 8" xfId="26147" xr:uid="{00000000-0005-0000-0000-000023660000}"/>
    <cellStyle name="Normal 2 3 17 9" xfId="26148" xr:uid="{00000000-0005-0000-0000-000024660000}"/>
    <cellStyle name="Normal 2 3 18" xfId="26149" xr:uid="{00000000-0005-0000-0000-000025660000}"/>
    <cellStyle name="Normal 2 3 18 10" xfId="26150" xr:uid="{00000000-0005-0000-0000-000026660000}"/>
    <cellStyle name="Normal 2 3 18 11" xfId="26151" xr:uid="{00000000-0005-0000-0000-000027660000}"/>
    <cellStyle name="Normal 2 3 18 12" xfId="26152" xr:uid="{00000000-0005-0000-0000-000028660000}"/>
    <cellStyle name="Normal 2 3 18 13" xfId="26153" xr:uid="{00000000-0005-0000-0000-000029660000}"/>
    <cellStyle name="Normal 2 3 18 14" xfId="26154" xr:uid="{00000000-0005-0000-0000-00002A660000}"/>
    <cellStyle name="Normal 2 3 18 2" xfId="26155" xr:uid="{00000000-0005-0000-0000-00002B660000}"/>
    <cellStyle name="Normal 2 3 18 2 10" xfId="26156" xr:uid="{00000000-0005-0000-0000-00002C660000}"/>
    <cellStyle name="Normal 2 3 18 2 2" xfId="26157" xr:uid="{00000000-0005-0000-0000-00002D660000}"/>
    <cellStyle name="Normal 2 3 18 2 3" xfId="26158" xr:uid="{00000000-0005-0000-0000-00002E660000}"/>
    <cellStyle name="Normal 2 3 18 2 4" xfId="26159" xr:uid="{00000000-0005-0000-0000-00002F660000}"/>
    <cellStyle name="Normal 2 3 18 2 5" xfId="26160" xr:uid="{00000000-0005-0000-0000-000030660000}"/>
    <cellStyle name="Normal 2 3 18 2 6" xfId="26161" xr:uid="{00000000-0005-0000-0000-000031660000}"/>
    <cellStyle name="Normal 2 3 18 2 7" xfId="26162" xr:uid="{00000000-0005-0000-0000-000032660000}"/>
    <cellStyle name="Normal 2 3 18 2 8" xfId="26163" xr:uid="{00000000-0005-0000-0000-000033660000}"/>
    <cellStyle name="Normal 2 3 18 2 9" xfId="26164" xr:uid="{00000000-0005-0000-0000-000034660000}"/>
    <cellStyle name="Normal 2 3 18 3" xfId="26165" xr:uid="{00000000-0005-0000-0000-000035660000}"/>
    <cellStyle name="Normal 2 3 18 3 10" xfId="26166" xr:uid="{00000000-0005-0000-0000-000036660000}"/>
    <cellStyle name="Normal 2 3 18 3 2" xfId="26167" xr:uid="{00000000-0005-0000-0000-000037660000}"/>
    <cellStyle name="Normal 2 3 18 3 3" xfId="26168" xr:uid="{00000000-0005-0000-0000-000038660000}"/>
    <cellStyle name="Normal 2 3 18 3 4" xfId="26169" xr:uid="{00000000-0005-0000-0000-000039660000}"/>
    <cellStyle name="Normal 2 3 18 3 5" xfId="26170" xr:uid="{00000000-0005-0000-0000-00003A660000}"/>
    <cellStyle name="Normal 2 3 18 3 6" xfId="26171" xr:uid="{00000000-0005-0000-0000-00003B660000}"/>
    <cellStyle name="Normal 2 3 18 3 7" xfId="26172" xr:uid="{00000000-0005-0000-0000-00003C660000}"/>
    <cellStyle name="Normal 2 3 18 3 8" xfId="26173" xr:uid="{00000000-0005-0000-0000-00003D660000}"/>
    <cellStyle name="Normal 2 3 18 3 9" xfId="26174" xr:uid="{00000000-0005-0000-0000-00003E660000}"/>
    <cellStyle name="Normal 2 3 18 4" xfId="26175" xr:uid="{00000000-0005-0000-0000-00003F660000}"/>
    <cellStyle name="Normal 2 3 18 4 10" xfId="26176" xr:uid="{00000000-0005-0000-0000-000040660000}"/>
    <cellStyle name="Normal 2 3 18 4 2" xfId="26177" xr:uid="{00000000-0005-0000-0000-000041660000}"/>
    <cellStyle name="Normal 2 3 18 4 3" xfId="26178" xr:uid="{00000000-0005-0000-0000-000042660000}"/>
    <cellStyle name="Normal 2 3 18 4 4" xfId="26179" xr:uid="{00000000-0005-0000-0000-000043660000}"/>
    <cellStyle name="Normal 2 3 18 4 5" xfId="26180" xr:uid="{00000000-0005-0000-0000-000044660000}"/>
    <cellStyle name="Normal 2 3 18 4 6" xfId="26181" xr:uid="{00000000-0005-0000-0000-000045660000}"/>
    <cellStyle name="Normal 2 3 18 4 7" xfId="26182" xr:uid="{00000000-0005-0000-0000-000046660000}"/>
    <cellStyle name="Normal 2 3 18 4 8" xfId="26183" xr:uid="{00000000-0005-0000-0000-000047660000}"/>
    <cellStyle name="Normal 2 3 18 4 9" xfId="26184" xr:uid="{00000000-0005-0000-0000-000048660000}"/>
    <cellStyle name="Normal 2 3 18 5" xfId="26185" xr:uid="{00000000-0005-0000-0000-000049660000}"/>
    <cellStyle name="Normal 2 3 18 5 10" xfId="26186" xr:uid="{00000000-0005-0000-0000-00004A660000}"/>
    <cellStyle name="Normal 2 3 18 5 2" xfId="26187" xr:uid="{00000000-0005-0000-0000-00004B660000}"/>
    <cellStyle name="Normal 2 3 18 5 3" xfId="26188" xr:uid="{00000000-0005-0000-0000-00004C660000}"/>
    <cellStyle name="Normal 2 3 18 5 4" xfId="26189" xr:uid="{00000000-0005-0000-0000-00004D660000}"/>
    <cellStyle name="Normal 2 3 18 5 5" xfId="26190" xr:uid="{00000000-0005-0000-0000-00004E660000}"/>
    <cellStyle name="Normal 2 3 18 5 6" xfId="26191" xr:uid="{00000000-0005-0000-0000-00004F660000}"/>
    <cellStyle name="Normal 2 3 18 5 7" xfId="26192" xr:uid="{00000000-0005-0000-0000-000050660000}"/>
    <cellStyle name="Normal 2 3 18 5 8" xfId="26193" xr:uid="{00000000-0005-0000-0000-000051660000}"/>
    <cellStyle name="Normal 2 3 18 5 9" xfId="26194" xr:uid="{00000000-0005-0000-0000-000052660000}"/>
    <cellStyle name="Normal 2 3 18 6" xfId="26195" xr:uid="{00000000-0005-0000-0000-000053660000}"/>
    <cellStyle name="Normal 2 3 18 7" xfId="26196" xr:uid="{00000000-0005-0000-0000-000054660000}"/>
    <cellStyle name="Normal 2 3 18 8" xfId="26197" xr:uid="{00000000-0005-0000-0000-000055660000}"/>
    <cellStyle name="Normal 2 3 18 9" xfId="26198" xr:uid="{00000000-0005-0000-0000-000056660000}"/>
    <cellStyle name="Normal 2 3 19" xfId="26199" xr:uid="{00000000-0005-0000-0000-000057660000}"/>
    <cellStyle name="Normal 2 3 19 10" xfId="26200" xr:uid="{00000000-0005-0000-0000-000058660000}"/>
    <cellStyle name="Normal 2 3 19 11" xfId="26201" xr:uid="{00000000-0005-0000-0000-000059660000}"/>
    <cellStyle name="Normal 2 3 19 12" xfId="26202" xr:uid="{00000000-0005-0000-0000-00005A660000}"/>
    <cellStyle name="Normal 2 3 19 13" xfId="26203" xr:uid="{00000000-0005-0000-0000-00005B660000}"/>
    <cellStyle name="Normal 2 3 19 14" xfId="26204" xr:uid="{00000000-0005-0000-0000-00005C660000}"/>
    <cellStyle name="Normal 2 3 19 2" xfId="26205" xr:uid="{00000000-0005-0000-0000-00005D660000}"/>
    <cellStyle name="Normal 2 3 19 2 10" xfId="26206" xr:uid="{00000000-0005-0000-0000-00005E660000}"/>
    <cellStyle name="Normal 2 3 19 2 2" xfId="26207" xr:uid="{00000000-0005-0000-0000-00005F660000}"/>
    <cellStyle name="Normal 2 3 19 2 3" xfId="26208" xr:uid="{00000000-0005-0000-0000-000060660000}"/>
    <cellStyle name="Normal 2 3 19 2 4" xfId="26209" xr:uid="{00000000-0005-0000-0000-000061660000}"/>
    <cellStyle name="Normal 2 3 19 2 5" xfId="26210" xr:uid="{00000000-0005-0000-0000-000062660000}"/>
    <cellStyle name="Normal 2 3 19 2 6" xfId="26211" xr:uid="{00000000-0005-0000-0000-000063660000}"/>
    <cellStyle name="Normal 2 3 19 2 7" xfId="26212" xr:uid="{00000000-0005-0000-0000-000064660000}"/>
    <cellStyle name="Normal 2 3 19 2 8" xfId="26213" xr:uid="{00000000-0005-0000-0000-000065660000}"/>
    <cellStyle name="Normal 2 3 19 2 9" xfId="26214" xr:uid="{00000000-0005-0000-0000-000066660000}"/>
    <cellStyle name="Normal 2 3 19 3" xfId="26215" xr:uid="{00000000-0005-0000-0000-000067660000}"/>
    <cellStyle name="Normal 2 3 19 3 10" xfId="26216" xr:uid="{00000000-0005-0000-0000-000068660000}"/>
    <cellStyle name="Normal 2 3 19 3 2" xfId="26217" xr:uid="{00000000-0005-0000-0000-000069660000}"/>
    <cellStyle name="Normal 2 3 19 3 3" xfId="26218" xr:uid="{00000000-0005-0000-0000-00006A660000}"/>
    <cellStyle name="Normal 2 3 19 3 4" xfId="26219" xr:uid="{00000000-0005-0000-0000-00006B660000}"/>
    <cellStyle name="Normal 2 3 19 3 5" xfId="26220" xr:uid="{00000000-0005-0000-0000-00006C660000}"/>
    <cellStyle name="Normal 2 3 19 3 6" xfId="26221" xr:uid="{00000000-0005-0000-0000-00006D660000}"/>
    <cellStyle name="Normal 2 3 19 3 7" xfId="26222" xr:uid="{00000000-0005-0000-0000-00006E660000}"/>
    <cellStyle name="Normal 2 3 19 3 8" xfId="26223" xr:uid="{00000000-0005-0000-0000-00006F660000}"/>
    <cellStyle name="Normal 2 3 19 3 9" xfId="26224" xr:uid="{00000000-0005-0000-0000-000070660000}"/>
    <cellStyle name="Normal 2 3 19 4" xfId="26225" xr:uid="{00000000-0005-0000-0000-000071660000}"/>
    <cellStyle name="Normal 2 3 19 4 10" xfId="26226" xr:uid="{00000000-0005-0000-0000-000072660000}"/>
    <cellStyle name="Normal 2 3 19 4 2" xfId="26227" xr:uid="{00000000-0005-0000-0000-000073660000}"/>
    <cellStyle name="Normal 2 3 19 4 3" xfId="26228" xr:uid="{00000000-0005-0000-0000-000074660000}"/>
    <cellStyle name="Normal 2 3 19 4 4" xfId="26229" xr:uid="{00000000-0005-0000-0000-000075660000}"/>
    <cellStyle name="Normal 2 3 19 4 5" xfId="26230" xr:uid="{00000000-0005-0000-0000-000076660000}"/>
    <cellStyle name="Normal 2 3 19 4 6" xfId="26231" xr:uid="{00000000-0005-0000-0000-000077660000}"/>
    <cellStyle name="Normal 2 3 19 4 7" xfId="26232" xr:uid="{00000000-0005-0000-0000-000078660000}"/>
    <cellStyle name="Normal 2 3 19 4 8" xfId="26233" xr:uid="{00000000-0005-0000-0000-000079660000}"/>
    <cellStyle name="Normal 2 3 19 4 9" xfId="26234" xr:uid="{00000000-0005-0000-0000-00007A660000}"/>
    <cellStyle name="Normal 2 3 19 5" xfId="26235" xr:uid="{00000000-0005-0000-0000-00007B660000}"/>
    <cellStyle name="Normal 2 3 19 5 10" xfId="26236" xr:uid="{00000000-0005-0000-0000-00007C660000}"/>
    <cellStyle name="Normal 2 3 19 5 2" xfId="26237" xr:uid="{00000000-0005-0000-0000-00007D660000}"/>
    <cellStyle name="Normal 2 3 19 5 3" xfId="26238" xr:uid="{00000000-0005-0000-0000-00007E660000}"/>
    <cellStyle name="Normal 2 3 19 5 4" xfId="26239" xr:uid="{00000000-0005-0000-0000-00007F660000}"/>
    <cellStyle name="Normal 2 3 19 5 5" xfId="26240" xr:uid="{00000000-0005-0000-0000-000080660000}"/>
    <cellStyle name="Normal 2 3 19 5 6" xfId="26241" xr:uid="{00000000-0005-0000-0000-000081660000}"/>
    <cellStyle name="Normal 2 3 19 5 7" xfId="26242" xr:uid="{00000000-0005-0000-0000-000082660000}"/>
    <cellStyle name="Normal 2 3 19 5 8" xfId="26243" xr:uid="{00000000-0005-0000-0000-000083660000}"/>
    <cellStyle name="Normal 2 3 19 5 9" xfId="26244" xr:uid="{00000000-0005-0000-0000-000084660000}"/>
    <cellStyle name="Normal 2 3 19 6" xfId="26245" xr:uid="{00000000-0005-0000-0000-000085660000}"/>
    <cellStyle name="Normal 2 3 19 7" xfId="26246" xr:uid="{00000000-0005-0000-0000-000086660000}"/>
    <cellStyle name="Normal 2 3 19 8" xfId="26247" xr:uid="{00000000-0005-0000-0000-000087660000}"/>
    <cellStyle name="Normal 2 3 19 9" xfId="26248" xr:uid="{00000000-0005-0000-0000-000088660000}"/>
    <cellStyle name="Normal 2 3 2" xfId="26249" xr:uid="{00000000-0005-0000-0000-000089660000}"/>
    <cellStyle name="Normal 2 3 2 10" xfId="26250" xr:uid="{00000000-0005-0000-0000-00008A660000}"/>
    <cellStyle name="Normal 2 3 2 10 10" xfId="26251" xr:uid="{00000000-0005-0000-0000-00008B660000}"/>
    <cellStyle name="Normal 2 3 2 10 11" xfId="26252" xr:uid="{00000000-0005-0000-0000-00008C660000}"/>
    <cellStyle name="Normal 2 3 2 10 12" xfId="26253" xr:uid="{00000000-0005-0000-0000-00008D660000}"/>
    <cellStyle name="Normal 2 3 2 10 13" xfId="26254" xr:uid="{00000000-0005-0000-0000-00008E660000}"/>
    <cellStyle name="Normal 2 3 2 10 14" xfId="26255" xr:uid="{00000000-0005-0000-0000-00008F660000}"/>
    <cellStyle name="Normal 2 3 2 10 2" xfId="26256" xr:uid="{00000000-0005-0000-0000-000090660000}"/>
    <cellStyle name="Normal 2 3 2 10 2 10" xfId="26257" xr:uid="{00000000-0005-0000-0000-000091660000}"/>
    <cellStyle name="Normal 2 3 2 10 2 2" xfId="26258" xr:uid="{00000000-0005-0000-0000-000092660000}"/>
    <cellStyle name="Normal 2 3 2 10 2 3" xfId="26259" xr:uid="{00000000-0005-0000-0000-000093660000}"/>
    <cellStyle name="Normal 2 3 2 10 2 4" xfId="26260" xr:uid="{00000000-0005-0000-0000-000094660000}"/>
    <cellStyle name="Normal 2 3 2 10 2 5" xfId="26261" xr:uid="{00000000-0005-0000-0000-000095660000}"/>
    <cellStyle name="Normal 2 3 2 10 2 6" xfId="26262" xr:uid="{00000000-0005-0000-0000-000096660000}"/>
    <cellStyle name="Normal 2 3 2 10 2 7" xfId="26263" xr:uid="{00000000-0005-0000-0000-000097660000}"/>
    <cellStyle name="Normal 2 3 2 10 2 8" xfId="26264" xr:uid="{00000000-0005-0000-0000-000098660000}"/>
    <cellStyle name="Normal 2 3 2 10 2 9" xfId="26265" xr:uid="{00000000-0005-0000-0000-000099660000}"/>
    <cellStyle name="Normal 2 3 2 10 3" xfId="26266" xr:uid="{00000000-0005-0000-0000-00009A660000}"/>
    <cellStyle name="Normal 2 3 2 10 3 10" xfId="26267" xr:uid="{00000000-0005-0000-0000-00009B660000}"/>
    <cellStyle name="Normal 2 3 2 10 3 2" xfId="26268" xr:uid="{00000000-0005-0000-0000-00009C660000}"/>
    <cellStyle name="Normal 2 3 2 10 3 3" xfId="26269" xr:uid="{00000000-0005-0000-0000-00009D660000}"/>
    <cellStyle name="Normal 2 3 2 10 3 4" xfId="26270" xr:uid="{00000000-0005-0000-0000-00009E660000}"/>
    <cellStyle name="Normal 2 3 2 10 3 5" xfId="26271" xr:uid="{00000000-0005-0000-0000-00009F660000}"/>
    <cellStyle name="Normal 2 3 2 10 3 6" xfId="26272" xr:uid="{00000000-0005-0000-0000-0000A0660000}"/>
    <cellStyle name="Normal 2 3 2 10 3 7" xfId="26273" xr:uid="{00000000-0005-0000-0000-0000A1660000}"/>
    <cellStyle name="Normal 2 3 2 10 3 8" xfId="26274" xr:uid="{00000000-0005-0000-0000-0000A2660000}"/>
    <cellStyle name="Normal 2 3 2 10 3 9" xfId="26275" xr:uid="{00000000-0005-0000-0000-0000A3660000}"/>
    <cellStyle name="Normal 2 3 2 10 4" xfId="26276" xr:uid="{00000000-0005-0000-0000-0000A4660000}"/>
    <cellStyle name="Normal 2 3 2 10 4 10" xfId="26277" xr:uid="{00000000-0005-0000-0000-0000A5660000}"/>
    <cellStyle name="Normal 2 3 2 10 4 2" xfId="26278" xr:uid="{00000000-0005-0000-0000-0000A6660000}"/>
    <cellStyle name="Normal 2 3 2 10 4 3" xfId="26279" xr:uid="{00000000-0005-0000-0000-0000A7660000}"/>
    <cellStyle name="Normal 2 3 2 10 4 4" xfId="26280" xr:uid="{00000000-0005-0000-0000-0000A8660000}"/>
    <cellStyle name="Normal 2 3 2 10 4 5" xfId="26281" xr:uid="{00000000-0005-0000-0000-0000A9660000}"/>
    <cellStyle name="Normal 2 3 2 10 4 6" xfId="26282" xr:uid="{00000000-0005-0000-0000-0000AA660000}"/>
    <cellStyle name="Normal 2 3 2 10 4 7" xfId="26283" xr:uid="{00000000-0005-0000-0000-0000AB660000}"/>
    <cellStyle name="Normal 2 3 2 10 4 8" xfId="26284" xr:uid="{00000000-0005-0000-0000-0000AC660000}"/>
    <cellStyle name="Normal 2 3 2 10 4 9" xfId="26285" xr:uid="{00000000-0005-0000-0000-0000AD660000}"/>
    <cellStyle name="Normal 2 3 2 10 5" xfId="26286" xr:uid="{00000000-0005-0000-0000-0000AE660000}"/>
    <cellStyle name="Normal 2 3 2 10 5 10" xfId="26287" xr:uid="{00000000-0005-0000-0000-0000AF660000}"/>
    <cellStyle name="Normal 2 3 2 10 5 2" xfId="26288" xr:uid="{00000000-0005-0000-0000-0000B0660000}"/>
    <cellStyle name="Normal 2 3 2 10 5 3" xfId="26289" xr:uid="{00000000-0005-0000-0000-0000B1660000}"/>
    <cellStyle name="Normal 2 3 2 10 5 4" xfId="26290" xr:uid="{00000000-0005-0000-0000-0000B2660000}"/>
    <cellStyle name="Normal 2 3 2 10 5 5" xfId="26291" xr:uid="{00000000-0005-0000-0000-0000B3660000}"/>
    <cellStyle name="Normal 2 3 2 10 5 6" xfId="26292" xr:uid="{00000000-0005-0000-0000-0000B4660000}"/>
    <cellStyle name="Normal 2 3 2 10 5 7" xfId="26293" xr:uid="{00000000-0005-0000-0000-0000B5660000}"/>
    <cellStyle name="Normal 2 3 2 10 5 8" xfId="26294" xr:uid="{00000000-0005-0000-0000-0000B6660000}"/>
    <cellStyle name="Normal 2 3 2 10 5 9" xfId="26295" xr:uid="{00000000-0005-0000-0000-0000B7660000}"/>
    <cellStyle name="Normal 2 3 2 10 6" xfId="26296" xr:uid="{00000000-0005-0000-0000-0000B8660000}"/>
    <cellStyle name="Normal 2 3 2 10 7" xfId="26297" xr:uid="{00000000-0005-0000-0000-0000B9660000}"/>
    <cellStyle name="Normal 2 3 2 10 8" xfId="26298" xr:uid="{00000000-0005-0000-0000-0000BA660000}"/>
    <cellStyle name="Normal 2 3 2 10 9" xfId="26299" xr:uid="{00000000-0005-0000-0000-0000BB660000}"/>
    <cellStyle name="Normal 2 3 2 11" xfId="26300" xr:uid="{00000000-0005-0000-0000-0000BC660000}"/>
    <cellStyle name="Normal 2 3 2 11 10" xfId="26301" xr:uid="{00000000-0005-0000-0000-0000BD660000}"/>
    <cellStyle name="Normal 2 3 2 11 11" xfId="26302" xr:uid="{00000000-0005-0000-0000-0000BE660000}"/>
    <cellStyle name="Normal 2 3 2 11 12" xfId="26303" xr:uid="{00000000-0005-0000-0000-0000BF660000}"/>
    <cellStyle name="Normal 2 3 2 11 13" xfId="26304" xr:uid="{00000000-0005-0000-0000-0000C0660000}"/>
    <cellStyle name="Normal 2 3 2 11 14" xfId="26305" xr:uid="{00000000-0005-0000-0000-0000C1660000}"/>
    <cellStyle name="Normal 2 3 2 11 2" xfId="26306" xr:uid="{00000000-0005-0000-0000-0000C2660000}"/>
    <cellStyle name="Normal 2 3 2 11 2 10" xfId="26307" xr:uid="{00000000-0005-0000-0000-0000C3660000}"/>
    <cellStyle name="Normal 2 3 2 11 2 2" xfId="26308" xr:uid="{00000000-0005-0000-0000-0000C4660000}"/>
    <cellStyle name="Normal 2 3 2 11 2 3" xfId="26309" xr:uid="{00000000-0005-0000-0000-0000C5660000}"/>
    <cellStyle name="Normal 2 3 2 11 2 4" xfId="26310" xr:uid="{00000000-0005-0000-0000-0000C6660000}"/>
    <cellStyle name="Normal 2 3 2 11 2 5" xfId="26311" xr:uid="{00000000-0005-0000-0000-0000C7660000}"/>
    <cellStyle name="Normal 2 3 2 11 2 6" xfId="26312" xr:uid="{00000000-0005-0000-0000-0000C8660000}"/>
    <cellStyle name="Normal 2 3 2 11 2 7" xfId="26313" xr:uid="{00000000-0005-0000-0000-0000C9660000}"/>
    <cellStyle name="Normal 2 3 2 11 2 8" xfId="26314" xr:uid="{00000000-0005-0000-0000-0000CA660000}"/>
    <cellStyle name="Normal 2 3 2 11 2 9" xfId="26315" xr:uid="{00000000-0005-0000-0000-0000CB660000}"/>
    <cellStyle name="Normal 2 3 2 11 3" xfId="26316" xr:uid="{00000000-0005-0000-0000-0000CC660000}"/>
    <cellStyle name="Normal 2 3 2 11 3 10" xfId="26317" xr:uid="{00000000-0005-0000-0000-0000CD660000}"/>
    <cellStyle name="Normal 2 3 2 11 3 2" xfId="26318" xr:uid="{00000000-0005-0000-0000-0000CE660000}"/>
    <cellStyle name="Normal 2 3 2 11 3 3" xfId="26319" xr:uid="{00000000-0005-0000-0000-0000CF660000}"/>
    <cellStyle name="Normal 2 3 2 11 3 4" xfId="26320" xr:uid="{00000000-0005-0000-0000-0000D0660000}"/>
    <cellStyle name="Normal 2 3 2 11 3 5" xfId="26321" xr:uid="{00000000-0005-0000-0000-0000D1660000}"/>
    <cellStyle name="Normal 2 3 2 11 3 6" xfId="26322" xr:uid="{00000000-0005-0000-0000-0000D2660000}"/>
    <cellStyle name="Normal 2 3 2 11 3 7" xfId="26323" xr:uid="{00000000-0005-0000-0000-0000D3660000}"/>
    <cellStyle name="Normal 2 3 2 11 3 8" xfId="26324" xr:uid="{00000000-0005-0000-0000-0000D4660000}"/>
    <cellStyle name="Normal 2 3 2 11 3 9" xfId="26325" xr:uid="{00000000-0005-0000-0000-0000D5660000}"/>
    <cellStyle name="Normal 2 3 2 11 4" xfId="26326" xr:uid="{00000000-0005-0000-0000-0000D6660000}"/>
    <cellStyle name="Normal 2 3 2 11 4 10" xfId="26327" xr:uid="{00000000-0005-0000-0000-0000D7660000}"/>
    <cellStyle name="Normal 2 3 2 11 4 2" xfId="26328" xr:uid="{00000000-0005-0000-0000-0000D8660000}"/>
    <cellStyle name="Normal 2 3 2 11 4 3" xfId="26329" xr:uid="{00000000-0005-0000-0000-0000D9660000}"/>
    <cellStyle name="Normal 2 3 2 11 4 4" xfId="26330" xr:uid="{00000000-0005-0000-0000-0000DA660000}"/>
    <cellStyle name="Normal 2 3 2 11 4 5" xfId="26331" xr:uid="{00000000-0005-0000-0000-0000DB660000}"/>
    <cellStyle name="Normal 2 3 2 11 4 6" xfId="26332" xr:uid="{00000000-0005-0000-0000-0000DC660000}"/>
    <cellStyle name="Normal 2 3 2 11 4 7" xfId="26333" xr:uid="{00000000-0005-0000-0000-0000DD660000}"/>
    <cellStyle name="Normal 2 3 2 11 4 8" xfId="26334" xr:uid="{00000000-0005-0000-0000-0000DE660000}"/>
    <cellStyle name="Normal 2 3 2 11 4 9" xfId="26335" xr:uid="{00000000-0005-0000-0000-0000DF660000}"/>
    <cellStyle name="Normal 2 3 2 11 5" xfId="26336" xr:uid="{00000000-0005-0000-0000-0000E0660000}"/>
    <cellStyle name="Normal 2 3 2 11 5 10" xfId="26337" xr:uid="{00000000-0005-0000-0000-0000E1660000}"/>
    <cellStyle name="Normal 2 3 2 11 5 2" xfId="26338" xr:uid="{00000000-0005-0000-0000-0000E2660000}"/>
    <cellStyle name="Normal 2 3 2 11 5 3" xfId="26339" xr:uid="{00000000-0005-0000-0000-0000E3660000}"/>
    <cellStyle name="Normal 2 3 2 11 5 4" xfId="26340" xr:uid="{00000000-0005-0000-0000-0000E4660000}"/>
    <cellStyle name="Normal 2 3 2 11 5 5" xfId="26341" xr:uid="{00000000-0005-0000-0000-0000E5660000}"/>
    <cellStyle name="Normal 2 3 2 11 5 6" xfId="26342" xr:uid="{00000000-0005-0000-0000-0000E6660000}"/>
    <cellStyle name="Normal 2 3 2 11 5 7" xfId="26343" xr:uid="{00000000-0005-0000-0000-0000E7660000}"/>
    <cellStyle name="Normal 2 3 2 11 5 8" xfId="26344" xr:uid="{00000000-0005-0000-0000-0000E8660000}"/>
    <cellStyle name="Normal 2 3 2 11 5 9" xfId="26345" xr:uid="{00000000-0005-0000-0000-0000E9660000}"/>
    <cellStyle name="Normal 2 3 2 11 6" xfId="26346" xr:uid="{00000000-0005-0000-0000-0000EA660000}"/>
    <cellStyle name="Normal 2 3 2 11 7" xfId="26347" xr:uid="{00000000-0005-0000-0000-0000EB660000}"/>
    <cellStyle name="Normal 2 3 2 11 8" xfId="26348" xr:uid="{00000000-0005-0000-0000-0000EC660000}"/>
    <cellStyle name="Normal 2 3 2 11 9" xfId="26349" xr:uid="{00000000-0005-0000-0000-0000ED660000}"/>
    <cellStyle name="Normal 2 3 2 12" xfId="26350" xr:uid="{00000000-0005-0000-0000-0000EE660000}"/>
    <cellStyle name="Normal 2 3 2 12 10" xfId="26351" xr:uid="{00000000-0005-0000-0000-0000EF660000}"/>
    <cellStyle name="Normal 2 3 2 12 11" xfId="26352" xr:uid="{00000000-0005-0000-0000-0000F0660000}"/>
    <cellStyle name="Normal 2 3 2 12 12" xfId="26353" xr:uid="{00000000-0005-0000-0000-0000F1660000}"/>
    <cellStyle name="Normal 2 3 2 12 13" xfId="26354" xr:uid="{00000000-0005-0000-0000-0000F2660000}"/>
    <cellStyle name="Normal 2 3 2 12 14" xfId="26355" xr:uid="{00000000-0005-0000-0000-0000F3660000}"/>
    <cellStyle name="Normal 2 3 2 12 2" xfId="26356" xr:uid="{00000000-0005-0000-0000-0000F4660000}"/>
    <cellStyle name="Normal 2 3 2 12 2 10" xfId="26357" xr:uid="{00000000-0005-0000-0000-0000F5660000}"/>
    <cellStyle name="Normal 2 3 2 12 2 2" xfId="26358" xr:uid="{00000000-0005-0000-0000-0000F6660000}"/>
    <cellStyle name="Normal 2 3 2 12 2 3" xfId="26359" xr:uid="{00000000-0005-0000-0000-0000F7660000}"/>
    <cellStyle name="Normal 2 3 2 12 2 4" xfId="26360" xr:uid="{00000000-0005-0000-0000-0000F8660000}"/>
    <cellStyle name="Normal 2 3 2 12 2 5" xfId="26361" xr:uid="{00000000-0005-0000-0000-0000F9660000}"/>
    <cellStyle name="Normal 2 3 2 12 2 6" xfId="26362" xr:uid="{00000000-0005-0000-0000-0000FA660000}"/>
    <cellStyle name="Normal 2 3 2 12 2 7" xfId="26363" xr:uid="{00000000-0005-0000-0000-0000FB660000}"/>
    <cellStyle name="Normal 2 3 2 12 2 8" xfId="26364" xr:uid="{00000000-0005-0000-0000-0000FC660000}"/>
    <cellStyle name="Normal 2 3 2 12 2 9" xfId="26365" xr:uid="{00000000-0005-0000-0000-0000FD660000}"/>
    <cellStyle name="Normal 2 3 2 12 3" xfId="26366" xr:uid="{00000000-0005-0000-0000-0000FE660000}"/>
    <cellStyle name="Normal 2 3 2 12 3 10" xfId="26367" xr:uid="{00000000-0005-0000-0000-0000FF660000}"/>
    <cellStyle name="Normal 2 3 2 12 3 2" xfId="26368" xr:uid="{00000000-0005-0000-0000-000000670000}"/>
    <cellStyle name="Normal 2 3 2 12 3 3" xfId="26369" xr:uid="{00000000-0005-0000-0000-000001670000}"/>
    <cellStyle name="Normal 2 3 2 12 3 4" xfId="26370" xr:uid="{00000000-0005-0000-0000-000002670000}"/>
    <cellStyle name="Normal 2 3 2 12 3 5" xfId="26371" xr:uid="{00000000-0005-0000-0000-000003670000}"/>
    <cellStyle name="Normal 2 3 2 12 3 6" xfId="26372" xr:uid="{00000000-0005-0000-0000-000004670000}"/>
    <cellStyle name="Normal 2 3 2 12 3 7" xfId="26373" xr:uid="{00000000-0005-0000-0000-000005670000}"/>
    <cellStyle name="Normal 2 3 2 12 3 8" xfId="26374" xr:uid="{00000000-0005-0000-0000-000006670000}"/>
    <cellStyle name="Normal 2 3 2 12 3 9" xfId="26375" xr:uid="{00000000-0005-0000-0000-000007670000}"/>
    <cellStyle name="Normal 2 3 2 12 4" xfId="26376" xr:uid="{00000000-0005-0000-0000-000008670000}"/>
    <cellStyle name="Normal 2 3 2 12 4 10" xfId="26377" xr:uid="{00000000-0005-0000-0000-000009670000}"/>
    <cellStyle name="Normal 2 3 2 12 4 2" xfId="26378" xr:uid="{00000000-0005-0000-0000-00000A670000}"/>
    <cellStyle name="Normal 2 3 2 12 4 3" xfId="26379" xr:uid="{00000000-0005-0000-0000-00000B670000}"/>
    <cellStyle name="Normal 2 3 2 12 4 4" xfId="26380" xr:uid="{00000000-0005-0000-0000-00000C670000}"/>
    <cellStyle name="Normal 2 3 2 12 4 5" xfId="26381" xr:uid="{00000000-0005-0000-0000-00000D670000}"/>
    <cellStyle name="Normal 2 3 2 12 4 6" xfId="26382" xr:uid="{00000000-0005-0000-0000-00000E670000}"/>
    <cellStyle name="Normal 2 3 2 12 4 7" xfId="26383" xr:uid="{00000000-0005-0000-0000-00000F670000}"/>
    <cellStyle name="Normal 2 3 2 12 4 8" xfId="26384" xr:uid="{00000000-0005-0000-0000-000010670000}"/>
    <cellStyle name="Normal 2 3 2 12 4 9" xfId="26385" xr:uid="{00000000-0005-0000-0000-000011670000}"/>
    <cellStyle name="Normal 2 3 2 12 5" xfId="26386" xr:uid="{00000000-0005-0000-0000-000012670000}"/>
    <cellStyle name="Normal 2 3 2 12 5 10" xfId="26387" xr:uid="{00000000-0005-0000-0000-000013670000}"/>
    <cellStyle name="Normal 2 3 2 12 5 2" xfId="26388" xr:uid="{00000000-0005-0000-0000-000014670000}"/>
    <cellStyle name="Normal 2 3 2 12 5 3" xfId="26389" xr:uid="{00000000-0005-0000-0000-000015670000}"/>
    <cellStyle name="Normal 2 3 2 12 5 4" xfId="26390" xr:uid="{00000000-0005-0000-0000-000016670000}"/>
    <cellStyle name="Normal 2 3 2 12 5 5" xfId="26391" xr:uid="{00000000-0005-0000-0000-000017670000}"/>
    <cellStyle name="Normal 2 3 2 12 5 6" xfId="26392" xr:uid="{00000000-0005-0000-0000-000018670000}"/>
    <cellStyle name="Normal 2 3 2 12 5 7" xfId="26393" xr:uid="{00000000-0005-0000-0000-000019670000}"/>
    <cellStyle name="Normal 2 3 2 12 5 8" xfId="26394" xr:uid="{00000000-0005-0000-0000-00001A670000}"/>
    <cellStyle name="Normal 2 3 2 12 5 9" xfId="26395" xr:uid="{00000000-0005-0000-0000-00001B670000}"/>
    <cellStyle name="Normal 2 3 2 12 6" xfId="26396" xr:uid="{00000000-0005-0000-0000-00001C670000}"/>
    <cellStyle name="Normal 2 3 2 12 7" xfId="26397" xr:uid="{00000000-0005-0000-0000-00001D670000}"/>
    <cellStyle name="Normal 2 3 2 12 8" xfId="26398" xr:uid="{00000000-0005-0000-0000-00001E670000}"/>
    <cellStyle name="Normal 2 3 2 12 9" xfId="26399" xr:uid="{00000000-0005-0000-0000-00001F670000}"/>
    <cellStyle name="Normal 2 3 2 13" xfId="26400" xr:uid="{00000000-0005-0000-0000-000020670000}"/>
    <cellStyle name="Normal 2 3 2 13 10" xfId="26401" xr:uid="{00000000-0005-0000-0000-000021670000}"/>
    <cellStyle name="Normal 2 3 2 13 11" xfId="26402" xr:uid="{00000000-0005-0000-0000-000022670000}"/>
    <cellStyle name="Normal 2 3 2 13 12" xfId="26403" xr:uid="{00000000-0005-0000-0000-000023670000}"/>
    <cellStyle name="Normal 2 3 2 13 13" xfId="26404" xr:uid="{00000000-0005-0000-0000-000024670000}"/>
    <cellStyle name="Normal 2 3 2 13 14" xfId="26405" xr:uid="{00000000-0005-0000-0000-000025670000}"/>
    <cellStyle name="Normal 2 3 2 13 2" xfId="26406" xr:uid="{00000000-0005-0000-0000-000026670000}"/>
    <cellStyle name="Normal 2 3 2 13 2 10" xfId="26407" xr:uid="{00000000-0005-0000-0000-000027670000}"/>
    <cellStyle name="Normal 2 3 2 13 2 2" xfId="26408" xr:uid="{00000000-0005-0000-0000-000028670000}"/>
    <cellStyle name="Normal 2 3 2 13 2 3" xfId="26409" xr:uid="{00000000-0005-0000-0000-000029670000}"/>
    <cellStyle name="Normal 2 3 2 13 2 4" xfId="26410" xr:uid="{00000000-0005-0000-0000-00002A670000}"/>
    <cellStyle name="Normal 2 3 2 13 2 5" xfId="26411" xr:uid="{00000000-0005-0000-0000-00002B670000}"/>
    <cellStyle name="Normal 2 3 2 13 2 6" xfId="26412" xr:uid="{00000000-0005-0000-0000-00002C670000}"/>
    <cellStyle name="Normal 2 3 2 13 2 7" xfId="26413" xr:uid="{00000000-0005-0000-0000-00002D670000}"/>
    <cellStyle name="Normal 2 3 2 13 2 8" xfId="26414" xr:uid="{00000000-0005-0000-0000-00002E670000}"/>
    <cellStyle name="Normal 2 3 2 13 2 9" xfId="26415" xr:uid="{00000000-0005-0000-0000-00002F670000}"/>
    <cellStyle name="Normal 2 3 2 13 3" xfId="26416" xr:uid="{00000000-0005-0000-0000-000030670000}"/>
    <cellStyle name="Normal 2 3 2 13 3 10" xfId="26417" xr:uid="{00000000-0005-0000-0000-000031670000}"/>
    <cellStyle name="Normal 2 3 2 13 3 2" xfId="26418" xr:uid="{00000000-0005-0000-0000-000032670000}"/>
    <cellStyle name="Normal 2 3 2 13 3 3" xfId="26419" xr:uid="{00000000-0005-0000-0000-000033670000}"/>
    <cellStyle name="Normal 2 3 2 13 3 4" xfId="26420" xr:uid="{00000000-0005-0000-0000-000034670000}"/>
    <cellStyle name="Normal 2 3 2 13 3 5" xfId="26421" xr:uid="{00000000-0005-0000-0000-000035670000}"/>
    <cellStyle name="Normal 2 3 2 13 3 6" xfId="26422" xr:uid="{00000000-0005-0000-0000-000036670000}"/>
    <cellStyle name="Normal 2 3 2 13 3 7" xfId="26423" xr:uid="{00000000-0005-0000-0000-000037670000}"/>
    <cellStyle name="Normal 2 3 2 13 3 8" xfId="26424" xr:uid="{00000000-0005-0000-0000-000038670000}"/>
    <cellStyle name="Normal 2 3 2 13 3 9" xfId="26425" xr:uid="{00000000-0005-0000-0000-000039670000}"/>
    <cellStyle name="Normal 2 3 2 13 4" xfId="26426" xr:uid="{00000000-0005-0000-0000-00003A670000}"/>
    <cellStyle name="Normal 2 3 2 13 4 10" xfId="26427" xr:uid="{00000000-0005-0000-0000-00003B670000}"/>
    <cellStyle name="Normal 2 3 2 13 4 2" xfId="26428" xr:uid="{00000000-0005-0000-0000-00003C670000}"/>
    <cellStyle name="Normal 2 3 2 13 4 3" xfId="26429" xr:uid="{00000000-0005-0000-0000-00003D670000}"/>
    <cellStyle name="Normal 2 3 2 13 4 4" xfId="26430" xr:uid="{00000000-0005-0000-0000-00003E670000}"/>
    <cellStyle name="Normal 2 3 2 13 4 5" xfId="26431" xr:uid="{00000000-0005-0000-0000-00003F670000}"/>
    <cellStyle name="Normal 2 3 2 13 4 6" xfId="26432" xr:uid="{00000000-0005-0000-0000-000040670000}"/>
    <cellStyle name="Normal 2 3 2 13 4 7" xfId="26433" xr:uid="{00000000-0005-0000-0000-000041670000}"/>
    <cellStyle name="Normal 2 3 2 13 4 8" xfId="26434" xr:uid="{00000000-0005-0000-0000-000042670000}"/>
    <cellStyle name="Normal 2 3 2 13 4 9" xfId="26435" xr:uid="{00000000-0005-0000-0000-000043670000}"/>
    <cellStyle name="Normal 2 3 2 13 5" xfId="26436" xr:uid="{00000000-0005-0000-0000-000044670000}"/>
    <cellStyle name="Normal 2 3 2 13 5 10" xfId="26437" xr:uid="{00000000-0005-0000-0000-000045670000}"/>
    <cellStyle name="Normal 2 3 2 13 5 2" xfId="26438" xr:uid="{00000000-0005-0000-0000-000046670000}"/>
    <cellStyle name="Normal 2 3 2 13 5 3" xfId="26439" xr:uid="{00000000-0005-0000-0000-000047670000}"/>
    <cellStyle name="Normal 2 3 2 13 5 4" xfId="26440" xr:uid="{00000000-0005-0000-0000-000048670000}"/>
    <cellStyle name="Normal 2 3 2 13 5 5" xfId="26441" xr:uid="{00000000-0005-0000-0000-000049670000}"/>
    <cellStyle name="Normal 2 3 2 13 5 6" xfId="26442" xr:uid="{00000000-0005-0000-0000-00004A670000}"/>
    <cellStyle name="Normal 2 3 2 13 5 7" xfId="26443" xr:uid="{00000000-0005-0000-0000-00004B670000}"/>
    <cellStyle name="Normal 2 3 2 13 5 8" xfId="26444" xr:uid="{00000000-0005-0000-0000-00004C670000}"/>
    <cellStyle name="Normal 2 3 2 13 5 9" xfId="26445" xr:uid="{00000000-0005-0000-0000-00004D670000}"/>
    <cellStyle name="Normal 2 3 2 13 6" xfId="26446" xr:uid="{00000000-0005-0000-0000-00004E670000}"/>
    <cellStyle name="Normal 2 3 2 13 7" xfId="26447" xr:uid="{00000000-0005-0000-0000-00004F670000}"/>
    <cellStyle name="Normal 2 3 2 13 8" xfId="26448" xr:uid="{00000000-0005-0000-0000-000050670000}"/>
    <cellStyle name="Normal 2 3 2 13 9" xfId="26449" xr:uid="{00000000-0005-0000-0000-000051670000}"/>
    <cellStyle name="Normal 2 3 2 14" xfId="26450" xr:uid="{00000000-0005-0000-0000-000052670000}"/>
    <cellStyle name="Normal 2 3 2 14 10" xfId="26451" xr:uid="{00000000-0005-0000-0000-000053670000}"/>
    <cellStyle name="Normal 2 3 2 14 11" xfId="26452" xr:uid="{00000000-0005-0000-0000-000054670000}"/>
    <cellStyle name="Normal 2 3 2 14 12" xfId="26453" xr:uid="{00000000-0005-0000-0000-000055670000}"/>
    <cellStyle name="Normal 2 3 2 14 13" xfId="26454" xr:uid="{00000000-0005-0000-0000-000056670000}"/>
    <cellStyle name="Normal 2 3 2 14 14" xfId="26455" xr:uid="{00000000-0005-0000-0000-000057670000}"/>
    <cellStyle name="Normal 2 3 2 14 2" xfId="26456" xr:uid="{00000000-0005-0000-0000-000058670000}"/>
    <cellStyle name="Normal 2 3 2 14 2 10" xfId="26457" xr:uid="{00000000-0005-0000-0000-000059670000}"/>
    <cellStyle name="Normal 2 3 2 14 2 2" xfId="26458" xr:uid="{00000000-0005-0000-0000-00005A670000}"/>
    <cellStyle name="Normal 2 3 2 14 2 3" xfId="26459" xr:uid="{00000000-0005-0000-0000-00005B670000}"/>
    <cellStyle name="Normal 2 3 2 14 2 4" xfId="26460" xr:uid="{00000000-0005-0000-0000-00005C670000}"/>
    <cellStyle name="Normal 2 3 2 14 2 5" xfId="26461" xr:uid="{00000000-0005-0000-0000-00005D670000}"/>
    <cellStyle name="Normal 2 3 2 14 2 6" xfId="26462" xr:uid="{00000000-0005-0000-0000-00005E670000}"/>
    <cellStyle name="Normal 2 3 2 14 2 7" xfId="26463" xr:uid="{00000000-0005-0000-0000-00005F670000}"/>
    <cellStyle name="Normal 2 3 2 14 2 8" xfId="26464" xr:uid="{00000000-0005-0000-0000-000060670000}"/>
    <cellStyle name="Normal 2 3 2 14 2 9" xfId="26465" xr:uid="{00000000-0005-0000-0000-000061670000}"/>
    <cellStyle name="Normal 2 3 2 14 3" xfId="26466" xr:uid="{00000000-0005-0000-0000-000062670000}"/>
    <cellStyle name="Normal 2 3 2 14 3 10" xfId="26467" xr:uid="{00000000-0005-0000-0000-000063670000}"/>
    <cellStyle name="Normal 2 3 2 14 3 2" xfId="26468" xr:uid="{00000000-0005-0000-0000-000064670000}"/>
    <cellStyle name="Normal 2 3 2 14 3 3" xfId="26469" xr:uid="{00000000-0005-0000-0000-000065670000}"/>
    <cellStyle name="Normal 2 3 2 14 3 4" xfId="26470" xr:uid="{00000000-0005-0000-0000-000066670000}"/>
    <cellStyle name="Normal 2 3 2 14 3 5" xfId="26471" xr:uid="{00000000-0005-0000-0000-000067670000}"/>
    <cellStyle name="Normal 2 3 2 14 3 6" xfId="26472" xr:uid="{00000000-0005-0000-0000-000068670000}"/>
    <cellStyle name="Normal 2 3 2 14 3 7" xfId="26473" xr:uid="{00000000-0005-0000-0000-000069670000}"/>
    <cellStyle name="Normal 2 3 2 14 3 8" xfId="26474" xr:uid="{00000000-0005-0000-0000-00006A670000}"/>
    <cellStyle name="Normal 2 3 2 14 3 9" xfId="26475" xr:uid="{00000000-0005-0000-0000-00006B670000}"/>
    <cellStyle name="Normal 2 3 2 14 4" xfId="26476" xr:uid="{00000000-0005-0000-0000-00006C670000}"/>
    <cellStyle name="Normal 2 3 2 14 4 10" xfId="26477" xr:uid="{00000000-0005-0000-0000-00006D670000}"/>
    <cellStyle name="Normal 2 3 2 14 4 2" xfId="26478" xr:uid="{00000000-0005-0000-0000-00006E670000}"/>
    <cellStyle name="Normal 2 3 2 14 4 3" xfId="26479" xr:uid="{00000000-0005-0000-0000-00006F670000}"/>
    <cellStyle name="Normal 2 3 2 14 4 4" xfId="26480" xr:uid="{00000000-0005-0000-0000-000070670000}"/>
    <cellStyle name="Normal 2 3 2 14 4 5" xfId="26481" xr:uid="{00000000-0005-0000-0000-000071670000}"/>
    <cellStyle name="Normal 2 3 2 14 4 6" xfId="26482" xr:uid="{00000000-0005-0000-0000-000072670000}"/>
    <cellStyle name="Normal 2 3 2 14 4 7" xfId="26483" xr:uid="{00000000-0005-0000-0000-000073670000}"/>
    <cellStyle name="Normal 2 3 2 14 4 8" xfId="26484" xr:uid="{00000000-0005-0000-0000-000074670000}"/>
    <cellStyle name="Normal 2 3 2 14 4 9" xfId="26485" xr:uid="{00000000-0005-0000-0000-000075670000}"/>
    <cellStyle name="Normal 2 3 2 14 5" xfId="26486" xr:uid="{00000000-0005-0000-0000-000076670000}"/>
    <cellStyle name="Normal 2 3 2 14 5 10" xfId="26487" xr:uid="{00000000-0005-0000-0000-000077670000}"/>
    <cellStyle name="Normal 2 3 2 14 5 2" xfId="26488" xr:uid="{00000000-0005-0000-0000-000078670000}"/>
    <cellStyle name="Normal 2 3 2 14 5 3" xfId="26489" xr:uid="{00000000-0005-0000-0000-000079670000}"/>
    <cellStyle name="Normal 2 3 2 14 5 4" xfId="26490" xr:uid="{00000000-0005-0000-0000-00007A670000}"/>
    <cellStyle name="Normal 2 3 2 14 5 5" xfId="26491" xr:uid="{00000000-0005-0000-0000-00007B670000}"/>
    <cellStyle name="Normal 2 3 2 14 5 6" xfId="26492" xr:uid="{00000000-0005-0000-0000-00007C670000}"/>
    <cellStyle name="Normal 2 3 2 14 5 7" xfId="26493" xr:uid="{00000000-0005-0000-0000-00007D670000}"/>
    <cellStyle name="Normal 2 3 2 14 5 8" xfId="26494" xr:uid="{00000000-0005-0000-0000-00007E670000}"/>
    <cellStyle name="Normal 2 3 2 14 5 9" xfId="26495" xr:uid="{00000000-0005-0000-0000-00007F670000}"/>
    <cellStyle name="Normal 2 3 2 14 6" xfId="26496" xr:uid="{00000000-0005-0000-0000-000080670000}"/>
    <cellStyle name="Normal 2 3 2 14 7" xfId="26497" xr:uid="{00000000-0005-0000-0000-000081670000}"/>
    <cellStyle name="Normal 2 3 2 14 8" xfId="26498" xr:uid="{00000000-0005-0000-0000-000082670000}"/>
    <cellStyle name="Normal 2 3 2 14 9" xfId="26499" xr:uid="{00000000-0005-0000-0000-000083670000}"/>
    <cellStyle name="Normal 2 3 2 15" xfId="26500" xr:uid="{00000000-0005-0000-0000-000084670000}"/>
    <cellStyle name="Normal 2 3 2 15 10" xfId="26501" xr:uid="{00000000-0005-0000-0000-000085670000}"/>
    <cellStyle name="Normal 2 3 2 15 11" xfId="26502" xr:uid="{00000000-0005-0000-0000-000086670000}"/>
    <cellStyle name="Normal 2 3 2 15 12" xfId="26503" xr:uid="{00000000-0005-0000-0000-000087670000}"/>
    <cellStyle name="Normal 2 3 2 15 13" xfId="26504" xr:uid="{00000000-0005-0000-0000-000088670000}"/>
    <cellStyle name="Normal 2 3 2 15 14" xfId="26505" xr:uid="{00000000-0005-0000-0000-000089670000}"/>
    <cellStyle name="Normal 2 3 2 15 2" xfId="26506" xr:uid="{00000000-0005-0000-0000-00008A670000}"/>
    <cellStyle name="Normal 2 3 2 15 2 10" xfId="26507" xr:uid="{00000000-0005-0000-0000-00008B670000}"/>
    <cellStyle name="Normal 2 3 2 15 2 2" xfId="26508" xr:uid="{00000000-0005-0000-0000-00008C670000}"/>
    <cellStyle name="Normal 2 3 2 15 2 3" xfId="26509" xr:uid="{00000000-0005-0000-0000-00008D670000}"/>
    <cellStyle name="Normal 2 3 2 15 2 4" xfId="26510" xr:uid="{00000000-0005-0000-0000-00008E670000}"/>
    <cellStyle name="Normal 2 3 2 15 2 5" xfId="26511" xr:uid="{00000000-0005-0000-0000-00008F670000}"/>
    <cellStyle name="Normal 2 3 2 15 2 6" xfId="26512" xr:uid="{00000000-0005-0000-0000-000090670000}"/>
    <cellStyle name="Normal 2 3 2 15 2 7" xfId="26513" xr:uid="{00000000-0005-0000-0000-000091670000}"/>
    <cellStyle name="Normal 2 3 2 15 2 8" xfId="26514" xr:uid="{00000000-0005-0000-0000-000092670000}"/>
    <cellStyle name="Normal 2 3 2 15 2 9" xfId="26515" xr:uid="{00000000-0005-0000-0000-000093670000}"/>
    <cellStyle name="Normal 2 3 2 15 3" xfId="26516" xr:uid="{00000000-0005-0000-0000-000094670000}"/>
    <cellStyle name="Normal 2 3 2 15 3 10" xfId="26517" xr:uid="{00000000-0005-0000-0000-000095670000}"/>
    <cellStyle name="Normal 2 3 2 15 3 2" xfId="26518" xr:uid="{00000000-0005-0000-0000-000096670000}"/>
    <cellStyle name="Normal 2 3 2 15 3 3" xfId="26519" xr:uid="{00000000-0005-0000-0000-000097670000}"/>
    <cellStyle name="Normal 2 3 2 15 3 4" xfId="26520" xr:uid="{00000000-0005-0000-0000-000098670000}"/>
    <cellStyle name="Normal 2 3 2 15 3 5" xfId="26521" xr:uid="{00000000-0005-0000-0000-000099670000}"/>
    <cellStyle name="Normal 2 3 2 15 3 6" xfId="26522" xr:uid="{00000000-0005-0000-0000-00009A670000}"/>
    <cellStyle name="Normal 2 3 2 15 3 7" xfId="26523" xr:uid="{00000000-0005-0000-0000-00009B670000}"/>
    <cellStyle name="Normal 2 3 2 15 3 8" xfId="26524" xr:uid="{00000000-0005-0000-0000-00009C670000}"/>
    <cellStyle name="Normal 2 3 2 15 3 9" xfId="26525" xr:uid="{00000000-0005-0000-0000-00009D670000}"/>
    <cellStyle name="Normal 2 3 2 15 4" xfId="26526" xr:uid="{00000000-0005-0000-0000-00009E670000}"/>
    <cellStyle name="Normal 2 3 2 15 4 10" xfId="26527" xr:uid="{00000000-0005-0000-0000-00009F670000}"/>
    <cellStyle name="Normal 2 3 2 15 4 2" xfId="26528" xr:uid="{00000000-0005-0000-0000-0000A0670000}"/>
    <cellStyle name="Normal 2 3 2 15 4 3" xfId="26529" xr:uid="{00000000-0005-0000-0000-0000A1670000}"/>
    <cellStyle name="Normal 2 3 2 15 4 4" xfId="26530" xr:uid="{00000000-0005-0000-0000-0000A2670000}"/>
    <cellStyle name="Normal 2 3 2 15 4 5" xfId="26531" xr:uid="{00000000-0005-0000-0000-0000A3670000}"/>
    <cellStyle name="Normal 2 3 2 15 4 6" xfId="26532" xr:uid="{00000000-0005-0000-0000-0000A4670000}"/>
    <cellStyle name="Normal 2 3 2 15 4 7" xfId="26533" xr:uid="{00000000-0005-0000-0000-0000A5670000}"/>
    <cellStyle name="Normal 2 3 2 15 4 8" xfId="26534" xr:uid="{00000000-0005-0000-0000-0000A6670000}"/>
    <cellStyle name="Normal 2 3 2 15 4 9" xfId="26535" xr:uid="{00000000-0005-0000-0000-0000A7670000}"/>
    <cellStyle name="Normal 2 3 2 15 5" xfId="26536" xr:uid="{00000000-0005-0000-0000-0000A8670000}"/>
    <cellStyle name="Normal 2 3 2 15 5 10" xfId="26537" xr:uid="{00000000-0005-0000-0000-0000A9670000}"/>
    <cellStyle name="Normal 2 3 2 15 5 2" xfId="26538" xr:uid="{00000000-0005-0000-0000-0000AA670000}"/>
    <cellStyle name="Normal 2 3 2 15 5 3" xfId="26539" xr:uid="{00000000-0005-0000-0000-0000AB670000}"/>
    <cellStyle name="Normal 2 3 2 15 5 4" xfId="26540" xr:uid="{00000000-0005-0000-0000-0000AC670000}"/>
    <cellStyle name="Normal 2 3 2 15 5 5" xfId="26541" xr:uid="{00000000-0005-0000-0000-0000AD670000}"/>
    <cellStyle name="Normal 2 3 2 15 5 6" xfId="26542" xr:uid="{00000000-0005-0000-0000-0000AE670000}"/>
    <cellStyle name="Normal 2 3 2 15 5 7" xfId="26543" xr:uid="{00000000-0005-0000-0000-0000AF670000}"/>
    <cellStyle name="Normal 2 3 2 15 5 8" xfId="26544" xr:uid="{00000000-0005-0000-0000-0000B0670000}"/>
    <cellStyle name="Normal 2 3 2 15 5 9" xfId="26545" xr:uid="{00000000-0005-0000-0000-0000B1670000}"/>
    <cellStyle name="Normal 2 3 2 15 6" xfId="26546" xr:uid="{00000000-0005-0000-0000-0000B2670000}"/>
    <cellStyle name="Normal 2 3 2 15 7" xfId="26547" xr:uid="{00000000-0005-0000-0000-0000B3670000}"/>
    <cellStyle name="Normal 2 3 2 15 8" xfId="26548" xr:uid="{00000000-0005-0000-0000-0000B4670000}"/>
    <cellStyle name="Normal 2 3 2 15 9" xfId="26549" xr:uid="{00000000-0005-0000-0000-0000B5670000}"/>
    <cellStyle name="Normal 2 3 2 16" xfId="26550" xr:uid="{00000000-0005-0000-0000-0000B6670000}"/>
    <cellStyle name="Normal 2 3 2 16 10" xfId="26551" xr:uid="{00000000-0005-0000-0000-0000B7670000}"/>
    <cellStyle name="Normal 2 3 2 16 11" xfId="26552" xr:uid="{00000000-0005-0000-0000-0000B8670000}"/>
    <cellStyle name="Normal 2 3 2 16 12" xfId="26553" xr:uid="{00000000-0005-0000-0000-0000B9670000}"/>
    <cellStyle name="Normal 2 3 2 16 13" xfId="26554" xr:uid="{00000000-0005-0000-0000-0000BA670000}"/>
    <cellStyle name="Normal 2 3 2 16 14" xfId="26555" xr:uid="{00000000-0005-0000-0000-0000BB670000}"/>
    <cellStyle name="Normal 2 3 2 16 2" xfId="26556" xr:uid="{00000000-0005-0000-0000-0000BC670000}"/>
    <cellStyle name="Normal 2 3 2 16 2 10" xfId="26557" xr:uid="{00000000-0005-0000-0000-0000BD670000}"/>
    <cellStyle name="Normal 2 3 2 16 2 2" xfId="26558" xr:uid="{00000000-0005-0000-0000-0000BE670000}"/>
    <cellStyle name="Normal 2 3 2 16 2 3" xfId="26559" xr:uid="{00000000-0005-0000-0000-0000BF670000}"/>
    <cellStyle name="Normal 2 3 2 16 2 4" xfId="26560" xr:uid="{00000000-0005-0000-0000-0000C0670000}"/>
    <cellStyle name="Normal 2 3 2 16 2 5" xfId="26561" xr:uid="{00000000-0005-0000-0000-0000C1670000}"/>
    <cellStyle name="Normal 2 3 2 16 2 6" xfId="26562" xr:uid="{00000000-0005-0000-0000-0000C2670000}"/>
    <cellStyle name="Normal 2 3 2 16 2 7" xfId="26563" xr:uid="{00000000-0005-0000-0000-0000C3670000}"/>
    <cellStyle name="Normal 2 3 2 16 2 8" xfId="26564" xr:uid="{00000000-0005-0000-0000-0000C4670000}"/>
    <cellStyle name="Normal 2 3 2 16 2 9" xfId="26565" xr:uid="{00000000-0005-0000-0000-0000C5670000}"/>
    <cellStyle name="Normal 2 3 2 16 3" xfId="26566" xr:uid="{00000000-0005-0000-0000-0000C6670000}"/>
    <cellStyle name="Normal 2 3 2 16 3 10" xfId="26567" xr:uid="{00000000-0005-0000-0000-0000C7670000}"/>
    <cellStyle name="Normal 2 3 2 16 3 2" xfId="26568" xr:uid="{00000000-0005-0000-0000-0000C8670000}"/>
    <cellStyle name="Normal 2 3 2 16 3 3" xfId="26569" xr:uid="{00000000-0005-0000-0000-0000C9670000}"/>
    <cellStyle name="Normal 2 3 2 16 3 4" xfId="26570" xr:uid="{00000000-0005-0000-0000-0000CA670000}"/>
    <cellStyle name="Normal 2 3 2 16 3 5" xfId="26571" xr:uid="{00000000-0005-0000-0000-0000CB670000}"/>
    <cellStyle name="Normal 2 3 2 16 3 6" xfId="26572" xr:uid="{00000000-0005-0000-0000-0000CC670000}"/>
    <cellStyle name="Normal 2 3 2 16 3 7" xfId="26573" xr:uid="{00000000-0005-0000-0000-0000CD670000}"/>
    <cellStyle name="Normal 2 3 2 16 3 8" xfId="26574" xr:uid="{00000000-0005-0000-0000-0000CE670000}"/>
    <cellStyle name="Normal 2 3 2 16 3 9" xfId="26575" xr:uid="{00000000-0005-0000-0000-0000CF670000}"/>
    <cellStyle name="Normal 2 3 2 16 4" xfId="26576" xr:uid="{00000000-0005-0000-0000-0000D0670000}"/>
    <cellStyle name="Normal 2 3 2 16 4 10" xfId="26577" xr:uid="{00000000-0005-0000-0000-0000D1670000}"/>
    <cellStyle name="Normal 2 3 2 16 4 2" xfId="26578" xr:uid="{00000000-0005-0000-0000-0000D2670000}"/>
    <cellStyle name="Normal 2 3 2 16 4 3" xfId="26579" xr:uid="{00000000-0005-0000-0000-0000D3670000}"/>
    <cellStyle name="Normal 2 3 2 16 4 4" xfId="26580" xr:uid="{00000000-0005-0000-0000-0000D4670000}"/>
    <cellStyle name="Normal 2 3 2 16 4 5" xfId="26581" xr:uid="{00000000-0005-0000-0000-0000D5670000}"/>
    <cellStyle name="Normal 2 3 2 16 4 6" xfId="26582" xr:uid="{00000000-0005-0000-0000-0000D6670000}"/>
    <cellStyle name="Normal 2 3 2 16 4 7" xfId="26583" xr:uid="{00000000-0005-0000-0000-0000D7670000}"/>
    <cellStyle name="Normal 2 3 2 16 4 8" xfId="26584" xr:uid="{00000000-0005-0000-0000-0000D8670000}"/>
    <cellStyle name="Normal 2 3 2 16 4 9" xfId="26585" xr:uid="{00000000-0005-0000-0000-0000D9670000}"/>
    <cellStyle name="Normal 2 3 2 16 5" xfId="26586" xr:uid="{00000000-0005-0000-0000-0000DA670000}"/>
    <cellStyle name="Normal 2 3 2 16 5 10" xfId="26587" xr:uid="{00000000-0005-0000-0000-0000DB670000}"/>
    <cellStyle name="Normal 2 3 2 16 5 2" xfId="26588" xr:uid="{00000000-0005-0000-0000-0000DC670000}"/>
    <cellStyle name="Normal 2 3 2 16 5 3" xfId="26589" xr:uid="{00000000-0005-0000-0000-0000DD670000}"/>
    <cellStyle name="Normal 2 3 2 16 5 4" xfId="26590" xr:uid="{00000000-0005-0000-0000-0000DE670000}"/>
    <cellStyle name="Normal 2 3 2 16 5 5" xfId="26591" xr:uid="{00000000-0005-0000-0000-0000DF670000}"/>
    <cellStyle name="Normal 2 3 2 16 5 6" xfId="26592" xr:uid="{00000000-0005-0000-0000-0000E0670000}"/>
    <cellStyle name="Normal 2 3 2 16 5 7" xfId="26593" xr:uid="{00000000-0005-0000-0000-0000E1670000}"/>
    <cellStyle name="Normal 2 3 2 16 5 8" xfId="26594" xr:uid="{00000000-0005-0000-0000-0000E2670000}"/>
    <cellStyle name="Normal 2 3 2 16 5 9" xfId="26595" xr:uid="{00000000-0005-0000-0000-0000E3670000}"/>
    <cellStyle name="Normal 2 3 2 16 6" xfId="26596" xr:uid="{00000000-0005-0000-0000-0000E4670000}"/>
    <cellStyle name="Normal 2 3 2 16 7" xfId="26597" xr:uid="{00000000-0005-0000-0000-0000E5670000}"/>
    <cellStyle name="Normal 2 3 2 16 8" xfId="26598" xr:uid="{00000000-0005-0000-0000-0000E6670000}"/>
    <cellStyle name="Normal 2 3 2 16 9" xfId="26599" xr:uid="{00000000-0005-0000-0000-0000E7670000}"/>
    <cellStyle name="Normal 2 3 2 17" xfId="26600" xr:uid="{00000000-0005-0000-0000-0000E8670000}"/>
    <cellStyle name="Normal 2 3 2 17 10" xfId="26601" xr:uid="{00000000-0005-0000-0000-0000E9670000}"/>
    <cellStyle name="Normal 2 3 2 17 11" xfId="26602" xr:uid="{00000000-0005-0000-0000-0000EA670000}"/>
    <cellStyle name="Normal 2 3 2 17 12" xfId="26603" xr:uid="{00000000-0005-0000-0000-0000EB670000}"/>
    <cellStyle name="Normal 2 3 2 17 13" xfId="26604" xr:uid="{00000000-0005-0000-0000-0000EC670000}"/>
    <cellStyle name="Normal 2 3 2 17 14" xfId="26605" xr:uid="{00000000-0005-0000-0000-0000ED670000}"/>
    <cellStyle name="Normal 2 3 2 17 2" xfId="26606" xr:uid="{00000000-0005-0000-0000-0000EE670000}"/>
    <cellStyle name="Normal 2 3 2 17 2 10" xfId="26607" xr:uid="{00000000-0005-0000-0000-0000EF670000}"/>
    <cellStyle name="Normal 2 3 2 17 2 2" xfId="26608" xr:uid="{00000000-0005-0000-0000-0000F0670000}"/>
    <cellStyle name="Normal 2 3 2 17 2 3" xfId="26609" xr:uid="{00000000-0005-0000-0000-0000F1670000}"/>
    <cellStyle name="Normal 2 3 2 17 2 4" xfId="26610" xr:uid="{00000000-0005-0000-0000-0000F2670000}"/>
    <cellStyle name="Normal 2 3 2 17 2 5" xfId="26611" xr:uid="{00000000-0005-0000-0000-0000F3670000}"/>
    <cellStyle name="Normal 2 3 2 17 2 6" xfId="26612" xr:uid="{00000000-0005-0000-0000-0000F4670000}"/>
    <cellStyle name="Normal 2 3 2 17 2 7" xfId="26613" xr:uid="{00000000-0005-0000-0000-0000F5670000}"/>
    <cellStyle name="Normal 2 3 2 17 2 8" xfId="26614" xr:uid="{00000000-0005-0000-0000-0000F6670000}"/>
    <cellStyle name="Normal 2 3 2 17 2 9" xfId="26615" xr:uid="{00000000-0005-0000-0000-0000F7670000}"/>
    <cellStyle name="Normal 2 3 2 17 3" xfId="26616" xr:uid="{00000000-0005-0000-0000-0000F8670000}"/>
    <cellStyle name="Normal 2 3 2 17 3 10" xfId="26617" xr:uid="{00000000-0005-0000-0000-0000F9670000}"/>
    <cellStyle name="Normal 2 3 2 17 3 2" xfId="26618" xr:uid="{00000000-0005-0000-0000-0000FA670000}"/>
    <cellStyle name="Normal 2 3 2 17 3 3" xfId="26619" xr:uid="{00000000-0005-0000-0000-0000FB670000}"/>
    <cellStyle name="Normal 2 3 2 17 3 4" xfId="26620" xr:uid="{00000000-0005-0000-0000-0000FC670000}"/>
    <cellStyle name="Normal 2 3 2 17 3 5" xfId="26621" xr:uid="{00000000-0005-0000-0000-0000FD670000}"/>
    <cellStyle name="Normal 2 3 2 17 3 6" xfId="26622" xr:uid="{00000000-0005-0000-0000-0000FE670000}"/>
    <cellStyle name="Normal 2 3 2 17 3 7" xfId="26623" xr:uid="{00000000-0005-0000-0000-0000FF670000}"/>
    <cellStyle name="Normal 2 3 2 17 3 8" xfId="26624" xr:uid="{00000000-0005-0000-0000-000000680000}"/>
    <cellStyle name="Normal 2 3 2 17 3 9" xfId="26625" xr:uid="{00000000-0005-0000-0000-000001680000}"/>
    <cellStyle name="Normal 2 3 2 17 4" xfId="26626" xr:uid="{00000000-0005-0000-0000-000002680000}"/>
    <cellStyle name="Normal 2 3 2 17 4 10" xfId="26627" xr:uid="{00000000-0005-0000-0000-000003680000}"/>
    <cellStyle name="Normal 2 3 2 17 4 2" xfId="26628" xr:uid="{00000000-0005-0000-0000-000004680000}"/>
    <cellStyle name="Normal 2 3 2 17 4 3" xfId="26629" xr:uid="{00000000-0005-0000-0000-000005680000}"/>
    <cellStyle name="Normal 2 3 2 17 4 4" xfId="26630" xr:uid="{00000000-0005-0000-0000-000006680000}"/>
    <cellStyle name="Normal 2 3 2 17 4 5" xfId="26631" xr:uid="{00000000-0005-0000-0000-000007680000}"/>
    <cellStyle name="Normal 2 3 2 17 4 6" xfId="26632" xr:uid="{00000000-0005-0000-0000-000008680000}"/>
    <cellStyle name="Normal 2 3 2 17 4 7" xfId="26633" xr:uid="{00000000-0005-0000-0000-000009680000}"/>
    <cellStyle name="Normal 2 3 2 17 4 8" xfId="26634" xr:uid="{00000000-0005-0000-0000-00000A680000}"/>
    <cellStyle name="Normal 2 3 2 17 4 9" xfId="26635" xr:uid="{00000000-0005-0000-0000-00000B680000}"/>
    <cellStyle name="Normal 2 3 2 17 5" xfId="26636" xr:uid="{00000000-0005-0000-0000-00000C680000}"/>
    <cellStyle name="Normal 2 3 2 17 5 10" xfId="26637" xr:uid="{00000000-0005-0000-0000-00000D680000}"/>
    <cellStyle name="Normal 2 3 2 17 5 2" xfId="26638" xr:uid="{00000000-0005-0000-0000-00000E680000}"/>
    <cellStyle name="Normal 2 3 2 17 5 3" xfId="26639" xr:uid="{00000000-0005-0000-0000-00000F680000}"/>
    <cellStyle name="Normal 2 3 2 17 5 4" xfId="26640" xr:uid="{00000000-0005-0000-0000-000010680000}"/>
    <cellStyle name="Normal 2 3 2 17 5 5" xfId="26641" xr:uid="{00000000-0005-0000-0000-000011680000}"/>
    <cellStyle name="Normal 2 3 2 17 5 6" xfId="26642" xr:uid="{00000000-0005-0000-0000-000012680000}"/>
    <cellStyle name="Normal 2 3 2 17 5 7" xfId="26643" xr:uid="{00000000-0005-0000-0000-000013680000}"/>
    <cellStyle name="Normal 2 3 2 17 5 8" xfId="26644" xr:uid="{00000000-0005-0000-0000-000014680000}"/>
    <cellStyle name="Normal 2 3 2 17 5 9" xfId="26645" xr:uid="{00000000-0005-0000-0000-000015680000}"/>
    <cellStyle name="Normal 2 3 2 17 6" xfId="26646" xr:uid="{00000000-0005-0000-0000-000016680000}"/>
    <cellStyle name="Normal 2 3 2 17 7" xfId="26647" xr:uid="{00000000-0005-0000-0000-000017680000}"/>
    <cellStyle name="Normal 2 3 2 17 8" xfId="26648" xr:uid="{00000000-0005-0000-0000-000018680000}"/>
    <cellStyle name="Normal 2 3 2 17 9" xfId="26649" xr:uid="{00000000-0005-0000-0000-000019680000}"/>
    <cellStyle name="Normal 2 3 2 18" xfId="26650" xr:uid="{00000000-0005-0000-0000-00001A680000}"/>
    <cellStyle name="Normal 2 3 2 18 10" xfId="26651" xr:uid="{00000000-0005-0000-0000-00001B680000}"/>
    <cellStyle name="Normal 2 3 2 18 11" xfId="26652" xr:uid="{00000000-0005-0000-0000-00001C680000}"/>
    <cellStyle name="Normal 2 3 2 18 12" xfId="26653" xr:uid="{00000000-0005-0000-0000-00001D680000}"/>
    <cellStyle name="Normal 2 3 2 18 13" xfId="26654" xr:uid="{00000000-0005-0000-0000-00001E680000}"/>
    <cellStyle name="Normal 2 3 2 18 14" xfId="26655" xr:uid="{00000000-0005-0000-0000-00001F680000}"/>
    <cellStyle name="Normal 2 3 2 18 2" xfId="26656" xr:uid="{00000000-0005-0000-0000-000020680000}"/>
    <cellStyle name="Normal 2 3 2 18 2 10" xfId="26657" xr:uid="{00000000-0005-0000-0000-000021680000}"/>
    <cellStyle name="Normal 2 3 2 18 2 2" xfId="26658" xr:uid="{00000000-0005-0000-0000-000022680000}"/>
    <cellStyle name="Normal 2 3 2 18 2 3" xfId="26659" xr:uid="{00000000-0005-0000-0000-000023680000}"/>
    <cellStyle name="Normal 2 3 2 18 2 4" xfId="26660" xr:uid="{00000000-0005-0000-0000-000024680000}"/>
    <cellStyle name="Normal 2 3 2 18 2 5" xfId="26661" xr:uid="{00000000-0005-0000-0000-000025680000}"/>
    <cellStyle name="Normal 2 3 2 18 2 6" xfId="26662" xr:uid="{00000000-0005-0000-0000-000026680000}"/>
    <cellStyle name="Normal 2 3 2 18 2 7" xfId="26663" xr:uid="{00000000-0005-0000-0000-000027680000}"/>
    <cellStyle name="Normal 2 3 2 18 2 8" xfId="26664" xr:uid="{00000000-0005-0000-0000-000028680000}"/>
    <cellStyle name="Normal 2 3 2 18 2 9" xfId="26665" xr:uid="{00000000-0005-0000-0000-000029680000}"/>
    <cellStyle name="Normal 2 3 2 18 3" xfId="26666" xr:uid="{00000000-0005-0000-0000-00002A680000}"/>
    <cellStyle name="Normal 2 3 2 18 3 10" xfId="26667" xr:uid="{00000000-0005-0000-0000-00002B680000}"/>
    <cellStyle name="Normal 2 3 2 18 3 2" xfId="26668" xr:uid="{00000000-0005-0000-0000-00002C680000}"/>
    <cellStyle name="Normal 2 3 2 18 3 3" xfId="26669" xr:uid="{00000000-0005-0000-0000-00002D680000}"/>
    <cellStyle name="Normal 2 3 2 18 3 4" xfId="26670" xr:uid="{00000000-0005-0000-0000-00002E680000}"/>
    <cellStyle name="Normal 2 3 2 18 3 5" xfId="26671" xr:uid="{00000000-0005-0000-0000-00002F680000}"/>
    <cellStyle name="Normal 2 3 2 18 3 6" xfId="26672" xr:uid="{00000000-0005-0000-0000-000030680000}"/>
    <cellStyle name="Normal 2 3 2 18 3 7" xfId="26673" xr:uid="{00000000-0005-0000-0000-000031680000}"/>
    <cellStyle name="Normal 2 3 2 18 3 8" xfId="26674" xr:uid="{00000000-0005-0000-0000-000032680000}"/>
    <cellStyle name="Normal 2 3 2 18 3 9" xfId="26675" xr:uid="{00000000-0005-0000-0000-000033680000}"/>
    <cellStyle name="Normal 2 3 2 18 4" xfId="26676" xr:uid="{00000000-0005-0000-0000-000034680000}"/>
    <cellStyle name="Normal 2 3 2 18 4 10" xfId="26677" xr:uid="{00000000-0005-0000-0000-000035680000}"/>
    <cellStyle name="Normal 2 3 2 18 4 2" xfId="26678" xr:uid="{00000000-0005-0000-0000-000036680000}"/>
    <cellStyle name="Normal 2 3 2 18 4 3" xfId="26679" xr:uid="{00000000-0005-0000-0000-000037680000}"/>
    <cellStyle name="Normal 2 3 2 18 4 4" xfId="26680" xr:uid="{00000000-0005-0000-0000-000038680000}"/>
    <cellStyle name="Normal 2 3 2 18 4 5" xfId="26681" xr:uid="{00000000-0005-0000-0000-000039680000}"/>
    <cellStyle name="Normal 2 3 2 18 4 6" xfId="26682" xr:uid="{00000000-0005-0000-0000-00003A680000}"/>
    <cellStyle name="Normal 2 3 2 18 4 7" xfId="26683" xr:uid="{00000000-0005-0000-0000-00003B680000}"/>
    <cellStyle name="Normal 2 3 2 18 4 8" xfId="26684" xr:uid="{00000000-0005-0000-0000-00003C680000}"/>
    <cellStyle name="Normal 2 3 2 18 4 9" xfId="26685" xr:uid="{00000000-0005-0000-0000-00003D680000}"/>
    <cellStyle name="Normal 2 3 2 18 5" xfId="26686" xr:uid="{00000000-0005-0000-0000-00003E680000}"/>
    <cellStyle name="Normal 2 3 2 18 5 10" xfId="26687" xr:uid="{00000000-0005-0000-0000-00003F680000}"/>
    <cellStyle name="Normal 2 3 2 18 5 2" xfId="26688" xr:uid="{00000000-0005-0000-0000-000040680000}"/>
    <cellStyle name="Normal 2 3 2 18 5 3" xfId="26689" xr:uid="{00000000-0005-0000-0000-000041680000}"/>
    <cellStyle name="Normal 2 3 2 18 5 4" xfId="26690" xr:uid="{00000000-0005-0000-0000-000042680000}"/>
    <cellStyle name="Normal 2 3 2 18 5 5" xfId="26691" xr:uid="{00000000-0005-0000-0000-000043680000}"/>
    <cellStyle name="Normal 2 3 2 18 5 6" xfId="26692" xr:uid="{00000000-0005-0000-0000-000044680000}"/>
    <cellStyle name="Normal 2 3 2 18 5 7" xfId="26693" xr:uid="{00000000-0005-0000-0000-000045680000}"/>
    <cellStyle name="Normal 2 3 2 18 5 8" xfId="26694" xr:uid="{00000000-0005-0000-0000-000046680000}"/>
    <cellStyle name="Normal 2 3 2 18 5 9" xfId="26695" xr:uid="{00000000-0005-0000-0000-000047680000}"/>
    <cellStyle name="Normal 2 3 2 18 6" xfId="26696" xr:uid="{00000000-0005-0000-0000-000048680000}"/>
    <cellStyle name="Normal 2 3 2 18 7" xfId="26697" xr:uid="{00000000-0005-0000-0000-000049680000}"/>
    <cellStyle name="Normal 2 3 2 18 8" xfId="26698" xr:uid="{00000000-0005-0000-0000-00004A680000}"/>
    <cellStyle name="Normal 2 3 2 18 9" xfId="26699" xr:uid="{00000000-0005-0000-0000-00004B680000}"/>
    <cellStyle name="Normal 2 3 2 19" xfId="26700" xr:uid="{00000000-0005-0000-0000-00004C680000}"/>
    <cellStyle name="Normal 2 3 2 19 10" xfId="26701" xr:uid="{00000000-0005-0000-0000-00004D680000}"/>
    <cellStyle name="Normal 2 3 2 19 11" xfId="26702" xr:uid="{00000000-0005-0000-0000-00004E680000}"/>
    <cellStyle name="Normal 2 3 2 19 12" xfId="26703" xr:uid="{00000000-0005-0000-0000-00004F680000}"/>
    <cellStyle name="Normal 2 3 2 19 13" xfId="26704" xr:uid="{00000000-0005-0000-0000-000050680000}"/>
    <cellStyle name="Normal 2 3 2 19 14" xfId="26705" xr:uid="{00000000-0005-0000-0000-000051680000}"/>
    <cellStyle name="Normal 2 3 2 19 2" xfId="26706" xr:uid="{00000000-0005-0000-0000-000052680000}"/>
    <cellStyle name="Normal 2 3 2 19 2 10" xfId="26707" xr:uid="{00000000-0005-0000-0000-000053680000}"/>
    <cellStyle name="Normal 2 3 2 19 2 2" xfId="26708" xr:uid="{00000000-0005-0000-0000-000054680000}"/>
    <cellStyle name="Normal 2 3 2 19 2 3" xfId="26709" xr:uid="{00000000-0005-0000-0000-000055680000}"/>
    <cellStyle name="Normal 2 3 2 19 2 4" xfId="26710" xr:uid="{00000000-0005-0000-0000-000056680000}"/>
    <cellStyle name="Normal 2 3 2 19 2 5" xfId="26711" xr:uid="{00000000-0005-0000-0000-000057680000}"/>
    <cellStyle name="Normal 2 3 2 19 2 6" xfId="26712" xr:uid="{00000000-0005-0000-0000-000058680000}"/>
    <cellStyle name="Normal 2 3 2 19 2 7" xfId="26713" xr:uid="{00000000-0005-0000-0000-000059680000}"/>
    <cellStyle name="Normal 2 3 2 19 2 8" xfId="26714" xr:uid="{00000000-0005-0000-0000-00005A680000}"/>
    <cellStyle name="Normal 2 3 2 19 2 9" xfId="26715" xr:uid="{00000000-0005-0000-0000-00005B680000}"/>
    <cellStyle name="Normal 2 3 2 19 3" xfId="26716" xr:uid="{00000000-0005-0000-0000-00005C680000}"/>
    <cellStyle name="Normal 2 3 2 19 3 10" xfId="26717" xr:uid="{00000000-0005-0000-0000-00005D680000}"/>
    <cellStyle name="Normal 2 3 2 19 3 2" xfId="26718" xr:uid="{00000000-0005-0000-0000-00005E680000}"/>
    <cellStyle name="Normal 2 3 2 19 3 3" xfId="26719" xr:uid="{00000000-0005-0000-0000-00005F680000}"/>
    <cellStyle name="Normal 2 3 2 19 3 4" xfId="26720" xr:uid="{00000000-0005-0000-0000-000060680000}"/>
    <cellStyle name="Normal 2 3 2 19 3 5" xfId="26721" xr:uid="{00000000-0005-0000-0000-000061680000}"/>
    <cellStyle name="Normal 2 3 2 19 3 6" xfId="26722" xr:uid="{00000000-0005-0000-0000-000062680000}"/>
    <cellStyle name="Normal 2 3 2 19 3 7" xfId="26723" xr:uid="{00000000-0005-0000-0000-000063680000}"/>
    <cellStyle name="Normal 2 3 2 19 3 8" xfId="26724" xr:uid="{00000000-0005-0000-0000-000064680000}"/>
    <cellStyle name="Normal 2 3 2 19 3 9" xfId="26725" xr:uid="{00000000-0005-0000-0000-000065680000}"/>
    <cellStyle name="Normal 2 3 2 19 4" xfId="26726" xr:uid="{00000000-0005-0000-0000-000066680000}"/>
    <cellStyle name="Normal 2 3 2 19 4 10" xfId="26727" xr:uid="{00000000-0005-0000-0000-000067680000}"/>
    <cellStyle name="Normal 2 3 2 19 4 2" xfId="26728" xr:uid="{00000000-0005-0000-0000-000068680000}"/>
    <cellStyle name="Normal 2 3 2 19 4 3" xfId="26729" xr:uid="{00000000-0005-0000-0000-000069680000}"/>
    <cellStyle name="Normal 2 3 2 19 4 4" xfId="26730" xr:uid="{00000000-0005-0000-0000-00006A680000}"/>
    <cellStyle name="Normal 2 3 2 19 4 5" xfId="26731" xr:uid="{00000000-0005-0000-0000-00006B680000}"/>
    <cellStyle name="Normal 2 3 2 19 4 6" xfId="26732" xr:uid="{00000000-0005-0000-0000-00006C680000}"/>
    <cellStyle name="Normal 2 3 2 19 4 7" xfId="26733" xr:uid="{00000000-0005-0000-0000-00006D680000}"/>
    <cellStyle name="Normal 2 3 2 19 4 8" xfId="26734" xr:uid="{00000000-0005-0000-0000-00006E680000}"/>
    <cellStyle name="Normal 2 3 2 19 4 9" xfId="26735" xr:uid="{00000000-0005-0000-0000-00006F680000}"/>
    <cellStyle name="Normal 2 3 2 19 5" xfId="26736" xr:uid="{00000000-0005-0000-0000-000070680000}"/>
    <cellStyle name="Normal 2 3 2 19 5 10" xfId="26737" xr:uid="{00000000-0005-0000-0000-000071680000}"/>
    <cellStyle name="Normal 2 3 2 19 5 2" xfId="26738" xr:uid="{00000000-0005-0000-0000-000072680000}"/>
    <cellStyle name="Normal 2 3 2 19 5 3" xfId="26739" xr:uid="{00000000-0005-0000-0000-000073680000}"/>
    <cellStyle name="Normal 2 3 2 19 5 4" xfId="26740" xr:uid="{00000000-0005-0000-0000-000074680000}"/>
    <cellStyle name="Normal 2 3 2 19 5 5" xfId="26741" xr:uid="{00000000-0005-0000-0000-000075680000}"/>
    <cellStyle name="Normal 2 3 2 19 5 6" xfId="26742" xr:uid="{00000000-0005-0000-0000-000076680000}"/>
    <cellStyle name="Normal 2 3 2 19 5 7" xfId="26743" xr:uid="{00000000-0005-0000-0000-000077680000}"/>
    <cellStyle name="Normal 2 3 2 19 5 8" xfId="26744" xr:uid="{00000000-0005-0000-0000-000078680000}"/>
    <cellStyle name="Normal 2 3 2 19 5 9" xfId="26745" xr:uid="{00000000-0005-0000-0000-000079680000}"/>
    <cellStyle name="Normal 2 3 2 19 6" xfId="26746" xr:uid="{00000000-0005-0000-0000-00007A680000}"/>
    <cellStyle name="Normal 2 3 2 19 7" xfId="26747" xr:uid="{00000000-0005-0000-0000-00007B680000}"/>
    <cellStyle name="Normal 2 3 2 19 8" xfId="26748" xr:uid="{00000000-0005-0000-0000-00007C680000}"/>
    <cellStyle name="Normal 2 3 2 19 9" xfId="26749" xr:uid="{00000000-0005-0000-0000-00007D680000}"/>
    <cellStyle name="Normal 2 3 2 2" xfId="26750" xr:uid="{00000000-0005-0000-0000-00007E680000}"/>
    <cellStyle name="Normal 2 3 2 2 10" xfId="26751" xr:uid="{00000000-0005-0000-0000-00007F680000}"/>
    <cellStyle name="Normal 2 3 2 2 11" xfId="26752" xr:uid="{00000000-0005-0000-0000-000080680000}"/>
    <cellStyle name="Normal 2 3 2 2 12" xfId="26753" xr:uid="{00000000-0005-0000-0000-000081680000}"/>
    <cellStyle name="Normal 2 3 2 2 13" xfId="26754" xr:uid="{00000000-0005-0000-0000-000082680000}"/>
    <cellStyle name="Normal 2 3 2 2 14" xfId="26755" xr:uid="{00000000-0005-0000-0000-000083680000}"/>
    <cellStyle name="Normal 2 3 2 2 15" xfId="26756" xr:uid="{00000000-0005-0000-0000-000084680000}"/>
    <cellStyle name="Normal 2 3 2 2 16" xfId="26757" xr:uid="{00000000-0005-0000-0000-000085680000}"/>
    <cellStyle name="Normal 2 3 2 2 2" xfId="26758" xr:uid="{00000000-0005-0000-0000-000086680000}"/>
    <cellStyle name="Normal 2 3 2 2 2 10" xfId="26759" xr:uid="{00000000-0005-0000-0000-000087680000}"/>
    <cellStyle name="Normal 2 3 2 2 2 11" xfId="26760" xr:uid="{00000000-0005-0000-0000-000088680000}"/>
    <cellStyle name="Normal 2 3 2 2 2 12" xfId="26761" xr:uid="{00000000-0005-0000-0000-000089680000}"/>
    <cellStyle name="Normal 2 3 2 2 2 2" xfId="26762" xr:uid="{00000000-0005-0000-0000-00008A680000}"/>
    <cellStyle name="Normal 2 3 2 2 2 3" xfId="26763" xr:uid="{00000000-0005-0000-0000-00008B680000}"/>
    <cellStyle name="Normal 2 3 2 2 2 4" xfId="26764" xr:uid="{00000000-0005-0000-0000-00008C680000}"/>
    <cellStyle name="Normal 2 3 2 2 2 5" xfId="26765" xr:uid="{00000000-0005-0000-0000-00008D680000}"/>
    <cellStyle name="Normal 2 3 2 2 2 6" xfId="26766" xr:uid="{00000000-0005-0000-0000-00008E680000}"/>
    <cellStyle name="Normal 2 3 2 2 2 7" xfId="26767" xr:uid="{00000000-0005-0000-0000-00008F680000}"/>
    <cellStyle name="Normal 2 3 2 2 2 8" xfId="26768" xr:uid="{00000000-0005-0000-0000-000090680000}"/>
    <cellStyle name="Normal 2 3 2 2 2 9" xfId="26769" xr:uid="{00000000-0005-0000-0000-000091680000}"/>
    <cellStyle name="Normal 2 3 2 2 3" xfId="26770" xr:uid="{00000000-0005-0000-0000-000092680000}"/>
    <cellStyle name="Normal 2 3 2 2 3 10" xfId="26771" xr:uid="{00000000-0005-0000-0000-000093680000}"/>
    <cellStyle name="Normal 2 3 2 2 3 2" xfId="26772" xr:uid="{00000000-0005-0000-0000-000094680000}"/>
    <cellStyle name="Normal 2 3 2 2 3 3" xfId="26773" xr:uid="{00000000-0005-0000-0000-000095680000}"/>
    <cellStyle name="Normal 2 3 2 2 3 4" xfId="26774" xr:uid="{00000000-0005-0000-0000-000096680000}"/>
    <cellStyle name="Normal 2 3 2 2 3 5" xfId="26775" xr:uid="{00000000-0005-0000-0000-000097680000}"/>
    <cellStyle name="Normal 2 3 2 2 3 6" xfId="26776" xr:uid="{00000000-0005-0000-0000-000098680000}"/>
    <cellStyle name="Normal 2 3 2 2 3 7" xfId="26777" xr:uid="{00000000-0005-0000-0000-000099680000}"/>
    <cellStyle name="Normal 2 3 2 2 3 8" xfId="26778" xr:uid="{00000000-0005-0000-0000-00009A680000}"/>
    <cellStyle name="Normal 2 3 2 2 3 9" xfId="26779" xr:uid="{00000000-0005-0000-0000-00009B680000}"/>
    <cellStyle name="Normal 2 3 2 2 4" xfId="26780" xr:uid="{00000000-0005-0000-0000-00009C680000}"/>
    <cellStyle name="Normal 2 3 2 2 4 10" xfId="26781" xr:uid="{00000000-0005-0000-0000-00009D680000}"/>
    <cellStyle name="Normal 2 3 2 2 4 2" xfId="26782" xr:uid="{00000000-0005-0000-0000-00009E680000}"/>
    <cellStyle name="Normal 2 3 2 2 4 3" xfId="26783" xr:uid="{00000000-0005-0000-0000-00009F680000}"/>
    <cellStyle name="Normal 2 3 2 2 4 4" xfId="26784" xr:uid="{00000000-0005-0000-0000-0000A0680000}"/>
    <cellStyle name="Normal 2 3 2 2 4 5" xfId="26785" xr:uid="{00000000-0005-0000-0000-0000A1680000}"/>
    <cellStyle name="Normal 2 3 2 2 4 6" xfId="26786" xr:uid="{00000000-0005-0000-0000-0000A2680000}"/>
    <cellStyle name="Normal 2 3 2 2 4 7" xfId="26787" xr:uid="{00000000-0005-0000-0000-0000A3680000}"/>
    <cellStyle name="Normal 2 3 2 2 4 8" xfId="26788" xr:uid="{00000000-0005-0000-0000-0000A4680000}"/>
    <cellStyle name="Normal 2 3 2 2 4 9" xfId="26789" xr:uid="{00000000-0005-0000-0000-0000A5680000}"/>
    <cellStyle name="Normal 2 3 2 2 5" xfId="26790" xr:uid="{00000000-0005-0000-0000-0000A6680000}"/>
    <cellStyle name="Normal 2 3 2 2 5 10" xfId="26791" xr:uid="{00000000-0005-0000-0000-0000A7680000}"/>
    <cellStyle name="Normal 2 3 2 2 5 2" xfId="26792" xr:uid="{00000000-0005-0000-0000-0000A8680000}"/>
    <cellStyle name="Normal 2 3 2 2 5 3" xfId="26793" xr:uid="{00000000-0005-0000-0000-0000A9680000}"/>
    <cellStyle name="Normal 2 3 2 2 5 4" xfId="26794" xr:uid="{00000000-0005-0000-0000-0000AA680000}"/>
    <cellStyle name="Normal 2 3 2 2 5 5" xfId="26795" xr:uid="{00000000-0005-0000-0000-0000AB680000}"/>
    <cellStyle name="Normal 2 3 2 2 5 6" xfId="26796" xr:uid="{00000000-0005-0000-0000-0000AC680000}"/>
    <cellStyle name="Normal 2 3 2 2 5 7" xfId="26797" xr:uid="{00000000-0005-0000-0000-0000AD680000}"/>
    <cellStyle name="Normal 2 3 2 2 5 8" xfId="26798" xr:uid="{00000000-0005-0000-0000-0000AE680000}"/>
    <cellStyle name="Normal 2 3 2 2 5 9" xfId="26799" xr:uid="{00000000-0005-0000-0000-0000AF680000}"/>
    <cellStyle name="Normal 2 3 2 2 6" xfId="26800" xr:uid="{00000000-0005-0000-0000-0000B0680000}"/>
    <cellStyle name="Normal 2 3 2 2 7" xfId="26801" xr:uid="{00000000-0005-0000-0000-0000B1680000}"/>
    <cellStyle name="Normal 2 3 2 2 8" xfId="26802" xr:uid="{00000000-0005-0000-0000-0000B2680000}"/>
    <cellStyle name="Normal 2 3 2 2 9" xfId="26803" xr:uid="{00000000-0005-0000-0000-0000B3680000}"/>
    <cellStyle name="Normal 2 3 2 20" xfId="26804" xr:uid="{00000000-0005-0000-0000-0000B4680000}"/>
    <cellStyle name="Normal 2 3 2 20 10" xfId="26805" xr:uid="{00000000-0005-0000-0000-0000B5680000}"/>
    <cellStyle name="Normal 2 3 2 20 11" xfId="26806" xr:uid="{00000000-0005-0000-0000-0000B6680000}"/>
    <cellStyle name="Normal 2 3 2 20 12" xfId="26807" xr:uid="{00000000-0005-0000-0000-0000B7680000}"/>
    <cellStyle name="Normal 2 3 2 20 13" xfId="26808" xr:uid="{00000000-0005-0000-0000-0000B8680000}"/>
    <cellStyle name="Normal 2 3 2 20 14" xfId="26809" xr:uid="{00000000-0005-0000-0000-0000B9680000}"/>
    <cellStyle name="Normal 2 3 2 20 2" xfId="26810" xr:uid="{00000000-0005-0000-0000-0000BA680000}"/>
    <cellStyle name="Normal 2 3 2 20 2 10" xfId="26811" xr:uid="{00000000-0005-0000-0000-0000BB680000}"/>
    <cellStyle name="Normal 2 3 2 20 2 2" xfId="26812" xr:uid="{00000000-0005-0000-0000-0000BC680000}"/>
    <cellStyle name="Normal 2 3 2 20 2 3" xfId="26813" xr:uid="{00000000-0005-0000-0000-0000BD680000}"/>
    <cellStyle name="Normal 2 3 2 20 2 4" xfId="26814" xr:uid="{00000000-0005-0000-0000-0000BE680000}"/>
    <cellStyle name="Normal 2 3 2 20 2 5" xfId="26815" xr:uid="{00000000-0005-0000-0000-0000BF680000}"/>
    <cellStyle name="Normal 2 3 2 20 2 6" xfId="26816" xr:uid="{00000000-0005-0000-0000-0000C0680000}"/>
    <cellStyle name="Normal 2 3 2 20 2 7" xfId="26817" xr:uid="{00000000-0005-0000-0000-0000C1680000}"/>
    <cellStyle name="Normal 2 3 2 20 2 8" xfId="26818" xr:uid="{00000000-0005-0000-0000-0000C2680000}"/>
    <cellStyle name="Normal 2 3 2 20 2 9" xfId="26819" xr:uid="{00000000-0005-0000-0000-0000C3680000}"/>
    <cellStyle name="Normal 2 3 2 20 3" xfId="26820" xr:uid="{00000000-0005-0000-0000-0000C4680000}"/>
    <cellStyle name="Normal 2 3 2 20 3 10" xfId="26821" xr:uid="{00000000-0005-0000-0000-0000C5680000}"/>
    <cellStyle name="Normal 2 3 2 20 3 2" xfId="26822" xr:uid="{00000000-0005-0000-0000-0000C6680000}"/>
    <cellStyle name="Normal 2 3 2 20 3 3" xfId="26823" xr:uid="{00000000-0005-0000-0000-0000C7680000}"/>
    <cellStyle name="Normal 2 3 2 20 3 4" xfId="26824" xr:uid="{00000000-0005-0000-0000-0000C8680000}"/>
    <cellStyle name="Normal 2 3 2 20 3 5" xfId="26825" xr:uid="{00000000-0005-0000-0000-0000C9680000}"/>
    <cellStyle name="Normal 2 3 2 20 3 6" xfId="26826" xr:uid="{00000000-0005-0000-0000-0000CA680000}"/>
    <cellStyle name="Normal 2 3 2 20 3 7" xfId="26827" xr:uid="{00000000-0005-0000-0000-0000CB680000}"/>
    <cellStyle name="Normal 2 3 2 20 3 8" xfId="26828" xr:uid="{00000000-0005-0000-0000-0000CC680000}"/>
    <cellStyle name="Normal 2 3 2 20 3 9" xfId="26829" xr:uid="{00000000-0005-0000-0000-0000CD680000}"/>
    <cellStyle name="Normal 2 3 2 20 4" xfId="26830" xr:uid="{00000000-0005-0000-0000-0000CE680000}"/>
    <cellStyle name="Normal 2 3 2 20 4 10" xfId="26831" xr:uid="{00000000-0005-0000-0000-0000CF680000}"/>
    <cellStyle name="Normal 2 3 2 20 4 2" xfId="26832" xr:uid="{00000000-0005-0000-0000-0000D0680000}"/>
    <cellStyle name="Normal 2 3 2 20 4 3" xfId="26833" xr:uid="{00000000-0005-0000-0000-0000D1680000}"/>
    <cellStyle name="Normal 2 3 2 20 4 4" xfId="26834" xr:uid="{00000000-0005-0000-0000-0000D2680000}"/>
    <cellStyle name="Normal 2 3 2 20 4 5" xfId="26835" xr:uid="{00000000-0005-0000-0000-0000D3680000}"/>
    <cellStyle name="Normal 2 3 2 20 4 6" xfId="26836" xr:uid="{00000000-0005-0000-0000-0000D4680000}"/>
    <cellStyle name="Normal 2 3 2 20 4 7" xfId="26837" xr:uid="{00000000-0005-0000-0000-0000D5680000}"/>
    <cellStyle name="Normal 2 3 2 20 4 8" xfId="26838" xr:uid="{00000000-0005-0000-0000-0000D6680000}"/>
    <cellStyle name="Normal 2 3 2 20 4 9" xfId="26839" xr:uid="{00000000-0005-0000-0000-0000D7680000}"/>
    <cellStyle name="Normal 2 3 2 20 5" xfId="26840" xr:uid="{00000000-0005-0000-0000-0000D8680000}"/>
    <cellStyle name="Normal 2 3 2 20 5 10" xfId="26841" xr:uid="{00000000-0005-0000-0000-0000D9680000}"/>
    <cellStyle name="Normal 2 3 2 20 5 2" xfId="26842" xr:uid="{00000000-0005-0000-0000-0000DA680000}"/>
    <cellStyle name="Normal 2 3 2 20 5 3" xfId="26843" xr:uid="{00000000-0005-0000-0000-0000DB680000}"/>
    <cellStyle name="Normal 2 3 2 20 5 4" xfId="26844" xr:uid="{00000000-0005-0000-0000-0000DC680000}"/>
    <cellStyle name="Normal 2 3 2 20 5 5" xfId="26845" xr:uid="{00000000-0005-0000-0000-0000DD680000}"/>
    <cellStyle name="Normal 2 3 2 20 5 6" xfId="26846" xr:uid="{00000000-0005-0000-0000-0000DE680000}"/>
    <cellStyle name="Normal 2 3 2 20 5 7" xfId="26847" xr:uid="{00000000-0005-0000-0000-0000DF680000}"/>
    <cellStyle name="Normal 2 3 2 20 5 8" xfId="26848" xr:uid="{00000000-0005-0000-0000-0000E0680000}"/>
    <cellStyle name="Normal 2 3 2 20 5 9" xfId="26849" xr:uid="{00000000-0005-0000-0000-0000E1680000}"/>
    <cellStyle name="Normal 2 3 2 20 6" xfId="26850" xr:uid="{00000000-0005-0000-0000-0000E2680000}"/>
    <cellStyle name="Normal 2 3 2 20 7" xfId="26851" xr:uid="{00000000-0005-0000-0000-0000E3680000}"/>
    <cellStyle name="Normal 2 3 2 20 8" xfId="26852" xr:uid="{00000000-0005-0000-0000-0000E4680000}"/>
    <cellStyle name="Normal 2 3 2 20 9" xfId="26853" xr:uid="{00000000-0005-0000-0000-0000E5680000}"/>
    <cellStyle name="Normal 2 3 2 21" xfId="26854" xr:uid="{00000000-0005-0000-0000-0000E6680000}"/>
    <cellStyle name="Normal 2 3 2 21 10" xfId="26855" xr:uid="{00000000-0005-0000-0000-0000E7680000}"/>
    <cellStyle name="Normal 2 3 2 21 11" xfId="26856" xr:uid="{00000000-0005-0000-0000-0000E8680000}"/>
    <cellStyle name="Normal 2 3 2 21 12" xfId="26857" xr:uid="{00000000-0005-0000-0000-0000E9680000}"/>
    <cellStyle name="Normal 2 3 2 21 13" xfId="26858" xr:uid="{00000000-0005-0000-0000-0000EA680000}"/>
    <cellStyle name="Normal 2 3 2 21 14" xfId="26859" xr:uid="{00000000-0005-0000-0000-0000EB680000}"/>
    <cellStyle name="Normal 2 3 2 21 2" xfId="26860" xr:uid="{00000000-0005-0000-0000-0000EC680000}"/>
    <cellStyle name="Normal 2 3 2 21 2 10" xfId="26861" xr:uid="{00000000-0005-0000-0000-0000ED680000}"/>
    <cellStyle name="Normal 2 3 2 21 2 2" xfId="26862" xr:uid="{00000000-0005-0000-0000-0000EE680000}"/>
    <cellStyle name="Normal 2 3 2 21 2 3" xfId="26863" xr:uid="{00000000-0005-0000-0000-0000EF680000}"/>
    <cellStyle name="Normal 2 3 2 21 2 4" xfId="26864" xr:uid="{00000000-0005-0000-0000-0000F0680000}"/>
    <cellStyle name="Normal 2 3 2 21 2 5" xfId="26865" xr:uid="{00000000-0005-0000-0000-0000F1680000}"/>
    <cellStyle name="Normal 2 3 2 21 2 6" xfId="26866" xr:uid="{00000000-0005-0000-0000-0000F2680000}"/>
    <cellStyle name="Normal 2 3 2 21 2 7" xfId="26867" xr:uid="{00000000-0005-0000-0000-0000F3680000}"/>
    <cellStyle name="Normal 2 3 2 21 2 8" xfId="26868" xr:uid="{00000000-0005-0000-0000-0000F4680000}"/>
    <cellStyle name="Normal 2 3 2 21 2 9" xfId="26869" xr:uid="{00000000-0005-0000-0000-0000F5680000}"/>
    <cellStyle name="Normal 2 3 2 21 3" xfId="26870" xr:uid="{00000000-0005-0000-0000-0000F6680000}"/>
    <cellStyle name="Normal 2 3 2 21 3 10" xfId="26871" xr:uid="{00000000-0005-0000-0000-0000F7680000}"/>
    <cellStyle name="Normal 2 3 2 21 3 2" xfId="26872" xr:uid="{00000000-0005-0000-0000-0000F8680000}"/>
    <cellStyle name="Normal 2 3 2 21 3 3" xfId="26873" xr:uid="{00000000-0005-0000-0000-0000F9680000}"/>
    <cellStyle name="Normal 2 3 2 21 3 4" xfId="26874" xr:uid="{00000000-0005-0000-0000-0000FA680000}"/>
    <cellStyle name="Normal 2 3 2 21 3 5" xfId="26875" xr:uid="{00000000-0005-0000-0000-0000FB680000}"/>
    <cellStyle name="Normal 2 3 2 21 3 6" xfId="26876" xr:uid="{00000000-0005-0000-0000-0000FC680000}"/>
    <cellStyle name="Normal 2 3 2 21 3 7" xfId="26877" xr:uid="{00000000-0005-0000-0000-0000FD680000}"/>
    <cellStyle name="Normal 2 3 2 21 3 8" xfId="26878" xr:uid="{00000000-0005-0000-0000-0000FE680000}"/>
    <cellStyle name="Normal 2 3 2 21 3 9" xfId="26879" xr:uid="{00000000-0005-0000-0000-0000FF680000}"/>
    <cellStyle name="Normal 2 3 2 21 4" xfId="26880" xr:uid="{00000000-0005-0000-0000-000000690000}"/>
    <cellStyle name="Normal 2 3 2 21 4 10" xfId="26881" xr:uid="{00000000-0005-0000-0000-000001690000}"/>
    <cellStyle name="Normal 2 3 2 21 4 2" xfId="26882" xr:uid="{00000000-0005-0000-0000-000002690000}"/>
    <cellStyle name="Normal 2 3 2 21 4 3" xfId="26883" xr:uid="{00000000-0005-0000-0000-000003690000}"/>
    <cellStyle name="Normal 2 3 2 21 4 4" xfId="26884" xr:uid="{00000000-0005-0000-0000-000004690000}"/>
    <cellStyle name="Normal 2 3 2 21 4 5" xfId="26885" xr:uid="{00000000-0005-0000-0000-000005690000}"/>
    <cellStyle name="Normal 2 3 2 21 4 6" xfId="26886" xr:uid="{00000000-0005-0000-0000-000006690000}"/>
    <cellStyle name="Normal 2 3 2 21 4 7" xfId="26887" xr:uid="{00000000-0005-0000-0000-000007690000}"/>
    <cellStyle name="Normal 2 3 2 21 4 8" xfId="26888" xr:uid="{00000000-0005-0000-0000-000008690000}"/>
    <cellStyle name="Normal 2 3 2 21 4 9" xfId="26889" xr:uid="{00000000-0005-0000-0000-000009690000}"/>
    <cellStyle name="Normal 2 3 2 21 5" xfId="26890" xr:uid="{00000000-0005-0000-0000-00000A690000}"/>
    <cellStyle name="Normal 2 3 2 21 5 10" xfId="26891" xr:uid="{00000000-0005-0000-0000-00000B690000}"/>
    <cellStyle name="Normal 2 3 2 21 5 2" xfId="26892" xr:uid="{00000000-0005-0000-0000-00000C690000}"/>
    <cellStyle name="Normal 2 3 2 21 5 3" xfId="26893" xr:uid="{00000000-0005-0000-0000-00000D690000}"/>
    <cellStyle name="Normal 2 3 2 21 5 4" xfId="26894" xr:uid="{00000000-0005-0000-0000-00000E690000}"/>
    <cellStyle name="Normal 2 3 2 21 5 5" xfId="26895" xr:uid="{00000000-0005-0000-0000-00000F690000}"/>
    <cellStyle name="Normal 2 3 2 21 5 6" xfId="26896" xr:uid="{00000000-0005-0000-0000-000010690000}"/>
    <cellStyle name="Normal 2 3 2 21 5 7" xfId="26897" xr:uid="{00000000-0005-0000-0000-000011690000}"/>
    <cellStyle name="Normal 2 3 2 21 5 8" xfId="26898" xr:uid="{00000000-0005-0000-0000-000012690000}"/>
    <cellStyle name="Normal 2 3 2 21 5 9" xfId="26899" xr:uid="{00000000-0005-0000-0000-000013690000}"/>
    <cellStyle name="Normal 2 3 2 21 6" xfId="26900" xr:uid="{00000000-0005-0000-0000-000014690000}"/>
    <cellStyle name="Normal 2 3 2 21 7" xfId="26901" xr:uid="{00000000-0005-0000-0000-000015690000}"/>
    <cellStyle name="Normal 2 3 2 21 8" xfId="26902" xr:uid="{00000000-0005-0000-0000-000016690000}"/>
    <cellStyle name="Normal 2 3 2 21 9" xfId="26903" xr:uid="{00000000-0005-0000-0000-000017690000}"/>
    <cellStyle name="Normal 2 3 2 22" xfId="26904" xr:uid="{00000000-0005-0000-0000-000018690000}"/>
    <cellStyle name="Normal 2 3 2 22 10" xfId="26905" xr:uid="{00000000-0005-0000-0000-000019690000}"/>
    <cellStyle name="Normal 2 3 2 22 11" xfId="26906" xr:uid="{00000000-0005-0000-0000-00001A690000}"/>
    <cellStyle name="Normal 2 3 2 22 12" xfId="26907" xr:uid="{00000000-0005-0000-0000-00001B690000}"/>
    <cellStyle name="Normal 2 3 2 22 13" xfId="26908" xr:uid="{00000000-0005-0000-0000-00001C690000}"/>
    <cellStyle name="Normal 2 3 2 22 14" xfId="26909" xr:uid="{00000000-0005-0000-0000-00001D690000}"/>
    <cellStyle name="Normal 2 3 2 22 2" xfId="26910" xr:uid="{00000000-0005-0000-0000-00001E690000}"/>
    <cellStyle name="Normal 2 3 2 22 2 10" xfId="26911" xr:uid="{00000000-0005-0000-0000-00001F690000}"/>
    <cellStyle name="Normal 2 3 2 22 2 2" xfId="26912" xr:uid="{00000000-0005-0000-0000-000020690000}"/>
    <cellStyle name="Normal 2 3 2 22 2 3" xfId="26913" xr:uid="{00000000-0005-0000-0000-000021690000}"/>
    <cellStyle name="Normal 2 3 2 22 2 4" xfId="26914" xr:uid="{00000000-0005-0000-0000-000022690000}"/>
    <cellStyle name="Normal 2 3 2 22 2 5" xfId="26915" xr:uid="{00000000-0005-0000-0000-000023690000}"/>
    <cellStyle name="Normal 2 3 2 22 2 6" xfId="26916" xr:uid="{00000000-0005-0000-0000-000024690000}"/>
    <cellStyle name="Normal 2 3 2 22 2 7" xfId="26917" xr:uid="{00000000-0005-0000-0000-000025690000}"/>
    <cellStyle name="Normal 2 3 2 22 2 8" xfId="26918" xr:uid="{00000000-0005-0000-0000-000026690000}"/>
    <cellStyle name="Normal 2 3 2 22 2 9" xfId="26919" xr:uid="{00000000-0005-0000-0000-000027690000}"/>
    <cellStyle name="Normal 2 3 2 22 3" xfId="26920" xr:uid="{00000000-0005-0000-0000-000028690000}"/>
    <cellStyle name="Normal 2 3 2 22 3 10" xfId="26921" xr:uid="{00000000-0005-0000-0000-000029690000}"/>
    <cellStyle name="Normal 2 3 2 22 3 2" xfId="26922" xr:uid="{00000000-0005-0000-0000-00002A690000}"/>
    <cellStyle name="Normal 2 3 2 22 3 3" xfId="26923" xr:uid="{00000000-0005-0000-0000-00002B690000}"/>
    <cellStyle name="Normal 2 3 2 22 3 4" xfId="26924" xr:uid="{00000000-0005-0000-0000-00002C690000}"/>
    <cellStyle name="Normal 2 3 2 22 3 5" xfId="26925" xr:uid="{00000000-0005-0000-0000-00002D690000}"/>
    <cellStyle name="Normal 2 3 2 22 3 6" xfId="26926" xr:uid="{00000000-0005-0000-0000-00002E690000}"/>
    <cellStyle name="Normal 2 3 2 22 3 7" xfId="26927" xr:uid="{00000000-0005-0000-0000-00002F690000}"/>
    <cellStyle name="Normal 2 3 2 22 3 8" xfId="26928" xr:uid="{00000000-0005-0000-0000-000030690000}"/>
    <cellStyle name="Normal 2 3 2 22 3 9" xfId="26929" xr:uid="{00000000-0005-0000-0000-000031690000}"/>
    <cellStyle name="Normal 2 3 2 22 4" xfId="26930" xr:uid="{00000000-0005-0000-0000-000032690000}"/>
    <cellStyle name="Normal 2 3 2 22 4 10" xfId="26931" xr:uid="{00000000-0005-0000-0000-000033690000}"/>
    <cellStyle name="Normal 2 3 2 22 4 2" xfId="26932" xr:uid="{00000000-0005-0000-0000-000034690000}"/>
    <cellStyle name="Normal 2 3 2 22 4 3" xfId="26933" xr:uid="{00000000-0005-0000-0000-000035690000}"/>
    <cellStyle name="Normal 2 3 2 22 4 4" xfId="26934" xr:uid="{00000000-0005-0000-0000-000036690000}"/>
    <cellStyle name="Normal 2 3 2 22 4 5" xfId="26935" xr:uid="{00000000-0005-0000-0000-000037690000}"/>
    <cellStyle name="Normal 2 3 2 22 4 6" xfId="26936" xr:uid="{00000000-0005-0000-0000-000038690000}"/>
    <cellStyle name="Normal 2 3 2 22 4 7" xfId="26937" xr:uid="{00000000-0005-0000-0000-000039690000}"/>
    <cellStyle name="Normal 2 3 2 22 4 8" xfId="26938" xr:uid="{00000000-0005-0000-0000-00003A690000}"/>
    <cellStyle name="Normal 2 3 2 22 4 9" xfId="26939" xr:uid="{00000000-0005-0000-0000-00003B690000}"/>
    <cellStyle name="Normal 2 3 2 22 5" xfId="26940" xr:uid="{00000000-0005-0000-0000-00003C690000}"/>
    <cellStyle name="Normal 2 3 2 22 5 10" xfId="26941" xr:uid="{00000000-0005-0000-0000-00003D690000}"/>
    <cellStyle name="Normal 2 3 2 22 5 2" xfId="26942" xr:uid="{00000000-0005-0000-0000-00003E690000}"/>
    <cellStyle name="Normal 2 3 2 22 5 3" xfId="26943" xr:uid="{00000000-0005-0000-0000-00003F690000}"/>
    <cellStyle name="Normal 2 3 2 22 5 4" xfId="26944" xr:uid="{00000000-0005-0000-0000-000040690000}"/>
    <cellStyle name="Normal 2 3 2 22 5 5" xfId="26945" xr:uid="{00000000-0005-0000-0000-000041690000}"/>
    <cellStyle name="Normal 2 3 2 22 5 6" xfId="26946" xr:uid="{00000000-0005-0000-0000-000042690000}"/>
    <cellStyle name="Normal 2 3 2 22 5 7" xfId="26947" xr:uid="{00000000-0005-0000-0000-000043690000}"/>
    <cellStyle name="Normal 2 3 2 22 5 8" xfId="26948" xr:uid="{00000000-0005-0000-0000-000044690000}"/>
    <cellStyle name="Normal 2 3 2 22 5 9" xfId="26949" xr:uid="{00000000-0005-0000-0000-000045690000}"/>
    <cellStyle name="Normal 2 3 2 22 6" xfId="26950" xr:uid="{00000000-0005-0000-0000-000046690000}"/>
    <cellStyle name="Normal 2 3 2 22 7" xfId="26951" xr:uid="{00000000-0005-0000-0000-000047690000}"/>
    <cellStyle name="Normal 2 3 2 22 8" xfId="26952" xr:uid="{00000000-0005-0000-0000-000048690000}"/>
    <cellStyle name="Normal 2 3 2 22 9" xfId="26953" xr:uid="{00000000-0005-0000-0000-000049690000}"/>
    <cellStyle name="Normal 2 3 2 23" xfId="26954" xr:uid="{00000000-0005-0000-0000-00004A690000}"/>
    <cellStyle name="Normal 2 3 2 23 10" xfId="26955" xr:uid="{00000000-0005-0000-0000-00004B690000}"/>
    <cellStyle name="Normal 2 3 2 23 11" xfId="26956" xr:uid="{00000000-0005-0000-0000-00004C690000}"/>
    <cellStyle name="Normal 2 3 2 23 12" xfId="26957" xr:uid="{00000000-0005-0000-0000-00004D690000}"/>
    <cellStyle name="Normal 2 3 2 23 13" xfId="26958" xr:uid="{00000000-0005-0000-0000-00004E690000}"/>
    <cellStyle name="Normal 2 3 2 23 14" xfId="26959" xr:uid="{00000000-0005-0000-0000-00004F690000}"/>
    <cellStyle name="Normal 2 3 2 23 2" xfId="26960" xr:uid="{00000000-0005-0000-0000-000050690000}"/>
    <cellStyle name="Normal 2 3 2 23 2 10" xfId="26961" xr:uid="{00000000-0005-0000-0000-000051690000}"/>
    <cellStyle name="Normal 2 3 2 23 2 2" xfId="26962" xr:uid="{00000000-0005-0000-0000-000052690000}"/>
    <cellStyle name="Normal 2 3 2 23 2 3" xfId="26963" xr:uid="{00000000-0005-0000-0000-000053690000}"/>
    <cellStyle name="Normal 2 3 2 23 2 4" xfId="26964" xr:uid="{00000000-0005-0000-0000-000054690000}"/>
    <cellStyle name="Normal 2 3 2 23 2 5" xfId="26965" xr:uid="{00000000-0005-0000-0000-000055690000}"/>
    <cellStyle name="Normal 2 3 2 23 2 6" xfId="26966" xr:uid="{00000000-0005-0000-0000-000056690000}"/>
    <cellStyle name="Normal 2 3 2 23 2 7" xfId="26967" xr:uid="{00000000-0005-0000-0000-000057690000}"/>
    <cellStyle name="Normal 2 3 2 23 2 8" xfId="26968" xr:uid="{00000000-0005-0000-0000-000058690000}"/>
    <cellStyle name="Normal 2 3 2 23 2 9" xfId="26969" xr:uid="{00000000-0005-0000-0000-000059690000}"/>
    <cellStyle name="Normal 2 3 2 23 3" xfId="26970" xr:uid="{00000000-0005-0000-0000-00005A690000}"/>
    <cellStyle name="Normal 2 3 2 23 3 10" xfId="26971" xr:uid="{00000000-0005-0000-0000-00005B690000}"/>
    <cellStyle name="Normal 2 3 2 23 3 2" xfId="26972" xr:uid="{00000000-0005-0000-0000-00005C690000}"/>
    <cellStyle name="Normal 2 3 2 23 3 3" xfId="26973" xr:uid="{00000000-0005-0000-0000-00005D690000}"/>
    <cellStyle name="Normal 2 3 2 23 3 4" xfId="26974" xr:uid="{00000000-0005-0000-0000-00005E690000}"/>
    <cellStyle name="Normal 2 3 2 23 3 5" xfId="26975" xr:uid="{00000000-0005-0000-0000-00005F690000}"/>
    <cellStyle name="Normal 2 3 2 23 3 6" xfId="26976" xr:uid="{00000000-0005-0000-0000-000060690000}"/>
    <cellStyle name="Normal 2 3 2 23 3 7" xfId="26977" xr:uid="{00000000-0005-0000-0000-000061690000}"/>
    <cellStyle name="Normal 2 3 2 23 3 8" xfId="26978" xr:uid="{00000000-0005-0000-0000-000062690000}"/>
    <cellStyle name="Normal 2 3 2 23 3 9" xfId="26979" xr:uid="{00000000-0005-0000-0000-000063690000}"/>
    <cellStyle name="Normal 2 3 2 23 4" xfId="26980" xr:uid="{00000000-0005-0000-0000-000064690000}"/>
    <cellStyle name="Normal 2 3 2 23 4 10" xfId="26981" xr:uid="{00000000-0005-0000-0000-000065690000}"/>
    <cellStyle name="Normal 2 3 2 23 4 2" xfId="26982" xr:uid="{00000000-0005-0000-0000-000066690000}"/>
    <cellStyle name="Normal 2 3 2 23 4 3" xfId="26983" xr:uid="{00000000-0005-0000-0000-000067690000}"/>
    <cellStyle name="Normal 2 3 2 23 4 4" xfId="26984" xr:uid="{00000000-0005-0000-0000-000068690000}"/>
    <cellStyle name="Normal 2 3 2 23 4 5" xfId="26985" xr:uid="{00000000-0005-0000-0000-000069690000}"/>
    <cellStyle name="Normal 2 3 2 23 4 6" xfId="26986" xr:uid="{00000000-0005-0000-0000-00006A690000}"/>
    <cellStyle name="Normal 2 3 2 23 4 7" xfId="26987" xr:uid="{00000000-0005-0000-0000-00006B690000}"/>
    <cellStyle name="Normal 2 3 2 23 4 8" xfId="26988" xr:uid="{00000000-0005-0000-0000-00006C690000}"/>
    <cellStyle name="Normal 2 3 2 23 4 9" xfId="26989" xr:uid="{00000000-0005-0000-0000-00006D690000}"/>
    <cellStyle name="Normal 2 3 2 23 5" xfId="26990" xr:uid="{00000000-0005-0000-0000-00006E690000}"/>
    <cellStyle name="Normal 2 3 2 23 5 10" xfId="26991" xr:uid="{00000000-0005-0000-0000-00006F690000}"/>
    <cellStyle name="Normal 2 3 2 23 5 2" xfId="26992" xr:uid="{00000000-0005-0000-0000-000070690000}"/>
    <cellStyle name="Normal 2 3 2 23 5 3" xfId="26993" xr:uid="{00000000-0005-0000-0000-000071690000}"/>
    <cellStyle name="Normal 2 3 2 23 5 4" xfId="26994" xr:uid="{00000000-0005-0000-0000-000072690000}"/>
    <cellStyle name="Normal 2 3 2 23 5 5" xfId="26995" xr:uid="{00000000-0005-0000-0000-000073690000}"/>
    <cellStyle name="Normal 2 3 2 23 5 6" xfId="26996" xr:uid="{00000000-0005-0000-0000-000074690000}"/>
    <cellStyle name="Normal 2 3 2 23 5 7" xfId="26997" xr:uid="{00000000-0005-0000-0000-000075690000}"/>
    <cellStyle name="Normal 2 3 2 23 5 8" xfId="26998" xr:uid="{00000000-0005-0000-0000-000076690000}"/>
    <cellStyle name="Normal 2 3 2 23 5 9" xfId="26999" xr:uid="{00000000-0005-0000-0000-000077690000}"/>
    <cellStyle name="Normal 2 3 2 23 6" xfId="27000" xr:uid="{00000000-0005-0000-0000-000078690000}"/>
    <cellStyle name="Normal 2 3 2 23 7" xfId="27001" xr:uid="{00000000-0005-0000-0000-000079690000}"/>
    <cellStyle name="Normal 2 3 2 23 8" xfId="27002" xr:uid="{00000000-0005-0000-0000-00007A690000}"/>
    <cellStyle name="Normal 2 3 2 23 9" xfId="27003" xr:uid="{00000000-0005-0000-0000-00007B690000}"/>
    <cellStyle name="Normal 2 3 2 24" xfId="27004" xr:uid="{00000000-0005-0000-0000-00007C690000}"/>
    <cellStyle name="Normal 2 3 2 24 10" xfId="27005" xr:uid="{00000000-0005-0000-0000-00007D690000}"/>
    <cellStyle name="Normal 2 3 2 24 11" xfId="27006" xr:uid="{00000000-0005-0000-0000-00007E690000}"/>
    <cellStyle name="Normal 2 3 2 24 12" xfId="27007" xr:uid="{00000000-0005-0000-0000-00007F690000}"/>
    <cellStyle name="Normal 2 3 2 24 13" xfId="27008" xr:uid="{00000000-0005-0000-0000-000080690000}"/>
    <cellStyle name="Normal 2 3 2 24 14" xfId="27009" xr:uid="{00000000-0005-0000-0000-000081690000}"/>
    <cellStyle name="Normal 2 3 2 24 2" xfId="27010" xr:uid="{00000000-0005-0000-0000-000082690000}"/>
    <cellStyle name="Normal 2 3 2 24 2 10" xfId="27011" xr:uid="{00000000-0005-0000-0000-000083690000}"/>
    <cellStyle name="Normal 2 3 2 24 2 2" xfId="27012" xr:uid="{00000000-0005-0000-0000-000084690000}"/>
    <cellStyle name="Normal 2 3 2 24 2 3" xfId="27013" xr:uid="{00000000-0005-0000-0000-000085690000}"/>
    <cellStyle name="Normal 2 3 2 24 2 4" xfId="27014" xr:uid="{00000000-0005-0000-0000-000086690000}"/>
    <cellStyle name="Normal 2 3 2 24 2 5" xfId="27015" xr:uid="{00000000-0005-0000-0000-000087690000}"/>
    <cellStyle name="Normal 2 3 2 24 2 6" xfId="27016" xr:uid="{00000000-0005-0000-0000-000088690000}"/>
    <cellStyle name="Normal 2 3 2 24 2 7" xfId="27017" xr:uid="{00000000-0005-0000-0000-000089690000}"/>
    <cellStyle name="Normal 2 3 2 24 2 8" xfId="27018" xr:uid="{00000000-0005-0000-0000-00008A690000}"/>
    <cellStyle name="Normal 2 3 2 24 2 9" xfId="27019" xr:uid="{00000000-0005-0000-0000-00008B690000}"/>
    <cellStyle name="Normal 2 3 2 24 3" xfId="27020" xr:uid="{00000000-0005-0000-0000-00008C690000}"/>
    <cellStyle name="Normal 2 3 2 24 3 10" xfId="27021" xr:uid="{00000000-0005-0000-0000-00008D690000}"/>
    <cellStyle name="Normal 2 3 2 24 3 2" xfId="27022" xr:uid="{00000000-0005-0000-0000-00008E690000}"/>
    <cellStyle name="Normal 2 3 2 24 3 3" xfId="27023" xr:uid="{00000000-0005-0000-0000-00008F690000}"/>
    <cellStyle name="Normal 2 3 2 24 3 4" xfId="27024" xr:uid="{00000000-0005-0000-0000-000090690000}"/>
    <cellStyle name="Normal 2 3 2 24 3 5" xfId="27025" xr:uid="{00000000-0005-0000-0000-000091690000}"/>
    <cellStyle name="Normal 2 3 2 24 3 6" xfId="27026" xr:uid="{00000000-0005-0000-0000-000092690000}"/>
    <cellStyle name="Normal 2 3 2 24 3 7" xfId="27027" xr:uid="{00000000-0005-0000-0000-000093690000}"/>
    <cellStyle name="Normal 2 3 2 24 3 8" xfId="27028" xr:uid="{00000000-0005-0000-0000-000094690000}"/>
    <cellStyle name="Normal 2 3 2 24 3 9" xfId="27029" xr:uid="{00000000-0005-0000-0000-000095690000}"/>
    <cellStyle name="Normal 2 3 2 24 4" xfId="27030" xr:uid="{00000000-0005-0000-0000-000096690000}"/>
    <cellStyle name="Normal 2 3 2 24 4 10" xfId="27031" xr:uid="{00000000-0005-0000-0000-000097690000}"/>
    <cellStyle name="Normal 2 3 2 24 4 2" xfId="27032" xr:uid="{00000000-0005-0000-0000-000098690000}"/>
    <cellStyle name="Normal 2 3 2 24 4 3" xfId="27033" xr:uid="{00000000-0005-0000-0000-000099690000}"/>
    <cellStyle name="Normal 2 3 2 24 4 4" xfId="27034" xr:uid="{00000000-0005-0000-0000-00009A690000}"/>
    <cellStyle name="Normal 2 3 2 24 4 5" xfId="27035" xr:uid="{00000000-0005-0000-0000-00009B690000}"/>
    <cellStyle name="Normal 2 3 2 24 4 6" xfId="27036" xr:uid="{00000000-0005-0000-0000-00009C690000}"/>
    <cellStyle name="Normal 2 3 2 24 4 7" xfId="27037" xr:uid="{00000000-0005-0000-0000-00009D690000}"/>
    <cellStyle name="Normal 2 3 2 24 4 8" xfId="27038" xr:uid="{00000000-0005-0000-0000-00009E690000}"/>
    <cellStyle name="Normal 2 3 2 24 4 9" xfId="27039" xr:uid="{00000000-0005-0000-0000-00009F690000}"/>
    <cellStyle name="Normal 2 3 2 24 5" xfId="27040" xr:uid="{00000000-0005-0000-0000-0000A0690000}"/>
    <cellStyle name="Normal 2 3 2 24 5 10" xfId="27041" xr:uid="{00000000-0005-0000-0000-0000A1690000}"/>
    <cellStyle name="Normal 2 3 2 24 5 2" xfId="27042" xr:uid="{00000000-0005-0000-0000-0000A2690000}"/>
    <cellStyle name="Normal 2 3 2 24 5 3" xfId="27043" xr:uid="{00000000-0005-0000-0000-0000A3690000}"/>
    <cellStyle name="Normal 2 3 2 24 5 4" xfId="27044" xr:uid="{00000000-0005-0000-0000-0000A4690000}"/>
    <cellStyle name="Normal 2 3 2 24 5 5" xfId="27045" xr:uid="{00000000-0005-0000-0000-0000A5690000}"/>
    <cellStyle name="Normal 2 3 2 24 5 6" xfId="27046" xr:uid="{00000000-0005-0000-0000-0000A6690000}"/>
    <cellStyle name="Normal 2 3 2 24 5 7" xfId="27047" xr:uid="{00000000-0005-0000-0000-0000A7690000}"/>
    <cellStyle name="Normal 2 3 2 24 5 8" xfId="27048" xr:uid="{00000000-0005-0000-0000-0000A8690000}"/>
    <cellStyle name="Normal 2 3 2 24 5 9" xfId="27049" xr:uid="{00000000-0005-0000-0000-0000A9690000}"/>
    <cellStyle name="Normal 2 3 2 24 6" xfId="27050" xr:uid="{00000000-0005-0000-0000-0000AA690000}"/>
    <cellStyle name="Normal 2 3 2 24 7" xfId="27051" xr:uid="{00000000-0005-0000-0000-0000AB690000}"/>
    <cellStyle name="Normal 2 3 2 24 8" xfId="27052" xr:uid="{00000000-0005-0000-0000-0000AC690000}"/>
    <cellStyle name="Normal 2 3 2 24 9" xfId="27053" xr:uid="{00000000-0005-0000-0000-0000AD690000}"/>
    <cellStyle name="Normal 2 3 2 25" xfId="27054" xr:uid="{00000000-0005-0000-0000-0000AE690000}"/>
    <cellStyle name="Normal 2 3 2 25 10" xfId="27055" xr:uid="{00000000-0005-0000-0000-0000AF690000}"/>
    <cellStyle name="Normal 2 3 2 25 11" xfId="27056" xr:uid="{00000000-0005-0000-0000-0000B0690000}"/>
    <cellStyle name="Normal 2 3 2 25 12" xfId="27057" xr:uid="{00000000-0005-0000-0000-0000B1690000}"/>
    <cellStyle name="Normal 2 3 2 25 13" xfId="27058" xr:uid="{00000000-0005-0000-0000-0000B2690000}"/>
    <cellStyle name="Normal 2 3 2 25 14" xfId="27059" xr:uid="{00000000-0005-0000-0000-0000B3690000}"/>
    <cellStyle name="Normal 2 3 2 25 2" xfId="27060" xr:uid="{00000000-0005-0000-0000-0000B4690000}"/>
    <cellStyle name="Normal 2 3 2 25 2 10" xfId="27061" xr:uid="{00000000-0005-0000-0000-0000B5690000}"/>
    <cellStyle name="Normal 2 3 2 25 2 2" xfId="27062" xr:uid="{00000000-0005-0000-0000-0000B6690000}"/>
    <cellStyle name="Normal 2 3 2 25 2 3" xfId="27063" xr:uid="{00000000-0005-0000-0000-0000B7690000}"/>
    <cellStyle name="Normal 2 3 2 25 2 4" xfId="27064" xr:uid="{00000000-0005-0000-0000-0000B8690000}"/>
    <cellStyle name="Normal 2 3 2 25 2 5" xfId="27065" xr:uid="{00000000-0005-0000-0000-0000B9690000}"/>
    <cellStyle name="Normal 2 3 2 25 2 6" xfId="27066" xr:uid="{00000000-0005-0000-0000-0000BA690000}"/>
    <cellStyle name="Normal 2 3 2 25 2 7" xfId="27067" xr:uid="{00000000-0005-0000-0000-0000BB690000}"/>
    <cellStyle name="Normal 2 3 2 25 2 8" xfId="27068" xr:uid="{00000000-0005-0000-0000-0000BC690000}"/>
    <cellStyle name="Normal 2 3 2 25 2 9" xfId="27069" xr:uid="{00000000-0005-0000-0000-0000BD690000}"/>
    <cellStyle name="Normal 2 3 2 25 3" xfId="27070" xr:uid="{00000000-0005-0000-0000-0000BE690000}"/>
    <cellStyle name="Normal 2 3 2 25 3 10" xfId="27071" xr:uid="{00000000-0005-0000-0000-0000BF690000}"/>
    <cellStyle name="Normal 2 3 2 25 3 2" xfId="27072" xr:uid="{00000000-0005-0000-0000-0000C0690000}"/>
    <cellStyle name="Normal 2 3 2 25 3 3" xfId="27073" xr:uid="{00000000-0005-0000-0000-0000C1690000}"/>
    <cellStyle name="Normal 2 3 2 25 3 4" xfId="27074" xr:uid="{00000000-0005-0000-0000-0000C2690000}"/>
    <cellStyle name="Normal 2 3 2 25 3 5" xfId="27075" xr:uid="{00000000-0005-0000-0000-0000C3690000}"/>
    <cellStyle name="Normal 2 3 2 25 3 6" xfId="27076" xr:uid="{00000000-0005-0000-0000-0000C4690000}"/>
    <cellStyle name="Normal 2 3 2 25 3 7" xfId="27077" xr:uid="{00000000-0005-0000-0000-0000C5690000}"/>
    <cellStyle name="Normal 2 3 2 25 3 8" xfId="27078" xr:uid="{00000000-0005-0000-0000-0000C6690000}"/>
    <cellStyle name="Normal 2 3 2 25 3 9" xfId="27079" xr:uid="{00000000-0005-0000-0000-0000C7690000}"/>
    <cellStyle name="Normal 2 3 2 25 4" xfId="27080" xr:uid="{00000000-0005-0000-0000-0000C8690000}"/>
    <cellStyle name="Normal 2 3 2 25 4 10" xfId="27081" xr:uid="{00000000-0005-0000-0000-0000C9690000}"/>
    <cellStyle name="Normal 2 3 2 25 4 2" xfId="27082" xr:uid="{00000000-0005-0000-0000-0000CA690000}"/>
    <cellStyle name="Normal 2 3 2 25 4 3" xfId="27083" xr:uid="{00000000-0005-0000-0000-0000CB690000}"/>
    <cellStyle name="Normal 2 3 2 25 4 4" xfId="27084" xr:uid="{00000000-0005-0000-0000-0000CC690000}"/>
    <cellStyle name="Normal 2 3 2 25 4 5" xfId="27085" xr:uid="{00000000-0005-0000-0000-0000CD690000}"/>
    <cellStyle name="Normal 2 3 2 25 4 6" xfId="27086" xr:uid="{00000000-0005-0000-0000-0000CE690000}"/>
    <cellStyle name="Normal 2 3 2 25 4 7" xfId="27087" xr:uid="{00000000-0005-0000-0000-0000CF690000}"/>
    <cellStyle name="Normal 2 3 2 25 4 8" xfId="27088" xr:uid="{00000000-0005-0000-0000-0000D0690000}"/>
    <cellStyle name="Normal 2 3 2 25 4 9" xfId="27089" xr:uid="{00000000-0005-0000-0000-0000D1690000}"/>
    <cellStyle name="Normal 2 3 2 25 5" xfId="27090" xr:uid="{00000000-0005-0000-0000-0000D2690000}"/>
    <cellStyle name="Normal 2 3 2 25 5 10" xfId="27091" xr:uid="{00000000-0005-0000-0000-0000D3690000}"/>
    <cellStyle name="Normal 2 3 2 25 5 2" xfId="27092" xr:uid="{00000000-0005-0000-0000-0000D4690000}"/>
    <cellStyle name="Normal 2 3 2 25 5 3" xfId="27093" xr:uid="{00000000-0005-0000-0000-0000D5690000}"/>
    <cellStyle name="Normal 2 3 2 25 5 4" xfId="27094" xr:uid="{00000000-0005-0000-0000-0000D6690000}"/>
    <cellStyle name="Normal 2 3 2 25 5 5" xfId="27095" xr:uid="{00000000-0005-0000-0000-0000D7690000}"/>
    <cellStyle name="Normal 2 3 2 25 5 6" xfId="27096" xr:uid="{00000000-0005-0000-0000-0000D8690000}"/>
    <cellStyle name="Normal 2 3 2 25 5 7" xfId="27097" xr:uid="{00000000-0005-0000-0000-0000D9690000}"/>
    <cellStyle name="Normal 2 3 2 25 5 8" xfId="27098" xr:uid="{00000000-0005-0000-0000-0000DA690000}"/>
    <cellStyle name="Normal 2 3 2 25 5 9" xfId="27099" xr:uid="{00000000-0005-0000-0000-0000DB690000}"/>
    <cellStyle name="Normal 2 3 2 25 6" xfId="27100" xr:uid="{00000000-0005-0000-0000-0000DC690000}"/>
    <cellStyle name="Normal 2 3 2 25 7" xfId="27101" xr:uid="{00000000-0005-0000-0000-0000DD690000}"/>
    <cellStyle name="Normal 2 3 2 25 8" xfId="27102" xr:uid="{00000000-0005-0000-0000-0000DE690000}"/>
    <cellStyle name="Normal 2 3 2 25 9" xfId="27103" xr:uid="{00000000-0005-0000-0000-0000DF690000}"/>
    <cellStyle name="Normal 2 3 2 26" xfId="27104" xr:uid="{00000000-0005-0000-0000-0000E0690000}"/>
    <cellStyle name="Normal 2 3 2 26 10" xfId="27105" xr:uid="{00000000-0005-0000-0000-0000E1690000}"/>
    <cellStyle name="Normal 2 3 2 26 11" xfId="27106" xr:uid="{00000000-0005-0000-0000-0000E2690000}"/>
    <cellStyle name="Normal 2 3 2 26 12" xfId="27107" xr:uid="{00000000-0005-0000-0000-0000E3690000}"/>
    <cellStyle name="Normal 2 3 2 26 13" xfId="27108" xr:uid="{00000000-0005-0000-0000-0000E4690000}"/>
    <cellStyle name="Normal 2 3 2 26 14" xfId="27109" xr:uid="{00000000-0005-0000-0000-0000E5690000}"/>
    <cellStyle name="Normal 2 3 2 26 2" xfId="27110" xr:uid="{00000000-0005-0000-0000-0000E6690000}"/>
    <cellStyle name="Normal 2 3 2 26 2 10" xfId="27111" xr:uid="{00000000-0005-0000-0000-0000E7690000}"/>
    <cellStyle name="Normal 2 3 2 26 2 2" xfId="27112" xr:uid="{00000000-0005-0000-0000-0000E8690000}"/>
    <cellStyle name="Normal 2 3 2 26 2 3" xfId="27113" xr:uid="{00000000-0005-0000-0000-0000E9690000}"/>
    <cellStyle name="Normal 2 3 2 26 2 4" xfId="27114" xr:uid="{00000000-0005-0000-0000-0000EA690000}"/>
    <cellStyle name="Normal 2 3 2 26 2 5" xfId="27115" xr:uid="{00000000-0005-0000-0000-0000EB690000}"/>
    <cellStyle name="Normal 2 3 2 26 2 6" xfId="27116" xr:uid="{00000000-0005-0000-0000-0000EC690000}"/>
    <cellStyle name="Normal 2 3 2 26 2 7" xfId="27117" xr:uid="{00000000-0005-0000-0000-0000ED690000}"/>
    <cellStyle name="Normal 2 3 2 26 2 8" xfId="27118" xr:uid="{00000000-0005-0000-0000-0000EE690000}"/>
    <cellStyle name="Normal 2 3 2 26 2 9" xfId="27119" xr:uid="{00000000-0005-0000-0000-0000EF690000}"/>
    <cellStyle name="Normal 2 3 2 26 3" xfId="27120" xr:uid="{00000000-0005-0000-0000-0000F0690000}"/>
    <cellStyle name="Normal 2 3 2 26 3 10" xfId="27121" xr:uid="{00000000-0005-0000-0000-0000F1690000}"/>
    <cellStyle name="Normal 2 3 2 26 3 2" xfId="27122" xr:uid="{00000000-0005-0000-0000-0000F2690000}"/>
    <cellStyle name="Normal 2 3 2 26 3 3" xfId="27123" xr:uid="{00000000-0005-0000-0000-0000F3690000}"/>
    <cellStyle name="Normal 2 3 2 26 3 4" xfId="27124" xr:uid="{00000000-0005-0000-0000-0000F4690000}"/>
    <cellStyle name="Normal 2 3 2 26 3 5" xfId="27125" xr:uid="{00000000-0005-0000-0000-0000F5690000}"/>
    <cellStyle name="Normal 2 3 2 26 3 6" xfId="27126" xr:uid="{00000000-0005-0000-0000-0000F6690000}"/>
    <cellStyle name="Normal 2 3 2 26 3 7" xfId="27127" xr:uid="{00000000-0005-0000-0000-0000F7690000}"/>
    <cellStyle name="Normal 2 3 2 26 3 8" xfId="27128" xr:uid="{00000000-0005-0000-0000-0000F8690000}"/>
    <cellStyle name="Normal 2 3 2 26 3 9" xfId="27129" xr:uid="{00000000-0005-0000-0000-0000F9690000}"/>
    <cellStyle name="Normal 2 3 2 26 4" xfId="27130" xr:uid="{00000000-0005-0000-0000-0000FA690000}"/>
    <cellStyle name="Normal 2 3 2 26 4 10" xfId="27131" xr:uid="{00000000-0005-0000-0000-0000FB690000}"/>
    <cellStyle name="Normal 2 3 2 26 4 2" xfId="27132" xr:uid="{00000000-0005-0000-0000-0000FC690000}"/>
    <cellStyle name="Normal 2 3 2 26 4 3" xfId="27133" xr:uid="{00000000-0005-0000-0000-0000FD690000}"/>
    <cellStyle name="Normal 2 3 2 26 4 4" xfId="27134" xr:uid="{00000000-0005-0000-0000-0000FE690000}"/>
    <cellStyle name="Normal 2 3 2 26 4 5" xfId="27135" xr:uid="{00000000-0005-0000-0000-0000FF690000}"/>
    <cellStyle name="Normal 2 3 2 26 4 6" xfId="27136" xr:uid="{00000000-0005-0000-0000-0000006A0000}"/>
    <cellStyle name="Normal 2 3 2 26 4 7" xfId="27137" xr:uid="{00000000-0005-0000-0000-0000016A0000}"/>
    <cellStyle name="Normal 2 3 2 26 4 8" xfId="27138" xr:uid="{00000000-0005-0000-0000-0000026A0000}"/>
    <cellStyle name="Normal 2 3 2 26 4 9" xfId="27139" xr:uid="{00000000-0005-0000-0000-0000036A0000}"/>
    <cellStyle name="Normal 2 3 2 26 5" xfId="27140" xr:uid="{00000000-0005-0000-0000-0000046A0000}"/>
    <cellStyle name="Normal 2 3 2 26 5 10" xfId="27141" xr:uid="{00000000-0005-0000-0000-0000056A0000}"/>
    <cellStyle name="Normal 2 3 2 26 5 2" xfId="27142" xr:uid="{00000000-0005-0000-0000-0000066A0000}"/>
    <cellStyle name="Normal 2 3 2 26 5 3" xfId="27143" xr:uid="{00000000-0005-0000-0000-0000076A0000}"/>
    <cellStyle name="Normal 2 3 2 26 5 4" xfId="27144" xr:uid="{00000000-0005-0000-0000-0000086A0000}"/>
    <cellStyle name="Normal 2 3 2 26 5 5" xfId="27145" xr:uid="{00000000-0005-0000-0000-0000096A0000}"/>
    <cellStyle name="Normal 2 3 2 26 5 6" xfId="27146" xr:uid="{00000000-0005-0000-0000-00000A6A0000}"/>
    <cellStyle name="Normal 2 3 2 26 5 7" xfId="27147" xr:uid="{00000000-0005-0000-0000-00000B6A0000}"/>
    <cellStyle name="Normal 2 3 2 26 5 8" xfId="27148" xr:uid="{00000000-0005-0000-0000-00000C6A0000}"/>
    <cellStyle name="Normal 2 3 2 26 5 9" xfId="27149" xr:uid="{00000000-0005-0000-0000-00000D6A0000}"/>
    <cellStyle name="Normal 2 3 2 26 6" xfId="27150" xr:uid="{00000000-0005-0000-0000-00000E6A0000}"/>
    <cellStyle name="Normal 2 3 2 26 7" xfId="27151" xr:uid="{00000000-0005-0000-0000-00000F6A0000}"/>
    <cellStyle name="Normal 2 3 2 26 8" xfId="27152" xr:uid="{00000000-0005-0000-0000-0000106A0000}"/>
    <cellStyle name="Normal 2 3 2 26 9" xfId="27153" xr:uid="{00000000-0005-0000-0000-0000116A0000}"/>
    <cellStyle name="Normal 2 3 2 27" xfId="27154" xr:uid="{00000000-0005-0000-0000-0000126A0000}"/>
    <cellStyle name="Normal 2 3 2 27 10" xfId="27155" xr:uid="{00000000-0005-0000-0000-0000136A0000}"/>
    <cellStyle name="Normal 2 3 2 27 11" xfId="27156" xr:uid="{00000000-0005-0000-0000-0000146A0000}"/>
    <cellStyle name="Normal 2 3 2 27 12" xfId="27157" xr:uid="{00000000-0005-0000-0000-0000156A0000}"/>
    <cellStyle name="Normal 2 3 2 27 13" xfId="27158" xr:uid="{00000000-0005-0000-0000-0000166A0000}"/>
    <cellStyle name="Normal 2 3 2 27 14" xfId="27159" xr:uid="{00000000-0005-0000-0000-0000176A0000}"/>
    <cellStyle name="Normal 2 3 2 27 2" xfId="27160" xr:uid="{00000000-0005-0000-0000-0000186A0000}"/>
    <cellStyle name="Normal 2 3 2 27 2 10" xfId="27161" xr:uid="{00000000-0005-0000-0000-0000196A0000}"/>
    <cellStyle name="Normal 2 3 2 27 2 2" xfId="27162" xr:uid="{00000000-0005-0000-0000-00001A6A0000}"/>
    <cellStyle name="Normal 2 3 2 27 2 3" xfId="27163" xr:uid="{00000000-0005-0000-0000-00001B6A0000}"/>
    <cellStyle name="Normal 2 3 2 27 2 4" xfId="27164" xr:uid="{00000000-0005-0000-0000-00001C6A0000}"/>
    <cellStyle name="Normal 2 3 2 27 2 5" xfId="27165" xr:uid="{00000000-0005-0000-0000-00001D6A0000}"/>
    <cellStyle name="Normal 2 3 2 27 2 6" xfId="27166" xr:uid="{00000000-0005-0000-0000-00001E6A0000}"/>
    <cellStyle name="Normal 2 3 2 27 2 7" xfId="27167" xr:uid="{00000000-0005-0000-0000-00001F6A0000}"/>
    <cellStyle name="Normal 2 3 2 27 2 8" xfId="27168" xr:uid="{00000000-0005-0000-0000-0000206A0000}"/>
    <cellStyle name="Normal 2 3 2 27 2 9" xfId="27169" xr:uid="{00000000-0005-0000-0000-0000216A0000}"/>
    <cellStyle name="Normal 2 3 2 27 3" xfId="27170" xr:uid="{00000000-0005-0000-0000-0000226A0000}"/>
    <cellStyle name="Normal 2 3 2 27 3 10" xfId="27171" xr:uid="{00000000-0005-0000-0000-0000236A0000}"/>
    <cellStyle name="Normal 2 3 2 27 3 2" xfId="27172" xr:uid="{00000000-0005-0000-0000-0000246A0000}"/>
    <cellStyle name="Normal 2 3 2 27 3 3" xfId="27173" xr:uid="{00000000-0005-0000-0000-0000256A0000}"/>
    <cellStyle name="Normal 2 3 2 27 3 4" xfId="27174" xr:uid="{00000000-0005-0000-0000-0000266A0000}"/>
    <cellStyle name="Normal 2 3 2 27 3 5" xfId="27175" xr:uid="{00000000-0005-0000-0000-0000276A0000}"/>
    <cellStyle name="Normal 2 3 2 27 3 6" xfId="27176" xr:uid="{00000000-0005-0000-0000-0000286A0000}"/>
    <cellStyle name="Normal 2 3 2 27 3 7" xfId="27177" xr:uid="{00000000-0005-0000-0000-0000296A0000}"/>
    <cellStyle name="Normal 2 3 2 27 3 8" xfId="27178" xr:uid="{00000000-0005-0000-0000-00002A6A0000}"/>
    <cellStyle name="Normal 2 3 2 27 3 9" xfId="27179" xr:uid="{00000000-0005-0000-0000-00002B6A0000}"/>
    <cellStyle name="Normal 2 3 2 27 4" xfId="27180" xr:uid="{00000000-0005-0000-0000-00002C6A0000}"/>
    <cellStyle name="Normal 2 3 2 27 4 10" xfId="27181" xr:uid="{00000000-0005-0000-0000-00002D6A0000}"/>
    <cellStyle name="Normal 2 3 2 27 4 2" xfId="27182" xr:uid="{00000000-0005-0000-0000-00002E6A0000}"/>
    <cellStyle name="Normal 2 3 2 27 4 3" xfId="27183" xr:uid="{00000000-0005-0000-0000-00002F6A0000}"/>
    <cellStyle name="Normal 2 3 2 27 4 4" xfId="27184" xr:uid="{00000000-0005-0000-0000-0000306A0000}"/>
    <cellStyle name="Normal 2 3 2 27 4 5" xfId="27185" xr:uid="{00000000-0005-0000-0000-0000316A0000}"/>
    <cellStyle name="Normal 2 3 2 27 4 6" xfId="27186" xr:uid="{00000000-0005-0000-0000-0000326A0000}"/>
    <cellStyle name="Normal 2 3 2 27 4 7" xfId="27187" xr:uid="{00000000-0005-0000-0000-0000336A0000}"/>
    <cellStyle name="Normal 2 3 2 27 4 8" xfId="27188" xr:uid="{00000000-0005-0000-0000-0000346A0000}"/>
    <cellStyle name="Normal 2 3 2 27 4 9" xfId="27189" xr:uid="{00000000-0005-0000-0000-0000356A0000}"/>
    <cellStyle name="Normal 2 3 2 27 5" xfId="27190" xr:uid="{00000000-0005-0000-0000-0000366A0000}"/>
    <cellStyle name="Normal 2 3 2 27 5 10" xfId="27191" xr:uid="{00000000-0005-0000-0000-0000376A0000}"/>
    <cellStyle name="Normal 2 3 2 27 5 2" xfId="27192" xr:uid="{00000000-0005-0000-0000-0000386A0000}"/>
    <cellStyle name="Normal 2 3 2 27 5 3" xfId="27193" xr:uid="{00000000-0005-0000-0000-0000396A0000}"/>
    <cellStyle name="Normal 2 3 2 27 5 4" xfId="27194" xr:uid="{00000000-0005-0000-0000-00003A6A0000}"/>
    <cellStyle name="Normal 2 3 2 27 5 5" xfId="27195" xr:uid="{00000000-0005-0000-0000-00003B6A0000}"/>
    <cellStyle name="Normal 2 3 2 27 5 6" xfId="27196" xr:uid="{00000000-0005-0000-0000-00003C6A0000}"/>
    <cellStyle name="Normal 2 3 2 27 5 7" xfId="27197" xr:uid="{00000000-0005-0000-0000-00003D6A0000}"/>
    <cellStyle name="Normal 2 3 2 27 5 8" xfId="27198" xr:uid="{00000000-0005-0000-0000-00003E6A0000}"/>
    <cellStyle name="Normal 2 3 2 27 5 9" xfId="27199" xr:uid="{00000000-0005-0000-0000-00003F6A0000}"/>
    <cellStyle name="Normal 2 3 2 27 6" xfId="27200" xr:uid="{00000000-0005-0000-0000-0000406A0000}"/>
    <cellStyle name="Normal 2 3 2 27 7" xfId="27201" xr:uid="{00000000-0005-0000-0000-0000416A0000}"/>
    <cellStyle name="Normal 2 3 2 27 8" xfId="27202" xr:uid="{00000000-0005-0000-0000-0000426A0000}"/>
    <cellStyle name="Normal 2 3 2 27 9" xfId="27203" xr:uid="{00000000-0005-0000-0000-0000436A0000}"/>
    <cellStyle name="Normal 2 3 2 28" xfId="27204" xr:uid="{00000000-0005-0000-0000-0000446A0000}"/>
    <cellStyle name="Normal 2 3 2 28 10" xfId="27205" xr:uid="{00000000-0005-0000-0000-0000456A0000}"/>
    <cellStyle name="Normal 2 3 2 28 11" xfId="27206" xr:uid="{00000000-0005-0000-0000-0000466A0000}"/>
    <cellStyle name="Normal 2 3 2 28 12" xfId="27207" xr:uid="{00000000-0005-0000-0000-0000476A0000}"/>
    <cellStyle name="Normal 2 3 2 28 13" xfId="27208" xr:uid="{00000000-0005-0000-0000-0000486A0000}"/>
    <cellStyle name="Normal 2 3 2 28 14" xfId="27209" xr:uid="{00000000-0005-0000-0000-0000496A0000}"/>
    <cellStyle name="Normal 2 3 2 28 2" xfId="27210" xr:uid="{00000000-0005-0000-0000-00004A6A0000}"/>
    <cellStyle name="Normal 2 3 2 28 2 10" xfId="27211" xr:uid="{00000000-0005-0000-0000-00004B6A0000}"/>
    <cellStyle name="Normal 2 3 2 28 2 2" xfId="27212" xr:uid="{00000000-0005-0000-0000-00004C6A0000}"/>
    <cellStyle name="Normal 2 3 2 28 2 3" xfId="27213" xr:uid="{00000000-0005-0000-0000-00004D6A0000}"/>
    <cellStyle name="Normal 2 3 2 28 2 4" xfId="27214" xr:uid="{00000000-0005-0000-0000-00004E6A0000}"/>
    <cellStyle name="Normal 2 3 2 28 2 5" xfId="27215" xr:uid="{00000000-0005-0000-0000-00004F6A0000}"/>
    <cellStyle name="Normal 2 3 2 28 2 6" xfId="27216" xr:uid="{00000000-0005-0000-0000-0000506A0000}"/>
    <cellStyle name="Normal 2 3 2 28 2 7" xfId="27217" xr:uid="{00000000-0005-0000-0000-0000516A0000}"/>
    <cellStyle name="Normal 2 3 2 28 2 8" xfId="27218" xr:uid="{00000000-0005-0000-0000-0000526A0000}"/>
    <cellStyle name="Normal 2 3 2 28 2 9" xfId="27219" xr:uid="{00000000-0005-0000-0000-0000536A0000}"/>
    <cellStyle name="Normal 2 3 2 28 3" xfId="27220" xr:uid="{00000000-0005-0000-0000-0000546A0000}"/>
    <cellStyle name="Normal 2 3 2 28 3 10" xfId="27221" xr:uid="{00000000-0005-0000-0000-0000556A0000}"/>
    <cellStyle name="Normal 2 3 2 28 3 2" xfId="27222" xr:uid="{00000000-0005-0000-0000-0000566A0000}"/>
    <cellStyle name="Normal 2 3 2 28 3 3" xfId="27223" xr:uid="{00000000-0005-0000-0000-0000576A0000}"/>
    <cellStyle name="Normal 2 3 2 28 3 4" xfId="27224" xr:uid="{00000000-0005-0000-0000-0000586A0000}"/>
    <cellStyle name="Normal 2 3 2 28 3 5" xfId="27225" xr:uid="{00000000-0005-0000-0000-0000596A0000}"/>
    <cellStyle name="Normal 2 3 2 28 3 6" xfId="27226" xr:uid="{00000000-0005-0000-0000-00005A6A0000}"/>
    <cellStyle name="Normal 2 3 2 28 3 7" xfId="27227" xr:uid="{00000000-0005-0000-0000-00005B6A0000}"/>
    <cellStyle name="Normal 2 3 2 28 3 8" xfId="27228" xr:uid="{00000000-0005-0000-0000-00005C6A0000}"/>
    <cellStyle name="Normal 2 3 2 28 3 9" xfId="27229" xr:uid="{00000000-0005-0000-0000-00005D6A0000}"/>
    <cellStyle name="Normal 2 3 2 28 4" xfId="27230" xr:uid="{00000000-0005-0000-0000-00005E6A0000}"/>
    <cellStyle name="Normal 2 3 2 28 4 10" xfId="27231" xr:uid="{00000000-0005-0000-0000-00005F6A0000}"/>
    <cellStyle name="Normal 2 3 2 28 4 2" xfId="27232" xr:uid="{00000000-0005-0000-0000-0000606A0000}"/>
    <cellStyle name="Normal 2 3 2 28 4 3" xfId="27233" xr:uid="{00000000-0005-0000-0000-0000616A0000}"/>
    <cellStyle name="Normal 2 3 2 28 4 4" xfId="27234" xr:uid="{00000000-0005-0000-0000-0000626A0000}"/>
    <cellStyle name="Normal 2 3 2 28 4 5" xfId="27235" xr:uid="{00000000-0005-0000-0000-0000636A0000}"/>
    <cellStyle name="Normal 2 3 2 28 4 6" xfId="27236" xr:uid="{00000000-0005-0000-0000-0000646A0000}"/>
    <cellStyle name="Normal 2 3 2 28 4 7" xfId="27237" xr:uid="{00000000-0005-0000-0000-0000656A0000}"/>
    <cellStyle name="Normal 2 3 2 28 4 8" xfId="27238" xr:uid="{00000000-0005-0000-0000-0000666A0000}"/>
    <cellStyle name="Normal 2 3 2 28 4 9" xfId="27239" xr:uid="{00000000-0005-0000-0000-0000676A0000}"/>
    <cellStyle name="Normal 2 3 2 28 5" xfId="27240" xr:uid="{00000000-0005-0000-0000-0000686A0000}"/>
    <cellStyle name="Normal 2 3 2 28 5 10" xfId="27241" xr:uid="{00000000-0005-0000-0000-0000696A0000}"/>
    <cellStyle name="Normal 2 3 2 28 5 2" xfId="27242" xr:uid="{00000000-0005-0000-0000-00006A6A0000}"/>
    <cellStyle name="Normal 2 3 2 28 5 3" xfId="27243" xr:uid="{00000000-0005-0000-0000-00006B6A0000}"/>
    <cellStyle name="Normal 2 3 2 28 5 4" xfId="27244" xr:uid="{00000000-0005-0000-0000-00006C6A0000}"/>
    <cellStyle name="Normal 2 3 2 28 5 5" xfId="27245" xr:uid="{00000000-0005-0000-0000-00006D6A0000}"/>
    <cellStyle name="Normal 2 3 2 28 5 6" xfId="27246" xr:uid="{00000000-0005-0000-0000-00006E6A0000}"/>
    <cellStyle name="Normal 2 3 2 28 5 7" xfId="27247" xr:uid="{00000000-0005-0000-0000-00006F6A0000}"/>
    <cellStyle name="Normal 2 3 2 28 5 8" xfId="27248" xr:uid="{00000000-0005-0000-0000-0000706A0000}"/>
    <cellStyle name="Normal 2 3 2 28 5 9" xfId="27249" xr:uid="{00000000-0005-0000-0000-0000716A0000}"/>
    <cellStyle name="Normal 2 3 2 28 6" xfId="27250" xr:uid="{00000000-0005-0000-0000-0000726A0000}"/>
    <cellStyle name="Normal 2 3 2 28 7" xfId="27251" xr:uid="{00000000-0005-0000-0000-0000736A0000}"/>
    <cellStyle name="Normal 2 3 2 28 8" xfId="27252" xr:uid="{00000000-0005-0000-0000-0000746A0000}"/>
    <cellStyle name="Normal 2 3 2 28 9" xfId="27253" xr:uid="{00000000-0005-0000-0000-0000756A0000}"/>
    <cellStyle name="Normal 2 3 2 29" xfId="27254" xr:uid="{00000000-0005-0000-0000-0000766A0000}"/>
    <cellStyle name="Normal 2 3 2 29 10" xfId="27255" xr:uid="{00000000-0005-0000-0000-0000776A0000}"/>
    <cellStyle name="Normal 2 3 2 29 11" xfId="27256" xr:uid="{00000000-0005-0000-0000-0000786A0000}"/>
    <cellStyle name="Normal 2 3 2 29 12" xfId="27257" xr:uid="{00000000-0005-0000-0000-0000796A0000}"/>
    <cellStyle name="Normal 2 3 2 29 13" xfId="27258" xr:uid="{00000000-0005-0000-0000-00007A6A0000}"/>
    <cellStyle name="Normal 2 3 2 29 14" xfId="27259" xr:uid="{00000000-0005-0000-0000-00007B6A0000}"/>
    <cellStyle name="Normal 2 3 2 29 2" xfId="27260" xr:uid="{00000000-0005-0000-0000-00007C6A0000}"/>
    <cellStyle name="Normal 2 3 2 29 2 10" xfId="27261" xr:uid="{00000000-0005-0000-0000-00007D6A0000}"/>
    <cellStyle name="Normal 2 3 2 29 2 2" xfId="27262" xr:uid="{00000000-0005-0000-0000-00007E6A0000}"/>
    <cellStyle name="Normal 2 3 2 29 2 3" xfId="27263" xr:uid="{00000000-0005-0000-0000-00007F6A0000}"/>
    <cellStyle name="Normal 2 3 2 29 2 4" xfId="27264" xr:uid="{00000000-0005-0000-0000-0000806A0000}"/>
    <cellStyle name="Normal 2 3 2 29 2 5" xfId="27265" xr:uid="{00000000-0005-0000-0000-0000816A0000}"/>
    <cellStyle name="Normal 2 3 2 29 2 6" xfId="27266" xr:uid="{00000000-0005-0000-0000-0000826A0000}"/>
    <cellStyle name="Normal 2 3 2 29 2 7" xfId="27267" xr:uid="{00000000-0005-0000-0000-0000836A0000}"/>
    <cellStyle name="Normal 2 3 2 29 2 8" xfId="27268" xr:uid="{00000000-0005-0000-0000-0000846A0000}"/>
    <cellStyle name="Normal 2 3 2 29 2 9" xfId="27269" xr:uid="{00000000-0005-0000-0000-0000856A0000}"/>
    <cellStyle name="Normal 2 3 2 29 3" xfId="27270" xr:uid="{00000000-0005-0000-0000-0000866A0000}"/>
    <cellStyle name="Normal 2 3 2 29 3 10" xfId="27271" xr:uid="{00000000-0005-0000-0000-0000876A0000}"/>
    <cellStyle name="Normal 2 3 2 29 3 2" xfId="27272" xr:uid="{00000000-0005-0000-0000-0000886A0000}"/>
    <cellStyle name="Normal 2 3 2 29 3 3" xfId="27273" xr:uid="{00000000-0005-0000-0000-0000896A0000}"/>
    <cellStyle name="Normal 2 3 2 29 3 4" xfId="27274" xr:uid="{00000000-0005-0000-0000-00008A6A0000}"/>
    <cellStyle name="Normal 2 3 2 29 3 5" xfId="27275" xr:uid="{00000000-0005-0000-0000-00008B6A0000}"/>
    <cellStyle name="Normal 2 3 2 29 3 6" xfId="27276" xr:uid="{00000000-0005-0000-0000-00008C6A0000}"/>
    <cellStyle name="Normal 2 3 2 29 3 7" xfId="27277" xr:uid="{00000000-0005-0000-0000-00008D6A0000}"/>
    <cellStyle name="Normal 2 3 2 29 3 8" xfId="27278" xr:uid="{00000000-0005-0000-0000-00008E6A0000}"/>
    <cellStyle name="Normal 2 3 2 29 3 9" xfId="27279" xr:uid="{00000000-0005-0000-0000-00008F6A0000}"/>
    <cellStyle name="Normal 2 3 2 29 4" xfId="27280" xr:uid="{00000000-0005-0000-0000-0000906A0000}"/>
    <cellStyle name="Normal 2 3 2 29 4 10" xfId="27281" xr:uid="{00000000-0005-0000-0000-0000916A0000}"/>
    <cellStyle name="Normal 2 3 2 29 4 2" xfId="27282" xr:uid="{00000000-0005-0000-0000-0000926A0000}"/>
    <cellStyle name="Normal 2 3 2 29 4 3" xfId="27283" xr:uid="{00000000-0005-0000-0000-0000936A0000}"/>
    <cellStyle name="Normal 2 3 2 29 4 4" xfId="27284" xr:uid="{00000000-0005-0000-0000-0000946A0000}"/>
    <cellStyle name="Normal 2 3 2 29 4 5" xfId="27285" xr:uid="{00000000-0005-0000-0000-0000956A0000}"/>
    <cellStyle name="Normal 2 3 2 29 4 6" xfId="27286" xr:uid="{00000000-0005-0000-0000-0000966A0000}"/>
    <cellStyle name="Normal 2 3 2 29 4 7" xfId="27287" xr:uid="{00000000-0005-0000-0000-0000976A0000}"/>
    <cellStyle name="Normal 2 3 2 29 4 8" xfId="27288" xr:uid="{00000000-0005-0000-0000-0000986A0000}"/>
    <cellStyle name="Normal 2 3 2 29 4 9" xfId="27289" xr:uid="{00000000-0005-0000-0000-0000996A0000}"/>
    <cellStyle name="Normal 2 3 2 29 5" xfId="27290" xr:uid="{00000000-0005-0000-0000-00009A6A0000}"/>
    <cellStyle name="Normal 2 3 2 29 5 10" xfId="27291" xr:uid="{00000000-0005-0000-0000-00009B6A0000}"/>
    <cellStyle name="Normal 2 3 2 29 5 2" xfId="27292" xr:uid="{00000000-0005-0000-0000-00009C6A0000}"/>
    <cellStyle name="Normal 2 3 2 29 5 3" xfId="27293" xr:uid="{00000000-0005-0000-0000-00009D6A0000}"/>
    <cellStyle name="Normal 2 3 2 29 5 4" xfId="27294" xr:uid="{00000000-0005-0000-0000-00009E6A0000}"/>
    <cellStyle name="Normal 2 3 2 29 5 5" xfId="27295" xr:uid="{00000000-0005-0000-0000-00009F6A0000}"/>
    <cellStyle name="Normal 2 3 2 29 5 6" xfId="27296" xr:uid="{00000000-0005-0000-0000-0000A06A0000}"/>
    <cellStyle name="Normal 2 3 2 29 5 7" xfId="27297" xr:uid="{00000000-0005-0000-0000-0000A16A0000}"/>
    <cellStyle name="Normal 2 3 2 29 5 8" xfId="27298" xr:uid="{00000000-0005-0000-0000-0000A26A0000}"/>
    <cellStyle name="Normal 2 3 2 29 5 9" xfId="27299" xr:uid="{00000000-0005-0000-0000-0000A36A0000}"/>
    <cellStyle name="Normal 2 3 2 29 6" xfId="27300" xr:uid="{00000000-0005-0000-0000-0000A46A0000}"/>
    <cellStyle name="Normal 2 3 2 29 7" xfId="27301" xr:uid="{00000000-0005-0000-0000-0000A56A0000}"/>
    <cellStyle name="Normal 2 3 2 29 8" xfId="27302" xr:uid="{00000000-0005-0000-0000-0000A66A0000}"/>
    <cellStyle name="Normal 2 3 2 29 9" xfId="27303" xr:uid="{00000000-0005-0000-0000-0000A76A0000}"/>
    <cellStyle name="Normal 2 3 2 3" xfId="27304" xr:uid="{00000000-0005-0000-0000-0000A86A0000}"/>
    <cellStyle name="Normal 2 3 2 3 10" xfId="27305" xr:uid="{00000000-0005-0000-0000-0000A96A0000}"/>
    <cellStyle name="Normal 2 3 2 3 11" xfId="27306" xr:uid="{00000000-0005-0000-0000-0000AA6A0000}"/>
    <cellStyle name="Normal 2 3 2 3 12" xfId="27307" xr:uid="{00000000-0005-0000-0000-0000AB6A0000}"/>
    <cellStyle name="Normal 2 3 2 3 13" xfId="27308" xr:uid="{00000000-0005-0000-0000-0000AC6A0000}"/>
    <cellStyle name="Normal 2 3 2 3 14" xfId="27309" xr:uid="{00000000-0005-0000-0000-0000AD6A0000}"/>
    <cellStyle name="Normal 2 3 2 3 15" xfId="27310" xr:uid="{00000000-0005-0000-0000-0000AE6A0000}"/>
    <cellStyle name="Normal 2 3 2 3 16" xfId="27311" xr:uid="{00000000-0005-0000-0000-0000AF6A0000}"/>
    <cellStyle name="Normal 2 3 2 3 2" xfId="27312" xr:uid="{00000000-0005-0000-0000-0000B06A0000}"/>
    <cellStyle name="Normal 2 3 2 3 2 10" xfId="27313" xr:uid="{00000000-0005-0000-0000-0000B16A0000}"/>
    <cellStyle name="Normal 2 3 2 3 2 2" xfId="27314" xr:uid="{00000000-0005-0000-0000-0000B26A0000}"/>
    <cellStyle name="Normal 2 3 2 3 2 3" xfId="27315" xr:uid="{00000000-0005-0000-0000-0000B36A0000}"/>
    <cellStyle name="Normal 2 3 2 3 2 4" xfId="27316" xr:uid="{00000000-0005-0000-0000-0000B46A0000}"/>
    <cellStyle name="Normal 2 3 2 3 2 5" xfId="27317" xr:uid="{00000000-0005-0000-0000-0000B56A0000}"/>
    <cellStyle name="Normal 2 3 2 3 2 6" xfId="27318" xr:uid="{00000000-0005-0000-0000-0000B66A0000}"/>
    <cellStyle name="Normal 2 3 2 3 2 7" xfId="27319" xr:uid="{00000000-0005-0000-0000-0000B76A0000}"/>
    <cellStyle name="Normal 2 3 2 3 2 8" xfId="27320" xr:uid="{00000000-0005-0000-0000-0000B86A0000}"/>
    <cellStyle name="Normal 2 3 2 3 2 9" xfId="27321" xr:uid="{00000000-0005-0000-0000-0000B96A0000}"/>
    <cellStyle name="Normal 2 3 2 3 3" xfId="27322" xr:uid="{00000000-0005-0000-0000-0000BA6A0000}"/>
    <cellStyle name="Normal 2 3 2 3 3 10" xfId="27323" xr:uid="{00000000-0005-0000-0000-0000BB6A0000}"/>
    <cellStyle name="Normal 2 3 2 3 3 2" xfId="27324" xr:uid="{00000000-0005-0000-0000-0000BC6A0000}"/>
    <cellStyle name="Normal 2 3 2 3 3 3" xfId="27325" xr:uid="{00000000-0005-0000-0000-0000BD6A0000}"/>
    <cellStyle name="Normal 2 3 2 3 3 4" xfId="27326" xr:uid="{00000000-0005-0000-0000-0000BE6A0000}"/>
    <cellStyle name="Normal 2 3 2 3 3 5" xfId="27327" xr:uid="{00000000-0005-0000-0000-0000BF6A0000}"/>
    <cellStyle name="Normal 2 3 2 3 3 6" xfId="27328" xr:uid="{00000000-0005-0000-0000-0000C06A0000}"/>
    <cellStyle name="Normal 2 3 2 3 3 7" xfId="27329" xr:uid="{00000000-0005-0000-0000-0000C16A0000}"/>
    <cellStyle name="Normal 2 3 2 3 3 8" xfId="27330" xr:uid="{00000000-0005-0000-0000-0000C26A0000}"/>
    <cellStyle name="Normal 2 3 2 3 3 9" xfId="27331" xr:uid="{00000000-0005-0000-0000-0000C36A0000}"/>
    <cellStyle name="Normal 2 3 2 3 4" xfId="27332" xr:uid="{00000000-0005-0000-0000-0000C46A0000}"/>
    <cellStyle name="Normal 2 3 2 3 4 10" xfId="27333" xr:uid="{00000000-0005-0000-0000-0000C56A0000}"/>
    <cellStyle name="Normal 2 3 2 3 4 2" xfId="27334" xr:uid="{00000000-0005-0000-0000-0000C66A0000}"/>
    <cellStyle name="Normal 2 3 2 3 4 3" xfId="27335" xr:uid="{00000000-0005-0000-0000-0000C76A0000}"/>
    <cellStyle name="Normal 2 3 2 3 4 4" xfId="27336" xr:uid="{00000000-0005-0000-0000-0000C86A0000}"/>
    <cellStyle name="Normal 2 3 2 3 4 5" xfId="27337" xr:uid="{00000000-0005-0000-0000-0000C96A0000}"/>
    <cellStyle name="Normal 2 3 2 3 4 6" xfId="27338" xr:uid="{00000000-0005-0000-0000-0000CA6A0000}"/>
    <cellStyle name="Normal 2 3 2 3 4 7" xfId="27339" xr:uid="{00000000-0005-0000-0000-0000CB6A0000}"/>
    <cellStyle name="Normal 2 3 2 3 4 8" xfId="27340" xr:uid="{00000000-0005-0000-0000-0000CC6A0000}"/>
    <cellStyle name="Normal 2 3 2 3 4 9" xfId="27341" xr:uid="{00000000-0005-0000-0000-0000CD6A0000}"/>
    <cellStyle name="Normal 2 3 2 3 5" xfId="27342" xr:uid="{00000000-0005-0000-0000-0000CE6A0000}"/>
    <cellStyle name="Normal 2 3 2 3 5 10" xfId="27343" xr:uid="{00000000-0005-0000-0000-0000CF6A0000}"/>
    <cellStyle name="Normal 2 3 2 3 5 2" xfId="27344" xr:uid="{00000000-0005-0000-0000-0000D06A0000}"/>
    <cellStyle name="Normal 2 3 2 3 5 3" xfId="27345" xr:uid="{00000000-0005-0000-0000-0000D16A0000}"/>
    <cellStyle name="Normal 2 3 2 3 5 4" xfId="27346" xr:uid="{00000000-0005-0000-0000-0000D26A0000}"/>
    <cellStyle name="Normal 2 3 2 3 5 5" xfId="27347" xr:uid="{00000000-0005-0000-0000-0000D36A0000}"/>
    <cellStyle name="Normal 2 3 2 3 5 6" xfId="27348" xr:uid="{00000000-0005-0000-0000-0000D46A0000}"/>
    <cellStyle name="Normal 2 3 2 3 5 7" xfId="27349" xr:uid="{00000000-0005-0000-0000-0000D56A0000}"/>
    <cellStyle name="Normal 2 3 2 3 5 8" xfId="27350" xr:uid="{00000000-0005-0000-0000-0000D66A0000}"/>
    <cellStyle name="Normal 2 3 2 3 5 9" xfId="27351" xr:uid="{00000000-0005-0000-0000-0000D76A0000}"/>
    <cellStyle name="Normal 2 3 2 3 6" xfId="27352" xr:uid="{00000000-0005-0000-0000-0000D86A0000}"/>
    <cellStyle name="Normal 2 3 2 3 7" xfId="27353" xr:uid="{00000000-0005-0000-0000-0000D96A0000}"/>
    <cellStyle name="Normal 2 3 2 3 8" xfId="27354" xr:uid="{00000000-0005-0000-0000-0000DA6A0000}"/>
    <cellStyle name="Normal 2 3 2 3 9" xfId="27355" xr:uid="{00000000-0005-0000-0000-0000DB6A0000}"/>
    <cellStyle name="Normal 2 3 2 30" xfId="27356" xr:uid="{00000000-0005-0000-0000-0000DC6A0000}"/>
    <cellStyle name="Normal 2 3 2 30 10" xfId="27357" xr:uid="{00000000-0005-0000-0000-0000DD6A0000}"/>
    <cellStyle name="Normal 2 3 2 30 11" xfId="27358" xr:uid="{00000000-0005-0000-0000-0000DE6A0000}"/>
    <cellStyle name="Normal 2 3 2 30 12" xfId="27359" xr:uid="{00000000-0005-0000-0000-0000DF6A0000}"/>
    <cellStyle name="Normal 2 3 2 30 13" xfId="27360" xr:uid="{00000000-0005-0000-0000-0000E06A0000}"/>
    <cellStyle name="Normal 2 3 2 30 14" xfId="27361" xr:uid="{00000000-0005-0000-0000-0000E16A0000}"/>
    <cellStyle name="Normal 2 3 2 30 2" xfId="27362" xr:uid="{00000000-0005-0000-0000-0000E26A0000}"/>
    <cellStyle name="Normal 2 3 2 30 2 10" xfId="27363" xr:uid="{00000000-0005-0000-0000-0000E36A0000}"/>
    <cellStyle name="Normal 2 3 2 30 2 2" xfId="27364" xr:uid="{00000000-0005-0000-0000-0000E46A0000}"/>
    <cellStyle name="Normal 2 3 2 30 2 3" xfId="27365" xr:uid="{00000000-0005-0000-0000-0000E56A0000}"/>
    <cellStyle name="Normal 2 3 2 30 2 4" xfId="27366" xr:uid="{00000000-0005-0000-0000-0000E66A0000}"/>
    <cellStyle name="Normal 2 3 2 30 2 5" xfId="27367" xr:uid="{00000000-0005-0000-0000-0000E76A0000}"/>
    <cellStyle name="Normal 2 3 2 30 2 6" xfId="27368" xr:uid="{00000000-0005-0000-0000-0000E86A0000}"/>
    <cellStyle name="Normal 2 3 2 30 2 7" xfId="27369" xr:uid="{00000000-0005-0000-0000-0000E96A0000}"/>
    <cellStyle name="Normal 2 3 2 30 2 8" xfId="27370" xr:uid="{00000000-0005-0000-0000-0000EA6A0000}"/>
    <cellStyle name="Normal 2 3 2 30 2 9" xfId="27371" xr:uid="{00000000-0005-0000-0000-0000EB6A0000}"/>
    <cellStyle name="Normal 2 3 2 30 3" xfId="27372" xr:uid="{00000000-0005-0000-0000-0000EC6A0000}"/>
    <cellStyle name="Normal 2 3 2 30 3 10" xfId="27373" xr:uid="{00000000-0005-0000-0000-0000ED6A0000}"/>
    <cellStyle name="Normal 2 3 2 30 3 2" xfId="27374" xr:uid="{00000000-0005-0000-0000-0000EE6A0000}"/>
    <cellStyle name="Normal 2 3 2 30 3 3" xfId="27375" xr:uid="{00000000-0005-0000-0000-0000EF6A0000}"/>
    <cellStyle name="Normal 2 3 2 30 3 4" xfId="27376" xr:uid="{00000000-0005-0000-0000-0000F06A0000}"/>
    <cellStyle name="Normal 2 3 2 30 3 5" xfId="27377" xr:uid="{00000000-0005-0000-0000-0000F16A0000}"/>
    <cellStyle name="Normal 2 3 2 30 3 6" xfId="27378" xr:uid="{00000000-0005-0000-0000-0000F26A0000}"/>
    <cellStyle name="Normal 2 3 2 30 3 7" xfId="27379" xr:uid="{00000000-0005-0000-0000-0000F36A0000}"/>
    <cellStyle name="Normal 2 3 2 30 3 8" xfId="27380" xr:uid="{00000000-0005-0000-0000-0000F46A0000}"/>
    <cellStyle name="Normal 2 3 2 30 3 9" xfId="27381" xr:uid="{00000000-0005-0000-0000-0000F56A0000}"/>
    <cellStyle name="Normal 2 3 2 30 4" xfId="27382" xr:uid="{00000000-0005-0000-0000-0000F66A0000}"/>
    <cellStyle name="Normal 2 3 2 30 4 10" xfId="27383" xr:uid="{00000000-0005-0000-0000-0000F76A0000}"/>
    <cellStyle name="Normal 2 3 2 30 4 2" xfId="27384" xr:uid="{00000000-0005-0000-0000-0000F86A0000}"/>
    <cellStyle name="Normal 2 3 2 30 4 3" xfId="27385" xr:uid="{00000000-0005-0000-0000-0000F96A0000}"/>
    <cellStyle name="Normal 2 3 2 30 4 4" xfId="27386" xr:uid="{00000000-0005-0000-0000-0000FA6A0000}"/>
    <cellStyle name="Normal 2 3 2 30 4 5" xfId="27387" xr:uid="{00000000-0005-0000-0000-0000FB6A0000}"/>
    <cellStyle name="Normal 2 3 2 30 4 6" xfId="27388" xr:uid="{00000000-0005-0000-0000-0000FC6A0000}"/>
    <cellStyle name="Normal 2 3 2 30 4 7" xfId="27389" xr:uid="{00000000-0005-0000-0000-0000FD6A0000}"/>
    <cellStyle name="Normal 2 3 2 30 4 8" xfId="27390" xr:uid="{00000000-0005-0000-0000-0000FE6A0000}"/>
    <cellStyle name="Normal 2 3 2 30 4 9" xfId="27391" xr:uid="{00000000-0005-0000-0000-0000FF6A0000}"/>
    <cellStyle name="Normal 2 3 2 30 5" xfId="27392" xr:uid="{00000000-0005-0000-0000-0000006B0000}"/>
    <cellStyle name="Normal 2 3 2 30 5 10" xfId="27393" xr:uid="{00000000-0005-0000-0000-0000016B0000}"/>
    <cellStyle name="Normal 2 3 2 30 5 2" xfId="27394" xr:uid="{00000000-0005-0000-0000-0000026B0000}"/>
    <cellStyle name="Normal 2 3 2 30 5 3" xfId="27395" xr:uid="{00000000-0005-0000-0000-0000036B0000}"/>
    <cellStyle name="Normal 2 3 2 30 5 4" xfId="27396" xr:uid="{00000000-0005-0000-0000-0000046B0000}"/>
    <cellStyle name="Normal 2 3 2 30 5 5" xfId="27397" xr:uid="{00000000-0005-0000-0000-0000056B0000}"/>
    <cellStyle name="Normal 2 3 2 30 5 6" xfId="27398" xr:uid="{00000000-0005-0000-0000-0000066B0000}"/>
    <cellStyle name="Normal 2 3 2 30 5 7" xfId="27399" xr:uid="{00000000-0005-0000-0000-0000076B0000}"/>
    <cellStyle name="Normal 2 3 2 30 5 8" xfId="27400" xr:uid="{00000000-0005-0000-0000-0000086B0000}"/>
    <cellStyle name="Normal 2 3 2 30 5 9" xfId="27401" xr:uid="{00000000-0005-0000-0000-0000096B0000}"/>
    <cellStyle name="Normal 2 3 2 30 6" xfId="27402" xr:uid="{00000000-0005-0000-0000-00000A6B0000}"/>
    <cellStyle name="Normal 2 3 2 30 7" xfId="27403" xr:uid="{00000000-0005-0000-0000-00000B6B0000}"/>
    <cellStyle name="Normal 2 3 2 30 8" xfId="27404" xr:uid="{00000000-0005-0000-0000-00000C6B0000}"/>
    <cellStyle name="Normal 2 3 2 30 9" xfId="27405" xr:uid="{00000000-0005-0000-0000-00000D6B0000}"/>
    <cellStyle name="Normal 2 3 2 31" xfId="27406" xr:uid="{00000000-0005-0000-0000-00000E6B0000}"/>
    <cellStyle name="Normal 2 3 2 31 10" xfId="27407" xr:uid="{00000000-0005-0000-0000-00000F6B0000}"/>
    <cellStyle name="Normal 2 3 2 31 11" xfId="27408" xr:uid="{00000000-0005-0000-0000-0000106B0000}"/>
    <cellStyle name="Normal 2 3 2 31 12" xfId="27409" xr:uid="{00000000-0005-0000-0000-0000116B0000}"/>
    <cellStyle name="Normal 2 3 2 31 13" xfId="27410" xr:uid="{00000000-0005-0000-0000-0000126B0000}"/>
    <cellStyle name="Normal 2 3 2 31 14" xfId="27411" xr:uid="{00000000-0005-0000-0000-0000136B0000}"/>
    <cellStyle name="Normal 2 3 2 31 2" xfId="27412" xr:uid="{00000000-0005-0000-0000-0000146B0000}"/>
    <cellStyle name="Normal 2 3 2 31 2 10" xfId="27413" xr:uid="{00000000-0005-0000-0000-0000156B0000}"/>
    <cellStyle name="Normal 2 3 2 31 2 2" xfId="27414" xr:uid="{00000000-0005-0000-0000-0000166B0000}"/>
    <cellStyle name="Normal 2 3 2 31 2 3" xfId="27415" xr:uid="{00000000-0005-0000-0000-0000176B0000}"/>
    <cellStyle name="Normal 2 3 2 31 2 4" xfId="27416" xr:uid="{00000000-0005-0000-0000-0000186B0000}"/>
    <cellStyle name="Normal 2 3 2 31 2 5" xfId="27417" xr:uid="{00000000-0005-0000-0000-0000196B0000}"/>
    <cellStyle name="Normal 2 3 2 31 2 6" xfId="27418" xr:uid="{00000000-0005-0000-0000-00001A6B0000}"/>
    <cellStyle name="Normal 2 3 2 31 2 7" xfId="27419" xr:uid="{00000000-0005-0000-0000-00001B6B0000}"/>
    <cellStyle name="Normal 2 3 2 31 2 8" xfId="27420" xr:uid="{00000000-0005-0000-0000-00001C6B0000}"/>
    <cellStyle name="Normal 2 3 2 31 2 9" xfId="27421" xr:uid="{00000000-0005-0000-0000-00001D6B0000}"/>
    <cellStyle name="Normal 2 3 2 31 3" xfId="27422" xr:uid="{00000000-0005-0000-0000-00001E6B0000}"/>
    <cellStyle name="Normal 2 3 2 31 3 10" xfId="27423" xr:uid="{00000000-0005-0000-0000-00001F6B0000}"/>
    <cellStyle name="Normal 2 3 2 31 3 2" xfId="27424" xr:uid="{00000000-0005-0000-0000-0000206B0000}"/>
    <cellStyle name="Normal 2 3 2 31 3 3" xfId="27425" xr:uid="{00000000-0005-0000-0000-0000216B0000}"/>
    <cellStyle name="Normal 2 3 2 31 3 4" xfId="27426" xr:uid="{00000000-0005-0000-0000-0000226B0000}"/>
    <cellStyle name="Normal 2 3 2 31 3 5" xfId="27427" xr:uid="{00000000-0005-0000-0000-0000236B0000}"/>
    <cellStyle name="Normal 2 3 2 31 3 6" xfId="27428" xr:uid="{00000000-0005-0000-0000-0000246B0000}"/>
    <cellStyle name="Normal 2 3 2 31 3 7" xfId="27429" xr:uid="{00000000-0005-0000-0000-0000256B0000}"/>
    <cellStyle name="Normal 2 3 2 31 3 8" xfId="27430" xr:uid="{00000000-0005-0000-0000-0000266B0000}"/>
    <cellStyle name="Normal 2 3 2 31 3 9" xfId="27431" xr:uid="{00000000-0005-0000-0000-0000276B0000}"/>
    <cellStyle name="Normal 2 3 2 31 4" xfId="27432" xr:uid="{00000000-0005-0000-0000-0000286B0000}"/>
    <cellStyle name="Normal 2 3 2 31 4 10" xfId="27433" xr:uid="{00000000-0005-0000-0000-0000296B0000}"/>
    <cellStyle name="Normal 2 3 2 31 4 2" xfId="27434" xr:uid="{00000000-0005-0000-0000-00002A6B0000}"/>
    <cellStyle name="Normal 2 3 2 31 4 3" xfId="27435" xr:uid="{00000000-0005-0000-0000-00002B6B0000}"/>
    <cellStyle name="Normal 2 3 2 31 4 4" xfId="27436" xr:uid="{00000000-0005-0000-0000-00002C6B0000}"/>
    <cellStyle name="Normal 2 3 2 31 4 5" xfId="27437" xr:uid="{00000000-0005-0000-0000-00002D6B0000}"/>
    <cellStyle name="Normal 2 3 2 31 4 6" xfId="27438" xr:uid="{00000000-0005-0000-0000-00002E6B0000}"/>
    <cellStyle name="Normal 2 3 2 31 4 7" xfId="27439" xr:uid="{00000000-0005-0000-0000-00002F6B0000}"/>
    <cellStyle name="Normal 2 3 2 31 4 8" xfId="27440" xr:uid="{00000000-0005-0000-0000-0000306B0000}"/>
    <cellStyle name="Normal 2 3 2 31 4 9" xfId="27441" xr:uid="{00000000-0005-0000-0000-0000316B0000}"/>
    <cellStyle name="Normal 2 3 2 31 5" xfId="27442" xr:uid="{00000000-0005-0000-0000-0000326B0000}"/>
    <cellStyle name="Normal 2 3 2 31 5 10" xfId="27443" xr:uid="{00000000-0005-0000-0000-0000336B0000}"/>
    <cellStyle name="Normal 2 3 2 31 5 2" xfId="27444" xr:uid="{00000000-0005-0000-0000-0000346B0000}"/>
    <cellStyle name="Normal 2 3 2 31 5 3" xfId="27445" xr:uid="{00000000-0005-0000-0000-0000356B0000}"/>
    <cellStyle name="Normal 2 3 2 31 5 4" xfId="27446" xr:uid="{00000000-0005-0000-0000-0000366B0000}"/>
    <cellStyle name="Normal 2 3 2 31 5 5" xfId="27447" xr:uid="{00000000-0005-0000-0000-0000376B0000}"/>
    <cellStyle name="Normal 2 3 2 31 5 6" xfId="27448" xr:uid="{00000000-0005-0000-0000-0000386B0000}"/>
    <cellStyle name="Normal 2 3 2 31 5 7" xfId="27449" xr:uid="{00000000-0005-0000-0000-0000396B0000}"/>
    <cellStyle name="Normal 2 3 2 31 5 8" xfId="27450" xr:uid="{00000000-0005-0000-0000-00003A6B0000}"/>
    <cellStyle name="Normal 2 3 2 31 5 9" xfId="27451" xr:uid="{00000000-0005-0000-0000-00003B6B0000}"/>
    <cellStyle name="Normal 2 3 2 31 6" xfId="27452" xr:uid="{00000000-0005-0000-0000-00003C6B0000}"/>
    <cellStyle name="Normal 2 3 2 31 7" xfId="27453" xr:uid="{00000000-0005-0000-0000-00003D6B0000}"/>
    <cellStyle name="Normal 2 3 2 31 8" xfId="27454" xr:uid="{00000000-0005-0000-0000-00003E6B0000}"/>
    <cellStyle name="Normal 2 3 2 31 9" xfId="27455" xr:uid="{00000000-0005-0000-0000-00003F6B0000}"/>
    <cellStyle name="Normal 2 3 2 32" xfId="27456" xr:uid="{00000000-0005-0000-0000-0000406B0000}"/>
    <cellStyle name="Normal 2 3 2 32 10" xfId="27457" xr:uid="{00000000-0005-0000-0000-0000416B0000}"/>
    <cellStyle name="Normal 2 3 2 32 11" xfId="27458" xr:uid="{00000000-0005-0000-0000-0000426B0000}"/>
    <cellStyle name="Normal 2 3 2 32 12" xfId="27459" xr:uid="{00000000-0005-0000-0000-0000436B0000}"/>
    <cellStyle name="Normal 2 3 2 32 13" xfId="27460" xr:uid="{00000000-0005-0000-0000-0000446B0000}"/>
    <cellStyle name="Normal 2 3 2 32 14" xfId="27461" xr:uid="{00000000-0005-0000-0000-0000456B0000}"/>
    <cellStyle name="Normal 2 3 2 32 2" xfId="27462" xr:uid="{00000000-0005-0000-0000-0000466B0000}"/>
    <cellStyle name="Normal 2 3 2 32 2 10" xfId="27463" xr:uid="{00000000-0005-0000-0000-0000476B0000}"/>
    <cellStyle name="Normal 2 3 2 32 2 2" xfId="27464" xr:uid="{00000000-0005-0000-0000-0000486B0000}"/>
    <cellStyle name="Normal 2 3 2 32 2 3" xfId="27465" xr:uid="{00000000-0005-0000-0000-0000496B0000}"/>
    <cellStyle name="Normal 2 3 2 32 2 4" xfId="27466" xr:uid="{00000000-0005-0000-0000-00004A6B0000}"/>
    <cellStyle name="Normal 2 3 2 32 2 5" xfId="27467" xr:uid="{00000000-0005-0000-0000-00004B6B0000}"/>
    <cellStyle name="Normal 2 3 2 32 2 6" xfId="27468" xr:uid="{00000000-0005-0000-0000-00004C6B0000}"/>
    <cellStyle name="Normal 2 3 2 32 2 7" xfId="27469" xr:uid="{00000000-0005-0000-0000-00004D6B0000}"/>
    <cellStyle name="Normal 2 3 2 32 2 8" xfId="27470" xr:uid="{00000000-0005-0000-0000-00004E6B0000}"/>
    <cellStyle name="Normal 2 3 2 32 2 9" xfId="27471" xr:uid="{00000000-0005-0000-0000-00004F6B0000}"/>
    <cellStyle name="Normal 2 3 2 32 3" xfId="27472" xr:uid="{00000000-0005-0000-0000-0000506B0000}"/>
    <cellStyle name="Normal 2 3 2 32 3 10" xfId="27473" xr:uid="{00000000-0005-0000-0000-0000516B0000}"/>
    <cellStyle name="Normal 2 3 2 32 3 2" xfId="27474" xr:uid="{00000000-0005-0000-0000-0000526B0000}"/>
    <cellStyle name="Normal 2 3 2 32 3 3" xfId="27475" xr:uid="{00000000-0005-0000-0000-0000536B0000}"/>
    <cellStyle name="Normal 2 3 2 32 3 4" xfId="27476" xr:uid="{00000000-0005-0000-0000-0000546B0000}"/>
    <cellStyle name="Normal 2 3 2 32 3 5" xfId="27477" xr:uid="{00000000-0005-0000-0000-0000556B0000}"/>
    <cellStyle name="Normal 2 3 2 32 3 6" xfId="27478" xr:uid="{00000000-0005-0000-0000-0000566B0000}"/>
    <cellStyle name="Normal 2 3 2 32 3 7" xfId="27479" xr:uid="{00000000-0005-0000-0000-0000576B0000}"/>
    <cellStyle name="Normal 2 3 2 32 3 8" xfId="27480" xr:uid="{00000000-0005-0000-0000-0000586B0000}"/>
    <cellStyle name="Normal 2 3 2 32 3 9" xfId="27481" xr:uid="{00000000-0005-0000-0000-0000596B0000}"/>
    <cellStyle name="Normal 2 3 2 32 4" xfId="27482" xr:uid="{00000000-0005-0000-0000-00005A6B0000}"/>
    <cellStyle name="Normal 2 3 2 32 4 10" xfId="27483" xr:uid="{00000000-0005-0000-0000-00005B6B0000}"/>
    <cellStyle name="Normal 2 3 2 32 4 2" xfId="27484" xr:uid="{00000000-0005-0000-0000-00005C6B0000}"/>
    <cellStyle name="Normal 2 3 2 32 4 3" xfId="27485" xr:uid="{00000000-0005-0000-0000-00005D6B0000}"/>
    <cellStyle name="Normal 2 3 2 32 4 4" xfId="27486" xr:uid="{00000000-0005-0000-0000-00005E6B0000}"/>
    <cellStyle name="Normal 2 3 2 32 4 5" xfId="27487" xr:uid="{00000000-0005-0000-0000-00005F6B0000}"/>
    <cellStyle name="Normal 2 3 2 32 4 6" xfId="27488" xr:uid="{00000000-0005-0000-0000-0000606B0000}"/>
    <cellStyle name="Normal 2 3 2 32 4 7" xfId="27489" xr:uid="{00000000-0005-0000-0000-0000616B0000}"/>
    <cellStyle name="Normal 2 3 2 32 4 8" xfId="27490" xr:uid="{00000000-0005-0000-0000-0000626B0000}"/>
    <cellStyle name="Normal 2 3 2 32 4 9" xfId="27491" xr:uid="{00000000-0005-0000-0000-0000636B0000}"/>
    <cellStyle name="Normal 2 3 2 32 5" xfId="27492" xr:uid="{00000000-0005-0000-0000-0000646B0000}"/>
    <cellStyle name="Normal 2 3 2 32 5 10" xfId="27493" xr:uid="{00000000-0005-0000-0000-0000656B0000}"/>
    <cellStyle name="Normal 2 3 2 32 5 2" xfId="27494" xr:uid="{00000000-0005-0000-0000-0000666B0000}"/>
    <cellStyle name="Normal 2 3 2 32 5 3" xfId="27495" xr:uid="{00000000-0005-0000-0000-0000676B0000}"/>
    <cellStyle name="Normal 2 3 2 32 5 4" xfId="27496" xr:uid="{00000000-0005-0000-0000-0000686B0000}"/>
    <cellStyle name="Normal 2 3 2 32 5 5" xfId="27497" xr:uid="{00000000-0005-0000-0000-0000696B0000}"/>
    <cellStyle name="Normal 2 3 2 32 5 6" xfId="27498" xr:uid="{00000000-0005-0000-0000-00006A6B0000}"/>
    <cellStyle name="Normal 2 3 2 32 5 7" xfId="27499" xr:uid="{00000000-0005-0000-0000-00006B6B0000}"/>
    <cellStyle name="Normal 2 3 2 32 5 8" xfId="27500" xr:uid="{00000000-0005-0000-0000-00006C6B0000}"/>
    <cellStyle name="Normal 2 3 2 32 5 9" xfId="27501" xr:uid="{00000000-0005-0000-0000-00006D6B0000}"/>
    <cellStyle name="Normal 2 3 2 32 6" xfId="27502" xr:uid="{00000000-0005-0000-0000-00006E6B0000}"/>
    <cellStyle name="Normal 2 3 2 32 7" xfId="27503" xr:uid="{00000000-0005-0000-0000-00006F6B0000}"/>
    <cellStyle name="Normal 2 3 2 32 8" xfId="27504" xr:uid="{00000000-0005-0000-0000-0000706B0000}"/>
    <cellStyle name="Normal 2 3 2 32 9" xfId="27505" xr:uid="{00000000-0005-0000-0000-0000716B0000}"/>
    <cellStyle name="Normal 2 3 2 33" xfId="27506" xr:uid="{00000000-0005-0000-0000-0000726B0000}"/>
    <cellStyle name="Normal 2 3 2 33 10" xfId="27507" xr:uid="{00000000-0005-0000-0000-0000736B0000}"/>
    <cellStyle name="Normal 2 3 2 33 11" xfId="27508" xr:uid="{00000000-0005-0000-0000-0000746B0000}"/>
    <cellStyle name="Normal 2 3 2 33 12" xfId="27509" xr:uid="{00000000-0005-0000-0000-0000756B0000}"/>
    <cellStyle name="Normal 2 3 2 33 13" xfId="27510" xr:uid="{00000000-0005-0000-0000-0000766B0000}"/>
    <cellStyle name="Normal 2 3 2 33 14" xfId="27511" xr:uid="{00000000-0005-0000-0000-0000776B0000}"/>
    <cellStyle name="Normal 2 3 2 33 2" xfId="27512" xr:uid="{00000000-0005-0000-0000-0000786B0000}"/>
    <cellStyle name="Normal 2 3 2 33 2 10" xfId="27513" xr:uid="{00000000-0005-0000-0000-0000796B0000}"/>
    <cellStyle name="Normal 2 3 2 33 2 2" xfId="27514" xr:uid="{00000000-0005-0000-0000-00007A6B0000}"/>
    <cellStyle name="Normal 2 3 2 33 2 3" xfId="27515" xr:uid="{00000000-0005-0000-0000-00007B6B0000}"/>
    <cellStyle name="Normal 2 3 2 33 2 4" xfId="27516" xr:uid="{00000000-0005-0000-0000-00007C6B0000}"/>
    <cellStyle name="Normal 2 3 2 33 2 5" xfId="27517" xr:uid="{00000000-0005-0000-0000-00007D6B0000}"/>
    <cellStyle name="Normal 2 3 2 33 2 6" xfId="27518" xr:uid="{00000000-0005-0000-0000-00007E6B0000}"/>
    <cellStyle name="Normal 2 3 2 33 2 7" xfId="27519" xr:uid="{00000000-0005-0000-0000-00007F6B0000}"/>
    <cellStyle name="Normal 2 3 2 33 2 8" xfId="27520" xr:uid="{00000000-0005-0000-0000-0000806B0000}"/>
    <cellStyle name="Normal 2 3 2 33 2 9" xfId="27521" xr:uid="{00000000-0005-0000-0000-0000816B0000}"/>
    <cellStyle name="Normal 2 3 2 33 3" xfId="27522" xr:uid="{00000000-0005-0000-0000-0000826B0000}"/>
    <cellStyle name="Normal 2 3 2 33 3 10" xfId="27523" xr:uid="{00000000-0005-0000-0000-0000836B0000}"/>
    <cellStyle name="Normal 2 3 2 33 3 2" xfId="27524" xr:uid="{00000000-0005-0000-0000-0000846B0000}"/>
    <cellStyle name="Normal 2 3 2 33 3 3" xfId="27525" xr:uid="{00000000-0005-0000-0000-0000856B0000}"/>
    <cellStyle name="Normal 2 3 2 33 3 4" xfId="27526" xr:uid="{00000000-0005-0000-0000-0000866B0000}"/>
    <cellStyle name="Normal 2 3 2 33 3 5" xfId="27527" xr:uid="{00000000-0005-0000-0000-0000876B0000}"/>
    <cellStyle name="Normal 2 3 2 33 3 6" xfId="27528" xr:uid="{00000000-0005-0000-0000-0000886B0000}"/>
    <cellStyle name="Normal 2 3 2 33 3 7" xfId="27529" xr:uid="{00000000-0005-0000-0000-0000896B0000}"/>
    <cellStyle name="Normal 2 3 2 33 3 8" xfId="27530" xr:uid="{00000000-0005-0000-0000-00008A6B0000}"/>
    <cellStyle name="Normal 2 3 2 33 3 9" xfId="27531" xr:uid="{00000000-0005-0000-0000-00008B6B0000}"/>
    <cellStyle name="Normal 2 3 2 33 4" xfId="27532" xr:uid="{00000000-0005-0000-0000-00008C6B0000}"/>
    <cellStyle name="Normal 2 3 2 33 4 10" xfId="27533" xr:uid="{00000000-0005-0000-0000-00008D6B0000}"/>
    <cellStyle name="Normal 2 3 2 33 4 2" xfId="27534" xr:uid="{00000000-0005-0000-0000-00008E6B0000}"/>
    <cellStyle name="Normal 2 3 2 33 4 3" xfId="27535" xr:uid="{00000000-0005-0000-0000-00008F6B0000}"/>
    <cellStyle name="Normal 2 3 2 33 4 4" xfId="27536" xr:uid="{00000000-0005-0000-0000-0000906B0000}"/>
    <cellStyle name="Normal 2 3 2 33 4 5" xfId="27537" xr:uid="{00000000-0005-0000-0000-0000916B0000}"/>
    <cellStyle name="Normal 2 3 2 33 4 6" xfId="27538" xr:uid="{00000000-0005-0000-0000-0000926B0000}"/>
    <cellStyle name="Normal 2 3 2 33 4 7" xfId="27539" xr:uid="{00000000-0005-0000-0000-0000936B0000}"/>
    <cellStyle name="Normal 2 3 2 33 4 8" xfId="27540" xr:uid="{00000000-0005-0000-0000-0000946B0000}"/>
    <cellStyle name="Normal 2 3 2 33 4 9" xfId="27541" xr:uid="{00000000-0005-0000-0000-0000956B0000}"/>
    <cellStyle name="Normal 2 3 2 33 5" xfId="27542" xr:uid="{00000000-0005-0000-0000-0000966B0000}"/>
    <cellStyle name="Normal 2 3 2 33 5 10" xfId="27543" xr:uid="{00000000-0005-0000-0000-0000976B0000}"/>
    <cellStyle name="Normal 2 3 2 33 5 2" xfId="27544" xr:uid="{00000000-0005-0000-0000-0000986B0000}"/>
    <cellStyle name="Normal 2 3 2 33 5 3" xfId="27545" xr:uid="{00000000-0005-0000-0000-0000996B0000}"/>
    <cellStyle name="Normal 2 3 2 33 5 4" xfId="27546" xr:uid="{00000000-0005-0000-0000-00009A6B0000}"/>
    <cellStyle name="Normal 2 3 2 33 5 5" xfId="27547" xr:uid="{00000000-0005-0000-0000-00009B6B0000}"/>
    <cellStyle name="Normal 2 3 2 33 5 6" xfId="27548" xr:uid="{00000000-0005-0000-0000-00009C6B0000}"/>
    <cellStyle name="Normal 2 3 2 33 5 7" xfId="27549" xr:uid="{00000000-0005-0000-0000-00009D6B0000}"/>
    <cellStyle name="Normal 2 3 2 33 5 8" xfId="27550" xr:uid="{00000000-0005-0000-0000-00009E6B0000}"/>
    <cellStyle name="Normal 2 3 2 33 5 9" xfId="27551" xr:uid="{00000000-0005-0000-0000-00009F6B0000}"/>
    <cellStyle name="Normal 2 3 2 33 6" xfId="27552" xr:uid="{00000000-0005-0000-0000-0000A06B0000}"/>
    <cellStyle name="Normal 2 3 2 33 7" xfId="27553" xr:uid="{00000000-0005-0000-0000-0000A16B0000}"/>
    <cellStyle name="Normal 2 3 2 33 8" xfId="27554" xr:uid="{00000000-0005-0000-0000-0000A26B0000}"/>
    <cellStyle name="Normal 2 3 2 33 9" xfId="27555" xr:uid="{00000000-0005-0000-0000-0000A36B0000}"/>
    <cellStyle name="Normal 2 3 2 34" xfId="27556" xr:uid="{00000000-0005-0000-0000-0000A46B0000}"/>
    <cellStyle name="Normal 2 3 2 34 10" xfId="27557" xr:uid="{00000000-0005-0000-0000-0000A56B0000}"/>
    <cellStyle name="Normal 2 3 2 34 2" xfId="27558" xr:uid="{00000000-0005-0000-0000-0000A66B0000}"/>
    <cellStyle name="Normal 2 3 2 34 3" xfId="27559" xr:uid="{00000000-0005-0000-0000-0000A76B0000}"/>
    <cellStyle name="Normal 2 3 2 34 4" xfId="27560" xr:uid="{00000000-0005-0000-0000-0000A86B0000}"/>
    <cellStyle name="Normal 2 3 2 34 5" xfId="27561" xr:uid="{00000000-0005-0000-0000-0000A96B0000}"/>
    <cellStyle name="Normal 2 3 2 34 6" xfId="27562" xr:uid="{00000000-0005-0000-0000-0000AA6B0000}"/>
    <cellStyle name="Normal 2 3 2 34 7" xfId="27563" xr:uid="{00000000-0005-0000-0000-0000AB6B0000}"/>
    <cellStyle name="Normal 2 3 2 34 8" xfId="27564" xr:uid="{00000000-0005-0000-0000-0000AC6B0000}"/>
    <cellStyle name="Normal 2 3 2 34 9" xfId="27565" xr:uid="{00000000-0005-0000-0000-0000AD6B0000}"/>
    <cellStyle name="Normal 2 3 2 35" xfId="27566" xr:uid="{00000000-0005-0000-0000-0000AE6B0000}"/>
    <cellStyle name="Normal 2 3 2 35 10" xfId="27567" xr:uid="{00000000-0005-0000-0000-0000AF6B0000}"/>
    <cellStyle name="Normal 2 3 2 35 2" xfId="27568" xr:uid="{00000000-0005-0000-0000-0000B06B0000}"/>
    <cellStyle name="Normal 2 3 2 35 3" xfId="27569" xr:uid="{00000000-0005-0000-0000-0000B16B0000}"/>
    <cellStyle name="Normal 2 3 2 35 4" xfId="27570" xr:uid="{00000000-0005-0000-0000-0000B26B0000}"/>
    <cellStyle name="Normal 2 3 2 35 5" xfId="27571" xr:uid="{00000000-0005-0000-0000-0000B36B0000}"/>
    <cellStyle name="Normal 2 3 2 35 6" xfId="27572" xr:uid="{00000000-0005-0000-0000-0000B46B0000}"/>
    <cellStyle name="Normal 2 3 2 35 7" xfId="27573" xr:uid="{00000000-0005-0000-0000-0000B56B0000}"/>
    <cellStyle name="Normal 2 3 2 35 8" xfId="27574" xr:uid="{00000000-0005-0000-0000-0000B66B0000}"/>
    <cellStyle name="Normal 2 3 2 35 9" xfId="27575" xr:uid="{00000000-0005-0000-0000-0000B76B0000}"/>
    <cellStyle name="Normal 2 3 2 36" xfId="27576" xr:uid="{00000000-0005-0000-0000-0000B86B0000}"/>
    <cellStyle name="Normal 2 3 2 36 10" xfId="27577" xr:uid="{00000000-0005-0000-0000-0000B96B0000}"/>
    <cellStyle name="Normal 2 3 2 36 2" xfId="27578" xr:uid="{00000000-0005-0000-0000-0000BA6B0000}"/>
    <cellStyle name="Normal 2 3 2 36 3" xfId="27579" xr:uid="{00000000-0005-0000-0000-0000BB6B0000}"/>
    <cellStyle name="Normal 2 3 2 36 4" xfId="27580" xr:uid="{00000000-0005-0000-0000-0000BC6B0000}"/>
    <cellStyle name="Normal 2 3 2 36 5" xfId="27581" xr:uid="{00000000-0005-0000-0000-0000BD6B0000}"/>
    <cellStyle name="Normal 2 3 2 36 6" xfId="27582" xr:uid="{00000000-0005-0000-0000-0000BE6B0000}"/>
    <cellStyle name="Normal 2 3 2 36 7" xfId="27583" xr:uid="{00000000-0005-0000-0000-0000BF6B0000}"/>
    <cellStyle name="Normal 2 3 2 36 8" xfId="27584" xr:uid="{00000000-0005-0000-0000-0000C06B0000}"/>
    <cellStyle name="Normal 2 3 2 36 9" xfId="27585" xr:uid="{00000000-0005-0000-0000-0000C16B0000}"/>
    <cellStyle name="Normal 2 3 2 37" xfId="27586" xr:uid="{00000000-0005-0000-0000-0000C26B0000}"/>
    <cellStyle name="Normal 2 3 2 37 10" xfId="27587" xr:uid="{00000000-0005-0000-0000-0000C36B0000}"/>
    <cellStyle name="Normal 2 3 2 37 2" xfId="27588" xr:uid="{00000000-0005-0000-0000-0000C46B0000}"/>
    <cellStyle name="Normal 2 3 2 37 3" xfId="27589" xr:uid="{00000000-0005-0000-0000-0000C56B0000}"/>
    <cellStyle name="Normal 2 3 2 37 4" xfId="27590" xr:uid="{00000000-0005-0000-0000-0000C66B0000}"/>
    <cellStyle name="Normal 2 3 2 37 5" xfId="27591" xr:uid="{00000000-0005-0000-0000-0000C76B0000}"/>
    <cellStyle name="Normal 2 3 2 37 6" xfId="27592" xr:uid="{00000000-0005-0000-0000-0000C86B0000}"/>
    <cellStyle name="Normal 2 3 2 37 7" xfId="27593" xr:uid="{00000000-0005-0000-0000-0000C96B0000}"/>
    <cellStyle name="Normal 2 3 2 37 8" xfId="27594" xr:uid="{00000000-0005-0000-0000-0000CA6B0000}"/>
    <cellStyle name="Normal 2 3 2 37 9" xfId="27595" xr:uid="{00000000-0005-0000-0000-0000CB6B0000}"/>
    <cellStyle name="Normal 2 3 2 38" xfId="27596" xr:uid="{00000000-0005-0000-0000-0000CC6B0000}"/>
    <cellStyle name="Normal 2 3 2 39" xfId="27597" xr:uid="{00000000-0005-0000-0000-0000CD6B0000}"/>
    <cellStyle name="Normal 2 3 2 4" xfId="27598" xr:uid="{00000000-0005-0000-0000-0000CE6B0000}"/>
    <cellStyle name="Normal 2 3 2 4 10" xfId="27599" xr:uid="{00000000-0005-0000-0000-0000CF6B0000}"/>
    <cellStyle name="Normal 2 3 2 4 11" xfId="27600" xr:uid="{00000000-0005-0000-0000-0000D06B0000}"/>
    <cellStyle name="Normal 2 3 2 4 12" xfId="27601" xr:uid="{00000000-0005-0000-0000-0000D16B0000}"/>
    <cellStyle name="Normal 2 3 2 4 13" xfId="27602" xr:uid="{00000000-0005-0000-0000-0000D26B0000}"/>
    <cellStyle name="Normal 2 3 2 4 14" xfId="27603" xr:uid="{00000000-0005-0000-0000-0000D36B0000}"/>
    <cellStyle name="Normal 2 3 2 4 2" xfId="27604" xr:uid="{00000000-0005-0000-0000-0000D46B0000}"/>
    <cellStyle name="Normal 2 3 2 4 2 10" xfId="27605" xr:uid="{00000000-0005-0000-0000-0000D56B0000}"/>
    <cellStyle name="Normal 2 3 2 4 2 2" xfId="27606" xr:uid="{00000000-0005-0000-0000-0000D66B0000}"/>
    <cellStyle name="Normal 2 3 2 4 2 3" xfId="27607" xr:uid="{00000000-0005-0000-0000-0000D76B0000}"/>
    <cellStyle name="Normal 2 3 2 4 2 4" xfId="27608" xr:uid="{00000000-0005-0000-0000-0000D86B0000}"/>
    <cellStyle name="Normal 2 3 2 4 2 5" xfId="27609" xr:uid="{00000000-0005-0000-0000-0000D96B0000}"/>
    <cellStyle name="Normal 2 3 2 4 2 6" xfId="27610" xr:uid="{00000000-0005-0000-0000-0000DA6B0000}"/>
    <cellStyle name="Normal 2 3 2 4 2 7" xfId="27611" xr:uid="{00000000-0005-0000-0000-0000DB6B0000}"/>
    <cellStyle name="Normal 2 3 2 4 2 8" xfId="27612" xr:uid="{00000000-0005-0000-0000-0000DC6B0000}"/>
    <cellStyle name="Normal 2 3 2 4 2 9" xfId="27613" xr:uid="{00000000-0005-0000-0000-0000DD6B0000}"/>
    <cellStyle name="Normal 2 3 2 4 3" xfId="27614" xr:uid="{00000000-0005-0000-0000-0000DE6B0000}"/>
    <cellStyle name="Normal 2 3 2 4 3 10" xfId="27615" xr:uid="{00000000-0005-0000-0000-0000DF6B0000}"/>
    <cellStyle name="Normal 2 3 2 4 3 2" xfId="27616" xr:uid="{00000000-0005-0000-0000-0000E06B0000}"/>
    <cellStyle name="Normal 2 3 2 4 3 3" xfId="27617" xr:uid="{00000000-0005-0000-0000-0000E16B0000}"/>
    <cellStyle name="Normal 2 3 2 4 3 4" xfId="27618" xr:uid="{00000000-0005-0000-0000-0000E26B0000}"/>
    <cellStyle name="Normal 2 3 2 4 3 5" xfId="27619" xr:uid="{00000000-0005-0000-0000-0000E36B0000}"/>
    <cellStyle name="Normal 2 3 2 4 3 6" xfId="27620" xr:uid="{00000000-0005-0000-0000-0000E46B0000}"/>
    <cellStyle name="Normal 2 3 2 4 3 7" xfId="27621" xr:uid="{00000000-0005-0000-0000-0000E56B0000}"/>
    <cellStyle name="Normal 2 3 2 4 3 8" xfId="27622" xr:uid="{00000000-0005-0000-0000-0000E66B0000}"/>
    <cellStyle name="Normal 2 3 2 4 3 9" xfId="27623" xr:uid="{00000000-0005-0000-0000-0000E76B0000}"/>
    <cellStyle name="Normal 2 3 2 4 4" xfId="27624" xr:uid="{00000000-0005-0000-0000-0000E86B0000}"/>
    <cellStyle name="Normal 2 3 2 4 4 10" xfId="27625" xr:uid="{00000000-0005-0000-0000-0000E96B0000}"/>
    <cellStyle name="Normal 2 3 2 4 4 2" xfId="27626" xr:uid="{00000000-0005-0000-0000-0000EA6B0000}"/>
    <cellStyle name="Normal 2 3 2 4 4 3" xfId="27627" xr:uid="{00000000-0005-0000-0000-0000EB6B0000}"/>
    <cellStyle name="Normal 2 3 2 4 4 4" xfId="27628" xr:uid="{00000000-0005-0000-0000-0000EC6B0000}"/>
    <cellStyle name="Normal 2 3 2 4 4 5" xfId="27629" xr:uid="{00000000-0005-0000-0000-0000ED6B0000}"/>
    <cellStyle name="Normal 2 3 2 4 4 6" xfId="27630" xr:uid="{00000000-0005-0000-0000-0000EE6B0000}"/>
    <cellStyle name="Normal 2 3 2 4 4 7" xfId="27631" xr:uid="{00000000-0005-0000-0000-0000EF6B0000}"/>
    <cellStyle name="Normal 2 3 2 4 4 8" xfId="27632" xr:uid="{00000000-0005-0000-0000-0000F06B0000}"/>
    <cellStyle name="Normal 2 3 2 4 4 9" xfId="27633" xr:uid="{00000000-0005-0000-0000-0000F16B0000}"/>
    <cellStyle name="Normal 2 3 2 4 5" xfId="27634" xr:uid="{00000000-0005-0000-0000-0000F26B0000}"/>
    <cellStyle name="Normal 2 3 2 4 5 10" xfId="27635" xr:uid="{00000000-0005-0000-0000-0000F36B0000}"/>
    <cellStyle name="Normal 2 3 2 4 5 2" xfId="27636" xr:uid="{00000000-0005-0000-0000-0000F46B0000}"/>
    <cellStyle name="Normal 2 3 2 4 5 3" xfId="27637" xr:uid="{00000000-0005-0000-0000-0000F56B0000}"/>
    <cellStyle name="Normal 2 3 2 4 5 4" xfId="27638" xr:uid="{00000000-0005-0000-0000-0000F66B0000}"/>
    <cellStyle name="Normal 2 3 2 4 5 5" xfId="27639" xr:uid="{00000000-0005-0000-0000-0000F76B0000}"/>
    <cellStyle name="Normal 2 3 2 4 5 6" xfId="27640" xr:uid="{00000000-0005-0000-0000-0000F86B0000}"/>
    <cellStyle name="Normal 2 3 2 4 5 7" xfId="27641" xr:uid="{00000000-0005-0000-0000-0000F96B0000}"/>
    <cellStyle name="Normal 2 3 2 4 5 8" xfId="27642" xr:uid="{00000000-0005-0000-0000-0000FA6B0000}"/>
    <cellStyle name="Normal 2 3 2 4 5 9" xfId="27643" xr:uid="{00000000-0005-0000-0000-0000FB6B0000}"/>
    <cellStyle name="Normal 2 3 2 4 6" xfId="27644" xr:uid="{00000000-0005-0000-0000-0000FC6B0000}"/>
    <cellStyle name="Normal 2 3 2 4 7" xfId="27645" xr:uid="{00000000-0005-0000-0000-0000FD6B0000}"/>
    <cellStyle name="Normal 2 3 2 4 8" xfId="27646" xr:uid="{00000000-0005-0000-0000-0000FE6B0000}"/>
    <cellStyle name="Normal 2 3 2 4 9" xfId="27647" xr:uid="{00000000-0005-0000-0000-0000FF6B0000}"/>
    <cellStyle name="Normal 2 3 2 40" xfId="27648" xr:uid="{00000000-0005-0000-0000-0000006C0000}"/>
    <cellStyle name="Normal 2 3 2 41" xfId="27649" xr:uid="{00000000-0005-0000-0000-0000016C0000}"/>
    <cellStyle name="Normal 2 3 2 42" xfId="27650" xr:uid="{00000000-0005-0000-0000-0000026C0000}"/>
    <cellStyle name="Normal 2 3 2 43" xfId="27651" xr:uid="{00000000-0005-0000-0000-0000036C0000}"/>
    <cellStyle name="Normal 2 3 2 44" xfId="27652" xr:uid="{00000000-0005-0000-0000-0000046C0000}"/>
    <cellStyle name="Normal 2 3 2 45" xfId="27653" xr:uid="{00000000-0005-0000-0000-0000056C0000}"/>
    <cellStyle name="Normal 2 3 2 46" xfId="27654" xr:uid="{00000000-0005-0000-0000-0000066C0000}"/>
    <cellStyle name="Normal 2 3 2 47" xfId="27655" xr:uid="{00000000-0005-0000-0000-0000076C0000}"/>
    <cellStyle name="Normal 2 3 2 48" xfId="27656" xr:uid="{00000000-0005-0000-0000-0000086C0000}"/>
    <cellStyle name="Normal 2 3 2 5" xfId="27657" xr:uid="{00000000-0005-0000-0000-0000096C0000}"/>
    <cellStyle name="Normal 2 3 2 5 10" xfId="27658" xr:uid="{00000000-0005-0000-0000-00000A6C0000}"/>
    <cellStyle name="Normal 2 3 2 5 11" xfId="27659" xr:uid="{00000000-0005-0000-0000-00000B6C0000}"/>
    <cellStyle name="Normal 2 3 2 5 12" xfId="27660" xr:uid="{00000000-0005-0000-0000-00000C6C0000}"/>
    <cellStyle name="Normal 2 3 2 5 13" xfId="27661" xr:uid="{00000000-0005-0000-0000-00000D6C0000}"/>
    <cellStyle name="Normal 2 3 2 5 14" xfId="27662" xr:uid="{00000000-0005-0000-0000-00000E6C0000}"/>
    <cellStyle name="Normal 2 3 2 5 2" xfId="27663" xr:uid="{00000000-0005-0000-0000-00000F6C0000}"/>
    <cellStyle name="Normal 2 3 2 5 2 10" xfId="27664" xr:uid="{00000000-0005-0000-0000-0000106C0000}"/>
    <cellStyle name="Normal 2 3 2 5 2 2" xfId="27665" xr:uid="{00000000-0005-0000-0000-0000116C0000}"/>
    <cellStyle name="Normal 2 3 2 5 2 3" xfId="27666" xr:uid="{00000000-0005-0000-0000-0000126C0000}"/>
    <cellStyle name="Normal 2 3 2 5 2 4" xfId="27667" xr:uid="{00000000-0005-0000-0000-0000136C0000}"/>
    <cellStyle name="Normal 2 3 2 5 2 5" xfId="27668" xr:uid="{00000000-0005-0000-0000-0000146C0000}"/>
    <cellStyle name="Normal 2 3 2 5 2 6" xfId="27669" xr:uid="{00000000-0005-0000-0000-0000156C0000}"/>
    <cellStyle name="Normal 2 3 2 5 2 7" xfId="27670" xr:uid="{00000000-0005-0000-0000-0000166C0000}"/>
    <cellStyle name="Normal 2 3 2 5 2 8" xfId="27671" xr:uid="{00000000-0005-0000-0000-0000176C0000}"/>
    <cellStyle name="Normal 2 3 2 5 2 9" xfId="27672" xr:uid="{00000000-0005-0000-0000-0000186C0000}"/>
    <cellStyle name="Normal 2 3 2 5 3" xfId="27673" xr:uid="{00000000-0005-0000-0000-0000196C0000}"/>
    <cellStyle name="Normal 2 3 2 5 3 10" xfId="27674" xr:uid="{00000000-0005-0000-0000-00001A6C0000}"/>
    <cellStyle name="Normal 2 3 2 5 3 2" xfId="27675" xr:uid="{00000000-0005-0000-0000-00001B6C0000}"/>
    <cellStyle name="Normal 2 3 2 5 3 3" xfId="27676" xr:uid="{00000000-0005-0000-0000-00001C6C0000}"/>
    <cellStyle name="Normal 2 3 2 5 3 4" xfId="27677" xr:uid="{00000000-0005-0000-0000-00001D6C0000}"/>
    <cellStyle name="Normal 2 3 2 5 3 5" xfId="27678" xr:uid="{00000000-0005-0000-0000-00001E6C0000}"/>
    <cellStyle name="Normal 2 3 2 5 3 6" xfId="27679" xr:uid="{00000000-0005-0000-0000-00001F6C0000}"/>
    <cellStyle name="Normal 2 3 2 5 3 7" xfId="27680" xr:uid="{00000000-0005-0000-0000-0000206C0000}"/>
    <cellStyle name="Normal 2 3 2 5 3 8" xfId="27681" xr:uid="{00000000-0005-0000-0000-0000216C0000}"/>
    <cellStyle name="Normal 2 3 2 5 3 9" xfId="27682" xr:uid="{00000000-0005-0000-0000-0000226C0000}"/>
    <cellStyle name="Normal 2 3 2 5 4" xfId="27683" xr:uid="{00000000-0005-0000-0000-0000236C0000}"/>
    <cellStyle name="Normal 2 3 2 5 4 10" xfId="27684" xr:uid="{00000000-0005-0000-0000-0000246C0000}"/>
    <cellStyle name="Normal 2 3 2 5 4 2" xfId="27685" xr:uid="{00000000-0005-0000-0000-0000256C0000}"/>
    <cellStyle name="Normal 2 3 2 5 4 3" xfId="27686" xr:uid="{00000000-0005-0000-0000-0000266C0000}"/>
    <cellStyle name="Normal 2 3 2 5 4 4" xfId="27687" xr:uid="{00000000-0005-0000-0000-0000276C0000}"/>
    <cellStyle name="Normal 2 3 2 5 4 5" xfId="27688" xr:uid="{00000000-0005-0000-0000-0000286C0000}"/>
    <cellStyle name="Normal 2 3 2 5 4 6" xfId="27689" xr:uid="{00000000-0005-0000-0000-0000296C0000}"/>
    <cellStyle name="Normal 2 3 2 5 4 7" xfId="27690" xr:uid="{00000000-0005-0000-0000-00002A6C0000}"/>
    <cellStyle name="Normal 2 3 2 5 4 8" xfId="27691" xr:uid="{00000000-0005-0000-0000-00002B6C0000}"/>
    <cellStyle name="Normal 2 3 2 5 4 9" xfId="27692" xr:uid="{00000000-0005-0000-0000-00002C6C0000}"/>
    <cellStyle name="Normal 2 3 2 5 5" xfId="27693" xr:uid="{00000000-0005-0000-0000-00002D6C0000}"/>
    <cellStyle name="Normal 2 3 2 5 5 10" xfId="27694" xr:uid="{00000000-0005-0000-0000-00002E6C0000}"/>
    <cellStyle name="Normal 2 3 2 5 5 2" xfId="27695" xr:uid="{00000000-0005-0000-0000-00002F6C0000}"/>
    <cellStyle name="Normal 2 3 2 5 5 3" xfId="27696" xr:uid="{00000000-0005-0000-0000-0000306C0000}"/>
    <cellStyle name="Normal 2 3 2 5 5 4" xfId="27697" xr:uid="{00000000-0005-0000-0000-0000316C0000}"/>
    <cellStyle name="Normal 2 3 2 5 5 5" xfId="27698" xr:uid="{00000000-0005-0000-0000-0000326C0000}"/>
    <cellStyle name="Normal 2 3 2 5 5 6" xfId="27699" xr:uid="{00000000-0005-0000-0000-0000336C0000}"/>
    <cellStyle name="Normal 2 3 2 5 5 7" xfId="27700" xr:uid="{00000000-0005-0000-0000-0000346C0000}"/>
    <cellStyle name="Normal 2 3 2 5 5 8" xfId="27701" xr:uid="{00000000-0005-0000-0000-0000356C0000}"/>
    <cellStyle name="Normal 2 3 2 5 5 9" xfId="27702" xr:uid="{00000000-0005-0000-0000-0000366C0000}"/>
    <cellStyle name="Normal 2 3 2 5 6" xfId="27703" xr:uid="{00000000-0005-0000-0000-0000376C0000}"/>
    <cellStyle name="Normal 2 3 2 5 7" xfId="27704" xr:uid="{00000000-0005-0000-0000-0000386C0000}"/>
    <cellStyle name="Normal 2 3 2 5 8" xfId="27705" xr:uid="{00000000-0005-0000-0000-0000396C0000}"/>
    <cellStyle name="Normal 2 3 2 5 9" xfId="27706" xr:uid="{00000000-0005-0000-0000-00003A6C0000}"/>
    <cellStyle name="Normal 2 3 2 6" xfId="27707" xr:uid="{00000000-0005-0000-0000-00003B6C0000}"/>
    <cellStyle name="Normal 2 3 2 6 10" xfId="27708" xr:uid="{00000000-0005-0000-0000-00003C6C0000}"/>
    <cellStyle name="Normal 2 3 2 6 11" xfId="27709" xr:uid="{00000000-0005-0000-0000-00003D6C0000}"/>
    <cellStyle name="Normal 2 3 2 6 12" xfId="27710" xr:uid="{00000000-0005-0000-0000-00003E6C0000}"/>
    <cellStyle name="Normal 2 3 2 6 13" xfId="27711" xr:uid="{00000000-0005-0000-0000-00003F6C0000}"/>
    <cellStyle name="Normal 2 3 2 6 14" xfId="27712" xr:uid="{00000000-0005-0000-0000-0000406C0000}"/>
    <cellStyle name="Normal 2 3 2 6 2" xfId="27713" xr:uid="{00000000-0005-0000-0000-0000416C0000}"/>
    <cellStyle name="Normal 2 3 2 6 2 10" xfId="27714" xr:uid="{00000000-0005-0000-0000-0000426C0000}"/>
    <cellStyle name="Normal 2 3 2 6 2 2" xfId="27715" xr:uid="{00000000-0005-0000-0000-0000436C0000}"/>
    <cellStyle name="Normal 2 3 2 6 2 3" xfId="27716" xr:uid="{00000000-0005-0000-0000-0000446C0000}"/>
    <cellStyle name="Normal 2 3 2 6 2 4" xfId="27717" xr:uid="{00000000-0005-0000-0000-0000456C0000}"/>
    <cellStyle name="Normal 2 3 2 6 2 5" xfId="27718" xr:uid="{00000000-0005-0000-0000-0000466C0000}"/>
    <cellStyle name="Normal 2 3 2 6 2 6" xfId="27719" xr:uid="{00000000-0005-0000-0000-0000476C0000}"/>
    <cellStyle name="Normal 2 3 2 6 2 7" xfId="27720" xr:uid="{00000000-0005-0000-0000-0000486C0000}"/>
    <cellStyle name="Normal 2 3 2 6 2 8" xfId="27721" xr:uid="{00000000-0005-0000-0000-0000496C0000}"/>
    <cellStyle name="Normal 2 3 2 6 2 9" xfId="27722" xr:uid="{00000000-0005-0000-0000-00004A6C0000}"/>
    <cellStyle name="Normal 2 3 2 6 3" xfId="27723" xr:uid="{00000000-0005-0000-0000-00004B6C0000}"/>
    <cellStyle name="Normal 2 3 2 6 3 10" xfId="27724" xr:uid="{00000000-0005-0000-0000-00004C6C0000}"/>
    <cellStyle name="Normal 2 3 2 6 3 2" xfId="27725" xr:uid="{00000000-0005-0000-0000-00004D6C0000}"/>
    <cellStyle name="Normal 2 3 2 6 3 3" xfId="27726" xr:uid="{00000000-0005-0000-0000-00004E6C0000}"/>
    <cellStyle name="Normal 2 3 2 6 3 4" xfId="27727" xr:uid="{00000000-0005-0000-0000-00004F6C0000}"/>
    <cellStyle name="Normal 2 3 2 6 3 5" xfId="27728" xr:uid="{00000000-0005-0000-0000-0000506C0000}"/>
    <cellStyle name="Normal 2 3 2 6 3 6" xfId="27729" xr:uid="{00000000-0005-0000-0000-0000516C0000}"/>
    <cellStyle name="Normal 2 3 2 6 3 7" xfId="27730" xr:uid="{00000000-0005-0000-0000-0000526C0000}"/>
    <cellStyle name="Normal 2 3 2 6 3 8" xfId="27731" xr:uid="{00000000-0005-0000-0000-0000536C0000}"/>
    <cellStyle name="Normal 2 3 2 6 3 9" xfId="27732" xr:uid="{00000000-0005-0000-0000-0000546C0000}"/>
    <cellStyle name="Normal 2 3 2 6 4" xfId="27733" xr:uid="{00000000-0005-0000-0000-0000556C0000}"/>
    <cellStyle name="Normal 2 3 2 6 4 10" xfId="27734" xr:uid="{00000000-0005-0000-0000-0000566C0000}"/>
    <cellStyle name="Normal 2 3 2 6 4 2" xfId="27735" xr:uid="{00000000-0005-0000-0000-0000576C0000}"/>
    <cellStyle name="Normal 2 3 2 6 4 3" xfId="27736" xr:uid="{00000000-0005-0000-0000-0000586C0000}"/>
    <cellStyle name="Normal 2 3 2 6 4 4" xfId="27737" xr:uid="{00000000-0005-0000-0000-0000596C0000}"/>
    <cellStyle name="Normal 2 3 2 6 4 5" xfId="27738" xr:uid="{00000000-0005-0000-0000-00005A6C0000}"/>
    <cellStyle name="Normal 2 3 2 6 4 6" xfId="27739" xr:uid="{00000000-0005-0000-0000-00005B6C0000}"/>
    <cellStyle name="Normal 2 3 2 6 4 7" xfId="27740" xr:uid="{00000000-0005-0000-0000-00005C6C0000}"/>
    <cellStyle name="Normal 2 3 2 6 4 8" xfId="27741" xr:uid="{00000000-0005-0000-0000-00005D6C0000}"/>
    <cellStyle name="Normal 2 3 2 6 4 9" xfId="27742" xr:uid="{00000000-0005-0000-0000-00005E6C0000}"/>
    <cellStyle name="Normal 2 3 2 6 5" xfId="27743" xr:uid="{00000000-0005-0000-0000-00005F6C0000}"/>
    <cellStyle name="Normal 2 3 2 6 5 10" xfId="27744" xr:uid="{00000000-0005-0000-0000-0000606C0000}"/>
    <cellStyle name="Normal 2 3 2 6 5 2" xfId="27745" xr:uid="{00000000-0005-0000-0000-0000616C0000}"/>
    <cellStyle name="Normal 2 3 2 6 5 3" xfId="27746" xr:uid="{00000000-0005-0000-0000-0000626C0000}"/>
    <cellStyle name="Normal 2 3 2 6 5 4" xfId="27747" xr:uid="{00000000-0005-0000-0000-0000636C0000}"/>
    <cellStyle name="Normal 2 3 2 6 5 5" xfId="27748" xr:uid="{00000000-0005-0000-0000-0000646C0000}"/>
    <cellStyle name="Normal 2 3 2 6 5 6" xfId="27749" xr:uid="{00000000-0005-0000-0000-0000656C0000}"/>
    <cellStyle name="Normal 2 3 2 6 5 7" xfId="27750" xr:uid="{00000000-0005-0000-0000-0000666C0000}"/>
    <cellStyle name="Normal 2 3 2 6 5 8" xfId="27751" xr:uid="{00000000-0005-0000-0000-0000676C0000}"/>
    <cellStyle name="Normal 2 3 2 6 5 9" xfId="27752" xr:uid="{00000000-0005-0000-0000-0000686C0000}"/>
    <cellStyle name="Normal 2 3 2 6 6" xfId="27753" xr:uid="{00000000-0005-0000-0000-0000696C0000}"/>
    <cellStyle name="Normal 2 3 2 6 7" xfId="27754" xr:uid="{00000000-0005-0000-0000-00006A6C0000}"/>
    <cellStyle name="Normal 2 3 2 6 8" xfId="27755" xr:uid="{00000000-0005-0000-0000-00006B6C0000}"/>
    <cellStyle name="Normal 2 3 2 6 9" xfId="27756" xr:uid="{00000000-0005-0000-0000-00006C6C0000}"/>
    <cellStyle name="Normal 2 3 2 7" xfId="27757" xr:uid="{00000000-0005-0000-0000-00006D6C0000}"/>
    <cellStyle name="Normal 2 3 2 7 10" xfId="27758" xr:uid="{00000000-0005-0000-0000-00006E6C0000}"/>
    <cellStyle name="Normal 2 3 2 7 11" xfId="27759" xr:uid="{00000000-0005-0000-0000-00006F6C0000}"/>
    <cellStyle name="Normal 2 3 2 7 12" xfId="27760" xr:uid="{00000000-0005-0000-0000-0000706C0000}"/>
    <cellStyle name="Normal 2 3 2 7 13" xfId="27761" xr:uid="{00000000-0005-0000-0000-0000716C0000}"/>
    <cellStyle name="Normal 2 3 2 7 14" xfId="27762" xr:uid="{00000000-0005-0000-0000-0000726C0000}"/>
    <cellStyle name="Normal 2 3 2 7 2" xfId="27763" xr:uid="{00000000-0005-0000-0000-0000736C0000}"/>
    <cellStyle name="Normal 2 3 2 7 2 10" xfId="27764" xr:uid="{00000000-0005-0000-0000-0000746C0000}"/>
    <cellStyle name="Normal 2 3 2 7 2 2" xfId="27765" xr:uid="{00000000-0005-0000-0000-0000756C0000}"/>
    <cellStyle name="Normal 2 3 2 7 2 3" xfId="27766" xr:uid="{00000000-0005-0000-0000-0000766C0000}"/>
    <cellStyle name="Normal 2 3 2 7 2 4" xfId="27767" xr:uid="{00000000-0005-0000-0000-0000776C0000}"/>
    <cellStyle name="Normal 2 3 2 7 2 5" xfId="27768" xr:uid="{00000000-0005-0000-0000-0000786C0000}"/>
    <cellStyle name="Normal 2 3 2 7 2 6" xfId="27769" xr:uid="{00000000-0005-0000-0000-0000796C0000}"/>
    <cellStyle name="Normal 2 3 2 7 2 7" xfId="27770" xr:uid="{00000000-0005-0000-0000-00007A6C0000}"/>
    <cellStyle name="Normal 2 3 2 7 2 8" xfId="27771" xr:uid="{00000000-0005-0000-0000-00007B6C0000}"/>
    <cellStyle name="Normal 2 3 2 7 2 9" xfId="27772" xr:uid="{00000000-0005-0000-0000-00007C6C0000}"/>
    <cellStyle name="Normal 2 3 2 7 3" xfId="27773" xr:uid="{00000000-0005-0000-0000-00007D6C0000}"/>
    <cellStyle name="Normal 2 3 2 7 3 10" xfId="27774" xr:uid="{00000000-0005-0000-0000-00007E6C0000}"/>
    <cellStyle name="Normal 2 3 2 7 3 2" xfId="27775" xr:uid="{00000000-0005-0000-0000-00007F6C0000}"/>
    <cellStyle name="Normal 2 3 2 7 3 3" xfId="27776" xr:uid="{00000000-0005-0000-0000-0000806C0000}"/>
    <cellStyle name="Normal 2 3 2 7 3 4" xfId="27777" xr:uid="{00000000-0005-0000-0000-0000816C0000}"/>
    <cellStyle name="Normal 2 3 2 7 3 5" xfId="27778" xr:uid="{00000000-0005-0000-0000-0000826C0000}"/>
    <cellStyle name="Normal 2 3 2 7 3 6" xfId="27779" xr:uid="{00000000-0005-0000-0000-0000836C0000}"/>
    <cellStyle name="Normal 2 3 2 7 3 7" xfId="27780" xr:uid="{00000000-0005-0000-0000-0000846C0000}"/>
    <cellStyle name="Normal 2 3 2 7 3 8" xfId="27781" xr:uid="{00000000-0005-0000-0000-0000856C0000}"/>
    <cellStyle name="Normal 2 3 2 7 3 9" xfId="27782" xr:uid="{00000000-0005-0000-0000-0000866C0000}"/>
    <cellStyle name="Normal 2 3 2 7 4" xfId="27783" xr:uid="{00000000-0005-0000-0000-0000876C0000}"/>
    <cellStyle name="Normal 2 3 2 7 4 10" xfId="27784" xr:uid="{00000000-0005-0000-0000-0000886C0000}"/>
    <cellStyle name="Normal 2 3 2 7 4 2" xfId="27785" xr:uid="{00000000-0005-0000-0000-0000896C0000}"/>
    <cellStyle name="Normal 2 3 2 7 4 3" xfId="27786" xr:uid="{00000000-0005-0000-0000-00008A6C0000}"/>
    <cellStyle name="Normal 2 3 2 7 4 4" xfId="27787" xr:uid="{00000000-0005-0000-0000-00008B6C0000}"/>
    <cellStyle name="Normal 2 3 2 7 4 5" xfId="27788" xr:uid="{00000000-0005-0000-0000-00008C6C0000}"/>
    <cellStyle name="Normal 2 3 2 7 4 6" xfId="27789" xr:uid="{00000000-0005-0000-0000-00008D6C0000}"/>
    <cellStyle name="Normal 2 3 2 7 4 7" xfId="27790" xr:uid="{00000000-0005-0000-0000-00008E6C0000}"/>
    <cellStyle name="Normal 2 3 2 7 4 8" xfId="27791" xr:uid="{00000000-0005-0000-0000-00008F6C0000}"/>
    <cellStyle name="Normal 2 3 2 7 4 9" xfId="27792" xr:uid="{00000000-0005-0000-0000-0000906C0000}"/>
    <cellStyle name="Normal 2 3 2 7 5" xfId="27793" xr:uid="{00000000-0005-0000-0000-0000916C0000}"/>
    <cellStyle name="Normal 2 3 2 7 5 10" xfId="27794" xr:uid="{00000000-0005-0000-0000-0000926C0000}"/>
    <cellStyle name="Normal 2 3 2 7 5 2" xfId="27795" xr:uid="{00000000-0005-0000-0000-0000936C0000}"/>
    <cellStyle name="Normal 2 3 2 7 5 3" xfId="27796" xr:uid="{00000000-0005-0000-0000-0000946C0000}"/>
    <cellStyle name="Normal 2 3 2 7 5 4" xfId="27797" xr:uid="{00000000-0005-0000-0000-0000956C0000}"/>
    <cellStyle name="Normal 2 3 2 7 5 5" xfId="27798" xr:uid="{00000000-0005-0000-0000-0000966C0000}"/>
    <cellStyle name="Normal 2 3 2 7 5 6" xfId="27799" xr:uid="{00000000-0005-0000-0000-0000976C0000}"/>
    <cellStyle name="Normal 2 3 2 7 5 7" xfId="27800" xr:uid="{00000000-0005-0000-0000-0000986C0000}"/>
    <cellStyle name="Normal 2 3 2 7 5 8" xfId="27801" xr:uid="{00000000-0005-0000-0000-0000996C0000}"/>
    <cellStyle name="Normal 2 3 2 7 5 9" xfId="27802" xr:uid="{00000000-0005-0000-0000-00009A6C0000}"/>
    <cellStyle name="Normal 2 3 2 7 6" xfId="27803" xr:uid="{00000000-0005-0000-0000-00009B6C0000}"/>
    <cellStyle name="Normal 2 3 2 7 7" xfId="27804" xr:uid="{00000000-0005-0000-0000-00009C6C0000}"/>
    <cellStyle name="Normal 2 3 2 7 8" xfId="27805" xr:uid="{00000000-0005-0000-0000-00009D6C0000}"/>
    <cellStyle name="Normal 2 3 2 7 9" xfId="27806" xr:uid="{00000000-0005-0000-0000-00009E6C0000}"/>
    <cellStyle name="Normal 2 3 2 8" xfId="27807" xr:uid="{00000000-0005-0000-0000-00009F6C0000}"/>
    <cellStyle name="Normal 2 3 2 8 10" xfId="27808" xr:uid="{00000000-0005-0000-0000-0000A06C0000}"/>
    <cellStyle name="Normal 2 3 2 8 11" xfId="27809" xr:uid="{00000000-0005-0000-0000-0000A16C0000}"/>
    <cellStyle name="Normal 2 3 2 8 12" xfId="27810" xr:uid="{00000000-0005-0000-0000-0000A26C0000}"/>
    <cellStyle name="Normal 2 3 2 8 13" xfId="27811" xr:uid="{00000000-0005-0000-0000-0000A36C0000}"/>
    <cellStyle name="Normal 2 3 2 8 14" xfId="27812" xr:uid="{00000000-0005-0000-0000-0000A46C0000}"/>
    <cellStyle name="Normal 2 3 2 8 2" xfId="27813" xr:uid="{00000000-0005-0000-0000-0000A56C0000}"/>
    <cellStyle name="Normal 2 3 2 8 2 10" xfId="27814" xr:uid="{00000000-0005-0000-0000-0000A66C0000}"/>
    <cellStyle name="Normal 2 3 2 8 2 2" xfId="27815" xr:uid="{00000000-0005-0000-0000-0000A76C0000}"/>
    <cellStyle name="Normal 2 3 2 8 2 3" xfId="27816" xr:uid="{00000000-0005-0000-0000-0000A86C0000}"/>
    <cellStyle name="Normal 2 3 2 8 2 4" xfId="27817" xr:uid="{00000000-0005-0000-0000-0000A96C0000}"/>
    <cellStyle name="Normal 2 3 2 8 2 5" xfId="27818" xr:uid="{00000000-0005-0000-0000-0000AA6C0000}"/>
    <cellStyle name="Normal 2 3 2 8 2 6" xfId="27819" xr:uid="{00000000-0005-0000-0000-0000AB6C0000}"/>
    <cellStyle name="Normal 2 3 2 8 2 7" xfId="27820" xr:uid="{00000000-0005-0000-0000-0000AC6C0000}"/>
    <cellStyle name="Normal 2 3 2 8 2 8" xfId="27821" xr:uid="{00000000-0005-0000-0000-0000AD6C0000}"/>
    <cellStyle name="Normal 2 3 2 8 2 9" xfId="27822" xr:uid="{00000000-0005-0000-0000-0000AE6C0000}"/>
    <cellStyle name="Normal 2 3 2 8 3" xfId="27823" xr:uid="{00000000-0005-0000-0000-0000AF6C0000}"/>
    <cellStyle name="Normal 2 3 2 8 3 10" xfId="27824" xr:uid="{00000000-0005-0000-0000-0000B06C0000}"/>
    <cellStyle name="Normal 2 3 2 8 3 2" xfId="27825" xr:uid="{00000000-0005-0000-0000-0000B16C0000}"/>
    <cellStyle name="Normal 2 3 2 8 3 3" xfId="27826" xr:uid="{00000000-0005-0000-0000-0000B26C0000}"/>
    <cellStyle name="Normal 2 3 2 8 3 4" xfId="27827" xr:uid="{00000000-0005-0000-0000-0000B36C0000}"/>
    <cellStyle name="Normal 2 3 2 8 3 5" xfId="27828" xr:uid="{00000000-0005-0000-0000-0000B46C0000}"/>
    <cellStyle name="Normal 2 3 2 8 3 6" xfId="27829" xr:uid="{00000000-0005-0000-0000-0000B56C0000}"/>
    <cellStyle name="Normal 2 3 2 8 3 7" xfId="27830" xr:uid="{00000000-0005-0000-0000-0000B66C0000}"/>
    <cellStyle name="Normal 2 3 2 8 3 8" xfId="27831" xr:uid="{00000000-0005-0000-0000-0000B76C0000}"/>
    <cellStyle name="Normal 2 3 2 8 3 9" xfId="27832" xr:uid="{00000000-0005-0000-0000-0000B86C0000}"/>
    <cellStyle name="Normal 2 3 2 8 4" xfId="27833" xr:uid="{00000000-0005-0000-0000-0000B96C0000}"/>
    <cellStyle name="Normal 2 3 2 8 4 10" xfId="27834" xr:uid="{00000000-0005-0000-0000-0000BA6C0000}"/>
    <cellStyle name="Normal 2 3 2 8 4 2" xfId="27835" xr:uid="{00000000-0005-0000-0000-0000BB6C0000}"/>
    <cellStyle name="Normal 2 3 2 8 4 3" xfId="27836" xr:uid="{00000000-0005-0000-0000-0000BC6C0000}"/>
    <cellStyle name="Normal 2 3 2 8 4 4" xfId="27837" xr:uid="{00000000-0005-0000-0000-0000BD6C0000}"/>
    <cellStyle name="Normal 2 3 2 8 4 5" xfId="27838" xr:uid="{00000000-0005-0000-0000-0000BE6C0000}"/>
    <cellStyle name="Normal 2 3 2 8 4 6" xfId="27839" xr:uid="{00000000-0005-0000-0000-0000BF6C0000}"/>
    <cellStyle name="Normal 2 3 2 8 4 7" xfId="27840" xr:uid="{00000000-0005-0000-0000-0000C06C0000}"/>
    <cellStyle name="Normal 2 3 2 8 4 8" xfId="27841" xr:uid="{00000000-0005-0000-0000-0000C16C0000}"/>
    <cellStyle name="Normal 2 3 2 8 4 9" xfId="27842" xr:uid="{00000000-0005-0000-0000-0000C26C0000}"/>
    <cellStyle name="Normal 2 3 2 8 5" xfId="27843" xr:uid="{00000000-0005-0000-0000-0000C36C0000}"/>
    <cellStyle name="Normal 2 3 2 8 5 10" xfId="27844" xr:uid="{00000000-0005-0000-0000-0000C46C0000}"/>
    <cellStyle name="Normal 2 3 2 8 5 2" xfId="27845" xr:uid="{00000000-0005-0000-0000-0000C56C0000}"/>
    <cellStyle name="Normal 2 3 2 8 5 3" xfId="27846" xr:uid="{00000000-0005-0000-0000-0000C66C0000}"/>
    <cellStyle name="Normal 2 3 2 8 5 4" xfId="27847" xr:uid="{00000000-0005-0000-0000-0000C76C0000}"/>
    <cellStyle name="Normal 2 3 2 8 5 5" xfId="27848" xr:uid="{00000000-0005-0000-0000-0000C86C0000}"/>
    <cellStyle name="Normal 2 3 2 8 5 6" xfId="27849" xr:uid="{00000000-0005-0000-0000-0000C96C0000}"/>
    <cellStyle name="Normal 2 3 2 8 5 7" xfId="27850" xr:uid="{00000000-0005-0000-0000-0000CA6C0000}"/>
    <cellStyle name="Normal 2 3 2 8 5 8" xfId="27851" xr:uid="{00000000-0005-0000-0000-0000CB6C0000}"/>
    <cellStyle name="Normal 2 3 2 8 5 9" xfId="27852" xr:uid="{00000000-0005-0000-0000-0000CC6C0000}"/>
    <cellStyle name="Normal 2 3 2 8 6" xfId="27853" xr:uid="{00000000-0005-0000-0000-0000CD6C0000}"/>
    <cellStyle name="Normal 2 3 2 8 7" xfId="27854" xr:uid="{00000000-0005-0000-0000-0000CE6C0000}"/>
    <cellStyle name="Normal 2 3 2 8 8" xfId="27855" xr:uid="{00000000-0005-0000-0000-0000CF6C0000}"/>
    <cellStyle name="Normal 2 3 2 8 9" xfId="27856" xr:uid="{00000000-0005-0000-0000-0000D06C0000}"/>
    <cellStyle name="Normal 2 3 2 9" xfId="27857" xr:uid="{00000000-0005-0000-0000-0000D16C0000}"/>
    <cellStyle name="Normal 2 3 2 9 10" xfId="27858" xr:uid="{00000000-0005-0000-0000-0000D26C0000}"/>
    <cellStyle name="Normal 2 3 2 9 11" xfId="27859" xr:uid="{00000000-0005-0000-0000-0000D36C0000}"/>
    <cellStyle name="Normal 2 3 2 9 12" xfId="27860" xr:uid="{00000000-0005-0000-0000-0000D46C0000}"/>
    <cellStyle name="Normal 2 3 2 9 13" xfId="27861" xr:uid="{00000000-0005-0000-0000-0000D56C0000}"/>
    <cellStyle name="Normal 2 3 2 9 14" xfId="27862" xr:uid="{00000000-0005-0000-0000-0000D66C0000}"/>
    <cellStyle name="Normal 2 3 2 9 2" xfId="27863" xr:uid="{00000000-0005-0000-0000-0000D76C0000}"/>
    <cellStyle name="Normal 2 3 2 9 2 10" xfId="27864" xr:uid="{00000000-0005-0000-0000-0000D86C0000}"/>
    <cellStyle name="Normal 2 3 2 9 2 2" xfId="27865" xr:uid="{00000000-0005-0000-0000-0000D96C0000}"/>
    <cellStyle name="Normal 2 3 2 9 2 3" xfId="27866" xr:uid="{00000000-0005-0000-0000-0000DA6C0000}"/>
    <cellStyle name="Normal 2 3 2 9 2 4" xfId="27867" xr:uid="{00000000-0005-0000-0000-0000DB6C0000}"/>
    <cellStyle name="Normal 2 3 2 9 2 5" xfId="27868" xr:uid="{00000000-0005-0000-0000-0000DC6C0000}"/>
    <cellStyle name="Normal 2 3 2 9 2 6" xfId="27869" xr:uid="{00000000-0005-0000-0000-0000DD6C0000}"/>
    <cellStyle name="Normal 2 3 2 9 2 7" xfId="27870" xr:uid="{00000000-0005-0000-0000-0000DE6C0000}"/>
    <cellStyle name="Normal 2 3 2 9 2 8" xfId="27871" xr:uid="{00000000-0005-0000-0000-0000DF6C0000}"/>
    <cellStyle name="Normal 2 3 2 9 2 9" xfId="27872" xr:uid="{00000000-0005-0000-0000-0000E06C0000}"/>
    <cellStyle name="Normal 2 3 2 9 3" xfId="27873" xr:uid="{00000000-0005-0000-0000-0000E16C0000}"/>
    <cellStyle name="Normal 2 3 2 9 3 10" xfId="27874" xr:uid="{00000000-0005-0000-0000-0000E26C0000}"/>
    <cellStyle name="Normal 2 3 2 9 3 2" xfId="27875" xr:uid="{00000000-0005-0000-0000-0000E36C0000}"/>
    <cellStyle name="Normal 2 3 2 9 3 3" xfId="27876" xr:uid="{00000000-0005-0000-0000-0000E46C0000}"/>
    <cellStyle name="Normal 2 3 2 9 3 4" xfId="27877" xr:uid="{00000000-0005-0000-0000-0000E56C0000}"/>
    <cellStyle name="Normal 2 3 2 9 3 5" xfId="27878" xr:uid="{00000000-0005-0000-0000-0000E66C0000}"/>
    <cellStyle name="Normal 2 3 2 9 3 6" xfId="27879" xr:uid="{00000000-0005-0000-0000-0000E76C0000}"/>
    <cellStyle name="Normal 2 3 2 9 3 7" xfId="27880" xr:uid="{00000000-0005-0000-0000-0000E86C0000}"/>
    <cellStyle name="Normal 2 3 2 9 3 8" xfId="27881" xr:uid="{00000000-0005-0000-0000-0000E96C0000}"/>
    <cellStyle name="Normal 2 3 2 9 3 9" xfId="27882" xr:uid="{00000000-0005-0000-0000-0000EA6C0000}"/>
    <cellStyle name="Normal 2 3 2 9 4" xfId="27883" xr:uid="{00000000-0005-0000-0000-0000EB6C0000}"/>
    <cellStyle name="Normal 2 3 2 9 4 10" xfId="27884" xr:uid="{00000000-0005-0000-0000-0000EC6C0000}"/>
    <cellStyle name="Normal 2 3 2 9 4 2" xfId="27885" xr:uid="{00000000-0005-0000-0000-0000ED6C0000}"/>
    <cellStyle name="Normal 2 3 2 9 4 3" xfId="27886" xr:uid="{00000000-0005-0000-0000-0000EE6C0000}"/>
    <cellStyle name="Normal 2 3 2 9 4 4" xfId="27887" xr:uid="{00000000-0005-0000-0000-0000EF6C0000}"/>
    <cellStyle name="Normal 2 3 2 9 4 5" xfId="27888" xr:uid="{00000000-0005-0000-0000-0000F06C0000}"/>
    <cellStyle name="Normal 2 3 2 9 4 6" xfId="27889" xr:uid="{00000000-0005-0000-0000-0000F16C0000}"/>
    <cellStyle name="Normal 2 3 2 9 4 7" xfId="27890" xr:uid="{00000000-0005-0000-0000-0000F26C0000}"/>
    <cellStyle name="Normal 2 3 2 9 4 8" xfId="27891" xr:uid="{00000000-0005-0000-0000-0000F36C0000}"/>
    <cellStyle name="Normal 2 3 2 9 4 9" xfId="27892" xr:uid="{00000000-0005-0000-0000-0000F46C0000}"/>
    <cellStyle name="Normal 2 3 2 9 5" xfId="27893" xr:uid="{00000000-0005-0000-0000-0000F56C0000}"/>
    <cellStyle name="Normal 2 3 2 9 5 10" xfId="27894" xr:uid="{00000000-0005-0000-0000-0000F66C0000}"/>
    <cellStyle name="Normal 2 3 2 9 5 2" xfId="27895" xr:uid="{00000000-0005-0000-0000-0000F76C0000}"/>
    <cellStyle name="Normal 2 3 2 9 5 3" xfId="27896" xr:uid="{00000000-0005-0000-0000-0000F86C0000}"/>
    <cellStyle name="Normal 2 3 2 9 5 4" xfId="27897" xr:uid="{00000000-0005-0000-0000-0000F96C0000}"/>
    <cellStyle name="Normal 2 3 2 9 5 5" xfId="27898" xr:uid="{00000000-0005-0000-0000-0000FA6C0000}"/>
    <cellStyle name="Normal 2 3 2 9 5 6" xfId="27899" xr:uid="{00000000-0005-0000-0000-0000FB6C0000}"/>
    <cellStyle name="Normal 2 3 2 9 5 7" xfId="27900" xr:uid="{00000000-0005-0000-0000-0000FC6C0000}"/>
    <cellStyle name="Normal 2 3 2 9 5 8" xfId="27901" xr:uid="{00000000-0005-0000-0000-0000FD6C0000}"/>
    <cellStyle name="Normal 2 3 2 9 5 9" xfId="27902" xr:uid="{00000000-0005-0000-0000-0000FE6C0000}"/>
    <cellStyle name="Normal 2 3 2 9 6" xfId="27903" xr:uid="{00000000-0005-0000-0000-0000FF6C0000}"/>
    <cellStyle name="Normal 2 3 2 9 7" xfId="27904" xr:uid="{00000000-0005-0000-0000-0000006D0000}"/>
    <cellStyle name="Normal 2 3 2 9 8" xfId="27905" xr:uid="{00000000-0005-0000-0000-0000016D0000}"/>
    <cellStyle name="Normal 2 3 2 9 9" xfId="27906" xr:uid="{00000000-0005-0000-0000-0000026D0000}"/>
    <cellStyle name="Normal 2 3 20" xfId="27907" xr:uid="{00000000-0005-0000-0000-0000036D0000}"/>
    <cellStyle name="Normal 2 3 20 10" xfId="27908" xr:uid="{00000000-0005-0000-0000-0000046D0000}"/>
    <cellStyle name="Normal 2 3 20 11" xfId="27909" xr:uid="{00000000-0005-0000-0000-0000056D0000}"/>
    <cellStyle name="Normal 2 3 20 12" xfId="27910" xr:uid="{00000000-0005-0000-0000-0000066D0000}"/>
    <cellStyle name="Normal 2 3 20 13" xfId="27911" xr:uid="{00000000-0005-0000-0000-0000076D0000}"/>
    <cellStyle name="Normal 2 3 20 14" xfId="27912" xr:uid="{00000000-0005-0000-0000-0000086D0000}"/>
    <cellStyle name="Normal 2 3 20 2" xfId="27913" xr:uid="{00000000-0005-0000-0000-0000096D0000}"/>
    <cellStyle name="Normal 2 3 20 2 10" xfId="27914" xr:uid="{00000000-0005-0000-0000-00000A6D0000}"/>
    <cellStyle name="Normal 2 3 20 2 2" xfId="27915" xr:uid="{00000000-0005-0000-0000-00000B6D0000}"/>
    <cellStyle name="Normal 2 3 20 2 3" xfId="27916" xr:uid="{00000000-0005-0000-0000-00000C6D0000}"/>
    <cellStyle name="Normal 2 3 20 2 4" xfId="27917" xr:uid="{00000000-0005-0000-0000-00000D6D0000}"/>
    <cellStyle name="Normal 2 3 20 2 5" xfId="27918" xr:uid="{00000000-0005-0000-0000-00000E6D0000}"/>
    <cellStyle name="Normal 2 3 20 2 6" xfId="27919" xr:uid="{00000000-0005-0000-0000-00000F6D0000}"/>
    <cellStyle name="Normal 2 3 20 2 7" xfId="27920" xr:uid="{00000000-0005-0000-0000-0000106D0000}"/>
    <cellStyle name="Normal 2 3 20 2 8" xfId="27921" xr:uid="{00000000-0005-0000-0000-0000116D0000}"/>
    <cellStyle name="Normal 2 3 20 2 9" xfId="27922" xr:uid="{00000000-0005-0000-0000-0000126D0000}"/>
    <cellStyle name="Normal 2 3 20 3" xfId="27923" xr:uid="{00000000-0005-0000-0000-0000136D0000}"/>
    <cellStyle name="Normal 2 3 20 3 10" xfId="27924" xr:uid="{00000000-0005-0000-0000-0000146D0000}"/>
    <cellStyle name="Normal 2 3 20 3 2" xfId="27925" xr:uid="{00000000-0005-0000-0000-0000156D0000}"/>
    <cellStyle name="Normal 2 3 20 3 3" xfId="27926" xr:uid="{00000000-0005-0000-0000-0000166D0000}"/>
    <cellStyle name="Normal 2 3 20 3 4" xfId="27927" xr:uid="{00000000-0005-0000-0000-0000176D0000}"/>
    <cellStyle name="Normal 2 3 20 3 5" xfId="27928" xr:uid="{00000000-0005-0000-0000-0000186D0000}"/>
    <cellStyle name="Normal 2 3 20 3 6" xfId="27929" xr:uid="{00000000-0005-0000-0000-0000196D0000}"/>
    <cellStyle name="Normal 2 3 20 3 7" xfId="27930" xr:uid="{00000000-0005-0000-0000-00001A6D0000}"/>
    <cellStyle name="Normal 2 3 20 3 8" xfId="27931" xr:uid="{00000000-0005-0000-0000-00001B6D0000}"/>
    <cellStyle name="Normal 2 3 20 3 9" xfId="27932" xr:uid="{00000000-0005-0000-0000-00001C6D0000}"/>
    <cellStyle name="Normal 2 3 20 4" xfId="27933" xr:uid="{00000000-0005-0000-0000-00001D6D0000}"/>
    <cellStyle name="Normal 2 3 20 4 10" xfId="27934" xr:uid="{00000000-0005-0000-0000-00001E6D0000}"/>
    <cellStyle name="Normal 2 3 20 4 2" xfId="27935" xr:uid="{00000000-0005-0000-0000-00001F6D0000}"/>
    <cellStyle name="Normal 2 3 20 4 3" xfId="27936" xr:uid="{00000000-0005-0000-0000-0000206D0000}"/>
    <cellStyle name="Normal 2 3 20 4 4" xfId="27937" xr:uid="{00000000-0005-0000-0000-0000216D0000}"/>
    <cellStyle name="Normal 2 3 20 4 5" xfId="27938" xr:uid="{00000000-0005-0000-0000-0000226D0000}"/>
    <cellStyle name="Normal 2 3 20 4 6" xfId="27939" xr:uid="{00000000-0005-0000-0000-0000236D0000}"/>
    <cellStyle name="Normal 2 3 20 4 7" xfId="27940" xr:uid="{00000000-0005-0000-0000-0000246D0000}"/>
    <cellStyle name="Normal 2 3 20 4 8" xfId="27941" xr:uid="{00000000-0005-0000-0000-0000256D0000}"/>
    <cellStyle name="Normal 2 3 20 4 9" xfId="27942" xr:uid="{00000000-0005-0000-0000-0000266D0000}"/>
    <cellStyle name="Normal 2 3 20 5" xfId="27943" xr:uid="{00000000-0005-0000-0000-0000276D0000}"/>
    <cellStyle name="Normal 2 3 20 5 10" xfId="27944" xr:uid="{00000000-0005-0000-0000-0000286D0000}"/>
    <cellStyle name="Normal 2 3 20 5 2" xfId="27945" xr:uid="{00000000-0005-0000-0000-0000296D0000}"/>
    <cellStyle name="Normal 2 3 20 5 3" xfId="27946" xr:uid="{00000000-0005-0000-0000-00002A6D0000}"/>
    <cellStyle name="Normal 2 3 20 5 4" xfId="27947" xr:uid="{00000000-0005-0000-0000-00002B6D0000}"/>
    <cellStyle name="Normal 2 3 20 5 5" xfId="27948" xr:uid="{00000000-0005-0000-0000-00002C6D0000}"/>
    <cellStyle name="Normal 2 3 20 5 6" xfId="27949" xr:uid="{00000000-0005-0000-0000-00002D6D0000}"/>
    <cellStyle name="Normal 2 3 20 5 7" xfId="27950" xr:uid="{00000000-0005-0000-0000-00002E6D0000}"/>
    <cellStyle name="Normal 2 3 20 5 8" xfId="27951" xr:uid="{00000000-0005-0000-0000-00002F6D0000}"/>
    <cellStyle name="Normal 2 3 20 5 9" xfId="27952" xr:uid="{00000000-0005-0000-0000-0000306D0000}"/>
    <cellStyle name="Normal 2 3 20 6" xfId="27953" xr:uid="{00000000-0005-0000-0000-0000316D0000}"/>
    <cellStyle name="Normal 2 3 20 7" xfId="27954" xr:uid="{00000000-0005-0000-0000-0000326D0000}"/>
    <cellStyle name="Normal 2 3 20 8" xfId="27955" xr:uid="{00000000-0005-0000-0000-0000336D0000}"/>
    <cellStyle name="Normal 2 3 20 9" xfId="27956" xr:uid="{00000000-0005-0000-0000-0000346D0000}"/>
    <cellStyle name="Normal 2 3 21" xfId="27957" xr:uid="{00000000-0005-0000-0000-0000356D0000}"/>
    <cellStyle name="Normal 2 3 21 10" xfId="27958" xr:uid="{00000000-0005-0000-0000-0000366D0000}"/>
    <cellStyle name="Normal 2 3 21 11" xfId="27959" xr:uid="{00000000-0005-0000-0000-0000376D0000}"/>
    <cellStyle name="Normal 2 3 21 12" xfId="27960" xr:uid="{00000000-0005-0000-0000-0000386D0000}"/>
    <cellStyle name="Normal 2 3 21 13" xfId="27961" xr:uid="{00000000-0005-0000-0000-0000396D0000}"/>
    <cellStyle name="Normal 2 3 21 14" xfId="27962" xr:uid="{00000000-0005-0000-0000-00003A6D0000}"/>
    <cellStyle name="Normal 2 3 21 2" xfId="27963" xr:uid="{00000000-0005-0000-0000-00003B6D0000}"/>
    <cellStyle name="Normal 2 3 21 2 10" xfId="27964" xr:uid="{00000000-0005-0000-0000-00003C6D0000}"/>
    <cellStyle name="Normal 2 3 21 2 2" xfId="27965" xr:uid="{00000000-0005-0000-0000-00003D6D0000}"/>
    <cellStyle name="Normal 2 3 21 2 3" xfId="27966" xr:uid="{00000000-0005-0000-0000-00003E6D0000}"/>
    <cellStyle name="Normal 2 3 21 2 4" xfId="27967" xr:uid="{00000000-0005-0000-0000-00003F6D0000}"/>
    <cellStyle name="Normal 2 3 21 2 5" xfId="27968" xr:uid="{00000000-0005-0000-0000-0000406D0000}"/>
    <cellStyle name="Normal 2 3 21 2 6" xfId="27969" xr:uid="{00000000-0005-0000-0000-0000416D0000}"/>
    <cellStyle name="Normal 2 3 21 2 7" xfId="27970" xr:uid="{00000000-0005-0000-0000-0000426D0000}"/>
    <cellStyle name="Normal 2 3 21 2 8" xfId="27971" xr:uid="{00000000-0005-0000-0000-0000436D0000}"/>
    <cellStyle name="Normal 2 3 21 2 9" xfId="27972" xr:uid="{00000000-0005-0000-0000-0000446D0000}"/>
    <cellStyle name="Normal 2 3 21 3" xfId="27973" xr:uid="{00000000-0005-0000-0000-0000456D0000}"/>
    <cellStyle name="Normal 2 3 21 3 10" xfId="27974" xr:uid="{00000000-0005-0000-0000-0000466D0000}"/>
    <cellStyle name="Normal 2 3 21 3 2" xfId="27975" xr:uid="{00000000-0005-0000-0000-0000476D0000}"/>
    <cellStyle name="Normal 2 3 21 3 3" xfId="27976" xr:uid="{00000000-0005-0000-0000-0000486D0000}"/>
    <cellStyle name="Normal 2 3 21 3 4" xfId="27977" xr:uid="{00000000-0005-0000-0000-0000496D0000}"/>
    <cellStyle name="Normal 2 3 21 3 5" xfId="27978" xr:uid="{00000000-0005-0000-0000-00004A6D0000}"/>
    <cellStyle name="Normal 2 3 21 3 6" xfId="27979" xr:uid="{00000000-0005-0000-0000-00004B6D0000}"/>
    <cellStyle name="Normal 2 3 21 3 7" xfId="27980" xr:uid="{00000000-0005-0000-0000-00004C6D0000}"/>
    <cellStyle name="Normal 2 3 21 3 8" xfId="27981" xr:uid="{00000000-0005-0000-0000-00004D6D0000}"/>
    <cellStyle name="Normal 2 3 21 3 9" xfId="27982" xr:uid="{00000000-0005-0000-0000-00004E6D0000}"/>
    <cellStyle name="Normal 2 3 21 4" xfId="27983" xr:uid="{00000000-0005-0000-0000-00004F6D0000}"/>
    <cellStyle name="Normal 2 3 21 4 10" xfId="27984" xr:uid="{00000000-0005-0000-0000-0000506D0000}"/>
    <cellStyle name="Normal 2 3 21 4 2" xfId="27985" xr:uid="{00000000-0005-0000-0000-0000516D0000}"/>
    <cellStyle name="Normal 2 3 21 4 3" xfId="27986" xr:uid="{00000000-0005-0000-0000-0000526D0000}"/>
    <cellStyle name="Normal 2 3 21 4 4" xfId="27987" xr:uid="{00000000-0005-0000-0000-0000536D0000}"/>
    <cellStyle name="Normal 2 3 21 4 5" xfId="27988" xr:uid="{00000000-0005-0000-0000-0000546D0000}"/>
    <cellStyle name="Normal 2 3 21 4 6" xfId="27989" xr:uid="{00000000-0005-0000-0000-0000556D0000}"/>
    <cellStyle name="Normal 2 3 21 4 7" xfId="27990" xr:uid="{00000000-0005-0000-0000-0000566D0000}"/>
    <cellStyle name="Normal 2 3 21 4 8" xfId="27991" xr:uid="{00000000-0005-0000-0000-0000576D0000}"/>
    <cellStyle name="Normal 2 3 21 4 9" xfId="27992" xr:uid="{00000000-0005-0000-0000-0000586D0000}"/>
    <cellStyle name="Normal 2 3 21 5" xfId="27993" xr:uid="{00000000-0005-0000-0000-0000596D0000}"/>
    <cellStyle name="Normal 2 3 21 5 10" xfId="27994" xr:uid="{00000000-0005-0000-0000-00005A6D0000}"/>
    <cellStyle name="Normal 2 3 21 5 2" xfId="27995" xr:uid="{00000000-0005-0000-0000-00005B6D0000}"/>
    <cellStyle name="Normal 2 3 21 5 3" xfId="27996" xr:uid="{00000000-0005-0000-0000-00005C6D0000}"/>
    <cellStyle name="Normal 2 3 21 5 4" xfId="27997" xr:uid="{00000000-0005-0000-0000-00005D6D0000}"/>
    <cellStyle name="Normal 2 3 21 5 5" xfId="27998" xr:uid="{00000000-0005-0000-0000-00005E6D0000}"/>
    <cellStyle name="Normal 2 3 21 5 6" xfId="27999" xr:uid="{00000000-0005-0000-0000-00005F6D0000}"/>
    <cellStyle name="Normal 2 3 21 5 7" xfId="28000" xr:uid="{00000000-0005-0000-0000-0000606D0000}"/>
    <cellStyle name="Normal 2 3 21 5 8" xfId="28001" xr:uid="{00000000-0005-0000-0000-0000616D0000}"/>
    <cellStyle name="Normal 2 3 21 5 9" xfId="28002" xr:uid="{00000000-0005-0000-0000-0000626D0000}"/>
    <cellStyle name="Normal 2 3 21 6" xfId="28003" xr:uid="{00000000-0005-0000-0000-0000636D0000}"/>
    <cellStyle name="Normal 2 3 21 7" xfId="28004" xr:uid="{00000000-0005-0000-0000-0000646D0000}"/>
    <cellStyle name="Normal 2 3 21 8" xfId="28005" xr:uid="{00000000-0005-0000-0000-0000656D0000}"/>
    <cellStyle name="Normal 2 3 21 9" xfId="28006" xr:uid="{00000000-0005-0000-0000-0000666D0000}"/>
    <cellStyle name="Normal 2 3 22" xfId="28007" xr:uid="{00000000-0005-0000-0000-0000676D0000}"/>
    <cellStyle name="Normal 2 3 22 10" xfId="28008" xr:uid="{00000000-0005-0000-0000-0000686D0000}"/>
    <cellStyle name="Normal 2 3 22 11" xfId="28009" xr:uid="{00000000-0005-0000-0000-0000696D0000}"/>
    <cellStyle name="Normal 2 3 22 12" xfId="28010" xr:uid="{00000000-0005-0000-0000-00006A6D0000}"/>
    <cellStyle name="Normal 2 3 22 13" xfId="28011" xr:uid="{00000000-0005-0000-0000-00006B6D0000}"/>
    <cellStyle name="Normal 2 3 22 14" xfId="28012" xr:uid="{00000000-0005-0000-0000-00006C6D0000}"/>
    <cellStyle name="Normal 2 3 22 2" xfId="28013" xr:uid="{00000000-0005-0000-0000-00006D6D0000}"/>
    <cellStyle name="Normal 2 3 22 2 10" xfId="28014" xr:uid="{00000000-0005-0000-0000-00006E6D0000}"/>
    <cellStyle name="Normal 2 3 22 2 2" xfId="28015" xr:uid="{00000000-0005-0000-0000-00006F6D0000}"/>
    <cellStyle name="Normal 2 3 22 2 3" xfId="28016" xr:uid="{00000000-0005-0000-0000-0000706D0000}"/>
    <cellStyle name="Normal 2 3 22 2 4" xfId="28017" xr:uid="{00000000-0005-0000-0000-0000716D0000}"/>
    <cellStyle name="Normal 2 3 22 2 5" xfId="28018" xr:uid="{00000000-0005-0000-0000-0000726D0000}"/>
    <cellStyle name="Normal 2 3 22 2 6" xfId="28019" xr:uid="{00000000-0005-0000-0000-0000736D0000}"/>
    <cellStyle name="Normal 2 3 22 2 7" xfId="28020" xr:uid="{00000000-0005-0000-0000-0000746D0000}"/>
    <cellStyle name="Normal 2 3 22 2 8" xfId="28021" xr:uid="{00000000-0005-0000-0000-0000756D0000}"/>
    <cellStyle name="Normal 2 3 22 2 9" xfId="28022" xr:uid="{00000000-0005-0000-0000-0000766D0000}"/>
    <cellStyle name="Normal 2 3 22 3" xfId="28023" xr:uid="{00000000-0005-0000-0000-0000776D0000}"/>
    <cellStyle name="Normal 2 3 22 3 10" xfId="28024" xr:uid="{00000000-0005-0000-0000-0000786D0000}"/>
    <cellStyle name="Normal 2 3 22 3 2" xfId="28025" xr:uid="{00000000-0005-0000-0000-0000796D0000}"/>
    <cellStyle name="Normal 2 3 22 3 3" xfId="28026" xr:uid="{00000000-0005-0000-0000-00007A6D0000}"/>
    <cellStyle name="Normal 2 3 22 3 4" xfId="28027" xr:uid="{00000000-0005-0000-0000-00007B6D0000}"/>
    <cellStyle name="Normal 2 3 22 3 5" xfId="28028" xr:uid="{00000000-0005-0000-0000-00007C6D0000}"/>
    <cellStyle name="Normal 2 3 22 3 6" xfId="28029" xr:uid="{00000000-0005-0000-0000-00007D6D0000}"/>
    <cellStyle name="Normal 2 3 22 3 7" xfId="28030" xr:uid="{00000000-0005-0000-0000-00007E6D0000}"/>
    <cellStyle name="Normal 2 3 22 3 8" xfId="28031" xr:uid="{00000000-0005-0000-0000-00007F6D0000}"/>
    <cellStyle name="Normal 2 3 22 3 9" xfId="28032" xr:uid="{00000000-0005-0000-0000-0000806D0000}"/>
    <cellStyle name="Normal 2 3 22 4" xfId="28033" xr:uid="{00000000-0005-0000-0000-0000816D0000}"/>
    <cellStyle name="Normal 2 3 22 4 10" xfId="28034" xr:uid="{00000000-0005-0000-0000-0000826D0000}"/>
    <cellStyle name="Normal 2 3 22 4 2" xfId="28035" xr:uid="{00000000-0005-0000-0000-0000836D0000}"/>
    <cellStyle name="Normal 2 3 22 4 3" xfId="28036" xr:uid="{00000000-0005-0000-0000-0000846D0000}"/>
    <cellStyle name="Normal 2 3 22 4 4" xfId="28037" xr:uid="{00000000-0005-0000-0000-0000856D0000}"/>
    <cellStyle name="Normal 2 3 22 4 5" xfId="28038" xr:uid="{00000000-0005-0000-0000-0000866D0000}"/>
    <cellStyle name="Normal 2 3 22 4 6" xfId="28039" xr:uid="{00000000-0005-0000-0000-0000876D0000}"/>
    <cellStyle name="Normal 2 3 22 4 7" xfId="28040" xr:uid="{00000000-0005-0000-0000-0000886D0000}"/>
    <cellStyle name="Normal 2 3 22 4 8" xfId="28041" xr:uid="{00000000-0005-0000-0000-0000896D0000}"/>
    <cellStyle name="Normal 2 3 22 4 9" xfId="28042" xr:uid="{00000000-0005-0000-0000-00008A6D0000}"/>
    <cellStyle name="Normal 2 3 22 5" xfId="28043" xr:uid="{00000000-0005-0000-0000-00008B6D0000}"/>
    <cellStyle name="Normal 2 3 22 5 10" xfId="28044" xr:uid="{00000000-0005-0000-0000-00008C6D0000}"/>
    <cellStyle name="Normal 2 3 22 5 2" xfId="28045" xr:uid="{00000000-0005-0000-0000-00008D6D0000}"/>
    <cellStyle name="Normal 2 3 22 5 3" xfId="28046" xr:uid="{00000000-0005-0000-0000-00008E6D0000}"/>
    <cellStyle name="Normal 2 3 22 5 4" xfId="28047" xr:uid="{00000000-0005-0000-0000-00008F6D0000}"/>
    <cellStyle name="Normal 2 3 22 5 5" xfId="28048" xr:uid="{00000000-0005-0000-0000-0000906D0000}"/>
    <cellStyle name="Normal 2 3 22 5 6" xfId="28049" xr:uid="{00000000-0005-0000-0000-0000916D0000}"/>
    <cellStyle name="Normal 2 3 22 5 7" xfId="28050" xr:uid="{00000000-0005-0000-0000-0000926D0000}"/>
    <cellStyle name="Normal 2 3 22 5 8" xfId="28051" xr:uid="{00000000-0005-0000-0000-0000936D0000}"/>
    <cellStyle name="Normal 2 3 22 5 9" xfId="28052" xr:uid="{00000000-0005-0000-0000-0000946D0000}"/>
    <cellStyle name="Normal 2 3 22 6" xfId="28053" xr:uid="{00000000-0005-0000-0000-0000956D0000}"/>
    <cellStyle name="Normal 2 3 22 7" xfId="28054" xr:uid="{00000000-0005-0000-0000-0000966D0000}"/>
    <cellStyle name="Normal 2 3 22 8" xfId="28055" xr:uid="{00000000-0005-0000-0000-0000976D0000}"/>
    <cellStyle name="Normal 2 3 22 9" xfId="28056" xr:uid="{00000000-0005-0000-0000-0000986D0000}"/>
    <cellStyle name="Normal 2 3 23" xfId="28057" xr:uid="{00000000-0005-0000-0000-0000996D0000}"/>
    <cellStyle name="Normal 2 3 23 10" xfId="28058" xr:uid="{00000000-0005-0000-0000-00009A6D0000}"/>
    <cellStyle name="Normal 2 3 23 11" xfId="28059" xr:uid="{00000000-0005-0000-0000-00009B6D0000}"/>
    <cellStyle name="Normal 2 3 23 12" xfId="28060" xr:uid="{00000000-0005-0000-0000-00009C6D0000}"/>
    <cellStyle name="Normal 2 3 23 13" xfId="28061" xr:uid="{00000000-0005-0000-0000-00009D6D0000}"/>
    <cellStyle name="Normal 2 3 23 14" xfId="28062" xr:uid="{00000000-0005-0000-0000-00009E6D0000}"/>
    <cellStyle name="Normal 2 3 23 2" xfId="28063" xr:uid="{00000000-0005-0000-0000-00009F6D0000}"/>
    <cellStyle name="Normal 2 3 23 2 10" xfId="28064" xr:uid="{00000000-0005-0000-0000-0000A06D0000}"/>
    <cellStyle name="Normal 2 3 23 2 2" xfId="28065" xr:uid="{00000000-0005-0000-0000-0000A16D0000}"/>
    <cellStyle name="Normal 2 3 23 2 3" xfId="28066" xr:uid="{00000000-0005-0000-0000-0000A26D0000}"/>
    <cellStyle name="Normal 2 3 23 2 4" xfId="28067" xr:uid="{00000000-0005-0000-0000-0000A36D0000}"/>
    <cellStyle name="Normal 2 3 23 2 5" xfId="28068" xr:uid="{00000000-0005-0000-0000-0000A46D0000}"/>
    <cellStyle name="Normal 2 3 23 2 6" xfId="28069" xr:uid="{00000000-0005-0000-0000-0000A56D0000}"/>
    <cellStyle name="Normal 2 3 23 2 7" xfId="28070" xr:uid="{00000000-0005-0000-0000-0000A66D0000}"/>
    <cellStyle name="Normal 2 3 23 2 8" xfId="28071" xr:uid="{00000000-0005-0000-0000-0000A76D0000}"/>
    <cellStyle name="Normal 2 3 23 2 9" xfId="28072" xr:uid="{00000000-0005-0000-0000-0000A86D0000}"/>
    <cellStyle name="Normal 2 3 23 3" xfId="28073" xr:uid="{00000000-0005-0000-0000-0000A96D0000}"/>
    <cellStyle name="Normal 2 3 23 3 10" xfId="28074" xr:uid="{00000000-0005-0000-0000-0000AA6D0000}"/>
    <cellStyle name="Normal 2 3 23 3 2" xfId="28075" xr:uid="{00000000-0005-0000-0000-0000AB6D0000}"/>
    <cellStyle name="Normal 2 3 23 3 3" xfId="28076" xr:uid="{00000000-0005-0000-0000-0000AC6D0000}"/>
    <cellStyle name="Normal 2 3 23 3 4" xfId="28077" xr:uid="{00000000-0005-0000-0000-0000AD6D0000}"/>
    <cellStyle name="Normal 2 3 23 3 5" xfId="28078" xr:uid="{00000000-0005-0000-0000-0000AE6D0000}"/>
    <cellStyle name="Normal 2 3 23 3 6" xfId="28079" xr:uid="{00000000-0005-0000-0000-0000AF6D0000}"/>
    <cellStyle name="Normal 2 3 23 3 7" xfId="28080" xr:uid="{00000000-0005-0000-0000-0000B06D0000}"/>
    <cellStyle name="Normal 2 3 23 3 8" xfId="28081" xr:uid="{00000000-0005-0000-0000-0000B16D0000}"/>
    <cellStyle name="Normal 2 3 23 3 9" xfId="28082" xr:uid="{00000000-0005-0000-0000-0000B26D0000}"/>
    <cellStyle name="Normal 2 3 23 4" xfId="28083" xr:uid="{00000000-0005-0000-0000-0000B36D0000}"/>
    <cellStyle name="Normal 2 3 23 4 10" xfId="28084" xr:uid="{00000000-0005-0000-0000-0000B46D0000}"/>
    <cellStyle name="Normal 2 3 23 4 2" xfId="28085" xr:uid="{00000000-0005-0000-0000-0000B56D0000}"/>
    <cellStyle name="Normal 2 3 23 4 3" xfId="28086" xr:uid="{00000000-0005-0000-0000-0000B66D0000}"/>
    <cellStyle name="Normal 2 3 23 4 4" xfId="28087" xr:uid="{00000000-0005-0000-0000-0000B76D0000}"/>
    <cellStyle name="Normal 2 3 23 4 5" xfId="28088" xr:uid="{00000000-0005-0000-0000-0000B86D0000}"/>
    <cellStyle name="Normal 2 3 23 4 6" xfId="28089" xr:uid="{00000000-0005-0000-0000-0000B96D0000}"/>
    <cellStyle name="Normal 2 3 23 4 7" xfId="28090" xr:uid="{00000000-0005-0000-0000-0000BA6D0000}"/>
    <cellStyle name="Normal 2 3 23 4 8" xfId="28091" xr:uid="{00000000-0005-0000-0000-0000BB6D0000}"/>
    <cellStyle name="Normal 2 3 23 4 9" xfId="28092" xr:uid="{00000000-0005-0000-0000-0000BC6D0000}"/>
    <cellStyle name="Normal 2 3 23 5" xfId="28093" xr:uid="{00000000-0005-0000-0000-0000BD6D0000}"/>
    <cellStyle name="Normal 2 3 23 5 10" xfId="28094" xr:uid="{00000000-0005-0000-0000-0000BE6D0000}"/>
    <cellStyle name="Normal 2 3 23 5 2" xfId="28095" xr:uid="{00000000-0005-0000-0000-0000BF6D0000}"/>
    <cellStyle name="Normal 2 3 23 5 3" xfId="28096" xr:uid="{00000000-0005-0000-0000-0000C06D0000}"/>
    <cellStyle name="Normal 2 3 23 5 4" xfId="28097" xr:uid="{00000000-0005-0000-0000-0000C16D0000}"/>
    <cellStyle name="Normal 2 3 23 5 5" xfId="28098" xr:uid="{00000000-0005-0000-0000-0000C26D0000}"/>
    <cellStyle name="Normal 2 3 23 5 6" xfId="28099" xr:uid="{00000000-0005-0000-0000-0000C36D0000}"/>
    <cellStyle name="Normal 2 3 23 5 7" xfId="28100" xr:uid="{00000000-0005-0000-0000-0000C46D0000}"/>
    <cellStyle name="Normal 2 3 23 5 8" xfId="28101" xr:uid="{00000000-0005-0000-0000-0000C56D0000}"/>
    <cellStyle name="Normal 2 3 23 5 9" xfId="28102" xr:uid="{00000000-0005-0000-0000-0000C66D0000}"/>
    <cellStyle name="Normal 2 3 23 6" xfId="28103" xr:uid="{00000000-0005-0000-0000-0000C76D0000}"/>
    <cellStyle name="Normal 2 3 23 7" xfId="28104" xr:uid="{00000000-0005-0000-0000-0000C86D0000}"/>
    <cellStyle name="Normal 2 3 23 8" xfId="28105" xr:uid="{00000000-0005-0000-0000-0000C96D0000}"/>
    <cellStyle name="Normal 2 3 23 9" xfId="28106" xr:uid="{00000000-0005-0000-0000-0000CA6D0000}"/>
    <cellStyle name="Normal 2 3 24" xfId="28107" xr:uid="{00000000-0005-0000-0000-0000CB6D0000}"/>
    <cellStyle name="Normal 2 3 24 10" xfId="28108" xr:uid="{00000000-0005-0000-0000-0000CC6D0000}"/>
    <cellStyle name="Normal 2 3 24 11" xfId="28109" xr:uid="{00000000-0005-0000-0000-0000CD6D0000}"/>
    <cellStyle name="Normal 2 3 24 12" xfId="28110" xr:uid="{00000000-0005-0000-0000-0000CE6D0000}"/>
    <cellStyle name="Normal 2 3 24 13" xfId="28111" xr:uid="{00000000-0005-0000-0000-0000CF6D0000}"/>
    <cellStyle name="Normal 2 3 24 14" xfId="28112" xr:uid="{00000000-0005-0000-0000-0000D06D0000}"/>
    <cellStyle name="Normal 2 3 24 2" xfId="28113" xr:uid="{00000000-0005-0000-0000-0000D16D0000}"/>
    <cellStyle name="Normal 2 3 24 2 10" xfId="28114" xr:uid="{00000000-0005-0000-0000-0000D26D0000}"/>
    <cellStyle name="Normal 2 3 24 2 2" xfId="28115" xr:uid="{00000000-0005-0000-0000-0000D36D0000}"/>
    <cellStyle name="Normal 2 3 24 2 3" xfId="28116" xr:uid="{00000000-0005-0000-0000-0000D46D0000}"/>
    <cellStyle name="Normal 2 3 24 2 4" xfId="28117" xr:uid="{00000000-0005-0000-0000-0000D56D0000}"/>
    <cellStyle name="Normal 2 3 24 2 5" xfId="28118" xr:uid="{00000000-0005-0000-0000-0000D66D0000}"/>
    <cellStyle name="Normal 2 3 24 2 6" xfId="28119" xr:uid="{00000000-0005-0000-0000-0000D76D0000}"/>
    <cellStyle name="Normal 2 3 24 2 7" xfId="28120" xr:uid="{00000000-0005-0000-0000-0000D86D0000}"/>
    <cellStyle name="Normal 2 3 24 2 8" xfId="28121" xr:uid="{00000000-0005-0000-0000-0000D96D0000}"/>
    <cellStyle name="Normal 2 3 24 2 9" xfId="28122" xr:uid="{00000000-0005-0000-0000-0000DA6D0000}"/>
    <cellStyle name="Normal 2 3 24 3" xfId="28123" xr:uid="{00000000-0005-0000-0000-0000DB6D0000}"/>
    <cellStyle name="Normal 2 3 24 3 10" xfId="28124" xr:uid="{00000000-0005-0000-0000-0000DC6D0000}"/>
    <cellStyle name="Normal 2 3 24 3 2" xfId="28125" xr:uid="{00000000-0005-0000-0000-0000DD6D0000}"/>
    <cellStyle name="Normal 2 3 24 3 3" xfId="28126" xr:uid="{00000000-0005-0000-0000-0000DE6D0000}"/>
    <cellStyle name="Normal 2 3 24 3 4" xfId="28127" xr:uid="{00000000-0005-0000-0000-0000DF6D0000}"/>
    <cellStyle name="Normal 2 3 24 3 5" xfId="28128" xr:uid="{00000000-0005-0000-0000-0000E06D0000}"/>
    <cellStyle name="Normal 2 3 24 3 6" xfId="28129" xr:uid="{00000000-0005-0000-0000-0000E16D0000}"/>
    <cellStyle name="Normal 2 3 24 3 7" xfId="28130" xr:uid="{00000000-0005-0000-0000-0000E26D0000}"/>
    <cellStyle name="Normal 2 3 24 3 8" xfId="28131" xr:uid="{00000000-0005-0000-0000-0000E36D0000}"/>
    <cellStyle name="Normal 2 3 24 3 9" xfId="28132" xr:uid="{00000000-0005-0000-0000-0000E46D0000}"/>
    <cellStyle name="Normal 2 3 24 4" xfId="28133" xr:uid="{00000000-0005-0000-0000-0000E56D0000}"/>
    <cellStyle name="Normal 2 3 24 4 10" xfId="28134" xr:uid="{00000000-0005-0000-0000-0000E66D0000}"/>
    <cellStyle name="Normal 2 3 24 4 2" xfId="28135" xr:uid="{00000000-0005-0000-0000-0000E76D0000}"/>
    <cellStyle name="Normal 2 3 24 4 3" xfId="28136" xr:uid="{00000000-0005-0000-0000-0000E86D0000}"/>
    <cellStyle name="Normal 2 3 24 4 4" xfId="28137" xr:uid="{00000000-0005-0000-0000-0000E96D0000}"/>
    <cellStyle name="Normal 2 3 24 4 5" xfId="28138" xr:uid="{00000000-0005-0000-0000-0000EA6D0000}"/>
    <cellStyle name="Normal 2 3 24 4 6" xfId="28139" xr:uid="{00000000-0005-0000-0000-0000EB6D0000}"/>
    <cellStyle name="Normal 2 3 24 4 7" xfId="28140" xr:uid="{00000000-0005-0000-0000-0000EC6D0000}"/>
    <cellStyle name="Normal 2 3 24 4 8" xfId="28141" xr:uid="{00000000-0005-0000-0000-0000ED6D0000}"/>
    <cellStyle name="Normal 2 3 24 4 9" xfId="28142" xr:uid="{00000000-0005-0000-0000-0000EE6D0000}"/>
    <cellStyle name="Normal 2 3 24 5" xfId="28143" xr:uid="{00000000-0005-0000-0000-0000EF6D0000}"/>
    <cellStyle name="Normal 2 3 24 5 10" xfId="28144" xr:uid="{00000000-0005-0000-0000-0000F06D0000}"/>
    <cellStyle name="Normal 2 3 24 5 2" xfId="28145" xr:uid="{00000000-0005-0000-0000-0000F16D0000}"/>
    <cellStyle name="Normal 2 3 24 5 3" xfId="28146" xr:uid="{00000000-0005-0000-0000-0000F26D0000}"/>
    <cellStyle name="Normal 2 3 24 5 4" xfId="28147" xr:uid="{00000000-0005-0000-0000-0000F36D0000}"/>
    <cellStyle name="Normal 2 3 24 5 5" xfId="28148" xr:uid="{00000000-0005-0000-0000-0000F46D0000}"/>
    <cellStyle name="Normal 2 3 24 5 6" xfId="28149" xr:uid="{00000000-0005-0000-0000-0000F56D0000}"/>
    <cellStyle name="Normal 2 3 24 5 7" xfId="28150" xr:uid="{00000000-0005-0000-0000-0000F66D0000}"/>
    <cellStyle name="Normal 2 3 24 5 8" xfId="28151" xr:uid="{00000000-0005-0000-0000-0000F76D0000}"/>
    <cellStyle name="Normal 2 3 24 5 9" xfId="28152" xr:uid="{00000000-0005-0000-0000-0000F86D0000}"/>
    <cellStyle name="Normal 2 3 24 6" xfId="28153" xr:uid="{00000000-0005-0000-0000-0000F96D0000}"/>
    <cellStyle name="Normal 2 3 24 7" xfId="28154" xr:uid="{00000000-0005-0000-0000-0000FA6D0000}"/>
    <cellStyle name="Normal 2 3 24 8" xfId="28155" xr:uid="{00000000-0005-0000-0000-0000FB6D0000}"/>
    <cellStyle name="Normal 2 3 24 9" xfId="28156" xr:uid="{00000000-0005-0000-0000-0000FC6D0000}"/>
    <cellStyle name="Normal 2 3 25" xfId="28157" xr:uid="{00000000-0005-0000-0000-0000FD6D0000}"/>
    <cellStyle name="Normal 2 3 25 10" xfId="28158" xr:uid="{00000000-0005-0000-0000-0000FE6D0000}"/>
    <cellStyle name="Normal 2 3 25 11" xfId="28159" xr:uid="{00000000-0005-0000-0000-0000FF6D0000}"/>
    <cellStyle name="Normal 2 3 25 12" xfId="28160" xr:uid="{00000000-0005-0000-0000-0000006E0000}"/>
    <cellStyle name="Normal 2 3 25 13" xfId="28161" xr:uid="{00000000-0005-0000-0000-0000016E0000}"/>
    <cellStyle name="Normal 2 3 25 14" xfId="28162" xr:uid="{00000000-0005-0000-0000-0000026E0000}"/>
    <cellStyle name="Normal 2 3 25 2" xfId="28163" xr:uid="{00000000-0005-0000-0000-0000036E0000}"/>
    <cellStyle name="Normal 2 3 25 2 10" xfId="28164" xr:uid="{00000000-0005-0000-0000-0000046E0000}"/>
    <cellStyle name="Normal 2 3 25 2 2" xfId="28165" xr:uid="{00000000-0005-0000-0000-0000056E0000}"/>
    <cellStyle name="Normal 2 3 25 2 3" xfId="28166" xr:uid="{00000000-0005-0000-0000-0000066E0000}"/>
    <cellStyle name="Normal 2 3 25 2 4" xfId="28167" xr:uid="{00000000-0005-0000-0000-0000076E0000}"/>
    <cellStyle name="Normal 2 3 25 2 5" xfId="28168" xr:uid="{00000000-0005-0000-0000-0000086E0000}"/>
    <cellStyle name="Normal 2 3 25 2 6" xfId="28169" xr:uid="{00000000-0005-0000-0000-0000096E0000}"/>
    <cellStyle name="Normal 2 3 25 2 7" xfId="28170" xr:uid="{00000000-0005-0000-0000-00000A6E0000}"/>
    <cellStyle name="Normal 2 3 25 2 8" xfId="28171" xr:uid="{00000000-0005-0000-0000-00000B6E0000}"/>
    <cellStyle name="Normal 2 3 25 2 9" xfId="28172" xr:uid="{00000000-0005-0000-0000-00000C6E0000}"/>
    <cellStyle name="Normal 2 3 25 3" xfId="28173" xr:uid="{00000000-0005-0000-0000-00000D6E0000}"/>
    <cellStyle name="Normal 2 3 25 3 10" xfId="28174" xr:uid="{00000000-0005-0000-0000-00000E6E0000}"/>
    <cellStyle name="Normal 2 3 25 3 2" xfId="28175" xr:uid="{00000000-0005-0000-0000-00000F6E0000}"/>
    <cellStyle name="Normal 2 3 25 3 3" xfId="28176" xr:uid="{00000000-0005-0000-0000-0000106E0000}"/>
    <cellStyle name="Normal 2 3 25 3 4" xfId="28177" xr:uid="{00000000-0005-0000-0000-0000116E0000}"/>
    <cellStyle name="Normal 2 3 25 3 5" xfId="28178" xr:uid="{00000000-0005-0000-0000-0000126E0000}"/>
    <cellStyle name="Normal 2 3 25 3 6" xfId="28179" xr:uid="{00000000-0005-0000-0000-0000136E0000}"/>
    <cellStyle name="Normal 2 3 25 3 7" xfId="28180" xr:uid="{00000000-0005-0000-0000-0000146E0000}"/>
    <cellStyle name="Normal 2 3 25 3 8" xfId="28181" xr:uid="{00000000-0005-0000-0000-0000156E0000}"/>
    <cellStyle name="Normal 2 3 25 3 9" xfId="28182" xr:uid="{00000000-0005-0000-0000-0000166E0000}"/>
    <cellStyle name="Normal 2 3 25 4" xfId="28183" xr:uid="{00000000-0005-0000-0000-0000176E0000}"/>
    <cellStyle name="Normal 2 3 25 4 10" xfId="28184" xr:uid="{00000000-0005-0000-0000-0000186E0000}"/>
    <cellStyle name="Normal 2 3 25 4 2" xfId="28185" xr:uid="{00000000-0005-0000-0000-0000196E0000}"/>
    <cellStyle name="Normal 2 3 25 4 3" xfId="28186" xr:uid="{00000000-0005-0000-0000-00001A6E0000}"/>
    <cellStyle name="Normal 2 3 25 4 4" xfId="28187" xr:uid="{00000000-0005-0000-0000-00001B6E0000}"/>
    <cellStyle name="Normal 2 3 25 4 5" xfId="28188" xr:uid="{00000000-0005-0000-0000-00001C6E0000}"/>
    <cellStyle name="Normal 2 3 25 4 6" xfId="28189" xr:uid="{00000000-0005-0000-0000-00001D6E0000}"/>
    <cellStyle name="Normal 2 3 25 4 7" xfId="28190" xr:uid="{00000000-0005-0000-0000-00001E6E0000}"/>
    <cellStyle name="Normal 2 3 25 4 8" xfId="28191" xr:uid="{00000000-0005-0000-0000-00001F6E0000}"/>
    <cellStyle name="Normal 2 3 25 4 9" xfId="28192" xr:uid="{00000000-0005-0000-0000-0000206E0000}"/>
    <cellStyle name="Normal 2 3 25 5" xfId="28193" xr:uid="{00000000-0005-0000-0000-0000216E0000}"/>
    <cellStyle name="Normal 2 3 25 5 10" xfId="28194" xr:uid="{00000000-0005-0000-0000-0000226E0000}"/>
    <cellStyle name="Normal 2 3 25 5 2" xfId="28195" xr:uid="{00000000-0005-0000-0000-0000236E0000}"/>
    <cellStyle name="Normal 2 3 25 5 3" xfId="28196" xr:uid="{00000000-0005-0000-0000-0000246E0000}"/>
    <cellStyle name="Normal 2 3 25 5 4" xfId="28197" xr:uid="{00000000-0005-0000-0000-0000256E0000}"/>
    <cellStyle name="Normal 2 3 25 5 5" xfId="28198" xr:uid="{00000000-0005-0000-0000-0000266E0000}"/>
    <cellStyle name="Normal 2 3 25 5 6" xfId="28199" xr:uid="{00000000-0005-0000-0000-0000276E0000}"/>
    <cellStyle name="Normal 2 3 25 5 7" xfId="28200" xr:uid="{00000000-0005-0000-0000-0000286E0000}"/>
    <cellStyle name="Normal 2 3 25 5 8" xfId="28201" xr:uid="{00000000-0005-0000-0000-0000296E0000}"/>
    <cellStyle name="Normal 2 3 25 5 9" xfId="28202" xr:uid="{00000000-0005-0000-0000-00002A6E0000}"/>
    <cellStyle name="Normal 2 3 25 6" xfId="28203" xr:uid="{00000000-0005-0000-0000-00002B6E0000}"/>
    <cellStyle name="Normal 2 3 25 7" xfId="28204" xr:uid="{00000000-0005-0000-0000-00002C6E0000}"/>
    <cellStyle name="Normal 2 3 25 8" xfId="28205" xr:uid="{00000000-0005-0000-0000-00002D6E0000}"/>
    <cellStyle name="Normal 2 3 25 9" xfId="28206" xr:uid="{00000000-0005-0000-0000-00002E6E0000}"/>
    <cellStyle name="Normal 2 3 26" xfId="28207" xr:uid="{00000000-0005-0000-0000-00002F6E0000}"/>
    <cellStyle name="Normal 2 3 26 10" xfId="28208" xr:uid="{00000000-0005-0000-0000-0000306E0000}"/>
    <cellStyle name="Normal 2 3 26 11" xfId="28209" xr:uid="{00000000-0005-0000-0000-0000316E0000}"/>
    <cellStyle name="Normal 2 3 26 12" xfId="28210" xr:uid="{00000000-0005-0000-0000-0000326E0000}"/>
    <cellStyle name="Normal 2 3 26 13" xfId="28211" xr:uid="{00000000-0005-0000-0000-0000336E0000}"/>
    <cellStyle name="Normal 2 3 26 14" xfId="28212" xr:uid="{00000000-0005-0000-0000-0000346E0000}"/>
    <cellStyle name="Normal 2 3 26 2" xfId="28213" xr:uid="{00000000-0005-0000-0000-0000356E0000}"/>
    <cellStyle name="Normal 2 3 26 2 10" xfId="28214" xr:uid="{00000000-0005-0000-0000-0000366E0000}"/>
    <cellStyle name="Normal 2 3 26 2 2" xfId="28215" xr:uid="{00000000-0005-0000-0000-0000376E0000}"/>
    <cellStyle name="Normal 2 3 26 2 3" xfId="28216" xr:uid="{00000000-0005-0000-0000-0000386E0000}"/>
    <cellStyle name="Normal 2 3 26 2 4" xfId="28217" xr:uid="{00000000-0005-0000-0000-0000396E0000}"/>
    <cellStyle name="Normal 2 3 26 2 5" xfId="28218" xr:uid="{00000000-0005-0000-0000-00003A6E0000}"/>
    <cellStyle name="Normal 2 3 26 2 6" xfId="28219" xr:uid="{00000000-0005-0000-0000-00003B6E0000}"/>
    <cellStyle name="Normal 2 3 26 2 7" xfId="28220" xr:uid="{00000000-0005-0000-0000-00003C6E0000}"/>
    <cellStyle name="Normal 2 3 26 2 8" xfId="28221" xr:uid="{00000000-0005-0000-0000-00003D6E0000}"/>
    <cellStyle name="Normal 2 3 26 2 9" xfId="28222" xr:uid="{00000000-0005-0000-0000-00003E6E0000}"/>
    <cellStyle name="Normal 2 3 26 3" xfId="28223" xr:uid="{00000000-0005-0000-0000-00003F6E0000}"/>
    <cellStyle name="Normal 2 3 26 3 10" xfId="28224" xr:uid="{00000000-0005-0000-0000-0000406E0000}"/>
    <cellStyle name="Normal 2 3 26 3 2" xfId="28225" xr:uid="{00000000-0005-0000-0000-0000416E0000}"/>
    <cellStyle name="Normal 2 3 26 3 3" xfId="28226" xr:uid="{00000000-0005-0000-0000-0000426E0000}"/>
    <cellStyle name="Normal 2 3 26 3 4" xfId="28227" xr:uid="{00000000-0005-0000-0000-0000436E0000}"/>
    <cellStyle name="Normal 2 3 26 3 5" xfId="28228" xr:uid="{00000000-0005-0000-0000-0000446E0000}"/>
    <cellStyle name="Normal 2 3 26 3 6" xfId="28229" xr:uid="{00000000-0005-0000-0000-0000456E0000}"/>
    <cellStyle name="Normal 2 3 26 3 7" xfId="28230" xr:uid="{00000000-0005-0000-0000-0000466E0000}"/>
    <cellStyle name="Normal 2 3 26 3 8" xfId="28231" xr:uid="{00000000-0005-0000-0000-0000476E0000}"/>
    <cellStyle name="Normal 2 3 26 3 9" xfId="28232" xr:uid="{00000000-0005-0000-0000-0000486E0000}"/>
    <cellStyle name="Normal 2 3 26 4" xfId="28233" xr:uid="{00000000-0005-0000-0000-0000496E0000}"/>
    <cellStyle name="Normal 2 3 26 4 10" xfId="28234" xr:uid="{00000000-0005-0000-0000-00004A6E0000}"/>
    <cellStyle name="Normal 2 3 26 4 2" xfId="28235" xr:uid="{00000000-0005-0000-0000-00004B6E0000}"/>
    <cellStyle name="Normal 2 3 26 4 3" xfId="28236" xr:uid="{00000000-0005-0000-0000-00004C6E0000}"/>
    <cellStyle name="Normal 2 3 26 4 4" xfId="28237" xr:uid="{00000000-0005-0000-0000-00004D6E0000}"/>
    <cellStyle name="Normal 2 3 26 4 5" xfId="28238" xr:uid="{00000000-0005-0000-0000-00004E6E0000}"/>
    <cellStyle name="Normal 2 3 26 4 6" xfId="28239" xr:uid="{00000000-0005-0000-0000-00004F6E0000}"/>
    <cellStyle name="Normal 2 3 26 4 7" xfId="28240" xr:uid="{00000000-0005-0000-0000-0000506E0000}"/>
    <cellStyle name="Normal 2 3 26 4 8" xfId="28241" xr:uid="{00000000-0005-0000-0000-0000516E0000}"/>
    <cellStyle name="Normal 2 3 26 4 9" xfId="28242" xr:uid="{00000000-0005-0000-0000-0000526E0000}"/>
    <cellStyle name="Normal 2 3 26 5" xfId="28243" xr:uid="{00000000-0005-0000-0000-0000536E0000}"/>
    <cellStyle name="Normal 2 3 26 5 10" xfId="28244" xr:uid="{00000000-0005-0000-0000-0000546E0000}"/>
    <cellStyle name="Normal 2 3 26 5 2" xfId="28245" xr:uid="{00000000-0005-0000-0000-0000556E0000}"/>
    <cellStyle name="Normal 2 3 26 5 3" xfId="28246" xr:uid="{00000000-0005-0000-0000-0000566E0000}"/>
    <cellStyle name="Normal 2 3 26 5 4" xfId="28247" xr:uid="{00000000-0005-0000-0000-0000576E0000}"/>
    <cellStyle name="Normal 2 3 26 5 5" xfId="28248" xr:uid="{00000000-0005-0000-0000-0000586E0000}"/>
    <cellStyle name="Normal 2 3 26 5 6" xfId="28249" xr:uid="{00000000-0005-0000-0000-0000596E0000}"/>
    <cellStyle name="Normal 2 3 26 5 7" xfId="28250" xr:uid="{00000000-0005-0000-0000-00005A6E0000}"/>
    <cellStyle name="Normal 2 3 26 5 8" xfId="28251" xr:uid="{00000000-0005-0000-0000-00005B6E0000}"/>
    <cellStyle name="Normal 2 3 26 5 9" xfId="28252" xr:uid="{00000000-0005-0000-0000-00005C6E0000}"/>
    <cellStyle name="Normal 2 3 26 6" xfId="28253" xr:uid="{00000000-0005-0000-0000-00005D6E0000}"/>
    <cellStyle name="Normal 2 3 26 7" xfId="28254" xr:uid="{00000000-0005-0000-0000-00005E6E0000}"/>
    <cellStyle name="Normal 2 3 26 8" xfId="28255" xr:uid="{00000000-0005-0000-0000-00005F6E0000}"/>
    <cellStyle name="Normal 2 3 26 9" xfId="28256" xr:uid="{00000000-0005-0000-0000-0000606E0000}"/>
    <cellStyle name="Normal 2 3 27" xfId="28257" xr:uid="{00000000-0005-0000-0000-0000616E0000}"/>
    <cellStyle name="Normal 2 3 27 10" xfId="28258" xr:uid="{00000000-0005-0000-0000-0000626E0000}"/>
    <cellStyle name="Normal 2 3 27 11" xfId="28259" xr:uid="{00000000-0005-0000-0000-0000636E0000}"/>
    <cellStyle name="Normal 2 3 27 12" xfId="28260" xr:uid="{00000000-0005-0000-0000-0000646E0000}"/>
    <cellStyle name="Normal 2 3 27 13" xfId="28261" xr:uid="{00000000-0005-0000-0000-0000656E0000}"/>
    <cellStyle name="Normal 2 3 27 14" xfId="28262" xr:uid="{00000000-0005-0000-0000-0000666E0000}"/>
    <cellStyle name="Normal 2 3 27 2" xfId="28263" xr:uid="{00000000-0005-0000-0000-0000676E0000}"/>
    <cellStyle name="Normal 2 3 27 2 10" xfId="28264" xr:uid="{00000000-0005-0000-0000-0000686E0000}"/>
    <cellStyle name="Normal 2 3 27 2 2" xfId="28265" xr:uid="{00000000-0005-0000-0000-0000696E0000}"/>
    <cellStyle name="Normal 2 3 27 2 3" xfId="28266" xr:uid="{00000000-0005-0000-0000-00006A6E0000}"/>
    <cellStyle name="Normal 2 3 27 2 4" xfId="28267" xr:uid="{00000000-0005-0000-0000-00006B6E0000}"/>
    <cellStyle name="Normal 2 3 27 2 5" xfId="28268" xr:uid="{00000000-0005-0000-0000-00006C6E0000}"/>
    <cellStyle name="Normal 2 3 27 2 6" xfId="28269" xr:uid="{00000000-0005-0000-0000-00006D6E0000}"/>
    <cellStyle name="Normal 2 3 27 2 7" xfId="28270" xr:uid="{00000000-0005-0000-0000-00006E6E0000}"/>
    <cellStyle name="Normal 2 3 27 2 8" xfId="28271" xr:uid="{00000000-0005-0000-0000-00006F6E0000}"/>
    <cellStyle name="Normal 2 3 27 2 9" xfId="28272" xr:uid="{00000000-0005-0000-0000-0000706E0000}"/>
    <cellStyle name="Normal 2 3 27 3" xfId="28273" xr:uid="{00000000-0005-0000-0000-0000716E0000}"/>
    <cellStyle name="Normal 2 3 27 3 10" xfId="28274" xr:uid="{00000000-0005-0000-0000-0000726E0000}"/>
    <cellStyle name="Normal 2 3 27 3 2" xfId="28275" xr:uid="{00000000-0005-0000-0000-0000736E0000}"/>
    <cellStyle name="Normal 2 3 27 3 3" xfId="28276" xr:uid="{00000000-0005-0000-0000-0000746E0000}"/>
    <cellStyle name="Normal 2 3 27 3 4" xfId="28277" xr:uid="{00000000-0005-0000-0000-0000756E0000}"/>
    <cellStyle name="Normal 2 3 27 3 5" xfId="28278" xr:uid="{00000000-0005-0000-0000-0000766E0000}"/>
    <cellStyle name="Normal 2 3 27 3 6" xfId="28279" xr:uid="{00000000-0005-0000-0000-0000776E0000}"/>
    <cellStyle name="Normal 2 3 27 3 7" xfId="28280" xr:uid="{00000000-0005-0000-0000-0000786E0000}"/>
    <cellStyle name="Normal 2 3 27 3 8" xfId="28281" xr:uid="{00000000-0005-0000-0000-0000796E0000}"/>
    <cellStyle name="Normal 2 3 27 3 9" xfId="28282" xr:uid="{00000000-0005-0000-0000-00007A6E0000}"/>
    <cellStyle name="Normal 2 3 27 4" xfId="28283" xr:uid="{00000000-0005-0000-0000-00007B6E0000}"/>
    <cellStyle name="Normal 2 3 27 4 10" xfId="28284" xr:uid="{00000000-0005-0000-0000-00007C6E0000}"/>
    <cellStyle name="Normal 2 3 27 4 2" xfId="28285" xr:uid="{00000000-0005-0000-0000-00007D6E0000}"/>
    <cellStyle name="Normal 2 3 27 4 3" xfId="28286" xr:uid="{00000000-0005-0000-0000-00007E6E0000}"/>
    <cellStyle name="Normal 2 3 27 4 4" xfId="28287" xr:uid="{00000000-0005-0000-0000-00007F6E0000}"/>
    <cellStyle name="Normal 2 3 27 4 5" xfId="28288" xr:uid="{00000000-0005-0000-0000-0000806E0000}"/>
    <cellStyle name="Normal 2 3 27 4 6" xfId="28289" xr:uid="{00000000-0005-0000-0000-0000816E0000}"/>
    <cellStyle name="Normal 2 3 27 4 7" xfId="28290" xr:uid="{00000000-0005-0000-0000-0000826E0000}"/>
    <cellStyle name="Normal 2 3 27 4 8" xfId="28291" xr:uid="{00000000-0005-0000-0000-0000836E0000}"/>
    <cellStyle name="Normal 2 3 27 4 9" xfId="28292" xr:uid="{00000000-0005-0000-0000-0000846E0000}"/>
    <cellStyle name="Normal 2 3 27 5" xfId="28293" xr:uid="{00000000-0005-0000-0000-0000856E0000}"/>
    <cellStyle name="Normal 2 3 27 5 10" xfId="28294" xr:uid="{00000000-0005-0000-0000-0000866E0000}"/>
    <cellStyle name="Normal 2 3 27 5 2" xfId="28295" xr:uid="{00000000-0005-0000-0000-0000876E0000}"/>
    <cellStyle name="Normal 2 3 27 5 3" xfId="28296" xr:uid="{00000000-0005-0000-0000-0000886E0000}"/>
    <cellStyle name="Normal 2 3 27 5 4" xfId="28297" xr:uid="{00000000-0005-0000-0000-0000896E0000}"/>
    <cellStyle name="Normal 2 3 27 5 5" xfId="28298" xr:uid="{00000000-0005-0000-0000-00008A6E0000}"/>
    <cellStyle name="Normal 2 3 27 5 6" xfId="28299" xr:uid="{00000000-0005-0000-0000-00008B6E0000}"/>
    <cellStyle name="Normal 2 3 27 5 7" xfId="28300" xr:uid="{00000000-0005-0000-0000-00008C6E0000}"/>
    <cellStyle name="Normal 2 3 27 5 8" xfId="28301" xr:uid="{00000000-0005-0000-0000-00008D6E0000}"/>
    <cellStyle name="Normal 2 3 27 5 9" xfId="28302" xr:uid="{00000000-0005-0000-0000-00008E6E0000}"/>
    <cellStyle name="Normal 2 3 27 6" xfId="28303" xr:uid="{00000000-0005-0000-0000-00008F6E0000}"/>
    <cellStyle name="Normal 2 3 27 7" xfId="28304" xr:uid="{00000000-0005-0000-0000-0000906E0000}"/>
    <cellStyle name="Normal 2 3 27 8" xfId="28305" xr:uid="{00000000-0005-0000-0000-0000916E0000}"/>
    <cellStyle name="Normal 2 3 27 9" xfId="28306" xr:uid="{00000000-0005-0000-0000-0000926E0000}"/>
    <cellStyle name="Normal 2 3 28" xfId="28307" xr:uid="{00000000-0005-0000-0000-0000936E0000}"/>
    <cellStyle name="Normal 2 3 28 10" xfId="28308" xr:uid="{00000000-0005-0000-0000-0000946E0000}"/>
    <cellStyle name="Normal 2 3 28 11" xfId="28309" xr:uid="{00000000-0005-0000-0000-0000956E0000}"/>
    <cellStyle name="Normal 2 3 28 12" xfId="28310" xr:uid="{00000000-0005-0000-0000-0000966E0000}"/>
    <cellStyle name="Normal 2 3 28 13" xfId="28311" xr:uid="{00000000-0005-0000-0000-0000976E0000}"/>
    <cellStyle name="Normal 2 3 28 14" xfId="28312" xr:uid="{00000000-0005-0000-0000-0000986E0000}"/>
    <cellStyle name="Normal 2 3 28 2" xfId="28313" xr:uid="{00000000-0005-0000-0000-0000996E0000}"/>
    <cellStyle name="Normal 2 3 28 2 10" xfId="28314" xr:uid="{00000000-0005-0000-0000-00009A6E0000}"/>
    <cellStyle name="Normal 2 3 28 2 2" xfId="28315" xr:uid="{00000000-0005-0000-0000-00009B6E0000}"/>
    <cellStyle name="Normal 2 3 28 2 3" xfId="28316" xr:uid="{00000000-0005-0000-0000-00009C6E0000}"/>
    <cellStyle name="Normal 2 3 28 2 4" xfId="28317" xr:uid="{00000000-0005-0000-0000-00009D6E0000}"/>
    <cellStyle name="Normal 2 3 28 2 5" xfId="28318" xr:uid="{00000000-0005-0000-0000-00009E6E0000}"/>
    <cellStyle name="Normal 2 3 28 2 6" xfId="28319" xr:uid="{00000000-0005-0000-0000-00009F6E0000}"/>
    <cellStyle name="Normal 2 3 28 2 7" xfId="28320" xr:uid="{00000000-0005-0000-0000-0000A06E0000}"/>
    <cellStyle name="Normal 2 3 28 2 8" xfId="28321" xr:uid="{00000000-0005-0000-0000-0000A16E0000}"/>
    <cellStyle name="Normal 2 3 28 2 9" xfId="28322" xr:uid="{00000000-0005-0000-0000-0000A26E0000}"/>
    <cellStyle name="Normal 2 3 28 3" xfId="28323" xr:uid="{00000000-0005-0000-0000-0000A36E0000}"/>
    <cellStyle name="Normal 2 3 28 3 10" xfId="28324" xr:uid="{00000000-0005-0000-0000-0000A46E0000}"/>
    <cellStyle name="Normal 2 3 28 3 2" xfId="28325" xr:uid="{00000000-0005-0000-0000-0000A56E0000}"/>
    <cellStyle name="Normal 2 3 28 3 3" xfId="28326" xr:uid="{00000000-0005-0000-0000-0000A66E0000}"/>
    <cellStyle name="Normal 2 3 28 3 4" xfId="28327" xr:uid="{00000000-0005-0000-0000-0000A76E0000}"/>
    <cellStyle name="Normal 2 3 28 3 5" xfId="28328" xr:uid="{00000000-0005-0000-0000-0000A86E0000}"/>
    <cellStyle name="Normal 2 3 28 3 6" xfId="28329" xr:uid="{00000000-0005-0000-0000-0000A96E0000}"/>
    <cellStyle name="Normal 2 3 28 3 7" xfId="28330" xr:uid="{00000000-0005-0000-0000-0000AA6E0000}"/>
    <cellStyle name="Normal 2 3 28 3 8" xfId="28331" xr:uid="{00000000-0005-0000-0000-0000AB6E0000}"/>
    <cellStyle name="Normal 2 3 28 3 9" xfId="28332" xr:uid="{00000000-0005-0000-0000-0000AC6E0000}"/>
    <cellStyle name="Normal 2 3 28 4" xfId="28333" xr:uid="{00000000-0005-0000-0000-0000AD6E0000}"/>
    <cellStyle name="Normal 2 3 28 4 10" xfId="28334" xr:uid="{00000000-0005-0000-0000-0000AE6E0000}"/>
    <cellStyle name="Normal 2 3 28 4 2" xfId="28335" xr:uid="{00000000-0005-0000-0000-0000AF6E0000}"/>
    <cellStyle name="Normal 2 3 28 4 3" xfId="28336" xr:uid="{00000000-0005-0000-0000-0000B06E0000}"/>
    <cellStyle name="Normal 2 3 28 4 4" xfId="28337" xr:uid="{00000000-0005-0000-0000-0000B16E0000}"/>
    <cellStyle name="Normal 2 3 28 4 5" xfId="28338" xr:uid="{00000000-0005-0000-0000-0000B26E0000}"/>
    <cellStyle name="Normal 2 3 28 4 6" xfId="28339" xr:uid="{00000000-0005-0000-0000-0000B36E0000}"/>
    <cellStyle name="Normal 2 3 28 4 7" xfId="28340" xr:uid="{00000000-0005-0000-0000-0000B46E0000}"/>
    <cellStyle name="Normal 2 3 28 4 8" xfId="28341" xr:uid="{00000000-0005-0000-0000-0000B56E0000}"/>
    <cellStyle name="Normal 2 3 28 4 9" xfId="28342" xr:uid="{00000000-0005-0000-0000-0000B66E0000}"/>
    <cellStyle name="Normal 2 3 28 5" xfId="28343" xr:uid="{00000000-0005-0000-0000-0000B76E0000}"/>
    <cellStyle name="Normal 2 3 28 5 10" xfId="28344" xr:uid="{00000000-0005-0000-0000-0000B86E0000}"/>
    <cellStyle name="Normal 2 3 28 5 2" xfId="28345" xr:uid="{00000000-0005-0000-0000-0000B96E0000}"/>
    <cellStyle name="Normal 2 3 28 5 3" xfId="28346" xr:uid="{00000000-0005-0000-0000-0000BA6E0000}"/>
    <cellStyle name="Normal 2 3 28 5 4" xfId="28347" xr:uid="{00000000-0005-0000-0000-0000BB6E0000}"/>
    <cellStyle name="Normal 2 3 28 5 5" xfId="28348" xr:uid="{00000000-0005-0000-0000-0000BC6E0000}"/>
    <cellStyle name="Normal 2 3 28 5 6" xfId="28349" xr:uid="{00000000-0005-0000-0000-0000BD6E0000}"/>
    <cellStyle name="Normal 2 3 28 5 7" xfId="28350" xr:uid="{00000000-0005-0000-0000-0000BE6E0000}"/>
    <cellStyle name="Normal 2 3 28 5 8" xfId="28351" xr:uid="{00000000-0005-0000-0000-0000BF6E0000}"/>
    <cellStyle name="Normal 2 3 28 5 9" xfId="28352" xr:uid="{00000000-0005-0000-0000-0000C06E0000}"/>
    <cellStyle name="Normal 2 3 28 6" xfId="28353" xr:uid="{00000000-0005-0000-0000-0000C16E0000}"/>
    <cellStyle name="Normal 2 3 28 7" xfId="28354" xr:uid="{00000000-0005-0000-0000-0000C26E0000}"/>
    <cellStyle name="Normal 2 3 28 8" xfId="28355" xr:uid="{00000000-0005-0000-0000-0000C36E0000}"/>
    <cellStyle name="Normal 2 3 28 9" xfId="28356" xr:uid="{00000000-0005-0000-0000-0000C46E0000}"/>
    <cellStyle name="Normal 2 3 29" xfId="28357" xr:uid="{00000000-0005-0000-0000-0000C56E0000}"/>
    <cellStyle name="Normal 2 3 29 10" xfId="28358" xr:uid="{00000000-0005-0000-0000-0000C66E0000}"/>
    <cellStyle name="Normal 2 3 29 11" xfId="28359" xr:uid="{00000000-0005-0000-0000-0000C76E0000}"/>
    <cellStyle name="Normal 2 3 29 12" xfId="28360" xr:uid="{00000000-0005-0000-0000-0000C86E0000}"/>
    <cellStyle name="Normal 2 3 29 13" xfId="28361" xr:uid="{00000000-0005-0000-0000-0000C96E0000}"/>
    <cellStyle name="Normal 2 3 29 14" xfId="28362" xr:uid="{00000000-0005-0000-0000-0000CA6E0000}"/>
    <cellStyle name="Normal 2 3 29 2" xfId="28363" xr:uid="{00000000-0005-0000-0000-0000CB6E0000}"/>
    <cellStyle name="Normal 2 3 29 2 10" xfId="28364" xr:uid="{00000000-0005-0000-0000-0000CC6E0000}"/>
    <cellStyle name="Normal 2 3 29 2 2" xfId="28365" xr:uid="{00000000-0005-0000-0000-0000CD6E0000}"/>
    <cellStyle name="Normal 2 3 29 2 3" xfId="28366" xr:uid="{00000000-0005-0000-0000-0000CE6E0000}"/>
    <cellStyle name="Normal 2 3 29 2 4" xfId="28367" xr:uid="{00000000-0005-0000-0000-0000CF6E0000}"/>
    <cellStyle name="Normal 2 3 29 2 5" xfId="28368" xr:uid="{00000000-0005-0000-0000-0000D06E0000}"/>
    <cellStyle name="Normal 2 3 29 2 6" xfId="28369" xr:uid="{00000000-0005-0000-0000-0000D16E0000}"/>
    <cellStyle name="Normal 2 3 29 2 7" xfId="28370" xr:uid="{00000000-0005-0000-0000-0000D26E0000}"/>
    <cellStyle name="Normal 2 3 29 2 8" xfId="28371" xr:uid="{00000000-0005-0000-0000-0000D36E0000}"/>
    <cellStyle name="Normal 2 3 29 2 9" xfId="28372" xr:uid="{00000000-0005-0000-0000-0000D46E0000}"/>
    <cellStyle name="Normal 2 3 29 3" xfId="28373" xr:uid="{00000000-0005-0000-0000-0000D56E0000}"/>
    <cellStyle name="Normal 2 3 29 3 10" xfId="28374" xr:uid="{00000000-0005-0000-0000-0000D66E0000}"/>
    <cellStyle name="Normal 2 3 29 3 2" xfId="28375" xr:uid="{00000000-0005-0000-0000-0000D76E0000}"/>
    <cellStyle name="Normal 2 3 29 3 3" xfId="28376" xr:uid="{00000000-0005-0000-0000-0000D86E0000}"/>
    <cellStyle name="Normal 2 3 29 3 4" xfId="28377" xr:uid="{00000000-0005-0000-0000-0000D96E0000}"/>
    <cellStyle name="Normal 2 3 29 3 5" xfId="28378" xr:uid="{00000000-0005-0000-0000-0000DA6E0000}"/>
    <cellStyle name="Normal 2 3 29 3 6" xfId="28379" xr:uid="{00000000-0005-0000-0000-0000DB6E0000}"/>
    <cellStyle name="Normal 2 3 29 3 7" xfId="28380" xr:uid="{00000000-0005-0000-0000-0000DC6E0000}"/>
    <cellStyle name="Normal 2 3 29 3 8" xfId="28381" xr:uid="{00000000-0005-0000-0000-0000DD6E0000}"/>
    <cellStyle name="Normal 2 3 29 3 9" xfId="28382" xr:uid="{00000000-0005-0000-0000-0000DE6E0000}"/>
    <cellStyle name="Normal 2 3 29 4" xfId="28383" xr:uid="{00000000-0005-0000-0000-0000DF6E0000}"/>
    <cellStyle name="Normal 2 3 29 4 10" xfId="28384" xr:uid="{00000000-0005-0000-0000-0000E06E0000}"/>
    <cellStyle name="Normal 2 3 29 4 2" xfId="28385" xr:uid="{00000000-0005-0000-0000-0000E16E0000}"/>
    <cellStyle name="Normal 2 3 29 4 3" xfId="28386" xr:uid="{00000000-0005-0000-0000-0000E26E0000}"/>
    <cellStyle name="Normal 2 3 29 4 4" xfId="28387" xr:uid="{00000000-0005-0000-0000-0000E36E0000}"/>
    <cellStyle name="Normal 2 3 29 4 5" xfId="28388" xr:uid="{00000000-0005-0000-0000-0000E46E0000}"/>
    <cellStyle name="Normal 2 3 29 4 6" xfId="28389" xr:uid="{00000000-0005-0000-0000-0000E56E0000}"/>
    <cellStyle name="Normal 2 3 29 4 7" xfId="28390" xr:uid="{00000000-0005-0000-0000-0000E66E0000}"/>
    <cellStyle name="Normal 2 3 29 4 8" xfId="28391" xr:uid="{00000000-0005-0000-0000-0000E76E0000}"/>
    <cellStyle name="Normal 2 3 29 4 9" xfId="28392" xr:uid="{00000000-0005-0000-0000-0000E86E0000}"/>
    <cellStyle name="Normal 2 3 29 5" xfId="28393" xr:uid="{00000000-0005-0000-0000-0000E96E0000}"/>
    <cellStyle name="Normal 2 3 29 5 10" xfId="28394" xr:uid="{00000000-0005-0000-0000-0000EA6E0000}"/>
    <cellStyle name="Normal 2 3 29 5 2" xfId="28395" xr:uid="{00000000-0005-0000-0000-0000EB6E0000}"/>
    <cellStyle name="Normal 2 3 29 5 3" xfId="28396" xr:uid="{00000000-0005-0000-0000-0000EC6E0000}"/>
    <cellStyle name="Normal 2 3 29 5 4" xfId="28397" xr:uid="{00000000-0005-0000-0000-0000ED6E0000}"/>
    <cellStyle name="Normal 2 3 29 5 5" xfId="28398" xr:uid="{00000000-0005-0000-0000-0000EE6E0000}"/>
    <cellStyle name="Normal 2 3 29 5 6" xfId="28399" xr:uid="{00000000-0005-0000-0000-0000EF6E0000}"/>
    <cellStyle name="Normal 2 3 29 5 7" xfId="28400" xr:uid="{00000000-0005-0000-0000-0000F06E0000}"/>
    <cellStyle name="Normal 2 3 29 5 8" xfId="28401" xr:uid="{00000000-0005-0000-0000-0000F16E0000}"/>
    <cellStyle name="Normal 2 3 29 5 9" xfId="28402" xr:uid="{00000000-0005-0000-0000-0000F26E0000}"/>
    <cellStyle name="Normal 2 3 29 6" xfId="28403" xr:uid="{00000000-0005-0000-0000-0000F36E0000}"/>
    <cellStyle name="Normal 2 3 29 7" xfId="28404" xr:uid="{00000000-0005-0000-0000-0000F46E0000}"/>
    <cellStyle name="Normal 2 3 29 8" xfId="28405" xr:uid="{00000000-0005-0000-0000-0000F56E0000}"/>
    <cellStyle name="Normal 2 3 29 9" xfId="28406" xr:uid="{00000000-0005-0000-0000-0000F66E0000}"/>
    <cellStyle name="Normal 2 3 3" xfId="28407" xr:uid="{00000000-0005-0000-0000-0000F76E0000}"/>
    <cellStyle name="Normal 2 3 3 10" xfId="28408" xr:uid="{00000000-0005-0000-0000-0000F86E0000}"/>
    <cellStyle name="Normal 2 3 3 11" xfId="28409" xr:uid="{00000000-0005-0000-0000-0000F96E0000}"/>
    <cellStyle name="Normal 2 3 3 12" xfId="28410" xr:uid="{00000000-0005-0000-0000-0000FA6E0000}"/>
    <cellStyle name="Normal 2 3 3 13" xfId="28411" xr:uid="{00000000-0005-0000-0000-0000FB6E0000}"/>
    <cellStyle name="Normal 2 3 3 14" xfId="28412" xr:uid="{00000000-0005-0000-0000-0000FC6E0000}"/>
    <cellStyle name="Normal 2 3 3 15" xfId="28413" xr:uid="{00000000-0005-0000-0000-0000FD6E0000}"/>
    <cellStyle name="Normal 2 3 3 16" xfId="28414" xr:uid="{00000000-0005-0000-0000-0000FE6E0000}"/>
    <cellStyle name="Normal 2 3 3 2" xfId="28415" xr:uid="{00000000-0005-0000-0000-0000FF6E0000}"/>
    <cellStyle name="Normal 2 3 3 2 10" xfId="28416" xr:uid="{00000000-0005-0000-0000-0000006F0000}"/>
    <cellStyle name="Normal 2 3 3 2 2" xfId="28417" xr:uid="{00000000-0005-0000-0000-0000016F0000}"/>
    <cellStyle name="Normal 2 3 3 2 3" xfId="28418" xr:uid="{00000000-0005-0000-0000-0000026F0000}"/>
    <cellStyle name="Normal 2 3 3 2 4" xfId="28419" xr:uid="{00000000-0005-0000-0000-0000036F0000}"/>
    <cellStyle name="Normal 2 3 3 2 5" xfId="28420" xr:uid="{00000000-0005-0000-0000-0000046F0000}"/>
    <cellStyle name="Normal 2 3 3 2 6" xfId="28421" xr:uid="{00000000-0005-0000-0000-0000056F0000}"/>
    <cellStyle name="Normal 2 3 3 2 7" xfId="28422" xr:uid="{00000000-0005-0000-0000-0000066F0000}"/>
    <cellStyle name="Normal 2 3 3 2 8" xfId="28423" xr:uid="{00000000-0005-0000-0000-0000076F0000}"/>
    <cellStyle name="Normal 2 3 3 2 9" xfId="28424" xr:uid="{00000000-0005-0000-0000-0000086F0000}"/>
    <cellStyle name="Normal 2 3 3 3" xfId="28425" xr:uid="{00000000-0005-0000-0000-0000096F0000}"/>
    <cellStyle name="Normal 2 3 3 3 10" xfId="28426" xr:uid="{00000000-0005-0000-0000-00000A6F0000}"/>
    <cellStyle name="Normal 2 3 3 3 2" xfId="28427" xr:uid="{00000000-0005-0000-0000-00000B6F0000}"/>
    <cellStyle name="Normal 2 3 3 3 3" xfId="28428" xr:uid="{00000000-0005-0000-0000-00000C6F0000}"/>
    <cellStyle name="Normal 2 3 3 3 4" xfId="28429" xr:uid="{00000000-0005-0000-0000-00000D6F0000}"/>
    <cellStyle name="Normal 2 3 3 3 5" xfId="28430" xr:uid="{00000000-0005-0000-0000-00000E6F0000}"/>
    <cellStyle name="Normal 2 3 3 3 6" xfId="28431" xr:uid="{00000000-0005-0000-0000-00000F6F0000}"/>
    <cellStyle name="Normal 2 3 3 3 7" xfId="28432" xr:uid="{00000000-0005-0000-0000-0000106F0000}"/>
    <cellStyle name="Normal 2 3 3 3 8" xfId="28433" xr:uid="{00000000-0005-0000-0000-0000116F0000}"/>
    <cellStyle name="Normal 2 3 3 3 9" xfId="28434" xr:uid="{00000000-0005-0000-0000-0000126F0000}"/>
    <cellStyle name="Normal 2 3 3 4" xfId="28435" xr:uid="{00000000-0005-0000-0000-0000136F0000}"/>
    <cellStyle name="Normal 2 3 3 4 10" xfId="28436" xr:uid="{00000000-0005-0000-0000-0000146F0000}"/>
    <cellStyle name="Normal 2 3 3 4 2" xfId="28437" xr:uid="{00000000-0005-0000-0000-0000156F0000}"/>
    <cellStyle name="Normal 2 3 3 4 3" xfId="28438" xr:uid="{00000000-0005-0000-0000-0000166F0000}"/>
    <cellStyle name="Normal 2 3 3 4 4" xfId="28439" xr:uid="{00000000-0005-0000-0000-0000176F0000}"/>
    <cellStyle name="Normal 2 3 3 4 5" xfId="28440" xr:uid="{00000000-0005-0000-0000-0000186F0000}"/>
    <cellStyle name="Normal 2 3 3 4 6" xfId="28441" xr:uid="{00000000-0005-0000-0000-0000196F0000}"/>
    <cellStyle name="Normal 2 3 3 4 7" xfId="28442" xr:uid="{00000000-0005-0000-0000-00001A6F0000}"/>
    <cellStyle name="Normal 2 3 3 4 8" xfId="28443" xr:uid="{00000000-0005-0000-0000-00001B6F0000}"/>
    <cellStyle name="Normal 2 3 3 4 9" xfId="28444" xr:uid="{00000000-0005-0000-0000-00001C6F0000}"/>
    <cellStyle name="Normal 2 3 3 5" xfId="28445" xr:uid="{00000000-0005-0000-0000-00001D6F0000}"/>
    <cellStyle name="Normal 2 3 3 5 10" xfId="28446" xr:uid="{00000000-0005-0000-0000-00001E6F0000}"/>
    <cellStyle name="Normal 2 3 3 5 2" xfId="28447" xr:uid="{00000000-0005-0000-0000-00001F6F0000}"/>
    <cellStyle name="Normal 2 3 3 5 3" xfId="28448" xr:uid="{00000000-0005-0000-0000-0000206F0000}"/>
    <cellStyle name="Normal 2 3 3 5 4" xfId="28449" xr:uid="{00000000-0005-0000-0000-0000216F0000}"/>
    <cellStyle name="Normal 2 3 3 5 5" xfId="28450" xr:uid="{00000000-0005-0000-0000-0000226F0000}"/>
    <cellStyle name="Normal 2 3 3 5 6" xfId="28451" xr:uid="{00000000-0005-0000-0000-0000236F0000}"/>
    <cellStyle name="Normal 2 3 3 5 7" xfId="28452" xr:uid="{00000000-0005-0000-0000-0000246F0000}"/>
    <cellStyle name="Normal 2 3 3 5 8" xfId="28453" xr:uid="{00000000-0005-0000-0000-0000256F0000}"/>
    <cellStyle name="Normal 2 3 3 5 9" xfId="28454" xr:uid="{00000000-0005-0000-0000-0000266F0000}"/>
    <cellStyle name="Normal 2 3 3 6" xfId="28455" xr:uid="{00000000-0005-0000-0000-0000276F0000}"/>
    <cellStyle name="Normal 2 3 3 7" xfId="28456" xr:uid="{00000000-0005-0000-0000-0000286F0000}"/>
    <cellStyle name="Normal 2 3 3 8" xfId="28457" xr:uid="{00000000-0005-0000-0000-0000296F0000}"/>
    <cellStyle name="Normal 2 3 3 9" xfId="28458" xr:uid="{00000000-0005-0000-0000-00002A6F0000}"/>
    <cellStyle name="Normal 2 3 30" xfId="28459" xr:uid="{00000000-0005-0000-0000-00002B6F0000}"/>
    <cellStyle name="Normal 2 3 30 10" xfId="28460" xr:uid="{00000000-0005-0000-0000-00002C6F0000}"/>
    <cellStyle name="Normal 2 3 30 11" xfId="28461" xr:uid="{00000000-0005-0000-0000-00002D6F0000}"/>
    <cellStyle name="Normal 2 3 30 12" xfId="28462" xr:uid="{00000000-0005-0000-0000-00002E6F0000}"/>
    <cellStyle name="Normal 2 3 30 13" xfId="28463" xr:uid="{00000000-0005-0000-0000-00002F6F0000}"/>
    <cellStyle name="Normal 2 3 30 14" xfId="28464" xr:uid="{00000000-0005-0000-0000-0000306F0000}"/>
    <cellStyle name="Normal 2 3 30 2" xfId="28465" xr:uid="{00000000-0005-0000-0000-0000316F0000}"/>
    <cellStyle name="Normal 2 3 30 2 10" xfId="28466" xr:uid="{00000000-0005-0000-0000-0000326F0000}"/>
    <cellStyle name="Normal 2 3 30 2 2" xfId="28467" xr:uid="{00000000-0005-0000-0000-0000336F0000}"/>
    <cellStyle name="Normal 2 3 30 2 3" xfId="28468" xr:uid="{00000000-0005-0000-0000-0000346F0000}"/>
    <cellStyle name="Normal 2 3 30 2 4" xfId="28469" xr:uid="{00000000-0005-0000-0000-0000356F0000}"/>
    <cellStyle name="Normal 2 3 30 2 5" xfId="28470" xr:uid="{00000000-0005-0000-0000-0000366F0000}"/>
    <cellStyle name="Normal 2 3 30 2 6" xfId="28471" xr:uid="{00000000-0005-0000-0000-0000376F0000}"/>
    <cellStyle name="Normal 2 3 30 2 7" xfId="28472" xr:uid="{00000000-0005-0000-0000-0000386F0000}"/>
    <cellStyle name="Normal 2 3 30 2 8" xfId="28473" xr:uid="{00000000-0005-0000-0000-0000396F0000}"/>
    <cellStyle name="Normal 2 3 30 2 9" xfId="28474" xr:uid="{00000000-0005-0000-0000-00003A6F0000}"/>
    <cellStyle name="Normal 2 3 30 3" xfId="28475" xr:uid="{00000000-0005-0000-0000-00003B6F0000}"/>
    <cellStyle name="Normal 2 3 30 3 10" xfId="28476" xr:uid="{00000000-0005-0000-0000-00003C6F0000}"/>
    <cellStyle name="Normal 2 3 30 3 2" xfId="28477" xr:uid="{00000000-0005-0000-0000-00003D6F0000}"/>
    <cellStyle name="Normal 2 3 30 3 3" xfId="28478" xr:uid="{00000000-0005-0000-0000-00003E6F0000}"/>
    <cellStyle name="Normal 2 3 30 3 4" xfId="28479" xr:uid="{00000000-0005-0000-0000-00003F6F0000}"/>
    <cellStyle name="Normal 2 3 30 3 5" xfId="28480" xr:uid="{00000000-0005-0000-0000-0000406F0000}"/>
    <cellStyle name="Normal 2 3 30 3 6" xfId="28481" xr:uid="{00000000-0005-0000-0000-0000416F0000}"/>
    <cellStyle name="Normal 2 3 30 3 7" xfId="28482" xr:uid="{00000000-0005-0000-0000-0000426F0000}"/>
    <cellStyle name="Normal 2 3 30 3 8" xfId="28483" xr:uid="{00000000-0005-0000-0000-0000436F0000}"/>
    <cellStyle name="Normal 2 3 30 3 9" xfId="28484" xr:uid="{00000000-0005-0000-0000-0000446F0000}"/>
    <cellStyle name="Normal 2 3 30 4" xfId="28485" xr:uid="{00000000-0005-0000-0000-0000456F0000}"/>
    <cellStyle name="Normal 2 3 30 4 10" xfId="28486" xr:uid="{00000000-0005-0000-0000-0000466F0000}"/>
    <cellStyle name="Normal 2 3 30 4 2" xfId="28487" xr:uid="{00000000-0005-0000-0000-0000476F0000}"/>
    <cellStyle name="Normal 2 3 30 4 3" xfId="28488" xr:uid="{00000000-0005-0000-0000-0000486F0000}"/>
    <cellStyle name="Normal 2 3 30 4 4" xfId="28489" xr:uid="{00000000-0005-0000-0000-0000496F0000}"/>
    <cellStyle name="Normal 2 3 30 4 5" xfId="28490" xr:uid="{00000000-0005-0000-0000-00004A6F0000}"/>
    <cellStyle name="Normal 2 3 30 4 6" xfId="28491" xr:uid="{00000000-0005-0000-0000-00004B6F0000}"/>
    <cellStyle name="Normal 2 3 30 4 7" xfId="28492" xr:uid="{00000000-0005-0000-0000-00004C6F0000}"/>
    <cellStyle name="Normal 2 3 30 4 8" xfId="28493" xr:uid="{00000000-0005-0000-0000-00004D6F0000}"/>
    <cellStyle name="Normal 2 3 30 4 9" xfId="28494" xr:uid="{00000000-0005-0000-0000-00004E6F0000}"/>
    <cellStyle name="Normal 2 3 30 5" xfId="28495" xr:uid="{00000000-0005-0000-0000-00004F6F0000}"/>
    <cellStyle name="Normal 2 3 30 5 10" xfId="28496" xr:uid="{00000000-0005-0000-0000-0000506F0000}"/>
    <cellStyle name="Normal 2 3 30 5 2" xfId="28497" xr:uid="{00000000-0005-0000-0000-0000516F0000}"/>
    <cellStyle name="Normal 2 3 30 5 3" xfId="28498" xr:uid="{00000000-0005-0000-0000-0000526F0000}"/>
    <cellStyle name="Normal 2 3 30 5 4" xfId="28499" xr:uid="{00000000-0005-0000-0000-0000536F0000}"/>
    <cellStyle name="Normal 2 3 30 5 5" xfId="28500" xr:uid="{00000000-0005-0000-0000-0000546F0000}"/>
    <cellStyle name="Normal 2 3 30 5 6" xfId="28501" xr:uid="{00000000-0005-0000-0000-0000556F0000}"/>
    <cellStyle name="Normal 2 3 30 5 7" xfId="28502" xr:uid="{00000000-0005-0000-0000-0000566F0000}"/>
    <cellStyle name="Normal 2 3 30 5 8" xfId="28503" xr:uid="{00000000-0005-0000-0000-0000576F0000}"/>
    <cellStyle name="Normal 2 3 30 5 9" xfId="28504" xr:uid="{00000000-0005-0000-0000-0000586F0000}"/>
    <cellStyle name="Normal 2 3 30 6" xfId="28505" xr:uid="{00000000-0005-0000-0000-0000596F0000}"/>
    <cellStyle name="Normal 2 3 30 7" xfId="28506" xr:uid="{00000000-0005-0000-0000-00005A6F0000}"/>
    <cellStyle name="Normal 2 3 30 8" xfId="28507" xr:uid="{00000000-0005-0000-0000-00005B6F0000}"/>
    <cellStyle name="Normal 2 3 30 9" xfId="28508" xr:uid="{00000000-0005-0000-0000-00005C6F0000}"/>
    <cellStyle name="Normal 2 3 31" xfId="28509" xr:uid="{00000000-0005-0000-0000-00005D6F0000}"/>
    <cellStyle name="Normal 2 3 31 10" xfId="28510" xr:uid="{00000000-0005-0000-0000-00005E6F0000}"/>
    <cellStyle name="Normal 2 3 31 11" xfId="28511" xr:uid="{00000000-0005-0000-0000-00005F6F0000}"/>
    <cellStyle name="Normal 2 3 31 12" xfId="28512" xr:uid="{00000000-0005-0000-0000-0000606F0000}"/>
    <cellStyle name="Normal 2 3 31 13" xfId="28513" xr:uid="{00000000-0005-0000-0000-0000616F0000}"/>
    <cellStyle name="Normal 2 3 31 14" xfId="28514" xr:uid="{00000000-0005-0000-0000-0000626F0000}"/>
    <cellStyle name="Normal 2 3 31 2" xfId="28515" xr:uid="{00000000-0005-0000-0000-0000636F0000}"/>
    <cellStyle name="Normal 2 3 31 2 10" xfId="28516" xr:uid="{00000000-0005-0000-0000-0000646F0000}"/>
    <cellStyle name="Normal 2 3 31 2 2" xfId="28517" xr:uid="{00000000-0005-0000-0000-0000656F0000}"/>
    <cellStyle name="Normal 2 3 31 2 3" xfId="28518" xr:uid="{00000000-0005-0000-0000-0000666F0000}"/>
    <cellStyle name="Normal 2 3 31 2 4" xfId="28519" xr:uid="{00000000-0005-0000-0000-0000676F0000}"/>
    <cellStyle name="Normal 2 3 31 2 5" xfId="28520" xr:uid="{00000000-0005-0000-0000-0000686F0000}"/>
    <cellStyle name="Normal 2 3 31 2 6" xfId="28521" xr:uid="{00000000-0005-0000-0000-0000696F0000}"/>
    <cellStyle name="Normal 2 3 31 2 7" xfId="28522" xr:uid="{00000000-0005-0000-0000-00006A6F0000}"/>
    <cellStyle name="Normal 2 3 31 2 8" xfId="28523" xr:uid="{00000000-0005-0000-0000-00006B6F0000}"/>
    <cellStyle name="Normal 2 3 31 2 9" xfId="28524" xr:uid="{00000000-0005-0000-0000-00006C6F0000}"/>
    <cellStyle name="Normal 2 3 31 3" xfId="28525" xr:uid="{00000000-0005-0000-0000-00006D6F0000}"/>
    <cellStyle name="Normal 2 3 31 3 10" xfId="28526" xr:uid="{00000000-0005-0000-0000-00006E6F0000}"/>
    <cellStyle name="Normal 2 3 31 3 2" xfId="28527" xr:uid="{00000000-0005-0000-0000-00006F6F0000}"/>
    <cellStyle name="Normal 2 3 31 3 3" xfId="28528" xr:uid="{00000000-0005-0000-0000-0000706F0000}"/>
    <cellStyle name="Normal 2 3 31 3 4" xfId="28529" xr:uid="{00000000-0005-0000-0000-0000716F0000}"/>
    <cellStyle name="Normal 2 3 31 3 5" xfId="28530" xr:uid="{00000000-0005-0000-0000-0000726F0000}"/>
    <cellStyle name="Normal 2 3 31 3 6" xfId="28531" xr:uid="{00000000-0005-0000-0000-0000736F0000}"/>
    <cellStyle name="Normal 2 3 31 3 7" xfId="28532" xr:uid="{00000000-0005-0000-0000-0000746F0000}"/>
    <cellStyle name="Normal 2 3 31 3 8" xfId="28533" xr:uid="{00000000-0005-0000-0000-0000756F0000}"/>
    <cellStyle name="Normal 2 3 31 3 9" xfId="28534" xr:uid="{00000000-0005-0000-0000-0000766F0000}"/>
    <cellStyle name="Normal 2 3 31 4" xfId="28535" xr:uid="{00000000-0005-0000-0000-0000776F0000}"/>
    <cellStyle name="Normal 2 3 31 4 10" xfId="28536" xr:uid="{00000000-0005-0000-0000-0000786F0000}"/>
    <cellStyle name="Normal 2 3 31 4 2" xfId="28537" xr:uid="{00000000-0005-0000-0000-0000796F0000}"/>
    <cellStyle name="Normal 2 3 31 4 3" xfId="28538" xr:uid="{00000000-0005-0000-0000-00007A6F0000}"/>
    <cellStyle name="Normal 2 3 31 4 4" xfId="28539" xr:uid="{00000000-0005-0000-0000-00007B6F0000}"/>
    <cellStyle name="Normal 2 3 31 4 5" xfId="28540" xr:uid="{00000000-0005-0000-0000-00007C6F0000}"/>
    <cellStyle name="Normal 2 3 31 4 6" xfId="28541" xr:uid="{00000000-0005-0000-0000-00007D6F0000}"/>
    <cellStyle name="Normal 2 3 31 4 7" xfId="28542" xr:uid="{00000000-0005-0000-0000-00007E6F0000}"/>
    <cellStyle name="Normal 2 3 31 4 8" xfId="28543" xr:uid="{00000000-0005-0000-0000-00007F6F0000}"/>
    <cellStyle name="Normal 2 3 31 4 9" xfId="28544" xr:uid="{00000000-0005-0000-0000-0000806F0000}"/>
    <cellStyle name="Normal 2 3 31 5" xfId="28545" xr:uid="{00000000-0005-0000-0000-0000816F0000}"/>
    <cellStyle name="Normal 2 3 31 5 10" xfId="28546" xr:uid="{00000000-0005-0000-0000-0000826F0000}"/>
    <cellStyle name="Normal 2 3 31 5 2" xfId="28547" xr:uid="{00000000-0005-0000-0000-0000836F0000}"/>
    <cellStyle name="Normal 2 3 31 5 3" xfId="28548" xr:uid="{00000000-0005-0000-0000-0000846F0000}"/>
    <cellStyle name="Normal 2 3 31 5 4" xfId="28549" xr:uid="{00000000-0005-0000-0000-0000856F0000}"/>
    <cellStyle name="Normal 2 3 31 5 5" xfId="28550" xr:uid="{00000000-0005-0000-0000-0000866F0000}"/>
    <cellStyle name="Normal 2 3 31 5 6" xfId="28551" xr:uid="{00000000-0005-0000-0000-0000876F0000}"/>
    <cellStyle name="Normal 2 3 31 5 7" xfId="28552" xr:uid="{00000000-0005-0000-0000-0000886F0000}"/>
    <cellStyle name="Normal 2 3 31 5 8" xfId="28553" xr:uid="{00000000-0005-0000-0000-0000896F0000}"/>
    <cellStyle name="Normal 2 3 31 5 9" xfId="28554" xr:uid="{00000000-0005-0000-0000-00008A6F0000}"/>
    <cellStyle name="Normal 2 3 31 6" xfId="28555" xr:uid="{00000000-0005-0000-0000-00008B6F0000}"/>
    <cellStyle name="Normal 2 3 31 7" xfId="28556" xr:uid="{00000000-0005-0000-0000-00008C6F0000}"/>
    <cellStyle name="Normal 2 3 31 8" xfId="28557" xr:uid="{00000000-0005-0000-0000-00008D6F0000}"/>
    <cellStyle name="Normal 2 3 31 9" xfId="28558" xr:uid="{00000000-0005-0000-0000-00008E6F0000}"/>
    <cellStyle name="Normal 2 3 32" xfId="28559" xr:uid="{00000000-0005-0000-0000-00008F6F0000}"/>
    <cellStyle name="Normal 2 3 32 10" xfId="28560" xr:uid="{00000000-0005-0000-0000-0000906F0000}"/>
    <cellStyle name="Normal 2 3 32 11" xfId="28561" xr:uid="{00000000-0005-0000-0000-0000916F0000}"/>
    <cellStyle name="Normal 2 3 32 12" xfId="28562" xr:uid="{00000000-0005-0000-0000-0000926F0000}"/>
    <cellStyle name="Normal 2 3 32 13" xfId="28563" xr:uid="{00000000-0005-0000-0000-0000936F0000}"/>
    <cellStyle name="Normal 2 3 32 14" xfId="28564" xr:uid="{00000000-0005-0000-0000-0000946F0000}"/>
    <cellStyle name="Normal 2 3 32 2" xfId="28565" xr:uid="{00000000-0005-0000-0000-0000956F0000}"/>
    <cellStyle name="Normal 2 3 32 2 10" xfId="28566" xr:uid="{00000000-0005-0000-0000-0000966F0000}"/>
    <cellStyle name="Normal 2 3 32 2 2" xfId="28567" xr:uid="{00000000-0005-0000-0000-0000976F0000}"/>
    <cellStyle name="Normal 2 3 32 2 3" xfId="28568" xr:uid="{00000000-0005-0000-0000-0000986F0000}"/>
    <cellStyle name="Normal 2 3 32 2 4" xfId="28569" xr:uid="{00000000-0005-0000-0000-0000996F0000}"/>
    <cellStyle name="Normal 2 3 32 2 5" xfId="28570" xr:uid="{00000000-0005-0000-0000-00009A6F0000}"/>
    <cellStyle name="Normal 2 3 32 2 6" xfId="28571" xr:uid="{00000000-0005-0000-0000-00009B6F0000}"/>
    <cellStyle name="Normal 2 3 32 2 7" xfId="28572" xr:uid="{00000000-0005-0000-0000-00009C6F0000}"/>
    <cellStyle name="Normal 2 3 32 2 8" xfId="28573" xr:uid="{00000000-0005-0000-0000-00009D6F0000}"/>
    <cellStyle name="Normal 2 3 32 2 9" xfId="28574" xr:uid="{00000000-0005-0000-0000-00009E6F0000}"/>
    <cellStyle name="Normal 2 3 32 3" xfId="28575" xr:uid="{00000000-0005-0000-0000-00009F6F0000}"/>
    <cellStyle name="Normal 2 3 32 3 10" xfId="28576" xr:uid="{00000000-0005-0000-0000-0000A06F0000}"/>
    <cellStyle name="Normal 2 3 32 3 2" xfId="28577" xr:uid="{00000000-0005-0000-0000-0000A16F0000}"/>
    <cellStyle name="Normal 2 3 32 3 3" xfId="28578" xr:uid="{00000000-0005-0000-0000-0000A26F0000}"/>
    <cellStyle name="Normal 2 3 32 3 4" xfId="28579" xr:uid="{00000000-0005-0000-0000-0000A36F0000}"/>
    <cellStyle name="Normal 2 3 32 3 5" xfId="28580" xr:uid="{00000000-0005-0000-0000-0000A46F0000}"/>
    <cellStyle name="Normal 2 3 32 3 6" xfId="28581" xr:uid="{00000000-0005-0000-0000-0000A56F0000}"/>
    <cellStyle name="Normal 2 3 32 3 7" xfId="28582" xr:uid="{00000000-0005-0000-0000-0000A66F0000}"/>
    <cellStyle name="Normal 2 3 32 3 8" xfId="28583" xr:uid="{00000000-0005-0000-0000-0000A76F0000}"/>
    <cellStyle name="Normal 2 3 32 3 9" xfId="28584" xr:uid="{00000000-0005-0000-0000-0000A86F0000}"/>
    <cellStyle name="Normal 2 3 32 4" xfId="28585" xr:uid="{00000000-0005-0000-0000-0000A96F0000}"/>
    <cellStyle name="Normal 2 3 32 4 10" xfId="28586" xr:uid="{00000000-0005-0000-0000-0000AA6F0000}"/>
    <cellStyle name="Normal 2 3 32 4 2" xfId="28587" xr:uid="{00000000-0005-0000-0000-0000AB6F0000}"/>
    <cellStyle name="Normal 2 3 32 4 3" xfId="28588" xr:uid="{00000000-0005-0000-0000-0000AC6F0000}"/>
    <cellStyle name="Normal 2 3 32 4 4" xfId="28589" xr:uid="{00000000-0005-0000-0000-0000AD6F0000}"/>
    <cellStyle name="Normal 2 3 32 4 5" xfId="28590" xr:uid="{00000000-0005-0000-0000-0000AE6F0000}"/>
    <cellStyle name="Normal 2 3 32 4 6" xfId="28591" xr:uid="{00000000-0005-0000-0000-0000AF6F0000}"/>
    <cellStyle name="Normal 2 3 32 4 7" xfId="28592" xr:uid="{00000000-0005-0000-0000-0000B06F0000}"/>
    <cellStyle name="Normal 2 3 32 4 8" xfId="28593" xr:uid="{00000000-0005-0000-0000-0000B16F0000}"/>
    <cellStyle name="Normal 2 3 32 4 9" xfId="28594" xr:uid="{00000000-0005-0000-0000-0000B26F0000}"/>
    <cellStyle name="Normal 2 3 32 5" xfId="28595" xr:uid="{00000000-0005-0000-0000-0000B36F0000}"/>
    <cellStyle name="Normal 2 3 32 5 10" xfId="28596" xr:uid="{00000000-0005-0000-0000-0000B46F0000}"/>
    <cellStyle name="Normal 2 3 32 5 2" xfId="28597" xr:uid="{00000000-0005-0000-0000-0000B56F0000}"/>
    <cellStyle name="Normal 2 3 32 5 3" xfId="28598" xr:uid="{00000000-0005-0000-0000-0000B66F0000}"/>
    <cellStyle name="Normal 2 3 32 5 4" xfId="28599" xr:uid="{00000000-0005-0000-0000-0000B76F0000}"/>
    <cellStyle name="Normal 2 3 32 5 5" xfId="28600" xr:uid="{00000000-0005-0000-0000-0000B86F0000}"/>
    <cellStyle name="Normal 2 3 32 5 6" xfId="28601" xr:uid="{00000000-0005-0000-0000-0000B96F0000}"/>
    <cellStyle name="Normal 2 3 32 5 7" xfId="28602" xr:uid="{00000000-0005-0000-0000-0000BA6F0000}"/>
    <cellStyle name="Normal 2 3 32 5 8" xfId="28603" xr:uid="{00000000-0005-0000-0000-0000BB6F0000}"/>
    <cellStyle name="Normal 2 3 32 5 9" xfId="28604" xr:uid="{00000000-0005-0000-0000-0000BC6F0000}"/>
    <cellStyle name="Normal 2 3 32 6" xfId="28605" xr:uid="{00000000-0005-0000-0000-0000BD6F0000}"/>
    <cellStyle name="Normal 2 3 32 7" xfId="28606" xr:uid="{00000000-0005-0000-0000-0000BE6F0000}"/>
    <cellStyle name="Normal 2 3 32 8" xfId="28607" xr:uid="{00000000-0005-0000-0000-0000BF6F0000}"/>
    <cellStyle name="Normal 2 3 32 9" xfId="28608" xr:uid="{00000000-0005-0000-0000-0000C06F0000}"/>
    <cellStyle name="Normal 2 3 33" xfId="28609" xr:uid="{00000000-0005-0000-0000-0000C16F0000}"/>
    <cellStyle name="Normal 2 3 33 10" xfId="28610" xr:uid="{00000000-0005-0000-0000-0000C26F0000}"/>
    <cellStyle name="Normal 2 3 33 11" xfId="28611" xr:uid="{00000000-0005-0000-0000-0000C36F0000}"/>
    <cellStyle name="Normal 2 3 33 12" xfId="28612" xr:uid="{00000000-0005-0000-0000-0000C46F0000}"/>
    <cellStyle name="Normal 2 3 33 13" xfId="28613" xr:uid="{00000000-0005-0000-0000-0000C56F0000}"/>
    <cellStyle name="Normal 2 3 33 14" xfId="28614" xr:uid="{00000000-0005-0000-0000-0000C66F0000}"/>
    <cellStyle name="Normal 2 3 33 2" xfId="28615" xr:uid="{00000000-0005-0000-0000-0000C76F0000}"/>
    <cellStyle name="Normal 2 3 33 2 10" xfId="28616" xr:uid="{00000000-0005-0000-0000-0000C86F0000}"/>
    <cellStyle name="Normal 2 3 33 2 2" xfId="28617" xr:uid="{00000000-0005-0000-0000-0000C96F0000}"/>
    <cellStyle name="Normal 2 3 33 2 3" xfId="28618" xr:uid="{00000000-0005-0000-0000-0000CA6F0000}"/>
    <cellStyle name="Normal 2 3 33 2 4" xfId="28619" xr:uid="{00000000-0005-0000-0000-0000CB6F0000}"/>
    <cellStyle name="Normal 2 3 33 2 5" xfId="28620" xr:uid="{00000000-0005-0000-0000-0000CC6F0000}"/>
    <cellStyle name="Normal 2 3 33 2 6" xfId="28621" xr:uid="{00000000-0005-0000-0000-0000CD6F0000}"/>
    <cellStyle name="Normal 2 3 33 2 7" xfId="28622" xr:uid="{00000000-0005-0000-0000-0000CE6F0000}"/>
    <cellStyle name="Normal 2 3 33 2 8" xfId="28623" xr:uid="{00000000-0005-0000-0000-0000CF6F0000}"/>
    <cellStyle name="Normal 2 3 33 2 9" xfId="28624" xr:uid="{00000000-0005-0000-0000-0000D06F0000}"/>
    <cellStyle name="Normal 2 3 33 3" xfId="28625" xr:uid="{00000000-0005-0000-0000-0000D16F0000}"/>
    <cellStyle name="Normal 2 3 33 3 10" xfId="28626" xr:uid="{00000000-0005-0000-0000-0000D26F0000}"/>
    <cellStyle name="Normal 2 3 33 3 2" xfId="28627" xr:uid="{00000000-0005-0000-0000-0000D36F0000}"/>
    <cellStyle name="Normal 2 3 33 3 3" xfId="28628" xr:uid="{00000000-0005-0000-0000-0000D46F0000}"/>
    <cellStyle name="Normal 2 3 33 3 4" xfId="28629" xr:uid="{00000000-0005-0000-0000-0000D56F0000}"/>
    <cellStyle name="Normal 2 3 33 3 5" xfId="28630" xr:uid="{00000000-0005-0000-0000-0000D66F0000}"/>
    <cellStyle name="Normal 2 3 33 3 6" xfId="28631" xr:uid="{00000000-0005-0000-0000-0000D76F0000}"/>
    <cellStyle name="Normal 2 3 33 3 7" xfId="28632" xr:uid="{00000000-0005-0000-0000-0000D86F0000}"/>
    <cellStyle name="Normal 2 3 33 3 8" xfId="28633" xr:uid="{00000000-0005-0000-0000-0000D96F0000}"/>
    <cellStyle name="Normal 2 3 33 3 9" xfId="28634" xr:uid="{00000000-0005-0000-0000-0000DA6F0000}"/>
    <cellStyle name="Normal 2 3 33 4" xfId="28635" xr:uid="{00000000-0005-0000-0000-0000DB6F0000}"/>
    <cellStyle name="Normal 2 3 33 4 10" xfId="28636" xr:uid="{00000000-0005-0000-0000-0000DC6F0000}"/>
    <cellStyle name="Normal 2 3 33 4 2" xfId="28637" xr:uid="{00000000-0005-0000-0000-0000DD6F0000}"/>
    <cellStyle name="Normal 2 3 33 4 3" xfId="28638" xr:uid="{00000000-0005-0000-0000-0000DE6F0000}"/>
    <cellStyle name="Normal 2 3 33 4 4" xfId="28639" xr:uid="{00000000-0005-0000-0000-0000DF6F0000}"/>
    <cellStyle name="Normal 2 3 33 4 5" xfId="28640" xr:uid="{00000000-0005-0000-0000-0000E06F0000}"/>
    <cellStyle name="Normal 2 3 33 4 6" xfId="28641" xr:uid="{00000000-0005-0000-0000-0000E16F0000}"/>
    <cellStyle name="Normal 2 3 33 4 7" xfId="28642" xr:uid="{00000000-0005-0000-0000-0000E26F0000}"/>
    <cellStyle name="Normal 2 3 33 4 8" xfId="28643" xr:uid="{00000000-0005-0000-0000-0000E36F0000}"/>
    <cellStyle name="Normal 2 3 33 4 9" xfId="28644" xr:uid="{00000000-0005-0000-0000-0000E46F0000}"/>
    <cellStyle name="Normal 2 3 33 5" xfId="28645" xr:uid="{00000000-0005-0000-0000-0000E56F0000}"/>
    <cellStyle name="Normal 2 3 33 5 10" xfId="28646" xr:uid="{00000000-0005-0000-0000-0000E66F0000}"/>
    <cellStyle name="Normal 2 3 33 5 2" xfId="28647" xr:uid="{00000000-0005-0000-0000-0000E76F0000}"/>
    <cellStyle name="Normal 2 3 33 5 3" xfId="28648" xr:uid="{00000000-0005-0000-0000-0000E86F0000}"/>
    <cellStyle name="Normal 2 3 33 5 4" xfId="28649" xr:uid="{00000000-0005-0000-0000-0000E96F0000}"/>
    <cellStyle name="Normal 2 3 33 5 5" xfId="28650" xr:uid="{00000000-0005-0000-0000-0000EA6F0000}"/>
    <cellStyle name="Normal 2 3 33 5 6" xfId="28651" xr:uid="{00000000-0005-0000-0000-0000EB6F0000}"/>
    <cellStyle name="Normal 2 3 33 5 7" xfId="28652" xr:uid="{00000000-0005-0000-0000-0000EC6F0000}"/>
    <cellStyle name="Normal 2 3 33 5 8" xfId="28653" xr:uid="{00000000-0005-0000-0000-0000ED6F0000}"/>
    <cellStyle name="Normal 2 3 33 5 9" xfId="28654" xr:uid="{00000000-0005-0000-0000-0000EE6F0000}"/>
    <cellStyle name="Normal 2 3 33 6" xfId="28655" xr:uid="{00000000-0005-0000-0000-0000EF6F0000}"/>
    <cellStyle name="Normal 2 3 33 7" xfId="28656" xr:uid="{00000000-0005-0000-0000-0000F06F0000}"/>
    <cellStyle name="Normal 2 3 33 8" xfId="28657" xr:uid="{00000000-0005-0000-0000-0000F16F0000}"/>
    <cellStyle name="Normal 2 3 33 9" xfId="28658" xr:uid="{00000000-0005-0000-0000-0000F26F0000}"/>
    <cellStyle name="Normal 2 3 34" xfId="28659" xr:uid="{00000000-0005-0000-0000-0000F36F0000}"/>
    <cellStyle name="Normal 2 3 34 10" xfId="28660" xr:uid="{00000000-0005-0000-0000-0000F46F0000}"/>
    <cellStyle name="Normal 2 3 34 11" xfId="28661" xr:uid="{00000000-0005-0000-0000-0000F56F0000}"/>
    <cellStyle name="Normal 2 3 34 12" xfId="28662" xr:uid="{00000000-0005-0000-0000-0000F66F0000}"/>
    <cellStyle name="Normal 2 3 34 13" xfId="28663" xr:uid="{00000000-0005-0000-0000-0000F76F0000}"/>
    <cellStyle name="Normal 2 3 34 14" xfId="28664" xr:uid="{00000000-0005-0000-0000-0000F86F0000}"/>
    <cellStyle name="Normal 2 3 34 2" xfId="28665" xr:uid="{00000000-0005-0000-0000-0000F96F0000}"/>
    <cellStyle name="Normal 2 3 34 2 10" xfId="28666" xr:uid="{00000000-0005-0000-0000-0000FA6F0000}"/>
    <cellStyle name="Normal 2 3 34 2 2" xfId="28667" xr:uid="{00000000-0005-0000-0000-0000FB6F0000}"/>
    <cellStyle name="Normal 2 3 34 2 3" xfId="28668" xr:uid="{00000000-0005-0000-0000-0000FC6F0000}"/>
    <cellStyle name="Normal 2 3 34 2 4" xfId="28669" xr:uid="{00000000-0005-0000-0000-0000FD6F0000}"/>
    <cellStyle name="Normal 2 3 34 2 5" xfId="28670" xr:uid="{00000000-0005-0000-0000-0000FE6F0000}"/>
    <cellStyle name="Normal 2 3 34 2 6" xfId="28671" xr:uid="{00000000-0005-0000-0000-0000FF6F0000}"/>
    <cellStyle name="Normal 2 3 34 2 7" xfId="28672" xr:uid="{00000000-0005-0000-0000-000000700000}"/>
    <cellStyle name="Normal 2 3 34 2 8" xfId="28673" xr:uid="{00000000-0005-0000-0000-000001700000}"/>
    <cellStyle name="Normal 2 3 34 2 9" xfId="28674" xr:uid="{00000000-0005-0000-0000-000002700000}"/>
    <cellStyle name="Normal 2 3 34 3" xfId="28675" xr:uid="{00000000-0005-0000-0000-000003700000}"/>
    <cellStyle name="Normal 2 3 34 3 10" xfId="28676" xr:uid="{00000000-0005-0000-0000-000004700000}"/>
    <cellStyle name="Normal 2 3 34 3 2" xfId="28677" xr:uid="{00000000-0005-0000-0000-000005700000}"/>
    <cellStyle name="Normal 2 3 34 3 3" xfId="28678" xr:uid="{00000000-0005-0000-0000-000006700000}"/>
    <cellStyle name="Normal 2 3 34 3 4" xfId="28679" xr:uid="{00000000-0005-0000-0000-000007700000}"/>
    <cellStyle name="Normal 2 3 34 3 5" xfId="28680" xr:uid="{00000000-0005-0000-0000-000008700000}"/>
    <cellStyle name="Normal 2 3 34 3 6" xfId="28681" xr:uid="{00000000-0005-0000-0000-000009700000}"/>
    <cellStyle name="Normal 2 3 34 3 7" xfId="28682" xr:uid="{00000000-0005-0000-0000-00000A700000}"/>
    <cellStyle name="Normal 2 3 34 3 8" xfId="28683" xr:uid="{00000000-0005-0000-0000-00000B700000}"/>
    <cellStyle name="Normal 2 3 34 3 9" xfId="28684" xr:uid="{00000000-0005-0000-0000-00000C700000}"/>
    <cellStyle name="Normal 2 3 34 4" xfId="28685" xr:uid="{00000000-0005-0000-0000-00000D700000}"/>
    <cellStyle name="Normal 2 3 34 4 10" xfId="28686" xr:uid="{00000000-0005-0000-0000-00000E700000}"/>
    <cellStyle name="Normal 2 3 34 4 2" xfId="28687" xr:uid="{00000000-0005-0000-0000-00000F700000}"/>
    <cellStyle name="Normal 2 3 34 4 3" xfId="28688" xr:uid="{00000000-0005-0000-0000-000010700000}"/>
    <cellStyle name="Normal 2 3 34 4 4" xfId="28689" xr:uid="{00000000-0005-0000-0000-000011700000}"/>
    <cellStyle name="Normal 2 3 34 4 5" xfId="28690" xr:uid="{00000000-0005-0000-0000-000012700000}"/>
    <cellStyle name="Normal 2 3 34 4 6" xfId="28691" xr:uid="{00000000-0005-0000-0000-000013700000}"/>
    <cellStyle name="Normal 2 3 34 4 7" xfId="28692" xr:uid="{00000000-0005-0000-0000-000014700000}"/>
    <cellStyle name="Normal 2 3 34 4 8" xfId="28693" xr:uid="{00000000-0005-0000-0000-000015700000}"/>
    <cellStyle name="Normal 2 3 34 4 9" xfId="28694" xr:uid="{00000000-0005-0000-0000-000016700000}"/>
    <cellStyle name="Normal 2 3 34 5" xfId="28695" xr:uid="{00000000-0005-0000-0000-000017700000}"/>
    <cellStyle name="Normal 2 3 34 5 10" xfId="28696" xr:uid="{00000000-0005-0000-0000-000018700000}"/>
    <cellStyle name="Normal 2 3 34 5 2" xfId="28697" xr:uid="{00000000-0005-0000-0000-000019700000}"/>
    <cellStyle name="Normal 2 3 34 5 3" xfId="28698" xr:uid="{00000000-0005-0000-0000-00001A700000}"/>
    <cellStyle name="Normal 2 3 34 5 4" xfId="28699" xr:uid="{00000000-0005-0000-0000-00001B700000}"/>
    <cellStyle name="Normal 2 3 34 5 5" xfId="28700" xr:uid="{00000000-0005-0000-0000-00001C700000}"/>
    <cellStyle name="Normal 2 3 34 5 6" xfId="28701" xr:uid="{00000000-0005-0000-0000-00001D700000}"/>
    <cellStyle name="Normal 2 3 34 5 7" xfId="28702" xr:uid="{00000000-0005-0000-0000-00001E700000}"/>
    <cellStyle name="Normal 2 3 34 5 8" xfId="28703" xr:uid="{00000000-0005-0000-0000-00001F700000}"/>
    <cellStyle name="Normal 2 3 34 5 9" xfId="28704" xr:uid="{00000000-0005-0000-0000-000020700000}"/>
    <cellStyle name="Normal 2 3 34 6" xfId="28705" xr:uid="{00000000-0005-0000-0000-000021700000}"/>
    <cellStyle name="Normal 2 3 34 7" xfId="28706" xr:uid="{00000000-0005-0000-0000-000022700000}"/>
    <cellStyle name="Normal 2 3 34 8" xfId="28707" xr:uid="{00000000-0005-0000-0000-000023700000}"/>
    <cellStyle name="Normal 2 3 34 9" xfId="28708" xr:uid="{00000000-0005-0000-0000-000024700000}"/>
    <cellStyle name="Normal 2 3 35" xfId="28709" xr:uid="{00000000-0005-0000-0000-000025700000}"/>
    <cellStyle name="Normal 2 3 35 10" xfId="28710" xr:uid="{00000000-0005-0000-0000-000026700000}"/>
    <cellStyle name="Normal 2 3 35 2" xfId="28711" xr:uid="{00000000-0005-0000-0000-000027700000}"/>
    <cellStyle name="Normal 2 3 35 3" xfId="28712" xr:uid="{00000000-0005-0000-0000-000028700000}"/>
    <cellStyle name="Normal 2 3 35 4" xfId="28713" xr:uid="{00000000-0005-0000-0000-000029700000}"/>
    <cellStyle name="Normal 2 3 35 5" xfId="28714" xr:uid="{00000000-0005-0000-0000-00002A700000}"/>
    <cellStyle name="Normal 2 3 35 6" xfId="28715" xr:uid="{00000000-0005-0000-0000-00002B700000}"/>
    <cellStyle name="Normal 2 3 35 7" xfId="28716" xr:uid="{00000000-0005-0000-0000-00002C700000}"/>
    <cellStyle name="Normal 2 3 35 8" xfId="28717" xr:uid="{00000000-0005-0000-0000-00002D700000}"/>
    <cellStyle name="Normal 2 3 35 9" xfId="28718" xr:uid="{00000000-0005-0000-0000-00002E700000}"/>
    <cellStyle name="Normal 2 3 36" xfId="28719" xr:uid="{00000000-0005-0000-0000-00002F700000}"/>
    <cellStyle name="Normal 2 3 36 10" xfId="28720" xr:uid="{00000000-0005-0000-0000-000030700000}"/>
    <cellStyle name="Normal 2 3 36 2" xfId="28721" xr:uid="{00000000-0005-0000-0000-000031700000}"/>
    <cellStyle name="Normal 2 3 36 3" xfId="28722" xr:uid="{00000000-0005-0000-0000-000032700000}"/>
    <cellStyle name="Normal 2 3 36 4" xfId="28723" xr:uid="{00000000-0005-0000-0000-000033700000}"/>
    <cellStyle name="Normal 2 3 36 5" xfId="28724" xr:uid="{00000000-0005-0000-0000-000034700000}"/>
    <cellStyle name="Normal 2 3 36 6" xfId="28725" xr:uid="{00000000-0005-0000-0000-000035700000}"/>
    <cellStyle name="Normal 2 3 36 7" xfId="28726" xr:uid="{00000000-0005-0000-0000-000036700000}"/>
    <cellStyle name="Normal 2 3 36 8" xfId="28727" xr:uid="{00000000-0005-0000-0000-000037700000}"/>
    <cellStyle name="Normal 2 3 36 9" xfId="28728" xr:uid="{00000000-0005-0000-0000-000038700000}"/>
    <cellStyle name="Normal 2 3 37" xfId="28729" xr:uid="{00000000-0005-0000-0000-000039700000}"/>
    <cellStyle name="Normal 2 3 37 10" xfId="28730" xr:uid="{00000000-0005-0000-0000-00003A700000}"/>
    <cellStyle name="Normal 2 3 37 2" xfId="28731" xr:uid="{00000000-0005-0000-0000-00003B700000}"/>
    <cellStyle name="Normal 2 3 37 3" xfId="28732" xr:uid="{00000000-0005-0000-0000-00003C700000}"/>
    <cellStyle name="Normal 2 3 37 4" xfId="28733" xr:uid="{00000000-0005-0000-0000-00003D700000}"/>
    <cellStyle name="Normal 2 3 37 5" xfId="28734" xr:uid="{00000000-0005-0000-0000-00003E700000}"/>
    <cellStyle name="Normal 2 3 37 6" xfId="28735" xr:uid="{00000000-0005-0000-0000-00003F700000}"/>
    <cellStyle name="Normal 2 3 37 7" xfId="28736" xr:uid="{00000000-0005-0000-0000-000040700000}"/>
    <cellStyle name="Normal 2 3 37 8" xfId="28737" xr:uid="{00000000-0005-0000-0000-000041700000}"/>
    <cellStyle name="Normal 2 3 37 9" xfId="28738" xr:uid="{00000000-0005-0000-0000-000042700000}"/>
    <cellStyle name="Normal 2 3 38" xfId="28739" xr:uid="{00000000-0005-0000-0000-000043700000}"/>
    <cellStyle name="Normal 2 3 38 10" xfId="28740" xr:uid="{00000000-0005-0000-0000-000044700000}"/>
    <cellStyle name="Normal 2 3 38 2" xfId="28741" xr:uid="{00000000-0005-0000-0000-000045700000}"/>
    <cellStyle name="Normal 2 3 38 3" xfId="28742" xr:uid="{00000000-0005-0000-0000-000046700000}"/>
    <cellStyle name="Normal 2 3 38 4" xfId="28743" xr:uid="{00000000-0005-0000-0000-000047700000}"/>
    <cellStyle name="Normal 2 3 38 5" xfId="28744" xr:uid="{00000000-0005-0000-0000-000048700000}"/>
    <cellStyle name="Normal 2 3 38 6" xfId="28745" xr:uid="{00000000-0005-0000-0000-000049700000}"/>
    <cellStyle name="Normal 2 3 38 7" xfId="28746" xr:uid="{00000000-0005-0000-0000-00004A700000}"/>
    <cellStyle name="Normal 2 3 38 8" xfId="28747" xr:uid="{00000000-0005-0000-0000-00004B700000}"/>
    <cellStyle name="Normal 2 3 38 9" xfId="28748" xr:uid="{00000000-0005-0000-0000-00004C700000}"/>
    <cellStyle name="Normal 2 3 39" xfId="28749" xr:uid="{00000000-0005-0000-0000-00004D700000}"/>
    <cellStyle name="Normal 2 3 4" xfId="28750" xr:uid="{00000000-0005-0000-0000-00004E700000}"/>
    <cellStyle name="Normal 2 3 4 10" xfId="28751" xr:uid="{00000000-0005-0000-0000-00004F700000}"/>
    <cellStyle name="Normal 2 3 4 11" xfId="28752" xr:uid="{00000000-0005-0000-0000-000050700000}"/>
    <cellStyle name="Normal 2 3 4 12" xfId="28753" xr:uid="{00000000-0005-0000-0000-000051700000}"/>
    <cellStyle name="Normal 2 3 4 13" xfId="28754" xr:uid="{00000000-0005-0000-0000-000052700000}"/>
    <cellStyle name="Normal 2 3 4 14" xfId="28755" xr:uid="{00000000-0005-0000-0000-000053700000}"/>
    <cellStyle name="Normal 2 3 4 15" xfId="28756" xr:uid="{00000000-0005-0000-0000-000054700000}"/>
    <cellStyle name="Normal 2 3 4 16" xfId="28757" xr:uid="{00000000-0005-0000-0000-000055700000}"/>
    <cellStyle name="Normal 2 3 4 2" xfId="28758" xr:uid="{00000000-0005-0000-0000-000056700000}"/>
    <cellStyle name="Normal 2 3 4 2 10" xfId="28759" xr:uid="{00000000-0005-0000-0000-000057700000}"/>
    <cellStyle name="Normal 2 3 4 2 2" xfId="28760" xr:uid="{00000000-0005-0000-0000-000058700000}"/>
    <cellStyle name="Normal 2 3 4 2 3" xfId="28761" xr:uid="{00000000-0005-0000-0000-000059700000}"/>
    <cellStyle name="Normal 2 3 4 2 4" xfId="28762" xr:uid="{00000000-0005-0000-0000-00005A700000}"/>
    <cellStyle name="Normal 2 3 4 2 5" xfId="28763" xr:uid="{00000000-0005-0000-0000-00005B700000}"/>
    <cellStyle name="Normal 2 3 4 2 6" xfId="28764" xr:uid="{00000000-0005-0000-0000-00005C700000}"/>
    <cellStyle name="Normal 2 3 4 2 7" xfId="28765" xr:uid="{00000000-0005-0000-0000-00005D700000}"/>
    <cellStyle name="Normal 2 3 4 2 8" xfId="28766" xr:uid="{00000000-0005-0000-0000-00005E700000}"/>
    <cellStyle name="Normal 2 3 4 2 9" xfId="28767" xr:uid="{00000000-0005-0000-0000-00005F700000}"/>
    <cellStyle name="Normal 2 3 4 3" xfId="28768" xr:uid="{00000000-0005-0000-0000-000060700000}"/>
    <cellStyle name="Normal 2 3 4 3 10" xfId="28769" xr:uid="{00000000-0005-0000-0000-000061700000}"/>
    <cellStyle name="Normal 2 3 4 3 2" xfId="28770" xr:uid="{00000000-0005-0000-0000-000062700000}"/>
    <cellStyle name="Normal 2 3 4 3 3" xfId="28771" xr:uid="{00000000-0005-0000-0000-000063700000}"/>
    <cellStyle name="Normal 2 3 4 3 4" xfId="28772" xr:uid="{00000000-0005-0000-0000-000064700000}"/>
    <cellStyle name="Normal 2 3 4 3 5" xfId="28773" xr:uid="{00000000-0005-0000-0000-000065700000}"/>
    <cellStyle name="Normal 2 3 4 3 6" xfId="28774" xr:uid="{00000000-0005-0000-0000-000066700000}"/>
    <cellStyle name="Normal 2 3 4 3 7" xfId="28775" xr:uid="{00000000-0005-0000-0000-000067700000}"/>
    <cellStyle name="Normal 2 3 4 3 8" xfId="28776" xr:uid="{00000000-0005-0000-0000-000068700000}"/>
    <cellStyle name="Normal 2 3 4 3 9" xfId="28777" xr:uid="{00000000-0005-0000-0000-000069700000}"/>
    <cellStyle name="Normal 2 3 4 4" xfId="28778" xr:uid="{00000000-0005-0000-0000-00006A700000}"/>
    <cellStyle name="Normal 2 3 4 4 10" xfId="28779" xr:uid="{00000000-0005-0000-0000-00006B700000}"/>
    <cellStyle name="Normal 2 3 4 4 2" xfId="28780" xr:uid="{00000000-0005-0000-0000-00006C700000}"/>
    <cellStyle name="Normal 2 3 4 4 3" xfId="28781" xr:uid="{00000000-0005-0000-0000-00006D700000}"/>
    <cellStyle name="Normal 2 3 4 4 4" xfId="28782" xr:uid="{00000000-0005-0000-0000-00006E700000}"/>
    <cellStyle name="Normal 2 3 4 4 5" xfId="28783" xr:uid="{00000000-0005-0000-0000-00006F700000}"/>
    <cellStyle name="Normal 2 3 4 4 6" xfId="28784" xr:uid="{00000000-0005-0000-0000-000070700000}"/>
    <cellStyle name="Normal 2 3 4 4 7" xfId="28785" xr:uid="{00000000-0005-0000-0000-000071700000}"/>
    <cellStyle name="Normal 2 3 4 4 8" xfId="28786" xr:uid="{00000000-0005-0000-0000-000072700000}"/>
    <cellStyle name="Normal 2 3 4 4 9" xfId="28787" xr:uid="{00000000-0005-0000-0000-000073700000}"/>
    <cellStyle name="Normal 2 3 4 5" xfId="28788" xr:uid="{00000000-0005-0000-0000-000074700000}"/>
    <cellStyle name="Normal 2 3 4 5 10" xfId="28789" xr:uid="{00000000-0005-0000-0000-000075700000}"/>
    <cellStyle name="Normal 2 3 4 5 2" xfId="28790" xr:uid="{00000000-0005-0000-0000-000076700000}"/>
    <cellStyle name="Normal 2 3 4 5 3" xfId="28791" xr:uid="{00000000-0005-0000-0000-000077700000}"/>
    <cellStyle name="Normal 2 3 4 5 4" xfId="28792" xr:uid="{00000000-0005-0000-0000-000078700000}"/>
    <cellStyle name="Normal 2 3 4 5 5" xfId="28793" xr:uid="{00000000-0005-0000-0000-000079700000}"/>
    <cellStyle name="Normal 2 3 4 5 6" xfId="28794" xr:uid="{00000000-0005-0000-0000-00007A700000}"/>
    <cellStyle name="Normal 2 3 4 5 7" xfId="28795" xr:uid="{00000000-0005-0000-0000-00007B700000}"/>
    <cellStyle name="Normal 2 3 4 5 8" xfId="28796" xr:uid="{00000000-0005-0000-0000-00007C700000}"/>
    <cellStyle name="Normal 2 3 4 5 9" xfId="28797" xr:uid="{00000000-0005-0000-0000-00007D700000}"/>
    <cellStyle name="Normal 2 3 4 6" xfId="28798" xr:uid="{00000000-0005-0000-0000-00007E700000}"/>
    <cellStyle name="Normal 2 3 4 7" xfId="28799" xr:uid="{00000000-0005-0000-0000-00007F700000}"/>
    <cellStyle name="Normal 2 3 4 8" xfId="28800" xr:uid="{00000000-0005-0000-0000-000080700000}"/>
    <cellStyle name="Normal 2 3 4 9" xfId="28801" xr:uid="{00000000-0005-0000-0000-000081700000}"/>
    <cellStyle name="Normal 2 3 40" xfId="28802" xr:uid="{00000000-0005-0000-0000-000082700000}"/>
    <cellStyle name="Normal 2 3 41" xfId="28803" xr:uid="{00000000-0005-0000-0000-000083700000}"/>
    <cellStyle name="Normal 2 3 42" xfId="28804" xr:uid="{00000000-0005-0000-0000-000084700000}"/>
    <cellStyle name="Normal 2 3 43" xfId="28805" xr:uid="{00000000-0005-0000-0000-000085700000}"/>
    <cellStyle name="Normal 2 3 44" xfId="28806" xr:uid="{00000000-0005-0000-0000-000086700000}"/>
    <cellStyle name="Normal 2 3 45" xfId="28807" xr:uid="{00000000-0005-0000-0000-000087700000}"/>
    <cellStyle name="Normal 2 3 46" xfId="28808" xr:uid="{00000000-0005-0000-0000-000088700000}"/>
    <cellStyle name="Normal 2 3 47" xfId="28809" xr:uid="{00000000-0005-0000-0000-000089700000}"/>
    <cellStyle name="Normal 2 3 48" xfId="28810" xr:uid="{00000000-0005-0000-0000-00008A700000}"/>
    <cellStyle name="Normal 2 3 49" xfId="28811" xr:uid="{00000000-0005-0000-0000-00008B700000}"/>
    <cellStyle name="Normal 2 3 5" xfId="28812" xr:uid="{00000000-0005-0000-0000-00008C700000}"/>
    <cellStyle name="Normal 2 3 5 10" xfId="28813" xr:uid="{00000000-0005-0000-0000-00008D700000}"/>
    <cellStyle name="Normal 2 3 5 11" xfId="28814" xr:uid="{00000000-0005-0000-0000-00008E700000}"/>
    <cellStyle name="Normal 2 3 5 12" xfId="28815" xr:uid="{00000000-0005-0000-0000-00008F700000}"/>
    <cellStyle name="Normal 2 3 5 13" xfId="28816" xr:uid="{00000000-0005-0000-0000-000090700000}"/>
    <cellStyle name="Normal 2 3 5 14" xfId="28817" xr:uid="{00000000-0005-0000-0000-000091700000}"/>
    <cellStyle name="Normal 2 3 5 15" xfId="28818" xr:uid="{00000000-0005-0000-0000-000092700000}"/>
    <cellStyle name="Normal 2 3 5 16" xfId="28819" xr:uid="{00000000-0005-0000-0000-000093700000}"/>
    <cellStyle name="Normal 2 3 5 2" xfId="28820" xr:uid="{00000000-0005-0000-0000-000094700000}"/>
    <cellStyle name="Normal 2 3 5 2 10" xfId="28821" xr:uid="{00000000-0005-0000-0000-000095700000}"/>
    <cellStyle name="Normal 2 3 5 2 11" xfId="28822" xr:uid="{00000000-0005-0000-0000-000096700000}"/>
    <cellStyle name="Normal 2 3 5 2 12" xfId="28823" xr:uid="{00000000-0005-0000-0000-000097700000}"/>
    <cellStyle name="Normal 2 3 5 2 2" xfId="28824" xr:uid="{00000000-0005-0000-0000-000098700000}"/>
    <cellStyle name="Normal 2 3 5 2 3" xfId="28825" xr:uid="{00000000-0005-0000-0000-000099700000}"/>
    <cellStyle name="Normal 2 3 5 2 4" xfId="28826" xr:uid="{00000000-0005-0000-0000-00009A700000}"/>
    <cellStyle name="Normal 2 3 5 2 5" xfId="28827" xr:uid="{00000000-0005-0000-0000-00009B700000}"/>
    <cellStyle name="Normal 2 3 5 2 6" xfId="28828" xr:uid="{00000000-0005-0000-0000-00009C700000}"/>
    <cellStyle name="Normal 2 3 5 2 7" xfId="28829" xr:uid="{00000000-0005-0000-0000-00009D700000}"/>
    <cellStyle name="Normal 2 3 5 2 8" xfId="28830" xr:uid="{00000000-0005-0000-0000-00009E700000}"/>
    <cellStyle name="Normal 2 3 5 2 9" xfId="28831" xr:uid="{00000000-0005-0000-0000-00009F700000}"/>
    <cellStyle name="Normal 2 3 5 3" xfId="28832" xr:uid="{00000000-0005-0000-0000-0000A0700000}"/>
    <cellStyle name="Normal 2 3 5 3 10" xfId="28833" xr:uid="{00000000-0005-0000-0000-0000A1700000}"/>
    <cellStyle name="Normal 2 3 5 3 2" xfId="28834" xr:uid="{00000000-0005-0000-0000-0000A2700000}"/>
    <cellStyle name="Normal 2 3 5 3 3" xfId="28835" xr:uid="{00000000-0005-0000-0000-0000A3700000}"/>
    <cellStyle name="Normal 2 3 5 3 4" xfId="28836" xr:uid="{00000000-0005-0000-0000-0000A4700000}"/>
    <cellStyle name="Normal 2 3 5 3 5" xfId="28837" xr:uid="{00000000-0005-0000-0000-0000A5700000}"/>
    <cellStyle name="Normal 2 3 5 3 6" xfId="28838" xr:uid="{00000000-0005-0000-0000-0000A6700000}"/>
    <cellStyle name="Normal 2 3 5 3 7" xfId="28839" xr:uid="{00000000-0005-0000-0000-0000A7700000}"/>
    <cellStyle name="Normal 2 3 5 3 8" xfId="28840" xr:uid="{00000000-0005-0000-0000-0000A8700000}"/>
    <cellStyle name="Normal 2 3 5 3 9" xfId="28841" xr:uid="{00000000-0005-0000-0000-0000A9700000}"/>
    <cellStyle name="Normal 2 3 5 4" xfId="28842" xr:uid="{00000000-0005-0000-0000-0000AA700000}"/>
    <cellStyle name="Normal 2 3 5 4 10" xfId="28843" xr:uid="{00000000-0005-0000-0000-0000AB700000}"/>
    <cellStyle name="Normal 2 3 5 4 2" xfId="28844" xr:uid="{00000000-0005-0000-0000-0000AC700000}"/>
    <cellStyle name="Normal 2 3 5 4 3" xfId="28845" xr:uid="{00000000-0005-0000-0000-0000AD700000}"/>
    <cellStyle name="Normal 2 3 5 4 4" xfId="28846" xr:uid="{00000000-0005-0000-0000-0000AE700000}"/>
    <cellStyle name="Normal 2 3 5 4 5" xfId="28847" xr:uid="{00000000-0005-0000-0000-0000AF700000}"/>
    <cellStyle name="Normal 2 3 5 4 6" xfId="28848" xr:uid="{00000000-0005-0000-0000-0000B0700000}"/>
    <cellStyle name="Normal 2 3 5 4 7" xfId="28849" xr:uid="{00000000-0005-0000-0000-0000B1700000}"/>
    <cellStyle name="Normal 2 3 5 4 8" xfId="28850" xr:uid="{00000000-0005-0000-0000-0000B2700000}"/>
    <cellStyle name="Normal 2 3 5 4 9" xfId="28851" xr:uid="{00000000-0005-0000-0000-0000B3700000}"/>
    <cellStyle name="Normal 2 3 5 5" xfId="28852" xr:uid="{00000000-0005-0000-0000-0000B4700000}"/>
    <cellStyle name="Normal 2 3 5 5 10" xfId="28853" xr:uid="{00000000-0005-0000-0000-0000B5700000}"/>
    <cellStyle name="Normal 2 3 5 5 2" xfId="28854" xr:uid="{00000000-0005-0000-0000-0000B6700000}"/>
    <cellStyle name="Normal 2 3 5 5 3" xfId="28855" xr:uid="{00000000-0005-0000-0000-0000B7700000}"/>
    <cellStyle name="Normal 2 3 5 5 4" xfId="28856" xr:uid="{00000000-0005-0000-0000-0000B8700000}"/>
    <cellStyle name="Normal 2 3 5 5 5" xfId="28857" xr:uid="{00000000-0005-0000-0000-0000B9700000}"/>
    <cellStyle name="Normal 2 3 5 5 6" xfId="28858" xr:uid="{00000000-0005-0000-0000-0000BA700000}"/>
    <cellStyle name="Normal 2 3 5 5 7" xfId="28859" xr:uid="{00000000-0005-0000-0000-0000BB700000}"/>
    <cellStyle name="Normal 2 3 5 5 8" xfId="28860" xr:uid="{00000000-0005-0000-0000-0000BC700000}"/>
    <cellStyle name="Normal 2 3 5 5 9" xfId="28861" xr:uid="{00000000-0005-0000-0000-0000BD700000}"/>
    <cellStyle name="Normal 2 3 5 6" xfId="28862" xr:uid="{00000000-0005-0000-0000-0000BE700000}"/>
    <cellStyle name="Normal 2 3 5 7" xfId="28863" xr:uid="{00000000-0005-0000-0000-0000BF700000}"/>
    <cellStyle name="Normal 2 3 5 8" xfId="28864" xr:uid="{00000000-0005-0000-0000-0000C0700000}"/>
    <cellStyle name="Normal 2 3 5 9" xfId="28865" xr:uid="{00000000-0005-0000-0000-0000C1700000}"/>
    <cellStyle name="Normal 2 3 50" xfId="25748" xr:uid="{00000000-0005-0000-0000-000094640000}"/>
    <cellStyle name="Normal 2 3 6" xfId="28866" xr:uid="{00000000-0005-0000-0000-0000C2700000}"/>
    <cellStyle name="Normal 2 3 6 10" xfId="28867" xr:uid="{00000000-0005-0000-0000-0000C3700000}"/>
    <cellStyle name="Normal 2 3 6 11" xfId="28868" xr:uid="{00000000-0005-0000-0000-0000C4700000}"/>
    <cellStyle name="Normal 2 3 6 12" xfId="28869" xr:uid="{00000000-0005-0000-0000-0000C5700000}"/>
    <cellStyle name="Normal 2 3 6 13" xfId="28870" xr:uid="{00000000-0005-0000-0000-0000C6700000}"/>
    <cellStyle name="Normal 2 3 6 14" xfId="28871" xr:uid="{00000000-0005-0000-0000-0000C7700000}"/>
    <cellStyle name="Normal 2 3 6 2" xfId="28872" xr:uid="{00000000-0005-0000-0000-0000C8700000}"/>
    <cellStyle name="Normal 2 3 6 2 10" xfId="28873" xr:uid="{00000000-0005-0000-0000-0000C9700000}"/>
    <cellStyle name="Normal 2 3 6 2 2" xfId="28874" xr:uid="{00000000-0005-0000-0000-0000CA700000}"/>
    <cellStyle name="Normal 2 3 6 2 3" xfId="28875" xr:uid="{00000000-0005-0000-0000-0000CB700000}"/>
    <cellStyle name="Normal 2 3 6 2 4" xfId="28876" xr:uid="{00000000-0005-0000-0000-0000CC700000}"/>
    <cellStyle name="Normal 2 3 6 2 5" xfId="28877" xr:uid="{00000000-0005-0000-0000-0000CD700000}"/>
    <cellStyle name="Normal 2 3 6 2 6" xfId="28878" xr:uid="{00000000-0005-0000-0000-0000CE700000}"/>
    <cellStyle name="Normal 2 3 6 2 7" xfId="28879" xr:uid="{00000000-0005-0000-0000-0000CF700000}"/>
    <cellStyle name="Normal 2 3 6 2 8" xfId="28880" xr:uid="{00000000-0005-0000-0000-0000D0700000}"/>
    <cellStyle name="Normal 2 3 6 2 9" xfId="28881" xr:uid="{00000000-0005-0000-0000-0000D1700000}"/>
    <cellStyle name="Normal 2 3 6 3" xfId="28882" xr:uid="{00000000-0005-0000-0000-0000D2700000}"/>
    <cellStyle name="Normal 2 3 6 3 10" xfId="28883" xr:uid="{00000000-0005-0000-0000-0000D3700000}"/>
    <cellStyle name="Normal 2 3 6 3 2" xfId="28884" xr:uid="{00000000-0005-0000-0000-0000D4700000}"/>
    <cellStyle name="Normal 2 3 6 3 3" xfId="28885" xr:uid="{00000000-0005-0000-0000-0000D5700000}"/>
    <cellStyle name="Normal 2 3 6 3 4" xfId="28886" xr:uid="{00000000-0005-0000-0000-0000D6700000}"/>
    <cellStyle name="Normal 2 3 6 3 5" xfId="28887" xr:uid="{00000000-0005-0000-0000-0000D7700000}"/>
    <cellStyle name="Normal 2 3 6 3 6" xfId="28888" xr:uid="{00000000-0005-0000-0000-0000D8700000}"/>
    <cellStyle name="Normal 2 3 6 3 7" xfId="28889" xr:uid="{00000000-0005-0000-0000-0000D9700000}"/>
    <cellStyle name="Normal 2 3 6 3 8" xfId="28890" xr:uid="{00000000-0005-0000-0000-0000DA700000}"/>
    <cellStyle name="Normal 2 3 6 3 9" xfId="28891" xr:uid="{00000000-0005-0000-0000-0000DB700000}"/>
    <cellStyle name="Normal 2 3 6 4" xfId="28892" xr:uid="{00000000-0005-0000-0000-0000DC700000}"/>
    <cellStyle name="Normal 2 3 6 4 10" xfId="28893" xr:uid="{00000000-0005-0000-0000-0000DD700000}"/>
    <cellStyle name="Normal 2 3 6 4 2" xfId="28894" xr:uid="{00000000-0005-0000-0000-0000DE700000}"/>
    <cellStyle name="Normal 2 3 6 4 3" xfId="28895" xr:uid="{00000000-0005-0000-0000-0000DF700000}"/>
    <cellStyle name="Normal 2 3 6 4 4" xfId="28896" xr:uid="{00000000-0005-0000-0000-0000E0700000}"/>
    <cellStyle name="Normal 2 3 6 4 5" xfId="28897" xr:uid="{00000000-0005-0000-0000-0000E1700000}"/>
    <cellStyle name="Normal 2 3 6 4 6" xfId="28898" xr:uid="{00000000-0005-0000-0000-0000E2700000}"/>
    <cellStyle name="Normal 2 3 6 4 7" xfId="28899" xr:uid="{00000000-0005-0000-0000-0000E3700000}"/>
    <cellStyle name="Normal 2 3 6 4 8" xfId="28900" xr:uid="{00000000-0005-0000-0000-0000E4700000}"/>
    <cellStyle name="Normal 2 3 6 4 9" xfId="28901" xr:uid="{00000000-0005-0000-0000-0000E5700000}"/>
    <cellStyle name="Normal 2 3 6 5" xfId="28902" xr:uid="{00000000-0005-0000-0000-0000E6700000}"/>
    <cellStyle name="Normal 2 3 6 5 10" xfId="28903" xr:uid="{00000000-0005-0000-0000-0000E7700000}"/>
    <cellStyle name="Normal 2 3 6 5 2" xfId="28904" xr:uid="{00000000-0005-0000-0000-0000E8700000}"/>
    <cellStyle name="Normal 2 3 6 5 3" xfId="28905" xr:uid="{00000000-0005-0000-0000-0000E9700000}"/>
    <cellStyle name="Normal 2 3 6 5 4" xfId="28906" xr:uid="{00000000-0005-0000-0000-0000EA700000}"/>
    <cellStyle name="Normal 2 3 6 5 5" xfId="28907" xr:uid="{00000000-0005-0000-0000-0000EB700000}"/>
    <cellStyle name="Normal 2 3 6 5 6" xfId="28908" xr:uid="{00000000-0005-0000-0000-0000EC700000}"/>
    <cellStyle name="Normal 2 3 6 5 7" xfId="28909" xr:uid="{00000000-0005-0000-0000-0000ED700000}"/>
    <cellStyle name="Normal 2 3 6 5 8" xfId="28910" xr:uid="{00000000-0005-0000-0000-0000EE700000}"/>
    <cellStyle name="Normal 2 3 6 5 9" xfId="28911" xr:uid="{00000000-0005-0000-0000-0000EF700000}"/>
    <cellStyle name="Normal 2 3 6 6" xfId="28912" xr:uid="{00000000-0005-0000-0000-0000F0700000}"/>
    <cellStyle name="Normal 2 3 6 7" xfId="28913" xr:uid="{00000000-0005-0000-0000-0000F1700000}"/>
    <cellStyle name="Normal 2 3 6 8" xfId="28914" xr:uid="{00000000-0005-0000-0000-0000F2700000}"/>
    <cellStyle name="Normal 2 3 6 9" xfId="28915" xr:uid="{00000000-0005-0000-0000-0000F3700000}"/>
    <cellStyle name="Normal 2 3 7" xfId="28916" xr:uid="{00000000-0005-0000-0000-0000F4700000}"/>
    <cellStyle name="Normal 2 3 7 10" xfId="28917" xr:uid="{00000000-0005-0000-0000-0000F5700000}"/>
    <cellStyle name="Normal 2 3 7 11" xfId="28918" xr:uid="{00000000-0005-0000-0000-0000F6700000}"/>
    <cellStyle name="Normal 2 3 7 12" xfId="28919" xr:uid="{00000000-0005-0000-0000-0000F7700000}"/>
    <cellStyle name="Normal 2 3 7 13" xfId="28920" xr:uid="{00000000-0005-0000-0000-0000F8700000}"/>
    <cellStyle name="Normal 2 3 7 14" xfId="28921" xr:uid="{00000000-0005-0000-0000-0000F9700000}"/>
    <cellStyle name="Normal 2 3 7 2" xfId="28922" xr:uid="{00000000-0005-0000-0000-0000FA700000}"/>
    <cellStyle name="Normal 2 3 7 2 10" xfId="28923" xr:uid="{00000000-0005-0000-0000-0000FB700000}"/>
    <cellStyle name="Normal 2 3 7 2 2" xfId="28924" xr:uid="{00000000-0005-0000-0000-0000FC700000}"/>
    <cellStyle name="Normal 2 3 7 2 3" xfId="28925" xr:uid="{00000000-0005-0000-0000-0000FD700000}"/>
    <cellStyle name="Normal 2 3 7 2 4" xfId="28926" xr:uid="{00000000-0005-0000-0000-0000FE700000}"/>
    <cellStyle name="Normal 2 3 7 2 5" xfId="28927" xr:uid="{00000000-0005-0000-0000-0000FF700000}"/>
    <cellStyle name="Normal 2 3 7 2 6" xfId="28928" xr:uid="{00000000-0005-0000-0000-000000710000}"/>
    <cellStyle name="Normal 2 3 7 2 7" xfId="28929" xr:uid="{00000000-0005-0000-0000-000001710000}"/>
    <cellStyle name="Normal 2 3 7 2 8" xfId="28930" xr:uid="{00000000-0005-0000-0000-000002710000}"/>
    <cellStyle name="Normal 2 3 7 2 9" xfId="28931" xr:uid="{00000000-0005-0000-0000-000003710000}"/>
    <cellStyle name="Normal 2 3 7 3" xfId="28932" xr:uid="{00000000-0005-0000-0000-000004710000}"/>
    <cellStyle name="Normal 2 3 7 3 10" xfId="28933" xr:uid="{00000000-0005-0000-0000-000005710000}"/>
    <cellStyle name="Normal 2 3 7 3 2" xfId="28934" xr:uid="{00000000-0005-0000-0000-000006710000}"/>
    <cellStyle name="Normal 2 3 7 3 3" xfId="28935" xr:uid="{00000000-0005-0000-0000-000007710000}"/>
    <cellStyle name="Normal 2 3 7 3 4" xfId="28936" xr:uid="{00000000-0005-0000-0000-000008710000}"/>
    <cellStyle name="Normal 2 3 7 3 5" xfId="28937" xr:uid="{00000000-0005-0000-0000-000009710000}"/>
    <cellStyle name="Normal 2 3 7 3 6" xfId="28938" xr:uid="{00000000-0005-0000-0000-00000A710000}"/>
    <cellStyle name="Normal 2 3 7 3 7" xfId="28939" xr:uid="{00000000-0005-0000-0000-00000B710000}"/>
    <cellStyle name="Normal 2 3 7 3 8" xfId="28940" xr:uid="{00000000-0005-0000-0000-00000C710000}"/>
    <cellStyle name="Normal 2 3 7 3 9" xfId="28941" xr:uid="{00000000-0005-0000-0000-00000D710000}"/>
    <cellStyle name="Normal 2 3 7 4" xfId="28942" xr:uid="{00000000-0005-0000-0000-00000E710000}"/>
    <cellStyle name="Normal 2 3 7 4 10" xfId="28943" xr:uid="{00000000-0005-0000-0000-00000F710000}"/>
    <cellStyle name="Normal 2 3 7 4 2" xfId="28944" xr:uid="{00000000-0005-0000-0000-000010710000}"/>
    <cellStyle name="Normal 2 3 7 4 3" xfId="28945" xr:uid="{00000000-0005-0000-0000-000011710000}"/>
    <cellStyle name="Normal 2 3 7 4 4" xfId="28946" xr:uid="{00000000-0005-0000-0000-000012710000}"/>
    <cellStyle name="Normal 2 3 7 4 5" xfId="28947" xr:uid="{00000000-0005-0000-0000-000013710000}"/>
    <cellStyle name="Normal 2 3 7 4 6" xfId="28948" xr:uid="{00000000-0005-0000-0000-000014710000}"/>
    <cellStyle name="Normal 2 3 7 4 7" xfId="28949" xr:uid="{00000000-0005-0000-0000-000015710000}"/>
    <cellStyle name="Normal 2 3 7 4 8" xfId="28950" xr:uid="{00000000-0005-0000-0000-000016710000}"/>
    <cellStyle name="Normal 2 3 7 4 9" xfId="28951" xr:uid="{00000000-0005-0000-0000-000017710000}"/>
    <cellStyle name="Normal 2 3 7 5" xfId="28952" xr:uid="{00000000-0005-0000-0000-000018710000}"/>
    <cellStyle name="Normal 2 3 7 5 10" xfId="28953" xr:uid="{00000000-0005-0000-0000-000019710000}"/>
    <cellStyle name="Normal 2 3 7 5 2" xfId="28954" xr:uid="{00000000-0005-0000-0000-00001A710000}"/>
    <cellStyle name="Normal 2 3 7 5 3" xfId="28955" xr:uid="{00000000-0005-0000-0000-00001B710000}"/>
    <cellStyle name="Normal 2 3 7 5 4" xfId="28956" xr:uid="{00000000-0005-0000-0000-00001C710000}"/>
    <cellStyle name="Normal 2 3 7 5 5" xfId="28957" xr:uid="{00000000-0005-0000-0000-00001D710000}"/>
    <cellStyle name="Normal 2 3 7 5 6" xfId="28958" xr:uid="{00000000-0005-0000-0000-00001E710000}"/>
    <cellStyle name="Normal 2 3 7 5 7" xfId="28959" xr:uid="{00000000-0005-0000-0000-00001F710000}"/>
    <cellStyle name="Normal 2 3 7 5 8" xfId="28960" xr:uid="{00000000-0005-0000-0000-000020710000}"/>
    <cellStyle name="Normal 2 3 7 5 9" xfId="28961" xr:uid="{00000000-0005-0000-0000-000021710000}"/>
    <cellStyle name="Normal 2 3 7 6" xfId="28962" xr:uid="{00000000-0005-0000-0000-000022710000}"/>
    <cellStyle name="Normal 2 3 7 7" xfId="28963" xr:uid="{00000000-0005-0000-0000-000023710000}"/>
    <cellStyle name="Normal 2 3 7 8" xfId="28964" xr:uid="{00000000-0005-0000-0000-000024710000}"/>
    <cellStyle name="Normal 2 3 7 9" xfId="28965" xr:uid="{00000000-0005-0000-0000-000025710000}"/>
    <cellStyle name="Normal 2 3 8" xfId="28966" xr:uid="{00000000-0005-0000-0000-000026710000}"/>
    <cellStyle name="Normal 2 3 8 10" xfId="28967" xr:uid="{00000000-0005-0000-0000-000027710000}"/>
    <cellStyle name="Normal 2 3 8 11" xfId="28968" xr:uid="{00000000-0005-0000-0000-000028710000}"/>
    <cellStyle name="Normal 2 3 8 12" xfId="28969" xr:uid="{00000000-0005-0000-0000-000029710000}"/>
    <cellStyle name="Normal 2 3 8 13" xfId="28970" xr:uid="{00000000-0005-0000-0000-00002A710000}"/>
    <cellStyle name="Normal 2 3 8 14" xfId="28971" xr:uid="{00000000-0005-0000-0000-00002B710000}"/>
    <cellStyle name="Normal 2 3 8 2" xfId="28972" xr:uid="{00000000-0005-0000-0000-00002C710000}"/>
    <cellStyle name="Normal 2 3 8 2 10" xfId="28973" xr:uid="{00000000-0005-0000-0000-00002D710000}"/>
    <cellStyle name="Normal 2 3 8 2 2" xfId="28974" xr:uid="{00000000-0005-0000-0000-00002E710000}"/>
    <cellStyle name="Normal 2 3 8 2 3" xfId="28975" xr:uid="{00000000-0005-0000-0000-00002F710000}"/>
    <cellStyle name="Normal 2 3 8 2 4" xfId="28976" xr:uid="{00000000-0005-0000-0000-000030710000}"/>
    <cellStyle name="Normal 2 3 8 2 5" xfId="28977" xr:uid="{00000000-0005-0000-0000-000031710000}"/>
    <cellStyle name="Normal 2 3 8 2 6" xfId="28978" xr:uid="{00000000-0005-0000-0000-000032710000}"/>
    <cellStyle name="Normal 2 3 8 2 7" xfId="28979" xr:uid="{00000000-0005-0000-0000-000033710000}"/>
    <cellStyle name="Normal 2 3 8 2 8" xfId="28980" xr:uid="{00000000-0005-0000-0000-000034710000}"/>
    <cellStyle name="Normal 2 3 8 2 9" xfId="28981" xr:uid="{00000000-0005-0000-0000-000035710000}"/>
    <cellStyle name="Normal 2 3 8 3" xfId="28982" xr:uid="{00000000-0005-0000-0000-000036710000}"/>
    <cellStyle name="Normal 2 3 8 3 10" xfId="28983" xr:uid="{00000000-0005-0000-0000-000037710000}"/>
    <cellStyle name="Normal 2 3 8 3 2" xfId="28984" xr:uid="{00000000-0005-0000-0000-000038710000}"/>
    <cellStyle name="Normal 2 3 8 3 3" xfId="28985" xr:uid="{00000000-0005-0000-0000-000039710000}"/>
    <cellStyle name="Normal 2 3 8 3 4" xfId="28986" xr:uid="{00000000-0005-0000-0000-00003A710000}"/>
    <cellStyle name="Normal 2 3 8 3 5" xfId="28987" xr:uid="{00000000-0005-0000-0000-00003B710000}"/>
    <cellStyle name="Normal 2 3 8 3 6" xfId="28988" xr:uid="{00000000-0005-0000-0000-00003C710000}"/>
    <cellStyle name="Normal 2 3 8 3 7" xfId="28989" xr:uid="{00000000-0005-0000-0000-00003D710000}"/>
    <cellStyle name="Normal 2 3 8 3 8" xfId="28990" xr:uid="{00000000-0005-0000-0000-00003E710000}"/>
    <cellStyle name="Normal 2 3 8 3 9" xfId="28991" xr:uid="{00000000-0005-0000-0000-00003F710000}"/>
    <cellStyle name="Normal 2 3 8 4" xfId="28992" xr:uid="{00000000-0005-0000-0000-000040710000}"/>
    <cellStyle name="Normal 2 3 8 4 10" xfId="28993" xr:uid="{00000000-0005-0000-0000-000041710000}"/>
    <cellStyle name="Normal 2 3 8 4 2" xfId="28994" xr:uid="{00000000-0005-0000-0000-000042710000}"/>
    <cellStyle name="Normal 2 3 8 4 3" xfId="28995" xr:uid="{00000000-0005-0000-0000-000043710000}"/>
    <cellStyle name="Normal 2 3 8 4 4" xfId="28996" xr:uid="{00000000-0005-0000-0000-000044710000}"/>
    <cellStyle name="Normal 2 3 8 4 5" xfId="28997" xr:uid="{00000000-0005-0000-0000-000045710000}"/>
    <cellStyle name="Normal 2 3 8 4 6" xfId="28998" xr:uid="{00000000-0005-0000-0000-000046710000}"/>
    <cellStyle name="Normal 2 3 8 4 7" xfId="28999" xr:uid="{00000000-0005-0000-0000-000047710000}"/>
    <cellStyle name="Normal 2 3 8 4 8" xfId="29000" xr:uid="{00000000-0005-0000-0000-000048710000}"/>
    <cellStyle name="Normal 2 3 8 4 9" xfId="29001" xr:uid="{00000000-0005-0000-0000-000049710000}"/>
    <cellStyle name="Normal 2 3 8 5" xfId="29002" xr:uid="{00000000-0005-0000-0000-00004A710000}"/>
    <cellStyle name="Normal 2 3 8 5 10" xfId="29003" xr:uid="{00000000-0005-0000-0000-00004B710000}"/>
    <cellStyle name="Normal 2 3 8 5 2" xfId="29004" xr:uid="{00000000-0005-0000-0000-00004C710000}"/>
    <cellStyle name="Normal 2 3 8 5 3" xfId="29005" xr:uid="{00000000-0005-0000-0000-00004D710000}"/>
    <cellStyle name="Normal 2 3 8 5 4" xfId="29006" xr:uid="{00000000-0005-0000-0000-00004E710000}"/>
    <cellStyle name="Normal 2 3 8 5 5" xfId="29007" xr:uid="{00000000-0005-0000-0000-00004F710000}"/>
    <cellStyle name="Normal 2 3 8 5 6" xfId="29008" xr:uid="{00000000-0005-0000-0000-000050710000}"/>
    <cellStyle name="Normal 2 3 8 5 7" xfId="29009" xr:uid="{00000000-0005-0000-0000-000051710000}"/>
    <cellStyle name="Normal 2 3 8 5 8" xfId="29010" xr:uid="{00000000-0005-0000-0000-000052710000}"/>
    <cellStyle name="Normal 2 3 8 5 9" xfId="29011" xr:uid="{00000000-0005-0000-0000-000053710000}"/>
    <cellStyle name="Normal 2 3 8 6" xfId="29012" xr:uid="{00000000-0005-0000-0000-000054710000}"/>
    <cellStyle name="Normal 2 3 8 7" xfId="29013" xr:uid="{00000000-0005-0000-0000-000055710000}"/>
    <cellStyle name="Normal 2 3 8 8" xfId="29014" xr:uid="{00000000-0005-0000-0000-000056710000}"/>
    <cellStyle name="Normal 2 3 8 9" xfId="29015" xr:uid="{00000000-0005-0000-0000-000057710000}"/>
    <cellStyle name="Normal 2 3 9" xfId="29016" xr:uid="{00000000-0005-0000-0000-000058710000}"/>
    <cellStyle name="Normal 2 3 9 10" xfId="29017" xr:uid="{00000000-0005-0000-0000-000059710000}"/>
    <cellStyle name="Normal 2 3 9 11" xfId="29018" xr:uid="{00000000-0005-0000-0000-00005A710000}"/>
    <cellStyle name="Normal 2 3 9 12" xfId="29019" xr:uid="{00000000-0005-0000-0000-00005B710000}"/>
    <cellStyle name="Normal 2 3 9 13" xfId="29020" xr:uid="{00000000-0005-0000-0000-00005C710000}"/>
    <cellStyle name="Normal 2 3 9 14" xfId="29021" xr:uid="{00000000-0005-0000-0000-00005D710000}"/>
    <cellStyle name="Normal 2 3 9 2" xfId="29022" xr:uid="{00000000-0005-0000-0000-00005E710000}"/>
    <cellStyle name="Normal 2 3 9 2 10" xfId="29023" xr:uid="{00000000-0005-0000-0000-00005F710000}"/>
    <cellStyle name="Normal 2 3 9 2 2" xfId="29024" xr:uid="{00000000-0005-0000-0000-000060710000}"/>
    <cellStyle name="Normal 2 3 9 2 3" xfId="29025" xr:uid="{00000000-0005-0000-0000-000061710000}"/>
    <cellStyle name="Normal 2 3 9 2 4" xfId="29026" xr:uid="{00000000-0005-0000-0000-000062710000}"/>
    <cellStyle name="Normal 2 3 9 2 5" xfId="29027" xr:uid="{00000000-0005-0000-0000-000063710000}"/>
    <cellStyle name="Normal 2 3 9 2 6" xfId="29028" xr:uid="{00000000-0005-0000-0000-000064710000}"/>
    <cellStyle name="Normal 2 3 9 2 7" xfId="29029" xr:uid="{00000000-0005-0000-0000-000065710000}"/>
    <cellStyle name="Normal 2 3 9 2 8" xfId="29030" xr:uid="{00000000-0005-0000-0000-000066710000}"/>
    <cellStyle name="Normal 2 3 9 2 9" xfId="29031" xr:uid="{00000000-0005-0000-0000-000067710000}"/>
    <cellStyle name="Normal 2 3 9 3" xfId="29032" xr:uid="{00000000-0005-0000-0000-000068710000}"/>
    <cellStyle name="Normal 2 3 9 3 10" xfId="29033" xr:uid="{00000000-0005-0000-0000-000069710000}"/>
    <cellStyle name="Normal 2 3 9 3 2" xfId="29034" xr:uid="{00000000-0005-0000-0000-00006A710000}"/>
    <cellStyle name="Normal 2 3 9 3 3" xfId="29035" xr:uid="{00000000-0005-0000-0000-00006B710000}"/>
    <cellStyle name="Normal 2 3 9 3 4" xfId="29036" xr:uid="{00000000-0005-0000-0000-00006C710000}"/>
    <cellStyle name="Normal 2 3 9 3 5" xfId="29037" xr:uid="{00000000-0005-0000-0000-00006D710000}"/>
    <cellStyle name="Normal 2 3 9 3 6" xfId="29038" xr:uid="{00000000-0005-0000-0000-00006E710000}"/>
    <cellStyle name="Normal 2 3 9 3 7" xfId="29039" xr:uid="{00000000-0005-0000-0000-00006F710000}"/>
    <cellStyle name="Normal 2 3 9 3 8" xfId="29040" xr:uid="{00000000-0005-0000-0000-000070710000}"/>
    <cellStyle name="Normal 2 3 9 3 9" xfId="29041" xr:uid="{00000000-0005-0000-0000-000071710000}"/>
    <cellStyle name="Normal 2 3 9 4" xfId="29042" xr:uid="{00000000-0005-0000-0000-000072710000}"/>
    <cellStyle name="Normal 2 3 9 4 10" xfId="29043" xr:uid="{00000000-0005-0000-0000-000073710000}"/>
    <cellStyle name="Normal 2 3 9 4 2" xfId="29044" xr:uid="{00000000-0005-0000-0000-000074710000}"/>
    <cellStyle name="Normal 2 3 9 4 3" xfId="29045" xr:uid="{00000000-0005-0000-0000-000075710000}"/>
    <cellStyle name="Normal 2 3 9 4 4" xfId="29046" xr:uid="{00000000-0005-0000-0000-000076710000}"/>
    <cellStyle name="Normal 2 3 9 4 5" xfId="29047" xr:uid="{00000000-0005-0000-0000-000077710000}"/>
    <cellStyle name="Normal 2 3 9 4 6" xfId="29048" xr:uid="{00000000-0005-0000-0000-000078710000}"/>
    <cellStyle name="Normal 2 3 9 4 7" xfId="29049" xr:uid="{00000000-0005-0000-0000-000079710000}"/>
    <cellStyle name="Normal 2 3 9 4 8" xfId="29050" xr:uid="{00000000-0005-0000-0000-00007A710000}"/>
    <cellStyle name="Normal 2 3 9 4 9" xfId="29051" xr:uid="{00000000-0005-0000-0000-00007B710000}"/>
    <cellStyle name="Normal 2 3 9 5" xfId="29052" xr:uid="{00000000-0005-0000-0000-00007C710000}"/>
    <cellStyle name="Normal 2 3 9 5 10" xfId="29053" xr:uid="{00000000-0005-0000-0000-00007D710000}"/>
    <cellStyle name="Normal 2 3 9 5 2" xfId="29054" xr:uid="{00000000-0005-0000-0000-00007E710000}"/>
    <cellStyle name="Normal 2 3 9 5 3" xfId="29055" xr:uid="{00000000-0005-0000-0000-00007F710000}"/>
    <cellStyle name="Normal 2 3 9 5 4" xfId="29056" xr:uid="{00000000-0005-0000-0000-000080710000}"/>
    <cellStyle name="Normal 2 3 9 5 5" xfId="29057" xr:uid="{00000000-0005-0000-0000-000081710000}"/>
    <cellStyle name="Normal 2 3 9 5 6" xfId="29058" xr:uid="{00000000-0005-0000-0000-000082710000}"/>
    <cellStyle name="Normal 2 3 9 5 7" xfId="29059" xr:uid="{00000000-0005-0000-0000-000083710000}"/>
    <cellStyle name="Normal 2 3 9 5 8" xfId="29060" xr:uid="{00000000-0005-0000-0000-000084710000}"/>
    <cellStyle name="Normal 2 3 9 5 9" xfId="29061" xr:uid="{00000000-0005-0000-0000-000085710000}"/>
    <cellStyle name="Normal 2 3 9 6" xfId="29062" xr:uid="{00000000-0005-0000-0000-000086710000}"/>
    <cellStyle name="Normal 2 3 9 7" xfId="29063" xr:uid="{00000000-0005-0000-0000-000087710000}"/>
    <cellStyle name="Normal 2 3 9 8" xfId="29064" xr:uid="{00000000-0005-0000-0000-000088710000}"/>
    <cellStyle name="Normal 2 3 9 9" xfId="29065" xr:uid="{00000000-0005-0000-0000-000089710000}"/>
    <cellStyle name="Normal 2 30" xfId="29066" xr:uid="{00000000-0005-0000-0000-00008A710000}"/>
    <cellStyle name="Normal 2 30 2" xfId="29067" xr:uid="{00000000-0005-0000-0000-00008B710000}"/>
    <cellStyle name="Normal 2 30 3" xfId="29068" xr:uid="{00000000-0005-0000-0000-00008C710000}"/>
    <cellStyle name="Normal 2 31" xfId="29069" xr:uid="{00000000-0005-0000-0000-00008D710000}"/>
    <cellStyle name="Normal 2 31 2" xfId="29070" xr:uid="{00000000-0005-0000-0000-00008E710000}"/>
    <cellStyle name="Normal 2 31 2 2" xfId="29071" xr:uid="{00000000-0005-0000-0000-00008F710000}"/>
    <cellStyle name="Normal 2 31 3" xfId="29072" xr:uid="{00000000-0005-0000-0000-000090710000}"/>
    <cellStyle name="Normal 2 32" xfId="29073" xr:uid="{00000000-0005-0000-0000-000091710000}"/>
    <cellStyle name="Normal 2 32 2" xfId="29074" xr:uid="{00000000-0005-0000-0000-000092710000}"/>
    <cellStyle name="Normal 2 32 2 2" xfId="29075" xr:uid="{00000000-0005-0000-0000-000093710000}"/>
    <cellStyle name="Normal 2 32 3" xfId="29076" xr:uid="{00000000-0005-0000-0000-000094710000}"/>
    <cellStyle name="Normal 2 33" xfId="29077" xr:uid="{00000000-0005-0000-0000-000095710000}"/>
    <cellStyle name="Normal 2 33 2" xfId="29078" xr:uid="{00000000-0005-0000-0000-000096710000}"/>
    <cellStyle name="Normal 2 33 2 2" xfId="29079" xr:uid="{00000000-0005-0000-0000-000097710000}"/>
    <cellStyle name="Normal 2 33 2 2 2" xfId="29080" xr:uid="{00000000-0005-0000-0000-000098710000}"/>
    <cellStyle name="Normal 2 33 2 2 2 2" xfId="29081" xr:uid="{00000000-0005-0000-0000-000099710000}"/>
    <cellStyle name="Normal 2 33 2 3" xfId="29082" xr:uid="{00000000-0005-0000-0000-00009A710000}"/>
    <cellStyle name="Normal 2 33 2 4" xfId="29083" xr:uid="{00000000-0005-0000-0000-00009B710000}"/>
    <cellStyle name="Normal 2 33 3" xfId="29084" xr:uid="{00000000-0005-0000-0000-00009C710000}"/>
    <cellStyle name="Normal 2 33 3 2" xfId="29085" xr:uid="{00000000-0005-0000-0000-00009D710000}"/>
    <cellStyle name="Normal 2 33 3 3" xfId="29086" xr:uid="{00000000-0005-0000-0000-00009E710000}"/>
    <cellStyle name="Normal 2 33 4" xfId="29087" xr:uid="{00000000-0005-0000-0000-00009F710000}"/>
    <cellStyle name="Normal 2 34" xfId="29088" xr:uid="{00000000-0005-0000-0000-0000A0710000}"/>
    <cellStyle name="Normal 2 34 2" xfId="29089" xr:uid="{00000000-0005-0000-0000-0000A1710000}"/>
    <cellStyle name="Normal 2 34 2 2" xfId="29090" xr:uid="{00000000-0005-0000-0000-0000A2710000}"/>
    <cellStyle name="Normal 2 34 3" xfId="29091" xr:uid="{00000000-0005-0000-0000-0000A3710000}"/>
    <cellStyle name="Normal 2 35" xfId="29092" xr:uid="{00000000-0005-0000-0000-0000A4710000}"/>
    <cellStyle name="Normal 2 35 2" xfId="29093" xr:uid="{00000000-0005-0000-0000-0000A5710000}"/>
    <cellStyle name="Normal 2 35 2 2" xfId="29094" xr:uid="{00000000-0005-0000-0000-0000A6710000}"/>
    <cellStyle name="Normal 2 35 3" xfId="29095" xr:uid="{00000000-0005-0000-0000-0000A7710000}"/>
    <cellStyle name="Normal 2 36" xfId="29096" xr:uid="{00000000-0005-0000-0000-0000A8710000}"/>
    <cellStyle name="Normal 2 36 2" xfId="29097" xr:uid="{00000000-0005-0000-0000-0000A9710000}"/>
    <cellStyle name="Normal 2 36 2 2" xfId="29098" xr:uid="{00000000-0005-0000-0000-0000AA710000}"/>
    <cellStyle name="Normal 2 36 3" xfId="29099" xr:uid="{00000000-0005-0000-0000-0000AB710000}"/>
    <cellStyle name="Normal 2 37" xfId="29100" xr:uid="{00000000-0005-0000-0000-0000AC710000}"/>
    <cellStyle name="Normal 2 37 2" xfId="29101" xr:uid="{00000000-0005-0000-0000-0000AD710000}"/>
    <cellStyle name="Normal 2 37 3" xfId="29102" xr:uid="{00000000-0005-0000-0000-0000AE710000}"/>
    <cellStyle name="Normal 2 38" xfId="29103" xr:uid="{00000000-0005-0000-0000-0000AF710000}"/>
    <cellStyle name="Normal 2 38 2" xfId="29104" xr:uid="{00000000-0005-0000-0000-0000B0710000}"/>
    <cellStyle name="Normal 2 38 3" xfId="29105" xr:uid="{00000000-0005-0000-0000-0000B1710000}"/>
    <cellStyle name="Normal 2 39" xfId="29106" xr:uid="{00000000-0005-0000-0000-0000B2710000}"/>
    <cellStyle name="Normal 2 39 2" xfId="29107" xr:uid="{00000000-0005-0000-0000-0000B3710000}"/>
    <cellStyle name="Normal 2 39 3" xfId="29108" xr:uid="{00000000-0005-0000-0000-0000B4710000}"/>
    <cellStyle name="Normal 2 4" xfId="425" xr:uid="{00000000-0005-0000-0000-0000A9010000}"/>
    <cellStyle name="Normal 2 4 10" xfId="29110" xr:uid="{00000000-0005-0000-0000-0000B6710000}"/>
    <cellStyle name="Normal 2 4 11" xfId="29111" xr:uid="{00000000-0005-0000-0000-0000B7710000}"/>
    <cellStyle name="Normal 2 4 12" xfId="29112" xr:uid="{00000000-0005-0000-0000-0000B8710000}"/>
    <cellStyle name="Normal 2 4 13" xfId="29113" xr:uid="{00000000-0005-0000-0000-0000B9710000}"/>
    <cellStyle name="Normal 2 4 14" xfId="29114" xr:uid="{00000000-0005-0000-0000-0000BA710000}"/>
    <cellStyle name="Normal 2 4 15" xfId="29115" xr:uid="{00000000-0005-0000-0000-0000BB710000}"/>
    <cellStyle name="Normal 2 4 16" xfId="29116" xr:uid="{00000000-0005-0000-0000-0000BC710000}"/>
    <cellStyle name="Normal 2 4 17" xfId="29117" xr:uid="{00000000-0005-0000-0000-0000BD710000}"/>
    <cellStyle name="Normal 2 4 18" xfId="29118" xr:uid="{00000000-0005-0000-0000-0000BE710000}"/>
    <cellStyle name="Normal 2 4 19" xfId="29119" xr:uid="{00000000-0005-0000-0000-0000BF710000}"/>
    <cellStyle name="Normal 2 4 2" xfId="426" xr:uid="{00000000-0005-0000-0000-0000AA010000}"/>
    <cellStyle name="Normal 2 4 2 10" xfId="29120" xr:uid="{00000000-0005-0000-0000-0000C0710000}"/>
    <cellStyle name="Normal 2 4 2 11" xfId="29121" xr:uid="{00000000-0005-0000-0000-0000C1710000}"/>
    <cellStyle name="Normal 2 4 2 12" xfId="29122" xr:uid="{00000000-0005-0000-0000-0000C2710000}"/>
    <cellStyle name="Normal 2 4 2 13" xfId="29123" xr:uid="{00000000-0005-0000-0000-0000C3710000}"/>
    <cellStyle name="Normal 2 4 2 14" xfId="29124" xr:uid="{00000000-0005-0000-0000-0000C4710000}"/>
    <cellStyle name="Normal 2 4 2 15" xfId="29125" xr:uid="{00000000-0005-0000-0000-0000C5710000}"/>
    <cellStyle name="Normal 2 4 2 16" xfId="29126" xr:uid="{00000000-0005-0000-0000-0000C6710000}"/>
    <cellStyle name="Normal 2 4 2 17" xfId="29127" xr:uid="{00000000-0005-0000-0000-0000C7710000}"/>
    <cellStyle name="Normal 2 4 2 18" xfId="29128" xr:uid="{00000000-0005-0000-0000-0000C8710000}"/>
    <cellStyle name="Normal 2 4 2 18 2" xfId="29129" xr:uid="{00000000-0005-0000-0000-0000C9710000}"/>
    <cellStyle name="Normal 2 4 2 18 2 2" xfId="29130" xr:uid="{00000000-0005-0000-0000-0000CA710000}"/>
    <cellStyle name="Normal 2 4 2 18 2 2 2" xfId="29131" xr:uid="{00000000-0005-0000-0000-0000CB710000}"/>
    <cellStyle name="Normal 2 4 2 18 2 2 2 2" xfId="29132" xr:uid="{00000000-0005-0000-0000-0000CC710000}"/>
    <cellStyle name="Normal 2 4 2 18 2 3" xfId="29133" xr:uid="{00000000-0005-0000-0000-0000CD710000}"/>
    <cellStyle name="Normal 2 4 2 18 3" xfId="29134" xr:uid="{00000000-0005-0000-0000-0000CE710000}"/>
    <cellStyle name="Normal 2 4 2 18 3 2" xfId="29135" xr:uid="{00000000-0005-0000-0000-0000CF710000}"/>
    <cellStyle name="Normal 2 4 2 19" xfId="29136" xr:uid="{00000000-0005-0000-0000-0000D0710000}"/>
    <cellStyle name="Normal 2 4 2 2" xfId="29137" xr:uid="{00000000-0005-0000-0000-0000D1710000}"/>
    <cellStyle name="Normal 2 4 2 2 2" xfId="29138" xr:uid="{00000000-0005-0000-0000-0000D2710000}"/>
    <cellStyle name="Normal 2 4 2 20" xfId="29139" xr:uid="{00000000-0005-0000-0000-0000D3710000}"/>
    <cellStyle name="Normal 2 4 2 3" xfId="29140" xr:uid="{00000000-0005-0000-0000-0000D4710000}"/>
    <cellStyle name="Normal 2 4 2 4" xfId="29141" xr:uid="{00000000-0005-0000-0000-0000D5710000}"/>
    <cellStyle name="Normal 2 4 2 5" xfId="29142" xr:uid="{00000000-0005-0000-0000-0000D6710000}"/>
    <cellStyle name="Normal 2 4 2 6" xfId="29143" xr:uid="{00000000-0005-0000-0000-0000D7710000}"/>
    <cellStyle name="Normal 2 4 2 7" xfId="29144" xr:uid="{00000000-0005-0000-0000-0000D8710000}"/>
    <cellStyle name="Normal 2 4 2 8" xfId="29145" xr:uid="{00000000-0005-0000-0000-0000D9710000}"/>
    <cellStyle name="Normal 2 4 2 9" xfId="29146" xr:uid="{00000000-0005-0000-0000-0000DA710000}"/>
    <cellStyle name="Normal 2 4 20" xfId="29109" xr:uid="{00000000-0005-0000-0000-0000B5710000}"/>
    <cellStyle name="Normal 2 4 3" xfId="29147" xr:uid="{00000000-0005-0000-0000-0000DB710000}"/>
    <cellStyle name="Normal 2 4 3 2" xfId="29148" xr:uid="{00000000-0005-0000-0000-0000DC710000}"/>
    <cellStyle name="Normal 2 4 3 3" xfId="29149" xr:uid="{00000000-0005-0000-0000-0000DD710000}"/>
    <cellStyle name="Normal 2 4 4" xfId="29150" xr:uid="{00000000-0005-0000-0000-0000DE710000}"/>
    <cellStyle name="Normal 2 4 4 2" xfId="29151" xr:uid="{00000000-0005-0000-0000-0000DF710000}"/>
    <cellStyle name="Normal 2 4 4 3" xfId="29152" xr:uid="{00000000-0005-0000-0000-0000E0710000}"/>
    <cellStyle name="Normal 2 4 5" xfId="29153" xr:uid="{00000000-0005-0000-0000-0000E1710000}"/>
    <cellStyle name="Normal 2 4 5 2" xfId="29154" xr:uid="{00000000-0005-0000-0000-0000E2710000}"/>
    <cellStyle name="Normal 2 4 6" xfId="29155" xr:uid="{00000000-0005-0000-0000-0000E3710000}"/>
    <cellStyle name="Normal 2 4 6 2" xfId="29156" xr:uid="{00000000-0005-0000-0000-0000E4710000}"/>
    <cellStyle name="Normal 2 4 7" xfId="29157" xr:uid="{00000000-0005-0000-0000-0000E5710000}"/>
    <cellStyle name="Normal 2 4 8" xfId="29158" xr:uid="{00000000-0005-0000-0000-0000E6710000}"/>
    <cellStyle name="Normal 2 4 9" xfId="29159" xr:uid="{00000000-0005-0000-0000-0000E7710000}"/>
    <cellStyle name="Normal 2 40" xfId="29160" xr:uid="{00000000-0005-0000-0000-0000E8710000}"/>
    <cellStyle name="Normal 2 40 2" xfId="29161" xr:uid="{00000000-0005-0000-0000-0000E9710000}"/>
    <cellStyle name="Normal 2 40 3" xfId="29162" xr:uid="{00000000-0005-0000-0000-0000EA710000}"/>
    <cellStyle name="Normal 2 41" xfId="427" xr:uid="{00000000-0005-0000-0000-0000AB010000}"/>
    <cellStyle name="Normal 2 41 2" xfId="428" xr:uid="{00000000-0005-0000-0000-0000AC010000}"/>
    <cellStyle name="Normal 2 41 2 2" xfId="29163" xr:uid="{00000000-0005-0000-0000-0000EB710000}"/>
    <cellStyle name="Normal 2 41 3" xfId="29164" xr:uid="{00000000-0005-0000-0000-0000EC710000}"/>
    <cellStyle name="Normal 2 41 4" xfId="29165" xr:uid="{00000000-0005-0000-0000-0000ED710000}"/>
    <cellStyle name="Normal 2 41 5" xfId="29166" xr:uid="{00000000-0005-0000-0000-0000EE710000}"/>
    <cellStyle name="Normal 2 41 6" xfId="29167" xr:uid="{00000000-0005-0000-0000-0000EF710000}"/>
    <cellStyle name="Normal 2 41 7" xfId="29168" xr:uid="{00000000-0005-0000-0000-0000F0710000}"/>
    <cellStyle name="Normal 2 41 8" xfId="29169" xr:uid="{00000000-0005-0000-0000-0000F1710000}"/>
    <cellStyle name="Normal 2 41 8 2" xfId="29170" xr:uid="{00000000-0005-0000-0000-0000F2710000}"/>
    <cellStyle name="Normal 2 41 9" xfId="29171" xr:uid="{00000000-0005-0000-0000-0000F3710000}"/>
    <cellStyle name="Normal 2 42" xfId="29172" xr:uid="{00000000-0005-0000-0000-0000F4710000}"/>
    <cellStyle name="Normal 2 42 2" xfId="29173" xr:uid="{00000000-0005-0000-0000-0000F5710000}"/>
    <cellStyle name="Normal 2 42 3" xfId="29174" xr:uid="{00000000-0005-0000-0000-0000F6710000}"/>
    <cellStyle name="Normal 2 42 4" xfId="29175" xr:uid="{00000000-0005-0000-0000-0000F7710000}"/>
    <cellStyle name="Normal 2 42 5" xfId="29176" xr:uid="{00000000-0005-0000-0000-0000F8710000}"/>
    <cellStyle name="Normal 2 42 6" xfId="29177" xr:uid="{00000000-0005-0000-0000-0000F9710000}"/>
    <cellStyle name="Normal 2 42 7" xfId="29178" xr:uid="{00000000-0005-0000-0000-0000FA710000}"/>
    <cellStyle name="Normal 2 42 8" xfId="29179" xr:uid="{00000000-0005-0000-0000-0000FB710000}"/>
    <cellStyle name="Normal 2 43" xfId="29180" xr:uid="{00000000-0005-0000-0000-0000FC710000}"/>
    <cellStyle name="Normal 2 43 2" xfId="29181" xr:uid="{00000000-0005-0000-0000-0000FD710000}"/>
    <cellStyle name="Normal 2 43 3" xfId="29182" xr:uid="{00000000-0005-0000-0000-0000FE710000}"/>
    <cellStyle name="Normal 2 44" xfId="29183" xr:uid="{00000000-0005-0000-0000-0000FF710000}"/>
    <cellStyle name="Normal 2 44 2" xfId="29184" xr:uid="{00000000-0005-0000-0000-000000720000}"/>
    <cellStyle name="Normal 2 44 3" xfId="29185" xr:uid="{00000000-0005-0000-0000-000001720000}"/>
    <cellStyle name="Normal 2 45" xfId="29186" xr:uid="{00000000-0005-0000-0000-000002720000}"/>
    <cellStyle name="Normal 2 45 2" xfId="29187" xr:uid="{00000000-0005-0000-0000-000003720000}"/>
    <cellStyle name="Normal 2 45 3" xfId="29188" xr:uid="{00000000-0005-0000-0000-000004720000}"/>
    <cellStyle name="Normal 2 46" xfId="29189" xr:uid="{00000000-0005-0000-0000-000005720000}"/>
    <cellStyle name="Normal 2 46 2" xfId="29190" xr:uid="{00000000-0005-0000-0000-000006720000}"/>
    <cellStyle name="Normal 2 46 3" xfId="29191" xr:uid="{00000000-0005-0000-0000-000007720000}"/>
    <cellStyle name="Normal 2 47" xfId="29192" xr:uid="{00000000-0005-0000-0000-000008720000}"/>
    <cellStyle name="Normal 2 47 2" xfId="29193" xr:uid="{00000000-0005-0000-0000-000009720000}"/>
    <cellStyle name="Normal 2 47 3" xfId="29194" xr:uid="{00000000-0005-0000-0000-00000A720000}"/>
    <cellStyle name="Normal 2 48" xfId="29195" xr:uid="{00000000-0005-0000-0000-00000B720000}"/>
    <cellStyle name="Normal 2 48 2" xfId="29196" xr:uid="{00000000-0005-0000-0000-00000C720000}"/>
    <cellStyle name="Normal 2 48 3" xfId="29197" xr:uid="{00000000-0005-0000-0000-00000D720000}"/>
    <cellStyle name="Normal 2 49" xfId="29198" xr:uid="{00000000-0005-0000-0000-00000E720000}"/>
    <cellStyle name="Normal 2 49 2" xfId="29199" xr:uid="{00000000-0005-0000-0000-00000F720000}"/>
    <cellStyle name="Normal 2 49 3" xfId="29200" xr:uid="{00000000-0005-0000-0000-000010720000}"/>
    <cellStyle name="Normal 2 5" xfId="429" xr:uid="{00000000-0005-0000-0000-0000AD010000}"/>
    <cellStyle name="Normal 2 5 10" xfId="29201" xr:uid="{00000000-0005-0000-0000-000011720000}"/>
    <cellStyle name="Normal 2 5 11" xfId="29202" xr:uid="{00000000-0005-0000-0000-000012720000}"/>
    <cellStyle name="Normal 2 5 12" xfId="29203" xr:uid="{00000000-0005-0000-0000-000013720000}"/>
    <cellStyle name="Normal 2 5 13" xfId="29204" xr:uid="{00000000-0005-0000-0000-000014720000}"/>
    <cellStyle name="Normal 2 5 14" xfId="29205" xr:uid="{00000000-0005-0000-0000-000015720000}"/>
    <cellStyle name="Normal 2 5 15" xfId="29206" xr:uid="{00000000-0005-0000-0000-000016720000}"/>
    <cellStyle name="Normal 2 5 16" xfId="29207" xr:uid="{00000000-0005-0000-0000-000017720000}"/>
    <cellStyle name="Normal 2 5 17" xfId="29208" xr:uid="{00000000-0005-0000-0000-000018720000}"/>
    <cellStyle name="Normal 2 5 18" xfId="29209" xr:uid="{00000000-0005-0000-0000-000019720000}"/>
    <cellStyle name="Normal 2 5 19" xfId="29210" xr:uid="{00000000-0005-0000-0000-00001A720000}"/>
    <cellStyle name="Normal 2 5 2" xfId="29211" xr:uid="{00000000-0005-0000-0000-00001B720000}"/>
    <cellStyle name="Normal 2 5 2 10" xfId="29212" xr:uid="{00000000-0005-0000-0000-00001C720000}"/>
    <cellStyle name="Normal 2 5 2 11" xfId="29213" xr:uid="{00000000-0005-0000-0000-00001D720000}"/>
    <cellStyle name="Normal 2 5 2 12" xfId="29214" xr:uid="{00000000-0005-0000-0000-00001E720000}"/>
    <cellStyle name="Normal 2 5 2 13" xfId="29215" xr:uid="{00000000-0005-0000-0000-00001F720000}"/>
    <cellStyle name="Normal 2 5 2 14" xfId="29216" xr:uid="{00000000-0005-0000-0000-000020720000}"/>
    <cellStyle name="Normal 2 5 2 15" xfId="29217" xr:uid="{00000000-0005-0000-0000-000021720000}"/>
    <cellStyle name="Normal 2 5 2 16" xfId="29218" xr:uid="{00000000-0005-0000-0000-000022720000}"/>
    <cellStyle name="Normal 2 5 2 17" xfId="29219" xr:uid="{00000000-0005-0000-0000-000023720000}"/>
    <cellStyle name="Normal 2 5 2 18" xfId="29220" xr:uid="{00000000-0005-0000-0000-000024720000}"/>
    <cellStyle name="Normal 2 5 2 19" xfId="29221" xr:uid="{00000000-0005-0000-0000-000025720000}"/>
    <cellStyle name="Normal 2 5 2 2" xfId="29222" xr:uid="{00000000-0005-0000-0000-000026720000}"/>
    <cellStyle name="Normal 2 5 2 2 10" xfId="29223" xr:uid="{00000000-0005-0000-0000-000027720000}"/>
    <cellStyle name="Normal 2 5 2 2 11" xfId="29224" xr:uid="{00000000-0005-0000-0000-000028720000}"/>
    <cellStyle name="Normal 2 5 2 2 12" xfId="29225" xr:uid="{00000000-0005-0000-0000-000029720000}"/>
    <cellStyle name="Normal 2 5 2 2 13" xfId="29226" xr:uid="{00000000-0005-0000-0000-00002A720000}"/>
    <cellStyle name="Normal 2 5 2 2 14" xfId="29227" xr:uid="{00000000-0005-0000-0000-00002B720000}"/>
    <cellStyle name="Normal 2 5 2 2 15" xfId="29228" xr:uid="{00000000-0005-0000-0000-00002C720000}"/>
    <cellStyle name="Normal 2 5 2 2 16" xfId="29229" xr:uid="{00000000-0005-0000-0000-00002D720000}"/>
    <cellStyle name="Normal 2 5 2 2 17" xfId="29230" xr:uid="{00000000-0005-0000-0000-00002E720000}"/>
    <cellStyle name="Normal 2 5 2 2 18" xfId="29231" xr:uid="{00000000-0005-0000-0000-00002F720000}"/>
    <cellStyle name="Normal 2 5 2 2 19" xfId="29232" xr:uid="{00000000-0005-0000-0000-000030720000}"/>
    <cellStyle name="Normal 2 5 2 2 2" xfId="29233" xr:uid="{00000000-0005-0000-0000-000031720000}"/>
    <cellStyle name="Normal 2 5 2 2 20" xfId="29234" xr:uid="{00000000-0005-0000-0000-000032720000}"/>
    <cellStyle name="Normal 2 5 2 2 3" xfId="29235" xr:uid="{00000000-0005-0000-0000-000033720000}"/>
    <cellStyle name="Normal 2 5 2 2 4" xfId="29236" xr:uid="{00000000-0005-0000-0000-000034720000}"/>
    <cellStyle name="Normal 2 5 2 2 5" xfId="29237" xr:uid="{00000000-0005-0000-0000-000035720000}"/>
    <cellStyle name="Normal 2 5 2 2 6" xfId="29238" xr:uid="{00000000-0005-0000-0000-000036720000}"/>
    <cellStyle name="Normal 2 5 2 2 7" xfId="29239" xr:uid="{00000000-0005-0000-0000-000037720000}"/>
    <cellStyle name="Normal 2 5 2 2 8" xfId="29240" xr:uid="{00000000-0005-0000-0000-000038720000}"/>
    <cellStyle name="Normal 2 5 2 2 9" xfId="29241" xr:uid="{00000000-0005-0000-0000-000039720000}"/>
    <cellStyle name="Normal 2 5 2 20" xfId="29242" xr:uid="{00000000-0005-0000-0000-00003A720000}"/>
    <cellStyle name="Normal 2 5 2 21" xfId="29243" xr:uid="{00000000-0005-0000-0000-00003B720000}"/>
    <cellStyle name="Normal 2 5 2 22" xfId="29244" xr:uid="{00000000-0005-0000-0000-00003C720000}"/>
    <cellStyle name="Normal 2 5 2 23" xfId="29245" xr:uid="{00000000-0005-0000-0000-00003D720000}"/>
    <cellStyle name="Normal 2 5 2 3" xfId="29246" xr:uid="{00000000-0005-0000-0000-00003E720000}"/>
    <cellStyle name="Normal 2 5 2 4" xfId="29247" xr:uid="{00000000-0005-0000-0000-00003F720000}"/>
    <cellStyle name="Normal 2 5 2 5" xfId="29248" xr:uid="{00000000-0005-0000-0000-000040720000}"/>
    <cellStyle name="Normal 2 5 2 6" xfId="29249" xr:uid="{00000000-0005-0000-0000-000041720000}"/>
    <cellStyle name="Normal 2 5 2 7" xfId="29250" xr:uid="{00000000-0005-0000-0000-000042720000}"/>
    <cellStyle name="Normal 2 5 2 8" xfId="29251" xr:uid="{00000000-0005-0000-0000-000043720000}"/>
    <cellStyle name="Normal 2 5 2 9" xfId="29252" xr:uid="{00000000-0005-0000-0000-000044720000}"/>
    <cellStyle name="Normal 2 5 20" xfId="29253" xr:uid="{00000000-0005-0000-0000-000045720000}"/>
    <cellStyle name="Normal 2 5 21" xfId="29254" xr:uid="{00000000-0005-0000-0000-000046720000}"/>
    <cellStyle name="Normal 2 5 22" xfId="29255" xr:uid="{00000000-0005-0000-0000-000047720000}"/>
    <cellStyle name="Normal 2 5 23" xfId="29256" xr:uid="{00000000-0005-0000-0000-000048720000}"/>
    <cellStyle name="Normal 2 5 24" xfId="29257" xr:uid="{00000000-0005-0000-0000-000049720000}"/>
    <cellStyle name="Normal 2 5 25" xfId="29258" xr:uid="{00000000-0005-0000-0000-00004A720000}"/>
    <cellStyle name="Normal 2 5 26" xfId="29259" xr:uid="{00000000-0005-0000-0000-00004B720000}"/>
    <cellStyle name="Normal 2 5 27" xfId="29260" xr:uid="{00000000-0005-0000-0000-00004C720000}"/>
    <cellStyle name="Normal 2 5 28" xfId="29261" xr:uid="{00000000-0005-0000-0000-00004D720000}"/>
    <cellStyle name="Normal 2 5 29" xfId="29262" xr:uid="{00000000-0005-0000-0000-00004E720000}"/>
    <cellStyle name="Normal 2 5 3" xfId="29263" xr:uid="{00000000-0005-0000-0000-00004F720000}"/>
    <cellStyle name="Normal 2 5 3 2" xfId="29264" xr:uid="{00000000-0005-0000-0000-000050720000}"/>
    <cellStyle name="Normal 2 5 3 3" xfId="29265" xr:uid="{00000000-0005-0000-0000-000051720000}"/>
    <cellStyle name="Normal 2 5 3 4" xfId="29266" xr:uid="{00000000-0005-0000-0000-000052720000}"/>
    <cellStyle name="Normal 2 5 30" xfId="29267" xr:uid="{00000000-0005-0000-0000-000053720000}"/>
    <cellStyle name="Normal 2 5 31" xfId="29268" xr:uid="{00000000-0005-0000-0000-000054720000}"/>
    <cellStyle name="Normal 2 5 32" xfId="29269" xr:uid="{00000000-0005-0000-0000-000055720000}"/>
    <cellStyle name="Normal 2 5 33" xfId="29270" xr:uid="{00000000-0005-0000-0000-000056720000}"/>
    <cellStyle name="Normal 2 5 34" xfId="29271" xr:uid="{00000000-0005-0000-0000-000057720000}"/>
    <cellStyle name="Normal 2 5 35" xfId="29272" xr:uid="{00000000-0005-0000-0000-000058720000}"/>
    <cellStyle name="Normal 2 5 4" xfId="29273" xr:uid="{00000000-0005-0000-0000-000059720000}"/>
    <cellStyle name="Normal 2 5 4 2" xfId="29274" xr:uid="{00000000-0005-0000-0000-00005A720000}"/>
    <cellStyle name="Normal 2 5 5" xfId="29275" xr:uid="{00000000-0005-0000-0000-00005B720000}"/>
    <cellStyle name="Normal 2 5 5 2" xfId="29276" xr:uid="{00000000-0005-0000-0000-00005C720000}"/>
    <cellStyle name="Normal 2 5 6" xfId="29277" xr:uid="{00000000-0005-0000-0000-00005D720000}"/>
    <cellStyle name="Normal 2 5 6 2" xfId="29278" xr:uid="{00000000-0005-0000-0000-00005E720000}"/>
    <cellStyle name="Normal 2 5 7" xfId="29279" xr:uid="{00000000-0005-0000-0000-00005F720000}"/>
    <cellStyle name="Normal 2 5 7 2" xfId="29280" xr:uid="{00000000-0005-0000-0000-000060720000}"/>
    <cellStyle name="Normal 2 5 8" xfId="29281" xr:uid="{00000000-0005-0000-0000-000061720000}"/>
    <cellStyle name="Normal 2 5 9" xfId="29282" xr:uid="{00000000-0005-0000-0000-000062720000}"/>
    <cellStyle name="Normal 2 50" xfId="29283" xr:uid="{00000000-0005-0000-0000-000063720000}"/>
    <cellStyle name="Normal 2 50 2" xfId="29284" xr:uid="{00000000-0005-0000-0000-000064720000}"/>
    <cellStyle name="Normal 2 50 3" xfId="29285" xr:uid="{00000000-0005-0000-0000-000065720000}"/>
    <cellStyle name="Normal 2 51" xfId="29286" xr:uid="{00000000-0005-0000-0000-000066720000}"/>
    <cellStyle name="Normal 2 51 2" xfId="29287" xr:uid="{00000000-0005-0000-0000-000067720000}"/>
    <cellStyle name="Normal 2 51 3" xfId="29288" xr:uid="{00000000-0005-0000-0000-000068720000}"/>
    <cellStyle name="Normal 2 51 4" xfId="29289" xr:uid="{00000000-0005-0000-0000-000069720000}"/>
    <cellStyle name="Normal 2 51 5" xfId="29290" xr:uid="{00000000-0005-0000-0000-00006A720000}"/>
    <cellStyle name="Normal 2 52" xfId="29291" xr:uid="{00000000-0005-0000-0000-00006B720000}"/>
    <cellStyle name="Normal 2 52 2" xfId="29292" xr:uid="{00000000-0005-0000-0000-00006C720000}"/>
    <cellStyle name="Normal 2 52 3" xfId="29293" xr:uid="{00000000-0005-0000-0000-00006D720000}"/>
    <cellStyle name="Normal 2 52 4" xfId="29294" xr:uid="{00000000-0005-0000-0000-00006E720000}"/>
    <cellStyle name="Normal 2 52 5" xfId="29295" xr:uid="{00000000-0005-0000-0000-00006F720000}"/>
    <cellStyle name="Normal 2 53" xfId="29296" xr:uid="{00000000-0005-0000-0000-000070720000}"/>
    <cellStyle name="Normal 2 53 2" xfId="29297" xr:uid="{00000000-0005-0000-0000-000071720000}"/>
    <cellStyle name="Normal 2 53 3" xfId="29298" xr:uid="{00000000-0005-0000-0000-000072720000}"/>
    <cellStyle name="Normal 2 53 4" xfId="29299" xr:uid="{00000000-0005-0000-0000-000073720000}"/>
    <cellStyle name="Normal 2 53 5" xfId="29300" xr:uid="{00000000-0005-0000-0000-000074720000}"/>
    <cellStyle name="Normal 2 54" xfId="29301" xr:uid="{00000000-0005-0000-0000-000075720000}"/>
    <cellStyle name="Normal 2 54 2" xfId="29302" xr:uid="{00000000-0005-0000-0000-000076720000}"/>
    <cellStyle name="Normal 2 54 3" xfId="29303" xr:uid="{00000000-0005-0000-0000-000077720000}"/>
    <cellStyle name="Normal 2 54 4" xfId="29304" xr:uid="{00000000-0005-0000-0000-000078720000}"/>
    <cellStyle name="Normal 2 54 5" xfId="29305" xr:uid="{00000000-0005-0000-0000-000079720000}"/>
    <cellStyle name="Normal 2 55" xfId="29306" xr:uid="{00000000-0005-0000-0000-00007A720000}"/>
    <cellStyle name="Normal 2 55 2" xfId="29307" xr:uid="{00000000-0005-0000-0000-00007B720000}"/>
    <cellStyle name="Normal 2 55 3" xfId="29308" xr:uid="{00000000-0005-0000-0000-00007C720000}"/>
    <cellStyle name="Normal 2 55 4" xfId="29309" xr:uid="{00000000-0005-0000-0000-00007D720000}"/>
    <cellStyle name="Normal 2 55 5" xfId="29310" xr:uid="{00000000-0005-0000-0000-00007E720000}"/>
    <cellStyle name="Normal 2 56" xfId="29311" xr:uid="{00000000-0005-0000-0000-00007F720000}"/>
    <cellStyle name="Normal 2 56 2" xfId="29312" xr:uid="{00000000-0005-0000-0000-000080720000}"/>
    <cellStyle name="Normal 2 56 3" xfId="29313" xr:uid="{00000000-0005-0000-0000-000081720000}"/>
    <cellStyle name="Normal 2 56 4" xfId="29314" xr:uid="{00000000-0005-0000-0000-000082720000}"/>
    <cellStyle name="Normal 2 56 5" xfId="29315" xr:uid="{00000000-0005-0000-0000-000083720000}"/>
    <cellStyle name="Normal 2 57" xfId="29316" xr:uid="{00000000-0005-0000-0000-000084720000}"/>
    <cellStyle name="Normal 2 57 2" xfId="29317" xr:uid="{00000000-0005-0000-0000-000085720000}"/>
    <cellStyle name="Normal 2 57 3" xfId="29318" xr:uid="{00000000-0005-0000-0000-000086720000}"/>
    <cellStyle name="Normal 2 57 4" xfId="29319" xr:uid="{00000000-0005-0000-0000-000087720000}"/>
    <cellStyle name="Normal 2 57 5" xfId="29320" xr:uid="{00000000-0005-0000-0000-000088720000}"/>
    <cellStyle name="Normal 2 58" xfId="29321" xr:uid="{00000000-0005-0000-0000-000089720000}"/>
    <cellStyle name="Normal 2 58 2" xfId="29322" xr:uid="{00000000-0005-0000-0000-00008A720000}"/>
    <cellStyle name="Normal 2 58 3" xfId="29323" xr:uid="{00000000-0005-0000-0000-00008B720000}"/>
    <cellStyle name="Normal 2 58 4" xfId="29324" xr:uid="{00000000-0005-0000-0000-00008C720000}"/>
    <cellStyle name="Normal 2 58 5" xfId="29325" xr:uid="{00000000-0005-0000-0000-00008D720000}"/>
    <cellStyle name="Normal 2 59" xfId="29326" xr:uid="{00000000-0005-0000-0000-00008E720000}"/>
    <cellStyle name="Normal 2 59 2" xfId="29327" xr:uid="{00000000-0005-0000-0000-00008F720000}"/>
    <cellStyle name="Normal 2 59 3" xfId="29328" xr:uid="{00000000-0005-0000-0000-000090720000}"/>
    <cellStyle name="Normal 2 59 4" xfId="29329" xr:uid="{00000000-0005-0000-0000-000091720000}"/>
    <cellStyle name="Normal 2 59 5" xfId="29330" xr:uid="{00000000-0005-0000-0000-000092720000}"/>
    <cellStyle name="Normal 2 6" xfId="430" xr:uid="{00000000-0005-0000-0000-0000AE010000}"/>
    <cellStyle name="Normal 2 6 10" xfId="29331" xr:uid="{00000000-0005-0000-0000-000093720000}"/>
    <cellStyle name="Normal 2 6 11" xfId="29332" xr:uid="{00000000-0005-0000-0000-000094720000}"/>
    <cellStyle name="Normal 2 6 12" xfId="29333" xr:uid="{00000000-0005-0000-0000-000095720000}"/>
    <cellStyle name="Normal 2 6 13" xfId="29334" xr:uid="{00000000-0005-0000-0000-000096720000}"/>
    <cellStyle name="Normal 2 6 14" xfId="29335" xr:uid="{00000000-0005-0000-0000-000097720000}"/>
    <cellStyle name="Normal 2 6 15" xfId="29336" xr:uid="{00000000-0005-0000-0000-000098720000}"/>
    <cellStyle name="Normal 2 6 16" xfId="29337" xr:uid="{00000000-0005-0000-0000-000099720000}"/>
    <cellStyle name="Normal 2 6 17" xfId="29338" xr:uid="{00000000-0005-0000-0000-00009A720000}"/>
    <cellStyle name="Normal 2 6 18" xfId="29339" xr:uid="{00000000-0005-0000-0000-00009B720000}"/>
    <cellStyle name="Normal 2 6 19" xfId="29340" xr:uid="{00000000-0005-0000-0000-00009C720000}"/>
    <cellStyle name="Normal 2 6 2" xfId="29341" xr:uid="{00000000-0005-0000-0000-00009D720000}"/>
    <cellStyle name="Normal 2 6 2 10" xfId="29342" xr:uid="{00000000-0005-0000-0000-00009E720000}"/>
    <cellStyle name="Normal 2 6 2 11" xfId="29343" xr:uid="{00000000-0005-0000-0000-00009F720000}"/>
    <cellStyle name="Normal 2 6 2 12" xfId="29344" xr:uid="{00000000-0005-0000-0000-0000A0720000}"/>
    <cellStyle name="Normal 2 6 2 13" xfId="29345" xr:uid="{00000000-0005-0000-0000-0000A1720000}"/>
    <cellStyle name="Normal 2 6 2 14" xfId="29346" xr:uid="{00000000-0005-0000-0000-0000A2720000}"/>
    <cellStyle name="Normal 2 6 2 15" xfId="29347" xr:uid="{00000000-0005-0000-0000-0000A3720000}"/>
    <cellStyle name="Normal 2 6 2 16" xfId="29348" xr:uid="{00000000-0005-0000-0000-0000A4720000}"/>
    <cellStyle name="Normal 2 6 2 17" xfId="29349" xr:uid="{00000000-0005-0000-0000-0000A5720000}"/>
    <cellStyle name="Normal 2 6 2 18" xfId="29350" xr:uid="{00000000-0005-0000-0000-0000A6720000}"/>
    <cellStyle name="Normal 2 6 2 19" xfId="29351" xr:uid="{00000000-0005-0000-0000-0000A7720000}"/>
    <cellStyle name="Normal 2 6 2 2" xfId="29352" xr:uid="{00000000-0005-0000-0000-0000A8720000}"/>
    <cellStyle name="Normal 2 6 2 20" xfId="29353" xr:uid="{00000000-0005-0000-0000-0000A9720000}"/>
    <cellStyle name="Normal 2 6 2 21" xfId="29354" xr:uid="{00000000-0005-0000-0000-0000AA720000}"/>
    <cellStyle name="Normal 2 6 2 3" xfId="29355" xr:uid="{00000000-0005-0000-0000-0000AB720000}"/>
    <cellStyle name="Normal 2 6 2 4" xfId="29356" xr:uid="{00000000-0005-0000-0000-0000AC720000}"/>
    <cellStyle name="Normal 2 6 2 5" xfId="29357" xr:uid="{00000000-0005-0000-0000-0000AD720000}"/>
    <cellStyle name="Normal 2 6 2 6" xfId="29358" xr:uid="{00000000-0005-0000-0000-0000AE720000}"/>
    <cellStyle name="Normal 2 6 2 7" xfId="29359" xr:uid="{00000000-0005-0000-0000-0000AF720000}"/>
    <cellStyle name="Normal 2 6 2 8" xfId="29360" xr:uid="{00000000-0005-0000-0000-0000B0720000}"/>
    <cellStyle name="Normal 2 6 2 9" xfId="29361" xr:uid="{00000000-0005-0000-0000-0000B1720000}"/>
    <cellStyle name="Normal 2 6 20" xfId="29362" xr:uid="{00000000-0005-0000-0000-0000B2720000}"/>
    <cellStyle name="Normal 2 6 21" xfId="29363" xr:uid="{00000000-0005-0000-0000-0000B3720000}"/>
    <cellStyle name="Normal 2 6 22" xfId="29364" xr:uid="{00000000-0005-0000-0000-0000B4720000}"/>
    <cellStyle name="Normal 2 6 3" xfId="29365" xr:uid="{00000000-0005-0000-0000-0000B5720000}"/>
    <cellStyle name="Normal 2 6 4" xfId="29366" xr:uid="{00000000-0005-0000-0000-0000B6720000}"/>
    <cellStyle name="Normal 2 6 5" xfId="29367" xr:uid="{00000000-0005-0000-0000-0000B7720000}"/>
    <cellStyle name="Normal 2 6 6" xfId="29368" xr:uid="{00000000-0005-0000-0000-0000B8720000}"/>
    <cellStyle name="Normal 2 6 7" xfId="29369" xr:uid="{00000000-0005-0000-0000-0000B9720000}"/>
    <cellStyle name="Normal 2 6 8" xfId="29370" xr:uid="{00000000-0005-0000-0000-0000BA720000}"/>
    <cellStyle name="Normal 2 6 9" xfId="29371" xr:uid="{00000000-0005-0000-0000-0000BB720000}"/>
    <cellStyle name="Normal 2 60" xfId="29372" xr:uid="{00000000-0005-0000-0000-0000BC720000}"/>
    <cellStyle name="Normal 2 60 2" xfId="29373" xr:uid="{00000000-0005-0000-0000-0000BD720000}"/>
    <cellStyle name="Normal 2 60 3" xfId="29374" xr:uid="{00000000-0005-0000-0000-0000BE720000}"/>
    <cellStyle name="Normal 2 61" xfId="29375" xr:uid="{00000000-0005-0000-0000-0000BF720000}"/>
    <cellStyle name="Normal 2 61 2" xfId="29376" xr:uid="{00000000-0005-0000-0000-0000C0720000}"/>
    <cellStyle name="Normal 2 61 3" xfId="29377" xr:uid="{00000000-0005-0000-0000-0000C1720000}"/>
    <cellStyle name="Normal 2 62" xfId="29378" xr:uid="{00000000-0005-0000-0000-0000C2720000}"/>
    <cellStyle name="Normal 2 62 2" xfId="29379" xr:uid="{00000000-0005-0000-0000-0000C3720000}"/>
    <cellStyle name="Normal 2 62 3" xfId="29380" xr:uid="{00000000-0005-0000-0000-0000C4720000}"/>
    <cellStyle name="Normal 2 63" xfId="29381" xr:uid="{00000000-0005-0000-0000-0000C5720000}"/>
    <cellStyle name="Normal 2 63 2" xfId="29382" xr:uid="{00000000-0005-0000-0000-0000C6720000}"/>
    <cellStyle name="Normal 2 63 3" xfId="29383" xr:uid="{00000000-0005-0000-0000-0000C7720000}"/>
    <cellStyle name="Normal 2 64" xfId="29384" xr:uid="{00000000-0005-0000-0000-0000C8720000}"/>
    <cellStyle name="Normal 2 64 2" xfId="29385" xr:uid="{00000000-0005-0000-0000-0000C9720000}"/>
    <cellStyle name="Normal 2 64 3" xfId="29386" xr:uid="{00000000-0005-0000-0000-0000CA720000}"/>
    <cellStyle name="Normal 2 65" xfId="29387" xr:uid="{00000000-0005-0000-0000-0000CB720000}"/>
    <cellStyle name="Normal 2 65 2" xfId="29388" xr:uid="{00000000-0005-0000-0000-0000CC720000}"/>
    <cellStyle name="Normal 2 65 3" xfId="29389" xr:uid="{00000000-0005-0000-0000-0000CD720000}"/>
    <cellStyle name="Normal 2 66" xfId="29390" xr:uid="{00000000-0005-0000-0000-0000CE720000}"/>
    <cellStyle name="Normal 2 66 2" xfId="29391" xr:uid="{00000000-0005-0000-0000-0000CF720000}"/>
    <cellStyle name="Normal 2 66 3" xfId="29392" xr:uid="{00000000-0005-0000-0000-0000D0720000}"/>
    <cellStyle name="Normal 2 67" xfId="29393" xr:uid="{00000000-0005-0000-0000-0000D1720000}"/>
    <cellStyle name="Normal 2 67 2" xfId="29394" xr:uid="{00000000-0005-0000-0000-0000D2720000}"/>
    <cellStyle name="Normal 2 67 3" xfId="29395" xr:uid="{00000000-0005-0000-0000-0000D3720000}"/>
    <cellStyle name="Normal 2 68" xfId="29396" xr:uid="{00000000-0005-0000-0000-0000D4720000}"/>
    <cellStyle name="Normal 2 68 2" xfId="29397" xr:uid="{00000000-0005-0000-0000-0000D5720000}"/>
    <cellStyle name="Normal 2 68 3" xfId="29398" xr:uid="{00000000-0005-0000-0000-0000D6720000}"/>
    <cellStyle name="Normal 2 69" xfId="29399" xr:uid="{00000000-0005-0000-0000-0000D7720000}"/>
    <cellStyle name="Normal 2 69 2" xfId="29400" xr:uid="{00000000-0005-0000-0000-0000D8720000}"/>
    <cellStyle name="Normal 2 69 3" xfId="29401" xr:uid="{00000000-0005-0000-0000-0000D9720000}"/>
    <cellStyle name="Normal 2 7" xfId="431" xr:uid="{00000000-0005-0000-0000-0000AF010000}"/>
    <cellStyle name="Normal 2 7 2" xfId="29402" xr:uid="{00000000-0005-0000-0000-0000DA720000}"/>
    <cellStyle name="Normal 2 7 3" xfId="29403" xr:uid="{00000000-0005-0000-0000-0000DB720000}"/>
    <cellStyle name="Normal 2 70" xfId="29404" xr:uid="{00000000-0005-0000-0000-0000DC720000}"/>
    <cellStyle name="Normal 2 70 2" xfId="29405" xr:uid="{00000000-0005-0000-0000-0000DD720000}"/>
    <cellStyle name="Normal 2 70 3" xfId="29406" xr:uid="{00000000-0005-0000-0000-0000DE720000}"/>
    <cellStyle name="Normal 2 71" xfId="29407" xr:uid="{00000000-0005-0000-0000-0000DF720000}"/>
    <cellStyle name="Normal 2 71 2" xfId="29408" xr:uid="{00000000-0005-0000-0000-0000E0720000}"/>
    <cellStyle name="Normal 2 71 3" xfId="29409" xr:uid="{00000000-0005-0000-0000-0000E1720000}"/>
    <cellStyle name="Normal 2 72" xfId="29410" xr:uid="{00000000-0005-0000-0000-0000E2720000}"/>
    <cellStyle name="Normal 2 72 2" xfId="29411" xr:uid="{00000000-0005-0000-0000-0000E3720000}"/>
    <cellStyle name="Normal 2 72 3" xfId="29412" xr:uid="{00000000-0005-0000-0000-0000E4720000}"/>
    <cellStyle name="Normal 2 73" xfId="29413" xr:uid="{00000000-0005-0000-0000-0000E5720000}"/>
    <cellStyle name="Normal 2 73 2" xfId="29414" xr:uid="{00000000-0005-0000-0000-0000E6720000}"/>
    <cellStyle name="Normal 2 73 3" xfId="29415" xr:uid="{00000000-0005-0000-0000-0000E7720000}"/>
    <cellStyle name="Normal 2 74" xfId="29416" xr:uid="{00000000-0005-0000-0000-0000E8720000}"/>
    <cellStyle name="Normal 2 74 2" xfId="29417" xr:uid="{00000000-0005-0000-0000-0000E9720000}"/>
    <cellStyle name="Normal 2 74 3" xfId="29418" xr:uid="{00000000-0005-0000-0000-0000EA720000}"/>
    <cellStyle name="Normal 2 75" xfId="29419" xr:uid="{00000000-0005-0000-0000-0000EB720000}"/>
    <cellStyle name="Normal 2 76" xfId="29420" xr:uid="{00000000-0005-0000-0000-0000EC720000}"/>
    <cellStyle name="Normal 2 77" xfId="29421" xr:uid="{00000000-0005-0000-0000-0000ED720000}"/>
    <cellStyle name="Normal 2 78" xfId="29422" xr:uid="{00000000-0005-0000-0000-0000EE720000}"/>
    <cellStyle name="Normal 2 79" xfId="29423" xr:uid="{00000000-0005-0000-0000-0000EF720000}"/>
    <cellStyle name="Normal 2 8" xfId="432" xr:uid="{00000000-0005-0000-0000-0000B0010000}"/>
    <cellStyle name="Normal 2 8 2" xfId="29424" xr:uid="{00000000-0005-0000-0000-0000F0720000}"/>
    <cellStyle name="Normal 2 8 3" xfId="29425" xr:uid="{00000000-0005-0000-0000-0000F1720000}"/>
    <cellStyle name="Normal 2 80" xfId="29426" xr:uid="{00000000-0005-0000-0000-0000F2720000}"/>
    <cellStyle name="Normal 2 81" xfId="29427" xr:uid="{00000000-0005-0000-0000-0000F3720000}"/>
    <cellStyle name="Normal 2 82" xfId="29428" xr:uid="{00000000-0005-0000-0000-0000F4720000}"/>
    <cellStyle name="Normal 2 82 2" xfId="29429" xr:uid="{00000000-0005-0000-0000-0000F5720000}"/>
    <cellStyle name="Normal 2 82 2 2" xfId="29430" xr:uid="{00000000-0005-0000-0000-0000F6720000}"/>
    <cellStyle name="Normal 2 82 2 3" xfId="29431" xr:uid="{00000000-0005-0000-0000-0000F7720000}"/>
    <cellStyle name="Normal 2 82 3" xfId="29432" xr:uid="{00000000-0005-0000-0000-0000F8720000}"/>
    <cellStyle name="Normal 2 82 4" xfId="29433" xr:uid="{00000000-0005-0000-0000-0000F9720000}"/>
    <cellStyle name="Normal 2 83" xfId="29434" xr:uid="{00000000-0005-0000-0000-0000FA720000}"/>
    <cellStyle name="Normal 2 83 2" xfId="29435" xr:uid="{00000000-0005-0000-0000-0000FB720000}"/>
    <cellStyle name="Normal 2 84" xfId="29436" xr:uid="{00000000-0005-0000-0000-0000FC720000}"/>
    <cellStyle name="Normal 2 84 2" xfId="29437" xr:uid="{00000000-0005-0000-0000-0000FD720000}"/>
    <cellStyle name="Normal 2 85" xfId="29438" xr:uid="{00000000-0005-0000-0000-0000FE720000}"/>
    <cellStyle name="Normal 2 85 2" xfId="29439" xr:uid="{00000000-0005-0000-0000-0000FF720000}"/>
    <cellStyle name="Normal 2 85 2 2" xfId="29440" xr:uid="{00000000-0005-0000-0000-000000730000}"/>
    <cellStyle name="Normal 2 85 3" xfId="29441" xr:uid="{00000000-0005-0000-0000-000001730000}"/>
    <cellStyle name="Normal 2 85 4" xfId="29442" xr:uid="{00000000-0005-0000-0000-000002730000}"/>
    <cellStyle name="Normal 2 85 5" xfId="29443" xr:uid="{00000000-0005-0000-0000-000003730000}"/>
    <cellStyle name="Normal 2 86" xfId="29444" xr:uid="{00000000-0005-0000-0000-000004730000}"/>
    <cellStyle name="Normal 2 86 2" xfId="29445" xr:uid="{00000000-0005-0000-0000-000005730000}"/>
    <cellStyle name="Normal 2 86 2 2" xfId="29446" xr:uid="{00000000-0005-0000-0000-000006730000}"/>
    <cellStyle name="Normal 2 86 3" xfId="29447" xr:uid="{00000000-0005-0000-0000-000007730000}"/>
    <cellStyle name="Normal 2 87" xfId="29448" xr:uid="{00000000-0005-0000-0000-000008730000}"/>
    <cellStyle name="Normal 2 87 2" xfId="29449" xr:uid="{00000000-0005-0000-0000-000009730000}"/>
    <cellStyle name="Normal 2 87 3" xfId="29450" xr:uid="{00000000-0005-0000-0000-00000A730000}"/>
    <cellStyle name="Normal 2 87 4" xfId="29451" xr:uid="{00000000-0005-0000-0000-00000B730000}"/>
    <cellStyle name="Normal 2 87 5" xfId="29452" xr:uid="{00000000-0005-0000-0000-00000C730000}"/>
    <cellStyle name="Normal 2 88" xfId="29453" xr:uid="{00000000-0005-0000-0000-00000D730000}"/>
    <cellStyle name="Normal 2 88 2" xfId="29454" xr:uid="{00000000-0005-0000-0000-00000E730000}"/>
    <cellStyle name="Normal 2 88 3" xfId="29455" xr:uid="{00000000-0005-0000-0000-00000F730000}"/>
    <cellStyle name="Normal 2 88 4" xfId="29456" xr:uid="{00000000-0005-0000-0000-000010730000}"/>
    <cellStyle name="Normal 2 88 5" xfId="29457" xr:uid="{00000000-0005-0000-0000-000011730000}"/>
    <cellStyle name="Normal 2 89" xfId="29458" xr:uid="{00000000-0005-0000-0000-000012730000}"/>
    <cellStyle name="Normal 2 89 2" xfId="29459" xr:uid="{00000000-0005-0000-0000-000013730000}"/>
    <cellStyle name="Normal 2 9" xfId="433" xr:uid="{00000000-0005-0000-0000-0000B1010000}"/>
    <cellStyle name="Normal 2 9 2" xfId="29460" xr:uid="{00000000-0005-0000-0000-000014730000}"/>
    <cellStyle name="Normal 2 9 3" xfId="29461" xr:uid="{00000000-0005-0000-0000-000015730000}"/>
    <cellStyle name="Normal 2 9 4" xfId="29462" xr:uid="{00000000-0005-0000-0000-000016730000}"/>
    <cellStyle name="Normal 2 9 5" xfId="29463" xr:uid="{00000000-0005-0000-0000-000017730000}"/>
    <cellStyle name="Normal 2 9_Enlaces" xfId="29464" xr:uid="{00000000-0005-0000-0000-000018730000}"/>
    <cellStyle name="Normal 2 90" xfId="29465" xr:uid="{00000000-0005-0000-0000-000019730000}"/>
    <cellStyle name="Normal 2 90 2" xfId="29466" xr:uid="{00000000-0005-0000-0000-00001A730000}"/>
    <cellStyle name="Normal 2 91" xfId="29467" xr:uid="{00000000-0005-0000-0000-00001B730000}"/>
    <cellStyle name="Normal 2 91 2" xfId="29468" xr:uid="{00000000-0005-0000-0000-00001C730000}"/>
    <cellStyle name="Normal 2 92" xfId="29469" xr:uid="{00000000-0005-0000-0000-00001D730000}"/>
    <cellStyle name="Normal 2 92 2" xfId="29470" xr:uid="{00000000-0005-0000-0000-00001E730000}"/>
    <cellStyle name="Normal 2 93" xfId="29471" xr:uid="{00000000-0005-0000-0000-00001F730000}"/>
    <cellStyle name="Normal 2 93 2" xfId="29472" xr:uid="{00000000-0005-0000-0000-000020730000}"/>
    <cellStyle name="Normal 2 94" xfId="29473" xr:uid="{00000000-0005-0000-0000-000021730000}"/>
    <cellStyle name="Normal 2 94 2" xfId="29474" xr:uid="{00000000-0005-0000-0000-000022730000}"/>
    <cellStyle name="Normal 2 95" xfId="29475" xr:uid="{00000000-0005-0000-0000-000023730000}"/>
    <cellStyle name="Normal 2 95 2" xfId="29476" xr:uid="{00000000-0005-0000-0000-000024730000}"/>
    <cellStyle name="Normal 2 96" xfId="29477" xr:uid="{00000000-0005-0000-0000-000025730000}"/>
    <cellStyle name="Normal 2 96 2" xfId="29478" xr:uid="{00000000-0005-0000-0000-000026730000}"/>
    <cellStyle name="Normal 2 97" xfId="29479" xr:uid="{00000000-0005-0000-0000-000027730000}"/>
    <cellStyle name="Normal 2 97 2" xfId="29480" xr:uid="{00000000-0005-0000-0000-000028730000}"/>
    <cellStyle name="Normal 2 98" xfId="29481" xr:uid="{00000000-0005-0000-0000-000029730000}"/>
    <cellStyle name="Normal 2 98 2" xfId="29482" xr:uid="{00000000-0005-0000-0000-00002A730000}"/>
    <cellStyle name="Normal 2 99" xfId="29483" xr:uid="{00000000-0005-0000-0000-00002B730000}"/>
    <cellStyle name="Normal 2 99 2" xfId="29484" xr:uid="{00000000-0005-0000-0000-00002C730000}"/>
    <cellStyle name="Normal 20" xfId="29485" xr:uid="{00000000-0005-0000-0000-00002D730000}"/>
    <cellStyle name="Normal 20 10" xfId="29486" xr:uid="{00000000-0005-0000-0000-00002E730000}"/>
    <cellStyle name="Normal 20 11" xfId="29487" xr:uid="{00000000-0005-0000-0000-00002F730000}"/>
    <cellStyle name="Normal 20 12" xfId="29488" xr:uid="{00000000-0005-0000-0000-000030730000}"/>
    <cellStyle name="Normal 20 13" xfId="29489" xr:uid="{00000000-0005-0000-0000-000031730000}"/>
    <cellStyle name="Normal 20 14" xfId="29490" xr:uid="{00000000-0005-0000-0000-000032730000}"/>
    <cellStyle name="Normal 20 15" xfId="29491" xr:uid="{00000000-0005-0000-0000-000033730000}"/>
    <cellStyle name="Normal 20 16" xfId="29492" xr:uid="{00000000-0005-0000-0000-000034730000}"/>
    <cellStyle name="Normal 20 17" xfId="29493" xr:uid="{00000000-0005-0000-0000-000035730000}"/>
    <cellStyle name="Normal 20 18" xfId="29494" xr:uid="{00000000-0005-0000-0000-000036730000}"/>
    <cellStyle name="Normal 20 19" xfId="29495" xr:uid="{00000000-0005-0000-0000-000037730000}"/>
    <cellStyle name="Normal 20 2" xfId="29496" xr:uid="{00000000-0005-0000-0000-000038730000}"/>
    <cellStyle name="Normal 20 2 2" xfId="29497" xr:uid="{00000000-0005-0000-0000-000039730000}"/>
    <cellStyle name="Normal 20 2 3" xfId="29498" xr:uid="{00000000-0005-0000-0000-00003A730000}"/>
    <cellStyle name="Normal 20 2 4" xfId="29499" xr:uid="{00000000-0005-0000-0000-00003B730000}"/>
    <cellStyle name="Normal 20 20" xfId="29500" xr:uid="{00000000-0005-0000-0000-00003C730000}"/>
    <cellStyle name="Normal 20 21" xfId="29501" xr:uid="{00000000-0005-0000-0000-00003D730000}"/>
    <cellStyle name="Normal 20 22" xfId="29502" xr:uid="{00000000-0005-0000-0000-00003E730000}"/>
    <cellStyle name="Normal 20 23" xfId="29503" xr:uid="{00000000-0005-0000-0000-00003F730000}"/>
    <cellStyle name="Normal 20 24" xfId="29504" xr:uid="{00000000-0005-0000-0000-000040730000}"/>
    <cellStyle name="Normal 20 25" xfId="29505" xr:uid="{00000000-0005-0000-0000-000041730000}"/>
    <cellStyle name="Normal 20 26" xfId="29506" xr:uid="{00000000-0005-0000-0000-000042730000}"/>
    <cellStyle name="Normal 20 3" xfId="29507" xr:uid="{00000000-0005-0000-0000-000043730000}"/>
    <cellStyle name="Normal 20 4" xfId="29508" xr:uid="{00000000-0005-0000-0000-000044730000}"/>
    <cellStyle name="Normal 20 5" xfId="29509" xr:uid="{00000000-0005-0000-0000-000045730000}"/>
    <cellStyle name="Normal 20 6" xfId="29510" xr:uid="{00000000-0005-0000-0000-000046730000}"/>
    <cellStyle name="Normal 20 7" xfId="29511" xr:uid="{00000000-0005-0000-0000-000047730000}"/>
    <cellStyle name="Normal 20 8" xfId="29512" xr:uid="{00000000-0005-0000-0000-000048730000}"/>
    <cellStyle name="Normal 20 9" xfId="29513" xr:uid="{00000000-0005-0000-0000-000049730000}"/>
    <cellStyle name="Normal 21" xfId="29514" xr:uid="{00000000-0005-0000-0000-00004A730000}"/>
    <cellStyle name="Normal 21 10" xfId="29515" xr:uid="{00000000-0005-0000-0000-00004B730000}"/>
    <cellStyle name="Normal 21 11" xfId="29516" xr:uid="{00000000-0005-0000-0000-00004C730000}"/>
    <cellStyle name="Normal 21 12" xfId="29517" xr:uid="{00000000-0005-0000-0000-00004D730000}"/>
    <cellStyle name="Normal 21 13" xfId="29518" xr:uid="{00000000-0005-0000-0000-00004E730000}"/>
    <cellStyle name="Normal 21 14" xfId="29519" xr:uid="{00000000-0005-0000-0000-00004F730000}"/>
    <cellStyle name="Normal 21 15" xfId="29520" xr:uid="{00000000-0005-0000-0000-000050730000}"/>
    <cellStyle name="Normal 21 16" xfId="29521" xr:uid="{00000000-0005-0000-0000-000051730000}"/>
    <cellStyle name="Normal 21 17" xfId="29522" xr:uid="{00000000-0005-0000-0000-000052730000}"/>
    <cellStyle name="Normal 21 18" xfId="29523" xr:uid="{00000000-0005-0000-0000-000053730000}"/>
    <cellStyle name="Normal 21 19" xfId="29524" xr:uid="{00000000-0005-0000-0000-000054730000}"/>
    <cellStyle name="Normal 21 2" xfId="29525" xr:uid="{00000000-0005-0000-0000-000055730000}"/>
    <cellStyle name="Normal 21 2 2" xfId="29526" xr:uid="{00000000-0005-0000-0000-000056730000}"/>
    <cellStyle name="Normal 21 2 3" xfId="29527" xr:uid="{00000000-0005-0000-0000-000057730000}"/>
    <cellStyle name="Normal 21 20" xfId="29528" xr:uid="{00000000-0005-0000-0000-000058730000}"/>
    <cellStyle name="Normal 21 21" xfId="29529" xr:uid="{00000000-0005-0000-0000-000059730000}"/>
    <cellStyle name="Normal 21 22" xfId="29530" xr:uid="{00000000-0005-0000-0000-00005A730000}"/>
    <cellStyle name="Normal 21 23" xfId="29531" xr:uid="{00000000-0005-0000-0000-00005B730000}"/>
    <cellStyle name="Normal 21 24" xfId="29532" xr:uid="{00000000-0005-0000-0000-00005C730000}"/>
    <cellStyle name="Normal 21 25" xfId="29533" xr:uid="{00000000-0005-0000-0000-00005D730000}"/>
    <cellStyle name="Normal 21 26" xfId="29534" xr:uid="{00000000-0005-0000-0000-00005E730000}"/>
    <cellStyle name="Normal 21 3" xfId="29535" xr:uid="{00000000-0005-0000-0000-00005F730000}"/>
    <cellStyle name="Normal 21 3 2" xfId="29536" xr:uid="{00000000-0005-0000-0000-000060730000}"/>
    <cellStyle name="Normal 21 3 3" xfId="29537" xr:uid="{00000000-0005-0000-0000-000061730000}"/>
    <cellStyle name="Normal 21 4" xfId="29538" xr:uid="{00000000-0005-0000-0000-000062730000}"/>
    <cellStyle name="Normal 21 5" xfId="29539" xr:uid="{00000000-0005-0000-0000-000063730000}"/>
    <cellStyle name="Normal 21 6" xfId="29540" xr:uid="{00000000-0005-0000-0000-000064730000}"/>
    <cellStyle name="Normal 21 7" xfId="29541" xr:uid="{00000000-0005-0000-0000-000065730000}"/>
    <cellStyle name="Normal 21 8" xfId="29542" xr:uid="{00000000-0005-0000-0000-000066730000}"/>
    <cellStyle name="Normal 21 9" xfId="29543" xr:uid="{00000000-0005-0000-0000-000067730000}"/>
    <cellStyle name="Normal 22" xfId="29544" xr:uid="{00000000-0005-0000-0000-000068730000}"/>
    <cellStyle name="Normal 22 10" xfId="29545" xr:uid="{00000000-0005-0000-0000-000069730000}"/>
    <cellStyle name="Normal 22 11" xfId="29546" xr:uid="{00000000-0005-0000-0000-00006A730000}"/>
    <cellStyle name="Normal 22 12" xfId="29547" xr:uid="{00000000-0005-0000-0000-00006B730000}"/>
    <cellStyle name="Normal 22 13" xfId="29548" xr:uid="{00000000-0005-0000-0000-00006C730000}"/>
    <cellStyle name="Normal 22 14" xfId="29549" xr:uid="{00000000-0005-0000-0000-00006D730000}"/>
    <cellStyle name="Normal 22 15" xfId="29550" xr:uid="{00000000-0005-0000-0000-00006E730000}"/>
    <cellStyle name="Normal 22 16" xfId="29551" xr:uid="{00000000-0005-0000-0000-00006F730000}"/>
    <cellStyle name="Normal 22 17" xfId="29552" xr:uid="{00000000-0005-0000-0000-000070730000}"/>
    <cellStyle name="Normal 22 18" xfId="29553" xr:uid="{00000000-0005-0000-0000-000071730000}"/>
    <cellStyle name="Normal 22 19" xfId="29554" xr:uid="{00000000-0005-0000-0000-000072730000}"/>
    <cellStyle name="Normal 22 2" xfId="29555" xr:uid="{00000000-0005-0000-0000-000073730000}"/>
    <cellStyle name="Normal 22 2 2" xfId="29556" xr:uid="{00000000-0005-0000-0000-000074730000}"/>
    <cellStyle name="Normal 22 2 3" xfId="29557" xr:uid="{00000000-0005-0000-0000-000075730000}"/>
    <cellStyle name="Normal 22 20" xfId="29558" xr:uid="{00000000-0005-0000-0000-000076730000}"/>
    <cellStyle name="Normal 22 21" xfId="29559" xr:uid="{00000000-0005-0000-0000-000077730000}"/>
    <cellStyle name="Normal 22 22" xfId="29560" xr:uid="{00000000-0005-0000-0000-000078730000}"/>
    <cellStyle name="Normal 22 23" xfId="29561" xr:uid="{00000000-0005-0000-0000-000079730000}"/>
    <cellStyle name="Normal 22 24" xfId="29562" xr:uid="{00000000-0005-0000-0000-00007A730000}"/>
    <cellStyle name="Normal 22 25" xfId="29563" xr:uid="{00000000-0005-0000-0000-00007B730000}"/>
    <cellStyle name="Normal 22 26" xfId="29564" xr:uid="{00000000-0005-0000-0000-00007C730000}"/>
    <cellStyle name="Normal 22 3" xfId="29565" xr:uid="{00000000-0005-0000-0000-00007D730000}"/>
    <cellStyle name="Normal 22 3 2" xfId="29566" xr:uid="{00000000-0005-0000-0000-00007E730000}"/>
    <cellStyle name="Normal 22 3 3" xfId="29567" xr:uid="{00000000-0005-0000-0000-00007F730000}"/>
    <cellStyle name="Normal 22 3 4" xfId="29568" xr:uid="{00000000-0005-0000-0000-000080730000}"/>
    <cellStyle name="Normal 22 3 5" xfId="29569" xr:uid="{00000000-0005-0000-0000-000081730000}"/>
    <cellStyle name="Normal 22 4" xfId="29570" xr:uid="{00000000-0005-0000-0000-000082730000}"/>
    <cellStyle name="Normal 22 5" xfId="29571" xr:uid="{00000000-0005-0000-0000-000083730000}"/>
    <cellStyle name="Normal 22 6" xfId="29572" xr:uid="{00000000-0005-0000-0000-000084730000}"/>
    <cellStyle name="Normal 22 7" xfId="29573" xr:uid="{00000000-0005-0000-0000-000085730000}"/>
    <cellStyle name="Normal 22 8" xfId="29574" xr:uid="{00000000-0005-0000-0000-000086730000}"/>
    <cellStyle name="Normal 22 9" xfId="29575" xr:uid="{00000000-0005-0000-0000-000087730000}"/>
    <cellStyle name="Normal 23" xfId="29576" xr:uid="{00000000-0005-0000-0000-000088730000}"/>
    <cellStyle name="Normal 23 10" xfId="29577" xr:uid="{00000000-0005-0000-0000-000089730000}"/>
    <cellStyle name="Normal 23 11" xfId="29578" xr:uid="{00000000-0005-0000-0000-00008A730000}"/>
    <cellStyle name="Normal 23 12" xfId="29579" xr:uid="{00000000-0005-0000-0000-00008B730000}"/>
    <cellStyle name="Normal 23 13" xfId="29580" xr:uid="{00000000-0005-0000-0000-00008C730000}"/>
    <cellStyle name="Normal 23 14" xfId="29581" xr:uid="{00000000-0005-0000-0000-00008D730000}"/>
    <cellStyle name="Normal 23 15" xfId="29582" xr:uid="{00000000-0005-0000-0000-00008E730000}"/>
    <cellStyle name="Normal 23 16" xfId="29583" xr:uid="{00000000-0005-0000-0000-00008F730000}"/>
    <cellStyle name="Normal 23 17" xfId="29584" xr:uid="{00000000-0005-0000-0000-000090730000}"/>
    <cellStyle name="Normal 23 18" xfId="29585" xr:uid="{00000000-0005-0000-0000-000091730000}"/>
    <cellStyle name="Normal 23 19" xfId="29586" xr:uid="{00000000-0005-0000-0000-000092730000}"/>
    <cellStyle name="Normal 23 2" xfId="29587" xr:uid="{00000000-0005-0000-0000-000093730000}"/>
    <cellStyle name="Normal 23 2 2" xfId="29588" xr:uid="{00000000-0005-0000-0000-000094730000}"/>
    <cellStyle name="Normal 23 2 3" xfId="29589" xr:uid="{00000000-0005-0000-0000-000095730000}"/>
    <cellStyle name="Normal 23 20" xfId="29590" xr:uid="{00000000-0005-0000-0000-000096730000}"/>
    <cellStyle name="Normal 23 21" xfId="29591" xr:uid="{00000000-0005-0000-0000-000097730000}"/>
    <cellStyle name="Normal 23 22" xfId="29592" xr:uid="{00000000-0005-0000-0000-000098730000}"/>
    <cellStyle name="Normal 23 23" xfId="29593" xr:uid="{00000000-0005-0000-0000-000099730000}"/>
    <cellStyle name="Normal 23 24" xfId="29594" xr:uid="{00000000-0005-0000-0000-00009A730000}"/>
    <cellStyle name="Normal 23 25" xfId="29595" xr:uid="{00000000-0005-0000-0000-00009B730000}"/>
    <cellStyle name="Normal 23 26" xfId="29596" xr:uid="{00000000-0005-0000-0000-00009C730000}"/>
    <cellStyle name="Normal 23 3" xfId="29597" xr:uid="{00000000-0005-0000-0000-00009D730000}"/>
    <cellStyle name="Normal 23 3 2" xfId="29598" xr:uid="{00000000-0005-0000-0000-00009E730000}"/>
    <cellStyle name="Normal 23 3 3" xfId="29599" xr:uid="{00000000-0005-0000-0000-00009F730000}"/>
    <cellStyle name="Normal 23 3 4" xfId="29600" xr:uid="{00000000-0005-0000-0000-0000A0730000}"/>
    <cellStyle name="Normal 23 3 5" xfId="29601" xr:uid="{00000000-0005-0000-0000-0000A1730000}"/>
    <cellStyle name="Normal 23 4" xfId="29602" xr:uid="{00000000-0005-0000-0000-0000A2730000}"/>
    <cellStyle name="Normal 23 5" xfId="29603" xr:uid="{00000000-0005-0000-0000-0000A3730000}"/>
    <cellStyle name="Normal 23 6" xfId="29604" xr:uid="{00000000-0005-0000-0000-0000A4730000}"/>
    <cellStyle name="Normal 23 7" xfId="29605" xr:uid="{00000000-0005-0000-0000-0000A5730000}"/>
    <cellStyle name="Normal 23 8" xfId="29606" xr:uid="{00000000-0005-0000-0000-0000A6730000}"/>
    <cellStyle name="Normal 23 9" xfId="29607" xr:uid="{00000000-0005-0000-0000-0000A7730000}"/>
    <cellStyle name="Normal 24" xfId="29608" xr:uid="{00000000-0005-0000-0000-0000A8730000}"/>
    <cellStyle name="Normal 24 10" xfId="29609" xr:uid="{00000000-0005-0000-0000-0000A9730000}"/>
    <cellStyle name="Normal 24 11" xfId="29610" xr:uid="{00000000-0005-0000-0000-0000AA730000}"/>
    <cellStyle name="Normal 24 12" xfId="29611" xr:uid="{00000000-0005-0000-0000-0000AB730000}"/>
    <cellStyle name="Normal 24 13" xfId="29612" xr:uid="{00000000-0005-0000-0000-0000AC730000}"/>
    <cellStyle name="Normal 24 14" xfId="29613" xr:uid="{00000000-0005-0000-0000-0000AD730000}"/>
    <cellStyle name="Normal 24 15" xfId="29614" xr:uid="{00000000-0005-0000-0000-0000AE730000}"/>
    <cellStyle name="Normal 24 16" xfId="29615" xr:uid="{00000000-0005-0000-0000-0000AF730000}"/>
    <cellStyle name="Normal 24 17" xfId="29616" xr:uid="{00000000-0005-0000-0000-0000B0730000}"/>
    <cellStyle name="Normal 24 18" xfId="29617" xr:uid="{00000000-0005-0000-0000-0000B1730000}"/>
    <cellStyle name="Normal 24 19" xfId="29618" xr:uid="{00000000-0005-0000-0000-0000B2730000}"/>
    <cellStyle name="Normal 24 2" xfId="29619" xr:uid="{00000000-0005-0000-0000-0000B3730000}"/>
    <cellStyle name="Normal 24 20" xfId="29620" xr:uid="{00000000-0005-0000-0000-0000B4730000}"/>
    <cellStyle name="Normal 24 21" xfId="29621" xr:uid="{00000000-0005-0000-0000-0000B5730000}"/>
    <cellStyle name="Normal 24 22" xfId="29622" xr:uid="{00000000-0005-0000-0000-0000B6730000}"/>
    <cellStyle name="Normal 24 23" xfId="29623" xr:uid="{00000000-0005-0000-0000-0000B7730000}"/>
    <cellStyle name="Normal 24 24" xfId="29624" xr:uid="{00000000-0005-0000-0000-0000B8730000}"/>
    <cellStyle name="Normal 24 25" xfId="29625" xr:uid="{00000000-0005-0000-0000-0000B9730000}"/>
    <cellStyle name="Normal 24 26" xfId="29626" xr:uid="{00000000-0005-0000-0000-0000BA730000}"/>
    <cellStyle name="Normal 24 27" xfId="29627" xr:uid="{00000000-0005-0000-0000-0000BB730000}"/>
    <cellStyle name="Normal 24 3" xfId="29628" xr:uid="{00000000-0005-0000-0000-0000BC730000}"/>
    <cellStyle name="Normal 24 4" xfId="29629" xr:uid="{00000000-0005-0000-0000-0000BD730000}"/>
    <cellStyle name="Normal 24 5" xfId="29630" xr:uid="{00000000-0005-0000-0000-0000BE730000}"/>
    <cellStyle name="Normal 24 6" xfId="29631" xr:uid="{00000000-0005-0000-0000-0000BF730000}"/>
    <cellStyle name="Normal 24 7" xfId="29632" xr:uid="{00000000-0005-0000-0000-0000C0730000}"/>
    <cellStyle name="Normal 24 8" xfId="29633" xr:uid="{00000000-0005-0000-0000-0000C1730000}"/>
    <cellStyle name="Normal 24 9" xfId="29634" xr:uid="{00000000-0005-0000-0000-0000C2730000}"/>
    <cellStyle name="Normal 25" xfId="29635" xr:uid="{00000000-0005-0000-0000-0000C3730000}"/>
    <cellStyle name="Normal 25 10" xfId="29636" xr:uid="{00000000-0005-0000-0000-0000C4730000}"/>
    <cellStyle name="Normal 25 11" xfId="29637" xr:uid="{00000000-0005-0000-0000-0000C5730000}"/>
    <cellStyle name="Normal 25 12" xfId="29638" xr:uid="{00000000-0005-0000-0000-0000C6730000}"/>
    <cellStyle name="Normal 25 13" xfId="29639" xr:uid="{00000000-0005-0000-0000-0000C7730000}"/>
    <cellStyle name="Normal 25 14" xfId="29640" xr:uid="{00000000-0005-0000-0000-0000C8730000}"/>
    <cellStyle name="Normal 25 15" xfId="29641" xr:uid="{00000000-0005-0000-0000-0000C9730000}"/>
    <cellStyle name="Normal 25 16" xfId="29642" xr:uid="{00000000-0005-0000-0000-0000CA730000}"/>
    <cellStyle name="Normal 25 17" xfId="29643" xr:uid="{00000000-0005-0000-0000-0000CB730000}"/>
    <cellStyle name="Normal 25 18" xfId="29644" xr:uid="{00000000-0005-0000-0000-0000CC730000}"/>
    <cellStyle name="Normal 25 19" xfId="29645" xr:uid="{00000000-0005-0000-0000-0000CD730000}"/>
    <cellStyle name="Normal 25 2" xfId="29646" xr:uid="{00000000-0005-0000-0000-0000CE730000}"/>
    <cellStyle name="Normal 25 20" xfId="29647" xr:uid="{00000000-0005-0000-0000-0000CF730000}"/>
    <cellStyle name="Normal 25 21" xfId="29648" xr:uid="{00000000-0005-0000-0000-0000D0730000}"/>
    <cellStyle name="Normal 25 22" xfId="29649" xr:uid="{00000000-0005-0000-0000-0000D1730000}"/>
    <cellStyle name="Normal 25 23" xfId="29650" xr:uid="{00000000-0005-0000-0000-0000D2730000}"/>
    <cellStyle name="Normal 25 24" xfId="29651" xr:uid="{00000000-0005-0000-0000-0000D3730000}"/>
    <cellStyle name="Normal 25 25" xfId="29652" xr:uid="{00000000-0005-0000-0000-0000D4730000}"/>
    <cellStyle name="Normal 25 3" xfId="29653" xr:uid="{00000000-0005-0000-0000-0000D5730000}"/>
    <cellStyle name="Normal 25 4" xfId="29654" xr:uid="{00000000-0005-0000-0000-0000D6730000}"/>
    <cellStyle name="Normal 25 5" xfId="29655" xr:uid="{00000000-0005-0000-0000-0000D7730000}"/>
    <cellStyle name="Normal 25 6" xfId="29656" xr:uid="{00000000-0005-0000-0000-0000D8730000}"/>
    <cellStyle name="Normal 25 7" xfId="29657" xr:uid="{00000000-0005-0000-0000-0000D9730000}"/>
    <cellStyle name="Normal 25 8" xfId="29658" xr:uid="{00000000-0005-0000-0000-0000DA730000}"/>
    <cellStyle name="Normal 25 9" xfId="29659" xr:uid="{00000000-0005-0000-0000-0000DB730000}"/>
    <cellStyle name="Normal 26" xfId="29660" xr:uid="{00000000-0005-0000-0000-0000DC730000}"/>
    <cellStyle name="Normal 26 10" xfId="29661" xr:uid="{00000000-0005-0000-0000-0000DD730000}"/>
    <cellStyle name="Normal 26 11" xfId="29662" xr:uid="{00000000-0005-0000-0000-0000DE730000}"/>
    <cellStyle name="Normal 26 12" xfId="29663" xr:uid="{00000000-0005-0000-0000-0000DF730000}"/>
    <cellStyle name="Normal 26 13" xfId="29664" xr:uid="{00000000-0005-0000-0000-0000E0730000}"/>
    <cellStyle name="Normal 26 14" xfId="29665" xr:uid="{00000000-0005-0000-0000-0000E1730000}"/>
    <cellStyle name="Normal 26 15" xfId="29666" xr:uid="{00000000-0005-0000-0000-0000E2730000}"/>
    <cellStyle name="Normal 26 16" xfId="29667" xr:uid="{00000000-0005-0000-0000-0000E3730000}"/>
    <cellStyle name="Normal 26 17" xfId="29668" xr:uid="{00000000-0005-0000-0000-0000E4730000}"/>
    <cellStyle name="Normal 26 18" xfId="29669" xr:uid="{00000000-0005-0000-0000-0000E5730000}"/>
    <cellStyle name="Normal 26 19" xfId="29670" xr:uid="{00000000-0005-0000-0000-0000E6730000}"/>
    <cellStyle name="Normal 26 2" xfId="29671" xr:uid="{00000000-0005-0000-0000-0000E7730000}"/>
    <cellStyle name="Normal 26 20" xfId="29672" xr:uid="{00000000-0005-0000-0000-0000E8730000}"/>
    <cellStyle name="Normal 26 21" xfId="29673" xr:uid="{00000000-0005-0000-0000-0000E9730000}"/>
    <cellStyle name="Normal 26 22" xfId="29674" xr:uid="{00000000-0005-0000-0000-0000EA730000}"/>
    <cellStyle name="Normal 26 23" xfId="29675" xr:uid="{00000000-0005-0000-0000-0000EB730000}"/>
    <cellStyle name="Normal 26 24" xfId="29676" xr:uid="{00000000-0005-0000-0000-0000EC730000}"/>
    <cellStyle name="Normal 26 25" xfId="29677" xr:uid="{00000000-0005-0000-0000-0000ED730000}"/>
    <cellStyle name="Normal 26 3" xfId="29678" xr:uid="{00000000-0005-0000-0000-0000EE730000}"/>
    <cellStyle name="Normal 26 4" xfId="29679" xr:uid="{00000000-0005-0000-0000-0000EF730000}"/>
    <cellStyle name="Normal 26 5" xfId="29680" xr:uid="{00000000-0005-0000-0000-0000F0730000}"/>
    <cellStyle name="Normal 26 6" xfId="29681" xr:uid="{00000000-0005-0000-0000-0000F1730000}"/>
    <cellStyle name="Normal 26 7" xfId="29682" xr:uid="{00000000-0005-0000-0000-0000F2730000}"/>
    <cellStyle name="Normal 26 8" xfId="29683" xr:uid="{00000000-0005-0000-0000-0000F3730000}"/>
    <cellStyle name="Normal 26 9" xfId="29684" xr:uid="{00000000-0005-0000-0000-0000F4730000}"/>
    <cellStyle name="Normal 27" xfId="29685" xr:uid="{00000000-0005-0000-0000-0000F5730000}"/>
    <cellStyle name="Normal 27 2" xfId="29686" xr:uid="{00000000-0005-0000-0000-0000F6730000}"/>
    <cellStyle name="Normal 28" xfId="29687" xr:uid="{00000000-0005-0000-0000-0000F7730000}"/>
    <cellStyle name="Normal 28 10" xfId="29688" xr:uid="{00000000-0005-0000-0000-0000F8730000}"/>
    <cellStyle name="Normal 28 11" xfId="29689" xr:uid="{00000000-0005-0000-0000-0000F9730000}"/>
    <cellStyle name="Normal 28 12" xfId="29690" xr:uid="{00000000-0005-0000-0000-0000FA730000}"/>
    <cellStyle name="Normal 28 13" xfId="29691" xr:uid="{00000000-0005-0000-0000-0000FB730000}"/>
    <cellStyle name="Normal 28 14" xfId="29692" xr:uid="{00000000-0005-0000-0000-0000FC730000}"/>
    <cellStyle name="Normal 28 15" xfId="29693" xr:uid="{00000000-0005-0000-0000-0000FD730000}"/>
    <cellStyle name="Normal 28 16" xfId="29694" xr:uid="{00000000-0005-0000-0000-0000FE730000}"/>
    <cellStyle name="Normal 28 17" xfId="29695" xr:uid="{00000000-0005-0000-0000-0000FF730000}"/>
    <cellStyle name="Normal 28 18" xfId="29696" xr:uid="{00000000-0005-0000-0000-000000740000}"/>
    <cellStyle name="Normal 28 19" xfId="29697" xr:uid="{00000000-0005-0000-0000-000001740000}"/>
    <cellStyle name="Normal 28 2" xfId="29698" xr:uid="{00000000-0005-0000-0000-000002740000}"/>
    <cellStyle name="Normal 28 2 2" xfId="29699" xr:uid="{00000000-0005-0000-0000-000003740000}"/>
    <cellStyle name="Normal 28 2 3" xfId="29700" xr:uid="{00000000-0005-0000-0000-000004740000}"/>
    <cellStyle name="Normal 28 20" xfId="29701" xr:uid="{00000000-0005-0000-0000-000005740000}"/>
    <cellStyle name="Normal 28 21" xfId="29702" xr:uid="{00000000-0005-0000-0000-000006740000}"/>
    <cellStyle name="Normal 28 22" xfId="29703" xr:uid="{00000000-0005-0000-0000-000007740000}"/>
    <cellStyle name="Normal 28 23" xfId="29704" xr:uid="{00000000-0005-0000-0000-000008740000}"/>
    <cellStyle name="Normal 28 24" xfId="29705" xr:uid="{00000000-0005-0000-0000-000009740000}"/>
    <cellStyle name="Normal 28 25" xfId="29706" xr:uid="{00000000-0005-0000-0000-00000A740000}"/>
    <cellStyle name="Normal 28 26" xfId="29707" xr:uid="{00000000-0005-0000-0000-00000B740000}"/>
    <cellStyle name="Normal 28 3" xfId="29708" xr:uid="{00000000-0005-0000-0000-00000C740000}"/>
    <cellStyle name="Normal 28 3 2" xfId="29709" xr:uid="{00000000-0005-0000-0000-00000D740000}"/>
    <cellStyle name="Normal 28 3 3" xfId="29710" xr:uid="{00000000-0005-0000-0000-00000E740000}"/>
    <cellStyle name="Normal 28 4" xfId="29711" xr:uid="{00000000-0005-0000-0000-00000F740000}"/>
    <cellStyle name="Normal 28 5" xfId="29712" xr:uid="{00000000-0005-0000-0000-000010740000}"/>
    <cellStyle name="Normal 28 6" xfId="29713" xr:uid="{00000000-0005-0000-0000-000011740000}"/>
    <cellStyle name="Normal 28 7" xfId="29714" xr:uid="{00000000-0005-0000-0000-000012740000}"/>
    <cellStyle name="Normal 28 8" xfId="29715" xr:uid="{00000000-0005-0000-0000-000013740000}"/>
    <cellStyle name="Normal 28 9" xfId="29716" xr:uid="{00000000-0005-0000-0000-000014740000}"/>
    <cellStyle name="Normal 29" xfId="29717" xr:uid="{00000000-0005-0000-0000-000015740000}"/>
    <cellStyle name="Normal 29 10" xfId="29718" xr:uid="{00000000-0005-0000-0000-000016740000}"/>
    <cellStyle name="Normal 29 11" xfId="29719" xr:uid="{00000000-0005-0000-0000-000017740000}"/>
    <cellStyle name="Normal 29 12" xfId="29720" xr:uid="{00000000-0005-0000-0000-000018740000}"/>
    <cellStyle name="Normal 29 13" xfId="29721" xr:uid="{00000000-0005-0000-0000-000019740000}"/>
    <cellStyle name="Normal 29 14" xfId="29722" xr:uid="{00000000-0005-0000-0000-00001A740000}"/>
    <cellStyle name="Normal 29 15" xfId="29723" xr:uid="{00000000-0005-0000-0000-00001B740000}"/>
    <cellStyle name="Normal 29 16" xfId="29724" xr:uid="{00000000-0005-0000-0000-00001C740000}"/>
    <cellStyle name="Normal 29 17" xfId="29725" xr:uid="{00000000-0005-0000-0000-00001D740000}"/>
    <cellStyle name="Normal 29 18" xfId="29726" xr:uid="{00000000-0005-0000-0000-00001E740000}"/>
    <cellStyle name="Normal 29 19" xfId="29727" xr:uid="{00000000-0005-0000-0000-00001F740000}"/>
    <cellStyle name="Normal 29 2" xfId="29728" xr:uid="{00000000-0005-0000-0000-000020740000}"/>
    <cellStyle name="Normal 29 2 2" xfId="29729" xr:uid="{00000000-0005-0000-0000-000021740000}"/>
    <cellStyle name="Normal 29 2 3" xfId="29730" xr:uid="{00000000-0005-0000-0000-000022740000}"/>
    <cellStyle name="Normal 29 20" xfId="29731" xr:uid="{00000000-0005-0000-0000-000023740000}"/>
    <cellStyle name="Normal 29 21" xfId="29732" xr:uid="{00000000-0005-0000-0000-000024740000}"/>
    <cellStyle name="Normal 29 22" xfId="29733" xr:uid="{00000000-0005-0000-0000-000025740000}"/>
    <cellStyle name="Normal 29 23" xfId="29734" xr:uid="{00000000-0005-0000-0000-000026740000}"/>
    <cellStyle name="Normal 29 24" xfId="29735" xr:uid="{00000000-0005-0000-0000-000027740000}"/>
    <cellStyle name="Normal 29 25" xfId="29736" xr:uid="{00000000-0005-0000-0000-000028740000}"/>
    <cellStyle name="Normal 29 26" xfId="29737" xr:uid="{00000000-0005-0000-0000-000029740000}"/>
    <cellStyle name="Normal 29 3" xfId="29738" xr:uid="{00000000-0005-0000-0000-00002A740000}"/>
    <cellStyle name="Normal 29 3 2" xfId="29739" xr:uid="{00000000-0005-0000-0000-00002B740000}"/>
    <cellStyle name="Normal 29 3 3" xfId="29740" xr:uid="{00000000-0005-0000-0000-00002C740000}"/>
    <cellStyle name="Normal 29 4" xfId="29741" xr:uid="{00000000-0005-0000-0000-00002D740000}"/>
    <cellStyle name="Normal 29 5" xfId="29742" xr:uid="{00000000-0005-0000-0000-00002E740000}"/>
    <cellStyle name="Normal 29 6" xfId="29743" xr:uid="{00000000-0005-0000-0000-00002F740000}"/>
    <cellStyle name="Normal 29 7" xfId="29744" xr:uid="{00000000-0005-0000-0000-000030740000}"/>
    <cellStyle name="Normal 29 8" xfId="29745" xr:uid="{00000000-0005-0000-0000-000031740000}"/>
    <cellStyle name="Normal 29 9" xfId="29746" xr:uid="{00000000-0005-0000-0000-000032740000}"/>
    <cellStyle name="Normal 3" xfId="434" xr:uid="{00000000-0005-0000-0000-0000B2010000}"/>
    <cellStyle name="Normal 3 10" xfId="29747" xr:uid="{00000000-0005-0000-0000-000033740000}"/>
    <cellStyle name="Normal 3 10 2" xfId="29748" xr:uid="{00000000-0005-0000-0000-000034740000}"/>
    <cellStyle name="Normal 3 10 3" xfId="29749" xr:uid="{00000000-0005-0000-0000-000035740000}"/>
    <cellStyle name="Normal 3 10 4" xfId="29750" xr:uid="{00000000-0005-0000-0000-000036740000}"/>
    <cellStyle name="Normal 3 10 5" xfId="29751" xr:uid="{00000000-0005-0000-0000-000037740000}"/>
    <cellStyle name="Normal 3 10 6" xfId="29752" xr:uid="{00000000-0005-0000-0000-000038740000}"/>
    <cellStyle name="Normal 3 10_Enlaces" xfId="29753" xr:uid="{00000000-0005-0000-0000-000039740000}"/>
    <cellStyle name="Normal 3 100" xfId="29754" xr:uid="{00000000-0005-0000-0000-00003A740000}"/>
    <cellStyle name="Normal 3 100 2" xfId="29755" xr:uid="{00000000-0005-0000-0000-00003B740000}"/>
    <cellStyle name="Normal 3 100 3" xfId="29756" xr:uid="{00000000-0005-0000-0000-00003C740000}"/>
    <cellStyle name="Normal 3 101" xfId="29757" xr:uid="{00000000-0005-0000-0000-00003D740000}"/>
    <cellStyle name="Normal 3 101 2" xfId="29758" xr:uid="{00000000-0005-0000-0000-00003E740000}"/>
    <cellStyle name="Normal 3 101 3" xfId="29759" xr:uid="{00000000-0005-0000-0000-00003F740000}"/>
    <cellStyle name="Normal 3 102" xfId="29760" xr:uid="{00000000-0005-0000-0000-000040740000}"/>
    <cellStyle name="Normal 3 102 2" xfId="29761" xr:uid="{00000000-0005-0000-0000-000041740000}"/>
    <cellStyle name="Normal 3 102 3" xfId="29762" xr:uid="{00000000-0005-0000-0000-000042740000}"/>
    <cellStyle name="Normal 3 103" xfId="29763" xr:uid="{00000000-0005-0000-0000-000043740000}"/>
    <cellStyle name="Normal 3 103 2" xfId="29764" xr:uid="{00000000-0005-0000-0000-000044740000}"/>
    <cellStyle name="Normal 3 103 3" xfId="29765" xr:uid="{00000000-0005-0000-0000-000045740000}"/>
    <cellStyle name="Normal 3 104" xfId="29766" xr:uid="{00000000-0005-0000-0000-000046740000}"/>
    <cellStyle name="Normal 3 104 2" xfId="29767" xr:uid="{00000000-0005-0000-0000-000047740000}"/>
    <cellStyle name="Normal 3 104 3" xfId="29768" xr:uid="{00000000-0005-0000-0000-000048740000}"/>
    <cellStyle name="Normal 3 105" xfId="29769" xr:uid="{00000000-0005-0000-0000-000049740000}"/>
    <cellStyle name="Normal 3 105 2" xfId="29770" xr:uid="{00000000-0005-0000-0000-00004A740000}"/>
    <cellStyle name="Normal 3 105 3" xfId="29771" xr:uid="{00000000-0005-0000-0000-00004B740000}"/>
    <cellStyle name="Normal 3 106" xfId="29772" xr:uid="{00000000-0005-0000-0000-00004C740000}"/>
    <cellStyle name="Normal 3 106 2" xfId="29773" xr:uid="{00000000-0005-0000-0000-00004D740000}"/>
    <cellStyle name="Normal 3 106 3" xfId="29774" xr:uid="{00000000-0005-0000-0000-00004E740000}"/>
    <cellStyle name="Normal 3 107" xfId="29775" xr:uid="{00000000-0005-0000-0000-00004F740000}"/>
    <cellStyle name="Normal 3 107 2" xfId="29776" xr:uid="{00000000-0005-0000-0000-000050740000}"/>
    <cellStyle name="Normal 3 107 3" xfId="29777" xr:uid="{00000000-0005-0000-0000-000051740000}"/>
    <cellStyle name="Normal 3 108" xfId="29778" xr:uid="{00000000-0005-0000-0000-000052740000}"/>
    <cellStyle name="Normal 3 108 2" xfId="29779" xr:uid="{00000000-0005-0000-0000-000053740000}"/>
    <cellStyle name="Normal 3 108 3" xfId="29780" xr:uid="{00000000-0005-0000-0000-000054740000}"/>
    <cellStyle name="Normal 3 109" xfId="29781" xr:uid="{00000000-0005-0000-0000-000055740000}"/>
    <cellStyle name="Normal 3 109 2" xfId="29782" xr:uid="{00000000-0005-0000-0000-000056740000}"/>
    <cellStyle name="Normal 3 109 3" xfId="29783" xr:uid="{00000000-0005-0000-0000-000057740000}"/>
    <cellStyle name="Normal 3 11" xfId="29784" xr:uid="{00000000-0005-0000-0000-000058740000}"/>
    <cellStyle name="Normal 3 11 2" xfId="29785" xr:uid="{00000000-0005-0000-0000-000059740000}"/>
    <cellStyle name="Normal 3 11 3" xfId="29786" xr:uid="{00000000-0005-0000-0000-00005A740000}"/>
    <cellStyle name="Normal 3 11 4" xfId="29787" xr:uid="{00000000-0005-0000-0000-00005B740000}"/>
    <cellStyle name="Normal 3 11_Enlaces" xfId="29788" xr:uid="{00000000-0005-0000-0000-00005C740000}"/>
    <cellStyle name="Normal 3 110" xfId="29789" xr:uid="{00000000-0005-0000-0000-00005D740000}"/>
    <cellStyle name="Normal 3 110 2" xfId="29790" xr:uid="{00000000-0005-0000-0000-00005E740000}"/>
    <cellStyle name="Normal 3 110 3" xfId="29791" xr:uid="{00000000-0005-0000-0000-00005F740000}"/>
    <cellStyle name="Normal 3 111" xfId="29792" xr:uid="{00000000-0005-0000-0000-000060740000}"/>
    <cellStyle name="Normal 3 111 2" xfId="29793" xr:uid="{00000000-0005-0000-0000-000061740000}"/>
    <cellStyle name="Normal 3 111 3" xfId="29794" xr:uid="{00000000-0005-0000-0000-000062740000}"/>
    <cellStyle name="Normal 3 112" xfId="29795" xr:uid="{00000000-0005-0000-0000-000063740000}"/>
    <cellStyle name="Normal 3 112 2" xfId="29796" xr:uid="{00000000-0005-0000-0000-000064740000}"/>
    <cellStyle name="Normal 3 112 3" xfId="29797" xr:uid="{00000000-0005-0000-0000-000065740000}"/>
    <cellStyle name="Normal 3 113" xfId="29798" xr:uid="{00000000-0005-0000-0000-000066740000}"/>
    <cellStyle name="Normal 3 113 2" xfId="29799" xr:uid="{00000000-0005-0000-0000-000067740000}"/>
    <cellStyle name="Normal 3 113 3" xfId="29800" xr:uid="{00000000-0005-0000-0000-000068740000}"/>
    <cellStyle name="Normal 3 114" xfId="29801" xr:uid="{00000000-0005-0000-0000-000069740000}"/>
    <cellStyle name="Normal 3 114 2" xfId="29802" xr:uid="{00000000-0005-0000-0000-00006A740000}"/>
    <cellStyle name="Normal 3 114 3" xfId="29803" xr:uid="{00000000-0005-0000-0000-00006B740000}"/>
    <cellStyle name="Normal 3 115" xfId="29804" xr:uid="{00000000-0005-0000-0000-00006C740000}"/>
    <cellStyle name="Normal 3 115 2" xfId="29805" xr:uid="{00000000-0005-0000-0000-00006D740000}"/>
    <cellStyle name="Normal 3 115 3" xfId="29806" xr:uid="{00000000-0005-0000-0000-00006E740000}"/>
    <cellStyle name="Normal 3 116" xfId="29807" xr:uid="{00000000-0005-0000-0000-00006F740000}"/>
    <cellStyle name="Normal 3 116 2" xfId="29808" xr:uid="{00000000-0005-0000-0000-000070740000}"/>
    <cellStyle name="Normal 3 116 3" xfId="29809" xr:uid="{00000000-0005-0000-0000-000071740000}"/>
    <cellStyle name="Normal 3 117" xfId="29810" xr:uid="{00000000-0005-0000-0000-000072740000}"/>
    <cellStyle name="Normal 3 117 2" xfId="29811" xr:uid="{00000000-0005-0000-0000-000073740000}"/>
    <cellStyle name="Normal 3 117 3" xfId="29812" xr:uid="{00000000-0005-0000-0000-000074740000}"/>
    <cellStyle name="Normal 3 118" xfId="29813" xr:uid="{00000000-0005-0000-0000-000075740000}"/>
    <cellStyle name="Normal 3 118 2" xfId="29814" xr:uid="{00000000-0005-0000-0000-000076740000}"/>
    <cellStyle name="Normal 3 118 3" xfId="29815" xr:uid="{00000000-0005-0000-0000-000077740000}"/>
    <cellStyle name="Normal 3 119" xfId="29816" xr:uid="{00000000-0005-0000-0000-000078740000}"/>
    <cellStyle name="Normal 3 119 2" xfId="29817" xr:uid="{00000000-0005-0000-0000-000079740000}"/>
    <cellStyle name="Normal 3 119 3" xfId="29818" xr:uid="{00000000-0005-0000-0000-00007A740000}"/>
    <cellStyle name="Normal 3 12" xfId="29819" xr:uid="{00000000-0005-0000-0000-00007B740000}"/>
    <cellStyle name="Normal 3 12 2" xfId="29820" xr:uid="{00000000-0005-0000-0000-00007C740000}"/>
    <cellStyle name="Normal 3 12 3" xfId="29821" xr:uid="{00000000-0005-0000-0000-00007D740000}"/>
    <cellStyle name="Normal 3 12_Enlaces" xfId="29822" xr:uid="{00000000-0005-0000-0000-00007E740000}"/>
    <cellStyle name="Normal 3 120" xfId="29823" xr:uid="{00000000-0005-0000-0000-00007F740000}"/>
    <cellStyle name="Normal 3 120 2" xfId="29824" xr:uid="{00000000-0005-0000-0000-000080740000}"/>
    <cellStyle name="Normal 3 120 3" xfId="29825" xr:uid="{00000000-0005-0000-0000-000081740000}"/>
    <cellStyle name="Normal 3 121" xfId="29826" xr:uid="{00000000-0005-0000-0000-000082740000}"/>
    <cellStyle name="Normal 3 121 2" xfId="29827" xr:uid="{00000000-0005-0000-0000-000083740000}"/>
    <cellStyle name="Normal 3 121 3" xfId="29828" xr:uid="{00000000-0005-0000-0000-000084740000}"/>
    <cellStyle name="Normal 3 122" xfId="29829" xr:uid="{00000000-0005-0000-0000-000085740000}"/>
    <cellStyle name="Normal 3 122 2" xfId="29830" xr:uid="{00000000-0005-0000-0000-000086740000}"/>
    <cellStyle name="Normal 3 122 3" xfId="29831" xr:uid="{00000000-0005-0000-0000-000087740000}"/>
    <cellStyle name="Normal 3 123" xfId="29832" xr:uid="{00000000-0005-0000-0000-000088740000}"/>
    <cellStyle name="Normal 3 123 2" xfId="29833" xr:uid="{00000000-0005-0000-0000-000089740000}"/>
    <cellStyle name="Normal 3 123 3" xfId="29834" xr:uid="{00000000-0005-0000-0000-00008A740000}"/>
    <cellStyle name="Normal 3 124" xfId="29835" xr:uid="{00000000-0005-0000-0000-00008B740000}"/>
    <cellStyle name="Normal 3 125" xfId="29836" xr:uid="{00000000-0005-0000-0000-00008C740000}"/>
    <cellStyle name="Normal 3 126" xfId="29837" xr:uid="{00000000-0005-0000-0000-00008D740000}"/>
    <cellStyle name="Normal 3 127" xfId="29838" xr:uid="{00000000-0005-0000-0000-00008E740000}"/>
    <cellStyle name="Normal 3 128" xfId="29839" xr:uid="{00000000-0005-0000-0000-00008F740000}"/>
    <cellStyle name="Normal 3 129" xfId="29840" xr:uid="{00000000-0005-0000-0000-000090740000}"/>
    <cellStyle name="Normal 3 13" xfId="29841" xr:uid="{00000000-0005-0000-0000-000091740000}"/>
    <cellStyle name="Normal 3 13 2" xfId="29842" xr:uid="{00000000-0005-0000-0000-000092740000}"/>
    <cellStyle name="Normal 3 13 3" xfId="29843" xr:uid="{00000000-0005-0000-0000-000093740000}"/>
    <cellStyle name="Normal 3 13_Enlaces" xfId="29844" xr:uid="{00000000-0005-0000-0000-000094740000}"/>
    <cellStyle name="Normal 3 130" xfId="29845" xr:uid="{00000000-0005-0000-0000-000095740000}"/>
    <cellStyle name="Normal 3 131" xfId="29846" xr:uid="{00000000-0005-0000-0000-000096740000}"/>
    <cellStyle name="Normal 3 131 2" xfId="29847" xr:uid="{00000000-0005-0000-0000-000097740000}"/>
    <cellStyle name="Normal 3 132" xfId="29848" xr:uid="{00000000-0005-0000-0000-000098740000}"/>
    <cellStyle name="Normal 3 132 2" xfId="29849" xr:uid="{00000000-0005-0000-0000-000099740000}"/>
    <cellStyle name="Normal 3 133" xfId="29850" xr:uid="{00000000-0005-0000-0000-00009A740000}"/>
    <cellStyle name="Normal 3 133 2" xfId="29851" xr:uid="{00000000-0005-0000-0000-00009B740000}"/>
    <cellStyle name="Normal 3 134" xfId="29852" xr:uid="{00000000-0005-0000-0000-00009C740000}"/>
    <cellStyle name="Normal 3 134 2" xfId="29853" xr:uid="{00000000-0005-0000-0000-00009D740000}"/>
    <cellStyle name="Normal 3 135" xfId="29854" xr:uid="{00000000-0005-0000-0000-00009E740000}"/>
    <cellStyle name="Normal 3 135 2" xfId="29855" xr:uid="{00000000-0005-0000-0000-00009F740000}"/>
    <cellStyle name="Normal 3 136" xfId="29856" xr:uid="{00000000-0005-0000-0000-0000A0740000}"/>
    <cellStyle name="Normal 3 136 2" xfId="29857" xr:uid="{00000000-0005-0000-0000-0000A1740000}"/>
    <cellStyle name="Normal 3 137" xfId="29858" xr:uid="{00000000-0005-0000-0000-0000A2740000}"/>
    <cellStyle name="Normal 3 137 2" xfId="29859" xr:uid="{00000000-0005-0000-0000-0000A3740000}"/>
    <cellStyle name="Normal 3 138" xfId="29860" xr:uid="{00000000-0005-0000-0000-0000A4740000}"/>
    <cellStyle name="Normal 3 138 2" xfId="29861" xr:uid="{00000000-0005-0000-0000-0000A5740000}"/>
    <cellStyle name="Normal 3 139" xfId="29862" xr:uid="{00000000-0005-0000-0000-0000A6740000}"/>
    <cellStyle name="Normal 3 139 2" xfId="29863" xr:uid="{00000000-0005-0000-0000-0000A7740000}"/>
    <cellStyle name="Normal 3 14" xfId="29864" xr:uid="{00000000-0005-0000-0000-0000A8740000}"/>
    <cellStyle name="Normal 3 14 2" xfId="29865" xr:uid="{00000000-0005-0000-0000-0000A9740000}"/>
    <cellStyle name="Normal 3 14 3" xfId="29866" xr:uid="{00000000-0005-0000-0000-0000AA740000}"/>
    <cellStyle name="Normal 3 14_Enlaces" xfId="29867" xr:uid="{00000000-0005-0000-0000-0000AB740000}"/>
    <cellStyle name="Normal 3 140" xfId="29868" xr:uid="{00000000-0005-0000-0000-0000AC740000}"/>
    <cellStyle name="Normal 3 140 2" xfId="29869" xr:uid="{00000000-0005-0000-0000-0000AD740000}"/>
    <cellStyle name="Normal 3 141" xfId="29870" xr:uid="{00000000-0005-0000-0000-0000AE740000}"/>
    <cellStyle name="Normal 3 141 2" xfId="29871" xr:uid="{00000000-0005-0000-0000-0000AF740000}"/>
    <cellStyle name="Normal 3 142" xfId="29872" xr:uid="{00000000-0005-0000-0000-0000B0740000}"/>
    <cellStyle name="Normal 3 143" xfId="29873" xr:uid="{00000000-0005-0000-0000-0000B1740000}"/>
    <cellStyle name="Normal 3 143 2" xfId="29874" xr:uid="{00000000-0005-0000-0000-0000B2740000}"/>
    <cellStyle name="Normal 3 144" xfId="29875" xr:uid="{00000000-0005-0000-0000-0000B3740000}"/>
    <cellStyle name="Normal 3 145" xfId="29876" xr:uid="{00000000-0005-0000-0000-0000B4740000}"/>
    <cellStyle name="Normal 3 15" xfId="29877" xr:uid="{00000000-0005-0000-0000-0000B5740000}"/>
    <cellStyle name="Normal 3 15 2" xfId="29878" xr:uid="{00000000-0005-0000-0000-0000B6740000}"/>
    <cellStyle name="Normal 3 15 3" xfId="29879" xr:uid="{00000000-0005-0000-0000-0000B7740000}"/>
    <cellStyle name="Normal 3 15_Enlaces" xfId="29880" xr:uid="{00000000-0005-0000-0000-0000B8740000}"/>
    <cellStyle name="Normal 3 16" xfId="29881" xr:uid="{00000000-0005-0000-0000-0000B9740000}"/>
    <cellStyle name="Normal 3 16 2" xfId="29882" xr:uid="{00000000-0005-0000-0000-0000BA740000}"/>
    <cellStyle name="Normal 3 16 3" xfId="29883" xr:uid="{00000000-0005-0000-0000-0000BB740000}"/>
    <cellStyle name="Normal 3 16_Enlaces" xfId="29884" xr:uid="{00000000-0005-0000-0000-0000BC740000}"/>
    <cellStyle name="Normal 3 17" xfId="29885" xr:uid="{00000000-0005-0000-0000-0000BD740000}"/>
    <cellStyle name="Normal 3 17 2" xfId="29886" xr:uid="{00000000-0005-0000-0000-0000BE740000}"/>
    <cellStyle name="Normal 3 17 3" xfId="29887" xr:uid="{00000000-0005-0000-0000-0000BF740000}"/>
    <cellStyle name="Normal 3 17_Enlaces" xfId="29888" xr:uid="{00000000-0005-0000-0000-0000C0740000}"/>
    <cellStyle name="Normal 3 18" xfId="29889" xr:uid="{00000000-0005-0000-0000-0000C1740000}"/>
    <cellStyle name="Normal 3 18 2" xfId="29890" xr:uid="{00000000-0005-0000-0000-0000C2740000}"/>
    <cellStyle name="Normal 3 18 3" xfId="29891" xr:uid="{00000000-0005-0000-0000-0000C3740000}"/>
    <cellStyle name="Normal 3 18_Enlaces" xfId="29892" xr:uid="{00000000-0005-0000-0000-0000C4740000}"/>
    <cellStyle name="Normal 3 19" xfId="29893" xr:uid="{00000000-0005-0000-0000-0000C5740000}"/>
    <cellStyle name="Normal 3 19 2" xfId="29894" xr:uid="{00000000-0005-0000-0000-0000C6740000}"/>
    <cellStyle name="Normal 3 19 3" xfId="29895" xr:uid="{00000000-0005-0000-0000-0000C7740000}"/>
    <cellStyle name="Normal 3 19_Enlaces" xfId="29896" xr:uid="{00000000-0005-0000-0000-0000C8740000}"/>
    <cellStyle name="Normal 3 2" xfId="435" xr:uid="{00000000-0005-0000-0000-0000B3010000}"/>
    <cellStyle name="Normal 3 2 10" xfId="29897" xr:uid="{00000000-0005-0000-0000-0000C9740000}"/>
    <cellStyle name="Normal 3 2 10 2" xfId="29898" xr:uid="{00000000-0005-0000-0000-0000CA740000}"/>
    <cellStyle name="Normal 3 2 10 3" xfId="29899" xr:uid="{00000000-0005-0000-0000-0000CB740000}"/>
    <cellStyle name="Normal 3 2 11" xfId="29900" xr:uid="{00000000-0005-0000-0000-0000CC740000}"/>
    <cellStyle name="Normal 3 2 11 2" xfId="29901" xr:uid="{00000000-0005-0000-0000-0000CD740000}"/>
    <cellStyle name="Normal 3 2 12" xfId="29902" xr:uid="{00000000-0005-0000-0000-0000CE740000}"/>
    <cellStyle name="Normal 3 2 12 2" xfId="29903" xr:uid="{00000000-0005-0000-0000-0000CF740000}"/>
    <cellStyle name="Normal 3 2 13" xfId="29904" xr:uid="{00000000-0005-0000-0000-0000D0740000}"/>
    <cellStyle name="Normal 3 2 13 2" xfId="29905" xr:uid="{00000000-0005-0000-0000-0000D1740000}"/>
    <cellStyle name="Normal 3 2 14" xfId="29906" xr:uid="{00000000-0005-0000-0000-0000D2740000}"/>
    <cellStyle name="Normal 3 2 14 2" xfId="29907" xr:uid="{00000000-0005-0000-0000-0000D3740000}"/>
    <cellStyle name="Normal 3 2 15" xfId="29908" xr:uid="{00000000-0005-0000-0000-0000D4740000}"/>
    <cellStyle name="Normal 3 2 15 2" xfId="29909" xr:uid="{00000000-0005-0000-0000-0000D5740000}"/>
    <cellStyle name="Normal 3 2 16" xfId="29910" xr:uid="{00000000-0005-0000-0000-0000D6740000}"/>
    <cellStyle name="Normal 3 2 16 2" xfId="29911" xr:uid="{00000000-0005-0000-0000-0000D7740000}"/>
    <cellStyle name="Normal 3 2 17" xfId="29912" xr:uid="{00000000-0005-0000-0000-0000D8740000}"/>
    <cellStyle name="Normal 3 2 17 2" xfId="29913" xr:uid="{00000000-0005-0000-0000-0000D9740000}"/>
    <cellStyle name="Normal 3 2 18" xfId="29914" xr:uid="{00000000-0005-0000-0000-0000DA740000}"/>
    <cellStyle name="Normal 3 2 18 2" xfId="29915" xr:uid="{00000000-0005-0000-0000-0000DB740000}"/>
    <cellStyle name="Normal 3 2 19" xfId="29916" xr:uid="{00000000-0005-0000-0000-0000DC740000}"/>
    <cellStyle name="Normal 3 2 19 2" xfId="29917" xr:uid="{00000000-0005-0000-0000-0000DD740000}"/>
    <cellStyle name="Normal 3 2 2" xfId="29918" xr:uid="{00000000-0005-0000-0000-0000DE740000}"/>
    <cellStyle name="Normal 3 2 2 2" xfId="29919" xr:uid="{00000000-0005-0000-0000-0000DF740000}"/>
    <cellStyle name="Normal 3 2 2 2 2" xfId="29920" xr:uid="{00000000-0005-0000-0000-0000E0740000}"/>
    <cellStyle name="Normal 3 2 20" xfId="29921" xr:uid="{00000000-0005-0000-0000-0000E1740000}"/>
    <cellStyle name="Normal 3 2 20 2" xfId="29922" xr:uid="{00000000-0005-0000-0000-0000E2740000}"/>
    <cellStyle name="Normal 3 2 21" xfId="29923" xr:uid="{00000000-0005-0000-0000-0000E3740000}"/>
    <cellStyle name="Normal 3 2 21 2" xfId="29924" xr:uid="{00000000-0005-0000-0000-0000E4740000}"/>
    <cellStyle name="Normal 3 2 22" xfId="29925" xr:uid="{00000000-0005-0000-0000-0000E5740000}"/>
    <cellStyle name="Normal 3 2 22 2" xfId="29926" xr:uid="{00000000-0005-0000-0000-0000E6740000}"/>
    <cellStyle name="Normal 3 2 23" xfId="29927" xr:uid="{00000000-0005-0000-0000-0000E7740000}"/>
    <cellStyle name="Normal 3 2 23 2" xfId="29928" xr:uid="{00000000-0005-0000-0000-0000E8740000}"/>
    <cellStyle name="Normal 3 2 24" xfId="29929" xr:uid="{00000000-0005-0000-0000-0000E9740000}"/>
    <cellStyle name="Normal 3 2 24 2" xfId="29930" xr:uid="{00000000-0005-0000-0000-0000EA740000}"/>
    <cellStyle name="Normal 3 2 25" xfId="29931" xr:uid="{00000000-0005-0000-0000-0000EB740000}"/>
    <cellStyle name="Normal 3 2 25 2" xfId="29932" xr:uid="{00000000-0005-0000-0000-0000EC740000}"/>
    <cellStyle name="Normal 3 2 26" xfId="29933" xr:uid="{00000000-0005-0000-0000-0000ED740000}"/>
    <cellStyle name="Normal 3 2 27" xfId="29934" xr:uid="{00000000-0005-0000-0000-0000EE740000}"/>
    <cellStyle name="Normal 3 2 28" xfId="29935" xr:uid="{00000000-0005-0000-0000-0000EF740000}"/>
    <cellStyle name="Normal 3 2 29" xfId="29936" xr:uid="{00000000-0005-0000-0000-0000F0740000}"/>
    <cellStyle name="Normal 3 2 3" xfId="29937" xr:uid="{00000000-0005-0000-0000-0000F1740000}"/>
    <cellStyle name="Normal 3 2 3 2" xfId="29938" xr:uid="{00000000-0005-0000-0000-0000F2740000}"/>
    <cellStyle name="Normal 3 2 3 3" xfId="29939" xr:uid="{00000000-0005-0000-0000-0000F3740000}"/>
    <cellStyle name="Normal 3 2 30" xfId="29940" xr:uid="{00000000-0005-0000-0000-0000F4740000}"/>
    <cellStyle name="Normal 3 2 31" xfId="29941" xr:uid="{00000000-0005-0000-0000-0000F5740000}"/>
    <cellStyle name="Normal 3 2 32" xfId="29942" xr:uid="{00000000-0005-0000-0000-0000F6740000}"/>
    <cellStyle name="Normal 3 2 33" xfId="29943" xr:uid="{00000000-0005-0000-0000-0000F7740000}"/>
    <cellStyle name="Normal 3 2 34" xfId="29944" xr:uid="{00000000-0005-0000-0000-0000F8740000}"/>
    <cellStyle name="Normal 3 2 35" xfId="29945" xr:uid="{00000000-0005-0000-0000-0000F9740000}"/>
    <cellStyle name="Normal 3 2 36" xfId="29946" xr:uid="{00000000-0005-0000-0000-0000FA740000}"/>
    <cellStyle name="Normal 3 2 37" xfId="29947" xr:uid="{00000000-0005-0000-0000-0000FB740000}"/>
    <cellStyle name="Normal 3 2 38" xfId="29948" xr:uid="{00000000-0005-0000-0000-0000FC740000}"/>
    <cellStyle name="Normal 3 2 39" xfId="29949" xr:uid="{00000000-0005-0000-0000-0000FD740000}"/>
    <cellStyle name="Normal 3 2 4" xfId="29950" xr:uid="{00000000-0005-0000-0000-0000FE740000}"/>
    <cellStyle name="Normal 3 2 4 2" xfId="29951" xr:uid="{00000000-0005-0000-0000-0000FF740000}"/>
    <cellStyle name="Normal 3 2 4 3" xfId="29952" xr:uid="{00000000-0005-0000-0000-000000750000}"/>
    <cellStyle name="Normal 3 2 40" xfId="29953" xr:uid="{00000000-0005-0000-0000-000001750000}"/>
    <cellStyle name="Normal 3 2 41" xfId="29954" xr:uid="{00000000-0005-0000-0000-000002750000}"/>
    <cellStyle name="Normal 3 2 42" xfId="29955" xr:uid="{00000000-0005-0000-0000-000003750000}"/>
    <cellStyle name="Normal 3 2 43" xfId="29956" xr:uid="{00000000-0005-0000-0000-000004750000}"/>
    <cellStyle name="Normal 3 2 44" xfId="29957" xr:uid="{00000000-0005-0000-0000-000005750000}"/>
    <cellStyle name="Normal 3 2 45" xfId="29958" xr:uid="{00000000-0005-0000-0000-000006750000}"/>
    <cellStyle name="Normal 3 2 46" xfId="29959" xr:uid="{00000000-0005-0000-0000-000007750000}"/>
    <cellStyle name="Normal 3 2 47" xfId="29960" xr:uid="{00000000-0005-0000-0000-000008750000}"/>
    <cellStyle name="Normal 3 2 48" xfId="29961" xr:uid="{00000000-0005-0000-0000-000009750000}"/>
    <cellStyle name="Normal 3 2 49" xfId="29962" xr:uid="{00000000-0005-0000-0000-00000A750000}"/>
    <cellStyle name="Normal 3 2 5" xfId="29963" xr:uid="{00000000-0005-0000-0000-00000B750000}"/>
    <cellStyle name="Normal 3 2 5 2" xfId="29964" xr:uid="{00000000-0005-0000-0000-00000C750000}"/>
    <cellStyle name="Normal 3 2 5 3" xfId="29965" xr:uid="{00000000-0005-0000-0000-00000D750000}"/>
    <cellStyle name="Normal 3 2 50" xfId="29966" xr:uid="{00000000-0005-0000-0000-00000E750000}"/>
    <cellStyle name="Normal 3 2 51" xfId="29967" xr:uid="{00000000-0005-0000-0000-00000F750000}"/>
    <cellStyle name="Normal 3 2 52" xfId="29968" xr:uid="{00000000-0005-0000-0000-000010750000}"/>
    <cellStyle name="Normal 3 2 53" xfId="29969" xr:uid="{00000000-0005-0000-0000-000011750000}"/>
    <cellStyle name="Normal 3 2 54" xfId="29970" xr:uid="{00000000-0005-0000-0000-000012750000}"/>
    <cellStyle name="Normal 3 2 55" xfId="29971" xr:uid="{00000000-0005-0000-0000-000013750000}"/>
    <cellStyle name="Normal 3 2 56" xfId="29972" xr:uid="{00000000-0005-0000-0000-000014750000}"/>
    <cellStyle name="Normal 3 2 57" xfId="29973" xr:uid="{00000000-0005-0000-0000-000015750000}"/>
    <cellStyle name="Normal 3 2 58" xfId="29974" xr:uid="{00000000-0005-0000-0000-000016750000}"/>
    <cellStyle name="Normal 3 2 59" xfId="29975" xr:uid="{00000000-0005-0000-0000-000017750000}"/>
    <cellStyle name="Normal 3 2 6" xfId="29976" xr:uid="{00000000-0005-0000-0000-000018750000}"/>
    <cellStyle name="Normal 3 2 6 2" xfId="29977" xr:uid="{00000000-0005-0000-0000-000019750000}"/>
    <cellStyle name="Normal 3 2 6 3" xfId="29978" xr:uid="{00000000-0005-0000-0000-00001A750000}"/>
    <cellStyle name="Normal 3 2 60" xfId="29979" xr:uid="{00000000-0005-0000-0000-00001B750000}"/>
    <cellStyle name="Normal 3 2 61" xfId="29980" xr:uid="{00000000-0005-0000-0000-00001C750000}"/>
    <cellStyle name="Normal 3 2 62" xfId="29981" xr:uid="{00000000-0005-0000-0000-00001D750000}"/>
    <cellStyle name="Normal 3 2 63" xfId="29982" xr:uid="{00000000-0005-0000-0000-00001E750000}"/>
    <cellStyle name="Normal 3 2 64" xfId="29983" xr:uid="{00000000-0005-0000-0000-00001F750000}"/>
    <cellStyle name="Normal 3 2 65" xfId="29984" xr:uid="{00000000-0005-0000-0000-000020750000}"/>
    <cellStyle name="Normal 3 2 66" xfId="29985" xr:uid="{00000000-0005-0000-0000-000021750000}"/>
    <cellStyle name="Normal 3 2 67" xfId="29986" xr:uid="{00000000-0005-0000-0000-000022750000}"/>
    <cellStyle name="Normal 3 2 68" xfId="29987" xr:uid="{00000000-0005-0000-0000-000023750000}"/>
    <cellStyle name="Normal 3 2 69" xfId="29988" xr:uid="{00000000-0005-0000-0000-000024750000}"/>
    <cellStyle name="Normal 3 2 7" xfId="29989" xr:uid="{00000000-0005-0000-0000-000025750000}"/>
    <cellStyle name="Normal 3 2 7 2" xfId="29990" xr:uid="{00000000-0005-0000-0000-000026750000}"/>
    <cellStyle name="Normal 3 2 7 3" xfId="29991" xr:uid="{00000000-0005-0000-0000-000027750000}"/>
    <cellStyle name="Normal 3 2 70" xfId="29992" xr:uid="{00000000-0005-0000-0000-000028750000}"/>
    <cellStyle name="Normal 3 2 71" xfId="29993" xr:uid="{00000000-0005-0000-0000-000029750000}"/>
    <cellStyle name="Normal 3 2 72" xfId="29994" xr:uid="{00000000-0005-0000-0000-00002A750000}"/>
    <cellStyle name="Normal 3 2 73" xfId="29995" xr:uid="{00000000-0005-0000-0000-00002B750000}"/>
    <cellStyle name="Normal 3 2 74" xfId="29996" xr:uid="{00000000-0005-0000-0000-00002C750000}"/>
    <cellStyle name="Normal 3 2 75" xfId="29997" xr:uid="{00000000-0005-0000-0000-00002D750000}"/>
    <cellStyle name="Normal 3 2 76" xfId="29998" xr:uid="{00000000-0005-0000-0000-00002E750000}"/>
    <cellStyle name="Normal 3 2 77" xfId="29999" xr:uid="{00000000-0005-0000-0000-00002F750000}"/>
    <cellStyle name="Normal 3 2 78" xfId="30000" xr:uid="{00000000-0005-0000-0000-000030750000}"/>
    <cellStyle name="Normal 3 2 79" xfId="30001" xr:uid="{00000000-0005-0000-0000-000031750000}"/>
    <cellStyle name="Normal 3 2 8" xfId="30002" xr:uid="{00000000-0005-0000-0000-000032750000}"/>
    <cellStyle name="Normal 3 2 8 2" xfId="30003" xr:uid="{00000000-0005-0000-0000-000033750000}"/>
    <cellStyle name="Normal 3 2 8 3" xfId="30004" xr:uid="{00000000-0005-0000-0000-000034750000}"/>
    <cellStyle name="Normal 3 2 80" xfId="30005" xr:uid="{00000000-0005-0000-0000-000035750000}"/>
    <cellStyle name="Normal 3 2 81" xfId="30006" xr:uid="{00000000-0005-0000-0000-000036750000}"/>
    <cellStyle name="Normal 3 2 82" xfId="30007" xr:uid="{00000000-0005-0000-0000-000037750000}"/>
    <cellStyle name="Normal 3 2 83" xfId="30008" xr:uid="{00000000-0005-0000-0000-000038750000}"/>
    <cellStyle name="Normal 3 2 84" xfId="30009" xr:uid="{00000000-0005-0000-0000-000039750000}"/>
    <cellStyle name="Normal 3 2 85" xfId="30010" xr:uid="{00000000-0005-0000-0000-00003A750000}"/>
    <cellStyle name="Normal 3 2 86" xfId="30011" xr:uid="{00000000-0005-0000-0000-00003B750000}"/>
    <cellStyle name="Normal 3 2 87" xfId="30012" xr:uid="{00000000-0005-0000-0000-00003C750000}"/>
    <cellStyle name="Normal 3 2 88" xfId="30013" xr:uid="{00000000-0005-0000-0000-00003D750000}"/>
    <cellStyle name="Normal 3 2 89" xfId="30014" xr:uid="{00000000-0005-0000-0000-00003E750000}"/>
    <cellStyle name="Normal 3 2 9" xfId="30015" xr:uid="{00000000-0005-0000-0000-00003F750000}"/>
    <cellStyle name="Normal 3 2 9 2" xfId="30016" xr:uid="{00000000-0005-0000-0000-000040750000}"/>
    <cellStyle name="Normal 3 2 9 3" xfId="30017" xr:uid="{00000000-0005-0000-0000-000041750000}"/>
    <cellStyle name="Normal 3 2 90" xfId="30018" xr:uid="{00000000-0005-0000-0000-000042750000}"/>
    <cellStyle name="Normal 3 2 91" xfId="30019" xr:uid="{00000000-0005-0000-0000-000043750000}"/>
    <cellStyle name="Normal 3 2 92" xfId="30020" xr:uid="{00000000-0005-0000-0000-000044750000}"/>
    <cellStyle name="Normal 3 2 93" xfId="30021" xr:uid="{00000000-0005-0000-0000-000045750000}"/>
    <cellStyle name="Normal 3 2 94" xfId="30022" xr:uid="{00000000-0005-0000-0000-000046750000}"/>
    <cellStyle name="Normal 3 2_Xa Parametrización de Usuarios" xfId="30023" xr:uid="{00000000-0005-0000-0000-000047750000}"/>
    <cellStyle name="Normal 3 20" xfId="30024" xr:uid="{00000000-0005-0000-0000-000048750000}"/>
    <cellStyle name="Normal 3 20 2" xfId="30025" xr:uid="{00000000-0005-0000-0000-000049750000}"/>
    <cellStyle name="Normal 3 20 3" xfId="30026" xr:uid="{00000000-0005-0000-0000-00004A750000}"/>
    <cellStyle name="Normal 3 20_Enlaces" xfId="30027" xr:uid="{00000000-0005-0000-0000-00004B750000}"/>
    <cellStyle name="Normal 3 21" xfId="30028" xr:uid="{00000000-0005-0000-0000-00004C750000}"/>
    <cellStyle name="Normal 3 21 2" xfId="30029" xr:uid="{00000000-0005-0000-0000-00004D750000}"/>
    <cellStyle name="Normal 3 21_Enlaces" xfId="30030" xr:uid="{00000000-0005-0000-0000-00004E750000}"/>
    <cellStyle name="Normal 3 22" xfId="30031" xr:uid="{00000000-0005-0000-0000-00004F750000}"/>
    <cellStyle name="Normal 3 22 2" xfId="30032" xr:uid="{00000000-0005-0000-0000-000050750000}"/>
    <cellStyle name="Normal 3 22_Enlaces" xfId="30033" xr:uid="{00000000-0005-0000-0000-000051750000}"/>
    <cellStyle name="Normal 3 23" xfId="30034" xr:uid="{00000000-0005-0000-0000-000052750000}"/>
    <cellStyle name="Normal 3 23 2" xfId="30035" xr:uid="{00000000-0005-0000-0000-000053750000}"/>
    <cellStyle name="Normal 3 23_Enlaces" xfId="30036" xr:uid="{00000000-0005-0000-0000-000054750000}"/>
    <cellStyle name="Normal 3 24" xfId="30037" xr:uid="{00000000-0005-0000-0000-000055750000}"/>
    <cellStyle name="Normal 3 24 2" xfId="30038" xr:uid="{00000000-0005-0000-0000-000056750000}"/>
    <cellStyle name="Normal 3 24_Enlaces" xfId="30039" xr:uid="{00000000-0005-0000-0000-000057750000}"/>
    <cellStyle name="Normal 3 25" xfId="30040" xr:uid="{00000000-0005-0000-0000-000058750000}"/>
    <cellStyle name="Normal 3 25 2" xfId="30041" xr:uid="{00000000-0005-0000-0000-000059750000}"/>
    <cellStyle name="Normal 3 25_Enlaces" xfId="30042" xr:uid="{00000000-0005-0000-0000-00005A750000}"/>
    <cellStyle name="Normal 3 26" xfId="30043" xr:uid="{00000000-0005-0000-0000-00005B750000}"/>
    <cellStyle name="Normal 3 26 2" xfId="30044" xr:uid="{00000000-0005-0000-0000-00005C750000}"/>
    <cellStyle name="Normal 3 26_Enlaces" xfId="30045" xr:uid="{00000000-0005-0000-0000-00005D750000}"/>
    <cellStyle name="Normal 3 27" xfId="30046" xr:uid="{00000000-0005-0000-0000-00005E750000}"/>
    <cellStyle name="Normal 3 27 2" xfId="30047" xr:uid="{00000000-0005-0000-0000-00005F750000}"/>
    <cellStyle name="Normal 3 27_Enlaces" xfId="30048" xr:uid="{00000000-0005-0000-0000-000060750000}"/>
    <cellStyle name="Normal 3 28" xfId="30049" xr:uid="{00000000-0005-0000-0000-000061750000}"/>
    <cellStyle name="Normal 3 29" xfId="30050" xr:uid="{00000000-0005-0000-0000-000062750000}"/>
    <cellStyle name="Normal 3 3" xfId="30051" xr:uid="{00000000-0005-0000-0000-000063750000}"/>
    <cellStyle name="Normal 3 3 10" xfId="30052" xr:uid="{00000000-0005-0000-0000-000064750000}"/>
    <cellStyle name="Normal 3 3 11" xfId="30053" xr:uid="{00000000-0005-0000-0000-000065750000}"/>
    <cellStyle name="Normal 3 3 12" xfId="30054" xr:uid="{00000000-0005-0000-0000-000066750000}"/>
    <cellStyle name="Normal 3 3 13" xfId="30055" xr:uid="{00000000-0005-0000-0000-000067750000}"/>
    <cellStyle name="Normal 3 3 14" xfId="30056" xr:uid="{00000000-0005-0000-0000-000068750000}"/>
    <cellStyle name="Normal 3 3 15" xfId="30057" xr:uid="{00000000-0005-0000-0000-000069750000}"/>
    <cellStyle name="Normal 3 3 16" xfId="30058" xr:uid="{00000000-0005-0000-0000-00006A750000}"/>
    <cellStyle name="Normal 3 3 17" xfId="30059" xr:uid="{00000000-0005-0000-0000-00006B750000}"/>
    <cellStyle name="Normal 3 3 18" xfId="30060" xr:uid="{00000000-0005-0000-0000-00006C750000}"/>
    <cellStyle name="Normal 3 3 19" xfId="30061" xr:uid="{00000000-0005-0000-0000-00006D750000}"/>
    <cellStyle name="Normal 3 3 2" xfId="30062" xr:uid="{00000000-0005-0000-0000-00006E750000}"/>
    <cellStyle name="Normal 3 3 2 2" xfId="30063" xr:uid="{00000000-0005-0000-0000-00006F750000}"/>
    <cellStyle name="Normal 3 3 2 3" xfId="30064" xr:uid="{00000000-0005-0000-0000-000070750000}"/>
    <cellStyle name="Normal 3 3 20" xfId="30065" xr:uid="{00000000-0005-0000-0000-000071750000}"/>
    <cellStyle name="Normal 3 3 21" xfId="30066" xr:uid="{00000000-0005-0000-0000-000072750000}"/>
    <cellStyle name="Normal 3 3 22" xfId="30067" xr:uid="{00000000-0005-0000-0000-000073750000}"/>
    <cellStyle name="Normal 3 3 23" xfId="30068" xr:uid="{00000000-0005-0000-0000-000074750000}"/>
    <cellStyle name="Normal 3 3 24" xfId="30069" xr:uid="{00000000-0005-0000-0000-000075750000}"/>
    <cellStyle name="Normal 3 3 25" xfId="30070" xr:uid="{00000000-0005-0000-0000-000076750000}"/>
    <cellStyle name="Normal 3 3 26" xfId="30071" xr:uid="{00000000-0005-0000-0000-000077750000}"/>
    <cellStyle name="Normal 3 3 27" xfId="30072" xr:uid="{00000000-0005-0000-0000-000078750000}"/>
    <cellStyle name="Normal 3 3 28" xfId="30073" xr:uid="{00000000-0005-0000-0000-000079750000}"/>
    <cellStyle name="Normal 3 3 29" xfId="30074" xr:uid="{00000000-0005-0000-0000-00007A750000}"/>
    <cellStyle name="Normal 3 3 3" xfId="30075" xr:uid="{00000000-0005-0000-0000-00007B750000}"/>
    <cellStyle name="Normal 3 3 30" xfId="30076" xr:uid="{00000000-0005-0000-0000-00007C750000}"/>
    <cellStyle name="Normal 3 3 4" xfId="30077" xr:uid="{00000000-0005-0000-0000-00007D750000}"/>
    <cellStyle name="Normal 3 3 5" xfId="30078" xr:uid="{00000000-0005-0000-0000-00007E750000}"/>
    <cellStyle name="Normal 3 3 6" xfId="30079" xr:uid="{00000000-0005-0000-0000-00007F750000}"/>
    <cellStyle name="Normal 3 3 7" xfId="30080" xr:uid="{00000000-0005-0000-0000-000080750000}"/>
    <cellStyle name="Normal 3 3 8" xfId="30081" xr:uid="{00000000-0005-0000-0000-000081750000}"/>
    <cellStyle name="Normal 3 3 9" xfId="30082" xr:uid="{00000000-0005-0000-0000-000082750000}"/>
    <cellStyle name="Normal 3 3_Enlaces" xfId="30083" xr:uid="{00000000-0005-0000-0000-000083750000}"/>
    <cellStyle name="Normal 3 30" xfId="30084" xr:uid="{00000000-0005-0000-0000-000084750000}"/>
    <cellStyle name="Normal 3 31" xfId="30085" xr:uid="{00000000-0005-0000-0000-000085750000}"/>
    <cellStyle name="Normal 3 32" xfId="30086" xr:uid="{00000000-0005-0000-0000-000086750000}"/>
    <cellStyle name="Normal 3 33" xfId="30087" xr:uid="{00000000-0005-0000-0000-000087750000}"/>
    <cellStyle name="Normal 3 34" xfId="30088" xr:uid="{00000000-0005-0000-0000-000088750000}"/>
    <cellStyle name="Normal 3 35" xfId="30089" xr:uid="{00000000-0005-0000-0000-000089750000}"/>
    <cellStyle name="Normal 3 36" xfId="30090" xr:uid="{00000000-0005-0000-0000-00008A750000}"/>
    <cellStyle name="Normal 3 37" xfId="30091" xr:uid="{00000000-0005-0000-0000-00008B750000}"/>
    <cellStyle name="Normal 3 38" xfId="30092" xr:uid="{00000000-0005-0000-0000-00008C750000}"/>
    <cellStyle name="Normal 3 39" xfId="30093" xr:uid="{00000000-0005-0000-0000-00008D750000}"/>
    <cellStyle name="Normal 3 4" xfId="30094" xr:uid="{00000000-0005-0000-0000-00008E750000}"/>
    <cellStyle name="Normal 3 4 10" xfId="30095" xr:uid="{00000000-0005-0000-0000-00008F750000}"/>
    <cellStyle name="Normal 3 4 11" xfId="30096" xr:uid="{00000000-0005-0000-0000-000090750000}"/>
    <cellStyle name="Normal 3 4 12" xfId="30097" xr:uid="{00000000-0005-0000-0000-000091750000}"/>
    <cellStyle name="Normal 3 4 13" xfId="30098" xr:uid="{00000000-0005-0000-0000-000092750000}"/>
    <cellStyle name="Normal 3 4 14" xfId="30099" xr:uid="{00000000-0005-0000-0000-000093750000}"/>
    <cellStyle name="Normal 3 4 15" xfId="30100" xr:uid="{00000000-0005-0000-0000-000094750000}"/>
    <cellStyle name="Normal 3 4 16" xfId="30101" xr:uid="{00000000-0005-0000-0000-000095750000}"/>
    <cellStyle name="Normal 3 4 17" xfId="30102" xr:uid="{00000000-0005-0000-0000-000096750000}"/>
    <cellStyle name="Normal 3 4 18" xfId="30103" xr:uid="{00000000-0005-0000-0000-000097750000}"/>
    <cellStyle name="Normal 3 4 19" xfId="30104" xr:uid="{00000000-0005-0000-0000-000098750000}"/>
    <cellStyle name="Normal 3 4 2" xfId="30105" xr:uid="{00000000-0005-0000-0000-000099750000}"/>
    <cellStyle name="Normal 3 4 2 2" xfId="30106" xr:uid="{00000000-0005-0000-0000-00009A750000}"/>
    <cellStyle name="Normal 3 4 20" xfId="30107" xr:uid="{00000000-0005-0000-0000-00009B750000}"/>
    <cellStyle name="Normal 3 4 21" xfId="30108" xr:uid="{00000000-0005-0000-0000-00009C750000}"/>
    <cellStyle name="Normal 3 4 22" xfId="30109" xr:uid="{00000000-0005-0000-0000-00009D750000}"/>
    <cellStyle name="Normal 3 4 23" xfId="30110" xr:uid="{00000000-0005-0000-0000-00009E750000}"/>
    <cellStyle name="Normal 3 4 24" xfId="30111" xr:uid="{00000000-0005-0000-0000-00009F750000}"/>
    <cellStyle name="Normal 3 4 24 2" xfId="30112" xr:uid="{00000000-0005-0000-0000-0000A0750000}"/>
    <cellStyle name="Normal 3 4 3" xfId="30113" xr:uid="{00000000-0005-0000-0000-0000A1750000}"/>
    <cellStyle name="Normal 3 4 4" xfId="30114" xr:uid="{00000000-0005-0000-0000-0000A2750000}"/>
    <cellStyle name="Normal 3 4 5" xfId="30115" xr:uid="{00000000-0005-0000-0000-0000A3750000}"/>
    <cellStyle name="Normal 3 4 6" xfId="30116" xr:uid="{00000000-0005-0000-0000-0000A4750000}"/>
    <cellStyle name="Normal 3 4 7" xfId="30117" xr:uid="{00000000-0005-0000-0000-0000A5750000}"/>
    <cellStyle name="Normal 3 4 8" xfId="30118" xr:uid="{00000000-0005-0000-0000-0000A6750000}"/>
    <cellStyle name="Normal 3 4 9" xfId="30119" xr:uid="{00000000-0005-0000-0000-0000A7750000}"/>
    <cellStyle name="Normal 3 4_Enlaces" xfId="30120" xr:uid="{00000000-0005-0000-0000-0000A8750000}"/>
    <cellStyle name="Normal 3 40" xfId="30121" xr:uid="{00000000-0005-0000-0000-0000A9750000}"/>
    <cellStyle name="Normal 3 41" xfId="30122" xr:uid="{00000000-0005-0000-0000-0000AA750000}"/>
    <cellStyle name="Normal 3 42" xfId="30123" xr:uid="{00000000-0005-0000-0000-0000AB750000}"/>
    <cellStyle name="Normal 3 43" xfId="30124" xr:uid="{00000000-0005-0000-0000-0000AC750000}"/>
    <cellStyle name="Normal 3 44" xfId="30125" xr:uid="{00000000-0005-0000-0000-0000AD750000}"/>
    <cellStyle name="Normal 3 45" xfId="30126" xr:uid="{00000000-0005-0000-0000-0000AE750000}"/>
    <cellStyle name="Normal 3 46" xfId="30127" xr:uid="{00000000-0005-0000-0000-0000AF750000}"/>
    <cellStyle name="Normal 3 47" xfId="30128" xr:uid="{00000000-0005-0000-0000-0000B0750000}"/>
    <cellStyle name="Normal 3 48" xfId="30129" xr:uid="{00000000-0005-0000-0000-0000B1750000}"/>
    <cellStyle name="Normal 3 49" xfId="30130" xr:uid="{00000000-0005-0000-0000-0000B2750000}"/>
    <cellStyle name="Normal 3 5" xfId="30131" xr:uid="{00000000-0005-0000-0000-0000B3750000}"/>
    <cellStyle name="Normal 3 5 2" xfId="30132" xr:uid="{00000000-0005-0000-0000-0000B4750000}"/>
    <cellStyle name="Normal 3 5 3" xfId="30133" xr:uid="{00000000-0005-0000-0000-0000B5750000}"/>
    <cellStyle name="Normal 3 5 4" xfId="30134" xr:uid="{00000000-0005-0000-0000-0000B6750000}"/>
    <cellStyle name="Normal 3 5_Enlaces" xfId="30135" xr:uid="{00000000-0005-0000-0000-0000B7750000}"/>
    <cellStyle name="Normal 3 50" xfId="30136" xr:uid="{00000000-0005-0000-0000-0000B8750000}"/>
    <cellStyle name="Normal 3 51" xfId="30137" xr:uid="{00000000-0005-0000-0000-0000B9750000}"/>
    <cellStyle name="Normal 3 52" xfId="30138" xr:uid="{00000000-0005-0000-0000-0000BA750000}"/>
    <cellStyle name="Normal 3 53" xfId="30139" xr:uid="{00000000-0005-0000-0000-0000BB750000}"/>
    <cellStyle name="Normal 3 54" xfId="30140" xr:uid="{00000000-0005-0000-0000-0000BC750000}"/>
    <cellStyle name="Normal 3 55" xfId="30141" xr:uid="{00000000-0005-0000-0000-0000BD750000}"/>
    <cellStyle name="Normal 3 56" xfId="30142" xr:uid="{00000000-0005-0000-0000-0000BE750000}"/>
    <cellStyle name="Normal 3 57" xfId="30143" xr:uid="{00000000-0005-0000-0000-0000BF750000}"/>
    <cellStyle name="Normal 3 58" xfId="30144" xr:uid="{00000000-0005-0000-0000-0000C0750000}"/>
    <cellStyle name="Normal 3 59" xfId="30145" xr:uid="{00000000-0005-0000-0000-0000C1750000}"/>
    <cellStyle name="Normal 3 6" xfId="30146" xr:uid="{00000000-0005-0000-0000-0000C2750000}"/>
    <cellStyle name="Normal 3 6 2" xfId="30147" xr:uid="{00000000-0005-0000-0000-0000C3750000}"/>
    <cellStyle name="Normal 3 6 3" xfId="30148" xr:uid="{00000000-0005-0000-0000-0000C4750000}"/>
    <cellStyle name="Normal 3 6 4" xfId="30149" xr:uid="{00000000-0005-0000-0000-0000C5750000}"/>
    <cellStyle name="Normal 3 6_Enlaces" xfId="30150" xr:uid="{00000000-0005-0000-0000-0000C6750000}"/>
    <cellStyle name="Normal 3 60" xfId="30151" xr:uid="{00000000-0005-0000-0000-0000C7750000}"/>
    <cellStyle name="Normal 3 61" xfId="30152" xr:uid="{00000000-0005-0000-0000-0000C8750000}"/>
    <cellStyle name="Normal 3 62" xfId="30153" xr:uid="{00000000-0005-0000-0000-0000C9750000}"/>
    <cellStyle name="Normal 3 63" xfId="30154" xr:uid="{00000000-0005-0000-0000-0000CA750000}"/>
    <cellStyle name="Normal 3 64" xfId="30155" xr:uid="{00000000-0005-0000-0000-0000CB750000}"/>
    <cellStyle name="Normal 3 65" xfId="30156" xr:uid="{00000000-0005-0000-0000-0000CC750000}"/>
    <cellStyle name="Normal 3 66" xfId="30157" xr:uid="{00000000-0005-0000-0000-0000CD750000}"/>
    <cellStyle name="Normal 3 67" xfId="30158" xr:uid="{00000000-0005-0000-0000-0000CE750000}"/>
    <cellStyle name="Normal 3 68" xfId="30159" xr:uid="{00000000-0005-0000-0000-0000CF750000}"/>
    <cellStyle name="Normal 3 69" xfId="30160" xr:uid="{00000000-0005-0000-0000-0000D0750000}"/>
    <cellStyle name="Normal 3 7" xfId="30161" xr:uid="{00000000-0005-0000-0000-0000D1750000}"/>
    <cellStyle name="Normal 3 7 2" xfId="30162" xr:uid="{00000000-0005-0000-0000-0000D2750000}"/>
    <cellStyle name="Normal 3 7 3" xfId="30163" xr:uid="{00000000-0005-0000-0000-0000D3750000}"/>
    <cellStyle name="Normal 3 7 4" xfId="30164" xr:uid="{00000000-0005-0000-0000-0000D4750000}"/>
    <cellStyle name="Normal 3 7_Enlaces" xfId="30165" xr:uid="{00000000-0005-0000-0000-0000D5750000}"/>
    <cellStyle name="Normal 3 70" xfId="30166" xr:uid="{00000000-0005-0000-0000-0000D6750000}"/>
    <cellStyle name="Normal 3 71" xfId="30167" xr:uid="{00000000-0005-0000-0000-0000D7750000}"/>
    <cellStyle name="Normal 3 72" xfId="30168" xr:uid="{00000000-0005-0000-0000-0000D8750000}"/>
    <cellStyle name="Normal 3 73" xfId="30169" xr:uid="{00000000-0005-0000-0000-0000D9750000}"/>
    <cellStyle name="Normal 3 74" xfId="30170" xr:uid="{00000000-0005-0000-0000-0000DA750000}"/>
    <cellStyle name="Normal 3 75" xfId="30171" xr:uid="{00000000-0005-0000-0000-0000DB750000}"/>
    <cellStyle name="Normal 3 76" xfId="30172" xr:uid="{00000000-0005-0000-0000-0000DC750000}"/>
    <cellStyle name="Normal 3 77" xfId="30173" xr:uid="{00000000-0005-0000-0000-0000DD750000}"/>
    <cellStyle name="Normal 3 78" xfId="30174" xr:uid="{00000000-0005-0000-0000-0000DE750000}"/>
    <cellStyle name="Normal 3 79" xfId="30175" xr:uid="{00000000-0005-0000-0000-0000DF750000}"/>
    <cellStyle name="Normal 3 8" xfId="30176" xr:uid="{00000000-0005-0000-0000-0000E0750000}"/>
    <cellStyle name="Normal 3 8 2" xfId="30177" xr:uid="{00000000-0005-0000-0000-0000E1750000}"/>
    <cellStyle name="Normal 3 8 3" xfId="30178" xr:uid="{00000000-0005-0000-0000-0000E2750000}"/>
    <cellStyle name="Normal 3 8 4" xfId="30179" xr:uid="{00000000-0005-0000-0000-0000E3750000}"/>
    <cellStyle name="Normal 3 8_Enlaces" xfId="30180" xr:uid="{00000000-0005-0000-0000-0000E4750000}"/>
    <cellStyle name="Normal 3 80" xfId="30181" xr:uid="{00000000-0005-0000-0000-0000E5750000}"/>
    <cellStyle name="Normal 3 81" xfId="30182" xr:uid="{00000000-0005-0000-0000-0000E6750000}"/>
    <cellStyle name="Normal 3 82" xfId="30183" xr:uid="{00000000-0005-0000-0000-0000E7750000}"/>
    <cellStyle name="Normal 3 83" xfId="30184" xr:uid="{00000000-0005-0000-0000-0000E8750000}"/>
    <cellStyle name="Normal 3 84" xfId="30185" xr:uid="{00000000-0005-0000-0000-0000E9750000}"/>
    <cellStyle name="Normal 3 85" xfId="30186" xr:uid="{00000000-0005-0000-0000-0000EA750000}"/>
    <cellStyle name="Normal 3 86" xfId="30187" xr:uid="{00000000-0005-0000-0000-0000EB750000}"/>
    <cellStyle name="Normal 3 87" xfId="30188" xr:uid="{00000000-0005-0000-0000-0000EC750000}"/>
    <cellStyle name="Normal 3 88" xfId="30189" xr:uid="{00000000-0005-0000-0000-0000ED750000}"/>
    <cellStyle name="Normal 3 89" xfId="30190" xr:uid="{00000000-0005-0000-0000-0000EE750000}"/>
    <cellStyle name="Normal 3 9" xfId="30191" xr:uid="{00000000-0005-0000-0000-0000EF750000}"/>
    <cellStyle name="Normal 3 9 2" xfId="30192" xr:uid="{00000000-0005-0000-0000-0000F0750000}"/>
    <cellStyle name="Normal 3 9 3" xfId="30193" xr:uid="{00000000-0005-0000-0000-0000F1750000}"/>
    <cellStyle name="Normal 3 9 4" xfId="30194" xr:uid="{00000000-0005-0000-0000-0000F2750000}"/>
    <cellStyle name="Normal 3 9_Enlaces" xfId="30195" xr:uid="{00000000-0005-0000-0000-0000F3750000}"/>
    <cellStyle name="Normal 3 90" xfId="30196" xr:uid="{00000000-0005-0000-0000-0000F4750000}"/>
    <cellStyle name="Normal 3 91" xfId="30197" xr:uid="{00000000-0005-0000-0000-0000F5750000}"/>
    <cellStyle name="Normal 3 92" xfId="30198" xr:uid="{00000000-0005-0000-0000-0000F6750000}"/>
    <cellStyle name="Normal 3 93" xfId="30199" xr:uid="{00000000-0005-0000-0000-0000F7750000}"/>
    <cellStyle name="Normal 3 94" xfId="30200" xr:uid="{00000000-0005-0000-0000-0000F8750000}"/>
    <cellStyle name="Normal 3 95" xfId="30201" xr:uid="{00000000-0005-0000-0000-0000F9750000}"/>
    <cellStyle name="Normal 3 96" xfId="30202" xr:uid="{00000000-0005-0000-0000-0000FA750000}"/>
    <cellStyle name="Normal 3 97" xfId="30203" xr:uid="{00000000-0005-0000-0000-0000FB750000}"/>
    <cellStyle name="Normal 3 98" xfId="30204" xr:uid="{00000000-0005-0000-0000-0000FC750000}"/>
    <cellStyle name="Normal 3 98 2" xfId="30205" xr:uid="{00000000-0005-0000-0000-0000FD750000}"/>
    <cellStyle name="Normal 3 98 3" xfId="30206" xr:uid="{00000000-0005-0000-0000-0000FE750000}"/>
    <cellStyle name="Normal 3 98 4" xfId="30207" xr:uid="{00000000-0005-0000-0000-0000FF750000}"/>
    <cellStyle name="Normal 3 98 5" xfId="30208" xr:uid="{00000000-0005-0000-0000-000000760000}"/>
    <cellStyle name="Normal 3 98 6" xfId="30209" xr:uid="{00000000-0005-0000-0000-000001760000}"/>
    <cellStyle name="Normal 3 99" xfId="30210" xr:uid="{00000000-0005-0000-0000-000002760000}"/>
    <cellStyle name="Normal 3 99 2" xfId="30211" xr:uid="{00000000-0005-0000-0000-000003760000}"/>
    <cellStyle name="Normal 3 99 3" xfId="30212" xr:uid="{00000000-0005-0000-0000-000004760000}"/>
    <cellStyle name="Normal 3 99 4" xfId="30213" xr:uid="{00000000-0005-0000-0000-000005760000}"/>
    <cellStyle name="Normal 3 99 5" xfId="30214" xr:uid="{00000000-0005-0000-0000-000006760000}"/>
    <cellStyle name="Normal 3 99 6" xfId="30215" xr:uid="{00000000-0005-0000-0000-000007760000}"/>
    <cellStyle name="Normal 3_Enlaces" xfId="30216" xr:uid="{00000000-0005-0000-0000-000008760000}"/>
    <cellStyle name="Normal 30" xfId="30217" xr:uid="{00000000-0005-0000-0000-000009760000}"/>
    <cellStyle name="Normal 30 10" xfId="30218" xr:uid="{00000000-0005-0000-0000-00000A760000}"/>
    <cellStyle name="Normal 30 11" xfId="30219" xr:uid="{00000000-0005-0000-0000-00000B760000}"/>
    <cellStyle name="Normal 30 12" xfId="30220" xr:uid="{00000000-0005-0000-0000-00000C760000}"/>
    <cellStyle name="Normal 30 13" xfId="30221" xr:uid="{00000000-0005-0000-0000-00000D760000}"/>
    <cellStyle name="Normal 30 14" xfId="30222" xr:uid="{00000000-0005-0000-0000-00000E760000}"/>
    <cellStyle name="Normal 30 15" xfId="30223" xr:uid="{00000000-0005-0000-0000-00000F760000}"/>
    <cellStyle name="Normal 30 16" xfId="30224" xr:uid="{00000000-0005-0000-0000-000010760000}"/>
    <cellStyle name="Normal 30 17" xfId="30225" xr:uid="{00000000-0005-0000-0000-000011760000}"/>
    <cellStyle name="Normal 30 18" xfId="30226" xr:uid="{00000000-0005-0000-0000-000012760000}"/>
    <cellStyle name="Normal 30 19" xfId="30227" xr:uid="{00000000-0005-0000-0000-000013760000}"/>
    <cellStyle name="Normal 30 2" xfId="30228" xr:uid="{00000000-0005-0000-0000-000014760000}"/>
    <cellStyle name="Normal 30 2 2" xfId="30229" xr:uid="{00000000-0005-0000-0000-000015760000}"/>
    <cellStyle name="Normal 30 2 3" xfId="30230" xr:uid="{00000000-0005-0000-0000-000016760000}"/>
    <cellStyle name="Normal 30 20" xfId="30231" xr:uid="{00000000-0005-0000-0000-000017760000}"/>
    <cellStyle name="Normal 30 21" xfId="30232" xr:uid="{00000000-0005-0000-0000-000018760000}"/>
    <cellStyle name="Normal 30 22" xfId="30233" xr:uid="{00000000-0005-0000-0000-000019760000}"/>
    <cellStyle name="Normal 30 23" xfId="30234" xr:uid="{00000000-0005-0000-0000-00001A760000}"/>
    <cellStyle name="Normal 30 24" xfId="30235" xr:uid="{00000000-0005-0000-0000-00001B760000}"/>
    <cellStyle name="Normal 30 25" xfId="30236" xr:uid="{00000000-0005-0000-0000-00001C760000}"/>
    <cellStyle name="Normal 30 26" xfId="30237" xr:uid="{00000000-0005-0000-0000-00001D760000}"/>
    <cellStyle name="Normal 30 3" xfId="30238" xr:uid="{00000000-0005-0000-0000-00001E760000}"/>
    <cellStyle name="Normal 30 3 2" xfId="30239" xr:uid="{00000000-0005-0000-0000-00001F760000}"/>
    <cellStyle name="Normal 30 3 3" xfId="30240" xr:uid="{00000000-0005-0000-0000-000020760000}"/>
    <cellStyle name="Normal 30 3 4" xfId="30241" xr:uid="{00000000-0005-0000-0000-000021760000}"/>
    <cellStyle name="Normal 30 3 5" xfId="30242" xr:uid="{00000000-0005-0000-0000-000022760000}"/>
    <cellStyle name="Normal 30 4" xfId="30243" xr:uid="{00000000-0005-0000-0000-000023760000}"/>
    <cellStyle name="Normal 30 5" xfId="30244" xr:uid="{00000000-0005-0000-0000-000024760000}"/>
    <cellStyle name="Normal 30 6" xfId="30245" xr:uid="{00000000-0005-0000-0000-000025760000}"/>
    <cellStyle name="Normal 30 7" xfId="30246" xr:uid="{00000000-0005-0000-0000-000026760000}"/>
    <cellStyle name="Normal 30 8" xfId="30247" xr:uid="{00000000-0005-0000-0000-000027760000}"/>
    <cellStyle name="Normal 30 9" xfId="30248" xr:uid="{00000000-0005-0000-0000-000028760000}"/>
    <cellStyle name="Normal 31" xfId="30249" xr:uid="{00000000-0005-0000-0000-000029760000}"/>
    <cellStyle name="Normal 31 10" xfId="30250" xr:uid="{00000000-0005-0000-0000-00002A760000}"/>
    <cellStyle name="Normal 31 11" xfId="30251" xr:uid="{00000000-0005-0000-0000-00002B760000}"/>
    <cellStyle name="Normal 31 12" xfId="30252" xr:uid="{00000000-0005-0000-0000-00002C760000}"/>
    <cellStyle name="Normal 31 13" xfId="30253" xr:uid="{00000000-0005-0000-0000-00002D760000}"/>
    <cellStyle name="Normal 31 14" xfId="30254" xr:uid="{00000000-0005-0000-0000-00002E760000}"/>
    <cellStyle name="Normal 31 15" xfId="30255" xr:uid="{00000000-0005-0000-0000-00002F760000}"/>
    <cellStyle name="Normal 31 16" xfId="30256" xr:uid="{00000000-0005-0000-0000-000030760000}"/>
    <cellStyle name="Normal 31 17" xfId="30257" xr:uid="{00000000-0005-0000-0000-000031760000}"/>
    <cellStyle name="Normal 31 18" xfId="30258" xr:uid="{00000000-0005-0000-0000-000032760000}"/>
    <cellStyle name="Normal 31 19" xfId="30259" xr:uid="{00000000-0005-0000-0000-000033760000}"/>
    <cellStyle name="Normal 31 2" xfId="30260" xr:uid="{00000000-0005-0000-0000-000034760000}"/>
    <cellStyle name="Normal 31 2 2" xfId="30261" xr:uid="{00000000-0005-0000-0000-000035760000}"/>
    <cellStyle name="Normal 31 2 3" xfId="30262" xr:uid="{00000000-0005-0000-0000-000036760000}"/>
    <cellStyle name="Normal 31 20" xfId="30263" xr:uid="{00000000-0005-0000-0000-000037760000}"/>
    <cellStyle name="Normal 31 21" xfId="30264" xr:uid="{00000000-0005-0000-0000-000038760000}"/>
    <cellStyle name="Normal 31 22" xfId="30265" xr:uid="{00000000-0005-0000-0000-000039760000}"/>
    <cellStyle name="Normal 31 23" xfId="30266" xr:uid="{00000000-0005-0000-0000-00003A760000}"/>
    <cellStyle name="Normal 31 24" xfId="30267" xr:uid="{00000000-0005-0000-0000-00003B760000}"/>
    <cellStyle name="Normal 31 25" xfId="30268" xr:uid="{00000000-0005-0000-0000-00003C760000}"/>
    <cellStyle name="Normal 31 26" xfId="30269" xr:uid="{00000000-0005-0000-0000-00003D760000}"/>
    <cellStyle name="Normal 31 3" xfId="30270" xr:uid="{00000000-0005-0000-0000-00003E760000}"/>
    <cellStyle name="Normal 31 3 2" xfId="30271" xr:uid="{00000000-0005-0000-0000-00003F760000}"/>
    <cellStyle name="Normal 31 3 3" xfId="30272" xr:uid="{00000000-0005-0000-0000-000040760000}"/>
    <cellStyle name="Normal 31 4" xfId="30273" xr:uid="{00000000-0005-0000-0000-000041760000}"/>
    <cellStyle name="Normal 31 5" xfId="30274" xr:uid="{00000000-0005-0000-0000-000042760000}"/>
    <cellStyle name="Normal 31 6" xfId="30275" xr:uid="{00000000-0005-0000-0000-000043760000}"/>
    <cellStyle name="Normal 31 7" xfId="30276" xr:uid="{00000000-0005-0000-0000-000044760000}"/>
    <cellStyle name="Normal 31 8" xfId="30277" xr:uid="{00000000-0005-0000-0000-000045760000}"/>
    <cellStyle name="Normal 31 9" xfId="30278" xr:uid="{00000000-0005-0000-0000-000046760000}"/>
    <cellStyle name="Normal 32" xfId="30279" xr:uid="{00000000-0005-0000-0000-000047760000}"/>
    <cellStyle name="Normal 32 2" xfId="30280" xr:uid="{00000000-0005-0000-0000-000048760000}"/>
    <cellStyle name="Normal 32 3" xfId="30281" xr:uid="{00000000-0005-0000-0000-000049760000}"/>
    <cellStyle name="Normal 32 4" xfId="30282" xr:uid="{00000000-0005-0000-0000-00004A760000}"/>
    <cellStyle name="Normal 32 5" xfId="30283" xr:uid="{00000000-0005-0000-0000-00004B760000}"/>
    <cellStyle name="Normal 33" xfId="30284" xr:uid="{00000000-0005-0000-0000-00004C760000}"/>
    <cellStyle name="Normal 33 2" xfId="30285" xr:uid="{00000000-0005-0000-0000-00004D760000}"/>
    <cellStyle name="Normal 33 3" xfId="30286" xr:uid="{00000000-0005-0000-0000-00004E760000}"/>
    <cellStyle name="Normal 33 4" xfId="30287" xr:uid="{00000000-0005-0000-0000-00004F760000}"/>
    <cellStyle name="Normal 33 5" xfId="30288" xr:uid="{00000000-0005-0000-0000-000050760000}"/>
    <cellStyle name="Normal 34" xfId="30289" xr:uid="{00000000-0005-0000-0000-000051760000}"/>
    <cellStyle name="Normal 34 10" xfId="30290" xr:uid="{00000000-0005-0000-0000-000052760000}"/>
    <cellStyle name="Normal 34 11" xfId="30291" xr:uid="{00000000-0005-0000-0000-000053760000}"/>
    <cellStyle name="Normal 34 12" xfId="30292" xr:uid="{00000000-0005-0000-0000-000054760000}"/>
    <cellStyle name="Normal 34 13" xfId="30293" xr:uid="{00000000-0005-0000-0000-000055760000}"/>
    <cellStyle name="Normal 34 14" xfId="30294" xr:uid="{00000000-0005-0000-0000-000056760000}"/>
    <cellStyle name="Normal 34 15" xfId="30295" xr:uid="{00000000-0005-0000-0000-000057760000}"/>
    <cellStyle name="Normal 34 16" xfId="30296" xr:uid="{00000000-0005-0000-0000-000058760000}"/>
    <cellStyle name="Normal 34 17" xfId="30297" xr:uid="{00000000-0005-0000-0000-000059760000}"/>
    <cellStyle name="Normal 34 18" xfId="30298" xr:uid="{00000000-0005-0000-0000-00005A760000}"/>
    <cellStyle name="Normal 34 19" xfId="30299" xr:uid="{00000000-0005-0000-0000-00005B760000}"/>
    <cellStyle name="Normal 34 2" xfId="30300" xr:uid="{00000000-0005-0000-0000-00005C760000}"/>
    <cellStyle name="Normal 34 2 2" xfId="30301" xr:uid="{00000000-0005-0000-0000-00005D760000}"/>
    <cellStyle name="Normal 34 2 3" xfId="30302" xr:uid="{00000000-0005-0000-0000-00005E760000}"/>
    <cellStyle name="Normal 34 20" xfId="30303" xr:uid="{00000000-0005-0000-0000-00005F760000}"/>
    <cellStyle name="Normal 34 21" xfId="30304" xr:uid="{00000000-0005-0000-0000-000060760000}"/>
    <cellStyle name="Normal 34 22" xfId="30305" xr:uid="{00000000-0005-0000-0000-000061760000}"/>
    <cellStyle name="Normal 34 23" xfId="30306" xr:uid="{00000000-0005-0000-0000-000062760000}"/>
    <cellStyle name="Normal 34 24" xfId="30307" xr:uid="{00000000-0005-0000-0000-000063760000}"/>
    <cellStyle name="Normal 34 25" xfId="30308" xr:uid="{00000000-0005-0000-0000-000064760000}"/>
    <cellStyle name="Normal 34 26" xfId="30309" xr:uid="{00000000-0005-0000-0000-000065760000}"/>
    <cellStyle name="Normal 34 3" xfId="30310" xr:uid="{00000000-0005-0000-0000-000066760000}"/>
    <cellStyle name="Normal 34 3 2" xfId="30311" xr:uid="{00000000-0005-0000-0000-000067760000}"/>
    <cellStyle name="Normal 34 3 3" xfId="30312" xr:uid="{00000000-0005-0000-0000-000068760000}"/>
    <cellStyle name="Normal 34 3 4" xfId="30313" xr:uid="{00000000-0005-0000-0000-000069760000}"/>
    <cellStyle name="Normal 34 3 5" xfId="30314" xr:uid="{00000000-0005-0000-0000-00006A760000}"/>
    <cellStyle name="Normal 34 4" xfId="30315" xr:uid="{00000000-0005-0000-0000-00006B760000}"/>
    <cellStyle name="Normal 34 5" xfId="30316" xr:uid="{00000000-0005-0000-0000-00006C760000}"/>
    <cellStyle name="Normal 34 6" xfId="30317" xr:uid="{00000000-0005-0000-0000-00006D760000}"/>
    <cellStyle name="Normal 34 7" xfId="30318" xr:uid="{00000000-0005-0000-0000-00006E760000}"/>
    <cellStyle name="Normal 34 8" xfId="30319" xr:uid="{00000000-0005-0000-0000-00006F760000}"/>
    <cellStyle name="Normal 34 9" xfId="30320" xr:uid="{00000000-0005-0000-0000-000070760000}"/>
    <cellStyle name="Normal 35" xfId="30321" xr:uid="{00000000-0005-0000-0000-000071760000}"/>
    <cellStyle name="Normal 35 10" xfId="30322" xr:uid="{00000000-0005-0000-0000-000072760000}"/>
    <cellStyle name="Normal 35 11" xfId="30323" xr:uid="{00000000-0005-0000-0000-000073760000}"/>
    <cellStyle name="Normal 35 12" xfId="30324" xr:uid="{00000000-0005-0000-0000-000074760000}"/>
    <cellStyle name="Normal 35 13" xfId="30325" xr:uid="{00000000-0005-0000-0000-000075760000}"/>
    <cellStyle name="Normal 35 14" xfId="30326" xr:uid="{00000000-0005-0000-0000-000076760000}"/>
    <cellStyle name="Normal 35 15" xfId="30327" xr:uid="{00000000-0005-0000-0000-000077760000}"/>
    <cellStyle name="Normal 35 16" xfId="30328" xr:uid="{00000000-0005-0000-0000-000078760000}"/>
    <cellStyle name="Normal 35 17" xfId="30329" xr:uid="{00000000-0005-0000-0000-000079760000}"/>
    <cellStyle name="Normal 35 18" xfId="30330" xr:uid="{00000000-0005-0000-0000-00007A760000}"/>
    <cellStyle name="Normal 35 19" xfId="30331" xr:uid="{00000000-0005-0000-0000-00007B760000}"/>
    <cellStyle name="Normal 35 2" xfId="30332" xr:uid="{00000000-0005-0000-0000-00007C760000}"/>
    <cellStyle name="Normal 35 2 2" xfId="30333" xr:uid="{00000000-0005-0000-0000-00007D760000}"/>
    <cellStyle name="Normal 35 2 3" xfId="30334" xr:uid="{00000000-0005-0000-0000-00007E760000}"/>
    <cellStyle name="Normal 35 20" xfId="30335" xr:uid="{00000000-0005-0000-0000-00007F760000}"/>
    <cellStyle name="Normal 35 21" xfId="30336" xr:uid="{00000000-0005-0000-0000-000080760000}"/>
    <cellStyle name="Normal 35 22" xfId="30337" xr:uid="{00000000-0005-0000-0000-000081760000}"/>
    <cellStyle name="Normal 35 23" xfId="30338" xr:uid="{00000000-0005-0000-0000-000082760000}"/>
    <cellStyle name="Normal 35 24" xfId="30339" xr:uid="{00000000-0005-0000-0000-000083760000}"/>
    <cellStyle name="Normal 35 25" xfId="30340" xr:uid="{00000000-0005-0000-0000-000084760000}"/>
    <cellStyle name="Normal 35 3" xfId="30341" xr:uid="{00000000-0005-0000-0000-000085760000}"/>
    <cellStyle name="Normal 35 3 2" xfId="30342" xr:uid="{00000000-0005-0000-0000-000086760000}"/>
    <cellStyle name="Normal 35 3 3" xfId="30343" xr:uid="{00000000-0005-0000-0000-000087760000}"/>
    <cellStyle name="Normal 35 3 4" xfId="30344" xr:uid="{00000000-0005-0000-0000-000088760000}"/>
    <cellStyle name="Normal 35 3 5" xfId="30345" xr:uid="{00000000-0005-0000-0000-000089760000}"/>
    <cellStyle name="Normal 35 4" xfId="30346" xr:uid="{00000000-0005-0000-0000-00008A760000}"/>
    <cellStyle name="Normal 35 5" xfId="30347" xr:uid="{00000000-0005-0000-0000-00008B760000}"/>
    <cellStyle name="Normal 35 6" xfId="30348" xr:uid="{00000000-0005-0000-0000-00008C760000}"/>
    <cellStyle name="Normal 35 7" xfId="30349" xr:uid="{00000000-0005-0000-0000-00008D760000}"/>
    <cellStyle name="Normal 35 8" xfId="30350" xr:uid="{00000000-0005-0000-0000-00008E760000}"/>
    <cellStyle name="Normal 35 9" xfId="30351" xr:uid="{00000000-0005-0000-0000-00008F760000}"/>
    <cellStyle name="Normal 36" xfId="30352" xr:uid="{00000000-0005-0000-0000-000090760000}"/>
    <cellStyle name="Normal 36 2" xfId="30353" xr:uid="{00000000-0005-0000-0000-000091760000}"/>
    <cellStyle name="Normal 36 3" xfId="30354" xr:uid="{00000000-0005-0000-0000-000092760000}"/>
    <cellStyle name="Normal 36 4" xfId="30355" xr:uid="{00000000-0005-0000-0000-000093760000}"/>
    <cellStyle name="Normal 37" xfId="30356" xr:uid="{00000000-0005-0000-0000-000094760000}"/>
    <cellStyle name="Normal 37 10" xfId="30357" xr:uid="{00000000-0005-0000-0000-000095760000}"/>
    <cellStyle name="Normal 37 11" xfId="30358" xr:uid="{00000000-0005-0000-0000-000096760000}"/>
    <cellStyle name="Normal 37 12" xfId="30359" xr:uid="{00000000-0005-0000-0000-000097760000}"/>
    <cellStyle name="Normal 37 13" xfId="30360" xr:uid="{00000000-0005-0000-0000-000098760000}"/>
    <cellStyle name="Normal 37 14" xfId="30361" xr:uid="{00000000-0005-0000-0000-000099760000}"/>
    <cellStyle name="Normal 37 15" xfId="30362" xr:uid="{00000000-0005-0000-0000-00009A760000}"/>
    <cellStyle name="Normal 37 16" xfId="30363" xr:uid="{00000000-0005-0000-0000-00009B760000}"/>
    <cellStyle name="Normal 37 17" xfId="30364" xr:uid="{00000000-0005-0000-0000-00009C760000}"/>
    <cellStyle name="Normal 37 18" xfId="30365" xr:uid="{00000000-0005-0000-0000-00009D760000}"/>
    <cellStyle name="Normal 37 19" xfId="30366" xr:uid="{00000000-0005-0000-0000-00009E760000}"/>
    <cellStyle name="Normal 37 2" xfId="30367" xr:uid="{00000000-0005-0000-0000-00009F760000}"/>
    <cellStyle name="Normal 37 2 2" xfId="30368" xr:uid="{00000000-0005-0000-0000-0000A0760000}"/>
    <cellStyle name="Normal 37 20" xfId="30369" xr:uid="{00000000-0005-0000-0000-0000A1760000}"/>
    <cellStyle name="Normal 37 21" xfId="30370" xr:uid="{00000000-0005-0000-0000-0000A2760000}"/>
    <cellStyle name="Normal 37 22" xfId="30371" xr:uid="{00000000-0005-0000-0000-0000A3760000}"/>
    <cellStyle name="Normal 37 23" xfId="30372" xr:uid="{00000000-0005-0000-0000-0000A4760000}"/>
    <cellStyle name="Normal 37 24" xfId="30373" xr:uid="{00000000-0005-0000-0000-0000A5760000}"/>
    <cellStyle name="Normal 37 25" xfId="30374" xr:uid="{00000000-0005-0000-0000-0000A6760000}"/>
    <cellStyle name="Normal 37 26" xfId="30375" xr:uid="{00000000-0005-0000-0000-0000A7760000}"/>
    <cellStyle name="Normal 37 3" xfId="30376" xr:uid="{00000000-0005-0000-0000-0000A8760000}"/>
    <cellStyle name="Normal 37 3 2" xfId="30377" xr:uid="{00000000-0005-0000-0000-0000A9760000}"/>
    <cellStyle name="Normal 37 4" xfId="30378" xr:uid="{00000000-0005-0000-0000-0000AA760000}"/>
    <cellStyle name="Normal 37 4 2" xfId="30379" xr:uid="{00000000-0005-0000-0000-0000AB760000}"/>
    <cellStyle name="Normal 37 5" xfId="30380" xr:uid="{00000000-0005-0000-0000-0000AC760000}"/>
    <cellStyle name="Normal 37 5 2" xfId="30381" xr:uid="{00000000-0005-0000-0000-0000AD760000}"/>
    <cellStyle name="Normal 37 6" xfId="30382" xr:uid="{00000000-0005-0000-0000-0000AE760000}"/>
    <cellStyle name="Normal 37 7" xfId="30383" xr:uid="{00000000-0005-0000-0000-0000AF760000}"/>
    <cellStyle name="Normal 37 8" xfId="30384" xr:uid="{00000000-0005-0000-0000-0000B0760000}"/>
    <cellStyle name="Normal 37 9" xfId="30385" xr:uid="{00000000-0005-0000-0000-0000B1760000}"/>
    <cellStyle name="Normal 38" xfId="30386" xr:uid="{00000000-0005-0000-0000-0000B2760000}"/>
    <cellStyle name="Normal 38 10" xfId="30387" xr:uid="{00000000-0005-0000-0000-0000B3760000}"/>
    <cellStyle name="Normal 38 11" xfId="30388" xr:uid="{00000000-0005-0000-0000-0000B4760000}"/>
    <cellStyle name="Normal 38 12" xfId="30389" xr:uid="{00000000-0005-0000-0000-0000B5760000}"/>
    <cellStyle name="Normal 38 13" xfId="30390" xr:uid="{00000000-0005-0000-0000-0000B6760000}"/>
    <cellStyle name="Normal 38 14" xfId="30391" xr:uid="{00000000-0005-0000-0000-0000B7760000}"/>
    <cellStyle name="Normal 38 15" xfId="30392" xr:uid="{00000000-0005-0000-0000-0000B8760000}"/>
    <cellStyle name="Normal 38 16" xfId="30393" xr:uid="{00000000-0005-0000-0000-0000B9760000}"/>
    <cellStyle name="Normal 38 17" xfId="30394" xr:uid="{00000000-0005-0000-0000-0000BA760000}"/>
    <cellStyle name="Normal 38 18" xfId="30395" xr:uid="{00000000-0005-0000-0000-0000BB760000}"/>
    <cellStyle name="Normal 38 19" xfId="30396" xr:uid="{00000000-0005-0000-0000-0000BC760000}"/>
    <cellStyle name="Normal 38 2" xfId="30397" xr:uid="{00000000-0005-0000-0000-0000BD760000}"/>
    <cellStyle name="Normal 38 2 2" xfId="30398" xr:uid="{00000000-0005-0000-0000-0000BE760000}"/>
    <cellStyle name="Normal 38 20" xfId="30399" xr:uid="{00000000-0005-0000-0000-0000BF760000}"/>
    <cellStyle name="Normal 38 21" xfId="30400" xr:uid="{00000000-0005-0000-0000-0000C0760000}"/>
    <cellStyle name="Normal 38 22" xfId="30401" xr:uid="{00000000-0005-0000-0000-0000C1760000}"/>
    <cellStyle name="Normal 38 23" xfId="30402" xr:uid="{00000000-0005-0000-0000-0000C2760000}"/>
    <cellStyle name="Normal 38 24" xfId="30403" xr:uid="{00000000-0005-0000-0000-0000C3760000}"/>
    <cellStyle name="Normal 38 25" xfId="30404" xr:uid="{00000000-0005-0000-0000-0000C4760000}"/>
    <cellStyle name="Normal 38 26" xfId="30405" xr:uid="{00000000-0005-0000-0000-0000C5760000}"/>
    <cellStyle name="Normal 38 3" xfId="30406" xr:uid="{00000000-0005-0000-0000-0000C6760000}"/>
    <cellStyle name="Normal 38 3 2" xfId="30407" xr:uid="{00000000-0005-0000-0000-0000C7760000}"/>
    <cellStyle name="Normal 38 4" xfId="30408" xr:uid="{00000000-0005-0000-0000-0000C8760000}"/>
    <cellStyle name="Normal 38 4 2" xfId="30409" xr:uid="{00000000-0005-0000-0000-0000C9760000}"/>
    <cellStyle name="Normal 38 5" xfId="30410" xr:uid="{00000000-0005-0000-0000-0000CA760000}"/>
    <cellStyle name="Normal 38 5 2" xfId="30411" xr:uid="{00000000-0005-0000-0000-0000CB760000}"/>
    <cellStyle name="Normal 38 6" xfId="30412" xr:uid="{00000000-0005-0000-0000-0000CC760000}"/>
    <cellStyle name="Normal 38 7" xfId="30413" xr:uid="{00000000-0005-0000-0000-0000CD760000}"/>
    <cellStyle name="Normal 38 8" xfId="30414" xr:uid="{00000000-0005-0000-0000-0000CE760000}"/>
    <cellStyle name="Normal 38 9" xfId="30415" xr:uid="{00000000-0005-0000-0000-0000CF760000}"/>
    <cellStyle name="Normal 39" xfId="30416" xr:uid="{00000000-0005-0000-0000-0000D0760000}"/>
    <cellStyle name="Normal 39 10" xfId="30417" xr:uid="{00000000-0005-0000-0000-0000D1760000}"/>
    <cellStyle name="Normal 39 11" xfId="30418" xr:uid="{00000000-0005-0000-0000-0000D2760000}"/>
    <cellStyle name="Normal 39 12" xfId="30419" xr:uid="{00000000-0005-0000-0000-0000D3760000}"/>
    <cellStyle name="Normal 39 13" xfId="30420" xr:uid="{00000000-0005-0000-0000-0000D4760000}"/>
    <cellStyle name="Normal 39 14" xfId="30421" xr:uid="{00000000-0005-0000-0000-0000D5760000}"/>
    <cellStyle name="Normal 39 15" xfId="30422" xr:uid="{00000000-0005-0000-0000-0000D6760000}"/>
    <cellStyle name="Normal 39 16" xfId="30423" xr:uid="{00000000-0005-0000-0000-0000D7760000}"/>
    <cellStyle name="Normal 39 17" xfId="30424" xr:uid="{00000000-0005-0000-0000-0000D8760000}"/>
    <cellStyle name="Normal 39 18" xfId="30425" xr:uid="{00000000-0005-0000-0000-0000D9760000}"/>
    <cellStyle name="Normal 39 19" xfId="30426" xr:uid="{00000000-0005-0000-0000-0000DA760000}"/>
    <cellStyle name="Normal 39 2" xfId="30427" xr:uid="{00000000-0005-0000-0000-0000DB760000}"/>
    <cellStyle name="Normal 39 2 2" xfId="30428" xr:uid="{00000000-0005-0000-0000-0000DC760000}"/>
    <cellStyle name="Normal 39 20" xfId="30429" xr:uid="{00000000-0005-0000-0000-0000DD760000}"/>
    <cellStyle name="Normal 39 21" xfId="30430" xr:uid="{00000000-0005-0000-0000-0000DE760000}"/>
    <cellStyle name="Normal 39 22" xfId="30431" xr:uid="{00000000-0005-0000-0000-0000DF760000}"/>
    <cellStyle name="Normal 39 23" xfId="30432" xr:uid="{00000000-0005-0000-0000-0000E0760000}"/>
    <cellStyle name="Normal 39 24" xfId="30433" xr:uid="{00000000-0005-0000-0000-0000E1760000}"/>
    <cellStyle name="Normal 39 25" xfId="30434" xr:uid="{00000000-0005-0000-0000-0000E2760000}"/>
    <cellStyle name="Normal 39 26" xfId="30435" xr:uid="{00000000-0005-0000-0000-0000E3760000}"/>
    <cellStyle name="Normal 39 3" xfId="30436" xr:uid="{00000000-0005-0000-0000-0000E4760000}"/>
    <cellStyle name="Normal 39 3 2" xfId="30437" xr:uid="{00000000-0005-0000-0000-0000E5760000}"/>
    <cellStyle name="Normal 39 4" xfId="30438" xr:uid="{00000000-0005-0000-0000-0000E6760000}"/>
    <cellStyle name="Normal 39 4 2" xfId="30439" xr:uid="{00000000-0005-0000-0000-0000E7760000}"/>
    <cellStyle name="Normal 39 5" xfId="30440" xr:uid="{00000000-0005-0000-0000-0000E8760000}"/>
    <cellStyle name="Normal 39 5 2" xfId="30441" xr:uid="{00000000-0005-0000-0000-0000E9760000}"/>
    <cellStyle name="Normal 39 6" xfId="30442" xr:uid="{00000000-0005-0000-0000-0000EA760000}"/>
    <cellStyle name="Normal 39 7" xfId="30443" xr:uid="{00000000-0005-0000-0000-0000EB760000}"/>
    <cellStyle name="Normal 39 8" xfId="30444" xr:uid="{00000000-0005-0000-0000-0000EC760000}"/>
    <cellStyle name="Normal 39 9" xfId="30445" xr:uid="{00000000-0005-0000-0000-0000ED760000}"/>
    <cellStyle name="Normal 4" xfId="436" xr:uid="{00000000-0005-0000-0000-0000B4010000}"/>
    <cellStyle name="Normal 4 10" xfId="30446" xr:uid="{00000000-0005-0000-0000-0000EE760000}"/>
    <cellStyle name="Normal 4 10 2" xfId="30447" xr:uid="{00000000-0005-0000-0000-0000EF760000}"/>
    <cellStyle name="Normal 4 10 3" xfId="30448" xr:uid="{00000000-0005-0000-0000-0000F0760000}"/>
    <cellStyle name="Normal 4 10 4" xfId="30449" xr:uid="{00000000-0005-0000-0000-0000F1760000}"/>
    <cellStyle name="Normal 4 10 5" xfId="30450" xr:uid="{00000000-0005-0000-0000-0000F2760000}"/>
    <cellStyle name="Normal 4 10_Enlaces" xfId="30451" xr:uid="{00000000-0005-0000-0000-0000F3760000}"/>
    <cellStyle name="Normal 4 100" xfId="30452" xr:uid="{00000000-0005-0000-0000-0000F4760000}"/>
    <cellStyle name="Normal 4 100 2" xfId="30453" xr:uid="{00000000-0005-0000-0000-0000F5760000}"/>
    <cellStyle name="Normal 4 100 3" xfId="30454" xr:uid="{00000000-0005-0000-0000-0000F6760000}"/>
    <cellStyle name="Normal 4 101" xfId="30455" xr:uid="{00000000-0005-0000-0000-0000F7760000}"/>
    <cellStyle name="Normal 4 101 2" xfId="30456" xr:uid="{00000000-0005-0000-0000-0000F8760000}"/>
    <cellStyle name="Normal 4 101 3" xfId="30457" xr:uid="{00000000-0005-0000-0000-0000F9760000}"/>
    <cellStyle name="Normal 4 102" xfId="30458" xr:uid="{00000000-0005-0000-0000-0000FA760000}"/>
    <cellStyle name="Normal 4 102 2" xfId="30459" xr:uid="{00000000-0005-0000-0000-0000FB760000}"/>
    <cellStyle name="Normal 4 102 3" xfId="30460" xr:uid="{00000000-0005-0000-0000-0000FC760000}"/>
    <cellStyle name="Normal 4 103" xfId="30461" xr:uid="{00000000-0005-0000-0000-0000FD760000}"/>
    <cellStyle name="Normal 4 103 2" xfId="30462" xr:uid="{00000000-0005-0000-0000-0000FE760000}"/>
    <cellStyle name="Normal 4 103 3" xfId="30463" xr:uid="{00000000-0005-0000-0000-0000FF760000}"/>
    <cellStyle name="Normal 4 104" xfId="30464" xr:uid="{00000000-0005-0000-0000-000000770000}"/>
    <cellStyle name="Normal 4 104 2" xfId="30465" xr:uid="{00000000-0005-0000-0000-000001770000}"/>
    <cellStyle name="Normal 4 104 3" xfId="30466" xr:uid="{00000000-0005-0000-0000-000002770000}"/>
    <cellStyle name="Normal 4 105" xfId="30467" xr:uid="{00000000-0005-0000-0000-000003770000}"/>
    <cellStyle name="Normal 4 105 2" xfId="30468" xr:uid="{00000000-0005-0000-0000-000004770000}"/>
    <cellStyle name="Normal 4 105 3" xfId="30469" xr:uid="{00000000-0005-0000-0000-000005770000}"/>
    <cellStyle name="Normal 4 106" xfId="30470" xr:uid="{00000000-0005-0000-0000-000006770000}"/>
    <cellStyle name="Normal 4 106 2" xfId="30471" xr:uid="{00000000-0005-0000-0000-000007770000}"/>
    <cellStyle name="Normal 4 106 3" xfId="30472" xr:uid="{00000000-0005-0000-0000-000008770000}"/>
    <cellStyle name="Normal 4 107" xfId="30473" xr:uid="{00000000-0005-0000-0000-000009770000}"/>
    <cellStyle name="Normal 4 107 2" xfId="30474" xr:uid="{00000000-0005-0000-0000-00000A770000}"/>
    <cellStyle name="Normal 4 107 3" xfId="30475" xr:uid="{00000000-0005-0000-0000-00000B770000}"/>
    <cellStyle name="Normal 4 108" xfId="30476" xr:uid="{00000000-0005-0000-0000-00000C770000}"/>
    <cellStyle name="Normal 4 108 2" xfId="30477" xr:uid="{00000000-0005-0000-0000-00000D770000}"/>
    <cellStyle name="Normal 4 108 3" xfId="30478" xr:uid="{00000000-0005-0000-0000-00000E770000}"/>
    <cellStyle name="Normal 4 109" xfId="30479" xr:uid="{00000000-0005-0000-0000-00000F770000}"/>
    <cellStyle name="Normal 4 109 2" xfId="30480" xr:uid="{00000000-0005-0000-0000-000010770000}"/>
    <cellStyle name="Normal 4 109 3" xfId="30481" xr:uid="{00000000-0005-0000-0000-000011770000}"/>
    <cellStyle name="Normal 4 11" xfId="30482" xr:uid="{00000000-0005-0000-0000-000012770000}"/>
    <cellStyle name="Normal 4 11 2" xfId="30483" xr:uid="{00000000-0005-0000-0000-000013770000}"/>
    <cellStyle name="Normal 4 11 3" xfId="30484" xr:uid="{00000000-0005-0000-0000-000014770000}"/>
    <cellStyle name="Normal 4 11 4" xfId="30485" xr:uid="{00000000-0005-0000-0000-000015770000}"/>
    <cellStyle name="Normal 4 11 5" xfId="30486" xr:uid="{00000000-0005-0000-0000-000016770000}"/>
    <cellStyle name="Normal 4 11_Enlaces" xfId="30487" xr:uid="{00000000-0005-0000-0000-000017770000}"/>
    <cellStyle name="Normal 4 110" xfId="30488" xr:uid="{00000000-0005-0000-0000-000018770000}"/>
    <cellStyle name="Normal 4 110 2" xfId="30489" xr:uid="{00000000-0005-0000-0000-000019770000}"/>
    <cellStyle name="Normal 4 110 3" xfId="30490" xr:uid="{00000000-0005-0000-0000-00001A770000}"/>
    <cellStyle name="Normal 4 111" xfId="30491" xr:uid="{00000000-0005-0000-0000-00001B770000}"/>
    <cellStyle name="Normal 4 111 2" xfId="30492" xr:uid="{00000000-0005-0000-0000-00001C770000}"/>
    <cellStyle name="Normal 4 111 3" xfId="30493" xr:uid="{00000000-0005-0000-0000-00001D770000}"/>
    <cellStyle name="Normal 4 112" xfId="30494" xr:uid="{00000000-0005-0000-0000-00001E770000}"/>
    <cellStyle name="Normal 4 112 2" xfId="30495" xr:uid="{00000000-0005-0000-0000-00001F770000}"/>
    <cellStyle name="Normal 4 112 3" xfId="30496" xr:uid="{00000000-0005-0000-0000-000020770000}"/>
    <cellStyle name="Normal 4 113" xfId="30497" xr:uid="{00000000-0005-0000-0000-000021770000}"/>
    <cellStyle name="Normal 4 113 2" xfId="30498" xr:uid="{00000000-0005-0000-0000-000022770000}"/>
    <cellStyle name="Normal 4 113 3" xfId="30499" xr:uid="{00000000-0005-0000-0000-000023770000}"/>
    <cellStyle name="Normal 4 114" xfId="30500" xr:uid="{00000000-0005-0000-0000-000024770000}"/>
    <cellStyle name="Normal 4 114 2" xfId="30501" xr:uid="{00000000-0005-0000-0000-000025770000}"/>
    <cellStyle name="Normal 4 114 3" xfId="30502" xr:uid="{00000000-0005-0000-0000-000026770000}"/>
    <cellStyle name="Normal 4 115" xfId="30503" xr:uid="{00000000-0005-0000-0000-000027770000}"/>
    <cellStyle name="Normal 4 115 2" xfId="30504" xr:uid="{00000000-0005-0000-0000-000028770000}"/>
    <cellStyle name="Normal 4 115 3" xfId="30505" xr:uid="{00000000-0005-0000-0000-000029770000}"/>
    <cellStyle name="Normal 4 116" xfId="30506" xr:uid="{00000000-0005-0000-0000-00002A770000}"/>
    <cellStyle name="Normal 4 116 2" xfId="30507" xr:uid="{00000000-0005-0000-0000-00002B770000}"/>
    <cellStyle name="Normal 4 116 3" xfId="30508" xr:uid="{00000000-0005-0000-0000-00002C770000}"/>
    <cellStyle name="Normal 4 117" xfId="30509" xr:uid="{00000000-0005-0000-0000-00002D770000}"/>
    <cellStyle name="Normal 4 117 2" xfId="30510" xr:uid="{00000000-0005-0000-0000-00002E770000}"/>
    <cellStyle name="Normal 4 117 3" xfId="30511" xr:uid="{00000000-0005-0000-0000-00002F770000}"/>
    <cellStyle name="Normal 4 118" xfId="30512" xr:uid="{00000000-0005-0000-0000-000030770000}"/>
    <cellStyle name="Normal 4 118 2" xfId="30513" xr:uid="{00000000-0005-0000-0000-000031770000}"/>
    <cellStyle name="Normal 4 118 3" xfId="30514" xr:uid="{00000000-0005-0000-0000-000032770000}"/>
    <cellStyle name="Normal 4 119" xfId="30515" xr:uid="{00000000-0005-0000-0000-000033770000}"/>
    <cellStyle name="Normal 4 119 2" xfId="30516" xr:uid="{00000000-0005-0000-0000-000034770000}"/>
    <cellStyle name="Normal 4 119 3" xfId="30517" xr:uid="{00000000-0005-0000-0000-000035770000}"/>
    <cellStyle name="Normal 4 12" xfId="30518" xr:uid="{00000000-0005-0000-0000-000036770000}"/>
    <cellStyle name="Normal 4 12 2" xfId="30519" xr:uid="{00000000-0005-0000-0000-000037770000}"/>
    <cellStyle name="Normal 4 12 3" xfId="30520" xr:uid="{00000000-0005-0000-0000-000038770000}"/>
    <cellStyle name="Normal 4 12 4" xfId="30521" xr:uid="{00000000-0005-0000-0000-000039770000}"/>
    <cellStyle name="Normal 4 12 5" xfId="30522" xr:uid="{00000000-0005-0000-0000-00003A770000}"/>
    <cellStyle name="Normal 4 12_Enlaces" xfId="30523" xr:uid="{00000000-0005-0000-0000-00003B770000}"/>
    <cellStyle name="Normal 4 120" xfId="30524" xr:uid="{00000000-0005-0000-0000-00003C770000}"/>
    <cellStyle name="Normal 4 120 2" xfId="30525" xr:uid="{00000000-0005-0000-0000-00003D770000}"/>
    <cellStyle name="Normal 4 120 3" xfId="30526" xr:uid="{00000000-0005-0000-0000-00003E770000}"/>
    <cellStyle name="Normal 4 121" xfId="30527" xr:uid="{00000000-0005-0000-0000-00003F770000}"/>
    <cellStyle name="Normal 4 121 2" xfId="30528" xr:uid="{00000000-0005-0000-0000-000040770000}"/>
    <cellStyle name="Normal 4 121 3" xfId="30529" xr:uid="{00000000-0005-0000-0000-000041770000}"/>
    <cellStyle name="Normal 4 122" xfId="30530" xr:uid="{00000000-0005-0000-0000-000042770000}"/>
    <cellStyle name="Normal 4 122 2" xfId="30531" xr:uid="{00000000-0005-0000-0000-000043770000}"/>
    <cellStyle name="Normal 4 122 3" xfId="30532" xr:uid="{00000000-0005-0000-0000-000044770000}"/>
    <cellStyle name="Normal 4 123" xfId="30533" xr:uid="{00000000-0005-0000-0000-000045770000}"/>
    <cellStyle name="Normal 4 123 2" xfId="30534" xr:uid="{00000000-0005-0000-0000-000046770000}"/>
    <cellStyle name="Normal 4 123 3" xfId="30535" xr:uid="{00000000-0005-0000-0000-000047770000}"/>
    <cellStyle name="Normal 4 124" xfId="30536" xr:uid="{00000000-0005-0000-0000-000048770000}"/>
    <cellStyle name="Normal 4 125" xfId="30537" xr:uid="{00000000-0005-0000-0000-000049770000}"/>
    <cellStyle name="Normal 4 126" xfId="30538" xr:uid="{00000000-0005-0000-0000-00004A770000}"/>
    <cellStyle name="Normal 4 127" xfId="30539" xr:uid="{00000000-0005-0000-0000-00004B770000}"/>
    <cellStyle name="Normal 4 128" xfId="30540" xr:uid="{00000000-0005-0000-0000-00004C770000}"/>
    <cellStyle name="Normal 4 129" xfId="30541" xr:uid="{00000000-0005-0000-0000-00004D770000}"/>
    <cellStyle name="Normal 4 13" xfId="30542" xr:uid="{00000000-0005-0000-0000-00004E770000}"/>
    <cellStyle name="Normal 4 13 2" xfId="30543" xr:uid="{00000000-0005-0000-0000-00004F770000}"/>
    <cellStyle name="Normal 4 13 3" xfId="30544" xr:uid="{00000000-0005-0000-0000-000050770000}"/>
    <cellStyle name="Normal 4 13 4" xfId="30545" xr:uid="{00000000-0005-0000-0000-000051770000}"/>
    <cellStyle name="Normal 4 13 5" xfId="30546" xr:uid="{00000000-0005-0000-0000-000052770000}"/>
    <cellStyle name="Normal 4 13_Enlaces" xfId="30547" xr:uid="{00000000-0005-0000-0000-000053770000}"/>
    <cellStyle name="Normal 4 130" xfId="30548" xr:uid="{00000000-0005-0000-0000-000054770000}"/>
    <cellStyle name="Normal 4 131" xfId="30549" xr:uid="{00000000-0005-0000-0000-000055770000}"/>
    <cellStyle name="Normal 4 131 2" xfId="30550" xr:uid="{00000000-0005-0000-0000-000056770000}"/>
    <cellStyle name="Normal 4 132" xfId="30551" xr:uid="{00000000-0005-0000-0000-000057770000}"/>
    <cellStyle name="Normal 4 132 2" xfId="30552" xr:uid="{00000000-0005-0000-0000-000058770000}"/>
    <cellStyle name="Normal 4 133" xfId="30553" xr:uid="{00000000-0005-0000-0000-000059770000}"/>
    <cellStyle name="Normal 4 133 2" xfId="30554" xr:uid="{00000000-0005-0000-0000-00005A770000}"/>
    <cellStyle name="Normal 4 134" xfId="30555" xr:uid="{00000000-0005-0000-0000-00005B770000}"/>
    <cellStyle name="Normal 4 134 2" xfId="30556" xr:uid="{00000000-0005-0000-0000-00005C770000}"/>
    <cellStyle name="Normal 4 135" xfId="30557" xr:uid="{00000000-0005-0000-0000-00005D770000}"/>
    <cellStyle name="Normal 4 135 2" xfId="30558" xr:uid="{00000000-0005-0000-0000-00005E770000}"/>
    <cellStyle name="Normal 4 136" xfId="30559" xr:uid="{00000000-0005-0000-0000-00005F770000}"/>
    <cellStyle name="Normal 4 136 2" xfId="30560" xr:uid="{00000000-0005-0000-0000-000060770000}"/>
    <cellStyle name="Normal 4 137" xfId="30561" xr:uid="{00000000-0005-0000-0000-000061770000}"/>
    <cellStyle name="Normal 4 137 2" xfId="30562" xr:uid="{00000000-0005-0000-0000-000062770000}"/>
    <cellStyle name="Normal 4 138" xfId="30563" xr:uid="{00000000-0005-0000-0000-000063770000}"/>
    <cellStyle name="Normal 4 138 2" xfId="30564" xr:uid="{00000000-0005-0000-0000-000064770000}"/>
    <cellStyle name="Normal 4 139" xfId="30565" xr:uid="{00000000-0005-0000-0000-000065770000}"/>
    <cellStyle name="Normal 4 139 2" xfId="30566" xr:uid="{00000000-0005-0000-0000-000066770000}"/>
    <cellStyle name="Normal 4 14" xfId="30567" xr:uid="{00000000-0005-0000-0000-000067770000}"/>
    <cellStyle name="Normal 4 14 2" xfId="30568" xr:uid="{00000000-0005-0000-0000-000068770000}"/>
    <cellStyle name="Normal 4 14 3" xfId="30569" xr:uid="{00000000-0005-0000-0000-000069770000}"/>
    <cellStyle name="Normal 4 14 4" xfId="30570" xr:uid="{00000000-0005-0000-0000-00006A770000}"/>
    <cellStyle name="Normal 4 14 5" xfId="30571" xr:uid="{00000000-0005-0000-0000-00006B770000}"/>
    <cellStyle name="Normal 4 14_Enlaces" xfId="30572" xr:uid="{00000000-0005-0000-0000-00006C770000}"/>
    <cellStyle name="Normal 4 140" xfId="30573" xr:uid="{00000000-0005-0000-0000-00006D770000}"/>
    <cellStyle name="Normal 4 140 2" xfId="30574" xr:uid="{00000000-0005-0000-0000-00006E770000}"/>
    <cellStyle name="Normal 4 141" xfId="30575" xr:uid="{00000000-0005-0000-0000-00006F770000}"/>
    <cellStyle name="Normal 4 141 2" xfId="30576" xr:uid="{00000000-0005-0000-0000-000070770000}"/>
    <cellStyle name="Normal 4 142" xfId="30577" xr:uid="{00000000-0005-0000-0000-000071770000}"/>
    <cellStyle name="Normal 4 142 2" xfId="30578" xr:uid="{00000000-0005-0000-0000-000072770000}"/>
    <cellStyle name="Normal 4 143" xfId="30579" xr:uid="{00000000-0005-0000-0000-000073770000}"/>
    <cellStyle name="Normal 4 143 2" xfId="30580" xr:uid="{00000000-0005-0000-0000-000074770000}"/>
    <cellStyle name="Normal 4 144" xfId="30581" xr:uid="{00000000-0005-0000-0000-000075770000}"/>
    <cellStyle name="Normal 4 144 2" xfId="30582" xr:uid="{00000000-0005-0000-0000-000076770000}"/>
    <cellStyle name="Normal 4 145" xfId="30583" xr:uid="{00000000-0005-0000-0000-000077770000}"/>
    <cellStyle name="Normal 4 145 2" xfId="30584" xr:uid="{00000000-0005-0000-0000-000078770000}"/>
    <cellStyle name="Normal 4 146" xfId="30585" xr:uid="{00000000-0005-0000-0000-000079770000}"/>
    <cellStyle name="Normal 4 146 2" xfId="30586" xr:uid="{00000000-0005-0000-0000-00007A770000}"/>
    <cellStyle name="Normal 4 147" xfId="30587" xr:uid="{00000000-0005-0000-0000-00007B770000}"/>
    <cellStyle name="Normal 4 147 2" xfId="30588" xr:uid="{00000000-0005-0000-0000-00007C770000}"/>
    <cellStyle name="Normal 4 148" xfId="30589" xr:uid="{00000000-0005-0000-0000-00007D770000}"/>
    <cellStyle name="Normal 4 148 2" xfId="30590" xr:uid="{00000000-0005-0000-0000-00007E770000}"/>
    <cellStyle name="Normal 4 148 3" xfId="30591" xr:uid="{00000000-0005-0000-0000-00007F770000}"/>
    <cellStyle name="Normal 4 149" xfId="30592" xr:uid="{00000000-0005-0000-0000-000080770000}"/>
    <cellStyle name="Normal 4 149 2" xfId="30593" xr:uid="{00000000-0005-0000-0000-000081770000}"/>
    <cellStyle name="Normal 4 149 3" xfId="30594" xr:uid="{00000000-0005-0000-0000-000082770000}"/>
    <cellStyle name="Normal 4 15" xfId="30595" xr:uid="{00000000-0005-0000-0000-000083770000}"/>
    <cellStyle name="Normal 4 15 2" xfId="30596" xr:uid="{00000000-0005-0000-0000-000084770000}"/>
    <cellStyle name="Normal 4 15 3" xfId="30597" xr:uid="{00000000-0005-0000-0000-000085770000}"/>
    <cellStyle name="Normal 4 15 4" xfId="30598" xr:uid="{00000000-0005-0000-0000-000086770000}"/>
    <cellStyle name="Normal 4 15 5" xfId="30599" xr:uid="{00000000-0005-0000-0000-000087770000}"/>
    <cellStyle name="Normal 4 15_Enlaces" xfId="30600" xr:uid="{00000000-0005-0000-0000-000088770000}"/>
    <cellStyle name="Normal 4 150" xfId="30601" xr:uid="{00000000-0005-0000-0000-000089770000}"/>
    <cellStyle name="Normal 4 150 2" xfId="30602" xr:uid="{00000000-0005-0000-0000-00008A770000}"/>
    <cellStyle name="Normal 4 150 3" xfId="30603" xr:uid="{00000000-0005-0000-0000-00008B770000}"/>
    <cellStyle name="Normal 4 151" xfId="30604" xr:uid="{00000000-0005-0000-0000-00008C770000}"/>
    <cellStyle name="Normal 4 151 2" xfId="30605" xr:uid="{00000000-0005-0000-0000-00008D770000}"/>
    <cellStyle name="Normal 4 151 3" xfId="30606" xr:uid="{00000000-0005-0000-0000-00008E770000}"/>
    <cellStyle name="Normal 4 152" xfId="30607" xr:uid="{00000000-0005-0000-0000-00008F770000}"/>
    <cellStyle name="Normal 4 152 2" xfId="30608" xr:uid="{00000000-0005-0000-0000-000090770000}"/>
    <cellStyle name="Normal 4 152 3" xfId="30609" xr:uid="{00000000-0005-0000-0000-000091770000}"/>
    <cellStyle name="Normal 4 153" xfId="30610" xr:uid="{00000000-0005-0000-0000-000092770000}"/>
    <cellStyle name="Normal 4 153 2" xfId="30611" xr:uid="{00000000-0005-0000-0000-000093770000}"/>
    <cellStyle name="Normal 4 154" xfId="30612" xr:uid="{00000000-0005-0000-0000-000094770000}"/>
    <cellStyle name="Normal 4 155" xfId="30613" xr:uid="{00000000-0005-0000-0000-000095770000}"/>
    <cellStyle name="Normal 4 156" xfId="30614" xr:uid="{00000000-0005-0000-0000-000096770000}"/>
    <cellStyle name="Normal 4 157" xfId="30615" xr:uid="{00000000-0005-0000-0000-000097770000}"/>
    <cellStyle name="Normal 4 158" xfId="30616" xr:uid="{00000000-0005-0000-0000-000098770000}"/>
    <cellStyle name="Normal 4 159" xfId="30617" xr:uid="{00000000-0005-0000-0000-000099770000}"/>
    <cellStyle name="Normal 4 16" xfId="30618" xr:uid="{00000000-0005-0000-0000-00009A770000}"/>
    <cellStyle name="Normal 4 16 2" xfId="30619" xr:uid="{00000000-0005-0000-0000-00009B770000}"/>
    <cellStyle name="Normal 4 16 3" xfId="30620" xr:uid="{00000000-0005-0000-0000-00009C770000}"/>
    <cellStyle name="Normal 4 16 4" xfId="30621" xr:uid="{00000000-0005-0000-0000-00009D770000}"/>
    <cellStyle name="Normal 4 16 5" xfId="30622" xr:uid="{00000000-0005-0000-0000-00009E770000}"/>
    <cellStyle name="Normal 4 16_Enlaces" xfId="30623" xr:uid="{00000000-0005-0000-0000-00009F770000}"/>
    <cellStyle name="Normal 4 160" xfId="30624" xr:uid="{00000000-0005-0000-0000-0000A0770000}"/>
    <cellStyle name="Normal 4 161" xfId="30625" xr:uid="{00000000-0005-0000-0000-0000A1770000}"/>
    <cellStyle name="Normal 4 162" xfId="30626" xr:uid="{00000000-0005-0000-0000-0000A2770000}"/>
    <cellStyle name="Normal 4 163" xfId="30627" xr:uid="{00000000-0005-0000-0000-0000A3770000}"/>
    <cellStyle name="Normal 4 164" xfId="30628" xr:uid="{00000000-0005-0000-0000-0000A4770000}"/>
    <cellStyle name="Normal 4 165" xfId="30629" xr:uid="{00000000-0005-0000-0000-0000A5770000}"/>
    <cellStyle name="Normal 4 166" xfId="30630" xr:uid="{00000000-0005-0000-0000-0000A6770000}"/>
    <cellStyle name="Normal 4 167" xfId="30631" xr:uid="{00000000-0005-0000-0000-0000A7770000}"/>
    <cellStyle name="Normal 4 168" xfId="30632" xr:uid="{00000000-0005-0000-0000-0000A8770000}"/>
    <cellStyle name="Normal 4 169" xfId="30633" xr:uid="{00000000-0005-0000-0000-0000A9770000}"/>
    <cellStyle name="Normal 4 17" xfId="30634" xr:uid="{00000000-0005-0000-0000-0000AA770000}"/>
    <cellStyle name="Normal 4 17 2" xfId="30635" xr:uid="{00000000-0005-0000-0000-0000AB770000}"/>
    <cellStyle name="Normal 4 17 3" xfId="30636" xr:uid="{00000000-0005-0000-0000-0000AC770000}"/>
    <cellStyle name="Normal 4 17 4" xfId="30637" xr:uid="{00000000-0005-0000-0000-0000AD770000}"/>
    <cellStyle name="Normal 4 17 5" xfId="30638" xr:uid="{00000000-0005-0000-0000-0000AE770000}"/>
    <cellStyle name="Normal 4 17_Enlaces" xfId="30639" xr:uid="{00000000-0005-0000-0000-0000AF770000}"/>
    <cellStyle name="Normal 4 170" xfId="30640" xr:uid="{00000000-0005-0000-0000-0000B0770000}"/>
    <cellStyle name="Normal 4 171" xfId="30641" xr:uid="{00000000-0005-0000-0000-0000B1770000}"/>
    <cellStyle name="Normal 4 18" xfId="30642" xr:uid="{00000000-0005-0000-0000-0000B2770000}"/>
    <cellStyle name="Normal 4 18 2" xfId="30643" xr:uid="{00000000-0005-0000-0000-0000B3770000}"/>
    <cellStyle name="Normal 4 18 3" xfId="30644" xr:uid="{00000000-0005-0000-0000-0000B4770000}"/>
    <cellStyle name="Normal 4 18 4" xfId="30645" xr:uid="{00000000-0005-0000-0000-0000B5770000}"/>
    <cellStyle name="Normal 4 18 5" xfId="30646" xr:uid="{00000000-0005-0000-0000-0000B6770000}"/>
    <cellStyle name="Normal 4 18_Enlaces" xfId="30647" xr:uid="{00000000-0005-0000-0000-0000B7770000}"/>
    <cellStyle name="Normal 4 19" xfId="30648" xr:uid="{00000000-0005-0000-0000-0000B8770000}"/>
    <cellStyle name="Normal 4 19 2" xfId="30649" xr:uid="{00000000-0005-0000-0000-0000B9770000}"/>
    <cellStyle name="Normal 4 19 3" xfId="30650" xr:uid="{00000000-0005-0000-0000-0000BA770000}"/>
    <cellStyle name="Normal 4 19 4" xfId="30651" xr:uid="{00000000-0005-0000-0000-0000BB770000}"/>
    <cellStyle name="Normal 4 19 5" xfId="30652" xr:uid="{00000000-0005-0000-0000-0000BC770000}"/>
    <cellStyle name="Normal 4 19_Enlaces" xfId="30653" xr:uid="{00000000-0005-0000-0000-0000BD770000}"/>
    <cellStyle name="Normal 4 2" xfId="437" xr:uid="{00000000-0005-0000-0000-0000B5010000}"/>
    <cellStyle name="Normal 4 2 10" xfId="30655" xr:uid="{00000000-0005-0000-0000-0000BF770000}"/>
    <cellStyle name="Normal 4 2 10 2" xfId="30656" xr:uid="{00000000-0005-0000-0000-0000C0770000}"/>
    <cellStyle name="Normal 4 2 11" xfId="30657" xr:uid="{00000000-0005-0000-0000-0000C1770000}"/>
    <cellStyle name="Normal 4 2 11 2" xfId="30658" xr:uid="{00000000-0005-0000-0000-0000C2770000}"/>
    <cellStyle name="Normal 4 2 12" xfId="30659" xr:uid="{00000000-0005-0000-0000-0000C3770000}"/>
    <cellStyle name="Normal 4 2 12 2" xfId="30660" xr:uid="{00000000-0005-0000-0000-0000C4770000}"/>
    <cellStyle name="Normal 4 2 13" xfId="30661" xr:uid="{00000000-0005-0000-0000-0000C5770000}"/>
    <cellStyle name="Normal 4 2 13 2" xfId="30662" xr:uid="{00000000-0005-0000-0000-0000C6770000}"/>
    <cellStyle name="Normal 4 2 14" xfId="30663" xr:uid="{00000000-0005-0000-0000-0000C7770000}"/>
    <cellStyle name="Normal 4 2 14 2" xfId="30664" xr:uid="{00000000-0005-0000-0000-0000C8770000}"/>
    <cellStyle name="Normal 4 2 15" xfId="30665" xr:uid="{00000000-0005-0000-0000-0000C9770000}"/>
    <cellStyle name="Normal 4 2 15 2" xfId="30666" xr:uid="{00000000-0005-0000-0000-0000CA770000}"/>
    <cellStyle name="Normal 4 2 16" xfId="30667" xr:uid="{00000000-0005-0000-0000-0000CB770000}"/>
    <cellStyle name="Normal 4 2 16 2" xfId="30668" xr:uid="{00000000-0005-0000-0000-0000CC770000}"/>
    <cellStyle name="Normal 4 2 17" xfId="30669" xr:uid="{00000000-0005-0000-0000-0000CD770000}"/>
    <cellStyle name="Normal 4 2 17 2" xfId="30670" xr:uid="{00000000-0005-0000-0000-0000CE770000}"/>
    <cellStyle name="Normal 4 2 18" xfId="30671" xr:uid="{00000000-0005-0000-0000-0000CF770000}"/>
    <cellStyle name="Normal 4 2 18 2" xfId="30672" xr:uid="{00000000-0005-0000-0000-0000D0770000}"/>
    <cellStyle name="Normal 4 2 19" xfId="30673" xr:uid="{00000000-0005-0000-0000-0000D1770000}"/>
    <cellStyle name="Normal 4 2 19 2" xfId="30674" xr:uid="{00000000-0005-0000-0000-0000D2770000}"/>
    <cellStyle name="Normal 4 2 2" xfId="30675" xr:uid="{00000000-0005-0000-0000-0000D3770000}"/>
    <cellStyle name="Normal 4 2 2 2" xfId="30676" xr:uid="{00000000-0005-0000-0000-0000D4770000}"/>
    <cellStyle name="Normal 4 2 20" xfId="30677" xr:uid="{00000000-0005-0000-0000-0000D5770000}"/>
    <cellStyle name="Normal 4 2 20 2" xfId="30678" xr:uid="{00000000-0005-0000-0000-0000D6770000}"/>
    <cellStyle name="Normal 4 2 21" xfId="30679" xr:uid="{00000000-0005-0000-0000-0000D7770000}"/>
    <cellStyle name="Normal 4 2 21 2" xfId="30680" xr:uid="{00000000-0005-0000-0000-0000D8770000}"/>
    <cellStyle name="Normal 4 2 22" xfId="30681" xr:uid="{00000000-0005-0000-0000-0000D9770000}"/>
    <cellStyle name="Normal 4 2 22 2" xfId="30682" xr:uid="{00000000-0005-0000-0000-0000DA770000}"/>
    <cellStyle name="Normal 4 2 23" xfId="30683" xr:uid="{00000000-0005-0000-0000-0000DB770000}"/>
    <cellStyle name="Normal 4 2 23 2" xfId="30684" xr:uid="{00000000-0005-0000-0000-0000DC770000}"/>
    <cellStyle name="Normal 4 2 24" xfId="30685" xr:uid="{00000000-0005-0000-0000-0000DD770000}"/>
    <cellStyle name="Normal 4 2 25" xfId="30686" xr:uid="{00000000-0005-0000-0000-0000DE770000}"/>
    <cellStyle name="Normal 4 2 26" xfId="30687" xr:uid="{00000000-0005-0000-0000-0000DF770000}"/>
    <cellStyle name="Normal 4 2 27" xfId="30688" xr:uid="{00000000-0005-0000-0000-0000E0770000}"/>
    <cellStyle name="Normal 4 2 28" xfId="30689" xr:uid="{00000000-0005-0000-0000-0000E1770000}"/>
    <cellStyle name="Normal 4 2 29" xfId="30690" xr:uid="{00000000-0005-0000-0000-0000E2770000}"/>
    <cellStyle name="Normal 4 2 3" xfId="30691" xr:uid="{00000000-0005-0000-0000-0000E3770000}"/>
    <cellStyle name="Normal 4 2 3 2" xfId="30692" xr:uid="{00000000-0005-0000-0000-0000E4770000}"/>
    <cellStyle name="Normal 4 2 30" xfId="30693" xr:uid="{00000000-0005-0000-0000-0000E5770000}"/>
    <cellStyle name="Normal 4 2 31" xfId="30694" xr:uid="{00000000-0005-0000-0000-0000E6770000}"/>
    <cellStyle name="Normal 4 2 32" xfId="30695" xr:uid="{00000000-0005-0000-0000-0000E7770000}"/>
    <cellStyle name="Normal 4 2 33" xfId="30696" xr:uid="{00000000-0005-0000-0000-0000E8770000}"/>
    <cellStyle name="Normal 4 2 34" xfId="30697" xr:uid="{00000000-0005-0000-0000-0000E9770000}"/>
    <cellStyle name="Normal 4 2 35" xfId="30698" xr:uid="{00000000-0005-0000-0000-0000EA770000}"/>
    <cellStyle name="Normal 4 2 36" xfId="30699" xr:uid="{00000000-0005-0000-0000-0000EB770000}"/>
    <cellStyle name="Normal 4 2 37" xfId="30700" xr:uid="{00000000-0005-0000-0000-0000EC770000}"/>
    <cellStyle name="Normal 4 2 38" xfId="30701" xr:uid="{00000000-0005-0000-0000-0000ED770000}"/>
    <cellStyle name="Normal 4 2 39" xfId="30702" xr:uid="{00000000-0005-0000-0000-0000EE770000}"/>
    <cellStyle name="Normal 4 2 4" xfId="30703" xr:uid="{00000000-0005-0000-0000-0000EF770000}"/>
    <cellStyle name="Normal 4 2 4 2" xfId="30704" xr:uid="{00000000-0005-0000-0000-0000F0770000}"/>
    <cellStyle name="Normal 4 2 40" xfId="30705" xr:uid="{00000000-0005-0000-0000-0000F1770000}"/>
    <cellStyle name="Normal 4 2 41" xfId="30706" xr:uid="{00000000-0005-0000-0000-0000F2770000}"/>
    <cellStyle name="Normal 4 2 42" xfId="30707" xr:uid="{00000000-0005-0000-0000-0000F3770000}"/>
    <cellStyle name="Normal 4 2 43" xfId="30708" xr:uid="{00000000-0005-0000-0000-0000F4770000}"/>
    <cellStyle name="Normal 4 2 44" xfId="30709" xr:uid="{00000000-0005-0000-0000-0000F5770000}"/>
    <cellStyle name="Normal 4 2 45" xfId="30710" xr:uid="{00000000-0005-0000-0000-0000F6770000}"/>
    <cellStyle name="Normal 4 2 46" xfId="30711" xr:uid="{00000000-0005-0000-0000-0000F7770000}"/>
    <cellStyle name="Normal 4 2 47" xfId="30712" xr:uid="{00000000-0005-0000-0000-0000F8770000}"/>
    <cellStyle name="Normal 4 2 48" xfId="30713" xr:uid="{00000000-0005-0000-0000-0000F9770000}"/>
    <cellStyle name="Normal 4 2 49" xfId="30714" xr:uid="{00000000-0005-0000-0000-0000FA770000}"/>
    <cellStyle name="Normal 4 2 5" xfId="30715" xr:uid="{00000000-0005-0000-0000-0000FB770000}"/>
    <cellStyle name="Normal 4 2 5 2" xfId="30716" xr:uid="{00000000-0005-0000-0000-0000FC770000}"/>
    <cellStyle name="Normal 4 2 50" xfId="30717" xr:uid="{00000000-0005-0000-0000-0000FD770000}"/>
    <cellStyle name="Normal 4 2 51" xfId="30718" xr:uid="{00000000-0005-0000-0000-0000FE770000}"/>
    <cellStyle name="Normal 4 2 52" xfId="30719" xr:uid="{00000000-0005-0000-0000-0000FF770000}"/>
    <cellStyle name="Normal 4 2 53" xfId="30720" xr:uid="{00000000-0005-0000-0000-000000780000}"/>
    <cellStyle name="Normal 4 2 54" xfId="30721" xr:uid="{00000000-0005-0000-0000-000001780000}"/>
    <cellStyle name="Normal 4 2 55" xfId="30722" xr:uid="{00000000-0005-0000-0000-000002780000}"/>
    <cellStyle name="Normal 4 2 56" xfId="30723" xr:uid="{00000000-0005-0000-0000-000003780000}"/>
    <cellStyle name="Normal 4 2 57" xfId="30724" xr:uid="{00000000-0005-0000-0000-000004780000}"/>
    <cellStyle name="Normal 4 2 58" xfId="30725" xr:uid="{00000000-0005-0000-0000-000005780000}"/>
    <cellStyle name="Normal 4 2 59" xfId="30726" xr:uid="{00000000-0005-0000-0000-000006780000}"/>
    <cellStyle name="Normal 4 2 6" xfId="30727" xr:uid="{00000000-0005-0000-0000-000007780000}"/>
    <cellStyle name="Normal 4 2 6 2" xfId="30728" xr:uid="{00000000-0005-0000-0000-000008780000}"/>
    <cellStyle name="Normal 4 2 60" xfId="30729" xr:uid="{00000000-0005-0000-0000-000009780000}"/>
    <cellStyle name="Normal 4 2 61" xfId="30730" xr:uid="{00000000-0005-0000-0000-00000A780000}"/>
    <cellStyle name="Normal 4 2 62" xfId="30731" xr:uid="{00000000-0005-0000-0000-00000B780000}"/>
    <cellStyle name="Normal 4 2 63" xfId="30732" xr:uid="{00000000-0005-0000-0000-00000C780000}"/>
    <cellStyle name="Normal 4 2 64" xfId="30733" xr:uid="{00000000-0005-0000-0000-00000D780000}"/>
    <cellStyle name="Normal 4 2 65" xfId="30734" xr:uid="{00000000-0005-0000-0000-00000E780000}"/>
    <cellStyle name="Normal 4 2 66" xfId="30735" xr:uid="{00000000-0005-0000-0000-00000F780000}"/>
    <cellStyle name="Normal 4 2 67" xfId="30736" xr:uid="{00000000-0005-0000-0000-000010780000}"/>
    <cellStyle name="Normal 4 2 68" xfId="30737" xr:uid="{00000000-0005-0000-0000-000011780000}"/>
    <cellStyle name="Normal 4 2 69" xfId="30738" xr:uid="{00000000-0005-0000-0000-000012780000}"/>
    <cellStyle name="Normal 4 2 7" xfId="30739" xr:uid="{00000000-0005-0000-0000-000013780000}"/>
    <cellStyle name="Normal 4 2 7 2" xfId="30740" xr:uid="{00000000-0005-0000-0000-000014780000}"/>
    <cellStyle name="Normal 4 2 70" xfId="30741" xr:uid="{00000000-0005-0000-0000-000015780000}"/>
    <cellStyle name="Normal 4 2 71" xfId="30742" xr:uid="{00000000-0005-0000-0000-000016780000}"/>
    <cellStyle name="Normal 4 2 72" xfId="30743" xr:uid="{00000000-0005-0000-0000-000017780000}"/>
    <cellStyle name="Normal 4 2 73" xfId="30744" xr:uid="{00000000-0005-0000-0000-000018780000}"/>
    <cellStyle name="Normal 4 2 74" xfId="30745" xr:uid="{00000000-0005-0000-0000-000019780000}"/>
    <cellStyle name="Normal 4 2 75" xfId="30746" xr:uid="{00000000-0005-0000-0000-00001A780000}"/>
    <cellStyle name="Normal 4 2 76" xfId="30747" xr:uid="{00000000-0005-0000-0000-00001B780000}"/>
    <cellStyle name="Normal 4 2 77" xfId="30748" xr:uid="{00000000-0005-0000-0000-00001C780000}"/>
    <cellStyle name="Normal 4 2 78" xfId="30749" xr:uid="{00000000-0005-0000-0000-00001D780000}"/>
    <cellStyle name="Normal 4 2 79" xfId="30750" xr:uid="{00000000-0005-0000-0000-00001E780000}"/>
    <cellStyle name="Normal 4 2 8" xfId="30751" xr:uid="{00000000-0005-0000-0000-00001F780000}"/>
    <cellStyle name="Normal 4 2 8 2" xfId="30752" xr:uid="{00000000-0005-0000-0000-000020780000}"/>
    <cellStyle name="Normal 4 2 80" xfId="30753" xr:uid="{00000000-0005-0000-0000-000021780000}"/>
    <cellStyle name="Normal 4 2 81" xfId="30754" xr:uid="{00000000-0005-0000-0000-000022780000}"/>
    <cellStyle name="Normal 4 2 82" xfId="30755" xr:uid="{00000000-0005-0000-0000-000023780000}"/>
    <cellStyle name="Normal 4 2 83" xfId="30756" xr:uid="{00000000-0005-0000-0000-000024780000}"/>
    <cellStyle name="Normal 4 2 84" xfId="30757" xr:uid="{00000000-0005-0000-0000-000025780000}"/>
    <cellStyle name="Normal 4 2 85" xfId="30758" xr:uid="{00000000-0005-0000-0000-000026780000}"/>
    <cellStyle name="Normal 4 2 86" xfId="30759" xr:uid="{00000000-0005-0000-0000-000027780000}"/>
    <cellStyle name="Normal 4 2 87" xfId="30760" xr:uid="{00000000-0005-0000-0000-000028780000}"/>
    <cellStyle name="Normal 4 2 87 2" xfId="30761" xr:uid="{00000000-0005-0000-0000-000029780000}"/>
    <cellStyle name="Normal 4 2 88" xfId="30654" xr:uid="{00000000-0005-0000-0000-0000BE770000}"/>
    <cellStyle name="Normal 4 2 9" xfId="30762" xr:uid="{00000000-0005-0000-0000-00002A780000}"/>
    <cellStyle name="Normal 4 2 9 2" xfId="30763" xr:uid="{00000000-0005-0000-0000-00002B780000}"/>
    <cellStyle name="Normal 4 2_Xa Parametrización de Usuarios" xfId="30764" xr:uid="{00000000-0005-0000-0000-00002C780000}"/>
    <cellStyle name="Normal 4 20" xfId="30765" xr:uid="{00000000-0005-0000-0000-00002D780000}"/>
    <cellStyle name="Normal 4 20 2" xfId="30766" xr:uid="{00000000-0005-0000-0000-00002E780000}"/>
    <cellStyle name="Normal 4 20 3" xfId="30767" xr:uid="{00000000-0005-0000-0000-00002F780000}"/>
    <cellStyle name="Normal 4 20 4" xfId="30768" xr:uid="{00000000-0005-0000-0000-000030780000}"/>
    <cellStyle name="Normal 4 20_Enlaces" xfId="30769" xr:uid="{00000000-0005-0000-0000-000031780000}"/>
    <cellStyle name="Normal 4 21" xfId="30770" xr:uid="{00000000-0005-0000-0000-000032780000}"/>
    <cellStyle name="Normal 4 21 2" xfId="30771" xr:uid="{00000000-0005-0000-0000-000033780000}"/>
    <cellStyle name="Normal 4 21 3" xfId="30772" xr:uid="{00000000-0005-0000-0000-000034780000}"/>
    <cellStyle name="Normal 4 21 4" xfId="30773" xr:uid="{00000000-0005-0000-0000-000035780000}"/>
    <cellStyle name="Normal 4 21_Enlaces" xfId="30774" xr:uid="{00000000-0005-0000-0000-000036780000}"/>
    <cellStyle name="Normal 4 22" xfId="30775" xr:uid="{00000000-0005-0000-0000-000037780000}"/>
    <cellStyle name="Normal 4 22 2" xfId="30776" xr:uid="{00000000-0005-0000-0000-000038780000}"/>
    <cellStyle name="Normal 4 22 3" xfId="30777" xr:uid="{00000000-0005-0000-0000-000039780000}"/>
    <cellStyle name="Normal 4 22 4" xfId="30778" xr:uid="{00000000-0005-0000-0000-00003A780000}"/>
    <cellStyle name="Normal 4 22_Enlaces" xfId="30779" xr:uid="{00000000-0005-0000-0000-00003B780000}"/>
    <cellStyle name="Normal 4 23" xfId="30780" xr:uid="{00000000-0005-0000-0000-00003C780000}"/>
    <cellStyle name="Normal 4 23 2" xfId="30781" xr:uid="{00000000-0005-0000-0000-00003D780000}"/>
    <cellStyle name="Normal 4 23 3" xfId="30782" xr:uid="{00000000-0005-0000-0000-00003E780000}"/>
    <cellStyle name="Normal 4 23 4" xfId="30783" xr:uid="{00000000-0005-0000-0000-00003F780000}"/>
    <cellStyle name="Normal 4 23_Enlaces" xfId="30784" xr:uid="{00000000-0005-0000-0000-000040780000}"/>
    <cellStyle name="Normal 4 24" xfId="30785" xr:uid="{00000000-0005-0000-0000-000041780000}"/>
    <cellStyle name="Normal 4 24 2" xfId="30786" xr:uid="{00000000-0005-0000-0000-000042780000}"/>
    <cellStyle name="Normal 4 24 3" xfId="30787" xr:uid="{00000000-0005-0000-0000-000043780000}"/>
    <cellStyle name="Normal 4 24 4" xfId="30788" xr:uid="{00000000-0005-0000-0000-000044780000}"/>
    <cellStyle name="Normal 4 24_Enlaces" xfId="30789" xr:uid="{00000000-0005-0000-0000-000045780000}"/>
    <cellStyle name="Normal 4 25" xfId="30790" xr:uid="{00000000-0005-0000-0000-000046780000}"/>
    <cellStyle name="Normal 4 25 2" xfId="30791" xr:uid="{00000000-0005-0000-0000-000047780000}"/>
    <cellStyle name="Normal 4 25 3" xfId="30792" xr:uid="{00000000-0005-0000-0000-000048780000}"/>
    <cellStyle name="Normal 4 25 4" xfId="30793" xr:uid="{00000000-0005-0000-0000-000049780000}"/>
    <cellStyle name="Normal 4 25_Enlaces" xfId="30794" xr:uid="{00000000-0005-0000-0000-00004A780000}"/>
    <cellStyle name="Normal 4 26" xfId="30795" xr:uid="{00000000-0005-0000-0000-00004B780000}"/>
    <cellStyle name="Normal 4 26 2" xfId="30796" xr:uid="{00000000-0005-0000-0000-00004C780000}"/>
    <cellStyle name="Normal 4 26 3" xfId="30797" xr:uid="{00000000-0005-0000-0000-00004D780000}"/>
    <cellStyle name="Normal 4 26 4" xfId="30798" xr:uid="{00000000-0005-0000-0000-00004E780000}"/>
    <cellStyle name="Normal 4 26_Enlaces" xfId="30799" xr:uid="{00000000-0005-0000-0000-00004F780000}"/>
    <cellStyle name="Normal 4 27" xfId="30800" xr:uid="{00000000-0005-0000-0000-000050780000}"/>
    <cellStyle name="Normal 4 27 2" xfId="30801" xr:uid="{00000000-0005-0000-0000-000051780000}"/>
    <cellStyle name="Normal 4 27 3" xfId="30802" xr:uid="{00000000-0005-0000-0000-000052780000}"/>
    <cellStyle name="Normal 4 28" xfId="30803" xr:uid="{00000000-0005-0000-0000-000053780000}"/>
    <cellStyle name="Normal 4 28 2" xfId="30804" xr:uid="{00000000-0005-0000-0000-000054780000}"/>
    <cellStyle name="Normal 4 28 3" xfId="30805" xr:uid="{00000000-0005-0000-0000-000055780000}"/>
    <cellStyle name="Normal 4 29" xfId="30806" xr:uid="{00000000-0005-0000-0000-000056780000}"/>
    <cellStyle name="Normal 4 29 2" xfId="30807" xr:uid="{00000000-0005-0000-0000-000057780000}"/>
    <cellStyle name="Normal 4 29 3" xfId="30808" xr:uid="{00000000-0005-0000-0000-000058780000}"/>
    <cellStyle name="Normal 4 3" xfId="30809" xr:uid="{00000000-0005-0000-0000-000059780000}"/>
    <cellStyle name="Normal 4 3 10" xfId="30810" xr:uid="{00000000-0005-0000-0000-00005A780000}"/>
    <cellStyle name="Normal 4 3 11" xfId="30811" xr:uid="{00000000-0005-0000-0000-00005B780000}"/>
    <cellStyle name="Normal 4 3 12" xfId="30812" xr:uid="{00000000-0005-0000-0000-00005C780000}"/>
    <cellStyle name="Normal 4 3 13" xfId="30813" xr:uid="{00000000-0005-0000-0000-00005D780000}"/>
    <cellStyle name="Normal 4 3 14" xfId="30814" xr:uid="{00000000-0005-0000-0000-00005E780000}"/>
    <cellStyle name="Normal 4 3 15" xfId="30815" xr:uid="{00000000-0005-0000-0000-00005F780000}"/>
    <cellStyle name="Normal 4 3 16" xfId="30816" xr:uid="{00000000-0005-0000-0000-000060780000}"/>
    <cellStyle name="Normal 4 3 17" xfId="30817" xr:uid="{00000000-0005-0000-0000-000061780000}"/>
    <cellStyle name="Normal 4 3 18" xfId="30818" xr:uid="{00000000-0005-0000-0000-000062780000}"/>
    <cellStyle name="Normal 4 3 19" xfId="30819" xr:uid="{00000000-0005-0000-0000-000063780000}"/>
    <cellStyle name="Normal 4 3 2" xfId="30820" xr:uid="{00000000-0005-0000-0000-000064780000}"/>
    <cellStyle name="Normal 4 3 2 2" xfId="30821" xr:uid="{00000000-0005-0000-0000-000065780000}"/>
    <cellStyle name="Normal 4 3 20" xfId="30822" xr:uid="{00000000-0005-0000-0000-000066780000}"/>
    <cellStyle name="Normal 4 3 21" xfId="30823" xr:uid="{00000000-0005-0000-0000-000067780000}"/>
    <cellStyle name="Normal 4 3 22" xfId="30824" xr:uid="{00000000-0005-0000-0000-000068780000}"/>
    <cellStyle name="Normal 4 3 23" xfId="30825" xr:uid="{00000000-0005-0000-0000-000069780000}"/>
    <cellStyle name="Normal 4 3 24" xfId="30826" xr:uid="{00000000-0005-0000-0000-00006A780000}"/>
    <cellStyle name="Normal 4 3 25" xfId="30827" xr:uid="{00000000-0005-0000-0000-00006B780000}"/>
    <cellStyle name="Normal 4 3 26" xfId="30828" xr:uid="{00000000-0005-0000-0000-00006C780000}"/>
    <cellStyle name="Normal 4 3 27" xfId="30829" xr:uid="{00000000-0005-0000-0000-00006D780000}"/>
    <cellStyle name="Normal 4 3 28" xfId="30830" xr:uid="{00000000-0005-0000-0000-00006E780000}"/>
    <cellStyle name="Normal 4 3 29" xfId="30831" xr:uid="{00000000-0005-0000-0000-00006F780000}"/>
    <cellStyle name="Normal 4 3 3" xfId="30832" xr:uid="{00000000-0005-0000-0000-000070780000}"/>
    <cellStyle name="Normal 4 3 30" xfId="30833" xr:uid="{00000000-0005-0000-0000-000071780000}"/>
    <cellStyle name="Normal 4 3 31" xfId="30834" xr:uid="{00000000-0005-0000-0000-000072780000}"/>
    <cellStyle name="Normal 4 3 32" xfId="30835" xr:uid="{00000000-0005-0000-0000-000073780000}"/>
    <cellStyle name="Normal 4 3 33" xfId="30836" xr:uid="{00000000-0005-0000-0000-000074780000}"/>
    <cellStyle name="Normal 4 3 34" xfId="30837" xr:uid="{00000000-0005-0000-0000-000075780000}"/>
    <cellStyle name="Normal 4 3 4" xfId="30838" xr:uid="{00000000-0005-0000-0000-000076780000}"/>
    <cellStyle name="Normal 4 3 5" xfId="30839" xr:uid="{00000000-0005-0000-0000-000077780000}"/>
    <cellStyle name="Normal 4 3 6" xfId="30840" xr:uid="{00000000-0005-0000-0000-000078780000}"/>
    <cellStyle name="Normal 4 3 7" xfId="30841" xr:uid="{00000000-0005-0000-0000-000079780000}"/>
    <cellStyle name="Normal 4 3 8" xfId="30842" xr:uid="{00000000-0005-0000-0000-00007A780000}"/>
    <cellStyle name="Normal 4 3 9" xfId="30843" xr:uid="{00000000-0005-0000-0000-00007B780000}"/>
    <cellStyle name="Normal 4 3_Enlaces" xfId="30844" xr:uid="{00000000-0005-0000-0000-00007C780000}"/>
    <cellStyle name="Normal 4 30" xfId="30845" xr:uid="{00000000-0005-0000-0000-00007D780000}"/>
    <cellStyle name="Normal 4 30 2" xfId="30846" xr:uid="{00000000-0005-0000-0000-00007E780000}"/>
    <cellStyle name="Normal 4 30 3" xfId="30847" xr:uid="{00000000-0005-0000-0000-00007F780000}"/>
    <cellStyle name="Normal 4 31" xfId="30848" xr:uid="{00000000-0005-0000-0000-000080780000}"/>
    <cellStyle name="Normal 4 31 2" xfId="30849" xr:uid="{00000000-0005-0000-0000-000081780000}"/>
    <cellStyle name="Normal 4 31 3" xfId="30850" xr:uid="{00000000-0005-0000-0000-000082780000}"/>
    <cellStyle name="Normal 4 32" xfId="30851" xr:uid="{00000000-0005-0000-0000-000083780000}"/>
    <cellStyle name="Normal 4 32 2" xfId="30852" xr:uid="{00000000-0005-0000-0000-000084780000}"/>
    <cellStyle name="Normal 4 32 3" xfId="30853" xr:uid="{00000000-0005-0000-0000-000085780000}"/>
    <cellStyle name="Normal 4 33" xfId="30854" xr:uid="{00000000-0005-0000-0000-000086780000}"/>
    <cellStyle name="Normal 4 33 2" xfId="30855" xr:uid="{00000000-0005-0000-0000-000087780000}"/>
    <cellStyle name="Normal 4 33 3" xfId="30856" xr:uid="{00000000-0005-0000-0000-000088780000}"/>
    <cellStyle name="Normal 4 34" xfId="30857" xr:uid="{00000000-0005-0000-0000-000089780000}"/>
    <cellStyle name="Normal 4 34 2" xfId="30858" xr:uid="{00000000-0005-0000-0000-00008A780000}"/>
    <cellStyle name="Normal 4 34 3" xfId="30859" xr:uid="{00000000-0005-0000-0000-00008B780000}"/>
    <cellStyle name="Normal 4 35" xfId="30860" xr:uid="{00000000-0005-0000-0000-00008C780000}"/>
    <cellStyle name="Normal 4 35 2" xfId="30861" xr:uid="{00000000-0005-0000-0000-00008D780000}"/>
    <cellStyle name="Normal 4 35 3" xfId="30862" xr:uid="{00000000-0005-0000-0000-00008E780000}"/>
    <cellStyle name="Normal 4 36" xfId="30863" xr:uid="{00000000-0005-0000-0000-00008F780000}"/>
    <cellStyle name="Normal 4 36 2" xfId="30864" xr:uid="{00000000-0005-0000-0000-000090780000}"/>
    <cellStyle name="Normal 4 36 3" xfId="30865" xr:uid="{00000000-0005-0000-0000-000091780000}"/>
    <cellStyle name="Normal 4 37" xfId="30866" xr:uid="{00000000-0005-0000-0000-000092780000}"/>
    <cellStyle name="Normal 4 37 2" xfId="30867" xr:uid="{00000000-0005-0000-0000-000093780000}"/>
    <cellStyle name="Normal 4 37 3" xfId="30868" xr:uid="{00000000-0005-0000-0000-000094780000}"/>
    <cellStyle name="Normal 4 38" xfId="30869" xr:uid="{00000000-0005-0000-0000-000095780000}"/>
    <cellStyle name="Normal 4 38 2" xfId="30870" xr:uid="{00000000-0005-0000-0000-000096780000}"/>
    <cellStyle name="Normal 4 38 3" xfId="30871" xr:uid="{00000000-0005-0000-0000-000097780000}"/>
    <cellStyle name="Normal 4 39" xfId="30872" xr:uid="{00000000-0005-0000-0000-000098780000}"/>
    <cellStyle name="Normal 4 39 2" xfId="30873" xr:uid="{00000000-0005-0000-0000-000099780000}"/>
    <cellStyle name="Normal 4 39 3" xfId="30874" xr:uid="{00000000-0005-0000-0000-00009A780000}"/>
    <cellStyle name="Normal 4 4" xfId="30875" xr:uid="{00000000-0005-0000-0000-00009B780000}"/>
    <cellStyle name="Normal 4 4 2" xfId="30876" xr:uid="{00000000-0005-0000-0000-00009C780000}"/>
    <cellStyle name="Normal 4 4 3" xfId="30877" xr:uid="{00000000-0005-0000-0000-00009D780000}"/>
    <cellStyle name="Normal 4 4 4" xfId="30878" xr:uid="{00000000-0005-0000-0000-00009E780000}"/>
    <cellStyle name="Normal 4 4 5" xfId="30879" xr:uid="{00000000-0005-0000-0000-00009F780000}"/>
    <cellStyle name="Normal 4 4_Enlaces" xfId="30880" xr:uid="{00000000-0005-0000-0000-0000A0780000}"/>
    <cellStyle name="Normal 4 40" xfId="30881" xr:uid="{00000000-0005-0000-0000-0000A1780000}"/>
    <cellStyle name="Normal 4 40 2" xfId="30882" xr:uid="{00000000-0005-0000-0000-0000A2780000}"/>
    <cellStyle name="Normal 4 40 3" xfId="30883" xr:uid="{00000000-0005-0000-0000-0000A3780000}"/>
    <cellStyle name="Normal 4 41" xfId="30884" xr:uid="{00000000-0005-0000-0000-0000A4780000}"/>
    <cellStyle name="Normal 4 41 2" xfId="30885" xr:uid="{00000000-0005-0000-0000-0000A5780000}"/>
    <cellStyle name="Normal 4 41 3" xfId="30886" xr:uid="{00000000-0005-0000-0000-0000A6780000}"/>
    <cellStyle name="Normal 4 42" xfId="30887" xr:uid="{00000000-0005-0000-0000-0000A7780000}"/>
    <cellStyle name="Normal 4 42 2" xfId="30888" xr:uid="{00000000-0005-0000-0000-0000A8780000}"/>
    <cellStyle name="Normal 4 42 3" xfId="30889" xr:uid="{00000000-0005-0000-0000-0000A9780000}"/>
    <cellStyle name="Normal 4 43" xfId="30890" xr:uid="{00000000-0005-0000-0000-0000AA780000}"/>
    <cellStyle name="Normal 4 43 2" xfId="30891" xr:uid="{00000000-0005-0000-0000-0000AB780000}"/>
    <cellStyle name="Normal 4 43 3" xfId="30892" xr:uid="{00000000-0005-0000-0000-0000AC780000}"/>
    <cellStyle name="Normal 4 44" xfId="30893" xr:uid="{00000000-0005-0000-0000-0000AD780000}"/>
    <cellStyle name="Normal 4 44 2" xfId="30894" xr:uid="{00000000-0005-0000-0000-0000AE780000}"/>
    <cellStyle name="Normal 4 44 3" xfId="30895" xr:uid="{00000000-0005-0000-0000-0000AF780000}"/>
    <cellStyle name="Normal 4 45" xfId="30896" xr:uid="{00000000-0005-0000-0000-0000B0780000}"/>
    <cellStyle name="Normal 4 45 2" xfId="30897" xr:uid="{00000000-0005-0000-0000-0000B1780000}"/>
    <cellStyle name="Normal 4 45 3" xfId="30898" xr:uid="{00000000-0005-0000-0000-0000B2780000}"/>
    <cellStyle name="Normal 4 46" xfId="30899" xr:uid="{00000000-0005-0000-0000-0000B3780000}"/>
    <cellStyle name="Normal 4 46 2" xfId="30900" xr:uid="{00000000-0005-0000-0000-0000B4780000}"/>
    <cellStyle name="Normal 4 46 3" xfId="30901" xr:uid="{00000000-0005-0000-0000-0000B5780000}"/>
    <cellStyle name="Normal 4 47" xfId="30902" xr:uid="{00000000-0005-0000-0000-0000B6780000}"/>
    <cellStyle name="Normal 4 48" xfId="30903" xr:uid="{00000000-0005-0000-0000-0000B7780000}"/>
    <cellStyle name="Normal 4 49" xfId="30904" xr:uid="{00000000-0005-0000-0000-0000B8780000}"/>
    <cellStyle name="Normal 4 5" xfId="30905" xr:uid="{00000000-0005-0000-0000-0000B9780000}"/>
    <cellStyle name="Normal 4 5 2" xfId="30906" xr:uid="{00000000-0005-0000-0000-0000BA780000}"/>
    <cellStyle name="Normal 4 5 3" xfId="30907" xr:uid="{00000000-0005-0000-0000-0000BB780000}"/>
    <cellStyle name="Normal 4 5 4" xfId="30908" xr:uid="{00000000-0005-0000-0000-0000BC780000}"/>
    <cellStyle name="Normal 4 5 5" xfId="30909" xr:uid="{00000000-0005-0000-0000-0000BD780000}"/>
    <cellStyle name="Normal 4 5_Enlaces" xfId="30910" xr:uid="{00000000-0005-0000-0000-0000BE780000}"/>
    <cellStyle name="Normal 4 50" xfId="30911" xr:uid="{00000000-0005-0000-0000-0000BF780000}"/>
    <cellStyle name="Normal 4 51" xfId="30912" xr:uid="{00000000-0005-0000-0000-0000C0780000}"/>
    <cellStyle name="Normal 4 52" xfId="30913" xr:uid="{00000000-0005-0000-0000-0000C1780000}"/>
    <cellStyle name="Normal 4 53" xfId="30914" xr:uid="{00000000-0005-0000-0000-0000C2780000}"/>
    <cellStyle name="Normal 4 54" xfId="30915" xr:uid="{00000000-0005-0000-0000-0000C3780000}"/>
    <cellStyle name="Normal 4 55" xfId="30916" xr:uid="{00000000-0005-0000-0000-0000C4780000}"/>
    <cellStyle name="Normal 4 56" xfId="30917" xr:uid="{00000000-0005-0000-0000-0000C5780000}"/>
    <cellStyle name="Normal 4 57" xfId="30918" xr:uid="{00000000-0005-0000-0000-0000C6780000}"/>
    <cellStyle name="Normal 4 58" xfId="30919" xr:uid="{00000000-0005-0000-0000-0000C7780000}"/>
    <cellStyle name="Normal 4 59" xfId="30920" xr:uid="{00000000-0005-0000-0000-0000C8780000}"/>
    <cellStyle name="Normal 4 6" xfId="30921" xr:uid="{00000000-0005-0000-0000-0000C9780000}"/>
    <cellStyle name="Normal 4 6 2" xfId="30922" xr:uid="{00000000-0005-0000-0000-0000CA780000}"/>
    <cellStyle name="Normal 4 6 3" xfId="30923" xr:uid="{00000000-0005-0000-0000-0000CB780000}"/>
    <cellStyle name="Normal 4 6 4" xfId="30924" xr:uid="{00000000-0005-0000-0000-0000CC780000}"/>
    <cellStyle name="Normal 4 6 5" xfId="30925" xr:uid="{00000000-0005-0000-0000-0000CD780000}"/>
    <cellStyle name="Normal 4 6_Enlaces" xfId="30926" xr:uid="{00000000-0005-0000-0000-0000CE780000}"/>
    <cellStyle name="Normal 4 60" xfId="30927" xr:uid="{00000000-0005-0000-0000-0000CF780000}"/>
    <cellStyle name="Normal 4 61" xfId="30928" xr:uid="{00000000-0005-0000-0000-0000D0780000}"/>
    <cellStyle name="Normal 4 62" xfId="30929" xr:uid="{00000000-0005-0000-0000-0000D1780000}"/>
    <cellStyle name="Normal 4 63" xfId="30930" xr:uid="{00000000-0005-0000-0000-0000D2780000}"/>
    <cellStyle name="Normal 4 64" xfId="30931" xr:uid="{00000000-0005-0000-0000-0000D3780000}"/>
    <cellStyle name="Normal 4 65" xfId="30932" xr:uid="{00000000-0005-0000-0000-0000D4780000}"/>
    <cellStyle name="Normal 4 66" xfId="30933" xr:uid="{00000000-0005-0000-0000-0000D5780000}"/>
    <cellStyle name="Normal 4 67" xfId="30934" xr:uid="{00000000-0005-0000-0000-0000D6780000}"/>
    <cellStyle name="Normal 4 68" xfId="30935" xr:uid="{00000000-0005-0000-0000-0000D7780000}"/>
    <cellStyle name="Normal 4 69" xfId="30936" xr:uid="{00000000-0005-0000-0000-0000D8780000}"/>
    <cellStyle name="Normal 4 7" xfId="30937" xr:uid="{00000000-0005-0000-0000-0000D9780000}"/>
    <cellStyle name="Normal 4 7 2" xfId="30938" xr:uid="{00000000-0005-0000-0000-0000DA780000}"/>
    <cellStyle name="Normal 4 7 3" xfId="30939" xr:uid="{00000000-0005-0000-0000-0000DB780000}"/>
    <cellStyle name="Normal 4 7 4" xfId="30940" xr:uid="{00000000-0005-0000-0000-0000DC780000}"/>
    <cellStyle name="Normal 4 7 5" xfId="30941" xr:uid="{00000000-0005-0000-0000-0000DD780000}"/>
    <cellStyle name="Normal 4 7_Enlaces" xfId="30942" xr:uid="{00000000-0005-0000-0000-0000DE780000}"/>
    <cellStyle name="Normal 4 70" xfId="30943" xr:uid="{00000000-0005-0000-0000-0000DF780000}"/>
    <cellStyle name="Normal 4 71" xfId="30944" xr:uid="{00000000-0005-0000-0000-0000E0780000}"/>
    <cellStyle name="Normal 4 72" xfId="30945" xr:uid="{00000000-0005-0000-0000-0000E1780000}"/>
    <cellStyle name="Normal 4 73" xfId="30946" xr:uid="{00000000-0005-0000-0000-0000E2780000}"/>
    <cellStyle name="Normal 4 74" xfId="30947" xr:uid="{00000000-0005-0000-0000-0000E3780000}"/>
    <cellStyle name="Normal 4 75" xfId="30948" xr:uid="{00000000-0005-0000-0000-0000E4780000}"/>
    <cellStyle name="Normal 4 76" xfId="30949" xr:uid="{00000000-0005-0000-0000-0000E5780000}"/>
    <cellStyle name="Normal 4 77" xfId="30950" xr:uid="{00000000-0005-0000-0000-0000E6780000}"/>
    <cellStyle name="Normal 4 78" xfId="30951" xr:uid="{00000000-0005-0000-0000-0000E7780000}"/>
    <cellStyle name="Normal 4 79" xfId="30952" xr:uid="{00000000-0005-0000-0000-0000E8780000}"/>
    <cellStyle name="Normal 4 8" xfId="30953" xr:uid="{00000000-0005-0000-0000-0000E9780000}"/>
    <cellStyle name="Normal 4 8 2" xfId="30954" xr:uid="{00000000-0005-0000-0000-0000EA780000}"/>
    <cellStyle name="Normal 4 8 3" xfId="30955" xr:uid="{00000000-0005-0000-0000-0000EB780000}"/>
    <cellStyle name="Normal 4 8 4" xfId="30956" xr:uid="{00000000-0005-0000-0000-0000EC780000}"/>
    <cellStyle name="Normal 4 8 5" xfId="30957" xr:uid="{00000000-0005-0000-0000-0000ED780000}"/>
    <cellStyle name="Normal 4 8_Enlaces" xfId="30958" xr:uid="{00000000-0005-0000-0000-0000EE780000}"/>
    <cellStyle name="Normal 4 80" xfId="30959" xr:uid="{00000000-0005-0000-0000-0000EF780000}"/>
    <cellStyle name="Normal 4 81" xfId="30960" xr:uid="{00000000-0005-0000-0000-0000F0780000}"/>
    <cellStyle name="Normal 4 82" xfId="30961" xr:uid="{00000000-0005-0000-0000-0000F1780000}"/>
    <cellStyle name="Normal 4 83" xfId="30962" xr:uid="{00000000-0005-0000-0000-0000F2780000}"/>
    <cellStyle name="Normal 4 84" xfId="30963" xr:uid="{00000000-0005-0000-0000-0000F3780000}"/>
    <cellStyle name="Normal 4 85" xfId="30964" xr:uid="{00000000-0005-0000-0000-0000F4780000}"/>
    <cellStyle name="Normal 4 86" xfId="30965" xr:uid="{00000000-0005-0000-0000-0000F5780000}"/>
    <cellStyle name="Normal 4 87" xfId="30966" xr:uid="{00000000-0005-0000-0000-0000F6780000}"/>
    <cellStyle name="Normal 4 88" xfId="30967" xr:uid="{00000000-0005-0000-0000-0000F7780000}"/>
    <cellStyle name="Normal 4 89" xfId="30968" xr:uid="{00000000-0005-0000-0000-0000F8780000}"/>
    <cellStyle name="Normal 4 9" xfId="30969" xr:uid="{00000000-0005-0000-0000-0000F9780000}"/>
    <cellStyle name="Normal 4 9 2" xfId="30970" xr:uid="{00000000-0005-0000-0000-0000FA780000}"/>
    <cellStyle name="Normal 4 9 3" xfId="30971" xr:uid="{00000000-0005-0000-0000-0000FB780000}"/>
    <cellStyle name="Normal 4 9 4" xfId="30972" xr:uid="{00000000-0005-0000-0000-0000FC780000}"/>
    <cellStyle name="Normal 4 9 5" xfId="30973" xr:uid="{00000000-0005-0000-0000-0000FD780000}"/>
    <cellStyle name="Normal 4 9_Enlaces" xfId="30974" xr:uid="{00000000-0005-0000-0000-0000FE780000}"/>
    <cellStyle name="Normal 4 90" xfId="30975" xr:uid="{00000000-0005-0000-0000-0000FF780000}"/>
    <cellStyle name="Normal 4 91" xfId="30976" xr:uid="{00000000-0005-0000-0000-000000790000}"/>
    <cellStyle name="Normal 4 92" xfId="30977" xr:uid="{00000000-0005-0000-0000-000001790000}"/>
    <cellStyle name="Normal 4 93" xfId="30978" xr:uid="{00000000-0005-0000-0000-000002790000}"/>
    <cellStyle name="Normal 4 94" xfId="30979" xr:uid="{00000000-0005-0000-0000-000003790000}"/>
    <cellStyle name="Normal 4 95" xfId="30980" xr:uid="{00000000-0005-0000-0000-000004790000}"/>
    <cellStyle name="Normal 4 96" xfId="30981" xr:uid="{00000000-0005-0000-0000-000005790000}"/>
    <cellStyle name="Normal 4 97" xfId="30982" xr:uid="{00000000-0005-0000-0000-000006790000}"/>
    <cellStyle name="Normal 4 98" xfId="30983" xr:uid="{00000000-0005-0000-0000-000007790000}"/>
    <cellStyle name="Normal 4 98 2" xfId="30984" xr:uid="{00000000-0005-0000-0000-000008790000}"/>
    <cellStyle name="Normal 4 98 3" xfId="30985" xr:uid="{00000000-0005-0000-0000-000009790000}"/>
    <cellStyle name="Normal 4 98 4" xfId="30986" xr:uid="{00000000-0005-0000-0000-00000A790000}"/>
    <cellStyle name="Normal 4 98 5" xfId="30987" xr:uid="{00000000-0005-0000-0000-00000B790000}"/>
    <cellStyle name="Normal 4 98 6" xfId="30988" xr:uid="{00000000-0005-0000-0000-00000C790000}"/>
    <cellStyle name="Normal 4 99" xfId="30989" xr:uid="{00000000-0005-0000-0000-00000D790000}"/>
    <cellStyle name="Normal 4 99 2" xfId="30990" xr:uid="{00000000-0005-0000-0000-00000E790000}"/>
    <cellStyle name="Normal 4 99 3" xfId="30991" xr:uid="{00000000-0005-0000-0000-00000F790000}"/>
    <cellStyle name="Normal 4 99 4" xfId="30992" xr:uid="{00000000-0005-0000-0000-000010790000}"/>
    <cellStyle name="Normal 4 99 5" xfId="30993" xr:uid="{00000000-0005-0000-0000-000011790000}"/>
    <cellStyle name="Normal 4 99 6" xfId="30994" xr:uid="{00000000-0005-0000-0000-000012790000}"/>
    <cellStyle name="Normal 4_Enlaces" xfId="30995" xr:uid="{00000000-0005-0000-0000-000013790000}"/>
    <cellStyle name="Normal 40" xfId="30996" xr:uid="{00000000-0005-0000-0000-000014790000}"/>
    <cellStyle name="Normal 40 10" xfId="30997" xr:uid="{00000000-0005-0000-0000-000015790000}"/>
    <cellStyle name="Normal 40 11" xfId="30998" xr:uid="{00000000-0005-0000-0000-000016790000}"/>
    <cellStyle name="Normal 40 12" xfId="30999" xr:uid="{00000000-0005-0000-0000-000017790000}"/>
    <cellStyle name="Normal 40 13" xfId="31000" xr:uid="{00000000-0005-0000-0000-000018790000}"/>
    <cellStyle name="Normal 40 14" xfId="31001" xr:uid="{00000000-0005-0000-0000-000019790000}"/>
    <cellStyle name="Normal 40 15" xfId="31002" xr:uid="{00000000-0005-0000-0000-00001A790000}"/>
    <cellStyle name="Normal 40 16" xfId="31003" xr:uid="{00000000-0005-0000-0000-00001B790000}"/>
    <cellStyle name="Normal 40 17" xfId="31004" xr:uid="{00000000-0005-0000-0000-00001C790000}"/>
    <cellStyle name="Normal 40 18" xfId="31005" xr:uid="{00000000-0005-0000-0000-00001D790000}"/>
    <cellStyle name="Normal 40 19" xfId="31006" xr:uid="{00000000-0005-0000-0000-00001E790000}"/>
    <cellStyle name="Normal 40 2" xfId="31007" xr:uid="{00000000-0005-0000-0000-00001F790000}"/>
    <cellStyle name="Normal 40 2 2" xfId="31008" xr:uid="{00000000-0005-0000-0000-000020790000}"/>
    <cellStyle name="Normal 40 20" xfId="31009" xr:uid="{00000000-0005-0000-0000-000021790000}"/>
    <cellStyle name="Normal 40 21" xfId="31010" xr:uid="{00000000-0005-0000-0000-000022790000}"/>
    <cellStyle name="Normal 40 22" xfId="31011" xr:uid="{00000000-0005-0000-0000-000023790000}"/>
    <cellStyle name="Normal 40 23" xfId="31012" xr:uid="{00000000-0005-0000-0000-000024790000}"/>
    <cellStyle name="Normal 40 24" xfId="31013" xr:uid="{00000000-0005-0000-0000-000025790000}"/>
    <cellStyle name="Normal 40 25" xfId="31014" xr:uid="{00000000-0005-0000-0000-000026790000}"/>
    <cellStyle name="Normal 40 26" xfId="31015" xr:uid="{00000000-0005-0000-0000-000027790000}"/>
    <cellStyle name="Normal 40 3" xfId="31016" xr:uid="{00000000-0005-0000-0000-000028790000}"/>
    <cellStyle name="Normal 40 3 2" xfId="31017" xr:uid="{00000000-0005-0000-0000-000029790000}"/>
    <cellStyle name="Normal 40 4" xfId="31018" xr:uid="{00000000-0005-0000-0000-00002A790000}"/>
    <cellStyle name="Normal 40 4 2" xfId="31019" xr:uid="{00000000-0005-0000-0000-00002B790000}"/>
    <cellStyle name="Normal 40 5" xfId="31020" xr:uid="{00000000-0005-0000-0000-00002C790000}"/>
    <cellStyle name="Normal 40 5 2" xfId="31021" xr:uid="{00000000-0005-0000-0000-00002D790000}"/>
    <cellStyle name="Normal 40 6" xfId="31022" xr:uid="{00000000-0005-0000-0000-00002E790000}"/>
    <cellStyle name="Normal 40 7" xfId="31023" xr:uid="{00000000-0005-0000-0000-00002F790000}"/>
    <cellStyle name="Normal 40 8" xfId="31024" xr:uid="{00000000-0005-0000-0000-000030790000}"/>
    <cellStyle name="Normal 40 9" xfId="31025" xr:uid="{00000000-0005-0000-0000-000031790000}"/>
    <cellStyle name="Normal 41" xfId="31026" xr:uid="{00000000-0005-0000-0000-000032790000}"/>
    <cellStyle name="Normal 41 10" xfId="31027" xr:uid="{00000000-0005-0000-0000-000033790000}"/>
    <cellStyle name="Normal 41 11" xfId="31028" xr:uid="{00000000-0005-0000-0000-000034790000}"/>
    <cellStyle name="Normal 41 12" xfId="31029" xr:uid="{00000000-0005-0000-0000-000035790000}"/>
    <cellStyle name="Normal 41 13" xfId="31030" xr:uid="{00000000-0005-0000-0000-000036790000}"/>
    <cellStyle name="Normal 41 14" xfId="31031" xr:uid="{00000000-0005-0000-0000-000037790000}"/>
    <cellStyle name="Normal 41 15" xfId="31032" xr:uid="{00000000-0005-0000-0000-000038790000}"/>
    <cellStyle name="Normal 41 16" xfId="31033" xr:uid="{00000000-0005-0000-0000-000039790000}"/>
    <cellStyle name="Normal 41 17" xfId="31034" xr:uid="{00000000-0005-0000-0000-00003A790000}"/>
    <cellStyle name="Normal 41 18" xfId="31035" xr:uid="{00000000-0005-0000-0000-00003B790000}"/>
    <cellStyle name="Normal 41 19" xfId="31036" xr:uid="{00000000-0005-0000-0000-00003C790000}"/>
    <cellStyle name="Normal 41 2" xfId="31037" xr:uid="{00000000-0005-0000-0000-00003D790000}"/>
    <cellStyle name="Normal 41 2 2" xfId="31038" xr:uid="{00000000-0005-0000-0000-00003E790000}"/>
    <cellStyle name="Normal 41 20" xfId="31039" xr:uid="{00000000-0005-0000-0000-00003F790000}"/>
    <cellStyle name="Normal 41 21" xfId="31040" xr:uid="{00000000-0005-0000-0000-000040790000}"/>
    <cellStyle name="Normal 41 22" xfId="31041" xr:uid="{00000000-0005-0000-0000-000041790000}"/>
    <cellStyle name="Normal 41 23" xfId="31042" xr:uid="{00000000-0005-0000-0000-000042790000}"/>
    <cellStyle name="Normal 41 24" xfId="31043" xr:uid="{00000000-0005-0000-0000-000043790000}"/>
    <cellStyle name="Normal 41 25" xfId="31044" xr:uid="{00000000-0005-0000-0000-000044790000}"/>
    <cellStyle name="Normal 41 26" xfId="31045" xr:uid="{00000000-0005-0000-0000-000045790000}"/>
    <cellStyle name="Normal 41 3" xfId="31046" xr:uid="{00000000-0005-0000-0000-000046790000}"/>
    <cellStyle name="Normal 41 3 2" xfId="31047" xr:uid="{00000000-0005-0000-0000-000047790000}"/>
    <cellStyle name="Normal 41 4" xfId="31048" xr:uid="{00000000-0005-0000-0000-000048790000}"/>
    <cellStyle name="Normal 41 4 2" xfId="31049" xr:uid="{00000000-0005-0000-0000-000049790000}"/>
    <cellStyle name="Normal 41 5" xfId="31050" xr:uid="{00000000-0005-0000-0000-00004A790000}"/>
    <cellStyle name="Normal 41 5 2" xfId="31051" xr:uid="{00000000-0005-0000-0000-00004B790000}"/>
    <cellStyle name="Normal 41 6" xfId="31052" xr:uid="{00000000-0005-0000-0000-00004C790000}"/>
    <cellStyle name="Normal 41 7" xfId="31053" xr:uid="{00000000-0005-0000-0000-00004D790000}"/>
    <cellStyle name="Normal 41 8" xfId="31054" xr:uid="{00000000-0005-0000-0000-00004E790000}"/>
    <cellStyle name="Normal 41 9" xfId="31055" xr:uid="{00000000-0005-0000-0000-00004F790000}"/>
    <cellStyle name="Normal 42" xfId="31056" xr:uid="{00000000-0005-0000-0000-000050790000}"/>
    <cellStyle name="Normal 43" xfId="31057" xr:uid="{00000000-0005-0000-0000-000051790000}"/>
    <cellStyle name="Normal 43 10" xfId="31058" xr:uid="{00000000-0005-0000-0000-000052790000}"/>
    <cellStyle name="Normal 43 11" xfId="31059" xr:uid="{00000000-0005-0000-0000-000053790000}"/>
    <cellStyle name="Normal 43 12" xfId="31060" xr:uid="{00000000-0005-0000-0000-000054790000}"/>
    <cellStyle name="Normal 43 13" xfId="31061" xr:uid="{00000000-0005-0000-0000-000055790000}"/>
    <cellStyle name="Normal 43 14" xfId="31062" xr:uid="{00000000-0005-0000-0000-000056790000}"/>
    <cellStyle name="Normal 43 15" xfId="31063" xr:uid="{00000000-0005-0000-0000-000057790000}"/>
    <cellStyle name="Normal 43 16" xfId="31064" xr:uid="{00000000-0005-0000-0000-000058790000}"/>
    <cellStyle name="Normal 43 17" xfId="31065" xr:uid="{00000000-0005-0000-0000-000059790000}"/>
    <cellStyle name="Normal 43 18" xfId="31066" xr:uid="{00000000-0005-0000-0000-00005A790000}"/>
    <cellStyle name="Normal 43 19" xfId="31067" xr:uid="{00000000-0005-0000-0000-00005B790000}"/>
    <cellStyle name="Normal 43 2" xfId="31068" xr:uid="{00000000-0005-0000-0000-00005C790000}"/>
    <cellStyle name="Normal 43 2 2" xfId="31069" xr:uid="{00000000-0005-0000-0000-00005D790000}"/>
    <cellStyle name="Normal 43 20" xfId="31070" xr:uid="{00000000-0005-0000-0000-00005E790000}"/>
    <cellStyle name="Normal 43 21" xfId="31071" xr:uid="{00000000-0005-0000-0000-00005F790000}"/>
    <cellStyle name="Normal 43 22" xfId="31072" xr:uid="{00000000-0005-0000-0000-000060790000}"/>
    <cellStyle name="Normal 43 23" xfId="31073" xr:uid="{00000000-0005-0000-0000-000061790000}"/>
    <cellStyle name="Normal 43 24" xfId="31074" xr:uid="{00000000-0005-0000-0000-000062790000}"/>
    <cellStyle name="Normal 43 25" xfId="31075" xr:uid="{00000000-0005-0000-0000-000063790000}"/>
    <cellStyle name="Normal 43 26" xfId="31076" xr:uid="{00000000-0005-0000-0000-000064790000}"/>
    <cellStyle name="Normal 43 27" xfId="31077" xr:uid="{00000000-0005-0000-0000-000065790000}"/>
    <cellStyle name="Normal 43 28" xfId="31078" xr:uid="{00000000-0005-0000-0000-000066790000}"/>
    <cellStyle name="Normal 43 3" xfId="31079" xr:uid="{00000000-0005-0000-0000-000067790000}"/>
    <cellStyle name="Normal 43 3 2" xfId="31080" xr:uid="{00000000-0005-0000-0000-000068790000}"/>
    <cellStyle name="Normal 43 4" xfId="31081" xr:uid="{00000000-0005-0000-0000-000069790000}"/>
    <cellStyle name="Normal 43 4 2" xfId="31082" xr:uid="{00000000-0005-0000-0000-00006A790000}"/>
    <cellStyle name="Normal 43 5" xfId="31083" xr:uid="{00000000-0005-0000-0000-00006B790000}"/>
    <cellStyle name="Normal 43 5 2" xfId="31084" xr:uid="{00000000-0005-0000-0000-00006C790000}"/>
    <cellStyle name="Normal 43 6" xfId="31085" xr:uid="{00000000-0005-0000-0000-00006D790000}"/>
    <cellStyle name="Normal 43 7" xfId="31086" xr:uid="{00000000-0005-0000-0000-00006E790000}"/>
    <cellStyle name="Normal 43 8" xfId="31087" xr:uid="{00000000-0005-0000-0000-00006F790000}"/>
    <cellStyle name="Normal 43 9" xfId="31088" xr:uid="{00000000-0005-0000-0000-000070790000}"/>
    <cellStyle name="Normal 44" xfId="31089" xr:uid="{00000000-0005-0000-0000-000071790000}"/>
    <cellStyle name="Normal 44 10" xfId="31090" xr:uid="{00000000-0005-0000-0000-000072790000}"/>
    <cellStyle name="Normal 44 11" xfId="31091" xr:uid="{00000000-0005-0000-0000-000073790000}"/>
    <cellStyle name="Normal 44 12" xfId="31092" xr:uid="{00000000-0005-0000-0000-000074790000}"/>
    <cellStyle name="Normal 44 13" xfId="31093" xr:uid="{00000000-0005-0000-0000-000075790000}"/>
    <cellStyle name="Normal 44 14" xfId="31094" xr:uid="{00000000-0005-0000-0000-000076790000}"/>
    <cellStyle name="Normal 44 15" xfId="31095" xr:uid="{00000000-0005-0000-0000-000077790000}"/>
    <cellStyle name="Normal 44 16" xfId="31096" xr:uid="{00000000-0005-0000-0000-000078790000}"/>
    <cellStyle name="Normal 44 17" xfId="31097" xr:uid="{00000000-0005-0000-0000-000079790000}"/>
    <cellStyle name="Normal 44 18" xfId="31098" xr:uid="{00000000-0005-0000-0000-00007A790000}"/>
    <cellStyle name="Normal 44 19" xfId="31099" xr:uid="{00000000-0005-0000-0000-00007B790000}"/>
    <cellStyle name="Normal 44 2" xfId="31100" xr:uid="{00000000-0005-0000-0000-00007C790000}"/>
    <cellStyle name="Normal 44 2 2" xfId="31101" xr:uid="{00000000-0005-0000-0000-00007D790000}"/>
    <cellStyle name="Normal 44 20" xfId="31102" xr:uid="{00000000-0005-0000-0000-00007E790000}"/>
    <cellStyle name="Normal 44 21" xfId="31103" xr:uid="{00000000-0005-0000-0000-00007F790000}"/>
    <cellStyle name="Normal 44 22" xfId="31104" xr:uid="{00000000-0005-0000-0000-000080790000}"/>
    <cellStyle name="Normal 44 23" xfId="31105" xr:uid="{00000000-0005-0000-0000-000081790000}"/>
    <cellStyle name="Normal 44 24" xfId="31106" xr:uid="{00000000-0005-0000-0000-000082790000}"/>
    <cellStyle name="Normal 44 25" xfId="31107" xr:uid="{00000000-0005-0000-0000-000083790000}"/>
    <cellStyle name="Normal 44 26" xfId="31108" xr:uid="{00000000-0005-0000-0000-000084790000}"/>
    <cellStyle name="Normal 44 3" xfId="31109" xr:uid="{00000000-0005-0000-0000-000085790000}"/>
    <cellStyle name="Normal 44 3 2" xfId="31110" xr:uid="{00000000-0005-0000-0000-000086790000}"/>
    <cellStyle name="Normal 44 4" xfId="31111" xr:uid="{00000000-0005-0000-0000-000087790000}"/>
    <cellStyle name="Normal 44 4 2" xfId="31112" xr:uid="{00000000-0005-0000-0000-000088790000}"/>
    <cellStyle name="Normal 44 5" xfId="31113" xr:uid="{00000000-0005-0000-0000-000089790000}"/>
    <cellStyle name="Normal 44 5 2" xfId="31114" xr:uid="{00000000-0005-0000-0000-00008A790000}"/>
    <cellStyle name="Normal 44 6" xfId="31115" xr:uid="{00000000-0005-0000-0000-00008B790000}"/>
    <cellStyle name="Normal 44 7" xfId="31116" xr:uid="{00000000-0005-0000-0000-00008C790000}"/>
    <cellStyle name="Normal 44 8" xfId="31117" xr:uid="{00000000-0005-0000-0000-00008D790000}"/>
    <cellStyle name="Normal 44 9" xfId="31118" xr:uid="{00000000-0005-0000-0000-00008E790000}"/>
    <cellStyle name="Normal 45" xfId="31119" xr:uid="{00000000-0005-0000-0000-00008F790000}"/>
    <cellStyle name="Normal 46" xfId="31120" xr:uid="{00000000-0005-0000-0000-000090790000}"/>
    <cellStyle name="Normal 47" xfId="31121" xr:uid="{00000000-0005-0000-0000-000091790000}"/>
    <cellStyle name="Normal 48" xfId="31122" xr:uid="{00000000-0005-0000-0000-000092790000}"/>
    <cellStyle name="Normal 49" xfId="31123" xr:uid="{00000000-0005-0000-0000-000093790000}"/>
    <cellStyle name="Normal 49 10" xfId="31124" xr:uid="{00000000-0005-0000-0000-000094790000}"/>
    <cellStyle name="Normal 49 11" xfId="31125" xr:uid="{00000000-0005-0000-0000-000095790000}"/>
    <cellStyle name="Normal 49 12" xfId="31126" xr:uid="{00000000-0005-0000-0000-000096790000}"/>
    <cellStyle name="Normal 49 13" xfId="31127" xr:uid="{00000000-0005-0000-0000-000097790000}"/>
    <cellStyle name="Normal 49 14" xfId="31128" xr:uid="{00000000-0005-0000-0000-000098790000}"/>
    <cellStyle name="Normal 49 15" xfId="31129" xr:uid="{00000000-0005-0000-0000-000099790000}"/>
    <cellStyle name="Normal 49 16" xfId="31130" xr:uid="{00000000-0005-0000-0000-00009A790000}"/>
    <cellStyle name="Normal 49 17" xfId="31131" xr:uid="{00000000-0005-0000-0000-00009B790000}"/>
    <cellStyle name="Normal 49 18" xfId="31132" xr:uid="{00000000-0005-0000-0000-00009C790000}"/>
    <cellStyle name="Normal 49 19" xfId="31133" xr:uid="{00000000-0005-0000-0000-00009D790000}"/>
    <cellStyle name="Normal 49 2" xfId="31134" xr:uid="{00000000-0005-0000-0000-00009E790000}"/>
    <cellStyle name="Normal 49 2 2" xfId="31135" xr:uid="{00000000-0005-0000-0000-00009F790000}"/>
    <cellStyle name="Normal 49 20" xfId="31136" xr:uid="{00000000-0005-0000-0000-0000A0790000}"/>
    <cellStyle name="Normal 49 21" xfId="31137" xr:uid="{00000000-0005-0000-0000-0000A1790000}"/>
    <cellStyle name="Normal 49 22" xfId="31138" xr:uid="{00000000-0005-0000-0000-0000A2790000}"/>
    <cellStyle name="Normal 49 23" xfId="31139" xr:uid="{00000000-0005-0000-0000-0000A3790000}"/>
    <cellStyle name="Normal 49 24" xfId="31140" xr:uid="{00000000-0005-0000-0000-0000A4790000}"/>
    <cellStyle name="Normal 49 25" xfId="31141" xr:uid="{00000000-0005-0000-0000-0000A5790000}"/>
    <cellStyle name="Normal 49 26" xfId="31142" xr:uid="{00000000-0005-0000-0000-0000A6790000}"/>
    <cellStyle name="Normal 49 3" xfId="31143" xr:uid="{00000000-0005-0000-0000-0000A7790000}"/>
    <cellStyle name="Normal 49 3 2" xfId="31144" xr:uid="{00000000-0005-0000-0000-0000A8790000}"/>
    <cellStyle name="Normal 49 4" xfId="31145" xr:uid="{00000000-0005-0000-0000-0000A9790000}"/>
    <cellStyle name="Normal 49 4 2" xfId="31146" xr:uid="{00000000-0005-0000-0000-0000AA790000}"/>
    <cellStyle name="Normal 49 5" xfId="31147" xr:uid="{00000000-0005-0000-0000-0000AB790000}"/>
    <cellStyle name="Normal 49 5 2" xfId="31148" xr:uid="{00000000-0005-0000-0000-0000AC790000}"/>
    <cellStyle name="Normal 49 6" xfId="31149" xr:uid="{00000000-0005-0000-0000-0000AD790000}"/>
    <cellStyle name="Normal 49 7" xfId="31150" xr:uid="{00000000-0005-0000-0000-0000AE790000}"/>
    <cellStyle name="Normal 49 8" xfId="31151" xr:uid="{00000000-0005-0000-0000-0000AF790000}"/>
    <cellStyle name="Normal 49 9" xfId="31152" xr:uid="{00000000-0005-0000-0000-0000B0790000}"/>
    <cellStyle name="Normal 5" xfId="438" xr:uid="{00000000-0005-0000-0000-0000B6010000}"/>
    <cellStyle name="Normal 5 10" xfId="31153" xr:uid="{00000000-0005-0000-0000-0000B1790000}"/>
    <cellStyle name="Normal 5 10 10" xfId="31154" xr:uid="{00000000-0005-0000-0000-0000B2790000}"/>
    <cellStyle name="Normal 5 10 10 10" xfId="31155" xr:uid="{00000000-0005-0000-0000-0000B3790000}"/>
    <cellStyle name="Normal 5 10 10 11" xfId="31156" xr:uid="{00000000-0005-0000-0000-0000B4790000}"/>
    <cellStyle name="Normal 5 10 10 12" xfId="31157" xr:uid="{00000000-0005-0000-0000-0000B5790000}"/>
    <cellStyle name="Normal 5 10 10 13" xfId="31158" xr:uid="{00000000-0005-0000-0000-0000B6790000}"/>
    <cellStyle name="Normal 5 10 10 14" xfId="31159" xr:uid="{00000000-0005-0000-0000-0000B7790000}"/>
    <cellStyle name="Normal 5 10 10 2" xfId="31160" xr:uid="{00000000-0005-0000-0000-0000B8790000}"/>
    <cellStyle name="Normal 5 10 10 2 10" xfId="31161" xr:uid="{00000000-0005-0000-0000-0000B9790000}"/>
    <cellStyle name="Normal 5 10 10 2 2" xfId="31162" xr:uid="{00000000-0005-0000-0000-0000BA790000}"/>
    <cellStyle name="Normal 5 10 10 2 3" xfId="31163" xr:uid="{00000000-0005-0000-0000-0000BB790000}"/>
    <cellStyle name="Normal 5 10 10 2 4" xfId="31164" xr:uid="{00000000-0005-0000-0000-0000BC790000}"/>
    <cellStyle name="Normal 5 10 10 2 5" xfId="31165" xr:uid="{00000000-0005-0000-0000-0000BD790000}"/>
    <cellStyle name="Normal 5 10 10 2 6" xfId="31166" xr:uid="{00000000-0005-0000-0000-0000BE790000}"/>
    <cellStyle name="Normal 5 10 10 2 7" xfId="31167" xr:uid="{00000000-0005-0000-0000-0000BF790000}"/>
    <cellStyle name="Normal 5 10 10 2 8" xfId="31168" xr:uid="{00000000-0005-0000-0000-0000C0790000}"/>
    <cellStyle name="Normal 5 10 10 2 9" xfId="31169" xr:uid="{00000000-0005-0000-0000-0000C1790000}"/>
    <cellStyle name="Normal 5 10 10 3" xfId="31170" xr:uid="{00000000-0005-0000-0000-0000C2790000}"/>
    <cellStyle name="Normal 5 10 10 3 10" xfId="31171" xr:uid="{00000000-0005-0000-0000-0000C3790000}"/>
    <cellStyle name="Normal 5 10 10 3 2" xfId="31172" xr:uid="{00000000-0005-0000-0000-0000C4790000}"/>
    <cellStyle name="Normal 5 10 10 3 3" xfId="31173" xr:uid="{00000000-0005-0000-0000-0000C5790000}"/>
    <cellStyle name="Normal 5 10 10 3 4" xfId="31174" xr:uid="{00000000-0005-0000-0000-0000C6790000}"/>
    <cellStyle name="Normal 5 10 10 3 5" xfId="31175" xr:uid="{00000000-0005-0000-0000-0000C7790000}"/>
    <cellStyle name="Normal 5 10 10 3 6" xfId="31176" xr:uid="{00000000-0005-0000-0000-0000C8790000}"/>
    <cellStyle name="Normal 5 10 10 3 7" xfId="31177" xr:uid="{00000000-0005-0000-0000-0000C9790000}"/>
    <cellStyle name="Normal 5 10 10 3 8" xfId="31178" xr:uid="{00000000-0005-0000-0000-0000CA790000}"/>
    <cellStyle name="Normal 5 10 10 3 9" xfId="31179" xr:uid="{00000000-0005-0000-0000-0000CB790000}"/>
    <cellStyle name="Normal 5 10 10 4" xfId="31180" xr:uid="{00000000-0005-0000-0000-0000CC790000}"/>
    <cellStyle name="Normal 5 10 10 4 10" xfId="31181" xr:uid="{00000000-0005-0000-0000-0000CD790000}"/>
    <cellStyle name="Normal 5 10 10 4 2" xfId="31182" xr:uid="{00000000-0005-0000-0000-0000CE790000}"/>
    <cellStyle name="Normal 5 10 10 4 3" xfId="31183" xr:uid="{00000000-0005-0000-0000-0000CF790000}"/>
    <cellStyle name="Normal 5 10 10 4 4" xfId="31184" xr:uid="{00000000-0005-0000-0000-0000D0790000}"/>
    <cellStyle name="Normal 5 10 10 4 5" xfId="31185" xr:uid="{00000000-0005-0000-0000-0000D1790000}"/>
    <cellStyle name="Normal 5 10 10 4 6" xfId="31186" xr:uid="{00000000-0005-0000-0000-0000D2790000}"/>
    <cellStyle name="Normal 5 10 10 4 7" xfId="31187" xr:uid="{00000000-0005-0000-0000-0000D3790000}"/>
    <cellStyle name="Normal 5 10 10 4 8" xfId="31188" xr:uid="{00000000-0005-0000-0000-0000D4790000}"/>
    <cellStyle name="Normal 5 10 10 4 9" xfId="31189" xr:uid="{00000000-0005-0000-0000-0000D5790000}"/>
    <cellStyle name="Normal 5 10 10 5" xfId="31190" xr:uid="{00000000-0005-0000-0000-0000D6790000}"/>
    <cellStyle name="Normal 5 10 10 5 10" xfId="31191" xr:uid="{00000000-0005-0000-0000-0000D7790000}"/>
    <cellStyle name="Normal 5 10 10 5 2" xfId="31192" xr:uid="{00000000-0005-0000-0000-0000D8790000}"/>
    <cellStyle name="Normal 5 10 10 5 3" xfId="31193" xr:uid="{00000000-0005-0000-0000-0000D9790000}"/>
    <cellStyle name="Normal 5 10 10 5 4" xfId="31194" xr:uid="{00000000-0005-0000-0000-0000DA790000}"/>
    <cellStyle name="Normal 5 10 10 5 5" xfId="31195" xr:uid="{00000000-0005-0000-0000-0000DB790000}"/>
    <cellStyle name="Normal 5 10 10 5 6" xfId="31196" xr:uid="{00000000-0005-0000-0000-0000DC790000}"/>
    <cellStyle name="Normal 5 10 10 5 7" xfId="31197" xr:uid="{00000000-0005-0000-0000-0000DD790000}"/>
    <cellStyle name="Normal 5 10 10 5 8" xfId="31198" xr:uid="{00000000-0005-0000-0000-0000DE790000}"/>
    <cellStyle name="Normal 5 10 10 5 9" xfId="31199" xr:uid="{00000000-0005-0000-0000-0000DF790000}"/>
    <cellStyle name="Normal 5 10 10 6" xfId="31200" xr:uid="{00000000-0005-0000-0000-0000E0790000}"/>
    <cellStyle name="Normal 5 10 10 7" xfId="31201" xr:uid="{00000000-0005-0000-0000-0000E1790000}"/>
    <cellStyle name="Normal 5 10 10 8" xfId="31202" xr:uid="{00000000-0005-0000-0000-0000E2790000}"/>
    <cellStyle name="Normal 5 10 10 9" xfId="31203" xr:uid="{00000000-0005-0000-0000-0000E3790000}"/>
    <cellStyle name="Normal 5 10 11" xfId="31204" xr:uid="{00000000-0005-0000-0000-0000E4790000}"/>
    <cellStyle name="Normal 5 10 11 10" xfId="31205" xr:uid="{00000000-0005-0000-0000-0000E5790000}"/>
    <cellStyle name="Normal 5 10 11 11" xfId="31206" xr:uid="{00000000-0005-0000-0000-0000E6790000}"/>
    <cellStyle name="Normal 5 10 11 12" xfId="31207" xr:uid="{00000000-0005-0000-0000-0000E7790000}"/>
    <cellStyle name="Normal 5 10 11 13" xfId="31208" xr:uid="{00000000-0005-0000-0000-0000E8790000}"/>
    <cellStyle name="Normal 5 10 11 14" xfId="31209" xr:uid="{00000000-0005-0000-0000-0000E9790000}"/>
    <cellStyle name="Normal 5 10 11 2" xfId="31210" xr:uid="{00000000-0005-0000-0000-0000EA790000}"/>
    <cellStyle name="Normal 5 10 11 2 10" xfId="31211" xr:uid="{00000000-0005-0000-0000-0000EB790000}"/>
    <cellStyle name="Normal 5 10 11 2 2" xfId="31212" xr:uid="{00000000-0005-0000-0000-0000EC790000}"/>
    <cellStyle name="Normal 5 10 11 2 3" xfId="31213" xr:uid="{00000000-0005-0000-0000-0000ED790000}"/>
    <cellStyle name="Normal 5 10 11 2 4" xfId="31214" xr:uid="{00000000-0005-0000-0000-0000EE790000}"/>
    <cellStyle name="Normal 5 10 11 2 5" xfId="31215" xr:uid="{00000000-0005-0000-0000-0000EF790000}"/>
    <cellStyle name="Normal 5 10 11 2 6" xfId="31216" xr:uid="{00000000-0005-0000-0000-0000F0790000}"/>
    <cellStyle name="Normal 5 10 11 2 7" xfId="31217" xr:uid="{00000000-0005-0000-0000-0000F1790000}"/>
    <cellStyle name="Normal 5 10 11 2 8" xfId="31218" xr:uid="{00000000-0005-0000-0000-0000F2790000}"/>
    <cellStyle name="Normal 5 10 11 2 9" xfId="31219" xr:uid="{00000000-0005-0000-0000-0000F3790000}"/>
    <cellStyle name="Normal 5 10 11 3" xfId="31220" xr:uid="{00000000-0005-0000-0000-0000F4790000}"/>
    <cellStyle name="Normal 5 10 11 3 10" xfId="31221" xr:uid="{00000000-0005-0000-0000-0000F5790000}"/>
    <cellStyle name="Normal 5 10 11 3 2" xfId="31222" xr:uid="{00000000-0005-0000-0000-0000F6790000}"/>
    <cellStyle name="Normal 5 10 11 3 3" xfId="31223" xr:uid="{00000000-0005-0000-0000-0000F7790000}"/>
    <cellStyle name="Normal 5 10 11 3 4" xfId="31224" xr:uid="{00000000-0005-0000-0000-0000F8790000}"/>
    <cellStyle name="Normal 5 10 11 3 5" xfId="31225" xr:uid="{00000000-0005-0000-0000-0000F9790000}"/>
    <cellStyle name="Normal 5 10 11 3 6" xfId="31226" xr:uid="{00000000-0005-0000-0000-0000FA790000}"/>
    <cellStyle name="Normal 5 10 11 3 7" xfId="31227" xr:uid="{00000000-0005-0000-0000-0000FB790000}"/>
    <cellStyle name="Normal 5 10 11 3 8" xfId="31228" xr:uid="{00000000-0005-0000-0000-0000FC790000}"/>
    <cellStyle name="Normal 5 10 11 3 9" xfId="31229" xr:uid="{00000000-0005-0000-0000-0000FD790000}"/>
    <cellStyle name="Normal 5 10 11 4" xfId="31230" xr:uid="{00000000-0005-0000-0000-0000FE790000}"/>
    <cellStyle name="Normal 5 10 11 4 10" xfId="31231" xr:uid="{00000000-0005-0000-0000-0000FF790000}"/>
    <cellStyle name="Normal 5 10 11 4 2" xfId="31232" xr:uid="{00000000-0005-0000-0000-0000007A0000}"/>
    <cellStyle name="Normal 5 10 11 4 3" xfId="31233" xr:uid="{00000000-0005-0000-0000-0000017A0000}"/>
    <cellStyle name="Normal 5 10 11 4 4" xfId="31234" xr:uid="{00000000-0005-0000-0000-0000027A0000}"/>
    <cellStyle name="Normal 5 10 11 4 5" xfId="31235" xr:uid="{00000000-0005-0000-0000-0000037A0000}"/>
    <cellStyle name="Normal 5 10 11 4 6" xfId="31236" xr:uid="{00000000-0005-0000-0000-0000047A0000}"/>
    <cellStyle name="Normal 5 10 11 4 7" xfId="31237" xr:uid="{00000000-0005-0000-0000-0000057A0000}"/>
    <cellStyle name="Normal 5 10 11 4 8" xfId="31238" xr:uid="{00000000-0005-0000-0000-0000067A0000}"/>
    <cellStyle name="Normal 5 10 11 4 9" xfId="31239" xr:uid="{00000000-0005-0000-0000-0000077A0000}"/>
    <cellStyle name="Normal 5 10 11 5" xfId="31240" xr:uid="{00000000-0005-0000-0000-0000087A0000}"/>
    <cellStyle name="Normal 5 10 11 5 10" xfId="31241" xr:uid="{00000000-0005-0000-0000-0000097A0000}"/>
    <cellStyle name="Normal 5 10 11 5 2" xfId="31242" xr:uid="{00000000-0005-0000-0000-00000A7A0000}"/>
    <cellStyle name="Normal 5 10 11 5 3" xfId="31243" xr:uid="{00000000-0005-0000-0000-00000B7A0000}"/>
    <cellStyle name="Normal 5 10 11 5 4" xfId="31244" xr:uid="{00000000-0005-0000-0000-00000C7A0000}"/>
    <cellStyle name="Normal 5 10 11 5 5" xfId="31245" xr:uid="{00000000-0005-0000-0000-00000D7A0000}"/>
    <cellStyle name="Normal 5 10 11 5 6" xfId="31246" xr:uid="{00000000-0005-0000-0000-00000E7A0000}"/>
    <cellStyle name="Normal 5 10 11 5 7" xfId="31247" xr:uid="{00000000-0005-0000-0000-00000F7A0000}"/>
    <cellStyle name="Normal 5 10 11 5 8" xfId="31248" xr:uid="{00000000-0005-0000-0000-0000107A0000}"/>
    <cellStyle name="Normal 5 10 11 5 9" xfId="31249" xr:uid="{00000000-0005-0000-0000-0000117A0000}"/>
    <cellStyle name="Normal 5 10 11 6" xfId="31250" xr:uid="{00000000-0005-0000-0000-0000127A0000}"/>
    <cellStyle name="Normal 5 10 11 7" xfId="31251" xr:uid="{00000000-0005-0000-0000-0000137A0000}"/>
    <cellStyle name="Normal 5 10 11 8" xfId="31252" xr:uid="{00000000-0005-0000-0000-0000147A0000}"/>
    <cellStyle name="Normal 5 10 11 9" xfId="31253" xr:uid="{00000000-0005-0000-0000-0000157A0000}"/>
    <cellStyle name="Normal 5 10 12" xfId="31254" xr:uid="{00000000-0005-0000-0000-0000167A0000}"/>
    <cellStyle name="Normal 5 10 12 10" xfId="31255" xr:uid="{00000000-0005-0000-0000-0000177A0000}"/>
    <cellStyle name="Normal 5 10 12 11" xfId="31256" xr:uid="{00000000-0005-0000-0000-0000187A0000}"/>
    <cellStyle name="Normal 5 10 12 12" xfId="31257" xr:uid="{00000000-0005-0000-0000-0000197A0000}"/>
    <cellStyle name="Normal 5 10 12 13" xfId="31258" xr:uid="{00000000-0005-0000-0000-00001A7A0000}"/>
    <cellStyle name="Normal 5 10 12 14" xfId="31259" xr:uid="{00000000-0005-0000-0000-00001B7A0000}"/>
    <cellStyle name="Normal 5 10 12 2" xfId="31260" xr:uid="{00000000-0005-0000-0000-00001C7A0000}"/>
    <cellStyle name="Normal 5 10 12 2 10" xfId="31261" xr:uid="{00000000-0005-0000-0000-00001D7A0000}"/>
    <cellStyle name="Normal 5 10 12 2 2" xfId="31262" xr:uid="{00000000-0005-0000-0000-00001E7A0000}"/>
    <cellStyle name="Normal 5 10 12 2 3" xfId="31263" xr:uid="{00000000-0005-0000-0000-00001F7A0000}"/>
    <cellStyle name="Normal 5 10 12 2 4" xfId="31264" xr:uid="{00000000-0005-0000-0000-0000207A0000}"/>
    <cellStyle name="Normal 5 10 12 2 5" xfId="31265" xr:uid="{00000000-0005-0000-0000-0000217A0000}"/>
    <cellStyle name="Normal 5 10 12 2 6" xfId="31266" xr:uid="{00000000-0005-0000-0000-0000227A0000}"/>
    <cellStyle name="Normal 5 10 12 2 7" xfId="31267" xr:uid="{00000000-0005-0000-0000-0000237A0000}"/>
    <cellStyle name="Normal 5 10 12 2 8" xfId="31268" xr:uid="{00000000-0005-0000-0000-0000247A0000}"/>
    <cellStyle name="Normal 5 10 12 2 9" xfId="31269" xr:uid="{00000000-0005-0000-0000-0000257A0000}"/>
    <cellStyle name="Normal 5 10 12 3" xfId="31270" xr:uid="{00000000-0005-0000-0000-0000267A0000}"/>
    <cellStyle name="Normal 5 10 12 3 10" xfId="31271" xr:uid="{00000000-0005-0000-0000-0000277A0000}"/>
    <cellStyle name="Normal 5 10 12 3 2" xfId="31272" xr:uid="{00000000-0005-0000-0000-0000287A0000}"/>
    <cellStyle name="Normal 5 10 12 3 3" xfId="31273" xr:uid="{00000000-0005-0000-0000-0000297A0000}"/>
    <cellStyle name="Normal 5 10 12 3 4" xfId="31274" xr:uid="{00000000-0005-0000-0000-00002A7A0000}"/>
    <cellStyle name="Normal 5 10 12 3 5" xfId="31275" xr:uid="{00000000-0005-0000-0000-00002B7A0000}"/>
    <cellStyle name="Normal 5 10 12 3 6" xfId="31276" xr:uid="{00000000-0005-0000-0000-00002C7A0000}"/>
    <cellStyle name="Normal 5 10 12 3 7" xfId="31277" xr:uid="{00000000-0005-0000-0000-00002D7A0000}"/>
    <cellStyle name="Normal 5 10 12 3 8" xfId="31278" xr:uid="{00000000-0005-0000-0000-00002E7A0000}"/>
    <cellStyle name="Normal 5 10 12 3 9" xfId="31279" xr:uid="{00000000-0005-0000-0000-00002F7A0000}"/>
    <cellStyle name="Normal 5 10 12 4" xfId="31280" xr:uid="{00000000-0005-0000-0000-0000307A0000}"/>
    <cellStyle name="Normal 5 10 12 4 10" xfId="31281" xr:uid="{00000000-0005-0000-0000-0000317A0000}"/>
    <cellStyle name="Normal 5 10 12 4 2" xfId="31282" xr:uid="{00000000-0005-0000-0000-0000327A0000}"/>
    <cellStyle name="Normal 5 10 12 4 3" xfId="31283" xr:uid="{00000000-0005-0000-0000-0000337A0000}"/>
    <cellStyle name="Normal 5 10 12 4 4" xfId="31284" xr:uid="{00000000-0005-0000-0000-0000347A0000}"/>
    <cellStyle name="Normal 5 10 12 4 5" xfId="31285" xr:uid="{00000000-0005-0000-0000-0000357A0000}"/>
    <cellStyle name="Normal 5 10 12 4 6" xfId="31286" xr:uid="{00000000-0005-0000-0000-0000367A0000}"/>
    <cellStyle name="Normal 5 10 12 4 7" xfId="31287" xr:uid="{00000000-0005-0000-0000-0000377A0000}"/>
    <cellStyle name="Normal 5 10 12 4 8" xfId="31288" xr:uid="{00000000-0005-0000-0000-0000387A0000}"/>
    <cellStyle name="Normal 5 10 12 4 9" xfId="31289" xr:uid="{00000000-0005-0000-0000-0000397A0000}"/>
    <cellStyle name="Normal 5 10 12 5" xfId="31290" xr:uid="{00000000-0005-0000-0000-00003A7A0000}"/>
    <cellStyle name="Normal 5 10 12 5 10" xfId="31291" xr:uid="{00000000-0005-0000-0000-00003B7A0000}"/>
    <cellStyle name="Normal 5 10 12 5 2" xfId="31292" xr:uid="{00000000-0005-0000-0000-00003C7A0000}"/>
    <cellStyle name="Normal 5 10 12 5 3" xfId="31293" xr:uid="{00000000-0005-0000-0000-00003D7A0000}"/>
    <cellStyle name="Normal 5 10 12 5 4" xfId="31294" xr:uid="{00000000-0005-0000-0000-00003E7A0000}"/>
    <cellStyle name="Normal 5 10 12 5 5" xfId="31295" xr:uid="{00000000-0005-0000-0000-00003F7A0000}"/>
    <cellStyle name="Normal 5 10 12 5 6" xfId="31296" xr:uid="{00000000-0005-0000-0000-0000407A0000}"/>
    <cellStyle name="Normal 5 10 12 5 7" xfId="31297" xr:uid="{00000000-0005-0000-0000-0000417A0000}"/>
    <cellStyle name="Normal 5 10 12 5 8" xfId="31298" xr:uid="{00000000-0005-0000-0000-0000427A0000}"/>
    <cellStyle name="Normal 5 10 12 5 9" xfId="31299" xr:uid="{00000000-0005-0000-0000-0000437A0000}"/>
    <cellStyle name="Normal 5 10 12 6" xfId="31300" xr:uid="{00000000-0005-0000-0000-0000447A0000}"/>
    <cellStyle name="Normal 5 10 12 7" xfId="31301" xr:uid="{00000000-0005-0000-0000-0000457A0000}"/>
    <cellStyle name="Normal 5 10 12 8" xfId="31302" xr:uid="{00000000-0005-0000-0000-0000467A0000}"/>
    <cellStyle name="Normal 5 10 12 9" xfId="31303" xr:uid="{00000000-0005-0000-0000-0000477A0000}"/>
    <cellStyle name="Normal 5 10 13" xfId="31304" xr:uid="{00000000-0005-0000-0000-0000487A0000}"/>
    <cellStyle name="Normal 5 10 13 10" xfId="31305" xr:uid="{00000000-0005-0000-0000-0000497A0000}"/>
    <cellStyle name="Normal 5 10 13 11" xfId="31306" xr:uid="{00000000-0005-0000-0000-00004A7A0000}"/>
    <cellStyle name="Normal 5 10 13 12" xfId="31307" xr:uid="{00000000-0005-0000-0000-00004B7A0000}"/>
    <cellStyle name="Normal 5 10 13 13" xfId="31308" xr:uid="{00000000-0005-0000-0000-00004C7A0000}"/>
    <cellStyle name="Normal 5 10 13 14" xfId="31309" xr:uid="{00000000-0005-0000-0000-00004D7A0000}"/>
    <cellStyle name="Normal 5 10 13 2" xfId="31310" xr:uid="{00000000-0005-0000-0000-00004E7A0000}"/>
    <cellStyle name="Normal 5 10 13 2 10" xfId="31311" xr:uid="{00000000-0005-0000-0000-00004F7A0000}"/>
    <cellStyle name="Normal 5 10 13 2 2" xfId="31312" xr:uid="{00000000-0005-0000-0000-0000507A0000}"/>
    <cellStyle name="Normal 5 10 13 2 3" xfId="31313" xr:uid="{00000000-0005-0000-0000-0000517A0000}"/>
    <cellStyle name="Normal 5 10 13 2 4" xfId="31314" xr:uid="{00000000-0005-0000-0000-0000527A0000}"/>
    <cellStyle name="Normal 5 10 13 2 5" xfId="31315" xr:uid="{00000000-0005-0000-0000-0000537A0000}"/>
    <cellStyle name="Normal 5 10 13 2 6" xfId="31316" xr:uid="{00000000-0005-0000-0000-0000547A0000}"/>
    <cellStyle name="Normal 5 10 13 2 7" xfId="31317" xr:uid="{00000000-0005-0000-0000-0000557A0000}"/>
    <cellStyle name="Normal 5 10 13 2 8" xfId="31318" xr:uid="{00000000-0005-0000-0000-0000567A0000}"/>
    <cellStyle name="Normal 5 10 13 2 9" xfId="31319" xr:uid="{00000000-0005-0000-0000-0000577A0000}"/>
    <cellStyle name="Normal 5 10 13 3" xfId="31320" xr:uid="{00000000-0005-0000-0000-0000587A0000}"/>
    <cellStyle name="Normal 5 10 13 3 10" xfId="31321" xr:uid="{00000000-0005-0000-0000-0000597A0000}"/>
    <cellStyle name="Normal 5 10 13 3 2" xfId="31322" xr:uid="{00000000-0005-0000-0000-00005A7A0000}"/>
    <cellStyle name="Normal 5 10 13 3 3" xfId="31323" xr:uid="{00000000-0005-0000-0000-00005B7A0000}"/>
    <cellStyle name="Normal 5 10 13 3 4" xfId="31324" xr:uid="{00000000-0005-0000-0000-00005C7A0000}"/>
    <cellStyle name="Normal 5 10 13 3 5" xfId="31325" xr:uid="{00000000-0005-0000-0000-00005D7A0000}"/>
    <cellStyle name="Normal 5 10 13 3 6" xfId="31326" xr:uid="{00000000-0005-0000-0000-00005E7A0000}"/>
    <cellStyle name="Normal 5 10 13 3 7" xfId="31327" xr:uid="{00000000-0005-0000-0000-00005F7A0000}"/>
    <cellStyle name="Normal 5 10 13 3 8" xfId="31328" xr:uid="{00000000-0005-0000-0000-0000607A0000}"/>
    <cellStyle name="Normal 5 10 13 3 9" xfId="31329" xr:uid="{00000000-0005-0000-0000-0000617A0000}"/>
    <cellStyle name="Normal 5 10 13 4" xfId="31330" xr:uid="{00000000-0005-0000-0000-0000627A0000}"/>
    <cellStyle name="Normal 5 10 13 4 10" xfId="31331" xr:uid="{00000000-0005-0000-0000-0000637A0000}"/>
    <cellStyle name="Normal 5 10 13 4 2" xfId="31332" xr:uid="{00000000-0005-0000-0000-0000647A0000}"/>
    <cellStyle name="Normal 5 10 13 4 3" xfId="31333" xr:uid="{00000000-0005-0000-0000-0000657A0000}"/>
    <cellStyle name="Normal 5 10 13 4 4" xfId="31334" xr:uid="{00000000-0005-0000-0000-0000667A0000}"/>
    <cellStyle name="Normal 5 10 13 4 5" xfId="31335" xr:uid="{00000000-0005-0000-0000-0000677A0000}"/>
    <cellStyle name="Normal 5 10 13 4 6" xfId="31336" xr:uid="{00000000-0005-0000-0000-0000687A0000}"/>
    <cellStyle name="Normal 5 10 13 4 7" xfId="31337" xr:uid="{00000000-0005-0000-0000-0000697A0000}"/>
    <cellStyle name="Normal 5 10 13 4 8" xfId="31338" xr:uid="{00000000-0005-0000-0000-00006A7A0000}"/>
    <cellStyle name="Normal 5 10 13 4 9" xfId="31339" xr:uid="{00000000-0005-0000-0000-00006B7A0000}"/>
    <cellStyle name="Normal 5 10 13 5" xfId="31340" xr:uid="{00000000-0005-0000-0000-00006C7A0000}"/>
    <cellStyle name="Normal 5 10 13 5 10" xfId="31341" xr:uid="{00000000-0005-0000-0000-00006D7A0000}"/>
    <cellStyle name="Normal 5 10 13 5 2" xfId="31342" xr:uid="{00000000-0005-0000-0000-00006E7A0000}"/>
    <cellStyle name="Normal 5 10 13 5 3" xfId="31343" xr:uid="{00000000-0005-0000-0000-00006F7A0000}"/>
    <cellStyle name="Normal 5 10 13 5 4" xfId="31344" xr:uid="{00000000-0005-0000-0000-0000707A0000}"/>
    <cellStyle name="Normal 5 10 13 5 5" xfId="31345" xr:uid="{00000000-0005-0000-0000-0000717A0000}"/>
    <cellStyle name="Normal 5 10 13 5 6" xfId="31346" xr:uid="{00000000-0005-0000-0000-0000727A0000}"/>
    <cellStyle name="Normal 5 10 13 5 7" xfId="31347" xr:uid="{00000000-0005-0000-0000-0000737A0000}"/>
    <cellStyle name="Normal 5 10 13 5 8" xfId="31348" xr:uid="{00000000-0005-0000-0000-0000747A0000}"/>
    <cellStyle name="Normal 5 10 13 5 9" xfId="31349" xr:uid="{00000000-0005-0000-0000-0000757A0000}"/>
    <cellStyle name="Normal 5 10 13 6" xfId="31350" xr:uid="{00000000-0005-0000-0000-0000767A0000}"/>
    <cellStyle name="Normal 5 10 13 7" xfId="31351" xr:uid="{00000000-0005-0000-0000-0000777A0000}"/>
    <cellStyle name="Normal 5 10 13 8" xfId="31352" xr:uid="{00000000-0005-0000-0000-0000787A0000}"/>
    <cellStyle name="Normal 5 10 13 9" xfId="31353" xr:uid="{00000000-0005-0000-0000-0000797A0000}"/>
    <cellStyle name="Normal 5 10 14" xfId="31354" xr:uid="{00000000-0005-0000-0000-00007A7A0000}"/>
    <cellStyle name="Normal 5 10 14 10" xfId="31355" xr:uid="{00000000-0005-0000-0000-00007B7A0000}"/>
    <cellStyle name="Normal 5 10 14 11" xfId="31356" xr:uid="{00000000-0005-0000-0000-00007C7A0000}"/>
    <cellStyle name="Normal 5 10 14 12" xfId="31357" xr:uid="{00000000-0005-0000-0000-00007D7A0000}"/>
    <cellStyle name="Normal 5 10 14 13" xfId="31358" xr:uid="{00000000-0005-0000-0000-00007E7A0000}"/>
    <cellStyle name="Normal 5 10 14 14" xfId="31359" xr:uid="{00000000-0005-0000-0000-00007F7A0000}"/>
    <cellStyle name="Normal 5 10 14 2" xfId="31360" xr:uid="{00000000-0005-0000-0000-0000807A0000}"/>
    <cellStyle name="Normal 5 10 14 2 10" xfId="31361" xr:uid="{00000000-0005-0000-0000-0000817A0000}"/>
    <cellStyle name="Normal 5 10 14 2 2" xfId="31362" xr:uid="{00000000-0005-0000-0000-0000827A0000}"/>
    <cellStyle name="Normal 5 10 14 2 3" xfId="31363" xr:uid="{00000000-0005-0000-0000-0000837A0000}"/>
    <cellStyle name="Normal 5 10 14 2 4" xfId="31364" xr:uid="{00000000-0005-0000-0000-0000847A0000}"/>
    <cellStyle name="Normal 5 10 14 2 5" xfId="31365" xr:uid="{00000000-0005-0000-0000-0000857A0000}"/>
    <cellStyle name="Normal 5 10 14 2 6" xfId="31366" xr:uid="{00000000-0005-0000-0000-0000867A0000}"/>
    <cellStyle name="Normal 5 10 14 2 7" xfId="31367" xr:uid="{00000000-0005-0000-0000-0000877A0000}"/>
    <cellStyle name="Normal 5 10 14 2 8" xfId="31368" xr:uid="{00000000-0005-0000-0000-0000887A0000}"/>
    <cellStyle name="Normal 5 10 14 2 9" xfId="31369" xr:uid="{00000000-0005-0000-0000-0000897A0000}"/>
    <cellStyle name="Normal 5 10 14 3" xfId="31370" xr:uid="{00000000-0005-0000-0000-00008A7A0000}"/>
    <cellStyle name="Normal 5 10 14 3 10" xfId="31371" xr:uid="{00000000-0005-0000-0000-00008B7A0000}"/>
    <cellStyle name="Normal 5 10 14 3 2" xfId="31372" xr:uid="{00000000-0005-0000-0000-00008C7A0000}"/>
    <cellStyle name="Normal 5 10 14 3 3" xfId="31373" xr:uid="{00000000-0005-0000-0000-00008D7A0000}"/>
    <cellStyle name="Normal 5 10 14 3 4" xfId="31374" xr:uid="{00000000-0005-0000-0000-00008E7A0000}"/>
    <cellStyle name="Normal 5 10 14 3 5" xfId="31375" xr:uid="{00000000-0005-0000-0000-00008F7A0000}"/>
    <cellStyle name="Normal 5 10 14 3 6" xfId="31376" xr:uid="{00000000-0005-0000-0000-0000907A0000}"/>
    <cellStyle name="Normal 5 10 14 3 7" xfId="31377" xr:uid="{00000000-0005-0000-0000-0000917A0000}"/>
    <cellStyle name="Normal 5 10 14 3 8" xfId="31378" xr:uid="{00000000-0005-0000-0000-0000927A0000}"/>
    <cellStyle name="Normal 5 10 14 3 9" xfId="31379" xr:uid="{00000000-0005-0000-0000-0000937A0000}"/>
    <cellStyle name="Normal 5 10 14 4" xfId="31380" xr:uid="{00000000-0005-0000-0000-0000947A0000}"/>
    <cellStyle name="Normal 5 10 14 4 10" xfId="31381" xr:uid="{00000000-0005-0000-0000-0000957A0000}"/>
    <cellStyle name="Normal 5 10 14 4 2" xfId="31382" xr:uid="{00000000-0005-0000-0000-0000967A0000}"/>
    <cellStyle name="Normal 5 10 14 4 3" xfId="31383" xr:uid="{00000000-0005-0000-0000-0000977A0000}"/>
    <cellStyle name="Normal 5 10 14 4 4" xfId="31384" xr:uid="{00000000-0005-0000-0000-0000987A0000}"/>
    <cellStyle name="Normal 5 10 14 4 5" xfId="31385" xr:uid="{00000000-0005-0000-0000-0000997A0000}"/>
    <cellStyle name="Normal 5 10 14 4 6" xfId="31386" xr:uid="{00000000-0005-0000-0000-00009A7A0000}"/>
    <cellStyle name="Normal 5 10 14 4 7" xfId="31387" xr:uid="{00000000-0005-0000-0000-00009B7A0000}"/>
    <cellStyle name="Normal 5 10 14 4 8" xfId="31388" xr:uid="{00000000-0005-0000-0000-00009C7A0000}"/>
    <cellStyle name="Normal 5 10 14 4 9" xfId="31389" xr:uid="{00000000-0005-0000-0000-00009D7A0000}"/>
    <cellStyle name="Normal 5 10 14 5" xfId="31390" xr:uid="{00000000-0005-0000-0000-00009E7A0000}"/>
    <cellStyle name="Normal 5 10 14 5 10" xfId="31391" xr:uid="{00000000-0005-0000-0000-00009F7A0000}"/>
    <cellStyle name="Normal 5 10 14 5 2" xfId="31392" xr:uid="{00000000-0005-0000-0000-0000A07A0000}"/>
    <cellStyle name="Normal 5 10 14 5 3" xfId="31393" xr:uid="{00000000-0005-0000-0000-0000A17A0000}"/>
    <cellStyle name="Normal 5 10 14 5 4" xfId="31394" xr:uid="{00000000-0005-0000-0000-0000A27A0000}"/>
    <cellStyle name="Normal 5 10 14 5 5" xfId="31395" xr:uid="{00000000-0005-0000-0000-0000A37A0000}"/>
    <cellStyle name="Normal 5 10 14 5 6" xfId="31396" xr:uid="{00000000-0005-0000-0000-0000A47A0000}"/>
    <cellStyle name="Normal 5 10 14 5 7" xfId="31397" xr:uid="{00000000-0005-0000-0000-0000A57A0000}"/>
    <cellStyle name="Normal 5 10 14 5 8" xfId="31398" xr:uid="{00000000-0005-0000-0000-0000A67A0000}"/>
    <cellStyle name="Normal 5 10 14 5 9" xfId="31399" xr:uid="{00000000-0005-0000-0000-0000A77A0000}"/>
    <cellStyle name="Normal 5 10 14 6" xfId="31400" xr:uid="{00000000-0005-0000-0000-0000A87A0000}"/>
    <cellStyle name="Normal 5 10 14 7" xfId="31401" xr:uid="{00000000-0005-0000-0000-0000A97A0000}"/>
    <cellStyle name="Normal 5 10 14 8" xfId="31402" xr:uid="{00000000-0005-0000-0000-0000AA7A0000}"/>
    <cellStyle name="Normal 5 10 14 9" xfId="31403" xr:uid="{00000000-0005-0000-0000-0000AB7A0000}"/>
    <cellStyle name="Normal 5 10 15" xfId="31404" xr:uid="{00000000-0005-0000-0000-0000AC7A0000}"/>
    <cellStyle name="Normal 5 10 15 10" xfId="31405" xr:uid="{00000000-0005-0000-0000-0000AD7A0000}"/>
    <cellStyle name="Normal 5 10 15 11" xfId="31406" xr:uid="{00000000-0005-0000-0000-0000AE7A0000}"/>
    <cellStyle name="Normal 5 10 15 12" xfId="31407" xr:uid="{00000000-0005-0000-0000-0000AF7A0000}"/>
    <cellStyle name="Normal 5 10 15 13" xfId="31408" xr:uid="{00000000-0005-0000-0000-0000B07A0000}"/>
    <cellStyle name="Normal 5 10 15 14" xfId="31409" xr:uid="{00000000-0005-0000-0000-0000B17A0000}"/>
    <cellStyle name="Normal 5 10 15 2" xfId="31410" xr:uid="{00000000-0005-0000-0000-0000B27A0000}"/>
    <cellStyle name="Normal 5 10 15 2 10" xfId="31411" xr:uid="{00000000-0005-0000-0000-0000B37A0000}"/>
    <cellStyle name="Normal 5 10 15 2 2" xfId="31412" xr:uid="{00000000-0005-0000-0000-0000B47A0000}"/>
    <cellStyle name="Normal 5 10 15 2 3" xfId="31413" xr:uid="{00000000-0005-0000-0000-0000B57A0000}"/>
    <cellStyle name="Normal 5 10 15 2 4" xfId="31414" xr:uid="{00000000-0005-0000-0000-0000B67A0000}"/>
    <cellStyle name="Normal 5 10 15 2 5" xfId="31415" xr:uid="{00000000-0005-0000-0000-0000B77A0000}"/>
    <cellStyle name="Normal 5 10 15 2 6" xfId="31416" xr:uid="{00000000-0005-0000-0000-0000B87A0000}"/>
    <cellStyle name="Normal 5 10 15 2 7" xfId="31417" xr:uid="{00000000-0005-0000-0000-0000B97A0000}"/>
    <cellStyle name="Normal 5 10 15 2 8" xfId="31418" xr:uid="{00000000-0005-0000-0000-0000BA7A0000}"/>
    <cellStyle name="Normal 5 10 15 2 9" xfId="31419" xr:uid="{00000000-0005-0000-0000-0000BB7A0000}"/>
    <cellStyle name="Normal 5 10 15 3" xfId="31420" xr:uid="{00000000-0005-0000-0000-0000BC7A0000}"/>
    <cellStyle name="Normal 5 10 15 3 10" xfId="31421" xr:uid="{00000000-0005-0000-0000-0000BD7A0000}"/>
    <cellStyle name="Normal 5 10 15 3 2" xfId="31422" xr:uid="{00000000-0005-0000-0000-0000BE7A0000}"/>
    <cellStyle name="Normal 5 10 15 3 3" xfId="31423" xr:uid="{00000000-0005-0000-0000-0000BF7A0000}"/>
    <cellStyle name="Normal 5 10 15 3 4" xfId="31424" xr:uid="{00000000-0005-0000-0000-0000C07A0000}"/>
    <cellStyle name="Normal 5 10 15 3 5" xfId="31425" xr:uid="{00000000-0005-0000-0000-0000C17A0000}"/>
    <cellStyle name="Normal 5 10 15 3 6" xfId="31426" xr:uid="{00000000-0005-0000-0000-0000C27A0000}"/>
    <cellStyle name="Normal 5 10 15 3 7" xfId="31427" xr:uid="{00000000-0005-0000-0000-0000C37A0000}"/>
    <cellStyle name="Normal 5 10 15 3 8" xfId="31428" xr:uid="{00000000-0005-0000-0000-0000C47A0000}"/>
    <cellStyle name="Normal 5 10 15 3 9" xfId="31429" xr:uid="{00000000-0005-0000-0000-0000C57A0000}"/>
    <cellStyle name="Normal 5 10 15 4" xfId="31430" xr:uid="{00000000-0005-0000-0000-0000C67A0000}"/>
    <cellStyle name="Normal 5 10 15 4 10" xfId="31431" xr:uid="{00000000-0005-0000-0000-0000C77A0000}"/>
    <cellStyle name="Normal 5 10 15 4 2" xfId="31432" xr:uid="{00000000-0005-0000-0000-0000C87A0000}"/>
    <cellStyle name="Normal 5 10 15 4 3" xfId="31433" xr:uid="{00000000-0005-0000-0000-0000C97A0000}"/>
    <cellStyle name="Normal 5 10 15 4 4" xfId="31434" xr:uid="{00000000-0005-0000-0000-0000CA7A0000}"/>
    <cellStyle name="Normal 5 10 15 4 5" xfId="31435" xr:uid="{00000000-0005-0000-0000-0000CB7A0000}"/>
    <cellStyle name="Normal 5 10 15 4 6" xfId="31436" xr:uid="{00000000-0005-0000-0000-0000CC7A0000}"/>
    <cellStyle name="Normal 5 10 15 4 7" xfId="31437" xr:uid="{00000000-0005-0000-0000-0000CD7A0000}"/>
    <cellStyle name="Normal 5 10 15 4 8" xfId="31438" xr:uid="{00000000-0005-0000-0000-0000CE7A0000}"/>
    <cellStyle name="Normal 5 10 15 4 9" xfId="31439" xr:uid="{00000000-0005-0000-0000-0000CF7A0000}"/>
    <cellStyle name="Normal 5 10 15 5" xfId="31440" xr:uid="{00000000-0005-0000-0000-0000D07A0000}"/>
    <cellStyle name="Normal 5 10 15 5 10" xfId="31441" xr:uid="{00000000-0005-0000-0000-0000D17A0000}"/>
    <cellStyle name="Normal 5 10 15 5 2" xfId="31442" xr:uid="{00000000-0005-0000-0000-0000D27A0000}"/>
    <cellStyle name="Normal 5 10 15 5 3" xfId="31443" xr:uid="{00000000-0005-0000-0000-0000D37A0000}"/>
    <cellStyle name="Normal 5 10 15 5 4" xfId="31444" xr:uid="{00000000-0005-0000-0000-0000D47A0000}"/>
    <cellStyle name="Normal 5 10 15 5 5" xfId="31445" xr:uid="{00000000-0005-0000-0000-0000D57A0000}"/>
    <cellStyle name="Normal 5 10 15 5 6" xfId="31446" xr:uid="{00000000-0005-0000-0000-0000D67A0000}"/>
    <cellStyle name="Normal 5 10 15 5 7" xfId="31447" xr:uid="{00000000-0005-0000-0000-0000D77A0000}"/>
    <cellStyle name="Normal 5 10 15 5 8" xfId="31448" xr:uid="{00000000-0005-0000-0000-0000D87A0000}"/>
    <cellStyle name="Normal 5 10 15 5 9" xfId="31449" xr:uid="{00000000-0005-0000-0000-0000D97A0000}"/>
    <cellStyle name="Normal 5 10 15 6" xfId="31450" xr:uid="{00000000-0005-0000-0000-0000DA7A0000}"/>
    <cellStyle name="Normal 5 10 15 7" xfId="31451" xr:uid="{00000000-0005-0000-0000-0000DB7A0000}"/>
    <cellStyle name="Normal 5 10 15 8" xfId="31452" xr:uid="{00000000-0005-0000-0000-0000DC7A0000}"/>
    <cellStyle name="Normal 5 10 15 9" xfId="31453" xr:uid="{00000000-0005-0000-0000-0000DD7A0000}"/>
    <cellStyle name="Normal 5 10 16" xfId="31454" xr:uid="{00000000-0005-0000-0000-0000DE7A0000}"/>
    <cellStyle name="Normal 5 10 16 10" xfId="31455" xr:uid="{00000000-0005-0000-0000-0000DF7A0000}"/>
    <cellStyle name="Normal 5 10 16 11" xfId="31456" xr:uid="{00000000-0005-0000-0000-0000E07A0000}"/>
    <cellStyle name="Normal 5 10 16 12" xfId="31457" xr:uid="{00000000-0005-0000-0000-0000E17A0000}"/>
    <cellStyle name="Normal 5 10 16 13" xfId="31458" xr:uid="{00000000-0005-0000-0000-0000E27A0000}"/>
    <cellStyle name="Normal 5 10 16 14" xfId="31459" xr:uid="{00000000-0005-0000-0000-0000E37A0000}"/>
    <cellStyle name="Normal 5 10 16 2" xfId="31460" xr:uid="{00000000-0005-0000-0000-0000E47A0000}"/>
    <cellStyle name="Normal 5 10 16 2 10" xfId="31461" xr:uid="{00000000-0005-0000-0000-0000E57A0000}"/>
    <cellStyle name="Normal 5 10 16 2 2" xfId="31462" xr:uid="{00000000-0005-0000-0000-0000E67A0000}"/>
    <cellStyle name="Normal 5 10 16 2 3" xfId="31463" xr:uid="{00000000-0005-0000-0000-0000E77A0000}"/>
    <cellStyle name="Normal 5 10 16 2 4" xfId="31464" xr:uid="{00000000-0005-0000-0000-0000E87A0000}"/>
    <cellStyle name="Normal 5 10 16 2 5" xfId="31465" xr:uid="{00000000-0005-0000-0000-0000E97A0000}"/>
    <cellStyle name="Normal 5 10 16 2 6" xfId="31466" xr:uid="{00000000-0005-0000-0000-0000EA7A0000}"/>
    <cellStyle name="Normal 5 10 16 2 7" xfId="31467" xr:uid="{00000000-0005-0000-0000-0000EB7A0000}"/>
    <cellStyle name="Normal 5 10 16 2 8" xfId="31468" xr:uid="{00000000-0005-0000-0000-0000EC7A0000}"/>
    <cellStyle name="Normal 5 10 16 2 9" xfId="31469" xr:uid="{00000000-0005-0000-0000-0000ED7A0000}"/>
    <cellStyle name="Normal 5 10 16 3" xfId="31470" xr:uid="{00000000-0005-0000-0000-0000EE7A0000}"/>
    <cellStyle name="Normal 5 10 16 3 10" xfId="31471" xr:uid="{00000000-0005-0000-0000-0000EF7A0000}"/>
    <cellStyle name="Normal 5 10 16 3 2" xfId="31472" xr:uid="{00000000-0005-0000-0000-0000F07A0000}"/>
    <cellStyle name="Normal 5 10 16 3 3" xfId="31473" xr:uid="{00000000-0005-0000-0000-0000F17A0000}"/>
    <cellStyle name="Normal 5 10 16 3 4" xfId="31474" xr:uid="{00000000-0005-0000-0000-0000F27A0000}"/>
    <cellStyle name="Normal 5 10 16 3 5" xfId="31475" xr:uid="{00000000-0005-0000-0000-0000F37A0000}"/>
    <cellStyle name="Normal 5 10 16 3 6" xfId="31476" xr:uid="{00000000-0005-0000-0000-0000F47A0000}"/>
    <cellStyle name="Normal 5 10 16 3 7" xfId="31477" xr:uid="{00000000-0005-0000-0000-0000F57A0000}"/>
    <cellStyle name="Normal 5 10 16 3 8" xfId="31478" xr:uid="{00000000-0005-0000-0000-0000F67A0000}"/>
    <cellStyle name="Normal 5 10 16 3 9" xfId="31479" xr:uid="{00000000-0005-0000-0000-0000F77A0000}"/>
    <cellStyle name="Normal 5 10 16 4" xfId="31480" xr:uid="{00000000-0005-0000-0000-0000F87A0000}"/>
    <cellStyle name="Normal 5 10 16 4 10" xfId="31481" xr:uid="{00000000-0005-0000-0000-0000F97A0000}"/>
    <cellStyle name="Normal 5 10 16 4 2" xfId="31482" xr:uid="{00000000-0005-0000-0000-0000FA7A0000}"/>
    <cellStyle name="Normal 5 10 16 4 3" xfId="31483" xr:uid="{00000000-0005-0000-0000-0000FB7A0000}"/>
    <cellStyle name="Normal 5 10 16 4 4" xfId="31484" xr:uid="{00000000-0005-0000-0000-0000FC7A0000}"/>
    <cellStyle name="Normal 5 10 16 4 5" xfId="31485" xr:uid="{00000000-0005-0000-0000-0000FD7A0000}"/>
    <cellStyle name="Normal 5 10 16 4 6" xfId="31486" xr:uid="{00000000-0005-0000-0000-0000FE7A0000}"/>
    <cellStyle name="Normal 5 10 16 4 7" xfId="31487" xr:uid="{00000000-0005-0000-0000-0000FF7A0000}"/>
    <cellStyle name="Normal 5 10 16 4 8" xfId="31488" xr:uid="{00000000-0005-0000-0000-0000007B0000}"/>
    <cellStyle name="Normal 5 10 16 4 9" xfId="31489" xr:uid="{00000000-0005-0000-0000-0000017B0000}"/>
    <cellStyle name="Normal 5 10 16 5" xfId="31490" xr:uid="{00000000-0005-0000-0000-0000027B0000}"/>
    <cellStyle name="Normal 5 10 16 5 10" xfId="31491" xr:uid="{00000000-0005-0000-0000-0000037B0000}"/>
    <cellStyle name="Normal 5 10 16 5 2" xfId="31492" xr:uid="{00000000-0005-0000-0000-0000047B0000}"/>
    <cellStyle name="Normal 5 10 16 5 3" xfId="31493" xr:uid="{00000000-0005-0000-0000-0000057B0000}"/>
    <cellStyle name="Normal 5 10 16 5 4" xfId="31494" xr:uid="{00000000-0005-0000-0000-0000067B0000}"/>
    <cellStyle name="Normal 5 10 16 5 5" xfId="31495" xr:uid="{00000000-0005-0000-0000-0000077B0000}"/>
    <cellStyle name="Normal 5 10 16 5 6" xfId="31496" xr:uid="{00000000-0005-0000-0000-0000087B0000}"/>
    <cellStyle name="Normal 5 10 16 5 7" xfId="31497" xr:uid="{00000000-0005-0000-0000-0000097B0000}"/>
    <cellStyle name="Normal 5 10 16 5 8" xfId="31498" xr:uid="{00000000-0005-0000-0000-00000A7B0000}"/>
    <cellStyle name="Normal 5 10 16 5 9" xfId="31499" xr:uid="{00000000-0005-0000-0000-00000B7B0000}"/>
    <cellStyle name="Normal 5 10 16 6" xfId="31500" xr:uid="{00000000-0005-0000-0000-00000C7B0000}"/>
    <cellStyle name="Normal 5 10 16 7" xfId="31501" xr:uid="{00000000-0005-0000-0000-00000D7B0000}"/>
    <cellStyle name="Normal 5 10 16 8" xfId="31502" xr:uid="{00000000-0005-0000-0000-00000E7B0000}"/>
    <cellStyle name="Normal 5 10 16 9" xfId="31503" xr:uid="{00000000-0005-0000-0000-00000F7B0000}"/>
    <cellStyle name="Normal 5 10 17" xfId="31504" xr:uid="{00000000-0005-0000-0000-0000107B0000}"/>
    <cellStyle name="Normal 5 10 17 10" xfId="31505" xr:uid="{00000000-0005-0000-0000-0000117B0000}"/>
    <cellStyle name="Normal 5 10 17 11" xfId="31506" xr:uid="{00000000-0005-0000-0000-0000127B0000}"/>
    <cellStyle name="Normal 5 10 17 12" xfId="31507" xr:uid="{00000000-0005-0000-0000-0000137B0000}"/>
    <cellStyle name="Normal 5 10 17 13" xfId="31508" xr:uid="{00000000-0005-0000-0000-0000147B0000}"/>
    <cellStyle name="Normal 5 10 17 14" xfId="31509" xr:uid="{00000000-0005-0000-0000-0000157B0000}"/>
    <cellStyle name="Normal 5 10 17 2" xfId="31510" xr:uid="{00000000-0005-0000-0000-0000167B0000}"/>
    <cellStyle name="Normal 5 10 17 2 10" xfId="31511" xr:uid="{00000000-0005-0000-0000-0000177B0000}"/>
    <cellStyle name="Normal 5 10 17 2 2" xfId="31512" xr:uid="{00000000-0005-0000-0000-0000187B0000}"/>
    <cellStyle name="Normal 5 10 17 2 3" xfId="31513" xr:uid="{00000000-0005-0000-0000-0000197B0000}"/>
    <cellStyle name="Normal 5 10 17 2 4" xfId="31514" xr:uid="{00000000-0005-0000-0000-00001A7B0000}"/>
    <cellStyle name="Normal 5 10 17 2 5" xfId="31515" xr:uid="{00000000-0005-0000-0000-00001B7B0000}"/>
    <cellStyle name="Normal 5 10 17 2 6" xfId="31516" xr:uid="{00000000-0005-0000-0000-00001C7B0000}"/>
    <cellStyle name="Normal 5 10 17 2 7" xfId="31517" xr:uid="{00000000-0005-0000-0000-00001D7B0000}"/>
    <cellStyle name="Normal 5 10 17 2 8" xfId="31518" xr:uid="{00000000-0005-0000-0000-00001E7B0000}"/>
    <cellStyle name="Normal 5 10 17 2 9" xfId="31519" xr:uid="{00000000-0005-0000-0000-00001F7B0000}"/>
    <cellStyle name="Normal 5 10 17 3" xfId="31520" xr:uid="{00000000-0005-0000-0000-0000207B0000}"/>
    <cellStyle name="Normal 5 10 17 3 10" xfId="31521" xr:uid="{00000000-0005-0000-0000-0000217B0000}"/>
    <cellStyle name="Normal 5 10 17 3 2" xfId="31522" xr:uid="{00000000-0005-0000-0000-0000227B0000}"/>
    <cellStyle name="Normal 5 10 17 3 3" xfId="31523" xr:uid="{00000000-0005-0000-0000-0000237B0000}"/>
    <cellStyle name="Normal 5 10 17 3 4" xfId="31524" xr:uid="{00000000-0005-0000-0000-0000247B0000}"/>
    <cellStyle name="Normal 5 10 17 3 5" xfId="31525" xr:uid="{00000000-0005-0000-0000-0000257B0000}"/>
    <cellStyle name="Normal 5 10 17 3 6" xfId="31526" xr:uid="{00000000-0005-0000-0000-0000267B0000}"/>
    <cellStyle name="Normal 5 10 17 3 7" xfId="31527" xr:uid="{00000000-0005-0000-0000-0000277B0000}"/>
    <cellStyle name="Normal 5 10 17 3 8" xfId="31528" xr:uid="{00000000-0005-0000-0000-0000287B0000}"/>
    <cellStyle name="Normal 5 10 17 3 9" xfId="31529" xr:uid="{00000000-0005-0000-0000-0000297B0000}"/>
    <cellStyle name="Normal 5 10 17 4" xfId="31530" xr:uid="{00000000-0005-0000-0000-00002A7B0000}"/>
    <cellStyle name="Normal 5 10 17 4 10" xfId="31531" xr:uid="{00000000-0005-0000-0000-00002B7B0000}"/>
    <cellStyle name="Normal 5 10 17 4 2" xfId="31532" xr:uid="{00000000-0005-0000-0000-00002C7B0000}"/>
    <cellStyle name="Normal 5 10 17 4 3" xfId="31533" xr:uid="{00000000-0005-0000-0000-00002D7B0000}"/>
    <cellStyle name="Normal 5 10 17 4 4" xfId="31534" xr:uid="{00000000-0005-0000-0000-00002E7B0000}"/>
    <cellStyle name="Normal 5 10 17 4 5" xfId="31535" xr:uid="{00000000-0005-0000-0000-00002F7B0000}"/>
    <cellStyle name="Normal 5 10 17 4 6" xfId="31536" xr:uid="{00000000-0005-0000-0000-0000307B0000}"/>
    <cellStyle name="Normal 5 10 17 4 7" xfId="31537" xr:uid="{00000000-0005-0000-0000-0000317B0000}"/>
    <cellStyle name="Normal 5 10 17 4 8" xfId="31538" xr:uid="{00000000-0005-0000-0000-0000327B0000}"/>
    <cellStyle name="Normal 5 10 17 4 9" xfId="31539" xr:uid="{00000000-0005-0000-0000-0000337B0000}"/>
    <cellStyle name="Normal 5 10 17 5" xfId="31540" xr:uid="{00000000-0005-0000-0000-0000347B0000}"/>
    <cellStyle name="Normal 5 10 17 5 10" xfId="31541" xr:uid="{00000000-0005-0000-0000-0000357B0000}"/>
    <cellStyle name="Normal 5 10 17 5 2" xfId="31542" xr:uid="{00000000-0005-0000-0000-0000367B0000}"/>
    <cellStyle name="Normal 5 10 17 5 3" xfId="31543" xr:uid="{00000000-0005-0000-0000-0000377B0000}"/>
    <cellStyle name="Normal 5 10 17 5 4" xfId="31544" xr:uid="{00000000-0005-0000-0000-0000387B0000}"/>
    <cellStyle name="Normal 5 10 17 5 5" xfId="31545" xr:uid="{00000000-0005-0000-0000-0000397B0000}"/>
    <cellStyle name="Normal 5 10 17 5 6" xfId="31546" xr:uid="{00000000-0005-0000-0000-00003A7B0000}"/>
    <cellStyle name="Normal 5 10 17 5 7" xfId="31547" xr:uid="{00000000-0005-0000-0000-00003B7B0000}"/>
    <cellStyle name="Normal 5 10 17 5 8" xfId="31548" xr:uid="{00000000-0005-0000-0000-00003C7B0000}"/>
    <cellStyle name="Normal 5 10 17 5 9" xfId="31549" xr:uid="{00000000-0005-0000-0000-00003D7B0000}"/>
    <cellStyle name="Normal 5 10 17 6" xfId="31550" xr:uid="{00000000-0005-0000-0000-00003E7B0000}"/>
    <cellStyle name="Normal 5 10 17 7" xfId="31551" xr:uid="{00000000-0005-0000-0000-00003F7B0000}"/>
    <cellStyle name="Normal 5 10 17 8" xfId="31552" xr:uid="{00000000-0005-0000-0000-0000407B0000}"/>
    <cellStyle name="Normal 5 10 17 9" xfId="31553" xr:uid="{00000000-0005-0000-0000-0000417B0000}"/>
    <cellStyle name="Normal 5 10 18" xfId="31554" xr:uid="{00000000-0005-0000-0000-0000427B0000}"/>
    <cellStyle name="Normal 5 10 18 10" xfId="31555" xr:uid="{00000000-0005-0000-0000-0000437B0000}"/>
    <cellStyle name="Normal 5 10 18 11" xfId="31556" xr:uid="{00000000-0005-0000-0000-0000447B0000}"/>
    <cellStyle name="Normal 5 10 18 12" xfId="31557" xr:uid="{00000000-0005-0000-0000-0000457B0000}"/>
    <cellStyle name="Normal 5 10 18 13" xfId="31558" xr:uid="{00000000-0005-0000-0000-0000467B0000}"/>
    <cellStyle name="Normal 5 10 18 14" xfId="31559" xr:uid="{00000000-0005-0000-0000-0000477B0000}"/>
    <cellStyle name="Normal 5 10 18 2" xfId="31560" xr:uid="{00000000-0005-0000-0000-0000487B0000}"/>
    <cellStyle name="Normal 5 10 18 2 10" xfId="31561" xr:uid="{00000000-0005-0000-0000-0000497B0000}"/>
    <cellStyle name="Normal 5 10 18 2 2" xfId="31562" xr:uid="{00000000-0005-0000-0000-00004A7B0000}"/>
    <cellStyle name="Normal 5 10 18 2 3" xfId="31563" xr:uid="{00000000-0005-0000-0000-00004B7B0000}"/>
    <cellStyle name="Normal 5 10 18 2 4" xfId="31564" xr:uid="{00000000-0005-0000-0000-00004C7B0000}"/>
    <cellStyle name="Normal 5 10 18 2 5" xfId="31565" xr:uid="{00000000-0005-0000-0000-00004D7B0000}"/>
    <cellStyle name="Normal 5 10 18 2 6" xfId="31566" xr:uid="{00000000-0005-0000-0000-00004E7B0000}"/>
    <cellStyle name="Normal 5 10 18 2 7" xfId="31567" xr:uid="{00000000-0005-0000-0000-00004F7B0000}"/>
    <cellStyle name="Normal 5 10 18 2 8" xfId="31568" xr:uid="{00000000-0005-0000-0000-0000507B0000}"/>
    <cellStyle name="Normal 5 10 18 2 9" xfId="31569" xr:uid="{00000000-0005-0000-0000-0000517B0000}"/>
    <cellStyle name="Normal 5 10 18 3" xfId="31570" xr:uid="{00000000-0005-0000-0000-0000527B0000}"/>
    <cellStyle name="Normal 5 10 18 3 10" xfId="31571" xr:uid="{00000000-0005-0000-0000-0000537B0000}"/>
    <cellStyle name="Normal 5 10 18 3 2" xfId="31572" xr:uid="{00000000-0005-0000-0000-0000547B0000}"/>
    <cellStyle name="Normal 5 10 18 3 3" xfId="31573" xr:uid="{00000000-0005-0000-0000-0000557B0000}"/>
    <cellStyle name="Normal 5 10 18 3 4" xfId="31574" xr:uid="{00000000-0005-0000-0000-0000567B0000}"/>
    <cellStyle name="Normal 5 10 18 3 5" xfId="31575" xr:uid="{00000000-0005-0000-0000-0000577B0000}"/>
    <cellStyle name="Normal 5 10 18 3 6" xfId="31576" xr:uid="{00000000-0005-0000-0000-0000587B0000}"/>
    <cellStyle name="Normal 5 10 18 3 7" xfId="31577" xr:uid="{00000000-0005-0000-0000-0000597B0000}"/>
    <cellStyle name="Normal 5 10 18 3 8" xfId="31578" xr:uid="{00000000-0005-0000-0000-00005A7B0000}"/>
    <cellStyle name="Normal 5 10 18 3 9" xfId="31579" xr:uid="{00000000-0005-0000-0000-00005B7B0000}"/>
    <cellStyle name="Normal 5 10 18 4" xfId="31580" xr:uid="{00000000-0005-0000-0000-00005C7B0000}"/>
    <cellStyle name="Normal 5 10 18 4 10" xfId="31581" xr:uid="{00000000-0005-0000-0000-00005D7B0000}"/>
    <cellStyle name="Normal 5 10 18 4 2" xfId="31582" xr:uid="{00000000-0005-0000-0000-00005E7B0000}"/>
    <cellStyle name="Normal 5 10 18 4 3" xfId="31583" xr:uid="{00000000-0005-0000-0000-00005F7B0000}"/>
    <cellStyle name="Normal 5 10 18 4 4" xfId="31584" xr:uid="{00000000-0005-0000-0000-0000607B0000}"/>
    <cellStyle name="Normal 5 10 18 4 5" xfId="31585" xr:uid="{00000000-0005-0000-0000-0000617B0000}"/>
    <cellStyle name="Normal 5 10 18 4 6" xfId="31586" xr:uid="{00000000-0005-0000-0000-0000627B0000}"/>
    <cellStyle name="Normal 5 10 18 4 7" xfId="31587" xr:uid="{00000000-0005-0000-0000-0000637B0000}"/>
    <cellStyle name="Normal 5 10 18 4 8" xfId="31588" xr:uid="{00000000-0005-0000-0000-0000647B0000}"/>
    <cellStyle name="Normal 5 10 18 4 9" xfId="31589" xr:uid="{00000000-0005-0000-0000-0000657B0000}"/>
    <cellStyle name="Normal 5 10 18 5" xfId="31590" xr:uid="{00000000-0005-0000-0000-0000667B0000}"/>
    <cellStyle name="Normal 5 10 18 5 10" xfId="31591" xr:uid="{00000000-0005-0000-0000-0000677B0000}"/>
    <cellStyle name="Normal 5 10 18 5 2" xfId="31592" xr:uid="{00000000-0005-0000-0000-0000687B0000}"/>
    <cellStyle name="Normal 5 10 18 5 3" xfId="31593" xr:uid="{00000000-0005-0000-0000-0000697B0000}"/>
    <cellStyle name="Normal 5 10 18 5 4" xfId="31594" xr:uid="{00000000-0005-0000-0000-00006A7B0000}"/>
    <cellStyle name="Normal 5 10 18 5 5" xfId="31595" xr:uid="{00000000-0005-0000-0000-00006B7B0000}"/>
    <cellStyle name="Normal 5 10 18 5 6" xfId="31596" xr:uid="{00000000-0005-0000-0000-00006C7B0000}"/>
    <cellStyle name="Normal 5 10 18 5 7" xfId="31597" xr:uid="{00000000-0005-0000-0000-00006D7B0000}"/>
    <cellStyle name="Normal 5 10 18 5 8" xfId="31598" xr:uid="{00000000-0005-0000-0000-00006E7B0000}"/>
    <cellStyle name="Normal 5 10 18 5 9" xfId="31599" xr:uid="{00000000-0005-0000-0000-00006F7B0000}"/>
    <cellStyle name="Normal 5 10 18 6" xfId="31600" xr:uid="{00000000-0005-0000-0000-0000707B0000}"/>
    <cellStyle name="Normal 5 10 18 7" xfId="31601" xr:uid="{00000000-0005-0000-0000-0000717B0000}"/>
    <cellStyle name="Normal 5 10 18 8" xfId="31602" xr:uid="{00000000-0005-0000-0000-0000727B0000}"/>
    <cellStyle name="Normal 5 10 18 9" xfId="31603" xr:uid="{00000000-0005-0000-0000-0000737B0000}"/>
    <cellStyle name="Normal 5 10 19" xfId="31604" xr:uid="{00000000-0005-0000-0000-0000747B0000}"/>
    <cellStyle name="Normal 5 10 19 10" xfId="31605" xr:uid="{00000000-0005-0000-0000-0000757B0000}"/>
    <cellStyle name="Normal 5 10 19 11" xfId="31606" xr:uid="{00000000-0005-0000-0000-0000767B0000}"/>
    <cellStyle name="Normal 5 10 19 12" xfId="31607" xr:uid="{00000000-0005-0000-0000-0000777B0000}"/>
    <cellStyle name="Normal 5 10 19 13" xfId="31608" xr:uid="{00000000-0005-0000-0000-0000787B0000}"/>
    <cellStyle name="Normal 5 10 19 14" xfId="31609" xr:uid="{00000000-0005-0000-0000-0000797B0000}"/>
    <cellStyle name="Normal 5 10 19 2" xfId="31610" xr:uid="{00000000-0005-0000-0000-00007A7B0000}"/>
    <cellStyle name="Normal 5 10 19 2 10" xfId="31611" xr:uid="{00000000-0005-0000-0000-00007B7B0000}"/>
    <cellStyle name="Normal 5 10 19 2 2" xfId="31612" xr:uid="{00000000-0005-0000-0000-00007C7B0000}"/>
    <cellStyle name="Normal 5 10 19 2 3" xfId="31613" xr:uid="{00000000-0005-0000-0000-00007D7B0000}"/>
    <cellStyle name="Normal 5 10 19 2 4" xfId="31614" xr:uid="{00000000-0005-0000-0000-00007E7B0000}"/>
    <cellStyle name="Normal 5 10 19 2 5" xfId="31615" xr:uid="{00000000-0005-0000-0000-00007F7B0000}"/>
    <cellStyle name="Normal 5 10 19 2 6" xfId="31616" xr:uid="{00000000-0005-0000-0000-0000807B0000}"/>
    <cellStyle name="Normal 5 10 19 2 7" xfId="31617" xr:uid="{00000000-0005-0000-0000-0000817B0000}"/>
    <cellStyle name="Normal 5 10 19 2 8" xfId="31618" xr:uid="{00000000-0005-0000-0000-0000827B0000}"/>
    <cellStyle name="Normal 5 10 19 2 9" xfId="31619" xr:uid="{00000000-0005-0000-0000-0000837B0000}"/>
    <cellStyle name="Normal 5 10 19 3" xfId="31620" xr:uid="{00000000-0005-0000-0000-0000847B0000}"/>
    <cellStyle name="Normal 5 10 19 3 10" xfId="31621" xr:uid="{00000000-0005-0000-0000-0000857B0000}"/>
    <cellStyle name="Normal 5 10 19 3 2" xfId="31622" xr:uid="{00000000-0005-0000-0000-0000867B0000}"/>
    <cellStyle name="Normal 5 10 19 3 3" xfId="31623" xr:uid="{00000000-0005-0000-0000-0000877B0000}"/>
    <cellStyle name="Normal 5 10 19 3 4" xfId="31624" xr:uid="{00000000-0005-0000-0000-0000887B0000}"/>
    <cellStyle name="Normal 5 10 19 3 5" xfId="31625" xr:uid="{00000000-0005-0000-0000-0000897B0000}"/>
    <cellStyle name="Normal 5 10 19 3 6" xfId="31626" xr:uid="{00000000-0005-0000-0000-00008A7B0000}"/>
    <cellStyle name="Normal 5 10 19 3 7" xfId="31627" xr:uid="{00000000-0005-0000-0000-00008B7B0000}"/>
    <cellStyle name="Normal 5 10 19 3 8" xfId="31628" xr:uid="{00000000-0005-0000-0000-00008C7B0000}"/>
    <cellStyle name="Normal 5 10 19 3 9" xfId="31629" xr:uid="{00000000-0005-0000-0000-00008D7B0000}"/>
    <cellStyle name="Normal 5 10 19 4" xfId="31630" xr:uid="{00000000-0005-0000-0000-00008E7B0000}"/>
    <cellStyle name="Normal 5 10 19 4 10" xfId="31631" xr:uid="{00000000-0005-0000-0000-00008F7B0000}"/>
    <cellStyle name="Normal 5 10 19 4 2" xfId="31632" xr:uid="{00000000-0005-0000-0000-0000907B0000}"/>
    <cellStyle name="Normal 5 10 19 4 3" xfId="31633" xr:uid="{00000000-0005-0000-0000-0000917B0000}"/>
    <cellStyle name="Normal 5 10 19 4 4" xfId="31634" xr:uid="{00000000-0005-0000-0000-0000927B0000}"/>
    <cellStyle name="Normal 5 10 19 4 5" xfId="31635" xr:uid="{00000000-0005-0000-0000-0000937B0000}"/>
    <cellStyle name="Normal 5 10 19 4 6" xfId="31636" xr:uid="{00000000-0005-0000-0000-0000947B0000}"/>
    <cellStyle name="Normal 5 10 19 4 7" xfId="31637" xr:uid="{00000000-0005-0000-0000-0000957B0000}"/>
    <cellStyle name="Normal 5 10 19 4 8" xfId="31638" xr:uid="{00000000-0005-0000-0000-0000967B0000}"/>
    <cellStyle name="Normal 5 10 19 4 9" xfId="31639" xr:uid="{00000000-0005-0000-0000-0000977B0000}"/>
    <cellStyle name="Normal 5 10 19 5" xfId="31640" xr:uid="{00000000-0005-0000-0000-0000987B0000}"/>
    <cellStyle name="Normal 5 10 19 5 10" xfId="31641" xr:uid="{00000000-0005-0000-0000-0000997B0000}"/>
    <cellStyle name="Normal 5 10 19 5 2" xfId="31642" xr:uid="{00000000-0005-0000-0000-00009A7B0000}"/>
    <cellStyle name="Normal 5 10 19 5 3" xfId="31643" xr:uid="{00000000-0005-0000-0000-00009B7B0000}"/>
    <cellStyle name="Normal 5 10 19 5 4" xfId="31644" xr:uid="{00000000-0005-0000-0000-00009C7B0000}"/>
    <cellStyle name="Normal 5 10 19 5 5" xfId="31645" xr:uid="{00000000-0005-0000-0000-00009D7B0000}"/>
    <cellStyle name="Normal 5 10 19 5 6" xfId="31646" xr:uid="{00000000-0005-0000-0000-00009E7B0000}"/>
    <cellStyle name="Normal 5 10 19 5 7" xfId="31647" xr:uid="{00000000-0005-0000-0000-00009F7B0000}"/>
    <cellStyle name="Normal 5 10 19 5 8" xfId="31648" xr:uid="{00000000-0005-0000-0000-0000A07B0000}"/>
    <cellStyle name="Normal 5 10 19 5 9" xfId="31649" xr:uid="{00000000-0005-0000-0000-0000A17B0000}"/>
    <cellStyle name="Normal 5 10 19 6" xfId="31650" xr:uid="{00000000-0005-0000-0000-0000A27B0000}"/>
    <cellStyle name="Normal 5 10 19 7" xfId="31651" xr:uid="{00000000-0005-0000-0000-0000A37B0000}"/>
    <cellStyle name="Normal 5 10 19 8" xfId="31652" xr:uid="{00000000-0005-0000-0000-0000A47B0000}"/>
    <cellStyle name="Normal 5 10 19 9" xfId="31653" xr:uid="{00000000-0005-0000-0000-0000A57B0000}"/>
    <cellStyle name="Normal 5 10 2" xfId="31654" xr:uid="{00000000-0005-0000-0000-0000A67B0000}"/>
    <cellStyle name="Normal 5 10 2 10" xfId="31655" xr:uid="{00000000-0005-0000-0000-0000A77B0000}"/>
    <cellStyle name="Normal 5 10 2 10 10" xfId="31656" xr:uid="{00000000-0005-0000-0000-0000A87B0000}"/>
    <cellStyle name="Normal 5 10 2 10 11" xfId="31657" xr:uid="{00000000-0005-0000-0000-0000A97B0000}"/>
    <cellStyle name="Normal 5 10 2 10 12" xfId="31658" xr:uid="{00000000-0005-0000-0000-0000AA7B0000}"/>
    <cellStyle name="Normal 5 10 2 10 13" xfId="31659" xr:uid="{00000000-0005-0000-0000-0000AB7B0000}"/>
    <cellStyle name="Normal 5 10 2 10 14" xfId="31660" xr:uid="{00000000-0005-0000-0000-0000AC7B0000}"/>
    <cellStyle name="Normal 5 10 2 10 2" xfId="31661" xr:uid="{00000000-0005-0000-0000-0000AD7B0000}"/>
    <cellStyle name="Normal 5 10 2 10 2 10" xfId="31662" xr:uid="{00000000-0005-0000-0000-0000AE7B0000}"/>
    <cellStyle name="Normal 5 10 2 10 2 2" xfId="31663" xr:uid="{00000000-0005-0000-0000-0000AF7B0000}"/>
    <cellStyle name="Normal 5 10 2 10 2 3" xfId="31664" xr:uid="{00000000-0005-0000-0000-0000B07B0000}"/>
    <cellStyle name="Normal 5 10 2 10 2 4" xfId="31665" xr:uid="{00000000-0005-0000-0000-0000B17B0000}"/>
    <cellStyle name="Normal 5 10 2 10 2 5" xfId="31666" xr:uid="{00000000-0005-0000-0000-0000B27B0000}"/>
    <cellStyle name="Normal 5 10 2 10 2 6" xfId="31667" xr:uid="{00000000-0005-0000-0000-0000B37B0000}"/>
    <cellStyle name="Normal 5 10 2 10 2 7" xfId="31668" xr:uid="{00000000-0005-0000-0000-0000B47B0000}"/>
    <cellStyle name="Normal 5 10 2 10 2 8" xfId="31669" xr:uid="{00000000-0005-0000-0000-0000B57B0000}"/>
    <cellStyle name="Normal 5 10 2 10 2 9" xfId="31670" xr:uid="{00000000-0005-0000-0000-0000B67B0000}"/>
    <cellStyle name="Normal 5 10 2 10 3" xfId="31671" xr:uid="{00000000-0005-0000-0000-0000B77B0000}"/>
    <cellStyle name="Normal 5 10 2 10 3 10" xfId="31672" xr:uid="{00000000-0005-0000-0000-0000B87B0000}"/>
    <cellStyle name="Normal 5 10 2 10 3 2" xfId="31673" xr:uid="{00000000-0005-0000-0000-0000B97B0000}"/>
    <cellStyle name="Normal 5 10 2 10 3 3" xfId="31674" xr:uid="{00000000-0005-0000-0000-0000BA7B0000}"/>
    <cellStyle name="Normal 5 10 2 10 3 4" xfId="31675" xr:uid="{00000000-0005-0000-0000-0000BB7B0000}"/>
    <cellStyle name="Normal 5 10 2 10 3 5" xfId="31676" xr:uid="{00000000-0005-0000-0000-0000BC7B0000}"/>
    <cellStyle name="Normal 5 10 2 10 3 6" xfId="31677" xr:uid="{00000000-0005-0000-0000-0000BD7B0000}"/>
    <cellStyle name="Normal 5 10 2 10 3 7" xfId="31678" xr:uid="{00000000-0005-0000-0000-0000BE7B0000}"/>
    <cellStyle name="Normal 5 10 2 10 3 8" xfId="31679" xr:uid="{00000000-0005-0000-0000-0000BF7B0000}"/>
    <cellStyle name="Normal 5 10 2 10 3 9" xfId="31680" xr:uid="{00000000-0005-0000-0000-0000C07B0000}"/>
    <cellStyle name="Normal 5 10 2 10 4" xfId="31681" xr:uid="{00000000-0005-0000-0000-0000C17B0000}"/>
    <cellStyle name="Normal 5 10 2 10 4 10" xfId="31682" xr:uid="{00000000-0005-0000-0000-0000C27B0000}"/>
    <cellStyle name="Normal 5 10 2 10 4 2" xfId="31683" xr:uid="{00000000-0005-0000-0000-0000C37B0000}"/>
    <cellStyle name="Normal 5 10 2 10 4 3" xfId="31684" xr:uid="{00000000-0005-0000-0000-0000C47B0000}"/>
    <cellStyle name="Normal 5 10 2 10 4 4" xfId="31685" xr:uid="{00000000-0005-0000-0000-0000C57B0000}"/>
    <cellStyle name="Normal 5 10 2 10 4 5" xfId="31686" xr:uid="{00000000-0005-0000-0000-0000C67B0000}"/>
    <cellStyle name="Normal 5 10 2 10 4 6" xfId="31687" xr:uid="{00000000-0005-0000-0000-0000C77B0000}"/>
    <cellStyle name="Normal 5 10 2 10 4 7" xfId="31688" xr:uid="{00000000-0005-0000-0000-0000C87B0000}"/>
    <cellStyle name="Normal 5 10 2 10 4 8" xfId="31689" xr:uid="{00000000-0005-0000-0000-0000C97B0000}"/>
    <cellStyle name="Normal 5 10 2 10 4 9" xfId="31690" xr:uid="{00000000-0005-0000-0000-0000CA7B0000}"/>
    <cellStyle name="Normal 5 10 2 10 5" xfId="31691" xr:uid="{00000000-0005-0000-0000-0000CB7B0000}"/>
    <cellStyle name="Normal 5 10 2 10 5 10" xfId="31692" xr:uid="{00000000-0005-0000-0000-0000CC7B0000}"/>
    <cellStyle name="Normal 5 10 2 10 5 2" xfId="31693" xr:uid="{00000000-0005-0000-0000-0000CD7B0000}"/>
    <cellStyle name="Normal 5 10 2 10 5 3" xfId="31694" xr:uid="{00000000-0005-0000-0000-0000CE7B0000}"/>
    <cellStyle name="Normal 5 10 2 10 5 4" xfId="31695" xr:uid="{00000000-0005-0000-0000-0000CF7B0000}"/>
    <cellStyle name="Normal 5 10 2 10 5 5" xfId="31696" xr:uid="{00000000-0005-0000-0000-0000D07B0000}"/>
    <cellStyle name="Normal 5 10 2 10 5 6" xfId="31697" xr:uid="{00000000-0005-0000-0000-0000D17B0000}"/>
    <cellStyle name="Normal 5 10 2 10 5 7" xfId="31698" xr:uid="{00000000-0005-0000-0000-0000D27B0000}"/>
    <cellStyle name="Normal 5 10 2 10 5 8" xfId="31699" xr:uid="{00000000-0005-0000-0000-0000D37B0000}"/>
    <cellStyle name="Normal 5 10 2 10 5 9" xfId="31700" xr:uid="{00000000-0005-0000-0000-0000D47B0000}"/>
    <cellStyle name="Normal 5 10 2 10 6" xfId="31701" xr:uid="{00000000-0005-0000-0000-0000D57B0000}"/>
    <cellStyle name="Normal 5 10 2 10 7" xfId="31702" xr:uid="{00000000-0005-0000-0000-0000D67B0000}"/>
    <cellStyle name="Normal 5 10 2 10 8" xfId="31703" xr:uid="{00000000-0005-0000-0000-0000D77B0000}"/>
    <cellStyle name="Normal 5 10 2 10 9" xfId="31704" xr:uid="{00000000-0005-0000-0000-0000D87B0000}"/>
    <cellStyle name="Normal 5 10 2 11" xfId="31705" xr:uid="{00000000-0005-0000-0000-0000D97B0000}"/>
    <cellStyle name="Normal 5 10 2 11 10" xfId="31706" xr:uid="{00000000-0005-0000-0000-0000DA7B0000}"/>
    <cellStyle name="Normal 5 10 2 11 11" xfId="31707" xr:uid="{00000000-0005-0000-0000-0000DB7B0000}"/>
    <cellStyle name="Normal 5 10 2 11 12" xfId="31708" xr:uid="{00000000-0005-0000-0000-0000DC7B0000}"/>
    <cellStyle name="Normal 5 10 2 11 13" xfId="31709" xr:uid="{00000000-0005-0000-0000-0000DD7B0000}"/>
    <cellStyle name="Normal 5 10 2 11 14" xfId="31710" xr:uid="{00000000-0005-0000-0000-0000DE7B0000}"/>
    <cellStyle name="Normal 5 10 2 11 2" xfId="31711" xr:uid="{00000000-0005-0000-0000-0000DF7B0000}"/>
    <cellStyle name="Normal 5 10 2 11 2 10" xfId="31712" xr:uid="{00000000-0005-0000-0000-0000E07B0000}"/>
    <cellStyle name="Normal 5 10 2 11 2 2" xfId="31713" xr:uid="{00000000-0005-0000-0000-0000E17B0000}"/>
    <cellStyle name="Normal 5 10 2 11 2 3" xfId="31714" xr:uid="{00000000-0005-0000-0000-0000E27B0000}"/>
    <cellStyle name="Normal 5 10 2 11 2 4" xfId="31715" xr:uid="{00000000-0005-0000-0000-0000E37B0000}"/>
    <cellStyle name="Normal 5 10 2 11 2 5" xfId="31716" xr:uid="{00000000-0005-0000-0000-0000E47B0000}"/>
    <cellStyle name="Normal 5 10 2 11 2 6" xfId="31717" xr:uid="{00000000-0005-0000-0000-0000E57B0000}"/>
    <cellStyle name="Normal 5 10 2 11 2 7" xfId="31718" xr:uid="{00000000-0005-0000-0000-0000E67B0000}"/>
    <cellStyle name="Normal 5 10 2 11 2 8" xfId="31719" xr:uid="{00000000-0005-0000-0000-0000E77B0000}"/>
    <cellStyle name="Normal 5 10 2 11 2 9" xfId="31720" xr:uid="{00000000-0005-0000-0000-0000E87B0000}"/>
    <cellStyle name="Normal 5 10 2 11 3" xfId="31721" xr:uid="{00000000-0005-0000-0000-0000E97B0000}"/>
    <cellStyle name="Normal 5 10 2 11 3 10" xfId="31722" xr:uid="{00000000-0005-0000-0000-0000EA7B0000}"/>
    <cellStyle name="Normal 5 10 2 11 3 2" xfId="31723" xr:uid="{00000000-0005-0000-0000-0000EB7B0000}"/>
    <cellStyle name="Normal 5 10 2 11 3 3" xfId="31724" xr:uid="{00000000-0005-0000-0000-0000EC7B0000}"/>
    <cellStyle name="Normal 5 10 2 11 3 4" xfId="31725" xr:uid="{00000000-0005-0000-0000-0000ED7B0000}"/>
    <cellStyle name="Normal 5 10 2 11 3 5" xfId="31726" xr:uid="{00000000-0005-0000-0000-0000EE7B0000}"/>
    <cellStyle name="Normal 5 10 2 11 3 6" xfId="31727" xr:uid="{00000000-0005-0000-0000-0000EF7B0000}"/>
    <cellStyle name="Normal 5 10 2 11 3 7" xfId="31728" xr:uid="{00000000-0005-0000-0000-0000F07B0000}"/>
    <cellStyle name="Normal 5 10 2 11 3 8" xfId="31729" xr:uid="{00000000-0005-0000-0000-0000F17B0000}"/>
    <cellStyle name="Normal 5 10 2 11 3 9" xfId="31730" xr:uid="{00000000-0005-0000-0000-0000F27B0000}"/>
    <cellStyle name="Normal 5 10 2 11 4" xfId="31731" xr:uid="{00000000-0005-0000-0000-0000F37B0000}"/>
    <cellStyle name="Normal 5 10 2 11 4 10" xfId="31732" xr:uid="{00000000-0005-0000-0000-0000F47B0000}"/>
    <cellStyle name="Normal 5 10 2 11 4 2" xfId="31733" xr:uid="{00000000-0005-0000-0000-0000F57B0000}"/>
    <cellStyle name="Normal 5 10 2 11 4 3" xfId="31734" xr:uid="{00000000-0005-0000-0000-0000F67B0000}"/>
    <cellStyle name="Normal 5 10 2 11 4 4" xfId="31735" xr:uid="{00000000-0005-0000-0000-0000F77B0000}"/>
    <cellStyle name="Normal 5 10 2 11 4 5" xfId="31736" xr:uid="{00000000-0005-0000-0000-0000F87B0000}"/>
    <cellStyle name="Normal 5 10 2 11 4 6" xfId="31737" xr:uid="{00000000-0005-0000-0000-0000F97B0000}"/>
    <cellStyle name="Normal 5 10 2 11 4 7" xfId="31738" xr:uid="{00000000-0005-0000-0000-0000FA7B0000}"/>
    <cellStyle name="Normal 5 10 2 11 4 8" xfId="31739" xr:uid="{00000000-0005-0000-0000-0000FB7B0000}"/>
    <cellStyle name="Normal 5 10 2 11 4 9" xfId="31740" xr:uid="{00000000-0005-0000-0000-0000FC7B0000}"/>
    <cellStyle name="Normal 5 10 2 11 5" xfId="31741" xr:uid="{00000000-0005-0000-0000-0000FD7B0000}"/>
    <cellStyle name="Normal 5 10 2 11 5 10" xfId="31742" xr:uid="{00000000-0005-0000-0000-0000FE7B0000}"/>
    <cellStyle name="Normal 5 10 2 11 5 2" xfId="31743" xr:uid="{00000000-0005-0000-0000-0000FF7B0000}"/>
    <cellStyle name="Normal 5 10 2 11 5 3" xfId="31744" xr:uid="{00000000-0005-0000-0000-0000007C0000}"/>
    <cellStyle name="Normal 5 10 2 11 5 4" xfId="31745" xr:uid="{00000000-0005-0000-0000-0000017C0000}"/>
    <cellStyle name="Normal 5 10 2 11 5 5" xfId="31746" xr:uid="{00000000-0005-0000-0000-0000027C0000}"/>
    <cellStyle name="Normal 5 10 2 11 5 6" xfId="31747" xr:uid="{00000000-0005-0000-0000-0000037C0000}"/>
    <cellStyle name="Normal 5 10 2 11 5 7" xfId="31748" xr:uid="{00000000-0005-0000-0000-0000047C0000}"/>
    <cellStyle name="Normal 5 10 2 11 5 8" xfId="31749" xr:uid="{00000000-0005-0000-0000-0000057C0000}"/>
    <cellStyle name="Normal 5 10 2 11 5 9" xfId="31750" xr:uid="{00000000-0005-0000-0000-0000067C0000}"/>
    <cellStyle name="Normal 5 10 2 11 6" xfId="31751" xr:uid="{00000000-0005-0000-0000-0000077C0000}"/>
    <cellStyle name="Normal 5 10 2 11 7" xfId="31752" xr:uid="{00000000-0005-0000-0000-0000087C0000}"/>
    <cellStyle name="Normal 5 10 2 11 8" xfId="31753" xr:uid="{00000000-0005-0000-0000-0000097C0000}"/>
    <cellStyle name="Normal 5 10 2 11 9" xfId="31754" xr:uid="{00000000-0005-0000-0000-00000A7C0000}"/>
    <cellStyle name="Normal 5 10 2 12" xfId="31755" xr:uid="{00000000-0005-0000-0000-00000B7C0000}"/>
    <cellStyle name="Normal 5 10 2 12 10" xfId="31756" xr:uid="{00000000-0005-0000-0000-00000C7C0000}"/>
    <cellStyle name="Normal 5 10 2 12 11" xfId="31757" xr:uid="{00000000-0005-0000-0000-00000D7C0000}"/>
    <cellStyle name="Normal 5 10 2 12 12" xfId="31758" xr:uid="{00000000-0005-0000-0000-00000E7C0000}"/>
    <cellStyle name="Normal 5 10 2 12 13" xfId="31759" xr:uid="{00000000-0005-0000-0000-00000F7C0000}"/>
    <cellStyle name="Normal 5 10 2 12 14" xfId="31760" xr:uid="{00000000-0005-0000-0000-0000107C0000}"/>
    <cellStyle name="Normal 5 10 2 12 2" xfId="31761" xr:uid="{00000000-0005-0000-0000-0000117C0000}"/>
    <cellStyle name="Normal 5 10 2 12 2 10" xfId="31762" xr:uid="{00000000-0005-0000-0000-0000127C0000}"/>
    <cellStyle name="Normal 5 10 2 12 2 2" xfId="31763" xr:uid="{00000000-0005-0000-0000-0000137C0000}"/>
    <cellStyle name="Normal 5 10 2 12 2 3" xfId="31764" xr:uid="{00000000-0005-0000-0000-0000147C0000}"/>
    <cellStyle name="Normal 5 10 2 12 2 4" xfId="31765" xr:uid="{00000000-0005-0000-0000-0000157C0000}"/>
    <cellStyle name="Normal 5 10 2 12 2 5" xfId="31766" xr:uid="{00000000-0005-0000-0000-0000167C0000}"/>
    <cellStyle name="Normal 5 10 2 12 2 6" xfId="31767" xr:uid="{00000000-0005-0000-0000-0000177C0000}"/>
    <cellStyle name="Normal 5 10 2 12 2 7" xfId="31768" xr:uid="{00000000-0005-0000-0000-0000187C0000}"/>
    <cellStyle name="Normal 5 10 2 12 2 8" xfId="31769" xr:uid="{00000000-0005-0000-0000-0000197C0000}"/>
    <cellStyle name="Normal 5 10 2 12 2 9" xfId="31770" xr:uid="{00000000-0005-0000-0000-00001A7C0000}"/>
    <cellStyle name="Normal 5 10 2 12 3" xfId="31771" xr:uid="{00000000-0005-0000-0000-00001B7C0000}"/>
    <cellStyle name="Normal 5 10 2 12 3 10" xfId="31772" xr:uid="{00000000-0005-0000-0000-00001C7C0000}"/>
    <cellStyle name="Normal 5 10 2 12 3 2" xfId="31773" xr:uid="{00000000-0005-0000-0000-00001D7C0000}"/>
    <cellStyle name="Normal 5 10 2 12 3 3" xfId="31774" xr:uid="{00000000-0005-0000-0000-00001E7C0000}"/>
    <cellStyle name="Normal 5 10 2 12 3 4" xfId="31775" xr:uid="{00000000-0005-0000-0000-00001F7C0000}"/>
    <cellStyle name="Normal 5 10 2 12 3 5" xfId="31776" xr:uid="{00000000-0005-0000-0000-0000207C0000}"/>
    <cellStyle name="Normal 5 10 2 12 3 6" xfId="31777" xr:uid="{00000000-0005-0000-0000-0000217C0000}"/>
    <cellStyle name="Normal 5 10 2 12 3 7" xfId="31778" xr:uid="{00000000-0005-0000-0000-0000227C0000}"/>
    <cellStyle name="Normal 5 10 2 12 3 8" xfId="31779" xr:uid="{00000000-0005-0000-0000-0000237C0000}"/>
    <cellStyle name="Normal 5 10 2 12 3 9" xfId="31780" xr:uid="{00000000-0005-0000-0000-0000247C0000}"/>
    <cellStyle name="Normal 5 10 2 12 4" xfId="31781" xr:uid="{00000000-0005-0000-0000-0000257C0000}"/>
    <cellStyle name="Normal 5 10 2 12 4 10" xfId="31782" xr:uid="{00000000-0005-0000-0000-0000267C0000}"/>
    <cellStyle name="Normal 5 10 2 12 4 2" xfId="31783" xr:uid="{00000000-0005-0000-0000-0000277C0000}"/>
    <cellStyle name="Normal 5 10 2 12 4 3" xfId="31784" xr:uid="{00000000-0005-0000-0000-0000287C0000}"/>
    <cellStyle name="Normal 5 10 2 12 4 4" xfId="31785" xr:uid="{00000000-0005-0000-0000-0000297C0000}"/>
    <cellStyle name="Normal 5 10 2 12 4 5" xfId="31786" xr:uid="{00000000-0005-0000-0000-00002A7C0000}"/>
    <cellStyle name="Normal 5 10 2 12 4 6" xfId="31787" xr:uid="{00000000-0005-0000-0000-00002B7C0000}"/>
    <cellStyle name="Normal 5 10 2 12 4 7" xfId="31788" xr:uid="{00000000-0005-0000-0000-00002C7C0000}"/>
    <cellStyle name="Normal 5 10 2 12 4 8" xfId="31789" xr:uid="{00000000-0005-0000-0000-00002D7C0000}"/>
    <cellStyle name="Normal 5 10 2 12 4 9" xfId="31790" xr:uid="{00000000-0005-0000-0000-00002E7C0000}"/>
    <cellStyle name="Normal 5 10 2 12 5" xfId="31791" xr:uid="{00000000-0005-0000-0000-00002F7C0000}"/>
    <cellStyle name="Normal 5 10 2 12 5 10" xfId="31792" xr:uid="{00000000-0005-0000-0000-0000307C0000}"/>
    <cellStyle name="Normal 5 10 2 12 5 2" xfId="31793" xr:uid="{00000000-0005-0000-0000-0000317C0000}"/>
    <cellStyle name="Normal 5 10 2 12 5 3" xfId="31794" xr:uid="{00000000-0005-0000-0000-0000327C0000}"/>
    <cellStyle name="Normal 5 10 2 12 5 4" xfId="31795" xr:uid="{00000000-0005-0000-0000-0000337C0000}"/>
    <cellStyle name="Normal 5 10 2 12 5 5" xfId="31796" xr:uid="{00000000-0005-0000-0000-0000347C0000}"/>
    <cellStyle name="Normal 5 10 2 12 5 6" xfId="31797" xr:uid="{00000000-0005-0000-0000-0000357C0000}"/>
    <cellStyle name="Normal 5 10 2 12 5 7" xfId="31798" xr:uid="{00000000-0005-0000-0000-0000367C0000}"/>
    <cellStyle name="Normal 5 10 2 12 5 8" xfId="31799" xr:uid="{00000000-0005-0000-0000-0000377C0000}"/>
    <cellStyle name="Normal 5 10 2 12 5 9" xfId="31800" xr:uid="{00000000-0005-0000-0000-0000387C0000}"/>
    <cellStyle name="Normal 5 10 2 12 6" xfId="31801" xr:uid="{00000000-0005-0000-0000-0000397C0000}"/>
    <cellStyle name="Normal 5 10 2 12 7" xfId="31802" xr:uid="{00000000-0005-0000-0000-00003A7C0000}"/>
    <cellStyle name="Normal 5 10 2 12 8" xfId="31803" xr:uid="{00000000-0005-0000-0000-00003B7C0000}"/>
    <cellStyle name="Normal 5 10 2 12 9" xfId="31804" xr:uid="{00000000-0005-0000-0000-00003C7C0000}"/>
    <cellStyle name="Normal 5 10 2 13" xfId="31805" xr:uid="{00000000-0005-0000-0000-00003D7C0000}"/>
    <cellStyle name="Normal 5 10 2 13 10" xfId="31806" xr:uid="{00000000-0005-0000-0000-00003E7C0000}"/>
    <cellStyle name="Normal 5 10 2 13 11" xfId="31807" xr:uid="{00000000-0005-0000-0000-00003F7C0000}"/>
    <cellStyle name="Normal 5 10 2 13 12" xfId="31808" xr:uid="{00000000-0005-0000-0000-0000407C0000}"/>
    <cellStyle name="Normal 5 10 2 13 13" xfId="31809" xr:uid="{00000000-0005-0000-0000-0000417C0000}"/>
    <cellStyle name="Normal 5 10 2 13 14" xfId="31810" xr:uid="{00000000-0005-0000-0000-0000427C0000}"/>
    <cellStyle name="Normal 5 10 2 13 2" xfId="31811" xr:uid="{00000000-0005-0000-0000-0000437C0000}"/>
    <cellStyle name="Normal 5 10 2 13 2 10" xfId="31812" xr:uid="{00000000-0005-0000-0000-0000447C0000}"/>
    <cellStyle name="Normal 5 10 2 13 2 2" xfId="31813" xr:uid="{00000000-0005-0000-0000-0000457C0000}"/>
    <cellStyle name="Normal 5 10 2 13 2 3" xfId="31814" xr:uid="{00000000-0005-0000-0000-0000467C0000}"/>
    <cellStyle name="Normal 5 10 2 13 2 4" xfId="31815" xr:uid="{00000000-0005-0000-0000-0000477C0000}"/>
    <cellStyle name="Normal 5 10 2 13 2 5" xfId="31816" xr:uid="{00000000-0005-0000-0000-0000487C0000}"/>
    <cellStyle name="Normal 5 10 2 13 2 6" xfId="31817" xr:uid="{00000000-0005-0000-0000-0000497C0000}"/>
    <cellStyle name="Normal 5 10 2 13 2 7" xfId="31818" xr:uid="{00000000-0005-0000-0000-00004A7C0000}"/>
    <cellStyle name="Normal 5 10 2 13 2 8" xfId="31819" xr:uid="{00000000-0005-0000-0000-00004B7C0000}"/>
    <cellStyle name="Normal 5 10 2 13 2 9" xfId="31820" xr:uid="{00000000-0005-0000-0000-00004C7C0000}"/>
    <cellStyle name="Normal 5 10 2 13 3" xfId="31821" xr:uid="{00000000-0005-0000-0000-00004D7C0000}"/>
    <cellStyle name="Normal 5 10 2 13 3 10" xfId="31822" xr:uid="{00000000-0005-0000-0000-00004E7C0000}"/>
    <cellStyle name="Normal 5 10 2 13 3 2" xfId="31823" xr:uid="{00000000-0005-0000-0000-00004F7C0000}"/>
    <cellStyle name="Normal 5 10 2 13 3 3" xfId="31824" xr:uid="{00000000-0005-0000-0000-0000507C0000}"/>
    <cellStyle name="Normal 5 10 2 13 3 4" xfId="31825" xr:uid="{00000000-0005-0000-0000-0000517C0000}"/>
    <cellStyle name="Normal 5 10 2 13 3 5" xfId="31826" xr:uid="{00000000-0005-0000-0000-0000527C0000}"/>
    <cellStyle name="Normal 5 10 2 13 3 6" xfId="31827" xr:uid="{00000000-0005-0000-0000-0000537C0000}"/>
    <cellStyle name="Normal 5 10 2 13 3 7" xfId="31828" xr:uid="{00000000-0005-0000-0000-0000547C0000}"/>
    <cellStyle name="Normal 5 10 2 13 3 8" xfId="31829" xr:uid="{00000000-0005-0000-0000-0000557C0000}"/>
    <cellStyle name="Normal 5 10 2 13 3 9" xfId="31830" xr:uid="{00000000-0005-0000-0000-0000567C0000}"/>
    <cellStyle name="Normal 5 10 2 13 4" xfId="31831" xr:uid="{00000000-0005-0000-0000-0000577C0000}"/>
    <cellStyle name="Normal 5 10 2 13 4 10" xfId="31832" xr:uid="{00000000-0005-0000-0000-0000587C0000}"/>
    <cellStyle name="Normal 5 10 2 13 4 2" xfId="31833" xr:uid="{00000000-0005-0000-0000-0000597C0000}"/>
    <cellStyle name="Normal 5 10 2 13 4 3" xfId="31834" xr:uid="{00000000-0005-0000-0000-00005A7C0000}"/>
    <cellStyle name="Normal 5 10 2 13 4 4" xfId="31835" xr:uid="{00000000-0005-0000-0000-00005B7C0000}"/>
    <cellStyle name="Normal 5 10 2 13 4 5" xfId="31836" xr:uid="{00000000-0005-0000-0000-00005C7C0000}"/>
    <cellStyle name="Normal 5 10 2 13 4 6" xfId="31837" xr:uid="{00000000-0005-0000-0000-00005D7C0000}"/>
    <cellStyle name="Normal 5 10 2 13 4 7" xfId="31838" xr:uid="{00000000-0005-0000-0000-00005E7C0000}"/>
    <cellStyle name="Normal 5 10 2 13 4 8" xfId="31839" xr:uid="{00000000-0005-0000-0000-00005F7C0000}"/>
    <cellStyle name="Normal 5 10 2 13 4 9" xfId="31840" xr:uid="{00000000-0005-0000-0000-0000607C0000}"/>
    <cellStyle name="Normal 5 10 2 13 5" xfId="31841" xr:uid="{00000000-0005-0000-0000-0000617C0000}"/>
    <cellStyle name="Normal 5 10 2 13 5 10" xfId="31842" xr:uid="{00000000-0005-0000-0000-0000627C0000}"/>
    <cellStyle name="Normal 5 10 2 13 5 2" xfId="31843" xr:uid="{00000000-0005-0000-0000-0000637C0000}"/>
    <cellStyle name="Normal 5 10 2 13 5 3" xfId="31844" xr:uid="{00000000-0005-0000-0000-0000647C0000}"/>
    <cellStyle name="Normal 5 10 2 13 5 4" xfId="31845" xr:uid="{00000000-0005-0000-0000-0000657C0000}"/>
    <cellStyle name="Normal 5 10 2 13 5 5" xfId="31846" xr:uid="{00000000-0005-0000-0000-0000667C0000}"/>
    <cellStyle name="Normal 5 10 2 13 5 6" xfId="31847" xr:uid="{00000000-0005-0000-0000-0000677C0000}"/>
    <cellStyle name="Normal 5 10 2 13 5 7" xfId="31848" xr:uid="{00000000-0005-0000-0000-0000687C0000}"/>
    <cellStyle name="Normal 5 10 2 13 5 8" xfId="31849" xr:uid="{00000000-0005-0000-0000-0000697C0000}"/>
    <cellStyle name="Normal 5 10 2 13 5 9" xfId="31850" xr:uid="{00000000-0005-0000-0000-00006A7C0000}"/>
    <cellStyle name="Normal 5 10 2 13 6" xfId="31851" xr:uid="{00000000-0005-0000-0000-00006B7C0000}"/>
    <cellStyle name="Normal 5 10 2 13 7" xfId="31852" xr:uid="{00000000-0005-0000-0000-00006C7C0000}"/>
    <cellStyle name="Normal 5 10 2 13 8" xfId="31853" xr:uid="{00000000-0005-0000-0000-00006D7C0000}"/>
    <cellStyle name="Normal 5 10 2 13 9" xfId="31854" xr:uid="{00000000-0005-0000-0000-00006E7C0000}"/>
    <cellStyle name="Normal 5 10 2 14" xfId="31855" xr:uid="{00000000-0005-0000-0000-00006F7C0000}"/>
    <cellStyle name="Normal 5 10 2 14 10" xfId="31856" xr:uid="{00000000-0005-0000-0000-0000707C0000}"/>
    <cellStyle name="Normal 5 10 2 14 11" xfId="31857" xr:uid="{00000000-0005-0000-0000-0000717C0000}"/>
    <cellStyle name="Normal 5 10 2 14 12" xfId="31858" xr:uid="{00000000-0005-0000-0000-0000727C0000}"/>
    <cellStyle name="Normal 5 10 2 14 13" xfId="31859" xr:uid="{00000000-0005-0000-0000-0000737C0000}"/>
    <cellStyle name="Normal 5 10 2 14 14" xfId="31860" xr:uid="{00000000-0005-0000-0000-0000747C0000}"/>
    <cellStyle name="Normal 5 10 2 14 2" xfId="31861" xr:uid="{00000000-0005-0000-0000-0000757C0000}"/>
    <cellStyle name="Normal 5 10 2 14 2 10" xfId="31862" xr:uid="{00000000-0005-0000-0000-0000767C0000}"/>
    <cellStyle name="Normal 5 10 2 14 2 2" xfId="31863" xr:uid="{00000000-0005-0000-0000-0000777C0000}"/>
    <cellStyle name="Normal 5 10 2 14 2 3" xfId="31864" xr:uid="{00000000-0005-0000-0000-0000787C0000}"/>
    <cellStyle name="Normal 5 10 2 14 2 4" xfId="31865" xr:uid="{00000000-0005-0000-0000-0000797C0000}"/>
    <cellStyle name="Normal 5 10 2 14 2 5" xfId="31866" xr:uid="{00000000-0005-0000-0000-00007A7C0000}"/>
    <cellStyle name="Normal 5 10 2 14 2 6" xfId="31867" xr:uid="{00000000-0005-0000-0000-00007B7C0000}"/>
    <cellStyle name="Normal 5 10 2 14 2 7" xfId="31868" xr:uid="{00000000-0005-0000-0000-00007C7C0000}"/>
    <cellStyle name="Normal 5 10 2 14 2 8" xfId="31869" xr:uid="{00000000-0005-0000-0000-00007D7C0000}"/>
    <cellStyle name="Normal 5 10 2 14 2 9" xfId="31870" xr:uid="{00000000-0005-0000-0000-00007E7C0000}"/>
    <cellStyle name="Normal 5 10 2 14 3" xfId="31871" xr:uid="{00000000-0005-0000-0000-00007F7C0000}"/>
    <cellStyle name="Normal 5 10 2 14 3 10" xfId="31872" xr:uid="{00000000-0005-0000-0000-0000807C0000}"/>
    <cellStyle name="Normal 5 10 2 14 3 2" xfId="31873" xr:uid="{00000000-0005-0000-0000-0000817C0000}"/>
    <cellStyle name="Normal 5 10 2 14 3 3" xfId="31874" xr:uid="{00000000-0005-0000-0000-0000827C0000}"/>
    <cellStyle name="Normal 5 10 2 14 3 4" xfId="31875" xr:uid="{00000000-0005-0000-0000-0000837C0000}"/>
    <cellStyle name="Normal 5 10 2 14 3 5" xfId="31876" xr:uid="{00000000-0005-0000-0000-0000847C0000}"/>
    <cellStyle name="Normal 5 10 2 14 3 6" xfId="31877" xr:uid="{00000000-0005-0000-0000-0000857C0000}"/>
    <cellStyle name="Normal 5 10 2 14 3 7" xfId="31878" xr:uid="{00000000-0005-0000-0000-0000867C0000}"/>
    <cellStyle name="Normal 5 10 2 14 3 8" xfId="31879" xr:uid="{00000000-0005-0000-0000-0000877C0000}"/>
    <cellStyle name="Normal 5 10 2 14 3 9" xfId="31880" xr:uid="{00000000-0005-0000-0000-0000887C0000}"/>
    <cellStyle name="Normal 5 10 2 14 4" xfId="31881" xr:uid="{00000000-0005-0000-0000-0000897C0000}"/>
    <cellStyle name="Normal 5 10 2 14 4 10" xfId="31882" xr:uid="{00000000-0005-0000-0000-00008A7C0000}"/>
    <cellStyle name="Normal 5 10 2 14 4 2" xfId="31883" xr:uid="{00000000-0005-0000-0000-00008B7C0000}"/>
    <cellStyle name="Normal 5 10 2 14 4 3" xfId="31884" xr:uid="{00000000-0005-0000-0000-00008C7C0000}"/>
    <cellStyle name="Normal 5 10 2 14 4 4" xfId="31885" xr:uid="{00000000-0005-0000-0000-00008D7C0000}"/>
    <cellStyle name="Normal 5 10 2 14 4 5" xfId="31886" xr:uid="{00000000-0005-0000-0000-00008E7C0000}"/>
    <cellStyle name="Normal 5 10 2 14 4 6" xfId="31887" xr:uid="{00000000-0005-0000-0000-00008F7C0000}"/>
    <cellStyle name="Normal 5 10 2 14 4 7" xfId="31888" xr:uid="{00000000-0005-0000-0000-0000907C0000}"/>
    <cellStyle name="Normal 5 10 2 14 4 8" xfId="31889" xr:uid="{00000000-0005-0000-0000-0000917C0000}"/>
    <cellStyle name="Normal 5 10 2 14 4 9" xfId="31890" xr:uid="{00000000-0005-0000-0000-0000927C0000}"/>
    <cellStyle name="Normal 5 10 2 14 5" xfId="31891" xr:uid="{00000000-0005-0000-0000-0000937C0000}"/>
    <cellStyle name="Normal 5 10 2 14 5 10" xfId="31892" xr:uid="{00000000-0005-0000-0000-0000947C0000}"/>
    <cellStyle name="Normal 5 10 2 14 5 2" xfId="31893" xr:uid="{00000000-0005-0000-0000-0000957C0000}"/>
    <cellStyle name="Normal 5 10 2 14 5 3" xfId="31894" xr:uid="{00000000-0005-0000-0000-0000967C0000}"/>
    <cellStyle name="Normal 5 10 2 14 5 4" xfId="31895" xr:uid="{00000000-0005-0000-0000-0000977C0000}"/>
    <cellStyle name="Normal 5 10 2 14 5 5" xfId="31896" xr:uid="{00000000-0005-0000-0000-0000987C0000}"/>
    <cellStyle name="Normal 5 10 2 14 5 6" xfId="31897" xr:uid="{00000000-0005-0000-0000-0000997C0000}"/>
    <cellStyle name="Normal 5 10 2 14 5 7" xfId="31898" xr:uid="{00000000-0005-0000-0000-00009A7C0000}"/>
    <cellStyle name="Normal 5 10 2 14 5 8" xfId="31899" xr:uid="{00000000-0005-0000-0000-00009B7C0000}"/>
    <cellStyle name="Normal 5 10 2 14 5 9" xfId="31900" xr:uid="{00000000-0005-0000-0000-00009C7C0000}"/>
    <cellStyle name="Normal 5 10 2 14 6" xfId="31901" xr:uid="{00000000-0005-0000-0000-00009D7C0000}"/>
    <cellStyle name="Normal 5 10 2 14 7" xfId="31902" xr:uid="{00000000-0005-0000-0000-00009E7C0000}"/>
    <cellStyle name="Normal 5 10 2 14 8" xfId="31903" xr:uid="{00000000-0005-0000-0000-00009F7C0000}"/>
    <cellStyle name="Normal 5 10 2 14 9" xfId="31904" xr:uid="{00000000-0005-0000-0000-0000A07C0000}"/>
    <cellStyle name="Normal 5 10 2 15" xfId="31905" xr:uid="{00000000-0005-0000-0000-0000A17C0000}"/>
    <cellStyle name="Normal 5 10 2 15 10" xfId="31906" xr:uid="{00000000-0005-0000-0000-0000A27C0000}"/>
    <cellStyle name="Normal 5 10 2 15 11" xfId="31907" xr:uid="{00000000-0005-0000-0000-0000A37C0000}"/>
    <cellStyle name="Normal 5 10 2 15 12" xfId="31908" xr:uid="{00000000-0005-0000-0000-0000A47C0000}"/>
    <cellStyle name="Normal 5 10 2 15 13" xfId="31909" xr:uid="{00000000-0005-0000-0000-0000A57C0000}"/>
    <cellStyle name="Normal 5 10 2 15 14" xfId="31910" xr:uid="{00000000-0005-0000-0000-0000A67C0000}"/>
    <cellStyle name="Normal 5 10 2 15 2" xfId="31911" xr:uid="{00000000-0005-0000-0000-0000A77C0000}"/>
    <cellStyle name="Normal 5 10 2 15 2 10" xfId="31912" xr:uid="{00000000-0005-0000-0000-0000A87C0000}"/>
    <cellStyle name="Normal 5 10 2 15 2 2" xfId="31913" xr:uid="{00000000-0005-0000-0000-0000A97C0000}"/>
    <cellStyle name="Normal 5 10 2 15 2 3" xfId="31914" xr:uid="{00000000-0005-0000-0000-0000AA7C0000}"/>
    <cellStyle name="Normal 5 10 2 15 2 4" xfId="31915" xr:uid="{00000000-0005-0000-0000-0000AB7C0000}"/>
    <cellStyle name="Normal 5 10 2 15 2 5" xfId="31916" xr:uid="{00000000-0005-0000-0000-0000AC7C0000}"/>
    <cellStyle name="Normal 5 10 2 15 2 6" xfId="31917" xr:uid="{00000000-0005-0000-0000-0000AD7C0000}"/>
    <cellStyle name="Normal 5 10 2 15 2 7" xfId="31918" xr:uid="{00000000-0005-0000-0000-0000AE7C0000}"/>
    <cellStyle name="Normal 5 10 2 15 2 8" xfId="31919" xr:uid="{00000000-0005-0000-0000-0000AF7C0000}"/>
    <cellStyle name="Normal 5 10 2 15 2 9" xfId="31920" xr:uid="{00000000-0005-0000-0000-0000B07C0000}"/>
    <cellStyle name="Normal 5 10 2 15 3" xfId="31921" xr:uid="{00000000-0005-0000-0000-0000B17C0000}"/>
    <cellStyle name="Normal 5 10 2 15 3 10" xfId="31922" xr:uid="{00000000-0005-0000-0000-0000B27C0000}"/>
    <cellStyle name="Normal 5 10 2 15 3 2" xfId="31923" xr:uid="{00000000-0005-0000-0000-0000B37C0000}"/>
    <cellStyle name="Normal 5 10 2 15 3 3" xfId="31924" xr:uid="{00000000-0005-0000-0000-0000B47C0000}"/>
    <cellStyle name="Normal 5 10 2 15 3 4" xfId="31925" xr:uid="{00000000-0005-0000-0000-0000B57C0000}"/>
    <cellStyle name="Normal 5 10 2 15 3 5" xfId="31926" xr:uid="{00000000-0005-0000-0000-0000B67C0000}"/>
    <cellStyle name="Normal 5 10 2 15 3 6" xfId="31927" xr:uid="{00000000-0005-0000-0000-0000B77C0000}"/>
    <cellStyle name="Normal 5 10 2 15 3 7" xfId="31928" xr:uid="{00000000-0005-0000-0000-0000B87C0000}"/>
    <cellStyle name="Normal 5 10 2 15 3 8" xfId="31929" xr:uid="{00000000-0005-0000-0000-0000B97C0000}"/>
    <cellStyle name="Normal 5 10 2 15 3 9" xfId="31930" xr:uid="{00000000-0005-0000-0000-0000BA7C0000}"/>
    <cellStyle name="Normal 5 10 2 15 4" xfId="31931" xr:uid="{00000000-0005-0000-0000-0000BB7C0000}"/>
    <cellStyle name="Normal 5 10 2 15 4 10" xfId="31932" xr:uid="{00000000-0005-0000-0000-0000BC7C0000}"/>
    <cellStyle name="Normal 5 10 2 15 4 2" xfId="31933" xr:uid="{00000000-0005-0000-0000-0000BD7C0000}"/>
    <cellStyle name="Normal 5 10 2 15 4 3" xfId="31934" xr:uid="{00000000-0005-0000-0000-0000BE7C0000}"/>
    <cellStyle name="Normal 5 10 2 15 4 4" xfId="31935" xr:uid="{00000000-0005-0000-0000-0000BF7C0000}"/>
    <cellStyle name="Normal 5 10 2 15 4 5" xfId="31936" xr:uid="{00000000-0005-0000-0000-0000C07C0000}"/>
    <cellStyle name="Normal 5 10 2 15 4 6" xfId="31937" xr:uid="{00000000-0005-0000-0000-0000C17C0000}"/>
    <cellStyle name="Normal 5 10 2 15 4 7" xfId="31938" xr:uid="{00000000-0005-0000-0000-0000C27C0000}"/>
    <cellStyle name="Normal 5 10 2 15 4 8" xfId="31939" xr:uid="{00000000-0005-0000-0000-0000C37C0000}"/>
    <cellStyle name="Normal 5 10 2 15 4 9" xfId="31940" xr:uid="{00000000-0005-0000-0000-0000C47C0000}"/>
    <cellStyle name="Normal 5 10 2 15 5" xfId="31941" xr:uid="{00000000-0005-0000-0000-0000C57C0000}"/>
    <cellStyle name="Normal 5 10 2 15 5 10" xfId="31942" xr:uid="{00000000-0005-0000-0000-0000C67C0000}"/>
    <cellStyle name="Normal 5 10 2 15 5 2" xfId="31943" xr:uid="{00000000-0005-0000-0000-0000C77C0000}"/>
    <cellStyle name="Normal 5 10 2 15 5 3" xfId="31944" xr:uid="{00000000-0005-0000-0000-0000C87C0000}"/>
    <cellStyle name="Normal 5 10 2 15 5 4" xfId="31945" xr:uid="{00000000-0005-0000-0000-0000C97C0000}"/>
    <cellStyle name="Normal 5 10 2 15 5 5" xfId="31946" xr:uid="{00000000-0005-0000-0000-0000CA7C0000}"/>
    <cellStyle name="Normal 5 10 2 15 5 6" xfId="31947" xr:uid="{00000000-0005-0000-0000-0000CB7C0000}"/>
    <cellStyle name="Normal 5 10 2 15 5 7" xfId="31948" xr:uid="{00000000-0005-0000-0000-0000CC7C0000}"/>
    <cellStyle name="Normal 5 10 2 15 5 8" xfId="31949" xr:uid="{00000000-0005-0000-0000-0000CD7C0000}"/>
    <cellStyle name="Normal 5 10 2 15 5 9" xfId="31950" xr:uid="{00000000-0005-0000-0000-0000CE7C0000}"/>
    <cellStyle name="Normal 5 10 2 15 6" xfId="31951" xr:uid="{00000000-0005-0000-0000-0000CF7C0000}"/>
    <cellStyle name="Normal 5 10 2 15 7" xfId="31952" xr:uid="{00000000-0005-0000-0000-0000D07C0000}"/>
    <cellStyle name="Normal 5 10 2 15 8" xfId="31953" xr:uid="{00000000-0005-0000-0000-0000D17C0000}"/>
    <cellStyle name="Normal 5 10 2 15 9" xfId="31954" xr:uid="{00000000-0005-0000-0000-0000D27C0000}"/>
    <cellStyle name="Normal 5 10 2 16" xfId="31955" xr:uid="{00000000-0005-0000-0000-0000D37C0000}"/>
    <cellStyle name="Normal 5 10 2 16 10" xfId="31956" xr:uid="{00000000-0005-0000-0000-0000D47C0000}"/>
    <cellStyle name="Normal 5 10 2 16 11" xfId="31957" xr:uid="{00000000-0005-0000-0000-0000D57C0000}"/>
    <cellStyle name="Normal 5 10 2 16 12" xfId="31958" xr:uid="{00000000-0005-0000-0000-0000D67C0000}"/>
    <cellStyle name="Normal 5 10 2 16 13" xfId="31959" xr:uid="{00000000-0005-0000-0000-0000D77C0000}"/>
    <cellStyle name="Normal 5 10 2 16 14" xfId="31960" xr:uid="{00000000-0005-0000-0000-0000D87C0000}"/>
    <cellStyle name="Normal 5 10 2 16 2" xfId="31961" xr:uid="{00000000-0005-0000-0000-0000D97C0000}"/>
    <cellStyle name="Normal 5 10 2 16 2 10" xfId="31962" xr:uid="{00000000-0005-0000-0000-0000DA7C0000}"/>
    <cellStyle name="Normal 5 10 2 16 2 2" xfId="31963" xr:uid="{00000000-0005-0000-0000-0000DB7C0000}"/>
    <cellStyle name="Normal 5 10 2 16 2 3" xfId="31964" xr:uid="{00000000-0005-0000-0000-0000DC7C0000}"/>
    <cellStyle name="Normal 5 10 2 16 2 4" xfId="31965" xr:uid="{00000000-0005-0000-0000-0000DD7C0000}"/>
    <cellStyle name="Normal 5 10 2 16 2 5" xfId="31966" xr:uid="{00000000-0005-0000-0000-0000DE7C0000}"/>
    <cellStyle name="Normal 5 10 2 16 2 6" xfId="31967" xr:uid="{00000000-0005-0000-0000-0000DF7C0000}"/>
    <cellStyle name="Normal 5 10 2 16 2 7" xfId="31968" xr:uid="{00000000-0005-0000-0000-0000E07C0000}"/>
    <cellStyle name="Normal 5 10 2 16 2 8" xfId="31969" xr:uid="{00000000-0005-0000-0000-0000E17C0000}"/>
    <cellStyle name="Normal 5 10 2 16 2 9" xfId="31970" xr:uid="{00000000-0005-0000-0000-0000E27C0000}"/>
    <cellStyle name="Normal 5 10 2 16 3" xfId="31971" xr:uid="{00000000-0005-0000-0000-0000E37C0000}"/>
    <cellStyle name="Normal 5 10 2 16 3 10" xfId="31972" xr:uid="{00000000-0005-0000-0000-0000E47C0000}"/>
    <cellStyle name="Normal 5 10 2 16 3 2" xfId="31973" xr:uid="{00000000-0005-0000-0000-0000E57C0000}"/>
    <cellStyle name="Normal 5 10 2 16 3 3" xfId="31974" xr:uid="{00000000-0005-0000-0000-0000E67C0000}"/>
    <cellStyle name="Normal 5 10 2 16 3 4" xfId="31975" xr:uid="{00000000-0005-0000-0000-0000E77C0000}"/>
    <cellStyle name="Normal 5 10 2 16 3 5" xfId="31976" xr:uid="{00000000-0005-0000-0000-0000E87C0000}"/>
    <cellStyle name="Normal 5 10 2 16 3 6" xfId="31977" xr:uid="{00000000-0005-0000-0000-0000E97C0000}"/>
    <cellStyle name="Normal 5 10 2 16 3 7" xfId="31978" xr:uid="{00000000-0005-0000-0000-0000EA7C0000}"/>
    <cellStyle name="Normal 5 10 2 16 3 8" xfId="31979" xr:uid="{00000000-0005-0000-0000-0000EB7C0000}"/>
    <cellStyle name="Normal 5 10 2 16 3 9" xfId="31980" xr:uid="{00000000-0005-0000-0000-0000EC7C0000}"/>
    <cellStyle name="Normal 5 10 2 16 4" xfId="31981" xr:uid="{00000000-0005-0000-0000-0000ED7C0000}"/>
    <cellStyle name="Normal 5 10 2 16 4 10" xfId="31982" xr:uid="{00000000-0005-0000-0000-0000EE7C0000}"/>
    <cellStyle name="Normal 5 10 2 16 4 2" xfId="31983" xr:uid="{00000000-0005-0000-0000-0000EF7C0000}"/>
    <cellStyle name="Normal 5 10 2 16 4 3" xfId="31984" xr:uid="{00000000-0005-0000-0000-0000F07C0000}"/>
    <cellStyle name="Normal 5 10 2 16 4 4" xfId="31985" xr:uid="{00000000-0005-0000-0000-0000F17C0000}"/>
    <cellStyle name="Normal 5 10 2 16 4 5" xfId="31986" xr:uid="{00000000-0005-0000-0000-0000F27C0000}"/>
    <cellStyle name="Normal 5 10 2 16 4 6" xfId="31987" xr:uid="{00000000-0005-0000-0000-0000F37C0000}"/>
    <cellStyle name="Normal 5 10 2 16 4 7" xfId="31988" xr:uid="{00000000-0005-0000-0000-0000F47C0000}"/>
    <cellStyle name="Normal 5 10 2 16 4 8" xfId="31989" xr:uid="{00000000-0005-0000-0000-0000F57C0000}"/>
    <cellStyle name="Normal 5 10 2 16 4 9" xfId="31990" xr:uid="{00000000-0005-0000-0000-0000F67C0000}"/>
    <cellStyle name="Normal 5 10 2 16 5" xfId="31991" xr:uid="{00000000-0005-0000-0000-0000F77C0000}"/>
    <cellStyle name="Normal 5 10 2 16 5 10" xfId="31992" xr:uid="{00000000-0005-0000-0000-0000F87C0000}"/>
    <cellStyle name="Normal 5 10 2 16 5 2" xfId="31993" xr:uid="{00000000-0005-0000-0000-0000F97C0000}"/>
    <cellStyle name="Normal 5 10 2 16 5 3" xfId="31994" xr:uid="{00000000-0005-0000-0000-0000FA7C0000}"/>
    <cellStyle name="Normal 5 10 2 16 5 4" xfId="31995" xr:uid="{00000000-0005-0000-0000-0000FB7C0000}"/>
    <cellStyle name="Normal 5 10 2 16 5 5" xfId="31996" xr:uid="{00000000-0005-0000-0000-0000FC7C0000}"/>
    <cellStyle name="Normal 5 10 2 16 5 6" xfId="31997" xr:uid="{00000000-0005-0000-0000-0000FD7C0000}"/>
    <cellStyle name="Normal 5 10 2 16 5 7" xfId="31998" xr:uid="{00000000-0005-0000-0000-0000FE7C0000}"/>
    <cellStyle name="Normal 5 10 2 16 5 8" xfId="31999" xr:uid="{00000000-0005-0000-0000-0000FF7C0000}"/>
    <cellStyle name="Normal 5 10 2 16 5 9" xfId="32000" xr:uid="{00000000-0005-0000-0000-0000007D0000}"/>
    <cellStyle name="Normal 5 10 2 16 6" xfId="32001" xr:uid="{00000000-0005-0000-0000-0000017D0000}"/>
    <cellStyle name="Normal 5 10 2 16 7" xfId="32002" xr:uid="{00000000-0005-0000-0000-0000027D0000}"/>
    <cellStyle name="Normal 5 10 2 16 8" xfId="32003" xr:uid="{00000000-0005-0000-0000-0000037D0000}"/>
    <cellStyle name="Normal 5 10 2 16 9" xfId="32004" xr:uid="{00000000-0005-0000-0000-0000047D0000}"/>
    <cellStyle name="Normal 5 10 2 17" xfId="32005" xr:uid="{00000000-0005-0000-0000-0000057D0000}"/>
    <cellStyle name="Normal 5 10 2 17 10" xfId="32006" xr:uid="{00000000-0005-0000-0000-0000067D0000}"/>
    <cellStyle name="Normal 5 10 2 17 11" xfId="32007" xr:uid="{00000000-0005-0000-0000-0000077D0000}"/>
    <cellStyle name="Normal 5 10 2 17 12" xfId="32008" xr:uid="{00000000-0005-0000-0000-0000087D0000}"/>
    <cellStyle name="Normal 5 10 2 17 13" xfId="32009" xr:uid="{00000000-0005-0000-0000-0000097D0000}"/>
    <cellStyle name="Normal 5 10 2 17 14" xfId="32010" xr:uid="{00000000-0005-0000-0000-00000A7D0000}"/>
    <cellStyle name="Normal 5 10 2 17 2" xfId="32011" xr:uid="{00000000-0005-0000-0000-00000B7D0000}"/>
    <cellStyle name="Normal 5 10 2 17 2 10" xfId="32012" xr:uid="{00000000-0005-0000-0000-00000C7D0000}"/>
    <cellStyle name="Normal 5 10 2 17 2 2" xfId="32013" xr:uid="{00000000-0005-0000-0000-00000D7D0000}"/>
    <cellStyle name="Normal 5 10 2 17 2 3" xfId="32014" xr:uid="{00000000-0005-0000-0000-00000E7D0000}"/>
    <cellStyle name="Normal 5 10 2 17 2 4" xfId="32015" xr:uid="{00000000-0005-0000-0000-00000F7D0000}"/>
    <cellStyle name="Normal 5 10 2 17 2 5" xfId="32016" xr:uid="{00000000-0005-0000-0000-0000107D0000}"/>
    <cellStyle name="Normal 5 10 2 17 2 6" xfId="32017" xr:uid="{00000000-0005-0000-0000-0000117D0000}"/>
    <cellStyle name="Normal 5 10 2 17 2 7" xfId="32018" xr:uid="{00000000-0005-0000-0000-0000127D0000}"/>
    <cellStyle name="Normal 5 10 2 17 2 8" xfId="32019" xr:uid="{00000000-0005-0000-0000-0000137D0000}"/>
    <cellStyle name="Normal 5 10 2 17 2 9" xfId="32020" xr:uid="{00000000-0005-0000-0000-0000147D0000}"/>
    <cellStyle name="Normal 5 10 2 17 3" xfId="32021" xr:uid="{00000000-0005-0000-0000-0000157D0000}"/>
    <cellStyle name="Normal 5 10 2 17 3 10" xfId="32022" xr:uid="{00000000-0005-0000-0000-0000167D0000}"/>
    <cellStyle name="Normal 5 10 2 17 3 2" xfId="32023" xr:uid="{00000000-0005-0000-0000-0000177D0000}"/>
    <cellStyle name="Normal 5 10 2 17 3 3" xfId="32024" xr:uid="{00000000-0005-0000-0000-0000187D0000}"/>
    <cellStyle name="Normal 5 10 2 17 3 4" xfId="32025" xr:uid="{00000000-0005-0000-0000-0000197D0000}"/>
    <cellStyle name="Normal 5 10 2 17 3 5" xfId="32026" xr:uid="{00000000-0005-0000-0000-00001A7D0000}"/>
    <cellStyle name="Normal 5 10 2 17 3 6" xfId="32027" xr:uid="{00000000-0005-0000-0000-00001B7D0000}"/>
    <cellStyle name="Normal 5 10 2 17 3 7" xfId="32028" xr:uid="{00000000-0005-0000-0000-00001C7D0000}"/>
    <cellStyle name="Normal 5 10 2 17 3 8" xfId="32029" xr:uid="{00000000-0005-0000-0000-00001D7D0000}"/>
    <cellStyle name="Normal 5 10 2 17 3 9" xfId="32030" xr:uid="{00000000-0005-0000-0000-00001E7D0000}"/>
    <cellStyle name="Normal 5 10 2 17 4" xfId="32031" xr:uid="{00000000-0005-0000-0000-00001F7D0000}"/>
    <cellStyle name="Normal 5 10 2 17 4 10" xfId="32032" xr:uid="{00000000-0005-0000-0000-0000207D0000}"/>
    <cellStyle name="Normal 5 10 2 17 4 2" xfId="32033" xr:uid="{00000000-0005-0000-0000-0000217D0000}"/>
    <cellStyle name="Normal 5 10 2 17 4 3" xfId="32034" xr:uid="{00000000-0005-0000-0000-0000227D0000}"/>
    <cellStyle name="Normal 5 10 2 17 4 4" xfId="32035" xr:uid="{00000000-0005-0000-0000-0000237D0000}"/>
    <cellStyle name="Normal 5 10 2 17 4 5" xfId="32036" xr:uid="{00000000-0005-0000-0000-0000247D0000}"/>
    <cellStyle name="Normal 5 10 2 17 4 6" xfId="32037" xr:uid="{00000000-0005-0000-0000-0000257D0000}"/>
    <cellStyle name="Normal 5 10 2 17 4 7" xfId="32038" xr:uid="{00000000-0005-0000-0000-0000267D0000}"/>
    <cellStyle name="Normal 5 10 2 17 4 8" xfId="32039" xr:uid="{00000000-0005-0000-0000-0000277D0000}"/>
    <cellStyle name="Normal 5 10 2 17 4 9" xfId="32040" xr:uid="{00000000-0005-0000-0000-0000287D0000}"/>
    <cellStyle name="Normal 5 10 2 17 5" xfId="32041" xr:uid="{00000000-0005-0000-0000-0000297D0000}"/>
    <cellStyle name="Normal 5 10 2 17 5 10" xfId="32042" xr:uid="{00000000-0005-0000-0000-00002A7D0000}"/>
    <cellStyle name="Normal 5 10 2 17 5 2" xfId="32043" xr:uid="{00000000-0005-0000-0000-00002B7D0000}"/>
    <cellStyle name="Normal 5 10 2 17 5 3" xfId="32044" xr:uid="{00000000-0005-0000-0000-00002C7D0000}"/>
    <cellStyle name="Normal 5 10 2 17 5 4" xfId="32045" xr:uid="{00000000-0005-0000-0000-00002D7D0000}"/>
    <cellStyle name="Normal 5 10 2 17 5 5" xfId="32046" xr:uid="{00000000-0005-0000-0000-00002E7D0000}"/>
    <cellStyle name="Normal 5 10 2 17 5 6" xfId="32047" xr:uid="{00000000-0005-0000-0000-00002F7D0000}"/>
    <cellStyle name="Normal 5 10 2 17 5 7" xfId="32048" xr:uid="{00000000-0005-0000-0000-0000307D0000}"/>
    <cellStyle name="Normal 5 10 2 17 5 8" xfId="32049" xr:uid="{00000000-0005-0000-0000-0000317D0000}"/>
    <cellStyle name="Normal 5 10 2 17 5 9" xfId="32050" xr:uid="{00000000-0005-0000-0000-0000327D0000}"/>
    <cellStyle name="Normal 5 10 2 17 6" xfId="32051" xr:uid="{00000000-0005-0000-0000-0000337D0000}"/>
    <cellStyle name="Normal 5 10 2 17 7" xfId="32052" xr:uid="{00000000-0005-0000-0000-0000347D0000}"/>
    <cellStyle name="Normal 5 10 2 17 8" xfId="32053" xr:uid="{00000000-0005-0000-0000-0000357D0000}"/>
    <cellStyle name="Normal 5 10 2 17 9" xfId="32054" xr:uid="{00000000-0005-0000-0000-0000367D0000}"/>
    <cellStyle name="Normal 5 10 2 18" xfId="32055" xr:uid="{00000000-0005-0000-0000-0000377D0000}"/>
    <cellStyle name="Normal 5 10 2 18 10" xfId="32056" xr:uid="{00000000-0005-0000-0000-0000387D0000}"/>
    <cellStyle name="Normal 5 10 2 18 11" xfId="32057" xr:uid="{00000000-0005-0000-0000-0000397D0000}"/>
    <cellStyle name="Normal 5 10 2 18 12" xfId="32058" xr:uid="{00000000-0005-0000-0000-00003A7D0000}"/>
    <cellStyle name="Normal 5 10 2 18 13" xfId="32059" xr:uid="{00000000-0005-0000-0000-00003B7D0000}"/>
    <cellStyle name="Normal 5 10 2 18 14" xfId="32060" xr:uid="{00000000-0005-0000-0000-00003C7D0000}"/>
    <cellStyle name="Normal 5 10 2 18 2" xfId="32061" xr:uid="{00000000-0005-0000-0000-00003D7D0000}"/>
    <cellStyle name="Normal 5 10 2 18 2 10" xfId="32062" xr:uid="{00000000-0005-0000-0000-00003E7D0000}"/>
    <cellStyle name="Normal 5 10 2 18 2 2" xfId="32063" xr:uid="{00000000-0005-0000-0000-00003F7D0000}"/>
    <cellStyle name="Normal 5 10 2 18 2 3" xfId="32064" xr:uid="{00000000-0005-0000-0000-0000407D0000}"/>
    <cellStyle name="Normal 5 10 2 18 2 4" xfId="32065" xr:uid="{00000000-0005-0000-0000-0000417D0000}"/>
    <cellStyle name="Normal 5 10 2 18 2 5" xfId="32066" xr:uid="{00000000-0005-0000-0000-0000427D0000}"/>
    <cellStyle name="Normal 5 10 2 18 2 6" xfId="32067" xr:uid="{00000000-0005-0000-0000-0000437D0000}"/>
    <cellStyle name="Normal 5 10 2 18 2 7" xfId="32068" xr:uid="{00000000-0005-0000-0000-0000447D0000}"/>
    <cellStyle name="Normal 5 10 2 18 2 8" xfId="32069" xr:uid="{00000000-0005-0000-0000-0000457D0000}"/>
    <cellStyle name="Normal 5 10 2 18 2 9" xfId="32070" xr:uid="{00000000-0005-0000-0000-0000467D0000}"/>
    <cellStyle name="Normal 5 10 2 18 3" xfId="32071" xr:uid="{00000000-0005-0000-0000-0000477D0000}"/>
    <cellStyle name="Normal 5 10 2 18 3 10" xfId="32072" xr:uid="{00000000-0005-0000-0000-0000487D0000}"/>
    <cellStyle name="Normal 5 10 2 18 3 2" xfId="32073" xr:uid="{00000000-0005-0000-0000-0000497D0000}"/>
    <cellStyle name="Normal 5 10 2 18 3 3" xfId="32074" xr:uid="{00000000-0005-0000-0000-00004A7D0000}"/>
    <cellStyle name="Normal 5 10 2 18 3 4" xfId="32075" xr:uid="{00000000-0005-0000-0000-00004B7D0000}"/>
    <cellStyle name="Normal 5 10 2 18 3 5" xfId="32076" xr:uid="{00000000-0005-0000-0000-00004C7D0000}"/>
    <cellStyle name="Normal 5 10 2 18 3 6" xfId="32077" xr:uid="{00000000-0005-0000-0000-00004D7D0000}"/>
    <cellStyle name="Normal 5 10 2 18 3 7" xfId="32078" xr:uid="{00000000-0005-0000-0000-00004E7D0000}"/>
    <cellStyle name="Normal 5 10 2 18 3 8" xfId="32079" xr:uid="{00000000-0005-0000-0000-00004F7D0000}"/>
    <cellStyle name="Normal 5 10 2 18 3 9" xfId="32080" xr:uid="{00000000-0005-0000-0000-0000507D0000}"/>
    <cellStyle name="Normal 5 10 2 18 4" xfId="32081" xr:uid="{00000000-0005-0000-0000-0000517D0000}"/>
    <cellStyle name="Normal 5 10 2 18 4 10" xfId="32082" xr:uid="{00000000-0005-0000-0000-0000527D0000}"/>
    <cellStyle name="Normal 5 10 2 18 4 2" xfId="32083" xr:uid="{00000000-0005-0000-0000-0000537D0000}"/>
    <cellStyle name="Normal 5 10 2 18 4 3" xfId="32084" xr:uid="{00000000-0005-0000-0000-0000547D0000}"/>
    <cellStyle name="Normal 5 10 2 18 4 4" xfId="32085" xr:uid="{00000000-0005-0000-0000-0000557D0000}"/>
    <cellStyle name="Normal 5 10 2 18 4 5" xfId="32086" xr:uid="{00000000-0005-0000-0000-0000567D0000}"/>
    <cellStyle name="Normal 5 10 2 18 4 6" xfId="32087" xr:uid="{00000000-0005-0000-0000-0000577D0000}"/>
    <cellStyle name="Normal 5 10 2 18 4 7" xfId="32088" xr:uid="{00000000-0005-0000-0000-0000587D0000}"/>
    <cellStyle name="Normal 5 10 2 18 4 8" xfId="32089" xr:uid="{00000000-0005-0000-0000-0000597D0000}"/>
    <cellStyle name="Normal 5 10 2 18 4 9" xfId="32090" xr:uid="{00000000-0005-0000-0000-00005A7D0000}"/>
    <cellStyle name="Normal 5 10 2 18 5" xfId="32091" xr:uid="{00000000-0005-0000-0000-00005B7D0000}"/>
    <cellStyle name="Normal 5 10 2 18 5 10" xfId="32092" xr:uid="{00000000-0005-0000-0000-00005C7D0000}"/>
    <cellStyle name="Normal 5 10 2 18 5 2" xfId="32093" xr:uid="{00000000-0005-0000-0000-00005D7D0000}"/>
    <cellStyle name="Normal 5 10 2 18 5 3" xfId="32094" xr:uid="{00000000-0005-0000-0000-00005E7D0000}"/>
    <cellStyle name="Normal 5 10 2 18 5 4" xfId="32095" xr:uid="{00000000-0005-0000-0000-00005F7D0000}"/>
    <cellStyle name="Normal 5 10 2 18 5 5" xfId="32096" xr:uid="{00000000-0005-0000-0000-0000607D0000}"/>
    <cellStyle name="Normal 5 10 2 18 5 6" xfId="32097" xr:uid="{00000000-0005-0000-0000-0000617D0000}"/>
    <cellStyle name="Normal 5 10 2 18 5 7" xfId="32098" xr:uid="{00000000-0005-0000-0000-0000627D0000}"/>
    <cellStyle name="Normal 5 10 2 18 5 8" xfId="32099" xr:uid="{00000000-0005-0000-0000-0000637D0000}"/>
    <cellStyle name="Normal 5 10 2 18 5 9" xfId="32100" xr:uid="{00000000-0005-0000-0000-0000647D0000}"/>
    <cellStyle name="Normal 5 10 2 18 6" xfId="32101" xr:uid="{00000000-0005-0000-0000-0000657D0000}"/>
    <cellStyle name="Normal 5 10 2 18 7" xfId="32102" xr:uid="{00000000-0005-0000-0000-0000667D0000}"/>
    <cellStyle name="Normal 5 10 2 18 8" xfId="32103" xr:uid="{00000000-0005-0000-0000-0000677D0000}"/>
    <cellStyle name="Normal 5 10 2 18 9" xfId="32104" xr:uid="{00000000-0005-0000-0000-0000687D0000}"/>
    <cellStyle name="Normal 5 10 2 19" xfId="32105" xr:uid="{00000000-0005-0000-0000-0000697D0000}"/>
    <cellStyle name="Normal 5 10 2 19 10" xfId="32106" xr:uid="{00000000-0005-0000-0000-00006A7D0000}"/>
    <cellStyle name="Normal 5 10 2 19 11" xfId="32107" xr:uid="{00000000-0005-0000-0000-00006B7D0000}"/>
    <cellStyle name="Normal 5 10 2 19 12" xfId="32108" xr:uid="{00000000-0005-0000-0000-00006C7D0000}"/>
    <cellStyle name="Normal 5 10 2 19 13" xfId="32109" xr:uid="{00000000-0005-0000-0000-00006D7D0000}"/>
    <cellStyle name="Normal 5 10 2 19 14" xfId="32110" xr:uid="{00000000-0005-0000-0000-00006E7D0000}"/>
    <cellStyle name="Normal 5 10 2 19 2" xfId="32111" xr:uid="{00000000-0005-0000-0000-00006F7D0000}"/>
    <cellStyle name="Normal 5 10 2 19 2 10" xfId="32112" xr:uid="{00000000-0005-0000-0000-0000707D0000}"/>
    <cellStyle name="Normal 5 10 2 19 2 2" xfId="32113" xr:uid="{00000000-0005-0000-0000-0000717D0000}"/>
    <cellStyle name="Normal 5 10 2 19 2 3" xfId="32114" xr:uid="{00000000-0005-0000-0000-0000727D0000}"/>
    <cellStyle name="Normal 5 10 2 19 2 4" xfId="32115" xr:uid="{00000000-0005-0000-0000-0000737D0000}"/>
    <cellStyle name="Normal 5 10 2 19 2 5" xfId="32116" xr:uid="{00000000-0005-0000-0000-0000747D0000}"/>
    <cellStyle name="Normal 5 10 2 19 2 6" xfId="32117" xr:uid="{00000000-0005-0000-0000-0000757D0000}"/>
    <cellStyle name="Normal 5 10 2 19 2 7" xfId="32118" xr:uid="{00000000-0005-0000-0000-0000767D0000}"/>
    <cellStyle name="Normal 5 10 2 19 2 8" xfId="32119" xr:uid="{00000000-0005-0000-0000-0000777D0000}"/>
    <cellStyle name="Normal 5 10 2 19 2 9" xfId="32120" xr:uid="{00000000-0005-0000-0000-0000787D0000}"/>
    <cellStyle name="Normal 5 10 2 19 3" xfId="32121" xr:uid="{00000000-0005-0000-0000-0000797D0000}"/>
    <cellStyle name="Normal 5 10 2 19 3 10" xfId="32122" xr:uid="{00000000-0005-0000-0000-00007A7D0000}"/>
    <cellStyle name="Normal 5 10 2 19 3 2" xfId="32123" xr:uid="{00000000-0005-0000-0000-00007B7D0000}"/>
    <cellStyle name="Normal 5 10 2 19 3 3" xfId="32124" xr:uid="{00000000-0005-0000-0000-00007C7D0000}"/>
    <cellStyle name="Normal 5 10 2 19 3 4" xfId="32125" xr:uid="{00000000-0005-0000-0000-00007D7D0000}"/>
    <cellStyle name="Normal 5 10 2 19 3 5" xfId="32126" xr:uid="{00000000-0005-0000-0000-00007E7D0000}"/>
    <cellStyle name="Normal 5 10 2 19 3 6" xfId="32127" xr:uid="{00000000-0005-0000-0000-00007F7D0000}"/>
    <cellStyle name="Normal 5 10 2 19 3 7" xfId="32128" xr:uid="{00000000-0005-0000-0000-0000807D0000}"/>
    <cellStyle name="Normal 5 10 2 19 3 8" xfId="32129" xr:uid="{00000000-0005-0000-0000-0000817D0000}"/>
    <cellStyle name="Normal 5 10 2 19 3 9" xfId="32130" xr:uid="{00000000-0005-0000-0000-0000827D0000}"/>
    <cellStyle name="Normal 5 10 2 19 4" xfId="32131" xr:uid="{00000000-0005-0000-0000-0000837D0000}"/>
    <cellStyle name="Normal 5 10 2 19 4 10" xfId="32132" xr:uid="{00000000-0005-0000-0000-0000847D0000}"/>
    <cellStyle name="Normal 5 10 2 19 4 2" xfId="32133" xr:uid="{00000000-0005-0000-0000-0000857D0000}"/>
    <cellStyle name="Normal 5 10 2 19 4 3" xfId="32134" xr:uid="{00000000-0005-0000-0000-0000867D0000}"/>
    <cellStyle name="Normal 5 10 2 19 4 4" xfId="32135" xr:uid="{00000000-0005-0000-0000-0000877D0000}"/>
    <cellStyle name="Normal 5 10 2 19 4 5" xfId="32136" xr:uid="{00000000-0005-0000-0000-0000887D0000}"/>
    <cellStyle name="Normal 5 10 2 19 4 6" xfId="32137" xr:uid="{00000000-0005-0000-0000-0000897D0000}"/>
    <cellStyle name="Normal 5 10 2 19 4 7" xfId="32138" xr:uid="{00000000-0005-0000-0000-00008A7D0000}"/>
    <cellStyle name="Normal 5 10 2 19 4 8" xfId="32139" xr:uid="{00000000-0005-0000-0000-00008B7D0000}"/>
    <cellStyle name="Normal 5 10 2 19 4 9" xfId="32140" xr:uid="{00000000-0005-0000-0000-00008C7D0000}"/>
    <cellStyle name="Normal 5 10 2 19 5" xfId="32141" xr:uid="{00000000-0005-0000-0000-00008D7D0000}"/>
    <cellStyle name="Normal 5 10 2 19 5 10" xfId="32142" xr:uid="{00000000-0005-0000-0000-00008E7D0000}"/>
    <cellStyle name="Normal 5 10 2 19 5 2" xfId="32143" xr:uid="{00000000-0005-0000-0000-00008F7D0000}"/>
    <cellStyle name="Normal 5 10 2 19 5 3" xfId="32144" xr:uid="{00000000-0005-0000-0000-0000907D0000}"/>
    <cellStyle name="Normal 5 10 2 19 5 4" xfId="32145" xr:uid="{00000000-0005-0000-0000-0000917D0000}"/>
    <cellStyle name="Normal 5 10 2 19 5 5" xfId="32146" xr:uid="{00000000-0005-0000-0000-0000927D0000}"/>
    <cellStyle name="Normal 5 10 2 19 5 6" xfId="32147" xr:uid="{00000000-0005-0000-0000-0000937D0000}"/>
    <cellStyle name="Normal 5 10 2 19 5 7" xfId="32148" xr:uid="{00000000-0005-0000-0000-0000947D0000}"/>
    <cellStyle name="Normal 5 10 2 19 5 8" xfId="32149" xr:uid="{00000000-0005-0000-0000-0000957D0000}"/>
    <cellStyle name="Normal 5 10 2 19 5 9" xfId="32150" xr:uid="{00000000-0005-0000-0000-0000967D0000}"/>
    <cellStyle name="Normal 5 10 2 19 6" xfId="32151" xr:uid="{00000000-0005-0000-0000-0000977D0000}"/>
    <cellStyle name="Normal 5 10 2 19 7" xfId="32152" xr:uid="{00000000-0005-0000-0000-0000987D0000}"/>
    <cellStyle name="Normal 5 10 2 19 8" xfId="32153" xr:uid="{00000000-0005-0000-0000-0000997D0000}"/>
    <cellStyle name="Normal 5 10 2 19 9" xfId="32154" xr:uid="{00000000-0005-0000-0000-00009A7D0000}"/>
    <cellStyle name="Normal 5 10 2 2" xfId="32155" xr:uid="{00000000-0005-0000-0000-00009B7D0000}"/>
    <cellStyle name="Normal 5 10 2 2 10" xfId="32156" xr:uid="{00000000-0005-0000-0000-00009C7D0000}"/>
    <cellStyle name="Normal 5 10 2 2 11" xfId="32157" xr:uid="{00000000-0005-0000-0000-00009D7D0000}"/>
    <cellStyle name="Normal 5 10 2 2 12" xfId="32158" xr:uid="{00000000-0005-0000-0000-00009E7D0000}"/>
    <cellStyle name="Normal 5 10 2 2 13" xfId="32159" xr:uid="{00000000-0005-0000-0000-00009F7D0000}"/>
    <cellStyle name="Normal 5 10 2 2 14" xfId="32160" xr:uid="{00000000-0005-0000-0000-0000A07D0000}"/>
    <cellStyle name="Normal 5 10 2 2 15" xfId="32161" xr:uid="{00000000-0005-0000-0000-0000A17D0000}"/>
    <cellStyle name="Normal 5 10 2 2 16" xfId="32162" xr:uid="{00000000-0005-0000-0000-0000A27D0000}"/>
    <cellStyle name="Normal 5 10 2 2 2" xfId="32163" xr:uid="{00000000-0005-0000-0000-0000A37D0000}"/>
    <cellStyle name="Normal 5 10 2 2 2 10" xfId="32164" xr:uid="{00000000-0005-0000-0000-0000A47D0000}"/>
    <cellStyle name="Normal 5 10 2 2 2 2" xfId="32165" xr:uid="{00000000-0005-0000-0000-0000A57D0000}"/>
    <cellStyle name="Normal 5 10 2 2 2 3" xfId="32166" xr:uid="{00000000-0005-0000-0000-0000A67D0000}"/>
    <cellStyle name="Normal 5 10 2 2 2 4" xfId="32167" xr:uid="{00000000-0005-0000-0000-0000A77D0000}"/>
    <cellStyle name="Normal 5 10 2 2 2 5" xfId="32168" xr:uid="{00000000-0005-0000-0000-0000A87D0000}"/>
    <cellStyle name="Normal 5 10 2 2 2 6" xfId="32169" xr:uid="{00000000-0005-0000-0000-0000A97D0000}"/>
    <cellStyle name="Normal 5 10 2 2 2 7" xfId="32170" xr:uid="{00000000-0005-0000-0000-0000AA7D0000}"/>
    <cellStyle name="Normal 5 10 2 2 2 8" xfId="32171" xr:uid="{00000000-0005-0000-0000-0000AB7D0000}"/>
    <cellStyle name="Normal 5 10 2 2 2 9" xfId="32172" xr:uid="{00000000-0005-0000-0000-0000AC7D0000}"/>
    <cellStyle name="Normal 5 10 2 2 3" xfId="32173" xr:uid="{00000000-0005-0000-0000-0000AD7D0000}"/>
    <cellStyle name="Normal 5 10 2 2 3 10" xfId="32174" xr:uid="{00000000-0005-0000-0000-0000AE7D0000}"/>
    <cellStyle name="Normal 5 10 2 2 3 2" xfId="32175" xr:uid="{00000000-0005-0000-0000-0000AF7D0000}"/>
    <cellStyle name="Normal 5 10 2 2 3 3" xfId="32176" xr:uid="{00000000-0005-0000-0000-0000B07D0000}"/>
    <cellStyle name="Normal 5 10 2 2 3 4" xfId="32177" xr:uid="{00000000-0005-0000-0000-0000B17D0000}"/>
    <cellStyle name="Normal 5 10 2 2 3 5" xfId="32178" xr:uid="{00000000-0005-0000-0000-0000B27D0000}"/>
    <cellStyle name="Normal 5 10 2 2 3 6" xfId="32179" xr:uid="{00000000-0005-0000-0000-0000B37D0000}"/>
    <cellStyle name="Normal 5 10 2 2 3 7" xfId="32180" xr:uid="{00000000-0005-0000-0000-0000B47D0000}"/>
    <cellStyle name="Normal 5 10 2 2 3 8" xfId="32181" xr:uid="{00000000-0005-0000-0000-0000B57D0000}"/>
    <cellStyle name="Normal 5 10 2 2 3 9" xfId="32182" xr:uid="{00000000-0005-0000-0000-0000B67D0000}"/>
    <cellStyle name="Normal 5 10 2 2 4" xfId="32183" xr:uid="{00000000-0005-0000-0000-0000B77D0000}"/>
    <cellStyle name="Normal 5 10 2 2 4 10" xfId="32184" xr:uid="{00000000-0005-0000-0000-0000B87D0000}"/>
    <cellStyle name="Normal 5 10 2 2 4 2" xfId="32185" xr:uid="{00000000-0005-0000-0000-0000B97D0000}"/>
    <cellStyle name="Normal 5 10 2 2 4 3" xfId="32186" xr:uid="{00000000-0005-0000-0000-0000BA7D0000}"/>
    <cellStyle name="Normal 5 10 2 2 4 4" xfId="32187" xr:uid="{00000000-0005-0000-0000-0000BB7D0000}"/>
    <cellStyle name="Normal 5 10 2 2 4 5" xfId="32188" xr:uid="{00000000-0005-0000-0000-0000BC7D0000}"/>
    <cellStyle name="Normal 5 10 2 2 4 6" xfId="32189" xr:uid="{00000000-0005-0000-0000-0000BD7D0000}"/>
    <cellStyle name="Normal 5 10 2 2 4 7" xfId="32190" xr:uid="{00000000-0005-0000-0000-0000BE7D0000}"/>
    <cellStyle name="Normal 5 10 2 2 4 8" xfId="32191" xr:uid="{00000000-0005-0000-0000-0000BF7D0000}"/>
    <cellStyle name="Normal 5 10 2 2 4 9" xfId="32192" xr:uid="{00000000-0005-0000-0000-0000C07D0000}"/>
    <cellStyle name="Normal 5 10 2 2 5" xfId="32193" xr:uid="{00000000-0005-0000-0000-0000C17D0000}"/>
    <cellStyle name="Normal 5 10 2 2 5 10" xfId="32194" xr:uid="{00000000-0005-0000-0000-0000C27D0000}"/>
    <cellStyle name="Normal 5 10 2 2 5 2" xfId="32195" xr:uid="{00000000-0005-0000-0000-0000C37D0000}"/>
    <cellStyle name="Normal 5 10 2 2 5 3" xfId="32196" xr:uid="{00000000-0005-0000-0000-0000C47D0000}"/>
    <cellStyle name="Normal 5 10 2 2 5 4" xfId="32197" xr:uid="{00000000-0005-0000-0000-0000C57D0000}"/>
    <cellStyle name="Normal 5 10 2 2 5 5" xfId="32198" xr:uid="{00000000-0005-0000-0000-0000C67D0000}"/>
    <cellStyle name="Normal 5 10 2 2 5 6" xfId="32199" xr:uid="{00000000-0005-0000-0000-0000C77D0000}"/>
    <cellStyle name="Normal 5 10 2 2 5 7" xfId="32200" xr:uid="{00000000-0005-0000-0000-0000C87D0000}"/>
    <cellStyle name="Normal 5 10 2 2 5 8" xfId="32201" xr:uid="{00000000-0005-0000-0000-0000C97D0000}"/>
    <cellStyle name="Normal 5 10 2 2 5 9" xfId="32202" xr:uid="{00000000-0005-0000-0000-0000CA7D0000}"/>
    <cellStyle name="Normal 5 10 2 2 6" xfId="32203" xr:uid="{00000000-0005-0000-0000-0000CB7D0000}"/>
    <cellStyle name="Normal 5 10 2 2 7" xfId="32204" xr:uid="{00000000-0005-0000-0000-0000CC7D0000}"/>
    <cellStyle name="Normal 5 10 2 2 8" xfId="32205" xr:uid="{00000000-0005-0000-0000-0000CD7D0000}"/>
    <cellStyle name="Normal 5 10 2 2 9" xfId="32206" xr:uid="{00000000-0005-0000-0000-0000CE7D0000}"/>
    <cellStyle name="Normal 5 10 2 20" xfId="32207" xr:uid="{00000000-0005-0000-0000-0000CF7D0000}"/>
    <cellStyle name="Normal 5 10 2 20 10" xfId="32208" xr:uid="{00000000-0005-0000-0000-0000D07D0000}"/>
    <cellStyle name="Normal 5 10 2 20 11" xfId="32209" xr:uid="{00000000-0005-0000-0000-0000D17D0000}"/>
    <cellStyle name="Normal 5 10 2 20 12" xfId="32210" xr:uid="{00000000-0005-0000-0000-0000D27D0000}"/>
    <cellStyle name="Normal 5 10 2 20 13" xfId="32211" xr:uid="{00000000-0005-0000-0000-0000D37D0000}"/>
    <cellStyle name="Normal 5 10 2 20 14" xfId="32212" xr:uid="{00000000-0005-0000-0000-0000D47D0000}"/>
    <cellStyle name="Normal 5 10 2 20 2" xfId="32213" xr:uid="{00000000-0005-0000-0000-0000D57D0000}"/>
    <cellStyle name="Normal 5 10 2 20 2 10" xfId="32214" xr:uid="{00000000-0005-0000-0000-0000D67D0000}"/>
    <cellStyle name="Normal 5 10 2 20 2 2" xfId="32215" xr:uid="{00000000-0005-0000-0000-0000D77D0000}"/>
    <cellStyle name="Normal 5 10 2 20 2 3" xfId="32216" xr:uid="{00000000-0005-0000-0000-0000D87D0000}"/>
    <cellStyle name="Normal 5 10 2 20 2 4" xfId="32217" xr:uid="{00000000-0005-0000-0000-0000D97D0000}"/>
    <cellStyle name="Normal 5 10 2 20 2 5" xfId="32218" xr:uid="{00000000-0005-0000-0000-0000DA7D0000}"/>
    <cellStyle name="Normal 5 10 2 20 2 6" xfId="32219" xr:uid="{00000000-0005-0000-0000-0000DB7D0000}"/>
    <cellStyle name="Normal 5 10 2 20 2 7" xfId="32220" xr:uid="{00000000-0005-0000-0000-0000DC7D0000}"/>
    <cellStyle name="Normal 5 10 2 20 2 8" xfId="32221" xr:uid="{00000000-0005-0000-0000-0000DD7D0000}"/>
    <cellStyle name="Normal 5 10 2 20 2 9" xfId="32222" xr:uid="{00000000-0005-0000-0000-0000DE7D0000}"/>
    <cellStyle name="Normal 5 10 2 20 3" xfId="32223" xr:uid="{00000000-0005-0000-0000-0000DF7D0000}"/>
    <cellStyle name="Normal 5 10 2 20 3 10" xfId="32224" xr:uid="{00000000-0005-0000-0000-0000E07D0000}"/>
    <cellStyle name="Normal 5 10 2 20 3 2" xfId="32225" xr:uid="{00000000-0005-0000-0000-0000E17D0000}"/>
    <cellStyle name="Normal 5 10 2 20 3 3" xfId="32226" xr:uid="{00000000-0005-0000-0000-0000E27D0000}"/>
    <cellStyle name="Normal 5 10 2 20 3 4" xfId="32227" xr:uid="{00000000-0005-0000-0000-0000E37D0000}"/>
    <cellStyle name="Normal 5 10 2 20 3 5" xfId="32228" xr:uid="{00000000-0005-0000-0000-0000E47D0000}"/>
    <cellStyle name="Normal 5 10 2 20 3 6" xfId="32229" xr:uid="{00000000-0005-0000-0000-0000E57D0000}"/>
    <cellStyle name="Normal 5 10 2 20 3 7" xfId="32230" xr:uid="{00000000-0005-0000-0000-0000E67D0000}"/>
    <cellStyle name="Normal 5 10 2 20 3 8" xfId="32231" xr:uid="{00000000-0005-0000-0000-0000E77D0000}"/>
    <cellStyle name="Normal 5 10 2 20 3 9" xfId="32232" xr:uid="{00000000-0005-0000-0000-0000E87D0000}"/>
    <cellStyle name="Normal 5 10 2 20 4" xfId="32233" xr:uid="{00000000-0005-0000-0000-0000E97D0000}"/>
    <cellStyle name="Normal 5 10 2 20 4 10" xfId="32234" xr:uid="{00000000-0005-0000-0000-0000EA7D0000}"/>
    <cellStyle name="Normal 5 10 2 20 4 2" xfId="32235" xr:uid="{00000000-0005-0000-0000-0000EB7D0000}"/>
    <cellStyle name="Normal 5 10 2 20 4 3" xfId="32236" xr:uid="{00000000-0005-0000-0000-0000EC7D0000}"/>
    <cellStyle name="Normal 5 10 2 20 4 4" xfId="32237" xr:uid="{00000000-0005-0000-0000-0000ED7D0000}"/>
    <cellStyle name="Normal 5 10 2 20 4 5" xfId="32238" xr:uid="{00000000-0005-0000-0000-0000EE7D0000}"/>
    <cellStyle name="Normal 5 10 2 20 4 6" xfId="32239" xr:uid="{00000000-0005-0000-0000-0000EF7D0000}"/>
    <cellStyle name="Normal 5 10 2 20 4 7" xfId="32240" xr:uid="{00000000-0005-0000-0000-0000F07D0000}"/>
    <cellStyle name="Normal 5 10 2 20 4 8" xfId="32241" xr:uid="{00000000-0005-0000-0000-0000F17D0000}"/>
    <cellStyle name="Normal 5 10 2 20 4 9" xfId="32242" xr:uid="{00000000-0005-0000-0000-0000F27D0000}"/>
    <cellStyle name="Normal 5 10 2 20 5" xfId="32243" xr:uid="{00000000-0005-0000-0000-0000F37D0000}"/>
    <cellStyle name="Normal 5 10 2 20 5 10" xfId="32244" xr:uid="{00000000-0005-0000-0000-0000F47D0000}"/>
    <cellStyle name="Normal 5 10 2 20 5 2" xfId="32245" xr:uid="{00000000-0005-0000-0000-0000F57D0000}"/>
    <cellStyle name="Normal 5 10 2 20 5 3" xfId="32246" xr:uid="{00000000-0005-0000-0000-0000F67D0000}"/>
    <cellStyle name="Normal 5 10 2 20 5 4" xfId="32247" xr:uid="{00000000-0005-0000-0000-0000F77D0000}"/>
    <cellStyle name="Normal 5 10 2 20 5 5" xfId="32248" xr:uid="{00000000-0005-0000-0000-0000F87D0000}"/>
    <cellStyle name="Normal 5 10 2 20 5 6" xfId="32249" xr:uid="{00000000-0005-0000-0000-0000F97D0000}"/>
    <cellStyle name="Normal 5 10 2 20 5 7" xfId="32250" xr:uid="{00000000-0005-0000-0000-0000FA7D0000}"/>
    <cellStyle name="Normal 5 10 2 20 5 8" xfId="32251" xr:uid="{00000000-0005-0000-0000-0000FB7D0000}"/>
    <cellStyle name="Normal 5 10 2 20 5 9" xfId="32252" xr:uid="{00000000-0005-0000-0000-0000FC7D0000}"/>
    <cellStyle name="Normal 5 10 2 20 6" xfId="32253" xr:uid="{00000000-0005-0000-0000-0000FD7D0000}"/>
    <cellStyle name="Normal 5 10 2 20 7" xfId="32254" xr:uid="{00000000-0005-0000-0000-0000FE7D0000}"/>
    <cellStyle name="Normal 5 10 2 20 8" xfId="32255" xr:uid="{00000000-0005-0000-0000-0000FF7D0000}"/>
    <cellStyle name="Normal 5 10 2 20 9" xfId="32256" xr:uid="{00000000-0005-0000-0000-0000007E0000}"/>
    <cellStyle name="Normal 5 10 2 21" xfId="32257" xr:uid="{00000000-0005-0000-0000-0000017E0000}"/>
    <cellStyle name="Normal 5 10 2 21 10" xfId="32258" xr:uid="{00000000-0005-0000-0000-0000027E0000}"/>
    <cellStyle name="Normal 5 10 2 21 11" xfId="32259" xr:uid="{00000000-0005-0000-0000-0000037E0000}"/>
    <cellStyle name="Normal 5 10 2 21 12" xfId="32260" xr:uid="{00000000-0005-0000-0000-0000047E0000}"/>
    <cellStyle name="Normal 5 10 2 21 13" xfId="32261" xr:uid="{00000000-0005-0000-0000-0000057E0000}"/>
    <cellStyle name="Normal 5 10 2 21 14" xfId="32262" xr:uid="{00000000-0005-0000-0000-0000067E0000}"/>
    <cellStyle name="Normal 5 10 2 21 2" xfId="32263" xr:uid="{00000000-0005-0000-0000-0000077E0000}"/>
    <cellStyle name="Normal 5 10 2 21 2 10" xfId="32264" xr:uid="{00000000-0005-0000-0000-0000087E0000}"/>
    <cellStyle name="Normal 5 10 2 21 2 2" xfId="32265" xr:uid="{00000000-0005-0000-0000-0000097E0000}"/>
    <cellStyle name="Normal 5 10 2 21 2 3" xfId="32266" xr:uid="{00000000-0005-0000-0000-00000A7E0000}"/>
    <cellStyle name="Normal 5 10 2 21 2 4" xfId="32267" xr:uid="{00000000-0005-0000-0000-00000B7E0000}"/>
    <cellStyle name="Normal 5 10 2 21 2 5" xfId="32268" xr:uid="{00000000-0005-0000-0000-00000C7E0000}"/>
    <cellStyle name="Normal 5 10 2 21 2 6" xfId="32269" xr:uid="{00000000-0005-0000-0000-00000D7E0000}"/>
    <cellStyle name="Normal 5 10 2 21 2 7" xfId="32270" xr:uid="{00000000-0005-0000-0000-00000E7E0000}"/>
    <cellStyle name="Normal 5 10 2 21 2 8" xfId="32271" xr:uid="{00000000-0005-0000-0000-00000F7E0000}"/>
    <cellStyle name="Normal 5 10 2 21 2 9" xfId="32272" xr:uid="{00000000-0005-0000-0000-0000107E0000}"/>
    <cellStyle name="Normal 5 10 2 21 3" xfId="32273" xr:uid="{00000000-0005-0000-0000-0000117E0000}"/>
    <cellStyle name="Normal 5 10 2 21 3 10" xfId="32274" xr:uid="{00000000-0005-0000-0000-0000127E0000}"/>
    <cellStyle name="Normal 5 10 2 21 3 2" xfId="32275" xr:uid="{00000000-0005-0000-0000-0000137E0000}"/>
    <cellStyle name="Normal 5 10 2 21 3 3" xfId="32276" xr:uid="{00000000-0005-0000-0000-0000147E0000}"/>
    <cellStyle name="Normal 5 10 2 21 3 4" xfId="32277" xr:uid="{00000000-0005-0000-0000-0000157E0000}"/>
    <cellStyle name="Normal 5 10 2 21 3 5" xfId="32278" xr:uid="{00000000-0005-0000-0000-0000167E0000}"/>
    <cellStyle name="Normal 5 10 2 21 3 6" xfId="32279" xr:uid="{00000000-0005-0000-0000-0000177E0000}"/>
    <cellStyle name="Normal 5 10 2 21 3 7" xfId="32280" xr:uid="{00000000-0005-0000-0000-0000187E0000}"/>
    <cellStyle name="Normal 5 10 2 21 3 8" xfId="32281" xr:uid="{00000000-0005-0000-0000-0000197E0000}"/>
    <cellStyle name="Normal 5 10 2 21 3 9" xfId="32282" xr:uid="{00000000-0005-0000-0000-00001A7E0000}"/>
    <cellStyle name="Normal 5 10 2 21 4" xfId="32283" xr:uid="{00000000-0005-0000-0000-00001B7E0000}"/>
    <cellStyle name="Normal 5 10 2 21 4 10" xfId="32284" xr:uid="{00000000-0005-0000-0000-00001C7E0000}"/>
    <cellStyle name="Normal 5 10 2 21 4 2" xfId="32285" xr:uid="{00000000-0005-0000-0000-00001D7E0000}"/>
    <cellStyle name="Normal 5 10 2 21 4 3" xfId="32286" xr:uid="{00000000-0005-0000-0000-00001E7E0000}"/>
    <cellStyle name="Normal 5 10 2 21 4 4" xfId="32287" xr:uid="{00000000-0005-0000-0000-00001F7E0000}"/>
    <cellStyle name="Normal 5 10 2 21 4 5" xfId="32288" xr:uid="{00000000-0005-0000-0000-0000207E0000}"/>
    <cellStyle name="Normal 5 10 2 21 4 6" xfId="32289" xr:uid="{00000000-0005-0000-0000-0000217E0000}"/>
    <cellStyle name="Normal 5 10 2 21 4 7" xfId="32290" xr:uid="{00000000-0005-0000-0000-0000227E0000}"/>
    <cellStyle name="Normal 5 10 2 21 4 8" xfId="32291" xr:uid="{00000000-0005-0000-0000-0000237E0000}"/>
    <cellStyle name="Normal 5 10 2 21 4 9" xfId="32292" xr:uid="{00000000-0005-0000-0000-0000247E0000}"/>
    <cellStyle name="Normal 5 10 2 21 5" xfId="32293" xr:uid="{00000000-0005-0000-0000-0000257E0000}"/>
    <cellStyle name="Normal 5 10 2 21 5 10" xfId="32294" xr:uid="{00000000-0005-0000-0000-0000267E0000}"/>
    <cellStyle name="Normal 5 10 2 21 5 2" xfId="32295" xr:uid="{00000000-0005-0000-0000-0000277E0000}"/>
    <cellStyle name="Normal 5 10 2 21 5 3" xfId="32296" xr:uid="{00000000-0005-0000-0000-0000287E0000}"/>
    <cellStyle name="Normal 5 10 2 21 5 4" xfId="32297" xr:uid="{00000000-0005-0000-0000-0000297E0000}"/>
    <cellStyle name="Normal 5 10 2 21 5 5" xfId="32298" xr:uid="{00000000-0005-0000-0000-00002A7E0000}"/>
    <cellStyle name="Normal 5 10 2 21 5 6" xfId="32299" xr:uid="{00000000-0005-0000-0000-00002B7E0000}"/>
    <cellStyle name="Normal 5 10 2 21 5 7" xfId="32300" xr:uid="{00000000-0005-0000-0000-00002C7E0000}"/>
    <cellStyle name="Normal 5 10 2 21 5 8" xfId="32301" xr:uid="{00000000-0005-0000-0000-00002D7E0000}"/>
    <cellStyle name="Normal 5 10 2 21 5 9" xfId="32302" xr:uid="{00000000-0005-0000-0000-00002E7E0000}"/>
    <cellStyle name="Normal 5 10 2 21 6" xfId="32303" xr:uid="{00000000-0005-0000-0000-00002F7E0000}"/>
    <cellStyle name="Normal 5 10 2 21 7" xfId="32304" xr:uid="{00000000-0005-0000-0000-0000307E0000}"/>
    <cellStyle name="Normal 5 10 2 21 8" xfId="32305" xr:uid="{00000000-0005-0000-0000-0000317E0000}"/>
    <cellStyle name="Normal 5 10 2 21 9" xfId="32306" xr:uid="{00000000-0005-0000-0000-0000327E0000}"/>
    <cellStyle name="Normal 5 10 2 22" xfId="32307" xr:uid="{00000000-0005-0000-0000-0000337E0000}"/>
    <cellStyle name="Normal 5 10 2 22 10" xfId="32308" xr:uid="{00000000-0005-0000-0000-0000347E0000}"/>
    <cellStyle name="Normal 5 10 2 22 11" xfId="32309" xr:uid="{00000000-0005-0000-0000-0000357E0000}"/>
    <cellStyle name="Normal 5 10 2 22 12" xfId="32310" xr:uid="{00000000-0005-0000-0000-0000367E0000}"/>
    <cellStyle name="Normal 5 10 2 22 13" xfId="32311" xr:uid="{00000000-0005-0000-0000-0000377E0000}"/>
    <cellStyle name="Normal 5 10 2 22 14" xfId="32312" xr:uid="{00000000-0005-0000-0000-0000387E0000}"/>
    <cellStyle name="Normal 5 10 2 22 2" xfId="32313" xr:uid="{00000000-0005-0000-0000-0000397E0000}"/>
    <cellStyle name="Normal 5 10 2 22 2 10" xfId="32314" xr:uid="{00000000-0005-0000-0000-00003A7E0000}"/>
    <cellStyle name="Normal 5 10 2 22 2 2" xfId="32315" xr:uid="{00000000-0005-0000-0000-00003B7E0000}"/>
    <cellStyle name="Normal 5 10 2 22 2 3" xfId="32316" xr:uid="{00000000-0005-0000-0000-00003C7E0000}"/>
    <cellStyle name="Normal 5 10 2 22 2 4" xfId="32317" xr:uid="{00000000-0005-0000-0000-00003D7E0000}"/>
    <cellStyle name="Normal 5 10 2 22 2 5" xfId="32318" xr:uid="{00000000-0005-0000-0000-00003E7E0000}"/>
    <cellStyle name="Normal 5 10 2 22 2 6" xfId="32319" xr:uid="{00000000-0005-0000-0000-00003F7E0000}"/>
    <cellStyle name="Normal 5 10 2 22 2 7" xfId="32320" xr:uid="{00000000-0005-0000-0000-0000407E0000}"/>
    <cellStyle name="Normal 5 10 2 22 2 8" xfId="32321" xr:uid="{00000000-0005-0000-0000-0000417E0000}"/>
    <cellStyle name="Normal 5 10 2 22 2 9" xfId="32322" xr:uid="{00000000-0005-0000-0000-0000427E0000}"/>
    <cellStyle name="Normal 5 10 2 22 3" xfId="32323" xr:uid="{00000000-0005-0000-0000-0000437E0000}"/>
    <cellStyle name="Normal 5 10 2 22 3 10" xfId="32324" xr:uid="{00000000-0005-0000-0000-0000447E0000}"/>
    <cellStyle name="Normal 5 10 2 22 3 2" xfId="32325" xr:uid="{00000000-0005-0000-0000-0000457E0000}"/>
    <cellStyle name="Normal 5 10 2 22 3 3" xfId="32326" xr:uid="{00000000-0005-0000-0000-0000467E0000}"/>
    <cellStyle name="Normal 5 10 2 22 3 4" xfId="32327" xr:uid="{00000000-0005-0000-0000-0000477E0000}"/>
    <cellStyle name="Normal 5 10 2 22 3 5" xfId="32328" xr:uid="{00000000-0005-0000-0000-0000487E0000}"/>
    <cellStyle name="Normal 5 10 2 22 3 6" xfId="32329" xr:uid="{00000000-0005-0000-0000-0000497E0000}"/>
    <cellStyle name="Normal 5 10 2 22 3 7" xfId="32330" xr:uid="{00000000-0005-0000-0000-00004A7E0000}"/>
    <cellStyle name="Normal 5 10 2 22 3 8" xfId="32331" xr:uid="{00000000-0005-0000-0000-00004B7E0000}"/>
    <cellStyle name="Normal 5 10 2 22 3 9" xfId="32332" xr:uid="{00000000-0005-0000-0000-00004C7E0000}"/>
    <cellStyle name="Normal 5 10 2 22 4" xfId="32333" xr:uid="{00000000-0005-0000-0000-00004D7E0000}"/>
    <cellStyle name="Normal 5 10 2 22 4 10" xfId="32334" xr:uid="{00000000-0005-0000-0000-00004E7E0000}"/>
    <cellStyle name="Normal 5 10 2 22 4 2" xfId="32335" xr:uid="{00000000-0005-0000-0000-00004F7E0000}"/>
    <cellStyle name="Normal 5 10 2 22 4 3" xfId="32336" xr:uid="{00000000-0005-0000-0000-0000507E0000}"/>
    <cellStyle name="Normal 5 10 2 22 4 4" xfId="32337" xr:uid="{00000000-0005-0000-0000-0000517E0000}"/>
    <cellStyle name="Normal 5 10 2 22 4 5" xfId="32338" xr:uid="{00000000-0005-0000-0000-0000527E0000}"/>
    <cellStyle name="Normal 5 10 2 22 4 6" xfId="32339" xr:uid="{00000000-0005-0000-0000-0000537E0000}"/>
    <cellStyle name="Normal 5 10 2 22 4 7" xfId="32340" xr:uid="{00000000-0005-0000-0000-0000547E0000}"/>
    <cellStyle name="Normal 5 10 2 22 4 8" xfId="32341" xr:uid="{00000000-0005-0000-0000-0000557E0000}"/>
    <cellStyle name="Normal 5 10 2 22 4 9" xfId="32342" xr:uid="{00000000-0005-0000-0000-0000567E0000}"/>
    <cellStyle name="Normal 5 10 2 22 5" xfId="32343" xr:uid="{00000000-0005-0000-0000-0000577E0000}"/>
    <cellStyle name="Normal 5 10 2 22 5 10" xfId="32344" xr:uid="{00000000-0005-0000-0000-0000587E0000}"/>
    <cellStyle name="Normal 5 10 2 22 5 2" xfId="32345" xr:uid="{00000000-0005-0000-0000-0000597E0000}"/>
    <cellStyle name="Normal 5 10 2 22 5 3" xfId="32346" xr:uid="{00000000-0005-0000-0000-00005A7E0000}"/>
    <cellStyle name="Normal 5 10 2 22 5 4" xfId="32347" xr:uid="{00000000-0005-0000-0000-00005B7E0000}"/>
    <cellStyle name="Normal 5 10 2 22 5 5" xfId="32348" xr:uid="{00000000-0005-0000-0000-00005C7E0000}"/>
    <cellStyle name="Normal 5 10 2 22 5 6" xfId="32349" xr:uid="{00000000-0005-0000-0000-00005D7E0000}"/>
    <cellStyle name="Normal 5 10 2 22 5 7" xfId="32350" xr:uid="{00000000-0005-0000-0000-00005E7E0000}"/>
    <cellStyle name="Normal 5 10 2 22 5 8" xfId="32351" xr:uid="{00000000-0005-0000-0000-00005F7E0000}"/>
    <cellStyle name="Normal 5 10 2 22 5 9" xfId="32352" xr:uid="{00000000-0005-0000-0000-0000607E0000}"/>
    <cellStyle name="Normal 5 10 2 22 6" xfId="32353" xr:uid="{00000000-0005-0000-0000-0000617E0000}"/>
    <cellStyle name="Normal 5 10 2 22 7" xfId="32354" xr:uid="{00000000-0005-0000-0000-0000627E0000}"/>
    <cellStyle name="Normal 5 10 2 22 8" xfId="32355" xr:uid="{00000000-0005-0000-0000-0000637E0000}"/>
    <cellStyle name="Normal 5 10 2 22 9" xfId="32356" xr:uid="{00000000-0005-0000-0000-0000647E0000}"/>
    <cellStyle name="Normal 5 10 2 23" xfId="32357" xr:uid="{00000000-0005-0000-0000-0000657E0000}"/>
    <cellStyle name="Normal 5 10 2 23 10" xfId="32358" xr:uid="{00000000-0005-0000-0000-0000667E0000}"/>
    <cellStyle name="Normal 5 10 2 23 11" xfId="32359" xr:uid="{00000000-0005-0000-0000-0000677E0000}"/>
    <cellStyle name="Normal 5 10 2 23 12" xfId="32360" xr:uid="{00000000-0005-0000-0000-0000687E0000}"/>
    <cellStyle name="Normal 5 10 2 23 13" xfId="32361" xr:uid="{00000000-0005-0000-0000-0000697E0000}"/>
    <cellStyle name="Normal 5 10 2 23 14" xfId="32362" xr:uid="{00000000-0005-0000-0000-00006A7E0000}"/>
    <cellStyle name="Normal 5 10 2 23 2" xfId="32363" xr:uid="{00000000-0005-0000-0000-00006B7E0000}"/>
    <cellStyle name="Normal 5 10 2 23 2 10" xfId="32364" xr:uid="{00000000-0005-0000-0000-00006C7E0000}"/>
    <cellStyle name="Normal 5 10 2 23 2 2" xfId="32365" xr:uid="{00000000-0005-0000-0000-00006D7E0000}"/>
    <cellStyle name="Normal 5 10 2 23 2 3" xfId="32366" xr:uid="{00000000-0005-0000-0000-00006E7E0000}"/>
    <cellStyle name="Normal 5 10 2 23 2 4" xfId="32367" xr:uid="{00000000-0005-0000-0000-00006F7E0000}"/>
    <cellStyle name="Normal 5 10 2 23 2 5" xfId="32368" xr:uid="{00000000-0005-0000-0000-0000707E0000}"/>
    <cellStyle name="Normal 5 10 2 23 2 6" xfId="32369" xr:uid="{00000000-0005-0000-0000-0000717E0000}"/>
    <cellStyle name="Normal 5 10 2 23 2 7" xfId="32370" xr:uid="{00000000-0005-0000-0000-0000727E0000}"/>
    <cellStyle name="Normal 5 10 2 23 2 8" xfId="32371" xr:uid="{00000000-0005-0000-0000-0000737E0000}"/>
    <cellStyle name="Normal 5 10 2 23 2 9" xfId="32372" xr:uid="{00000000-0005-0000-0000-0000747E0000}"/>
    <cellStyle name="Normal 5 10 2 23 3" xfId="32373" xr:uid="{00000000-0005-0000-0000-0000757E0000}"/>
    <cellStyle name="Normal 5 10 2 23 3 10" xfId="32374" xr:uid="{00000000-0005-0000-0000-0000767E0000}"/>
    <cellStyle name="Normal 5 10 2 23 3 2" xfId="32375" xr:uid="{00000000-0005-0000-0000-0000777E0000}"/>
    <cellStyle name="Normal 5 10 2 23 3 3" xfId="32376" xr:uid="{00000000-0005-0000-0000-0000787E0000}"/>
    <cellStyle name="Normal 5 10 2 23 3 4" xfId="32377" xr:uid="{00000000-0005-0000-0000-0000797E0000}"/>
    <cellStyle name="Normal 5 10 2 23 3 5" xfId="32378" xr:uid="{00000000-0005-0000-0000-00007A7E0000}"/>
    <cellStyle name="Normal 5 10 2 23 3 6" xfId="32379" xr:uid="{00000000-0005-0000-0000-00007B7E0000}"/>
    <cellStyle name="Normal 5 10 2 23 3 7" xfId="32380" xr:uid="{00000000-0005-0000-0000-00007C7E0000}"/>
    <cellStyle name="Normal 5 10 2 23 3 8" xfId="32381" xr:uid="{00000000-0005-0000-0000-00007D7E0000}"/>
    <cellStyle name="Normal 5 10 2 23 3 9" xfId="32382" xr:uid="{00000000-0005-0000-0000-00007E7E0000}"/>
    <cellStyle name="Normal 5 10 2 23 4" xfId="32383" xr:uid="{00000000-0005-0000-0000-00007F7E0000}"/>
    <cellStyle name="Normal 5 10 2 23 4 10" xfId="32384" xr:uid="{00000000-0005-0000-0000-0000807E0000}"/>
    <cellStyle name="Normal 5 10 2 23 4 2" xfId="32385" xr:uid="{00000000-0005-0000-0000-0000817E0000}"/>
    <cellStyle name="Normal 5 10 2 23 4 3" xfId="32386" xr:uid="{00000000-0005-0000-0000-0000827E0000}"/>
    <cellStyle name="Normal 5 10 2 23 4 4" xfId="32387" xr:uid="{00000000-0005-0000-0000-0000837E0000}"/>
    <cellStyle name="Normal 5 10 2 23 4 5" xfId="32388" xr:uid="{00000000-0005-0000-0000-0000847E0000}"/>
    <cellStyle name="Normal 5 10 2 23 4 6" xfId="32389" xr:uid="{00000000-0005-0000-0000-0000857E0000}"/>
    <cellStyle name="Normal 5 10 2 23 4 7" xfId="32390" xr:uid="{00000000-0005-0000-0000-0000867E0000}"/>
    <cellStyle name="Normal 5 10 2 23 4 8" xfId="32391" xr:uid="{00000000-0005-0000-0000-0000877E0000}"/>
    <cellStyle name="Normal 5 10 2 23 4 9" xfId="32392" xr:uid="{00000000-0005-0000-0000-0000887E0000}"/>
    <cellStyle name="Normal 5 10 2 23 5" xfId="32393" xr:uid="{00000000-0005-0000-0000-0000897E0000}"/>
    <cellStyle name="Normal 5 10 2 23 5 10" xfId="32394" xr:uid="{00000000-0005-0000-0000-00008A7E0000}"/>
    <cellStyle name="Normal 5 10 2 23 5 2" xfId="32395" xr:uid="{00000000-0005-0000-0000-00008B7E0000}"/>
    <cellStyle name="Normal 5 10 2 23 5 3" xfId="32396" xr:uid="{00000000-0005-0000-0000-00008C7E0000}"/>
    <cellStyle name="Normal 5 10 2 23 5 4" xfId="32397" xr:uid="{00000000-0005-0000-0000-00008D7E0000}"/>
    <cellStyle name="Normal 5 10 2 23 5 5" xfId="32398" xr:uid="{00000000-0005-0000-0000-00008E7E0000}"/>
    <cellStyle name="Normal 5 10 2 23 5 6" xfId="32399" xr:uid="{00000000-0005-0000-0000-00008F7E0000}"/>
    <cellStyle name="Normal 5 10 2 23 5 7" xfId="32400" xr:uid="{00000000-0005-0000-0000-0000907E0000}"/>
    <cellStyle name="Normal 5 10 2 23 5 8" xfId="32401" xr:uid="{00000000-0005-0000-0000-0000917E0000}"/>
    <cellStyle name="Normal 5 10 2 23 5 9" xfId="32402" xr:uid="{00000000-0005-0000-0000-0000927E0000}"/>
    <cellStyle name="Normal 5 10 2 23 6" xfId="32403" xr:uid="{00000000-0005-0000-0000-0000937E0000}"/>
    <cellStyle name="Normal 5 10 2 23 7" xfId="32404" xr:uid="{00000000-0005-0000-0000-0000947E0000}"/>
    <cellStyle name="Normal 5 10 2 23 8" xfId="32405" xr:uid="{00000000-0005-0000-0000-0000957E0000}"/>
    <cellStyle name="Normal 5 10 2 23 9" xfId="32406" xr:uid="{00000000-0005-0000-0000-0000967E0000}"/>
    <cellStyle name="Normal 5 10 2 24" xfId="32407" xr:uid="{00000000-0005-0000-0000-0000977E0000}"/>
    <cellStyle name="Normal 5 10 2 24 10" xfId="32408" xr:uid="{00000000-0005-0000-0000-0000987E0000}"/>
    <cellStyle name="Normal 5 10 2 24 11" xfId="32409" xr:uid="{00000000-0005-0000-0000-0000997E0000}"/>
    <cellStyle name="Normal 5 10 2 24 12" xfId="32410" xr:uid="{00000000-0005-0000-0000-00009A7E0000}"/>
    <cellStyle name="Normal 5 10 2 24 13" xfId="32411" xr:uid="{00000000-0005-0000-0000-00009B7E0000}"/>
    <cellStyle name="Normal 5 10 2 24 14" xfId="32412" xr:uid="{00000000-0005-0000-0000-00009C7E0000}"/>
    <cellStyle name="Normal 5 10 2 24 2" xfId="32413" xr:uid="{00000000-0005-0000-0000-00009D7E0000}"/>
    <cellStyle name="Normal 5 10 2 24 2 10" xfId="32414" xr:uid="{00000000-0005-0000-0000-00009E7E0000}"/>
    <cellStyle name="Normal 5 10 2 24 2 2" xfId="32415" xr:uid="{00000000-0005-0000-0000-00009F7E0000}"/>
    <cellStyle name="Normal 5 10 2 24 2 3" xfId="32416" xr:uid="{00000000-0005-0000-0000-0000A07E0000}"/>
    <cellStyle name="Normal 5 10 2 24 2 4" xfId="32417" xr:uid="{00000000-0005-0000-0000-0000A17E0000}"/>
    <cellStyle name="Normal 5 10 2 24 2 5" xfId="32418" xr:uid="{00000000-0005-0000-0000-0000A27E0000}"/>
    <cellStyle name="Normal 5 10 2 24 2 6" xfId="32419" xr:uid="{00000000-0005-0000-0000-0000A37E0000}"/>
    <cellStyle name="Normal 5 10 2 24 2 7" xfId="32420" xr:uid="{00000000-0005-0000-0000-0000A47E0000}"/>
    <cellStyle name="Normal 5 10 2 24 2 8" xfId="32421" xr:uid="{00000000-0005-0000-0000-0000A57E0000}"/>
    <cellStyle name="Normal 5 10 2 24 2 9" xfId="32422" xr:uid="{00000000-0005-0000-0000-0000A67E0000}"/>
    <cellStyle name="Normal 5 10 2 24 3" xfId="32423" xr:uid="{00000000-0005-0000-0000-0000A77E0000}"/>
    <cellStyle name="Normal 5 10 2 24 3 10" xfId="32424" xr:uid="{00000000-0005-0000-0000-0000A87E0000}"/>
    <cellStyle name="Normal 5 10 2 24 3 2" xfId="32425" xr:uid="{00000000-0005-0000-0000-0000A97E0000}"/>
    <cellStyle name="Normal 5 10 2 24 3 3" xfId="32426" xr:uid="{00000000-0005-0000-0000-0000AA7E0000}"/>
    <cellStyle name="Normal 5 10 2 24 3 4" xfId="32427" xr:uid="{00000000-0005-0000-0000-0000AB7E0000}"/>
    <cellStyle name="Normal 5 10 2 24 3 5" xfId="32428" xr:uid="{00000000-0005-0000-0000-0000AC7E0000}"/>
    <cellStyle name="Normal 5 10 2 24 3 6" xfId="32429" xr:uid="{00000000-0005-0000-0000-0000AD7E0000}"/>
    <cellStyle name="Normal 5 10 2 24 3 7" xfId="32430" xr:uid="{00000000-0005-0000-0000-0000AE7E0000}"/>
    <cellStyle name="Normal 5 10 2 24 3 8" xfId="32431" xr:uid="{00000000-0005-0000-0000-0000AF7E0000}"/>
    <cellStyle name="Normal 5 10 2 24 3 9" xfId="32432" xr:uid="{00000000-0005-0000-0000-0000B07E0000}"/>
    <cellStyle name="Normal 5 10 2 24 4" xfId="32433" xr:uid="{00000000-0005-0000-0000-0000B17E0000}"/>
    <cellStyle name="Normal 5 10 2 24 4 10" xfId="32434" xr:uid="{00000000-0005-0000-0000-0000B27E0000}"/>
    <cellStyle name="Normal 5 10 2 24 4 2" xfId="32435" xr:uid="{00000000-0005-0000-0000-0000B37E0000}"/>
    <cellStyle name="Normal 5 10 2 24 4 3" xfId="32436" xr:uid="{00000000-0005-0000-0000-0000B47E0000}"/>
    <cellStyle name="Normal 5 10 2 24 4 4" xfId="32437" xr:uid="{00000000-0005-0000-0000-0000B57E0000}"/>
    <cellStyle name="Normal 5 10 2 24 4 5" xfId="32438" xr:uid="{00000000-0005-0000-0000-0000B67E0000}"/>
    <cellStyle name="Normal 5 10 2 24 4 6" xfId="32439" xr:uid="{00000000-0005-0000-0000-0000B77E0000}"/>
    <cellStyle name="Normal 5 10 2 24 4 7" xfId="32440" xr:uid="{00000000-0005-0000-0000-0000B87E0000}"/>
    <cellStyle name="Normal 5 10 2 24 4 8" xfId="32441" xr:uid="{00000000-0005-0000-0000-0000B97E0000}"/>
    <cellStyle name="Normal 5 10 2 24 4 9" xfId="32442" xr:uid="{00000000-0005-0000-0000-0000BA7E0000}"/>
    <cellStyle name="Normal 5 10 2 24 5" xfId="32443" xr:uid="{00000000-0005-0000-0000-0000BB7E0000}"/>
    <cellStyle name="Normal 5 10 2 24 5 10" xfId="32444" xr:uid="{00000000-0005-0000-0000-0000BC7E0000}"/>
    <cellStyle name="Normal 5 10 2 24 5 2" xfId="32445" xr:uid="{00000000-0005-0000-0000-0000BD7E0000}"/>
    <cellStyle name="Normal 5 10 2 24 5 3" xfId="32446" xr:uid="{00000000-0005-0000-0000-0000BE7E0000}"/>
    <cellStyle name="Normal 5 10 2 24 5 4" xfId="32447" xr:uid="{00000000-0005-0000-0000-0000BF7E0000}"/>
    <cellStyle name="Normal 5 10 2 24 5 5" xfId="32448" xr:uid="{00000000-0005-0000-0000-0000C07E0000}"/>
    <cellStyle name="Normal 5 10 2 24 5 6" xfId="32449" xr:uid="{00000000-0005-0000-0000-0000C17E0000}"/>
    <cellStyle name="Normal 5 10 2 24 5 7" xfId="32450" xr:uid="{00000000-0005-0000-0000-0000C27E0000}"/>
    <cellStyle name="Normal 5 10 2 24 5 8" xfId="32451" xr:uid="{00000000-0005-0000-0000-0000C37E0000}"/>
    <cellStyle name="Normal 5 10 2 24 5 9" xfId="32452" xr:uid="{00000000-0005-0000-0000-0000C47E0000}"/>
    <cellStyle name="Normal 5 10 2 24 6" xfId="32453" xr:uid="{00000000-0005-0000-0000-0000C57E0000}"/>
    <cellStyle name="Normal 5 10 2 24 7" xfId="32454" xr:uid="{00000000-0005-0000-0000-0000C67E0000}"/>
    <cellStyle name="Normal 5 10 2 24 8" xfId="32455" xr:uid="{00000000-0005-0000-0000-0000C77E0000}"/>
    <cellStyle name="Normal 5 10 2 24 9" xfId="32456" xr:uid="{00000000-0005-0000-0000-0000C87E0000}"/>
    <cellStyle name="Normal 5 10 2 25" xfId="32457" xr:uid="{00000000-0005-0000-0000-0000C97E0000}"/>
    <cellStyle name="Normal 5 10 2 25 10" xfId="32458" xr:uid="{00000000-0005-0000-0000-0000CA7E0000}"/>
    <cellStyle name="Normal 5 10 2 25 11" xfId="32459" xr:uid="{00000000-0005-0000-0000-0000CB7E0000}"/>
    <cellStyle name="Normal 5 10 2 25 12" xfId="32460" xr:uid="{00000000-0005-0000-0000-0000CC7E0000}"/>
    <cellStyle name="Normal 5 10 2 25 13" xfId="32461" xr:uid="{00000000-0005-0000-0000-0000CD7E0000}"/>
    <cellStyle name="Normal 5 10 2 25 14" xfId="32462" xr:uid="{00000000-0005-0000-0000-0000CE7E0000}"/>
    <cellStyle name="Normal 5 10 2 25 2" xfId="32463" xr:uid="{00000000-0005-0000-0000-0000CF7E0000}"/>
    <cellStyle name="Normal 5 10 2 25 2 10" xfId="32464" xr:uid="{00000000-0005-0000-0000-0000D07E0000}"/>
    <cellStyle name="Normal 5 10 2 25 2 2" xfId="32465" xr:uid="{00000000-0005-0000-0000-0000D17E0000}"/>
    <cellStyle name="Normal 5 10 2 25 2 3" xfId="32466" xr:uid="{00000000-0005-0000-0000-0000D27E0000}"/>
    <cellStyle name="Normal 5 10 2 25 2 4" xfId="32467" xr:uid="{00000000-0005-0000-0000-0000D37E0000}"/>
    <cellStyle name="Normal 5 10 2 25 2 5" xfId="32468" xr:uid="{00000000-0005-0000-0000-0000D47E0000}"/>
    <cellStyle name="Normal 5 10 2 25 2 6" xfId="32469" xr:uid="{00000000-0005-0000-0000-0000D57E0000}"/>
    <cellStyle name="Normal 5 10 2 25 2 7" xfId="32470" xr:uid="{00000000-0005-0000-0000-0000D67E0000}"/>
    <cellStyle name="Normal 5 10 2 25 2 8" xfId="32471" xr:uid="{00000000-0005-0000-0000-0000D77E0000}"/>
    <cellStyle name="Normal 5 10 2 25 2 9" xfId="32472" xr:uid="{00000000-0005-0000-0000-0000D87E0000}"/>
    <cellStyle name="Normal 5 10 2 25 3" xfId="32473" xr:uid="{00000000-0005-0000-0000-0000D97E0000}"/>
    <cellStyle name="Normal 5 10 2 25 3 10" xfId="32474" xr:uid="{00000000-0005-0000-0000-0000DA7E0000}"/>
    <cellStyle name="Normal 5 10 2 25 3 2" xfId="32475" xr:uid="{00000000-0005-0000-0000-0000DB7E0000}"/>
    <cellStyle name="Normal 5 10 2 25 3 3" xfId="32476" xr:uid="{00000000-0005-0000-0000-0000DC7E0000}"/>
    <cellStyle name="Normal 5 10 2 25 3 4" xfId="32477" xr:uid="{00000000-0005-0000-0000-0000DD7E0000}"/>
    <cellStyle name="Normal 5 10 2 25 3 5" xfId="32478" xr:uid="{00000000-0005-0000-0000-0000DE7E0000}"/>
    <cellStyle name="Normal 5 10 2 25 3 6" xfId="32479" xr:uid="{00000000-0005-0000-0000-0000DF7E0000}"/>
    <cellStyle name="Normal 5 10 2 25 3 7" xfId="32480" xr:uid="{00000000-0005-0000-0000-0000E07E0000}"/>
    <cellStyle name="Normal 5 10 2 25 3 8" xfId="32481" xr:uid="{00000000-0005-0000-0000-0000E17E0000}"/>
    <cellStyle name="Normal 5 10 2 25 3 9" xfId="32482" xr:uid="{00000000-0005-0000-0000-0000E27E0000}"/>
    <cellStyle name="Normal 5 10 2 25 4" xfId="32483" xr:uid="{00000000-0005-0000-0000-0000E37E0000}"/>
    <cellStyle name="Normal 5 10 2 25 4 10" xfId="32484" xr:uid="{00000000-0005-0000-0000-0000E47E0000}"/>
    <cellStyle name="Normal 5 10 2 25 4 2" xfId="32485" xr:uid="{00000000-0005-0000-0000-0000E57E0000}"/>
    <cellStyle name="Normal 5 10 2 25 4 3" xfId="32486" xr:uid="{00000000-0005-0000-0000-0000E67E0000}"/>
    <cellStyle name="Normal 5 10 2 25 4 4" xfId="32487" xr:uid="{00000000-0005-0000-0000-0000E77E0000}"/>
    <cellStyle name="Normal 5 10 2 25 4 5" xfId="32488" xr:uid="{00000000-0005-0000-0000-0000E87E0000}"/>
    <cellStyle name="Normal 5 10 2 25 4 6" xfId="32489" xr:uid="{00000000-0005-0000-0000-0000E97E0000}"/>
    <cellStyle name="Normal 5 10 2 25 4 7" xfId="32490" xr:uid="{00000000-0005-0000-0000-0000EA7E0000}"/>
    <cellStyle name="Normal 5 10 2 25 4 8" xfId="32491" xr:uid="{00000000-0005-0000-0000-0000EB7E0000}"/>
    <cellStyle name="Normal 5 10 2 25 4 9" xfId="32492" xr:uid="{00000000-0005-0000-0000-0000EC7E0000}"/>
    <cellStyle name="Normal 5 10 2 25 5" xfId="32493" xr:uid="{00000000-0005-0000-0000-0000ED7E0000}"/>
    <cellStyle name="Normal 5 10 2 25 5 10" xfId="32494" xr:uid="{00000000-0005-0000-0000-0000EE7E0000}"/>
    <cellStyle name="Normal 5 10 2 25 5 2" xfId="32495" xr:uid="{00000000-0005-0000-0000-0000EF7E0000}"/>
    <cellStyle name="Normal 5 10 2 25 5 3" xfId="32496" xr:uid="{00000000-0005-0000-0000-0000F07E0000}"/>
    <cellStyle name="Normal 5 10 2 25 5 4" xfId="32497" xr:uid="{00000000-0005-0000-0000-0000F17E0000}"/>
    <cellStyle name="Normal 5 10 2 25 5 5" xfId="32498" xr:uid="{00000000-0005-0000-0000-0000F27E0000}"/>
    <cellStyle name="Normal 5 10 2 25 5 6" xfId="32499" xr:uid="{00000000-0005-0000-0000-0000F37E0000}"/>
    <cellStyle name="Normal 5 10 2 25 5 7" xfId="32500" xr:uid="{00000000-0005-0000-0000-0000F47E0000}"/>
    <cellStyle name="Normal 5 10 2 25 5 8" xfId="32501" xr:uid="{00000000-0005-0000-0000-0000F57E0000}"/>
    <cellStyle name="Normal 5 10 2 25 5 9" xfId="32502" xr:uid="{00000000-0005-0000-0000-0000F67E0000}"/>
    <cellStyle name="Normal 5 10 2 25 6" xfId="32503" xr:uid="{00000000-0005-0000-0000-0000F77E0000}"/>
    <cellStyle name="Normal 5 10 2 25 7" xfId="32504" xr:uid="{00000000-0005-0000-0000-0000F87E0000}"/>
    <cellStyle name="Normal 5 10 2 25 8" xfId="32505" xr:uid="{00000000-0005-0000-0000-0000F97E0000}"/>
    <cellStyle name="Normal 5 10 2 25 9" xfId="32506" xr:uid="{00000000-0005-0000-0000-0000FA7E0000}"/>
    <cellStyle name="Normal 5 10 2 26" xfId="32507" xr:uid="{00000000-0005-0000-0000-0000FB7E0000}"/>
    <cellStyle name="Normal 5 10 2 26 10" xfId="32508" xr:uid="{00000000-0005-0000-0000-0000FC7E0000}"/>
    <cellStyle name="Normal 5 10 2 26 11" xfId="32509" xr:uid="{00000000-0005-0000-0000-0000FD7E0000}"/>
    <cellStyle name="Normal 5 10 2 26 12" xfId="32510" xr:uid="{00000000-0005-0000-0000-0000FE7E0000}"/>
    <cellStyle name="Normal 5 10 2 26 13" xfId="32511" xr:uid="{00000000-0005-0000-0000-0000FF7E0000}"/>
    <cellStyle name="Normal 5 10 2 26 14" xfId="32512" xr:uid="{00000000-0005-0000-0000-0000007F0000}"/>
    <cellStyle name="Normal 5 10 2 26 2" xfId="32513" xr:uid="{00000000-0005-0000-0000-0000017F0000}"/>
    <cellStyle name="Normal 5 10 2 26 2 10" xfId="32514" xr:uid="{00000000-0005-0000-0000-0000027F0000}"/>
    <cellStyle name="Normal 5 10 2 26 2 2" xfId="32515" xr:uid="{00000000-0005-0000-0000-0000037F0000}"/>
    <cellStyle name="Normal 5 10 2 26 2 3" xfId="32516" xr:uid="{00000000-0005-0000-0000-0000047F0000}"/>
    <cellStyle name="Normal 5 10 2 26 2 4" xfId="32517" xr:uid="{00000000-0005-0000-0000-0000057F0000}"/>
    <cellStyle name="Normal 5 10 2 26 2 5" xfId="32518" xr:uid="{00000000-0005-0000-0000-0000067F0000}"/>
    <cellStyle name="Normal 5 10 2 26 2 6" xfId="32519" xr:uid="{00000000-0005-0000-0000-0000077F0000}"/>
    <cellStyle name="Normal 5 10 2 26 2 7" xfId="32520" xr:uid="{00000000-0005-0000-0000-0000087F0000}"/>
    <cellStyle name="Normal 5 10 2 26 2 8" xfId="32521" xr:uid="{00000000-0005-0000-0000-0000097F0000}"/>
    <cellStyle name="Normal 5 10 2 26 2 9" xfId="32522" xr:uid="{00000000-0005-0000-0000-00000A7F0000}"/>
    <cellStyle name="Normal 5 10 2 26 3" xfId="32523" xr:uid="{00000000-0005-0000-0000-00000B7F0000}"/>
    <cellStyle name="Normal 5 10 2 26 3 10" xfId="32524" xr:uid="{00000000-0005-0000-0000-00000C7F0000}"/>
    <cellStyle name="Normal 5 10 2 26 3 2" xfId="32525" xr:uid="{00000000-0005-0000-0000-00000D7F0000}"/>
    <cellStyle name="Normal 5 10 2 26 3 3" xfId="32526" xr:uid="{00000000-0005-0000-0000-00000E7F0000}"/>
    <cellStyle name="Normal 5 10 2 26 3 4" xfId="32527" xr:uid="{00000000-0005-0000-0000-00000F7F0000}"/>
    <cellStyle name="Normal 5 10 2 26 3 5" xfId="32528" xr:uid="{00000000-0005-0000-0000-0000107F0000}"/>
    <cellStyle name="Normal 5 10 2 26 3 6" xfId="32529" xr:uid="{00000000-0005-0000-0000-0000117F0000}"/>
    <cellStyle name="Normal 5 10 2 26 3 7" xfId="32530" xr:uid="{00000000-0005-0000-0000-0000127F0000}"/>
    <cellStyle name="Normal 5 10 2 26 3 8" xfId="32531" xr:uid="{00000000-0005-0000-0000-0000137F0000}"/>
    <cellStyle name="Normal 5 10 2 26 3 9" xfId="32532" xr:uid="{00000000-0005-0000-0000-0000147F0000}"/>
    <cellStyle name="Normal 5 10 2 26 4" xfId="32533" xr:uid="{00000000-0005-0000-0000-0000157F0000}"/>
    <cellStyle name="Normal 5 10 2 26 4 10" xfId="32534" xr:uid="{00000000-0005-0000-0000-0000167F0000}"/>
    <cellStyle name="Normal 5 10 2 26 4 2" xfId="32535" xr:uid="{00000000-0005-0000-0000-0000177F0000}"/>
    <cellStyle name="Normal 5 10 2 26 4 3" xfId="32536" xr:uid="{00000000-0005-0000-0000-0000187F0000}"/>
    <cellStyle name="Normal 5 10 2 26 4 4" xfId="32537" xr:uid="{00000000-0005-0000-0000-0000197F0000}"/>
    <cellStyle name="Normal 5 10 2 26 4 5" xfId="32538" xr:uid="{00000000-0005-0000-0000-00001A7F0000}"/>
    <cellStyle name="Normal 5 10 2 26 4 6" xfId="32539" xr:uid="{00000000-0005-0000-0000-00001B7F0000}"/>
    <cellStyle name="Normal 5 10 2 26 4 7" xfId="32540" xr:uid="{00000000-0005-0000-0000-00001C7F0000}"/>
    <cellStyle name="Normal 5 10 2 26 4 8" xfId="32541" xr:uid="{00000000-0005-0000-0000-00001D7F0000}"/>
    <cellStyle name="Normal 5 10 2 26 4 9" xfId="32542" xr:uid="{00000000-0005-0000-0000-00001E7F0000}"/>
    <cellStyle name="Normal 5 10 2 26 5" xfId="32543" xr:uid="{00000000-0005-0000-0000-00001F7F0000}"/>
    <cellStyle name="Normal 5 10 2 26 5 10" xfId="32544" xr:uid="{00000000-0005-0000-0000-0000207F0000}"/>
    <cellStyle name="Normal 5 10 2 26 5 2" xfId="32545" xr:uid="{00000000-0005-0000-0000-0000217F0000}"/>
    <cellStyle name="Normal 5 10 2 26 5 3" xfId="32546" xr:uid="{00000000-0005-0000-0000-0000227F0000}"/>
    <cellStyle name="Normal 5 10 2 26 5 4" xfId="32547" xr:uid="{00000000-0005-0000-0000-0000237F0000}"/>
    <cellStyle name="Normal 5 10 2 26 5 5" xfId="32548" xr:uid="{00000000-0005-0000-0000-0000247F0000}"/>
    <cellStyle name="Normal 5 10 2 26 5 6" xfId="32549" xr:uid="{00000000-0005-0000-0000-0000257F0000}"/>
    <cellStyle name="Normal 5 10 2 26 5 7" xfId="32550" xr:uid="{00000000-0005-0000-0000-0000267F0000}"/>
    <cellStyle name="Normal 5 10 2 26 5 8" xfId="32551" xr:uid="{00000000-0005-0000-0000-0000277F0000}"/>
    <cellStyle name="Normal 5 10 2 26 5 9" xfId="32552" xr:uid="{00000000-0005-0000-0000-0000287F0000}"/>
    <cellStyle name="Normal 5 10 2 26 6" xfId="32553" xr:uid="{00000000-0005-0000-0000-0000297F0000}"/>
    <cellStyle name="Normal 5 10 2 26 7" xfId="32554" xr:uid="{00000000-0005-0000-0000-00002A7F0000}"/>
    <cellStyle name="Normal 5 10 2 26 8" xfId="32555" xr:uid="{00000000-0005-0000-0000-00002B7F0000}"/>
    <cellStyle name="Normal 5 10 2 26 9" xfId="32556" xr:uid="{00000000-0005-0000-0000-00002C7F0000}"/>
    <cellStyle name="Normal 5 10 2 27" xfId="32557" xr:uid="{00000000-0005-0000-0000-00002D7F0000}"/>
    <cellStyle name="Normal 5 10 2 27 10" xfId="32558" xr:uid="{00000000-0005-0000-0000-00002E7F0000}"/>
    <cellStyle name="Normal 5 10 2 27 11" xfId="32559" xr:uid="{00000000-0005-0000-0000-00002F7F0000}"/>
    <cellStyle name="Normal 5 10 2 27 12" xfId="32560" xr:uid="{00000000-0005-0000-0000-0000307F0000}"/>
    <cellStyle name="Normal 5 10 2 27 13" xfId="32561" xr:uid="{00000000-0005-0000-0000-0000317F0000}"/>
    <cellStyle name="Normal 5 10 2 27 14" xfId="32562" xr:uid="{00000000-0005-0000-0000-0000327F0000}"/>
    <cellStyle name="Normal 5 10 2 27 2" xfId="32563" xr:uid="{00000000-0005-0000-0000-0000337F0000}"/>
    <cellStyle name="Normal 5 10 2 27 2 10" xfId="32564" xr:uid="{00000000-0005-0000-0000-0000347F0000}"/>
    <cellStyle name="Normal 5 10 2 27 2 2" xfId="32565" xr:uid="{00000000-0005-0000-0000-0000357F0000}"/>
    <cellStyle name="Normal 5 10 2 27 2 3" xfId="32566" xr:uid="{00000000-0005-0000-0000-0000367F0000}"/>
    <cellStyle name="Normal 5 10 2 27 2 4" xfId="32567" xr:uid="{00000000-0005-0000-0000-0000377F0000}"/>
    <cellStyle name="Normal 5 10 2 27 2 5" xfId="32568" xr:uid="{00000000-0005-0000-0000-0000387F0000}"/>
    <cellStyle name="Normal 5 10 2 27 2 6" xfId="32569" xr:uid="{00000000-0005-0000-0000-0000397F0000}"/>
    <cellStyle name="Normal 5 10 2 27 2 7" xfId="32570" xr:uid="{00000000-0005-0000-0000-00003A7F0000}"/>
    <cellStyle name="Normal 5 10 2 27 2 8" xfId="32571" xr:uid="{00000000-0005-0000-0000-00003B7F0000}"/>
    <cellStyle name="Normal 5 10 2 27 2 9" xfId="32572" xr:uid="{00000000-0005-0000-0000-00003C7F0000}"/>
    <cellStyle name="Normal 5 10 2 27 3" xfId="32573" xr:uid="{00000000-0005-0000-0000-00003D7F0000}"/>
    <cellStyle name="Normal 5 10 2 27 3 10" xfId="32574" xr:uid="{00000000-0005-0000-0000-00003E7F0000}"/>
    <cellStyle name="Normal 5 10 2 27 3 2" xfId="32575" xr:uid="{00000000-0005-0000-0000-00003F7F0000}"/>
    <cellStyle name="Normal 5 10 2 27 3 3" xfId="32576" xr:uid="{00000000-0005-0000-0000-0000407F0000}"/>
    <cellStyle name="Normal 5 10 2 27 3 4" xfId="32577" xr:uid="{00000000-0005-0000-0000-0000417F0000}"/>
    <cellStyle name="Normal 5 10 2 27 3 5" xfId="32578" xr:uid="{00000000-0005-0000-0000-0000427F0000}"/>
    <cellStyle name="Normal 5 10 2 27 3 6" xfId="32579" xr:uid="{00000000-0005-0000-0000-0000437F0000}"/>
    <cellStyle name="Normal 5 10 2 27 3 7" xfId="32580" xr:uid="{00000000-0005-0000-0000-0000447F0000}"/>
    <cellStyle name="Normal 5 10 2 27 3 8" xfId="32581" xr:uid="{00000000-0005-0000-0000-0000457F0000}"/>
    <cellStyle name="Normal 5 10 2 27 3 9" xfId="32582" xr:uid="{00000000-0005-0000-0000-0000467F0000}"/>
    <cellStyle name="Normal 5 10 2 27 4" xfId="32583" xr:uid="{00000000-0005-0000-0000-0000477F0000}"/>
    <cellStyle name="Normal 5 10 2 27 4 10" xfId="32584" xr:uid="{00000000-0005-0000-0000-0000487F0000}"/>
    <cellStyle name="Normal 5 10 2 27 4 2" xfId="32585" xr:uid="{00000000-0005-0000-0000-0000497F0000}"/>
    <cellStyle name="Normal 5 10 2 27 4 3" xfId="32586" xr:uid="{00000000-0005-0000-0000-00004A7F0000}"/>
    <cellStyle name="Normal 5 10 2 27 4 4" xfId="32587" xr:uid="{00000000-0005-0000-0000-00004B7F0000}"/>
    <cellStyle name="Normal 5 10 2 27 4 5" xfId="32588" xr:uid="{00000000-0005-0000-0000-00004C7F0000}"/>
    <cellStyle name="Normal 5 10 2 27 4 6" xfId="32589" xr:uid="{00000000-0005-0000-0000-00004D7F0000}"/>
    <cellStyle name="Normal 5 10 2 27 4 7" xfId="32590" xr:uid="{00000000-0005-0000-0000-00004E7F0000}"/>
    <cellStyle name="Normal 5 10 2 27 4 8" xfId="32591" xr:uid="{00000000-0005-0000-0000-00004F7F0000}"/>
    <cellStyle name="Normal 5 10 2 27 4 9" xfId="32592" xr:uid="{00000000-0005-0000-0000-0000507F0000}"/>
    <cellStyle name="Normal 5 10 2 27 5" xfId="32593" xr:uid="{00000000-0005-0000-0000-0000517F0000}"/>
    <cellStyle name="Normal 5 10 2 27 5 10" xfId="32594" xr:uid="{00000000-0005-0000-0000-0000527F0000}"/>
    <cellStyle name="Normal 5 10 2 27 5 2" xfId="32595" xr:uid="{00000000-0005-0000-0000-0000537F0000}"/>
    <cellStyle name="Normal 5 10 2 27 5 3" xfId="32596" xr:uid="{00000000-0005-0000-0000-0000547F0000}"/>
    <cellStyle name="Normal 5 10 2 27 5 4" xfId="32597" xr:uid="{00000000-0005-0000-0000-0000557F0000}"/>
    <cellStyle name="Normal 5 10 2 27 5 5" xfId="32598" xr:uid="{00000000-0005-0000-0000-0000567F0000}"/>
    <cellStyle name="Normal 5 10 2 27 5 6" xfId="32599" xr:uid="{00000000-0005-0000-0000-0000577F0000}"/>
    <cellStyle name="Normal 5 10 2 27 5 7" xfId="32600" xr:uid="{00000000-0005-0000-0000-0000587F0000}"/>
    <cellStyle name="Normal 5 10 2 27 5 8" xfId="32601" xr:uid="{00000000-0005-0000-0000-0000597F0000}"/>
    <cellStyle name="Normal 5 10 2 27 5 9" xfId="32602" xr:uid="{00000000-0005-0000-0000-00005A7F0000}"/>
    <cellStyle name="Normal 5 10 2 27 6" xfId="32603" xr:uid="{00000000-0005-0000-0000-00005B7F0000}"/>
    <cellStyle name="Normal 5 10 2 27 7" xfId="32604" xr:uid="{00000000-0005-0000-0000-00005C7F0000}"/>
    <cellStyle name="Normal 5 10 2 27 8" xfId="32605" xr:uid="{00000000-0005-0000-0000-00005D7F0000}"/>
    <cellStyle name="Normal 5 10 2 27 9" xfId="32606" xr:uid="{00000000-0005-0000-0000-00005E7F0000}"/>
    <cellStyle name="Normal 5 10 2 28" xfId="32607" xr:uid="{00000000-0005-0000-0000-00005F7F0000}"/>
    <cellStyle name="Normal 5 10 2 28 10" xfId="32608" xr:uid="{00000000-0005-0000-0000-0000607F0000}"/>
    <cellStyle name="Normal 5 10 2 28 11" xfId="32609" xr:uid="{00000000-0005-0000-0000-0000617F0000}"/>
    <cellStyle name="Normal 5 10 2 28 12" xfId="32610" xr:uid="{00000000-0005-0000-0000-0000627F0000}"/>
    <cellStyle name="Normal 5 10 2 28 13" xfId="32611" xr:uid="{00000000-0005-0000-0000-0000637F0000}"/>
    <cellStyle name="Normal 5 10 2 28 14" xfId="32612" xr:uid="{00000000-0005-0000-0000-0000647F0000}"/>
    <cellStyle name="Normal 5 10 2 28 2" xfId="32613" xr:uid="{00000000-0005-0000-0000-0000657F0000}"/>
    <cellStyle name="Normal 5 10 2 28 2 10" xfId="32614" xr:uid="{00000000-0005-0000-0000-0000667F0000}"/>
    <cellStyle name="Normal 5 10 2 28 2 2" xfId="32615" xr:uid="{00000000-0005-0000-0000-0000677F0000}"/>
    <cellStyle name="Normal 5 10 2 28 2 3" xfId="32616" xr:uid="{00000000-0005-0000-0000-0000687F0000}"/>
    <cellStyle name="Normal 5 10 2 28 2 4" xfId="32617" xr:uid="{00000000-0005-0000-0000-0000697F0000}"/>
    <cellStyle name="Normal 5 10 2 28 2 5" xfId="32618" xr:uid="{00000000-0005-0000-0000-00006A7F0000}"/>
    <cellStyle name="Normal 5 10 2 28 2 6" xfId="32619" xr:uid="{00000000-0005-0000-0000-00006B7F0000}"/>
    <cellStyle name="Normal 5 10 2 28 2 7" xfId="32620" xr:uid="{00000000-0005-0000-0000-00006C7F0000}"/>
    <cellStyle name="Normal 5 10 2 28 2 8" xfId="32621" xr:uid="{00000000-0005-0000-0000-00006D7F0000}"/>
    <cellStyle name="Normal 5 10 2 28 2 9" xfId="32622" xr:uid="{00000000-0005-0000-0000-00006E7F0000}"/>
    <cellStyle name="Normal 5 10 2 28 3" xfId="32623" xr:uid="{00000000-0005-0000-0000-00006F7F0000}"/>
    <cellStyle name="Normal 5 10 2 28 3 10" xfId="32624" xr:uid="{00000000-0005-0000-0000-0000707F0000}"/>
    <cellStyle name="Normal 5 10 2 28 3 2" xfId="32625" xr:uid="{00000000-0005-0000-0000-0000717F0000}"/>
    <cellStyle name="Normal 5 10 2 28 3 3" xfId="32626" xr:uid="{00000000-0005-0000-0000-0000727F0000}"/>
    <cellStyle name="Normal 5 10 2 28 3 4" xfId="32627" xr:uid="{00000000-0005-0000-0000-0000737F0000}"/>
    <cellStyle name="Normal 5 10 2 28 3 5" xfId="32628" xr:uid="{00000000-0005-0000-0000-0000747F0000}"/>
    <cellStyle name="Normal 5 10 2 28 3 6" xfId="32629" xr:uid="{00000000-0005-0000-0000-0000757F0000}"/>
    <cellStyle name="Normal 5 10 2 28 3 7" xfId="32630" xr:uid="{00000000-0005-0000-0000-0000767F0000}"/>
    <cellStyle name="Normal 5 10 2 28 3 8" xfId="32631" xr:uid="{00000000-0005-0000-0000-0000777F0000}"/>
    <cellStyle name="Normal 5 10 2 28 3 9" xfId="32632" xr:uid="{00000000-0005-0000-0000-0000787F0000}"/>
    <cellStyle name="Normal 5 10 2 28 4" xfId="32633" xr:uid="{00000000-0005-0000-0000-0000797F0000}"/>
    <cellStyle name="Normal 5 10 2 28 4 10" xfId="32634" xr:uid="{00000000-0005-0000-0000-00007A7F0000}"/>
    <cellStyle name="Normal 5 10 2 28 4 2" xfId="32635" xr:uid="{00000000-0005-0000-0000-00007B7F0000}"/>
    <cellStyle name="Normal 5 10 2 28 4 3" xfId="32636" xr:uid="{00000000-0005-0000-0000-00007C7F0000}"/>
    <cellStyle name="Normal 5 10 2 28 4 4" xfId="32637" xr:uid="{00000000-0005-0000-0000-00007D7F0000}"/>
    <cellStyle name="Normal 5 10 2 28 4 5" xfId="32638" xr:uid="{00000000-0005-0000-0000-00007E7F0000}"/>
    <cellStyle name="Normal 5 10 2 28 4 6" xfId="32639" xr:uid="{00000000-0005-0000-0000-00007F7F0000}"/>
    <cellStyle name="Normal 5 10 2 28 4 7" xfId="32640" xr:uid="{00000000-0005-0000-0000-0000807F0000}"/>
    <cellStyle name="Normal 5 10 2 28 4 8" xfId="32641" xr:uid="{00000000-0005-0000-0000-0000817F0000}"/>
    <cellStyle name="Normal 5 10 2 28 4 9" xfId="32642" xr:uid="{00000000-0005-0000-0000-0000827F0000}"/>
    <cellStyle name="Normal 5 10 2 28 5" xfId="32643" xr:uid="{00000000-0005-0000-0000-0000837F0000}"/>
    <cellStyle name="Normal 5 10 2 28 5 10" xfId="32644" xr:uid="{00000000-0005-0000-0000-0000847F0000}"/>
    <cellStyle name="Normal 5 10 2 28 5 2" xfId="32645" xr:uid="{00000000-0005-0000-0000-0000857F0000}"/>
    <cellStyle name="Normal 5 10 2 28 5 3" xfId="32646" xr:uid="{00000000-0005-0000-0000-0000867F0000}"/>
    <cellStyle name="Normal 5 10 2 28 5 4" xfId="32647" xr:uid="{00000000-0005-0000-0000-0000877F0000}"/>
    <cellStyle name="Normal 5 10 2 28 5 5" xfId="32648" xr:uid="{00000000-0005-0000-0000-0000887F0000}"/>
    <cellStyle name="Normal 5 10 2 28 5 6" xfId="32649" xr:uid="{00000000-0005-0000-0000-0000897F0000}"/>
    <cellStyle name="Normal 5 10 2 28 5 7" xfId="32650" xr:uid="{00000000-0005-0000-0000-00008A7F0000}"/>
    <cellStyle name="Normal 5 10 2 28 5 8" xfId="32651" xr:uid="{00000000-0005-0000-0000-00008B7F0000}"/>
    <cellStyle name="Normal 5 10 2 28 5 9" xfId="32652" xr:uid="{00000000-0005-0000-0000-00008C7F0000}"/>
    <cellStyle name="Normal 5 10 2 28 6" xfId="32653" xr:uid="{00000000-0005-0000-0000-00008D7F0000}"/>
    <cellStyle name="Normal 5 10 2 28 7" xfId="32654" xr:uid="{00000000-0005-0000-0000-00008E7F0000}"/>
    <cellStyle name="Normal 5 10 2 28 8" xfId="32655" xr:uid="{00000000-0005-0000-0000-00008F7F0000}"/>
    <cellStyle name="Normal 5 10 2 28 9" xfId="32656" xr:uid="{00000000-0005-0000-0000-0000907F0000}"/>
    <cellStyle name="Normal 5 10 2 29" xfId="32657" xr:uid="{00000000-0005-0000-0000-0000917F0000}"/>
    <cellStyle name="Normal 5 10 2 29 10" xfId="32658" xr:uid="{00000000-0005-0000-0000-0000927F0000}"/>
    <cellStyle name="Normal 5 10 2 29 11" xfId="32659" xr:uid="{00000000-0005-0000-0000-0000937F0000}"/>
    <cellStyle name="Normal 5 10 2 29 12" xfId="32660" xr:uid="{00000000-0005-0000-0000-0000947F0000}"/>
    <cellStyle name="Normal 5 10 2 29 13" xfId="32661" xr:uid="{00000000-0005-0000-0000-0000957F0000}"/>
    <cellStyle name="Normal 5 10 2 29 14" xfId="32662" xr:uid="{00000000-0005-0000-0000-0000967F0000}"/>
    <cellStyle name="Normal 5 10 2 29 2" xfId="32663" xr:uid="{00000000-0005-0000-0000-0000977F0000}"/>
    <cellStyle name="Normal 5 10 2 29 2 10" xfId="32664" xr:uid="{00000000-0005-0000-0000-0000987F0000}"/>
    <cellStyle name="Normal 5 10 2 29 2 2" xfId="32665" xr:uid="{00000000-0005-0000-0000-0000997F0000}"/>
    <cellStyle name="Normal 5 10 2 29 2 3" xfId="32666" xr:uid="{00000000-0005-0000-0000-00009A7F0000}"/>
    <cellStyle name="Normal 5 10 2 29 2 4" xfId="32667" xr:uid="{00000000-0005-0000-0000-00009B7F0000}"/>
    <cellStyle name="Normal 5 10 2 29 2 5" xfId="32668" xr:uid="{00000000-0005-0000-0000-00009C7F0000}"/>
    <cellStyle name="Normal 5 10 2 29 2 6" xfId="32669" xr:uid="{00000000-0005-0000-0000-00009D7F0000}"/>
    <cellStyle name="Normal 5 10 2 29 2 7" xfId="32670" xr:uid="{00000000-0005-0000-0000-00009E7F0000}"/>
    <cellStyle name="Normal 5 10 2 29 2 8" xfId="32671" xr:uid="{00000000-0005-0000-0000-00009F7F0000}"/>
    <cellStyle name="Normal 5 10 2 29 2 9" xfId="32672" xr:uid="{00000000-0005-0000-0000-0000A07F0000}"/>
    <cellStyle name="Normal 5 10 2 29 3" xfId="32673" xr:uid="{00000000-0005-0000-0000-0000A17F0000}"/>
    <cellStyle name="Normal 5 10 2 29 3 10" xfId="32674" xr:uid="{00000000-0005-0000-0000-0000A27F0000}"/>
    <cellStyle name="Normal 5 10 2 29 3 2" xfId="32675" xr:uid="{00000000-0005-0000-0000-0000A37F0000}"/>
    <cellStyle name="Normal 5 10 2 29 3 3" xfId="32676" xr:uid="{00000000-0005-0000-0000-0000A47F0000}"/>
    <cellStyle name="Normal 5 10 2 29 3 4" xfId="32677" xr:uid="{00000000-0005-0000-0000-0000A57F0000}"/>
    <cellStyle name="Normal 5 10 2 29 3 5" xfId="32678" xr:uid="{00000000-0005-0000-0000-0000A67F0000}"/>
    <cellStyle name="Normal 5 10 2 29 3 6" xfId="32679" xr:uid="{00000000-0005-0000-0000-0000A77F0000}"/>
    <cellStyle name="Normal 5 10 2 29 3 7" xfId="32680" xr:uid="{00000000-0005-0000-0000-0000A87F0000}"/>
    <cellStyle name="Normal 5 10 2 29 3 8" xfId="32681" xr:uid="{00000000-0005-0000-0000-0000A97F0000}"/>
    <cellStyle name="Normal 5 10 2 29 3 9" xfId="32682" xr:uid="{00000000-0005-0000-0000-0000AA7F0000}"/>
    <cellStyle name="Normal 5 10 2 29 4" xfId="32683" xr:uid="{00000000-0005-0000-0000-0000AB7F0000}"/>
    <cellStyle name="Normal 5 10 2 29 4 10" xfId="32684" xr:uid="{00000000-0005-0000-0000-0000AC7F0000}"/>
    <cellStyle name="Normal 5 10 2 29 4 2" xfId="32685" xr:uid="{00000000-0005-0000-0000-0000AD7F0000}"/>
    <cellStyle name="Normal 5 10 2 29 4 3" xfId="32686" xr:uid="{00000000-0005-0000-0000-0000AE7F0000}"/>
    <cellStyle name="Normal 5 10 2 29 4 4" xfId="32687" xr:uid="{00000000-0005-0000-0000-0000AF7F0000}"/>
    <cellStyle name="Normal 5 10 2 29 4 5" xfId="32688" xr:uid="{00000000-0005-0000-0000-0000B07F0000}"/>
    <cellStyle name="Normal 5 10 2 29 4 6" xfId="32689" xr:uid="{00000000-0005-0000-0000-0000B17F0000}"/>
    <cellStyle name="Normal 5 10 2 29 4 7" xfId="32690" xr:uid="{00000000-0005-0000-0000-0000B27F0000}"/>
    <cellStyle name="Normal 5 10 2 29 4 8" xfId="32691" xr:uid="{00000000-0005-0000-0000-0000B37F0000}"/>
    <cellStyle name="Normal 5 10 2 29 4 9" xfId="32692" xr:uid="{00000000-0005-0000-0000-0000B47F0000}"/>
    <cellStyle name="Normal 5 10 2 29 5" xfId="32693" xr:uid="{00000000-0005-0000-0000-0000B57F0000}"/>
    <cellStyle name="Normal 5 10 2 29 5 10" xfId="32694" xr:uid="{00000000-0005-0000-0000-0000B67F0000}"/>
    <cellStyle name="Normal 5 10 2 29 5 2" xfId="32695" xr:uid="{00000000-0005-0000-0000-0000B77F0000}"/>
    <cellStyle name="Normal 5 10 2 29 5 3" xfId="32696" xr:uid="{00000000-0005-0000-0000-0000B87F0000}"/>
    <cellStyle name="Normal 5 10 2 29 5 4" xfId="32697" xr:uid="{00000000-0005-0000-0000-0000B97F0000}"/>
    <cellStyle name="Normal 5 10 2 29 5 5" xfId="32698" xr:uid="{00000000-0005-0000-0000-0000BA7F0000}"/>
    <cellStyle name="Normal 5 10 2 29 5 6" xfId="32699" xr:uid="{00000000-0005-0000-0000-0000BB7F0000}"/>
    <cellStyle name="Normal 5 10 2 29 5 7" xfId="32700" xr:uid="{00000000-0005-0000-0000-0000BC7F0000}"/>
    <cellStyle name="Normal 5 10 2 29 5 8" xfId="32701" xr:uid="{00000000-0005-0000-0000-0000BD7F0000}"/>
    <cellStyle name="Normal 5 10 2 29 5 9" xfId="32702" xr:uid="{00000000-0005-0000-0000-0000BE7F0000}"/>
    <cellStyle name="Normal 5 10 2 29 6" xfId="32703" xr:uid="{00000000-0005-0000-0000-0000BF7F0000}"/>
    <cellStyle name="Normal 5 10 2 29 7" xfId="32704" xr:uid="{00000000-0005-0000-0000-0000C07F0000}"/>
    <cellStyle name="Normal 5 10 2 29 8" xfId="32705" xr:uid="{00000000-0005-0000-0000-0000C17F0000}"/>
    <cellStyle name="Normal 5 10 2 29 9" xfId="32706" xr:uid="{00000000-0005-0000-0000-0000C27F0000}"/>
    <cellStyle name="Normal 5 10 2 3" xfId="32707" xr:uid="{00000000-0005-0000-0000-0000C37F0000}"/>
    <cellStyle name="Normal 5 10 2 3 10" xfId="32708" xr:uid="{00000000-0005-0000-0000-0000C47F0000}"/>
    <cellStyle name="Normal 5 10 2 3 11" xfId="32709" xr:uid="{00000000-0005-0000-0000-0000C57F0000}"/>
    <cellStyle name="Normal 5 10 2 3 12" xfId="32710" xr:uid="{00000000-0005-0000-0000-0000C67F0000}"/>
    <cellStyle name="Normal 5 10 2 3 13" xfId="32711" xr:uid="{00000000-0005-0000-0000-0000C77F0000}"/>
    <cellStyle name="Normal 5 10 2 3 14" xfId="32712" xr:uid="{00000000-0005-0000-0000-0000C87F0000}"/>
    <cellStyle name="Normal 5 10 2 3 2" xfId="32713" xr:uid="{00000000-0005-0000-0000-0000C97F0000}"/>
    <cellStyle name="Normal 5 10 2 3 2 10" xfId="32714" xr:uid="{00000000-0005-0000-0000-0000CA7F0000}"/>
    <cellStyle name="Normal 5 10 2 3 2 2" xfId="32715" xr:uid="{00000000-0005-0000-0000-0000CB7F0000}"/>
    <cellStyle name="Normal 5 10 2 3 2 3" xfId="32716" xr:uid="{00000000-0005-0000-0000-0000CC7F0000}"/>
    <cellStyle name="Normal 5 10 2 3 2 4" xfId="32717" xr:uid="{00000000-0005-0000-0000-0000CD7F0000}"/>
    <cellStyle name="Normal 5 10 2 3 2 5" xfId="32718" xr:uid="{00000000-0005-0000-0000-0000CE7F0000}"/>
    <cellStyle name="Normal 5 10 2 3 2 6" xfId="32719" xr:uid="{00000000-0005-0000-0000-0000CF7F0000}"/>
    <cellStyle name="Normal 5 10 2 3 2 7" xfId="32720" xr:uid="{00000000-0005-0000-0000-0000D07F0000}"/>
    <cellStyle name="Normal 5 10 2 3 2 8" xfId="32721" xr:uid="{00000000-0005-0000-0000-0000D17F0000}"/>
    <cellStyle name="Normal 5 10 2 3 2 9" xfId="32722" xr:uid="{00000000-0005-0000-0000-0000D27F0000}"/>
    <cellStyle name="Normal 5 10 2 3 3" xfId="32723" xr:uid="{00000000-0005-0000-0000-0000D37F0000}"/>
    <cellStyle name="Normal 5 10 2 3 3 10" xfId="32724" xr:uid="{00000000-0005-0000-0000-0000D47F0000}"/>
    <cellStyle name="Normal 5 10 2 3 3 2" xfId="32725" xr:uid="{00000000-0005-0000-0000-0000D57F0000}"/>
    <cellStyle name="Normal 5 10 2 3 3 3" xfId="32726" xr:uid="{00000000-0005-0000-0000-0000D67F0000}"/>
    <cellStyle name="Normal 5 10 2 3 3 4" xfId="32727" xr:uid="{00000000-0005-0000-0000-0000D77F0000}"/>
    <cellStyle name="Normal 5 10 2 3 3 5" xfId="32728" xr:uid="{00000000-0005-0000-0000-0000D87F0000}"/>
    <cellStyle name="Normal 5 10 2 3 3 6" xfId="32729" xr:uid="{00000000-0005-0000-0000-0000D97F0000}"/>
    <cellStyle name="Normal 5 10 2 3 3 7" xfId="32730" xr:uid="{00000000-0005-0000-0000-0000DA7F0000}"/>
    <cellStyle name="Normal 5 10 2 3 3 8" xfId="32731" xr:uid="{00000000-0005-0000-0000-0000DB7F0000}"/>
    <cellStyle name="Normal 5 10 2 3 3 9" xfId="32732" xr:uid="{00000000-0005-0000-0000-0000DC7F0000}"/>
    <cellStyle name="Normal 5 10 2 3 4" xfId="32733" xr:uid="{00000000-0005-0000-0000-0000DD7F0000}"/>
    <cellStyle name="Normal 5 10 2 3 4 10" xfId="32734" xr:uid="{00000000-0005-0000-0000-0000DE7F0000}"/>
    <cellStyle name="Normal 5 10 2 3 4 2" xfId="32735" xr:uid="{00000000-0005-0000-0000-0000DF7F0000}"/>
    <cellStyle name="Normal 5 10 2 3 4 3" xfId="32736" xr:uid="{00000000-0005-0000-0000-0000E07F0000}"/>
    <cellStyle name="Normal 5 10 2 3 4 4" xfId="32737" xr:uid="{00000000-0005-0000-0000-0000E17F0000}"/>
    <cellStyle name="Normal 5 10 2 3 4 5" xfId="32738" xr:uid="{00000000-0005-0000-0000-0000E27F0000}"/>
    <cellStyle name="Normal 5 10 2 3 4 6" xfId="32739" xr:uid="{00000000-0005-0000-0000-0000E37F0000}"/>
    <cellStyle name="Normal 5 10 2 3 4 7" xfId="32740" xr:uid="{00000000-0005-0000-0000-0000E47F0000}"/>
    <cellStyle name="Normal 5 10 2 3 4 8" xfId="32741" xr:uid="{00000000-0005-0000-0000-0000E57F0000}"/>
    <cellStyle name="Normal 5 10 2 3 4 9" xfId="32742" xr:uid="{00000000-0005-0000-0000-0000E67F0000}"/>
    <cellStyle name="Normal 5 10 2 3 5" xfId="32743" xr:uid="{00000000-0005-0000-0000-0000E77F0000}"/>
    <cellStyle name="Normal 5 10 2 3 5 10" xfId="32744" xr:uid="{00000000-0005-0000-0000-0000E87F0000}"/>
    <cellStyle name="Normal 5 10 2 3 5 2" xfId="32745" xr:uid="{00000000-0005-0000-0000-0000E97F0000}"/>
    <cellStyle name="Normal 5 10 2 3 5 3" xfId="32746" xr:uid="{00000000-0005-0000-0000-0000EA7F0000}"/>
    <cellStyle name="Normal 5 10 2 3 5 4" xfId="32747" xr:uid="{00000000-0005-0000-0000-0000EB7F0000}"/>
    <cellStyle name="Normal 5 10 2 3 5 5" xfId="32748" xr:uid="{00000000-0005-0000-0000-0000EC7F0000}"/>
    <cellStyle name="Normal 5 10 2 3 5 6" xfId="32749" xr:uid="{00000000-0005-0000-0000-0000ED7F0000}"/>
    <cellStyle name="Normal 5 10 2 3 5 7" xfId="32750" xr:uid="{00000000-0005-0000-0000-0000EE7F0000}"/>
    <cellStyle name="Normal 5 10 2 3 5 8" xfId="32751" xr:uid="{00000000-0005-0000-0000-0000EF7F0000}"/>
    <cellStyle name="Normal 5 10 2 3 5 9" xfId="32752" xr:uid="{00000000-0005-0000-0000-0000F07F0000}"/>
    <cellStyle name="Normal 5 10 2 3 6" xfId="32753" xr:uid="{00000000-0005-0000-0000-0000F17F0000}"/>
    <cellStyle name="Normal 5 10 2 3 7" xfId="32754" xr:uid="{00000000-0005-0000-0000-0000F27F0000}"/>
    <cellStyle name="Normal 5 10 2 3 8" xfId="32755" xr:uid="{00000000-0005-0000-0000-0000F37F0000}"/>
    <cellStyle name="Normal 5 10 2 3 9" xfId="32756" xr:uid="{00000000-0005-0000-0000-0000F47F0000}"/>
    <cellStyle name="Normal 5 10 2 30" xfId="32757" xr:uid="{00000000-0005-0000-0000-0000F57F0000}"/>
    <cellStyle name="Normal 5 10 2 30 10" xfId="32758" xr:uid="{00000000-0005-0000-0000-0000F67F0000}"/>
    <cellStyle name="Normal 5 10 2 30 11" xfId="32759" xr:uid="{00000000-0005-0000-0000-0000F77F0000}"/>
    <cellStyle name="Normal 5 10 2 30 12" xfId="32760" xr:uid="{00000000-0005-0000-0000-0000F87F0000}"/>
    <cellStyle name="Normal 5 10 2 30 13" xfId="32761" xr:uid="{00000000-0005-0000-0000-0000F97F0000}"/>
    <cellStyle name="Normal 5 10 2 30 14" xfId="32762" xr:uid="{00000000-0005-0000-0000-0000FA7F0000}"/>
    <cellStyle name="Normal 5 10 2 30 2" xfId="32763" xr:uid="{00000000-0005-0000-0000-0000FB7F0000}"/>
    <cellStyle name="Normal 5 10 2 30 2 10" xfId="32764" xr:uid="{00000000-0005-0000-0000-0000FC7F0000}"/>
    <cellStyle name="Normal 5 10 2 30 2 2" xfId="32765" xr:uid="{00000000-0005-0000-0000-0000FD7F0000}"/>
    <cellStyle name="Normal 5 10 2 30 2 3" xfId="32766" xr:uid="{00000000-0005-0000-0000-0000FE7F0000}"/>
    <cellStyle name="Normal 5 10 2 30 2 4" xfId="32767" xr:uid="{00000000-0005-0000-0000-0000FF7F0000}"/>
    <cellStyle name="Normal 5 10 2 30 2 5" xfId="32768" xr:uid="{00000000-0005-0000-0000-000000800000}"/>
    <cellStyle name="Normal 5 10 2 30 2 6" xfId="32769" xr:uid="{00000000-0005-0000-0000-000001800000}"/>
    <cellStyle name="Normal 5 10 2 30 2 7" xfId="32770" xr:uid="{00000000-0005-0000-0000-000002800000}"/>
    <cellStyle name="Normal 5 10 2 30 2 8" xfId="32771" xr:uid="{00000000-0005-0000-0000-000003800000}"/>
    <cellStyle name="Normal 5 10 2 30 2 9" xfId="32772" xr:uid="{00000000-0005-0000-0000-000004800000}"/>
    <cellStyle name="Normal 5 10 2 30 3" xfId="32773" xr:uid="{00000000-0005-0000-0000-000005800000}"/>
    <cellStyle name="Normal 5 10 2 30 3 10" xfId="32774" xr:uid="{00000000-0005-0000-0000-000006800000}"/>
    <cellStyle name="Normal 5 10 2 30 3 2" xfId="32775" xr:uid="{00000000-0005-0000-0000-000007800000}"/>
    <cellStyle name="Normal 5 10 2 30 3 3" xfId="32776" xr:uid="{00000000-0005-0000-0000-000008800000}"/>
    <cellStyle name="Normal 5 10 2 30 3 4" xfId="32777" xr:uid="{00000000-0005-0000-0000-000009800000}"/>
    <cellStyle name="Normal 5 10 2 30 3 5" xfId="32778" xr:uid="{00000000-0005-0000-0000-00000A800000}"/>
    <cellStyle name="Normal 5 10 2 30 3 6" xfId="32779" xr:uid="{00000000-0005-0000-0000-00000B800000}"/>
    <cellStyle name="Normal 5 10 2 30 3 7" xfId="32780" xr:uid="{00000000-0005-0000-0000-00000C800000}"/>
    <cellStyle name="Normal 5 10 2 30 3 8" xfId="32781" xr:uid="{00000000-0005-0000-0000-00000D800000}"/>
    <cellStyle name="Normal 5 10 2 30 3 9" xfId="32782" xr:uid="{00000000-0005-0000-0000-00000E800000}"/>
    <cellStyle name="Normal 5 10 2 30 4" xfId="32783" xr:uid="{00000000-0005-0000-0000-00000F800000}"/>
    <cellStyle name="Normal 5 10 2 30 4 10" xfId="32784" xr:uid="{00000000-0005-0000-0000-000010800000}"/>
    <cellStyle name="Normal 5 10 2 30 4 2" xfId="32785" xr:uid="{00000000-0005-0000-0000-000011800000}"/>
    <cellStyle name="Normal 5 10 2 30 4 3" xfId="32786" xr:uid="{00000000-0005-0000-0000-000012800000}"/>
    <cellStyle name="Normal 5 10 2 30 4 4" xfId="32787" xr:uid="{00000000-0005-0000-0000-000013800000}"/>
    <cellStyle name="Normal 5 10 2 30 4 5" xfId="32788" xr:uid="{00000000-0005-0000-0000-000014800000}"/>
    <cellStyle name="Normal 5 10 2 30 4 6" xfId="32789" xr:uid="{00000000-0005-0000-0000-000015800000}"/>
    <cellStyle name="Normal 5 10 2 30 4 7" xfId="32790" xr:uid="{00000000-0005-0000-0000-000016800000}"/>
    <cellStyle name="Normal 5 10 2 30 4 8" xfId="32791" xr:uid="{00000000-0005-0000-0000-000017800000}"/>
    <cellStyle name="Normal 5 10 2 30 4 9" xfId="32792" xr:uid="{00000000-0005-0000-0000-000018800000}"/>
    <cellStyle name="Normal 5 10 2 30 5" xfId="32793" xr:uid="{00000000-0005-0000-0000-000019800000}"/>
    <cellStyle name="Normal 5 10 2 30 5 10" xfId="32794" xr:uid="{00000000-0005-0000-0000-00001A800000}"/>
    <cellStyle name="Normal 5 10 2 30 5 2" xfId="32795" xr:uid="{00000000-0005-0000-0000-00001B800000}"/>
    <cellStyle name="Normal 5 10 2 30 5 3" xfId="32796" xr:uid="{00000000-0005-0000-0000-00001C800000}"/>
    <cellStyle name="Normal 5 10 2 30 5 4" xfId="32797" xr:uid="{00000000-0005-0000-0000-00001D800000}"/>
    <cellStyle name="Normal 5 10 2 30 5 5" xfId="32798" xr:uid="{00000000-0005-0000-0000-00001E800000}"/>
    <cellStyle name="Normal 5 10 2 30 5 6" xfId="32799" xr:uid="{00000000-0005-0000-0000-00001F800000}"/>
    <cellStyle name="Normal 5 10 2 30 5 7" xfId="32800" xr:uid="{00000000-0005-0000-0000-000020800000}"/>
    <cellStyle name="Normal 5 10 2 30 5 8" xfId="32801" xr:uid="{00000000-0005-0000-0000-000021800000}"/>
    <cellStyle name="Normal 5 10 2 30 5 9" xfId="32802" xr:uid="{00000000-0005-0000-0000-000022800000}"/>
    <cellStyle name="Normal 5 10 2 30 6" xfId="32803" xr:uid="{00000000-0005-0000-0000-000023800000}"/>
    <cellStyle name="Normal 5 10 2 30 7" xfId="32804" xr:uid="{00000000-0005-0000-0000-000024800000}"/>
    <cellStyle name="Normal 5 10 2 30 8" xfId="32805" xr:uid="{00000000-0005-0000-0000-000025800000}"/>
    <cellStyle name="Normal 5 10 2 30 9" xfId="32806" xr:uid="{00000000-0005-0000-0000-000026800000}"/>
    <cellStyle name="Normal 5 10 2 31" xfId="32807" xr:uid="{00000000-0005-0000-0000-000027800000}"/>
    <cellStyle name="Normal 5 10 2 31 10" xfId="32808" xr:uid="{00000000-0005-0000-0000-000028800000}"/>
    <cellStyle name="Normal 5 10 2 31 11" xfId="32809" xr:uid="{00000000-0005-0000-0000-000029800000}"/>
    <cellStyle name="Normal 5 10 2 31 12" xfId="32810" xr:uid="{00000000-0005-0000-0000-00002A800000}"/>
    <cellStyle name="Normal 5 10 2 31 13" xfId="32811" xr:uid="{00000000-0005-0000-0000-00002B800000}"/>
    <cellStyle name="Normal 5 10 2 31 14" xfId="32812" xr:uid="{00000000-0005-0000-0000-00002C800000}"/>
    <cellStyle name="Normal 5 10 2 31 2" xfId="32813" xr:uid="{00000000-0005-0000-0000-00002D800000}"/>
    <cellStyle name="Normal 5 10 2 31 2 10" xfId="32814" xr:uid="{00000000-0005-0000-0000-00002E800000}"/>
    <cellStyle name="Normal 5 10 2 31 2 2" xfId="32815" xr:uid="{00000000-0005-0000-0000-00002F800000}"/>
    <cellStyle name="Normal 5 10 2 31 2 3" xfId="32816" xr:uid="{00000000-0005-0000-0000-000030800000}"/>
    <cellStyle name="Normal 5 10 2 31 2 4" xfId="32817" xr:uid="{00000000-0005-0000-0000-000031800000}"/>
    <cellStyle name="Normal 5 10 2 31 2 5" xfId="32818" xr:uid="{00000000-0005-0000-0000-000032800000}"/>
    <cellStyle name="Normal 5 10 2 31 2 6" xfId="32819" xr:uid="{00000000-0005-0000-0000-000033800000}"/>
    <cellStyle name="Normal 5 10 2 31 2 7" xfId="32820" xr:uid="{00000000-0005-0000-0000-000034800000}"/>
    <cellStyle name="Normal 5 10 2 31 2 8" xfId="32821" xr:uid="{00000000-0005-0000-0000-000035800000}"/>
    <cellStyle name="Normal 5 10 2 31 2 9" xfId="32822" xr:uid="{00000000-0005-0000-0000-000036800000}"/>
    <cellStyle name="Normal 5 10 2 31 3" xfId="32823" xr:uid="{00000000-0005-0000-0000-000037800000}"/>
    <cellStyle name="Normal 5 10 2 31 3 10" xfId="32824" xr:uid="{00000000-0005-0000-0000-000038800000}"/>
    <cellStyle name="Normal 5 10 2 31 3 2" xfId="32825" xr:uid="{00000000-0005-0000-0000-000039800000}"/>
    <cellStyle name="Normal 5 10 2 31 3 3" xfId="32826" xr:uid="{00000000-0005-0000-0000-00003A800000}"/>
    <cellStyle name="Normal 5 10 2 31 3 4" xfId="32827" xr:uid="{00000000-0005-0000-0000-00003B800000}"/>
    <cellStyle name="Normal 5 10 2 31 3 5" xfId="32828" xr:uid="{00000000-0005-0000-0000-00003C800000}"/>
    <cellStyle name="Normal 5 10 2 31 3 6" xfId="32829" xr:uid="{00000000-0005-0000-0000-00003D800000}"/>
    <cellStyle name="Normal 5 10 2 31 3 7" xfId="32830" xr:uid="{00000000-0005-0000-0000-00003E800000}"/>
    <cellStyle name="Normal 5 10 2 31 3 8" xfId="32831" xr:uid="{00000000-0005-0000-0000-00003F800000}"/>
    <cellStyle name="Normal 5 10 2 31 3 9" xfId="32832" xr:uid="{00000000-0005-0000-0000-000040800000}"/>
    <cellStyle name="Normal 5 10 2 31 4" xfId="32833" xr:uid="{00000000-0005-0000-0000-000041800000}"/>
    <cellStyle name="Normal 5 10 2 31 4 10" xfId="32834" xr:uid="{00000000-0005-0000-0000-000042800000}"/>
    <cellStyle name="Normal 5 10 2 31 4 2" xfId="32835" xr:uid="{00000000-0005-0000-0000-000043800000}"/>
    <cellStyle name="Normal 5 10 2 31 4 3" xfId="32836" xr:uid="{00000000-0005-0000-0000-000044800000}"/>
    <cellStyle name="Normal 5 10 2 31 4 4" xfId="32837" xr:uid="{00000000-0005-0000-0000-000045800000}"/>
    <cellStyle name="Normal 5 10 2 31 4 5" xfId="32838" xr:uid="{00000000-0005-0000-0000-000046800000}"/>
    <cellStyle name="Normal 5 10 2 31 4 6" xfId="32839" xr:uid="{00000000-0005-0000-0000-000047800000}"/>
    <cellStyle name="Normal 5 10 2 31 4 7" xfId="32840" xr:uid="{00000000-0005-0000-0000-000048800000}"/>
    <cellStyle name="Normal 5 10 2 31 4 8" xfId="32841" xr:uid="{00000000-0005-0000-0000-000049800000}"/>
    <cellStyle name="Normal 5 10 2 31 4 9" xfId="32842" xr:uid="{00000000-0005-0000-0000-00004A800000}"/>
    <cellStyle name="Normal 5 10 2 31 5" xfId="32843" xr:uid="{00000000-0005-0000-0000-00004B800000}"/>
    <cellStyle name="Normal 5 10 2 31 5 10" xfId="32844" xr:uid="{00000000-0005-0000-0000-00004C800000}"/>
    <cellStyle name="Normal 5 10 2 31 5 2" xfId="32845" xr:uid="{00000000-0005-0000-0000-00004D800000}"/>
    <cellStyle name="Normal 5 10 2 31 5 3" xfId="32846" xr:uid="{00000000-0005-0000-0000-00004E800000}"/>
    <cellStyle name="Normal 5 10 2 31 5 4" xfId="32847" xr:uid="{00000000-0005-0000-0000-00004F800000}"/>
    <cellStyle name="Normal 5 10 2 31 5 5" xfId="32848" xr:uid="{00000000-0005-0000-0000-000050800000}"/>
    <cellStyle name="Normal 5 10 2 31 5 6" xfId="32849" xr:uid="{00000000-0005-0000-0000-000051800000}"/>
    <cellStyle name="Normal 5 10 2 31 5 7" xfId="32850" xr:uid="{00000000-0005-0000-0000-000052800000}"/>
    <cellStyle name="Normal 5 10 2 31 5 8" xfId="32851" xr:uid="{00000000-0005-0000-0000-000053800000}"/>
    <cellStyle name="Normal 5 10 2 31 5 9" xfId="32852" xr:uid="{00000000-0005-0000-0000-000054800000}"/>
    <cellStyle name="Normal 5 10 2 31 6" xfId="32853" xr:uid="{00000000-0005-0000-0000-000055800000}"/>
    <cellStyle name="Normal 5 10 2 31 7" xfId="32854" xr:uid="{00000000-0005-0000-0000-000056800000}"/>
    <cellStyle name="Normal 5 10 2 31 8" xfId="32855" xr:uid="{00000000-0005-0000-0000-000057800000}"/>
    <cellStyle name="Normal 5 10 2 31 9" xfId="32856" xr:uid="{00000000-0005-0000-0000-000058800000}"/>
    <cellStyle name="Normal 5 10 2 32" xfId="32857" xr:uid="{00000000-0005-0000-0000-000059800000}"/>
    <cellStyle name="Normal 5 10 2 32 10" xfId="32858" xr:uid="{00000000-0005-0000-0000-00005A800000}"/>
    <cellStyle name="Normal 5 10 2 32 11" xfId="32859" xr:uid="{00000000-0005-0000-0000-00005B800000}"/>
    <cellStyle name="Normal 5 10 2 32 12" xfId="32860" xr:uid="{00000000-0005-0000-0000-00005C800000}"/>
    <cellStyle name="Normal 5 10 2 32 13" xfId="32861" xr:uid="{00000000-0005-0000-0000-00005D800000}"/>
    <cellStyle name="Normal 5 10 2 32 14" xfId="32862" xr:uid="{00000000-0005-0000-0000-00005E800000}"/>
    <cellStyle name="Normal 5 10 2 32 2" xfId="32863" xr:uid="{00000000-0005-0000-0000-00005F800000}"/>
    <cellStyle name="Normal 5 10 2 32 2 10" xfId="32864" xr:uid="{00000000-0005-0000-0000-000060800000}"/>
    <cellStyle name="Normal 5 10 2 32 2 2" xfId="32865" xr:uid="{00000000-0005-0000-0000-000061800000}"/>
    <cellStyle name="Normal 5 10 2 32 2 3" xfId="32866" xr:uid="{00000000-0005-0000-0000-000062800000}"/>
    <cellStyle name="Normal 5 10 2 32 2 4" xfId="32867" xr:uid="{00000000-0005-0000-0000-000063800000}"/>
    <cellStyle name="Normal 5 10 2 32 2 5" xfId="32868" xr:uid="{00000000-0005-0000-0000-000064800000}"/>
    <cellStyle name="Normal 5 10 2 32 2 6" xfId="32869" xr:uid="{00000000-0005-0000-0000-000065800000}"/>
    <cellStyle name="Normal 5 10 2 32 2 7" xfId="32870" xr:uid="{00000000-0005-0000-0000-000066800000}"/>
    <cellStyle name="Normal 5 10 2 32 2 8" xfId="32871" xr:uid="{00000000-0005-0000-0000-000067800000}"/>
    <cellStyle name="Normal 5 10 2 32 2 9" xfId="32872" xr:uid="{00000000-0005-0000-0000-000068800000}"/>
    <cellStyle name="Normal 5 10 2 32 3" xfId="32873" xr:uid="{00000000-0005-0000-0000-000069800000}"/>
    <cellStyle name="Normal 5 10 2 32 3 10" xfId="32874" xr:uid="{00000000-0005-0000-0000-00006A800000}"/>
    <cellStyle name="Normal 5 10 2 32 3 2" xfId="32875" xr:uid="{00000000-0005-0000-0000-00006B800000}"/>
    <cellStyle name="Normal 5 10 2 32 3 3" xfId="32876" xr:uid="{00000000-0005-0000-0000-00006C800000}"/>
    <cellStyle name="Normal 5 10 2 32 3 4" xfId="32877" xr:uid="{00000000-0005-0000-0000-00006D800000}"/>
    <cellStyle name="Normal 5 10 2 32 3 5" xfId="32878" xr:uid="{00000000-0005-0000-0000-00006E800000}"/>
    <cellStyle name="Normal 5 10 2 32 3 6" xfId="32879" xr:uid="{00000000-0005-0000-0000-00006F800000}"/>
    <cellStyle name="Normal 5 10 2 32 3 7" xfId="32880" xr:uid="{00000000-0005-0000-0000-000070800000}"/>
    <cellStyle name="Normal 5 10 2 32 3 8" xfId="32881" xr:uid="{00000000-0005-0000-0000-000071800000}"/>
    <cellStyle name="Normal 5 10 2 32 3 9" xfId="32882" xr:uid="{00000000-0005-0000-0000-000072800000}"/>
    <cellStyle name="Normal 5 10 2 32 4" xfId="32883" xr:uid="{00000000-0005-0000-0000-000073800000}"/>
    <cellStyle name="Normal 5 10 2 32 4 10" xfId="32884" xr:uid="{00000000-0005-0000-0000-000074800000}"/>
    <cellStyle name="Normal 5 10 2 32 4 2" xfId="32885" xr:uid="{00000000-0005-0000-0000-000075800000}"/>
    <cellStyle name="Normal 5 10 2 32 4 3" xfId="32886" xr:uid="{00000000-0005-0000-0000-000076800000}"/>
    <cellStyle name="Normal 5 10 2 32 4 4" xfId="32887" xr:uid="{00000000-0005-0000-0000-000077800000}"/>
    <cellStyle name="Normal 5 10 2 32 4 5" xfId="32888" xr:uid="{00000000-0005-0000-0000-000078800000}"/>
    <cellStyle name="Normal 5 10 2 32 4 6" xfId="32889" xr:uid="{00000000-0005-0000-0000-000079800000}"/>
    <cellStyle name="Normal 5 10 2 32 4 7" xfId="32890" xr:uid="{00000000-0005-0000-0000-00007A800000}"/>
    <cellStyle name="Normal 5 10 2 32 4 8" xfId="32891" xr:uid="{00000000-0005-0000-0000-00007B800000}"/>
    <cellStyle name="Normal 5 10 2 32 4 9" xfId="32892" xr:uid="{00000000-0005-0000-0000-00007C800000}"/>
    <cellStyle name="Normal 5 10 2 32 5" xfId="32893" xr:uid="{00000000-0005-0000-0000-00007D800000}"/>
    <cellStyle name="Normal 5 10 2 32 5 10" xfId="32894" xr:uid="{00000000-0005-0000-0000-00007E800000}"/>
    <cellStyle name="Normal 5 10 2 32 5 2" xfId="32895" xr:uid="{00000000-0005-0000-0000-00007F800000}"/>
    <cellStyle name="Normal 5 10 2 32 5 3" xfId="32896" xr:uid="{00000000-0005-0000-0000-000080800000}"/>
    <cellStyle name="Normal 5 10 2 32 5 4" xfId="32897" xr:uid="{00000000-0005-0000-0000-000081800000}"/>
    <cellStyle name="Normal 5 10 2 32 5 5" xfId="32898" xr:uid="{00000000-0005-0000-0000-000082800000}"/>
    <cellStyle name="Normal 5 10 2 32 5 6" xfId="32899" xr:uid="{00000000-0005-0000-0000-000083800000}"/>
    <cellStyle name="Normal 5 10 2 32 5 7" xfId="32900" xr:uid="{00000000-0005-0000-0000-000084800000}"/>
    <cellStyle name="Normal 5 10 2 32 5 8" xfId="32901" xr:uid="{00000000-0005-0000-0000-000085800000}"/>
    <cellStyle name="Normal 5 10 2 32 5 9" xfId="32902" xr:uid="{00000000-0005-0000-0000-000086800000}"/>
    <cellStyle name="Normal 5 10 2 32 6" xfId="32903" xr:uid="{00000000-0005-0000-0000-000087800000}"/>
    <cellStyle name="Normal 5 10 2 32 7" xfId="32904" xr:uid="{00000000-0005-0000-0000-000088800000}"/>
    <cellStyle name="Normal 5 10 2 32 8" xfId="32905" xr:uid="{00000000-0005-0000-0000-000089800000}"/>
    <cellStyle name="Normal 5 10 2 32 9" xfId="32906" xr:uid="{00000000-0005-0000-0000-00008A800000}"/>
    <cellStyle name="Normal 5 10 2 33" xfId="32907" xr:uid="{00000000-0005-0000-0000-00008B800000}"/>
    <cellStyle name="Normal 5 10 2 33 10" xfId="32908" xr:uid="{00000000-0005-0000-0000-00008C800000}"/>
    <cellStyle name="Normal 5 10 2 33 11" xfId="32909" xr:uid="{00000000-0005-0000-0000-00008D800000}"/>
    <cellStyle name="Normal 5 10 2 33 12" xfId="32910" xr:uid="{00000000-0005-0000-0000-00008E800000}"/>
    <cellStyle name="Normal 5 10 2 33 13" xfId="32911" xr:uid="{00000000-0005-0000-0000-00008F800000}"/>
    <cellStyle name="Normal 5 10 2 33 14" xfId="32912" xr:uid="{00000000-0005-0000-0000-000090800000}"/>
    <cellStyle name="Normal 5 10 2 33 2" xfId="32913" xr:uid="{00000000-0005-0000-0000-000091800000}"/>
    <cellStyle name="Normal 5 10 2 33 2 10" xfId="32914" xr:uid="{00000000-0005-0000-0000-000092800000}"/>
    <cellStyle name="Normal 5 10 2 33 2 2" xfId="32915" xr:uid="{00000000-0005-0000-0000-000093800000}"/>
    <cellStyle name="Normal 5 10 2 33 2 3" xfId="32916" xr:uid="{00000000-0005-0000-0000-000094800000}"/>
    <cellStyle name="Normal 5 10 2 33 2 4" xfId="32917" xr:uid="{00000000-0005-0000-0000-000095800000}"/>
    <cellStyle name="Normal 5 10 2 33 2 5" xfId="32918" xr:uid="{00000000-0005-0000-0000-000096800000}"/>
    <cellStyle name="Normal 5 10 2 33 2 6" xfId="32919" xr:uid="{00000000-0005-0000-0000-000097800000}"/>
    <cellStyle name="Normal 5 10 2 33 2 7" xfId="32920" xr:uid="{00000000-0005-0000-0000-000098800000}"/>
    <cellStyle name="Normal 5 10 2 33 2 8" xfId="32921" xr:uid="{00000000-0005-0000-0000-000099800000}"/>
    <cellStyle name="Normal 5 10 2 33 2 9" xfId="32922" xr:uid="{00000000-0005-0000-0000-00009A800000}"/>
    <cellStyle name="Normal 5 10 2 33 3" xfId="32923" xr:uid="{00000000-0005-0000-0000-00009B800000}"/>
    <cellStyle name="Normal 5 10 2 33 3 10" xfId="32924" xr:uid="{00000000-0005-0000-0000-00009C800000}"/>
    <cellStyle name="Normal 5 10 2 33 3 2" xfId="32925" xr:uid="{00000000-0005-0000-0000-00009D800000}"/>
    <cellStyle name="Normal 5 10 2 33 3 3" xfId="32926" xr:uid="{00000000-0005-0000-0000-00009E800000}"/>
    <cellStyle name="Normal 5 10 2 33 3 4" xfId="32927" xr:uid="{00000000-0005-0000-0000-00009F800000}"/>
    <cellStyle name="Normal 5 10 2 33 3 5" xfId="32928" xr:uid="{00000000-0005-0000-0000-0000A0800000}"/>
    <cellStyle name="Normal 5 10 2 33 3 6" xfId="32929" xr:uid="{00000000-0005-0000-0000-0000A1800000}"/>
    <cellStyle name="Normal 5 10 2 33 3 7" xfId="32930" xr:uid="{00000000-0005-0000-0000-0000A2800000}"/>
    <cellStyle name="Normal 5 10 2 33 3 8" xfId="32931" xr:uid="{00000000-0005-0000-0000-0000A3800000}"/>
    <cellStyle name="Normal 5 10 2 33 3 9" xfId="32932" xr:uid="{00000000-0005-0000-0000-0000A4800000}"/>
    <cellStyle name="Normal 5 10 2 33 4" xfId="32933" xr:uid="{00000000-0005-0000-0000-0000A5800000}"/>
    <cellStyle name="Normal 5 10 2 33 4 10" xfId="32934" xr:uid="{00000000-0005-0000-0000-0000A6800000}"/>
    <cellStyle name="Normal 5 10 2 33 4 2" xfId="32935" xr:uid="{00000000-0005-0000-0000-0000A7800000}"/>
    <cellStyle name="Normal 5 10 2 33 4 3" xfId="32936" xr:uid="{00000000-0005-0000-0000-0000A8800000}"/>
    <cellStyle name="Normal 5 10 2 33 4 4" xfId="32937" xr:uid="{00000000-0005-0000-0000-0000A9800000}"/>
    <cellStyle name="Normal 5 10 2 33 4 5" xfId="32938" xr:uid="{00000000-0005-0000-0000-0000AA800000}"/>
    <cellStyle name="Normal 5 10 2 33 4 6" xfId="32939" xr:uid="{00000000-0005-0000-0000-0000AB800000}"/>
    <cellStyle name="Normal 5 10 2 33 4 7" xfId="32940" xr:uid="{00000000-0005-0000-0000-0000AC800000}"/>
    <cellStyle name="Normal 5 10 2 33 4 8" xfId="32941" xr:uid="{00000000-0005-0000-0000-0000AD800000}"/>
    <cellStyle name="Normal 5 10 2 33 4 9" xfId="32942" xr:uid="{00000000-0005-0000-0000-0000AE800000}"/>
    <cellStyle name="Normal 5 10 2 33 5" xfId="32943" xr:uid="{00000000-0005-0000-0000-0000AF800000}"/>
    <cellStyle name="Normal 5 10 2 33 5 10" xfId="32944" xr:uid="{00000000-0005-0000-0000-0000B0800000}"/>
    <cellStyle name="Normal 5 10 2 33 5 2" xfId="32945" xr:uid="{00000000-0005-0000-0000-0000B1800000}"/>
    <cellStyle name="Normal 5 10 2 33 5 3" xfId="32946" xr:uid="{00000000-0005-0000-0000-0000B2800000}"/>
    <cellStyle name="Normal 5 10 2 33 5 4" xfId="32947" xr:uid="{00000000-0005-0000-0000-0000B3800000}"/>
    <cellStyle name="Normal 5 10 2 33 5 5" xfId="32948" xr:uid="{00000000-0005-0000-0000-0000B4800000}"/>
    <cellStyle name="Normal 5 10 2 33 5 6" xfId="32949" xr:uid="{00000000-0005-0000-0000-0000B5800000}"/>
    <cellStyle name="Normal 5 10 2 33 5 7" xfId="32950" xr:uid="{00000000-0005-0000-0000-0000B6800000}"/>
    <cellStyle name="Normal 5 10 2 33 5 8" xfId="32951" xr:uid="{00000000-0005-0000-0000-0000B7800000}"/>
    <cellStyle name="Normal 5 10 2 33 5 9" xfId="32952" xr:uid="{00000000-0005-0000-0000-0000B8800000}"/>
    <cellStyle name="Normal 5 10 2 33 6" xfId="32953" xr:uid="{00000000-0005-0000-0000-0000B9800000}"/>
    <cellStyle name="Normal 5 10 2 33 7" xfId="32954" xr:uid="{00000000-0005-0000-0000-0000BA800000}"/>
    <cellStyle name="Normal 5 10 2 33 8" xfId="32955" xr:uid="{00000000-0005-0000-0000-0000BB800000}"/>
    <cellStyle name="Normal 5 10 2 33 9" xfId="32956" xr:uid="{00000000-0005-0000-0000-0000BC800000}"/>
    <cellStyle name="Normal 5 10 2 34" xfId="32957" xr:uid="{00000000-0005-0000-0000-0000BD800000}"/>
    <cellStyle name="Normal 5 10 2 34 10" xfId="32958" xr:uid="{00000000-0005-0000-0000-0000BE800000}"/>
    <cellStyle name="Normal 5 10 2 34 2" xfId="32959" xr:uid="{00000000-0005-0000-0000-0000BF800000}"/>
    <cellStyle name="Normal 5 10 2 34 3" xfId="32960" xr:uid="{00000000-0005-0000-0000-0000C0800000}"/>
    <cellStyle name="Normal 5 10 2 34 4" xfId="32961" xr:uid="{00000000-0005-0000-0000-0000C1800000}"/>
    <cellStyle name="Normal 5 10 2 34 5" xfId="32962" xr:uid="{00000000-0005-0000-0000-0000C2800000}"/>
    <cellStyle name="Normal 5 10 2 34 6" xfId="32963" xr:uid="{00000000-0005-0000-0000-0000C3800000}"/>
    <cellStyle name="Normal 5 10 2 34 7" xfId="32964" xr:uid="{00000000-0005-0000-0000-0000C4800000}"/>
    <cellStyle name="Normal 5 10 2 34 8" xfId="32965" xr:uid="{00000000-0005-0000-0000-0000C5800000}"/>
    <cellStyle name="Normal 5 10 2 34 9" xfId="32966" xr:uid="{00000000-0005-0000-0000-0000C6800000}"/>
    <cellStyle name="Normal 5 10 2 35" xfId="32967" xr:uid="{00000000-0005-0000-0000-0000C7800000}"/>
    <cellStyle name="Normal 5 10 2 35 10" xfId="32968" xr:uid="{00000000-0005-0000-0000-0000C8800000}"/>
    <cellStyle name="Normal 5 10 2 35 2" xfId="32969" xr:uid="{00000000-0005-0000-0000-0000C9800000}"/>
    <cellStyle name="Normal 5 10 2 35 3" xfId="32970" xr:uid="{00000000-0005-0000-0000-0000CA800000}"/>
    <cellStyle name="Normal 5 10 2 35 4" xfId="32971" xr:uid="{00000000-0005-0000-0000-0000CB800000}"/>
    <cellStyle name="Normal 5 10 2 35 5" xfId="32972" xr:uid="{00000000-0005-0000-0000-0000CC800000}"/>
    <cellStyle name="Normal 5 10 2 35 6" xfId="32973" xr:uid="{00000000-0005-0000-0000-0000CD800000}"/>
    <cellStyle name="Normal 5 10 2 35 7" xfId="32974" xr:uid="{00000000-0005-0000-0000-0000CE800000}"/>
    <cellStyle name="Normal 5 10 2 35 8" xfId="32975" xr:uid="{00000000-0005-0000-0000-0000CF800000}"/>
    <cellStyle name="Normal 5 10 2 35 9" xfId="32976" xr:uid="{00000000-0005-0000-0000-0000D0800000}"/>
    <cellStyle name="Normal 5 10 2 36" xfId="32977" xr:uid="{00000000-0005-0000-0000-0000D1800000}"/>
    <cellStyle name="Normal 5 10 2 36 10" xfId="32978" xr:uid="{00000000-0005-0000-0000-0000D2800000}"/>
    <cellStyle name="Normal 5 10 2 36 2" xfId="32979" xr:uid="{00000000-0005-0000-0000-0000D3800000}"/>
    <cellStyle name="Normal 5 10 2 36 3" xfId="32980" xr:uid="{00000000-0005-0000-0000-0000D4800000}"/>
    <cellStyle name="Normal 5 10 2 36 4" xfId="32981" xr:uid="{00000000-0005-0000-0000-0000D5800000}"/>
    <cellStyle name="Normal 5 10 2 36 5" xfId="32982" xr:uid="{00000000-0005-0000-0000-0000D6800000}"/>
    <cellStyle name="Normal 5 10 2 36 6" xfId="32983" xr:uid="{00000000-0005-0000-0000-0000D7800000}"/>
    <cellStyle name="Normal 5 10 2 36 7" xfId="32984" xr:uid="{00000000-0005-0000-0000-0000D8800000}"/>
    <cellStyle name="Normal 5 10 2 36 8" xfId="32985" xr:uid="{00000000-0005-0000-0000-0000D9800000}"/>
    <cellStyle name="Normal 5 10 2 36 9" xfId="32986" xr:uid="{00000000-0005-0000-0000-0000DA800000}"/>
    <cellStyle name="Normal 5 10 2 37" xfId="32987" xr:uid="{00000000-0005-0000-0000-0000DB800000}"/>
    <cellStyle name="Normal 5 10 2 37 10" xfId="32988" xr:uid="{00000000-0005-0000-0000-0000DC800000}"/>
    <cellStyle name="Normal 5 10 2 37 2" xfId="32989" xr:uid="{00000000-0005-0000-0000-0000DD800000}"/>
    <cellStyle name="Normal 5 10 2 37 3" xfId="32990" xr:uid="{00000000-0005-0000-0000-0000DE800000}"/>
    <cellStyle name="Normal 5 10 2 37 4" xfId="32991" xr:uid="{00000000-0005-0000-0000-0000DF800000}"/>
    <cellStyle name="Normal 5 10 2 37 5" xfId="32992" xr:uid="{00000000-0005-0000-0000-0000E0800000}"/>
    <cellStyle name="Normal 5 10 2 37 6" xfId="32993" xr:uid="{00000000-0005-0000-0000-0000E1800000}"/>
    <cellStyle name="Normal 5 10 2 37 7" xfId="32994" xr:uid="{00000000-0005-0000-0000-0000E2800000}"/>
    <cellStyle name="Normal 5 10 2 37 8" xfId="32995" xr:uid="{00000000-0005-0000-0000-0000E3800000}"/>
    <cellStyle name="Normal 5 10 2 37 9" xfId="32996" xr:uid="{00000000-0005-0000-0000-0000E4800000}"/>
    <cellStyle name="Normal 5 10 2 38" xfId="32997" xr:uid="{00000000-0005-0000-0000-0000E5800000}"/>
    <cellStyle name="Normal 5 10 2 39" xfId="32998" xr:uid="{00000000-0005-0000-0000-0000E6800000}"/>
    <cellStyle name="Normal 5 10 2 4" xfId="32999" xr:uid="{00000000-0005-0000-0000-0000E7800000}"/>
    <cellStyle name="Normal 5 10 2 4 10" xfId="33000" xr:uid="{00000000-0005-0000-0000-0000E8800000}"/>
    <cellStyle name="Normal 5 10 2 4 11" xfId="33001" xr:uid="{00000000-0005-0000-0000-0000E9800000}"/>
    <cellStyle name="Normal 5 10 2 4 12" xfId="33002" xr:uid="{00000000-0005-0000-0000-0000EA800000}"/>
    <cellStyle name="Normal 5 10 2 4 13" xfId="33003" xr:uid="{00000000-0005-0000-0000-0000EB800000}"/>
    <cellStyle name="Normal 5 10 2 4 14" xfId="33004" xr:uid="{00000000-0005-0000-0000-0000EC800000}"/>
    <cellStyle name="Normal 5 10 2 4 2" xfId="33005" xr:uid="{00000000-0005-0000-0000-0000ED800000}"/>
    <cellStyle name="Normal 5 10 2 4 2 10" xfId="33006" xr:uid="{00000000-0005-0000-0000-0000EE800000}"/>
    <cellStyle name="Normal 5 10 2 4 2 2" xfId="33007" xr:uid="{00000000-0005-0000-0000-0000EF800000}"/>
    <cellStyle name="Normal 5 10 2 4 2 3" xfId="33008" xr:uid="{00000000-0005-0000-0000-0000F0800000}"/>
    <cellStyle name="Normal 5 10 2 4 2 4" xfId="33009" xr:uid="{00000000-0005-0000-0000-0000F1800000}"/>
    <cellStyle name="Normal 5 10 2 4 2 5" xfId="33010" xr:uid="{00000000-0005-0000-0000-0000F2800000}"/>
    <cellStyle name="Normal 5 10 2 4 2 6" xfId="33011" xr:uid="{00000000-0005-0000-0000-0000F3800000}"/>
    <cellStyle name="Normal 5 10 2 4 2 7" xfId="33012" xr:uid="{00000000-0005-0000-0000-0000F4800000}"/>
    <cellStyle name="Normal 5 10 2 4 2 8" xfId="33013" xr:uid="{00000000-0005-0000-0000-0000F5800000}"/>
    <cellStyle name="Normal 5 10 2 4 2 9" xfId="33014" xr:uid="{00000000-0005-0000-0000-0000F6800000}"/>
    <cellStyle name="Normal 5 10 2 4 3" xfId="33015" xr:uid="{00000000-0005-0000-0000-0000F7800000}"/>
    <cellStyle name="Normal 5 10 2 4 3 10" xfId="33016" xr:uid="{00000000-0005-0000-0000-0000F8800000}"/>
    <cellStyle name="Normal 5 10 2 4 3 2" xfId="33017" xr:uid="{00000000-0005-0000-0000-0000F9800000}"/>
    <cellStyle name="Normal 5 10 2 4 3 3" xfId="33018" xr:uid="{00000000-0005-0000-0000-0000FA800000}"/>
    <cellStyle name="Normal 5 10 2 4 3 4" xfId="33019" xr:uid="{00000000-0005-0000-0000-0000FB800000}"/>
    <cellStyle name="Normal 5 10 2 4 3 5" xfId="33020" xr:uid="{00000000-0005-0000-0000-0000FC800000}"/>
    <cellStyle name="Normal 5 10 2 4 3 6" xfId="33021" xr:uid="{00000000-0005-0000-0000-0000FD800000}"/>
    <cellStyle name="Normal 5 10 2 4 3 7" xfId="33022" xr:uid="{00000000-0005-0000-0000-0000FE800000}"/>
    <cellStyle name="Normal 5 10 2 4 3 8" xfId="33023" xr:uid="{00000000-0005-0000-0000-0000FF800000}"/>
    <cellStyle name="Normal 5 10 2 4 3 9" xfId="33024" xr:uid="{00000000-0005-0000-0000-000000810000}"/>
    <cellStyle name="Normal 5 10 2 4 4" xfId="33025" xr:uid="{00000000-0005-0000-0000-000001810000}"/>
    <cellStyle name="Normal 5 10 2 4 4 10" xfId="33026" xr:uid="{00000000-0005-0000-0000-000002810000}"/>
    <cellStyle name="Normal 5 10 2 4 4 2" xfId="33027" xr:uid="{00000000-0005-0000-0000-000003810000}"/>
    <cellStyle name="Normal 5 10 2 4 4 3" xfId="33028" xr:uid="{00000000-0005-0000-0000-000004810000}"/>
    <cellStyle name="Normal 5 10 2 4 4 4" xfId="33029" xr:uid="{00000000-0005-0000-0000-000005810000}"/>
    <cellStyle name="Normal 5 10 2 4 4 5" xfId="33030" xr:uid="{00000000-0005-0000-0000-000006810000}"/>
    <cellStyle name="Normal 5 10 2 4 4 6" xfId="33031" xr:uid="{00000000-0005-0000-0000-000007810000}"/>
    <cellStyle name="Normal 5 10 2 4 4 7" xfId="33032" xr:uid="{00000000-0005-0000-0000-000008810000}"/>
    <cellStyle name="Normal 5 10 2 4 4 8" xfId="33033" xr:uid="{00000000-0005-0000-0000-000009810000}"/>
    <cellStyle name="Normal 5 10 2 4 4 9" xfId="33034" xr:uid="{00000000-0005-0000-0000-00000A810000}"/>
    <cellStyle name="Normal 5 10 2 4 5" xfId="33035" xr:uid="{00000000-0005-0000-0000-00000B810000}"/>
    <cellStyle name="Normal 5 10 2 4 5 10" xfId="33036" xr:uid="{00000000-0005-0000-0000-00000C810000}"/>
    <cellStyle name="Normal 5 10 2 4 5 2" xfId="33037" xr:uid="{00000000-0005-0000-0000-00000D810000}"/>
    <cellStyle name="Normal 5 10 2 4 5 3" xfId="33038" xr:uid="{00000000-0005-0000-0000-00000E810000}"/>
    <cellStyle name="Normal 5 10 2 4 5 4" xfId="33039" xr:uid="{00000000-0005-0000-0000-00000F810000}"/>
    <cellStyle name="Normal 5 10 2 4 5 5" xfId="33040" xr:uid="{00000000-0005-0000-0000-000010810000}"/>
    <cellStyle name="Normal 5 10 2 4 5 6" xfId="33041" xr:uid="{00000000-0005-0000-0000-000011810000}"/>
    <cellStyle name="Normal 5 10 2 4 5 7" xfId="33042" xr:uid="{00000000-0005-0000-0000-000012810000}"/>
    <cellStyle name="Normal 5 10 2 4 5 8" xfId="33043" xr:uid="{00000000-0005-0000-0000-000013810000}"/>
    <cellStyle name="Normal 5 10 2 4 5 9" xfId="33044" xr:uid="{00000000-0005-0000-0000-000014810000}"/>
    <cellStyle name="Normal 5 10 2 4 6" xfId="33045" xr:uid="{00000000-0005-0000-0000-000015810000}"/>
    <cellStyle name="Normal 5 10 2 4 7" xfId="33046" xr:uid="{00000000-0005-0000-0000-000016810000}"/>
    <cellStyle name="Normal 5 10 2 4 8" xfId="33047" xr:uid="{00000000-0005-0000-0000-000017810000}"/>
    <cellStyle name="Normal 5 10 2 4 9" xfId="33048" xr:uid="{00000000-0005-0000-0000-000018810000}"/>
    <cellStyle name="Normal 5 10 2 40" xfId="33049" xr:uid="{00000000-0005-0000-0000-000019810000}"/>
    <cellStyle name="Normal 5 10 2 41" xfId="33050" xr:uid="{00000000-0005-0000-0000-00001A810000}"/>
    <cellStyle name="Normal 5 10 2 42" xfId="33051" xr:uid="{00000000-0005-0000-0000-00001B810000}"/>
    <cellStyle name="Normal 5 10 2 43" xfId="33052" xr:uid="{00000000-0005-0000-0000-00001C810000}"/>
    <cellStyle name="Normal 5 10 2 44" xfId="33053" xr:uid="{00000000-0005-0000-0000-00001D810000}"/>
    <cellStyle name="Normal 5 10 2 45" xfId="33054" xr:uid="{00000000-0005-0000-0000-00001E810000}"/>
    <cellStyle name="Normal 5 10 2 46" xfId="33055" xr:uid="{00000000-0005-0000-0000-00001F810000}"/>
    <cellStyle name="Normal 5 10 2 47" xfId="33056" xr:uid="{00000000-0005-0000-0000-000020810000}"/>
    <cellStyle name="Normal 5 10 2 48" xfId="33057" xr:uid="{00000000-0005-0000-0000-000021810000}"/>
    <cellStyle name="Normal 5 10 2 5" xfId="33058" xr:uid="{00000000-0005-0000-0000-000022810000}"/>
    <cellStyle name="Normal 5 10 2 5 10" xfId="33059" xr:uid="{00000000-0005-0000-0000-000023810000}"/>
    <cellStyle name="Normal 5 10 2 5 11" xfId="33060" xr:uid="{00000000-0005-0000-0000-000024810000}"/>
    <cellStyle name="Normal 5 10 2 5 12" xfId="33061" xr:uid="{00000000-0005-0000-0000-000025810000}"/>
    <cellStyle name="Normal 5 10 2 5 13" xfId="33062" xr:uid="{00000000-0005-0000-0000-000026810000}"/>
    <cellStyle name="Normal 5 10 2 5 14" xfId="33063" xr:uid="{00000000-0005-0000-0000-000027810000}"/>
    <cellStyle name="Normal 5 10 2 5 2" xfId="33064" xr:uid="{00000000-0005-0000-0000-000028810000}"/>
    <cellStyle name="Normal 5 10 2 5 2 10" xfId="33065" xr:uid="{00000000-0005-0000-0000-000029810000}"/>
    <cellStyle name="Normal 5 10 2 5 2 2" xfId="33066" xr:uid="{00000000-0005-0000-0000-00002A810000}"/>
    <cellStyle name="Normal 5 10 2 5 2 3" xfId="33067" xr:uid="{00000000-0005-0000-0000-00002B810000}"/>
    <cellStyle name="Normal 5 10 2 5 2 4" xfId="33068" xr:uid="{00000000-0005-0000-0000-00002C810000}"/>
    <cellStyle name="Normal 5 10 2 5 2 5" xfId="33069" xr:uid="{00000000-0005-0000-0000-00002D810000}"/>
    <cellStyle name="Normal 5 10 2 5 2 6" xfId="33070" xr:uid="{00000000-0005-0000-0000-00002E810000}"/>
    <cellStyle name="Normal 5 10 2 5 2 7" xfId="33071" xr:uid="{00000000-0005-0000-0000-00002F810000}"/>
    <cellStyle name="Normal 5 10 2 5 2 8" xfId="33072" xr:uid="{00000000-0005-0000-0000-000030810000}"/>
    <cellStyle name="Normal 5 10 2 5 2 9" xfId="33073" xr:uid="{00000000-0005-0000-0000-000031810000}"/>
    <cellStyle name="Normal 5 10 2 5 3" xfId="33074" xr:uid="{00000000-0005-0000-0000-000032810000}"/>
    <cellStyle name="Normal 5 10 2 5 3 10" xfId="33075" xr:uid="{00000000-0005-0000-0000-000033810000}"/>
    <cellStyle name="Normal 5 10 2 5 3 2" xfId="33076" xr:uid="{00000000-0005-0000-0000-000034810000}"/>
    <cellStyle name="Normal 5 10 2 5 3 3" xfId="33077" xr:uid="{00000000-0005-0000-0000-000035810000}"/>
    <cellStyle name="Normal 5 10 2 5 3 4" xfId="33078" xr:uid="{00000000-0005-0000-0000-000036810000}"/>
    <cellStyle name="Normal 5 10 2 5 3 5" xfId="33079" xr:uid="{00000000-0005-0000-0000-000037810000}"/>
    <cellStyle name="Normal 5 10 2 5 3 6" xfId="33080" xr:uid="{00000000-0005-0000-0000-000038810000}"/>
    <cellStyle name="Normal 5 10 2 5 3 7" xfId="33081" xr:uid="{00000000-0005-0000-0000-000039810000}"/>
    <cellStyle name="Normal 5 10 2 5 3 8" xfId="33082" xr:uid="{00000000-0005-0000-0000-00003A810000}"/>
    <cellStyle name="Normal 5 10 2 5 3 9" xfId="33083" xr:uid="{00000000-0005-0000-0000-00003B810000}"/>
    <cellStyle name="Normal 5 10 2 5 4" xfId="33084" xr:uid="{00000000-0005-0000-0000-00003C810000}"/>
    <cellStyle name="Normal 5 10 2 5 4 10" xfId="33085" xr:uid="{00000000-0005-0000-0000-00003D810000}"/>
    <cellStyle name="Normal 5 10 2 5 4 2" xfId="33086" xr:uid="{00000000-0005-0000-0000-00003E810000}"/>
    <cellStyle name="Normal 5 10 2 5 4 3" xfId="33087" xr:uid="{00000000-0005-0000-0000-00003F810000}"/>
    <cellStyle name="Normal 5 10 2 5 4 4" xfId="33088" xr:uid="{00000000-0005-0000-0000-000040810000}"/>
    <cellStyle name="Normal 5 10 2 5 4 5" xfId="33089" xr:uid="{00000000-0005-0000-0000-000041810000}"/>
    <cellStyle name="Normal 5 10 2 5 4 6" xfId="33090" xr:uid="{00000000-0005-0000-0000-000042810000}"/>
    <cellStyle name="Normal 5 10 2 5 4 7" xfId="33091" xr:uid="{00000000-0005-0000-0000-000043810000}"/>
    <cellStyle name="Normal 5 10 2 5 4 8" xfId="33092" xr:uid="{00000000-0005-0000-0000-000044810000}"/>
    <cellStyle name="Normal 5 10 2 5 4 9" xfId="33093" xr:uid="{00000000-0005-0000-0000-000045810000}"/>
    <cellStyle name="Normal 5 10 2 5 5" xfId="33094" xr:uid="{00000000-0005-0000-0000-000046810000}"/>
    <cellStyle name="Normal 5 10 2 5 5 10" xfId="33095" xr:uid="{00000000-0005-0000-0000-000047810000}"/>
    <cellStyle name="Normal 5 10 2 5 5 2" xfId="33096" xr:uid="{00000000-0005-0000-0000-000048810000}"/>
    <cellStyle name="Normal 5 10 2 5 5 3" xfId="33097" xr:uid="{00000000-0005-0000-0000-000049810000}"/>
    <cellStyle name="Normal 5 10 2 5 5 4" xfId="33098" xr:uid="{00000000-0005-0000-0000-00004A810000}"/>
    <cellStyle name="Normal 5 10 2 5 5 5" xfId="33099" xr:uid="{00000000-0005-0000-0000-00004B810000}"/>
    <cellStyle name="Normal 5 10 2 5 5 6" xfId="33100" xr:uid="{00000000-0005-0000-0000-00004C810000}"/>
    <cellStyle name="Normal 5 10 2 5 5 7" xfId="33101" xr:uid="{00000000-0005-0000-0000-00004D810000}"/>
    <cellStyle name="Normal 5 10 2 5 5 8" xfId="33102" xr:uid="{00000000-0005-0000-0000-00004E810000}"/>
    <cellStyle name="Normal 5 10 2 5 5 9" xfId="33103" xr:uid="{00000000-0005-0000-0000-00004F810000}"/>
    <cellStyle name="Normal 5 10 2 5 6" xfId="33104" xr:uid="{00000000-0005-0000-0000-000050810000}"/>
    <cellStyle name="Normal 5 10 2 5 7" xfId="33105" xr:uid="{00000000-0005-0000-0000-000051810000}"/>
    <cellStyle name="Normal 5 10 2 5 8" xfId="33106" xr:uid="{00000000-0005-0000-0000-000052810000}"/>
    <cellStyle name="Normal 5 10 2 5 9" xfId="33107" xr:uid="{00000000-0005-0000-0000-000053810000}"/>
    <cellStyle name="Normal 5 10 2 6" xfId="33108" xr:uid="{00000000-0005-0000-0000-000054810000}"/>
    <cellStyle name="Normal 5 10 2 6 10" xfId="33109" xr:uid="{00000000-0005-0000-0000-000055810000}"/>
    <cellStyle name="Normal 5 10 2 6 11" xfId="33110" xr:uid="{00000000-0005-0000-0000-000056810000}"/>
    <cellStyle name="Normal 5 10 2 6 12" xfId="33111" xr:uid="{00000000-0005-0000-0000-000057810000}"/>
    <cellStyle name="Normal 5 10 2 6 13" xfId="33112" xr:uid="{00000000-0005-0000-0000-000058810000}"/>
    <cellStyle name="Normal 5 10 2 6 14" xfId="33113" xr:uid="{00000000-0005-0000-0000-000059810000}"/>
    <cellStyle name="Normal 5 10 2 6 2" xfId="33114" xr:uid="{00000000-0005-0000-0000-00005A810000}"/>
    <cellStyle name="Normal 5 10 2 6 2 10" xfId="33115" xr:uid="{00000000-0005-0000-0000-00005B810000}"/>
    <cellStyle name="Normal 5 10 2 6 2 2" xfId="33116" xr:uid="{00000000-0005-0000-0000-00005C810000}"/>
    <cellStyle name="Normal 5 10 2 6 2 3" xfId="33117" xr:uid="{00000000-0005-0000-0000-00005D810000}"/>
    <cellStyle name="Normal 5 10 2 6 2 4" xfId="33118" xr:uid="{00000000-0005-0000-0000-00005E810000}"/>
    <cellStyle name="Normal 5 10 2 6 2 5" xfId="33119" xr:uid="{00000000-0005-0000-0000-00005F810000}"/>
    <cellStyle name="Normal 5 10 2 6 2 6" xfId="33120" xr:uid="{00000000-0005-0000-0000-000060810000}"/>
    <cellStyle name="Normal 5 10 2 6 2 7" xfId="33121" xr:uid="{00000000-0005-0000-0000-000061810000}"/>
    <cellStyle name="Normal 5 10 2 6 2 8" xfId="33122" xr:uid="{00000000-0005-0000-0000-000062810000}"/>
    <cellStyle name="Normal 5 10 2 6 2 9" xfId="33123" xr:uid="{00000000-0005-0000-0000-000063810000}"/>
    <cellStyle name="Normal 5 10 2 6 3" xfId="33124" xr:uid="{00000000-0005-0000-0000-000064810000}"/>
    <cellStyle name="Normal 5 10 2 6 3 10" xfId="33125" xr:uid="{00000000-0005-0000-0000-000065810000}"/>
    <cellStyle name="Normal 5 10 2 6 3 2" xfId="33126" xr:uid="{00000000-0005-0000-0000-000066810000}"/>
    <cellStyle name="Normal 5 10 2 6 3 3" xfId="33127" xr:uid="{00000000-0005-0000-0000-000067810000}"/>
    <cellStyle name="Normal 5 10 2 6 3 4" xfId="33128" xr:uid="{00000000-0005-0000-0000-000068810000}"/>
    <cellStyle name="Normal 5 10 2 6 3 5" xfId="33129" xr:uid="{00000000-0005-0000-0000-000069810000}"/>
    <cellStyle name="Normal 5 10 2 6 3 6" xfId="33130" xr:uid="{00000000-0005-0000-0000-00006A810000}"/>
    <cellStyle name="Normal 5 10 2 6 3 7" xfId="33131" xr:uid="{00000000-0005-0000-0000-00006B810000}"/>
    <cellStyle name="Normal 5 10 2 6 3 8" xfId="33132" xr:uid="{00000000-0005-0000-0000-00006C810000}"/>
    <cellStyle name="Normal 5 10 2 6 3 9" xfId="33133" xr:uid="{00000000-0005-0000-0000-00006D810000}"/>
    <cellStyle name="Normal 5 10 2 6 4" xfId="33134" xr:uid="{00000000-0005-0000-0000-00006E810000}"/>
    <cellStyle name="Normal 5 10 2 6 4 10" xfId="33135" xr:uid="{00000000-0005-0000-0000-00006F810000}"/>
    <cellStyle name="Normal 5 10 2 6 4 2" xfId="33136" xr:uid="{00000000-0005-0000-0000-000070810000}"/>
    <cellStyle name="Normal 5 10 2 6 4 3" xfId="33137" xr:uid="{00000000-0005-0000-0000-000071810000}"/>
    <cellStyle name="Normal 5 10 2 6 4 4" xfId="33138" xr:uid="{00000000-0005-0000-0000-000072810000}"/>
    <cellStyle name="Normal 5 10 2 6 4 5" xfId="33139" xr:uid="{00000000-0005-0000-0000-000073810000}"/>
    <cellStyle name="Normal 5 10 2 6 4 6" xfId="33140" xr:uid="{00000000-0005-0000-0000-000074810000}"/>
    <cellStyle name="Normal 5 10 2 6 4 7" xfId="33141" xr:uid="{00000000-0005-0000-0000-000075810000}"/>
    <cellStyle name="Normal 5 10 2 6 4 8" xfId="33142" xr:uid="{00000000-0005-0000-0000-000076810000}"/>
    <cellStyle name="Normal 5 10 2 6 4 9" xfId="33143" xr:uid="{00000000-0005-0000-0000-000077810000}"/>
    <cellStyle name="Normal 5 10 2 6 5" xfId="33144" xr:uid="{00000000-0005-0000-0000-000078810000}"/>
    <cellStyle name="Normal 5 10 2 6 5 10" xfId="33145" xr:uid="{00000000-0005-0000-0000-000079810000}"/>
    <cellStyle name="Normal 5 10 2 6 5 2" xfId="33146" xr:uid="{00000000-0005-0000-0000-00007A810000}"/>
    <cellStyle name="Normal 5 10 2 6 5 3" xfId="33147" xr:uid="{00000000-0005-0000-0000-00007B810000}"/>
    <cellStyle name="Normal 5 10 2 6 5 4" xfId="33148" xr:uid="{00000000-0005-0000-0000-00007C810000}"/>
    <cellStyle name="Normal 5 10 2 6 5 5" xfId="33149" xr:uid="{00000000-0005-0000-0000-00007D810000}"/>
    <cellStyle name="Normal 5 10 2 6 5 6" xfId="33150" xr:uid="{00000000-0005-0000-0000-00007E810000}"/>
    <cellStyle name="Normal 5 10 2 6 5 7" xfId="33151" xr:uid="{00000000-0005-0000-0000-00007F810000}"/>
    <cellStyle name="Normal 5 10 2 6 5 8" xfId="33152" xr:uid="{00000000-0005-0000-0000-000080810000}"/>
    <cellStyle name="Normal 5 10 2 6 5 9" xfId="33153" xr:uid="{00000000-0005-0000-0000-000081810000}"/>
    <cellStyle name="Normal 5 10 2 6 6" xfId="33154" xr:uid="{00000000-0005-0000-0000-000082810000}"/>
    <cellStyle name="Normal 5 10 2 6 7" xfId="33155" xr:uid="{00000000-0005-0000-0000-000083810000}"/>
    <cellStyle name="Normal 5 10 2 6 8" xfId="33156" xr:uid="{00000000-0005-0000-0000-000084810000}"/>
    <cellStyle name="Normal 5 10 2 6 9" xfId="33157" xr:uid="{00000000-0005-0000-0000-000085810000}"/>
    <cellStyle name="Normal 5 10 2 7" xfId="33158" xr:uid="{00000000-0005-0000-0000-000086810000}"/>
    <cellStyle name="Normal 5 10 2 7 10" xfId="33159" xr:uid="{00000000-0005-0000-0000-000087810000}"/>
    <cellStyle name="Normal 5 10 2 7 11" xfId="33160" xr:uid="{00000000-0005-0000-0000-000088810000}"/>
    <cellStyle name="Normal 5 10 2 7 12" xfId="33161" xr:uid="{00000000-0005-0000-0000-000089810000}"/>
    <cellStyle name="Normal 5 10 2 7 13" xfId="33162" xr:uid="{00000000-0005-0000-0000-00008A810000}"/>
    <cellStyle name="Normal 5 10 2 7 14" xfId="33163" xr:uid="{00000000-0005-0000-0000-00008B810000}"/>
    <cellStyle name="Normal 5 10 2 7 2" xfId="33164" xr:uid="{00000000-0005-0000-0000-00008C810000}"/>
    <cellStyle name="Normal 5 10 2 7 2 10" xfId="33165" xr:uid="{00000000-0005-0000-0000-00008D810000}"/>
    <cellStyle name="Normal 5 10 2 7 2 2" xfId="33166" xr:uid="{00000000-0005-0000-0000-00008E810000}"/>
    <cellStyle name="Normal 5 10 2 7 2 3" xfId="33167" xr:uid="{00000000-0005-0000-0000-00008F810000}"/>
    <cellStyle name="Normal 5 10 2 7 2 4" xfId="33168" xr:uid="{00000000-0005-0000-0000-000090810000}"/>
    <cellStyle name="Normal 5 10 2 7 2 5" xfId="33169" xr:uid="{00000000-0005-0000-0000-000091810000}"/>
    <cellStyle name="Normal 5 10 2 7 2 6" xfId="33170" xr:uid="{00000000-0005-0000-0000-000092810000}"/>
    <cellStyle name="Normal 5 10 2 7 2 7" xfId="33171" xr:uid="{00000000-0005-0000-0000-000093810000}"/>
    <cellStyle name="Normal 5 10 2 7 2 8" xfId="33172" xr:uid="{00000000-0005-0000-0000-000094810000}"/>
    <cellStyle name="Normal 5 10 2 7 2 9" xfId="33173" xr:uid="{00000000-0005-0000-0000-000095810000}"/>
    <cellStyle name="Normal 5 10 2 7 3" xfId="33174" xr:uid="{00000000-0005-0000-0000-000096810000}"/>
    <cellStyle name="Normal 5 10 2 7 3 10" xfId="33175" xr:uid="{00000000-0005-0000-0000-000097810000}"/>
    <cellStyle name="Normal 5 10 2 7 3 2" xfId="33176" xr:uid="{00000000-0005-0000-0000-000098810000}"/>
    <cellStyle name="Normal 5 10 2 7 3 3" xfId="33177" xr:uid="{00000000-0005-0000-0000-000099810000}"/>
    <cellStyle name="Normal 5 10 2 7 3 4" xfId="33178" xr:uid="{00000000-0005-0000-0000-00009A810000}"/>
    <cellStyle name="Normal 5 10 2 7 3 5" xfId="33179" xr:uid="{00000000-0005-0000-0000-00009B810000}"/>
    <cellStyle name="Normal 5 10 2 7 3 6" xfId="33180" xr:uid="{00000000-0005-0000-0000-00009C810000}"/>
    <cellStyle name="Normal 5 10 2 7 3 7" xfId="33181" xr:uid="{00000000-0005-0000-0000-00009D810000}"/>
    <cellStyle name="Normal 5 10 2 7 3 8" xfId="33182" xr:uid="{00000000-0005-0000-0000-00009E810000}"/>
    <cellStyle name="Normal 5 10 2 7 3 9" xfId="33183" xr:uid="{00000000-0005-0000-0000-00009F810000}"/>
    <cellStyle name="Normal 5 10 2 7 4" xfId="33184" xr:uid="{00000000-0005-0000-0000-0000A0810000}"/>
    <cellStyle name="Normal 5 10 2 7 4 10" xfId="33185" xr:uid="{00000000-0005-0000-0000-0000A1810000}"/>
    <cellStyle name="Normal 5 10 2 7 4 2" xfId="33186" xr:uid="{00000000-0005-0000-0000-0000A2810000}"/>
    <cellStyle name="Normal 5 10 2 7 4 3" xfId="33187" xr:uid="{00000000-0005-0000-0000-0000A3810000}"/>
    <cellStyle name="Normal 5 10 2 7 4 4" xfId="33188" xr:uid="{00000000-0005-0000-0000-0000A4810000}"/>
    <cellStyle name="Normal 5 10 2 7 4 5" xfId="33189" xr:uid="{00000000-0005-0000-0000-0000A5810000}"/>
    <cellStyle name="Normal 5 10 2 7 4 6" xfId="33190" xr:uid="{00000000-0005-0000-0000-0000A6810000}"/>
    <cellStyle name="Normal 5 10 2 7 4 7" xfId="33191" xr:uid="{00000000-0005-0000-0000-0000A7810000}"/>
    <cellStyle name="Normal 5 10 2 7 4 8" xfId="33192" xr:uid="{00000000-0005-0000-0000-0000A8810000}"/>
    <cellStyle name="Normal 5 10 2 7 4 9" xfId="33193" xr:uid="{00000000-0005-0000-0000-0000A9810000}"/>
    <cellStyle name="Normal 5 10 2 7 5" xfId="33194" xr:uid="{00000000-0005-0000-0000-0000AA810000}"/>
    <cellStyle name="Normal 5 10 2 7 5 10" xfId="33195" xr:uid="{00000000-0005-0000-0000-0000AB810000}"/>
    <cellStyle name="Normal 5 10 2 7 5 2" xfId="33196" xr:uid="{00000000-0005-0000-0000-0000AC810000}"/>
    <cellStyle name="Normal 5 10 2 7 5 3" xfId="33197" xr:uid="{00000000-0005-0000-0000-0000AD810000}"/>
    <cellStyle name="Normal 5 10 2 7 5 4" xfId="33198" xr:uid="{00000000-0005-0000-0000-0000AE810000}"/>
    <cellStyle name="Normal 5 10 2 7 5 5" xfId="33199" xr:uid="{00000000-0005-0000-0000-0000AF810000}"/>
    <cellStyle name="Normal 5 10 2 7 5 6" xfId="33200" xr:uid="{00000000-0005-0000-0000-0000B0810000}"/>
    <cellStyle name="Normal 5 10 2 7 5 7" xfId="33201" xr:uid="{00000000-0005-0000-0000-0000B1810000}"/>
    <cellStyle name="Normal 5 10 2 7 5 8" xfId="33202" xr:uid="{00000000-0005-0000-0000-0000B2810000}"/>
    <cellStyle name="Normal 5 10 2 7 5 9" xfId="33203" xr:uid="{00000000-0005-0000-0000-0000B3810000}"/>
    <cellStyle name="Normal 5 10 2 7 6" xfId="33204" xr:uid="{00000000-0005-0000-0000-0000B4810000}"/>
    <cellStyle name="Normal 5 10 2 7 7" xfId="33205" xr:uid="{00000000-0005-0000-0000-0000B5810000}"/>
    <cellStyle name="Normal 5 10 2 7 8" xfId="33206" xr:uid="{00000000-0005-0000-0000-0000B6810000}"/>
    <cellStyle name="Normal 5 10 2 7 9" xfId="33207" xr:uid="{00000000-0005-0000-0000-0000B7810000}"/>
    <cellStyle name="Normal 5 10 2 8" xfId="33208" xr:uid="{00000000-0005-0000-0000-0000B8810000}"/>
    <cellStyle name="Normal 5 10 2 8 10" xfId="33209" xr:uid="{00000000-0005-0000-0000-0000B9810000}"/>
    <cellStyle name="Normal 5 10 2 8 11" xfId="33210" xr:uid="{00000000-0005-0000-0000-0000BA810000}"/>
    <cellStyle name="Normal 5 10 2 8 12" xfId="33211" xr:uid="{00000000-0005-0000-0000-0000BB810000}"/>
    <cellStyle name="Normal 5 10 2 8 13" xfId="33212" xr:uid="{00000000-0005-0000-0000-0000BC810000}"/>
    <cellStyle name="Normal 5 10 2 8 14" xfId="33213" xr:uid="{00000000-0005-0000-0000-0000BD810000}"/>
    <cellStyle name="Normal 5 10 2 8 2" xfId="33214" xr:uid="{00000000-0005-0000-0000-0000BE810000}"/>
    <cellStyle name="Normal 5 10 2 8 2 10" xfId="33215" xr:uid="{00000000-0005-0000-0000-0000BF810000}"/>
    <cellStyle name="Normal 5 10 2 8 2 2" xfId="33216" xr:uid="{00000000-0005-0000-0000-0000C0810000}"/>
    <cellStyle name="Normal 5 10 2 8 2 3" xfId="33217" xr:uid="{00000000-0005-0000-0000-0000C1810000}"/>
    <cellStyle name="Normal 5 10 2 8 2 4" xfId="33218" xr:uid="{00000000-0005-0000-0000-0000C2810000}"/>
    <cellStyle name="Normal 5 10 2 8 2 5" xfId="33219" xr:uid="{00000000-0005-0000-0000-0000C3810000}"/>
    <cellStyle name="Normal 5 10 2 8 2 6" xfId="33220" xr:uid="{00000000-0005-0000-0000-0000C4810000}"/>
    <cellStyle name="Normal 5 10 2 8 2 7" xfId="33221" xr:uid="{00000000-0005-0000-0000-0000C5810000}"/>
    <cellStyle name="Normal 5 10 2 8 2 8" xfId="33222" xr:uid="{00000000-0005-0000-0000-0000C6810000}"/>
    <cellStyle name="Normal 5 10 2 8 2 9" xfId="33223" xr:uid="{00000000-0005-0000-0000-0000C7810000}"/>
    <cellStyle name="Normal 5 10 2 8 3" xfId="33224" xr:uid="{00000000-0005-0000-0000-0000C8810000}"/>
    <cellStyle name="Normal 5 10 2 8 3 10" xfId="33225" xr:uid="{00000000-0005-0000-0000-0000C9810000}"/>
    <cellStyle name="Normal 5 10 2 8 3 2" xfId="33226" xr:uid="{00000000-0005-0000-0000-0000CA810000}"/>
    <cellStyle name="Normal 5 10 2 8 3 3" xfId="33227" xr:uid="{00000000-0005-0000-0000-0000CB810000}"/>
    <cellStyle name="Normal 5 10 2 8 3 4" xfId="33228" xr:uid="{00000000-0005-0000-0000-0000CC810000}"/>
    <cellStyle name="Normal 5 10 2 8 3 5" xfId="33229" xr:uid="{00000000-0005-0000-0000-0000CD810000}"/>
    <cellStyle name="Normal 5 10 2 8 3 6" xfId="33230" xr:uid="{00000000-0005-0000-0000-0000CE810000}"/>
    <cellStyle name="Normal 5 10 2 8 3 7" xfId="33231" xr:uid="{00000000-0005-0000-0000-0000CF810000}"/>
    <cellStyle name="Normal 5 10 2 8 3 8" xfId="33232" xr:uid="{00000000-0005-0000-0000-0000D0810000}"/>
    <cellStyle name="Normal 5 10 2 8 3 9" xfId="33233" xr:uid="{00000000-0005-0000-0000-0000D1810000}"/>
    <cellStyle name="Normal 5 10 2 8 4" xfId="33234" xr:uid="{00000000-0005-0000-0000-0000D2810000}"/>
    <cellStyle name="Normal 5 10 2 8 4 10" xfId="33235" xr:uid="{00000000-0005-0000-0000-0000D3810000}"/>
    <cellStyle name="Normal 5 10 2 8 4 2" xfId="33236" xr:uid="{00000000-0005-0000-0000-0000D4810000}"/>
    <cellStyle name="Normal 5 10 2 8 4 3" xfId="33237" xr:uid="{00000000-0005-0000-0000-0000D5810000}"/>
    <cellStyle name="Normal 5 10 2 8 4 4" xfId="33238" xr:uid="{00000000-0005-0000-0000-0000D6810000}"/>
    <cellStyle name="Normal 5 10 2 8 4 5" xfId="33239" xr:uid="{00000000-0005-0000-0000-0000D7810000}"/>
    <cellStyle name="Normal 5 10 2 8 4 6" xfId="33240" xr:uid="{00000000-0005-0000-0000-0000D8810000}"/>
    <cellStyle name="Normal 5 10 2 8 4 7" xfId="33241" xr:uid="{00000000-0005-0000-0000-0000D9810000}"/>
    <cellStyle name="Normal 5 10 2 8 4 8" xfId="33242" xr:uid="{00000000-0005-0000-0000-0000DA810000}"/>
    <cellStyle name="Normal 5 10 2 8 4 9" xfId="33243" xr:uid="{00000000-0005-0000-0000-0000DB810000}"/>
    <cellStyle name="Normal 5 10 2 8 5" xfId="33244" xr:uid="{00000000-0005-0000-0000-0000DC810000}"/>
    <cellStyle name="Normal 5 10 2 8 5 10" xfId="33245" xr:uid="{00000000-0005-0000-0000-0000DD810000}"/>
    <cellStyle name="Normal 5 10 2 8 5 2" xfId="33246" xr:uid="{00000000-0005-0000-0000-0000DE810000}"/>
    <cellStyle name="Normal 5 10 2 8 5 3" xfId="33247" xr:uid="{00000000-0005-0000-0000-0000DF810000}"/>
    <cellStyle name="Normal 5 10 2 8 5 4" xfId="33248" xr:uid="{00000000-0005-0000-0000-0000E0810000}"/>
    <cellStyle name="Normal 5 10 2 8 5 5" xfId="33249" xr:uid="{00000000-0005-0000-0000-0000E1810000}"/>
    <cellStyle name="Normal 5 10 2 8 5 6" xfId="33250" xr:uid="{00000000-0005-0000-0000-0000E2810000}"/>
    <cellStyle name="Normal 5 10 2 8 5 7" xfId="33251" xr:uid="{00000000-0005-0000-0000-0000E3810000}"/>
    <cellStyle name="Normal 5 10 2 8 5 8" xfId="33252" xr:uid="{00000000-0005-0000-0000-0000E4810000}"/>
    <cellStyle name="Normal 5 10 2 8 5 9" xfId="33253" xr:uid="{00000000-0005-0000-0000-0000E5810000}"/>
    <cellStyle name="Normal 5 10 2 8 6" xfId="33254" xr:uid="{00000000-0005-0000-0000-0000E6810000}"/>
    <cellStyle name="Normal 5 10 2 8 7" xfId="33255" xr:uid="{00000000-0005-0000-0000-0000E7810000}"/>
    <cellStyle name="Normal 5 10 2 8 8" xfId="33256" xr:uid="{00000000-0005-0000-0000-0000E8810000}"/>
    <cellStyle name="Normal 5 10 2 8 9" xfId="33257" xr:uid="{00000000-0005-0000-0000-0000E9810000}"/>
    <cellStyle name="Normal 5 10 2 9" xfId="33258" xr:uid="{00000000-0005-0000-0000-0000EA810000}"/>
    <cellStyle name="Normal 5 10 2 9 10" xfId="33259" xr:uid="{00000000-0005-0000-0000-0000EB810000}"/>
    <cellStyle name="Normal 5 10 2 9 11" xfId="33260" xr:uid="{00000000-0005-0000-0000-0000EC810000}"/>
    <cellStyle name="Normal 5 10 2 9 12" xfId="33261" xr:uid="{00000000-0005-0000-0000-0000ED810000}"/>
    <cellStyle name="Normal 5 10 2 9 13" xfId="33262" xr:uid="{00000000-0005-0000-0000-0000EE810000}"/>
    <cellStyle name="Normal 5 10 2 9 14" xfId="33263" xr:uid="{00000000-0005-0000-0000-0000EF810000}"/>
    <cellStyle name="Normal 5 10 2 9 2" xfId="33264" xr:uid="{00000000-0005-0000-0000-0000F0810000}"/>
    <cellStyle name="Normal 5 10 2 9 2 10" xfId="33265" xr:uid="{00000000-0005-0000-0000-0000F1810000}"/>
    <cellStyle name="Normal 5 10 2 9 2 2" xfId="33266" xr:uid="{00000000-0005-0000-0000-0000F2810000}"/>
    <cellStyle name="Normal 5 10 2 9 2 3" xfId="33267" xr:uid="{00000000-0005-0000-0000-0000F3810000}"/>
    <cellStyle name="Normal 5 10 2 9 2 4" xfId="33268" xr:uid="{00000000-0005-0000-0000-0000F4810000}"/>
    <cellStyle name="Normal 5 10 2 9 2 5" xfId="33269" xr:uid="{00000000-0005-0000-0000-0000F5810000}"/>
    <cellStyle name="Normal 5 10 2 9 2 6" xfId="33270" xr:uid="{00000000-0005-0000-0000-0000F6810000}"/>
    <cellStyle name="Normal 5 10 2 9 2 7" xfId="33271" xr:uid="{00000000-0005-0000-0000-0000F7810000}"/>
    <cellStyle name="Normal 5 10 2 9 2 8" xfId="33272" xr:uid="{00000000-0005-0000-0000-0000F8810000}"/>
    <cellStyle name="Normal 5 10 2 9 2 9" xfId="33273" xr:uid="{00000000-0005-0000-0000-0000F9810000}"/>
    <cellStyle name="Normal 5 10 2 9 3" xfId="33274" xr:uid="{00000000-0005-0000-0000-0000FA810000}"/>
    <cellStyle name="Normal 5 10 2 9 3 10" xfId="33275" xr:uid="{00000000-0005-0000-0000-0000FB810000}"/>
    <cellStyle name="Normal 5 10 2 9 3 2" xfId="33276" xr:uid="{00000000-0005-0000-0000-0000FC810000}"/>
    <cellStyle name="Normal 5 10 2 9 3 3" xfId="33277" xr:uid="{00000000-0005-0000-0000-0000FD810000}"/>
    <cellStyle name="Normal 5 10 2 9 3 4" xfId="33278" xr:uid="{00000000-0005-0000-0000-0000FE810000}"/>
    <cellStyle name="Normal 5 10 2 9 3 5" xfId="33279" xr:uid="{00000000-0005-0000-0000-0000FF810000}"/>
    <cellStyle name="Normal 5 10 2 9 3 6" xfId="33280" xr:uid="{00000000-0005-0000-0000-000000820000}"/>
    <cellStyle name="Normal 5 10 2 9 3 7" xfId="33281" xr:uid="{00000000-0005-0000-0000-000001820000}"/>
    <cellStyle name="Normal 5 10 2 9 3 8" xfId="33282" xr:uid="{00000000-0005-0000-0000-000002820000}"/>
    <cellStyle name="Normal 5 10 2 9 3 9" xfId="33283" xr:uid="{00000000-0005-0000-0000-000003820000}"/>
    <cellStyle name="Normal 5 10 2 9 4" xfId="33284" xr:uid="{00000000-0005-0000-0000-000004820000}"/>
    <cellStyle name="Normal 5 10 2 9 4 10" xfId="33285" xr:uid="{00000000-0005-0000-0000-000005820000}"/>
    <cellStyle name="Normal 5 10 2 9 4 2" xfId="33286" xr:uid="{00000000-0005-0000-0000-000006820000}"/>
    <cellStyle name="Normal 5 10 2 9 4 3" xfId="33287" xr:uid="{00000000-0005-0000-0000-000007820000}"/>
    <cellStyle name="Normal 5 10 2 9 4 4" xfId="33288" xr:uid="{00000000-0005-0000-0000-000008820000}"/>
    <cellStyle name="Normal 5 10 2 9 4 5" xfId="33289" xr:uid="{00000000-0005-0000-0000-000009820000}"/>
    <cellStyle name="Normal 5 10 2 9 4 6" xfId="33290" xr:uid="{00000000-0005-0000-0000-00000A820000}"/>
    <cellStyle name="Normal 5 10 2 9 4 7" xfId="33291" xr:uid="{00000000-0005-0000-0000-00000B820000}"/>
    <cellStyle name="Normal 5 10 2 9 4 8" xfId="33292" xr:uid="{00000000-0005-0000-0000-00000C820000}"/>
    <cellStyle name="Normal 5 10 2 9 4 9" xfId="33293" xr:uid="{00000000-0005-0000-0000-00000D820000}"/>
    <cellStyle name="Normal 5 10 2 9 5" xfId="33294" xr:uid="{00000000-0005-0000-0000-00000E820000}"/>
    <cellStyle name="Normal 5 10 2 9 5 10" xfId="33295" xr:uid="{00000000-0005-0000-0000-00000F820000}"/>
    <cellStyle name="Normal 5 10 2 9 5 2" xfId="33296" xr:uid="{00000000-0005-0000-0000-000010820000}"/>
    <cellStyle name="Normal 5 10 2 9 5 3" xfId="33297" xr:uid="{00000000-0005-0000-0000-000011820000}"/>
    <cellStyle name="Normal 5 10 2 9 5 4" xfId="33298" xr:uid="{00000000-0005-0000-0000-000012820000}"/>
    <cellStyle name="Normal 5 10 2 9 5 5" xfId="33299" xr:uid="{00000000-0005-0000-0000-000013820000}"/>
    <cellStyle name="Normal 5 10 2 9 5 6" xfId="33300" xr:uid="{00000000-0005-0000-0000-000014820000}"/>
    <cellStyle name="Normal 5 10 2 9 5 7" xfId="33301" xr:uid="{00000000-0005-0000-0000-000015820000}"/>
    <cellStyle name="Normal 5 10 2 9 5 8" xfId="33302" xr:uid="{00000000-0005-0000-0000-000016820000}"/>
    <cellStyle name="Normal 5 10 2 9 5 9" xfId="33303" xr:uid="{00000000-0005-0000-0000-000017820000}"/>
    <cellStyle name="Normal 5 10 2 9 6" xfId="33304" xr:uid="{00000000-0005-0000-0000-000018820000}"/>
    <cellStyle name="Normal 5 10 2 9 7" xfId="33305" xr:uid="{00000000-0005-0000-0000-000019820000}"/>
    <cellStyle name="Normal 5 10 2 9 8" xfId="33306" xr:uid="{00000000-0005-0000-0000-00001A820000}"/>
    <cellStyle name="Normal 5 10 2 9 9" xfId="33307" xr:uid="{00000000-0005-0000-0000-00001B820000}"/>
    <cellStyle name="Normal 5 10 20" xfId="33308" xr:uid="{00000000-0005-0000-0000-00001C820000}"/>
    <cellStyle name="Normal 5 10 20 10" xfId="33309" xr:uid="{00000000-0005-0000-0000-00001D820000}"/>
    <cellStyle name="Normal 5 10 20 11" xfId="33310" xr:uid="{00000000-0005-0000-0000-00001E820000}"/>
    <cellStyle name="Normal 5 10 20 12" xfId="33311" xr:uid="{00000000-0005-0000-0000-00001F820000}"/>
    <cellStyle name="Normal 5 10 20 13" xfId="33312" xr:uid="{00000000-0005-0000-0000-000020820000}"/>
    <cellStyle name="Normal 5 10 20 14" xfId="33313" xr:uid="{00000000-0005-0000-0000-000021820000}"/>
    <cellStyle name="Normal 5 10 20 2" xfId="33314" xr:uid="{00000000-0005-0000-0000-000022820000}"/>
    <cellStyle name="Normal 5 10 20 2 10" xfId="33315" xr:uid="{00000000-0005-0000-0000-000023820000}"/>
    <cellStyle name="Normal 5 10 20 2 2" xfId="33316" xr:uid="{00000000-0005-0000-0000-000024820000}"/>
    <cellStyle name="Normal 5 10 20 2 3" xfId="33317" xr:uid="{00000000-0005-0000-0000-000025820000}"/>
    <cellStyle name="Normal 5 10 20 2 4" xfId="33318" xr:uid="{00000000-0005-0000-0000-000026820000}"/>
    <cellStyle name="Normal 5 10 20 2 5" xfId="33319" xr:uid="{00000000-0005-0000-0000-000027820000}"/>
    <cellStyle name="Normal 5 10 20 2 6" xfId="33320" xr:uid="{00000000-0005-0000-0000-000028820000}"/>
    <cellStyle name="Normal 5 10 20 2 7" xfId="33321" xr:uid="{00000000-0005-0000-0000-000029820000}"/>
    <cellStyle name="Normal 5 10 20 2 8" xfId="33322" xr:uid="{00000000-0005-0000-0000-00002A820000}"/>
    <cellStyle name="Normal 5 10 20 2 9" xfId="33323" xr:uid="{00000000-0005-0000-0000-00002B820000}"/>
    <cellStyle name="Normal 5 10 20 3" xfId="33324" xr:uid="{00000000-0005-0000-0000-00002C820000}"/>
    <cellStyle name="Normal 5 10 20 3 10" xfId="33325" xr:uid="{00000000-0005-0000-0000-00002D820000}"/>
    <cellStyle name="Normal 5 10 20 3 2" xfId="33326" xr:uid="{00000000-0005-0000-0000-00002E820000}"/>
    <cellStyle name="Normal 5 10 20 3 3" xfId="33327" xr:uid="{00000000-0005-0000-0000-00002F820000}"/>
    <cellStyle name="Normal 5 10 20 3 4" xfId="33328" xr:uid="{00000000-0005-0000-0000-000030820000}"/>
    <cellStyle name="Normal 5 10 20 3 5" xfId="33329" xr:uid="{00000000-0005-0000-0000-000031820000}"/>
    <cellStyle name="Normal 5 10 20 3 6" xfId="33330" xr:uid="{00000000-0005-0000-0000-000032820000}"/>
    <cellStyle name="Normal 5 10 20 3 7" xfId="33331" xr:uid="{00000000-0005-0000-0000-000033820000}"/>
    <cellStyle name="Normal 5 10 20 3 8" xfId="33332" xr:uid="{00000000-0005-0000-0000-000034820000}"/>
    <cellStyle name="Normal 5 10 20 3 9" xfId="33333" xr:uid="{00000000-0005-0000-0000-000035820000}"/>
    <cellStyle name="Normal 5 10 20 4" xfId="33334" xr:uid="{00000000-0005-0000-0000-000036820000}"/>
    <cellStyle name="Normal 5 10 20 4 10" xfId="33335" xr:uid="{00000000-0005-0000-0000-000037820000}"/>
    <cellStyle name="Normal 5 10 20 4 2" xfId="33336" xr:uid="{00000000-0005-0000-0000-000038820000}"/>
    <cellStyle name="Normal 5 10 20 4 3" xfId="33337" xr:uid="{00000000-0005-0000-0000-000039820000}"/>
    <cellStyle name="Normal 5 10 20 4 4" xfId="33338" xr:uid="{00000000-0005-0000-0000-00003A820000}"/>
    <cellStyle name="Normal 5 10 20 4 5" xfId="33339" xr:uid="{00000000-0005-0000-0000-00003B820000}"/>
    <cellStyle name="Normal 5 10 20 4 6" xfId="33340" xr:uid="{00000000-0005-0000-0000-00003C820000}"/>
    <cellStyle name="Normal 5 10 20 4 7" xfId="33341" xr:uid="{00000000-0005-0000-0000-00003D820000}"/>
    <cellStyle name="Normal 5 10 20 4 8" xfId="33342" xr:uid="{00000000-0005-0000-0000-00003E820000}"/>
    <cellStyle name="Normal 5 10 20 4 9" xfId="33343" xr:uid="{00000000-0005-0000-0000-00003F820000}"/>
    <cellStyle name="Normal 5 10 20 5" xfId="33344" xr:uid="{00000000-0005-0000-0000-000040820000}"/>
    <cellStyle name="Normal 5 10 20 5 10" xfId="33345" xr:uid="{00000000-0005-0000-0000-000041820000}"/>
    <cellStyle name="Normal 5 10 20 5 2" xfId="33346" xr:uid="{00000000-0005-0000-0000-000042820000}"/>
    <cellStyle name="Normal 5 10 20 5 3" xfId="33347" xr:uid="{00000000-0005-0000-0000-000043820000}"/>
    <cellStyle name="Normal 5 10 20 5 4" xfId="33348" xr:uid="{00000000-0005-0000-0000-000044820000}"/>
    <cellStyle name="Normal 5 10 20 5 5" xfId="33349" xr:uid="{00000000-0005-0000-0000-000045820000}"/>
    <cellStyle name="Normal 5 10 20 5 6" xfId="33350" xr:uid="{00000000-0005-0000-0000-000046820000}"/>
    <cellStyle name="Normal 5 10 20 5 7" xfId="33351" xr:uid="{00000000-0005-0000-0000-000047820000}"/>
    <cellStyle name="Normal 5 10 20 5 8" xfId="33352" xr:uid="{00000000-0005-0000-0000-000048820000}"/>
    <cellStyle name="Normal 5 10 20 5 9" xfId="33353" xr:uid="{00000000-0005-0000-0000-000049820000}"/>
    <cellStyle name="Normal 5 10 20 6" xfId="33354" xr:uid="{00000000-0005-0000-0000-00004A820000}"/>
    <cellStyle name="Normal 5 10 20 7" xfId="33355" xr:uid="{00000000-0005-0000-0000-00004B820000}"/>
    <cellStyle name="Normal 5 10 20 8" xfId="33356" xr:uid="{00000000-0005-0000-0000-00004C820000}"/>
    <cellStyle name="Normal 5 10 20 9" xfId="33357" xr:uid="{00000000-0005-0000-0000-00004D820000}"/>
    <cellStyle name="Normal 5 10 21" xfId="33358" xr:uid="{00000000-0005-0000-0000-00004E820000}"/>
    <cellStyle name="Normal 5 10 21 10" xfId="33359" xr:uid="{00000000-0005-0000-0000-00004F820000}"/>
    <cellStyle name="Normal 5 10 21 11" xfId="33360" xr:uid="{00000000-0005-0000-0000-000050820000}"/>
    <cellStyle name="Normal 5 10 21 12" xfId="33361" xr:uid="{00000000-0005-0000-0000-000051820000}"/>
    <cellStyle name="Normal 5 10 21 13" xfId="33362" xr:uid="{00000000-0005-0000-0000-000052820000}"/>
    <cellStyle name="Normal 5 10 21 14" xfId="33363" xr:uid="{00000000-0005-0000-0000-000053820000}"/>
    <cellStyle name="Normal 5 10 21 2" xfId="33364" xr:uid="{00000000-0005-0000-0000-000054820000}"/>
    <cellStyle name="Normal 5 10 21 2 10" xfId="33365" xr:uid="{00000000-0005-0000-0000-000055820000}"/>
    <cellStyle name="Normal 5 10 21 2 2" xfId="33366" xr:uid="{00000000-0005-0000-0000-000056820000}"/>
    <cellStyle name="Normal 5 10 21 2 3" xfId="33367" xr:uid="{00000000-0005-0000-0000-000057820000}"/>
    <cellStyle name="Normal 5 10 21 2 4" xfId="33368" xr:uid="{00000000-0005-0000-0000-000058820000}"/>
    <cellStyle name="Normal 5 10 21 2 5" xfId="33369" xr:uid="{00000000-0005-0000-0000-000059820000}"/>
    <cellStyle name="Normal 5 10 21 2 6" xfId="33370" xr:uid="{00000000-0005-0000-0000-00005A820000}"/>
    <cellStyle name="Normal 5 10 21 2 7" xfId="33371" xr:uid="{00000000-0005-0000-0000-00005B820000}"/>
    <cellStyle name="Normal 5 10 21 2 8" xfId="33372" xr:uid="{00000000-0005-0000-0000-00005C820000}"/>
    <cellStyle name="Normal 5 10 21 2 9" xfId="33373" xr:uid="{00000000-0005-0000-0000-00005D820000}"/>
    <cellStyle name="Normal 5 10 21 3" xfId="33374" xr:uid="{00000000-0005-0000-0000-00005E820000}"/>
    <cellStyle name="Normal 5 10 21 3 10" xfId="33375" xr:uid="{00000000-0005-0000-0000-00005F820000}"/>
    <cellStyle name="Normal 5 10 21 3 2" xfId="33376" xr:uid="{00000000-0005-0000-0000-000060820000}"/>
    <cellStyle name="Normal 5 10 21 3 3" xfId="33377" xr:uid="{00000000-0005-0000-0000-000061820000}"/>
    <cellStyle name="Normal 5 10 21 3 4" xfId="33378" xr:uid="{00000000-0005-0000-0000-000062820000}"/>
    <cellStyle name="Normal 5 10 21 3 5" xfId="33379" xr:uid="{00000000-0005-0000-0000-000063820000}"/>
    <cellStyle name="Normal 5 10 21 3 6" xfId="33380" xr:uid="{00000000-0005-0000-0000-000064820000}"/>
    <cellStyle name="Normal 5 10 21 3 7" xfId="33381" xr:uid="{00000000-0005-0000-0000-000065820000}"/>
    <cellStyle name="Normal 5 10 21 3 8" xfId="33382" xr:uid="{00000000-0005-0000-0000-000066820000}"/>
    <cellStyle name="Normal 5 10 21 3 9" xfId="33383" xr:uid="{00000000-0005-0000-0000-000067820000}"/>
    <cellStyle name="Normal 5 10 21 4" xfId="33384" xr:uid="{00000000-0005-0000-0000-000068820000}"/>
    <cellStyle name="Normal 5 10 21 4 10" xfId="33385" xr:uid="{00000000-0005-0000-0000-000069820000}"/>
    <cellStyle name="Normal 5 10 21 4 2" xfId="33386" xr:uid="{00000000-0005-0000-0000-00006A820000}"/>
    <cellStyle name="Normal 5 10 21 4 3" xfId="33387" xr:uid="{00000000-0005-0000-0000-00006B820000}"/>
    <cellStyle name="Normal 5 10 21 4 4" xfId="33388" xr:uid="{00000000-0005-0000-0000-00006C820000}"/>
    <cellStyle name="Normal 5 10 21 4 5" xfId="33389" xr:uid="{00000000-0005-0000-0000-00006D820000}"/>
    <cellStyle name="Normal 5 10 21 4 6" xfId="33390" xr:uid="{00000000-0005-0000-0000-00006E820000}"/>
    <cellStyle name="Normal 5 10 21 4 7" xfId="33391" xr:uid="{00000000-0005-0000-0000-00006F820000}"/>
    <cellStyle name="Normal 5 10 21 4 8" xfId="33392" xr:uid="{00000000-0005-0000-0000-000070820000}"/>
    <cellStyle name="Normal 5 10 21 4 9" xfId="33393" xr:uid="{00000000-0005-0000-0000-000071820000}"/>
    <cellStyle name="Normal 5 10 21 5" xfId="33394" xr:uid="{00000000-0005-0000-0000-000072820000}"/>
    <cellStyle name="Normal 5 10 21 5 10" xfId="33395" xr:uid="{00000000-0005-0000-0000-000073820000}"/>
    <cellStyle name="Normal 5 10 21 5 2" xfId="33396" xr:uid="{00000000-0005-0000-0000-000074820000}"/>
    <cellStyle name="Normal 5 10 21 5 3" xfId="33397" xr:uid="{00000000-0005-0000-0000-000075820000}"/>
    <cellStyle name="Normal 5 10 21 5 4" xfId="33398" xr:uid="{00000000-0005-0000-0000-000076820000}"/>
    <cellStyle name="Normal 5 10 21 5 5" xfId="33399" xr:uid="{00000000-0005-0000-0000-000077820000}"/>
    <cellStyle name="Normal 5 10 21 5 6" xfId="33400" xr:uid="{00000000-0005-0000-0000-000078820000}"/>
    <cellStyle name="Normal 5 10 21 5 7" xfId="33401" xr:uid="{00000000-0005-0000-0000-000079820000}"/>
    <cellStyle name="Normal 5 10 21 5 8" xfId="33402" xr:uid="{00000000-0005-0000-0000-00007A820000}"/>
    <cellStyle name="Normal 5 10 21 5 9" xfId="33403" xr:uid="{00000000-0005-0000-0000-00007B820000}"/>
    <cellStyle name="Normal 5 10 21 6" xfId="33404" xr:uid="{00000000-0005-0000-0000-00007C820000}"/>
    <cellStyle name="Normal 5 10 21 7" xfId="33405" xr:uid="{00000000-0005-0000-0000-00007D820000}"/>
    <cellStyle name="Normal 5 10 21 8" xfId="33406" xr:uid="{00000000-0005-0000-0000-00007E820000}"/>
    <cellStyle name="Normal 5 10 21 9" xfId="33407" xr:uid="{00000000-0005-0000-0000-00007F820000}"/>
    <cellStyle name="Normal 5 10 22" xfId="33408" xr:uid="{00000000-0005-0000-0000-000080820000}"/>
    <cellStyle name="Normal 5 10 22 10" xfId="33409" xr:uid="{00000000-0005-0000-0000-000081820000}"/>
    <cellStyle name="Normal 5 10 22 11" xfId="33410" xr:uid="{00000000-0005-0000-0000-000082820000}"/>
    <cellStyle name="Normal 5 10 22 12" xfId="33411" xr:uid="{00000000-0005-0000-0000-000083820000}"/>
    <cellStyle name="Normal 5 10 22 13" xfId="33412" xr:uid="{00000000-0005-0000-0000-000084820000}"/>
    <cellStyle name="Normal 5 10 22 14" xfId="33413" xr:uid="{00000000-0005-0000-0000-000085820000}"/>
    <cellStyle name="Normal 5 10 22 2" xfId="33414" xr:uid="{00000000-0005-0000-0000-000086820000}"/>
    <cellStyle name="Normal 5 10 22 2 10" xfId="33415" xr:uid="{00000000-0005-0000-0000-000087820000}"/>
    <cellStyle name="Normal 5 10 22 2 2" xfId="33416" xr:uid="{00000000-0005-0000-0000-000088820000}"/>
    <cellStyle name="Normal 5 10 22 2 3" xfId="33417" xr:uid="{00000000-0005-0000-0000-000089820000}"/>
    <cellStyle name="Normal 5 10 22 2 4" xfId="33418" xr:uid="{00000000-0005-0000-0000-00008A820000}"/>
    <cellStyle name="Normal 5 10 22 2 5" xfId="33419" xr:uid="{00000000-0005-0000-0000-00008B820000}"/>
    <cellStyle name="Normal 5 10 22 2 6" xfId="33420" xr:uid="{00000000-0005-0000-0000-00008C820000}"/>
    <cellStyle name="Normal 5 10 22 2 7" xfId="33421" xr:uid="{00000000-0005-0000-0000-00008D820000}"/>
    <cellStyle name="Normal 5 10 22 2 8" xfId="33422" xr:uid="{00000000-0005-0000-0000-00008E820000}"/>
    <cellStyle name="Normal 5 10 22 2 9" xfId="33423" xr:uid="{00000000-0005-0000-0000-00008F820000}"/>
    <cellStyle name="Normal 5 10 22 3" xfId="33424" xr:uid="{00000000-0005-0000-0000-000090820000}"/>
    <cellStyle name="Normal 5 10 22 3 10" xfId="33425" xr:uid="{00000000-0005-0000-0000-000091820000}"/>
    <cellStyle name="Normal 5 10 22 3 2" xfId="33426" xr:uid="{00000000-0005-0000-0000-000092820000}"/>
    <cellStyle name="Normal 5 10 22 3 3" xfId="33427" xr:uid="{00000000-0005-0000-0000-000093820000}"/>
    <cellStyle name="Normal 5 10 22 3 4" xfId="33428" xr:uid="{00000000-0005-0000-0000-000094820000}"/>
    <cellStyle name="Normal 5 10 22 3 5" xfId="33429" xr:uid="{00000000-0005-0000-0000-000095820000}"/>
    <cellStyle name="Normal 5 10 22 3 6" xfId="33430" xr:uid="{00000000-0005-0000-0000-000096820000}"/>
    <cellStyle name="Normal 5 10 22 3 7" xfId="33431" xr:uid="{00000000-0005-0000-0000-000097820000}"/>
    <cellStyle name="Normal 5 10 22 3 8" xfId="33432" xr:uid="{00000000-0005-0000-0000-000098820000}"/>
    <cellStyle name="Normal 5 10 22 3 9" xfId="33433" xr:uid="{00000000-0005-0000-0000-000099820000}"/>
    <cellStyle name="Normal 5 10 22 4" xfId="33434" xr:uid="{00000000-0005-0000-0000-00009A820000}"/>
    <cellStyle name="Normal 5 10 22 4 10" xfId="33435" xr:uid="{00000000-0005-0000-0000-00009B820000}"/>
    <cellStyle name="Normal 5 10 22 4 2" xfId="33436" xr:uid="{00000000-0005-0000-0000-00009C820000}"/>
    <cellStyle name="Normal 5 10 22 4 3" xfId="33437" xr:uid="{00000000-0005-0000-0000-00009D820000}"/>
    <cellStyle name="Normal 5 10 22 4 4" xfId="33438" xr:uid="{00000000-0005-0000-0000-00009E820000}"/>
    <cellStyle name="Normal 5 10 22 4 5" xfId="33439" xr:uid="{00000000-0005-0000-0000-00009F820000}"/>
    <cellStyle name="Normal 5 10 22 4 6" xfId="33440" xr:uid="{00000000-0005-0000-0000-0000A0820000}"/>
    <cellStyle name="Normal 5 10 22 4 7" xfId="33441" xr:uid="{00000000-0005-0000-0000-0000A1820000}"/>
    <cellStyle name="Normal 5 10 22 4 8" xfId="33442" xr:uid="{00000000-0005-0000-0000-0000A2820000}"/>
    <cellStyle name="Normal 5 10 22 4 9" xfId="33443" xr:uid="{00000000-0005-0000-0000-0000A3820000}"/>
    <cellStyle name="Normal 5 10 22 5" xfId="33444" xr:uid="{00000000-0005-0000-0000-0000A4820000}"/>
    <cellStyle name="Normal 5 10 22 5 10" xfId="33445" xr:uid="{00000000-0005-0000-0000-0000A5820000}"/>
    <cellStyle name="Normal 5 10 22 5 2" xfId="33446" xr:uid="{00000000-0005-0000-0000-0000A6820000}"/>
    <cellStyle name="Normal 5 10 22 5 3" xfId="33447" xr:uid="{00000000-0005-0000-0000-0000A7820000}"/>
    <cellStyle name="Normal 5 10 22 5 4" xfId="33448" xr:uid="{00000000-0005-0000-0000-0000A8820000}"/>
    <cellStyle name="Normal 5 10 22 5 5" xfId="33449" xr:uid="{00000000-0005-0000-0000-0000A9820000}"/>
    <cellStyle name="Normal 5 10 22 5 6" xfId="33450" xr:uid="{00000000-0005-0000-0000-0000AA820000}"/>
    <cellStyle name="Normal 5 10 22 5 7" xfId="33451" xr:uid="{00000000-0005-0000-0000-0000AB820000}"/>
    <cellStyle name="Normal 5 10 22 5 8" xfId="33452" xr:uid="{00000000-0005-0000-0000-0000AC820000}"/>
    <cellStyle name="Normal 5 10 22 5 9" xfId="33453" xr:uid="{00000000-0005-0000-0000-0000AD820000}"/>
    <cellStyle name="Normal 5 10 22 6" xfId="33454" xr:uid="{00000000-0005-0000-0000-0000AE820000}"/>
    <cellStyle name="Normal 5 10 22 7" xfId="33455" xr:uid="{00000000-0005-0000-0000-0000AF820000}"/>
    <cellStyle name="Normal 5 10 22 8" xfId="33456" xr:uid="{00000000-0005-0000-0000-0000B0820000}"/>
    <cellStyle name="Normal 5 10 22 9" xfId="33457" xr:uid="{00000000-0005-0000-0000-0000B1820000}"/>
    <cellStyle name="Normal 5 10 23" xfId="33458" xr:uid="{00000000-0005-0000-0000-0000B2820000}"/>
    <cellStyle name="Normal 5 10 23 10" xfId="33459" xr:uid="{00000000-0005-0000-0000-0000B3820000}"/>
    <cellStyle name="Normal 5 10 23 11" xfId="33460" xr:uid="{00000000-0005-0000-0000-0000B4820000}"/>
    <cellStyle name="Normal 5 10 23 12" xfId="33461" xr:uid="{00000000-0005-0000-0000-0000B5820000}"/>
    <cellStyle name="Normal 5 10 23 13" xfId="33462" xr:uid="{00000000-0005-0000-0000-0000B6820000}"/>
    <cellStyle name="Normal 5 10 23 14" xfId="33463" xr:uid="{00000000-0005-0000-0000-0000B7820000}"/>
    <cellStyle name="Normal 5 10 23 2" xfId="33464" xr:uid="{00000000-0005-0000-0000-0000B8820000}"/>
    <cellStyle name="Normal 5 10 23 2 10" xfId="33465" xr:uid="{00000000-0005-0000-0000-0000B9820000}"/>
    <cellStyle name="Normal 5 10 23 2 2" xfId="33466" xr:uid="{00000000-0005-0000-0000-0000BA820000}"/>
    <cellStyle name="Normal 5 10 23 2 3" xfId="33467" xr:uid="{00000000-0005-0000-0000-0000BB820000}"/>
    <cellStyle name="Normal 5 10 23 2 4" xfId="33468" xr:uid="{00000000-0005-0000-0000-0000BC820000}"/>
    <cellStyle name="Normal 5 10 23 2 5" xfId="33469" xr:uid="{00000000-0005-0000-0000-0000BD820000}"/>
    <cellStyle name="Normal 5 10 23 2 6" xfId="33470" xr:uid="{00000000-0005-0000-0000-0000BE820000}"/>
    <cellStyle name="Normal 5 10 23 2 7" xfId="33471" xr:uid="{00000000-0005-0000-0000-0000BF820000}"/>
    <cellStyle name="Normal 5 10 23 2 8" xfId="33472" xr:uid="{00000000-0005-0000-0000-0000C0820000}"/>
    <cellStyle name="Normal 5 10 23 2 9" xfId="33473" xr:uid="{00000000-0005-0000-0000-0000C1820000}"/>
    <cellStyle name="Normal 5 10 23 3" xfId="33474" xr:uid="{00000000-0005-0000-0000-0000C2820000}"/>
    <cellStyle name="Normal 5 10 23 3 10" xfId="33475" xr:uid="{00000000-0005-0000-0000-0000C3820000}"/>
    <cellStyle name="Normal 5 10 23 3 2" xfId="33476" xr:uid="{00000000-0005-0000-0000-0000C4820000}"/>
    <cellStyle name="Normal 5 10 23 3 3" xfId="33477" xr:uid="{00000000-0005-0000-0000-0000C5820000}"/>
    <cellStyle name="Normal 5 10 23 3 4" xfId="33478" xr:uid="{00000000-0005-0000-0000-0000C6820000}"/>
    <cellStyle name="Normal 5 10 23 3 5" xfId="33479" xr:uid="{00000000-0005-0000-0000-0000C7820000}"/>
    <cellStyle name="Normal 5 10 23 3 6" xfId="33480" xr:uid="{00000000-0005-0000-0000-0000C8820000}"/>
    <cellStyle name="Normal 5 10 23 3 7" xfId="33481" xr:uid="{00000000-0005-0000-0000-0000C9820000}"/>
    <cellStyle name="Normal 5 10 23 3 8" xfId="33482" xr:uid="{00000000-0005-0000-0000-0000CA820000}"/>
    <cellStyle name="Normal 5 10 23 3 9" xfId="33483" xr:uid="{00000000-0005-0000-0000-0000CB820000}"/>
    <cellStyle name="Normal 5 10 23 4" xfId="33484" xr:uid="{00000000-0005-0000-0000-0000CC820000}"/>
    <cellStyle name="Normal 5 10 23 4 10" xfId="33485" xr:uid="{00000000-0005-0000-0000-0000CD820000}"/>
    <cellStyle name="Normal 5 10 23 4 2" xfId="33486" xr:uid="{00000000-0005-0000-0000-0000CE820000}"/>
    <cellStyle name="Normal 5 10 23 4 3" xfId="33487" xr:uid="{00000000-0005-0000-0000-0000CF820000}"/>
    <cellStyle name="Normal 5 10 23 4 4" xfId="33488" xr:uid="{00000000-0005-0000-0000-0000D0820000}"/>
    <cellStyle name="Normal 5 10 23 4 5" xfId="33489" xr:uid="{00000000-0005-0000-0000-0000D1820000}"/>
    <cellStyle name="Normal 5 10 23 4 6" xfId="33490" xr:uid="{00000000-0005-0000-0000-0000D2820000}"/>
    <cellStyle name="Normal 5 10 23 4 7" xfId="33491" xr:uid="{00000000-0005-0000-0000-0000D3820000}"/>
    <cellStyle name="Normal 5 10 23 4 8" xfId="33492" xr:uid="{00000000-0005-0000-0000-0000D4820000}"/>
    <cellStyle name="Normal 5 10 23 4 9" xfId="33493" xr:uid="{00000000-0005-0000-0000-0000D5820000}"/>
    <cellStyle name="Normal 5 10 23 5" xfId="33494" xr:uid="{00000000-0005-0000-0000-0000D6820000}"/>
    <cellStyle name="Normal 5 10 23 5 10" xfId="33495" xr:uid="{00000000-0005-0000-0000-0000D7820000}"/>
    <cellStyle name="Normal 5 10 23 5 2" xfId="33496" xr:uid="{00000000-0005-0000-0000-0000D8820000}"/>
    <cellStyle name="Normal 5 10 23 5 3" xfId="33497" xr:uid="{00000000-0005-0000-0000-0000D9820000}"/>
    <cellStyle name="Normal 5 10 23 5 4" xfId="33498" xr:uid="{00000000-0005-0000-0000-0000DA820000}"/>
    <cellStyle name="Normal 5 10 23 5 5" xfId="33499" xr:uid="{00000000-0005-0000-0000-0000DB820000}"/>
    <cellStyle name="Normal 5 10 23 5 6" xfId="33500" xr:uid="{00000000-0005-0000-0000-0000DC820000}"/>
    <cellStyle name="Normal 5 10 23 5 7" xfId="33501" xr:uid="{00000000-0005-0000-0000-0000DD820000}"/>
    <cellStyle name="Normal 5 10 23 5 8" xfId="33502" xr:uid="{00000000-0005-0000-0000-0000DE820000}"/>
    <cellStyle name="Normal 5 10 23 5 9" xfId="33503" xr:uid="{00000000-0005-0000-0000-0000DF820000}"/>
    <cellStyle name="Normal 5 10 23 6" xfId="33504" xr:uid="{00000000-0005-0000-0000-0000E0820000}"/>
    <cellStyle name="Normal 5 10 23 7" xfId="33505" xr:uid="{00000000-0005-0000-0000-0000E1820000}"/>
    <cellStyle name="Normal 5 10 23 8" xfId="33506" xr:uid="{00000000-0005-0000-0000-0000E2820000}"/>
    <cellStyle name="Normal 5 10 23 9" xfId="33507" xr:uid="{00000000-0005-0000-0000-0000E3820000}"/>
    <cellStyle name="Normal 5 10 24" xfId="33508" xr:uid="{00000000-0005-0000-0000-0000E4820000}"/>
    <cellStyle name="Normal 5 10 24 10" xfId="33509" xr:uid="{00000000-0005-0000-0000-0000E5820000}"/>
    <cellStyle name="Normal 5 10 24 11" xfId="33510" xr:uid="{00000000-0005-0000-0000-0000E6820000}"/>
    <cellStyle name="Normal 5 10 24 12" xfId="33511" xr:uid="{00000000-0005-0000-0000-0000E7820000}"/>
    <cellStyle name="Normal 5 10 24 13" xfId="33512" xr:uid="{00000000-0005-0000-0000-0000E8820000}"/>
    <cellStyle name="Normal 5 10 24 14" xfId="33513" xr:uid="{00000000-0005-0000-0000-0000E9820000}"/>
    <cellStyle name="Normal 5 10 24 2" xfId="33514" xr:uid="{00000000-0005-0000-0000-0000EA820000}"/>
    <cellStyle name="Normal 5 10 24 2 10" xfId="33515" xr:uid="{00000000-0005-0000-0000-0000EB820000}"/>
    <cellStyle name="Normal 5 10 24 2 2" xfId="33516" xr:uid="{00000000-0005-0000-0000-0000EC820000}"/>
    <cellStyle name="Normal 5 10 24 2 3" xfId="33517" xr:uid="{00000000-0005-0000-0000-0000ED820000}"/>
    <cellStyle name="Normal 5 10 24 2 4" xfId="33518" xr:uid="{00000000-0005-0000-0000-0000EE820000}"/>
    <cellStyle name="Normal 5 10 24 2 5" xfId="33519" xr:uid="{00000000-0005-0000-0000-0000EF820000}"/>
    <cellStyle name="Normal 5 10 24 2 6" xfId="33520" xr:uid="{00000000-0005-0000-0000-0000F0820000}"/>
    <cellStyle name="Normal 5 10 24 2 7" xfId="33521" xr:uid="{00000000-0005-0000-0000-0000F1820000}"/>
    <cellStyle name="Normal 5 10 24 2 8" xfId="33522" xr:uid="{00000000-0005-0000-0000-0000F2820000}"/>
    <cellStyle name="Normal 5 10 24 2 9" xfId="33523" xr:uid="{00000000-0005-0000-0000-0000F3820000}"/>
    <cellStyle name="Normal 5 10 24 3" xfId="33524" xr:uid="{00000000-0005-0000-0000-0000F4820000}"/>
    <cellStyle name="Normal 5 10 24 3 10" xfId="33525" xr:uid="{00000000-0005-0000-0000-0000F5820000}"/>
    <cellStyle name="Normal 5 10 24 3 2" xfId="33526" xr:uid="{00000000-0005-0000-0000-0000F6820000}"/>
    <cellStyle name="Normal 5 10 24 3 3" xfId="33527" xr:uid="{00000000-0005-0000-0000-0000F7820000}"/>
    <cellStyle name="Normal 5 10 24 3 4" xfId="33528" xr:uid="{00000000-0005-0000-0000-0000F8820000}"/>
    <cellStyle name="Normal 5 10 24 3 5" xfId="33529" xr:uid="{00000000-0005-0000-0000-0000F9820000}"/>
    <cellStyle name="Normal 5 10 24 3 6" xfId="33530" xr:uid="{00000000-0005-0000-0000-0000FA820000}"/>
    <cellStyle name="Normal 5 10 24 3 7" xfId="33531" xr:uid="{00000000-0005-0000-0000-0000FB820000}"/>
    <cellStyle name="Normal 5 10 24 3 8" xfId="33532" xr:uid="{00000000-0005-0000-0000-0000FC820000}"/>
    <cellStyle name="Normal 5 10 24 3 9" xfId="33533" xr:uid="{00000000-0005-0000-0000-0000FD820000}"/>
    <cellStyle name="Normal 5 10 24 4" xfId="33534" xr:uid="{00000000-0005-0000-0000-0000FE820000}"/>
    <cellStyle name="Normal 5 10 24 4 10" xfId="33535" xr:uid="{00000000-0005-0000-0000-0000FF820000}"/>
    <cellStyle name="Normal 5 10 24 4 2" xfId="33536" xr:uid="{00000000-0005-0000-0000-000000830000}"/>
    <cellStyle name="Normal 5 10 24 4 3" xfId="33537" xr:uid="{00000000-0005-0000-0000-000001830000}"/>
    <cellStyle name="Normal 5 10 24 4 4" xfId="33538" xr:uid="{00000000-0005-0000-0000-000002830000}"/>
    <cellStyle name="Normal 5 10 24 4 5" xfId="33539" xr:uid="{00000000-0005-0000-0000-000003830000}"/>
    <cellStyle name="Normal 5 10 24 4 6" xfId="33540" xr:uid="{00000000-0005-0000-0000-000004830000}"/>
    <cellStyle name="Normal 5 10 24 4 7" xfId="33541" xr:uid="{00000000-0005-0000-0000-000005830000}"/>
    <cellStyle name="Normal 5 10 24 4 8" xfId="33542" xr:uid="{00000000-0005-0000-0000-000006830000}"/>
    <cellStyle name="Normal 5 10 24 4 9" xfId="33543" xr:uid="{00000000-0005-0000-0000-000007830000}"/>
    <cellStyle name="Normal 5 10 24 5" xfId="33544" xr:uid="{00000000-0005-0000-0000-000008830000}"/>
    <cellStyle name="Normal 5 10 24 5 10" xfId="33545" xr:uid="{00000000-0005-0000-0000-000009830000}"/>
    <cellStyle name="Normal 5 10 24 5 2" xfId="33546" xr:uid="{00000000-0005-0000-0000-00000A830000}"/>
    <cellStyle name="Normal 5 10 24 5 3" xfId="33547" xr:uid="{00000000-0005-0000-0000-00000B830000}"/>
    <cellStyle name="Normal 5 10 24 5 4" xfId="33548" xr:uid="{00000000-0005-0000-0000-00000C830000}"/>
    <cellStyle name="Normal 5 10 24 5 5" xfId="33549" xr:uid="{00000000-0005-0000-0000-00000D830000}"/>
    <cellStyle name="Normal 5 10 24 5 6" xfId="33550" xr:uid="{00000000-0005-0000-0000-00000E830000}"/>
    <cellStyle name="Normal 5 10 24 5 7" xfId="33551" xr:uid="{00000000-0005-0000-0000-00000F830000}"/>
    <cellStyle name="Normal 5 10 24 5 8" xfId="33552" xr:uid="{00000000-0005-0000-0000-000010830000}"/>
    <cellStyle name="Normal 5 10 24 5 9" xfId="33553" xr:uid="{00000000-0005-0000-0000-000011830000}"/>
    <cellStyle name="Normal 5 10 24 6" xfId="33554" xr:uid="{00000000-0005-0000-0000-000012830000}"/>
    <cellStyle name="Normal 5 10 24 7" xfId="33555" xr:uid="{00000000-0005-0000-0000-000013830000}"/>
    <cellStyle name="Normal 5 10 24 8" xfId="33556" xr:uid="{00000000-0005-0000-0000-000014830000}"/>
    <cellStyle name="Normal 5 10 24 9" xfId="33557" xr:uid="{00000000-0005-0000-0000-000015830000}"/>
    <cellStyle name="Normal 5 10 25" xfId="33558" xr:uid="{00000000-0005-0000-0000-000016830000}"/>
    <cellStyle name="Normal 5 10 25 10" xfId="33559" xr:uid="{00000000-0005-0000-0000-000017830000}"/>
    <cellStyle name="Normal 5 10 25 11" xfId="33560" xr:uid="{00000000-0005-0000-0000-000018830000}"/>
    <cellStyle name="Normal 5 10 25 12" xfId="33561" xr:uid="{00000000-0005-0000-0000-000019830000}"/>
    <cellStyle name="Normal 5 10 25 13" xfId="33562" xr:uid="{00000000-0005-0000-0000-00001A830000}"/>
    <cellStyle name="Normal 5 10 25 14" xfId="33563" xr:uid="{00000000-0005-0000-0000-00001B830000}"/>
    <cellStyle name="Normal 5 10 25 2" xfId="33564" xr:uid="{00000000-0005-0000-0000-00001C830000}"/>
    <cellStyle name="Normal 5 10 25 2 10" xfId="33565" xr:uid="{00000000-0005-0000-0000-00001D830000}"/>
    <cellStyle name="Normal 5 10 25 2 2" xfId="33566" xr:uid="{00000000-0005-0000-0000-00001E830000}"/>
    <cellStyle name="Normal 5 10 25 2 3" xfId="33567" xr:uid="{00000000-0005-0000-0000-00001F830000}"/>
    <cellStyle name="Normal 5 10 25 2 4" xfId="33568" xr:uid="{00000000-0005-0000-0000-000020830000}"/>
    <cellStyle name="Normal 5 10 25 2 5" xfId="33569" xr:uid="{00000000-0005-0000-0000-000021830000}"/>
    <cellStyle name="Normal 5 10 25 2 6" xfId="33570" xr:uid="{00000000-0005-0000-0000-000022830000}"/>
    <cellStyle name="Normal 5 10 25 2 7" xfId="33571" xr:uid="{00000000-0005-0000-0000-000023830000}"/>
    <cellStyle name="Normal 5 10 25 2 8" xfId="33572" xr:uid="{00000000-0005-0000-0000-000024830000}"/>
    <cellStyle name="Normal 5 10 25 2 9" xfId="33573" xr:uid="{00000000-0005-0000-0000-000025830000}"/>
    <cellStyle name="Normal 5 10 25 3" xfId="33574" xr:uid="{00000000-0005-0000-0000-000026830000}"/>
    <cellStyle name="Normal 5 10 25 3 10" xfId="33575" xr:uid="{00000000-0005-0000-0000-000027830000}"/>
    <cellStyle name="Normal 5 10 25 3 2" xfId="33576" xr:uid="{00000000-0005-0000-0000-000028830000}"/>
    <cellStyle name="Normal 5 10 25 3 3" xfId="33577" xr:uid="{00000000-0005-0000-0000-000029830000}"/>
    <cellStyle name="Normal 5 10 25 3 4" xfId="33578" xr:uid="{00000000-0005-0000-0000-00002A830000}"/>
    <cellStyle name="Normal 5 10 25 3 5" xfId="33579" xr:uid="{00000000-0005-0000-0000-00002B830000}"/>
    <cellStyle name="Normal 5 10 25 3 6" xfId="33580" xr:uid="{00000000-0005-0000-0000-00002C830000}"/>
    <cellStyle name="Normal 5 10 25 3 7" xfId="33581" xr:uid="{00000000-0005-0000-0000-00002D830000}"/>
    <cellStyle name="Normal 5 10 25 3 8" xfId="33582" xr:uid="{00000000-0005-0000-0000-00002E830000}"/>
    <cellStyle name="Normal 5 10 25 3 9" xfId="33583" xr:uid="{00000000-0005-0000-0000-00002F830000}"/>
    <cellStyle name="Normal 5 10 25 4" xfId="33584" xr:uid="{00000000-0005-0000-0000-000030830000}"/>
    <cellStyle name="Normal 5 10 25 4 10" xfId="33585" xr:uid="{00000000-0005-0000-0000-000031830000}"/>
    <cellStyle name="Normal 5 10 25 4 2" xfId="33586" xr:uid="{00000000-0005-0000-0000-000032830000}"/>
    <cellStyle name="Normal 5 10 25 4 3" xfId="33587" xr:uid="{00000000-0005-0000-0000-000033830000}"/>
    <cellStyle name="Normal 5 10 25 4 4" xfId="33588" xr:uid="{00000000-0005-0000-0000-000034830000}"/>
    <cellStyle name="Normal 5 10 25 4 5" xfId="33589" xr:uid="{00000000-0005-0000-0000-000035830000}"/>
    <cellStyle name="Normal 5 10 25 4 6" xfId="33590" xr:uid="{00000000-0005-0000-0000-000036830000}"/>
    <cellStyle name="Normal 5 10 25 4 7" xfId="33591" xr:uid="{00000000-0005-0000-0000-000037830000}"/>
    <cellStyle name="Normal 5 10 25 4 8" xfId="33592" xr:uid="{00000000-0005-0000-0000-000038830000}"/>
    <cellStyle name="Normal 5 10 25 4 9" xfId="33593" xr:uid="{00000000-0005-0000-0000-000039830000}"/>
    <cellStyle name="Normal 5 10 25 5" xfId="33594" xr:uid="{00000000-0005-0000-0000-00003A830000}"/>
    <cellStyle name="Normal 5 10 25 5 10" xfId="33595" xr:uid="{00000000-0005-0000-0000-00003B830000}"/>
    <cellStyle name="Normal 5 10 25 5 2" xfId="33596" xr:uid="{00000000-0005-0000-0000-00003C830000}"/>
    <cellStyle name="Normal 5 10 25 5 3" xfId="33597" xr:uid="{00000000-0005-0000-0000-00003D830000}"/>
    <cellStyle name="Normal 5 10 25 5 4" xfId="33598" xr:uid="{00000000-0005-0000-0000-00003E830000}"/>
    <cellStyle name="Normal 5 10 25 5 5" xfId="33599" xr:uid="{00000000-0005-0000-0000-00003F830000}"/>
    <cellStyle name="Normal 5 10 25 5 6" xfId="33600" xr:uid="{00000000-0005-0000-0000-000040830000}"/>
    <cellStyle name="Normal 5 10 25 5 7" xfId="33601" xr:uid="{00000000-0005-0000-0000-000041830000}"/>
    <cellStyle name="Normal 5 10 25 5 8" xfId="33602" xr:uid="{00000000-0005-0000-0000-000042830000}"/>
    <cellStyle name="Normal 5 10 25 5 9" xfId="33603" xr:uid="{00000000-0005-0000-0000-000043830000}"/>
    <cellStyle name="Normal 5 10 25 6" xfId="33604" xr:uid="{00000000-0005-0000-0000-000044830000}"/>
    <cellStyle name="Normal 5 10 25 7" xfId="33605" xr:uid="{00000000-0005-0000-0000-000045830000}"/>
    <cellStyle name="Normal 5 10 25 8" xfId="33606" xr:uid="{00000000-0005-0000-0000-000046830000}"/>
    <cellStyle name="Normal 5 10 25 9" xfId="33607" xr:uid="{00000000-0005-0000-0000-000047830000}"/>
    <cellStyle name="Normal 5 10 26" xfId="33608" xr:uid="{00000000-0005-0000-0000-000048830000}"/>
    <cellStyle name="Normal 5 10 26 10" xfId="33609" xr:uid="{00000000-0005-0000-0000-000049830000}"/>
    <cellStyle name="Normal 5 10 26 11" xfId="33610" xr:uid="{00000000-0005-0000-0000-00004A830000}"/>
    <cellStyle name="Normal 5 10 26 12" xfId="33611" xr:uid="{00000000-0005-0000-0000-00004B830000}"/>
    <cellStyle name="Normal 5 10 26 13" xfId="33612" xr:uid="{00000000-0005-0000-0000-00004C830000}"/>
    <cellStyle name="Normal 5 10 26 14" xfId="33613" xr:uid="{00000000-0005-0000-0000-00004D830000}"/>
    <cellStyle name="Normal 5 10 26 2" xfId="33614" xr:uid="{00000000-0005-0000-0000-00004E830000}"/>
    <cellStyle name="Normal 5 10 26 2 10" xfId="33615" xr:uid="{00000000-0005-0000-0000-00004F830000}"/>
    <cellStyle name="Normal 5 10 26 2 2" xfId="33616" xr:uid="{00000000-0005-0000-0000-000050830000}"/>
    <cellStyle name="Normal 5 10 26 2 3" xfId="33617" xr:uid="{00000000-0005-0000-0000-000051830000}"/>
    <cellStyle name="Normal 5 10 26 2 4" xfId="33618" xr:uid="{00000000-0005-0000-0000-000052830000}"/>
    <cellStyle name="Normal 5 10 26 2 5" xfId="33619" xr:uid="{00000000-0005-0000-0000-000053830000}"/>
    <cellStyle name="Normal 5 10 26 2 6" xfId="33620" xr:uid="{00000000-0005-0000-0000-000054830000}"/>
    <cellStyle name="Normal 5 10 26 2 7" xfId="33621" xr:uid="{00000000-0005-0000-0000-000055830000}"/>
    <cellStyle name="Normal 5 10 26 2 8" xfId="33622" xr:uid="{00000000-0005-0000-0000-000056830000}"/>
    <cellStyle name="Normal 5 10 26 2 9" xfId="33623" xr:uid="{00000000-0005-0000-0000-000057830000}"/>
    <cellStyle name="Normal 5 10 26 3" xfId="33624" xr:uid="{00000000-0005-0000-0000-000058830000}"/>
    <cellStyle name="Normal 5 10 26 3 10" xfId="33625" xr:uid="{00000000-0005-0000-0000-000059830000}"/>
    <cellStyle name="Normal 5 10 26 3 2" xfId="33626" xr:uid="{00000000-0005-0000-0000-00005A830000}"/>
    <cellStyle name="Normal 5 10 26 3 3" xfId="33627" xr:uid="{00000000-0005-0000-0000-00005B830000}"/>
    <cellStyle name="Normal 5 10 26 3 4" xfId="33628" xr:uid="{00000000-0005-0000-0000-00005C830000}"/>
    <cellStyle name="Normal 5 10 26 3 5" xfId="33629" xr:uid="{00000000-0005-0000-0000-00005D830000}"/>
    <cellStyle name="Normal 5 10 26 3 6" xfId="33630" xr:uid="{00000000-0005-0000-0000-00005E830000}"/>
    <cellStyle name="Normal 5 10 26 3 7" xfId="33631" xr:uid="{00000000-0005-0000-0000-00005F830000}"/>
    <cellStyle name="Normal 5 10 26 3 8" xfId="33632" xr:uid="{00000000-0005-0000-0000-000060830000}"/>
    <cellStyle name="Normal 5 10 26 3 9" xfId="33633" xr:uid="{00000000-0005-0000-0000-000061830000}"/>
    <cellStyle name="Normal 5 10 26 4" xfId="33634" xr:uid="{00000000-0005-0000-0000-000062830000}"/>
    <cellStyle name="Normal 5 10 26 4 10" xfId="33635" xr:uid="{00000000-0005-0000-0000-000063830000}"/>
    <cellStyle name="Normal 5 10 26 4 2" xfId="33636" xr:uid="{00000000-0005-0000-0000-000064830000}"/>
    <cellStyle name="Normal 5 10 26 4 3" xfId="33637" xr:uid="{00000000-0005-0000-0000-000065830000}"/>
    <cellStyle name="Normal 5 10 26 4 4" xfId="33638" xr:uid="{00000000-0005-0000-0000-000066830000}"/>
    <cellStyle name="Normal 5 10 26 4 5" xfId="33639" xr:uid="{00000000-0005-0000-0000-000067830000}"/>
    <cellStyle name="Normal 5 10 26 4 6" xfId="33640" xr:uid="{00000000-0005-0000-0000-000068830000}"/>
    <cellStyle name="Normal 5 10 26 4 7" xfId="33641" xr:uid="{00000000-0005-0000-0000-000069830000}"/>
    <cellStyle name="Normal 5 10 26 4 8" xfId="33642" xr:uid="{00000000-0005-0000-0000-00006A830000}"/>
    <cellStyle name="Normal 5 10 26 4 9" xfId="33643" xr:uid="{00000000-0005-0000-0000-00006B830000}"/>
    <cellStyle name="Normal 5 10 26 5" xfId="33644" xr:uid="{00000000-0005-0000-0000-00006C830000}"/>
    <cellStyle name="Normal 5 10 26 5 10" xfId="33645" xr:uid="{00000000-0005-0000-0000-00006D830000}"/>
    <cellStyle name="Normal 5 10 26 5 2" xfId="33646" xr:uid="{00000000-0005-0000-0000-00006E830000}"/>
    <cellStyle name="Normal 5 10 26 5 3" xfId="33647" xr:uid="{00000000-0005-0000-0000-00006F830000}"/>
    <cellStyle name="Normal 5 10 26 5 4" xfId="33648" xr:uid="{00000000-0005-0000-0000-000070830000}"/>
    <cellStyle name="Normal 5 10 26 5 5" xfId="33649" xr:uid="{00000000-0005-0000-0000-000071830000}"/>
    <cellStyle name="Normal 5 10 26 5 6" xfId="33650" xr:uid="{00000000-0005-0000-0000-000072830000}"/>
    <cellStyle name="Normal 5 10 26 5 7" xfId="33651" xr:uid="{00000000-0005-0000-0000-000073830000}"/>
    <cellStyle name="Normal 5 10 26 5 8" xfId="33652" xr:uid="{00000000-0005-0000-0000-000074830000}"/>
    <cellStyle name="Normal 5 10 26 5 9" xfId="33653" xr:uid="{00000000-0005-0000-0000-000075830000}"/>
    <cellStyle name="Normal 5 10 26 6" xfId="33654" xr:uid="{00000000-0005-0000-0000-000076830000}"/>
    <cellStyle name="Normal 5 10 26 7" xfId="33655" xr:uid="{00000000-0005-0000-0000-000077830000}"/>
    <cellStyle name="Normal 5 10 26 8" xfId="33656" xr:uid="{00000000-0005-0000-0000-000078830000}"/>
    <cellStyle name="Normal 5 10 26 9" xfId="33657" xr:uid="{00000000-0005-0000-0000-000079830000}"/>
    <cellStyle name="Normal 5 10 27" xfId="33658" xr:uid="{00000000-0005-0000-0000-00007A830000}"/>
    <cellStyle name="Normal 5 10 27 10" xfId="33659" xr:uid="{00000000-0005-0000-0000-00007B830000}"/>
    <cellStyle name="Normal 5 10 27 11" xfId="33660" xr:uid="{00000000-0005-0000-0000-00007C830000}"/>
    <cellStyle name="Normal 5 10 27 12" xfId="33661" xr:uid="{00000000-0005-0000-0000-00007D830000}"/>
    <cellStyle name="Normal 5 10 27 13" xfId="33662" xr:uid="{00000000-0005-0000-0000-00007E830000}"/>
    <cellStyle name="Normal 5 10 27 14" xfId="33663" xr:uid="{00000000-0005-0000-0000-00007F830000}"/>
    <cellStyle name="Normal 5 10 27 2" xfId="33664" xr:uid="{00000000-0005-0000-0000-000080830000}"/>
    <cellStyle name="Normal 5 10 27 2 10" xfId="33665" xr:uid="{00000000-0005-0000-0000-000081830000}"/>
    <cellStyle name="Normal 5 10 27 2 2" xfId="33666" xr:uid="{00000000-0005-0000-0000-000082830000}"/>
    <cellStyle name="Normal 5 10 27 2 3" xfId="33667" xr:uid="{00000000-0005-0000-0000-000083830000}"/>
    <cellStyle name="Normal 5 10 27 2 4" xfId="33668" xr:uid="{00000000-0005-0000-0000-000084830000}"/>
    <cellStyle name="Normal 5 10 27 2 5" xfId="33669" xr:uid="{00000000-0005-0000-0000-000085830000}"/>
    <cellStyle name="Normal 5 10 27 2 6" xfId="33670" xr:uid="{00000000-0005-0000-0000-000086830000}"/>
    <cellStyle name="Normal 5 10 27 2 7" xfId="33671" xr:uid="{00000000-0005-0000-0000-000087830000}"/>
    <cellStyle name="Normal 5 10 27 2 8" xfId="33672" xr:uid="{00000000-0005-0000-0000-000088830000}"/>
    <cellStyle name="Normal 5 10 27 2 9" xfId="33673" xr:uid="{00000000-0005-0000-0000-000089830000}"/>
    <cellStyle name="Normal 5 10 27 3" xfId="33674" xr:uid="{00000000-0005-0000-0000-00008A830000}"/>
    <cellStyle name="Normal 5 10 27 3 10" xfId="33675" xr:uid="{00000000-0005-0000-0000-00008B830000}"/>
    <cellStyle name="Normal 5 10 27 3 2" xfId="33676" xr:uid="{00000000-0005-0000-0000-00008C830000}"/>
    <cellStyle name="Normal 5 10 27 3 3" xfId="33677" xr:uid="{00000000-0005-0000-0000-00008D830000}"/>
    <cellStyle name="Normal 5 10 27 3 4" xfId="33678" xr:uid="{00000000-0005-0000-0000-00008E830000}"/>
    <cellStyle name="Normal 5 10 27 3 5" xfId="33679" xr:uid="{00000000-0005-0000-0000-00008F830000}"/>
    <cellStyle name="Normal 5 10 27 3 6" xfId="33680" xr:uid="{00000000-0005-0000-0000-000090830000}"/>
    <cellStyle name="Normal 5 10 27 3 7" xfId="33681" xr:uid="{00000000-0005-0000-0000-000091830000}"/>
    <cellStyle name="Normal 5 10 27 3 8" xfId="33682" xr:uid="{00000000-0005-0000-0000-000092830000}"/>
    <cellStyle name="Normal 5 10 27 3 9" xfId="33683" xr:uid="{00000000-0005-0000-0000-000093830000}"/>
    <cellStyle name="Normal 5 10 27 4" xfId="33684" xr:uid="{00000000-0005-0000-0000-000094830000}"/>
    <cellStyle name="Normal 5 10 27 4 10" xfId="33685" xr:uid="{00000000-0005-0000-0000-000095830000}"/>
    <cellStyle name="Normal 5 10 27 4 2" xfId="33686" xr:uid="{00000000-0005-0000-0000-000096830000}"/>
    <cellStyle name="Normal 5 10 27 4 3" xfId="33687" xr:uid="{00000000-0005-0000-0000-000097830000}"/>
    <cellStyle name="Normal 5 10 27 4 4" xfId="33688" xr:uid="{00000000-0005-0000-0000-000098830000}"/>
    <cellStyle name="Normal 5 10 27 4 5" xfId="33689" xr:uid="{00000000-0005-0000-0000-000099830000}"/>
    <cellStyle name="Normal 5 10 27 4 6" xfId="33690" xr:uid="{00000000-0005-0000-0000-00009A830000}"/>
    <cellStyle name="Normal 5 10 27 4 7" xfId="33691" xr:uid="{00000000-0005-0000-0000-00009B830000}"/>
    <cellStyle name="Normal 5 10 27 4 8" xfId="33692" xr:uid="{00000000-0005-0000-0000-00009C830000}"/>
    <cellStyle name="Normal 5 10 27 4 9" xfId="33693" xr:uid="{00000000-0005-0000-0000-00009D830000}"/>
    <cellStyle name="Normal 5 10 27 5" xfId="33694" xr:uid="{00000000-0005-0000-0000-00009E830000}"/>
    <cellStyle name="Normal 5 10 27 5 10" xfId="33695" xr:uid="{00000000-0005-0000-0000-00009F830000}"/>
    <cellStyle name="Normal 5 10 27 5 2" xfId="33696" xr:uid="{00000000-0005-0000-0000-0000A0830000}"/>
    <cellStyle name="Normal 5 10 27 5 3" xfId="33697" xr:uid="{00000000-0005-0000-0000-0000A1830000}"/>
    <cellStyle name="Normal 5 10 27 5 4" xfId="33698" xr:uid="{00000000-0005-0000-0000-0000A2830000}"/>
    <cellStyle name="Normal 5 10 27 5 5" xfId="33699" xr:uid="{00000000-0005-0000-0000-0000A3830000}"/>
    <cellStyle name="Normal 5 10 27 5 6" xfId="33700" xr:uid="{00000000-0005-0000-0000-0000A4830000}"/>
    <cellStyle name="Normal 5 10 27 5 7" xfId="33701" xr:uid="{00000000-0005-0000-0000-0000A5830000}"/>
    <cellStyle name="Normal 5 10 27 5 8" xfId="33702" xr:uid="{00000000-0005-0000-0000-0000A6830000}"/>
    <cellStyle name="Normal 5 10 27 5 9" xfId="33703" xr:uid="{00000000-0005-0000-0000-0000A7830000}"/>
    <cellStyle name="Normal 5 10 27 6" xfId="33704" xr:uid="{00000000-0005-0000-0000-0000A8830000}"/>
    <cellStyle name="Normal 5 10 27 7" xfId="33705" xr:uid="{00000000-0005-0000-0000-0000A9830000}"/>
    <cellStyle name="Normal 5 10 27 8" xfId="33706" xr:uid="{00000000-0005-0000-0000-0000AA830000}"/>
    <cellStyle name="Normal 5 10 27 9" xfId="33707" xr:uid="{00000000-0005-0000-0000-0000AB830000}"/>
    <cellStyle name="Normal 5 10 28" xfId="33708" xr:uid="{00000000-0005-0000-0000-0000AC830000}"/>
    <cellStyle name="Normal 5 10 28 10" xfId="33709" xr:uid="{00000000-0005-0000-0000-0000AD830000}"/>
    <cellStyle name="Normal 5 10 28 11" xfId="33710" xr:uid="{00000000-0005-0000-0000-0000AE830000}"/>
    <cellStyle name="Normal 5 10 28 12" xfId="33711" xr:uid="{00000000-0005-0000-0000-0000AF830000}"/>
    <cellStyle name="Normal 5 10 28 13" xfId="33712" xr:uid="{00000000-0005-0000-0000-0000B0830000}"/>
    <cellStyle name="Normal 5 10 28 14" xfId="33713" xr:uid="{00000000-0005-0000-0000-0000B1830000}"/>
    <cellStyle name="Normal 5 10 28 2" xfId="33714" xr:uid="{00000000-0005-0000-0000-0000B2830000}"/>
    <cellStyle name="Normal 5 10 28 2 10" xfId="33715" xr:uid="{00000000-0005-0000-0000-0000B3830000}"/>
    <cellStyle name="Normal 5 10 28 2 2" xfId="33716" xr:uid="{00000000-0005-0000-0000-0000B4830000}"/>
    <cellStyle name="Normal 5 10 28 2 3" xfId="33717" xr:uid="{00000000-0005-0000-0000-0000B5830000}"/>
    <cellStyle name="Normal 5 10 28 2 4" xfId="33718" xr:uid="{00000000-0005-0000-0000-0000B6830000}"/>
    <cellStyle name="Normal 5 10 28 2 5" xfId="33719" xr:uid="{00000000-0005-0000-0000-0000B7830000}"/>
    <cellStyle name="Normal 5 10 28 2 6" xfId="33720" xr:uid="{00000000-0005-0000-0000-0000B8830000}"/>
    <cellStyle name="Normal 5 10 28 2 7" xfId="33721" xr:uid="{00000000-0005-0000-0000-0000B9830000}"/>
    <cellStyle name="Normal 5 10 28 2 8" xfId="33722" xr:uid="{00000000-0005-0000-0000-0000BA830000}"/>
    <cellStyle name="Normal 5 10 28 2 9" xfId="33723" xr:uid="{00000000-0005-0000-0000-0000BB830000}"/>
    <cellStyle name="Normal 5 10 28 3" xfId="33724" xr:uid="{00000000-0005-0000-0000-0000BC830000}"/>
    <cellStyle name="Normal 5 10 28 3 10" xfId="33725" xr:uid="{00000000-0005-0000-0000-0000BD830000}"/>
    <cellStyle name="Normal 5 10 28 3 2" xfId="33726" xr:uid="{00000000-0005-0000-0000-0000BE830000}"/>
    <cellStyle name="Normal 5 10 28 3 3" xfId="33727" xr:uid="{00000000-0005-0000-0000-0000BF830000}"/>
    <cellStyle name="Normal 5 10 28 3 4" xfId="33728" xr:uid="{00000000-0005-0000-0000-0000C0830000}"/>
    <cellStyle name="Normal 5 10 28 3 5" xfId="33729" xr:uid="{00000000-0005-0000-0000-0000C1830000}"/>
    <cellStyle name="Normal 5 10 28 3 6" xfId="33730" xr:uid="{00000000-0005-0000-0000-0000C2830000}"/>
    <cellStyle name="Normal 5 10 28 3 7" xfId="33731" xr:uid="{00000000-0005-0000-0000-0000C3830000}"/>
    <cellStyle name="Normal 5 10 28 3 8" xfId="33732" xr:uid="{00000000-0005-0000-0000-0000C4830000}"/>
    <cellStyle name="Normal 5 10 28 3 9" xfId="33733" xr:uid="{00000000-0005-0000-0000-0000C5830000}"/>
    <cellStyle name="Normal 5 10 28 4" xfId="33734" xr:uid="{00000000-0005-0000-0000-0000C6830000}"/>
    <cellStyle name="Normal 5 10 28 4 10" xfId="33735" xr:uid="{00000000-0005-0000-0000-0000C7830000}"/>
    <cellStyle name="Normal 5 10 28 4 2" xfId="33736" xr:uid="{00000000-0005-0000-0000-0000C8830000}"/>
    <cellStyle name="Normal 5 10 28 4 3" xfId="33737" xr:uid="{00000000-0005-0000-0000-0000C9830000}"/>
    <cellStyle name="Normal 5 10 28 4 4" xfId="33738" xr:uid="{00000000-0005-0000-0000-0000CA830000}"/>
    <cellStyle name="Normal 5 10 28 4 5" xfId="33739" xr:uid="{00000000-0005-0000-0000-0000CB830000}"/>
    <cellStyle name="Normal 5 10 28 4 6" xfId="33740" xr:uid="{00000000-0005-0000-0000-0000CC830000}"/>
    <cellStyle name="Normal 5 10 28 4 7" xfId="33741" xr:uid="{00000000-0005-0000-0000-0000CD830000}"/>
    <cellStyle name="Normal 5 10 28 4 8" xfId="33742" xr:uid="{00000000-0005-0000-0000-0000CE830000}"/>
    <cellStyle name="Normal 5 10 28 4 9" xfId="33743" xr:uid="{00000000-0005-0000-0000-0000CF830000}"/>
    <cellStyle name="Normal 5 10 28 5" xfId="33744" xr:uid="{00000000-0005-0000-0000-0000D0830000}"/>
    <cellStyle name="Normal 5 10 28 5 10" xfId="33745" xr:uid="{00000000-0005-0000-0000-0000D1830000}"/>
    <cellStyle name="Normal 5 10 28 5 2" xfId="33746" xr:uid="{00000000-0005-0000-0000-0000D2830000}"/>
    <cellStyle name="Normal 5 10 28 5 3" xfId="33747" xr:uid="{00000000-0005-0000-0000-0000D3830000}"/>
    <cellStyle name="Normal 5 10 28 5 4" xfId="33748" xr:uid="{00000000-0005-0000-0000-0000D4830000}"/>
    <cellStyle name="Normal 5 10 28 5 5" xfId="33749" xr:uid="{00000000-0005-0000-0000-0000D5830000}"/>
    <cellStyle name="Normal 5 10 28 5 6" xfId="33750" xr:uid="{00000000-0005-0000-0000-0000D6830000}"/>
    <cellStyle name="Normal 5 10 28 5 7" xfId="33751" xr:uid="{00000000-0005-0000-0000-0000D7830000}"/>
    <cellStyle name="Normal 5 10 28 5 8" xfId="33752" xr:uid="{00000000-0005-0000-0000-0000D8830000}"/>
    <cellStyle name="Normal 5 10 28 5 9" xfId="33753" xr:uid="{00000000-0005-0000-0000-0000D9830000}"/>
    <cellStyle name="Normal 5 10 28 6" xfId="33754" xr:uid="{00000000-0005-0000-0000-0000DA830000}"/>
    <cellStyle name="Normal 5 10 28 7" xfId="33755" xr:uid="{00000000-0005-0000-0000-0000DB830000}"/>
    <cellStyle name="Normal 5 10 28 8" xfId="33756" xr:uid="{00000000-0005-0000-0000-0000DC830000}"/>
    <cellStyle name="Normal 5 10 28 9" xfId="33757" xr:uid="{00000000-0005-0000-0000-0000DD830000}"/>
    <cellStyle name="Normal 5 10 29" xfId="33758" xr:uid="{00000000-0005-0000-0000-0000DE830000}"/>
    <cellStyle name="Normal 5 10 29 10" xfId="33759" xr:uid="{00000000-0005-0000-0000-0000DF830000}"/>
    <cellStyle name="Normal 5 10 29 11" xfId="33760" xr:uid="{00000000-0005-0000-0000-0000E0830000}"/>
    <cellStyle name="Normal 5 10 29 12" xfId="33761" xr:uid="{00000000-0005-0000-0000-0000E1830000}"/>
    <cellStyle name="Normal 5 10 29 13" xfId="33762" xr:uid="{00000000-0005-0000-0000-0000E2830000}"/>
    <cellStyle name="Normal 5 10 29 14" xfId="33763" xr:uid="{00000000-0005-0000-0000-0000E3830000}"/>
    <cellStyle name="Normal 5 10 29 2" xfId="33764" xr:uid="{00000000-0005-0000-0000-0000E4830000}"/>
    <cellStyle name="Normal 5 10 29 2 10" xfId="33765" xr:uid="{00000000-0005-0000-0000-0000E5830000}"/>
    <cellStyle name="Normal 5 10 29 2 2" xfId="33766" xr:uid="{00000000-0005-0000-0000-0000E6830000}"/>
    <cellStyle name="Normal 5 10 29 2 3" xfId="33767" xr:uid="{00000000-0005-0000-0000-0000E7830000}"/>
    <cellStyle name="Normal 5 10 29 2 4" xfId="33768" xr:uid="{00000000-0005-0000-0000-0000E8830000}"/>
    <cellStyle name="Normal 5 10 29 2 5" xfId="33769" xr:uid="{00000000-0005-0000-0000-0000E9830000}"/>
    <cellStyle name="Normal 5 10 29 2 6" xfId="33770" xr:uid="{00000000-0005-0000-0000-0000EA830000}"/>
    <cellStyle name="Normal 5 10 29 2 7" xfId="33771" xr:uid="{00000000-0005-0000-0000-0000EB830000}"/>
    <cellStyle name="Normal 5 10 29 2 8" xfId="33772" xr:uid="{00000000-0005-0000-0000-0000EC830000}"/>
    <cellStyle name="Normal 5 10 29 2 9" xfId="33773" xr:uid="{00000000-0005-0000-0000-0000ED830000}"/>
    <cellStyle name="Normal 5 10 29 3" xfId="33774" xr:uid="{00000000-0005-0000-0000-0000EE830000}"/>
    <cellStyle name="Normal 5 10 29 3 10" xfId="33775" xr:uid="{00000000-0005-0000-0000-0000EF830000}"/>
    <cellStyle name="Normal 5 10 29 3 2" xfId="33776" xr:uid="{00000000-0005-0000-0000-0000F0830000}"/>
    <cellStyle name="Normal 5 10 29 3 3" xfId="33777" xr:uid="{00000000-0005-0000-0000-0000F1830000}"/>
    <cellStyle name="Normal 5 10 29 3 4" xfId="33778" xr:uid="{00000000-0005-0000-0000-0000F2830000}"/>
    <cellStyle name="Normal 5 10 29 3 5" xfId="33779" xr:uid="{00000000-0005-0000-0000-0000F3830000}"/>
    <cellStyle name="Normal 5 10 29 3 6" xfId="33780" xr:uid="{00000000-0005-0000-0000-0000F4830000}"/>
    <cellStyle name="Normal 5 10 29 3 7" xfId="33781" xr:uid="{00000000-0005-0000-0000-0000F5830000}"/>
    <cellStyle name="Normal 5 10 29 3 8" xfId="33782" xr:uid="{00000000-0005-0000-0000-0000F6830000}"/>
    <cellStyle name="Normal 5 10 29 3 9" xfId="33783" xr:uid="{00000000-0005-0000-0000-0000F7830000}"/>
    <cellStyle name="Normal 5 10 29 4" xfId="33784" xr:uid="{00000000-0005-0000-0000-0000F8830000}"/>
    <cellStyle name="Normal 5 10 29 4 10" xfId="33785" xr:uid="{00000000-0005-0000-0000-0000F9830000}"/>
    <cellStyle name="Normal 5 10 29 4 2" xfId="33786" xr:uid="{00000000-0005-0000-0000-0000FA830000}"/>
    <cellStyle name="Normal 5 10 29 4 3" xfId="33787" xr:uid="{00000000-0005-0000-0000-0000FB830000}"/>
    <cellStyle name="Normal 5 10 29 4 4" xfId="33788" xr:uid="{00000000-0005-0000-0000-0000FC830000}"/>
    <cellStyle name="Normal 5 10 29 4 5" xfId="33789" xr:uid="{00000000-0005-0000-0000-0000FD830000}"/>
    <cellStyle name="Normal 5 10 29 4 6" xfId="33790" xr:uid="{00000000-0005-0000-0000-0000FE830000}"/>
    <cellStyle name="Normal 5 10 29 4 7" xfId="33791" xr:uid="{00000000-0005-0000-0000-0000FF830000}"/>
    <cellStyle name="Normal 5 10 29 4 8" xfId="33792" xr:uid="{00000000-0005-0000-0000-000000840000}"/>
    <cellStyle name="Normal 5 10 29 4 9" xfId="33793" xr:uid="{00000000-0005-0000-0000-000001840000}"/>
    <cellStyle name="Normal 5 10 29 5" xfId="33794" xr:uid="{00000000-0005-0000-0000-000002840000}"/>
    <cellStyle name="Normal 5 10 29 5 10" xfId="33795" xr:uid="{00000000-0005-0000-0000-000003840000}"/>
    <cellStyle name="Normal 5 10 29 5 2" xfId="33796" xr:uid="{00000000-0005-0000-0000-000004840000}"/>
    <cellStyle name="Normal 5 10 29 5 3" xfId="33797" xr:uid="{00000000-0005-0000-0000-000005840000}"/>
    <cellStyle name="Normal 5 10 29 5 4" xfId="33798" xr:uid="{00000000-0005-0000-0000-000006840000}"/>
    <cellStyle name="Normal 5 10 29 5 5" xfId="33799" xr:uid="{00000000-0005-0000-0000-000007840000}"/>
    <cellStyle name="Normal 5 10 29 5 6" xfId="33800" xr:uid="{00000000-0005-0000-0000-000008840000}"/>
    <cellStyle name="Normal 5 10 29 5 7" xfId="33801" xr:uid="{00000000-0005-0000-0000-000009840000}"/>
    <cellStyle name="Normal 5 10 29 5 8" xfId="33802" xr:uid="{00000000-0005-0000-0000-00000A840000}"/>
    <cellStyle name="Normal 5 10 29 5 9" xfId="33803" xr:uid="{00000000-0005-0000-0000-00000B840000}"/>
    <cellStyle name="Normal 5 10 29 6" xfId="33804" xr:uid="{00000000-0005-0000-0000-00000C840000}"/>
    <cellStyle name="Normal 5 10 29 7" xfId="33805" xr:uid="{00000000-0005-0000-0000-00000D840000}"/>
    <cellStyle name="Normal 5 10 29 8" xfId="33806" xr:uid="{00000000-0005-0000-0000-00000E840000}"/>
    <cellStyle name="Normal 5 10 29 9" xfId="33807" xr:uid="{00000000-0005-0000-0000-00000F840000}"/>
    <cellStyle name="Normal 5 10 3" xfId="33808" xr:uid="{00000000-0005-0000-0000-000010840000}"/>
    <cellStyle name="Normal 5 10 3 10" xfId="33809" xr:uid="{00000000-0005-0000-0000-000011840000}"/>
    <cellStyle name="Normal 5 10 3 11" xfId="33810" xr:uid="{00000000-0005-0000-0000-000012840000}"/>
    <cellStyle name="Normal 5 10 3 12" xfId="33811" xr:uid="{00000000-0005-0000-0000-000013840000}"/>
    <cellStyle name="Normal 5 10 3 13" xfId="33812" xr:uid="{00000000-0005-0000-0000-000014840000}"/>
    <cellStyle name="Normal 5 10 3 14" xfId="33813" xr:uid="{00000000-0005-0000-0000-000015840000}"/>
    <cellStyle name="Normal 5 10 3 2" xfId="33814" xr:uid="{00000000-0005-0000-0000-000016840000}"/>
    <cellStyle name="Normal 5 10 3 2 10" xfId="33815" xr:uid="{00000000-0005-0000-0000-000017840000}"/>
    <cellStyle name="Normal 5 10 3 2 2" xfId="33816" xr:uid="{00000000-0005-0000-0000-000018840000}"/>
    <cellStyle name="Normal 5 10 3 2 3" xfId="33817" xr:uid="{00000000-0005-0000-0000-000019840000}"/>
    <cellStyle name="Normal 5 10 3 2 4" xfId="33818" xr:uid="{00000000-0005-0000-0000-00001A840000}"/>
    <cellStyle name="Normal 5 10 3 2 5" xfId="33819" xr:uid="{00000000-0005-0000-0000-00001B840000}"/>
    <cellStyle name="Normal 5 10 3 2 6" xfId="33820" xr:uid="{00000000-0005-0000-0000-00001C840000}"/>
    <cellStyle name="Normal 5 10 3 2 7" xfId="33821" xr:uid="{00000000-0005-0000-0000-00001D840000}"/>
    <cellStyle name="Normal 5 10 3 2 8" xfId="33822" xr:uid="{00000000-0005-0000-0000-00001E840000}"/>
    <cellStyle name="Normal 5 10 3 2 9" xfId="33823" xr:uid="{00000000-0005-0000-0000-00001F840000}"/>
    <cellStyle name="Normal 5 10 3 3" xfId="33824" xr:uid="{00000000-0005-0000-0000-000020840000}"/>
    <cellStyle name="Normal 5 10 3 3 10" xfId="33825" xr:uid="{00000000-0005-0000-0000-000021840000}"/>
    <cellStyle name="Normal 5 10 3 3 2" xfId="33826" xr:uid="{00000000-0005-0000-0000-000022840000}"/>
    <cellStyle name="Normal 5 10 3 3 3" xfId="33827" xr:uid="{00000000-0005-0000-0000-000023840000}"/>
    <cellStyle name="Normal 5 10 3 3 4" xfId="33828" xr:uid="{00000000-0005-0000-0000-000024840000}"/>
    <cellStyle name="Normal 5 10 3 3 5" xfId="33829" xr:uid="{00000000-0005-0000-0000-000025840000}"/>
    <cellStyle name="Normal 5 10 3 3 6" xfId="33830" xr:uid="{00000000-0005-0000-0000-000026840000}"/>
    <cellStyle name="Normal 5 10 3 3 7" xfId="33831" xr:uid="{00000000-0005-0000-0000-000027840000}"/>
    <cellStyle name="Normal 5 10 3 3 8" xfId="33832" xr:uid="{00000000-0005-0000-0000-000028840000}"/>
    <cellStyle name="Normal 5 10 3 3 9" xfId="33833" xr:uid="{00000000-0005-0000-0000-000029840000}"/>
    <cellStyle name="Normal 5 10 3 4" xfId="33834" xr:uid="{00000000-0005-0000-0000-00002A840000}"/>
    <cellStyle name="Normal 5 10 3 4 10" xfId="33835" xr:uid="{00000000-0005-0000-0000-00002B840000}"/>
    <cellStyle name="Normal 5 10 3 4 2" xfId="33836" xr:uid="{00000000-0005-0000-0000-00002C840000}"/>
    <cellStyle name="Normal 5 10 3 4 3" xfId="33837" xr:uid="{00000000-0005-0000-0000-00002D840000}"/>
    <cellStyle name="Normal 5 10 3 4 4" xfId="33838" xr:uid="{00000000-0005-0000-0000-00002E840000}"/>
    <cellStyle name="Normal 5 10 3 4 5" xfId="33839" xr:uid="{00000000-0005-0000-0000-00002F840000}"/>
    <cellStyle name="Normal 5 10 3 4 6" xfId="33840" xr:uid="{00000000-0005-0000-0000-000030840000}"/>
    <cellStyle name="Normal 5 10 3 4 7" xfId="33841" xr:uid="{00000000-0005-0000-0000-000031840000}"/>
    <cellStyle name="Normal 5 10 3 4 8" xfId="33842" xr:uid="{00000000-0005-0000-0000-000032840000}"/>
    <cellStyle name="Normal 5 10 3 4 9" xfId="33843" xr:uid="{00000000-0005-0000-0000-000033840000}"/>
    <cellStyle name="Normal 5 10 3 5" xfId="33844" xr:uid="{00000000-0005-0000-0000-000034840000}"/>
    <cellStyle name="Normal 5 10 3 5 10" xfId="33845" xr:uid="{00000000-0005-0000-0000-000035840000}"/>
    <cellStyle name="Normal 5 10 3 5 2" xfId="33846" xr:uid="{00000000-0005-0000-0000-000036840000}"/>
    <cellStyle name="Normal 5 10 3 5 3" xfId="33847" xr:uid="{00000000-0005-0000-0000-000037840000}"/>
    <cellStyle name="Normal 5 10 3 5 4" xfId="33848" xr:uid="{00000000-0005-0000-0000-000038840000}"/>
    <cellStyle name="Normal 5 10 3 5 5" xfId="33849" xr:uid="{00000000-0005-0000-0000-000039840000}"/>
    <cellStyle name="Normal 5 10 3 5 6" xfId="33850" xr:uid="{00000000-0005-0000-0000-00003A840000}"/>
    <cellStyle name="Normal 5 10 3 5 7" xfId="33851" xr:uid="{00000000-0005-0000-0000-00003B840000}"/>
    <cellStyle name="Normal 5 10 3 5 8" xfId="33852" xr:uid="{00000000-0005-0000-0000-00003C840000}"/>
    <cellStyle name="Normal 5 10 3 5 9" xfId="33853" xr:uid="{00000000-0005-0000-0000-00003D840000}"/>
    <cellStyle name="Normal 5 10 3 6" xfId="33854" xr:uid="{00000000-0005-0000-0000-00003E840000}"/>
    <cellStyle name="Normal 5 10 3 7" xfId="33855" xr:uid="{00000000-0005-0000-0000-00003F840000}"/>
    <cellStyle name="Normal 5 10 3 8" xfId="33856" xr:uid="{00000000-0005-0000-0000-000040840000}"/>
    <cellStyle name="Normal 5 10 3 9" xfId="33857" xr:uid="{00000000-0005-0000-0000-000041840000}"/>
    <cellStyle name="Normal 5 10 30" xfId="33858" xr:uid="{00000000-0005-0000-0000-000042840000}"/>
    <cellStyle name="Normal 5 10 30 10" xfId="33859" xr:uid="{00000000-0005-0000-0000-000043840000}"/>
    <cellStyle name="Normal 5 10 30 11" xfId="33860" xr:uid="{00000000-0005-0000-0000-000044840000}"/>
    <cellStyle name="Normal 5 10 30 12" xfId="33861" xr:uid="{00000000-0005-0000-0000-000045840000}"/>
    <cellStyle name="Normal 5 10 30 13" xfId="33862" xr:uid="{00000000-0005-0000-0000-000046840000}"/>
    <cellStyle name="Normal 5 10 30 14" xfId="33863" xr:uid="{00000000-0005-0000-0000-000047840000}"/>
    <cellStyle name="Normal 5 10 30 2" xfId="33864" xr:uid="{00000000-0005-0000-0000-000048840000}"/>
    <cellStyle name="Normal 5 10 30 2 10" xfId="33865" xr:uid="{00000000-0005-0000-0000-000049840000}"/>
    <cellStyle name="Normal 5 10 30 2 2" xfId="33866" xr:uid="{00000000-0005-0000-0000-00004A840000}"/>
    <cellStyle name="Normal 5 10 30 2 3" xfId="33867" xr:uid="{00000000-0005-0000-0000-00004B840000}"/>
    <cellStyle name="Normal 5 10 30 2 4" xfId="33868" xr:uid="{00000000-0005-0000-0000-00004C840000}"/>
    <cellStyle name="Normal 5 10 30 2 5" xfId="33869" xr:uid="{00000000-0005-0000-0000-00004D840000}"/>
    <cellStyle name="Normal 5 10 30 2 6" xfId="33870" xr:uid="{00000000-0005-0000-0000-00004E840000}"/>
    <cellStyle name="Normal 5 10 30 2 7" xfId="33871" xr:uid="{00000000-0005-0000-0000-00004F840000}"/>
    <cellStyle name="Normal 5 10 30 2 8" xfId="33872" xr:uid="{00000000-0005-0000-0000-000050840000}"/>
    <cellStyle name="Normal 5 10 30 2 9" xfId="33873" xr:uid="{00000000-0005-0000-0000-000051840000}"/>
    <cellStyle name="Normal 5 10 30 3" xfId="33874" xr:uid="{00000000-0005-0000-0000-000052840000}"/>
    <cellStyle name="Normal 5 10 30 3 10" xfId="33875" xr:uid="{00000000-0005-0000-0000-000053840000}"/>
    <cellStyle name="Normal 5 10 30 3 2" xfId="33876" xr:uid="{00000000-0005-0000-0000-000054840000}"/>
    <cellStyle name="Normal 5 10 30 3 3" xfId="33877" xr:uid="{00000000-0005-0000-0000-000055840000}"/>
    <cellStyle name="Normal 5 10 30 3 4" xfId="33878" xr:uid="{00000000-0005-0000-0000-000056840000}"/>
    <cellStyle name="Normal 5 10 30 3 5" xfId="33879" xr:uid="{00000000-0005-0000-0000-000057840000}"/>
    <cellStyle name="Normal 5 10 30 3 6" xfId="33880" xr:uid="{00000000-0005-0000-0000-000058840000}"/>
    <cellStyle name="Normal 5 10 30 3 7" xfId="33881" xr:uid="{00000000-0005-0000-0000-000059840000}"/>
    <cellStyle name="Normal 5 10 30 3 8" xfId="33882" xr:uid="{00000000-0005-0000-0000-00005A840000}"/>
    <cellStyle name="Normal 5 10 30 3 9" xfId="33883" xr:uid="{00000000-0005-0000-0000-00005B840000}"/>
    <cellStyle name="Normal 5 10 30 4" xfId="33884" xr:uid="{00000000-0005-0000-0000-00005C840000}"/>
    <cellStyle name="Normal 5 10 30 4 10" xfId="33885" xr:uid="{00000000-0005-0000-0000-00005D840000}"/>
    <cellStyle name="Normal 5 10 30 4 2" xfId="33886" xr:uid="{00000000-0005-0000-0000-00005E840000}"/>
    <cellStyle name="Normal 5 10 30 4 3" xfId="33887" xr:uid="{00000000-0005-0000-0000-00005F840000}"/>
    <cellStyle name="Normal 5 10 30 4 4" xfId="33888" xr:uid="{00000000-0005-0000-0000-000060840000}"/>
    <cellStyle name="Normal 5 10 30 4 5" xfId="33889" xr:uid="{00000000-0005-0000-0000-000061840000}"/>
    <cellStyle name="Normal 5 10 30 4 6" xfId="33890" xr:uid="{00000000-0005-0000-0000-000062840000}"/>
    <cellStyle name="Normal 5 10 30 4 7" xfId="33891" xr:uid="{00000000-0005-0000-0000-000063840000}"/>
    <cellStyle name="Normal 5 10 30 4 8" xfId="33892" xr:uid="{00000000-0005-0000-0000-000064840000}"/>
    <cellStyle name="Normal 5 10 30 4 9" xfId="33893" xr:uid="{00000000-0005-0000-0000-000065840000}"/>
    <cellStyle name="Normal 5 10 30 5" xfId="33894" xr:uid="{00000000-0005-0000-0000-000066840000}"/>
    <cellStyle name="Normal 5 10 30 5 10" xfId="33895" xr:uid="{00000000-0005-0000-0000-000067840000}"/>
    <cellStyle name="Normal 5 10 30 5 2" xfId="33896" xr:uid="{00000000-0005-0000-0000-000068840000}"/>
    <cellStyle name="Normal 5 10 30 5 3" xfId="33897" xr:uid="{00000000-0005-0000-0000-000069840000}"/>
    <cellStyle name="Normal 5 10 30 5 4" xfId="33898" xr:uid="{00000000-0005-0000-0000-00006A840000}"/>
    <cellStyle name="Normal 5 10 30 5 5" xfId="33899" xr:uid="{00000000-0005-0000-0000-00006B840000}"/>
    <cellStyle name="Normal 5 10 30 5 6" xfId="33900" xr:uid="{00000000-0005-0000-0000-00006C840000}"/>
    <cellStyle name="Normal 5 10 30 5 7" xfId="33901" xr:uid="{00000000-0005-0000-0000-00006D840000}"/>
    <cellStyle name="Normal 5 10 30 5 8" xfId="33902" xr:uid="{00000000-0005-0000-0000-00006E840000}"/>
    <cellStyle name="Normal 5 10 30 5 9" xfId="33903" xr:uid="{00000000-0005-0000-0000-00006F840000}"/>
    <cellStyle name="Normal 5 10 30 6" xfId="33904" xr:uid="{00000000-0005-0000-0000-000070840000}"/>
    <cellStyle name="Normal 5 10 30 7" xfId="33905" xr:uid="{00000000-0005-0000-0000-000071840000}"/>
    <cellStyle name="Normal 5 10 30 8" xfId="33906" xr:uid="{00000000-0005-0000-0000-000072840000}"/>
    <cellStyle name="Normal 5 10 30 9" xfId="33907" xr:uid="{00000000-0005-0000-0000-000073840000}"/>
    <cellStyle name="Normal 5 10 31" xfId="33908" xr:uid="{00000000-0005-0000-0000-000074840000}"/>
    <cellStyle name="Normal 5 10 31 10" xfId="33909" xr:uid="{00000000-0005-0000-0000-000075840000}"/>
    <cellStyle name="Normal 5 10 31 11" xfId="33910" xr:uid="{00000000-0005-0000-0000-000076840000}"/>
    <cellStyle name="Normal 5 10 31 12" xfId="33911" xr:uid="{00000000-0005-0000-0000-000077840000}"/>
    <cellStyle name="Normal 5 10 31 13" xfId="33912" xr:uid="{00000000-0005-0000-0000-000078840000}"/>
    <cellStyle name="Normal 5 10 31 14" xfId="33913" xr:uid="{00000000-0005-0000-0000-000079840000}"/>
    <cellStyle name="Normal 5 10 31 2" xfId="33914" xr:uid="{00000000-0005-0000-0000-00007A840000}"/>
    <cellStyle name="Normal 5 10 31 2 10" xfId="33915" xr:uid="{00000000-0005-0000-0000-00007B840000}"/>
    <cellStyle name="Normal 5 10 31 2 2" xfId="33916" xr:uid="{00000000-0005-0000-0000-00007C840000}"/>
    <cellStyle name="Normal 5 10 31 2 3" xfId="33917" xr:uid="{00000000-0005-0000-0000-00007D840000}"/>
    <cellStyle name="Normal 5 10 31 2 4" xfId="33918" xr:uid="{00000000-0005-0000-0000-00007E840000}"/>
    <cellStyle name="Normal 5 10 31 2 5" xfId="33919" xr:uid="{00000000-0005-0000-0000-00007F840000}"/>
    <cellStyle name="Normal 5 10 31 2 6" xfId="33920" xr:uid="{00000000-0005-0000-0000-000080840000}"/>
    <cellStyle name="Normal 5 10 31 2 7" xfId="33921" xr:uid="{00000000-0005-0000-0000-000081840000}"/>
    <cellStyle name="Normal 5 10 31 2 8" xfId="33922" xr:uid="{00000000-0005-0000-0000-000082840000}"/>
    <cellStyle name="Normal 5 10 31 2 9" xfId="33923" xr:uid="{00000000-0005-0000-0000-000083840000}"/>
    <cellStyle name="Normal 5 10 31 3" xfId="33924" xr:uid="{00000000-0005-0000-0000-000084840000}"/>
    <cellStyle name="Normal 5 10 31 3 10" xfId="33925" xr:uid="{00000000-0005-0000-0000-000085840000}"/>
    <cellStyle name="Normal 5 10 31 3 2" xfId="33926" xr:uid="{00000000-0005-0000-0000-000086840000}"/>
    <cellStyle name="Normal 5 10 31 3 3" xfId="33927" xr:uid="{00000000-0005-0000-0000-000087840000}"/>
    <cellStyle name="Normal 5 10 31 3 4" xfId="33928" xr:uid="{00000000-0005-0000-0000-000088840000}"/>
    <cellStyle name="Normal 5 10 31 3 5" xfId="33929" xr:uid="{00000000-0005-0000-0000-000089840000}"/>
    <cellStyle name="Normal 5 10 31 3 6" xfId="33930" xr:uid="{00000000-0005-0000-0000-00008A840000}"/>
    <cellStyle name="Normal 5 10 31 3 7" xfId="33931" xr:uid="{00000000-0005-0000-0000-00008B840000}"/>
    <cellStyle name="Normal 5 10 31 3 8" xfId="33932" xr:uid="{00000000-0005-0000-0000-00008C840000}"/>
    <cellStyle name="Normal 5 10 31 3 9" xfId="33933" xr:uid="{00000000-0005-0000-0000-00008D840000}"/>
    <cellStyle name="Normal 5 10 31 4" xfId="33934" xr:uid="{00000000-0005-0000-0000-00008E840000}"/>
    <cellStyle name="Normal 5 10 31 4 10" xfId="33935" xr:uid="{00000000-0005-0000-0000-00008F840000}"/>
    <cellStyle name="Normal 5 10 31 4 2" xfId="33936" xr:uid="{00000000-0005-0000-0000-000090840000}"/>
    <cellStyle name="Normal 5 10 31 4 3" xfId="33937" xr:uid="{00000000-0005-0000-0000-000091840000}"/>
    <cellStyle name="Normal 5 10 31 4 4" xfId="33938" xr:uid="{00000000-0005-0000-0000-000092840000}"/>
    <cellStyle name="Normal 5 10 31 4 5" xfId="33939" xr:uid="{00000000-0005-0000-0000-000093840000}"/>
    <cellStyle name="Normal 5 10 31 4 6" xfId="33940" xr:uid="{00000000-0005-0000-0000-000094840000}"/>
    <cellStyle name="Normal 5 10 31 4 7" xfId="33941" xr:uid="{00000000-0005-0000-0000-000095840000}"/>
    <cellStyle name="Normal 5 10 31 4 8" xfId="33942" xr:uid="{00000000-0005-0000-0000-000096840000}"/>
    <cellStyle name="Normal 5 10 31 4 9" xfId="33943" xr:uid="{00000000-0005-0000-0000-000097840000}"/>
    <cellStyle name="Normal 5 10 31 5" xfId="33944" xr:uid="{00000000-0005-0000-0000-000098840000}"/>
    <cellStyle name="Normal 5 10 31 5 10" xfId="33945" xr:uid="{00000000-0005-0000-0000-000099840000}"/>
    <cellStyle name="Normal 5 10 31 5 2" xfId="33946" xr:uid="{00000000-0005-0000-0000-00009A840000}"/>
    <cellStyle name="Normal 5 10 31 5 3" xfId="33947" xr:uid="{00000000-0005-0000-0000-00009B840000}"/>
    <cellStyle name="Normal 5 10 31 5 4" xfId="33948" xr:uid="{00000000-0005-0000-0000-00009C840000}"/>
    <cellStyle name="Normal 5 10 31 5 5" xfId="33949" xr:uid="{00000000-0005-0000-0000-00009D840000}"/>
    <cellStyle name="Normal 5 10 31 5 6" xfId="33950" xr:uid="{00000000-0005-0000-0000-00009E840000}"/>
    <cellStyle name="Normal 5 10 31 5 7" xfId="33951" xr:uid="{00000000-0005-0000-0000-00009F840000}"/>
    <cellStyle name="Normal 5 10 31 5 8" xfId="33952" xr:uid="{00000000-0005-0000-0000-0000A0840000}"/>
    <cellStyle name="Normal 5 10 31 5 9" xfId="33953" xr:uid="{00000000-0005-0000-0000-0000A1840000}"/>
    <cellStyle name="Normal 5 10 31 6" xfId="33954" xr:uid="{00000000-0005-0000-0000-0000A2840000}"/>
    <cellStyle name="Normal 5 10 31 7" xfId="33955" xr:uid="{00000000-0005-0000-0000-0000A3840000}"/>
    <cellStyle name="Normal 5 10 31 8" xfId="33956" xr:uid="{00000000-0005-0000-0000-0000A4840000}"/>
    <cellStyle name="Normal 5 10 31 9" xfId="33957" xr:uid="{00000000-0005-0000-0000-0000A5840000}"/>
    <cellStyle name="Normal 5 10 32" xfId="33958" xr:uid="{00000000-0005-0000-0000-0000A6840000}"/>
    <cellStyle name="Normal 5 10 32 10" xfId="33959" xr:uid="{00000000-0005-0000-0000-0000A7840000}"/>
    <cellStyle name="Normal 5 10 32 11" xfId="33960" xr:uid="{00000000-0005-0000-0000-0000A8840000}"/>
    <cellStyle name="Normal 5 10 32 12" xfId="33961" xr:uid="{00000000-0005-0000-0000-0000A9840000}"/>
    <cellStyle name="Normal 5 10 32 13" xfId="33962" xr:uid="{00000000-0005-0000-0000-0000AA840000}"/>
    <cellStyle name="Normal 5 10 32 14" xfId="33963" xr:uid="{00000000-0005-0000-0000-0000AB840000}"/>
    <cellStyle name="Normal 5 10 32 2" xfId="33964" xr:uid="{00000000-0005-0000-0000-0000AC840000}"/>
    <cellStyle name="Normal 5 10 32 2 10" xfId="33965" xr:uid="{00000000-0005-0000-0000-0000AD840000}"/>
    <cellStyle name="Normal 5 10 32 2 2" xfId="33966" xr:uid="{00000000-0005-0000-0000-0000AE840000}"/>
    <cellStyle name="Normal 5 10 32 2 3" xfId="33967" xr:uid="{00000000-0005-0000-0000-0000AF840000}"/>
    <cellStyle name="Normal 5 10 32 2 4" xfId="33968" xr:uid="{00000000-0005-0000-0000-0000B0840000}"/>
    <cellStyle name="Normal 5 10 32 2 5" xfId="33969" xr:uid="{00000000-0005-0000-0000-0000B1840000}"/>
    <cellStyle name="Normal 5 10 32 2 6" xfId="33970" xr:uid="{00000000-0005-0000-0000-0000B2840000}"/>
    <cellStyle name="Normal 5 10 32 2 7" xfId="33971" xr:uid="{00000000-0005-0000-0000-0000B3840000}"/>
    <cellStyle name="Normal 5 10 32 2 8" xfId="33972" xr:uid="{00000000-0005-0000-0000-0000B4840000}"/>
    <cellStyle name="Normal 5 10 32 2 9" xfId="33973" xr:uid="{00000000-0005-0000-0000-0000B5840000}"/>
    <cellStyle name="Normal 5 10 32 3" xfId="33974" xr:uid="{00000000-0005-0000-0000-0000B6840000}"/>
    <cellStyle name="Normal 5 10 32 3 10" xfId="33975" xr:uid="{00000000-0005-0000-0000-0000B7840000}"/>
    <cellStyle name="Normal 5 10 32 3 2" xfId="33976" xr:uid="{00000000-0005-0000-0000-0000B8840000}"/>
    <cellStyle name="Normal 5 10 32 3 3" xfId="33977" xr:uid="{00000000-0005-0000-0000-0000B9840000}"/>
    <cellStyle name="Normal 5 10 32 3 4" xfId="33978" xr:uid="{00000000-0005-0000-0000-0000BA840000}"/>
    <cellStyle name="Normal 5 10 32 3 5" xfId="33979" xr:uid="{00000000-0005-0000-0000-0000BB840000}"/>
    <cellStyle name="Normal 5 10 32 3 6" xfId="33980" xr:uid="{00000000-0005-0000-0000-0000BC840000}"/>
    <cellStyle name="Normal 5 10 32 3 7" xfId="33981" xr:uid="{00000000-0005-0000-0000-0000BD840000}"/>
    <cellStyle name="Normal 5 10 32 3 8" xfId="33982" xr:uid="{00000000-0005-0000-0000-0000BE840000}"/>
    <cellStyle name="Normal 5 10 32 3 9" xfId="33983" xr:uid="{00000000-0005-0000-0000-0000BF840000}"/>
    <cellStyle name="Normal 5 10 32 4" xfId="33984" xr:uid="{00000000-0005-0000-0000-0000C0840000}"/>
    <cellStyle name="Normal 5 10 32 4 10" xfId="33985" xr:uid="{00000000-0005-0000-0000-0000C1840000}"/>
    <cellStyle name="Normal 5 10 32 4 2" xfId="33986" xr:uid="{00000000-0005-0000-0000-0000C2840000}"/>
    <cellStyle name="Normal 5 10 32 4 3" xfId="33987" xr:uid="{00000000-0005-0000-0000-0000C3840000}"/>
    <cellStyle name="Normal 5 10 32 4 4" xfId="33988" xr:uid="{00000000-0005-0000-0000-0000C4840000}"/>
    <cellStyle name="Normal 5 10 32 4 5" xfId="33989" xr:uid="{00000000-0005-0000-0000-0000C5840000}"/>
    <cellStyle name="Normal 5 10 32 4 6" xfId="33990" xr:uid="{00000000-0005-0000-0000-0000C6840000}"/>
    <cellStyle name="Normal 5 10 32 4 7" xfId="33991" xr:uid="{00000000-0005-0000-0000-0000C7840000}"/>
    <cellStyle name="Normal 5 10 32 4 8" xfId="33992" xr:uid="{00000000-0005-0000-0000-0000C8840000}"/>
    <cellStyle name="Normal 5 10 32 4 9" xfId="33993" xr:uid="{00000000-0005-0000-0000-0000C9840000}"/>
    <cellStyle name="Normal 5 10 32 5" xfId="33994" xr:uid="{00000000-0005-0000-0000-0000CA840000}"/>
    <cellStyle name="Normal 5 10 32 5 10" xfId="33995" xr:uid="{00000000-0005-0000-0000-0000CB840000}"/>
    <cellStyle name="Normal 5 10 32 5 2" xfId="33996" xr:uid="{00000000-0005-0000-0000-0000CC840000}"/>
    <cellStyle name="Normal 5 10 32 5 3" xfId="33997" xr:uid="{00000000-0005-0000-0000-0000CD840000}"/>
    <cellStyle name="Normal 5 10 32 5 4" xfId="33998" xr:uid="{00000000-0005-0000-0000-0000CE840000}"/>
    <cellStyle name="Normal 5 10 32 5 5" xfId="33999" xr:uid="{00000000-0005-0000-0000-0000CF840000}"/>
    <cellStyle name="Normal 5 10 32 5 6" xfId="34000" xr:uid="{00000000-0005-0000-0000-0000D0840000}"/>
    <cellStyle name="Normal 5 10 32 5 7" xfId="34001" xr:uid="{00000000-0005-0000-0000-0000D1840000}"/>
    <cellStyle name="Normal 5 10 32 5 8" xfId="34002" xr:uid="{00000000-0005-0000-0000-0000D2840000}"/>
    <cellStyle name="Normal 5 10 32 5 9" xfId="34003" xr:uid="{00000000-0005-0000-0000-0000D3840000}"/>
    <cellStyle name="Normal 5 10 32 6" xfId="34004" xr:uid="{00000000-0005-0000-0000-0000D4840000}"/>
    <cellStyle name="Normal 5 10 32 7" xfId="34005" xr:uid="{00000000-0005-0000-0000-0000D5840000}"/>
    <cellStyle name="Normal 5 10 32 8" xfId="34006" xr:uid="{00000000-0005-0000-0000-0000D6840000}"/>
    <cellStyle name="Normal 5 10 32 9" xfId="34007" xr:uid="{00000000-0005-0000-0000-0000D7840000}"/>
    <cellStyle name="Normal 5 10 33" xfId="34008" xr:uid="{00000000-0005-0000-0000-0000D8840000}"/>
    <cellStyle name="Normal 5 10 33 10" xfId="34009" xr:uid="{00000000-0005-0000-0000-0000D9840000}"/>
    <cellStyle name="Normal 5 10 33 11" xfId="34010" xr:uid="{00000000-0005-0000-0000-0000DA840000}"/>
    <cellStyle name="Normal 5 10 33 12" xfId="34011" xr:uid="{00000000-0005-0000-0000-0000DB840000}"/>
    <cellStyle name="Normal 5 10 33 13" xfId="34012" xr:uid="{00000000-0005-0000-0000-0000DC840000}"/>
    <cellStyle name="Normal 5 10 33 14" xfId="34013" xr:uid="{00000000-0005-0000-0000-0000DD840000}"/>
    <cellStyle name="Normal 5 10 33 2" xfId="34014" xr:uid="{00000000-0005-0000-0000-0000DE840000}"/>
    <cellStyle name="Normal 5 10 33 2 10" xfId="34015" xr:uid="{00000000-0005-0000-0000-0000DF840000}"/>
    <cellStyle name="Normal 5 10 33 2 2" xfId="34016" xr:uid="{00000000-0005-0000-0000-0000E0840000}"/>
    <cellStyle name="Normal 5 10 33 2 3" xfId="34017" xr:uid="{00000000-0005-0000-0000-0000E1840000}"/>
    <cellStyle name="Normal 5 10 33 2 4" xfId="34018" xr:uid="{00000000-0005-0000-0000-0000E2840000}"/>
    <cellStyle name="Normal 5 10 33 2 5" xfId="34019" xr:uid="{00000000-0005-0000-0000-0000E3840000}"/>
    <cellStyle name="Normal 5 10 33 2 6" xfId="34020" xr:uid="{00000000-0005-0000-0000-0000E4840000}"/>
    <cellStyle name="Normal 5 10 33 2 7" xfId="34021" xr:uid="{00000000-0005-0000-0000-0000E5840000}"/>
    <cellStyle name="Normal 5 10 33 2 8" xfId="34022" xr:uid="{00000000-0005-0000-0000-0000E6840000}"/>
    <cellStyle name="Normal 5 10 33 2 9" xfId="34023" xr:uid="{00000000-0005-0000-0000-0000E7840000}"/>
    <cellStyle name="Normal 5 10 33 3" xfId="34024" xr:uid="{00000000-0005-0000-0000-0000E8840000}"/>
    <cellStyle name="Normal 5 10 33 3 10" xfId="34025" xr:uid="{00000000-0005-0000-0000-0000E9840000}"/>
    <cellStyle name="Normal 5 10 33 3 2" xfId="34026" xr:uid="{00000000-0005-0000-0000-0000EA840000}"/>
    <cellStyle name="Normal 5 10 33 3 3" xfId="34027" xr:uid="{00000000-0005-0000-0000-0000EB840000}"/>
    <cellStyle name="Normal 5 10 33 3 4" xfId="34028" xr:uid="{00000000-0005-0000-0000-0000EC840000}"/>
    <cellStyle name="Normal 5 10 33 3 5" xfId="34029" xr:uid="{00000000-0005-0000-0000-0000ED840000}"/>
    <cellStyle name="Normal 5 10 33 3 6" xfId="34030" xr:uid="{00000000-0005-0000-0000-0000EE840000}"/>
    <cellStyle name="Normal 5 10 33 3 7" xfId="34031" xr:uid="{00000000-0005-0000-0000-0000EF840000}"/>
    <cellStyle name="Normal 5 10 33 3 8" xfId="34032" xr:uid="{00000000-0005-0000-0000-0000F0840000}"/>
    <cellStyle name="Normal 5 10 33 3 9" xfId="34033" xr:uid="{00000000-0005-0000-0000-0000F1840000}"/>
    <cellStyle name="Normal 5 10 33 4" xfId="34034" xr:uid="{00000000-0005-0000-0000-0000F2840000}"/>
    <cellStyle name="Normal 5 10 33 4 10" xfId="34035" xr:uid="{00000000-0005-0000-0000-0000F3840000}"/>
    <cellStyle name="Normal 5 10 33 4 2" xfId="34036" xr:uid="{00000000-0005-0000-0000-0000F4840000}"/>
    <cellStyle name="Normal 5 10 33 4 3" xfId="34037" xr:uid="{00000000-0005-0000-0000-0000F5840000}"/>
    <cellStyle name="Normal 5 10 33 4 4" xfId="34038" xr:uid="{00000000-0005-0000-0000-0000F6840000}"/>
    <cellStyle name="Normal 5 10 33 4 5" xfId="34039" xr:uid="{00000000-0005-0000-0000-0000F7840000}"/>
    <cellStyle name="Normal 5 10 33 4 6" xfId="34040" xr:uid="{00000000-0005-0000-0000-0000F8840000}"/>
    <cellStyle name="Normal 5 10 33 4 7" xfId="34041" xr:uid="{00000000-0005-0000-0000-0000F9840000}"/>
    <cellStyle name="Normal 5 10 33 4 8" xfId="34042" xr:uid="{00000000-0005-0000-0000-0000FA840000}"/>
    <cellStyle name="Normal 5 10 33 4 9" xfId="34043" xr:uid="{00000000-0005-0000-0000-0000FB840000}"/>
    <cellStyle name="Normal 5 10 33 5" xfId="34044" xr:uid="{00000000-0005-0000-0000-0000FC840000}"/>
    <cellStyle name="Normal 5 10 33 5 10" xfId="34045" xr:uid="{00000000-0005-0000-0000-0000FD840000}"/>
    <cellStyle name="Normal 5 10 33 5 2" xfId="34046" xr:uid="{00000000-0005-0000-0000-0000FE840000}"/>
    <cellStyle name="Normal 5 10 33 5 3" xfId="34047" xr:uid="{00000000-0005-0000-0000-0000FF840000}"/>
    <cellStyle name="Normal 5 10 33 5 4" xfId="34048" xr:uid="{00000000-0005-0000-0000-000000850000}"/>
    <cellStyle name="Normal 5 10 33 5 5" xfId="34049" xr:uid="{00000000-0005-0000-0000-000001850000}"/>
    <cellStyle name="Normal 5 10 33 5 6" xfId="34050" xr:uid="{00000000-0005-0000-0000-000002850000}"/>
    <cellStyle name="Normal 5 10 33 5 7" xfId="34051" xr:uid="{00000000-0005-0000-0000-000003850000}"/>
    <cellStyle name="Normal 5 10 33 5 8" xfId="34052" xr:uid="{00000000-0005-0000-0000-000004850000}"/>
    <cellStyle name="Normal 5 10 33 5 9" xfId="34053" xr:uid="{00000000-0005-0000-0000-000005850000}"/>
    <cellStyle name="Normal 5 10 33 6" xfId="34054" xr:uid="{00000000-0005-0000-0000-000006850000}"/>
    <cellStyle name="Normal 5 10 33 7" xfId="34055" xr:uid="{00000000-0005-0000-0000-000007850000}"/>
    <cellStyle name="Normal 5 10 33 8" xfId="34056" xr:uid="{00000000-0005-0000-0000-000008850000}"/>
    <cellStyle name="Normal 5 10 33 9" xfId="34057" xr:uid="{00000000-0005-0000-0000-000009850000}"/>
    <cellStyle name="Normal 5 10 34" xfId="34058" xr:uid="{00000000-0005-0000-0000-00000A850000}"/>
    <cellStyle name="Normal 5 10 34 10" xfId="34059" xr:uid="{00000000-0005-0000-0000-00000B850000}"/>
    <cellStyle name="Normal 5 10 34 11" xfId="34060" xr:uid="{00000000-0005-0000-0000-00000C850000}"/>
    <cellStyle name="Normal 5 10 34 12" xfId="34061" xr:uid="{00000000-0005-0000-0000-00000D850000}"/>
    <cellStyle name="Normal 5 10 34 13" xfId="34062" xr:uid="{00000000-0005-0000-0000-00000E850000}"/>
    <cellStyle name="Normal 5 10 34 14" xfId="34063" xr:uid="{00000000-0005-0000-0000-00000F850000}"/>
    <cellStyle name="Normal 5 10 34 2" xfId="34064" xr:uid="{00000000-0005-0000-0000-000010850000}"/>
    <cellStyle name="Normal 5 10 34 2 10" xfId="34065" xr:uid="{00000000-0005-0000-0000-000011850000}"/>
    <cellStyle name="Normal 5 10 34 2 2" xfId="34066" xr:uid="{00000000-0005-0000-0000-000012850000}"/>
    <cellStyle name="Normal 5 10 34 2 3" xfId="34067" xr:uid="{00000000-0005-0000-0000-000013850000}"/>
    <cellStyle name="Normal 5 10 34 2 4" xfId="34068" xr:uid="{00000000-0005-0000-0000-000014850000}"/>
    <cellStyle name="Normal 5 10 34 2 5" xfId="34069" xr:uid="{00000000-0005-0000-0000-000015850000}"/>
    <cellStyle name="Normal 5 10 34 2 6" xfId="34070" xr:uid="{00000000-0005-0000-0000-000016850000}"/>
    <cellStyle name="Normal 5 10 34 2 7" xfId="34071" xr:uid="{00000000-0005-0000-0000-000017850000}"/>
    <cellStyle name="Normal 5 10 34 2 8" xfId="34072" xr:uid="{00000000-0005-0000-0000-000018850000}"/>
    <cellStyle name="Normal 5 10 34 2 9" xfId="34073" xr:uid="{00000000-0005-0000-0000-000019850000}"/>
    <cellStyle name="Normal 5 10 34 3" xfId="34074" xr:uid="{00000000-0005-0000-0000-00001A850000}"/>
    <cellStyle name="Normal 5 10 34 3 10" xfId="34075" xr:uid="{00000000-0005-0000-0000-00001B850000}"/>
    <cellStyle name="Normal 5 10 34 3 2" xfId="34076" xr:uid="{00000000-0005-0000-0000-00001C850000}"/>
    <cellStyle name="Normal 5 10 34 3 3" xfId="34077" xr:uid="{00000000-0005-0000-0000-00001D850000}"/>
    <cellStyle name="Normal 5 10 34 3 4" xfId="34078" xr:uid="{00000000-0005-0000-0000-00001E850000}"/>
    <cellStyle name="Normal 5 10 34 3 5" xfId="34079" xr:uid="{00000000-0005-0000-0000-00001F850000}"/>
    <cellStyle name="Normal 5 10 34 3 6" xfId="34080" xr:uid="{00000000-0005-0000-0000-000020850000}"/>
    <cellStyle name="Normal 5 10 34 3 7" xfId="34081" xr:uid="{00000000-0005-0000-0000-000021850000}"/>
    <cellStyle name="Normal 5 10 34 3 8" xfId="34082" xr:uid="{00000000-0005-0000-0000-000022850000}"/>
    <cellStyle name="Normal 5 10 34 3 9" xfId="34083" xr:uid="{00000000-0005-0000-0000-000023850000}"/>
    <cellStyle name="Normal 5 10 34 4" xfId="34084" xr:uid="{00000000-0005-0000-0000-000024850000}"/>
    <cellStyle name="Normal 5 10 34 4 10" xfId="34085" xr:uid="{00000000-0005-0000-0000-000025850000}"/>
    <cellStyle name="Normal 5 10 34 4 2" xfId="34086" xr:uid="{00000000-0005-0000-0000-000026850000}"/>
    <cellStyle name="Normal 5 10 34 4 3" xfId="34087" xr:uid="{00000000-0005-0000-0000-000027850000}"/>
    <cellStyle name="Normal 5 10 34 4 4" xfId="34088" xr:uid="{00000000-0005-0000-0000-000028850000}"/>
    <cellStyle name="Normal 5 10 34 4 5" xfId="34089" xr:uid="{00000000-0005-0000-0000-000029850000}"/>
    <cellStyle name="Normal 5 10 34 4 6" xfId="34090" xr:uid="{00000000-0005-0000-0000-00002A850000}"/>
    <cellStyle name="Normal 5 10 34 4 7" xfId="34091" xr:uid="{00000000-0005-0000-0000-00002B850000}"/>
    <cellStyle name="Normal 5 10 34 4 8" xfId="34092" xr:uid="{00000000-0005-0000-0000-00002C850000}"/>
    <cellStyle name="Normal 5 10 34 4 9" xfId="34093" xr:uid="{00000000-0005-0000-0000-00002D850000}"/>
    <cellStyle name="Normal 5 10 34 5" xfId="34094" xr:uid="{00000000-0005-0000-0000-00002E850000}"/>
    <cellStyle name="Normal 5 10 34 5 10" xfId="34095" xr:uid="{00000000-0005-0000-0000-00002F850000}"/>
    <cellStyle name="Normal 5 10 34 5 2" xfId="34096" xr:uid="{00000000-0005-0000-0000-000030850000}"/>
    <cellStyle name="Normal 5 10 34 5 3" xfId="34097" xr:uid="{00000000-0005-0000-0000-000031850000}"/>
    <cellStyle name="Normal 5 10 34 5 4" xfId="34098" xr:uid="{00000000-0005-0000-0000-000032850000}"/>
    <cellStyle name="Normal 5 10 34 5 5" xfId="34099" xr:uid="{00000000-0005-0000-0000-000033850000}"/>
    <cellStyle name="Normal 5 10 34 5 6" xfId="34100" xr:uid="{00000000-0005-0000-0000-000034850000}"/>
    <cellStyle name="Normal 5 10 34 5 7" xfId="34101" xr:uid="{00000000-0005-0000-0000-000035850000}"/>
    <cellStyle name="Normal 5 10 34 5 8" xfId="34102" xr:uid="{00000000-0005-0000-0000-000036850000}"/>
    <cellStyle name="Normal 5 10 34 5 9" xfId="34103" xr:uid="{00000000-0005-0000-0000-000037850000}"/>
    <cellStyle name="Normal 5 10 34 6" xfId="34104" xr:uid="{00000000-0005-0000-0000-000038850000}"/>
    <cellStyle name="Normal 5 10 34 7" xfId="34105" xr:uid="{00000000-0005-0000-0000-000039850000}"/>
    <cellStyle name="Normal 5 10 34 8" xfId="34106" xr:uid="{00000000-0005-0000-0000-00003A850000}"/>
    <cellStyle name="Normal 5 10 34 9" xfId="34107" xr:uid="{00000000-0005-0000-0000-00003B850000}"/>
    <cellStyle name="Normal 5 10 35" xfId="34108" xr:uid="{00000000-0005-0000-0000-00003C850000}"/>
    <cellStyle name="Normal 5 10 35 10" xfId="34109" xr:uid="{00000000-0005-0000-0000-00003D850000}"/>
    <cellStyle name="Normal 5 10 35 2" xfId="34110" xr:uid="{00000000-0005-0000-0000-00003E850000}"/>
    <cellStyle name="Normal 5 10 35 3" xfId="34111" xr:uid="{00000000-0005-0000-0000-00003F850000}"/>
    <cellStyle name="Normal 5 10 35 4" xfId="34112" xr:uid="{00000000-0005-0000-0000-000040850000}"/>
    <cellStyle name="Normal 5 10 35 5" xfId="34113" xr:uid="{00000000-0005-0000-0000-000041850000}"/>
    <cellStyle name="Normal 5 10 35 6" xfId="34114" xr:uid="{00000000-0005-0000-0000-000042850000}"/>
    <cellStyle name="Normal 5 10 35 7" xfId="34115" xr:uid="{00000000-0005-0000-0000-000043850000}"/>
    <cellStyle name="Normal 5 10 35 8" xfId="34116" xr:uid="{00000000-0005-0000-0000-000044850000}"/>
    <cellStyle name="Normal 5 10 35 9" xfId="34117" xr:uid="{00000000-0005-0000-0000-000045850000}"/>
    <cellStyle name="Normal 5 10 36" xfId="34118" xr:uid="{00000000-0005-0000-0000-000046850000}"/>
    <cellStyle name="Normal 5 10 36 10" xfId="34119" xr:uid="{00000000-0005-0000-0000-000047850000}"/>
    <cellStyle name="Normal 5 10 36 2" xfId="34120" xr:uid="{00000000-0005-0000-0000-000048850000}"/>
    <cellStyle name="Normal 5 10 36 3" xfId="34121" xr:uid="{00000000-0005-0000-0000-000049850000}"/>
    <cellStyle name="Normal 5 10 36 4" xfId="34122" xr:uid="{00000000-0005-0000-0000-00004A850000}"/>
    <cellStyle name="Normal 5 10 36 5" xfId="34123" xr:uid="{00000000-0005-0000-0000-00004B850000}"/>
    <cellStyle name="Normal 5 10 36 6" xfId="34124" xr:uid="{00000000-0005-0000-0000-00004C850000}"/>
    <cellStyle name="Normal 5 10 36 7" xfId="34125" xr:uid="{00000000-0005-0000-0000-00004D850000}"/>
    <cellStyle name="Normal 5 10 36 8" xfId="34126" xr:uid="{00000000-0005-0000-0000-00004E850000}"/>
    <cellStyle name="Normal 5 10 36 9" xfId="34127" xr:uid="{00000000-0005-0000-0000-00004F850000}"/>
    <cellStyle name="Normal 5 10 37" xfId="34128" xr:uid="{00000000-0005-0000-0000-000050850000}"/>
    <cellStyle name="Normal 5 10 37 10" xfId="34129" xr:uid="{00000000-0005-0000-0000-000051850000}"/>
    <cellStyle name="Normal 5 10 37 2" xfId="34130" xr:uid="{00000000-0005-0000-0000-000052850000}"/>
    <cellStyle name="Normal 5 10 37 3" xfId="34131" xr:uid="{00000000-0005-0000-0000-000053850000}"/>
    <cellStyle name="Normal 5 10 37 4" xfId="34132" xr:uid="{00000000-0005-0000-0000-000054850000}"/>
    <cellStyle name="Normal 5 10 37 5" xfId="34133" xr:uid="{00000000-0005-0000-0000-000055850000}"/>
    <cellStyle name="Normal 5 10 37 6" xfId="34134" xr:uid="{00000000-0005-0000-0000-000056850000}"/>
    <cellStyle name="Normal 5 10 37 7" xfId="34135" xr:uid="{00000000-0005-0000-0000-000057850000}"/>
    <cellStyle name="Normal 5 10 37 8" xfId="34136" xr:uid="{00000000-0005-0000-0000-000058850000}"/>
    <cellStyle name="Normal 5 10 37 9" xfId="34137" xr:uid="{00000000-0005-0000-0000-000059850000}"/>
    <cellStyle name="Normal 5 10 38" xfId="34138" xr:uid="{00000000-0005-0000-0000-00005A850000}"/>
    <cellStyle name="Normal 5 10 38 10" xfId="34139" xr:uid="{00000000-0005-0000-0000-00005B850000}"/>
    <cellStyle name="Normal 5 10 38 2" xfId="34140" xr:uid="{00000000-0005-0000-0000-00005C850000}"/>
    <cellStyle name="Normal 5 10 38 3" xfId="34141" xr:uid="{00000000-0005-0000-0000-00005D850000}"/>
    <cellStyle name="Normal 5 10 38 4" xfId="34142" xr:uid="{00000000-0005-0000-0000-00005E850000}"/>
    <cellStyle name="Normal 5 10 38 5" xfId="34143" xr:uid="{00000000-0005-0000-0000-00005F850000}"/>
    <cellStyle name="Normal 5 10 38 6" xfId="34144" xr:uid="{00000000-0005-0000-0000-000060850000}"/>
    <cellStyle name="Normal 5 10 38 7" xfId="34145" xr:uid="{00000000-0005-0000-0000-000061850000}"/>
    <cellStyle name="Normal 5 10 38 8" xfId="34146" xr:uid="{00000000-0005-0000-0000-000062850000}"/>
    <cellStyle name="Normal 5 10 38 9" xfId="34147" xr:uid="{00000000-0005-0000-0000-000063850000}"/>
    <cellStyle name="Normal 5 10 39" xfId="34148" xr:uid="{00000000-0005-0000-0000-000064850000}"/>
    <cellStyle name="Normal 5 10 4" xfId="34149" xr:uid="{00000000-0005-0000-0000-000065850000}"/>
    <cellStyle name="Normal 5 10 4 10" xfId="34150" xr:uid="{00000000-0005-0000-0000-000066850000}"/>
    <cellStyle name="Normal 5 10 4 11" xfId="34151" xr:uid="{00000000-0005-0000-0000-000067850000}"/>
    <cellStyle name="Normal 5 10 4 12" xfId="34152" xr:uid="{00000000-0005-0000-0000-000068850000}"/>
    <cellStyle name="Normal 5 10 4 13" xfId="34153" xr:uid="{00000000-0005-0000-0000-000069850000}"/>
    <cellStyle name="Normal 5 10 4 14" xfId="34154" xr:uid="{00000000-0005-0000-0000-00006A850000}"/>
    <cellStyle name="Normal 5 10 4 2" xfId="34155" xr:uid="{00000000-0005-0000-0000-00006B850000}"/>
    <cellStyle name="Normal 5 10 4 2 10" xfId="34156" xr:uid="{00000000-0005-0000-0000-00006C850000}"/>
    <cellStyle name="Normal 5 10 4 2 2" xfId="34157" xr:uid="{00000000-0005-0000-0000-00006D850000}"/>
    <cellStyle name="Normal 5 10 4 2 3" xfId="34158" xr:uid="{00000000-0005-0000-0000-00006E850000}"/>
    <cellStyle name="Normal 5 10 4 2 4" xfId="34159" xr:uid="{00000000-0005-0000-0000-00006F850000}"/>
    <cellStyle name="Normal 5 10 4 2 5" xfId="34160" xr:uid="{00000000-0005-0000-0000-000070850000}"/>
    <cellStyle name="Normal 5 10 4 2 6" xfId="34161" xr:uid="{00000000-0005-0000-0000-000071850000}"/>
    <cellStyle name="Normal 5 10 4 2 7" xfId="34162" xr:uid="{00000000-0005-0000-0000-000072850000}"/>
    <cellStyle name="Normal 5 10 4 2 8" xfId="34163" xr:uid="{00000000-0005-0000-0000-000073850000}"/>
    <cellStyle name="Normal 5 10 4 2 9" xfId="34164" xr:uid="{00000000-0005-0000-0000-000074850000}"/>
    <cellStyle name="Normal 5 10 4 3" xfId="34165" xr:uid="{00000000-0005-0000-0000-000075850000}"/>
    <cellStyle name="Normal 5 10 4 3 10" xfId="34166" xr:uid="{00000000-0005-0000-0000-000076850000}"/>
    <cellStyle name="Normal 5 10 4 3 2" xfId="34167" xr:uid="{00000000-0005-0000-0000-000077850000}"/>
    <cellStyle name="Normal 5 10 4 3 3" xfId="34168" xr:uid="{00000000-0005-0000-0000-000078850000}"/>
    <cellStyle name="Normal 5 10 4 3 4" xfId="34169" xr:uid="{00000000-0005-0000-0000-000079850000}"/>
    <cellStyle name="Normal 5 10 4 3 5" xfId="34170" xr:uid="{00000000-0005-0000-0000-00007A850000}"/>
    <cellStyle name="Normal 5 10 4 3 6" xfId="34171" xr:uid="{00000000-0005-0000-0000-00007B850000}"/>
    <cellStyle name="Normal 5 10 4 3 7" xfId="34172" xr:uid="{00000000-0005-0000-0000-00007C850000}"/>
    <cellStyle name="Normal 5 10 4 3 8" xfId="34173" xr:uid="{00000000-0005-0000-0000-00007D850000}"/>
    <cellStyle name="Normal 5 10 4 3 9" xfId="34174" xr:uid="{00000000-0005-0000-0000-00007E850000}"/>
    <cellStyle name="Normal 5 10 4 4" xfId="34175" xr:uid="{00000000-0005-0000-0000-00007F850000}"/>
    <cellStyle name="Normal 5 10 4 4 10" xfId="34176" xr:uid="{00000000-0005-0000-0000-000080850000}"/>
    <cellStyle name="Normal 5 10 4 4 2" xfId="34177" xr:uid="{00000000-0005-0000-0000-000081850000}"/>
    <cellStyle name="Normal 5 10 4 4 3" xfId="34178" xr:uid="{00000000-0005-0000-0000-000082850000}"/>
    <cellStyle name="Normal 5 10 4 4 4" xfId="34179" xr:uid="{00000000-0005-0000-0000-000083850000}"/>
    <cellStyle name="Normal 5 10 4 4 5" xfId="34180" xr:uid="{00000000-0005-0000-0000-000084850000}"/>
    <cellStyle name="Normal 5 10 4 4 6" xfId="34181" xr:uid="{00000000-0005-0000-0000-000085850000}"/>
    <cellStyle name="Normal 5 10 4 4 7" xfId="34182" xr:uid="{00000000-0005-0000-0000-000086850000}"/>
    <cellStyle name="Normal 5 10 4 4 8" xfId="34183" xr:uid="{00000000-0005-0000-0000-000087850000}"/>
    <cellStyle name="Normal 5 10 4 4 9" xfId="34184" xr:uid="{00000000-0005-0000-0000-000088850000}"/>
    <cellStyle name="Normal 5 10 4 5" xfId="34185" xr:uid="{00000000-0005-0000-0000-000089850000}"/>
    <cellStyle name="Normal 5 10 4 5 10" xfId="34186" xr:uid="{00000000-0005-0000-0000-00008A850000}"/>
    <cellStyle name="Normal 5 10 4 5 2" xfId="34187" xr:uid="{00000000-0005-0000-0000-00008B850000}"/>
    <cellStyle name="Normal 5 10 4 5 3" xfId="34188" xr:uid="{00000000-0005-0000-0000-00008C850000}"/>
    <cellStyle name="Normal 5 10 4 5 4" xfId="34189" xr:uid="{00000000-0005-0000-0000-00008D850000}"/>
    <cellStyle name="Normal 5 10 4 5 5" xfId="34190" xr:uid="{00000000-0005-0000-0000-00008E850000}"/>
    <cellStyle name="Normal 5 10 4 5 6" xfId="34191" xr:uid="{00000000-0005-0000-0000-00008F850000}"/>
    <cellStyle name="Normal 5 10 4 5 7" xfId="34192" xr:uid="{00000000-0005-0000-0000-000090850000}"/>
    <cellStyle name="Normal 5 10 4 5 8" xfId="34193" xr:uid="{00000000-0005-0000-0000-000091850000}"/>
    <cellStyle name="Normal 5 10 4 5 9" xfId="34194" xr:uid="{00000000-0005-0000-0000-000092850000}"/>
    <cellStyle name="Normal 5 10 4 6" xfId="34195" xr:uid="{00000000-0005-0000-0000-000093850000}"/>
    <cellStyle name="Normal 5 10 4 7" xfId="34196" xr:uid="{00000000-0005-0000-0000-000094850000}"/>
    <cellStyle name="Normal 5 10 4 8" xfId="34197" xr:uid="{00000000-0005-0000-0000-000095850000}"/>
    <cellStyle name="Normal 5 10 4 9" xfId="34198" xr:uid="{00000000-0005-0000-0000-000096850000}"/>
    <cellStyle name="Normal 5 10 40" xfId="34199" xr:uid="{00000000-0005-0000-0000-000097850000}"/>
    <cellStyle name="Normal 5 10 41" xfId="34200" xr:uid="{00000000-0005-0000-0000-000098850000}"/>
    <cellStyle name="Normal 5 10 42" xfId="34201" xr:uid="{00000000-0005-0000-0000-000099850000}"/>
    <cellStyle name="Normal 5 10 43" xfId="34202" xr:uid="{00000000-0005-0000-0000-00009A850000}"/>
    <cellStyle name="Normal 5 10 44" xfId="34203" xr:uid="{00000000-0005-0000-0000-00009B850000}"/>
    <cellStyle name="Normal 5 10 45" xfId="34204" xr:uid="{00000000-0005-0000-0000-00009C850000}"/>
    <cellStyle name="Normal 5 10 46" xfId="34205" xr:uid="{00000000-0005-0000-0000-00009D850000}"/>
    <cellStyle name="Normal 5 10 47" xfId="34206" xr:uid="{00000000-0005-0000-0000-00009E850000}"/>
    <cellStyle name="Normal 5 10 48" xfId="34207" xr:uid="{00000000-0005-0000-0000-00009F850000}"/>
    <cellStyle name="Normal 5 10 49" xfId="34208" xr:uid="{00000000-0005-0000-0000-0000A0850000}"/>
    <cellStyle name="Normal 5 10 5" xfId="34209" xr:uid="{00000000-0005-0000-0000-0000A1850000}"/>
    <cellStyle name="Normal 5 10 5 10" xfId="34210" xr:uid="{00000000-0005-0000-0000-0000A2850000}"/>
    <cellStyle name="Normal 5 10 5 11" xfId="34211" xr:uid="{00000000-0005-0000-0000-0000A3850000}"/>
    <cellStyle name="Normal 5 10 5 12" xfId="34212" xr:uid="{00000000-0005-0000-0000-0000A4850000}"/>
    <cellStyle name="Normal 5 10 5 13" xfId="34213" xr:uid="{00000000-0005-0000-0000-0000A5850000}"/>
    <cellStyle name="Normal 5 10 5 14" xfId="34214" xr:uid="{00000000-0005-0000-0000-0000A6850000}"/>
    <cellStyle name="Normal 5 10 5 2" xfId="34215" xr:uid="{00000000-0005-0000-0000-0000A7850000}"/>
    <cellStyle name="Normal 5 10 5 2 10" xfId="34216" xr:uid="{00000000-0005-0000-0000-0000A8850000}"/>
    <cellStyle name="Normal 5 10 5 2 2" xfId="34217" xr:uid="{00000000-0005-0000-0000-0000A9850000}"/>
    <cellStyle name="Normal 5 10 5 2 3" xfId="34218" xr:uid="{00000000-0005-0000-0000-0000AA850000}"/>
    <cellStyle name="Normal 5 10 5 2 4" xfId="34219" xr:uid="{00000000-0005-0000-0000-0000AB850000}"/>
    <cellStyle name="Normal 5 10 5 2 5" xfId="34220" xr:uid="{00000000-0005-0000-0000-0000AC850000}"/>
    <cellStyle name="Normal 5 10 5 2 6" xfId="34221" xr:uid="{00000000-0005-0000-0000-0000AD850000}"/>
    <cellStyle name="Normal 5 10 5 2 7" xfId="34222" xr:uid="{00000000-0005-0000-0000-0000AE850000}"/>
    <cellStyle name="Normal 5 10 5 2 8" xfId="34223" xr:uid="{00000000-0005-0000-0000-0000AF850000}"/>
    <cellStyle name="Normal 5 10 5 2 9" xfId="34224" xr:uid="{00000000-0005-0000-0000-0000B0850000}"/>
    <cellStyle name="Normal 5 10 5 3" xfId="34225" xr:uid="{00000000-0005-0000-0000-0000B1850000}"/>
    <cellStyle name="Normal 5 10 5 3 10" xfId="34226" xr:uid="{00000000-0005-0000-0000-0000B2850000}"/>
    <cellStyle name="Normal 5 10 5 3 2" xfId="34227" xr:uid="{00000000-0005-0000-0000-0000B3850000}"/>
    <cellStyle name="Normal 5 10 5 3 3" xfId="34228" xr:uid="{00000000-0005-0000-0000-0000B4850000}"/>
    <cellStyle name="Normal 5 10 5 3 4" xfId="34229" xr:uid="{00000000-0005-0000-0000-0000B5850000}"/>
    <cellStyle name="Normal 5 10 5 3 5" xfId="34230" xr:uid="{00000000-0005-0000-0000-0000B6850000}"/>
    <cellStyle name="Normal 5 10 5 3 6" xfId="34231" xr:uid="{00000000-0005-0000-0000-0000B7850000}"/>
    <cellStyle name="Normal 5 10 5 3 7" xfId="34232" xr:uid="{00000000-0005-0000-0000-0000B8850000}"/>
    <cellStyle name="Normal 5 10 5 3 8" xfId="34233" xr:uid="{00000000-0005-0000-0000-0000B9850000}"/>
    <cellStyle name="Normal 5 10 5 3 9" xfId="34234" xr:uid="{00000000-0005-0000-0000-0000BA850000}"/>
    <cellStyle name="Normal 5 10 5 4" xfId="34235" xr:uid="{00000000-0005-0000-0000-0000BB850000}"/>
    <cellStyle name="Normal 5 10 5 4 10" xfId="34236" xr:uid="{00000000-0005-0000-0000-0000BC850000}"/>
    <cellStyle name="Normal 5 10 5 4 2" xfId="34237" xr:uid="{00000000-0005-0000-0000-0000BD850000}"/>
    <cellStyle name="Normal 5 10 5 4 3" xfId="34238" xr:uid="{00000000-0005-0000-0000-0000BE850000}"/>
    <cellStyle name="Normal 5 10 5 4 4" xfId="34239" xr:uid="{00000000-0005-0000-0000-0000BF850000}"/>
    <cellStyle name="Normal 5 10 5 4 5" xfId="34240" xr:uid="{00000000-0005-0000-0000-0000C0850000}"/>
    <cellStyle name="Normal 5 10 5 4 6" xfId="34241" xr:uid="{00000000-0005-0000-0000-0000C1850000}"/>
    <cellStyle name="Normal 5 10 5 4 7" xfId="34242" xr:uid="{00000000-0005-0000-0000-0000C2850000}"/>
    <cellStyle name="Normal 5 10 5 4 8" xfId="34243" xr:uid="{00000000-0005-0000-0000-0000C3850000}"/>
    <cellStyle name="Normal 5 10 5 4 9" xfId="34244" xr:uid="{00000000-0005-0000-0000-0000C4850000}"/>
    <cellStyle name="Normal 5 10 5 5" xfId="34245" xr:uid="{00000000-0005-0000-0000-0000C5850000}"/>
    <cellStyle name="Normal 5 10 5 5 10" xfId="34246" xr:uid="{00000000-0005-0000-0000-0000C6850000}"/>
    <cellStyle name="Normal 5 10 5 5 2" xfId="34247" xr:uid="{00000000-0005-0000-0000-0000C7850000}"/>
    <cellStyle name="Normal 5 10 5 5 3" xfId="34248" xr:uid="{00000000-0005-0000-0000-0000C8850000}"/>
    <cellStyle name="Normal 5 10 5 5 4" xfId="34249" xr:uid="{00000000-0005-0000-0000-0000C9850000}"/>
    <cellStyle name="Normal 5 10 5 5 5" xfId="34250" xr:uid="{00000000-0005-0000-0000-0000CA850000}"/>
    <cellStyle name="Normal 5 10 5 5 6" xfId="34251" xr:uid="{00000000-0005-0000-0000-0000CB850000}"/>
    <cellStyle name="Normal 5 10 5 5 7" xfId="34252" xr:uid="{00000000-0005-0000-0000-0000CC850000}"/>
    <cellStyle name="Normal 5 10 5 5 8" xfId="34253" xr:uid="{00000000-0005-0000-0000-0000CD850000}"/>
    <cellStyle name="Normal 5 10 5 5 9" xfId="34254" xr:uid="{00000000-0005-0000-0000-0000CE850000}"/>
    <cellStyle name="Normal 5 10 5 6" xfId="34255" xr:uid="{00000000-0005-0000-0000-0000CF850000}"/>
    <cellStyle name="Normal 5 10 5 7" xfId="34256" xr:uid="{00000000-0005-0000-0000-0000D0850000}"/>
    <cellStyle name="Normal 5 10 5 8" xfId="34257" xr:uid="{00000000-0005-0000-0000-0000D1850000}"/>
    <cellStyle name="Normal 5 10 5 9" xfId="34258" xr:uid="{00000000-0005-0000-0000-0000D2850000}"/>
    <cellStyle name="Normal 5 10 6" xfId="34259" xr:uid="{00000000-0005-0000-0000-0000D3850000}"/>
    <cellStyle name="Normal 5 10 6 10" xfId="34260" xr:uid="{00000000-0005-0000-0000-0000D4850000}"/>
    <cellStyle name="Normal 5 10 6 11" xfId="34261" xr:uid="{00000000-0005-0000-0000-0000D5850000}"/>
    <cellStyle name="Normal 5 10 6 12" xfId="34262" xr:uid="{00000000-0005-0000-0000-0000D6850000}"/>
    <cellStyle name="Normal 5 10 6 13" xfId="34263" xr:uid="{00000000-0005-0000-0000-0000D7850000}"/>
    <cellStyle name="Normal 5 10 6 14" xfId="34264" xr:uid="{00000000-0005-0000-0000-0000D8850000}"/>
    <cellStyle name="Normal 5 10 6 2" xfId="34265" xr:uid="{00000000-0005-0000-0000-0000D9850000}"/>
    <cellStyle name="Normal 5 10 6 2 10" xfId="34266" xr:uid="{00000000-0005-0000-0000-0000DA850000}"/>
    <cellStyle name="Normal 5 10 6 2 2" xfId="34267" xr:uid="{00000000-0005-0000-0000-0000DB850000}"/>
    <cellStyle name="Normal 5 10 6 2 3" xfId="34268" xr:uid="{00000000-0005-0000-0000-0000DC850000}"/>
    <cellStyle name="Normal 5 10 6 2 4" xfId="34269" xr:uid="{00000000-0005-0000-0000-0000DD850000}"/>
    <cellStyle name="Normal 5 10 6 2 5" xfId="34270" xr:uid="{00000000-0005-0000-0000-0000DE850000}"/>
    <cellStyle name="Normal 5 10 6 2 6" xfId="34271" xr:uid="{00000000-0005-0000-0000-0000DF850000}"/>
    <cellStyle name="Normal 5 10 6 2 7" xfId="34272" xr:uid="{00000000-0005-0000-0000-0000E0850000}"/>
    <cellStyle name="Normal 5 10 6 2 8" xfId="34273" xr:uid="{00000000-0005-0000-0000-0000E1850000}"/>
    <cellStyle name="Normal 5 10 6 2 9" xfId="34274" xr:uid="{00000000-0005-0000-0000-0000E2850000}"/>
    <cellStyle name="Normal 5 10 6 3" xfId="34275" xr:uid="{00000000-0005-0000-0000-0000E3850000}"/>
    <cellStyle name="Normal 5 10 6 3 10" xfId="34276" xr:uid="{00000000-0005-0000-0000-0000E4850000}"/>
    <cellStyle name="Normal 5 10 6 3 2" xfId="34277" xr:uid="{00000000-0005-0000-0000-0000E5850000}"/>
    <cellStyle name="Normal 5 10 6 3 3" xfId="34278" xr:uid="{00000000-0005-0000-0000-0000E6850000}"/>
    <cellStyle name="Normal 5 10 6 3 4" xfId="34279" xr:uid="{00000000-0005-0000-0000-0000E7850000}"/>
    <cellStyle name="Normal 5 10 6 3 5" xfId="34280" xr:uid="{00000000-0005-0000-0000-0000E8850000}"/>
    <cellStyle name="Normal 5 10 6 3 6" xfId="34281" xr:uid="{00000000-0005-0000-0000-0000E9850000}"/>
    <cellStyle name="Normal 5 10 6 3 7" xfId="34282" xr:uid="{00000000-0005-0000-0000-0000EA850000}"/>
    <cellStyle name="Normal 5 10 6 3 8" xfId="34283" xr:uid="{00000000-0005-0000-0000-0000EB850000}"/>
    <cellStyle name="Normal 5 10 6 3 9" xfId="34284" xr:uid="{00000000-0005-0000-0000-0000EC850000}"/>
    <cellStyle name="Normal 5 10 6 4" xfId="34285" xr:uid="{00000000-0005-0000-0000-0000ED850000}"/>
    <cellStyle name="Normal 5 10 6 4 10" xfId="34286" xr:uid="{00000000-0005-0000-0000-0000EE850000}"/>
    <cellStyle name="Normal 5 10 6 4 2" xfId="34287" xr:uid="{00000000-0005-0000-0000-0000EF850000}"/>
    <cellStyle name="Normal 5 10 6 4 3" xfId="34288" xr:uid="{00000000-0005-0000-0000-0000F0850000}"/>
    <cellStyle name="Normal 5 10 6 4 4" xfId="34289" xr:uid="{00000000-0005-0000-0000-0000F1850000}"/>
    <cellStyle name="Normal 5 10 6 4 5" xfId="34290" xr:uid="{00000000-0005-0000-0000-0000F2850000}"/>
    <cellStyle name="Normal 5 10 6 4 6" xfId="34291" xr:uid="{00000000-0005-0000-0000-0000F3850000}"/>
    <cellStyle name="Normal 5 10 6 4 7" xfId="34292" xr:uid="{00000000-0005-0000-0000-0000F4850000}"/>
    <cellStyle name="Normal 5 10 6 4 8" xfId="34293" xr:uid="{00000000-0005-0000-0000-0000F5850000}"/>
    <cellStyle name="Normal 5 10 6 4 9" xfId="34294" xr:uid="{00000000-0005-0000-0000-0000F6850000}"/>
    <cellStyle name="Normal 5 10 6 5" xfId="34295" xr:uid="{00000000-0005-0000-0000-0000F7850000}"/>
    <cellStyle name="Normal 5 10 6 5 10" xfId="34296" xr:uid="{00000000-0005-0000-0000-0000F8850000}"/>
    <cellStyle name="Normal 5 10 6 5 2" xfId="34297" xr:uid="{00000000-0005-0000-0000-0000F9850000}"/>
    <cellStyle name="Normal 5 10 6 5 3" xfId="34298" xr:uid="{00000000-0005-0000-0000-0000FA850000}"/>
    <cellStyle name="Normal 5 10 6 5 4" xfId="34299" xr:uid="{00000000-0005-0000-0000-0000FB850000}"/>
    <cellStyle name="Normal 5 10 6 5 5" xfId="34300" xr:uid="{00000000-0005-0000-0000-0000FC850000}"/>
    <cellStyle name="Normal 5 10 6 5 6" xfId="34301" xr:uid="{00000000-0005-0000-0000-0000FD850000}"/>
    <cellStyle name="Normal 5 10 6 5 7" xfId="34302" xr:uid="{00000000-0005-0000-0000-0000FE850000}"/>
    <cellStyle name="Normal 5 10 6 5 8" xfId="34303" xr:uid="{00000000-0005-0000-0000-0000FF850000}"/>
    <cellStyle name="Normal 5 10 6 5 9" xfId="34304" xr:uid="{00000000-0005-0000-0000-000000860000}"/>
    <cellStyle name="Normal 5 10 6 6" xfId="34305" xr:uid="{00000000-0005-0000-0000-000001860000}"/>
    <cellStyle name="Normal 5 10 6 7" xfId="34306" xr:uid="{00000000-0005-0000-0000-000002860000}"/>
    <cellStyle name="Normal 5 10 6 8" xfId="34307" xr:uid="{00000000-0005-0000-0000-000003860000}"/>
    <cellStyle name="Normal 5 10 6 9" xfId="34308" xr:uid="{00000000-0005-0000-0000-000004860000}"/>
    <cellStyle name="Normal 5 10 7" xfId="34309" xr:uid="{00000000-0005-0000-0000-000005860000}"/>
    <cellStyle name="Normal 5 10 7 10" xfId="34310" xr:uid="{00000000-0005-0000-0000-000006860000}"/>
    <cellStyle name="Normal 5 10 7 11" xfId="34311" xr:uid="{00000000-0005-0000-0000-000007860000}"/>
    <cellStyle name="Normal 5 10 7 12" xfId="34312" xr:uid="{00000000-0005-0000-0000-000008860000}"/>
    <cellStyle name="Normal 5 10 7 13" xfId="34313" xr:uid="{00000000-0005-0000-0000-000009860000}"/>
    <cellStyle name="Normal 5 10 7 14" xfId="34314" xr:uid="{00000000-0005-0000-0000-00000A860000}"/>
    <cellStyle name="Normal 5 10 7 2" xfId="34315" xr:uid="{00000000-0005-0000-0000-00000B860000}"/>
    <cellStyle name="Normal 5 10 7 2 10" xfId="34316" xr:uid="{00000000-0005-0000-0000-00000C860000}"/>
    <cellStyle name="Normal 5 10 7 2 2" xfId="34317" xr:uid="{00000000-0005-0000-0000-00000D860000}"/>
    <cellStyle name="Normal 5 10 7 2 3" xfId="34318" xr:uid="{00000000-0005-0000-0000-00000E860000}"/>
    <cellStyle name="Normal 5 10 7 2 4" xfId="34319" xr:uid="{00000000-0005-0000-0000-00000F860000}"/>
    <cellStyle name="Normal 5 10 7 2 5" xfId="34320" xr:uid="{00000000-0005-0000-0000-000010860000}"/>
    <cellStyle name="Normal 5 10 7 2 6" xfId="34321" xr:uid="{00000000-0005-0000-0000-000011860000}"/>
    <cellStyle name="Normal 5 10 7 2 7" xfId="34322" xr:uid="{00000000-0005-0000-0000-000012860000}"/>
    <cellStyle name="Normal 5 10 7 2 8" xfId="34323" xr:uid="{00000000-0005-0000-0000-000013860000}"/>
    <cellStyle name="Normal 5 10 7 2 9" xfId="34324" xr:uid="{00000000-0005-0000-0000-000014860000}"/>
    <cellStyle name="Normal 5 10 7 3" xfId="34325" xr:uid="{00000000-0005-0000-0000-000015860000}"/>
    <cellStyle name="Normal 5 10 7 3 10" xfId="34326" xr:uid="{00000000-0005-0000-0000-000016860000}"/>
    <cellStyle name="Normal 5 10 7 3 2" xfId="34327" xr:uid="{00000000-0005-0000-0000-000017860000}"/>
    <cellStyle name="Normal 5 10 7 3 3" xfId="34328" xr:uid="{00000000-0005-0000-0000-000018860000}"/>
    <cellStyle name="Normal 5 10 7 3 4" xfId="34329" xr:uid="{00000000-0005-0000-0000-000019860000}"/>
    <cellStyle name="Normal 5 10 7 3 5" xfId="34330" xr:uid="{00000000-0005-0000-0000-00001A860000}"/>
    <cellStyle name="Normal 5 10 7 3 6" xfId="34331" xr:uid="{00000000-0005-0000-0000-00001B860000}"/>
    <cellStyle name="Normal 5 10 7 3 7" xfId="34332" xr:uid="{00000000-0005-0000-0000-00001C860000}"/>
    <cellStyle name="Normal 5 10 7 3 8" xfId="34333" xr:uid="{00000000-0005-0000-0000-00001D860000}"/>
    <cellStyle name="Normal 5 10 7 3 9" xfId="34334" xr:uid="{00000000-0005-0000-0000-00001E860000}"/>
    <cellStyle name="Normal 5 10 7 4" xfId="34335" xr:uid="{00000000-0005-0000-0000-00001F860000}"/>
    <cellStyle name="Normal 5 10 7 4 10" xfId="34336" xr:uid="{00000000-0005-0000-0000-000020860000}"/>
    <cellStyle name="Normal 5 10 7 4 2" xfId="34337" xr:uid="{00000000-0005-0000-0000-000021860000}"/>
    <cellStyle name="Normal 5 10 7 4 3" xfId="34338" xr:uid="{00000000-0005-0000-0000-000022860000}"/>
    <cellStyle name="Normal 5 10 7 4 4" xfId="34339" xr:uid="{00000000-0005-0000-0000-000023860000}"/>
    <cellStyle name="Normal 5 10 7 4 5" xfId="34340" xr:uid="{00000000-0005-0000-0000-000024860000}"/>
    <cellStyle name="Normal 5 10 7 4 6" xfId="34341" xr:uid="{00000000-0005-0000-0000-000025860000}"/>
    <cellStyle name="Normal 5 10 7 4 7" xfId="34342" xr:uid="{00000000-0005-0000-0000-000026860000}"/>
    <cellStyle name="Normal 5 10 7 4 8" xfId="34343" xr:uid="{00000000-0005-0000-0000-000027860000}"/>
    <cellStyle name="Normal 5 10 7 4 9" xfId="34344" xr:uid="{00000000-0005-0000-0000-000028860000}"/>
    <cellStyle name="Normal 5 10 7 5" xfId="34345" xr:uid="{00000000-0005-0000-0000-000029860000}"/>
    <cellStyle name="Normal 5 10 7 5 10" xfId="34346" xr:uid="{00000000-0005-0000-0000-00002A860000}"/>
    <cellStyle name="Normal 5 10 7 5 2" xfId="34347" xr:uid="{00000000-0005-0000-0000-00002B860000}"/>
    <cellStyle name="Normal 5 10 7 5 3" xfId="34348" xr:uid="{00000000-0005-0000-0000-00002C860000}"/>
    <cellStyle name="Normal 5 10 7 5 4" xfId="34349" xr:uid="{00000000-0005-0000-0000-00002D860000}"/>
    <cellStyle name="Normal 5 10 7 5 5" xfId="34350" xr:uid="{00000000-0005-0000-0000-00002E860000}"/>
    <cellStyle name="Normal 5 10 7 5 6" xfId="34351" xr:uid="{00000000-0005-0000-0000-00002F860000}"/>
    <cellStyle name="Normal 5 10 7 5 7" xfId="34352" xr:uid="{00000000-0005-0000-0000-000030860000}"/>
    <cellStyle name="Normal 5 10 7 5 8" xfId="34353" xr:uid="{00000000-0005-0000-0000-000031860000}"/>
    <cellStyle name="Normal 5 10 7 5 9" xfId="34354" xr:uid="{00000000-0005-0000-0000-000032860000}"/>
    <cellStyle name="Normal 5 10 7 6" xfId="34355" xr:uid="{00000000-0005-0000-0000-000033860000}"/>
    <cellStyle name="Normal 5 10 7 7" xfId="34356" xr:uid="{00000000-0005-0000-0000-000034860000}"/>
    <cellStyle name="Normal 5 10 7 8" xfId="34357" xr:uid="{00000000-0005-0000-0000-000035860000}"/>
    <cellStyle name="Normal 5 10 7 9" xfId="34358" xr:uid="{00000000-0005-0000-0000-000036860000}"/>
    <cellStyle name="Normal 5 10 8" xfId="34359" xr:uid="{00000000-0005-0000-0000-000037860000}"/>
    <cellStyle name="Normal 5 10 8 10" xfId="34360" xr:uid="{00000000-0005-0000-0000-000038860000}"/>
    <cellStyle name="Normal 5 10 8 11" xfId="34361" xr:uid="{00000000-0005-0000-0000-000039860000}"/>
    <cellStyle name="Normal 5 10 8 12" xfId="34362" xr:uid="{00000000-0005-0000-0000-00003A860000}"/>
    <cellStyle name="Normal 5 10 8 13" xfId="34363" xr:uid="{00000000-0005-0000-0000-00003B860000}"/>
    <cellStyle name="Normal 5 10 8 14" xfId="34364" xr:uid="{00000000-0005-0000-0000-00003C860000}"/>
    <cellStyle name="Normal 5 10 8 2" xfId="34365" xr:uid="{00000000-0005-0000-0000-00003D860000}"/>
    <cellStyle name="Normal 5 10 8 2 10" xfId="34366" xr:uid="{00000000-0005-0000-0000-00003E860000}"/>
    <cellStyle name="Normal 5 10 8 2 2" xfId="34367" xr:uid="{00000000-0005-0000-0000-00003F860000}"/>
    <cellStyle name="Normal 5 10 8 2 3" xfId="34368" xr:uid="{00000000-0005-0000-0000-000040860000}"/>
    <cellStyle name="Normal 5 10 8 2 4" xfId="34369" xr:uid="{00000000-0005-0000-0000-000041860000}"/>
    <cellStyle name="Normal 5 10 8 2 5" xfId="34370" xr:uid="{00000000-0005-0000-0000-000042860000}"/>
    <cellStyle name="Normal 5 10 8 2 6" xfId="34371" xr:uid="{00000000-0005-0000-0000-000043860000}"/>
    <cellStyle name="Normal 5 10 8 2 7" xfId="34372" xr:uid="{00000000-0005-0000-0000-000044860000}"/>
    <cellStyle name="Normal 5 10 8 2 8" xfId="34373" xr:uid="{00000000-0005-0000-0000-000045860000}"/>
    <cellStyle name="Normal 5 10 8 2 9" xfId="34374" xr:uid="{00000000-0005-0000-0000-000046860000}"/>
    <cellStyle name="Normal 5 10 8 3" xfId="34375" xr:uid="{00000000-0005-0000-0000-000047860000}"/>
    <cellStyle name="Normal 5 10 8 3 10" xfId="34376" xr:uid="{00000000-0005-0000-0000-000048860000}"/>
    <cellStyle name="Normal 5 10 8 3 2" xfId="34377" xr:uid="{00000000-0005-0000-0000-000049860000}"/>
    <cellStyle name="Normal 5 10 8 3 3" xfId="34378" xr:uid="{00000000-0005-0000-0000-00004A860000}"/>
    <cellStyle name="Normal 5 10 8 3 4" xfId="34379" xr:uid="{00000000-0005-0000-0000-00004B860000}"/>
    <cellStyle name="Normal 5 10 8 3 5" xfId="34380" xr:uid="{00000000-0005-0000-0000-00004C860000}"/>
    <cellStyle name="Normal 5 10 8 3 6" xfId="34381" xr:uid="{00000000-0005-0000-0000-00004D860000}"/>
    <cellStyle name="Normal 5 10 8 3 7" xfId="34382" xr:uid="{00000000-0005-0000-0000-00004E860000}"/>
    <cellStyle name="Normal 5 10 8 3 8" xfId="34383" xr:uid="{00000000-0005-0000-0000-00004F860000}"/>
    <cellStyle name="Normal 5 10 8 3 9" xfId="34384" xr:uid="{00000000-0005-0000-0000-000050860000}"/>
    <cellStyle name="Normal 5 10 8 4" xfId="34385" xr:uid="{00000000-0005-0000-0000-000051860000}"/>
    <cellStyle name="Normal 5 10 8 4 10" xfId="34386" xr:uid="{00000000-0005-0000-0000-000052860000}"/>
    <cellStyle name="Normal 5 10 8 4 2" xfId="34387" xr:uid="{00000000-0005-0000-0000-000053860000}"/>
    <cellStyle name="Normal 5 10 8 4 3" xfId="34388" xr:uid="{00000000-0005-0000-0000-000054860000}"/>
    <cellStyle name="Normal 5 10 8 4 4" xfId="34389" xr:uid="{00000000-0005-0000-0000-000055860000}"/>
    <cellStyle name="Normal 5 10 8 4 5" xfId="34390" xr:uid="{00000000-0005-0000-0000-000056860000}"/>
    <cellStyle name="Normal 5 10 8 4 6" xfId="34391" xr:uid="{00000000-0005-0000-0000-000057860000}"/>
    <cellStyle name="Normal 5 10 8 4 7" xfId="34392" xr:uid="{00000000-0005-0000-0000-000058860000}"/>
    <cellStyle name="Normal 5 10 8 4 8" xfId="34393" xr:uid="{00000000-0005-0000-0000-000059860000}"/>
    <cellStyle name="Normal 5 10 8 4 9" xfId="34394" xr:uid="{00000000-0005-0000-0000-00005A860000}"/>
    <cellStyle name="Normal 5 10 8 5" xfId="34395" xr:uid="{00000000-0005-0000-0000-00005B860000}"/>
    <cellStyle name="Normal 5 10 8 5 10" xfId="34396" xr:uid="{00000000-0005-0000-0000-00005C860000}"/>
    <cellStyle name="Normal 5 10 8 5 2" xfId="34397" xr:uid="{00000000-0005-0000-0000-00005D860000}"/>
    <cellStyle name="Normal 5 10 8 5 3" xfId="34398" xr:uid="{00000000-0005-0000-0000-00005E860000}"/>
    <cellStyle name="Normal 5 10 8 5 4" xfId="34399" xr:uid="{00000000-0005-0000-0000-00005F860000}"/>
    <cellStyle name="Normal 5 10 8 5 5" xfId="34400" xr:uid="{00000000-0005-0000-0000-000060860000}"/>
    <cellStyle name="Normal 5 10 8 5 6" xfId="34401" xr:uid="{00000000-0005-0000-0000-000061860000}"/>
    <cellStyle name="Normal 5 10 8 5 7" xfId="34402" xr:uid="{00000000-0005-0000-0000-000062860000}"/>
    <cellStyle name="Normal 5 10 8 5 8" xfId="34403" xr:uid="{00000000-0005-0000-0000-000063860000}"/>
    <cellStyle name="Normal 5 10 8 5 9" xfId="34404" xr:uid="{00000000-0005-0000-0000-000064860000}"/>
    <cellStyle name="Normal 5 10 8 6" xfId="34405" xr:uid="{00000000-0005-0000-0000-000065860000}"/>
    <cellStyle name="Normal 5 10 8 7" xfId="34406" xr:uid="{00000000-0005-0000-0000-000066860000}"/>
    <cellStyle name="Normal 5 10 8 8" xfId="34407" xr:uid="{00000000-0005-0000-0000-000067860000}"/>
    <cellStyle name="Normal 5 10 8 9" xfId="34408" xr:uid="{00000000-0005-0000-0000-000068860000}"/>
    <cellStyle name="Normal 5 10 9" xfId="34409" xr:uid="{00000000-0005-0000-0000-000069860000}"/>
    <cellStyle name="Normal 5 10 9 10" xfId="34410" xr:uid="{00000000-0005-0000-0000-00006A860000}"/>
    <cellStyle name="Normal 5 10 9 11" xfId="34411" xr:uid="{00000000-0005-0000-0000-00006B860000}"/>
    <cellStyle name="Normal 5 10 9 12" xfId="34412" xr:uid="{00000000-0005-0000-0000-00006C860000}"/>
    <cellStyle name="Normal 5 10 9 13" xfId="34413" xr:uid="{00000000-0005-0000-0000-00006D860000}"/>
    <cellStyle name="Normal 5 10 9 14" xfId="34414" xr:uid="{00000000-0005-0000-0000-00006E860000}"/>
    <cellStyle name="Normal 5 10 9 2" xfId="34415" xr:uid="{00000000-0005-0000-0000-00006F860000}"/>
    <cellStyle name="Normal 5 10 9 2 10" xfId="34416" xr:uid="{00000000-0005-0000-0000-000070860000}"/>
    <cellStyle name="Normal 5 10 9 2 2" xfId="34417" xr:uid="{00000000-0005-0000-0000-000071860000}"/>
    <cellStyle name="Normal 5 10 9 2 3" xfId="34418" xr:uid="{00000000-0005-0000-0000-000072860000}"/>
    <cellStyle name="Normal 5 10 9 2 4" xfId="34419" xr:uid="{00000000-0005-0000-0000-000073860000}"/>
    <cellStyle name="Normal 5 10 9 2 5" xfId="34420" xr:uid="{00000000-0005-0000-0000-000074860000}"/>
    <cellStyle name="Normal 5 10 9 2 6" xfId="34421" xr:uid="{00000000-0005-0000-0000-000075860000}"/>
    <cellStyle name="Normal 5 10 9 2 7" xfId="34422" xr:uid="{00000000-0005-0000-0000-000076860000}"/>
    <cellStyle name="Normal 5 10 9 2 8" xfId="34423" xr:uid="{00000000-0005-0000-0000-000077860000}"/>
    <cellStyle name="Normal 5 10 9 2 9" xfId="34424" xr:uid="{00000000-0005-0000-0000-000078860000}"/>
    <cellStyle name="Normal 5 10 9 3" xfId="34425" xr:uid="{00000000-0005-0000-0000-000079860000}"/>
    <cellStyle name="Normal 5 10 9 3 10" xfId="34426" xr:uid="{00000000-0005-0000-0000-00007A860000}"/>
    <cellStyle name="Normal 5 10 9 3 2" xfId="34427" xr:uid="{00000000-0005-0000-0000-00007B860000}"/>
    <cellStyle name="Normal 5 10 9 3 3" xfId="34428" xr:uid="{00000000-0005-0000-0000-00007C860000}"/>
    <cellStyle name="Normal 5 10 9 3 4" xfId="34429" xr:uid="{00000000-0005-0000-0000-00007D860000}"/>
    <cellStyle name="Normal 5 10 9 3 5" xfId="34430" xr:uid="{00000000-0005-0000-0000-00007E860000}"/>
    <cellStyle name="Normal 5 10 9 3 6" xfId="34431" xr:uid="{00000000-0005-0000-0000-00007F860000}"/>
    <cellStyle name="Normal 5 10 9 3 7" xfId="34432" xr:uid="{00000000-0005-0000-0000-000080860000}"/>
    <cellStyle name="Normal 5 10 9 3 8" xfId="34433" xr:uid="{00000000-0005-0000-0000-000081860000}"/>
    <cellStyle name="Normal 5 10 9 3 9" xfId="34434" xr:uid="{00000000-0005-0000-0000-000082860000}"/>
    <cellStyle name="Normal 5 10 9 4" xfId="34435" xr:uid="{00000000-0005-0000-0000-000083860000}"/>
    <cellStyle name="Normal 5 10 9 4 10" xfId="34436" xr:uid="{00000000-0005-0000-0000-000084860000}"/>
    <cellStyle name="Normal 5 10 9 4 2" xfId="34437" xr:uid="{00000000-0005-0000-0000-000085860000}"/>
    <cellStyle name="Normal 5 10 9 4 3" xfId="34438" xr:uid="{00000000-0005-0000-0000-000086860000}"/>
    <cellStyle name="Normal 5 10 9 4 4" xfId="34439" xr:uid="{00000000-0005-0000-0000-000087860000}"/>
    <cellStyle name="Normal 5 10 9 4 5" xfId="34440" xr:uid="{00000000-0005-0000-0000-000088860000}"/>
    <cellStyle name="Normal 5 10 9 4 6" xfId="34441" xr:uid="{00000000-0005-0000-0000-000089860000}"/>
    <cellStyle name="Normal 5 10 9 4 7" xfId="34442" xr:uid="{00000000-0005-0000-0000-00008A860000}"/>
    <cellStyle name="Normal 5 10 9 4 8" xfId="34443" xr:uid="{00000000-0005-0000-0000-00008B860000}"/>
    <cellStyle name="Normal 5 10 9 4 9" xfId="34444" xr:uid="{00000000-0005-0000-0000-00008C860000}"/>
    <cellStyle name="Normal 5 10 9 5" xfId="34445" xr:uid="{00000000-0005-0000-0000-00008D860000}"/>
    <cellStyle name="Normal 5 10 9 5 10" xfId="34446" xr:uid="{00000000-0005-0000-0000-00008E860000}"/>
    <cellStyle name="Normal 5 10 9 5 2" xfId="34447" xr:uid="{00000000-0005-0000-0000-00008F860000}"/>
    <cellStyle name="Normal 5 10 9 5 3" xfId="34448" xr:uid="{00000000-0005-0000-0000-000090860000}"/>
    <cellStyle name="Normal 5 10 9 5 4" xfId="34449" xr:uid="{00000000-0005-0000-0000-000091860000}"/>
    <cellStyle name="Normal 5 10 9 5 5" xfId="34450" xr:uid="{00000000-0005-0000-0000-000092860000}"/>
    <cellStyle name="Normal 5 10 9 5 6" xfId="34451" xr:uid="{00000000-0005-0000-0000-000093860000}"/>
    <cellStyle name="Normal 5 10 9 5 7" xfId="34452" xr:uid="{00000000-0005-0000-0000-000094860000}"/>
    <cellStyle name="Normal 5 10 9 5 8" xfId="34453" xr:uid="{00000000-0005-0000-0000-000095860000}"/>
    <cellStyle name="Normal 5 10 9 5 9" xfId="34454" xr:uid="{00000000-0005-0000-0000-000096860000}"/>
    <cellStyle name="Normal 5 10 9 6" xfId="34455" xr:uid="{00000000-0005-0000-0000-000097860000}"/>
    <cellStyle name="Normal 5 10 9 7" xfId="34456" xr:uid="{00000000-0005-0000-0000-000098860000}"/>
    <cellStyle name="Normal 5 10 9 8" xfId="34457" xr:uid="{00000000-0005-0000-0000-000099860000}"/>
    <cellStyle name="Normal 5 10 9 9" xfId="34458" xr:uid="{00000000-0005-0000-0000-00009A860000}"/>
    <cellStyle name="Normal 5 11" xfId="34459" xr:uid="{00000000-0005-0000-0000-00009B860000}"/>
    <cellStyle name="Normal 5 11 2" xfId="34460" xr:uid="{00000000-0005-0000-0000-00009C860000}"/>
    <cellStyle name="Normal 5 11 2 2" xfId="34461" xr:uid="{00000000-0005-0000-0000-00009D860000}"/>
    <cellStyle name="Normal 5 11 3" xfId="34462" xr:uid="{00000000-0005-0000-0000-00009E860000}"/>
    <cellStyle name="Normal 5 11 4" xfId="34463" xr:uid="{00000000-0005-0000-0000-00009F860000}"/>
    <cellStyle name="Normal 5 12" xfId="34464" xr:uid="{00000000-0005-0000-0000-0000A0860000}"/>
    <cellStyle name="Normal 5 12 2" xfId="34465" xr:uid="{00000000-0005-0000-0000-0000A1860000}"/>
    <cellStyle name="Normal 5 12 2 2" xfId="34466" xr:uid="{00000000-0005-0000-0000-0000A2860000}"/>
    <cellStyle name="Normal 5 12 3" xfId="34467" xr:uid="{00000000-0005-0000-0000-0000A3860000}"/>
    <cellStyle name="Normal 5 12 4" xfId="34468" xr:uid="{00000000-0005-0000-0000-0000A4860000}"/>
    <cellStyle name="Normal 5 13" xfId="34469" xr:uid="{00000000-0005-0000-0000-0000A5860000}"/>
    <cellStyle name="Normal 5 13 2" xfId="34470" xr:uid="{00000000-0005-0000-0000-0000A6860000}"/>
    <cellStyle name="Normal 5 13 2 2" xfId="34471" xr:uid="{00000000-0005-0000-0000-0000A7860000}"/>
    <cellStyle name="Normal 5 13 3" xfId="34472" xr:uid="{00000000-0005-0000-0000-0000A8860000}"/>
    <cellStyle name="Normal 5 13 4" xfId="34473" xr:uid="{00000000-0005-0000-0000-0000A9860000}"/>
    <cellStyle name="Normal 5 14" xfId="34474" xr:uid="{00000000-0005-0000-0000-0000AA860000}"/>
    <cellStyle name="Normal 5 14 2" xfId="34475" xr:uid="{00000000-0005-0000-0000-0000AB860000}"/>
    <cellStyle name="Normal 5 14 2 2" xfId="34476" xr:uid="{00000000-0005-0000-0000-0000AC860000}"/>
    <cellStyle name="Normal 5 14 3" xfId="34477" xr:uid="{00000000-0005-0000-0000-0000AD860000}"/>
    <cellStyle name="Normal 5 14 4" xfId="34478" xr:uid="{00000000-0005-0000-0000-0000AE860000}"/>
    <cellStyle name="Normal 5 15" xfId="34479" xr:uid="{00000000-0005-0000-0000-0000AF860000}"/>
    <cellStyle name="Normal 5 15 2" xfId="34480" xr:uid="{00000000-0005-0000-0000-0000B0860000}"/>
    <cellStyle name="Normal 5 15 2 2" xfId="34481" xr:uid="{00000000-0005-0000-0000-0000B1860000}"/>
    <cellStyle name="Normal 5 15 3" xfId="34482" xr:uid="{00000000-0005-0000-0000-0000B2860000}"/>
    <cellStyle name="Normal 5 15 4" xfId="34483" xr:uid="{00000000-0005-0000-0000-0000B3860000}"/>
    <cellStyle name="Normal 5 16" xfId="34484" xr:uid="{00000000-0005-0000-0000-0000B4860000}"/>
    <cellStyle name="Normal 5 16 2" xfId="34485" xr:uid="{00000000-0005-0000-0000-0000B5860000}"/>
    <cellStyle name="Normal 5 16 2 2" xfId="34486" xr:uid="{00000000-0005-0000-0000-0000B6860000}"/>
    <cellStyle name="Normal 5 16 3" xfId="34487" xr:uid="{00000000-0005-0000-0000-0000B7860000}"/>
    <cellStyle name="Normal 5 16 4" xfId="34488" xr:uid="{00000000-0005-0000-0000-0000B8860000}"/>
    <cellStyle name="Normal 5 17" xfId="34489" xr:uid="{00000000-0005-0000-0000-0000B9860000}"/>
    <cellStyle name="Normal 5 17 10" xfId="34490" xr:uid="{00000000-0005-0000-0000-0000BA860000}"/>
    <cellStyle name="Normal 5 17 10 10" xfId="34491" xr:uid="{00000000-0005-0000-0000-0000BB860000}"/>
    <cellStyle name="Normal 5 17 10 11" xfId="34492" xr:uid="{00000000-0005-0000-0000-0000BC860000}"/>
    <cellStyle name="Normal 5 17 10 12" xfId="34493" xr:uid="{00000000-0005-0000-0000-0000BD860000}"/>
    <cellStyle name="Normal 5 17 10 13" xfId="34494" xr:uid="{00000000-0005-0000-0000-0000BE860000}"/>
    <cellStyle name="Normal 5 17 10 14" xfId="34495" xr:uid="{00000000-0005-0000-0000-0000BF860000}"/>
    <cellStyle name="Normal 5 17 10 2" xfId="34496" xr:uid="{00000000-0005-0000-0000-0000C0860000}"/>
    <cellStyle name="Normal 5 17 10 2 10" xfId="34497" xr:uid="{00000000-0005-0000-0000-0000C1860000}"/>
    <cellStyle name="Normal 5 17 10 2 2" xfId="34498" xr:uid="{00000000-0005-0000-0000-0000C2860000}"/>
    <cellStyle name="Normal 5 17 10 2 3" xfId="34499" xr:uid="{00000000-0005-0000-0000-0000C3860000}"/>
    <cellStyle name="Normal 5 17 10 2 4" xfId="34500" xr:uid="{00000000-0005-0000-0000-0000C4860000}"/>
    <cellStyle name="Normal 5 17 10 2 5" xfId="34501" xr:uid="{00000000-0005-0000-0000-0000C5860000}"/>
    <cellStyle name="Normal 5 17 10 2 6" xfId="34502" xr:uid="{00000000-0005-0000-0000-0000C6860000}"/>
    <cellStyle name="Normal 5 17 10 2 7" xfId="34503" xr:uid="{00000000-0005-0000-0000-0000C7860000}"/>
    <cellStyle name="Normal 5 17 10 2 8" xfId="34504" xr:uid="{00000000-0005-0000-0000-0000C8860000}"/>
    <cellStyle name="Normal 5 17 10 2 9" xfId="34505" xr:uid="{00000000-0005-0000-0000-0000C9860000}"/>
    <cellStyle name="Normal 5 17 10 3" xfId="34506" xr:uid="{00000000-0005-0000-0000-0000CA860000}"/>
    <cellStyle name="Normal 5 17 10 3 10" xfId="34507" xr:uid="{00000000-0005-0000-0000-0000CB860000}"/>
    <cellStyle name="Normal 5 17 10 3 2" xfId="34508" xr:uid="{00000000-0005-0000-0000-0000CC860000}"/>
    <cellStyle name="Normal 5 17 10 3 3" xfId="34509" xr:uid="{00000000-0005-0000-0000-0000CD860000}"/>
    <cellStyle name="Normal 5 17 10 3 4" xfId="34510" xr:uid="{00000000-0005-0000-0000-0000CE860000}"/>
    <cellStyle name="Normal 5 17 10 3 5" xfId="34511" xr:uid="{00000000-0005-0000-0000-0000CF860000}"/>
    <cellStyle name="Normal 5 17 10 3 6" xfId="34512" xr:uid="{00000000-0005-0000-0000-0000D0860000}"/>
    <cellStyle name="Normal 5 17 10 3 7" xfId="34513" xr:uid="{00000000-0005-0000-0000-0000D1860000}"/>
    <cellStyle name="Normal 5 17 10 3 8" xfId="34514" xr:uid="{00000000-0005-0000-0000-0000D2860000}"/>
    <cellStyle name="Normal 5 17 10 3 9" xfId="34515" xr:uid="{00000000-0005-0000-0000-0000D3860000}"/>
    <cellStyle name="Normal 5 17 10 4" xfId="34516" xr:uid="{00000000-0005-0000-0000-0000D4860000}"/>
    <cellStyle name="Normal 5 17 10 4 10" xfId="34517" xr:uid="{00000000-0005-0000-0000-0000D5860000}"/>
    <cellStyle name="Normal 5 17 10 4 2" xfId="34518" xr:uid="{00000000-0005-0000-0000-0000D6860000}"/>
    <cellStyle name="Normal 5 17 10 4 3" xfId="34519" xr:uid="{00000000-0005-0000-0000-0000D7860000}"/>
    <cellStyle name="Normal 5 17 10 4 4" xfId="34520" xr:uid="{00000000-0005-0000-0000-0000D8860000}"/>
    <cellStyle name="Normal 5 17 10 4 5" xfId="34521" xr:uid="{00000000-0005-0000-0000-0000D9860000}"/>
    <cellStyle name="Normal 5 17 10 4 6" xfId="34522" xr:uid="{00000000-0005-0000-0000-0000DA860000}"/>
    <cellStyle name="Normal 5 17 10 4 7" xfId="34523" xr:uid="{00000000-0005-0000-0000-0000DB860000}"/>
    <cellStyle name="Normal 5 17 10 4 8" xfId="34524" xr:uid="{00000000-0005-0000-0000-0000DC860000}"/>
    <cellStyle name="Normal 5 17 10 4 9" xfId="34525" xr:uid="{00000000-0005-0000-0000-0000DD860000}"/>
    <cellStyle name="Normal 5 17 10 5" xfId="34526" xr:uid="{00000000-0005-0000-0000-0000DE860000}"/>
    <cellStyle name="Normal 5 17 10 5 10" xfId="34527" xr:uid="{00000000-0005-0000-0000-0000DF860000}"/>
    <cellStyle name="Normal 5 17 10 5 2" xfId="34528" xr:uid="{00000000-0005-0000-0000-0000E0860000}"/>
    <cellStyle name="Normal 5 17 10 5 3" xfId="34529" xr:uid="{00000000-0005-0000-0000-0000E1860000}"/>
    <cellStyle name="Normal 5 17 10 5 4" xfId="34530" xr:uid="{00000000-0005-0000-0000-0000E2860000}"/>
    <cellStyle name="Normal 5 17 10 5 5" xfId="34531" xr:uid="{00000000-0005-0000-0000-0000E3860000}"/>
    <cellStyle name="Normal 5 17 10 5 6" xfId="34532" xr:uid="{00000000-0005-0000-0000-0000E4860000}"/>
    <cellStyle name="Normal 5 17 10 5 7" xfId="34533" xr:uid="{00000000-0005-0000-0000-0000E5860000}"/>
    <cellStyle name="Normal 5 17 10 5 8" xfId="34534" xr:uid="{00000000-0005-0000-0000-0000E6860000}"/>
    <cellStyle name="Normal 5 17 10 5 9" xfId="34535" xr:uid="{00000000-0005-0000-0000-0000E7860000}"/>
    <cellStyle name="Normal 5 17 10 6" xfId="34536" xr:uid="{00000000-0005-0000-0000-0000E8860000}"/>
    <cellStyle name="Normal 5 17 10 7" xfId="34537" xr:uid="{00000000-0005-0000-0000-0000E9860000}"/>
    <cellStyle name="Normal 5 17 10 8" xfId="34538" xr:uid="{00000000-0005-0000-0000-0000EA860000}"/>
    <cellStyle name="Normal 5 17 10 9" xfId="34539" xr:uid="{00000000-0005-0000-0000-0000EB860000}"/>
    <cellStyle name="Normal 5 17 11" xfId="34540" xr:uid="{00000000-0005-0000-0000-0000EC860000}"/>
    <cellStyle name="Normal 5 17 11 10" xfId="34541" xr:uid="{00000000-0005-0000-0000-0000ED860000}"/>
    <cellStyle name="Normal 5 17 11 11" xfId="34542" xr:uid="{00000000-0005-0000-0000-0000EE860000}"/>
    <cellStyle name="Normal 5 17 11 12" xfId="34543" xr:uid="{00000000-0005-0000-0000-0000EF860000}"/>
    <cellStyle name="Normal 5 17 11 13" xfId="34544" xr:uid="{00000000-0005-0000-0000-0000F0860000}"/>
    <cellStyle name="Normal 5 17 11 14" xfId="34545" xr:uid="{00000000-0005-0000-0000-0000F1860000}"/>
    <cellStyle name="Normal 5 17 11 2" xfId="34546" xr:uid="{00000000-0005-0000-0000-0000F2860000}"/>
    <cellStyle name="Normal 5 17 11 2 10" xfId="34547" xr:uid="{00000000-0005-0000-0000-0000F3860000}"/>
    <cellStyle name="Normal 5 17 11 2 2" xfId="34548" xr:uid="{00000000-0005-0000-0000-0000F4860000}"/>
    <cellStyle name="Normal 5 17 11 2 3" xfId="34549" xr:uid="{00000000-0005-0000-0000-0000F5860000}"/>
    <cellStyle name="Normal 5 17 11 2 4" xfId="34550" xr:uid="{00000000-0005-0000-0000-0000F6860000}"/>
    <cellStyle name="Normal 5 17 11 2 5" xfId="34551" xr:uid="{00000000-0005-0000-0000-0000F7860000}"/>
    <cellStyle name="Normal 5 17 11 2 6" xfId="34552" xr:uid="{00000000-0005-0000-0000-0000F8860000}"/>
    <cellStyle name="Normal 5 17 11 2 7" xfId="34553" xr:uid="{00000000-0005-0000-0000-0000F9860000}"/>
    <cellStyle name="Normal 5 17 11 2 8" xfId="34554" xr:uid="{00000000-0005-0000-0000-0000FA860000}"/>
    <cellStyle name="Normal 5 17 11 2 9" xfId="34555" xr:uid="{00000000-0005-0000-0000-0000FB860000}"/>
    <cellStyle name="Normal 5 17 11 3" xfId="34556" xr:uid="{00000000-0005-0000-0000-0000FC860000}"/>
    <cellStyle name="Normal 5 17 11 3 10" xfId="34557" xr:uid="{00000000-0005-0000-0000-0000FD860000}"/>
    <cellStyle name="Normal 5 17 11 3 2" xfId="34558" xr:uid="{00000000-0005-0000-0000-0000FE860000}"/>
    <cellStyle name="Normal 5 17 11 3 3" xfId="34559" xr:uid="{00000000-0005-0000-0000-0000FF860000}"/>
    <cellStyle name="Normal 5 17 11 3 4" xfId="34560" xr:uid="{00000000-0005-0000-0000-000000870000}"/>
    <cellStyle name="Normal 5 17 11 3 5" xfId="34561" xr:uid="{00000000-0005-0000-0000-000001870000}"/>
    <cellStyle name="Normal 5 17 11 3 6" xfId="34562" xr:uid="{00000000-0005-0000-0000-000002870000}"/>
    <cellStyle name="Normal 5 17 11 3 7" xfId="34563" xr:uid="{00000000-0005-0000-0000-000003870000}"/>
    <cellStyle name="Normal 5 17 11 3 8" xfId="34564" xr:uid="{00000000-0005-0000-0000-000004870000}"/>
    <cellStyle name="Normal 5 17 11 3 9" xfId="34565" xr:uid="{00000000-0005-0000-0000-000005870000}"/>
    <cellStyle name="Normal 5 17 11 4" xfId="34566" xr:uid="{00000000-0005-0000-0000-000006870000}"/>
    <cellStyle name="Normal 5 17 11 4 10" xfId="34567" xr:uid="{00000000-0005-0000-0000-000007870000}"/>
    <cellStyle name="Normal 5 17 11 4 2" xfId="34568" xr:uid="{00000000-0005-0000-0000-000008870000}"/>
    <cellStyle name="Normal 5 17 11 4 3" xfId="34569" xr:uid="{00000000-0005-0000-0000-000009870000}"/>
    <cellStyle name="Normal 5 17 11 4 4" xfId="34570" xr:uid="{00000000-0005-0000-0000-00000A870000}"/>
    <cellStyle name="Normal 5 17 11 4 5" xfId="34571" xr:uid="{00000000-0005-0000-0000-00000B870000}"/>
    <cellStyle name="Normal 5 17 11 4 6" xfId="34572" xr:uid="{00000000-0005-0000-0000-00000C870000}"/>
    <cellStyle name="Normal 5 17 11 4 7" xfId="34573" xr:uid="{00000000-0005-0000-0000-00000D870000}"/>
    <cellStyle name="Normal 5 17 11 4 8" xfId="34574" xr:uid="{00000000-0005-0000-0000-00000E870000}"/>
    <cellStyle name="Normal 5 17 11 4 9" xfId="34575" xr:uid="{00000000-0005-0000-0000-00000F870000}"/>
    <cellStyle name="Normal 5 17 11 5" xfId="34576" xr:uid="{00000000-0005-0000-0000-000010870000}"/>
    <cellStyle name="Normal 5 17 11 5 10" xfId="34577" xr:uid="{00000000-0005-0000-0000-000011870000}"/>
    <cellStyle name="Normal 5 17 11 5 2" xfId="34578" xr:uid="{00000000-0005-0000-0000-000012870000}"/>
    <cellStyle name="Normal 5 17 11 5 3" xfId="34579" xr:uid="{00000000-0005-0000-0000-000013870000}"/>
    <cellStyle name="Normal 5 17 11 5 4" xfId="34580" xr:uid="{00000000-0005-0000-0000-000014870000}"/>
    <cellStyle name="Normal 5 17 11 5 5" xfId="34581" xr:uid="{00000000-0005-0000-0000-000015870000}"/>
    <cellStyle name="Normal 5 17 11 5 6" xfId="34582" xr:uid="{00000000-0005-0000-0000-000016870000}"/>
    <cellStyle name="Normal 5 17 11 5 7" xfId="34583" xr:uid="{00000000-0005-0000-0000-000017870000}"/>
    <cellStyle name="Normal 5 17 11 5 8" xfId="34584" xr:uid="{00000000-0005-0000-0000-000018870000}"/>
    <cellStyle name="Normal 5 17 11 5 9" xfId="34585" xr:uid="{00000000-0005-0000-0000-000019870000}"/>
    <cellStyle name="Normal 5 17 11 6" xfId="34586" xr:uid="{00000000-0005-0000-0000-00001A870000}"/>
    <cellStyle name="Normal 5 17 11 7" xfId="34587" xr:uid="{00000000-0005-0000-0000-00001B870000}"/>
    <cellStyle name="Normal 5 17 11 8" xfId="34588" xr:uid="{00000000-0005-0000-0000-00001C870000}"/>
    <cellStyle name="Normal 5 17 11 9" xfId="34589" xr:uid="{00000000-0005-0000-0000-00001D870000}"/>
    <cellStyle name="Normal 5 17 12" xfId="34590" xr:uid="{00000000-0005-0000-0000-00001E870000}"/>
    <cellStyle name="Normal 5 17 12 10" xfId="34591" xr:uid="{00000000-0005-0000-0000-00001F870000}"/>
    <cellStyle name="Normal 5 17 12 11" xfId="34592" xr:uid="{00000000-0005-0000-0000-000020870000}"/>
    <cellStyle name="Normal 5 17 12 12" xfId="34593" xr:uid="{00000000-0005-0000-0000-000021870000}"/>
    <cellStyle name="Normal 5 17 12 13" xfId="34594" xr:uid="{00000000-0005-0000-0000-000022870000}"/>
    <cellStyle name="Normal 5 17 12 14" xfId="34595" xr:uid="{00000000-0005-0000-0000-000023870000}"/>
    <cellStyle name="Normal 5 17 12 2" xfId="34596" xr:uid="{00000000-0005-0000-0000-000024870000}"/>
    <cellStyle name="Normal 5 17 12 2 10" xfId="34597" xr:uid="{00000000-0005-0000-0000-000025870000}"/>
    <cellStyle name="Normal 5 17 12 2 2" xfId="34598" xr:uid="{00000000-0005-0000-0000-000026870000}"/>
    <cellStyle name="Normal 5 17 12 2 3" xfId="34599" xr:uid="{00000000-0005-0000-0000-000027870000}"/>
    <cellStyle name="Normal 5 17 12 2 4" xfId="34600" xr:uid="{00000000-0005-0000-0000-000028870000}"/>
    <cellStyle name="Normal 5 17 12 2 5" xfId="34601" xr:uid="{00000000-0005-0000-0000-000029870000}"/>
    <cellStyle name="Normal 5 17 12 2 6" xfId="34602" xr:uid="{00000000-0005-0000-0000-00002A870000}"/>
    <cellStyle name="Normal 5 17 12 2 7" xfId="34603" xr:uid="{00000000-0005-0000-0000-00002B870000}"/>
    <cellStyle name="Normal 5 17 12 2 8" xfId="34604" xr:uid="{00000000-0005-0000-0000-00002C870000}"/>
    <cellStyle name="Normal 5 17 12 2 9" xfId="34605" xr:uid="{00000000-0005-0000-0000-00002D870000}"/>
    <cellStyle name="Normal 5 17 12 3" xfId="34606" xr:uid="{00000000-0005-0000-0000-00002E870000}"/>
    <cellStyle name="Normal 5 17 12 3 10" xfId="34607" xr:uid="{00000000-0005-0000-0000-00002F870000}"/>
    <cellStyle name="Normal 5 17 12 3 2" xfId="34608" xr:uid="{00000000-0005-0000-0000-000030870000}"/>
    <cellStyle name="Normal 5 17 12 3 3" xfId="34609" xr:uid="{00000000-0005-0000-0000-000031870000}"/>
    <cellStyle name="Normal 5 17 12 3 4" xfId="34610" xr:uid="{00000000-0005-0000-0000-000032870000}"/>
    <cellStyle name="Normal 5 17 12 3 5" xfId="34611" xr:uid="{00000000-0005-0000-0000-000033870000}"/>
    <cellStyle name="Normal 5 17 12 3 6" xfId="34612" xr:uid="{00000000-0005-0000-0000-000034870000}"/>
    <cellStyle name="Normal 5 17 12 3 7" xfId="34613" xr:uid="{00000000-0005-0000-0000-000035870000}"/>
    <cellStyle name="Normal 5 17 12 3 8" xfId="34614" xr:uid="{00000000-0005-0000-0000-000036870000}"/>
    <cellStyle name="Normal 5 17 12 3 9" xfId="34615" xr:uid="{00000000-0005-0000-0000-000037870000}"/>
    <cellStyle name="Normal 5 17 12 4" xfId="34616" xr:uid="{00000000-0005-0000-0000-000038870000}"/>
    <cellStyle name="Normal 5 17 12 4 10" xfId="34617" xr:uid="{00000000-0005-0000-0000-000039870000}"/>
    <cellStyle name="Normal 5 17 12 4 2" xfId="34618" xr:uid="{00000000-0005-0000-0000-00003A870000}"/>
    <cellStyle name="Normal 5 17 12 4 3" xfId="34619" xr:uid="{00000000-0005-0000-0000-00003B870000}"/>
    <cellStyle name="Normal 5 17 12 4 4" xfId="34620" xr:uid="{00000000-0005-0000-0000-00003C870000}"/>
    <cellStyle name="Normal 5 17 12 4 5" xfId="34621" xr:uid="{00000000-0005-0000-0000-00003D870000}"/>
    <cellStyle name="Normal 5 17 12 4 6" xfId="34622" xr:uid="{00000000-0005-0000-0000-00003E870000}"/>
    <cellStyle name="Normal 5 17 12 4 7" xfId="34623" xr:uid="{00000000-0005-0000-0000-00003F870000}"/>
    <cellStyle name="Normal 5 17 12 4 8" xfId="34624" xr:uid="{00000000-0005-0000-0000-000040870000}"/>
    <cellStyle name="Normal 5 17 12 4 9" xfId="34625" xr:uid="{00000000-0005-0000-0000-000041870000}"/>
    <cellStyle name="Normal 5 17 12 5" xfId="34626" xr:uid="{00000000-0005-0000-0000-000042870000}"/>
    <cellStyle name="Normal 5 17 12 5 10" xfId="34627" xr:uid="{00000000-0005-0000-0000-000043870000}"/>
    <cellStyle name="Normal 5 17 12 5 2" xfId="34628" xr:uid="{00000000-0005-0000-0000-000044870000}"/>
    <cellStyle name="Normal 5 17 12 5 3" xfId="34629" xr:uid="{00000000-0005-0000-0000-000045870000}"/>
    <cellStyle name="Normal 5 17 12 5 4" xfId="34630" xr:uid="{00000000-0005-0000-0000-000046870000}"/>
    <cellStyle name="Normal 5 17 12 5 5" xfId="34631" xr:uid="{00000000-0005-0000-0000-000047870000}"/>
    <cellStyle name="Normal 5 17 12 5 6" xfId="34632" xr:uid="{00000000-0005-0000-0000-000048870000}"/>
    <cellStyle name="Normal 5 17 12 5 7" xfId="34633" xr:uid="{00000000-0005-0000-0000-000049870000}"/>
    <cellStyle name="Normal 5 17 12 5 8" xfId="34634" xr:uid="{00000000-0005-0000-0000-00004A870000}"/>
    <cellStyle name="Normal 5 17 12 5 9" xfId="34635" xr:uid="{00000000-0005-0000-0000-00004B870000}"/>
    <cellStyle name="Normal 5 17 12 6" xfId="34636" xr:uid="{00000000-0005-0000-0000-00004C870000}"/>
    <cellStyle name="Normal 5 17 12 7" xfId="34637" xr:uid="{00000000-0005-0000-0000-00004D870000}"/>
    <cellStyle name="Normal 5 17 12 8" xfId="34638" xr:uid="{00000000-0005-0000-0000-00004E870000}"/>
    <cellStyle name="Normal 5 17 12 9" xfId="34639" xr:uid="{00000000-0005-0000-0000-00004F870000}"/>
    <cellStyle name="Normal 5 17 13" xfId="34640" xr:uid="{00000000-0005-0000-0000-000050870000}"/>
    <cellStyle name="Normal 5 17 13 10" xfId="34641" xr:uid="{00000000-0005-0000-0000-000051870000}"/>
    <cellStyle name="Normal 5 17 13 11" xfId="34642" xr:uid="{00000000-0005-0000-0000-000052870000}"/>
    <cellStyle name="Normal 5 17 13 12" xfId="34643" xr:uid="{00000000-0005-0000-0000-000053870000}"/>
    <cellStyle name="Normal 5 17 13 13" xfId="34644" xr:uid="{00000000-0005-0000-0000-000054870000}"/>
    <cellStyle name="Normal 5 17 13 14" xfId="34645" xr:uid="{00000000-0005-0000-0000-000055870000}"/>
    <cellStyle name="Normal 5 17 13 2" xfId="34646" xr:uid="{00000000-0005-0000-0000-000056870000}"/>
    <cellStyle name="Normal 5 17 13 2 10" xfId="34647" xr:uid="{00000000-0005-0000-0000-000057870000}"/>
    <cellStyle name="Normal 5 17 13 2 2" xfId="34648" xr:uid="{00000000-0005-0000-0000-000058870000}"/>
    <cellStyle name="Normal 5 17 13 2 3" xfId="34649" xr:uid="{00000000-0005-0000-0000-000059870000}"/>
    <cellStyle name="Normal 5 17 13 2 4" xfId="34650" xr:uid="{00000000-0005-0000-0000-00005A870000}"/>
    <cellStyle name="Normal 5 17 13 2 5" xfId="34651" xr:uid="{00000000-0005-0000-0000-00005B870000}"/>
    <cellStyle name="Normal 5 17 13 2 6" xfId="34652" xr:uid="{00000000-0005-0000-0000-00005C870000}"/>
    <cellStyle name="Normal 5 17 13 2 7" xfId="34653" xr:uid="{00000000-0005-0000-0000-00005D870000}"/>
    <cellStyle name="Normal 5 17 13 2 8" xfId="34654" xr:uid="{00000000-0005-0000-0000-00005E870000}"/>
    <cellStyle name="Normal 5 17 13 2 9" xfId="34655" xr:uid="{00000000-0005-0000-0000-00005F870000}"/>
    <cellStyle name="Normal 5 17 13 3" xfId="34656" xr:uid="{00000000-0005-0000-0000-000060870000}"/>
    <cellStyle name="Normal 5 17 13 3 10" xfId="34657" xr:uid="{00000000-0005-0000-0000-000061870000}"/>
    <cellStyle name="Normal 5 17 13 3 2" xfId="34658" xr:uid="{00000000-0005-0000-0000-000062870000}"/>
    <cellStyle name="Normal 5 17 13 3 3" xfId="34659" xr:uid="{00000000-0005-0000-0000-000063870000}"/>
    <cellStyle name="Normal 5 17 13 3 4" xfId="34660" xr:uid="{00000000-0005-0000-0000-000064870000}"/>
    <cellStyle name="Normal 5 17 13 3 5" xfId="34661" xr:uid="{00000000-0005-0000-0000-000065870000}"/>
    <cellStyle name="Normal 5 17 13 3 6" xfId="34662" xr:uid="{00000000-0005-0000-0000-000066870000}"/>
    <cellStyle name="Normal 5 17 13 3 7" xfId="34663" xr:uid="{00000000-0005-0000-0000-000067870000}"/>
    <cellStyle name="Normal 5 17 13 3 8" xfId="34664" xr:uid="{00000000-0005-0000-0000-000068870000}"/>
    <cellStyle name="Normal 5 17 13 3 9" xfId="34665" xr:uid="{00000000-0005-0000-0000-000069870000}"/>
    <cellStyle name="Normal 5 17 13 4" xfId="34666" xr:uid="{00000000-0005-0000-0000-00006A870000}"/>
    <cellStyle name="Normal 5 17 13 4 10" xfId="34667" xr:uid="{00000000-0005-0000-0000-00006B870000}"/>
    <cellStyle name="Normal 5 17 13 4 2" xfId="34668" xr:uid="{00000000-0005-0000-0000-00006C870000}"/>
    <cellStyle name="Normal 5 17 13 4 3" xfId="34669" xr:uid="{00000000-0005-0000-0000-00006D870000}"/>
    <cellStyle name="Normal 5 17 13 4 4" xfId="34670" xr:uid="{00000000-0005-0000-0000-00006E870000}"/>
    <cellStyle name="Normal 5 17 13 4 5" xfId="34671" xr:uid="{00000000-0005-0000-0000-00006F870000}"/>
    <cellStyle name="Normal 5 17 13 4 6" xfId="34672" xr:uid="{00000000-0005-0000-0000-000070870000}"/>
    <cellStyle name="Normal 5 17 13 4 7" xfId="34673" xr:uid="{00000000-0005-0000-0000-000071870000}"/>
    <cellStyle name="Normal 5 17 13 4 8" xfId="34674" xr:uid="{00000000-0005-0000-0000-000072870000}"/>
    <cellStyle name="Normal 5 17 13 4 9" xfId="34675" xr:uid="{00000000-0005-0000-0000-000073870000}"/>
    <cellStyle name="Normal 5 17 13 5" xfId="34676" xr:uid="{00000000-0005-0000-0000-000074870000}"/>
    <cellStyle name="Normal 5 17 13 5 10" xfId="34677" xr:uid="{00000000-0005-0000-0000-000075870000}"/>
    <cellStyle name="Normal 5 17 13 5 2" xfId="34678" xr:uid="{00000000-0005-0000-0000-000076870000}"/>
    <cellStyle name="Normal 5 17 13 5 3" xfId="34679" xr:uid="{00000000-0005-0000-0000-000077870000}"/>
    <cellStyle name="Normal 5 17 13 5 4" xfId="34680" xr:uid="{00000000-0005-0000-0000-000078870000}"/>
    <cellStyle name="Normal 5 17 13 5 5" xfId="34681" xr:uid="{00000000-0005-0000-0000-000079870000}"/>
    <cellStyle name="Normal 5 17 13 5 6" xfId="34682" xr:uid="{00000000-0005-0000-0000-00007A870000}"/>
    <cellStyle name="Normal 5 17 13 5 7" xfId="34683" xr:uid="{00000000-0005-0000-0000-00007B870000}"/>
    <cellStyle name="Normal 5 17 13 5 8" xfId="34684" xr:uid="{00000000-0005-0000-0000-00007C870000}"/>
    <cellStyle name="Normal 5 17 13 5 9" xfId="34685" xr:uid="{00000000-0005-0000-0000-00007D870000}"/>
    <cellStyle name="Normal 5 17 13 6" xfId="34686" xr:uid="{00000000-0005-0000-0000-00007E870000}"/>
    <cellStyle name="Normal 5 17 13 7" xfId="34687" xr:uid="{00000000-0005-0000-0000-00007F870000}"/>
    <cellStyle name="Normal 5 17 13 8" xfId="34688" xr:uid="{00000000-0005-0000-0000-000080870000}"/>
    <cellStyle name="Normal 5 17 13 9" xfId="34689" xr:uid="{00000000-0005-0000-0000-000081870000}"/>
    <cellStyle name="Normal 5 17 14" xfId="34690" xr:uid="{00000000-0005-0000-0000-000082870000}"/>
    <cellStyle name="Normal 5 17 14 10" xfId="34691" xr:uid="{00000000-0005-0000-0000-000083870000}"/>
    <cellStyle name="Normal 5 17 14 11" xfId="34692" xr:uid="{00000000-0005-0000-0000-000084870000}"/>
    <cellStyle name="Normal 5 17 14 12" xfId="34693" xr:uid="{00000000-0005-0000-0000-000085870000}"/>
    <cellStyle name="Normal 5 17 14 13" xfId="34694" xr:uid="{00000000-0005-0000-0000-000086870000}"/>
    <cellStyle name="Normal 5 17 14 14" xfId="34695" xr:uid="{00000000-0005-0000-0000-000087870000}"/>
    <cellStyle name="Normal 5 17 14 2" xfId="34696" xr:uid="{00000000-0005-0000-0000-000088870000}"/>
    <cellStyle name="Normal 5 17 14 2 10" xfId="34697" xr:uid="{00000000-0005-0000-0000-000089870000}"/>
    <cellStyle name="Normal 5 17 14 2 2" xfId="34698" xr:uid="{00000000-0005-0000-0000-00008A870000}"/>
    <cellStyle name="Normal 5 17 14 2 3" xfId="34699" xr:uid="{00000000-0005-0000-0000-00008B870000}"/>
    <cellStyle name="Normal 5 17 14 2 4" xfId="34700" xr:uid="{00000000-0005-0000-0000-00008C870000}"/>
    <cellStyle name="Normal 5 17 14 2 5" xfId="34701" xr:uid="{00000000-0005-0000-0000-00008D870000}"/>
    <cellStyle name="Normal 5 17 14 2 6" xfId="34702" xr:uid="{00000000-0005-0000-0000-00008E870000}"/>
    <cellStyle name="Normal 5 17 14 2 7" xfId="34703" xr:uid="{00000000-0005-0000-0000-00008F870000}"/>
    <cellStyle name="Normal 5 17 14 2 8" xfId="34704" xr:uid="{00000000-0005-0000-0000-000090870000}"/>
    <cellStyle name="Normal 5 17 14 2 9" xfId="34705" xr:uid="{00000000-0005-0000-0000-000091870000}"/>
    <cellStyle name="Normal 5 17 14 3" xfId="34706" xr:uid="{00000000-0005-0000-0000-000092870000}"/>
    <cellStyle name="Normal 5 17 14 3 10" xfId="34707" xr:uid="{00000000-0005-0000-0000-000093870000}"/>
    <cellStyle name="Normal 5 17 14 3 2" xfId="34708" xr:uid="{00000000-0005-0000-0000-000094870000}"/>
    <cellStyle name="Normal 5 17 14 3 3" xfId="34709" xr:uid="{00000000-0005-0000-0000-000095870000}"/>
    <cellStyle name="Normal 5 17 14 3 4" xfId="34710" xr:uid="{00000000-0005-0000-0000-000096870000}"/>
    <cellStyle name="Normal 5 17 14 3 5" xfId="34711" xr:uid="{00000000-0005-0000-0000-000097870000}"/>
    <cellStyle name="Normal 5 17 14 3 6" xfId="34712" xr:uid="{00000000-0005-0000-0000-000098870000}"/>
    <cellStyle name="Normal 5 17 14 3 7" xfId="34713" xr:uid="{00000000-0005-0000-0000-000099870000}"/>
    <cellStyle name="Normal 5 17 14 3 8" xfId="34714" xr:uid="{00000000-0005-0000-0000-00009A870000}"/>
    <cellStyle name="Normal 5 17 14 3 9" xfId="34715" xr:uid="{00000000-0005-0000-0000-00009B870000}"/>
    <cellStyle name="Normal 5 17 14 4" xfId="34716" xr:uid="{00000000-0005-0000-0000-00009C870000}"/>
    <cellStyle name="Normal 5 17 14 4 10" xfId="34717" xr:uid="{00000000-0005-0000-0000-00009D870000}"/>
    <cellStyle name="Normal 5 17 14 4 2" xfId="34718" xr:uid="{00000000-0005-0000-0000-00009E870000}"/>
    <cellStyle name="Normal 5 17 14 4 3" xfId="34719" xr:uid="{00000000-0005-0000-0000-00009F870000}"/>
    <cellStyle name="Normal 5 17 14 4 4" xfId="34720" xr:uid="{00000000-0005-0000-0000-0000A0870000}"/>
    <cellStyle name="Normal 5 17 14 4 5" xfId="34721" xr:uid="{00000000-0005-0000-0000-0000A1870000}"/>
    <cellStyle name="Normal 5 17 14 4 6" xfId="34722" xr:uid="{00000000-0005-0000-0000-0000A2870000}"/>
    <cellStyle name="Normal 5 17 14 4 7" xfId="34723" xr:uid="{00000000-0005-0000-0000-0000A3870000}"/>
    <cellStyle name="Normal 5 17 14 4 8" xfId="34724" xr:uid="{00000000-0005-0000-0000-0000A4870000}"/>
    <cellStyle name="Normal 5 17 14 4 9" xfId="34725" xr:uid="{00000000-0005-0000-0000-0000A5870000}"/>
    <cellStyle name="Normal 5 17 14 5" xfId="34726" xr:uid="{00000000-0005-0000-0000-0000A6870000}"/>
    <cellStyle name="Normal 5 17 14 5 10" xfId="34727" xr:uid="{00000000-0005-0000-0000-0000A7870000}"/>
    <cellStyle name="Normal 5 17 14 5 2" xfId="34728" xr:uid="{00000000-0005-0000-0000-0000A8870000}"/>
    <cellStyle name="Normal 5 17 14 5 3" xfId="34729" xr:uid="{00000000-0005-0000-0000-0000A9870000}"/>
    <cellStyle name="Normal 5 17 14 5 4" xfId="34730" xr:uid="{00000000-0005-0000-0000-0000AA870000}"/>
    <cellStyle name="Normal 5 17 14 5 5" xfId="34731" xr:uid="{00000000-0005-0000-0000-0000AB870000}"/>
    <cellStyle name="Normal 5 17 14 5 6" xfId="34732" xr:uid="{00000000-0005-0000-0000-0000AC870000}"/>
    <cellStyle name="Normal 5 17 14 5 7" xfId="34733" xr:uid="{00000000-0005-0000-0000-0000AD870000}"/>
    <cellStyle name="Normal 5 17 14 5 8" xfId="34734" xr:uid="{00000000-0005-0000-0000-0000AE870000}"/>
    <cellStyle name="Normal 5 17 14 5 9" xfId="34735" xr:uid="{00000000-0005-0000-0000-0000AF870000}"/>
    <cellStyle name="Normal 5 17 14 6" xfId="34736" xr:uid="{00000000-0005-0000-0000-0000B0870000}"/>
    <cellStyle name="Normal 5 17 14 7" xfId="34737" xr:uid="{00000000-0005-0000-0000-0000B1870000}"/>
    <cellStyle name="Normal 5 17 14 8" xfId="34738" xr:uid="{00000000-0005-0000-0000-0000B2870000}"/>
    <cellStyle name="Normal 5 17 14 9" xfId="34739" xr:uid="{00000000-0005-0000-0000-0000B3870000}"/>
    <cellStyle name="Normal 5 17 15" xfId="34740" xr:uid="{00000000-0005-0000-0000-0000B4870000}"/>
    <cellStyle name="Normal 5 17 15 10" xfId="34741" xr:uid="{00000000-0005-0000-0000-0000B5870000}"/>
    <cellStyle name="Normal 5 17 15 11" xfId="34742" xr:uid="{00000000-0005-0000-0000-0000B6870000}"/>
    <cellStyle name="Normal 5 17 15 12" xfId="34743" xr:uid="{00000000-0005-0000-0000-0000B7870000}"/>
    <cellStyle name="Normal 5 17 15 13" xfId="34744" xr:uid="{00000000-0005-0000-0000-0000B8870000}"/>
    <cellStyle name="Normal 5 17 15 14" xfId="34745" xr:uid="{00000000-0005-0000-0000-0000B9870000}"/>
    <cellStyle name="Normal 5 17 15 2" xfId="34746" xr:uid="{00000000-0005-0000-0000-0000BA870000}"/>
    <cellStyle name="Normal 5 17 15 2 10" xfId="34747" xr:uid="{00000000-0005-0000-0000-0000BB870000}"/>
    <cellStyle name="Normal 5 17 15 2 2" xfId="34748" xr:uid="{00000000-0005-0000-0000-0000BC870000}"/>
    <cellStyle name="Normal 5 17 15 2 3" xfId="34749" xr:uid="{00000000-0005-0000-0000-0000BD870000}"/>
    <cellStyle name="Normal 5 17 15 2 4" xfId="34750" xr:uid="{00000000-0005-0000-0000-0000BE870000}"/>
    <cellStyle name="Normal 5 17 15 2 5" xfId="34751" xr:uid="{00000000-0005-0000-0000-0000BF870000}"/>
    <cellStyle name="Normal 5 17 15 2 6" xfId="34752" xr:uid="{00000000-0005-0000-0000-0000C0870000}"/>
    <cellStyle name="Normal 5 17 15 2 7" xfId="34753" xr:uid="{00000000-0005-0000-0000-0000C1870000}"/>
    <cellStyle name="Normal 5 17 15 2 8" xfId="34754" xr:uid="{00000000-0005-0000-0000-0000C2870000}"/>
    <cellStyle name="Normal 5 17 15 2 9" xfId="34755" xr:uid="{00000000-0005-0000-0000-0000C3870000}"/>
    <cellStyle name="Normal 5 17 15 3" xfId="34756" xr:uid="{00000000-0005-0000-0000-0000C4870000}"/>
    <cellStyle name="Normal 5 17 15 3 10" xfId="34757" xr:uid="{00000000-0005-0000-0000-0000C5870000}"/>
    <cellStyle name="Normal 5 17 15 3 2" xfId="34758" xr:uid="{00000000-0005-0000-0000-0000C6870000}"/>
    <cellStyle name="Normal 5 17 15 3 3" xfId="34759" xr:uid="{00000000-0005-0000-0000-0000C7870000}"/>
    <cellStyle name="Normal 5 17 15 3 4" xfId="34760" xr:uid="{00000000-0005-0000-0000-0000C8870000}"/>
    <cellStyle name="Normal 5 17 15 3 5" xfId="34761" xr:uid="{00000000-0005-0000-0000-0000C9870000}"/>
    <cellStyle name="Normal 5 17 15 3 6" xfId="34762" xr:uid="{00000000-0005-0000-0000-0000CA870000}"/>
    <cellStyle name="Normal 5 17 15 3 7" xfId="34763" xr:uid="{00000000-0005-0000-0000-0000CB870000}"/>
    <cellStyle name="Normal 5 17 15 3 8" xfId="34764" xr:uid="{00000000-0005-0000-0000-0000CC870000}"/>
    <cellStyle name="Normal 5 17 15 3 9" xfId="34765" xr:uid="{00000000-0005-0000-0000-0000CD870000}"/>
    <cellStyle name="Normal 5 17 15 4" xfId="34766" xr:uid="{00000000-0005-0000-0000-0000CE870000}"/>
    <cellStyle name="Normal 5 17 15 4 10" xfId="34767" xr:uid="{00000000-0005-0000-0000-0000CF870000}"/>
    <cellStyle name="Normal 5 17 15 4 2" xfId="34768" xr:uid="{00000000-0005-0000-0000-0000D0870000}"/>
    <cellStyle name="Normal 5 17 15 4 3" xfId="34769" xr:uid="{00000000-0005-0000-0000-0000D1870000}"/>
    <cellStyle name="Normal 5 17 15 4 4" xfId="34770" xr:uid="{00000000-0005-0000-0000-0000D2870000}"/>
    <cellStyle name="Normal 5 17 15 4 5" xfId="34771" xr:uid="{00000000-0005-0000-0000-0000D3870000}"/>
    <cellStyle name="Normal 5 17 15 4 6" xfId="34772" xr:uid="{00000000-0005-0000-0000-0000D4870000}"/>
    <cellStyle name="Normal 5 17 15 4 7" xfId="34773" xr:uid="{00000000-0005-0000-0000-0000D5870000}"/>
    <cellStyle name="Normal 5 17 15 4 8" xfId="34774" xr:uid="{00000000-0005-0000-0000-0000D6870000}"/>
    <cellStyle name="Normal 5 17 15 4 9" xfId="34775" xr:uid="{00000000-0005-0000-0000-0000D7870000}"/>
    <cellStyle name="Normal 5 17 15 5" xfId="34776" xr:uid="{00000000-0005-0000-0000-0000D8870000}"/>
    <cellStyle name="Normal 5 17 15 5 10" xfId="34777" xr:uid="{00000000-0005-0000-0000-0000D9870000}"/>
    <cellStyle name="Normal 5 17 15 5 2" xfId="34778" xr:uid="{00000000-0005-0000-0000-0000DA870000}"/>
    <cellStyle name="Normal 5 17 15 5 3" xfId="34779" xr:uid="{00000000-0005-0000-0000-0000DB870000}"/>
    <cellStyle name="Normal 5 17 15 5 4" xfId="34780" xr:uid="{00000000-0005-0000-0000-0000DC870000}"/>
    <cellStyle name="Normal 5 17 15 5 5" xfId="34781" xr:uid="{00000000-0005-0000-0000-0000DD870000}"/>
    <cellStyle name="Normal 5 17 15 5 6" xfId="34782" xr:uid="{00000000-0005-0000-0000-0000DE870000}"/>
    <cellStyle name="Normal 5 17 15 5 7" xfId="34783" xr:uid="{00000000-0005-0000-0000-0000DF870000}"/>
    <cellStyle name="Normal 5 17 15 5 8" xfId="34784" xr:uid="{00000000-0005-0000-0000-0000E0870000}"/>
    <cellStyle name="Normal 5 17 15 5 9" xfId="34785" xr:uid="{00000000-0005-0000-0000-0000E1870000}"/>
    <cellStyle name="Normal 5 17 15 6" xfId="34786" xr:uid="{00000000-0005-0000-0000-0000E2870000}"/>
    <cellStyle name="Normal 5 17 15 7" xfId="34787" xr:uid="{00000000-0005-0000-0000-0000E3870000}"/>
    <cellStyle name="Normal 5 17 15 8" xfId="34788" xr:uid="{00000000-0005-0000-0000-0000E4870000}"/>
    <cellStyle name="Normal 5 17 15 9" xfId="34789" xr:uid="{00000000-0005-0000-0000-0000E5870000}"/>
    <cellStyle name="Normal 5 17 16" xfId="34790" xr:uid="{00000000-0005-0000-0000-0000E6870000}"/>
    <cellStyle name="Normal 5 17 16 10" xfId="34791" xr:uid="{00000000-0005-0000-0000-0000E7870000}"/>
    <cellStyle name="Normal 5 17 16 11" xfId="34792" xr:uid="{00000000-0005-0000-0000-0000E8870000}"/>
    <cellStyle name="Normal 5 17 16 12" xfId="34793" xr:uid="{00000000-0005-0000-0000-0000E9870000}"/>
    <cellStyle name="Normal 5 17 16 13" xfId="34794" xr:uid="{00000000-0005-0000-0000-0000EA870000}"/>
    <cellStyle name="Normal 5 17 16 14" xfId="34795" xr:uid="{00000000-0005-0000-0000-0000EB870000}"/>
    <cellStyle name="Normal 5 17 16 2" xfId="34796" xr:uid="{00000000-0005-0000-0000-0000EC870000}"/>
    <cellStyle name="Normal 5 17 16 2 10" xfId="34797" xr:uid="{00000000-0005-0000-0000-0000ED870000}"/>
    <cellStyle name="Normal 5 17 16 2 2" xfId="34798" xr:uid="{00000000-0005-0000-0000-0000EE870000}"/>
    <cellStyle name="Normal 5 17 16 2 3" xfId="34799" xr:uid="{00000000-0005-0000-0000-0000EF870000}"/>
    <cellStyle name="Normal 5 17 16 2 4" xfId="34800" xr:uid="{00000000-0005-0000-0000-0000F0870000}"/>
    <cellStyle name="Normal 5 17 16 2 5" xfId="34801" xr:uid="{00000000-0005-0000-0000-0000F1870000}"/>
    <cellStyle name="Normal 5 17 16 2 6" xfId="34802" xr:uid="{00000000-0005-0000-0000-0000F2870000}"/>
    <cellStyle name="Normal 5 17 16 2 7" xfId="34803" xr:uid="{00000000-0005-0000-0000-0000F3870000}"/>
    <cellStyle name="Normal 5 17 16 2 8" xfId="34804" xr:uid="{00000000-0005-0000-0000-0000F4870000}"/>
    <cellStyle name="Normal 5 17 16 2 9" xfId="34805" xr:uid="{00000000-0005-0000-0000-0000F5870000}"/>
    <cellStyle name="Normal 5 17 16 3" xfId="34806" xr:uid="{00000000-0005-0000-0000-0000F6870000}"/>
    <cellStyle name="Normal 5 17 16 3 10" xfId="34807" xr:uid="{00000000-0005-0000-0000-0000F7870000}"/>
    <cellStyle name="Normal 5 17 16 3 2" xfId="34808" xr:uid="{00000000-0005-0000-0000-0000F8870000}"/>
    <cellStyle name="Normal 5 17 16 3 3" xfId="34809" xr:uid="{00000000-0005-0000-0000-0000F9870000}"/>
    <cellStyle name="Normal 5 17 16 3 4" xfId="34810" xr:uid="{00000000-0005-0000-0000-0000FA870000}"/>
    <cellStyle name="Normal 5 17 16 3 5" xfId="34811" xr:uid="{00000000-0005-0000-0000-0000FB870000}"/>
    <cellStyle name="Normal 5 17 16 3 6" xfId="34812" xr:uid="{00000000-0005-0000-0000-0000FC870000}"/>
    <cellStyle name="Normal 5 17 16 3 7" xfId="34813" xr:uid="{00000000-0005-0000-0000-0000FD870000}"/>
    <cellStyle name="Normal 5 17 16 3 8" xfId="34814" xr:uid="{00000000-0005-0000-0000-0000FE870000}"/>
    <cellStyle name="Normal 5 17 16 3 9" xfId="34815" xr:uid="{00000000-0005-0000-0000-0000FF870000}"/>
    <cellStyle name="Normal 5 17 16 4" xfId="34816" xr:uid="{00000000-0005-0000-0000-000000880000}"/>
    <cellStyle name="Normal 5 17 16 4 10" xfId="34817" xr:uid="{00000000-0005-0000-0000-000001880000}"/>
    <cellStyle name="Normal 5 17 16 4 2" xfId="34818" xr:uid="{00000000-0005-0000-0000-000002880000}"/>
    <cellStyle name="Normal 5 17 16 4 3" xfId="34819" xr:uid="{00000000-0005-0000-0000-000003880000}"/>
    <cellStyle name="Normal 5 17 16 4 4" xfId="34820" xr:uid="{00000000-0005-0000-0000-000004880000}"/>
    <cellStyle name="Normal 5 17 16 4 5" xfId="34821" xr:uid="{00000000-0005-0000-0000-000005880000}"/>
    <cellStyle name="Normal 5 17 16 4 6" xfId="34822" xr:uid="{00000000-0005-0000-0000-000006880000}"/>
    <cellStyle name="Normal 5 17 16 4 7" xfId="34823" xr:uid="{00000000-0005-0000-0000-000007880000}"/>
    <cellStyle name="Normal 5 17 16 4 8" xfId="34824" xr:uid="{00000000-0005-0000-0000-000008880000}"/>
    <cellStyle name="Normal 5 17 16 4 9" xfId="34825" xr:uid="{00000000-0005-0000-0000-000009880000}"/>
    <cellStyle name="Normal 5 17 16 5" xfId="34826" xr:uid="{00000000-0005-0000-0000-00000A880000}"/>
    <cellStyle name="Normal 5 17 16 5 10" xfId="34827" xr:uid="{00000000-0005-0000-0000-00000B880000}"/>
    <cellStyle name="Normal 5 17 16 5 2" xfId="34828" xr:uid="{00000000-0005-0000-0000-00000C880000}"/>
    <cellStyle name="Normal 5 17 16 5 3" xfId="34829" xr:uid="{00000000-0005-0000-0000-00000D880000}"/>
    <cellStyle name="Normal 5 17 16 5 4" xfId="34830" xr:uid="{00000000-0005-0000-0000-00000E880000}"/>
    <cellStyle name="Normal 5 17 16 5 5" xfId="34831" xr:uid="{00000000-0005-0000-0000-00000F880000}"/>
    <cellStyle name="Normal 5 17 16 5 6" xfId="34832" xr:uid="{00000000-0005-0000-0000-000010880000}"/>
    <cellStyle name="Normal 5 17 16 5 7" xfId="34833" xr:uid="{00000000-0005-0000-0000-000011880000}"/>
    <cellStyle name="Normal 5 17 16 5 8" xfId="34834" xr:uid="{00000000-0005-0000-0000-000012880000}"/>
    <cellStyle name="Normal 5 17 16 5 9" xfId="34835" xr:uid="{00000000-0005-0000-0000-000013880000}"/>
    <cellStyle name="Normal 5 17 16 6" xfId="34836" xr:uid="{00000000-0005-0000-0000-000014880000}"/>
    <cellStyle name="Normal 5 17 16 7" xfId="34837" xr:uid="{00000000-0005-0000-0000-000015880000}"/>
    <cellStyle name="Normal 5 17 16 8" xfId="34838" xr:uid="{00000000-0005-0000-0000-000016880000}"/>
    <cellStyle name="Normal 5 17 16 9" xfId="34839" xr:uid="{00000000-0005-0000-0000-000017880000}"/>
    <cellStyle name="Normal 5 17 17" xfId="34840" xr:uid="{00000000-0005-0000-0000-000018880000}"/>
    <cellStyle name="Normal 5 17 17 10" xfId="34841" xr:uid="{00000000-0005-0000-0000-000019880000}"/>
    <cellStyle name="Normal 5 17 17 11" xfId="34842" xr:uid="{00000000-0005-0000-0000-00001A880000}"/>
    <cellStyle name="Normal 5 17 17 12" xfId="34843" xr:uid="{00000000-0005-0000-0000-00001B880000}"/>
    <cellStyle name="Normal 5 17 17 13" xfId="34844" xr:uid="{00000000-0005-0000-0000-00001C880000}"/>
    <cellStyle name="Normal 5 17 17 14" xfId="34845" xr:uid="{00000000-0005-0000-0000-00001D880000}"/>
    <cellStyle name="Normal 5 17 17 2" xfId="34846" xr:uid="{00000000-0005-0000-0000-00001E880000}"/>
    <cellStyle name="Normal 5 17 17 2 10" xfId="34847" xr:uid="{00000000-0005-0000-0000-00001F880000}"/>
    <cellStyle name="Normal 5 17 17 2 2" xfId="34848" xr:uid="{00000000-0005-0000-0000-000020880000}"/>
    <cellStyle name="Normal 5 17 17 2 3" xfId="34849" xr:uid="{00000000-0005-0000-0000-000021880000}"/>
    <cellStyle name="Normal 5 17 17 2 4" xfId="34850" xr:uid="{00000000-0005-0000-0000-000022880000}"/>
    <cellStyle name="Normal 5 17 17 2 5" xfId="34851" xr:uid="{00000000-0005-0000-0000-000023880000}"/>
    <cellStyle name="Normal 5 17 17 2 6" xfId="34852" xr:uid="{00000000-0005-0000-0000-000024880000}"/>
    <cellStyle name="Normal 5 17 17 2 7" xfId="34853" xr:uid="{00000000-0005-0000-0000-000025880000}"/>
    <cellStyle name="Normal 5 17 17 2 8" xfId="34854" xr:uid="{00000000-0005-0000-0000-000026880000}"/>
    <cellStyle name="Normal 5 17 17 2 9" xfId="34855" xr:uid="{00000000-0005-0000-0000-000027880000}"/>
    <cellStyle name="Normal 5 17 17 3" xfId="34856" xr:uid="{00000000-0005-0000-0000-000028880000}"/>
    <cellStyle name="Normal 5 17 17 3 10" xfId="34857" xr:uid="{00000000-0005-0000-0000-000029880000}"/>
    <cellStyle name="Normal 5 17 17 3 2" xfId="34858" xr:uid="{00000000-0005-0000-0000-00002A880000}"/>
    <cellStyle name="Normal 5 17 17 3 3" xfId="34859" xr:uid="{00000000-0005-0000-0000-00002B880000}"/>
    <cellStyle name="Normal 5 17 17 3 4" xfId="34860" xr:uid="{00000000-0005-0000-0000-00002C880000}"/>
    <cellStyle name="Normal 5 17 17 3 5" xfId="34861" xr:uid="{00000000-0005-0000-0000-00002D880000}"/>
    <cellStyle name="Normal 5 17 17 3 6" xfId="34862" xr:uid="{00000000-0005-0000-0000-00002E880000}"/>
    <cellStyle name="Normal 5 17 17 3 7" xfId="34863" xr:uid="{00000000-0005-0000-0000-00002F880000}"/>
    <cellStyle name="Normal 5 17 17 3 8" xfId="34864" xr:uid="{00000000-0005-0000-0000-000030880000}"/>
    <cellStyle name="Normal 5 17 17 3 9" xfId="34865" xr:uid="{00000000-0005-0000-0000-000031880000}"/>
    <cellStyle name="Normal 5 17 17 4" xfId="34866" xr:uid="{00000000-0005-0000-0000-000032880000}"/>
    <cellStyle name="Normal 5 17 17 4 10" xfId="34867" xr:uid="{00000000-0005-0000-0000-000033880000}"/>
    <cellStyle name="Normal 5 17 17 4 2" xfId="34868" xr:uid="{00000000-0005-0000-0000-000034880000}"/>
    <cellStyle name="Normal 5 17 17 4 3" xfId="34869" xr:uid="{00000000-0005-0000-0000-000035880000}"/>
    <cellStyle name="Normal 5 17 17 4 4" xfId="34870" xr:uid="{00000000-0005-0000-0000-000036880000}"/>
    <cellStyle name="Normal 5 17 17 4 5" xfId="34871" xr:uid="{00000000-0005-0000-0000-000037880000}"/>
    <cellStyle name="Normal 5 17 17 4 6" xfId="34872" xr:uid="{00000000-0005-0000-0000-000038880000}"/>
    <cellStyle name="Normal 5 17 17 4 7" xfId="34873" xr:uid="{00000000-0005-0000-0000-000039880000}"/>
    <cellStyle name="Normal 5 17 17 4 8" xfId="34874" xr:uid="{00000000-0005-0000-0000-00003A880000}"/>
    <cellStyle name="Normal 5 17 17 4 9" xfId="34875" xr:uid="{00000000-0005-0000-0000-00003B880000}"/>
    <cellStyle name="Normal 5 17 17 5" xfId="34876" xr:uid="{00000000-0005-0000-0000-00003C880000}"/>
    <cellStyle name="Normal 5 17 17 5 10" xfId="34877" xr:uid="{00000000-0005-0000-0000-00003D880000}"/>
    <cellStyle name="Normal 5 17 17 5 2" xfId="34878" xr:uid="{00000000-0005-0000-0000-00003E880000}"/>
    <cellStyle name="Normal 5 17 17 5 3" xfId="34879" xr:uid="{00000000-0005-0000-0000-00003F880000}"/>
    <cellStyle name="Normal 5 17 17 5 4" xfId="34880" xr:uid="{00000000-0005-0000-0000-000040880000}"/>
    <cellStyle name="Normal 5 17 17 5 5" xfId="34881" xr:uid="{00000000-0005-0000-0000-000041880000}"/>
    <cellStyle name="Normal 5 17 17 5 6" xfId="34882" xr:uid="{00000000-0005-0000-0000-000042880000}"/>
    <cellStyle name="Normal 5 17 17 5 7" xfId="34883" xr:uid="{00000000-0005-0000-0000-000043880000}"/>
    <cellStyle name="Normal 5 17 17 5 8" xfId="34884" xr:uid="{00000000-0005-0000-0000-000044880000}"/>
    <cellStyle name="Normal 5 17 17 5 9" xfId="34885" xr:uid="{00000000-0005-0000-0000-000045880000}"/>
    <cellStyle name="Normal 5 17 17 6" xfId="34886" xr:uid="{00000000-0005-0000-0000-000046880000}"/>
    <cellStyle name="Normal 5 17 17 7" xfId="34887" xr:uid="{00000000-0005-0000-0000-000047880000}"/>
    <cellStyle name="Normal 5 17 17 8" xfId="34888" xr:uid="{00000000-0005-0000-0000-000048880000}"/>
    <cellStyle name="Normal 5 17 17 9" xfId="34889" xr:uid="{00000000-0005-0000-0000-000049880000}"/>
    <cellStyle name="Normal 5 17 18" xfId="34890" xr:uid="{00000000-0005-0000-0000-00004A880000}"/>
    <cellStyle name="Normal 5 17 18 10" xfId="34891" xr:uid="{00000000-0005-0000-0000-00004B880000}"/>
    <cellStyle name="Normal 5 17 18 11" xfId="34892" xr:uid="{00000000-0005-0000-0000-00004C880000}"/>
    <cellStyle name="Normal 5 17 18 12" xfId="34893" xr:uid="{00000000-0005-0000-0000-00004D880000}"/>
    <cellStyle name="Normal 5 17 18 13" xfId="34894" xr:uid="{00000000-0005-0000-0000-00004E880000}"/>
    <cellStyle name="Normal 5 17 18 14" xfId="34895" xr:uid="{00000000-0005-0000-0000-00004F880000}"/>
    <cellStyle name="Normal 5 17 18 2" xfId="34896" xr:uid="{00000000-0005-0000-0000-000050880000}"/>
    <cellStyle name="Normal 5 17 18 2 10" xfId="34897" xr:uid="{00000000-0005-0000-0000-000051880000}"/>
    <cellStyle name="Normal 5 17 18 2 2" xfId="34898" xr:uid="{00000000-0005-0000-0000-000052880000}"/>
    <cellStyle name="Normal 5 17 18 2 3" xfId="34899" xr:uid="{00000000-0005-0000-0000-000053880000}"/>
    <cellStyle name="Normal 5 17 18 2 4" xfId="34900" xr:uid="{00000000-0005-0000-0000-000054880000}"/>
    <cellStyle name="Normal 5 17 18 2 5" xfId="34901" xr:uid="{00000000-0005-0000-0000-000055880000}"/>
    <cellStyle name="Normal 5 17 18 2 6" xfId="34902" xr:uid="{00000000-0005-0000-0000-000056880000}"/>
    <cellStyle name="Normal 5 17 18 2 7" xfId="34903" xr:uid="{00000000-0005-0000-0000-000057880000}"/>
    <cellStyle name="Normal 5 17 18 2 8" xfId="34904" xr:uid="{00000000-0005-0000-0000-000058880000}"/>
    <cellStyle name="Normal 5 17 18 2 9" xfId="34905" xr:uid="{00000000-0005-0000-0000-000059880000}"/>
    <cellStyle name="Normal 5 17 18 3" xfId="34906" xr:uid="{00000000-0005-0000-0000-00005A880000}"/>
    <cellStyle name="Normal 5 17 18 3 10" xfId="34907" xr:uid="{00000000-0005-0000-0000-00005B880000}"/>
    <cellStyle name="Normal 5 17 18 3 2" xfId="34908" xr:uid="{00000000-0005-0000-0000-00005C880000}"/>
    <cellStyle name="Normal 5 17 18 3 3" xfId="34909" xr:uid="{00000000-0005-0000-0000-00005D880000}"/>
    <cellStyle name="Normal 5 17 18 3 4" xfId="34910" xr:uid="{00000000-0005-0000-0000-00005E880000}"/>
    <cellStyle name="Normal 5 17 18 3 5" xfId="34911" xr:uid="{00000000-0005-0000-0000-00005F880000}"/>
    <cellStyle name="Normal 5 17 18 3 6" xfId="34912" xr:uid="{00000000-0005-0000-0000-000060880000}"/>
    <cellStyle name="Normal 5 17 18 3 7" xfId="34913" xr:uid="{00000000-0005-0000-0000-000061880000}"/>
    <cellStyle name="Normal 5 17 18 3 8" xfId="34914" xr:uid="{00000000-0005-0000-0000-000062880000}"/>
    <cellStyle name="Normal 5 17 18 3 9" xfId="34915" xr:uid="{00000000-0005-0000-0000-000063880000}"/>
    <cellStyle name="Normal 5 17 18 4" xfId="34916" xr:uid="{00000000-0005-0000-0000-000064880000}"/>
    <cellStyle name="Normal 5 17 18 4 10" xfId="34917" xr:uid="{00000000-0005-0000-0000-000065880000}"/>
    <cellStyle name="Normal 5 17 18 4 2" xfId="34918" xr:uid="{00000000-0005-0000-0000-000066880000}"/>
    <cellStyle name="Normal 5 17 18 4 3" xfId="34919" xr:uid="{00000000-0005-0000-0000-000067880000}"/>
    <cellStyle name="Normal 5 17 18 4 4" xfId="34920" xr:uid="{00000000-0005-0000-0000-000068880000}"/>
    <cellStyle name="Normal 5 17 18 4 5" xfId="34921" xr:uid="{00000000-0005-0000-0000-000069880000}"/>
    <cellStyle name="Normal 5 17 18 4 6" xfId="34922" xr:uid="{00000000-0005-0000-0000-00006A880000}"/>
    <cellStyle name="Normal 5 17 18 4 7" xfId="34923" xr:uid="{00000000-0005-0000-0000-00006B880000}"/>
    <cellStyle name="Normal 5 17 18 4 8" xfId="34924" xr:uid="{00000000-0005-0000-0000-00006C880000}"/>
    <cellStyle name="Normal 5 17 18 4 9" xfId="34925" xr:uid="{00000000-0005-0000-0000-00006D880000}"/>
    <cellStyle name="Normal 5 17 18 5" xfId="34926" xr:uid="{00000000-0005-0000-0000-00006E880000}"/>
    <cellStyle name="Normal 5 17 18 5 10" xfId="34927" xr:uid="{00000000-0005-0000-0000-00006F880000}"/>
    <cellStyle name="Normal 5 17 18 5 2" xfId="34928" xr:uid="{00000000-0005-0000-0000-000070880000}"/>
    <cellStyle name="Normal 5 17 18 5 3" xfId="34929" xr:uid="{00000000-0005-0000-0000-000071880000}"/>
    <cellStyle name="Normal 5 17 18 5 4" xfId="34930" xr:uid="{00000000-0005-0000-0000-000072880000}"/>
    <cellStyle name="Normal 5 17 18 5 5" xfId="34931" xr:uid="{00000000-0005-0000-0000-000073880000}"/>
    <cellStyle name="Normal 5 17 18 5 6" xfId="34932" xr:uid="{00000000-0005-0000-0000-000074880000}"/>
    <cellStyle name="Normal 5 17 18 5 7" xfId="34933" xr:uid="{00000000-0005-0000-0000-000075880000}"/>
    <cellStyle name="Normal 5 17 18 5 8" xfId="34934" xr:uid="{00000000-0005-0000-0000-000076880000}"/>
    <cellStyle name="Normal 5 17 18 5 9" xfId="34935" xr:uid="{00000000-0005-0000-0000-000077880000}"/>
    <cellStyle name="Normal 5 17 18 6" xfId="34936" xr:uid="{00000000-0005-0000-0000-000078880000}"/>
    <cellStyle name="Normal 5 17 18 7" xfId="34937" xr:uid="{00000000-0005-0000-0000-000079880000}"/>
    <cellStyle name="Normal 5 17 18 8" xfId="34938" xr:uid="{00000000-0005-0000-0000-00007A880000}"/>
    <cellStyle name="Normal 5 17 18 9" xfId="34939" xr:uid="{00000000-0005-0000-0000-00007B880000}"/>
    <cellStyle name="Normal 5 17 19" xfId="34940" xr:uid="{00000000-0005-0000-0000-00007C880000}"/>
    <cellStyle name="Normal 5 17 19 10" xfId="34941" xr:uid="{00000000-0005-0000-0000-00007D880000}"/>
    <cellStyle name="Normal 5 17 19 11" xfId="34942" xr:uid="{00000000-0005-0000-0000-00007E880000}"/>
    <cellStyle name="Normal 5 17 19 12" xfId="34943" xr:uid="{00000000-0005-0000-0000-00007F880000}"/>
    <cellStyle name="Normal 5 17 19 13" xfId="34944" xr:uid="{00000000-0005-0000-0000-000080880000}"/>
    <cellStyle name="Normal 5 17 19 14" xfId="34945" xr:uid="{00000000-0005-0000-0000-000081880000}"/>
    <cellStyle name="Normal 5 17 19 2" xfId="34946" xr:uid="{00000000-0005-0000-0000-000082880000}"/>
    <cellStyle name="Normal 5 17 19 2 10" xfId="34947" xr:uid="{00000000-0005-0000-0000-000083880000}"/>
    <cellStyle name="Normal 5 17 19 2 2" xfId="34948" xr:uid="{00000000-0005-0000-0000-000084880000}"/>
    <cellStyle name="Normal 5 17 19 2 3" xfId="34949" xr:uid="{00000000-0005-0000-0000-000085880000}"/>
    <cellStyle name="Normal 5 17 19 2 4" xfId="34950" xr:uid="{00000000-0005-0000-0000-000086880000}"/>
    <cellStyle name="Normal 5 17 19 2 5" xfId="34951" xr:uid="{00000000-0005-0000-0000-000087880000}"/>
    <cellStyle name="Normal 5 17 19 2 6" xfId="34952" xr:uid="{00000000-0005-0000-0000-000088880000}"/>
    <cellStyle name="Normal 5 17 19 2 7" xfId="34953" xr:uid="{00000000-0005-0000-0000-000089880000}"/>
    <cellStyle name="Normal 5 17 19 2 8" xfId="34954" xr:uid="{00000000-0005-0000-0000-00008A880000}"/>
    <cellStyle name="Normal 5 17 19 2 9" xfId="34955" xr:uid="{00000000-0005-0000-0000-00008B880000}"/>
    <cellStyle name="Normal 5 17 19 3" xfId="34956" xr:uid="{00000000-0005-0000-0000-00008C880000}"/>
    <cellStyle name="Normal 5 17 19 3 10" xfId="34957" xr:uid="{00000000-0005-0000-0000-00008D880000}"/>
    <cellStyle name="Normal 5 17 19 3 2" xfId="34958" xr:uid="{00000000-0005-0000-0000-00008E880000}"/>
    <cellStyle name="Normal 5 17 19 3 3" xfId="34959" xr:uid="{00000000-0005-0000-0000-00008F880000}"/>
    <cellStyle name="Normal 5 17 19 3 4" xfId="34960" xr:uid="{00000000-0005-0000-0000-000090880000}"/>
    <cellStyle name="Normal 5 17 19 3 5" xfId="34961" xr:uid="{00000000-0005-0000-0000-000091880000}"/>
    <cellStyle name="Normal 5 17 19 3 6" xfId="34962" xr:uid="{00000000-0005-0000-0000-000092880000}"/>
    <cellStyle name="Normal 5 17 19 3 7" xfId="34963" xr:uid="{00000000-0005-0000-0000-000093880000}"/>
    <cellStyle name="Normal 5 17 19 3 8" xfId="34964" xr:uid="{00000000-0005-0000-0000-000094880000}"/>
    <cellStyle name="Normal 5 17 19 3 9" xfId="34965" xr:uid="{00000000-0005-0000-0000-000095880000}"/>
    <cellStyle name="Normal 5 17 19 4" xfId="34966" xr:uid="{00000000-0005-0000-0000-000096880000}"/>
    <cellStyle name="Normal 5 17 19 4 10" xfId="34967" xr:uid="{00000000-0005-0000-0000-000097880000}"/>
    <cellStyle name="Normal 5 17 19 4 2" xfId="34968" xr:uid="{00000000-0005-0000-0000-000098880000}"/>
    <cellStyle name="Normal 5 17 19 4 3" xfId="34969" xr:uid="{00000000-0005-0000-0000-000099880000}"/>
    <cellStyle name="Normal 5 17 19 4 4" xfId="34970" xr:uid="{00000000-0005-0000-0000-00009A880000}"/>
    <cellStyle name="Normal 5 17 19 4 5" xfId="34971" xr:uid="{00000000-0005-0000-0000-00009B880000}"/>
    <cellStyle name="Normal 5 17 19 4 6" xfId="34972" xr:uid="{00000000-0005-0000-0000-00009C880000}"/>
    <cellStyle name="Normal 5 17 19 4 7" xfId="34973" xr:uid="{00000000-0005-0000-0000-00009D880000}"/>
    <cellStyle name="Normal 5 17 19 4 8" xfId="34974" xr:uid="{00000000-0005-0000-0000-00009E880000}"/>
    <cellStyle name="Normal 5 17 19 4 9" xfId="34975" xr:uid="{00000000-0005-0000-0000-00009F880000}"/>
    <cellStyle name="Normal 5 17 19 5" xfId="34976" xr:uid="{00000000-0005-0000-0000-0000A0880000}"/>
    <cellStyle name="Normal 5 17 19 5 10" xfId="34977" xr:uid="{00000000-0005-0000-0000-0000A1880000}"/>
    <cellStyle name="Normal 5 17 19 5 2" xfId="34978" xr:uid="{00000000-0005-0000-0000-0000A2880000}"/>
    <cellStyle name="Normal 5 17 19 5 3" xfId="34979" xr:uid="{00000000-0005-0000-0000-0000A3880000}"/>
    <cellStyle name="Normal 5 17 19 5 4" xfId="34980" xr:uid="{00000000-0005-0000-0000-0000A4880000}"/>
    <cellStyle name="Normal 5 17 19 5 5" xfId="34981" xr:uid="{00000000-0005-0000-0000-0000A5880000}"/>
    <cellStyle name="Normal 5 17 19 5 6" xfId="34982" xr:uid="{00000000-0005-0000-0000-0000A6880000}"/>
    <cellStyle name="Normal 5 17 19 5 7" xfId="34983" xr:uid="{00000000-0005-0000-0000-0000A7880000}"/>
    <cellStyle name="Normal 5 17 19 5 8" xfId="34984" xr:uid="{00000000-0005-0000-0000-0000A8880000}"/>
    <cellStyle name="Normal 5 17 19 5 9" xfId="34985" xr:uid="{00000000-0005-0000-0000-0000A9880000}"/>
    <cellStyle name="Normal 5 17 19 6" xfId="34986" xr:uid="{00000000-0005-0000-0000-0000AA880000}"/>
    <cellStyle name="Normal 5 17 19 7" xfId="34987" xr:uid="{00000000-0005-0000-0000-0000AB880000}"/>
    <cellStyle name="Normal 5 17 19 8" xfId="34988" xr:uid="{00000000-0005-0000-0000-0000AC880000}"/>
    <cellStyle name="Normal 5 17 19 9" xfId="34989" xr:uid="{00000000-0005-0000-0000-0000AD880000}"/>
    <cellStyle name="Normal 5 17 2" xfId="34990" xr:uid="{00000000-0005-0000-0000-0000AE880000}"/>
    <cellStyle name="Normal 5 17 2 10" xfId="34991" xr:uid="{00000000-0005-0000-0000-0000AF880000}"/>
    <cellStyle name="Normal 5 17 2 10 10" xfId="34992" xr:uid="{00000000-0005-0000-0000-0000B0880000}"/>
    <cellStyle name="Normal 5 17 2 10 11" xfId="34993" xr:uid="{00000000-0005-0000-0000-0000B1880000}"/>
    <cellStyle name="Normal 5 17 2 10 12" xfId="34994" xr:uid="{00000000-0005-0000-0000-0000B2880000}"/>
    <cellStyle name="Normal 5 17 2 10 13" xfId="34995" xr:uid="{00000000-0005-0000-0000-0000B3880000}"/>
    <cellStyle name="Normal 5 17 2 10 14" xfId="34996" xr:uid="{00000000-0005-0000-0000-0000B4880000}"/>
    <cellStyle name="Normal 5 17 2 10 2" xfId="34997" xr:uid="{00000000-0005-0000-0000-0000B5880000}"/>
    <cellStyle name="Normal 5 17 2 10 2 10" xfId="34998" xr:uid="{00000000-0005-0000-0000-0000B6880000}"/>
    <cellStyle name="Normal 5 17 2 10 2 2" xfId="34999" xr:uid="{00000000-0005-0000-0000-0000B7880000}"/>
    <cellStyle name="Normal 5 17 2 10 2 3" xfId="35000" xr:uid="{00000000-0005-0000-0000-0000B8880000}"/>
    <cellStyle name="Normal 5 17 2 10 2 4" xfId="35001" xr:uid="{00000000-0005-0000-0000-0000B9880000}"/>
    <cellStyle name="Normal 5 17 2 10 2 5" xfId="35002" xr:uid="{00000000-0005-0000-0000-0000BA880000}"/>
    <cellStyle name="Normal 5 17 2 10 2 6" xfId="35003" xr:uid="{00000000-0005-0000-0000-0000BB880000}"/>
    <cellStyle name="Normal 5 17 2 10 2 7" xfId="35004" xr:uid="{00000000-0005-0000-0000-0000BC880000}"/>
    <cellStyle name="Normal 5 17 2 10 2 8" xfId="35005" xr:uid="{00000000-0005-0000-0000-0000BD880000}"/>
    <cellStyle name="Normal 5 17 2 10 2 9" xfId="35006" xr:uid="{00000000-0005-0000-0000-0000BE880000}"/>
    <cellStyle name="Normal 5 17 2 10 3" xfId="35007" xr:uid="{00000000-0005-0000-0000-0000BF880000}"/>
    <cellStyle name="Normal 5 17 2 10 3 10" xfId="35008" xr:uid="{00000000-0005-0000-0000-0000C0880000}"/>
    <cellStyle name="Normal 5 17 2 10 3 2" xfId="35009" xr:uid="{00000000-0005-0000-0000-0000C1880000}"/>
    <cellStyle name="Normal 5 17 2 10 3 3" xfId="35010" xr:uid="{00000000-0005-0000-0000-0000C2880000}"/>
    <cellStyle name="Normal 5 17 2 10 3 4" xfId="35011" xr:uid="{00000000-0005-0000-0000-0000C3880000}"/>
    <cellStyle name="Normal 5 17 2 10 3 5" xfId="35012" xr:uid="{00000000-0005-0000-0000-0000C4880000}"/>
    <cellStyle name="Normal 5 17 2 10 3 6" xfId="35013" xr:uid="{00000000-0005-0000-0000-0000C5880000}"/>
    <cellStyle name="Normal 5 17 2 10 3 7" xfId="35014" xr:uid="{00000000-0005-0000-0000-0000C6880000}"/>
    <cellStyle name="Normal 5 17 2 10 3 8" xfId="35015" xr:uid="{00000000-0005-0000-0000-0000C7880000}"/>
    <cellStyle name="Normal 5 17 2 10 3 9" xfId="35016" xr:uid="{00000000-0005-0000-0000-0000C8880000}"/>
    <cellStyle name="Normal 5 17 2 10 4" xfId="35017" xr:uid="{00000000-0005-0000-0000-0000C9880000}"/>
    <cellStyle name="Normal 5 17 2 10 4 10" xfId="35018" xr:uid="{00000000-0005-0000-0000-0000CA880000}"/>
    <cellStyle name="Normal 5 17 2 10 4 2" xfId="35019" xr:uid="{00000000-0005-0000-0000-0000CB880000}"/>
    <cellStyle name="Normal 5 17 2 10 4 3" xfId="35020" xr:uid="{00000000-0005-0000-0000-0000CC880000}"/>
    <cellStyle name="Normal 5 17 2 10 4 4" xfId="35021" xr:uid="{00000000-0005-0000-0000-0000CD880000}"/>
    <cellStyle name="Normal 5 17 2 10 4 5" xfId="35022" xr:uid="{00000000-0005-0000-0000-0000CE880000}"/>
    <cellStyle name="Normal 5 17 2 10 4 6" xfId="35023" xr:uid="{00000000-0005-0000-0000-0000CF880000}"/>
    <cellStyle name="Normal 5 17 2 10 4 7" xfId="35024" xr:uid="{00000000-0005-0000-0000-0000D0880000}"/>
    <cellStyle name="Normal 5 17 2 10 4 8" xfId="35025" xr:uid="{00000000-0005-0000-0000-0000D1880000}"/>
    <cellStyle name="Normal 5 17 2 10 4 9" xfId="35026" xr:uid="{00000000-0005-0000-0000-0000D2880000}"/>
    <cellStyle name="Normal 5 17 2 10 5" xfId="35027" xr:uid="{00000000-0005-0000-0000-0000D3880000}"/>
    <cellStyle name="Normal 5 17 2 10 5 10" xfId="35028" xr:uid="{00000000-0005-0000-0000-0000D4880000}"/>
    <cellStyle name="Normal 5 17 2 10 5 2" xfId="35029" xr:uid="{00000000-0005-0000-0000-0000D5880000}"/>
    <cellStyle name="Normal 5 17 2 10 5 3" xfId="35030" xr:uid="{00000000-0005-0000-0000-0000D6880000}"/>
    <cellStyle name="Normal 5 17 2 10 5 4" xfId="35031" xr:uid="{00000000-0005-0000-0000-0000D7880000}"/>
    <cellStyle name="Normal 5 17 2 10 5 5" xfId="35032" xr:uid="{00000000-0005-0000-0000-0000D8880000}"/>
    <cellStyle name="Normal 5 17 2 10 5 6" xfId="35033" xr:uid="{00000000-0005-0000-0000-0000D9880000}"/>
    <cellStyle name="Normal 5 17 2 10 5 7" xfId="35034" xr:uid="{00000000-0005-0000-0000-0000DA880000}"/>
    <cellStyle name="Normal 5 17 2 10 5 8" xfId="35035" xr:uid="{00000000-0005-0000-0000-0000DB880000}"/>
    <cellStyle name="Normal 5 17 2 10 5 9" xfId="35036" xr:uid="{00000000-0005-0000-0000-0000DC880000}"/>
    <cellStyle name="Normal 5 17 2 10 6" xfId="35037" xr:uid="{00000000-0005-0000-0000-0000DD880000}"/>
    <cellStyle name="Normal 5 17 2 10 7" xfId="35038" xr:uid="{00000000-0005-0000-0000-0000DE880000}"/>
    <cellStyle name="Normal 5 17 2 10 8" xfId="35039" xr:uid="{00000000-0005-0000-0000-0000DF880000}"/>
    <cellStyle name="Normal 5 17 2 10 9" xfId="35040" xr:uid="{00000000-0005-0000-0000-0000E0880000}"/>
    <cellStyle name="Normal 5 17 2 11" xfId="35041" xr:uid="{00000000-0005-0000-0000-0000E1880000}"/>
    <cellStyle name="Normal 5 17 2 11 10" xfId="35042" xr:uid="{00000000-0005-0000-0000-0000E2880000}"/>
    <cellStyle name="Normal 5 17 2 11 11" xfId="35043" xr:uid="{00000000-0005-0000-0000-0000E3880000}"/>
    <cellStyle name="Normal 5 17 2 11 12" xfId="35044" xr:uid="{00000000-0005-0000-0000-0000E4880000}"/>
    <cellStyle name="Normal 5 17 2 11 13" xfId="35045" xr:uid="{00000000-0005-0000-0000-0000E5880000}"/>
    <cellStyle name="Normal 5 17 2 11 14" xfId="35046" xr:uid="{00000000-0005-0000-0000-0000E6880000}"/>
    <cellStyle name="Normal 5 17 2 11 2" xfId="35047" xr:uid="{00000000-0005-0000-0000-0000E7880000}"/>
    <cellStyle name="Normal 5 17 2 11 2 10" xfId="35048" xr:uid="{00000000-0005-0000-0000-0000E8880000}"/>
    <cellStyle name="Normal 5 17 2 11 2 2" xfId="35049" xr:uid="{00000000-0005-0000-0000-0000E9880000}"/>
    <cellStyle name="Normal 5 17 2 11 2 3" xfId="35050" xr:uid="{00000000-0005-0000-0000-0000EA880000}"/>
    <cellStyle name="Normal 5 17 2 11 2 4" xfId="35051" xr:uid="{00000000-0005-0000-0000-0000EB880000}"/>
    <cellStyle name="Normal 5 17 2 11 2 5" xfId="35052" xr:uid="{00000000-0005-0000-0000-0000EC880000}"/>
    <cellStyle name="Normal 5 17 2 11 2 6" xfId="35053" xr:uid="{00000000-0005-0000-0000-0000ED880000}"/>
    <cellStyle name="Normal 5 17 2 11 2 7" xfId="35054" xr:uid="{00000000-0005-0000-0000-0000EE880000}"/>
    <cellStyle name="Normal 5 17 2 11 2 8" xfId="35055" xr:uid="{00000000-0005-0000-0000-0000EF880000}"/>
    <cellStyle name="Normal 5 17 2 11 2 9" xfId="35056" xr:uid="{00000000-0005-0000-0000-0000F0880000}"/>
    <cellStyle name="Normal 5 17 2 11 3" xfId="35057" xr:uid="{00000000-0005-0000-0000-0000F1880000}"/>
    <cellStyle name="Normal 5 17 2 11 3 10" xfId="35058" xr:uid="{00000000-0005-0000-0000-0000F2880000}"/>
    <cellStyle name="Normal 5 17 2 11 3 2" xfId="35059" xr:uid="{00000000-0005-0000-0000-0000F3880000}"/>
    <cellStyle name="Normal 5 17 2 11 3 3" xfId="35060" xr:uid="{00000000-0005-0000-0000-0000F4880000}"/>
    <cellStyle name="Normal 5 17 2 11 3 4" xfId="35061" xr:uid="{00000000-0005-0000-0000-0000F5880000}"/>
    <cellStyle name="Normal 5 17 2 11 3 5" xfId="35062" xr:uid="{00000000-0005-0000-0000-0000F6880000}"/>
    <cellStyle name="Normal 5 17 2 11 3 6" xfId="35063" xr:uid="{00000000-0005-0000-0000-0000F7880000}"/>
    <cellStyle name="Normal 5 17 2 11 3 7" xfId="35064" xr:uid="{00000000-0005-0000-0000-0000F8880000}"/>
    <cellStyle name="Normal 5 17 2 11 3 8" xfId="35065" xr:uid="{00000000-0005-0000-0000-0000F9880000}"/>
    <cellStyle name="Normal 5 17 2 11 3 9" xfId="35066" xr:uid="{00000000-0005-0000-0000-0000FA880000}"/>
    <cellStyle name="Normal 5 17 2 11 4" xfId="35067" xr:uid="{00000000-0005-0000-0000-0000FB880000}"/>
    <cellStyle name="Normal 5 17 2 11 4 10" xfId="35068" xr:uid="{00000000-0005-0000-0000-0000FC880000}"/>
    <cellStyle name="Normal 5 17 2 11 4 2" xfId="35069" xr:uid="{00000000-0005-0000-0000-0000FD880000}"/>
    <cellStyle name="Normal 5 17 2 11 4 3" xfId="35070" xr:uid="{00000000-0005-0000-0000-0000FE880000}"/>
    <cellStyle name="Normal 5 17 2 11 4 4" xfId="35071" xr:uid="{00000000-0005-0000-0000-0000FF880000}"/>
    <cellStyle name="Normal 5 17 2 11 4 5" xfId="35072" xr:uid="{00000000-0005-0000-0000-000000890000}"/>
    <cellStyle name="Normal 5 17 2 11 4 6" xfId="35073" xr:uid="{00000000-0005-0000-0000-000001890000}"/>
    <cellStyle name="Normal 5 17 2 11 4 7" xfId="35074" xr:uid="{00000000-0005-0000-0000-000002890000}"/>
    <cellStyle name="Normal 5 17 2 11 4 8" xfId="35075" xr:uid="{00000000-0005-0000-0000-000003890000}"/>
    <cellStyle name="Normal 5 17 2 11 4 9" xfId="35076" xr:uid="{00000000-0005-0000-0000-000004890000}"/>
    <cellStyle name="Normal 5 17 2 11 5" xfId="35077" xr:uid="{00000000-0005-0000-0000-000005890000}"/>
    <cellStyle name="Normal 5 17 2 11 5 10" xfId="35078" xr:uid="{00000000-0005-0000-0000-000006890000}"/>
    <cellStyle name="Normal 5 17 2 11 5 2" xfId="35079" xr:uid="{00000000-0005-0000-0000-000007890000}"/>
    <cellStyle name="Normal 5 17 2 11 5 3" xfId="35080" xr:uid="{00000000-0005-0000-0000-000008890000}"/>
    <cellStyle name="Normal 5 17 2 11 5 4" xfId="35081" xr:uid="{00000000-0005-0000-0000-000009890000}"/>
    <cellStyle name="Normal 5 17 2 11 5 5" xfId="35082" xr:uid="{00000000-0005-0000-0000-00000A890000}"/>
    <cellStyle name="Normal 5 17 2 11 5 6" xfId="35083" xr:uid="{00000000-0005-0000-0000-00000B890000}"/>
    <cellStyle name="Normal 5 17 2 11 5 7" xfId="35084" xr:uid="{00000000-0005-0000-0000-00000C890000}"/>
    <cellStyle name="Normal 5 17 2 11 5 8" xfId="35085" xr:uid="{00000000-0005-0000-0000-00000D890000}"/>
    <cellStyle name="Normal 5 17 2 11 5 9" xfId="35086" xr:uid="{00000000-0005-0000-0000-00000E890000}"/>
    <cellStyle name="Normal 5 17 2 11 6" xfId="35087" xr:uid="{00000000-0005-0000-0000-00000F890000}"/>
    <cellStyle name="Normal 5 17 2 11 7" xfId="35088" xr:uid="{00000000-0005-0000-0000-000010890000}"/>
    <cellStyle name="Normal 5 17 2 11 8" xfId="35089" xr:uid="{00000000-0005-0000-0000-000011890000}"/>
    <cellStyle name="Normal 5 17 2 11 9" xfId="35090" xr:uid="{00000000-0005-0000-0000-000012890000}"/>
    <cellStyle name="Normal 5 17 2 12" xfId="35091" xr:uid="{00000000-0005-0000-0000-000013890000}"/>
    <cellStyle name="Normal 5 17 2 12 10" xfId="35092" xr:uid="{00000000-0005-0000-0000-000014890000}"/>
    <cellStyle name="Normal 5 17 2 12 11" xfId="35093" xr:uid="{00000000-0005-0000-0000-000015890000}"/>
    <cellStyle name="Normal 5 17 2 12 12" xfId="35094" xr:uid="{00000000-0005-0000-0000-000016890000}"/>
    <cellStyle name="Normal 5 17 2 12 13" xfId="35095" xr:uid="{00000000-0005-0000-0000-000017890000}"/>
    <cellStyle name="Normal 5 17 2 12 14" xfId="35096" xr:uid="{00000000-0005-0000-0000-000018890000}"/>
    <cellStyle name="Normal 5 17 2 12 2" xfId="35097" xr:uid="{00000000-0005-0000-0000-000019890000}"/>
    <cellStyle name="Normal 5 17 2 12 2 10" xfId="35098" xr:uid="{00000000-0005-0000-0000-00001A890000}"/>
    <cellStyle name="Normal 5 17 2 12 2 2" xfId="35099" xr:uid="{00000000-0005-0000-0000-00001B890000}"/>
    <cellStyle name="Normal 5 17 2 12 2 3" xfId="35100" xr:uid="{00000000-0005-0000-0000-00001C890000}"/>
    <cellStyle name="Normal 5 17 2 12 2 4" xfId="35101" xr:uid="{00000000-0005-0000-0000-00001D890000}"/>
    <cellStyle name="Normal 5 17 2 12 2 5" xfId="35102" xr:uid="{00000000-0005-0000-0000-00001E890000}"/>
    <cellStyle name="Normal 5 17 2 12 2 6" xfId="35103" xr:uid="{00000000-0005-0000-0000-00001F890000}"/>
    <cellStyle name="Normal 5 17 2 12 2 7" xfId="35104" xr:uid="{00000000-0005-0000-0000-000020890000}"/>
    <cellStyle name="Normal 5 17 2 12 2 8" xfId="35105" xr:uid="{00000000-0005-0000-0000-000021890000}"/>
    <cellStyle name="Normal 5 17 2 12 2 9" xfId="35106" xr:uid="{00000000-0005-0000-0000-000022890000}"/>
    <cellStyle name="Normal 5 17 2 12 3" xfId="35107" xr:uid="{00000000-0005-0000-0000-000023890000}"/>
    <cellStyle name="Normal 5 17 2 12 3 10" xfId="35108" xr:uid="{00000000-0005-0000-0000-000024890000}"/>
    <cellStyle name="Normal 5 17 2 12 3 2" xfId="35109" xr:uid="{00000000-0005-0000-0000-000025890000}"/>
    <cellStyle name="Normal 5 17 2 12 3 3" xfId="35110" xr:uid="{00000000-0005-0000-0000-000026890000}"/>
    <cellStyle name="Normal 5 17 2 12 3 4" xfId="35111" xr:uid="{00000000-0005-0000-0000-000027890000}"/>
    <cellStyle name="Normal 5 17 2 12 3 5" xfId="35112" xr:uid="{00000000-0005-0000-0000-000028890000}"/>
    <cellStyle name="Normal 5 17 2 12 3 6" xfId="35113" xr:uid="{00000000-0005-0000-0000-000029890000}"/>
    <cellStyle name="Normal 5 17 2 12 3 7" xfId="35114" xr:uid="{00000000-0005-0000-0000-00002A890000}"/>
    <cellStyle name="Normal 5 17 2 12 3 8" xfId="35115" xr:uid="{00000000-0005-0000-0000-00002B890000}"/>
    <cellStyle name="Normal 5 17 2 12 3 9" xfId="35116" xr:uid="{00000000-0005-0000-0000-00002C890000}"/>
    <cellStyle name="Normal 5 17 2 12 4" xfId="35117" xr:uid="{00000000-0005-0000-0000-00002D890000}"/>
    <cellStyle name="Normal 5 17 2 12 4 10" xfId="35118" xr:uid="{00000000-0005-0000-0000-00002E890000}"/>
    <cellStyle name="Normal 5 17 2 12 4 2" xfId="35119" xr:uid="{00000000-0005-0000-0000-00002F890000}"/>
    <cellStyle name="Normal 5 17 2 12 4 3" xfId="35120" xr:uid="{00000000-0005-0000-0000-000030890000}"/>
    <cellStyle name="Normal 5 17 2 12 4 4" xfId="35121" xr:uid="{00000000-0005-0000-0000-000031890000}"/>
    <cellStyle name="Normal 5 17 2 12 4 5" xfId="35122" xr:uid="{00000000-0005-0000-0000-000032890000}"/>
    <cellStyle name="Normal 5 17 2 12 4 6" xfId="35123" xr:uid="{00000000-0005-0000-0000-000033890000}"/>
    <cellStyle name="Normal 5 17 2 12 4 7" xfId="35124" xr:uid="{00000000-0005-0000-0000-000034890000}"/>
    <cellStyle name="Normal 5 17 2 12 4 8" xfId="35125" xr:uid="{00000000-0005-0000-0000-000035890000}"/>
    <cellStyle name="Normal 5 17 2 12 4 9" xfId="35126" xr:uid="{00000000-0005-0000-0000-000036890000}"/>
    <cellStyle name="Normal 5 17 2 12 5" xfId="35127" xr:uid="{00000000-0005-0000-0000-000037890000}"/>
    <cellStyle name="Normal 5 17 2 12 5 10" xfId="35128" xr:uid="{00000000-0005-0000-0000-000038890000}"/>
    <cellStyle name="Normal 5 17 2 12 5 2" xfId="35129" xr:uid="{00000000-0005-0000-0000-000039890000}"/>
    <cellStyle name="Normal 5 17 2 12 5 3" xfId="35130" xr:uid="{00000000-0005-0000-0000-00003A890000}"/>
    <cellStyle name="Normal 5 17 2 12 5 4" xfId="35131" xr:uid="{00000000-0005-0000-0000-00003B890000}"/>
    <cellStyle name="Normal 5 17 2 12 5 5" xfId="35132" xr:uid="{00000000-0005-0000-0000-00003C890000}"/>
    <cellStyle name="Normal 5 17 2 12 5 6" xfId="35133" xr:uid="{00000000-0005-0000-0000-00003D890000}"/>
    <cellStyle name="Normal 5 17 2 12 5 7" xfId="35134" xr:uid="{00000000-0005-0000-0000-00003E890000}"/>
    <cellStyle name="Normal 5 17 2 12 5 8" xfId="35135" xr:uid="{00000000-0005-0000-0000-00003F890000}"/>
    <cellStyle name="Normal 5 17 2 12 5 9" xfId="35136" xr:uid="{00000000-0005-0000-0000-000040890000}"/>
    <cellStyle name="Normal 5 17 2 12 6" xfId="35137" xr:uid="{00000000-0005-0000-0000-000041890000}"/>
    <cellStyle name="Normal 5 17 2 12 7" xfId="35138" xr:uid="{00000000-0005-0000-0000-000042890000}"/>
    <cellStyle name="Normal 5 17 2 12 8" xfId="35139" xr:uid="{00000000-0005-0000-0000-000043890000}"/>
    <cellStyle name="Normal 5 17 2 12 9" xfId="35140" xr:uid="{00000000-0005-0000-0000-000044890000}"/>
    <cellStyle name="Normal 5 17 2 13" xfId="35141" xr:uid="{00000000-0005-0000-0000-000045890000}"/>
    <cellStyle name="Normal 5 17 2 13 10" xfId="35142" xr:uid="{00000000-0005-0000-0000-000046890000}"/>
    <cellStyle name="Normal 5 17 2 13 11" xfId="35143" xr:uid="{00000000-0005-0000-0000-000047890000}"/>
    <cellStyle name="Normal 5 17 2 13 12" xfId="35144" xr:uid="{00000000-0005-0000-0000-000048890000}"/>
    <cellStyle name="Normal 5 17 2 13 13" xfId="35145" xr:uid="{00000000-0005-0000-0000-000049890000}"/>
    <cellStyle name="Normal 5 17 2 13 14" xfId="35146" xr:uid="{00000000-0005-0000-0000-00004A890000}"/>
    <cellStyle name="Normal 5 17 2 13 2" xfId="35147" xr:uid="{00000000-0005-0000-0000-00004B890000}"/>
    <cellStyle name="Normal 5 17 2 13 2 10" xfId="35148" xr:uid="{00000000-0005-0000-0000-00004C890000}"/>
    <cellStyle name="Normal 5 17 2 13 2 2" xfId="35149" xr:uid="{00000000-0005-0000-0000-00004D890000}"/>
    <cellStyle name="Normal 5 17 2 13 2 3" xfId="35150" xr:uid="{00000000-0005-0000-0000-00004E890000}"/>
    <cellStyle name="Normal 5 17 2 13 2 4" xfId="35151" xr:uid="{00000000-0005-0000-0000-00004F890000}"/>
    <cellStyle name="Normal 5 17 2 13 2 5" xfId="35152" xr:uid="{00000000-0005-0000-0000-000050890000}"/>
    <cellStyle name="Normal 5 17 2 13 2 6" xfId="35153" xr:uid="{00000000-0005-0000-0000-000051890000}"/>
    <cellStyle name="Normal 5 17 2 13 2 7" xfId="35154" xr:uid="{00000000-0005-0000-0000-000052890000}"/>
    <cellStyle name="Normal 5 17 2 13 2 8" xfId="35155" xr:uid="{00000000-0005-0000-0000-000053890000}"/>
    <cellStyle name="Normal 5 17 2 13 2 9" xfId="35156" xr:uid="{00000000-0005-0000-0000-000054890000}"/>
    <cellStyle name="Normal 5 17 2 13 3" xfId="35157" xr:uid="{00000000-0005-0000-0000-000055890000}"/>
    <cellStyle name="Normal 5 17 2 13 3 10" xfId="35158" xr:uid="{00000000-0005-0000-0000-000056890000}"/>
    <cellStyle name="Normal 5 17 2 13 3 2" xfId="35159" xr:uid="{00000000-0005-0000-0000-000057890000}"/>
    <cellStyle name="Normal 5 17 2 13 3 3" xfId="35160" xr:uid="{00000000-0005-0000-0000-000058890000}"/>
    <cellStyle name="Normal 5 17 2 13 3 4" xfId="35161" xr:uid="{00000000-0005-0000-0000-000059890000}"/>
    <cellStyle name="Normal 5 17 2 13 3 5" xfId="35162" xr:uid="{00000000-0005-0000-0000-00005A890000}"/>
    <cellStyle name="Normal 5 17 2 13 3 6" xfId="35163" xr:uid="{00000000-0005-0000-0000-00005B890000}"/>
    <cellStyle name="Normal 5 17 2 13 3 7" xfId="35164" xr:uid="{00000000-0005-0000-0000-00005C890000}"/>
    <cellStyle name="Normal 5 17 2 13 3 8" xfId="35165" xr:uid="{00000000-0005-0000-0000-00005D890000}"/>
    <cellStyle name="Normal 5 17 2 13 3 9" xfId="35166" xr:uid="{00000000-0005-0000-0000-00005E890000}"/>
    <cellStyle name="Normal 5 17 2 13 4" xfId="35167" xr:uid="{00000000-0005-0000-0000-00005F890000}"/>
    <cellStyle name="Normal 5 17 2 13 4 10" xfId="35168" xr:uid="{00000000-0005-0000-0000-000060890000}"/>
    <cellStyle name="Normal 5 17 2 13 4 2" xfId="35169" xr:uid="{00000000-0005-0000-0000-000061890000}"/>
    <cellStyle name="Normal 5 17 2 13 4 3" xfId="35170" xr:uid="{00000000-0005-0000-0000-000062890000}"/>
    <cellStyle name="Normal 5 17 2 13 4 4" xfId="35171" xr:uid="{00000000-0005-0000-0000-000063890000}"/>
    <cellStyle name="Normal 5 17 2 13 4 5" xfId="35172" xr:uid="{00000000-0005-0000-0000-000064890000}"/>
    <cellStyle name="Normal 5 17 2 13 4 6" xfId="35173" xr:uid="{00000000-0005-0000-0000-000065890000}"/>
    <cellStyle name="Normal 5 17 2 13 4 7" xfId="35174" xr:uid="{00000000-0005-0000-0000-000066890000}"/>
    <cellStyle name="Normal 5 17 2 13 4 8" xfId="35175" xr:uid="{00000000-0005-0000-0000-000067890000}"/>
    <cellStyle name="Normal 5 17 2 13 4 9" xfId="35176" xr:uid="{00000000-0005-0000-0000-000068890000}"/>
    <cellStyle name="Normal 5 17 2 13 5" xfId="35177" xr:uid="{00000000-0005-0000-0000-000069890000}"/>
    <cellStyle name="Normal 5 17 2 13 5 10" xfId="35178" xr:uid="{00000000-0005-0000-0000-00006A890000}"/>
    <cellStyle name="Normal 5 17 2 13 5 2" xfId="35179" xr:uid="{00000000-0005-0000-0000-00006B890000}"/>
    <cellStyle name="Normal 5 17 2 13 5 3" xfId="35180" xr:uid="{00000000-0005-0000-0000-00006C890000}"/>
    <cellStyle name="Normal 5 17 2 13 5 4" xfId="35181" xr:uid="{00000000-0005-0000-0000-00006D890000}"/>
    <cellStyle name="Normal 5 17 2 13 5 5" xfId="35182" xr:uid="{00000000-0005-0000-0000-00006E890000}"/>
    <cellStyle name="Normal 5 17 2 13 5 6" xfId="35183" xr:uid="{00000000-0005-0000-0000-00006F890000}"/>
    <cellStyle name="Normal 5 17 2 13 5 7" xfId="35184" xr:uid="{00000000-0005-0000-0000-000070890000}"/>
    <cellStyle name="Normal 5 17 2 13 5 8" xfId="35185" xr:uid="{00000000-0005-0000-0000-000071890000}"/>
    <cellStyle name="Normal 5 17 2 13 5 9" xfId="35186" xr:uid="{00000000-0005-0000-0000-000072890000}"/>
    <cellStyle name="Normal 5 17 2 13 6" xfId="35187" xr:uid="{00000000-0005-0000-0000-000073890000}"/>
    <cellStyle name="Normal 5 17 2 13 7" xfId="35188" xr:uid="{00000000-0005-0000-0000-000074890000}"/>
    <cellStyle name="Normal 5 17 2 13 8" xfId="35189" xr:uid="{00000000-0005-0000-0000-000075890000}"/>
    <cellStyle name="Normal 5 17 2 13 9" xfId="35190" xr:uid="{00000000-0005-0000-0000-000076890000}"/>
    <cellStyle name="Normal 5 17 2 14" xfId="35191" xr:uid="{00000000-0005-0000-0000-000077890000}"/>
    <cellStyle name="Normal 5 17 2 14 10" xfId="35192" xr:uid="{00000000-0005-0000-0000-000078890000}"/>
    <cellStyle name="Normal 5 17 2 14 11" xfId="35193" xr:uid="{00000000-0005-0000-0000-000079890000}"/>
    <cellStyle name="Normal 5 17 2 14 12" xfId="35194" xr:uid="{00000000-0005-0000-0000-00007A890000}"/>
    <cellStyle name="Normal 5 17 2 14 13" xfId="35195" xr:uid="{00000000-0005-0000-0000-00007B890000}"/>
    <cellStyle name="Normal 5 17 2 14 14" xfId="35196" xr:uid="{00000000-0005-0000-0000-00007C890000}"/>
    <cellStyle name="Normal 5 17 2 14 2" xfId="35197" xr:uid="{00000000-0005-0000-0000-00007D890000}"/>
    <cellStyle name="Normal 5 17 2 14 2 10" xfId="35198" xr:uid="{00000000-0005-0000-0000-00007E890000}"/>
    <cellStyle name="Normal 5 17 2 14 2 2" xfId="35199" xr:uid="{00000000-0005-0000-0000-00007F890000}"/>
    <cellStyle name="Normal 5 17 2 14 2 3" xfId="35200" xr:uid="{00000000-0005-0000-0000-000080890000}"/>
    <cellStyle name="Normal 5 17 2 14 2 4" xfId="35201" xr:uid="{00000000-0005-0000-0000-000081890000}"/>
    <cellStyle name="Normal 5 17 2 14 2 5" xfId="35202" xr:uid="{00000000-0005-0000-0000-000082890000}"/>
    <cellStyle name="Normal 5 17 2 14 2 6" xfId="35203" xr:uid="{00000000-0005-0000-0000-000083890000}"/>
    <cellStyle name="Normal 5 17 2 14 2 7" xfId="35204" xr:uid="{00000000-0005-0000-0000-000084890000}"/>
    <cellStyle name="Normal 5 17 2 14 2 8" xfId="35205" xr:uid="{00000000-0005-0000-0000-000085890000}"/>
    <cellStyle name="Normal 5 17 2 14 2 9" xfId="35206" xr:uid="{00000000-0005-0000-0000-000086890000}"/>
    <cellStyle name="Normal 5 17 2 14 3" xfId="35207" xr:uid="{00000000-0005-0000-0000-000087890000}"/>
    <cellStyle name="Normal 5 17 2 14 3 10" xfId="35208" xr:uid="{00000000-0005-0000-0000-000088890000}"/>
    <cellStyle name="Normal 5 17 2 14 3 2" xfId="35209" xr:uid="{00000000-0005-0000-0000-000089890000}"/>
    <cellStyle name="Normal 5 17 2 14 3 3" xfId="35210" xr:uid="{00000000-0005-0000-0000-00008A890000}"/>
    <cellStyle name="Normal 5 17 2 14 3 4" xfId="35211" xr:uid="{00000000-0005-0000-0000-00008B890000}"/>
    <cellStyle name="Normal 5 17 2 14 3 5" xfId="35212" xr:uid="{00000000-0005-0000-0000-00008C890000}"/>
    <cellStyle name="Normal 5 17 2 14 3 6" xfId="35213" xr:uid="{00000000-0005-0000-0000-00008D890000}"/>
    <cellStyle name="Normal 5 17 2 14 3 7" xfId="35214" xr:uid="{00000000-0005-0000-0000-00008E890000}"/>
    <cellStyle name="Normal 5 17 2 14 3 8" xfId="35215" xr:uid="{00000000-0005-0000-0000-00008F890000}"/>
    <cellStyle name="Normal 5 17 2 14 3 9" xfId="35216" xr:uid="{00000000-0005-0000-0000-000090890000}"/>
    <cellStyle name="Normal 5 17 2 14 4" xfId="35217" xr:uid="{00000000-0005-0000-0000-000091890000}"/>
    <cellStyle name="Normal 5 17 2 14 4 10" xfId="35218" xr:uid="{00000000-0005-0000-0000-000092890000}"/>
    <cellStyle name="Normal 5 17 2 14 4 2" xfId="35219" xr:uid="{00000000-0005-0000-0000-000093890000}"/>
    <cellStyle name="Normal 5 17 2 14 4 3" xfId="35220" xr:uid="{00000000-0005-0000-0000-000094890000}"/>
    <cellStyle name="Normal 5 17 2 14 4 4" xfId="35221" xr:uid="{00000000-0005-0000-0000-000095890000}"/>
    <cellStyle name="Normal 5 17 2 14 4 5" xfId="35222" xr:uid="{00000000-0005-0000-0000-000096890000}"/>
    <cellStyle name="Normal 5 17 2 14 4 6" xfId="35223" xr:uid="{00000000-0005-0000-0000-000097890000}"/>
    <cellStyle name="Normal 5 17 2 14 4 7" xfId="35224" xr:uid="{00000000-0005-0000-0000-000098890000}"/>
    <cellStyle name="Normal 5 17 2 14 4 8" xfId="35225" xr:uid="{00000000-0005-0000-0000-000099890000}"/>
    <cellStyle name="Normal 5 17 2 14 4 9" xfId="35226" xr:uid="{00000000-0005-0000-0000-00009A890000}"/>
    <cellStyle name="Normal 5 17 2 14 5" xfId="35227" xr:uid="{00000000-0005-0000-0000-00009B890000}"/>
    <cellStyle name="Normal 5 17 2 14 5 10" xfId="35228" xr:uid="{00000000-0005-0000-0000-00009C890000}"/>
    <cellStyle name="Normal 5 17 2 14 5 2" xfId="35229" xr:uid="{00000000-0005-0000-0000-00009D890000}"/>
    <cellStyle name="Normal 5 17 2 14 5 3" xfId="35230" xr:uid="{00000000-0005-0000-0000-00009E890000}"/>
    <cellStyle name="Normal 5 17 2 14 5 4" xfId="35231" xr:uid="{00000000-0005-0000-0000-00009F890000}"/>
    <cellStyle name="Normal 5 17 2 14 5 5" xfId="35232" xr:uid="{00000000-0005-0000-0000-0000A0890000}"/>
    <cellStyle name="Normal 5 17 2 14 5 6" xfId="35233" xr:uid="{00000000-0005-0000-0000-0000A1890000}"/>
    <cellStyle name="Normal 5 17 2 14 5 7" xfId="35234" xr:uid="{00000000-0005-0000-0000-0000A2890000}"/>
    <cellStyle name="Normal 5 17 2 14 5 8" xfId="35235" xr:uid="{00000000-0005-0000-0000-0000A3890000}"/>
    <cellStyle name="Normal 5 17 2 14 5 9" xfId="35236" xr:uid="{00000000-0005-0000-0000-0000A4890000}"/>
    <cellStyle name="Normal 5 17 2 14 6" xfId="35237" xr:uid="{00000000-0005-0000-0000-0000A5890000}"/>
    <cellStyle name="Normal 5 17 2 14 7" xfId="35238" xr:uid="{00000000-0005-0000-0000-0000A6890000}"/>
    <cellStyle name="Normal 5 17 2 14 8" xfId="35239" xr:uid="{00000000-0005-0000-0000-0000A7890000}"/>
    <cellStyle name="Normal 5 17 2 14 9" xfId="35240" xr:uid="{00000000-0005-0000-0000-0000A8890000}"/>
    <cellStyle name="Normal 5 17 2 15" xfId="35241" xr:uid="{00000000-0005-0000-0000-0000A9890000}"/>
    <cellStyle name="Normal 5 17 2 15 10" xfId="35242" xr:uid="{00000000-0005-0000-0000-0000AA890000}"/>
    <cellStyle name="Normal 5 17 2 15 11" xfId="35243" xr:uid="{00000000-0005-0000-0000-0000AB890000}"/>
    <cellStyle name="Normal 5 17 2 15 12" xfId="35244" xr:uid="{00000000-0005-0000-0000-0000AC890000}"/>
    <cellStyle name="Normal 5 17 2 15 13" xfId="35245" xr:uid="{00000000-0005-0000-0000-0000AD890000}"/>
    <cellStyle name="Normal 5 17 2 15 14" xfId="35246" xr:uid="{00000000-0005-0000-0000-0000AE890000}"/>
    <cellStyle name="Normal 5 17 2 15 2" xfId="35247" xr:uid="{00000000-0005-0000-0000-0000AF890000}"/>
    <cellStyle name="Normal 5 17 2 15 2 10" xfId="35248" xr:uid="{00000000-0005-0000-0000-0000B0890000}"/>
    <cellStyle name="Normal 5 17 2 15 2 2" xfId="35249" xr:uid="{00000000-0005-0000-0000-0000B1890000}"/>
    <cellStyle name="Normal 5 17 2 15 2 3" xfId="35250" xr:uid="{00000000-0005-0000-0000-0000B2890000}"/>
    <cellStyle name="Normal 5 17 2 15 2 4" xfId="35251" xr:uid="{00000000-0005-0000-0000-0000B3890000}"/>
    <cellStyle name="Normal 5 17 2 15 2 5" xfId="35252" xr:uid="{00000000-0005-0000-0000-0000B4890000}"/>
    <cellStyle name="Normal 5 17 2 15 2 6" xfId="35253" xr:uid="{00000000-0005-0000-0000-0000B5890000}"/>
    <cellStyle name="Normal 5 17 2 15 2 7" xfId="35254" xr:uid="{00000000-0005-0000-0000-0000B6890000}"/>
    <cellStyle name="Normal 5 17 2 15 2 8" xfId="35255" xr:uid="{00000000-0005-0000-0000-0000B7890000}"/>
    <cellStyle name="Normal 5 17 2 15 2 9" xfId="35256" xr:uid="{00000000-0005-0000-0000-0000B8890000}"/>
    <cellStyle name="Normal 5 17 2 15 3" xfId="35257" xr:uid="{00000000-0005-0000-0000-0000B9890000}"/>
    <cellStyle name="Normal 5 17 2 15 3 10" xfId="35258" xr:uid="{00000000-0005-0000-0000-0000BA890000}"/>
    <cellStyle name="Normal 5 17 2 15 3 2" xfId="35259" xr:uid="{00000000-0005-0000-0000-0000BB890000}"/>
    <cellStyle name="Normal 5 17 2 15 3 3" xfId="35260" xr:uid="{00000000-0005-0000-0000-0000BC890000}"/>
    <cellStyle name="Normal 5 17 2 15 3 4" xfId="35261" xr:uid="{00000000-0005-0000-0000-0000BD890000}"/>
    <cellStyle name="Normal 5 17 2 15 3 5" xfId="35262" xr:uid="{00000000-0005-0000-0000-0000BE890000}"/>
    <cellStyle name="Normal 5 17 2 15 3 6" xfId="35263" xr:uid="{00000000-0005-0000-0000-0000BF890000}"/>
    <cellStyle name="Normal 5 17 2 15 3 7" xfId="35264" xr:uid="{00000000-0005-0000-0000-0000C0890000}"/>
    <cellStyle name="Normal 5 17 2 15 3 8" xfId="35265" xr:uid="{00000000-0005-0000-0000-0000C1890000}"/>
    <cellStyle name="Normal 5 17 2 15 3 9" xfId="35266" xr:uid="{00000000-0005-0000-0000-0000C2890000}"/>
    <cellStyle name="Normal 5 17 2 15 4" xfId="35267" xr:uid="{00000000-0005-0000-0000-0000C3890000}"/>
    <cellStyle name="Normal 5 17 2 15 4 10" xfId="35268" xr:uid="{00000000-0005-0000-0000-0000C4890000}"/>
    <cellStyle name="Normal 5 17 2 15 4 2" xfId="35269" xr:uid="{00000000-0005-0000-0000-0000C5890000}"/>
    <cellStyle name="Normal 5 17 2 15 4 3" xfId="35270" xr:uid="{00000000-0005-0000-0000-0000C6890000}"/>
    <cellStyle name="Normal 5 17 2 15 4 4" xfId="35271" xr:uid="{00000000-0005-0000-0000-0000C7890000}"/>
    <cellStyle name="Normal 5 17 2 15 4 5" xfId="35272" xr:uid="{00000000-0005-0000-0000-0000C8890000}"/>
    <cellStyle name="Normal 5 17 2 15 4 6" xfId="35273" xr:uid="{00000000-0005-0000-0000-0000C9890000}"/>
    <cellStyle name="Normal 5 17 2 15 4 7" xfId="35274" xr:uid="{00000000-0005-0000-0000-0000CA890000}"/>
    <cellStyle name="Normal 5 17 2 15 4 8" xfId="35275" xr:uid="{00000000-0005-0000-0000-0000CB890000}"/>
    <cellStyle name="Normal 5 17 2 15 4 9" xfId="35276" xr:uid="{00000000-0005-0000-0000-0000CC890000}"/>
    <cellStyle name="Normal 5 17 2 15 5" xfId="35277" xr:uid="{00000000-0005-0000-0000-0000CD890000}"/>
    <cellStyle name="Normal 5 17 2 15 5 10" xfId="35278" xr:uid="{00000000-0005-0000-0000-0000CE890000}"/>
    <cellStyle name="Normal 5 17 2 15 5 2" xfId="35279" xr:uid="{00000000-0005-0000-0000-0000CF890000}"/>
    <cellStyle name="Normal 5 17 2 15 5 3" xfId="35280" xr:uid="{00000000-0005-0000-0000-0000D0890000}"/>
    <cellStyle name="Normal 5 17 2 15 5 4" xfId="35281" xr:uid="{00000000-0005-0000-0000-0000D1890000}"/>
    <cellStyle name="Normal 5 17 2 15 5 5" xfId="35282" xr:uid="{00000000-0005-0000-0000-0000D2890000}"/>
    <cellStyle name="Normal 5 17 2 15 5 6" xfId="35283" xr:uid="{00000000-0005-0000-0000-0000D3890000}"/>
    <cellStyle name="Normal 5 17 2 15 5 7" xfId="35284" xr:uid="{00000000-0005-0000-0000-0000D4890000}"/>
    <cellStyle name="Normal 5 17 2 15 5 8" xfId="35285" xr:uid="{00000000-0005-0000-0000-0000D5890000}"/>
    <cellStyle name="Normal 5 17 2 15 5 9" xfId="35286" xr:uid="{00000000-0005-0000-0000-0000D6890000}"/>
    <cellStyle name="Normal 5 17 2 15 6" xfId="35287" xr:uid="{00000000-0005-0000-0000-0000D7890000}"/>
    <cellStyle name="Normal 5 17 2 15 7" xfId="35288" xr:uid="{00000000-0005-0000-0000-0000D8890000}"/>
    <cellStyle name="Normal 5 17 2 15 8" xfId="35289" xr:uid="{00000000-0005-0000-0000-0000D9890000}"/>
    <cellStyle name="Normal 5 17 2 15 9" xfId="35290" xr:uid="{00000000-0005-0000-0000-0000DA890000}"/>
    <cellStyle name="Normal 5 17 2 16" xfId="35291" xr:uid="{00000000-0005-0000-0000-0000DB890000}"/>
    <cellStyle name="Normal 5 17 2 16 10" xfId="35292" xr:uid="{00000000-0005-0000-0000-0000DC890000}"/>
    <cellStyle name="Normal 5 17 2 16 11" xfId="35293" xr:uid="{00000000-0005-0000-0000-0000DD890000}"/>
    <cellStyle name="Normal 5 17 2 16 12" xfId="35294" xr:uid="{00000000-0005-0000-0000-0000DE890000}"/>
    <cellStyle name="Normal 5 17 2 16 13" xfId="35295" xr:uid="{00000000-0005-0000-0000-0000DF890000}"/>
    <cellStyle name="Normal 5 17 2 16 14" xfId="35296" xr:uid="{00000000-0005-0000-0000-0000E0890000}"/>
    <cellStyle name="Normal 5 17 2 16 2" xfId="35297" xr:uid="{00000000-0005-0000-0000-0000E1890000}"/>
    <cellStyle name="Normal 5 17 2 16 2 10" xfId="35298" xr:uid="{00000000-0005-0000-0000-0000E2890000}"/>
    <cellStyle name="Normal 5 17 2 16 2 2" xfId="35299" xr:uid="{00000000-0005-0000-0000-0000E3890000}"/>
    <cellStyle name="Normal 5 17 2 16 2 3" xfId="35300" xr:uid="{00000000-0005-0000-0000-0000E4890000}"/>
    <cellStyle name="Normal 5 17 2 16 2 4" xfId="35301" xr:uid="{00000000-0005-0000-0000-0000E5890000}"/>
    <cellStyle name="Normal 5 17 2 16 2 5" xfId="35302" xr:uid="{00000000-0005-0000-0000-0000E6890000}"/>
    <cellStyle name="Normal 5 17 2 16 2 6" xfId="35303" xr:uid="{00000000-0005-0000-0000-0000E7890000}"/>
    <cellStyle name="Normal 5 17 2 16 2 7" xfId="35304" xr:uid="{00000000-0005-0000-0000-0000E8890000}"/>
    <cellStyle name="Normal 5 17 2 16 2 8" xfId="35305" xr:uid="{00000000-0005-0000-0000-0000E9890000}"/>
    <cellStyle name="Normal 5 17 2 16 2 9" xfId="35306" xr:uid="{00000000-0005-0000-0000-0000EA890000}"/>
    <cellStyle name="Normal 5 17 2 16 3" xfId="35307" xr:uid="{00000000-0005-0000-0000-0000EB890000}"/>
    <cellStyle name="Normal 5 17 2 16 3 10" xfId="35308" xr:uid="{00000000-0005-0000-0000-0000EC890000}"/>
    <cellStyle name="Normal 5 17 2 16 3 2" xfId="35309" xr:uid="{00000000-0005-0000-0000-0000ED890000}"/>
    <cellStyle name="Normal 5 17 2 16 3 3" xfId="35310" xr:uid="{00000000-0005-0000-0000-0000EE890000}"/>
    <cellStyle name="Normal 5 17 2 16 3 4" xfId="35311" xr:uid="{00000000-0005-0000-0000-0000EF890000}"/>
    <cellStyle name="Normal 5 17 2 16 3 5" xfId="35312" xr:uid="{00000000-0005-0000-0000-0000F0890000}"/>
    <cellStyle name="Normal 5 17 2 16 3 6" xfId="35313" xr:uid="{00000000-0005-0000-0000-0000F1890000}"/>
    <cellStyle name="Normal 5 17 2 16 3 7" xfId="35314" xr:uid="{00000000-0005-0000-0000-0000F2890000}"/>
    <cellStyle name="Normal 5 17 2 16 3 8" xfId="35315" xr:uid="{00000000-0005-0000-0000-0000F3890000}"/>
    <cellStyle name="Normal 5 17 2 16 3 9" xfId="35316" xr:uid="{00000000-0005-0000-0000-0000F4890000}"/>
    <cellStyle name="Normal 5 17 2 16 4" xfId="35317" xr:uid="{00000000-0005-0000-0000-0000F5890000}"/>
    <cellStyle name="Normal 5 17 2 16 4 10" xfId="35318" xr:uid="{00000000-0005-0000-0000-0000F6890000}"/>
    <cellStyle name="Normal 5 17 2 16 4 2" xfId="35319" xr:uid="{00000000-0005-0000-0000-0000F7890000}"/>
    <cellStyle name="Normal 5 17 2 16 4 3" xfId="35320" xr:uid="{00000000-0005-0000-0000-0000F8890000}"/>
    <cellStyle name="Normal 5 17 2 16 4 4" xfId="35321" xr:uid="{00000000-0005-0000-0000-0000F9890000}"/>
    <cellStyle name="Normal 5 17 2 16 4 5" xfId="35322" xr:uid="{00000000-0005-0000-0000-0000FA890000}"/>
    <cellStyle name="Normal 5 17 2 16 4 6" xfId="35323" xr:uid="{00000000-0005-0000-0000-0000FB890000}"/>
    <cellStyle name="Normal 5 17 2 16 4 7" xfId="35324" xr:uid="{00000000-0005-0000-0000-0000FC890000}"/>
    <cellStyle name="Normal 5 17 2 16 4 8" xfId="35325" xr:uid="{00000000-0005-0000-0000-0000FD890000}"/>
    <cellStyle name="Normal 5 17 2 16 4 9" xfId="35326" xr:uid="{00000000-0005-0000-0000-0000FE890000}"/>
    <cellStyle name="Normal 5 17 2 16 5" xfId="35327" xr:uid="{00000000-0005-0000-0000-0000FF890000}"/>
    <cellStyle name="Normal 5 17 2 16 5 10" xfId="35328" xr:uid="{00000000-0005-0000-0000-0000008A0000}"/>
    <cellStyle name="Normal 5 17 2 16 5 2" xfId="35329" xr:uid="{00000000-0005-0000-0000-0000018A0000}"/>
    <cellStyle name="Normal 5 17 2 16 5 3" xfId="35330" xr:uid="{00000000-0005-0000-0000-0000028A0000}"/>
    <cellStyle name="Normal 5 17 2 16 5 4" xfId="35331" xr:uid="{00000000-0005-0000-0000-0000038A0000}"/>
    <cellStyle name="Normal 5 17 2 16 5 5" xfId="35332" xr:uid="{00000000-0005-0000-0000-0000048A0000}"/>
    <cellStyle name="Normal 5 17 2 16 5 6" xfId="35333" xr:uid="{00000000-0005-0000-0000-0000058A0000}"/>
    <cellStyle name="Normal 5 17 2 16 5 7" xfId="35334" xr:uid="{00000000-0005-0000-0000-0000068A0000}"/>
    <cellStyle name="Normal 5 17 2 16 5 8" xfId="35335" xr:uid="{00000000-0005-0000-0000-0000078A0000}"/>
    <cellStyle name="Normal 5 17 2 16 5 9" xfId="35336" xr:uid="{00000000-0005-0000-0000-0000088A0000}"/>
    <cellStyle name="Normal 5 17 2 16 6" xfId="35337" xr:uid="{00000000-0005-0000-0000-0000098A0000}"/>
    <cellStyle name="Normal 5 17 2 16 7" xfId="35338" xr:uid="{00000000-0005-0000-0000-00000A8A0000}"/>
    <cellStyle name="Normal 5 17 2 16 8" xfId="35339" xr:uid="{00000000-0005-0000-0000-00000B8A0000}"/>
    <cellStyle name="Normal 5 17 2 16 9" xfId="35340" xr:uid="{00000000-0005-0000-0000-00000C8A0000}"/>
    <cellStyle name="Normal 5 17 2 17" xfId="35341" xr:uid="{00000000-0005-0000-0000-00000D8A0000}"/>
    <cellStyle name="Normal 5 17 2 17 10" xfId="35342" xr:uid="{00000000-0005-0000-0000-00000E8A0000}"/>
    <cellStyle name="Normal 5 17 2 17 11" xfId="35343" xr:uid="{00000000-0005-0000-0000-00000F8A0000}"/>
    <cellStyle name="Normal 5 17 2 17 12" xfId="35344" xr:uid="{00000000-0005-0000-0000-0000108A0000}"/>
    <cellStyle name="Normal 5 17 2 17 13" xfId="35345" xr:uid="{00000000-0005-0000-0000-0000118A0000}"/>
    <cellStyle name="Normal 5 17 2 17 14" xfId="35346" xr:uid="{00000000-0005-0000-0000-0000128A0000}"/>
    <cellStyle name="Normal 5 17 2 17 2" xfId="35347" xr:uid="{00000000-0005-0000-0000-0000138A0000}"/>
    <cellStyle name="Normal 5 17 2 17 2 10" xfId="35348" xr:uid="{00000000-0005-0000-0000-0000148A0000}"/>
    <cellStyle name="Normal 5 17 2 17 2 2" xfId="35349" xr:uid="{00000000-0005-0000-0000-0000158A0000}"/>
    <cellStyle name="Normal 5 17 2 17 2 3" xfId="35350" xr:uid="{00000000-0005-0000-0000-0000168A0000}"/>
    <cellStyle name="Normal 5 17 2 17 2 4" xfId="35351" xr:uid="{00000000-0005-0000-0000-0000178A0000}"/>
    <cellStyle name="Normal 5 17 2 17 2 5" xfId="35352" xr:uid="{00000000-0005-0000-0000-0000188A0000}"/>
    <cellStyle name="Normal 5 17 2 17 2 6" xfId="35353" xr:uid="{00000000-0005-0000-0000-0000198A0000}"/>
    <cellStyle name="Normal 5 17 2 17 2 7" xfId="35354" xr:uid="{00000000-0005-0000-0000-00001A8A0000}"/>
    <cellStyle name="Normal 5 17 2 17 2 8" xfId="35355" xr:uid="{00000000-0005-0000-0000-00001B8A0000}"/>
    <cellStyle name="Normal 5 17 2 17 2 9" xfId="35356" xr:uid="{00000000-0005-0000-0000-00001C8A0000}"/>
    <cellStyle name="Normal 5 17 2 17 3" xfId="35357" xr:uid="{00000000-0005-0000-0000-00001D8A0000}"/>
    <cellStyle name="Normal 5 17 2 17 3 10" xfId="35358" xr:uid="{00000000-0005-0000-0000-00001E8A0000}"/>
    <cellStyle name="Normal 5 17 2 17 3 2" xfId="35359" xr:uid="{00000000-0005-0000-0000-00001F8A0000}"/>
    <cellStyle name="Normal 5 17 2 17 3 3" xfId="35360" xr:uid="{00000000-0005-0000-0000-0000208A0000}"/>
    <cellStyle name="Normal 5 17 2 17 3 4" xfId="35361" xr:uid="{00000000-0005-0000-0000-0000218A0000}"/>
    <cellStyle name="Normal 5 17 2 17 3 5" xfId="35362" xr:uid="{00000000-0005-0000-0000-0000228A0000}"/>
    <cellStyle name="Normal 5 17 2 17 3 6" xfId="35363" xr:uid="{00000000-0005-0000-0000-0000238A0000}"/>
    <cellStyle name="Normal 5 17 2 17 3 7" xfId="35364" xr:uid="{00000000-0005-0000-0000-0000248A0000}"/>
    <cellStyle name="Normal 5 17 2 17 3 8" xfId="35365" xr:uid="{00000000-0005-0000-0000-0000258A0000}"/>
    <cellStyle name="Normal 5 17 2 17 3 9" xfId="35366" xr:uid="{00000000-0005-0000-0000-0000268A0000}"/>
    <cellStyle name="Normal 5 17 2 17 4" xfId="35367" xr:uid="{00000000-0005-0000-0000-0000278A0000}"/>
    <cellStyle name="Normal 5 17 2 17 4 10" xfId="35368" xr:uid="{00000000-0005-0000-0000-0000288A0000}"/>
    <cellStyle name="Normal 5 17 2 17 4 2" xfId="35369" xr:uid="{00000000-0005-0000-0000-0000298A0000}"/>
    <cellStyle name="Normal 5 17 2 17 4 3" xfId="35370" xr:uid="{00000000-0005-0000-0000-00002A8A0000}"/>
    <cellStyle name="Normal 5 17 2 17 4 4" xfId="35371" xr:uid="{00000000-0005-0000-0000-00002B8A0000}"/>
    <cellStyle name="Normal 5 17 2 17 4 5" xfId="35372" xr:uid="{00000000-0005-0000-0000-00002C8A0000}"/>
    <cellStyle name="Normal 5 17 2 17 4 6" xfId="35373" xr:uid="{00000000-0005-0000-0000-00002D8A0000}"/>
    <cellStyle name="Normal 5 17 2 17 4 7" xfId="35374" xr:uid="{00000000-0005-0000-0000-00002E8A0000}"/>
    <cellStyle name="Normal 5 17 2 17 4 8" xfId="35375" xr:uid="{00000000-0005-0000-0000-00002F8A0000}"/>
    <cellStyle name="Normal 5 17 2 17 4 9" xfId="35376" xr:uid="{00000000-0005-0000-0000-0000308A0000}"/>
    <cellStyle name="Normal 5 17 2 17 5" xfId="35377" xr:uid="{00000000-0005-0000-0000-0000318A0000}"/>
    <cellStyle name="Normal 5 17 2 17 5 10" xfId="35378" xr:uid="{00000000-0005-0000-0000-0000328A0000}"/>
    <cellStyle name="Normal 5 17 2 17 5 2" xfId="35379" xr:uid="{00000000-0005-0000-0000-0000338A0000}"/>
    <cellStyle name="Normal 5 17 2 17 5 3" xfId="35380" xr:uid="{00000000-0005-0000-0000-0000348A0000}"/>
    <cellStyle name="Normal 5 17 2 17 5 4" xfId="35381" xr:uid="{00000000-0005-0000-0000-0000358A0000}"/>
    <cellStyle name="Normal 5 17 2 17 5 5" xfId="35382" xr:uid="{00000000-0005-0000-0000-0000368A0000}"/>
    <cellStyle name="Normal 5 17 2 17 5 6" xfId="35383" xr:uid="{00000000-0005-0000-0000-0000378A0000}"/>
    <cellStyle name="Normal 5 17 2 17 5 7" xfId="35384" xr:uid="{00000000-0005-0000-0000-0000388A0000}"/>
    <cellStyle name="Normal 5 17 2 17 5 8" xfId="35385" xr:uid="{00000000-0005-0000-0000-0000398A0000}"/>
    <cellStyle name="Normal 5 17 2 17 5 9" xfId="35386" xr:uid="{00000000-0005-0000-0000-00003A8A0000}"/>
    <cellStyle name="Normal 5 17 2 17 6" xfId="35387" xr:uid="{00000000-0005-0000-0000-00003B8A0000}"/>
    <cellStyle name="Normal 5 17 2 17 7" xfId="35388" xr:uid="{00000000-0005-0000-0000-00003C8A0000}"/>
    <cellStyle name="Normal 5 17 2 17 8" xfId="35389" xr:uid="{00000000-0005-0000-0000-00003D8A0000}"/>
    <cellStyle name="Normal 5 17 2 17 9" xfId="35390" xr:uid="{00000000-0005-0000-0000-00003E8A0000}"/>
    <cellStyle name="Normal 5 17 2 18" xfId="35391" xr:uid="{00000000-0005-0000-0000-00003F8A0000}"/>
    <cellStyle name="Normal 5 17 2 18 10" xfId="35392" xr:uid="{00000000-0005-0000-0000-0000408A0000}"/>
    <cellStyle name="Normal 5 17 2 18 11" xfId="35393" xr:uid="{00000000-0005-0000-0000-0000418A0000}"/>
    <cellStyle name="Normal 5 17 2 18 12" xfId="35394" xr:uid="{00000000-0005-0000-0000-0000428A0000}"/>
    <cellStyle name="Normal 5 17 2 18 13" xfId="35395" xr:uid="{00000000-0005-0000-0000-0000438A0000}"/>
    <cellStyle name="Normal 5 17 2 18 14" xfId="35396" xr:uid="{00000000-0005-0000-0000-0000448A0000}"/>
    <cellStyle name="Normal 5 17 2 18 2" xfId="35397" xr:uid="{00000000-0005-0000-0000-0000458A0000}"/>
    <cellStyle name="Normal 5 17 2 18 2 10" xfId="35398" xr:uid="{00000000-0005-0000-0000-0000468A0000}"/>
    <cellStyle name="Normal 5 17 2 18 2 2" xfId="35399" xr:uid="{00000000-0005-0000-0000-0000478A0000}"/>
    <cellStyle name="Normal 5 17 2 18 2 3" xfId="35400" xr:uid="{00000000-0005-0000-0000-0000488A0000}"/>
    <cellStyle name="Normal 5 17 2 18 2 4" xfId="35401" xr:uid="{00000000-0005-0000-0000-0000498A0000}"/>
    <cellStyle name="Normal 5 17 2 18 2 5" xfId="35402" xr:uid="{00000000-0005-0000-0000-00004A8A0000}"/>
    <cellStyle name="Normal 5 17 2 18 2 6" xfId="35403" xr:uid="{00000000-0005-0000-0000-00004B8A0000}"/>
    <cellStyle name="Normal 5 17 2 18 2 7" xfId="35404" xr:uid="{00000000-0005-0000-0000-00004C8A0000}"/>
    <cellStyle name="Normal 5 17 2 18 2 8" xfId="35405" xr:uid="{00000000-0005-0000-0000-00004D8A0000}"/>
    <cellStyle name="Normal 5 17 2 18 2 9" xfId="35406" xr:uid="{00000000-0005-0000-0000-00004E8A0000}"/>
    <cellStyle name="Normal 5 17 2 18 3" xfId="35407" xr:uid="{00000000-0005-0000-0000-00004F8A0000}"/>
    <cellStyle name="Normal 5 17 2 18 3 10" xfId="35408" xr:uid="{00000000-0005-0000-0000-0000508A0000}"/>
    <cellStyle name="Normal 5 17 2 18 3 2" xfId="35409" xr:uid="{00000000-0005-0000-0000-0000518A0000}"/>
    <cellStyle name="Normal 5 17 2 18 3 3" xfId="35410" xr:uid="{00000000-0005-0000-0000-0000528A0000}"/>
    <cellStyle name="Normal 5 17 2 18 3 4" xfId="35411" xr:uid="{00000000-0005-0000-0000-0000538A0000}"/>
    <cellStyle name="Normal 5 17 2 18 3 5" xfId="35412" xr:uid="{00000000-0005-0000-0000-0000548A0000}"/>
    <cellStyle name="Normal 5 17 2 18 3 6" xfId="35413" xr:uid="{00000000-0005-0000-0000-0000558A0000}"/>
    <cellStyle name="Normal 5 17 2 18 3 7" xfId="35414" xr:uid="{00000000-0005-0000-0000-0000568A0000}"/>
    <cellStyle name="Normal 5 17 2 18 3 8" xfId="35415" xr:uid="{00000000-0005-0000-0000-0000578A0000}"/>
    <cellStyle name="Normal 5 17 2 18 3 9" xfId="35416" xr:uid="{00000000-0005-0000-0000-0000588A0000}"/>
    <cellStyle name="Normal 5 17 2 18 4" xfId="35417" xr:uid="{00000000-0005-0000-0000-0000598A0000}"/>
    <cellStyle name="Normal 5 17 2 18 4 10" xfId="35418" xr:uid="{00000000-0005-0000-0000-00005A8A0000}"/>
    <cellStyle name="Normal 5 17 2 18 4 2" xfId="35419" xr:uid="{00000000-0005-0000-0000-00005B8A0000}"/>
    <cellStyle name="Normal 5 17 2 18 4 3" xfId="35420" xr:uid="{00000000-0005-0000-0000-00005C8A0000}"/>
    <cellStyle name="Normal 5 17 2 18 4 4" xfId="35421" xr:uid="{00000000-0005-0000-0000-00005D8A0000}"/>
    <cellStyle name="Normal 5 17 2 18 4 5" xfId="35422" xr:uid="{00000000-0005-0000-0000-00005E8A0000}"/>
    <cellStyle name="Normal 5 17 2 18 4 6" xfId="35423" xr:uid="{00000000-0005-0000-0000-00005F8A0000}"/>
    <cellStyle name="Normal 5 17 2 18 4 7" xfId="35424" xr:uid="{00000000-0005-0000-0000-0000608A0000}"/>
    <cellStyle name="Normal 5 17 2 18 4 8" xfId="35425" xr:uid="{00000000-0005-0000-0000-0000618A0000}"/>
    <cellStyle name="Normal 5 17 2 18 4 9" xfId="35426" xr:uid="{00000000-0005-0000-0000-0000628A0000}"/>
    <cellStyle name="Normal 5 17 2 18 5" xfId="35427" xr:uid="{00000000-0005-0000-0000-0000638A0000}"/>
    <cellStyle name="Normal 5 17 2 18 5 10" xfId="35428" xr:uid="{00000000-0005-0000-0000-0000648A0000}"/>
    <cellStyle name="Normal 5 17 2 18 5 2" xfId="35429" xr:uid="{00000000-0005-0000-0000-0000658A0000}"/>
    <cellStyle name="Normal 5 17 2 18 5 3" xfId="35430" xr:uid="{00000000-0005-0000-0000-0000668A0000}"/>
    <cellStyle name="Normal 5 17 2 18 5 4" xfId="35431" xr:uid="{00000000-0005-0000-0000-0000678A0000}"/>
    <cellStyle name="Normal 5 17 2 18 5 5" xfId="35432" xr:uid="{00000000-0005-0000-0000-0000688A0000}"/>
    <cellStyle name="Normal 5 17 2 18 5 6" xfId="35433" xr:uid="{00000000-0005-0000-0000-0000698A0000}"/>
    <cellStyle name="Normal 5 17 2 18 5 7" xfId="35434" xr:uid="{00000000-0005-0000-0000-00006A8A0000}"/>
    <cellStyle name="Normal 5 17 2 18 5 8" xfId="35435" xr:uid="{00000000-0005-0000-0000-00006B8A0000}"/>
    <cellStyle name="Normal 5 17 2 18 5 9" xfId="35436" xr:uid="{00000000-0005-0000-0000-00006C8A0000}"/>
    <cellStyle name="Normal 5 17 2 18 6" xfId="35437" xr:uid="{00000000-0005-0000-0000-00006D8A0000}"/>
    <cellStyle name="Normal 5 17 2 18 7" xfId="35438" xr:uid="{00000000-0005-0000-0000-00006E8A0000}"/>
    <cellStyle name="Normal 5 17 2 18 8" xfId="35439" xr:uid="{00000000-0005-0000-0000-00006F8A0000}"/>
    <cellStyle name="Normal 5 17 2 18 9" xfId="35440" xr:uid="{00000000-0005-0000-0000-0000708A0000}"/>
    <cellStyle name="Normal 5 17 2 19" xfId="35441" xr:uid="{00000000-0005-0000-0000-0000718A0000}"/>
    <cellStyle name="Normal 5 17 2 19 10" xfId="35442" xr:uid="{00000000-0005-0000-0000-0000728A0000}"/>
    <cellStyle name="Normal 5 17 2 19 11" xfId="35443" xr:uid="{00000000-0005-0000-0000-0000738A0000}"/>
    <cellStyle name="Normal 5 17 2 19 12" xfId="35444" xr:uid="{00000000-0005-0000-0000-0000748A0000}"/>
    <cellStyle name="Normal 5 17 2 19 13" xfId="35445" xr:uid="{00000000-0005-0000-0000-0000758A0000}"/>
    <cellStyle name="Normal 5 17 2 19 14" xfId="35446" xr:uid="{00000000-0005-0000-0000-0000768A0000}"/>
    <cellStyle name="Normal 5 17 2 19 2" xfId="35447" xr:uid="{00000000-0005-0000-0000-0000778A0000}"/>
    <cellStyle name="Normal 5 17 2 19 2 10" xfId="35448" xr:uid="{00000000-0005-0000-0000-0000788A0000}"/>
    <cellStyle name="Normal 5 17 2 19 2 2" xfId="35449" xr:uid="{00000000-0005-0000-0000-0000798A0000}"/>
    <cellStyle name="Normal 5 17 2 19 2 3" xfId="35450" xr:uid="{00000000-0005-0000-0000-00007A8A0000}"/>
    <cellStyle name="Normal 5 17 2 19 2 4" xfId="35451" xr:uid="{00000000-0005-0000-0000-00007B8A0000}"/>
    <cellStyle name="Normal 5 17 2 19 2 5" xfId="35452" xr:uid="{00000000-0005-0000-0000-00007C8A0000}"/>
    <cellStyle name="Normal 5 17 2 19 2 6" xfId="35453" xr:uid="{00000000-0005-0000-0000-00007D8A0000}"/>
    <cellStyle name="Normal 5 17 2 19 2 7" xfId="35454" xr:uid="{00000000-0005-0000-0000-00007E8A0000}"/>
    <cellStyle name="Normal 5 17 2 19 2 8" xfId="35455" xr:uid="{00000000-0005-0000-0000-00007F8A0000}"/>
    <cellStyle name="Normal 5 17 2 19 2 9" xfId="35456" xr:uid="{00000000-0005-0000-0000-0000808A0000}"/>
    <cellStyle name="Normal 5 17 2 19 3" xfId="35457" xr:uid="{00000000-0005-0000-0000-0000818A0000}"/>
    <cellStyle name="Normal 5 17 2 19 3 10" xfId="35458" xr:uid="{00000000-0005-0000-0000-0000828A0000}"/>
    <cellStyle name="Normal 5 17 2 19 3 2" xfId="35459" xr:uid="{00000000-0005-0000-0000-0000838A0000}"/>
    <cellStyle name="Normal 5 17 2 19 3 3" xfId="35460" xr:uid="{00000000-0005-0000-0000-0000848A0000}"/>
    <cellStyle name="Normal 5 17 2 19 3 4" xfId="35461" xr:uid="{00000000-0005-0000-0000-0000858A0000}"/>
    <cellStyle name="Normal 5 17 2 19 3 5" xfId="35462" xr:uid="{00000000-0005-0000-0000-0000868A0000}"/>
    <cellStyle name="Normal 5 17 2 19 3 6" xfId="35463" xr:uid="{00000000-0005-0000-0000-0000878A0000}"/>
    <cellStyle name="Normal 5 17 2 19 3 7" xfId="35464" xr:uid="{00000000-0005-0000-0000-0000888A0000}"/>
    <cellStyle name="Normal 5 17 2 19 3 8" xfId="35465" xr:uid="{00000000-0005-0000-0000-0000898A0000}"/>
    <cellStyle name="Normal 5 17 2 19 3 9" xfId="35466" xr:uid="{00000000-0005-0000-0000-00008A8A0000}"/>
    <cellStyle name="Normal 5 17 2 19 4" xfId="35467" xr:uid="{00000000-0005-0000-0000-00008B8A0000}"/>
    <cellStyle name="Normal 5 17 2 19 4 10" xfId="35468" xr:uid="{00000000-0005-0000-0000-00008C8A0000}"/>
    <cellStyle name="Normal 5 17 2 19 4 2" xfId="35469" xr:uid="{00000000-0005-0000-0000-00008D8A0000}"/>
    <cellStyle name="Normal 5 17 2 19 4 3" xfId="35470" xr:uid="{00000000-0005-0000-0000-00008E8A0000}"/>
    <cellStyle name="Normal 5 17 2 19 4 4" xfId="35471" xr:uid="{00000000-0005-0000-0000-00008F8A0000}"/>
    <cellStyle name="Normal 5 17 2 19 4 5" xfId="35472" xr:uid="{00000000-0005-0000-0000-0000908A0000}"/>
    <cellStyle name="Normal 5 17 2 19 4 6" xfId="35473" xr:uid="{00000000-0005-0000-0000-0000918A0000}"/>
    <cellStyle name="Normal 5 17 2 19 4 7" xfId="35474" xr:uid="{00000000-0005-0000-0000-0000928A0000}"/>
    <cellStyle name="Normal 5 17 2 19 4 8" xfId="35475" xr:uid="{00000000-0005-0000-0000-0000938A0000}"/>
    <cellStyle name="Normal 5 17 2 19 4 9" xfId="35476" xr:uid="{00000000-0005-0000-0000-0000948A0000}"/>
    <cellStyle name="Normal 5 17 2 19 5" xfId="35477" xr:uid="{00000000-0005-0000-0000-0000958A0000}"/>
    <cellStyle name="Normal 5 17 2 19 5 10" xfId="35478" xr:uid="{00000000-0005-0000-0000-0000968A0000}"/>
    <cellStyle name="Normal 5 17 2 19 5 2" xfId="35479" xr:uid="{00000000-0005-0000-0000-0000978A0000}"/>
    <cellStyle name="Normal 5 17 2 19 5 3" xfId="35480" xr:uid="{00000000-0005-0000-0000-0000988A0000}"/>
    <cellStyle name="Normal 5 17 2 19 5 4" xfId="35481" xr:uid="{00000000-0005-0000-0000-0000998A0000}"/>
    <cellStyle name="Normal 5 17 2 19 5 5" xfId="35482" xr:uid="{00000000-0005-0000-0000-00009A8A0000}"/>
    <cellStyle name="Normal 5 17 2 19 5 6" xfId="35483" xr:uid="{00000000-0005-0000-0000-00009B8A0000}"/>
    <cellStyle name="Normal 5 17 2 19 5 7" xfId="35484" xr:uid="{00000000-0005-0000-0000-00009C8A0000}"/>
    <cellStyle name="Normal 5 17 2 19 5 8" xfId="35485" xr:uid="{00000000-0005-0000-0000-00009D8A0000}"/>
    <cellStyle name="Normal 5 17 2 19 5 9" xfId="35486" xr:uid="{00000000-0005-0000-0000-00009E8A0000}"/>
    <cellStyle name="Normal 5 17 2 19 6" xfId="35487" xr:uid="{00000000-0005-0000-0000-00009F8A0000}"/>
    <cellStyle name="Normal 5 17 2 19 7" xfId="35488" xr:uid="{00000000-0005-0000-0000-0000A08A0000}"/>
    <cellStyle name="Normal 5 17 2 19 8" xfId="35489" xr:uid="{00000000-0005-0000-0000-0000A18A0000}"/>
    <cellStyle name="Normal 5 17 2 19 9" xfId="35490" xr:uid="{00000000-0005-0000-0000-0000A28A0000}"/>
    <cellStyle name="Normal 5 17 2 2" xfId="35491" xr:uid="{00000000-0005-0000-0000-0000A38A0000}"/>
    <cellStyle name="Normal 5 17 2 2 10" xfId="35492" xr:uid="{00000000-0005-0000-0000-0000A48A0000}"/>
    <cellStyle name="Normal 5 17 2 2 11" xfId="35493" xr:uid="{00000000-0005-0000-0000-0000A58A0000}"/>
    <cellStyle name="Normal 5 17 2 2 12" xfId="35494" xr:uid="{00000000-0005-0000-0000-0000A68A0000}"/>
    <cellStyle name="Normal 5 17 2 2 13" xfId="35495" xr:uid="{00000000-0005-0000-0000-0000A78A0000}"/>
    <cellStyle name="Normal 5 17 2 2 14" xfId="35496" xr:uid="{00000000-0005-0000-0000-0000A88A0000}"/>
    <cellStyle name="Normal 5 17 2 2 15" xfId="35497" xr:uid="{00000000-0005-0000-0000-0000A98A0000}"/>
    <cellStyle name="Normal 5 17 2 2 16" xfId="35498" xr:uid="{00000000-0005-0000-0000-0000AA8A0000}"/>
    <cellStyle name="Normal 5 17 2 2 2" xfId="35499" xr:uid="{00000000-0005-0000-0000-0000AB8A0000}"/>
    <cellStyle name="Normal 5 17 2 2 2 10" xfId="35500" xr:uid="{00000000-0005-0000-0000-0000AC8A0000}"/>
    <cellStyle name="Normal 5 17 2 2 2 2" xfId="35501" xr:uid="{00000000-0005-0000-0000-0000AD8A0000}"/>
    <cellStyle name="Normal 5 17 2 2 2 3" xfId="35502" xr:uid="{00000000-0005-0000-0000-0000AE8A0000}"/>
    <cellStyle name="Normal 5 17 2 2 2 4" xfId="35503" xr:uid="{00000000-0005-0000-0000-0000AF8A0000}"/>
    <cellStyle name="Normal 5 17 2 2 2 5" xfId="35504" xr:uid="{00000000-0005-0000-0000-0000B08A0000}"/>
    <cellStyle name="Normal 5 17 2 2 2 6" xfId="35505" xr:uid="{00000000-0005-0000-0000-0000B18A0000}"/>
    <cellStyle name="Normal 5 17 2 2 2 7" xfId="35506" xr:uid="{00000000-0005-0000-0000-0000B28A0000}"/>
    <cellStyle name="Normal 5 17 2 2 2 8" xfId="35507" xr:uid="{00000000-0005-0000-0000-0000B38A0000}"/>
    <cellStyle name="Normal 5 17 2 2 2 9" xfId="35508" xr:uid="{00000000-0005-0000-0000-0000B48A0000}"/>
    <cellStyle name="Normal 5 17 2 2 3" xfId="35509" xr:uid="{00000000-0005-0000-0000-0000B58A0000}"/>
    <cellStyle name="Normal 5 17 2 2 3 10" xfId="35510" xr:uid="{00000000-0005-0000-0000-0000B68A0000}"/>
    <cellStyle name="Normal 5 17 2 2 3 2" xfId="35511" xr:uid="{00000000-0005-0000-0000-0000B78A0000}"/>
    <cellStyle name="Normal 5 17 2 2 3 3" xfId="35512" xr:uid="{00000000-0005-0000-0000-0000B88A0000}"/>
    <cellStyle name="Normal 5 17 2 2 3 4" xfId="35513" xr:uid="{00000000-0005-0000-0000-0000B98A0000}"/>
    <cellStyle name="Normal 5 17 2 2 3 5" xfId="35514" xr:uid="{00000000-0005-0000-0000-0000BA8A0000}"/>
    <cellStyle name="Normal 5 17 2 2 3 6" xfId="35515" xr:uid="{00000000-0005-0000-0000-0000BB8A0000}"/>
    <cellStyle name="Normal 5 17 2 2 3 7" xfId="35516" xr:uid="{00000000-0005-0000-0000-0000BC8A0000}"/>
    <cellStyle name="Normal 5 17 2 2 3 8" xfId="35517" xr:uid="{00000000-0005-0000-0000-0000BD8A0000}"/>
    <cellStyle name="Normal 5 17 2 2 3 9" xfId="35518" xr:uid="{00000000-0005-0000-0000-0000BE8A0000}"/>
    <cellStyle name="Normal 5 17 2 2 4" xfId="35519" xr:uid="{00000000-0005-0000-0000-0000BF8A0000}"/>
    <cellStyle name="Normal 5 17 2 2 4 10" xfId="35520" xr:uid="{00000000-0005-0000-0000-0000C08A0000}"/>
    <cellStyle name="Normal 5 17 2 2 4 2" xfId="35521" xr:uid="{00000000-0005-0000-0000-0000C18A0000}"/>
    <cellStyle name="Normal 5 17 2 2 4 3" xfId="35522" xr:uid="{00000000-0005-0000-0000-0000C28A0000}"/>
    <cellStyle name="Normal 5 17 2 2 4 4" xfId="35523" xr:uid="{00000000-0005-0000-0000-0000C38A0000}"/>
    <cellStyle name="Normal 5 17 2 2 4 5" xfId="35524" xr:uid="{00000000-0005-0000-0000-0000C48A0000}"/>
    <cellStyle name="Normal 5 17 2 2 4 6" xfId="35525" xr:uid="{00000000-0005-0000-0000-0000C58A0000}"/>
    <cellStyle name="Normal 5 17 2 2 4 7" xfId="35526" xr:uid="{00000000-0005-0000-0000-0000C68A0000}"/>
    <cellStyle name="Normal 5 17 2 2 4 8" xfId="35527" xr:uid="{00000000-0005-0000-0000-0000C78A0000}"/>
    <cellStyle name="Normal 5 17 2 2 4 9" xfId="35528" xr:uid="{00000000-0005-0000-0000-0000C88A0000}"/>
    <cellStyle name="Normal 5 17 2 2 5" xfId="35529" xr:uid="{00000000-0005-0000-0000-0000C98A0000}"/>
    <cellStyle name="Normal 5 17 2 2 5 10" xfId="35530" xr:uid="{00000000-0005-0000-0000-0000CA8A0000}"/>
    <cellStyle name="Normal 5 17 2 2 5 2" xfId="35531" xr:uid="{00000000-0005-0000-0000-0000CB8A0000}"/>
    <cellStyle name="Normal 5 17 2 2 5 3" xfId="35532" xr:uid="{00000000-0005-0000-0000-0000CC8A0000}"/>
    <cellStyle name="Normal 5 17 2 2 5 4" xfId="35533" xr:uid="{00000000-0005-0000-0000-0000CD8A0000}"/>
    <cellStyle name="Normal 5 17 2 2 5 5" xfId="35534" xr:uid="{00000000-0005-0000-0000-0000CE8A0000}"/>
    <cellStyle name="Normal 5 17 2 2 5 6" xfId="35535" xr:uid="{00000000-0005-0000-0000-0000CF8A0000}"/>
    <cellStyle name="Normal 5 17 2 2 5 7" xfId="35536" xr:uid="{00000000-0005-0000-0000-0000D08A0000}"/>
    <cellStyle name="Normal 5 17 2 2 5 8" xfId="35537" xr:uid="{00000000-0005-0000-0000-0000D18A0000}"/>
    <cellStyle name="Normal 5 17 2 2 5 9" xfId="35538" xr:uid="{00000000-0005-0000-0000-0000D28A0000}"/>
    <cellStyle name="Normal 5 17 2 2 6" xfId="35539" xr:uid="{00000000-0005-0000-0000-0000D38A0000}"/>
    <cellStyle name="Normal 5 17 2 2 7" xfId="35540" xr:uid="{00000000-0005-0000-0000-0000D48A0000}"/>
    <cellStyle name="Normal 5 17 2 2 8" xfId="35541" xr:uid="{00000000-0005-0000-0000-0000D58A0000}"/>
    <cellStyle name="Normal 5 17 2 2 9" xfId="35542" xr:uid="{00000000-0005-0000-0000-0000D68A0000}"/>
    <cellStyle name="Normal 5 17 2 20" xfId="35543" xr:uid="{00000000-0005-0000-0000-0000D78A0000}"/>
    <cellStyle name="Normal 5 17 2 20 10" xfId="35544" xr:uid="{00000000-0005-0000-0000-0000D88A0000}"/>
    <cellStyle name="Normal 5 17 2 20 11" xfId="35545" xr:uid="{00000000-0005-0000-0000-0000D98A0000}"/>
    <cellStyle name="Normal 5 17 2 20 12" xfId="35546" xr:uid="{00000000-0005-0000-0000-0000DA8A0000}"/>
    <cellStyle name="Normal 5 17 2 20 13" xfId="35547" xr:uid="{00000000-0005-0000-0000-0000DB8A0000}"/>
    <cellStyle name="Normal 5 17 2 20 14" xfId="35548" xr:uid="{00000000-0005-0000-0000-0000DC8A0000}"/>
    <cellStyle name="Normal 5 17 2 20 2" xfId="35549" xr:uid="{00000000-0005-0000-0000-0000DD8A0000}"/>
    <cellStyle name="Normal 5 17 2 20 2 10" xfId="35550" xr:uid="{00000000-0005-0000-0000-0000DE8A0000}"/>
    <cellStyle name="Normal 5 17 2 20 2 2" xfId="35551" xr:uid="{00000000-0005-0000-0000-0000DF8A0000}"/>
    <cellStyle name="Normal 5 17 2 20 2 3" xfId="35552" xr:uid="{00000000-0005-0000-0000-0000E08A0000}"/>
    <cellStyle name="Normal 5 17 2 20 2 4" xfId="35553" xr:uid="{00000000-0005-0000-0000-0000E18A0000}"/>
    <cellStyle name="Normal 5 17 2 20 2 5" xfId="35554" xr:uid="{00000000-0005-0000-0000-0000E28A0000}"/>
    <cellStyle name="Normal 5 17 2 20 2 6" xfId="35555" xr:uid="{00000000-0005-0000-0000-0000E38A0000}"/>
    <cellStyle name="Normal 5 17 2 20 2 7" xfId="35556" xr:uid="{00000000-0005-0000-0000-0000E48A0000}"/>
    <cellStyle name="Normal 5 17 2 20 2 8" xfId="35557" xr:uid="{00000000-0005-0000-0000-0000E58A0000}"/>
    <cellStyle name="Normal 5 17 2 20 2 9" xfId="35558" xr:uid="{00000000-0005-0000-0000-0000E68A0000}"/>
    <cellStyle name="Normal 5 17 2 20 3" xfId="35559" xr:uid="{00000000-0005-0000-0000-0000E78A0000}"/>
    <cellStyle name="Normal 5 17 2 20 3 10" xfId="35560" xr:uid="{00000000-0005-0000-0000-0000E88A0000}"/>
    <cellStyle name="Normal 5 17 2 20 3 2" xfId="35561" xr:uid="{00000000-0005-0000-0000-0000E98A0000}"/>
    <cellStyle name="Normal 5 17 2 20 3 3" xfId="35562" xr:uid="{00000000-0005-0000-0000-0000EA8A0000}"/>
    <cellStyle name="Normal 5 17 2 20 3 4" xfId="35563" xr:uid="{00000000-0005-0000-0000-0000EB8A0000}"/>
    <cellStyle name="Normal 5 17 2 20 3 5" xfId="35564" xr:uid="{00000000-0005-0000-0000-0000EC8A0000}"/>
    <cellStyle name="Normal 5 17 2 20 3 6" xfId="35565" xr:uid="{00000000-0005-0000-0000-0000ED8A0000}"/>
    <cellStyle name="Normal 5 17 2 20 3 7" xfId="35566" xr:uid="{00000000-0005-0000-0000-0000EE8A0000}"/>
    <cellStyle name="Normal 5 17 2 20 3 8" xfId="35567" xr:uid="{00000000-0005-0000-0000-0000EF8A0000}"/>
    <cellStyle name="Normal 5 17 2 20 3 9" xfId="35568" xr:uid="{00000000-0005-0000-0000-0000F08A0000}"/>
    <cellStyle name="Normal 5 17 2 20 4" xfId="35569" xr:uid="{00000000-0005-0000-0000-0000F18A0000}"/>
    <cellStyle name="Normal 5 17 2 20 4 10" xfId="35570" xr:uid="{00000000-0005-0000-0000-0000F28A0000}"/>
    <cellStyle name="Normal 5 17 2 20 4 2" xfId="35571" xr:uid="{00000000-0005-0000-0000-0000F38A0000}"/>
    <cellStyle name="Normal 5 17 2 20 4 3" xfId="35572" xr:uid="{00000000-0005-0000-0000-0000F48A0000}"/>
    <cellStyle name="Normal 5 17 2 20 4 4" xfId="35573" xr:uid="{00000000-0005-0000-0000-0000F58A0000}"/>
    <cellStyle name="Normal 5 17 2 20 4 5" xfId="35574" xr:uid="{00000000-0005-0000-0000-0000F68A0000}"/>
    <cellStyle name="Normal 5 17 2 20 4 6" xfId="35575" xr:uid="{00000000-0005-0000-0000-0000F78A0000}"/>
    <cellStyle name="Normal 5 17 2 20 4 7" xfId="35576" xr:uid="{00000000-0005-0000-0000-0000F88A0000}"/>
    <cellStyle name="Normal 5 17 2 20 4 8" xfId="35577" xr:uid="{00000000-0005-0000-0000-0000F98A0000}"/>
    <cellStyle name="Normal 5 17 2 20 4 9" xfId="35578" xr:uid="{00000000-0005-0000-0000-0000FA8A0000}"/>
    <cellStyle name="Normal 5 17 2 20 5" xfId="35579" xr:uid="{00000000-0005-0000-0000-0000FB8A0000}"/>
    <cellStyle name="Normal 5 17 2 20 5 10" xfId="35580" xr:uid="{00000000-0005-0000-0000-0000FC8A0000}"/>
    <cellStyle name="Normal 5 17 2 20 5 2" xfId="35581" xr:uid="{00000000-0005-0000-0000-0000FD8A0000}"/>
    <cellStyle name="Normal 5 17 2 20 5 3" xfId="35582" xr:uid="{00000000-0005-0000-0000-0000FE8A0000}"/>
    <cellStyle name="Normal 5 17 2 20 5 4" xfId="35583" xr:uid="{00000000-0005-0000-0000-0000FF8A0000}"/>
    <cellStyle name="Normal 5 17 2 20 5 5" xfId="35584" xr:uid="{00000000-0005-0000-0000-0000008B0000}"/>
    <cellStyle name="Normal 5 17 2 20 5 6" xfId="35585" xr:uid="{00000000-0005-0000-0000-0000018B0000}"/>
    <cellStyle name="Normal 5 17 2 20 5 7" xfId="35586" xr:uid="{00000000-0005-0000-0000-0000028B0000}"/>
    <cellStyle name="Normal 5 17 2 20 5 8" xfId="35587" xr:uid="{00000000-0005-0000-0000-0000038B0000}"/>
    <cellStyle name="Normal 5 17 2 20 5 9" xfId="35588" xr:uid="{00000000-0005-0000-0000-0000048B0000}"/>
    <cellStyle name="Normal 5 17 2 20 6" xfId="35589" xr:uid="{00000000-0005-0000-0000-0000058B0000}"/>
    <cellStyle name="Normal 5 17 2 20 7" xfId="35590" xr:uid="{00000000-0005-0000-0000-0000068B0000}"/>
    <cellStyle name="Normal 5 17 2 20 8" xfId="35591" xr:uid="{00000000-0005-0000-0000-0000078B0000}"/>
    <cellStyle name="Normal 5 17 2 20 9" xfId="35592" xr:uid="{00000000-0005-0000-0000-0000088B0000}"/>
    <cellStyle name="Normal 5 17 2 21" xfId="35593" xr:uid="{00000000-0005-0000-0000-0000098B0000}"/>
    <cellStyle name="Normal 5 17 2 21 10" xfId="35594" xr:uid="{00000000-0005-0000-0000-00000A8B0000}"/>
    <cellStyle name="Normal 5 17 2 21 11" xfId="35595" xr:uid="{00000000-0005-0000-0000-00000B8B0000}"/>
    <cellStyle name="Normal 5 17 2 21 12" xfId="35596" xr:uid="{00000000-0005-0000-0000-00000C8B0000}"/>
    <cellStyle name="Normal 5 17 2 21 13" xfId="35597" xr:uid="{00000000-0005-0000-0000-00000D8B0000}"/>
    <cellStyle name="Normal 5 17 2 21 14" xfId="35598" xr:uid="{00000000-0005-0000-0000-00000E8B0000}"/>
    <cellStyle name="Normal 5 17 2 21 2" xfId="35599" xr:uid="{00000000-0005-0000-0000-00000F8B0000}"/>
    <cellStyle name="Normal 5 17 2 21 2 10" xfId="35600" xr:uid="{00000000-0005-0000-0000-0000108B0000}"/>
    <cellStyle name="Normal 5 17 2 21 2 2" xfId="35601" xr:uid="{00000000-0005-0000-0000-0000118B0000}"/>
    <cellStyle name="Normal 5 17 2 21 2 3" xfId="35602" xr:uid="{00000000-0005-0000-0000-0000128B0000}"/>
    <cellStyle name="Normal 5 17 2 21 2 4" xfId="35603" xr:uid="{00000000-0005-0000-0000-0000138B0000}"/>
    <cellStyle name="Normal 5 17 2 21 2 5" xfId="35604" xr:uid="{00000000-0005-0000-0000-0000148B0000}"/>
    <cellStyle name="Normal 5 17 2 21 2 6" xfId="35605" xr:uid="{00000000-0005-0000-0000-0000158B0000}"/>
    <cellStyle name="Normal 5 17 2 21 2 7" xfId="35606" xr:uid="{00000000-0005-0000-0000-0000168B0000}"/>
    <cellStyle name="Normal 5 17 2 21 2 8" xfId="35607" xr:uid="{00000000-0005-0000-0000-0000178B0000}"/>
    <cellStyle name="Normal 5 17 2 21 2 9" xfId="35608" xr:uid="{00000000-0005-0000-0000-0000188B0000}"/>
    <cellStyle name="Normal 5 17 2 21 3" xfId="35609" xr:uid="{00000000-0005-0000-0000-0000198B0000}"/>
    <cellStyle name="Normal 5 17 2 21 3 10" xfId="35610" xr:uid="{00000000-0005-0000-0000-00001A8B0000}"/>
    <cellStyle name="Normal 5 17 2 21 3 2" xfId="35611" xr:uid="{00000000-0005-0000-0000-00001B8B0000}"/>
    <cellStyle name="Normal 5 17 2 21 3 3" xfId="35612" xr:uid="{00000000-0005-0000-0000-00001C8B0000}"/>
    <cellStyle name="Normal 5 17 2 21 3 4" xfId="35613" xr:uid="{00000000-0005-0000-0000-00001D8B0000}"/>
    <cellStyle name="Normal 5 17 2 21 3 5" xfId="35614" xr:uid="{00000000-0005-0000-0000-00001E8B0000}"/>
    <cellStyle name="Normal 5 17 2 21 3 6" xfId="35615" xr:uid="{00000000-0005-0000-0000-00001F8B0000}"/>
    <cellStyle name="Normal 5 17 2 21 3 7" xfId="35616" xr:uid="{00000000-0005-0000-0000-0000208B0000}"/>
    <cellStyle name="Normal 5 17 2 21 3 8" xfId="35617" xr:uid="{00000000-0005-0000-0000-0000218B0000}"/>
    <cellStyle name="Normal 5 17 2 21 3 9" xfId="35618" xr:uid="{00000000-0005-0000-0000-0000228B0000}"/>
    <cellStyle name="Normal 5 17 2 21 4" xfId="35619" xr:uid="{00000000-0005-0000-0000-0000238B0000}"/>
    <cellStyle name="Normal 5 17 2 21 4 10" xfId="35620" xr:uid="{00000000-0005-0000-0000-0000248B0000}"/>
    <cellStyle name="Normal 5 17 2 21 4 2" xfId="35621" xr:uid="{00000000-0005-0000-0000-0000258B0000}"/>
    <cellStyle name="Normal 5 17 2 21 4 3" xfId="35622" xr:uid="{00000000-0005-0000-0000-0000268B0000}"/>
    <cellStyle name="Normal 5 17 2 21 4 4" xfId="35623" xr:uid="{00000000-0005-0000-0000-0000278B0000}"/>
    <cellStyle name="Normal 5 17 2 21 4 5" xfId="35624" xr:uid="{00000000-0005-0000-0000-0000288B0000}"/>
    <cellStyle name="Normal 5 17 2 21 4 6" xfId="35625" xr:uid="{00000000-0005-0000-0000-0000298B0000}"/>
    <cellStyle name="Normal 5 17 2 21 4 7" xfId="35626" xr:uid="{00000000-0005-0000-0000-00002A8B0000}"/>
    <cellStyle name="Normal 5 17 2 21 4 8" xfId="35627" xr:uid="{00000000-0005-0000-0000-00002B8B0000}"/>
    <cellStyle name="Normal 5 17 2 21 4 9" xfId="35628" xr:uid="{00000000-0005-0000-0000-00002C8B0000}"/>
    <cellStyle name="Normal 5 17 2 21 5" xfId="35629" xr:uid="{00000000-0005-0000-0000-00002D8B0000}"/>
    <cellStyle name="Normal 5 17 2 21 5 10" xfId="35630" xr:uid="{00000000-0005-0000-0000-00002E8B0000}"/>
    <cellStyle name="Normal 5 17 2 21 5 2" xfId="35631" xr:uid="{00000000-0005-0000-0000-00002F8B0000}"/>
    <cellStyle name="Normal 5 17 2 21 5 3" xfId="35632" xr:uid="{00000000-0005-0000-0000-0000308B0000}"/>
    <cellStyle name="Normal 5 17 2 21 5 4" xfId="35633" xr:uid="{00000000-0005-0000-0000-0000318B0000}"/>
    <cellStyle name="Normal 5 17 2 21 5 5" xfId="35634" xr:uid="{00000000-0005-0000-0000-0000328B0000}"/>
    <cellStyle name="Normal 5 17 2 21 5 6" xfId="35635" xr:uid="{00000000-0005-0000-0000-0000338B0000}"/>
    <cellStyle name="Normal 5 17 2 21 5 7" xfId="35636" xr:uid="{00000000-0005-0000-0000-0000348B0000}"/>
    <cellStyle name="Normal 5 17 2 21 5 8" xfId="35637" xr:uid="{00000000-0005-0000-0000-0000358B0000}"/>
    <cellStyle name="Normal 5 17 2 21 5 9" xfId="35638" xr:uid="{00000000-0005-0000-0000-0000368B0000}"/>
    <cellStyle name="Normal 5 17 2 21 6" xfId="35639" xr:uid="{00000000-0005-0000-0000-0000378B0000}"/>
    <cellStyle name="Normal 5 17 2 21 7" xfId="35640" xr:uid="{00000000-0005-0000-0000-0000388B0000}"/>
    <cellStyle name="Normal 5 17 2 21 8" xfId="35641" xr:uid="{00000000-0005-0000-0000-0000398B0000}"/>
    <cellStyle name="Normal 5 17 2 21 9" xfId="35642" xr:uid="{00000000-0005-0000-0000-00003A8B0000}"/>
    <cellStyle name="Normal 5 17 2 22" xfId="35643" xr:uid="{00000000-0005-0000-0000-00003B8B0000}"/>
    <cellStyle name="Normal 5 17 2 22 10" xfId="35644" xr:uid="{00000000-0005-0000-0000-00003C8B0000}"/>
    <cellStyle name="Normal 5 17 2 22 11" xfId="35645" xr:uid="{00000000-0005-0000-0000-00003D8B0000}"/>
    <cellStyle name="Normal 5 17 2 22 12" xfId="35646" xr:uid="{00000000-0005-0000-0000-00003E8B0000}"/>
    <cellStyle name="Normal 5 17 2 22 13" xfId="35647" xr:uid="{00000000-0005-0000-0000-00003F8B0000}"/>
    <cellStyle name="Normal 5 17 2 22 14" xfId="35648" xr:uid="{00000000-0005-0000-0000-0000408B0000}"/>
    <cellStyle name="Normal 5 17 2 22 2" xfId="35649" xr:uid="{00000000-0005-0000-0000-0000418B0000}"/>
    <cellStyle name="Normal 5 17 2 22 2 10" xfId="35650" xr:uid="{00000000-0005-0000-0000-0000428B0000}"/>
    <cellStyle name="Normal 5 17 2 22 2 2" xfId="35651" xr:uid="{00000000-0005-0000-0000-0000438B0000}"/>
    <cellStyle name="Normal 5 17 2 22 2 3" xfId="35652" xr:uid="{00000000-0005-0000-0000-0000448B0000}"/>
    <cellStyle name="Normal 5 17 2 22 2 4" xfId="35653" xr:uid="{00000000-0005-0000-0000-0000458B0000}"/>
    <cellStyle name="Normal 5 17 2 22 2 5" xfId="35654" xr:uid="{00000000-0005-0000-0000-0000468B0000}"/>
    <cellStyle name="Normal 5 17 2 22 2 6" xfId="35655" xr:uid="{00000000-0005-0000-0000-0000478B0000}"/>
    <cellStyle name="Normal 5 17 2 22 2 7" xfId="35656" xr:uid="{00000000-0005-0000-0000-0000488B0000}"/>
    <cellStyle name="Normal 5 17 2 22 2 8" xfId="35657" xr:uid="{00000000-0005-0000-0000-0000498B0000}"/>
    <cellStyle name="Normal 5 17 2 22 2 9" xfId="35658" xr:uid="{00000000-0005-0000-0000-00004A8B0000}"/>
    <cellStyle name="Normal 5 17 2 22 3" xfId="35659" xr:uid="{00000000-0005-0000-0000-00004B8B0000}"/>
    <cellStyle name="Normal 5 17 2 22 3 10" xfId="35660" xr:uid="{00000000-0005-0000-0000-00004C8B0000}"/>
    <cellStyle name="Normal 5 17 2 22 3 2" xfId="35661" xr:uid="{00000000-0005-0000-0000-00004D8B0000}"/>
    <cellStyle name="Normal 5 17 2 22 3 3" xfId="35662" xr:uid="{00000000-0005-0000-0000-00004E8B0000}"/>
    <cellStyle name="Normal 5 17 2 22 3 4" xfId="35663" xr:uid="{00000000-0005-0000-0000-00004F8B0000}"/>
    <cellStyle name="Normal 5 17 2 22 3 5" xfId="35664" xr:uid="{00000000-0005-0000-0000-0000508B0000}"/>
    <cellStyle name="Normal 5 17 2 22 3 6" xfId="35665" xr:uid="{00000000-0005-0000-0000-0000518B0000}"/>
    <cellStyle name="Normal 5 17 2 22 3 7" xfId="35666" xr:uid="{00000000-0005-0000-0000-0000528B0000}"/>
    <cellStyle name="Normal 5 17 2 22 3 8" xfId="35667" xr:uid="{00000000-0005-0000-0000-0000538B0000}"/>
    <cellStyle name="Normal 5 17 2 22 3 9" xfId="35668" xr:uid="{00000000-0005-0000-0000-0000548B0000}"/>
    <cellStyle name="Normal 5 17 2 22 4" xfId="35669" xr:uid="{00000000-0005-0000-0000-0000558B0000}"/>
    <cellStyle name="Normal 5 17 2 22 4 10" xfId="35670" xr:uid="{00000000-0005-0000-0000-0000568B0000}"/>
    <cellStyle name="Normal 5 17 2 22 4 2" xfId="35671" xr:uid="{00000000-0005-0000-0000-0000578B0000}"/>
    <cellStyle name="Normal 5 17 2 22 4 3" xfId="35672" xr:uid="{00000000-0005-0000-0000-0000588B0000}"/>
    <cellStyle name="Normal 5 17 2 22 4 4" xfId="35673" xr:uid="{00000000-0005-0000-0000-0000598B0000}"/>
    <cellStyle name="Normal 5 17 2 22 4 5" xfId="35674" xr:uid="{00000000-0005-0000-0000-00005A8B0000}"/>
    <cellStyle name="Normal 5 17 2 22 4 6" xfId="35675" xr:uid="{00000000-0005-0000-0000-00005B8B0000}"/>
    <cellStyle name="Normal 5 17 2 22 4 7" xfId="35676" xr:uid="{00000000-0005-0000-0000-00005C8B0000}"/>
    <cellStyle name="Normal 5 17 2 22 4 8" xfId="35677" xr:uid="{00000000-0005-0000-0000-00005D8B0000}"/>
    <cellStyle name="Normal 5 17 2 22 4 9" xfId="35678" xr:uid="{00000000-0005-0000-0000-00005E8B0000}"/>
    <cellStyle name="Normal 5 17 2 22 5" xfId="35679" xr:uid="{00000000-0005-0000-0000-00005F8B0000}"/>
    <cellStyle name="Normal 5 17 2 22 5 10" xfId="35680" xr:uid="{00000000-0005-0000-0000-0000608B0000}"/>
    <cellStyle name="Normal 5 17 2 22 5 2" xfId="35681" xr:uid="{00000000-0005-0000-0000-0000618B0000}"/>
    <cellStyle name="Normal 5 17 2 22 5 3" xfId="35682" xr:uid="{00000000-0005-0000-0000-0000628B0000}"/>
    <cellStyle name="Normal 5 17 2 22 5 4" xfId="35683" xr:uid="{00000000-0005-0000-0000-0000638B0000}"/>
    <cellStyle name="Normal 5 17 2 22 5 5" xfId="35684" xr:uid="{00000000-0005-0000-0000-0000648B0000}"/>
    <cellStyle name="Normal 5 17 2 22 5 6" xfId="35685" xr:uid="{00000000-0005-0000-0000-0000658B0000}"/>
    <cellStyle name="Normal 5 17 2 22 5 7" xfId="35686" xr:uid="{00000000-0005-0000-0000-0000668B0000}"/>
    <cellStyle name="Normal 5 17 2 22 5 8" xfId="35687" xr:uid="{00000000-0005-0000-0000-0000678B0000}"/>
    <cellStyle name="Normal 5 17 2 22 5 9" xfId="35688" xr:uid="{00000000-0005-0000-0000-0000688B0000}"/>
    <cellStyle name="Normal 5 17 2 22 6" xfId="35689" xr:uid="{00000000-0005-0000-0000-0000698B0000}"/>
    <cellStyle name="Normal 5 17 2 22 7" xfId="35690" xr:uid="{00000000-0005-0000-0000-00006A8B0000}"/>
    <cellStyle name="Normal 5 17 2 22 8" xfId="35691" xr:uid="{00000000-0005-0000-0000-00006B8B0000}"/>
    <cellStyle name="Normal 5 17 2 22 9" xfId="35692" xr:uid="{00000000-0005-0000-0000-00006C8B0000}"/>
    <cellStyle name="Normal 5 17 2 23" xfId="35693" xr:uid="{00000000-0005-0000-0000-00006D8B0000}"/>
    <cellStyle name="Normal 5 17 2 23 10" xfId="35694" xr:uid="{00000000-0005-0000-0000-00006E8B0000}"/>
    <cellStyle name="Normal 5 17 2 23 11" xfId="35695" xr:uid="{00000000-0005-0000-0000-00006F8B0000}"/>
    <cellStyle name="Normal 5 17 2 23 12" xfId="35696" xr:uid="{00000000-0005-0000-0000-0000708B0000}"/>
    <cellStyle name="Normal 5 17 2 23 13" xfId="35697" xr:uid="{00000000-0005-0000-0000-0000718B0000}"/>
    <cellStyle name="Normal 5 17 2 23 14" xfId="35698" xr:uid="{00000000-0005-0000-0000-0000728B0000}"/>
    <cellStyle name="Normal 5 17 2 23 2" xfId="35699" xr:uid="{00000000-0005-0000-0000-0000738B0000}"/>
    <cellStyle name="Normal 5 17 2 23 2 10" xfId="35700" xr:uid="{00000000-0005-0000-0000-0000748B0000}"/>
    <cellStyle name="Normal 5 17 2 23 2 2" xfId="35701" xr:uid="{00000000-0005-0000-0000-0000758B0000}"/>
    <cellStyle name="Normal 5 17 2 23 2 3" xfId="35702" xr:uid="{00000000-0005-0000-0000-0000768B0000}"/>
    <cellStyle name="Normal 5 17 2 23 2 4" xfId="35703" xr:uid="{00000000-0005-0000-0000-0000778B0000}"/>
    <cellStyle name="Normal 5 17 2 23 2 5" xfId="35704" xr:uid="{00000000-0005-0000-0000-0000788B0000}"/>
    <cellStyle name="Normal 5 17 2 23 2 6" xfId="35705" xr:uid="{00000000-0005-0000-0000-0000798B0000}"/>
    <cellStyle name="Normal 5 17 2 23 2 7" xfId="35706" xr:uid="{00000000-0005-0000-0000-00007A8B0000}"/>
    <cellStyle name="Normal 5 17 2 23 2 8" xfId="35707" xr:uid="{00000000-0005-0000-0000-00007B8B0000}"/>
    <cellStyle name="Normal 5 17 2 23 2 9" xfId="35708" xr:uid="{00000000-0005-0000-0000-00007C8B0000}"/>
    <cellStyle name="Normal 5 17 2 23 3" xfId="35709" xr:uid="{00000000-0005-0000-0000-00007D8B0000}"/>
    <cellStyle name="Normal 5 17 2 23 3 10" xfId="35710" xr:uid="{00000000-0005-0000-0000-00007E8B0000}"/>
    <cellStyle name="Normal 5 17 2 23 3 2" xfId="35711" xr:uid="{00000000-0005-0000-0000-00007F8B0000}"/>
    <cellStyle name="Normal 5 17 2 23 3 3" xfId="35712" xr:uid="{00000000-0005-0000-0000-0000808B0000}"/>
    <cellStyle name="Normal 5 17 2 23 3 4" xfId="35713" xr:uid="{00000000-0005-0000-0000-0000818B0000}"/>
    <cellStyle name="Normal 5 17 2 23 3 5" xfId="35714" xr:uid="{00000000-0005-0000-0000-0000828B0000}"/>
    <cellStyle name="Normal 5 17 2 23 3 6" xfId="35715" xr:uid="{00000000-0005-0000-0000-0000838B0000}"/>
    <cellStyle name="Normal 5 17 2 23 3 7" xfId="35716" xr:uid="{00000000-0005-0000-0000-0000848B0000}"/>
    <cellStyle name="Normal 5 17 2 23 3 8" xfId="35717" xr:uid="{00000000-0005-0000-0000-0000858B0000}"/>
    <cellStyle name="Normal 5 17 2 23 3 9" xfId="35718" xr:uid="{00000000-0005-0000-0000-0000868B0000}"/>
    <cellStyle name="Normal 5 17 2 23 4" xfId="35719" xr:uid="{00000000-0005-0000-0000-0000878B0000}"/>
    <cellStyle name="Normal 5 17 2 23 4 10" xfId="35720" xr:uid="{00000000-0005-0000-0000-0000888B0000}"/>
    <cellStyle name="Normal 5 17 2 23 4 2" xfId="35721" xr:uid="{00000000-0005-0000-0000-0000898B0000}"/>
    <cellStyle name="Normal 5 17 2 23 4 3" xfId="35722" xr:uid="{00000000-0005-0000-0000-00008A8B0000}"/>
    <cellStyle name="Normal 5 17 2 23 4 4" xfId="35723" xr:uid="{00000000-0005-0000-0000-00008B8B0000}"/>
    <cellStyle name="Normal 5 17 2 23 4 5" xfId="35724" xr:uid="{00000000-0005-0000-0000-00008C8B0000}"/>
    <cellStyle name="Normal 5 17 2 23 4 6" xfId="35725" xr:uid="{00000000-0005-0000-0000-00008D8B0000}"/>
    <cellStyle name="Normal 5 17 2 23 4 7" xfId="35726" xr:uid="{00000000-0005-0000-0000-00008E8B0000}"/>
    <cellStyle name="Normal 5 17 2 23 4 8" xfId="35727" xr:uid="{00000000-0005-0000-0000-00008F8B0000}"/>
    <cellStyle name="Normal 5 17 2 23 4 9" xfId="35728" xr:uid="{00000000-0005-0000-0000-0000908B0000}"/>
    <cellStyle name="Normal 5 17 2 23 5" xfId="35729" xr:uid="{00000000-0005-0000-0000-0000918B0000}"/>
    <cellStyle name="Normal 5 17 2 23 5 10" xfId="35730" xr:uid="{00000000-0005-0000-0000-0000928B0000}"/>
    <cellStyle name="Normal 5 17 2 23 5 2" xfId="35731" xr:uid="{00000000-0005-0000-0000-0000938B0000}"/>
    <cellStyle name="Normal 5 17 2 23 5 3" xfId="35732" xr:uid="{00000000-0005-0000-0000-0000948B0000}"/>
    <cellStyle name="Normal 5 17 2 23 5 4" xfId="35733" xr:uid="{00000000-0005-0000-0000-0000958B0000}"/>
    <cellStyle name="Normal 5 17 2 23 5 5" xfId="35734" xr:uid="{00000000-0005-0000-0000-0000968B0000}"/>
    <cellStyle name="Normal 5 17 2 23 5 6" xfId="35735" xr:uid="{00000000-0005-0000-0000-0000978B0000}"/>
    <cellStyle name="Normal 5 17 2 23 5 7" xfId="35736" xr:uid="{00000000-0005-0000-0000-0000988B0000}"/>
    <cellStyle name="Normal 5 17 2 23 5 8" xfId="35737" xr:uid="{00000000-0005-0000-0000-0000998B0000}"/>
    <cellStyle name="Normal 5 17 2 23 5 9" xfId="35738" xr:uid="{00000000-0005-0000-0000-00009A8B0000}"/>
    <cellStyle name="Normal 5 17 2 23 6" xfId="35739" xr:uid="{00000000-0005-0000-0000-00009B8B0000}"/>
    <cellStyle name="Normal 5 17 2 23 7" xfId="35740" xr:uid="{00000000-0005-0000-0000-00009C8B0000}"/>
    <cellStyle name="Normal 5 17 2 23 8" xfId="35741" xr:uid="{00000000-0005-0000-0000-00009D8B0000}"/>
    <cellStyle name="Normal 5 17 2 23 9" xfId="35742" xr:uid="{00000000-0005-0000-0000-00009E8B0000}"/>
    <cellStyle name="Normal 5 17 2 24" xfId="35743" xr:uid="{00000000-0005-0000-0000-00009F8B0000}"/>
    <cellStyle name="Normal 5 17 2 24 10" xfId="35744" xr:uid="{00000000-0005-0000-0000-0000A08B0000}"/>
    <cellStyle name="Normal 5 17 2 24 11" xfId="35745" xr:uid="{00000000-0005-0000-0000-0000A18B0000}"/>
    <cellStyle name="Normal 5 17 2 24 12" xfId="35746" xr:uid="{00000000-0005-0000-0000-0000A28B0000}"/>
    <cellStyle name="Normal 5 17 2 24 13" xfId="35747" xr:uid="{00000000-0005-0000-0000-0000A38B0000}"/>
    <cellStyle name="Normal 5 17 2 24 14" xfId="35748" xr:uid="{00000000-0005-0000-0000-0000A48B0000}"/>
    <cellStyle name="Normal 5 17 2 24 2" xfId="35749" xr:uid="{00000000-0005-0000-0000-0000A58B0000}"/>
    <cellStyle name="Normal 5 17 2 24 2 10" xfId="35750" xr:uid="{00000000-0005-0000-0000-0000A68B0000}"/>
    <cellStyle name="Normal 5 17 2 24 2 2" xfId="35751" xr:uid="{00000000-0005-0000-0000-0000A78B0000}"/>
    <cellStyle name="Normal 5 17 2 24 2 3" xfId="35752" xr:uid="{00000000-0005-0000-0000-0000A88B0000}"/>
    <cellStyle name="Normal 5 17 2 24 2 4" xfId="35753" xr:uid="{00000000-0005-0000-0000-0000A98B0000}"/>
    <cellStyle name="Normal 5 17 2 24 2 5" xfId="35754" xr:uid="{00000000-0005-0000-0000-0000AA8B0000}"/>
    <cellStyle name="Normal 5 17 2 24 2 6" xfId="35755" xr:uid="{00000000-0005-0000-0000-0000AB8B0000}"/>
    <cellStyle name="Normal 5 17 2 24 2 7" xfId="35756" xr:uid="{00000000-0005-0000-0000-0000AC8B0000}"/>
    <cellStyle name="Normal 5 17 2 24 2 8" xfId="35757" xr:uid="{00000000-0005-0000-0000-0000AD8B0000}"/>
    <cellStyle name="Normal 5 17 2 24 2 9" xfId="35758" xr:uid="{00000000-0005-0000-0000-0000AE8B0000}"/>
    <cellStyle name="Normal 5 17 2 24 3" xfId="35759" xr:uid="{00000000-0005-0000-0000-0000AF8B0000}"/>
    <cellStyle name="Normal 5 17 2 24 3 10" xfId="35760" xr:uid="{00000000-0005-0000-0000-0000B08B0000}"/>
    <cellStyle name="Normal 5 17 2 24 3 2" xfId="35761" xr:uid="{00000000-0005-0000-0000-0000B18B0000}"/>
    <cellStyle name="Normal 5 17 2 24 3 3" xfId="35762" xr:uid="{00000000-0005-0000-0000-0000B28B0000}"/>
    <cellStyle name="Normal 5 17 2 24 3 4" xfId="35763" xr:uid="{00000000-0005-0000-0000-0000B38B0000}"/>
    <cellStyle name="Normal 5 17 2 24 3 5" xfId="35764" xr:uid="{00000000-0005-0000-0000-0000B48B0000}"/>
    <cellStyle name="Normal 5 17 2 24 3 6" xfId="35765" xr:uid="{00000000-0005-0000-0000-0000B58B0000}"/>
    <cellStyle name="Normal 5 17 2 24 3 7" xfId="35766" xr:uid="{00000000-0005-0000-0000-0000B68B0000}"/>
    <cellStyle name="Normal 5 17 2 24 3 8" xfId="35767" xr:uid="{00000000-0005-0000-0000-0000B78B0000}"/>
    <cellStyle name="Normal 5 17 2 24 3 9" xfId="35768" xr:uid="{00000000-0005-0000-0000-0000B88B0000}"/>
    <cellStyle name="Normal 5 17 2 24 4" xfId="35769" xr:uid="{00000000-0005-0000-0000-0000B98B0000}"/>
    <cellStyle name="Normal 5 17 2 24 4 10" xfId="35770" xr:uid="{00000000-0005-0000-0000-0000BA8B0000}"/>
    <cellStyle name="Normal 5 17 2 24 4 2" xfId="35771" xr:uid="{00000000-0005-0000-0000-0000BB8B0000}"/>
    <cellStyle name="Normal 5 17 2 24 4 3" xfId="35772" xr:uid="{00000000-0005-0000-0000-0000BC8B0000}"/>
    <cellStyle name="Normal 5 17 2 24 4 4" xfId="35773" xr:uid="{00000000-0005-0000-0000-0000BD8B0000}"/>
    <cellStyle name="Normal 5 17 2 24 4 5" xfId="35774" xr:uid="{00000000-0005-0000-0000-0000BE8B0000}"/>
    <cellStyle name="Normal 5 17 2 24 4 6" xfId="35775" xr:uid="{00000000-0005-0000-0000-0000BF8B0000}"/>
    <cellStyle name="Normal 5 17 2 24 4 7" xfId="35776" xr:uid="{00000000-0005-0000-0000-0000C08B0000}"/>
    <cellStyle name="Normal 5 17 2 24 4 8" xfId="35777" xr:uid="{00000000-0005-0000-0000-0000C18B0000}"/>
    <cellStyle name="Normal 5 17 2 24 4 9" xfId="35778" xr:uid="{00000000-0005-0000-0000-0000C28B0000}"/>
    <cellStyle name="Normal 5 17 2 24 5" xfId="35779" xr:uid="{00000000-0005-0000-0000-0000C38B0000}"/>
    <cellStyle name="Normal 5 17 2 24 5 10" xfId="35780" xr:uid="{00000000-0005-0000-0000-0000C48B0000}"/>
    <cellStyle name="Normal 5 17 2 24 5 2" xfId="35781" xr:uid="{00000000-0005-0000-0000-0000C58B0000}"/>
    <cellStyle name="Normal 5 17 2 24 5 3" xfId="35782" xr:uid="{00000000-0005-0000-0000-0000C68B0000}"/>
    <cellStyle name="Normal 5 17 2 24 5 4" xfId="35783" xr:uid="{00000000-0005-0000-0000-0000C78B0000}"/>
    <cellStyle name="Normal 5 17 2 24 5 5" xfId="35784" xr:uid="{00000000-0005-0000-0000-0000C88B0000}"/>
    <cellStyle name="Normal 5 17 2 24 5 6" xfId="35785" xr:uid="{00000000-0005-0000-0000-0000C98B0000}"/>
    <cellStyle name="Normal 5 17 2 24 5 7" xfId="35786" xr:uid="{00000000-0005-0000-0000-0000CA8B0000}"/>
    <cellStyle name="Normal 5 17 2 24 5 8" xfId="35787" xr:uid="{00000000-0005-0000-0000-0000CB8B0000}"/>
    <cellStyle name="Normal 5 17 2 24 5 9" xfId="35788" xr:uid="{00000000-0005-0000-0000-0000CC8B0000}"/>
    <cellStyle name="Normal 5 17 2 24 6" xfId="35789" xr:uid="{00000000-0005-0000-0000-0000CD8B0000}"/>
    <cellStyle name="Normal 5 17 2 24 7" xfId="35790" xr:uid="{00000000-0005-0000-0000-0000CE8B0000}"/>
    <cellStyle name="Normal 5 17 2 24 8" xfId="35791" xr:uid="{00000000-0005-0000-0000-0000CF8B0000}"/>
    <cellStyle name="Normal 5 17 2 24 9" xfId="35792" xr:uid="{00000000-0005-0000-0000-0000D08B0000}"/>
    <cellStyle name="Normal 5 17 2 25" xfId="35793" xr:uid="{00000000-0005-0000-0000-0000D18B0000}"/>
    <cellStyle name="Normal 5 17 2 25 10" xfId="35794" xr:uid="{00000000-0005-0000-0000-0000D28B0000}"/>
    <cellStyle name="Normal 5 17 2 25 11" xfId="35795" xr:uid="{00000000-0005-0000-0000-0000D38B0000}"/>
    <cellStyle name="Normal 5 17 2 25 12" xfId="35796" xr:uid="{00000000-0005-0000-0000-0000D48B0000}"/>
    <cellStyle name="Normal 5 17 2 25 13" xfId="35797" xr:uid="{00000000-0005-0000-0000-0000D58B0000}"/>
    <cellStyle name="Normal 5 17 2 25 14" xfId="35798" xr:uid="{00000000-0005-0000-0000-0000D68B0000}"/>
    <cellStyle name="Normal 5 17 2 25 2" xfId="35799" xr:uid="{00000000-0005-0000-0000-0000D78B0000}"/>
    <cellStyle name="Normal 5 17 2 25 2 10" xfId="35800" xr:uid="{00000000-0005-0000-0000-0000D88B0000}"/>
    <cellStyle name="Normal 5 17 2 25 2 2" xfId="35801" xr:uid="{00000000-0005-0000-0000-0000D98B0000}"/>
    <cellStyle name="Normal 5 17 2 25 2 3" xfId="35802" xr:uid="{00000000-0005-0000-0000-0000DA8B0000}"/>
    <cellStyle name="Normal 5 17 2 25 2 4" xfId="35803" xr:uid="{00000000-0005-0000-0000-0000DB8B0000}"/>
    <cellStyle name="Normal 5 17 2 25 2 5" xfId="35804" xr:uid="{00000000-0005-0000-0000-0000DC8B0000}"/>
    <cellStyle name="Normal 5 17 2 25 2 6" xfId="35805" xr:uid="{00000000-0005-0000-0000-0000DD8B0000}"/>
    <cellStyle name="Normal 5 17 2 25 2 7" xfId="35806" xr:uid="{00000000-0005-0000-0000-0000DE8B0000}"/>
    <cellStyle name="Normal 5 17 2 25 2 8" xfId="35807" xr:uid="{00000000-0005-0000-0000-0000DF8B0000}"/>
    <cellStyle name="Normal 5 17 2 25 2 9" xfId="35808" xr:uid="{00000000-0005-0000-0000-0000E08B0000}"/>
    <cellStyle name="Normal 5 17 2 25 3" xfId="35809" xr:uid="{00000000-0005-0000-0000-0000E18B0000}"/>
    <cellStyle name="Normal 5 17 2 25 3 10" xfId="35810" xr:uid="{00000000-0005-0000-0000-0000E28B0000}"/>
    <cellStyle name="Normal 5 17 2 25 3 2" xfId="35811" xr:uid="{00000000-0005-0000-0000-0000E38B0000}"/>
    <cellStyle name="Normal 5 17 2 25 3 3" xfId="35812" xr:uid="{00000000-0005-0000-0000-0000E48B0000}"/>
    <cellStyle name="Normal 5 17 2 25 3 4" xfId="35813" xr:uid="{00000000-0005-0000-0000-0000E58B0000}"/>
    <cellStyle name="Normal 5 17 2 25 3 5" xfId="35814" xr:uid="{00000000-0005-0000-0000-0000E68B0000}"/>
    <cellStyle name="Normal 5 17 2 25 3 6" xfId="35815" xr:uid="{00000000-0005-0000-0000-0000E78B0000}"/>
    <cellStyle name="Normal 5 17 2 25 3 7" xfId="35816" xr:uid="{00000000-0005-0000-0000-0000E88B0000}"/>
    <cellStyle name="Normal 5 17 2 25 3 8" xfId="35817" xr:uid="{00000000-0005-0000-0000-0000E98B0000}"/>
    <cellStyle name="Normal 5 17 2 25 3 9" xfId="35818" xr:uid="{00000000-0005-0000-0000-0000EA8B0000}"/>
    <cellStyle name="Normal 5 17 2 25 4" xfId="35819" xr:uid="{00000000-0005-0000-0000-0000EB8B0000}"/>
    <cellStyle name="Normal 5 17 2 25 4 10" xfId="35820" xr:uid="{00000000-0005-0000-0000-0000EC8B0000}"/>
    <cellStyle name="Normal 5 17 2 25 4 2" xfId="35821" xr:uid="{00000000-0005-0000-0000-0000ED8B0000}"/>
    <cellStyle name="Normal 5 17 2 25 4 3" xfId="35822" xr:uid="{00000000-0005-0000-0000-0000EE8B0000}"/>
    <cellStyle name="Normal 5 17 2 25 4 4" xfId="35823" xr:uid="{00000000-0005-0000-0000-0000EF8B0000}"/>
    <cellStyle name="Normal 5 17 2 25 4 5" xfId="35824" xr:uid="{00000000-0005-0000-0000-0000F08B0000}"/>
    <cellStyle name="Normal 5 17 2 25 4 6" xfId="35825" xr:uid="{00000000-0005-0000-0000-0000F18B0000}"/>
    <cellStyle name="Normal 5 17 2 25 4 7" xfId="35826" xr:uid="{00000000-0005-0000-0000-0000F28B0000}"/>
    <cellStyle name="Normal 5 17 2 25 4 8" xfId="35827" xr:uid="{00000000-0005-0000-0000-0000F38B0000}"/>
    <cellStyle name="Normal 5 17 2 25 4 9" xfId="35828" xr:uid="{00000000-0005-0000-0000-0000F48B0000}"/>
    <cellStyle name="Normal 5 17 2 25 5" xfId="35829" xr:uid="{00000000-0005-0000-0000-0000F58B0000}"/>
    <cellStyle name="Normal 5 17 2 25 5 10" xfId="35830" xr:uid="{00000000-0005-0000-0000-0000F68B0000}"/>
    <cellStyle name="Normal 5 17 2 25 5 2" xfId="35831" xr:uid="{00000000-0005-0000-0000-0000F78B0000}"/>
    <cellStyle name="Normal 5 17 2 25 5 3" xfId="35832" xr:uid="{00000000-0005-0000-0000-0000F88B0000}"/>
    <cellStyle name="Normal 5 17 2 25 5 4" xfId="35833" xr:uid="{00000000-0005-0000-0000-0000F98B0000}"/>
    <cellStyle name="Normal 5 17 2 25 5 5" xfId="35834" xr:uid="{00000000-0005-0000-0000-0000FA8B0000}"/>
    <cellStyle name="Normal 5 17 2 25 5 6" xfId="35835" xr:uid="{00000000-0005-0000-0000-0000FB8B0000}"/>
    <cellStyle name="Normal 5 17 2 25 5 7" xfId="35836" xr:uid="{00000000-0005-0000-0000-0000FC8B0000}"/>
    <cellStyle name="Normal 5 17 2 25 5 8" xfId="35837" xr:uid="{00000000-0005-0000-0000-0000FD8B0000}"/>
    <cellStyle name="Normal 5 17 2 25 5 9" xfId="35838" xr:uid="{00000000-0005-0000-0000-0000FE8B0000}"/>
    <cellStyle name="Normal 5 17 2 25 6" xfId="35839" xr:uid="{00000000-0005-0000-0000-0000FF8B0000}"/>
    <cellStyle name="Normal 5 17 2 25 7" xfId="35840" xr:uid="{00000000-0005-0000-0000-0000008C0000}"/>
    <cellStyle name="Normal 5 17 2 25 8" xfId="35841" xr:uid="{00000000-0005-0000-0000-0000018C0000}"/>
    <cellStyle name="Normal 5 17 2 25 9" xfId="35842" xr:uid="{00000000-0005-0000-0000-0000028C0000}"/>
    <cellStyle name="Normal 5 17 2 26" xfId="35843" xr:uid="{00000000-0005-0000-0000-0000038C0000}"/>
    <cellStyle name="Normal 5 17 2 26 10" xfId="35844" xr:uid="{00000000-0005-0000-0000-0000048C0000}"/>
    <cellStyle name="Normal 5 17 2 26 11" xfId="35845" xr:uid="{00000000-0005-0000-0000-0000058C0000}"/>
    <cellStyle name="Normal 5 17 2 26 12" xfId="35846" xr:uid="{00000000-0005-0000-0000-0000068C0000}"/>
    <cellStyle name="Normal 5 17 2 26 13" xfId="35847" xr:uid="{00000000-0005-0000-0000-0000078C0000}"/>
    <cellStyle name="Normal 5 17 2 26 14" xfId="35848" xr:uid="{00000000-0005-0000-0000-0000088C0000}"/>
    <cellStyle name="Normal 5 17 2 26 2" xfId="35849" xr:uid="{00000000-0005-0000-0000-0000098C0000}"/>
    <cellStyle name="Normal 5 17 2 26 2 10" xfId="35850" xr:uid="{00000000-0005-0000-0000-00000A8C0000}"/>
    <cellStyle name="Normal 5 17 2 26 2 2" xfId="35851" xr:uid="{00000000-0005-0000-0000-00000B8C0000}"/>
    <cellStyle name="Normal 5 17 2 26 2 3" xfId="35852" xr:uid="{00000000-0005-0000-0000-00000C8C0000}"/>
    <cellStyle name="Normal 5 17 2 26 2 4" xfId="35853" xr:uid="{00000000-0005-0000-0000-00000D8C0000}"/>
    <cellStyle name="Normal 5 17 2 26 2 5" xfId="35854" xr:uid="{00000000-0005-0000-0000-00000E8C0000}"/>
    <cellStyle name="Normal 5 17 2 26 2 6" xfId="35855" xr:uid="{00000000-0005-0000-0000-00000F8C0000}"/>
    <cellStyle name="Normal 5 17 2 26 2 7" xfId="35856" xr:uid="{00000000-0005-0000-0000-0000108C0000}"/>
    <cellStyle name="Normal 5 17 2 26 2 8" xfId="35857" xr:uid="{00000000-0005-0000-0000-0000118C0000}"/>
    <cellStyle name="Normal 5 17 2 26 2 9" xfId="35858" xr:uid="{00000000-0005-0000-0000-0000128C0000}"/>
    <cellStyle name="Normal 5 17 2 26 3" xfId="35859" xr:uid="{00000000-0005-0000-0000-0000138C0000}"/>
    <cellStyle name="Normal 5 17 2 26 3 10" xfId="35860" xr:uid="{00000000-0005-0000-0000-0000148C0000}"/>
    <cellStyle name="Normal 5 17 2 26 3 2" xfId="35861" xr:uid="{00000000-0005-0000-0000-0000158C0000}"/>
    <cellStyle name="Normal 5 17 2 26 3 3" xfId="35862" xr:uid="{00000000-0005-0000-0000-0000168C0000}"/>
    <cellStyle name="Normal 5 17 2 26 3 4" xfId="35863" xr:uid="{00000000-0005-0000-0000-0000178C0000}"/>
    <cellStyle name="Normal 5 17 2 26 3 5" xfId="35864" xr:uid="{00000000-0005-0000-0000-0000188C0000}"/>
    <cellStyle name="Normal 5 17 2 26 3 6" xfId="35865" xr:uid="{00000000-0005-0000-0000-0000198C0000}"/>
    <cellStyle name="Normal 5 17 2 26 3 7" xfId="35866" xr:uid="{00000000-0005-0000-0000-00001A8C0000}"/>
    <cellStyle name="Normal 5 17 2 26 3 8" xfId="35867" xr:uid="{00000000-0005-0000-0000-00001B8C0000}"/>
    <cellStyle name="Normal 5 17 2 26 3 9" xfId="35868" xr:uid="{00000000-0005-0000-0000-00001C8C0000}"/>
    <cellStyle name="Normal 5 17 2 26 4" xfId="35869" xr:uid="{00000000-0005-0000-0000-00001D8C0000}"/>
    <cellStyle name="Normal 5 17 2 26 4 10" xfId="35870" xr:uid="{00000000-0005-0000-0000-00001E8C0000}"/>
    <cellStyle name="Normal 5 17 2 26 4 2" xfId="35871" xr:uid="{00000000-0005-0000-0000-00001F8C0000}"/>
    <cellStyle name="Normal 5 17 2 26 4 3" xfId="35872" xr:uid="{00000000-0005-0000-0000-0000208C0000}"/>
    <cellStyle name="Normal 5 17 2 26 4 4" xfId="35873" xr:uid="{00000000-0005-0000-0000-0000218C0000}"/>
    <cellStyle name="Normal 5 17 2 26 4 5" xfId="35874" xr:uid="{00000000-0005-0000-0000-0000228C0000}"/>
    <cellStyle name="Normal 5 17 2 26 4 6" xfId="35875" xr:uid="{00000000-0005-0000-0000-0000238C0000}"/>
    <cellStyle name="Normal 5 17 2 26 4 7" xfId="35876" xr:uid="{00000000-0005-0000-0000-0000248C0000}"/>
    <cellStyle name="Normal 5 17 2 26 4 8" xfId="35877" xr:uid="{00000000-0005-0000-0000-0000258C0000}"/>
    <cellStyle name="Normal 5 17 2 26 4 9" xfId="35878" xr:uid="{00000000-0005-0000-0000-0000268C0000}"/>
    <cellStyle name="Normal 5 17 2 26 5" xfId="35879" xr:uid="{00000000-0005-0000-0000-0000278C0000}"/>
    <cellStyle name="Normal 5 17 2 26 5 10" xfId="35880" xr:uid="{00000000-0005-0000-0000-0000288C0000}"/>
    <cellStyle name="Normal 5 17 2 26 5 2" xfId="35881" xr:uid="{00000000-0005-0000-0000-0000298C0000}"/>
    <cellStyle name="Normal 5 17 2 26 5 3" xfId="35882" xr:uid="{00000000-0005-0000-0000-00002A8C0000}"/>
    <cellStyle name="Normal 5 17 2 26 5 4" xfId="35883" xr:uid="{00000000-0005-0000-0000-00002B8C0000}"/>
    <cellStyle name="Normal 5 17 2 26 5 5" xfId="35884" xr:uid="{00000000-0005-0000-0000-00002C8C0000}"/>
    <cellStyle name="Normal 5 17 2 26 5 6" xfId="35885" xr:uid="{00000000-0005-0000-0000-00002D8C0000}"/>
    <cellStyle name="Normal 5 17 2 26 5 7" xfId="35886" xr:uid="{00000000-0005-0000-0000-00002E8C0000}"/>
    <cellStyle name="Normal 5 17 2 26 5 8" xfId="35887" xr:uid="{00000000-0005-0000-0000-00002F8C0000}"/>
    <cellStyle name="Normal 5 17 2 26 5 9" xfId="35888" xr:uid="{00000000-0005-0000-0000-0000308C0000}"/>
    <cellStyle name="Normal 5 17 2 26 6" xfId="35889" xr:uid="{00000000-0005-0000-0000-0000318C0000}"/>
    <cellStyle name="Normal 5 17 2 26 7" xfId="35890" xr:uid="{00000000-0005-0000-0000-0000328C0000}"/>
    <cellStyle name="Normal 5 17 2 26 8" xfId="35891" xr:uid="{00000000-0005-0000-0000-0000338C0000}"/>
    <cellStyle name="Normal 5 17 2 26 9" xfId="35892" xr:uid="{00000000-0005-0000-0000-0000348C0000}"/>
    <cellStyle name="Normal 5 17 2 27" xfId="35893" xr:uid="{00000000-0005-0000-0000-0000358C0000}"/>
    <cellStyle name="Normal 5 17 2 27 10" xfId="35894" xr:uid="{00000000-0005-0000-0000-0000368C0000}"/>
    <cellStyle name="Normal 5 17 2 27 11" xfId="35895" xr:uid="{00000000-0005-0000-0000-0000378C0000}"/>
    <cellStyle name="Normal 5 17 2 27 12" xfId="35896" xr:uid="{00000000-0005-0000-0000-0000388C0000}"/>
    <cellStyle name="Normal 5 17 2 27 13" xfId="35897" xr:uid="{00000000-0005-0000-0000-0000398C0000}"/>
    <cellStyle name="Normal 5 17 2 27 14" xfId="35898" xr:uid="{00000000-0005-0000-0000-00003A8C0000}"/>
    <cellStyle name="Normal 5 17 2 27 2" xfId="35899" xr:uid="{00000000-0005-0000-0000-00003B8C0000}"/>
    <cellStyle name="Normal 5 17 2 27 2 10" xfId="35900" xr:uid="{00000000-0005-0000-0000-00003C8C0000}"/>
    <cellStyle name="Normal 5 17 2 27 2 2" xfId="35901" xr:uid="{00000000-0005-0000-0000-00003D8C0000}"/>
    <cellStyle name="Normal 5 17 2 27 2 3" xfId="35902" xr:uid="{00000000-0005-0000-0000-00003E8C0000}"/>
    <cellStyle name="Normal 5 17 2 27 2 4" xfId="35903" xr:uid="{00000000-0005-0000-0000-00003F8C0000}"/>
    <cellStyle name="Normal 5 17 2 27 2 5" xfId="35904" xr:uid="{00000000-0005-0000-0000-0000408C0000}"/>
    <cellStyle name="Normal 5 17 2 27 2 6" xfId="35905" xr:uid="{00000000-0005-0000-0000-0000418C0000}"/>
    <cellStyle name="Normal 5 17 2 27 2 7" xfId="35906" xr:uid="{00000000-0005-0000-0000-0000428C0000}"/>
    <cellStyle name="Normal 5 17 2 27 2 8" xfId="35907" xr:uid="{00000000-0005-0000-0000-0000438C0000}"/>
    <cellStyle name="Normal 5 17 2 27 2 9" xfId="35908" xr:uid="{00000000-0005-0000-0000-0000448C0000}"/>
    <cellStyle name="Normal 5 17 2 27 3" xfId="35909" xr:uid="{00000000-0005-0000-0000-0000458C0000}"/>
    <cellStyle name="Normal 5 17 2 27 3 10" xfId="35910" xr:uid="{00000000-0005-0000-0000-0000468C0000}"/>
    <cellStyle name="Normal 5 17 2 27 3 2" xfId="35911" xr:uid="{00000000-0005-0000-0000-0000478C0000}"/>
    <cellStyle name="Normal 5 17 2 27 3 3" xfId="35912" xr:uid="{00000000-0005-0000-0000-0000488C0000}"/>
    <cellStyle name="Normal 5 17 2 27 3 4" xfId="35913" xr:uid="{00000000-0005-0000-0000-0000498C0000}"/>
    <cellStyle name="Normal 5 17 2 27 3 5" xfId="35914" xr:uid="{00000000-0005-0000-0000-00004A8C0000}"/>
    <cellStyle name="Normal 5 17 2 27 3 6" xfId="35915" xr:uid="{00000000-0005-0000-0000-00004B8C0000}"/>
    <cellStyle name="Normal 5 17 2 27 3 7" xfId="35916" xr:uid="{00000000-0005-0000-0000-00004C8C0000}"/>
    <cellStyle name="Normal 5 17 2 27 3 8" xfId="35917" xr:uid="{00000000-0005-0000-0000-00004D8C0000}"/>
    <cellStyle name="Normal 5 17 2 27 3 9" xfId="35918" xr:uid="{00000000-0005-0000-0000-00004E8C0000}"/>
    <cellStyle name="Normal 5 17 2 27 4" xfId="35919" xr:uid="{00000000-0005-0000-0000-00004F8C0000}"/>
    <cellStyle name="Normal 5 17 2 27 4 10" xfId="35920" xr:uid="{00000000-0005-0000-0000-0000508C0000}"/>
    <cellStyle name="Normal 5 17 2 27 4 2" xfId="35921" xr:uid="{00000000-0005-0000-0000-0000518C0000}"/>
    <cellStyle name="Normal 5 17 2 27 4 3" xfId="35922" xr:uid="{00000000-0005-0000-0000-0000528C0000}"/>
    <cellStyle name="Normal 5 17 2 27 4 4" xfId="35923" xr:uid="{00000000-0005-0000-0000-0000538C0000}"/>
    <cellStyle name="Normal 5 17 2 27 4 5" xfId="35924" xr:uid="{00000000-0005-0000-0000-0000548C0000}"/>
    <cellStyle name="Normal 5 17 2 27 4 6" xfId="35925" xr:uid="{00000000-0005-0000-0000-0000558C0000}"/>
    <cellStyle name="Normal 5 17 2 27 4 7" xfId="35926" xr:uid="{00000000-0005-0000-0000-0000568C0000}"/>
    <cellStyle name="Normal 5 17 2 27 4 8" xfId="35927" xr:uid="{00000000-0005-0000-0000-0000578C0000}"/>
    <cellStyle name="Normal 5 17 2 27 4 9" xfId="35928" xr:uid="{00000000-0005-0000-0000-0000588C0000}"/>
    <cellStyle name="Normal 5 17 2 27 5" xfId="35929" xr:uid="{00000000-0005-0000-0000-0000598C0000}"/>
    <cellStyle name="Normal 5 17 2 27 5 10" xfId="35930" xr:uid="{00000000-0005-0000-0000-00005A8C0000}"/>
    <cellStyle name="Normal 5 17 2 27 5 2" xfId="35931" xr:uid="{00000000-0005-0000-0000-00005B8C0000}"/>
    <cellStyle name="Normal 5 17 2 27 5 3" xfId="35932" xr:uid="{00000000-0005-0000-0000-00005C8C0000}"/>
    <cellStyle name="Normal 5 17 2 27 5 4" xfId="35933" xr:uid="{00000000-0005-0000-0000-00005D8C0000}"/>
    <cellStyle name="Normal 5 17 2 27 5 5" xfId="35934" xr:uid="{00000000-0005-0000-0000-00005E8C0000}"/>
    <cellStyle name="Normal 5 17 2 27 5 6" xfId="35935" xr:uid="{00000000-0005-0000-0000-00005F8C0000}"/>
    <cellStyle name="Normal 5 17 2 27 5 7" xfId="35936" xr:uid="{00000000-0005-0000-0000-0000608C0000}"/>
    <cellStyle name="Normal 5 17 2 27 5 8" xfId="35937" xr:uid="{00000000-0005-0000-0000-0000618C0000}"/>
    <cellStyle name="Normal 5 17 2 27 5 9" xfId="35938" xr:uid="{00000000-0005-0000-0000-0000628C0000}"/>
    <cellStyle name="Normal 5 17 2 27 6" xfId="35939" xr:uid="{00000000-0005-0000-0000-0000638C0000}"/>
    <cellStyle name="Normal 5 17 2 27 7" xfId="35940" xr:uid="{00000000-0005-0000-0000-0000648C0000}"/>
    <cellStyle name="Normal 5 17 2 27 8" xfId="35941" xr:uid="{00000000-0005-0000-0000-0000658C0000}"/>
    <cellStyle name="Normal 5 17 2 27 9" xfId="35942" xr:uid="{00000000-0005-0000-0000-0000668C0000}"/>
    <cellStyle name="Normal 5 17 2 28" xfId="35943" xr:uid="{00000000-0005-0000-0000-0000678C0000}"/>
    <cellStyle name="Normal 5 17 2 28 10" xfId="35944" xr:uid="{00000000-0005-0000-0000-0000688C0000}"/>
    <cellStyle name="Normal 5 17 2 28 11" xfId="35945" xr:uid="{00000000-0005-0000-0000-0000698C0000}"/>
    <cellStyle name="Normal 5 17 2 28 12" xfId="35946" xr:uid="{00000000-0005-0000-0000-00006A8C0000}"/>
    <cellStyle name="Normal 5 17 2 28 13" xfId="35947" xr:uid="{00000000-0005-0000-0000-00006B8C0000}"/>
    <cellStyle name="Normal 5 17 2 28 14" xfId="35948" xr:uid="{00000000-0005-0000-0000-00006C8C0000}"/>
    <cellStyle name="Normal 5 17 2 28 2" xfId="35949" xr:uid="{00000000-0005-0000-0000-00006D8C0000}"/>
    <cellStyle name="Normal 5 17 2 28 2 10" xfId="35950" xr:uid="{00000000-0005-0000-0000-00006E8C0000}"/>
    <cellStyle name="Normal 5 17 2 28 2 2" xfId="35951" xr:uid="{00000000-0005-0000-0000-00006F8C0000}"/>
    <cellStyle name="Normal 5 17 2 28 2 3" xfId="35952" xr:uid="{00000000-0005-0000-0000-0000708C0000}"/>
    <cellStyle name="Normal 5 17 2 28 2 4" xfId="35953" xr:uid="{00000000-0005-0000-0000-0000718C0000}"/>
    <cellStyle name="Normal 5 17 2 28 2 5" xfId="35954" xr:uid="{00000000-0005-0000-0000-0000728C0000}"/>
    <cellStyle name="Normal 5 17 2 28 2 6" xfId="35955" xr:uid="{00000000-0005-0000-0000-0000738C0000}"/>
    <cellStyle name="Normal 5 17 2 28 2 7" xfId="35956" xr:uid="{00000000-0005-0000-0000-0000748C0000}"/>
    <cellStyle name="Normal 5 17 2 28 2 8" xfId="35957" xr:uid="{00000000-0005-0000-0000-0000758C0000}"/>
    <cellStyle name="Normal 5 17 2 28 2 9" xfId="35958" xr:uid="{00000000-0005-0000-0000-0000768C0000}"/>
    <cellStyle name="Normal 5 17 2 28 3" xfId="35959" xr:uid="{00000000-0005-0000-0000-0000778C0000}"/>
    <cellStyle name="Normal 5 17 2 28 3 10" xfId="35960" xr:uid="{00000000-0005-0000-0000-0000788C0000}"/>
    <cellStyle name="Normal 5 17 2 28 3 2" xfId="35961" xr:uid="{00000000-0005-0000-0000-0000798C0000}"/>
    <cellStyle name="Normal 5 17 2 28 3 3" xfId="35962" xr:uid="{00000000-0005-0000-0000-00007A8C0000}"/>
    <cellStyle name="Normal 5 17 2 28 3 4" xfId="35963" xr:uid="{00000000-0005-0000-0000-00007B8C0000}"/>
    <cellStyle name="Normal 5 17 2 28 3 5" xfId="35964" xr:uid="{00000000-0005-0000-0000-00007C8C0000}"/>
    <cellStyle name="Normal 5 17 2 28 3 6" xfId="35965" xr:uid="{00000000-0005-0000-0000-00007D8C0000}"/>
    <cellStyle name="Normal 5 17 2 28 3 7" xfId="35966" xr:uid="{00000000-0005-0000-0000-00007E8C0000}"/>
    <cellStyle name="Normal 5 17 2 28 3 8" xfId="35967" xr:uid="{00000000-0005-0000-0000-00007F8C0000}"/>
    <cellStyle name="Normal 5 17 2 28 3 9" xfId="35968" xr:uid="{00000000-0005-0000-0000-0000808C0000}"/>
    <cellStyle name="Normal 5 17 2 28 4" xfId="35969" xr:uid="{00000000-0005-0000-0000-0000818C0000}"/>
    <cellStyle name="Normal 5 17 2 28 4 10" xfId="35970" xr:uid="{00000000-0005-0000-0000-0000828C0000}"/>
    <cellStyle name="Normal 5 17 2 28 4 2" xfId="35971" xr:uid="{00000000-0005-0000-0000-0000838C0000}"/>
    <cellStyle name="Normal 5 17 2 28 4 3" xfId="35972" xr:uid="{00000000-0005-0000-0000-0000848C0000}"/>
    <cellStyle name="Normal 5 17 2 28 4 4" xfId="35973" xr:uid="{00000000-0005-0000-0000-0000858C0000}"/>
    <cellStyle name="Normal 5 17 2 28 4 5" xfId="35974" xr:uid="{00000000-0005-0000-0000-0000868C0000}"/>
    <cellStyle name="Normal 5 17 2 28 4 6" xfId="35975" xr:uid="{00000000-0005-0000-0000-0000878C0000}"/>
    <cellStyle name="Normal 5 17 2 28 4 7" xfId="35976" xr:uid="{00000000-0005-0000-0000-0000888C0000}"/>
    <cellStyle name="Normal 5 17 2 28 4 8" xfId="35977" xr:uid="{00000000-0005-0000-0000-0000898C0000}"/>
    <cellStyle name="Normal 5 17 2 28 4 9" xfId="35978" xr:uid="{00000000-0005-0000-0000-00008A8C0000}"/>
    <cellStyle name="Normal 5 17 2 28 5" xfId="35979" xr:uid="{00000000-0005-0000-0000-00008B8C0000}"/>
    <cellStyle name="Normal 5 17 2 28 5 10" xfId="35980" xr:uid="{00000000-0005-0000-0000-00008C8C0000}"/>
    <cellStyle name="Normal 5 17 2 28 5 2" xfId="35981" xr:uid="{00000000-0005-0000-0000-00008D8C0000}"/>
    <cellStyle name="Normal 5 17 2 28 5 3" xfId="35982" xr:uid="{00000000-0005-0000-0000-00008E8C0000}"/>
    <cellStyle name="Normal 5 17 2 28 5 4" xfId="35983" xr:uid="{00000000-0005-0000-0000-00008F8C0000}"/>
    <cellStyle name="Normal 5 17 2 28 5 5" xfId="35984" xr:uid="{00000000-0005-0000-0000-0000908C0000}"/>
    <cellStyle name="Normal 5 17 2 28 5 6" xfId="35985" xr:uid="{00000000-0005-0000-0000-0000918C0000}"/>
    <cellStyle name="Normal 5 17 2 28 5 7" xfId="35986" xr:uid="{00000000-0005-0000-0000-0000928C0000}"/>
    <cellStyle name="Normal 5 17 2 28 5 8" xfId="35987" xr:uid="{00000000-0005-0000-0000-0000938C0000}"/>
    <cellStyle name="Normal 5 17 2 28 5 9" xfId="35988" xr:uid="{00000000-0005-0000-0000-0000948C0000}"/>
    <cellStyle name="Normal 5 17 2 28 6" xfId="35989" xr:uid="{00000000-0005-0000-0000-0000958C0000}"/>
    <cellStyle name="Normal 5 17 2 28 7" xfId="35990" xr:uid="{00000000-0005-0000-0000-0000968C0000}"/>
    <cellStyle name="Normal 5 17 2 28 8" xfId="35991" xr:uid="{00000000-0005-0000-0000-0000978C0000}"/>
    <cellStyle name="Normal 5 17 2 28 9" xfId="35992" xr:uid="{00000000-0005-0000-0000-0000988C0000}"/>
    <cellStyle name="Normal 5 17 2 29" xfId="35993" xr:uid="{00000000-0005-0000-0000-0000998C0000}"/>
    <cellStyle name="Normal 5 17 2 29 10" xfId="35994" xr:uid="{00000000-0005-0000-0000-00009A8C0000}"/>
    <cellStyle name="Normal 5 17 2 29 11" xfId="35995" xr:uid="{00000000-0005-0000-0000-00009B8C0000}"/>
    <cellStyle name="Normal 5 17 2 29 12" xfId="35996" xr:uid="{00000000-0005-0000-0000-00009C8C0000}"/>
    <cellStyle name="Normal 5 17 2 29 13" xfId="35997" xr:uid="{00000000-0005-0000-0000-00009D8C0000}"/>
    <cellStyle name="Normal 5 17 2 29 14" xfId="35998" xr:uid="{00000000-0005-0000-0000-00009E8C0000}"/>
    <cellStyle name="Normal 5 17 2 29 2" xfId="35999" xr:uid="{00000000-0005-0000-0000-00009F8C0000}"/>
    <cellStyle name="Normal 5 17 2 29 2 10" xfId="36000" xr:uid="{00000000-0005-0000-0000-0000A08C0000}"/>
    <cellStyle name="Normal 5 17 2 29 2 2" xfId="36001" xr:uid="{00000000-0005-0000-0000-0000A18C0000}"/>
    <cellStyle name="Normal 5 17 2 29 2 3" xfId="36002" xr:uid="{00000000-0005-0000-0000-0000A28C0000}"/>
    <cellStyle name="Normal 5 17 2 29 2 4" xfId="36003" xr:uid="{00000000-0005-0000-0000-0000A38C0000}"/>
    <cellStyle name="Normal 5 17 2 29 2 5" xfId="36004" xr:uid="{00000000-0005-0000-0000-0000A48C0000}"/>
    <cellStyle name="Normal 5 17 2 29 2 6" xfId="36005" xr:uid="{00000000-0005-0000-0000-0000A58C0000}"/>
    <cellStyle name="Normal 5 17 2 29 2 7" xfId="36006" xr:uid="{00000000-0005-0000-0000-0000A68C0000}"/>
    <cellStyle name="Normal 5 17 2 29 2 8" xfId="36007" xr:uid="{00000000-0005-0000-0000-0000A78C0000}"/>
    <cellStyle name="Normal 5 17 2 29 2 9" xfId="36008" xr:uid="{00000000-0005-0000-0000-0000A88C0000}"/>
    <cellStyle name="Normal 5 17 2 29 3" xfId="36009" xr:uid="{00000000-0005-0000-0000-0000A98C0000}"/>
    <cellStyle name="Normal 5 17 2 29 3 10" xfId="36010" xr:uid="{00000000-0005-0000-0000-0000AA8C0000}"/>
    <cellStyle name="Normal 5 17 2 29 3 2" xfId="36011" xr:uid="{00000000-0005-0000-0000-0000AB8C0000}"/>
    <cellStyle name="Normal 5 17 2 29 3 3" xfId="36012" xr:uid="{00000000-0005-0000-0000-0000AC8C0000}"/>
    <cellStyle name="Normal 5 17 2 29 3 4" xfId="36013" xr:uid="{00000000-0005-0000-0000-0000AD8C0000}"/>
    <cellStyle name="Normal 5 17 2 29 3 5" xfId="36014" xr:uid="{00000000-0005-0000-0000-0000AE8C0000}"/>
    <cellStyle name="Normal 5 17 2 29 3 6" xfId="36015" xr:uid="{00000000-0005-0000-0000-0000AF8C0000}"/>
    <cellStyle name="Normal 5 17 2 29 3 7" xfId="36016" xr:uid="{00000000-0005-0000-0000-0000B08C0000}"/>
    <cellStyle name="Normal 5 17 2 29 3 8" xfId="36017" xr:uid="{00000000-0005-0000-0000-0000B18C0000}"/>
    <cellStyle name="Normal 5 17 2 29 3 9" xfId="36018" xr:uid="{00000000-0005-0000-0000-0000B28C0000}"/>
    <cellStyle name="Normal 5 17 2 29 4" xfId="36019" xr:uid="{00000000-0005-0000-0000-0000B38C0000}"/>
    <cellStyle name="Normal 5 17 2 29 4 10" xfId="36020" xr:uid="{00000000-0005-0000-0000-0000B48C0000}"/>
    <cellStyle name="Normal 5 17 2 29 4 2" xfId="36021" xr:uid="{00000000-0005-0000-0000-0000B58C0000}"/>
    <cellStyle name="Normal 5 17 2 29 4 3" xfId="36022" xr:uid="{00000000-0005-0000-0000-0000B68C0000}"/>
    <cellStyle name="Normal 5 17 2 29 4 4" xfId="36023" xr:uid="{00000000-0005-0000-0000-0000B78C0000}"/>
    <cellStyle name="Normal 5 17 2 29 4 5" xfId="36024" xr:uid="{00000000-0005-0000-0000-0000B88C0000}"/>
    <cellStyle name="Normal 5 17 2 29 4 6" xfId="36025" xr:uid="{00000000-0005-0000-0000-0000B98C0000}"/>
    <cellStyle name="Normal 5 17 2 29 4 7" xfId="36026" xr:uid="{00000000-0005-0000-0000-0000BA8C0000}"/>
    <cellStyle name="Normal 5 17 2 29 4 8" xfId="36027" xr:uid="{00000000-0005-0000-0000-0000BB8C0000}"/>
    <cellStyle name="Normal 5 17 2 29 4 9" xfId="36028" xr:uid="{00000000-0005-0000-0000-0000BC8C0000}"/>
    <cellStyle name="Normal 5 17 2 29 5" xfId="36029" xr:uid="{00000000-0005-0000-0000-0000BD8C0000}"/>
    <cellStyle name="Normal 5 17 2 29 5 10" xfId="36030" xr:uid="{00000000-0005-0000-0000-0000BE8C0000}"/>
    <cellStyle name="Normal 5 17 2 29 5 2" xfId="36031" xr:uid="{00000000-0005-0000-0000-0000BF8C0000}"/>
    <cellStyle name="Normal 5 17 2 29 5 3" xfId="36032" xr:uid="{00000000-0005-0000-0000-0000C08C0000}"/>
    <cellStyle name="Normal 5 17 2 29 5 4" xfId="36033" xr:uid="{00000000-0005-0000-0000-0000C18C0000}"/>
    <cellStyle name="Normal 5 17 2 29 5 5" xfId="36034" xr:uid="{00000000-0005-0000-0000-0000C28C0000}"/>
    <cellStyle name="Normal 5 17 2 29 5 6" xfId="36035" xr:uid="{00000000-0005-0000-0000-0000C38C0000}"/>
    <cellStyle name="Normal 5 17 2 29 5 7" xfId="36036" xr:uid="{00000000-0005-0000-0000-0000C48C0000}"/>
    <cellStyle name="Normal 5 17 2 29 5 8" xfId="36037" xr:uid="{00000000-0005-0000-0000-0000C58C0000}"/>
    <cellStyle name="Normal 5 17 2 29 5 9" xfId="36038" xr:uid="{00000000-0005-0000-0000-0000C68C0000}"/>
    <cellStyle name="Normal 5 17 2 29 6" xfId="36039" xr:uid="{00000000-0005-0000-0000-0000C78C0000}"/>
    <cellStyle name="Normal 5 17 2 29 7" xfId="36040" xr:uid="{00000000-0005-0000-0000-0000C88C0000}"/>
    <cellStyle name="Normal 5 17 2 29 8" xfId="36041" xr:uid="{00000000-0005-0000-0000-0000C98C0000}"/>
    <cellStyle name="Normal 5 17 2 29 9" xfId="36042" xr:uid="{00000000-0005-0000-0000-0000CA8C0000}"/>
    <cellStyle name="Normal 5 17 2 3" xfId="36043" xr:uid="{00000000-0005-0000-0000-0000CB8C0000}"/>
    <cellStyle name="Normal 5 17 2 3 10" xfId="36044" xr:uid="{00000000-0005-0000-0000-0000CC8C0000}"/>
    <cellStyle name="Normal 5 17 2 3 11" xfId="36045" xr:uid="{00000000-0005-0000-0000-0000CD8C0000}"/>
    <cellStyle name="Normal 5 17 2 3 12" xfId="36046" xr:uid="{00000000-0005-0000-0000-0000CE8C0000}"/>
    <cellStyle name="Normal 5 17 2 3 13" xfId="36047" xr:uid="{00000000-0005-0000-0000-0000CF8C0000}"/>
    <cellStyle name="Normal 5 17 2 3 14" xfId="36048" xr:uid="{00000000-0005-0000-0000-0000D08C0000}"/>
    <cellStyle name="Normal 5 17 2 3 2" xfId="36049" xr:uid="{00000000-0005-0000-0000-0000D18C0000}"/>
    <cellStyle name="Normal 5 17 2 3 2 10" xfId="36050" xr:uid="{00000000-0005-0000-0000-0000D28C0000}"/>
    <cellStyle name="Normal 5 17 2 3 2 2" xfId="36051" xr:uid="{00000000-0005-0000-0000-0000D38C0000}"/>
    <cellStyle name="Normal 5 17 2 3 2 3" xfId="36052" xr:uid="{00000000-0005-0000-0000-0000D48C0000}"/>
    <cellStyle name="Normal 5 17 2 3 2 4" xfId="36053" xr:uid="{00000000-0005-0000-0000-0000D58C0000}"/>
    <cellStyle name="Normal 5 17 2 3 2 5" xfId="36054" xr:uid="{00000000-0005-0000-0000-0000D68C0000}"/>
    <cellStyle name="Normal 5 17 2 3 2 6" xfId="36055" xr:uid="{00000000-0005-0000-0000-0000D78C0000}"/>
    <cellStyle name="Normal 5 17 2 3 2 7" xfId="36056" xr:uid="{00000000-0005-0000-0000-0000D88C0000}"/>
    <cellStyle name="Normal 5 17 2 3 2 8" xfId="36057" xr:uid="{00000000-0005-0000-0000-0000D98C0000}"/>
    <cellStyle name="Normal 5 17 2 3 2 9" xfId="36058" xr:uid="{00000000-0005-0000-0000-0000DA8C0000}"/>
    <cellStyle name="Normal 5 17 2 3 3" xfId="36059" xr:uid="{00000000-0005-0000-0000-0000DB8C0000}"/>
    <cellStyle name="Normal 5 17 2 3 3 10" xfId="36060" xr:uid="{00000000-0005-0000-0000-0000DC8C0000}"/>
    <cellStyle name="Normal 5 17 2 3 3 2" xfId="36061" xr:uid="{00000000-0005-0000-0000-0000DD8C0000}"/>
    <cellStyle name="Normal 5 17 2 3 3 3" xfId="36062" xr:uid="{00000000-0005-0000-0000-0000DE8C0000}"/>
    <cellStyle name="Normal 5 17 2 3 3 4" xfId="36063" xr:uid="{00000000-0005-0000-0000-0000DF8C0000}"/>
    <cellStyle name="Normal 5 17 2 3 3 5" xfId="36064" xr:uid="{00000000-0005-0000-0000-0000E08C0000}"/>
    <cellStyle name="Normal 5 17 2 3 3 6" xfId="36065" xr:uid="{00000000-0005-0000-0000-0000E18C0000}"/>
    <cellStyle name="Normal 5 17 2 3 3 7" xfId="36066" xr:uid="{00000000-0005-0000-0000-0000E28C0000}"/>
    <cellStyle name="Normal 5 17 2 3 3 8" xfId="36067" xr:uid="{00000000-0005-0000-0000-0000E38C0000}"/>
    <cellStyle name="Normal 5 17 2 3 3 9" xfId="36068" xr:uid="{00000000-0005-0000-0000-0000E48C0000}"/>
    <cellStyle name="Normal 5 17 2 3 4" xfId="36069" xr:uid="{00000000-0005-0000-0000-0000E58C0000}"/>
    <cellStyle name="Normal 5 17 2 3 4 10" xfId="36070" xr:uid="{00000000-0005-0000-0000-0000E68C0000}"/>
    <cellStyle name="Normal 5 17 2 3 4 2" xfId="36071" xr:uid="{00000000-0005-0000-0000-0000E78C0000}"/>
    <cellStyle name="Normal 5 17 2 3 4 3" xfId="36072" xr:uid="{00000000-0005-0000-0000-0000E88C0000}"/>
    <cellStyle name="Normal 5 17 2 3 4 4" xfId="36073" xr:uid="{00000000-0005-0000-0000-0000E98C0000}"/>
    <cellStyle name="Normal 5 17 2 3 4 5" xfId="36074" xr:uid="{00000000-0005-0000-0000-0000EA8C0000}"/>
    <cellStyle name="Normal 5 17 2 3 4 6" xfId="36075" xr:uid="{00000000-0005-0000-0000-0000EB8C0000}"/>
    <cellStyle name="Normal 5 17 2 3 4 7" xfId="36076" xr:uid="{00000000-0005-0000-0000-0000EC8C0000}"/>
    <cellStyle name="Normal 5 17 2 3 4 8" xfId="36077" xr:uid="{00000000-0005-0000-0000-0000ED8C0000}"/>
    <cellStyle name="Normal 5 17 2 3 4 9" xfId="36078" xr:uid="{00000000-0005-0000-0000-0000EE8C0000}"/>
    <cellStyle name="Normal 5 17 2 3 5" xfId="36079" xr:uid="{00000000-0005-0000-0000-0000EF8C0000}"/>
    <cellStyle name="Normal 5 17 2 3 5 10" xfId="36080" xr:uid="{00000000-0005-0000-0000-0000F08C0000}"/>
    <cellStyle name="Normal 5 17 2 3 5 2" xfId="36081" xr:uid="{00000000-0005-0000-0000-0000F18C0000}"/>
    <cellStyle name="Normal 5 17 2 3 5 3" xfId="36082" xr:uid="{00000000-0005-0000-0000-0000F28C0000}"/>
    <cellStyle name="Normal 5 17 2 3 5 4" xfId="36083" xr:uid="{00000000-0005-0000-0000-0000F38C0000}"/>
    <cellStyle name="Normal 5 17 2 3 5 5" xfId="36084" xr:uid="{00000000-0005-0000-0000-0000F48C0000}"/>
    <cellStyle name="Normal 5 17 2 3 5 6" xfId="36085" xr:uid="{00000000-0005-0000-0000-0000F58C0000}"/>
    <cellStyle name="Normal 5 17 2 3 5 7" xfId="36086" xr:uid="{00000000-0005-0000-0000-0000F68C0000}"/>
    <cellStyle name="Normal 5 17 2 3 5 8" xfId="36087" xr:uid="{00000000-0005-0000-0000-0000F78C0000}"/>
    <cellStyle name="Normal 5 17 2 3 5 9" xfId="36088" xr:uid="{00000000-0005-0000-0000-0000F88C0000}"/>
    <cellStyle name="Normal 5 17 2 3 6" xfId="36089" xr:uid="{00000000-0005-0000-0000-0000F98C0000}"/>
    <cellStyle name="Normal 5 17 2 3 7" xfId="36090" xr:uid="{00000000-0005-0000-0000-0000FA8C0000}"/>
    <cellStyle name="Normal 5 17 2 3 8" xfId="36091" xr:uid="{00000000-0005-0000-0000-0000FB8C0000}"/>
    <cellStyle name="Normal 5 17 2 3 9" xfId="36092" xr:uid="{00000000-0005-0000-0000-0000FC8C0000}"/>
    <cellStyle name="Normal 5 17 2 30" xfId="36093" xr:uid="{00000000-0005-0000-0000-0000FD8C0000}"/>
    <cellStyle name="Normal 5 17 2 30 10" xfId="36094" xr:uid="{00000000-0005-0000-0000-0000FE8C0000}"/>
    <cellStyle name="Normal 5 17 2 30 11" xfId="36095" xr:uid="{00000000-0005-0000-0000-0000FF8C0000}"/>
    <cellStyle name="Normal 5 17 2 30 12" xfId="36096" xr:uid="{00000000-0005-0000-0000-0000008D0000}"/>
    <cellStyle name="Normal 5 17 2 30 13" xfId="36097" xr:uid="{00000000-0005-0000-0000-0000018D0000}"/>
    <cellStyle name="Normal 5 17 2 30 14" xfId="36098" xr:uid="{00000000-0005-0000-0000-0000028D0000}"/>
    <cellStyle name="Normal 5 17 2 30 2" xfId="36099" xr:uid="{00000000-0005-0000-0000-0000038D0000}"/>
    <cellStyle name="Normal 5 17 2 30 2 10" xfId="36100" xr:uid="{00000000-0005-0000-0000-0000048D0000}"/>
    <cellStyle name="Normal 5 17 2 30 2 2" xfId="36101" xr:uid="{00000000-0005-0000-0000-0000058D0000}"/>
    <cellStyle name="Normal 5 17 2 30 2 3" xfId="36102" xr:uid="{00000000-0005-0000-0000-0000068D0000}"/>
    <cellStyle name="Normal 5 17 2 30 2 4" xfId="36103" xr:uid="{00000000-0005-0000-0000-0000078D0000}"/>
    <cellStyle name="Normal 5 17 2 30 2 5" xfId="36104" xr:uid="{00000000-0005-0000-0000-0000088D0000}"/>
    <cellStyle name="Normal 5 17 2 30 2 6" xfId="36105" xr:uid="{00000000-0005-0000-0000-0000098D0000}"/>
    <cellStyle name="Normal 5 17 2 30 2 7" xfId="36106" xr:uid="{00000000-0005-0000-0000-00000A8D0000}"/>
    <cellStyle name="Normal 5 17 2 30 2 8" xfId="36107" xr:uid="{00000000-0005-0000-0000-00000B8D0000}"/>
    <cellStyle name="Normal 5 17 2 30 2 9" xfId="36108" xr:uid="{00000000-0005-0000-0000-00000C8D0000}"/>
    <cellStyle name="Normal 5 17 2 30 3" xfId="36109" xr:uid="{00000000-0005-0000-0000-00000D8D0000}"/>
    <cellStyle name="Normal 5 17 2 30 3 10" xfId="36110" xr:uid="{00000000-0005-0000-0000-00000E8D0000}"/>
    <cellStyle name="Normal 5 17 2 30 3 2" xfId="36111" xr:uid="{00000000-0005-0000-0000-00000F8D0000}"/>
    <cellStyle name="Normal 5 17 2 30 3 3" xfId="36112" xr:uid="{00000000-0005-0000-0000-0000108D0000}"/>
    <cellStyle name="Normal 5 17 2 30 3 4" xfId="36113" xr:uid="{00000000-0005-0000-0000-0000118D0000}"/>
    <cellStyle name="Normal 5 17 2 30 3 5" xfId="36114" xr:uid="{00000000-0005-0000-0000-0000128D0000}"/>
    <cellStyle name="Normal 5 17 2 30 3 6" xfId="36115" xr:uid="{00000000-0005-0000-0000-0000138D0000}"/>
    <cellStyle name="Normal 5 17 2 30 3 7" xfId="36116" xr:uid="{00000000-0005-0000-0000-0000148D0000}"/>
    <cellStyle name="Normal 5 17 2 30 3 8" xfId="36117" xr:uid="{00000000-0005-0000-0000-0000158D0000}"/>
    <cellStyle name="Normal 5 17 2 30 3 9" xfId="36118" xr:uid="{00000000-0005-0000-0000-0000168D0000}"/>
    <cellStyle name="Normal 5 17 2 30 4" xfId="36119" xr:uid="{00000000-0005-0000-0000-0000178D0000}"/>
    <cellStyle name="Normal 5 17 2 30 4 10" xfId="36120" xr:uid="{00000000-0005-0000-0000-0000188D0000}"/>
    <cellStyle name="Normal 5 17 2 30 4 2" xfId="36121" xr:uid="{00000000-0005-0000-0000-0000198D0000}"/>
    <cellStyle name="Normal 5 17 2 30 4 3" xfId="36122" xr:uid="{00000000-0005-0000-0000-00001A8D0000}"/>
    <cellStyle name="Normal 5 17 2 30 4 4" xfId="36123" xr:uid="{00000000-0005-0000-0000-00001B8D0000}"/>
    <cellStyle name="Normal 5 17 2 30 4 5" xfId="36124" xr:uid="{00000000-0005-0000-0000-00001C8D0000}"/>
    <cellStyle name="Normal 5 17 2 30 4 6" xfId="36125" xr:uid="{00000000-0005-0000-0000-00001D8D0000}"/>
    <cellStyle name="Normal 5 17 2 30 4 7" xfId="36126" xr:uid="{00000000-0005-0000-0000-00001E8D0000}"/>
    <cellStyle name="Normal 5 17 2 30 4 8" xfId="36127" xr:uid="{00000000-0005-0000-0000-00001F8D0000}"/>
    <cellStyle name="Normal 5 17 2 30 4 9" xfId="36128" xr:uid="{00000000-0005-0000-0000-0000208D0000}"/>
    <cellStyle name="Normal 5 17 2 30 5" xfId="36129" xr:uid="{00000000-0005-0000-0000-0000218D0000}"/>
    <cellStyle name="Normal 5 17 2 30 5 10" xfId="36130" xr:uid="{00000000-0005-0000-0000-0000228D0000}"/>
    <cellStyle name="Normal 5 17 2 30 5 2" xfId="36131" xr:uid="{00000000-0005-0000-0000-0000238D0000}"/>
    <cellStyle name="Normal 5 17 2 30 5 3" xfId="36132" xr:uid="{00000000-0005-0000-0000-0000248D0000}"/>
    <cellStyle name="Normal 5 17 2 30 5 4" xfId="36133" xr:uid="{00000000-0005-0000-0000-0000258D0000}"/>
    <cellStyle name="Normal 5 17 2 30 5 5" xfId="36134" xr:uid="{00000000-0005-0000-0000-0000268D0000}"/>
    <cellStyle name="Normal 5 17 2 30 5 6" xfId="36135" xr:uid="{00000000-0005-0000-0000-0000278D0000}"/>
    <cellStyle name="Normal 5 17 2 30 5 7" xfId="36136" xr:uid="{00000000-0005-0000-0000-0000288D0000}"/>
    <cellStyle name="Normal 5 17 2 30 5 8" xfId="36137" xr:uid="{00000000-0005-0000-0000-0000298D0000}"/>
    <cellStyle name="Normal 5 17 2 30 5 9" xfId="36138" xr:uid="{00000000-0005-0000-0000-00002A8D0000}"/>
    <cellStyle name="Normal 5 17 2 30 6" xfId="36139" xr:uid="{00000000-0005-0000-0000-00002B8D0000}"/>
    <cellStyle name="Normal 5 17 2 30 7" xfId="36140" xr:uid="{00000000-0005-0000-0000-00002C8D0000}"/>
    <cellStyle name="Normal 5 17 2 30 8" xfId="36141" xr:uid="{00000000-0005-0000-0000-00002D8D0000}"/>
    <cellStyle name="Normal 5 17 2 30 9" xfId="36142" xr:uid="{00000000-0005-0000-0000-00002E8D0000}"/>
    <cellStyle name="Normal 5 17 2 31" xfId="36143" xr:uid="{00000000-0005-0000-0000-00002F8D0000}"/>
    <cellStyle name="Normal 5 17 2 31 10" xfId="36144" xr:uid="{00000000-0005-0000-0000-0000308D0000}"/>
    <cellStyle name="Normal 5 17 2 31 11" xfId="36145" xr:uid="{00000000-0005-0000-0000-0000318D0000}"/>
    <cellStyle name="Normal 5 17 2 31 12" xfId="36146" xr:uid="{00000000-0005-0000-0000-0000328D0000}"/>
    <cellStyle name="Normal 5 17 2 31 13" xfId="36147" xr:uid="{00000000-0005-0000-0000-0000338D0000}"/>
    <cellStyle name="Normal 5 17 2 31 14" xfId="36148" xr:uid="{00000000-0005-0000-0000-0000348D0000}"/>
    <cellStyle name="Normal 5 17 2 31 2" xfId="36149" xr:uid="{00000000-0005-0000-0000-0000358D0000}"/>
    <cellStyle name="Normal 5 17 2 31 2 10" xfId="36150" xr:uid="{00000000-0005-0000-0000-0000368D0000}"/>
    <cellStyle name="Normal 5 17 2 31 2 2" xfId="36151" xr:uid="{00000000-0005-0000-0000-0000378D0000}"/>
    <cellStyle name="Normal 5 17 2 31 2 3" xfId="36152" xr:uid="{00000000-0005-0000-0000-0000388D0000}"/>
    <cellStyle name="Normal 5 17 2 31 2 4" xfId="36153" xr:uid="{00000000-0005-0000-0000-0000398D0000}"/>
    <cellStyle name="Normal 5 17 2 31 2 5" xfId="36154" xr:uid="{00000000-0005-0000-0000-00003A8D0000}"/>
    <cellStyle name="Normal 5 17 2 31 2 6" xfId="36155" xr:uid="{00000000-0005-0000-0000-00003B8D0000}"/>
    <cellStyle name="Normal 5 17 2 31 2 7" xfId="36156" xr:uid="{00000000-0005-0000-0000-00003C8D0000}"/>
    <cellStyle name="Normal 5 17 2 31 2 8" xfId="36157" xr:uid="{00000000-0005-0000-0000-00003D8D0000}"/>
    <cellStyle name="Normal 5 17 2 31 2 9" xfId="36158" xr:uid="{00000000-0005-0000-0000-00003E8D0000}"/>
    <cellStyle name="Normal 5 17 2 31 3" xfId="36159" xr:uid="{00000000-0005-0000-0000-00003F8D0000}"/>
    <cellStyle name="Normal 5 17 2 31 3 10" xfId="36160" xr:uid="{00000000-0005-0000-0000-0000408D0000}"/>
    <cellStyle name="Normal 5 17 2 31 3 2" xfId="36161" xr:uid="{00000000-0005-0000-0000-0000418D0000}"/>
    <cellStyle name="Normal 5 17 2 31 3 3" xfId="36162" xr:uid="{00000000-0005-0000-0000-0000428D0000}"/>
    <cellStyle name="Normal 5 17 2 31 3 4" xfId="36163" xr:uid="{00000000-0005-0000-0000-0000438D0000}"/>
    <cellStyle name="Normal 5 17 2 31 3 5" xfId="36164" xr:uid="{00000000-0005-0000-0000-0000448D0000}"/>
    <cellStyle name="Normal 5 17 2 31 3 6" xfId="36165" xr:uid="{00000000-0005-0000-0000-0000458D0000}"/>
    <cellStyle name="Normal 5 17 2 31 3 7" xfId="36166" xr:uid="{00000000-0005-0000-0000-0000468D0000}"/>
    <cellStyle name="Normal 5 17 2 31 3 8" xfId="36167" xr:uid="{00000000-0005-0000-0000-0000478D0000}"/>
    <cellStyle name="Normal 5 17 2 31 3 9" xfId="36168" xr:uid="{00000000-0005-0000-0000-0000488D0000}"/>
    <cellStyle name="Normal 5 17 2 31 4" xfId="36169" xr:uid="{00000000-0005-0000-0000-0000498D0000}"/>
    <cellStyle name="Normal 5 17 2 31 4 10" xfId="36170" xr:uid="{00000000-0005-0000-0000-00004A8D0000}"/>
    <cellStyle name="Normal 5 17 2 31 4 2" xfId="36171" xr:uid="{00000000-0005-0000-0000-00004B8D0000}"/>
    <cellStyle name="Normal 5 17 2 31 4 3" xfId="36172" xr:uid="{00000000-0005-0000-0000-00004C8D0000}"/>
    <cellStyle name="Normal 5 17 2 31 4 4" xfId="36173" xr:uid="{00000000-0005-0000-0000-00004D8D0000}"/>
    <cellStyle name="Normal 5 17 2 31 4 5" xfId="36174" xr:uid="{00000000-0005-0000-0000-00004E8D0000}"/>
    <cellStyle name="Normal 5 17 2 31 4 6" xfId="36175" xr:uid="{00000000-0005-0000-0000-00004F8D0000}"/>
    <cellStyle name="Normal 5 17 2 31 4 7" xfId="36176" xr:uid="{00000000-0005-0000-0000-0000508D0000}"/>
    <cellStyle name="Normal 5 17 2 31 4 8" xfId="36177" xr:uid="{00000000-0005-0000-0000-0000518D0000}"/>
    <cellStyle name="Normal 5 17 2 31 4 9" xfId="36178" xr:uid="{00000000-0005-0000-0000-0000528D0000}"/>
    <cellStyle name="Normal 5 17 2 31 5" xfId="36179" xr:uid="{00000000-0005-0000-0000-0000538D0000}"/>
    <cellStyle name="Normal 5 17 2 31 5 10" xfId="36180" xr:uid="{00000000-0005-0000-0000-0000548D0000}"/>
    <cellStyle name="Normal 5 17 2 31 5 2" xfId="36181" xr:uid="{00000000-0005-0000-0000-0000558D0000}"/>
    <cellStyle name="Normal 5 17 2 31 5 3" xfId="36182" xr:uid="{00000000-0005-0000-0000-0000568D0000}"/>
    <cellStyle name="Normal 5 17 2 31 5 4" xfId="36183" xr:uid="{00000000-0005-0000-0000-0000578D0000}"/>
    <cellStyle name="Normal 5 17 2 31 5 5" xfId="36184" xr:uid="{00000000-0005-0000-0000-0000588D0000}"/>
    <cellStyle name="Normal 5 17 2 31 5 6" xfId="36185" xr:uid="{00000000-0005-0000-0000-0000598D0000}"/>
    <cellStyle name="Normal 5 17 2 31 5 7" xfId="36186" xr:uid="{00000000-0005-0000-0000-00005A8D0000}"/>
    <cellStyle name="Normal 5 17 2 31 5 8" xfId="36187" xr:uid="{00000000-0005-0000-0000-00005B8D0000}"/>
    <cellStyle name="Normal 5 17 2 31 5 9" xfId="36188" xr:uid="{00000000-0005-0000-0000-00005C8D0000}"/>
    <cellStyle name="Normal 5 17 2 31 6" xfId="36189" xr:uid="{00000000-0005-0000-0000-00005D8D0000}"/>
    <cellStyle name="Normal 5 17 2 31 7" xfId="36190" xr:uid="{00000000-0005-0000-0000-00005E8D0000}"/>
    <cellStyle name="Normal 5 17 2 31 8" xfId="36191" xr:uid="{00000000-0005-0000-0000-00005F8D0000}"/>
    <cellStyle name="Normal 5 17 2 31 9" xfId="36192" xr:uid="{00000000-0005-0000-0000-0000608D0000}"/>
    <cellStyle name="Normal 5 17 2 32" xfId="36193" xr:uid="{00000000-0005-0000-0000-0000618D0000}"/>
    <cellStyle name="Normal 5 17 2 32 10" xfId="36194" xr:uid="{00000000-0005-0000-0000-0000628D0000}"/>
    <cellStyle name="Normal 5 17 2 32 11" xfId="36195" xr:uid="{00000000-0005-0000-0000-0000638D0000}"/>
    <cellStyle name="Normal 5 17 2 32 12" xfId="36196" xr:uid="{00000000-0005-0000-0000-0000648D0000}"/>
    <cellStyle name="Normal 5 17 2 32 13" xfId="36197" xr:uid="{00000000-0005-0000-0000-0000658D0000}"/>
    <cellStyle name="Normal 5 17 2 32 14" xfId="36198" xr:uid="{00000000-0005-0000-0000-0000668D0000}"/>
    <cellStyle name="Normal 5 17 2 32 2" xfId="36199" xr:uid="{00000000-0005-0000-0000-0000678D0000}"/>
    <cellStyle name="Normal 5 17 2 32 2 10" xfId="36200" xr:uid="{00000000-0005-0000-0000-0000688D0000}"/>
    <cellStyle name="Normal 5 17 2 32 2 2" xfId="36201" xr:uid="{00000000-0005-0000-0000-0000698D0000}"/>
    <cellStyle name="Normal 5 17 2 32 2 3" xfId="36202" xr:uid="{00000000-0005-0000-0000-00006A8D0000}"/>
    <cellStyle name="Normal 5 17 2 32 2 4" xfId="36203" xr:uid="{00000000-0005-0000-0000-00006B8D0000}"/>
    <cellStyle name="Normal 5 17 2 32 2 5" xfId="36204" xr:uid="{00000000-0005-0000-0000-00006C8D0000}"/>
    <cellStyle name="Normal 5 17 2 32 2 6" xfId="36205" xr:uid="{00000000-0005-0000-0000-00006D8D0000}"/>
    <cellStyle name="Normal 5 17 2 32 2 7" xfId="36206" xr:uid="{00000000-0005-0000-0000-00006E8D0000}"/>
    <cellStyle name="Normal 5 17 2 32 2 8" xfId="36207" xr:uid="{00000000-0005-0000-0000-00006F8D0000}"/>
    <cellStyle name="Normal 5 17 2 32 2 9" xfId="36208" xr:uid="{00000000-0005-0000-0000-0000708D0000}"/>
    <cellStyle name="Normal 5 17 2 32 3" xfId="36209" xr:uid="{00000000-0005-0000-0000-0000718D0000}"/>
    <cellStyle name="Normal 5 17 2 32 3 10" xfId="36210" xr:uid="{00000000-0005-0000-0000-0000728D0000}"/>
    <cellStyle name="Normal 5 17 2 32 3 2" xfId="36211" xr:uid="{00000000-0005-0000-0000-0000738D0000}"/>
    <cellStyle name="Normal 5 17 2 32 3 3" xfId="36212" xr:uid="{00000000-0005-0000-0000-0000748D0000}"/>
    <cellStyle name="Normal 5 17 2 32 3 4" xfId="36213" xr:uid="{00000000-0005-0000-0000-0000758D0000}"/>
    <cellStyle name="Normal 5 17 2 32 3 5" xfId="36214" xr:uid="{00000000-0005-0000-0000-0000768D0000}"/>
    <cellStyle name="Normal 5 17 2 32 3 6" xfId="36215" xr:uid="{00000000-0005-0000-0000-0000778D0000}"/>
    <cellStyle name="Normal 5 17 2 32 3 7" xfId="36216" xr:uid="{00000000-0005-0000-0000-0000788D0000}"/>
    <cellStyle name="Normal 5 17 2 32 3 8" xfId="36217" xr:uid="{00000000-0005-0000-0000-0000798D0000}"/>
    <cellStyle name="Normal 5 17 2 32 3 9" xfId="36218" xr:uid="{00000000-0005-0000-0000-00007A8D0000}"/>
    <cellStyle name="Normal 5 17 2 32 4" xfId="36219" xr:uid="{00000000-0005-0000-0000-00007B8D0000}"/>
    <cellStyle name="Normal 5 17 2 32 4 10" xfId="36220" xr:uid="{00000000-0005-0000-0000-00007C8D0000}"/>
    <cellStyle name="Normal 5 17 2 32 4 2" xfId="36221" xr:uid="{00000000-0005-0000-0000-00007D8D0000}"/>
    <cellStyle name="Normal 5 17 2 32 4 3" xfId="36222" xr:uid="{00000000-0005-0000-0000-00007E8D0000}"/>
    <cellStyle name="Normal 5 17 2 32 4 4" xfId="36223" xr:uid="{00000000-0005-0000-0000-00007F8D0000}"/>
    <cellStyle name="Normal 5 17 2 32 4 5" xfId="36224" xr:uid="{00000000-0005-0000-0000-0000808D0000}"/>
    <cellStyle name="Normal 5 17 2 32 4 6" xfId="36225" xr:uid="{00000000-0005-0000-0000-0000818D0000}"/>
    <cellStyle name="Normal 5 17 2 32 4 7" xfId="36226" xr:uid="{00000000-0005-0000-0000-0000828D0000}"/>
    <cellStyle name="Normal 5 17 2 32 4 8" xfId="36227" xr:uid="{00000000-0005-0000-0000-0000838D0000}"/>
    <cellStyle name="Normal 5 17 2 32 4 9" xfId="36228" xr:uid="{00000000-0005-0000-0000-0000848D0000}"/>
    <cellStyle name="Normal 5 17 2 32 5" xfId="36229" xr:uid="{00000000-0005-0000-0000-0000858D0000}"/>
    <cellStyle name="Normal 5 17 2 32 5 10" xfId="36230" xr:uid="{00000000-0005-0000-0000-0000868D0000}"/>
    <cellStyle name="Normal 5 17 2 32 5 2" xfId="36231" xr:uid="{00000000-0005-0000-0000-0000878D0000}"/>
    <cellStyle name="Normal 5 17 2 32 5 3" xfId="36232" xr:uid="{00000000-0005-0000-0000-0000888D0000}"/>
    <cellStyle name="Normal 5 17 2 32 5 4" xfId="36233" xr:uid="{00000000-0005-0000-0000-0000898D0000}"/>
    <cellStyle name="Normal 5 17 2 32 5 5" xfId="36234" xr:uid="{00000000-0005-0000-0000-00008A8D0000}"/>
    <cellStyle name="Normal 5 17 2 32 5 6" xfId="36235" xr:uid="{00000000-0005-0000-0000-00008B8D0000}"/>
    <cellStyle name="Normal 5 17 2 32 5 7" xfId="36236" xr:uid="{00000000-0005-0000-0000-00008C8D0000}"/>
    <cellStyle name="Normal 5 17 2 32 5 8" xfId="36237" xr:uid="{00000000-0005-0000-0000-00008D8D0000}"/>
    <cellStyle name="Normal 5 17 2 32 5 9" xfId="36238" xr:uid="{00000000-0005-0000-0000-00008E8D0000}"/>
    <cellStyle name="Normal 5 17 2 32 6" xfId="36239" xr:uid="{00000000-0005-0000-0000-00008F8D0000}"/>
    <cellStyle name="Normal 5 17 2 32 7" xfId="36240" xr:uid="{00000000-0005-0000-0000-0000908D0000}"/>
    <cellStyle name="Normal 5 17 2 32 8" xfId="36241" xr:uid="{00000000-0005-0000-0000-0000918D0000}"/>
    <cellStyle name="Normal 5 17 2 32 9" xfId="36242" xr:uid="{00000000-0005-0000-0000-0000928D0000}"/>
    <cellStyle name="Normal 5 17 2 33" xfId="36243" xr:uid="{00000000-0005-0000-0000-0000938D0000}"/>
    <cellStyle name="Normal 5 17 2 33 10" xfId="36244" xr:uid="{00000000-0005-0000-0000-0000948D0000}"/>
    <cellStyle name="Normal 5 17 2 33 11" xfId="36245" xr:uid="{00000000-0005-0000-0000-0000958D0000}"/>
    <cellStyle name="Normal 5 17 2 33 12" xfId="36246" xr:uid="{00000000-0005-0000-0000-0000968D0000}"/>
    <cellStyle name="Normal 5 17 2 33 13" xfId="36247" xr:uid="{00000000-0005-0000-0000-0000978D0000}"/>
    <cellStyle name="Normal 5 17 2 33 14" xfId="36248" xr:uid="{00000000-0005-0000-0000-0000988D0000}"/>
    <cellStyle name="Normal 5 17 2 33 2" xfId="36249" xr:uid="{00000000-0005-0000-0000-0000998D0000}"/>
    <cellStyle name="Normal 5 17 2 33 2 10" xfId="36250" xr:uid="{00000000-0005-0000-0000-00009A8D0000}"/>
    <cellStyle name="Normal 5 17 2 33 2 2" xfId="36251" xr:uid="{00000000-0005-0000-0000-00009B8D0000}"/>
    <cellStyle name="Normal 5 17 2 33 2 3" xfId="36252" xr:uid="{00000000-0005-0000-0000-00009C8D0000}"/>
    <cellStyle name="Normal 5 17 2 33 2 4" xfId="36253" xr:uid="{00000000-0005-0000-0000-00009D8D0000}"/>
    <cellStyle name="Normal 5 17 2 33 2 5" xfId="36254" xr:uid="{00000000-0005-0000-0000-00009E8D0000}"/>
    <cellStyle name="Normal 5 17 2 33 2 6" xfId="36255" xr:uid="{00000000-0005-0000-0000-00009F8D0000}"/>
    <cellStyle name="Normal 5 17 2 33 2 7" xfId="36256" xr:uid="{00000000-0005-0000-0000-0000A08D0000}"/>
    <cellStyle name="Normal 5 17 2 33 2 8" xfId="36257" xr:uid="{00000000-0005-0000-0000-0000A18D0000}"/>
    <cellStyle name="Normal 5 17 2 33 2 9" xfId="36258" xr:uid="{00000000-0005-0000-0000-0000A28D0000}"/>
    <cellStyle name="Normal 5 17 2 33 3" xfId="36259" xr:uid="{00000000-0005-0000-0000-0000A38D0000}"/>
    <cellStyle name="Normal 5 17 2 33 3 10" xfId="36260" xr:uid="{00000000-0005-0000-0000-0000A48D0000}"/>
    <cellStyle name="Normal 5 17 2 33 3 2" xfId="36261" xr:uid="{00000000-0005-0000-0000-0000A58D0000}"/>
    <cellStyle name="Normal 5 17 2 33 3 3" xfId="36262" xr:uid="{00000000-0005-0000-0000-0000A68D0000}"/>
    <cellStyle name="Normal 5 17 2 33 3 4" xfId="36263" xr:uid="{00000000-0005-0000-0000-0000A78D0000}"/>
    <cellStyle name="Normal 5 17 2 33 3 5" xfId="36264" xr:uid="{00000000-0005-0000-0000-0000A88D0000}"/>
    <cellStyle name="Normal 5 17 2 33 3 6" xfId="36265" xr:uid="{00000000-0005-0000-0000-0000A98D0000}"/>
    <cellStyle name="Normal 5 17 2 33 3 7" xfId="36266" xr:uid="{00000000-0005-0000-0000-0000AA8D0000}"/>
    <cellStyle name="Normal 5 17 2 33 3 8" xfId="36267" xr:uid="{00000000-0005-0000-0000-0000AB8D0000}"/>
    <cellStyle name="Normal 5 17 2 33 3 9" xfId="36268" xr:uid="{00000000-0005-0000-0000-0000AC8D0000}"/>
    <cellStyle name="Normal 5 17 2 33 4" xfId="36269" xr:uid="{00000000-0005-0000-0000-0000AD8D0000}"/>
    <cellStyle name="Normal 5 17 2 33 4 10" xfId="36270" xr:uid="{00000000-0005-0000-0000-0000AE8D0000}"/>
    <cellStyle name="Normal 5 17 2 33 4 2" xfId="36271" xr:uid="{00000000-0005-0000-0000-0000AF8D0000}"/>
    <cellStyle name="Normal 5 17 2 33 4 3" xfId="36272" xr:uid="{00000000-0005-0000-0000-0000B08D0000}"/>
    <cellStyle name="Normal 5 17 2 33 4 4" xfId="36273" xr:uid="{00000000-0005-0000-0000-0000B18D0000}"/>
    <cellStyle name="Normal 5 17 2 33 4 5" xfId="36274" xr:uid="{00000000-0005-0000-0000-0000B28D0000}"/>
    <cellStyle name="Normal 5 17 2 33 4 6" xfId="36275" xr:uid="{00000000-0005-0000-0000-0000B38D0000}"/>
    <cellStyle name="Normal 5 17 2 33 4 7" xfId="36276" xr:uid="{00000000-0005-0000-0000-0000B48D0000}"/>
    <cellStyle name="Normal 5 17 2 33 4 8" xfId="36277" xr:uid="{00000000-0005-0000-0000-0000B58D0000}"/>
    <cellStyle name="Normal 5 17 2 33 4 9" xfId="36278" xr:uid="{00000000-0005-0000-0000-0000B68D0000}"/>
    <cellStyle name="Normal 5 17 2 33 5" xfId="36279" xr:uid="{00000000-0005-0000-0000-0000B78D0000}"/>
    <cellStyle name="Normal 5 17 2 33 5 10" xfId="36280" xr:uid="{00000000-0005-0000-0000-0000B88D0000}"/>
    <cellStyle name="Normal 5 17 2 33 5 2" xfId="36281" xr:uid="{00000000-0005-0000-0000-0000B98D0000}"/>
    <cellStyle name="Normal 5 17 2 33 5 3" xfId="36282" xr:uid="{00000000-0005-0000-0000-0000BA8D0000}"/>
    <cellStyle name="Normal 5 17 2 33 5 4" xfId="36283" xr:uid="{00000000-0005-0000-0000-0000BB8D0000}"/>
    <cellStyle name="Normal 5 17 2 33 5 5" xfId="36284" xr:uid="{00000000-0005-0000-0000-0000BC8D0000}"/>
    <cellStyle name="Normal 5 17 2 33 5 6" xfId="36285" xr:uid="{00000000-0005-0000-0000-0000BD8D0000}"/>
    <cellStyle name="Normal 5 17 2 33 5 7" xfId="36286" xr:uid="{00000000-0005-0000-0000-0000BE8D0000}"/>
    <cellStyle name="Normal 5 17 2 33 5 8" xfId="36287" xr:uid="{00000000-0005-0000-0000-0000BF8D0000}"/>
    <cellStyle name="Normal 5 17 2 33 5 9" xfId="36288" xr:uid="{00000000-0005-0000-0000-0000C08D0000}"/>
    <cellStyle name="Normal 5 17 2 33 6" xfId="36289" xr:uid="{00000000-0005-0000-0000-0000C18D0000}"/>
    <cellStyle name="Normal 5 17 2 33 7" xfId="36290" xr:uid="{00000000-0005-0000-0000-0000C28D0000}"/>
    <cellStyle name="Normal 5 17 2 33 8" xfId="36291" xr:uid="{00000000-0005-0000-0000-0000C38D0000}"/>
    <cellStyle name="Normal 5 17 2 33 9" xfId="36292" xr:uid="{00000000-0005-0000-0000-0000C48D0000}"/>
    <cellStyle name="Normal 5 17 2 34" xfId="36293" xr:uid="{00000000-0005-0000-0000-0000C58D0000}"/>
    <cellStyle name="Normal 5 17 2 34 10" xfId="36294" xr:uid="{00000000-0005-0000-0000-0000C68D0000}"/>
    <cellStyle name="Normal 5 17 2 34 2" xfId="36295" xr:uid="{00000000-0005-0000-0000-0000C78D0000}"/>
    <cellStyle name="Normal 5 17 2 34 3" xfId="36296" xr:uid="{00000000-0005-0000-0000-0000C88D0000}"/>
    <cellStyle name="Normal 5 17 2 34 4" xfId="36297" xr:uid="{00000000-0005-0000-0000-0000C98D0000}"/>
    <cellStyle name="Normal 5 17 2 34 5" xfId="36298" xr:uid="{00000000-0005-0000-0000-0000CA8D0000}"/>
    <cellStyle name="Normal 5 17 2 34 6" xfId="36299" xr:uid="{00000000-0005-0000-0000-0000CB8D0000}"/>
    <cellStyle name="Normal 5 17 2 34 7" xfId="36300" xr:uid="{00000000-0005-0000-0000-0000CC8D0000}"/>
    <cellStyle name="Normal 5 17 2 34 8" xfId="36301" xr:uid="{00000000-0005-0000-0000-0000CD8D0000}"/>
    <cellStyle name="Normal 5 17 2 34 9" xfId="36302" xr:uid="{00000000-0005-0000-0000-0000CE8D0000}"/>
    <cellStyle name="Normal 5 17 2 35" xfId="36303" xr:uid="{00000000-0005-0000-0000-0000CF8D0000}"/>
    <cellStyle name="Normal 5 17 2 35 10" xfId="36304" xr:uid="{00000000-0005-0000-0000-0000D08D0000}"/>
    <cellStyle name="Normal 5 17 2 35 2" xfId="36305" xr:uid="{00000000-0005-0000-0000-0000D18D0000}"/>
    <cellStyle name="Normal 5 17 2 35 3" xfId="36306" xr:uid="{00000000-0005-0000-0000-0000D28D0000}"/>
    <cellStyle name="Normal 5 17 2 35 4" xfId="36307" xr:uid="{00000000-0005-0000-0000-0000D38D0000}"/>
    <cellStyle name="Normal 5 17 2 35 5" xfId="36308" xr:uid="{00000000-0005-0000-0000-0000D48D0000}"/>
    <cellStyle name="Normal 5 17 2 35 6" xfId="36309" xr:uid="{00000000-0005-0000-0000-0000D58D0000}"/>
    <cellStyle name="Normal 5 17 2 35 7" xfId="36310" xr:uid="{00000000-0005-0000-0000-0000D68D0000}"/>
    <cellStyle name="Normal 5 17 2 35 8" xfId="36311" xr:uid="{00000000-0005-0000-0000-0000D78D0000}"/>
    <cellStyle name="Normal 5 17 2 35 9" xfId="36312" xr:uid="{00000000-0005-0000-0000-0000D88D0000}"/>
    <cellStyle name="Normal 5 17 2 36" xfId="36313" xr:uid="{00000000-0005-0000-0000-0000D98D0000}"/>
    <cellStyle name="Normal 5 17 2 36 10" xfId="36314" xr:uid="{00000000-0005-0000-0000-0000DA8D0000}"/>
    <cellStyle name="Normal 5 17 2 36 2" xfId="36315" xr:uid="{00000000-0005-0000-0000-0000DB8D0000}"/>
    <cellStyle name="Normal 5 17 2 36 3" xfId="36316" xr:uid="{00000000-0005-0000-0000-0000DC8D0000}"/>
    <cellStyle name="Normal 5 17 2 36 4" xfId="36317" xr:uid="{00000000-0005-0000-0000-0000DD8D0000}"/>
    <cellStyle name="Normal 5 17 2 36 5" xfId="36318" xr:uid="{00000000-0005-0000-0000-0000DE8D0000}"/>
    <cellStyle name="Normal 5 17 2 36 6" xfId="36319" xr:uid="{00000000-0005-0000-0000-0000DF8D0000}"/>
    <cellStyle name="Normal 5 17 2 36 7" xfId="36320" xr:uid="{00000000-0005-0000-0000-0000E08D0000}"/>
    <cellStyle name="Normal 5 17 2 36 8" xfId="36321" xr:uid="{00000000-0005-0000-0000-0000E18D0000}"/>
    <cellStyle name="Normal 5 17 2 36 9" xfId="36322" xr:uid="{00000000-0005-0000-0000-0000E28D0000}"/>
    <cellStyle name="Normal 5 17 2 37" xfId="36323" xr:uid="{00000000-0005-0000-0000-0000E38D0000}"/>
    <cellStyle name="Normal 5 17 2 37 10" xfId="36324" xr:uid="{00000000-0005-0000-0000-0000E48D0000}"/>
    <cellStyle name="Normal 5 17 2 37 2" xfId="36325" xr:uid="{00000000-0005-0000-0000-0000E58D0000}"/>
    <cellStyle name="Normal 5 17 2 37 3" xfId="36326" xr:uid="{00000000-0005-0000-0000-0000E68D0000}"/>
    <cellStyle name="Normal 5 17 2 37 4" xfId="36327" xr:uid="{00000000-0005-0000-0000-0000E78D0000}"/>
    <cellStyle name="Normal 5 17 2 37 5" xfId="36328" xr:uid="{00000000-0005-0000-0000-0000E88D0000}"/>
    <cellStyle name="Normal 5 17 2 37 6" xfId="36329" xr:uid="{00000000-0005-0000-0000-0000E98D0000}"/>
    <cellStyle name="Normal 5 17 2 37 7" xfId="36330" xr:uid="{00000000-0005-0000-0000-0000EA8D0000}"/>
    <cellStyle name="Normal 5 17 2 37 8" xfId="36331" xr:uid="{00000000-0005-0000-0000-0000EB8D0000}"/>
    <cellStyle name="Normal 5 17 2 37 9" xfId="36332" xr:uid="{00000000-0005-0000-0000-0000EC8D0000}"/>
    <cellStyle name="Normal 5 17 2 38" xfId="36333" xr:uid="{00000000-0005-0000-0000-0000ED8D0000}"/>
    <cellStyle name="Normal 5 17 2 39" xfId="36334" xr:uid="{00000000-0005-0000-0000-0000EE8D0000}"/>
    <cellStyle name="Normal 5 17 2 4" xfId="36335" xr:uid="{00000000-0005-0000-0000-0000EF8D0000}"/>
    <cellStyle name="Normal 5 17 2 4 10" xfId="36336" xr:uid="{00000000-0005-0000-0000-0000F08D0000}"/>
    <cellStyle name="Normal 5 17 2 4 11" xfId="36337" xr:uid="{00000000-0005-0000-0000-0000F18D0000}"/>
    <cellStyle name="Normal 5 17 2 4 12" xfId="36338" xr:uid="{00000000-0005-0000-0000-0000F28D0000}"/>
    <cellStyle name="Normal 5 17 2 4 13" xfId="36339" xr:uid="{00000000-0005-0000-0000-0000F38D0000}"/>
    <cellStyle name="Normal 5 17 2 4 14" xfId="36340" xr:uid="{00000000-0005-0000-0000-0000F48D0000}"/>
    <cellStyle name="Normal 5 17 2 4 2" xfId="36341" xr:uid="{00000000-0005-0000-0000-0000F58D0000}"/>
    <cellStyle name="Normal 5 17 2 4 2 10" xfId="36342" xr:uid="{00000000-0005-0000-0000-0000F68D0000}"/>
    <cellStyle name="Normal 5 17 2 4 2 2" xfId="36343" xr:uid="{00000000-0005-0000-0000-0000F78D0000}"/>
    <cellStyle name="Normal 5 17 2 4 2 3" xfId="36344" xr:uid="{00000000-0005-0000-0000-0000F88D0000}"/>
    <cellStyle name="Normal 5 17 2 4 2 4" xfId="36345" xr:uid="{00000000-0005-0000-0000-0000F98D0000}"/>
    <cellStyle name="Normal 5 17 2 4 2 5" xfId="36346" xr:uid="{00000000-0005-0000-0000-0000FA8D0000}"/>
    <cellStyle name="Normal 5 17 2 4 2 6" xfId="36347" xr:uid="{00000000-0005-0000-0000-0000FB8D0000}"/>
    <cellStyle name="Normal 5 17 2 4 2 7" xfId="36348" xr:uid="{00000000-0005-0000-0000-0000FC8D0000}"/>
    <cellStyle name="Normal 5 17 2 4 2 8" xfId="36349" xr:uid="{00000000-0005-0000-0000-0000FD8D0000}"/>
    <cellStyle name="Normal 5 17 2 4 2 9" xfId="36350" xr:uid="{00000000-0005-0000-0000-0000FE8D0000}"/>
    <cellStyle name="Normal 5 17 2 4 3" xfId="36351" xr:uid="{00000000-0005-0000-0000-0000FF8D0000}"/>
    <cellStyle name="Normal 5 17 2 4 3 10" xfId="36352" xr:uid="{00000000-0005-0000-0000-0000008E0000}"/>
    <cellStyle name="Normal 5 17 2 4 3 2" xfId="36353" xr:uid="{00000000-0005-0000-0000-0000018E0000}"/>
    <cellStyle name="Normal 5 17 2 4 3 3" xfId="36354" xr:uid="{00000000-0005-0000-0000-0000028E0000}"/>
    <cellStyle name="Normal 5 17 2 4 3 4" xfId="36355" xr:uid="{00000000-0005-0000-0000-0000038E0000}"/>
    <cellStyle name="Normal 5 17 2 4 3 5" xfId="36356" xr:uid="{00000000-0005-0000-0000-0000048E0000}"/>
    <cellStyle name="Normal 5 17 2 4 3 6" xfId="36357" xr:uid="{00000000-0005-0000-0000-0000058E0000}"/>
    <cellStyle name="Normal 5 17 2 4 3 7" xfId="36358" xr:uid="{00000000-0005-0000-0000-0000068E0000}"/>
    <cellStyle name="Normal 5 17 2 4 3 8" xfId="36359" xr:uid="{00000000-0005-0000-0000-0000078E0000}"/>
    <cellStyle name="Normal 5 17 2 4 3 9" xfId="36360" xr:uid="{00000000-0005-0000-0000-0000088E0000}"/>
    <cellStyle name="Normal 5 17 2 4 4" xfId="36361" xr:uid="{00000000-0005-0000-0000-0000098E0000}"/>
    <cellStyle name="Normal 5 17 2 4 4 10" xfId="36362" xr:uid="{00000000-0005-0000-0000-00000A8E0000}"/>
    <cellStyle name="Normal 5 17 2 4 4 2" xfId="36363" xr:uid="{00000000-0005-0000-0000-00000B8E0000}"/>
    <cellStyle name="Normal 5 17 2 4 4 3" xfId="36364" xr:uid="{00000000-0005-0000-0000-00000C8E0000}"/>
    <cellStyle name="Normal 5 17 2 4 4 4" xfId="36365" xr:uid="{00000000-0005-0000-0000-00000D8E0000}"/>
    <cellStyle name="Normal 5 17 2 4 4 5" xfId="36366" xr:uid="{00000000-0005-0000-0000-00000E8E0000}"/>
    <cellStyle name="Normal 5 17 2 4 4 6" xfId="36367" xr:uid="{00000000-0005-0000-0000-00000F8E0000}"/>
    <cellStyle name="Normal 5 17 2 4 4 7" xfId="36368" xr:uid="{00000000-0005-0000-0000-0000108E0000}"/>
    <cellStyle name="Normal 5 17 2 4 4 8" xfId="36369" xr:uid="{00000000-0005-0000-0000-0000118E0000}"/>
    <cellStyle name="Normal 5 17 2 4 4 9" xfId="36370" xr:uid="{00000000-0005-0000-0000-0000128E0000}"/>
    <cellStyle name="Normal 5 17 2 4 5" xfId="36371" xr:uid="{00000000-0005-0000-0000-0000138E0000}"/>
    <cellStyle name="Normal 5 17 2 4 5 10" xfId="36372" xr:uid="{00000000-0005-0000-0000-0000148E0000}"/>
    <cellStyle name="Normal 5 17 2 4 5 2" xfId="36373" xr:uid="{00000000-0005-0000-0000-0000158E0000}"/>
    <cellStyle name="Normal 5 17 2 4 5 3" xfId="36374" xr:uid="{00000000-0005-0000-0000-0000168E0000}"/>
    <cellStyle name="Normal 5 17 2 4 5 4" xfId="36375" xr:uid="{00000000-0005-0000-0000-0000178E0000}"/>
    <cellStyle name="Normal 5 17 2 4 5 5" xfId="36376" xr:uid="{00000000-0005-0000-0000-0000188E0000}"/>
    <cellStyle name="Normal 5 17 2 4 5 6" xfId="36377" xr:uid="{00000000-0005-0000-0000-0000198E0000}"/>
    <cellStyle name="Normal 5 17 2 4 5 7" xfId="36378" xr:uid="{00000000-0005-0000-0000-00001A8E0000}"/>
    <cellStyle name="Normal 5 17 2 4 5 8" xfId="36379" xr:uid="{00000000-0005-0000-0000-00001B8E0000}"/>
    <cellStyle name="Normal 5 17 2 4 5 9" xfId="36380" xr:uid="{00000000-0005-0000-0000-00001C8E0000}"/>
    <cellStyle name="Normal 5 17 2 4 6" xfId="36381" xr:uid="{00000000-0005-0000-0000-00001D8E0000}"/>
    <cellStyle name="Normal 5 17 2 4 7" xfId="36382" xr:uid="{00000000-0005-0000-0000-00001E8E0000}"/>
    <cellStyle name="Normal 5 17 2 4 8" xfId="36383" xr:uid="{00000000-0005-0000-0000-00001F8E0000}"/>
    <cellStyle name="Normal 5 17 2 4 9" xfId="36384" xr:uid="{00000000-0005-0000-0000-0000208E0000}"/>
    <cellStyle name="Normal 5 17 2 40" xfId="36385" xr:uid="{00000000-0005-0000-0000-0000218E0000}"/>
    <cellStyle name="Normal 5 17 2 41" xfId="36386" xr:uid="{00000000-0005-0000-0000-0000228E0000}"/>
    <cellStyle name="Normal 5 17 2 42" xfId="36387" xr:uid="{00000000-0005-0000-0000-0000238E0000}"/>
    <cellStyle name="Normal 5 17 2 43" xfId="36388" xr:uid="{00000000-0005-0000-0000-0000248E0000}"/>
    <cellStyle name="Normal 5 17 2 44" xfId="36389" xr:uid="{00000000-0005-0000-0000-0000258E0000}"/>
    <cellStyle name="Normal 5 17 2 45" xfId="36390" xr:uid="{00000000-0005-0000-0000-0000268E0000}"/>
    <cellStyle name="Normal 5 17 2 46" xfId="36391" xr:uid="{00000000-0005-0000-0000-0000278E0000}"/>
    <cellStyle name="Normal 5 17 2 47" xfId="36392" xr:uid="{00000000-0005-0000-0000-0000288E0000}"/>
    <cellStyle name="Normal 5 17 2 48" xfId="36393" xr:uid="{00000000-0005-0000-0000-0000298E0000}"/>
    <cellStyle name="Normal 5 17 2 5" xfId="36394" xr:uid="{00000000-0005-0000-0000-00002A8E0000}"/>
    <cellStyle name="Normal 5 17 2 5 10" xfId="36395" xr:uid="{00000000-0005-0000-0000-00002B8E0000}"/>
    <cellStyle name="Normal 5 17 2 5 11" xfId="36396" xr:uid="{00000000-0005-0000-0000-00002C8E0000}"/>
    <cellStyle name="Normal 5 17 2 5 12" xfId="36397" xr:uid="{00000000-0005-0000-0000-00002D8E0000}"/>
    <cellStyle name="Normal 5 17 2 5 13" xfId="36398" xr:uid="{00000000-0005-0000-0000-00002E8E0000}"/>
    <cellStyle name="Normal 5 17 2 5 14" xfId="36399" xr:uid="{00000000-0005-0000-0000-00002F8E0000}"/>
    <cellStyle name="Normal 5 17 2 5 2" xfId="36400" xr:uid="{00000000-0005-0000-0000-0000308E0000}"/>
    <cellStyle name="Normal 5 17 2 5 2 10" xfId="36401" xr:uid="{00000000-0005-0000-0000-0000318E0000}"/>
    <cellStyle name="Normal 5 17 2 5 2 2" xfId="36402" xr:uid="{00000000-0005-0000-0000-0000328E0000}"/>
    <cellStyle name="Normal 5 17 2 5 2 3" xfId="36403" xr:uid="{00000000-0005-0000-0000-0000338E0000}"/>
    <cellStyle name="Normal 5 17 2 5 2 4" xfId="36404" xr:uid="{00000000-0005-0000-0000-0000348E0000}"/>
    <cellStyle name="Normal 5 17 2 5 2 5" xfId="36405" xr:uid="{00000000-0005-0000-0000-0000358E0000}"/>
    <cellStyle name="Normal 5 17 2 5 2 6" xfId="36406" xr:uid="{00000000-0005-0000-0000-0000368E0000}"/>
    <cellStyle name="Normal 5 17 2 5 2 7" xfId="36407" xr:uid="{00000000-0005-0000-0000-0000378E0000}"/>
    <cellStyle name="Normal 5 17 2 5 2 8" xfId="36408" xr:uid="{00000000-0005-0000-0000-0000388E0000}"/>
    <cellStyle name="Normal 5 17 2 5 2 9" xfId="36409" xr:uid="{00000000-0005-0000-0000-0000398E0000}"/>
    <cellStyle name="Normal 5 17 2 5 3" xfId="36410" xr:uid="{00000000-0005-0000-0000-00003A8E0000}"/>
    <cellStyle name="Normal 5 17 2 5 3 10" xfId="36411" xr:uid="{00000000-0005-0000-0000-00003B8E0000}"/>
    <cellStyle name="Normal 5 17 2 5 3 2" xfId="36412" xr:uid="{00000000-0005-0000-0000-00003C8E0000}"/>
    <cellStyle name="Normal 5 17 2 5 3 3" xfId="36413" xr:uid="{00000000-0005-0000-0000-00003D8E0000}"/>
    <cellStyle name="Normal 5 17 2 5 3 4" xfId="36414" xr:uid="{00000000-0005-0000-0000-00003E8E0000}"/>
    <cellStyle name="Normal 5 17 2 5 3 5" xfId="36415" xr:uid="{00000000-0005-0000-0000-00003F8E0000}"/>
    <cellStyle name="Normal 5 17 2 5 3 6" xfId="36416" xr:uid="{00000000-0005-0000-0000-0000408E0000}"/>
    <cellStyle name="Normal 5 17 2 5 3 7" xfId="36417" xr:uid="{00000000-0005-0000-0000-0000418E0000}"/>
    <cellStyle name="Normal 5 17 2 5 3 8" xfId="36418" xr:uid="{00000000-0005-0000-0000-0000428E0000}"/>
    <cellStyle name="Normal 5 17 2 5 3 9" xfId="36419" xr:uid="{00000000-0005-0000-0000-0000438E0000}"/>
    <cellStyle name="Normal 5 17 2 5 4" xfId="36420" xr:uid="{00000000-0005-0000-0000-0000448E0000}"/>
    <cellStyle name="Normal 5 17 2 5 4 10" xfId="36421" xr:uid="{00000000-0005-0000-0000-0000458E0000}"/>
    <cellStyle name="Normal 5 17 2 5 4 2" xfId="36422" xr:uid="{00000000-0005-0000-0000-0000468E0000}"/>
    <cellStyle name="Normal 5 17 2 5 4 3" xfId="36423" xr:uid="{00000000-0005-0000-0000-0000478E0000}"/>
    <cellStyle name="Normal 5 17 2 5 4 4" xfId="36424" xr:uid="{00000000-0005-0000-0000-0000488E0000}"/>
    <cellStyle name="Normal 5 17 2 5 4 5" xfId="36425" xr:uid="{00000000-0005-0000-0000-0000498E0000}"/>
    <cellStyle name="Normal 5 17 2 5 4 6" xfId="36426" xr:uid="{00000000-0005-0000-0000-00004A8E0000}"/>
    <cellStyle name="Normal 5 17 2 5 4 7" xfId="36427" xr:uid="{00000000-0005-0000-0000-00004B8E0000}"/>
    <cellStyle name="Normal 5 17 2 5 4 8" xfId="36428" xr:uid="{00000000-0005-0000-0000-00004C8E0000}"/>
    <cellStyle name="Normal 5 17 2 5 4 9" xfId="36429" xr:uid="{00000000-0005-0000-0000-00004D8E0000}"/>
    <cellStyle name="Normal 5 17 2 5 5" xfId="36430" xr:uid="{00000000-0005-0000-0000-00004E8E0000}"/>
    <cellStyle name="Normal 5 17 2 5 5 10" xfId="36431" xr:uid="{00000000-0005-0000-0000-00004F8E0000}"/>
    <cellStyle name="Normal 5 17 2 5 5 2" xfId="36432" xr:uid="{00000000-0005-0000-0000-0000508E0000}"/>
    <cellStyle name="Normal 5 17 2 5 5 3" xfId="36433" xr:uid="{00000000-0005-0000-0000-0000518E0000}"/>
    <cellStyle name="Normal 5 17 2 5 5 4" xfId="36434" xr:uid="{00000000-0005-0000-0000-0000528E0000}"/>
    <cellStyle name="Normal 5 17 2 5 5 5" xfId="36435" xr:uid="{00000000-0005-0000-0000-0000538E0000}"/>
    <cellStyle name="Normal 5 17 2 5 5 6" xfId="36436" xr:uid="{00000000-0005-0000-0000-0000548E0000}"/>
    <cellStyle name="Normal 5 17 2 5 5 7" xfId="36437" xr:uid="{00000000-0005-0000-0000-0000558E0000}"/>
    <cellStyle name="Normal 5 17 2 5 5 8" xfId="36438" xr:uid="{00000000-0005-0000-0000-0000568E0000}"/>
    <cellStyle name="Normal 5 17 2 5 5 9" xfId="36439" xr:uid="{00000000-0005-0000-0000-0000578E0000}"/>
    <cellStyle name="Normal 5 17 2 5 6" xfId="36440" xr:uid="{00000000-0005-0000-0000-0000588E0000}"/>
    <cellStyle name="Normal 5 17 2 5 7" xfId="36441" xr:uid="{00000000-0005-0000-0000-0000598E0000}"/>
    <cellStyle name="Normal 5 17 2 5 8" xfId="36442" xr:uid="{00000000-0005-0000-0000-00005A8E0000}"/>
    <cellStyle name="Normal 5 17 2 5 9" xfId="36443" xr:uid="{00000000-0005-0000-0000-00005B8E0000}"/>
    <cellStyle name="Normal 5 17 2 6" xfId="36444" xr:uid="{00000000-0005-0000-0000-00005C8E0000}"/>
    <cellStyle name="Normal 5 17 2 6 10" xfId="36445" xr:uid="{00000000-0005-0000-0000-00005D8E0000}"/>
    <cellStyle name="Normal 5 17 2 6 11" xfId="36446" xr:uid="{00000000-0005-0000-0000-00005E8E0000}"/>
    <cellStyle name="Normal 5 17 2 6 12" xfId="36447" xr:uid="{00000000-0005-0000-0000-00005F8E0000}"/>
    <cellStyle name="Normal 5 17 2 6 13" xfId="36448" xr:uid="{00000000-0005-0000-0000-0000608E0000}"/>
    <cellStyle name="Normal 5 17 2 6 14" xfId="36449" xr:uid="{00000000-0005-0000-0000-0000618E0000}"/>
    <cellStyle name="Normal 5 17 2 6 2" xfId="36450" xr:uid="{00000000-0005-0000-0000-0000628E0000}"/>
    <cellStyle name="Normal 5 17 2 6 2 10" xfId="36451" xr:uid="{00000000-0005-0000-0000-0000638E0000}"/>
    <cellStyle name="Normal 5 17 2 6 2 2" xfId="36452" xr:uid="{00000000-0005-0000-0000-0000648E0000}"/>
    <cellStyle name="Normal 5 17 2 6 2 3" xfId="36453" xr:uid="{00000000-0005-0000-0000-0000658E0000}"/>
    <cellStyle name="Normal 5 17 2 6 2 4" xfId="36454" xr:uid="{00000000-0005-0000-0000-0000668E0000}"/>
    <cellStyle name="Normal 5 17 2 6 2 5" xfId="36455" xr:uid="{00000000-0005-0000-0000-0000678E0000}"/>
    <cellStyle name="Normal 5 17 2 6 2 6" xfId="36456" xr:uid="{00000000-0005-0000-0000-0000688E0000}"/>
    <cellStyle name="Normal 5 17 2 6 2 7" xfId="36457" xr:uid="{00000000-0005-0000-0000-0000698E0000}"/>
    <cellStyle name="Normal 5 17 2 6 2 8" xfId="36458" xr:uid="{00000000-0005-0000-0000-00006A8E0000}"/>
    <cellStyle name="Normal 5 17 2 6 2 9" xfId="36459" xr:uid="{00000000-0005-0000-0000-00006B8E0000}"/>
    <cellStyle name="Normal 5 17 2 6 3" xfId="36460" xr:uid="{00000000-0005-0000-0000-00006C8E0000}"/>
    <cellStyle name="Normal 5 17 2 6 3 10" xfId="36461" xr:uid="{00000000-0005-0000-0000-00006D8E0000}"/>
    <cellStyle name="Normal 5 17 2 6 3 2" xfId="36462" xr:uid="{00000000-0005-0000-0000-00006E8E0000}"/>
    <cellStyle name="Normal 5 17 2 6 3 3" xfId="36463" xr:uid="{00000000-0005-0000-0000-00006F8E0000}"/>
    <cellStyle name="Normal 5 17 2 6 3 4" xfId="36464" xr:uid="{00000000-0005-0000-0000-0000708E0000}"/>
    <cellStyle name="Normal 5 17 2 6 3 5" xfId="36465" xr:uid="{00000000-0005-0000-0000-0000718E0000}"/>
    <cellStyle name="Normal 5 17 2 6 3 6" xfId="36466" xr:uid="{00000000-0005-0000-0000-0000728E0000}"/>
    <cellStyle name="Normal 5 17 2 6 3 7" xfId="36467" xr:uid="{00000000-0005-0000-0000-0000738E0000}"/>
    <cellStyle name="Normal 5 17 2 6 3 8" xfId="36468" xr:uid="{00000000-0005-0000-0000-0000748E0000}"/>
    <cellStyle name="Normal 5 17 2 6 3 9" xfId="36469" xr:uid="{00000000-0005-0000-0000-0000758E0000}"/>
    <cellStyle name="Normal 5 17 2 6 4" xfId="36470" xr:uid="{00000000-0005-0000-0000-0000768E0000}"/>
    <cellStyle name="Normal 5 17 2 6 4 10" xfId="36471" xr:uid="{00000000-0005-0000-0000-0000778E0000}"/>
    <cellStyle name="Normal 5 17 2 6 4 2" xfId="36472" xr:uid="{00000000-0005-0000-0000-0000788E0000}"/>
    <cellStyle name="Normal 5 17 2 6 4 3" xfId="36473" xr:uid="{00000000-0005-0000-0000-0000798E0000}"/>
    <cellStyle name="Normal 5 17 2 6 4 4" xfId="36474" xr:uid="{00000000-0005-0000-0000-00007A8E0000}"/>
    <cellStyle name="Normal 5 17 2 6 4 5" xfId="36475" xr:uid="{00000000-0005-0000-0000-00007B8E0000}"/>
    <cellStyle name="Normal 5 17 2 6 4 6" xfId="36476" xr:uid="{00000000-0005-0000-0000-00007C8E0000}"/>
    <cellStyle name="Normal 5 17 2 6 4 7" xfId="36477" xr:uid="{00000000-0005-0000-0000-00007D8E0000}"/>
    <cellStyle name="Normal 5 17 2 6 4 8" xfId="36478" xr:uid="{00000000-0005-0000-0000-00007E8E0000}"/>
    <cellStyle name="Normal 5 17 2 6 4 9" xfId="36479" xr:uid="{00000000-0005-0000-0000-00007F8E0000}"/>
    <cellStyle name="Normal 5 17 2 6 5" xfId="36480" xr:uid="{00000000-0005-0000-0000-0000808E0000}"/>
    <cellStyle name="Normal 5 17 2 6 5 10" xfId="36481" xr:uid="{00000000-0005-0000-0000-0000818E0000}"/>
    <cellStyle name="Normal 5 17 2 6 5 2" xfId="36482" xr:uid="{00000000-0005-0000-0000-0000828E0000}"/>
    <cellStyle name="Normal 5 17 2 6 5 3" xfId="36483" xr:uid="{00000000-0005-0000-0000-0000838E0000}"/>
    <cellStyle name="Normal 5 17 2 6 5 4" xfId="36484" xr:uid="{00000000-0005-0000-0000-0000848E0000}"/>
    <cellStyle name="Normal 5 17 2 6 5 5" xfId="36485" xr:uid="{00000000-0005-0000-0000-0000858E0000}"/>
    <cellStyle name="Normal 5 17 2 6 5 6" xfId="36486" xr:uid="{00000000-0005-0000-0000-0000868E0000}"/>
    <cellStyle name="Normal 5 17 2 6 5 7" xfId="36487" xr:uid="{00000000-0005-0000-0000-0000878E0000}"/>
    <cellStyle name="Normal 5 17 2 6 5 8" xfId="36488" xr:uid="{00000000-0005-0000-0000-0000888E0000}"/>
    <cellStyle name="Normal 5 17 2 6 5 9" xfId="36489" xr:uid="{00000000-0005-0000-0000-0000898E0000}"/>
    <cellStyle name="Normal 5 17 2 6 6" xfId="36490" xr:uid="{00000000-0005-0000-0000-00008A8E0000}"/>
    <cellStyle name="Normal 5 17 2 6 7" xfId="36491" xr:uid="{00000000-0005-0000-0000-00008B8E0000}"/>
    <cellStyle name="Normal 5 17 2 6 8" xfId="36492" xr:uid="{00000000-0005-0000-0000-00008C8E0000}"/>
    <cellStyle name="Normal 5 17 2 6 9" xfId="36493" xr:uid="{00000000-0005-0000-0000-00008D8E0000}"/>
    <cellStyle name="Normal 5 17 2 7" xfId="36494" xr:uid="{00000000-0005-0000-0000-00008E8E0000}"/>
    <cellStyle name="Normal 5 17 2 7 10" xfId="36495" xr:uid="{00000000-0005-0000-0000-00008F8E0000}"/>
    <cellStyle name="Normal 5 17 2 7 11" xfId="36496" xr:uid="{00000000-0005-0000-0000-0000908E0000}"/>
    <cellStyle name="Normal 5 17 2 7 12" xfId="36497" xr:uid="{00000000-0005-0000-0000-0000918E0000}"/>
    <cellStyle name="Normal 5 17 2 7 13" xfId="36498" xr:uid="{00000000-0005-0000-0000-0000928E0000}"/>
    <cellStyle name="Normal 5 17 2 7 14" xfId="36499" xr:uid="{00000000-0005-0000-0000-0000938E0000}"/>
    <cellStyle name="Normal 5 17 2 7 2" xfId="36500" xr:uid="{00000000-0005-0000-0000-0000948E0000}"/>
    <cellStyle name="Normal 5 17 2 7 2 10" xfId="36501" xr:uid="{00000000-0005-0000-0000-0000958E0000}"/>
    <cellStyle name="Normal 5 17 2 7 2 2" xfId="36502" xr:uid="{00000000-0005-0000-0000-0000968E0000}"/>
    <cellStyle name="Normal 5 17 2 7 2 3" xfId="36503" xr:uid="{00000000-0005-0000-0000-0000978E0000}"/>
    <cellStyle name="Normal 5 17 2 7 2 4" xfId="36504" xr:uid="{00000000-0005-0000-0000-0000988E0000}"/>
    <cellStyle name="Normal 5 17 2 7 2 5" xfId="36505" xr:uid="{00000000-0005-0000-0000-0000998E0000}"/>
    <cellStyle name="Normal 5 17 2 7 2 6" xfId="36506" xr:uid="{00000000-0005-0000-0000-00009A8E0000}"/>
    <cellStyle name="Normal 5 17 2 7 2 7" xfId="36507" xr:uid="{00000000-0005-0000-0000-00009B8E0000}"/>
    <cellStyle name="Normal 5 17 2 7 2 8" xfId="36508" xr:uid="{00000000-0005-0000-0000-00009C8E0000}"/>
    <cellStyle name="Normal 5 17 2 7 2 9" xfId="36509" xr:uid="{00000000-0005-0000-0000-00009D8E0000}"/>
    <cellStyle name="Normal 5 17 2 7 3" xfId="36510" xr:uid="{00000000-0005-0000-0000-00009E8E0000}"/>
    <cellStyle name="Normal 5 17 2 7 3 10" xfId="36511" xr:uid="{00000000-0005-0000-0000-00009F8E0000}"/>
    <cellStyle name="Normal 5 17 2 7 3 2" xfId="36512" xr:uid="{00000000-0005-0000-0000-0000A08E0000}"/>
    <cellStyle name="Normal 5 17 2 7 3 3" xfId="36513" xr:uid="{00000000-0005-0000-0000-0000A18E0000}"/>
    <cellStyle name="Normal 5 17 2 7 3 4" xfId="36514" xr:uid="{00000000-0005-0000-0000-0000A28E0000}"/>
    <cellStyle name="Normal 5 17 2 7 3 5" xfId="36515" xr:uid="{00000000-0005-0000-0000-0000A38E0000}"/>
    <cellStyle name="Normal 5 17 2 7 3 6" xfId="36516" xr:uid="{00000000-0005-0000-0000-0000A48E0000}"/>
    <cellStyle name="Normal 5 17 2 7 3 7" xfId="36517" xr:uid="{00000000-0005-0000-0000-0000A58E0000}"/>
    <cellStyle name="Normal 5 17 2 7 3 8" xfId="36518" xr:uid="{00000000-0005-0000-0000-0000A68E0000}"/>
    <cellStyle name="Normal 5 17 2 7 3 9" xfId="36519" xr:uid="{00000000-0005-0000-0000-0000A78E0000}"/>
    <cellStyle name="Normal 5 17 2 7 4" xfId="36520" xr:uid="{00000000-0005-0000-0000-0000A88E0000}"/>
    <cellStyle name="Normal 5 17 2 7 4 10" xfId="36521" xr:uid="{00000000-0005-0000-0000-0000A98E0000}"/>
    <cellStyle name="Normal 5 17 2 7 4 2" xfId="36522" xr:uid="{00000000-0005-0000-0000-0000AA8E0000}"/>
    <cellStyle name="Normal 5 17 2 7 4 3" xfId="36523" xr:uid="{00000000-0005-0000-0000-0000AB8E0000}"/>
    <cellStyle name="Normal 5 17 2 7 4 4" xfId="36524" xr:uid="{00000000-0005-0000-0000-0000AC8E0000}"/>
    <cellStyle name="Normal 5 17 2 7 4 5" xfId="36525" xr:uid="{00000000-0005-0000-0000-0000AD8E0000}"/>
    <cellStyle name="Normal 5 17 2 7 4 6" xfId="36526" xr:uid="{00000000-0005-0000-0000-0000AE8E0000}"/>
    <cellStyle name="Normal 5 17 2 7 4 7" xfId="36527" xr:uid="{00000000-0005-0000-0000-0000AF8E0000}"/>
    <cellStyle name="Normal 5 17 2 7 4 8" xfId="36528" xr:uid="{00000000-0005-0000-0000-0000B08E0000}"/>
    <cellStyle name="Normal 5 17 2 7 4 9" xfId="36529" xr:uid="{00000000-0005-0000-0000-0000B18E0000}"/>
    <cellStyle name="Normal 5 17 2 7 5" xfId="36530" xr:uid="{00000000-0005-0000-0000-0000B28E0000}"/>
    <cellStyle name="Normal 5 17 2 7 5 10" xfId="36531" xr:uid="{00000000-0005-0000-0000-0000B38E0000}"/>
    <cellStyle name="Normal 5 17 2 7 5 2" xfId="36532" xr:uid="{00000000-0005-0000-0000-0000B48E0000}"/>
    <cellStyle name="Normal 5 17 2 7 5 3" xfId="36533" xr:uid="{00000000-0005-0000-0000-0000B58E0000}"/>
    <cellStyle name="Normal 5 17 2 7 5 4" xfId="36534" xr:uid="{00000000-0005-0000-0000-0000B68E0000}"/>
    <cellStyle name="Normal 5 17 2 7 5 5" xfId="36535" xr:uid="{00000000-0005-0000-0000-0000B78E0000}"/>
    <cellStyle name="Normal 5 17 2 7 5 6" xfId="36536" xr:uid="{00000000-0005-0000-0000-0000B88E0000}"/>
    <cellStyle name="Normal 5 17 2 7 5 7" xfId="36537" xr:uid="{00000000-0005-0000-0000-0000B98E0000}"/>
    <cellStyle name="Normal 5 17 2 7 5 8" xfId="36538" xr:uid="{00000000-0005-0000-0000-0000BA8E0000}"/>
    <cellStyle name="Normal 5 17 2 7 5 9" xfId="36539" xr:uid="{00000000-0005-0000-0000-0000BB8E0000}"/>
    <cellStyle name="Normal 5 17 2 7 6" xfId="36540" xr:uid="{00000000-0005-0000-0000-0000BC8E0000}"/>
    <cellStyle name="Normal 5 17 2 7 7" xfId="36541" xr:uid="{00000000-0005-0000-0000-0000BD8E0000}"/>
    <cellStyle name="Normal 5 17 2 7 8" xfId="36542" xr:uid="{00000000-0005-0000-0000-0000BE8E0000}"/>
    <cellStyle name="Normal 5 17 2 7 9" xfId="36543" xr:uid="{00000000-0005-0000-0000-0000BF8E0000}"/>
    <cellStyle name="Normal 5 17 2 8" xfId="36544" xr:uid="{00000000-0005-0000-0000-0000C08E0000}"/>
    <cellStyle name="Normal 5 17 2 8 10" xfId="36545" xr:uid="{00000000-0005-0000-0000-0000C18E0000}"/>
    <cellStyle name="Normal 5 17 2 8 11" xfId="36546" xr:uid="{00000000-0005-0000-0000-0000C28E0000}"/>
    <cellStyle name="Normal 5 17 2 8 12" xfId="36547" xr:uid="{00000000-0005-0000-0000-0000C38E0000}"/>
    <cellStyle name="Normal 5 17 2 8 13" xfId="36548" xr:uid="{00000000-0005-0000-0000-0000C48E0000}"/>
    <cellStyle name="Normal 5 17 2 8 14" xfId="36549" xr:uid="{00000000-0005-0000-0000-0000C58E0000}"/>
    <cellStyle name="Normal 5 17 2 8 2" xfId="36550" xr:uid="{00000000-0005-0000-0000-0000C68E0000}"/>
    <cellStyle name="Normal 5 17 2 8 2 10" xfId="36551" xr:uid="{00000000-0005-0000-0000-0000C78E0000}"/>
    <cellStyle name="Normal 5 17 2 8 2 2" xfId="36552" xr:uid="{00000000-0005-0000-0000-0000C88E0000}"/>
    <cellStyle name="Normal 5 17 2 8 2 3" xfId="36553" xr:uid="{00000000-0005-0000-0000-0000C98E0000}"/>
    <cellStyle name="Normal 5 17 2 8 2 4" xfId="36554" xr:uid="{00000000-0005-0000-0000-0000CA8E0000}"/>
    <cellStyle name="Normal 5 17 2 8 2 5" xfId="36555" xr:uid="{00000000-0005-0000-0000-0000CB8E0000}"/>
    <cellStyle name="Normal 5 17 2 8 2 6" xfId="36556" xr:uid="{00000000-0005-0000-0000-0000CC8E0000}"/>
    <cellStyle name="Normal 5 17 2 8 2 7" xfId="36557" xr:uid="{00000000-0005-0000-0000-0000CD8E0000}"/>
    <cellStyle name="Normal 5 17 2 8 2 8" xfId="36558" xr:uid="{00000000-0005-0000-0000-0000CE8E0000}"/>
    <cellStyle name="Normal 5 17 2 8 2 9" xfId="36559" xr:uid="{00000000-0005-0000-0000-0000CF8E0000}"/>
    <cellStyle name="Normal 5 17 2 8 3" xfId="36560" xr:uid="{00000000-0005-0000-0000-0000D08E0000}"/>
    <cellStyle name="Normal 5 17 2 8 3 10" xfId="36561" xr:uid="{00000000-0005-0000-0000-0000D18E0000}"/>
    <cellStyle name="Normal 5 17 2 8 3 2" xfId="36562" xr:uid="{00000000-0005-0000-0000-0000D28E0000}"/>
    <cellStyle name="Normal 5 17 2 8 3 3" xfId="36563" xr:uid="{00000000-0005-0000-0000-0000D38E0000}"/>
    <cellStyle name="Normal 5 17 2 8 3 4" xfId="36564" xr:uid="{00000000-0005-0000-0000-0000D48E0000}"/>
    <cellStyle name="Normal 5 17 2 8 3 5" xfId="36565" xr:uid="{00000000-0005-0000-0000-0000D58E0000}"/>
    <cellStyle name="Normal 5 17 2 8 3 6" xfId="36566" xr:uid="{00000000-0005-0000-0000-0000D68E0000}"/>
    <cellStyle name="Normal 5 17 2 8 3 7" xfId="36567" xr:uid="{00000000-0005-0000-0000-0000D78E0000}"/>
    <cellStyle name="Normal 5 17 2 8 3 8" xfId="36568" xr:uid="{00000000-0005-0000-0000-0000D88E0000}"/>
    <cellStyle name="Normal 5 17 2 8 3 9" xfId="36569" xr:uid="{00000000-0005-0000-0000-0000D98E0000}"/>
    <cellStyle name="Normal 5 17 2 8 4" xfId="36570" xr:uid="{00000000-0005-0000-0000-0000DA8E0000}"/>
    <cellStyle name="Normal 5 17 2 8 4 10" xfId="36571" xr:uid="{00000000-0005-0000-0000-0000DB8E0000}"/>
    <cellStyle name="Normal 5 17 2 8 4 2" xfId="36572" xr:uid="{00000000-0005-0000-0000-0000DC8E0000}"/>
    <cellStyle name="Normal 5 17 2 8 4 3" xfId="36573" xr:uid="{00000000-0005-0000-0000-0000DD8E0000}"/>
    <cellStyle name="Normal 5 17 2 8 4 4" xfId="36574" xr:uid="{00000000-0005-0000-0000-0000DE8E0000}"/>
    <cellStyle name="Normal 5 17 2 8 4 5" xfId="36575" xr:uid="{00000000-0005-0000-0000-0000DF8E0000}"/>
    <cellStyle name="Normal 5 17 2 8 4 6" xfId="36576" xr:uid="{00000000-0005-0000-0000-0000E08E0000}"/>
    <cellStyle name="Normal 5 17 2 8 4 7" xfId="36577" xr:uid="{00000000-0005-0000-0000-0000E18E0000}"/>
    <cellStyle name="Normal 5 17 2 8 4 8" xfId="36578" xr:uid="{00000000-0005-0000-0000-0000E28E0000}"/>
    <cellStyle name="Normal 5 17 2 8 4 9" xfId="36579" xr:uid="{00000000-0005-0000-0000-0000E38E0000}"/>
    <cellStyle name="Normal 5 17 2 8 5" xfId="36580" xr:uid="{00000000-0005-0000-0000-0000E48E0000}"/>
    <cellStyle name="Normal 5 17 2 8 5 10" xfId="36581" xr:uid="{00000000-0005-0000-0000-0000E58E0000}"/>
    <cellStyle name="Normal 5 17 2 8 5 2" xfId="36582" xr:uid="{00000000-0005-0000-0000-0000E68E0000}"/>
    <cellStyle name="Normal 5 17 2 8 5 3" xfId="36583" xr:uid="{00000000-0005-0000-0000-0000E78E0000}"/>
    <cellStyle name="Normal 5 17 2 8 5 4" xfId="36584" xr:uid="{00000000-0005-0000-0000-0000E88E0000}"/>
    <cellStyle name="Normal 5 17 2 8 5 5" xfId="36585" xr:uid="{00000000-0005-0000-0000-0000E98E0000}"/>
    <cellStyle name="Normal 5 17 2 8 5 6" xfId="36586" xr:uid="{00000000-0005-0000-0000-0000EA8E0000}"/>
    <cellStyle name="Normal 5 17 2 8 5 7" xfId="36587" xr:uid="{00000000-0005-0000-0000-0000EB8E0000}"/>
    <cellStyle name="Normal 5 17 2 8 5 8" xfId="36588" xr:uid="{00000000-0005-0000-0000-0000EC8E0000}"/>
    <cellStyle name="Normal 5 17 2 8 5 9" xfId="36589" xr:uid="{00000000-0005-0000-0000-0000ED8E0000}"/>
    <cellStyle name="Normal 5 17 2 8 6" xfId="36590" xr:uid="{00000000-0005-0000-0000-0000EE8E0000}"/>
    <cellStyle name="Normal 5 17 2 8 7" xfId="36591" xr:uid="{00000000-0005-0000-0000-0000EF8E0000}"/>
    <cellStyle name="Normal 5 17 2 8 8" xfId="36592" xr:uid="{00000000-0005-0000-0000-0000F08E0000}"/>
    <cellStyle name="Normal 5 17 2 8 9" xfId="36593" xr:uid="{00000000-0005-0000-0000-0000F18E0000}"/>
    <cellStyle name="Normal 5 17 2 9" xfId="36594" xr:uid="{00000000-0005-0000-0000-0000F28E0000}"/>
    <cellStyle name="Normal 5 17 2 9 10" xfId="36595" xr:uid="{00000000-0005-0000-0000-0000F38E0000}"/>
    <cellStyle name="Normal 5 17 2 9 11" xfId="36596" xr:uid="{00000000-0005-0000-0000-0000F48E0000}"/>
    <cellStyle name="Normal 5 17 2 9 12" xfId="36597" xr:uid="{00000000-0005-0000-0000-0000F58E0000}"/>
    <cellStyle name="Normal 5 17 2 9 13" xfId="36598" xr:uid="{00000000-0005-0000-0000-0000F68E0000}"/>
    <cellStyle name="Normal 5 17 2 9 14" xfId="36599" xr:uid="{00000000-0005-0000-0000-0000F78E0000}"/>
    <cellStyle name="Normal 5 17 2 9 2" xfId="36600" xr:uid="{00000000-0005-0000-0000-0000F88E0000}"/>
    <cellStyle name="Normal 5 17 2 9 2 10" xfId="36601" xr:uid="{00000000-0005-0000-0000-0000F98E0000}"/>
    <cellStyle name="Normal 5 17 2 9 2 2" xfId="36602" xr:uid="{00000000-0005-0000-0000-0000FA8E0000}"/>
    <cellStyle name="Normal 5 17 2 9 2 3" xfId="36603" xr:uid="{00000000-0005-0000-0000-0000FB8E0000}"/>
    <cellStyle name="Normal 5 17 2 9 2 4" xfId="36604" xr:uid="{00000000-0005-0000-0000-0000FC8E0000}"/>
    <cellStyle name="Normal 5 17 2 9 2 5" xfId="36605" xr:uid="{00000000-0005-0000-0000-0000FD8E0000}"/>
    <cellStyle name="Normal 5 17 2 9 2 6" xfId="36606" xr:uid="{00000000-0005-0000-0000-0000FE8E0000}"/>
    <cellStyle name="Normal 5 17 2 9 2 7" xfId="36607" xr:uid="{00000000-0005-0000-0000-0000FF8E0000}"/>
    <cellStyle name="Normal 5 17 2 9 2 8" xfId="36608" xr:uid="{00000000-0005-0000-0000-0000008F0000}"/>
    <cellStyle name="Normal 5 17 2 9 2 9" xfId="36609" xr:uid="{00000000-0005-0000-0000-0000018F0000}"/>
    <cellStyle name="Normal 5 17 2 9 3" xfId="36610" xr:uid="{00000000-0005-0000-0000-0000028F0000}"/>
    <cellStyle name="Normal 5 17 2 9 3 10" xfId="36611" xr:uid="{00000000-0005-0000-0000-0000038F0000}"/>
    <cellStyle name="Normal 5 17 2 9 3 2" xfId="36612" xr:uid="{00000000-0005-0000-0000-0000048F0000}"/>
    <cellStyle name="Normal 5 17 2 9 3 3" xfId="36613" xr:uid="{00000000-0005-0000-0000-0000058F0000}"/>
    <cellStyle name="Normal 5 17 2 9 3 4" xfId="36614" xr:uid="{00000000-0005-0000-0000-0000068F0000}"/>
    <cellStyle name="Normal 5 17 2 9 3 5" xfId="36615" xr:uid="{00000000-0005-0000-0000-0000078F0000}"/>
    <cellStyle name="Normal 5 17 2 9 3 6" xfId="36616" xr:uid="{00000000-0005-0000-0000-0000088F0000}"/>
    <cellStyle name="Normal 5 17 2 9 3 7" xfId="36617" xr:uid="{00000000-0005-0000-0000-0000098F0000}"/>
    <cellStyle name="Normal 5 17 2 9 3 8" xfId="36618" xr:uid="{00000000-0005-0000-0000-00000A8F0000}"/>
    <cellStyle name="Normal 5 17 2 9 3 9" xfId="36619" xr:uid="{00000000-0005-0000-0000-00000B8F0000}"/>
    <cellStyle name="Normal 5 17 2 9 4" xfId="36620" xr:uid="{00000000-0005-0000-0000-00000C8F0000}"/>
    <cellStyle name="Normal 5 17 2 9 4 10" xfId="36621" xr:uid="{00000000-0005-0000-0000-00000D8F0000}"/>
    <cellStyle name="Normal 5 17 2 9 4 2" xfId="36622" xr:uid="{00000000-0005-0000-0000-00000E8F0000}"/>
    <cellStyle name="Normal 5 17 2 9 4 3" xfId="36623" xr:uid="{00000000-0005-0000-0000-00000F8F0000}"/>
    <cellStyle name="Normal 5 17 2 9 4 4" xfId="36624" xr:uid="{00000000-0005-0000-0000-0000108F0000}"/>
    <cellStyle name="Normal 5 17 2 9 4 5" xfId="36625" xr:uid="{00000000-0005-0000-0000-0000118F0000}"/>
    <cellStyle name="Normal 5 17 2 9 4 6" xfId="36626" xr:uid="{00000000-0005-0000-0000-0000128F0000}"/>
    <cellStyle name="Normal 5 17 2 9 4 7" xfId="36627" xr:uid="{00000000-0005-0000-0000-0000138F0000}"/>
    <cellStyle name="Normal 5 17 2 9 4 8" xfId="36628" xr:uid="{00000000-0005-0000-0000-0000148F0000}"/>
    <cellStyle name="Normal 5 17 2 9 4 9" xfId="36629" xr:uid="{00000000-0005-0000-0000-0000158F0000}"/>
    <cellStyle name="Normal 5 17 2 9 5" xfId="36630" xr:uid="{00000000-0005-0000-0000-0000168F0000}"/>
    <cellStyle name="Normal 5 17 2 9 5 10" xfId="36631" xr:uid="{00000000-0005-0000-0000-0000178F0000}"/>
    <cellStyle name="Normal 5 17 2 9 5 2" xfId="36632" xr:uid="{00000000-0005-0000-0000-0000188F0000}"/>
    <cellStyle name="Normal 5 17 2 9 5 3" xfId="36633" xr:uid="{00000000-0005-0000-0000-0000198F0000}"/>
    <cellStyle name="Normal 5 17 2 9 5 4" xfId="36634" xr:uid="{00000000-0005-0000-0000-00001A8F0000}"/>
    <cellStyle name="Normal 5 17 2 9 5 5" xfId="36635" xr:uid="{00000000-0005-0000-0000-00001B8F0000}"/>
    <cellStyle name="Normal 5 17 2 9 5 6" xfId="36636" xr:uid="{00000000-0005-0000-0000-00001C8F0000}"/>
    <cellStyle name="Normal 5 17 2 9 5 7" xfId="36637" xr:uid="{00000000-0005-0000-0000-00001D8F0000}"/>
    <cellStyle name="Normal 5 17 2 9 5 8" xfId="36638" xr:uid="{00000000-0005-0000-0000-00001E8F0000}"/>
    <cellStyle name="Normal 5 17 2 9 5 9" xfId="36639" xr:uid="{00000000-0005-0000-0000-00001F8F0000}"/>
    <cellStyle name="Normal 5 17 2 9 6" xfId="36640" xr:uid="{00000000-0005-0000-0000-0000208F0000}"/>
    <cellStyle name="Normal 5 17 2 9 7" xfId="36641" xr:uid="{00000000-0005-0000-0000-0000218F0000}"/>
    <cellStyle name="Normal 5 17 2 9 8" xfId="36642" xr:uid="{00000000-0005-0000-0000-0000228F0000}"/>
    <cellStyle name="Normal 5 17 2 9 9" xfId="36643" xr:uid="{00000000-0005-0000-0000-0000238F0000}"/>
    <cellStyle name="Normal 5 17 20" xfId="36644" xr:uid="{00000000-0005-0000-0000-0000248F0000}"/>
    <cellStyle name="Normal 5 17 20 10" xfId="36645" xr:uid="{00000000-0005-0000-0000-0000258F0000}"/>
    <cellStyle name="Normal 5 17 20 11" xfId="36646" xr:uid="{00000000-0005-0000-0000-0000268F0000}"/>
    <cellStyle name="Normal 5 17 20 12" xfId="36647" xr:uid="{00000000-0005-0000-0000-0000278F0000}"/>
    <cellStyle name="Normal 5 17 20 13" xfId="36648" xr:uid="{00000000-0005-0000-0000-0000288F0000}"/>
    <cellStyle name="Normal 5 17 20 14" xfId="36649" xr:uid="{00000000-0005-0000-0000-0000298F0000}"/>
    <cellStyle name="Normal 5 17 20 2" xfId="36650" xr:uid="{00000000-0005-0000-0000-00002A8F0000}"/>
    <cellStyle name="Normal 5 17 20 2 10" xfId="36651" xr:uid="{00000000-0005-0000-0000-00002B8F0000}"/>
    <cellStyle name="Normal 5 17 20 2 2" xfId="36652" xr:uid="{00000000-0005-0000-0000-00002C8F0000}"/>
    <cellStyle name="Normal 5 17 20 2 3" xfId="36653" xr:uid="{00000000-0005-0000-0000-00002D8F0000}"/>
    <cellStyle name="Normal 5 17 20 2 4" xfId="36654" xr:uid="{00000000-0005-0000-0000-00002E8F0000}"/>
    <cellStyle name="Normal 5 17 20 2 5" xfId="36655" xr:uid="{00000000-0005-0000-0000-00002F8F0000}"/>
    <cellStyle name="Normal 5 17 20 2 6" xfId="36656" xr:uid="{00000000-0005-0000-0000-0000308F0000}"/>
    <cellStyle name="Normal 5 17 20 2 7" xfId="36657" xr:uid="{00000000-0005-0000-0000-0000318F0000}"/>
    <cellStyle name="Normal 5 17 20 2 8" xfId="36658" xr:uid="{00000000-0005-0000-0000-0000328F0000}"/>
    <cellStyle name="Normal 5 17 20 2 9" xfId="36659" xr:uid="{00000000-0005-0000-0000-0000338F0000}"/>
    <cellStyle name="Normal 5 17 20 3" xfId="36660" xr:uid="{00000000-0005-0000-0000-0000348F0000}"/>
    <cellStyle name="Normal 5 17 20 3 10" xfId="36661" xr:uid="{00000000-0005-0000-0000-0000358F0000}"/>
    <cellStyle name="Normal 5 17 20 3 2" xfId="36662" xr:uid="{00000000-0005-0000-0000-0000368F0000}"/>
    <cellStyle name="Normal 5 17 20 3 3" xfId="36663" xr:uid="{00000000-0005-0000-0000-0000378F0000}"/>
    <cellStyle name="Normal 5 17 20 3 4" xfId="36664" xr:uid="{00000000-0005-0000-0000-0000388F0000}"/>
    <cellStyle name="Normal 5 17 20 3 5" xfId="36665" xr:uid="{00000000-0005-0000-0000-0000398F0000}"/>
    <cellStyle name="Normal 5 17 20 3 6" xfId="36666" xr:uid="{00000000-0005-0000-0000-00003A8F0000}"/>
    <cellStyle name="Normal 5 17 20 3 7" xfId="36667" xr:uid="{00000000-0005-0000-0000-00003B8F0000}"/>
    <cellStyle name="Normal 5 17 20 3 8" xfId="36668" xr:uid="{00000000-0005-0000-0000-00003C8F0000}"/>
    <cellStyle name="Normal 5 17 20 3 9" xfId="36669" xr:uid="{00000000-0005-0000-0000-00003D8F0000}"/>
    <cellStyle name="Normal 5 17 20 4" xfId="36670" xr:uid="{00000000-0005-0000-0000-00003E8F0000}"/>
    <cellStyle name="Normal 5 17 20 4 10" xfId="36671" xr:uid="{00000000-0005-0000-0000-00003F8F0000}"/>
    <cellStyle name="Normal 5 17 20 4 2" xfId="36672" xr:uid="{00000000-0005-0000-0000-0000408F0000}"/>
    <cellStyle name="Normal 5 17 20 4 3" xfId="36673" xr:uid="{00000000-0005-0000-0000-0000418F0000}"/>
    <cellStyle name="Normal 5 17 20 4 4" xfId="36674" xr:uid="{00000000-0005-0000-0000-0000428F0000}"/>
    <cellStyle name="Normal 5 17 20 4 5" xfId="36675" xr:uid="{00000000-0005-0000-0000-0000438F0000}"/>
    <cellStyle name="Normal 5 17 20 4 6" xfId="36676" xr:uid="{00000000-0005-0000-0000-0000448F0000}"/>
    <cellStyle name="Normal 5 17 20 4 7" xfId="36677" xr:uid="{00000000-0005-0000-0000-0000458F0000}"/>
    <cellStyle name="Normal 5 17 20 4 8" xfId="36678" xr:uid="{00000000-0005-0000-0000-0000468F0000}"/>
    <cellStyle name="Normal 5 17 20 4 9" xfId="36679" xr:uid="{00000000-0005-0000-0000-0000478F0000}"/>
    <cellStyle name="Normal 5 17 20 5" xfId="36680" xr:uid="{00000000-0005-0000-0000-0000488F0000}"/>
    <cellStyle name="Normal 5 17 20 5 10" xfId="36681" xr:uid="{00000000-0005-0000-0000-0000498F0000}"/>
    <cellStyle name="Normal 5 17 20 5 2" xfId="36682" xr:uid="{00000000-0005-0000-0000-00004A8F0000}"/>
    <cellStyle name="Normal 5 17 20 5 3" xfId="36683" xr:uid="{00000000-0005-0000-0000-00004B8F0000}"/>
    <cellStyle name="Normal 5 17 20 5 4" xfId="36684" xr:uid="{00000000-0005-0000-0000-00004C8F0000}"/>
    <cellStyle name="Normal 5 17 20 5 5" xfId="36685" xr:uid="{00000000-0005-0000-0000-00004D8F0000}"/>
    <cellStyle name="Normal 5 17 20 5 6" xfId="36686" xr:uid="{00000000-0005-0000-0000-00004E8F0000}"/>
    <cellStyle name="Normal 5 17 20 5 7" xfId="36687" xr:uid="{00000000-0005-0000-0000-00004F8F0000}"/>
    <cellStyle name="Normal 5 17 20 5 8" xfId="36688" xr:uid="{00000000-0005-0000-0000-0000508F0000}"/>
    <cellStyle name="Normal 5 17 20 5 9" xfId="36689" xr:uid="{00000000-0005-0000-0000-0000518F0000}"/>
    <cellStyle name="Normal 5 17 20 6" xfId="36690" xr:uid="{00000000-0005-0000-0000-0000528F0000}"/>
    <cellStyle name="Normal 5 17 20 7" xfId="36691" xr:uid="{00000000-0005-0000-0000-0000538F0000}"/>
    <cellStyle name="Normal 5 17 20 8" xfId="36692" xr:uid="{00000000-0005-0000-0000-0000548F0000}"/>
    <cellStyle name="Normal 5 17 20 9" xfId="36693" xr:uid="{00000000-0005-0000-0000-0000558F0000}"/>
    <cellStyle name="Normal 5 17 21" xfId="36694" xr:uid="{00000000-0005-0000-0000-0000568F0000}"/>
    <cellStyle name="Normal 5 17 21 10" xfId="36695" xr:uid="{00000000-0005-0000-0000-0000578F0000}"/>
    <cellStyle name="Normal 5 17 21 11" xfId="36696" xr:uid="{00000000-0005-0000-0000-0000588F0000}"/>
    <cellStyle name="Normal 5 17 21 12" xfId="36697" xr:uid="{00000000-0005-0000-0000-0000598F0000}"/>
    <cellStyle name="Normal 5 17 21 13" xfId="36698" xr:uid="{00000000-0005-0000-0000-00005A8F0000}"/>
    <cellStyle name="Normal 5 17 21 14" xfId="36699" xr:uid="{00000000-0005-0000-0000-00005B8F0000}"/>
    <cellStyle name="Normal 5 17 21 2" xfId="36700" xr:uid="{00000000-0005-0000-0000-00005C8F0000}"/>
    <cellStyle name="Normal 5 17 21 2 10" xfId="36701" xr:uid="{00000000-0005-0000-0000-00005D8F0000}"/>
    <cellStyle name="Normal 5 17 21 2 2" xfId="36702" xr:uid="{00000000-0005-0000-0000-00005E8F0000}"/>
    <cellStyle name="Normal 5 17 21 2 3" xfId="36703" xr:uid="{00000000-0005-0000-0000-00005F8F0000}"/>
    <cellStyle name="Normal 5 17 21 2 4" xfId="36704" xr:uid="{00000000-0005-0000-0000-0000608F0000}"/>
    <cellStyle name="Normal 5 17 21 2 5" xfId="36705" xr:uid="{00000000-0005-0000-0000-0000618F0000}"/>
    <cellStyle name="Normal 5 17 21 2 6" xfId="36706" xr:uid="{00000000-0005-0000-0000-0000628F0000}"/>
    <cellStyle name="Normal 5 17 21 2 7" xfId="36707" xr:uid="{00000000-0005-0000-0000-0000638F0000}"/>
    <cellStyle name="Normal 5 17 21 2 8" xfId="36708" xr:uid="{00000000-0005-0000-0000-0000648F0000}"/>
    <cellStyle name="Normal 5 17 21 2 9" xfId="36709" xr:uid="{00000000-0005-0000-0000-0000658F0000}"/>
    <cellStyle name="Normal 5 17 21 3" xfId="36710" xr:uid="{00000000-0005-0000-0000-0000668F0000}"/>
    <cellStyle name="Normal 5 17 21 3 10" xfId="36711" xr:uid="{00000000-0005-0000-0000-0000678F0000}"/>
    <cellStyle name="Normal 5 17 21 3 2" xfId="36712" xr:uid="{00000000-0005-0000-0000-0000688F0000}"/>
    <cellStyle name="Normal 5 17 21 3 3" xfId="36713" xr:uid="{00000000-0005-0000-0000-0000698F0000}"/>
    <cellStyle name="Normal 5 17 21 3 4" xfId="36714" xr:uid="{00000000-0005-0000-0000-00006A8F0000}"/>
    <cellStyle name="Normal 5 17 21 3 5" xfId="36715" xr:uid="{00000000-0005-0000-0000-00006B8F0000}"/>
    <cellStyle name="Normal 5 17 21 3 6" xfId="36716" xr:uid="{00000000-0005-0000-0000-00006C8F0000}"/>
    <cellStyle name="Normal 5 17 21 3 7" xfId="36717" xr:uid="{00000000-0005-0000-0000-00006D8F0000}"/>
    <cellStyle name="Normal 5 17 21 3 8" xfId="36718" xr:uid="{00000000-0005-0000-0000-00006E8F0000}"/>
    <cellStyle name="Normal 5 17 21 3 9" xfId="36719" xr:uid="{00000000-0005-0000-0000-00006F8F0000}"/>
    <cellStyle name="Normal 5 17 21 4" xfId="36720" xr:uid="{00000000-0005-0000-0000-0000708F0000}"/>
    <cellStyle name="Normal 5 17 21 4 10" xfId="36721" xr:uid="{00000000-0005-0000-0000-0000718F0000}"/>
    <cellStyle name="Normal 5 17 21 4 2" xfId="36722" xr:uid="{00000000-0005-0000-0000-0000728F0000}"/>
    <cellStyle name="Normal 5 17 21 4 3" xfId="36723" xr:uid="{00000000-0005-0000-0000-0000738F0000}"/>
    <cellStyle name="Normal 5 17 21 4 4" xfId="36724" xr:uid="{00000000-0005-0000-0000-0000748F0000}"/>
    <cellStyle name="Normal 5 17 21 4 5" xfId="36725" xr:uid="{00000000-0005-0000-0000-0000758F0000}"/>
    <cellStyle name="Normal 5 17 21 4 6" xfId="36726" xr:uid="{00000000-0005-0000-0000-0000768F0000}"/>
    <cellStyle name="Normal 5 17 21 4 7" xfId="36727" xr:uid="{00000000-0005-0000-0000-0000778F0000}"/>
    <cellStyle name="Normal 5 17 21 4 8" xfId="36728" xr:uid="{00000000-0005-0000-0000-0000788F0000}"/>
    <cellStyle name="Normal 5 17 21 4 9" xfId="36729" xr:uid="{00000000-0005-0000-0000-0000798F0000}"/>
    <cellStyle name="Normal 5 17 21 5" xfId="36730" xr:uid="{00000000-0005-0000-0000-00007A8F0000}"/>
    <cellStyle name="Normal 5 17 21 5 10" xfId="36731" xr:uid="{00000000-0005-0000-0000-00007B8F0000}"/>
    <cellStyle name="Normal 5 17 21 5 2" xfId="36732" xr:uid="{00000000-0005-0000-0000-00007C8F0000}"/>
    <cellStyle name="Normal 5 17 21 5 3" xfId="36733" xr:uid="{00000000-0005-0000-0000-00007D8F0000}"/>
    <cellStyle name="Normal 5 17 21 5 4" xfId="36734" xr:uid="{00000000-0005-0000-0000-00007E8F0000}"/>
    <cellStyle name="Normal 5 17 21 5 5" xfId="36735" xr:uid="{00000000-0005-0000-0000-00007F8F0000}"/>
    <cellStyle name="Normal 5 17 21 5 6" xfId="36736" xr:uid="{00000000-0005-0000-0000-0000808F0000}"/>
    <cellStyle name="Normal 5 17 21 5 7" xfId="36737" xr:uid="{00000000-0005-0000-0000-0000818F0000}"/>
    <cellStyle name="Normal 5 17 21 5 8" xfId="36738" xr:uid="{00000000-0005-0000-0000-0000828F0000}"/>
    <cellStyle name="Normal 5 17 21 5 9" xfId="36739" xr:uid="{00000000-0005-0000-0000-0000838F0000}"/>
    <cellStyle name="Normal 5 17 21 6" xfId="36740" xr:uid="{00000000-0005-0000-0000-0000848F0000}"/>
    <cellStyle name="Normal 5 17 21 7" xfId="36741" xr:uid="{00000000-0005-0000-0000-0000858F0000}"/>
    <cellStyle name="Normal 5 17 21 8" xfId="36742" xr:uid="{00000000-0005-0000-0000-0000868F0000}"/>
    <cellStyle name="Normal 5 17 21 9" xfId="36743" xr:uid="{00000000-0005-0000-0000-0000878F0000}"/>
    <cellStyle name="Normal 5 17 22" xfId="36744" xr:uid="{00000000-0005-0000-0000-0000888F0000}"/>
    <cellStyle name="Normal 5 17 22 10" xfId="36745" xr:uid="{00000000-0005-0000-0000-0000898F0000}"/>
    <cellStyle name="Normal 5 17 22 11" xfId="36746" xr:uid="{00000000-0005-0000-0000-00008A8F0000}"/>
    <cellStyle name="Normal 5 17 22 12" xfId="36747" xr:uid="{00000000-0005-0000-0000-00008B8F0000}"/>
    <cellStyle name="Normal 5 17 22 13" xfId="36748" xr:uid="{00000000-0005-0000-0000-00008C8F0000}"/>
    <cellStyle name="Normal 5 17 22 14" xfId="36749" xr:uid="{00000000-0005-0000-0000-00008D8F0000}"/>
    <cellStyle name="Normal 5 17 22 2" xfId="36750" xr:uid="{00000000-0005-0000-0000-00008E8F0000}"/>
    <cellStyle name="Normal 5 17 22 2 10" xfId="36751" xr:uid="{00000000-0005-0000-0000-00008F8F0000}"/>
    <cellStyle name="Normal 5 17 22 2 2" xfId="36752" xr:uid="{00000000-0005-0000-0000-0000908F0000}"/>
    <cellStyle name="Normal 5 17 22 2 3" xfId="36753" xr:uid="{00000000-0005-0000-0000-0000918F0000}"/>
    <cellStyle name="Normal 5 17 22 2 4" xfId="36754" xr:uid="{00000000-0005-0000-0000-0000928F0000}"/>
    <cellStyle name="Normal 5 17 22 2 5" xfId="36755" xr:uid="{00000000-0005-0000-0000-0000938F0000}"/>
    <cellStyle name="Normal 5 17 22 2 6" xfId="36756" xr:uid="{00000000-0005-0000-0000-0000948F0000}"/>
    <cellStyle name="Normal 5 17 22 2 7" xfId="36757" xr:uid="{00000000-0005-0000-0000-0000958F0000}"/>
    <cellStyle name="Normal 5 17 22 2 8" xfId="36758" xr:uid="{00000000-0005-0000-0000-0000968F0000}"/>
    <cellStyle name="Normal 5 17 22 2 9" xfId="36759" xr:uid="{00000000-0005-0000-0000-0000978F0000}"/>
    <cellStyle name="Normal 5 17 22 3" xfId="36760" xr:uid="{00000000-0005-0000-0000-0000988F0000}"/>
    <cellStyle name="Normal 5 17 22 3 10" xfId="36761" xr:uid="{00000000-0005-0000-0000-0000998F0000}"/>
    <cellStyle name="Normal 5 17 22 3 2" xfId="36762" xr:uid="{00000000-0005-0000-0000-00009A8F0000}"/>
    <cellStyle name="Normal 5 17 22 3 3" xfId="36763" xr:uid="{00000000-0005-0000-0000-00009B8F0000}"/>
    <cellStyle name="Normal 5 17 22 3 4" xfId="36764" xr:uid="{00000000-0005-0000-0000-00009C8F0000}"/>
    <cellStyle name="Normal 5 17 22 3 5" xfId="36765" xr:uid="{00000000-0005-0000-0000-00009D8F0000}"/>
    <cellStyle name="Normal 5 17 22 3 6" xfId="36766" xr:uid="{00000000-0005-0000-0000-00009E8F0000}"/>
    <cellStyle name="Normal 5 17 22 3 7" xfId="36767" xr:uid="{00000000-0005-0000-0000-00009F8F0000}"/>
    <cellStyle name="Normal 5 17 22 3 8" xfId="36768" xr:uid="{00000000-0005-0000-0000-0000A08F0000}"/>
    <cellStyle name="Normal 5 17 22 3 9" xfId="36769" xr:uid="{00000000-0005-0000-0000-0000A18F0000}"/>
    <cellStyle name="Normal 5 17 22 4" xfId="36770" xr:uid="{00000000-0005-0000-0000-0000A28F0000}"/>
    <cellStyle name="Normal 5 17 22 4 10" xfId="36771" xr:uid="{00000000-0005-0000-0000-0000A38F0000}"/>
    <cellStyle name="Normal 5 17 22 4 2" xfId="36772" xr:uid="{00000000-0005-0000-0000-0000A48F0000}"/>
    <cellStyle name="Normal 5 17 22 4 3" xfId="36773" xr:uid="{00000000-0005-0000-0000-0000A58F0000}"/>
    <cellStyle name="Normal 5 17 22 4 4" xfId="36774" xr:uid="{00000000-0005-0000-0000-0000A68F0000}"/>
    <cellStyle name="Normal 5 17 22 4 5" xfId="36775" xr:uid="{00000000-0005-0000-0000-0000A78F0000}"/>
    <cellStyle name="Normal 5 17 22 4 6" xfId="36776" xr:uid="{00000000-0005-0000-0000-0000A88F0000}"/>
    <cellStyle name="Normal 5 17 22 4 7" xfId="36777" xr:uid="{00000000-0005-0000-0000-0000A98F0000}"/>
    <cellStyle name="Normal 5 17 22 4 8" xfId="36778" xr:uid="{00000000-0005-0000-0000-0000AA8F0000}"/>
    <cellStyle name="Normal 5 17 22 4 9" xfId="36779" xr:uid="{00000000-0005-0000-0000-0000AB8F0000}"/>
    <cellStyle name="Normal 5 17 22 5" xfId="36780" xr:uid="{00000000-0005-0000-0000-0000AC8F0000}"/>
    <cellStyle name="Normal 5 17 22 5 10" xfId="36781" xr:uid="{00000000-0005-0000-0000-0000AD8F0000}"/>
    <cellStyle name="Normal 5 17 22 5 2" xfId="36782" xr:uid="{00000000-0005-0000-0000-0000AE8F0000}"/>
    <cellStyle name="Normal 5 17 22 5 3" xfId="36783" xr:uid="{00000000-0005-0000-0000-0000AF8F0000}"/>
    <cellStyle name="Normal 5 17 22 5 4" xfId="36784" xr:uid="{00000000-0005-0000-0000-0000B08F0000}"/>
    <cellStyle name="Normal 5 17 22 5 5" xfId="36785" xr:uid="{00000000-0005-0000-0000-0000B18F0000}"/>
    <cellStyle name="Normal 5 17 22 5 6" xfId="36786" xr:uid="{00000000-0005-0000-0000-0000B28F0000}"/>
    <cellStyle name="Normal 5 17 22 5 7" xfId="36787" xr:uid="{00000000-0005-0000-0000-0000B38F0000}"/>
    <cellStyle name="Normal 5 17 22 5 8" xfId="36788" xr:uid="{00000000-0005-0000-0000-0000B48F0000}"/>
    <cellStyle name="Normal 5 17 22 5 9" xfId="36789" xr:uid="{00000000-0005-0000-0000-0000B58F0000}"/>
    <cellStyle name="Normal 5 17 22 6" xfId="36790" xr:uid="{00000000-0005-0000-0000-0000B68F0000}"/>
    <cellStyle name="Normal 5 17 22 7" xfId="36791" xr:uid="{00000000-0005-0000-0000-0000B78F0000}"/>
    <cellStyle name="Normal 5 17 22 8" xfId="36792" xr:uid="{00000000-0005-0000-0000-0000B88F0000}"/>
    <cellStyle name="Normal 5 17 22 9" xfId="36793" xr:uid="{00000000-0005-0000-0000-0000B98F0000}"/>
    <cellStyle name="Normal 5 17 23" xfId="36794" xr:uid="{00000000-0005-0000-0000-0000BA8F0000}"/>
    <cellStyle name="Normal 5 17 23 10" xfId="36795" xr:uid="{00000000-0005-0000-0000-0000BB8F0000}"/>
    <cellStyle name="Normal 5 17 23 11" xfId="36796" xr:uid="{00000000-0005-0000-0000-0000BC8F0000}"/>
    <cellStyle name="Normal 5 17 23 12" xfId="36797" xr:uid="{00000000-0005-0000-0000-0000BD8F0000}"/>
    <cellStyle name="Normal 5 17 23 13" xfId="36798" xr:uid="{00000000-0005-0000-0000-0000BE8F0000}"/>
    <cellStyle name="Normal 5 17 23 14" xfId="36799" xr:uid="{00000000-0005-0000-0000-0000BF8F0000}"/>
    <cellStyle name="Normal 5 17 23 2" xfId="36800" xr:uid="{00000000-0005-0000-0000-0000C08F0000}"/>
    <cellStyle name="Normal 5 17 23 2 10" xfId="36801" xr:uid="{00000000-0005-0000-0000-0000C18F0000}"/>
    <cellStyle name="Normal 5 17 23 2 2" xfId="36802" xr:uid="{00000000-0005-0000-0000-0000C28F0000}"/>
    <cellStyle name="Normal 5 17 23 2 3" xfId="36803" xr:uid="{00000000-0005-0000-0000-0000C38F0000}"/>
    <cellStyle name="Normal 5 17 23 2 4" xfId="36804" xr:uid="{00000000-0005-0000-0000-0000C48F0000}"/>
    <cellStyle name="Normal 5 17 23 2 5" xfId="36805" xr:uid="{00000000-0005-0000-0000-0000C58F0000}"/>
    <cellStyle name="Normal 5 17 23 2 6" xfId="36806" xr:uid="{00000000-0005-0000-0000-0000C68F0000}"/>
    <cellStyle name="Normal 5 17 23 2 7" xfId="36807" xr:uid="{00000000-0005-0000-0000-0000C78F0000}"/>
    <cellStyle name="Normal 5 17 23 2 8" xfId="36808" xr:uid="{00000000-0005-0000-0000-0000C88F0000}"/>
    <cellStyle name="Normal 5 17 23 2 9" xfId="36809" xr:uid="{00000000-0005-0000-0000-0000C98F0000}"/>
    <cellStyle name="Normal 5 17 23 3" xfId="36810" xr:uid="{00000000-0005-0000-0000-0000CA8F0000}"/>
    <cellStyle name="Normal 5 17 23 3 10" xfId="36811" xr:uid="{00000000-0005-0000-0000-0000CB8F0000}"/>
    <cellStyle name="Normal 5 17 23 3 2" xfId="36812" xr:uid="{00000000-0005-0000-0000-0000CC8F0000}"/>
    <cellStyle name="Normal 5 17 23 3 3" xfId="36813" xr:uid="{00000000-0005-0000-0000-0000CD8F0000}"/>
    <cellStyle name="Normal 5 17 23 3 4" xfId="36814" xr:uid="{00000000-0005-0000-0000-0000CE8F0000}"/>
    <cellStyle name="Normal 5 17 23 3 5" xfId="36815" xr:uid="{00000000-0005-0000-0000-0000CF8F0000}"/>
    <cellStyle name="Normal 5 17 23 3 6" xfId="36816" xr:uid="{00000000-0005-0000-0000-0000D08F0000}"/>
    <cellStyle name="Normal 5 17 23 3 7" xfId="36817" xr:uid="{00000000-0005-0000-0000-0000D18F0000}"/>
    <cellStyle name="Normal 5 17 23 3 8" xfId="36818" xr:uid="{00000000-0005-0000-0000-0000D28F0000}"/>
    <cellStyle name="Normal 5 17 23 3 9" xfId="36819" xr:uid="{00000000-0005-0000-0000-0000D38F0000}"/>
    <cellStyle name="Normal 5 17 23 4" xfId="36820" xr:uid="{00000000-0005-0000-0000-0000D48F0000}"/>
    <cellStyle name="Normal 5 17 23 4 10" xfId="36821" xr:uid="{00000000-0005-0000-0000-0000D58F0000}"/>
    <cellStyle name="Normal 5 17 23 4 2" xfId="36822" xr:uid="{00000000-0005-0000-0000-0000D68F0000}"/>
    <cellStyle name="Normal 5 17 23 4 3" xfId="36823" xr:uid="{00000000-0005-0000-0000-0000D78F0000}"/>
    <cellStyle name="Normal 5 17 23 4 4" xfId="36824" xr:uid="{00000000-0005-0000-0000-0000D88F0000}"/>
    <cellStyle name="Normal 5 17 23 4 5" xfId="36825" xr:uid="{00000000-0005-0000-0000-0000D98F0000}"/>
    <cellStyle name="Normal 5 17 23 4 6" xfId="36826" xr:uid="{00000000-0005-0000-0000-0000DA8F0000}"/>
    <cellStyle name="Normal 5 17 23 4 7" xfId="36827" xr:uid="{00000000-0005-0000-0000-0000DB8F0000}"/>
    <cellStyle name="Normal 5 17 23 4 8" xfId="36828" xr:uid="{00000000-0005-0000-0000-0000DC8F0000}"/>
    <cellStyle name="Normal 5 17 23 4 9" xfId="36829" xr:uid="{00000000-0005-0000-0000-0000DD8F0000}"/>
    <cellStyle name="Normal 5 17 23 5" xfId="36830" xr:uid="{00000000-0005-0000-0000-0000DE8F0000}"/>
    <cellStyle name="Normal 5 17 23 5 10" xfId="36831" xr:uid="{00000000-0005-0000-0000-0000DF8F0000}"/>
    <cellStyle name="Normal 5 17 23 5 2" xfId="36832" xr:uid="{00000000-0005-0000-0000-0000E08F0000}"/>
    <cellStyle name="Normal 5 17 23 5 3" xfId="36833" xr:uid="{00000000-0005-0000-0000-0000E18F0000}"/>
    <cellStyle name="Normal 5 17 23 5 4" xfId="36834" xr:uid="{00000000-0005-0000-0000-0000E28F0000}"/>
    <cellStyle name="Normal 5 17 23 5 5" xfId="36835" xr:uid="{00000000-0005-0000-0000-0000E38F0000}"/>
    <cellStyle name="Normal 5 17 23 5 6" xfId="36836" xr:uid="{00000000-0005-0000-0000-0000E48F0000}"/>
    <cellStyle name="Normal 5 17 23 5 7" xfId="36837" xr:uid="{00000000-0005-0000-0000-0000E58F0000}"/>
    <cellStyle name="Normal 5 17 23 5 8" xfId="36838" xr:uid="{00000000-0005-0000-0000-0000E68F0000}"/>
    <cellStyle name="Normal 5 17 23 5 9" xfId="36839" xr:uid="{00000000-0005-0000-0000-0000E78F0000}"/>
    <cellStyle name="Normal 5 17 23 6" xfId="36840" xr:uid="{00000000-0005-0000-0000-0000E88F0000}"/>
    <cellStyle name="Normal 5 17 23 7" xfId="36841" xr:uid="{00000000-0005-0000-0000-0000E98F0000}"/>
    <cellStyle name="Normal 5 17 23 8" xfId="36842" xr:uid="{00000000-0005-0000-0000-0000EA8F0000}"/>
    <cellStyle name="Normal 5 17 23 9" xfId="36843" xr:uid="{00000000-0005-0000-0000-0000EB8F0000}"/>
    <cellStyle name="Normal 5 17 24" xfId="36844" xr:uid="{00000000-0005-0000-0000-0000EC8F0000}"/>
    <cellStyle name="Normal 5 17 24 10" xfId="36845" xr:uid="{00000000-0005-0000-0000-0000ED8F0000}"/>
    <cellStyle name="Normal 5 17 24 11" xfId="36846" xr:uid="{00000000-0005-0000-0000-0000EE8F0000}"/>
    <cellStyle name="Normal 5 17 24 12" xfId="36847" xr:uid="{00000000-0005-0000-0000-0000EF8F0000}"/>
    <cellStyle name="Normal 5 17 24 13" xfId="36848" xr:uid="{00000000-0005-0000-0000-0000F08F0000}"/>
    <cellStyle name="Normal 5 17 24 14" xfId="36849" xr:uid="{00000000-0005-0000-0000-0000F18F0000}"/>
    <cellStyle name="Normal 5 17 24 2" xfId="36850" xr:uid="{00000000-0005-0000-0000-0000F28F0000}"/>
    <cellStyle name="Normal 5 17 24 2 10" xfId="36851" xr:uid="{00000000-0005-0000-0000-0000F38F0000}"/>
    <cellStyle name="Normal 5 17 24 2 2" xfId="36852" xr:uid="{00000000-0005-0000-0000-0000F48F0000}"/>
    <cellStyle name="Normal 5 17 24 2 3" xfId="36853" xr:uid="{00000000-0005-0000-0000-0000F58F0000}"/>
    <cellStyle name="Normal 5 17 24 2 4" xfId="36854" xr:uid="{00000000-0005-0000-0000-0000F68F0000}"/>
    <cellStyle name="Normal 5 17 24 2 5" xfId="36855" xr:uid="{00000000-0005-0000-0000-0000F78F0000}"/>
    <cellStyle name="Normal 5 17 24 2 6" xfId="36856" xr:uid="{00000000-0005-0000-0000-0000F88F0000}"/>
    <cellStyle name="Normal 5 17 24 2 7" xfId="36857" xr:uid="{00000000-0005-0000-0000-0000F98F0000}"/>
    <cellStyle name="Normal 5 17 24 2 8" xfId="36858" xr:uid="{00000000-0005-0000-0000-0000FA8F0000}"/>
    <cellStyle name="Normal 5 17 24 2 9" xfId="36859" xr:uid="{00000000-0005-0000-0000-0000FB8F0000}"/>
    <cellStyle name="Normal 5 17 24 3" xfId="36860" xr:uid="{00000000-0005-0000-0000-0000FC8F0000}"/>
    <cellStyle name="Normal 5 17 24 3 10" xfId="36861" xr:uid="{00000000-0005-0000-0000-0000FD8F0000}"/>
    <cellStyle name="Normal 5 17 24 3 2" xfId="36862" xr:uid="{00000000-0005-0000-0000-0000FE8F0000}"/>
    <cellStyle name="Normal 5 17 24 3 3" xfId="36863" xr:uid="{00000000-0005-0000-0000-0000FF8F0000}"/>
    <cellStyle name="Normal 5 17 24 3 4" xfId="36864" xr:uid="{00000000-0005-0000-0000-000000900000}"/>
    <cellStyle name="Normal 5 17 24 3 5" xfId="36865" xr:uid="{00000000-0005-0000-0000-000001900000}"/>
    <cellStyle name="Normal 5 17 24 3 6" xfId="36866" xr:uid="{00000000-0005-0000-0000-000002900000}"/>
    <cellStyle name="Normal 5 17 24 3 7" xfId="36867" xr:uid="{00000000-0005-0000-0000-000003900000}"/>
    <cellStyle name="Normal 5 17 24 3 8" xfId="36868" xr:uid="{00000000-0005-0000-0000-000004900000}"/>
    <cellStyle name="Normal 5 17 24 3 9" xfId="36869" xr:uid="{00000000-0005-0000-0000-000005900000}"/>
    <cellStyle name="Normal 5 17 24 4" xfId="36870" xr:uid="{00000000-0005-0000-0000-000006900000}"/>
    <cellStyle name="Normal 5 17 24 4 10" xfId="36871" xr:uid="{00000000-0005-0000-0000-000007900000}"/>
    <cellStyle name="Normal 5 17 24 4 2" xfId="36872" xr:uid="{00000000-0005-0000-0000-000008900000}"/>
    <cellStyle name="Normal 5 17 24 4 3" xfId="36873" xr:uid="{00000000-0005-0000-0000-000009900000}"/>
    <cellStyle name="Normal 5 17 24 4 4" xfId="36874" xr:uid="{00000000-0005-0000-0000-00000A900000}"/>
    <cellStyle name="Normal 5 17 24 4 5" xfId="36875" xr:uid="{00000000-0005-0000-0000-00000B900000}"/>
    <cellStyle name="Normal 5 17 24 4 6" xfId="36876" xr:uid="{00000000-0005-0000-0000-00000C900000}"/>
    <cellStyle name="Normal 5 17 24 4 7" xfId="36877" xr:uid="{00000000-0005-0000-0000-00000D900000}"/>
    <cellStyle name="Normal 5 17 24 4 8" xfId="36878" xr:uid="{00000000-0005-0000-0000-00000E900000}"/>
    <cellStyle name="Normal 5 17 24 4 9" xfId="36879" xr:uid="{00000000-0005-0000-0000-00000F900000}"/>
    <cellStyle name="Normal 5 17 24 5" xfId="36880" xr:uid="{00000000-0005-0000-0000-000010900000}"/>
    <cellStyle name="Normal 5 17 24 5 10" xfId="36881" xr:uid="{00000000-0005-0000-0000-000011900000}"/>
    <cellStyle name="Normal 5 17 24 5 2" xfId="36882" xr:uid="{00000000-0005-0000-0000-000012900000}"/>
    <cellStyle name="Normal 5 17 24 5 3" xfId="36883" xr:uid="{00000000-0005-0000-0000-000013900000}"/>
    <cellStyle name="Normal 5 17 24 5 4" xfId="36884" xr:uid="{00000000-0005-0000-0000-000014900000}"/>
    <cellStyle name="Normal 5 17 24 5 5" xfId="36885" xr:uid="{00000000-0005-0000-0000-000015900000}"/>
    <cellStyle name="Normal 5 17 24 5 6" xfId="36886" xr:uid="{00000000-0005-0000-0000-000016900000}"/>
    <cellStyle name="Normal 5 17 24 5 7" xfId="36887" xr:uid="{00000000-0005-0000-0000-000017900000}"/>
    <cellStyle name="Normal 5 17 24 5 8" xfId="36888" xr:uid="{00000000-0005-0000-0000-000018900000}"/>
    <cellStyle name="Normal 5 17 24 5 9" xfId="36889" xr:uid="{00000000-0005-0000-0000-000019900000}"/>
    <cellStyle name="Normal 5 17 24 6" xfId="36890" xr:uid="{00000000-0005-0000-0000-00001A900000}"/>
    <cellStyle name="Normal 5 17 24 7" xfId="36891" xr:uid="{00000000-0005-0000-0000-00001B900000}"/>
    <cellStyle name="Normal 5 17 24 8" xfId="36892" xr:uid="{00000000-0005-0000-0000-00001C900000}"/>
    <cellStyle name="Normal 5 17 24 9" xfId="36893" xr:uid="{00000000-0005-0000-0000-00001D900000}"/>
    <cellStyle name="Normal 5 17 25" xfId="36894" xr:uid="{00000000-0005-0000-0000-00001E900000}"/>
    <cellStyle name="Normal 5 17 25 10" xfId="36895" xr:uid="{00000000-0005-0000-0000-00001F900000}"/>
    <cellStyle name="Normal 5 17 25 11" xfId="36896" xr:uid="{00000000-0005-0000-0000-000020900000}"/>
    <cellStyle name="Normal 5 17 25 12" xfId="36897" xr:uid="{00000000-0005-0000-0000-000021900000}"/>
    <cellStyle name="Normal 5 17 25 13" xfId="36898" xr:uid="{00000000-0005-0000-0000-000022900000}"/>
    <cellStyle name="Normal 5 17 25 14" xfId="36899" xr:uid="{00000000-0005-0000-0000-000023900000}"/>
    <cellStyle name="Normal 5 17 25 2" xfId="36900" xr:uid="{00000000-0005-0000-0000-000024900000}"/>
    <cellStyle name="Normal 5 17 25 2 10" xfId="36901" xr:uid="{00000000-0005-0000-0000-000025900000}"/>
    <cellStyle name="Normal 5 17 25 2 2" xfId="36902" xr:uid="{00000000-0005-0000-0000-000026900000}"/>
    <cellStyle name="Normal 5 17 25 2 3" xfId="36903" xr:uid="{00000000-0005-0000-0000-000027900000}"/>
    <cellStyle name="Normal 5 17 25 2 4" xfId="36904" xr:uid="{00000000-0005-0000-0000-000028900000}"/>
    <cellStyle name="Normal 5 17 25 2 5" xfId="36905" xr:uid="{00000000-0005-0000-0000-000029900000}"/>
    <cellStyle name="Normal 5 17 25 2 6" xfId="36906" xr:uid="{00000000-0005-0000-0000-00002A900000}"/>
    <cellStyle name="Normal 5 17 25 2 7" xfId="36907" xr:uid="{00000000-0005-0000-0000-00002B900000}"/>
    <cellStyle name="Normal 5 17 25 2 8" xfId="36908" xr:uid="{00000000-0005-0000-0000-00002C900000}"/>
    <cellStyle name="Normal 5 17 25 2 9" xfId="36909" xr:uid="{00000000-0005-0000-0000-00002D900000}"/>
    <cellStyle name="Normal 5 17 25 3" xfId="36910" xr:uid="{00000000-0005-0000-0000-00002E900000}"/>
    <cellStyle name="Normal 5 17 25 3 10" xfId="36911" xr:uid="{00000000-0005-0000-0000-00002F900000}"/>
    <cellStyle name="Normal 5 17 25 3 2" xfId="36912" xr:uid="{00000000-0005-0000-0000-000030900000}"/>
    <cellStyle name="Normal 5 17 25 3 3" xfId="36913" xr:uid="{00000000-0005-0000-0000-000031900000}"/>
    <cellStyle name="Normal 5 17 25 3 4" xfId="36914" xr:uid="{00000000-0005-0000-0000-000032900000}"/>
    <cellStyle name="Normal 5 17 25 3 5" xfId="36915" xr:uid="{00000000-0005-0000-0000-000033900000}"/>
    <cellStyle name="Normal 5 17 25 3 6" xfId="36916" xr:uid="{00000000-0005-0000-0000-000034900000}"/>
    <cellStyle name="Normal 5 17 25 3 7" xfId="36917" xr:uid="{00000000-0005-0000-0000-000035900000}"/>
    <cellStyle name="Normal 5 17 25 3 8" xfId="36918" xr:uid="{00000000-0005-0000-0000-000036900000}"/>
    <cellStyle name="Normal 5 17 25 3 9" xfId="36919" xr:uid="{00000000-0005-0000-0000-000037900000}"/>
    <cellStyle name="Normal 5 17 25 4" xfId="36920" xr:uid="{00000000-0005-0000-0000-000038900000}"/>
    <cellStyle name="Normal 5 17 25 4 10" xfId="36921" xr:uid="{00000000-0005-0000-0000-000039900000}"/>
    <cellStyle name="Normal 5 17 25 4 2" xfId="36922" xr:uid="{00000000-0005-0000-0000-00003A900000}"/>
    <cellStyle name="Normal 5 17 25 4 3" xfId="36923" xr:uid="{00000000-0005-0000-0000-00003B900000}"/>
    <cellStyle name="Normal 5 17 25 4 4" xfId="36924" xr:uid="{00000000-0005-0000-0000-00003C900000}"/>
    <cellStyle name="Normal 5 17 25 4 5" xfId="36925" xr:uid="{00000000-0005-0000-0000-00003D900000}"/>
    <cellStyle name="Normal 5 17 25 4 6" xfId="36926" xr:uid="{00000000-0005-0000-0000-00003E900000}"/>
    <cellStyle name="Normal 5 17 25 4 7" xfId="36927" xr:uid="{00000000-0005-0000-0000-00003F900000}"/>
    <cellStyle name="Normal 5 17 25 4 8" xfId="36928" xr:uid="{00000000-0005-0000-0000-000040900000}"/>
    <cellStyle name="Normal 5 17 25 4 9" xfId="36929" xr:uid="{00000000-0005-0000-0000-000041900000}"/>
    <cellStyle name="Normal 5 17 25 5" xfId="36930" xr:uid="{00000000-0005-0000-0000-000042900000}"/>
    <cellStyle name="Normal 5 17 25 5 10" xfId="36931" xr:uid="{00000000-0005-0000-0000-000043900000}"/>
    <cellStyle name="Normal 5 17 25 5 2" xfId="36932" xr:uid="{00000000-0005-0000-0000-000044900000}"/>
    <cellStyle name="Normal 5 17 25 5 3" xfId="36933" xr:uid="{00000000-0005-0000-0000-000045900000}"/>
    <cellStyle name="Normal 5 17 25 5 4" xfId="36934" xr:uid="{00000000-0005-0000-0000-000046900000}"/>
    <cellStyle name="Normal 5 17 25 5 5" xfId="36935" xr:uid="{00000000-0005-0000-0000-000047900000}"/>
    <cellStyle name="Normal 5 17 25 5 6" xfId="36936" xr:uid="{00000000-0005-0000-0000-000048900000}"/>
    <cellStyle name="Normal 5 17 25 5 7" xfId="36937" xr:uid="{00000000-0005-0000-0000-000049900000}"/>
    <cellStyle name="Normal 5 17 25 5 8" xfId="36938" xr:uid="{00000000-0005-0000-0000-00004A900000}"/>
    <cellStyle name="Normal 5 17 25 5 9" xfId="36939" xr:uid="{00000000-0005-0000-0000-00004B900000}"/>
    <cellStyle name="Normal 5 17 25 6" xfId="36940" xr:uid="{00000000-0005-0000-0000-00004C900000}"/>
    <cellStyle name="Normal 5 17 25 7" xfId="36941" xr:uid="{00000000-0005-0000-0000-00004D900000}"/>
    <cellStyle name="Normal 5 17 25 8" xfId="36942" xr:uid="{00000000-0005-0000-0000-00004E900000}"/>
    <cellStyle name="Normal 5 17 25 9" xfId="36943" xr:uid="{00000000-0005-0000-0000-00004F900000}"/>
    <cellStyle name="Normal 5 17 26" xfId="36944" xr:uid="{00000000-0005-0000-0000-000050900000}"/>
    <cellStyle name="Normal 5 17 26 10" xfId="36945" xr:uid="{00000000-0005-0000-0000-000051900000}"/>
    <cellStyle name="Normal 5 17 26 11" xfId="36946" xr:uid="{00000000-0005-0000-0000-000052900000}"/>
    <cellStyle name="Normal 5 17 26 12" xfId="36947" xr:uid="{00000000-0005-0000-0000-000053900000}"/>
    <cellStyle name="Normal 5 17 26 13" xfId="36948" xr:uid="{00000000-0005-0000-0000-000054900000}"/>
    <cellStyle name="Normal 5 17 26 14" xfId="36949" xr:uid="{00000000-0005-0000-0000-000055900000}"/>
    <cellStyle name="Normal 5 17 26 2" xfId="36950" xr:uid="{00000000-0005-0000-0000-000056900000}"/>
    <cellStyle name="Normal 5 17 26 2 10" xfId="36951" xr:uid="{00000000-0005-0000-0000-000057900000}"/>
    <cellStyle name="Normal 5 17 26 2 2" xfId="36952" xr:uid="{00000000-0005-0000-0000-000058900000}"/>
    <cellStyle name="Normal 5 17 26 2 3" xfId="36953" xr:uid="{00000000-0005-0000-0000-000059900000}"/>
    <cellStyle name="Normal 5 17 26 2 4" xfId="36954" xr:uid="{00000000-0005-0000-0000-00005A900000}"/>
    <cellStyle name="Normal 5 17 26 2 5" xfId="36955" xr:uid="{00000000-0005-0000-0000-00005B900000}"/>
    <cellStyle name="Normal 5 17 26 2 6" xfId="36956" xr:uid="{00000000-0005-0000-0000-00005C900000}"/>
    <cellStyle name="Normal 5 17 26 2 7" xfId="36957" xr:uid="{00000000-0005-0000-0000-00005D900000}"/>
    <cellStyle name="Normal 5 17 26 2 8" xfId="36958" xr:uid="{00000000-0005-0000-0000-00005E900000}"/>
    <cellStyle name="Normal 5 17 26 2 9" xfId="36959" xr:uid="{00000000-0005-0000-0000-00005F900000}"/>
    <cellStyle name="Normal 5 17 26 3" xfId="36960" xr:uid="{00000000-0005-0000-0000-000060900000}"/>
    <cellStyle name="Normal 5 17 26 3 10" xfId="36961" xr:uid="{00000000-0005-0000-0000-000061900000}"/>
    <cellStyle name="Normal 5 17 26 3 2" xfId="36962" xr:uid="{00000000-0005-0000-0000-000062900000}"/>
    <cellStyle name="Normal 5 17 26 3 3" xfId="36963" xr:uid="{00000000-0005-0000-0000-000063900000}"/>
    <cellStyle name="Normal 5 17 26 3 4" xfId="36964" xr:uid="{00000000-0005-0000-0000-000064900000}"/>
    <cellStyle name="Normal 5 17 26 3 5" xfId="36965" xr:uid="{00000000-0005-0000-0000-000065900000}"/>
    <cellStyle name="Normal 5 17 26 3 6" xfId="36966" xr:uid="{00000000-0005-0000-0000-000066900000}"/>
    <cellStyle name="Normal 5 17 26 3 7" xfId="36967" xr:uid="{00000000-0005-0000-0000-000067900000}"/>
    <cellStyle name="Normal 5 17 26 3 8" xfId="36968" xr:uid="{00000000-0005-0000-0000-000068900000}"/>
    <cellStyle name="Normal 5 17 26 3 9" xfId="36969" xr:uid="{00000000-0005-0000-0000-000069900000}"/>
    <cellStyle name="Normal 5 17 26 4" xfId="36970" xr:uid="{00000000-0005-0000-0000-00006A900000}"/>
    <cellStyle name="Normal 5 17 26 4 10" xfId="36971" xr:uid="{00000000-0005-0000-0000-00006B900000}"/>
    <cellStyle name="Normal 5 17 26 4 2" xfId="36972" xr:uid="{00000000-0005-0000-0000-00006C900000}"/>
    <cellStyle name="Normal 5 17 26 4 3" xfId="36973" xr:uid="{00000000-0005-0000-0000-00006D900000}"/>
    <cellStyle name="Normal 5 17 26 4 4" xfId="36974" xr:uid="{00000000-0005-0000-0000-00006E900000}"/>
    <cellStyle name="Normal 5 17 26 4 5" xfId="36975" xr:uid="{00000000-0005-0000-0000-00006F900000}"/>
    <cellStyle name="Normal 5 17 26 4 6" xfId="36976" xr:uid="{00000000-0005-0000-0000-000070900000}"/>
    <cellStyle name="Normal 5 17 26 4 7" xfId="36977" xr:uid="{00000000-0005-0000-0000-000071900000}"/>
    <cellStyle name="Normal 5 17 26 4 8" xfId="36978" xr:uid="{00000000-0005-0000-0000-000072900000}"/>
    <cellStyle name="Normal 5 17 26 4 9" xfId="36979" xr:uid="{00000000-0005-0000-0000-000073900000}"/>
    <cellStyle name="Normal 5 17 26 5" xfId="36980" xr:uid="{00000000-0005-0000-0000-000074900000}"/>
    <cellStyle name="Normal 5 17 26 5 10" xfId="36981" xr:uid="{00000000-0005-0000-0000-000075900000}"/>
    <cellStyle name="Normal 5 17 26 5 2" xfId="36982" xr:uid="{00000000-0005-0000-0000-000076900000}"/>
    <cellStyle name="Normal 5 17 26 5 3" xfId="36983" xr:uid="{00000000-0005-0000-0000-000077900000}"/>
    <cellStyle name="Normal 5 17 26 5 4" xfId="36984" xr:uid="{00000000-0005-0000-0000-000078900000}"/>
    <cellStyle name="Normal 5 17 26 5 5" xfId="36985" xr:uid="{00000000-0005-0000-0000-000079900000}"/>
    <cellStyle name="Normal 5 17 26 5 6" xfId="36986" xr:uid="{00000000-0005-0000-0000-00007A900000}"/>
    <cellStyle name="Normal 5 17 26 5 7" xfId="36987" xr:uid="{00000000-0005-0000-0000-00007B900000}"/>
    <cellStyle name="Normal 5 17 26 5 8" xfId="36988" xr:uid="{00000000-0005-0000-0000-00007C900000}"/>
    <cellStyle name="Normal 5 17 26 5 9" xfId="36989" xr:uid="{00000000-0005-0000-0000-00007D900000}"/>
    <cellStyle name="Normal 5 17 26 6" xfId="36990" xr:uid="{00000000-0005-0000-0000-00007E900000}"/>
    <cellStyle name="Normal 5 17 26 7" xfId="36991" xr:uid="{00000000-0005-0000-0000-00007F900000}"/>
    <cellStyle name="Normal 5 17 26 8" xfId="36992" xr:uid="{00000000-0005-0000-0000-000080900000}"/>
    <cellStyle name="Normal 5 17 26 9" xfId="36993" xr:uid="{00000000-0005-0000-0000-000081900000}"/>
    <cellStyle name="Normal 5 17 27" xfId="36994" xr:uid="{00000000-0005-0000-0000-000082900000}"/>
    <cellStyle name="Normal 5 17 27 10" xfId="36995" xr:uid="{00000000-0005-0000-0000-000083900000}"/>
    <cellStyle name="Normal 5 17 27 11" xfId="36996" xr:uid="{00000000-0005-0000-0000-000084900000}"/>
    <cellStyle name="Normal 5 17 27 12" xfId="36997" xr:uid="{00000000-0005-0000-0000-000085900000}"/>
    <cellStyle name="Normal 5 17 27 13" xfId="36998" xr:uid="{00000000-0005-0000-0000-000086900000}"/>
    <cellStyle name="Normal 5 17 27 14" xfId="36999" xr:uid="{00000000-0005-0000-0000-000087900000}"/>
    <cellStyle name="Normal 5 17 27 2" xfId="37000" xr:uid="{00000000-0005-0000-0000-000088900000}"/>
    <cellStyle name="Normal 5 17 27 2 10" xfId="37001" xr:uid="{00000000-0005-0000-0000-000089900000}"/>
    <cellStyle name="Normal 5 17 27 2 2" xfId="37002" xr:uid="{00000000-0005-0000-0000-00008A900000}"/>
    <cellStyle name="Normal 5 17 27 2 3" xfId="37003" xr:uid="{00000000-0005-0000-0000-00008B900000}"/>
    <cellStyle name="Normal 5 17 27 2 4" xfId="37004" xr:uid="{00000000-0005-0000-0000-00008C900000}"/>
    <cellStyle name="Normal 5 17 27 2 5" xfId="37005" xr:uid="{00000000-0005-0000-0000-00008D900000}"/>
    <cellStyle name="Normal 5 17 27 2 6" xfId="37006" xr:uid="{00000000-0005-0000-0000-00008E900000}"/>
    <cellStyle name="Normal 5 17 27 2 7" xfId="37007" xr:uid="{00000000-0005-0000-0000-00008F900000}"/>
    <cellStyle name="Normal 5 17 27 2 8" xfId="37008" xr:uid="{00000000-0005-0000-0000-000090900000}"/>
    <cellStyle name="Normal 5 17 27 2 9" xfId="37009" xr:uid="{00000000-0005-0000-0000-000091900000}"/>
    <cellStyle name="Normal 5 17 27 3" xfId="37010" xr:uid="{00000000-0005-0000-0000-000092900000}"/>
    <cellStyle name="Normal 5 17 27 3 10" xfId="37011" xr:uid="{00000000-0005-0000-0000-000093900000}"/>
    <cellStyle name="Normal 5 17 27 3 2" xfId="37012" xr:uid="{00000000-0005-0000-0000-000094900000}"/>
    <cellStyle name="Normal 5 17 27 3 3" xfId="37013" xr:uid="{00000000-0005-0000-0000-000095900000}"/>
    <cellStyle name="Normal 5 17 27 3 4" xfId="37014" xr:uid="{00000000-0005-0000-0000-000096900000}"/>
    <cellStyle name="Normal 5 17 27 3 5" xfId="37015" xr:uid="{00000000-0005-0000-0000-000097900000}"/>
    <cellStyle name="Normal 5 17 27 3 6" xfId="37016" xr:uid="{00000000-0005-0000-0000-000098900000}"/>
    <cellStyle name="Normal 5 17 27 3 7" xfId="37017" xr:uid="{00000000-0005-0000-0000-000099900000}"/>
    <cellStyle name="Normal 5 17 27 3 8" xfId="37018" xr:uid="{00000000-0005-0000-0000-00009A900000}"/>
    <cellStyle name="Normal 5 17 27 3 9" xfId="37019" xr:uid="{00000000-0005-0000-0000-00009B900000}"/>
    <cellStyle name="Normal 5 17 27 4" xfId="37020" xr:uid="{00000000-0005-0000-0000-00009C900000}"/>
    <cellStyle name="Normal 5 17 27 4 10" xfId="37021" xr:uid="{00000000-0005-0000-0000-00009D900000}"/>
    <cellStyle name="Normal 5 17 27 4 2" xfId="37022" xr:uid="{00000000-0005-0000-0000-00009E900000}"/>
    <cellStyle name="Normal 5 17 27 4 3" xfId="37023" xr:uid="{00000000-0005-0000-0000-00009F900000}"/>
    <cellStyle name="Normal 5 17 27 4 4" xfId="37024" xr:uid="{00000000-0005-0000-0000-0000A0900000}"/>
    <cellStyle name="Normal 5 17 27 4 5" xfId="37025" xr:uid="{00000000-0005-0000-0000-0000A1900000}"/>
    <cellStyle name="Normal 5 17 27 4 6" xfId="37026" xr:uid="{00000000-0005-0000-0000-0000A2900000}"/>
    <cellStyle name="Normal 5 17 27 4 7" xfId="37027" xr:uid="{00000000-0005-0000-0000-0000A3900000}"/>
    <cellStyle name="Normal 5 17 27 4 8" xfId="37028" xr:uid="{00000000-0005-0000-0000-0000A4900000}"/>
    <cellStyle name="Normal 5 17 27 4 9" xfId="37029" xr:uid="{00000000-0005-0000-0000-0000A5900000}"/>
    <cellStyle name="Normal 5 17 27 5" xfId="37030" xr:uid="{00000000-0005-0000-0000-0000A6900000}"/>
    <cellStyle name="Normal 5 17 27 5 10" xfId="37031" xr:uid="{00000000-0005-0000-0000-0000A7900000}"/>
    <cellStyle name="Normal 5 17 27 5 2" xfId="37032" xr:uid="{00000000-0005-0000-0000-0000A8900000}"/>
    <cellStyle name="Normal 5 17 27 5 3" xfId="37033" xr:uid="{00000000-0005-0000-0000-0000A9900000}"/>
    <cellStyle name="Normal 5 17 27 5 4" xfId="37034" xr:uid="{00000000-0005-0000-0000-0000AA900000}"/>
    <cellStyle name="Normal 5 17 27 5 5" xfId="37035" xr:uid="{00000000-0005-0000-0000-0000AB900000}"/>
    <cellStyle name="Normal 5 17 27 5 6" xfId="37036" xr:uid="{00000000-0005-0000-0000-0000AC900000}"/>
    <cellStyle name="Normal 5 17 27 5 7" xfId="37037" xr:uid="{00000000-0005-0000-0000-0000AD900000}"/>
    <cellStyle name="Normal 5 17 27 5 8" xfId="37038" xr:uid="{00000000-0005-0000-0000-0000AE900000}"/>
    <cellStyle name="Normal 5 17 27 5 9" xfId="37039" xr:uid="{00000000-0005-0000-0000-0000AF900000}"/>
    <cellStyle name="Normal 5 17 27 6" xfId="37040" xr:uid="{00000000-0005-0000-0000-0000B0900000}"/>
    <cellStyle name="Normal 5 17 27 7" xfId="37041" xr:uid="{00000000-0005-0000-0000-0000B1900000}"/>
    <cellStyle name="Normal 5 17 27 8" xfId="37042" xr:uid="{00000000-0005-0000-0000-0000B2900000}"/>
    <cellStyle name="Normal 5 17 27 9" xfId="37043" xr:uid="{00000000-0005-0000-0000-0000B3900000}"/>
    <cellStyle name="Normal 5 17 28" xfId="37044" xr:uid="{00000000-0005-0000-0000-0000B4900000}"/>
    <cellStyle name="Normal 5 17 28 10" xfId="37045" xr:uid="{00000000-0005-0000-0000-0000B5900000}"/>
    <cellStyle name="Normal 5 17 28 11" xfId="37046" xr:uid="{00000000-0005-0000-0000-0000B6900000}"/>
    <cellStyle name="Normal 5 17 28 12" xfId="37047" xr:uid="{00000000-0005-0000-0000-0000B7900000}"/>
    <cellStyle name="Normal 5 17 28 13" xfId="37048" xr:uid="{00000000-0005-0000-0000-0000B8900000}"/>
    <cellStyle name="Normal 5 17 28 14" xfId="37049" xr:uid="{00000000-0005-0000-0000-0000B9900000}"/>
    <cellStyle name="Normal 5 17 28 2" xfId="37050" xr:uid="{00000000-0005-0000-0000-0000BA900000}"/>
    <cellStyle name="Normal 5 17 28 2 10" xfId="37051" xr:uid="{00000000-0005-0000-0000-0000BB900000}"/>
    <cellStyle name="Normal 5 17 28 2 2" xfId="37052" xr:uid="{00000000-0005-0000-0000-0000BC900000}"/>
    <cellStyle name="Normal 5 17 28 2 3" xfId="37053" xr:uid="{00000000-0005-0000-0000-0000BD900000}"/>
    <cellStyle name="Normal 5 17 28 2 4" xfId="37054" xr:uid="{00000000-0005-0000-0000-0000BE900000}"/>
    <cellStyle name="Normal 5 17 28 2 5" xfId="37055" xr:uid="{00000000-0005-0000-0000-0000BF900000}"/>
    <cellStyle name="Normal 5 17 28 2 6" xfId="37056" xr:uid="{00000000-0005-0000-0000-0000C0900000}"/>
    <cellStyle name="Normal 5 17 28 2 7" xfId="37057" xr:uid="{00000000-0005-0000-0000-0000C1900000}"/>
    <cellStyle name="Normal 5 17 28 2 8" xfId="37058" xr:uid="{00000000-0005-0000-0000-0000C2900000}"/>
    <cellStyle name="Normal 5 17 28 2 9" xfId="37059" xr:uid="{00000000-0005-0000-0000-0000C3900000}"/>
    <cellStyle name="Normal 5 17 28 3" xfId="37060" xr:uid="{00000000-0005-0000-0000-0000C4900000}"/>
    <cellStyle name="Normal 5 17 28 3 10" xfId="37061" xr:uid="{00000000-0005-0000-0000-0000C5900000}"/>
    <cellStyle name="Normal 5 17 28 3 2" xfId="37062" xr:uid="{00000000-0005-0000-0000-0000C6900000}"/>
    <cellStyle name="Normal 5 17 28 3 3" xfId="37063" xr:uid="{00000000-0005-0000-0000-0000C7900000}"/>
    <cellStyle name="Normal 5 17 28 3 4" xfId="37064" xr:uid="{00000000-0005-0000-0000-0000C8900000}"/>
    <cellStyle name="Normal 5 17 28 3 5" xfId="37065" xr:uid="{00000000-0005-0000-0000-0000C9900000}"/>
    <cellStyle name="Normal 5 17 28 3 6" xfId="37066" xr:uid="{00000000-0005-0000-0000-0000CA900000}"/>
    <cellStyle name="Normal 5 17 28 3 7" xfId="37067" xr:uid="{00000000-0005-0000-0000-0000CB900000}"/>
    <cellStyle name="Normal 5 17 28 3 8" xfId="37068" xr:uid="{00000000-0005-0000-0000-0000CC900000}"/>
    <cellStyle name="Normal 5 17 28 3 9" xfId="37069" xr:uid="{00000000-0005-0000-0000-0000CD900000}"/>
    <cellStyle name="Normal 5 17 28 4" xfId="37070" xr:uid="{00000000-0005-0000-0000-0000CE900000}"/>
    <cellStyle name="Normal 5 17 28 4 10" xfId="37071" xr:uid="{00000000-0005-0000-0000-0000CF900000}"/>
    <cellStyle name="Normal 5 17 28 4 2" xfId="37072" xr:uid="{00000000-0005-0000-0000-0000D0900000}"/>
    <cellStyle name="Normal 5 17 28 4 3" xfId="37073" xr:uid="{00000000-0005-0000-0000-0000D1900000}"/>
    <cellStyle name="Normal 5 17 28 4 4" xfId="37074" xr:uid="{00000000-0005-0000-0000-0000D2900000}"/>
    <cellStyle name="Normal 5 17 28 4 5" xfId="37075" xr:uid="{00000000-0005-0000-0000-0000D3900000}"/>
    <cellStyle name="Normal 5 17 28 4 6" xfId="37076" xr:uid="{00000000-0005-0000-0000-0000D4900000}"/>
    <cellStyle name="Normal 5 17 28 4 7" xfId="37077" xr:uid="{00000000-0005-0000-0000-0000D5900000}"/>
    <cellStyle name="Normal 5 17 28 4 8" xfId="37078" xr:uid="{00000000-0005-0000-0000-0000D6900000}"/>
    <cellStyle name="Normal 5 17 28 4 9" xfId="37079" xr:uid="{00000000-0005-0000-0000-0000D7900000}"/>
    <cellStyle name="Normal 5 17 28 5" xfId="37080" xr:uid="{00000000-0005-0000-0000-0000D8900000}"/>
    <cellStyle name="Normal 5 17 28 5 10" xfId="37081" xr:uid="{00000000-0005-0000-0000-0000D9900000}"/>
    <cellStyle name="Normal 5 17 28 5 2" xfId="37082" xr:uid="{00000000-0005-0000-0000-0000DA900000}"/>
    <cellStyle name="Normal 5 17 28 5 3" xfId="37083" xr:uid="{00000000-0005-0000-0000-0000DB900000}"/>
    <cellStyle name="Normal 5 17 28 5 4" xfId="37084" xr:uid="{00000000-0005-0000-0000-0000DC900000}"/>
    <cellStyle name="Normal 5 17 28 5 5" xfId="37085" xr:uid="{00000000-0005-0000-0000-0000DD900000}"/>
    <cellStyle name="Normal 5 17 28 5 6" xfId="37086" xr:uid="{00000000-0005-0000-0000-0000DE900000}"/>
    <cellStyle name="Normal 5 17 28 5 7" xfId="37087" xr:uid="{00000000-0005-0000-0000-0000DF900000}"/>
    <cellStyle name="Normal 5 17 28 5 8" xfId="37088" xr:uid="{00000000-0005-0000-0000-0000E0900000}"/>
    <cellStyle name="Normal 5 17 28 5 9" xfId="37089" xr:uid="{00000000-0005-0000-0000-0000E1900000}"/>
    <cellStyle name="Normal 5 17 28 6" xfId="37090" xr:uid="{00000000-0005-0000-0000-0000E2900000}"/>
    <cellStyle name="Normal 5 17 28 7" xfId="37091" xr:uid="{00000000-0005-0000-0000-0000E3900000}"/>
    <cellStyle name="Normal 5 17 28 8" xfId="37092" xr:uid="{00000000-0005-0000-0000-0000E4900000}"/>
    <cellStyle name="Normal 5 17 28 9" xfId="37093" xr:uid="{00000000-0005-0000-0000-0000E5900000}"/>
    <cellStyle name="Normal 5 17 29" xfId="37094" xr:uid="{00000000-0005-0000-0000-0000E6900000}"/>
    <cellStyle name="Normal 5 17 29 10" xfId="37095" xr:uid="{00000000-0005-0000-0000-0000E7900000}"/>
    <cellStyle name="Normal 5 17 29 11" xfId="37096" xr:uid="{00000000-0005-0000-0000-0000E8900000}"/>
    <cellStyle name="Normal 5 17 29 12" xfId="37097" xr:uid="{00000000-0005-0000-0000-0000E9900000}"/>
    <cellStyle name="Normal 5 17 29 13" xfId="37098" xr:uid="{00000000-0005-0000-0000-0000EA900000}"/>
    <cellStyle name="Normal 5 17 29 14" xfId="37099" xr:uid="{00000000-0005-0000-0000-0000EB900000}"/>
    <cellStyle name="Normal 5 17 29 2" xfId="37100" xr:uid="{00000000-0005-0000-0000-0000EC900000}"/>
    <cellStyle name="Normal 5 17 29 2 10" xfId="37101" xr:uid="{00000000-0005-0000-0000-0000ED900000}"/>
    <cellStyle name="Normal 5 17 29 2 2" xfId="37102" xr:uid="{00000000-0005-0000-0000-0000EE900000}"/>
    <cellStyle name="Normal 5 17 29 2 3" xfId="37103" xr:uid="{00000000-0005-0000-0000-0000EF900000}"/>
    <cellStyle name="Normal 5 17 29 2 4" xfId="37104" xr:uid="{00000000-0005-0000-0000-0000F0900000}"/>
    <cellStyle name="Normal 5 17 29 2 5" xfId="37105" xr:uid="{00000000-0005-0000-0000-0000F1900000}"/>
    <cellStyle name="Normal 5 17 29 2 6" xfId="37106" xr:uid="{00000000-0005-0000-0000-0000F2900000}"/>
    <cellStyle name="Normal 5 17 29 2 7" xfId="37107" xr:uid="{00000000-0005-0000-0000-0000F3900000}"/>
    <cellStyle name="Normal 5 17 29 2 8" xfId="37108" xr:uid="{00000000-0005-0000-0000-0000F4900000}"/>
    <cellStyle name="Normal 5 17 29 2 9" xfId="37109" xr:uid="{00000000-0005-0000-0000-0000F5900000}"/>
    <cellStyle name="Normal 5 17 29 3" xfId="37110" xr:uid="{00000000-0005-0000-0000-0000F6900000}"/>
    <cellStyle name="Normal 5 17 29 3 10" xfId="37111" xr:uid="{00000000-0005-0000-0000-0000F7900000}"/>
    <cellStyle name="Normal 5 17 29 3 2" xfId="37112" xr:uid="{00000000-0005-0000-0000-0000F8900000}"/>
    <cellStyle name="Normal 5 17 29 3 3" xfId="37113" xr:uid="{00000000-0005-0000-0000-0000F9900000}"/>
    <cellStyle name="Normal 5 17 29 3 4" xfId="37114" xr:uid="{00000000-0005-0000-0000-0000FA900000}"/>
    <cellStyle name="Normal 5 17 29 3 5" xfId="37115" xr:uid="{00000000-0005-0000-0000-0000FB900000}"/>
    <cellStyle name="Normal 5 17 29 3 6" xfId="37116" xr:uid="{00000000-0005-0000-0000-0000FC900000}"/>
    <cellStyle name="Normal 5 17 29 3 7" xfId="37117" xr:uid="{00000000-0005-0000-0000-0000FD900000}"/>
    <cellStyle name="Normal 5 17 29 3 8" xfId="37118" xr:uid="{00000000-0005-0000-0000-0000FE900000}"/>
    <cellStyle name="Normal 5 17 29 3 9" xfId="37119" xr:uid="{00000000-0005-0000-0000-0000FF900000}"/>
    <cellStyle name="Normal 5 17 29 4" xfId="37120" xr:uid="{00000000-0005-0000-0000-000000910000}"/>
    <cellStyle name="Normal 5 17 29 4 10" xfId="37121" xr:uid="{00000000-0005-0000-0000-000001910000}"/>
    <cellStyle name="Normal 5 17 29 4 2" xfId="37122" xr:uid="{00000000-0005-0000-0000-000002910000}"/>
    <cellStyle name="Normal 5 17 29 4 3" xfId="37123" xr:uid="{00000000-0005-0000-0000-000003910000}"/>
    <cellStyle name="Normal 5 17 29 4 4" xfId="37124" xr:uid="{00000000-0005-0000-0000-000004910000}"/>
    <cellStyle name="Normal 5 17 29 4 5" xfId="37125" xr:uid="{00000000-0005-0000-0000-000005910000}"/>
    <cellStyle name="Normal 5 17 29 4 6" xfId="37126" xr:uid="{00000000-0005-0000-0000-000006910000}"/>
    <cellStyle name="Normal 5 17 29 4 7" xfId="37127" xr:uid="{00000000-0005-0000-0000-000007910000}"/>
    <cellStyle name="Normal 5 17 29 4 8" xfId="37128" xr:uid="{00000000-0005-0000-0000-000008910000}"/>
    <cellStyle name="Normal 5 17 29 4 9" xfId="37129" xr:uid="{00000000-0005-0000-0000-000009910000}"/>
    <cellStyle name="Normal 5 17 29 5" xfId="37130" xr:uid="{00000000-0005-0000-0000-00000A910000}"/>
    <cellStyle name="Normal 5 17 29 5 10" xfId="37131" xr:uid="{00000000-0005-0000-0000-00000B910000}"/>
    <cellStyle name="Normal 5 17 29 5 2" xfId="37132" xr:uid="{00000000-0005-0000-0000-00000C910000}"/>
    <cellStyle name="Normal 5 17 29 5 3" xfId="37133" xr:uid="{00000000-0005-0000-0000-00000D910000}"/>
    <cellStyle name="Normal 5 17 29 5 4" xfId="37134" xr:uid="{00000000-0005-0000-0000-00000E910000}"/>
    <cellStyle name="Normal 5 17 29 5 5" xfId="37135" xr:uid="{00000000-0005-0000-0000-00000F910000}"/>
    <cellStyle name="Normal 5 17 29 5 6" xfId="37136" xr:uid="{00000000-0005-0000-0000-000010910000}"/>
    <cellStyle name="Normal 5 17 29 5 7" xfId="37137" xr:uid="{00000000-0005-0000-0000-000011910000}"/>
    <cellStyle name="Normal 5 17 29 5 8" xfId="37138" xr:uid="{00000000-0005-0000-0000-000012910000}"/>
    <cellStyle name="Normal 5 17 29 5 9" xfId="37139" xr:uid="{00000000-0005-0000-0000-000013910000}"/>
    <cellStyle name="Normal 5 17 29 6" xfId="37140" xr:uid="{00000000-0005-0000-0000-000014910000}"/>
    <cellStyle name="Normal 5 17 29 7" xfId="37141" xr:uid="{00000000-0005-0000-0000-000015910000}"/>
    <cellStyle name="Normal 5 17 29 8" xfId="37142" xr:uid="{00000000-0005-0000-0000-000016910000}"/>
    <cellStyle name="Normal 5 17 29 9" xfId="37143" xr:uid="{00000000-0005-0000-0000-000017910000}"/>
    <cellStyle name="Normal 5 17 3" xfId="37144" xr:uid="{00000000-0005-0000-0000-000018910000}"/>
    <cellStyle name="Normal 5 17 3 10" xfId="37145" xr:uid="{00000000-0005-0000-0000-000019910000}"/>
    <cellStyle name="Normal 5 17 3 11" xfId="37146" xr:uid="{00000000-0005-0000-0000-00001A910000}"/>
    <cellStyle name="Normal 5 17 3 12" xfId="37147" xr:uid="{00000000-0005-0000-0000-00001B910000}"/>
    <cellStyle name="Normal 5 17 3 13" xfId="37148" xr:uid="{00000000-0005-0000-0000-00001C910000}"/>
    <cellStyle name="Normal 5 17 3 14" xfId="37149" xr:uid="{00000000-0005-0000-0000-00001D910000}"/>
    <cellStyle name="Normal 5 17 3 2" xfId="37150" xr:uid="{00000000-0005-0000-0000-00001E910000}"/>
    <cellStyle name="Normal 5 17 3 2 10" xfId="37151" xr:uid="{00000000-0005-0000-0000-00001F910000}"/>
    <cellStyle name="Normal 5 17 3 2 2" xfId="37152" xr:uid="{00000000-0005-0000-0000-000020910000}"/>
    <cellStyle name="Normal 5 17 3 2 3" xfId="37153" xr:uid="{00000000-0005-0000-0000-000021910000}"/>
    <cellStyle name="Normal 5 17 3 2 4" xfId="37154" xr:uid="{00000000-0005-0000-0000-000022910000}"/>
    <cellStyle name="Normal 5 17 3 2 5" xfId="37155" xr:uid="{00000000-0005-0000-0000-000023910000}"/>
    <cellStyle name="Normal 5 17 3 2 6" xfId="37156" xr:uid="{00000000-0005-0000-0000-000024910000}"/>
    <cellStyle name="Normal 5 17 3 2 7" xfId="37157" xr:uid="{00000000-0005-0000-0000-000025910000}"/>
    <cellStyle name="Normal 5 17 3 2 8" xfId="37158" xr:uid="{00000000-0005-0000-0000-000026910000}"/>
    <cellStyle name="Normal 5 17 3 2 9" xfId="37159" xr:uid="{00000000-0005-0000-0000-000027910000}"/>
    <cellStyle name="Normal 5 17 3 3" xfId="37160" xr:uid="{00000000-0005-0000-0000-000028910000}"/>
    <cellStyle name="Normal 5 17 3 3 10" xfId="37161" xr:uid="{00000000-0005-0000-0000-000029910000}"/>
    <cellStyle name="Normal 5 17 3 3 2" xfId="37162" xr:uid="{00000000-0005-0000-0000-00002A910000}"/>
    <cellStyle name="Normal 5 17 3 3 3" xfId="37163" xr:uid="{00000000-0005-0000-0000-00002B910000}"/>
    <cellStyle name="Normal 5 17 3 3 4" xfId="37164" xr:uid="{00000000-0005-0000-0000-00002C910000}"/>
    <cellStyle name="Normal 5 17 3 3 5" xfId="37165" xr:uid="{00000000-0005-0000-0000-00002D910000}"/>
    <cellStyle name="Normal 5 17 3 3 6" xfId="37166" xr:uid="{00000000-0005-0000-0000-00002E910000}"/>
    <cellStyle name="Normal 5 17 3 3 7" xfId="37167" xr:uid="{00000000-0005-0000-0000-00002F910000}"/>
    <cellStyle name="Normal 5 17 3 3 8" xfId="37168" xr:uid="{00000000-0005-0000-0000-000030910000}"/>
    <cellStyle name="Normal 5 17 3 3 9" xfId="37169" xr:uid="{00000000-0005-0000-0000-000031910000}"/>
    <cellStyle name="Normal 5 17 3 4" xfId="37170" xr:uid="{00000000-0005-0000-0000-000032910000}"/>
    <cellStyle name="Normal 5 17 3 4 10" xfId="37171" xr:uid="{00000000-0005-0000-0000-000033910000}"/>
    <cellStyle name="Normal 5 17 3 4 2" xfId="37172" xr:uid="{00000000-0005-0000-0000-000034910000}"/>
    <cellStyle name="Normal 5 17 3 4 3" xfId="37173" xr:uid="{00000000-0005-0000-0000-000035910000}"/>
    <cellStyle name="Normal 5 17 3 4 4" xfId="37174" xr:uid="{00000000-0005-0000-0000-000036910000}"/>
    <cellStyle name="Normal 5 17 3 4 5" xfId="37175" xr:uid="{00000000-0005-0000-0000-000037910000}"/>
    <cellStyle name="Normal 5 17 3 4 6" xfId="37176" xr:uid="{00000000-0005-0000-0000-000038910000}"/>
    <cellStyle name="Normal 5 17 3 4 7" xfId="37177" xr:uid="{00000000-0005-0000-0000-000039910000}"/>
    <cellStyle name="Normal 5 17 3 4 8" xfId="37178" xr:uid="{00000000-0005-0000-0000-00003A910000}"/>
    <cellStyle name="Normal 5 17 3 4 9" xfId="37179" xr:uid="{00000000-0005-0000-0000-00003B910000}"/>
    <cellStyle name="Normal 5 17 3 5" xfId="37180" xr:uid="{00000000-0005-0000-0000-00003C910000}"/>
    <cellStyle name="Normal 5 17 3 5 10" xfId="37181" xr:uid="{00000000-0005-0000-0000-00003D910000}"/>
    <cellStyle name="Normal 5 17 3 5 2" xfId="37182" xr:uid="{00000000-0005-0000-0000-00003E910000}"/>
    <cellStyle name="Normal 5 17 3 5 3" xfId="37183" xr:uid="{00000000-0005-0000-0000-00003F910000}"/>
    <cellStyle name="Normal 5 17 3 5 4" xfId="37184" xr:uid="{00000000-0005-0000-0000-000040910000}"/>
    <cellStyle name="Normal 5 17 3 5 5" xfId="37185" xr:uid="{00000000-0005-0000-0000-000041910000}"/>
    <cellStyle name="Normal 5 17 3 5 6" xfId="37186" xr:uid="{00000000-0005-0000-0000-000042910000}"/>
    <cellStyle name="Normal 5 17 3 5 7" xfId="37187" xr:uid="{00000000-0005-0000-0000-000043910000}"/>
    <cellStyle name="Normal 5 17 3 5 8" xfId="37188" xr:uid="{00000000-0005-0000-0000-000044910000}"/>
    <cellStyle name="Normal 5 17 3 5 9" xfId="37189" xr:uid="{00000000-0005-0000-0000-000045910000}"/>
    <cellStyle name="Normal 5 17 3 6" xfId="37190" xr:uid="{00000000-0005-0000-0000-000046910000}"/>
    <cellStyle name="Normal 5 17 3 7" xfId="37191" xr:uid="{00000000-0005-0000-0000-000047910000}"/>
    <cellStyle name="Normal 5 17 3 8" xfId="37192" xr:uid="{00000000-0005-0000-0000-000048910000}"/>
    <cellStyle name="Normal 5 17 3 9" xfId="37193" xr:uid="{00000000-0005-0000-0000-000049910000}"/>
    <cellStyle name="Normal 5 17 30" xfId="37194" xr:uid="{00000000-0005-0000-0000-00004A910000}"/>
    <cellStyle name="Normal 5 17 30 10" xfId="37195" xr:uid="{00000000-0005-0000-0000-00004B910000}"/>
    <cellStyle name="Normal 5 17 30 11" xfId="37196" xr:uid="{00000000-0005-0000-0000-00004C910000}"/>
    <cellStyle name="Normal 5 17 30 12" xfId="37197" xr:uid="{00000000-0005-0000-0000-00004D910000}"/>
    <cellStyle name="Normal 5 17 30 13" xfId="37198" xr:uid="{00000000-0005-0000-0000-00004E910000}"/>
    <cellStyle name="Normal 5 17 30 14" xfId="37199" xr:uid="{00000000-0005-0000-0000-00004F910000}"/>
    <cellStyle name="Normal 5 17 30 2" xfId="37200" xr:uid="{00000000-0005-0000-0000-000050910000}"/>
    <cellStyle name="Normal 5 17 30 2 10" xfId="37201" xr:uid="{00000000-0005-0000-0000-000051910000}"/>
    <cellStyle name="Normal 5 17 30 2 2" xfId="37202" xr:uid="{00000000-0005-0000-0000-000052910000}"/>
    <cellStyle name="Normal 5 17 30 2 3" xfId="37203" xr:uid="{00000000-0005-0000-0000-000053910000}"/>
    <cellStyle name="Normal 5 17 30 2 4" xfId="37204" xr:uid="{00000000-0005-0000-0000-000054910000}"/>
    <cellStyle name="Normal 5 17 30 2 5" xfId="37205" xr:uid="{00000000-0005-0000-0000-000055910000}"/>
    <cellStyle name="Normal 5 17 30 2 6" xfId="37206" xr:uid="{00000000-0005-0000-0000-000056910000}"/>
    <cellStyle name="Normal 5 17 30 2 7" xfId="37207" xr:uid="{00000000-0005-0000-0000-000057910000}"/>
    <cellStyle name="Normal 5 17 30 2 8" xfId="37208" xr:uid="{00000000-0005-0000-0000-000058910000}"/>
    <cellStyle name="Normal 5 17 30 2 9" xfId="37209" xr:uid="{00000000-0005-0000-0000-000059910000}"/>
    <cellStyle name="Normal 5 17 30 3" xfId="37210" xr:uid="{00000000-0005-0000-0000-00005A910000}"/>
    <cellStyle name="Normal 5 17 30 3 10" xfId="37211" xr:uid="{00000000-0005-0000-0000-00005B910000}"/>
    <cellStyle name="Normal 5 17 30 3 2" xfId="37212" xr:uid="{00000000-0005-0000-0000-00005C910000}"/>
    <cellStyle name="Normal 5 17 30 3 3" xfId="37213" xr:uid="{00000000-0005-0000-0000-00005D910000}"/>
    <cellStyle name="Normal 5 17 30 3 4" xfId="37214" xr:uid="{00000000-0005-0000-0000-00005E910000}"/>
    <cellStyle name="Normal 5 17 30 3 5" xfId="37215" xr:uid="{00000000-0005-0000-0000-00005F910000}"/>
    <cellStyle name="Normal 5 17 30 3 6" xfId="37216" xr:uid="{00000000-0005-0000-0000-000060910000}"/>
    <cellStyle name="Normal 5 17 30 3 7" xfId="37217" xr:uid="{00000000-0005-0000-0000-000061910000}"/>
    <cellStyle name="Normal 5 17 30 3 8" xfId="37218" xr:uid="{00000000-0005-0000-0000-000062910000}"/>
    <cellStyle name="Normal 5 17 30 3 9" xfId="37219" xr:uid="{00000000-0005-0000-0000-000063910000}"/>
    <cellStyle name="Normal 5 17 30 4" xfId="37220" xr:uid="{00000000-0005-0000-0000-000064910000}"/>
    <cellStyle name="Normal 5 17 30 4 10" xfId="37221" xr:uid="{00000000-0005-0000-0000-000065910000}"/>
    <cellStyle name="Normal 5 17 30 4 2" xfId="37222" xr:uid="{00000000-0005-0000-0000-000066910000}"/>
    <cellStyle name="Normal 5 17 30 4 3" xfId="37223" xr:uid="{00000000-0005-0000-0000-000067910000}"/>
    <cellStyle name="Normal 5 17 30 4 4" xfId="37224" xr:uid="{00000000-0005-0000-0000-000068910000}"/>
    <cellStyle name="Normal 5 17 30 4 5" xfId="37225" xr:uid="{00000000-0005-0000-0000-000069910000}"/>
    <cellStyle name="Normal 5 17 30 4 6" xfId="37226" xr:uid="{00000000-0005-0000-0000-00006A910000}"/>
    <cellStyle name="Normal 5 17 30 4 7" xfId="37227" xr:uid="{00000000-0005-0000-0000-00006B910000}"/>
    <cellStyle name="Normal 5 17 30 4 8" xfId="37228" xr:uid="{00000000-0005-0000-0000-00006C910000}"/>
    <cellStyle name="Normal 5 17 30 4 9" xfId="37229" xr:uid="{00000000-0005-0000-0000-00006D910000}"/>
    <cellStyle name="Normal 5 17 30 5" xfId="37230" xr:uid="{00000000-0005-0000-0000-00006E910000}"/>
    <cellStyle name="Normal 5 17 30 5 10" xfId="37231" xr:uid="{00000000-0005-0000-0000-00006F910000}"/>
    <cellStyle name="Normal 5 17 30 5 2" xfId="37232" xr:uid="{00000000-0005-0000-0000-000070910000}"/>
    <cellStyle name="Normal 5 17 30 5 3" xfId="37233" xr:uid="{00000000-0005-0000-0000-000071910000}"/>
    <cellStyle name="Normal 5 17 30 5 4" xfId="37234" xr:uid="{00000000-0005-0000-0000-000072910000}"/>
    <cellStyle name="Normal 5 17 30 5 5" xfId="37235" xr:uid="{00000000-0005-0000-0000-000073910000}"/>
    <cellStyle name="Normal 5 17 30 5 6" xfId="37236" xr:uid="{00000000-0005-0000-0000-000074910000}"/>
    <cellStyle name="Normal 5 17 30 5 7" xfId="37237" xr:uid="{00000000-0005-0000-0000-000075910000}"/>
    <cellStyle name="Normal 5 17 30 5 8" xfId="37238" xr:uid="{00000000-0005-0000-0000-000076910000}"/>
    <cellStyle name="Normal 5 17 30 5 9" xfId="37239" xr:uid="{00000000-0005-0000-0000-000077910000}"/>
    <cellStyle name="Normal 5 17 30 6" xfId="37240" xr:uid="{00000000-0005-0000-0000-000078910000}"/>
    <cellStyle name="Normal 5 17 30 7" xfId="37241" xr:uid="{00000000-0005-0000-0000-000079910000}"/>
    <cellStyle name="Normal 5 17 30 8" xfId="37242" xr:uid="{00000000-0005-0000-0000-00007A910000}"/>
    <cellStyle name="Normal 5 17 30 9" xfId="37243" xr:uid="{00000000-0005-0000-0000-00007B910000}"/>
    <cellStyle name="Normal 5 17 31" xfId="37244" xr:uid="{00000000-0005-0000-0000-00007C910000}"/>
    <cellStyle name="Normal 5 17 31 10" xfId="37245" xr:uid="{00000000-0005-0000-0000-00007D910000}"/>
    <cellStyle name="Normal 5 17 31 11" xfId="37246" xr:uid="{00000000-0005-0000-0000-00007E910000}"/>
    <cellStyle name="Normal 5 17 31 12" xfId="37247" xr:uid="{00000000-0005-0000-0000-00007F910000}"/>
    <cellStyle name="Normal 5 17 31 13" xfId="37248" xr:uid="{00000000-0005-0000-0000-000080910000}"/>
    <cellStyle name="Normal 5 17 31 14" xfId="37249" xr:uid="{00000000-0005-0000-0000-000081910000}"/>
    <cellStyle name="Normal 5 17 31 2" xfId="37250" xr:uid="{00000000-0005-0000-0000-000082910000}"/>
    <cellStyle name="Normal 5 17 31 2 10" xfId="37251" xr:uid="{00000000-0005-0000-0000-000083910000}"/>
    <cellStyle name="Normal 5 17 31 2 2" xfId="37252" xr:uid="{00000000-0005-0000-0000-000084910000}"/>
    <cellStyle name="Normal 5 17 31 2 3" xfId="37253" xr:uid="{00000000-0005-0000-0000-000085910000}"/>
    <cellStyle name="Normal 5 17 31 2 4" xfId="37254" xr:uid="{00000000-0005-0000-0000-000086910000}"/>
    <cellStyle name="Normal 5 17 31 2 5" xfId="37255" xr:uid="{00000000-0005-0000-0000-000087910000}"/>
    <cellStyle name="Normal 5 17 31 2 6" xfId="37256" xr:uid="{00000000-0005-0000-0000-000088910000}"/>
    <cellStyle name="Normal 5 17 31 2 7" xfId="37257" xr:uid="{00000000-0005-0000-0000-000089910000}"/>
    <cellStyle name="Normal 5 17 31 2 8" xfId="37258" xr:uid="{00000000-0005-0000-0000-00008A910000}"/>
    <cellStyle name="Normal 5 17 31 2 9" xfId="37259" xr:uid="{00000000-0005-0000-0000-00008B910000}"/>
    <cellStyle name="Normal 5 17 31 3" xfId="37260" xr:uid="{00000000-0005-0000-0000-00008C910000}"/>
    <cellStyle name="Normal 5 17 31 3 10" xfId="37261" xr:uid="{00000000-0005-0000-0000-00008D910000}"/>
    <cellStyle name="Normal 5 17 31 3 2" xfId="37262" xr:uid="{00000000-0005-0000-0000-00008E910000}"/>
    <cellStyle name="Normal 5 17 31 3 3" xfId="37263" xr:uid="{00000000-0005-0000-0000-00008F910000}"/>
    <cellStyle name="Normal 5 17 31 3 4" xfId="37264" xr:uid="{00000000-0005-0000-0000-000090910000}"/>
    <cellStyle name="Normal 5 17 31 3 5" xfId="37265" xr:uid="{00000000-0005-0000-0000-000091910000}"/>
    <cellStyle name="Normal 5 17 31 3 6" xfId="37266" xr:uid="{00000000-0005-0000-0000-000092910000}"/>
    <cellStyle name="Normal 5 17 31 3 7" xfId="37267" xr:uid="{00000000-0005-0000-0000-000093910000}"/>
    <cellStyle name="Normal 5 17 31 3 8" xfId="37268" xr:uid="{00000000-0005-0000-0000-000094910000}"/>
    <cellStyle name="Normal 5 17 31 3 9" xfId="37269" xr:uid="{00000000-0005-0000-0000-000095910000}"/>
    <cellStyle name="Normal 5 17 31 4" xfId="37270" xr:uid="{00000000-0005-0000-0000-000096910000}"/>
    <cellStyle name="Normal 5 17 31 4 10" xfId="37271" xr:uid="{00000000-0005-0000-0000-000097910000}"/>
    <cellStyle name="Normal 5 17 31 4 2" xfId="37272" xr:uid="{00000000-0005-0000-0000-000098910000}"/>
    <cellStyle name="Normal 5 17 31 4 3" xfId="37273" xr:uid="{00000000-0005-0000-0000-000099910000}"/>
    <cellStyle name="Normal 5 17 31 4 4" xfId="37274" xr:uid="{00000000-0005-0000-0000-00009A910000}"/>
    <cellStyle name="Normal 5 17 31 4 5" xfId="37275" xr:uid="{00000000-0005-0000-0000-00009B910000}"/>
    <cellStyle name="Normal 5 17 31 4 6" xfId="37276" xr:uid="{00000000-0005-0000-0000-00009C910000}"/>
    <cellStyle name="Normal 5 17 31 4 7" xfId="37277" xr:uid="{00000000-0005-0000-0000-00009D910000}"/>
    <cellStyle name="Normal 5 17 31 4 8" xfId="37278" xr:uid="{00000000-0005-0000-0000-00009E910000}"/>
    <cellStyle name="Normal 5 17 31 4 9" xfId="37279" xr:uid="{00000000-0005-0000-0000-00009F910000}"/>
    <cellStyle name="Normal 5 17 31 5" xfId="37280" xr:uid="{00000000-0005-0000-0000-0000A0910000}"/>
    <cellStyle name="Normal 5 17 31 5 10" xfId="37281" xr:uid="{00000000-0005-0000-0000-0000A1910000}"/>
    <cellStyle name="Normal 5 17 31 5 2" xfId="37282" xr:uid="{00000000-0005-0000-0000-0000A2910000}"/>
    <cellStyle name="Normal 5 17 31 5 3" xfId="37283" xr:uid="{00000000-0005-0000-0000-0000A3910000}"/>
    <cellStyle name="Normal 5 17 31 5 4" xfId="37284" xr:uid="{00000000-0005-0000-0000-0000A4910000}"/>
    <cellStyle name="Normal 5 17 31 5 5" xfId="37285" xr:uid="{00000000-0005-0000-0000-0000A5910000}"/>
    <cellStyle name="Normal 5 17 31 5 6" xfId="37286" xr:uid="{00000000-0005-0000-0000-0000A6910000}"/>
    <cellStyle name="Normal 5 17 31 5 7" xfId="37287" xr:uid="{00000000-0005-0000-0000-0000A7910000}"/>
    <cellStyle name="Normal 5 17 31 5 8" xfId="37288" xr:uid="{00000000-0005-0000-0000-0000A8910000}"/>
    <cellStyle name="Normal 5 17 31 5 9" xfId="37289" xr:uid="{00000000-0005-0000-0000-0000A9910000}"/>
    <cellStyle name="Normal 5 17 31 6" xfId="37290" xr:uid="{00000000-0005-0000-0000-0000AA910000}"/>
    <cellStyle name="Normal 5 17 31 7" xfId="37291" xr:uid="{00000000-0005-0000-0000-0000AB910000}"/>
    <cellStyle name="Normal 5 17 31 8" xfId="37292" xr:uid="{00000000-0005-0000-0000-0000AC910000}"/>
    <cellStyle name="Normal 5 17 31 9" xfId="37293" xr:uid="{00000000-0005-0000-0000-0000AD910000}"/>
    <cellStyle name="Normal 5 17 32" xfId="37294" xr:uid="{00000000-0005-0000-0000-0000AE910000}"/>
    <cellStyle name="Normal 5 17 32 10" xfId="37295" xr:uid="{00000000-0005-0000-0000-0000AF910000}"/>
    <cellStyle name="Normal 5 17 32 11" xfId="37296" xr:uid="{00000000-0005-0000-0000-0000B0910000}"/>
    <cellStyle name="Normal 5 17 32 12" xfId="37297" xr:uid="{00000000-0005-0000-0000-0000B1910000}"/>
    <cellStyle name="Normal 5 17 32 13" xfId="37298" xr:uid="{00000000-0005-0000-0000-0000B2910000}"/>
    <cellStyle name="Normal 5 17 32 14" xfId="37299" xr:uid="{00000000-0005-0000-0000-0000B3910000}"/>
    <cellStyle name="Normal 5 17 32 2" xfId="37300" xr:uid="{00000000-0005-0000-0000-0000B4910000}"/>
    <cellStyle name="Normal 5 17 32 2 10" xfId="37301" xr:uid="{00000000-0005-0000-0000-0000B5910000}"/>
    <cellStyle name="Normal 5 17 32 2 2" xfId="37302" xr:uid="{00000000-0005-0000-0000-0000B6910000}"/>
    <cellStyle name="Normal 5 17 32 2 3" xfId="37303" xr:uid="{00000000-0005-0000-0000-0000B7910000}"/>
    <cellStyle name="Normal 5 17 32 2 4" xfId="37304" xr:uid="{00000000-0005-0000-0000-0000B8910000}"/>
    <cellStyle name="Normal 5 17 32 2 5" xfId="37305" xr:uid="{00000000-0005-0000-0000-0000B9910000}"/>
    <cellStyle name="Normal 5 17 32 2 6" xfId="37306" xr:uid="{00000000-0005-0000-0000-0000BA910000}"/>
    <cellStyle name="Normal 5 17 32 2 7" xfId="37307" xr:uid="{00000000-0005-0000-0000-0000BB910000}"/>
    <cellStyle name="Normal 5 17 32 2 8" xfId="37308" xr:uid="{00000000-0005-0000-0000-0000BC910000}"/>
    <cellStyle name="Normal 5 17 32 2 9" xfId="37309" xr:uid="{00000000-0005-0000-0000-0000BD910000}"/>
    <cellStyle name="Normal 5 17 32 3" xfId="37310" xr:uid="{00000000-0005-0000-0000-0000BE910000}"/>
    <cellStyle name="Normal 5 17 32 3 10" xfId="37311" xr:uid="{00000000-0005-0000-0000-0000BF910000}"/>
    <cellStyle name="Normal 5 17 32 3 2" xfId="37312" xr:uid="{00000000-0005-0000-0000-0000C0910000}"/>
    <cellStyle name="Normal 5 17 32 3 3" xfId="37313" xr:uid="{00000000-0005-0000-0000-0000C1910000}"/>
    <cellStyle name="Normal 5 17 32 3 4" xfId="37314" xr:uid="{00000000-0005-0000-0000-0000C2910000}"/>
    <cellStyle name="Normal 5 17 32 3 5" xfId="37315" xr:uid="{00000000-0005-0000-0000-0000C3910000}"/>
    <cellStyle name="Normal 5 17 32 3 6" xfId="37316" xr:uid="{00000000-0005-0000-0000-0000C4910000}"/>
    <cellStyle name="Normal 5 17 32 3 7" xfId="37317" xr:uid="{00000000-0005-0000-0000-0000C5910000}"/>
    <cellStyle name="Normal 5 17 32 3 8" xfId="37318" xr:uid="{00000000-0005-0000-0000-0000C6910000}"/>
    <cellStyle name="Normal 5 17 32 3 9" xfId="37319" xr:uid="{00000000-0005-0000-0000-0000C7910000}"/>
    <cellStyle name="Normal 5 17 32 4" xfId="37320" xr:uid="{00000000-0005-0000-0000-0000C8910000}"/>
    <cellStyle name="Normal 5 17 32 4 10" xfId="37321" xr:uid="{00000000-0005-0000-0000-0000C9910000}"/>
    <cellStyle name="Normal 5 17 32 4 2" xfId="37322" xr:uid="{00000000-0005-0000-0000-0000CA910000}"/>
    <cellStyle name="Normal 5 17 32 4 3" xfId="37323" xr:uid="{00000000-0005-0000-0000-0000CB910000}"/>
    <cellStyle name="Normal 5 17 32 4 4" xfId="37324" xr:uid="{00000000-0005-0000-0000-0000CC910000}"/>
    <cellStyle name="Normal 5 17 32 4 5" xfId="37325" xr:uid="{00000000-0005-0000-0000-0000CD910000}"/>
    <cellStyle name="Normal 5 17 32 4 6" xfId="37326" xr:uid="{00000000-0005-0000-0000-0000CE910000}"/>
    <cellStyle name="Normal 5 17 32 4 7" xfId="37327" xr:uid="{00000000-0005-0000-0000-0000CF910000}"/>
    <cellStyle name="Normal 5 17 32 4 8" xfId="37328" xr:uid="{00000000-0005-0000-0000-0000D0910000}"/>
    <cellStyle name="Normal 5 17 32 4 9" xfId="37329" xr:uid="{00000000-0005-0000-0000-0000D1910000}"/>
    <cellStyle name="Normal 5 17 32 5" xfId="37330" xr:uid="{00000000-0005-0000-0000-0000D2910000}"/>
    <cellStyle name="Normal 5 17 32 5 10" xfId="37331" xr:uid="{00000000-0005-0000-0000-0000D3910000}"/>
    <cellStyle name="Normal 5 17 32 5 2" xfId="37332" xr:uid="{00000000-0005-0000-0000-0000D4910000}"/>
    <cellStyle name="Normal 5 17 32 5 3" xfId="37333" xr:uid="{00000000-0005-0000-0000-0000D5910000}"/>
    <cellStyle name="Normal 5 17 32 5 4" xfId="37334" xr:uid="{00000000-0005-0000-0000-0000D6910000}"/>
    <cellStyle name="Normal 5 17 32 5 5" xfId="37335" xr:uid="{00000000-0005-0000-0000-0000D7910000}"/>
    <cellStyle name="Normal 5 17 32 5 6" xfId="37336" xr:uid="{00000000-0005-0000-0000-0000D8910000}"/>
    <cellStyle name="Normal 5 17 32 5 7" xfId="37337" xr:uid="{00000000-0005-0000-0000-0000D9910000}"/>
    <cellStyle name="Normal 5 17 32 5 8" xfId="37338" xr:uid="{00000000-0005-0000-0000-0000DA910000}"/>
    <cellStyle name="Normal 5 17 32 5 9" xfId="37339" xr:uid="{00000000-0005-0000-0000-0000DB910000}"/>
    <cellStyle name="Normal 5 17 32 6" xfId="37340" xr:uid="{00000000-0005-0000-0000-0000DC910000}"/>
    <cellStyle name="Normal 5 17 32 7" xfId="37341" xr:uid="{00000000-0005-0000-0000-0000DD910000}"/>
    <cellStyle name="Normal 5 17 32 8" xfId="37342" xr:uid="{00000000-0005-0000-0000-0000DE910000}"/>
    <cellStyle name="Normal 5 17 32 9" xfId="37343" xr:uid="{00000000-0005-0000-0000-0000DF910000}"/>
    <cellStyle name="Normal 5 17 33" xfId="37344" xr:uid="{00000000-0005-0000-0000-0000E0910000}"/>
    <cellStyle name="Normal 5 17 33 10" xfId="37345" xr:uid="{00000000-0005-0000-0000-0000E1910000}"/>
    <cellStyle name="Normal 5 17 33 11" xfId="37346" xr:uid="{00000000-0005-0000-0000-0000E2910000}"/>
    <cellStyle name="Normal 5 17 33 12" xfId="37347" xr:uid="{00000000-0005-0000-0000-0000E3910000}"/>
    <cellStyle name="Normal 5 17 33 13" xfId="37348" xr:uid="{00000000-0005-0000-0000-0000E4910000}"/>
    <cellStyle name="Normal 5 17 33 14" xfId="37349" xr:uid="{00000000-0005-0000-0000-0000E5910000}"/>
    <cellStyle name="Normal 5 17 33 2" xfId="37350" xr:uid="{00000000-0005-0000-0000-0000E6910000}"/>
    <cellStyle name="Normal 5 17 33 2 10" xfId="37351" xr:uid="{00000000-0005-0000-0000-0000E7910000}"/>
    <cellStyle name="Normal 5 17 33 2 2" xfId="37352" xr:uid="{00000000-0005-0000-0000-0000E8910000}"/>
    <cellStyle name="Normal 5 17 33 2 3" xfId="37353" xr:uid="{00000000-0005-0000-0000-0000E9910000}"/>
    <cellStyle name="Normal 5 17 33 2 4" xfId="37354" xr:uid="{00000000-0005-0000-0000-0000EA910000}"/>
    <cellStyle name="Normal 5 17 33 2 5" xfId="37355" xr:uid="{00000000-0005-0000-0000-0000EB910000}"/>
    <cellStyle name="Normal 5 17 33 2 6" xfId="37356" xr:uid="{00000000-0005-0000-0000-0000EC910000}"/>
    <cellStyle name="Normal 5 17 33 2 7" xfId="37357" xr:uid="{00000000-0005-0000-0000-0000ED910000}"/>
    <cellStyle name="Normal 5 17 33 2 8" xfId="37358" xr:uid="{00000000-0005-0000-0000-0000EE910000}"/>
    <cellStyle name="Normal 5 17 33 2 9" xfId="37359" xr:uid="{00000000-0005-0000-0000-0000EF910000}"/>
    <cellStyle name="Normal 5 17 33 3" xfId="37360" xr:uid="{00000000-0005-0000-0000-0000F0910000}"/>
    <cellStyle name="Normal 5 17 33 3 10" xfId="37361" xr:uid="{00000000-0005-0000-0000-0000F1910000}"/>
    <cellStyle name="Normal 5 17 33 3 2" xfId="37362" xr:uid="{00000000-0005-0000-0000-0000F2910000}"/>
    <cellStyle name="Normal 5 17 33 3 3" xfId="37363" xr:uid="{00000000-0005-0000-0000-0000F3910000}"/>
    <cellStyle name="Normal 5 17 33 3 4" xfId="37364" xr:uid="{00000000-0005-0000-0000-0000F4910000}"/>
    <cellStyle name="Normal 5 17 33 3 5" xfId="37365" xr:uid="{00000000-0005-0000-0000-0000F5910000}"/>
    <cellStyle name="Normal 5 17 33 3 6" xfId="37366" xr:uid="{00000000-0005-0000-0000-0000F6910000}"/>
    <cellStyle name="Normal 5 17 33 3 7" xfId="37367" xr:uid="{00000000-0005-0000-0000-0000F7910000}"/>
    <cellStyle name="Normal 5 17 33 3 8" xfId="37368" xr:uid="{00000000-0005-0000-0000-0000F8910000}"/>
    <cellStyle name="Normal 5 17 33 3 9" xfId="37369" xr:uid="{00000000-0005-0000-0000-0000F9910000}"/>
    <cellStyle name="Normal 5 17 33 4" xfId="37370" xr:uid="{00000000-0005-0000-0000-0000FA910000}"/>
    <cellStyle name="Normal 5 17 33 4 10" xfId="37371" xr:uid="{00000000-0005-0000-0000-0000FB910000}"/>
    <cellStyle name="Normal 5 17 33 4 2" xfId="37372" xr:uid="{00000000-0005-0000-0000-0000FC910000}"/>
    <cellStyle name="Normal 5 17 33 4 3" xfId="37373" xr:uid="{00000000-0005-0000-0000-0000FD910000}"/>
    <cellStyle name="Normal 5 17 33 4 4" xfId="37374" xr:uid="{00000000-0005-0000-0000-0000FE910000}"/>
    <cellStyle name="Normal 5 17 33 4 5" xfId="37375" xr:uid="{00000000-0005-0000-0000-0000FF910000}"/>
    <cellStyle name="Normal 5 17 33 4 6" xfId="37376" xr:uid="{00000000-0005-0000-0000-000000920000}"/>
    <cellStyle name="Normal 5 17 33 4 7" xfId="37377" xr:uid="{00000000-0005-0000-0000-000001920000}"/>
    <cellStyle name="Normal 5 17 33 4 8" xfId="37378" xr:uid="{00000000-0005-0000-0000-000002920000}"/>
    <cellStyle name="Normal 5 17 33 4 9" xfId="37379" xr:uid="{00000000-0005-0000-0000-000003920000}"/>
    <cellStyle name="Normal 5 17 33 5" xfId="37380" xr:uid="{00000000-0005-0000-0000-000004920000}"/>
    <cellStyle name="Normal 5 17 33 5 10" xfId="37381" xr:uid="{00000000-0005-0000-0000-000005920000}"/>
    <cellStyle name="Normal 5 17 33 5 2" xfId="37382" xr:uid="{00000000-0005-0000-0000-000006920000}"/>
    <cellStyle name="Normal 5 17 33 5 3" xfId="37383" xr:uid="{00000000-0005-0000-0000-000007920000}"/>
    <cellStyle name="Normal 5 17 33 5 4" xfId="37384" xr:uid="{00000000-0005-0000-0000-000008920000}"/>
    <cellStyle name="Normal 5 17 33 5 5" xfId="37385" xr:uid="{00000000-0005-0000-0000-000009920000}"/>
    <cellStyle name="Normal 5 17 33 5 6" xfId="37386" xr:uid="{00000000-0005-0000-0000-00000A920000}"/>
    <cellStyle name="Normal 5 17 33 5 7" xfId="37387" xr:uid="{00000000-0005-0000-0000-00000B920000}"/>
    <cellStyle name="Normal 5 17 33 5 8" xfId="37388" xr:uid="{00000000-0005-0000-0000-00000C920000}"/>
    <cellStyle name="Normal 5 17 33 5 9" xfId="37389" xr:uid="{00000000-0005-0000-0000-00000D920000}"/>
    <cellStyle name="Normal 5 17 33 6" xfId="37390" xr:uid="{00000000-0005-0000-0000-00000E920000}"/>
    <cellStyle name="Normal 5 17 33 7" xfId="37391" xr:uid="{00000000-0005-0000-0000-00000F920000}"/>
    <cellStyle name="Normal 5 17 33 8" xfId="37392" xr:uid="{00000000-0005-0000-0000-000010920000}"/>
    <cellStyle name="Normal 5 17 33 9" xfId="37393" xr:uid="{00000000-0005-0000-0000-000011920000}"/>
    <cellStyle name="Normal 5 17 34" xfId="37394" xr:uid="{00000000-0005-0000-0000-000012920000}"/>
    <cellStyle name="Normal 5 17 34 10" xfId="37395" xr:uid="{00000000-0005-0000-0000-000013920000}"/>
    <cellStyle name="Normal 5 17 34 11" xfId="37396" xr:uid="{00000000-0005-0000-0000-000014920000}"/>
    <cellStyle name="Normal 5 17 34 12" xfId="37397" xr:uid="{00000000-0005-0000-0000-000015920000}"/>
    <cellStyle name="Normal 5 17 34 13" xfId="37398" xr:uid="{00000000-0005-0000-0000-000016920000}"/>
    <cellStyle name="Normal 5 17 34 14" xfId="37399" xr:uid="{00000000-0005-0000-0000-000017920000}"/>
    <cellStyle name="Normal 5 17 34 2" xfId="37400" xr:uid="{00000000-0005-0000-0000-000018920000}"/>
    <cellStyle name="Normal 5 17 34 2 10" xfId="37401" xr:uid="{00000000-0005-0000-0000-000019920000}"/>
    <cellStyle name="Normal 5 17 34 2 2" xfId="37402" xr:uid="{00000000-0005-0000-0000-00001A920000}"/>
    <cellStyle name="Normal 5 17 34 2 3" xfId="37403" xr:uid="{00000000-0005-0000-0000-00001B920000}"/>
    <cellStyle name="Normal 5 17 34 2 4" xfId="37404" xr:uid="{00000000-0005-0000-0000-00001C920000}"/>
    <cellStyle name="Normal 5 17 34 2 5" xfId="37405" xr:uid="{00000000-0005-0000-0000-00001D920000}"/>
    <cellStyle name="Normal 5 17 34 2 6" xfId="37406" xr:uid="{00000000-0005-0000-0000-00001E920000}"/>
    <cellStyle name="Normal 5 17 34 2 7" xfId="37407" xr:uid="{00000000-0005-0000-0000-00001F920000}"/>
    <cellStyle name="Normal 5 17 34 2 8" xfId="37408" xr:uid="{00000000-0005-0000-0000-000020920000}"/>
    <cellStyle name="Normal 5 17 34 2 9" xfId="37409" xr:uid="{00000000-0005-0000-0000-000021920000}"/>
    <cellStyle name="Normal 5 17 34 3" xfId="37410" xr:uid="{00000000-0005-0000-0000-000022920000}"/>
    <cellStyle name="Normal 5 17 34 3 10" xfId="37411" xr:uid="{00000000-0005-0000-0000-000023920000}"/>
    <cellStyle name="Normal 5 17 34 3 2" xfId="37412" xr:uid="{00000000-0005-0000-0000-000024920000}"/>
    <cellStyle name="Normal 5 17 34 3 3" xfId="37413" xr:uid="{00000000-0005-0000-0000-000025920000}"/>
    <cellStyle name="Normal 5 17 34 3 4" xfId="37414" xr:uid="{00000000-0005-0000-0000-000026920000}"/>
    <cellStyle name="Normal 5 17 34 3 5" xfId="37415" xr:uid="{00000000-0005-0000-0000-000027920000}"/>
    <cellStyle name="Normal 5 17 34 3 6" xfId="37416" xr:uid="{00000000-0005-0000-0000-000028920000}"/>
    <cellStyle name="Normal 5 17 34 3 7" xfId="37417" xr:uid="{00000000-0005-0000-0000-000029920000}"/>
    <cellStyle name="Normal 5 17 34 3 8" xfId="37418" xr:uid="{00000000-0005-0000-0000-00002A920000}"/>
    <cellStyle name="Normal 5 17 34 3 9" xfId="37419" xr:uid="{00000000-0005-0000-0000-00002B920000}"/>
    <cellStyle name="Normal 5 17 34 4" xfId="37420" xr:uid="{00000000-0005-0000-0000-00002C920000}"/>
    <cellStyle name="Normal 5 17 34 4 10" xfId="37421" xr:uid="{00000000-0005-0000-0000-00002D920000}"/>
    <cellStyle name="Normal 5 17 34 4 2" xfId="37422" xr:uid="{00000000-0005-0000-0000-00002E920000}"/>
    <cellStyle name="Normal 5 17 34 4 3" xfId="37423" xr:uid="{00000000-0005-0000-0000-00002F920000}"/>
    <cellStyle name="Normal 5 17 34 4 4" xfId="37424" xr:uid="{00000000-0005-0000-0000-000030920000}"/>
    <cellStyle name="Normal 5 17 34 4 5" xfId="37425" xr:uid="{00000000-0005-0000-0000-000031920000}"/>
    <cellStyle name="Normal 5 17 34 4 6" xfId="37426" xr:uid="{00000000-0005-0000-0000-000032920000}"/>
    <cellStyle name="Normal 5 17 34 4 7" xfId="37427" xr:uid="{00000000-0005-0000-0000-000033920000}"/>
    <cellStyle name="Normal 5 17 34 4 8" xfId="37428" xr:uid="{00000000-0005-0000-0000-000034920000}"/>
    <cellStyle name="Normal 5 17 34 4 9" xfId="37429" xr:uid="{00000000-0005-0000-0000-000035920000}"/>
    <cellStyle name="Normal 5 17 34 5" xfId="37430" xr:uid="{00000000-0005-0000-0000-000036920000}"/>
    <cellStyle name="Normal 5 17 34 5 10" xfId="37431" xr:uid="{00000000-0005-0000-0000-000037920000}"/>
    <cellStyle name="Normal 5 17 34 5 2" xfId="37432" xr:uid="{00000000-0005-0000-0000-000038920000}"/>
    <cellStyle name="Normal 5 17 34 5 3" xfId="37433" xr:uid="{00000000-0005-0000-0000-000039920000}"/>
    <cellStyle name="Normal 5 17 34 5 4" xfId="37434" xr:uid="{00000000-0005-0000-0000-00003A920000}"/>
    <cellStyle name="Normal 5 17 34 5 5" xfId="37435" xr:uid="{00000000-0005-0000-0000-00003B920000}"/>
    <cellStyle name="Normal 5 17 34 5 6" xfId="37436" xr:uid="{00000000-0005-0000-0000-00003C920000}"/>
    <cellStyle name="Normal 5 17 34 5 7" xfId="37437" xr:uid="{00000000-0005-0000-0000-00003D920000}"/>
    <cellStyle name="Normal 5 17 34 5 8" xfId="37438" xr:uid="{00000000-0005-0000-0000-00003E920000}"/>
    <cellStyle name="Normal 5 17 34 5 9" xfId="37439" xr:uid="{00000000-0005-0000-0000-00003F920000}"/>
    <cellStyle name="Normal 5 17 34 6" xfId="37440" xr:uid="{00000000-0005-0000-0000-000040920000}"/>
    <cellStyle name="Normal 5 17 34 7" xfId="37441" xr:uid="{00000000-0005-0000-0000-000041920000}"/>
    <cellStyle name="Normal 5 17 34 8" xfId="37442" xr:uid="{00000000-0005-0000-0000-000042920000}"/>
    <cellStyle name="Normal 5 17 34 9" xfId="37443" xr:uid="{00000000-0005-0000-0000-000043920000}"/>
    <cellStyle name="Normal 5 17 35" xfId="37444" xr:uid="{00000000-0005-0000-0000-000044920000}"/>
    <cellStyle name="Normal 5 17 35 10" xfId="37445" xr:uid="{00000000-0005-0000-0000-000045920000}"/>
    <cellStyle name="Normal 5 17 35 2" xfId="37446" xr:uid="{00000000-0005-0000-0000-000046920000}"/>
    <cellStyle name="Normal 5 17 35 3" xfId="37447" xr:uid="{00000000-0005-0000-0000-000047920000}"/>
    <cellStyle name="Normal 5 17 35 4" xfId="37448" xr:uid="{00000000-0005-0000-0000-000048920000}"/>
    <cellStyle name="Normal 5 17 35 5" xfId="37449" xr:uid="{00000000-0005-0000-0000-000049920000}"/>
    <cellStyle name="Normal 5 17 35 6" xfId="37450" xr:uid="{00000000-0005-0000-0000-00004A920000}"/>
    <cellStyle name="Normal 5 17 35 7" xfId="37451" xr:uid="{00000000-0005-0000-0000-00004B920000}"/>
    <cellStyle name="Normal 5 17 35 8" xfId="37452" xr:uid="{00000000-0005-0000-0000-00004C920000}"/>
    <cellStyle name="Normal 5 17 35 9" xfId="37453" xr:uid="{00000000-0005-0000-0000-00004D920000}"/>
    <cellStyle name="Normal 5 17 36" xfId="37454" xr:uid="{00000000-0005-0000-0000-00004E920000}"/>
    <cellStyle name="Normal 5 17 36 10" xfId="37455" xr:uid="{00000000-0005-0000-0000-00004F920000}"/>
    <cellStyle name="Normal 5 17 36 2" xfId="37456" xr:uid="{00000000-0005-0000-0000-000050920000}"/>
    <cellStyle name="Normal 5 17 36 3" xfId="37457" xr:uid="{00000000-0005-0000-0000-000051920000}"/>
    <cellStyle name="Normal 5 17 36 4" xfId="37458" xr:uid="{00000000-0005-0000-0000-000052920000}"/>
    <cellStyle name="Normal 5 17 36 5" xfId="37459" xr:uid="{00000000-0005-0000-0000-000053920000}"/>
    <cellStyle name="Normal 5 17 36 6" xfId="37460" xr:uid="{00000000-0005-0000-0000-000054920000}"/>
    <cellStyle name="Normal 5 17 36 7" xfId="37461" xr:uid="{00000000-0005-0000-0000-000055920000}"/>
    <cellStyle name="Normal 5 17 36 8" xfId="37462" xr:uid="{00000000-0005-0000-0000-000056920000}"/>
    <cellStyle name="Normal 5 17 36 9" xfId="37463" xr:uid="{00000000-0005-0000-0000-000057920000}"/>
    <cellStyle name="Normal 5 17 37" xfId="37464" xr:uid="{00000000-0005-0000-0000-000058920000}"/>
    <cellStyle name="Normal 5 17 37 10" xfId="37465" xr:uid="{00000000-0005-0000-0000-000059920000}"/>
    <cellStyle name="Normal 5 17 37 2" xfId="37466" xr:uid="{00000000-0005-0000-0000-00005A920000}"/>
    <cellStyle name="Normal 5 17 37 3" xfId="37467" xr:uid="{00000000-0005-0000-0000-00005B920000}"/>
    <cellStyle name="Normal 5 17 37 4" xfId="37468" xr:uid="{00000000-0005-0000-0000-00005C920000}"/>
    <cellStyle name="Normal 5 17 37 5" xfId="37469" xr:uid="{00000000-0005-0000-0000-00005D920000}"/>
    <cellStyle name="Normal 5 17 37 6" xfId="37470" xr:uid="{00000000-0005-0000-0000-00005E920000}"/>
    <cellStyle name="Normal 5 17 37 7" xfId="37471" xr:uid="{00000000-0005-0000-0000-00005F920000}"/>
    <cellStyle name="Normal 5 17 37 8" xfId="37472" xr:uid="{00000000-0005-0000-0000-000060920000}"/>
    <cellStyle name="Normal 5 17 37 9" xfId="37473" xr:uid="{00000000-0005-0000-0000-000061920000}"/>
    <cellStyle name="Normal 5 17 38" xfId="37474" xr:uid="{00000000-0005-0000-0000-000062920000}"/>
    <cellStyle name="Normal 5 17 38 10" xfId="37475" xr:uid="{00000000-0005-0000-0000-000063920000}"/>
    <cellStyle name="Normal 5 17 38 2" xfId="37476" xr:uid="{00000000-0005-0000-0000-000064920000}"/>
    <cellStyle name="Normal 5 17 38 3" xfId="37477" xr:uid="{00000000-0005-0000-0000-000065920000}"/>
    <cellStyle name="Normal 5 17 38 4" xfId="37478" xr:uid="{00000000-0005-0000-0000-000066920000}"/>
    <cellStyle name="Normal 5 17 38 5" xfId="37479" xr:uid="{00000000-0005-0000-0000-000067920000}"/>
    <cellStyle name="Normal 5 17 38 6" xfId="37480" xr:uid="{00000000-0005-0000-0000-000068920000}"/>
    <cellStyle name="Normal 5 17 38 7" xfId="37481" xr:uid="{00000000-0005-0000-0000-000069920000}"/>
    <cellStyle name="Normal 5 17 38 8" xfId="37482" xr:uid="{00000000-0005-0000-0000-00006A920000}"/>
    <cellStyle name="Normal 5 17 38 9" xfId="37483" xr:uid="{00000000-0005-0000-0000-00006B920000}"/>
    <cellStyle name="Normal 5 17 39" xfId="37484" xr:uid="{00000000-0005-0000-0000-00006C920000}"/>
    <cellStyle name="Normal 5 17 4" xfId="37485" xr:uid="{00000000-0005-0000-0000-00006D920000}"/>
    <cellStyle name="Normal 5 17 4 10" xfId="37486" xr:uid="{00000000-0005-0000-0000-00006E920000}"/>
    <cellStyle name="Normal 5 17 4 11" xfId="37487" xr:uid="{00000000-0005-0000-0000-00006F920000}"/>
    <cellStyle name="Normal 5 17 4 12" xfId="37488" xr:uid="{00000000-0005-0000-0000-000070920000}"/>
    <cellStyle name="Normal 5 17 4 13" xfId="37489" xr:uid="{00000000-0005-0000-0000-000071920000}"/>
    <cellStyle name="Normal 5 17 4 14" xfId="37490" xr:uid="{00000000-0005-0000-0000-000072920000}"/>
    <cellStyle name="Normal 5 17 4 2" xfId="37491" xr:uid="{00000000-0005-0000-0000-000073920000}"/>
    <cellStyle name="Normal 5 17 4 2 10" xfId="37492" xr:uid="{00000000-0005-0000-0000-000074920000}"/>
    <cellStyle name="Normal 5 17 4 2 2" xfId="37493" xr:uid="{00000000-0005-0000-0000-000075920000}"/>
    <cellStyle name="Normal 5 17 4 2 3" xfId="37494" xr:uid="{00000000-0005-0000-0000-000076920000}"/>
    <cellStyle name="Normal 5 17 4 2 4" xfId="37495" xr:uid="{00000000-0005-0000-0000-000077920000}"/>
    <cellStyle name="Normal 5 17 4 2 5" xfId="37496" xr:uid="{00000000-0005-0000-0000-000078920000}"/>
    <cellStyle name="Normal 5 17 4 2 6" xfId="37497" xr:uid="{00000000-0005-0000-0000-000079920000}"/>
    <cellStyle name="Normal 5 17 4 2 7" xfId="37498" xr:uid="{00000000-0005-0000-0000-00007A920000}"/>
    <cellStyle name="Normal 5 17 4 2 8" xfId="37499" xr:uid="{00000000-0005-0000-0000-00007B920000}"/>
    <cellStyle name="Normal 5 17 4 2 9" xfId="37500" xr:uid="{00000000-0005-0000-0000-00007C920000}"/>
    <cellStyle name="Normal 5 17 4 3" xfId="37501" xr:uid="{00000000-0005-0000-0000-00007D920000}"/>
    <cellStyle name="Normal 5 17 4 3 10" xfId="37502" xr:uid="{00000000-0005-0000-0000-00007E920000}"/>
    <cellStyle name="Normal 5 17 4 3 2" xfId="37503" xr:uid="{00000000-0005-0000-0000-00007F920000}"/>
    <cellStyle name="Normal 5 17 4 3 3" xfId="37504" xr:uid="{00000000-0005-0000-0000-000080920000}"/>
    <cellStyle name="Normal 5 17 4 3 4" xfId="37505" xr:uid="{00000000-0005-0000-0000-000081920000}"/>
    <cellStyle name="Normal 5 17 4 3 5" xfId="37506" xr:uid="{00000000-0005-0000-0000-000082920000}"/>
    <cellStyle name="Normal 5 17 4 3 6" xfId="37507" xr:uid="{00000000-0005-0000-0000-000083920000}"/>
    <cellStyle name="Normal 5 17 4 3 7" xfId="37508" xr:uid="{00000000-0005-0000-0000-000084920000}"/>
    <cellStyle name="Normal 5 17 4 3 8" xfId="37509" xr:uid="{00000000-0005-0000-0000-000085920000}"/>
    <cellStyle name="Normal 5 17 4 3 9" xfId="37510" xr:uid="{00000000-0005-0000-0000-000086920000}"/>
    <cellStyle name="Normal 5 17 4 4" xfId="37511" xr:uid="{00000000-0005-0000-0000-000087920000}"/>
    <cellStyle name="Normal 5 17 4 4 10" xfId="37512" xr:uid="{00000000-0005-0000-0000-000088920000}"/>
    <cellStyle name="Normal 5 17 4 4 2" xfId="37513" xr:uid="{00000000-0005-0000-0000-000089920000}"/>
    <cellStyle name="Normal 5 17 4 4 3" xfId="37514" xr:uid="{00000000-0005-0000-0000-00008A920000}"/>
    <cellStyle name="Normal 5 17 4 4 4" xfId="37515" xr:uid="{00000000-0005-0000-0000-00008B920000}"/>
    <cellStyle name="Normal 5 17 4 4 5" xfId="37516" xr:uid="{00000000-0005-0000-0000-00008C920000}"/>
    <cellStyle name="Normal 5 17 4 4 6" xfId="37517" xr:uid="{00000000-0005-0000-0000-00008D920000}"/>
    <cellStyle name="Normal 5 17 4 4 7" xfId="37518" xr:uid="{00000000-0005-0000-0000-00008E920000}"/>
    <cellStyle name="Normal 5 17 4 4 8" xfId="37519" xr:uid="{00000000-0005-0000-0000-00008F920000}"/>
    <cellStyle name="Normal 5 17 4 4 9" xfId="37520" xr:uid="{00000000-0005-0000-0000-000090920000}"/>
    <cellStyle name="Normal 5 17 4 5" xfId="37521" xr:uid="{00000000-0005-0000-0000-000091920000}"/>
    <cellStyle name="Normal 5 17 4 5 10" xfId="37522" xr:uid="{00000000-0005-0000-0000-000092920000}"/>
    <cellStyle name="Normal 5 17 4 5 2" xfId="37523" xr:uid="{00000000-0005-0000-0000-000093920000}"/>
    <cellStyle name="Normal 5 17 4 5 3" xfId="37524" xr:uid="{00000000-0005-0000-0000-000094920000}"/>
    <cellStyle name="Normal 5 17 4 5 4" xfId="37525" xr:uid="{00000000-0005-0000-0000-000095920000}"/>
    <cellStyle name="Normal 5 17 4 5 5" xfId="37526" xr:uid="{00000000-0005-0000-0000-000096920000}"/>
    <cellStyle name="Normal 5 17 4 5 6" xfId="37527" xr:uid="{00000000-0005-0000-0000-000097920000}"/>
    <cellStyle name="Normal 5 17 4 5 7" xfId="37528" xr:uid="{00000000-0005-0000-0000-000098920000}"/>
    <cellStyle name="Normal 5 17 4 5 8" xfId="37529" xr:uid="{00000000-0005-0000-0000-000099920000}"/>
    <cellStyle name="Normal 5 17 4 5 9" xfId="37530" xr:uid="{00000000-0005-0000-0000-00009A920000}"/>
    <cellStyle name="Normal 5 17 4 6" xfId="37531" xr:uid="{00000000-0005-0000-0000-00009B920000}"/>
    <cellStyle name="Normal 5 17 4 7" xfId="37532" xr:uid="{00000000-0005-0000-0000-00009C920000}"/>
    <cellStyle name="Normal 5 17 4 8" xfId="37533" xr:uid="{00000000-0005-0000-0000-00009D920000}"/>
    <cellStyle name="Normal 5 17 4 9" xfId="37534" xr:uid="{00000000-0005-0000-0000-00009E920000}"/>
    <cellStyle name="Normal 5 17 40" xfId="37535" xr:uid="{00000000-0005-0000-0000-00009F920000}"/>
    <cellStyle name="Normal 5 17 41" xfId="37536" xr:uid="{00000000-0005-0000-0000-0000A0920000}"/>
    <cellStyle name="Normal 5 17 42" xfId="37537" xr:uid="{00000000-0005-0000-0000-0000A1920000}"/>
    <cellStyle name="Normal 5 17 43" xfId="37538" xr:uid="{00000000-0005-0000-0000-0000A2920000}"/>
    <cellStyle name="Normal 5 17 44" xfId="37539" xr:uid="{00000000-0005-0000-0000-0000A3920000}"/>
    <cellStyle name="Normal 5 17 45" xfId="37540" xr:uid="{00000000-0005-0000-0000-0000A4920000}"/>
    <cellStyle name="Normal 5 17 46" xfId="37541" xr:uid="{00000000-0005-0000-0000-0000A5920000}"/>
    <cellStyle name="Normal 5 17 47" xfId="37542" xr:uid="{00000000-0005-0000-0000-0000A6920000}"/>
    <cellStyle name="Normal 5 17 48" xfId="37543" xr:uid="{00000000-0005-0000-0000-0000A7920000}"/>
    <cellStyle name="Normal 5 17 49" xfId="37544" xr:uid="{00000000-0005-0000-0000-0000A8920000}"/>
    <cellStyle name="Normal 5 17 5" xfId="37545" xr:uid="{00000000-0005-0000-0000-0000A9920000}"/>
    <cellStyle name="Normal 5 17 5 10" xfId="37546" xr:uid="{00000000-0005-0000-0000-0000AA920000}"/>
    <cellStyle name="Normal 5 17 5 11" xfId="37547" xr:uid="{00000000-0005-0000-0000-0000AB920000}"/>
    <cellStyle name="Normal 5 17 5 12" xfId="37548" xr:uid="{00000000-0005-0000-0000-0000AC920000}"/>
    <cellStyle name="Normal 5 17 5 13" xfId="37549" xr:uid="{00000000-0005-0000-0000-0000AD920000}"/>
    <cellStyle name="Normal 5 17 5 14" xfId="37550" xr:uid="{00000000-0005-0000-0000-0000AE920000}"/>
    <cellStyle name="Normal 5 17 5 2" xfId="37551" xr:uid="{00000000-0005-0000-0000-0000AF920000}"/>
    <cellStyle name="Normal 5 17 5 2 10" xfId="37552" xr:uid="{00000000-0005-0000-0000-0000B0920000}"/>
    <cellStyle name="Normal 5 17 5 2 2" xfId="37553" xr:uid="{00000000-0005-0000-0000-0000B1920000}"/>
    <cellStyle name="Normal 5 17 5 2 3" xfId="37554" xr:uid="{00000000-0005-0000-0000-0000B2920000}"/>
    <cellStyle name="Normal 5 17 5 2 4" xfId="37555" xr:uid="{00000000-0005-0000-0000-0000B3920000}"/>
    <cellStyle name="Normal 5 17 5 2 5" xfId="37556" xr:uid="{00000000-0005-0000-0000-0000B4920000}"/>
    <cellStyle name="Normal 5 17 5 2 6" xfId="37557" xr:uid="{00000000-0005-0000-0000-0000B5920000}"/>
    <cellStyle name="Normal 5 17 5 2 7" xfId="37558" xr:uid="{00000000-0005-0000-0000-0000B6920000}"/>
    <cellStyle name="Normal 5 17 5 2 8" xfId="37559" xr:uid="{00000000-0005-0000-0000-0000B7920000}"/>
    <cellStyle name="Normal 5 17 5 2 9" xfId="37560" xr:uid="{00000000-0005-0000-0000-0000B8920000}"/>
    <cellStyle name="Normal 5 17 5 3" xfId="37561" xr:uid="{00000000-0005-0000-0000-0000B9920000}"/>
    <cellStyle name="Normal 5 17 5 3 10" xfId="37562" xr:uid="{00000000-0005-0000-0000-0000BA920000}"/>
    <cellStyle name="Normal 5 17 5 3 2" xfId="37563" xr:uid="{00000000-0005-0000-0000-0000BB920000}"/>
    <cellStyle name="Normal 5 17 5 3 3" xfId="37564" xr:uid="{00000000-0005-0000-0000-0000BC920000}"/>
    <cellStyle name="Normal 5 17 5 3 4" xfId="37565" xr:uid="{00000000-0005-0000-0000-0000BD920000}"/>
    <cellStyle name="Normal 5 17 5 3 5" xfId="37566" xr:uid="{00000000-0005-0000-0000-0000BE920000}"/>
    <cellStyle name="Normal 5 17 5 3 6" xfId="37567" xr:uid="{00000000-0005-0000-0000-0000BF920000}"/>
    <cellStyle name="Normal 5 17 5 3 7" xfId="37568" xr:uid="{00000000-0005-0000-0000-0000C0920000}"/>
    <cellStyle name="Normal 5 17 5 3 8" xfId="37569" xr:uid="{00000000-0005-0000-0000-0000C1920000}"/>
    <cellStyle name="Normal 5 17 5 3 9" xfId="37570" xr:uid="{00000000-0005-0000-0000-0000C2920000}"/>
    <cellStyle name="Normal 5 17 5 4" xfId="37571" xr:uid="{00000000-0005-0000-0000-0000C3920000}"/>
    <cellStyle name="Normal 5 17 5 4 10" xfId="37572" xr:uid="{00000000-0005-0000-0000-0000C4920000}"/>
    <cellStyle name="Normal 5 17 5 4 2" xfId="37573" xr:uid="{00000000-0005-0000-0000-0000C5920000}"/>
    <cellStyle name="Normal 5 17 5 4 3" xfId="37574" xr:uid="{00000000-0005-0000-0000-0000C6920000}"/>
    <cellStyle name="Normal 5 17 5 4 4" xfId="37575" xr:uid="{00000000-0005-0000-0000-0000C7920000}"/>
    <cellStyle name="Normal 5 17 5 4 5" xfId="37576" xr:uid="{00000000-0005-0000-0000-0000C8920000}"/>
    <cellStyle name="Normal 5 17 5 4 6" xfId="37577" xr:uid="{00000000-0005-0000-0000-0000C9920000}"/>
    <cellStyle name="Normal 5 17 5 4 7" xfId="37578" xr:uid="{00000000-0005-0000-0000-0000CA920000}"/>
    <cellStyle name="Normal 5 17 5 4 8" xfId="37579" xr:uid="{00000000-0005-0000-0000-0000CB920000}"/>
    <cellStyle name="Normal 5 17 5 4 9" xfId="37580" xr:uid="{00000000-0005-0000-0000-0000CC920000}"/>
    <cellStyle name="Normal 5 17 5 5" xfId="37581" xr:uid="{00000000-0005-0000-0000-0000CD920000}"/>
    <cellStyle name="Normal 5 17 5 5 10" xfId="37582" xr:uid="{00000000-0005-0000-0000-0000CE920000}"/>
    <cellStyle name="Normal 5 17 5 5 2" xfId="37583" xr:uid="{00000000-0005-0000-0000-0000CF920000}"/>
    <cellStyle name="Normal 5 17 5 5 3" xfId="37584" xr:uid="{00000000-0005-0000-0000-0000D0920000}"/>
    <cellStyle name="Normal 5 17 5 5 4" xfId="37585" xr:uid="{00000000-0005-0000-0000-0000D1920000}"/>
    <cellStyle name="Normal 5 17 5 5 5" xfId="37586" xr:uid="{00000000-0005-0000-0000-0000D2920000}"/>
    <cellStyle name="Normal 5 17 5 5 6" xfId="37587" xr:uid="{00000000-0005-0000-0000-0000D3920000}"/>
    <cellStyle name="Normal 5 17 5 5 7" xfId="37588" xr:uid="{00000000-0005-0000-0000-0000D4920000}"/>
    <cellStyle name="Normal 5 17 5 5 8" xfId="37589" xr:uid="{00000000-0005-0000-0000-0000D5920000}"/>
    <cellStyle name="Normal 5 17 5 5 9" xfId="37590" xr:uid="{00000000-0005-0000-0000-0000D6920000}"/>
    <cellStyle name="Normal 5 17 5 6" xfId="37591" xr:uid="{00000000-0005-0000-0000-0000D7920000}"/>
    <cellStyle name="Normal 5 17 5 7" xfId="37592" xr:uid="{00000000-0005-0000-0000-0000D8920000}"/>
    <cellStyle name="Normal 5 17 5 8" xfId="37593" xr:uid="{00000000-0005-0000-0000-0000D9920000}"/>
    <cellStyle name="Normal 5 17 5 9" xfId="37594" xr:uid="{00000000-0005-0000-0000-0000DA920000}"/>
    <cellStyle name="Normal 5 17 6" xfId="37595" xr:uid="{00000000-0005-0000-0000-0000DB920000}"/>
    <cellStyle name="Normal 5 17 6 10" xfId="37596" xr:uid="{00000000-0005-0000-0000-0000DC920000}"/>
    <cellStyle name="Normal 5 17 6 11" xfId="37597" xr:uid="{00000000-0005-0000-0000-0000DD920000}"/>
    <cellStyle name="Normal 5 17 6 12" xfId="37598" xr:uid="{00000000-0005-0000-0000-0000DE920000}"/>
    <cellStyle name="Normal 5 17 6 13" xfId="37599" xr:uid="{00000000-0005-0000-0000-0000DF920000}"/>
    <cellStyle name="Normal 5 17 6 14" xfId="37600" xr:uid="{00000000-0005-0000-0000-0000E0920000}"/>
    <cellStyle name="Normal 5 17 6 2" xfId="37601" xr:uid="{00000000-0005-0000-0000-0000E1920000}"/>
    <cellStyle name="Normal 5 17 6 2 10" xfId="37602" xr:uid="{00000000-0005-0000-0000-0000E2920000}"/>
    <cellStyle name="Normal 5 17 6 2 2" xfId="37603" xr:uid="{00000000-0005-0000-0000-0000E3920000}"/>
    <cellStyle name="Normal 5 17 6 2 3" xfId="37604" xr:uid="{00000000-0005-0000-0000-0000E4920000}"/>
    <cellStyle name="Normal 5 17 6 2 4" xfId="37605" xr:uid="{00000000-0005-0000-0000-0000E5920000}"/>
    <cellStyle name="Normal 5 17 6 2 5" xfId="37606" xr:uid="{00000000-0005-0000-0000-0000E6920000}"/>
    <cellStyle name="Normal 5 17 6 2 6" xfId="37607" xr:uid="{00000000-0005-0000-0000-0000E7920000}"/>
    <cellStyle name="Normal 5 17 6 2 7" xfId="37608" xr:uid="{00000000-0005-0000-0000-0000E8920000}"/>
    <cellStyle name="Normal 5 17 6 2 8" xfId="37609" xr:uid="{00000000-0005-0000-0000-0000E9920000}"/>
    <cellStyle name="Normal 5 17 6 2 9" xfId="37610" xr:uid="{00000000-0005-0000-0000-0000EA920000}"/>
    <cellStyle name="Normal 5 17 6 3" xfId="37611" xr:uid="{00000000-0005-0000-0000-0000EB920000}"/>
    <cellStyle name="Normal 5 17 6 3 10" xfId="37612" xr:uid="{00000000-0005-0000-0000-0000EC920000}"/>
    <cellStyle name="Normal 5 17 6 3 2" xfId="37613" xr:uid="{00000000-0005-0000-0000-0000ED920000}"/>
    <cellStyle name="Normal 5 17 6 3 3" xfId="37614" xr:uid="{00000000-0005-0000-0000-0000EE920000}"/>
    <cellStyle name="Normal 5 17 6 3 4" xfId="37615" xr:uid="{00000000-0005-0000-0000-0000EF920000}"/>
    <cellStyle name="Normal 5 17 6 3 5" xfId="37616" xr:uid="{00000000-0005-0000-0000-0000F0920000}"/>
    <cellStyle name="Normal 5 17 6 3 6" xfId="37617" xr:uid="{00000000-0005-0000-0000-0000F1920000}"/>
    <cellStyle name="Normal 5 17 6 3 7" xfId="37618" xr:uid="{00000000-0005-0000-0000-0000F2920000}"/>
    <cellStyle name="Normal 5 17 6 3 8" xfId="37619" xr:uid="{00000000-0005-0000-0000-0000F3920000}"/>
    <cellStyle name="Normal 5 17 6 3 9" xfId="37620" xr:uid="{00000000-0005-0000-0000-0000F4920000}"/>
    <cellStyle name="Normal 5 17 6 4" xfId="37621" xr:uid="{00000000-0005-0000-0000-0000F5920000}"/>
    <cellStyle name="Normal 5 17 6 4 10" xfId="37622" xr:uid="{00000000-0005-0000-0000-0000F6920000}"/>
    <cellStyle name="Normal 5 17 6 4 2" xfId="37623" xr:uid="{00000000-0005-0000-0000-0000F7920000}"/>
    <cellStyle name="Normal 5 17 6 4 3" xfId="37624" xr:uid="{00000000-0005-0000-0000-0000F8920000}"/>
    <cellStyle name="Normal 5 17 6 4 4" xfId="37625" xr:uid="{00000000-0005-0000-0000-0000F9920000}"/>
    <cellStyle name="Normal 5 17 6 4 5" xfId="37626" xr:uid="{00000000-0005-0000-0000-0000FA920000}"/>
    <cellStyle name="Normal 5 17 6 4 6" xfId="37627" xr:uid="{00000000-0005-0000-0000-0000FB920000}"/>
    <cellStyle name="Normal 5 17 6 4 7" xfId="37628" xr:uid="{00000000-0005-0000-0000-0000FC920000}"/>
    <cellStyle name="Normal 5 17 6 4 8" xfId="37629" xr:uid="{00000000-0005-0000-0000-0000FD920000}"/>
    <cellStyle name="Normal 5 17 6 4 9" xfId="37630" xr:uid="{00000000-0005-0000-0000-0000FE920000}"/>
    <cellStyle name="Normal 5 17 6 5" xfId="37631" xr:uid="{00000000-0005-0000-0000-0000FF920000}"/>
    <cellStyle name="Normal 5 17 6 5 10" xfId="37632" xr:uid="{00000000-0005-0000-0000-000000930000}"/>
    <cellStyle name="Normal 5 17 6 5 2" xfId="37633" xr:uid="{00000000-0005-0000-0000-000001930000}"/>
    <cellStyle name="Normal 5 17 6 5 3" xfId="37634" xr:uid="{00000000-0005-0000-0000-000002930000}"/>
    <cellStyle name="Normal 5 17 6 5 4" xfId="37635" xr:uid="{00000000-0005-0000-0000-000003930000}"/>
    <cellStyle name="Normal 5 17 6 5 5" xfId="37636" xr:uid="{00000000-0005-0000-0000-000004930000}"/>
    <cellStyle name="Normal 5 17 6 5 6" xfId="37637" xr:uid="{00000000-0005-0000-0000-000005930000}"/>
    <cellStyle name="Normal 5 17 6 5 7" xfId="37638" xr:uid="{00000000-0005-0000-0000-000006930000}"/>
    <cellStyle name="Normal 5 17 6 5 8" xfId="37639" xr:uid="{00000000-0005-0000-0000-000007930000}"/>
    <cellStyle name="Normal 5 17 6 5 9" xfId="37640" xr:uid="{00000000-0005-0000-0000-000008930000}"/>
    <cellStyle name="Normal 5 17 6 6" xfId="37641" xr:uid="{00000000-0005-0000-0000-000009930000}"/>
    <cellStyle name="Normal 5 17 6 7" xfId="37642" xr:uid="{00000000-0005-0000-0000-00000A930000}"/>
    <cellStyle name="Normal 5 17 6 8" xfId="37643" xr:uid="{00000000-0005-0000-0000-00000B930000}"/>
    <cellStyle name="Normal 5 17 6 9" xfId="37644" xr:uid="{00000000-0005-0000-0000-00000C930000}"/>
    <cellStyle name="Normal 5 17 7" xfId="37645" xr:uid="{00000000-0005-0000-0000-00000D930000}"/>
    <cellStyle name="Normal 5 17 7 10" xfId="37646" xr:uid="{00000000-0005-0000-0000-00000E930000}"/>
    <cellStyle name="Normal 5 17 7 11" xfId="37647" xr:uid="{00000000-0005-0000-0000-00000F930000}"/>
    <cellStyle name="Normal 5 17 7 12" xfId="37648" xr:uid="{00000000-0005-0000-0000-000010930000}"/>
    <cellStyle name="Normal 5 17 7 13" xfId="37649" xr:uid="{00000000-0005-0000-0000-000011930000}"/>
    <cellStyle name="Normal 5 17 7 14" xfId="37650" xr:uid="{00000000-0005-0000-0000-000012930000}"/>
    <cellStyle name="Normal 5 17 7 2" xfId="37651" xr:uid="{00000000-0005-0000-0000-000013930000}"/>
    <cellStyle name="Normal 5 17 7 2 10" xfId="37652" xr:uid="{00000000-0005-0000-0000-000014930000}"/>
    <cellStyle name="Normal 5 17 7 2 2" xfId="37653" xr:uid="{00000000-0005-0000-0000-000015930000}"/>
    <cellStyle name="Normal 5 17 7 2 3" xfId="37654" xr:uid="{00000000-0005-0000-0000-000016930000}"/>
    <cellStyle name="Normal 5 17 7 2 4" xfId="37655" xr:uid="{00000000-0005-0000-0000-000017930000}"/>
    <cellStyle name="Normal 5 17 7 2 5" xfId="37656" xr:uid="{00000000-0005-0000-0000-000018930000}"/>
    <cellStyle name="Normal 5 17 7 2 6" xfId="37657" xr:uid="{00000000-0005-0000-0000-000019930000}"/>
    <cellStyle name="Normal 5 17 7 2 7" xfId="37658" xr:uid="{00000000-0005-0000-0000-00001A930000}"/>
    <cellStyle name="Normal 5 17 7 2 8" xfId="37659" xr:uid="{00000000-0005-0000-0000-00001B930000}"/>
    <cellStyle name="Normal 5 17 7 2 9" xfId="37660" xr:uid="{00000000-0005-0000-0000-00001C930000}"/>
    <cellStyle name="Normal 5 17 7 3" xfId="37661" xr:uid="{00000000-0005-0000-0000-00001D930000}"/>
    <cellStyle name="Normal 5 17 7 3 10" xfId="37662" xr:uid="{00000000-0005-0000-0000-00001E930000}"/>
    <cellStyle name="Normal 5 17 7 3 2" xfId="37663" xr:uid="{00000000-0005-0000-0000-00001F930000}"/>
    <cellStyle name="Normal 5 17 7 3 3" xfId="37664" xr:uid="{00000000-0005-0000-0000-000020930000}"/>
    <cellStyle name="Normal 5 17 7 3 4" xfId="37665" xr:uid="{00000000-0005-0000-0000-000021930000}"/>
    <cellStyle name="Normal 5 17 7 3 5" xfId="37666" xr:uid="{00000000-0005-0000-0000-000022930000}"/>
    <cellStyle name="Normal 5 17 7 3 6" xfId="37667" xr:uid="{00000000-0005-0000-0000-000023930000}"/>
    <cellStyle name="Normal 5 17 7 3 7" xfId="37668" xr:uid="{00000000-0005-0000-0000-000024930000}"/>
    <cellStyle name="Normal 5 17 7 3 8" xfId="37669" xr:uid="{00000000-0005-0000-0000-000025930000}"/>
    <cellStyle name="Normal 5 17 7 3 9" xfId="37670" xr:uid="{00000000-0005-0000-0000-000026930000}"/>
    <cellStyle name="Normal 5 17 7 4" xfId="37671" xr:uid="{00000000-0005-0000-0000-000027930000}"/>
    <cellStyle name="Normal 5 17 7 4 10" xfId="37672" xr:uid="{00000000-0005-0000-0000-000028930000}"/>
    <cellStyle name="Normal 5 17 7 4 2" xfId="37673" xr:uid="{00000000-0005-0000-0000-000029930000}"/>
    <cellStyle name="Normal 5 17 7 4 3" xfId="37674" xr:uid="{00000000-0005-0000-0000-00002A930000}"/>
    <cellStyle name="Normal 5 17 7 4 4" xfId="37675" xr:uid="{00000000-0005-0000-0000-00002B930000}"/>
    <cellStyle name="Normal 5 17 7 4 5" xfId="37676" xr:uid="{00000000-0005-0000-0000-00002C930000}"/>
    <cellStyle name="Normal 5 17 7 4 6" xfId="37677" xr:uid="{00000000-0005-0000-0000-00002D930000}"/>
    <cellStyle name="Normal 5 17 7 4 7" xfId="37678" xr:uid="{00000000-0005-0000-0000-00002E930000}"/>
    <cellStyle name="Normal 5 17 7 4 8" xfId="37679" xr:uid="{00000000-0005-0000-0000-00002F930000}"/>
    <cellStyle name="Normal 5 17 7 4 9" xfId="37680" xr:uid="{00000000-0005-0000-0000-000030930000}"/>
    <cellStyle name="Normal 5 17 7 5" xfId="37681" xr:uid="{00000000-0005-0000-0000-000031930000}"/>
    <cellStyle name="Normal 5 17 7 5 10" xfId="37682" xr:uid="{00000000-0005-0000-0000-000032930000}"/>
    <cellStyle name="Normal 5 17 7 5 2" xfId="37683" xr:uid="{00000000-0005-0000-0000-000033930000}"/>
    <cellStyle name="Normal 5 17 7 5 3" xfId="37684" xr:uid="{00000000-0005-0000-0000-000034930000}"/>
    <cellStyle name="Normal 5 17 7 5 4" xfId="37685" xr:uid="{00000000-0005-0000-0000-000035930000}"/>
    <cellStyle name="Normal 5 17 7 5 5" xfId="37686" xr:uid="{00000000-0005-0000-0000-000036930000}"/>
    <cellStyle name="Normal 5 17 7 5 6" xfId="37687" xr:uid="{00000000-0005-0000-0000-000037930000}"/>
    <cellStyle name="Normal 5 17 7 5 7" xfId="37688" xr:uid="{00000000-0005-0000-0000-000038930000}"/>
    <cellStyle name="Normal 5 17 7 5 8" xfId="37689" xr:uid="{00000000-0005-0000-0000-000039930000}"/>
    <cellStyle name="Normal 5 17 7 5 9" xfId="37690" xr:uid="{00000000-0005-0000-0000-00003A930000}"/>
    <cellStyle name="Normal 5 17 7 6" xfId="37691" xr:uid="{00000000-0005-0000-0000-00003B930000}"/>
    <cellStyle name="Normal 5 17 7 7" xfId="37692" xr:uid="{00000000-0005-0000-0000-00003C930000}"/>
    <cellStyle name="Normal 5 17 7 8" xfId="37693" xr:uid="{00000000-0005-0000-0000-00003D930000}"/>
    <cellStyle name="Normal 5 17 7 9" xfId="37694" xr:uid="{00000000-0005-0000-0000-00003E930000}"/>
    <cellStyle name="Normal 5 17 8" xfId="37695" xr:uid="{00000000-0005-0000-0000-00003F930000}"/>
    <cellStyle name="Normal 5 17 8 10" xfId="37696" xr:uid="{00000000-0005-0000-0000-000040930000}"/>
    <cellStyle name="Normal 5 17 8 11" xfId="37697" xr:uid="{00000000-0005-0000-0000-000041930000}"/>
    <cellStyle name="Normal 5 17 8 12" xfId="37698" xr:uid="{00000000-0005-0000-0000-000042930000}"/>
    <cellStyle name="Normal 5 17 8 13" xfId="37699" xr:uid="{00000000-0005-0000-0000-000043930000}"/>
    <cellStyle name="Normal 5 17 8 14" xfId="37700" xr:uid="{00000000-0005-0000-0000-000044930000}"/>
    <cellStyle name="Normal 5 17 8 2" xfId="37701" xr:uid="{00000000-0005-0000-0000-000045930000}"/>
    <cellStyle name="Normal 5 17 8 2 10" xfId="37702" xr:uid="{00000000-0005-0000-0000-000046930000}"/>
    <cellStyle name="Normal 5 17 8 2 2" xfId="37703" xr:uid="{00000000-0005-0000-0000-000047930000}"/>
    <cellStyle name="Normal 5 17 8 2 3" xfId="37704" xr:uid="{00000000-0005-0000-0000-000048930000}"/>
    <cellStyle name="Normal 5 17 8 2 4" xfId="37705" xr:uid="{00000000-0005-0000-0000-000049930000}"/>
    <cellStyle name="Normal 5 17 8 2 5" xfId="37706" xr:uid="{00000000-0005-0000-0000-00004A930000}"/>
    <cellStyle name="Normal 5 17 8 2 6" xfId="37707" xr:uid="{00000000-0005-0000-0000-00004B930000}"/>
    <cellStyle name="Normal 5 17 8 2 7" xfId="37708" xr:uid="{00000000-0005-0000-0000-00004C930000}"/>
    <cellStyle name="Normal 5 17 8 2 8" xfId="37709" xr:uid="{00000000-0005-0000-0000-00004D930000}"/>
    <cellStyle name="Normal 5 17 8 2 9" xfId="37710" xr:uid="{00000000-0005-0000-0000-00004E930000}"/>
    <cellStyle name="Normal 5 17 8 3" xfId="37711" xr:uid="{00000000-0005-0000-0000-00004F930000}"/>
    <cellStyle name="Normal 5 17 8 3 10" xfId="37712" xr:uid="{00000000-0005-0000-0000-000050930000}"/>
    <cellStyle name="Normal 5 17 8 3 2" xfId="37713" xr:uid="{00000000-0005-0000-0000-000051930000}"/>
    <cellStyle name="Normal 5 17 8 3 3" xfId="37714" xr:uid="{00000000-0005-0000-0000-000052930000}"/>
    <cellStyle name="Normal 5 17 8 3 4" xfId="37715" xr:uid="{00000000-0005-0000-0000-000053930000}"/>
    <cellStyle name="Normal 5 17 8 3 5" xfId="37716" xr:uid="{00000000-0005-0000-0000-000054930000}"/>
    <cellStyle name="Normal 5 17 8 3 6" xfId="37717" xr:uid="{00000000-0005-0000-0000-000055930000}"/>
    <cellStyle name="Normal 5 17 8 3 7" xfId="37718" xr:uid="{00000000-0005-0000-0000-000056930000}"/>
    <cellStyle name="Normal 5 17 8 3 8" xfId="37719" xr:uid="{00000000-0005-0000-0000-000057930000}"/>
    <cellStyle name="Normal 5 17 8 3 9" xfId="37720" xr:uid="{00000000-0005-0000-0000-000058930000}"/>
    <cellStyle name="Normal 5 17 8 4" xfId="37721" xr:uid="{00000000-0005-0000-0000-000059930000}"/>
    <cellStyle name="Normal 5 17 8 4 10" xfId="37722" xr:uid="{00000000-0005-0000-0000-00005A930000}"/>
    <cellStyle name="Normal 5 17 8 4 2" xfId="37723" xr:uid="{00000000-0005-0000-0000-00005B930000}"/>
    <cellStyle name="Normal 5 17 8 4 3" xfId="37724" xr:uid="{00000000-0005-0000-0000-00005C930000}"/>
    <cellStyle name="Normal 5 17 8 4 4" xfId="37725" xr:uid="{00000000-0005-0000-0000-00005D930000}"/>
    <cellStyle name="Normal 5 17 8 4 5" xfId="37726" xr:uid="{00000000-0005-0000-0000-00005E930000}"/>
    <cellStyle name="Normal 5 17 8 4 6" xfId="37727" xr:uid="{00000000-0005-0000-0000-00005F930000}"/>
    <cellStyle name="Normal 5 17 8 4 7" xfId="37728" xr:uid="{00000000-0005-0000-0000-000060930000}"/>
    <cellStyle name="Normal 5 17 8 4 8" xfId="37729" xr:uid="{00000000-0005-0000-0000-000061930000}"/>
    <cellStyle name="Normal 5 17 8 4 9" xfId="37730" xr:uid="{00000000-0005-0000-0000-000062930000}"/>
    <cellStyle name="Normal 5 17 8 5" xfId="37731" xr:uid="{00000000-0005-0000-0000-000063930000}"/>
    <cellStyle name="Normal 5 17 8 5 10" xfId="37732" xr:uid="{00000000-0005-0000-0000-000064930000}"/>
    <cellStyle name="Normal 5 17 8 5 2" xfId="37733" xr:uid="{00000000-0005-0000-0000-000065930000}"/>
    <cellStyle name="Normal 5 17 8 5 3" xfId="37734" xr:uid="{00000000-0005-0000-0000-000066930000}"/>
    <cellStyle name="Normal 5 17 8 5 4" xfId="37735" xr:uid="{00000000-0005-0000-0000-000067930000}"/>
    <cellStyle name="Normal 5 17 8 5 5" xfId="37736" xr:uid="{00000000-0005-0000-0000-000068930000}"/>
    <cellStyle name="Normal 5 17 8 5 6" xfId="37737" xr:uid="{00000000-0005-0000-0000-000069930000}"/>
    <cellStyle name="Normal 5 17 8 5 7" xfId="37738" xr:uid="{00000000-0005-0000-0000-00006A930000}"/>
    <cellStyle name="Normal 5 17 8 5 8" xfId="37739" xr:uid="{00000000-0005-0000-0000-00006B930000}"/>
    <cellStyle name="Normal 5 17 8 5 9" xfId="37740" xr:uid="{00000000-0005-0000-0000-00006C930000}"/>
    <cellStyle name="Normal 5 17 8 6" xfId="37741" xr:uid="{00000000-0005-0000-0000-00006D930000}"/>
    <cellStyle name="Normal 5 17 8 7" xfId="37742" xr:uid="{00000000-0005-0000-0000-00006E930000}"/>
    <cellStyle name="Normal 5 17 8 8" xfId="37743" xr:uid="{00000000-0005-0000-0000-00006F930000}"/>
    <cellStyle name="Normal 5 17 8 9" xfId="37744" xr:uid="{00000000-0005-0000-0000-000070930000}"/>
    <cellStyle name="Normal 5 17 9" xfId="37745" xr:uid="{00000000-0005-0000-0000-000071930000}"/>
    <cellStyle name="Normal 5 17 9 10" xfId="37746" xr:uid="{00000000-0005-0000-0000-000072930000}"/>
    <cellStyle name="Normal 5 17 9 11" xfId="37747" xr:uid="{00000000-0005-0000-0000-000073930000}"/>
    <cellStyle name="Normal 5 17 9 12" xfId="37748" xr:uid="{00000000-0005-0000-0000-000074930000}"/>
    <cellStyle name="Normal 5 17 9 13" xfId="37749" xr:uid="{00000000-0005-0000-0000-000075930000}"/>
    <cellStyle name="Normal 5 17 9 14" xfId="37750" xr:uid="{00000000-0005-0000-0000-000076930000}"/>
    <cellStyle name="Normal 5 17 9 2" xfId="37751" xr:uid="{00000000-0005-0000-0000-000077930000}"/>
    <cellStyle name="Normal 5 17 9 2 10" xfId="37752" xr:uid="{00000000-0005-0000-0000-000078930000}"/>
    <cellStyle name="Normal 5 17 9 2 2" xfId="37753" xr:uid="{00000000-0005-0000-0000-000079930000}"/>
    <cellStyle name="Normal 5 17 9 2 3" xfId="37754" xr:uid="{00000000-0005-0000-0000-00007A930000}"/>
    <cellStyle name="Normal 5 17 9 2 4" xfId="37755" xr:uid="{00000000-0005-0000-0000-00007B930000}"/>
    <cellStyle name="Normal 5 17 9 2 5" xfId="37756" xr:uid="{00000000-0005-0000-0000-00007C930000}"/>
    <cellStyle name="Normal 5 17 9 2 6" xfId="37757" xr:uid="{00000000-0005-0000-0000-00007D930000}"/>
    <cellStyle name="Normal 5 17 9 2 7" xfId="37758" xr:uid="{00000000-0005-0000-0000-00007E930000}"/>
    <cellStyle name="Normal 5 17 9 2 8" xfId="37759" xr:uid="{00000000-0005-0000-0000-00007F930000}"/>
    <cellStyle name="Normal 5 17 9 2 9" xfId="37760" xr:uid="{00000000-0005-0000-0000-000080930000}"/>
    <cellStyle name="Normal 5 17 9 3" xfId="37761" xr:uid="{00000000-0005-0000-0000-000081930000}"/>
    <cellStyle name="Normal 5 17 9 3 10" xfId="37762" xr:uid="{00000000-0005-0000-0000-000082930000}"/>
    <cellStyle name="Normal 5 17 9 3 2" xfId="37763" xr:uid="{00000000-0005-0000-0000-000083930000}"/>
    <cellStyle name="Normal 5 17 9 3 3" xfId="37764" xr:uid="{00000000-0005-0000-0000-000084930000}"/>
    <cellStyle name="Normal 5 17 9 3 4" xfId="37765" xr:uid="{00000000-0005-0000-0000-000085930000}"/>
    <cellStyle name="Normal 5 17 9 3 5" xfId="37766" xr:uid="{00000000-0005-0000-0000-000086930000}"/>
    <cellStyle name="Normal 5 17 9 3 6" xfId="37767" xr:uid="{00000000-0005-0000-0000-000087930000}"/>
    <cellStyle name="Normal 5 17 9 3 7" xfId="37768" xr:uid="{00000000-0005-0000-0000-000088930000}"/>
    <cellStyle name="Normal 5 17 9 3 8" xfId="37769" xr:uid="{00000000-0005-0000-0000-000089930000}"/>
    <cellStyle name="Normal 5 17 9 3 9" xfId="37770" xr:uid="{00000000-0005-0000-0000-00008A930000}"/>
    <cellStyle name="Normal 5 17 9 4" xfId="37771" xr:uid="{00000000-0005-0000-0000-00008B930000}"/>
    <cellStyle name="Normal 5 17 9 4 10" xfId="37772" xr:uid="{00000000-0005-0000-0000-00008C930000}"/>
    <cellStyle name="Normal 5 17 9 4 2" xfId="37773" xr:uid="{00000000-0005-0000-0000-00008D930000}"/>
    <cellStyle name="Normal 5 17 9 4 3" xfId="37774" xr:uid="{00000000-0005-0000-0000-00008E930000}"/>
    <cellStyle name="Normal 5 17 9 4 4" xfId="37775" xr:uid="{00000000-0005-0000-0000-00008F930000}"/>
    <cellStyle name="Normal 5 17 9 4 5" xfId="37776" xr:uid="{00000000-0005-0000-0000-000090930000}"/>
    <cellStyle name="Normal 5 17 9 4 6" xfId="37777" xr:uid="{00000000-0005-0000-0000-000091930000}"/>
    <cellStyle name="Normal 5 17 9 4 7" xfId="37778" xr:uid="{00000000-0005-0000-0000-000092930000}"/>
    <cellStyle name="Normal 5 17 9 4 8" xfId="37779" xr:uid="{00000000-0005-0000-0000-000093930000}"/>
    <cellStyle name="Normal 5 17 9 4 9" xfId="37780" xr:uid="{00000000-0005-0000-0000-000094930000}"/>
    <cellStyle name="Normal 5 17 9 5" xfId="37781" xr:uid="{00000000-0005-0000-0000-000095930000}"/>
    <cellStyle name="Normal 5 17 9 5 10" xfId="37782" xr:uid="{00000000-0005-0000-0000-000096930000}"/>
    <cellStyle name="Normal 5 17 9 5 2" xfId="37783" xr:uid="{00000000-0005-0000-0000-000097930000}"/>
    <cellStyle name="Normal 5 17 9 5 3" xfId="37784" xr:uid="{00000000-0005-0000-0000-000098930000}"/>
    <cellStyle name="Normal 5 17 9 5 4" xfId="37785" xr:uid="{00000000-0005-0000-0000-000099930000}"/>
    <cellStyle name="Normal 5 17 9 5 5" xfId="37786" xr:uid="{00000000-0005-0000-0000-00009A930000}"/>
    <cellStyle name="Normal 5 17 9 5 6" xfId="37787" xr:uid="{00000000-0005-0000-0000-00009B930000}"/>
    <cellStyle name="Normal 5 17 9 5 7" xfId="37788" xr:uid="{00000000-0005-0000-0000-00009C930000}"/>
    <cellStyle name="Normal 5 17 9 5 8" xfId="37789" xr:uid="{00000000-0005-0000-0000-00009D930000}"/>
    <cellStyle name="Normal 5 17 9 5 9" xfId="37790" xr:uid="{00000000-0005-0000-0000-00009E930000}"/>
    <cellStyle name="Normal 5 17 9 6" xfId="37791" xr:uid="{00000000-0005-0000-0000-00009F930000}"/>
    <cellStyle name="Normal 5 17 9 7" xfId="37792" xr:uid="{00000000-0005-0000-0000-0000A0930000}"/>
    <cellStyle name="Normal 5 17 9 8" xfId="37793" xr:uid="{00000000-0005-0000-0000-0000A1930000}"/>
    <cellStyle name="Normal 5 17 9 9" xfId="37794" xr:uid="{00000000-0005-0000-0000-0000A2930000}"/>
    <cellStyle name="Normal 5 18" xfId="37795" xr:uid="{00000000-0005-0000-0000-0000A3930000}"/>
    <cellStyle name="Normal 5 18 2" xfId="37796" xr:uid="{00000000-0005-0000-0000-0000A4930000}"/>
    <cellStyle name="Normal 5 18 2 2" xfId="37797" xr:uid="{00000000-0005-0000-0000-0000A5930000}"/>
    <cellStyle name="Normal 5 18 3" xfId="37798" xr:uid="{00000000-0005-0000-0000-0000A6930000}"/>
    <cellStyle name="Normal 5 18 4" xfId="37799" xr:uid="{00000000-0005-0000-0000-0000A7930000}"/>
    <cellStyle name="Normal 5 19" xfId="37800" xr:uid="{00000000-0005-0000-0000-0000A8930000}"/>
    <cellStyle name="Normal 5 19 2" xfId="37801" xr:uid="{00000000-0005-0000-0000-0000A9930000}"/>
    <cellStyle name="Normal 5 19 2 2" xfId="37802" xr:uid="{00000000-0005-0000-0000-0000AA930000}"/>
    <cellStyle name="Normal 5 19 3" xfId="37803" xr:uid="{00000000-0005-0000-0000-0000AB930000}"/>
    <cellStyle name="Normal 5 19 4" xfId="37804" xr:uid="{00000000-0005-0000-0000-0000AC930000}"/>
    <cellStyle name="Normal 5 2" xfId="439" xr:uid="{00000000-0005-0000-0000-0000B7010000}"/>
    <cellStyle name="Normal 5 2 10" xfId="37806" xr:uid="{00000000-0005-0000-0000-0000AE930000}"/>
    <cellStyle name="Normal 5 2 11" xfId="37807" xr:uid="{00000000-0005-0000-0000-0000AF930000}"/>
    <cellStyle name="Normal 5 2 12" xfId="37808" xr:uid="{00000000-0005-0000-0000-0000B0930000}"/>
    <cellStyle name="Normal 5 2 13" xfId="37809" xr:uid="{00000000-0005-0000-0000-0000B1930000}"/>
    <cellStyle name="Normal 5 2 14" xfId="37810" xr:uid="{00000000-0005-0000-0000-0000B2930000}"/>
    <cellStyle name="Normal 5 2 15" xfId="37811" xr:uid="{00000000-0005-0000-0000-0000B3930000}"/>
    <cellStyle name="Normal 5 2 16" xfId="37812" xr:uid="{00000000-0005-0000-0000-0000B4930000}"/>
    <cellStyle name="Normal 5 2 17" xfId="37813" xr:uid="{00000000-0005-0000-0000-0000B5930000}"/>
    <cellStyle name="Normal 5 2 18" xfId="37814" xr:uid="{00000000-0005-0000-0000-0000B6930000}"/>
    <cellStyle name="Normal 5 2 19" xfId="37815" xr:uid="{00000000-0005-0000-0000-0000B7930000}"/>
    <cellStyle name="Normal 5 2 2" xfId="37816" xr:uid="{00000000-0005-0000-0000-0000B8930000}"/>
    <cellStyle name="Normal 5 2 2 2" xfId="37817" xr:uid="{00000000-0005-0000-0000-0000B9930000}"/>
    <cellStyle name="Normal 5 2 2 2 2" xfId="37818" xr:uid="{00000000-0005-0000-0000-0000BA930000}"/>
    <cellStyle name="Normal 5 2 20" xfId="37819" xr:uid="{00000000-0005-0000-0000-0000BB930000}"/>
    <cellStyle name="Normal 5 2 21" xfId="37820" xr:uid="{00000000-0005-0000-0000-0000BC930000}"/>
    <cellStyle name="Normal 5 2 22" xfId="37821" xr:uid="{00000000-0005-0000-0000-0000BD930000}"/>
    <cellStyle name="Normal 5 2 23" xfId="37822" xr:uid="{00000000-0005-0000-0000-0000BE930000}"/>
    <cellStyle name="Normal 5 2 24" xfId="37823" xr:uid="{00000000-0005-0000-0000-0000BF930000}"/>
    <cellStyle name="Normal 5 2 25" xfId="37824" xr:uid="{00000000-0005-0000-0000-0000C0930000}"/>
    <cellStyle name="Normal 5 2 26" xfId="37825" xr:uid="{00000000-0005-0000-0000-0000C1930000}"/>
    <cellStyle name="Normal 5 2 27" xfId="37826" xr:uid="{00000000-0005-0000-0000-0000C2930000}"/>
    <cellStyle name="Normal 5 2 28" xfId="37827" xr:uid="{00000000-0005-0000-0000-0000C3930000}"/>
    <cellStyle name="Normal 5 2 29" xfId="37828" xr:uid="{00000000-0005-0000-0000-0000C4930000}"/>
    <cellStyle name="Normal 5 2 3" xfId="37829" xr:uid="{00000000-0005-0000-0000-0000C5930000}"/>
    <cellStyle name="Normal 5 2 30" xfId="37830" xr:uid="{00000000-0005-0000-0000-0000C6930000}"/>
    <cellStyle name="Normal 5 2 31" xfId="37831" xr:uid="{00000000-0005-0000-0000-0000C7930000}"/>
    <cellStyle name="Normal 5 2 32" xfId="37832" xr:uid="{00000000-0005-0000-0000-0000C8930000}"/>
    <cellStyle name="Normal 5 2 33" xfId="37833" xr:uid="{00000000-0005-0000-0000-0000C9930000}"/>
    <cellStyle name="Normal 5 2 34" xfId="37834" xr:uid="{00000000-0005-0000-0000-0000CA930000}"/>
    <cellStyle name="Normal 5 2 35" xfId="37835" xr:uid="{00000000-0005-0000-0000-0000CB930000}"/>
    <cellStyle name="Normal 5 2 36" xfId="37836" xr:uid="{00000000-0005-0000-0000-0000CC930000}"/>
    <cellStyle name="Normal 5 2 37" xfId="37837" xr:uid="{00000000-0005-0000-0000-0000CD930000}"/>
    <cellStyle name="Normal 5 2 38" xfId="37838" xr:uid="{00000000-0005-0000-0000-0000CE930000}"/>
    <cellStyle name="Normal 5 2 39" xfId="37839" xr:uid="{00000000-0005-0000-0000-0000CF930000}"/>
    <cellStyle name="Normal 5 2 4" xfId="37840" xr:uid="{00000000-0005-0000-0000-0000D0930000}"/>
    <cellStyle name="Normal 5 2 40" xfId="37841" xr:uid="{00000000-0005-0000-0000-0000D1930000}"/>
    <cellStyle name="Normal 5 2 41" xfId="37842" xr:uid="{00000000-0005-0000-0000-0000D2930000}"/>
    <cellStyle name="Normal 5 2 42" xfId="37843" xr:uid="{00000000-0005-0000-0000-0000D3930000}"/>
    <cellStyle name="Normal 5 2 43" xfId="37844" xr:uid="{00000000-0005-0000-0000-0000D4930000}"/>
    <cellStyle name="Normal 5 2 44" xfId="37845" xr:uid="{00000000-0005-0000-0000-0000D5930000}"/>
    <cellStyle name="Normal 5 2 45" xfId="37846" xr:uid="{00000000-0005-0000-0000-0000D6930000}"/>
    <cellStyle name="Normal 5 2 46" xfId="37847" xr:uid="{00000000-0005-0000-0000-0000D7930000}"/>
    <cellStyle name="Normal 5 2 47" xfId="37848" xr:uid="{00000000-0005-0000-0000-0000D8930000}"/>
    <cellStyle name="Normal 5 2 48" xfId="37849" xr:uid="{00000000-0005-0000-0000-0000D9930000}"/>
    <cellStyle name="Normal 5 2 49" xfId="37850" xr:uid="{00000000-0005-0000-0000-0000DA930000}"/>
    <cellStyle name="Normal 5 2 5" xfId="37851" xr:uid="{00000000-0005-0000-0000-0000DB930000}"/>
    <cellStyle name="Normal 5 2 50" xfId="37852" xr:uid="{00000000-0005-0000-0000-0000DC930000}"/>
    <cellStyle name="Normal 5 2 51" xfId="37853" xr:uid="{00000000-0005-0000-0000-0000DD930000}"/>
    <cellStyle name="Normal 5 2 52" xfId="37854" xr:uid="{00000000-0005-0000-0000-0000DE930000}"/>
    <cellStyle name="Normal 5 2 53" xfId="37855" xr:uid="{00000000-0005-0000-0000-0000DF930000}"/>
    <cellStyle name="Normal 5 2 54" xfId="37856" xr:uid="{00000000-0005-0000-0000-0000E0930000}"/>
    <cellStyle name="Normal 5 2 55" xfId="37857" xr:uid="{00000000-0005-0000-0000-0000E1930000}"/>
    <cellStyle name="Normal 5 2 56" xfId="37858" xr:uid="{00000000-0005-0000-0000-0000E2930000}"/>
    <cellStyle name="Normal 5 2 57" xfId="37859" xr:uid="{00000000-0005-0000-0000-0000E3930000}"/>
    <cellStyle name="Normal 5 2 58" xfId="37860" xr:uid="{00000000-0005-0000-0000-0000E4930000}"/>
    <cellStyle name="Normal 5 2 59" xfId="37861" xr:uid="{00000000-0005-0000-0000-0000E5930000}"/>
    <cellStyle name="Normal 5 2 6" xfId="37862" xr:uid="{00000000-0005-0000-0000-0000E6930000}"/>
    <cellStyle name="Normal 5 2 60" xfId="37863" xr:uid="{00000000-0005-0000-0000-0000E7930000}"/>
    <cellStyle name="Normal 5 2 61" xfId="37864" xr:uid="{00000000-0005-0000-0000-0000E8930000}"/>
    <cellStyle name="Normal 5 2 62" xfId="37865" xr:uid="{00000000-0005-0000-0000-0000E9930000}"/>
    <cellStyle name="Normal 5 2 63" xfId="37866" xr:uid="{00000000-0005-0000-0000-0000EA930000}"/>
    <cellStyle name="Normal 5 2 64" xfId="37867" xr:uid="{00000000-0005-0000-0000-0000EB930000}"/>
    <cellStyle name="Normal 5 2 65" xfId="37868" xr:uid="{00000000-0005-0000-0000-0000EC930000}"/>
    <cellStyle name="Normal 5 2 66" xfId="37869" xr:uid="{00000000-0005-0000-0000-0000ED930000}"/>
    <cellStyle name="Normal 5 2 67" xfId="37870" xr:uid="{00000000-0005-0000-0000-0000EE930000}"/>
    <cellStyle name="Normal 5 2 68" xfId="37871" xr:uid="{00000000-0005-0000-0000-0000EF930000}"/>
    <cellStyle name="Normal 5 2 69" xfId="37872" xr:uid="{00000000-0005-0000-0000-0000F0930000}"/>
    <cellStyle name="Normal 5 2 7" xfId="37873" xr:uid="{00000000-0005-0000-0000-0000F1930000}"/>
    <cellStyle name="Normal 5 2 70" xfId="37874" xr:uid="{00000000-0005-0000-0000-0000F2930000}"/>
    <cellStyle name="Normal 5 2 71" xfId="37875" xr:uid="{00000000-0005-0000-0000-0000F3930000}"/>
    <cellStyle name="Normal 5 2 72" xfId="37876" xr:uid="{00000000-0005-0000-0000-0000F4930000}"/>
    <cellStyle name="Normal 5 2 73" xfId="37877" xr:uid="{00000000-0005-0000-0000-0000F5930000}"/>
    <cellStyle name="Normal 5 2 74" xfId="37878" xr:uid="{00000000-0005-0000-0000-0000F6930000}"/>
    <cellStyle name="Normal 5 2 75" xfId="37879" xr:uid="{00000000-0005-0000-0000-0000F7930000}"/>
    <cellStyle name="Normal 5 2 76" xfId="37880" xr:uid="{00000000-0005-0000-0000-0000F8930000}"/>
    <cellStyle name="Normal 5 2 77" xfId="37881" xr:uid="{00000000-0005-0000-0000-0000F9930000}"/>
    <cellStyle name="Normal 5 2 78" xfId="37882" xr:uid="{00000000-0005-0000-0000-0000FA930000}"/>
    <cellStyle name="Normal 5 2 79" xfId="37883" xr:uid="{00000000-0005-0000-0000-0000FB930000}"/>
    <cellStyle name="Normal 5 2 8" xfId="37884" xr:uid="{00000000-0005-0000-0000-0000FC930000}"/>
    <cellStyle name="Normal 5 2 80" xfId="37885" xr:uid="{00000000-0005-0000-0000-0000FD930000}"/>
    <cellStyle name="Normal 5 2 81" xfId="37886" xr:uid="{00000000-0005-0000-0000-0000FE930000}"/>
    <cellStyle name="Normal 5 2 82" xfId="37887" xr:uid="{00000000-0005-0000-0000-0000FF930000}"/>
    <cellStyle name="Normal 5 2 83" xfId="37805" xr:uid="{00000000-0005-0000-0000-0000AD930000}"/>
    <cellStyle name="Normal 5 2 9" xfId="37888" xr:uid="{00000000-0005-0000-0000-000000940000}"/>
    <cellStyle name="Normal 5 2_Enlaces" xfId="37889" xr:uid="{00000000-0005-0000-0000-000001940000}"/>
    <cellStyle name="Normal 5 20" xfId="37890" xr:uid="{00000000-0005-0000-0000-000002940000}"/>
    <cellStyle name="Normal 5 20 2" xfId="37891" xr:uid="{00000000-0005-0000-0000-000003940000}"/>
    <cellStyle name="Normal 5 20 2 2" xfId="37892" xr:uid="{00000000-0005-0000-0000-000004940000}"/>
    <cellStyle name="Normal 5 20 3" xfId="37893" xr:uid="{00000000-0005-0000-0000-000005940000}"/>
    <cellStyle name="Normal 5 20 4" xfId="37894" xr:uid="{00000000-0005-0000-0000-000006940000}"/>
    <cellStyle name="Normal 5 21" xfId="37895" xr:uid="{00000000-0005-0000-0000-000007940000}"/>
    <cellStyle name="Normal 5 21 2" xfId="37896" xr:uid="{00000000-0005-0000-0000-000008940000}"/>
    <cellStyle name="Normal 5 21 2 2" xfId="37897" xr:uid="{00000000-0005-0000-0000-000009940000}"/>
    <cellStyle name="Normal 5 21 3" xfId="37898" xr:uid="{00000000-0005-0000-0000-00000A940000}"/>
    <cellStyle name="Normal 5 21 4" xfId="37899" xr:uid="{00000000-0005-0000-0000-00000B940000}"/>
    <cellStyle name="Normal 5 22" xfId="37900" xr:uid="{00000000-0005-0000-0000-00000C940000}"/>
    <cellStyle name="Normal 5 22 2" xfId="37901" xr:uid="{00000000-0005-0000-0000-00000D940000}"/>
    <cellStyle name="Normal 5 22 3" xfId="37902" xr:uid="{00000000-0005-0000-0000-00000E940000}"/>
    <cellStyle name="Normal 5 23" xfId="37903" xr:uid="{00000000-0005-0000-0000-00000F940000}"/>
    <cellStyle name="Normal 5 24" xfId="37904" xr:uid="{00000000-0005-0000-0000-000010940000}"/>
    <cellStyle name="Normal 5 25" xfId="37905" xr:uid="{00000000-0005-0000-0000-000011940000}"/>
    <cellStyle name="Normal 5 26" xfId="37906" xr:uid="{00000000-0005-0000-0000-000012940000}"/>
    <cellStyle name="Normal 5 27" xfId="37907" xr:uid="{00000000-0005-0000-0000-000013940000}"/>
    <cellStyle name="Normal 5 28" xfId="37908" xr:uid="{00000000-0005-0000-0000-000014940000}"/>
    <cellStyle name="Normal 5 29" xfId="37909" xr:uid="{00000000-0005-0000-0000-000015940000}"/>
    <cellStyle name="Normal 5 3" xfId="549" xr:uid="{00000000-0005-0000-0000-000025020000}"/>
    <cellStyle name="Normal 5 3 10" xfId="37911" xr:uid="{00000000-0005-0000-0000-000017940000}"/>
    <cellStyle name="Normal 5 3 11" xfId="37912" xr:uid="{00000000-0005-0000-0000-000018940000}"/>
    <cellStyle name="Normal 5 3 12" xfId="37913" xr:uid="{00000000-0005-0000-0000-000019940000}"/>
    <cellStyle name="Normal 5 3 13" xfId="37910" xr:uid="{00000000-0005-0000-0000-000016940000}"/>
    <cellStyle name="Normal 5 3 2" xfId="37914" xr:uid="{00000000-0005-0000-0000-00001A940000}"/>
    <cellStyle name="Normal 5 3 3" xfId="37915" xr:uid="{00000000-0005-0000-0000-00001B940000}"/>
    <cellStyle name="Normal 5 3 4" xfId="37916" xr:uid="{00000000-0005-0000-0000-00001C940000}"/>
    <cellStyle name="Normal 5 3 4 2" xfId="37917" xr:uid="{00000000-0005-0000-0000-00001D940000}"/>
    <cellStyle name="Normal 5 3 4 2 2" xfId="37918" xr:uid="{00000000-0005-0000-0000-00001E940000}"/>
    <cellStyle name="Normal 5 3 4 3" xfId="37919" xr:uid="{00000000-0005-0000-0000-00001F940000}"/>
    <cellStyle name="Normal 5 3 5" xfId="37920" xr:uid="{00000000-0005-0000-0000-000020940000}"/>
    <cellStyle name="Normal 5 3 6" xfId="37921" xr:uid="{00000000-0005-0000-0000-000021940000}"/>
    <cellStyle name="Normal 5 3 7" xfId="37922" xr:uid="{00000000-0005-0000-0000-000022940000}"/>
    <cellStyle name="Normal 5 3 7 2" xfId="37923" xr:uid="{00000000-0005-0000-0000-000023940000}"/>
    <cellStyle name="Normal 5 3 8" xfId="37924" xr:uid="{00000000-0005-0000-0000-000024940000}"/>
    <cellStyle name="Normal 5 3 9" xfId="37925" xr:uid="{00000000-0005-0000-0000-000025940000}"/>
    <cellStyle name="Normal 5 3_Implem" xfId="37926" xr:uid="{00000000-0005-0000-0000-000026940000}"/>
    <cellStyle name="Normal 5 30" xfId="37927" xr:uid="{00000000-0005-0000-0000-000027940000}"/>
    <cellStyle name="Normal 5 31" xfId="37928" xr:uid="{00000000-0005-0000-0000-000028940000}"/>
    <cellStyle name="Normal 5 32" xfId="37929" xr:uid="{00000000-0005-0000-0000-000029940000}"/>
    <cellStyle name="Normal 5 33" xfId="37930" xr:uid="{00000000-0005-0000-0000-00002A940000}"/>
    <cellStyle name="Normal 5 34" xfId="37931" xr:uid="{00000000-0005-0000-0000-00002B940000}"/>
    <cellStyle name="Normal 5 35" xfId="37932" xr:uid="{00000000-0005-0000-0000-00002C940000}"/>
    <cellStyle name="Normal 5 36" xfId="37933" xr:uid="{00000000-0005-0000-0000-00002D940000}"/>
    <cellStyle name="Normal 5 37" xfId="37934" xr:uid="{00000000-0005-0000-0000-00002E940000}"/>
    <cellStyle name="Normal 5 38" xfId="37935" xr:uid="{00000000-0005-0000-0000-00002F940000}"/>
    <cellStyle name="Normal 5 39" xfId="37936" xr:uid="{00000000-0005-0000-0000-000030940000}"/>
    <cellStyle name="Normal 5 4" xfId="37937" xr:uid="{00000000-0005-0000-0000-000031940000}"/>
    <cellStyle name="Normal 5 4 2" xfId="37938" xr:uid="{00000000-0005-0000-0000-000032940000}"/>
    <cellStyle name="Normal 5 4 2 2" xfId="37939" xr:uid="{00000000-0005-0000-0000-000033940000}"/>
    <cellStyle name="Normal 5 4 3" xfId="37940" xr:uid="{00000000-0005-0000-0000-000034940000}"/>
    <cellStyle name="Normal 5 4 4" xfId="37941" xr:uid="{00000000-0005-0000-0000-000035940000}"/>
    <cellStyle name="Normal 5 40" xfId="37942" xr:uid="{00000000-0005-0000-0000-000036940000}"/>
    <cellStyle name="Normal 5 41" xfId="37943" xr:uid="{00000000-0005-0000-0000-000037940000}"/>
    <cellStyle name="Normal 5 42" xfId="37944" xr:uid="{00000000-0005-0000-0000-000038940000}"/>
    <cellStyle name="Normal 5 43" xfId="37945" xr:uid="{00000000-0005-0000-0000-000039940000}"/>
    <cellStyle name="Normal 5 44" xfId="37946" xr:uid="{00000000-0005-0000-0000-00003A940000}"/>
    <cellStyle name="Normal 5 45" xfId="37947" xr:uid="{00000000-0005-0000-0000-00003B940000}"/>
    <cellStyle name="Normal 5 46" xfId="37948" xr:uid="{00000000-0005-0000-0000-00003C940000}"/>
    <cellStyle name="Normal 5 47" xfId="37949" xr:uid="{00000000-0005-0000-0000-00003D940000}"/>
    <cellStyle name="Normal 5 48" xfId="37950" xr:uid="{00000000-0005-0000-0000-00003E940000}"/>
    <cellStyle name="Normal 5 49" xfId="37951" xr:uid="{00000000-0005-0000-0000-00003F940000}"/>
    <cellStyle name="Normal 5 5" xfId="37952" xr:uid="{00000000-0005-0000-0000-000040940000}"/>
    <cellStyle name="Normal 5 5 2" xfId="37953" xr:uid="{00000000-0005-0000-0000-000041940000}"/>
    <cellStyle name="Normal 5 5 2 2" xfId="37954" xr:uid="{00000000-0005-0000-0000-000042940000}"/>
    <cellStyle name="Normal 5 5 3" xfId="37955" xr:uid="{00000000-0005-0000-0000-000043940000}"/>
    <cellStyle name="Normal 5 5 4" xfId="37956" xr:uid="{00000000-0005-0000-0000-000044940000}"/>
    <cellStyle name="Normal 5 50" xfId="37957" xr:uid="{00000000-0005-0000-0000-000045940000}"/>
    <cellStyle name="Normal 5 51" xfId="37958" xr:uid="{00000000-0005-0000-0000-000046940000}"/>
    <cellStyle name="Normal 5 52" xfId="37959" xr:uid="{00000000-0005-0000-0000-000047940000}"/>
    <cellStyle name="Normal 5 53" xfId="37960" xr:uid="{00000000-0005-0000-0000-000048940000}"/>
    <cellStyle name="Normal 5 54" xfId="37961" xr:uid="{00000000-0005-0000-0000-000049940000}"/>
    <cellStyle name="Normal 5 55" xfId="37962" xr:uid="{00000000-0005-0000-0000-00004A940000}"/>
    <cellStyle name="Normal 5 56" xfId="37963" xr:uid="{00000000-0005-0000-0000-00004B940000}"/>
    <cellStyle name="Normal 5 57" xfId="37964" xr:uid="{00000000-0005-0000-0000-00004C940000}"/>
    <cellStyle name="Normal 5 58" xfId="37965" xr:uid="{00000000-0005-0000-0000-00004D940000}"/>
    <cellStyle name="Normal 5 59" xfId="37966" xr:uid="{00000000-0005-0000-0000-00004E940000}"/>
    <cellStyle name="Normal 5 6" xfId="37967" xr:uid="{00000000-0005-0000-0000-00004F940000}"/>
    <cellStyle name="Normal 5 6 2" xfId="37968" xr:uid="{00000000-0005-0000-0000-000050940000}"/>
    <cellStyle name="Normal 5 6 2 2" xfId="37969" xr:uid="{00000000-0005-0000-0000-000051940000}"/>
    <cellStyle name="Normal 5 6 3" xfId="37970" xr:uid="{00000000-0005-0000-0000-000052940000}"/>
    <cellStyle name="Normal 5 6 4" xfId="37971" xr:uid="{00000000-0005-0000-0000-000053940000}"/>
    <cellStyle name="Normal 5 60" xfId="37972" xr:uid="{00000000-0005-0000-0000-000054940000}"/>
    <cellStyle name="Normal 5 7" xfId="37973" xr:uid="{00000000-0005-0000-0000-000055940000}"/>
    <cellStyle name="Normal 5 7 2" xfId="37974" xr:uid="{00000000-0005-0000-0000-000056940000}"/>
    <cellStyle name="Normal 5 7 2 2" xfId="37975" xr:uid="{00000000-0005-0000-0000-000057940000}"/>
    <cellStyle name="Normal 5 7 3" xfId="37976" xr:uid="{00000000-0005-0000-0000-000058940000}"/>
    <cellStyle name="Normal 5 7 4" xfId="37977" xr:uid="{00000000-0005-0000-0000-000059940000}"/>
    <cellStyle name="Normal 5 8" xfId="37978" xr:uid="{00000000-0005-0000-0000-00005A940000}"/>
    <cellStyle name="Normal 5 8 2" xfId="37979" xr:uid="{00000000-0005-0000-0000-00005B940000}"/>
    <cellStyle name="Normal 5 8 2 2" xfId="37980" xr:uid="{00000000-0005-0000-0000-00005C940000}"/>
    <cellStyle name="Normal 5 8 3" xfId="37981" xr:uid="{00000000-0005-0000-0000-00005D940000}"/>
    <cellStyle name="Normal 5 8 4" xfId="37982" xr:uid="{00000000-0005-0000-0000-00005E940000}"/>
    <cellStyle name="Normal 5 9" xfId="37983" xr:uid="{00000000-0005-0000-0000-00005F940000}"/>
    <cellStyle name="Normal 5 9 2" xfId="37984" xr:uid="{00000000-0005-0000-0000-000060940000}"/>
    <cellStyle name="Normal 5 9 2 2" xfId="37985" xr:uid="{00000000-0005-0000-0000-000061940000}"/>
    <cellStyle name="Normal 5 9 3" xfId="37986" xr:uid="{00000000-0005-0000-0000-000062940000}"/>
    <cellStyle name="Normal 5 9 4" xfId="37987" xr:uid="{00000000-0005-0000-0000-000063940000}"/>
    <cellStyle name="Normal 50" xfId="37988" xr:uid="{00000000-0005-0000-0000-000064940000}"/>
    <cellStyle name="Normal 50 10" xfId="37989" xr:uid="{00000000-0005-0000-0000-000065940000}"/>
    <cellStyle name="Normal 50 11" xfId="37990" xr:uid="{00000000-0005-0000-0000-000066940000}"/>
    <cellStyle name="Normal 50 12" xfId="37991" xr:uid="{00000000-0005-0000-0000-000067940000}"/>
    <cellStyle name="Normal 50 13" xfId="37992" xr:uid="{00000000-0005-0000-0000-000068940000}"/>
    <cellStyle name="Normal 50 14" xfId="37993" xr:uid="{00000000-0005-0000-0000-000069940000}"/>
    <cellStyle name="Normal 50 15" xfId="37994" xr:uid="{00000000-0005-0000-0000-00006A940000}"/>
    <cellStyle name="Normal 50 16" xfId="37995" xr:uid="{00000000-0005-0000-0000-00006B940000}"/>
    <cellStyle name="Normal 50 17" xfId="37996" xr:uid="{00000000-0005-0000-0000-00006C940000}"/>
    <cellStyle name="Normal 50 18" xfId="37997" xr:uid="{00000000-0005-0000-0000-00006D940000}"/>
    <cellStyle name="Normal 50 19" xfId="37998" xr:uid="{00000000-0005-0000-0000-00006E940000}"/>
    <cellStyle name="Normal 50 2" xfId="37999" xr:uid="{00000000-0005-0000-0000-00006F940000}"/>
    <cellStyle name="Normal 50 2 2" xfId="38000" xr:uid="{00000000-0005-0000-0000-000070940000}"/>
    <cellStyle name="Normal 50 20" xfId="38001" xr:uid="{00000000-0005-0000-0000-000071940000}"/>
    <cellStyle name="Normal 50 21" xfId="38002" xr:uid="{00000000-0005-0000-0000-000072940000}"/>
    <cellStyle name="Normal 50 22" xfId="38003" xr:uid="{00000000-0005-0000-0000-000073940000}"/>
    <cellStyle name="Normal 50 23" xfId="38004" xr:uid="{00000000-0005-0000-0000-000074940000}"/>
    <cellStyle name="Normal 50 24" xfId="38005" xr:uid="{00000000-0005-0000-0000-000075940000}"/>
    <cellStyle name="Normal 50 25" xfId="38006" xr:uid="{00000000-0005-0000-0000-000076940000}"/>
    <cellStyle name="Normal 50 26" xfId="38007" xr:uid="{00000000-0005-0000-0000-000077940000}"/>
    <cellStyle name="Normal 50 3" xfId="38008" xr:uid="{00000000-0005-0000-0000-000078940000}"/>
    <cellStyle name="Normal 50 3 2" xfId="38009" xr:uid="{00000000-0005-0000-0000-000079940000}"/>
    <cellStyle name="Normal 50 4" xfId="38010" xr:uid="{00000000-0005-0000-0000-00007A940000}"/>
    <cellStyle name="Normal 50 4 2" xfId="38011" xr:uid="{00000000-0005-0000-0000-00007B940000}"/>
    <cellStyle name="Normal 50 5" xfId="38012" xr:uid="{00000000-0005-0000-0000-00007C940000}"/>
    <cellStyle name="Normal 50 5 2" xfId="38013" xr:uid="{00000000-0005-0000-0000-00007D940000}"/>
    <cellStyle name="Normal 50 6" xfId="38014" xr:uid="{00000000-0005-0000-0000-00007E940000}"/>
    <cellStyle name="Normal 50 7" xfId="38015" xr:uid="{00000000-0005-0000-0000-00007F940000}"/>
    <cellStyle name="Normal 50 8" xfId="38016" xr:uid="{00000000-0005-0000-0000-000080940000}"/>
    <cellStyle name="Normal 50 9" xfId="38017" xr:uid="{00000000-0005-0000-0000-000081940000}"/>
    <cellStyle name="Normal 51" xfId="38018" xr:uid="{00000000-0005-0000-0000-000082940000}"/>
    <cellStyle name="Normal 52" xfId="38019" xr:uid="{00000000-0005-0000-0000-000083940000}"/>
    <cellStyle name="Normal 53" xfId="38020" xr:uid="{00000000-0005-0000-0000-000084940000}"/>
    <cellStyle name="Normal 54" xfId="38021" xr:uid="{00000000-0005-0000-0000-000085940000}"/>
    <cellStyle name="Normal 55" xfId="38022" xr:uid="{00000000-0005-0000-0000-000086940000}"/>
    <cellStyle name="Normal 56" xfId="38023" xr:uid="{00000000-0005-0000-0000-000087940000}"/>
    <cellStyle name="Normal 57" xfId="38024" xr:uid="{00000000-0005-0000-0000-000088940000}"/>
    <cellStyle name="Normal 58" xfId="38025" xr:uid="{00000000-0005-0000-0000-000089940000}"/>
    <cellStyle name="Normal 59" xfId="38026" xr:uid="{00000000-0005-0000-0000-00008A940000}"/>
    <cellStyle name="Normal 6" xfId="440" xr:uid="{00000000-0005-0000-0000-0000B8010000}"/>
    <cellStyle name="Normal 6 10" xfId="38027" xr:uid="{00000000-0005-0000-0000-00008B940000}"/>
    <cellStyle name="Normal 6 11" xfId="38028" xr:uid="{00000000-0005-0000-0000-00008C940000}"/>
    <cellStyle name="Normal 6 12" xfId="38029" xr:uid="{00000000-0005-0000-0000-00008D940000}"/>
    <cellStyle name="Normal 6 13" xfId="38030" xr:uid="{00000000-0005-0000-0000-00008E940000}"/>
    <cellStyle name="Normal 6 14" xfId="38031" xr:uid="{00000000-0005-0000-0000-00008F940000}"/>
    <cellStyle name="Normal 6 15" xfId="38032" xr:uid="{00000000-0005-0000-0000-000090940000}"/>
    <cellStyle name="Normal 6 16" xfId="38033" xr:uid="{00000000-0005-0000-0000-000091940000}"/>
    <cellStyle name="Normal 6 17" xfId="38034" xr:uid="{00000000-0005-0000-0000-000092940000}"/>
    <cellStyle name="Normal 6 18" xfId="38035" xr:uid="{00000000-0005-0000-0000-000093940000}"/>
    <cellStyle name="Normal 6 19" xfId="38036" xr:uid="{00000000-0005-0000-0000-000094940000}"/>
    <cellStyle name="Normal 6 2" xfId="38037" xr:uid="{00000000-0005-0000-0000-000095940000}"/>
    <cellStyle name="Normal 6 2 10" xfId="38038" xr:uid="{00000000-0005-0000-0000-000096940000}"/>
    <cellStyle name="Normal 6 2 11" xfId="38039" xr:uid="{00000000-0005-0000-0000-000097940000}"/>
    <cellStyle name="Normal 6 2 12" xfId="38040" xr:uid="{00000000-0005-0000-0000-000098940000}"/>
    <cellStyle name="Normal 6 2 13" xfId="38041" xr:uid="{00000000-0005-0000-0000-000099940000}"/>
    <cellStyle name="Normal 6 2 14" xfId="38042" xr:uid="{00000000-0005-0000-0000-00009A940000}"/>
    <cellStyle name="Normal 6 2 15" xfId="38043" xr:uid="{00000000-0005-0000-0000-00009B940000}"/>
    <cellStyle name="Normal 6 2 16" xfId="38044" xr:uid="{00000000-0005-0000-0000-00009C940000}"/>
    <cellStyle name="Normal 6 2 17" xfId="38045" xr:uid="{00000000-0005-0000-0000-00009D940000}"/>
    <cellStyle name="Normal 6 2 18" xfId="38046" xr:uid="{00000000-0005-0000-0000-00009E940000}"/>
    <cellStyle name="Normal 6 2 19" xfId="38047" xr:uid="{00000000-0005-0000-0000-00009F940000}"/>
    <cellStyle name="Normal 6 2 2" xfId="38048" xr:uid="{00000000-0005-0000-0000-0000A0940000}"/>
    <cellStyle name="Normal 6 2 20" xfId="38049" xr:uid="{00000000-0005-0000-0000-0000A1940000}"/>
    <cellStyle name="Normal 6 2 21" xfId="38050" xr:uid="{00000000-0005-0000-0000-0000A2940000}"/>
    <cellStyle name="Normal 6 2 22" xfId="38051" xr:uid="{00000000-0005-0000-0000-0000A3940000}"/>
    <cellStyle name="Normal 6 2 23" xfId="38052" xr:uid="{00000000-0005-0000-0000-0000A4940000}"/>
    <cellStyle name="Normal 6 2 24" xfId="38053" xr:uid="{00000000-0005-0000-0000-0000A5940000}"/>
    <cellStyle name="Normal 6 2 25" xfId="38054" xr:uid="{00000000-0005-0000-0000-0000A6940000}"/>
    <cellStyle name="Normal 6 2 26" xfId="38055" xr:uid="{00000000-0005-0000-0000-0000A7940000}"/>
    <cellStyle name="Normal 6 2 27" xfId="38056" xr:uid="{00000000-0005-0000-0000-0000A8940000}"/>
    <cellStyle name="Normal 6 2 28" xfId="38057" xr:uid="{00000000-0005-0000-0000-0000A9940000}"/>
    <cellStyle name="Normal 6 2 29" xfId="38058" xr:uid="{00000000-0005-0000-0000-0000AA940000}"/>
    <cellStyle name="Normal 6 2 3" xfId="38059" xr:uid="{00000000-0005-0000-0000-0000AB940000}"/>
    <cellStyle name="Normal 6 2 30" xfId="38060" xr:uid="{00000000-0005-0000-0000-0000AC940000}"/>
    <cellStyle name="Normal 6 2 31" xfId="38061" xr:uid="{00000000-0005-0000-0000-0000AD940000}"/>
    <cellStyle name="Normal 6 2 32" xfId="38062" xr:uid="{00000000-0005-0000-0000-0000AE940000}"/>
    <cellStyle name="Normal 6 2 33" xfId="38063" xr:uid="{00000000-0005-0000-0000-0000AF940000}"/>
    <cellStyle name="Normal 6 2 34" xfId="38064" xr:uid="{00000000-0005-0000-0000-0000B0940000}"/>
    <cellStyle name="Normal 6 2 35" xfId="38065" xr:uid="{00000000-0005-0000-0000-0000B1940000}"/>
    <cellStyle name="Normal 6 2 36" xfId="38066" xr:uid="{00000000-0005-0000-0000-0000B2940000}"/>
    <cellStyle name="Normal 6 2 37" xfId="38067" xr:uid="{00000000-0005-0000-0000-0000B3940000}"/>
    <cellStyle name="Normal 6 2 38" xfId="38068" xr:uid="{00000000-0005-0000-0000-0000B4940000}"/>
    <cellStyle name="Normal 6 2 39" xfId="38069" xr:uid="{00000000-0005-0000-0000-0000B5940000}"/>
    <cellStyle name="Normal 6 2 4" xfId="38070" xr:uid="{00000000-0005-0000-0000-0000B6940000}"/>
    <cellStyle name="Normal 6 2 40" xfId="38071" xr:uid="{00000000-0005-0000-0000-0000B7940000}"/>
    <cellStyle name="Normal 6 2 41" xfId="38072" xr:uid="{00000000-0005-0000-0000-0000B8940000}"/>
    <cellStyle name="Normal 6 2 42" xfId="38073" xr:uid="{00000000-0005-0000-0000-0000B9940000}"/>
    <cellStyle name="Normal 6 2 43" xfId="38074" xr:uid="{00000000-0005-0000-0000-0000BA940000}"/>
    <cellStyle name="Normal 6 2 44" xfId="38075" xr:uid="{00000000-0005-0000-0000-0000BB940000}"/>
    <cellStyle name="Normal 6 2 45" xfId="38076" xr:uid="{00000000-0005-0000-0000-0000BC940000}"/>
    <cellStyle name="Normal 6 2 46" xfId="38077" xr:uid="{00000000-0005-0000-0000-0000BD940000}"/>
    <cellStyle name="Normal 6 2 47" xfId="38078" xr:uid="{00000000-0005-0000-0000-0000BE940000}"/>
    <cellStyle name="Normal 6 2 48" xfId="38079" xr:uid="{00000000-0005-0000-0000-0000BF940000}"/>
    <cellStyle name="Normal 6 2 49" xfId="38080" xr:uid="{00000000-0005-0000-0000-0000C0940000}"/>
    <cellStyle name="Normal 6 2 5" xfId="38081" xr:uid="{00000000-0005-0000-0000-0000C1940000}"/>
    <cellStyle name="Normal 6 2 50" xfId="38082" xr:uid="{00000000-0005-0000-0000-0000C2940000}"/>
    <cellStyle name="Normal 6 2 51" xfId="38083" xr:uid="{00000000-0005-0000-0000-0000C3940000}"/>
    <cellStyle name="Normal 6 2 52" xfId="38084" xr:uid="{00000000-0005-0000-0000-0000C4940000}"/>
    <cellStyle name="Normal 6 2 53" xfId="38085" xr:uid="{00000000-0005-0000-0000-0000C5940000}"/>
    <cellStyle name="Normal 6 2 54" xfId="38086" xr:uid="{00000000-0005-0000-0000-0000C6940000}"/>
    <cellStyle name="Normal 6 2 55" xfId="38087" xr:uid="{00000000-0005-0000-0000-0000C7940000}"/>
    <cellStyle name="Normal 6 2 56" xfId="38088" xr:uid="{00000000-0005-0000-0000-0000C8940000}"/>
    <cellStyle name="Normal 6 2 57" xfId="38089" xr:uid="{00000000-0005-0000-0000-0000C9940000}"/>
    <cellStyle name="Normal 6 2 58" xfId="38090" xr:uid="{00000000-0005-0000-0000-0000CA940000}"/>
    <cellStyle name="Normal 6 2 59" xfId="38091" xr:uid="{00000000-0005-0000-0000-0000CB940000}"/>
    <cellStyle name="Normal 6 2 6" xfId="38092" xr:uid="{00000000-0005-0000-0000-0000CC940000}"/>
    <cellStyle name="Normal 6 2 60" xfId="38093" xr:uid="{00000000-0005-0000-0000-0000CD940000}"/>
    <cellStyle name="Normal 6 2 61" xfId="38094" xr:uid="{00000000-0005-0000-0000-0000CE940000}"/>
    <cellStyle name="Normal 6 2 62" xfId="38095" xr:uid="{00000000-0005-0000-0000-0000CF940000}"/>
    <cellStyle name="Normal 6 2 63" xfId="38096" xr:uid="{00000000-0005-0000-0000-0000D0940000}"/>
    <cellStyle name="Normal 6 2 64" xfId="38097" xr:uid="{00000000-0005-0000-0000-0000D1940000}"/>
    <cellStyle name="Normal 6 2 65" xfId="38098" xr:uid="{00000000-0005-0000-0000-0000D2940000}"/>
    <cellStyle name="Normal 6 2 66" xfId="38099" xr:uid="{00000000-0005-0000-0000-0000D3940000}"/>
    <cellStyle name="Normal 6 2 67" xfId="38100" xr:uid="{00000000-0005-0000-0000-0000D4940000}"/>
    <cellStyle name="Normal 6 2 68" xfId="38101" xr:uid="{00000000-0005-0000-0000-0000D5940000}"/>
    <cellStyle name="Normal 6 2 69" xfId="38102" xr:uid="{00000000-0005-0000-0000-0000D6940000}"/>
    <cellStyle name="Normal 6 2 7" xfId="38103" xr:uid="{00000000-0005-0000-0000-0000D7940000}"/>
    <cellStyle name="Normal 6 2 70" xfId="38104" xr:uid="{00000000-0005-0000-0000-0000D8940000}"/>
    <cellStyle name="Normal 6 2 71" xfId="38105" xr:uid="{00000000-0005-0000-0000-0000D9940000}"/>
    <cellStyle name="Normal 6 2 72" xfId="38106" xr:uid="{00000000-0005-0000-0000-0000DA940000}"/>
    <cellStyle name="Normal 6 2 73" xfId="38107" xr:uid="{00000000-0005-0000-0000-0000DB940000}"/>
    <cellStyle name="Normal 6 2 74" xfId="38108" xr:uid="{00000000-0005-0000-0000-0000DC940000}"/>
    <cellStyle name="Normal 6 2 75" xfId="38109" xr:uid="{00000000-0005-0000-0000-0000DD940000}"/>
    <cellStyle name="Normal 6 2 76" xfId="38110" xr:uid="{00000000-0005-0000-0000-0000DE940000}"/>
    <cellStyle name="Normal 6 2 77" xfId="38111" xr:uid="{00000000-0005-0000-0000-0000DF940000}"/>
    <cellStyle name="Normal 6 2 78" xfId="38112" xr:uid="{00000000-0005-0000-0000-0000E0940000}"/>
    <cellStyle name="Normal 6 2 79" xfId="38113" xr:uid="{00000000-0005-0000-0000-0000E1940000}"/>
    <cellStyle name="Normal 6 2 8" xfId="38114" xr:uid="{00000000-0005-0000-0000-0000E2940000}"/>
    <cellStyle name="Normal 6 2 80" xfId="38115" xr:uid="{00000000-0005-0000-0000-0000E3940000}"/>
    <cellStyle name="Normal 6 2 81" xfId="38116" xr:uid="{00000000-0005-0000-0000-0000E4940000}"/>
    <cellStyle name="Normal 6 2 82" xfId="38117" xr:uid="{00000000-0005-0000-0000-0000E5940000}"/>
    <cellStyle name="Normal 6 2 83" xfId="38118" xr:uid="{00000000-0005-0000-0000-0000E6940000}"/>
    <cellStyle name="Normal 6 2 84" xfId="38119" xr:uid="{00000000-0005-0000-0000-0000E7940000}"/>
    <cellStyle name="Normal 6 2 85" xfId="38120" xr:uid="{00000000-0005-0000-0000-0000E8940000}"/>
    <cellStyle name="Normal 6 2 86" xfId="38121" xr:uid="{00000000-0005-0000-0000-0000E9940000}"/>
    <cellStyle name="Normal 6 2 9" xfId="38122" xr:uid="{00000000-0005-0000-0000-0000EA940000}"/>
    <cellStyle name="Normal 6 2_Xa Parametrización de Usuarios" xfId="38123" xr:uid="{00000000-0005-0000-0000-0000EB940000}"/>
    <cellStyle name="Normal 6 20" xfId="38124" xr:uid="{00000000-0005-0000-0000-0000EC940000}"/>
    <cellStyle name="Normal 6 21" xfId="38125" xr:uid="{00000000-0005-0000-0000-0000ED940000}"/>
    <cellStyle name="Normal 6 22" xfId="38126" xr:uid="{00000000-0005-0000-0000-0000EE940000}"/>
    <cellStyle name="Normal 6 23" xfId="38127" xr:uid="{00000000-0005-0000-0000-0000EF940000}"/>
    <cellStyle name="Normal 6 24" xfId="38128" xr:uid="{00000000-0005-0000-0000-0000F0940000}"/>
    <cellStyle name="Normal 6 25" xfId="38129" xr:uid="{00000000-0005-0000-0000-0000F1940000}"/>
    <cellStyle name="Normal 6 26" xfId="38130" xr:uid="{00000000-0005-0000-0000-0000F2940000}"/>
    <cellStyle name="Normal 6 27" xfId="38131" xr:uid="{00000000-0005-0000-0000-0000F3940000}"/>
    <cellStyle name="Normal 6 28" xfId="38132" xr:uid="{00000000-0005-0000-0000-0000F4940000}"/>
    <cellStyle name="Normal 6 29" xfId="38133" xr:uid="{00000000-0005-0000-0000-0000F5940000}"/>
    <cellStyle name="Normal 6 3" xfId="38134" xr:uid="{00000000-0005-0000-0000-0000F6940000}"/>
    <cellStyle name="Normal 6 3 10" xfId="38135" xr:uid="{00000000-0005-0000-0000-0000F7940000}"/>
    <cellStyle name="Normal 6 3 11" xfId="38136" xr:uid="{00000000-0005-0000-0000-0000F8940000}"/>
    <cellStyle name="Normal 6 3 12" xfId="38137" xr:uid="{00000000-0005-0000-0000-0000F9940000}"/>
    <cellStyle name="Normal 6 3 2" xfId="38138" xr:uid="{00000000-0005-0000-0000-0000FA940000}"/>
    <cellStyle name="Normal 6 3 3" xfId="38139" xr:uid="{00000000-0005-0000-0000-0000FB940000}"/>
    <cellStyle name="Normal 6 3 4" xfId="38140" xr:uid="{00000000-0005-0000-0000-0000FC940000}"/>
    <cellStyle name="Normal 6 3 5" xfId="38141" xr:uid="{00000000-0005-0000-0000-0000FD940000}"/>
    <cellStyle name="Normal 6 3 6" xfId="38142" xr:uid="{00000000-0005-0000-0000-0000FE940000}"/>
    <cellStyle name="Normal 6 3 7" xfId="38143" xr:uid="{00000000-0005-0000-0000-0000FF940000}"/>
    <cellStyle name="Normal 6 3 8" xfId="38144" xr:uid="{00000000-0005-0000-0000-000000950000}"/>
    <cellStyle name="Normal 6 3 9" xfId="38145" xr:uid="{00000000-0005-0000-0000-000001950000}"/>
    <cellStyle name="Normal 6 3_Xa Parametrización de Usuarios" xfId="38146" xr:uid="{00000000-0005-0000-0000-000002950000}"/>
    <cellStyle name="Normal 6 30" xfId="39521" xr:uid="{00000000-0005-0000-0000-0000619A0000}"/>
    <cellStyle name="Normal 6 4" xfId="38147" xr:uid="{00000000-0005-0000-0000-000003950000}"/>
    <cellStyle name="Normal 6 5" xfId="38148" xr:uid="{00000000-0005-0000-0000-000004950000}"/>
    <cellStyle name="Normal 6 6" xfId="38149" xr:uid="{00000000-0005-0000-0000-000005950000}"/>
    <cellStyle name="Normal 6 7" xfId="38150" xr:uid="{00000000-0005-0000-0000-000006950000}"/>
    <cellStyle name="Normal 6 8" xfId="38151" xr:uid="{00000000-0005-0000-0000-000007950000}"/>
    <cellStyle name="Normal 6 9" xfId="38152" xr:uid="{00000000-0005-0000-0000-000008950000}"/>
    <cellStyle name="Normal 60" xfId="38153" xr:uid="{00000000-0005-0000-0000-000009950000}"/>
    <cellStyle name="Normal 61" xfId="38154" xr:uid="{00000000-0005-0000-0000-00000A950000}"/>
    <cellStyle name="Normal 61 2" xfId="38155" xr:uid="{00000000-0005-0000-0000-00000B950000}"/>
    <cellStyle name="Normal 61 2 2" xfId="38156" xr:uid="{00000000-0005-0000-0000-00000C950000}"/>
    <cellStyle name="Normal 61 2 3" xfId="38157" xr:uid="{00000000-0005-0000-0000-00000D950000}"/>
    <cellStyle name="Normal 61 3" xfId="38158" xr:uid="{00000000-0005-0000-0000-00000E950000}"/>
    <cellStyle name="Normal 62" xfId="38159" xr:uid="{00000000-0005-0000-0000-00000F950000}"/>
    <cellStyle name="Normal 62 2" xfId="38160" xr:uid="{00000000-0005-0000-0000-000010950000}"/>
    <cellStyle name="Normal 62 3" xfId="38161" xr:uid="{00000000-0005-0000-0000-000011950000}"/>
    <cellStyle name="Normal 62 4" xfId="39522" xr:uid="{00000000-0005-0000-0000-0000629A0000}"/>
    <cellStyle name="Normal 63" xfId="38162" xr:uid="{00000000-0005-0000-0000-000012950000}"/>
    <cellStyle name="Normal 63 2" xfId="38163" xr:uid="{00000000-0005-0000-0000-000013950000}"/>
    <cellStyle name="Normal 63 3" xfId="38164" xr:uid="{00000000-0005-0000-0000-000014950000}"/>
    <cellStyle name="Normal 63 4" xfId="38165" xr:uid="{00000000-0005-0000-0000-000015950000}"/>
    <cellStyle name="Normal 63 5" xfId="39523" xr:uid="{00000000-0005-0000-0000-0000639A0000}"/>
    <cellStyle name="Normal 64" xfId="38166" xr:uid="{00000000-0005-0000-0000-000016950000}"/>
    <cellStyle name="Normal 64 2" xfId="38167" xr:uid="{00000000-0005-0000-0000-000017950000}"/>
    <cellStyle name="Normal 64 3" xfId="38168" xr:uid="{00000000-0005-0000-0000-000018950000}"/>
    <cellStyle name="Normal 64 4" xfId="38169" xr:uid="{00000000-0005-0000-0000-000019950000}"/>
    <cellStyle name="Normal 64 5" xfId="39524" xr:uid="{00000000-0005-0000-0000-0000649A0000}"/>
    <cellStyle name="Normal 65" xfId="38170" xr:uid="{00000000-0005-0000-0000-00001A950000}"/>
    <cellStyle name="Normal 65 2" xfId="38171" xr:uid="{00000000-0005-0000-0000-00001B950000}"/>
    <cellStyle name="Normal 65 3" xfId="38172" xr:uid="{00000000-0005-0000-0000-00001C950000}"/>
    <cellStyle name="Normal 66" xfId="38173" xr:uid="{00000000-0005-0000-0000-00001D950000}"/>
    <cellStyle name="Normal 66 2" xfId="38174" xr:uid="{00000000-0005-0000-0000-00001E950000}"/>
    <cellStyle name="Normal 66 3" xfId="38175" xr:uid="{00000000-0005-0000-0000-00001F950000}"/>
    <cellStyle name="Normal 66 4" xfId="39525" xr:uid="{00000000-0005-0000-0000-0000659A0000}"/>
    <cellStyle name="Normal 67" xfId="38176" xr:uid="{00000000-0005-0000-0000-000020950000}"/>
    <cellStyle name="Normal 67 2" xfId="38177" xr:uid="{00000000-0005-0000-0000-000021950000}"/>
    <cellStyle name="Normal 67 3" xfId="39526" xr:uid="{00000000-0005-0000-0000-0000669A0000}"/>
    <cellStyle name="Normal 68" xfId="38178" xr:uid="{00000000-0005-0000-0000-000022950000}"/>
    <cellStyle name="Normal 68 2" xfId="38179" xr:uid="{00000000-0005-0000-0000-000023950000}"/>
    <cellStyle name="Normal 68 3" xfId="39527" xr:uid="{00000000-0005-0000-0000-0000679A0000}"/>
    <cellStyle name="Normal 69" xfId="38180" xr:uid="{00000000-0005-0000-0000-000024950000}"/>
    <cellStyle name="Normal 69 2" xfId="38181" xr:uid="{00000000-0005-0000-0000-000025950000}"/>
    <cellStyle name="Normal 69 3" xfId="38182" xr:uid="{00000000-0005-0000-0000-000026950000}"/>
    <cellStyle name="Normal 69 4" xfId="39528" xr:uid="{00000000-0005-0000-0000-0000689A0000}"/>
    <cellStyle name="Normal 7" xfId="441" xr:uid="{00000000-0005-0000-0000-0000B9010000}"/>
    <cellStyle name="Normal 7 10" xfId="38183" xr:uid="{00000000-0005-0000-0000-000027950000}"/>
    <cellStyle name="Normal 7 11" xfId="38184" xr:uid="{00000000-0005-0000-0000-000028950000}"/>
    <cellStyle name="Normal 7 12" xfId="38185" xr:uid="{00000000-0005-0000-0000-000029950000}"/>
    <cellStyle name="Normal 7 13" xfId="38186" xr:uid="{00000000-0005-0000-0000-00002A950000}"/>
    <cellStyle name="Normal 7 14" xfId="38187" xr:uid="{00000000-0005-0000-0000-00002B950000}"/>
    <cellStyle name="Normal 7 15" xfId="38188" xr:uid="{00000000-0005-0000-0000-00002C950000}"/>
    <cellStyle name="Normal 7 16" xfId="38189" xr:uid="{00000000-0005-0000-0000-00002D950000}"/>
    <cellStyle name="Normal 7 17" xfId="38190" xr:uid="{00000000-0005-0000-0000-00002E950000}"/>
    <cellStyle name="Normal 7 18" xfId="38191" xr:uid="{00000000-0005-0000-0000-00002F950000}"/>
    <cellStyle name="Normal 7 19" xfId="38192" xr:uid="{00000000-0005-0000-0000-000030950000}"/>
    <cellStyle name="Normal 7 2" xfId="442" xr:uid="{00000000-0005-0000-0000-0000BA010000}"/>
    <cellStyle name="Normal 7 2 10" xfId="38193" xr:uid="{00000000-0005-0000-0000-000031950000}"/>
    <cellStyle name="Normal 7 2 11" xfId="38194" xr:uid="{00000000-0005-0000-0000-000032950000}"/>
    <cellStyle name="Normal 7 2 12" xfId="38195" xr:uid="{00000000-0005-0000-0000-000033950000}"/>
    <cellStyle name="Normal 7 2 13" xfId="38196" xr:uid="{00000000-0005-0000-0000-000034950000}"/>
    <cellStyle name="Normal 7 2 14" xfId="38197" xr:uid="{00000000-0005-0000-0000-000035950000}"/>
    <cellStyle name="Normal 7 2 15" xfId="38198" xr:uid="{00000000-0005-0000-0000-000036950000}"/>
    <cellStyle name="Normal 7 2 16" xfId="38199" xr:uid="{00000000-0005-0000-0000-000037950000}"/>
    <cellStyle name="Normal 7 2 17" xfId="38200" xr:uid="{00000000-0005-0000-0000-000038950000}"/>
    <cellStyle name="Normal 7 2 18" xfId="38201" xr:uid="{00000000-0005-0000-0000-000039950000}"/>
    <cellStyle name="Normal 7 2 19" xfId="38202" xr:uid="{00000000-0005-0000-0000-00003A950000}"/>
    <cellStyle name="Normal 7 2 2" xfId="38203" xr:uid="{00000000-0005-0000-0000-00003B950000}"/>
    <cellStyle name="Normal 7 2 2 2" xfId="38204" xr:uid="{00000000-0005-0000-0000-00003C950000}"/>
    <cellStyle name="Normal 7 2 2 2 2" xfId="38205" xr:uid="{00000000-0005-0000-0000-00003D950000}"/>
    <cellStyle name="Normal 7 2 20" xfId="38206" xr:uid="{00000000-0005-0000-0000-00003E950000}"/>
    <cellStyle name="Normal 7 2 21" xfId="38207" xr:uid="{00000000-0005-0000-0000-00003F950000}"/>
    <cellStyle name="Normal 7 2 22" xfId="38208" xr:uid="{00000000-0005-0000-0000-000040950000}"/>
    <cellStyle name="Normal 7 2 23" xfId="38209" xr:uid="{00000000-0005-0000-0000-000041950000}"/>
    <cellStyle name="Normal 7 2 24" xfId="38210" xr:uid="{00000000-0005-0000-0000-000042950000}"/>
    <cellStyle name="Normal 7 2 25" xfId="38211" xr:uid="{00000000-0005-0000-0000-000043950000}"/>
    <cellStyle name="Normal 7 2 26" xfId="38212" xr:uid="{00000000-0005-0000-0000-000044950000}"/>
    <cellStyle name="Normal 7 2 27" xfId="38213" xr:uid="{00000000-0005-0000-0000-000045950000}"/>
    <cellStyle name="Normal 7 2 28" xfId="38214" xr:uid="{00000000-0005-0000-0000-000046950000}"/>
    <cellStyle name="Normal 7 2 29" xfId="38215" xr:uid="{00000000-0005-0000-0000-000047950000}"/>
    <cellStyle name="Normal 7 2 3" xfId="38216" xr:uid="{00000000-0005-0000-0000-000048950000}"/>
    <cellStyle name="Normal 7 2 30" xfId="38217" xr:uid="{00000000-0005-0000-0000-000049950000}"/>
    <cellStyle name="Normal 7 2 31" xfId="38218" xr:uid="{00000000-0005-0000-0000-00004A950000}"/>
    <cellStyle name="Normal 7 2 32" xfId="38219" xr:uid="{00000000-0005-0000-0000-00004B950000}"/>
    <cellStyle name="Normal 7 2 33" xfId="38220" xr:uid="{00000000-0005-0000-0000-00004C950000}"/>
    <cellStyle name="Normal 7 2 34" xfId="38221" xr:uid="{00000000-0005-0000-0000-00004D950000}"/>
    <cellStyle name="Normal 7 2 35" xfId="38222" xr:uid="{00000000-0005-0000-0000-00004E950000}"/>
    <cellStyle name="Normal 7 2 36" xfId="38223" xr:uid="{00000000-0005-0000-0000-00004F950000}"/>
    <cellStyle name="Normal 7 2 37" xfId="38224" xr:uid="{00000000-0005-0000-0000-000050950000}"/>
    <cellStyle name="Normal 7 2 38" xfId="38225" xr:uid="{00000000-0005-0000-0000-000051950000}"/>
    <cellStyle name="Normal 7 2 39" xfId="38226" xr:uid="{00000000-0005-0000-0000-000052950000}"/>
    <cellStyle name="Normal 7 2 4" xfId="38227" xr:uid="{00000000-0005-0000-0000-000053950000}"/>
    <cellStyle name="Normal 7 2 40" xfId="38228" xr:uid="{00000000-0005-0000-0000-000054950000}"/>
    <cellStyle name="Normal 7 2 41" xfId="38229" xr:uid="{00000000-0005-0000-0000-000055950000}"/>
    <cellStyle name="Normal 7 2 42" xfId="38230" xr:uid="{00000000-0005-0000-0000-000056950000}"/>
    <cellStyle name="Normal 7 2 43" xfId="38231" xr:uid="{00000000-0005-0000-0000-000057950000}"/>
    <cellStyle name="Normal 7 2 44" xfId="38232" xr:uid="{00000000-0005-0000-0000-000058950000}"/>
    <cellStyle name="Normal 7 2 45" xfId="38233" xr:uid="{00000000-0005-0000-0000-000059950000}"/>
    <cellStyle name="Normal 7 2 46" xfId="38234" xr:uid="{00000000-0005-0000-0000-00005A950000}"/>
    <cellStyle name="Normal 7 2 47" xfId="38235" xr:uid="{00000000-0005-0000-0000-00005B950000}"/>
    <cellStyle name="Normal 7 2 48" xfId="38236" xr:uid="{00000000-0005-0000-0000-00005C950000}"/>
    <cellStyle name="Normal 7 2 49" xfId="38237" xr:uid="{00000000-0005-0000-0000-00005D950000}"/>
    <cellStyle name="Normal 7 2 5" xfId="38238" xr:uid="{00000000-0005-0000-0000-00005E950000}"/>
    <cellStyle name="Normal 7 2 50" xfId="38239" xr:uid="{00000000-0005-0000-0000-00005F950000}"/>
    <cellStyle name="Normal 7 2 51" xfId="38240" xr:uid="{00000000-0005-0000-0000-000060950000}"/>
    <cellStyle name="Normal 7 2 52" xfId="38241" xr:uid="{00000000-0005-0000-0000-000061950000}"/>
    <cellStyle name="Normal 7 2 53" xfId="38242" xr:uid="{00000000-0005-0000-0000-000062950000}"/>
    <cellStyle name="Normal 7 2 54" xfId="38243" xr:uid="{00000000-0005-0000-0000-000063950000}"/>
    <cellStyle name="Normal 7 2 55" xfId="38244" xr:uid="{00000000-0005-0000-0000-000064950000}"/>
    <cellStyle name="Normal 7 2 56" xfId="38245" xr:uid="{00000000-0005-0000-0000-000065950000}"/>
    <cellStyle name="Normal 7 2 57" xfId="38246" xr:uid="{00000000-0005-0000-0000-000066950000}"/>
    <cellStyle name="Normal 7 2 58" xfId="38247" xr:uid="{00000000-0005-0000-0000-000067950000}"/>
    <cellStyle name="Normal 7 2 59" xfId="38248" xr:uid="{00000000-0005-0000-0000-000068950000}"/>
    <cellStyle name="Normal 7 2 6" xfId="38249" xr:uid="{00000000-0005-0000-0000-000069950000}"/>
    <cellStyle name="Normal 7 2 60" xfId="38250" xr:uid="{00000000-0005-0000-0000-00006A950000}"/>
    <cellStyle name="Normal 7 2 61" xfId="38251" xr:uid="{00000000-0005-0000-0000-00006B950000}"/>
    <cellStyle name="Normal 7 2 62" xfId="38252" xr:uid="{00000000-0005-0000-0000-00006C950000}"/>
    <cellStyle name="Normal 7 2 63" xfId="38253" xr:uid="{00000000-0005-0000-0000-00006D950000}"/>
    <cellStyle name="Normal 7 2 64" xfId="38254" xr:uid="{00000000-0005-0000-0000-00006E950000}"/>
    <cellStyle name="Normal 7 2 65" xfId="38255" xr:uid="{00000000-0005-0000-0000-00006F950000}"/>
    <cellStyle name="Normal 7 2 66" xfId="38256" xr:uid="{00000000-0005-0000-0000-000070950000}"/>
    <cellStyle name="Normal 7 2 67" xfId="38257" xr:uid="{00000000-0005-0000-0000-000071950000}"/>
    <cellStyle name="Normal 7 2 68" xfId="38258" xr:uid="{00000000-0005-0000-0000-000072950000}"/>
    <cellStyle name="Normal 7 2 69" xfId="38259" xr:uid="{00000000-0005-0000-0000-000073950000}"/>
    <cellStyle name="Normal 7 2 7" xfId="38260" xr:uid="{00000000-0005-0000-0000-000074950000}"/>
    <cellStyle name="Normal 7 2 70" xfId="38261" xr:uid="{00000000-0005-0000-0000-000075950000}"/>
    <cellStyle name="Normal 7 2 71" xfId="38262" xr:uid="{00000000-0005-0000-0000-000076950000}"/>
    <cellStyle name="Normal 7 2 72" xfId="38263" xr:uid="{00000000-0005-0000-0000-000077950000}"/>
    <cellStyle name="Normal 7 2 73" xfId="38264" xr:uid="{00000000-0005-0000-0000-000078950000}"/>
    <cellStyle name="Normal 7 2 74" xfId="38265" xr:uid="{00000000-0005-0000-0000-000079950000}"/>
    <cellStyle name="Normal 7 2 75" xfId="38266" xr:uid="{00000000-0005-0000-0000-00007A950000}"/>
    <cellStyle name="Normal 7 2 76" xfId="38267" xr:uid="{00000000-0005-0000-0000-00007B950000}"/>
    <cellStyle name="Normal 7 2 77" xfId="38268" xr:uid="{00000000-0005-0000-0000-00007C950000}"/>
    <cellStyle name="Normal 7 2 78" xfId="38269" xr:uid="{00000000-0005-0000-0000-00007D950000}"/>
    <cellStyle name="Normal 7 2 79" xfId="38270" xr:uid="{00000000-0005-0000-0000-00007E950000}"/>
    <cellStyle name="Normal 7 2 8" xfId="38271" xr:uid="{00000000-0005-0000-0000-00007F950000}"/>
    <cellStyle name="Normal 7 2 80" xfId="38272" xr:uid="{00000000-0005-0000-0000-000080950000}"/>
    <cellStyle name="Normal 7 2 81" xfId="38273" xr:uid="{00000000-0005-0000-0000-000081950000}"/>
    <cellStyle name="Normal 7 2 9" xfId="38274" xr:uid="{00000000-0005-0000-0000-000082950000}"/>
    <cellStyle name="Normal 7 2_Enlaces" xfId="38275" xr:uid="{00000000-0005-0000-0000-000083950000}"/>
    <cellStyle name="Normal 7 20" xfId="38276" xr:uid="{00000000-0005-0000-0000-000084950000}"/>
    <cellStyle name="Normal 7 21" xfId="38277" xr:uid="{00000000-0005-0000-0000-000085950000}"/>
    <cellStyle name="Normal 7 22" xfId="38278" xr:uid="{00000000-0005-0000-0000-000086950000}"/>
    <cellStyle name="Normal 7 23" xfId="38279" xr:uid="{00000000-0005-0000-0000-000087950000}"/>
    <cellStyle name="Normal 7 24" xfId="38280" xr:uid="{00000000-0005-0000-0000-000088950000}"/>
    <cellStyle name="Normal 7 25" xfId="38281" xr:uid="{00000000-0005-0000-0000-000089950000}"/>
    <cellStyle name="Normal 7 26" xfId="38282" xr:uid="{00000000-0005-0000-0000-00008A950000}"/>
    <cellStyle name="Normal 7 27" xfId="38283" xr:uid="{00000000-0005-0000-0000-00008B950000}"/>
    <cellStyle name="Normal 7 28" xfId="38284" xr:uid="{00000000-0005-0000-0000-00008C950000}"/>
    <cellStyle name="Normal 7 29" xfId="38285" xr:uid="{00000000-0005-0000-0000-00008D950000}"/>
    <cellStyle name="Normal 7 3" xfId="38286" xr:uid="{00000000-0005-0000-0000-00008E950000}"/>
    <cellStyle name="Normal 7 3 2" xfId="38287" xr:uid="{00000000-0005-0000-0000-00008F950000}"/>
    <cellStyle name="Normal 7 3 3" xfId="38288" xr:uid="{00000000-0005-0000-0000-000090950000}"/>
    <cellStyle name="Normal 7 3 4" xfId="38289" xr:uid="{00000000-0005-0000-0000-000091950000}"/>
    <cellStyle name="Normal 7 3 4 2" xfId="38290" xr:uid="{00000000-0005-0000-0000-000092950000}"/>
    <cellStyle name="Normal 7 3 4 2 2" xfId="38291" xr:uid="{00000000-0005-0000-0000-000093950000}"/>
    <cellStyle name="Normal 7 3 4 3" xfId="38292" xr:uid="{00000000-0005-0000-0000-000094950000}"/>
    <cellStyle name="Normal 7 3 5" xfId="38293" xr:uid="{00000000-0005-0000-0000-000095950000}"/>
    <cellStyle name="Normal 7 3 6" xfId="38294" xr:uid="{00000000-0005-0000-0000-000096950000}"/>
    <cellStyle name="Normal 7 3 7" xfId="38295" xr:uid="{00000000-0005-0000-0000-000097950000}"/>
    <cellStyle name="Normal 7 3 7 2" xfId="38296" xr:uid="{00000000-0005-0000-0000-000098950000}"/>
    <cellStyle name="Normal 7 3_Implem" xfId="38297" xr:uid="{00000000-0005-0000-0000-000099950000}"/>
    <cellStyle name="Normal 7 30" xfId="38298" xr:uid="{00000000-0005-0000-0000-00009A950000}"/>
    <cellStyle name="Normal 7 30 2" xfId="38299" xr:uid="{00000000-0005-0000-0000-00009B950000}"/>
    <cellStyle name="Normal 7 31" xfId="38300" xr:uid="{00000000-0005-0000-0000-00009C950000}"/>
    <cellStyle name="Normal 7 32" xfId="38301" xr:uid="{00000000-0005-0000-0000-00009D950000}"/>
    <cellStyle name="Normal 7 33" xfId="38302" xr:uid="{00000000-0005-0000-0000-00009E950000}"/>
    <cellStyle name="Normal 7 34" xfId="38303" xr:uid="{00000000-0005-0000-0000-00009F950000}"/>
    <cellStyle name="Normal 7 35" xfId="38304" xr:uid="{00000000-0005-0000-0000-0000A0950000}"/>
    <cellStyle name="Normal 7 36" xfId="38305" xr:uid="{00000000-0005-0000-0000-0000A1950000}"/>
    <cellStyle name="Normal 7 37" xfId="38306" xr:uid="{00000000-0005-0000-0000-0000A2950000}"/>
    <cellStyle name="Normal 7 38" xfId="38307" xr:uid="{00000000-0005-0000-0000-0000A3950000}"/>
    <cellStyle name="Normal 7 39" xfId="38308" xr:uid="{00000000-0005-0000-0000-0000A4950000}"/>
    <cellStyle name="Normal 7 4" xfId="443" xr:uid="{00000000-0005-0000-0000-0000BB010000}"/>
    <cellStyle name="Normal 7 4 2" xfId="38309" xr:uid="{00000000-0005-0000-0000-0000A5950000}"/>
    <cellStyle name="Normal 7 40" xfId="38310" xr:uid="{00000000-0005-0000-0000-0000A6950000}"/>
    <cellStyle name="Normal 7 41" xfId="38311" xr:uid="{00000000-0005-0000-0000-0000A7950000}"/>
    <cellStyle name="Normal 7 42" xfId="38312" xr:uid="{00000000-0005-0000-0000-0000A8950000}"/>
    <cellStyle name="Normal 7 43" xfId="38313" xr:uid="{00000000-0005-0000-0000-0000A9950000}"/>
    <cellStyle name="Normal 7 44" xfId="38314" xr:uid="{00000000-0005-0000-0000-0000AA950000}"/>
    <cellStyle name="Normal 7 45" xfId="38315" xr:uid="{00000000-0005-0000-0000-0000AB950000}"/>
    <cellStyle name="Normal 7 46" xfId="38316" xr:uid="{00000000-0005-0000-0000-0000AC950000}"/>
    <cellStyle name="Normal 7 5" xfId="38317" xr:uid="{00000000-0005-0000-0000-0000AD950000}"/>
    <cellStyle name="Normal 7 6" xfId="38318" xr:uid="{00000000-0005-0000-0000-0000AE950000}"/>
    <cellStyle name="Normal 7 7" xfId="38319" xr:uid="{00000000-0005-0000-0000-0000AF950000}"/>
    <cellStyle name="Normal 7 8" xfId="38320" xr:uid="{00000000-0005-0000-0000-0000B0950000}"/>
    <cellStyle name="Normal 7 9" xfId="38321" xr:uid="{00000000-0005-0000-0000-0000B1950000}"/>
    <cellStyle name="Normal 70" xfId="38322" xr:uid="{00000000-0005-0000-0000-0000B2950000}"/>
    <cellStyle name="Normal 70 2" xfId="38323" xr:uid="{00000000-0005-0000-0000-0000B3950000}"/>
    <cellStyle name="Normal 71" xfId="38324" xr:uid="{00000000-0005-0000-0000-0000B4950000}"/>
    <cellStyle name="Normal 71 2" xfId="38325" xr:uid="{00000000-0005-0000-0000-0000B5950000}"/>
    <cellStyle name="Normal 72" xfId="38326" xr:uid="{00000000-0005-0000-0000-0000B6950000}"/>
    <cellStyle name="Normal 72 2" xfId="38327" xr:uid="{00000000-0005-0000-0000-0000B7950000}"/>
    <cellStyle name="Normal 72 3" xfId="38328" xr:uid="{00000000-0005-0000-0000-0000B8950000}"/>
    <cellStyle name="Normal 72 4" xfId="39529" xr:uid="{00000000-0005-0000-0000-0000699A0000}"/>
    <cellStyle name="Normal 73" xfId="38329" xr:uid="{00000000-0005-0000-0000-0000B9950000}"/>
    <cellStyle name="Normal 73 2" xfId="38330" xr:uid="{00000000-0005-0000-0000-0000BA950000}"/>
    <cellStyle name="Normal 74" xfId="38331" xr:uid="{00000000-0005-0000-0000-0000BB950000}"/>
    <cellStyle name="Normal 74 2" xfId="38332" xr:uid="{00000000-0005-0000-0000-0000BC950000}"/>
    <cellStyle name="Normal 75" xfId="38333" xr:uid="{00000000-0005-0000-0000-0000BD950000}"/>
    <cellStyle name="Normal 75 2" xfId="38334" xr:uid="{00000000-0005-0000-0000-0000BE950000}"/>
    <cellStyle name="Normal 75 3" xfId="38335" xr:uid="{00000000-0005-0000-0000-0000BF950000}"/>
    <cellStyle name="Normal 75 4" xfId="39530" xr:uid="{00000000-0005-0000-0000-00006A9A0000}"/>
    <cellStyle name="Normal 76" xfId="38336" xr:uid="{00000000-0005-0000-0000-0000C0950000}"/>
    <cellStyle name="Normal 76 2" xfId="38337" xr:uid="{00000000-0005-0000-0000-0000C1950000}"/>
    <cellStyle name="Normal 76 3" xfId="38338" xr:uid="{00000000-0005-0000-0000-0000C2950000}"/>
    <cellStyle name="Normal 76 4" xfId="39531" xr:uid="{00000000-0005-0000-0000-00006B9A0000}"/>
    <cellStyle name="Normal 77" xfId="38339" xr:uid="{00000000-0005-0000-0000-0000C3950000}"/>
    <cellStyle name="Normal 77 2" xfId="38340" xr:uid="{00000000-0005-0000-0000-0000C4950000}"/>
    <cellStyle name="Normal 77 3" xfId="38341" xr:uid="{00000000-0005-0000-0000-0000C5950000}"/>
    <cellStyle name="Normal 77 4" xfId="39532" xr:uid="{00000000-0005-0000-0000-00006C9A0000}"/>
    <cellStyle name="Normal 78" xfId="38342" xr:uid="{00000000-0005-0000-0000-0000C6950000}"/>
    <cellStyle name="Normal 78 2" xfId="38343" xr:uid="{00000000-0005-0000-0000-0000C7950000}"/>
    <cellStyle name="Normal 79" xfId="38344" xr:uid="{00000000-0005-0000-0000-0000C8950000}"/>
    <cellStyle name="Normal 79 2" xfId="38345" xr:uid="{00000000-0005-0000-0000-0000C9950000}"/>
    <cellStyle name="Normal 8" xfId="444" xr:uid="{00000000-0005-0000-0000-0000BC010000}"/>
    <cellStyle name="Normal 8 2" xfId="445" xr:uid="{00000000-0005-0000-0000-0000BD010000}"/>
    <cellStyle name="Normal 8 2 2" xfId="38347" xr:uid="{00000000-0005-0000-0000-0000CB950000}"/>
    <cellStyle name="Normal 8 2 2 2" xfId="38348" xr:uid="{00000000-0005-0000-0000-0000CC950000}"/>
    <cellStyle name="Normal 8 2 3" xfId="38349" xr:uid="{00000000-0005-0000-0000-0000CD950000}"/>
    <cellStyle name="Normal 8 2 3 2" xfId="38350" xr:uid="{00000000-0005-0000-0000-0000CE950000}"/>
    <cellStyle name="Normal 8 2 4" xfId="38346" xr:uid="{00000000-0005-0000-0000-0000CA950000}"/>
    <cellStyle name="Normal 8 3" xfId="38351" xr:uid="{00000000-0005-0000-0000-0000CF950000}"/>
    <cellStyle name="Normal 8 4" xfId="38352" xr:uid="{00000000-0005-0000-0000-0000D0950000}"/>
    <cellStyle name="Normal 8 5" xfId="38353" xr:uid="{00000000-0005-0000-0000-0000D1950000}"/>
    <cellStyle name="Normal 8 6" xfId="38354" xr:uid="{00000000-0005-0000-0000-0000D2950000}"/>
    <cellStyle name="Normal 8 7" xfId="38355" xr:uid="{00000000-0005-0000-0000-0000D3950000}"/>
    <cellStyle name="Normal 8 8" xfId="38356" xr:uid="{00000000-0005-0000-0000-0000D4950000}"/>
    <cellStyle name="Normal 8 8 2" xfId="38357" xr:uid="{00000000-0005-0000-0000-0000D5950000}"/>
    <cellStyle name="Normal 80" xfId="38358" xr:uid="{00000000-0005-0000-0000-0000D6950000}"/>
    <cellStyle name="Normal 80 2" xfId="38359" xr:uid="{00000000-0005-0000-0000-0000D7950000}"/>
    <cellStyle name="Normal 80 3" xfId="38360" xr:uid="{00000000-0005-0000-0000-0000D8950000}"/>
    <cellStyle name="Normal 80 4" xfId="39533" xr:uid="{00000000-0005-0000-0000-00006D9A0000}"/>
    <cellStyle name="Normal 81" xfId="446" xr:uid="{00000000-0005-0000-0000-0000BE010000}"/>
    <cellStyle name="Normal 81 2" xfId="38362" xr:uid="{00000000-0005-0000-0000-0000DA950000}"/>
    <cellStyle name="Normal 81 3" xfId="39534" xr:uid="{00000000-0005-0000-0000-00006E9A0000}"/>
    <cellStyle name="Normal 81 4" xfId="38361" xr:uid="{00000000-0005-0000-0000-0000D9950000}"/>
    <cellStyle name="Normal 82" xfId="38363" xr:uid="{00000000-0005-0000-0000-0000DB950000}"/>
    <cellStyle name="Normal 82 2" xfId="38364" xr:uid="{00000000-0005-0000-0000-0000DC950000}"/>
    <cellStyle name="Normal 83" xfId="38365" xr:uid="{00000000-0005-0000-0000-0000DD950000}"/>
    <cellStyle name="Normal 83 2" xfId="38366" xr:uid="{00000000-0005-0000-0000-0000DE950000}"/>
    <cellStyle name="Normal 83 3" xfId="38367" xr:uid="{00000000-0005-0000-0000-0000DF950000}"/>
    <cellStyle name="Normal 83 4" xfId="39535" xr:uid="{00000000-0005-0000-0000-00006F9A0000}"/>
    <cellStyle name="Normal 84" xfId="38368" xr:uid="{00000000-0005-0000-0000-0000E0950000}"/>
    <cellStyle name="Normal 84 2" xfId="38369" xr:uid="{00000000-0005-0000-0000-0000E1950000}"/>
    <cellStyle name="Normal 85" xfId="38370" xr:uid="{00000000-0005-0000-0000-0000E2950000}"/>
    <cellStyle name="Normal 85 2" xfId="38371" xr:uid="{00000000-0005-0000-0000-0000E3950000}"/>
    <cellStyle name="Normal 85 3" xfId="38372" xr:uid="{00000000-0005-0000-0000-0000E4950000}"/>
    <cellStyle name="Normal 86" xfId="38373" xr:uid="{00000000-0005-0000-0000-0000E5950000}"/>
    <cellStyle name="Normal 86 2" xfId="38374" xr:uid="{00000000-0005-0000-0000-0000E6950000}"/>
    <cellStyle name="Normal 86 3" xfId="38375" xr:uid="{00000000-0005-0000-0000-0000E7950000}"/>
    <cellStyle name="Normal 86 4" xfId="39536" xr:uid="{00000000-0005-0000-0000-0000709A0000}"/>
    <cellStyle name="Normal 87" xfId="38376" xr:uid="{00000000-0005-0000-0000-0000E8950000}"/>
    <cellStyle name="Normal 87 2" xfId="38377" xr:uid="{00000000-0005-0000-0000-0000E9950000}"/>
    <cellStyle name="Normal 88" xfId="38378" xr:uid="{00000000-0005-0000-0000-0000EA950000}"/>
    <cellStyle name="Normal 88 2" xfId="38379" xr:uid="{00000000-0005-0000-0000-0000EB950000}"/>
    <cellStyle name="Normal 88 3" xfId="38380" xr:uid="{00000000-0005-0000-0000-0000EC950000}"/>
    <cellStyle name="Normal 88 4" xfId="39537" xr:uid="{00000000-0005-0000-0000-0000719A0000}"/>
    <cellStyle name="Normal 89" xfId="38381" xr:uid="{00000000-0005-0000-0000-0000ED950000}"/>
    <cellStyle name="Normal 89 2" xfId="38382" xr:uid="{00000000-0005-0000-0000-0000EE950000}"/>
    <cellStyle name="Normal 9" xfId="447" xr:uid="{00000000-0005-0000-0000-0000BF010000}"/>
    <cellStyle name="Normal 9 10" xfId="38384" xr:uid="{00000000-0005-0000-0000-0000F0950000}"/>
    <cellStyle name="Normal 9 11" xfId="38385" xr:uid="{00000000-0005-0000-0000-0000F1950000}"/>
    <cellStyle name="Normal 9 12" xfId="38386" xr:uid="{00000000-0005-0000-0000-0000F2950000}"/>
    <cellStyle name="Normal 9 13" xfId="38387" xr:uid="{00000000-0005-0000-0000-0000F3950000}"/>
    <cellStyle name="Normal 9 14" xfId="38388" xr:uid="{00000000-0005-0000-0000-0000F4950000}"/>
    <cellStyle name="Normal 9 15" xfId="38389" xr:uid="{00000000-0005-0000-0000-0000F5950000}"/>
    <cellStyle name="Normal 9 16" xfId="38390" xr:uid="{00000000-0005-0000-0000-0000F6950000}"/>
    <cellStyle name="Normal 9 17" xfId="38391" xr:uid="{00000000-0005-0000-0000-0000F7950000}"/>
    <cellStyle name="Normal 9 18" xfId="38392" xr:uid="{00000000-0005-0000-0000-0000F8950000}"/>
    <cellStyle name="Normal 9 19" xfId="38393" xr:uid="{00000000-0005-0000-0000-0000F9950000}"/>
    <cellStyle name="Normal 9 2" xfId="38394" xr:uid="{00000000-0005-0000-0000-0000FA950000}"/>
    <cellStyle name="Normal 9 2 10" xfId="38395" xr:uid="{00000000-0005-0000-0000-0000FB950000}"/>
    <cellStyle name="Normal 9 2 11" xfId="38396" xr:uid="{00000000-0005-0000-0000-0000FC950000}"/>
    <cellStyle name="Normal 9 2 12" xfId="38397" xr:uid="{00000000-0005-0000-0000-0000FD950000}"/>
    <cellStyle name="Normal 9 2 13" xfId="38398" xr:uid="{00000000-0005-0000-0000-0000FE950000}"/>
    <cellStyle name="Normal 9 2 14" xfId="38399" xr:uid="{00000000-0005-0000-0000-0000FF950000}"/>
    <cellStyle name="Normal 9 2 15" xfId="38400" xr:uid="{00000000-0005-0000-0000-000000960000}"/>
    <cellStyle name="Normal 9 2 16" xfId="38401" xr:uid="{00000000-0005-0000-0000-000001960000}"/>
    <cellStyle name="Normal 9 2 17" xfId="38402" xr:uid="{00000000-0005-0000-0000-000002960000}"/>
    <cellStyle name="Normal 9 2 18" xfId="38403" xr:uid="{00000000-0005-0000-0000-000003960000}"/>
    <cellStyle name="Normal 9 2 19" xfId="38404" xr:uid="{00000000-0005-0000-0000-000004960000}"/>
    <cellStyle name="Normal 9 2 2" xfId="38405" xr:uid="{00000000-0005-0000-0000-000005960000}"/>
    <cellStyle name="Normal 9 2 2 2" xfId="38406" xr:uid="{00000000-0005-0000-0000-000006960000}"/>
    <cellStyle name="Normal 9 2 2 2 2" xfId="38407" xr:uid="{00000000-0005-0000-0000-000007960000}"/>
    <cellStyle name="Normal 9 2 20" xfId="38408" xr:uid="{00000000-0005-0000-0000-000008960000}"/>
    <cellStyle name="Normal 9 2 21" xfId="38409" xr:uid="{00000000-0005-0000-0000-000009960000}"/>
    <cellStyle name="Normal 9 2 22" xfId="38410" xr:uid="{00000000-0005-0000-0000-00000A960000}"/>
    <cellStyle name="Normal 9 2 23" xfId="38411" xr:uid="{00000000-0005-0000-0000-00000B960000}"/>
    <cellStyle name="Normal 9 2 24" xfId="38412" xr:uid="{00000000-0005-0000-0000-00000C960000}"/>
    <cellStyle name="Normal 9 2 25" xfId="38413" xr:uid="{00000000-0005-0000-0000-00000D960000}"/>
    <cellStyle name="Normal 9 2 26" xfId="38414" xr:uid="{00000000-0005-0000-0000-00000E960000}"/>
    <cellStyle name="Normal 9 2 27" xfId="38415" xr:uid="{00000000-0005-0000-0000-00000F960000}"/>
    <cellStyle name="Normal 9 2 28" xfId="38416" xr:uid="{00000000-0005-0000-0000-000010960000}"/>
    <cellStyle name="Normal 9 2 29" xfId="38417" xr:uid="{00000000-0005-0000-0000-000011960000}"/>
    <cellStyle name="Normal 9 2 3" xfId="38418" xr:uid="{00000000-0005-0000-0000-000012960000}"/>
    <cellStyle name="Normal 9 2 30" xfId="38419" xr:uid="{00000000-0005-0000-0000-000013960000}"/>
    <cellStyle name="Normal 9 2 31" xfId="38420" xr:uid="{00000000-0005-0000-0000-000014960000}"/>
    <cellStyle name="Normal 9 2 32" xfId="38421" xr:uid="{00000000-0005-0000-0000-000015960000}"/>
    <cellStyle name="Normal 9 2 33" xfId="38422" xr:uid="{00000000-0005-0000-0000-000016960000}"/>
    <cellStyle name="Normal 9 2 34" xfId="38423" xr:uid="{00000000-0005-0000-0000-000017960000}"/>
    <cellStyle name="Normal 9 2 35" xfId="38424" xr:uid="{00000000-0005-0000-0000-000018960000}"/>
    <cellStyle name="Normal 9 2 36" xfId="38425" xr:uid="{00000000-0005-0000-0000-000019960000}"/>
    <cellStyle name="Normal 9 2 37" xfId="38426" xr:uid="{00000000-0005-0000-0000-00001A960000}"/>
    <cellStyle name="Normal 9 2 38" xfId="38427" xr:uid="{00000000-0005-0000-0000-00001B960000}"/>
    <cellStyle name="Normal 9 2 39" xfId="38428" xr:uid="{00000000-0005-0000-0000-00001C960000}"/>
    <cellStyle name="Normal 9 2 4" xfId="38429" xr:uid="{00000000-0005-0000-0000-00001D960000}"/>
    <cellStyle name="Normal 9 2 40" xfId="38430" xr:uid="{00000000-0005-0000-0000-00001E960000}"/>
    <cellStyle name="Normal 9 2 41" xfId="38431" xr:uid="{00000000-0005-0000-0000-00001F960000}"/>
    <cellStyle name="Normal 9 2 42" xfId="38432" xr:uid="{00000000-0005-0000-0000-000020960000}"/>
    <cellStyle name="Normal 9 2 43" xfId="38433" xr:uid="{00000000-0005-0000-0000-000021960000}"/>
    <cellStyle name="Normal 9 2 44" xfId="38434" xr:uid="{00000000-0005-0000-0000-000022960000}"/>
    <cellStyle name="Normal 9 2 45" xfId="38435" xr:uid="{00000000-0005-0000-0000-000023960000}"/>
    <cellStyle name="Normal 9 2 46" xfId="38436" xr:uid="{00000000-0005-0000-0000-000024960000}"/>
    <cellStyle name="Normal 9 2 47" xfId="38437" xr:uid="{00000000-0005-0000-0000-000025960000}"/>
    <cellStyle name="Normal 9 2 48" xfId="38438" xr:uid="{00000000-0005-0000-0000-000026960000}"/>
    <cellStyle name="Normal 9 2 49" xfId="38439" xr:uid="{00000000-0005-0000-0000-000027960000}"/>
    <cellStyle name="Normal 9 2 5" xfId="38440" xr:uid="{00000000-0005-0000-0000-000028960000}"/>
    <cellStyle name="Normal 9 2 50" xfId="38441" xr:uid="{00000000-0005-0000-0000-000029960000}"/>
    <cellStyle name="Normal 9 2 51" xfId="38442" xr:uid="{00000000-0005-0000-0000-00002A960000}"/>
    <cellStyle name="Normal 9 2 52" xfId="38443" xr:uid="{00000000-0005-0000-0000-00002B960000}"/>
    <cellStyle name="Normal 9 2 53" xfId="38444" xr:uid="{00000000-0005-0000-0000-00002C960000}"/>
    <cellStyle name="Normal 9 2 54" xfId="38445" xr:uid="{00000000-0005-0000-0000-00002D960000}"/>
    <cellStyle name="Normal 9 2 55" xfId="38446" xr:uid="{00000000-0005-0000-0000-00002E960000}"/>
    <cellStyle name="Normal 9 2 56" xfId="38447" xr:uid="{00000000-0005-0000-0000-00002F960000}"/>
    <cellStyle name="Normal 9 2 57" xfId="38448" xr:uid="{00000000-0005-0000-0000-000030960000}"/>
    <cellStyle name="Normal 9 2 58" xfId="38449" xr:uid="{00000000-0005-0000-0000-000031960000}"/>
    <cellStyle name="Normal 9 2 59" xfId="38450" xr:uid="{00000000-0005-0000-0000-000032960000}"/>
    <cellStyle name="Normal 9 2 6" xfId="38451" xr:uid="{00000000-0005-0000-0000-000033960000}"/>
    <cellStyle name="Normal 9 2 60" xfId="38452" xr:uid="{00000000-0005-0000-0000-000034960000}"/>
    <cellStyle name="Normal 9 2 61" xfId="38453" xr:uid="{00000000-0005-0000-0000-000035960000}"/>
    <cellStyle name="Normal 9 2 62" xfId="38454" xr:uid="{00000000-0005-0000-0000-000036960000}"/>
    <cellStyle name="Normal 9 2 63" xfId="38455" xr:uid="{00000000-0005-0000-0000-000037960000}"/>
    <cellStyle name="Normal 9 2 64" xfId="38456" xr:uid="{00000000-0005-0000-0000-000038960000}"/>
    <cellStyle name="Normal 9 2 65" xfId="38457" xr:uid="{00000000-0005-0000-0000-000039960000}"/>
    <cellStyle name="Normal 9 2 66" xfId="38458" xr:uid="{00000000-0005-0000-0000-00003A960000}"/>
    <cellStyle name="Normal 9 2 67" xfId="38459" xr:uid="{00000000-0005-0000-0000-00003B960000}"/>
    <cellStyle name="Normal 9 2 68" xfId="38460" xr:uid="{00000000-0005-0000-0000-00003C960000}"/>
    <cellStyle name="Normal 9 2 69" xfId="38461" xr:uid="{00000000-0005-0000-0000-00003D960000}"/>
    <cellStyle name="Normal 9 2 7" xfId="38462" xr:uid="{00000000-0005-0000-0000-00003E960000}"/>
    <cellStyle name="Normal 9 2 70" xfId="38463" xr:uid="{00000000-0005-0000-0000-00003F960000}"/>
    <cellStyle name="Normal 9 2 71" xfId="38464" xr:uid="{00000000-0005-0000-0000-000040960000}"/>
    <cellStyle name="Normal 9 2 72" xfId="38465" xr:uid="{00000000-0005-0000-0000-000041960000}"/>
    <cellStyle name="Normal 9 2 73" xfId="38466" xr:uid="{00000000-0005-0000-0000-000042960000}"/>
    <cellStyle name="Normal 9 2 74" xfId="38467" xr:uid="{00000000-0005-0000-0000-000043960000}"/>
    <cellStyle name="Normal 9 2 75" xfId="38468" xr:uid="{00000000-0005-0000-0000-000044960000}"/>
    <cellStyle name="Normal 9 2 76" xfId="38469" xr:uid="{00000000-0005-0000-0000-000045960000}"/>
    <cellStyle name="Normal 9 2 77" xfId="38470" xr:uid="{00000000-0005-0000-0000-000046960000}"/>
    <cellStyle name="Normal 9 2 78" xfId="38471" xr:uid="{00000000-0005-0000-0000-000047960000}"/>
    <cellStyle name="Normal 9 2 79" xfId="38472" xr:uid="{00000000-0005-0000-0000-000048960000}"/>
    <cellStyle name="Normal 9 2 8" xfId="38473" xr:uid="{00000000-0005-0000-0000-000049960000}"/>
    <cellStyle name="Normal 9 2 9" xfId="38474" xr:uid="{00000000-0005-0000-0000-00004A960000}"/>
    <cellStyle name="Normal 9 2_Enlaces" xfId="38475" xr:uid="{00000000-0005-0000-0000-00004B960000}"/>
    <cellStyle name="Normal 9 20" xfId="38476" xr:uid="{00000000-0005-0000-0000-00004C960000}"/>
    <cellStyle name="Normal 9 20 2" xfId="38477" xr:uid="{00000000-0005-0000-0000-00004D960000}"/>
    <cellStyle name="Normal 9 20 2 2" xfId="38478" xr:uid="{00000000-0005-0000-0000-00004E960000}"/>
    <cellStyle name="Normal 9 20 2 3" xfId="38479" xr:uid="{00000000-0005-0000-0000-00004F960000}"/>
    <cellStyle name="Normal 9 20 3" xfId="38480" xr:uid="{00000000-0005-0000-0000-000050960000}"/>
    <cellStyle name="Normal 9 20 4" xfId="38481" xr:uid="{00000000-0005-0000-0000-000051960000}"/>
    <cellStyle name="Normal 9 21" xfId="38482" xr:uid="{00000000-0005-0000-0000-000052960000}"/>
    <cellStyle name="Normal 9 21 2" xfId="38483" xr:uid="{00000000-0005-0000-0000-000053960000}"/>
    <cellStyle name="Normal 9 21 2 2" xfId="38484" xr:uid="{00000000-0005-0000-0000-000054960000}"/>
    <cellStyle name="Normal 9 21 2 3" xfId="38485" xr:uid="{00000000-0005-0000-0000-000055960000}"/>
    <cellStyle name="Normal 9 21 3" xfId="38486" xr:uid="{00000000-0005-0000-0000-000056960000}"/>
    <cellStyle name="Normal 9 21 4" xfId="38487" xr:uid="{00000000-0005-0000-0000-000057960000}"/>
    <cellStyle name="Normal 9 22" xfId="38488" xr:uid="{00000000-0005-0000-0000-000058960000}"/>
    <cellStyle name="Normal 9 22 2" xfId="38489" xr:uid="{00000000-0005-0000-0000-000059960000}"/>
    <cellStyle name="Normal 9 22 2 2" xfId="38490" xr:uid="{00000000-0005-0000-0000-00005A960000}"/>
    <cellStyle name="Normal 9 22 2 3" xfId="38491" xr:uid="{00000000-0005-0000-0000-00005B960000}"/>
    <cellStyle name="Normal 9 22 3" xfId="38492" xr:uid="{00000000-0005-0000-0000-00005C960000}"/>
    <cellStyle name="Normal 9 22 4" xfId="38493" xr:uid="{00000000-0005-0000-0000-00005D960000}"/>
    <cellStyle name="Normal 9 23" xfId="38494" xr:uid="{00000000-0005-0000-0000-00005E960000}"/>
    <cellStyle name="Normal 9 23 2" xfId="38495" xr:uid="{00000000-0005-0000-0000-00005F960000}"/>
    <cellStyle name="Normal 9 23 2 2" xfId="38496" xr:uid="{00000000-0005-0000-0000-000060960000}"/>
    <cellStyle name="Normal 9 23 2 3" xfId="38497" xr:uid="{00000000-0005-0000-0000-000061960000}"/>
    <cellStyle name="Normal 9 23 3" xfId="38498" xr:uid="{00000000-0005-0000-0000-000062960000}"/>
    <cellStyle name="Normal 9 23 4" xfId="38499" xr:uid="{00000000-0005-0000-0000-000063960000}"/>
    <cellStyle name="Normal 9 24" xfId="38500" xr:uid="{00000000-0005-0000-0000-000064960000}"/>
    <cellStyle name="Normal 9 24 2" xfId="38501" xr:uid="{00000000-0005-0000-0000-000065960000}"/>
    <cellStyle name="Normal 9 24 2 2" xfId="38502" xr:uid="{00000000-0005-0000-0000-000066960000}"/>
    <cellStyle name="Normal 9 24 2 3" xfId="38503" xr:uid="{00000000-0005-0000-0000-000067960000}"/>
    <cellStyle name="Normal 9 24 3" xfId="38504" xr:uid="{00000000-0005-0000-0000-000068960000}"/>
    <cellStyle name="Normal 9 24 4" xfId="38505" xr:uid="{00000000-0005-0000-0000-000069960000}"/>
    <cellStyle name="Normal 9 25" xfId="38506" xr:uid="{00000000-0005-0000-0000-00006A960000}"/>
    <cellStyle name="Normal 9 25 2" xfId="38507" xr:uid="{00000000-0005-0000-0000-00006B960000}"/>
    <cellStyle name="Normal 9 25 2 2" xfId="38508" xr:uid="{00000000-0005-0000-0000-00006C960000}"/>
    <cellStyle name="Normal 9 25 2 3" xfId="38509" xr:uid="{00000000-0005-0000-0000-00006D960000}"/>
    <cellStyle name="Normal 9 25 3" xfId="38510" xr:uid="{00000000-0005-0000-0000-00006E960000}"/>
    <cellStyle name="Normal 9 25 4" xfId="38511" xr:uid="{00000000-0005-0000-0000-00006F960000}"/>
    <cellStyle name="Normal 9 26" xfId="38512" xr:uid="{00000000-0005-0000-0000-000070960000}"/>
    <cellStyle name="Normal 9 26 2" xfId="38513" xr:uid="{00000000-0005-0000-0000-000071960000}"/>
    <cellStyle name="Normal 9 26 2 2" xfId="38514" xr:uid="{00000000-0005-0000-0000-000072960000}"/>
    <cellStyle name="Normal 9 26 2 3" xfId="38515" xr:uid="{00000000-0005-0000-0000-000073960000}"/>
    <cellStyle name="Normal 9 26 3" xfId="38516" xr:uid="{00000000-0005-0000-0000-000074960000}"/>
    <cellStyle name="Normal 9 26 4" xfId="38517" xr:uid="{00000000-0005-0000-0000-000075960000}"/>
    <cellStyle name="Normal 9 27" xfId="38518" xr:uid="{00000000-0005-0000-0000-000076960000}"/>
    <cellStyle name="Normal 9 27 2" xfId="38519" xr:uid="{00000000-0005-0000-0000-000077960000}"/>
    <cellStyle name="Normal 9 27 2 2" xfId="38520" xr:uid="{00000000-0005-0000-0000-000078960000}"/>
    <cellStyle name="Normal 9 27 2 3" xfId="38521" xr:uid="{00000000-0005-0000-0000-000079960000}"/>
    <cellStyle name="Normal 9 27 3" xfId="38522" xr:uid="{00000000-0005-0000-0000-00007A960000}"/>
    <cellStyle name="Normal 9 27 4" xfId="38523" xr:uid="{00000000-0005-0000-0000-00007B960000}"/>
    <cellStyle name="Normal 9 28" xfId="38524" xr:uid="{00000000-0005-0000-0000-00007C960000}"/>
    <cellStyle name="Normal 9 28 2" xfId="38525" xr:uid="{00000000-0005-0000-0000-00007D960000}"/>
    <cellStyle name="Normal 9 28 2 2" xfId="38526" xr:uid="{00000000-0005-0000-0000-00007E960000}"/>
    <cellStyle name="Normal 9 28 2 3" xfId="38527" xr:uid="{00000000-0005-0000-0000-00007F960000}"/>
    <cellStyle name="Normal 9 28 3" xfId="38528" xr:uid="{00000000-0005-0000-0000-000080960000}"/>
    <cellStyle name="Normal 9 28 4" xfId="38529" xr:uid="{00000000-0005-0000-0000-000081960000}"/>
    <cellStyle name="Normal 9 29" xfId="38530" xr:uid="{00000000-0005-0000-0000-000082960000}"/>
    <cellStyle name="Normal 9 29 2" xfId="38531" xr:uid="{00000000-0005-0000-0000-000083960000}"/>
    <cellStyle name="Normal 9 29 2 2" xfId="38532" xr:uid="{00000000-0005-0000-0000-000084960000}"/>
    <cellStyle name="Normal 9 29 2 3" xfId="38533" xr:uid="{00000000-0005-0000-0000-000085960000}"/>
    <cellStyle name="Normal 9 29 3" xfId="38534" xr:uid="{00000000-0005-0000-0000-000086960000}"/>
    <cellStyle name="Normal 9 29 4" xfId="38535" xr:uid="{00000000-0005-0000-0000-000087960000}"/>
    <cellStyle name="Normal 9 3" xfId="38536" xr:uid="{00000000-0005-0000-0000-000088960000}"/>
    <cellStyle name="Normal 9 3 2" xfId="38537" xr:uid="{00000000-0005-0000-0000-000089960000}"/>
    <cellStyle name="Normal 9 3 2 2" xfId="38538" xr:uid="{00000000-0005-0000-0000-00008A960000}"/>
    <cellStyle name="Normal 9 3 2 2 2" xfId="38539" xr:uid="{00000000-0005-0000-0000-00008B960000}"/>
    <cellStyle name="Normal 9 3 2 2 3" xfId="38540" xr:uid="{00000000-0005-0000-0000-00008C960000}"/>
    <cellStyle name="Normal 9 3 2 3" xfId="38541" xr:uid="{00000000-0005-0000-0000-00008D960000}"/>
    <cellStyle name="Normal 9 3 2 4" xfId="38542" xr:uid="{00000000-0005-0000-0000-00008E960000}"/>
    <cellStyle name="Normal 9 3 3" xfId="38543" xr:uid="{00000000-0005-0000-0000-00008F960000}"/>
    <cellStyle name="Normal 9 3 3 2" xfId="38544" xr:uid="{00000000-0005-0000-0000-000090960000}"/>
    <cellStyle name="Normal 9 3 3 2 2" xfId="38545" xr:uid="{00000000-0005-0000-0000-000091960000}"/>
    <cellStyle name="Normal 9 3 3 2 3" xfId="38546" xr:uid="{00000000-0005-0000-0000-000092960000}"/>
    <cellStyle name="Normal 9 3 3 3" xfId="38547" xr:uid="{00000000-0005-0000-0000-000093960000}"/>
    <cellStyle name="Normal 9 3 3 4" xfId="38548" xr:uid="{00000000-0005-0000-0000-000094960000}"/>
    <cellStyle name="Normal 9 3 4" xfId="38549" xr:uid="{00000000-0005-0000-0000-000095960000}"/>
    <cellStyle name="Normal 9 3 4 2" xfId="38550" xr:uid="{00000000-0005-0000-0000-000096960000}"/>
    <cellStyle name="Normal 9 3 4 2 2" xfId="38551" xr:uid="{00000000-0005-0000-0000-000097960000}"/>
    <cellStyle name="Normal 9 3 4 2 2 2" xfId="38552" xr:uid="{00000000-0005-0000-0000-000098960000}"/>
    <cellStyle name="Normal 9 3 4 2 2 2 2" xfId="38553" xr:uid="{00000000-0005-0000-0000-000099960000}"/>
    <cellStyle name="Normal 9 3 4 2 2 2 3" xfId="38554" xr:uid="{00000000-0005-0000-0000-00009A960000}"/>
    <cellStyle name="Normal 9 3 4 2 2 3" xfId="38555" xr:uid="{00000000-0005-0000-0000-00009B960000}"/>
    <cellStyle name="Normal 9 3 4 2 2 4" xfId="38556" xr:uid="{00000000-0005-0000-0000-00009C960000}"/>
    <cellStyle name="Normal 9 3 4 3" xfId="38557" xr:uid="{00000000-0005-0000-0000-00009D960000}"/>
    <cellStyle name="Normal 9 3 4 3 2" xfId="38558" xr:uid="{00000000-0005-0000-0000-00009E960000}"/>
    <cellStyle name="Normal 9 3 4 3 2 2" xfId="38559" xr:uid="{00000000-0005-0000-0000-00009F960000}"/>
    <cellStyle name="Normal 9 3 4 3 2 3" xfId="38560" xr:uid="{00000000-0005-0000-0000-0000A0960000}"/>
    <cellStyle name="Normal 9 3 4 3 3" xfId="38561" xr:uid="{00000000-0005-0000-0000-0000A1960000}"/>
    <cellStyle name="Normal 9 3 4 3 4" xfId="38562" xr:uid="{00000000-0005-0000-0000-0000A2960000}"/>
    <cellStyle name="Normal 9 3 4 4" xfId="38563" xr:uid="{00000000-0005-0000-0000-0000A3960000}"/>
    <cellStyle name="Normal 9 3 4 4 2" xfId="38564" xr:uid="{00000000-0005-0000-0000-0000A4960000}"/>
    <cellStyle name="Normal 9 3 4 4 3" xfId="38565" xr:uid="{00000000-0005-0000-0000-0000A5960000}"/>
    <cellStyle name="Normal 9 3 4 5" xfId="38566" xr:uid="{00000000-0005-0000-0000-0000A6960000}"/>
    <cellStyle name="Normal 9 3 5" xfId="38567" xr:uid="{00000000-0005-0000-0000-0000A7960000}"/>
    <cellStyle name="Normal 9 3 5 2" xfId="38568" xr:uid="{00000000-0005-0000-0000-0000A8960000}"/>
    <cellStyle name="Normal 9 3 5 2 2" xfId="38569" xr:uid="{00000000-0005-0000-0000-0000A9960000}"/>
    <cellStyle name="Normal 9 3 5 2 3" xfId="38570" xr:uid="{00000000-0005-0000-0000-0000AA960000}"/>
    <cellStyle name="Normal 9 3 5 3" xfId="38571" xr:uid="{00000000-0005-0000-0000-0000AB960000}"/>
    <cellStyle name="Normal 9 3 5 4" xfId="38572" xr:uid="{00000000-0005-0000-0000-0000AC960000}"/>
    <cellStyle name="Normal 9 3 6" xfId="38573" xr:uid="{00000000-0005-0000-0000-0000AD960000}"/>
    <cellStyle name="Normal 9 3 6 2" xfId="38574" xr:uid="{00000000-0005-0000-0000-0000AE960000}"/>
    <cellStyle name="Normal 9 3 6 2 2" xfId="38575" xr:uid="{00000000-0005-0000-0000-0000AF960000}"/>
    <cellStyle name="Normal 9 3 6 2 3" xfId="38576" xr:uid="{00000000-0005-0000-0000-0000B0960000}"/>
    <cellStyle name="Normal 9 3 6 3" xfId="38577" xr:uid="{00000000-0005-0000-0000-0000B1960000}"/>
    <cellStyle name="Normal 9 3 6 4" xfId="38578" xr:uid="{00000000-0005-0000-0000-0000B2960000}"/>
    <cellStyle name="Normal 9 3 7" xfId="38579" xr:uid="{00000000-0005-0000-0000-0000B3960000}"/>
    <cellStyle name="Normal 9 3 7 2" xfId="38580" xr:uid="{00000000-0005-0000-0000-0000B4960000}"/>
    <cellStyle name="Normal 9 3 7 3" xfId="38581" xr:uid="{00000000-0005-0000-0000-0000B5960000}"/>
    <cellStyle name="Normal 9 3 7 3 2" xfId="38582" xr:uid="{00000000-0005-0000-0000-0000B6960000}"/>
    <cellStyle name="Normal 9 3 7 3 3" xfId="38583" xr:uid="{00000000-0005-0000-0000-0000B7960000}"/>
    <cellStyle name="Normal 9 3 7 4" xfId="38584" xr:uid="{00000000-0005-0000-0000-0000B8960000}"/>
    <cellStyle name="Normal 9 3 8" xfId="38585" xr:uid="{00000000-0005-0000-0000-0000B9960000}"/>
    <cellStyle name="Normal 9 3 9" xfId="38586" xr:uid="{00000000-0005-0000-0000-0000BA960000}"/>
    <cellStyle name="Normal 9 3 9 2" xfId="38587" xr:uid="{00000000-0005-0000-0000-0000BB960000}"/>
    <cellStyle name="Normal 9 3 9 2 2" xfId="38588" xr:uid="{00000000-0005-0000-0000-0000BC960000}"/>
    <cellStyle name="Normal 9 3 9 2 3" xfId="38589" xr:uid="{00000000-0005-0000-0000-0000BD960000}"/>
    <cellStyle name="Normal 9 3 9 3" xfId="38590" xr:uid="{00000000-0005-0000-0000-0000BE960000}"/>
    <cellStyle name="Normal 9 3 9 4" xfId="38591" xr:uid="{00000000-0005-0000-0000-0000BF960000}"/>
    <cellStyle name="Normal 9 3_Implem" xfId="38592" xr:uid="{00000000-0005-0000-0000-0000C0960000}"/>
    <cellStyle name="Normal 9 30" xfId="39520" xr:uid="{00000000-0005-0000-0000-0000609A0000}"/>
    <cellStyle name="Normal 9 31" xfId="38383" xr:uid="{00000000-0005-0000-0000-0000EF950000}"/>
    <cellStyle name="Normal 9 4" xfId="38593" xr:uid="{00000000-0005-0000-0000-0000C1960000}"/>
    <cellStyle name="Normal 9 4 2" xfId="38594" xr:uid="{00000000-0005-0000-0000-0000C2960000}"/>
    <cellStyle name="Normal 9 4 2 2" xfId="38595" xr:uid="{00000000-0005-0000-0000-0000C3960000}"/>
    <cellStyle name="Normal 9 4 2 3" xfId="38596" xr:uid="{00000000-0005-0000-0000-0000C4960000}"/>
    <cellStyle name="Normal 9 4 3" xfId="38597" xr:uid="{00000000-0005-0000-0000-0000C5960000}"/>
    <cellStyle name="Normal 9 4 4" xfId="38598" xr:uid="{00000000-0005-0000-0000-0000C6960000}"/>
    <cellStyle name="Normal 9 5" xfId="38599" xr:uid="{00000000-0005-0000-0000-0000C7960000}"/>
    <cellStyle name="Normal 9 5 2" xfId="38600" xr:uid="{00000000-0005-0000-0000-0000C8960000}"/>
    <cellStyle name="Normal 9 5 2 2" xfId="38601" xr:uid="{00000000-0005-0000-0000-0000C9960000}"/>
    <cellStyle name="Normal 9 5 2 3" xfId="38602" xr:uid="{00000000-0005-0000-0000-0000CA960000}"/>
    <cellStyle name="Normal 9 5 3" xfId="38603" xr:uid="{00000000-0005-0000-0000-0000CB960000}"/>
    <cellStyle name="Normal 9 5 4" xfId="38604" xr:uid="{00000000-0005-0000-0000-0000CC960000}"/>
    <cellStyle name="Normal 9 6" xfId="38605" xr:uid="{00000000-0005-0000-0000-0000CD960000}"/>
    <cellStyle name="Normal 9 6 2" xfId="38606" xr:uid="{00000000-0005-0000-0000-0000CE960000}"/>
    <cellStyle name="Normal 9 6 2 2" xfId="38607" xr:uid="{00000000-0005-0000-0000-0000CF960000}"/>
    <cellStyle name="Normal 9 6 2 3" xfId="38608" xr:uid="{00000000-0005-0000-0000-0000D0960000}"/>
    <cellStyle name="Normal 9 6 3" xfId="38609" xr:uid="{00000000-0005-0000-0000-0000D1960000}"/>
    <cellStyle name="Normal 9 6 4" xfId="38610" xr:uid="{00000000-0005-0000-0000-0000D2960000}"/>
    <cellStyle name="Normal 9 7" xfId="38611" xr:uid="{00000000-0005-0000-0000-0000D3960000}"/>
    <cellStyle name="Normal 9 7 2" xfId="38612" xr:uid="{00000000-0005-0000-0000-0000D4960000}"/>
    <cellStyle name="Normal 9 7 2 2" xfId="38613" xr:uid="{00000000-0005-0000-0000-0000D5960000}"/>
    <cellStyle name="Normal 9 7 2 3" xfId="38614" xr:uid="{00000000-0005-0000-0000-0000D6960000}"/>
    <cellStyle name="Normal 9 7 3" xfId="38615" xr:uid="{00000000-0005-0000-0000-0000D7960000}"/>
    <cellStyle name="Normal 9 7 4" xfId="38616" xr:uid="{00000000-0005-0000-0000-0000D8960000}"/>
    <cellStyle name="Normal 9 8" xfId="38617" xr:uid="{00000000-0005-0000-0000-0000D9960000}"/>
    <cellStyle name="Normal 9 8 2" xfId="38618" xr:uid="{00000000-0005-0000-0000-0000DA960000}"/>
    <cellStyle name="Normal 9 8 2 2" xfId="38619" xr:uid="{00000000-0005-0000-0000-0000DB960000}"/>
    <cellStyle name="Normal 9 8 2 3" xfId="38620" xr:uid="{00000000-0005-0000-0000-0000DC960000}"/>
    <cellStyle name="Normal 9 8 3" xfId="38621" xr:uid="{00000000-0005-0000-0000-0000DD960000}"/>
    <cellStyle name="Normal 9 8 4" xfId="38622" xr:uid="{00000000-0005-0000-0000-0000DE960000}"/>
    <cellStyle name="Normal 9 9" xfId="38623" xr:uid="{00000000-0005-0000-0000-0000DF960000}"/>
    <cellStyle name="Normal 9 9 2" xfId="38624" xr:uid="{00000000-0005-0000-0000-0000E0960000}"/>
    <cellStyle name="Normal 9 9 2 2" xfId="38625" xr:uid="{00000000-0005-0000-0000-0000E1960000}"/>
    <cellStyle name="Normal 9 9 2 3" xfId="38626" xr:uid="{00000000-0005-0000-0000-0000E2960000}"/>
    <cellStyle name="Normal 9 9 3" xfId="38627" xr:uid="{00000000-0005-0000-0000-0000E3960000}"/>
    <cellStyle name="Normal 9 9 4" xfId="38628" xr:uid="{00000000-0005-0000-0000-0000E4960000}"/>
    <cellStyle name="Normal 90" xfId="38629" xr:uid="{00000000-0005-0000-0000-0000E5960000}"/>
    <cellStyle name="Normal 90 2" xfId="38630" xr:uid="{00000000-0005-0000-0000-0000E6960000}"/>
    <cellStyle name="Normal 90 2 2" xfId="38631" xr:uid="{00000000-0005-0000-0000-0000E7960000}"/>
    <cellStyle name="Normal 90 2 2 2" xfId="38632" xr:uid="{00000000-0005-0000-0000-0000E8960000}"/>
    <cellStyle name="Normal 90 2 2 3" xfId="38633" xr:uid="{00000000-0005-0000-0000-0000E9960000}"/>
    <cellStyle name="Normal 90 2 3" xfId="38634" xr:uid="{00000000-0005-0000-0000-0000EA960000}"/>
    <cellStyle name="Normal 90 2 4" xfId="38635" xr:uid="{00000000-0005-0000-0000-0000EB960000}"/>
    <cellStyle name="Normal 90 3" xfId="38636" xr:uid="{00000000-0005-0000-0000-0000EC960000}"/>
    <cellStyle name="Normal 90 3 2" xfId="38637" xr:uid="{00000000-0005-0000-0000-0000ED960000}"/>
    <cellStyle name="Normal 90 3 3" xfId="38638" xr:uid="{00000000-0005-0000-0000-0000EE960000}"/>
    <cellStyle name="Normal 90 4" xfId="38639" xr:uid="{00000000-0005-0000-0000-0000EF960000}"/>
    <cellStyle name="Normal 90 5" xfId="38640" xr:uid="{00000000-0005-0000-0000-0000F0960000}"/>
    <cellStyle name="Normal 91" xfId="38641" xr:uid="{00000000-0005-0000-0000-0000F1960000}"/>
    <cellStyle name="Normal 91 2" xfId="38642" xr:uid="{00000000-0005-0000-0000-0000F2960000}"/>
    <cellStyle name="Normal 91 2 2" xfId="38643" xr:uid="{00000000-0005-0000-0000-0000F3960000}"/>
    <cellStyle name="Normal 91 2 2 2" xfId="38644" xr:uid="{00000000-0005-0000-0000-0000F4960000}"/>
    <cellStyle name="Normal 91 2 2 3" xfId="38645" xr:uid="{00000000-0005-0000-0000-0000F5960000}"/>
    <cellStyle name="Normal 91 2 3" xfId="38646" xr:uid="{00000000-0005-0000-0000-0000F6960000}"/>
    <cellStyle name="Normal 91 2 4" xfId="38647" xr:uid="{00000000-0005-0000-0000-0000F7960000}"/>
    <cellStyle name="Normal 91 3" xfId="38648" xr:uid="{00000000-0005-0000-0000-0000F8960000}"/>
    <cellStyle name="Normal 91 3 2" xfId="38649" xr:uid="{00000000-0005-0000-0000-0000F9960000}"/>
    <cellStyle name="Normal 91 3 3" xfId="38650" xr:uid="{00000000-0005-0000-0000-0000FA960000}"/>
    <cellStyle name="Normal 91 4" xfId="38651" xr:uid="{00000000-0005-0000-0000-0000FB960000}"/>
    <cellStyle name="Normal 91 5" xfId="38652" xr:uid="{00000000-0005-0000-0000-0000FC960000}"/>
    <cellStyle name="Normal 92" xfId="38653" xr:uid="{00000000-0005-0000-0000-0000FD960000}"/>
    <cellStyle name="Normal 92 2" xfId="38654" xr:uid="{00000000-0005-0000-0000-0000FE960000}"/>
    <cellStyle name="Normal 92 2 2" xfId="38655" xr:uid="{00000000-0005-0000-0000-0000FF960000}"/>
    <cellStyle name="Normal 92 2 2 2" xfId="38656" xr:uid="{00000000-0005-0000-0000-000000970000}"/>
    <cellStyle name="Normal 92 2 2 3" xfId="38657" xr:uid="{00000000-0005-0000-0000-000001970000}"/>
    <cellStyle name="Normal 92 2 3" xfId="38658" xr:uid="{00000000-0005-0000-0000-000002970000}"/>
    <cellStyle name="Normal 92 2 4" xfId="38659" xr:uid="{00000000-0005-0000-0000-000003970000}"/>
    <cellStyle name="Normal 92 3" xfId="38660" xr:uid="{00000000-0005-0000-0000-000004970000}"/>
    <cellStyle name="Normal 92 3 2" xfId="38661" xr:uid="{00000000-0005-0000-0000-000005970000}"/>
    <cellStyle name="Normal 92 3 3" xfId="38662" xr:uid="{00000000-0005-0000-0000-000006970000}"/>
    <cellStyle name="Normal 92 4" xfId="38663" xr:uid="{00000000-0005-0000-0000-000007970000}"/>
    <cellStyle name="Normal 92 5" xfId="38664" xr:uid="{00000000-0005-0000-0000-000008970000}"/>
    <cellStyle name="Normal 92 6" xfId="38665" xr:uid="{00000000-0005-0000-0000-000009970000}"/>
    <cellStyle name="Normal 92 7" xfId="39538" xr:uid="{00000000-0005-0000-0000-0000729A0000}"/>
    <cellStyle name="Normal 93" xfId="38666" xr:uid="{00000000-0005-0000-0000-00000A970000}"/>
    <cellStyle name="Normal 93 2" xfId="38667" xr:uid="{00000000-0005-0000-0000-00000B970000}"/>
    <cellStyle name="Normal 93 2 2" xfId="38668" xr:uid="{00000000-0005-0000-0000-00000C970000}"/>
    <cellStyle name="Normal 93 2 2 2" xfId="38669" xr:uid="{00000000-0005-0000-0000-00000D970000}"/>
    <cellStyle name="Normal 93 2 2 3" xfId="38670" xr:uid="{00000000-0005-0000-0000-00000E970000}"/>
    <cellStyle name="Normal 93 2 3" xfId="38671" xr:uid="{00000000-0005-0000-0000-00000F970000}"/>
    <cellStyle name="Normal 93 2 4" xfId="38672" xr:uid="{00000000-0005-0000-0000-000010970000}"/>
    <cellStyle name="Normal 93 3" xfId="38673" xr:uid="{00000000-0005-0000-0000-000011970000}"/>
    <cellStyle name="Normal 93 3 2" xfId="38674" xr:uid="{00000000-0005-0000-0000-000012970000}"/>
    <cellStyle name="Normal 93 3 3" xfId="38675" xr:uid="{00000000-0005-0000-0000-000013970000}"/>
    <cellStyle name="Normal 93 4" xfId="38676" xr:uid="{00000000-0005-0000-0000-000014970000}"/>
    <cellStyle name="Normal 93 5" xfId="38677" xr:uid="{00000000-0005-0000-0000-000015970000}"/>
    <cellStyle name="Normal 93 6" xfId="38678" xr:uid="{00000000-0005-0000-0000-000016970000}"/>
    <cellStyle name="Normal 93 7" xfId="39539" xr:uid="{00000000-0005-0000-0000-0000739A0000}"/>
    <cellStyle name="Normal 94" xfId="38679" xr:uid="{00000000-0005-0000-0000-000017970000}"/>
    <cellStyle name="Normal 94 2" xfId="38680" xr:uid="{00000000-0005-0000-0000-000018970000}"/>
    <cellStyle name="Normal 94 2 2" xfId="38681" xr:uid="{00000000-0005-0000-0000-000019970000}"/>
    <cellStyle name="Normal 94 2 2 2" xfId="38682" xr:uid="{00000000-0005-0000-0000-00001A970000}"/>
    <cellStyle name="Normal 94 2 2 3" xfId="38683" xr:uid="{00000000-0005-0000-0000-00001B970000}"/>
    <cellStyle name="Normal 94 2 3" xfId="38684" xr:uid="{00000000-0005-0000-0000-00001C970000}"/>
    <cellStyle name="Normal 94 2 4" xfId="38685" xr:uid="{00000000-0005-0000-0000-00001D970000}"/>
    <cellStyle name="Normal 94 3" xfId="38686" xr:uid="{00000000-0005-0000-0000-00001E970000}"/>
    <cellStyle name="Normal 94 3 2" xfId="38687" xr:uid="{00000000-0005-0000-0000-00001F970000}"/>
    <cellStyle name="Normal 94 3 3" xfId="38688" xr:uid="{00000000-0005-0000-0000-000020970000}"/>
    <cellStyle name="Normal 94 4" xfId="38689" xr:uid="{00000000-0005-0000-0000-000021970000}"/>
    <cellStyle name="Normal 94 5" xfId="38690" xr:uid="{00000000-0005-0000-0000-000022970000}"/>
    <cellStyle name="Normal 94 6" xfId="38691" xr:uid="{00000000-0005-0000-0000-000023970000}"/>
    <cellStyle name="Normal 95" xfId="38692" xr:uid="{00000000-0005-0000-0000-000024970000}"/>
    <cellStyle name="Normal 95 2" xfId="38693" xr:uid="{00000000-0005-0000-0000-000025970000}"/>
    <cellStyle name="Normal 95 2 2" xfId="38694" xr:uid="{00000000-0005-0000-0000-000026970000}"/>
    <cellStyle name="Normal 95 2 2 2" xfId="38695" xr:uid="{00000000-0005-0000-0000-000027970000}"/>
    <cellStyle name="Normal 95 2 2 3" xfId="38696" xr:uid="{00000000-0005-0000-0000-000028970000}"/>
    <cellStyle name="Normal 95 2 3" xfId="38697" xr:uid="{00000000-0005-0000-0000-000029970000}"/>
    <cellStyle name="Normal 95 2 4" xfId="38698" xr:uid="{00000000-0005-0000-0000-00002A970000}"/>
    <cellStyle name="Normal 95 3" xfId="38699" xr:uid="{00000000-0005-0000-0000-00002B970000}"/>
    <cellStyle name="Normal 95 3 2" xfId="38700" xr:uid="{00000000-0005-0000-0000-00002C970000}"/>
    <cellStyle name="Normal 95 3 3" xfId="38701" xr:uid="{00000000-0005-0000-0000-00002D970000}"/>
    <cellStyle name="Normal 95 4" xfId="38702" xr:uid="{00000000-0005-0000-0000-00002E970000}"/>
    <cellStyle name="Normal 95 5" xfId="38703" xr:uid="{00000000-0005-0000-0000-00002F970000}"/>
    <cellStyle name="Normal 96" xfId="38704" xr:uid="{00000000-0005-0000-0000-000030970000}"/>
    <cellStyle name="Normal 96 2" xfId="38705" xr:uid="{00000000-0005-0000-0000-000031970000}"/>
    <cellStyle name="Normal 96 2 2" xfId="38706" xr:uid="{00000000-0005-0000-0000-000032970000}"/>
    <cellStyle name="Normal 96 2 2 2" xfId="38707" xr:uid="{00000000-0005-0000-0000-000033970000}"/>
    <cellStyle name="Normal 96 2 2 3" xfId="38708" xr:uid="{00000000-0005-0000-0000-000034970000}"/>
    <cellStyle name="Normal 96 2 3" xfId="38709" xr:uid="{00000000-0005-0000-0000-000035970000}"/>
    <cellStyle name="Normal 96 2 4" xfId="38710" xr:uid="{00000000-0005-0000-0000-000036970000}"/>
    <cellStyle name="Normal 96 3" xfId="38711" xr:uid="{00000000-0005-0000-0000-000037970000}"/>
    <cellStyle name="Normal 96 3 2" xfId="38712" xr:uid="{00000000-0005-0000-0000-000038970000}"/>
    <cellStyle name="Normal 96 3 3" xfId="38713" xr:uid="{00000000-0005-0000-0000-000039970000}"/>
    <cellStyle name="Normal 96 4" xfId="38714" xr:uid="{00000000-0005-0000-0000-00003A970000}"/>
    <cellStyle name="Normal 96 5" xfId="38715" xr:uid="{00000000-0005-0000-0000-00003B970000}"/>
    <cellStyle name="Normal 96 6" xfId="38716" xr:uid="{00000000-0005-0000-0000-00003C970000}"/>
    <cellStyle name="Normal 97" xfId="38717" xr:uid="{00000000-0005-0000-0000-00003D970000}"/>
    <cellStyle name="Normal 97 2" xfId="38718" xr:uid="{00000000-0005-0000-0000-00003E970000}"/>
    <cellStyle name="Normal 97 2 2" xfId="38719" xr:uid="{00000000-0005-0000-0000-00003F970000}"/>
    <cellStyle name="Normal 97 2 2 2" xfId="38720" xr:uid="{00000000-0005-0000-0000-000040970000}"/>
    <cellStyle name="Normal 97 2 2 3" xfId="38721" xr:uid="{00000000-0005-0000-0000-000041970000}"/>
    <cellStyle name="Normal 97 2 3" xfId="38722" xr:uid="{00000000-0005-0000-0000-000042970000}"/>
    <cellStyle name="Normal 97 2 4" xfId="38723" xr:uid="{00000000-0005-0000-0000-000043970000}"/>
    <cellStyle name="Normal 97 3" xfId="38724" xr:uid="{00000000-0005-0000-0000-000044970000}"/>
    <cellStyle name="Normal 97 3 2" xfId="38725" xr:uid="{00000000-0005-0000-0000-000045970000}"/>
    <cellStyle name="Normal 97 3 3" xfId="38726" xr:uid="{00000000-0005-0000-0000-000046970000}"/>
    <cellStyle name="Normal 97 4" xfId="38727" xr:uid="{00000000-0005-0000-0000-000047970000}"/>
    <cellStyle name="Normal 97 5" xfId="38728" xr:uid="{00000000-0005-0000-0000-000048970000}"/>
    <cellStyle name="Normal 98" xfId="38729" xr:uid="{00000000-0005-0000-0000-000049970000}"/>
    <cellStyle name="Normal 98 2" xfId="38730" xr:uid="{00000000-0005-0000-0000-00004A970000}"/>
    <cellStyle name="Normal 98 2 2" xfId="38731" xr:uid="{00000000-0005-0000-0000-00004B970000}"/>
    <cellStyle name="Normal 98 2 2 2" xfId="38732" xr:uid="{00000000-0005-0000-0000-00004C970000}"/>
    <cellStyle name="Normal 98 2 2 3" xfId="38733" xr:uid="{00000000-0005-0000-0000-00004D970000}"/>
    <cellStyle name="Normal 98 2 3" xfId="38734" xr:uid="{00000000-0005-0000-0000-00004E970000}"/>
    <cellStyle name="Normal 98 2 4" xfId="38735" xr:uid="{00000000-0005-0000-0000-00004F970000}"/>
    <cellStyle name="Normal 98 3" xfId="38736" xr:uid="{00000000-0005-0000-0000-000050970000}"/>
    <cellStyle name="Normal 98 3 2" xfId="38737" xr:uid="{00000000-0005-0000-0000-000051970000}"/>
    <cellStyle name="Normal 98 3 3" xfId="38738" xr:uid="{00000000-0005-0000-0000-000052970000}"/>
    <cellStyle name="Normal 98 4" xfId="38739" xr:uid="{00000000-0005-0000-0000-000053970000}"/>
    <cellStyle name="Normal 98 5" xfId="38740" xr:uid="{00000000-0005-0000-0000-000054970000}"/>
    <cellStyle name="Normal 99" xfId="38741" xr:uid="{00000000-0005-0000-0000-000055970000}"/>
    <cellStyle name="Normal 99 2" xfId="38742" xr:uid="{00000000-0005-0000-0000-000056970000}"/>
    <cellStyle name="Normal 99 2 2" xfId="38743" xr:uid="{00000000-0005-0000-0000-000057970000}"/>
    <cellStyle name="Normal 99 2 2 2" xfId="38744" xr:uid="{00000000-0005-0000-0000-000058970000}"/>
    <cellStyle name="Normal 99 2 2 3" xfId="38745" xr:uid="{00000000-0005-0000-0000-000059970000}"/>
    <cellStyle name="Normal 99 2 3" xfId="38746" xr:uid="{00000000-0005-0000-0000-00005A970000}"/>
    <cellStyle name="Normal 99 2 4" xfId="38747" xr:uid="{00000000-0005-0000-0000-00005B970000}"/>
    <cellStyle name="Normal 99 3" xfId="38748" xr:uid="{00000000-0005-0000-0000-00005C970000}"/>
    <cellStyle name="Normal 99 3 2" xfId="38749" xr:uid="{00000000-0005-0000-0000-00005D970000}"/>
    <cellStyle name="Normal 99 3 3" xfId="38750" xr:uid="{00000000-0005-0000-0000-00005E970000}"/>
    <cellStyle name="Normal 99 4" xfId="38751" xr:uid="{00000000-0005-0000-0000-00005F970000}"/>
    <cellStyle name="Normal 99 5" xfId="38752" xr:uid="{00000000-0005-0000-0000-000060970000}"/>
    <cellStyle name="Normal 99 6" xfId="38753" xr:uid="{00000000-0005-0000-0000-000061970000}"/>
    <cellStyle name="Notas 10" xfId="448" xr:uid="{00000000-0005-0000-0000-0000C0010000}"/>
    <cellStyle name="Notas 11" xfId="449" xr:uid="{00000000-0005-0000-0000-0000C1010000}"/>
    <cellStyle name="Notas 12" xfId="450" xr:uid="{00000000-0005-0000-0000-0000C2010000}"/>
    <cellStyle name="Notas 2" xfId="451" xr:uid="{00000000-0005-0000-0000-0000C3010000}"/>
    <cellStyle name="Notas 2 2" xfId="38755" xr:uid="{00000000-0005-0000-0000-000063970000}"/>
    <cellStyle name="Notas 2 2 2" xfId="38756" xr:uid="{00000000-0005-0000-0000-000064970000}"/>
    <cellStyle name="Notas 2 2 2 2" xfId="38757" xr:uid="{00000000-0005-0000-0000-000065970000}"/>
    <cellStyle name="Notas 2 2 2 2 2" xfId="38758" xr:uid="{00000000-0005-0000-0000-000066970000}"/>
    <cellStyle name="Notas 2 2 2 2 2 2" xfId="38759" xr:uid="{00000000-0005-0000-0000-000067970000}"/>
    <cellStyle name="Notas 2 2 2 2 2 2 2" xfId="38760" xr:uid="{00000000-0005-0000-0000-000068970000}"/>
    <cellStyle name="Notas 2 2 2 2 2 2 3" xfId="38761" xr:uid="{00000000-0005-0000-0000-000069970000}"/>
    <cellStyle name="Notas 2 2 2 2 2 3" xfId="38762" xr:uid="{00000000-0005-0000-0000-00006A970000}"/>
    <cellStyle name="Notas 2 2 2 2 2 4" xfId="38763" xr:uid="{00000000-0005-0000-0000-00006B970000}"/>
    <cellStyle name="Notas 2 2 2 2 3" xfId="38764" xr:uid="{00000000-0005-0000-0000-00006C970000}"/>
    <cellStyle name="Notas 2 2 2 2 3 2" xfId="38765" xr:uid="{00000000-0005-0000-0000-00006D970000}"/>
    <cellStyle name="Notas 2 2 2 2 3 3" xfId="38766" xr:uid="{00000000-0005-0000-0000-00006E970000}"/>
    <cellStyle name="Notas 2 2 2 2 4" xfId="38767" xr:uid="{00000000-0005-0000-0000-00006F970000}"/>
    <cellStyle name="Notas 2 2 2 2 5" xfId="38768" xr:uid="{00000000-0005-0000-0000-000070970000}"/>
    <cellStyle name="Notas 2 2 2 3" xfId="38769" xr:uid="{00000000-0005-0000-0000-000071970000}"/>
    <cellStyle name="Notas 2 2 2 3 2" xfId="38770" xr:uid="{00000000-0005-0000-0000-000072970000}"/>
    <cellStyle name="Notas 2 2 2 3 3" xfId="38771" xr:uid="{00000000-0005-0000-0000-000073970000}"/>
    <cellStyle name="Notas 2 2 2 4" xfId="38772" xr:uid="{00000000-0005-0000-0000-000074970000}"/>
    <cellStyle name="Notas 2 2 2 5" xfId="38773" xr:uid="{00000000-0005-0000-0000-000075970000}"/>
    <cellStyle name="Notas 2 2 3" xfId="38774" xr:uid="{00000000-0005-0000-0000-000076970000}"/>
    <cellStyle name="Notas 2 2 3 2" xfId="38775" xr:uid="{00000000-0005-0000-0000-000077970000}"/>
    <cellStyle name="Notas 2 2 3 2 2" xfId="38776" xr:uid="{00000000-0005-0000-0000-000078970000}"/>
    <cellStyle name="Notas 2 2 3 2 3" xfId="38777" xr:uid="{00000000-0005-0000-0000-000079970000}"/>
    <cellStyle name="Notas 2 2 3 3" xfId="38778" xr:uid="{00000000-0005-0000-0000-00007A970000}"/>
    <cellStyle name="Notas 2 2 3 4" xfId="38779" xr:uid="{00000000-0005-0000-0000-00007B970000}"/>
    <cellStyle name="Notas 2 2 4" xfId="38780" xr:uid="{00000000-0005-0000-0000-00007C970000}"/>
    <cellStyle name="Notas 2 2 4 2" xfId="38781" xr:uid="{00000000-0005-0000-0000-00007D970000}"/>
    <cellStyle name="Notas 2 2 4 2 2" xfId="38782" xr:uid="{00000000-0005-0000-0000-00007E970000}"/>
    <cellStyle name="Notas 2 2 4 2 3" xfId="38783" xr:uid="{00000000-0005-0000-0000-00007F970000}"/>
    <cellStyle name="Notas 2 2 4 3" xfId="38784" xr:uid="{00000000-0005-0000-0000-000080970000}"/>
    <cellStyle name="Notas 2 2 4 4" xfId="38785" xr:uid="{00000000-0005-0000-0000-000081970000}"/>
    <cellStyle name="Notas 2 2 5" xfId="38786" xr:uid="{00000000-0005-0000-0000-000082970000}"/>
    <cellStyle name="Notas 2 2 5 2" xfId="38787" xr:uid="{00000000-0005-0000-0000-000083970000}"/>
    <cellStyle name="Notas 2 2 5 3" xfId="38788" xr:uid="{00000000-0005-0000-0000-000084970000}"/>
    <cellStyle name="Notas 2 2 6" xfId="38789" xr:uid="{00000000-0005-0000-0000-000085970000}"/>
    <cellStyle name="Notas 2 2 7" xfId="38790" xr:uid="{00000000-0005-0000-0000-000086970000}"/>
    <cellStyle name="Notas 2 3" xfId="38791" xr:uid="{00000000-0005-0000-0000-000087970000}"/>
    <cellStyle name="Notas 2 3 2" xfId="38792" xr:uid="{00000000-0005-0000-0000-000088970000}"/>
    <cellStyle name="Notas 2 3 2 2" xfId="38793" xr:uid="{00000000-0005-0000-0000-000089970000}"/>
    <cellStyle name="Notas 2 3 2 3" xfId="38794" xr:uid="{00000000-0005-0000-0000-00008A970000}"/>
    <cellStyle name="Notas 2 3 3" xfId="38795" xr:uid="{00000000-0005-0000-0000-00008B970000}"/>
    <cellStyle name="Notas 2 3 4" xfId="38796" xr:uid="{00000000-0005-0000-0000-00008C970000}"/>
    <cellStyle name="Notas 2 4" xfId="38797" xr:uid="{00000000-0005-0000-0000-00008D970000}"/>
    <cellStyle name="Notas 2 4 2" xfId="38798" xr:uid="{00000000-0005-0000-0000-00008E970000}"/>
    <cellStyle name="Notas 2 4 2 2" xfId="38799" xr:uid="{00000000-0005-0000-0000-00008F970000}"/>
    <cellStyle name="Notas 2 4 2 3" xfId="38800" xr:uid="{00000000-0005-0000-0000-000090970000}"/>
    <cellStyle name="Notas 2 4 3" xfId="38801" xr:uid="{00000000-0005-0000-0000-000091970000}"/>
    <cellStyle name="Notas 2 4 4" xfId="38802" xr:uid="{00000000-0005-0000-0000-000092970000}"/>
    <cellStyle name="Notas 2 5" xfId="38803" xr:uid="{00000000-0005-0000-0000-000093970000}"/>
    <cellStyle name="Notas 2 5 2" xfId="38804" xr:uid="{00000000-0005-0000-0000-000094970000}"/>
    <cellStyle name="Notas 2 5 2 2" xfId="38805" xr:uid="{00000000-0005-0000-0000-000095970000}"/>
    <cellStyle name="Notas 2 5 2 3" xfId="38806" xr:uid="{00000000-0005-0000-0000-000096970000}"/>
    <cellStyle name="Notas 2 5 3" xfId="38807" xr:uid="{00000000-0005-0000-0000-000097970000}"/>
    <cellStyle name="Notas 2 5 4" xfId="38808" xr:uid="{00000000-0005-0000-0000-000098970000}"/>
    <cellStyle name="Notas 2 6" xfId="38809" xr:uid="{00000000-0005-0000-0000-000099970000}"/>
    <cellStyle name="Notas 2 6 2" xfId="38810" xr:uid="{00000000-0005-0000-0000-00009A970000}"/>
    <cellStyle name="Notas 2 6 3" xfId="38811" xr:uid="{00000000-0005-0000-0000-00009B970000}"/>
    <cellStyle name="Notas 2 7" xfId="38812" xr:uid="{00000000-0005-0000-0000-00009C970000}"/>
    <cellStyle name="Notas 2 8" xfId="38813" xr:uid="{00000000-0005-0000-0000-00009D970000}"/>
    <cellStyle name="Notas 2 9" xfId="38754" xr:uid="{00000000-0005-0000-0000-000062970000}"/>
    <cellStyle name="Notas 3" xfId="452" xr:uid="{00000000-0005-0000-0000-0000C4010000}"/>
    <cellStyle name="Notas 3 2" xfId="38815" xr:uid="{00000000-0005-0000-0000-00009F970000}"/>
    <cellStyle name="Notas 3 2 2" xfId="38816" xr:uid="{00000000-0005-0000-0000-0000A0970000}"/>
    <cellStyle name="Notas 3 2 2 2" xfId="38817" xr:uid="{00000000-0005-0000-0000-0000A1970000}"/>
    <cellStyle name="Notas 3 2 2 3" xfId="38818" xr:uid="{00000000-0005-0000-0000-0000A2970000}"/>
    <cellStyle name="Notas 3 2 3" xfId="38819" xr:uid="{00000000-0005-0000-0000-0000A3970000}"/>
    <cellStyle name="Notas 3 2 4" xfId="38820" xr:uid="{00000000-0005-0000-0000-0000A4970000}"/>
    <cellStyle name="Notas 3 2 5" xfId="38821" xr:uid="{00000000-0005-0000-0000-0000A5970000}"/>
    <cellStyle name="Notas 3 3" xfId="38822" xr:uid="{00000000-0005-0000-0000-0000A6970000}"/>
    <cellStyle name="Notas 3 3 2" xfId="38823" xr:uid="{00000000-0005-0000-0000-0000A7970000}"/>
    <cellStyle name="Notas 3 3 3" xfId="38824" xr:uid="{00000000-0005-0000-0000-0000A8970000}"/>
    <cellStyle name="Notas 3 4" xfId="38825" xr:uid="{00000000-0005-0000-0000-0000A9970000}"/>
    <cellStyle name="Notas 3 5" xfId="38826" xr:uid="{00000000-0005-0000-0000-0000AA970000}"/>
    <cellStyle name="Notas 3 6" xfId="38814" xr:uid="{00000000-0005-0000-0000-00009E970000}"/>
    <cellStyle name="Notas 4" xfId="453" xr:uid="{00000000-0005-0000-0000-0000C5010000}"/>
    <cellStyle name="Notas 4 2" xfId="38828" xr:uid="{00000000-0005-0000-0000-0000AC970000}"/>
    <cellStyle name="Notas 4 2 2" xfId="38829" xr:uid="{00000000-0005-0000-0000-0000AD970000}"/>
    <cellStyle name="Notas 4 2 3" xfId="38830" xr:uid="{00000000-0005-0000-0000-0000AE970000}"/>
    <cellStyle name="Notas 4 3" xfId="38831" xr:uid="{00000000-0005-0000-0000-0000AF970000}"/>
    <cellStyle name="Notas 4 4" xfId="38832" xr:uid="{00000000-0005-0000-0000-0000B0970000}"/>
    <cellStyle name="Notas 4 5" xfId="38827" xr:uid="{00000000-0005-0000-0000-0000AB970000}"/>
    <cellStyle name="Notas 5" xfId="454" xr:uid="{00000000-0005-0000-0000-0000C6010000}"/>
    <cellStyle name="Notas 5 2" xfId="38834" xr:uid="{00000000-0005-0000-0000-0000B2970000}"/>
    <cellStyle name="Notas 5 2 2" xfId="38835" xr:uid="{00000000-0005-0000-0000-0000B3970000}"/>
    <cellStyle name="Notas 5 2 3" xfId="38836" xr:uid="{00000000-0005-0000-0000-0000B4970000}"/>
    <cellStyle name="Notas 5 3" xfId="38837" xr:uid="{00000000-0005-0000-0000-0000B5970000}"/>
    <cellStyle name="Notas 5 4" xfId="38838" xr:uid="{00000000-0005-0000-0000-0000B6970000}"/>
    <cellStyle name="Notas 5 5" xfId="38833" xr:uid="{00000000-0005-0000-0000-0000B1970000}"/>
    <cellStyle name="Notas 6" xfId="455" xr:uid="{00000000-0005-0000-0000-0000C7010000}"/>
    <cellStyle name="Notas 6 2" xfId="38840" xr:uid="{00000000-0005-0000-0000-0000B8970000}"/>
    <cellStyle name="Notas 6 2 2" xfId="38841" xr:uid="{00000000-0005-0000-0000-0000B9970000}"/>
    <cellStyle name="Notas 6 2 3" xfId="38842" xr:uid="{00000000-0005-0000-0000-0000BA970000}"/>
    <cellStyle name="Notas 6 3" xfId="38843" xr:uid="{00000000-0005-0000-0000-0000BB970000}"/>
    <cellStyle name="Notas 6 4" xfId="38844" xr:uid="{00000000-0005-0000-0000-0000BC970000}"/>
    <cellStyle name="Notas 6 5" xfId="38839" xr:uid="{00000000-0005-0000-0000-0000B7970000}"/>
    <cellStyle name="Notas 7" xfId="456" xr:uid="{00000000-0005-0000-0000-0000C8010000}"/>
    <cellStyle name="Notas 7 2" xfId="38846" xr:uid="{00000000-0005-0000-0000-0000BE970000}"/>
    <cellStyle name="Notas 7 2 2" xfId="38847" xr:uid="{00000000-0005-0000-0000-0000BF970000}"/>
    <cellStyle name="Notas 7 2 3" xfId="38848" xr:uid="{00000000-0005-0000-0000-0000C0970000}"/>
    <cellStyle name="Notas 7 3" xfId="38849" xr:uid="{00000000-0005-0000-0000-0000C1970000}"/>
    <cellStyle name="Notas 7 4" xfId="38850" xr:uid="{00000000-0005-0000-0000-0000C2970000}"/>
    <cellStyle name="Notas 7 5" xfId="38845" xr:uid="{00000000-0005-0000-0000-0000BD970000}"/>
    <cellStyle name="Notas 8" xfId="457" xr:uid="{00000000-0005-0000-0000-0000C9010000}"/>
    <cellStyle name="Notas 8 2" xfId="38852" xr:uid="{00000000-0005-0000-0000-0000C4970000}"/>
    <cellStyle name="Notas 8 2 2" xfId="38853" xr:uid="{00000000-0005-0000-0000-0000C5970000}"/>
    <cellStyle name="Notas 8 2 3" xfId="38854" xr:uid="{00000000-0005-0000-0000-0000C6970000}"/>
    <cellStyle name="Notas 8 3" xfId="38855" xr:uid="{00000000-0005-0000-0000-0000C7970000}"/>
    <cellStyle name="Notas 8 4" xfId="38856" xr:uid="{00000000-0005-0000-0000-0000C8970000}"/>
    <cellStyle name="Notas 8 5" xfId="38851" xr:uid="{00000000-0005-0000-0000-0000C3970000}"/>
    <cellStyle name="Notas 9" xfId="458" xr:uid="{00000000-0005-0000-0000-0000CA010000}"/>
    <cellStyle name="Notas 9 2" xfId="38858" xr:uid="{00000000-0005-0000-0000-0000CA970000}"/>
    <cellStyle name="Notas 9 2 2" xfId="38859" xr:uid="{00000000-0005-0000-0000-0000CB970000}"/>
    <cellStyle name="Notas 9 2 3" xfId="38860" xr:uid="{00000000-0005-0000-0000-0000CC970000}"/>
    <cellStyle name="Notas 9 3" xfId="38861" xr:uid="{00000000-0005-0000-0000-0000CD970000}"/>
    <cellStyle name="Notas 9 4" xfId="38862" xr:uid="{00000000-0005-0000-0000-0000CE970000}"/>
    <cellStyle name="Notas 9 5" xfId="38857" xr:uid="{00000000-0005-0000-0000-0000C9970000}"/>
    <cellStyle name="Note" xfId="459" xr:uid="{00000000-0005-0000-0000-0000CB010000}"/>
    <cellStyle name="Note 10" xfId="38864" xr:uid="{00000000-0005-0000-0000-0000D0970000}"/>
    <cellStyle name="Note 11" xfId="38865" xr:uid="{00000000-0005-0000-0000-0000D1970000}"/>
    <cellStyle name="Note 12" xfId="38863" xr:uid="{00000000-0005-0000-0000-0000CF970000}"/>
    <cellStyle name="Note 2" xfId="38866" xr:uid="{00000000-0005-0000-0000-0000D2970000}"/>
    <cellStyle name="Note 2 2" xfId="38867" xr:uid="{00000000-0005-0000-0000-0000D3970000}"/>
    <cellStyle name="Note 2 2 2" xfId="38868" xr:uid="{00000000-0005-0000-0000-0000D4970000}"/>
    <cellStyle name="Note 2 2 2 2" xfId="38869" xr:uid="{00000000-0005-0000-0000-0000D5970000}"/>
    <cellStyle name="Note 2 2 2 3" xfId="38870" xr:uid="{00000000-0005-0000-0000-0000D6970000}"/>
    <cellStyle name="Note 2 2 3" xfId="38871" xr:uid="{00000000-0005-0000-0000-0000D7970000}"/>
    <cellStyle name="Note 2 2 4" xfId="38872" xr:uid="{00000000-0005-0000-0000-0000D8970000}"/>
    <cellStyle name="Note 2 3" xfId="38873" xr:uid="{00000000-0005-0000-0000-0000D9970000}"/>
    <cellStyle name="Note 2 3 2" xfId="38874" xr:uid="{00000000-0005-0000-0000-0000DA970000}"/>
    <cellStyle name="Note 2 3 2 2" xfId="38875" xr:uid="{00000000-0005-0000-0000-0000DB970000}"/>
    <cellStyle name="Note 2 3 2 3" xfId="38876" xr:uid="{00000000-0005-0000-0000-0000DC970000}"/>
    <cellStyle name="Note 2 3 3" xfId="38877" xr:uid="{00000000-0005-0000-0000-0000DD970000}"/>
    <cellStyle name="Note 2 3 4" xfId="38878" xr:uid="{00000000-0005-0000-0000-0000DE970000}"/>
    <cellStyle name="Note 2 4" xfId="38879" xr:uid="{00000000-0005-0000-0000-0000DF970000}"/>
    <cellStyle name="Note 2 4 2" xfId="38880" xr:uid="{00000000-0005-0000-0000-0000E0970000}"/>
    <cellStyle name="Note 2 4 2 2" xfId="38881" xr:uid="{00000000-0005-0000-0000-0000E1970000}"/>
    <cellStyle name="Note 2 4 2 3" xfId="38882" xr:uid="{00000000-0005-0000-0000-0000E2970000}"/>
    <cellStyle name="Note 2 4 3" xfId="38883" xr:uid="{00000000-0005-0000-0000-0000E3970000}"/>
    <cellStyle name="Note 2 4 4" xfId="38884" xr:uid="{00000000-0005-0000-0000-0000E4970000}"/>
    <cellStyle name="Note 2 5" xfId="38885" xr:uid="{00000000-0005-0000-0000-0000E5970000}"/>
    <cellStyle name="Note 2 5 2" xfId="38886" xr:uid="{00000000-0005-0000-0000-0000E6970000}"/>
    <cellStyle name="Note 2 5 3" xfId="38887" xr:uid="{00000000-0005-0000-0000-0000E7970000}"/>
    <cellStyle name="Note 2 6" xfId="38888" xr:uid="{00000000-0005-0000-0000-0000E8970000}"/>
    <cellStyle name="Note 2 7" xfId="38889" xr:uid="{00000000-0005-0000-0000-0000E9970000}"/>
    <cellStyle name="Note 3" xfId="38890" xr:uid="{00000000-0005-0000-0000-0000EA970000}"/>
    <cellStyle name="Note 3 2" xfId="38891" xr:uid="{00000000-0005-0000-0000-0000EB970000}"/>
    <cellStyle name="Note 3 2 2" xfId="38892" xr:uid="{00000000-0005-0000-0000-0000EC970000}"/>
    <cellStyle name="Note 3 2 2 2" xfId="38893" xr:uid="{00000000-0005-0000-0000-0000ED970000}"/>
    <cellStyle name="Note 3 2 2 3" xfId="38894" xr:uid="{00000000-0005-0000-0000-0000EE970000}"/>
    <cellStyle name="Note 3 2 3" xfId="38895" xr:uid="{00000000-0005-0000-0000-0000EF970000}"/>
    <cellStyle name="Note 3 2 4" xfId="38896" xr:uid="{00000000-0005-0000-0000-0000F0970000}"/>
    <cellStyle name="Note 3 3" xfId="38897" xr:uid="{00000000-0005-0000-0000-0000F1970000}"/>
    <cellStyle name="Note 3 3 2" xfId="38898" xr:uid="{00000000-0005-0000-0000-0000F2970000}"/>
    <cellStyle name="Note 3 3 2 2" xfId="38899" xr:uid="{00000000-0005-0000-0000-0000F3970000}"/>
    <cellStyle name="Note 3 3 2 3" xfId="38900" xr:uid="{00000000-0005-0000-0000-0000F4970000}"/>
    <cellStyle name="Note 3 3 3" xfId="38901" xr:uid="{00000000-0005-0000-0000-0000F5970000}"/>
    <cellStyle name="Note 3 3 4" xfId="38902" xr:uid="{00000000-0005-0000-0000-0000F6970000}"/>
    <cellStyle name="Note 3 4" xfId="38903" xr:uid="{00000000-0005-0000-0000-0000F7970000}"/>
    <cellStyle name="Note 3 4 2" xfId="38904" xr:uid="{00000000-0005-0000-0000-0000F8970000}"/>
    <cellStyle name="Note 3 4 2 2" xfId="38905" xr:uid="{00000000-0005-0000-0000-0000F9970000}"/>
    <cellStyle name="Note 3 4 2 3" xfId="38906" xr:uid="{00000000-0005-0000-0000-0000FA970000}"/>
    <cellStyle name="Note 3 4 3" xfId="38907" xr:uid="{00000000-0005-0000-0000-0000FB970000}"/>
    <cellStyle name="Note 3 4 4" xfId="38908" xr:uid="{00000000-0005-0000-0000-0000FC970000}"/>
    <cellStyle name="Note 3 5" xfId="38909" xr:uid="{00000000-0005-0000-0000-0000FD970000}"/>
    <cellStyle name="Note 3 5 2" xfId="38910" xr:uid="{00000000-0005-0000-0000-0000FE970000}"/>
    <cellStyle name="Note 3 5 3" xfId="38911" xr:uid="{00000000-0005-0000-0000-0000FF970000}"/>
    <cellStyle name="Note 3 6" xfId="38912" xr:uid="{00000000-0005-0000-0000-000000980000}"/>
    <cellStyle name="Note 3 7" xfId="38913" xr:uid="{00000000-0005-0000-0000-000001980000}"/>
    <cellStyle name="Note 4" xfId="38914" xr:uid="{00000000-0005-0000-0000-000002980000}"/>
    <cellStyle name="Note 4 2" xfId="38915" xr:uid="{00000000-0005-0000-0000-000003980000}"/>
    <cellStyle name="Note 4 2 2" xfId="38916" xr:uid="{00000000-0005-0000-0000-000004980000}"/>
    <cellStyle name="Note 4 2 2 2" xfId="38917" xr:uid="{00000000-0005-0000-0000-000005980000}"/>
    <cellStyle name="Note 4 2 2 3" xfId="38918" xr:uid="{00000000-0005-0000-0000-000006980000}"/>
    <cellStyle name="Note 4 2 3" xfId="38919" xr:uid="{00000000-0005-0000-0000-000007980000}"/>
    <cellStyle name="Note 4 2 4" xfId="38920" xr:uid="{00000000-0005-0000-0000-000008980000}"/>
    <cellStyle name="Note 4 3" xfId="38921" xr:uid="{00000000-0005-0000-0000-000009980000}"/>
    <cellStyle name="Note 4 3 2" xfId="38922" xr:uid="{00000000-0005-0000-0000-00000A980000}"/>
    <cellStyle name="Note 4 3 2 2" xfId="38923" xr:uid="{00000000-0005-0000-0000-00000B980000}"/>
    <cellStyle name="Note 4 3 2 3" xfId="38924" xr:uid="{00000000-0005-0000-0000-00000C980000}"/>
    <cellStyle name="Note 4 3 3" xfId="38925" xr:uid="{00000000-0005-0000-0000-00000D980000}"/>
    <cellStyle name="Note 4 3 4" xfId="38926" xr:uid="{00000000-0005-0000-0000-00000E980000}"/>
    <cellStyle name="Note 4 4" xfId="38927" xr:uid="{00000000-0005-0000-0000-00000F980000}"/>
    <cellStyle name="Note 4 4 2" xfId="38928" xr:uid="{00000000-0005-0000-0000-000010980000}"/>
    <cellStyle name="Note 4 4 2 2" xfId="38929" xr:uid="{00000000-0005-0000-0000-000011980000}"/>
    <cellStyle name="Note 4 4 2 3" xfId="38930" xr:uid="{00000000-0005-0000-0000-000012980000}"/>
    <cellStyle name="Note 4 4 3" xfId="38931" xr:uid="{00000000-0005-0000-0000-000013980000}"/>
    <cellStyle name="Note 4 4 4" xfId="38932" xr:uid="{00000000-0005-0000-0000-000014980000}"/>
    <cellStyle name="Note 4 5" xfId="38933" xr:uid="{00000000-0005-0000-0000-000015980000}"/>
    <cellStyle name="Note 4 5 2" xfId="38934" xr:uid="{00000000-0005-0000-0000-000016980000}"/>
    <cellStyle name="Note 4 5 3" xfId="38935" xr:uid="{00000000-0005-0000-0000-000017980000}"/>
    <cellStyle name="Note 4 6" xfId="38936" xr:uid="{00000000-0005-0000-0000-000018980000}"/>
    <cellStyle name="Note 4 7" xfId="38937" xr:uid="{00000000-0005-0000-0000-000019980000}"/>
    <cellStyle name="Note 5" xfId="38938" xr:uid="{00000000-0005-0000-0000-00001A980000}"/>
    <cellStyle name="Note 5 2" xfId="38939" xr:uid="{00000000-0005-0000-0000-00001B980000}"/>
    <cellStyle name="Note 5 2 2" xfId="38940" xr:uid="{00000000-0005-0000-0000-00001C980000}"/>
    <cellStyle name="Note 5 2 2 2" xfId="38941" xr:uid="{00000000-0005-0000-0000-00001D980000}"/>
    <cellStyle name="Note 5 2 2 3" xfId="38942" xr:uid="{00000000-0005-0000-0000-00001E980000}"/>
    <cellStyle name="Note 5 2 3" xfId="38943" xr:uid="{00000000-0005-0000-0000-00001F980000}"/>
    <cellStyle name="Note 5 2 4" xfId="38944" xr:uid="{00000000-0005-0000-0000-000020980000}"/>
    <cellStyle name="Note 5 3" xfId="38945" xr:uid="{00000000-0005-0000-0000-000021980000}"/>
    <cellStyle name="Note 5 3 2" xfId="38946" xr:uid="{00000000-0005-0000-0000-000022980000}"/>
    <cellStyle name="Note 5 3 2 2" xfId="38947" xr:uid="{00000000-0005-0000-0000-000023980000}"/>
    <cellStyle name="Note 5 3 2 3" xfId="38948" xr:uid="{00000000-0005-0000-0000-000024980000}"/>
    <cellStyle name="Note 5 3 3" xfId="38949" xr:uid="{00000000-0005-0000-0000-000025980000}"/>
    <cellStyle name="Note 5 3 4" xfId="38950" xr:uid="{00000000-0005-0000-0000-000026980000}"/>
    <cellStyle name="Note 5 4" xfId="38951" xr:uid="{00000000-0005-0000-0000-000027980000}"/>
    <cellStyle name="Note 5 4 2" xfId="38952" xr:uid="{00000000-0005-0000-0000-000028980000}"/>
    <cellStyle name="Note 5 4 2 2" xfId="38953" xr:uid="{00000000-0005-0000-0000-000029980000}"/>
    <cellStyle name="Note 5 4 2 3" xfId="38954" xr:uid="{00000000-0005-0000-0000-00002A980000}"/>
    <cellStyle name="Note 5 4 3" xfId="38955" xr:uid="{00000000-0005-0000-0000-00002B980000}"/>
    <cellStyle name="Note 5 4 4" xfId="38956" xr:uid="{00000000-0005-0000-0000-00002C980000}"/>
    <cellStyle name="Note 5 5" xfId="38957" xr:uid="{00000000-0005-0000-0000-00002D980000}"/>
    <cellStyle name="Note 5 5 2" xfId="38958" xr:uid="{00000000-0005-0000-0000-00002E980000}"/>
    <cellStyle name="Note 5 5 3" xfId="38959" xr:uid="{00000000-0005-0000-0000-00002F980000}"/>
    <cellStyle name="Note 5 6" xfId="38960" xr:uid="{00000000-0005-0000-0000-000030980000}"/>
    <cellStyle name="Note 5 7" xfId="38961" xr:uid="{00000000-0005-0000-0000-000031980000}"/>
    <cellStyle name="Note 6" xfId="38962" xr:uid="{00000000-0005-0000-0000-000032980000}"/>
    <cellStyle name="Note 6 2" xfId="38963" xr:uid="{00000000-0005-0000-0000-000033980000}"/>
    <cellStyle name="Note 6 2 2" xfId="38964" xr:uid="{00000000-0005-0000-0000-000034980000}"/>
    <cellStyle name="Note 6 2 3" xfId="38965" xr:uid="{00000000-0005-0000-0000-000035980000}"/>
    <cellStyle name="Note 6 3" xfId="38966" xr:uid="{00000000-0005-0000-0000-000036980000}"/>
    <cellStyle name="Note 6 4" xfId="38967" xr:uid="{00000000-0005-0000-0000-000037980000}"/>
    <cellStyle name="Note 7" xfId="38968" xr:uid="{00000000-0005-0000-0000-000038980000}"/>
    <cellStyle name="Note 7 2" xfId="38969" xr:uid="{00000000-0005-0000-0000-000039980000}"/>
    <cellStyle name="Note 7 2 2" xfId="38970" xr:uid="{00000000-0005-0000-0000-00003A980000}"/>
    <cellStyle name="Note 7 2 3" xfId="38971" xr:uid="{00000000-0005-0000-0000-00003B980000}"/>
    <cellStyle name="Note 7 3" xfId="38972" xr:uid="{00000000-0005-0000-0000-00003C980000}"/>
    <cellStyle name="Note 7 4" xfId="38973" xr:uid="{00000000-0005-0000-0000-00003D980000}"/>
    <cellStyle name="Note 8" xfId="38974" xr:uid="{00000000-0005-0000-0000-00003E980000}"/>
    <cellStyle name="Note 8 2" xfId="38975" xr:uid="{00000000-0005-0000-0000-00003F980000}"/>
    <cellStyle name="Note 8 2 2" xfId="38976" xr:uid="{00000000-0005-0000-0000-000040980000}"/>
    <cellStyle name="Note 8 2 3" xfId="38977" xr:uid="{00000000-0005-0000-0000-000041980000}"/>
    <cellStyle name="Note 8 3" xfId="38978" xr:uid="{00000000-0005-0000-0000-000042980000}"/>
    <cellStyle name="Note 8 4" xfId="38979" xr:uid="{00000000-0005-0000-0000-000043980000}"/>
    <cellStyle name="Note 9" xfId="38980" xr:uid="{00000000-0005-0000-0000-000044980000}"/>
    <cellStyle name="Note 9 2" xfId="38981" xr:uid="{00000000-0005-0000-0000-000045980000}"/>
    <cellStyle name="Note 9 3" xfId="38982" xr:uid="{00000000-0005-0000-0000-000046980000}"/>
    <cellStyle name="Output" xfId="460" xr:uid="{00000000-0005-0000-0000-0000CC010000}"/>
    <cellStyle name="Output 2" xfId="38984" xr:uid="{00000000-0005-0000-0000-000048980000}"/>
    <cellStyle name="Output 2 2" xfId="38985" xr:uid="{00000000-0005-0000-0000-000049980000}"/>
    <cellStyle name="Output 2 2 2" xfId="38986" xr:uid="{00000000-0005-0000-0000-00004A980000}"/>
    <cellStyle name="Output 2 2 3" xfId="38987" xr:uid="{00000000-0005-0000-0000-00004B980000}"/>
    <cellStyle name="Output 2 3" xfId="38988" xr:uid="{00000000-0005-0000-0000-00004C980000}"/>
    <cellStyle name="Output 2 4" xfId="38989" xr:uid="{00000000-0005-0000-0000-00004D980000}"/>
    <cellStyle name="Output 3" xfId="38990" xr:uid="{00000000-0005-0000-0000-00004E980000}"/>
    <cellStyle name="Output 3 2" xfId="38991" xr:uid="{00000000-0005-0000-0000-00004F980000}"/>
    <cellStyle name="Output 3 2 2" xfId="38992" xr:uid="{00000000-0005-0000-0000-000050980000}"/>
    <cellStyle name="Output 3 2 3" xfId="38993" xr:uid="{00000000-0005-0000-0000-000051980000}"/>
    <cellStyle name="Output 3 3" xfId="38994" xr:uid="{00000000-0005-0000-0000-000052980000}"/>
    <cellStyle name="Output 3 4" xfId="38995" xr:uid="{00000000-0005-0000-0000-000053980000}"/>
    <cellStyle name="Output 4" xfId="38996" xr:uid="{00000000-0005-0000-0000-000054980000}"/>
    <cellStyle name="Output 4 2" xfId="38997" xr:uid="{00000000-0005-0000-0000-000055980000}"/>
    <cellStyle name="Output 4 2 2" xfId="38998" xr:uid="{00000000-0005-0000-0000-000056980000}"/>
    <cellStyle name="Output 4 2 3" xfId="38999" xr:uid="{00000000-0005-0000-0000-000057980000}"/>
    <cellStyle name="Output 4 3" xfId="39000" xr:uid="{00000000-0005-0000-0000-000058980000}"/>
    <cellStyle name="Output 4 4" xfId="39001" xr:uid="{00000000-0005-0000-0000-000059980000}"/>
    <cellStyle name="Output 5" xfId="39002" xr:uid="{00000000-0005-0000-0000-00005A980000}"/>
    <cellStyle name="Output 5 2" xfId="39003" xr:uid="{00000000-0005-0000-0000-00005B980000}"/>
    <cellStyle name="Output 5 2 2" xfId="39004" xr:uid="{00000000-0005-0000-0000-00005C980000}"/>
    <cellStyle name="Output 5 2 3" xfId="39005" xr:uid="{00000000-0005-0000-0000-00005D980000}"/>
    <cellStyle name="Output 5 3" xfId="39006" xr:uid="{00000000-0005-0000-0000-00005E980000}"/>
    <cellStyle name="Output 5 4" xfId="39007" xr:uid="{00000000-0005-0000-0000-00005F980000}"/>
    <cellStyle name="Output 6" xfId="39008" xr:uid="{00000000-0005-0000-0000-000060980000}"/>
    <cellStyle name="Output 6 2" xfId="39009" xr:uid="{00000000-0005-0000-0000-000061980000}"/>
    <cellStyle name="Output 6 3" xfId="39010" xr:uid="{00000000-0005-0000-0000-000062980000}"/>
    <cellStyle name="Output 7" xfId="39011" xr:uid="{00000000-0005-0000-0000-000063980000}"/>
    <cellStyle name="Output 8" xfId="39012" xr:uid="{00000000-0005-0000-0000-000064980000}"/>
    <cellStyle name="Output 9" xfId="38983" xr:uid="{00000000-0005-0000-0000-000047980000}"/>
    <cellStyle name="Porcentaje 2" xfId="461" xr:uid="{00000000-0005-0000-0000-0000CD010000}"/>
    <cellStyle name="Porcentual 2" xfId="39013" xr:uid="{00000000-0005-0000-0000-000065980000}"/>
    <cellStyle name="Porcentual 2 2" xfId="39014" xr:uid="{00000000-0005-0000-0000-000066980000}"/>
    <cellStyle name="Porcentual 2 2 2" xfId="39015" xr:uid="{00000000-0005-0000-0000-000067980000}"/>
    <cellStyle name="Porcentual 2 2 2 2" xfId="39016" xr:uid="{00000000-0005-0000-0000-000068980000}"/>
    <cellStyle name="Porcentual 2 2 2 3" xfId="39017" xr:uid="{00000000-0005-0000-0000-000069980000}"/>
    <cellStyle name="Porcentual 2 2 3" xfId="39018" xr:uid="{00000000-0005-0000-0000-00006A980000}"/>
    <cellStyle name="Porcentual 2 2 4" xfId="39019" xr:uid="{00000000-0005-0000-0000-00006B980000}"/>
    <cellStyle name="Porcentual 2 3" xfId="39020" xr:uid="{00000000-0005-0000-0000-00006C980000}"/>
    <cellStyle name="Porcentual 2 3 2" xfId="39021" xr:uid="{00000000-0005-0000-0000-00006D980000}"/>
    <cellStyle name="Porcentual 2 3 2 2" xfId="39022" xr:uid="{00000000-0005-0000-0000-00006E980000}"/>
    <cellStyle name="Porcentual 2 3 2 3" xfId="39023" xr:uid="{00000000-0005-0000-0000-00006F980000}"/>
    <cellStyle name="Porcentual 2 3 3" xfId="39024" xr:uid="{00000000-0005-0000-0000-000070980000}"/>
    <cellStyle name="Porcentual 2 3 4" xfId="39025" xr:uid="{00000000-0005-0000-0000-000071980000}"/>
    <cellStyle name="Porcentual 2 4" xfId="39026" xr:uid="{00000000-0005-0000-0000-000072980000}"/>
    <cellStyle name="Porcentual 2 4 2" xfId="39027" xr:uid="{00000000-0005-0000-0000-000073980000}"/>
    <cellStyle name="Porcentual 2 4 2 2" xfId="39028" xr:uid="{00000000-0005-0000-0000-000074980000}"/>
    <cellStyle name="Porcentual 2 4 2 3" xfId="39029" xr:uid="{00000000-0005-0000-0000-000075980000}"/>
    <cellStyle name="Porcentual 2 4 3" xfId="39030" xr:uid="{00000000-0005-0000-0000-000076980000}"/>
    <cellStyle name="Porcentual 2 4 4" xfId="39031" xr:uid="{00000000-0005-0000-0000-000077980000}"/>
    <cellStyle name="Porcentual 2 5" xfId="39032" xr:uid="{00000000-0005-0000-0000-000078980000}"/>
    <cellStyle name="Porcentual 2 5 2" xfId="39033" xr:uid="{00000000-0005-0000-0000-000079980000}"/>
    <cellStyle name="Porcentual 2 5 2 2" xfId="39034" xr:uid="{00000000-0005-0000-0000-00007A980000}"/>
    <cellStyle name="Porcentual 2 5 2 3" xfId="39035" xr:uid="{00000000-0005-0000-0000-00007B980000}"/>
    <cellStyle name="Porcentual 2 5 3" xfId="39036" xr:uid="{00000000-0005-0000-0000-00007C980000}"/>
    <cellStyle name="Porcentual 2 5 4" xfId="39037" xr:uid="{00000000-0005-0000-0000-00007D980000}"/>
    <cellStyle name="Salida 10" xfId="462" xr:uid="{00000000-0005-0000-0000-0000CE010000}"/>
    <cellStyle name="Salida 10 2" xfId="39038" xr:uid="{00000000-0005-0000-0000-00007E980000}"/>
    <cellStyle name="Salida 11" xfId="463" xr:uid="{00000000-0005-0000-0000-0000CF010000}"/>
    <cellStyle name="Salida 11 2" xfId="39039" xr:uid="{00000000-0005-0000-0000-00007F980000}"/>
    <cellStyle name="Salida 12" xfId="464" xr:uid="{00000000-0005-0000-0000-0000D0010000}"/>
    <cellStyle name="Salida 2" xfId="465" xr:uid="{00000000-0005-0000-0000-0000D1010000}"/>
    <cellStyle name="Salida 2 2" xfId="39040" xr:uid="{00000000-0005-0000-0000-000080980000}"/>
    <cellStyle name="Salida 2 2 2" xfId="39041" xr:uid="{00000000-0005-0000-0000-000081980000}"/>
    <cellStyle name="Salida 2 2 3" xfId="39042" xr:uid="{00000000-0005-0000-0000-000082980000}"/>
    <cellStyle name="Salida 2 2 4" xfId="39043" xr:uid="{00000000-0005-0000-0000-000083980000}"/>
    <cellStyle name="Salida 2 3" xfId="39044" xr:uid="{00000000-0005-0000-0000-000084980000}"/>
    <cellStyle name="Salida 2 4" xfId="39045" xr:uid="{00000000-0005-0000-0000-000085980000}"/>
    <cellStyle name="Salida 3" xfId="466" xr:uid="{00000000-0005-0000-0000-0000D2010000}"/>
    <cellStyle name="Salida 3 2" xfId="39046" xr:uid="{00000000-0005-0000-0000-000086980000}"/>
    <cellStyle name="Salida 3 2 2" xfId="39047" xr:uid="{00000000-0005-0000-0000-000087980000}"/>
    <cellStyle name="Salida 3 2 3" xfId="39048" xr:uid="{00000000-0005-0000-0000-000088980000}"/>
    <cellStyle name="Salida 3 3" xfId="39049" xr:uid="{00000000-0005-0000-0000-000089980000}"/>
    <cellStyle name="Salida 3 4" xfId="39050" xr:uid="{00000000-0005-0000-0000-00008A980000}"/>
    <cellStyle name="Salida 4" xfId="467" xr:uid="{00000000-0005-0000-0000-0000D3010000}"/>
    <cellStyle name="Salida 4 2" xfId="39051" xr:uid="{00000000-0005-0000-0000-00008B980000}"/>
    <cellStyle name="Salida 4 2 2" xfId="39052" xr:uid="{00000000-0005-0000-0000-00008C980000}"/>
    <cellStyle name="Salida 4 2 3" xfId="39053" xr:uid="{00000000-0005-0000-0000-00008D980000}"/>
    <cellStyle name="Salida 4 3" xfId="39054" xr:uid="{00000000-0005-0000-0000-00008E980000}"/>
    <cellStyle name="Salida 4 4" xfId="39055" xr:uid="{00000000-0005-0000-0000-00008F980000}"/>
    <cellStyle name="Salida 5" xfId="468" xr:uid="{00000000-0005-0000-0000-0000D4010000}"/>
    <cellStyle name="Salida 5 2" xfId="39057" xr:uid="{00000000-0005-0000-0000-000091980000}"/>
    <cellStyle name="Salida 5 2 2" xfId="39058" xr:uid="{00000000-0005-0000-0000-000092980000}"/>
    <cellStyle name="Salida 5 2 3" xfId="39059" xr:uid="{00000000-0005-0000-0000-000093980000}"/>
    <cellStyle name="Salida 5 3" xfId="39060" xr:uid="{00000000-0005-0000-0000-000094980000}"/>
    <cellStyle name="Salida 5 4" xfId="39061" xr:uid="{00000000-0005-0000-0000-000095980000}"/>
    <cellStyle name="Salida 5 5" xfId="39056" xr:uid="{00000000-0005-0000-0000-000090980000}"/>
    <cellStyle name="Salida 6" xfId="469" xr:uid="{00000000-0005-0000-0000-0000D5010000}"/>
    <cellStyle name="Salida 6 2" xfId="39063" xr:uid="{00000000-0005-0000-0000-000097980000}"/>
    <cellStyle name="Salida 6 2 2" xfId="39064" xr:uid="{00000000-0005-0000-0000-000098980000}"/>
    <cellStyle name="Salida 6 2 3" xfId="39065" xr:uid="{00000000-0005-0000-0000-000099980000}"/>
    <cellStyle name="Salida 6 3" xfId="39066" xr:uid="{00000000-0005-0000-0000-00009A980000}"/>
    <cellStyle name="Salida 6 4" xfId="39067" xr:uid="{00000000-0005-0000-0000-00009B980000}"/>
    <cellStyle name="Salida 6 5" xfId="39062" xr:uid="{00000000-0005-0000-0000-000096980000}"/>
    <cellStyle name="Salida 7" xfId="470" xr:uid="{00000000-0005-0000-0000-0000D6010000}"/>
    <cellStyle name="Salida 7 2" xfId="39069" xr:uid="{00000000-0005-0000-0000-00009D980000}"/>
    <cellStyle name="Salida 7 2 2" xfId="39070" xr:uid="{00000000-0005-0000-0000-00009E980000}"/>
    <cellStyle name="Salida 7 2 3" xfId="39071" xr:uid="{00000000-0005-0000-0000-00009F980000}"/>
    <cellStyle name="Salida 7 3" xfId="39072" xr:uid="{00000000-0005-0000-0000-0000A0980000}"/>
    <cellStyle name="Salida 7 4" xfId="39073" xr:uid="{00000000-0005-0000-0000-0000A1980000}"/>
    <cellStyle name="Salida 7 5" xfId="39068" xr:uid="{00000000-0005-0000-0000-00009C980000}"/>
    <cellStyle name="Salida 8" xfId="471" xr:uid="{00000000-0005-0000-0000-0000D7010000}"/>
    <cellStyle name="Salida 8 2" xfId="39075" xr:uid="{00000000-0005-0000-0000-0000A3980000}"/>
    <cellStyle name="Salida 8 2 2" xfId="39076" xr:uid="{00000000-0005-0000-0000-0000A4980000}"/>
    <cellStyle name="Salida 8 2 3" xfId="39077" xr:uid="{00000000-0005-0000-0000-0000A5980000}"/>
    <cellStyle name="Salida 8 3" xfId="39078" xr:uid="{00000000-0005-0000-0000-0000A6980000}"/>
    <cellStyle name="Salida 8 4" xfId="39079" xr:uid="{00000000-0005-0000-0000-0000A7980000}"/>
    <cellStyle name="Salida 8 5" xfId="39074" xr:uid="{00000000-0005-0000-0000-0000A2980000}"/>
    <cellStyle name="Salida 9" xfId="472" xr:uid="{00000000-0005-0000-0000-0000D8010000}"/>
    <cellStyle name="Salida 9 2" xfId="39081" xr:uid="{00000000-0005-0000-0000-0000A9980000}"/>
    <cellStyle name="Salida 9 3" xfId="39082" xr:uid="{00000000-0005-0000-0000-0000AA980000}"/>
    <cellStyle name="Salida 9 4" xfId="39080" xr:uid="{00000000-0005-0000-0000-0000A8980000}"/>
    <cellStyle name="Style 1" xfId="473" xr:uid="{00000000-0005-0000-0000-0000D9010000}"/>
    <cellStyle name="TableStyleLight1" xfId="39083" xr:uid="{00000000-0005-0000-0000-0000AB980000}"/>
    <cellStyle name="TableStyleLight1 2" xfId="39084" xr:uid="{00000000-0005-0000-0000-0000AC980000}"/>
    <cellStyle name="TableStyleLight1 2 2" xfId="39085" xr:uid="{00000000-0005-0000-0000-0000AD980000}"/>
    <cellStyle name="TableStyleLight1 2 3" xfId="39086" xr:uid="{00000000-0005-0000-0000-0000AE980000}"/>
    <cellStyle name="TableStyleLight1 3" xfId="39087" xr:uid="{00000000-0005-0000-0000-0000AF980000}"/>
    <cellStyle name="TableStyleLight1 4" xfId="39088" xr:uid="{00000000-0005-0000-0000-0000B0980000}"/>
    <cellStyle name="Texto de advertencia 10" xfId="474" xr:uid="{00000000-0005-0000-0000-0000DA010000}"/>
    <cellStyle name="Texto de advertencia 10 2" xfId="39090" xr:uid="{00000000-0005-0000-0000-0000B2980000}"/>
    <cellStyle name="Texto de advertencia 10 3" xfId="39091" xr:uid="{00000000-0005-0000-0000-0000B3980000}"/>
    <cellStyle name="Texto de advertencia 10 4" xfId="39089" xr:uid="{00000000-0005-0000-0000-0000B1980000}"/>
    <cellStyle name="Texto de advertencia 11" xfId="475" xr:uid="{00000000-0005-0000-0000-0000DB010000}"/>
    <cellStyle name="Texto de advertencia 11 2" xfId="39092" xr:uid="{00000000-0005-0000-0000-0000B4980000}"/>
    <cellStyle name="Texto de advertencia 12" xfId="476" xr:uid="{00000000-0005-0000-0000-0000DC010000}"/>
    <cellStyle name="Texto de advertencia 12 2" xfId="39093" xr:uid="{00000000-0005-0000-0000-0000B5980000}"/>
    <cellStyle name="Texto de advertencia 2" xfId="477" xr:uid="{00000000-0005-0000-0000-0000DD010000}"/>
    <cellStyle name="Texto de advertencia 2 2" xfId="39094" xr:uid="{00000000-0005-0000-0000-0000B6980000}"/>
    <cellStyle name="Texto de advertencia 2 2 2" xfId="39095" xr:uid="{00000000-0005-0000-0000-0000B7980000}"/>
    <cellStyle name="Texto de advertencia 2 2 2 2" xfId="39096" xr:uid="{00000000-0005-0000-0000-0000B8980000}"/>
    <cellStyle name="Texto de advertencia 2 2 2 2 2" xfId="39097" xr:uid="{00000000-0005-0000-0000-0000B9980000}"/>
    <cellStyle name="Texto de advertencia 2 2 2 2 2 2" xfId="39098" xr:uid="{00000000-0005-0000-0000-0000BA980000}"/>
    <cellStyle name="Texto de advertencia 2 2 2 2 2 2 2" xfId="39099" xr:uid="{00000000-0005-0000-0000-0000BB980000}"/>
    <cellStyle name="Texto de advertencia 2 2 2 2 2 2 3" xfId="39100" xr:uid="{00000000-0005-0000-0000-0000BC980000}"/>
    <cellStyle name="Texto de advertencia 2 2 2 2 2 3" xfId="39101" xr:uid="{00000000-0005-0000-0000-0000BD980000}"/>
    <cellStyle name="Texto de advertencia 2 2 2 2 2 4" xfId="39102" xr:uid="{00000000-0005-0000-0000-0000BE980000}"/>
    <cellStyle name="Texto de advertencia 2 2 2 2 3" xfId="39103" xr:uid="{00000000-0005-0000-0000-0000BF980000}"/>
    <cellStyle name="Texto de advertencia 2 2 2 2 3 2" xfId="39104" xr:uid="{00000000-0005-0000-0000-0000C0980000}"/>
    <cellStyle name="Texto de advertencia 2 2 2 2 3 3" xfId="39105" xr:uid="{00000000-0005-0000-0000-0000C1980000}"/>
    <cellStyle name="Texto de advertencia 2 2 2 2 4" xfId="39106" xr:uid="{00000000-0005-0000-0000-0000C2980000}"/>
    <cellStyle name="Texto de advertencia 2 2 2 2 5" xfId="39107" xr:uid="{00000000-0005-0000-0000-0000C3980000}"/>
    <cellStyle name="Texto de advertencia 2 2 2 3" xfId="39108" xr:uid="{00000000-0005-0000-0000-0000C4980000}"/>
    <cellStyle name="Texto de advertencia 2 2 2 3 2" xfId="39109" xr:uid="{00000000-0005-0000-0000-0000C5980000}"/>
    <cellStyle name="Texto de advertencia 2 2 2 3 3" xfId="39110" xr:uid="{00000000-0005-0000-0000-0000C6980000}"/>
    <cellStyle name="Texto de advertencia 2 2 2 4" xfId="39111" xr:uid="{00000000-0005-0000-0000-0000C7980000}"/>
    <cellStyle name="Texto de advertencia 2 2 2 5" xfId="39112" xr:uid="{00000000-0005-0000-0000-0000C8980000}"/>
    <cellStyle name="Texto de advertencia 2 2 3" xfId="39113" xr:uid="{00000000-0005-0000-0000-0000C9980000}"/>
    <cellStyle name="Texto de advertencia 2 2 3 2" xfId="39114" xr:uid="{00000000-0005-0000-0000-0000CA980000}"/>
    <cellStyle name="Texto de advertencia 2 2 3 2 2" xfId="39115" xr:uid="{00000000-0005-0000-0000-0000CB980000}"/>
    <cellStyle name="Texto de advertencia 2 2 3 2 3" xfId="39116" xr:uid="{00000000-0005-0000-0000-0000CC980000}"/>
    <cellStyle name="Texto de advertencia 2 2 3 3" xfId="39117" xr:uid="{00000000-0005-0000-0000-0000CD980000}"/>
    <cellStyle name="Texto de advertencia 2 2 3 4" xfId="39118" xr:uid="{00000000-0005-0000-0000-0000CE980000}"/>
    <cellStyle name="Texto de advertencia 2 2 4" xfId="39119" xr:uid="{00000000-0005-0000-0000-0000CF980000}"/>
    <cellStyle name="Texto de advertencia 2 2 4 2" xfId="39120" xr:uid="{00000000-0005-0000-0000-0000D0980000}"/>
    <cellStyle name="Texto de advertencia 2 2 4 2 2" xfId="39121" xr:uid="{00000000-0005-0000-0000-0000D1980000}"/>
    <cellStyle name="Texto de advertencia 2 2 4 2 3" xfId="39122" xr:uid="{00000000-0005-0000-0000-0000D2980000}"/>
    <cellStyle name="Texto de advertencia 2 2 4 3" xfId="39123" xr:uid="{00000000-0005-0000-0000-0000D3980000}"/>
    <cellStyle name="Texto de advertencia 2 2 4 4" xfId="39124" xr:uid="{00000000-0005-0000-0000-0000D4980000}"/>
    <cellStyle name="Texto de advertencia 2 2 5" xfId="39125" xr:uid="{00000000-0005-0000-0000-0000D5980000}"/>
    <cellStyle name="Texto de advertencia 2 2 5 2" xfId="39126" xr:uid="{00000000-0005-0000-0000-0000D6980000}"/>
    <cellStyle name="Texto de advertencia 2 2 5 3" xfId="39127" xr:uid="{00000000-0005-0000-0000-0000D7980000}"/>
    <cellStyle name="Texto de advertencia 2 2 6" xfId="39128" xr:uid="{00000000-0005-0000-0000-0000D8980000}"/>
    <cellStyle name="Texto de advertencia 2 2 7" xfId="39129" xr:uid="{00000000-0005-0000-0000-0000D9980000}"/>
    <cellStyle name="Texto de advertencia 2 3" xfId="39130" xr:uid="{00000000-0005-0000-0000-0000DA980000}"/>
    <cellStyle name="Texto de advertencia 2 3 2" xfId="39131" xr:uid="{00000000-0005-0000-0000-0000DB980000}"/>
    <cellStyle name="Texto de advertencia 2 3 2 2" xfId="39132" xr:uid="{00000000-0005-0000-0000-0000DC980000}"/>
    <cellStyle name="Texto de advertencia 2 3 2 3" xfId="39133" xr:uid="{00000000-0005-0000-0000-0000DD980000}"/>
    <cellStyle name="Texto de advertencia 2 3 3" xfId="39134" xr:uid="{00000000-0005-0000-0000-0000DE980000}"/>
    <cellStyle name="Texto de advertencia 2 3 4" xfId="39135" xr:uid="{00000000-0005-0000-0000-0000DF980000}"/>
    <cellStyle name="Texto de advertencia 2 4" xfId="39136" xr:uid="{00000000-0005-0000-0000-0000E0980000}"/>
    <cellStyle name="Texto de advertencia 2 4 2" xfId="39137" xr:uid="{00000000-0005-0000-0000-0000E1980000}"/>
    <cellStyle name="Texto de advertencia 2 4 2 2" xfId="39138" xr:uid="{00000000-0005-0000-0000-0000E2980000}"/>
    <cellStyle name="Texto de advertencia 2 4 2 3" xfId="39139" xr:uid="{00000000-0005-0000-0000-0000E3980000}"/>
    <cellStyle name="Texto de advertencia 2 4 3" xfId="39140" xr:uid="{00000000-0005-0000-0000-0000E4980000}"/>
    <cellStyle name="Texto de advertencia 2 4 4" xfId="39141" xr:uid="{00000000-0005-0000-0000-0000E5980000}"/>
    <cellStyle name="Texto de advertencia 2 5" xfId="39142" xr:uid="{00000000-0005-0000-0000-0000E6980000}"/>
    <cellStyle name="Texto de advertencia 2 5 2" xfId="39143" xr:uid="{00000000-0005-0000-0000-0000E7980000}"/>
    <cellStyle name="Texto de advertencia 2 5 3" xfId="39144" xr:uid="{00000000-0005-0000-0000-0000E8980000}"/>
    <cellStyle name="Texto de advertencia 2 6" xfId="39145" xr:uid="{00000000-0005-0000-0000-0000E9980000}"/>
    <cellStyle name="Texto de advertencia 2 7" xfId="39146" xr:uid="{00000000-0005-0000-0000-0000EA980000}"/>
    <cellStyle name="Texto de advertencia 3" xfId="478" xr:uid="{00000000-0005-0000-0000-0000DE010000}"/>
    <cellStyle name="Texto de advertencia 3 2" xfId="39147" xr:uid="{00000000-0005-0000-0000-0000EB980000}"/>
    <cellStyle name="Texto de advertencia 3 2 2" xfId="39148" xr:uid="{00000000-0005-0000-0000-0000EC980000}"/>
    <cellStyle name="Texto de advertencia 3 2 3" xfId="39149" xr:uid="{00000000-0005-0000-0000-0000ED980000}"/>
    <cellStyle name="Texto de advertencia 3 3" xfId="39150" xr:uid="{00000000-0005-0000-0000-0000EE980000}"/>
    <cellStyle name="Texto de advertencia 3 4" xfId="39151" xr:uid="{00000000-0005-0000-0000-0000EF980000}"/>
    <cellStyle name="Texto de advertencia 4" xfId="479" xr:uid="{00000000-0005-0000-0000-0000DF010000}"/>
    <cellStyle name="Texto de advertencia 4 2" xfId="39152" xr:uid="{00000000-0005-0000-0000-0000F0980000}"/>
    <cellStyle name="Texto de advertencia 4 2 2" xfId="39153" xr:uid="{00000000-0005-0000-0000-0000F1980000}"/>
    <cellStyle name="Texto de advertencia 4 2 3" xfId="39154" xr:uid="{00000000-0005-0000-0000-0000F2980000}"/>
    <cellStyle name="Texto de advertencia 4 3" xfId="39155" xr:uid="{00000000-0005-0000-0000-0000F3980000}"/>
    <cellStyle name="Texto de advertencia 4 4" xfId="39156" xr:uid="{00000000-0005-0000-0000-0000F4980000}"/>
    <cellStyle name="Texto de advertencia 5" xfId="480" xr:uid="{00000000-0005-0000-0000-0000E0010000}"/>
    <cellStyle name="Texto de advertencia 5 2" xfId="39158" xr:uid="{00000000-0005-0000-0000-0000F6980000}"/>
    <cellStyle name="Texto de advertencia 5 2 2" xfId="39159" xr:uid="{00000000-0005-0000-0000-0000F7980000}"/>
    <cellStyle name="Texto de advertencia 5 2 3" xfId="39160" xr:uid="{00000000-0005-0000-0000-0000F8980000}"/>
    <cellStyle name="Texto de advertencia 5 3" xfId="39161" xr:uid="{00000000-0005-0000-0000-0000F9980000}"/>
    <cellStyle name="Texto de advertencia 5 4" xfId="39162" xr:uid="{00000000-0005-0000-0000-0000FA980000}"/>
    <cellStyle name="Texto de advertencia 5 5" xfId="39157" xr:uid="{00000000-0005-0000-0000-0000F5980000}"/>
    <cellStyle name="Texto de advertencia 6" xfId="481" xr:uid="{00000000-0005-0000-0000-0000E1010000}"/>
    <cellStyle name="Texto de advertencia 6 2" xfId="39164" xr:uid="{00000000-0005-0000-0000-0000FC980000}"/>
    <cellStyle name="Texto de advertencia 6 2 2" xfId="39165" xr:uid="{00000000-0005-0000-0000-0000FD980000}"/>
    <cellStyle name="Texto de advertencia 6 2 3" xfId="39166" xr:uid="{00000000-0005-0000-0000-0000FE980000}"/>
    <cellStyle name="Texto de advertencia 6 3" xfId="39167" xr:uid="{00000000-0005-0000-0000-0000FF980000}"/>
    <cellStyle name="Texto de advertencia 6 4" xfId="39168" xr:uid="{00000000-0005-0000-0000-000000990000}"/>
    <cellStyle name="Texto de advertencia 6 5" xfId="39163" xr:uid="{00000000-0005-0000-0000-0000FB980000}"/>
    <cellStyle name="Texto de advertencia 7" xfId="482" xr:uid="{00000000-0005-0000-0000-0000E2010000}"/>
    <cellStyle name="Texto de advertencia 7 2" xfId="39170" xr:uid="{00000000-0005-0000-0000-000002990000}"/>
    <cellStyle name="Texto de advertencia 7 2 2" xfId="39171" xr:uid="{00000000-0005-0000-0000-000003990000}"/>
    <cellStyle name="Texto de advertencia 7 2 3" xfId="39172" xr:uid="{00000000-0005-0000-0000-000004990000}"/>
    <cellStyle name="Texto de advertencia 7 3" xfId="39173" xr:uid="{00000000-0005-0000-0000-000005990000}"/>
    <cellStyle name="Texto de advertencia 7 4" xfId="39174" xr:uid="{00000000-0005-0000-0000-000006990000}"/>
    <cellStyle name="Texto de advertencia 7 5" xfId="39169" xr:uid="{00000000-0005-0000-0000-000001990000}"/>
    <cellStyle name="Texto de advertencia 8" xfId="483" xr:uid="{00000000-0005-0000-0000-0000E3010000}"/>
    <cellStyle name="Texto de advertencia 8 2" xfId="39176" xr:uid="{00000000-0005-0000-0000-000008990000}"/>
    <cellStyle name="Texto de advertencia 8 2 2" xfId="39177" xr:uid="{00000000-0005-0000-0000-000009990000}"/>
    <cellStyle name="Texto de advertencia 8 2 3" xfId="39178" xr:uid="{00000000-0005-0000-0000-00000A990000}"/>
    <cellStyle name="Texto de advertencia 8 3" xfId="39179" xr:uid="{00000000-0005-0000-0000-00000B990000}"/>
    <cellStyle name="Texto de advertencia 8 4" xfId="39180" xr:uid="{00000000-0005-0000-0000-00000C990000}"/>
    <cellStyle name="Texto de advertencia 8 5" xfId="39175" xr:uid="{00000000-0005-0000-0000-000007990000}"/>
    <cellStyle name="Texto de advertencia 9" xfId="484" xr:uid="{00000000-0005-0000-0000-0000E4010000}"/>
    <cellStyle name="Texto de advertencia 9 2" xfId="39182" xr:uid="{00000000-0005-0000-0000-00000E990000}"/>
    <cellStyle name="Texto de advertencia 9 2 2" xfId="39183" xr:uid="{00000000-0005-0000-0000-00000F990000}"/>
    <cellStyle name="Texto de advertencia 9 2 3" xfId="39184" xr:uid="{00000000-0005-0000-0000-000010990000}"/>
    <cellStyle name="Texto de advertencia 9 3" xfId="39185" xr:uid="{00000000-0005-0000-0000-000011990000}"/>
    <cellStyle name="Texto de advertencia 9 4" xfId="39186" xr:uid="{00000000-0005-0000-0000-000012990000}"/>
    <cellStyle name="Texto de advertencia 9 5" xfId="39181" xr:uid="{00000000-0005-0000-0000-00000D990000}"/>
    <cellStyle name="Texto explicativo 10" xfId="485" xr:uid="{00000000-0005-0000-0000-0000E5010000}"/>
    <cellStyle name="Texto explicativo 10 2" xfId="39187" xr:uid="{00000000-0005-0000-0000-000013990000}"/>
    <cellStyle name="Texto explicativo 11" xfId="486" xr:uid="{00000000-0005-0000-0000-0000E6010000}"/>
    <cellStyle name="Texto explicativo 11 2" xfId="39188" xr:uid="{00000000-0005-0000-0000-000014990000}"/>
    <cellStyle name="Texto explicativo 12" xfId="487" xr:uid="{00000000-0005-0000-0000-0000E7010000}"/>
    <cellStyle name="Texto explicativo 2" xfId="488" xr:uid="{00000000-0005-0000-0000-0000E8010000}"/>
    <cellStyle name="Texto explicativo 2 2" xfId="39189" xr:uid="{00000000-0005-0000-0000-000015990000}"/>
    <cellStyle name="Texto explicativo 2 2 2" xfId="39190" xr:uid="{00000000-0005-0000-0000-000016990000}"/>
    <cellStyle name="Texto explicativo 2 2 3" xfId="39191" xr:uid="{00000000-0005-0000-0000-000017990000}"/>
    <cellStyle name="Texto explicativo 2 2 4" xfId="39192" xr:uid="{00000000-0005-0000-0000-000018990000}"/>
    <cellStyle name="Texto explicativo 2 3" xfId="39193" xr:uid="{00000000-0005-0000-0000-000019990000}"/>
    <cellStyle name="Texto explicativo 2 4" xfId="39194" xr:uid="{00000000-0005-0000-0000-00001A990000}"/>
    <cellStyle name="Texto explicativo 3" xfId="489" xr:uid="{00000000-0005-0000-0000-0000E9010000}"/>
    <cellStyle name="Texto explicativo 3 2" xfId="39195" xr:uid="{00000000-0005-0000-0000-00001B990000}"/>
    <cellStyle name="Texto explicativo 3 2 2" xfId="39196" xr:uid="{00000000-0005-0000-0000-00001C990000}"/>
    <cellStyle name="Texto explicativo 3 2 3" xfId="39197" xr:uid="{00000000-0005-0000-0000-00001D990000}"/>
    <cellStyle name="Texto explicativo 3 3" xfId="39198" xr:uid="{00000000-0005-0000-0000-00001E990000}"/>
    <cellStyle name="Texto explicativo 3 4" xfId="39199" xr:uid="{00000000-0005-0000-0000-00001F990000}"/>
    <cellStyle name="Texto explicativo 4" xfId="490" xr:uid="{00000000-0005-0000-0000-0000EA010000}"/>
    <cellStyle name="Texto explicativo 4 2" xfId="39200" xr:uid="{00000000-0005-0000-0000-000020990000}"/>
    <cellStyle name="Texto explicativo 4 2 2" xfId="39201" xr:uid="{00000000-0005-0000-0000-000021990000}"/>
    <cellStyle name="Texto explicativo 4 2 3" xfId="39202" xr:uid="{00000000-0005-0000-0000-000022990000}"/>
    <cellStyle name="Texto explicativo 4 3" xfId="39203" xr:uid="{00000000-0005-0000-0000-000023990000}"/>
    <cellStyle name="Texto explicativo 4 4" xfId="39204" xr:uid="{00000000-0005-0000-0000-000024990000}"/>
    <cellStyle name="Texto explicativo 5" xfId="491" xr:uid="{00000000-0005-0000-0000-0000EB010000}"/>
    <cellStyle name="Texto explicativo 5 2" xfId="39206" xr:uid="{00000000-0005-0000-0000-000026990000}"/>
    <cellStyle name="Texto explicativo 5 2 2" xfId="39207" xr:uid="{00000000-0005-0000-0000-000027990000}"/>
    <cellStyle name="Texto explicativo 5 2 3" xfId="39208" xr:uid="{00000000-0005-0000-0000-000028990000}"/>
    <cellStyle name="Texto explicativo 5 3" xfId="39209" xr:uid="{00000000-0005-0000-0000-000029990000}"/>
    <cellStyle name="Texto explicativo 5 4" xfId="39210" xr:uid="{00000000-0005-0000-0000-00002A990000}"/>
    <cellStyle name="Texto explicativo 5 5" xfId="39205" xr:uid="{00000000-0005-0000-0000-000025990000}"/>
    <cellStyle name="Texto explicativo 6" xfId="492" xr:uid="{00000000-0005-0000-0000-0000EC010000}"/>
    <cellStyle name="Texto explicativo 6 2" xfId="39212" xr:uid="{00000000-0005-0000-0000-00002C990000}"/>
    <cellStyle name="Texto explicativo 6 2 2" xfId="39213" xr:uid="{00000000-0005-0000-0000-00002D990000}"/>
    <cellStyle name="Texto explicativo 6 2 3" xfId="39214" xr:uid="{00000000-0005-0000-0000-00002E990000}"/>
    <cellStyle name="Texto explicativo 6 3" xfId="39215" xr:uid="{00000000-0005-0000-0000-00002F990000}"/>
    <cellStyle name="Texto explicativo 6 4" xfId="39216" xr:uid="{00000000-0005-0000-0000-000030990000}"/>
    <cellStyle name="Texto explicativo 6 5" xfId="39211" xr:uid="{00000000-0005-0000-0000-00002B990000}"/>
    <cellStyle name="Texto explicativo 7" xfId="493" xr:uid="{00000000-0005-0000-0000-0000ED010000}"/>
    <cellStyle name="Texto explicativo 7 2" xfId="39218" xr:uid="{00000000-0005-0000-0000-000032990000}"/>
    <cellStyle name="Texto explicativo 7 2 2" xfId="39219" xr:uid="{00000000-0005-0000-0000-000033990000}"/>
    <cellStyle name="Texto explicativo 7 2 3" xfId="39220" xr:uid="{00000000-0005-0000-0000-000034990000}"/>
    <cellStyle name="Texto explicativo 7 3" xfId="39221" xr:uid="{00000000-0005-0000-0000-000035990000}"/>
    <cellStyle name="Texto explicativo 7 4" xfId="39222" xr:uid="{00000000-0005-0000-0000-000036990000}"/>
    <cellStyle name="Texto explicativo 7 5" xfId="39217" xr:uid="{00000000-0005-0000-0000-000031990000}"/>
    <cellStyle name="Texto explicativo 8" xfId="494" xr:uid="{00000000-0005-0000-0000-0000EE010000}"/>
    <cellStyle name="Texto explicativo 8 2" xfId="39224" xr:uid="{00000000-0005-0000-0000-000038990000}"/>
    <cellStyle name="Texto explicativo 8 2 2" xfId="39225" xr:uid="{00000000-0005-0000-0000-000039990000}"/>
    <cellStyle name="Texto explicativo 8 2 3" xfId="39226" xr:uid="{00000000-0005-0000-0000-00003A990000}"/>
    <cellStyle name="Texto explicativo 8 3" xfId="39227" xr:uid="{00000000-0005-0000-0000-00003B990000}"/>
    <cellStyle name="Texto explicativo 8 4" xfId="39228" xr:uid="{00000000-0005-0000-0000-00003C990000}"/>
    <cellStyle name="Texto explicativo 8 5" xfId="39223" xr:uid="{00000000-0005-0000-0000-000037990000}"/>
    <cellStyle name="Texto explicativo 9" xfId="495" xr:uid="{00000000-0005-0000-0000-0000EF010000}"/>
    <cellStyle name="Texto explicativo 9 2" xfId="39230" xr:uid="{00000000-0005-0000-0000-00003E990000}"/>
    <cellStyle name="Texto explicativo 9 3" xfId="39231" xr:uid="{00000000-0005-0000-0000-00003F990000}"/>
    <cellStyle name="Texto explicativo 9 4" xfId="39229" xr:uid="{00000000-0005-0000-0000-00003D990000}"/>
    <cellStyle name="Title" xfId="496" xr:uid="{00000000-0005-0000-0000-0000F0010000}"/>
    <cellStyle name="Title 2" xfId="39233" xr:uid="{00000000-0005-0000-0000-000041990000}"/>
    <cellStyle name="Title 2 2" xfId="39234" xr:uid="{00000000-0005-0000-0000-000042990000}"/>
    <cellStyle name="Title 2 2 2" xfId="39235" xr:uid="{00000000-0005-0000-0000-000043990000}"/>
    <cellStyle name="Title 2 2 3" xfId="39236" xr:uid="{00000000-0005-0000-0000-000044990000}"/>
    <cellStyle name="Title 2 3" xfId="39237" xr:uid="{00000000-0005-0000-0000-000045990000}"/>
    <cellStyle name="Title 2 4" xfId="39238" xr:uid="{00000000-0005-0000-0000-000046990000}"/>
    <cellStyle name="Title 3" xfId="39239" xr:uid="{00000000-0005-0000-0000-000047990000}"/>
    <cellStyle name="Title 3 2" xfId="39240" xr:uid="{00000000-0005-0000-0000-000048990000}"/>
    <cellStyle name="Title 3 2 2" xfId="39241" xr:uid="{00000000-0005-0000-0000-000049990000}"/>
    <cellStyle name="Title 3 2 3" xfId="39242" xr:uid="{00000000-0005-0000-0000-00004A990000}"/>
    <cellStyle name="Title 3 3" xfId="39243" xr:uid="{00000000-0005-0000-0000-00004B990000}"/>
    <cellStyle name="Title 3 4" xfId="39244" xr:uid="{00000000-0005-0000-0000-00004C990000}"/>
    <cellStyle name="Title 4" xfId="39245" xr:uid="{00000000-0005-0000-0000-00004D990000}"/>
    <cellStyle name="Title 4 2" xfId="39246" xr:uid="{00000000-0005-0000-0000-00004E990000}"/>
    <cellStyle name="Title 4 2 2" xfId="39247" xr:uid="{00000000-0005-0000-0000-00004F990000}"/>
    <cellStyle name="Title 4 2 3" xfId="39248" xr:uid="{00000000-0005-0000-0000-000050990000}"/>
    <cellStyle name="Title 4 3" xfId="39249" xr:uid="{00000000-0005-0000-0000-000051990000}"/>
    <cellStyle name="Title 4 4" xfId="39250" xr:uid="{00000000-0005-0000-0000-000052990000}"/>
    <cellStyle name="Title 5" xfId="39251" xr:uid="{00000000-0005-0000-0000-000053990000}"/>
    <cellStyle name="Title 5 2" xfId="39252" xr:uid="{00000000-0005-0000-0000-000054990000}"/>
    <cellStyle name="Title 5 2 2" xfId="39253" xr:uid="{00000000-0005-0000-0000-000055990000}"/>
    <cellStyle name="Title 5 2 3" xfId="39254" xr:uid="{00000000-0005-0000-0000-000056990000}"/>
    <cellStyle name="Title 5 3" xfId="39255" xr:uid="{00000000-0005-0000-0000-000057990000}"/>
    <cellStyle name="Title 5 4" xfId="39256" xr:uid="{00000000-0005-0000-0000-000058990000}"/>
    <cellStyle name="Title 6" xfId="39257" xr:uid="{00000000-0005-0000-0000-000059990000}"/>
    <cellStyle name="Title 6 2" xfId="39258" xr:uid="{00000000-0005-0000-0000-00005A990000}"/>
    <cellStyle name="Title 6 3" xfId="39259" xr:uid="{00000000-0005-0000-0000-00005B990000}"/>
    <cellStyle name="Title 7" xfId="39260" xr:uid="{00000000-0005-0000-0000-00005C990000}"/>
    <cellStyle name="Title 8" xfId="39261" xr:uid="{00000000-0005-0000-0000-00005D990000}"/>
    <cellStyle name="Title 9" xfId="39232" xr:uid="{00000000-0005-0000-0000-000040990000}"/>
    <cellStyle name="Título 1 10" xfId="39262" xr:uid="{00000000-0005-0000-0000-00005E990000}"/>
    <cellStyle name="Título 1 11" xfId="39263" xr:uid="{00000000-0005-0000-0000-00005F990000}"/>
    <cellStyle name="Título 1 2" xfId="39264" xr:uid="{00000000-0005-0000-0000-000060990000}"/>
    <cellStyle name="Título 1 2 2" xfId="39265" xr:uid="{00000000-0005-0000-0000-000061990000}"/>
    <cellStyle name="Título 1 2 2 2" xfId="39266" xr:uid="{00000000-0005-0000-0000-000062990000}"/>
    <cellStyle name="Título 1 2 2 3" xfId="39267" xr:uid="{00000000-0005-0000-0000-000063990000}"/>
    <cellStyle name="Título 1 2 3" xfId="39268" xr:uid="{00000000-0005-0000-0000-000064990000}"/>
    <cellStyle name="Título 1 2 4" xfId="39269" xr:uid="{00000000-0005-0000-0000-000065990000}"/>
    <cellStyle name="Título 1 3" xfId="39270" xr:uid="{00000000-0005-0000-0000-000066990000}"/>
    <cellStyle name="Título 1 3 2" xfId="39271" xr:uid="{00000000-0005-0000-0000-000067990000}"/>
    <cellStyle name="Título 1 3 2 2" xfId="39272" xr:uid="{00000000-0005-0000-0000-000068990000}"/>
    <cellStyle name="Título 1 3 2 3" xfId="39273" xr:uid="{00000000-0005-0000-0000-000069990000}"/>
    <cellStyle name="Título 1 3 3" xfId="39274" xr:uid="{00000000-0005-0000-0000-00006A990000}"/>
    <cellStyle name="Título 1 3 4" xfId="39275" xr:uid="{00000000-0005-0000-0000-00006B990000}"/>
    <cellStyle name="Título 1 4" xfId="39276" xr:uid="{00000000-0005-0000-0000-00006C990000}"/>
    <cellStyle name="Título 1 4 2" xfId="39277" xr:uid="{00000000-0005-0000-0000-00006D990000}"/>
    <cellStyle name="Título 1 4 2 2" xfId="39278" xr:uid="{00000000-0005-0000-0000-00006E990000}"/>
    <cellStyle name="Título 1 4 2 3" xfId="39279" xr:uid="{00000000-0005-0000-0000-00006F990000}"/>
    <cellStyle name="Título 1 4 3" xfId="39280" xr:uid="{00000000-0005-0000-0000-000070990000}"/>
    <cellStyle name="Título 1 4 4" xfId="39281" xr:uid="{00000000-0005-0000-0000-000071990000}"/>
    <cellStyle name="Título 1 5" xfId="39282" xr:uid="{00000000-0005-0000-0000-000072990000}"/>
    <cellStyle name="Título 1 5 2" xfId="39283" xr:uid="{00000000-0005-0000-0000-000073990000}"/>
    <cellStyle name="Título 1 5 2 2" xfId="39284" xr:uid="{00000000-0005-0000-0000-000074990000}"/>
    <cellStyle name="Título 1 5 2 3" xfId="39285" xr:uid="{00000000-0005-0000-0000-000075990000}"/>
    <cellStyle name="Título 1 5 3" xfId="39286" xr:uid="{00000000-0005-0000-0000-000076990000}"/>
    <cellStyle name="Título 1 5 4" xfId="39287" xr:uid="{00000000-0005-0000-0000-000077990000}"/>
    <cellStyle name="Título 1 6" xfId="39288" xr:uid="{00000000-0005-0000-0000-000078990000}"/>
    <cellStyle name="Título 1 6 2" xfId="39289" xr:uid="{00000000-0005-0000-0000-000079990000}"/>
    <cellStyle name="Título 1 6 2 2" xfId="39290" xr:uid="{00000000-0005-0000-0000-00007A990000}"/>
    <cellStyle name="Título 1 6 2 3" xfId="39291" xr:uid="{00000000-0005-0000-0000-00007B990000}"/>
    <cellStyle name="Título 1 6 3" xfId="39292" xr:uid="{00000000-0005-0000-0000-00007C990000}"/>
    <cellStyle name="Título 1 6 4" xfId="39293" xr:uid="{00000000-0005-0000-0000-00007D990000}"/>
    <cellStyle name="Título 1 7" xfId="39294" xr:uid="{00000000-0005-0000-0000-00007E990000}"/>
    <cellStyle name="Título 1 7 2" xfId="39295" xr:uid="{00000000-0005-0000-0000-00007F990000}"/>
    <cellStyle name="Título 1 7 2 2" xfId="39296" xr:uid="{00000000-0005-0000-0000-000080990000}"/>
    <cellStyle name="Título 1 7 2 3" xfId="39297" xr:uid="{00000000-0005-0000-0000-000081990000}"/>
    <cellStyle name="Título 1 7 3" xfId="39298" xr:uid="{00000000-0005-0000-0000-000082990000}"/>
    <cellStyle name="Título 1 7 4" xfId="39299" xr:uid="{00000000-0005-0000-0000-000083990000}"/>
    <cellStyle name="Título 1 8" xfId="39300" xr:uid="{00000000-0005-0000-0000-000084990000}"/>
    <cellStyle name="Título 1 8 2" xfId="39301" xr:uid="{00000000-0005-0000-0000-000085990000}"/>
    <cellStyle name="Título 1 8 2 2" xfId="39302" xr:uid="{00000000-0005-0000-0000-000086990000}"/>
    <cellStyle name="Título 1 8 2 3" xfId="39303" xr:uid="{00000000-0005-0000-0000-000087990000}"/>
    <cellStyle name="Título 1 8 3" xfId="39304" xr:uid="{00000000-0005-0000-0000-000088990000}"/>
    <cellStyle name="Título 1 8 4" xfId="39305" xr:uid="{00000000-0005-0000-0000-000089990000}"/>
    <cellStyle name="Título 1 9" xfId="39306" xr:uid="{00000000-0005-0000-0000-00008A990000}"/>
    <cellStyle name="Título 1 9 2" xfId="39307" xr:uid="{00000000-0005-0000-0000-00008B990000}"/>
    <cellStyle name="Título 1 9 3" xfId="39308" xr:uid="{00000000-0005-0000-0000-00008C990000}"/>
    <cellStyle name="Título 10" xfId="497" xr:uid="{00000000-0005-0000-0000-0000F1010000}"/>
    <cellStyle name="Título 10 2" xfId="39310" xr:uid="{00000000-0005-0000-0000-00008E990000}"/>
    <cellStyle name="Título 10 2 2" xfId="39311" xr:uid="{00000000-0005-0000-0000-00008F990000}"/>
    <cellStyle name="Título 10 2 3" xfId="39312" xr:uid="{00000000-0005-0000-0000-000090990000}"/>
    <cellStyle name="Título 10 3" xfId="39313" xr:uid="{00000000-0005-0000-0000-000091990000}"/>
    <cellStyle name="Título 10 4" xfId="39314" xr:uid="{00000000-0005-0000-0000-000092990000}"/>
    <cellStyle name="Título 10 5" xfId="39309" xr:uid="{00000000-0005-0000-0000-00008D990000}"/>
    <cellStyle name="Título 11" xfId="498" xr:uid="{00000000-0005-0000-0000-0000F2010000}"/>
    <cellStyle name="Título 11 2" xfId="39316" xr:uid="{00000000-0005-0000-0000-000094990000}"/>
    <cellStyle name="Título 11 3" xfId="39317" xr:uid="{00000000-0005-0000-0000-000095990000}"/>
    <cellStyle name="Título 11 4" xfId="39315" xr:uid="{00000000-0005-0000-0000-000093990000}"/>
    <cellStyle name="Título 12" xfId="499" xr:uid="{00000000-0005-0000-0000-0000F3010000}"/>
    <cellStyle name="Título 12 2" xfId="39318" xr:uid="{00000000-0005-0000-0000-000096990000}"/>
    <cellStyle name="Título 13" xfId="500" xr:uid="{00000000-0005-0000-0000-0000F4010000}"/>
    <cellStyle name="Título 13 2" xfId="39319" xr:uid="{00000000-0005-0000-0000-000097990000}"/>
    <cellStyle name="Título 14" xfId="501" xr:uid="{00000000-0005-0000-0000-0000F5010000}"/>
    <cellStyle name="Título 2 10" xfId="502" xr:uid="{00000000-0005-0000-0000-0000F6010000}"/>
    <cellStyle name="Título 2 10 2" xfId="39320" xr:uid="{00000000-0005-0000-0000-000098990000}"/>
    <cellStyle name="Título 2 11" xfId="503" xr:uid="{00000000-0005-0000-0000-0000F7010000}"/>
    <cellStyle name="Título 2 11 2" xfId="39321" xr:uid="{00000000-0005-0000-0000-000099990000}"/>
    <cellStyle name="Título 2 12" xfId="504" xr:uid="{00000000-0005-0000-0000-0000F8010000}"/>
    <cellStyle name="Título 2 2" xfId="505" xr:uid="{00000000-0005-0000-0000-0000F9010000}"/>
    <cellStyle name="Título 2 2 2" xfId="39322" xr:uid="{00000000-0005-0000-0000-00009A990000}"/>
    <cellStyle name="Título 2 2 2 2" xfId="39323" xr:uid="{00000000-0005-0000-0000-00009B990000}"/>
    <cellStyle name="Título 2 2 2 3" xfId="39324" xr:uid="{00000000-0005-0000-0000-00009C990000}"/>
    <cellStyle name="Título 2 2 2 4" xfId="39325" xr:uid="{00000000-0005-0000-0000-00009D990000}"/>
    <cellStyle name="Título 2 2 3" xfId="39326" xr:uid="{00000000-0005-0000-0000-00009E990000}"/>
    <cellStyle name="Título 2 2 4" xfId="39327" xr:uid="{00000000-0005-0000-0000-00009F990000}"/>
    <cellStyle name="Título 2 3" xfId="506" xr:uid="{00000000-0005-0000-0000-0000FA010000}"/>
    <cellStyle name="Título 2 3 2" xfId="39328" xr:uid="{00000000-0005-0000-0000-0000A0990000}"/>
    <cellStyle name="Título 2 3 2 2" xfId="39329" xr:uid="{00000000-0005-0000-0000-0000A1990000}"/>
    <cellStyle name="Título 2 3 2 3" xfId="39330" xr:uid="{00000000-0005-0000-0000-0000A2990000}"/>
    <cellStyle name="Título 2 3 3" xfId="39331" xr:uid="{00000000-0005-0000-0000-0000A3990000}"/>
    <cellStyle name="Título 2 3 4" xfId="39332" xr:uid="{00000000-0005-0000-0000-0000A4990000}"/>
    <cellStyle name="Título 2 4" xfId="507" xr:uid="{00000000-0005-0000-0000-0000FB010000}"/>
    <cellStyle name="Título 2 4 2" xfId="39333" xr:uid="{00000000-0005-0000-0000-0000A5990000}"/>
    <cellStyle name="Título 2 4 2 2" xfId="39334" xr:uid="{00000000-0005-0000-0000-0000A6990000}"/>
    <cellStyle name="Título 2 4 2 3" xfId="39335" xr:uid="{00000000-0005-0000-0000-0000A7990000}"/>
    <cellStyle name="Título 2 4 3" xfId="39336" xr:uid="{00000000-0005-0000-0000-0000A8990000}"/>
    <cellStyle name="Título 2 4 4" xfId="39337" xr:uid="{00000000-0005-0000-0000-0000A9990000}"/>
    <cellStyle name="Título 2 5" xfId="508" xr:uid="{00000000-0005-0000-0000-0000FC010000}"/>
    <cellStyle name="Título 2 5 2" xfId="39339" xr:uid="{00000000-0005-0000-0000-0000AB990000}"/>
    <cellStyle name="Título 2 5 2 2" xfId="39340" xr:uid="{00000000-0005-0000-0000-0000AC990000}"/>
    <cellStyle name="Título 2 5 2 3" xfId="39341" xr:uid="{00000000-0005-0000-0000-0000AD990000}"/>
    <cellStyle name="Título 2 5 3" xfId="39342" xr:uid="{00000000-0005-0000-0000-0000AE990000}"/>
    <cellStyle name="Título 2 5 4" xfId="39343" xr:uid="{00000000-0005-0000-0000-0000AF990000}"/>
    <cellStyle name="Título 2 5 5" xfId="39338" xr:uid="{00000000-0005-0000-0000-0000AA990000}"/>
    <cellStyle name="Título 2 6" xfId="509" xr:uid="{00000000-0005-0000-0000-0000FD010000}"/>
    <cellStyle name="Título 2 6 2" xfId="39345" xr:uid="{00000000-0005-0000-0000-0000B1990000}"/>
    <cellStyle name="Título 2 6 2 2" xfId="39346" xr:uid="{00000000-0005-0000-0000-0000B2990000}"/>
    <cellStyle name="Título 2 6 2 3" xfId="39347" xr:uid="{00000000-0005-0000-0000-0000B3990000}"/>
    <cellStyle name="Título 2 6 3" xfId="39348" xr:uid="{00000000-0005-0000-0000-0000B4990000}"/>
    <cellStyle name="Título 2 6 4" xfId="39349" xr:uid="{00000000-0005-0000-0000-0000B5990000}"/>
    <cellStyle name="Título 2 6 5" xfId="39344" xr:uid="{00000000-0005-0000-0000-0000B0990000}"/>
    <cellStyle name="Título 2 7" xfId="510" xr:uid="{00000000-0005-0000-0000-0000FE010000}"/>
    <cellStyle name="Título 2 7 2" xfId="39351" xr:uid="{00000000-0005-0000-0000-0000B7990000}"/>
    <cellStyle name="Título 2 7 2 2" xfId="39352" xr:uid="{00000000-0005-0000-0000-0000B8990000}"/>
    <cellStyle name="Título 2 7 2 3" xfId="39353" xr:uid="{00000000-0005-0000-0000-0000B9990000}"/>
    <cellStyle name="Título 2 7 3" xfId="39354" xr:uid="{00000000-0005-0000-0000-0000BA990000}"/>
    <cellStyle name="Título 2 7 4" xfId="39355" xr:uid="{00000000-0005-0000-0000-0000BB990000}"/>
    <cellStyle name="Título 2 7 5" xfId="39350" xr:uid="{00000000-0005-0000-0000-0000B6990000}"/>
    <cellStyle name="Título 2 8" xfId="511" xr:uid="{00000000-0005-0000-0000-0000FF010000}"/>
    <cellStyle name="Título 2 8 2" xfId="39357" xr:uid="{00000000-0005-0000-0000-0000BD990000}"/>
    <cellStyle name="Título 2 8 2 2" xfId="39358" xr:uid="{00000000-0005-0000-0000-0000BE990000}"/>
    <cellStyle name="Título 2 8 2 3" xfId="39359" xr:uid="{00000000-0005-0000-0000-0000BF990000}"/>
    <cellStyle name="Título 2 8 3" xfId="39360" xr:uid="{00000000-0005-0000-0000-0000C0990000}"/>
    <cellStyle name="Título 2 8 4" xfId="39361" xr:uid="{00000000-0005-0000-0000-0000C1990000}"/>
    <cellStyle name="Título 2 8 5" xfId="39356" xr:uid="{00000000-0005-0000-0000-0000BC990000}"/>
    <cellStyle name="Título 2 9" xfId="512" xr:uid="{00000000-0005-0000-0000-000000020000}"/>
    <cellStyle name="Título 2 9 2" xfId="39363" xr:uid="{00000000-0005-0000-0000-0000C3990000}"/>
    <cellStyle name="Título 2 9 3" xfId="39364" xr:uid="{00000000-0005-0000-0000-0000C4990000}"/>
    <cellStyle name="Título 2 9 4" xfId="39362" xr:uid="{00000000-0005-0000-0000-0000C2990000}"/>
    <cellStyle name="Título 3 10" xfId="513" xr:uid="{00000000-0005-0000-0000-000001020000}"/>
    <cellStyle name="Título 3 10 2" xfId="39365" xr:uid="{00000000-0005-0000-0000-0000C5990000}"/>
    <cellStyle name="Título 3 11" xfId="514" xr:uid="{00000000-0005-0000-0000-000002020000}"/>
    <cellStyle name="Título 3 11 2" xfId="39366" xr:uid="{00000000-0005-0000-0000-0000C6990000}"/>
    <cellStyle name="Título 3 12" xfId="515" xr:uid="{00000000-0005-0000-0000-000003020000}"/>
    <cellStyle name="Título 3 2" xfId="516" xr:uid="{00000000-0005-0000-0000-000004020000}"/>
    <cellStyle name="Título 3 2 2" xfId="39367" xr:uid="{00000000-0005-0000-0000-0000C7990000}"/>
    <cellStyle name="Título 3 2 2 2" xfId="39368" xr:uid="{00000000-0005-0000-0000-0000C8990000}"/>
    <cellStyle name="Título 3 2 2 3" xfId="39369" xr:uid="{00000000-0005-0000-0000-0000C9990000}"/>
    <cellStyle name="Título 3 2 2 4" xfId="39370" xr:uid="{00000000-0005-0000-0000-0000CA990000}"/>
    <cellStyle name="Título 3 2 3" xfId="39371" xr:uid="{00000000-0005-0000-0000-0000CB990000}"/>
    <cellStyle name="Título 3 2 4" xfId="39372" xr:uid="{00000000-0005-0000-0000-0000CC990000}"/>
    <cellStyle name="Título 3 3" xfId="517" xr:uid="{00000000-0005-0000-0000-00000502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06020000}"/>
    <cellStyle name="Título 3 4 2" xfId="39378" xr:uid="{00000000-0005-0000-0000-0000D2990000}"/>
    <cellStyle name="Título 3 4 2 2" xfId="39379" xr:uid="{00000000-0005-0000-0000-0000D3990000}"/>
    <cellStyle name="Título 3 4 2 3" xfId="39380" xr:uid="{00000000-0005-0000-0000-0000D4990000}"/>
    <cellStyle name="Título 3 4 3" xfId="39381" xr:uid="{00000000-0005-0000-0000-0000D5990000}"/>
    <cellStyle name="Título 3 4 4" xfId="39382" xr:uid="{00000000-0005-0000-0000-0000D6990000}"/>
    <cellStyle name="Título 3 5" xfId="519" xr:uid="{00000000-0005-0000-0000-000007020000}"/>
    <cellStyle name="Título 3 5 2" xfId="39384" xr:uid="{00000000-0005-0000-0000-0000D8990000}"/>
    <cellStyle name="Título 3 5 2 2" xfId="39385" xr:uid="{00000000-0005-0000-0000-0000D9990000}"/>
    <cellStyle name="Título 3 5 2 3" xfId="39386" xr:uid="{00000000-0005-0000-0000-0000DA990000}"/>
    <cellStyle name="Título 3 5 3" xfId="39387" xr:uid="{00000000-0005-0000-0000-0000DB990000}"/>
    <cellStyle name="Título 3 5 4" xfId="39388" xr:uid="{00000000-0005-0000-0000-0000DC990000}"/>
    <cellStyle name="Título 3 5 5" xfId="39383" xr:uid="{00000000-0005-0000-0000-0000D7990000}"/>
    <cellStyle name="Título 3 6" xfId="520" xr:uid="{00000000-0005-0000-0000-000008020000}"/>
    <cellStyle name="Título 3 6 2" xfId="39390" xr:uid="{00000000-0005-0000-0000-0000DE990000}"/>
    <cellStyle name="Título 3 6 2 2" xfId="39391" xr:uid="{00000000-0005-0000-0000-0000DF990000}"/>
    <cellStyle name="Título 3 6 2 3" xfId="39392" xr:uid="{00000000-0005-0000-0000-0000E0990000}"/>
    <cellStyle name="Título 3 6 3" xfId="39393" xr:uid="{00000000-0005-0000-0000-0000E1990000}"/>
    <cellStyle name="Título 3 6 4" xfId="39394" xr:uid="{00000000-0005-0000-0000-0000E2990000}"/>
    <cellStyle name="Título 3 6 5" xfId="39389" xr:uid="{00000000-0005-0000-0000-0000DD990000}"/>
    <cellStyle name="Título 3 7" xfId="521" xr:uid="{00000000-0005-0000-0000-000009020000}"/>
    <cellStyle name="Título 3 7 2" xfId="39396" xr:uid="{00000000-0005-0000-0000-0000E4990000}"/>
    <cellStyle name="Título 3 7 2 2" xfId="39397" xr:uid="{00000000-0005-0000-0000-0000E5990000}"/>
    <cellStyle name="Título 3 7 2 3" xfId="39398" xr:uid="{00000000-0005-0000-0000-0000E6990000}"/>
    <cellStyle name="Título 3 7 3" xfId="39399" xr:uid="{00000000-0005-0000-0000-0000E7990000}"/>
    <cellStyle name="Título 3 7 4" xfId="39400" xr:uid="{00000000-0005-0000-0000-0000E8990000}"/>
    <cellStyle name="Título 3 7 5" xfId="39395" xr:uid="{00000000-0005-0000-0000-0000E3990000}"/>
    <cellStyle name="Título 3 8" xfId="522" xr:uid="{00000000-0005-0000-0000-00000A020000}"/>
    <cellStyle name="Título 3 8 2" xfId="39402" xr:uid="{00000000-0005-0000-0000-0000EA990000}"/>
    <cellStyle name="Título 3 8 2 2" xfId="39403" xr:uid="{00000000-0005-0000-0000-0000EB990000}"/>
    <cellStyle name="Título 3 8 2 3" xfId="39404" xr:uid="{00000000-0005-0000-0000-0000EC990000}"/>
    <cellStyle name="Título 3 8 3" xfId="39405" xr:uid="{00000000-0005-0000-0000-0000ED990000}"/>
    <cellStyle name="Título 3 8 4" xfId="39406" xr:uid="{00000000-0005-0000-0000-0000EE990000}"/>
    <cellStyle name="Título 3 8 5" xfId="39401" xr:uid="{00000000-0005-0000-0000-0000E9990000}"/>
    <cellStyle name="Título 3 9" xfId="523" xr:uid="{00000000-0005-0000-0000-00000B020000}"/>
    <cellStyle name="Título 3 9 2" xfId="39408" xr:uid="{00000000-0005-0000-0000-0000F0990000}"/>
    <cellStyle name="Título 3 9 3" xfId="39409" xr:uid="{00000000-0005-0000-0000-0000F1990000}"/>
    <cellStyle name="Título 3 9 4" xfId="39407" xr:uid="{00000000-0005-0000-0000-0000EF990000}"/>
    <cellStyle name="Título 4" xfId="524" xr:uid="{00000000-0005-0000-0000-00000C020000}"/>
    <cellStyle name="Título 4 2" xfId="39410" xr:uid="{00000000-0005-0000-0000-0000F2990000}"/>
    <cellStyle name="Título 4 2 2" xfId="39411" xr:uid="{00000000-0005-0000-0000-0000F3990000}"/>
    <cellStyle name="Título 4 2 3" xfId="39412" xr:uid="{00000000-0005-0000-0000-0000F4990000}"/>
    <cellStyle name="Título 4 2 4" xfId="39413" xr:uid="{00000000-0005-0000-0000-0000F5990000}"/>
    <cellStyle name="Título 4 3" xfId="39414" xr:uid="{00000000-0005-0000-0000-0000F6990000}"/>
    <cellStyle name="Título 4 4" xfId="39415" xr:uid="{00000000-0005-0000-0000-0000F7990000}"/>
    <cellStyle name="Título 5" xfId="525" xr:uid="{00000000-0005-0000-0000-00000D020000}"/>
    <cellStyle name="Título 5 2" xfId="39416" xr:uid="{00000000-0005-0000-0000-0000F8990000}"/>
    <cellStyle name="Título 5 2 2" xfId="39417" xr:uid="{00000000-0005-0000-0000-0000F9990000}"/>
    <cellStyle name="Título 5 2 3" xfId="39418" xr:uid="{00000000-0005-0000-0000-0000FA990000}"/>
    <cellStyle name="Título 5 2 4" xfId="39419" xr:uid="{00000000-0005-0000-0000-0000FB990000}"/>
    <cellStyle name="Título 5 3" xfId="39420" xr:uid="{00000000-0005-0000-0000-0000FC990000}"/>
    <cellStyle name="Título 5 4" xfId="39421" xr:uid="{00000000-0005-0000-0000-0000FD990000}"/>
    <cellStyle name="Título 6" xfId="526" xr:uid="{00000000-0005-0000-0000-00000E020000}"/>
    <cellStyle name="Título 6 2" xfId="39422" xr:uid="{00000000-0005-0000-0000-0000FE990000}"/>
    <cellStyle name="Título 6 2 2" xfId="39423" xr:uid="{00000000-0005-0000-0000-0000FF990000}"/>
    <cellStyle name="Título 6 2 3" xfId="39424" xr:uid="{00000000-0005-0000-0000-0000009A0000}"/>
    <cellStyle name="Título 6 3" xfId="39425" xr:uid="{00000000-0005-0000-0000-0000019A0000}"/>
    <cellStyle name="Título 6 4" xfId="39426" xr:uid="{00000000-0005-0000-0000-0000029A0000}"/>
    <cellStyle name="Título 7" xfId="527" xr:uid="{00000000-0005-0000-0000-00000F020000}"/>
    <cellStyle name="Título 7 2" xfId="39428" xr:uid="{00000000-0005-0000-0000-0000049A0000}"/>
    <cellStyle name="Título 7 2 2" xfId="39429" xr:uid="{00000000-0005-0000-0000-0000059A0000}"/>
    <cellStyle name="Título 7 2 3" xfId="39430" xr:uid="{00000000-0005-0000-0000-0000069A0000}"/>
    <cellStyle name="Título 7 3" xfId="39431" xr:uid="{00000000-0005-0000-0000-0000079A0000}"/>
    <cellStyle name="Título 7 4" xfId="39432" xr:uid="{00000000-0005-0000-0000-0000089A0000}"/>
    <cellStyle name="Título 7 5" xfId="39427" xr:uid="{00000000-0005-0000-0000-0000039A0000}"/>
    <cellStyle name="Título 8" xfId="528" xr:uid="{00000000-0005-0000-0000-000010020000}"/>
    <cellStyle name="Título 8 2" xfId="39434" xr:uid="{00000000-0005-0000-0000-00000A9A0000}"/>
    <cellStyle name="Título 8 2 2" xfId="39435" xr:uid="{00000000-0005-0000-0000-00000B9A0000}"/>
    <cellStyle name="Título 8 2 3" xfId="39436" xr:uid="{00000000-0005-0000-0000-00000C9A0000}"/>
    <cellStyle name="Título 8 3" xfId="39437" xr:uid="{00000000-0005-0000-0000-00000D9A0000}"/>
    <cellStyle name="Título 8 4" xfId="39438" xr:uid="{00000000-0005-0000-0000-00000E9A0000}"/>
    <cellStyle name="Título 8 5" xfId="39433" xr:uid="{00000000-0005-0000-0000-0000099A0000}"/>
    <cellStyle name="Título 9" xfId="529" xr:uid="{00000000-0005-0000-0000-000011020000}"/>
    <cellStyle name="Título 9 2" xfId="39440" xr:uid="{00000000-0005-0000-0000-0000109A0000}"/>
    <cellStyle name="Título 9 2 2" xfId="39441" xr:uid="{00000000-0005-0000-0000-0000119A0000}"/>
    <cellStyle name="Título 9 2 3" xfId="39442" xr:uid="{00000000-0005-0000-0000-0000129A0000}"/>
    <cellStyle name="Título 9 3" xfId="39443" xr:uid="{00000000-0005-0000-0000-0000139A0000}"/>
    <cellStyle name="Título 9 4" xfId="39444" xr:uid="{00000000-0005-0000-0000-0000149A0000}"/>
    <cellStyle name="Título 9 5" xfId="39439" xr:uid="{00000000-0005-0000-0000-00000F9A0000}"/>
    <cellStyle name="Total 10" xfId="530" xr:uid="{00000000-0005-0000-0000-000012020000}"/>
    <cellStyle name="Total 11" xfId="531" xr:uid="{00000000-0005-0000-0000-000013020000}"/>
    <cellStyle name="Total 12" xfId="532" xr:uid="{00000000-0005-0000-0000-000014020000}"/>
    <cellStyle name="Total 2" xfId="533" xr:uid="{00000000-0005-0000-0000-000015020000}"/>
    <cellStyle name="Total 2 2" xfId="39445" xr:uid="{00000000-0005-0000-0000-0000159A0000}"/>
    <cellStyle name="Total 2 2 2" xfId="39446" xr:uid="{00000000-0005-0000-0000-0000169A0000}"/>
    <cellStyle name="Total 2 2 3" xfId="39447" xr:uid="{00000000-0005-0000-0000-0000179A0000}"/>
    <cellStyle name="Total 2 3" xfId="39448" xr:uid="{00000000-0005-0000-0000-0000189A0000}"/>
    <cellStyle name="Total 2 4" xfId="39449" xr:uid="{00000000-0005-0000-0000-0000199A0000}"/>
    <cellStyle name="Total 3" xfId="534" xr:uid="{00000000-0005-0000-0000-000016020000}"/>
    <cellStyle name="Total 3 2" xfId="39450" xr:uid="{00000000-0005-0000-0000-00001A9A0000}"/>
    <cellStyle name="Total 3 2 2" xfId="39451" xr:uid="{00000000-0005-0000-0000-00001B9A0000}"/>
    <cellStyle name="Total 3 2 3" xfId="39452" xr:uid="{00000000-0005-0000-0000-00001C9A0000}"/>
    <cellStyle name="Total 3 3" xfId="39453" xr:uid="{00000000-0005-0000-0000-00001D9A0000}"/>
    <cellStyle name="Total 3 4" xfId="39454" xr:uid="{00000000-0005-0000-0000-00001E9A0000}"/>
    <cellStyle name="Total 4" xfId="535" xr:uid="{00000000-0005-0000-0000-000017020000}"/>
    <cellStyle name="Total 4 2" xfId="39455" xr:uid="{00000000-0005-0000-0000-00001F9A0000}"/>
    <cellStyle name="Total 4 2 2" xfId="39456" xr:uid="{00000000-0005-0000-0000-0000209A0000}"/>
    <cellStyle name="Total 4 2 3" xfId="39457" xr:uid="{00000000-0005-0000-0000-0000219A0000}"/>
    <cellStyle name="Total 4 3" xfId="39458" xr:uid="{00000000-0005-0000-0000-0000229A0000}"/>
    <cellStyle name="Total 4 4" xfId="39459" xr:uid="{00000000-0005-0000-0000-0000239A0000}"/>
    <cellStyle name="Total 5" xfId="536" xr:uid="{00000000-0005-0000-0000-000018020000}"/>
    <cellStyle name="Total 5 2" xfId="39461" xr:uid="{00000000-0005-0000-0000-0000259A0000}"/>
    <cellStyle name="Total 5 3" xfId="39462" xr:uid="{00000000-0005-0000-0000-0000269A0000}"/>
    <cellStyle name="Total 5 4" xfId="39460" xr:uid="{00000000-0005-0000-0000-0000249A0000}"/>
    <cellStyle name="Total 6" xfId="537" xr:uid="{00000000-0005-0000-0000-000019020000}"/>
    <cellStyle name="Total 6 2" xfId="39463" xr:uid="{00000000-0005-0000-0000-0000279A0000}"/>
    <cellStyle name="Total 7" xfId="538" xr:uid="{00000000-0005-0000-0000-00001A020000}"/>
    <cellStyle name="Total 7 2" xfId="39464" xr:uid="{00000000-0005-0000-0000-0000289A0000}"/>
    <cellStyle name="Total 8" xfId="539" xr:uid="{00000000-0005-0000-0000-00001B020000}"/>
    <cellStyle name="Total 9" xfId="540" xr:uid="{00000000-0005-0000-0000-00001C020000}"/>
    <cellStyle name="Warning Text" xfId="541" xr:uid="{00000000-0005-0000-0000-00001D020000}"/>
    <cellStyle name="Warning Text 2" xfId="39466" xr:uid="{00000000-0005-0000-0000-00002A9A0000}"/>
    <cellStyle name="Warning Text 2 2" xfId="39467" xr:uid="{00000000-0005-0000-0000-00002B9A0000}"/>
    <cellStyle name="Warning Text 2 2 2" xfId="39468" xr:uid="{00000000-0005-0000-0000-00002C9A0000}"/>
    <cellStyle name="Warning Text 2 2 3" xfId="39469" xr:uid="{00000000-0005-0000-0000-00002D9A0000}"/>
    <cellStyle name="Warning Text 2 3" xfId="39470" xr:uid="{00000000-0005-0000-0000-00002E9A0000}"/>
    <cellStyle name="Warning Text 2 4" xfId="39471" xr:uid="{00000000-0005-0000-0000-00002F9A0000}"/>
    <cellStyle name="Warning Text 3" xfId="39472" xr:uid="{00000000-0005-0000-0000-0000309A0000}"/>
    <cellStyle name="Warning Text 3 2" xfId="39473" xr:uid="{00000000-0005-0000-0000-0000319A0000}"/>
    <cellStyle name="Warning Text 3 2 2" xfId="39474" xr:uid="{00000000-0005-0000-0000-0000329A0000}"/>
    <cellStyle name="Warning Text 3 2 3" xfId="39475" xr:uid="{00000000-0005-0000-0000-0000339A0000}"/>
    <cellStyle name="Warning Text 3 3" xfId="39476" xr:uid="{00000000-0005-0000-0000-0000349A0000}"/>
    <cellStyle name="Warning Text 3 4" xfId="39477" xr:uid="{00000000-0005-0000-0000-0000359A0000}"/>
    <cellStyle name="Warning Text 4" xfId="39478" xr:uid="{00000000-0005-0000-0000-0000369A0000}"/>
    <cellStyle name="Warning Text 4 2" xfId="39479" xr:uid="{00000000-0005-0000-0000-0000379A0000}"/>
    <cellStyle name="Warning Text 4 2 2" xfId="39480" xr:uid="{00000000-0005-0000-0000-0000389A0000}"/>
    <cellStyle name="Warning Text 4 2 3" xfId="39481" xr:uid="{00000000-0005-0000-0000-0000399A0000}"/>
    <cellStyle name="Warning Text 4 3" xfId="39482" xr:uid="{00000000-0005-0000-0000-00003A9A0000}"/>
    <cellStyle name="Warning Text 4 4" xfId="39483" xr:uid="{00000000-0005-0000-0000-00003B9A0000}"/>
    <cellStyle name="Warning Text 5" xfId="39484" xr:uid="{00000000-0005-0000-0000-00003C9A0000}"/>
    <cellStyle name="Warning Text 5 2" xfId="39485" xr:uid="{00000000-0005-0000-0000-00003D9A0000}"/>
    <cellStyle name="Warning Text 5 2 2" xfId="39486" xr:uid="{00000000-0005-0000-0000-00003E9A0000}"/>
    <cellStyle name="Warning Text 5 2 3" xfId="39487" xr:uid="{00000000-0005-0000-0000-00003F9A0000}"/>
    <cellStyle name="Warning Text 5 3" xfId="39488" xr:uid="{00000000-0005-0000-0000-0000409A0000}"/>
    <cellStyle name="Warning Text 5 4" xfId="39489" xr:uid="{00000000-0005-0000-0000-0000419A0000}"/>
    <cellStyle name="Warning Text 6" xfId="39490" xr:uid="{00000000-0005-0000-0000-0000429A0000}"/>
    <cellStyle name="Warning Text 6 2" xfId="39491" xr:uid="{00000000-0005-0000-0000-0000439A0000}"/>
    <cellStyle name="Warning Text 6 3" xfId="39492" xr:uid="{00000000-0005-0000-0000-0000449A0000}"/>
    <cellStyle name="Warning Text 7" xfId="39493" xr:uid="{00000000-0005-0000-0000-0000459A0000}"/>
    <cellStyle name="Warning Text 8" xfId="39494" xr:uid="{00000000-0005-0000-0000-0000469A0000}"/>
    <cellStyle name="Warning Text 9" xfId="39465" xr:uid="{00000000-0005-0000-0000-0000299A0000}"/>
    <cellStyle name="好" xfId="39495" xr:uid="{00000000-0005-0000-0000-0000479A0000}"/>
    <cellStyle name="差" xfId="39496" xr:uid="{00000000-0005-0000-0000-0000489A0000}"/>
    <cellStyle name="常规_Quotation for Civil Works(按年度含SA1104)" xfId="542" xr:uid="{00000000-0005-0000-0000-00001E020000}"/>
    <cellStyle name="强调文字颜色 1" xfId="39497" xr:uid="{00000000-0005-0000-0000-0000499A0000}"/>
    <cellStyle name="强调文字颜色 2" xfId="39498" xr:uid="{00000000-0005-0000-0000-00004A9A0000}"/>
    <cellStyle name="强调文字颜色 3" xfId="39499" xr:uid="{00000000-0005-0000-0000-00004B9A0000}"/>
    <cellStyle name="强调文字颜色 4" xfId="39500" xr:uid="{00000000-0005-0000-0000-00004C9A0000}"/>
    <cellStyle name="强调文字颜色 5" xfId="39501" xr:uid="{00000000-0005-0000-0000-00004D9A0000}"/>
    <cellStyle name="强调文字颜色 6" xfId="39502" xr:uid="{00000000-0005-0000-0000-00004E9A0000}"/>
    <cellStyle name="标题" xfId="39503" xr:uid="{00000000-0005-0000-0000-00004F9A0000}"/>
    <cellStyle name="标题 1" xfId="39504" xr:uid="{00000000-0005-0000-0000-0000509A0000}"/>
    <cellStyle name="标题 2" xfId="39505" xr:uid="{00000000-0005-0000-0000-0000519A0000}"/>
    <cellStyle name="标题 3" xfId="39506" xr:uid="{00000000-0005-0000-0000-0000529A0000}"/>
    <cellStyle name="标题 4" xfId="39507" xr:uid="{00000000-0005-0000-0000-0000539A0000}"/>
    <cellStyle name="检查单元格" xfId="39508" xr:uid="{00000000-0005-0000-0000-0000549A0000}"/>
    <cellStyle name="汇总" xfId="39509" xr:uid="{00000000-0005-0000-0000-0000559A0000}"/>
    <cellStyle name="注释" xfId="39510" xr:uid="{00000000-0005-0000-0000-0000569A0000}"/>
    <cellStyle name="解释性文本" xfId="39511" xr:uid="{00000000-0005-0000-0000-0000579A0000}"/>
    <cellStyle name="警告文本" xfId="39512" xr:uid="{00000000-0005-0000-0000-0000589A0000}"/>
    <cellStyle name="计算" xfId="39513" xr:uid="{00000000-0005-0000-0000-0000599A0000}"/>
    <cellStyle name="输入" xfId="39514" xr:uid="{00000000-0005-0000-0000-00005A9A0000}"/>
    <cellStyle name="输出" xfId="39515" xr:uid="{00000000-0005-0000-0000-00005B9A0000}"/>
    <cellStyle name="适中" xfId="39516" xr:uid="{00000000-0005-0000-0000-00005C9A0000}"/>
    <cellStyle name="链接单元格" xfId="39517" xr:uid="{00000000-0005-0000-0000-00005D9A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2"/>
  <sheetViews>
    <sheetView workbookViewId="0">
      <selection activeCell="F45" sqref="F45"/>
    </sheetView>
  </sheetViews>
  <sheetFormatPr baseColWidth="10" defaultColWidth="11.44140625" defaultRowHeight="10.199999999999999"/>
  <cols>
    <col min="1" max="1" width="23.6640625" style="1" bestFit="1" customWidth="1"/>
    <col min="2" max="2" width="32.88671875" style="1" customWidth="1"/>
    <col min="3" max="3" width="20.44140625" style="1" bestFit="1" customWidth="1"/>
    <col min="4" max="4" width="28.33203125" style="2" bestFit="1" customWidth="1"/>
    <col min="5" max="5" width="16.5546875" style="1" bestFit="1" customWidth="1"/>
    <col min="6" max="6" width="4.109375" style="1" customWidth="1"/>
    <col min="7" max="7" width="22" style="1" customWidth="1"/>
    <col min="8" max="8" width="13.5546875" style="1" customWidth="1"/>
    <col min="9" max="9" width="17.6640625" style="1" customWidth="1"/>
    <col min="10" max="10" width="13.5546875" style="1" customWidth="1"/>
    <col min="11" max="11" width="17.6640625" style="1" customWidth="1"/>
    <col min="12" max="12" width="11.44140625" style="1" customWidth="1"/>
    <col min="13" max="16384" width="11.44140625" style="1"/>
  </cols>
  <sheetData>
    <row r="1" spans="1:27" s="4" customFormat="1" ht="49.5" customHeight="1">
      <c r="A1" s="7" t="s">
        <v>0</v>
      </c>
      <c r="B1" s="7" t="s">
        <v>1</v>
      </c>
      <c r="C1" s="7" t="s">
        <v>2</v>
      </c>
      <c r="D1" s="7" t="s">
        <v>3</v>
      </c>
      <c r="E1" s="6"/>
      <c r="F1" s="6"/>
      <c r="G1" s="39" t="s">
        <v>0</v>
      </c>
      <c r="H1" s="39" t="s">
        <v>4</v>
      </c>
      <c r="I1" s="41"/>
      <c r="J1" s="39" t="s">
        <v>5</v>
      </c>
      <c r="K1" s="41"/>
      <c r="L1" s="39" t="s">
        <v>6</v>
      </c>
      <c r="M1" s="6"/>
      <c r="N1" s="7" t="s">
        <v>7</v>
      </c>
      <c r="O1" s="6"/>
      <c r="P1" s="6"/>
      <c r="Q1" s="6"/>
      <c r="R1" s="6"/>
      <c r="V1" s="5"/>
      <c r="W1" s="5"/>
    </row>
    <row r="2" spans="1:27" s="4" customFormat="1" ht="51" customHeight="1">
      <c r="A2" s="21" t="s">
        <v>8</v>
      </c>
      <c r="B2" s="22">
        <f>71384.4052*(1+$N$2)</f>
        <v>75096.394270399993</v>
      </c>
      <c r="C2" s="22">
        <f>62699.6885*(1+$N$2)</f>
        <v>65960.072302</v>
      </c>
      <c r="D2" s="22">
        <f>35693.4343*(1+$N$2)</f>
        <v>37549.492883600004</v>
      </c>
      <c r="F2" s="6"/>
      <c r="G2" s="40"/>
      <c r="H2" s="7" t="s">
        <v>9</v>
      </c>
      <c r="I2" s="7" t="s">
        <v>10</v>
      </c>
      <c r="J2" s="7" t="s">
        <v>9</v>
      </c>
      <c r="K2" s="7" t="s">
        <v>10</v>
      </c>
      <c r="L2" s="40"/>
      <c r="M2" s="6"/>
      <c r="N2" s="19">
        <v>5.1999999999999998E-2</v>
      </c>
      <c r="O2" s="6"/>
      <c r="P2" s="6"/>
      <c r="Q2" s="6"/>
      <c r="R2" s="6"/>
      <c r="V2" s="5"/>
      <c r="W2" s="5"/>
    </row>
    <row r="3" spans="1:27" s="4" customFormat="1" ht="12.75" customHeight="1">
      <c r="A3" s="21" t="s">
        <v>11</v>
      </c>
      <c r="B3" s="22">
        <f>155716.4408*(1+$N$2)</f>
        <v>163813.69572160003</v>
      </c>
      <c r="C3" s="22">
        <f>137802.16*(1+$N$2)</f>
        <v>144967.87232000002</v>
      </c>
      <c r="D3" s="22">
        <f>117879.8485*(1+$N$2)</f>
        <v>124009.600622</v>
      </c>
      <c r="F3" s="6"/>
      <c r="G3" s="10" t="s">
        <v>12</v>
      </c>
      <c r="H3" s="20">
        <f>31819.23994686*(1+$N$2)</f>
        <v>33473.840424096721</v>
      </c>
      <c r="I3" s="20">
        <f>26222.67548178*(1+$N$2)</f>
        <v>27586.254606832561</v>
      </c>
      <c r="J3" s="20">
        <f>51196.46628516*(1+$N$2)</f>
        <v>53858.682531988321</v>
      </c>
      <c r="K3" s="20">
        <f>42157.66342524*(1+$N$2)</f>
        <v>44349.861923352488</v>
      </c>
      <c r="L3" s="20">
        <f>28948.10610808*(1+$N$2)</f>
        <v>30453.407625700162</v>
      </c>
      <c r="M3" s="18"/>
      <c r="N3" s="18"/>
      <c r="O3" s="18"/>
      <c r="P3" s="18"/>
      <c r="Q3" s="18"/>
      <c r="R3" s="18"/>
      <c r="S3" s="18"/>
      <c r="T3" s="18"/>
      <c r="V3" s="5"/>
      <c r="W3" s="5"/>
    </row>
    <row r="4" spans="1:27" s="4" customFormat="1" ht="12.75" customHeight="1">
      <c r="A4" s="21" t="s">
        <v>13</v>
      </c>
      <c r="B4" s="22">
        <f>262099.6015*(1+$N$2)</f>
        <v>275728.78077800001</v>
      </c>
      <c r="C4" s="22">
        <f>262099.6015*(1+$N$2)</f>
        <v>275728.78077800001</v>
      </c>
      <c r="D4" s="22">
        <f>262099.6015*(1+$N$2)</f>
        <v>275728.78077800001</v>
      </c>
      <c r="F4" s="6"/>
      <c r="G4" s="10" t="s">
        <v>14</v>
      </c>
      <c r="H4" s="20">
        <f>98014.03066668*(1+$N$2)</f>
        <v>103110.76026134737</v>
      </c>
      <c r="I4" s="20">
        <f>26222.67548178*(1+$N$2)</f>
        <v>27586.254606832561</v>
      </c>
      <c r="J4" s="20">
        <f>119562.49505524*(1+$N$2)</f>
        <v>125779.74479811249</v>
      </c>
      <c r="K4" s="20">
        <f>42157.66342524*(1+$N$2)</f>
        <v>44349.861923352488</v>
      </c>
      <c r="L4" s="20">
        <f>94765.6295813*(1+$N$2)</f>
        <v>99693.442319527603</v>
      </c>
      <c r="M4" s="18"/>
      <c r="N4" s="18"/>
      <c r="O4" s="18"/>
      <c r="P4" s="18"/>
      <c r="Q4" s="18"/>
      <c r="R4" s="18"/>
      <c r="S4" s="18"/>
      <c r="T4" s="18"/>
      <c r="V4" s="5"/>
      <c r="W4" s="5"/>
    </row>
    <row r="5" spans="1:27" s="4" customFormat="1" ht="12.75" customHeight="1">
      <c r="A5" s="21" t="s">
        <v>15</v>
      </c>
      <c r="B5" s="22">
        <f>479878.9419*(1+$N$2)</f>
        <v>504832.64687880001</v>
      </c>
      <c r="C5" s="22">
        <f>455882.9625*(1+$N$2)</f>
        <v>479588.87655000004</v>
      </c>
      <c r="D5" s="22">
        <f>370911.6746*(1+$N$2)</f>
        <v>390199.08167920006</v>
      </c>
      <c r="F5" s="6"/>
      <c r="G5" s="10" t="s">
        <v>16</v>
      </c>
      <c r="H5" s="20">
        <f>189140.9827006*(1+$N$2)</f>
        <v>198976.31380103121</v>
      </c>
      <c r="I5" s="20">
        <f>26222.67548178*(1+$N$2)</f>
        <v>27586.254606832561</v>
      </c>
      <c r="J5" s="20">
        <f>200461.60194168*(1+$N$2)</f>
        <v>210885.60524264738</v>
      </c>
      <c r="K5" s="20">
        <f>42157.66342524*(1+$N$2)</f>
        <v>44349.861923352488</v>
      </c>
      <c r="L5" s="20">
        <f>171492.68108896*(1+$N$2)</f>
        <v>180410.30050558594</v>
      </c>
      <c r="M5" s="18"/>
      <c r="N5" s="18"/>
      <c r="O5" s="18"/>
      <c r="P5" s="18"/>
      <c r="Q5" s="18"/>
      <c r="R5" s="18"/>
      <c r="S5" s="18"/>
      <c r="T5" s="18"/>
      <c r="V5" s="5"/>
      <c r="W5" s="5"/>
    </row>
    <row r="6" spans="1:27" s="4" customFormat="1" ht="12.75" customHeight="1">
      <c r="A6" s="21" t="s">
        <v>17</v>
      </c>
      <c r="B6" s="22">
        <f>939603.5767*(1+$N$2)</f>
        <v>988462.96268840006</v>
      </c>
      <c r="C6" s="23" t="s">
        <v>18</v>
      </c>
      <c r="D6" s="24"/>
      <c r="F6" s="6"/>
      <c r="G6" s="10" t="s">
        <v>19</v>
      </c>
      <c r="H6" s="20">
        <f>461621.60109668*(1+$N$2)</f>
        <v>485625.92435370735</v>
      </c>
      <c r="I6" s="20">
        <f>26222.67548178*(1+$N$2)</f>
        <v>27586.254606832561</v>
      </c>
      <c r="J6" s="20">
        <f>461621.60109668*(1+$N$2)</f>
        <v>485625.92435370735</v>
      </c>
      <c r="K6" s="20">
        <f>42157.66342524*(1+$N$2)</f>
        <v>44349.861923352488</v>
      </c>
      <c r="L6" s="20">
        <f>461621.60109668*(1+$N$2)</f>
        <v>485625.92435370735</v>
      </c>
      <c r="M6" s="18"/>
      <c r="N6" s="18"/>
      <c r="O6" s="18"/>
      <c r="P6" s="18"/>
      <c r="Q6" s="18"/>
      <c r="R6" s="18"/>
      <c r="S6" s="18"/>
      <c r="T6" s="18"/>
      <c r="W6" s="5"/>
      <c r="X6" s="5"/>
    </row>
    <row r="7" spans="1:27" s="4" customFormat="1" ht="13.5" customHeight="1">
      <c r="A7" s="6"/>
      <c r="B7" s="6"/>
      <c r="C7" s="6"/>
      <c r="D7" s="6"/>
      <c r="E7" s="6"/>
      <c r="F7" s="13"/>
      <c r="G7" s="42" t="s">
        <v>20</v>
      </c>
      <c r="H7" s="43"/>
      <c r="I7" s="43"/>
      <c r="J7" s="43"/>
      <c r="K7" s="43"/>
      <c r="L7" s="44"/>
      <c r="M7" s="6"/>
      <c r="N7" s="6"/>
      <c r="O7" s="6"/>
      <c r="P7" s="6"/>
      <c r="Q7" s="6"/>
      <c r="R7" s="6"/>
      <c r="Z7" s="5"/>
      <c r="AA7" s="5"/>
    </row>
    <row r="8" spans="1:27" s="4" customFormat="1" ht="15.75" customHeight="1">
      <c r="A8" s="48" t="s">
        <v>21</v>
      </c>
      <c r="B8" s="49"/>
      <c r="C8" s="49"/>
      <c r="D8" s="49"/>
      <c r="E8" s="6"/>
      <c r="F8" s="13"/>
      <c r="G8" s="45"/>
      <c r="H8" s="46"/>
      <c r="I8" s="46"/>
      <c r="J8" s="46"/>
      <c r="K8" s="46"/>
      <c r="L8" s="47"/>
      <c r="M8" s="6"/>
      <c r="N8" s="6"/>
      <c r="O8" s="6"/>
      <c r="P8" s="6"/>
      <c r="Q8" s="6"/>
      <c r="R8" s="6"/>
      <c r="W8" s="5"/>
      <c r="X8" s="5"/>
    </row>
    <row r="9" spans="1:27" s="4" customFormat="1" ht="12.75" customHeight="1">
      <c r="A9" s="7" t="s">
        <v>0</v>
      </c>
      <c r="B9" s="7" t="s">
        <v>22</v>
      </c>
      <c r="C9" s="14" t="s">
        <v>23</v>
      </c>
      <c r="D9" s="7" t="s">
        <v>24</v>
      </c>
      <c r="E9" s="6"/>
      <c r="F9" s="15"/>
      <c r="G9" s="6"/>
      <c r="H9" s="6"/>
      <c r="I9" s="6"/>
      <c r="J9" s="6"/>
      <c r="K9" s="6"/>
      <c r="L9" s="6"/>
      <c r="M9" s="6"/>
      <c r="N9" s="6"/>
      <c r="O9" s="6"/>
      <c r="P9" s="6"/>
      <c r="Q9" s="6"/>
      <c r="R9" s="6"/>
      <c r="U9" s="5"/>
      <c r="V9" s="5"/>
    </row>
    <row r="10" spans="1:27" s="4" customFormat="1" ht="12.75" customHeight="1">
      <c r="A10" s="8" t="s">
        <v>12</v>
      </c>
      <c r="B10" s="20">
        <f>71384.4052*(1+$N$2)</f>
        <v>75096.394270399993</v>
      </c>
      <c r="C10" s="20">
        <f>133455.9267*(1+$N$2)</f>
        <v>140395.6348884</v>
      </c>
      <c r="D10" s="20">
        <f>191225.1201*(1+$N$2)</f>
        <v>201168.82634520001</v>
      </c>
      <c r="E10" s="6"/>
      <c r="F10" s="13"/>
      <c r="G10" s="16" t="s">
        <v>25</v>
      </c>
      <c r="H10" s="7" t="s">
        <v>26</v>
      </c>
      <c r="I10" s="7" t="s">
        <v>27</v>
      </c>
      <c r="J10" s="6"/>
      <c r="K10" s="6"/>
      <c r="L10" s="6"/>
      <c r="M10" s="6"/>
      <c r="N10" s="6"/>
      <c r="O10" s="6"/>
      <c r="P10" s="6"/>
      <c r="Q10" s="6"/>
      <c r="R10" s="17"/>
      <c r="S10" s="5"/>
    </row>
    <row r="11" spans="1:27" s="4" customFormat="1" ht="25.5" customHeight="1">
      <c r="A11" s="8" t="s">
        <v>14</v>
      </c>
      <c r="B11" s="20">
        <f>133455.9267*(1+$N$2)</f>
        <v>140395.6348884</v>
      </c>
      <c r="C11" s="20">
        <f>191225.1201*(1+$N$2)</f>
        <v>201168.82634520001</v>
      </c>
      <c r="D11" s="20">
        <f>257740.6152*(1+$N$2)</f>
        <v>271143.12719040003</v>
      </c>
      <c r="E11" s="6"/>
      <c r="F11" s="6"/>
      <c r="G11" s="10" t="s">
        <v>28</v>
      </c>
      <c r="H11" s="10" t="s">
        <v>26</v>
      </c>
      <c r="I11" s="20">
        <f>17639.19516086*(1+$N$2)</f>
        <v>18556.433309224722</v>
      </c>
      <c r="J11" s="18"/>
      <c r="K11" s="6"/>
      <c r="L11" s="6"/>
      <c r="M11" s="6"/>
      <c r="N11" s="11"/>
      <c r="O11" s="11"/>
      <c r="P11" s="6"/>
      <c r="Q11" s="6"/>
      <c r="R11" s="17"/>
      <c r="S11" s="5"/>
    </row>
    <row r="12" spans="1:27" s="4" customFormat="1" ht="25.5" customHeight="1">
      <c r="A12" s="8" t="s">
        <v>16</v>
      </c>
      <c r="B12" s="20">
        <f>186821.7926*(1+$N$2)</f>
        <v>196536.5258152</v>
      </c>
      <c r="C12" s="20">
        <f>248892.0824*(1+$N$2)</f>
        <v>261834.47068480004</v>
      </c>
      <c r="D12" s="20">
        <f>306662.5075*(1+$N$2)</f>
        <v>322608.95789000002</v>
      </c>
      <c r="E12" s="6"/>
      <c r="F12" s="6"/>
      <c r="G12" s="10" t="s">
        <v>29</v>
      </c>
      <c r="H12" s="10" t="s">
        <v>26</v>
      </c>
      <c r="I12" s="20">
        <f>4810.80785492*(1+$N$2)</f>
        <v>5060.9698633758399</v>
      </c>
      <c r="J12" s="18"/>
      <c r="K12" s="6"/>
      <c r="L12" s="6"/>
      <c r="M12" s="6"/>
      <c r="N12" s="11"/>
      <c r="O12" s="11"/>
      <c r="P12" s="6"/>
      <c r="Q12" s="6"/>
      <c r="R12" s="17"/>
      <c r="S12" s="5"/>
    </row>
    <row r="13" spans="1:27" s="4" customFormat="1" ht="12.75" customHeight="1">
      <c r="A13" s="8" t="s">
        <v>19</v>
      </c>
      <c r="B13" s="20">
        <f>186821.7926*(1+$N$2)</f>
        <v>196536.5258152</v>
      </c>
      <c r="C13" s="20">
        <f>248892.0824*(1+$N$2)</f>
        <v>261834.47068480004</v>
      </c>
      <c r="D13" s="20">
        <f>306662.5075*(1+$N$2)</f>
        <v>322608.95789000002</v>
      </c>
      <c r="E13" s="6"/>
      <c r="F13" s="6"/>
      <c r="G13" s="6"/>
      <c r="H13" s="6"/>
      <c r="I13" s="6"/>
      <c r="J13" s="6"/>
      <c r="K13" s="6"/>
      <c r="L13" s="6"/>
      <c r="M13" s="6"/>
      <c r="N13" s="6"/>
      <c r="O13" s="6"/>
      <c r="P13" s="6"/>
      <c r="Q13" s="6"/>
      <c r="R13" s="6"/>
      <c r="T13" s="5"/>
      <c r="U13" s="5"/>
    </row>
    <row r="14" spans="1:27" s="4" customFormat="1" ht="12.75" customHeight="1">
      <c r="A14" s="6"/>
      <c r="B14" s="6"/>
      <c r="C14" s="6"/>
      <c r="D14" s="6"/>
      <c r="E14" s="6"/>
      <c r="F14" s="6"/>
      <c r="G14" s="6"/>
      <c r="H14" s="6"/>
      <c r="I14" s="6"/>
      <c r="J14" s="6"/>
      <c r="K14" s="6"/>
      <c r="L14" s="6"/>
      <c r="M14" s="6"/>
      <c r="N14" s="6"/>
      <c r="O14" s="6"/>
      <c r="P14" s="6"/>
      <c r="Q14" s="6"/>
      <c r="R14" s="6"/>
      <c r="Y14" s="5"/>
      <c r="Z14" s="5"/>
    </row>
    <row r="15" spans="1:27" s="4" customFormat="1" ht="13.5" customHeight="1">
      <c r="A15" s="6"/>
      <c r="B15" s="6"/>
      <c r="C15" s="6"/>
      <c r="D15" s="6"/>
      <c r="E15" s="6"/>
      <c r="F15" s="6"/>
      <c r="G15" s="6"/>
      <c r="H15" s="6"/>
      <c r="I15" s="6"/>
      <c r="J15" s="6"/>
      <c r="K15" s="6"/>
      <c r="L15" s="6"/>
      <c r="M15" s="6"/>
      <c r="N15" s="6"/>
      <c r="O15" s="6"/>
      <c r="P15" s="6"/>
      <c r="Q15" s="6"/>
      <c r="R15" s="6"/>
      <c r="Y15" s="5"/>
      <c r="Z15" s="5"/>
    </row>
    <row r="16" spans="1:27" s="4" customFormat="1" ht="38.25" customHeight="1">
      <c r="A16" s="7" t="s">
        <v>30</v>
      </c>
      <c r="B16" s="7" t="s">
        <v>31</v>
      </c>
      <c r="C16" s="6"/>
      <c r="D16" s="7" t="s">
        <v>32</v>
      </c>
      <c r="E16" s="7" t="s">
        <v>33</v>
      </c>
      <c r="F16" s="6"/>
      <c r="G16" s="6"/>
      <c r="H16" s="6"/>
      <c r="I16" s="6"/>
      <c r="J16" s="6"/>
      <c r="K16" s="6"/>
      <c r="L16" s="6"/>
      <c r="M16" s="6"/>
      <c r="N16" s="6"/>
      <c r="O16" s="6"/>
      <c r="P16" s="6"/>
      <c r="Q16" s="6"/>
      <c r="R16" s="6"/>
      <c r="Y16" s="5"/>
      <c r="Z16" s="5"/>
    </row>
    <row r="17" spans="1:27" s="4" customFormat="1" ht="12.75" customHeight="1">
      <c r="A17" s="8" t="s">
        <v>34</v>
      </c>
      <c r="B17" s="20">
        <f>34010.9321*(1+$N$2)</f>
        <v>35779.500569199998</v>
      </c>
      <c r="C17" s="18"/>
      <c r="D17" s="20">
        <f>20537.3658*(1+$N$2)</f>
        <v>21605.3088216</v>
      </c>
      <c r="E17" s="20">
        <f>10737.9606*(1+$N$2)</f>
        <v>11296.334551200001</v>
      </c>
      <c r="F17" s="6"/>
      <c r="G17" s="18"/>
      <c r="H17" s="6"/>
      <c r="I17" s="6"/>
      <c r="J17" s="6"/>
      <c r="K17" s="6"/>
      <c r="L17" s="6"/>
      <c r="M17" s="6"/>
      <c r="N17" s="6"/>
      <c r="O17" s="6"/>
      <c r="P17" s="6"/>
      <c r="Q17" s="6"/>
      <c r="R17" s="6"/>
      <c r="Z17" s="5"/>
      <c r="AA17" s="5"/>
    </row>
    <row r="18" spans="1:27" s="4" customFormat="1" ht="25.5" customHeight="1">
      <c r="A18" s="8" t="s">
        <v>35</v>
      </c>
      <c r="B18" s="20">
        <f>64310*(1+$N$2)</f>
        <v>67654.12000000001</v>
      </c>
      <c r="C18" s="18"/>
      <c r="D18" s="13"/>
      <c r="E18" s="13"/>
      <c r="F18" s="6"/>
      <c r="G18" s="6"/>
      <c r="H18" s="6"/>
      <c r="I18" s="6"/>
      <c r="J18" s="6"/>
      <c r="K18" s="6"/>
      <c r="L18" s="6"/>
      <c r="M18" s="6"/>
      <c r="N18" s="6"/>
      <c r="O18" s="6"/>
      <c r="P18" s="6"/>
      <c r="Q18" s="6"/>
      <c r="R18" s="6"/>
      <c r="Z18" s="5"/>
      <c r="AA18" s="5"/>
    </row>
    <row r="19" spans="1:27" s="4" customFormat="1" ht="12.75" customHeight="1">
      <c r="A19" s="8" t="s">
        <v>36</v>
      </c>
      <c r="B19" s="20">
        <f>39202.5476*(1+$N$2)</f>
        <v>41241.0800752</v>
      </c>
      <c r="C19" s="18"/>
      <c r="D19" s="6"/>
      <c r="E19" s="6"/>
      <c r="F19" s="6"/>
      <c r="G19" s="6"/>
      <c r="H19" s="6"/>
      <c r="I19" s="6"/>
      <c r="J19" s="6"/>
      <c r="K19" s="6"/>
      <c r="L19" s="6"/>
      <c r="M19" s="6"/>
      <c r="N19" s="6"/>
      <c r="O19" s="6"/>
      <c r="P19" s="6"/>
      <c r="Q19" s="6"/>
      <c r="R19" s="6"/>
      <c r="Z19" s="5"/>
      <c r="AA19" s="5"/>
    </row>
    <row r="20" spans="1:27" s="4" customFormat="1" ht="12.75" customHeight="1">
      <c r="A20" s="6"/>
      <c r="B20" s="6"/>
      <c r="C20" s="6"/>
      <c r="D20" s="15"/>
      <c r="E20" s="6"/>
      <c r="F20" s="6"/>
      <c r="G20" s="6"/>
      <c r="H20" s="6"/>
      <c r="I20" s="6"/>
      <c r="J20" s="6"/>
      <c r="K20" s="6"/>
      <c r="L20" s="6"/>
      <c r="M20" s="6"/>
      <c r="N20" s="6"/>
      <c r="O20" s="6"/>
      <c r="P20" s="6"/>
      <c r="Q20" s="6"/>
      <c r="R20" s="6"/>
      <c r="Z20" s="5"/>
      <c r="AA20" s="5"/>
    </row>
    <row r="21" spans="1:27" s="4" customFormat="1" ht="12.75" customHeight="1">
      <c r="A21" s="6"/>
      <c r="B21" s="6"/>
      <c r="C21" s="6"/>
      <c r="D21" s="15"/>
      <c r="E21" s="6"/>
      <c r="F21" s="6"/>
      <c r="G21" s="6"/>
      <c r="H21" s="6"/>
      <c r="I21" s="6"/>
      <c r="J21" s="6"/>
      <c r="K21" s="6"/>
      <c r="L21" s="6"/>
      <c r="M21" s="6"/>
      <c r="N21" s="6"/>
      <c r="O21" s="6"/>
      <c r="P21" s="6"/>
      <c r="Q21" s="6"/>
      <c r="R21" s="6"/>
      <c r="Z21" s="5"/>
      <c r="AA21" s="5"/>
    </row>
    <row r="22" spans="1:27" s="4" customFormat="1" ht="12.75" hidden="1" customHeight="1">
      <c r="A22" s="25" t="s">
        <v>37</v>
      </c>
      <c r="B22" s="6"/>
      <c r="C22" s="6"/>
      <c r="D22" s="15"/>
      <c r="E22" s="6"/>
      <c r="F22" s="6"/>
      <c r="G22" s="6"/>
      <c r="H22" s="6"/>
      <c r="I22" s="6"/>
      <c r="J22" s="6"/>
      <c r="K22" s="6"/>
      <c r="L22" s="6"/>
      <c r="M22" s="6"/>
      <c r="N22" s="6"/>
      <c r="O22" s="6"/>
      <c r="P22" s="6"/>
      <c r="Q22" s="6"/>
      <c r="R22" s="6"/>
      <c r="Z22" s="5"/>
      <c r="AA22" s="5"/>
    </row>
    <row r="23" spans="1:27" s="4" customFormat="1" ht="25.5" hidden="1" customHeight="1">
      <c r="A23" s="7" t="s">
        <v>0</v>
      </c>
      <c r="B23" s="7" t="s">
        <v>1</v>
      </c>
      <c r="C23" s="7" t="s">
        <v>2</v>
      </c>
      <c r="D23" s="7" t="s">
        <v>3</v>
      </c>
      <c r="E23" s="6"/>
      <c r="F23" s="6"/>
      <c r="G23" s="39" t="s">
        <v>0</v>
      </c>
      <c r="H23" s="39" t="s">
        <v>4</v>
      </c>
      <c r="I23" s="41"/>
      <c r="J23" s="39" t="s">
        <v>5</v>
      </c>
      <c r="K23" s="41"/>
      <c r="L23" s="39" t="s">
        <v>6</v>
      </c>
      <c r="Z23" s="5"/>
      <c r="AA23" s="5"/>
    </row>
    <row r="24" spans="1:27" s="4" customFormat="1" ht="51" hidden="1" customHeight="1">
      <c r="A24" s="8" t="s">
        <v>8</v>
      </c>
      <c r="B24" s="9">
        <v>71384.405200000008</v>
      </c>
      <c r="C24" s="9">
        <v>62699.688499999997</v>
      </c>
      <c r="D24" s="9">
        <v>35693.434300000001</v>
      </c>
      <c r="F24" s="6"/>
      <c r="G24" s="40"/>
      <c r="H24" s="7" t="s">
        <v>9</v>
      </c>
      <c r="I24" s="7" t="s">
        <v>10</v>
      </c>
      <c r="J24" s="7" t="s">
        <v>9</v>
      </c>
      <c r="K24" s="7" t="s">
        <v>10</v>
      </c>
      <c r="L24" s="40"/>
      <c r="Z24" s="5"/>
      <c r="AA24" s="5"/>
    </row>
    <row r="25" spans="1:27" s="4" customFormat="1" ht="12.75" hidden="1" customHeight="1">
      <c r="A25" s="8" t="s">
        <v>11</v>
      </c>
      <c r="B25" s="9">
        <v>155716.44080000001</v>
      </c>
      <c r="C25" s="9">
        <v>137802.16</v>
      </c>
      <c r="D25" s="9">
        <v>117879.84849999999</v>
      </c>
      <c r="F25" s="6"/>
      <c r="G25" s="10" t="s">
        <v>12</v>
      </c>
      <c r="H25" s="9">
        <v>31819.239946860002</v>
      </c>
      <c r="I25" s="9">
        <v>26222.675481779999</v>
      </c>
      <c r="J25" s="9">
        <v>51196.466285159993</v>
      </c>
      <c r="K25" s="9">
        <v>42157.663425240004</v>
      </c>
      <c r="L25" s="9">
        <v>28948.106108079999</v>
      </c>
      <c r="Z25" s="5"/>
      <c r="AA25" s="5"/>
    </row>
    <row r="26" spans="1:27" s="4" customFormat="1" ht="12.75" hidden="1" customHeight="1">
      <c r="A26" s="8" t="s">
        <v>13</v>
      </c>
      <c r="B26" s="9">
        <v>262099.60149999999</v>
      </c>
      <c r="C26" s="9">
        <v>262099.60149999999</v>
      </c>
      <c r="D26" s="9">
        <v>262099.60149999999</v>
      </c>
      <c r="F26" s="6"/>
      <c r="G26" s="10" t="s">
        <v>14</v>
      </c>
      <c r="H26" s="9">
        <v>98014.030666680017</v>
      </c>
      <c r="I26" s="9">
        <v>26222.675481779999</v>
      </c>
      <c r="J26" s="9">
        <v>119562.49505524</v>
      </c>
      <c r="K26" s="9">
        <v>42157.663425240004</v>
      </c>
      <c r="L26" s="9">
        <v>94765.629581300003</v>
      </c>
      <c r="Z26" s="5"/>
      <c r="AA26" s="5"/>
    </row>
    <row r="27" spans="1:27" s="4" customFormat="1" ht="12.75" hidden="1" customHeight="1">
      <c r="A27" s="8" t="s">
        <v>15</v>
      </c>
      <c r="B27" s="9">
        <v>479878.94190000009</v>
      </c>
      <c r="C27" s="9">
        <v>455882.96250000002</v>
      </c>
      <c r="D27" s="9">
        <v>370911.67460000003</v>
      </c>
      <c r="F27" s="6"/>
      <c r="G27" s="10" t="s">
        <v>16</v>
      </c>
      <c r="H27" s="9">
        <v>189140.9827006</v>
      </c>
      <c r="I27" s="9">
        <v>26222.675481779999</v>
      </c>
      <c r="J27" s="9">
        <v>200461.60194168001</v>
      </c>
      <c r="K27" s="9">
        <v>42157.663425240004</v>
      </c>
      <c r="L27" s="9">
        <v>171492.68108896</v>
      </c>
      <c r="Z27" s="5"/>
      <c r="AA27" s="5"/>
    </row>
    <row r="28" spans="1:27" s="4" customFormat="1" ht="12.75" hidden="1" customHeight="1">
      <c r="A28" s="8" t="s">
        <v>17</v>
      </c>
      <c r="B28" s="9">
        <v>939603.57669999998</v>
      </c>
      <c r="C28" s="8" t="s">
        <v>18</v>
      </c>
      <c r="D28" s="12"/>
      <c r="E28" s="18"/>
      <c r="F28" s="6"/>
      <c r="G28" s="10" t="s">
        <v>19</v>
      </c>
      <c r="H28" s="9">
        <v>461621.60109667998</v>
      </c>
      <c r="I28" s="9">
        <v>26222.675481779999</v>
      </c>
      <c r="J28" s="9">
        <v>461621.60109667998</v>
      </c>
      <c r="K28" s="9">
        <v>42157.663425240004</v>
      </c>
      <c r="L28" s="9">
        <v>461621.60109667998</v>
      </c>
      <c r="Z28" s="5"/>
      <c r="AA28" s="5"/>
    </row>
    <row r="29" spans="1:27" s="4" customFormat="1" ht="12.75" hidden="1" customHeight="1">
      <c r="A29" s="6"/>
      <c r="B29" s="6"/>
      <c r="C29" s="6"/>
      <c r="D29" s="6"/>
      <c r="E29" s="6"/>
      <c r="F29" s="13"/>
      <c r="G29" s="50" t="s">
        <v>38</v>
      </c>
      <c r="H29" s="43"/>
      <c r="I29" s="43"/>
      <c r="J29" s="43"/>
      <c r="K29" s="43"/>
      <c r="L29" s="44"/>
      <c r="Z29" s="5"/>
      <c r="AA29" s="5"/>
    </row>
    <row r="30" spans="1:27" s="4" customFormat="1" ht="12.75" hidden="1" customHeight="1">
      <c r="A30" s="48" t="s">
        <v>21</v>
      </c>
      <c r="B30" s="49"/>
      <c r="C30" s="49"/>
      <c r="D30" s="49"/>
      <c r="E30" s="6"/>
      <c r="F30" s="13"/>
      <c r="G30" s="45"/>
      <c r="H30" s="46"/>
      <c r="I30" s="46"/>
      <c r="J30" s="46"/>
      <c r="K30" s="46"/>
      <c r="L30" s="47"/>
      <c r="Z30" s="5"/>
      <c r="AA30" s="5"/>
    </row>
    <row r="31" spans="1:27" s="4" customFormat="1" ht="25.5" hidden="1" customHeight="1">
      <c r="A31" s="7" t="s">
        <v>0</v>
      </c>
      <c r="B31" s="7" t="s">
        <v>22</v>
      </c>
      <c r="C31" s="14" t="s">
        <v>23</v>
      </c>
      <c r="D31" s="7" t="s">
        <v>24</v>
      </c>
      <c r="E31" s="6"/>
      <c r="F31" s="15"/>
      <c r="G31" s="6"/>
      <c r="H31" s="6"/>
      <c r="I31" s="6"/>
      <c r="J31" s="6"/>
      <c r="K31" s="6"/>
      <c r="L31" s="6"/>
      <c r="Z31" s="5"/>
      <c r="AA31" s="5"/>
    </row>
    <row r="32" spans="1:27" s="4" customFormat="1" ht="12.75" hidden="1" customHeight="1">
      <c r="A32" s="8" t="s">
        <v>12</v>
      </c>
      <c r="B32" s="9">
        <v>71384.405200000008</v>
      </c>
      <c r="C32" s="9">
        <v>133455.92670000001</v>
      </c>
      <c r="D32" s="9">
        <v>191225.1201</v>
      </c>
      <c r="E32" s="18"/>
      <c r="F32" s="13"/>
      <c r="G32" s="16" t="s">
        <v>25</v>
      </c>
      <c r="H32" s="7" t="s">
        <v>26</v>
      </c>
      <c r="I32" s="7" t="s">
        <v>27</v>
      </c>
      <c r="J32" s="6"/>
      <c r="K32" s="6"/>
      <c r="L32" s="6"/>
      <c r="Z32" s="5"/>
      <c r="AA32" s="5"/>
    </row>
    <row r="33" spans="1:27" s="4" customFormat="1" ht="25.5" hidden="1" customHeight="1">
      <c r="A33" s="8" t="s">
        <v>14</v>
      </c>
      <c r="B33" s="9">
        <v>133455.92670000001</v>
      </c>
      <c r="C33" s="9">
        <v>191225.1201</v>
      </c>
      <c r="D33" s="9">
        <v>257740.6152</v>
      </c>
      <c r="E33" s="18"/>
      <c r="F33" s="6"/>
      <c r="G33" s="10" t="s">
        <v>28</v>
      </c>
      <c r="H33" s="10" t="s">
        <v>26</v>
      </c>
      <c r="I33" s="9">
        <v>17639.195160859999</v>
      </c>
      <c r="J33" s="18"/>
      <c r="K33" s="6"/>
      <c r="L33" s="6"/>
      <c r="Z33" s="5"/>
      <c r="AA33" s="5"/>
    </row>
    <row r="34" spans="1:27" s="4" customFormat="1" ht="25.5" hidden="1" customHeight="1">
      <c r="A34" s="8" t="s">
        <v>16</v>
      </c>
      <c r="B34" s="9">
        <v>186821.79259999999</v>
      </c>
      <c r="C34" s="9">
        <v>248892.08240000001</v>
      </c>
      <c r="D34" s="9">
        <v>306662.50750000001</v>
      </c>
      <c r="E34" s="18"/>
      <c r="F34" s="6"/>
      <c r="G34" s="10" t="s">
        <v>29</v>
      </c>
      <c r="H34" s="10" t="s">
        <v>26</v>
      </c>
      <c r="I34" s="9">
        <v>4810.80785492</v>
      </c>
      <c r="J34" s="18"/>
      <c r="K34" s="6"/>
      <c r="L34" s="6"/>
      <c r="Z34" s="5"/>
      <c r="AA34" s="5"/>
    </row>
    <row r="35" spans="1:27" s="4" customFormat="1" ht="12.75" hidden="1" customHeight="1">
      <c r="A35" s="8" t="s">
        <v>19</v>
      </c>
      <c r="B35" s="9">
        <v>186821.79259999999</v>
      </c>
      <c r="C35" s="9">
        <v>248892.08240000001</v>
      </c>
      <c r="D35" s="9">
        <v>306662.50750000001</v>
      </c>
      <c r="E35" s="18"/>
      <c r="F35" s="6"/>
      <c r="G35" s="6"/>
      <c r="H35" s="6"/>
      <c r="I35" s="6"/>
      <c r="J35" s="6"/>
      <c r="K35" s="6"/>
      <c r="L35" s="6"/>
      <c r="Z35" s="5"/>
      <c r="AA35" s="5"/>
    </row>
    <row r="36" spans="1:27" s="4" customFormat="1" ht="12.75" hidden="1" customHeight="1">
      <c r="A36" s="6"/>
      <c r="B36" s="6"/>
      <c r="C36" s="6"/>
      <c r="D36" s="6"/>
      <c r="E36" s="6"/>
      <c r="F36" s="6"/>
      <c r="G36" s="6"/>
      <c r="H36" s="6"/>
      <c r="I36" s="6"/>
      <c r="J36" s="6"/>
      <c r="K36" s="6"/>
      <c r="L36" s="6"/>
      <c r="Z36" s="5"/>
      <c r="AA36" s="5"/>
    </row>
    <row r="37" spans="1:27" ht="12.75" hidden="1" customHeight="1">
      <c r="A37" s="6"/>
      <c r="B37" s="6"/>
      <c r="C37" s="6"/>
      <c r="D37" s="6"/>
      <c r="E37" s="6"/>
      <c r="F37" s="6"/>
      <c r="G37" s="6"/>
      <c r="H37" s="6"/>
      <c r="I37" s="6"/>
      <c r="J37" s="6"/>
      <c r="K37" s="6"/>
      <c r="L37" s="6"/>
      <c r="Z37" s="3"/>
      <c r="AA37" s="3"/>
    </row>
    <row r="38" spans="1:27" ht="38.25" hidden="1" customHeight="1">
      <c r="A38" s="7" t="s">
        <v>30</v>
      </c>
      <c r="B38" s="7" t="s">
        <v>31</v>
      </c>
      <c r="C38" s="6"/>
      <c r="D38" s="7" t="s">
        <v>32</v>
      </c>
      <c r="E38" s="7" t="s">
        <v>33</v>
      </c>
      <c r="F38" s="6"/>
      <c r="G38" s="6"/>
      <c r="H38" s="6"/>
      <c r="I38" s="6"/>
      <c r="J38" s="6"/>
      <c r="K38" s="6"/>
      <c r="L38" s="6"/>
      <c r="Z38" s="3"/>
      <c r="AA38" s="3"/>
    </row>
    <row r="39" spans="1:27" ht="12.75" hidden="1" customHeight="1">
      <c r="A39" s="8" t="s">
        <v>34</v>
      </c>
      <c r="B39" s="9">
        <v>34010.932099999998</v>
      </c>
      <c r="C39" s="18"/>
      <c r="D39" s="9">
        <v>20537.3658</v>
      </c>
      <c r="E39" s="9">
        <v>10737.9606</v>
      </c>
      <c r="F39" s="6"/>
      <c r="G39" s="18"/>
      <c r="H39" s="6"/>
      <c r="I39" s="6"/>
      <c r="J39" s="6"/>
      <c r="K39" s="6"/>
      <c r="L39" s="6"/>
      <c r="Z39" s="3"/>
      <c r="AA39" s="3"/>
    </row>
    <row r="40" spans="1:27" ht="25.5" hidden="1" customHeight="1">
      <c r="A40" s="8" t="s">
        <v>35</v>
      </c>
      <c r="B40" s="9">
        <v>64310.000000000007</v>
      </c>
      <c r="C40" s="18"/>
      <c r="D40" s="13"/>
      <c r="E40" s="13"/>
      <c r="F40" s="6"/>
      <c r="G40" s="6"/>
      <c r="H40" s="6"/>
      <c r="I40" s="6"/>
      <c r="J40" s="6"/>
      <c r="K40" s="6"/>
      <c r="L40" s="6"/>
      <c r="Z40" s="3"/>
      <c r="AA40" s="3"/>
    </row>
    <row r="41" spans="1:27" ht="12.75" hidden="1" customHeight="1">
      <c r="A41" s="8" t="s">
        <v>36</v>
      </c>
      <c r="B41" s="9">
        <v>39202.547600000013</v>
      </c>
      <c r="C41" s="18"/>
      <c r="D41" s="6"/>
      <c r="E41" s="6"/>
      <c r="F41" s="6"/>
      <c r="G41" s="6"/>
      <c r="H41" s="6"/>
      <c r="I41" s="6"/>
      <c r="J41" s="6"/>
      <c r="K41" s="6"/>
      <c r="L41" s="6"/>
      <c r="Z41" s="3"/>
      <c r="AA41" s="3"/>
    </row>
    <row r="42" spans="1:27">
      <c r="Z42" s="3"/>
      <c r="AA42" s="3"/>
    </row>
    <row r="43" spans="1:27">
      <c r="Z43" s="3"/>
      <c r="AA43" s="3"/>
    </row>
    <row r="44" spans="1:27">
      <c r="Z44" s="3"/>
      <c r="AA44" s="3"/>
    </row>
    <row r="45" spans="1:27">
      <c r="Z45" s="3"/>
      <c r="AA45" s="3"/>
    </row>
    <row r="46" spans="1:27">
      <c r="Z46" s="3"/>
      <c r="AA46" s="3"/>
    </row>
    <row r="47" spans="1:27">
      <c r="Z47" s="3"/>
      <c r="AA47" s="3"/>
    </row>
    <row r="48" spans="1:27">
      <c r="Z48" s="3"/>
      <c r="AA48" s="3"/>
    </row>
    <row r="49" spans="26:27">
      <c r="Z49" s="3"/>
      <c r="AA49" s="3"/>
    </row>
    <row r="50" spans="26:27">
      <c r="Z50" s="3"/>
      <c r="AA50" s="3"/>
    </row>
    <row r="51" spans="26:27">
      <c r="Z51" s="3"/>
      <c r="AA51" s="3"/>
    </row>
    <row r="52" spans="26:27">
      <c r="Z52" s="3"/>
      <c r="AA52" s="3"/>
    </row>
    <row r="53" spans="26:27">
      <c r="Z53" s="3"/>
      <c r="AA53" s="3"/>
    </row>
    <row r="54" spans="26:27">
      <c r="Z54" s="3"/>
      <c r="AA54" s="3"/>
    </row>
    <row r="55" spans="26:27">
      <c r="Z55" s="3"/>
      <c r="AA55" s="3"/>
    </row>
    <row r="56" spans="26:27">
      <c r="Z56" s="3"/>
      <c r="AA56" s="3"/>
    </row>
    <row r="57" spans="26:27">
      <c r="Z57" s="3"/>
      <c r="AA57" s="3"/>
    </row>
    <row r="58" spans="26:27">
      <c r="Z58" s="3"/>
      <c r="AA58" s="3"/>
    </row>
    <row r="59" spans="26:27">
      <c r="Z59" s="3"/>
      <c r="AA59" s="3"/>
    </row>
    <row r="60" spans="26:27">
      <c r="Z60" s="3"/>
      <c r="AA60" s="3"/>
    </row>
    <row r="61" spans="26:27">
      <c r="Z61" s="3"/>
      <c r="AA61" s="3"/>
    </row>
    <row r="62" spans="26:27">
      <c r="Z62" s="3"/>
      <c r="AA62" s="3"/>
    </row>
    <row r="63" spans="26:27">
      <c r="Z63" s="3"/>
      <c r="AA63" s="3"/>
    </row>
    <row r="64" spans="26:27">
      <c r="Z64" s="3"/>
      <c r="AA64" s="3"/>
    </row>
    <row r="65" spans="26:27">
      <c r="Z65" s="3"/>
      <c r="AA65" s="3"/>
    </row>
    <row r="66" spans="26:27">
      <c r="Z66" s="3"/>
      <c r="AA66" s="3"/>
    </row>
    <row r="67" spans="26:27">
      <c r="Z67" s="3"/>
      <c r="AA67" s="3"/>
    </row>
    <row r="68" spans="26:27">
      <c r="Z68" s="3"/>
      <c r="AA68" s="3"/>
    </row>
    <row r="69" spans="26:27">
      <c r="Z69" s="3"/>
      <c r="AA69" s="3"/>
    </row>
    <row r="70" spans="26:27">
      <c r="Z70" s="3"/>
      <c r="AA70" s="3"/>
    </row>
    <row r="71" spans="26:27">
      <c r="Z71" s="3"/>
      <c r="AA71" s="3"/>
    </row>
    <row r="72" spans="26:27">
      <c r="Z72" s="3"/>
      <c r="AA72" s="3"/>
    </row>
    <row r="73" spans="26:27">
      <c r="Z73" s="3"/>
      <c r="AA73" s="3"/>
    </row>
    <row r="74" spans="26:27">
      <c r="Z74" s="3"/>
      <c r="AA74" s="3"/>
    </row>
    <row r="75" spans="26:27">
      <c r="Z75" s="3"/>
      <c r="AA75" s="3"/>
    </row>
    <row r="76" spans="26:27">
      <c r="Z76" s="3"/>
      <c r="AA76" s="3"/>
    </row>
    <row r="77" spans="26:27">
      <c r="Z77" s="3"/>
      <c r="AA77" s="3"/>
    </row>
    <row r="78" spans="26:27">
      <c r="Z78" s="3"/>
      <c r="AA78" s="3"/>
    </row>
    <row r="79" spans="26:27">
      <c r="Z79" s="3"/>
      <c r="AA79" s="3"/>
    </row>
    <row r="80" spans="26:27">
      <c r="Z80" s="3"/>
      <c r="AA80" s="3"/>
    </row>
    <row r="81" spans="26:27">
      <c r="Z81" s="3"/>
      <c r="AA81" s="3"/>
    </row>
    <row r="82" spans="26:27">
      <c r="Z82" s="3"/>
      <c r="AA82" s="3"/>
    </row>
    <row r="83" spans="26:27">
      <c r="Z83" s="3"/>
      <c r="AA83" s="3"/>
    </row>
    <row r="84" spans="26:27">
      <c r="Z84" s="3"/>
      <c r="AA84" s="3"/>
    </row>
    <row r="85" spans="26:27">
      <c r="Z85" s="3"/>
      <c r="AA85" s="3"/>
    </row>
    <row r="86" spans="26:27">
      <c r="Z86" s="3"/>
      <c r="AA86" s="3"/>
    </row>
    <row r="87" spans="26:27">
      <c r="Z87" s="3"/>
      <c r="AA87" s="3"/>
    </row>
    <row r="88" spans="26:27">
      <c r="Z88" s="3"/>
      <c r="AA88" s="3"/>
    </row>
    <row r="89" spans="26:27">
      <c r="Z89" s="3"/>
      <c r="AA89" s="3"/>
    </row>
    <row r="90" spans="26:27">
      <c r="Z90" s="3"/>
      <c r="AA90" s="3"/>
    </row>
    <row r="91" spans="26:27">
      <c r="Z91" s="3"/>
      <c r="AA91" s="3"/>
    </row>
    <row r="92" spans="26:27">
      <c r="Z92" s="3"/>
      <c r="AA92" s="3"/>
    </row>
    <row r="93" spans="26:27">
      <c r="Z93" s="3"/>
      <c r="AA93" s="3"/>
    </row>
    <row r="94" spans="26:27">
      <c r="Z94" s="3"/>
      <c r="AA94" s="3"/>
    </row>
    <row r="95" spans="26:27">
      <c r="Z95" s="3"/>
      <c r="AA95" s="3"/>
    </row>
    <row r="96" spans="26:27">
      <c r="Z96" s="3"/>
      <c r="AA96" s="3"/>
    </row>
    <row r="97" spans="26:27">
      <c r="Z97" s="3"/>
      <c r="AA97" s="3"/>
    </row>
    <row r="98" spans="26:27">
      <c r="Z98" s="3"/>
      <c r="AA98" s="3"/>
    </row>
    <row r="99" spans="26:27">
      <c r="Z99" s="3"/>
      <c r="AA99" s="3"/>
    </row>
    <row r="100" spans="26:27">
      <c r="Z100" s="3"/>
      <c r="AA100" s="3"/>
    </row>
    <row r="101" spans="26:27">
      <c r="Z101" s="3"/>
      <c r="AA101" s="3"/>
    </row>
    <row r="102" spans="26:27">
      <c r="Z102" s="3"/>
      <c r="AA102" s="3"/>
    </row>
    <row r="103" spans="26:27">
      <c r="Z103" s="3"/>
      <c r="AA103" s="3"/>
    </row>
    <row r="104" spans="26:27">
      <c r="Z104" s="3"/>
      <c r="AA104" s="3"/>
    </row>
    <row r="105" spans="26:27">
      <c r="Z105" s="3"/>
      <c r="AA105" s="3"/>
    </row>
    <row r="106" spans="26:27">
      <c r="Z106" s="3"/>
      <c r="AA106" s="3"/>
    </row>
    <row r="107" spans="26:27">
      <c r="Z107" s="3"/>
      <c r="AA107" s="3"/>
    </row>
    <row r="108" spans="26:27">
      <c r="Z108" s="3"/>
      <c r="AA108" s="3"/>
    </row>
    <row r="109" spans="26:27">
      <c r="Z109" s="3"/>
      <c r="AA109" s="3"/>
    </row>
    <row r="110" spans="26:27">
      <c r="Z110" s="3"/>
      <c r="AA110" s="3"/>
    </row>
    <row r="111" spans="26:27">
      <c r="Z111" s="3"/>
      <c r="AA111" s="3"/>
    </row>
    <row r="112" spans="26:27">
      <c r="Z112" s="3"/>
      <c r="AA112" s="3"/>
    </row>
    <row r="113" spans="26:27">
      <c r="Z113" s="3"/>
      <c r="AA113" s="3"/>
    </row>
    <row r="114" spans="26:27">
      <c r="Z114" s="3"/>
      <c r="AA114" s="3"/>
    </row>
    <row r="115" spans="26:27">
      <c r="Z115" s="3"/>
      <c r="AA115" s="3"/>
    </row>
    <row r="116" spans="26:27">
      <c r="Z116" s="3"/>
      <c r="AA116" s="3"/>
    </row>
    <row r="117" spans="26:27">
      <c r="Z117" s="3"/>
      <c r="AA117" s="3"/>
    </row>
    <row r="118" spans="26:27">
      <c r="Z118" s="3"/>
      <c r="AA118" s="3"/>
    </row>
    <row r="119" spans="26:27">
      <c r="Z119" s="3"/>
      <c r="AA119" s="3"/>
    </row>
    <row r="120" spans="26:27">
      <c r="Z120" s="3"/>
      <c r="AA120" s="3"/>
    </row>
    <row r="121" spans="26:27">
      <c r="Z121" s="3"/>
      <c r="AA121" s="3"/>
    </row>
    <row r="122" spans="26:27">
      <c r="Z122" s="3"/>
      <c r="AA122" s="3"/>
    </row>
    <row r="123" spans="26:27">
      <c r="Z123" s="3"/>
      <c r="AA123" s="3"/>
    </row>
    <row r="124" spans="26:27">
      <c r="Z124" s="3"/>
      <c r="AA124" s="3"/>
    </row>
    <row r="125" spans="26:27">
      <c r="Z125" s="3"/>
      <c r="AA125" s="3"/>
    </row>
    <row r="126" spans="26:27">
      <c r="Z126" s="3"/>
      <c r="AA126" s="3"/>
    </row>
    <row r="127" spans="26:27">
      <c r="Z127" s="3"/>
      <c r="AA127" s="3"/>
    </row>
    <row r="128" spans="26:27">
      <c r="Z128" s="3"/>
      <c r="AA128" s="3"/>
    </row>
    <row r="129" spans="26:27">
      <c r="Z129" s="3"/>
      <c r="AA129" s="3"/>
    </row>
    <row r="130" spans="26:27">
      <c r="Z130" s="3"/>
      <c r="AA130" s="3"/>
    </row>
    <row r="131" spans="26:27">
      <c r="Z131" s="3"/>
      <c r="AA131" s="3"/>
    </row>
    <row r="132" spans="26:27">
      <c r="Z132" s="3"/>
      <c r="AA132" s="3"/>
    </row>
    <row r="133" spans="26:27">
      <c r="Z133" s="3"/>
      <c r="AA133" s="3"/>
    </row>
    <row r="134" spans="26:27">
      <c r="Z134" s="3"/>
      <c r="AA134" s="3"/>
    </row>
    <row r="135" spans="26:27">
      <c r="Z135" s="3"/>
      <c r="AA135" s="3"/>
    </row>
    <row r="136" spans="26:27">
      <c r="Z136" s="3"/>
      <c r="AA136" s="3"/>
    </row>
    <row r="137" spans="26:27">
      <c r="Z137" s="3"/>
      <c r="AA137" s="3"/>
    </row>
    <row r="138" spans="26:27">
      <c r="Z138" s="3"/>
      <c r="AA138" s="3"/>
    </row>
    <row r="139" spans="26:27">
      <c r="Z139" s="3"/>
      <c r="AA139" s="3"/>
    </row>
    <row r="140" spans="26:27">
      <c r="Z140" s="3"/>
      <c r="AA140" s="3"/>
    </row>
    <row r="141" spans="26:27">
      <c r="Z141" s="3"/>
      <c r="AA141" s="3"/>
    </row>
    <row r="142" spans="26:27">
      <c r="Z142" s="3"/>
      <c r="AA142" s="3"/>
    </row>
    <row r="143" spans="26:27">
      <c r="Z143" s="3"/>
      <c r="AA143" s="3"/>
    </row>
    <row r="144" spans="26:27">
      <c r="Z144" s="3"/>
      <c r="AA144" s="3"/>
    </row>
    <row r="145" spans="26:27">
      <c r="Z145" s="3"/>
      <c r="AA145" s="3"/>
    </row>
    <row r="146" spans="26:27">
      <c r="Z146" s="3"/>
      <c r="AA146" s="3"/>
    </row>
    <row r="147" spans="26:27">
      <c r="Z147" s="3"/>
      <c r="AA147" s="3"/>
    </row>
    <row r="148" spans="26:27">
      <c r="Z148" s="3"/>
      <c r="AA148" s="3"/>
    </row>
    <row r="149" spans="26:27">
      <c r="Z149" s="3"/>
      <c r="AA149" s="3"/>
    </row>
    <row r="150" spans="26:27">
      <c r="Z150" s="3"/>
      <c r="AA150" s="3"/>
    </row>
    <row r="151" spans="26:27">
      <c r="Z151" s="3"/>
      <c r="AA151" s="3"/>
    </row>
    <row r="152" spans="26:27">
      <c r="Z152" s="3"/>
      <c r="AA152" s="3"/>
    </row>
    <row r="153" spans="26:27">
      <c r="Z153" s="3"/>
      <c r="AA153" s="3"/>
    </row>
    <row r="154" spans="26:27">
      <c r="Z154" s="3"/>
      <c r="AA154" s="3"/>
    </row>
    <row r="155" spans="26:27">
      <c r="Z155" s="3"/>
      <c r="AA155" s="3"/>
    </row>
    <row r="156" spans="26:27">
      <c r="Z156" s="3"/>
      <c r="AA156" s="3"/>
    </row>
    <row r="157" spans="26:27">
      <c r="Z157" s="3"/>
      <c r="AA157" s="3"/>
    </row>
    <row r="158" spans="26:27">
      <c r="Z158" s="3"/>
      <c r="AA158" s="3"/>
    </row>
    <row r="159" spans="26:27">
      <c r="Z159" s="3"/>
      <c r="AA159" s="3"/>
    </row>
    <row r="160" spans="26:27">
      <c r="Z160" s="3"/>
      <c r="AA160" s="3"/>
    </row>
    <row r="161" spans="26:27">
      <c r="Z161" s="3"/>
      <c r="AA161" s="3"/>
    </row>
    <row r="162" spans="26:27">
      <c r="Z162" s="3"/>
      <c r="AA162" s="3"/>
    </row>
    <row r="163" spans="26:27">
      <c r="Z163" s="3"/>
      <c r="AA163" s="3"/>
    </row>
    <row r="164" spans="26:27">
      <c r="Z164" s="3"/>
      <c r="AA164" s="3"/>
    </row>
    <row r="165" spans="26:27">
      <c r="Z165" s="3"/>
      <c r="AA165" s="3"/>
    </row>
    <row r="166" spans="26:27">
      <c r="Z166" s="3"/>
      <c r="AA166" s="3"/>
    </row>
    <row r="167" spans="26:27">
      <c r="Z167" s="3"/>
      <c r="AA167" s="3"/>
    </row>
    <row r="168" spans="26:27">
      <c r="Z168" s="3"/>
      <c r="AA168" s="3"/>
    </row>
    <row r="169" spans="26:27">
      <c r="Z169" s="3"/>
      <c r="AA169" s="3"/>
    </row>
    <row r="170" spans="26:27">
      <c r="Z170" s="3"/>
      <c r="AA170" s="3"/>
    </row>
    <row r="171" spans="26:27">
      <c r="Z171" s="3"/>
      <c r="AA171" s="3"/>
    </row>
    <row r="172" spans="26:27">
      <c r="Z172" s="3"/>
      <c r="AA172" s="3"/>
    </row>
    <row r="173" spans="26:27">
      <c r="Z173" s="3"/>
      <c r="AA173" s="3"/>
    </row>
    <row r="174" spans="26:27">
      <c r="Z174" s="3"/>
      <c r="AA174" s="3"/>
    </row>
    <row r="175" spans="26:27">
      <c r="Z175" s="3"/>
      <c r="AA175" s="3"/>
    </row>
    <row r="176" spans="26:27">
      <c r="Z176" s="3"/>
      <c r="AA176" s="3"/>
    </row>
    <row r="177" spans="26:27">
      <c r="Z177" s="3"/>
      <c r="AA177" s="3"/>
    </row>
    <row r="178" spans="26:27">
      <c r="Z178" s="3"/>
      <c r="AA178" s="3"/>
    </row>
    <row r="179" spans="26:27">
      <c r="Z179" s="3"/>
      <c r="AA179" s="3"/>
    </row>
    <row r="180" spans="26:27">
      <c r="Z180" s="3"/>
      <c r="AA180" s="3"/>
    </row>
    <row r="181" spans="26:27">
      <c r="Z181" s="3"/>
      <c r="AA181" s="3"/>
    </row>
    <row r="182" spans="26:27">
      <c r="Z182" s="3"/>
      <c r="AA182" s="3"/>
    </row>
    <row r="183" spans="26:27">
      <c r="Z183" s="3"/>
      <c r="AA183" s="3"/>
    </row>
    <row r="184" spans="26:27">
      <c r="Z184" s="3"/>
      <c r="AA184" s="3"/>
    </row>
    <row r="185" spans="26:27">
      <c r="Z185" s="3"/>
      <c r="AA185" s="3"/>
    </row>
    <row r="186" spans="26:27">
      <c r="Z186" s="3"/>
      <c r="AA186" s="3"/>
    </row>
    <row r="187" spans="26:27">
      <c r="Z187" s="3"/>
      <c r="AA187" s="3"/>
    </row>
    <row r="188" spans="26:27">
      <c r="Z188" s="3"/>
      <c r="AA188" s="3"/>
    </row>
    <row r="189" spans="26:27">
      <c r="Z189" s="3"/>
      <c r="AA189" s="3"/>
    </row>
    <row r="190" spans="26:27">
      <c r="Z190" s="3"/>
      <c r="AA190" s="3"/>
    </row>
    <row r="191" spans="26:27">
      <c r="Z191" s="3"/>
      <c r="AA191" s="3"/>
    </row>
    <row r="192" spans="26:27">
      <c r="Z192" s="3"/>
      <c r="AA192" s="3"/>
    </row>
    <row r="193" spans="26:27">
      <c r="Z193" s="3"/>
      <c r="AA193" s="3"/>
    </row>
    <row r="194" spans="26:27">
      <c r="Z194" s="3"/>
      <c r="AA194" s="3"/>
    </row>
    <row r="195" spans="26:27">
      <c r="Z195" s="3"/>
      <c r="AA195" s="3"/>
    </row>
    <row r="196" spans="26:27">
      <c r="Z196" s="3"/>
      <c r="AA196" s="3"/>
    </row>
    <row r="197" spans="26:27">
      <c r="Z197" s="3"/>
      <c r="AA197" s="3"/>
    </row>
    <row r="198" spans="26:27">
      <c r="Z198" s="3"/>
      <c r="AA198" s="3"/>
    </row>
    <row r="199" spans="26:27">
      <c r="Z199" s="3"/>
      <c r="AA199" s="3"/>
    </row>
    <row r="200" spans="26:27">
      <c r="Z200" s="3"/>
      <c r="AA200" s="3"/>
    </row>
    <row r="201" spans="26:27">
      <c r="Z201" s="3"/>
      <c r="AA201" s="3"/>
    </row>
    <row r="202" spans="26:27">
      <c r="Z202" s="3"/>
      <c r="AA202" s="3"/>
    </row>
    <row r="203" spans="26:27">
      <c r="Z203" s="3"/>
      <c r="AA203" s="3"/>
    </row>
    <row r="204" spans="26:27">
      <c r="Z204" s="3"/>
      <c r="AA204" s="3"/>
    </row>
    <row r="205" spans="26:27">
      <c r="Z205" s="3"/>
      <c r="AA205" s="3"/>
    </row>
    <row r="206" spans="26:27">
      <c r="Z206" s="3"/>
      <c r="AA206" s="3"/>
    </row>
    <row r="207" spans="26:27">
      <c r="Z207" s="3"/>
      <c r="AA207" s="3"/>
    </row>
    <row r="208" spans="26:27">
      <c r="Z208" s="3"/>
      <c r="AA208" s="3"/>
    </row>
    <row r="209" spans="26:27">
      <c r="Z209" s="3"/>
      <c r="AA209" s="3"/>
    </row>
    <row r="210" spans="26:27">
      <c r="Z210" s="3"/>
      <c r="AA210" s="3"/>
    </row>
    <row r="211" spans="26:27">
      <c r="Z211" s="3"/>
      <c r="AA211" s="3"/>
    </row>
    <row r="212" spans="26:27">
      <c r="Z212" s="3"/>
      <c r="AA212" s="3"/>
    </row>
    <row r="213" spans="26:27">
      <c r="Z213" s="3"/>
      <c r="AA213" s="3"/>
    </row>
    <row r="214" spans="26:27">
      <c r="Z214" s="3"/>
      <c r="AA214" s="3"/>
    </row>
    <row r="215" spans="26:27">
      <c r="Z215" s="3"/>
      <c r="AA215" s="3"/>
    </row>
    <row r="216" spans="26:27">
      <c r="Z216" s="3"/>
      <c r="AA216" s="3"/>
    </row>
    <row r="217" spans="26:27">
      <c r="Z217" s="3"/>
      <c r="AA217" s="3"/>
    </row>
    <row r="218" spans="26:27">
      <c r="Z218" s="3"/>
      <c r="AA218" s="3"/>
    </row>
    <row r="219" spans="26:27">
      <c r="Z219" s="3"/>
      <c r="AA219" s="3"/>
    </row>
    <row r="220" spans="26:27">
      <c r="Z220" s="3"/>
      <c r="AA220" s="3"/>
    </row>
    <row r="221" spans="26:27">
      <c r="Z221" s="3"/>
      <c r="AA221" s="3"/>
    </row>
    <row r="222" spans="26:27">
      <c r="Z222" s="3"/>
      <c r="AA222" s="3"/>
    </row>
    <row r="223" spans="26:27">
      <c r="Z223" s="3"/>
      <c r="AA223" s="3"/>
    </row>
    <row r="224" spans="26:27">
      <c r="Z224" s="3"/>
      <c r="AA224" s="3"/>
    </row>
    <row r="225" spans="26:27">
      <c r="Z225" s="3"/>
      <c r="AA225" s="3"/>
    </row>
    <row r="226" spans="26:27">
      <c r="Z226" s="3"/>
      <c r="AA226" s="3"/>
    </row>
    <row r="227" spans="26:27">
      <c r="Z227" s="3"/>
      <c r="AA227" s="3"/>
    </row>
    <row r="228" spans="26:27">
      <c r="Z228" s="3"/>
      <c r="AA228" s="3"/>
    </row>
    <row r="229" spans="26:27">
      <c r="Z229" s="3"/>
      <c r="AA229" s="3"/>
    </row>
    <row r="230" spans="26:27">
      <c r="Z230" s="3"/>
      <c r="AA230" s="3"/>
    </row>
    <row r="231" spans="26:27">
      <c r="Z231" s="3"/>
      <c r="AA231" s="3"/>
    </row>
    <row r="232" spans="26:27">
      <c r="Z232" s="3"/>
      <c r="AA232" s="3"/>
    </row>
    <row r="233" spans="26:27">
      <c r="Z233" s="3"/>
      <c r="AA233" s="3"/>
    </row>
    <row r="234" spans="26:27">
      <c r="Z234" s="3"/>
      <c r="AA234" s="3"/>
    </row>
    <row r="235" spans="26:27">
      <c r="Z235" s="3"/>
      <c r="AA235" s="3"/>
    </row>
    <row r="236" spans="26:27">
      <c r="Z236" s="3"/>
      <c r="AA236" s="3"/>
    </row>
    <row r="237" spans="26:27">
      <c r="Z237" s="3"/>
      <c r="AA237" s="3"/>
    </row>
    <row r="238" spans="26:27">
      <c r="Z238" s="3"/>
      <c r="AA238" s="3"/>
    </row>
    <row r="239" spans="26:27">
      <c r="Z239" s="3"/>
      <c r="AA239" s="3"/>
    </row>
    <row r="240" spans="26:27">
      <c r="Z240" s="3"/>
      <c r="AA240" s="3"/>
    </row>
    <row r="241" spans="26:27">
      <c r="Z241" s="3"/>
      <c r="AA241" s="3"/>
    </row>
    <row r="242" spans="26:27">
      <c r="Z242" s="3"/>
      <c r="AA242" s="3"/>
    </row>
    <row r="243" spans="26:27">
      <c r="Z243" s="3"/>
      <c r="AA243" s="3"/>
    </row>
    <row r="244" spans="26:27">
      <c r="Z244" s="3"/>
      <c r="AA244" s="3"/>
    </row>
    <row r="245" spans="26:27">
      <c r="Z245" s="3"/>
      <c r="AA245" s="3"/>
    </row>
    <row r="246" spans="26:27">
      <c r="Z246" s="3"/>
      <c r="AA246" s="3"/>
    </row>
    <row r="247" spans="26:27">
      <c r="Z247" s="3"/>
      <c r="AA247" s="3"/>
    </row>
    <row r="248" spans="26:27">
      <c r="Z248" s="3"/>
      <c r="AA248" s="3"/>
    </row>
    <row r="249" spans="26:27">
      <c r="Z249" s="3"/>
      <c r="AA249" s="3"/>
    </row>
    <row r="250" spans="26:27">
      <c r="Z250" s="3"/>
      <c r="AA250" s="3"/>
    </row>
    <row r="251" spans="26:27">
      <c r="Z251" s="3"/>
      <c r="AA251" s="3"/>
    </row>
    <row r="252" spans="26:27">
      <c r="Z252" s="3"/>
      <c r="AA252" s="3"/>
    </row>
    <row r="253" spans="26:27">
      <c r="Z253" s="3"/>
      <c r="AA253" s="3"/>
    </row>
    <row r="254" spans="26:27">
      <c r="Z254" s="3"/>
      <c r="AA254" s="3"/>
    </row>
    <row r="255" spans="26:27">
      <c r="Z255" s="3"/>
      <c r="AA255" s="3"/>
    </row>
    <row r="256" spans="26:27">
      <c r="Z256" s="3"/>
      <c r="AA256" s="3"/>
    </row>
    <row r="257" spans="26:27">
      <c r="Z257" s="3"/>
      <c r="AA257" s="3"/>
    </row>
    <row r="258" spans="26:27">
      <c r="Z258" s="3"/>
      <c r="AA258" s="3"/>
    </row>
    <row r="259" spans="26:27">
      <c r="Z259" s="3"/>
      <c r="AA259" s="3"/>
    </row>
    <row r="260" spans="26:27">
      <c r="Z260" s="3"/>
      <c r="AA260" s="3"/>
    </row>
    <row r="261" spans="26:27">
      <c r="Z261" s="3"/>
      <c r="AA261" s="3"/>
    </row>
    <row r="262" spans="26:27">
      <c r="Z262" s="3"/>
      <c r="AA262" s="3"/>
    </row>
    <row r="263" spans="26:27">
      <c r="Z263" s="3"/>
      <c r="AA263" s="3"/>
    </row>
    <row r="264" spans="26:27">
      <c r="Z264" s="3"/>
      <c r="AA264" s="3"/>
    </row>
    <row r="265" spans="26:27">
      <c r="Z265" s="3"/>
      <c r="AA265" s="3"/>
    </row>
    <row r="266" spans="26:27">
      <c r="Z266" s="3"/>
      <c r="AA266" s="3"/>
    </row>
    <row r="267" spans="26:27">
      <c r="Z267" s="3"/>
      <c r="AA267" s="3"/>
    </row>
    <row r="268" spans="26:27">
      <c r="Z268" s="3"/>
      <c r="AA268" s="3"/>
    </row>
    <row r="269" spans="26:27">
      <c r="Z269" s="3"/>
      <c r="AA269" s="3"/>
    </row>
    <row r="270" spans="26:27">
      <c r="Z270" s="3"/>
      <c r="AA270" s="3"/>
    </row>
    <row r="271" spans="26:27">
      <c r="Z271" s="3"/>
      <c r="AA271" s="3"/>
    </row>
    <row r="272" spans="26:27">
      <c r="Z272" s="3"/>
      <c r="AA272" s="3"/>
    </row>
    <row r="273" spans="26:27">
      <c r="Z273" s="3"/>
      <c r="AA273" s="3"/>
    </row>
    <row r="274" spans="26:27">
      <c r="Z274" s="3"/>
      <c r="AA274" s="3"/>
    </row>
    <row r="275" spans="26:27">
      <c r="Z275" s="3"/>
      <c r="AA275" s="3"/>
    </row>
    <row r="276" spans="26:27">
      <c r="Z276" s="3"/>
      <c r="AA276" s="3"/>
    </row>
    <row r="277" spans="26:27">
      <c r="Z277" s="3"/>
      <c r="AA277" s="3"/>
    </row>
    <row r="278" spans="26:27">
      <c r="Z278" s="3"/>
      <c r="AA278" s="3"/>
    </row>
    <row r="279" spans="26:27">
      <c r="Z279" s="3"/>
      <c r="AA279" s="3"/>
    </row>
    <row r="280" spans="26:27">
      <c r="Z280" s="3"/>
      <c r="AA280" s="3"/>
    </row>
    <row r="281" spans="26:27">
      <c r="Z281" s="3"/>
      <c r="AA281" s="3"/>
    </row>
    <row r="282" spans="26:27">
      <c r="Z282" s="3"/>
      <c r="AA282" s="3"/>
    </row>
    <row r="283" spans="26:27">
      <c r="Z283" s="3"/>
      <c r="AA283" s="3"/>
    </row>
    <row r="284" spans="26:27">
      <c r="Z284" s="3"/>
      <c r="AA284" s="3"/>
    </row>
    <row r="285" spans="26:27">
      <c r="Z285" s="3"/>
      <c r="AA285" s="3"/>
    </row>
    <row r="286" spans="26:27">
      <c r="Z286" s="3"/>
      <c r="AA286" s="3"/>
    </row>
    <row r="287" spans="26:27">
      <c r="Z287" s="3"/>
      <c r="AA287" s="3"/>
    </row>
    <row r="288" spans="26:27">
      <c r="Z288" s="3"/>
      <c r="AA288" s="3"/>
    </row>
    <row r="289" spans="26:27">
      <c r="Z289" s="3"/>
      <c r="AA289" s="3"/>
    </row>
    <row r="290" spans="26:27">
      <c r="Z290" s="3"/>
      <c r="AA290" s="3"/>
    </row>
    <row r="291" spans="26:27">
      <c r="Z291" s="3"/>
      <c r="AA291" s="3"/>
    </row>
    <row r="292" spans="26:27">
      <c r="Z292" s="3"/>
      <c r="AA292" s="3"/>
    </row>
    <row r="293" spans="26:27">
      <c r="Z293" s="3"/>
      <c r="AA293" s="3"/>
    </row>
    <row r="294" spans="26:27">
      <c r="Z294" s="3"/>
      <c r="AA294" s="3"/>
    </row>
    <row r="295" spans="26:27">
      <c r="Z295" s="3"/>
      <c r="AA295" s="3"/>
    </row>
    <row r="296" spans="26:27">
      <c r="Z296" s="3"/>
      <c r="AA296" s="3"/>
    </row>
    <row r="297" spans="26:27">
      <c r="Z297" s="3"/>
      <c r="AA297" s="3"/>
    </row>
    <row r="298" spans="26:27">
      <c r="Z298" s="3"/>
      <c r="AA298" s="3"/>
    </row>
    <row r="299" spans="26:27">
      <c r="Z299" s="3"/>
      <c r="AA299" s="3"/>
    </row>
    <row r="300" spans="26:27">
      <c r="Z300" s="3"/>
      <c r="AA300" s="3"/>
    </row>
    <row r="301" spans="26:27">
      <c r="Z301" s="3"/>
      <c r="AA301" s="3"/>
    </row>
    <row r="302" spans="26:27">
      <c r="Z302" s="3"/>
      <c r="AA302" s="3"/>
    </row>
    <row r="303" spans="26:27">
      <c r="Z303" s="3"/>
      <c r="AA303" s="3"/>
    </row>
    <row r="304" spans="26:27">
      <c r="Z304" s="3"/>
      <c r="AA304" s="3"/>
    </row>
    <row r="305" spans="26:27">
      <c r="Z305" s="3"/>
      <c r="AA305" s="3"/>
    </row>
    <row r="306" spans="26:27">
      <c r="Z306" s="3"/>
      <c r="AA306" s="3"/>
    </row>
    <row r="307" spans="26:27">
      <c r="Z307" s="3"/>
      <c r="AA307" s="3"/>
    </row>
    <row r="308" spans="26:27">
      <c r="Z308" s="3"/>
      <c r="AA308" s="3"/>
    </row>
    <row r="309" spans="26:27">
      <c r="Z309" s="3"/>
      <c r="AA309" s="3"/>
    </row>
    <row r="310" spans="26:27">
      <c r="Z310" s="3"/>
      <c r="AA310" s="3"/>
    </row>
    <row r="311" spans="26:27">
      <c r="Z311" s="3"/>
      <c r="AA311" s="3"/>
    </row>
    <row r="312" spans="26:27">
      <c r="Z312" s="3"/>
      <c r="AA312" s="3"/>
    </row>
    <row r="313" spans="26:27">
      <c r="Z313" s="3"/>
      <c r="AA313" s="3"/>
    </row>
    <row r="314" spans="26:27">
      <c r="Z314" s="3"/>
      <c r="AA314" s="3"/>
    </row>
    <row r="315" spans="26:27">
      <c r="Z315" s="3"/>
      <c r="AA315" s="3"/>
    </row>
    <row r="316" spans="26:27">
      <c r="Z316" s="3"/>
      <c r="AA316" s="3"/>
    </row>
    <row r="317" spans="26:27">
      <c r="Z317" s="3"/>
      <c r="AA317" s="3"/>
    </row>
    <row r="318" spans="26:27">
      <c r="Z318" s="3"/>
      <c r="AA318" s="3"/>
    </row>
    <row r="319" spans="26:27">
      <c r="Z319" s="3"/>
      <c r="AA319" s="3"/>
    </row>
    <row r="320" spans="26:27">
      <c r="Z320" s="3"/>
      <c r="AA320" s="3"/>
    </row>
    <row r="321" spans="26:27">
      <c r="Z321" s="3"/>
      <c r="AA321" s="3"/>
    </row>
    <row r="322" spans="26:27">
      <c r="Z322" s="3"/>
      <c r="AA322" s="3"/>
    </row>
    <row r="323" spans="26:27">
      <c r="Z323" s="3"/>
      <c r="AA323" s="3"/>
    </row>
    <row r="324" spans="26:27">
      <c r="Z324" s="3"/>
      <c r="AA324" s="3"/>
    </row>
    <row r="325" spans="26:27">
      <c r="Z325" s="3"/>
      <c r="AA325" s="3"/>
    </row>
    <row r="326" spans="26:27">
      <c r="Z326" s="3"/>
      <c r="AA326" s="3"/>
    </row>
    <row r="327" spans="26:27">
      <c r="Z327" s="3"/>
      <c r="AA327" s="3"/>
    </row>
    <row r="328" spans="26:27">
      <c r="Z328" s="3"/>
      <c r="AA328" s="3"/>
    </row>
    <row r="329" spans="26:27">
      <c r="Z329" s="3"/>
      <c r="AA329" s="3"/>
    </row>
    <row r="330" spans="26:27">
      <c r="Z330" s="3"/>
      <c r="AA330" s="3"/>
    </row>
    <row r="331" spans="26:27">
      <c r="Z331" s="3"/>
      <c r="AA331" s="3"/>
    </row>
    <row r="332" spans="26:27">
      <c r="Z332" s="3"/>
      <c r="AA332" s="3"/>
    </row>
    <row r="333" spans="26:27">
      <c r="Z333" s="3"/>
      <c r="AA333" s="3"/>
    </row>
    <row r="334" spans="26:27">
      <c r="Z334" s="3"/>
      <c r="AA334" s="3"/>
    </row>
    <row r="335" spans="26:27">
      <c r="Z335" s="3"/>
      <c r="AA335" s="3"/>
    </row>
    <row r="336" spans="26:27">
      <c r="Z336" s="3"/>
      <c r="AA336" s="3"/>
    </row>
    <row r="337" spans="26:27">
      <c r="Z337" s="3"/>
      <c r="AA337" s="3"/>
    </row>
    <row r="338" spans="26:27">
      <c r="Z338" s="3"/>
      <c r="AA338" s="3"/>
    </row>
    <row r="339" spans="26:27">
      <c r="Z339" s="3"/>
      <c r="AA339" s="3"/>
    </row>
    <row r="340" spans="26:27">
      <c r="Z340" s="3"/>
      <c r="AA340" s="3"/>
    </row>
    <row r="341" spans="26:27">
      <c r="Z341" s="3"/>
      <c r="AA341" s="3"/>
    </row>
    <row r="342" spans="26:27">
      <c r="Z342" s="3"/>
      <c r="AA342" s="3"/>
    </row>
    <row r="343" spans="26:27">
      <c r="Z343" s="3"/>
      <c r="AA343" s="3"/>
    </row>
    <row r="344" spans="26:27">
      <c r="Z344" s="3"/>
      <c r="AA344" s="3"/>
    </row>
    <row r="345" spans="26:27">
      <c r="Z345" s="3"/>
      <c r="AA345" s="3"/>
    </row>
    <row r="346" spans="26:27">
      <c r="Z346" s="3"/>
      <c r="AA346" s="3"/>
    </row>
    <row r="347" spans="26:27">
      <c r="Z347" s="3"/>
      <c r="AA347" s="3"/>
    </row>
    <row r="348" spans="26:27">
      <c r="Z348" s="3"/>
      <c r="AA348" s="3"/>
    </row>
    <row r="349" spans="26:27">
      <c r="Z349" s="3"/>
      <c r="AA349" s="3"/>
    </row>
    <row r="350" spans="26:27">
      <c r="Z350" s="3"/>
      <c r="AA350" s="3"/>
    </row>
    <row r="351" spans="26:27">
      <c r="Z351" s="3"/>
      <c r="AA351" s="3"/>
    </row>
    <row r="352" spans="26:27">
      <c r="Z352" s="3"/>
      <c r="AA352" s="3"/>
    </row>
    <row r="353" spans="26:27">
      <c r="Z353" s="3"/>
      <c r="AA353" s="3"/>
    </row>
    <row r="354" spans="26:27">
      <c r="Z354" s="3"/>
      <c r="AA354" s="3"/>
    </row>
    <row r="355" spans="26:27">
      <c r="Z355" s="3"/>
      <c r="AA355" s="3"/>
    </row>
    <row r="356" spans="26:27">
      <c r="Z356" s="3"/>
      <c r="AA356" s="3"/>
    </row>
    <row r="357" spans="26:27">
      <c r="Z357" s="3"/>
      <c r="AA357" s="3"/>
    </row>
    <row r="358" spans="26:27">
      <c r="Z358" s="3"/>
      <c r="AA358" s="3"/>
    </row>
    <row r="359" spans="26:27">
      <c r="Z359" s="3"/>
      <c r="AA359" s="3"/>
    </row>
    <row r="360" spans="26:27">
      <c r="Z360" s="3"/>
      <c r="AA360" s="3"/>
    </row>
    <row r="361" spans="26:27">
      <c r="Z361" s="3"/>
      <c r="AA361" s="3"/>
    </row>
    <row r="362" spans="26:27">
      <c r="Z362" s="3"/>
      <c r="AA362" s="3"/>
    </row>
    <row r="363" spans="26:27">
      <c r="Z363" s="3"/>
      <c r="AA363" s="3"/>
    </row>
    <row r="364" spans="26:27">
      <c r="Z364" s="3"/>
      <c r="AA364" s="3"/>
    </row>
    <row r="365" spans="26:27">
      <c r="Z365" s="3"/>
      <c r="AA365" s="3"/>
    </row>
    <row r="366" spans="26:27">
      <c r="Z366" s="3"/>
      <c r="AA366" s="3"/>
    </row>
    <row r="367" spans="26:27">
      <c r="Z367" s="3"/>
      <c r="AA367" s="3"/>
    </row>
    <row r="368" spans="26:27">
      <c r="Z368" s="3"/>
      <c r="AA368" s="3"/>
    </row>
    <row r="369" spans="26:27">
      <c r="Z369" s="3"/>
      <c r="AA369" s="3"/>
    </row>
    <row r="370" spans="26:27">
      <c r="Z370" s="3"/>
      <c r="AA370" s="3"/>
    </row>
    <row r="371" spans="26:27">
      <c r="Z371" s="3"/>
      <c r="AA371" s="3"/>
    </row>
    <row r="372" spans="26:27">
      <c r="Z372" s="3"/>
      <c r="AA372" s="3"/>
    </row>
    <row r="373" spans="26:27">
      <c r="Z373" s="3"/>
      <c r="AA373" s="3"/>
    </row>
    <row r="374" spans="26:27">
      <c r="Z374" s="3"/>
      <c r="AA374" s="3"/>
    </row>
    <row r="375" spans="26:27">
      <c r="Z375" s="3"/>
      <c r="AA375" s="3"/>
    </row>
    <row r="376" spans="26:27">
      <c r="Z376" s="3"/>
      <c r="AA376" s="3"/>
    </row>
    <row r="377" spans="26:27">
      <c r="Z377" s="3"/>
      <c r="AA377" s="3"/>
    </row>
    <row r="378" spans="26:27">
      <c r="Z378" s="3"/>
      <c r="AA378" s="3"/>
    </row>
    <row r="379" spans="26:27">
      <c r="Z379" s="3"/>
      <c r="AA379" s="3"/>
    </row>
    <row r="380" spans="26:27">
      <c r="Z380" s="3"/>
      <c r="AA380" s="3"/>
    </row>
    <row r="381" spans="26:27">
      <c r="Z381" s="3"/>
      <c r="AA381" s="3"/>
    </row>
    <row r="382" spans="26:27">
      <c r="Z382" s="3"/>
      <c r="AA382" s="3"/>
    </row>
  </sheetData>
  <mergeCells count="12">
    <mergeCell ref="A8:D8"/>
    <mergeCell ref="G23:G24"/>
    <mergeCell ref="G29:L30"/>
    <mergeCell ref="A30:D30"/>
    <mergeCell ref="L23:L24"/>
    <mergeCell ref="L1:L2"/>
    <mergeCell ref="H1:I1"/>
    <mergeCell ref="J1:K1"/>
    <mergeCell ref="H23:I23"/>
    <mergeCell ref="G1:G2"/>
    <mergeCell ref="J23:K23"/>
    <mergeCell ref="G7:L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CB4B-A5E0-43A5-BC66-AAF90A8E48AF}">
  <dimension ref="A1:C8"/>
  <sheetViews>
    <sheetView tabSelected="1" workbookViewId="0">
      <selection sqref="A1:C8"/>
    </sheetView>
  </sheetViews>
  <sheetFormatPr baseColWidth="10" defaultRowHeight="14.4"/>
  <cols>
    <col min="1" max="1" width="27.77734375" customWidth="1"/>
    <col min="3" max="3" width="15.21875" customWidth="1"/>
  </cols>
  <sheetData>
    <row r="1" spans="1:3">
      <c r="A1" s="51" t="s">
        <v>628</v>
      </c>
      <c r="B1" s="52"/>
      <c r="C1" s="52"/>
    </row>
    <row r="2" spans="1:3">
      <c r="A2" s="51" t="s">
        <v>626</v>
      </c>
      <c r="B2" s="52"/>
      <c r="C2" s="52"/>
    </row>
    <row r="3" spans="1:3">
      <c r="A3" s="29"/>
      <c r="B3" s="30"/>
      <c r="C3" s="31"/>
    </row>
    <row r="4" spans="1:3">
      <c r="A4" s="32" t="s">
        <v>621</v>
      </c>
      <c r="B4" s="33" t="s">
        <v>622</v>
      </c>
      <c r="C4" s="37" t="s">
        <v>623</v>
      </c>
    </row>
    <row r="5" spans="1:3">
      <c r="A5" s="29" t="s">
        <v>627</v>
      </c>
      <c r="B5" s="34">
        <f>COUNTA(INCIDENTES_BANCOLOMBIA!A:A)-1</f>
        <v>73</v>
      </c>
      <c r="C5" s="38">
        <f>INCIDENTES_BANCOLOMBIA!AE75</f>
        <v>6943892</v>
      </c>
    </row>
    <row r="6" spans="1:3">
      <c r="A6" s="53" t="s">
        <v>624</v>
      </c>
      <c r="B6" s="54"/>
      <c r="C6" s="38">
        <f>SUM(C5:C5)</f>
        <v>6943892</v>
      </c>
    </row>
    <row r="7" spans="1:3">
      <c r="A7" s="55" t="s">
        <v>625</v>
      </c>
      <c r="B7" s="56"/>
      <c r="C7" s="38">
        <f>C6*0.19</f>
        <v>1319339.48</v>
      </c>
    </row>
    <row r="8" spans="1:3">
      <c r="A8" s="53" t="s">
        <v>623</v>
      </c>
      <c r="B8" s="54"/>
      <c r="C8" s="38">
        <f>SUM(C6:C7)</f>
        <v>8263231.4800000004</v>
      </c>
    </row>
  </sheetData>
  <mergeCells count="5">
    <mergeCell ref="A1:C1"/>
    <mergeCell ref="A2:C2"/>
    <mergeCell ref="A6:B6"/>
    <mergeCell ref="A7:B7"/>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A1:AE75"/>
  <sheetViews>
    <sheetView topLeftCell="AB70" workbookViewId="0">
      <selection activeCell="AE1" sqref="AE1:AE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7" customWidth="1"/>
    <col min="10" max="10" width="44" customWidth="1"/>
    <col min="11" max="11" width="10" customWidth="1"/>
    <col min="12" max="12" width="31" customWidth="1"/>
    <col min="13" max="13" width="41" customWidth="1"/>
    <col min="14" max="14" width="44" customWidth="1"/>
    <col min="15" max="15" width="11" customWidth="1"/>
    <col min="16" max="16" width="13" customWidth="1"/>
    <col min="17" max="17" width="25" customWidth="1"/>
    <col min="18" max="18" width="38" customWidth="1"/>
    <col min="19" max="19" width="14" customWidth="1"/>
    <col min="20" max="20" width="15" customWidth="1"/>
    <col min="21" max="21" width="35" customWidth="1"/>
    <col min="22" max="22" width="50" customWidth="1"/>
    <col min="23" max="23" width="20" customWidth="1"/>
    <col min="24" max="24" width="21" customWidth="1"/>
    <col min="25" max="25" width="14" customWidth="1"/>
    <col min="26" max="26" width="19" customWidth="1"/>
    <col min="27" max="27" width="42" customWidth="1"/>
    <col min="28" max="28" width="16" customWidth="1"/>
    <col min="29" max="29" width="15" customWidth="1"/>
    <col min="30" max="31" width="20.88671875" style="35" customWidth="1"/>
  </cols>
  <sheetData>
    <row r="1" spans="1:31" ht="43.2">
      <c r="A1" s="26" t="s">
        <v>39</v>
      </c>
      <c r="B1" s="26" t="s">
        <v>40</v>
      </c>
      <c r="C1" s="26" t="s">
        <v>41</v>
      </c>
      <c r="D1" s="26" t="s">
        <v>42</v>
      </c>
      <c r="E1" s="26" t="s">
        <v>43</v>
      </c>
      <c r="F1" s="26" t="s">
        <v>44</v>
      </c>
      <c r="G1" s="26" t="s">
        <v>45</v>
      </c>
      <c r="H1" s="26" t="s">
        <v>46</v>
      </c>
      <c r="I1" s="26" t="s">
        <v>47</v>
      </c>
      <c r="J1" s="26" t="s">
        <v>48</v>
      </c>
      <c r="K1" s="26" t="s">
        <v>49</v>
      </c>
      <c r="L1" s="26" t="s">
        <v>50</v>
      </c>
      <c r="M1" s="26" t="s">
        <v>158</v>
      </c>
      <c r="N1" s="26" t="s">
        <v>159</v>
      </c>
      <c r="O1" s="26" t="s">
        <v>160</v>
      </c>
      <c r="P1" s="26" t="s">
        <v>161</v>
      </c>
      <c r="Q1" s="26" t="s">
        <v>162</v>
      </c>
      <c r="R1" s="26" t="s">
        <v>163</v>
      </c>
      <c r="S1" s="26" t="s">
        <v>51</v>
      </c>
      <c r="T1" s="26" t="s">
        <v>52</v>
      </c>
      <c r="U1" s="26" t="s">
        <v>53</v>
      </c>
      <c r="V1" s="26" t="s">
        <v>164</v>
      </c>
      <c r="W1" s="26" t="s">
        <v>54</v>
      </c>
      <c r="X1" s="26" t="s">
        <v>55</v>
      </c>
      <c r="Y1" s="26" t="s">
        <v>56</v>
      </c>
      <c r="Z1" s="26" t="s">
        <v>57</v>
      </c>
      <c r="AA1" s="26" t="s">
        <v>58</v>
      </c>
      <c r="AB1" s="26" t="s">
        <v>59</v>
      </c>
      <c r="AC1" s="26" t="s">
        <v>60</v>
      </c>
      <c r="AD1" s="26" t="s">
        <v>61</v>
      </c>
      <c r="AE1" s="26" t="s">
        <v>62</v>
      </c>
    </row>
    <row r="2" spans="1:31">
      <c r="A2" t="s">
        <v>115</v>
      </c>
      <c r="B2" t="s">
        <v>116</v>
      </c>
      <c r="C2" t="s">
        <v>117</v>
      </c>
      <c r="D2" t="s">
        <v>172</v>
      </c>
      <c r="E2" t="s">
        <v>173</v>
      </c>
      <c r="F2" t="s">
        <v>174</v>
      </c>
      <c r="G2" t="s">
        <v>165</v>
      </c>
      <c r="H2" t="s">
        <v>116</v>
      </c>
      <c r="I2" t="s">
        <v>175</v>
      </c>
      <c r="J2" t="s">
        <v>176</v>
      </c>
      <c r="K2" t="s">
        <v>66</v>
      </c>
      <c r="L2" t="s">
        <v>177</v>
      </c>
      <c r="M2" s="27">
        <v>45929.71707175926</v>
      </c>
      <c r="N2" s="27">
        <v>45931.556944444441</v>
      </c>
      <c r="O2" t="s">
        <v>166</v>
      </c>
      <c r="P2" t="s">
        <v>170</v>
      </c>
      <c r="Q2" t="s">
        <v>178</v>
      </c>
      <c r="R2" t="s">
        <v>179</v>
      </c>
      <c r="S2" t="s">
        <v>168</v>
      </c>
      <c r="T2" t="s">
        <v>167</v>
      </c>
      <c r="U2" t="s">
        <v>69</v>
      </c>
      <c r="V2" t="s">
        <v>180</v>
      </c>
      <c r="W2" t="s">
        <v>70</v>
      </c>
      <c r="X2" t="s">
        <v>181</v>
      </c>
      <c r="Y2" t="s">
        <v>11</v>
      </c>
      <c r="Z2" t="s">
        <v>71</v>
      </c>
      <c r="AA2" t="s">
        <v>182</v>
      </c>
      <c r="AB2" s="28">
        <v>1</v>
      </c>
      <c r="AC2" t="s">
        <v>72</v>
      </c>
      <c r="AD2" s="35">
        <v>144968</v>
      </c>
      <c r="AE2" s="35">
        <v>144968</v>
      </c>
    </row>
    <row r="3" spans="1:31">
      <c r="A3" t="s">
        <v>86</v>
      </c>
      <c r="B3" t="s">
        <v>87</v>
      </c>
      <c r="C3" t="s">
        <v>88</v>
      </c>
      <c r="D3" t="s">
        <v>132</v>
      </c>
      <c r="E3" t="s">
        <v>192</v>
      </c>
      <c r="F3" t="s">
        <v>193</v>
      </c>
      <c r="G3" t="s">
        <v>165</v>
      </c>
      <c r="H3" t="s">
        <v>90</v>
      </c>
      <c r="I3" t="s">
        <v>133</v>
      </c>
      <c r="J3" t="s">
        <v>194</v>
      </c>
      <c r="K3" t="s">
        <v>66</v>
      </c>
      <c r="L3" t="s">
        <v>195</v>
      </c>
      <c r="M3" s="27">
        <v>45931.333333333343</v>
      </c>
      <c r="N3" s="27">
        <v>45931.662499999999</v>
      </c>
      <c r="O3" t="s">
        <v>166</v>
      </c>
      <c r="P3" t="s">
        <v>170</v>
      </c>
      <c r="Q3" t="s">
        <v>178</v>
      </c>
      <c r="R3" t="s">
        <v>179</v>
      </c>
      <c r="S3" t="s">
        <v>67</v>
      </c>
      <c r="T3" t="s">
        <v>85</v>
      </c>
      <c r="U3" t="s">
        <v>69</v>
      </c>
      <c r="V3" t="s">
        <v>196</v>
      </c>
      <c r="W3" t="s">
        <v>70</v>
      </c>
      <c r="X3" t="s">
        <v>197</v>
      </c>
      <c r="Y3" t="s">
        <v>11</v>
      </c>
      <c r="Z3" t="s">
        <v>71</v>
      </c>
      <c r="AA3" t="s">
        <v>131</v>
      </c>
      <c r="AB3" s="28">
        <v>1</v>
      </c>
      <c r="AC3" t="s">
        <v>72</v>
      </c>
      <c r="AD3" s="35">
        <v>144968</v>
      </c>
      <c r="AE3" s="35">
        <v>144968</v>
      </c>
    </row>
    <row r="4" spans="1:31">
      <c r="A4" t="s">
        <v>86</v>
      </c>
      <c r="B4" t="s">
        <v>87</v>
      </c>
      <c r="C4" t="s">
        <v>88</v>
      </c>
      <c r="D4" t="s">
        <v>89</v>
      </c>
      <c r="E4" t="s">
        <v>198</v>
      </c>
      <c r="F4" t="s">
        <v>199</v>
      </c>
      <c r="G4" t="s">
        <v>165</v>
      </c>
      <c r="H4" t="s">
        <v>90</v>
      </c>
      <c r="I4" t="s">
        <v>86</v>
      </c>
      <c r="J4" t="s">
        <v>200</v>
      </c>
      <c r="K4" t="s">
        <v>66</v>
      </c>
      <c r="L4" t="s">
        <v>201</v>
      </c>
      <c r="M4" s="27">
        <v>45931.371805555558</v>
      </c>
      <c r="N4" s="27">
        <v>45931.578472222223</v>
      </c>
      <c r="O4" t="s">
        <v>166</v>
      </c>
      <c r="P4" t="s">
        <v>170</v>
      </c>
      <c r="Q4" t="s">
        <v>178</v>
      </c>
      <c r="R4" t="s">
        <v>179</v>
      </c>
      <c r="S4" t="s">
        <v>67</v>
      </c>
      <c r="T4" t="s">
        <v>85</v>
      </c>
      <c r="U4" t="s">
        <v>69</v>
      </c>
      <c r="V4" t="s">
        <v>202</v>
      </c>
      <c r="W4" t="s">
        <v>70</v>
      </c>
      <c r="X4" t="s">
        <v>203</v>
      </c>
      <c r="Y4" t="s">
        <v>8</v>
      </c>
      <c r="Z4" t="s">
        <v>71</v>
      </c>
      <c r="AA4" t="s">
        <v>126</v>
      </c>
      <c r="AB4" s="28">
        <v>1</v>
      </c>
      <c r="AC4" t="s">
        <v>72</v>
      </c>
      <c r="AD4" s="35">
        <v>65960</v>
      </c>
      <c r="AE4" s="35">
        <v>65960</v>
      </c>
    </row>
    <row r="5" spans="1:31">
      <c r="A5" t="s">
        <v>78</v>
      </c>
      <c r="B5" t="s">
        <v>79</v>
      </c>
      <c r="C5" t="s">
        <v>80</v>
      </c>
      <c r="D5" t="s">
        <v>81</v>
      </c>
      <c r="E5" t="s">
        <v>212</v>
      </c>
      <c r="F5" t="s">
        <v>213</v>
      </c>
      <c r="G5" t="s">
        <v>165</v>
      </c>
      <c r="H5" t="s">
        <v>82</v>
      </c>
      <c r="I5" t="s">
        <v>83</v>
      </c>
      <c r="J5" t="s">
        <v>214</v>
      </c>
      <c r="K5" t="s">
        <v>66</v>
      </c>
      <c r="L5" t="s">
        <v>215</v>
      </c>
      <c r="M5" s="27">
        <v>45933.478888888887</v>
      </c>
      <c r="N5" s="27">
        <v>45934.450694444437</v>
      </c>
      <c r="O5" t="s">
        <v>166</v>
      </c>
      <c r="P5" t="s">
        <v>170</v>
      </c>
      <c r="Q5" t="s">
        <v>178</v>
      </c>
      <c r="R5" t="s">
        <v>179</v>
      </c>
      <c r="S5" t="s">
        <v>168</v>
      </c>
      <c r="T5" t="s">
        <v>168</v>
      </c>
      <c r="U5" t="s">
        <v>69</v>
      </c>
      <c r="V5" t="s">
        <v>216</v>
      </c>
      <c r="W5" t="s">
        <v>70</v>
      </c>
      <c r="X5" t="s">
        <v>217</v>
      </c>
      <c r="Y5" t="s">
        <v>15</v>
      </c>
      <c r="Z5" t="s">
        <v>71</v>
      </c>
      <c r="AA5" t="s">
        <v>84</v>
      </c>
      <c r="AB5" s="28">
        <v>1</v>
      </c>
      <c r="AC5" t="s">
        <v>72</v>
      </c>
      <c r="AD5" s="35">
        <v>479589</v>
      </c>
      <c r="AE5" s="35">
        <v>479589</v>
      </c>
    </row>
    <row r="6" spans="1:31">
      <c r="A6" t="s">
        <v>101</v>
      </c>
      <c r="B6" t="s">
        <v>79</v>
      </c>
      <c r="C6" t="s">
        <v>80</v>
      </c>
      <c r="D6" t="s">
        <v>105</v>
      </c>
      <c r="E6" t="s">
        <v>218</v>
      </c>
      <c r="F6" t="s">
        <v>219</v>
      </c>
      <c r="G6" t="s">
        <v>165</v>
      </c>
      <c r="H6" t="s">
        <v>106</v>
      </c>
      <c r="I6" t="s">
        <v>101</v>
      </c>
      <c r="J6" t="s">
        <v>220</v>
      </c>
      <c r="K6" t="s">
        <v>66</v>
      </c>
      <c r="L6" t="s">
        <v>221</v>
      </c>
      <c r="M6" s="27">
        <v>45933.473043981481</v>
      </c>
      <c r="N6" s="27">
        <v>45934.435416666667</v>
      </c>
      <c r="O6" t="s">
        <v>166</v>
      </c>
      <c r="P6" t="s">
        <v>170</v>
      </c>
      <c r="Q6" t="s">
        <v>178</v>
      </c>
      <c r="R6" t="s">
        <v>179</v>
      </c>
      <c r="S6" t="s">
        <v>168</v>
      </c>
      <c r="T6" t="s">
        <v>168</v>
      </c>
      <c r="U6" t="s">
        <v>69</v>
      </c>
      <c r="V6" t="s">
        <v>222</v>
      </c>
      <c r="W6" t="s">
        <v>70</v>
      </c>
      <c r="X6" t="s">
        <v>223</v>
      </c>
      <c r="Y6" t="s">
        <v>8</v>
      </c>
      <c r="Z6" t="s">
        <v>71</v>
      </c>
      <c r="AA6" t="s">
        <v>113</v>
      </c>
      <c r="AB6" s="28">
        <v>1</v>
      </c>
      <c r="AC6" t="s">
        <v>72</v>
      </c>
      <c r="AD6" s="35">
        <v>65960</v>
      </c>
      <c r="AE6" s="35">
        <v>65960</v>
      </c>
    </row>
    <row r="7" spans="1:31">
      <c r="A7" t="s">
        <v>63</v>
      </c>
      <c r="B7" t="s">
        <v>64</v>
      </c>
      <c r="C7" t="s">
        <v>65</v>
      </c>
      <c r="D7" t="s">
        <v>118</v>
      </c>
      <c r="E7" t="s">
        <v>224</v>
      </c>
      <c r="F7" t="s">
        <v>225</v>
      </c>
      <c r="G7" t="s">
        <v>165</v>
      </c>
      <c r="H7" t="s">
        <v>77</v>
      </c>
      <c r="I7" t="s">
        <v>63</v>
      </c>
      <c r="J7" t="s">
        <v>226</v>
      </c>
      <c r="K7" t="s">
        <v>66</v>
      </c>
      <c r="L7" t="s">
        <v>227</v>
      </c>
      <c r="M7" s="27">
        <v>45933.718865740739</v>
      </c>
      <c r="N7" s="27">
        <v>45934.511805555558</v>
      </c>
      <c r="O7" t="s">
        <v>166</v>
      </c>
      <c r="P7" t="s">
        <v>170</v>
      </c>
      <c r="Q7" t="s">
        <v>178</v>
      </c>
      <c r="R7" t="s">
        <v>179</v>
      </c>
      <c r="S7" t="s">
        <v>67</v>
      </c>
      <c r="T7" t="s">
        <v>68</v>
      </c>
      <c r="U7" t="s">
        <v>69</v>
      </c>
      <c r="V7" t="s">
        <v>228</v>
      </c>
      <c r="W7" t="s">
        <v>70</v>
      </c>
      <c r="X7" t="s">
        <v>229</v>
      </c>
      <c r="Y7" t="s">
        <v>8</v>
      </c>
      <c r="Z7" t="s">
        <v>71</v>
      </c>
      <c r="AA7" t="s">
        <v>139</v>
      </c>
      <c r="AB7" s="28">
        <v>1</v>
      </c>
      <c r="AC7" t="s">
        <v>72</v>
      </c>
      <c r="AD7" s="35">
        <v>65960</v>
      </c>
      <c r="AE7" s="35">
        <v>65960</v>
      </c>
    </row>
    <row r="8" spans="1:31">
      <c r="A8" t="s">
        <v>115</v>
      </c>
      <c r="B8" t="s">
        <v>116</v>
      </c>
      <c r="C8" t="s">
        <v>117</v>
      </c>
      <c r="D8" t="s">
        <v>119</v>
      </c>
      <c r="E8" t="s">
        <v>239</v>
      </c>
      <c r="F8" t="s">
        <v>240</v>
      </c>
      <c r="G8" t="s">
        <v>165</v>
      </c>
      <c r="H8" t="s">
        <v>116</v>
      </c>
      <c r="I8" t="s">
        <v>115</v>
      </c>
      <c r="J8" t="s">
        <v>241</v>
      </c>
      <c r="K8" t="s">
        <v>66</v>
      </c>
      <c r="L8" t="s">
        <v>242</v>
      </c>
      <c r="M8" s="27">
        <v>45936.502604166657</v>
      </c>
      <c r="N8" s="27">
        <v>45936.732638888891</v>
      </c>
      <c r="O8" t="s">
        <v>166</v>
      </c>
      <c r="P8" t="s">
        <v>170</v>
      </c>
      <c r="Q8" t="s">
        <v>178</v>
      </c>
      <c r="R8" t="s">
        <v>179</v>
      </c>
      <c r="S8" t="s">
        <v>67</v>
      </c>
      <c r="T8" t="s">
        <v>85</v>
      </c>
      <c r="U8" t="s">
        <v>69</v>
      </c>
      <c r="V8" t="s">
        <v>243</v>
      </c>
      <c r="W8" t="s">
        <v>70</v>
      </c>
      <c r="X8" t="s">
        <v>244</v>
      </c>
      <c r="Y8" t="s">
        <v>8</v>
      </c>
      <c r="Z8" t="s">
        <v>71</v>
      </c>
      <c r="AA8" t="s">
        <v>146</v>
      </c>
      <c r="AB8" s="28">
        <v>1</v>
      </c>
      <c r="AC8" t="s">
        <v>72</v>
      </c>
      <c r="AD8" s="35">
        <v>65960</v>
      </c>
      <c r="AE8" s="35">
        <v>65960</v>
      </c>
    </row>
    <row r="9" spans="1:31">
      <c r="A9" t="s">
        <v>122</v>
      </c>
      <c r="B9" t="s">
        <v>75</v>
      </c>
      <c r="C9" t="s">
        <v>76</v>
      </c>
      <c r="D9" t="s">
        <v>186</v>
      </c>
      <c r="E9" t="s">
        <v>245</v>
      </c>
      <c r="F9" t="s">
        <v>246</v>
      </c>
      <c r="G9" t="s">
        <v>165</v>
      </c>
      <c r="H9" t="s">
        <v>124</v>
      </c>
      <c r="I9" t="s">
        <v>187</v>
      </c>
      <c r="J9" t="s">
        <v>247</v>
      </c>
      <c r="K9" t="s">
        <v>66</v>
      </c>
      <c r="L9" t="s">
        <v>248</v>
      </c>
      <c r="M9" s="27">
        <v>45937.476412037038</v>
      </c>
      <c r="N9" s="27">
        <v>45938.661111111112</v>
      </c>
      <c r="O9" t="s">
        <v>166</v>
      </c>
      <c r="P9" t="s">
        <v>170</v>
      </c>
      <c r="Q9" t="s">
        <v>178</v>
      </c>
      <c r="R9" t="s">
        <v>179</v>
      </c>
      <c r="S9" t="s">
        <v>67</v>
      </c>
      <c r="T9" t="s">
        <v>68</v>
      </c>
      <c r="U9" t="s">
        <v>69</v>
      </c>
      <c r="V9" t="s">
        <v>249</v>
      </c>
      <c r="W9" t="s">
        <v>70</v>
      </c>
      <c r="X9" t="s">
        <v>250</v>
      </c>
      <c r="Y9" t="s">
        <v>11</v>
      </c>
      <c r="Z9" t="s">
        <v>71</v>
      </c>
      <c r="AA9" t="s">
        <v>125</v>
      </c>
      <c r="AB9" s="28">
        <v>1</v>
      </c>
      <c r="AC9" t="s">
        <v>72</v>
      </c>
      <c r="AD9" s="35">
        <v>144968</v>
      </c>
      <c r="AE9" s="35">
        <v>144968</v>
      </c>
    </row>
    <row r="10" spans="1:31">
      <c r="A10" t="s">
        <v>115</v>
      </c>
      <c r="B10" t="s">
        <v>116</v>
      </c>
      <c r="C10" t="s">
        <v>117</v>
      </c>
      <c r="D10" t="s">
        <v>119</v>
      </c>
      <c r="E10" t="s">
        <v>257</v>
      </c>
      <c r="F10" t="s">
        <v>258</v>
      </c>
      <c r="G10" t="s">
        <v>165</v>
      </c>
      <c r="H10" t="s">
        <v>116</v>
      </c>
      <c r="I10" t="s">
        <v>115</v>
      </c>
      <c r="J10" t="s">
        <v>259</v>
      </c>
      <c r="K10" t="s">
        <v>66</v>
      </c>
      <c r="L10" t="s">
        <v>260</v>
      </c>
      <c r="M10" s="27">
        <v>45938.548182870371</v>
      </c>
      <c r="N10" s="27">
        <v>45939.488888888889</v>
      </c>
      <c r="O10" t="s">
        <v>166</v>
      </c>
      <c r="P10" t="s">
        <v>170</v>
      </c>
      <c r="Q10" t="s">
        <v>178</v>
      </c>
      <c r="R10" t="s">
        <v>179</v>
      </c>
      <c r="S10" t="s">
        <v>67</v>
      </c>
      <c r="T10" t="s">
        <v>85</v>
      </c>
      <c r="U10" t="s">
        <v>69</v>
      </c>
      <c r="V10" t="s">
        <v>261</v>
      </c>
      <c r="W10" t="s">
        <v>70</v>
      </c>
      <c r="X10" t="s">
        <v>262</v>
      </c>
      <c r="Y10" t="s">
        <v>8</v>
      </c>
      <c r="Z10" t="s">
        <v>71</v>
      </c>
      <c r="AA10" t="s">
        <v>146</v>
      </c>
      <c r="AB10" s="28">
        <v>1</v>
      </c>
      <c r="AC10" t="s">
        <v>72</v>
      </c>
      <c r="AD10" s="35">
        <v>65960</v>
      </c>
      <c r="AE10" s="35">
        <v>65960</v>
      </c>
    </row>
    <row r="11" spans="1:31">
      <c r="A11" t="s">
        <v>115</v>
      </c>
      <c r="B11" t="s">
        <v>116</v>
      </c>
      <c r="C11" t="s">
        <v>117</v>
      </c>
      <c r="D11" t="s">
        <v>119</v>
      </c>
      <c r="E11" t="s">
        <v>263</v>
      </c>
      <c r="F11" t="s">
        <v>264</v>
      </c>
      <c r="G11" t="s">
        <v>165</v>
      </c>
      <c r="H11" t="s">
        <v>116</v>
      </c>
      <c r="I11" t="s">
        <v>115</v>
      </c>
      <c r="J11" t="s">
        <v>265</v>
      </c>
      <c r="K11" t="s">
        <v>66</v>
      </c>
      <c r="L11" t="s">
        <v>266</v>
      </c>
      <c r="M11" s="27">
        <v>45939.414166666669</v>
      </c>
      <c r="N11" s="27">
        <v>45940.373611111107</v>
      </c>
      <c r="O11" t="s">
        <v>166</v>
      </c>
      <c r="P11" t="s">
        <v>170</v>
      </c>
      <c r="Q11" t="s">
        <v>178</v>
      </c>
      <c r="R11" t="s">
        <v>179</v>
      </c>
      <c r="S11" t="s">
        <v>168</v>
      </c>
      <c r="T11" t="s">
        <v>167</v>
      </c>
      <c r="U11" t="s">
        <v>69</v>
      </c>
      <c r="V11" t="s">
        <v>267</v>
      </c>
      <c r="W11" t="s">
        <v>70</v>
      </c>
      <c r="X11" t="s">
        <v>268</v>
      </c>
      <c r="Y11" t="s">
        <v>8</v>
      </c>
      <c r="Z11" t="s">
        <v>71</v>
      </c>
      <c r="AA11" t="s">
        <v>121</v>
      </c>
      <c r="AB11" s="28">
        <v>1</v>
      </c>
      <c r="AC11" t="s">
        <v>72</v>
      </c>
      <c r="AD11" s="35">
        <v>65960</v>
      </c>
      <c r="AE11" s="35">
        <v>65960</v>
      </c>
    </row>
    <row r="12" spans="1:31">
      <c r="A12" t="s">
        <v>122</v>
      </c>
      <c r="B12" t="s">
        <v>75</v>
      </c>
      <c r="C12" t="s">
        <v>76</v>
      </c>
      <c r="D12" t="s">
        <v>269</v>
      </c>
      <c r="E12" t="s">
        <v>270</v>
      </c>
      <c r="F12" t="s">
        <v>271</v>
      </c>
      <c r="G12" t="s">
        <v>165</v>
      </c>
      <c r="H12" t="s">
        <v>124</v>
      </c>
      <c r="I12" t="s">
        <v>272</v>
      </c>
      <c r="J12" t="s">
        <v>273</v>
      </c>
      <c r="K12" t="s">
        <v>66</v>
      </c>
      <c r="L12" t="s">
        <v>274</v>
      </c>
      <c r="M12" s="27">
        <v>45941.362893518519</v>
      </c>
      <c r="N12" s="27">
        <v>45944.618750000001</v>
      </c>
      <c r="O12" t="s">
        <v>166</v>
      </c>
      <c r="P12" t="s">
        <v>170</v>
      </c>
      <c r="Q12" t="s">
        <v>178</v>
      </c>
      <c r="R12" t="s">
        <v>179</v>
      </c>
      <c r="S12" t="s">
        <v>167</v>
      </c>
      <c r="T12" t="s">
        <v>167</v>
      </c>
      <c r="U12" t="s">
        <v>69</v>
      </c>
      <c r="V12" t="s">
        <v>275</v>
      </c>
      <c r="W12" t="s">
        <v>70</v>
      </c>
      <c r="X12" t="s">
        <v>276</v>
      </c>
      <c r="Y12" t="s">
        <v>15</v>
      </c>
      <c r="Z12" t="s">
        <v>71</v>
      </c>
      <c r="AA12" t="s">
        <v>169</v>
      </c>
      <c r="AB12" s="28">
        <v>1</v>
      </c>
      <c r="AC12" t="s">
        <v>72</v>
      </c>
      <c r="AD12" s="35">
        <v>479589</v>
      </c>
      <c r="AE12" s="35">
        <v>479589</v>
      </c>
    </row>
    <row r="13" spans="1:31">
      <c r="A13" t="s">
        <v>122</v>
      </c>
      <c r="B13" t="s">
        <v>75</v>
      </c>
      <c r="C13" t="s">
        <v>76</v>
      </c>
      <c r="D13" t="s">
        <v>281</v>
      </c>
      <c r="E13" t="s">
        <v>282</v>
      </c>
      <c r="F13" t="s">
        <v>283</v>
      </c>
      <c r="G13" t="s">
        <v>165</v>
      </c>
      <c r="H13" t="s">
        <v>142</v>
      </c>
      <c r="I13" t="s">
        <v>284</v>
      </c>
      <c r="J13" t="s">
        <v>285</v>
      </c>
      <c r="K13" t="s">
        <v>66</v>
      </c>
      <c r="L13" t="s">
        <v>286</v>
      </c>
      <c r="M13" s="27">
        <v>45945.333333333343</v>
      </c>
      <c r="N13" s="27">
        <v>45946.540972222218</v>
      </c>
      <c r="O13" t="s">
        <v>166</v>
      </c>
      <c r="P13" t="s">
        <v>170</v>
      </c>
      <c r="Q13" t="s">
        <v>178</v>
      </c>
      <c r="R13" t="s">
        <v>179</v>
      </c>
      <c r="S13" t="s">
        <v>167</v>
      </c>
      <c r="T13" t="s">
        <v>167</v>
      </c>
      <c r="U13" t="s">
        <v>69</v>
      </c>
      <c r="V13" t="s">
        <v>287</v>
      </c>
      <c r="W13" t="s">
        <v>70</v>
      </c>
      <c r="X13" t="s">
        <v>288</v>
      </c>
      <c r="Y13" t="s">
        <v>13</v>
      </c>
      <c r="Z13" t="s">
        <v>71</v>
      </c>
      <c r="AA13" t="s">
        <v>185</v>
      </c>
      <c r="AB13" s="28">
        <v>1</v>
      </c>
      <c r="AC13" t="s">
        <v>72</v>
      </c>
      <c r="AD13" s="35">
        <v>275729</v>
      </c>
      <c r="AE13" s="35">
        <v>275729</v>
      </c>
    </row>
    <row r="14" spans="1:31">
      <c r="A14" t="s">
        <v>155</v>
      </c>
      <c r="B14" t="s">
        <v>64</v>
      </c>
      <c r="C14" t="s">
        <v>100</v>
      </c>
      <c r="D14" t="s">
        <v>156</v>
      </c>
      <c r="E14" t="s">
        <v>289</v>
      </c>
      <c r="F14" t="s">
        <v>290</v>
      </c>
      <c r="G14" t="s">
        <v>165</v>
      </c>
      <c r="H14" t="s">
        <v>157</v>
      </c>
      <c r="I14" t="s">
        <v>155</v>
      </c>
      <c r="J14" t="s">
        <v>291</v>
      </c>
      <c r="K14" t="s">
        <v>66</v>
      </c>
      <c r="L14" t="s">
        <v>292</v>
      </c>
      <c r="M14" s="27">
        <v>45945.406851851847</v>
      </c>
      <c r="N14" s="27">
        <v>45946.390277777777</v>
      </c>
      <c r="O14" t="s">
        <v>166</v>
      </c>
      <c r="P14" t="s">
        <v>170</v>
      </c>
      <c r="Q14" t="s">
        <v>178</v>
      </c>
      <c r="R14" t="s">
        <v>179</v>
      </c>
      <c r="S14" t="s">
        <v>143</v>
      </c>
      <c r="T14" t="s">
        <v>189</v>
      </c>
      <c r="U14" t="s">
        <v>69</v>
      </c>
      <c r="V14" t="s">
        <v>293</v>
      </c>
      <c r="W14" t="s">
        <v>70</v>
      </c>
      <c r="X14" t="s">
        <v>294</v>
      </c>
      <c r="Y14" t="s">
        <v>8</v>
      </c>
      <c r="Z14" t="s">
        <v>71</v>
      </c>
      <c r="AA14" t="s">
        <v>230</v>
      </c>
      <c r="AB14" s="28">
        <v>1</v>
      </c>
      <c r="AC14" t="s">
        <v>72</v>
      </c>
      <c r="AD14" s="35">
        <v>65960</v>
      </c>
      <c r="AE14" s="35">
        <v>65960</v>
      </c>
    </row>
    <row r="15" spans="1:31">
      <c r="A15" t="s">
        <v>115</v>
      </c>
      <c r="B15" t="s">
        <v>116</v>
      </c>
      <c r="C15" t="s">
        <v>117</v>
      </c>
      <c r="D15" t="s">
        <v>119</v>
      </c>
      <c r="E15" t="s">
        <v>297</v>
      </c>
      <c r="F15" t="s">
        <v>298</v>
      </c>
      <c r="G15" t="s">
        <v>165</v>
      </c>
      <c r="H15" t="s">
        <v>116</v>
      </c>
      <c r="I15" t="s">
        <v>115</v>
      </c>
      <c r="J15" t="s">
        <v>299</v>
      </c>
      <c r="K15" t="s">
        <v>66</v>
      </c>
      <c r="L15" t="s">
        <v>300</v>
      </c>
      <c r="M15" s="27">
        <v>45945.724189814813</v>
      </c>
      <c r="N15" s="27">
        <v>45946.629861111112</v>
      </c>
      <c r="O15" t="s">
        <v>166</v>
      </c>
      <c r="P15" t="s">
        <v>170</v>
      </c>
      <c r="Q15" t="s">
        <v>178</v>
      </c>
      <c r="R15" t="s">
        <v>179</v>
      </c>
      <c r="S15" t="s">
        <v>143</v>
      </c>
      <c r="T15" t="s">
        <v>211</v>
      </c>
      <c r="U15" t="s">
        <v>69</v>
      </c>
      <c r="V15" t="s">
        <v>301</v>
      </c>
      <c r="W15" t="s">
        <v>70</v>
      </c>
      <c r="X15" t="s">
        <v>302</v>
      </c>
      <c r="Y15" t="s">
        <v>8</v>
      </c>
      <c r="Z15" t="s">
        <v>71</v>
      </c>
      <c r="AA15" t="s">
        <v>120</v>
      </c>
      <c r="AB15" s="28">
        <v>1</v>
      </c>
      <c r="AC15" t="s">
        <v>72</v>
      </c>
      <c r="AD15" s="35">
        <v>65960</v>
      </c>
      <c r="AE15" s="35">
        <v>65960</v>
      </c>
    </row>
    <row r="16" spans="1:31">
      <c r="A16" t="s">
        <v>63</v>
      </c>
      <c r="B16" t="s">
        <v>64</v>
      </c>
      <c r="C16" t="s">
        <v>65</v>
      </c>
      <c r="D16" t="s">
        <v>303</v>
      </c>
      <c r="E16" t="s">
        <v>304</v>
      </c>
      <c r="F16" t="s">
        <v>305</v>
      </c>
      <c r="G16" t="s">
        <v>165</v>
      </c>
      <c r="H16" t="s">
        <v>77</v>
      </c>
      <c r="I16" t="s">
        <v>306</v>
      </c>
      <c r="J16" t="s">
        <v>307</v>
      </c>
      <c r="K16" t="s">
        <v>66</v>
      </c>
      <c r="L16" t="s">
        <v>308</v>
      </c>
      <c r="M16" s="27">
        <v>45946.459027777782</v>
      </c>
      <c r="N16" s="27">
        <v>45951.496527777781</v>
      </c>
      <c r="O16" t="s">
        <v>166</v>
      </c>
      <c r="P16" t="s">
        <v>170</v>
      </c>
      <c r="Q16" t="s">
        <v>178</v>
      </c>
      <c r="R16" t="s">
        <v>179</v>
      </c>
      <c r="S16" t="s">
        <v>167</v>
      </c>
      <c r="T16" t="s">
        <v>167</v>
      </c>
      <c r="U16" t="s">
        <v>69</v>
      </c>
      <c r="V16" t="s">
        <v>309</v>
      </c>
      <c r="W16" t="s">
        <v>70</v>
      </c>
      <c r="X16" t="s">
        <v>310</v>
      </c>
      <c r="Y16" t="s">
        <v>15</v>
      </c>
      <c r="Z16" t="s">
        <v>71</v>
      </c>
      <c r="AA16" t="s">
        <v>139</v>
      </c>
      <c r="AB16" s="28">
        <v>1</v>
      </c>
      <c r="AC16" t="s">
        <v>72</v>
      </c>
      <c r="AD16" s="35">
        <v>479589</v>
      </c>
      <c r="AE16" s="35">
        <v>479589</v>
      </c>
    </row>
    <row r="17" spans="1:31">
      <c r="A17" t="s">
        <v>86</v>
      </c>
      <c r="B17" t="s">
        <v>87</v>
      </c>
      <c r="C17" t="s">
        <v>88</v>
      </c>
      <c r="D17" t="s">
        <v>89</v>
      </c>
      <c r="E17" t="s">
        <v>314</v>
      </c>
      <c r="F17" t="s">
        <v>315</v>
      </c>
      <c r="G17" t="s">
        <v>165</v>
      </c>
      <c r="H17" t="s">
        <v>90</v>
      </c>
      <c r="I17" t="s">
        <v>86</v>
      </c>
      <c r="J17" t="s">
        <v>316</v>
      </c>
      <c r="K17" t="s">
        <v>66</v>
      </c>
      <c r="L17" t="s">
        <v>317</v>
      </c>
      <c r="M17" s="27">
        <v>45947.511134259257</v>
      </c>
      <c r="N17" s="27">
        <v>45948.442361111112</v>
      </c>
      <c r="O17" t="s">
        <v>166</v>
      </c>
      <c r="P17" t="s">
        <v>170</v>
      </c>
      <c r="Q17" t="s">
        <v>178</v>
      </c>
      <c r="R17" t="s">
        <v>179</v>
      </c>
      <c r="S17" t="s">
        <v>67</v>
      </c>
      <c r="T17" t="s">
        <v>85</v>
      </c>
      <c r="U17" t="s">
        <v>69</v>
      </c>
      <c r="V17" t="s">
        <v>318</v>
      </c>
      <c r="W17" t="s">
        <v>70</v>
      </c>
      <c r="X17" t="s">
        <v>319</v>
      </c>
      <c r="Y17" t="s">
        <v>8</v>
      </c>
      <c r="Z17" t="s">
        <v>71</v>
      </c>
      <c r="AA17" t="s">
        <v>131</v>
      </c>
      <c r="AB17" s="28">
        <v>1</v>
      </c>
      <c r="AC17" t="s">
        <v>72</v>
      </c>
      <c r="AD17" s="35">
        <v>65960</v>
      </c>
      <c r="AE17" s="35">
        <v>65960</v>
      </c>
    </row>
    <row r="18" spans="1:31">
      <c r="A18" t="s">
        <v>129</v>
      </c>
      <c r="B18" t="s">
        <v>79</v>
      </c>
      <c r="C18" t="s">
        <v>80</v>
      </c>
      <c r="D18" t="s">
        <v>320</v>
      </c>
      <c r="E18" t="s">
        <v>321</v>
      </c>
      <c r="F18" t="s">
        <v>322</v>
      </c>
      <c r="G18" t="s">
        <v>165</v>
      </c>
      <c r="H18" t="s">
        <v>98</v>
      </c>
      <c r="I18" t="s">
        <v>323</v>
      </c>
      <c r="J18" t="s">
        <v>324</v>
      </c>
      <c r="K18" t="s">
        <v>66</v>
      </c>
      <c r="L18" t="s">
        <v>325</v>
      </c>
      <c r="M18" s="27">
        <v>45951.40420138889</v>
      </c>
      <c r="N18" s="27">
        <v>45951.607638888891</v>
      </c>
      <c r="O18" t="s">
        <v>166</v>
      </c>
      <c r="P18" t="s">
        <v>170</v>
      </c>
      <c r="Q18" t="s">
        <v>178</v>
      </c>
      <c r="R18" t="s">
        <v>179</v>
      </c>
      <c r="S18" t="s">
        <v>67</v>
      </c>
      <c r="T18" t="s">
        <v>85</v>
      </c>
      <c r="U18" t="s">
        <v>69</v>
      </c>
      <c r="V18" t="s">
        <v>326</v>
      </c>
      <c r="W18" t="s">
        <v>70</v>
      </c>
      <c r="X18" t="s">
        <v>327</v>
      </c>
      <c r="Y18" t="s">
        <v>11</v>
      </c>
      <c r="Z18" t="s">
        <v>71</v>
      </c>
      <c r="AA18" t="s">
        <v>251</v>
      </c>
      <c r="AB18" s="28">
        <v>1</v>
      </c>
      <c r="AC18" t="s">
        <v>72</v>
      </c>
      <c r="AD18" s="35">
        <v>144968</v>
      </c>
      <c r="AE18" s="35">
        <v>144968</v>
      </c>
    </row>
    <row r="19" spans="1:31">
      <c r="A19" t="s">
        <v>122</v>
      </c>
      <c r="B19" t="s">
        <v>75</v>
      </c>
      <c r="C19" t="s">
        <v>76</v>
      </c>
      <c r="D19" t="s">
        <v>123</v>
      </c>
      <c r="E19" t="s">
        <v>328</v>
      </c>
      <c r="F19" t="s">
        <v>329</v>
      </c>
      <c r="G19" t="s">
        <v>165</v>
      </c>
      <c r="H19" t="s">
        <v>124</v>
      </c>
      <c r="I19" t="s">
        <v>122</v>
      </c>
      <c r="J19" t="s">
        <v>330</v>
      </c>
      <c r="K19" t="s">
        <v>66</v>
      </c>
      <c r="L19" t="s">
        <v>331</v>
      </c>
      <c r="M19" s="27">
        <v>45951.613877314812</v>
      </c>
      <c r="N19" s="27">
        <v>45952.59375</v>
      </c>
      <c r="O19" t="s">
        <v>166</v>
      </c>
      <c r="P19" t="s">
        <v>170</v>
      </c>
      <c r="Q19" t="s">
        <v>178</v>
      </c>
      <c r="R19" t="s">
        <v>179</v>
      </c>
      <c r="S19" t="s">
        <v>67</v>
      </c>
      <c r="T19" t="s">
        <v>68</v>
      </c>
      <c r="U19" t="s">
        <v>69</v>
      </c>
      <c r="V19" t="s">
        <v>332</v>
      </c>
      <c r="W19" t="s">
        <v>70</v>
      </c>
      <c r="X19" t="s">
        <v>333</v>
      </c>
      <c r="Y19" t="s">
        <v>8</v>
      </c>
      <c r="Z19" t="s">
        <v>71</v>
      </c>
      <c r="AA19" t="s">
        <v>169</v>
      </c>
      <c r="AB19" s="28">
        <v>1</v>
      </c>
      <c r="AC19" t="s">
        <v>72</v>
      </c>
      <c r="AD19" s="35">
        <v>65960</v>
      </c>
      <c r="AE19" s="35">
        <v>65960</v>
      </c>
    </row>
    <row r="20" spans="1:31">
      <c r="A20" t="s">
        <v>115</v>
      </c>
      <c r="B20" t="s">
        <v>116</v>
      </c>
      <c r="C20" t="s">
        <v>117</v>
      </c>
      <c r="D20" t="s">
        <v>137</v>
      </c>
      <c r="E20" t="s">
        <v>334</v>
      </c>
      <c r="F20" t="s">
        <v>279</v>
      </c>
      <c r="G20" t="s">
        <v>165</v>
      </c>
      <c r="H20" t="s">
        <v>116</v>
      </c>
      <c r="I20" t="s">
        <v>138</v>
      </c>
      <c r="J20" t="s">
        <v>280</v>
      </c>
      <c r="K20" t="s">
        <v>66</v>
      </c>
      <c r="L20" t="s">
        <v>335</v>
      </c>
      <c r="M20" s="27">
        <v>45952.479189814818</v>
      </c>
      <c r="N20" s="27">
        <v>45953.477083333331</v>
      </c>
      <c r="O20" t="s">
        <v>166</v>
      </c>
      <c r="P20" t="s">
        <v>170</v>
      </c>
      <c r="Q20" t="s">
        <v>178</v>
      </c>
      <c r="R20" t="s">
        <v>179</v>
      </c>
      <c r="S20" t="s">
        <v>143</v>
      </c>
      <c r="T20" t="s">
        <v>211</v>
      </c>
      <c r="U20" t="s">
        <v>69</v>
      </c>
      <c r="V20" t="s">
        <v>336</v>
      </c>
      <c r="W20" t="s">
        <v>70</v>
      </c>
      <c r="X20" t="s">
        <v>337</v>
      </c>
      <c r="Y20" t="s">
        <v>11</v>
      </c>
      <c r="Z20" t="s">
        <v>71</v>
      </c>
      <c r="AA20" t="s">
        <v>147</v>
      </c>
      <c r="AB20" s="28">
        <v>1</v>
      </c>
      <c r="AC20" t="s">
        <v>72</v>
      </c>
      <c r="AD20" s="35">
        <v>144968</v>
      </c>
      <c r="AE20" s="35">
        <v>144968</v>
      </c>
    </row>
    <row r="21" spans="1:31">
      <c r="A21" t="s">
        <v>115</v>
      </c>
      <c r="B21" t="s">
        <v>116</v>
      </c>
      <c r="C21" t="s">
        <v>117</v>
      </c>
      <c r="D21" t="s">
        <v>119</v>
      </c>
      <c r="E21" t="s">
        <v>338</v>
      </c>
      <c r="F21" t="s">
        <v>339</v>
      </c>
      <c r="G21" t="s">
        <v>165</v>
      </c>
      <c r="H21" t="s">
        <v>116</v>
      </c>
      <c r="I21" t="s">
        <v>115</v>
      </c>
      <c r="J21" t="s">
        <v>340</v>
      </c>
      <c r="K21" t="s">
        <v>66</v>
      </c>
      <c r="L21" t="s">
        <v>341</v>
      </c>
      <c r="M21" s="27">
        <v>45952.660671296297</v>
      </c>
      <c r="N21" s="27">
        <v>45953.537499999999</v>
      </c>
      <c r="O21" t="s">
        <v>166</v>
      </c>
      <c r="P21" t="s">
        <v>170</v>
      </c>
      <c r="Q21" t="s">
        <v>178</v>
      </c>
      <c r="R21" t="s">
        <v>179</v>
      </c>
      <c r="S21" t="s">
        <v>167</v>
      </c>
      <c r="T21" t="s">
        <v>167</v>
      </c>
      <c r="U21" t="s">
        <v>184</v>
      </c>
      <c r="V21" t="s">
        <v>342</v>
      </c>
      <c r="W21" t="s">
        <v>70</v>
      </c>
      <c r="X21" t="s">
        <v>72</v>
      </c>
      <c r="Y21" t="s">
        <v>8</v>
      </c>
      <c r="Z21" t="s">
        <v>71</v>
      </c>
      <c r="AA21" t="s">
        <v>191</v>
      </c>
      <c r="AB21" s="28">
        <v>1</v>
      </c>
      <c r="AC21" t="s">
        <v>72</v>
      </c>
      <c r="AD21" s="35">
        <v>65960</v>
      </c>
      <c r="AE21" s="35">
        <v>65960</v>
      </c>
    </row>
    <row r="22" spans="1:31">
      <c r="A22" t="s">
        <v>134</v>
      </c>
      <c r="B22" t="s">
        <v>73</v>
      </c>
      <c r="C22" t="s">
        <v>74</v>
      </c>
      <c r="D22" t="s">
        <v>135</v>
      </c>
      <c r="E22" t="s">
        <v>343</v>
      </c>
      <c r="F22" t="s">
        <v>233</v>
      </c>
      <c r="G22" t="s">
        <v>165</v>
      </c>
      <c r="H22" t="s">
        <v>102</v>
      </c>
      <c r="I22" t="s">
        <v>134</v>
      </c>
      <c r="J22" t="s">
        <v>234</v>
      </c>
      <c r="K22" t="s">
        <v>66</v>
      </c>
      <c r="L22" t="s">
        <v>344</v>
      </c>
      <c r="M22" s="27">
        <v>45954.674375000002</v>
      </c>
      <c r="N22" s="27">
        <v>45955.427777777782</v>
      </c>
      <c r="O22" t="s">
        <v>166</v>
      </c>
      <c r="P22" t="s">
        <v>170</v>
      </c>
      <c r="Q22" t="s">
        <v>178</v>
      </c>
      <c r="R22" t="s">
        <v>179</v>
      </c>
      <c r="S22" t="s">
        <v>67</v>
      </c>
      <c r="T22" t="s">
        <v>68</v>
      </c>
      <c r="U22" t="s">
        <v>69</v>
      </c>
      <c r="V22" t="s">
        <v>345</v>
      </c>
      <c r="W22" t="s">
        <v>70</v>
      </c>
      <c r="X22" t="s">
        <v>235</v>
      </c>
      <c r="Y22" t="s">
        <v>8</v>
      </c>
      <c r="Z22" t="s">
        <v>71</v>
      </c>
      <c r="AA22" t="s">
        <v>136</v>
      </c>
      <c r="AB22" s="28">
        <v>1</v>
      </c>
      <c r="AC22" t="s">
        <v>72</v>
      </c>
      <c r="AD22" s="35">
        <v>65960</v>
      </c>
      <c r="AE22" s="35">
        <v>65960</v>
      </c>
    </row>
    <row r="23" spans="1:31">
      <c r="A23" t="s">
        <v>148</v>
      </c>
      <c r="B23" t="s">
        <v>75</v>
      </c>
      <c r="C23" t="s">
        <v>76</v>
      </c>
      <c r="D23" t="s">
        <v>149</v>
      </c>
      <c r="E23" t="s">
        <v>346</v>
      </c>
      <c r="F23" t="s">
        <v>347</v>
      </c>
      <c r="G23" t="s">
        <v>165</v>
      </c>
      <c r="H23" t="s">
        <v>150</v>
      </c>
      <c r="I23" t="s">
        <v>148</v>
      </c>
      <c r="J23" t="s">
        <v>348</v>
      </c>
      <c r="K23" t="s">
        <v>66</v>
      </c>
      <c r="L23" t="s">
        <v>349</v>
      </c>
      <c r="M23" s="27">
        <v>45955.651250000003</v>
      </c>
      <c r="N23" s="27">
        <v>45957.669444444437</v>
      </c>
      <c r="O23" t="s">
        <v>166</v>
      </c>
      <c r="P23" t="s">
        <v>170</v>
      </c>
      <c r="Q23" t="s">
        <v>178</v>
      </c>
      <c r="R23" t="s">
        <v>179</v>
      </c>
      <c r="S23" t="s">
        <v>67</v>
      </c>
      <c r="T23" t="s">
        <v>68</v>
      </c>
      <c r="U23" t="s">
        <v>69</v>
      </c>
      <c r="V23" t="s">
        <v>350</v>
      </c>
      <c r="W23" t="s">
        <v>70</v>
      </c>
      <c r="X23" t="s">
        <v>351</v>
      </c>
      <c r="Y23" t="s">
        <v>8</v>
      </c>
      <c r="Z23" t="s">
        <v>71</v>
      </c>
      <c r="AA23" t="s">
        <v>151</v>
      </c>
      <c r="AB23" s="28">
        <v>1</v>
      </c>
      <c r="AC23" t="s">
        <v>72</v>
      </c>
      <c r="AD23" s="35">
        <v>65960</v>
      </c>
      <c r="AE23" s="35">
        <v>65960</v>
      </c>
    </row>
    <row r="24" spans="1:31">
      <c r="A24" t="s">
        <v>86</v>
      </c>
      <c r="B24" t="s">
        <v>87</v>
      </c>
      <c r="C24" t="s">
        <v>88</v>
      </c>
      <c r="D24" t="s">
        <v>89</v>
      </c>
      <c r="E24" t="s">
        <v>359</v>
      </c>
      <c r="F24" t="s">
        <v>355</v>
      </c>
      <c r="G24" t="s">
        <v>165</v>
      </c>
      <c r="H24" t="s">
        <v>90</v>
      </c>
      <c r="I24" t="s">
        <v>86</v>
      </c>
      <c r="J24" t="s">
        <v>356</v>
      </c>
      <c r="K24" t="s">
        <v>66</v>
      </c>
      <c r="L24" t="s">
        <v>360</v>
      </c>
      <c r="M24" s="27">
        <v>45958.355011574073</v>
      </c>
      <c r="N24" s="27">
        <v>45959.385416666657</v>
      </c>
      <c r="O24" t="s">
        <v>166</v>
      </c>
      <c r="P24" t="s">
        <v>170</v>
      </c>
      <c r="Q24" t="s">
        <v>178</v>
      </c>
      <c r="R24" t="s">
        <v>179</v>
      </c>
      <c r="S24" t="s">
        <v>143</v>
      </c>
      <c r="T24" t="s">
        <v>211</v>
      </c>
      <c r="U24" t="s">
        <v>184</v>
      </c>
      <c r="V24" t="s">
        <v>361</v>
      </c>
      <c r="W24" t="s">
        <v>70</v>
      </c>
      <c r="X24" t="s">
        <v>362</v>
      </c>
      <c r="Y24" t="s">
        <v>8</v>
      </c>
      <c r="Z24" t="s">
        <v>71</v>
      </c>
      <c r="AA24" t="s">
        <v>114</v>
      </c>
      <c r="AB24" s="28">
        <v>1</v>
      </c>
      <c r="AC24" t="s">
        <v>72</v>
      </c>
      <c r="AD24" s="35">
        <v>65960</v>
      </c>
      <c r="AE24" s="35">
        <v>65960</v>
      </c>
    </row>
    <row r="25" spans="1:31">
      <c r="A25" t="s">
        <v>155</v>
      </c>
      <c r="B25" t="s">
        <v>64</v>
      </c>
      <c r="C25" t="s">
        <v>100</v>
      </c>
      <c r="D25" t="s">
        <v>156</v>
      </c>
      <c r="E25" t="s">
        <v>363</v>
      </c>
      <c r="F25" t="s">
        <v>352</v>
      </c>
      <c r="G25" t="s">
        <v>165</v>
      </c>
      <c r="H25" t="s">
        <v>157</v>
      </c>
      <c r="I25" t="s">
        <v>155</v>
      </c>
      <c r="J25" t="s">
        <v>353</v>
      </c>
      <c r="K25" t="s">
        <v>66</v>
      </c>
      <c r="L25" t="s">
        <v>364</v>
      </c>
      <c r="M25" s="27">
        <v>45958.377627314818</v>
      </c>
      <c r="N25" s="27">
        <v>45958.498611111107</v>
      </c>
      <c r="O25" t="s">
        <v>166</v>
      </c>
      <c r="P25" t="s">
        <v>170</v>
      </c>
      <c r="Q25" t="s">
        <v>178</v>
      </c>
      <c r="R25" t="s">
        <v>179</v>
      </c>
      <c r="S25" t="s">
        <v>167</v>
      </c>
      <c r="T25" t="s">
        <v>167</v>
      </c>
      <c r="U25" t="s">
        <v>69</v>
      </c>
      <c r="V25" t="s">
        <v>365</v>
      </c>
      <c r="W25" t="s">
        <v>70</v>
      </c>
      <c r="X25" t="s">
        <v>354</v>
      </c>
      <c r="Y25" t="s">
        <v>8</v>
      </c>
      <c r="Z25" t="s">
        <v>71</v>
      </c>
      <c r="AA25" t="s">
        <v>208</v>
      </c>
      <c r="AB25" s="28">
        <v>1</v>
      </c>
      <c r="AC25" t="s">
        <v>72</v>
      </c>
      <c r="AD25" s="35">
        <v>65960</v>
      </c>
      <c r="AE25" s="35">
        <v>65960</v>
      </c>
    </row>
    <row r="26" spans="1:31">
      <c r="A26" t="s">
        <v>101</v>
      </c>
      <c r="B26" t="s">
        <v>79</v>
      </c>
      <c r="C26" t="s">
        <v>80</v>
      </c>
      <c r="D26" t="s">
        <v>105</v>
      </c>
      <c r="E26" t="s">
        <v>366</v>
      </c>
      <c r="F26" t="s">
        <v>236</v>
      </c>
      <c r="G26" t="s">
        <v>165</v>
      </c>
      <c r="H26" t="s">
        <v>106</v>
      </c>
      <c r="I26" t="s">
        <v>101</v>
      </c>
      <c r="J26" t="s">
        <v>237</v>
      </c>
      <c r="K26" t="s">
        <v>66</v>
      </c>
      <c r="L26" t="s">
        <v>367</v>
      </c>
      <c r="M26" s="27">
        <v>45958.428587962961</v>
      </c>
      <c r="N26" s="27">
        <v>45958.706250000003</v>
      </c>
      <c r="O26" t="s">
        <v>166</v>
      </c>
      <c r="P26" t="s">
        <v>170</v>
      </c>
      <c r="Q26" t="s">
        <v>178</v>
      </c>
      <c r="R26" t="s">
        <v>179</v>
      </c>
      <c r="S26" t="s">
        <v>167</v>
      </c>
      <c r="T26" t="s">
        <v>167</v>
      </c>
      <c r="U26" t="s">
        <v>69</v>
      </c>
      <c r="V26" t="s">
        <v>368</v>
      </c>
      <c r="W26" t="s">
        <v>70</v>
      </c>
      <c r="X26" t="s">
        <v>238</v>
      </c>
      <c r="Y26" t="s">
        <v>8</v>
      </c>
      <c r="Z26" t="s">
        <v>71</v>
      </c>
      <c r="AA26" t="s">
        <v>140</v>
      </c>
      <c r="AB26" s="28">
        <v>1</v>
      </c>
      <c r="AC26" t="s">
        <v>72</v>
      </c>
      <c r="AD26" s="35">
        <v>65960</v>
      </c>
      <c r="AE26" s="35">
        <v>65960</v>
      </c>
    </row>
    <row r="27" spans="1:31">
      <c r="A27" t="s">
        <v>115</v>
      </c>
      <c r="B27" t="s">
        <v>116</v>
      </c>
      <c r="C27" t="s">
        <v>117</v>
      </c>
      <c r="D27" t="s">
        <v>277</v>
      </c>
      <c r="E27" t="s">
        <v>369</v>
      </c>
      <c r="F27" t="s">
        <v>370</v>
      </c>
      <c r="G27" t="s">
        <v>165</v>
      </c>
      <c r="H27" t="s">
        <v>116</v>
      </c>
      <c r="I27" t="s">
        <v>278</v>
      </c>
      <c r="J27" t="s">
        <v>371</v>
      </c>
      <c r="K27" t="s">
        <v>66</v>
      </c>
      <c r="L27" t="s">
        <v>372</v>
      </c>
      <c r="M27" s="27">
        <v>45959.573877314811</v>
      </c>
      <c r="N27" s="27">
        <v>45960.665277777778</v>
      </c>
      <c r="O27" t="s">
        <v>166</v>
      </c>
      <c r="P27" t="s">
        <v>170</v>
      </c>
      <c r="Q27" t="s">
        <v>178</v>
      </c>
      <c r="R27" t="s">
        <v>179</v>
      </c>
      <c r="S27" t="s">
        <v>167</v>
      </c>
      <c r="T27" t="s">
        <v>167</v>
      </c>
      <c r="U27" t="s">
        <v>69</v>
      </c>
      <c r="V27" t="s">
        <v>373</v>
      </c>
      <c r="W27" t="s">
        <v>70</v>
      </c>
      <c r="X27" t="s">
        <v>374</v>
      </c>
      <c r="Y27" t="s">
        <v>11</v>
      </c>
      <c r="Z27" t="s">
        <v>71</v>
      </c>
      <c r="AA27" t="s">
        <v>191</v>
      </c>
      <c r="AB27" s="28">
        <v>1</v>
      </c>
      <c r="AC27" t="s">
        <v>72</v>
      </c>
      <c r="AD27" s="35">
        <v>144968</v>
      </c>
      <c r="AE27" s="35">
        <v>144968</v>
      </c>
    </row>
    <row r="28" spans="1:31">
      <c r="A28" t="s">
        <v>86</v>
      </c>
      <c r="B28" t="s">
        <v>87</v>
      </c>
      <c r="C28" t="s">
        <v>88</v>
      </c>
      <c r="D28" t="s">
        <v>92</v>
      </c>
      <c r="E28" t="s">
        <v>377</v>
      </c>
      <c r="F28" t="s">
        <v>378</v>
      </c>
      <c r="G28" t="s">
        <v>165</v>
      </c>
      <c r="H28" t="s">
        <v>90</v>
      </c>
      <c r="I28" t="s">
        <v>93</v>
      </c>
      <c r="J28" t="s">
        <v>379</v>
      </c>
      <c r="K28" t="s">
        <v>66</v>
      </c>
      <c r="L28" t="s">
        <v>380</v>
      </c>
      <c r="M28" s="27">
        <v>45959.615381944437</v>
      </c>
      <c r="N28" s="27">
        <v>45960.495138888888</v>
      </c>
      <c r="O28" t="s">
        <v>166</v>
      </c>
      <c r="P28" t="s">
        <v>170</v>
      </c>
      <c r="Q28" t="s">
        <v>178</v>
      </c>
      <c r="R28" t="s">
        <v>179</v>
      </c>
      <c r="S28" t="s">
        <v>143</v>
      </c>
      <c r="T28" t="s">
        <v>211</v>
      </c>
      <c r="U28" t="s">
        <v>69</v>
      </c>
      <c r="V28" t="s">
        <v>381</v>
      </c>
      <c r="W28" t="s">
        <v>70</v>
      </c>
      <c r="X28" t="s">
        <v>382</v>
      </c>
      <c r="Y28" t="s">
        <v>8</v>
      </c>
      <c r="Z28" t="s">
        <v>71</v>
      </c>
      <c r="AA28" t="s">
        <v>94</v>
      </c>
      <c r="AB28" s="28">
        <v>1</v>
      </c>
      <c r="AC28" t="s">
        <v>72</v>
      </c>
      <c r="AD28" s="35">
        <v>65960</v>
      </c>
      <c r="AE28" s="35">
        <v>65960</v>
      </c>
    </row>
    <row r="29" spans="1:31">
      <c r="A29" t="s">
        <v>115</v>
      </c>
      <c r="B29" t="s">
        <v>116</v>
      </c>
      <c r="C29" t="s">
        <v>117</v>
      </c>
      <c r="D29" t="s">
        <v>119</v>
      </c>
      <c r="E29" t="s">
        <v>383</v>
      </c>
      <c r="F29" t="s">
        <v>384</v>
      </c>
      <c r="G29" t="s">
        <v>165</v>
      </c>
      <c r="H29" t="s">
        <v>116</v>
      </c>
      <c r="I29" t="s">
        <v>115</v>
      </c>
      <c r="J29" t="s">
        <v>385</v>
      </c>
      <c r="K29" t="s">
        <v>66</v>
      </c>
      <c r="L29" t="s">
        <v>386</v>
      </c>
      <c r="M29" s="27">
        <v>45960.446747685193</v>
      </c>
      <c r="N29" s="27">
        <v>45960.619444444441</v>
      </c>
      <c r="O29" t="s">
        <v>166</v>
      </c>
      <c r="P29" t="s">
        <v>170</v>
      </c>
      <c r="Q29" t="s">
        <v>178</v>
      </c>
      <c r="R29" t="s">
        <v>179</v>
      </c>
      <c r="S29" t="s">
        <v>168</v>
      </c>
      <c r="T29" t="s">
        <v>167</v>
      </c>
      <c r="U29" t="s">
        <v>69</v>
      </c>
      <c r="V29" t="s">
        <v>387</v>
      </c>
      <c r="W29" t="s">
        <v>70</v>
      </c>
      <c r="X29" t="s">
        <v>388</v>
      </c>
      <c r="Y29" t="s">
        <v>8</v>
      </c>
      <c r="Z29" t="s">
        <v>71</v>
      </c>
      <c r="AA29" t="s">
        <v>182</v>
      </c>
      <c r="AB29" s="28">
        <v>1</v>
      </c>
      <c r="AC29" t="s">
        <v>72</v>
      </c>
      <c r="AD29" s="35">
        <v>65960</v>
      </c>
      <c r="AE29" s="35">
        <v>65960</v>
      </c>
    </row>
    <row r="30" spans="1:31">
      <c r="A30" t="s">
        <v>86</v>
      </c>
      <c r="B30" t="s">
        <v>87</v>
      </c>
      <c r="C30" t="s">
        <v>88</v>
      </c>
      <c r="D30" t="s">
        <v>96</v>
      </c>
      <c r="E30" t="s">
        <v>389</v>
      </c>
      <c r="F30" t="s">
        <v>390</v>
      </c>
      <c r="G30" t="s">
        <v>165</v>
      </c>
      <c r="H30" t="s">
        <v>90</v>
      </c>
      <c r="I30" t="s">
        <v>97</v>
      </c>
      <c r="J30" t="s">
        <v>391</v>
      </c>
      <c r="K30" t="s">
        <v>66</v>
      </c>
      <c r="L30" t="s">
        <v>392</v>
      </c>
      <c r="M30" s="27">
        <v>45934.494444444441</v>
      </c>
      <c r="N30" s="27">
        <v>45934.575694444437</v>
      </c>
      <c r="O30" t="s">
        <v>166</v>
      </c>
      <c r="P30" t="s">
        <v>170</v>
      </c>
      <c r="Q30" t="s">
        <v>178</v>
      </c>
      <c r="R30" t="s">
        <v>179</v>
      </c>
      <c r="S30" t="s">
        <v>168</v>
      </c>
      <c r="T30" t="s">
        <v>167</v>
      </c>
      <c r="U30" t="s">
        <v>69</v>
      </c>
      <c r="V30" t="s">
        <v>393</v>
      </c>
      <c r="W30" t="s">
        <v>70</v>
      </c>
      <c r="X30" t="s">
        <v>394</v>
      </c>
      <c r="Y30" t="s">
        <v>8</v>
      </c>
      <c r="Z30" t="s">
        <v>71</v>
      </c>
      <c r="AA30" t="s">
        <v>95</v>
      </c>
      <c r="AB30" s="28">
        <v>1</v>
      </c>
      <c r="AC30" t="s">
        <v>72</v>
      </c>
      <c r="AD30" s="35">
        <v>65960</v>
      </c>
      <c r="AE30" s="35">
        <v>65960</v>
      </c>
    </row>
    <row r="31" spans="1:31">
      <c r="A31" t="s">
        <v>86</v>
      </c>
      <c r="B31" t="s">
        <v>87</v>
      </c>
      <c r="C31" t="s">
        <v>88</v>
      </c>
      <c r="D31" t="s">
        <v>96</v>
      </c>
      <c r="E31" t="s">
        <v>396</v>
      </c>
      <c r="F31" t="s">
        <v>390</v>
      </c>
      <c r="G31" t="s">
        <v>165</v>
      </c>
      <c r="H31" t="s">
        <v>90</v>
      </c>
      <c r="I31" t="s">
        <v>97</v>
      </c>
      <c r="J31" t="s">
        <v>391</v>
      </c>
      <c r="K31" t="s">
        <v>66</v>
      </c>
      <c r="L31" t="s">
        <v>397</v>
      </c>
      <c r="M31" s="27">
        <v>45946.463888888888</v>
      </c>
      <c r="N31" s="27">
        <v>45947.747916666667</v>
      </c>
      <c r="O31" t="s">
        <v>166</v>
      </c>
      <c r="P31" t="s">
        <v>170</v>
      </c>
      <c r="Q31" t="s">
        <v>178</v>
      </c>
      <c r="R31" t="s">
        <v>179</v>
      </c>
      <c r="S31" t="s">
        <v>168</v>
      </c>
      <c r="T31" t="s">
        <v>167</v>
      </c>
      <c r="U31" t="s">
        <v>69</v>
      </c>
      <c r="V31" t="s">
        <v>398</v>
      </c>
      <c r="W31" t="s">
        <v>70</v>
      </c>
      <c r="X31" t="s">
        <v>399</v>
      </c>
      <c r="Y31" t="s">
        <v>8</v>
      </c>
      <c r="Z31" t="s">
        <v>71</v>
      </c>
      <c r="AA31" t="s">
        <v>114</v>
      </c>
      <c r="AB31" s="28">
        <v>1</v>
      </c>
      <c r="AC31" t="s">
        <v>72</v>
      </c>
      <c r="AD31" s="35">
        <v>65960</v>
      </c>
      <c r="AE31" s="35">
        <v>65960</v>
      </c>
    </row>
    <row r="32" spans="1:31">
      <c r="A32" t="s">
        <v>108</v>
      </c>
      <c r="B32" t="s">
        <v>64</v>
      </c>
      <c r="C32" t="s">
        <v>65</v>
      </c>
      <c r="D32" t="s">
        <v>109</v>
      </c>
      <c r="E32" t="s">
        <v>400</v>
      </c>
      <c r="F32" t="s">
        <v>401</v>
      </c>
      <c r="G32" t="s">
        <v>165</v>
      </c>
      <c r="H32" t="s">
        <v>110</v>
      </c>
      <c r="I32" t="s">
        <v>108</v>
      </c>
      <c r="J32" t="s">
        <v>402</v>
      </c>
      <c r="K32" t="s">
        <v>66</v>
      </c>
      <c r="L32" t="s">
        <v>403</v>
      </c>
      <c r="M32" s="27">
        <v>45957.636111111111</v>
      </c>
      <c r="N32" s="27">
        <v>45957.718055555553</v>
      </c>
      <c r="O32" t="s">
        <v>166</v>
      </c>
      <c r="P32" t="s">
        <v>170</v>
      </c>
      <c r="Q32" t="s">
        <v>178</v>
      </c>
      <c r="R32" t="s">
        <v>179</v>
      </c>
      <c r="S32" t="s">
        <v>167</v>
      </c>
      <c r="T32" t="s">
        <v>167</v>
      </c>
      <c r="U32" t="s">
        <v>69</v>
      </c>
      <c r="V32" t="s">
        <v>404</v>
      </c>
      <c r="W32" t="s">
        <v>70</v>
      </c>
      <c r="X32" t="s">
        <v>405</v>
      </c>
      <c r="Y32" t="s">
        <v>8</v>
      </c>
      <c r="Z32" t="s">
        <v>71</v>
      </c>
      <c r="AA32" t="s">
        <v>111</v>
      </c>
      <c r="AB32" s="28">
        <v>1</v>
      </c>
      <c r="AC32" t="s">
        <v>72</v>
      </c>
      <c r="AD32" s="35">
        <v>65960</v>
      </c>
      <c r="AE32" s="35">
        <v>65960</v>
      </c>
    </row>
    <row r="33" spans="1:31">
      <c r="A33" t="s">
        <v>86</v>
      </c>
      <c r="B33" t="s">
        <v>87</v>
      </c>
      <c r="C33" t="s">
        <v>88</v>
      </c>
      <c r="D33" t="s">
        <v>89</v>
      </c>
      <c r="E33" t="s">
        <v>406</v>
      </c>
      <c r="F33" t="s">
        <v>375</v>
      </c>
      <c r="G33" t="s">
        <v>165</v>
      </c>
      <c r="H33" t="s">
        <v>90</v>
      </c>
      <c r="I33" t="s">
        <v>86</v>
      </c>
      <c r="J33" t="s">
        <v>376</v>
      </c>
      <c r="K33" t="s">
        <v>66</v>
      </c>
      <c r="L33" t="s">
        <v>407</v>
      </c>
      <c r="M33" s="27">
        <v>45957.517361111109</v>
      </c>
      <c r="N33" s="27">
        <v>45957.509027777778</v>
      </c>
      <c r="O33" t="s">
        <v>166</v>
      </c>
      <c r="P33" t="s">
        <v>170</v>
      </c>
      <c r="Q33" t="s">
        <v>178</v>
      </c>
      <c r="R33" t="s">
        <v>179</v>
      </c>
      <c r="S33" t="s">
        <v>167</v>
      </c>
      <c r="T33" t="s">
        <v>167</v>
      </c>
      <c r="U33" t="s">
        <v>69</v>
      </c>
      <c r="V33" t="s">
        <v>408</v>
      </c>
      <c r="W33" t="s">
        <v>70</v>
      </c>
      <c r="X33" t="s">
        <v>409</v>
      </c>
      <c r="Y33" t="s">
        <v>8</v>
      </c>
      <c r="Z33" t="s">
        <v>71</v>
      </c>
      <c r="AA33" t="s">
        <v>183</v>
      </c>
      <c r="AB33" s="28">
        <v>1</v>
      </c>
      <c r="AC33" t="s">
        <v>72</v>
      </c>
      <c r="AD33" s="35">
        <v>65960</v>
      </c>
      <c r="AE33" s="35">
        <v>65960</v>
      </c>
    </row>
    <row r="34" spans="1:31">
      <c r="A34" t="s">
        <v>86</v>
      </c>
      <c r="B34" t="s">
        <v>87</v>
      </c>
      <c r="C34" t="s">
        <v>88</v>
      </c>
      <c r="D34" t="s">
        <v>89</v>
      </c>
      <c r="E34" t="s">
        <v>410</v>
      </c>
      <c r="F34" t="s">
        <v>411</v>
      </c>
      <c r="G34" t="s">
        <v>165</v>
      </c>
      <c r="H34" t="s">
        <v>90</v>
      </c>
      <c r="I34" t="s">
        <v>86</v>
      </c>
      <c r="J34" t="s">
        <v>412</v>
      </c>
      <c r="K34" t="s">
        <v>66</v>
      </c>
      <c r="L34" t="s">
        <v>413</v>
      </c>
      <c r="M34" s="27">
        <v>45958.677777777782</v>
      </c>
      <c r="N34" s="27">
        <v>45959.633333333331</v>
      </c>
      <c r="O34" t="s">
        <v>166</v>
      </c>
      <c r="P34" t="s">
        <v>170</v>
      </c>
      <c r="Q34" t="s">
        <v>178</v>
      </c>
      <c r="R34" t="s">
        <v>179</v>
      </c>
      <c r="S34" t="s">
        <v>143</v>
      </c>
      <c r="T34" t="s">
        <v>145</v>
      </c>
      <c r="U34" t="s">
        <v>69</v>
      </c>
      <c r="V34" t="s">
        <v>414</v>
      </c>
      <c r="W34" t="s">
        <v>70</v>
      </c>
      <c r="X34" t="s">
        <v>415</v>
      </c>
      <c r="Y34" t="s">
        <v>8</v>
      </c>
      <c r="Z34" t="s">
        <v>71</v>
      </c>
      <c r="AA34" t="s">
        <v>416</v>
      </c>
      <c r="AB34" s="28">
        <v>2</v>
      </c>
      <c r="AC34" t="s">
        <v>72</v>
      </c>
      <c r="AD34" s="35">
        <v>131920</v>
      </c>
      <c r="AE34" s="35">
        <v>131920</v>
      </c>
    </row>
    <row r="35" spans="1:31">
      <c r="A35" t="s">
        <v>86</v>
      </c>
      <c r="B35" t="s">
        <v>87</v>
      </c>
      <c r="C35" t="s">
        <v>88</v>
      </c>
      <c r="D35" t="s">
        <v>89</v>
      </c>
      <c r="E35" t="s">
        <v>417</v>
      </c>
      <c r="F35" t="s">
        <v>355</v>
      </c>
      <c r="G35" t="s">
        <v>165</v>
      </c>
      <c r="H35" t="s">
        <v>90</v>
      </c>
      <c r="I35" t="s">
        <v>86</v>
      </c>
      <c r="J35" t="s">
        <v>356</v>
      </c>
      <c r="K35" t="s">
        <v>66</v>
      </c>
      <c r="L35" t="s">
        <v>418</v>
      </c>
      <c r="M35" s="27">
        <v>45959.333333333343</v>
      </c>
      <c r="N35" s="27">
        <v>45959.461805555547</v>
      </c>
      <c r="O35" t="s">
        <v>166</v>
      </c>
      <c r="P35" t="s">
        <v>170</v>
      </c>
      <c r="Q35" t="s">
        <v>178</v>
      </c>
      <c r="R35" t="s">
        <v>179</v>
      </c>
      <c r="S35" t="s">
        <v>143</v>
      </c>
      <c r="T35" t="s">
        <v>211</v>
      </c>
      <c r="U35" t="s">
        <v>311</v>
      </c>
      <c r="V35" t="s">
        <v>419</v>
      </c>
      <c r="W35" t="s">
        <v>70</v>
      </c>
      <c r="X35" t="s">
        <v>357</v>
      </c>
      <c r="Y35" t="s">
        <v>8</v>
      </c>
      <c r="Z35" t="s">
        <v>71</v>
      </c>
      <c r="AA35" t="s">
        <v>416</v>
      </c>
      <c r="AB35" s="28">
        <v>1</v>
      </c>
      <c r="AC35" t="s">
        <v>72</v>
      </c>
      <c r="AD35" s="35">
        <v>65960</v>
      </c>
      <c r="AE35" s="35">
        <v>65960</v>
      </c>
    </row>
    <row r="36" spans="1:31">
      <c r="A36" t="s">
        <v>115</v>
      </c>
      <c r="B36" t="s">
        <v>116</v>
      </c>
      <c r="C36" t="s">
        <v>117</v>
      </c>
      <c r="D36" t="s">
        <v>119</v>
      </c>
      <c r="E36" t="s">
        <v>420</v>
      </c>
      <c r="F36" t="s">
        <v>252</v>
      </c>
      <c r="G36" t="s">
        <v>165</v>
      </c>
      <c r="H36" t="s">
        <v>116</v>
      </c>
      <c r="I36" t="s">
        <v>115</v>
      </c>
      <c r="J36" t="s">
        <v>253</v>
      </c>
      <c r="K36" t="s">
        <v>66</v>
      </c>
      <c r="L36" t="s">
        <v>421</v>
      </c>
      <c r="M36" s="27">
        <v>45959.333333333343</v>
      </c>
      <c r="N36" s="27">
        <v>45960.561805555553</v>
      </c>
      <c r="O36" t="s">
        <v>166</v>
      </c>
      <c r="P36" t="s">
        <v>170</v>
      </c>
      <c r="Q36" t="s">
        <v>178</v>
      </c>
      <c r="R36" t="s">
        <v>179</v>
      </c>
      <c r="S36" t="s">
        <v>143</v>
      </c>
      <c r="T36" t="s">
        <v>145</v>
      </c>
      <c r="U36" t="s">
        <v>69</v>
      </c>
      <c r="V36" t="s">
        <v>422</v>
      </c>
      <c r="W36" t="s">
        <v>70</v>
      </c>
      <c r="X36" t="s">
        <v>423</v>
      </c>
      <c r="Y36" t="s">
        <v>8</v>
      </c>
      <c r="Z36" t="s">
        <v>71</v>
      </c>
      <c r="AA36" t="s">
        <v>147</v>
      </c>
      <c r="AB36" s="28">
        <v>1</v>
      </c>
      <c r="AC36" t="s">
        <v>72</v>
      </c>
      <c r="AD36" s="35">
        <v>65960</v>
      </c>
      <c r="AE36" s="35">
        <v>65960</v>
      </c>
    </row>
    <row r="37" spans="1:31">
      <c r="A37" t="s">
        <v>86</v>
      </c>
      <c r="B37" t="s">
        <v>87</v>
      </c>
      <c r="C37" t="s">
        <v>88</v>
      </c>
      <c r="D37" t="s">
        <v>89</v>
      </c>
      <c r="E37" t="s">
        <v>424</v>
      </c>
      <c r="F37" t="s">
        <v>425</v>
      </c>
      <c r="G37" t="s">
        <v>165</v>
      </c>
      <c r="H37" t="s">
        <v>90</v>
      </c>
      <c r="I37" t="s">
        <v>86</v>
      </c>
      <c r="J37" t="s">
        <v>426</v>
      </c>
      <c r="K37" t="s">
        <v>66</v>
      </c>
      <c r="L37" t="s">
        <v>427</v>
      </c>
      <c r="M37" s="27">
        <v>45959.333333333343</v>
      </c>
      <c r="N37" s="27">
        <v>45961.540277777778</v>
      </c>
      <c r="O37" t="s">
        <v>166</v>
      </c>
      <c r="P37" t="s">
        <v>170</v>
      </c>
      <c r="Q37" t="s">
        <v>178</v>
      </c>
      <c r="R37" t="s">
        <v>179</v>
      </c>
      <c r="S37" t="s">
        <v>143</v>
      </c>
      <c r="T37" t="s">
        <v>189</v>
      </c>
      <c r="U37" t="s">
        <v>69</v>
      </c>
      <c r="V37" t="s">
        <v>428</v>
      </c>
      <c r="W37" t="s">
        <v>70</v>
      </c>
      <c r="X37" t="s">
        <v>429</v>
      </c>
      <c r="Y37" t="s">
        <v>8</v>
      </c>
      <c r="Z37" t="s">
        <v>71</v>
      </c>
      <c r="AA37" t="s">
        <v>114</v>
      </c>
      <c r="AB37" s="28">
        <v>1</v>
      </c>
      <c r="AC37" t="s">
        <v>72</v>
      </c>
      <c r="AD37" s="35">
        <v>65960</v>
      </c>
      <c r="AE37" s="35">
        <v>65960</v>
      </c>
    </row>
    <row r="38" spans="1:31">
      <c r="A38" t="s">
        <v>108</v>
      </c>
      <c r="B38" t="s">
        <v>64</v>
      </c>
      <c r="C38" t="s">
        <v>65</v>
      </c>
      <c r="D38" t="s">
        <v>109</v>
      </c>
      <c r="E38" t="s">
        <v>430</v>
      </c>
      <c r="F38" t="s">
        <v>431</v>
      </c>
      <c r="G38" t="s">
        <v>165</v>
      </c>
      <c r="H38" t="s">
        <v>110</v>
      </c>
      <c r="I38" t="s">
        <v>108</v>
      </c>
      <c r="J38" t="s">
        <v>432</v>
      </c>
      <c r="K38" t="s">
        <v>66</v>
      </c>
      <c r="L38" t="s">
        <v>433</v>
      </c>
      <c r="M38" s="27">
        <v>45959.333333333343</v>
      </c>
      <c r="N38" s="27">
        <v>45959.601388888892</v>
      </c>
      <c r="O38" t="s">
        <v>166</v>
      </c>
      <c r="P38" t="s">
        <v>170</v>
      </c>
      <c r="Q38" t="s">
        <v>178</v>
      </c>
      <c r="R38" t="s">
        <v>179</v>
      </c>
      <c r="S38" t="s">
        <v>143</v>
      </c>
      <c r="T38" t="s">
        <v>189</v>
      </c>
      <c r="U38" t="s">
        <v>69</v>
      </c>
      <c r="V38" t="s">
        <v>434</v>
      </c>
      <c r="W38" t="s">
        <v>70</v>
      </c>
      <c r="X38" t="s">
        <v>435</v>
      </c>
      <c r="Y38" t="s">
        <v>8</v>
      </c>
      <c r="Z38" t="s">
        <v>71</v>
      </c>
      <c r="AA38" t="s">
        <v>232</v>
      </c>
      <c r="AB38" s="28">
        <v>1</v>
      </c>
      <c r="AC38" t="s">
        <v>72</v>
      </c>
      <c r="AD38" s="35">
        <v>65960</v>
      </c>
      <c r="AE38" s="35">
        <v>65960</v>
      </c>
    </row>
    <row r="39" spans="1:31">
      <c r="A39" t="s">
        <v>86</v>
      </c>
      <c r="B39" t="s">
        <v>87</v>
      </c>
      <c r="C39" t="s">
        <v>88</v>
      </c>
      <c r="D39" t="s">
        <v>89</v>
      </c>
      <c r="E39" t="s">
        <v>436</v>
      </c>
      <c r="F39" t="s">
        <v>437</v>
      </c>
      <c r="G39" t="s">
        <v>165</v>
      </c>
      <c r="H39" t="s">
        <v>90</v>
      </c>
      <c r="I39" t="s">
        <v>86</v>
      </c>
      <c r="J39" t="s">
        <v>438</v>
      </c>
      <c r="K39" t="s">
        <v>66</v>
      </c>
      <c r="L39" t="s">
        <v>439</v>
      </c>
      <c r="M39" s="27">
        <v>45959.333333333343</v>
      </c>
      <c r="N39" s="27">
        <v>45959.611805555563</v>
      </c>
      <c r="O39" t="s">
        <v>166</v>
      </c>
      <c r="P39" t="s">
        <v>170</v>
      </c>
      <c r="Q39" t="s">
        <v>178</v>
      </c>
      <c r="R39" t="s">
        <v>179</v>
      </c>
      <c r="S39" t="s">
        <v>143</v>
      </c>
      <c r="T39" t="s">
        <v>211</v>
      </c>
      <c r="U39" t="s">
        <v>69</v>
      </c>
      <c r="V39" t="s">
        <v>440</v>
      </c>
      <c r="W39" t="s">
        <v>70</v>
      </c>
      <c r="X39" t="s">
        <v>441</v>
      </c>
      <c r="Y39" t="s">
        <v>8</v>
      </c>
      <c r="Z39" t="s">
        <v>71</v>
      </c>
      <c r="AA39" t="s">
        <v>114</v>
      </c>
      <c r="AB39" s="28">
        <v>1</v>
      </c>
      <c r="AC39" t="s">
        <v>72</v>
      </c>
      <c r="AD39" s="35">
        <v>65960</v>
      </c>
      <c r="AE39" s="35">
        <v>65960</v>
      </c>
    </row>
    <row r="40" spans="1:31">
      <c r="A40" t="s">
        <v>86</v>
      </c>
      <c r="B40" t="s">
        <v>87</v>
      </c>
      <c r="C40" t="s">
        <v>88</v>
      </c>
      <c r="D40" t="s">
        <v>206</v>
      </c>
      <c r="E40" t="s">
        <v>442</v>
      </c>
      <c r="F40" t="s">
        <v>443</v>
      </c>
      <c r="G40" t="s">
        <v>165</v>
      </c>
      <c r="H40" t="s">
        <v>90</v>
      </c>
      <c r="I40" t="s">
        <v>207</v>
      </c>
      <c r="J40" t="s">
        <v>444</v>
      </c>
      <c r="K40" t="s">
        <v>66</v>
      </c>
      <c r="L40" t="s">
        <v>445</v>
      </c>
      <c r="M40" s="27">
        <v>45959.333333333343</v>
      </c>
      <c r="N40" s="27">
        <v>45959.660416666673</v>
      </c>
      <c r="O40" t="s">
        <v>166</v>
      </c>
      <c r="P40" t="s">
        <v>170</v>
      </c>
      <c r="Q40" t="s">
        <v>178</v>
      </c>
      <c r="R40" t="s">
        <v>179</v>
      </c>
      <c r="S40" t="s">
        <v>167</v>
      </c>
      <c r="T40" t="s">
        <v>167</v>
      </c>
      <c r="U40" t="s">
        <v>69</v>
      </c>
      <c r="V40" t="s">
        <v>446</v>
      </c>
      <c r="W40" t="s">
        <v>70</v>
      </c>
      <c r="X40" t="s">
        <v>447</v>
      </c>
      <c r="Y40" t="s">
        <v>11</v>
      </c>
      <c r="Z40" t="s">
        <v>71</v>
      </c>
      <c r="AA40" t="s">
        <v>94</v>
      </c>
      <c r="AB40" s="28">
        <v>1</v>
      </c>
      <c r="AC40" t="s">
        <v>72</v>
      </c>
      <c r="AD40" s="35">
        <v>144968</v>
      </c>
      <c r="AE40" s="35">
        <v>144968</v>
      </c>
    </row>
    <row r="41" spans="1:31">
      <c r="A41" t="s">
        <v>129</v>
      </c>
      <c r="B41" t="s">
        <v>79</v>
      </c>
      <c r="C41" t="s">
        <v>80</v>
      </c>
      <c r="D41" t="s">
        <v>448</v>
      </c>
      <c r="E41" t="s">
        <v>449</v>
      </c>
      <c r="F41" t="s">
        <v>450</v>
      </c>
      <c r="G41" t="s">
        <v>165</v>
      </c>
      <c r="H41" t="s">
        <v>98</v>
      </c>
      <c r="I41" t="s">
        <v>129</v>
      </c>
      <c r="J41" t="s">
        <v>451</v>
      </c>
      <c r="K41" t="s">
        <v>66</v>
      </c>
      <c r="L41" t="s">
        <v>452</v>
      </c>
      <c r="M41" s="27">
        <v>45959.333333333343</v>
      </c>
      <c r="N41" s="27">
        <v>45959.713194444441</v>
      </c>
      <c r="O41" t="s">
        <v>166</v>
      </c>
      <c r="P41" t="s">
        <v>170</v>
      </c>
      <c r="Q41" t="s">
        <v>178</v>
      </c>
      <c r="R41" t="s">
        <v>179</v>
      </c>
      <c r="S41" t="s">
        <v>167</v>
      </c>
      <c r="T41" t="s">
        <v>167</v>
      </c>
      <c r="U41" t="s">
        <v>69</v>
      </c>
      <c r="V41" t="s">
        <v>453</v>
      </c>
      <c r="W41" t="s">
        <v>70</v>
      </c>
      <c r="X41" t="s">
        <v>454</v>
      </c>
      <c r="Y41" t="s">
        <v>8</v>
      </c>
      <c r="Z41" t="s">
        <v>71</v>
      </c>
      <c r="AA41" t="s">
        <v>130</v>
      </c>
      <c r="AB41" s="28">
        <v>1</v>
      </c>
      <c r="AC41" t="s">
        <v>72</v>
      </c>
      <c r="AD41" s="35">
        <v>65960</v>
      </c>
      <c r="AE41" s="35">
        <v>65960</v>
      </c>
    </row>
    <row r="42" spans="1:31">
      <c r="A42" t="s">
        <v>86</v>
      </c>
      <c r="B42" t="s">
        <v>87</v>
      </c>
      <c r="C42" t="s">
        <v>88</v>
      </c>
      <c r="D42" t="s">
        <v>312</v>
      </c>
      <c r="E42" t="s">
        <v>455</v>
      </c>
      <c r="F42" t="s">
        <v>456</v>
      </c>
      <c r="G42" t="s">
        <v>165</v>
      </c>
      <c r="H42" t="s">
        <v>90</v>
      </c>
      <c r="I42" t="s">
        <v>313</v>
      </c>
      <c r="J42" t="s">
        <v>457</v>
      </c>
      <c r="K42" t="s">
        <v>66</v>
      </c>
      <c r="L42" t="s">
        <v>458</v>
      </c>
      <c r="M42" s="27">
        <v>45959.333333333343</v>
      </c>
      <c r="N42" s="27">
        <v>45959.615277777782</v>
      </c>
      <c r="O42" t="s">
        <v>166</v>
      </c>
      <c r="P42" t="s">
        <v>170</v>
      </c>
      <c r="Q42" t="s">
        <v>178</v>
      </c>
      <c r="R42" t="s">
        <v>179</v>
      </c>
      <c r="S42" t="s">
        <v>143</v>
      </c>
      <c r="T42" t="s">
        <v>189</v>
      </c>
      <c r="U42" t="s">
        <v>69</v>
      </c>
      <c r="V42" t="s">
        <v>459</v>
      </c>
      <c r="W42" t="s">
        <v>70</v>
      </c>
      <c r="X42" t="s">
        <v>460</v>
      </c>
      <c r="Y42" t="s">
        <v>8</v>
      </c>
      <c r="Z42" t="s">
        <v>71</v>
      </c>
      <c r="AA42" t="s">
        <v>99</v>
      </c>
      <c r="AB42" s="28">
        <v>1</v>
      </c>
      <c r="AC42" t="s">
        <v>72</v>
      </c>
      <c r="AD42" s="35">
        <v>65960</v>
      </c>
      <c r="AE42" s="35">
        <v>65960</v>
      </c>
    </row>
    <row r="43" spans="1:31">
      <c r="A43" t="s">
        <v>86</v>
      </c>
      <c r="B43" t="s">
        <v>87</v>
      </c>
      <c r="C43" t="s">
        <v>88</v>
      </c>
      <c r="D43" t="s">
        <v>92</v>
      </c>
      <c r="E43" t="s">
        <v>461</v>
      </c>
      <c r="F43" t="s">
        <v>462</v>
      </c>
      <c r="G43" t="s">
        <v>165</v>
      </c>
      <c r="H43" t="s">
        <v>90</v>
      </c>
      <c r="I43" t="s">
        <v>93</v>
      </c>
      <c r="J43" t="s">
        <v>463</v>
      </c>
      <c r="K43" t="s">
        <v>66</v>
      </c>
      <c r="L43" t="s">
        <v>464</v>
      </c>
      <c r="M43" s="27">
        <v>45959.333333333343</v>
      </c>
      <c r="N43" s="27">
        <v>45961.50277777778</v>
      </c>
      <c r="O43" t="s">
        <v>166</v>
      </c>
      <c r="P43" t="s">
        <v>170</v>
      </c>
      <c r="Q43" t="s">
        <v>178</v>
      </c>
      <c r="R43" t="s">
        <v>179</v>
      </c>
      <c r="S43" t="s">
        <v>143</v>
      </c>
      <c r="T43" t="s">
        <v>188</v>
      </c>
      <c r="U43" t="s">
        <v>69</v>
      </c>
      <c r="V43" t="s">
        <v>465</v>
      </c>
      <c r="W43" t="s">
        <v>70</v>
      </c>
      <c r="X43" t="s">
        <v>466</v>
      </c>
      <c r="Y43" t="s">
        <v>8</v>
      </c>
      <c r="Z43" t="s">
        <v>71</v>
      </c>
      <c r="AA43" t="s">
        <v>99</v>
      </c>
      <c r="AB43" s="28">
        <v>1</v>
      </c>
      <c r="AC43" t="s">
        <v>72</v>
      </c>
      <c r="AD43" s="35">
        <v>65960</v>
      </c>
      <c r="AE43" s="35">
        <v>65960</v>
      </c>
    </row>
    <row r="44" spans="1:31">
      <c r="A44" t="s">
        <v>86</v>
      </c>
      <c r="B44" t="s">
        <v>87</v>
      </c>
      <c r="C44" t="s">
        <v>88</v>
      </c>
      <c r="D44" t="s">
        <v>92</v>
      </c>
      <c r="E44" t="s">
        <v>467</v>
      </c>
      <c r="F44" t="s">
        <v>468</v>
      </c>
      <c r="G44" t="s">
        <v>165</v>
      </c>
      <c r="H44" t="s">
        <v>90</v>
      </c>
      <c r="I44" t="s">
        <v>93</v>
      </c>
      <c r="J44" t="s">
        <v>469</v>
      </c>
      <c r="K44" t="s">
        <v>66</v>
      </c>
      <c r="L44" t="s">
        <v>470</v>
      </c>
      <c r="M44" s="27">
        <v>45959.333333333343</v>
      </c>
      <c r="N44" s="27">
        <v>45961.48333333333</v>
      </c>
      <c r="O44" t="s">
        <v>166</v>
      </c>
      <c r="P44" t="s">
        <v>170</v>
      </c>
      <c r="Q44" t="s">
        <v>178</v>
      </c>
      <c r="R44" t="s">
        <v>179</v>
      </c>
      <c r="S44" t="s">
        <v>143</v>
      </c>
      <c r="T44" t="s">
        <v>145</v>
      </c>
      <c r="U44" t="s">
        <v>69</v>
      </c>
      <c r="V44" t="s">
        <v>465</v>
      </c>
      <c r="W44" t="s">
        <v>70</v>
      </c>
      <c r="X44" t="s">
        <v>471</v>
      </c>
      <c r="Y44" t="s">
        <v>8</v>
      </c>
      <c r="Z44" t="s">
        <v>71</v>
      </c>
      <c r="AA44" t="s">
        <v>99</v>
      </c>
      <c r="AB44" s="28">
        <v>1</v>
      </c>
      <c r="AC44" t="s">
        <v>72</v>
      </c>
      <c r="AD44" s="35">
        <v>65960</v>
      </c>
      <c r="AE44" s="35">
        <v>65960</v>
      </c>
    </row>
    <row r="45" spans="1:31">
      <c r="A45" t="s">
        <v>103</v>
      </c>
      <c r="B45" t="s">
        <v>73</v>
      </c>
      <c r="C45" t="s">
        <v>74</v>
      </c>
      <c r="D45" t="s">
        <v>295</v>
      </c>
      <c r="E45" t="s">
        <v>472</v>
      </c>
      <c r="F45" t="s">
        <v>473</v>
      </c>
      <c r="G45" t="s">
        <v>165</v>
      </c>
      <c r="H45" t="s">
        <v>104</v>
      </c>
      <c r="I45" t="s">
        <v>296</v>
      </c>
      <c r="J45" t="s">
        <v>474</v>
      </c>
      <c r="K45" t="s">
        <v>66</v>
      </c>
      <c r="L45" t="s">
        <v>475</v>
      </c>
      <c r="M45" s="27">
        <v>45959.333333333343</v>
      </c>
      <c r="N45" s="27">
        <v>45959.629861111112</v>
      </c>
      <c r="O45" t="s">
        <v>166</v>
      </c>
      <c r="P45" t="s">
        <v>170</v>
      </c>
      <c r="Q45" t="s">
        <v>178</v>
      </c>
      <c r="R45" t="s">
        <v>179</v>
      </c>
      <c r="S45" t="s">
        <v>67</v>
      </c>
      <c r="T45" t="s">
        <v>68</v>
      </c>
      <c r="U45" t="s">
        <v>69</v>
      </c>
      <c r="V45" t="s">
        <v>476</v>
      </c>
      <c r="W45" t="s">
        <v>70</v>
      </c>
      <c r="X45" t="s">
        <v>477</v>
      </c>
      <c r="Y45" t="s">
        <v>11</v>
      </c>
      <c r="Z45" t="s">
        <v>71</v>
      </c>
      <c r="AA45" t="s">
        <v>141</v>
      </c>
      <c r="AB45" s="28">
        <v>1</v>
      </c>
      <c r="AC45" t="s">
        <v>72</v>
      </c>
      <c r="AD45" s="35">
        <v>144968</v>
      </c>
      <c r="AE45" s="35">
        <v>144968</v>
      </c>
    </row>
    <row r="46" spans="1:31">
      <c r="A46" t="s">
        <v>115</v>
      </c>
      <c r="B46" t="s">
        <v>116</v>
      </c>
      <c r="C46" t="s">
        <v>117</v>
      </c>
      <c r="D46" t="s">
        <v>119</v>
      </c>
      <c r="E46" t="s">
        <v>478</v>
      </c>
      <c r="F46" t="s">
        <v>479</v>
      </c>
      <c r="G46" t="s">
        <v>165</v>
      </c>
      <c r="H46" t="s">
        <v>116</v>
      </c>
      <c r="I46" t="s">
        <v>115</v>
      </c>
      <c r="J46" t="s">
        <v>480</v>
      </c>
      <c r="K46" t="s">
        <v>66</v>
      </c>
      <c r="L46" t="s">
        <v>481</v>
      </c>
      <c r="M46" s="27">
        <v>45959.333333333343</v>
      </c>
      <c r="N46" s="27">
        <v>45959.520138888889</v>
      </c>
      <c r="O46" t="s">
        <v>166</v>
      </c>
      <c r="P46" t="s">
        <v>170</v>
      </c>
      <c r="Q46" t="s">
        <v>178</v>
      </c>
      <c r="R46" t="s">
        <v>179</v>
      </c>
      <c r="S46" t="s">
        <v>143</v>
      </c>
      <c r="T46" t="s">
        <v>188</v>
      </c>
      <c r="U46" t="s">
        <v>69</v>
      </c>
      <c r="V46" t="s">
        <v>482</v>
      </c>
      <c r="W46" t="s">
        <v>70</v>
      </c>
      <c r="X46" t="s">
        <v>483</v>
      </c>
      <c r="Y46" t="s">
        <v>8</v>
      </c>
      <c r="Z46" t="s">
        <v>71</v>
      </c>
      <c r="AA46" t="s">
        <v>182</v>
      </c>
      <c r="AB46" s="28">
        <v>1</v>
      </c>
      <c r="AC46" t="s">
        <v>72</v>
      </c>
      <c r="AD46" s="35">
        <v>65960</v>
      </c>
      <c r="AE46" s="35">
        <v>65960</v>
      </c>
    </row>
    <row r="47" spans="1:31">
      <c r="A47" t="s">
        <v>115</v>
      </c>
      <c r="B47" t="s">
        <v>116</v>
      </c>
      <c r="C47" t="s">
        <v>117</v>
      </c>
      <c r="D47" t="s">
        <v>119</v>
      </c>
      <c r="E47" t="s">
        <v>484</v>
      </c>
      <c r="F47" t="s">
        <v>485</v>
      </c>
      <c r="G47" t="s">
        <v>165</v>
      </c>
      <c r="H47" t="s">
        <v>116</v>
      </c>
      <c r="I47" t="s">
        <v>115</v>
      </c>
      <c r="J47" t="s">
        <v>486</v>
      </c>
      <c r="K47" t="s">
        <v>66</v>
      </c>
      <c r="L47" t="s">
        <v>487</v>
      </c>
      <c r="M47" s="27">
        <v>45959.333333333343</v>
      </c>
      <c r="N47" s="27">
        <v>45959.657638888893</v>
      </c>
      <c r="O47" t="s">
        <v>166</v>
      </c>
      <c r="P47" t="s">
        <v>170</v>
      </c>
      <c r="Q47" t="s">
        <v>178</v>
      </c>
      <c r="R47" t="s">
        <v>179</v>
      </c>
      <c r="S47" t="s">
        <v>143</v>
      </c>
      <c r="T47" t="s">
        <v>188</v>
      </c>
      <c r="U47" t="s">
        <v>69</v>
      </c>
      <c r="V47" t="s">
        <v>488</v>
      </c>
      <c r="W47" t="s">
        <v>70</v>
      </c>
      <c r="X47" t="s">
        <v>489</v>
      </c>
      <c r="Y47" t="s">
        <v>8</v>
      </c>
      <c r="Z47" t="s">
        <v>71</v>
      </c>
      <c r="AA47" t="s">
        <v>182</v>
      </c>
      <c r="AB47" s="28">
        <v>1</v>
      </c>
      <c r="AC47" t="s">
        <v>72</v>
      </c>
      <c r="AD47" s="35">
        <v>65960</v>
      </c>
      <c r="AE47" s="35">
        <v>65960</v>
      </c>
    </row>
    <row r="48" spans="1:31">
      <c r="A48" t="s">
        <v>86</v>
      </c>
      <c r="B48" t="s">
        <v>87</v>
      </c>
      <c r="C48" t="s">
        <v>88</v>
      </c>
      <c r="D48" t="s">
        <v>92</v>
      </c>
      <c r="E48" t="s">
        <v>490</v>
      </c>
      <c r="F48" t="s">
        <v>378</v>
      </c>
      <c r="G48" t="s">
        <v>165</v>
      </c>
      <c r="H48" t="s">
        <v>90</v>
      </c>
      <c r="I48" t="s">
        <v>93</v>
      </c>
      <c r="J48" t="s">
        <v>379</v>
      </c>
      <c r="K48" t="s">
        <v>66</v>
      </c>
      <c r="L48" t="s">
        <v>491</v>
      </c>
      <c r="M48" s="27">
        <v>45959.333333333343</v>
      </c>
      <c r="N48" s="27">
        <v>45961.477777777778</v>
      </c>
      <c r="P48" t="s">
        <v>170</v>
      </c>
      <c r="Q48" t="s">
        <v>178</v>
      </c>
      <c r="R48" t="s">
        <v>179</v>
      </c>
      <c r="S48" t="s">
        <v>143</v>
      </c>
      <c r="T48" t="s">
        <v>211</v>
      </c>
      <c r="V48" t="s">
        <v>492</v>
      </c>
      <c r="W48" t="s">
        <v>190</v>
      </c>
      <c r="Y48" t="s">
        <v>8</v>
      </c>
      <c r="Z48" t="s">
        <v>71</v>
      </c>
      <c r="AA48" t="s">
        <v>99</v>
      </c>
      <c r="AB48" s="28">
        <v>0</v>
      </c>
      <c r="AC48" t="s">
        <v>72</v>
      </c>
      <c r="AD48" s="35">
        <v>41241</v>
      </c>
      <c r="AE48" s="35">
        <v>41241</v>
      </c>
    </row>
    <row r="49" spans="1:31">
      <c r="A49" t="s">
        <v>115</v>
      </c>
      <c r="B49" t="s">
        <v>116</v>
      </c>
      <c r="C49" t="s">
        <v>117</v>
      </c>
      <c r="D49" t="s">
        <v>119</v>
      </c>
      <c r="E49" t="s">
        <v>493</v>
      </c>
      <c r="F49" t="s">
        <v>494</v>
      </c>
      <c r="G49" t="s">
        <v>165</v>
      </c>
      <c r="H49" t="s">
        <v>116</v>
      </c>
      <c r="I49" t="s">
        <v>115</v>
      </c>
      <c r="J49" t="s">
        <v>495</v>
      </c>
      <c r="K49" t="s">
        <v>66</v>
      </c>
      <c r="L49" t="s">
        <v>496</v>
      </c>
      <c r="M49" s="27">
        <v>45959.333333333343</v>
      </c>
      <c r="N49" s="27">
        <v>45959.674305555563</v>
      </c>
      <c r="O49" t="s">
        <v>166</v>
      </c>
      <c r="P49" t="s">
        <v>170</v>
      </c>
      <c r="Q49" t="s">
        <v>178</v>
      </c>
      <c r="R49" t="s">
        <v>179</v>
      </c>
      <c r="S49" t="s">
        <v>143</v>
      </c>
      <c r="T49" t="s">
        <v>145</v>
      </c>
      <c r="U49" t="s">
        <v>69</v>
      </c>
      <c r="V49" t="s">
        <v>497</v>
      </c>
      <c r="W49" t="s">
        <v>70</v>
      </c>
      <c r="X49" t="s">
        <v>498</v>
      </c>
      <c r="Y49" t="s">
        <v>8</v>
      </c>
      <c r="Z49" t="s">
        <v>71</v>
      </c>
      <c r="AA49" t="s">
        <v>146</v>
      </c>
      <c r="AB49" s="28">
        <v>1</v>
      </c>
      <c r="AC49" t="s">
        <v>72</v>
      </c>
      <c r="AD49" s="35">
        <v>65960</v>
      </c>
      <c r="AE49" s="35">
        <v>65960</v>
      </c>
    </row>
    <row r="50" spans="1:31">
      <c r="A50" t="s">
        <v>86</v>
      </c>
      <c r="B50" t="s">
        <v>87</v>
      </c>
      <c r="C50" t="s">
        <v>88</v>
      </c>
      <c r="D50" t="s">
        <v>92</v>
      </c>
      <c r="E50" t="s">
        <v>499</v>
      </c>
      <c r="F50" t="s">
        <v>209</v>
      </c>
      <c r="G50" t="s">
        <v>165</v>
      </c>
      <c r="H50" t="s">
        <v>90</v>
      </c>
      <c r="I50" t="s">
        <v>93</v>
      </c>
      <c r="J50" t="s">
        <v>210</v>
      </c>
      <c r="K50" t="s">
        <v>66</v>
      </c>
      <c r="L50" t="s">
        <v>500</v>
      </c>
      <c r="M50" s="27">
        <v>45959.333333333343</v>
      </c>
      <c r="N50" s="27">
        <v>45961.532638888893</v>
      </c>
      <c r="P50" t="s">
        <v>170</v>
      </c>
      <c r="Q50" t="s">
        <v>178</v>
      </c>
      <c r="R50" t="s">
        <v>179</v>
      </c>
      <c r="S50" t="s">
        <v>143</v>
      </c>
      <c r="T50" t="s">
        <v>211</v>
      </c>
      <c r="V50" t="s">
        <v>501</v>
      </c>
      <c r="W50" t="s">
        <v>190</v>
      </c>
      <c r="Y50" t="s">
        <v>8</v>
      </c>
      <c r="Z50" t="s">
        <v>71</v>
      </c>
      <c r="AA50" t="s">
        <v>99</v>
      </c>
      <c r="AB50" s="28">
        <v>0</v>
      </c>
      <c r="AC50" t="s">
        <v>72</v>
      </c>
      <c r="AD50" s="35">
        <v>41241</v>
      </c>
      <c r="AE50" s="35">
        <v>41241</v>
      </c>
    </row>
    <row r="51" spans="1:31">
      <c r="A51" t="s">
        <v>101</v>
      </c>
      <c r="B51" t="s">
        <v>79</v>
      </c>
      <c r="C51" t="s">
        <v>80</v>
      </c>
      <c r="D51" t="s">
        <v>105</v>
      </c>
      <c r="E51" t="s">
        <v>502</v>
      </c>
      <c r="F51" t="s">
        <v>236</v>
      </c>
      <c r="G51" t="s">
        <v>165</v>
      </c>
      <c r="H51" t="s">
        <v>106</v>
      </c>
      <c r="I51" t="s">
        <v>101</v>
      </c>
      <c r="J51" t="s">
        <v>237</v>
      </c>
      <c r="K51" t="s">
        <v>66</v>
      </c>
      <c r="L51" t="s">
        <v>503</v>
      </c>
      <c r="M51" s="27">
        <v>45959.333333333343</v>
      </c>
      <c r="N51" s="27">
        <v>45959.620138888888</v>
      </c>
      <c r="P51" t="s">
        <v>170</v>
      </c>
      <c r="Q51" t="s">
        <v>178</v>
      </c>
      <c r="R51" t="s">
        <v>179</v>
      </c>
      <c r="S51" t="s">
        <v>167</v>
      </c>
      <c r="T51" t="s">
        <v>167</v>
      </c>
      <c r="V51" t="s">
        <v>504</v>
      </c>
      <c r="W51" t="s">
        <v>190</v>
      </c>
      <c r="Y51" t="s">
        <v>8</v>
      </c>
      <c r="Z51" t="s">
        <v>71</v>
      </c>
      <c r="AA51" t="s">
        <v>107</v>
      </c>
      <c r="AB51" s="28">
        <v>0</v>
      </c>
      <c r="AC51" t="s">
        <v>72</v>
      </c>
      <c r="AD51" s="35">
        <v>41241</v>
      </c>
      <c r="AE51" s="35">
        <v>41241</v>
      </c>
    </row>
    <row r="52" spans="1:31">
      <c r="A52" t="s">
        <v>115</v>
      </c>
      <c r="B52" t="s">
        <v>116</v>
      </c>
      <c r="C52" t="s">
        <v>117</v>
      </c>
      <c r="D52" t="s">
        <v>119</v>
      </c>
      <c r="E52" t="s">
        <v>505</v>
      </c>
      <c r="F52" t="s">
        <v>506</v>
      </c>
      <c r="G52" t="s">
        <v>165</v>
      </c>
      <c r="H52" t="s">
        <v>116</v>
      </c>
      <c r="I52" t="s">
        <v>115</v>
      </c>
      <c r="J52" t="s">
        <v>507</v>
      </c>
      <c r="K52" t="s">
        <v>66</v>
      </c>
      <c r="L52" t="s">
        <v>508</v>
      </c>
      <c r="M52" s="27">
        <v>45959.333333333343</v>
      </c>
      <c r="N52" s="27">
        <v>45959.771527777782</v>
      </c>
      <c r="O52" t="s">
        <v>166</v>
      </c>
      <c r="P52" t="s">
        <v>170</v>
      </c>
      <c r="Q52" t="s">
        <v>178</v>
      </c>
      <c r="R52" t="s">
        <v>179</v>
      </c>
      <c r="S52" t="s">
        <v>67</v>
      </c>
      <c r="T52" t="s">
        <v>85</v>
      </c>
      <c r="U52" t="s">
        <v>184</v>
      </c>
      <c r="V52" t="s">
        <v>509</v>
      </c>
      <c r="W52" t="s">
        <v>70</v>
      </c>
      <c r="X52" t="s">
        <v>358</v>
      </c>
      <c r="Y52" t="s">
        <v>8</v>
      </c>
      <c r="Z52" t="s">
        <v>71</v>
      </c>
      <c r="AA52" t="s">
        <v>182</v>
      </c>
      <c r="AB52" s="28">
        <v>1</v>
      </c>
      <c r="AC52" t="s">
        <v>72</v>
      </c>
      <c r="AD52" s="35">
        <v>65960</v>
      </c>
      <c r="AE52" s="35">
        <v>65960</v>
      </c>
    </row>
    <row r="53" spans="1:31">
      <c r="A53" t="s">
        <v>108</v>
      </c>
      <c r="B53" t="s">
        <v>64</v>
      </c>
      <c r="C53" t="s">
        <v>65</v>
      </c>
      <c r="D53" t="s">
        <v>109</v>
      </c>
      <c r="E53" t="s">
        <v>510</v>
      </c>
      <c r="F53" t="s">
        <v>511</v>
      </c>
      <c r="G53" t="s">
        <v>165</v>
      </c>
      <c r="H53" t="s">
        <v>110</v>
      </c>
      <c r="I53" t="s">
        <v>108</v>
      </c>
      <c r="J53" t="s">
        <v>512</v>
      </c>
      <c r="K53" t="s">
        <v>66</v>
      </c>
      <c r="L53" t="s">
        <v>513</v>
      </c>
      <c r="M53" s="27">
        <v>45959.333333333343</v>
      </c>
      <c r="N53" s="27">
        <v>45959.625</v>
      </c>
      <c r="O53" t="s">
        <v>166</v>
      </c>
      <c r="P53" t="s">
        <v>170</v>
      </c>
      <c r="Q53" t="s">
        <v>178</v>
      </c>
      <c r="R53" t="s">
        <v>179</v>
      </c>
      <c r="S53" t="s">
        <v>167</v>
      </c>
      <c r="T53" t="s">
        <v>167</v>
      </c>
      <c r="U53" t="s">
        <v>69</v>
      </c>
      <c r="V53" t="s">
        <v>514</v>
      </c>
      <c r="W53" t="s">
        <v>70</v>
      </c>
      <c r="X53" t="s">
        <v>515</v>
      </c>
      <c r="Y53" t="s">
        <v>8</v>
      </c>
      <c r="Z53" t="s">
        <v>71</v>
      </c>
      <c r="AA53" t="s">
        <v>232</v>
      </c>
      <c r="AB53" s="28">
        <v>1</v>
      </c>
      <c r="AC53" t="s">
        <v>72</v>
      </c>
      <c r="AD53" s="35">
        <v>65960</v>
      </c>
      <c r="AE53" s="35">
        <v>65960</v>
      </c>
    </row>
    <row r="54" spans="1:31">
      <c r="A54" t="s">
        <v>86</v>
      </c>
      <c r="B54" t="s">
        <v>87</v>
      </c>
      <c r="C54" t="s">
        <v>88</v>
      </c>
      <c r="D54" t="s">
        <v>89</v>
      </c>
      <c r="E54" t="s">
        <v>516</v>
      </c>
      <c r="F54" t="s">
        <v>254</v>
      </c>
      <c r="G54" t="s">
        <v>165</v>
      </c>
      <c r="H54" t="s">
        <v>90</v>
      </c>
      <c r="I54" t="s">
        <v>86</v>
      </c>
      <c r="J54" t="s">
        <v>255</v>
      </c>
      <c r="K54" t="s">
        <v>66</v>
      </c>
      <c r="L54" t="s">
        <v>517</v>
      </c>
      <c r="M54" s="27">
        <v>45959.333333333343</v>
      </c>
      <c r="N54" s="27">
        <v>45959.615972222222</v>
      </c>
      <c r="O54" t="s">
        <v>166</v>
      </c>
      <c r="P54" t="s">
        <v>170</v>
      </c>
      <c r="Q54" t="s">
        <v>178</v>
      </c>
      <c r="R54" t="s">
        <v>179</v>
      </c>
      <c r="S54" t="s">
        <v>143</v>
      </c>
      <c r="T54" t="s">
        <v>188</v>
      </c>
      <c r="U54" t="s">
        <v>69</v>
      </c>
      <c r="V54" t="s">
        <v>518</v>
      </c>
      <c r="W54" t="s">
        <v>70</v>
      </c>
      <c r="X54" t="s">
        <v>256</v>
      </c>
      <c r="Y54" t="s">
        <v>8</v>
      </c>
      <c r="Z54" t="s">
        <v>71</v>
      </c>
      <c r="AA54" t="s">
        <v>91</v>
      </c>
      <c r="AB54" s="28">
        <v>1</v>
      </c>
      <c r="AC54" t="s">
        <v>72</v>
      </c>
      <c r="AD54" s="35">
        <v>65960</v>
      </c>
      <c r="AE54" s="35">
        <v>65960</v>
      </c>
    </row>
    <row r="55" spans="1:31">
      <c r="A55" t="s">
        <v>148</v>
      </c>
      <c r="B55" t="s">
        <v>75</v>
      </c>
      <c r="C55" t="s">
        <v>76</v>
      </c>
      <c r="D55" t="s">
        <v>149</v>
      </c>
      <c r="E55" t="s">
        <v>519</v>
      </c>
      <c r="F55" t="s">
        <v>520</v>
      </c>
      <c r="G55" t="s">
        <v>165</v>
      </c>
      <c r="H55" t="s">
        <v>150</v>
      </c>
      <c r="I55" t="s">
        <v>148</v>
      </c>
      <c r="J55" t="s">
        <v>521</v>
      </c>
      <c r="K55" t="s">
        <v>66</v>
      </c>
      <c r="L55" t="s">
        <v>522</v>
      </c>
      <c r="M55" s="27">
        <v>45959.333333333343</v>
      </c>
      <c r="N55" s="27">
        <v>45959.679166666669</v>
      </c>
      <c r="O55" t="s">
        <v>166</v>
      </c>
      <c r="P55" t="s">
        <v>170</v>
      </c>
      <c r="Q55" t="s">
        <v>178</v>
      </c>
      <c r="R55" t="s">
        <v>179</v>
      </c>
      <c r="S55" t="s">
        <v>167</v>
      </c>
      <c r="T55" t="s">
        <v>167</v>
      </c>
      <c r="U55" t="s">
        <v>69</v>
      </c>
      <c r="V55" t="s">
        <v>523</v>
      </c>
      <c r="W55" t="s">
        <v>70</v>
      </c>
      <c r="X55" t="s">
        <v>524</v>
      </c>
      <c r="Y55" t="s">
        <v>8</v>
      </c>
      <c r="Z55" t="s">
        <v>71</v>
      </c>
      <c r="AA55" t="s">
        <v>151</v>
      </c>
      <c r="AB55" s="28">
        <v>1</v>
      </c>
      <c r="AC55" t="s">
        <v>72</v>
      </c>
      <c r="AD55" s="35">
        <v>65960</v>
      </c>
      <c r="AE55" s="35">
        <v>65960</v>
      </c>
    </row>
    <row r="56" spans="1:31">
      <c r="A56" t="s">
        <v>108</v>
      </c>
      <c r="B56" t="s">
        <v>64</v>
      </c>
      <c r="C56" t="s">
        <v>65</v>
      </c>
      <c r="D56" t="s">
        <v>109</v>
      </c>
      <c r="E56" t="s">
        <v>525</v>
      </c>
      <c r="F56" t="s">
        <v>526</v>
      </c>
      <c r="G56" t="s">
        <v>165</v>
      </c>
      <c r="H56" t="s">
        <v>110</v>
      </c>
      <c r="I56" t="s">
        <v>108</v>
      </c>
      <c r="J56" t="s">
        <v>527</v>
      </c>
      <c r="K56" t="s">
        <v>66</v>
      </c>
      <c r="L56" t="s">
        <v>528</v>
      </c>
      <c r="M56" s="27">
        <v>45959.333333333343</v>
      </c>
      <c r="N56" s="27">
        <v>45959.613888888889</v>
      </c>
      <c r="O56" t="s">
        <v>166</v>
      </c>
      <c r="P56" t="s">
        <v>170</v>
      </c>
      <c r="Q56" t="s">
        <v>178</v>
      </c>
      <c r="R56" t="s">
        <v>179</v>
      </c>
      <c r="S56" t="s">
        <v>67</v>
      </c>
      <c r="T56" t="s">
        <v>68</v>
      </c>
      <c r="U56" t="s">
        <v>69</v>
      </c>
      <c r="V56" t="s">
        <v>529</v>
      </c>
      <c r="W56" t="s">
        <v>70</v>
      </c>
      <c r="X56" t="s">
        <v>530</v>
      </c>
      <c r="Y56" t="s">
        <v>8</v>
      </c>
      <c r="Z56" t="s">
        <v>71</v>
      </c>
      <c r="AA56" t="s">
        <v>112</v>
      </c>
      <c r="AB56" s="28">
        <v>1</v>
      </c>
      <c r="AC56" t="s">
        <v>72</v>
      </c>
      <c r="AD56" s="35">
        <v>65960</v>
      </c>
      <c r="AE56" s="35">
        <v>65960</v>
      </c>
    </row>
    <row r="57" spans="1:31">
      <c r="A57" t="s">
        <v>86</v>
      </c>
      <c r="B57" t="s">
        <v>87</v>
      </c>
      <c r="C57" t="s">
        <v>88</v>
      </c>
      <c r="D57" t="s">
        <v>96</v>
      </c>
      <c r="E57" t="s">
        <v>531</v>
      </c>
      <c r="F57" t="s">
        <v>532</v>
      </c>
      <c r="G57" t="s">
        <v>165</v>
      </c>
      <c r="H57" t="s">
        <v>90</v>
      </c>
      <c r="I57" t="s">
        <v>97</v>
      </c>
      <c r="J57" t="s">
        <v>533</v>
      </c>
      <c r="K57" t="s">
        <v>66</v>
      </c>
      <c r="L57" t="s">
        <v>534</v>
      </c>
      <c r="M57" s="27">
        <v>45959.333333333343</v>
      </c>
      <c r="N57" s="27">
        <v>45959.677777777782</v>
      </c>
      <c r="O57" t="s">
        <v>166</v>
      </c>
      <c r="P57" t="s">
        <v>170</v>
      </c>
      <c r="Q57" t="s">
        <v>178</v>
      </c>
      <c r="R57" t="s">
        <v>179</v>
      </c>
      <c r="S57" t="s">
        <v>67</v>
      </c>
      <c r="T57" t="s">
        <v>68</v>
      </c>
      <c r="U57" t="s">
        <v>69</v>
      </c>
      <c r="V57" t="s">
        <v>535</v>
      </c>
      <c r="W57" t="s">
        <v>70</v>
      </c>
      <c r="X57" t="s">
        <v>536</v>
      </c>
      <c r="Y57" t="s">
        <v>8</v>
      </c>
      <c r="Z57" t="s">
        <v>71</v>
      </c>
      <c r="AA57" t="s">
        <v>114</v>
      </c>
      <c r="AB57" s="28">
        <v>1</v>
      </c>
      <c r="AC57" t="s">
        <v>72</v>
      </c>
      <c r="AD57" s="35">
        <v>65960</v>
      </c>
      <c r="AE57" s="35">
        <v>65960</v>
      </c>
    </row>
    <row r="58" spans="1:31">
      <c r="A58" t="s">
        <v>115</v>
      </c>
      <c r="B58" t="s">
        <v>116</v>
      </c>
      <c r="C58" t="s">
        <v>117</v>
      </c>
      <c r="D58" t="s">
        <v>119</v>
      </c>
      <c r="E58" t="s">
        <v>537</v>
      </c>
      <c r="F58" t="s">
        <v>152</v>
      </c>
      <c r="G58" t="s">
        <v>165</v>
      </c>
      <c r="H58" t="s">
        <v>116</v>
      </c>
      <c r="I58" t="s">
        <v>115</v>
      </c>
      <c r="J58" t="s">
        <v>153</v>
      </c>
      <c r="K58" t="s">
        <v>66</v>
      </c>
      <c r="L58" t="s">
        <v>538</v>
      </c>
      <c r="M58" s="27">
        <v>45959.333333333343</v>
      </c>
      <c r="N58" s="27">
        <v>45959.612500000003</v>
      </c>
      <c r="O58" t="s">
        <v>166</v>
      </c>
      <c r="P58" t="s">
        <v>170</v>
      </c>
      <c r="Q58" t="s">
        <v>178</v>
      </c>
      <c r="R58" t="s">
        <v>179</v>
      </c>
      <c r="S58" t="s">
        <v>67</v>
      </c>
      <c r="T58" t="s">
        <v>68</v>
      </c>
      <c r="U58" t="s">
        <v>69</v>
      </c>
      <c r="V58" t="s">
        <v>488</v>
      </c>
      <c r="W58" t="s">
        <v>70</v>
      </c>
      <c r="X58" t="s">
        <v>539</v>
      </c>
      <c r="Y58" t="s">
        <v>8</v>
      </c>
      <c r="Z58" t="s">
        <v>71</v>
      </c>
      <c r="AA58" t="s">
        <v>182</v>
      </c>
      <c r="AB58" s="28">
        <v>1</v>
      </c>
      <c r="AC58" t="s">
        <v>72</v>
      </c>
      <c r="AD58" s="35">
        <v>65960</v>
      </c>
      <c r="AE58" s="35">
        <v>65960</v>
      </c>
    </row>
    <row r="59" spans="1:31">
      <c r="A59" t="s">
        <v>115</v>
      </c>
      <c r="B59" t="s">
        <v>116</v>
      </c>
      <c r="C59" t="s">
        <v>117</v>
      </c>
      <c r="D59" t="s">
        <v>119</v>
      </c>
      <c r="E59" t="s">
        <v>540</v>
      </c>
      <c r="F59" t="s">
        <v>541</v>
      </c>
      <c r="G59" t="s">
        <v>165</v>
      </c>
      <c r="H59" t="s">
        <v>116</v>
      </c>
      <c r="I59" t="s">
        <v>115</v>
      </c>
      <c r="J59" t="s">
        <v>542</v>
      </c>
      <c r="K59" t="s">
        <v>66</v>
      </c>
      <c r="L59" t="s">
        <v>543</v>
      </c>
      <c r="M59" s="27">
        <v>45959.333333333343</v>
      </c>
      <c r="N59" s="27">
        <v>45959.606944444437</v>
      </c>
      <c r="O59" t="s">
        <v>166</v>
      </c>
      <c r="P59" t="s">
        <v>170</v>
      </c>
      <c r="Q59" t="s">
        <v>178</v>
      </c>
      <c r="R59" t="s">
        <v>179</v>
      </c>
      <c r="S59" t="s">
        <v>167</v>
      </c>
      <c r="T59" t="s">
        <v>167</v>
      </c>
      <c r="U59" t="s">
        <v>69</v>
      </c>
      <c r="V59" t="s">
        <v>544</v>
      </c>
      <c r="W59" t="s">
        <v>70</v>
      </c>
      <c r="X59" t="s">
        <v>545</v>
      </c>
      <c r="Y59" t="s">
        <v>8</v>
      </c>
      <c r="Z59" t="s">
        <v>71</v>
      </c>
      <c r="AA59" t="s">
        <v>144</v>
      </c>
      <c r="AB59" s="28">
        <v>1</v>
      </c>
      <c r="AC59" t="s">
        <v>72</v>
      </c>
      <c r="AD59" s="35">
        <v>65960</v>
      </c>
      <c r="AE59" s="35">
        <v>65960</v>
      </c>
    </row>
    <row r="60" spans="1:31">
      <c r="A60" t="s">
        <v>108</v>
      </c>
      <c r="B60" t="s">
        <v>64</v>
      </c>
      <c r="C60" t="s">
        <v>65</v>
      </c>
      <c r="D60" t="s">
        <v>109</v>
      </c>
      <c r="E60" t="s">
        <v>546</v>
      </c>
      <c r="F60" t="s">
        <v>547</v>
      </c>
      <c r="G60" t="s">
        <v>165</v>
      </c>
      <c r="H60" t="s">
        <v>110</v>
      </c>
      <c r="I60" t="s">
        <v>108</v>
      </c>
      <c r="J60" t="s">
        <v>548</v>
      </c>
      <c r="K60" t="s">
        <v>66</v>
      </c>
      <c r="L60" t="s">
        <v>549</v>
      </c>
      <c r="M60" s="27">
        <v>45959.333333333343</v>
      </c>
      <c r="N60" s="27">
        <v>45959.62222222222</v>
      </c>
      <c r="O60" t="s">
        <v>166</v>
      </c>
      <c r="P60" t="s">
        <v>170</v>
      </c>
      <c r="Q60" t="s">
        <v>178</v>
      </c>
      <c r="R60" t="s">
        <v>179</v>
      </c>
      <c r="S60" t="s">
        <v>67</v>
      </c>
      <c r="T60" t="s">
        <v>85</v>
      </c>
      <c r="U60" t="s">
        <v>69</v>
      </c>
      <c r="V60" t="s">
        <v>550</v>
      </c>
      <c r="W60" t="s">
        <v>70</v>
      </c>
      <c r="X60" t="s">
        <v>551</v>
      </c>
      <c r="Y60" t="s">
        <v>8</v>
      </c>
      <c r="Z60" t="s">
        <v>71</v>
      </c>
      <c r="AA60" t="s">
        <v>112</v>
      </c>
      <c r="AB60" s="28">
        <v>1</v>
      </c>
      <c r="AC60" t="s">
        <v>72</v>
      </c>
      <c r="AD60" s="35">
        <v>65960</v>
      </c>
      <c r="AE60" s="35">
        <v>65960</v>
      </c>
    </row>
    <row r="61" spans="1:31">
      <c r="A61" t="s">
        <v>115</v>
      </c>
      <c r="B61" t="s">
        <v>116</v>
      </c>
      <c r="C61" t="s">
        <v>117</v>
      </c>
      <c r="D61" t="s">
        <v>119</v>
      </c>
      <c r="E61" t="s">
        <v>552</v>
      </c>
      <c r="F61" t="s">
        <v>384</v>
      </c>
      <c r="G61" t="s">
        <v>165</v>
      </c>
      <c r="H61" t="s">
        <v>116</v>
      </c>
      <c r="I61" t="s">
        <v>115</v>
      </c>
      <c r="J61" t="s">
        <v>385</v>
      </c>
      <c r="K61" t="s">
        <v>66</v>
      </c>
      <c r="L61" t="s">
        <v>553</v>
      </c>
      <c r="M61" s="27">
        <v>45959.333333333343</v>
      </c>
      <c r="N61" s="27">
        <v>45959.518055555563</v>
      </c>
      <c r="O61" t="s">
        <v>166</v>
      </c>
      <c r="P61" t="s">
        <v>170</v>
      </c>
      <c r="Q61" t="s">
        <v>178</v>
      </c>
      <c r="R61" t="s">
        <v>179</v>
      </c>
      <c r="S61" t="s">
        <v>168</v>
      </c>
      <c r="T61" t="s">
        <v>167</v>
      </c>
      <c r="U61" t="s">
        <v>69</v>
      </c>
      <c r="V61" t="s">
        <v>554</v>
      </c>
      <c r="W61" t="s">
        <v>70</v>
      </c>
      <c r="X61" t="s">
        <v>388</v>
      </c>
      <c r="Y61" t="s">
        <v>8</v>
      </c>
      <c r="Z61" t="s">
        <v>71</v>
      </c>
      <c r="AA61" t="s">
        <v>144</v>
      </c>
      <c r="AB61" s="28">
        <v>1</v>
      </c>
      <c r="AC61" t="s">
        <v>72</v>
      </c>
      <c r="AD61" s="35">
        <v>65960</v>
      </c>
      <c r="AE61" s="35">
        <v>65960</v>
      </c>
    </row>
    <row r="62" spans="1:31">
      <c r="A62" t="s">
        <v>115</v>
      </c>
      <c r="B62" t="s">
        <v>116</v>
      </c>
      <c r="C62" t="s">
        <v>117</v>
      </c>
      <c r="D62" t="s">
        <v>119</v>
      </c>
      <c r="E62" t="s">
        <v>555</v>
      </c>
      <c r="F62" t="s">
        <v>556</v>
      </c>
      <c r="G62" t="s">
        <v>165</v>
      </c>
      <c r="H62" t="s">
        <v>116</v>
      </c>
      <c r="I62" t="s">
        <v>115</v>
      </c>
      <c r="J62" t="s">
        <v>557</v>
      </c>
      <c r="K62" t="s">
        <v>66</v>
      </c>
      <c r="L62" t="s">
        <v>558</v>
      </c>
      <c r="M62" s="27">
        <v>45959.333333333343</v>
      </c>
      <c r="N62" s="27">
        <v>45959.602777777778</v>
      </c>
      <c r="O62" t="s">
        <v>166</v>
      </c>
      <c r="P62" t="s">
        <v>170</v>
      </c>
      <c r="Q62" t="s">
        <v>178</v>
      </c>
      <c r="R62" t="s">
        <v>179</v>
      </c>
      <c r="S62" t="s">
        <v>168</v>
      </c>
      <c r="T62" t="s">
        <v>167</v>
      </c>
      <c r="U62" t="s">
        <v>184</v>
      </c>
      <c r="V62" t="s">
        <v>559</v>
      </c>
      <c r="W62" t="s">
        <v>70</v>
      </c>
      <c r="X62" t="s">
        <v>560</v>
      </c>
      <c r="Y62" t="s">
        <v>8</v>
      </c>
      <c r="Z62" t="s">
        <v>71</v>
      </c>
      <c r="AA62" t="s">
        <v>144</v>
      </c>
      <c r="AB62" s="28">
        <v>1</v>
      </c>
      <c r="AC62" t="s">
        <v>72</v>
      </c>
      <c r="AD62" s="35">
        <v>65960</v>
      </c>
      <c r="AE62" s="35">
        <v>65960</v>
      </c>
    </row>
    <row r="63" spans="1:31">
      <c r="A63" t="s">
        <v>115</v>
      </c>
      <c r="B63" t="s">
        <v>116</v>
      </c>
      <c r="C63" t="s">
        <v>117</v>
      </c>
      <c r="D63" t="s">
        <v>119</v>
      </c>
      <c r="E63" t="s">
        <v>561</v>
      </c>
      <c r="F63" t="s">
        <v>562</v>
      </c>
      <c r="G63" t="s">
        <v>165</v>
      </c>
      <c r="H63" t="s">
        <v>116</v>
      </c>
      <c r="I63" t="s">
        <v>115</v>
      </c>
      <c r="J63" t="s">
        <v>563</v>
      </c>
      <c r="K63" t="s">
        <v>66</v>
      </c>
      <c r="L63" t="s">
        <v>564</v>
      </c>
      <c r="M63" s="27">
        <v>45959.333333333343</v>
      </c>
      <c r="N63" s="27">
        <v>45959.600694444453</v>
      </c>
      <c r="O63" t="s">
        <v>166</v>
      </c>
      <c r="P63" t="s">
        <v>170</v>
      </c>
      <c r="Q63" t="s">
        <v>178</v>
      </c>
      <c r="R63" t="s">
        <v>179</v>
      </c>
      <c r="S63" t="s">
        <v>168</v>
      </c>
      <c r="T63" t="s">
        <v>167</v>
      </c>
      <c r="U63" t="s">
        <v>184</v>
      </c>
      <c r="V63" t="s">
        <v>565</v>
      </c>
      <c r="W63" t="s">
        <v>70</v>
      </c>
      <c r="X63" t="s">
        <v>231</v>
      </c>
      <c r="Y63" t="s">
        <v>8</v>
      </c>
      <c r="Z63" t="s">
        <v>71</v>
      </c>
      <c r="AA63" t="s">
        <v>144</v>
      </c>
      <c r="AB63" s="28">
        <v>1</v>
      </c>
      <c r="AC63" t="s">
        <v>72</v>
      </c>
      <c r="AD63" s="35">
        <v>65960</v>
      </c>
      <c r="AE63" s="35">
        <v>65960</v>
      </c>
    </row>
    <row r="64" spans="1:31">
      <c r="A64" t="s">
        <v>86</v>
      </c>
      <c r="B64" t="s">
        <v>87</v>
      </c>
      <c r="C64" t="s">
        <v>88</v>
      </c>
      <c r="D64" t="s">
        <v>312</v>
      </c>
      <c r="E64" t="s">
        <v>566</v>
      </c>
      <c r="F64" t="s">
        <v>567</v>
      </c>
      <c r="G64" t="s">
        <v>165</v>
      </c>
      <c r="H64" t="s">
        <v>90</v>
      </c>
      <c r="I64" t="s">
        <v>313</v>
      </c>
      <c r="J64" t="s">
        <v>568</v>
      </c>
      <c r="K64" t="s">
        <v>66</v>
      </c>
      <c r="L64" t="s">
        <v>569</v>
      </c>
      <c r="M64" s="27">
        <v>45959.333333333343</v>
      </c>
      <c r="N64" s="27">
        <v>45959.599305555559</v>
      </c>
      <c r="O64" t="s">
        <v>166</v>
      </c>
      <c r="P64" t="s">
        <v>170</v>
      </c>
      <c r="Q64" t="s">
        <v>178</v>
      </c>
      <c r="R64" t="s">
        <v>179</v>
      </c>
      <c r="S64" t="s">
        <v>67</v>
      </c>
      <c r="T64" t="s">
        <v>68</v>
      </c>
      <c r="U64" t="s">
        <v>69</v>
      </c>
      <c r="V64" t="s">
        <v>570</v>
      </c>
      <c r="W64" t="s">
        <v>70</v>
      </c>
      <c r="X64" t="s">
        <v>571</v>
      </c>
      <c r="Y64" t="s">
        <v>8</v>
      </c>
      <c r="Z64" t="s">
        <v>71</v>
      </c>
      <c r="AA64" t="s">
        <v>99</v>
      </c>
      <c r="AB64" s="28">
        <v>1</v>
      </c>
      <c r="AC64" t="s">
        <v>72</v>
      </c>
      <c r="AD64" s="35">
        <v>65960</v>
      </c>
      <c r="AE64" s="35">
        <v>65960</v>
      </c>
    </row>
    <row r="65" spans="1:31">
      <c r="A65" t="s">
        <v>115</v>
      </c>
      <c r="B65" t="s">
        <v>116</v>
      </c>
      <c r="C65" t="s">
        <v>117</v>
      </c>
      <c r="D65" t="s">
        <v>204</v>
      </c>
      <c r="E65" t="s">
        <v>572</v>
      </c>
      <c r="F65" t="s">
        <v>573</v>
      </c>
      <c r="G65" t="s">
        <v>165</v>
      </c>
      <c r="H65" t="s">
        <v>116</v>
      </c>
      <c r="I65" t="s">
        <v>205</v>
      </c>
      <c r="J65" t="s">
        <v>574</v>
      </c>
      <c r="K65" t="s">
        <v>66</v>
      </c>
      <c r="L65" t="s">
        <v>575</v>
      </c>
      <c r="M65" s="27">
        <v>45959.333333333343</v>
      </c>
      <c r="N65" s="27">
        <v>45960.56527777778</v>
      </c>
      <c r="O65" t="s">
        <v>166</v>
      </c>
      <c r="P65" t="s">
        <v>170</v>
      </c>
      <c r="Q65" t="s">
        <v>178</v>
      </c>
      <c r="R65" t="s">
        <v>179</v>
      </c>
      <c r="S65" t="s">
        <v>167</v>
      </c>
      <c r="T65" t="s">
        <v>167</v>
      </c>
      <c r="U65" t="s">
        <v>184</v>
      </c>
      <c r="V65" t="s">
        <v>576</v>
      </c>
      <c r="W65" t="s">
        <v>70</v>
      </c>
      <c r="X65" t="s">
        <v>577</v>
      </c>
      <c r="Y65" t="s">
        <v>11</v>
      </c>
      <c r="Z65" t="s">
        <v>71</v>
      </c>
      <c r="AA65" t="s">
        <v>146</v>
      </c>
      <c r="AB65" s="28">
        <v>1</v>
      </c>
      <c r="AC65" t="s">
        <v>72</v>
      </c>
      <c r="AD65" s="35">
        <v>144968</v>
      </c>
      <c r="AE65" s="35">
        <v>144968</v>
      </c>
    </row>
    <row r="66" spans="1:31">
      <c r="A66" t="s">
        <v>101</v>
      </c>
      <c r="B66" t="s">
        <v>79</v>
      </c>
      <c r="C66" t="s">
        <v>80</v>
      </c>
      <c r="D66" t="s">
        <v>105</v>
      </c>
      <c r="E66" t="s">
        <v>578</v>
      </c>
      <c r="F66" t="s">
        <v>236</v>
      </c>
      <c r="G66" t="s">
        <v>165</v>
      </c>
      <c r="H66" t="s">
        <v>106</v>
      </c>
      <c r="I66" t="s">
        <v>101</v>
      </c>
      <c r="J66" t="s">
        <v>237</v>
      </c>
      <c r="K66" t="s">
        <v>66</v>
      </c>
      <c r="L66" t="s">
        <v>579</v>
      </c>
      <c r="M66" s="27">
        <v>45960.42083333333</v>
      </c>
      <c r="N66" s="27">
        <v>45961.425000000003</v>
      </c>
      <c r="P66" t="s">
        <v>170</v>
      </c>
      <c r="Q66" t="s">
        <v>178</v>
      </c>
      <c r="R66" t="s">
        <v>179</v>
      </c>
      <c r="S66" t="s">
        <v>167</v>
      </c>
      <c r="T66" t="s">
        <v>167</v>
      </c>
      <c r="V66" t="s">
        <v>580</v>
      </c>
      <c r="W66" t="s">
        <v>190</v>
      </c>
      <c r="Y66" t="s">
        <v>8</v>
      </c>
      <c r="Z66" t="s">
        <v>71</v>
      </c>
      <c r="AA66" t="s">
        <v>107</v>
      </c>
      <c r="AB66" s="28">
        <v>0</v>
      </c>
      <c r="AC66" t="s">
        <v>72</v>
      </c>
      <c r="AD66" s="35">
        <v>41241</v>
      </c>
      <c r="AE66" s="35">
        <v>41241</v>
      </c>
    </row>
    <row r="67" spans="1:31">
      <c r="A67" t="s">
        <v>115</v>
      </c>
      <c r="B67" t="s">
        <v>116</v>
      </c>
      <c r="C67" t="s">
        <v>117</v>
      </c>
      <c r="D67" t="s">
        <v>119</v>
      </c>
      <c r="E67" t="s">
        <v>581</v>
      </c>
      <c r="F67" t="s">
        <v>506</v>
      </c>
      <c r="G67" t="s">
        <v>165</v>
      </c>
      <c r="H67" t="s">
        <v>116</v>
      </c>
      <c r="I67" t="s">
        <v>115</v>
      </c>
      <c r="J67" t="s">
        <v>507</v>
      </c>
      <c r="K67" t="s">
        <v>66</v>
      </c>
      <c r="L67" t="s">
        <v>582</v>
      </c>
      <c r="M67" s="27">
        <v>45960.42083333333</v>
      </c>
      <c r="N67" s="27">
        <v>45961.474305555559</v>
      </c>
      <c r="O67" t="s">
        <v>166</v>
      </c>
      <c r="P67" t="s">
        <v>170</v>
      </c>
      <c r="Q67" t="s">
        <v>178</v>
      </c>
      <c r="R67" t="s">
        <v>179</v>
      </c>
      <c r="S67" t="s">
        <v>67</v>
      </c>
      <c r="T67" t="s">
        <v>85</v>
      </c>
      <c r="U67" t="s">
        <v>69</v>
      </c>
      <c r="V67" t="s">
        <v>583</v>
      </c>
      <c r="W67" t="s">
        <v>70</v>
      </c>
      <c r="X67" t="s">
        <v>584</v>
      </c>
      <c r="Y67" t="s">
        <v>8</v>
      </c>
      <c r="Z67" t="s">
        <v>71</v>
      </c>
      <c r="AA67" t="s">
        <v>191</v>
      </c>
      <c r="AB67" s="28">
        <v>1</v>
      </c>
      <c r="AC67" t="s">
        <v>72</v>
      </c>
      <c r="AD67" s="35">
        <v>65960</v>
      </c>
      <c r="AE67" s="35">
        <v>65960</v>
      </c>
    </row>
    <row r="68" spans="1:31">
      <c r="A68" t="s">
        <v>129</v>
      </c>
      <c r="B68" t="s">
        <v>79</v>
      </c>
      <c r="C68" t="s">
        <v>80</v>
      </c>
      <c r="D68" t="s">
        <v>448</v>
      </c>
      <c r="E68" t="s">
        <v>585</v>
      </c>
      <c r="F68" t="s">
        <v>450</v>
      </c>
      <c r="G68" t="s">
        <v>165</v>
      </c>
      <c r="H68" t="s">
        <v>98</v>
      </c>
      <c r="I68" t="s">
        <v>129</v>
      </c>
      <c r="J68" t="s">
        <v>451</v>
      </c>
      <c r="K68" t="s">
        <v>66</v>
      </c>
      <c r="L68" t="s">
        <v>586</v>
      </c>
      <c r="M68" s="27">
        <v>45960.42083333333</v>
      </c>
      <c r="N68" s="27">
        <v>45961.476388888892</v>
      </c>
      <c r="O68" t="s">
        <v>166</v>
      </c>
      <c r="P68" t="s">
        <v>170</v>
      </c>
      <c r="Q68" t="s">
        <v>178</v>
      </c>
      <c r="R68" t="s">
        <v>179</v>
      </c>
      <c r="S68" t="s">
        <v>167</v>
      </c>
      <c r="T68" t="s">
        <v>167</v>
      </c>
      <c r="U68" t="s">
        <v>69</v>
      </c>
      <c r="V68" t="s">
        <v>587</v>
      </c>
      <c r="W68" t="s">
        <v>70</v>
      </c>
      <c r="X68" t="s">
        <v>454</v>
      </c>
      <c r="Y68" t="s">
        <v>8</v>
      </c>
      <c r="Z68" t="s">
        <v>71</v>
      </c>
      <c r="AA68" t="s">
        <v>154</v>
      </c>
      <c r="AB68" s="28">
        <v>1</v>
      </c>
      <c r="AC68" t="s">
        <v>72</v>
      </c>
      <c r="AD68" s="35">
        <v>65960</v>
      </c>
      <c r="AE68" s="35">
        <v>65960</v>
      </c>
    </row>
    <row r="69" spans="1:31">
      <c r="A69" t="s">
        <v>86</v>
      </c>
      <c r="B69" t="s">
        <v>87</v>
      </c>
      <c r="C69" t="s">
        <v>88</v>
      </c>
      <c r="D69" t="s">
        <v>127</v>
      </c>
      <c r="E69" t="s">
        <v>588</v>
      </c>
      <c r="F69" t="s">
        <v>589</v>
      </c>
      <c r="G69" t="s">
        <v>165</v>
      </c>
      <c r="H69" t="s">
        <v>90</v>
      </c>
      <c r="I69" t="s">
        <v>128</v>
      </c>
      <c r="J69" t="s">
        <v>590</v>
      </c>
      <c r="K69" t="s">
        <v>66</v>
      </c>
      <c r="L69" t="s">
        <v>591</v>
      </c>
      <c r="M69" s="27">
        <v>45960.42083333333</v>
      </c>
      <c r="N69" s="27">
        <v>45961.484722222223</v>
      </c>
      <c r="O69" t="s">
        <v>166</v>
      </c>
      <c r="P69" t="s">
        <v>170</v>
      </c>
      <c r="Q69" t="s">
        <v>178</v>
      </c>
      <c r="R69" t="s">
        <v>179</v>
      </c>
      <c r="S69" t="s">
        <v>67</v>
      </c>
      <c r="T69" t="s">
        <v>85</v>
      </c>
      <c r="U69" t="s">
        <v>69</v>
      </c>
      <c r="V69" t="s">
        <v>592</v>
      </c>
      <c r="W69" t="s">
        <v>70</v>
      </c>
      <c r="X69" t="s">
        <v>593</v>
      </c>
      <c r="Y69" t="s">
        <v>8</v>
      </c>
      <c r="Z69" t="s">
        <v>71</v>
      </c>
      <c r="AA69" t="s">
        <v>114</v>
      </c>
      <c r="AB69" s="28">
        <v>1</v>
      </c>
      <c r="AC69" t="s">
        <v>72</v>
      </c>
      <c r="AD69" s="35">
        <v>65960</v>
      </c>
      <c r="AE69" s="35">
        <v>65960</v>
      </c>
    </row>
    <row r="70" spans="1:31">
      <c r="A70" t="s">
        <v>86</v>
      </c>
      <c r="B70" t="s">
        <v>87</v>
      </c>
      <c r="C70" t="s">
        <v>88</v>
      </c>
      <c r="D70" t="s">
        <v>96</v>
      </c>
      <c r="E70" t="s">
        <v>594</v>
      </c>
      <c r="F70" t="s">
        <v>595</v>
      </c>
      <c r="G70" t="s">
        <v>165</v>
      </c>
      <c r="H70" t="s">
        <v>90</v>
      </c>
      <c r="I70" t="s">
        <v>97</v>
      </c>
      <c r="J70" t="s">
        <v>596</v>
      </c>
      <c r="K70" t="s">
        <v>66</v>
      </c>
      <c r="L70" t="s">
        <v>597</v>
      </c>
      <c r="M70" s="27">
        <v>45960.42083333333</v>
      </c>
      <c r="N70" s="27">
        <v>45961.38958333333</v>
      </c>
      <c r="O70" t="s">
        <v>166</v>
      </c>
      <c r="P70" t="s">
        <v>170</v>
      </c>
      <c r="Q70" t="s">
        <v>178</v>
      </c>
      <c r="R70" t="s">
        <v>179</v>
      </c>
      <c r="S70" t="s">
        <v>67</v>
      </c>
      <c r="T70" t="s">
        <v>85</v>
      </c>
      <c r="U70" t="s">
        <v>69</v>
      </c>
      <c r="V70" t="s">
        <v>598</v>
      </c>
      <c r="W70" t="s">
        <v>70</v>
      </c>
      <c r="X70" t="s">
        <v>599</v>
      </c>
      <c r="Y70" t="s">
        <v>8</v>
      </c>
      <c r="Z70" t="s">
        <v>71</v>
      </c>
      <c r="AA70" t="s">
        <v>114</v>
      </c>
      <c r="AB70" s="28">
        <v>1</v>
      </c>
      <c r="AC70" t="s">
        <v>72</v>
      </c>
      <c r="AD70" s="35">
        <v>65960</v>
      </c>
      <c r="AE70" s="35">
        <v>65960</v>
      </c>
    </row>
    <row r="71" spans="1:31">
      <c r="A71" t="s">
        <v>86</v>
      </c>
      <c r="B71" t="s">
        <v>87</v>
      </c>
      <c r="C71" t="s">
        <v>88</v>
      </c>
      <c r="D71" t="s">
        <v>127</v>
      </c>
      <c r="E71" t="s">
        <v>600</v>
      </c>
      <c r="F71" t="s">
        <v>601</v>
      </c>
      <c r="G71" t="s">
        <v>165</v>
      </c>
      <c r="H71" t="s">
        <v>90</v>
      </c>
      <c r="I71" t="s">
        <v>128</v>
      </c>
      <c r="J71" t="s">
        <v>602</v>
      </c>
      <c r="K71" t="s">
        <v>66</v>
      </c>
      <c r="L71" t="s">
        <v>603</v>
      </c>
      <c r="M71" s="27">
        <v>45960.672222222223</v>
      </c>
      <c r="N71" s="27">
        <v>45961.486805555563</v>
      </c>
      <c r="O71" t="s">
        <v>166</v>
      </c>
      <c r="P71" t="s">
        <v>170</v>
      </c>
      <c r="Q71" t="s">
        <v>178</v>
      </c>
      <c r="R71" t="s">
        <v>179</v>
      </c>
      <c r="S71" t="s">
        <v>143</v>
      </c>
      <c r="T71" t="s">
        <v>145</v>
      </c>
      <c r="U71" t="s">
        <v>69</v>
      </c>
      <c r="V71" t="s">
        <v>604</v>
      </c>
      <c r="W71" t="s">
        <v>70</v>
      </c>
      <c r="X71" t="s">
        <v>605</v>
      </c>
      <c r="Y71" t="s">
        <v>8</v>
      </c>
      <c r="Z71" t="s">
        <v>71</v>
      </c>
      <c r="AA71" t="s">
        <v>114</v>
      </c>
      <c r="AB71" s="28">
        <v>1</v>
      </c>
      <c r="AC71" t="s">
        <v>72</v>
      </c>
      <c r="AD71" s="35">
        <v>65960</v>
      </c>
      <c r="AE71" s="35">
        <v>65960</v>
      </c>
    </row>
    <row r="72" spans="1:31">
      <c r="A72" t="s">
        <v>115</v>
      </c>
      <c r="B72" t="s">
        <v>116</v>
      </c>
      <c r="C72" t="s">
        <v>117</v>
      </c>
      <c r="D72" t="s">
        <v>119</v>
      </c>
      <c r="E72" t="s">
        <v>606</v>
      </c>
      <c r="F72" t="s">
        <v>607</v>
      </c>
      <c r="G72" t="s">
        <v>165</v>
      </c>
      <c r="H72" t="s">
        <v>116</v>
      </c>
      <c r="I72" t="s">
        <v>115</v>
      </c>
      <c r="J72" t="s">
        <v>608</v>
      </c>
      <c r="K72" t="s">
        <v>66</v>
      </c>
      <c r="L72" t="s">
        <v>609</v>
      </c>
      <c r="M72" s="27">
        <v>45960.677083333343</v>
      </c>
      <c r="N72" s="27">
        <v>45961.506944444453</v>
      </c>
      <c r="O72" t="s">
        <v>166</v>
      </c>
      <c r="P72" t="s">
        <v>170</v>
      </c>
      <c r="Q72" t="s">
        <v>178</v>
      </c>
      <c r="R72" t="s">
        <v>179</v>
      </c>
      <c r="S72" t="s">
        <v>167</v>
      </c>
      <c r="T72" t="s">
        <v>167</v>
      </c>
      <c r="U72" t="s">
        <v>69</v>
      </c>
      <c r="V72" t="s">
        <v>610</v>
      </c>
      <c r="W72" t="s">
        <v>70</v>
      </c>
      <c r="X72" t="s">
        <v>611</v>
      </c>
      <c r="Y72" t="s">
        <v>8</v>
      </c>
      <c r="Z72" t="s">
        <v>71</v>
      </c>
      <c r="AA72" t="s">
        <v>612</v>
      </c>
      <c r="AB72" s="28">
        <v>1</v>
      </c>
      <c r="AC72" t="s">
        <v>72</v>
      </c>
      <c r="AD72" s="35">
        <v>65960</v>
      </c>
      <c r="AE72" s="35">
        <v>65960</v>
      </c>
    </row>
    <row r="73" spans="1:31">
      <c r="A73" t="s">
        <v>115</v>
      </c>
      <c r="B73" t="s">
        <v>116</v>
      </c>
      <c r="C73" t="s">
        <v>117</v>
      </c>
      <c r="D73" t="s">
        <v>119</v>
      </c>
      <c r="E73" t="s">
        <v>613</v>
      </c>
      <c r="F73" t="s">
        <v>252</v>
      </c>
      <c r="G73" t="s">
        <v>165</v>
      </c>
      <c r="H73" t="s">
        <v>116</v>
      </c>
      <c r="I73" t="s">
        <v>115</v>
      </c>
      <c r="J73" t="s">
        <v>253</v>
      </c>
      <c r="K73" t="s">
        <v>66</v>
      </c>
      <c r="L73" t="s">
        <v>614</v>
      </c>
      <c r="M73" s="27">
        <v>45961.525000000001</v>
      </c>
      <c r="N73" s="27">
        <v>45961.686111111107</v>
      </c>
      <c r="O73" t="s">
        <v>166</v>
      </c>
      <c r="P73" t="s">
        <v>170</v>
      </c>
      <c r="Q73" t="s">
        <v>178</v>
      </c>
      <c r="R73" t="s">
        <v>179</v>
      </c>
      <c r="S73" t="s">
        <v>143</v>
      </c>
      <c r="T73" t="s">
        <v>145</v>
      </c>
      <c r="U73" t="s">
        <v>69</v>
      </c>
      <c r="V73" t="s">
        <v>615</v>
      </c>
      <c r="W73" t="s">
        <v>70</v>
      </c>
      <c r="X73" t="s">
        <v>423</v>
      </c>
      <c r="Y73" t="s">
        <v>8</v>
      </c>
      <c r="Z73" t="s">
        <v>71</v>
      </c>
      <c r="AA73" t="s">
        <v>120</v>
      </c>
      <c r="AB73" s="28">
        <v>1</v>
      </c>
      <c r="AC73" t="s">
        <v>72</v>
      </c>
      <c r="AD73" s="35">
        <v>65960</v>
      </c>
      <c r="AE73" s="35">
        <v>65960</v>
      </c>
    </row>
    <row r="74" spans="1:31">
      <c r="A74" t="s">
        <v>86</v>
      </c>
      <c r="B74" t="s">
        <v>87</v>
      </c>
      <c r="C74" t="s">
        <v>88</v>
      </c>
      <c r="D74" t="s">
        <v>89</v>
      </c>
      <c r="E74" t="s">
        <v>616</v>
      </c>
      <c r="F74" t="s">
        <v>617</v>
      </c>
      <c r="G74" t="s">
        <v>165</v>
      </c>
      <c r="H74" t="s">
        <v>90</v>
      </c>
      <c r="I74" t="s">
        <v>86</v>
      </c>
      <c r="J74" t="s">
        <v>618</v>
      </c>
      <c r="K74" t="s">
        <v>66</v>
      </c>
      <c r="L74" t="s">
        <v>619</v>
      </c>
      <c r="M74" s="27">
        <v>45961.532638888893</v>
      </c>
      <c r="N74" s="27">
        <v>45961.712500000001</v>
      </c>
      <c r="O74" t="s">
        <v>166</v>
      </c>
      <c r="P74" t="s">
        <v>170</v>
      </c>
      <c r="Q74" t="s">
        <v>178</v>
      </c>
      <c r="R74" t="s">
        <v>179</v>
      </c>
      <c r="S74" t="s">
        <v>168</v>
      </c>
      <c r="T74" t="s">
        <v>171</v>
      </c>
      <c r="U74" t="s">
        <v>69</v>
      </c>
      <c r="V74" t="s">
        <v>620</v>
      </c>
      <c r="W74" t="s">
        <v>70</v>
      </c>
      <c r="X74" t="s">
        <v>395</v>
      </c>
      <c r="Y74" t="s">
        <v>8</v>
      </c>
      <c r="Z74" t="s">
        <v>71</v>
      </c>
      <c r="AA74" t="s">
        <v>99</v>
      </c>
      <c r="AB74" s="28">
        <v>1</v>
      </c>
      <c r="AC74" t="s">
        <v>72</v>
      </c>
      <c r="AD74" s="35">
        <v>65960</v>
      </c>
      <c r="AE74" s="35">
        <v>65960</v>
      </c>
    </row>
    <row r="75" spans="1:31">
      <c r="AE75" s="36">
        <f>SUM(AE2:AE74)</f>
        <v>6943892</v>
      </c>
    </row>
  </sheetData>
  <autoFilter ref="A1:AE75" xr:uid="{00000000-0001-0000-0300-000000000000}"/>
  <conditionalFormatting sqref="E1:E1048576">
    <cfRule type="duplicateValues" dxfId="0" priority="2"/>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A8736163078B46BA45051ACB50C0B2" ma:contentTypeVersion="16" ma:contentTypeDescription="Crear nuevo documento." ma:contentTypeScope="" ma:versionID="3688f3dae372e14fc0065b8deaede2af">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6be92bc8077a6e15648bc8fb56071b5e"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49802C-70BC-4D10-B770-EC509E0BCD83}"/>
</file>

<file path=customXml/itemProps2.xml><?xml version="1.0" encoding="utf-8"?>
<ds:datastoreItem xmlns:ds="http://schemas.openxmlformats.org/officeDocument/2006/customXml" ds:itemID="{3280ED90-F5DB-41F5-9259-4E0A0529C226}"/>
</file>

<file path=customXml/itemProps3.xml><?xml version="1.0" encoding="utf-8"?>
<ds:datastoreItem xmlns:ds="http://schemas.openxmlformats.org/officeDocument/2006/customXml" ds:itemID="{ABC27F02-6E4D-462D-B43A-9934F82E6D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BASE LIQUIDACION REDEBAN 2025</vt:lpstr>
      <vt:lpstr>RESUMEN LIQUIDACION</vt:lpstr>
      <vt:lpstr>INCIDENTES_BANCOLOMBIA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Lini Jhojana Hernandez Mora</cp:lastModifiedBy>
  <dcterms:created xsi:type="dcterms:W3CDTF">2013-02-12T15:31:03Z</dcterms:created>
  <dcterms:modified xsi:type="dcterms:W3CDTF">2025-11-05T07:44:24Z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0x010100C0A8736163078B46BA45051ACB50C0B2</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