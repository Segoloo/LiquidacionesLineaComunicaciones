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0.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C:\Users\Lini Hernández\Downloads\"/>
    </mc:Choice>
  </mc:AlternateContent>
  <xr:revisionPtr revIDLastSave="0" documentId="13_ncr:1_{4BF0DA2D-F6C4-44A1-BCB1-1D7469EAC011}" xr6:coauthVersionLast="47" xr6:coauthVersionMax="47" xr10:uidLastSave="{00000000-0000-0000-0000-000000000000}"/>
  <bookViews>
    <workbookView xWindow="-108" yWindow="-108" windowWidth="23256" windowHeight="12456" tabRatio="903" firstSheet="2" activeTab="3" xr2:uid="{00000000-000D-0000-FFFF-FFFF00000000}"/>
  </bookViews>
  <sheets>
    <sheet name="BASE FACTURACION 2025" sheetId="1" state="hidden" r:id="rId1"/>
    <sheet name="CENTRO DE COSTOS" sheetId="2" state="hidden" r:id="rId2"/>
    <sheet name="CAPACITACIONES_APERTURAS" sheetId="3" r:id="rId3"/>
    <sheet name="RESUMEN LIQUIDACIÓN" sheetId="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xlnm._FilterDatabase" localSheetId="2" hidden="1">CAPACITACIONES_APERTURAS!$A$1:$AB$167</definedName>
    <definedName name="_xlnm._FilterDatabase" localSheetId="1" hidden="1">'CENTRO DE COSTOS'!$A$1:$D$23</definedName>
    <definedName name="A" localSheetId="1">#REF!</definedName>
    <definedName name="A">#REF!</definedName>
    <definedName name="ACTIVIDAD" localSheetId="1">[1]Hoja2!$P$2:$P$30</definedName>
    <definedName name="Actividad">[2]Formulas!$H$2:$H$5000</definedName>
    <definedName name="Analistas">'[3]Listas Desplegables'!$T$2:$T$7</definedName>
    <definedName name="arearesponsable">'[4]Listas desplegables'!$BB$2:$BB$100</definedName>
    <definedName name="CCO" localSheetId="1">[5]Tecnicos!$A$2:$A$1000</definedName>
    <definedName name="CCO">[6]Tecnicos!$A$2:$A$1000</definedName>
    <definedName name="Clientes" localSheetId="1">[7]Clientes!$A$2:$A$100</definedName>
    <definedName name="Clientes">[2]Clientes!$A$2:$A$100</definedName>
    <definedName name="COORDINADOR">[1]Hoja2!$D$2:$D$30</definedName>
    <definedName name="Coordinadores" localSheetId="1">[8]Coordinadores!$A$2:$A$1000</definedName>
    <definedName name="Coordinadores">[2]Coordinadores!$A$2:$A$1000</definedName>
    <definedName name="DOCUMENTADOR">[1]Hoja2!$A$2:$A$30</definedName>
    <definedName name="ES">[1]Hoja2!$K$2:$K$30</definedName>
    <definedName name="ESS">[1]Hoja2!$K$2:$K$30</definedName>
    <definedName name="Estado" localSheetId="1">[7]Formulas!$K$2:$K$5000</definedName>
    <definedName name="Estado">[2]Formulas!$K$2:$K$5000</definedName>
    <definedName name="ESTADOACTIVIDAD">[1]Hoja2!$M$2:$M$30</definedName>
    <definedName name="ESTADOS" localSheetId="1">'[9]Listas desplegables'!$B$1:$D$1</definedName>
    <definedName name="ESTADOS">'[10]Listas desplegables'!$B$1:$D$1</definedName>
    <definedName name="ESTADOSCIERRES">'[11]lista desplegable'!$CX$1:$DA$1</definedName>
    <definedName name="Facturacion">'[12]Listas desplegables'!$AO$1:$AR$1</definedName>
    <definedName name="FACTURACIÓN" localSheetId="1">'[9]Listas desplegables'!$Y$1:$AB$1</definedName>
    <definedName name="FACTURACIÓN">'[10]Listas desplegables'!$Y$1:$AB$1</definedName>
    <definedName name="falla">#REF!</definedName>
    <definedName name="Fallas" localSheetId="1">'[13]Listas desplegables'!$F$2:$L$2</definedName>
    <definedName name="Fallas">'[14]Listas desplegables'!$F$2:$L$2</definedName>
    <definedName name="Grupo_Falla" localSheetId="1">'[15]Listas Desplegables'!$CH$2:$CH$5</definedName>
    <definedName name="Grupo_Falla">'[16]Listas Desplegables'!$CH$2:$CH$5</definedName>
    <definedName name="inconservmanager" localSheetId="1">'[17]Listas desplegables'!$BC$2:$BC$100</definedName>
    <definedName name="inconservmanager">'[4]Listas desplegables'!$BC$2:$BC$100</definedName>
    <definedName name="INCUMPLIMIENTO" localSheetId="1">'[4]Listas desplegables'!$AK$1:$AN$1</definedName>
    <definedName name="INCUMPLIMIENTO">'[18]Listas desplegables'!$AT$1:$AX$1</definedName>
    <definedName name="LISTA" localSheetId="1">[19]Dptos!$A$1139:$A$1171</definedName>
    <definedName name="LISTA">[19]Dptos!$A$1139:$A$1171</definedName>
    <definedName name="LISTA2" localSheetId="1">#REF!</definedName>
    <definedName name="LISTA2">[20]Hoja3!$A$1:$A$26</definedName>
    <definedName name="LOLO">[21]Coordinadores!$A$2:$A$1000</definedName>
    <definedName name="solicitudes" localSheetId="1">'[12]Listas desplegables'!$U$1:$AF$1</definedName>
    <definedName name="solicitudes">'[22]Listas desplegables'!$U$1:$AF$1</definedName>
    <definedName name="Tecnicos" localSheetId="1">[7]Tecnicos!$A$2:$A$1000</definedName>
    <definedName name="Tecnicos">[2]Tecnicos!$A$2:$A$1000</definedName>
    <definedName name="Version" localSheetId="1">[23]Formulas!$I$2:$I$3</definedName>
    <definedName name="Version">[2]Formulas!$I$2:$I$3</definedName>
  </definedNames>
  <calcPr calcId="191029"/>
</workbook>
</file>

<file path=xl/calcChain.xml><?xml version="1.0" encoding="utf-8"?>
<calcChain xmlns="http://schemas.openxmlformats.org/spreadsheetml/2006/main">
  <c r="F2" i="4" l="1"/>
  <c r="F4" i="4" s="1"/>
  <c r="H3" i="4"/>
  <c r="I3" i="4" s="1"/>
  <c r="A3" i="4"/>
  <c r="H2" i="4" l="1"/>
  <c r="AB168" i="3"/>
  <c r="H4" i="4" l="1"/>
  <c r="I2" i="4"/>
  <c r="I4" i="4" s="1"/>
  <c r="D17" i="1"/>
  <c r="C17" i="1"/>
  <c r="D16" i="1"/>
  <c r="C16" i="1"/>
  <c r="D15" i="1"/>
  <c r="C15" i="1"/>
  <c r="D14" i="1"/>
  <c r="C14" i="1"/>
  <c r="D13" i="1"/>
  <c r="C13" i="1"/>
  <c r="F7" i="1"/>
  <c r="E7" i="1"/>
  <c r="D7" i="1"/>
  <c r="C7" i="1"/>
  <c r="F6" i="1"/>
  <c r="E6" i="1"/>
  <c r="D6" i="1"/>
  <c r="C6" i="1"/>
  <c r="F5" i="1"/>
  <c r="E5" i="1"/>
  <c r="D5" i="1"/>
  <c r="C5" i="1"/>
  <c r="F4" i="1"/>
  <c r="E4" i="1"/>
  <c r="D4" i="1"/>
  <c r="C4" i="1"/>
  <c r="F3" i="1"/>
  <c r="E3" i="1"/>
  <c r="D3" i="1"/>
  <c r="C3" i="1"/>
</calcChain>
</file>

<file path=xl/sharedStrings.xml><?xml version="1.0" encoding="utf-8"?>
<sst xmlns="http://schemas.openxmlformats.org/spreadsheetml/2006/main" count="3828" uniqueCount="1358">
  <si>
    <t>Incidentes, Aperturas y Gestion de campo 2025</t>
  </si>
  <si>
    <t>Incremento 2025</t>
  </si>
  <si>
    <t xml:space="preserve">Tipificación </t>
  </si>
  <si>
    <t>Descripción</t>
  </si>
  <si>
    <t>Capacitacion - Apertura</t>
  </si>
  <si>
    <t xml:space="preserve">Capacitacion OC  </t>
  </si>
  <si>
    <t>Gestión Telefónica</t>
  </si>
  <si>
    <t>Capacitación especifica Cambio de red</t>
  </si>
  <si>
    <t>Tipo I</t>
  </si>
  <si>
    <t>Metropolitano</t>
  </si>
  <si>
    <t>Tipo II</t>
  </si>
  <si>
    <t>Hasta 3 horas</t>
  </si>
  <si>
    <t>Tipo III</t>
  </si>
  <si>
    <t>De 3 a 5 horas</t>
  </si>
  <si>
    <t>Tipo IV</t>
  </si>
  <si>
    <t>Más de 5 horas</t>
  </si>
  <si>
    <t>Destino Aereo*</t>
  </si>
  <si>
    <t>Viajes en Avión</t>
  </si>
  <si>
    <t xml:space="preserve">* Tener presente que se cobrara el valor del tiquete de avion mas un porcentaje </t>
  </si>
  <si>
    <t>**Para  la capacitacion de datafono adicional se cobrara la mitad de una actividad normal, para este caso $70.053</t>
  </si>
  <si>
    <t>TARIFAS 2025</t>
  </si>
  <si>
    <t>Dia actividad Exitosa</t>
  </si>
  <si>
    <t>Dia actividad Fallida</t>
  </si>
  <si>
    <t>Destino aereo</t>
  </si>
  <si>
    <t>No incluye valor del Tiquete</t>
  </si>
  <si>
    <t>*Donde se requiera transporte aéreo o fluvial se factura adicional a tarifa TIPO IV el valor del tiquete + el 12% de admon.</t>
  </si>
  <si>
    <t>CIUDAD</t>
  </si>
  <si>
    <t>CENTRO_COSTO</t>
  </si>
  <si>
    <t>DESCRIPCION</t>
  </si>
  <si>
    <t>COORDINADOR</t>
  </si>
  <si>
    <t>APARTADO</t>
  </si>
  <si>
    <t>0004-0005</t>
  </si>
  <si>
    <t>Redeban Noroccidente (Medellín)</t>
  </si>
  <si>
    <t>JUAN SEBASTIÁN RÍOS CASTRILLÓN</t>
  </si>
  <si>
    <t>BARRANQUILLA</t>
  </si>
  <si>
    <t>0004-0001</t>
  </si>
  <si>
    <t>Redeban Costa (Barranqullla)</t>
  </si>
  <si>
    <t>JOSE MAURICIO HERNANDEZ ROJAS</t>
  </si>
  <si>
    <t>BOGOTA</t>
  </si>
  <si>
    <t>0004-0004</t>
  </si>
  <si>
    <t>Redeban Centro ( Bogotá)</t>
  </si>
  <si>
    <t>WILLIAM ASDRUBAL ROZO ROZO</t>
  </si>
  <si>
    <t>BUCARAMANGA</t>
  </si>
  <si>
    <t>0004-0008</t>
  </si>
  <si>
    <t>Redeban Santander</t>
  </si>
  <si>
    <t>MIGUEL JULIÁN HERNÁNDEZ GUARÍN</t>
  </si>
  <si>
    <t>CALI</t>
  </si>
  <si>
    <t>0004-0003</t>
  </si>
  <si>
    <t>Redeban Suroccidente (Cali)</t>
  </si>
  <si>
    <t>DIEGO FERNANDO HENAO CARDONA</t>
  </si>
  <si>
    <t>CARTAGENA</t>
  </si>
  <si>
    <t>CUCUTA</t>
  </si>
  <si>
    <t>FLORENCIA</t>
  </si>
  <si>
    <t>0004-0007</t>
  </si>
  <si>
    <t>Redeban Oriente (Otros)</t>
  </si>
  <si>
    <t>KEVIN ALEXIS CORZO BUSTOS</t>
  </si>
  <si>
    <t>IBAGUE</t>
  </si>
  <si>
    <t>MANIZALES</t>
  </si>
  <si>
    <t>0004-0002</t>
  </si>
  <si>
    <t>Redeban Eje Cafetero (Pereira)</t>
  </si>
  <si>
    <t>MEDELLIN</t>
  </si>
  <si>
    <t>MONTERIA</t>
  </si>
  <si>
    <t>NEIVA</t>
  </si>
  <si>
    <t>PASTO</t>
  </si>
  <si>
    <t>PEREIRA</t>
  </si>
  <si>
    <t>POPAYAN</t>
  </si>
  <si>
    <t>SANTA MARTA</t>
  </si>
  <si>
    <t>SINCELEJO</t>
  </si>
  <si>
    <t>TUNJA</t>
  </si>
  <si>
    <t>VALLEDUPAR</t>
  </si>
  <si>
    <t>VILLAVICENCIO</t>
  </si>
  <si>
    <t>YOPAL</t>
  </si>
  <si>
    <t>CIUDAD SEDE</t>
  </si>
  <si>
    <t>ZONA</t>
  </si>
  <si>
    <t>CENTRO DE COSTOS LINEACOM</t>
  </si>
  <si>
    <t>CODIGO DANE</t>
  </si>
  <si>
    <t>TA/CODIGO ACTIVIDAD</t>
  </si>
  <si>
    <t>CODIGO CB</t>
  </si>
  <si>
    <t>ACTIVIDAD</t>
  </si>
  <si>
    <t>TIPO DE APERTURA</t>
  </si>
  <si>
    <t>DEPARTAMENTO</t>
  </si>
  <si>
    <t xml:space="preserve">NOMBRE  DEL CB </t>
  </si>
  <si>
    <t>RED</t>
  </si>
  <si>
    <t>FO</t>
  </si>
  <si>
    <t>FECHA LISTA</t>
  </si>
  <si>
    <t>FECHA ULTIMA ACTUALIZACION</t>
  </si>
  <si>
    <t>FORMATO</t>
  </si>
  <si>
    <t>CADENA</t>
  </si>
  <si>
    <t>ESTADO</t>
  </si>
  <si>
    <t>OBSERVACIONES CLIENTE</t>
  </si>
  <si>
    <t>FORMA DE ATENCION</t>
  </si>
  <si>
    <t>TERMINAL(ES)</t>
  </si>
  <si>
    <t>TIPIFICACION</t>
  </si>
  <si>
    <t>TIPO DE TRAYECTO</t>
  </si>
  <si>
    <t xml:space="preserve">NOMBRE DEL TECNICO </t>
  </si>
  <si>
    <t>CAPACITACION COMPLETA</t>
  </si>
  <si>
    <t>CAPACITACION ESPECIFICA</t>
  </si>
  <si>
    <t>VALOR DIAS ACTIVIDAD FACTURABLES</t>
  </si>
  <si>
    <t>VALOR TOTAL</t>
  </si>
  <si>
    <t>SUROCCIDENTE Y EJE CAFETERO</t>
  </si>
  <si>
    <t>86320</t>
  </si>
  <si>
    <t>TA-25-1145855</t>
  </si>
  <si>
    <t>3007081670</t>
  </si>
  <si>
    <t>APERTURA</t>
  </si>
  <si>
    <t>CB CRECIMIENTO ALIANZA - NUEVO</t>
  </si>
  <si>
    <t>PUTUMAYO</t>
  </si>
  <si>
    <t>ORITO</t>
  </si>
  <si>
    <t>DISTRICOL BOUTIQUEMISANGELITOS</t>
  </si>
  <si>
    <t>REDEBAN</t>
  </si>
  <si>
    <t>FO-25-1577742</t>
  </si>
  <si>
    <t>AGREGADOR</t>
  </si>
  <si>
    <t>DISTRICOL</t>
  </si>
  <si>
    <t>EJECUTADO</t>
  </si>
  <si>
    <t>24/09/2025 24-09 PROGRAMACIÓN REALIZADA POR LA ALIANZA | 29/09/2025 SE ESPERA REALIZAR INSTALACIÓN EL MIÉRCOLES EN LA JORNADA DE LA TARDE YA QUE HAY VARIAS ACTIVIDADES EN LA ZONA | 01/10/2025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</si>
  <si>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VISITA TECNICA</t>
  </si>
  <si>
    <t>FWZZZ496</t>
  </si>
  <si>
    <t>TIPO IV</t>
  </si>
  <si>
    <t>TERRESTRE</t>
  </si>
  <si>
    <t>CASTILLO HERRERA ALEX RICARDO</t>
  </si>
  <si>
    <t>86568</t>
  </si>
  <si>
    <t>TA-25-1145861</t>
  </si>
  <si>
    <t>3007081675</t>
  </si>
  <si>
    <t>PUERTO ASIS</t>
  </si>
  <si>
    <t>DISTRICOL SOCCER LAGUNA</t>
  </si>
  <si>
    <t>FO-25-1577748</t>
  </si>
  <si>
    <t>24/09/2025 24-09 PROGRAMACIÓN REALIZADA POR LA ALIANZA | 30/09/2025 NO SE LOGRA LLEGAR AL DESTINO EL DIA DE HOY POR PROBLEMAS EN LAS VIAS, SE LLEGARA EL DIA DE MAÑANA PARA ATENCION DE ACTIVIDADES | 01/10/2025 SE VISITO EL COMERCIO PARA DAR APERTURA AL CB, SE INSTALA DATAFONO CON LECTORA BASE Y MAGIC BOX, SE INSTALA PUBLICIDAD Y SE ENTREGA ROLLOS, SE CAPACITA OK, PRUEBAS OK EXCEPTO RECAUDO POR NO TENER ELEMENTOS PARA HACERLA, SOMOS BANCOLOMBIA OK, CB OPERATIVO</t>
  </si>
  <si>
    <t>FWZZZ497</t>
  </si>
  <si>
    <t>GUERRERO RAMIREZ OSCAR DARIO</t>
  </si>
  <si>
    <t>TA-25-1145865</t>
  </si>
  <si>
    <t>3007081677</t>
  </si>
  <si>
    <t>DISTRICOL DROGUERIA SANTANA</t>
  </si>
  <si>
    <t>FO-25-1577752</t>
  </si>
  <si>
    <t>24/09/2025 24-09 PROGRAMACIÓN REALIZADA POR LA ALIANZA | 30/09/2025 NO SE LOGRA LLEGAR EL DIA DE HOY AL DESTINO POR PROBLEMAS EN LA VIA, SE LLEGARA AL SITIO EL DIA DE MAÑANA PARA ATENCION DE ACTIVIDADES
. | 02/10/2025 SE VISITO EL COMERCIO PARA DAR APERTURA AL CB, SE INSTALA DATAFONO CON LECTORA BASE Y MAGIC BOX, SE INSTALA PUBLICIDAD Y SE ENTREGA ROLLOS, SE CAPACITA OK, PRUEBAS OK EXCEPTO RECAUDO POR NO TENER ELEMENTOS PARA HACERLA, SOMOS BANCOLOMBIA OK, CB OPERATIVO</t>
  </si>
  <si>
    <t>FWZZZ498</t>
  </si>
  <si>
    <t>86757</t>
  </si>
  <si>
    <t>TA-25-1145899</t>
  </si>
  <si>
    <t>3007081680</t>
  </si>
  <si>
    <t>SAN MIGUEL</t>
  </si>
  <si>
    <t>DISTRICOL MI PAPALERIA MP</t>
  </si>
  <si>
    <t>FO-25-1577762</t>
  </si>
  <si>
    <t>24/09/2025 24-09 PROGRAMACIÓN REALIZADA POR LA ALIANZA | 29/09/2025 ACTIVIDAD SE REALIZARÁ EL DÍA MIÉRCOLES DEBIDO YA QUE EL TRAYECTO ES DE MÁS DE 9 HORAS DESDE LA CIUDAD DE PASTO | 01/10/2025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</si>
  <si>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FWZZZ500</t>
  </si>
  <si>
    <t>COSTA</t>
  </si>
  <si>
    <t>BOLIVAR</t>
  </si>
  <si>
    <t>TIPO I</t>
  </si>
  <si>
    <t>REMOTAS</t>
  </si>
  <si>
    <t>18001</t>
  </si>
  <si>
    <t>TA-25-1157218</t>
  </si>
  <si>
    <t>3007081709</t>
  </si>
  <si>
    <t>CAQUETA</t>
  </si>
  <si>
    <t>DISTRICOL CILEA A&amp;V</t>
  </si>
  <si>
    <t>FO-25-1598630</t>
  </si>
  <si>
    <t>29/09/2025 29-09 PROGRAMACIÓN REALIZADA POR LA ALIANZA | 01/10/2025 SE REALIZA INSTALACIÓN DE DATAFONO LECTORA BASE FUENTE DE PODER CABLE DE RED SE ENTREGAN 40 ROLLOS RBM SE INSTALA AVISO EXTERIOR Y PUBLICIDAD SE CAPACITA EN CB Y SOMOS BANCOLOMBIA TIENE CREADO EL USUARIO SOMOS BANCOLOMBIA PRUEBAS CB OK SE DEJA OPERATIVO</t>
  </si>
  <si>
    <t>FYZZZ187</t>
  </si>
  <si>
    <t>BERMUDEZ SANCHEZ JOSE NEYBER</t>
  </si>
  <si>
    <t>18150</t>
  </si>
  <si>
    <t>TA-25-1157223</t>
  </si>
  <si>
    <t>3007081706</t>
  </si>
  <si>
    <t>CARTAGENA DEL CHAIRA</t>
  </si>
  <si>
    <t>DISTRICOL ANGELA’S BOUTIQUE</t>
  </si>
  <si>
    <t>FO-25-1598635</t>
  </si>
  <si>
    <t>29/09/2025 29-09 PROGRAMACIÓN REALIZADA POR LA ALIANZA | 03/10/2025 SE REALIZA INSTALACIÓN DE DATÁFONO LECTORA BASE FUENTE DE PODER CABLE DE RED SE ENTREGAN 40 ROLLOS RBM SE INSTALA AVISO EXTERIOR Y PUBLICIDAD SE CAPACITA EN CB Y SOMOS BANCOLOMBIA TIENE CREADO EL USUARIO SOMOS BANCOLOMBIA PRUEBAS CB OK SE DEJA OPERATIVO</t>
  </si>
  <si>
    <t>FYZZZ188</t>
  </si>
  <si>
    <t>TIPO V</t>
  </si>
  <si>
    <t>52227</t>
  </si>
  <si>
    <t>TA-25-1157227</t>
  </si>
  <si>
    <t>3007081708</t>
  </si>
  <si>
    <t>NARIÑO</t>
  </si>
  <si>
    <t>CUMBAL</t>
  </si>
  <si>
    <t>DISTRICOL MEGANET PANAN</t>
  </si>
  <si>
    <t>FO-25-1598652</t>
  </si>
  <si>
    <t>29/09/2025 29-09 PROGRAMACIÓN REALIZADA POR LA ALIANZA | 01/10/2025 SE REALIZÓ LA INSTALACIÓN DE EQUIPOS PUBLICIDAD Y ACCESORIOS PARA APERTURA CB BANCOLOMBIA SE DIO CAPACITACIÓN MANEJO DE DATÁFONO CB Y SOMOS BANCOLOMBIA SE EJECUTAN PRUEBAS TX EXITOSAS QUEDA OPERATIVO</t>
  </si>
  <si>
    <t>FYZZZ191</t>
  </si>
  <si>
    <t>TIPO III</t>
  </si>
  <si>
    <t>REMICIO AMADO JOHN HEBER</t>
  </si>
  <si>
    <t>SANTANDERES</t>
  </si>
  <si>
    <t>54498</t>
  </si>
  <si>
    <t>TA-25-1157229</t>
  </si>
  <si>
    <t>3007081710</t>
  </si>
  <si>
    <t>NORTE DE SANTANDER</t>
  </si>
  <si>
    <t>OCAÑA</t>
  </si>
  <si>
    <t>DISTRICOL MAXILIAM</t>
  </si>
  <si>
    <t>FO-25-1598662</t>
  </si>
  <si>
    <t>29/09/2025 29-09 PROGRAMACIÓN REALIZADA POR LA ALIANZA | 01/10/2025 SE COMUNICA CON LA CLIENTE SE PROGRAMA VISITA PARA MAÑANA POR DISPONIBILIDAD DEL CLIENTE, ZONA CATATUMBO. | 02/10/2025 SE VISITA COMERCIO, SE INSTALA DATAFONO, BASE, SCANNER, AVISO EXTERIOR, PUBLICIDAD DEL BANCO, SE CAPACITA PERSONAL, PRUEBAS Y CIERRES EXITOSO, CB OPERATIVO.</t>
  </si>
  <si>
    <t>FYZZZ193</t>
  </si>
  <si>
    <t>NARANJO AFANADOR RUBEN JESUS</t>
  </si>
  <si>
    <t>54800</t>
  </si>
  <si>
    <t>TA-25-1157231</t>
  </si>
  <si>
    <t>3007081714</t>
  </si>
  <si>
    <t>TEORAMA</t>
  </si>
  <si>
    <t>DISTRICOL FABRICAMUEBLESVALENT</t>
  </si>
  <si>
    <t>FO-25-1598665</t>
  </si>
  <si>
    <t>29/09/2025 29-09 PROGRAMACIÓN REALIZADA POR LA ALIANZA | 06/10/2025 SE REALIZA APERTURA EN SITIO ACORDADA CON EL CLIENTE EN OCAÑA, SE INSTALA BATAFONO, VERSION, SE REALIZAN PRUEBAS EXITOSA, SE CAPACITA CLIENTE, PUBLICIDAD, CB OPERATIVO.</t>
  </si>
  <si>
    <t>FYZZZ194</t>
  </si>
  <si>
    <t>TA-25-1157240</t>
  </si>
  <si>
    <t>3007081713</t>
  </si>
  <si>
    <t>DISTRICOL FERRETERIA A/S S.A.S</t>
  </si>
  <si>
    <t>FO-25-1598692</t>
  </si>
  <si>
    <t>29/09/2025 29-09 PROGRAMACIÓN REALIZADA POR LA ALIANZA | 01/10/2025 NO SE HA PODIDO REALIZAR INSTALACIÓN DE PUBLICIDAD POR PROBLEMAS CLIMATICOS EN LA ZONA, LO CUAL RETRASO LA LABOR, Y EL COMERCIO CIERRA A LAS 17:30 HORAS, POR LO QUE NO SE PUEDE REALIZAR LA INSTALACIÓN EL DIA DE HOY | 02/10/2025 SE VISITO EL COMERCIO PARA DAR APERTURA AL CB, SE INSTALA DATAFONO CON LECTORA BASE Y MAGIC BOX, SE INSTALA PUBLICIDAD Y SE ENTREGA ROLLOS, SE CAPACITA OK, PRUEBAS OK EXCEPTO RECAUDO POR NO TENER ELEMENTOS PARA HACERLA, SOMOS BANCOLOMBIA OK, CB OPERATIVO</t>
  </si>
  <si>
    <t>FYZZZ198</t>
  </si>
  <si>
    <t>NOROCCIDENTE</t>
  </si>
  <si>
    <t>5001</t>
  </si>
  <si>
    <t>TA-25-1165173</t>
  </si>
  <si>
    <t>3007081741</t>
  </si>
  <si>
    <t>ANTIOQUIA</t>
  </si>
  <si>
    <t>DISTRICOL DROGUERIA EL VERGEL</t>
  </si>
  <si>
    <t>FO-25-1611123</t>
  </si>
  <si>
    <t>01/10/2025 01-10 PROGRAMACIÓN REALIZADA POR LA ALIANZA | 03/10/2025 SE INSTALAN EQUIPOS OK</t>
  </si>
  <si>
    <t>SUZZZ670</t>
  </si>
  <si>
    <t>QUINTERO SANCHEZ JUAN SEBASTIAN</t>
  </si>
  <si>
    <t>TA-25-1165175</t>
  </si>
  <si>
    <t>3007081742</t>
  </si>
  <si>
    <t>DISTRICOL TIGRE</t>
  </si>
  <si>
    <t>FO-25-1611126</t>
  </si>
  <si>
    <t>SUZZZ671</t>
  </si>
  <si>
    <t>5088</t>
  </si>
  <si>
    <t>TA-25-1165176</t>
  </si>
  <si>
    <t>3007081740</t>
  </si>
  <si>
    <t>BELLO</t>
  </si>
  <si>
    <t>DISTRICOL GRANERO BUEN MERCADO</t>
  </si>
  <si>
    <t>FO-25-1611132</t>
  </si>
  <si>
    <t>01/10/2025 01-10 PROGRAMACIÓN REALIZADA POR LA ALIANZA | 03/10/2025 SE HACE IMPLEMENTACION OK EQUIPOS OPERATIVOS PRUEBAS EXITOSAS SOMOS BANCOLOMBIA INACTIVO</t>
  </si>
  <si>
    <t>SUZZZ672</t>
  </si>
  <si>
    <t>DIAZ ZABALA FRANCIS DUBAN</t>
  </si>
  <si>
    <t>5172</t>
  </si>
  <si>
    <t>TA-25-1165177</t>
  </si>
  <si>
    <t>3007081727</t>
  </si>
  <si>
    <t>CHIGORODO</t>
  </si>
  <si>
    <t>DISTRICOL FERREACABADOS C&amp;H</t>
  </si>
  <si>
    <t>FO-25-1611136</t>
  </si>
  <si>
    <t>01/10/2025 01-10 PROGRAMACIÓN REALIZADA POR LA ALIANZA | 02/10/2025 SE INSTALA EQUIPO, RE REALIZA CAPACITACIÓN Y SE INSTALA PUBLICIDAD SE REALIZAN PRUEBAS EXITOSAS SERVICIO OPERATIVO</t>
  </si>
  <si>
    <t>SUZZZ673</t>
  </si>
  <si>
    <t>TIPO II</t>
  </si>
  <si>
    <t>ZAPATA LOPEZ EDWARD ASDRUBAL</t>
  </si>
  <si>
    <t>5360</t>
  </si>
  <si>
    <t>TA-25-1165179</t>
  </si>
  <si>
    <t>3007081728</t>
  </si>
  <si>
    <t>ITAGUI</t>
  </si>
  <si>
    <t>DISTRICOL RG</t>
  </si>
  <si>
    <t>FO-25-1624400 | FO-25-1611140</t>
  </si>
  <si>
    <t>EJECUTADO | EJECUTADO/CANCELADO</t>
  </si>
  <si>
    <t>06/10/2025 SE INSTALA CORRESPONSAL OK</t>
  </si>
  <si>
    <t>SUZZZ674</t>
  </si>
  <si>
    <t>RUA ALVAREZ RICHARD ANDRES</t>
  </si>
  <si>
    <t>5790</t>
  </si>
  <si>
    <t>TA-25-1165180</t>
  </si>
  <si>
    <t>3007081734</t>
  </si>
  <si>
    <t>TARAZA</t>
  </si>
  <si>
    <t>DISTRICOL GLAZZ COMPLEMENT</t>
  </si>
  <si>
    <t>FO-25-1611143</t>
  </si>
  <si>
    <t>01/10/2025 01-10 PROGRAMACIÓN REALIZADA POR LA ALIANZA | 03/10/2025 SE REALIZA INSTALACIÓN DE CORRESPONSAL BANCOLOMBIA PURO OK, PUBLICIDAD INSTALA VISIBLE AL PÚBLICO OK, EQUIPOS INSTALADOS OPERATIVOS OK, PRUEBAS DE TRANSACCIONES EXITOSAS OK, PERSONAL CAPACITADO OK, CLIENTE CB VALIDA SALDO EN CERO OK, SE DEJA CB INSTALADO OPERATIVO OK.</t>
  </si>
  <si>
    <t>SUZZZ675</t>
  </si>
  <si>
    <t>GONZALEZ FERRER JESUS ALEXANDER</t>
  </si>
  <si>
    <t>5887</t>
  </si>
  <si>
    <t>TA-25-1165182</t>
  </si>
  <si>
    <t>3007081744</t>
  </si>
  <si>
    <t>YARUMAL</t>
  </si>
  <si>
    <t>DISTRICOL HACRIVE</t>
  </si>
  <si>
    <t>FO-25-1611149</t>
  </si>
  <si>
    <t>01/10/2025 01-10 PROGRAMACIÓN REALIZADA POR LA ALIANZA | 03/10/2025 SE REALIZA DESPLAZAMIENTO AL CORREGIMIENTO EL CEDRO, MUNICIPIO DE YARUMAL, CON EL OBJETIVO DE INSTALAR EL CORRESPONSAL BANCOLOMBIA EN EL COMERCIO ASIGNADO. DEBIDO A LAS CONDICIONES GEOGRÁFICAS Y LA DIFICULTAD DE ACCESO, LA LLEGADA SE EFECTÚA APROXIMADAMENTE A LAS 5:30 P.M.
AL MOMENTO DE LA VISITA, EL USUARIO MANIFIESTA QUE, POR MOTIVOS DE HORARIO Y OPERATIVIDAD, PREFIERE REPROGRAMAR LA INSTALACIÓN PARA EL DÍA SIGUIENTE. ADICIONALMENTE, SE PRESENTA UNA INTERRUPCIÓN EN EL SERVICIO DE INTERNET, YA QUE LA TORRE DE CONEXIÓN SE ENCUENTRA APAGADA, LO QUE IMPOSIBILITA CUALQUIER TIPO DE CONFIGURACIÓN O PRUEBA TÉCNICA. SE ACUERDA REALIZAR EL PROCEDIMIENTO EN UNA NUEVA JORNADA, GARANTIZANDO CONDICIONES ÓPTIMAS PARA AMBAS PARTES. | 03/10/2025 SE LLEVÓ A CABO EXITOSAMENTE LA INSTALACIÓN DEL PUNTO DE CORRESPONSAL BANCOLOMBIA, CUMPLIENDO CON TODOS LOS REQUERIMIENTOS TÉCNICOS Y OPERATIVOS. EL PERSONAL FUE DEBIDAMENTE CAPACITADO EN EL USO DEL SISTEMA, PROTOCOLOS DE ATENCIÓN Y MANEJO DE TRANSACCIONES. SE REALIZARON PRUEBAS FUNCIONALES QUE VALIDARON EL CORRECTO DESEMPEÑO DEL EQUIPO Y LA CONECTIVIDAD. ASIMISMO, SE INSTALARON LOS AVISOS INFORMATIVOS Y PUBLICITARIOS CONFORME A LOS LINEAMIENTOS DE MARCA. CON TODOS LOS ELEMENTOS EN FUNCIONAMIENTO, EL CORRESPONSAL QUEDÓ OFICIALMENTE OPERATIVO Y LISTO PARA ATENDER AL PÚBLICO</t>
  </si>
  <si>
    <t>SUZZZ676</t>
  </si>
  <si>
    <t>MARTINEZ TOVAR OSCAR DAVID</t>
  </si>
  <si>
    <t>15572</t>
  </si>
  <si>
    <t>TA-25-1165183</t>
  </si>
  <si>
    <t>3007081743</t>
  </si>
  <si>
    <t>BOYACA</t>
  </si>
  <si>
    <t>PUERTO BOYACA</t>
  </si>
  <si>
    <t>DISTRICOL RAPITIENDA LA 30 N.O</t>
  </si>
  <si>
    <t>FO-25-1611152</t>
  </si>
  <si>
    <t>01/10/2025 01-10 PROGRAMACIÓN REALIZADA POR LA ALIANZA | 02/10/2025 SE INSTALA PUBLICIDAD Y EQUIPOS A PETICIÓN DEL USUARIO, SE DEJAN SERVICIOS FUNCIONANDO CORRECTAMENTE</t>
  </si>
  <si>
    <t>SUZZZ677</t>
  </si>
  <si>
    <t>BARRIENTOS HERNANDEZ CRISTIAN HORACIO</t>
  </si>
  <si>
    <t>17777</t>
  </si>
  <si>
    <t>TA-25-1165185</t>
  </si>
  <si>
    <t>3007081738</t>
  </si>
  <si>
    <t>CALDAS</t>
  </si>
  <si>
    <t>SUPIA</t>
  </si>
  <si>
    <t>DISTRICOL J&amp;L</t>
  </si>
  <si>
    <t>FO-25-1611159</t>
  </si>
  <si>
    <t>01/10/2025 01-10 PROGRAMACIÓN REALIZADA POR LA ALIANZA | 02/10/2025 SE INSTALA DATÁFONO, BASE, LECTORA, FLANGER, DISPLAY LEGAL, AVISO EXTERIOR Y SE ENTREGAN 40 ROLLOS, SE REALIZAN PRUEBAS OK.</t>
  </si>
  <si>
    <t>SUZZZ678</t>
  </si>
  <si>
    <t>FRANCO CAÑAVERAL YAMID RAUL</t>
  </si>
  <si>
    <t>20770</t>
  </si>
  <si>
    <t>TA-25-1165187</t>
  </si>
  <si>
    <t>3007081736</t>
  </si>
  <si>
    <t>CESAR</t>
  </si>
  <si>
    <t>SAN MARTIN</t>
  </si>
  <si>
    <t>DISTRICOL MISCELANIA ISAVIC</t>
  </si>
  <si>
    <t>FO-25-1611171</t>
  </si>
  <si>
    <t>01/10/2025 01-10 PROGRAMACIÓN REALIZADA POR LA ALIANZA | 02/10/2025 SE INSTALA , DATAFONO ,LECTOR , CABLESY FUENTE DE PODER , BASE , 40 ROLLOS , PUBLICIDAD COMPLETA, SE CAPACITA CLIENTE MANEJO CORRESPONSAL , CIERRES ,CUADRE DIARIO , COMPENSACIÓN ,MANEJO DATAFONO , PRUEBAS OK , PAGINA BANCOLOMBIA PRUEBAS , INSTALACION EXITOSA</t>
  </si>
  <si>
    <t>SUZZZ680</t>
  </si>
  <si>
    <t>GELVEZ MOGOLLON JOSE ELISEO</t>
  </si>
  <si>
    <t>23001</t>
  </si>
  <si>
    <t>TA-25-1165188</t>
  </si>
  <si>
    <t>3007081732</t>
  </si>
  <si>
    <t>CORDOBA</t>
  </si>
  <si>
    <t>DISTRICOL ALMACEN VETERINARIO</t>
  </si>
  <si>
    <t>FO-25-1611174</t>
  </si>
  <si>
    <t>01/10/2025 01-10 PROGRAMACIÓN REALIZADA POR LA ALIANZA | 02/10/2025 SE REALIZA APERTURA DE CB SE INSTALA, DATÁFONO DESK 2600 PLACA 1242492, LECTOR SYMBOL PLACA 1238310, AVISO EXTERIOR, FLANGGER, DISPLAY HORARIO, OTROS LUGARES, CUBRE CLAVES Y ACCESORIOS, SE REALIZAN PRUEBAS Y CAPACITACIÓN, SE DEJA CB LISTO PARA OPERACIONES.</t>
  </si>
  <si>
    <t>SUZZZ681</t>
  </si>
  <si>
    <t>CASSIANI PEREZ RAUL RAMIRO</t>
  </si>
  <si>
    <t>23350</t>
  </si>
  <si>
    <t>TA-25-1165191</t>
  </si>
  <si>
    <t>3007081730</t>
  </si>
  <si>
    <t>LA APARTADA</t>
  </si>
  <si>
    <t>DISTRICOL SIEMPRE BELLA COSMET</t>
  </si>
  <si>
    <t>FO-25-1611177</t>
  </si>
  <si>
    <t>01/10/2025 01-10 PROGRAMACIÓN REALIZADA POR LA ALIANZA | 03/10/2025 SE REALIZA APERTURA DE CB, SE INSTALA DATÁFONO PLACA 1221388, LECTORA SYMBOL PLACA 1238404, AVISO EXTERIOR, FLANGGER, DISPLAY HORARIO, MAGICBOX SERIALIZADO, CUBRE CLAVES Y ACCESORIOS, SE REALIZAN PRUEBAS Y CAPACITACIÓN, DEJANDO CB LISTOS PARA OPERACIONES.</t>
  </si>
  <si>
    <t>SUZZZ682</t>
  </si>
  <si>
    <t>52399</t>
  </si>
  <si>
    <t>TA-25-1165193</t>
  </si>
  <si>
    <t>3007081731</t>
  </si>
  <si>
    <t>LA UNION</t>
  </si>
  <si>
    <t>DISTRICOL DEP S&amp;M LA UNION</t>
  </si>
  <si>
    <t>FO-25-1611183</t>
  </si>
  <si>
    <t>01/10/2025 01-10 PROGRAMACIÓN REALIZADA POR LA ALIANZA | 03/10/2025 SE REALIZÓ LA INSTALACIÓN DE EQUIPOS PUBLICIDAD Y ACCESORIOS PARA APERTURA CB BANCOLOMBIA SE DIO CAPACITACIÓN MANEJO DE DATÁFONO CB Y SOMOS BANCOLOMBIA SE EJECUTAN PRUEBAS TX EXITOSAS QUEDA OPERATIVO</t>
  </si>
  <si>
    <t>SUZZZ684</t>
  </si>
  <si>
    <t>68001</t>
  </si>
  <si>
    <t>TA-25-1165198</t>
  </si>
  <si>
    <t>3007081719</t>
  </si>
  <si>
    <t>SANTANDER</t>
  </si>
  <si>
    <t>DISTRICOL INTERR LA NOVENA</t>
  </si>
  <si>
    <t>FO-25-1611196</t>
  </si>
  <si>
    <t>01/10/2025 01-10 PROGRAMACIÓN REALIZADA POR LA ALIANZA | 02/10/2025 SE INSTALA DATÁFONO, LECTOR DE BARRAS, PINPAD, MAGIBOX, BASE DATÁFONO, CUBRE CLAVE, 40 ROLLOS, SE INSTALA PUBLICIDAD, SE REALIZA PRUEBAS Y SE CAPACITA CORRESPONSAL. EXITOSA.</t>
  </si>
  <si>
    <t>SUZZZ686</t>
  </si>
  <si>
    <t>MARTINEZ FLOREZ DONIS ALBERTO</t>
  </si>
  <si>
    <t>68276</t>
  </si>
  <si>
    <t>TA-25-1165200</t>
  </si>
  <si>
    <t>3007081729</t>
  </si>
  <si>
    <t>FLORIDABLANCA</t>
  </si>
  <si>
    <t>DISTRICOL APOLO FLORIDA</t>
  </si>
  <si>
    <t>FO-25-1611202</t>
  </si>
  <si>
    <t>01/10/2025 01-10 PROGRAMACIÓN REALIZADA POR LA ALIANZA | 02/10/2025 INSTALACIÓN CAPACITACIÓN Y CONFIGURACIÓN DE TERMINAL, CAPACITACIÓN EN SOMOSBANCOLOMBIA</t>
  </si>
  <si>
    <t>SUZZZ688</t>
  </si>
  <si>
    <t>PEÑA DIAZ IVAN YESID</t>
  </si>
  <si>
    <t>76001</t>
  </si>
  <si>
    <t>TA-25-1165201</t>
  </si>
  <si>
    <t>3007081724</t>
  </si>
  <si>
    <t>VALLE DEL CAUCA</t>
  </si>
  <si>
    <t>DISTRICOL TODO EN UNO</t>
  </si>
  <si>
    <t>FO-25-1611208</t>
  </si>
  <si>
    <t>01/10/2025 01-10 PROGRAMACIÓN REALIZADA POR LA ALIANZA | 02/10/2025 SE INSTALA EQUIPO, LECTOR Y ACCESORIOS, LUEGO SE CAPACITA Y SE INSTALA PUBLICIDAD, PRUEBAS OK</t>
  </si>
  <si>
    <t>SUZZZ689</t>
  </si>
  <si>
    <t>PAREDES CASTILLO DIEGO</t>
  </si>
  <si>
    <t>TA-25-1165202</t>
  </si>
  <si>
    <t>3007081722</t>
  </si>
  <si>
    <t>DISTRICOL TESORO BOTANICO</t>
  </si>
  <si>
    <t>FO-25-1611212</t>
  </si>
  <si>
    <t>01/10/2025 01-10 PROGRAMACIÓN REALIZADA POR LA ALIANZA | 03/10/2025 SE LLAMA AL CLIENTE SE VALIDA DISPONIBILIDAD Y LUGAR DE INSTALACIÓN, SE INSTALA DATAFONO, LECTORA Y ACCESORIOS EN APERTURA CB BANCOLOMBIA PURO, PRUEBAS OK, TELECARGA TRNA</t>
  </si>
  <si>
    <t>SUZZZ690</t>
  </si>
  <si>
    <t>HERRERA MONAR GEOVANNY</t>
  </si>
  <si>
    <t>TA-25-1165203</t>
  </si>
  <si>
    <t>3007081725</t>
  </si>
  <si>
    <t>DISTRICOL MULTIEXPRESS</t>
  </si>
  <si>
    <t>FO-25-1611217</t>
  </si>
  <si>
    <t>01/10/2025 01-10 PROGRAMACIÓN REALIZADA POR LA ALIANZA | 02/10/2025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‎SE DEJAN 40 ROLLOS TÉRMICOS EN EL CB.
‎CB QUEDA OKEY.
CB NO CUENTA CON TARJETA PARA REALIZAR PRUEBAS DE RETIRO O CONSULTA DE SALDO.
LA CAPACITACION DE SOMOS BANCOLOMBIA SE REALIZO BAJO USUARIO DE LÍNEA COMUNICACIONES.</t>
  </si>
  <si>
    <t>SUZZZ691</t>
  </si>
  <si>
    <t>TORRES GARCIA JENDRY JOSE</t>
  </si>
  <si>
    <t>TA-25-1165205</t>
  </si>
  <si>
    <t>3007081721</t>
  </si>
  <si>
    <t>DISTRICOL GARDEN CITY BAKERY</t>
  </si>
  <si>
    <t>FO-25-1611221</t>
  </si>
  <si>
    <t>01/10/2025 01-10 PROGRAMACIÓN REALIZADA POR LA ALIANZA | 03/10/2025 SE INSTALA EQUIPO, LECTOR Y ACCESORIOS, LUEGO SE CAPACITA Y SE INSTALA PUBLICIDAD, PRUEBAS OK</t>
  </si>
  <si>
    <t>SUZZZ692</t>
  </si>
  <si>
    <t>TA-25-1165206</t>
  </si>
  <si>
    <t>3007081723</t>
  </si>
  <si>
    <t>DISTRICOL LAVAUTOS LA 61</t>
  </si>
  <si>
    <t>FO-25-1611225</t>
  </si>
  <si>
    <t>01/10/2025 01-10 PROGRAMACIÓN REALIZADA POR LA ALIANZA | 03/10/2025 SE LLAMA AL CLIENTE SE VALIDA DISPONIBILIDAD Y LUGAR DE INSTALACIÓN, SE VISITA EL COMERCIO INSTALÓ DATAFONO, LECTORA, ACCESORIOS EN APERTURA CB BANCOLOMBIA PURO, SE CAPACITA, PRUEBAS OK, TELECARGA TRNA</t>
  </si>
  <si>
    <t>SUZZZ693</t>
  </si>
  <si>
    <t>76520</t>
  </si>
  <si>
    <t>TA-25-1165207</t>
  </si>
  <si>
    <t>3007081733</t>
  </si>
  <si>
    <t>PALMIRA</t>
  </si>
  <si>
    <t>DISTRICOL DROG ECOFARMA 28</t>
  </si>
  <si>
    <t>FO-25-1611228</t>
  </si>
  <si>
    <t>01/10/2025 01-10 PROGRAMACIÓN REALIZADA POR LA ALIANZA | 02/10/2025 EN LA VISITA TÉCNICA SE REALIZÓ LA INSTALACIÓN DE EL DATÁFONO,CON SU RESPECTIVO MAGIC BOX 2600,SE INSTALA LA BASE SOPORTE DE DATÁFONO,SE INSTALA EL LECTOR DE CÓDIGO DE BARRAS,SE INSTALÓ EL SISTEMA OPERATIVO Y VERSIÓN 10.3N,SE REALIZÓ LA CONFIGURACIÓN E INICIALIZACIÓN OK, SE CREARON LOS USUARIOS,SE BRINDA LA CAPACITACIÓN,SE REALIZARON LAS PRUEBAS DEJANDO EVIDENCIA,ANGUNAS TRANSACCIONES COMO RETIRO CON TARJETA NO SE REALIZÓ LA PRUEBA YA QUE EL USUARIO NO CONTABA CON TARJETA DE BANCOLOMBIA,PERO LA CAPACITACIÓN FUE COMPLETA,SE IMPLEMENTARON LOS ROLLOS TERMICOS DE REDEBAN Y SE REALIZA LA INSTALACIÓN DE LA PUBLICIDAD,SE BRINDARON LAS LÍNEAS DE ATENCIÓN DE BANCOLOMBIA,EL SERVICIO QUEDÓ OPERATIVO SIN FALLAS Y SIN NOVEDAD.</t>
  </si>
  <si>
    <t>SUZZZ694</t>
  </si>
  <si>
    <t>SANCHEZ URREGO ROBINSON DAVID</t>
  </si>
  <si>
    <t>86865</t>
  </si>
  <si>
    <t>TA-25-1165208</t>
  </si>
  <si>
    <t>3007081739</t>
  </si>
  <si>
    <t>VALLE DEL GUAMUEZ</t>
  </si>
  <si>
    <t>DISTRICOL IMPOR SUR LA HORMIGA</t>
  </si>
  <si>
    <t>FO-25-1611233</t>
  </si>
  <si>
    <t>01/10/2025 01-10 PROGRAMACIÓN REALIZADA POR LA ALIANZA | 03/10/2025 NO SE REALIZA DESPLAZAMIENTO AL SITIO EL DIA DE HOY YA QUE LA CLIENTE NOS INFORMA QUE DEBE DESPLAZARSE A LA CIUDAD DE CALI CON URGENCIA, Y DEBEMOS VALIDAR DESPUES DEL PROXIMO JUEVES SI YA SE ENCUENTRA EN LA ZONA | 16/10/2025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</si>
  <si>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SUZZZ695</t>
  </si>
  <si>
    <t>5045</t>
  </si>
  <si>
    <t>TA-25-1165209</t>
  </si>
  <si>
    <t>3007081726</t>
  </si>
  <si>
    <t>DISTRICOL FERRETERIA SHADDAY</t>
  </si>
  <si>
    <t>FO-25-1611239</t>
  </si>
  <si>
    <t>01/10/2025 01-10 PROGRAMACIÓN REALIZADA POR LA ALIANZA | 02/10/2025 SE INSTALA DATAFONOS, LECTORA, MAGIBOX, BASE Y PUBLICIDAD, SE HACE CAPACITACIÓN DE MANEJO DE EQUIPO Y SOMOS BANCOLOMBIA, SE HACEN PRUEBAS DE RETIRO, CONSULTA DE SALDO Y CONSIGNACIÓN DEJANDO TODO FUNCIONANDO CORRECTAMENTE</t>
  </si>
  <si>
    <t>SUZZZ696</t>
  </si>
  <si>
    <t>SALDARRIAGA MIRANDA SANTIAGO</t>
  </si>
  <si>
    <t>TA-25-1165219</t>
  </si>
  <si>
    <t>3007081720</t>
  </si>
  <si>
    <t>DISTRICOL SEGUROS ATR</t>
  </si>
  <si>
    <t>FO-25-1611264</t>
  </si>
  <si>
    <t>01/10/2025 01-10 PROGRAMACIÓN REALIZADA POR LA ALIANZA | 02/10/2025 SE ESTABLECE CONTACTO TELEFÓNICO CON LA USUARIA QUIRN NOS CONFIRMA DATOS DE DIRECCIÓN OK Y PUNTO DE INTERNET PARA REALIZAR LA INSTALACIÓN | 02/10/2025 SE REALIZA INSTALACIÓN DE AVISO EXTERIOR, FLANGER, DISPLAY LEGAL,IDENTIFICADOR ,BASE, DATAFONO, LECTORA CAMBIO DE S.O Y VERSIÓN 10.3 CREACIÓN DE USUARIOS CAPACITACIÓN ADMINISTRATIVA OPERATIVA PRUEBAS OK SERVICIO OPERATIVO SIN INGRESO A SOMOS BANCOLOMBIA</t>
  </si>
  <si>
    <t>SUZZZ687</t>
  </si>
  <si>
    <t>REYES RAMIREZ DIEGO ALEXANDER</t>
  </si>
  <si>
    <t>TA-25-1180424</t>
  </si>
  <si>
    <t>3007081812</t>
  </si>
  <si>
    <t>PTM MEDELLIN CITYBOOM VILLA HE</t>
  </si>
  <si>
    <t>FO-25-1635305</t>
  </si>
  <si>
    <t>COMCARD - PTM</t>
  </si>
  <si>
    <t>06/10/2025 06-10 PROGRAMACIÓN REALIZADA POR LA ALIANZA | INSTALACIÓN PROGRAMADA PARA EL 2025-10-08 | 08/10/2025 SE REALIZA INSTALACIÓN EXITOSA SOLO SE LOGRA REALIZAR DEPOSITO RETIRO Y CONSULTA DE SALDO COMO PRUEBA TODO OK</t>
  </si>
  <si>
    <t>VRZZZ487</t>
  </si>
  <si>
    <t>ALVAREZ ARENAS VICTOR HUGO</t>
  </si>
  <si>
    <t>TA-25-1180426</t>
  </si>
  <si>
    <t>3007081813</t>
  </si>
  <si>
    <t>PTM MEDELLIN GRILLED BURGUER</t>
  </si>
  <si>
    <t>FO-25-1635311</t>
  </si>
  <si>
    <t>06/10/2025 06-10 PROGRAMACIÓN REALIZADA POR LA ALIANZA | INSTALACIÓN PROGRAMADA PARA EL 2025-10-08 | 08/10/2025 SE REALIZA INSTALACIÓN DE EQUIPO, SE REALIZA CAPACITACIÓN Y SE INSTALA PUBLICIDAD SE REALIZAN PRUEBAS EXISTOSAS</t>
  </si>
  <si>
    <t>VRZZZ488 -VRZZZ182</t>
  </si>
  <si>
    <t>TA-25-1180428</t>
  </si>
  <si>
    <t>3007081814</t>
  </si>
  <si>
    <t>PTM MEDELLIN GRANERO MARIA</t>
  </si>
  <si>
    <t>FO-25-1635318</t>
  </si>
  <si>
    <t>06/10/2025 06-10 PROGRAMACIÓN REALIZADA POR LA ALIANZA | INSTALACIÓN PROGRAMADA PARA EL 2025-10-08 | 08/10/2025 SE REALIZA INSTALACIÓN EXITOSA TODO OK SOLO SE LOGRA REALIZAR PRUEBAS DE RETIRO CONSIGNACIÓN Y CONSULTA SALDO</t>
  </si>
  <si>
    <t>VRZZZ489</t>
  </si>
  <si>
    <t>TA-25-1180430</t>
  </si>
  <si>
    <t>3007081811</t>
  </si>
  <si>
    <t>PTM BELLO MERCADO LA VICTORIA</t>
  </si>
  <si>
    <t>FO-25-1635322</t>
  </si>
  <si>
    <t>06/10/2025 06-10 PROGRAMACIÓN REALIZADA POR LA ALIANZA | INSTALACIÓN PROGRAMADA PARA EL 2025-10-08 | 08/10/2025 SE REALIZA INSPECCIÓN DE EQUIPO, SE REALIZA CAPACITACIÓN, SE INSTALA PÚBLICO  SERVICIO OPERATIVO</t>
  </si>
  <si>
    <t>VRZZZ187-VRZZZ490</t>
  </si>
  <si>
    <t>8001</t>
  </si>
  <si>
    <t>TA-25-1180431</t>
  </si>
  <si>
    <t>3007081797</t>
  </si>
  <si>
    <t>ATLANTICO</t>
  </si>
  <si>
    <t>PTM BARRANQUILLA MULTISERVICIO</t>
  </si>
  <si>
    <t>FO-25-1635327</t>
  </si>
  <si>
    <t>06/10/2025 06-10 PROGRAMACIÓN REALIZADA POR LA ALIANZA | INSTALACIÓN PROGRAMADA PARA EL 2025-10-07 | 07/10/2025 SE REALIZA VISITA AL COMERCIO PARA REALIZAR LA INSTALACIÓN DEL CORRESPONSAL BANCOLOMBIA EXITOSO SE CREAN USUARIOS SE CAPACITA AL CLIENTE SOBRE EL MANEJO DEL DATÁFONO SE REALIZAN PRUEBAS EXITOSAS Y EL CB QUEDA OPERATIVO</t>
  </si>
  <si>
    <t>VRZZZ491</t>
  </si>
  <si>
    <t>PEÑALOZA GUTIERREZ RAFAEL GUSTAVO</t>
  </si>
  <si>
    <t>8758</t>
  </si>
  <si>
    <t>TA-25-1180433</t>
  </si>
  <si>
    <t>3007081809</t>
  </si>
  <si>
    <t>SOLEDAD</t>
  </si>
  <si>
    <t>PTM SOLEDAD VARIEDADES 5 BOCAS</t>
  </si>
  <si>
    <t>FO-25-1635332</t>
  </si>
  <si>
    <t>VRZZZ492</t>
  </si>
  <si>
    <t>CUNDINAMARCA</t>
  </si>
  <si>
    <t>25290</t>
  </si>
  <si>
    <t>TA-25-1180434</t>
  </si>
  <si>
    <t>3007081805</t>
  </si>
  <si>
    <t>FUSAGASUGA</t>
  </si>
  <si>
    <t>PTM FUNSAGASUGA FERRESOLUCIONE</t>
  </si>
  <si>
    <t>FO-25-1635338</t>
  </si>
  <si>
    <t>06/10/2025 06-10 PROGRAMACIÓN REALIZADA POR LA ALIANZA | INSTALACIÓN PROGRAMADA PARA EL 2025-10-08 | 08/10/2025 SE REALIZA INSTALACIÓN COMPLETA DE CORRESPONSAL BANCARIO, SE INSTALA PUBLICIDAD EN LUGARES INDICADOS POR EL CLIENTE, SE REALIZA CAPACITACIÓN COMPLETA DE SOMOS Y USO DE MENÚ DE OPERADOR  A CLIENTE, SE CREAN USUARIOS DE CB INDICADOS POR EL CLIENTE, SE REALIZA PRUEBAS OK DE CB SE VALIDA SALDO DE CB ESTANDO OK A CONFORMIDAD DE CORRESPONSAL .</t>
  </si>
  <si>
    <t>VRZZZ493-VRZZZ202</t>
  </si>
  <si>
    <t>GALEANO SORIANO JUAN DAVID</t>
  </si>
  <si>
    <t>41001</t>
  </si>
  <si>
    <t>TA-25-1180436</t>
  </si>
  <si>
    <t>3007081806</t>
  </si>
  <si>
    <t>HUILA</t>
  </si>
  <si>
    <t>PTM NEIVA SERVICIOS PROFESIONA</t>
  </si>
  <si>
    <t>FO-25-1635341</t>
  </si>
  <si>
    <t>06/10/2025 06-10 PROGRAMACIÓN REALIZADA POR LA ALIANZA | INSTALACIÓN PROGRAMADA PARA EL 2025-10-08 | 08/10/2025 SE REALIZA APERTURA DE CB BANCOLOMBIA, SE INSTALA DATAFONO CON CUBRE CLAVE CON BASE Y ACCESORIOS, SE DA CAPACITACION AL CLIENTE, SE REALIZAN PRUEBAS DE TRANSACCIONES, TODAS EFECTIVAS, SE REALIZA EXAMEN PAGINA SOMOS BANCOLOMBIA, SE INSTALA PUBLICIDAD (AVISO EXTERIOR, FLANGER GIROS , DISPLAY HORARIO) Y SE ENTREGAN 40 ROLLOS RBM</t>
  </si>
  <si>
    <t>VRZZZ494 - VRZZZ199</t>
  </si>
  <si>
    <t>DIAZ VARGAS JONATHAN MIGUEL</t>
  </si>
  <si>
    <t>TA-25-1180437</t>
  </si>
  <si>
    <t>3007081807</t>
  </si>
  <si>
    <t>PTM NEIVA PAPELERIA FAMADA</t>
  </si>
  <si>
    <t>FO-25-1635355</t>
  </si>
  <si>
    <t>06/10/2025 06-10 PROGRAMACIÓN REALIZADA POR LA ALIANZA | INSTALACIÓN PROGRAMADA PARA EL 2025-10-07 | 07/10/2025 SE REALIZA APERTURA DE CB BANCOLOMBIA, SE EVIDENCIA QUE EL COMERCIO NO TIENE LETRERO CON NOMBRE DE COMERCIO PERO SE VERIFICA QUE SI CORRESPONDE CON ACTIVIDAD DECLARA EN CAMARA DE COMERCIO, SE INSTALA DATAFONO CON CUBRE CLAVE CON BASE Y ACCESORIOS, SE DA CAPACITACION AL CLIENTE, SE REALIZAN PRUEBAS DE TRANSACCIONES, TODAS EFECTIVAS, SE REALIZA EXAMEN PAGINA SOMOS BANCOLOMBIA, SE INSTALA PUBLICIDAD (AVISO EXTERIOR, FLANGER GIROS , DISPLAY HORARIO) Y SE ENTREGAN 40 ROLLOS RBM</t>
  </si>
  <si>
    <t>VRZZZ495 - VRZZZ200</t>
  </si>
  <si>
    <t>52001</t>
  </si>
  <si>
    <t>TA-25-1180439</t>
  </si>
  <si>
    <t>3007081808</t>
  </si>
  <si>
    <t>PTM PASTO DROGUERIA LA ERMITA</t>
  </si>
  <si>
    <t>FO-25-1635369</t>
  </si>
  <si>
    <t>06/10/2025 06-10 PROGRAMACIÓN REALIZADA POR LA ALIANZA | INSTALACIÓN PROGRAMADA PARA EL 2025-10-08 | 08/10/2025 SE REALIZA INSTALACIÓN DE CB. SE CAPACITA SOBRE SOMOS BANCOLOMBIA, MANEJO DE DATAFONO Y PARTE ADMINISTRATIVA. SE INSTALA AVISO EXTERIOR, FLANGER Y DISPLAY LEGAL CON INSERTO HORARIO, TARIFAS Y NÚMERO DE CB. SE ENTREGAN 40 ROLLOS. SE REALIZA PRUEBAS DE CB Y COMERCIO EXITOSAS. QUEDA OPERATIVO</t>
  </si>
  <si>
    <t>VRZZZ496 / VRZZZ204</t>
  </si>
  <si>
    <t>TA-25-1180441</t>
  </si>
  <si>
    <t>3007081804</t>
  </si>
  <si>
    <t>PTM CALI BABY BOO BOUTIQUE</t>
  </si>
  <si>
    <t>FO-25-1635372</t>
  </si>
  <si>
    <t>06/10/2025 06-10 PROGRAMACIÓN REALIZADA POR LA ALIANZA | INSTALACIÓN PROGRAMADA PARA EL 2025-10-07 | 07/10/2025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‎SE DEJAN 40 ROLLOS TÉRMICOS EN EL CB.
‎CB QUEDA OKEY.</t>
  </si>
  <si>
    <t>VRZZZ497 - 1000Z527</t>
  </si>
  <si>
    <t>TA-25-1180442</t>
  </si>
  <si>
    <t>3007081803</t>
  </si>
  <si>
    <t>PTM CALI TRANSPORTES E INVERSI</t>
  </si>
  <si>
    <t>FO-25-1635375</t>
  </si>
  <si>
    <t>06/10/2025 06-10 PROGRAMACIÓN REALIZADA POR LA ALIANZA | INSTALACIÓN PROGRAMADA PARA EL 2025-10-07 | 07/10/2025 SE INSTALA EQUIPO, LECTOR, PINPAD Y ACCESORIOS, LUEGO SE CAPACITA Y SE INSTALA PUBLICIDAD, PRUEBAS OK</t>
  </si>
  <si>
    <t>VRZZZ498</t>
  </si>
  <si>
    <t>76834</t>
  </si>
  <si>
    <t>TA-25-1180443</t>
  </si>
  <si>
    <t>3007081810</t>
  </si>
  <si>
    <t>TULUA</t>
  </si>
  <si>
    <t>PTM TULUA AROMAS Y SABORES TUL</t>
  </si>
  <si>
    <t>FO-25-1635379</t>
  </si>
  <si>
    <t>06/10/2025 06-10 PROGRAMACIÓN REALIZADA POR LA ALIANZA | INSTALACIÓN PROGRAMADA PARA EL 2025-10-08 | 08/10/2025 SE VISITA ESTABLECIMIENTO, SE REALIZA INSTALACIÓN CORRESPONSAL BANCOLOMBIA MIXTO. TRANSACCIONES DE PRUEBA EXITOSAS. SE INSTALA PUBLICADA COMPLETA</t>
  </si>
  <si>
    <t>VRZZZ499 - VRZZZ207</t>
  </si>
  <si>
    <t>BOLAÑOS TABORDA JORGE ENRIQUE</t>
  </si>
  <si>
    <t>11001</t>
  </si>
  <si>
    <t>TA-25-1180444</t>
  </si>
  <si>
    <t>3007081802</t>
  </si>
  <si>
    <t>PTM BOGOTA SUPERMERCADO Y CIGA</t>
  </si>
  <si>
    <t>FO-25-1635383</t>
  </si>
  <si>
    <t>06/10/2025 06-10 PROGRAMACIÓN REALIZADA POR LA ALIANZA | INSTALACIÓN PROGRAMADA PARA EL 2025-10-08 | 08/10/2025 SE REALIZA IMPLEMENTACIÓN CB BANCOLOMBIA SE INSTALA DATAFONO BASE FUENTE DATOS Y LECTORA SE CAPACITA CLIENTE ,SE INSTALA PUBLICIDAD Y SE REALIZAN PRUEBAS OK</t>
  </si>
  <si>
    <t>VRZZZ500</t>
  </si>
  <si>
    <t>GALINDO ROJAS LUIS FELIPE</t>
  </si>
  <si>
    <t>TA-25-1180446</t>
  </si>
  <si>
    <t>3007081799</t>
  </si>
  <si>
    <t>PTM BOGOTA GESISTECHNOLOGY</t>
  </si>
  <si>
    <t>FO-25-1635387</t>
  </si>
  <si>
    <t>06/10/2025 06-10 PROGRAMACIÓN REALIZADA POR LA ALIANZA | INSTALACIÓN PROGRAMADA PARA EL 2025-10-08 | 08/10/2025 DURANTE VISITA TECNICA SE REALIZA INSTALACIÓN DE CORRESPONSAL BANCARIO CON SOPORTÉ, LECTOR DE BARRAS, PINPAD Y DATAFONO, SE CREAN USUARIOS DE CB INDICADOS POR EL CLIENTE, SE REALIZA PRUEBAS OK DE CB. CIERRES</t>
  </si>
  <si>
    <t>VRZZZ501 - VRZZZ190</t>
  </si>
  <si>
    <t>ARIAS QUILINDO JULIAN</t>
  </si>
  <si>
    <t>TA-25-1180448</t>
  </si>
  <si>
    <t>3007081798</t>
  </si>
  <si>
    <t>PTM BOGOTA CENTRO DE SERVICIOS</t>
  </si>
  <si>
    <t>FO-25-1635390</t>
  </si>
  <si>
    <t>06/10/2025 06-10 PROGRAMACIÓN REALIZADA POR LA ALIANZA | INSTALACIÓN PROGRAMADA PARA EL 2025-10-08 | 08/10/2025 DURANTE VISITA TECNICA SE REALIZA INSTALACIÓN DE CORRESPONSAL BANCARIO CON SOPORTÉ, LECTOR DE BARRAS Y DATAFONO, SE CREAN USUARIOS DE CB INDICADOS POR EL CLIENTE, SE REALIZA PRUEBAS OK DE CB. CIERRES</t>
  </si>
  <si>
    <t>VRZZZ191</t>
  </si>
  <si>
    <t>TA-25-1180450</t>
  </si>
  <si>
    <t>3007081801</t>
  </si>
  <si>
    <t>BOGOTA PTM SUPERMERCADOS COLKC</t>
  </si>
  <si>
    <t>FO-25-1635396</t>
  </si>
  <si>
    <t>06/10/2025 06-10 PROGRAMACIÓN REALIZADA POR LA ALIANZA | INSTALACIÓN PROGRAMADA PARA EL 2025-10-07 | 07/10/2025 INSTALACIÓN DE CORRESPONSAL CAMBIO DE EQUIPO POR SERIAL MAL INDICA PAOLA DE RBM DEMORAS MÁS DE 1 HORAS Y MEDIA EN CAMBIO DE EQUIPO POR PARTE DE REDEBAN (MOLESTIA EN EL COMERCIO POR ESTE MOTIVO ) SE REALIZA CAPACITACIÓN A CLIENTE DE SOMOS BANCOLOMBIA CAPACITACIÓN IVA CAPACITACIÓN DATAFONO 
INSTALACIÓN DE PUBLICIDAD OK PAPELERÍA OK NO SE REALIZA COMPRA DE ADQUIRENCIA YA QUE NO SE CUENTA CON ESTA TARJETA NO SE REALIZAN PRUEBAS CB DE RETIRO NI CONSULTA DE SALDO YA QUE NO SE CUÁNTA TARJETA DE PRUEBA Y CB TAMPOCO TIENE TARJETA EN COMERCIO</t>
  </si>
  <si>
    <t>VRZZZ503 - VRZZZ192</t>
  </si>
  <si>
    <t>GOMEZ VEGA DAVID SNEYDER</t>
  </si>
  <si>
    <t>TA-25-1180451</t>
  </si>
  <si>
    <t>3007081800</t>
  </si>
  <si>
    <t>PTM BOGOTA PAGUE AQUI</t>
  </si>
  <si>
    <t>FO-25-1635399</t>
  </si>
  <si>
    <t>06/10/2025 06-10 PROGRAMACIÓN REALIZADA POR LA ALIANZA | INSTALACIÓN PROGRAMADA PARA EL 2025-10-07 | 07/10/2025 INSTALACIÓN BANCOLOMBIA CON PUBLICIDAD DATAFONO LECTORA ROLLOS BASE FUENTE DATOS SERVICIO OPERATIVO PRUEBAS OK TRNA RBM SE INSTALA CUBRE TECLADO, SE REALIZA CAMBIO DE EQUIPO PARA INSTALACIÓN DE PINPAD POR VIDRIO DE SEGURIDAD SOMOS BANCOLOMBIA HABILITADO PERO NO MUESTRA DATOS DE DEJA NOVEDAD SOLO SE REALIZA CONSULTA DE SALDO NO HAY COMO REALIZAR CONSIGNACIÓN Y RETIRO</t>
  </si>
  <si>
    <t>VRZZZ504 - VRZZZ193</t>
  </si>
  <si>
    <t>BUSTOS MORA DIEGO MANUEL</t>
  </si>
  <si>
    <t>TA-25-1180462</t>
  </si>
  <si>
    <t>3007081465</t>
  </si>
  <si>
    <t>CB CRECIMIENTO ALIANZA - OTRAS LISTAS</t>
  </si>
  <si>
    <t>PTM BOGOTA COMPUSCHOOL SS</t>
  </si>
  <si>
    <t>FO-25-1635424</t>
  </si>
  <si>
    <t>06/10/2025 06-10 PROGRAMACIÓN REALIZADA POR LA ALIANZA | INSTALACIÓN PROGRAMADA PARA EL 2025-10-07 | 07/10/2025 SE REALIZA INSTALACIÓN COMPLETA DE CORRESPONSAL BANCARIO, SE INSTALA PUBLICIDAD EN LUGARES INDICADOS POR EL CLIENTE, SE REALIZA CAPACITACIÓN COMPLETA DE SOMOS Y USO DE MENÚ DE OPERADOR  A CLIENTE, SE CREAN USUARIOS DE CB INDICADOS POR EL CLIENTE, SE REALIZA PRUEBAS OK DE CB SE VALIDA SALDO DE CB ESTANDO OK A CONFORMIDAD DE CORRESPONSAL .</t>
  </si>
  <si>
    <t>VRZZZ511-VRZZZ194</t>
  </si>
  <si>
    <t>TA-25-1188111</t>
  </si>
  <si>
    <t>3007081850</t>
  </si>
  <si>
    <t>DISTRICOL DROGUERÍA SANTA FARM</t>
  </si>
  <si>
    <t>FO-25-1646991</t>
  </si>
  <si>
    <t>08/10/2025 08-10 PROGRAMACIÓN REALIZADA POR LA ALIANZA | INSTALACIÓN PROGRAMADA PARA EL 2025-10-09 | 09/10/2025 INSTALACIÓN CB OK</t>
  </si>
  <si>
    <t>VSZZZ869</t>
  </si>
  <si>
    <t>BADEL ACUÑA LUIS ALBERTO</t>
  </si>
  <si>
    <t>TA-25-1188112</t>
  </si>
  <si>
    <t>3007081851</t>
  </si>
  <si>
    <t>DISTRICOL MERCADOS EL CONQUIST</t>
  </si>
  <si>
    <t>FO-25-1646995</t>
  </si>
  <si>
    <t>08/10/2025 08-10 PROGRAMACIÓN REALIZADA POR LA ALIANZA| INSTALACIÓN PROGRAMADA PARA EL 2025-10-09 | 09/10/2025 SE INSTALA CB EXITOSAMENTE</t>
  </si>
  <si>
    <t>VSZZZ870</t>
  </si>
  <si>
    <t>5266</t>
  </si>
  <si>
    <t>TA-25-1188113</t>
  </si>
  <si>
    <t>3007081849</t>
  </si>
  <si>
    <t>ENVIGADO</t>
  </si>
  <si>
    <t>DISTRICOL SEBASTIANA</t>
  </si>
  <si>
    <t>FO-25-1647004</t>
  </si>
  <si>
    <t>VSZZZ871</t>
  </si>
  <si>
    <t>15491</t>
  </si>
  <si>
    <t>TA-25-1188115</t>
  </si>
  <si>
    <t>3007081847</t>
  </si>
  <si>
    <t>NOBSA</t>
  </si>
  <si>
    <t>DISTRICOL FOTOC TINTA ARTESANA</t>
  </si>
  <si>
    <t>FO-25-1647009</t>
  </si>
  <si>
    <t>08/10/2025 08-10 PROGRAMACIÓN REALIZADA POR LA ALIANZA| INSTALACIÓN PROGRAMADA PARA EL 2025-10-09 | 08/10/2025 SE ESTABLECE COMUNICACIÓN CON LA SEÑOR CARLOS ANDRES HINCAPIE ESTEPA AL NÚMERO DE CONTACTO 3214649726 CLIENTE CONFIRMA TENER LA DISPONIBILIDAD PARA ATENDER LA VISITA EL DÍA DE MAÑANA 09/10/2025 CONFIRMA TENER EL PUNTO DE INTERNET CERCA A DONDE VA QUEDAR INSTALADO EL DATAFONO. | 09/10/2025 SE EJECUTA APERTURA BANCOLOMBIA RBM INSTALANDO EQUIPOS Y PUBLICIDAD PERSONAL CAPACITADO PRUEBAS OK CLIENTE CONFORME</t>
  </si>
  <si>
    <t>VSZZZ872</t>
  </si>
  <si>
    <t>RODRIGUEZ MURCIA YERSON IVAN</t>
  </si>
  <si>
    <t>TA-25-1188116</t>
  </si>
  <si>
    <t>3007081846</t>
  </si>
  <si>
    <t>DISTRICOL DROGUERIA FAMIPHARMA</t>
  </si>
  <si>
    <t>FO-25-1647013</t>
  </si>
  <si>
    <t>08/10/2025 08-10 PROGRAMACIÓN REALIZADA POR LA ALIANZA| INSTALACIÓN PROGRAMADA PARA EL 2025-10-10 | 10/10/2025 SE REALIZA APERTURA DE CB BANCOLOMBIA, SE INSTALA DATAFONO CON CUBRE CLAVE CON BASE Y ACCESORIOS, SE DA CAPACITACION AL CLIENTE, SE REALIZAN PRUEBAS DE TRANSACCIONES, TODAS EFECTIVAS, SE REALIZA EXAMEN PAGINA SOMOS BANCOLOMBIA, SE INSTALA PUBLICIDAD (AVISO EXTERIOR, FLANGER GIROS , DISPLAY HORARIO) Y SE ENTREGAN 40 ROLLOS RBM</t>
  </si>
  <si>
    <t>VSZZZ873</t>
  </si>
  <si>
    <t>68780</t>
  </si>
  <si>
    <t>TA-25-1188117</t>
  </si>
  <si>
    <t>3007081848</t>
  </si>
  <si>
    <t>SURATA</t>
  </si>
  <si>
    <t>DISTRICOL HERMANOS LEON</t>
  </si>
  <si>
    <t>FO-25-1647018</t>
  </si>
  <si>
    <t>08/10/2025 08-10 PROGRAMACIÓN REALIZADA POR LA ALIANZA| INSTALACIÓN PROGRAMADA PARA EL 2025-10-09 | 09/10/2025 NOS ENCONTRAMOS EN EL MUNICIPIO DE SURATÁ PARA LA IMPLEMENTACIÓN DEL PUNTO CB BANCOLOMBIA, SEGÚN LO ESTABLECIDO EN LA ORDEN CORRESPONDIENTE.
EL PUNTO FUE IDENTIFICADO SIGUIENDO LAS INDICACIONES DEL CLIENTE, QUIEN LO UBICÓ EN LA DIRECCIÓN CARRERA 3 #4-08, BARRIO CENTRO, CONFORME A LO INDICADO EN LA ORDEN DE TRABAJO. NO OBSTANTE, AL REALIZAR LA GEOLOCALIZACIÓN MEDIANTE GPS, SE EVIDENCIA QUE LA UBICACIÓN FÍSICA CORRESPONDE A LA CARRERA 5.
PROCEDIMOS A VALIDAR LA INFORMACIÓN CON LOS REGISTROS DE LA CÁMARA DE COMERCIO Y LOS RECIBOS PÚBLICOS DEL ESTABLECIMIENTO, LOS CUALES COINCIDEN CON LA DIRECCIÓN ESPECIFICADA EN LA ORDEN: CARRERA 3 #4-08, BRR. CENTRO.
EL CLIENTE NOS INFORMA QUE RECIENTEMENTE SE LLEVÓ A CABO UNA REESTRUCTURACIÓN DEL MUNICIPIO DEBIDO A UN PROCESO DE AMPLIACIÓN EN SU URBANIZACIÓN, RAZÓN POR LA CUAL SE SIGUEN UTILIZANDO LAS DIRECCIONES ANTERIORES COMO REFERENCIA LOCAL.
POR LO ANTERIOR, SOLICITAMOS SU CONFIRMACIÓN PARA PROCEDER CON LA IMPLEMENTACIÓN EN ESTA UBICACIÓN O, EN SU DEFECTO, LA CANCELACIÓN O REPROGRAMACIÓN DE LA ORDEN.
AL FINAL AUTORIZAN POR PARTE DE REDEBAN LA INSTALACIÓN DEL CB, COMO PREVIAMENTE SE HABIA ESCALADO EL CASO POR MOTIVOS DE LA DIRECCIÓN.
SE INSTALA AVISO EXTERIOR, FLANGED, DISPLAY DE HORARIOS, BASE, DATÁFONO, LECTOR DE BARRAS, PINPAD POR MODULO EN VIDRIO, CUBRE CLAVES, MÁGIC BOX, SE CREAN USUARIOS A GUSTOS DEL CLIENTE, CAPACITACIÓN GENERAL COMPLETA, SOMOS BANCOLOMBIA OK, PRUEBAS OK</t>
  </si>
  <si>
    <t>VSZZZ874</t>
  </si>
  <si>
    <t>GONZALEZ ESTUPIÑAN YEISON WALTER ANTONIO</t>
  </si>
  <si>
    <t>TA-25-1194763</t>
  </si>
  <si>
    <t>3007081867</t>
  </si>
  <si>
    <t>PTM MEDELLIN MERCATODO LA 33 N</t>
  </si>
  <si>
    <t>FO-25-1666931</t>
  </si>
  <si>
    <t>10/10/2025 9/10/2025 PROGRAMACIÓN REALIZADA POR LA ALIANZA| INSTALACIÓN PROGRAMADA PARA EL 2025-10-15 | 15/10/2025 SE INSTALA CB EXITOSAMENTE</t>
  </si>
  <si>
    <t>VWZZZ788 - VTZZZ874</t>
  </si>
  <si>
    <t>TA-25-1194764</t>
  </si>
  <si>
    <t>3007081865</t>
  </si>
  <si>
    <t>PTM MEDELLIN KRATOS URBAN</t>
  </si>
  <si>
    <t>FO-25-1666935</t>
  </si>
  <si>
    <t>VWZZZ789-VTZZZ875</t>
  </si>
  <si>
    <t>TA-25-1194769</t>
  </si>
  <si>
    <t>3007081868</t>
  </si>
  <si>
    <t>PTM MEDELLIN MINIMERCADO LA BO</t>
  </si>
  <si>
    <t>FO-25-1666941</t>
  </si>
  <si>
    <t>10/10/2025 9/10/2025 PROGRAMACIÓN REALIZADA POR LA ALIANZA| INSTALACIÓN PROGRAMADA PARA EL 2025-10-15 | 15/10/2025 INSTALACIÓN DE CB MIXTO OK PUBLICIDAD Y CAPACITACIÓN OK PRUEBAS OK NO TELECARGA CUBRE CLAVE OK</t>
  </si>
  <si>
    <t>VWZZZ790 VTZZZ876</t>
  </si>
  <si>
    <t>PAREJA ECHAVARRIA JHON DAVID</t>
  </si>
  <si>
    <t>TA-25-1194770</t>
  </si>
  <si>
    <t>3007081869</t>
  </si>
  <si>
    <t>PTM MEDELLIN PATITAS DE MICHU</t>
  </si>
  <si>
    <t>FO-25-1666945</t>
  </si>
  <si>
    <t>10/10/2025 9/10/2025 PROGRAMACIÓN REALIZADA POR LA ALIANZA| INSTALACIÓN PROGRAMADA PARA EL 2025-10-15 | 15/10/2025 INSTALACIÓN DE CB MIXTO OK PUBLICIDAD Y CAPACITACIÓN OK PRUEBAS OK NO TELECARGA NO CUBRE CLAVE SIN STOCK</t>
  </si>
  <si>
    <t>VWZZZ791 VTZZZ877</t>
  </si>
  <si>
    <t>TA-25-1194771</t>
  </si>
  <si>
    <t>3007081866</t>
  </si>
  <si>
    <t>PTM MEDELLIN AGPAPELVA PAPELER</t>
  </si>
  <si>
    <t>FO-25-1666951</t>
  </si>
  <si>
    <t>10/10/2025 9/10/2025 PROGRAMACIÓN REALIZADA POR LA ALIANZA| INSTALACIÓN PROGRAMADA PARA EL 2025-10-15 | 17/10/2025 INSTALACIÓN CB OK</t>
  </si>
  <si>
    <t>VWZZZ792-VTZZZ878</t>
  </si>
  <si>
    <t>5079</t>
  </si>
  <si>
    <t>TA-25-1194772</t>
  </si>
  <si>
    <t>3007081856</t>
  </si>
  <si>
    <t>BARBOSA</t>
  </si>
  <si>
    <t>PTM BARBOSA CELU SHOP Y MAS</t>
  </si>
  <si>
    <t>FO-25-1666955</t>
  </si>
  <si>
    <t>10/10/2025 9/10/2025 PROGRAMACIÓN REALIZADA POR LA ALIANZA| INSTALACIÓN PROGRAMADA PARA EL 2025-10-14 | 14/10/2025 SE INSTALA CB EXITOSAMENTE</t>
  </si>
  <si>
    <t>VWZZZ793-VTZZZ885</t>
  </si>
  <si>
    <t>5376</t>
  </si>
  <si>
    <t>TA-25-1194773</t>
  </si>
  <si>
    <t>3007081864</t>
  </si>
  <si>
    <t>LA CEJA</t>
  </si>
  <si>
    <t>DISTRICOL AUTOSERVICIO EL FUTU</t>
  </si>
  <si>
    <t>FO-25-1666959</t>
  </si>
  <si>
    <t>10/10/2025 9/10/2025 PROGRAMACIÓN REALIZADA POR LA ALIANZA| INSTALACIÓN PROGRAMADA PARA EL 2025-10-14 | 14/10/2025 INSTALACIÓN DE CB PURO OK PUBLICIDAD Y CAPACITACIÓN OK PRUEBAS OK NO TELECARGA CUBRE CLAVE OK</t>
  </si>
  <si>
    <t>VWZZZ794</t>
  </si>
  <si>
    <t>20001</t>
  </si>
  <si>
    <t>TA-25-1194774</t>
  </si>
  <si>
    <t>3007081863</t>
  </si>
  <si>
    <t>PTM VALLEDUPAR DISTRIBUIDORES</t>
  </si>
  <si>
    <t>FO-25-1666963</t>
  </si>
  <si>
    <t>10/10/2025 9/10/2025 PROGRAMACIÓN REALIZADA POR LA ALIANZA| INSTALACIÓN PROGRAMADA PARA EL 2025-10-14 | 14/10/2025 SE REALIZA IMPLEMENTACIÓN DE CB SE INSTALA EQUIPO Y SUS RESPECTIVOS ACCESORIOS,SE REALIZAN PRUEBAS QUEDANDO SERVICIO OPERÁTIVO AL 100 % PRUEBAS,SE INSTALA CON VERSIÓN 9.90 (SE EVIDENCIA CUBICULO  DE EFECTY ,AL IGUAL PUBLICIDAD OCULTA LA CUAL NOS ES POSIBLE EVIDENCIA QUE EXISTE EN SITIO FUNCIONANDO EFECTY ,CLIENTE SE LIMITA A DAR INFORMACIÓN DE LA PUBLICIDAD OCULTA Y NOS INDICA QUE NO TIENE FUNCIONANDO DICHA ENTIDAD)</t>
  </si>
  <si>
    <t>VWZZZ795 - VTZZZ901</t>
  </si>
  <si>
    <t>MAESTRE MENGUAL EDGAR ENRIQUE</t>
  </si>
  <si>
    <t>25899</t>
  </si>
  <si>
    <t>TA-25-1194776</t>
  </si>
  <si>
    <t>3007081871</t>
  </si>
  <si>
    <t>ZIPAQUIRA</t>
  </si>
  <si>
    <t>PTM ZIPAQUIRA DECORBALLOONS ST</t>
  </si>
  <si>
    <t>FO-25-1666966</t>
  </si>
  <si>
    <t>10/10/2025 9/10/2025 PROGRAMACIÓN REALIZADA POR LA ALIANZA| INSTALACIÓN PROGRAMADA PARA EL 2025-10-15 | 15/10/2025 SE REALIZA INSTALACIÓN COMPLETA DE CORRESPONSAL BANCARIO, SE INSTALA PUBLICIDAD EN LUGARES INDICADOS POR EL CLIENTE, SE REALIZA CAPACITACIÓN COMPLETA DE SOMOS Y USO DE MENÚ DE OPERADOR  A CLIENTE, SE CREAN USUARIOS DE CB INDICADOS POR EL CLIENTE, SE REALIZA PRUEBAS OK DE CB SE VALIDA SALDO DE CB ESTANDO OK A CONFORMIDAD DE CORRESPONSAL .</t>
  </si>
  <si>
    <t>VWZZZ796 - NRZZZ649</t>
  </si>
  <si>
    <t>LOZADA ROJAS CHRISTIAN ANDRES</t>
  </si>
  <si>
    <t>41020</t>
  </si>
  <si>
    <t>TA-25-1194777</t>
  </si>
  <si>
    <t>3007081852</t>
  </si>
  <si>
    <t>ALGECIRAS</t>
  </si>
  <si>
    <t>PTM ALGECIRAS TIENDA KELAIA</t>
  </si>
  <si>
    <t>FO-25-1666969</t>
  </si>
  <si>
    <t>10/10/2025 9/10/2025 PROGRAMACIÓN REALIZADA POR LA ALIANZA| INSTALACIÓN PROGRAMADA PARA EL 2025-10-14 | 14/10/2025 SE REALIZA VISITA AL PUNTO, SE IMPLEMENTA CON ÉXITO , BASE DATAFONO ,LECTORA , AVISO EXTERIOR, FLANGED,DISPLAY HORARIOS , SE REALIZA INSERTO OTROS LUGARES , SE CAPACITA CLIENTE SOBRE MANEJO CB DATÁFONO, PRUEBAS CB OK , SE DEJA EQUIPO CON VR 10.3 ,IMPLEMENTACIÓN EXITOSA .</t>
  </si>
  <si>
    <t>VWZZZ797</t>
  </si>
  <si>
    <t>DEVIA REINOSO JUAN CARLOS</t>
  </si>
  <si>
    <t>50568</t>
  </si>
  <si>
    <t>TA-25-1194779</t>
  </si>
  <si>
    <t>3007081862</t>
  </si>
  <si>
    <t>META</t>
  </si>
  <si>
    <t>PUERTO GAITAN</t>
  </si>
  <si>
    <t>PTM PUERTO GAITAN DROGUERIA JA</t>
  </si>
  <si>
    <t>FO-25-1666976</t>
  </si>
  <si>
    <t>10/10/2025 9/10/2025 PROGRAMACIÓN REALIZADA POR LA ALIANZA| INSTALACIÓN PROGRAMADA PARA EL 2025-10-15 | 15/10/2025 SE REALIZA INSTALACIÓN DE DATAFONO, BASE PARA DATAFONO, LECTOR DE BARRAS, SE CREA USUARIOS, PRUEBAS DE TX OK, SE INSTALA MAGICBOX 2600, SE INSTALA CUBRE TECLADO, SE REALIZA CAPACITACIÓN DE SOMOS BANCOLOMBIA Y OPERATIVA DEL DATAFONO.</t>
  </si>
  <si>
    <t>VTZZZ904</t>
  </si>
  <si>
    <t>MURCIA HERNANDEZ HARVEY IGNACIO</t>
  </si>
  <si>
    <t>TA-25-1194785</t>
  </si>
  <si>
    <t>3007081861</t>
  </si>
  <si>
    <t>PTM PASTO R&amp;R STORE</t>
  </si>
  <si>
    <t>FO-25-1687223 | FO-25-1666979</t>
  </si>
  <si>
    <t>16/10/2025 SE REALIZÓ LA INSTALACIÓN DE EQUIPOS PUBLICIDAD Y ACCESORIOS PARA APERTURA CB BANCOLOMBIA SE DIO CAPACITACIÓN MANEJO DE DATÁFONO CB Y SOMOS BANCOLOMBIA SE EJECUTAN PRUEBAS TX EXITOSAS QUEDA OPERATIVO</t>
  </si>
  <si>
    <t>VWZZZ800 // VYZZZ068</t>
  </si>
  <si>
    <t>TA-25-1194792</t>
  </si>
  <si>
    <t>3007081857</t>
  </si>
  <si>
    <t>DISTRICOL MERCAHOGAR LLORENTE</t>
  </si>
  <si>
    <t>FO-25-1666983</t>
  </si>
  <si>
    <t>10/10/2025 9/10/2025 PROGRAMACIÓN REALIZADA POR LA ALIANZA| INSTALACIÓN PROGRAMADA PARA EL 2025-10-14 | 14/10/2025 SE REALIZA INSTALACIÓN DE DATAFONO CON BASE Y LECTORA COMPLETOS CONFIGURACIÓN OK PARÁMETROS OK Y SE REALIZAN PRUEBAS ÉXITOSAS DE TRANSACCIONES SE CAPACITA EN MANEJO DEL CB SE INSTALA PUBLICIDAD INTERIOR Y EXTERIOR OK SE ENTREGA 40 ROLLOS DE PAPELERÍA SOMOS BANCOLOMBIA OK. SE INSTALA CUBRETECLADO OK</t>
  </si>
  <si>
    <t>VWZZZ801</t>
  </si>
  <si>
    <t>PAZ MARTINEZ RICHARD HUMBERTO</t>
  </si>
  <si>
    <t>TA-25-1194793</t>
  </si>
  <si>
    <t>3007081854</t>
  </si>
  <si>
    <t>PTM BUCARAMANGA DROGUERIA FARM</t>
  </si>
  <si>
    <t>FO-25-1666987</t>
  </si>
  <si>
    <t>10/10/2025 9/10/2025 PROGRAMACIÓN REALIZADA POR LA ALIANZA| INSTALACIÓN PROGRAMADA PARA EL 2025-10-14 | 14/10/2025 EN COMUNICACIÓN CON EL SEÑOR JUAN DAVID CASTILLA AL NÚMERO DE CONTACTO 3173661909, COMENTA QUE DEBIDO A UN INCONVENIENTE PRESENTADO EN EL OPERADOR DEL INTERNET DE SU LOCAL NO NOS PUEDE RECIBIR EL DÍA DE HOY PARA REALIZAR LA IMPLEMENTACIÓN DEL CORRESPONSAL POR TAL MOTIVO COMENTA QUE DARÁ ALGUNA RESPUESTA EN HORAS DE LA TARDE PARA PODER VISITARLO EL DÍA DE MAÑANA MIÉRCOLES 15 DE OCTUBRE DEL PRESENTE AÑO | 15/10/2025 SE ESTABLECE COMUNICACIÓN CON EL SEÑOR JUAN DAVID AL NÚMERO 3173661909 QUIEN INFORMA QUE YA LE DIO SOLUCIÓN AL PROBLEMA DEL INTERNET,DESEA QUE SE VISITE EL DÍA DE MAÑANA A LAS 9 AM | 16/10/2025 SE HACE PRESENCIA EN COMERCIO SE REALIZA INSTALACIÓN DE UN DATÁFONO CON SU RESPECTIVO LECTOR DE BARRAS, FUENTE DE PODER Y BRAZO DE SOPORTE.
SE CAPACITA PERSONAL PARA EL MANEJO DEL POS,SE REALIZAN PRUEBAS CONSULTA DE SALDO, RETIRO Y DEPÓSITO OK</t>
  </si>
  <si>
    <t>VWZZZ802 - VYZZZ062</t>
  </si>
  <si>
    <t>BARRERA ORTEGA MARLON STWAR</t>
  </si>
  <si>
    <t>TA-25-1194794</t>
  </si>
  <si>
    <t>3007081858</t>
  </si>
  <si>
    <t>PTM FLORIDABLANCA TIENDA LA AN</t>
  </si>
  <si>
    <t>FO-25-1683636 | FO-25-1666991</t>
  </si>
  <si>
    <t>15/10/2025 LUEGO DE CONTESTACION EMITIDA POR LA RED NOS INDICAN QUE SE PROCEDERA CON UN CAMBIO DE TERMINALES SE PROCEDERA CON LA CULMINACIÓN DE LA ACTIVIDAD UNA VEZ INFORME LA RED SE ESTABLECE CONTACTO CON LA USUARIA  QUE A LA VEZ NOS INDICA QUE NOS PODRÁ ATENDER EL DÍA MAÑANA SIN NINGÚN PROBLEMA | 16/10/2025 SE REALIZA INSTALACIÓN DE AVISO EXTERIOR FLANGER DISPLAY LEGAL IDENTIFICADOR DE PUNTO BASE DATÁFONO LECTORA CAMBIO DE SISTEMA OPERATIVO INVERSION 9.90 CREACIÓN DE USUARIOS CAPACITACIÓN ADMINISTRATIVA OPERATIVA PRUEBAS OK SERVICIO OPERATIVO</t>
  </si>
  <si>
    <t>VYZZZ063	/	VWZZZ803</t>
  </si>
  <si>
    <t>ECHEVERRI ECHEVERRI EVELIN DANIELA</t>
  </si>
  <si>
    <t>70235</t>
  </si>
  <si>
    <t>TA-25-1194795</t>
  </si>
  <si>
    <t>3007081859</t>
  </si>
  <si>
    <t>SUCRE</t>
  </si>
  <si>
    <t>GALERAS</t>
  </si>
  <si>
    <t>PTM GALERAS VARIEDADES PUNTOMO</t>
  </si>
  <si>
    <t>FO-25-1666996</t>
  </si>
  <si>
    <t>10/10/2025 9/10/2025 PROGRAMACIÓN REALIZADA POR LA ALIANZA| INSTALACIÓN PROGRAMADA PARA EL 2025-10-14 | 14/10/2025 SE VISITA COMERCIO, SE VERIFICA INFORMACIÓN, SE REALIZA INSTALACIÓN CB BANCOLOMBIA, SE INSTALA DATAFONO, LECTOR, MAGIC BOX DESK/2600, FUENTE, CABLE DE RED, BASE, CUBRE CLAVE, PAPELERÍA, PUBLICIDAD Y CAPACITACIÓN, PRUEBAS TRX EXITOSA.</t>
  </si>
  <si>
    <t>VWZZZ804</t>
  </si>
  <si>
    <t>CACERES HERNANDEZ ANDRES</t>
  </si>
  <si>
    <t>TA-25-1194800</t>
  </si>
  <si>
    <t>3007081855</t>
  </si>
  <si>
    <t>PTM CALI PAPELERIA Y VARIEDADE</t>
  </si>
  <si>
    <t>FO-25-1686966 | FO-25-1667001</t>
  </si>
  <si>
    <t>15/10/2025 SE INSTALA DATÁFONO SE CAPACITA AL CLIENTE SE ENTREGAN ROLLOS SE HACEN PRUEBAS CB QUEDA FUNCIONANDO CORRECTAMENTE NO SE HACEN MÁS PRUEBAS YA QUE CLIENTE NO TENÍA TARJETA BANCOLOMBIA Y LA DEL TECNICO ESTABA BLOQUEADA</t>
  </si>
  <si>
    <t>VWZZZ805 - VYZZZ065</t>
  </si>
  <si>
    <t>CUERO RUIZ JHONNY</t>
  </si>
  <si>
    <t>85001</t>
  </si>
  <si>
    <t>TA-25-1194803</t>
  </si>
  <si>
    <t>3007081870</t>
  </si>
  <si>
    <t>CASANARE</t>
  </si>
  <si>
    <t>PTM YOPAL TIENDA JUANCHOS YOPA</t>
  </si>
  <si>
    <t>FO-25-1667004</t>
  </si>
  <si>
    <t>10/10/2025 9/10/2025 PROGRAMACIÓN REALIZADA POR LA ALIANZA| INSTALACIÓN PROGRAMADA PARA EL 2025-10-14 | 14/10/2025 SE VISITA COMERCIO, SE INSTALA DATÁFONO, LECTOR DE BARRAS BASE Y CUBRE TECLADO. PRUEBAS OK. OPERATIVO EL SERVICIO. SOMOS BANCOLOMBIA OK. SE CAPACITA CLIENTE OK. NO SE REALIZA PRUEBA DE TRANSFERENCIA NO SE CUENTA CON TARJETA</t>
  </si>
  <si>
    <t>VWZZZ806-VTZZZ899</t>
  </si>
  <si>
    <t>BERNAL ELAICA EDGAR ALEXIS</t>
  </si>
  <si>
    <t>TA-25-1194804</t>
  </si>
  <si>
    <t>3007081853</t>
  </si>
  <si>
    <t>PTM BOGOTA LA PAPELERIA LMJ</t>
  </si>
  <si>
    <t>FO-25-1667008</t>
  </si>
  <si>
    <t>10/10/2025 9/10/2025 PROGRAMACIÓN REALIZADA POR LA ALIANZA| INSTALACIÓN PROGRAMADA PARA EL 2025-10-15 | 15/10/2025 SE VISITA COMERCIO, SE INSTALA DATAFONO CON LECTOR, SE REALIZAN PRUEBAS DE TX, PRUEBAS OK SE INSTALA PUBLICIDAD OK</t>
  </si>
  <si>
    <t>VWZZZ807 - VYZZZ059</t>
  </si>
  <si>
    <t>ORTIZ YARA FRANKLYN ISRAEL</t>
  </si>
  <si>
    <t>19698</t>
  </si>
  <si>
    <t>TA-25-1213396</t>
  </si>
  <si>
    <t>3007081737</t>
  </si>
  <si>
    <t>CAUCA</t>
  </si>
  <si>
    <t>SANTANDER DE QUILICHAO</t>
  </si>
  <si>
    <t>DISTRICOL DANICELL PLUS</t>
  </si>
  <si>
    <t>FO-25-1692030</t>
  </si>
  <si>
    <t>16/10/2025 16-10 PROGRAMACIÓN REALIZADA POR LA ALIANZA| INSTALACIÓN PROGRAMADA PARA EL 2025-10-17 | 24/10/2025 SE REALIZA APERTURA DE CB BANCOLOMBIA PURO, SE INSTALA EQUIPO, ACCESORIOS Y PUBLICIDAD, SE REALIZAN PRUEBAS OK. SE ENTREGAN 40 ROLLOS</t>
  </si>
  <si>
    <t>SUZZZ380</t>
  </si>
  <si>
    <t>MONTERO MUESES GIAN CARLO</t>
  </si>
  <si>
    <t>TA-25-1220616</t>
  </si>
  <si>
    <t>3007081887</t>
  </si>
  <si>
    <t>PTM MEDELLIN LOS VALLEJO</t>
  </si>
  <si>
    <t>FO-25-1706146</t>
  </si>
  <si>
    <t>20/10/2025 20-10 PROGRAMACIÓN REALIZADA POR LA ALIANZA| INSTALACIÓN PROGRAMADA PARA EL 2025-10-22 | 22/10/2025 SE INSTALA CB EXITOSAMENTE</t>
  </si>
  <si>
    <t>AE001924</t>
  </si>
  <si>
    <t>TA-25-1220617</t>
  </si>
  <si>
    <t>3007081886</t>
  </si>
  <si>
    <t>PTM MEDELLIN DROGUERIA LUZ Y V</t>
  </si>
  <si>
    <t>FO-25-1706145</t>
  </si>
  <si>
    <t>AE001925</t>
  </si>
  <si>
    <t>5129</t>
  </si>
  <si>
    <t>TA-25-1220618</t>
  </si>
  <si>
    <t>3007081876</t>
  </si>
  <si>
    <t>PTM CALDAS DAGO DROGUERIA</t>
  </si>
  <si>
    <t>FO-25-1706148</t>
  </si>
  <si>
    <t>20/10/2025 20-10 PROGRAMACIÓN REALIZADA POR LA ALIANZA| INSTALACIÓN PROGRAMADA PARA EL 2025-10-22 | 22/10/2025 SE INSTALAN EQUIPOS OK</t>
  </si>
  <si>
    <t>AE001926</t>
  </si>
  <si>
    <t>5380</t>
  </si>
  <si>
    <t>TA-25-1220619</t>
  </si>
  <si>
    <t>3007081885</t>
  </si>
  <si>
    <t>LA ESTRELLA</t>
  </si>
  <si>
    <t>PTM LA ESTRELLA MUNDO BEBE MAF</t>
  </si>
  <si>
    <t>FO-25-1706151</t>
  </si>
  <si>
    <t>AE001927</t>
  </si>
  <si>
    <t>TA-25-1220620</t>
  </si>
  <si>
    <t>3007081880</t>
  </si>
  <si>
    <t>PTM NEIVA MISCELANEA S&amp;C</t>
  </si>
  <si>
    <t>FO-25-1706156</t>
  </si>
  <si>
    <t>20/10/2025 20-10 PROGRAMACIÓN REALIZADA POR LA ALIANZA| INSTALACIÓN PROGRAMADA PARA EL 2025-10-21 | 21/10/2025 SE REALIZA APERTURA DE CB BANCOLOMBIA, SE INSTALA DATAFONO CON CUBRE CLAVE CON BASE Y ACCESORIOS, SE DA CAPACITACION AL CLIENTE, SE REALIZAN PRUEBAS DE TRANSACCIONES, TODAS EFECTIVAS, SE REALIZA EXAMEN PAGINA SOMOS BANCOLOMBIA, SE INSTALA PUBLICIDAD (AVISO EXTERIOR, FLANGER GIROS , DISPLAY HORARIO) Y SE ENTREGAN 40 ROLLOS RBM</t>
  </si>
  <si>
    <t>AE001929</t>
  </si>
  <si>
    <t>TA-25-1220624</t>
  </si>
  <si>
    <t>3007081881</t>
  </si>
  <si>
    <t>PTM PASTO MULTISERVICIOS Y SOL</t>
  </si>
  <si>
    <t>FO-25-1706162</t>
  </si>
  <si>
    <t>20/10/2025 20-10 PROGRAMACIÓN REALIZADA POR LA ALIANZA| INSTALACIÓN PROGRAMADA PARA EL 2025-10-21 | 21/10/2025 SE REALIZÓ LA INSTALACIÓN DE EQUIPOS PUBLICIDAD Y ACCESORIOS PARA APERTURA CB BANCOLOMBIA SE DIO CAPACITACIÓN MANEJO DE DATÁFONO CB Y SOMOS BANCOLOMBIA, ESTE ÚLTIMO NO ESTÁ ACTIVO POR CORREO DEL CLIENTE, SE EJECUTAN PRUEBAS TX EXITOSAS QUEDA OPERATIVO.</t>
  </si>
  <si>
    <t>AE001932</t>
  </si>
  <si>
    <t>TA-25-1220625</t>
  </si>
  <si>
    <t>3007081874</t>
  </si>
  <si>
    <t>PTM BUCARAMANGA PAPELERIA Y CA</t>
  </si>
  <si>
    <t>FO-25-1706167</t>
  </si>
  <si>
    <t>20/10/2025 20-10 PROGRAMACIÓN REALIZADA POR LA ALIANZA| INSTALACIÓN PROGRAMADA PARA EL 2025-10-21 | 21/10/2025 SE REALIZA APERTURA DE CB BANCOLOMBIA PURO SE INSTALA DATAFONO LECTOR DE BARRAS BASE DE DATÁFONO USUARIO CAPACITACIÓN PUBLICIDAD COMPLETA</t>
  </si>
  <si>
    <t>AE001933</t>
  </si>
  <si>
    <t>HERRERA LUQUE SAUL JAVIER</t>
  </si>
  <si>
    <t>68406</t>
  </si>
  <si>
    <t>TA-25-1220627</t>
  </si>
  <si>
    <t>3007081879</t>
  </si>
  <si>
    <t>LEBRIJA</t>
  </si>
  <si>
    <t>PTM LEBRIJA MINI MARTKET LEIDY</t>
  </si>
  <si>
    <t>FO-25-1706169</t>
  </si>
  <si>
    <t>20/10/2025 20-10 PROGRAMACIÓN REALIZADA POR LA ALIANZA| INSTALACIÓN PROGRAMADA PARA EL 2025-10-21 | 21/10/2025 SE REALIZA VISITA AL COMERCIO SE HACE APERTURA CORRESPONSAL BANCOLOMBIA PURO SE INSTALA AVISO, FLANGER, DISPLAY DE HORARIOS, DATÁFONO, LECTOR DE BARRAS, SE REALIZA CAPACITACIÓN GENERAL COMPLETA SE HACEN PRUEBAS, SOMOS BANCOLOMBIA CAÍDO NO LLEGA MENSAJE CON CÓDIGO DE VERIFICACIÓN AL CORREO DEL CLIENTE CLIENTE REALIZA LLAMADA A LA LÍNEA DE SERVICIO AL CLIENTE DONDE COMENTAN QUE HAY QUE ESPERAR APROXIMADAMENTE 36 HORAS PARA PODER SOLUCIONAR EL INCONVENIENTE CON EL PORTAL</t>
  </si>
  <si>
    <t>AE001934</t>
  </si>
  <si>
    <t>68575</t>
  </si>
  <si>
    <t>TA-25-1220628</t>
  </si>
  <si>
    <t>3007081883</t>
  </si>
  <si>
    <t>PUERTO WILCHES</t>
  </si>
  <si>
    <t>PTM PUERTO WILCHES LEIMATH' DA</t>
  </si>
  <si>
    <t>FO-25-1706173</t>
  </si>
  <si>
    <t>20/10/2025 20-10 PROGRAMACIÓN REALIZADA POR LA ALIANZA| INSTALACIÓN PROGRAMADA PARA EL 2025-10-21 | 21/10/2025 INSTALACIÓN CONFIGURACIÓN Y CAPACITACIÓN DE MANEJO DE TERMINAL E INGRESO A SOMOS BANCOLOMBIA</t>
  </si>
  <si>
    <t>AE001935</t>
  </si>
  <si>
    <t>TA-25-1220629</t>
  </si>
  <si>
    <t>3007081875</t>
  </si>
  <si>
    <t>PTM CALI GLOBALTECH CYBER</t>
  </si>
  <si>
    <t>FO-25-1706175</t>
  </si>
  <si>
    <t>20/10/2025 20-10 PROGRAMACIÓN REALIZADA POR LA ALIANZA| INSTALACIÓN PROGRAMADA PARA EL 2025-10-21 | 21/10/2025 SE VISITA ESTABLECIMIENTO, SE REALIZA INSTALACIÓN CORRESPONSAL BANCOLOMBIA PURO. TRANSACCIONES DE PRUEBA EXITOSAS. SE CAPACITA Y SE INSTALA PUBLICIDAD COMPLETA</t>
  </si>
  <si>
    <t>AE001936</t>
  </si>
  <si>
    <t>76318</t>
  </si>
  <si>
    <t>TA-25-1220630</t>
  </si>
  <si>
    <t>3007081878</t>
  </si>
  <si>
    <t>GUACARI</t>
  </si>
  <si>
    <t>PTM GUACARI PAPELERIA SANTA MA</t>
  </si>
  <si>
    <t>FO-25-1706177</t>
  </si>
  <si>
    <t>20/10/2025 20-10 PROGRAMACIÓN REALIZADA POR LA ALIANZA| INSTALACIÓN PROGRAMADA PARA EL 2025-10-21 | 21/10/2025 SE REALIZA APERTURA DE CB BANCOLOMBIA PURO, SE INSTALA EQUIPO, ACCESORIOS Y PUBLICIDAD, SE REALIZAN PRUEBAS OK. NO ES POSIBLE REALIZAR CAPACITACIÓN DE SOMOS BANCOLOMBIA DEBIDO A QUE AL CLIENTE NO LE LLEGA CÓDIGO DE VERIFICACIÓN Y EL USUARIO DE PRUEBA SE ENCUENTRA BLOQUEADO SE REALIZA CON EL DE PRUEBA . SE REALIZA ENTREGA DE 40 ROLLOS.</t>
  </si>
  <si>
    <t>AE001937</t>
  </si>
  <si>
    <t>TA-25-1220631</t>
  </si>
  <si>
    <t>3007081888</t>
  </si>
  <si>
    <t>PTM CASANARE 3/65</t>
  </si>
  <si>
    <t>FO-25-1706184</t>
  </si>
  <si>
    <t>20/10/2025 20-10 PROGRAMACIÓN REALIZADA POR LA ALIANZA| INSTALACIÓN PROGRAMADA PARA EL 2025-10-21 | 21/10/2025 SE VISITA COMERCIO, SE INSTALA DATÁFONO LECTOR BASE Y CUBRE TECLADO. PRUEBAS OK. OPERATIVO EL SERVICIO. SE CAPACITA CLIENTE. SOMOS BANCOLOMBIA OK.</t>
  </si>
  <si>
    <t>AE001938</t>
  </si>
  <si>
    <t>85010</t>
  </si>
  <si>
    <t>TA-25-1220632</t>
  </si>
  <si>
    <t>3007081872</t>
  </si>
  <si>
    <t>AGUAZUL</t>
  </si>
  <si>
    <t>PTM MARGINAL DE LA SELVA FRENT</t>
  </si>
  <si>
    <t>FO-25-1706186</t>
  </si>
  <si>
    <t>20/10/2025 20-10 PROGRAMACIÓN REALIZADA POR LA ALIANZA| INSTALACIÓN PROGRAMADA PARA EL 2025-10-22 | 22/10/2025 SE VISITA COMERCIO, SE INSTALA DATÁFONO LECTOR BASE Y CUBRE TECLADO. PRUEBAS OK. OPERATIVO EL SERVICIO. SOMOS BANCOLOMBIA OK. NO SE REALIZA PRUEBA DE TRANSFERENCIA NO SE CUENTA CON TARJETA.</t>
  </si>
  <si>
    <t>AE001939</t>
  </si>
  <si>
    <t>TA-25-1220633</t>
  </si>
  <si>
    <t>3007081873</t>
  </si>
  <si>
    <t>PTM BOGOTA FLAG MART</t>
  </si>
  <si>
    <t>FO-25-1716863 | FO-25-1706191</t>
  </si>
  <si>
    <t>22/10/2025 SE REALIZA LA INSTALACIÓN DEL CB PTM BOGOTA FLAG MARY, EL CLIENTE Y TÉCNICO NO MANEJAN TARJETA BANCOLOMBIA SE REALIZAN PRUEBAS ENVIANDO Y RETIRANDO POR NEQUI</t>
  </si>
  <si>
    <t>AE001940</t>
  </si>
  <si>
    <t>ALARCON AREVALO JOHAN STIVEN</t>
  </si>
  <si>
    <t>TA-25-1229137</t>
  </si>
  <si>
    <t>3007081949</t>
  </si>
  <si>
    <t>PTM MEDELLIN PAPELERIA CLIP AG</t>
  </si>
  <si>
    <t>FO-25-1718383</t>
  </si>
  <si>
    <t>22/10/2025 22-10 PROGRAMACIÓN REALIZADA POR LA ALIANZA| INSTALACIÓN PROGRAMADA PARA EL 2025-10-24 | 24/10/2025 INSTALACIÓN DE CB MIXTO OK PRUEBAS OK PUBLICIDAD Y CAPACITACIÓN CUBRE CLAVE OK NO TELECARGA</t>
  </si>
  <si>
    <t>AE003968 AE003237</t>
  </si>
  <si>
    <t>TA-25-1229143</t>
  </si>
  <si>
    <t>3007081947</t>
  </si>
  <si>
    <t>PTM MEDELLIN MERCADOS LA 80 PE</t>
  </si>
  <si>
    <t>FO-25-1718384</t>
  </si>
  <si>
    <t>22/10/2025 22-10 PROGRAMACIÓN REALIZADA POR LA ALIANZA| INSTALACIÓN PROGRAMADA PARA EL 2025-10-24 | 24/10/2025 INSTALACIÓN CB OK, SE CAPACITA AL USUARIO, PRUEBAS EXITOSAS, CB QUEDA OPERATIVO  . INSTALACIÓN DE PUBLICIDAD OK</t>
  </si>
  <si>
    <t>AE003969-AE003238</t>
  </si>
  <si>
    <t>TA-25-1229149</t>
  </si>
  <si>
    <t>3007081946</t>
  </si>
  <si>
    <t>PTM MEDELLIN ACELEROX</t>
  </si>
  <si>
    <t>FO-25-1718387</t>
  </si>
  <si>
    <t>22/10/2025 22-10 PROGRAMACIÓN REALIZADA POR LA ALIANZA| INSTALACIÓN PROGRAMADA PARA EL 2025-10-24 | 24/10/2025 SE INSTALA CB EXITOSAMENTE</t>
  </si>
  <si>
    <t>AE003970-AE003239</t>
  </si>
  <si>
    <t>TA-25-1229159</t>
  </si>
  <si>
    <t>3007081950</t>
  </si>
  <si>
    <t>PTM MEDELLIN SUEÑOS DE CARAMEL</t>
  </si>
  <si>
    <t>FO-25-1718391</t>
  </si>
  <si>
    <t>22/10/2025 22-10 PROGRAMACIÓN REALIZADA POR LA ALIANZA| INSTALACIÓN PROGRAMADA PARA EL 2025-10-24 | 24/10/2025 SE REALIZA INSTALACIÓN DE CORRESPONSAL, SE INSTALAN EQUIPOS CON PRUEBAS EXITOSAS, SE CAPACITA Y SE EVALÚA AL CLIENTE, SE INSTALA PUBLICIDAD COMPLETA, CB QUEDA OPERATIVO. USUARIO SOMOS BANCOLOMBIA ACTIVO</t>
  </si>
  <si>
    <t>AE003971-AE003240</t>
  </si>
  <si>
    <t>TA-25-1229161</t>
  </si>
  <si>
    <t>3007081948</t>
  </si>
  <si>
    <t>PTM MEDELLIN DROGUERIA TALITA</t>
  </si>
  <si>
    <t>FO-25-1718394</t>
  </si>
  <si>
    <t>22/10/2025 22-10 PROGRAMACIÓN REALIZADA POR LA ALIANZA| INSTALACIÓN PROGRAMADA PARA EL 2025-10-24 | 24/10/2025 INSTALACIÓN DE CB MIXTO OK PUBLICIDAD Y CAPACITACIÓN OK PRUEBAS SOLO CONSULTA DE SALDO NO HAY PARA OTRAS PRUEBAS CUBRE CLAVE OK NO TELECARGA</t>
  </si>
  <si>
    <t>AE003972 AE003241</t>
  </si>
  <si>
    <t>5282</t>
  </si>
  <si>
    <t>TA-25-1229165</t>
  </si>
  <si>
    <t>3007081941</t>
  </si>
  <si>
    <t>FREDONIA</t>
  </si>
  <si>
    <t>PTM CORREGIMIENTO LA MINA DEPO</t>
  </si>
  <si>
    <t>FO-25-1718397</t>
  </si>
  <si>
    <t>22/10/2025 22-10 PROGRAMACIÓN REALIZADA POR LA ALIANZA| INSTALACIÓN PROGRAMADA PARA EL 2025-10-23 | 23/10/2025 SE HACE IMPLEMENTACION OK EQUIPOS OPERATIVOS PRUEBAS EXITOSAS</t>
  </si>
  <si>
    <t>AE003973</t>
  </si>
  <si>
    <t>5480</t>
  </si>
  <si>
    <t>TA-25-1229167</t>
  </si>
  <si>
    <t>3007081943</t>
  </si>
  <si>
    <t>MUTATA</t>
  </si>
  <si>
    <t>PTM MUTATA DISTRIBUCIONES DIEZ</t>
  </si>
  <si>
    <t>FO-25-1718401</t>
  </si>
  <si>
    <t>22/10/2025 22-10 PROGRAMACIÓN REALIZADA POR LA ALIANZA| INSTALACIÓN PROGRAMADA PARA EL 2025-10-24 | 24/10/2025 SE INSTALA BASE DATAFONO, DATAFONO,LECTORA,MAGIBOX,PUBLICIDAD SE HACEN PRUEBAS DE CONSULTA DE SALDO, RETIRO,CONSIGNACIONES Y SE DEJA FUNCIONANDO CORRECTAMENTE</t>
  </si>
  <si>
    <t>AE003974-AE003275</t>
  </si>
  <si>
    <t>25843</t>
  </si>
  <si>
    <t>TA-25-1229177</t>
  </si>
  <si>
    <t>3007081945</t>
  </si>
  <si>
    <t>VILLA DE SAN DIEGO DE UBATE</t>
  </si>
  <si>
    <t>PTM VILLA DE SAN DIEGO PAPELER</t>
  </si>
  <si>
    <t>FO-25-1718410</t>
  </si>
  <si>
    <t>22/10/2025 22-10 PROGRAMACIÓN REALIZADA POR LA ALIANZA| INSTALACIÓN PROGRAMADA PARA EL 2025-10-24 | 24/10/2025 NO FUE POSIBLE REALIZAR APERTURA POR FALLAS EN LA RED | 29/10/2025 SE VISITA COMERCIO, SE INSTALA CB BANCOLOMBIA, SE CREAN USUARIOS DEL CLIENTE, SE REALIZAN PRUEBAS OK, SE BRINDA CAPACITACIÓN DE USO, SE INSTALA PUBLICIDAD COMPLETA.</t>
  </si>
  <si>
    <t>AE003384 - AE003975</t>
  </si>
  <si>
    <t>VEGA MANRIQUE JONATAN MAURICIO</t>
  </si>
  <si>
    <t>73001</t>
  </si>
  <si>
    <t>TA-25-1229178</t>
  </si>
  <si>
    <t>3007081942</t>
  </si>
  <si>
    <t>TOLIMA</t>
  </si>
  <si>
    <t>PTM IBAGUE FARMAPLUS DE LA GUA</t>
  </si>
  <si>
    <t>FO-25-1718414</t>
  </si>
  <si>
    <t>22/10/2025 22-10 PROGRAMACIÓN REALIZADA POR LA ALIANZA| INSTALACIÓN PROGRAMADA PARA EL 2025-10-24 | 24/10/2025 SE REALIZA INSTALACIÓN DE CB BANCOLOMBIA, SE CAPACITA A HEIDY DUSAN  SOBRE EL MANEJO DEL CB; SE INSTALA PUBLICIDAD INCLUIDO HORARIO Y OTROS LUGARES PRUEBAS OK SE INSTALA CUBRE CLAVE.</t>
  </si>
  <si>
    <t>AE003976-AE003308</t>
  </si>
  <si>
    <t>BARRAGAN TAFUR EDWIN ESTEBAN</t>
  </si>
  <si>
    <t>TA-25-1229180</t>
  </si>
  <si>
    <t>3007081938</t>
  </si>
  <si>
    <t>PTM CALI INTERLADO</t>
  </si>
  <si>
    <t>FO-25-1718422</t>
  </si>
  <si>
    <t>22/10/2025 22-10 PROGRAMACIÓN REALIZADA POR LA ALIANZA| INSTALACIÓN PROGRAMADA PARA EL 2025-10-24 | 24/10/2025 SE LLAMA AL CLIENTE VÁLIDO LA INSTALACIÓN DEL CB Y LA DISPONIBILIDAD, SE VISITA EL COMERCIO, SE INSTALA DATAFONO, LECTORA, PINPAD, MAGIC BOX EN APERTURA CB MIXTO BANCOLOMBIA, PRUEBAS OK, TELECARGA TRNA</t>
  </si>
  <si>
    <t>AE003978 - AE003364</t>
  </si>
  <si>
    <t>TA-25-1229181</t>
  </si>
  <si>
    <t>3007081939</t>
  </si>
  <si>
    <t>PTM CALI TIENDA ANIMAL MUNDO M</t>
  </si>
  <si>
    <t>FO-25-1718424</t>
  </si>
  <si>
    <t>22/10/2025 22-10 PROGRAMACIÓN REALIZADA POR LA ALIANZA| INSTALACIÓN PROGRAMADA PARA EL 2025-10-24 | 24/10/2025 SE INSTALA EQUIPO, LECTOR Y ACCESORIOS, LUEGO SE CAPACITA Y SE INSTALA PUBLICIDAD, PRUEBAS OK</t>
  </si>
  <si>
    <t>AE003979 - AE003365</t>
  </si>
  <si>
    <t>TA-25-1229183</t>
  </si>
  <si>
    <t>3007081944</t>
  </si>
  <si>
    <t>PTM PUERTO ASIS BOUTIQUE L&amp;J A</t>
  </si>
  <si>
    <t>FO-25-1718431</t>
  </si>
  <si>
    <t>22/10/2025 22-10 PROGRAMACIÓN REALIZADA POR LA ALIANZA| INSTALACIÓN PROGRAMADA PARA EL 2025-10-24 | 25/10/2025 DEBIDO A PROBLEMAS PARA DESPLAZAMIENTO HACIA PUTUMAYO DADO INCONVENIENTES EN LAS VIAS Y POR CAIDA DE ENTIDAD BANCARIA EN LA MAÑANA DEL VIERNES NO SE PUEDE VIAJAR HACIA  PUTUMAYO, SE ESTARA VIAJANDO LA PROXIMA SEMANA. | 27/10/2025 SE REALIZA COMUNICACIÓN TELEFÓNICA CON LA SEÑORA LILIANA Y SE LE INFORMA QUE MAÑANA EN LA JORNADA DE LA MAÑANA SE REALIZARÁ INSTALACIÓN YA QUE HOY ME ENCUENTRO REALIZANDO DESPLAZAMIENTO DESDE LA CIUDAD DE PASTO | 28/10/2025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</si>
  <si>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AE003980 - AE003296</t>
  </si>
  <si>
    <t>5034</t>
  </si>
  <si>
    <t>TA-25-1229184</t>
  </si>
  <si>
    <t>3007081940</t>
  </si>
  <si>
    <t>ANDES</t>
  </si>
  <si>
    <t>PTM ANDES MARANTO BELLEZA NATU</t>
  </si>
  <si>
    <t>FO-25-1718434</t>
  </si>
  <si>
    <t>22/10/2025 22-10 PROGRAMACIÓN REALIZADA POR LA ALIANZA| INSTALACIÓN PROGRAMADA PARA EL 2025-10-23 | 23/10/2025 SE REALIZA INSTALACIÓN DE EQUIPO, CAPACITACIÓN Y INSTALACIÓN DE PUBLICIDAD SE REALIZAN PRUEBAS EXITOSAS SERVICIO OPERATIVO OK</t>
  </si>
  <si>
    <t>AE003981</t>
  </si>
  <si>
    <t>TA-25-1229185</t>
  </si>
  <si>
    <t>3007081935</t>
  </si>
  <si>
    <t>PTM BOGOTA DROGUERIA ROSSI FAR</t>
  </si>
  <si>
    <t>FO-25-1718438</t>
  </si>
  <si>
    <t>22/10/2025 22-10 PROGRAMACIÓN REALIZADA POR LA ALIANZA| INSTALACIÓN PROGRAMADA PARA EL 2025-10-24 | 24/10/2025 NO SE PUEDE REALIZAR INSTALACIÓN YA QUE PRESENTA FALLA CON BANCOLOMBIA Y REDEBAN | 29/10/2025 DURANTE VISITA TECNICA SE REALIZA INSTALACIÓN DE CORRESPONSAL BANCARIO CON SOPORTÉ, LECTOR DE BARRAS Y DATAFONO, SE CREAN USUARIOS DE CB INDICADOS POR EL CLIENTE, SE REALIZA PRUEBAS OK DE CB. CIERRES</t>
  </si>
  <si>
    <t>AE003982 - AE003278</t>
  </si>
  <si>
    <t>TA-25-1229186</t>
  </si>
  <si>
    <t>3007081934</t>
  </si>
  <si>
    <t>PTM BOGOTA COMUNICACIONES C.A</t>
  </si>
  <si>
    <t>FO-25-1718440</t>
  </si>
  <si>
    <t>22/10/2025 22-10 PROGRAMACIÓN REALIZADA POR LA ALIANZA| INSTALACIÓN PROGRAMADA PARA EL 2025-10-24 | 24/10/2025 POR FALLA CON LA PLATAFORMA DEL BANCO Y CAIDA GENERAL NO SE ALCANZA A REALIZAR ACTIVIDAD SE HACE CONTACTO CON CLIENTE AL NÚMERO 3046600000 INDICANDO NOVEDAD Y ESTE PIDE QUE LE VUELVAN A CONTACTAR EL DÍA LUNES 27 PARA CONFIRMAR NUEVAMENTE | 29/10/2025 SE REALIZA INSTALACIÓN COMPLETA DE CORRESPONSAL BANCARIO, SE INSTALA PUBLICIDAD EN LUGARES INDICADOS POR EL CLIENTE, SE REALIZA CAPACITACIÓN COMPLETA DE SOMOS Y USO DE MENÚ DE OPERADOR  A CLIENTE, SE CREAN USUARIOS DE CB INDICADOS POR EL CLIENTE, SE REALIZA PRUEBAS OK DE CB SE VALIDA SALDO DE CB ESTANDO OK A CONFORMIDAD DE CORRESPONSAL, SOLO SE REALIZA PRUEBAS DE DEPOSITO YA QUE NO SE CUENTA CON TARJETA DE PRUEBAS.</t>
  </si>
  <si>
    <t>AE003983-AE003279</t>
  </si>
  <si>
    <t>TA-25-1229187</t>
  </si>
  <si>
    <t>3007081932</t>
  </si>
  <si>
    <t>PTM BOGOTA EL PINCEL DE LA BEL</t>
  </si>
  <si>
    <t>FO-25-1718444</t>
  </si>
  <si>
    <t>22/10/2025 22-10 PROGRAMACIÓN REALIZADA POR LA ALIANZA| INSTALACIÓN PROGRAMADA PARA EL 2025-10-24 | 24/10/2025 SE VISITA COMERCIO, SE INSTALA DATAFONO CON LECTORA Y BASE, SE ENTRGAN 40 ROLLOS RBM, SE DA CAPACITACIÓN, SE REALIZAN PRUEBAS , PRUEBAS DE TX OK</t>
  </si>
  <si>
    <t>AE003985 - AE003366</t>
  </si>
  <si>
    <t>TA-25-1229188</t>
  </si>
  <si>
    <t>3007081936</t>
  </si>
  <si>
    <t>PTM BOGOTA PAPELERIA ANDI</t>
  </si>
  <si>
    <t>FO-25-1718447</t>
  </si>
  <si>
    <t>22/10/2025 22-10 PROGRAMACIÓN REALIZADA POR LA ALIANZA| INSTALACIÓN PROGRAMADA PARA EL 2025-10-24 | 24/10/2025 INSTALACIÓN BANCOLOMBIA CON PUBLICIDAD DATAFONO LECTORA ROLLOS BASE FUENTE DATOS SERVICIO OPERATIVO PRUEBAS OK TRNA RBM SE INSTALA CUBRE TECLADO SOLO SE REALIZA CONSULTA DE SALDO NO SE TIENE COMO HACER RETIRO Y CONSIGNACIÓN</t>
  </si>
  <si>
    <t>AE003986 - AE003281</t>
  </si>
  <si>
    <t>TA-25-1237374</t>
  </si>
  <si>
    <t>3007081988</t>
  </si>
  <si>
    <t>PTM MEDELLIN MANUFACTURAS DE F</t>
  </si>
  <si>
    <t>FO-25-1730054</t>
  </si>
  <si>
    <t>24/10/2025 24-10 PROGRAMACIÓN REALIZADA POR LA ALIANZA| INSTALACIÓN PROGRAMADA PARA EL 2025-10-28 | 28/10/2025 SE INSTALAN EQUIPOS OK, SE REALIZA CAMBIO DE DATAFONO DEBIDO A IMPRESORA MALA, PRUEBAS OK</t>
  </si>
  <si>
    <t>CA000702 - AE004736</t>
  </si>
  <si>
    <t>5148</t>
  </si>
  <si>
    <t>TA-25-1237375</t>
  </si>
  <si>
    <t>3007081987</t>
  </si>
  <si>
    <t>EL CARMEN DE VIBORAL</t>
  </si>
  <si>
    <t>PTM VEREDA RIVERA EL CARMEN DE</t>
  </si>
  <si>
    <t>FO-25-1730055</t>
  </si>
  <si>
    <t>24/10/2025 24-10 PROGRAMACIÓN REALIZADA POR LA ALIANZA| INSTALACIÓN PROGRAMADA PARA EL 2025-10-28 | 28/10/2025 SE INSTALA PUBLICIDAD Y EQUIPOS A PETICIÓN DEL USUARIO, SE DEJAN SERVICIOS OK CAPACITACIÓN OK</t>
  </si>
  <si>
    <t>CA000703-AE004737</t>
  </si>
  <si>
    <t>5576</t>
  </si>
  <si>
    <t>TA-25-1237376</t>
  </si>
  <si>
    <t>3007081983</t>
  </si>
  <si>
    <t>PUEBLORRICO</t>
  </si>
  <si>
    <t>PTM PUEBLO RICO VARIEDADES L&amp;B</t>
  </si>
  <si>
    <t>FO-25-1730058</t>
  </si>
  <si>
    <t>24/10/2025 24-10 PROGRAMACIÓN REALIZADA POR LA ALIANZA| INSTALACIÓN PROGRAMADA PARA EL 2025-10-28 | 28/10/2025 INSTALACIÓN DE CB PURO OK PUBLICIDAD Y CAPACITACIÓN OK PRUEBAS SOLO CONSULTA DE SALDO CUBRE CLAVE OK NO TELECARGA</t>
  </si>
  <si>
    <t>CA000704</t>
  </si>
  <si>
    <t>TA-25-1237377</t>
  </si>
  <si>
    <t>3007081985</t>
  </si>
  <si>
    <t>PTM SOLEDAD MINI TIENDA JP 26</t>
  </si>
  <si>
    <t>FO-25-1730061</t>
  </si>
  <si>
    <t>24/10/2025 24-10 PROGRAMACIÓN REALIZADA POR LA ALIANZA| INSTALACIÓN PROGRAMADA PARA EL 2025-10-27 | 27/10/2025 SE REALIZA VISITA AL COMERCIO PARA REALIZAR LA INSTALACIÓN DEL CORRESPONSAL BANCOLOMBIA EXITOSO SE CREAN USUARIOS SE CAPACITA AL CLIENTE SOBRE EL MANEJO DEL DATÁFONO SE INSTALA VERSIÓN 9.90 SE REALIZAN PRUEBAS EXITOSAS Y EL CB QUEDA OPERATIVO.COMERCIO SIN AVISO PUBLICITARIO, SIN EMBARGO SI ES EL MISMO OBJETIVO COMERCIAL, LA DIRECCION COINCIDE Y LA CÁMARA DE COMERCIO TAMBIEN TIENE EL MISMO NOMBRE DE LISTA DE CHEQUEO.</t>
  </si>
  <si>
    <t>CA000705-CA000559</t>
  </si>
  <si>
    <t>15469</t>
  </si>
  <si>
    <t>TA-25-1237378</t>
  </si>
  <si>
    <t>3007081982</t>
  </si>
  <si>
    <t>MONIQUIRA</t>
  </si>
  <si>
    <t>PTM MONIQUIRA DISTRIGANOS RICA</t>
  </si>
  <si>
    <t>FO-25-1730064</t>
  </si>
  <si>
    <t>24/10/2025 24-10 PROGRAMACIÓN REALIZADA POR LA ALIANZA| INSTALACIÓN PROGRAMADA PARA EL 2025-10-27 | 27/10/2025 SE ESTABLECE COMUNICACIÓN CON LA SEÑORA LEIDY MARIANA CARVAJAL MORELO AL NÚMERO DE CONTACTO  3103598771 SE LE INDICA QUE POR TEMAS DE LOS DESPLAZAMIENTOS Y LA HORA ACTUAL NO ES POSIBLE EJECUTAR LA ACTIVIDAD EL DÍA DE HOY VA SER VISITADA EL DÍA DE MAÑANA EN HORAS AM CLIENTE CONFIRMA TENER LA DISPONIBILIDAD TOTAL PARA EL DÍA DE MAÑANA SE VÁLIDA DISTANCIA MODEM A DONDE VA QUEDAR INSTALADO EL DATÁFONO CLIENTE CONFIRMA QUE ESTÁ CERCA. | 28/10/2025 SE EJECUTA APERTURA BANCOLOMBIA EXITOSA INSTALANDO EQUIPOS Y PUBLICIDAD PERSONAL CAPACITADO PRUEBAS OK CLIENTE CONFORME</t>
  </si>
  <si>
    <t>CA000706</t>
  </si>
  <si>
    <t>68307</t>
  </si>
  <si>
    <t>TA-25-1237379</t>
  </si>
  <si>
    <t>3007081979</t>
  </si>
  <si>
    <t>GIRON</t>
  </si>
  <si>
    <t>PTM GIRON TIENDA EL MIRADOR DE</t>
  </si>
  <si>
    <t>FO-25-1730067</t>
  </si>
  <si>
    <t>24/10/2025 24-10 PROGRAMACIÓN REALIZADA POR LA ALIANZA| INSTALACIÓN PROGRAMADA PARA EL 2025-10-27 | 27/10/2025 EN COMUNICACIÓN CON EL SEÑOR GONZALO AL MOVIL 3172513082, SE CONFIRMA PUERTO DE RED Y ELÉCTRICO, SE CONFIRMA DISPONIBILIDAD DE ATENCIÓN PARA EL DÍA DE MAÑANA MARTES 28 DE OCTUBRE DESPUÉS DE LAS 8 AM, SE LE INFORMA QUE DEBIDO A UNA NOVEDAD CON LA RED SE REPROGRAMO LA INSTALACIÓN POR OPERATIVIDAD,CLIENTE CONFORME. | 28/10/2025 INSTALACIÓN DE CB BANCOLOMBIA MIXTO, INSTALACIÓN Y ADECUACIÓN DE DATAFONO LECTORA FUENTE CABLE PACTHCORD Y BASE FUENTE Y CUBRE CLAVE, INYECCION DE SO +VER 10.3N, CONFIGURACION CB OK, PRUEBAS OK, SE CAPACITA SOBRE LA WEB SOMOS BANCOLOMBIA, SE CAPACITA SOBRE RETIROS DEPÓSITOS RECUADOS TRASFERENCIAS SALDO Y SE EXPLICA SOBRE CIERRE Y CUADRE DIARIO.</t>
  </si>
  <si>
    <t>106ZZ080-CA000707</t>
  </si>
  <si>
    <t>SANTOS GONZALEZ JOHAN FABIAN</t>
  </si>
  <si>
    <t>TA-25-1237380</t>
  </si>
  <si>
    <t>3007081980</t>
  </si>
  <si>
    <t>PTM  GIRON MISCELANEA SANVA 2</t>
  </si>
  <si>
    <t>FO-25-1730070</t>
  </si>
  <si>
    <t>24/10/2025 24-10 PROGRAMACIÓN REALIZADA POR LA ALIANZA| INSTALACIÓN PROGRAMADA PARA EL 2025-10-28 | 28/10/2025 EN COMUNICACIÓN CON LA SEÑORA MARÍA AL MOVIL 3232369897, SE CONFIRMA DISPONIBILIDAD DE ATENCIÓN PARA EL DÍA DE HOY MARTES 28 D OCTUBRE DESPUÉS DE LAS 2PM,SE CONFIRMA SERVICIO ETHERNET Y ELÉCTRICO. | 28/10/2025 INSTALACIÓN DE CB BANCOLOMBIA MIXTO, INSTALACIÓN Y ADECUACIÓN DE DATAFONO LECTORA FUENTE CABLE PACTHCORD Y BASE FUENTE Y CUBRE CLAVE, INYECCION DE SO +VER 10.3N, CONFIGURACION CB OK, PRUEBAS OK, SE CAPACITA SOBRE LA WEB SOMOS BANCOLOMBIA, SE CAPACITA SOBRE RETIROS DEPÓSITOS RECUADOS TRASFERENCIAS SALDO Y SE EXPLICA SOBRE CIERRE Y CUADRE DIARIO. INSTALACIÓN DE AVISO EXTERIOR EN FACHADA INTERNA DEL CORRESPONSAL AUTORIZADO POR COORDINADOR. 
COMERCIO SIN AVISO PUBLICITARIO, SIN EMBARGO SI ES EL MISMO OBJETIVO COMERCIAL, LA DIRECCION COINCIDE Y LA CÁMARA DE COMERCIO TAMBIEN TIENE EL MISMO NOMBRE DE LISTA DE CHEQUEO.</t>
  </si>
  <si>
    <t>CA000708-106ZZ081</t>
  </si>
  <si>
    <t>TA-25-1237381</t>
  </si>
  <si>
    <t>3007081976</t>
  </si>
  <si>
    <t>PTM CALI CARNES  Y VERDURAS JR</t>
  </si>
  <si>
    <t>FO-25-1730076</t>
  </si>
  <si>
    <t>24/10/2025 24-10 PROGRAMACIÓN REALIZADA POR LA ALIANZA| INSTALACIÓN PROGRAMADA PARA EL 2025-10-28 | 28/10/2025 SE REALIZA APERTURA DE CB BANCOLOMBIA MIXTO, SE INSTALA EQUIPO, ACCESORIOS Y PUBLICIDAD, SE INICIALIZA TERMINAL DE COMERCIO Y SE HABILITA CB, SE REALIZAN PRUEBAS OK. CLIENTE NO CUENTA CON LOS MEDIOS PARA REALIZAR LAS DEMÁS PRUEBAS, SE ENTREGAN 40 ROLLOS.
COMERCIO SIN AVISO PUBLICITARIO, SIN EMBARGO SI ES EL MISMO OBJETIVO COMERCIAL, LA DIRECCION COINCIDE Y LA CÁMARA DE COMERCIO TAMBIEN TIENE EL MISMO NOMBRE DE LISTA DE CHEQUEO.</t>
  </si>
  <si>
    <t>CA000709 - CA000563</t>
  </si>
  <si>
    <t>TA-25-1237382</t>
  </si>
  <si>
    <t>3007081977</t>
  </si>
  <si>
    <t>PTM CALI VARIEDADES A&amp;C</t>
  </si>
  <si>
    <t>FO-25-1730081</t>
  </si>
  <si>
    <t>24/10/2025 24-10 PROGRAMACIÓN REALIZADA POR LA ALIANZA| INSTALACIÓN PROGRAMADA PARA EL 2025-10-28 | 28/10/2025 SE LLAMA AL CLIENTE SE VÁLIDA LA INSTALACIÓN DISPONIBILIDAD Y DIRECCIÓN, SEVISITA EL COMERCIO, SE INSTALA DATAFONO, LECTORA, PINPAD, MAGIC BOX EN APERTURA CB BANCOLOMBIA MIXTO, PRUEBAS OK, TELECARGA TRNA</t>
  </si>
  <si>
    <t>CA000710 - CA000564</t>
  </si>
  <si>
    <t>TA-25-1237383</t>
  </si>
  <si>
    <t>3007081978</t>
  </si>
  <si>
    <t>PTM CALI CENTRO DE SOLUCIONES</t>
  </si>
  <si>
    <t>FO-25-1730083</t>
  </si>
  <si>
    <t>CA000711 - CA000565</t>
  </si>
  <si>
    <t>76364</t>
  </si>
  <si>
    <t>TA-25-1237384</t>
  </si>
  <si>
    <t>3007081981</t>
  </si>
  <si>
    <t>JAMUNDI</t>
  </si>
  <si>
    <t>PTM JAMUNDI DISTRIBUCIONES LU</t>
  </si>
  <si>
    <t>FO-25-1730087</t>
  </si>
  <si>
    <t>24/10/2025 24-10 PROGRAMACIÓN REALIZADA POR LA ALIANZA| INSTALACIÓN PROGRAMADA PARA EL 2025-10-27 | 28/10/2025 SE VISITA ESTABLECIMIENTO, SE REALIZA INSTALACIÓN CORRESPONSAL BANCOLOMBIA MIXTO. TRANSACCIONES DE PRUEBA EXITOSAS. SE CAPACITA Y SE INSTALA PUBLICIDAD COMPLETA. 
COMERCIO SIN AVISO PUBLICITARIO, SIN EMBARGO SI ES EL MISMO OBJETIVO COMERCIAL, LA DIRECCION COINCIDE Y LA CÁMARA DE COMERCIO TAMBIEN TIENE EL MISMO NOMBRE DE LISTA DE CHEQUEO.</t>
  </si>
  <si>
    <t>CA000712 - CA000568</t>
  </si>
  <si>
    <t>86749</t>
  </si>
  <si>
    <t>TA-25-1237387</t>
  </si>
  <si>
    <t>3007081984</t>
  </si>
  <si>
    <t>SIBUNDOY</t>
  </si>
  <si>
    <t>PTM SIBUNDOY DROGUERIA FARMAVI</t>
  </si>
  <si>
    <t>FO-25-1730090</t>
  </si>
  <si>
    <t>24/10/2025 24-10 PROGRAMACIÓN REALIZADA POR LA ALIANZA| INSTALACIÓN PROGRAMADA PARA EL 2025-10-28 | 28/10/2025 SE VISITA EL COMERCIO PARA DAR APERTURA AL CORRESPONSAL, SE INSTALA DATÁFONO CON MAGIC BOX, LECTORA Y BASE, SE DEJA ROLLOS, SE INSTALA PUBLICIDAD, SE CAPACITA Y SE HACE PRUEBAS OK, SOMOS BANCOLOMBIA OK, CORRESPONSAL OPERATIVO, NO PRUEBAS DE PAGO DE FACTURAS POR NO TENER RECURSOS PARA REALIZARLA.</t>
  </si>
  <si>
    <t>CA000714, CA000572</t>
  </si>
  <si>
    <t>TA-25-1237388</t>
  </si>
  <si>
    <t>3007081973</t>
  </si>
  <si>
    <t>PTM BOGOTA PLASTICOS J&amp;E</t>
  </si>
  <si>
    <t>FO-25-1730094</t>
  </si>
  <si>
    <t>24/10/2025 24-10 PROGRAMACIÓN REALIZADA POR LA ALIANZA| INSTALACIÓN PROGRAMADA PARA EL 2025-10-28 | 28/10/2025 SE REALIZA INSTALACIÓN DE CB BANCOLOMBIA SIN NOVEDAD PRUEBA OK SE CREAN USUARIOS OK</t>
  </si>
  <si>
    <t>CA000715 - AE003280</t>
  </si>
  <si>
    <t>ORTIZ MARTINEZ STIVEN</t>
  </si>
  <si>
    <t>TA-25-1237389</t>
  </si>
  <si>
    <t>3007081974</t>
  </si>
  <si>
    <t>PTM BOGOTA VARIEDADES LOREN'SS</t>
  </si>
  <si>
    <t>FO-25-1730098</t>
  </si>
  <si>
    <t>24/10/2025 24-10 PROGRAMACIÓN REALIZADA POR LA ALIANZA| INSTALACIÓN PROGRAMADA PARA EL 2025-10-28 | 28/10/2025 INSTALACIÓN BANCOLOMBIA CON PUBLICIDAD DATAFONO LECTORA ROLLOS BASE FUENTE DATOS SERVICIO OPERATIVO PRUEBAS OK TRNA RBM SE INSTALA CUBRE TECLADO PRUEBAS SOLO CON CONSULTA DE SALDO NO HAY AS HERRAMIENTAS PARA HACER MAS TX
COMERCIO SIN AVISO PUBLICITARIO, SIN EMBARGO SI ES EL MISMO OBJETIVO COMERCIAL, LA DIRECCION COINCIDE Y LA CÁMARA DE COMERCIO TAMBIEN TIENE EL MISMO NOMBRE DE LISTA DE CHEQUEO.</t>
  </si>
  <si>
    <t>CA000716 - CA000536</t>
  </si>
  <si>
    <t>TA-25-1237390</t>
  </si>
  <si>
    <t>3007081975</t>
  </si>
  <si>
    <t>PTM BOGOTA DROGUERIA FARMAPLUS</t>
  </si>
  <si>
    <t>FO-25-1730102</t>
  </si>
  <si>
    <t>24/10/2025 24-10 PROGRAMACIÓN REALIZADA POR LA ALIANZA| INSTALACIÓN PROGRAMADA PARA EL 2025-10-28 | 28/10/2025 INSTALACIÓN DE CORRESPONSAL OK PRUEBA CONSIGNACIÓN OK NO SE REALIZA PRUEBAS DE RETIRO YA QUE CLIENTE NO CUENTA CON TARJETA DE PRUEBA NI PRUEBA DE ADQUIRENCIA POR MISMO MOTIVO</t>
  </si>
  <si>
    <t>CA000717 - CA000537</t>
  </si>
  <si>
    <t>TA-25-1247950</t>
  </si>
  <si>
    <t>3007082072</t>
  </si>
  <si>
    <t>PTM MEDELLIN EL PARCHESITO DEL</t>
  </si>
  <si>
    <t>FO-25-1751674</t>
  </si>
  <si>
    <t>29/10/2025 29-10 PROGRAMACIÓN REALIZADA POR LA ALIANZA| INSTALACIÓN PROGRAMADA PARA EL 2025-10-30 | 30/10/2025 SE INSTALA CB EXITOSAMENTE, COMERCIO SIN AVISO PUBLICITARIO, SIN EMBARGO SI ES EL MISMO OBJETIVO COMERCIAL, LA DIRECCION COINCIDE Y LA CÁMARA DE COMERCIO TAMBIEN TIENE EL MISMO NOMBRE DE LISTA DE CHEQUEO.</t>
  </si>
  <si>
    <t>CA002267 - CA000538</t>
  </si>
  <si>
    <t>TA-25-1247951</t>
  </si>
  <si>
    <t>3007082073</t>
  </si>
  <si>
    <t>PTM MEDELLIN DROGUERIA VIDA MA</t>
  </si>
  <si>
    <t>FO-25-1751675</t>
  </si>
  <si>
    <t>29/10/2025 29-10 PROGRAMACIÓN REALIZADA POR LA ALIANZA| INSTALACIÓN PROGRAMADA PARA EL 2025-10-30</t>
  </si>
  <si>
    <t>CA002268 - CA001922</t>
  </si>
  <si>
    <t>TA-25-1247952</t>
  </si>
  <si>
    <t>3007082074</t>
  </si>
  <si>
    <t>DISTRICOL DESECHABLES JYM</t>
  </si>
  <si>
    <t>FO-25-1751678</t>
  </si>
  <si>
    <t>29/10/2025 29-10 PROGRAMACIÓN REALIZADA POR LA ALIANZA| INSTALACIÓN PROGRAMADA PARA EL 2025-10-30 | 30/10/2025 INSTALACIÓN DE CB PURO OK PUBLICIDAD Y CAPACITACIÓN OK PRUEBAS SOLO CONSULTA DE SALDO NO HAY PARA MÁS CUBRE CLAVE OK NO TELECARGA</t>
  </si>
  <si>
    <t>CA002269</t>
  </si>
  <si>
    <t>TA-25-1247953</t>
  </si>
  <si>
    <t>3007082075</t>
  </si>
  <si>
    <t>DISTRICOL CELUACCESORIOS SANTA</t>
  </si>
  <si>
    <t>FO-25-1751683</t>
  </si>
  <si>
    <t>29/10/2025 29-10 PROGRAMACIÓN REALIZADA POR LA ALIANZA| INSTALACIÓN PROGRAMADA PARA EL 2025-10-30 | 30/10/2025 SE REALIZA INSTALACIÓN DE EQUIPO, CAPACITACIÓN Y INSTALACIÓN DE PUBLICIDAD SE REALIZAN PRUEBAS EXITOSAS SERVICIO OPERATIVO OK</t>
  </si>
  <si>
    <t>CA002270</t>
  </si>
  <si>
    <t>TA-25-1247955</t>
  </si>
  <si>
    <t>3007082077</t>
  </si>
  <si>
    <t>DISTRICOL CICANET</t>
  </si>
  <si>
    <t>FO-25-1751686</t>
  </si>
  <si>
    <t>29/10/2025 29-10 PROGRAMACIÓN REALIZADA POR LA ALIANZA| INSTALACIÓN PROGRAMADA PARA EL 2025-10-31 | 31/10/2025 SE REALIZA INSTALACIÓN DE EQUIPO, SE REALIZA CAPACITACIÓN SE INSTALA PUBLICIDAD SE REALIZAN PRUEBAS EXITOSAS SERVICIO OPERATIVO OK</t>
  </si>
  <si>
    <t>CA002272</t>
  </si>
  <si>
    <t>TA-25-1247956</t>
  </si>
  <si>
    <t>3007082078</t>
  </si>
  <si>
    <t>DISTRICOL TDA. MARIA AUXILIADO</t>
  </si>
  <si>
    <t>FO-25-1751689</t>
  </si>
  <si>
    <t>29/10/2025 29-10 PROGRAMACIÓN REALIZADA POR LA ALIANZA| INSTALACIÓN PROGRAMADA PARA EL 2025-10-30 | 30/10/2025 SE REALIZA INSTALACIÓN DE EQUIPO, SE REALIZA CAPACITACIÓN Y SE INSTALA PUBLICIDAD SE REALIZAN PRUEBAS EXITOSAS SERVICIO OPERATIVO OK</t>
  </si>
  <si>
    <t>CA002273</t>
  </si>
  <si>
    <t>TA-25-1247957</t>
  </si>
  <si>
    <t>3007082071</t>
  </si>
  <si>
    <t>DISTRICOL TU SALUD DROGUERIA</t>
  </si>
  <si>
    <t>FO-25-1751693</t>
  </si>
  <si>
    <t>29/10/2025 29-10 PROGRAMACIÓN REALIZADA POR LA ALIANZA| INSTALACIÓN PROGRAMADA PARA EL 2025-10-30 | 30/10/2025 SE HACE IMPLEMENTACION OK EQUIPOS OPERATIVOS PRUEBAS EXITOSAS SOMOS BANCOLOMBIA ACTIVO</t>
  </si>
  <si>
    <t>CA002274</t>
  </si>
  <si>
    <t>5154</t>
  </si>
  <si>
    <t>TA-25-1247958</t>
  </si>
  <si>
    <t>3007082033</t>
  </si>
  <si>
    <t>CAUCASIA</t>
  </si>
  <si>
    <t>DISTRICOL JC SUMINISTROS TECNO</t>
  </si>
  <si>
    <t>FO-25-1751699</t>
  </si>
  <si>
    <t>29/10/2025 29-10 PROGRAMACIÓN REALIZADA POR LA ALIANZA| INSTALACIÓN PROGRAMADA PARA EL 2025-10-31 | 31/10/2025 SE REALIZA APERTURA DE CB, SE INSTALA DATAFONO PLACA 1191580, LECTORA SYMBOL PLACA 953333, AVISO EXTERIOR, FLANGGER, DISPLAY HORARIO, CUBRE CLAVES Y ACCESORIOS, SE REALIZAN PRUEBAS Y CAPACITACIÓN DEJANDO CB LISTO PARA OPERACIONES.
NOTA: SE VERIFICA CUPO EN PLATAFORMA DE SOMOS.</t>
  </si>
  <si>
    <t>CA002275</t>
  </si>
  <si>
    <t>5308</t>
  </si>
  <si>
    <t>TA-25-1247959</t>
  </si>
  <si>
    <t>3007082034</t>
  </si>
  <si>
    <t>GIRARDOTA</t>
  </si>
  <si>
    <t>DISTRICOL PELUQUERÍA CANINA</t>
  </si>
  <si>
    <t>FO-25-1751703</t>
  </si>
  <si>
    <t>29/10/2025 29-10 PROGRAMACIÓN REALIZADA POR LA ALIANZA| INSTALACIÓN PROGRAMADA PARA EL 2025-10-31 | 31/10/2025 SE REALIZA INSTALACIÓN DE EQUIPO, SE REALIZA CAPACITACIÓN Y SE INSTALA PUBLICIDAD SE REALIZAN PRUEBAS EXITOSAS SERVICIO OPERATIVO OK 
COMERCIO SIN AVISO PUBLICITARIO, SIN EMBARGO SI ES EL MISMO OBJETIVO COMERCIAL, LA DIRECCION COINCIDE Y LA CÁMARA DE COMERCIO TAMBIEN TIENE EL MISMO NOMBRE DE LISTA DE CHEQUEO.</t>
  </si>
  <si>
    <t>CA002276</t>
  </si>
  <si>
    <t>5310</t>
  </si>
  <si>
    <t>TA-25-1247960</t>
  </si>
  <si>
    <t>3007082044</t>
  </si>
  <si>
    <t>GOMEZ PLATA</t>
  </si>
  <si>
    <t>DISTRICOL ZONA PLAY.NET</t>
  </si>
  <si>
    <t>FO-25-1751707</t>
  </si>
  <si>
    <t>29/10/2025 29-10 PROGRAMACIÓN REALIZADA POR LA ALIANZA| INSTALACIÓN PROGRAMADA PARA EL 2025-10-31 | 31/10/2025 SE INSTALA CB EXITOSAMENTE</t>
  </si>
  <si>
    <t>CA002277</t>
  </si>
  <si>
    <t>5604</t>
  </si>
  <si>
    <t>TA-25-1247961</t>
  </si>
  <si>
    <t>3007082054</t>
  </si>
  <si>
    <t>REMEDIOS</t>
  </si>
  <si>
    <t>DISTRICOL TECNOLOGIA NEXUS 1</t>
  </si>
  <si>
    <t>FO-25-1751710</t>
  </si>
  <si>
    <t>29/10/2025 29-10 PROGRAMACIÓN REALIZADA POR LA ALIANZA| INSTALACIÓN PROGRAMADA PARA EL 2025-10-30 | 30/10/2025 SE INSTALAN EQUIPOS OK</t>
  </si>
  <si>
    <t>CA002278</t>
  </si>
  <si>
    <t>5659</t>
  </si>
  <si>
    <t>TA-25-1247962</t>
  </si>
  <si>
    <t>3007082060</t>
  </si>
  <si>
    <t>SAN JUAN DE URABA</t>
  </si>
  <si>
    <t>DISTRICOL MISCELANEA  OFERTON</t>
  </si>
  <si>
    <t>FO-25-1751716</t>
  </si>
  <si>
    <t>29/10/2025 29-10 PROGRAMACIÓN REALIZADA POR LA ALIANZA| INSTALACIÓN PROGRAMADA PARA EL 2025-10-31 | 31/10/2025 SE REALIZA INSTALACIÓN DE CORRESPONSAL BANCOLOMBIA PURO OK, EQUIPOS INSTALADOS OPERATIVOS, PRUEBAS DE TRANSACCIÓNES EXITOSAS, SE CAPACITA PERSONAL EN EL USO OPERATIVO DEL EQUIPO OK, SOMOS BANCOLOMBIA OK, CLIENTE CB VALIDA SALDO EN CERO DESPUES DE LA INSTALACIÓN OK, CB SE DEJA OPERATIVO SIN NOVEDAD
COMERCIO SIN AVISO PUBLICITARIO, SIN EMBARGO SI ES EL MISMO OBJETIVO COMERCIAL, LA DIRECCION COINCIDE Y LA CÁMARA DE COMERCIO TAMBIEN TIENE EL MISMO NOMBRE DE LISTA DE CHEQUEO.</t>
  </si>
  <si>
    <t>CA002279</t>
  </si>
  <si>
    <t>5736</t>
  </si>
  <si>
    <t>TA-25-1247965</t>
  </si>
  <si>
    <t>3007082062</t>
  </si>
  <si>
    <t>SEGOVIA</t>
  </si>
  <si>
    <t>DISTRICOL DISTRIBUIDORA C&amp;G</t>
  </si>
  <si>
    <t>FO-25-1751722</t>
  </si>
  <si>
    <t>29/10/2025 29-10 PROGRAMACIÓN REALIZADA POR LA ALIANZA| INSTALACIÓN PROGRAMADA PARA EL 2025-10-31 | 31/10/2025 SE INSTALAN EQUIPOS OK, SE ESCALA CASO CON EDISON SAMBONY SE ESPERA RESPUESTA POR PARTE DE ENTIDAD</t>
  </si>
  <si>
    <t>CA002281</t>
  </si>
  <si>
    <t>5837</t>
  </si>
  <si>
    <t>TA-25-1247966</t>
  </si>
  <si>
    <t>3007082035</t>
  </si>
  <si>
    <t>TURBO</t>
  </si>
  <si>
    <t>DISTRICOL BLOQUERA YFERRETERIA</t>
  </si>
  <si>
    <t>FO-25-1751726</t>
  </si>
  <si>
    <t>29/10/2025 29-10 PROGRAMACIÓN REALIZADA POR LA ALIANZA| INSTALACIÓN PROGRAMADA PARA EL 2025-10-31 | 31/10/2025 SE INSTALA DATAFONO,MAGIBOX.LECTORA.BASE DATAFONO.PUBLICIDAD. SE DA CAPACITACION DE MANEJO DE EQUIPO Y PLATAFORMA SOMOS BANCOLOMBIA. SE HACEN PRUEBAS DE RETIRO,CONSULTA DE SALDO,CONSIGNACON, PRUEBA DE LECTORA Y SE DEJA TODO OK</t>
  </si>
  <si>
    <t>CA002282</t>
  </si>
  <si>
    <t>5856</t>
  </si>
  <si>
    <t>TA-25-1247967</t>
  </si>
  <si>
    <t>3007082065</t>
  </si>
  <si>
    <t>VALPARAISO</t>
  </si>
  <si>
    <t>DISTRICOL EL ENGANCHE</t>
  </si>
  <si>
    <t>FO-25-1751728</t>
  </si>
  <si>
    <t>29/10/2025 29-10 PROGRAMACIÓN REALIZADA POR LA ALIANZA| INSTALACIÓN PROGRAMADA PARA EL 2025-10-31 | 31/10/2025 INSTALACIÓN DE CB PURO OK PUBLICIDAD Y CAPACITACIÓN OK PRUEBAS SOLO CONSULTA DE SALDO NO HAY PARA MÁS CUBRE CLAVE OK NO TELECARGA</t>
  </si>
  <si>
    <t>CA002283</t>
  </si>
  <si>
    <t>TA-25-1247968</t>
  </si>
  <si>
    <t>3007082069</t>
  </si>
  <si>
    <t>DISTRICOL MIS 2 AMORES</t>
  </si>
  <si>
    <t>FO-25-1751731</t>
  </si>
  <si>
    <t>29/10/2025 29-10 PROGRAMACIÓN REALIZADA POR LA ALIANZA| INSTALACIÓN PROGRAMADA PARA EL 2025-10-30 | 30/10/2025 SE REALIZA VISITA TÉCNICA, SE INSTALA DATAFONO, LECTOR DE BARRAS Y SUS ACCESORIOS, SE INSTALA PUBLICIDAD DE BANCOLOMBIA,SE CAPACITA A LA PERSONA ENCARGADA DEL CB, SE REALIZAN PRUEBAS EXITOSAS, EQUIPO FUNCIONA CORRECTAMENTE, CB QUEDA OPERATIVO.
COMERCIO SIN AVISO PUBLICITARIO, SIN EMBARGO SI ES EL MISMO OBJETIVO COMERCIAL, LA DIRECCION COINCIDE Y LA CÁMARA DE COMERCIO TAMBIEN TIENE EL MISMO NOMBRE DE LISTA DE CHEQUEO.</t>
  </si>
  <si>
    <t>CA002284</t>
  </si>
  <si>
    <t>DE AGUAS MUÑOZ DAVID JOSE</t>
  </si>
  <si>
    <t>13430</t>
  </si>
  <si>
    <t>TA-25-1247969</t>
  </si>
  <si>
    <t>3007082045</t>
  </si>
  <si>
    <t>MAGANGUE</t>
  </si>
  <si>
    <t>DISTRICOL RESTAURANTE TERMINAL</t>
  </si>
  <si>
    <t>FO-25-1751734</t>
  </si>
  <si>
    <t>29/10/2025 29-10 PROGRAMACIÓN REALIZADA POR LA ALIANZA| INSTALACIÓN PROGRAMADA PARA EL 2025-10-30 | 30/10/2025 SE VISITA SITIO SE VERIFICA INFORMACIÓN SE REALIZA INSTALACIÓN DE DATÁFONO, ESCÁNER, MAGIC BOX, FUENTE PODER, CABLE DE RED, BASE SOPORTE, PAPELERIA, PUBLICIDAD, CAPACITACIÓN, PRUEBA TRX EXITOSAS.</t>
  </si>
  <si>
    <t>CA002285</t>
  </si>
  <si>
    <t>SANTOS GUZMAN CHRISTIAN FELIPE</t>
  </si>
  <si>
    <t>15759</t>
  </si>
  <si>
    <t>TA-25-1247971</t>
  </si>
  <si>
    <t>3007082068</t>
  </si>
  <si>
    <t>SOGAMOSO</t>
  </si>
  <si>
    <t>DISTRICOL SERVICIOS MR</t>
  </si>
  <si>
    <t>FO-25-1751736</t>
  </si>
  <si>
    <t>29/10/2025 29-10 PROGRAMACIÓN REALIZADA POR LA ALIANZA| INSTALACIÓN PROGRAMADA PARA EL 2025-10-30 | 30/10/2025 S E LOGRA COMUNICACION CON EL CLIENTE, CLIENTE CUENTA CON SERVICIO DE INTERNET Y CABLE, CLIENTE CONFIRMA PARA LAS 11AM. | 30/10/2025 SE REALZIA INSTALACION DE EQUIPOS Y PUBLICIDAD, SE CAPACITA AL CLIENTE Y SE HACEN PRUEBAS OK. NO SE REALIZAN TODAS LAS TX POR FALTA DE TARJETA</t>
  </si>
  <si>
    <t>CA002286</t>
  </si>
  <si>
    <t>SOLER HOYOS CRISTIAN LEONARDO</t>
  </si>
  <si>
    <t>17433</t>
  </si>
  <si>
    <t>TA-25-1247974</t>
  </si>
  <si>
    <t>3007082048</t>
  </si>
  <si>
    <t>MANZANARES</t>
  </si>
  <si>
    <t>DISTRICOL  INTERPLAY SARA MARI</t>
  </si>
  <si>
    <t>FO-25-1751739</t>
  </si>
  <si>
    <t>29/10/2025 29-10 PROGRAMACIÓN REALIZADA POR LA ALIANZA| INSTALACIÓN PROGRAMADA PARA EL 2025-10-30 | 30/10/2025 SE REALIZA INSTALACIÓN DE DATAFONO Y ACCESORIOS BASE LECTOR 40 ROLLOS Y PUBLICIDAD SE CAPACITA AL COMERCIO SE CREAN USUARIOS SE HACEN PRUEBAS DE CONSULTA DE SALDO SOLAMENTE YA QUE USUARIO NO CUENTA CON HERRAMIENTAS PARA REALIZAR RETIRO RECAUDO NI CONSIGNACIÓN SERVICIO OK</t>
  </si>
  <si>
    <t>CA002287</t>
  </si>
  <si>
    <t>AGUIRRE HENAO RAUL EDUARDO</t>
  </si>
  <si>
    <t>19001</t>
  </si>
  <si>
    <t>TA-25-1247975</t>
  </si>
  <si>
    <t>3007082058</t>
  </si>
  <si>
    <t>DISTRICOL FARMA OFER SAN JOSE</t>
  </si>
  <si>
    <t>FO-25-1751745</t>
  </si>
  <si>
    <t>29/10/2025 29-10 PROGRAMACIÓN REALIZADA POR LA ALIANZA| INSTALACIÓN PROGRAMADA PARA EL 2025-10-31 | 31/10/2025 SE INGRESA SE INSTALA  BASE FUENTE CABLE DE RED CUBRE CLAVE OK SE INSTALA SISTEMA OPERATIVO VERSION CREACION DE USUARIOS CAPACITACION AL CB SE HACEN PRUEBAS OK SE INSTALA AVISO EXTERIOR FLANGED DISPLAY LEGAL MARCACION DE CODIGO DEL PUNTO ENTREGA DE ROLLOS RBM TELECARGA DRNA</t>
  </si>
  <si>
    <t>CA002288</t>
  </si>
  <si>
    <t>GIMBUEL LASSO LUIS GERMAN</t>
  </si>
  <si>
    <t>TA-25-1247976</t>
  </si>
  <si>
    <t>3007082059</t>
  </si>
  <si>
    <t>DISTRICOL TECNO PRESTAMOS</t>
  </si>
  <si>
    <t>FO-25-1751746</t>
  </si>
  <si>
    <t>29/10/2025 29-10 PROGRAMACIÓN REALIZADA POR LA ALIANZA| INSTALACIÓN PROGRAMADA PARA EL 2025-10-31 | 31/10/2025 SE INGRESA SE INSTALA BASE FUENTE CABLE DE RED SE INSTALA SISTEMA OPERATIVO VERSION CAPACITACION AL CB COMO REFUERZO CO SULTA SALDO RECARGA DE NEQUI INFORMA YA RECORDO COMO SE MANEJA LA OARTE OPERATIVA YA QUE TRABAJO EN UN CORRESPONSAL CREACION DE USUARIOS CUBRE CLAVE PRUEBAS OK TELECARGA DRNA SE INSTALA AVISO EXTERIOR FLANGED DISPLAY LEGAL MAECACION CODIGO DEL PUNTO ENTREGA ROLLOS RBM</t>
  </si>
  <si>
    <t>CA002289</t>
  </si>
  <si>
    <t>20011</t>
  </si>
  <si>
    <t>TA-25-1247977</t>
  </si>
  <si>
    <t>3007082026</t>
  </si>
  <si>
    <t>AGUACHICA</t>
  </si>
  <si>
    <t>DISTRICOL EDS SAN ANDRES</t>
  </si>
  <si>
    <t>FO-25-1751749</t>
  </si>
  <si>
    <t>29/10/2025 29-10 PROGRAMACIÓN REALIZADA POR LA ALIANZA| INSTALACIÓN PROGRAMADA PARA EL 2025-10-30 | 30/10/2025 SE REALIZA INSTALACIÓN DE DATÁFONO, LECTOR DE BARRAS, MAGIBOX, PASCORD, BASE DE DATÁFONO, 40 ROLLOS, SE CAPACITA CORRESPONSAL, SOMOS BANCOLOMBIA, PRUEBAS Y LIMPIEZA DE EQUIPOS OK, SE INSTALA PUBLICIDAD, SE ENTREGA MANUAL OPERATIVO REDEBAN POR EL USUARIO DE PRUEBA.</t>
  </si>
  <si>
    <t>CA002290</t>
  </si>
  <si>
    <t>TA-25-1247978</t>
  </si>
  <si>
    <t>3007082047</t>
  </si>
  <si>
    <t>DISTRICOL COFFE MARK 3</t>
  </si>
  <si>
    <t>FO-25-1751754</t>
  </si>
  <si>
    <t>29/10/2025 29-10 PROGRAMACIÓN REALIZADA POR LA ALIANZA| INSTALACIÓN PROGRAMADA PARA EL 2025-10-30 | 30/10/2025 SE REALIZA VISITA TÉCNICA PARÁ APERTURA DE CB, SE INSTALA DATAFONO PLACA 1191429, LECTORA SYMBOL PLACA 519941, AVISO EXTERIOR, FLANGGER, DISPLAY HORARIO, OTROS LUGARES, CUBRE CLAVES Y ACCESORIOS, SE REALIZAN PRUEBAS Y CAPACITACIÓN DEJANDO CB LISTOS PARA OPERACIONES.
NOTA: EL CB QUEDA INTERNO EN EL COMERCIO EURO QUIEN AUTORIZA INSTALAR AVISO EXTERIOR PARA PUBLICIDAD DEL CB.</t>
  </si>
  <si>
    <t>CA002291</t>
  </si>
  <si>
    <t>23555</t>
  </si>
  <si>
    <t>TA-25-1247979</t>
  </si>
  <si>
    <t>3007082057</t>
  </si>
  <si>
    <t>PLANETA RICA</t>
  </si>
  <si>
    <t>DISTRICOL MISCELANEA Y ABARROT</t>
  </si>
  <si>
    <t>FO-25-1751756</t>
  </si>
  <si>
    <t>29/10/2025 29-10 PROGRAMACIÓN REALIZADA POR LA ALIANZA| INSTALACIÓN PROGRAMADA PARA EL 2025-10-30 | 30/10/2025 SE REALIZA INSTALACIÓN DE CORRESPONSAL BANCOLOMBIA PURO OK, EQUIPOS INSTALADOS OPERATIVOS, PRUEBAS DE TRANSACCIÓNES EXITOSAS, PERSONAL CAPACITADO EN EL USO OPERATIVO DEL DATÁFONO, SOMOS BANCOLOMBIA OK, SE CREAN USUARIOS OK, CLIENTE CB VALIDA SALDO EN CERO DESPUES DE LA INSTALACIÓN OK, CB SE DEJA OPERATIVO SIN NOVEDAD OK</t>
  </si>
  <si>
    <t>CA002292</t>
  </si>
  <si>
    <t>44430</t>
  </si>
  <si>
    <t>TA-25-1247981</t>
  </si>
  <si>
    <t>3007082046</t>
  </si>
  <si>
    <t>LA GUAJIRA</t>
  </si>
  <si>
    <t>MAICAO</t>
  </si>
  <si>
    <t>DISTRICOL JHOJANCEL</t>
  </si>
  <si>
    <t>FO-25-1751763</t>
  </si>
  <si>
    <t>29/10/2025 29-10 PROGRAMACIÓN REALIZADA POR LA ALIANZA| INSTALACIÓN PROGRAMADA PARA EL 2025-10-31 | 31/10/2025 SE REALIZA APERTURA DE CB, SE INSTALA DATAFONO, LECTOR, PUBLICIDAD Y PINPAD YA QUE EL CLIENTE CUENTA CON VIDRIO DE SEGURIDAD Y FUE AUTORIDAZADO, SE ENTREGA 40 ROLLOS, SE BRINDA CAPACITACIÓN, SE REALIZAN PRUEBAS DE RETIRO, DEPÓSITO, TRANSFERENCIA, Y. ASI MISMO SE VALIDAN LAS DEMAS TRANSACCIONES, DEJANDO SERVICIO FUNCIONAL AL 100%, EL LOCAL LO TIENE RECIENTEMENTE EL CLIENTE POR ENDE LO ESTA REMODELANDO, YA QUE ANTES ERA OTRO NEGOCIO 
COMERCIO SIN AVISO PUBLICITARIO, SIN EMBARGO SI ES EL MISMO OBJETIVO COMERCIAL, LA DIRECCION COINCIDE Y LA CÁMARA DE COMERCIO TAMBIEN TIENE EL MISMO NOMBRE DE LISTA DE CHEQUEO.</t>
  </si>
  <si>
    <t>CA002294</t>
  </si>
  <si>
    <t>MONTES DIAZ JOHN FRED</t>
  </si>
  <si>
    <t>TA-25-1247982</t>
  </si>
  <si>
    <t>3007082050</t>
  </si>
  <si>
    <t>DISTRICOL BOMBAS Y PLAT PASTO</t>
  </si>
  <si>
    <t>FO-25-1751767</t>
  </si>
  <si>
    <t>29/10/2025 29-10 PROGRAMACIÓN REALIZADA POR LA ALIANZA| INSTALACIÓN PROGRAMADA PARA EL 2025-10-30 | 30/10/2025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</si>
  <si>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CA002295</t>
  </si>
  <si>
    <t>TA-25-1247983</t>
  </si>
  <si>
    <t>3007082051</t>
  </si>
  <si>
    <t>DISTRICOL AGE SEGUROS SYCO</t>
  </si>
  <si>
    <t>FO-25-1751771</t>
  </si>
  <si>
    <t>CA002296</t>
  </si>
  <si>
    <t>TA-25-1247985</t>
  </si>
  <si>
    <t>3007082053</t>
  </si>
  <si>
    <t>DISTRICOL DROG RUMIFARMA</t>
  </si>
  <si>
    <t>FO-25-1751775</t>
  </si>
  <si>
    <t>29/10/2025 29-10 PROGRAMACIÓN REALIZADA POR LA ALIANZA| INSTALACIÓN PROGRAMADA PARA EL 2025-10-31 | 31/10/2025 SE REALIZÓ LA INSTALACIÓN DE EQUIPOS PUBLICIDAD Y ACCESORIOS PARA APERTURA CB BANCOLOMBIA SE DIO CAPACITACIÓN MANEJO DE DATÁFONO CB Y SOMOS BANCOLOMBIA SE EJECUTAN PRUEBAS TX EXITOSAS QUEDA OPERATIVO.</t>
  </si>
  <si>
    <t>CA002298</t>
  </si>
  <si>
    <t>52354</t>
  </si>
  <si>
    <t>TA-25-1247986</t>
  </si>
  <si>
    <t>3007082039</t>
  </si>
  <si>
    <t>IMUES</t>
  </si>
  <si>
    <t>DISTRICOL MARK DE LA ESTACION</t>
  </si>
  <si>
    <t>FO-25-1751778</t>
  </si>
  <si>
    <t>29/10/2025 29-10 PROGRAMACIÓN REALIZADA POR LA ALIANZA| INSTALACIÓN PROGRAMADA PARA EL 2025-10-30 | 30/10/2025 SE REALIZÓ LA INSTALACIÓN DE EQUIPOS PUBLICIDAD Y ACCESORIOS PARA APERTURA CB BANCOLOMBIA SE DIO CAPACITACIÓN MANEJO DE DATÁFONO CB Y SOMOS BANCOLOMBIA SE EJECUTAN PRUEBAS TX EXITOSAS QUEDA OPERATIVO</t>
  </si>
  <si>
    <t>CA002299</t>
  </si>
  <si>
    <t>52683</t>
  </si>
  <si>
    <t>TA-25-1247991</t>
  </si>
  <si>
    <t>3007082066</t>
  </si>
  <si>
    <t>SANDONA</t>
  </si>
  <si>
    <t>DISTRICOL JADE STORE SANDONA</t>
  </si>
  <si>
    <t>FO-25-1751790</t>
  </si>
  <si>
    <t>29/10/2025 29-10 PROGRAMACIÓN REALIZADA POR LA ALIANZA| INSTALACIÓN PROGRAMADA PARA EL 2025-10-30 | 30/10/2025 SE VISITA EL COMERCIO PARA APERTURA DEL CB, SE INSTALA DATÁFONO CON MAGIC BOX, CABLEADO, BASE Y LECTORA, SE DEJA ROLLOS, SE INSTALA PUBLICIDAD, SE HACE CAPACITACIÓN OK, SE HACE PRUEBAS OK, SOMOS BANCOLOMBIA OK, NO SE HACE PRUEBAS DE RECAUDO POR NO TENER RECURSOS PARA HACERLO, CB OPERATIVO 
COMERCIO SIN AVISO PUBLICITARIO, SIN EMBARGO SI ES EL MISMO OBJETIVO COMERCIAL, LA DIRECCION COINCIDE Y LA CÁMARA DE COMERCIO TAMBIEN TIENE EL MISMO NOMBRE DE LISTA DE CHEQUEO.</t>
  </si>
  <si>
    <t>CA002303</t>
  </si>
  <si>
    <t>52687</t>
  </si>
  <si>
    <t>TA-25-1247992</t>
  </si>
  <si>
    <t>3007082063</t>
  </si>
  <si>
    <t>SAN LORENZO</t>
  </si>
  <si>
    <t>DISTRICOL VIDNATURS-SPA</t>
  </si>
  <si>
    <t>FO-25-1751796</t>
  </si>
  <si>
    <t>29/10/2025 29-10 PROGRAMACIÓN REALIZADA POR LA ALIANZA| INSTALACIÓN PROGRAMADA PARA EL 2025-10-31 | 31/10/2025 SE VISITA EL COMERCIO PARA DAR APERTURA AL CB, SE INSTALA DATÁFONO CON LECTORA, MAGIC BOX, CABLEADO, BASE, SE INSTALA PUBLICIDAD, SE HACE PRUEBAS EXCEPTO DE RECAUDO POR NO TENER MEDIOS PARA HACERLA, SE CAPACITA OK, SOMOS BANCOLOMBIA OK, CB OPERATIVO</t>
  </si>
  <si>
    <t>CA002304</t>
  </si>
  <si>
    <t>66001</t>
  </si>
  <si>
    <t>TA-25-1247993</t>
  </si>
  <si>
    <t>3007082055</t>
  </si>
  <si>
    <t>RISARALDA</t>
  </si>
  <si>
    <t>DISTRICOL HUEVOS Y MAS SANTI</t>
  </si>
  <si>
    <t>FO-25-1751799</t>
  </si>
  <si>
    <t>29/10/2025 29-10 PROGRAMACIÓN REALIZADA POR LA ALIANZA| INSTALACIÓN PROGRAMADA PARA EL 2025-10-30 | 30/10/2025 SE INSTALA DATÁFONO RBM, BASE, LECTORA, FLANGER, DISPLAY LEGAL, AVISO EXTERIOR Y SE ENTREGAN 40 ROLLOS, SE REALIZAN PRUEBAS OK.
COMERCIO SIN AVISO PUBLICITARIO, SIN EMBARGO SI ES EL MISMO OBJETIVO COMERCIAL, LA DIRECCION COINCIDE Y LA CÁMARA DE COMERCIO TAMBIEN TIENE EL MISMO NOMBRE DE LISTA DE CHEQUEO.</t>
  </si>
  <si>
    <t>CA002305</t>
  </si>
  <si>
    <t>73283</t>
  </si>
  <si>
    <t>TA-25-1247996</t>
  </si>
  <si>
    <t>3007082036</t>
  </si>
  <si>
    <t>FRESNO</t>
  </si>
  <si>
    <t>DISTRICOL PAPELERIA DEL NORTE</t>
  </si>
  <si>
    <t>FO-25-1751810</t>
  </si>
  <si>
    <t>29/10/2025 29-10 PROGRAMACIÓN REALIZADA POR LA ALIANZA| INSTALACIÓN PROGRAMADA PARA EL 2025-10-31 | 31/10/2025 SE INSTALA CB BANCOLOMBIA SIN NOVEDAD. SE CAPACITA A LA SEÑORA EDILSA VALENCIA, EN EL MANEJO DEL DATÁFONO Y SOMOS BANCOLOMBIA. SE HACEN LAS PRUEBAS DE TRANSACCIONES TODO OK. SE COLOCA AVISTÓ EXTERIOR EN LA PUERTA PARA PONER Y QUITAR, PORQUE EL DUEÑO DEL EDIFICIO NO DEJÓ COLOCAR EL AVISO EN EL COMERCIO ARRENDADO.</t>
  </si>
  <si>
    <t>CA002308</t>
  </si>
  <si>
    <t>VARGAS HERRERA JHON JAIRO</t>
  </si>
  <si>
    <t>TA-25-1247997</t>
  </si>
  <si>
    <t>3007082030</t>
  </si>
  <si>
    <t>DISTRICOL ARTIKA CALI</t>
  </si>
  <si>
    <t>FO-25-1751812</t>
  </si>
  <si>
    <t>29/10/2025 29-10 PROGRAMACIÓN REALIZADA POR LA ALIANZA| INSTALACIÓN PROGRAMADA PARA EL 2025-10-31 | 31/10/2025 SE LLAMA AL CLIENTE SE VÁLIDA LA INSTALACIÓN CB DISPONIBILIDAD Y DIRECCIÓN, SE VISITA EL COMERCIO SE INSTALA DATAFONO, LECTORA, ACCESORIOS EN APERTURA CB BANCOLOMBIA PURO, SE CAPACITA, PRUEBAS OK, TELECARGA TRNA</t>
  </si>
  <si>
    <t>CA002309</t>
  </si>
  <si>
    <t>TA-25-1247998</t>
  </si>
  <si>
    <t>3007082031</t>
  </si>
  <si>
    <t>DISTRICOL  SALUD Y BIENESTAR 2</t>
  </si>
  <si>
    <t>FO-25-1751817</t>
  </si>
  <si>
    <t>29/10/2025 29-10 PROGRAMACIÓN REALIZADA POR LA ALIANZA| INSTALACIÓN PROGRAMADA PARA EL 2025-10-30 | 30/10/2025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‎CB NO CUENTA CON TARJETA PARA REALIZAR CONSULTA DE SALDOS
‎SE DEJAN 40 ROLLOS TÉRMICOS EN EL CB.
‎CB QUEDA OKEY.</t>
  </si>
  <si>
    <t>CA002310</t>
  </si>
  <si>
    <t>76100</t>
  </si>
  <si>
    <t>TA-25-1247999</t>
  </si>
  <si>
    <t>3007082029</t>
  </si>
  <si>
    <t>DISTRICOL MULTIPAGOS EL TREBOL</t>
  </si>
  <si>
    <t>FO-25-1751818</t>
  </si>
  <si>
    <t>29/10/2025 29-10 PROGRAMACIÓN REALIZADA POR LA ALIANZA| INSTALACIÓN PROGRAMADA PARA EL 2025-10-31 | 31/10/2025 SE INSTALA EQUIPO, LECTOR Y ACCESORIOS, LUEGO SE CAPACITA Y SE INSTALA PUBLICIDAD, PRUEBAS OK</t>
  </si>
  <si>
    <t>CA002311</t>
  </si>
  <si>
    <t>76111</t>
  </si>
  <si>
    <t>TA-25-1248000</t>
  </si>
  <si>
    <t>3007082037</t>
  </si>
  <si>
    <t>GUADALAJARA DE BUGA</t>
  </si>
  <si>
    <t>DISTRICOL SEGUROS PLUSS</t>
  </si>
  <si>
    <t>FO-25-1751823</t>
  </si>
  <si>
    <t>29/10/2025 29-10 PROGRAMACIÓN REALIZADA POR LA ALIANZA| INSTALACIÓN PROGRAMADA PARA EL 2025-10-30 | 30/10/2025 SE INSTALA EQUIPO, LECTOR Y ACCESORIOS, APERTURA CB BANCOLOMBIA PURO, PRUEBAS OK</t>
  </si>
  <si>
    <t>CA002312</t>
  </si>
  <si>
    <t>TA-25-1248002</t>
  </si>
  <si>
    <t>3007082038</t>
  </si>
  <si>
    <t>DISTRICOL LA MILAGROSA EXPRESS</t>
  </si>
  <si>
    <t>FO-25-1751828</t>
  </si>
  <si>
    <t>29/10/2025 29-10 PROGRAMACIÓN REALIZADA POR LA ALIANZA| INSTALACIÓN PROGRAMADA PARA EL 2025-10-30 | 30/10/2025 SE INSTALA EQUIPO, LECTOR Y ACCESORIOS, LUEGO SE CAPACITA Y SE INSTALA PUBLICIDAD, PRUEBAS OK</t>
  </si>
  <si>
    <t>CA002313</t>
  </si>
  <si>
    <t>TA-25-1248003</t>
  </si>
  <si>
    <t>3007082040</t>
  </si>
  <si>
    <t>DISTRICOL LA PAPELERIA NET</t>
  </si>
  <si>
    <t>FO-25-1751831</t>
  </si>
  <si>
    <t>29/10/2025 29-10 PROGRAMACIÓN REALIZADA POR LA ALIANZA| INSTALACIÓN PROGRAMADA PARA EL 2025-10-31 | 31/10/2025 SE VISITA ESTABLECIMIENTO, SE REALIZA INSTALACIÓN CORRESPONSAL BANCOLOMBIA. TRANSACCIONES DE PRUEBA EXITOSAS. SE CAPACITA Y SE INSTALA PUBLICIDAD COMPLETA</t>
  </si>
  <si>
    <t>CA002314</t>
  </si>
  <si>
    <t>TA-25-1248009</t>
  </si>
  <si>
    <t>3007082027</t>
  </si>
  <si>
    <t>DISTRICOL MISELANEA MONTALLANT</t>
  </si>
  <si>
    <t>FO-25-1751847</t>
  </si>
  <si>
    <t>29/10/2025 29-10 PROGRAMACIÓN REALIZADA POR LA ALIANZA| INSTALACIÓN PROGRAMADA PARA EL 2025-10-30 | 30/10/2025 INSTALACIÓN DE CORRESPONSAL OK PRUEBA OK CAPACITACIÓN SOMOS BANCOLOMBIA OK CAPACITACIÓN IVA OK CAPACITACIÓN DATAFONO OK INSTALACIÓN DE PUBLICIDAD OK NO SE REALIZA PRUEBAS CON TARJETA YA QUE CLIENTE NO TIENE TARJETA DE PRUEBA 
COMERCIO SIN AVISO PUBLICITARIO, SIN EMBARGO SI ES EL MISMO OBJETIVO COMERCIAL, LA DIRECCION COINCIDE Y LA CÁMARA DE COMERCIO TAMBIEN TIENE EL MISMO NOMBRE DE LISTA DE CHEQUEO.</t>
  </si>
  <si>
    <t>CA002318</t>
  </si>
  <si>
    <t>TA-25-1248010</t>
  </si>
  <si>
    <t>3007082028</t>
  </si>
  <si>
    <t>DISTRICOL LUXUR</t>
  </si>
  <si>
    <t>FO-25-1751850</t>
  </si>
  <si>
    <t>29/10/2025 29-10 PROGRAMACIÓN REALIZADA POR LA ALIANZA| INSTALACIÓN PROGRAMADA PARA EL 2025-10-30 | 30/10/2025 INSTALACIÓN DE CORRESPONSAL OK PRUEBA OK CAPACITACIÓN SOMOS BANCOLOMBIA OK CAPACITACIÓN IVA OK CAPACITACIÓN DATAFONO OK NO SE REALIZAN PRUEBAS CON TARJETA YA QUE CLIENTE NO CUENTA CON TARJETA DE PRUEBA</t>
  </si>
  <si>
    <t>CA002319</t>
  </si>
  <si>
    <t>MES</t>
  </si>
  <si>
    <t>NIT Proveedor</t>
  </si>
  <si>
    <t>Nombre Proveedor (el proveedor ya debe estar creado para el Grupo Bancolombia)</t>
  </si>
  <si>
    <t>Concepto Facturación</t>
  </si>
  <si>
    <t>Público que se capacitó</t>
  </si>
  <si>
    <t>No. personas impactadas</t>
  </si>
  <si>
    <t>Valor Servicio Unitario</t>
  </si>
  <si>
    <t>Valor a Facturar sin IVA</t>
  </si>
  <si>
    <t>Valor a Facturar con IVA</t>
  </si>
  <si>
    <t>OCTUBRE DE 2025</t>
  </si>
  <si>
    <t>811013990-5</t>
  </si>
  <si>
    <t>LINEA COMUNICACIONES</t>
  </si>
  <si>
    <t>CAPACITACION CORRESPONSALES BANCARIOS APERTURAS</t>
  </si>
  <si>
    <t>CAPACITACION CORRESPONSALES BANCARIOS</t>
  </si>
  <si>
    <t>CAPACITACION CORRESPONSALES BANCARIOS OC</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</si>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</sst>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8" formatCode="&quot;$&quot;\ #,##0.00;[Red]\-&quot;$&quot;\ #,##0.00"/>
    <numFmt numFmtId="44" formatCode="_-&quot;$&quot;\ * #,##0.00_-;\-&quot;$&quot;\ * #,##0.00_-;_-&quot;$&quot;\ * &quot;-&quot;??_-;_-@_-"/>
    <numFmt numFmtId="43" formatCode="_-* #,##0.00_-;\-* #,##0.00_-;_-* &quot;-&quot;??_-;_-@_-"/>
    <numFmt numFmtId="164" formatCode="_(&quot;$&quot;\ * #,##0_);_(&quot;$&quot;\ * \(#,##0\);_(&quot;$&quot;\ * &quot;-&quot;??_);_(@_)"/>
    <numFmt numFmtId="165" formatCode="_(&quot;$&quot;\ * #,##0.00_);_(&quot;$&quot;\ * \(#,##0.00\);_(&quot;$&quot;\ * &quot;-&quot;??_);_(@_)"/>
    <numFmt numFmtId="166" formatCode="[$-409]d\-m\-yy\ h:mm\ AM/PM;@"/>
    <numFmt numFmtId="167" formatCode="_ * #,##0.00_ ;_ * \-#,##0.00_ ;_ * &quot;-&quot;??_ ;_ @_ "/>
    <numFmt numFmtId="168" formatCode="[$-240A]dddd\,\ dd&quot; de &quot;mmmm&quot; de &quot;yyyy"/>
    <numFmt numFmtId="169" formatCode="_ &quot;$&quot;\ * #,##0_ ;_ &quot;$&quot;\ * \-#,##0_ ;_ &quot;$&quot;\ * &quot;-&quot;??_ ;_ @_ "/>
    <numFmt numFmtId="170" formatCode="_ [$€-2]\ * #,##0.00_ ;_ [$€-2]\ * \-#,##0.00_ ;_ [$€-2]\ * &quot;-&quot;??_ "/>
    <numFmt numFmtId="171" formatCode="[$-C0A]d\-mmm\-yy;@"/>
    <numFmt numFmtId="172" formatCode="[$-240A]General"/>
    <numFmt numFmtId="173" formatCode="_-* #,##0.00\ _€_-;\-* #,##0.00\ _€_-;_-* &quot;-&quot;??\ _€_-;_-@_-"/>
    <numFmt numFmtId="174" formatCode="0.000%"/>
    <numFmt numFmtId="175" formatCode="_ * #,##0.00_ ;_ * \-#,##0.00_ ;_ * \-??_ ;_ @_ "/>
    <numFmt numFmtId="176" formatCode="_ &quot;$&quot;\ * #,##0.00_ ;_ &quot;$&quot;\ * \-#,##0.00_ ;_ &quot;$&quot;\ * &quot;-&quot;??_ ;_ @_ "/>
    <numFmt numFmtId="177" formatCode="_-&quot;$&quot;* #,##0.00_-;\-&quot;$&quot;* #,##0.00_-;_-&quot;$&quot;* &quot;-&quot;??_-;_-@_-"/>
    <numFmt numFmtId="178" formatCode="dd/mm/yyyy"/>
    <numFmt numFmtId="179" formatCode="_-&quot;$&quot;\ * #,##0_-;\-&quot;$&quot;\ * #,##0_-;_-&quot;$&quot;\ * &quot;-&quot;??_-;_-@_-"/>
    <numFmt numFmtId="180" formatCode="_-&quot;$&quot;* #,##0_-;\-&quot;$&quot;* #,##0_-;_-&quot;$&quot;* &quot;-&quot;??_-;_-@_-"/>
  </numFmts>
  <fonts count="82">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Arial"/>
      <family val="2"/>
    </font>
    <font>
      <sz val="11"/>
      <color indexed="8"/>
      <name val="Calibri"/>
      <family val="2"/>
    </font>
    <font>
      <sz val="10"/>
      <color rgb="FF00000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Arial"/>
      <family val="2"/>
    </font>
    <font>
      <sz val="11"/>
      <color indexed="9"/>
      <name val="Calibri"/>
      <family val="2"/>
    </font>
    <font>
      <sz val="11"/>
      <color rgb="FFFFFFFF"/>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rgb="FF000000"/>
      <name val="Calibri"/>
      <family val="2"/>
    </font>
    <font>
      <u/>
      <sz val="10"/>
      <color indexed="12"/>
      <name val="Arial"/>
      <family val="2"/>
    </font>
    <font>
      <u/>
      <sz val="11"/>
      <color theme="10"/>
      <name val="Calibri"/>
      <family val="2"/>
    </font>
    <font>
      <u/>
      <sz val="11"/>
      <color theme="10"/>
      <name val="Calibri"/>
      <family val="2"/>
      <scheme val="minor"/>
    </font>
    <font>
      <u/>
      <sz val="12.1"/>
      <color theme="10"/>
      <name val="Calibri"/>
      <family val="2"/>
    </font>
    <font>
      <sz val="11"/>
      <color indexed="20"/>
      <name val="Calibri"/>
      <family val="2"/>
    </font>
    <font>
      <sz val="12"/>
      <color theme="1"/>
      <name val="Trebuchet MS"/>
      <family val="2"/>
    </font>
    <font>
      <sz val="11"/>
      <color indexed="60"/>
      <name val="Calibri"/>
      <family val="2"/>
    </font>
    <font>
      <sz val="11"/>
      <color theme="1"/>
      <name val="ApexSansBookT"/>
      <family val="2"/>
    </font>
    <font>
      <sz val="10"/>
      <color indexed="64"/>
      <name val="Arial"/>
      <family val="2"/>
    </font>
    <font>
      <sz val="10"/>
      <color theme="1"/>
      <name val="Arial"/>
      <family val="2"/>
    </font>
    <font>
      <sz val="10"/>
      <color theme="1"/>
      <name val="Tw Cen MT"/>
      <family val="2"/>
    </font>
    <font>
      <sz val="10"/>
      <name val="MS Sans Serif"/>
      <family val="2"/>
    </font>
    <font>
      <sz val="10"/>
      <color indexed="8"/>
      <name val="Arial"/>
      <family val="2"/>
    </font>
    <font>
      <sz val="11"/>
      <name val="Calibri"/>
      <family val="2"/>
    </font>
    <font>
      <b/>
      <sz val="11"/>
      <color indexed="63"/>
      <name val="Calibri"/>
      <family val="2"/>
    </font>
    <font>
      <sz val="11"/>
      <color rgb="FF000000"/>
      <name val="Calibri"/>
      <family val="2"/>
      <charset val="1"/>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0"/>
      <color theme="1"/>
      <name val="Apex"/>
      <family val="2"/>
    </font>
    <font>
      <b/>
      <sz val="8"/>
      <name val="Gelion Thin"/>
    </font>
    <font>
      <sz val="8"/>
      <color theme="1"/>
      <name val="Gelion Thin"/>
    </font>
    <font>
      <sz val="11"/>
      <color theme="1"/>
      <name val="Gelion Thin"/>
    </font>
    <font>
      <b/>
      <sz val="10"/>
      <name val="Gelion Thin"/>
    </font>
    <font>
      <sz val="10"/>
      <name val="Gelion Thin"/>
    </font>
    <font>
      <sz val="10"/>
      <color rgb="FF000000"/>
      <name val="Gelion Thin"/>
    </font>
    <font>
      <sz val="8"/>
      <color rgb="FF000000"/>
      <name val="Gelion Thin"/>
    </font>
    <font>
      <b/>
      <sz val="11"/>
      <color theme="1"/>
      <name val="Gelion Thin"/>
    </font>
    <font>
      <sz val="10"/>
      <name val="Century Gothic"/>
      <family val="2"/>
    </font>
    <font>
      <sz val="11"/>
      <color rgb="FF000000"/>
      <name val="Gelion Thin"/>
    </font>
    <font>
      <b/>
      <sz val="11"/>
      <color rgb="FFFFFFFF"/>
      <name val="Calibri"/>
      <family val="2"/>
    </font>
    <font>
      <b/>
      <sz val="11"/>
      <color rgb="FF00B050"/>
      <name val="Calibri"/>
      <family val="2"/>
      <scheme val="minor"/>
    </font>
    <font>
      <b/>
      <u/>
      <sz val="10"/>
      <name val="Gelion Thin"/>
    </font>
  </fonts>
  <fills count="8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9B9B9A"/>
        <bgColor indexed="64"/>
      </patternFill>
    </fill>
    <fill>
      <patternFill patternType="solid">
        <fgColor rgb="FF92D050"/>
        <bgColor indexed="64"/>
      </patternFill>
    </fill>
    <fill>
      <patternFill patternType="solid">
        <fgColor rgb="FF001D62"/>
        <bgColor rgb="FF001D62"/>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39125">
    <xf numFmtId="0" fontId="0" fillId="0" borderId="0"/>
    <xf numFmtId="0" fontId="4" fillId="0" borderId="0"/>
    <xf numFmtId="0" fontId="4" fillId="0" borderId="0"/>
    <xf numFmtId="43" fontId="4" fillId="0" borderId="0"/>
    <xf numFmtId="0" fontId="5" fillId="0" borderId="0"/>
    <xf numFmtId="165" fontId="4" fillId="0" borderId="0"/>
    <xf numFmtId="166" fontId="1" fillId="0" borderId="0"/>
    <xf numFmtId="0" fontId="1" fillId="0" borderId="0"/>
    <xf numFmtId="0" fontId="4" fillId="0" borderId="0"/>
    <xf numFmtId="167" fontId="4" fillId="0" borderId="0"/>
    <xf numFmtId="0" fontId="1" fillId="0" borderId="0"/>
    <xf numFmtId="0" fontId="1" fillId="0" borderId="0"/>
    <xf numFmtId="166" fontId="1" fillId="0" borderId="0"/>
    <xf numFmtId="168" fontId="4" fillId="0" borderId="0"/>
    <xf numFmtId="0" fontId="1" fillId="0" borderId="0"/>
    <xf numFmtId="166" fontId="4" fillId="0" borderId="0"/>
    <xf numFmtId="0" fontId="4" fillId="0" borderId="0"/>
    <xf numFmtId="0" fontId="1" fillId="0" borderId="0"/>
    <xf numFmtId="0" fontId="6" fillId="0" borderId="0"/>
    <xf numFmtId="166" fontId="4" fillId="0" borderId="0"/>
    <xf numFmtId="0" fontId="6" fillId="0" borderId="0"/>
    <xf numFmtId="0" fontId="1" fillId="0" borderId="0"/>
    <xf numFmtId="0" fontId="4" fillId="0" borderId="0"/>
    <xf numFmtId="169" fontId="4" fillId="0" borderId="0"/>
    <xf numFmtId="0" fontId="4" fillId="0" borderId="0"/>
    <xf numFmtId="165" fontId="1" fillId="0" borderId="0"/>
    <xf numFmtId="0" fontId="1" fillId="10" borderId="0"/>
    <xf numFmtId="0" fontId="1" fillId="10" borderId="0"/>
    <xf numFmtId="0" fontId="1" fillId="10" borderId="0"/>
    <xf numFmtId="0" fontId="1" fillId="10" borderId="0"/>
    <xf numFmtId="0" fontId="1" fillId="10" borderId="0"/>
    <xf numFmtId="0" fontId="1" fillId="14" borderId="0"/>
    <xf numFmtId="0" fontId="1" fillId="14" borderId="0"/>
    <xf numFmtId="0" fontId="1" fillId="14" borderId="0"/>
    <xf numFmtId="0" fontId="1" fillId="14" borderId="0"/>
    <xf numFmtId="0" fontId="1" fillId="14" borderId="0"/>
    <xf numFmtId="0" fontId="1" fillId="18" borderId="0"/>
    <xf numFmtId="0" fontId="1" fillId="18" borderId="0"/>
    <xf numFmtId="0" fontId="1" fillId="18" borderId="0"/>
    <xf numFmtId="0" fontId="1" fillId="18" borderId="0"/>
    <xf numFmtId="0" fontId="1" fillId="18" borderId="0"/>
    <xf numFmtId="0" fontId="1" fillId="22" borderId="0"/>
    <xf numFmtId="0" fontId="1" fillId="22" borderId="0"/>
    <xf numFmtId="0" fontId="1" fillId="22" borderId="0"/>
    <xf numFmtId="0" fontId="1" fillId="22" borderId="0"/>
    <xf numFmtId="0" fontId="1" fillId="22" borderId="0"/>
    <xf numFmtId="0" fontId="1" fillId="26" borderId="0"/>
    <xf numFmtId="0" fontId="1" fillId="26" borderId="0"/>
    <xf numFmtId="0" fontId="1" fillId="26" borderId="0"/>
    <xf numFmtId="0" fontId="1" fillId="26" borderId="0"/>
    <xf numFmtId="0" fontId="1" fillId="26" borderId="0"/>
    <xf numFmtId="0" fontId="1" fillId="30" borderId="0"/>
    <xf numFmtId="0" fontId="1" fillId="30" borderId="0"/>
    <xf numFmtId="0" fontId="1" fillId="30" borderId="0"/>
    <xf numFmtId="0" fontId="1" fillId="30" borderId="0"/>
    <xf numFmtId="0" fontId="1" fillId="30" borderId="0"/>
    <xf numFmtId="0" fontId="5" fillId="33" borderId="0"/>
    <xf numFmtId="0" fontId="1" fillId="10" borderId="0"/>
    <xf numFmtId="0" fontId="5" fillId="33" borderId="0"/>
    <xf numFmtId="0" fontId="5" fillId="33" borderId="0"/>
    <xf numFmtId="0" fontId="1" fillId="10" borderId="0"/>
    <xf numFmtId="0" fontId="1" fillId="10" borderId="0"/>
    <xf numFmtId="0" fontId="1" fillId="10" borderId="0"/>
    <xf numFmtId="0" fontId="1" fillId="10" borderId="0"/>
    <xf numFmtId="0" fontId="5" fillId="34" borderId="0"/>
    <xf numFmtId="0" fontId="1" fillId="14" borderId="0"/>
    <xf numFmtId="0" fontId="5" fillId="34" borderId="0"/>
    <xf numFmtId="0" fontId="5" fillId="34" borderId="0"/>
    <xf numFmtId="0" fontId="1" fillId="14" borderId="0"/>
    <xf numFmtId="0" fontId="1" fillId="14" borderId="0"/>
    <xf numFmtId="0" fontId="1" fillId="14" borderId="0"/>
    <xf numFmtId="0" fontId="1" fillId="14" borderId="0"/>
    <xf numFmtId="0" fontId="5" fillId="35" borderId="0"/>
    <xf numFmtId="0" fontId="1" fillId="18" borderId="0"/>
    <xf numFmtId="0" fontId="5" fillId="35" borderId="0"/>
    <xf numFmtId="0" fontId="5" fillId="35" borderId="0"/>
    <xf numFmtId="0" fontId="1" fillId="18" borderId="0"/>
    <xf numFmtId="0" fontId="1" fillId="18" borderId="0"/>
    <xf numFmtId="0" fontId="1" fillId="18" borderId="0"/>
    <xf numFmtId="0" fontId="1" fillId="18" borderId="0"/>
    <xf numFmtId="0" fontId="5" fillId="36" borderId="0"/>
    <xf numFmtId="0" fontId="1" fillId="22" borderId="0"/>
    <xf numFmtId="0" fontId="5" fillId="36" borderId="0"/>
    <xf numFmtId="0" fontId="5" fillId="36" borderId="0"/>
    <xf numFmtId="0" fontId="1" fillId="22" borderId="0"/>
    <xf numFmtId="0" fontId="1" fillId="22" borderId="0"/>
    <xf numFmtId="0" fontId="1" fillId="22" borderId="0"/>
    <xf numFmtId="0" fontId="1" fillId="22" borderId="0"/>
    <xf numFmtId="0" fontId="5" fillId="37" borderId="0"/>
    <xf numFmtId="0" fontId="1" fillId="26" borderId="0"/>
    <xf numFmtId="0" fontId="5" fillId="37" borderId="0"/>
    <xf numFmtId="0" fontId="5" fillId="37" borderId="0"/>
    <xf numFmtId="0" fontId="1" fillId="26" borderId="0"/>
    <xf numFmtId="0" fontId="1" fillId="26" borderId="0"/>
    <xf numFmtId="0" fontId="1" fillId="26" borderId="0"/>
    <xf numFmtId="0" fontId="1" fillId="26" borderId="0"/>
    <xf numFmtId="0" fontId="5" fillId="38" borderId="0"/>
    <xf numFmtId="0" fontId="1" fillId="30" borderId="0"/>
    <xf numFmtId="0" fontId="5" fillId="38" borderId="0"/>
    <xf numFmtId="0" fontId="5" fillId="38" borderId="0"/>
    <xf numFmtId="0" fontId="1" fillId="30" borderId="0"/>
    <xf numFmtId="0" fontId="1" fillId="30" borderId="0"/>
    <xf numFmtId="0" fontId="1" fillId="30" borderId="0"/>
    <xf numFmtId="0" fontId="1" fillId="30" borderId="0"/>
    <xf numFmtId="0" fontId="21" fillId="39" borderId="0"/>
    <xf numFmtId="0" fontId="21" fillId="40" borderId="0"/>
    <xf numFmtId="0" fontId="21" fillId="41" borderId="0"/>
    <xf numFmtId="0" fontId="21" fillId="42" borderId="0"/>
    <xf numFmtId="0" fontId="21" fillId="43" borderId="0"/>
    <xf numFmtId="0" fontId="21" fillId="44" borderId="0"/>
    <xf numFmtId="0" fontId="1" fillId="11" borderId="0"/>
    <xf numFmtId="0" fontId="1" fillId="11" borderId="0"/>
    <xf numFmtId="0" fontId="1" fillId="11" borderId="0"/>
    <xf numFmtId="0" fontId="1" fillId="11" borderId="0"/>
    <xf numFmtId="0" fontId="1" fillId="11" borderId="0"/>
    <xf numFmtId="0" fontId="1" fillId="15" borderId="0"/>
    <xf numFmtId="0" fontId="1" fillId="15" borderId="0"/>
    <xf numFmtId="0" fontId="1" fillId="15" borderId="0"/>
    <xf numFmtId="0" fontId="1" fillId="15" borderId="0"/>
    <xf numFmtId="0" fontId="1" fillId="15" borderId="0"/>
    <xf numFmtId="0" fontId="1" fillId="19" borderId="0"/>
    <xf numFmtId="0" fontId="1" fillId="19" borderId="0"/>
    <xf numFmtId="0" fontId="1" fillId="19" borderId="0"/>
    <xf numFmtId="0" fontId="1" fillId="19" borderId="0"/>
    <xf numFmtId="0" fontId="1" fillId="19" borderId="0"/>
    <xf numFmtId="0" fontId="1" fillId="23" borderId="0"/>
    <xf numFmtId="0" fontId="1" fillId="23" borderId="0"/>
    <xf numFmtId="0" fontId="1" fillId="23" borderId="0"/>
    <xf numFmtId="0" fontId="1" fillId="23" borderId="0"/>
    <xf numFmtId="0" fontId="1" fillId="23" borderId="0"/>
    <xf numFmtId="0" fontId="1" fillId="27" borderId="0"/>
    <xf numFmtId="0" fontId="1" fillId="27" borderId="0"/>
    <xf numFmtId="0" fontId="1" fillId="27" borderId="0"/>
    <xf numFmtId="0" fontId="1" fillId="27" borderId="0"/>
    <xf numFmtId="0" fontId="1" fillId="27" borderId="0"/>
    <xf numFmtId="0" fontId="1" fillId="31" borderId="0"/>
    <xf numFmtId="0" fontId="1" fillId="31" borderId="0"/>
    <xf numFmtId="0" fontId="1" fillId="31" borderId="0"/>
    <xf numFmtId="0" fontId="1" fillId="31" borderId="0"/>
    <xf numFmtId="0" fontId="1" fillId="31" borderId="0"/>
    <xf numFmtId="0" fontId="5" fillId="45" borderId="0"/>
    <xf numFmtId="0" fontId="1" fillId="11" borderId="0"/>
    <xf numFmtId="0" fontId="5" fillId="45" borderId="0"/>
    <xf numFmtId="0" fontId="5" fillId="45" borderId="0"/>
    <xf numFmtId="0" fontId="1" fillId="11" borderId="0"/>
    <xf numFmtId="0" fontId="1" fillId="11" borderId="0"/>
    <xf numFmtId="0" fontId="1" fillId="11" borderId="0"/>
    <xf numFmtId="0" fontId="1" fillId="11" borderId="0"/>
    <xf numFmtId="0" fontId="5" fillId="46" borderId="0"/>
    <xf numFmtId="0" fontId="1" fillId="15" borderId="0"/>
    <xf numFmtId="0" fontId="5" fillId="46" borderId="0"/>
    <xf numFmtId="0" fontId="5" fillId="46" borderId="0"/>
    <xf numFmtId="0" fontId="1" fillId="15" borderId="0"/>
    <xf numFmtId="0" fontId="1" fillId="15" borderId="0"/>
    <xf numFmtId="0" fontId="1" fillId="15" borderId="0"/>
    <xf numFmtId="0" fontId="1" fillId="15" borderId="0"/>
    <xf numFmtId="0" fontId="5" fillId="47" borderId="0"/>
    <xf numFmtId="0" fontId="1" fillId="19" borderId="0"/>
    <xf numFmtId="0" fontId="5" fillId="47" borderId="0"/>
    <xf numFmtId="0" fontId="5" fillId="47" borderId="0"/>
    <xf numFmtId="0" fontId="1" fillId="19" borderId="0"/>
    <xf numFmtId="0" fontId="1" fillId="19" borderId="0"/>
    <xf numFmtId="0" fontId="1" fillId="19" borderId="0"/>
    <xf numFmtId="0" fontId="1" fillId="19" borderId="0"/>
    <xf numFmtId="0" fontId="5" fillId="36" borderId="0"/>
    <xf numFmtId="0" fontId="1" fillId="23" borderId="0"/>
    <xf numFmtId="0" fontId="5" fillId="36" borderId="0"/>
    <xf numFmtId="0" fontId="5" fillId="36" borderId="0"/>
    <xf numFmtId="0" fontId="1" fillId="23" borderId="0"/>
    <xf numFmtId="0" fontId="1" fillId="23" borderId="0"/>
    <xf numFmtId="0" fontId="1" fillId="23" borderId="0"/>
    <xf numFmtId="0" fontId="1" fillId="23" borderId="0"/>
    <xf numFmtId="0" fontId="5" fillId="45" borderId="0"/>
    <xf numFmtId="0" fontId="1" fillId="27" borderId="0"/>
    <xf numFmtId="0" fontId="5" fillId="45" borderId="0"/>
    <xf numFmtId="0" fontId="5" fillId="45" borderId="0"/>
    <xf numFmtId="0" fontId="1" fillId="27" borderId="0"/>
    <xf numFmtId="0" fontId="1" fillId="27" borderId="0"/>
    <xf numFmtId="0" fontId="1" fillId="27" borderId="0"/>
    <xf numFmtId="0" fontId="1" fillId="27" borderId="0"/>
    <xf numFmtId="0" fontId="5" fillId="48" borderId="0"/>
    <xf numFmtId="0" fontId="1" fillId="31" borderId="0"/>
    <xf numFmtId="0" fontId="5" fillId="48" borderId="0"/>
    <xf numFmtId="0" fontId="5" fillId="48" borderId="0"/>
    <xf numFmtId="0" fontId="1" fillId="31" borderId="0"/>
    <xf numFmtId="0" fontId="1" fillId="31" borderId="0"/>
    <xf numFmtId="0" fontId="1" fillId="31" borderId="0"/>
    <xf numFmtId="0" fontId="1" fillId="31" borderId="0"/>
    <xf numFmtId="0" fontId="21" fillId="49" borderId="0"/>
    <xf numFmtId="0" fontId="21" fillId="50" borderId="0"/>
    <xf numFmtId="0" fontId="21" fillId="51" borderId="0"/>
    <xf numFmtId="0" fontId="21" fillId="52" borderId="0"/>
    <xf numFmtId="0" fontId="21" fillId="53" borderId="0"/>
    <xf numFmtId="0" fontId="21" fillId="54" borderId="0"/>
    <xf numFmtId="0" fontId="20" fillId="12" borderId="0"/>
    <xf numFmtId="0" fontId="20" fillId="12" borderId="0"/>
    <xf numFmtId="0" fontId="20" fillId="12" borderId="0"/>
    <xf numFmtId="0" fontId="20" fillId="12" borderId="0"/>
    <xf numFmtId="0" fontId="20" fillId="12" borderId="0"/>
    <xf numFmtId="0" fontId="20" fillId="16" borderId="0"/>
    <xf numFmtId="0" fontId="20" fillId="16" borderId="0"/>
    <xf numFmtId="0" fontId="20" fillId="16" borderId="0"/>
    <xf numFmtId="0" fontId="20" fillId="16" borderId="0"/>
    <xf numFmtId="0" fontId="20" fillId="16" borderId="0"/>
    <xf numFmtId="0" fontId="20" fillId="20" borderId="0"/>
    <xf numFmtId="0" fontId="20" fillId="20" borderId="0"/>
    <xf numFmtId="0" fontId="20" fillId="20" borderId="0"/>
    <xf numFmtId="0" fontId="20" fillId="20" borderId="0"/>
    <xf numFmtId="0" fontId="20" fillId="20" borderId="0"/>
    <xf numFmtId="0" fontId="20" fillId="24" borderId="0"/>
    <xf numFmtId="0" fontId="20" fillId="24" borderId="0"/>
    <xf numFmtId="0" fontId="20" fillId="24" borderId="0"/>
    <xf numFmtId="0" fontId="20" fillId="24" borderId="0"/>
    <xf numFmtId="0" fontId="20" fillId="24" borderId="0"/>
    <xf numFmtId="0" fontId="20" fillId="28" borderId="0"/>
    <xf numFmtId="0" fontId="20" fillId="28" borderId="0"/>
    <xf numFmtId="0" fontId="20" fillId="28" borderId="0"/>
    <xf numFmtId="0" fontId="20" fillId="28" borderId="0"/>
    <xf numFmtId="0" fontId="20" fillId="28" borderId="0"/>
    <xf numFmtId="0" fontId="20" fillId="32" borderId="0"/>
    <xf numFmtId="0" fontId="20" fillId="32" borderId="0"/>
    <xf numFmtId="0" fontId="20" fillId="32" borderId="0"/>
    <xf numFmtId="0" fontId="20" fillId="32" borderId="0"/>
    <xf numFmtId="0" fontId="20" fillId="32" borderId="0"/>
    <xf numFmtId="0" fontId="22" fillId="55" borderId="0"/>
    <xf numFmtId="0" fontId="20" fillId="12" borderId="0"/>
    <xf numFmtId="0" fontId="22" fillId="55" borderId="0"/>
    <xf numFmtId="0" fontId="22" fillId="55" borderId="0"/>
    <xf numFmtId="0" fontId="20" fillId="12" borderId="0"/>
    <xf numFmtId="0" fontId="20" fillId="12" borderId="0"/>
    <xf numFmtId="0" fontId="20" fillId="12" borderId="0"/>
    <xf numFmtId="0" fontId="20" fillId="12" borderId="0"/>
    <xf numFmtId="0" fontId="22" fillId="46" borderId="0"/>
    <xf numFmtId="0" fontId="20" fillId="16" borderId="0"/>
    <xf numFmtId="0" fontId="22" fillId="46" borderId="0"/>
    <xf numFmtId="0" fontId="22" fillId="46" borderId="0"/>
    <xf numFmtId="0" fontId="20" fillId="16" borderId="0"/>
    <xf numFmtId="0" fontId="20" fillId="16" borderId="0"/>
    <xf numFmtId="0" fontId="20" fillId="16" borderId="0"/>
    <xf numFmtId="0" fontId="20" fillId="16" borderId="0"/>
    <xf numFmtId="0" fontId="22" fillId="47" borderId="0"/>
    <xf numFmtId="0" fontId="20" fillId="20" borderId="0"/>
    <xf numFmtId="0" fontId="22" fillId="47" borderId="0"/>
    <xf numFmtId="0" fontId="22" fillId="47" borderId="0"/>
    <xf numFmtId="0" fontId="20" fillId="20" borderId="0"/>
    <xf numFmtId="0" fontId="20" fillId="20" borderId="0"/>
    <xf numFmtId="0" fontId="20" fillId="20" borderId="0"/>
    <xf numFmtId="0" fontId="20" fillId="20" borderId="0"/>
    <xf numFmtId="0" fontId="22" fillId="56" borderId="0"/>
    <xf numFmtId="0" fontId="20" fillId="24" borderId="0"/>
    <xf numFmtId="0" fontId="22" fillId="56" borderId="0"/>
    <xf numFmtId="0" fontId="22" fillId="56" borderId="0"/>
    <xf numFmtId="0" fontId="20" fillId="24" borderId="0"/>
    <xf numFmtId="0" fontId="20" fillId="24" borderId="0"/>
    <xf numFmtId="0" fontId="20" fillId="24" borderId="0"/>
    <xf numFmtId="0" fontId="20" fillId="24" borderId="0"/>
    <xf numFmtId="0" fontId="22" fillId="57" borderId="0"/>
    <xf numFmtId="0" fontId="20" fillId="28" borderId="0"/>
    <xf numFmtId="0" fontId="22" fillId="57" borderId="0"/>
    <xf numFmtId="0" fontId="22" fillId="57" borderId="0"/>
    <xf numFmtId="0" fontId="20" fillId="28" borderId="0"/>
    <xf numFmtId="0" fontId="20" fillId="28" borderId="0"/>
    <xf numFmtId="0" fontId="20" fillId="28" borderId="0"/>
    <xf numFmtId="0" fontId="20" fillId="28" borderId="0"/>
    <xf numFmtId="0" fontId="22" fillId="58" borderId="0"/>
    <xf numFmtId="0" fontId="20" fillId="32" borderId="0"/>
    <xf numFmtId="0" fontId="22" fillId="58" borderId="0"/>
    <xf numFmtId="0" fontId="22" fillId="58" borderId="0"/>
    <xf numFmtId="0" fontId="20" fillId="32" borderId="0"/>
    <xf numFmtId="0" fontId="20" fillId="32" borderId="0"/>
    <xf numFmtId="0" fontId="20" fillId="32" borderId="0"/>
    <xf numFmtId="0" fontId="20" fillId="32" borderId="0"/>
    <xf numFmtId="0" fontId="23" fillId="59" borderId="0"/>
    <xf numFmtId="0" fontId="23" fillId="60" borderId="0"/>
    <xf numFmtId="0" fontId="23" fillId="61" borderId="0"/>
    <xf numFmtId="0" fontId="23" fillId="62" borderId="0"/>
    <xf numFmtId="0" fontId="23" fillId="63" borderId="0"/>
    <xf numFmtId="0" fontId="23" fillId="64" borderId="0"/>
    <xf numFmtId="0" fontId="20" fillId="9" borderId="0"/>
    <xf numFmtId="0" fontId="20" fillId="9" borderId="0"/>
    <xf numFmtId="0" fontId="20" fillId="9" borderId="0"/>
    <xf numFmtId="0" fontId="20" fillId="9" borderId="0"/>
    <xf numFmtId="0" fontId="20" fillId="9" borderId="0"/>
    <xf numFmtId="0" fontId="20" fillId="13" borderId="0"/>
    <xf numFmtId="0" fontId="20" fillId="13" borderId="0"/>
    <xf numFmtId="0" fontId="20" fillId="13" borderId="0"/>
    <xf numFmtId="0" fontId="20" fillId="13" borderId="0"/>
    <xf numFmtId="0" fontId="20" fillId="13" borderId="0"/>
    <xf numFmtId="0" fontId="20" fillId="17" borderId="0"/>
    <xf numFmtId="0" fontId="20" fillId="17" borderId="0"/>
    <xf numFmtId="0" fontId="20" fillId="17" borderId="0"/>
    <xf numFmtId="0" fontId="20" fillId="17" borderId="0"/>
    <xf numFmtId="0" fontId="20" fillId="17" borderId="0"/>
    <xf numFmtId="0" fontId="20" fillId="21" borderId="0"/>
    <xf numFmtId="0" fontId="20" fillId="21" borderId="0"/>
    <xf numFmtId="0" fontId="20" fillId="21" borderId="0"/>
    <xf numFmtId="0" fontId="20" fillId="21" borderId="0"/>
    <xf numFmtId="0" fontId="20" fillId="21" borderId="0"/>
    <xf numFmtId="0" fontId="20" fillId="25" borderId="0"/>
    <xf numFmtId="0" fontId="20" fillId="25" borderId="0"/>
    <xf numFmtId="0" fontId="20" fillId="25" borderId="0"/>
    <xf numFmtId="0" fontId="20" fillId="25" borderId="0"/>
    <xf numFmtId="0" fontId="20" fillId="25" borderId="0"/>
    <xf numFmtId="0" fontId="20" fillId="29" borderId="0"/>
    <xf numFmtId="0" fontId="20" fillId="29" borderId="0"/>
    <xf numFmtId="0" fontId="20" fillId="29" borderId="0"/>
    <xf numFmtId="0" fontId="20" fillId="29" borderId="0"/>
    <xf numFmtId="0" fontId="20" fillId="29" borderId="0"/>
    <xf numFmtId="0" fontId="12" fillId="3" borderId="0"/>
    <xf numFmtId="0" fontId="12" fillId="3" borderId="0"/>
    <xf numFmtId="0" fontId="12" fillId="3" borderId="0"/>
    <xf numFmtId="0" fontId="12" fillId="3" borderId="0"/>
    <xf numFmtId="0" fontId="12" fillId="3" borderId="0"/>
    <xf numFmtId="0" fontId="24" fillId="35" borderId="0"/>
    <xf numFmtId="0" fontId="11" fillId="2" borderId="0"/>
    <xf numFmtId="0" fontId="24" fillId="35" borderId="0"/>
    <xf numFmtId="0" fontId="11" fillId="2" borderId="0"/>
    <xf numFmtId="0" fontId="24" fillId="35" borderId="0"/>
    <xf numFmtId="0" fontId="24" fillId="35" borderId="0"/>
    <xf numFmtId="0" fontId="24" fillId="35" borderId="0"/>
    <xf numFmtId="0" fontId="11" fillId="2" borderId="0"/>
    <xf numFmtId="0" fontId="11" fillId="2" borderId="0"/>
    <xf numFmtId="0" fontId="24" fillId="35" borderId="0"/>
    <xf numFmtId="0" fontId="24" fillId="35" borderId="0"/>
    <xf numFmtId="0" fontId="11" fillId="2" borderId="0"/>
    <xf numFmtId="0" fontId="11" fillId="2" borderId="0"/>
    <xf numFmtId="0" fontId="11" fillId="2" borderId="0"/>
    <xf numFmtId="0" fontId="11" fillId="2" borderId="0"/>
    <xf numFmtId="0" fontId="11" fillId="2" borderId="0"/>
    <xf numFmtId="0" fontId="15" fillId="6" borderId="5"/>
    <xf numFmtId="0" fontId="15" fillId="6" borderId="5"/>
    <xf numFmtId="0" fontId="15" fillId="6" borderId="5"/>
    <xf numFmtId="0" fontId="15" fillId="6" borderId="5"/>
    <xf numFmtId="0" fontId="15" fillId="6" borderId="5"/>
    <xf numFmtId="0" fontId="25" fillId="65" borderId="11"/>
    <xf numFmtId="0" fontId="15" fillId="6" borderId="5"/>
    <xf numFmtId="0" fontId="25" fillId="65" borderId="11"/>
    <xf numFmtId="0" fontId="25" fillId="65" borderId="11"/>
    <xf numFmtId="0" fontId="15" fillId="6" borderId="5"/>
    <xf numFmtId="0" fontId="15" fillId="6" borderId="5"/>
    <xf numFmtId="0" fontId="15" fillId="6" borderId="5"/>
    <xf numFmtId="0" fontId="15" fillId="6" borderId="5"/>
    <xf numFmtId="0" fontId="26" fillId="66" borderId="12"/>
    <xf numFmtId="0" fontId="17" fillId="7" borderId="8"/>
    <xf numFmtId="0" fontId="26" fillId="66" borderId="12"/>
    <xf numFmtId="0" fontId="17" fillId="7" borderId="8"/>
    <xf numFmtId="0" fontId="26" fillId="66" borderId="12"/>
    <xf numFmtId="0" fontId="26" fillId="66" borderId="12"/>
    <xf numFmtId="0" fontId="26" fillId="66" borderId="12"/>
    <xf numFmtId="0" fontId="17" fillId="7" borderId="8"/>
    <xf numFmtId="0" fontId="17" fillId="7" borderId="8"/>
    <xf numFmtId="0" fontId="26" fillId="66" borderId="12"/>
    <xf numFmtId="0" fontId="26" fillId="66" borderId="12"/>
    <xf numFmtId="0" fontId="17" fillId="7" borderId="8"/>
    <xf numFmtId="0" fontId="17" fillId="7" borderId="8"/>
    <xf numFmtId="0" fontId="17" fillId="7" borderId="8"/>
    <xf numFmtId="0" fontId="17" fillId="7" borderId="8"/>
    <xf numFmtId="0" fontId="17" fillId="7" borderId="8"/>
    <xf numFmtId="0" fontId="27" fillId="0" borderId="13"/>
    <xf numFmtId="0" fontId="16" fillId="0" borderId="7"/>
    <xf numFmtId="0" fontId="27" fillId="0" borderId="13"/>
    <xf numFmtId="0" fontId="16" fillId="0" borderId="7"/>
    <xf numFmtId="0" fontId="27" fillId="0" borderId="13"/>
    <xf numFmtId="0" fontId="27" fillId="0" borderId="13"/>
    <xf numFmtId="0" fontId="27" fillId="0" borderId="13"/>
    <xf numFmtId="0" fontId="16" fillId="0" borderId="7"/>
    <xf numFmtId="0" fontId="16" fillId="0" borderId="7"/>
    <xf numFmtId="0" fontId="27" fillId="0" borderId="13"/>
    <xf numFmtId="0" fontId="27" fillId="0" borderId="13"/>
    <xf numFmtId="0" fontId="16" fillId="0" borderId="7"/>
    <xf numFmtId="0" fontId="16" fillId="0" borderId="7"/>
    <xf numFmtId="0" fontId="16" fillId="0" borderId="7"/>
    <xf numFmtId="0" fontId="16" fillId="0" borderId="7"/>
    <xf numFmtId="0" fontId="16" fillId="0" borderId="7"/>
    <xf numFmtId="0" fontId="17" fillId="7" borderId="8"/>
    <xf numFmtId="0" fontId="17" fillId="7" borderId="8"/>
    <xf numFmtId="0" fontId="17" fillId="7" borderId="8"/>
    <xf numFmtId="0" fontId="17" fillId="7" borderId="8"/>
    <xf numFmtId="0" fontId="17" fillId="7" borderId="8"/>
    <xf numFmtId="43" fontId="4" fillId="0" borderId="0"/>
    <xf numFmtId="0" fontId="28" fillId="0" borderId="0"/>
    <xf numFmtId="0" fontId="10" fillId="0" borderId="0"/>
    <xf numFmtId="0" fontId="28" fillId="0" borderId="0"/>
    <xf numFmtId="0" fontId="10" fillId="0" borderId="0"/>
    <xf numFmtId="0" fontId="28" fillId="0" borderId="0"/>
    <xf numFmtId="0" fontId="28" fillId="0" borderId="0"/>
    <xf numFmtId="0" fontId="28" fillId="0" borderId="0"/>
    <xf numFmtId="0" fontId="10" fillId="0" borderId="0"/>
    <xf numFmtId="0" fontId="10" fillId="0" borderId="0"/>
    <xf numFmtId="0" fontId="28" fillId="0" borderId="0"/>
    <xf numFmtId="0" fontId="28" fillId="0" borderId="0"/>
    <xf numFmtId="0" fontId="10" fillId="0" borderId="0"/>
    <xf numFmtId="0" fontId="10" fillId="0" borderId="0"/>
    <xf numFmtId="0" fontId="10" fillId="0" borderId="0"/>
    <xf numFmtId="0" fontId="10" fillId="0" borderId="0"/>
    <xf numFmtId="0" fontId="10" fillId="0" borderId="0"/>
    <xf numFmtId="0" fontId="22" fillId="67" borderId="0"/>
    <xf numFmtId="0" fontId="20" fillId="9" borderId="0"/>
    <xf numFmtId="0" fontId="22" fillId="67" borderId="0"/>
    <xf numFmtId="0" fontId="22" fillId="67" borderId="0"/>
    <xf numFmtId="0" fontId="20" fillId="9" borderId="0"/>
    <xf numFmtId="0" fontId="20" fillId="9" borderId="0"/>
    <xf numFmtId="0" fontId="20" fillId="9" borderId="0"/>
    <xf numFmtId="0" fontId="20" fillId="9" borderId="0"/>
    <xf numFmtId="0" fontId="22" fillId="68" borderId="0"/>
    <xf numFmtId="0" fontId="20" fillId="13" borderId="0"/>
    <xf numFmtId="0" fontId="22" fillId="68" borderId="0"/>
    <xf numFmtId="0" fontId="22" fillId="68" borderId="0"/>
    <xf numFmtId="0" fontId="20" fillId="13" borderId="0"/>
    <xf numFmtId="0" fontId="20" fillId="13" borderId="0"/>
    <xf numFmtId="0" fontId="20" fillId="13" borderId="0"/>
    <xf numFmtId="0" fontId="20" fillId="13" borderId="0"/>
    <xf numFmtId="0" fontId="22" fillId="69" borderId="0"/>
    <xf numFmtId="0" fontId="20" fillId="17" borderId="0"/>
    <xf numFmtId="0" fontId="22" fillId="69" borderId="0"/>
    <xf numFmtId="0" fontId="22" fillId="69" borderId="0"/>
    <xf numFmtId="0" fontId="20" fillId="17" borderId="0"/>
    <xf numFmtId="0" fontId="20" fillId="17" borderId="0"/>
    <xf numFmtId="0" fontId="20" fillId="17" borderId="0"/>
    <xf numFmtId="0" fontId="20" fillId="17" borderId="0"/>
    <xf numFmtId="0" fontId="22" fillId="56" borderId="0"/>
    <xf numFmtId="0" fontId="20" fillId="21" borderId="0"/>
    <xf numFmtId="0" fontId="22" fillId="56" borderId="0"/>
    <xf numFmtId="0" fontId="22" fillId="56" borderId="0"/>
    <xf numFmtId="0" fontId="20" fillId="21" borderId="0"/>
    <xf numFmtId="0" fontId="20" fillId="21" borderId="0"/>
    <xf numFmtId="0" fontId="20" fillId="21" borderId="0"/>
    <xf numFmtId="0" fontId="20" fillId="21" borderId="0"/>
    <xf numFmtId="0" fontId="22" fillId="57" borderId="0"/>
    <xf numFmtId="0" fontId="20" fillId="25" borderId="0"/>
    <xf numFmtId="0" fontId="22" fillId="57" borderId="0"/>
    <xf numFmtId="0" fontId="22" fillId="57" borderId="0"/>
    <xf numFmtId="0" fontId="20" fillId="25" borderId="0"/>
    <xf numFmtId="0" fontId="20" fillId="25" borderId="0"/>
    <xf numFmtId="0" fontId="20" fillId="25" borderId="0"/>
    <xf numFmtId="0" fontId="20" fillId="25" borderId="0"/>
    <xf numFmtId="0" fontId="22" fillId="70" borderId="0"/>
    <xf numFmtId="0" fontId="20" fillId="29" borderId="0"/>
    <xf numFmtId="0" fontId="22" fillId="70" borderId="0"/>
    <xf numFmtId="0" fontId="22" fillId="70" borderId="0"/>
    <xf numFmtId="0" fontId="20" fillId="29" borderId="0"/>
    <xf numFmtId="0" fontId="20" fillId="29" borderId="0"/>
    <xf numFmtId="0" fontId="20" fillId="29" borderId="0"/>
    <xf numFmtId="0" fontId="20" fillId="29" borderId="0"/>
    <xf numFmtId="0" fontId="29" fillId="38" borderId="11"/>
    <xf numFmtId="0" fontId="13" fillId="5" borderId="5"/>
    <xf numFmtId="0" fontId="29" fillId="38" borderId="11"/>
    <xf numFmtId="0" fontId="13" fillId="5" borderId="5"/>
    <xf numFmtId="0" fontId="29" fillId="38" borderId="11"/>
    <xf numFmtId="0" fontId="29" fillId="38" borderId="11"/>
    <xf numFmtId="0" fontId="29" fillId="38" borderId="11"/>
    <xf numFmtId="0" fontId="13" fillId="5" borderId="5"/>
    <xf numFmtId="0" fontId="13" fillId="5" borderId="5"/>
    <xf numFmtId="0" fontId="29" fillId="38" borderId="11"/>
    <xf numFmtId="0" fontId="29" fillId="38" borderId="11"/>
    <xf numFmtId="0" fontId="13" fillId="5" borderId="5"/>
    <xf numFmtId="0" fontId="13" fillId="5" borderId="5"/>
    <xf numFmtId="0" fontId="13" fillId="5" borderId="5"/>
    <xf numFmtId="0" fontId="13" fillId="5" borderId="5"/>
    <xf numFmtId="0" fontId="13" fillId="5" borderId="5"/>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171" fontId="5" fillId="0" borderId="0"/>
    <xf numFmtId="172" fontId="30" fillId="0" borderId="0"/>
    <xf numFmtId="0" fontId="19" fillId="0" borderId="0"/>
    <xf numFmtId="0" fontId="19" fillId="0" borderId="0"/>
    <xf numFmtId="0" fontId="19" fillId="0" borderId="0"/>
    <xf numFmtId="0" fontId="19" fillId="0" borderId="0"/>
    <xf numFmtId="0" fontId="19" fillId="0" borderId="0"/>
    <xf numFmtId="0" fontId="11" fillId="2" borderId="0"/>
    <xf numFmtId="0" fontId="11" fillId="2" borderId="0"/>
    <xf numFmtId="0" fontId="11" fillId="2" borderId="0"/>
    <xf numFmtId="0" fontId="11" fillId="2" borderId="0"/>
    <xf numFmtId="0" fontId="11" fillId="2" borderId="0"/>
    <xf numFmtId="0" fontId="8" fillId="0" borderId="2"/>
    <xf numFmtId="0" fontId="8" fillId="0" borderId="2"/>
    <xf numFmtId="0" fontId="8" fillId="0" borderId="2"/>
    <xf numFmtId="0" fontId="8" fillId="0" borderId="2"/>
    <xf numFmtId="0" fontId="8" fillId="0" borderId="2"/>
    <xf numFmtId="0" fontId="9" fillId="0" borderId="3"/>
    <xf numFmtId="0" fontId="9" fillId="0" borderId="3"/>
    <xf numFmtId="0" fontId="9" fillId="0" borderId="3"/>
    <xf numFmtId="0" fontId="9" fillId="0" borderId="3"/>
    <xf numFmtId="0" fontId="9" fillId="0" borderId="3"/>
    <xf numFmtId="0" fontId="10" fillId="0" borderId="4"/>
    <xf numFmtId="0" fontId="10" fillId="0" borderId="4"/>
    <xf numFmtId="0" fontId="10" fillId="0" borderId="4"/>
    <xf numFmtId="0" fontId="10" fillId="0" borderId="4"/>
    <xf numFmtId="0" fontId="10" fillId="0" borderId="4"/>
    <xf numFmtId="0" fontId="10" fillId="0" borderId="0"/>
    <xf numFmtId="0" fontId="10" fillId="0" borderId="0"/>
    <xf numFmtId="0" fontId="10" fillId="0" borderId="0"/>
    <xf numFmtId="0" fontId="10" fillId="0" borderId="0"/>
    <xf numFmtId="0" fontId="10" fillId="0" borderId="0"/>
    <xf numFmtId="0" fontId="31" fillId="0" borderId="0">
      <alignment vertical="top"/>
      <protection locked="0"/>
    </xf>
    <xf numFmtId="0" fontId="31" fillId="0" borderId="0"/>
    <xf numFmtId="0" fontId="32" fillId="0" borderId="0">
      <alignment vertical="top"/>
      <protection locked="0"/>
    </xf>
    <xf numFmtId="0" fontId="33" fillId="0" borderId="0"/>
    <xf numFmtId="0" fontId="32" fillId="0" borderId="0">
      <alignment vertical="top"/>
      <protection locked="0"/>
    </xf>
    <xf numFmtId="0" fontId="34" fillId="0" borderId="0">
      <alignment vertical="top"/>
      <protection locked="0"/>
    </xf>
    <xf numFmtId="171" fontId="33" fillId="0" borderId="0"/>
    <xf numFmtId="0" fontId="35" fillId="34" borderId="0"/>
    <xf numFmtId="0" fontId="12" fillId="3" borderId="0"/>
    <xf numFmtId="0" fontId="35" fillId="34" borderId="0"/>
    <xf numFmtId="0" fontId="35" fillId="34" borderId="0"/>
    <xf numFmtId="0" fontId="12" fillId="3" borderId="0"/>
    <xf numFmtId="0" fontId="12" fillId="3" borderId="0"/>
    <xf numFmtId="0" fontId="12" fillId="3" borderId="0"/>
    <xf numFmtId="0" fontId="12" fillId="3" borderId="0"/>
    <xf numFmtId="0" fontId="13" fillId="5" borderId="5"/>
    <xf numFmtId="0" fontId="13" fillId="5" borderId="5"/>
    <xf numFmtId="0" fontId="13" fillId="5" borderId="5"/>
    <xf numFmtId="0" fontId="13" fillId="5" borderId="5"/>
    <xf numFmtId="0" fontId="13" fillId="5" borderId="5"/>
    <xf numFmtId="0" fontId="16" fillId="0" borderId="7"/>
    <xf numFmtId="0" fontId="16" fillId="0" borderId="7"/>
    <xf numFmtId="0" fontId="16" fillId="0" borderId="7"/>
    <xf numFmtId="0" fontId="16" fillId="0" borderId="7"/>
    <xf numFmtId="0" fontId="16" fillId="0" borderId="7"/>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43" fontId="36" fillId="0" borderId="0"/>
    <xf numFmtId="167" fontId="4" fillId="0" borderId="0"/>
    <xf numFmtId="167" fontId="4" fillId="0" borderId="0"/>
    <xf numFmtId="167" fontId="4" fillId="0" borderId="0"/>
    <xf numFmtId="174" fontId="4" fillId="0" borderId="0"/>
    <xf numFmtId="167" fontId="4" fillId="0" borderId="0"/>
    <xf numFmtId="43" fontId="1" fillId="0" borderId="0"/>
    <xf numFmtId="167" fontId="4" fillId="0" borderId="0"/>
    <xf numFmtId="167" fontId="4" fillId="0" borderId="0"/>
    <xf numFmtId="4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36"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5"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75"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36" fillId="0" borderId="0"/>
    <xf numFmtId="167" fontId="4" fillId="0" borderId="0"/>
    <xf numFmtId="167" fontId="4" fillId="0" borderId="0"/>
    <xf numFmtId="173" fontId="1" fillId="0" borderId="0"/>
    <xf numFmtId="167" fontId="4" fillId="0" borderId="0"/>
    <xf numFmtId="167" fontId="4" fillId="0" borderId="0"/>
    <xf numFmtId="43" fontId="36" fillId="0" borderId="0"/>
    <xf numFmtId="167" fontId="4" fillId="0" borderId="0"/>
    <xf numFmtId="167" fontId="4" fillId="0" borderId="0"/>
    <xf numFmtId="43" fontId="36" fillId="0" borderId="0"/>
    <xf numFmtId="167" fontId="4" fillId="0" borderId="0"/>
    <xf numFmtId="167" fontId="4" fillId="0" borderId="0"/>
    <xf numFmtId="43" fontId="36" fillId="0" borderId="0"/>
    <xf numFmtId="167" fontId="4" fillId="0" borderId="0"/>
    <xf numFmtId="167" fontId="4" fillId="0" borderId="0"/>
    <xf numFmtId="167" fontId="4" fillId="0" borderId="0"/>
    <xf numFmtId="167" fontId="4" fillId="0" borderId="0"/>
    <xf numFmtId="4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73" fontId="1" fillId="0" borderId="0"/>
    <xf numFmtId="173" fontId="1"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73" fontId="1" fillId="0" borderId="0"/>
    <xf numFmtId="173" fontId="1"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73" fontId="1" fillId="0" borderId="0"/>
    <xf numFmtId="167" fontId="4" fillId="0" borderId="0"/>
    <xf numFmtId="173" fontId="1" fillId="0" borderId="0"/>
    <xf numFmtId="167" fontId="4" fillId="0" borderId="0"/>
    <xf numFmtId="173" fontId="1" fillId="0" borderId="0"/>
    <xf numFmtId="173" fontId="1" fillId="0" borderId="0"/>
    <xf numFmtId="167" fontId="4" fillId="0" borderId="0"/>
    <xf numFmtId="173" fontId="1" fillId="0" borderId="0"/>
    <xf numFmtId="173" fontId="1" fillId="0" borderId="0"/>
    <xf numFmtId="173" fontId="1"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5" fontId="4" fillId="0" borderId="0"/>
    <xf numFmtId="176" fontId="4" fillId="0" borderId="0"/>
    <xf numFmtId="165" fontId="1" fillId="0" borderId="0"/>
    <xf numFmtId="165" fontId="1" fillId="0" borderId="0"/>
    <xf numFmtId="176" fontId="4" fillId="0" borderId="0"/>
    <xf numFmtId="165" fontId="1" fillId="0" borderId="0"/>
    <xf numFmtId="176" fontId="4" fillId="0" borderId="0"/>
    <xf numFmtId="165" fontId="1" fillId="0" borderId="0"/>
    <xf numFmtId="176" fontId="4" fillId="0" borderId="0"/>
    <xf numFmtId="165" fontId="1" fillId="0" borderId="0"/>
    <xf numFmtId="176" fontId="4" fillId="0" borderId="0"/>
    <xf numFmtId="176" fontId="4" fillId="0" borderId="0"/>
    <xf numFmtId="176" fontId="4" fillId="0" borderId="0"/>
    <xf numFmtId="176" fontId="4" fillId="0" borderId="0"/>
    <xf numFmtId="176" fontId="4" fillId="0" borderId="0"/>
    <xf numFmtId="165" fontId="4" fillId="0" borderId="0"/>
    <xf numFmtId="165"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7" fontId="1" fillId="0" borderId="0"/>
    <xf numFmtId="177" fontId="1" fillId="0" borderId="0"/>
    <xf numFmtId="165" fontId="1" fillId="0" borderId="0"/>
    <xf numFmtId="0" fontId="37" fillId="71" borderId="0"/>
    <xf numFmtId="0" fontId="37" fillId="71" borderId="0"/>
    <xf numFmtId="0" fontId="37" fillId="71"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166" fontId="4" fillId="0" borderId="0"/>
    <xf numFmtId="0" fontId="1" fillId="0" borderId="0"/>
    <xf numFmtId="0" fontId="4" fillId="0" borderId="0">
      <alignment vertical="top"/>
    </xf>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38"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171"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171" fontId="4" fillId="0" borderId="0"/>
    <xf numFmtId="0"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36"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36"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166"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166"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166"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66" fontId="4"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66" fontId="4"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66" fontId="4" fillId="0" borderId="0"/>
    <xf numFmtId="166" fontId="4" fillId="0" borderId="0"/>
    <xf numFmtId="166" fontId="4"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4" fillId="0" borderId="0"/>
    <xf numFmtId="0" fontId="1"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0" fontId="4" fillId="0" borderId="0">
      <alignment vertical="top"/>
    </xf>
    <xf numFmtId="166" fontId="4" fillId="0" borderId="0"/>
    <xf numFmtId="171" fontId="1" fillId="0" borderId="0"/>
    <xf numFmtId="166" fontId="4" fillId="0" borderId="0"/>
    <xf numFmtId="171" fontId="1" fillId="0" borderId="0"/>
    <xf numFmtId="166"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66" fontId="4"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0"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71"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0" fontId="1" fillId="0" borderId="0"/>
    <xf numFmtId="0" fontId="4" fillId="0" borderId="0"/>
    <xf numFmtId="171" fontId="4" fillId="0" borderId="0"/>
    <xf numFmtId="0"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4"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4"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0" fontId="1" fillId="0" borderId="0"/>
    <xf numFmtId="171" fontId="1" fillId="0" borderId="0"/>
    <xf numFmtId="0" fontId="4" fillId="0" borderId="0"/>
    <xf numFmtId="0" fontId="4" fillId="0" borderId="0"/>
    <xf numFmtId="171" fontId="4" fillId="0" borderId="0"/>
    <xf numFmtId="0" fontId="4" fillId="0" borderId="0"/>
    <xf numFmtId="0" fontId="4" fillId="0" borderId="0"/>
    <xf numFmtId="171" fontId="4" fillId="0" borderId="0"/>
    <xf numFmtId="0" fontId="4" fillId="0" borderId="0"/>
    <xf numFmtId="0" fontId="4" fillId="0" borderId="0"/>
    <xf numFmtId="171" fontId="4" fillId="0" borderId="0"/>
    <xf numFmtId="0" fontId="4" fillId="0" borderId="0"/>
    <xf numFmtId="0" fontId="4" fillId="0" borderId="0"/>
    <xf numFmtId="171"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alignment vertical="top"/>
    </xf>
    <xf numFmtId="0" fontId="4" fillId="0" borderId="0">
      <alignment vertical="top"/>
    </xf>
    <xf numFmtId="0" fontId="4" fillId="0" borderId="0"/>
    <xf numFmtId="171" fontId="36" fillId="0" borderId="0"/>
    <xf numFmtId="0" fontId="4" fillId="0" borderId="0"/>
    <xf numFmtId="0" fontId="4" fillId="0" borderId="0"/>
    <xf numFmtId="171" fontId="4" fillId="0" borderId="0"/>
    <xf numFmtId="0" fontId="4" fillId="0" borderId="0"/>
    <xf numFmtId="0" fontId="4" fillId="0" borderId="0"/>
    <xf numFmtId="171" fontId="36" fillId="0" borderId="0"/>
    <xf numFmtId="0" fontId="4" fillId="0" borderId="0"/>
    <xf numFmtId="0" fontId="4" fillId="0" borderId="0"/>
    <xf numFmtId="171" fontId="4" fillId="0" borderId="0"/>
    <xf numFmtId="0" fontId="4" fillId="0" borderId="0"/>
    <xf numFmtId="0" fontId="4" fillId="0" borderId="0"/>
    <xf numFmtId="171" fontId="36" fillId="0" borderId="0"/>
    <xf numFmtId="0" fontId="4" fillId="0" borderId="0"/>
    <xf numFmtId="0" fontId="4" fillId="0" borderId="0"/>
    <xf numFmtId="171" fontId="4" fillId="0" borderId="0"/>
    <xf numFmtId="0" fontId="4" fillId="0" borderId="0"/>
    <xf numFmtId="0" fontId="4" fillId="0" borderId="0"/>
    <xf numFmtId="171" fontId="36"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0" fontId="4"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0"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0" fontId="4" fillId="0" borderId="0"/>
    <xf numFmtId="171" fontId="4" fillId="0" borderId="0"/>
    <xf numFmtId="0" fontId="4" fillId="0" borderId="0"/>
    <xf numFmtId="0" fontId="4" fillId="0" borderId="0"/>
    <xf numFmtId="0" fontId="21" fillId="0" borderId="0"/>
    <xf numFmtId="171" fontId="36" fillId="0" borderId="0"/>
    <xf numFmtId="0" fontId="4" fillId="0" borderId="0"/>
    <xf numFmtId="0" fontId="4" fillId="0" borderId="0"/>
    <xf numFmtId="0" fontId="21" fillId="0" borderId="0"/>
    <xf numFmtId="171" fontId="36" fillId="0" borderId="0"/>
    <xf numFmtId="0" fontId="4" fillId="0" borderId="0"/>
    <xf numFmtId="0" fontId="4" fillId="0" borderId="0"/>
    <xf numFmtId="0" fontId="39" fillId="0" borderId="0"/>
    <xf numFmtId="0" fontId="21" fillId="0" borderId="0"/>
    <xf numFmtId="0" fontId="39" fillId="0" borderId="0"/>
    <xf numFmtId="0" fontId="39" fillId="0" borderId="0"/>
    <xf numFmtId="0" fontId="21" fillId="0" borderId="0"/>
    <xf numFmtId="171" fontId="36" fillId="0" borderId="0"/>
    <xf numFmtId="0" fontId="39" fillId="0" borderId="0"/>
    <xf numFmtId="0" fontId="21" fillId="0" borderId="0"/>
    <xf numFmtId="0" fontId="39" fillId="0" borderId="0"/>
    <xf numFmtId="0" fontId="4" fillId="0" borderId="0"/>
    <xf numFmtId="0" fontId="4" fillId="0" borderId="0"/>
    <xf numFmtId="0" fontId="21" fillId="0" borderId="0"/>
    <xf numFmtId="171" fontId="4" fillId="0" borderId="0"/>
    <xf numFmtId="0" fontId="4" fillId="0" borderId="0"/>
    <xf numFmtId="0" fontId="4" fillId="0" borderId="0"/>
    <xf numFmtId="0" fontId="21" fillId="0" borderId="0"/>
    <xf numFmtId="171" fontId="36" fillId="0" borderId="0"/>
    <xf numFmtId="0" fontId="4" fillId="0" borderId="0"/>
    <xf numFmtId="0" fontId="4" fillId="0" borderId="0"/>
    <xf numFmtId="0" fontId="39" fillId="0" borderId="0"/>
    <xf numFmtId="171"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21" fillId="0" borderId="0"/>
    <xf numFmtId="0" fontId="4" fillId="0" borderId="0"/>
    <xf numFmtId="0" fontId="21" fillId="0" borderId="0"/>
    <xf numFmtId="0" fontId="21" fillId="0" borderId="0"/>
    <xf numFmtId="0" fontId="4" fillId="0" borderId="0"/>
    <xf numFmtId="0" fontId="21" fillId="0" borderId="0"/>
    <xf numFmtId="0" fontId="4" fillId="0" borderId="0"/>
    <xf numFmtId="166" fontId="36"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36" fillId="0" borderId="0"/>
    <xf numFmtId="0" fontId="36" fillId="0" borderId="0"/>
    <xf numFmtId="0" fontId="4" fillId="0" borderId="0"/>
    <xf numFmtId="166" fontId="36" fillId="0" borderId="0"/>
    <xf numFmtId="0" fontId="4" fillId="0" borderId="0"/>
    <xf numFmtId="0" fontId="21" fillId="0" borderId="0"/>
    <xf numFmtId="171" fontId="36" fillId="0" borderId="0"/>
    <xf numFmtId="0" fontId="21" fillId="0" borderId="0"/>
    <xf numFmtId="166" fontId="36" fillId="0" borderId="0"/>
    <xf numFmtId="0" fontId="21" fillId="0" borderId="0"/>
    <xf numFmtId="0" fontId="21" fillId="0" borderId="0"/>
    <xf numFmtId="0" fontId="21" fillId="0" borderId="0"/>
    <xf numFmtId="0" fontId="21" fillId="0" borderId="0"/>
    <xf numFmtId="0" fontId="4" fillId="0" borderId="0"/>
    <xf numFmtId="0" fontId="4" fillId="0" borderId="0"/>
    <xf numFmtId="171"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166" fontId="4" fillId="0" borderId="0"/>
    <xf numFmtId="171"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4" fillId="0" borderId="0"/>
    <xf numFmtId="0" fontId="4" fillId="0" borderId="0"/>
    <xf numFmtId="0" fontId="4" fillId="0" borderId="0"/>
    <xf numFmtId="171" fontId="4" fillId="0" borderId="0"/>
    <xf numFmtId="0" fontId="4" fillId="0" borderId="0"/>
    <xf numFmtId="0" fontId="4" fillId="0" borderId="0"/>
    <xf numFmtId="171" fontId="36" fillId="0" borderId="0"/>
    <xf numFmtId="0" fontId="4" fillId="0" borderId="0"/>
    <xf numFmtId="0" fontId="4" fillId="0" borderId="0"/>
    <xf numFmtId="171" fontId="4" fillId="0" borderId="0"/>
    <xf numFmtId="0"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0" fontId="4"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36" fillId="0" borderId="0"/>
    <xf numFmtId="0" fontId="4" fillId="0" borderId="0"/>
    <xf numFmtId="171" fontId="4" fillId="0" borderId="0"/>
    <xf numFmtId="0" fontId="21"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1" fillId="0" borderId="0"/>
    <xf numFmtId="166" fontId="1" fillId="0" borderId="0"/>
    <xf numFmtId="171" fontId="4" fillId="0" borderId="0"/>
    <xf numFmtId="0" fontId="39" fillId="0" borderId="0"/>
    <xf numFmtId="171" fontId="4" fillId="0" borderId="0"/>
    <xf numFmtId="171" fontId="4" fillId="0" borderId="0"/>
    <xf numFmtId="171" fontId="4" fillId="0" borderId="0"/>
    <xf numFmtId="171" fontId="4" fillId="0" borderId="0"/>
    <xf numFmtId="0" fontId="4" fillId="0" borderId="0"/>
    <xf numFmtId="171" fontId="36" fillId="0" borderId="0"/>
    <xf numFmtId="171" fontId="4" fillId="0" borderId="0"/>
    <xf numFmtId="0" fontId="4" fillId="0" borderId="0"/>
    <xf numFmtId="171" fontId="4" fillId="0" borderId="0"/>
    <xf numFmtId="0" fontId="21" fillId="0" borderId="0"/>
    <xf numFmtId="171" fontId="4" fillId="0" borderId="0"/>
    <xf numFmtId="0" fontId="39" fillId="0" borderId="0"/>
    <xf numFmtId="171" fontId="4" fillId="0" borderId="0"/>
    <xf numFmtId="0" fontId="39" fillId="0" borderId="0"/>
    <xf numFmtId="171" fontId="4" fillId="0" borderId="0"/>
    <xf numFmtId="171"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171" fontId="4" fillId="0" borderId="0"/>
    <xf numFmtId="0"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0" fontId="4"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4" fillId="0" borderId="0"/>
    <xf numFmtId="0" fontId="4" fillId="0" borderId="0"/>
    <xf numFmtId="171" fontId="36"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171" fontId="4" fillId="0" borderId="0"/>
    <xf numFmtId="0" fontId="4" fillId="0" borderId="0"/>
    <xf numFmtId="0" fontId="4" fillId="0" borderId="0"/>
    <xf numFmtId="166" fontId="4" fillId="0" borderId="0"/>
    <xf numFmtId="0" fontId="4" fillId="0" borderId="0"/>
    <xf numFmtId="166" fontId="4" fillId="0" borderId="0"/>
    <xf numFmtId="0" fontId="4" fillId="0" borderId="0"/>
    <xf numFmtId="0" fontId="4" fillId="0" borderId="0"/>
    <xf numFmtId="0" fontId="4" fillId="0" borderId="0"/>
    <xf numFmtId="171"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38" fillId="0" borderId="0"/>
    <xf numFmtId="0" fontId="4" fillId="0" borderId="0"/>
    <xf numFmtId="0" fontId="4" fillId="0" borderId="0"/>
    <xf numFmtId="171" fontId="4" fillId="0" borderId="0"/>
    <xf numFmtId="0" fontId="4" fillId="0" borderId="0"/>
    <xf numFmtId="0" fontId="38" fillId="0" borderId="0"/>
    <xf numFmtId="171"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166"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171" fontId="4" fillId="0" borderId="0"/>
    <xf numFmtId="0" fontId="4" fillId="0" borderId="0"/>
    <xf numFmtId="0" fontId="4" fillId="0" borderId="0"/>
    <xf numFmtId="0" fontId="1"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4" fillId="0" borderId="0"/>
    <xf numFmtId="0" fontId="4" fillId="0" borderId="0"/>
    <xf numFmtId="0" fontId="41"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1" fillId="0" borderId="0"/>
    <xf numFmtId="0" fontId="4" fillId="0" borderId="0"/>
    <xf numFmtId="0" fontId="4" fillId="0" borderId="0"/>
    <xf numFmtId="0" fontId="41" fillId="0" borderId="0"/>
    <xf numFmtId="0" fontId="4" fillId="0" borderId="0"/>
    <xf numFmtId="0" fontId="4" fillId="0" borderId="0"/>
    <xf numFmtId="0" fontId="41" fillId="0" borderId="0"/>
    <xf numFmtId="0" fontId="4" fillId="0" borderId="0"/>
    <xf numFmtId="0" fontId="4" fillId="0" borderId="0"/>
    <xf numFmtId="0" fontId="41" fillId="0" borderId="0"/>
    <xf numFmtId="0" fontId="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 fillId="0" borderId="0"/>
    <xf numFmtId="0" fontId="4" fillId="0" borderId="0"/>
    <xf numFmtId="0" fontId="4" fillId="0" borderId="0"/>
    <xf numFmtId="0" fontId="4" fillId="0" borderId="0"/>
    <xf numFmtId="171" fontId="36" fillId="0" borderId="0"/>
    <xf numFmtId="0" fontId="4"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 fillId="0" borderId="0"/>
    <xf numFmtId="0" fontId="4" fillId="0" borderId="0"/>
    <xf numFmtId="0" fontId="4" fillId="0" borderId="0"/>
    <xf numFmtId="0" fontId="4" fillId="0" borderId="0"/>
    <xf numFmtId="171" fontId="36" fillId="0" borderId="0"/>
    <xf numFmtId="0" fontId="4" fillId="0" borderId="0"/>
    <xf numFmtId="0" fontId="41" fillId="0" borderId="0"/>
    <xf numFmtId="0" fontId="41"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xf numFmtId="0" fontId="4" fillId="0" borderId="0">
      <alignment vertical="top"/>
    </xf>
    <xf numFmtId="0" fontId="4" fillId="0" borderId="0">
      <alignment vertical="top"/>
    </xf>
    <xf numFmtId="0" fontId="4" fillId="0" borderId="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1" fillId="0" borderId="0"/>
    <xf numFmtId="0" fontId="4" fillId="0" borderId="0">
      <alignment vertical="top"/>
    </xf>
    <xf numFmtId="171" fontId="36" fillId="0" borderId="0"/>
    <xf numFmtId="0" fontId="4" fillId="0" borderId="0">
      <alignment vertical="top"/>
    </xf>
    <xf numFmtId="0" fontId="4"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4" fillId="0" borderId="0"/>
    <xf numFmtId="0" fontId="4" fillId="0" borderId="0"/>
    <xf numFmtId="171" fontId="36"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alignment vertical="top"/>
    </xf>
    <xf numFmtId="166" fontId="4" fillId="0" borderId="0"/>
    <xf numFmtId="0" fontId="4" fillId="0" borderId="0">
      <alignment vertical="top"/>
    </xf>
    <xf numFmtId="171" fontId="36" fillId="0" borderId="0"/>
    <xf numFmtId="0" fontId="4" fillId="0" borderId="0"/>
    <xf numFmtId="0" fontId="4" fillId="0" borderId="0"/>
    <xf numFmtId="0" fontId="4" fillId="0" borderId="0"/>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alignment vertical="top"/>
    </xf>
    <xf numFmtId="0" fontId="4" fillId="0" borderId="0">
      <alignment vertical="top"/>
    </xf>
    <xf numFmtId="0" fontId="1"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171"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171" fontId="36"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1" fillId="0" borderId="0"/>
    <xf numFmtId="171" fontId="36"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171" fontId="4" fillId="0" borderId="0"/>
    <xf numFmtId="0" fontId="38" fillId="0" borderId="0"/>
    <xf numFmtId="0" fontId="1" fillId="0" borderId="0"/>
    <xf numFmtId="0" fontId="42" fillId="0" borderId="0"/>
    <xf numFmtId="0" fontId="38" fillId="0" borderId="0"/>
    <xf numFmtId="0" fontId="42" fillId="0" borderId="0"/>
    <xf numFmtId="166" fontId="1" fillId="0" borderId="0"/>
    <xf numFmtId="0" fontId="42" fillId="0" borderId="0"/>
    <xf numFmtId="0" fontId="38" fillId="0" borderId="0"/>
    <xf numFmtId="0" fontId="1" fillId="0" borderId="0"/>
    <xf numFmtId="0" fontId="1" fillId="0" borderId="0"/>
    <xf numFmtId="0" fontId="42" fillId="0" borderId="0"/>
    <xf numFmtId="0" fontId="38" fillId="0" borderId="0"/>
    <xf numFmtId="0" fontId="42" fillId="0" borderId="0"/>
    <xf numFmtId="0" fontId="42" fillId="0" borderId="0"/>
    <xf numFmtId="0" fontId="38" fillId="0" borderId="0"/>
    <xf numFmtId="0" fontId="42" fillId="0" borderId="0"/>
    <xf numFmtId="0" fontId="42" fillId="0" borderId="0"/>
    <xf numFmtId="0" fontId="38" fillId="0" borderId="0"/>
    <xf numFmtId="0" fontId="43" fillId="0" borderId="0"/>
    <xf numFmtId="0" fontId="38" fillId="0" borderId="0"/>
    <xf numFmtId="0" fontId="43" fillId="0" borderId="0"/>
    <xf numFmtId="0" fontId="38" fillId="0" borderId="0"/>
    <xf numFmtId="0" fontId="42" fillId="0" borderId="0"/>
    <xf numFmtId="0" fontId="4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166" fontId="4" fillId="0" borderId="0"/>
    <xf numFmtId="171"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38"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1" fillId="0" borderId="0"/>
    <xf numFmtId="0" fontId="44" fillId="0" borderId="0"/>
    <xf numFmtId="0" fontId="1" fillId="0" borderId="0"/>
    <xf numFmtId="0" fontId="4" fillId="0" borderId="0"/>
    <xf numFmtId="0" fontId="4" fillId="0" borderId="0"/>
    <xf numFmtId="0" fontId="4" fillId="0" borderId="0"/>
    <xf numFmtId="0" fontId="4" fillId="0" borderId="0"/>
    <xf numFmtId="169" fontId="4" fillId="0" borderId="0"/>
    <xf numFmtId="171"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4" fillId="0" borderId="0"/>
    <xf numFmtId="0" fontId="1" fillId="0" borderId="0"/>
    <xf numFmtId="166" fontId="4" fillId="0" borderId="0"/>
    <xf numFmtId="166" fontId="4" fillId="0" borderId="0"/>
    <xf numFmtId="166" fontId="4" fillId="0" borderId="0"/>
    <xf numFmtId="0" fontId="1" fillId="0" borderId="0"/>
    <xf numFmtId="0" fontId="1" fillId="0" borderId="0"/>
    <xf numFmtId="166" fontId="4"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38"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38"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38"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38"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38"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5" fillId="72" borderId="14"/>
    <xf numFmtId="0" fontId="4" fillId="72" borderId="14"/>
    <xf numFmtId="0" fontId="5" fillId="8" borderId="9"/>
    <xf numFmtId="0" fontId="4" fillId="72" borderId="14"/>
    <xf numFmtId="0" fontId="5" fillId="8" borderId="9"/>
    <xf numFmtId="0" fontId="4" fillId="72" borderId="14"/>
    <xf numFmtId="0" fontId="4" fillId="72" borderId="14"/>
    <xf numFmtId="0" fontId="4" fillId="72" borderId="14"/>
    <xf numFmtId="0" fontId="1" fillId="0" borderId="0"/>
    <xf numFmtId="0" fontId="1" fillId="0" borderId="0"/>
    <xf numFmtId="0" fontId="4" fillId="72" borderId="14"/>
    <xf numFmtId="0" fontId="5" fillId="8" borderId="9"/>
    <xf numFmtId="0" fontId="5" fillId="8" borderId="9"/>
    <xf numFmtId="0" fontId="1" fillId="0" borderId="0"/>
    <xf numFmtId="0" fontId="1" fillId="0" borderId="0"/>
    <xf numFmtId="0" fontId="5" fillId="8" borderId="9"/>
    <xf numFmtId="0" fontId="4" fillId="72" borderId="14"/>
    <xf numFmtId="0" fontId="4" fillId="72" borderId="14"/>
    <xf numFmtId="0" fontId="1" fillId="0" borderId="0"/>
    <xf numFmtId="0" fontId="1" fillId="0" borderId="0"/>
    <xf numFmtId="0" fontId="4" fillId="72" borderId="14"/>
    <xf numFmtId="0" fontId="4" fillId="72" borderId="14"/>
    <xf numFmtId="0" fontId="4" fillId="72" borderId="14"/>
    <xf numFmtId="0" fontId="4" fillId="72" borderId="14"/>
    <xf numFmtId="0" fontId="1" fillId="0" borderId="0"/>
    <xf numFmtId="0" fontId="1" fillId="0" borderId="0"/>
    <xf numFmtId="0" fontId="4" fillId="72" borderId="14"/>
    <xf numFmtId="0" fontId="4" fillId="72" borderId="14"/>
    <xf numFmtId="0" fontId="4" fillId="72" borderId="14"/>
    <xf numFmtId="0" fontId="4" fillId="72" borderId="14"/>
    <xf numFmtId="0" fontId="1" fillId="0" borderId="0"/>
    <xf numFmtId="0" fontId="1" fillId="0" borderId="0"/>
    <xf numFmtId="0" fontId="4" fillId="72" borderId="14"/>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1" fillId="8" borderId="9"/>
    <xf numFmtId="0" fontId="1" fillId="8" borderId="9"/>
    <xf numFmtId="0" fontId="1" fillId="8" borderId="9"/>
    <xf numFmtId="0" fontId="1" fillId="0" borderId="0"/>
    <xf numFmtId="0" fontId="1" fillId="0" borderId="0"/>
    <xf numFmtId="0" fontId="1" fillId="8" borderId="9"/>
    <xf numFmtId="0" fontId="4" fillId="72" borderId="14"/>
    <xf numFmtId="0" fontId="4" fillId="72" borderId="14"/>
    <xf numFmtId="0" fontId="1" fillId="0" borderId="0"/>
    <xf numFmtId="0" fontId="1" fillId="0" borderId="0"/>
    <xf numFmtId="0" fontId="4" fillId="72" borderId="14"/>
    <xf numFmtId="0" fontId="4" fillId="72" borderId="14"/>
    <xf numFmtId="0" fontId="1" fillId="8" borderId="9"/>
    <xf numFmtId="0" fontId="1" fillId="8" borderId="9"/>
    <xf numFmtId="0" fontId="1" fillId="8" borderId="9"/>
    <xf numFmtId="0" fontId="1" fillId="0" borderId="0"/>
    <xf numFmtId="0" fontId="1" fillId="0" borderId="0"/>
    <xf numFmtId="0" fontId="1" fillId="8" borderId="9"/>
    <xf numFmtId="0" fontId="5" fillId="72" borderId="14"/>
    <xf numFmtId="0" fontId="4" fillId="72" borderId="14"/>
    <xf numFmtId="0" fontId="4" fillId="72" borderId="14"/>
    <xf numFmtId="0" fontId="1" fillId="0" borderId="0"/>
    <xf numFmtId="0" fontId="1" fillId="0" borderId="0"/>
    <xf numFmtId="0" fontId="4" fillId="72" borderId="14"/>
    <xf numFmtId="0" fontId="4" fillId="72" borderId="14"/>
    <xf numFmtId="0" fontId="4" fillId="72" borderId="14"/>
    <xf numFmtId="0" fontId="4" fillId="72" borderId="14"/>
    <xf numFmtId="0" fontId="1" fillId="0" borderId="0"/>
    <xf numFmtId="0" fontId="1" fillId="0" borderId="0"/>
    <xf numFmtId="0" fontId="4" fillId="72" borderId="14"/>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1" fillId="0" borderId="0"/>
    <xf numFmtId="0" fontId="5" fillId="8" borderId="9"/>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 fillId="0" borderId="0"/>
    <xf numFmtId="0" fontId="1" fillId="0" borderId="0"/>
    <xf numFmtId="0" fontId="14" fillId="6" borderId="6"/>
    <xf numFmtId="9" fontId="4"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0" fontId="1" fillId="0" borderId="0"/>
    <xf numFmtId="0" fontId="14" fillId="6" borderId="6"/>
    <xf numFmtId="0" fontId="45" fillId="65" borderId="15"/>
    <xf numFmtId="0" fontId="45" fillId="65" borderId="15"/>
    <xf numFmtId="0" fontId="45" fillId="65" borderId="15"/>
    <xf numFmtId="0" fontId="1" fillId="0" borderId="0"/>
    <xf numFmtId="0" fontId="14" fillId="6" borderId="6"/>
    <xf numFmtId="0" fontId="1" fillId="0" borderId="0"/>
    <xf numFmtId="0" fontId="45" fillId="65" borderId="15"/>
    <xf numFmtId="0" fontId="45" fillId="65" borderId="15"/>
    <xf numFmtId="0" fontId="45" fillId="65" borderId="15"/>
    <xf numFmtId="0" fontId="45" fillId="65" borderId="15"/>
    <xf numFmtId="0" fontId="1" fillId="0" borderId="0"/>
    <xf numFmtId="0" fontId="1" fillId="0" borderId="0"/>
    <xf numFmtId="0" fontId="45" fillId="65" borderId="15"/>
    <xf numFmtId="0" fontId="45" fillId="65" borderId="15"/>
    <xf numFmtId="0" fontId="45" fillId="65" borderId="15"/>
    <xf numFmtId="0" fontId="45" fillId="65" borderId="15"/>
    <xf numFmtId="0" fontId="1" fillId="0" borderId="0"/>
    <xf numFmtId="0" fontId="1" fillId="0" borderId="0"/>
    <xf numFmtId="0" fontId="45" fillId="65" borderId="15"/>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 fillId="0" borderId="0"/>
    <xf numFmtId="0" fontId="46" fillId="0" borderId="0"/>
    <xf numFmtId="0" fontId="46" fillId="0" borderId="0"/>
    <xf numFmtId="0" fontId="46" fillId="0" borderId="0"/>
    <xf numFmtId="0" fontId="1" fillId="0" borderId="0"/>
    <xf numFmtId="0" fontId="1" fillId="0" borderId="0"/>
    <xf numFmtId="0" fontId="46" fillId="0" borderId="0"/>
    <xf numFmtId="0" fontId="18" fillId="0" borderId="0"/>
    <xf numFmtId="0" fontId="18" fillId="0" borderId="0"/>
    <xf numFmtId="0" fontId="1" fillId="0" borderId="0"/>
    <xf numFmtId="0" fontId="1" fillId="0" borderId="0"/>
    <xf numFmtId="0" fontId="18" fillId="0" borderId="0"/>
    <xf numFmtId="0" fontId="47" fillId="0" borderId="0"/>
    <xf numFmtId="0" fontId="18" fillId="0" borderId="0"/>
    <xf numFmtId="0" fontId="47" fillId="0" borderId="0"/>
    <xf numFmtId="0" fontId="18" fillId="0" borderId="0"/>
    <xf numFmtId="0" fontId="47" fillId="0" borderId="0"/>
    <xf numFmtId="0" fontId="47" fillId="0" borderId="0"/>
    <xf numFmtId="0" fontId="47" fillId="0" borderId="0"/>
    <xf numFmtId="0" fontId="1" fillId="0" borderId="0"/>
    <xf numFmtId="0" fontId="1" fillId="0" borderId="0"/>
    <xf numFmtId="0" fontId="47" fillId="0" borderId="0"/>
    <xf numFmtId="0" fontId="18" fillId="0" borderId="0"/>
    <xf numFmtId="0" fontId="18" fillId="0" borderId="0"/>
    <xf numFmtId="0" fontId="1" fillId="0" borderId="0"/>
    <xf numFmtId="0" fontId="1" fillId="0" borderId="0"/>
    <xf numFmtId="0" fontId="18" fillId="0" borderId="0"/>
    <xf numFmtId="0" fontId="47" fillId="0" borderId="0"/>
    <xf numFmtId="0" fontId="47" fillId="0" borderId="0"/>
    <xf numFmtId="0" fontId="1" fillId="0" borderId="0"/>
    <xf numFmtId="0" fontId="1" fillId="0" borderId="0"/>
    <xf numFmtId="0" fontId="47" fillId="0" borderId="0"/>
    <xf numFmtId="0" fontId="47" fillId="0" borderId="0"/>
    <xf numFmtId="0" fontId="47" fillId="0" borderId="0"/>
    <xf numFmtId="0" fontId="47" fillId="0" borderId="0"/>
    <xf numFmtId="0" fontId="1" fillId="0" borderId="0"/>
    <xf numFmtId="0" fontId="1" fillId="0" borderId="0"/>
    <xf numFmtId="0" fontId="47" fillId="0" borderId="0"/>
    <xf numFmtId="0" fontId="47" fillId="0" borderId="0"/>
    <xf numFmtId="0" fontId="47" fillId="0" borderId="0"/>
    <xf numFmtId="0" fontId="47" fillId="0" borderId="0"/>
    <xf numFmtId="0" fontId="1" fillId="0" borderId="0"/>
    <xf numFmtId="0" fontId="1" fillId="0" borderId="0"/>
    <xf numFmtId="0" fontId="47"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47" fillId="0" borderId="0"/>
    <xf numFmtId="0" fontId="47" fillId="0" borderId="0"/>
    <xf numFmtId="0" fontId="1" fillId="0" borderId="0"/>
    <xf numFmtId="0" fontId="1" fillId="0" borderId="0"/>
    <xf numFmtId="0" fontId="47" fillId="0" borderId="0"/>
    <xf numFmtId="0" fontId="47" fillId="0" borderId="0"/>
    <xf numFmtId="0" fontId="47" fillId="0" borderId="0"/>
    <xf numFmtId="0" fontId="47" fillId="0" borderId="0"/>
    <xf numFmtId="0" fontId="1" fillId="0" borderId="0"/>
    <xf numFmtId="0" fontId="1" fillId="0" borderId="0"/>
    <xf numFmtId="0" fontId="47" fillId="0" borderId="0"/>
    <xf numFmtId="0" fontId="47" fillId="0" borderId="0"/>
    <xf numFmtId="0" fontId="47" fillId="0" borderId="0"/>
    <xf numFmtId="0" fontId="47" fillId="0" borderId="0"/>
    <xf numFmtId="0" fontId="1" fillId="0" borderId="0"/>
    <xf numFmtId="0" fontId="1" fillId="0" borderId="0"/>
    <xf numFmtId="0" fontId="47"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 fillId="0" borderId="0"/>
    <xf numFmtId="0" fontId="19" fillId="0" borderId="0"/>
    <xf numFmtId="0" fontId="48" fillId="0" borderId="0"/>
    <xf numFmtId="0" fontId="48" fillId="0" borderId="0"/>
    <xf numFmtId="0" fontId="48" fillId="0" borderId="0"/>
    <xf numFmtId="0" fontId="1" fillId="0" borderId="0"/>
    <xf numFmtId="0" fontId="19" fillId="0" borderId="0"/>
    <xf numFmtId="0" fontId="1" fillId="0" borderId="0"/>
    <xf numFmtId="0" fontId="48" fillId="0" borderId="0"/>
    <xf numFmtId="0" fontId="48" fillId="0" borderId="0"/>
    <xf numFmtId="0" fontId="48" fillId="0" borderId="0"/>
    <xf numFmtId="0" fontId="48" fillId="0" borderId="0"/>
    <xf numFmtId="0" fontId="1" fillId="0" borderId="0"/>
    <xf numFmtId="0" fontId="1" fillId="0" borderId="0"/>
    <xf numFmtId="0" fontId="48" fillId="0" borderId="0"/>
    <xf numFmtId="0" fontId="48" fillId="0" borderId="0"/>
    <xf numFmtId="0" fontId="48" fillId="0" borderId="0"/>
    <xf numFmtId="0" fontId="48" fillId="0" borderId="0"/>
    <xf numFmtId="0" fontId="1" fillId="0" borderId="0"/>
    <xf numFmtId="0" fontId="1" fillId="0" borderId="0"/>
    <xf numFmtId="0" fontId="48"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1" fillId="0" borderId="0"/>
    <xf numFmtId="0" fontId="1" fillId="0" borderId="0"/>
    <xf numFmtId="0" fontId="7" fillId="0" borderId="0"/>
    <xf numFmtId="0" fontId="1" fillId="0" borderId="0"/>
    <xf numFmtId="0" fontId="8" fillId="0" borderId="2"/>
    <xf numFmtId="0" fontId="49" fillId="0" borderId="16"/>
    <xf numFmtId="0" fontId="49" fillId="0" borderId="16"/>
    <xf numFmtId="0" fontId="49" fillId="0" borderId="16"/>
    <xf numFmtId="0" fontId="1" fillId="0" borderId="0"/>
    <xf numFmtId="0" fontId="1" fillId="0" borderId="0"/>
    <xf numFmtId="0" fontId="49" fillId="0" borderId="16"/>
    <xf numFmtId="0" fontId="49" fillId="0" borderId="16"/>
    <xf numFmtId="0" fontId="49" fillId="0" borderId="16"/>
    <xf numFmtId="0" fontId="49" fillId="0" borderId="16"/>
    <xf numFmtId="0" fontId="1" fillId="0" borderId="0"/>
    <xf numFmtId="0" fontId="1" fillId="0" borderId="0"/>
    <xf numFmtId="0" fontId="49" fillId="0" borderId="16"/>
    <xf numFmtId="0" fontId="49" fillId="0" borderId="16"/>
    <xf numFmtId="0" fontId="49" fillId="0" borderId="16"/>
    <xf numFmtId="0" fontId="49" fillId="0" borderId="16"/>
    <xf numFmtId="0" fontId="1" fillId="0" borderId="0"/>
    <xf numFmtId="0" fontId="1" fillId="0" borderId="0"/>
    <xf numFmtId="0" fontId="49" fillId="0" borderId="16"/>
    <xf numFmtId="0" fontId="8" fillId="0" borderId="2"/>
    <xf numFmtId="0" fontId="8" fillId="0" borderId="2"/>
    <xf numFmtId="0" fontId="8" fillId="0" borderId="2"/>
    <xf numFmtId="0" fontId="1" fillId="0" borderId="0"/>
    <xf numFmtId="0" fontId="1" fillId="0" borderId="0"/>
    <xf numFmtId="0" fontId="8" fillId="0" borderId="2"/>
    <xf numFmtId="0" fontId="8" fillId="0" borderId="2"/>
    <xf numFmtId="0" fontId="8" fillId="0" borderId="2"/>
    <xf numFmtId="0" fontId="8" fillId="0" borderId="2"/>
    <xf numFmtId="0" fontId="1" fillId="0" borderId="0"/>
    <xf numFmtId="0" fontId="1" fillId="0" borderId="0"/>
    <xf numFmtId="0" fontId="8" fillId="0" borderId="2"/>
    <xf numFmtId="0" fontId="8" fillId="0" borderId="2"/>
    <xf numFmtId="0" fontId="8" fillId="0" borderId="2"/>
    <xf numFmtId="0" fontId="8" fillId="0" borderId="2"/>
    <xf numFmtId="0" fontId="1" fillId="0" borderId="0"/>
    <xf numFmtId="0" fontId="1" fillId="0" borderId="0"/>
    <xf numFmtId="0" fontId="8" fillId="0" borderId="2"/>
    <xf numFmtId="0" fontId="8" fillId="0" borderId="2"/>
    <xf numFmtId="0" fontId="8" fillId="0" borderId="2"/>
    <xf numFmtId="0" fontId="8" fillId="0" borderId="2"/>
    <xf numFmtId="0" fontId="1" fillId="0" borderId="0"/>
    <xf numFmtId="0" fontId="1" fillId="0" borderId="0"/>
    <xf numFmtId="0" fontId="8" fillId="0" borderId="2"/>
    <xf numFmtId="0" fontId="8" fillId="0" borderId="2"/>
    <xf numFmtId="0" fontId="8" fillId="0" borderId="2"/>
    <xf numFmtId="0" fontId="1"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1" fillId="0" borderId="0"/>
    <xf numFmtId="0" fontId="1" fillId="0" borderId="0"/>
    <xf numFmtId="0" fontId="7" fillId="0" borderId="0"/>
    <xf numFmtId="0" fontId="1" fillId="0" borderId="0"/>
    <xf numFmtId="0" fontId="9" fillId="0" borderId="3"/>
    <xf numFmtId="0" fontId="50" fillId="0" borderId="17"/>
    <xf numFmtId="0" fontId="50" fillId="0" borderId="17"/>
    <xf numFmtId="0" fontId="50" fillId="0" borderId="17"/>
    <xf numFmtId="0" fontId="1" fillId="0" borderId="0"/>
    <xf numFmtId="0" fontId="9" fillId="0" borderId="3"/>
    <xf numFmtId="0" fontId="1" fillId="0" borderId="0"/>
    <xf numFmtId="0" fontId="50" fillId="0" borderId="17"/>
    <xf numFmtId="0" fontId="50" fillId="0" borderId="17"/>
    <xf numFmtId="0" fontId="50" fillId="0" borderId="17"/>
    <xf numFmtId="0" fontId="50" fillId="0" borderId="17"/>
    <xf numFmtId="0" fontId="1" fillId="0" borderId="0"/>
    <xf numFmtId="0" fontId="1" fillId="0" borderId="0"/>
    <xf numFmtId="0" fontId="50" fillId="0" borderId="17"/>
    <xf numFmtId="0" fontId="50" fillId="0" borderId="17"/>
    <xf numFmtId="0" fontId="50" fillId="0" borderId="17"/>
    <xf numFmtId="0" fontId="50" fillId="0" borderId="17"/>
    <xf numFmtId="0" fontId="1" fillId="0" borderId="0"/>
    <xf numFmtId="0" fontId="1" fillId="0" borderId="0"/>
    <xf numFmtId="0" fontId="50" fillId="0" borderId="17"/>
    <xf numFmtId="0" fontId="9" fillId="0" borderId="3"/>
    <xf numFmtId="0" fontId="9" fillId="0" borderId="3"/>
    <xf numFmtId="0" fontId="9" fillId="0" borderId="3"/>
    <xf numFmtId="0" fontId="1" fillId="0" borderId="0"/>
    <xf numFmtId="0" fontId="1" fillId="0" borderId="0"/>
    <xf numFmtId="0" fontId="9" fillId="0" borderId="3"/>
    <xf numFmtId="0" fontId="9" fillId="0" borderId="3"/>
    <xf numFmtId="0" fontId="9" fillId="0" borderId="3"/>
    <xf numFmtId="0" fontId="9" fillId="0" borderId="3"/>
    <xf numFmtId="0" fontId="1" fillId="0" borderId="0"/>
    <xf numFmtId="0" fontId="1" fillId="0" borderId="0"/>
    <xf numFmtId="0" fontId="9" fillId="0" borderId="3"/>
    <xf numFmtId="0" fontId="9" fillId="0" borderId="3"/>
    <xf numFmtId="0" fontId="9" fillId="0" borderId="3"/>
    <xf numFmtId="0" fontId="9" fillId="0" borderId="3"/>
    <xf numFmtId="0" fontId="1" fillId="0" borderId="0"/>
    <xf numFmtId="0" fontId="1" fillId="0" borderId="0"/>
    <xf numFmtId="0" fontId="9" fillId="0" borderId="3"/>
    <xf numFmtId="0" fontId="9" fillId="0" borderId="3"/>
    <xf numFmtId="0" fontId="9" fillId="0" borderId="3"/>
    <xf numFmtId="0" fontId="9" fillId="0" borderId="3"/>
    <xf numFmtId="0" fontId="1" fillId="0" borderId="0"/>
    <xf numFmtId="0" fontId="1" fillId="0" borderId="0"/>
    <xf numFmtId="0" fontId="9" fillId="0" borderId="3"/>
    <xf numFmtId="0" fontId="9" fillId="0" borderId="3"/>
    <xf numFmtId="0" fontId="9" fillId="0" borderId="3"/>
    <xf numFmtId="0" fontId="1" fillId="0" borderId="0"/>
    <xf numFmtId="0" fontId="1" fillId="0" borderId="0"/>
    <xf numFmtId="0" fontId="10" fillId="0" borderId="4"/>
    <xf numFmtId="0" fontId="28" fillId="0" borderId="18"/>
    <xf numFmtId="0" fontId="28" fillId="0" borderId="18"/>
    <xf numFmtId="0" fontId="28" fillId="0" borderId="18"/>
    <xf numFmtId="0" fontId="1" fillId="0" borderId="0"/>
    <xf numFmtId="0" fontId="10" fillId="0" borderId="4"/>
    <xf numFmtId="0" fontId="1" fillId="0" borderId="0"/>
    <xf numFmtId="0" fontId="28" fillId="0" borderId="18"/>
    <xf numFmtId="0" fontId="28" fillId="0" borderId="18"/>
    <xf numFmtId="0" fontId="28" fillId="0" borderId="18"/>
    <xf numFmtId="0" fontId="28" fillId="0" borderId="18"/>
    <xf numFmtId="0" fontId="1" fillId="0" borderId="0"/>
    <xf numFmtId="0" fontId="1" fillId="0" borderId="0"/>
    <xf numFmtId="0" fontId="28" fillId="0" borderId="18"/>
    <xf numFmtId="0" fontId="28" fillId="0" borderId="18"/>
    <xf numFmtId="0" fontId="28" fillId="0" borderId="18"/>
    <xf numFmtId="0" fontId="28" fillId="0" borderId="18"/>
    <xf numFmtId="0" fontId="1" fillId="0" borderId="0"/>
    <xf numFmtId="0" fontId="1" fillId="0" borderId="0"/>
    <xf numFmtId="0" fontId="28" fillId="0" borderId="18"/>
    <xf numFmtId="0" fontId="10" fillId="0" borderId="4"/>
    <xf numFmtId="0" fontId="10" fillId="0" borderId="4"/>
    <xf numFmtId="0" fontId="10" fillId="0" borderId="4"/>
    <xf numFmtId="0" fontId="1" fillId="0" borderId="0"/>
    <xf numFmtId="0" fontId="1" fillId="0" borderId="0"/>
    <xf numFmtId="0" fontId="10" fillId="0" borderId="4"/>
    <xf numFmtId="0" fontId="10" fillId="0" borderId="4"/>
    <xf numFmtId="0" fontId="10" fillId="0" borderId="4"/>
    <xf numFmtId="0" fontId="10" fillId="0" borderId="4"/>
    <xf numFmtId="0" fontId="1" fillId="0" borderId="0"/>
    <xf numFmtId="0" fontId="1" fillId="0" borderId="0"/>
    <xf numFmtId="0" fontId="10" fillId="0" borderId="4"/>
    <xf numFmtId="0" fontId="10" fillId="0" borderId="4"/>
    <xf numFmtId="0" fontId="10" fillId="0" borderId="4"/>
    <xf numFmtId="0" fontId="10" fillId="0" borderId="4"/>
    <xf numFmtId="0" fontId="1" fillId="0" borderId="0"/>
    <xf numFmtId="0" fontId="1" fillId="0" borderId="0"/>
    <xf numFmtId="0" fontId="10" fillId="0" borderId="4"/>
    <xf numFmtId="0" fontId="10" fillId="0" borderId="4"/>
    <xf numFmtId="0" fontId="10" fillId="0" borderId="4"/>
    <xf numFmtId="0" fontId="10" fillId="0" borderId="4"/>
    <xf numFmtId="0" fontId="1" fillId="0" borderId="0"/>
    <xf numFmtId="0" fontId="1" fillId="0" borderId="0"/>
    <xf numFmtId="0" fontId="10" fillId="0" borderId="4"/>
    <xf numFmtId="0" fontId="10" fillId="0" borderId="4"/>
    <xf numFmtId="0" fontId="10" fillId="0" borderId="4"/>
    <xf numFmtId="0" fontId="1" fillId="0" borderId="0"/>
    <xf numFmtId="0" fontId="51" fillId="0" borderId="0"/>
    <xf numFmtId="0" fontId="51" fillId="0" borderId="0"/>
    <xf numFmtId="0" fontId="51" fillId="0" borderId="0"/>
    <xf numFmtId="0" fontId="1" fillId="0" borderId="0"/>
    <xf numFmtId="0" fontId="7" fillId="0" borderId="0"/>
    <xf numFmtId="0" fontId="1" fillId="0" borderId="0"/>
    <xf numFmtId="0" fontId="51" fillId="0" borderId="0"/>
    <xf numFmtId="0" fontId="51" fillId="0" borderId="0"/>
    <xf numFmtId="0" fontId="51" fillId="0" borderId="0"/>
    <xf numFmtId="0" fontId="51" fillId="0" borderId="0"/>
    <xf numFmtId="0" fontId="1" fillId="0" borderId="0"/>
    <xf numFmtId="0" fontId="7" fillId="0" borderId="0"/>
    <xf numFmtId="0" fontId="1" fillId="0" borderId="0"/>
    <xf numFmtId="0" fontId="51" fillId="0" borderId="0"/>
    <xf numFmtId="0" fontId="51" fillId="0" borderId="0"/>
    <xf numFmtId="0" fontId="51" fillId="0" borderId="0"/>
    <xf numFmtId="0" fontId="51" fillId="0" borderId="0"/>
    <xf numFmtId="0" fontId="1" fillId="0" borderId="0"/>
    <xf numFmtId="0" fontId="1" fillId="0" borderId="0"/>
    <xf numFmtId="0" fontId="51"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52" fillId="0" borderId="19"/>
    <xf numFmtId="0" fontId="52" fillId="0" borderId="19"/>
    <xf numFmtId="0" fontId="52" fillId="0" borderId="19"/>
    <xf numFmtId="0" fontId="1" fillId="0" borderId="0"/>
    <xf numFmtId="0" fontId="1" fillId="0" borderId="0"/>
    <xf numFmtId="0" fontId="52" fillId="0" borderId="19"/>
    <xf numFmtId="0" fontId="52" fillId="0" borderId="19"/>
    <xf numFmtId="0" fontId="52" fillId="0" borderId="19"/>
    <xf numFmtId="0" fontId="52" fillId="0" borderId="19"/>
    <xf numFmtId="0" fontId="1" fillId="0" borderId="0"/>
    <xf numFmtId="0" fontId="1" fillId="0" borderId="0"/>
    <xf numFmtId="0" fontId="52" fillId="0" borderId="19"/>
    <xf numFmtId="0" fontId="52" fillId="0" borderId="19"/>
    <xf numFmtId="0" fontId="52" fillId="0" borderId="19"/>
    <xf numFmtId="0" fontId="52" fillId="0" borderId="19"/>
    <xf numFmtId="0" fontId="1" fillId="0" borderId="0"/>
    <xf numFmtId="0" fontId="1" fillId="0" borderId="0"/>
    <xf numFmtId="0" fontId="52" fillId="0" borderId="19"/>
    <xf numFmtId="0" fontId="2" fillId="0" borderId="10"/>
    <xf numFmtId="0" fontId="2" fillId="0" borderId="10"/>
    <xf numFmtId="0" fontId="1" fillId="0" borderId="0"/>
    <xf numFmtId="0" fontId="1" fillId="0" borderId="0"/>
    <xf numFmtId="0" fontId="2" fillId="0" borderId="1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 fillId="0" borderId="0"/>
    <xf numFmtId="0" fontId="1" fillId="0" borderId="0"/>
    <xf numFmtId="0" fontId="18" fillId="0" borderId="0"/>
    <xf numFmtId="0" fontId="53" fillId="2" borderId="0"/>
    <xf numFmtId="0" fontId="54" fillId="3" borderId="0"/>
    <xf numFmtId="0" fontId="23" fillId="73" borderId="0"/>
    <xf numFmtId="0" fontId="23" fillId="74" borderId="0"/>
    <xf numFmtId="0" fontId="23" fillId="75" borderId="0"/>
    <xf numFmtId="0" fontId="23" fillId="76" borderId="0"/>
    <xf numFmtId="0" fontId="23" fillId="77" borderId="0"/>
    <xf numFmtId="0" fontId="23" fillId="78" borderId="0"/>
    <xf numFmtId="0" fontId="55" fillId="0" borderId="0"/>
    <xf numFmtId="0" fontId="56" fillId="0" borderId="20"/>
    <xf numFmtId="0" fontId="57" fillId="0" borderId="21"/>
    <xf numFmtId="0" fontId="58" fillId="0" borderId="22"/>
    <xf numFmtId="0" fontId="58" fillId="0" borderId="0"/>
    <xf numFmtId="0" fontId="59" fillId="7" borderId="8"/>
    <xf numFmtId="0" fontId="60" fillId="0" borderId="23"/>
    <xf numFmtId="0" fontId="21" fillId="8" borderId="9"/>
    <xf numFmtId="0" fontId="61" fillId="0" borderId="0"/>
    <xf numFmtId="0" fontId="62" fillId="0" borderId="0"/>
    <xf numFmtId="0" fontId="63" fillId="6" borderId="5"/>
    <xf numFmtId="0" fontId="64" fillId="5" borderId="5"/>
    <xf numFmtId="0" fontId="65" fillId="6" borderId="6"/>
    <xf numFmtId="0" fontId="66" fillId="4" borderId="0"/>
    <xf numFmtId="0" fontId="67" fillId="0" borderId="7"/>
    <xf numFmtId="0" fontId="68" fillId="0" borderId="0"/>
    <xf numFmtId="0" fontId="1" fillId="0" borderId="0"/>
    <xf numFmtId="44" fontId="1" fillId="0" borderId="0" applyFont="0" applyFill="0" applyBorder="0" applyAlignment="0" applyProtection="0"/>
  </cellStyleXfs>
  <cellXfs count="45">
    <xf numFmtId="0" fontId="0" fillId="0" borderId="0" xfId="0"/>
    <xf numFmtId="0" fontId="71" fillId="0" borderId="0" xfId="0" applyFont="1"/>
    <xf numFmtId="164" fontId="71" fillId="0" borderId="0" xfId="0" applyNumberFormat="1" applyFont="1"/>
    <xf numFmtId="0" fontId="76" fillId="0" borderId="1" xfId="39123" applyFont="1" applyBorder="1"/>
    <xf numFmtId="0" fontId="1" fillId="0" borderId="0" xfId="39123"/>
    <xf numFmtId="0" fontId="72" fillId="79" borderId="1" xfId="0" applyFont="1" applyFill="1" applyBorder="1" applyAlignment="1">
      <alignment horizontal="center" vertical="center"/>
    </xf>
    <xf numFmtId="0" fontId="72" fillId="79" borderId="1" xfId="0" applyFont="1" applyFill="1" applyBorder="1" applyAlignment="1">
      <alignment horizontal="center" vertical="center" wrapText="1"/>
    </xf>
    <xf numFmtId="165" fontId="69" fillId="79" borderId="1" xfId="2144" applyFont="1" applyFill="1" applyBorder="1" applyAlignment="1">
      <alignment horizontal="center" vertical="center"/>
    </xf>
    <xf numFmtId="0" fontId="75" fillId="0" borderId="1" xfId="0" applyFont="1" applyBorder="1" applyAlignment="1">
      <alignment vertical="center"/>
    </xf>
    <xf numFmtId="0" fontId="3" fillId="0" borderId="0" xfId="0" applyFont="1"/>
    <xf numFmtId="0" fontId="77" fillId="0" borderId="0" xfId="0" applyFont="1"/>
    <xf numFmtId="8" fontId="71" fillId="0" borderId="0" xfId="0" applyNumberFormat="1" applyFont="1"/>
    <xf numFmtId="0" fontId="78" fillId="0" borderId="1" xfId="0" applyFont="1" applyBorder="1"/>
    <xf numFmtId="0" fontId="78" fillId="0" borderId="25" xfId="0" applyFont="1" applyBorder="1"/>
    <xf numFmtId="0" fontId="78" fillId="0" borderId="26" xfId="0" applyFont="1" applyBorder="1"/>
    <xf numFmtId="0" fontId="78" fillId="0" borderId="27" xfId="0" applyFont="1" applyBorder="1"/>
    <xf numFmtId="10" fontId="71" fillId="80" borderId="0" xfId="0" applyNumberFormat="1" applyFont="1" applyFill="1" applyAlignment="1">
      <alignment horizontal="center" vertical="center"/>
    </xf>
    <xf numFmtId="0" fontId="74" fillId="0" borderId="1" xfId="0" applyFont="1" applyBorder="1" applyAlignment="1">
      <alignment horizontal="left" vertical="center"/>
    </xf>
    <xf numFmtId="164" fontId="73" fillId="0" borderId="1" xfId="2144" applyNumberFormat="1" applyFont="1" applyBorder="1" applyAlignment="1">
      <alignment vertical="center"/>
    </xf>
    <xf numFmtId="164" fontId="70" fillId="0" borderId="1" xfId="2144" applyNumberFormat="1" applyFont="1" applyBorder="1" applyAlignment="1">
      <alignment horizontal="center" vertical="center"/>
    </xf>
    <xf numFmtId="0" fontId="79" fillId="81" borderId="0" xfId="0" applyFont="1" applyFill="1" applyAlignment="1">
      <alignment horizontal="center" vertical="center" wrapText="1"/>
    </xf>
    <xf numFmtId="178" fontId="0" fillId="0" borderId="0" xfId="0" applyNumberFormat="1"/>
    <xf numFmtId="1" fontId="0" fillId="0" borderId="0" xfId="0" applyNumberFormat="1"/>
    <xf numFmtId="179" fontId="79" fillId="81" borderId="0" xfId="39124" applyNumberFormat="1" applyFont="1" applyFill="1" applyAlignment="1">
      <alignment horizontal="center" vertical="center" wrapText="1"/>
    </xf>
    <xf numFmtId="179" fontId="0" fillId="0" borderId="0" xfId="39124" applyNumberFormat="1" applyFont="1"/>
    <xf numFmtId="179" fontId="80" fillId="0" borderId="0" xfId="39124" applyNumberFormat="1" applyFont="1"/>
    <xf numFmtId="0" fontId="72" fillId="79" borderId="28" xfId="0" applyFont="1" applyFill="1" applyBorder="1" applyAlignment="1">
      <alignment horizontal="center" vertical="center"/>
    </xf>
    <xf numFmtId="0" fontId="72" fillId="79" borderId="29" xfId="0" applyFont="1" applyFill="1" applyBorder="1" applyAlignment="1">
      <alignment horizontal="center" vertical="center"/>
    </xf>
    <xf numFmtId="17" fontId="74" fillId="0" borderId="30" xfId="0" applyNumberFormat="1" applyFont="1" applyBorder="1" applyAlignment="1">
      <alignment vertical="center"/>
    </xf>
    <xf numFmtId="0" fontId="74" fillId="0" borderId="31" xfId="0" applyFont="1" applyBorder="1" applyAlignment="1">
      <alignment vertical="center"/>
    </xf>
    <xf numFmtId="0" fontId="74" fillId="0" borderId="31" xfId="0" applyFont="1" applyBorder="1" applyAlignment="1">
      <alignment horizontal="center" vertical="center"/>
    </xf>
    <xf numFmtId="180" fontId="74" fillId="0" borderId="31" xfId="0" applyNumberFormat="1" applyFont="1" applyBorder="1" applyAlignment="1">
      <alignment vertical="center"/>
    </xf>
    <xf numFmtId="0" fontId="81" fillId="79" borderId="31" xfId="0" applyFont="1" applyFill="1" applyBorder="1" applyAlignment="1">
      <alignment vertical="center"/>
    </xf>
    <xf numFmtId="0" fontId="81" fillId="79" borderId="31" xfId="0" applyFont="1" applyFill="1" applyBorder="1" applyAlignment="1">
      <alignment horizontal="center" vertical="center"/>
    </xf>
    <xf numFmtId="180" fontId="81" fillId="79" borderId="31" xfId="0" applyNumberFormat="1" applyFont="1" applyFill="1" applyBorder="1" applyAlignment="1">
      <alignment vertical="center"/>
    </xf>
    <xf numFmtId="180" fontId="72" fillId="79" borderId="31" xfId="0" applyNumberFormat="1" applyFont="1" applyFill="1" applyBorder="1" applyAlignment="1">
      <alignment vertical="center"/>
    </xf>
    <xf numFmtId="0" fontId="75" fillId="0" borderId="1" xfId="0" applyFont="1" applyBorder="1" applyAlignment="1">
      <alignment horizontal="left" vertical="center" wrapText="1"/>
    </xf>
    <xf numFmtId="0" fontId="0" fillId="0" borderId="24" xfId="0" applyBorder="1"/>
    <xf numFmtId="0" fontId="0" fillId="0" borderId="25" xfId="0" applyBorder="1"/>
    <xf numFmtId="0" fontId="72" fillId="79" borderId="1" xfId="0" applyFont="1" applyFill="1" applyBorder="1" applyAlignment="1">
      <alignment horizontal="center" vertical="center"/>
    </xf>
    <xf numFmtId="0" fontId="74" fillId="0" borderId="1" xfId="0" applyFont="1" applyBorder="1" applyAlignment="1">
      <alignment horizontal="left" vertical="center"/>
    </xf>
    <xf numFmtId="0" fontId="72" fillId="79" borderId="1" xfId="0" applyFont="1" applyFill="1" applyBorder="1" applyAlignment="1">
      <alignment horizontal="center"/>
    </xf>
    <xf numFmtId="17" fontId="81" fillId="79" borderId="32" xfId="0" applyNumberFormat="1" applyFont="1" applyFill="1" applyBorder="1" applyAlignment="1">
      <alignment horizontal="center" vertical="center"/>
    </xf>
    <xf numFmtId="17" fontId="81" fillId="79" borderId="33" xfId="0" applyNumberFormat="1" applyFont="1" applyFill="1" applyBorder="1" applyAlignment="1">
      <alignment horizontal="center" vertical="center"/>
    </xf>
    <xf numFmtId="17" fontId="81" fillId="79" borderId="29" xfId="0" applyNumberFormat="1" applyFont="1" applyFill="1" applyBorder="1" applyAlignment="1">
      <alignment horizontal="center" vertical="center"/>
    </xf>
  </cellXfs>
  <cellStyles count="39125">
    <cellStyle name="20% - Accent1" xfId="26" xr:uid="{00000000-0005-0000-0000-00001A000000}"/>
    <cellStyle name="20% - Accent1 2" xfId="27" xr:uid="{00000000-0005-0000-0000-00001B000000}"/>
    <cellStyle name="20% - Accent1 3" xfId="28" xr:uid="{00000000-0005-0000-0000-00001C000000}"/>
    <cellStyle name="20% - Accent1 4" xfId="29" xr:uid="{00000000-0005-0000-0000-00001D000000}"/>
    <cellStyle name="20% - Accent1 5" xfId="30" xr:uid="{00000000-0005-0000-0000-00001E000000}"/>
    <cellStyle name="20% - Accent2" xfId="31" xr:uid="{00000000-0005-0000-0000-00001F000000}"/>
    <cellStyle name="20% - Accent2 2" xfId="32" xr:uid="{00000000-0005-0000-0000-000020000000}"/>
    <cellStyle name="20% - Accent2 3" xfId="33" xr:uid="{00000000-0005-0000-0000-000021000000}"/>
    <cellStyle name="20% - Accent2 4" xfId="34" xr:uid="{00000000-0005-0000-0000-000022000000}"/>
    <cellStyle name="20% - Accent2 5" xfId="35" xr:uid="{00000000-0005-0000-0000-000023000000}"/>
    <cellStyle name="20% - Accent3" xfId="36" xr:uid="{00000000-0005-0000-0000-000024000000}"/>
    <cellStyle name="20% - Accent3 2" xfId="37" xr:uid="{00000000-0005-0000-0000-000025000000}"/>
    <cellStyle name="20% - Accent3 3" xfId="38" xr:uid="{00000000-0005-0000-0000-000026000000}"/>
    <cellStyle name="20% - Accent3 4" xfId="39" xr:uid="{00000000-0005-0000-0000-000027000000}"/>
    <cellStyle name="20% - Accent3 5" xfId="40" xr:uid="{00000000-0005-0000-0000-000028000000}"/>
    <cellStyle name="20% - Accent4" xfId="41" xr:uid="{00000000-0005-0000-0000-000029000000}"/>
    <cellStyle name="20% - Accent4 2" xfId="42" xr:uid="{00000000-0005-0000-0000-00002A000000}"/>
    <cellStyle name="20% - Accent4 3" xfId="43" xr:uid="{00000000-0005-0000-0000-00002B000000}"/>
    <cellStyle name="20% - Accent4 4" xfId="44" xr:uid="{00000000-0005-0000-0000-00002C000000}"/>
    <cellStyle name="20% - Accent4 5" xfId="45" xr:uid="{00000000-0005-0000-0000-00002D000000}"/>
    <cellStyle name="20% - Accent5" xfId="46" xr:uid="{00000000-0005-0000-0000-00002E000000}"/>
    <cellStyle name="20% - Accent5 2" xfId="47" xr:uid="{00000000-0005-0000-0000-00002F000000}"/>
    <cellStyle name="20% - Accent5 3" xfId="48" xr:uid="{00000000-0005-0000-0000-000030000000}"/>
    <cellStyle name="20% - Accent5 4" xfId="49" xr:uid="{00000000-0005-0000-0000-000031000000}"/>
    <cellStyle name="20% - Accent5 5" xfId="50" xr:uid="{00000000-0005-0000-0000-000032000000}"/>
    <cellStyle name="20% - Accent6" xfId="51" xr:uid="{00000000-0005-0000-0000-000033000000}"/>
    <cellStyle name="20% - Accent6 2" xfId="52" xr:uid="{00000000-0005-0000-0000-000034000000}"/>
    <cellStyle name="20% - Accent6 3" xfId="53" xr:uid="{00000000-0005-0000-0000-000035000000}"/>
    <cellStyle name="20% - Accent6 4" xfId="54" xr:uid="{00000000-0005-0000-0000-000036000000}"/>
    <cellStyle name="20% - Accent6 5" xfId="55" xr:uid="{00000000-0005-0000-0000-000037000000}"/>
    <cellStyle name="20% - Énfasis1 2" xfId="56" xr:uid="{00000000-0005-0000-0000-000038000000}"/>
    <cellStyle name="20% - Énfasis1 2 2" xfId="57" xr:uid="{00000000-0005-0000-0000-000039000000}"/>
    <cellStyle name="20% - Énfasis1 3" xfId="58" xr:uid="{00000000-0005-0000-0000-00003A000000}"/>
    <cellStyle name="20% - Énfasis1 4" xfId="59" xr:uid="{00000000-0005-0000-0000-00003B000000}"/>
    <cellStyle name="20% - Énfasis1 5" xfId="60" xr:uid="{00000000-0005-0000-0000-00003C000000}"/>
    <cellStyle name="20% - Énfasis1 6" xfId="61" xr:uid="{00000000-0005-0000-0000-00003D000000}"/>
    <cellStyle name="20% - Énfasis1 7" xfId="62" xr:uid="{00000000-0005-0000-0000-00003E000000}"/>
    <cellStyle name="20% - Énfasis1 8" xfId="63" xr:uid="{00000000-0005-0000-0000-00003F000000}"/>
    <cellStyle name="20% - Énfasis2 2" xfId="64" xr:uid="{00000000-0005-0000-0000-000040000000}"/>
    <cellStyle name="20% - Énfasis2 2 2" xfId="65" xr:uid="{00000000-0005-0000-0000-000041000000}"/>
    <cellStyle name="20% - Énfasis2 3" xfId="66" xr:uid="{00000000-0005-0000-0000-000042000000}"/>
    <cellStyle name="20% - Énfasis2 4" xfId="67" xr:uid="{00000000-0005-0000-0000-000043000000}"/>
    <cellStyle name="20% - Énfasis2 5" xfId="68" xr:uid="{00000000-0005-0000-0000-000044000000}"/>
    <cellStyle name="20% - Énfasis2 6" xfId="69" xr:uid="{00000000-0005-0000-0000-000045000000}"/>
    <cellStyle name="20% - Énfasis2 7" xfId="70" xr:uid="{00000000-0005-0000-0000-000046000000}"/>
    <cellStyle name="20% - Énfasis2 8" xfId="71" xr:uid="{00000000-0005-0000-0000-000047000000}"/>
    <cellStyle name="20% - Énfasis3 2" xfId="72" xr:uid="{00000000-0005-0000-0000-000048000000}"/>
    <cellStyle name="20% - Énfasis3 2 2" xfId="73" xr:uid="{00000000-0005-0000-0000-000049000000}"/>
    <cellStyle name="20% - Énfasis3 3" xfId="74" xr:uid="{00000000-0005-0000-0000-00004A000000}"/>
    <cellStyle name="20% - Énfasis3 4" xfId="75" xr:uid="{00000000-0005-0000-0000-00004B000000}"/>
    <cellStyle name="20% - Énfasis3 5" xfId="76" xr:uid="{00000000-0005-0000-0000-00004C000000}"/>
    <cellStyle name="20% - Énfasis3 6" xfId="77" xr:uid="{00000000-0005-0000-0000-00004D000000}"/>
    <cellStyle name="20% - Énfasis3 7" xfId="78" xr:uid="{00000000-0005-0000-0000-00004E000000}"/>
    <cellStyle name="20% - Énfasis3 8" xfId="79" xr:uid="{00000000-0005-0000-0000-00004F000000}"/>
    <cellStyle name="20% - Énfasis4 2" xfId="80" xr:uid="{00000000-0005-0000-0000-000050000000}"/>
    <cellStyle name="20% - Énfasis4 2 2" xfId="81" xr:uid="{00000000-0005-0000-0000-000051000000}"/>
    <cellStyle name="20% - Énfasis4 3" xfId="82" xr:uid="{00000000-0005-0000-0000-000052000000}"/>
    <cellStyle name="20% - Énfasis4 4" xfId="83" xr:uid="{00000000-0005-0000-0000-000053000000}"/>
    <cellStyle name="20% - Énfasis4 5" xfId="84" xr:uid="{00000000-0005-0000-0000-000054000000}"/>
    <cellStyle name="20% - Énfasis4 6" xfId="85" xr:uid="{00000000-0005-0000-0000-000055000000}"/>
    <cellStyle name="20% - Énfasis4 7" xfId="86" xr:uid="{00000000-0005-0000-0000-000056000000}"/>
    <cellStyle name="20% - Énfasis4 8" xfId="87" xr:uid="{00000000-0005-0000-0000-000057000000}"/>
    <cellStyle name="20% - Énfasis5 2" xfId="88" xr:uid="{00000000-0005-0000-0000-000058000000}"/>
    <cellStyle name="20% - Énfasis5 2 2" xfId="89" xr:uid="{00000000-0005-0000-0000-000059000000}"/>
    <cellStyle name="20% - Énfasis5 3" xfId="90" xr:uid="{00000000-0005-0000-0000-00005A000000}"/>
    <cellStyle name="20% - Énfasis5 4" xfId="91" xr:uid="{00000000-0005-0000-0000-00005B000000}"/>
    <cellStyle name="20% - Énfasis5 5" xfId="92" xr:uid="{00000000-0005-0000-0000-00005C000000}"/>
    <cellStyle name="20% - Énfasis5 6" xfId="93" xr:uid="{00000000-0005-0000-0000-00005D000000}"/>
    <cellStyle name="20% - Énfasis5 7" xfId="94" xr:uid="{00000000-0005-0000-0000-00005E000000}"/>
    <cellStyle name="20% - Énfasis5 8" xfId="95" xr:uid="{00000000-0005-0000-0000-00005F000000}"/>
    <cellStyle name="20% - Énfasis6 2" xfId="96" xr:uid="{00000000-0005-0000-0000-000060000000}"/>
    <cellStyle name="20% - Énfasis6 2 2" xfId="97" xr:uid="{00000000-0005-0000-0000-000061000000}"/>
    <cellStyle name="20% - Énfasis6 3" xfId="98" xr:uid="{00000000-0005-0000-0000-000062000000}"/>
    <cellStyle name="20% - Énfasis6 4" xfId="99" xr:uid="{00000000-0005-0000-0000-000063000000}"/>
    <cellStyle name="20% - Énfasis6 5" xfId="100" xr:uid="{00000000-0005-0000-0000-000064000000}"/>
    <cellStyle name="20% - Énfasis6 6" xfId="101" xr:uid="{00000000-0005-0000-0000-000065000000}"/>
    <cellStyle name="20% - Énfasis6 7" xfId="102" xr:uid="{00000000-0005-0000-0000-000066000000}"/>
    <cellStyle name="20% - Énfasis6 8" xfId="103" xr:uid="{00000000-0005-0000-0000-000067000000}"/>
    <cellStyle name="20% - 强调文字颜色 1" xfId="104" xr:uid="{00000000-0005-0000-0000-000068000000}"/>
    <cellStyle name="20% - 强调文字颜色 2" xfId="105" xr:uid="{00000000-0005-0000-0000-000069000000}"/>
    <cellStyle name="20% - 强调文字颜色 3" xfId="106" xr:uid="{00000000-0005-0000-0000-00006A000000}"/>
    <cellStyle name="20% - 强调文字颜色 4" xfId="107" xr:uid="{00000000-0005-0000-0000-00006B000000}"/>
    <cellStyle name="20% - 强调文字颜色 5" xfId="108" xr:uid="{00000000-0005-0000-0000-00006C000000}"/>
    <cellStyle name="20% - 强调文字颜色 6" xfId="109" xr:uid="{00000000-0005-0000-0000-00006D000000}"/>
    <cellStyle name="40% - Accent1" xfId="110" xr:uid="{00000000-0005-0000-0000-00006E000000}"/>
    <cellStyle name="40% - Accent1 2" xfId="111" xr:uid="{00000000-0005-0000-0000-00006F000000}"/>
    <cellStyle name="40% - Accent1 3" xfId="112" xr:uid="{00000000-0005-0000-0000-000070000000}"/>
    <cellStyle name="40% - Accent1 4" xfId="113" xr:uid="{00000000-0005-0000-0000-000071000000}"/>
    <cellStyle name="40% - Accent1 5" xfId="114" xr:uid="{00000000-0005-0000-0000-000072000000}"/>
    <cellStyle name="40% - Accent2" xfId="115" xr:uid="{00000000-0005-0000-0000-000073000000}"/>
    <cellStyle name="40% - Accent2 2" xfId="116" xr:uid="{00000000-0005-0000-0000-000074000000}"/>
    <cellStyle name="40% - Accent2 3" xfId="117" xr:uid="{00000000-0005-0000-0000-000075000000}"/>
    <cellStyle name="40% - Accent2 4" xfId="118" xr:uid="{00000000-0005-0000-0000-000076000000}"/>
    <cellStyle name="40% - Accent2 5" xfId="119" xr:uid="{00000000-0005-0000-0000-000077000000}"/>
    <cellStyle name="40% - Accent3" xfId="120" xr:uid="{00000000-0005-0000-0000-000078000000}"/>
    <cellStyle name="40% - Accent3 2" xfId="121" xr:uid="{00000000-0005-0000-0000-000079000000}"/>
    <cellStyle name="40% - Accent3 3" xfId="122" xr:uid="{00000000-0005-0000-0000-00007A000000}"/>
    <cellStyle name="40% - Accent3 4" xfId="123" xr:uid="{00000000-0005-0000-0000-00007B000000}"/>
    <cellStyle name="40% - Accent3 5" xfId="124" xr:uid="{00000000-0005-0000-0000-00007C000000}"/>
    <cellStyle name="40% - Accent4" xfId="125" xr:uid="{00000000-0005-0000-0000-00007D000000}"/>
    <cellStyle name="40% - Accent4 2" xfId="126" xr:uid="{00000000-0005-0000-0000-00007E000000}"/>
    <cellStyle name="40% - Accent4 3" xfId="127" xr:uid="{00000000-0005-0000-0000-00007F000000}"/>
    <cellStyle name="40% - Accent4 4" xfId="128" xr:uid="{00000000-0005-0000-0000-000080000000}"/>
    <cellStyle name="40% - Accent4 5" xfId="129" xr:uid="{00000000-0005-0000-0000-000081000000}"/>
    <cellStyle name="40% - Accent5" xfId="130" xr:uid="{00000000-0005-0000-0000-000082000000}"/>
    <cellStyle name="40% - Accent5 2" xfId="131" xr:uid="{00000000-0005-0000-0000-000083000000}"/>
    <cellStyle name="40% - Accent5 3" xfId="132" xr:uid="{00000000-0005-0000-0000-000084000000}"/>
    <cellStyle name="40% - Accent5 4" xfId="133" xr:uid="{00000000-0005-0000-0000-000085000000}"/>
    <cellStyle name="40% - Accent5 5" xfId="134" xr:uid="{00000000-0005-0000-0000-000086000000}"/>
    <cellStyle name="40% - Accent6" xfId="135" xr:uid="{00000000-0005-0000-0000-000087000000}"/>
    <cellStyle name="40% - Accent6 2" xfId="136" xr:uid="{00000000-0005-0000-0000-000088000000}"/>
    <cellStyle name="40% - Accent6 3" xfId="137" xr:uid="{00000000-0005-0000-0000-000089000000}"/>
    <cellStyle name="40% - Accent6 4" xfId="138" xr:uid="{00000000-0005-0000-0000-00008A000000}"/>
    <cellStyle name="40% - Accent6 5" xfId="139" xr:uid="{00000000-0005-0000-0000-00008B000000}"/>
    <cellStyle name="40% - Énfasis1 2" xfId="140" xr:uid="{00000000-0005-0000-0000-00008C000000}"/>
    <cellStyle name="40% - Énfasis1 2 2" xfId="141" xr:uid="{00000000-0005-0000-0000-00008D000000}"/>
    <cellStyle name="40% - Énfasis1 3" xfId="142" xr:uid="{00000000-0005-0000-0000-00008E000000}"/>
    <cellStyle name="40% - Énfasis1 4" xfId="143" xr:uid="{00000000-0005-0000-0000-00008F000000}"/>
    <cellStyle name="40% - Énfasis1 5" xfId="144" xr:uid="{00000000-0005-0000-0000-000090000000}"/>
    <cellStyle name="40% - Énfasis1 6" xfId="145" xr:uid="{00000000-0005-0000-0000-000091000000}"/>
    <cellStyle name="40% - Énfasis1 7" xfId="146" xr:uid="{00000000-0005-0000-0000-000092000000}"/>
    <cellStyle name="40% - Énfasis1 8" xfId="147" xr:uid="{00000000-0005-0000-0000-000093000000}"/>
    <cellStyle name="40% - Énfasis2 2" xfId="148" xr:uid="{00000000-0005-0000-0000-000094000000}"/>
    <cellStyle name="40% - Énfasis2 2 2" xfId="149" xr:uid="{00000000-0005-0000-0000-000095000000}"/>
    <cellStyle name="40% - Énfasis2 3" xfId="150" xr:uid="{00000000-0005-0000-0000-000096000000}"/>
    <cellStyle name="40% - Énfasis2 4" xfId="151" xr:uid="{00000000-0005-0000-0000-000097000000}"/>
    <cellStyle name="40% - Énfasis2 5" xfId="152" xr:uid="{00000000-0005-0000-0000-000098000000}"/>
    <cellStyle name="40% - Énfasis2 6" xfId="153" xr:uid="{00000000-0005-0000-0000-000099000000}"/>
    <cellStyle name="40% - Énfasis2 7" xfId="154" xr:uid="{00000000-0005-0000-0000-00009A000000}"/>
    <cellStyle name="40% - Énfasis2 8" xfId="155" xr:uid="{00000000-0005-0000-0000-00009B000000}"/>
    <cellStyle name="40% - Énfasis3 2" xfId="156" xr:uid="{00000000-0005-0000-0000-00009C000000}"/>
    <cellStyle name="40% - Énfasis3 2 2" xfId="157" xr:uid="{00000000-0005-0000-0000-00009D000000}"/>
    <cellStyle name="40% - Énfasis3 3" xfId="158" xr:uid="{00000000-0005-0000-0000-00009E000000}"/>
    <cellStyle name="40% - Énfasis3 4" xfId="159" xr:uid="{00000000-0005-0000-0000-00009F000000}"/>
    <cellStyle name="40% - Énfasis3 5" xfId="160" xr:uid="{00000000-0005-0000-0000-0000A0000000}"/>
    <cellStyle name="40% - Énfasis3 6" xfId="161" xr:uid="{00000000-0005-0000-0000-0000A1000000}"/>
    <cellStyle name="40% - Énfasis3 7" xfId="162" xr:uid="{00000000-0005-0000-0000-0000A2000000}"/>
    <cellStyle name="40% - Énfasis3 8" xfId="163" xr:uid="{00000000-0005-0000-0000-0000A3000000}"/>
    <cellStyle name="40% - Énfasis4 2" xfId="164" xr:uid="{00000000-0005-0000-0000-0000A4000000}"/>
    <cellStyle name="40% - Énfasis4 2 2" xfId="165" xr:uid="{00000000-0005-0000-0000-0000A5000000}"/>
    <cellStyle name="40% - Énfasis4 3" xfId="166" xr:uid="{00000000-0005-0000-0000-0000A6000000}"/>
    <cellStyle name="40% - Énfasis4 4" xfId="167" xr:uid="{00000000-0005-0000-0000-0000A7000000}"/>
    <cellStyle name="40% - Énfasis4 5" xfId="168" xr:uid="{00000000-0005-0000-0000-0000A8000000}"/>
    <cellStyle name="40% - Énfasis4 6" xfId="169" xr:uid="{00000000-0005-0000-0000-0000A9000000}"/>
    <cellStyle name="40% - Énfasis4 7" xfId="170" xr:uid="{00000000-0005-0000-0000-0000AA000000}"/>
    <cellStyle name="40% - Énfasis4 8" xfId="171" xr:uid="{00000000-0005-0000-0000-0000AB000000}"/>
    <cellStyle name="40% - Énfasis5 2" xfId="172" xr:uid="{00000000-0005-0000-0000-0000AC000000}"/>
    <cellStyle name="40% - Énfasis5 2 2" xfId="173" xr:uid="{00000000-0005-0000-0000-0000AD000000}"/>
    <cellStyle name="40% - Énfasis5 3" xfId="174" xr:uid="{00000000-0005-0000-0000-0000AE000000}"/>
    <cellStyle name="40% - Énfasis5 4" xfId="175" xr:uid="{00000000-0005-0000-0000-0000AF000000}"/>
    <cellStyle name="40% - Énfasis5 5" xfId="176" xr:uid="{00000000-0005-0000-0000-0000B0000000}"/>
    <cellStyle name="40% - Énfasis5 6" xfId="177" xr:uid="{00000000-0005-0000-0000-0000B1000000}"/>
    <cellStyle name="40% - Énfasis5 7" xfId="178" xr:uid="{00000000-0005-0000-0000-0000B2000000}"/>
    <cellStyle name="40% - Énfasis5 8" xfId="179" xr:uid="{00000000-0005-0000-0000-0000B3000000}"/>
    <cellStyle name="40% - Énfasis6 2" xfId="180" xr:uid="{00000000-0005-0000-0000-0000B4000000}"/>
    <cellStyle name="40% - Énfasis6 2 2" xfId="181" xr:uid="{00000000-0005-0000-0000-0000B5000000}"/>
    <cellStyle name="40% - Énfasis6 3" xfId="182" xr:uid="{00000000-0005-0000-0000-0000B6000000}"/>
    <cellStyle name="40% - Énfasis6 4" xfId="183" xr:uid="{00000000-0005-0000-0000-0000B7000000}"/>
    <cellStyle name="40% - Énfasis6 5" xfId="184" xr:uid="{00000000-0005-0000-0000-0000B8000000}"/>
    <cellStyle name="40% - Énfasis6 6" xfId="185" xr:uid="{00000000-0005-0000-0000-0000B9000000}"/>
    <cellStyle name="40% - Énfasis6 7" xfId="186" xr:uid="{00000000-0005-0000-0000-0000BA000000}"/>
    <cellStyle name="40% - Énfasis6 8" xfId="187" xr:uid="{00000000-0005-0000-0000-0000BB000000}"/>
    <cellStyle name="40% - 强调文字颜色 1" xfId="188" xr:uid="{00000000-0005-0000-0000-0000BC000000}"/>
    <cellStyle name="40% - 强调文字颜色 2" xfId="189" xr:uid="{00000000-0005-0000-0000-0000BD000000}"/>
    <cellStyle name="40% - 强调文字颜色 3" xfId="190" xr:uid="{00000000-0005-0000-0000-0000BE000000}"/>
    <cellStyle name="40% - 强调文字颜色 4" xfId="191" xr:uid="{00000000-0005-0000-0000-0000BF000000}"/>
    <cellStyle name="40% - 强调文字颜色 5" xfId="192" xr:uid="{00000000-0005-0000-0000-0000C0000000}"/>
    <cellStyle name="40% - 强调文字颜色 6" xfId="193" xr:uid="{00000000-0005-0000-0000-0000C1000000}"/>
    <cellStyle name="60% - Accent1" xfId="194" xr:uid="{00000000-0005-0000-0000-0000C2000000}"/>
    <cellStyle name="60% - Accent1 2" xfId="195" xr:uid="{00000000-0005-0000-0000-0000C3000000}"/>
    <cellStyle name="60% - Accent1 3" xfId="196" xr:uid="{00000000-0005-0000-0000-0000C4000000}"/>
    <cellStyle name="60% - Accent1 4" xfId="197" xr:uid="{00000000-0005-0000-0000-0000C5000000}"/>
    <cellStyle name="60% - Accent1 5" xfId="198" xr:uid="{00000000-0005-0000-0000-0000C6000000}"/>
    <cellStyle name="60% - Accent2" xfId="199" xr:uid="{00000000-0005-0000-0000-0000C7000000}"/>
    <cellStyle name="60% - Accent2 2" xfId="200" xr:uid="{00000000-0005-0000-0000-0000C8000000}"/>
    <cellStyle name="60% - Accent2 3" xfId="201" xr:uid="{00000000-0005-0000-0000-0000C9000000}"/>
    <cellStyle name="60% - Accent2 4" xfId="202" xr:uid="{00000000-0005-0000-0000-0000CA000000}"/>
    <cellStyle name="60% - Accent2 5" xfId="203" xr:uid="{00000000-0005-0000-0000-0000CB000000}"/>
    <cellStyle name="60% - Accent3" xfId="204" xr:uid="{00000000-0005-0000-0000-0000CC000000}"/>
    <cellStyle name="60% - Accent3 2" xfId="205" xr:uid="{00000000-0005-0000-0000-0000CD000000}"/>
    <cellStyle name="60% - Accent3 3" xfId="206" xr:uid="{00000000-0005-0000-0000-0000CE000000}"/>
    <cellStyle name="60% - Accent3 4" xfId="207" xr:uid="{00000000-0005-0000-0000-0000CF000000}"/>
    <cellStyle name="60% - Accent3 5" xfId="208" xr:uid="{00000000-0005-0000-0000-0000D0000000}"/>
    <cellStyle name="60% - Accent4" xfId="209" xr:uid="{00000000-0005-0000-0000-0000D1000000}"/>
    <cellStyle name="60% - Accent4 2" xfId="210" xr:uid="{00000000-0005-0000-0000-0000D2000000}"/>
    <cellStyle name="60% - Accent4 3" xfId="211" xr:uid="{00000000-0005-0000-0000-0000D3000000}"/>
    <cellStyle name="60% - Accent4 4" xfId="212" xr:uid="{00000000-0005-0000-0000-0000D4000000}"/>
    <cellStyle name="60% - Accent4 5" xfId="213" xr:uid="{00000000-0005-0000-0000-0000D5000000}"/>
    <cellStyle name="60% - Accent5" xfId="214" xr:uid="{00000000-0005-0000-0000-0000D6000000}"/>
    <cellStyle name="60% - Accent5 2" xfId="215" xr:uid="{00000000-0005-0000-0000-0000D7000000}"/>
    <cellStyle name="60% - Accent5 3" xfId="216" xr:uid="{00000000-0005-0000-0000-0000D8000000}"/>
    <cellStyle name="60% - Accent5 4" xfId="217" xr:uid="{00000000-0005-0000-0000-0000D9000000}"/>
    <cellStyle name="60% - Accent5 5" xfId="218" xr:uid="{00000000-0005-0000-0000-0000DA000000}"/>
    <cellStyle name="60% - Accent6" xfId="219" xr:uid="{00000000-0005-0000-0000-0000DB000000}"/>
    <cellStyle name="60% - Accent6 2" xfId="220" xr:uid="{00000000-0005-0000-0000-0000DC000000}"/>
    <cellStyle name="60% - Accent6 3" xfId="221" xr:uid="{00000000-0005-0000-0000-0000DD000000}"/>
    <cellStyle name="60% - Accent6 4" xfId="222" xr:uid="{00000000-0005-0000-0000-0000DE000000}"/>
    <cellStyle name="60% - Accent6 5" xfId="223" xr:uid="{00000000-0005-0000-0000-0000DF000000}"/>
    <cellStyle name="60% - Énfasis1 2" xfId="224" xr:uid="{00000000-0005-0000-0000-0000E0000000}"/>
    <cellStyle name="60% - Énfasis1 2 2" xfId="225" xr:uid="{00000000-0005-0000-0000-0000E1000000}"/>
    <cellStyle name="60% - Énfasis1 3" xfId="226" xr:uid="{00000000-0005-0000-0000-0000E2000000}"/>
    <cellStyle name="60% - Énfasis1 4" xfId="227" xr:uid="{00000000-0005-0000-0000-0000E3000000}"/>
    <cellStyle name="60% - Énfasis1 5" xfId="228" xr:uid="{00000000-0005-0000-0000-0000E4000000}"/>
    <cellStyle name="60% - Énfasis1 6" xfId="229" xr:uid="{00000000-0005-0000-0000-0000E5000000}"/>
    <cellStyle name="60% - Énfasis1 7" xfId="230" xr:uid="{00000000-0005-0000-0000-0000E6000000}"/>
    <cellStyle name="60% - Énfasis1 8" xfId="231" xr:uid="{00000000-0005-0000-0000-0000E7000000}"/>
    <cellStyle name="60% - Énfasis2 2" xfId="232" xr:uid="{00000000-0005-0000-0000-0000E8000000}"/>
    <cellStyle name="60% - Énfasis2 2 2" xfId="233" xr:uid="{00000000-0005-0000-0000-0000E9000000}"/>
    <cellStyle name="60% - Énfasis2 3" xfId="234" xr:uid="{00000000-0005-0000-0000-0000EA000000}"/>
    <cellStyle name="60% - Énfasis2 4" xfId="235" xr:uid="{00000000-0005-0000-0000-0000EB000000}"/>
    <cellStyle name="60% - Énfasis2 5" xfId="236" xr:uid="{00000000-0005-0000-0000-0000EC000000}"/>
    <cellStyle name="60% - Énfasis2 6" xfId="237" xr:uid="{00000000-0005-0000-0000-0000ED000000}"/>
    <cellStyle name="60% - Énfasis2 7" xfId="238" xr:uid="{00000000-0005-0000-0000-0000EE000000}"/>
    <cellStyle name="60% - Énfasis2 8" xfId="239" xr:uid="{00000000-0005-0000-0000-0000EF000000}"/>
    <cellStyle name="60% - Énfasis3 2" xfId="240" xr:uid="{00000000-0005-0000-0000-0000F0000000}"/>
    <cellStyle name="60% - Énfasis3 2 2" xfId="241" xr:uid="{00000000-0005-0000-0000-0000F1000000}"/>
    <cellStyle name="60% - Énfasis3 3" xfId="242" xr:uid="{00000000-0005-0000-0000-0000F2000000}"/>
    <cellStyle name="60% - Énfasis3 4" xfId="243" xr:uid="{00000000-0005-0000-0000-0000F3000000}"/>
    <cellStyle name="60% - Énfasis3 5" xfId="244" xr:uid="{00000000-0005-0000-0000-0000F4000000}"/>
    <cellStyle name="60% - Énfasis3 6" xfId="245" xr:uid="{00000000-0005-0000-0000-0000F5000000}"/>
    <cellStyle name="60% - Énfasis3 7" xfId="246" xr:uid="{00000000-0005-0000-0000-0000F6000000}"/>
    <cellStyle name="60% - Énfasis3 8" xfId="247" xr:uid="{00000000-0005-0000-0000-0000F7000000}"/>
    <cellStyle name="60% - Énfasis4 2" xfId="248" xr:uid="{00000000-0005-0000-0000-0000F8000000}"/>
    <cellStyle name="60% - Énfasis4 2 2" xfId="249" xr:uid="{00000000-0005-0000-0000-0000F9000000}"/>
    <cellStyle name="60% - Énfasis4 3" xfId="250" xr:uid="{00000000-0005-0000-0000-0000FA000000}"/>
    <cellStyle name="60% - Énfasis4 4" xfId="251" xr:uid="{00000000-0005-0000-0000-0000FB000000}"/>
    <cellStyle name="60% - Énfasis4 5" xfId="252" xr:uid="{00000000-0005-0000-0000-0000FC000000}"/>
    <cellStyle name="60% - Énfasis4 6" xfId="253" xr:uid="{00000000-0005-0000-0000-0000FD000000}"/>
    <cellStyle name="60% - Énfasis4 7" xfId="254" xr:uid="{00000000-0005-0000-0000-0000FE000000}"/>
    <cellStyle name="60% - Énfasis4 8" xfId="255" xr:uid="{00000000-0005-0000-0000-0000FF000000}"/>
    <cellStyle name="60% - Énfasis5 2" xfId="256" xr:uid="{00000000-0005-0000-0000-000000010000}"/>
    <cellStyle name="60% - Énfasis5 2 2" xfId="257" xr:uid="{00000000-0005-0000-0000-000001010000}"/>
    <cellStyle name="60% - Énfasis5 3" xfId="258" xr:uid="{00000000-0005-0000-0000-000002010000}"/>
    <cellStyle name="60% - Énfasis5 4" xfId="259" xr:uid="{00000000-0005-0000-0000-000003010000}"/>
    <cellStyle name="60% - Énfasis5 5" xfId="260" xr:uid="{00000000-0005-0000-0000-000004010000}"/>
    <cellStyle name="60% - Énfasis5 6" xfId="261" xr:uid="{00000000-0005-0000-0000-000005010000}"/>
    <cellStyle name="60% - Énfasis5 7" xfId="262" xr:uid="{00000000-0005-0000-0000-000006010000}"/>
    <cellStyle name="60% - Énfasis5 8" xfId="263" xr:uid="{00000000-0005-0000-0000-000007010000}"/>
    <cellStyle name="60% - Énfasis6 2" xfId="264" xr:uid="{00000000-0005-0000-0000-000008010000}"/>
    <cellStyle name="60% - Énfasis6 2 2" xfId="265" xr:uid="{00000000-0005-0000-0000-000009010000}"/>
    <cellStyle name="60% - Énfasis6 3" xfId="266" xr:uid="{00000000-0005-0000-0000-00000A010000}"/>
    <cellStyle name="60% - Énfasis6 4" xfId="267" xr:uid="{00000000-0005-0000-0000-00000B010000}"/>
    <cellStyle name="60% - Énfasis6 5" xfId="268" xr:uid="{00000000-0005-0000-0000-00000C010000}"/>
    <cellStyle name="60% - Énfasis6 6" xfId="269" xr:uid="{00000000-0005-0000-0000-00000D010000}"/>
    <cellStyle name="60% - Énfasis6 7" xfId="270" xr:uid="{00000000-0005-0000-0000-00000E010000}"/>
    <cellStyle name="60% - Énfasis6 8" xfId="271" xr:uid="{00000000-0005-0000-0000-00000F010000}"/>
    <cellStyle name="60% - 强调文字颜色 1" xfId="272" xr:uid="{00000000-0005-0000-0000-000010010000}"/>
    <cellStyle name="60% - 强调文字颜色 2" xfId="273" xr:uid="{00000000-0005-0000-0000-000011010000}"/>
    <cellStyle name="60% - 强调文字颜色 3" xfId="274" xr:uid="{00000000-0005-0000-0000-000012010000}"/>
    <cellStyle name="60% - 强调文字颜色 4" xfId="275" xr:uid="{00000000-0005-0000-0000-000013010000}"/>
    <cellStyle name="60% - 强调文字颜色 5" xfId="276" xr:uid="{00000000-0005-0000-0000-000014010000}"/>
    <cellStyle name="60% - 强调文字颜色 6" xfId="277" xr:uid="{00000000-0005-0000-0000-000015010000}"/>
    <cellStyle name="Accent1" xfId="278" xr:uid="{00000000-0005-0000-0000-000016010000}"/>
    <cellStyle name="Accent1 2" xfId="279" xr:uid="{00000000-0005-0000-0000-000017010000}"/>
    <cellStyle name="Accent1 3" xfId="280" xr:uid="{00000000-0005-0000-0000-000018010000}"/>
    <cellStyle name="Accent1 4" xfId="281" xr:uid="{00000000-0005-0000-0000-000019010000}"/>
    <cellStyle name="Accent1 5" xfId="282" xr:uid="{00000000-0005-0000-0000-00001A010000}"/>
    <cellStyle name="Accent2" xfId="283" xr:uid="{00000000-0005-0000-0000-00001B010000}"/>
    <cellStyle name="Accent2 2" xfId="284" xr:uid="{00000000-0005-0000-0000-00001C010000}"/>
    <cellStyle name="Accent2 3" xfId="285" xr:uid="{00000000-0005-0000-0000-00001D010000}"/>
    <cellStyle name="Accent2 4" xfId="286" xr:uid="{00000000-0005-0000-0000-00001E010000}"/>
    <cellStyle name="Accent2 5" xfId="287" xr:uid="{00000000-0005-0000-0000-00001F010000}"/>
    <cellStyle name="Accent3" xfId="288" xr:uid="{00000000-0005-0000-0000-000020010000}"/>
    <cellStyle name="Accent3 2" xfId="289" xr:uid="{00000000-0005-0000-0000-000021010000}"/>
    <cellStyle name="Accent3 3" xfId="290" xr:uid="{00000000-0005-0000-0000-000022010000}"/>
    <cellStyle name="Accent3 4" xfId="291" xr:uid="{00000000-0005-0000-0000-000023010000}"/>
    <cellStyle name="Accent3 5" xfId="292" xr:uid="{00000000-0005-0000-0000-000024010000}"/>
    <cellStyle name="Accent4" xfId="293" xr:uid="{00000000-0005-0000-0000-000025010000}"/>
    <cellStyle name="Accent4 2" xfId="294" xr:uid="{00000000-0005-0000-0000-000026010000}"/>
    <cellStyle name="Accent4 3" xfId="295" xr:uid="{00000000-0005-0000-0000-000027010000}"/>
    <cellStyle name="Accent4 4" xfId="296" xr:uid="{00000000-0005-0000-0000-000028010000}"/>
    <cellStyle name="Accent4 5" xfId="297" xr:uid="{00000000-0005-0000-0000-000029010000}"/>
    <cellStyle name="Accent5" xfId="298" xr:uid="{00000000-0005-0000-0000-00002A010000}"/>
    <cellStyle name="Accent5 2" xfId="299" xr:uid="{00000000-0005-0000-0000-00002B010000}"/>
    <cellStyle name="Accent5 3" xfId="300" xr:uid="{00000000-0005-0000-0000-00002C010000}"/>
    <cellStyle name="Accent5 4" xfId="301" xr:uid="{00000000-0005-0000-0000-00002D010000}"/>
    <cellStyle name="Accent5 5" xfId="302" xr:uid="{00000000-0005-0000-0000-00002E010000}"/>
    <cellStyle name="Accent6" xfId="303" xr:uid="{00000000-0005-0000-0000-00002F010000}"/>
    <cellStyle name="Accent6 2" xfId="304" xr:uid="{00000000-0005-0000-0000-000030010000}"/>
    <cellStyle name="Accent6 3" xfId="305" xr:uid="{00000000-0005-0000-0000-000031010000}"/>
    <cellStyle name="Accent6 4" xfId="306" xr:uid="{00000000-0005-0000-0000-000032010000}"/>
    <cellStyle name="Accent6 5" xfId="307" xr:uid="{00000000-0005-0000-0000-000033010000}"/>
    <cellStyle name="Bad" xfId="308" xr:uid="{00000000-0005-0000-0000-000034010000}"/>
    <cellStyle name="Bad 2" xfId="309" xr:uid="{00000000-0005-0000-0000-000035010000}"/>
    <cellStyle name="Bad 3" xfId="310" xr:uid="{00000000-0005-0000-0000-000036010000}"/>
    <cellStyle name="Bad 4" xfId="311" xr:uid="{00000000-0005-0000-0000-000037010000}"/>
    <cellStyle name="Bad 5" xfId="312" xr:uid="{00000000-0005-0000-0000-000038010000}"/>
    <cellStyle name="Buena 2" xfId="313" xr:uid="{00000000-0005-0000-0000-000039010000}"/>
    <cellStyle name="Buena 2 2" xfId="314" xr:uid="{00000000-0005-0000-0000-00003A010000}"/>
    <cellStyle name="Buena 2 2 2" xfId="315" xr:uid="{00000000-0005-0000-0000-00003B010000}"/>
    <cellStyle name="Buena 2 2 2 2" xfId="316" xr:uid="{00000000-0005-0000-0000-00003C010000}"/>
    <cellStyle name="Buena 2 2 2 2 2" xfId="317" xr:uid="{00000000-0005-0000-0000-00003D010000}"/>
    <cellStyle name="Buena 2 2 3" xfId="318" xr:uid="{00000000-0005-0000-0000-00003E010000}"/>
    <cellStyle name="Buena 2 2 4" xfId="319" xr:uid="{00000000-0005-0000-0000-00003F010000}"/>
    <cellStyle name="Buena 2 3" xfId="320" xr:uid="{00000000-0005-0000-0000-000040010000}"/>
    <cellStyle name="Buena 2 4" xfId="321" xr:uid="{00000000-0005-0000-0000-000041010000}"/>
    <cellStyle name="Buena 3" xfId="322" xr:uid="{00000000-0005-0000-0000-000042010000}"/>
    <cellStyle name="Buena 4" xfId="323" xr:uid="{00000000-0005-0000-0000-000043010000}"/>
    <cellStyle name="Buena 5" xfId="324" xr:uid="{00000000-0005-0000-0000-000044010000}"/>
    <cellStyle name="Buena 6" xfId="325" xr:uid="{00000000-0005-0000-0000-000045010000}"/>
    <cellStyle name="Buena 7" xfId="326" xr:uid="{00000000-0005-0000-0000-000046010000}"/>
    <cellStyle name="Buena 8" xfId="327" xr:uid="{00000000-0005-0000-0000-000047010000}"/>
    <cellStyle name="Buena 9" xfId="328" xr:uid="{00000000-0005-0000-0000-000048010000}"/>
    <cellStyle name="Calculation" xfId="329" xr:uid="{00000000-0005-0000-0000-000049010000}"/>
    <cellStyle name="Calculation 2" xfId="330" xr:uid="{00000000-0005-0000-0000-00004A010000}"/>
    <cellStyle name="Calculation 3" xfId="331" xr:uid="{00000000-0005-0000-0000-00004B010000}"/>
    <cellStyle name="Calculation 4" xfId="332" xr:uid="{00000000-0005-0000-0000-00004C010000}"/>
    <cellStyle name="Calculation 5" xfId="333" xr:uid="{00000000-0005-0000-0000-00004D010000}"/>
    <cellStyle name="Cálculo 2" xfId="334" xr:uid="{00000000-0005-0000-0000-00004E010000}"/>
    <cellStyle name="Cálculo 2 2" xfId="335" xr:uid="{00000000-0005-0000-0000-00004F010000}"/>
    <cellStyle name="Cálculo 3" xfId="336" xr:uid="{00000000-0005-0000-0000-000050010000}"/>
    <cellStyle name="Cálculo 4" xfId="337" xr:uid="{00000000-0005-0000-0000-000051010000}"/>
    <cellStyle name="Cálculo 5" xfId="338" xr:uid="{00000000-0005-0000-0000-000052010000}"/>
    <cellStyle name="Cálculo 6" xfId="339" xr:uid="{00000000-0005-0000-0000-000053010000}"/>
    <cellStyle name="Cálculo 7" xfId="340" xr:uid="{00000000-0005-0000-0000-000054010000}"/>
    <cellStyle name="Cálculo 8" xfId="341" xr:uid="{00000000-0005-0000-0000-000055010000}"/>
    <cellStyle name="Celda de comprobación 2" xfId="342" xr:uid="{00000000-0005-0000-0000-000056010000}"/>
    <cellStyle name="Celda de comprobación 2 2" xfId="343" xr:uid="{00000000-0005-0000-0000-000057010000}"/>
    <cellStyle name="Celda de comprobación 2 2 2" xfId="344" xr:uid="{00000000-0005-0000-0000-000058010000}"/>
    <cellStyle name="Celda de comprobación 2 2 2 2" xfId="345" xr:uid="{00000000-0005-0000-0000-000059010000}"/>
    <cellStyle name="Celda de comprobación 2 2 2 2 2" xfId="346" xr:uid="{00000000-0005-0000-0000-00005A010000}"/>
    <cellStyle name="Celda de comprobación 2 2 3" xfId="347" xr:uid="{00000000-0005-0000-0000-00005B010000}"/>
    <cellStyle name="Celda de comprobación 2 2 4" xfId="348" xr:uid="{00000000-0005-0000-0000-00005C010000}"/>
    <cellStyle name="Celda de comprobación 2 3" xfId="349" xr:uid="{00000000-0005-0000-0000-00005D010000}"/>
    <cellStyle name="Celda de comprobación 2 4" xfId="350" xr:uid="{00000000-0005-0000-0000-00005E010000}"/>
    <cellStyle name="Celda de comprobación 3" xfId="351" xr:uid="{00000000-0005-0000-0000-00005F010000}"/>
    <cellStyle name="Celda de comprobación 4" xfId="352" xr:uid="{00000000-0005-0000-0000-000060010000}"/>
    <cellStyle name="Celda de comprobación 5" xfId="353" xr:uid="{00000000-0005-0000-0000-000061010000}"/>
    <cellStyle name="Celda de comprobación 6" xfId="354" xr:uid="{00000000-0005-0000-0000-000062010000}"/>
    <cellStyle name="Celda de comprobación 7" xfId="355" xr:uid="{00000000-0005-0000-0000-000063010000}"/>
    <cellStyle name="Celda de comprobación 8" xfId="356" xr:uid="{00000000-0005-0000-0000-000064010000}"/>
    <cellStyle name="Celda de comprobación 9" xfId="357" xr:uid="{00000000-0005-0000-0000-000065010000}"/>
    <cellStyle name="Celda vinculada 2" xfId="358" xr:uid="{00000000-0005-0000-0000-000066010000}"/>
    <cellStyle name="Celda vinculada 2 2" xfId="359" xr:uid="{00000000-0005-0000-0000-000067010000}"/>
    <cellStyle name="Celda vinculada 2 2 2" xfId="360" xr:uid="{00000000-0005-0000-0000-000068010000}"/>
    <cellStyle name="Celda vinculada 2 2 2 2" xfId="361" xr:uid="{00000000-0005-0000-0000-000069010000}"/>
    <cellStyle name="Celda vinculada 2 2 2 2 2" xfId="362" xr:uid="{00000000-0005-0000-0000-00006A010000}"/>
    <cellStyle name="Celda vinculada 2 2 3" xfId="363" xr:uid="{00000000-0005-0000-0000-00006B010000}"/>
    <cellStyle name="Celda vinculada 2 2 4" xfId="364" xr:uid="{00000000-0005-0000-0000-00006C010000}"/>
    <cellStyle name="Celda vinculada 2 3" xfId="365" xr:uid="{00000000-0005-0000-0000-00006D010000}"/>
    <cellStyle name="Celda vinculada 2 4" xfId="366" xr:uid="{00000000-0005-0000-0000-00006E010000}"/>
    <cellStyle name="Celda vinculada 3" xfId="367" xr:uid="{00000000-0005-0000-0000-00006F010000}"/>
    <cellStyle name="Celda vinculada 4" xfId="368" xr:uid="{00000000-0005-0000-0000-000070010000}"/>
    <cellStyle name="Celda vinculada 5" xfId="369" xr:uid="{00000000-0005-0000-0000-000071010000}"/>
    <cellStyle name="Celda vinculada 6" xfId="370" xr:uid="{00000000-0005-0000-0000-000072010000}"/>
    <cellStyle name="Celda vinculada 7" xfId="371" xr:uid="{00000000-0005-0000-0000-000073010000}"/>
    <cellStyle name="Celda vinculada 8" xfId="372" xr:uid="{00000000-0005-0000-0000-000074010000}"/>
    <cellStyle name="Celda vinculada 9" xfId="373" xr:uid="{00000000-0005-0000-0000-000075010000}"/>
    <cellStyle name="Check Cell" xfId="374" xr:uid="{00000000-0005-0000-0000-000076010000}"/>
    <cellStyle name="Check Cell 2" xfId="375" xr:uid="{00000000-0005-0000-0000-000077010000}"/>
    <cellStyle name="Check Cell 3" xfId="376" xr:uid="{00000000-0005-0000-0000-000078010000}"/>
    <cellStyle name="Check Cell 4" xfId="377" xr:uid="{00000000-0005-0000-0000-000079010000}"/>
    <cellStyle name="Check Cell 5" xfId="378" xr:uid="{00000000-0005-0000-0000-00007A010000}"/>
    <cellStyle name="Coma 2" xfId="379" xr:uid="{00000000-0005-0000-0000-00007B010000}"/>
    <cellStyle name="Encabezado 4 2" xfId="380" xr:uid="{00000000-0005-0000-0000-00007C010000}"/>
    <cellStyle name="Encabezado 4 2 2" xfId="381" xr:uid="{00000000-0005-0000-0000-00007D010000}"/>
    <cellStyle name="Encabezado 4 2 2 2" xfId="382" xr:uid="{00000000-0005-0000-0000-00007E010000}"/>
    <cellStyle name="Encabezado 4 2 2 2 2" xfId="383" xr:uid="{00000000-0005-0000-0000-00007F010000}"/>
    <cellStyle name="Encabezado 4 2 2 2 2 2" xfId="384" xr:uid="{00000000-0005-0000-0000-000080010000}"/>
    <cellStyle name="Encabezado 4 2 2 3" xfId="385" xr:uid="{00000000-0005-0000-0000-000081010000}"/>
    <cellStyle name="Encabezado 4 2 2 4" xfId="386" xr:uid="{00000000-0005-0000-0000-000082010000}"/>
    <cellStyle name="Encabezado 4 2 3" xfId="387" xr:uid="{00000000-0005-0000-0000-000083010000}"/>
    <cellStyle name="Encabezado 4 2 4" xfId="388" xr:uid="{00000000-0005-0000-0000-000084010000}"/>
    <cellStyle name="Encabezado 4 3" xfId="389" xr:uid="{00000000-0005-0000-0000-000085010000}"/>
    <cellStyle name="Encabezado 4 4" xfId="390" xr:uid="{00000000-0005-0000-0000-000086010000}"/>
    <cellStyle name="Encabezado 4 5" xfId="391" xr:uid="{00000000-0005-0000-0000-000087010000}"/>
    <cellStyle name="Encabezado 4 6" xfId="392" xr:uid="{00000000-0005-0000-0000-000088010000}"/>
    <cellStyle name="Encabezado 4 7" xfId="393" xr:uid="{00000000-0005-0000-0000-000089010000}"/>
    <cellStyle name="Encabezado 4 8" xfId="394" xr:uid="{00000000-0005-0000-0000-00008A010000}"/>
    <cellStyle name="Encabezado 4 9" xfId="395" xr:uid="{00000000-0005-0000-0000-00008B010000}"/>
    <cellStyle name="Énfasis1 2" xfId="396" xr:uid="{00000000-0005-0000-0000-00008C010000}"/>
    <cellStyle name="Énfasis1 2 2" xfId="397" xr:uid="{00000000-0005-0000-0000-00008D010000}"/>
    <cellStyle name="Énfasis1 3" xfId="398" xr:uid="{00000000-0005-0000-0000-00008E010000}"/>
    <cellStyle name="Énfasis1 4" xfId="399" xr:uid="{00000000-0005-0000-0000-00008F010000}"/>
    <cellStyle name="Énfasis1 5" xfId="400" xr:uid="{00000000-0005-0000-0000-000090010000}"/>
    <cellStyle name="Énfasis1 6" xfId="401" xr:uid="{00000000-0005-0000-0000-000091010000}"/>
    <cellStyle name="Énfasis1 7" xfId="402" xr:uid="{00000000-0005-0000-0000-000092010000}"/>
    <cellStyle name="Énfasis1 8" xfId="403" xr:uid="{00000000-0005-0000-0000-000093010000}"/>
    <cellStyle name="Énfasis2 2" xfId="404" xr:uid="{00000000-0005-0000-0000-000094010000}"/>
    <cellStyle name="Énfasis2 2 2" xfId="405" xr:uid="{00000000-0005-0000-0000-000095010000}"/>
    <cellStyle name="Énfasis2 3" xfId="406" xr:uid="{00000000-0005-0000-0000-000096010000}"/>
    <cellStyle name="Énfasis2 4" xfId="407" xr:uid="{00000000-0005-0000-0000-000097010000}"/>
    <cellStyle name="Énfasis2 5" xfId="408" xr:uid="{00000000-0005-0000-0000-000098010000}"/>
    <cellStyle name="Énfasis2 6" xfId="409" xr:uid="{00000000-0005-0000-0000-000099010000}"/>
    <cellStyle name="Énfasis2 7" xfId="410" xr:uid="{00000000-0005-0000-0000-00009A010000}"/>
    <cellStyle name="Énfasis2 8" xfId="411" xr:uid="{00000000-0005-0000-0000-00009B010000}"/>
    <cellStyle name="Énfasis3 2" xfId="412" xr:uid="{00000000-0005-0000-0000-00009C010000}"/>
    <cellStyle name="Énfasis3 2 2" xfId="413" xr:uid="{00000000-0005-0000-0000-00009D010000}"/>
    <cellStyle name="Énfasis3 3" xfId="414" xr:uid="{00000000-0005-0000-0000-00009E010000}"/>
    <cellStyle name="Énfasis3 4" xfId="415" xr:uid="{00000000-0005-0000-0000-00009F010000}"/>
    <cellStyle name="Énfasis3 5" xfId="416" xr:uid="{00000000-0005-0000-0000-0000A0010000}"/>
    <cellStyle name="Énfasis3 6" xfId="417" xr:uid="{00000000-0005-0000-0000-0000A1010000}"/>
    <cellStyle name="Énfasis3 7" xfId="418" xr:uid="{00000000-0005-0000-0000-0000A2010000}"/>
    <cellStyle name="Énfasis3 8" xfId="419" xr:uid="{00000000-0005-0000-0000-0000A3010000}"/>
    <cellStyle name="Énfasis4 2" xfId="420" xr:uid="{00000000-0005-0000-0000-0000A4010000}"/>
    <cellStyle name="Énfasis4 2 2" xfId="421" xr:uid="{00000000-0005-0000-0000-0000A5010000}"/>
    <cellStyle name="Énfasis4 3" xfId="422" xr:uid="{00000000-0005-0000-0000-0000A6010000}"/>
    <cellStyle name="Énfasis4 4" xfId="423" xr:uid="{00000000-0005-0000-0000-0000A7010000}"/>
    <cellStyle name="Énfasis4 5" xfId="424" xr:uid="{00000000-0005-0000-0000-0000A8010000}"/>
    <cellStyle name="Énfasis4 6" xfId="425" xr:uid="{00000000-0005-0000-0000-0000A9010000}"/>
    <cellStyle name="Énfasis4 7" xfId="426" xr:uid="{00000000-0005-0000-0000-0000AA010000}"/>
    <cellStyle name="Énfasis4 8" xfId="427" xr:uid="{00000000-0005-0000-0000-0000AB010000}"/>
    <cellStyle name="Énfasis5 2" xfId="428" xr:uid="{00000000-0005-0000-0000-0000AC010000}"/>
    <cellStyle name="Énfasis5 2 2" xfId="429" xr:uid="{00000000-0005-0000-0000-0000AD010000}"/>
    <cellStyle name="Énfasis5 3" xfId="430" xr:uid="{00000000-0005-0000-0000-0000AE010000}"/>
    <cellStyle name="Énfasis5 4" xfId="431" xr:uid="{00000000-0005-0000-0000-0000AF010000}"/>
    <cellStyle name="Énfasis5 5" xfId="432" xr:uid="{00000000-0005-0000-0000-0000B0010000}"/>
    <cellStyle name="Énfasis5 6" xfId="433" xr:uid="{00000000-0005-0000-0000-0000B1010000}"/>
    <cellStyle name="Énfasis5 7" xfId="434" xr:uid="{00000000-0005-0000-0000-0000B2010000}"/>
    <cellStyle name="Énfasis5 8" xfId="435" xr:uid="{00000000-0005-0000-0000-0000B3010000}"/>
    <cellStyle name="Énfasis6 2" xfId="436" xr:uid="{00000000-0005-0000-0000-0000B4010000}"/>
    <cellStyle name="Énfasis6 2 2" xfId="437" xr:uid="{00000000-0005-0000-0000-0000B5010000}"/>
    <cellStyle name="Énfasis6 3" xfId="438" xr:uid="{00000000-0005-0000-0000-0000B6010000}"/>
    <cellStyle name="Énfasis6 4" xfId="439" xr:uid="{00000000-0005-0000-0000-0000B7010000}"/>
    <cellStyle name="Énfasis6 5" xfId="440" xr:uid="{00000000-0005-0000-0000-0000B8010000}"/>
    <cellStyle name="Énfasis6 6" xfId="441" xr:uid="{00000000-0005-0000-0000-0000B9010000}"/>
    <cellStyle name="Énfasis6 7" xfId="442" xr:uid="{00000000-0005-0000-0000-0000BA010000}"/>
    <cellStyle name="Énfasis6 8" xfId="443" xr:uid="{00000000-0005-0000-0000-0000BB010000}"/>
    <cellStyle name="Entrada 2" xfId="444" xr:uid="{00000000-0005-0000-0000-0000BC010000}"/>
    <cellStyle name="Entrada 2 2" xfId="445" xr:uid="{00000000-0005-0000-0000-0000BD010000}"/>
    <cellStyle name="Entrada 2 2 2" xfId="446" xr:uid="{00000000-0005-0000-0000-0000BE010000}"/>
    <cellStyle name="Entrada 2 2 2 2" xfId="447" xr:uid="{00000000-0005-0000-0000-0000BF010000}"/>
    <cellStyle name="Entrada 2 2 2 2 2" xfId="448" xr:uid="{00000000-0005-0000-0000-0000C0010000}"/>
    <cellStyle name="Entrada 2 2 3" xfId="449" xr:uid="{00000000-0005-0000-0000-0000C1010000}"/>
    <cellStyle name="Entrada 2 2 4" xfId="450" xr:uid="{00000000-0005-0000-0000-0000C2010000}"/>
    <cellStyle name="Entrada 2 3" xfId="451" xr:uid="{00000000-0005-0000-0000-0000C3010000}"/>
    <cellStyle name="Entrada 2 4" xfId="452" xr:uid="{00000000-0005-0000-0000-0000C4010000}"/>
    <cellStyle name="Entrada 3" xfId="453" xr:uid="{00000000-0005-0000-0000-0000C5010000}"/>
    <cellStyle name="Entrada 4" xfId="454" xr:uid="{00000000-0005-0000-0000-0000C6010000}"/>
    <cellStyle name="Entrada 5" xfId="455" xr:uid="{00000000-0005-0000-0000-0000C7010000}"/>
    <cellStyle name="Entrada 6" xfId="456" xr:uid="{00000000-0005-0000-0000-0000C8010000}"/>
    <cellStyle name="Entrada 7" xfId="457" xr:uid="{00000000-0005-0000-0000-0000C9010000}"/>
    <cellStyle name="Entrada 8" xfId="458" xr:uid="{00000000-0005-0000-0000-0000CA010000}"/>
    <cellStyle name="Entrada 9" xfId="459" xr:uid="{00000000-0005-0000-0000-0000CB010000}"/>
    <cellStyle name="Estilo 1" xfId="460" xr:uid="{00000000-0005-0000-0000-0000CC010000}"/>
    <cellStyle name="Estilo 1 10" xfId="461" xr:uid="{00000000-0005-0000-0000-0000CD010000}"/>
    <cellStyle name="Estilo 1 10 2" xfId="462" xr:uid="{00000000-0005-0000-0000-0000CE010000}"/>
    <cellStyle name="Estilo 1 10 3" xfId="463" xr:uid="{00000000-0005-0000-0000-0000CF010000}"/>
    <cellStyle name="Estilo 1 10_Enlaces" xfId="464" xr:uid="{00000000-0005-0000-0000-0000D0010000}"/>
    <cellStyle name="Estilo 1 100" xfId="465" xr:uid="{00000000-0005-0000-0000-0000D1010000}"/>
    <cellStyle name="Estilo 1 100 2" xfId="466" xr:uid="{00000000-0005-0000-0000-0000D2010000}"/>
    <cellStyle name="Estilo 1 101" xfId="467" xr:uid="{00000000-0005-0000-0000-0000D3010000}"/>
    <cellStyle name="Estilo 1 101 2" xfId="468" xr:uid="{00000000-0005-0000-0000-0000D4010000}"/>
    <cellStyle name="Estilo 1 102" xfId="469" xr:uid="{00000000-0005-0000-0000-0000D5010000}"/>
    <cellStyle name="Estilo 1 102 2" xfId="470" xr:uid="{00000000-0005-0000-0000-0000D6010000}"/>
    <cellStyle name="Estilo 1 103" xfId="471" xr:uid="{00000000-0005-0000-0000-0000D7010000}"/>
    <cellStyle name="Estilo 1 103 2" xfId="472" xr:uid="{00000000-0005-0000-0000-0000D8010000}"/>
    <cellStyle name="Estilo 1 104" xfId="473" xr:uid="{00000000-0005-0000-0000-0000D9010000}"/>
    <cellStyle name="Estilo 1 104 2" xfId="474" xr:uid="{00000000-0005-0000-0000-0000DA010000}"/>
    <cellStyle name="Estilo 1 105" xfId="475" xr:uid="{00000000-0005-0000-0000-0000DB010000}"/>
    <cellStyle name="Estilo 1 105 2" xfId="476" xr:uid="{00000000-0005-0000-0000-0000DC010000}"/>
    <cellStyle name="Estilo 1 106" xfId="477" xr:uid="{00000000-0005-0000-0000-0000DD010000}"/>
    <cellStyle name="Estilo 1 106 2" xfId="478" xr:uid="{00000000-0005-0000-0000-0000DE010000}"/>
    <cellStyle name="Estilo 1 107" xfId="479" xr:uid="{00000000-0005-0000-0000-0000DF010000}"/>
    <cellStyle name="Estilo 1 107 2" xfId="480" xr:uid="{00000000-0005-0000-0000-0000E0010000}"/>
    <cellStyle name="Estilo 1 108" xfId="481" xr:uid="{00000000-0005-0000-0000-0000E1010000}"/>
    <cellStyle name="Estilo 1 108 2" xfId="482" xr:uid="{00000000-0005-0000-0000-0000E2010000}"/>
    <cellStyle name="Estilo 1 109" xfId="483" xr:uid="{00000000-0005-0000-0000-0000E3010000}"/>
    <cellStyle name="Estilo 1 109 2" xfId="484" xr:uid="{00000000-0005-0000-0000-0000E4010000}"/>
    <cellStyle name="Estilo 1 11" xfId="485" xr:uid="{00000000-0005-0000-0000-0000E5010000}"/>
    <cellStyle name="Estilo 1 11 2" xfId="486" xr:uid="{00000000-0005-0000-0000-0000E6010000}"/>
    <cellStyle name="Estilo 1 11 3" xfId="487" xr:uid="{00000000-0005-0000-0000-0000E7010000}"/>
    <cellStyle name="Estilo 1 11_Enlaces" xfId="488" xr:uid="{00000000-0005-0000-0000-0000E8010000}"/>
    <cellStyle name="Estilo 1 110" xfId="489" xr:uid="{00000000-0005-0000-0000-0000E9010000}"/>
    <cellStyle name="Estilo 1 110 2" xfId="490" xr:uid="{00000000-0005-0000-0000-0000EA010000}"/>
    <cellStyle name="Estilo 1 111" xfId="491" xr:uid="{00000000-0005-0000-0000-0000EB010000}"/>
    <cellStyle name="Estilo 1 111 2" xfId="492" xr:uid="{00000000-0005-0000-0000-0000EC010000}"/>
    <cellStyle name="Estilo 1 112" xfId="493" xr:uid="{00000000-0005-0000-0000-0000ED010000}"/>
    <cellStyle name="Estilo 1 112 2" xfId="494" xr:uid="{00000000-0005-0000-0000-0000EE010000}"/>
    <cellStyle name="Estilo 1 113" xfId="495" xr:uid="{00000000-0005-0000-0000-0000EF010000}"/>
    <cellStyle name="Estilo 1 113 2" xfId="496" xr:uid="{00000000-0005-0000-0000-0000F0010000}"/>
    <cellStyle name="Estilo 1 114" xfId="497" xr:uid="{00000000-0005-0000-0000-0000F1010000}"/>
    <cellStyle name="Estilo 1 114 2" xfId="498" xr:uid="{00000000-0005-0000-0000-0000F2010000}"/>
    <cellStyle name="Estilo 1 115" xfId="499" xr:uid="{00000000-0005-0000-0000-0000F3010000}"/>
    <cellStyle name="Estilo 1 115 2" xfId="500" xr:uid="{00000000-0005-0000-0000-0000F4010000}"/>
    <cellStyle name="Estilo 1 116" xfId="501" xr:uid="{00000000-0005-0000-0000-0000F5010000}"/>
    <cellStyle name="Estilo 1 116 2" xfId="502" xr:uid="{00000000-0005-0000-0000-0000F6010000}"/>
    <cellStyle name="Estilo 1 117" xfId="503" xr:uid="{00000000-0005-0000-0000-0000F7010000}"/>
    <cellStyle name="Estilo 1 117 2" xfId="504" xr:uid="{00000000-0005-0000-0000-0000F8010000}"/>
    <cellStyle name="Estilo 1 118" xfId="505" xr:uid="{00000000-0005-0000-0000-0000F9010000}"/>
    <cellStyle name="Estilo 1 118 2" xfId="506" xr:uid="{00000000-0005-0000-0000-0000FA010000}"/>
    <cellStyle name="Estilo 1 119" xfId="507" xr:uid="{00000000-0005-0000-0000-0000FB010000}"/>
    <cellStyle name="Estilo 1 119 2" xfId="508" xr:uid="{00000000-0005-0000-0000-0000FC010000}"/>
    <cellStyle name="Estilo 1 12" xfId="509" xr:uid="{00000000-0005-0000-0000-0000FD010000}"/>
    <cellStyle name="Estilo 1 12 2" xfId="510" xr:uid="{00000000-0005-0000-0000-0000FE010000}"/>
    <cellStyle name="Estilo 1 12 3" xfId="511" xr:uid="{00000000-0005-0000-0000-0000FF010000}"/>
    <cellStyle name="Estilo 1 12_Enlaces" xfId="512" xr:uid="{00000000-0005-0000-0000-000000020000}"/>
    <cellStyle name="Estilo 1 120" xfId="513" xr:uid="{00000000-0005-0000-0000-000001020000}"/>
    <cellStyle name="Estilo 1 120 2" xfId="514" xr:uid="{00000000-0005-0000-0000-000002020000}"/>
    <cellStyle name="Estilo 1 121" xfId="515" xr:uid="{00000000-0005-0000-0000-000003020000}"/>
    <cellStyle name="Estilo 1 121 2" xfId="516" xr:uid="{00000000-0005-0000-0000-000004020000}"/>
    <cellStyle name="Estilo 1 122" xfId="517" xr:uid="{00000000-0005-0000-0000-000005020000}"/>
    <cellStyle name="Estilo 1 122 2" xfId="518" xr:uid="{00000000-0005-0000-0000-000006020000}"/>
    <cellStyle name="Estilo 1 123" xfId="519" xr:uid="{00000000-0005-0000-0000-000007020000}"/>
    <cellStyle name="Estilo 1 123 2" xfId="520" xr:uid="{00000000-0005-0000-0000-000008020000}"/>
    <cellStyle name="Estilo 1 124" xfId="521" xr:uid="{00000000-0005-0000-0000-000009020000}"/>
    <cellStyle name="Estilo 1 124 2" xfId="522" xr:uid="{00000000-0005-0000-0000-00000A020000}"/>
    <cellStyle name="Estilo 1 125" xfId="523" xr:uid="{00000000-0005-0000-0000-00000B020000}"/>
    <cellStyle name="Estilo 1 125 2" xfId="524" xr:uid="{00000000-0005-0000-0000-00000C020000}"/>
    <cellStyle name="Estilo 1 126" xfId="525" xr:uid="{00000000-0005-0000-0000-00000D020000}"/>
    <cellStyle name="Estilo 1 126 2" xfId="526" xr:uid="{00000000-0005-0000-0000-00000E020000}"/>
    <cellStyle name="Estilo 1 127" xfId="527" xr:uid="{00000000-0005-0000-0000-00000F020000}"/>
    <cellStyle name="Estilo 1 127 2" xfId="528" xr:uid="{00000000-0005-0000-0000-000010020000}"/>
    <cellStyle name="Estilo 1 128" xfId="529" xr:uid="{00000000-0005-0000-0000-000011020000}"/>
    <cellStyle name="Estilo 1 128 2" xfId="530" xr:uid="{00000000-0005-0000-0000-000012020000}"/>
    <cellStyle name="Estilo 1 129" xfId="531" xr:uid="{00000000-0005-0000-0000-000013020000}"/>
    <cellStyle name="Estilo 1 129 2" xfId="532" xr:uid="{00000000-0005-0000-0000-000014020000}"/>
    <cellStyle name="Estilo 1 13" xfId="533" xr:uid="{00000000-0005-0000-0000-000015020000}"/>
    <cellStyle name="Estilo 1 13 2" xfId="534" xr:uid="{00000000-0005-0000-0000-000016020000}"/>
    <cellStyle name="Estilo 1 13 3" xfId="535" xr:uid="{00000000-0005-0000-0000-000017020000}"/>
    <cellStyle name="Estilo 1 13_Enlaces" xfId="536" xr:uid="{00000000-0005-0000-0000-000018020000}"/>
    <cellStyle name="Estilo 1 130" xfId="537" xr:uid="{00000000-0005-0000-0000-000019020000}"/>
    <cellStyle name="Estilo 1 130 2" xfId="538" xr:uid="{00000000-0005-0000-0000-00001A020000}"/>
    <cellStyle name="Estilo 1 131" xfId="539" xr:uid="{00000000-0005-0000-0000-00001B020000}"/>
    <cellStyle name="Estilo 1 131 2" xfId="540" xr:uid="{00000000-0005-0000-0000-00001C020000}"/>
    <cellStyle name="Estilo 1 132" xfId="541" xr:uid="{00000000-0005-0000-0000-00001D020000}"/>
    <cellStyle name="Estilo 1 132 2" xfId="542" xr:uid="{00000000-0005-0000-0000-00001E020000}"/>
    <cellStyle name="Estilo 1 133" xfId="543" xr:uid="{00000000-0005-0000-0000-00001F020000}"/>
    <cellStyle name="Estilo 1 133 2" xfId="544" xr:uid="{00000000-0005-0000-0000-000020020000}"/>
    <cellStyle name="Estilo 1 134" xfId="545" xr:uid="{00000000-0005-0000-0000-000021020000}"/>
    <cellStyle name="Estilo 1 134 2" xfId="546" xr:uid="{00000000-0005-0000-0000-000022020000}"/>
    <cellStyle name="Estilo 1 135" xfId="547" xr:uid="{00000000-0005-0000-0000-000023020000}"/>
    <cellStyle name="Estilo 1 135 2" xfId="548" xr:uid="{00000000-0005-0000-0000-000024020000}"/>
    <cellStyle name="Estilo 1 136" xfId="549" xr:uid="{00000000-0005-0000-0000-000025020000}"/>
    <cellStyle name="Estilo 1 136 2" xfId="550" xr:uid="{00000000-0005-0000-0000-000026020000}"/>
    <cellStyle name="Estilo 1 137" xfId="551" xr:uid="{00000000-0005-0000-0000-000027020000}"/>
    <cellStyle name="Estilo 1 137 2" xfId="552" xr:uid="{00000000-0005-0000-0000-000028020000}"/>
    <cellStyle name="Estilo 1 138" xfId="553" xr:uid="{00000000-0005-0000-0000-000029020000}"/>
    <cellStyle name="Estilo 1 138 2" xfId="554" xr:uid="{00000000-0005-0000-0000-00002A020000}"/>
    <cellStyle name="Estilo 1 139" xfId="555" xr:uid="{00000000-0005-0000-0000-00002B020000}"/>
    <cellStyle name="Estilo 1 139 2" xfId="556" xr:uid="{00000000-0005-0000-0000-00002C020000}"/>
    <cellStyle name="Estilo 1 14" xfId="557" xr:uid="{00000000-0005-0000-0000-00002D020000}"/>
    <cellStyle name="Estilo 1 14 2" xfId="558" xr:uid="{00000000-0005-0000-0000-00002E020000}"/>
    <cellStyle name="Estilo 1 14 3" xfId="559" xr:uid="{00000000-0005-0000-0000-00002F020000}"/>
    <cellStyle name="Estilo 1 14_Enlaces" xfId="560" xr:uid="{00000000-0005-0000-0000-000030020000}"/>
    <cellStyle name="Estilo 1 140" xfId="561" xr:uid="{00000000-0005-0000-0000-000031020000}"/>
    <cellStyle name="Estilo 1 140 2" xfId="562" xr:uid="{00000000-0005-0000-0000-000032020000}"/>
    <cellStyle name="Estilo 1 141" xfId="563" xr:uid="{00000000-0005-0000-0000-000033020000}"/>
    <cellStyle name="Estilo 1 141 2" xfId="564" xr:uid="{00000000-0005-0000-0000-000034020000}"/>
    <cellStyle name="Estilo 1 142" xfId="565" xr:uid="{00000000-0005-0000-0000-000035020000}"/>
    <cellStyle name="Estilo 1 142 2" xfId="566" xr:uid="{00000000-0005-0000-0000-000036020000}"/>
    <cellStyle name="Estilo 1 143" xfId="567" xr:uid="{00000000-0005-0000-0000-000037020000}"/>
    <cellStyle name="Estilo 1 143 2" xfId="568" xr:uid="{00000000-0005-0000-0000-000038020000}"/>
    <cellStyle name="Estilo 1 144" xfId="569" xr:uid="{00000000-0005-0000-0000-000039020000}"/>
    <cellStyle name="Estilo 1 144 2" xfId="570" xr:uid="{00000000-0005-0000-0000-00003A020000}"/>
    <cellStyle name="Estilo 1 145" xfId="571" xr:uid="{00000000-0005-0000-0000-00003B020000}"/>
    <cellStyle name="Estilo 1 145 2" xfId="572" xr:uid="{00000000-0005-0000-0000-00003C020000}"/>
    <cellStyle name="Estilo 1 146" xfId="573" xr:uid="{00000000-0005-0000-0000-00003D020000}"/>
    <cellStyle name="Estilo 1 146 2" xfId="574" xr:uid="{00000000-0005-0000-0000-00003E020000}"/>
    <cellStyle name="Estilo 1 147" xfId="575" xr:uid="{00000000-0005-0000-0000-00003F020000}"/>
    <cellStyle name="Estilo 1 147 2" xfId="576" xr:uid="{00000000-0005-0000-0000-000040020000}"/>
    <cellStyle name="Estilo 1 148" xfId="577" xr:uid="{00000000-0005-0000-0000-000041020000}"/>
    <cellStyle name="Estilo 1 148 2" xfId="578" xr:uid="{00000000-0005-0000-0000-000042020000}"/>
    <cellStyle name="Estilo 1 149" xfId="579" xr:uid="{00000000-0005-0000-0000-000043020000}"/>
    <cellStyle name="Estilo 1 149 2" xfId="580" xr:uid="{00000000-0005-0000-0000-000044020000}"/>
    <cellStyle name="Estilo 1 15" xfId="581" xr:uid="{00000000-0005-0000-0000-000045020000}"/>
    <cellStyle name="Estilo 1 15 2" xfId="582" xr:uid="{00000000-0005-0000-0000-000046020000}"/>
    <cellStyle name="Estilo 1 15 3" xfId="583" xr:uid="{00000000-0005-0000-0000-000047020000}"/>
    <cellStyle name="Estilo 1 15_Enlaces" xfId="584" xr:uid="{00000000-0005-0000-0000-000048020000}"/>
    <cellStyle name="Estilo 1 150" xfId="585" xr:uid="{00000000-0005-0000-0000-000049020000}"/>
    <cellStyle name="Estilo 1 150 2" xfId="586" xr:uid="{00000000-0005-0000-0000-00004A020000}"/>
    <cellStyle name="Estilo 1 151" xfId="587" xr:uid="{00000000-0005-0000-0000-00004B020000}"/>
    <cellStyle name="Estilo 1 151 2" xfId="588" xr:uid="{00000000-0005-0000-0000-00004C020000}"/>
    <cellStyle name="Estilo 1 152" xfId="589" xr:uid="{00000000-0005-0000-0000-00004D020000}"/>
    <cellStyle name="Estilo 1 152 2" xfId="590" xr:uid="{00000000-0005-0000-0000-00004E020000}"/>
    <cellStyle name="Estilo 1 153" xfId="591" xr:uid="{00000000-0005-0000-0000-00004F020000}"/>
    <cellStyle name="Estilo 1 153 2" xfId="592" xr:uid="{00000000-0005-0000-0000-000050020000}"/>
    <cellStyle name="Estilo 1 154" xfId="593" xr:uid="{00000000-0005-0000-0000-000051020000}"/>
    <cellStyle name="Estilo 1 154 2" xfId="594" xr:uid="{00000000-0005-0000-0000-000052020000}"/>
    <cellStyle name="Estilo 1 155" xfId="595" xr:uid="{00000000-0005-0000-0000-000053020000}"/>
    <cellStyle name="Estilo 1 155 2" xfId="596" xr:uid="{00000000-0005-0000-0000-000054020000}"/>
    <cellStyle name="Estilo 1 156" xfId="597" xr:uid="{00000000-0005-0000-0000-000055020000}"/>
    <cellStyle name="Estilo 1 156 2" xfId="598" xr:uid="{00000000-0005-0000-0000-000056020000}"/>
    <cellStyle name="Estilo 1 157" xfId="599" xr:uid="{00000000-0005-0000-0000-000057020000}"/>
    <cellStyle name="Estilo 1 157 2" xfId="600" xr:uid="{00000000-0005-0000-0000-000058020000}"/>
    <cellStyle name="Estilo 1 158" xfId="601" xr:uid="{00000000-0005-0000-0000-000059020000}"/>
    <cellStyle name="Estilo 1 158 2" xfId="602" xr:uid="{00000000-0005-0000-0000-00005A020000}"/>
    <cellStyle name="Estilo 1 159" xfId="603" xr:uid="{00000000-0005-0000-0000-00005B020000}"/>
    <cellStyle name="Estilo 1 159 2" xfId="604" xr:uid="{00000000-0005-0000-0000-00005C020000}"/>
    <cellStyle name="Estilo 1 16" xfId="605" xr:uid="{00000000-0005-0000-0000-00005D020000}"/>
    <cellStyle name="Estilo 1 16 2" xfId="606" xr:uid="{00000000-0005-0000-0000-00005E020000}"/>
    <cellStyle name="Estilo 1 16 3" xfId="607" xr:uid="{00000000-0005-0000-0000-00005F020000}"/>
    <cellStyle name="Estilo 1 16_Enlaces" xfId="608" xr:uid="{00000000-0005-0000-0000-000060020000}"/>
    <cellStyle name="Estilo 1 160" xfId="609" xr:uid="{00000000-0005-0000-0000-000061020000}"/>
    <cellStyle name="Estilo 1 160 2" xfId="610" xr:uid="{00000000-0005-0000-0000-000062020000}"/>
    <cellStyle name="Estilo 1 161" xfId="611" xr:uid="{00000000-0005-0000-0000-000063020000}"/>
    <cellStyle name="Estilo 1 161 2" xfId="612" xr:uid="{00000000-0005-0000-0000-000064020000}"/>
    <cellStyle name="Estilo 1 162" xfId="613" xr:uid="{00000000-0005-0000-0000-000065020000}"/>
    <cellStyle name="Estilo 1 162 2" xfId="614" xr:uid="{00000000-0005-0000-0000-000066020000}"/>
    <cellStyle name="Estilo 1 163" xfId="615" xr:uid="{00000000-0005-0000-0000-000067020000}"/>
    <cellStyle name="Estilo 1 163 2" xfId="616" xr:uid="{00000000-0005-0000-0000-000068020000}"/>
    <cellStyle name="Estilo 1 164" xfId="617" xr:uid="{00000000-0005-0000-0000-000069020000}"/>
    <cellStyle name="Estilo 1 164 2" xfId="618" xr:uid="{00000000-0005-0000-0000-00006A020000}"/>
    <cellStyle name="Estilo 1 165" xfId="619" xr:uid="{00000000-0005-0000-0000-00006B020000}"/>
    <cellStyle name="Estilo 1 165 2" xfId="620" xr:uid="{00000000-0005-0000-0000-00006C020000}"/>
    <cellStyle name="Estilo 1 166" xfId="621" xr:uid="{00000000-0005-0000-0000-00006D020000}"/>
    <cellStyle name="Estilo 1 166 2" xfId="622" xr:uid="{00000000-0005-0000-0000-00006E020000}"/>
    <cellStyle name="Estilo 1 167" xfId="623" xr:uid="{00000000-0005-0000-0000-00006F020000}"/>
    <cellStyle name="Estilo 1 167 2" xfId="624" xr:uid="{00000000-0005-0000-0000-000070020000}"/>
    <cellStyle name="Estilo 1 168" xfId="625" xr:uid="{00000000-0005-0000-0000-000071020000}"/>
    <cellStyle name="Estilo 1 168 2" xfId="626" xr:uid="{00000000-0005-0000-0000-000072020000}"/>
    <cellStyle name="Estilo 1 169" xfId="627" xr:uid="{00000000-0005-0000-0000-000073020000}"/>
    <cellStyle name="Estilo 1 169 2" xfId="628" xr:uid="{00000000-0005-0000-0000-000074020000}"/>
    <cellStyle name="Estilo 1 17" xfId="629" xr:uid="{00000000-0005-0000-0000-000075020000}"/>
    <cellStyle name="Estilo 1 17 2" xfId="630" xr:uid="{00000000-0005-0000-0000-000076020000}"/>
    <cellStyle name="Estilo 1 17 3" xfId="631" xr:uid="{00000000-0005-0000-0000-000077020000}"/>
    <cellStyle name="Estilo 1 17_Enlaces" xfId="632" xr:uid="{00000000-0005-0000-0000-000078020000}"/>
    <cellStyle name="Estilo 1 170" xfId="633" xr:uid="{00000000-0005-0000-0000-000079020000}"/>
    <cellStyle name="Estilo 1 170 2" xfId="634" xr:uid="{00000000-0005-0000-0000-00007A020000}"/>
    <cellStyle name="Estilo 1 171" xfId="635" xr:uid="{00000000-0005-0000-0000-00007B020000}"/>
    <cellStyle name="Estilo 1 171 2" xfId="636" xr:uid="{00000000-0005-0000-0000-00007C020000}"/>
    <cellStyle name="Estilo 1 172" xfId="637" xr:uid="{00000000-0005-0000-0000-00007D020000}"/>
    <cellStyle name="Estilo 1 172 2" xfId="638" xr:uid="{00000000-0005-0000-0000-00007E020000}"/>
    <cellStyle name="Estilo 1 173" xfId="639" xr:uid="{00000000-0005-0000-0000-00007F020000}"/>
    <cellStyle name="Estilo 1 173 2" xfId="640" xr:uid="{00000000-0005-0000-0000-000080020000}"/>
    <cellStyle name="Estilo 1 174" xfId="641" xr:uid="{00000000-0005-0000-0000-000081020000}"/>
    <cellStyle name="Estilo 1 174 2" xfId="642" xr:uid="{00000000-0005-0000-0000-000082020000}"/>
    <cellStyle name="Estilo 1 175" xfId="643" xr:uid="{00000000-0005-0000-0000-000083020000}"/>
    <cellStyle name="Estilo 1 175 2" xfId="644" xr:uid="{00000000-0005-0000-0000-000084020000}"/>
    <cellStyle name="Estilo 1 176" xfId="645" xr:uid="{00000000-0005-0000-0000-000085020000}"/>
    <cellStyle name="Estilo 1 176 2" xfId="646" xr:uid="{00000000-0005-0000-0000-000086020000}"/>
    <cellStyle name="Estilo 1 177" xfId="647" xr:uid="{00000000-0005-0000-0000-000087020000}"/>
    <cellStyle name="Estilo 1 177 2" xfId="648" xr:uid="{00000000-0005-0000-0000-000088020000}"/>
    <cellStyle name="Estilo 1 178" xfId="649" xr:uid="{00000000-0005-0000-0000-000089020000}"/>
    <cellStyle name="Estilo 1 178 2" xfId="650" xr:uid="{00000000-0005-0000-0000-00008A020000}"/>
    <cellStyle name="Estilo 1 179" xfId="651" xr:uid="{00000000-0005-0000-0000-00008B020000}"/>
    <cellStyle name="Estilo 1 179 2" xfId="652" xr:uid="{00000000-0005-0000-0000-00008C020000}"/>
    <cellStyle name="Estilo 1 18" xfId="653" xr:uid="{00000000-0005-0000-0000-00008D020000}"/>
    <cellStyle name="Estilo 1 18 2" xfId="654" xr:uid="{00000000-0005-0000-0000-00008E020000}"/>
    <cellStyle name="Estilo 1 18 3" xfId="655" xr:uid="{00000000-0005-0000-0000-00008F020000}"/>
    <cellStyle name="Estilo 1 18_Enlaces" xfId="656" xr:uid="{00000000-0005-0000-0000-000090020000}"/>
    <cellStyle name="Estilo 1 180" xfId="657" xr:uid="{00000000-0005-0000-0000-000091020000}"/>
    <cellStyle name="Estilo 1 180 2" xfId="658" xr:uid="{00000000-0005-0000-0000-000092020000}"/>
    <cellStyle name="Estilo 1 181" xfId="659" xr:uid="{00000000-0005-0000-0000-000093020000}"/>
    <cellStyle name="Estilo 1 181 2" xfId="660" xr:uid="{00000000-0005-0000-0000-000094020000}"/>
    <cellStyle name="Estilo 1 182" xfId="661" xr:uid="{00000000-0005-0000-0000-000095020000}"/>
    <cellStyle name="Estilo 1 182 2" xfId="662" xr:uid="{00000000-0005-0000-0000-000096020000}"/>
    <cellStyle name="Estilo 1 183" xfId="663" xr:uid="{00000000-0005-0000-0000-000097020000}"/>
    <cellStyle name="Estilo 1 183 2" xfId="664" xr:uid="{00000000-0005-0000-0000-000098020000}"/>
    <cellStyle name="Estilo 1 184" xfId="665" xr:uid="{00000000-0005-0000-0000-000099020000}"/>
    <cellStyle name="Estilo 1 184 2" xfId="666" xr:uid="{00000000-0005-0000-0000-00009A020000}"/>
    <cellStyle name="Estilo 1 185" xfId="667" xr:uid="{00000000-0005-0000-0000-00009B020000}"/>
    <cellStyle name="Estilo 1 185 2" xfId="668" xr:uid="{00000000-0005-0000-0000-00009C020000}"/>
    <cellStyle name="Estilo 1 186" xfId="669" xr:uid="{00000000-0005-0000-0000-00009D020000}"/>
    <cellStyle name="Estilo 1 186 2" xfId="670" xr:uid="{00000000-0005-0000-0000-00009E020000}"/>
    <cellStyle name="Estilo 1 187" xfId="671" xr:uid="{00000000-0005-0000-0000-00009F020000}"/>
    <cellStyle name="Estilo 1 187 2" xfId="672" xr:uid="{00000000-0005-0000-0000-0000A0020000}"/>
    <cellStyle name="Estilo 1 188" xfId="673" xr:uid="{00000000-0005-0000-0000-0000A1020000}"/>
    <cellStyle name="Estilo 1 188 2" xfId="674" xr:uid="{00000000-0005-0000-0000-0000A2020000}"/>
    <cellStyle name="Estilo 1 189" xfId="675" xr:uid="{00000000-0005-0000-0000-0000A3020000}"/>
    <cellStyle name="Estilo 1 189 2" xfId="676" xr:uid="{00000000-0005-0000-0000-0000A4020000}"/>
    <cellStyle name="Estilo 1 19" xfId="677" xr:uid="{00000000-0005-0000-0000-0000A5020000}"/>
    <cellStyle name="Estilo 1 19 2" xfId="678" xr:uid="{00000000-0005-0000-0000-0000A6020000}"/>
    <cellStyle name="Estilo 1 19 3" xfId="679" xr:uid="{00000000-0005-0000-0000-0000A7020000}"/>
    <cellStyle name="Estilo 1 19_Enlaces" xfId="680" xr:uid="{00000000-0005-0000-0000-0000A8020000}"/>
    <cellStyle name="Estilo 1 190" xfId="681" xr:uid="{00000000-0005-0000-0000-0000A9020000}"/>
    <cellStyle name="Estilo 1 190 2" xfId="682" xr:uid="{00000000-0005-0000-0000-0000AA020000}"/>
    <cellStyle name="Estilo 1 191" xfId="683" xr:uid="{00000000-0005-0000-0000-0000AB020000}"/>
    <cellStyle name="Estilo 1 191 2" xfId="684" xr:uid="{00000000-0005-0000-0000-0000AC020000}"/>
    <cellStyle name="Estilo 1 192" xfId="685" xr:uid="{00000000-0005-0000-0000-0000AD020000}"/>
    <cellStyle name="Estilo 1 192 2" xfId="686" xr:uid="{00000000-0005-0000-0000-0000AE020000}"/>
    <cellStyle name="Estilo 1 193" xfId="687" xr:uid="{00000000-0005-0000-0000-0000AF020000}"/>
    <cellStyle name="Estilo 1 193 2" xfId="688" xr:uid="{00000000-0005-0000-0000-0000B0020000}"/>
    <cellStyle name="Estilo 1 194" xfId="689" xr:uid="{00000000-0005-0000-0000-0000B1020000}"/>
    <cellStyle name="Estilo 1 194 2" xfId="690" xr:uid="{00000000-0005-0000-0000-0000B2020000}"/>
    <cellStyle name="Estilo 1 195" xfId="691" xr:uid="{00000000-0005-0000-0000-0000B3020000}"/>
    <cellStyle name="Estilo 1 195 2" xfId="692" xr:uid="{00000000-0005-0000-0000-0000B4020000}"/>
    <cellStyle name="Estilo 1 196" xfId="693" xr:uid="{00000000-0005-0000-0000-0000B5020000}"/>
    <cellStyle name="Estilo 1 196 2" xfId="694" xr:uid="{00000000-0005-0000-0000-0000B6020000}"/>
    <cellStyle name="Estilo 1 197" xfId="695" xr:uid="{00000000-0005-0000-0000-0000B7020000}"/>
    <cellStyle name="Estilo 1 197 2" xfId="696" xr:uid="{00000000-0005-0000-0000-0000B8020000}"/>
    <cellStyle name="Estilo 1 198" xfId="697" xr:uid="{00000000-0005-0000-0000-0000B9020000}"/>
    <cellStyle name="Estilo 1 198 2" xfId="698" xr:uid="{00000000-0005-0000-0000-0000BA020000}"/>
    <cellStyle name="Estilo 1 199" xfId="699" xr:uid="{00000000-0005-0000-0000-0000BB020000}"/>
    <cellStyle name="Estilo 1 199 2" xfId="700" xr:uid="{00000000-0005-0000-0000-0000BC020000}"/>
    <cellStyle name="Estilo 1 2" xfId="701" xr:uid="{00000000-0005-0000-0000-0000BD020000}"/>
    <cellStyle name="Estilo 1 2 2" xfId="702" xr:uid="{00000000-0005-0000-0000-0000BE020000}"/>
    <cellStyle name="Estilo 1 2 2 2" xfId="703" xr:uid="{00000000-0005-0000-0000-0000BF020000}"/>
    <cellStyle name="Estilo 1 2 3" xfId="704" xr:uid="{00000000-0005-0000-0000-0000C0020000}"/>
    <cellStyle name="Estilo 1 2 3 2" xfId="705" xr:uid="{00000000-0005-0000-0000-0000C1020000}"/>
    <cellStyle name="Estilo 1 2 4" xfId="706" xr:uid="{00000000-0005-0000-0000-0000C2020000}"/>
    <cellStyle name="Estilo 1 2 4 2" xfId="707" xr:uid="{00000000-0005-0000-0000-0000C3020000}"/>
    <cellStyle name="Estilo 1 2 5" xfId="708" xr:uid="{00000000-0005-0000-0000-0000C4020000}"/>
    <cellStyle name="Estilo 1 2 6" xfId="709" xr:uid="{00000000-0005-0000-0000-0000C5020000}"/>
    <cellStyle name="Estilo 1 2 7" xfId="710" xr:uid="{00000000-0005-0000-0000-0000C6020000}"/>
    <cellStyle name="Estilo 1 2 7 2" xfId="711" xr:uid="{00000000-0005-0000-0000-0000C7020000}"/>
    <cellStyle name="Estilo 1 2_Enlaces" xfId="712" xr:uid="{00000000-0005-0000-0000-0000C8020000}"/>
    <cellStyle name="Estilo 1 20" xfId="713" xr:uid="{00000000-0005-0000-0000-0000C9020000}"/>
    <cellStyle name="Estilo 1 20 2" xfId="714" xr:uid="{00000000-0005-0000-0000-0000CA020000}"/>
    <cellStyle name="Estilo 1 20 3" xfId="715" xr:uid="{00000000-0005-0000-0000-0000CB020000}"/>
    <cellStyle name="Estilo 1 20_Enlaces" xfId="716" xr:uid="{00000000-0005-0000-0000-0000CC020000}"/>
    <cellStyle name="Estilo 1 200" xfId="717" xr:uid="{00000000-0005-0000-0000-0000CD020000}"/>
    <cellStyle name="Estilo 1 200 2" xfId="718" xr:uid="{00000000-0005-0000-0000-0000CE020000}"/>
    <cellStyle name="Estilo 1 21" xfId="719" xr:uid="{00000000-0005-0000-0000-0000CF020000}"/>
    <cellStyle name="Estilo 1 21 2" xfId="720" xr:uid="{00000000-0005-0000-0000-0000D0020000}"/>
    <cellStyle name="Estilo 1 21_Enlaces" xfId="721" xr:uid="{00000000-0005-0000-0000-0000D1020000}"/>
    <cellStyle name="Estilo 1 22" xfId="722" xr:uid="{00000000-0005-0000-0000-0000D2020000}"/>
    <cellStyle name="Estilo 1 22 2" xfId="723" xr:uid="{00000000-0005-0000-0000-0000D3020000}"/>
    <cellStyle name="Estilo 1 22_Enlaces" xfId="724" xr:uid="{00000000-0005-0000-0000-0000D4020000}"/>
    <cellStyle name="Estilo 1 23" xfId="725" xr:uid="{00000000-0005-0000-0000-0000D5020000}"/>
    <cellStyle name="Estilo 1 23 2" xfId="726" xr:uid="{00000000-0005-0000-0000-0000D6020000}"/>
    <cellStyle name="Estilo 1 23_Enlaces" xfId="727" xr:uid="{00000000-0005-0000-0000-0000D7020000}"/>
    <cellStyle name="Estilo 1 24" xfId="728" xr:uid="{00000000-0005-0000-0000-0000D8020000}"/>
    <cellStyle name="Estilo 1 24 2" xfId="729" xr:uid="{00000000-0005-0000-0000-0000D9020000}"/>
    <cellStyle name="Estilo 1 24_Enlaces" xfId="730" xr:uid="{00000000-0005-0000-0000-0000DA020000}"/>
    <cellStyle name="Estilo 1 25" xfId="731" xr:uid="{00000000-0005-0000-0000-0000DB020000}"/>
    <cellStyle name="Estilo 1 25 2" xfId="732" xr:uid="{00000000-0005-0000-0000-0000DC020000}"/>
    <cellStyle name="Estilo 1 25_Enlaces" xfId="733" xr:uid="{00000000-0005-0000-0000-0000DD020000}"/>
    <cellStyle name="Estilo 1 26" xfId="734" xr:uid="{00000000-0005-0000-0000-0000DE020000}"/>
    <cellStyle name="Estilo 1 26 2" xfId="735" xr:uid="{00000000-0005-0000-0000-0000DF020000}"/>
    <cellStyle name="Estilo 1 26_Enlaces" xfId="736" xr:uid="{00000000-0005-0000-0000-0000E0020000}"/>
    <cellStyle name="Estilo 1 27" xfId="737" xr:uid="{00000000-0005-0000-0000-0000E1020000}"/>
    <cellStyle name="Estilo 1 27 2" xfId="738" xr:uid="{00000000-0005-0000-0000-0000E2020000}"/>
    <cellStyle name="Estilo 1 27_Enlaces" xfId="739" xr:uid="{00000000-0005-0000-0000-0000E3020000}"/>
    <cellStyle name="Estilo 1 28" xfId="740" xr:uid="{00000000-0005-0000-0000-0000E4020000}"/>
    <cellStyle name="Estilo 1 29" xfId="741" xr:uid="{00000000-0005-0000-0000-0000E5020000}"/>
    <cellStyle name="Estilo 1 3" xfId="742" xr:uid="{00000000-0005-0000-0000-0000E6020000}"/>
    <cellStyle name="Estilo 1 3 2" xfId="743" xr:uid="{00000000-0005-0000-0000-0000E7020000}"/>
    <cellStyle name="Estilo 1 3 3" xfId="744" xr:uid="{00000000-0005-0000-0000-0000E8020000}"/>
    <cellStyle name="Estilo 1 3_Enlaces" xfId="745" xr:uid="{00000000-0005-0000-0000-0000E9020000}"/>
    <cellStyle name="Estilo 1 30" xfId="746" xr:uid="{00000000-0005-0000-0000-0000EA020000}"/>
    <cellStyle name="Estilo 1 31" xfId="747" xr:uid="{00000000-0005-0000-0000-0000EB020000}"/>
    <cellStyle name="Estilo 1 32" xfId="748" xr:uid="{00000000-0005-0000-0000-0000EC020000}"/>
    <cellStyle name="Estilo 1 33" xfId="749" xr:uid="{00000000-0005-0000-0000-0000ED020000}"/>
    <cellStyle name="Estilo 1 34" xfId="750" xr:uid="{00000000-0005-0000-0000-0000EE020000}"/>
    <cellStyle name="Estilo 1 35" xfId="751" xr:uid="{00000000-0005-0000-0000-0000EF020000}"/>
    <cellStyle name="Estilo 1 36" xfId="752" xr:uid="{00000000-0005-0000-0000-0000F0020000}"/>
    <cellStyle name="Estilo 1 37" xfId="753" xr:uid="{00000000-0005-0000-0000-0000F1020000}"/>
    <cellStyle name="Estilo 1 38" xfId="754" xr:uid="{00000000-0005-0000-0000-0000F2020000}"/>
    <cellStyle name="Estilo 1 39" xfId="755" xr:uid="{00000000-0005-0000-0000-0000F3020000}"/>
    <cellStyle name="Estilo 1 4" xfId="756" xr:uid="{00000000-0005-0000-0000-0000F4020000}"/>
    <cellStyle name="Estilo 1 4 2" xfId="757" xr:uid="{00000000-0005-0000-0000-0000F5020000}"/>
    <cellStyle name="Estilo 1 4 3" xfId="758" xr:uid="{00000000-0005-0000-0000-0000F6020000}"/>
    <cellStyle name="Estilo 1 4_Enlaces" xfId="759" xr:uid="{00000000-0005-0000-0000-0000F7020000}"/>
    <cellStyle name="Estilo 1 40" xfId="760" xr:uid="{00000000-0005-0000-0000-0000F8020000}"/>
    <cellStyle name="Estilo 1 41" xfId="761" xr:uid="{00000000-0005-0000-0000-0000F9020000}"/>
    <cellStyle name="Estilo 1 42" xfId="762" xr:uid="{00000000-0005-0000-0000-0000FA020000}"/>
    <cellStyle name="Estilo 1 43" xfId="763" xr:uid="{00000000-0005-0000-0000-0000FB020000}"/>
    <cellStyle name="Estilo 1 44" xfId="764" xr:uid="{00000000-0005-0000-0000-0000FC020000}"/>
    <cellStyle name="Estilo 1 45" xfId="765" xr:uid="{00000000-0005-0000-0000-0000FD020000}"/>
    <cellStyle name="Estilo 1 46" xfId="766" xr:uid="{00000000-0005-0000-0000-0000FE020000}"/>
    <cellStyle name="Estilo 1 47" xfId="767" xr:uid="{00000000-0005-0000-0000-0000FF020000}"/>
    <cellStyle name="Estilo 1 48" xfId="768" xr:uid="{00000000-0005-0000-0000-000000030000}"/>
    <cellStyle name="Estilo 1 49" xfId="769" xr:uid="{00000000-0005-0000-0000-000001030000}"/>
    <cellStyle name="Estilo 1 5" xfId="770" xr:uid="{00000000-0005-0000-0000-000002030000}"/>
    <cellStyle name="Estilo 1 5 2" xfId="771" xr:uid="{00000000-0005-0000-0000-000003030000}"/>
    <cellStyle name="Estilo 1 5 3" xfId="772" xr:uid="{00000000-0005-0000-0000-000004030000}"/>
    <cellStyle name="Estilo 1 5_Enlaces" xfId="773" xr:uid="{00000000-0005-0000-0000-000005030000}"/>
    <cellStyle name="Estilo 1 50" xfId="774" xr:uid="{00000000-0005-0000-0000-000006030000}"/>
    <cellStyle name="Estilo 1 51" xfId="775" xr:uid="{00000000-0005-0000-0000-000007030000}"/>
    <cellStyle name="Estilo 1 52" xfId="776" xr:uid="{00000000-0005-0000-0000-000008030000}"/>
    <cellStyle name="Estilo 1 53" xfId="777" xr:uid="{00000000-0005-0000-0000-000009030000}"/>
    <cellStyle name="Estilo 1 54" xfId="778" xr:uid="{00000000-0005-0000-0000-00000A030000}"/>
    <cellStyle name="Estilo 1 55" xfId="779" xr:uid="{00000000-0005-0000-0000-00000B030000}"/>
    <cellStyle name="Estilo 1 56" xfId="780" xr:uid="{00000000-0005-0000-0000-00000C030000}"/>
    <cellStyle name="Estilo 1 57" xfId="781" xr:uid="{00000000-0005-0000-0000-00000D030000}"/>
    <cellStyle name="Estilo 1 57 2" xfId="782" xr:uid="{00000000-0005-0000-0000-00000E030000}"/>
    <cellStyle name="Estilo 1 57 3" xfId="783" xr:uid="{00000000-0005-0000-0000-00000F030000}"/>
    <cellStyle name="Estilo 1 57 4" xfId="784" xr:uid="{00000000-0005-0000-0000-000010030000}"/>
    <cellStyle name="Estilo 1 57 5" xfId="785" xr:uid="{00000000-0005-0000-0000-000011030000}"/>
    <cellStyle name="Estilo 1 57 6" xfId="786" xr:uid="{00000000-0005-0000-0000-000012030000}"/>
    <cellStyle name="Estilo 1 58" xfId="787" xr:uid="{00000000-0005-0000-0000-000013030000}"/>
    <cellStyle name="Estilo 1 58 2" xfId="788" xr:uid="{00000000-0005-0000-0000-000014030000}"/>
    <cellStyle name="Estilo 1 58 3" xfId="789" xr:uid="{00000000-0005-0000-0000-000015030000}"/>
    <cellStyle name="Estilo 1 58 4" xfId="790" xr:uid="{00000000-0005-0000-0000-000016030000}"/>
    <cellStyle name="Estilo 1 58 5" xfId="791" xr:uid="{00000000-0005-0000-0000-000017030000}"/>
    <cellStyle name="Estilo 1 58 6" xfId="792" xr:uid="{00000000-0005-0000-0000-000018030000}"/>
    <cellStyle name="Estilo 1 59" xfId="793" xr:uid="{00000000-0005-0000-0000-000019030000}"/>
    <cellStyle name="Estilo 1 59 2" xfId="794" xr:uid="{00000000-0005-0000-0000-00001A030000}"/>
    <cellStyle name="Estilo 1 59 3" xfId="795" xr:uid="{00000000-0005-0000-0000-00001B030000}"/>
    <cellStyle name="Estilo 1 6" xfId="796" xr:uid="{00000000-0005-0000-0000-00001C030000}"/>
    <cellStyle name="Estilo 1 6 2" xfId="797" xr:uid="{00000000-0005-0000-0000-00001D030000}"/>
    <cellStyle name="Estilo 1 6 3" xfId="798" xr:uid="{00000000-0005-0000-0000-00001E030000}"/>
    <cellStyle name="Estilo 1 6_Enlaces" xfId="799" xr:uid="{00000000-0005-0000-0000-00001F030000}"/>
    <cellStyle name="Estilo 1 60" xfId="800" xr:uid="{00000000-0005-0000-0000-000020030000}"/>
    <cellStyle name="Estilo 1 60 2" xfId="801" xr:uid="{00000000-0005-0000-0000-000021030000}"/>
    <cellStyle name="Estilo 1 60 3" xfId="802" xr:uid="{00000000-0005-0000-0000-000022030000}"/>
    <cellStyle name="Estilo 1 61" xfId="803" xr:uid="{00000000-0005-0000-0000-000023030000}"/>
    <cellStyle name="Estilo 1 61 2" xfId="804" xr:uid="{00000000-0005-0000-0000-000024030000}"/>
    <cellStyle name="Estilo 1 61 3" xfId="805" xr:uid="{00000000-0005-0000-0000-000025030000}"/>
    <cellStyle name="Estilo 1 62" xfId="806" xr:uid="{00000000-0005-0000-0000-000026030000}"/>
    <cellStyle name="Estilo 1 62 2" xfId="807" xr:uid="{00000000-0005-0000-0000-000027030000}"/>
    <cellStyle name="Estilo 1 62 3" xfId="808" xr:uid="{00000000-0005-0000-0000-000028030000}"/>
    <cellStyle name="Estilo 1 63" xfId="809" xr:uid="{00000000-0005-0000-0000-000029030000}"/>
    <cellStyle name="Estilo 1 63 2" xfId="810" xr:uid="{00000000-0005-0000-0000-00002A030000}"/>
    <cellStyle name="Estilo 1 63 3" xfId="811" xr:uid="{00000000-0005-0000-0000-00002B030000}"/>
    <cellStyle name="Estilo 1 64" xfId="812" xr:uid="{00000000-0005-0000-0000-00002C030000}"/>
    <cellStyle name="Estilo 1 64 2" xfId="813" xr:uid="{00000000-0005-0000-0000-00002D030000}"/>
    <cellStyle name="Estilo 1 64 3" xfId="814" xr:uid="{00000000-0005-0000-0000-00002E030000}"/>
    <cellStyle name="Estilo 1 65" xfId="815" xr:uid="{00000000-0005-0000-0000-00002F030000}"/>
    <cellStyle name="Estilo 1 65 2" xfId="816" xr:uid="{00000000-0005-0000-0000-000030030000}"/>
    <cellStyle name="Estilo 1 65 3" xfId="817" xr:uid="{00000000-0005-0000-0000-000031030000}"/>
    <cellStyle name="Estilo 1 66" xfId="818" xr:uid="{00000000-0005-0000-0000-000032030000}"/>
    <cellStyle name="Estilo 1 66 2" xfId="819" xr:uid="{00000000-0005-0000-0000-000033030000}"/>
    <cellStyle name="Estilo 1 66 3" xfId="820" xr:uid="{00000000-0005-0000-0000-000034030000}"/>
    <cellStyle name="Estilo 1 67" xfId="821" xr:uid="{00000000-0005-0000-0000-000035030000}"/>
    <cellStyle name="Estilo 1 67 2" xfId="822" xr:uid="{00000000-0005-0000-0000-000036030000}"/>
    <cellStyle name="Estilo 1 67 3" xfId="823" xr:uid="{00000000-0005-0000-0000-000037030000}"/>
    <cellStyle name="Estilo 1 68" xfId="824" xr:uid="{00000000-0005-0000-0000-000038030000}"/>
    <cellStyle name="Estilo 1 68 2" xfId="825" xr:uid="{00000000-0005-0000-0000-000039030000}"/>
    <cellStyle name="Estilo 1 68 3" xfId="826" xr:uid="{00000000-0005-0000-0000-00003A030000}"/>
    <cellStyle name="Estilo 1 69" xfId="827" xr:uid="{00000000-0005-0000-0000-00003B030000}"/>
    <cellStyle name="Estilo 1 69 2" xfId="828" xr:uid="{00000000-0005-0000-0000-00003C030000}"/>
    <cellStyle name="Estilo 1 69 3" xfId="829" xr:uid="{00000000-0005-0000-0000-00003D030000}"/>
    <cellStyle name="Estilo 1 7" xfId="830" xr:uid="{00000000-0005-0000-0000-00003E030000}"/>
    <cellStyle name="Estilo 1 7 2" xfId="831" xr:uid="{00000000-0005-0000-0000-00003F030000}"/>
    <cellStyle name="Estilo 1 7 3" xfId="832" xr:uid="{00000000-0005-0000-0000-000040030000}"/>
    <cellStyle name="Estilo 1 7_Enlaces" xfId="833" xr:uid="{00000000-0005-0000-0000-000041030000}"/>
    <cellStyle name="Estilo 1 70" xfId="834" xr:uid="{00000000-0005-0000-0000-000042030000}"/>
    <cellStyle name="Estilo 1 70 2" xfId="835" xr:uid="{00000000-0005-0000-0000-000043030000}"/>
    <cellStyle name="Estilo 1 70 3" xfId="836" xr:uid="{00000000-0005-0000-0000-000044030000}"/>
    <cellStyle name="Estilo 1 71" xfId="837" xr:uid="{00000000-0005-0000-0000-000045030000}"/>
    <cellStyle name="Estilo 1 71 2" xfId="838" xr:uid="{00000000-0005-0000-0000-000046030000}"/>
    <cellStyle name="Estilo 1 71 3" xfId="839" xr:uid="{00000000-0005-0000-0000-000047030000}"/>
    <cellStyle name="Estilo 1 72" xfId="840" xr:uid="{00000000-0005-0000-0000-000048030000}"/>
    <cellStyle name="Estilo 1 72 2" xfId="841" xr:uid="{00000000-0005-0000-0000-000049030000}"/>
    <cellStyle name="Estilo 1 72 3" xfId="842" xr:uid="{00000000-0005-0000-0000-00004A030000}"/>
    <cellStyle name="Estilo 1 73" xfId="843" xr:uid="{00000000-0005-0000-0000-00004B030000}"/>
    <cellStyle name="Estilo 1 73 2" xfId="844" xr:uid="{00000000-0005-0000-0000-00004C030000}"/>
    <cellStyle name="Estilo 1 73 3" xfId="845" xr:uid="{00000000-0005-0000-0000-00004D030000}"/>
    <cellStyle name="Estilo 1 74" xfId="846" xr:uid="{00000000-0005-0000-0000-00004E030000}"/>
    <cellStyle name="Estilo 1 74 2" xfId="847" xr:uid="{00000000-0005-0000-0000-00004F030000}"/>
    <cellStyle name="Estilo 1 74 3" xfId="848" xr:uid="{00000000-0005-0000-0000-000050030000}"/>
    <cellStyle name="Estilo 1 75" xfId="849" xr:uid="{00000000-0005-0000-0000-000051030000}"/>
    <cellStyle name="Estilo 1 75 2" xfId="850" xr:uid="{00000000-0005-0000-0000-000052030000}"/>
    <cellStyle name="Estilo 1 75 3" xfId="851" xr:uid="{00000000-0005-0000-0000-000053030000}"/>
    <cellStyle name="Estilo 1 76" xfId="852" xr:uid="{00000000-0005-0000-0000-000054030000}"/>
    <cellStyle name="Estilo 1 76 2" xfId="853" xr:uid="{00000000-0005-0000-0000-000055030000}"/>
    <cellStyle name="Estilo 1 76 3" xfId="854" xr:uid="{00000000-0005-0000-0000-000056030000}"/>
    <cellStyle name="Estilo 1 77" xfId="855" xr:uid="{00000000-0005-0000-0000-000057030000}"/>
    <cellStyle name="Estilo 1 77 2" xfId="856" xr:uid="{00000000-0005-0000-0000-000058030000}"/>
    <cellStyle name="Estilo 1 77 3" xfId="857" xr:uid="{00000000-0005-0000-0000-000059030000}"/>
    <cellStyle name="Estilo 1 78" xfId="858" xr:uid="{00000000-0005-0000-0000-00005A030000}"/>
    <cellStyle name="Estilo 1 78 2" xfId="859" xr:uid="{00000000-0005-0000-0000-00005B030000}"/>
    <cellStyle name="Estilo 1 78 3" xfId="860" xr:uid="{00000000-0005-0000-0000-00005C030000}"/>
    <cellStyle name="Estilo 1 79" xfId="861" xr:uid="{00000000-0005-0000-0000-00005D030000}"/>
    <cellStyle name="Estilo 1 79 2" xfId="862" xr:uid="{00000000-0005-0000-0000-00005E030000}"/>
    <cellStyle name="Estilo 1 79 3" xfId="863" xr:uid="{00000000-0005-0000-0000-00005F030000}"/>
    <cellStyle name="Estilo 1 8" xfId="864" xr:uid="{00000000-0005-0000-0000-000060030000}"/>
    <cellStyle name="Estilo 1 8 2" xfId="865" xr:uid="{00000000-0005-0000-0000-000061030000}"/>
    <cellStyle name="Estilo 1 8 3" xfId="866" xr:uid="{00000000-0005-0000-0000-000062030000}"/>
    <cellStyle name="Estilo 1 8_Enlaces" xfId="867" xr:uid="{00000000-0005-0000-0000-000063030000}"/>
    <cellStyle name="Estilo 1 80" xfId="868" xr:uid="{00000000-0005-0000-0000-000064030000}"/>
    <cellStyle name="Estilo 1 80 2" xfId="869" xr:uid="{00000000-0005-0000-0000-000065030000}"/>
    <cellStyle name="Estilo 1 80 3" xfId="870" xr:uid="{00000000-0005-0000-0000-000066030000}"/>
    <cellStyle name="Estilo 1 81" xfId="871" xr:uid="{00000000-0005-0000-0000-000067030000}"/>
    <cellStyle name="Estilo 1 81 2" xfId="872" xr:uid="{00000000-0005-0000-0000-000068030000}"/>
    <cellStyle name="Estilo 1 81 3" xfId="873" xr:uid="{00000000-0005-0000-0000-000069030000}"/>
    <cellStyle name="Estilo 1 82" xfId="874" xr:uid="{00000000-0005-0000-0000-00006A030000}"/>
    <cellStyle name="Estilo 1 82 2" xfId="875" xr:uid="{00000000-0005-0000-0000-00006B030000}"/>
    <cellStyle name="Estilo 1 82 3" xfId="876" xr:uid="{00000000-0005-0000-0000-00006C030000}"/>
    <cellStyle name="Estilo 1 83" xfId="877" xr:uid="{00000000-0005-0000-0000-00006D030000}"/>
    <cellStyle name="Estilo 1 84" xfId="878" xr:uid="{00000000-0005-0000-0000-00006E030000}"/>
    <cellStyle name="Estilo 1 85" xfId="879" xr:uid="{00000000-0005-0000-0000-00006F030000}"/>
    <cellStyle name="Estilo 1 86" xfId="880" xr:uid="{00000000-0005-0000-0000-000070030000}"/>
    <cellStyle name="Estilo 1 87" xfId="881" xr:uid="{00000000-0005-0000-0000-000071030000}"/>
    <cellStyle name="Estilo 1 88" xfId="882" xr:uid="{00000000-0005-0000-0000-000072030000}"/>
    <cellStyle name="Estilo 1 89" xfId="883" xr:uid="{00000000-0005-0000-0000-000073030000}"/>
    <cellStyle name="Estilo 1 9" xfId="884" xr:uid="{00000000-0005-0000-0000-000074030000}"/>
    <cellStyle name="Estilo 1 9 2" xfId="885" xr:uid="{00000000-0005-0000-0000-000075030000}"/>
    <cellStyle name="Estilo 1 9 3" xfId="886" xr:uid="{00000000-0005-0000-0000-000076030000}"/>
    <cellStyle name="Estilo 1 9_Enlaces" xfId="887" xr:uid="{00000000-0005-0000-0000-000077030000}"/>
    <cellStyle name="Estilo 1 90" xfId="888" xr:uid="{00000000-0005-0000-0000-000078030000}"/>
    <cellStyle name="Estilo 1 90 2" xfId="889" xr:uid="{00000000-0005-0000-0000-000079030000}"/>
    <cellStyle name="Estilo 1 91" xfId="890" xr:uid="{00000000-0005-0000-0000-00007A030000}"/>
    <cellStyle name="Estilo 1 91 2" xfId="891" xr:uid="{00000000-0005-0000-0000-00007B030000}"/>
    <cellStyle name="Estilo 1 92" xfId="892" xr:uid="{00000000-0005-0000-0000-00007C030000}"/>
    <cellStyle name="Estilo 1 92 2" xfId="893" xr:uid="{00000000-0005-0000-0000-00007D030000}"/>
    <cellStyle name="Estilo 1 93" xfId="894" xr:uid="{00000000-0005-0000-0000-00007E030000}"/>
    <cellStyle name="Estilo 1 93 2" xfId="895" xr:uid="{00000000-0005-0000-0000-00007F030000}"/>
    <cellStyle name="Estilo 1 94" xfId="896" xr:uid="{00000000-0005-0000-0000-000080030000}"/>
    <cellStyle name="Estilo 1 94 2" xfId="897" xr:uid="{00000000-0005-0000-0000-000081030000}"/>
    <cellStyle name="Estilo 1 95" xfId="898" xr:uid="{00000000-0005-0000-0000-000082030000}"/>
    <cellStyle name="Estilo 1 95 2" xfId="899" xr:uid="{00000000-0005-0000-0000-000083030000}"/>
    <cellStyle name="Estilo 1 96" xfId="900" xr:uid="{00000000-0005-0000-0000-000084030000}"/>
    <cellStyle name="Estilo 1 96 2" xfId="901" xr:uid="{00000000-0005-0000-0000-000085030000}"/>
    <cellStyle name="Estilo 1 97" xfId="902" xr:uid="{00000000-0005-0000-0000-000086030000}"/>
    <cellStyle name="Estilo 1 97 2" xfId="903" xr:uid="{00000000-0005-0000-0000-000087030000}"/>
    <cellStyle name="Estilo 1 98" xfId="904" xr:uid="{00000000-0005-0000-0000-000088030000}"/>
    <cellStyle name="Estilo 1 98 2" xfId="905" xr:uid="{00000000-0005-0000-0000-000089030000}"/>
    <cellStyle name="Estilo 1 99" xfId="906" xr:uid="{00000000-0005-0000-0000-00008A030000}"/>
    <cellStyle name="Estilo 1 99 2" xfId="907" xr:uid="{00000000-0005-0000-0000-00008B030000}"/>
    <cellStyle name="Estilo 1_Enlaces" xfId="908" xr:uid="{00000000-0005-0000-0000-00008C030000}"/>
    <cellStyle name="Euro" xfId="909" xr:uid="{00000000-0005-0000-0000-00008D030000}"/>
    <cellStyle name="Euro 10" xfId="910" xr:uid="{00000000-0005-0000-0000-00008E030000}"/>
    <cellStyle name="Euro 11" xfId="911" xr:uid="{00000000-0005-0000-0000-00008F030000}"/>
    <cellStyle name="Euro 12" xfId="912" xr:uid="{00000000-0005-0000-0000-000090030000}"/>
    <cellStyle name="Euro 13" xfId="913" xr:uid="{00000000-0005-0000-0000-000091030000}"/>
    <cellStyle name="Euro 14" xfId="914" xr:uid="{00000000-0005-0000-0000-000092030000}"/>
    <cellStyle name="Euro 15" xfId="915" xr:uid="{00000000-0005-0000-0000-000093030000}"/>
    <cellStyle name="Euro 16" xfId="916" xr:uid="{00000000-0005-0000-0000-000094030000}"/>
    <cellStyle name="Euro 17" xfId="917" xr:uid="{00000000-0005-0000-0000-000095030000}"/>
    <cellStyle name="Euro 18" xfId="918" xr:uid="{00000000-0005-0000-0000-000096030000}"/>
    <cellStyle name="Euro 19" xfId="919" xr:uid="{00000000-0005-0000-0000-000097030000}"/>
    <cellStyle name="Euro 2" xfId="920" xr:uid="{00000000-0005-0000-0000-000098030000}"/>
    <cellStyle name="Euro 2 2" xfId="921" xr:uid="{00000000-0005-0000-0000-000099030000}"/>
    <cellStyle name="Euro 20" xfId="922" xr:uid="{00000000-0005-0000-0000-00009A030000}"/>
    <cellStyle name="Euro 21" xfId="923" xr:uid="{00000000-0005-0000-0000-00009B030000}"/>
    <cellStyle name="Euro 3" xfId="924" xr:uid="{00000000-0005-0000-0000-00009C030000}"/>
    <cellStyle name="Euro 4" xfId="925" xr:uid="{00000000-0005-0000-0000-00009D030000}"/>
    <cellStyle name="Euro 5" xfId="926" xr:uid="{00000000-0005-0000-0000-00009E030000}"/>
    <cellStyle name="Euro 6" xfId="927" xr:uid="{00000000-0005-0000-0000-00009F030000}"/>
    <cellStyle name="Euro 7" xfId="928" xr:uid="{00000000-0005-0000-0000-0000A0030000}"/>
    <cellStyle name="Euro 8" xfId="929" xr:uid="{00000000-0005-0000-0000-0000A1030000}"/>
    <cellStyle name="Euro 9" xfId="930" xr:uid="{00000000-0005-0000-0000-0000A2030000}"/>
    <cellStyle name="Excel Built-in Normal" xfId="4" xr:uid="{00000000-0005-0000-0000-000004000000}"/>
    <cellStyle name="Excel Built-in Normal 2" xfId="931" xr:uid="{00000000-0005-0000-0000-0000A3030000}"/>
    <cellStyle name="Excel Built-in Normal 2 2" xfId="932" xr:uid="{00000000-0005-0000-0000-0000A4030000}"/>
    <cellStyle name="Excel Built-in Normal 3" xfId="933" xr:uid="{00000000-0005-0000-0000-0000A5030000}"/>
    <cellStyle name="Explanatory Text" xfId="934" xr:uid="{00000000-0005-0000-0000-0000A6030000}"/>
    <cellStyle name="Explanatory Text 2" xfId="935" xr:uid="{00000000-0005-0000-0000-0000A7030000}"/>
    <cellStyle name="Explanatory Text 3" xfId="936" xr:uid="{00000000-0005-0000-0000-0000A8030000}"/>
    <cellStyle name="Explanatory Text 4" xfId="937" xr:uid="{00000000-0005-0000-0000-0000A9030000}"/>
    <cellStyle name="Explanatory Text 5" xfId="938" xr:uid="{00000000-0005-0000-0000-0000AA030000}"/>
    <cellStyle name="Good" xfId="939" xr:uid="{00000000-0005-0000-0000-0000AB030000}"/>
    <cellStyle name="Good 2" xfId="940" xr:uid="{00000000-0005-0000-0000-0000AC030000}"/>
    <cellStyle name="Good 3" xfId="941" xr:uid="{00000000-0005-0000-0000-0000AD030000}"/>
    <cellStyle name="Good 4" xfId="942" xr:uid="{00000000-0005-0000-0000-0000AE030000}"/>
    <cellStyle name="Good 5" xfId="943" xr:uid="{00000000-0005-0000-0000-0000AF030000}"/>
    <cellStyle name="Heading 1" xfId="944" xr:uid="{00000000-0005-0000-0000-0000B0030000}"/>
    <cellStyle name="Heading 1 2" xfId="945" xr:uid="{00000000-0005-0000-0000-0000B1030000}"/>
    <cellStyle name="Heading 1 3" xfId="946" xr:uid="{00000000-0005-0000-0000-0000B2030000}"/>
    <cellStyle name="Heading 1 4" xfId="947" xr:uid="{00000000-0005-0000-0000-0000B3030000}"/>
    <cellStyle name="Heading 1 5" xfId="948" xr:uid="{00000000-0005-0000-0000-0000B4030000}"/>
    <cellStyle name="Heading 2" xfId="949" xr:uid="{00000000-0005-0000-0000-0000B5030000}"/>
    <cellStyle name="Heading 2 2" xfId="950" xr:uid="{00000000-0005-0000-0000-0000B6030000}"/>
    <cellStyle name="Heading 2 3" xfId="951" xr:uid="{00000000-0005-0000-0000-0000B7030000}"/>
    <cellStyle name="Heading 2 4" xfId="952" xr:uid="{00000000-0005-0000-0000-0000B8030000}"/>
    <cellStyle name="Heading 2 5" xfId="953" xr:uid="{00000000-0005-0000-0000-0000B9030000}"/>
    <cellStyle name="Heading 3" xfId="954" xr:uid="{00000000-0005-0000-0000-0000BA030000}"/>
    <cellStyle name="Heading 3 2" xfId="955" xr:uid="{00000000-0005-0000-0000-0000BB030000}"/>
    <cellStyle name="Heading 3 3" xfId="956" xr:uid="{00000000-0005-0000-0000-0000BC030000}"/>
    <cellStyle name="Heading 3 4" xfId="957" xr:uid="{00000000-0005-0000-0000-0000BD030000}"/>
    <cellStyle name="Heading 3 5" xfId="958" xr:uid="{00000000-0005-0000-0000-0000BE030000}"/>
    <cellStyle name="Heading 4" xfId="959" xr:uid="{00000000-0005-0000-0000-0000BF030000}"/>
    <cellStyle name="Heading 4 2" xfId="960" xr:uid="{00000000-0005-0000-0000-0000C0030000}"/>
    <cellStyle name="Heading 4 3" xfId="961" xr:uid="{00000000-0005-0000-0000-0000C1030000}"/>
    <cellStyle name="Heading 4 4" xfId="962" xr:uid="{00000000-0005-0000-0000-0000C2030000}"/>
    <cellStyle name="Heading 4 5" xfId="963" xr:uid="{00000000-0005-0000-0000-0000C3030000}"/>
    <cellStyle name="Hipervínculo 2" xfId="964" xr:uid="{00000000-0005-0000-0000-0000C4030000}"/>
    <cellStyle name="Hipervínculo 2 2" xfId="965" xr:uid="{00000000-0005-0000-0000-0000C5030000}"/>
    <cellStyle name="Hipervínculo 3" xfId="966" xr:uid="{00000000-0005-0000-0000-0000C6030000}"/>
    <cellStyle name="Hipervínculo 3 2" xfId="967" xr:uid="{00000000-0005-0000-0000-0000C7030000}"/>
    <cellStyle name="Hipervínculo 4" xfId="968" xr:uid="{00000000-0005-0000-0000-0000C8030000}"/>
    <cellStyle name="Hipervínculo 5" xfId="969" xr:uid="{00000000-0005-0000-0000-0000C9030000}"/>
    <cellStyle name="Hipervínculo 6" xfId="970" xr:uid="{00000000-0005-0000-0000-0000CA030000}"/>
    <cellStyle name="Incorrecto 2" xfId="971" xr:uid="{00000000-0005-0000-0000-0000CB030000}"/>
    <cellStyle name="Incorrecto 2 2" xfId="972" xr:uid="{00000000-0005-0000-0000-0000CC030000}"/>
    <cellStyle name="Incorrecto 3" xfId="973" xr:uid="{00000000-0005-0000-0000-0000CD030000}"/>
    <cellStyle name="Incorrecto 4" xfId="974" xr:uid="{00000000-0005-0000-0000-0000CE030000}"/>
    <cellStyle name="Incorrecto 5" xfId="975" xr:uid="{00000000-0005-0000-0000-0000CF030000}"/>
    <cellStyle name="Incorrecto 6" xfId="976" xr:uid="{00000000-0005-0000-0000-0000D0030000}"/>
    <cellStyle name="Incorrecto 7" xfId="977" xr:uid="{00000000-0005-0000-0000-0000D1030000}"/>
    <cellStyle name="Incorrecto 8" xfId="978" xr:uid="{00000000-0005-0000-0000-0000D2030000}"/>
    <cellStyle name="Input" xfId="979" xr:uid="{00000000-0005-0000-0000-0000D3030000}"/>
    <cellStyle name="Input 2" xfId="980" xr:uid="{00000000-0005-0000-0000-0000D4030000}"/>
    <cellStyle name="Input 3" xfId="981" xr:uid="{00000000-0005-0000-0000-0000D5030000}"/>
    <cellStyle name="Input 4" xfId="982" xr:uid="{00000000-0005-0000-0000-0000D6030000}"/>
    <cellStyle name="Input 5" xfId="983" xr:uid="{00000000-0005-0000-0000-0000D7030000}"/>
    <cellStyle name="Linked Cell" xfId="984" xr:uid="{00000000-0005-0000-0000-0000D8030000}"/>
    <cellStyle name="Linked Cell 2" xfId="985" xr:uid="{00000000-0005-0000-0000-0000D9030000}"/>
    <cellStyle name="Linked Cell 3" xfId="986" xr:uid="{00000000-0005-0000-0000-0000DA030000}"/>
    <cellStyle name="Linked Cell 4" xfId="987" xr:uid="{00000000-0005-0000-0000-0000DB030000}"/>
    <cellStyle name="Linked Cell 5" xfId="988" xr:uid="{00000000-0005-0000-0000-0000DC030000}"/>
    <cellStyle name="Millares 10" xfId="989" xr:uid="{00000000-0005-0000-0000-0000DD030000}"/>
    <cellStyle name="Millares 10 10" xfId="990" xr:uid="{00000000-0005-0000-0000-0000DE030000}"/>
    <cellStyle name="Millares 10 11" xfId="991" xr:uid="{00000000-0005-0000-0000-0000DF030000}"/>
    <cellStyle name="Millares 10 12" xfId="992" xr:uid="{00000000-0005-0000-0000-0000E0030000}"/>
    <cellStyle name="Millares 10 13" xfId="993" xr:uid="{00000000-0005-0000-0000-0000E1030000}"/>
    <cellStyle name="Millares 10 14" xfId="994" xr:uid="{00000000-0005-0000-0000-0000E2030000}"/>
    <cellStyle name="Millares 10 15" xfId="995" xr:uid="{00000000-0005-0000-0000-0000E3030000}"/>
    <cellStyle name="Millares 10 16" xfId="996" xr:uid="{00000000-0005-0000-0000-0000E4030000}"/>
    <cellStyle name="Millares 10 17" xfId="997" xr:uid="{00000000-0005-0000-0000-0000E5030000}"/>
    <cellStyle name="Millares 10 18" xfId="998" xr:uid="{00000000-0005-0000-0000-0000E6030000}"/>
    <cellStyle name="Millares 10 19" xfId="999" xr:uid="{00000000-0005-0000-0000-0000E7030000}"/>
    <cellStyle name="Millares 10 2" xfId="1000" xr:uid="{00000000-0005-0000-0000-0000E8030000}"/>
    <cellStyle name="Millares 10 2 2" xfId="1001" xr:uid="{00000000-0005-0000-0000-0000E9030000}"/>
    <cellStyle name="Millares 10 2 3" xfId="1002" xr:uid="{00000000-0005-0000-0000-0000EA030000}"/>
    <cellStyle name="Millares 10 20" xfId="1003" xr:uid="{00000000-0005-0000-0000-0000EB030000}"/>
    <cellStyle name="Millares 10 21" xfId="1004" xr:uid="{00000000-0005-0000-0000-0000EC030000}"/>
    <cellStyle name="Millares 10 22" xfId="1005" xr:uid="{00000000-0005-0000-0000-0000ED030000}"/>
    <cellStyle name="Millares 10 23" xfId="1006" xr:uid="{00000000-0005-0000-0000-0000EE030000}"/>
    <cellStyle name="Millares 10 24" xfId="1007" xr:uid="{00000000-0005-0000-0000-0000EF030000}"/>
    <cellStyle name="Millares 10 25" xfId="1008" xr:uid="{00000000-0005-0000-0000-0000F0030000}"/>
    <cellStyle name="Millares 10 3" xfId="1009" xr:uid="{00000000-0005-0000-0000-0000F1030000}"/>
    <cellStyle name="Millares 10 3 2" xfId="1010" xr:uid="{00000000-0005-0000-0000-0000F2030000}"/>
    <cellStyle name="Millares 10 3 3" xfId="1011" xr:uid="{00000000-0005-0000-0000-0000F3030000}"/>
    <cellStyle name="Millares 10 4" xfId="1012" xr:uid="{00000000-0005-0000-0000-0000F4030000}"/>
    <cellStyle name="Millares 10 5" xfId="1013" xr:uid="{00000000-0005-0000-0000-0000F5030000}"/>
    <cellStyle name="Millares 10 6" xfId="1014" xr:uid="{00000000-0005-0000-0000-0000F6030000}"/>
    <cellStyle name="Millares 10 7" xfId="1015" xr:uid="{00000000-0005-0000-0000-0000F7030000}"/>
    <cellStyle name="Millares 10 8" xfId="1016" xr:uid="{00000000-0005-0000-0000-0000F8030000}"/>
    <cellStyle name="Millares 10 9" xfId="1017" xr:uid="{00000000-0005-0000-0000-0000F9030000}"/>
    <cellStyle name="Millares 11" xfId="1018" xr:uid="{00000000-0005-0000-0000-0000FA030000}"/>
    <cellStyle name="Millares 11 2" xfId="1019" xr:uid="{00000000-0005-0000-0000-0000FB030000}"/>
    <cellStyle name="Millares 12" xfId="1020" xr:uid="{00000000-0005-0000-0000-0000FC030000}"/>
    <cellStyle name="Millares 12 2" xfId="1021" xr:uid="{00000000-0005-0000-0000-0000FD030000}"/>
    <cellStyle name="Millares 13" xfId="1022" xr:uid="{00000000-0005-0000-0000-0000FE030000}"/>
    <cellStyle name="Millares 13 2" xfId="1023" xr:uid="{00000000-0005-0000-0000-0000FF030000}"/>
    <cellStyle name="Millares 14" xfId="1024" xr:uid="{00000000-0005-0000-0000-000000040000}"/>
    <cellStyle name="Millares 15" xfId="1025" xr:uid="{00000000-0005-0000-0000-000001040000}"/>
    <cellStyle name="Millares 15 2" xfId="1026" xr:uid="{00000000-0005-0000-0000-000002040000}"/>
    <cellStyle name="Millares 16" xfId="1027" xr:uid="{00000000-0005-0000-0000-000003040000}"/>
    <cellStyle name="Millares 16 2" xfId="1028" xr:uid="{00000000-0005-0000-0000-000004040000}"/>
    <cellStyle name="Millares 17" xfId="1029" xr:uid="{00000000-0005-0000-0000-000005040000}"/>
    <cellStyle name="Millares 17 2" xfId="1030" xr:uid="{00000000-0005-0000-0000-000006040000}"/>
    <cellStyle name="Millares 18" xfId="1031" xr:uid="{00000000-0005-0000-0000-000007040000}"/>
    <cellStyle name="Millares 19" xfId="1032" xr:uid="{00000000-0005-0000-0000-000008040000}"/>
    <cellStyle name="Millares 19 2" xfId="1033" xr:uid="{00000000-0005-0000-0000-000009040000}"/>
    <cellStyle name="Millares 19 3" xfId="1034" xr:uid="{00000000-0005-0000-0000-00000A040000}"/>
    <cellStyle name="Millares 2" xfId="3" xr:uid="{00000000-0005-0000-0000-000003000000}"/>
    <cellStyle name="Millares 2 10" xfId="1035" xr:uid="{00000000-0005-0000-0000-00000B040000}"/>
    <cellStyle name="Millares 2 10 2" xfId="1036" xr:uid="{00000000-0005-0000-0000-00000C040000}"/>
    <cellStyle name="Millares 2 10 3" xfId="1037" xr:uid="{00000000-0005-0000-0000-00000D040000}"/>
    <cellStyle name="Millares 2 11" xfId="1038" xr:uid="{00000000-0005-0000-0000-00000E040000}"/>
    <cellStyle name="Millares 2 12" xfId="1039" xr:uid="{00000000-0005-0000-0000-00000F040000}"/>
    <cellStyle name="Millares 2 13" xfId="1040" xr:uid="{00000000-0005-0000-0000-000010040000}"/>
    <cellStyle name="Millares 2 13 2" xfId="1041" xr:uid="{00000000-0005-0000-0000-000011040000}"/>
    <cellStyle name="Millares 2 13 2 2" xfId="1042" xr:uid="{00000000-0005-0000-0000-000012040000}"/>
    <cellStyle name="Millares 2 14" xfId="1043" xr:uid="{00000000-0005-0000-0000-000013040000}"/>
    <cellStyle name="Millares 2 14 2" xfId="1044" xr:uid="{00000000-0005-0000-0000-000014040000}"/>
    <cellStyle name="Millares 2 14 3" xfId="1045" xr:uid="{00000000-0005-0000-0000-000015040000}"/>
    <cellStyle name="Millares 2 15" xfId="1046" xr:uid="{00000000-0005-0000-0000-000016040000}"/>
    <cellStyle name="Millares 2 15 2" xfId="1047" xr:uid="{00000000-0005-0000-0000-000017040000}"/>
    <cellStyle name="Millares 2 15 3" xfId="1048" xr:uid="{00000000-0005-0000-0000-000018040000}"/>
    <cellStyle name="Millares 2 16" xfId="1049" xr:uid="{00000000-0005-0000-0000-000019040000}"/>
    <cellStyle name="Millares 2 16 2" xfId="1050" xr:uid="{00000000-0005-0000-0000-00001A040000}"/>
    <cellStyle name="Millares 2 17" xfId="1051" xr:uid="{00000000-0005-0000-0000-00001B040000}"/>
    <cellStyle name="Millares 2 17 2" xfId="1052" xr:uid="{00000000-0005-0000-0000-00001C040000}"/>
    <cellStyle name="Millares 2 18" xfId="1053" xr:uid="{00000000-0005-0000-0000-00001D040000}"/>
    <cellStyle name="Millares 2 19" xfId="1054" xr:uid="{00000000-0005-0000-0000-00001E040000}"/>
    <cellStyle name="Millares 2 2" xfId="1055" xr:uid="{00000000-0005-0000-0000-00001F040000}"/>
    <cellStyle name="Millares 2 2 10" xfId="1056" xr:uid="{00000000-0005-0000-0000-000020040000}"/>
    <cellStyle name="Millares 2 2 11" xfId="1057" xr:uid="{00000000-0005-0000-0000-000021040000}"/>
    <cellStyle name="Millares 2 2 12" xfId="1058" xr:uid="{00000000-0005-0000-0000-000022040000}"/>
    <cellStyle name="Millares 2 2 13" xfId="1059" xr:uid="{00000000-0005-0000-0000-000023040000}"/>
    <cellStyle name="Millares 2 2 14" xfId="1060" xr:uid="{00000000-0005-0000-0000-000024040000}"/>
    <cellStyle name="Millares 2 2 15" xfId="1061" xr:uid="{00000000-0005-0000-0000-000025040000}"/>
    <cellStyle name="Millares 2 2 16" xfId="1062" xr:uid="{00000000-0005-0000-0000-000026040000}"/>
    <cellStyle name="Millares 2 2 17" xfId="1063" xr:uid="{00000000-0005-0000-0000-000027040000}"/>
    <cellStyle name="Millares 2 2 18" xfId="1064" xr:uid="{00000000-0005-0000-0000-000028040000}"/>
    <cellStyle name="Millares 2 2 19" xfId="1065" xr:uid="{00000000-0005-0000-0000-000029040000}"/>
    <cellStyle name="Millares 2 2 2" xfId="1066" xr:uid="{00000000-0005-0000-0000-00002A040000}"/>
    <cellStyle name="Millares 2 2 2 10" xfId="1067" xr:uid="{00000000-0005-0000-0000-00002B040000}"/>
    <cellStyle name="Millares 2 2 2 11" xfId="1068" xr:uid="{00000000-0005-0000-0000-00002C040000}"/>
    <cellStyle name="Millares 2 2 2 12" xfId="1069" xr:uid="{00000000-0005-0000-0000-00002D040000}"/>
    <cellStyle name="Millares 2 2 2 13" xfId="1070" xr:uid="{00000000-0005-0000-0000-00002E040000}"/>
    <cellStyle name="Millares 2 2 2 14" xfId="1071" xr:uid="{00000000-0005-0000-0000-00002F040000}"/>
    <cellStyle name="Millares 2 2 2 15" xfId="1072" xr:uid="{00000000-0005-0000-0000-000030040000}"/>
    <cellStyle name="Millares 2 2 2 16" xfId="1073" xr:uid="{00000000-0005-0000-0000-000031040000}"/>
    <cellStyle name="Millares 2 2 2 17" xfId="1074" xr:uid="{00000000-0005-0000-0000-000032040000}"/>
    <cellStyle name="Millares 2 2 2 18" xfId="1075" xr:uid="{00000000-0005-0000-0000-000033040000}"/>
    <cellStyle name="Millares 2 2 2 19" xfId="1076" xr:uid="{00000000-0005-0000-0000-000034040000}"/>
    <cellStyle name="Millares 2 2 2 2" xfId="1077" xr:uid="{00000000-0005-0000-0000-000035040000}"/>
    <cellStyle name="Millares 2 2 2 2 10" xfId="1078" xr:uid="{00000000-0005-0000-0000-000036040000}"/>
    <cellStyle name="Millares 2 2 2 2 11" xfId="1079" xr:uid="{00000000-0005-0000-0000-000037040000}"/>
    <cellStyle name="Millares 2 2 2 2 12" xfId="1080" xr:uid="{00000000-0005-0000-0000-000038040000}"/>
    <cellStyle name="Millares 2 2 2 2 13" xfId="1081" xr:uid="{00000000-0005-0000-0000-000039040000}"/>
    <cellStyle name="Millares 2 2 2 2 14" xfId="1082" xr:uid="{00000000-0005-0000-0000-00003A040000}"/>
    <cellStyle name="Millares 2 2 2 2 15" xfId="1083" xr:uid="{00000000-0005-0000-0000-00003B040000}"/>
    <cellStyle name="Millares 2 2 2 2 16" xfId="1084" xr:uid="{00000000-0005-0000-0000-00003C040000}"/>
    <cellStyle name="Millares 2 2 2 2 17" xfId="1085" xr:uid="{00000000-0005-0000-0000-00003D040000}"/>
    <cellStyle name="Millares 2 2 2 2 18" xfId="1086" xr:uid="{00000000-0005-0000-0000-00003E040000}"/>
    <cellStyle name="Millares 2 2 2 2 19" xfId="1087" xr:uid="{00000000-0005-0000-0000-00003F040000}"/>
    <cellStyle name="Millares 2 2 2 2 2" xfId="1088" xr:uid="{00000000-0005-0000-0000-000040040000}"/>
    <cellStyle name="Millares 2 2 2 2 2 10" xfId="1089" xr:uid="{00000000-0005-0000-0000-000041040000}"/>
    <cellStyle name="Millares 2 2 2 2 2 11" xfId="1090" xr:uid="{00000000-0005-0000-0000-000042040000}"/>
    <cellStyle name="Millares 2 2 2 2 2 12" xfId="1091" xr:uid="{00000000-0005-0000-0000-000043040000}"/>
    <cellStyle name="Millares 2 2 2 2 2 13" xfId="1092" xr:uid="{00000000-0005-0000-0000-000044040000}"/>
    <cellStyle name="Millares 2 2 2 2 2 14" xfId="1093" xr:uid="{00000000-0005-0000-0000-000045040000}"/>
    <cellStyle name="Millares 2 2 2 2 2 15" xfId="1094" xr:uid="{00000000-0005-0000-0000-000046040000}"/>
    <cellStyle name="Millares 2 2 2 2 2 16" xfId="1095" xr:uid="{00000000-0005-0000-0000-000047040000}"/>
    <cellStyle name="Millares 2 2 2 2 2 17" xfId="1096" xr:uid="{00000000-0005-0000-0000-000048040000}"/>
    <cellStyle name="Millares 2 2 2 2 2 18" xfId="1097" xr:uid="{00000000-0005-0000-0000-000049040000}"/>
    <cellStyle name="Millares 2 2 2 2 2 19" xfId="1098" xr:uid="{00000000-0005-0000-0000-00004A040000}"/>
    <cellStyle name="Millares 2 2 2 2 2 2" xfId="1099" xr:uid="{00000000-0005-0000-0000-00004B040000}"/>
    <cellStyle name="Millares 2 2 2 2 2 2 10" xfId="1100" xr:uid="{00000000-0005-0000-0000-00004C040000}"/>
    <cellStyle name="Millares 2 2 2 2 2 2 11" xfId="1101" xr:uid="{00000000-0005-0000-0000-00004D040000}"/>
    <cellStyle name="Millares 2 2 2 2 2 2 12" xfId="1102" xr:uid="{00000000-0005-0000-0000-00004E040000}"/>
    <cellStyle name="Millares 2 2 2 2 2 2 13" xfId="1103" xr:uid="{00000000-0005-0000-0000-00004F040000}"/>
    <cellStyle name="Millares 2 2 2 2 2 2 14" xfId="1104" xr:uid="{00000000-0005-0000-0000-000050040000}"/>
    <cellStyle name="Millares 2 2 2 2 2 2 15" xfId="1105" xr:uid="{00000000-0005-0000-0000-000051040000}"/>
    <cellStyle name="Millares 2 2 2 2 2 2 16" xfId="1106" xr:uid="{00000000-0005-0000-0000-000052040000}"/>
    <cellStyle name="Millares 2 2 2 2 2 2 17" xfId="1107" xr:uid="{00000000-0005-0000-0000-000053040000}"/>
    <cellStyle name="Millares 2 2 2 2 2 2 18" xfId="1108" xr:uid="{00000000-0005-0000-0000-000054040000}"/>
    <cellStyle name="Millares 2 2 2 2 2 2 19" xfId="1109" xr:uid="{00000000-0005-0000-0000-000055040000}"/>
    <cellStyle name="Millares 2 2 2 2 2 2 2" xfId="1110" xr:uid="{00000000-0005-0000-0000-000056040000}"/>
    <cellStyle name="Millares 2 2 2 2 2 2 2 10" xfId="1111" xr:uid="{00000000-0005-0000-0000-000057040000}"/>
    <cellStyle name="Millares 2 2 2 2 2 2 2 11" xfId="1112" xr:uid="{00000000-0005-0000-0000-000058040000}"/>
    <cellStyle name="Millares 2 2 2 2 2 2 2 12" xfId="1113" xr:uid="{00000000-0005-0000-0000-000059040000}"/>
    <cellStyle name="Millares 2 2 2 2 2 2 2 13" xfId="1114" xr:uid="{00000000-0005-0000-0000-00005A040000}"/>
    <cellStyle name="Millares 2 2 2 2 2 2 2 14" xfId="1115" xr:uid="{00000000-0005-0000-0000-00005B040000}"/>
    <cellStyle name="Millares 2 2 2 2 2 2 2 15" xfId="1116" xr:uid="{00000000-0005-0000-0000-00005C040000}"/>
    <cellStyle name="Millares 2 2 2 2 2 2 2 16" xfId="1117" xr:uid="{00000000-0005-0000-0000-00005D040000}"/>
    <cellStyle name="Millares 2 2 2 2 2 2 2 17" xfId="1118" xr:uid="{00000000-0005-0000-0000-00005E040000}"/>
    <cellStyle name="Millares 2 2 2 2 2 2 2 18" xfId="1119" xr:uid="{00000000-0005-0000-0000-00005F040000}"/>
    <cellStyle name="Millares 2 2 2 2 2 2 2 19" xfId="1120" xr:uid="{00000000-0005-0000-0000-000060040000}"/>
    <cellStyle name="Millares 2 2 2 2 2 2 2 2" xfId="1121" xr:uid="{00000000-0005-0000-0000-000061040000}"/>
    <cellStyle name="Millares 2 2 2 2 2 2 2 2 10" xfId="1122" xr:uid="{00000000-0005-0000-0000-000062040000}"/>
    <cellStyle name="Millares 2 2 2 2 2 2 2 2 11" xfId="1123" xr:uid="{00000000-0005-0000-0000-000063040000}"/>
    <cellStyle name="Millares 2 2 2 2 2 2 2 2 12" xfId="1124" xr:uid="{00000000-0005-0000-0000-000064040000}"/>
    <cellStyle name="Millares 2 2 2 2 2 2 2 2 13" xfId="1125" xr:uid="{00000000-0005-0000-0000-000065040000}"/>
    <cellStyle name="Millares 2 2 2 2 2 2 2 2 14" xfId="1126" xr:uid="{00000000-0005-0000-0000-000066040000}"/>
    <cellStyle name="Millares 2 2 2 2 2 2 2 2 15" xfId="1127" xr:uid="{00000000-0005-0000-0000-000067040000}"/>
    <cellStyle name="Millares 2 2 2 2 2 2 2 2 2" xfId="1128" xr:uid="{00000000-0005-0000-0000-000068040000}"/>
    <cellStyle name="Millares 2 2 2 2 2 2 2 2 2 10" xfId="1129" xr:uid="{00000000-0005-0000-0000-000069040000}"/>
    <cellStyle name="Millares 2 2 2 2 2 2 2 2 2 11" xfId="1130" xr:uid="{00000000-0005-0000-0000-00006A040000}"/>
    <cellStyle name="Millares 2 2 2 2 2 2 2 2 2 12" xfId="1131" xr:uid="{00000000-0005-0000-0000-00006B040000}"/>
    <cellStyle name="Millares 2 2 2 2 2 2 2 2 2 13" xfId="1132" xr:uid="{00000000-0005-0000-0000-00006C040000}"/>
    <cellStyle name="Millares 2 2 2 2 2 2 2 2 2 14" xfId="1133" xr:uid="{00000000-0005-0000-0000-00006D040000}"/>
    <cellStyle name="Millares 2 2 2 2 2 2 2 2 2 15" xfId="1134" xr:uid="{00000000-0005-0000-0000-00006E040000}"/>
    <cellStyle name="Millares 2 2 2 2 2 2 2 2 2 2" xfId="1135" xr:uid="{00000000-0005-0000-0000-00006F040000}"/>
    <cellStyle name="Millares 2 2 2 2 2 2 2 2 2 2 10" xfId="1136" xr:uid="{00000000-0005-0000-0000-000070040000}"/>
    <cellStyle name="Millares 2 2 2 2 2 2 2 2 2 2 11" xfId="1137" xr:uid="{00000000-0005-0000-0000-000071040000}"/>
    <cellStyle name="Millares 2 2 2 2 2 2 2 2 2 2 12" xfId="1138" xr:uid="{00000000-0005-0000-0000-000072040000}"/>
    <cellStyle name="Millares 2 2 2 2 2 2 2 2 2 2 2" xfId="1139" xr:uid="{00000000-0005-0000-0000-000073040000}"/>
    <cellStyle name="Millares 2 2 2 2 2 2 2 2 2 2 2 10" xfId="1140" xr:uid="{00000000-0005-0000-0000-000074040000}"/>
    <cellStyle name="Millares 2 2 2 2 2 2 2 2 2 2 2 2" xfId="1141" xr:uid="{00000000-0005-0000-0000-000075040000}"/>
    <cellStyle name="Millares 2 2 2 2 2 2 2 2 2 2 2 3" xfId="1142" xr:uid="{00000000-0005-0000-0000-000076040000}"/>
    <cellStyle name="Millares 2 2 2 2 2 2 2 2 2 2 2 4" xfId="1143" xr:uid="{00000000-0005-0000-0000-000077040000}"/>
    <cellStyle name="Millares 2 2 2 2 2 2 2 2 2 2 2 5" xfId="1144" xr:uid="{00000000-0005-0000-0000-000078040000}"/>
    <cellStyle name="Millares 2 2 2 2 2 2 2 2 2 2 2 6" xfId="1145" xr:uid="{00000000-0005-0000-0000-000079040000}"/>
    <cellStyle name="Millares 2 2 2 2 2 2 2 2 2 2 2 7" xfId="1146" xr:uid="{00000000-0005-0000-0000-00007A040000}"/>
    <cellStyle name="Millares 2 2 2 2 2 2 2 2 2 2 2 8" xfId="1147" xr:uid="{00000000-0005-0000-0000-00007B040000}"/>
    <cellStyle name="Millares 2 2 2 2 2 2 2 2 2 2 2 9" xfId="1148" xr:uid="{00000000-0005-0000-0000-00007C040000}"/>
    <cellStyle name="Millares 2 2 2 2 2 2 2 2 2 2 3" xfId="1149" xr:uid="{00000000-0005-0000-0000-00007D040000}"/>
    <cellStyle name="Millares 2 2 2 2 2 2 2 2 2 2 4" xfId="1150" xr:uid="{00000000-0005-0000-0000-00007E040000}"/>
    <cellStyle name="Millares 2 2 2 2 2 2 2 2 2 2 5" xfId="1151" xr:uid="{00000000-0005-0000-0000-00007F040000}"/>
    <cellStyle name="Millares 2 2 2 2 2 2 2 2 2 2 6" xfId="1152" xr:uid="{00000000-0005-0000-0000-000080040000}"/>
    <cellStyle name="Millares 2 2 2 2 2 2 2 2 2 2 7" xfId="1153" xr:uid="{00000000-0005-0000-0000-000081040000}"/>
    <cellStyle name="Millares 2 2 2 2 2 2 2 2 2 2 8" xfId="1154" xr:uid="{00000000-0005-0000-0000-000082040000}"/>
    <cellStyle name="Millares 2 2 2 2 2 2 2 2 2 2 9" xfId="1155" xr:uid="{00000000-0005-0000-0000-000083040000}"/>
    <cellStyle name="Millares 2 2 2 2 2 2 2 2 2 3" xfId="1156" xr:uid="{00000000-0005-0000-0000-000084040000}"/>
    <cellStyle name="Millares 2 2 2 2 2 2 2 2 2 4" xfId="1157" xr:uid="{00000000-0005-0000-0000-000085040000}"/>
    <cellStyle name="Millares 2 2 2 2 2 2 2 2 2 5" xfId="1158" xr:uid="{00000000-0005-0000-0000-000086040000}"/>
    <cellStyle name="Millares 2 2 2 2 2 2 2 2 2 6" xfId="1159" xr:uid="{00000000-0005-0000-0000-000087040000}"/>
    <cellStyle name="Millares 2 2 2 2 2 2 2 2 2 6 10" xfId="1160" xr:uid="{00000000-0005-0000-0000-000088040000}"/>
    <cellStyle name="Millares 2 2 2 2 2 2 2 2 2 6 2" xfId="1161" xr:uid="{00000000-0005-0000-0000-000089040000}"/>
    <cellStyle name="Millares 2 2 2 2 2 2 2 2 2 6 3" xfId="1162" xr:uid="{00000000-0005-0000-0000-00008A040000}"/>
    <cellStyle name="Millares 2 2 2 2 2 2 2 2 2 6 4" xfId="1163" xr:uid="{00000000-0005-0000-0000-00008B040000}"/>
    <cellStyle name="Millares 2 2 2 2 2 2 2 2 2 6 5" xfId="1164" xr:uid="{00000000-0005-0000-0000-00008C040000}"/>
    <cellStyle name="Millares 2 2 2 2 2 2 2 2 2 6 6" xfId="1165" xr:uid="{00000000-0005-0000-0000-00008D040000}"/>
    <cellStyle name="Millares 2 2 2 2 2 2 2 2 2 6 7" xfId="1166" xr:uid="{00000000-0005-0000-0000-00008E040000}"/>
    <cellStyle name="Millares 2 2 2 2 2 2 2 2 2 6 8" xfId="1167" xr:uid="{00000000-0005-0000-0000-00008F040000}"/>
    <cellStyle name="Millares 2 2 2 2 2 2 2 2 2 6 9" xfId="1168" xr:uid="{00000000-0005-0000-0000-000090040000}"/>
    <cellStyle name="Millares 2 2 2 2 2 2 2 2 2 7" xfId="1169" xr:uid="{00000000-0005-0000-0000-000091040000}"/>
    <cellStyle name="Millares 2 2 2 2 2 2 2 2 2 8" xfId="1170" xr:uid="{00000000-0005-0000-0000-000092040000}"/>
    <cellStyle name="Millares 2 2 2 2 2 2 2 2 2 9" xfId="1171" xr:uid="{00000000-0005-0000-0000-000093040000}"/>
    <cellStyle name="Millares 2 2 2 2 2 2 2 2 3" xfId="1172" xr:uid="{00000000-0005-0000-0000-000094040000}"/>
    <cellStyle name="Millares 2 2 2 2 2 2 2 2 4" xfId="1173" xr:uid="{00000000-0005-0000-0000-000095040000}"/>
    <cellStyle name="Millares 2 2 2 2 2 2 2 2 5" xfId="1174" xr:uid="{00000000-0005-0000-0000-000096040000}"/>
    <cellStyle name="Millares 2 2 2 2 2 2 2 2 6" xfId="1175" xr:uid="{00000000-0005-0000-0000-000097040000}"/>
    <cellStyle name="Millares 2 2 2 2 2 2 2 2 6 10" xfId="1176" xr:uid="{00000000-0005-0000-0000-000098040000}"/>
    <cellStyle name="Millares 2 2 2 2 2 2 2 2 6 2" xfId="1177" xr:uid="{00000000-0005-0000-0000-000099040000}"/>
    <cellStyle name="Millares 2 2 2 2 2 2 2 2 6 3" xfId="1178" xr:uid="{00000000-0005-0000-0000-00009A040000}"/>
    <cellStyle name="Millares 2 2 2 2 2 2 2 2 6 4" xfId="1179" xr:uid="{00000000-0005-0000-0000-00009B040000}"/>
    <cellStyle name="Millares 2 2 2 2 2 2 2 2 6 5" xfId="1180" xr:uid="{00000000-0005-0000-0000-00009C040000}"/>
    <cellStyle name="Millares 2 2 2 2 2 2 2 2 6 6" xfId="1181" xr:uid="{00000000-0005-0000-0000-00009D040000}"/>
    <cellStyle name="Millares 2 2 2 2 2 2 2 2 6 7" xfId="1182" xr:uid="{00000000-0005-0000-0000-00009E040000}"/>
    <cellStyle name="Millares 2 2 2 2 2 2 2 2 6 8" xfId="1183" xr:uid="{00000000-0005-0000-0000-00009F040000}"/>
    <cellStyle name="Millares 2 2 2 2 2 2 2 2 6 9" xfId="1184" xr:uid="{00000000-0005-0000-0000-0000A0040000}"/>
    <cellStyle name="Millares 2 2 2 2 2 2 2 2 7" xfId="1185" xr:uid="{00000000-0005-0000-0000-0000A1040000}"/>
    <cellStyle name="Millares 2 2 2 2 2 2 2 2 8" xfId="1186" xr:uid="{00000000-0005-0000-0000-0000A2040000}"/>
    <cellStyle name="Millares 2 2 2 2 2 2 2 2 9" xfId="1187" xr:uid="{00000000-0005-0000-0000-0000A3040000}"/>
    <cellStyle name="Millares 2 2 2 2 2 2 2 20" xfId="1188" xr:uid="{00000000-0005-0000-0000-0000A4040000}"/>
    <cellStyle name="Millares 2 2 2 2 2 2 2 21" xfId="1189" xr:uid="{00000000-0005-0000-0000-0000A5040000}"/>
    <cellStyle name="Millares 2 2 2 2 2 2 2 22" xfId="1190" xr:uid="{00000000-0005-0000-0000-0000A6040000}"/>
    <cellStyle name="Millares 2 2 2 2 2 2 2 23" xfId="1191" xr:uid="{00000000-0005-0000-0000-0000A7040000}"/>
    <cellStyle name="Millares 2 2 2 2 2 2 2 24" xfId="1192" xr:uid="{00000000-0005-0000-0000-0000A8040000}"/>
    <cellStyle name="Millares 2 2 2 2 2 2 2 25" xfId="1193" xr:uid="{00000000-0005-0000-0000-0000A9040000}"/>
    <cellStyle name="Millares 2 2 2 2 2 2 2 25 10" xfId="1194" xr:uid="{00000000-0005-0000-0000-0000AA040000}"/>
    <cellStyle name="Millares 2 2 2 2 2 2 2 25 2" xfId="1195" xr:uid="{00000000-0005-0000-0000-0000AB040000}"/>
    <cellStyle name="Millares 2 2 2 2 2 2 2 25 3" xfId="1196" xr:uid="{00000000-0005-0000-0000-0000AC040000}"/>
    <cellStyle name="Millares 2 2 2 2 2 2 2 25 4" xfId="1197" xr:uid="{00000000-0005-0000-0000-0000AD040000}"/>
    <cellStyle name="Millares 2 2 2 2 2 2 2 25 5" xfId="1198" xr:uid="{00000000-0005-0000-0000-0000AE040000}"/>
    <cellStyle name="Millares 2 2 2 2 2 2 2 25 6" xfId="1199" xr:uid="{00000000-0005-0000-0000-0000AF040000}"/>
    <cellStyle name="Millares 2 2 2 2 2 2 2 25 7" xfId="1200" xr:uid="{00000000-0005-0000-0000-0000B0040000}"/>
    <cellStyle name="Millares 2 2 2 2 2 2 2 25 8" xfId="1201" xr:uid="{00000000-0005-0000-0000-0000B1040000}"/>
    <cellStyle name="Millares 2 2 2 2 2 2 2 25 9" xfId="1202" xr:uid="{00000000-0005-0000-0000-0000B2040000}"/>
    <cellStyle name="Millares 2 2 2 2 2 2 2 26" xfId="1203" xr:uid="{00000000-0005-0000-0000-0000B3040000}"/>
    <cellStyle name="Millares 2 2 2 2 2 2 2 27" xfId="1204" xr:uid="{00000000-0005-0000-0000-0000B4040000}"/>
    <cellStyle name="Millares 2 2 2 2 2 2 2 28" xfId="1205" xr:uid="{00000000-0005-0000-0000-0000B5040000}"/>
    <cellStyle name="Millares 2 2 2 2 2 2 2 29" xfId="1206" xr:uid="{00000000-0005-0000-0000-0000B6040000}"/>
    <cellStyle name="Millares 2 2 2 2 2 2 2 3" xfId="1207" xr:uid="{00000000-0005-0000-0000-0000B7040000}"/>
    <cellStyle name="Millares 2 2 2 2 2 2 2 30" xfId="1208" xr:uid="{00000000-0005-0000-0000-0000B8040000}"/>
    <cellStyle name="Millares 2 2 2 2 2 2 2 31" xfId="1209" xr:uid="{00000000-0005-0000-0000-0000B9040000}"/>
    <cellStyle name="Millares 2 2 2 2 2 2 2 32" xfId="1210" xr:uid="{00000000-0005-0000-0000-0000BA040000}"/>
    <cellStyle name="Millares 2 2 2 2 2 2 2 33" xfId="1211" xr:uid="{00000000-0005-0000-0000-0000BB040000}"/>
    <cellStyle name="Millares 2 2 2 2 2 2 2 34" xfId="1212" xr:uid="{00000000-0005-0000-0000-0000BC040000}"/>
    <cellStyle name="Millares 2 2 2 2 2 2 2 4" xfId="1213" xr:uid="{00000000-0005-0000-0000-0000BD040000}"/>
    <cellStyle name="Millares 2 2 2 2 2 2 2 5" xfId="1214" xr:uid="{00000000-0005-0000-0000-0000BE040000}"/>
    <cellStyle name="Millares 2 2 2 2 2 2 2 6" xfId="1215" xr:uid="{00000000-0005-0000-0000-0000BF040000}"/>
    <cellStyle name="Millares 2 2 2 2 2 2 2 7" xfId="1216" xr:uid="{00000000-0005-0000-0000-0000C0040000}"/>
    <cellStyle name="Millares 2 2 2 2 2 2 2 8" xfId="1217" xr:uid="{00000000-0005-0000-0000-0000C1040000}"/>
    <cellStyle name="Millares 2 2 2 2 2 2 2 9" xfId="1218" xr:uid="{00000000-0005-0000-0000-0000C2040000}"/>
    <cellStyle name="Millares 2 2 2 2 2 2 20" xfId="1219" xr:uid="{00000000-0005-0000-0000-0000C3040000}"/>
    <cellStyle name="Millares 2 2 2 2 2 2 21" xfId="1220" xr:uid="{00000000-0005-0000-0000-0000C4040000}"/>
    <cellStyle name="Millares 2 2 2 2 2 2 22" xfId="1221" xr:uid="{00000000-0005-0000-0000-0000C5040000}"/>
    <cellStyle name="Millares 2 2 2 2 2 2 23" xfId="1222" xr:uid="{00000000-0005-0000-0000-0000C6040000}"/>
    <cellStyle name="Millares 2 2 2 2 2 2 24" xfId="1223" xr:uid="{00000000-0005-0000-0000-0000C7040000}"/>
    <cellStyle name="Millares 2 2 2 2 2 2 25" xfId="1224" xr:uid="{00000000-0005-0000-0000-0000C8040000}"/>
    <cellStyle name="Millares 2 2 2 2 2 2 25 10" xfId="1225" xr:uid="{00000000-0005-0000-0000-0000C9040000}"/>
    <cellStyle name="Millares 2 2 2 2 2 2 25 2" xfId="1226" xr:uid="{00000000-0005-0000-0000-0000CA040000}"/>
    <cellStyle name="Millares 2 2 2 2 2 2 25 3" xfId="1227" xr:uid="{00000000-0005-0000-0000-0000CB040000}"/>
    <cellStyle name="Millares 2 2 2 2 2 2 25 4" xfId="1228" xr:uid="{00000000-0005-0000-0000-0000CC040000}"/>
    <cellStyle name="Millares 2 2 2 2 2 2 25 5" xfId="1229" xr:uid="{00000000-0005-0000-0000-0000CD040000}"/>
    <cellStyle name="Millares 2 2 2 2 2 2 25 6" xfId="1230" xr:uid="{00000000-0005-0000-0000-0000CE040000}"/>
    <cellStyle name="Millares 2 2 2 2 2 2 25 7" xfId="1231" xr:uid="{00000000-0005-0000-0000-0000CF040000}"/>
    <cellStyle name="Millares 2 2 2 2 2 2 25 8" xfId="1232" xr:uid="{00000000-0005-0000-0000-0000D0040000}"/>
    <cellStyle name="Millares 2 2 2 2 2 2 25 9" xfId="1233" xr:uid="{00000000-0005-0000-0000-0000D1040000}"/>
    <cellStyle name="Millares 2 2 2 2 2 2 26" xfId="1234" xr:uid="{00000000-0005-0000-0000-0000D2040000}"/>
    <cellStyle name="Millares 2 2 2 2 2 2 27" xfId="1235" xr:uid="{00000000-0005-0000-0000-0000D3040000}"/>
    <cellStyle name="Millares 2 2 2 2 2 2 28" xfId="1236" xr:uid="{00000000-0005-0000-0000-0000D4040000}"/>
    <cellStyle name="Millares 2 2 2 2 2 2 29" xfId="1237" xr:uid="{00000000-0005-0000-0000-0000D5040000}"/>
    <cellStyle name="Millares 2 2 2 2 2 2 3" xfId="1238" xr:uid="{00000000-0005-0000-0000-0000D6040000}"/>
    <cellStyle name="Millares 2 2 2 2 2 2 30" xfId="1239" xr:uid="{00000000-0005-0000-0000-0000D7040000}"/>
    <cellStyle name="Millares 2 2 2 2 2 2 31" xfId="1240" xr:uid="{00000000-0005-0000-0000-0000D8040000}"/>
    <cellStyle name="Millares 2 2 2 2 2 2 32" xfId="1241" xr:uid="{00000000-0005-0000-0000-0000D9040000}"/>
    <cellStyle name="Millares 2 2 2 2 2 2 33" xfId="1242" xr:uid="{00000000-0005-0000-0000-0000DA040000}"/>
    <cellStyle name="Millares 2 2 2 2 2 2 34" xfId="1243" xr:uid="{00000000-0005-0000-0000-0000DB040000}"/>
    <cellStyle name="Millares 2 2 2 2 2 2 35" xfId="1244" xr:uid="{00000000-0005-0000-0000-0000DC040000}"/>
    <cellStyle name="Millares 2 2 2 2 2 2 4" xfId="1245" xr:uid="{00000000-0005-0000-0000-0000DD040000}"/>
    <cellStyle name="Millares 2 2 2 2 2 2 5" xfId="1246" xr:uid="{00000000-0005-0000-0000-0000DE040000}"/>
    <cellStyle name="Millares 2 2 2 2 2 2 6" xfId="1247" xr:uid="{00000000-0005-0000-0000-0000DF040000}"/>
    <cellStyle name="Millares 2 2 2 2 2 2 7" xfId="1248" xr:uid="{00000000-0005-0000-0000-0000E0040000}"/>
    <cellStyle name="Millares 2 2 2 2 2 2 8" xfId="1249" xr:uid="{00000000-0005-0000-0000-0000E1040000}"/>
    <cellStyle name="Millares 2 2 2 2 2 2 9" xfId="1250" xr:uid="{00000000-0005-0000-0000-0000E2040000}"/>
    <cellStyle name="Millares 2 2 2 2 2 20" xfId="1251" xr:uid="{00000000-0005-0000-0000-0000E3040000}"/>
    <cellStyle name="Millares 2 2 2 2 2 21" xfId="1252" xr:uid="{00000000-0005-0000-0000-0000E4040000}"/>
    <cellStyle name="Millares 2 2 2 2 2 22" xfId="1253" xr:uid="{00000000-0005-0000-0000-0000E5040000}"/>
    <cellStyle name="Millares 2 2 2 2 2 23" xfId="1254" xr:uid="{00000000-0005-0000-0000-0000E6040000}"/>
    <cellStyle name="Millares 2 2 2 2 2 24" xfId="1255" xr:uid="{00000000-0005-0000-0000-0000E7040000}"/>
    <cellStyle name="Millares 2 2 2 2 2 25" xfId="1256" xr:uid="{00000000-0005-0000-0000-0000E8040000}"/>
    <cellStyle name="Millares 2 2 2 2 2 26" xfId="1257" xr:uid="{00000000-0005-0000-0000-0000E9040000}"/>
    <cellStyle name="Millares 2 2 2 2 2 27" xfId="1258" xr:uid="{00000000-0005-0000-0000-0000EA040000}"/>
    <cellStyle name="Millares 2 2 2 2 2 28" xfId="1259" xr:uid="{00000000-0005-0000-0000-0000EB040000}"/>
    <cellStyle name="Millares 2 2 2 2 2 29" xfId="1260" xr:uid="{00000000-0005-0000-0000-0000EC040000}"/>
    <cellStyle name="Millares 2 2 2 2 2 3" xfId="1261" xr:uid="{00000000-0005-0000-0000-0000ED040000}"/>
    <cellStyle name="Millares 2 2 2 2 2 30" xfId="1262" xr:uid="{00000000-0005-0000-0000-0000EE040000}"/>
    <cellStyle name="Millares 2 2 2 2 2 31" xfId="1263" xr:uid="{00000000-0005-0000-0000-0000EF040000}"/>
    <cellStyle name="Millares 2 2 2 2 2 32" xfId="1264" xr:uid="{00000000-0005-0000-0000-0000F0040000}"/>
    <cellStyle name="Millares 2 2 2 2 2 33" xfId="1265" xr:uid="{00000000-0005-0000-0000-0000F1040000}"/>
    <cellStyle name="Millares 2 2 2 2 2 34" xfId="1266" xr:uid="{00000000-0005-0000-0000-0000F2040000}"/>
    <cellStyle name="Millares 2 2 2 2 2 35" xfId="1267" xr:uid="{00000000-0005-0000-0000-0000F3040000}"/>
    <cellStyle name="Millares 2 2 2 2 2 36" xfId="1268" xr:uid="{00000000-0005-0000-0000-0000F4040000}"/>
    <cellStyle name="Millares 2 2 2 2 2 37" xfId="1269" xr:uid="{00000000-0005-0000-0000-0000F5040000}"/>
    <cellStyle name="Millares 2 2 2 2 2 38" xfId="1270" xr:uid="{00000000-0005-0000-0000-0000F6040000}"/>
    <cellStyle name="Millares 2 2 2 2 2 38 10" xfId="1271" xr:uid="{00000000-0005-0000-0000-0000F7040000}"/>
    <cellStyle name="Millares 2 2 2 2 2 38 2" xfId="1272" xr:uid="{00000000-0005-0000-0000-0000F8040000}"/>
    <cellStyle name="Millares 2 2 2 2 2 38 3" xfId="1273" xr:uid="{00000000-0005-0000-0000-0000F9040000}"/>
    <cellStyle name="Millares 2 2 2 2 2 38 4" xfId="1274" xr:uid="{00000000-0005-0000-0000-0000FA040000}"/>
    <cellStyle name="Millares 2 2 2 2 2 38 5" xfId="1275" xr:uid="{00000000-0005-0000-0000-0000FB040000}"/>
    <cellStyle name="Millares 2 2 2 2 2 38 6" xfId="1276" xr:uid="{00000000-0005-0000-0000-0000FC040000}"/>
    <cellStyle name="Millares 2 2 2 2 2 38 7" xfId="1277" xr:uid="{00000000-0005-0000-0000-0000FD040000}"/>
    <cellStyle name="Millares 2 2 2 2 2 38 8" xfId="1278" xr:uid="{00000000-0005-0000-0000-0000FE040000}"/>
    <cellStyle name="Millares 2 2 2 2 2 38 9" xfId="1279" xr:uid="{00000000-0005-0000-0000-0000FF040000}"/>
    <cellStyle name="Millares 2 2 2 2 2 39" xfId="1280" xr:uid="{00000000-0005-0000-0000-000000050000}"/>
    <cellStyle name="Millares 2 2 2 2 2 4" xfId="1281" xr:uid="{00000000-0005-0000-0000-000001050000}"/>
    <cellStyle name="Millares 2 2 2 2 2 40" xfId="1282" xr:uid="{00000000-0005-0000-0000-000002050000}"/>
    <cellStyle name="Millares 2 2 2 2 2 41" xfId="1283" xr:uid="{00000000-0005-0000-0000-000003050000}"/>
    <cellStyle name="Millares 2 2 2 2 2 42" xfId="1284" xr:uid="{00000000-0005-0000-0000-000004050000}"/>
    <cellStyle name="Millares 2 2 2 2 2 43" xfId="1285" xr:uid="{00000000-0005-0000-0000-000005050000}"/>
    <cellStyle name="Millares 2 2 2 2 2 44" xfId="1286" xr:uid="{00000000-0005-0000-0000-000006050000}"/>
    <cellStyle name="Millares 2 2 2 2 2 45" xfId="1287" xr:uid="{00000000-0005-0000-0000-000007050000}"/>
    <cellStyle name="Millares 2 2 2 2 2 46" xfId="1288" xr:uid="{00000000-0005-0000-0000-000008050000}"/>
    <cellStyle name="Millares 2 2 2 2 2 47" xfId="1289" xr:uid="{00000000-0005-0000-0000-000009050000}"/>
    <cellStyle name="Millares 2 2 2 2 2 48" xfId="1290" xr:uid="{00000000-0005-0000-0000-00000A050000}"/>
    <cellStyle name="Millares 2 2 2 2 2 5" xfId="1291" xr:uid="{00000000-0005-0000-0000-00000B050000}"/>
    <cellStyle name="Millares 2 2 2 2 2 6" xfId="1292" xr:uid="{00000000-0005-0000-0000-00000C050000}"/>
    <cellStyle name="Millares 2 2 2 2 2 7" xfId="1293" xr:uid="{00000000-0005-0000-0000-00000D050000}"/>
    <cellStyle name="Millares 2 2 2 2 2 8" xfId="1294" xr:uid="{00000000-0005-0000-0000-00000E050000}"/>
    <cellStyle name="Millares 2 2 2 2 2 9" xfId="1295" xr:uid="{00000000-0005-0000-0000-00000F050000}"/>
    <cellStyle name="Millares 2 2 2 2 20" xfId="1296" xr:uid="{00000000-0005-0000-0000-000010050000}"/>
    <cellStyle name="Millares 2 2 2 2 21" xfId="1297" xr:uid="{00000000-0005-0000-0000-000011050000}"/>
    <cellStyle name="Millares 2 2 2 2 22" xfId="1298" xr:uid="{00000000-0005-0000-0000-000012050000}"/>
    <cellStyle name="Millares 2 2 2 2 23" xfId="1299" xr:uid="{00000000-0005-0000-0000-000013050000}"/>
    <cellStyle name="Millares 2 2 2 2 24" xfId="1300" xr:uid="{00000000-0005-0000-0000-000014050000}"/>
    <cellStyle name="Millares 2 2 2 2 25" xfId="1301" xr:uid="{00000000-0005-0000-0000-000015050000}"/>
    <cellStyle name="Millares 2 2 2 2 26" xfId="1302" xr:uid="{00000000-0005-0000-0000-000016050000}"/>
    <cellStyle name="Millares 2 2 2 2 27" xfId="1303" xr:uid="{00000000-0005-0000-0000-000017050000}"/>
    <cellStyle name="Millares 2 2 2 2 28" xfId="1304" xr:uid="{00000000-0005-0000-0000-000018050000}"/>
    <cellStyle name="Millares 2 2 2 2 29" xfId="1305" xr:uid="{00000000-0005-0000-0000-000019050000}"/>
    <cellStyle name="Millares 2 2 2 2 3" xfId="1306" xr:uid="{00000000-0005-0000-0000-00001A050000}"/>
    <cellStyle name="Millares 2 2 2 2 30" xfId="1307" xr:uid="{00000000-0005-0000-0000-00001B050000}"/>
    <cellStyle name="Millares 2 2 2 2 31" xfId="1308" xr:uid="{00000000-0005-0000-0000-00001C050000}"/>
    <cellStyle name="Millares 2 2 2 2 32" xfId="1309" xr:uid="{00000000-0005-0000-0000-00001D050000}"/>
    <cellStyle name="Millares 2 2 2 2 33" xfId="1310" xr:uid="{00000000-0005-0000-0000-00001E050000}"/>
    <cellStyle name="Millares 2 2 2 2 34" xfId="1311" xr:uid="{00000000-0005-0000-0000-00001F050000}"/>
    <cellStyle name="Millares 2 2 2 2 35" xfId="1312" xr:uid="{00000000-0005-0000-0000-000020050000}"/>
    <cellStyle name="Millares 2 2 2 2 36" xfId="1313" xr:uid="{00000000-0005-0000-0000-000021050000}"/>
    <cellStyle name="Millares 2 2 2 2 37" xfId="1314" xr:uid="{00000000-0005-0000-0000-000022050000}"/>
    <cellStyle name="Millares 2 2 2 2 38" xfId="1315" xr:uid="{00000000-0005-0000-0000-000023050000}"/>
    <cellStyle name="Millares 2 2 2 2 39" xfId="1316" xr:uid="{00000000-0005-0000-0000-000024050000}"/>
    <cellStyle name="Millares 2 2 2 2 39 10" xfId="1317" xr:uid="{00000000-0005-0000-0000-000025050000}"/>
    <cellStyle name="Millares 2 2 2 2 39 2" xfId="1318" xr:uid="{00000000-0005-0000-0000-000026050000}"/>
    <cellStyle name="Millares 2 2 2 2 39 3" xfId="1319" xr:uid="{00000000-0005-0000-0000-000027050000}"/>
    <cellStyle name="Millares 2 2 2 2 39 4" xfId="1320" xr:uid="{00000000-0005-0000-0000-000028050000}"/>
    <cellStyle name="Millares 2 2 2 2 39 5" xfId="1321" xr:uid="{00000000-0005-0000-0000-000029050000}"/>
    <cellStyle name="Millares 2 2 2 2 39 6" xfId="1322" xr:uid="{00000000-0005-0000-0000-00002A050000}"/>
    <cellStyle name="Millares 2 2 2 2 39 7" xfId="1323" xr:uid="{00000000-0005-0000-0000-00002B050000}"/>
    <cellStyle name="Millares 2 2 2 2 39 8" xfId="1324" xr:uid="{00000000-0005-0000-0000-00002C050000}"/>
    <cellStyle name="Millares 2 2 2 2 39 9" xfId="1325" xr:uid="{00000000-0005-0000-0000-00002D050000}"/>
    <cellStyle name="Millares 2 2 2 2 4" xfId="1326" xr:uid="{00000000-0005-0000-0000-00002E050000}"/>
    <cellStyle name="Millares 2 2 2 2 4 10" xfId="1327" xr:uid="{00000000-0005-0000-0000-00002F050000}"/>
    <cellStyle name="Millares 2 2 2 2 4 11" xfId="1328" xr:uid="{00000000-0005-0000-0000-000030050000}"/>
    <cellStyle name="Millares 2 2 2 2 4 12" xfId="1329" xr:uid="{00000000-0005-0000-0000-000031050000}"/>
    <cellStyle name="Millares 2 2 2 2 4 13" xfId="1330" xr:uid="{00000000-0005-0000-0000-000032050000}"/>
    <cellStyle name="Millares 2 2 2 2 4 14" xfId="1331" xr:uid="{00000000-0005-0000-0000-000033050000}"/>
    <cellStyle name="Millares 2 2 2 2 4 15" xfId="1332" xr:uid="{00000000-0005-0000-0000-000034050000}"/>
    <cellStyle name="Millares 2 2 2 2 4 16" xfId="1333" xr:uid="{00000000-0005-0000-0000-000035050000}"/>
    <cellStyle name="Millares 2 2 2 2 4 17" xfId="1334" xr:uid="{00000000-0005-0000-0000-000036050000}"/>
    <cellStyle name="Millares 2 2 2 2 4 18" xfId="1335" xr:uid="{00000000-0005-0000-0000-000037050000}"/>
    <cellStyle name="Millares 2 2 2 2 4 19" xfId="1336" xr:uid="{00000000-0005-0000-0000-000038050000}"/>
    <cellStyle name="Millares 2 2 2 2 4 2" xfId="1337" xr:uid="{00000000-0005-0000-0000-000039050000}"/>
    <cellStyle name="Millares 2 2 2 2 4 2 10" xfId="1338" xr:uid="{00000000-0005-0000-0000-00003A050000}"/>
    <cellStyle name="Millares 2 2 2 2 4 2 11" xfId="1339" xr:uid="{00000000-0005-0000-0000-00003B050000}"/>
    <cellStyle name="Millares 2 2 2 2 4 2 12" xfId="1340" xr:uid="{00000000-0005-0000-0000-00003C050000}"/>
    <cellStyle name="Millares 2 2 2 2 4 2 13" xfId="1341" xr:uid="{00000000-0005-0000-0000-00003D050000}"/>
    <cellStyle name="Millares 2 2 2 2 4 2 14" xfId="1342" xr:uid="{00000000-0005-0000-0000-00003E050000}"/>
    <cellStyle name="Millares 2 2 2 2 4 2 15" xfId="1343" xr:uid="{00000000-0005-0000-0000-00003F050000}"/>
    <cellStyle name="Millares 2 2 2 2 4 2 16" xfId="1344" xr:uid="{00000000-0005-0000-0000-000040050000}"/>
    <cellStyle name="Millares 2 2 2 2 4 2 17" xfId="1345" xr:uid="{00000000-0005-0000-0000-000041050000}"/>
    <cellStyle name="Millares 2 2 2 2 4 2 18" xfId="1346" xr:uid="{00000000-0005-0000-0000-000042050000}"/>
    <cellStyle name="Millares 2 2 2 2 4 2 19" xfId="1347" xr:uid="{00000000-0005-0000-0000-000043050000}"/>
    <cellStyle name="Millares 2 2 2 2 4 2 2" xfId="1348" xr:uid="{00000000-0005-0000-0000-000044050000}"/>
    <cellStyle name="Millares 2 2 2 2 4 2 20" xfId="1349" xr:uid="{00000000-0005-0000-0000-000045050000}"/>
    <cellStyle name="Millares 2 2 2 2 4 2 3" xfId="1350" xr:uid="{00000000-0005-0000-0000-000046050000}"/>
    <cellStyle name="Millares 2 2 2 2 4 2 4" xfId="1351" xr:uid="{00000000-0005-0000-0000-000047050000}"/>
    <cellStyle name="Millares 2 2 2 2 4 2 5" xfId="1352" xr:uid="{00000000-0005-0000-0000-000048050000}"/>
    <cellStyle name="Millares 2 2 2 2 4 2 6" xfId="1353" xr:uid="{00000000-0005-0000-0000-000049050000}"/>
    <cellStyle name="Millares 2 2 2 2 4 2 7" xfId="1354" xr:uid="{00000000-0005-0000-0000-00004A050000}"/>
    <cellStyle name="Millares 2 2 2 2 4 2 8" xfId="1355" xr:uid="{00000000-0005-0000-0000-00004B050000}"/>
    <cellStyle name="Millares 2 2 2 2 4 2 9" xfId="1356" xr:uid="{00000000-0005-0000-0000-00004C050000}"/>
    <cellStyle name="Millares 2 2 2 2 4 20" xfId="1357" xr:uid="{00000000-0005-0000-0000-00004D050000}"/>
    <cellStyle name="Millares 2 2 2 2 4 3" xfId="1358" xr:uid="{00000000-0005-0000-0000-00004E050000}"/>
    <cellStyle name="Millares 2 2 2 2 4 4" xfId="1359" xr:uid="{00000000-0005-0000-0000-00004F050000}"/>
    <cellStyle name="Millares 2 2 2 2 4 5" xfId="1360" xr:uid="{00000000-0005-0000-0000-000050050000}"/>
    <cellStyle name="Millares 2 2 2 2 4 6" xfId="1361" xr:uid="{00000000-0005-0000-0000-000051050000}"/>
    <cellStyle name="Millares 2 2 2 2 4 7" xfId="1362" xr:uid="{00000000-0005-0000-0000-000052050000}"/>
    <cellStyle name="Millares 2 2 2 2 4 8" xfId="1363" xr:uid="{00000000-0005-0000-0000-000053050000}"/>
    <cellStyle name="Millares 2 2 2 2 4 9" xfId="1364" xr:uid="{00000000-0005-0000-0000-000054050000}"/>
    <cellStyle name="Millares 2 2 2 2 40" xfId="1365" xr:uid="{00000000-0005-0000-0000-000055050000}"/>
    <cellStyle name="Millares 2 2 2 2 41" xfId="1366" xr:uid="{00000000-0005-0000-0000-000056050000}"/>
    <cellStyle name="Millares 2 2 2 2 42" xfId="1367" xr:uid="{00000000-0005-0000-0000-000057050000}"/>
    <cellStyle name="Millares 2 2 2 2 43" xfId="1368" xr:uid="{00000000-0005-0000-0000-000058050000}"/>
    <cellStyle name="Millares 2 2 2 2 44" xfId="1369" xr:uid="{00000000-0005-0000-0000-000059050000}"/>
    <cellStyle name="Millares 2 2 2 2 45" xfId="1370" xr:uid="{00000000-0005-0000-0000-00005A050000}"/>
    <cellStyle name="Millares 2 2 2 2 46" xfId="1371" xr:uid="{00000000-0005-0000-0000-00005B050000}"/>
    <cellStyle name="Millares 2 2 2 2 47" xfId="1372" xr:uid="{00000000-0005-0000-0000-00005C050000}"/>
    <cellStyle name="Millares 2 2 2 2 48" xfId="1373" xr:uid="{00000000-0005-0000-0000-00005D050000}"/>
    <cellStyle name="Millares 2 2 2 2 5" xfId="1374" xr:uid="{00000000-0005-0000-0000-00005E050000}"/>
    <cellStyle name="Millares 2 2 2 2 6" xfId="1375" xr:uid="{00000000-0005-0000-0000-00005F050000}"/>
    <cellStyle name="Millares 2 2 2 2 7" xfId="1376" xr:uid="{00000000-0005-0000-0000-000060050000}"/>
    <cellStyle name="Millares 2 2 2 2 8" xfId="1377" xr:uid="{00000000-0005-0000-0000-000061050000}"/>
    <cellStyle name="Millares 2 2 2 2 9" xfId="1378" xr:uid="{00000000-0005-0000-0000-000062050000}"/>
    <cellStyle name="Millares 2 2 2 20" xfId="1379" xr:uid="{00000000-0005-0000-0000-000063050000}"/>
    <cellStyle name="Millares 2 2 2 21" xfId="1380" xr:uid="{00000000-0005-0000-0000-000064050000}"/>
    <cellStyle name="Millares 2 2 2 22" xfId="1381" xr:uid="{00000000-0005-0000-0000-000065050000}"/>
    <cellStyle name="Millares 2 2 2 23" xfId="1382" xr:uid="{00000000-0005-0000-0000-000066050000}"/>
    <cellStyle name="Millares 2 2 2 24" xfId="1383" xr:uid="{00000000-0005-0000-0000-000067050000}"/>
    <cellStyle name="Millares 2 2 2 25" xfId="1384" xr:uid="{00000000-0005-0000-0000-000068050000}"/>
    <cellStyle name="Millares 2 2 2 26" xfId="1385" xr:uid="{00000000-0005-0000-0000-000069050000}"/>
    <cellStyle name="Millares 2 2 2 27" xfId="1386" xr:uid="{00000000-0005-0000-0000-00006A050000}"/>
    <cellStyle name="Millares 2 2 2 28" xfId="1387" xr:uid="{00000000-0005-0000-0000-00006B050000}"/>
    <cellStyle name="Millares 2 2 2 29" xfId="1388" xr:uid="{00000000-0005-0000-0000-00006C050000}"/>
    <cellStyle name="Millares 2 2 2 3" xfId="1389" xr:uid="{00000000-0005-0000-0000-00006D050000}"/>
    <cellStyle name="Millares 2 2 2 3 10" xfId="1390" xr:uid="{00000000-0005-0000-0000-00006E050000}"/>
    <cellStyle name="Millares 2 2 2 3 11" xfId="1391" xr:uid="{00000000-0005-0000-0000-00006F050000}"/>
    <cellStyle name="Millares 2 2 2 3 12" xfId="1392" xr:uid="{00000000-0005-0000-0000-000070050000}"/>
    <cellStyle name="Millares 2 2 2 3 13" xfId="1393" xr:uid="{00000000-0005-0000-0000-000071050000}"/>
    <cellStyle name="Millares 2 2 2 3 14" xfId="1394" xr:uid="{00000000-0005-0000-0000-000072050000}"/>
    <cellStyle name="Millares 2 2 2 3 15" xfId="1395" xr:uid="{00000000-0005-0000-0000-000073050000}"/>
    <cellStyle name="Millares 2 2 2 3 16" xfId="1396" xr:uid="{00000000-0005-0000-0000-000074050000}"/>
    <cellStyle name="Millares 2 2 2 3 17" xfId="1397" xr:uid="{00000000-0005-0000-0000-000075050000}"/>
    <cellStyle name="Millares 2 2 2 3 18" xfId="1398" xr:uid="{00000000-0005-0000-0000-000076050000}"/>
    <cellStyle name="Millares 2 2 2 3 19" xfId="1399" xr:uid="{00000000-0005-0000-0000-000077050000}"/>
    <cellStyle name="Millares 2 2 2 3 2" xfId="1400" xr:uid="{00000000-0005-0000-0000-000078050000}"/>
    <cellStyle name="Millares 2 2 2 3 2 10" xfId="1401" xr:uid="{00000000-0005-0000-0000-000079050000}"/>
    <cellStyle name="Millares 2 2 2 3 2 11" xfId="1402" xr:uid="{00000000-0005-0000-0000-00007A050000}"/>
    <cellStyle name="Millares 2 2 2 3 2 12" xfId="1403" xr:uid="{00000000-0005-0000-0000-00007B050000}"/>
    <cellStyle name="Millares 2 2 2 3 2 13" xfId="1404" xr:uid="{00000000-0005-0000-0000-00007C050000}"/>
    <cellStyle name="Millares 2 2 2 3 2 14" xfId="1405" xr:uid="{00000000-0005-0000-0000-00007D050000}"/>
    <cellStyle name="Millares 2 2 2 3 2 15" xfId="1406" xr:uid="{00000000-0005-0000-0000-00007E050000}"/>
    <cellStyle name="Millares 2 2 2 3 2 16" xfId="1407" xr:uid="{00000000-0005-0000-0000-00007F050000}"/>
    <cellStyle name="Millares 2 2 2 3 2 17" xfId="1408" xr:uid="{00000000-0005-0000-0000-000080050000}"/>
    <cellStyle name="Millares 2 2 2 3 2 18" xfId="1409" xr:uid="{00000000-0005-0000-0000-000081050000}"/>
    <cellStyle name="Millares 2 2 2 3 2 19" xfId="1410" xr:uid="{00000000-0005-0000-0000-000082050000}"/>
    <cellStyle name="Millares 2 2 2 3 2 2" xfId="1411" xr:uid="{00000000-0005-0000-0000-000083050000}"/>
    <cellStyle name="Millares 2 2 2 3 2 2 10" xfId="1412" xr:uid="{00000000-0005-0000-0000-000084050000}"/>
    <cellStyle name="Millares 2 2 2 3 2 2 11" xfId="1413" xr:uid="{00000000-0005-0000-0000-000085050000}"/>
    <cellStyle name="Millares 2 2 2 3 2 2 12" xfId="1414" xr:uid="{00000000-0005-0000-0000-000086050000}"/>
    <cellStyle name="Millares 2 2 2 3 2 2 13" xfId="1415" xr:uid="{00000000-0005-0000-0000-000087050000}"/>
    <cellStyle name="Millares 2 2 2 3 2 2 14" xfId="1416" xr:uid="{00000000-0005-0000-0000-000088050000}"/>
    <cellStyle name="Millares 2 2 2 3 2 2 15" xfId="1417" xr:uid="{00000000-0005-0000-0000-000089050000}"/>
    <cellStyle name="Millares 2 2 2 3 2 2 16" xfId="1418" xr:uid="{00000000-0005-0000-0000-00008A050000}"/>
    <cellStyle name="Millares 2 2 2 3 2 2 17" xfId="1419" xr:uid="{00000000-0005-0000-0000-00008B050000}"/>
    <cellStyle name="Millares 2 2 2 3 2 2 18" xfId="1420" xr:uid="{00000000-0005-0000-0000-00008C050000}"/>
    <cellStyle name="Millares 2 2 2 3 2 2 19" xfId="1421" xr:uid="{00000000-0005-0000-0000-00008D050000}"/>
    <cellStyle name="Millares 2 2 2 3 2 2 2" xfId="1422" xr:uid="{00000000-0005-0000-0000-00008E050000}"/>
    <cellStyle name="Millares 2 2 2 3 2 2 20" xfId="1423" xr:uid="{00000000-0005-0000-0000-00008F050000}"/>
    <cellStyle name="Millares 2 2 2 3 2 2 3" xfId="1424" xr:uid="{00000000-0005-0000-0000-000090050000}"/>
    <cellStyle name="Millares 2 2 2 3 2 2 4" xfId="1425" xr:uid="{00000000-0005-0000-0000-000091050000}"/>
    <cellStyle name="Millares 2 2 2 3 2 2 5" xfId="1426" xr:uid="{00000000-0005-0000-0000-000092050000}"/>
    <cellStyle name="Millares 2 2 2 3 2 2 6" xfId="1427" xr:uid="{00000000-0005-0000-0000-000093050000}"/>
    <cellStyle name="Millares 2 2 2 3 2 2 7" xfId="1428" xr:uid="{00000000-0005-0000-0000-000094050000}"/>
    <cellStyle name="Millares 2 2 2 3 2 2 8" xfId="1429" xr:uid="{00000000-0005-0000-0000-000095050000}"/>
    <cellStyle name="Millares 2 2 2 3 2 2 9" xfId="1430" xr:uid="{00000000-0005-0000-0000-000096050000}"/>
    <cellStyle name="Millares 2 2 2 3 2 20" xfId="1431" xr:uid="{00000000-0005-0000-0000-000097050000}"/>
    <cellStyle name="Millares 2 2 2 3 2 3" xfId="1432" xr:uid="{00000000-0005-0000-0000-000098050000}"/>
    <cellStyle name="Millares 2 2 2 3 2 4" xfId="1433" xr:uid="{00000000-0005-0000-0000-000099050000}"/>
    <cellStyle name="Millares 2 2 2 3 2 5" xfId="1434" xr:uid="{00000000-0005-0000-0000-00009A050000}"/>
    <cellStyle name="Millares 2 2 2 3 2 6" xfId="1435" xr:uid="{00000000-0005-0000-0000-00009B050000}"/>
    <cellStyle name="Millares 2 2 2 3 2 7" xfId="1436" xr:uid="{00000000-0005-0000-0000-00009C050000}"/>
    <cellStyle name="Millares 2 2 2 3 2 8" xfId="1437" xr:uid="{00000000-0005-0000-0000-00009D050000}"/>
    <cellStyle name="Millares 2 2 2 3 2 9" xfId="1438" xr:uid="{00000000-0005-0000-0000-00009E050000}"/>
    <cellStyle name="Millares 2 2 2 3 20" xfId="1439" xr:uid="{00000000-0005-0000-0000-00009F050000}"/>
    <cellStyle name="Millares 2 2 2 3 21" xfId="1440" xr:uid="{00000000-0005-0000-0000-0000A0050000}"/>
    <cellStyle name="Millares 2 2 2 3 22" xfId="1441" xr:uid="{00000000-0005-0000-0000-0000A1050000}"/>
    <cellStyle name="Millares 2 2 2 3 23" xfId="1442" xr:uid="{00000000-0005-0000-0000-0000A2050000}"/>
    <cellStyle name="Millares 2 2 2 3 24" xfId="1443" xr:uid="{00000000-0005-0000-0000-0000A3050000}"/>
    <cellStyle name="Millares 2 2 2 3 25" xfId="1444" xr:uid="{00000000-0005-0000-0000-0000A4050000}"/>
    <cellStyle name="Millares 2 2 2 3 26" xfId="1445" xr:uid="{00000000-0005-0000-0000-0000A5050000}"/>
    <cellStyle name="Millares 2 2 2 3 27" xfId="1446" xr:uid="{00000000-0005-0000-0000-0000A6050000}"/>
    <cellStyle name="Millares 2 2 2 3 28" xfId="1447" xr:uid="{00000000-0005-0000-0000-0000A7050000}"/>
    <cellStyle name="Millares 2 2 2 3 29" xfId="1448" xr:uid="{00000000-0005-0000-0000-0000A8050000}"/>
    <cellStyle name="Millares 2 2 2 3 3" xfId="1449" xr:uid="{00000000-0005-0000-0000-0000A9050000}"/>
    <cellStyle name="Millares 2 2 2 3 30" xfId="1450" xr:uid="{00000000-0005-0000-0000-0000AA050000}"/>
    <cellStyle name="Millares 2 2 2 3 31" xfId="1451" xr:uid="{00000000-0005-0000-0000-0000AB050000}"/>
    <cellStyle name="Millares 2 2 2 3 32" xfId="1452" xr:uid="{00000000-0005-0000-0000-0000AC050000}"/>
    <cellStyle name="Millares 2 2 2 3 33" xfId="1453" xr:uid="{00000000-0005-0000-0000-0000AD050000}"/>
    <cellStyle name="Millares 2 2 2 3 4" xfId="1454" xr:uid="{00000000-0005-0000-0000-0000AE050000}"/>
    <cellStyle name="Millares 2 2 2 3 5" xfId="1455" xr:uid="{00000000-0005-0000-0000-0000AF050000}"/>
    <cellStyle name="Millares 2 2 2 3 6" xfId="1456" xr:uid="{00000000-0005-0000-0000-0000B0050000}"/>
    <cellStyle name="Millares 2 2 2 3 7" xfId="1457" xr:uid="{00000000-0005-0000-0000-0000B1050000}"/>
    <cellStyle name="Millares 2 2 2 3 8" xfId="1458" xr:uid="{00000000-0005-0000-0000-0000B2050000}"/>
    <cellStyle name="Millares 2 2 2 3 9" xfId="1459" xr:uid="{00000000-0005-0000-0000-0000B3050000}"/>
    <cellStyle name="Millares 2 2 2 30" xfId="1460" xr:uid="{00000000-0005-0000-0000-0000B4050000}"/>
    <cellStyle name="Millares 2 2 2 31" xfId="1461" xr:uid="{00000000-0005-0000-0000-0000B5050000}"/>
    <cellStyle name="Millares 2 2 2 32" xfId="1462" xr:uid="{00000000-0005-0000-0000-0000B6050000}"/>
    <cellStyle name="Millares 2 2 2 33" xfId="1463" xr:uid="{00000000-0005-0000-0000-0000B7050000}"/>
    <cellStyle name="Millares 2 2 2 34" xfId="1464" xr:uid="{00000000-0005-0000-0000-0000B8050000}"/>
    <cellStyle name="Millares 2 2 2 35" xfId="1465" xr:uid="{00000000-0005-0000-0000-0000B9050000}"/>
    <cellStyle name="Millares 2 2 2 36" xfId="1466" xr:uid="{00000000-0005-0000-0000-0000BA050000}"/>
    <cellStyle name="Millares 2 2 2 37" xfId="1467" xr:uid="{00000000-0005-0000-0000-0000BB050000}"/>
    <cellStyle name="Millares 2 2 2 38" xfId="1468" xr:uid="{00000000-0005-0000-0000-0000BC050000}"/>
    <cellStyle name="Millares 2 2 2 39" xfId="1469" xr:uid="{00000000-0005-0000-0000-0000BD050000}"/>
    <cellStyle name="Millares 2 2 2 39 10" xfId="1470" xr:uid="{00000000-0005-0000-0000-0000BE050000}"/>
    <cellStyle name="Millares 2 2 2 39 2" xfId="1471" xr:uid="{00000000-0005-0000-0000-0000BF050000}"/>
    <cellStyle name="Millares 2 2 2 39 3" xfId="1472" xr:uid="{00000000-0005-0000-0000-0000C0050000}"/>
    <cellStyle name="Millares 2 2 2 39 4" xfId="1473" xr:uid="{00000000-0005-0000-0000-0000C1050000}"/>
    <cellStyle name="Millares 2 2 2 39 5" xfId="1474" xr:uid="{00000000-0005-0000-0000-0000C2050000}"/>
    <cellStyle name="Millares 2 2 2 39 6" xfId="1475" xr:uid="{00000000-0005-0000-0000-0000C3050000}"/>
    <cellStyle name="Millares 2 2 2 39 7" xfId="1476" xr:uid="{00000000-0005-0000-0000-0000C4050000}"/>
    <cellStyle name="Millares 2 2 2 39 8" xfId="1477" xr:uid="{00000000-0005-0000-0000-0000C5050000}"/>
    <cellStyle name="Millares 2 2 2 39 9" xfId="1478" xr:uid="{00000000-0005-0000-0000-0000C6050000}"/>
    <cellStyle name="Millares 2 2 2 4" xfId="1479" xr:uid="{00000000-0005-0000-0000-0000C7050000}"/>
    <cellStyle name="Millares 2 2 2 4 10" xfId="1480" xr:uid="{00000000-0005-0000-0000-0000C8050000}"/>
    <cellStyle name="Millares 2 2 2 4 11" xfId="1481" xr:uid="{00000000-0005-0000-0000-0000C9050000}"/>
    <cellStyle name="Millares 2 2 2 4 12" xfId="1482" xr:uid="{00000000-0005-0000-0000-0000CA050000}"/>
    <cellStyle name="Millares 2 2 2 4 13" xfId="1483" xr:uid="{00000000-0005-0000-0000-0000CB050000}"/>
    <cellStyle name="Millares 2 2 2 4 14" xfId="1484" xr:uid="{00000000-0005-0000-0000-0000CC050000}"/>
    <cellStyle name="Millares 2 2 2 4 15" xfId="1485" xr:uid="{00000000-0005-0000-0000-0000CD050000}"/>
    <cellStyle name="Millares 2 2 2 4 16" xfId="1486" xr:uid="{00000000-0005-0000-0000-0000CE050000}"/>
    <cellStyle name="Millares 2 2 2 4 17" xfId="1487" xr:uid="{00000000-0005-0000-0000-0000CF050000}"/>
    <cellStyle name="Millares 2 2 2 4 18" xfId="1488" xr:uid="{00000000-0005-0000-0000-0000D0050000}"/>
    <cellStyle name="Millares 2 2 2 4 19" xfId="1489" xr:uid="{00000000-0005-0000-0000-0000D1050000}"/>
    <cellStyle name="Millares 2 2 2 4 2" xfId="1490" xr:uid="{00000000-0005-0000-0000-0000D2050000}"/>
    <cellStyle name="Millares 2 2 2 4 2 10" xfId="1491" xr:uid="{00000000-0005-0000-0000-0000D3050000}"/>
    <cellStyle name="Millares 2 2 2 4 2 11" xfId="1492" xr:uid="{00000000-0005-0000-0000-0000D4050000}"/>
    <cellStyle name="Millares 2 2 2 4 2 12" xfId="1493" xr:uid="{00000000-0005-0000-0000-0000D5050000}"/>
    <cellStyle name="Millares 2 2 2 4 2 13" xfId="1494" xr:uid="{00000000-0005-0000-0000-0000D6050000}"/>
    <cellStyle name="Millares 2 2 2 4 2 14" xfId="1495" xr:uid="{00000000-0005-0000-0000-0000D7050000}"/>
    <cellStyle name="Millares 2 2 2 4 2 15" xfId="1496" xr:uid="{00000000-0005-0000-0000-0000D8050000}"/>
    <cellStyle name="Millares 2 2 2 4 2 16" xfId="1497" xr:uid="{00000000-0005-0000-0000-0000D9050000}"/>
    <cellStyle name="Millares 2 2 2 4 2 17" xfId="1498" xr:uid="{00000000-0005-0000-0000-0000DA050000}"/>
    <cellStyle name="Millares 2 2 2 4 2 18" xfId="1499" xr:uid="{00000000-0005-0000-0000-0000DB050000}"/>
    <cellStyle name="Millares 2 2 2 4 2 19" xfId="1500" xr:uid="{00000000-0005-0000-0000-0000DC050000}"/>
    <cellStyle name="Millares 2 2 2 4 2 2" xfId="1501" xr:uid="{00000000-0005-0000-0000-0000DD050000}"/>
    <cellStyle name="Millares 2 2 2 4 2 20" xfId="1502" xr:uid="{00000000-0005-0000-0000-0000DE050000}"/>
    <cellStyle name="Millares 2 2 2 4 2 3" xfId="1503" xr:uid="{00000000-0005-0000-0000-0000DF050000}"/>
    <cellStyle name="Millares 2 2 2 4 2 4" xfId="1504" xr:uid="{00000000-0005-0000-0000-0000E0050000}"/>
    <cellStyle name="Millares 2 2 2 4 2 5" xfId="1505" xr:uid="{00000000-0005-0000-0000-0000E1050000}"/>
    <cellStyle name="Millares 2 2 2 4 2 6" xfId="1506" xr:uid="{00000000-0005-0000-0000-0000E2050000}"/>
    <cellStyle name="Millares 2 2 2 4 2 7" xfId="1507" xr:uid="{00000000-0005-0000-0000-0000E3050000}"/>
    <cellStyle name="Millares 2 2 2 4 2 8" xfId="1508" xr:uid="{00000000-0005-0000-0000-0000E4050000}"/>
    <cellStyle name="Millares 2 2 2 4 2 9" xfId="1509" xr:uid="{00000000-0005-0000-0000-0000E5050000}"/>
    <cellStyle name="Millares 2 2 2 4 20" xfId="1510" xr:uid="{00000000-0005-0000-0000-0000E6050000}"/>
    <cellStyle name="Millares 2 2 2 4 3" xfId="1511" xr:uid="{00000000-0005-0000-0000-0000E7050000}"/>
    <cellStyle name="Millares 2 2 2 4 4" xfId="1512" xr:uid="{00000000-0005-0000-0000-0000E8050000}"/>
    <cellStyle name="Millares 2 2 2 4 5" xfId="1513" xr:uid="{00000000-0005-0000-0000-0000E9050000}"/>
    <cellStyle name="Millares 2 2 2 4 6" xfId="1514" xr:uid="{00000000-0005-0000-0000-0000EA050000}"/>
    <cellStyle name="Millares 2 2 2 4 7" xfId="1515" xr:uid="{00000000-0005-0000-0000-0000EB050000}"/>
    <cellStyle name="Millares 2 2 2 4 8" xfId="1516" xr:uid="{00000000-0005-0000-0000-0000EC050000}"/>
    <cellStyle name="Millares 2 2 2 4 9" xfId="1517" xr:uid="{00000000-0005-0000-0000-0000ED050000}"/>
    <cellStyle name="Millares 2 2 2 40" xfId="1518" xr:uid="{00000000-0005-0000-0000-0000EE050000}"/>
    <cellStyle name="Millares 2 2 2 41" xfId="1519" xr:uid="{00000000-0005-0000-0000-0000EF050000}"/>
    <cellStyle name="Millares 2 2 2 42" xfId="1520" xr:uid="{00000000-0005-0000-0000-0000F0050000}"/>
    <cellStyle name="Millares 2 2 2 43" xfId="1521" xr:uid="{00000000-0005-0000-0000-0000F1050000}"/>
    <cellStyle name="Millares 2 2 2 44" xfId="1522" xr:uid="{00000000-0005-0000-0000-0000F2050000}"/>
    <cellStyle name="Millares 2 2 2 45" xfId="1523" xr:uid="{00000000-0005-0000-0000-0000F3050000}"/>
    <cellStyle name="Millares 2 2 2 46" xfId="1524" xr:uid="{00000000-0005-0000-0000-0000F4050000}"/>
    <cellStyle name="Millares 2 2 2 47" xfId="1525" xr:uid="{00000000-0005-0000-0000-0000F5050000}"/>
    <cellStyle name="Millares 2 2 2 48" xfId="1526" xr:uid="{00000000-0005-0000-0000-0000F6050000}"/>
    <cellStyle name="Millares 2 2 2 49" xfId="1527" xr:uid="{00000000-0005-0000-0000-0000F7050000}"/>
    <cellStyle name="Millares 2 2 2 5" xfId="1528" xr:uid="{00000000-0005-0000-0000-0000F8050000}"/>
    <cellStyle name="Millares 2 2 2 6" xfId="1529" xr:uid="{00000000-0005-0000-0000-0000F9050000}"/>
    <cellStyle name="Millares 2 2 2 7" xfId="1530" xr:uid="{00000000-0005-0000-0000-0000FA050000}"/>
    <cellStyle name="Millares 2 2 2 8" xfId="1531" xr:uid="{00000000-0005-0000-0000-0000FB050000}"/>
    <cellStyle name="Millares 2 2 2 9" xfId="1532" xr:uid="{00000000-0005-0000-0000-0000FC050000}"/>
    <cellStyle name="Millares 2 2 20" xfId="1533" xr:uid="{00000000-0005-0000-0000-0000FD050000}"/>
    <cellStyle name="Millares 2 2 21" xfId="1534" xr:uid="{00000000-0005-0000-0000-0000FE050000}"/>
    <cellStyle name="Millares 2 2 22" xfId="1535" xr:uid="{00000000-0005-0000-0000-0000FF050000}"/>
    <cellStyle name="Millares 2 2 23" xfId="1536" xr:uid="{00000000-0005-0000-0000-000000060000}"/>
    <cellStyle name="Millares 2 2 24" xfId="1537" xr:uid="{00000000-0005-0000-0000-000001060000}"/>
    <cellStyle name="Millares 2 2 25" xfId="1538" xr:uid="{00000000-0005-0000-0000-000002060000}"/>
    <cellStyle name="Millares 2 2 26" xfId="1539" xr:uid="{00000000-0005-0000-0000-000003060000}"/>
    <cellStyle name="Millares 2 2 27" xfId="1540" xr:uid="{00000000-0005-0000-0000-000004060000}"/>
    <cellStyle name="Millares 2 2 28" xfId="1541" xr:uid="{00000000-0005-0000-0000-000005060000}"/>
    <cellStyle name="Millares 2 2 29" xfId="1542" xr:uid="{00000000-0005-0000-0000-000006060000}"/>
    <cellStyle name="Millares 2 2 3" xfId="1543" xr:uid="{00000000-0005-0000-0000-000007060000}"/>
    <cellStyle name="Millares 2 2 3 10" xfId="1544" xr:uid="{00000000-0005-0000-0000-000008060000}"/>
    <cellStyle name="Millares 2 2 3 11" xfId="1545" xr:uid="{00000000-0005-0000-0000-000009060000}"/>
    <cellStyle name="Millares 2 2 3 12" xfId="1546" xr:uid="{00000000-0005-0000-0000-00000A060000}"/>
    <cellStyle name="Millares 2 2 3 13" xfId="1547" xr:uid="{00000000-0005-0000-0000-00000B060000}"/>
    <cellStyle name="Millares 2 2 3 14" xfId="1548" xr:uid="{00000000-0005-0000-0000-00000C060000}"/>
    <cellStyle name="Millares 2 2 3 15" xfId="1549" xr:uid="{00000000-0005-0000-0000-00000D060000}"/>
    <cellStyle name="Millares 2 2 3 16" xfId="1550" xr:uid="{00000000-0005-0000-0000-00000E060000}"/>
    <cellStyle name="Millares 2 2 3 17" xfId="1551" xr:uid="{00000000-0005-0000-0000-00000F060000}"/>
    <cellStyle name="Millares 2 2 3 18" xfId="1552" xr:uid="{00000000-0005-0000-0000-000010060000}"/>
    <cellStyle name="Millares 2 2 3 19" xfId="1553" xr:uid="{00000000-0005-0000-0000-000011060000}"/>
    <cellStyle name="Millares 2 2 3 2" xfId="1554" xr:uid="{00000000-0005-0000-0000-000012060000}"/>
    <cellStyle name="Millares 2 2 3 2 10" xfId="1555" xr:uid="{00000000-0005-0000-0000-000013060000}"/>
    <cellStyle name="Millares 2 2 3 2 11" xfId="1556" xr:uid="{00000000-0005-0000-0000-000014060000}"/>
    <cellStyle name="Millares 2 2 3 2 12" xfId="1557" xr:uid="{00000000-0005-0000-0000-000015060000}"/>
    <cellStyle name="Millares 2 2 3 2 13" xfId="1558" xr:uid="{00000000-0005-0000-0000-000016060000}"/>
    <cellStyle name="Millares 2 2 3 2 14" xfId="1559" xr:uid="{00000000-0005-0000-0000-000017060000}"/>
    <cellStyle name="Millares 2 2 3 2 15" xfId="1560" xr:uid="{00000000-0005-0000-0000-000018060000}"/>
    <cellStyle name="Millares 2 2 3 2 16" xfId="1561" xr:uid="{00000000-0005-0000-0000-000019060000}"/>
    <cellStyle name="Millares 2 2 3 2 17" xfId="1562" xr:uid="{00000000-0005-0000-0000-00001A060000}"/>
    <cellStyle name="Millares 2 2 3 2 18" xfId="1563" xr:uid="{00000000-0005-0000-0000-00001B060000}"/>
    <cellStyle name="Millares 2 2 3 2 19" xfId="1564" xr:uid="{00000000-0005-0000-0000-00001C060000}"/>
    <cellStyle name="Millares 2 2 3 2 2" xfId="1565" xr:uid="{00000000-0005-0000-0000-00001D060000}"/>
    <cellStyle name="Millares 2 2 3 2 2 10" xfId="1566" xr:uid="{00000000-0005-0000-0000-00001E060000}"/>
    <cellStyle name="Millares 2 2 3 2 2 11" xfId="1567" xr:uid="{00000000-0005-0000-0000-00001F060000}"/>
    <cellStyle name="Millares 2 2 3 2 2 12" xfId="1568" xr:uid="{00000000-0005-0000-0000-000020060000}"/>
    <cellStyle name="Millares 2 2 3 2 2 13" xfId="1569" xr:uid="{00000000-0005-0000-0000-000021060000}"/>
    <cellStyle name="Millares 2 2 3 2 2 14" xfId="1570" xr:uid="{00000000-0005-0000-0000-000022060000}"/>
    <cellStyle name="Millares 2 2 3 2 2 15" xfId="1571" xr:uid="{00000000-0005-0000-0000-000023060000}"/>
    <cellStyle name="Millares 2 2 3 2 2 16" xfId="1572" xr:uid="{00000000-0005-0000-0000-000024060000}"/>
    <cellStyle name="Millares 2 2 3 2 2 17" xfId="1573" xr:uid="{00000000-0005-0000-0000-000025060000}"/>
    <cellStyle name="Millares 2 2 3 2 2 18" xfId="1574" xr:uid="{00000000-0005-0000-0000-000026060000}"/>
    <cellStyle name="Millares 2 2 3 2 2 19" xfId="1575" xr:uid="{00000000-0005-0000-0000-000027060000}"/>
    <cellStyle name="Millares 2 2 3 2 2 2" xfId="1576" xr:uid="{00000000-0005-0000-0000-000028060000}"/>
    <cellStyle name="Millares 2 2 3 2 2 20" xfId="1577" xr:uid="{00000000-0005-0000-0000-000029060000}"/>
    <cellStyle name="Millares 2 2 3 2 2 3" xfId="1578" xr:uid="{00000000-0005-0000-0000-00002A060000}"/>
    <cellStyle name="Millares 2 2 3 2 2 4" xfId="1579" xr:uid="{00000000-0005-0000-0000-00002B060000}"/>
    <cellStyle name="Millares 2 2 3 2 2 5" xfId="1580" xr:uid="{00000000-0005-0000-0000-00002C060000}"/>
    <cellStyle name="Millares 2 2 3 2 2 6" xfId="1581" xr:uid="{00000000-0005-0000-0000-00002D060000}"/>
    <cellStyle name="Millares 2 2 3 2 2 7" xfId="1582" xr:uid="{00000000-0005-0000-0000-00002E060000}"/>
    <cellStyle name="Millares 2 2 3 2 2 8" xfId="1583" xr:uid="{00000000-0005-0000-0000-00002F060000}"/>
    <cellStyle name="Millares 2 2 3 2 2 9" xfId="1584" xr:uid="{00000000-0005-0000-0000-000030060000}"/>
    <cellStyle name="Millares 2 2 3 2 20" xfId="1585" xr:uid="{00000000-0005-0000-0000-000031060000}"/>
    <cellStyle name="Millares 2 2 3 2 3" xfId="1586" xr:uid="{00000000-0005-0000-0000-000032060000}"/>
    <cellStyle name="Millares 2 2 3 2 4" xfId="1587" xr:uid="{00000000-0005-0000-0000-000033060000}"/>
    <cellStyle name="Millares 2 2 3 2 5" xfId="1588" xr:uid="{00000000-0005-0000-0000-000034060000}"/>
    <cellStyle name="Millares 2 2 3 2 6" xfId="1589" xr:uid="{00000000-0005-0000-0000-000035060000}"/>
    <cellStyle name="Millares 2 2 3 2 7" xfId="1590" xr:uid="{00000000-0005-0000-0000-000036060000}"/>
    <cellStyle name="Millares 2 2 3 2 8" xfId="1591" xr:uid="{00000000-0005-0000-0000-000037060000}"/>
    <cellStyle name="Millares 2 2 3 2 9" xfId="1592" xr:uid="{00000000-0005-0000-0000-000038060000}"/>
    <cellStyle name="Millares 2 2 3 20" xfId="1593" xr:uid="{00000000-0005-0000-0000-000039060000}"/>
    <cellStyle name="Millares 2 2 3 21" xfId="1594" xr:uid="{00000000-0005-0000-0000-00003A060000}"/>
    <cellStyle name="Millares 2 2 3 22" xfId="1595" xr:uid="{00000000-0005-0000-0000-00003B060000}"/>
    <cellStyle name="Millares 2 2 3 23" xfId="1596" xr:uid="{00000000-0005-0000-0000-00003C060000}"/>
    <cellStyle name="Millares 2 2 3 24" xfId="1597" xr:uid="{00000000-0005-0000-0000-00003D060000}"/>
    <cellStyle name="Millares 2 2 3 25" xfId="1598" xr:uid="{00000000-0005-0000-0000-00003E060000}"/>
    <cellStyle name="Millares 2 2 3 26" xfId="1599" xr:uid="{00000000-0005-0000-0000-00003F060000}"/>
    <cellStyle name="Millares 2 2 3 27" xfId="1600" xr:uid="{00000000-0005-0000-0000-000040060000}"/>
    <cellStyle name="Millares 2 2 3 28" xfId="1601" xr:uid="{00000000-0005-0000-0000-000041060000}"/>
    <cellStyle name="Millares 2 2 3 29" xfId="1602" xr:uid="{00000000-0005-0000-0000-000042060000}"/>
    <cellStyle name="Millares 2 2 3 3" xfId="1603" xr:uid="{00000000-0005-0000-0000-000043060000}"/>
    <cellStyle name="Millares 2 2 3 30" xfId="1604" xr:uid="{00000000-0005-0000-0000-000044060000}"/>
    <cellStyle name="Millares 2 2 3 31" xfId="1605" xr:uid="{00000000-0005-0000-0000-000045060000}"/>
    <cellStyle name="Millares 2 2 3 32" xfId="1606" xr:uid="{00000000-0005-0000-0000-000046060000}"/>
    <cellStyle name="Millares 2 2 3 33" xfId="1607" xr:uid="{00000000-0005-0000-0000-000047060000}"/>
    <cellStyle name="Millares 2 2 3 34" xfId="1608" xr:uid="{00000000-0005-0000-0000-000048060000}"/>
    <cellStyle name="Millares 2 2 3 35" xfId="1609" xr:uid="{00000000-0005-0000-0000-000049060000}"/>
    <cellStyle name="Millares 2 2 3 4" xfId="1610" xr:uid="{00000000-0005-0000-0000-00004A060000}"/>
    <cellStyle name="Millares 2 2 3 5" xfId="1611" xr:uid="{00000000-0005-0000-0000-00004B060000}"/>
    <cellStyle name="Millares 2 2 3 6" xfId="1612" xr:uid="{00000000-0005-0000-0000-00004C060000}"/>
    <cellStyle name="Millares 2 2 3 7" xfId="1613" xr:uid="{00000000-0005-0000-0000-00004D060000}"/>
    <cellStyle name="Millares 2 2 3 8" xfId="1614" xr:uid="{00000000-0005-0000-0000-00004E060000}"/>
    <cellStyle name="Millares 2 2 3 9" xfId="1615" xr:uid="{00000000-0005-0000-0000-00004F060000}"/>
    <cellStyle name="Millares 2 2 30" xfId="1616" xr:uid="{00000000-0005-0000-0000-000050060000}"/>
    <cellStyle name="Millares 2 2 31" xfId="1617" xr:uid="{00000000-0005-0000-0000-000051060000}"/>
    <cellStyle name="Millares 2 2 32" xfId="1618" xr:uid="{00000000-0005-0000-0000-000052060000}"/>
    <cellStyle name="Millares 2 2 33" xfId="1619" xr:uid="{00000000-0005-0000-0000-000053060000}"/>
    <cellStyle name="Millares 2 2 34" xfId="1620" xr:uid="{00000000-0005-0000-0000-000054060000}"/>
    <cellStyle name="Millares 2 2 35" xfId="1621" xr:uid="{00000000-0005-0000-0000-000055060000}"/>
    <cellStyle name="Millares 2 2 36" xfId="1622" xr:uid="{00000000-0005-0000-0000-000056060000}"/>
    <cellStyle name="Millares 2 2 37" xfId="1623" xr:uid="{00000000-0005-0000-0000-000057060000}"/>
    <cellStyle name="Millares 2 2 38" xfId="1624" xr:uid="{00000000-0005-0000-0000-000058060000}"/>
    <cellStyle name="Millares 2 2 39" xfId="1625" xr:uid="{00000000-0005-0000-0000-000059060000}"/>
    <cellStyle name="Millares 2 2 39 10" xfId="1626" xr:uid="{00000000-0005-0000-0000-00005A060000}"/>
    <cellStyle name="Millares 2 2 39 2" xfId="1627" xr:uid="{00000000-0005-0000-0000-00005B060000}"/>
    <cellStyle name="Millares 2 2 39 3" xfId="1628" xr:uid="{00000000-0005-0000-0000-00005C060000}"/>
    <cellStyle name="Millares 2 2 39 4" xfId="1629" xr:uid="{00000000-0005-0000-0000-00005D060000}"/>
    <cellStyle name="Millares 2 2 39 5" xfId="1630" xr:uid="{00000000-0005-0000-0000-00005E060000}"/>
    <cellStyle name="Millares 2 2 39 6" xfId="1631" xr:uid="{00000000-0005-0000-0000-00005F060000}"/>
    <cellStyle name="Millares 2 2 39 7" xfId="1632" xr:uid="{00000000-0005-0000-0000-000060060000}"/>
    <cellStyle name="Millares 2 2 39 8" xfId="1633" xr:uid="{00000000-0005-0000-0000-000061060000}"/>
    <cellStyle name="Millares 2 2 39 9" xfId="1634" xr:uid="{00000000-0005-0000-0000-000062060000}"/>
    <cellStyle name="Millares 2 2 4" xfId="1635" xr:uid="{00000000-0005-0000-0000-000063060000}"/>
    <cellStyle name="Millares 2 2 4 10" xfId="1636" xr:uid="{00000000-0005-0000-0000-000064060000}"/>
    <cellStyle name="Millares 2 2 4 11" xfId="1637" xr:uid="{00000000-0005-0000-0000-000065060000}"/>
    <cellStyle name="Millares 2 2 4 12" xfId="1638" xr:uid="{00000000-0005-0000-0000-000066060000}"/>
    <cellStyle name="Millares 2 2 4 13" xfId="1639" xr:uid="{00000000-0005-0000-0000-000067060000}"/>
    <cellStyle name="Millares 2 2 4 14" xfId="1640" xr:uid="{00000000-0005-0000-0000-000068060000}"/>
    <cellStyle name="Millares 2 2 4 15" xfId="1641" xr:uid="{00000000-0005-0000-0000-000069060000}"/>
    <cellStyle name="Millares 2 2 4 16" xfId="1642" xr:uid="{00000000-0005-0000-0000-00006A060000}"/>
    <cellStyle name="Millares 2 2 4 17" xfId="1643" xr:uid="{00000000-0005-0000-0000-00006B060000}"/>
    <cellStyle name="Millares 2 2 4 18" xfId="1644" xr:uid="{00000000-0005-0000-0000-00006C060000}"/>
    <cellStyle name="Millares 2 2 4 19" xfId="1645" xr:uid="{00000000-0005-0000-0000-00006D060000}"/>
    <cellStyle name="Millares 2 2 4 2" xfId="1646" xr:uid="{00000000-0005-0000-0000-00006E060000}"/>
    <cellStyle name="Millares 2 2 4 2 10" xfId="1647" xr:uid="{00000000-0005-0000-0000-00006F060000}"/>
    <cellStyle name="Millares 2 2 4 2 11" xfId="1648" xr:uid="{00000000-0005-0000-0000-000070060000}"/>
    <cellStyle name="Millares 2 2 4 2 12" xfId="1649" xr:uid="{00000000-0005-0000-0000-000071060000}"/>
    <cellStyle name="Millares 2 2 4 2 13" xfId="1650" xr:uid="{00000000-0005-0000-0000-000072060000}"/>
    <cellStyle name="Millares 2 2 4 2 14" xfId="1651" xr:uid="{00000000-0005-0000-0000-000073060000}"/>
    <cellStyle name="Millares 2 2 4 2 15" xfId="1652" xr:uid="{00000000-0005-0000-0000-000074060000}"/>
    <cellStyle name="Millares 2 2 4 2 16" xfId="1653" xr:uid="{00000000-0005-0000-0000-000075060000}"/>
    <cellStyle name="Millares 2 2 4 2 17" xfId="1654" xr:uid="{00000000-0005-0000-0000-000076060000}"/>
    <cellStyle name="Millares 2 2 4 2 18" xfId="1655" xr:uid="{00000000-0005-0000-0000-000077060000}"/>
    <cellStyle name="Millares 2 2 4 2 19" xfId="1656" xr:uid="{00000000-0005-0000-0000-000078060000}"/>
    <cellStyle name="Millares 2 2 4 2 2" xfId="1657" xr:uid="{00000000-0005-0000-0000-000079060000}"/>
    <cellStyle name="Millares 2 2 4 2 20" xfId="1658" xr:uid="{00000000-0005-0000-0000-00007A060000}"/>
    <cellStyle name="Millares 2 2 4 2 3" xfId="1659" xr:uid="{00000000-0005-0000-0000-00007B060000}"/>
    <cellStyle name="Millares 2 2 4 2 4" xfId="1660" xr:uid="{00000000-0005-0000-0000-00007C060000}"/>
    <cellStyle name="Millares 2 2 4 2 5" xfId="1661" xr:uid="{00000000-0005-0000-0000-00007D060000}"/>
    <cellStyle name="Millares 2 2 4 2 6" xfId="1662" xr:uid="{00000000-0005-0000-0000-00007E060000}"/>
    <cellStyle name="Millares 2 2 4 2 7" xfId="1663" xr:uid="{00000000-0005-0000-0000-00007F060000}"/>
    <cellStyle name="Millares 2 2 4 2 8" xfId="1664" xr:uid="{00000000-0005-0000-0000-000080060000}"/>
    <cellStyle name="Millares 2 2 4 2 9" xfId="1665" xr:uid="{00000000-0005-0000-0000-000081060000}"/>
    <cellStyle name="Millares 2 2 4 20" xfId="1666" xr:uid="{00000000-0005-0000-0000-000082060000}"/>
    <cellStyle name="Millares 2 2 4 3" xfId="1667" xr:uid="{00000000-0005-0000-0000-000083060000}"/>
    <cellStyle name="Millares 2 2 4 4" xfId="1668" xr:uid="{00000000-0005-0000-0000-000084060000}"/>
    <cellStyle name="Millares 2 2 4 5" xfId="1669" xr:uid="{00000000-0005-0000-0000-000085060000}"/>
    <cellStyle name="Millares 2 2 4 6" xfId="1670" xr:uid="{00000000-0005-0000-0000-000086060000}"/>
    <cellStyle name="Millares 2 2 4 7" xfId="1671" xr:uid="{00000000-0005-0000-0000-000087060000}"/>
    <cellStyle name="Millares 2 2 4 8" xfId="1672" xr:uid="{00000000-0005-0000-0000-000088060000}"/>
    <cellStyle name="Millares 2 2 4 9" xfId="1673" xr:uid="{00000000-0005-0000-0000-000089060000}"/>
    <cellStyle name="Millares 2 2 40" xfId="1674" xr:uid="{00000000-0005-0000-0000-00008A060000}"/>
    <cellStyle name="Millares 2 2 41" xfId="1675" xr:uid="{00000000-0005-0000-0000-00008B060000}"/>
    <cellStyle name="Millares 2 2 42" xfId="1676" xr:uid="{00000000-0005-0000-0000-00008C060000}"/>
    <cellStyle name="Millares 2 2 43" xfId="1677" xr:uid="{00000000-0005-0000-0000-00008D060000}"/>
    <cellStyle name="Millares 2 2 44" xfId="1678" xr:uid="{00000000-0005-0000-0000-00008E060000}"/>
    <cellStyle name="Millares 2 2 45" xfId="1679" xr:uid="{00000000-0005-0000-0000-00008F060000}"/>
    <cellStyle name="Millares 2 2 46" xfId="1680" xr:uid="{00000000-0005-0000-0000-000090060000}"/>
    <cellStyle name="Millares 2 2 47" xfId="1681" xr:uid="{00000000-0005-0000-0000-000091060000}"/>
    <cellStyle name="Millares 2 2 48" xfId="1682" xr:uid="{00000000-0005-0000-0000-000092060000}"/>
    <cellStyle name="Millares 2 2 5" xfId="1683" xr:uid="{00000000-0005-0000-0000-000093060000}"/>
    <cellStyle name="Millares 2 2 6" xfId="1684" xr:uid="{00000000-0005-0000-0000-000094060000}"/>
    <cellStyle name="Millares 2 2 7" xfId="1685" xr:uid="{00000000-0005-0000-0000-000095060000}"/>
    <cellStyle name="Millares 2 2 8" xfId="1686" xr:uid="{00000000-0005-0000-0000-000096060000}"/>
    <cellStyle name="Millares 2 2 9" xfId="1687" xr:uid="{00000000-0005-0000-0000-000097060000}"/>
    <cellStyle name="Millares 2 20" xfId="1688" xr:uid="{00000000-0005-0000-0000-000098060000}"/>
    <cellStyle name="Millares 2 22" xfId="1689" xr:uid="{00000000-0005-0000-0000-000099060000}"/>
    <cellStyle name="Millares 2 24" xfId="1690" xr:uid="{00000000-0005-0000-0000-00009A060000}"/>
    <cellStyle name="Millares 2 26" xfId="1691" xr:uid="{00000000-0005-0000-0000-00009B060000}"/>
    <cellStyle name="Millares 2 28" xfId="1692" xr:uid="{00000000-0005-0000-0000-00009C060000}"/>
    <cellStyle name="Millares 2 3" xfId="1693" xr:uid="{00000000-0005-0000-0000-00009D060000}"/>
    <cellStyle name="Millares 2 3 2" xfId="1694" xr:uid="{00000000-0005-0000-0000-00009E060000}"/>
    <cellStyle name="Millares 2 3 3" xfId="1695" xr:uid="{00000000-0005-0000-0000-00009F060000}"/>
    <cellStyle name="Millares 2 3 4" xfId="1696" xr:uid="{00000000-0005-0000-0000-0000A0060000}"/>
    <cellStyle name="Millares 2 3 5" xfId="1697" xr:uid="{00000000-0005-0000-0000-0000A1060000}"/>
    <cellStyle name="Millares 2 3 6" xfId="1698" xr:uid="{00000000-0005-0000-0000-0000A2060000}"/>
    <cellStyle name="Millares 2 30" xfId="1699" xr:uid="{00000000-0005-0000-0000-0000A3060000}"/>
    <cellStyle name="Millares 2 32" xfId="1700" xr:uid="{00000000-0005-0000-0000-0000A4060000}"/>
    <cellStyle name="Millares 2 34" xfId="1701" xr:uid="{00000000-0005-0000-0000-0000A5060000}"/>
    <cellStyle name="Millares 2 36" xfId="1702" xr:uid="{00000000-0005-0000-0000-0000A6060000}"/>
    <cellStyle name="Millares 2 4" xfId="1703" xr:uid="{00000000-0005-0000-0000-0000A7060000}"/>
    <cellStyle name="Millares 2 4 2" xfId="1704" xr:uid="{00000000-0005-0000-0000-0000A8060000}"/>
    <cellStyle name="Millares 2 4 3" xfId="1705" xr:uid="{00000000-0005-0000-0000-0000A9060000}"/>
    <cellStyle name="Millares 2 4 4" xfId="1706" xr:uid="{00000000-0005-0000-0000-0000AA060000}"/>
    <cellStyle name="Millares 2 4 5" xfId="1707" xr:uid="{00000000-0005-0000-0000-0000AB060000}"/>
    <cellStyle name="Millares 2 4 6" xfId="1708" xr:uid="{00000000-0005-0000-0000-0000AC060000}"/>
    <cellStyle name="Millares 2 4 7" xfId="1709" xr:uid="{00000000-0005-0000-0000-0000AD060000}"/>
    <cellStyle name="Millares 2 4 8" xfId="1710" xr:uid="{00000000-0005-0000-0000-0000AE060000}"/>
    <cellStyle name="Millares 2 5" xfId="1711" xr:uid="{00000000-0005-0000-0000-0000AF060000}"/>
    <cellStyle name="Millares 2 6" xfId="1712" xr:uid="{00000000-0005-0000-0000-0000B0060000}"/>
    <cellStyle name="Millares 2 6 2" xfId="1713" xr:uid="{00000000-0005-0000-0000-0000B1060000}"/>
    <cellStyle name="Millares 2 7" xfId="1714" xr:uid="{00000000-0005-0000-0000-0000B2060000}"/>
    <cellStyle name="Millares 2 7 2" xfId="1715" xr:uid="{00000000-0005-0000-0000-0000B3060000}"/>
    <cellStyle name="Millares 2 7 3" xfId="1716" xr:uid="{00000000-0005-0000-0000-0000B4060000}"/>
    <cellStyle name="Millares 2 8" xfId="1717" xr:uid="{00000000-0005-0000-0000-0000B5060000}"/>
    <cellStyle name="Millares 2 8 2" xfId="1718" xr:uid="{00000000-0005-0000-0000-0000B6060000}"/>
    <cellStyle name="Millares 2 8 3" xfId="1719" xr:uid="{00000000-0005-0000-0000-0000B7060000}"/>
    <cellStyle name="Millares 2 9" xfId="1720" xr:uid="{00000000-0005-0000-0000-0000B8060000}"/>
    <cellStyle name="Millares 2 9 2" xfId="1721" xr:uid="{00000000-0005-0000-0000-0000B9060000}"/>
    <cellStyle name="Millares 2 9 3" xfId="1722" xr:uid="{00000000-0005-0000-0000-0000BA060000}"/>
    <cellStyle name="Millares 20" xfId="1723" xr:uid="{00000000-0005-0000-0000-0000BB060000}"/>
    <cellStyle name="Millares 20 2" xfId="1724" xr:uid="{00000000-0005-0000-0000-0000BC060000}"/>
    <cellStyle name="Millares 21" xfId="1725" xr:uid="{00000000-0005-0000-0000-0000BD060000}"/>
    <cellStyle name="Millares 21 2" xfId="1726" xr:uid="{00000000-0005-0000-0000-0000BE060000}"/>
    <cellStyle name="Millares 22" xfId="1727" xr:uid="{00000000-0005-0000-0000-0000BF060000}"/>
    <cellStyle name="Millares 28" xfId="1728" xr:uid="{00000000-0005-0000-0000-0000C0060000}"/>
    <cellStyle name="Millares 28 10" xfId="1729" xr:uid="{00000000-0005-0000-0000-0000C1060000}"/>
    <cellStyle name="Millares 28 11" xfId="1730" xr:uid="{00000000-0005-0000-0000-0000C2060000}"/>
    <cellStyle name="Millares 28 12" xfId="1731" xr:uid="{00000000-0005-0000-0000-0000C3060000}"/>
    <cellStyle name="Millares 28 13" xfId="1732" xr:uid="{00000000-0005-0000-0000-0000C4060000}"/>
    <cellStyle name="Millares 28 14" xfId="1733" xr:uid="{00000000-0005-0000-0000-0000C5060000}"/>
    <cellStyle name="Millares 28 15" xfId="1734" xr:uid="{00000000-0005-0000-0000-0000C6060000}"/>
    <cellStyle name="Millares 28 16" xfId="1735" xr:uid="{00000000-0005-0000-0000-0000C7060000}"/>
    <cellStyle name="Millares 28 17" xfId="1736" xr:uid="{00000000-0005-0000-0000-0000C8060000}"/>
    <cellStyle name="Millares 28 18" xfId="1737" xr:uid="{00000000-0005-0000-0000-0000C9060000}"/>
    <cellStyle name="Millares 28 19" xfId="1738" xr:uid="{00000000-0005-0000-0000-0000CA060000}"/>
    <cellStyle name="Millares 28 2" xfId="1739" xr:uid="{00000000-0005-0000-0000-0000CB060000}"/>
    <cellStyle name="Millares 28 2 2" xfId="1740" xr:uid="{00000000-0005-0000-0000-0000CC060000}"/>
    <cellStyle name="Millares 28 2 3" xfId="1741" xr:uid="{00000000-0005-0000-0000-0000CD060000}"/>
    <cellStyle name="Millares 28 20" xfId="1742" xr:uid="{00000000-0005-0000-0000-0000CE060000}"/>
    <cellStyle name="Millares 28 21" xfId="1743" xr:uid="{00000000-0005-0000-0000-0000CF060000}"/>
    <cellStyle name="Millares 28 22" xfId="1744" xr:uid="{00000000-0005-0000-0000-0000D0060000}"/>
    <cellStyle name="Millares 28 23" xfId="1745" xr:uid="{00000000-0005-0000-0000-0000D1060000}"/>
    <cellStyle name="Millares 28 24" xfId="1746" xr:uid="{00000000-0005-0000-0000-0000D2060000}"/>
    <cellStyle name="Millares 28 25" xfId="1747" xr:uid="{00000000-0005-0000-0000-0000D3060000}"/>
    <cellStyle name="Millares 28 3" xfId="1748" xr:uid="{00000000-0005-0000-0000-0000D4060000}"/>
    <cellStyle name="Millares 28 3 2" xfId="1749" xr:uid="{00000000-0005-0000-0000-0000D5060000}"/>
    <cellStyle name="Millares 28 3 3" xfId="1750" xr:uid="{00000000-0005-0000-0000-0000D6060000}"/>
    <cellStyle name="Millares 28 4" xfId="1751" xr:uid="{00000000-0005-0000-0000-0000D7060000}"/>
    <cellStyle name="Millares 28 5" xfId="1752" xr:uid="{00000000-0005-0000-0000-0000D8060000}"/>
    <cellStyle name="Millares 28 6" xfId="1753" xr:uid="{00000000-0005-0000-0000-0000D9060000}"/>
    <cellStyle name="Millares 28 7" xfId="1754" xr:uid="{00000000-0005-0000-0000-0000DA060000}"/>
    <cellStyle name="Millares 28 8" xfId="1755" xr:uid="{00000000-0005-0000-0000-0000DB060000}"/>
    <cellStyle name="Millares 28 9" xfId="1756" xr:uid="{00000000-0005-0000-0000-0000DC060000}"/>
    <cellStyle name="Millares 29" xfId="1757" xr:uid="{00000000-0005-0000-0000-0000DD060000}"/>
    <cellStyle name="Millares 29 10" xfId="1758" xr:uid="{00000000-0005-0000-0000-0000DE060000}"/>
    <cellStyle name="Millares 29 11" xfId="1759" xr:uid="{00000000-0005-0000-0000-0000DF060000}"/>
    <cellStyle name="Millares 29 12" xfId="1760" xr:uid="{00000000-0005-0000-0000-0000E0060000}"/>
    <cellStyle name="Millares 29 13" xfId="1761" xr:uid="{00000000-0005-0000-0000-0000E1060000}"/>
    <cellStyle name="Millares 29 14" xfId="1762" xr:uid="{00000000-0005-0000-0000-0000E2060000}"/>
    <cellStyle name="Millares 29 15" xfId="1763" xr:uid="{00000000-0005-0000-0000-0000E3060000}"/>
    <cellStyle name="Millares 29 16" xfId="1764" xr:uid="{00000000-0005-0000-0000-0000E4060000}"/>
    <cellStyle name="Millares 29 17" xfId="1765" xr:uid="{00000000-0005-0000-0000-0000E5060000}"/>
    <cellStyle name="Millares 29 18" xfId="1766" xr:uid="{00000000-0005-0000-0000-0000E6060000}"/>
    <cellStyle name="Millares 29 19" xfId="1767" xr:uid="{00000000-0005-0000-0000-0000E7060000}"/>
    <cellStyle name="Millares 29 2" xfId="1768" xr:uid="{00000000-0005-0000-0000-0000E8060000}"/>
    <cellStyle name="Millares 29 2 2" xfId="1769" xr:uid="{00000000-0005-0000-0000-0000E9060000}"/>
    <cellStyle name="Millares 29 2 3" xfId="1770" xr:uid="{00000000-0005-0000-0000-0000EA060000}"/>
    <cellStyle name="Millares 29 20" xfId="1771" xr:uid="{00000000-0005-0000-0000-0000EB060000}"/>
    <cellStyle name="Millares 29 21" xfId="1772" xr:uid="{00000000-0005-0000-0000-0000EC060000}"/>
    <cellStyle name="Millares 29 22" xfId="1773" xr:uid="{00000000-0005-0000-0000-0000ED060000}"/>
    <cellStyle name="Millares 29 23" xfId="1774" xr:uid="{00000000-0005-0000-0000-0000EE060000}"/>
    <cellStyle name="Millares 29 24" xfId="1775" xr:uid="{00000000-0005-0000-0000-0000EF060000}"/>
    <cellStyle name="Millares 29 25" xfId="1776" xr:uid="{00000000-0005-0000-0000-0000F0060000}"/>
    <cellStyle name="Millares 29 3" xfId="1777" xr:uid="{00000000-0005-0000-0000-0000F1060000}"/>
    <cellStyle name="Millares 29 3 2" xfId="1778" xr:uid="{00000000-0005-0000-0000-0000F2060000}"/>
    <cellStyle name="Millares 29 3 3" xfId="1779" xr:uid="{00000000-0005-0000-0000-0000F3060000}"/>
    <cellStyle name="Millares 29 4" xfId="1780" xr:uid="{00000000-0005-0000-0000-0000F4060000}"/>
    <cellStyle name="Millares 29 5" xfId="1781" xr:uid="{00000000-0005-0000-0000-0000F5060000}"/>
    <cellStyle name="Millares 29 6" xfId="1782" xr:uid="{00000000-0005-0000-0000-0000F6060000}"/>
    <cellStyle name="Millares 29 7" xfId="1783" xr:uid="{00000000-0005-0000-0000-0000F7060000}"/>
    <cellStyle name="Millares 29 8" xfId="1784" xr:uid="{00000000-0005-0000-0000-0000F8060000}"/>
    <cellStyle name="Millares 29 9" xfId="1785" xr:uid="{00000000-0005-0000-0000-0000F9060000}"/>
    <cellStyle name="Millares 3" xfId="1786" xr:uid="{00000000-0005-0000-0000-0000FA060000}"/>
    <cellStyle name="Millares 3 10" xfId="1787" xr:uid="{00000000-0005-0000-0000-0000FB060000}"/>
    <cellStyle name="Millares 3 10 10" xfId="1788" xr:uid="{00000000-0005-0000-0000-0000FC060000}"/>
    <cellStyle name="Millares 3 10 11" xfId="1789" xr:uid="{00000000-0005-0000-0000-0000FD060000}"/>
    <cellStyle name="Millares 3 10 12" xfId="1790" xr:uid="{00000000-0005-0000-0000-0000FE060000}"/>
    <cellStyle name="Millares 3 10 13" xfId="1791" xr:uid="{00000000-0005-0000-0000-0000FF060000}"/>
    <cellStyle name="Millares 3 10 14" xfId="1792" xr:uid="{00000000-0005-0000-0000-000000070000}"/>
    <cellStyle name="Millares 3 10 15" xfId="1793" xr:uid="{00000000-0005-0000-0000-000001070000}"/>
    <cellStyle name="Millares 3 10 16" xfId="1794" xr:uid="{00000000-0005-0000-0000-000002070000}"/>
    <cellStyle name="Millares 3 10 17" xfId="1795" xr:uid="{00000000-0005-0000-0000-000003070000}"/>
    <cellStyle name="Millares 3 10 18" xfId="1796" xr:uid="{00000000-0005-0000-0000-000004070000}"/>
    <cellStyle name="Millares 3 10 19" xfId="1797" xr:uid="{00000000-0005-0000-0000-000005070000}"/>
    <cellStyle name="Millares 3 10 2" xfId="1798" xr:uid="{00000000-0005-0000-0000-000006070000}"/>
    <cellStyle name="Millares 3 10 2 10" xfId="1799" xr:uid="{00000000-0005-0000-0000-000007070000}"/>
    <cellStyle name="Millares 3 10 2 11" xfId="1800" xr:uid="{00000000-0005-0000-0000-000008070000}"/>
    <cellStyle name="Millares 3 10 2 12" xfId="1801" xr:uid="{00000000-0005-0000-0000-000009070000}"/>
    <cellStyle name="Millares 3 10 2 13" xfId="1802" xr:uid="{00000000-0005-0000-0000-00000A070000}"/>
    <cellStyle name="Millares 3 10 2 14" xfId="1803" xr:uid="{00000000-0005-0000-0000-00000B070000}"/>
    <cellStyle name="Millares 3 10 2 15" xfId="1804" xr:uid="{00000000-0005-0000-0000-00000C070000}"/>
    <cellStyle name="Millares 3 10 2 16" xfId="1805" xr:uid="{00000000-0005-0000-0000-00000D070000}"/>
    <cellStyle name="Millares 3 10 2 17" xfId="1806" xr:uid="{00000000-0005-0000-0000-00000E070000}"/>
    <cellStyle name="Millares 3 10 2 2" xfId="1807" xr:uid="{00000000-0005-0000-0000-00000F070000}"/>
    <cellStyle name="Millares 3 10 2 3" xfId="1808" xr:uid="{00000000-0005-0000-0000-000010070000}"/>
    <cellStyle name="Millares 3 10 2 3 2" xfId="1809" xr:uid="{00000000-0005-0000-0000-000011070000}"/>
    <cellStyle name="Millares 3 10 2 4" xfId="1810" xr:uid="{00000000-0005-0000-0000-000012070000}"/>
    <cellStyle name="Millares 3 10 2 5" xfId="1811" xr:uid="{00000000-0005-0000-0000-000013070000}"/>
    <cellStyle name="Millares 3 10 2 6" xfId="1812" xr:uid="{00000000-0005-0000-0000-000014070000}"/>
    <cellStyle name="Millares 3 10 2 7" xfId="1813" xr:uid="{00000000-0005-0000-0000-000015070000}"/>
    <cellStyle name="Millares 3 10 2 8" xfId="1814" xr:uid="{00000000-0005-0000-0000-000016070000}"/>
    <cellStyle name="Millares 3 10 2 9" xfId="1815" xr:uid="{00000000-0005-0000-0000-000017070000}"/>
    <cellStyle name="Millares 3 10 3" xfId="1816" xr:uid="{00000000-0005-0000-0000-000018070000}"/>
    <cellStyle name="Millares 3 10 4" xfId="1817" xr:uid="{00000000-0005-0000-0000-000019070000}"/>
    <cellStyle name="Millares 3 10 5" xfId="1818" xr:uid="{00000000-0005-0000-0000-00001A070000}"/>
    <cellStyle name="Millares 3 10 6" xfId="1819" xr:uid="{00000000-0005-0000-0000-00001B070000}"/>
    <cellStyle name="Millares 3 10 7" xfId="1820" xr:uid="{00000000-0005-0000-0000-00001C070000}"/>
    <cellStyle name="Millares 3 10 8" xfId="1821" xr:uid="{00000000-0005-0000-0000-00001D070000}"/>
    <cellStyle name="Millares 3 10 9" xfId="1822" xr:uid="{00000000-0005-0000-0000-00001E070000}"/>
    <cellStyle name="Millares 3 11" xfId="1823" xr:uid="{00000000-0005-0000-0000-00001F070000}"/>
    <cellStyle name="Millares 3 11 10" xfId="1824" xr:uid="{00000000-0005-0000-0000-000020070000}"/>
    <cellStyle name="Millares 3 11 11" xfId="1825" xr:uid="{00000000-0005-0000-0000-000021070000}"/>
    <cellStyle name="Millares 3 11 12" xfId="1826" xr:uid="{00000000-0005-0000-0000-000022070000}"/>
    <cellStyle name="Millares 3 11 13" xfId="1827" xr:uid="{00000000-0005-0000-0000-000023070000}"/>
    <cellStyle name="Millares 3 11 14" xfId="1828" xr:uid="{00000000-0005-0000-0000-000024070000}"/>
    <cellStyle name="Millares 3 11 15" xfId="1829" xr:uid="{00000000-0005-0000-0000-000025070000}"/>
    <cellStyle name="Millares 3 11 16" xfId="1830" xr:uid="{00000000-0005-0000-0000-000026070000}"/>
    <cellStyle name="Millares 3 11 17" xfId="1831" xr:uid="{00000000-0005-0000-0000-000027070000}"/>
    <cellStyle name="Millares 3 11 18" xfId="1832" xr:uid="{00000000-0005-0000-0000-000028070000}"/>
    <cellStyle name="Millares 3 11 19" xfId="1833" xr:uid="{00000000-0005-0000-0000-000029070000}"/>
    <cellStyle name="Millares 3 11 2" xfId="1834" xr:uid="{00000000-0005-0000-0000-00002A070000}"/>
    <cellStyle name="Millares 3 11 2 10" xfId="1835" xr:uid="{00000000-0005-0000-0000-00002B070000}"/>
    <cellStyle name="Millares 3 11 2 11" xfId="1836" xr:uid="{00000000-0005-0000-0000-00002C070000}"/>
    <cellStyle name="Millares 3 11 2 12" xfId="1837" xr:uid="{00000000-0005-0000-0000-00002D070000}"/>
    <cellStyle name="Millares 3 11 2 13" xfId="1838" xr:uid="{00000000-0005-0000-0000-00002E070000}"/>
    <cellStyle name="Millares 3 11 2 14" xfId="1839" xr:uid="{00000000-0005-0000-0000-00002F070000}"/>
    <cellStyle name="Millares 3 11 2 15" xfId="1840" xr:uid="{00000000-0005-0000-0000-000030070000}"/>
    <cellStyle name="Millares 3 11 2 16" xfId="1841" xr:uid="{00000000-0005-0000-0000-000031070000}"/>
    <cellStyle name="Millares 3 11 2 17" xfId="1842" xr:uid="{00000000-0005-0000-0000-000032070000}"/>
    <cellStyle name="Millares 3 11 2 2" xfId="1843" xr:uid="{00000000-0005-0000-0000-000033070000}"/>
    <cellStyle name="Millares 3 11 2 3" xfId="1844" xr:uid="{00000000-0005-0000-0000-000034070000}"/>
    <cellStyle name="Millares 3 11 2 3 2" xfId="1845" xr:uid="{00000000-0005-0000-0000-000035070000}"/>
    <cellStyle name="Millares 3 11 2 4" xfId="1846" xr:uid="{00000000-0005-0000-0000-000036070000}"/>
    <cellStyle name="Millares 3 11 2 5" xfId="1847" xr:uid="{00000000-0005-0000-0000-000037070000}"/>
    <cellStyle name="Millares 3 11 2 6" xfId="1848" xr:uid="{00000000-0005-0000-0000-000038070000}"/>
    <cellStyle name="Millares 3 11 2 7" xfId="1849" xr:uid="{00000000-0005-0000-0000-000039070000}"/>
    <cellStyle name="Millares 3 11 2 8" xfId="1850" xr:uid="{00000000-0005-0000-0000-00003A070000}"/>
    <cellStyle name="Millares 3 11 2 9" xfId="1851" xr:uid="{00000000-0005-0000-0000-00003B070000}"/>
    <cellStyle name="Millares 3 11 3" xfId="1852" xr:uid="{00000000-0005-0000-0000-00003C070000}"/>
    <cellStyle name="Millares 3 11 4" xfId="1853" xr:uid="{00000000-0005-0000-0000-00003D070000}"/>
    <cellStyle name="Millares 3 11 5" xfId="1854" xr:uid="{00000000-0005-0000-0000-00003E070000}"/>
    <cellStyle name="Millares 3 11 6" xfId="1855" xr:uid="{00000000-0005-0000-0000-00003F070000}"/>
    <cellStyle name="Millares 3 11 7" xfId="1856" xr:uid="{00000000-0005-0000-0000-000040070000}"/>
    <cellStyle name="Millares 3 11 8" xfId="1857" xr:uid="{00000000-0005-0000-0000-000041070000}"/>
    <cellStyle name="Millares 3 11 9" xfId="1858" xr:uid="{00000000-0005-0000-0000-000042070000}"/>
    <cellStyle name="Millares 3 12" xfId="1859" xr:uid="{00000000-0005-0000-0000-000043070000}"/>
    <cellStyle name="Millares 3 12 10" xfId="1860" xr:uid="{00000000-0005-0000-0000-000044070000}"/>
    <cellStyle name="Millares 3 12 11" xfId="1861" xr:uid="{00000000-0005-0000-0000-000045070000}"/>
    <cellStyle name="Millares 3 12 12" xfId="1862" xr:uid="{00000000-0005-0000-0000-000046070000}"/>
    <cellStyle name="Millares 3 12 13" xfId="1863" xr:uid="{00000000-0005-0000-0000-000047070000}"/>
    <cellStyle name="Millares 3 12 14" xfId="1864" xr:uid="{00000000-0005-0000-0000-000048070000}"/>
    <cellStyle name="Millares 3 12 15" xfId="1865" xr:uid="{00000000-0005-0000-0000-000049070000}"/>
    <cellStyle name="Millares 3 12 16" xfId="1866" xr:uid="{00000000-0005-0000-0000-00004A070000}"/>
    <cellStyle name="Millares 3 12 17" xfId="1867" xr:uid="{00000000-0005-0000-0000-00004B070000}"/>
    <cellStyle name="Millares 3 12 2" xfId="1868" xr:uid="{00000000-0005-0000-0000-00004C070000}"/>
    <cellStyle name="Millares 3 12 3" xfId="1869" xr:uid="{00000000-0005-0000-0000-00004D070000}"/>
    <cellStyle name="Millares 3 12 3 2" xfId="1870" xr:uid="{00000000-0005-0000-0000-00004E070000}"/>
    <cellStyle name="Millares 3 12 4" xfId="1871" xr:uid="{00000000-0005-0000-0000-00004F070000}"/>
    <cellStyle name="Millares 3 12 5" xfId="1872" xr:uid="{00000000-0005-0000-0000-000050070000}"/>
    <cellStyle name="Millares 3 12 6" xfId="1873" xr:uid="{00000000-0005-0000-0000-000051070000}"/>
    <cellStyle name="Millares 3 12 7" xfId="1874" xr:uid="{00000000-0005-0000-0000-000052070000}"/>
    <cellStyle name="Millares 3 12 8" xfId="1875" xr:uid="{00000000-0005-0000-0000-000053070000}"/>
    <cellStyle name="Millares 3 12 9" xfId="1876" xr:uid="{00000000-0005-0000-0000-000054070000}"/>
    <cellStyle name="Millares 3 13" xfId="1877" xr:uid="{00000000-0005-0000-0000-000055070000}"/>
    <cellStyle name="Millares 3 13 10" xfId="1878" xr:uid="{00000000-0005-0000-0000-000056070000}"/>
    <cellStyle name="Millares 3 13 11" xfId="1879" xr:uid="{00000000-0005-0000-0000-000057070000}"/>
    <cellStyle name="Millares 3 13 12" xfId="1880" xr:uid="{00000000-0005-0000-0000-000058070000}"/>
    <cellStyle name="Millares 3 13 13" xfId="1881" xr:uid="{00000000-0005-0000-0000-000059070000}"/>
    <cellStyle name="Millares 3 13 14" xfId="1882" xr:uid="{00000000-0005-0000-0000-00005A070000}"/>
    <cellStyle name="Millares 3 13 15" xfId="1883" xr:uid="{00000000-0005-0000-0000-00005B070000}"/>
    <cellStyle name="Millares 3 13 16" xfId="1884" xr:uid="{00000000-0005-0000-0000-00005C070000}"/>
    <cellStyle name="Millares 3 13 17" xfId="1885" xr:uid="{00000000-0005-0000-0000-00005D070000}"/>
    <cellStyle name="Millares 3 13 2" xfId="1886" xr:uid="{00000000-0005-0000-0000-00005E070000}"/>
    <cellStyle name="Millares 3 13 3" xfId="1887" xr:uid="{00000000-0005-0000-0000-00005F070000}"/>
    <cellStyle name="Millares 3 13 3 2" xfId="1888" xr:uid="{00000000-0005-0000-0000-000060070000}"/>
    <cellStyle name="Millares 3 13 4" xfId="1889" xr:uid="{00000000-0005-0000-0000-000061070000}"/>
    <cellStyle name="Millares 3 13 5" xfId="1890" xr:uid="{00000000-0005-0000-0000-000062070000}"/>
    <cellStyle name="Millares 3 13 6" xfId="1891" xr:uid="{00000000-0005-0000-0000-000063070000}"/>
    <cellStyle name="Millares 3 13 7" xfId="1892" xr:uid="{00000000-0005-0000-0000-000064070000}"/>
    <cellStyle name="Millares 3 13 8" xfId="1893" xr:uid="{00000000-0005-0000-0000-000065070000}"/>
    <cellStyle name="Millares 3 13 9" xfId="1894" xr:uid="{00000000-0005-0000-0000-000066070000}"/>
    <cellStyle name="Millares 3 14" xfId="1895" xr:uid="{00000000-0005-0000-0000-000067070000}"/>
    <cellStyle name="Millares 3 14 10" xfId="1896" xr:uid="{00000000-0005-0000-0000-000068070000}"/>
    <cellStyle name="Millares 3 14 11" xfId="1897" xr:uid="{00000000-0005-0000-0000-000069070000}"/>
    <cellStyle name="Millares 3 14 12" xfId="1898" xr:uid="{00000000-0005-0000-0000-00006A070000}"/>
    <cellStyle name="Millares 3 14 13" xfId="1899" xr:uid="{00000000-0005-0000-0000-00006B070000}"/>
    <cellStyle name="Millares 3 14 14" xfId="1900" xr:uid="{00000000-0005-0000-0000-00006C070000}"/>
    <cellStyle name="Millares 3 14 15" xfId="1901" xr:uid="{00000000-0005-0000-0000-00006D070000}"/>
    <cellStyle name="Millares 3 14 16" xfId="1902" xr:uid="{00000000-0005-0000-0000-00006E070000}"/>
    <cellStyle name="Millares 3 14 17" xfId="1903" xr:uid="{00000000-0005-0000-0000-00006F070000}"/>
    <cellStyle name="Millares 3 14 2" xfId="1904" xr:uid="{00000000-0005-0000-0000-000070070000}"/>
    <cellStyle name="Millares 3 14 3" xfId="1905" xr:uid="{00000000-0005-0000-0000-000071070000}"/>
    <cellStyle name="Millares 3 14 3 2" xfId="1906" xr:uid="{00000000-0005-0000-0000-000072070000}"/>
    <cellStyle name="Millares 3 14 4" xfId="1907" xr:uid="{00000000-0005-0000-0000-000073070000}"/>
    <cellStyle name="Millares 3 14 5" xfId="1908" xr:uid="{00000000-0005-0000-0000-000074070000}"/>
    <cellStyle name="Millares 3 14 6" xfId="1909" xr:uid="{00000000-0005-0000-0000-000075070000}"/>
    <cellStyle name="Millares 3 14 7" xfId="1910" xr:uid="{00000000-0005-0000-0000-000076070000}"/>
    <cellStyle name="Millares 3 14 8" xfId="1911" xr:uid="{00000000-0005-0000-0000-000077070000}"/>
    <cellStyle name="Millares 3 14 9" xfId="1912" xr:uid="{00000000-0005-0000-0000-000078070000}"/>
    <cellStyle name="Millares 3 15" xfId="1913" xr:uid="{00000000-0005-0000-0000-000079070000}"/>
    <cellStyle name="Millares 3 16" xfId="1914" xr:uid="{00000000-0005-0000-0000-00007A070000}"/>
    <cellStyle name="Millares 3 17" xfId="1915" xr:uid="{00000000-0005-0000-0000-00007B070000}"/>
    <cellStyle name="Millares 3 18" xfId="1916" xr:uid="{00000000-0005-0000-0000-00007C070000}"/>
    <cellStyle name="Millares 3 19" xfId="1917" xr:uid="{00000000-0005-0000-0000-00007D070000}"/>
    <cellStyle name="Millares 3 2" xfId="1918" xr:uid="{00000000-0005-0000-0000-00007E070000}"/>
    <cellStyle name="Millares 3 2 10" xfId="1919" xr:uid="{00000000-0005-0000-0000-00007F070000}"/>
    <cellStyle name="Millares 3 2 11" xfId="1920" xr:uid="{00000000-0005-0000-0000-000080070000}"/>
    <cellStyle name="Millares 3 2 12" xfId="1921" xr:uid="{00000000-0005-0000-0000-000081070000}"/>
    <cellStyle name="Millares 3 2 13" xfId="1922" xr:uid="{00000000-0005-0000-0000-000082070000}"/>
    <cellStyle name="Millares 3 2 14" xfId="1923" xr:uid="{00000000-0005-0000-0000-000083070000}"/>
    <cellStyle name="Millares 3 2 15" xfId="1924" xr:uid="{00000000-0005-0000-0000-000084070000}"/>
    <cellStyle name="Millares 3 2 16" xfId="1925" xr:uid="{00000000-0005-0000-0000-000085070000}"/>
    <cellStyle name="Millares 3 2 17" xfId="1926" xr:uid="{00000000-0005-0000-0000-000086070000}"/>
    <cellStyle name="Millares 3 2 18" xfId="1927" xr:uid="{00000000-0005-0000-0000-000087070000}"/>
    <cellStyle name="Millares 3 2 19" xfId="1928" xr:uid="{00000000-0005-0000-0000-000088070000}"/>
    <cellStyle name="Millares 3 2 2" xfId="1929" xr:uid="{00000000-0005-0000-0000-000089070000}"/>
    <cellStyle name="Millares 3 2 2 10" xfId="1930" xr:uid="{00000000-0005-0000-0000-00008A070000}"/>
    <cellStyle name="Millares 3 2 2 11" xfId="1931" xr:uid="{00000000-0005-0000-0000-00008B070000}"/>
    <cellStyle name="Millares 3 2 2 12" xfId="1932" xr:uid="{00000000-0005-0000-0000-00008C070000}"/>
    <cellStyle name="Millares 3 2 2 13" xfId="1933" xr:uid="{00000000-0005-0000-0000-00008D070000}"/>
    <cellStyle name="Millares 3 2 2 14" xfId="1934" xr:uid="{00000000-0005-0000-0000-00008E070000}"/>
    <cellStyle name="Millares 3 2 2 15" xfId="1935" xr:uid="{00000000-0005-0000-0000-00008F070000}"/>
    <cellStyle name="Millares 3 2 2 16" xfId="1936" xr:uid="{00000000-0005-0000-0000-000090070000}"/>
    <cellStyle name="Millares 3 2 2 17" xfId="1937" xr:uid="{00000000-0005-0000-0000-000091070000}"/>
    <cellStyle name="Millares 3 2 2 18" xfId="1938" xr:uid="{00000000-0005-0000-0000-000092070000}"/>
    <cellStyle name="Millares 3 2 2 2" xfId="1939" xr:uid="{00000000-0005-0000-0000-000093070000}"/>
    <cellStyle name="Millares 3 2 2 2 2" xfId="1940" xr:uid="{00000000-0005-0000-0000-000094070000}"/>
    <cellStyle name="Millares 3 2 2 2 2 2" xfId="1941" xr:uid="{00000000-0005-0000-0000-000095070000}"/>
    <cellStyle name="Millares 3 2 2 2 2 2 2" xfId="1942" xr:uid="{00000000-0005-0000-0000-000096070000}"/>
    <cellStyle name="Millares 3 2 2 2 2 2 2 2" xfId="1943" xr:uid="{00000000-0005-0000-0000-000097070000}"/>
    <cellStyle name="Millares 3 2 2 2 2 2 2 3" xfId="1944" xr:uid="{00000000-0005-0000-0000-000098070000}"/>
    <cellStyle name="Millares 3 2 2 2 2 2 3" xfId="1945" xr:uid="{00000000-0005-0000-0000-000099070000}"/>
    <cellStyle name="Millares 3 2 2 2 2 3" xfId="1946" xr:uid="{00000000-0005-0000-0000-00009A070000}"/>
    <cellStyle name="Millares 3 2 2 2 2 4" xfId="1947" xr:uid="{00000000-0005-0000-0000-00009B070000}"/>
    <cellStyle name="Millares 3 2 2 2 2 5" xfId="1948" xr:uid="{00000000-0005-0000-0000-00009C070000}"/>
    <cellStyle name="Millares 3 2 2 2 3" xfId="1949" xr:uid="{00000000-0005-0000-0000-00009D070000}"/>
    <cellStyle name="Millares 3 2 2 2 4" xfId="1950" xr:uid="{00000000-0005-0000-0000-00009E070000}"/>
    <cellStyle name="Millares 3 2 2 2 5" xfId="1951" xr:uid="{00000000-0005-0000-0000-00009F070000}"/>
    <cellStyle name="Millares 3 2 2 3" xfId="1952" xr:uid="{00000000-0005-0000-0000-0000A0070000}"/>
    <cellStyle name="Millares 3 2 2 4" xfId="1953" xr:uid="{00000000-0005-0000-0000-0000A1070000}"/>
    <cellStyle name="Millares 3 2 2 5" xfId="1954" xr:uid="{00000000-0005-0000-0000-0000A2070000}"/>
    <cellStyle name="Millares 3 2 2 5 10" xfId="1955" xr:uid="{00000000-0005-0000-0000-0000A3070000}"/>
    <cellStyle name="Millares 3 2 2 5 11" xfId="1956" xr:uid="{00000000-0005-0000-0000-0000A4070000}"/>
    <cellStyle name="Millares 3 2 2 5 12" xfId="1957" xr:uid="{00000000-0005-0000-0000-0000A5070000}"/>
    <cellStyle name="Millares 3 2 2 5 13" xfId="1958" xr:uid="{00000000-0005-0000-0000-0000A6070000}"/>
    <cellStyle name="Millares 3 2 2 5 14" xfId="1959" xr:uid="{00000000-0005-0000-0000-0000A7070000}"/>
    <cellStyle name="Millares 3 2 2 5 15" xfId="1960" xr:uid="{00000000-0005-0000-0000-0000A8070000}"/>
    <cellStyle name="Millares 3 2 2 5 16" xfId="1961" xr:uid="{00000000-0005-0000-0000-0000A9070000}"/>
    <cellStyle name="Millares 3 2 2 5 17" xfId="1962" xr:uid="{00000000-0005-0000-0000-0000AA070000}"/>
    <cellStyle name="Millares 3 2 2 5 18" xfId="1963" xr:uid="{00000000-0005-0000-0000-0000AB070000}"/>
    <cellStyle name="Millares 3 2 2 5 2" xfId="1964" xr:uid="{00000000-0005-0000-0000-0000AC070000}"/>
    <cellStyle name="Millares 3 2 2 5 2 10" xfId="1965" xr:uid="{00000000-0005-0000-0000-0000AD070000}"/>
    <cellStyle name="Millares 3 2 2 5 2 11" xfId="1966" xr:uid="{00000000-0005-0000-0000-0000AE070000}"/>
    <cellStyle name="Millares 3 2 2 5 2 12" xfId="1967" xr:uid="{00000000-0005-0000-0000-0000AF070000}"/>
    <cellStyle name="Millares 3 2 2 5 2 13" xfId="1968" xr:uid="{00000000-0005-0000-0000-0000B0070000}"/>
    <cellStyle name="Millares 3 2 2 5 2 14" xfId="1969" xr:uid="{00000000-0005-0000-0000-0000B1070000}"/>
    <cellStyle name="Millares 3 2 2 5 2 15" xfId="1970" xr:uid="{00000000-0005-0000-0000-0000B2070000}"/>
    <cellStyle name="Millares 3 2 2 5 2 2" xfId="1971" xr:uid="{00000000-0005-0000-0000-0000B3070000}"/>
    <cellStyle name="Millares 3 2 2 5 2 2 2" xfId="1972" xr:uid="{00000000-0005-0000-0000-0000B4070000}"/>
    <cellStyle name="Millares 3 2 2 5 2 2 3" xfId="1973" xr:uid="{00000000-0005-0000-0000-0000B5070000}"/>
    <cellStyle name="Millares 3 2 2 5 2 2 4" xfId="1974" xr:uid="{00000000-0005-0000-0000-0000B6070000}"/>
    <cellStyle name="Millares 3 2 2 5 2 2 5" xfId="1975" xr:uid="{00000000-0005-0000-0000-0000B7070000}"/>
    <cellStyle name="Millares 3 2 2 5 2 2 6" xfId="1976" xr:uid="{00000000-0005-0000-0000-0000B8070000}"/>
    <cellStyle name="Millares 3 2 2 5 2 3" xfId="1977" xr:uid="{00000000-0005-0000-0000-0000B9070000}"/>
    <cellStyle name="Millares 3 2 2 5 2 4" xfId="1978" xr:uid="{00000000-0005-0000-0000-0000BA070000}"/>
    <cellStyle name="Millares 3 2 2 5 2 5" xfId="1979" xr:uid="{00000000-0005-0000-0000-0000BB070000}"/>
    <cellStyle name="Millares 3 2 2 5 2 6" xfId="1980" xr:uid="{00000000-0005-0000-0000-0000BC070000}"/>
    <cellStyle name="Millares 3 2 2 5 2 7" xfId="1981" xr:uid="{00000000-0005-0000-0000-0000BD070000}"/>
    <cellStyle name="Millares 3 2 2 5 2 8" xfId="1982" xr:uid="{00000000-0005-0000-0000-0000BE070000}"/>
    <cellStyle name="Millares 3 2 2 5 2 9" xfId="1983" xr:uid="{00000000-0005-0000-0000-0000BF070000}"/>
    <cellStyle name="Millares 3 2 2 5 3" xfId="1984" xr:uid="{00000000-0005-0000-0000-0000C0070000}"/>
    <cellStyle name="Millares 3 2 2 5 3 10" xfId="1985" xr:uid="{00000000-0005-0000-0000-0000C1070000}"/>
    <cellStyle name="Millares 3 2 2 5 3 2" xfId="1986" xr:uid="{00000000-0005-0000-0000-0000C2070000}"/>
    <cellStyle name="Millares 3 2 2 5 3 3" xfId="1987" xr:uid="{00000000-0005-0000-0000-0000C3070000}"/>
    <cellStyle name="Millares 3 2 2 5 3 4" xfId="1988" xr:uid="{00000000-0005-0000-0000-0000C4070000}"/>
    <cellStyle name="Millares 3 2 2 5 3 5" xfId="1989" xr:uid="{00000000-0005-0000-0000-0000C5070000}"/>
    <cellStyle name="Millares 3 2 2 5 3 6" xfId="1990" xr:uid="{00000000-0005-0000-0000-0000C6070000}"/>
    <cellStyle name="Millares 3 2 2 5 3 7" xfId="1991" xr:uid="{00000000-0005-0000-0000-0000C7070000}"/>
    <cellStyle name="Millares 3 2 2 5 3 8" xfId="1992" xr:uid="{00000000-0005-0000-0000-0000C8070000}"/>
    <cellStyle name="Millares 3 2 2 5 3 9" xfId="1993" xr:uid="{00000000-0005-0000-0000-0000C9070000}"/>
    <cellStyle name="Millares 3 2 2 5 4" xfId="1994" xr:uid="{00000000-0005-0000-0000-0000CA070000}"/>
    <cellStyle name="Millares 3 2 2 5 5" xfId="1995" xr:uid="{00000000-0005-0000-0000-0000CB070000}"/>
    <cellStyle name="Millares 3 2 2 5 6" xfId="1996" xr:uid="{00000000-0005-0000-0000-0000CC070000}"/>
    <cellStyle name="Millares 3 2 2 5 7" xfId="1997" xr:uid="{00000000-0005-0000-0000-0000CD070000}"/>
    <cellStyle name="Millares 3 2 2 5 8" xfId="1998" xr:uid="{00000000-0005-0000-0000-0000CE070000}"/>
    <cellStyle name="Millares 3 2 2 5 9" xfId="1999" xr:uid="{00000000-0005-0000-0000-0000CF070000}"/>
    <cellStyle name="Millares 3 2 2 6" xfId="2000" xr:uid="{00000000-0005-0000-0000-0000D0070000}"/>
    <cellStyle name="Millares 3 2 2 7" xfId="2001" xr:uid="{00000000-0005-0000-0000-0000D1070000}"/>
    <cellStyle name="Millares 3 2 2 8" xfId="2002" xr:uid="{00000000-0005-0000-0000-0000D2070000}"/>
    <cellStyle name="Millares 3 2 2 9" xfId="2003" xr:uid="{00000000-0005-0000-0000-0000D3070000}"/>
    <cellStyle name="Millares 3 2 20" xfId="2004" xr:uid="{00000000-0005-0000-0000-0000D4070000}"/>
    <cellStyle name="Millares 3 2 21" xfId="2005" xr:uid="{00000000-0005-0000-0000-0000D5070000}"/>
    <cellStyle name="Millares 3 2 22" xfId="2006" xr:uid="{00000000-0005-0000-0000-0000D6070000}"/>
    <cellStyle name="Millares 3 2 23" xfId="2007" xr:uid="{00000000-0005-0000-0000-0000D7070000}"/>
    <cellStyle name="Millares 3 2 24" xfId="2008" xr:uid="{00000000-0005-0000-0000-0000D8070000}"/>
    <cellStyle name="Millares 3 2 3" xfId="2009" xr:uid="{00000000-0005-0000-0000-0000D9070000}"/>
    <cellStyle name="Millares 3 2 4" xfId="2010" xr:uid="{00000000-0005-0000-0000-0000DA070000}"/>
    <cellStyle name="Millares 3 2 5" xfId="2011" xr:uid="{00000000-0005-0000-0000-0000DB070000}"/>
    <cellStyle name="Millares 3 2 6" xfId="2012" xr:uid="{00000000-0005-0000-0000-0000DC070000}"/>
    <cellStyle name="Millares 3 2 7" xfId="2013" xr:uid="{00000000-0005-0000-0000-0000DD070000}"/>
    <cellStyle name="Millares 3 2 8" xfId="2014" xr:uid="{00000000-0005-0000-0000-0000DE070000}"/>
    <cellStyle name="Millares 3 2 9" xfId="2015" xr:uid="{00000000-0005-0000-0000-0000DF070000}"/>
    <cellStyle name="Millares 3 20" xfId="2016" xr:uid="{00000000-0005-0000-0000-0000E0070000}"/>
    <cellStyle name="Millares 3 21" xfId="2017" xr:uid="{00000000-0005-0000-0000-0000E1070000}"/>
    <cellStyle name="Millares 3 22" xfId="2018" xr:uid="{00000000-0005-0000-0000-0000E2070000}"/>
    <cellStyle name="Millares 3 23" xfId="2019" xr:uid="{00000000-0005-0000-0000-0000E3070000}"/>
    <cellStyle name="Millares 3 24" xfId="2020" xr:uid="{00000000-0005-0000-0000-0000E4070000}"/>
    <cellStyle name="Millares 3 25" xfId="2021" xr:uid="{00000000-0005-0000-0000-0000E5070000}"/>
    <cellStyle name="Millares 3 26" xfId="2022" xr:uid="{00000000-0005-0000-0000-0000E6070000}"/>
    <cellStyle name="Millares 3 27" xfId="2023" xr:uid="{00000000-0005-0000-0000-0000E7070000}"/>
    <cellStyle name="Millares 3 28" xfId="2024" xr:uid="{00000000-0005-0000-0000-0000E8070000}"/>
    <cellStyle name="Millares 3 29" xfId="2025" xr:uid="{00000000-0005-0000-0000-0000E9070000}"/>
    <cellStyle name="Millares 3 3" xfId="2026" xr:uid="{00000000-0005-0000-0000-0000EA070000}"/>
    <cellStyle name="Millares 3 30" xfId="2027" xr:uid="{00000000-0005-0000-0000-0000EB070000}"/>
    <cellStyle name="Millares 3 4" xfId="2028" xr:uid="{00000000-0005-0000-0000-0000EC070000}"/>
    <cellStyle name="Millares 3 5" xfId="2029" xr:uid="{00000000-0005-0000-0000-0000ED070000}"/>
    <cellStyle name="Millares 3 6" xfId="2030" xr:uid="{00000000-0005-0000-0000-0000EE070000}"/>
    <cellStyle name="Millares 3 7" xfId="2031" xr:uid="{00000000-0005-0000-0000-0000EF070000}"/>
    <cellStyle name="Millares 3 8" xfId="2032" xr:uid="{00000000-0005-0000-0000-0000F0070000}"/>
    <cellStyle name="Millares 3 9" xfId="2033" xr:uid="{00000000-0005-0000-0000-0000F1070000}"/>
    <cellStyle name="Millares 30" xfId="2034" xr:uid="{00000000-0005-0000-0000-0000F2070000}"/>
    <cellStyle name="Millares 30 10" xfId="2035" xr:uid="{00000000-0005-0000-0000-0000F3070000}"/>
    <cellStyle name="Millares 30 11" xfId="2036" xr:uid="{00000000-0005-0000-0000-0000F4070000}"/>
    <cellStyle name="Millares 30 12" xfId="2037" xr:uid="{00000000-0005-0000-0000-0000F5070000}"/>
    <cellStyle name="Millares 30 13" xfId="2038" xr:uid="{00000000-0005-0000-0000-0000F6070000}"/>
    <cellStyle name="Millares 30 14" xfId="2039" xr:uid="{00000000-0005-0000-0000-0000F7070000}"/>
    <cellStyle name="Millares 30 15" xfId="2040" xr:uid="{00000000-0005-0000-0000-0000F8070000}"/>
    <cellStyle name="Millares 30 16" xfId="2041" xr:uid="{00000000-0005-0000-0000-0000F9070000}"/>
    <cellStyle name="Millares 30 17" xfId="2042" xr:uid="{00000000-0005-0000-0000-0000FA070000}"/>
    <cellStyle name="Millares 30 18" xfId="2043" xr:uid="{00000000-0005-0000-0000-0000FB070000}"/>
    <cellStyle name="Millares 30 19" xfId="2044" xr:uid="{00000000-0005-0000-0000-0000FC070000}"/>
    <cellStyle name="Millares 30 2" xfId="2045" xr:uid="{00000000-0005-0000-0000-0000FD070000}"/>
    <cellStyle name="Millares 30 2 2" xfId="2046" xr:uid="{00000000-0005-0000-0000-0000FE070000}"/>
    <cellStyle name="Millares 30 2 3" xfId="2047" xr:uid="{00000000-0005-0000-0000-0000FF070000}"/>
    <cellStyle name="Millares 30 20" xfId="2048" xr:uid="{00000000-0005-0000-0000-000000080000}"/>
    <cellStyle name="Millares 30 21" xfId="2049" xr:uid="{00000000-0005-0000-0000-000001080000}"/>
    <cellStyle name="Millares 30 22" xfId="2050" xr:uid="{00000000-0005-0000-0000-000002080000}"/>
    <cellStyle name="Millares 30 23" xfId="2051" xr:uid="{00000000-0005-0000-0000-000003080000}"/>
    <cellStyle name="Millares 30 24" xfId="2052" xr:uid="{00000000-0005-0000-0000-000004080000}"/>
    <cellStyle name="Millares 30 25" xfId="2053" xr:uid="{00000000-0005-0000-0000-000005080000}"/>
    <cellStyle name="Millares 30 3" xfId="2054" xr:uid="{00000000-0005-0000-0000-000006080000}"/>
    <cellStyle name="Millares 30 3 2" xfId="2055" xr:uid="{00000000-0005-0000-0000-000007080000}"/>
    <cellStyle name="Millares 30 3 3" xfId="2056" xr:uid="{00000000-0005-0000-0000-000008080000}"/>
    <cellStyle name="Millares 30 4" xfId="2057" xr:uid="{00000000-0005-0000-0000-000009080000}"/>
    <cellStyle name="Millares 30 5" xfId="2058" xr:uid="{00000000-0005-0000-0000-00000A080000}"/>
    <cellStyle name="Millares 30 6" xfId="2059" xr:uid="{00000000-0005-0000-0000-00000B080000}"/>
    <cellStyle name="Millares 30 7" xfId="2060" xr:uid="{00000000-0005-0000-0000-00000C080000}"/>
    <cellStyle name="Millares 30 8" xfId="2061" xr:uid="{00000000-0005-0000-0000-00000D080000}"/>
    <cellStyle name="Millares 30 9" xfId="2062" xr:uid="{00000000-0005-0000-0000-00000E080000}"/>
    <cellStyle name="Millares 4" xfId="2063" xr:uid="{00000000-0005-0000-0000-00000F080000}"/>
    <cellStyle name="Millares 4 2" xfId="2064" xr:uid="{00000000-0005-0000-0000-000010080000}"/>
    <cellStyle name="Millares 4 3" xfId="2065" xr:uid="{00000000-0005-0000-0000-000011080000}"/>
    <cellStyle name="Millares 5" xfId="2066" xr:uid="{00000000-0005-0000-0000-000012080000}"/>
    <cellStyle name="Millares 5 10" xfId="2067" xr:uid="{00000000-0005-0000-0000-000013080000}"/>
    <cellStyle name="Millares 5 11" xfId="2068" xr:uid="{00000000-0005-0000-0000-000014080000}"/>
    <cellStyle name="Millares 5 12" xfId="2069" xr:uid="{00000000-0005-0000-0000-000015080000}"/>
    <cellStyle name="Millares 5 13" xfId="2070" xr:uid="{00000000-0005-0000-0000-000016080000}"/>
    <cellStyle name="Millares 5 14" xfId="2071" xr:uid="{00000000-0005-0000-0000-000017080000}"/>
    <cellStyle name="Millares 5 15" xfId="2072" xr:uid="{00000000-0005-0000-0000-000018080000}"/>
    <cellStyle name="Millares 5 16" xfId="2073" xr:uid="{00000000-0005-0000-0000-000019080000}"/>
    <cellStyle name="Millares 5 17" xfId="2074" xr:uid="{00000000-0005-0000-0000-00001A080000}"/>
    <cellStyle name="Millares 5 18" xfId="2075" xr:uid="{00000000-0005-0000-0000-00001B080000}"/>
    <cellStyle name="Millares 5 19" xfId="2076" xr:uid="{00000000-0005-0000-0000-00001C080000}"/>
    <cellStyle name="Millares 5 2" xfId="2077" xr:uid="{00000000-0005-0000-0000-00001D080000}"/>
    <cellStyle name="Millares 5 2 2" xfId="2078" xr:uid="{00000000-0005-0000-0000-00001E080000}"/>
    <cellStyle name="Millares 5 20" xfId="2079" xr:uid="{00000000-0005-0000-0000-00001F080000}"/>
    <cellStyle name="Millares 5 21" xfId="2080" xr:uid="{00000000-0005-0000-0000-000020080000}"/>
    <cellStyle name="Millares 5 22" xfId="2081" xr:uid="{00000000-0005-0000-0000-000021080000}"/>
    <cellStyle name="Millares 5 23" xfId="2082" xr:uid="{00000000-0005-0000-0000-000022080000}"/>
    <cellStyle name="Millares 5 24" xfId="2083" xr:uid="{00000000-0005-0000-0000-000023080000}"/>
    <cellStyle name="Millares 5 25" xfId="2084" xr:uid="{00000000-0005-0000-0000-000024080000}"/>
    <cellStyle name="Millares 5 26" xfId="2085" xr:uid="{00000000-0005-0000-0000-000025080000}"/>
    <cellStyle name="Millares 5 3" xfId="2086" xr:uid="{00000000-0005-0000-0000-000026080000}"/>
    <cellStyle name="Millares 5 4" xfId="2087" xr:uid="{00000000-0005-0000-0000-000027080000}"/>
    <cellStyle name="Millares 5 5" xfId="2088" xr:uid="{00000000-0005-0000-0000-000028080000}"/>
    <cellStyle name="Millares 5 6" xfId="2089" xr:uid="{00000000-0005-0000-0000-000029080000}"/>
    <cellStyle name="Millares 5 7" xfId="2090" xr:uid="{00000000-0005-0000-0000-00002A080000}"/>
    <cellStyle name="Millares 5 8" xfId="2091" xr:uid="{00000000-0005-0000-0000-00002B080000}"/>
    <cellStyle name="Millares 5 9" xfId="2092" xr:uid="{00000000-0005-0000-0000-00002C080000}"/>
    <cellStyle name="Millares 6" xfId="2093" xr:uid="{00000000-0005-0000-0000-00002D080000}"/>
    <cellStyle name="Millares 6 2" xfId="2094" xr:uid="{00000000-0005-0000-0000-00002E080000}"/>
    <cellStyle name="Millares 7" xfId="2095" xr:uid="{00000000-0005-0000-0000-00002F080000}"/>
    <cellStyle name="Millares 7 10" xfId="2096" xr:uid="{00000000-0005-0000-0000-000030080000}"/>
    <cellStyle name="Millares 7 11" xfId="2097" xr:uid="{00000000-0005-0000-0000-000031080000}"/>
    <cellStyle name="Millares 7 12" xfId="2098" xr:uid="{00000000-0005-0000-0000-000032080000}"/>
    <cellStyle name="Millares 7 13" xfId="2099" xr:uid="{00000000-0005-0000-0000-000033080000}"/>
    <cellStyle name="Millares 7 14" xfId="2100" xr:uid="{00000000-0005-0000-0000-000034080000}"/>
    <cellStyle name="Millares 7 15" xfId="2101" xr:uid="{00000000-0005-0000-0000-000035080000}"/>
    <cellStyle name="Millares 7 16" xfId="2102" xr:uid="{00000000-0005-0000-0000-000036080000}"/>
    <cellStyle name="Millares 7 17" xfId="2103" xr:uid="{00000000-0005-0000-0000-000037080000}"/>
    <cellStyle name="Millares 7 18" xfId="2104" xr:uid="{00000000-0005-0000-0000-000038080000}"/>
    <cellStyle name="Millares 7 19" xfId="2105" xr:uid="{00000000-0005-0000-0000-000039080000}"/>
    <cellStyle name="Millares 7 2" xfId="2106" xr:uid="{00000000-0005-0000-0000-00003A080000}"/>
    <cellStyle name="Millares 7 20" xfId="2107" xr:uid="{00000000-0005-0000-0000-00003B080000}"/>
    <cellStyle name="Millares 7 21" xfId="2108" xr:uid="{00000000-0005-0000-0000-00003C080000}"/>
    <cellStyle name="Millares 7 22" xfId="2109" xr:uid="{00000000-0005-0000-0000-00003D080000}"/>
    <cellStyle name="Millares 7 23" xfId="2110" xr:uid="{00000000-0005-0000-0000-00003E080000}"/>
    <cellStyle name="Millares 7 24" xfId="2111" xr:uid="{00000000-0005-0000-0000-00003F080000}"/>
    <cellStyle name="Millares 7 3" xfId="2112" xr:uid="{00000000-0005-0000-0000-000040080000}"/>
    <cellStyle name="Millares 7 4" xfId="2113" xr:uid="{00000000-0005-0000-0000-000041080000}"/>
    <cellStyle name="Millares 7 5" xfId="2114" xr:uid="{00000000-0005-0000-0000-000042080000}"/>
    <cellStyle name="Millares 7 6" xfId="2115" xr:uid="{00000000-0005-0000-0000-000043080000}"/>
    <cellStyle name="Millares 7 7" xfId="2116" xr:uid="{00000000-0005-0000-0000-000044080000}"/>
    <cellStyle name="Millares 7 8" xfId="2117" xr:uid="{00000000-0005-0000-0000-000045080000}"/>
    <cellStyle name="Millares 7 9" xfId="2118" xr:uid="{00000000-0005-0000-0000-000046080000}"/>
    <cellStyle name="Millares 8" xfId="2119" xr:uid="{00000000-0005-0000-0000-000047080000}"/>
    <cellStyle name="Millares 8 10" xfId="2120" xr:uid="{00000000-0005-0000-0000-000048080000}"/>
    <cellStyle name="Millares 8 11" xfId="2121" xr:uid="{00000000-0005-0000-0000-000049080000}"/>
    <cellStyle name="Millares 8 12" xfId="2122" xr:uid="{00000000-0005-0000-0000-00004A080000}"/>
    <cellStyle name="Millares 8 13" xfId="2123" xr:uid="{00000000-0005-0000-0000-00004B080000}"/>
    <cellStyle name="Millares 8 14" xfId="2124" xr:uid="{00000000-0005-0000-0000-00004C080000}"/>
    <cellStyle name="Millares 8 15" xfId="2125" xr:uid="{00000000-0005-0000-0000-00004D080000}"/>
    <cellStyle name="Millares 8 16" xfId="2126" xr:uid="{00000000-0005-0000-0000-00004E080000}"/>
    <cellStyle name="Millares 8 17" xfId="2127" xr:uid="{00000000-0005-0000-0000-00004F080000}"/>
    <cellStyle name="Millares 8 18" xfId="2128" xr:uid="{00000000-0005-0000-0000-000050080000}"/>
    <cellStyle name="Millares 8 19" xfId="2129" xr:uid="{00000000-0005-0000-0000-000051080000}"/>
    <cellStyle name="Millares 8 2" xfId="2130" xr:uid="{00000000-0005-0000-0000-000052080000}"/>
    <cellStyle name="Millares 8 20" xfId="2131" xr:uid="{00000000-0005-0000-0000-000053080000}"/>
    <cellStyle name="Millares 8 21" xfId="2132" xr:uid="{00000000-0005-0000-0000-000054080000}"/>
    <cellStyle name="Millares 8 22" xfId="2133" xr:uid="{00000000-0005-0000-0000-000055080000}"/>
    <cellStyle name="Millares 8 23" xfId="2134" xr:uid="{00000000-0005-0000-0000-000056080000}"/>
    <cellStyle name="Millares 8 24" xfId="2135" xr:uid="{00000000-0005-0000-0000-000057080000}"/>
    <cellStyle name="Millares 8 3" xfId="2136" xr:uid="{00000000-0005-0000-0000-000058080000}"/>
    <cellStyle name="Millares 8 4" xfId="2137" xr:uid="{00000000-0005-0000-0000-000059080000}"/>
    <cellStyle name="Millares 8 5" xfId="2138" xr:uid="{00000000-0005-0000-0000-00005A080000}"/>
    <cellStyle name="Millares 8 6" xfId="2139" xr:uid="{00000000-0005-0000-0000-00005B080000}"/>
    <cellStyle name="Millares 8 7" xfId="2140" xr:uid="{00000000-0005-0000-0000-00005C080000}"/>
    <cellStyle name="Millares 8 8" xfId="2141" xr:uid="{00000000-0005-0000-0000-00005D080000}"/>
    <cellStyle name="Millares 8 9" xfId="2142" xr:uid="{00000000-0005-0000-0000-00005E080000}"/>
    <cellStyle name="Millares 9" xfId="2143" xr:uid="{00000000-0005-0000-0000-00005F080000}"/>
    <cellStyle name="Moneda" xfId="39124" builtinId="4"/>
    <cellStyle name="Moneda 2" xfId="5" xr:uid="{00000000-0005-0000-0000-000005000000}"/>
    <cellStyle name="Moneda 2 10" xfId="2144" xr:uid="{00000000-0005-0000-0000-000060080000}"/>
    <cellStyle name="Moneda 2 2" xfId="2145" xr:uid="{00000000-0005-0000-0000-000061080000}"/>
    <cellStyle name="Moneda 2 2 2" xfId="2146" xr:uid="{00000000-0005-0000-0000-000062080000}"/>
    <cellStyle name="Moneda 2 2 3" xfId="2147" xr:uid="{00000000-0005-0000-0000-000063080000}"/>
    <cellStyle name="Moneda 2 3" xfId="2148" xr:uid="{00000000-0005-0000-0000-000064080000}"/>
    <cellStyle name="Moneda 2 3 2" xfId="2149" xr:uid="{00000000-0005-0000-0000-000065080000}"/>
    <cellStyle name="Moneda 2 4" xfId="2150" xr:uid="{00000000-0005-0000-0000-000066080000}"/>
    <cellStyle name="Moneda 2 4 2" xfId="2151" xr:uid="{00000000-0005-0000-0000-000067080000}"/>
    <cellStyle name="Moneda 2 5" xfId="2152" xr:uid="{00000000-0005-0000-0000-000068080000}"/>
    <cellStyle name="Moneda 2 5 2" xfId="2153" xr:uid="{00000000-0005-0000-0000-000069080000}"/>
    <cellStyle name="Moneda 2 6" xfId="2154" xr:uid="{00000000-0005-0000-0000-00006A080000}"/>
    <cellStyle name="Moneda 2 6 2" xfId="2155" xr:uid="{00000000-0005-0000-0000-00006B080000}"/>
    <cellStyle name="Moneda 2 7" xfId="2156" xr:uid="{00000000-0005-0000-0000-00006C080000}"/>
    <cellStyle name="Moneda 2 7 2" xfId="2157" xr:uid="{00000000-0005-0000-0000-00006D080000}"/>
    <cellStyle name="Moneda 2 8" xfId="2158" xr:uid="{00000000-0005-0000-0000-00006E080000}"/>
    <cellStyle name="Moneda 2 8 2" xfId="2159" xr:uid="{00000000-0005-0000-0000-00006F080000}"/>
    <cellStyle name="Moneda 2 9" xfId="2160" xr:uid="{00000000-0005-0000-0000-000070080000}"/>
    <cellStyle name="Moneda 26" xfId="2161" xr:uid="{00000000-0005-0000-0000-000071080000}"/>
    <cellStyle name="Moneda 26 2" xfId="2162" xr:uid="{00000000-0005-0000-0000-000072080000}"/>
    <cellStyle name="Moneda 26 2 2" xfId="2163" xr:uid="{00000000-0005-0000-0000-000073080000}"/>
    <cellStyle name="Moneda 26 2 3" xfId="2164" xr:uid="{00000000-0005-0000-0000-000074080000}"/>
    <cellStyle name="Moneda 26 3" xfId="2165" xr:uid="{00000000-0005-0000-0000-000075080000}"/>
    <cellStyle name="Moneda 26 3 2" xfId="2166" xr:uid="{00000000-0005-0000-0000-000076080000}"/>
    <cellStyle name="Moneda 26 3 3" xfId="2167" xr:uid="{00000000-0005-0000-0000-000077080000}"/>
    <cellStyle name="Moneda 26 4" xfId="2168" xr:uid="{00000000-0005-0000-0000-000078080000}"/>
    <cellStyle name="Moneda 3" xfId="25" xr:uid="{00000000-0005-0000-0000-000019000000}"/>
    <cellStyle name="Moneda 3 2" xfId="2169" xr:uid="{00000000-0005-0000-0000-000079080000}"/>
    <cellStyle name="Moneda 3 3" xfId="2170" xr:uid="{00000000-0005-0000-0000-00007A080000}"/>
    <cellStyle name="Moneda 3 4" xfId="2171" xr:uid="{00000000-0005-0000-0000-00007B080000}"/>
    <cellStyle name="Moneda 3 5" xfId="2172" xr:uid="{00000000-0005-0000-0000-00007C080000}"/>
    <cellStyle name="Moneda 3 6" xfId="2173" xr:uid="{00000000-0005-0000-0000-00007D080000}"/>
    <cellStyle name="Moneda 3 7" xfId="2174" xr:uid="{00000000-0005-0000-0000-00007E080000}"/>
    <cellStyle name="Moneda 3 8" xfId="2175" xr:uid="{00000000-0005-0000-0000-00007F080000}"/>
    <cellStyle name="Moneda 4" xfId="2176" xr:uid="{00000000-0005-0000-0000-000080080000}"/>
    <cellStyle name="Neutral 2" xfId="2177" xr:uid="{00000000-0005-0000-0000-000081080000}"/>
    <cellStyle name="Neutral 3" xfId="2178" xr:uid="{00000000-0005-0000-0000-000082080000}"/>
    <cellStyle name="Neutral 4" xfId="2179" xr:uid="{00000000-0005-0000-0000-000083080000}"/>
    <cellStyle name="Normal" xfId="0" builtinId="0"/>
    <cellStyle name="Normal 10" xfId="2180" xr:uid="{00000000-0005-0000-0000-000084080000}"/>
    <cellStyle name="Normal 10 10" xfId="2181" xr:uid="{00000000-0005-0000-0000-000085080000}"/>
    <cellStyle name="Normal 10 11" xfId="2182" xr:uid="{00000000-0005-0000-0000-000086080000}"/>
    <cellStyle name="Normal 10 12" xfId="2183" xr:uid="{00000000-0005-0000-0000-000087080000}"/>
    <cellStyle name="Normal 10 13" xfId="2184" xr:uid="{00000000-0005-0000-0000-000088080000}"/>
    <cellStyle name="Normal 10 14" xfId="2185" xr:uid="{00000000-0005-0000-0000-000089080000}"/>
    <cellStyle name="Normal 10 15" xfId="2186" xr:uid="{00000000-0005-0000-0000-00008A080000}"/>
    <cellStyle name="Normal 10 16" xfId="2187" xr:uid="{00000000-0005-0000-0000-00008B080000}"/>
    <cellStyle name="Normal 10 17" xfId="2188" xr:uid="{00000000-0005-0000-0000-00008C080000}"/>
    <cellStyle name="Normal 10 18" xfId="2189" xr:uid="{00000000-0005-0000-0000-00008D080000}"/>
    <cellStyle name="Normal 10 19" xfId="2190" xr:uid="{00000000-0005-0000-0000-00008E080000}"/>
    <cellStyle name="Normal 10 2" xfId="2191" xr:uid="{00000000-0005-0000-0000-00008F080000}"/>
    <cellStyle name="Normal 10 2 10" xfId="6" xr:uid="{00000000-0005-0000-0000-000006000000}"/>
    <cellStyle name="Normal 10 2 10 10" xfId="2192" xr:uid="{00000000-0005-0000-0000-000090080000}"/>
    <cellStyle name="Normal 10 2 10 10 10" xfId="2193" xr:uid="{00000000-0005-0000-0000-000091080000}"/>
    <cellStyle name="Normal 10 2 10 10 11" xfId="2194" xr:uid="{00000000-0005-0000-0000-000092080000}"/>
    <cellStyle name="Normal 10 2 10 10 12" xfId="2195" xr:uid="{00000000-0005-0000-0000-000093080000}"/>
    <cellStyle name="Normal 10 2 10 10 13" xfId="2196" xr:uid="{00000000-0005-0000-0000-000094080000}"/>
    <cellStyle name="Normal 10 2 10 10 14" xfId="2197" xr:uid="{00000000-0005-0000-0000-000095080000}"/>
    <cellStyle name="Normal 10 2 10 10 2" xfId="2198" xr:uid="{00000000-0005-0000-0000-000096080000}"/>
    <cellStyle name="Normal 10 2 10 10 2 10" xfId="2199" xr:uid="{00000000-0005-0000-0000-000097080000}"/>
    <cellStyle name="Normal 10 2 10 10 2 2" xfId="2200" xr:uid="{00000000-0005-0000-0000-000098080000}"/>
    <cellStyle name="Normal 10 2 10 10 2 3" xfId="2201" xr:uid="{00000000-0005-0000-0000-000099080000}"/>
    <cellStyle name="Normal 10 2 10 10 2 4" xfId="2202" xr:uid="{00000000-0005-0000-0000-00009A080000}"/>
    <cellStyle name="Normal 10 2 10 10 2 5" xfId="2203" xr:uid="{00000000-0005-0000-0000-00009B080000}"/>
    <cellStyle name="Normal 10 2 10 10 2 6" xfId="2204" xr:uid="{00000000-0005-0000-0000-00009C080000}"/>
    <cellStyle name="Normal 10 2 10 10 2 7" xfId="2205" xr:uid="{00000000-0005-0000-0000-00009D080000}"/>
    <cellStyle name="Normal 10 2 10 10 2 8" xfId="2206" xr:uid="{00000000-0005-0000-0000-00009E080000}"/>
    <cellStyle name="Normal 10 2 10 10 2 9" xfId="2207" xr:uid="{00000000-0005-0000-0000-00009F080000}"/>
    <cellStyle name="Normal 10 2 10 10 3" xfId="2208" xr:uid="{00000000-0005-0000-0000-0000A0080000}"/>
    <cellStyle name="Normal 10 2 10 10 3 10" xfId="2209" xr:uid="{00000000-0005-0000-0000-0000A1080000}"/>
    <cellStyle name="Normal 10 2 10 10 3 2" xfId="2210" xr:uid="{00000000-0005-0000-0000-0000A2080000}"/>
    <cellStyle name="Normal 10 2 10 10 3 3" xfId="2211" xr:uid="{00000000-0005-0000-0000-0000A3080000}"/>
    <cellStyle name="Normal 10 2 10 10 3 4" xfId="2212" xr:uid="{00000000-0005-0000-0000-0000A4080000}"/>
    <cellStyle name="Normal 10 2 10 10 3 5" xfId="2213" xr:uid="{00000000-0005-0000-0000-0000A5080000}"/>
    <cellStyle name="Normal 10 2 10 10 3 6" xfId="2214" xr:uid="{00000000-0005-0000-0000-0000A6080000}"/>
    <cellStyle name="Normal 10 2 10 10 3 7" xfId="2215" xr:uid="{00000000-0005-0000-0000-0000A7080000}"/>
    <cellStyle name="Normal 10 2 10 10 3 8" xfId="2216" xr:uid="{00000000-0005-0000-0000-0000A8080000}"/>
    <cellStyle name="Normal 10 2 10 10 3 9" xfId="2217" xr:uid="{00000000-0005-0000-0000-0000A9080000}"/>
    <cellStyle name="Normal 10 2 10 10 4" xfId="2218" xr:uid="{00000000-0005-0000-0000-0000AA080000}"/>
    <cellStyle name="Normal 10 2 10 10 4 10" xfId="2219" xr:uid="{00000000-0005-0000-0000-0000AB080000}"/>
    <cellStyle name="Normal 10 2 10 10 4 2" xfId="2220" xr:uid="{00000000-0005-0000-0000-0000AC080000}"/>
    <cellStyle name="Normal 10 2 10 10 4 3" xfId="2221" xr:uid="{00000000-0005-0000-0000-0000AD080000}"/>
    <cellStyle name="Normal 10 2 10 10 4 4" xfId="2222" xr:uid="{00000000-0005-0000-0000-0000AE080000}"/>
    <cellStyle name="Normal 10 2 10 10 4 5" xfId="2223" xr:uid="{00000000-0005-0000-0000-0000AF080000}"/>
    <cellStyle name="Normal 10 2 10 10 4 6" xfId="2224" xr:uid="{00000000-0005-0000-0000-0000B0080000}"/>
    <cellStyle name="Normal 10 2 10 10 4 7" xfId="2225" xr:uid="{00000000-0005-0000-0000-0000B1080000}"/>
    <cellStyle name="Normal 10 2 10 10 4 8" xfId="2226" xr:uid="{00000000-0005-0000-0000-0000B2080000}"/>
    <cellStyle name="Normal 10 2 10 10 4 9" xfId="2227" xr:uid="{00000000-0005-0000-0000-0000B3080000}"/>
    <cellStyle name="Normal 10 2 10 10 5" xfId="2228" xr:uid="{00000000-0005-0000-0000-0000B4080000}"/>
    <cellStyle name="Normal 10 2 10 10 5 10" xfId="2229" xr:uid="{00000000-0005-0000-0000-0000B5080000}"/>
    <cellStyle name="Normal 10 2 10 10 5 2" xfId="2230" xr:uid="{00000000-0005-0000-0000-0000B6080000}"/>
    <cellStyle name="Normal 10 2 10 10 5 3" xfId="2231" xr:uid="{00000000-0005-0000-0000-0000B7080000}"/>
    <cellStyle name="Normal 10 2 10 10 5 4" xfId="2232" xr:uid="{00000000-0005-0000-0000-0000B8080000}"/>
    <cellStyle name="Normal 10 2 10 10 5 5" xfId="2233" xr:uid="{00000000-0005-0000-0000-0000B9080000}"/>
    <cellStyle name="Normal 10 2 10 10 5 6" xfId="2234" xr:uid="{00000000-0005-0000-0000-0000BA080000}"/>
    <cellStyle name="Normal 10 2 10 10 5 7" xfId="2235" xr:uid="{00000000-0005-0000-0000-0000BB080000}"/>
    <cellStyle name="Normal 10 2 10 10 5 8" xfId="2236" xr:uid="{00000000-0005-0000-0000-0000BC080000}"/>
    <cellStyle name="Normal 10 2 10 10 5 9" xfId="2237" xr:uid="{00000000-0005-0000-0000-0000BD080000}"/>
    <cellStyle name="Normal 10 2 10 10 6" xfId="2238" xr:uid="{00000000-0005-0000-0000-0000BE080000}"/>
    <cellStyle name="Normal 10 2 10 10 7" xfId="2239" xr:uid="{00000000-0005-0000-0000-0000BF080000}"/>
    <cellStyle name="Normal 10 2 10 10 8" xfId="2240" xr:uid="{00000000-0005-0000-0000-0000C0080000}"/>
    <cellStyle name="Normal 10 2 10 10 9" xfId="2241" xr:uid="{00000000-0005-0000-0000-0000C1080000}"/>
    <cellStyle name="Normal 10 2 10 11" xfId="2242" xr:uid="{00000000-0005-0000-0000-0000C2080000}"/>
    <cellStyle name="Normal 10 2 10 11 10" xfId="2243" xr:uid="{00000000-0005-0000-0000-0000C3080000}"/>
    <cellStyle name="Normal 10 2 10 11 11" xfId="2244" xr:uid="{00000000-0005-0000-0000-0000C4080000}"/>
    <cellStyle name="Normal 10 2 10 11 12" xfId="2245" xr:uid="{00000000-0005-0000-0000-0000C5080000}"/>
    <cellStyle name="Normal 10 2 10 11 13" xfId="2246" xr:uid="{00000000-0005-0000-0000-0000C6080000}"/>
    <cellStyle name="Normal 10 2 10 11 14" xfId="2247" xr:uid="{00000000-0005-0000-0000-0000C7080000}"/>
    <cellStyle name="Normal 10 2 10 11 2" xfId="2248" xr:uid="{00000000-0005-0000-0000-0000C8080000}"/>
    <cellStyle name="Normal 10 2 10 11 2 10" xfId="2249" xr:uid="{00000000-0005-0000-0000-0000C9080000}"/>
    <cellStyle name="Normal 10 2 10 11 2 2" xfId="2250" xr:uid="{00000000-0005-0000-0000-0000CA080000}"/>
    <cellStyle name="Normal 10 2 10 11 2 3" xfId="2251" xr:uid="{00000000-0005-0000-0000-0000CB080000}"/>
    <cellStyle name="Normal 10 2 10 11 2 4" xfId="2252" xr:uid="{00000000-0005-0000-0000-0000CC080000}"/>
    <cellStyle name="Normal 10 2 10 11 2 5" xfId="2253" xr:uid="{00000000-0005-0000-0000-0000CD080000}"/>
    <cellStyle name="Normal 10 2 10 11 2 6" xfId="2254" xr:uid="{00000000-0005-0000-0000-0000CE080000}"/>
    <cellStyle name="Normal 10 2 10 11 2 7" xfId="2255" xr:uid="{00000000-0005-0000-0000-0000CF080000}"/>
    <cellStyle name="Normal 10 2 10 11 2 8" xfId="2256" xr:uid="{00000000-0005-0000-0000-0000D0080000}"/>
    <cellStyle name="Normal 10 2 10 11 2 9" xfId="2257" xr:uid="{00000000-0005-0000-0000-0000D1080000}"/>
    <cellStyle name="Normal 10 2 10 11 3" xfId="2258" xr:uid="{00000000-0005-0000-0000-0000D2080000}"/>
    <cellStyle name="Normal 10 2 10 11 3 10" xfId="2259" xr:uid="{00000000-0005-0000-0000-0000D3080000}"/>
    <cellStyle name="Normal 10 2 10 11 3 2" xfId="2260" xr:uid="{00000000-0005-0000-0000-0000D4080000}"/>
    <cellStyle name="Normal 10 2 10 11 3 3" xfId="2261" xr:uid="{00000000-0005-0000-0000-0000D5080000}"/>
    <cellStyle name="Normal 10 2 10 11 3 4" xfId="2262" xr:uid="{00000000-0005-0000-0000-0000D6080000}"/>
    <cellStyle name="Normal 10 2 10 11 3 5" xfId="2263" xr:uid="{00000000-0005-0000-0000-0000D7080000}"/>
    <cellStyle name="Normal 10 2 10 11 3 6" xfId="2264" xr:uid="{00000000-0005-0000-0000-0000D8080000}"/>
    <cellStyle name="Normal 10 2 10 11 3 7" xfId="2265" xr:uid="{00000000-0005-0000-0000-0000D9080000}"/>
    <cellStyle name="Normal 10 2 10 11 3 8" xfId="2266" xr:uid="{00000000-0005-0000-0000-0000DA080000}"/>
    <cellStyle name="Normal 10 2 10 11 3 9" xfId="2267" xr:uid="{00000000-0005-0000-0000-0000DB080000}"/>
    <cellStyle name="Normal 10 2 10 11 4" xfId="2268" xr:uid="{00000000-0005-0000-0000-0000DC080000}"/>
    <cellStyle name="Normal 10 2 10 11 4 10" xfId="2269" xr:uid="{00000000-0005-0000-0000-0000DD080000}"/>
    <cellStyle name="Normal 10 2 10 11 4 2" xfId="2270" xr:uid="{00000000-0005-0000-0000-0000DE080000}"/>
    <cellStyle name="Normal 10 2 10 11 4 3" xfId="2271" xr:uid="{00000000-0005-0000-0000-0000DF080000}"/>
    <cellStyle name="Normal 10 2 10 11 4 4" xfId="2272" xr:uid="{00000000-0005-0000-0000-0000E0080000}"/>
    <cellStyle name="Normal 10 2 10 11 4 5" xfId="2273" xr:uid="{00000000-0005-0000-0000-0000E1080000}"/>
    <cellStyle name="Normal 10 2 10 11 4 6" xfId="2274" xr:uid="{00000000-0005-0000-0000-0000E2080000}"/>
    <cellStyle name="Normal 10 2 10 11 4 7" xfId="2275" xr:uid="{00000000-0005-0000-0000-0000E3080000}"/>
    <cellStyle name="Normal 10 2 10 11 4 8" xfId="2276" xr:uid="{00000000-0005-0000-0000-0000E4080000}"/>
    <cellStyle name="Normal 10 2 10 11 4 9" xfId="2277" xr:uid="{00000000-0005-0000-0000-0000E5080000}"/>
    <cellStyle name="Normal 10 2 10 11 5" xfId="2278" xr:uid="{00000000-0005-0000-0000-0000E6080000}"/>
    <cellStyle name="Normal 10 2 10 11 5 10" xfId="2279" xr:uid="{00000000-0005-0000-0000-0000E7080000}"/>
    <cellStyle name="Normal 10 2 10 11 5 2" xfId="2280" xr:uid="{00000000-0005-0000-0000-0000E8080000}"/>
    <cellStyle name="Normal 10 2 10 11 5 3" xfId="2281" xr:uid="{00000000-0005-0000-0000-0000E9080000}"/>
    <cellStyle name="Normal 10 2 10 11 5 4" xfId="2282" xr:uid="{00000000-0005-0000-0000-0000EA080000}"/>
    <cellStyle name="Normal 10 2 10 11 5 5" xfId="2283" xr:uid="{00000000-0005-0000-0000-0000EB080000}"/>
    <cellStyle name="Normal 10 2 10 11 5 6" xfId="2284" xr:uid="{00000000-0005-0000-0000-0000EC080000}"/>
    <cellStyle name="Normal 10 2 10 11 5 7" xfId="2285" xr:uid="{00000000-0005-0000-0000-0000ED080000}"/>
    <cellStyle name="Normal 10 2 10 11 5 8" xfId="2286" xr:uid="{00000000-0005-0000-0000-0000EE080000}"/>
    <cellStyle name="Normal 10 2 10 11 5 9" xfId="2287" xr:uid="{00000000-0005-0000-0000-0000EF080000}"/>
    <cellStyle name="Normal 10 2 10 11 6" xfId="2288" xr:uid="{00000000-0005-0000-0000-0000F0080000}"/>
    <cellStyle name="Normal 10 2 10 11 7" xfId="2289" xr:uid="{00000000-0005-0000-0000-0000F1080000}"/>
    <cellStyle name="Normal 10 2 10 11 8" xfId="2290" xr:uid="{00000000-0005-0000-0000-0000F2080000}"/>
    <cellStyle name="Normal 10 2 10 11 9" xfId="2291" xr:uid="{00000000-0005-0000-0000-0000F3080000}"/>
    <cellStyle name="Normal 10 2 10 12" xfId="2292" xr:uid="{00000000-0005-0000-0000-0000F4080000}"/>
    <cellStyle name="Normal 10 2 10 12 10" xfId="2293" xr:uid="{00000000-0005-0000-0000-0000F5080000}"/>
    <cellStyle name="Normal 10 2 10 12 11" xfId="2294" xr:uid="{00000000-0005-0000-0000-0000F6080000}"/>
    <cellStyle name="Normal 10 2 10 12 12" xfId="2295" xr:uid="{00000000-0005-0000-0000-0000F7080000}"/>
    <cellStyle name="Normal 10 2 10 12 13" xfId="2296" xr:uid="{00000000-0005-0000-0000-0000F8080000}"/>
    <cellStyle name="Normal 10 2 10 12 14" xfId="2297" xr:uid="{00000000-0005-0000-0000-0000F9080000}"/>
    <cellStyle name="Normal 10 2 10 12 2" xfId="2298" xr:uid="{00000000-0005-0000-0000-0000FA080000}"/>
    <cellStyle name="Normal 10 2 10 12 2 10" xfId="2299" xr:uid="{00000000-0005-0000-0000-0000FB080000}"/>
    <cellStyle name="Normal 10 2 10 12 2 2" xfId="2300" xr:uid="{00000000-0005-0000-0000-0000FC080000}"/>
    <cellStyle name="Normal 10 2 10 12 2 3" xfId="2301" xr:uid="{00000000-0005-0000-0000-0000FD080000}"/>
    <cellStyle name="Normal 10 2 10 12 2 4" xfId="2302" xr:uid="{00000000-0005-0000-0000-0000FE080000}"/>
    <cellStyle name="Normal 10 2 10 12 2 5" xfId="2303" xr:uid="{00000000-0005-0000-0000-0000FF080000}"/>
    <cellStyle name="Normal 10 2 10 12 2 6" xfId="2304" xr:uid="{00000000-0005-0000-0000-000000090000}"/>
    <cellStyle name="Normal 10 2 10 12 2 7" xfId="2305" xr:uid="{00000000-0005-0000-0000-000001090000}"/>
    <cellStyle name="Normal 10 2 10 12 2 8" xfId="2306" xr:uid="{00000000-0005-0000-0000-000002090000}"/>
    <cellStyle name="Normal 10 2 10 12 2 9" xfId="2307" xr:uid="{00000000-0005-0000-0000-000003090000}"/>
    <cellStyle name="Normal 10 2 10 12 3" xfId="2308" xr:uid="{00000000-0005-0000-0000-000004090000}"/>
    <cellStyle name="Normal 10 2 10 12 3 10" xfId="2309" xr:uid="{00000000-0005-0000-0000-000005090000}"/>
    <cellStyle name="Normal 10 2 10 12 3 2" xfId="2310" xr:uid="{00000000-0005-0000-0000-000006090000}"/>
    <cellStyle name="Normal 10 2 10 12 3 3" xfId="2311" xr:uid="{00000000-0005-0000-0000-000007090000}"/>
    <cellStyle name="Normal 10 2 10 12 3 4" xfId="2312" xr:uid="{00000000-0005-0000-0000-000008090000}"/>
    <cellStyle name="Normal 10 2 10 12 3 5" xfId="2313" xr:uid="{00000000-0005-0000-0000-000009090000}"/>
    <cellStyle name="Normal 10 2 10 12 3 6" xfId="2314" xr:uid="{00000000-0005-0000-0000-00000A090000}"/>
    <cellStyle name="Normal 10 2 10 12 3 7" xfId="2315" xr:uid="{00000000-0005-0000-0000-00000B090000}"/>
    <cellStyle name="Normal 10 2 10 12 3 8" xfId="2316" xr:uid="{00000000-0005-0000-0000-00000C090000}"/>
    <cellStyle name="Normal 10 2 10 12 3 9" xfId="2317" xr:uid="{00000000-0005-0000-0000-00000D090000}"/>
    <cellStyle name="Normal 10 2 10 12 4" xfId="2318" xr:uid="{00000000-0005-0000-0000-00000E090000}"/>
    <cellStyle name="Normal 10 2 10 12 4 10" xfId="2319" xr:uid="{00000000-0005-0000-0000-00000F090000}"/>
    <cellStyle name="Normal 10 2 10 12 4 2" xfId="2320" xr:uid="{00000000-0005-0000-0000-000010090000}"/>
    <cellStyle name="Normal 10 2 10 12 4 3" xfId="2321" xr:uid="{00000000-0005-0000-0000-000011090000}"/>
    <cellStyle name="Normal 10 2 10 12 4 4" xfId="2322" xr:uid="{00000000-0005-0000-0000-000012090000}"/>
    <cellStyle name="Normal 10 2 10 12 4 5" xfId="2323" xr:uid="{00000000-0005-0000-0000-000013090000}"/>
    <cellStyle name="Normal 10 2 10 12 4 6" xfId="2324" xr:uid="{00000000-0005-0000-0000-000014090000}"/>
    <cellStyle name="Normal 10 2 10 12 4 7" xfId="2325" xr:uid="{00000000-0005-0000-0000-000015090000}"/>
    <cellStyle name="Normal 10 2 10 12 4 8" xfId="2326" xr:uid="{00000000-0005-0000-0000-000016090000}"/>
    <cellStyle name="Normal 10 2 10 12 4 9" xfId="2327" xr:uid="{00000000-0005-0000-0000-000017090000}"/>
    <cellStyle name="Normal 10 2 10 12 5" xfId="2328" xr:uid="{00000000-0005-0000-0000-000018090000}"/>
    <cellStyle name="Normal 10 2 10 12 5 10" xfId="2329" xr:uid="{00000000-0005-0000-0000-000019090000}"/>
    <cellStyle name="Normal 10 2 10 12 5 2" xfId="2330" xr:uid="{00000000-0005-0000-0000-00001A090000}"/>
    <cellStyle name="Normal 10 2 10 12 5 3" xfId="2331" xr:uid="{00000000-0005-0000-0000-00001B090000}"/>
    <cellStyle name="Normal 10 2 10 12 5 4" xfId="2332" xr:uid="{00000000-0005-0000-0000-00001C090000}"/>
    <cellStyle name="Normal 10 2 10 12 5 5" xfId="2333" xr:uid="{00000000-0005-0000-0000-00001D090000}"/>
    <cellStyle name="Normal 10 2 10 12 5 6" xfId="2334" xr:uid="{00000000-0005-0000-0000-00001E090000}"/>
    <cellStyle name="Normal 10 2 10 12 5 7" xfId="2335" xr:uid="{00000000-0005-0000-0000-00001F090000}"/>
    <cellStyle name="Normal 10 2 10 12 5 8" xfId="2336" xr:uid="{00000000-0005-0000-0000-000020090000}"/>
    <cellStyle name="Normal 10 2 10 12 5 9" xfId="2337" xr:uid="{00000000-0005-0000-0000-000021090000}"/>
    <cellStyle name="Normal 10 2 10 12 6" xfId="2338" xr:uid="{00000000-0005-0000-0000-000022090000}"/>
    <cellStyle name="Normal 10 2 10 12 7" xfId="2339" xr:uid="{00000000-0005-0000-0000-000023090000}"/>
    <cellStyle name="Normal 10 2 10 12 8" xfId="2340" xr:uid="{00000000-0005-0000-0000-000024090000}"/>
    <cellStyle name="Normal 10 2 10 12 9" xfId="2341" xr:uid="{00000000-0005-0000-0000-000025090000}"/>
    <cellStyle name="Normal 10 2 10 13" xfId="2342" xr:uid="{00000000-0005-0000-0000-000026090000}"/>
    <cellStyle name="Normal 10 2 10 13 10" xfId="2343" xr:uid="{00000000-0005-0000-0000-000027090000}"/>
    <cellStyle name="Normal 10 2 10 13 11" xfId="2344" xr:uid="{00000000-0005-0000-0000-000028090000}"/>
    <cellStyle name="Normal 10 2 10 13 12" xfId="2345" xr:uid="{00000000-0005-0000-0000-000029090000}"/>
    <cellStyle name="Normal 10 2 10 13 13" xfId="2346" xr:uid="{00000000-0005-0000-0000-00002A090000}"/>
    <cellStyle name="Normal 10 2 10 13 14" xfId="2347" xr:uid="{00000000-0005-0000-0000-00002B090000}"/>
    <cellStyle name="Normal 10 2 10 13 2" xfId="2348" xr:uid="{00000000-0005-0000-0000-00002C090000}"/>
    <cellStyle name="Normal 10 2 10 13 2 10" xfId="2349" xr:uid="{00000000-0005-0000-0000-00002D090000}"/>
    <cellStyle name="Normal 10 2 10 13 2 2" xfId="2350" xr:uid="{00000000-0005-0000-0000-00002E090000}"/>
    <cellStyle name="Normal 10 2 10 13 2 3" xfId="2351" xr:uid="{00000000-0005-0000-0000-00002F090000}"/>
    <cellStyle name="Normal 10 2 10 13 2 4" xfId="2352" xr:uid="{00000000-0005-0000-0000-000030090000}"/>
    <cellStyle name="Normal 10 2 10 13 2 5" xfId="2353" xr:uid="{00000000-0005-0000-0000-000031090000}"/>
    <cellStyle name="Normal 10 2 10 13 2 6" xfId="2354" xr:uid="{00000000-0005-0000-0000-000032090000}"/>
    <cellStyle name="Normal 10 2 10 13 2 7" xfId="2355" xr:uid="{00000000-0005-0000-0000-000033090000}"/>
    <cellStyle name="Normal 10 2 10 13 2 8" xfId="2356" xr:uid="{00000000-0005-0000-0000-000034090000}"/>
    <cellStyle name="Normal 10 2 10 13 2 9" xfId="2357" xr:uid="{00000000-0005-0000-0000-000035090000}"/>
    <cellStyle name="Normal 10 2 10 13 3" xfId="2358" xr:uid="{00000000-0005-0000-0000-000036090000}"/>
    <cellStyle name="Normal 10 2 10 13 3 10" xfId="2359" xr:uid="{00000000-0005-0000-0000-000037090000}"/>
    <cellStyle name="Normal 10 2 10 13 3 2" xfId="2360" xr:uid="{00000000-0005-0000-0000-000038090000}"/>
    <cellStyle name="Normal 10 2 10 13 3 3" xfId="2361" xr:uid="{00000000-0005-0000-0000-000039090000}"/>
    <cellStyle name="Normal 10 2 10 13 3 4" xfId="2362" xr:uid="{00000000-0005-0000-0000-00003A090000}"/>
    <cellStyle name="Normal 10 2 10 13 3 5" xfId="2363" xr:uid="{00000000-0005-0000-0000-00003B090000}"/>
    <cellStyle name="Normal 10 2 10 13 3 6" xfId="2364" xr:uid="{00000000-0005-0000-0000-00003C090000}"/>
    <cellStyle name="Normal 10 2 10 13 3 7" xfId="2365" xr:uid="{00000000-0005-0000-0000-00003D090000}"/>
    <cellStyle name="Normal 10 2 10 13 3 8" xfId="2366" xr:uid="{00000000-0005-0000-0000-00003E090000}"/>
    <cellStyle name="Normal 10 2 10 13 3 9" xfId="2367" xr:uid="{00000000-0005-0000-0000-00003F090000}"/>
    <cellStyle name="Normal 10 2 10 13 4" xfId="2368" xr:uid="{00000000-0005-0000-0000-000040090000}"/>
    <cellStyle name="Normal 10 2 10 13 4 10" xfId="2369" xr:uid="{00000000-0005-0000-0000-000041090000}"/>
    <cellStyle name="Normal 10 2 10 13 4 2" xfId="2370" xr:uid="{00000000-0005-0000-0000-000042090000}"/>
    <cellStyle name="Normal 10 2 10 13 4 3" xfId="2371" xr:uid="{00000000-0005-0000-0000-000043090000}"/>
    <cellStyle name="Normal 10 2 10 13 4 4" xfId="2372" xr:uid="{00000000-0005-0000-0000-000044090000}"/>
    <cellStyle name="Normal 10 2 10 13 4 5" xfId="2373" xr:uid="{00000000-0005-0000-0000-000045090000}"/>
    <cellStyle name="Normal 10 2 10 13 4 6" xfId="2374" xr:uid="{00000000-0005-0000-0000-000046090000}"/>
    <cellStyle name="Normal 10 2 10 13 4 7" xfId="2375" xr:uid="{00000000-0005-0000-0000-000047090000}"/>
    <cellStyle name="Normal 10 2 10 13 4 8" xfId="2376" xr:uid="{00000000-0005-0000-0000-000048090000}"/>
    <cellStyle name="Normal 10 2 10 13 4 9" xfId="2377" xr:uid="{00000000-0005-0000-0000-000049090000}"/>
    <cellStyle name="Normal 10 2 10 13 5" xfId="2378" xr:uid="{00000000-0005-0000-0000-00004A090000}"/>
    <cellStyle name="Normal 10 2 10 13 5 10" xfId="2379" xr:uid="{00000000-0005-0000-0000-00004B090000}"/>
    <cellStyle name="Normal 10 2 10 13 5 2" xfId="2380" xr:uid="{00000000-0005-0000-0000-00004C090000}"/>
    <cellStyle name="Normal 10 2 10 13 5 3" xfId="2381" xr:uid="{00000000-0005-0000-0000-00004D090000}"/>
    <cellStyle name="Normal 10 2 10 13 5 4" xfId="2382" xr:uid="{00000000-0005-0000-0000-00004E090000}"/>
    <cellStyle name="Normal 10 2 10 13 5 5" xfId="2383" xr:uid="{00000000-0005-0000-0000-00004F090000}"/>
    <cellStyle name="Normal 10 2 10 13 5 6" xfId="2384" xr:uid="{00000000-0005-0000-0000-000050090000}"/>
    <cellStyle name="Normal 10 2 10 13 5 7" xfId="2385" xr:uid="{00000000-0005-0000-0000-000051090000}"/>
    <cellStyle name="Normal 10 2 10 13 5 8" xfId="2386" xr:uid="{00000000-0005-0000-0000-000052090000}"/>
    <cellStyle name="Normal 10 2 10 13 5 9" xfId="2387" xr:uid="{00000000-0005-0000-0000-000053090000}"/>
    <cellStyle name="Normal 10 2 10 13 6" xfId="2388" xr:uid="{00000000-0005-0000-0000-000054090000}"/>
    <cellStyle name="Normal 10 2 10 13 7" xfId="2389" xr:uid="{00000000-0005-0000-0000-000055090000}"/>
    <cellStyle name="Normal 10 2 10 13 8" xfId="2390" xr:uid="{00000000-0005-0000-0000-000056090000}"/>
    <cellStyle name="Normal 10 2 10 13 9" xfId="2391" xr:uid="{00000000-0005-0000-0000-000057090000}"/>
    <cellStyle name="Normal 10 2 10 14" xfId="2392" xr:uid="{00000000-0005-0000-0000-000058090000}"/>
    <cellStyle name="Normal 10 2 10 14 10" xfId="2393" xr:uid="{00000000-0005-0000-0000-000059090000}"/>
    <cellStyle name="Normal 10 2 10 14 11" xfId="2394" xr:uid="{00000000-0005-0000-0000-00005A090000}"/>
    <cellStyle name="Normal 10 2 10 14 12" xfId="2395" xr:uid="{00000000-0005-0000-0000-00005B090000}"/>
    <cellStyle name="Normal 10 2 10 14 13" xfId="2396" xr:uid="{00000000-0005-0000-0000-00005C090000}"/>
    <cellStyle name="Normal 10 2 10 14 14" xfId="2397" xr:uid="{00000000-0005-0000-0000-00005D090000}"/>
    <cellStyle name="Normal 10 2 10 14 2" xfId="2398" xr:uid="{00000000-0005-0000-0000-00005E090000}"/>
    <cellStyle name="Normal 10 2 10 14 2 10" xfId="2399" xr:uid="{00000000-0005-0000-0000-00005F090000}"/>
    <cellStyle name="Normal 10 2 10 14 2 2" xfId="2400" xr:uid="{00000000-0005-0000-0000-000060090000}"/>
    <cellStyle name="Normal 10 2 10 14 2 3" xfId="2401" xr:uid="{00000000-0005-0000-0000-000061090000}"/>
    <cellStyle name="Normal 10 2 10 14 2 4" xfId="2402" xr:uid="{00000000-0005-0000-0000-000062090000}"/>
    <cellStyle name="Normal 10 2 10 14 2 5" xfId="2403" xr:uid="{00000000-0005-0000-0000-000063090000}"/>
    <cellStyle name="Normal 10 2 10 14 2 6" xfId="2404" xr:uid="{00000000-0005-0000-0000-000064090000}"/>
    <cellStyle name="Normal 10 2 10 14 2 7" xfId="2405" xr:uid="{00000000-0005-0000-0000-000065090000}"/>
    <cellStyle name="Normal 10 2 10 14 2 8" xfId="2406" xr:uid="{00000000-0005-0000-0000-000066090000}"/>
    <cellStyle name="Normal 10 2 10 14 2 9" xfId="2407" xr:uid="{00000000-0005-0000-0000-000067090000}"/>
    <cellStyle name="Normal 10 2 10 14 3" xfId="2408" xr:uid="{00000000-0005-0000-0000-000068090000}"/>
    <cellStyle name="Normal 10 2 10 14 3 10" xfId="2409" xr:uid="{00000000-0005-0000-0000-000069090000}"/>
    <cellStyle name="Normal 10 2 10 14 3 2" xfId="2410" xr:uid="{00000000-0005-0000-0000-00006A090000}"/>
    <cellStyle name="Normal 10 2 10 14 3 3" xfId="2411" xr:uid="{00000000-0005-0000-0000-00006B090000}"/>
    <cellStyle name="Normal 10 2 10 14 3 4" xfId="2412" xr:uid="{00000000-0005-0000-0000-00006C090000}"/>
    <cellStyle name="Normal 10 2 10 14 3 5" xfId="2413" xr:uid="{00000000-0005-0000-0000-00006D090000}"/>
    <cellStyle name="Normal 10 2 10 14 3 6" xfId="2414" xr:uid="{00000000-0005-0000-0000-00006E090000}"/>
    <cellStyle name="Normal 10 2 10 14 3 7" xfId="2415" xr:uid="{00000000-0005-0000-0000-00006F090000}"/>
    <cellStyle name="Normal 10 2 10 14 3 8" xfId="2416" xr:uid="{00000000-0005-0000-0000-000070090000}"/>
    <cellStyle name="Normal 10 2 10 14 3 9" xfId="2417" xr:uid="{00000000-0005-0000-0000-000071090000}"/>
    <cellStyle name="Normal 10 2 10 14 4" xfId="2418" xr:uid="{00000000-0005-0000-0000-000072090000}"/>
    <cellStyle name="Normal 10 2 10 14 4 10" xfId="2419" xr:uid="{00000000-0005-0000-0000-000073090000}"/>
    <cellStyle name="Normal 10 2 10 14 4 2" xfId="2420" xr:uid="{00000000-0005-0000-0000-000074090000}"/>
    <cellStyle name="Normal 10 2 10 14 4 3" xfId="2421" xr:uid="{00000000-0005-0000-0000-000075090000}"/>
    <cellStyle name="Normal 10 2 10 14 4 4" xfId="2422" xr:uid="{00000000-0005-0000-0000-000076090000}"/>
    <cellStyle name="Normal 10 2 10 14 4 5" xfId="2423" xr:uid="{00000000-0005-0000-0000-000077090000}"/>
    <cellStyle name="Normal 10 2 10 14 4 6" xfId="2424" xr:uid="{00000000-0005-0000-0000-000078090000}"/>
    <cellStyle name="Normal 10 2 10 14 4 7" xfId="2425" xr:uid="{00000000-0005-0000-0000-000079090000}"/>
    <cellStyle name="Normal 10 2 10 14 4 8" xfId="2426" xr:uid="{00000000-0005-0000-0000-00007A090000}"/>
    <cellStyle name="Normal 10 2 10 14 4 9" xfId="2427" xr:uid="{00000000-0005-0000-0000-00007B090000}"/>
    <cellStyle name="Normal 10 2 10 14 5" xfId="2428" xr:uid="{00000000-0005-0000-0000-00007C090000}"/>
    <cellStyle name="Normal 10 2 10 14 5 10" xfId="2429" xr:uid="{00000000-0005-0000-0000-00007D090000}"/>
    <cellStyle name="Normal 10 2 10 14 5 2" xfId="2430" xr:uid="{00000000-0005-0000-0000-00007E090000}"/>
    <cellStyle name="Normal 10 2 10 14 5 3" xfId="2431" xr:uid="{00000000-0005-0000-0000-00007F090000}"/>
    <cellStyle name="Normal 10 2 10 14 5 4" xfId="2432" xr:uid="{00000000-0005-0000-0000-000080090000}"/>
    <cellStyle name="Normal 10 2 10 14 5 5" xfId="2433" xr:uid="{00000000-0005-0000-0000-000081090000}"/>
    <cellStyle name="Normal 10 2 10 14 5 6" xfId="2434" xr:uid="{00000000-0005-0000-0000-000082090000}"/>
    <cellStyle name="Normal 10 2 10 14 5 7" xfId="2435" xr:uid="{00000000-0005-0000-0000-000083090000}"/>
    <cellStyle name="Normal 10 2 10 14 5 8" xfId="2436" xr:uid="{00000000-0005-0000-0000-000084090000}"/>
    <cellStyle name="Normal 10 2 10 14 5 9" xfId="2437" xr:uid="{00000000-0005-0000-0000-000085090000}"/>
    <cellStyle name="Normal 10 2 10 14 6" xfId="2438" xr:uid="{00000000-0005-0000-0000-000086090000}"/>
    <cellStyle name="Normal 10 2 10 14 7" xfId="2439" xr:uid="{00000000-0005-0000-0000-000087090000}"/>
    <cellStyle name="Normal 10 2 10 14 8" xfId="2440" xr:uid="{00000000-0005-0000-0000-000088090000}"/>
    <cellStyle name="Normal 10 2 10 14 9" xfId="2441" xr:uid="{00000000-0005-0000-0000-000089090000}"/>
    <cellStyle name="Normal 10 2 10 15" xfId="2442" xr:uid="{00000000-0005-0000-0000-00008A090000}"/>
    <cellStyle name="Normal 10 2 10 15 10" xfId="2443" xr:uid="{00000000-0005-0000-0000-00008B090000}"/>
    <cellStyle name="Normal 10 2 10 15 11" xfId="2444" xr:uid="{00000000-0005-0000-0000-00008C090000}"/>
    <cellStyle name="Normal 10 2 10 15 12" xfId="2445" xr:uid="{00000000-0005-0000-0000-00008D090000}"/>
    <cellStyle name="Normal 10 2 10 15 13" xfId="2446" xr:uid="{00000000-0005-0000-0000-00008E090000}"/>
    <cellStyle name="Normal 10 2 10 15 14" xfId="2447" xr:uid="{00000000-0005-0000-0000-00008F090000}"/>
    <cellStyle name="Normal 10 2 10 15 2" xfId="2448" xr:uid="{00000000-0005-0000-0000-000090090000}"/>
    <cellStyle name="Normal 10 2 10 15 2 10" xfId="2449" xr:uid="{00000000-0005-0000-0000-000091090000}"/>
    <cellStyle name="Normal 10 2 10 15 2 2" xfId="2450" xr:uid="{00000000-0005-0000-0000-000092090000}"/>
    <cellStyle name="Normal 10 2 10 15 2 3" xfId="2451" xr:uid="{00000000-0005-0000-0000-000093090000}"/>
    <cellStyle name="Normal 10 2 10 15 2 4" xfId="2452" xr:uid="{00000000-0005-0000-0000-000094090000}"/>
    <cellStyle name="Normal 10 2 10 15 2 5" xfId="2453" xr:uid="{00000000-0005-0000-0000-000095090000}"/>
    <cellStyle name="Normal 10 2 10 15 2 6" xfId="2454" xr:uid="{00000000-0005-0000-0000-000096090000}"/>
    <cellStyle name="Normal 10 2 10 15 2 7" xfId="2455" xr:uid="{00000000-0005-0000-0000-000097090000}"/>
    <cellStyle name="Normal 10 2 10 15 2 8" xfId="2456" xr:uid="{00000000-0005-0000-0000-000098090000}"/>
    <cellStyle name="Normal 10 2 10 15 2 9" xfId="2457" xr:uid="{00000000-0005-0000-0000-000099090000}"/>
    <cellStyle name="Normal 10 2 10 15 3" xfId="2458" xr:uid="{00000000-0005-0000-0000-00009A090000}"/>
    <cellStyle name="Normal 10 2 10 15 3 10" xfId="2459" xr:uid="{00000000-0005-0000-0000-00009B090000}"/>
    <cellStyle name="Normal 10 2 10 15 3 2" xfId="2460" xr:uid="{00000000-0005-0000-0000-00009C090000}"/>
    <cellStyle name="Normal 10 2 10 15 3 3" xfId="2461" xr:uid="{00000000-0005-0000-0000-00009D090000}"/>
    <cellStyle name="Normal 10 2 10 15 3 4" xfId="2462" xr:uid="{00000000-0005-0000-0000-00009E090000}"/>
    <cellStyle name="Normal 10 2 10 15 3 5" xfId="2463" xr:uid="{00000000-0005-0000-0000-00009F090000}"/>
    <cellStyle name="Normal 10 2 10 15 3 6" xfId="2464" xr:uid="{00000000-0005-0000-0000-0000A0090000}"/>
    <cellStyle name="Normal 10 2 10 15 3 7" xfId="2465" xr:uid="{00000000-0005-0000-0000-0000A1090000}"/>
    <cellStyle name="Normal 10 2 10 15 3 8" xfId="2466" xr:uid="{00000000-0005-0000-0000-0000A2090000}"/>
    <cellStyle name="Normal 10 2 10 15 3 9" xfId="2467" xr:uid="{00000000-0005-0000-0000-0000A3090000}"/>
    <cellStyle name="Normal 10 2 10 15 4" xfId="2468" xr:uid="{00000000-0005-0000-0000-0000A4090000}"/>
    <cellStyle name="Normal 10 2 10 15 4 10" xfId="2469" xr:uid="{00000000-0005-0000-0000-0000A5090000}"/>
    <cellStyle name="Normal 10 2 10 15 4 2" xfId="2470" xr:uid="{00000000-0005-0000-0000-0000A6090000}"/>
    <cellStyle name="Normal 10 2 10 15 4 3" xfId="2471" xr:uid="{00000000-0005-0000-0000-0000A7090000}"/>
    <cellStyle name="Normal 10 2 10 15 4 4" xfId="2472" xr:uid="{00000000-0005-0000-0000-0000A8090000}"/>
    <cellStyle name="Normal 10 2 10 15 4 5" xfId="2473" xr:uid="{00000000-0005-0000-0000-0000A9090000}"/>
    <cellStyle name="Normal 10 2 10 15 4 6" xfId="2474" xr:uid="{00000000-0005-0000-0000-0000AA090000}"/>
    <cellStyle name="Normal 10 2 10 15 4 7" xfId="2475" xr:uid="{00000000-0005-0000-0000-0000AB090000}"/>
    <cellStyle name="Normal 10 2 10 15 4 8" xfId="2476" xr:uid="{00000000-0005-0000-0000-0000AC090000}"/>
    <cellStyle name="Normal 10 2 10 15 4 9" xfId="2477" xr:uid="{00000000-0005-0000-0000-0000AD090000}"/>
    <cellStyle name="Normal 10 2 10 15 5" xfId="2478" xr:uid="{00000000-0005-0000-0000-0000AE090000}"/>
    <cellStyle name="Normal 10 2 10 15 5 10" xfId="2479" xr:uid="{00000000-0005-0000-0000-0000AF090000}"/>
    <cellStyle name="Normal 10 2 10 15 5 2" xfId="2480" xr:uid="{00000000-0005-0000-0000-0000B0090000}"/>
    <cellStyle name="Normal 10 2 10 15 5 3" xfId="2481" xr:uid="{00000000-0005-0000-0000-0000B1090000}"/>
    <cellStyle name="Normal 10 2 10 15 5 4" xfId="2482" xr:uid="{00000000-0005-0000-0000-0000B2090000}"/>
    <cellStyle name="Normal 10 2 10 15 5 5" xfId="2483" xr:uid="{00000000-0005-0000-0000-0000B3090000}"/>
    <cellStyle name="Normal 10 2 10 15 5 6" xfId="2484" xr:uid="{00000000-0005-0000-0000-0000B4090000}"/>
    <cellStyle name="Normal 10 2 10 15 5 7" xfId="2485" xr:uid="{00000000-0005-0000-0000-0000B5090000}"/>
    <cellStyle name="Normal 10 2 10 15 5 8" xfId="2486" xr:uid="{00000000-0005-0000-0000-0000B6090000}"/>
    <cellStyle name="Normal 10 2 10 15 5 9" xfId="2487" xr:uid="{00000000-0005-0000-0000-0000B7090000}"/>
    <cellStyle name="Normal 10 2 10 15 6" xfId="2488" xr:uid="{00000000-0005-0000-0000-0000B8090000}"/>
    <cellStyle name="Normal 10 2 10 15 7" xfId="2489" xr:uid="{00000000-0005-0000-0000-0000B9090000}"/>
    <cellStyle name="Normal 10 2 10 15 8" xfId="2490" xr:uid="{00000000-0005-0000-0000-0000BA090000}"/>
    <cellStyle name="Normal 10 2 10 15 9" xfId="2491" xr:uid="{00000000-0005-0000-0000-0000BB090000}"/>
    <cellStyle name="Normal 10 2 10 16" xfId="2492" xr:uid="{00000000-0005-0000-0000-0000BC090000}"/>
    <cellStyle name="Normal 10 2 10 16 10" xfId="2493" xr:uid="{00000000-0005-0000-0000-0000BD090000}"/>
    <cellStyle name="Normal 10 2 10 16 11" xfId="2494" xr:uid="{00000000-0005-0000-0000-0000BE090000}"/>
    <cellStyle name="Normal 10 2 10 16 12" xfId="2495" xr:uid="{00000000-0005-0000-0000-0000BF090000}"/>
    <cellStyle name="Normal 10 2 10 16 13" xfId="2496" xr:uid="{00000000-0005-0000-0000-0000C0090000}"/>
    <cellStyle name="Normal 10 2 10 16 14" xfId="2497" xr:uid="{00000000-0005-0000-0000-0000C1090000}"/>
    <cellStyle name="Normal 10 2 10 16 2" xfId="2498" xr:uid="{00000000-0005-0000-0000-0000C2090000}"/>
    <cellStyle name="Normal 10 2 10 16 2 10" xfId="2499" xr:uid="{00000000-0005-0000-0000-0000C3090000}"/>
    <cellStyle name="Normal 10 2 10 16 2 2" xfId="2500" xr:uid="{00000000-0005-0000-0000-0000C4090000}"/>
    <cellStyle name="Normal 10 2 10 16 2 3" xfId="2501" xr:uid="{00000000-0005-0000-0000-0000C5090000}"/>
    <cellStyle name="Normal 10 2 10 16 2 4" xfId="2502" xr:uid="{00000000-0005-0000-0000-0000C6090000}"/>
    <cellStyle name="Normal 10 2 10 16 2 5" xfId="2503" xr:uid="{00000000-0005-0000-0000-0000C7090000}"/>
    <cellStyle name="Normal 10 2 10 16 2 6" xfId="2504" xr:uid="{00000000-0005-0000-0000-0000C8090000}"/>
    <cellStyle name="Normal 10 2 10 16 2 7" xfId="2505" xr:uid="{00000000-0005-0000-0000-0000C9090000}"/>
    <cellStyle name="Normal 10 2 10 16 2 8" xfId="2506" xr:uid="{00000000-0005-0000-0000-0000CA090000}"/>
    <cellStyle name="Normal 10 2 10 16 2 9" xfId="2507" xr:uid="{00000000-0005-0000-0000-0000CB090000}"/>
    <cellStyle name="Normal 10 2 10 16 3" xfId="2508" xr:uid="{00000000-0005-0000-0000-0000CC090000}"/>
    <cellStyle name="Normal 10 2 10 16 3 10" xfId="2509" xr:uid="{00000000-0005-0000-0000-0000CD090000}"/>
    <cellStyle name="Normal 10 2 10 16 3 2" xfId="2510" xr:uid="{00000000-0005-0000-0000-0000CE090000}"/>
    <cellStyle name="Normal 10 2 10 16 3 3" xfId="2511" xr:uid="{00000000-0005-0000-0000-0000CF090000}"/>
    <cellStyle name="Normal 10 2 10 16 3 4" xfId="2512" xr:uid="{00000000-0005-0000-0000-0000D0090000}"/>
    <cellStyle name="Normal 10 2 10 16 3 5" xfId="2513" xr:uid="{00000000-0005-0000-0000-0000D1090000}"/>
    <cellStyle name="Normal 10 2 10 16 3 6" xfId="2514" xr:uid="{00000000-0005-0000-0000-0000D2090000}"/>
    <cellStyle name="Normal 10 2 10 16 3 7" xfId="2515" xr:uid="{00000000-0005-0000-0000-0000D3090000}"/>
    <cellStyle name="Normal 10 2 10 16 3 8" xfId="2516" xr:uid="{00000000-0005-0000-0000-0000D4090000}"/>
    <cellStyle name="Normal 10 2 10 16 3 9" xfId="2517" xr:uid="{00000000-0005-0000-0000-0000D5090000}"/>
    <cellStyle name="Normal 10 2 10 16 4" xfId="2518" xr:uid="{00000000-0005-0000-0000-0000D6090000}"/>
    <cellStyle name="Normal 10 2 10 16 4 10" xfId="2519" xr:uid="{00000000-0005-0000-0000-0000D7090000}"/>
    <cellStyle name="Normal 10 2 10 16 4 2" xfId="2520" xr:uid="{00000000-0005-0000-0000-0000D8090000}"/>
    <cellStyle name="Normal 10 2 10 16 4 3" xfId="2521" xr:uid="{00000000-0005-0000-0000-0000D9090000}"/>
    <cellStyle name="Normal 10 2 10 16 4 4" xfId="2522" xr:uid="{00000000-0005-0000-0000-0000DA090000}"/>
    <cellStyle name="Normal 10 2 10 16 4 5" xfId="2523" xr:uid="{00000000-0005-0000-0000-0000DB090000}"/>
    <cellStyle name="Normal 10 2 10 16 4 6" xfId="2524" xr:uid="{00000000-0005-0000-0000-0000DC090000}"/>
    <cellStyle name="Normal 10 2 10 16 4 7" xfId="2525" xr:uid="{00000000-0005-0000-0000-0000DD090000}"/>
    <cellStyle name="Normal 10 2 10 16 4 8" xfId="2526" xr:uid="{00000000-0005-0000-0000-0000DE090000}"/>
    <cellStyle name="Normal 10 2 10 16 4 9" xfId="2527" xr:uid="{00000000-0005-0000-0000-0000DF090000}"/>
    <cellStyle name="Normal 10 2 10 16 5" xfId="2528" xr:uid="{00000000-0005-0000-0000-0000E0090000}"/>
    <cellStyle name="Normal 10 2 10 16 5 10" xfId="2529" xr:uid="{00000000-0005-0000-0000-0000E1090000}"/>
    <cellStyle name="Normal 10 2 10 16 5 2" xfId="2530" xr:uid="{00000000-0005-0000-0000-0000E2090000}"/>
    <cellStyle name="Normal 10 2 10 16 5 3" xfId="2531" xr:uid="{00000000-0005-0000-0000-0000E3090000}"/>
    <cellStyle name="Normal 10 2 10 16 5 4" xfId="2532" xr:uid="{00000000-0005-0000-0000-0000E4090000}"/>
    <cellStyle name="Normal 10 2 10 16 5 5" xfId="2533" xr:uid="{00000000-0005-0000-0000-0000E5090000}"/>
    <cellStyle name="Normal 10 2 10 16 5 6" xfId="2534" xr:uid="{00000000-0005-0000-0000-0000E6090000}"/>
    <cellStyle name="Normal 10 2 10 16 5 7" xfId="2535" xr:uid="{00000000-0005-0000-0000-0000E7090000}"/>
    <cellStyle name="Normal 10 2 10 16 5 8" xfId="2536" xr:uid="{00000000-0005-0000-0000-0000E8090000}"/>
    <cellStyle name="Normal 10 2 10 16 5 9" xfId="2537" xr:uid="{00000000-0005-0000-0000-0000E9090000}"/>
    <cellStyle name="Normal 10 2 10 16 6" xfId="2538" xr:uid="{00000000-0005-0000-0000-0000EA090000}"/>
    <cellStyle name="Normal 10 2 10 16 7" xfId="2539" xr:uid="{00000000-0005-0000-0000-0000EB090000}"/>
    <cellStyle name="Normal 10 2 10 16 8" xfId="2540" xr:uid="{00000000-0005-0000-0000-0000EC090000}"/>
    <cellStyle name="Normal 10 2 10 16 9" xfId="2541" xr:uid="{00000000-0005-0000-0000-0000ED090000}"/>
    <cellStyle name="Normal 10 2 10 17" xfId="2542" xr:uid="{00000000-0005-0000-0000-0000EE090000}"/>
    <cellStyle name="Normal 10 2 10 17 10" xfId="2543" xr:uid="{00000000-0005-0000-0000-0000EF090000}"/>
    <cellStyle name="Normal 10 2 10 17 11" xfId="2544" xr:uid="{00000000-0005-0000-0000-0000F0090000}"/>
    <cellStyle name="Normal 10 2 10 17 12" xfId="2545" xr:uid="{00000000-0005-0000-0000-0000F1090000}"/>
    <cellStyle name="Normal 10 2 10 17 13" xfId="2546" xr:uid="{00000000-0005-0000-0000-0000F2090000}"/>
    <cellStyle name="Normal 10 2 10 17 14" xfId="2547" xr:uid="{00000000-0005-0000-0000-0000F3090000}"/>
    <cellStyle name="Normal 10 2 10 17 2" xfId="2548" xr:uid="{00000000-0005-0000-0000-0000F4090000}"/>
    <cellStyle name="Normal 10 2 10 17 2 10" xfId="2549" xr:uid="{00000000-0005-0000-0000-0000F5090000}"/>
    <cellStyle name="Normal 10 2 10 17 2 2" xfId="2550" xr:uid="{00000000-0005-0000-0000-0000F6090000}"/>
    <cellStyle name="Normal 10 2 10 17 2 3" xfId="2551" xr:uid="{00000000-0005-0000-0000-0000F7090000}"/>
    <cellStyle name="Normal 10 2 10 17 2 4" xfId="2552" xr:uid="{00000000-0005-0000-0000-0000F8090000}"/>
    <cellStyle name="Normal 10 2 10 17 2 5" xfId="2553" xr:uid="{00000000-0005-0000-0000-0000F9090000}"/>
    <cellStyle name="Normal 10 2 10 17 2 6" xfId="2554" xr:uid="{00000000-0005-0000-0000-0000FA090000}"/>
    <cellStyle name="Normal 10 2 10 17 2 7" xfId="2555" xr:uid="{00000000-0005-0000-0000-0000FB090000}"/>
    <cellStyle name="Normal 10 2 10 17 2 8" xfId="2556" xr:uid="{00000000-0005-0000-0000-0000FC090000}"/>
    <cellStyle name="Normal 10 2 10 17 2 9" xfId="2557" xr:uid="{00000000-0005-0000-0000-0000FD090000}"/>
    <cellStyle name="Normal 10 2 10 17 3" xfId="2558" xr:uid="{00000000-0005-0000-0000-0000FE090000}"/>
    <cellStyle name="Normal 10 2 10 17 3 10" xfId="2559" xr:uid="{00000000-0005-0000-0000-0000FF090000}"/>
    <cellStyle name="Normal 10 2 10 17 3 2" xfId="2560" xr:uid="{00000000-0005-0000-0000-0000000A0000}"/>
    <cellStyle name="Normal 10 2 10 17 3 3" xfId="2561" xr:uid="{00000000-0005-0000-0000-0000010A0000}"/>
    <cellStyle name="Normal 10 2 10 17 3 4" xfId="2562" xr:uid="{00000000-0005-0000-0000-0000020A0000}"/>
    <cellStyle name="Normal 10 2 10 17 3 5" xfId="2563" xr:uid="{00000000-0005-0000-0000-0000030A0000}"/>
    <cellStyle name="Normal 10 2 10 17 3 6" xfId="2564" xr:uid="{00000000-0005-0000-0000-0000040A0000}"/>
    <cellStyle name="Normal 10 2 10 17 3 7" xfId="2565" xr:uid="{00000000-0005-0000-0000-0000050A0000}"/>
    <cellStyle name="Normal 10 2 10 17 3 8" xfId="2566" xr:uid="{00000000-0005-0000-0000-0000060A0000}"/>
    <cellStyle name="Normal 10 2 10 17 3 9" xfId="2567" xr:uid="{00000000-0005-0000-0000-0000070A0000}"/>
    <cellStyle name="Normal 10 2 10 17 4" xfId="2568" xr:uid="{00000000-0005-0000-0000-0000080A0000}"/>
    <cellStyle name="Normal 10 2 10 17 4 10" xfId="2569" xr:uid="{00000000-0005-0000-0000-0000090A0000}"/>
    <cellStyle name="Normal 10 2 10 17 4 2" xfId="2570" xr:uid="{00000000-0005-0000-0000-00000A0A0000}"/>
    <cellStyle name="Normal 10 2 10 17 4 3" xfId="2571" xr:uid="{00000000-0005-0000-0000-00000B0A0000}"/>
    <cellStyle name="Normal 10 2 10 17 4 4" xfId="2572" xr:uid="{00000000-0005-0000-0000-00000C0A0000}"/>
    <cellStyle name="Normal 10 2 10 17 4 5" xfId="2573" xr:uid="{00000000-0005-0000-0000-00000D0A0000}"/>
    <cellStyle name="Normal 10 2 10 17 4 6" xfId="2574" xr:uid="{00000000-0005-0000-0000-00000E0A0000}"/>
    <cellStyle name="Normal 10 2 10 17 4 7" xfId="2575" xr:uid="{00000000-0005-0000-0000-00000F0A0000}"/>
    <cellStyle name="Normal 10 2 10 17 4 8" xfId="2576" xr:uid="{00000000-0005-0000-0000-0000100A0000}"/>
    <cellStyle name="Normal 10 2 10 17 4 9" xfId="2577" xr:uid="{00000000-0005-0000-0000-0000110A0000}"/>
    <cellStyle name="Normal 10 2 10 17 5" xfId="2578" xr:uid="{00000000-0005-0000-0000-0000120A0000}"/>
    <cellStyle name="Normal 10 2 10 17 5 10" xfId="2579" xr:uid="{00000000-0005-0000-0000-0000130A0000}"/>
    <cellStyle name="Normal 10 2 10 17 5 2" xfId="2580" xr:uid="{00000000-0005-0000-0000-0000140A0000}"/>
    <cellStyle name="Normal 10 2 10 17 5 3" xfId="2581" xr:uid="{00000000-0005-0000-0000-0000150A0000}"/>
    <cellStyle name="Normal 10 2 10 17 5 4" xfId="2582" xr:uid="{00000000-0005-0000-0000-0000160A0000}"/>
    <cellStyle name="Normal 10 2 10 17 5 5" xfId="2583" xr:uid="{00000000-0005-0000-0000-0000170A0000}"/>
    <cellStyle name="Normal 10 2 10 17 5 6" xfId="2584" xr:uid="{00000000-0005-0000-0000-0000180A0000}"/>
    <cellStyle name="Normal 10 2 10 17 5 7" xfId="2585" xr:uid="{00000000-0005-0000-0000-0000190A0000}"/>
    <cellStyle name="Normal 10 2 10 17 5 8" xfId="2586" xr:uid="{00000000-0005-0000-0000-00001A0A0000}"/>
    <cellStyle name="Normal 10 2 10 17 5 9" xfId="2587" xr:uid="{00000000-0005-0000-0000-00001B0A0000}"/>
    <cellStyle name="Normal 10 2 10 17 6" xfId="2588" xr:uid="{00000000-0005-0000-0000-00001C0A0000}"/>
    <cellStyle name="Normal 10 2 10 17 7" xfId="2589" xr:uid="{00000000-0005-0000-0000-00001D0A0000}"/>
    <cellStyle name="Normal 10 2 10 17 8" xfId="2590" xr:uid="{00000000-0005-0000-0000-00001E0A0000}"/>
    <cellStyle name="Normal 10 2 10 17 9" xfId="2591" xr:uid="{00000000-0005-0000-0000-00001F0A0000}"/>
    <cellStyle name="Normal 10 2 10 18" xfId="2592" xr:uid="{00000000-0005-0000-0000-0000200A0000}"/>
    <cellStyle name="Normal 10 2 10 18 10" xfId="2593" xr:uid="{00000000-0005-0000-0000-0000210A0000}"/>
    <cellStyle name="Normal 10 2 10 18 11" xfId="2594" xr:uid="{00000000-0005-0000-0000-0000220A0000}"/>
    <cellStyle name="Normal 10 2 10 18 12" xfId="2595" xr:uid="{00000000-0005-0000-0000-0000230A0000}"/>
    <cellStyle name="Normal 10 2 10 18 13" xfId="2596" xr:uid="{00000000-0005-0000-0000-0000240A0000}"/>
    <cellStyle name="Normal 10 2 10 18 14" xfId="2597" xr:uid="{00000000-0005-0000-0000-0000250A0000}"/>
    <cellStyle name="Normal 10 2 10 18 2" xfId="2598" xr:uid="{00000000-0005-0000-0000-0000260A0000}"/>
    <cellStyle name="Normal 10 2 10 18 2 10" xfId="2599" xr:uid="{00000000-0005-0000-0000-0000270A0000}"/>
    <cellStyle name="Normal 10 2 10 18 2 2" xfId="2600" xr:uid="{00000000-0005-0000-0000-0000280A0000}"/>
    <cellStyle name="Normal 10 2 10 18 2 3" xfId="2601" xr:uid="{00000000-0005-0000-0000-0000290A0000}"/>
    <cellStyle name="Normal 10 2 10 18 2 4" xfId="2602" xr:uid="{00000000-0005-0000-0000-00002A0A0000}"/>
    <cellStyle name="Normal 10 2 10 18 2 5" xfId="2603" xr:uid="{00000000-0005-0000-0000-00002B0A0000}"/>
    <cellStyle name="Normal 10 2 10 18 2 6" xfId="2604" xr:uid="{00000000-0005-0000-0000-00002C0A0000}"/>
    <cellStyle name="Normal 10 2 10 18 2 7" xfId="2605" xr:uid="{00000000-0005-0000-0000-00002D0A0000}"/>
    <cellStyle name="Normal 10 2 10 18 2 8" xfId="2606" xr:uid="{00000000-0005-0000-0000-00002E0A0000}"/>
    <cellStyle name="Normal 10 2 10 18 2 9" xfId="2607" xr:uid="{00000000-0005-0000-0000-00002F0A0000}"/>
    <cellStyle name="Normal 10 2 10 18 3" xfId="2608" xr:uid="{00000000-0005-0000-0000-0000300A0000}"/>
    <cellStyle name="Normal 10 2 10 18 3 10" xfId="2609" xr:uid="{00000000-0005-0000-0000-0000310A0000}"/>
    <cellStyle name="Normal 10 2 10 18 3 2" xfId="2610" xr:uid="{00000000-0005-0000-0000-0000320A0000}"/>
    <cellStyle name="Normal 10 2 10 18 3 3" xfId="2611" xr:uid="{00000000-0005-0000-0000-0000330A0000}"/>
    <cellStyle name="Normal 10 2 10 18 3 4" xfId="2612" xr:uid="{00000000-0005-0000-0000-0000340A0000}"/>
    <cellStyle name="Normal 10 2 10 18 3 5" xfId="2613" xr:uid="{00000000-0005-0000-0000-0000350A0000}"/>
    <cellStyle name="Normal 10 2 10 18 3 6" xfId="2614" xr:uid="{00000000-0005-0000-0000-0000360A0000}"/>
    <cellStyle name="Normal 10 2 10 18 3 7" xfId="2615" xr:uid="{00000000-0005-0000-0000-0000370A0000}"/>
    <cellStyle name="Normal 10 2 10 18 3 8" xfId="2616" xr:uid="{00000000-0005-0000-0000-0000380A0000}"/>
    <cellStyle name="Normal 10 2 10 18 3 9" xfId="2617" xr:uid="{00000000-0005-0000-0000-0000390A0000}"/>
    <cellStyle name="Normal 10 2 10 18 4" xfId="2618" xr:uid="{00000000-0005-0000-0000-00003A0A0000}"/>
    <cellStyle name="Normal 10 2 10 18 4 10" xfId="2619" xr:uid="{00000000-0005-0000-0000-00003B0A0000}"/>
    <cellStyle name="Normal 10 2 10 18 4 2" xfId="2620" xr:uid="{00000000-0005-0000-0000-00003C0A0000}"/>
    <cellStyle name="Normal 10 2 10 18 4 3" xfId="2621" xr:uid="{00000000-0005-0000-0000-00003D0A0000}"/>
    <cellStyle name="Normal 10 2 10 18 4 4" xfId="2622" xr:uid="{00000000-0005-0000-0000-00003E0A0000}"/>
    <cellStyle name="Normal 10 2 10 18 4 5" xfId="2623" xr:uid="{00000000-0005-0000-0000-00003F0A0000}"/>
    <cellStyle name="Normal 10 2 10 18 4 6" xfId="2624" xr:uid="{00000000-0005-0000-0000-0000400A0000}"/>
    <cellStyle name="Normal 10 2 10 18 4 7" xfId="2625" xr:uid="{00000000-0005-0000-0000-0000410A0000}"/>
    <cellStyle name="Normal 10 2 10 18 4 8" xfId="2626" xr:uid="{00000000-0005-0000-0000-0000420A0000}"/>
    <cellStyle name="Normal 10 2 10 18 4 9" xfId="2627" xr:uid="{00000000-0005-0000-0000-0000430A0000}"/>
    <cellStyle name="Normal 10 2 10 18 5" xfId="2628" xr:uid="{00000000-0005-0000-0000-0000440A0000}"/>
    <cellStyle name="Normal 10 2 10 18 5 10" xfId="2629" xr:uid="{00000000-0005-0000-0000-0000450A0000}"/>
    <cellStyle name="Normal 10 2 10 18 5 2" xfId="2630" xr:uid="{00000000-0005-0000-0000-0000460A0000}"/>
    <cellStyle name="Normal 10 2 10 18 5 3" xfId="2631" xr:uid="{00000000-0005-0000-0000-0000470A0000}"/>
    <cellStyle name="Normal 10 2 10 18 5 4" xfId="2632" xr:uid="{00000000-0005-0000-0000-0000480A0000}"/>
    <cellStyle name="Normal 10 2 10 18 5 5" xfId="2633" xr:uid="{00000000-0005-0000-0000-0000490A0000}"/>
    <cellStyle name="Normal 10 2 10 18 5 6" xfId="2634" xr:uid="{00000000-0005-0000-0000-00004A0A0000}"/>
    <cellStyle name="Normal 10 2 10 18 5 7" xfId="2635" xr:uid="{00000000-0005-0000-0000-00004B0A0000}"/>
    <cellStyle name="Normal 10 2 10 18 5 8" xfId="2636" xr:uid="{00000000-0005-0000-0000-00004C0A0000}"/>
    <cellStyle name="Normal 10 2 10 18 5 9" xfId="2637" xr:uid="{00000000-0005-0000-0000-00004D0A0000}"/>
    <cellStyle name="Normal 10 2 10 18 6" xfId="2638" xr:uid="{00000000-0005-0000-0000-00004E0A0000}"/>
    <cellStyle name="Normal 10 2 10 18 7" xfId="2639" xr:uid="{00000000-0005-0000-0000-00004F0A0000}"/>
    <cellStyle name="Normal 10 2 10 18 8" xfId="2640" xr:uid="{00000000-0005-0000-0000-0000500A0000}"/>
    <cellStyle name="Normal 10 2 10 18 9" xfId="2641" xr:uid="{00000000-0005-0000-0000-0000510A0000}"/>
    <cellStyle name="Normal 10 2 10 19" xfId="2642" xr:uid="{00000000-0005-0000-0000-0000520A0000}"/>
    <cellStyle name="Normal 10 2 10 19 10" xfId="2643" xr:uid="{00000000-0005-0000-0000-0000530A0000}"/>
    <cellStyle name="Normal 10 2 10 19 11" xfId="2644" xr:uid="{00000000-0005-0000-0000-0000540A0000}"/>
    <cellStyle name="Normal 10 2 10 19 12" xfId="2645" xr:uid="{00000000-0005-0000-0000-0000550A0000}"/>
    <cellStyle name="Normal 10 2 10 19 13" xfId="2646" xr:uid="{00000000-0005-0000-0000-0000560A0000}"/>
    <cellStyle name="Normal 10 2 10 19 14" xfId="2647" xr:uid="{00000000-0005-0000-0000-0000570A0000}"/>
    <cellStyle name="Normal 10 2 10 19 2" xfId="2648" xr:uid="{00000000-0005-0000-0000-0000580A0000}"/>
    <cellStyle name="Normal 10 2 10 19 2 10" xfId="2649" xr:uid="{00000000-0005-0000-0000-0000590A0000}"/>
    <cellStyle name="Normal 10 2 10 19 2 2" xfId="2650" xr:uid="{00000000-0005-0000-0000-00005A0A0000}"/>
    <cellStyle name="Normal 10 2 10 19 2 3" xfId="2651" xr:uid="{00000000-0005-0000-0000-00005B0A0000}"/>
    <cellStyle name="Normal 10 2 10 19 2 4" xfId="2652" xr:uid="{00000000-0005-0000-0000-00005C0A0000}"/>
    <cellStyle name="Normal 10 2 10 19 2 5" xfId="2653" xr:uid="{00000000-0005-0000-0000-00005D0A0000}"/>
    <cellStyle name="Normal 10 2 10 19 2 6" xfId="2654" xr:uid="{00000000-0005-0000-0000-00005E0A0000}"/>
    <cellStyle name="Normal 10 2 10 19 2 7" xfId="2655" xr:uid="{00000000-0005-0000-0000-00005F0A0000}"/>
    <cellStyle name="Normal 10 2 10 19 2 8" xfId="2656" xr:uid="{00000000-0005-0000-0000-0000600A0000}"/>
    <cellStyle name="Normal 10 2 10 19 2 9" xfId="2657" xr:uid="{00000000-0005-0000-0000-0000610A0000}"/>
    <cellStyle name="Normal 10 2 10 19 3" xfId="2658" xr:uid="{00000000-0005-0000-0000-0000620A0000}"/>
    <cellStyle name="Normal 10 2 10 19 3 10" xfId="2659" xr:uid="{00000000-0005-0000-0000-0000630A0000}"/>
    <cellStyle name="Normal 10 2 10 19 3 2" xfId="2660" xr:uid="{00000000-0005-0000-0000-0000640A0000}"/>
    <cellStyle name="Normal 10 2 10 19 3 3" xfId="2661" xr:uid="{00000000-0005-0000-0000-0000650A0000}"/>
    <cellStyle name="Normal 10 2 10 19 3 4" xfId="2662" xr:uid="{00000000-0005-0000-0000-0000660A0000}"/>
    <cellStyle name="Normal 10 2 10 19 3 5" xfId="2663" xr:uid="{00000000-0005-0000-0000-0000670A0000}"/>
    <cellStyle name="Normal 10 2 10 19 3 6" xfId="2664" xr:uid="{00000000-0005-0000-0000-0000680A0000}"/>
    <cellStyle name="Normal 10 2 10 19 3 7" xfId="2665" xr:uid="{00000000-0005-0000-0000-0000690A0000}"/>
    <cellStyle name="Normal 10 2 10 19 3 8" xfId="2666" xr:uid="{00000000-0005-0000-0000-00006A0A0000}"/>
    <cellStyle name="Normal 10 2 10 19 3 9" xfId="2667" xr:uid="{00000000-0005-0000-0000-00006B0A0000}"/>
    <cellStyle name="Normal 10 2 10 19 4" xfId="2668" xr:uid="{00000000-0005-0000-0000-00006C0A0000}"/>
    <cellStyle name="Normal 10 2 10 19 4 10" xfId="2669" xr:uid="{00000000-0005-0000-0000-00006D0A0000}"/>
    <cellStyle name="Normal 10 2 10 19 4 2" xfId="2670" xr:uid="{00000000-0005-0000-0000-00006E0A0000}"/>
    <cellStyle name="Normal 10 2 10 19 4 3" xfId="2671" xr:uid="{00000000-0005-0000-0000-00006F0A0000}"/>
    <cellStyle name="Normal 10 2 10 19 4 4" xfId="2672" xr:uid="{00000000-0005-0000-0000-0000700A0000}"/>
    <cellStyle name="Normal 10 2 10 19 4 5" xfId="2673" xr:uid="{00000000-0005-0000-0000-0000710A0000}"/>
    <cellStyle name="Normal 10 2 10 19 4 6" xfId="2674" xr:uid="{00000000-0005-0000-0000-0000720A0000}"/>
    <cellStyle name="Normal 10 2 10 19 4 7" xfId="2675" xr:uid="{00000000-0005-0000-0000-0000730A0000}"/>
    <cellStyle name="Normal 10 2 10 19 4 8" xfId="2676" xr:uid="{00000000-0005-0000-0000-0000740A0000}"/>
    <cellStyle name="Normal 10 2 10 19 4 9" xfId="2677" xr:uid="{00000000-0005-0000-0000-0000750A0000}"/>
    <cellStyle name="Normal 10 2 10 19 5" xfId="2678" xr:uid="{00000000-0005-0000-0000-0000760A0000}"/>
    <cellStyle name="Normal 10 2 10 19 5 10" xfId="2679" xr:uid="{00000000-0005-0000-0000-0000770A0000}"/>
    <cellStyle name="Normal 10 2 10 19 5 2" xfId="2680" xr:uid="{00000000-0005-0000-0000-0000780A0000}"/>
    <cellStyle name="Normal 10 2 10 19 5 3" xfId="2681" xr:uid="{00000000-0005-0000-0000-0000790A0000}"/>
    <cellStyle name="Normal 10 2 10 19 5 4" xfId="2682" xr:uid="{00000000-0005-0000-0000-00007A0A0000}"/>
    <cellStyle name="Normal 10 2 10 19 5 5" xfId="2683" xr:uid="{00000000-0005-0000-0000-00007B0A0000}"/>
    <cellStyle name="Normal 10 2 10 19 5 6" xfId="2684" xr:uid="{00000000-0005-0000-0000-00007C0A0000}"/>
    <cellStyle name="Normal 10 2 10 19 5 7" xfId="2685" xr:uid="{00000000-0005-0000-0000-00007D0A0000}"/>
    <cellStyle name="Normal 10 2 10 19 5 8" xfId="2686" xr:uid="{00000000-0005-0000-0000-00007E0A0000}"/>
    <cellStyle name="Normal 10 2 10 19 5 9" xfId="2687" xr:uid="{00000000-0005-0000-0000-00007F0A0000}"/>
    <cellStyle name="Normal 10 2 10 19 6" xfId="2688" xr:uid="{00000000-0005-0000-0000-0000800A0000}"/>
    <cellStyle name="Normal 10 2 10 19 7" xfId="2689" xr:uid="{00000000-0005-0000-0000-0000810A0000}"/>
    <cellStyle name="Normal 10 2 10 19 8" xfId="2690" xr:uid="{00000000-0005-0000-0000-0000820A0000}"/>
    <cellStyle name="Normal 10 2 10 19 9" xfId="2691" xr:uid="{00000000-0005-0000-0000-0000830A0000}"/>
    <cellStyle name="Normal 10 2 10 2" xfId="2692" xr:uid="{00000000-0005-0000-0000-0000840A0000}"/>
    <cellStyle name="Normal 10 2 10 2 10" xfId="2693" xr:uid="{00000000-0005-0000-0000-0000850A0000}"/>
    <cellStyle name="Normal 10 2 10 2 10 10" xfId="2694" xr:uid="{00000000-0005-0000-0000-0000860A0000}"/>
    <cellStyle name="Normal 10 2 10 2 10 11" xfId="2695" xr:uid="{00000000-0005-0000-0000-0000870A0000}"/>
    <cellStyle name="Normal 10 2 10 2 10 12" xfId="2696" xr:uid="{00000000-0005-0000-0000-0000880A0000}"/>
    <cellStyle name="Normal 10 2 10 2 10 13" xfId="2697" xr:uid="{00000000-0005-0000-0000-0000890A0000}"/>
    <cellStyle name="Normal 10 2 10 2 10 14" xfId="2698" xr:uid="{00000000-0005-0000-0000-00008A0A0000}"/>
    <cellStyle name="Normal 10 2 10 2 10 2" xfId="2699" xr:uid="{00000000-0005-0000-0000-00008B0A0000}"/>
    <cellStyle name="Normal 10 2 10 2 10 2 10" xfId="2700" xr:uid="{00000000-0005-0000-0000-00008C0A0000}"/>
    <cellStyle name="Normal 10 2 10 2 10 2 2" xfId="2701" xr:uid="{00000000-0005-0000-0000-00008D0A0000}"/>
    <cellStyle name="Normal 10 2 10 2 10 2 3" xfId="2702" xr:uid="{00000000-0005-0000-0000-00008E0A0000}"/>
    <cellStyle name="Normal 10 2 10 2 10 2 4" xfId="2703" xr:uid="{00000000-0005-0000-0000-00008F0A0000}"/>
    <cellStyle name="Normal 10 2 10 2 10 2 5" xfId="2704" xr:uid="{00000000-0005-0000-0000-0000900A0000}"/>
    <cellStyle name="Normal 10 2 10 2 10 2 6" xfId="2705" xr:uid="{00000000-0005-0000-0000-0000910A0000}"/>
    <cellStyle name="Normal 10 2 10 2 10 2 7" xfId="2706" xr:uid="{00000000-0005-0000-0000-0000920A0000}"/>
    <cellStyle name="Normal 10 2 10 2 10 2 8" xfId="2707" xr:uid="{00000000-0005-0000-0000-0000930A0000}"/>
    <cellStyle name="Normal 10 2 10 2 10 2 9" xfId="2708" xr:uid="{00000000-0005-0000-0000-0000940A0000}"/>
    <cellStyle name="Normal 10 2 10 2 10 3" xfId="2709" xr:uid="{00000000-0005-0000-0000-0000950A0000}"/>
    <cellStyle name="Normal 10 2 10 2 10 3 10" xfId="2710" xr:uid="{00000000-0005-0000-0000-0000960A0000}"/>
    <cellStyle name="Normal 10 2 10 2 10 3 2" xfId="2711" xr:uid="{00000000-0005-0000-0000-0000970A0000}"/>
    <cellStyle name="Normal 10 2 10 2 10 3 3" xfId="2712" xr:uid="{00000000-0005-0000-0000-0000980A0000}"/>
    <cellStyle name="Normal 10 2 10 2 10 3 4" xfId="2713" xr:uid="{00000000-0005-0000-0000-0000990A0000}"/>
    <cellStyle name="Normal 10 2 10 2 10 3 5" xfId="2714" xr:uid="{00000000-0005-0000-0000-00009A0A0000}"/>
    <cellStyle name="Normal 10 2 10 2 10 3 6" xfId="2715" xr:uid="{00000000-0005-0000-0000-00009B0A0000}"/>
    <cellStyle name="Normal 10 2 10 2 10 3 7" xfId="2716" xr:uid="{00000000-0005-0000-0000-00009C0A0000}"/>
    <cellStyle name="Normal 10 2 10 2 10 3 8" xfId="2717" xr:uid="{00000000-0005-0000-0000-00009D0A0000}"/>
    <cellStyle name="Normal 10 2 10 2 10 3 9" xfId="2718" xr:uid="{00000000-0005-0000-0000-00009E0A0000}"/>
    <cellStyle name="Normal 10 2 10 2 10 4" xfId="2719" xr:uid="{00000000-0005-0000-0000-00009F0A0000}"/>
    <cellStyle name="Normal 10 2 10 2 10 4 10" xfId="2720" xr:uid="{00000000-0005-0000-0000-0000A00A0000}"/>
    <cellStyle name="Normal 10 2 10 2 10 4 2" xfId="2721" xr:uid="{00000000-0005-0000-0000-0000A10A0000}"/>
    <cellStyle name="Normal 10 2 10 2 10 4 3" xfId="2722" xr:uid="{00000000-0005-0000-0000-0000A20A0000}"/>
    <cellStyle name="Normal 10 2 10 2 10 4 4" xfId="2723" xr:uid="{00000000-0005-0000-0000-0000A30A0000}"/>
    <cellStyle name="Normal 10 2 10 2 10 4 5" xfId="2724" xr:uid="{00000000-0005-0000-0000-0000A40A0000}"/>
    <cellStyle name="Normal 10 2 10 2 10 4 6" xfId="2725" xr:uid="{00000000-0005-0000-0000-0000A50A0000}"/>
    <cellStyle name="Normal 10 2 10 2 10 4 7" xfId="2726" xr:uid="{00000000-0005-0000-0000-0000A60A0000}"/>
    <cellStyle name="Normal 10 2 10 2 10 4 8" xfId="2727" xr:uid="{00000000-0005-0000-0000-0000A70A0000}"/>
    <cellStyle name="Normal 10 2 10 2 10 4 9" xfId="2728" xr:uid="{00000000-0005-0000-0000-0000A80A0000}"/>
    <cellStyle name="Normal 10 2 10 2 10 5" xfId="2729" xr:uid="{00000000-0005-0000-0000-0000A90A0000}"/>
    <cellStyle name="Normal 10 2 10 2 10 5 10" xfId="2730" xr:uid="{00000000-0005-0000-0000-0000AA0A0000}"/>
    <cellStyle name="Normal 10 2 10 2 10 5 2" xfId="2731" xr:uid="{00000000-0005-0000-0000-0000AB0A0000}"/>
    <cellStyle name="Normal 10 2 10 2 10 5 3" xfId="2732" xr:uid="{00000000-0005-0000-0000-0000AC0A0000}"/>
    <cellStyle name="Normal 10 2 10 2 10 5 4" xfId="2733" xr:uid="{00000000-0005-0000-0000-0000AD0A0000}"/>
    <cellStyle name="Normal 10 2 10 2 10 5 5" xfId="2734" xr:uid="{00000000-0005-0000-0000-0000AE0A0000}"/>
    <cellStyle name="Normal 10 2 10 2 10 5 6" xfId="2735" xr:uid="{00000000-0005-0000-0000-0000AF0A0000}"/>
    <cellStyle name="Normal 10 2 10 2 10 5 7" xfId="2736" xr:uid="{00000000-0005-0000-0000-0000B00A0000}"/>
    <cellStyle name="Normal 10 2 10 2 10 5 8" xfId="2737" xr:uid="{00000000-0005-0000-0000-0000B10A0000}"/>
    <cellStyle name="Normal 10 2 10 2 10 5 9" xfId="2738" xr:uid="{00000000-0005-0000-0000-0000B20A0000}"/>
    <cellStyle name="Normal 10 2 10 2 10 6" xfId="2739" xr:uid="{00000000-0005-0000-0000-0000B30A0000}"/>
    <cellStyle name="Normal 10 2 10 2 10 7" xfId="2740" xr:uid="{00000000-0005-0000-0000-0000B40A0000}"/>
    <cellStyle name="Normal 10 2 10 2 10 8" xfId="2741" xr:uid="{00000000-0005-0000-0000-0000B50A0000}"/>
    <cellStyle name="Normal 10 2 10 2 10 9" xfId="2742" xr:uid="{00000000-0005-0000-0000-0000B60A0000}"/>
    <cellStyle name="Normal 10 2 10 2 11" xfId="2743" xr:uid="{00000000-0005-0000-0000-0000B70A0000}"/>
    <cellStyle name="Normal 10 2 10 2 11 10" xfId="2744" xr:uid="{00000000-0005-0000-0000-0000B80A0000}"/>
    <cellStyle name="Normal 10 2 10 2 11 11" xfId="2745" xr:uid="{00000000-0005-0000-0000-0000B90A0000}"/>
    <cellStyle name="Normal 10 2 10 2 11 12" xfId="2746" xr:uid="{00000000-0005-0000-0000-0000BA0A0000}"/>
    <cellStyle name="Normal 10 2 10 2 11 13" xfId="2747" xr:uid="{00000000-0005-0000-0000-0000BB0A0000}"/>
    <cellStyle name="Normal 10 2 10 2 11 14" xfId="2748" xr:uid="{00000000-0005-0000-0000-0000BC0A0000}"/>
    <cellStyle name="Normal 10 2 10 2 11 2" xfId="2749" xr:uid="{00000000-0005-0000-0000-0000BD0A0000}"/>
    <cellStyle name="Normal 10 2 10 2 11 2 10" xfId="2750" xr:uid="{00000000-0005-0000-0000-0000BE0A0000}"/>
    <cellStyle name="Normal 10 2 10 2 11 2 2" xfId="2751" xr:uid="{00000000-0005-0000-0000-0000BF0A0000}"/>
    <cellStyle name="Normal 10 2 10 2 11 2 3" xfId="2752" xr:uid="{00000000-0005-0000-0000-0000C00A0000}"/>
    <cellStyle name="Normal 10 2 10 2 11 2 4" xfId="2753" xr:uid="{00000000-0005-0000-0000-0000C10A0000}"/>
    <cellStyle name="Normal 10 2 10 2 11 2 5" xfId="2754" xr:uid="{00000000-0005-0000-0000-0000C20A0000}"/>
    <cellStyle name="Normal 10 2 10 2 11 2 6" xfId="2755" xr:uid="{00000000-0005-0000-0000-0000C30A0000}"/>
    <cellStyle name="Normal 10 2 10 2 11 2 7" xfId="2756" xr:uid="{00000000-0005-0000-0000-0000C40A0000}"/>
    <cellStyle name="Normal 10 2 10 2 11 2 8" xfId="2757" xr:uid="{00000000-0005-0000-0000-0000C50A0000}"/>
    <cellStyle name="Normal 10 2 10 2 11 2 9" xfId="2758" xr:uid="{00000000-0005-0000-0000-0000C60A0000}"/>
    <cellStyle name="Normal 10 2 10 2 11 3" xfId="2759" xr:uid="{00000000-0005-0000-0000-0000C70A0000}"/>
    <cellStyle name="Normal 10 2 10 2 11 3 10" xfId="2760" xr:uid="{00000000-0005-0000-0000-0000C80A0000}"/>
    <cellStyle name="Normal 10 2 10 2 11 3 2" xfId="2761" xr:uid="{00000000-0005-0000-0000-0000C90A0000}"/>
    <cellStyle name="Normal 10 2 10 2 11 3 3" xfId="2762" xr:uid="{00000000-0005-0000-0000-0000CA0A0000}"/>
    <cellStyle name="Normal 10 2 10 2 11 3 4" xfId="2763" xr:uid="{00000000-0005-0000-0000-0000CB0A0000}"/>
    <cellStyle name="Normal 10 2 10 2 11 3 5" xfId="2764" xr:uid="{00000000-0005-0000-0000-0000CC0A0000}"/>
    <cellStyle name="Normal 10 2 10 2 11 3 6" xfId="2765" xr:uid="{00000000-0005-0000-0000-0000CD0A0000}"/>
    <cellStyle name="Normal 10 2 10 2 11 3 7" xfId="2766" xr:uid="{00000000-0005-0000-0000-0000CE0A0000}"/>
    <cellStyle name="Normal 10 2 10 2 11 3 8" xfId="2767" xr:uid="{00000000-0005-0000-0000-0000CF0A0000}"/>
    <cellStyle name="Normal 10 2 10 2 11 3 9" xfId="2768" xr:uid="{00000000-0005-0000-0000-0000D00A0000}"/>
    <cellStyle name="Normal 10 2 10 2 11 4" xfId="2769" xr:uid="{00000000-0005-0000-0000-0000D10A0000}"/>
    <cellStyle name="Normal 10 2 10 2 11 4 10" xfId="2770" xr:uid="{00000000-0005-0000-0000-0000D20A0000}"/>
    <cellStyle name="Normal 10 2 10 2 11 4 2" xfId="2771" xr:uid="{00000000-0005-0000-0000-0000D30A0000}"/>
    <cellStyle name="Normal 10 2 10 2 11 4 3" xfId="2772" xr:uid="{00000000-0005-0000-0000-0000D40A0000}"/>
    <cellStyle name="Normal 10 2 10 2 11 4 4" xfId="2773" xr:uid="{00000000-0005-0000-0000-0000D50A0000}"/>
    <cellStyle name="Normal 10 2 10 2 11 4 5" xfId="2774" xr:uid="{00000000-0005-0000-0000-0000D60A0000}"/>
    <cellStyle name="Normal 10 2 10 2 11 4 6" xfId="2775" xr:uid="{00000000-0005-0000-0000-0000D70A0000}"/>
    <cellStyle name="Normal 10 2 10 2 11 4 7" xfId="2776" xr:uid="{00000000-0005-0000-0000-0000D80A0000}"/>
    <cellStyle name="Normal 10 2 10 2 11 4 8" xfId="2777" xr:uid="{00000000-0005-0000-0000-0000D90A0000}"/>
    <cellStyle name="Normal 10 2 10 2 11 4 9" xfId="2778" xr:uid="{00000000-0005-0000-0000-0000DA0A0000}"/>
    <cellStyle name="Normal 10 2 10 2 11 5" xfId="2779" xr:uid="{00000000-0005-0000-0000-0000DB0A0000}"/>
    <cellStyle name="Normal 10 2 10 2 11 5 10" xfId="2780" xr:uid="{00000000-0005-0000-0000-0000DC0A0000}"/>
    <cellStyle name="Normal 10 2 10 2 11 5 2" xfId="2781" xr:uid="{00000000-0005-0000-0000-0000DD0A0000}"/>
    <cellStyle name="Normal 10 2 10 2 11 5 3" xfId="2782" xr:uid="{00000000-0005-0000-0000-0000DE0A0000}"/>
    <cellStyle name="Normal 10 2 10 2 11 5 4" xfId="2783" xr:uid="{00000000-0005-0000-0000-0000DF0A0000}"/>
    <cellStyle name="Normal 10 2 10 2 11 5 5" xfId="2784" xr:uid="{00000000-0005-0000-0000-0000E00A0000}"/>
    <cellStyle name="Normal 10 2 10 2 11 5 6" xfId="2785" xr:uid="{00000000-0005-0000-0000-0000E10A0000}"/>
    <cellStyle name="Normal 10 2 10 2 11 5 7" xfId="2786" xr:uid="{00000000-0005-0000-0000-0000E20A0000}"/>
    <cellStyle name="Normal 10 2 10 2 11 5 8" xfId="2787" xr:uid="{00000000-0005-0000-0000-0000E30A0000}"/>
    <cellStyle name="Normal 10 2 10 2 11 5 9" xfId="2788" xr:uid="{00000000-0005-0000-0000-0000E40A0000}"/>
    <cellStyle name="Normal 10 2 10 2 11 6" xfId="2789" xr:uid="{00000000-0005-0000-0000-0000E50A0000}"/>
    <cellStyle name="Normal 10 2 10 2 11 7" xfId="2790" xr:uid="{00000000-0005-0000-0000-0000E60A0000}"/>
    <cellStyle name="Normal 10 2 10 2 11 8" xfId="2791" xr:uid="{00000000-0005-0000-0000-0000E70A0000}"/>
    <cellStyle name="Normal 10 2 10 2 11 9" xfId="2792" xr:uid="{00000000-0005-0000-0000-0000E80A0000}"/>
    <cellStyle name="Normal 10 2 10 2 12" xfId="2793" xr:uid="{00000000-0005-0000-0000-0000E90A0000}"/>
    <cellStyle name="Normal 10 2 10 2 12 10" xfId="2794" xr:uid="{00000000-0005-0000-0000-0000EA0A0000}"/>
    <cellStyle name="Normal 10 2 10 2 12 11" xfId="2795" xr:uid="{00000000-0005-0000-0000-0000EB0A0000}"/>
    <cellStyle name="Normal 10 2 10 2 12 12" xfId="2796" xr:uid="{00000000-0005-0000-0000-0000EC0A0000}"/>
    <cellStyle name="Normal 10 2 10 2 12 13" xfId="2797" xr:uid="{00000000-0005-0000-0000-0000ED0A0000}"/>
    <cellStyle name="Normal 10 2 10 2 12 14" xfId="2798" xr:uid="{00000000-0005-0000-0000-0000EE0A0000}"/>
    <cellStyle name="Normal 10 2 10 2 12 2" xfId="2799" xr:uid="{00000000-0005-0000-0000-0000EF0A0000}"/>
    <cellStyle name="Normal 10 2 10 2 12 2 10" xfId="2800" xr:uid="{00000000-0005-0000-0000-0000F00A0000}"/>
    <cellStyle name="Normal 10 2 10 2 12 2 2" xfId="2801" xr:uid="{00000000-0005-0000-0000-0000F10A0000}"/>
    <cellStyle name="Normal 10 2 10 2 12 2 3" xfId="2802" xr:uid="{00000000-0005-0000-0000-0000F20A0000}"/>
    <cellStyle name="Normal 10 2 10 2 12 2 4" xfId="2803" xr:uid="{00000000-0005-0000-0000-0000F30A0000}"/>
    <cellStyle name="Normal 10 2 10 2 12 2 5" xfId="2804" xr:uid="{00000000-0005-0000-0000-0000F40A0000}"/>
    <cellStyle name="Normal 10 2 10 2 12 2 6" xfId="2805" xr:uid="{00000000-0005-0000-0000-0000F50A0000}"/>
    <cellStyle name="Normal 10 2 10 2 12 2 7" xfId="2806" xr:uid="{00000000-0005-0000-0000-0000F60A0000}"/>
    <cellStyle name="Normal 10 2 10 2 12 2 8" xfId="2807" xr:uid="{00000000-0005-0000-0000-0000F70A0000}"/>
    <cellStyle name="Normal 10 2 10 2 12 2 9" xfId="2808" xr:uid="{00000000-0005-0000-0000-0000F80A0000}"/>
    <cellStyle name="Normal 10 2 10 2 12 3" xfId="2809" xr:uid="{00000000-0005-0000-0000-0000F90A0000}"/>
    <cellStyle name="Normal 10 2 10 2 12 3 10" xfId="2810" xr:uid="{00000000-0005-0000-0000-0000FA0A0000}"/>
    <cellStyle name="Normal 10 2 10 2 12 3 2" xfId="2811" xr:uid="{00000000-0005-0000-0000-0000FB0A0000}"/>
    <cellStyle name="Normal 10 2 10 2 12 3 3" xfId="2812" xr:uid="{00000000-0005-0000-0000-0000FC0A0000}"/>
    <cellStyle name="Normal 10 2 10 2 12 3 4" xfId="2813" xr:uid="{00000000-0005-0000-0000-0000FD0A0000}"/>
    <cellStyle name="Normal 10 2 10 2 12 3 5" xfId="2814" xr:uid="{00000000-0005-0000-0000-0000FE0A0000}"/>
    <cellStyle name="Normal 10 2 10 2 12 3 6" xfId="2815" xr:uid="{00000000-0005-0000-0000-0000FF0A0000}"/>
    <cellStyle name="Normal 10 2 10 2 12 3 7" xfId="2816" xr:uid="{00000000-0005-0000-0000-0000000B0000}"/>
    <cellStyle name="Normal 10 2 10 2 12 3 8" xfId="2817" xr:uid="{00000000-0005-0000-0000-0000010B0000}"/>
    <cellStyle name="Normal 10 2 10 2 12 3 9" xfId="2818" xr:uid="{00000000-0005-0000-0000-0000020B0000}"/>
    <cellStyle name="Normal 10 2 10 2 12 4" xfId="2819" xr:uid="{00000000-0005-0000-0000-0000030B0000}"/>
    <cellStyle name="Normal 10 2 10 2 12 4 10" xfId="2820" xr:uid="{00000000-0005-0000-0000-0000040B0000}"/>
    <cellStyle name="Normal 10 2 10 2 12 4 2" xfId="2821" xr:uid="{00000000-0005-0000-0000-0000050B0000}"/>
    <cellStyle name="Normal 10 2 10 2 12 4 3" xfId="2822" xr:uid="{00000000-0005-0000-0000-0000060B0000}"/>
    <cellStyle name="Normal 10 2 10 2 12 4 4" xfId="2823" xr:uid="{00000000-0005-0000-0000-0000070B0000}"/>
    <cellStyle name="Normal 10 2 10 2 12 4 5" xfId="2824" xr:uid="{00000000-0005-0000-0000-0000080B0000}"/>
    <cellStyle name="Normal 10 2 10 2 12 4 6" xfId="2825" xr:uid="{00000000-0005-0000-0000-0000090B0000}"/>
    <cellStyle name="Normal 10 2 10 2 12 4 7" xfId="2826" xr:uid="{00000000-0005-0000-0000-00000A0B0000}"/>
    <cellStyle name="Normal 10 2 10 2 12 4 8" xfId="2827" xr:uid="{00000000-0005-0000-0000-00000B0B0000}"/>
    <cellStyle name="Normal 10 2 10 2 12 4 9" xfId="2828" xr:uid="{00000000-0005-0000-0000-00000C0B0000}"/>
    <cellStyle name="Normal 10 2 10 2 12 5" xfId="2829" xr:uid="{00000000-0005-0000-0000-00000D0B0000}"/>
    <cellStyle name="Normal 10 2 10 2 12 5 10" xfId="2830" xr:uid="{00000000-0005-0000-0000-00000E0B0000}"/>
    <cellStyle name="Normal 10 2 10 2 12 5 2" xfId="2831" xr:uid="{00000000-0005-0000-0000-00000F0B0000}"/>
    <cellStyle name="Normal 10 2 10 2 12 5 3" xfId="2832" xr:uid="{00000000-0005-0000-0000-0000100B0000}"/>
    <cellStyle name="Normal 10 2 10 2 12 5 4" xfId="2833" xr:uid="{00000000-0005-0000-0000-0000110B0000}"/>
    <cellStyle name="Normal 10 2 10 2 12 5 5" xfId="2834" xr:uid="{00000000-0005-0000-0000-0000120B0000}"/>
    <cellStyle name="Normal 10 2 10 2 12 5 6" xfId="2835" xr:uid="{00000000-0005-0000-0000-0000130B0000}"/>
    <cellStyle name="Normal 10 2 10 2 12 5 7" xfId="2836" xr:uid="{00000000-0005-0000-0000-0000140B0000}"/>
    <cellStyle name="Normal 10 2 10 2 12 5 8" xfId="2837" xr:uid="{00000000-0005-0000-0000-0000150B0000}"/>
    <cellStyle name="Normal 10 2 10 2 12 5 9" xfId="2838" xr:uid="{00000000-0005-0000-0000-0000160B0000}"/>
    <cellStyle name="Normal 10 2 10 2 12 6" xfId="2839" xr:uid="{00000000-0005-0000-0000-0000170B0000}"/>
    <cellStyle name="Normal 10 2 10 2 12 7" xfId="2840" xr:uid="{00000000-0005-0000-0000-0000180B0000}"/>
    <cellStyle name="Normal 10 2 10 2 12 8" xfId="2841" xr:uid="{00000000-0005-0000-0000-0000190B0000}"/>
    <cellStyle name="Normal 10 2 10 2 12 9" xfId="2842" xr:uid="{00000000-0005-0000-0000-00001A0B0000}"/>
    <cellStyle name="Normal 10 2 10 2 13" xfId="2843" xr:uid="{00000000-0005-0000-0000-00001B0B0000}"/>
    <cellStyle name="Normal 10 2 10 2 13 10" xfId="2844" xr:uid="{00000000-0005-0000-0000-00001C0B0000}"/>
    <cellStyle name="Normal 10 2 10 2 13 11" xfId="2845" xr:uid="{00000000-0005-0000-0000-00001D0B0000}"/>
    <cellStyle name="Normal 10 2 10 2 13 12" xfId="2846" xr:uid="{00000000-0005-0000-0000-00001E0B0000}"/>
    <cellStyle name="Normal 10 2 10 2 13 13" xfId="2847" xr:uid="{00000000-0005-0000-0000-00001F0B0000}"/>
    <cellStyle name="Normal 10 2 10 2 13 14" xfId="2848" xr:uid="{00000000-0005-0000-0000-0000200B0000}"/>
    <cellStyle name="Normal 10 2 10 2 13 2" xfId="2849" xr:uid="{00000000-0005-0000-0000-0000210B0000}"/>
    <cellStyle name="Normal 10 2 10 2 13 2 10" xfId="2850" xr:uid="{00000000-0005-0000-0000-0000220B0000}"/>
    <cellStyle name="Normal 10 2 10 2 13 2 2" xfId="2851" xr:uid="{00000000-0005-0000-0000-0000230B0000}"/>
    <cellStyle name="Normal 10 2 10 2 13 2 3" xfId="2852" xr:uid="{00000000-0005-0000-0000-0000240B0000}"/>
    <cellStyle name="Normal 10 2 10 2 13 2 4" xfId="2853" xr:uid="{00000000-0005-0000-0000-0000250B0000}"/>
    <cellStyle name="Normal 10 2 10 2 13 2 5" xfId="2854" xr:uid="{00000000-0005-0000-0000-0000260B0000}"/>
    <cellStyle name="Normal 10 2 10 2 13 2 6" xfId="2855" xr:uid="{00000000-0005-0000-0000-0000270B0000}"/>
    <cellStyle name="Normal 10 2 10 2 13 2 7" xfId="2856" xr:uid="{00000000-0005-0000-0000-0000280B0000}"/>
    <cellStyle name="Normal 10 2 10 2 13 2 8" xfId="2857" xr:uid="{00000000-0005-0000-0000-0000290B0000}"/>
    <cellStyle name="Normal 10 2 10 2 13 2 9" xfId="2858" xr:uid="{00000000-0005-0000-0000-00002A0B0000}"/>
    <cellStyle name="Normal 10 2 10 2 13 3" xfId="2859" xr:uid="{00000000-0005-0000-0000-00002B0B0000}"/>
    <cellStyle name="Normal 10 2 10 2 13 3 10" xfId="2860" xr:uid="{00000000-0005-0000-0000-00002C0B0000}"/>
    <cellStyle name="Normal 10 2 10 2 13 3 2" xfId="2861" xr:uid="{00000000-0005-0000-0000-00002D0B0000}"/>
    <cellStyle name="Normal 10 2 10 2 13 3 3" xfId="2862" xr:uid="{00000000-0005-0000-0000-00002E0B0000}"/>
    <cellStyle name="Normal 10 2 10 2 13 3 4" xfId="2863" xr:uid="{00000000-0005-0000-0000-00002F0B0000}"/>
    <cellStyle name="Normal 10 2 10 2 13 3 5" xfId="2864" xr:uid="{00000000-0005-0000-0000-0000300B0000}"/>
    <cellStyle name="Normal 10 2 10 2 13 3 6" xfId="2865" xr:uid="{00000000-0005-0000-0000-0000310B0000}"/>
    <cellStyle name="Normal 10 2 10 2 13 3 7" xfId="2866" xr:uid="{00000000-0005-0000-0000-0000320B0000}"/>
    <cellStyle name="Normal 10 2 10 2 13 3 8" xfId="2867" xr:uid="{00000000-0005-0000-0000-0000330B0000}"/>
    <cellStyle name="Normal 10 2 10 2 13 3 9" xfId="2868" xr:uid="{00000000-0005-0000-0000-0000340B0000}"/>
    <cellStyle name="Normal 10 2 10 2 13 4" xfId="2869" xr:uid="{00000000-0005-0000-0000-0000350B0000}"/>
    <cellStyle name="Normal 10 2 10 2 13 4 10" xfId="2870" xr:uid="{00000000-0005-0000-0000-0000360B0000}"/>
    <cellStyle name="Normal 10 2 10 2 13 4 2" xfId="2871" xr:uid="{00000000-0005-0000-0000-0000370B0000}"/>
    <cellStyle name="Normal 10 2 10 2 13 4 3" xfId="2872" xr:uid="{00000000-0005-0000-0000-0000380B0000}"/>
    <cellStyle name="Normal 10 2 10 2 13 4 4" xfId="2873" xr:uid="{00000000-0005-0000-0000-0000390B0000}"/>
    <cellStyle name="Normal 10 2 10 2 13 4 5" xfId="2874" xr:uid="{00000000-0005-0000-0000-00003A0B0000}"/>
    <cellStyle name="Normal 10 2 10 2 13 4 6" xfId="2875" xr:uid="{00000000-0005-0000-0000-00003B0B0000}"/>
    <cellStyle name="Normal 10 2 10 2 13 4 7" xfId="2876" xr:uid="{00000000-0005-0000-0000-00003C0B0000}"/>
    <cellStyle name="Normal 10 2 10 2 13 4 8" xfId="2877" xr:uid="{00000000-0005-0000-0000-00003D0B0000}"/>
    <cellStyle name="Normal 10 2 10 2 13 4 9" xfId="2878" xr:uid="{00000000-0005-0000-0000-00003E0B0000}"/>
    <cellStyle name="Normal 10 2 10 2 13 5" xfId="2879" xr:uid="{00000000-0005-0000-0000-00003F0B0000}"/>
    <cellStyle name="Normal 10 2 10 2 13 5 10" xfId="2880" xr:uid="{00000000-0005-0000-0000-0000400B0000}"/>
    <cellStyle name="Normal 10 2 10 2 13 5 2" xfId="2881" xr:uid="{00000000-0005-0000-0000-0000410B0000}"/>
    <cellStyle name="Normal 10 2 10 2 13 5 3" xfId="2882" xr:uid="{00000000-0005-0000-0000-0000420B0000}"/>
    <cellStyle name="Normal 10 2 10 2 13 5 4" xfId="2883" xr:uid="{00000000-0005-0000-0000-0000430B0000}"/>
    <cellStyle name="Normal 10 2 10 2 13 5 5" xfId="2884" xr:uid="{00000000-0005-0000-0000-0000440B0000}"/>
    <cellStyle name="Normal 10 2 10 2 13 5 6" xfId="2885" xr:uid="{00000000-0005-0000-0000-0000450B0000}"/>
    <cellStyle name="Normal 10 2 10 2 13 5 7" xfId="2886" xr:uid="{00000000-0005-0000-0000-0000460B0000}"/>
    <cellStyle name="Normal 10 2 10 2 13 5 8" xfId="2887" xr:uid="{00000000-0005-0000-0000-0000470B0000}"/>
    <cellStyle name="Normal 10 2 10 2 13 5 9" xfId="2888" xr:uid="{00000000-0005-0000-0000-0000480B0000}"/>
    <cellStyle name="Normal 10 2 10 2 13 6" xfId="2889" xr:uid="{00000000-0005-0000-0000-0000490B0000}"/>
    <cellStyle name="Normal 10 2 10 2 13 7" xfId="2890" xr:uid="{00000000-0005-0000-0000-00004A0B0000}"/>
    <cellStyle name="Normal 10 2 10 2 13 8" xfId="2891" xr:uid="{00000000-0005-0000-0000-00004B0B0000}"/>
    <cellStyle name="Normal 10 2 10 2 13 9" xfId="2892" xr:uid="{00000000-0005-0000-0000-00004C0B0000}"/>
    <cellStyle name="Normal 10 2 10 2 14" xfId="2893" xr:uid="{00000000-0005-0000-0000-00004D0B0000}"/>
    <cellStyle name="Normal 10 2 10 2 14 10" xfId="2894" xr:uid="{00000000-0005-0000-0000-00004E0B0000}"/>
    <cellStyle name="Normal 10 2 10 2 14 11" xfId="2895" xr:uid="{00000000-0005-0000-0000-00004F0B0000}"/>
    <cellStyle name="Normal 10 2 10 2 14 12" xfId="2896" xr:uid="{00000000-0005-0000-0000-0000500B0000}"/>
    <cellStyle name="Normal 10 2 10 2 14 13" xfId="2897" xr:uid="{00000000-0005-0000-0000-0000510B0000}"/>
    <cellStyle name="Normal 10 2 10 2 14 14" xfId="2898" xr:uid="{00000000-0005-0000-0000-0000520B0000}"/>
    <cellStyle name="Normal 10 2 10 2 14 2" xfId="2899" xr:uid="{00000000-0005-0000-0000-0000530B0000}"/>
    <cellStyle name="Normal 10 2 10 2 14 2 10" xfId="2900" xr:uid="{00000000-0005-0000-0000-0000540B0000}"/>
    <cellStyle name="Normal 10 2 10 2 14 2 2" xfId="2901" xr:uid="{00000000-0005-0000-0000-0000550B0000}"/>
    <cellStyle name="Normal 10 2 10 2 14 2 3" xfId="2902" xr:uid="{00000000-0005-0000-0000-0000560B0000}"/>
    <cellStyle name="Normal 10 2 10 2 14 2 4" xfId="2903" xr:uid="{00000000-0005-0000-0000-0000570B0000}"/>
    <cellStyle name="Normal 10 2 10 2 14 2 5" xfId="2904" xr:uid="{00000000-0005-0000-0000-0000580B0000}"/>
    <cellStyle name="Normal 10 2 10 2 14 2 6" xfId="2905" xr:uid="{00000000-0005-0000-0000-0000590B0000}"/>
    <cellStyle name="Normal 10 2 10 2 14 2 7" xfId="2906" xr:uid="{00000000-0005-0000-0000-00005A0B0000}"/>
    <cellStyle name="Normal 10 2 10 2 14 2 8" xfId="2907" xr:uid="{00000000-0005-0000-0000-00005B0B0000}"/>
    <cellStyle name="Normal 10 2 10 2 14 2 9" xfId="2908" xr:uid="{00000000-0005-0000-0000-00005C0B0000}"/>
    <cellStyle name="Normal 10 2 10 2 14 3" xfId="2909" xr:uid="{00000000-0005-0000-0000-00005D0B0000}"/>
    <cellStyle name="Normal 10 2 10 2 14 3 10" xfId="2910" xr:uid="{00000000-0005-0000-0000-00005E0B0000}"/>
    <cellStyle name="Normal 10 2 10 2 14 3 2" xfId="2911" xr:uid="{00000000-0005-0000-0000-00005F0B0000}"/>
    <cellStyle name="Normal 10 2 10 2 14 3 3" xfId="2912" xr:uid="{00000000-0005-0000-0000-0000600B0000}"/>
    <cellStyle name="Normal 10 2 10 2 14 3 4" xfId="2913" xr:uid="{00000000-0005-0000-0000-0000610B0000}"/>
    <cellStyle name="Normal 10 2 10 2 14 3 5" xfId="2914" xr:uid="{00000000-0005-0000-0000-0000620B0000}"/>
    <cellStyle name="Normal 10 2 10 2 14 3 6" xfId="2915" xr:uid="{00000000-0005-0000-0000-0000630B0000}"/>
    <cellStyle name="Normal 10 2 10 2 14 3 7" xfId="2916" xr:uid="{00000000-0005-0000-0000-0000640B0000}"/>
    <cellStyle name="Normal 10 2 10 2 14 3 8" xfId="2917" xr:uid="{00000000-0005-0000-0000-0000650B0000}"/>
    <cellStyle name="Normal 10 2 10 2 14 3 9" xfId="2918" xr:uid="{00000000-0005-0000-0000-0000660B0000}"/>
    <cellStyle name="Normal 10 2 10 2 14 4" xfId="2919" xr:uid="{00000000-0005-0000-0000-0000670B0000}"/>
    <cellStyle name="Normal 10 2 10 2 14 4 10" xfId="2920" xr:uid="{00000000-0005-0000-0000-0000680B0000}"/>
    <cellStyle name="Normal 10 2 10 2 14 4 2" xfId="2921" xr:uid="{00000000-0005-0000-0000-0000690B0000}"/>
    <cellStyle name="Normal 10 2 10 2 14 4 3" xfId="2922" xr:uid="{00000000-0005-0000-0000-00006A0B0000}"/>
    <cellStyle name="Normal 10 2 10 2 14 4 4" xfId="2923" xr:uid="{00000000-0005-0000-0000-00006B0B0000}"/>
    <cellStyle name="Normal 10 2 10 2 14 4 5" xfId="2924" xr:uid="{00000000-0005-0000-0000-00006C0B0000}"/>
    <cellStyle name="Normal 10 2 10 2 14 4 6" xfId="2925" xr:uid="{00000000-0005-0000-0000-00006D0B0000}"/>
    <cellStyle name="Normal 10 2 10 2 14 4 7" xfId="2926" xr:uid="{00000000-0005-0000-0000-00006E0B0000}"/>
    <cellStyle name="Normal 10 2 10 2 14 4 8" xfId="2927" xr:uid="{00000000-0005-0000-0000-00006F0B0000}"/>
    <cellStyle name="Normal 10 2 10 2 14 4 9" xfId="2928" xr:uid="{00000000-0005-0000-0000-0000700B0000}"/>
    <cellStyle name="Normal 10 2 10 2 14 5" xfId="2929" xr:uid="{00000000-0005-0000-0000-0000710B0000}"/>
    <cellStyle name="Normal 10 2 10 2 14 5 10" xfId="2930" xr:uid="{00000000-0005-0000-0000-0000720B0000}"/>
    <cellStyle name="Normal 10 2 10 2 14 5 2" xfId="2931" xr:uid="{00000000-0005-0000-0000-0000730B0000}"/>
    <cellStyle name="Normal 10 2 10 2 14 5 3" xfId="2932" xr:uid="{00000000-0005-0000-0000-0000740B0000}"/>
    <cellStyle name="Normal 10 2 10 2 14 5 4" xfId="2933" xr:uid="{00000000-0005-0000-0000-0000750B0000}"/>
    <cellStyle name="Normal 10 2 10 2 14 5 5" xfId="2934" xr:uid="{00000000-0005-0000-0000-0000760B0000}"/>
    <cellStyle name="Normal 10 2 10 2 14 5 6" xfId="2935" xr:uid="{00000000-0005-0000-0000-0000770B0000}"/>
    <cellStyle name="Normal 10 2 10 2 14 5 7" xfId="2936" xr:uid="{00000000-0005-0000-0000-0000780B0000}"/>
    <cellStyle name="Normal 10 2 10 2 14 5 8" xfId="2937" xr:uid="{00000000-0005-0000-0000-0000790B0000}"/>
    <cellStyle name="Normal 10 2 10 2 14 5 9" xfId="2938" xr:uid="{00000000-0005-0000-0000-00007A0B0000}"/>
    <cellStyle name="Normal 10 2 10 2 14 6" xfId="2939" xr:uid="{00000000-0005-0000-0000-00007B0B0000}"/>
    <cellStyle name="Normal 10 2 10 2 14 7" xfId="2940" xr:uid="{00000000-0005-0000-0000-00007C0B0000}"/>
    <cellStyle name="Normal 10 2 10 2 14 8" xfId="2941" xr:uid="{00000000-0005-0000-0000-00007D0B0000}"/>
    <cellStyle name="Normal 10 2 10 2 14 9" xfId="2942" xr:uid="{00000000-0005-0000-0000-00007E0B0000}"/>
    <cellStyle name="Normal 10 2 10 2 15" xfId="2943" xr:uid="{00000000-0005-0000-0000-00007F0B0000}"/>
    <cellStyle name="Normal 10 2 10 2 15 10" xfId="2944" xr:uid="{00000000-0005-0000-0000-0000800B0000}"/>
    <cellStyle name="Normal 10 2 10 2 15 11" xfId="2945" xr:uid="{00000000-0005-0000-0000-0000810B0000}"/>
    <cellStyle name="Normal 10 2 10 2 15 12" xfId="2946" xr:uid="{00000000-0005-0000-0000-0000820B0000}"/>
    <cellStyle name="Normal 10 2 10 2 15 13" xfId="2947" xr:uid="{00000000-0005-0000-0000-0000830B0000}"/>
    <cellStyle name="Normal 10 2 10 2 15 14" xfId="2948" xr:uid="{00000000-0005-0000-0000-0000840B0000}"/>
    <cellStyle name="Normal 10 2 10 2 15 2" xfId="2949" xr:uid="{00000000-0005-0000-0000-0000850B0000}"/>
    <cellStyle name="Normal 10 2 10 2 15 2 10" xfId="2950" xr:uid="{00000000-0005-0000-0000-0000860B0000}"/>
    <cellStyle name="Normal 10 2 10 2 15 2 2" xfId="2951" xr:uid="{00000000-0005-0000-0000-0000870B0000}"/>
    <cellStyle name="Normal 10 2 10 2 15 2 3" xfId="2952" xr:uid="{00000000-0005-0000-0000-0000880B0000}"/>
    <cellStyle name="Normal 10 2 10 2 15 2 4" xfId="2953" xr:uid="{00000000-0005-0000-0000-0000890B0000}"/>
    <cellStyle name="Normal 10 2 10 2 15 2 5" xfId="2954" xr:uid="{00000000-0005-0000-0000-00008A0B0000}"/>
    <cellStyle name="Normal 10 2 10 2 15 2 6" xfId="2955" xr:uid="{00000000-0005-0000-0000-00008B0B0000}"/>
    <cellStyle name="Normal 10 2 10 2 15 2 7" xfId="2956" xr:uid="{00000000-0005-0000-0000-00008C0B0000}"/>
    <cellStyle name="Normal 10 2 10 2 15 2 8" xfId="2957" xr:uid="{00000000-0005-0000-0000-00008D0B0000}"/>
    <cellStyle name="Normal 10 2 10 2 15 2 9" xfId="2958" xr:uid="{00000000-0005-0000-0000-00008E0B0000}"/>
    <cellStyle name="Normal 10 2 10 2 15 3" xfId="2959" xr:uid="{00000000-0005-0000-0000-00008F0B0000}"/>
    <cellStyle name="Normal 10 2 10 2 15 3 10" xfId="2960" xr:uid="{00000000-0005-0000-0000-0000900B0000}"/>
    <cellStyle name="Normal 10 2 10 2 15 3 2" xfId="2961" xr:uid="{00000000-0005-0000-0000-0000910B0000}"/>
    <cellStyle name="Normal 10 2 10 2 15 3 3" xfId="2962" xr:uid="{00000000-0005-0000-0000-0000920B0000}"/>
    <cellStyle name="Normal 10 2 10 2 15 3 4" xfId="2963" xr:uid="{00000000-0005-0000-0000-0000930B0000}"/>
    <cellStyle name="Normal 10 2 10 2 15 3 5" xfId="2964" xr:uid="{00000000-0005-0000-0000-0000940B0000}"/>
    <cellStyle name="Normal 10 2 10 2 15 3 6" xfId="2965" xr:uid="{00000000-0005-0000-0000-0000950B0000}"/>
    <cellStyle name="Normal 10 2 10 2 15 3 7" xfId="2966" xr:uid="{00000000-0005-0000-0000-0000960B0000}"/>
    <cellStyle name="Normal 10 2 10 2 15 3 8" xfId="2967" xr:uid="{00000000-0005-0000-0000-0000970B0000}"/>
    <cellStyle name="Normal 10 2 10 2 15 3 9" xfId="2968" xr:uid="{00000000-0005-0000-0000-0000980B0000}"/>
    <cellStyle name="Normal 10 2 10 2 15 4" xfId="2969" xr:uid="{00000000-0005-0000-0000-0000990B0000}"/>
    <cellStyle name="Normal 10 2 10 2 15 4 10" xfId="2970" xr:uid="{00000000-0005-0000-0000-00009A0B0000}"/>
    <cellStyle name="Normal 10 2 10 2 15 4 2" xfId="2971" xr:uid="{00000000-0005-0000-0000-00009B0B0000}"/>
    <cellStyle name="Normal 10 2 10 2 15 4 3" xfId="2972" xr:uid="{00000000-0005-0000-0000-00009C0B0000}"/>
    <cellStyle name="Normal 10 2 10 2 15 4 4" xfId="2973" xr:uid="{00000000-0005-0000-0000-00009D0B0000}"/>
    <cellStyle name="Normal 10 2 10 2 15 4 5" xfId="2974" xr:uid="{00000000-0005-0000-0000-00009E0B0000}"/>
    <cellStyle name="Normal 10 2 10 2 15 4 6" xfId="2975" xr:uid="{00000000-0005-0000-0000-00009F0B0000}"/>
    <cellStyle name="Normal 10 2 10 2 15 4 7" xfId="2976" xr:uid="{00000000-0005-0000-0000-0000A00B0000}"/>
    <cellStyle name="Normal 10 2 10 2 15 4 8" xfId="2977" xr:uid="{00000000-0005-0000-0000-0000A10B0000}"/>
    <cellStyle name="Normal 10 2 10 2 15 4 9" xfId="2978" xr:uid="{00000000-0005-0000-0000-0000A20B0000}"/>
    <cellStyle name="Normal 10 2 10 2 15 5" xfId="2979" xr:uid="{00000000-0005-0000-0000-0000A30B0000}"/>
    <cellStyle name="Normal 10 2 10 2 15 5 10" xfId="2980" xr:uid="{00000000-0005-0000-0000-0000A40B0000}"/>
    <cellStyle name="Normal 10 2 10 2 15 5 2" xfId="2981" xr:uid="{00000000-0005-0000-0000-0000A50B0000}"/>
    <cellStyle name="Normal 10 2 10 2 15 5 3" xfId="2982" xr:uid="{00000000-0005-0000-0000-0000A60B0000}"/>
    <cellStyle name="Normal 10 2 10 2 15 5 4" xfId="2983" xr:uid="{00000000-0005-0000-0000-0000A70B0000}"/>
    <cellStyle name="Normal 10 2 10 2 15 5 5" xfId="2984" xr:uid="{00000000-0005-0000-0000-0000A80B0000}"/>
    <cellStyle name="Normal 10 2 10 2 15 5 6" xfId="2985" xr:uid="{00000000-0005-0000-0000-0000A90B0000}"/>
    <cellStyle name="Normal 10 2 10 2 15 5 7" xfId="2986" xr:uid="{00000000-0005-0000-0000-0000AA0B0000}"/>
    <cellStyle name="Normal 10 2 10 2 15 5 8" xfId="2987" xr:uid="{00000000-0005-0000-0000-0000AB0B0000}"/>
    <cellStyle name="Normal 10 2 10 2 15 5 9" xfId="2988" xr:uid="{00000000-0005-0000-0000-0000AC0B0000}"/>
    <cellStyle name="Normal 10 2 10 2 15 6" xfId="2989" xr:uid="{00000000-0005-0000-0000-0000AD0B0000}"/>
    <cellStyle name="Normal 10 2 10 2 15 7" xfId="2990" xr:uid="{00000000-0005-0000-0000-0000AE0B0000}"/>
    <cellStyle name="Normal 10 2 10 2 15 8" xfId="2991" xr:uid="{00000000-0005-0000-0000-0000AF0B0000}"/>
    <cellStyle name="Normal 10 2 10 2 15 9" xfId="2992" xr:uid="{00000000-0005-0000-0000-0000B00B0000}"/>
    <cellStyle name="Normal 10 2 10 2 16" xfId="2993" xr:uid="{00000000-0005-0000-0000-0000B10B0000}"/>
    <cellStyle name="Normal 10 2 10 2 16 10" xfId="2994" xr:uid="{00000000-0005-0000-0000-0000B20B0000}"/>
    <cellStyle name="Normal 10 2 10 2 16 11" xfId="2995" xr:uid="{00000000-0005-0000-0000-0000B30B0000}"/>
    <cellStyle name="Normal 10 2 10 2 16 12" xfId="2996" xr:uid="{00000000-0005-0000-0000-0000B40B0000}"/>
    <cellStyle name="Normal 10 2 10 2 16 13" xfId="2997" xr:uid="{00000000-0005-0000-0000-0000B50B0000}"/>
    <cellStyle name="Normal 10 2 10 2 16 14" xfId="2998" xr:uid="{00000000-0005-0000-0000-0000B60B0000}"/>
    <cellStyle name="Normal 10 2 10 2 16 2" xfId="2999" xr:uid="{00000000-0005-0000-0000-0000B70B0000}"/>
    <cellStyle name="Normal 10 2 10 2 16 2 10" xfId="3000" xr:uid="{00000000-0005-0000-0000-0000B80B0000}"/>
    <cellStyle name="Normal 10 2 10 2 16 2 2" xfId="3001" xr:uid="{00000000-0005-0000-0000-0000B90B0000}"/>
    <cellStyle name="Normal 10 2 10 2 16 2 3" xfId="3002" xr:uid="{00000000-0005-0000-0000-0000BA0B0000}"/>
    <cellStyle name="Normal 10 2 10 2 16 2 4" xfId="3003" xr:uid="{00000000-0005-0000-0000-0000BB0B0000}"/>
    <cellStyle name="Normal 10 2 10 2 16 2 5" xfId="3004" xr:uid="{00000000-0005-0000-0000-0000BC0B0000}"/>
    <cellStyle name="Normal 10 2 10 2 16 2 6" xfId="3005" xr:uid="{00000000-0005-0000-0000-0000BD0B0000}"/>
    <cellStyle name="Normal 10 2 10 2 16 2 7" xfId="3006" xr:uid="{00000000-0005-0000-0000-0000BE0B0000}"/>
    <cellStyle name="Normal 10 2 10 2 16 2 8" xfId="3007" xr:uid="{00000000-0005-0000-0000-0000BF0B0000}"/>
    <cellStyle name="Normal 10 2 10 2 16 2 9" xfId="3008" xr:uid="{00000000-0005-0000-0000-0000C00B0000}"/>
    <cellStyle name="Normal 10 2 10 2 16 3" xfId="3009" xr:uid="{00000000-0005-0000-0000-0000C10B0000}"/>
    <cellStyle name="Normal 10 2 10 2 16 3 10" xfId="3010" xr:uid="{00000000-0005-0000-0000-0000C20B0000}"/>
    <cellStyle name="Normal 10 2 10 2 16 3 2" xfId="3011" xr:uid="{00000000-0005-0000-0000-0000C30B0000}"/>
    <cellStyle name="Normal 10 2 10 2 16 3 3" xfId="3012" xr:uid="{00000000-0005-0000-0000-0000C40B0000}"/>
    <cellStyle name="Normal 10 2 10 2 16 3 4" xfId="3013" xr:uid="{00000000-0005-0000-0000-0000C50B0000}"/>
    <cellStyle name="Normal 10 2 10 2 16 3 5" xfId="3014" xr:uid="{00000000-0005-0000-0000-0000C60B0000}"/>
    <cellStyle name="Normal 10 2 10 2 16 3 6" xfId="3015" xr:uid="{00000000-0005-0000-0000-0000C70B0000}"/>
    <cellStyle name="Normal 10 2 10 2 16 3 7" xfId="3016" xr:uid="{00000000-0005-0000-0000-0000C80B0000}"/>
    <cellStyle name="Normal 10 2 10 2 16 3 8" xfId="3017" xr:uid="{00000000-0005-0000-0000-0000C90B0000}"/>
    <cellStyle name="Normal 10 2 10 2 16 3 9" xfId="3018" xr:uid="{00000000-0005-0000-0000-0000CA0B0000}"/>
    <cellStyle name="Normal 10 2 10 2 16 4" xfId="3019" xr:uid="{00000000-0005-0000-0000-0000CB0B0000}"/>
    <cellStyle name="Normal 10 2 10 2 16 4 10" xfId="3020" xr:uid="{00000000-0005-0000-0000-0000CC0B0000}"/>
    <cellStyle name="Normal 10 2 10 2 16 4 2" xfId="3021" xr:uid="{00000000-0005-0000-0000-0000CD0B0000}"/>
    <cellStyle name="Normal 10 2 10 2 16 4 3" xfId="3022" xr:uid="{00000000-0005-0000-0000-0000CE0B0000}"/>
    <cellStyle name="Normal 10 2 10 2 16 4 4" xfId="3023" xr:uid="{00000000-0005-0000-0000-0000CF0B0000}"/>
    <cellStyle name="Normal 10 2 10 2 16 4 5" xfId="3024" xr:uid="{00000000-0005-0000-0000-0000D00B0000}"/>
    <cellStyle name="Normal 10 2 10 2 16 4 6" xfId="3025" xr:uid="{00000000-0005-0000-0000-0000D10B0000}"/>
    <cellStyle name="Normal 10 2 10 2 16 4 7" xfId="3026" xr:uid="{00000000-0005-0000-0000-0000D20B0000}"/>
    <cellStyle name="Normal 10 2 10 2 16 4 8" xfId="3027" xr:uid="{00000000-0005-0000-0000-0000D30B0000}"/>
    <cellStyle name="Normal 10 2 10 2 16 4 9" xfId="3028" xr:uid="{00000000-0005-0000-0000-0000D40B0000}"/>
    <cellStyle name="Normal 10 2 10 2 16 5" xfId="3029" xr:uid="{00000000-0005-0000-0000-0000D50B0000}"/>
    <cellStyle name="Normal 10 2 10 2 16 5 10" xfId="3030" xr:uid="{00000000-0005-0000-0000-0000D60B0000}"/>
    <cellStyle name="Normal 10 2 10 2 16 5 2" xfId="3031" xr:uid="{00000000-0005-0000-0000-0000D70B0000}"/>
    <cellStyle name="Normal 10 2 10 2 16 5 3" xfId="3032" xr:uid="{00000000-0005-0000-0000-0000D80B0000}"/>
    <cellStyle name="Normal 10 2 10 2 16 5 4" xfId="3033" xr:uid="{00000000-0005-0000-0000-0000D90B0000}"/>
    <cellStyle name="Normal 10 2 10 2 16 5 5" xfId="3034" xr:uid="{00000000-0005-0000-0000-0000DA0B0000}"/>
    <cellStyle name="Normal 10 2 10 2 16 5 6" xfId="3035" xr:uid="{00000000-0005-0000-0000-0000DB0B0000}"/>
    <cellStyle name="Normal 10 2 10 2 16 5 7" xfId="3036" xr:uid="{00000000-0005-0000-0000-0000DC0B0000}"/>
    <cellStyle name="Normal 10 2 10 2 16 5 8" xfId="3037" xr:uid="{00000000-0005-0000-0000-0000DD0B0000}"/>
    <cellStyle name="Normal 10 2 10 2 16 5 9" xfId="3038" xr:uid="{00000000-0005-0000-0000-0000DE0B0000}"/>
    <cellStyle name="Normal 10 2 10 2 16 6" xfId="3039" xr:uid="{00000000-0005-0000-0000-0000DF0B0000}"/>
    <cellStyle name="Normal 10 2 10 2 16 7" xfId="3040" xr:uid="{00000000-0005-0000-0000-0000E00B0000}"/>
    <cellStyle name="Normal 10 2 10 2 16 8" xfId="3041" xr:uid="{00000000-0005-0000-0000-0000E10B0000}"/>
    <cellStyle name="Normal 10 2 10 2 16 9" xfId="3042" xr:uid="{00000000-0005-0000-0000-0000E20B0000}"/>
    <cellStyle name="Normal 10 2 10 2 17" xfId="3043" xr:uid="{00000000-0005-0000-0000-0000E30B0000}"/>
    <cellStyle name="Normal 10 2 10 2 17 10" xfId="3044" xr:uid="{00000000-0005-0000-0000-0000E40B0000}"/>
    <cellStyle name="Normal 10 2 10 2 17 11" xfId="3045" xr:uid="{00000000-0005-0000-0000-0000E50B0000}"/>
    <cellStyle name="Normal 10 2 10 2 17 12" xfId="3046" xr:uid="{00000000-0005-0000-0000-0000E60B0000}"/>
    <cellStyle name="Normal 10 2 10 2 17 13" xfId="3047" xr:uid="{00000000-0005-0000-0000-0000E70B0000}"/>
    <cellStyle name="Normal 10 2 10 2 17 14" xfId="3048" xr:uid="{00000000-0005-0000-0000-0000E80B0000}"/>
    <cellStyle name="Normal 10 2 10 2 17 2" xfId="3049" xr:uid="{00000000-0005-0000-0000-0000E90B0000}"/>
    <cellStyle name="Normal 10 2 10 2 17 2 10" xfId="3050" xr:uid="{00000000-0005-0000-0000-0000EA0B0000}"/>
    <cellStyle name="Normal 10 2 10 2 17 2 2" xfId="3051" xr:uid="{00000000-0005-0000-0000-0000EB0B0000}"/>
    <cellStyle name="Normal 10 2 10 2 17 2 3" xfId="3052" xr:uid="{00000000-0005-0000-0000-0000EC0B0000}"/>
    <cellStyle name="Normal 10 2 10 2 17 2 4" xfId="3053" xr:uid="{00000000-0005-0000-0000-0000ED0B0000}"/>
    <cellStyle name="Normal 10 2 10 2 17 2 5" xfId="3054" xr:uid="{00000000-0005-0000-0000-0000EE0B0000}"/>
    <cellStyle name="Normal 10 2 10 2 17 2 6" xfId="3055" xr:uid="{00000000-0005-0000-0000-0000EF0B0000}"/>
    <cellStyle name="Normal 10 2 10 2 17 2 7" xfId="3056" xr:uid="{00000000-0005-0000-0000-0000F00B0000}"/>
    <cellStyle name="Normal 10 2 10 2 17 2 8" xfId="3057" xr:uid="{00000000-0005-0000-0000-0000F10B0000}"/>
    <cellStyle name="Normal 10 2 10 2 17 2 9" xfId="3058" xr:uid="{00000000-0005-0000-0000-0000F20B0000}"/>
    <cellStyle name="Normal 10 2 10 2 17 3" xfId="3059" xr:uid="{00000000-0005-0000-0000-0000F30B0000}"/>
    <cellStyle name="Normal 10 2 10 2 17 3 10" xfId="3060" xr:uid="{00000000-0005-0000-0000-0000F40B0000}"/>
    <cellStyle name="Normal 10 2 10 2 17 3 2" xfId="3061" xr:uid="{00000000-0005-0000-0000-0000F50B0000}"/>
    <cellStyle name="Normal 10 2 10 2 17 3 3" xfId="3062" xr:uid="{00000000-0005-0000-0000-0000F60B0000}"/>
    <cellStyle name="Normal 10 2 10 2 17 3 4" xfId="3063" xr:uid="{00000000-0005-0000-0000-0000F70B0000}"/>
    <cellStyle name="Normal 10 2 10 2 17 3 5" xfId="3064" xr:uid="{00000000-0005-0000-0000-0000F80B0000}"/>
    <cellStyle name="Normal 10 2 10 2 17 3 6" xfId="3065" xr:uid="{00000000-0005-0000-0000-0000F90B0000}"/>
    <cellStyle name="Normal 10 2 10 2 17 3 7" xfId="3066" xr:uid="{00000000-0005-0000-0000-0000FA0B0000}"/>
    <cellStyle name="Normal 10 2 10 2 17 3 8" xfId="3067" xr:uid="{00000000-0005-0000-0000-0000FB0B0000}"/>
    <cellStyle name="Normal 10 2 10 2 17 3 9" xfId="3068" xr:uid="{00000000-0005-0000-0000-0000FC0B0000}"/>
    <cellStyle name="Normal 10 2 10 2 17 4" xfId="3069" xr:uid="{00000000-0005-0000-0000-0000FD0B0000}"/>
    <cellStyle name="Normal 10 2 10 2 17 4 10" xfId="3070" xr:uid="{00000000-0005-0000-0000-0000FE0B0000}"/>
    <cellStyle name="Normal 10 2 10 2 17 4 2" xfId="3071" xr:uid="{00000000-0005-0000-0000-0000FF0B0000}"/>
    <cellStyle name="Normal 10 2 10 2 17 4 3" xfId="3072" xr:uid="{00000000-0005-0000-0000-0000000C0000}"/>
    <cellStyle name="Normal 10 2 10 2 17 4 4" xfId="3073" xr:uid="{00000000-0005-0000-0000-0000010C0000}"/>
    <cellStyle name="Normal 10 2 10 2 17 4 5" xfId="3074" xr:uid="{00000000-0005-0000-0000-0000020C0000}"/>
    <cellStyle name="Normal 10 2 10 2 17 4 6" xfId="3075" xr:uid="{00000000-0005-0000-0000-0000030C0000}"/>
    <cellStyle name="Normal 10 2 10 2 17 4 7" xfId="3076" xr:uid="{00000000-0005-0000-0000-0000040C0000}"/>
    <cellStyle name="Normal 10 2 10 2 17 4 8" xfId="3077" xr:uid="{00000000-0005-0000-0000-0000050C0000}"/>
    <cellStyle name="Normal 10 2 10 2 17 4 9" xfId="3078" xr:uid="{00000000-0005-0000-0000-0000060C0000}"/>
    <cellStyle name="Normal 10 2 10 2 17 5" xfId="3079" xr:uid="{00000000-0005-0000-0000-0000070C0000}"/>
    <cellStyle name="Normal 10 2 10 2 17 5 10" xfId="3080" xr:uid="{00000000-0005-0000-0000-0000080C0000}"/>
    <cellStyle name="Normal 10 2 10 2 17 5 2" xfId="3081" xr:uid="{00000000-0005-0000-0000-0000090C0000}"/>
    <cellStyle name="Normal 10 2 10 2 17 5 3" xfId="3082" xr:uid="{00000000-0005-0000-0000-00000A0C0000}"/>
    <cellStyle name="Normal 10 2 10 2 17 5 4" xfId="3083" xr:uid="{00000000-0005-0000-0000-00000B0C0000}"/>
    <cellStyle name="Normal 10 2 10 2 17 5 5" xfId="3084" xr:uid="{00000000-0005-0000-0000-00000C0C0000}"/>
    <cellStyle name="Normal 10 2 10 2 17 5 6" xfId="3085" xr:uid="{00000000-0005-0000-0000-00000D0C0000}"/>
    <cellStyle name="Normal 10 2 10 2 17 5 7" xfId="3086" xr:uid="{00000000-0005-0000-0000-00000E0C0000}"/>
    <cellStyle name="Normal 10 2 10 2 17 5 8" xfId="3087" xr:uid="{00000000-0005-0000-0000-00000F0C0000}"/>
    <cellStyle name="Normal 10 2 10 2 17 5 9" xfId="3088" xr:uid="{00000000-0005-0000-0000-0000100C0000}"/>
    <cellStyle name="Normal 10 2 10 2 17 6" xfId="3089" xr:uid="{00000000-0005-0000-0000-0000110C0000}"/>
    <cellStyle name="Normal 10 2 10 2 17 7" xfId="3090" xr:uid="{00000000-0005-0000-0000-0000120C0000}"/>
    <cellStyle name="Normal 10 2 10 2 17 8" xfId="3091" xr:uid="{00000000-0005-0000-0000-0000130C0000}"/>
    <cellStyle name="Normal 10 2 10 2 17 9" xfId="3092" xr:uid="{00000000-0005-0000-0000-0000140C0000}"/>
    <cellStyle name="Normal 10 2 10 2 18" xfId="3093" xr:uid="{00000000-0005-0000-0000-0000150C0000}"/>
    <cellStyle name="Normal 10 2 10 2 18 10" xfId="3094" xr:uid="{00000000-0005-0000-0000-0000160C0000}"/>
    <cellStyle name="Normal 10 2 10 2 18 11" xfId="3095" xr:uid="{00000000-0005-0000-0000-0000170C0000}"/>
    <cellStyle name="Normal 10 2 10 2 18 12" xfId="3096" xr:uid="{00000000-0005-0000-0000-0000180C0000}"/>
    <cellStyle name="Normal 10 2 10 2 18 13" xfId="3097" xr:uid="{00000000-0005-0000-0000-0000190C0000}"/>
    <cellStyle name="Normal 10 2 10 2 18 14" xfId="3098" xr:uid="{00000000-0005-0000-0000-00001A0C0000}"/>
    <cellStyle name="Normal 10 2 10 2 18 2" xfId="3099" xr:uid="{00000000-0005-0000-0000-00001B0C0000}"/>
    <cellStyle name="Normal 10 2 10 2 18 2 10" xfId="3100" xr:uid="{00000000-0005-0000-0000-00001C0C0000}"/>
    <cellStyle name="Normal 10 2 10 2 18 2 2" xfId="3101" xr:uid="{00000000-0005-0000-0000-00001D0C0000}"/>
    <cellStyle name="Normal 10 2 10 2 18 2 3" xfId="3102" xr:uid="{00000000-0005-0000-0000-00001E0C0000}"/>
    <cellStyle name="Normal 10 2 10 2 18 2 4" xfId="3103" xr:uid="{00000000-0005-0000-0000-00001F0C0000}"/>
    <cellStyle name="Normal 10 2 10 2 18 2 5" xfId="3104" xr:uid="{00000000-0005-0000-0000-0000200C0000}"/>
    <cellStyle name="Normal 10 2 10 2 18 2 6" xfId="3105" xr:uid="{00000000-0005-0000-0000-0000210C0000}"/>
    <cellStyle name="Normal 10 2 10 2 18 2 7" xfId="3106" xr:uid="{00000000-0005-0000-0000-0000220C0000}"/>
    <cellStyle name="Normal 10 2 10 2 18 2 8" xfId="3107" xr:uid="{00000000-0005-0000-0000-0000230C0000}"/>
    <cellStyle name="Normal 10 2 10 2 18 2 9" xfId="3108" xr:uid="{00000000-0005-0000-0000-0000240C0000}"/>
    <cellStyle name="Normal 10 2 10 2 18 3" xfId="3109" xr:uid="{00000000-0005-0000-0000-0000250C0000}"/>
    <cellStyle name="Normal 10 2 10 2 18 3 10" xfId="3110" xr:uid="{00000000-0005-0000-0000-0000260C0000}"/>
    <cellStyle name="Normal 10 2 10 2 18 3 2" xfId="3111" xr:uid="{00000000-0005-0000-0000-0000270C0000}"/>
    <cellStyle name="Normal 10 2 10 2 18 3 3" xfId="3112" xr:uid="{00000000-0005-0000-0000-0000280C0000}"/>
    <cellStyle name="Normal 10 2 10 2 18 3 4" xfId="3113" xr:uid="{00000000-0005-0000-0000-0000290C0000}"/>
    <cellStyle name="Normal 10 2 10 2 18 3 5" xfId="3114" xr:uid="{00000000-0005-0000-0000-00002A0C0000}"/>
    <cellStyle name="Normal 10 2 10 2 18 3 6" xfId="3115" xr:uid="{00000000-0005-0000-0000-00002B0C0000}"/>
    <cellStyle name="Normal 10 2 10 2 18 3 7" xfId="3116" xr:uid="{00000000-0005-0000-0000-00002C0C0000}"/>
    <cellStyle name="Normal 10 2 10 2 18 3 8" xfId="3117" xr:uid="{00000000-0005-0000-0000-00002D0C0000}"/>
    <cellStyle name="Normal 10 2 10 2 18 3 9" xfId="3118" xr:uid="{00000000-0005-0000-0000-00002E0C0000}"/>
    <cellStyle name="Normal 10 2 10 2 18 4" xfId="3119" xr:uid="{00000000-0005-0000-0000-00002F0C0000}"/>
    <cellStyle name="Normal 10 2 10 2 18 4 10" xfId="3120" xr:uid="{00000000-0005-0000-0000-0000300C0000}"/>
    <cellStyle name="Normal 10 2 10 2 18 4 2" xfId="3121" xr:uid="{00000000-0005-0000-0000-0000310C0000}"/>
    <cellStyle name="Normal 10 2 10 2 18 4 3" xfId="3122" xr:uid="{00000000-0005-0000-0000-0000320C0000}"/>
    <cellStyle name="Normal 10 2 10 2 18 4 4" xfId="3123" xr:uid="{00000000-0005-0000-0000-0000330C0000}"/>
    <cellStyle name="Normal 10 2 10 2 18 4 5" xfId="3124" xr:uid="{00000000-0005-0000-0000-0000340C0000}"/>
    <cellStyle name="Normal 10 2 10 2 18 4 6" xfId="3125" xr:uid="{00000000-0005-0000-0000-0000350C0000}"/>
    <cellStyle name="Normal 10 2 10 2 18 4 7" xfId="3126" xr:uid="{00000000-0005-0000-0000-0000360C0000}"/>
    <cellStyle name="Normal 10 2 10 2 18 4 8" xfId="3127" xr:uid="{00000000-0005-0000-0000-0000370C0000}"/>
    <cellStyle name="Normal 10 2 10 2 18 4 9" xfId="3128" xr:uid="{00000000-0005-0000-0000-0000380C0000}"/>
    <cellStyle name="Normal 10 2 10 2 18 5" xfId="3129" xr:uid="{00000000-0005-0000-0000-0000390C0000}"/>
    <cellStyle name="Normal 10 2 10 2 18 5 10" xfId="3130" xr:uid="{00000000-0005-0000-0000-00003A0C0000}"/>
    <cellStyle name="Normal 10 2 10 2 18 5 2" xfId="3131" xr:uid="{00000000-0005-0000-0000-00003B0C0000}"/>
    <cellStyle name="Normal 10 2 10 2 18 5 3" xfId="3132" xr:uid="{00000000-0005-0000-0000-00003C0C0000}"/>
    <cellStyle name="Normal 10 2 10 2 18 5 4" xfId="3133" xr:uid="{00000000-0005-0000-0000-00003D0C0000}"/>
    <cellStyle name="Normal 10 2 10 2 18 5 5" xfId="3134" xr:uid="{00000000-0005-0000-0000-00003E0C0000}"/>
    <cellStyle name="Normal 10 2 10 2 18 5 6" xfId="3135" xr:uid="{00000000-0005-0000-0000-00003F0C0000}"/>
    <cellStyle name="Normal 10 2 10 2 18 5 7" xfId="3136" xr:uid="{00000000-0005-0000-0000-0000400C0000}"/>
    <cellStyle name="Normal 10 2 10 2 18 5 8" xfId="3137" xr:uid="{00000000-0005-0000-0000-0000410C0000}"/>
    <cellStyle name="Normal 10 2 10 2 18 5 9" xfId="3138" xr:uid="{00000000-0005-0000-0000-0000420C0000}"/>
    <cellStyle name="Normal 10 2 10 2 18 6" xfId="3139" xr:uid="{00000000-0005-0000-0000-0000430C0000}"/>
    <cellStyle name="Normal 10 2 10 2 18 7" xfId="3140" xr:uid="{00000000-0005-0000-0000-0000440C0000}"/>
    <cellStyle name="Normal 10 2 10 2 18 8" xfId="3141" xr:uid="{00000000-0005-0000-0000-0000450C0000}"/>
    <cellStyle name="Normal 10 2 10 2 18 9" xfId="3142" xr:uid="{00000000-0005-0000-0000-0000460C0000}"/>
    <cellStyle name="Normal 10 2 10 2 19" xfId="3143" xr:uid="{00000000-0005-0000-0000-0000470C0000}"/>
    <cellStyle name="Normal 10 2 10 2 19 10" xfId="3144" xr:uid="{00000000-0005-0000-0000-0000480C0000}"/>
    <cellStyle name="Normal 10 2 10 2 19 11" xfId="3145" xr:uid="{00000000-0005-0000-0000-0000490C0000}"/>
    <cellStyle name="Normal 10 2 10 2 19 12" xfId="3146" xr:uid="{00000000-0005-0000-0000-00004A0C0000}"/>
    <cellStyle name="Normal 10 2 10 2 19 13" xfId="3147" xr:uid="{00000000-0005-0000-0000-00004B0C0000}"/>
    <cellStyle name="Normal 10 2 10 2 19 14" xfId="3148" xr:uid="{00000000-0005-0000-0000-00004C0C0000}"/>
    <cellStyle name="Normal 10 2 10 2 19 2" xfId="3149" xr:uid="{00000000-0005-0000-0000-00004D0C0000}"/>
    <cellStyle name="Normal 10 2 10 2 19 2 10" xfId="3150" xr:uid="{00000000-0005-0000-0000-00004E0C0000}"/>
    <cellStyle name="Normal 10 2 10 2 19 2 2" xfId="3151" xr:uid="{00000000-0005-0000-0000-00004F0C0000}"/>
    <cellStyle name="Normal 10 2 10 2 19 2 3" xfId="3152" xr:uid="{00000000-0005-0000-0000-0000500C0000}"/>
    <cellStyle name="Normal 10 2 10 2 19 2 4" xfId="3153" xr:uid="{00000000-0005-0000-0000-0000510C0000}"/>
    <cellStyle name="Normal 10 2 10 2 19 2 5" xfId="3154" xr:uid="{00000000-0005-0000-0000-0000520C0000}"/>
    <cellStyle name="Normal 10 2 10 2 19 2 6" xfId="3155" xr:uid="{00000000-0005-0000-0000-0000530C0000}"/>
    <cellStyle name="Normal 10 2 10 2 19 2 7" xfId="3156" xr:uid="{00000000-0005-0000-0000-0000540C0000}"/>
    <cellStyle name="Normal 10 2 10 2 19 2 8" xfId="3157" xr:uid="{00000000-0005-0000-0000-0000550C0000}"/>
    <cellStyle name="Normal 10 2 10 2 19 2 9" xfId="3158" xr:uid="{00000000-0005-0000-0000-0000560C0000}"/>
    <cellStyle name="Normal 10 2 10 2 19 3" xfId="3159" xr:uid="{00000000-0005-0000-0000-0000570C0000}"/>
    <cellStyle name="Normal 10 2 10 2 19 3 10" xfId="3160" xr:uid="{00000000-0005-0000-0000-0000580C0000}"/>
    <cellStyle name="Normal 10 2 10 2 19 3 2" xfId="3161" xr:uid="{00000000-0005-0000-0000-0000590C0000}"/>
    <cellStyle name="Normal 10 2 10 2 19 3 3" xfId="3162" xr:uid="{00000000-0005-0000-0000-00005A0C0000}"/>
    <cellStyle name="Normal 10 2 10 2 19 3 4" xfId="3163" xr:uid="{00000000-0005-0000-0000-00005B0C0000}"/>
    <cellStyle name="Normal 10 2 10 2 19 3 5" xfId="3164" xr:uid="{00000000-0005-0000-0000-00005C0C0000}"/>
    <cellStyle name="Normal 10 2 10 2 19 3 6" xfId="3165" xr:uid="{00000000-0005-0000-0000-00005D0C0000}"/>
    <cellStyle name="Normal 10 2 10 2 19 3 7" xfId="3166" xr:uid="{00000000-0005-0000-0000-00005E0C0000}"/>
    <cellStyle name="Normal 10 2 10 2 19 3 8" xfId="3167" xr:uid="{00000000-0005-0000-0000-00005F0C0000}"/>
    <cellStyle name="Normal 10 2 10 2 19 3 9" xfId="3168" xr:uid="{00000000-0005-0000-0000-0000600C0000}"/>
    <cellStyle name="Normal 10 2 10 2 19 4" xfId="3169" xr:uid="{00000000-0005-0000-0000-0000610C0000}"/>
    <cellStyle name="Normal 10 2 10 2 19 4 10" xfId="3170" xr:uid="{00000000-0005-0000-0000-0000620C0000}"/>
    <cellStyle name="Normal 10 2 10 2 19 4 2" xfId="3171" xr:uid="{00000000-0005-0000-0000-0000630C0000}"/>
    <cellStyle name="Normal 10 2 10 2 19 4 3" xfId="3172" xr:uid="{00000000-0005-0000-0000-0000640C0000}"/>
    <cellStyle name="Normal 10 2 10 2 19 4 4" xfId="3173" xr:uid="{00000000-0005-0000-0000-0000650C0000}"/>
    <cellStyle name="Normal 10 2 10 2 19 4 5" xfId="3174" xr:uid="{00000000-0005-0000-0000-0000660C0000}"/>
    <cellStyle name="Normal 10 2 10 2 19 4 6" xfId="3175" xr:uid="{00000000-0005-0000-0000-0000670C0000}"/>
    <cellStyle name="Normal 10 2 10 2 19 4 7" xfId="3176" xr:uid="{00000000-0005-0000-0000-0000680C0000}"/>
    <cellStyle name="Normal 10 2 10 2 19 4 8" xfId="3177" xr:uid="{00000000-0005-0000-0000-0000690C0000}"/>
    <cellStyle name="Normal 10 2 10 2 19 4 9" xfId="3178" xr:uid="{00000000-0005-0000-0000-00006A0C0000}"/>
    <cellStyle name="Normal 10 2 10 2 19 5" xfId="3179" xr:uid="{00000000-0005-0000-0000-00006B0C0000}"/>
    <cellStyle name="Normal 10 2 10 2 19 5 10" xfId="3180" xr:uid="{00000000-0005-0000-0000-00006C0C0000}"/>
    <cellStyle name="Normal 10 2 10 2 19 5 2" xfId="3181" xr:uid="{00000000-0005-0000-0000-00006D0C0000}"/>
    <cellStyle name="Normal 10 2 10 2 19 5 3" xfId="3182" xr:uid="{00000000-0005-0000-0000-00006E0C0000}"/>
    <cellStyle name="Normal 10 2 10 2 19 5 4" xfId="3183" xr:uid="{00000000-0005-0000-0000-00006F0C0000}"/>
    <cellStyle name="Normal 10 2 10 2 19 5 5" xfId="3184" xr:uid="{00000000-0005-0000-0000-0000700C0000}"/>
    <cellStyle name="Normal 10 2 10 2 19 5 6" xfId="3185" xr:uid="{00000000-0005-0000-0000-0000710C0000}"/>
    <cellStyle name="Normal 10 2 10 2 19 5 7" xfId="3186" xr:uid="{00000000-0005-0000-0000-0000720C0000}"/>
    <cellStyle name="Normal 10 2 10 2 19 5 8" xfId="3187" xr:uid="{00000000-0005-0000-0000-0000730C0000}"/>
    <cellStyle name="Normal 10 2 10 2 19 5 9" xfId="3188" xr:uid="{00000000-0005-0000-0000-0000740C0000}"/>
    <cellStyle name="Normal 10 2 10 2 19 6" xfId="3189" xr:uid="{00000000-0005-0000-0000-0000750C0000}"/>
    <cellStyle name="Normal 10 2 10 2 19 7" xfId="3190" xr:uid="{00000000-0005-0000-0000-0000760C0000}"/>
    <cellStyle name="Normal 10 2 10 2 19 8" xfId="3191" xr:uid="{00000000-0005-0000-0000-0000770C0000}"/>
    <cellStyle name="Normal 10 2 10 2 19 9" xfId="3192" xr:uid="{00000000-0005-0000-0000-0000780C0000}"/>
    <cellStyle name="Normal 10 2 10 2 2" xfId="3193" xr:uid="{00000000-0005-0000-0000-0000790C0000}"/>
    <cellStyle name="Normal 10 2 10 2 2 10" xfId="3194" xr:uid="{00000000-0005-0000-0000-00007A0C0000}"/>
    <cellStyle name="Normal 10 2 10 2 2 11" xfId="3195" xr:uid="{00000000-0005-0000-0000-00007B0C0000}"/>
    <cellStyle name="Normal 10 2 10 2 2 12" xfId="3196" xr:uid="{00000000-0005-0000-0000-00007C0C0000}"/>
    <cellStyle name="Normal 10 2 10 2 2 13" xfId="3197" xr:uid="{00000000-0005-0000-0000-00007D0C0000}"/>
    <cellStyle name="Normal 10 2 10 2 2 14" xfId="3198" xr:uid="{00000000-0005-0000-0000-00007E0C0000}"/>
    <cellStyle name="Normal 10 2 10 2 2 2" xfId="3199" xr:uid="{00000000-0005-0000-0000-00007F0C0000}"/>
    <cellStyle name="Normal 10 2 10 2 2 2 10" xfId="3200" xr:uid="{00000000-0005-0000-0000-0000800C0000}"/>
    <cellStyle name="Normal 10 2 10 2 2 2 2" xfId="3201" xr:uid="{00000000-0005-0000-0000-0000810C0000}"/>
    <cellStyle name="Normal 10 2 10 2 2 2 3" xfId="3202" xr:uid="{00000000-0005-0000-0000-0000820C0000}"/>
    <cellStyle name="Normal 10 2 10 2 2 2 4" xfId="3203" xr:uid="{00000000-0005-0000-0000-0000830C0000}"/>
    <cellStyle name="Normal 10 2 10 2 2 2 5" xfId="3204" xr:uid="{00000000-0005-0000-0000-0000840C0000}"/>
    <cellStyle name="Normal 10 2 10 2 2 2 6" xfId="3205" xr:uid="{00000000-0005-0000-0000-0000850C0000}"/>
    <cellStyle name="Normal 10 2 10 2 2 2 7" xfId="3206" xr:uid="{00000000-0005-0000-0000-0000860C0000}"/>
    <cellStyle name="Normal 10 2 10 2 2 2 8" xfId="3207" xr:uid="{00000000-0005-0000-0000-0000870C0000}"/>
    <cellStyle name="Normal 10 2 10 2 2 2 9" xfId="3208" xr:uid="{00000000-0005-0000-0000-0000880C0000}"/>
    <cellStyle name="Normal 10 2 10 2 2 3" xfId="3209" xr:uid="{00000000-0005-0000-0000-0000890C0000}"/>
    <cellStyle name="Normal 10 2 10 2 2 3 10" xfId="3210" xr:uid="{00000000-0005-0000-0000-00008A0C0000}"/>
    <cellStyle name="Normal 10 2 10 2 2 3 2" xfId="3211" xr:uid="{00000000-0005-0000-0000-00008B0C0000}"/>
    <cellStyle name="Normal 10 2 10 2 2 3 3" xfId="3212" xr:uid="{00000000-0005-0000-0000-00008C0C0000}"/>
    <cellStyle name="Normal 10 2 10 2 2 3 4" xfId="3213" xr:uid="{00000000-0005-0000-0000-00008D0C0000}"/>
    <cellStyle name="Normal 10 2 10 2 2 3 5" xfId="3214" xr:uid="{00000000-0005-0000-0000-00008E0C0000}"/>
    <cellStyle name="Normal 10 2 10 2 2 3 6" xfId="3215" xr:uid="{00000000-0005-0000-0000-00008F0C0000}"/>
    <cellStyle name="Normal 10 2 10 2 2 3 7" xfId="3216" xr:uid="{00000000-0005-0000-0000-0000900C0000}"/>
    <cellStyle name="Normal 10 2 10 2 2 3 8" xfId="3217" xr:uid="{00000000-0005-0000-0000-0000910C0000}"/>
    <cellStyle name="Normal 10 2 10 2 2 3 9" xfId="3218" xr:uid="{00000000-0005-0000-0000-0000920C0000}"/>
    <cellStyle name="Normal 10 2 10 2 2 4" xfId="3219" xr:uid="{00000000-0005-0000-0000-0000930C0000}"/>
    <cellStyle name="Normal 10 2 10 2 2 4 10" xfId="3220" xr:uid="{00000000-0005-0000-0000-0000940C0000}"/>
    <cellStyle name="Normal 10 2 10 2 2 4 2" xfId="3221" xr:uid="{00000000-0005-0000-0000-0000950C0000}"/>
    <cellStyle name="Normal 10 2 10 2 2 4 3" xfId="3222" xr:uid="{00000000-0005-0000-0000-0000960C0000}"/>
    <cellStyle name="Normal 10 2 10 2 2 4 4" xfId="3223" xr:uid="{00000000-0005-0000-0000-0000970C0000}"/>
    <cellStyle name="Normal 10 2 10 2 2 4 5" xfId="3224" xr:uid="{00000000-0005-0000-0000-0000980C0000}"/>
    <cellStyle name="Normal 10 2 10 2 2 4 6" xfId="3225" xr:uid="{00000000-0005-0000-0000-0000990C0000}"/>
    <cellStyle name="Normal 10 2 10 2 2 4 7" xfId="3226" xr:uid="{00000000-0005-0000-0000-00009A0C0000}"/>
    <cellStyle name="Normal 10 2 10 2 2 4 8" xfId="3227" xr:uid="{00000000-0005-0000-0000-00009B0C0000}"/>
    <cellStyle name="Normal 10 2 10 2 2 4 9" xfId="3228" xr:uid="{00000000-0005-0000-0000-00009C0C0000}"/>
    <cellStyle name="Normal 10 2 10 2 2 5" xfId="3229" xr:uid="{00000000-0005-0000-0000-00009D0C0000}"/>
    <cellStyle name="Normal 10 2 10 2 2 5 10" xfId="3230" xr:uid="{00000000-0005-0000-0000-00009E0C0000}"/>
    <cellStyle name="Normal 10 2 10 2 2 5 2" xfId="3231" xr:uid="{00000000-0005-0000-0000-00009F0C0000}"/>
    <cellStyle name="Normal 10 2 10 2 2 5 3" xfId="3232" xr:uid="{00000000-0005-0000-0000-0000A00C0000}"/>
    <cellStyle name="Normal 10 2 10 2 2 5 4" xfId="3233" xr:uid="{00000000-0005-0000-0000-0000A10C0000}"/>
    <cellStyle name="Normal 10 2 10 2 2 5 5" xfId="3234" xr:uid="{00000000-0005-0000-0000-0000A20C0000}"/>
    <cellStyle name="Normal 10 2 10 2 2 5 6" xfId="3235" xr:uid="{00000000-0005-0000-0000-0000A30C0000}"/>
    <cellStyle name="Normal 10 2 10 2 2 5 7" xfId="3236" xr:uid="{00000000-0005-0000-0000-0000A40C0000}"/>
    <cellStyle name="Normal 10 2 10 2 2 5 8" xfId="3237" xr:uid="{00000000-0005-0000-0000-0000A50C0000}"/>
    <cellStyle name="Normal 10 2 10 2 2 5 9" xfId="3238" xr:uid="{00000000-0005-0000-0000-0000A60C0000}"/>
    <cellStyle name="Normal 10 2 10 2 2 6" xfId="3239" xr:uid="{00000000-0005-0000-0000-0000A70C0000}"/>
    <cellStyle name="Normal 10 2 10 2 2 7" xfId="3240" xr:uid="{00000000-0005-0000-0000-0000A80C0000}"/>
    <cellStyle name="Normal 10 2 10 2 2 8" xfId="3241" xr:uid="{00000000-0005-0000-0000-0000A90C0000}"/>
    <cellStyle name="Normal 10 2 10 2 2 9" xfId="3242" xr:uid="{00000000-0005-0000-0000-0000AA0C0000}"/>
    <cellStyle name="Normal 10 2 10 2 20" xfId="3243" xr:uid="{00000000-0005-0000-0000-0000AB0C0000}"/>
    <cellStyle name="Normal 10 2 10 2 20 10" xfId="3244" xr:uid="{00000000-0005-0000-0000-0000AC0C0000}"/>
    <cellStyle name="Normal 10 2 10 2 20 11" xfId="3245" xr:uid="{00000000-0005-0000-0000-0000AD0C0000}"/>
    <cellStyle name="Normal 10 2 10 2 20 12" xfId="3246" xr:uid="{00000000-0005-0000-0000-0000AE0C0000}"/>
    <cellStyle name="Normal 10 2 10 2 20 13" xfId="3247" xr:uid="{00000000-0005-0000-0000-0000AF0C0000}"/>
    <cellStyle name="Normal 10 2 10 2 20 14" xfId="3248" xr:uid="{00000000-0005-0000-0000-0000B00C0000}"/>
    <cellStyle name="Normal 10 2 10 2 20 2" xfId="3249" xr:uid="{00000000-0005-0000-0000-0000B10C0000}"/>
    <cellStyle name="Normal 10 2 10 2 20 2 10" xfId="3250" xr:uid="{00000000-0005-0000-0000-0000B20C0000}"/>
    <cellStyle name="Normal 10 2 10 2 20 2 2" xfId="3251" xr:uid="{00000000-0005-0000-0000-0000B30C0000}"/>
    <cellStyle name="Normal 10 2 10 2 20 2 3" xfId="3252" xr:uid="{00000000-0005-0000-0000-0000B40C0000}"/>
    <cellStyle name="Normal 10 2 10 2 20 2 4" xfId="3253" xr:uid="{00000000-0005-0000-0000-0000B50C0000}"/>
    <cellStyle name="Normal 10 2 10 2 20 2 5" xfId="3254" xr:uid="{00000000-0005-0000-0000-0000B60C0000}"/>
    <cellStyle name="Normal 10 2 10 2 20 2 6" xfId="3255" xr:uid="{00000000-0005-0000-0000-0000B70C0000}"/>
    <cellStyle name="Normal 10 2 10 2 20 2 7" xfId="3256" xr:uid="{00000000-0005-0000-0000-0000B80C0000}"/>
    <cellStyle name="Normal 10 2 10 2 20 2 8" xfId="3257" xr:uid="{00000000-0005-0000-0000-0000B90C0000}"/>
    <cellStyle name="Normal 10 2 10 2 20 2 9" xfId="3258" xr:uid="{00000000-0005-0000-0000-0000BA0C0000}"/>
    <cellStyle name="Normal 10 2 10 2 20 3" xfId="3259" xr:uid="{00000000-0005-0000-0000-0000BB0C0000}"/>
    <cellStyle name="Normal 10 2 10 2 20 3 10" xfId="3260" xr:uid="{00000000-0005-0000-0000-0000BC0C0000}"/>
    <cellStyle name="Normal 10 2 10 2 20 3 2" xfId="3261" xr:uid="{00000000-0005-0000-0000-0000BD0C0000}"/>
    <cellStyle name="Normal 10 2 10 2 20 3 3" xfId="3262" xr:uid="{00000000-0005-0000-0000-0000BE0C0000}"/>
    <cellStyle name="Normal 10 2 10 2 20 3 4" xfId="3263" xr:uid="{00000000-0005-0000-0000-0000BF0C0000}"/>
    <cellStyle name="Normal 10 2 10 2 20 3 5" xfId="3264" xr:uid="{00000000-0005-0000-0000-0000C00C0000}"/>
    <cellStyle name="Normal 10 2 10 2 20 3 6" xfId="3265" xr:uid="{00000000-0005-0000-0000-0000C10C0000}"/>
    <cellStyle name="Normal 10 2 10 2 20 3 7" xfId="3266" xr:uid="{00000000-0005-0000-0000-0000C20C0000}"/>
    <cellStyle name="Normal 10 2 10 2 20 3 8" xfId="3267" xr:uid="{00000000-0005-0000-0000-0000C30C0000}"/>
    <cellStyle name="Normal 10 2 10 2 20 3 9" xfId="3268" xr:uid="{00000000-0005-0000-0000-0000C40C0000}"/>
    <cellStyle name="Normal 10 2 10 2 20 4" xfId="3269" xr:uid="{00000000-0005-0000-0000-0000C50C0000}"/>
    <cellStyle name="Normal 10 2 10 2 20 4 10" xfId="3270" xr:uid="{00000000-0005-0000-0000-0000C60C0000}"/>
    <cellStyle name="Normal 10 2 10 2 20 4 2" xfId="3271" xr:uid="{00000000-0005-0000-0000-0000C70C0000}"/>
    <cellStyle name="Normal 10 2 10 2 20 4 3" xfId="3272" xr:uid="{00000000-0005-0000-0000-0000C80C0000}"/>
    <cellStyle name="Normal 10 2 10 2 20 4 4" xfId="3273" xr:uid="{00000000-0005-0000-0000-0000C90C0000}"/>
    <cellStyle name="Normal 10 2 10 2 20 4 5" xfId="3274" xr:uid="{00000000-0005-0000-0000-0000CA0C0000}"/>
    <cellStyle name="Normal 10 2 10 2 20 4 6" xfId="3275" xr:uid="{00000000-0005-0000-0000-0000CB0C0000}"/>
    <cellStyle name="Normal 10 2 10 2 20 4 7" xfId="3276" xr:uid="{00000000-0005-0000-0000-0000CC0C0000}"/>
    <cellStyle name="Normal 10 2 10 2 20 4 8" xfId="3277" xr:uid="{00000000-0005-0000-0000-0000CD0C0000}"/>
    <cellStyle name="Normal 10 2 10 2 20 4 9" xfId="3278" xr:uid="{00000000-0005-0000-0000-0000CE0C0000}"/>
    <cellStyle name="Normal 10 2 10 2 20 5" xfId="3279" xr:uid="{00000000-0005-0000-0000-0000CF0C0000}"/>
    <cellStyle name="Normal 10 2 10 2 20 5 10" xfId="3280" xr:uid="{00000000-0005-0000-0000-0000D00C0000}"/>
    <cellStyle name="Normal 10 2 10 2 20 5 2" xfId="3281" xr:uid="{00000000-0005-0000-0000-0000D10C0000}"/>
    <cellStyle name="Normal 10 2 10 2 20 5 3" xfId="3282" xr:uid="{00000000-0005-0000-0000-0000D20C0000}"/>
    <cellStyle name="Normal 10 2 10 2 20 5 4" xfId="3283" xr:uid="{00000000-0005-0000-0000-0000D30C0000}"/>
    <cellStyle name="Normal 10 2 10 2 20 5 5" xfId="3284" xr:uid="{00000000-0005-0000-0000-0000D40C0000}"/>
    <cellStyle name="Normal 10 2 10 2 20 5 6" xfId="3285" xr:uid="{00000000-0005-0000-0000-0000D50C0000}"/>
    <cellStyle name="Normal 10 2 10 2 20 5 7" xfId="3286" xr:uid="{00000000-0005-0000-0000-0000D60C0000}"/>
    <cellStyle name="Normal 10 2 10 2 20 5 8" xfId="3287" xr:uid="{00000000-0005-0000-0000-0000D70C0000}"/>
    <cellStyle name="Normal 10 2 10 2 20 5 9" xfId="3288" xr:uid="{00000000-0005-0000-0000-0000D80C0000}"/>
    <cellStyle name="Normal 10 2 10 2 20 6" xfId="3289" xr:uid="{00000000-0005-0000-0000-0000D90C0000}"/>
    <cellStyle name="Normal 10 2 10 2 20 7" xfId="3290" xr:uid="{00000000-0005-0000-0000-0000DA0C0000}"/>
    <cellStyle name="Normal 10 2 10 2 20 8" xfId="3291" xr:uid="{00000000-0005-0000-0000-0000DB0C0000}"/>
    <cellStyle name="Normal 10 2 10 2 20 9" xfId="3292" xr:uid="{00000000-0005-0000-0000-0000DC0C0000}"/>
    <cellStyle name="Normal 10 2 10 2 21" xfId="3293" xr:uid="{00000000-0005-0000-0000-0000DD0C0000}"/>
    <cellStyle name="Normal 10 2 10 2 21 10" xfId="3294" xr:uid="{00000000-0005-0000-0000-0000DE0C0000}"/>
    <cellStyle name="Normal 10 2 10 2 21 11" xfId="3295" xr:uid="{00000000-0005-0000-0000-0000DF0C0000}"/>
    <cellStyle name="Normal 10 2 10 2 21 12" xfId="3296" xr:uid="{00000000-0005-0000-0000-0000E00C0000}"/>
    <cellStyle name="Normal 10 2 10 2 21 13" xfId="3297" xr:uid="{00000000-0005-0000-0000-0000E10C0000}"/>
    <cellStyle name="Normal 10 2 10 2 21 14" xfId="3298" xr:uid="{00000000-0005-0000-0000-0000E20C0000}"/>
    <cellStyle name="Normal 10 2 10 2 21 2" xfId="3299" xr:uid="{00000000-0005-0000-0000-0000E30C0000}"/>
    <cellStyle name="Normal 10 2 10 2 21 2 10" xfId="3300" xr:uid="{00000000-0005-0000-0000-0000E40C0000}"/>
    <cellStyle name="Normal 10 2 10 2 21 2 2" xfId="3301" xr:uid="{00000000-0005-0000-0000-0000E50C0000}"/>
    <cellStyle name="Normal 10 2 10 2 21 2 3" xfId="3302" xr:uid="{00000000-0005-0000-0000-0000E60C0000}"/>
    <cellStyle name="Normal 10 2 10 2 21 2 4" xfId="3303" xr:uid="{00000000-0005-0000-0000-0000E70C0000}"/>
    <cellStyle name="Normal 10 2 10 2 21 2 5" xfId="3304" xr:uid="{00000000-0005-0000-0000-0000E80C0000}"/>
    <cellStyle name="Normal 10 2 10 2 21 2 6" xfId="3305" xr:uid="{00000000-0005-0000-0000-0000E90C0000}"/>
    <cellStyle name="Normal 10 2 10 2 21 2 7" xfId="3306" xr:uid="{00000000-0005-0000-0000-0000EA0C0000}"/>
    <cellStyle name="Normal 10 2 10 2 21 2 8" xfId="3307" xr:uid="{00000000-0005-0000-0000-0000EB0C0000}"/>
    <cellStyle name="Normal 10 2 10 2 21 2 9" xfId="3308" xr:uid="{00000000-0005-0000-0000-0000EC0C0000}"/>
    <cellStyle name="Normal 10 2 10 2 21 3" xfId="3309" xr:uid="{00000000-0005-0000-0000-0000ED0C0000}"/>
    <cellStyle name="Normal 10 2 10 2 21 3 10" xfId="3310" xr:uid="{00000000-0005-0000-0000-0000EE0C0000}"/>
    <cellStyle name="Normal 10 2 10 2 21 3 2" xfId="3311" xr:uid="{00000000-0005-0000-0000-0000EF0C0000}"/>
    <cellStyle name="Normal 10 2 10 2 21 3 3" xfId="3312" xr:uid="{00000000-0005-0000-0000-0000F00C0000}"/>
    <cellStyle name="Normal 10 2 10 2 21 3 4" xfId="3313" xr:uid="{00000000-0005-0000-0000-0000F10C0000}"/>
    <cellStyle name="Normal 10 2 10 2 21 3 5" xfId="3314" xr:uid="{00000000-0005-0000-0000-0000F20C0000}"/>
    <cellStyle name="Normal 10 2 10 2 21 3 6" xfId="3315" xr:uid="{00000000-0005-0000-0000-0000F30C0000}"/>
    <cellStyle name="Normal 10 2 10 2 21 3 7" xfId="3316" xr:uid="{00000000-0005-0000-0000-0000F40C0000}"/>
    <cellStyle name="Normal 10 2 10 2 21 3 8" xfId="3317" xr:uid="{00000000-0005-0000-0000-0000F50C0000}"/>
    <cellStyle name="Normal 10 2 10 2 21 3 9" xfId="3318" xr:uid="{00000000-0005-0000-0000-0000F60C0000}"/>
    <cellStyle name="Normal 10 2 10 2 21 4" xfId="3319" xr:uid="{00000000-0005-0000-0000-0000F70C0000}"/>
    <cellStyle name="Normal 10 2 10 2 21 4 10" xfId="3320" xr:uid="{00000000-0005-0000-0000-0000F80C0000}"/>
    <cellStyle name="Normal 10 2 10 2 21 4 2" xfId="3321" xr:uid="{00000000-0005-0000-0000-0000F90C0000}"/>
    <cellStyle name="Normal 10 2 10 2 21 4 3" xfId="3322" xr:uid="{00000000-0005-0000-0000-0000FA0C0000}"/>
    <cellStyle name="Normal 10 2 10 2 21 4 4" xfId="3323" xr:uid="{00000000-0005-0000-0000-0000FB0C0000}"/>
    <cellStyle name="Normal 10 2 10 2 21 4 5" xfId="3324" xr:uid="{00000000-0005-0000-0000-0000FC0C0000}"/>
    <cellStyle name="Normal 10 2 10 2 21 4 6" xfId="3325" xr:uid="{00000000-0005-0000-0000-0000FD0C0000}"/>
    <cellStyle name="Normal 10 2 10 2 21 4 7" xfId="3326" xr:uid="{00000000-0005-0000-0000-0000FE0C0000}"/>
    <cellStyle name="Normal 10 2 10 2 21 4 8" xfId="3327" xr:uid="{00000000-0005-0000-0000-0000FF0C0000}"/>
    <cellStyle name="Normal 10 2 10 2 21 4 9" xfId="3328" xr:uid="{00000000-0005-0000-0000-0000000D0000}"/>
    <cellStyle name="Normal 10 2 10 2 21 5" xfId="3329" xr:uid="{00000000-0005-0000-0000-0000010D0000}"/>
    <cellStyle name="Normal 10 2 10 2 21 5 10" xfId="3330" xr:uid="{00000000-0005-0000-0000-0000020D0000}"/>
    <cellStyle name="Normal 10 2 10 2 21 5 2" xfId="3331" xr:uid="{00000000-0005-0000-0000-0000030D0000}"/>
    <cellStyle name="Normal 10 2 10 2 21 5 3" xfId="3332" xr:uid="{00000000-0005-0000-0000-0000040D0000}"/>
    <cellStyle name="Normal 10 2 10 2 21 5 4" xfId="3333" xr:uid="{00000000-0005-0000-0000-0000050D0000}"/>
    <cellStyle name="Normal 10 2 10 2 21 5 5" xfId="3334" xr:uid="{00000000-0005-0000-0000-0000060D0000}"/>
    <cellStyle name="Normal 10 2 10 2 21 5 6" xfId="3335" xr:uid="{00000000-0005-0000-0000-0000070D0000}"/>
    <cellStyle name="Normal 10 2 10 2 21 5 7" xfId="3336" xr:uid="{00000000-0005-0000-0000-0000080D0000}"/>
    <cellStyle name="Normal 10 2 10 2 21 5 8" xfId="3337" xr:uid="{00000000-0005-0000-0000-0000090D0000}"/>
    <cellStyle name="Normal 10 2 10 2 21 5 9" xfId="3338" xr:uid="{00000000-0005-0000-0000-00000A0D0000}"/>
    <cellStyle name="Normal 10 2 10 2 21 6" xfId="3339" xr:uid="{00000000-0005-0000-0000-00000B0D0000}"/>
    <cellStyle name="Normal 10 2 10 2 21 7" xfId="3340" xr:uid="{00000000-0005-0000-0000-00000C0D0000}"/>
    <cellStyle name="Normal 10 2 10 2 21 8" xfId="3341" xr:uid="{00000000-0005-0000-0000-00000D0D0000}"/>
    <cellStyle name="Normal 10 2 10 2 21 9" xfId="3342" xr:uid="{00000000-0005-0000-0000-00000E0D0000}"/>
    <cellStyle name="Normal 10 2 10 2 22" xfId="3343" xr:uid="{00000000-0005-0000-0000-00000F0D0000}"/>
    <cellStyle name="Normal 10 2 10 2 22 10" xfId="3344" xr:uid="{00000000-0005-0000-0000-0000100D0000}"/>
    <cellStyle name="Normal 10 2 10 2 22 11" xfId="3345" xr:uid="{00000000-0005-0000-0000-0000110D0000}"/>
    <cellStyle name="Normal 10 2 10 2 22 12" xfId="3346" xr:uid="{00000000-0005-0000-0000-0000120D0000}"/>
    <cellStyle name="Normal 10 2 10 2 22 13" xfId="3347" xr:uid="{00000000-0005-0000-0000-0000130D0000}"/>
    <cellStyle name="Normal 10 2 10 2 22 14" xfId="3348" xr:uid="{00000000-0005-0000-0000-0000140D0000}"/>
    <cellStyle name="Normal 10 2 10 2 22 2" xfId="3349" xr:uid="{00000000-0005-0000-0000-0000150D0000}"/>
    <cellStyle name="Normal 10 2 10 2 22 2 10" xfId="3350" xr:uid="{00000000-0005-0000-0000-0000160D0000}"/>
    <cellStyle name="Normal 10 2 10 2 22 2 2" xfId="3351" xr:uid="{00000000-0005-0000-0000-0000170D0000}"/>
    <cellStyle name="Normal 10 2 10 2 22 2 3" xfId="3352" xr:uid="{00000000-0005-0000-0000-0000180D0000}"/>
    <cellStyle name="Normal 10 2 10 2 22 2 4" xfId="3353" xr:uid="{00000000-0005-0000-0000-0000190D0000}"/>
    <cellStyle name="Normal 10 2 10 2 22 2 5" xfId="3354" xr:uid="{00000000-0005-0000-0000-00001A0D0000}"/>
    <cellStyle name="Normal 10 2 10 2 22 2 6" xfId="3355" xr:uid="{00000000-0005-0000-0000-00001B0D0000}"/>
    <cellStyle name="Normal 10 2 10 2 22 2 7" xfId="3356" xr:uid="{00000000-0005-0000-0000-00001C0D0000}"/>
    <cellStyle name="Normal 10 2 10 2 22 2 8" xfId="3357" xr:uid="{00000000-0005-0000-0000-00001D0D0000}"/>
    <cellStyle name="Normal 10 2 10 2 22 2 9" xfId="3358" xr:uid="{00000000-0005-0000-0000-00001E0D0000}"/>
    <cellStyle name="Normal 10 2 10 2 22 3" xfId="3359" xr:uid="{00000000-0005-0000-0000-00001F0D0000}"/>
    <cellStyle name="Normal 10 2 10 2 22 3 10" xfId="3360" xr:uid="{00000000-0005-0000-0000-0000200D0000}"/>
    <cellStyle name="Normal 10 2 10 2 22 3 2" xfId="3361" xr:uid="{00000000-0005-0000-0000-0000210D0000}"/>
    <cellStyle name="Normal 10 2 10 2 22 3 3" xfId="3362" xr:uid="{00000000-0005-0000-0000-0000220D0000}"/>
    <cellStyle name="Normal 10 2 10 2 22 3 4" xfId="3363" xr:uid="{00000000-0005-0000-0000-0000230D0000}"/>
    <cellStyle name="Normal 10 2 10 2 22 3 5" xfId="3364" xr:uid="{00000000-0005-0000-0000-0000240D0000}"/>
    <cellStyle name="Normal 10 2 10 2 22 3 6" xfId="3365" xr:uid="{00000000-0005-0000-0000-0000250D0000}"/>
    <cellStyle name="Normal 10 2 10 2 22 3 7" xfId="3366" xr:uid="{00000000-0005-0000-0000-0000260D0000}"/>
    <cellStyle name="Normal 10 2 10 2 22 3 8" xfId="3367" xr:uid="{00000000-0005-0000-0000-0000270D0000}"/>
    <cellStyle name="Normal 10 2 10 2 22 3 9" xfId="3368" xr:uid="{00000000-0005-0000-0000-0000280D0000}"/>
    <cellStyle name="Normal 10 2 10 2 22 4" xfId="3369" xr:uid="{00000000-0005-0000-0000-0000290D0000}"/>
    <cellStyle name="Normal 10 2 10 2 22 4 10" xfId="3370" xr:uid="{00000000-0005-0000-0000-00002A0D0000}"/>
    <cellStyle name="Normal 10 2 10 2 22 4 2" xfId="3371" xr:uid="{00000000-0005-0000-0000-00002B0D0000}"/>
    <cellStyle name="Normal 10 2 10 2 22 4 3" xfId="3372" xr:uid="{00000000-0005-0000-0000-00002C0D0000}"/>
    <cellStyle name="Normal 10 2 10 2 22 4 4" xfId="3373" xr:uid="{00000000-0005-0000-0000-00002D0D0000}"/>
    <cellStyle name="Normal 10 2 10 2 22 4 5" xfId="3374" xr:uid="{00000000-0005-0000-0000-00002E0D0000}"/>
    <cellStyle name="Normal 10 2 10 2 22 4 6" xfId="3375" xr:uid="{00000000-0005-0000-0000-00002F0D0000}"/>
    <cellStyle name="Normal 10 2 10 2 22 4 7" xfId="3376" xr:uid="{00000000-0005-0000-0000-0000300D0000}"/>
    <cellStyle name="Normal 10 2 10 2 22 4 8" xfId="3377" xr:uid="{00000000-0005-0000-0000-0000310D0000}"/>
    <cellStyle name="Normal 10 2 10 2 22 4 9" xfId="3378" xr:uid="{00000000-0005-0000-0000-0000320D0000}"/>
    <cellStyle name="Normal 10 2 10 2 22 5" xfId="3379" xr:uid="{00000000-0005-0000-0000-0000330D0000}"/>
    <cellStyle name="Normal 10 2 10 2 22 5 10" xfId="3380" xr:uid="{00000000-0005-0000-0000-0000340D0000}"/>
    <cellStyle name="Normal 10 2 10 2 22 5 2" xfId="3381" xr:uid="{00000000-0005-0000-0000-0000350D0000}"/>
    <cellStyle name="Normal 10 2 10 2 22 5 3" xfId="3382" xr:uid="{00000000-0005-0000-0000-0000360D0000}"/>
    <cellStyle name="Normal 10 2 10 2 22 5 4" xfId="3383" xr:uid="{00000000-0005-0000-0000-0000370D0000}"/>
    <cellStyle name="Normal 10 2 10 2 22 5 5" xfId="3384" xr:uid="{00000000-0005-0000-0000-0000380D0000}"/>
    <cellStyle name="Normal 10 2 10 2 22 5 6" xfId="3385" xr:uid="{00000000-0005-0000-0000-0000390D0000}"/>
    <cellStyle name="Normal 10 2 10 2 22 5 7" xfId="3386" xr:uid="{00000000-0005-0000-0000-00003A0D0000}"/>
    <cellStyle name="Normal 10 2 10 2 22 5 8" xfId="3387" xr:uid="{00000000-0005-0000-0000-00003B0D0000}"/>
    <cellStyle name="Normal 10 2 10 2 22 5 9" xfId="3388" xr:uid="{00000000-0005-0000-0000-00003C0D0000}"/>
    <cellStyle name="Normal 10 2 10 2 22 6" xfId="3389" xr:uid="{00000000-0005-0000-0000-00003D0D0000}"/>
    <cellStyle name="Normal 10 2 10 2 22 7" xfId="3390" xr:uid="{00000000-0005-0000-0000-00003E0D0000}"/>
    <cellStyle name="Normal 10 2 10 2 22 8" xfId="3391" xr:uid="{00000000-0005-0000-0000-00003F0D0000}"/>
    <cellStyle name="Normal 10 2 10 2 22 9" xfId="3392" xr:uid="{00000000-0005-0000-0000-0000400D0000}"/>
    <cellStyle name="Normal 10 2 10 2 23" xfId="3393" xr:uid="{00000000-0005-0000-0000-0000410D0000}"/>
    <cellStyle name="Normal 10 2 10 2 23 10" xfId="3394" xr:uid="{00000000-0005-0000-0000-0000420D0000}"/>
    <cellStyle name="Normal 10 2 10 2 23 11" xfId="3395" xr:uid="{00000000-0005-0000-0000-0000430D0000}"/>
    <cellStyle name="Normal 10 2 10 2 23 12" xfId="3396" xr:uid="{00000000-0005-0000-0000-0000440D0000}"/>
    <cellStyle name="Normal 10 2 10 2 23 13" xfId="3397" xr:uid="{00000000-0005-0000-0000-0000450D0000}"/>
    <cellStyle name="Normal 10 2 10 2 23 14" xfId="3398" xr:uid="{00000000-0005-0000-0000-0000460D0000}"/>
    <cellStyle name="Normal 10 2 10 2 23 2" xfId="3399" xr:uid="{00000000-0005-0000-0000-0000470D0000}"/>
    <cellStyle name="Normal 10 2 10 2 23 2 10" xfId="3400" xr:uid="{00000000-0005-0000-0000-0000480D0000}"/>
    <cellStyle name="Normal 10 2 10 2 23 2 2" xfId="3401" xr:uid="{00000000-0005-0000-0000-0000490D0000}"/>
    <cellStyle name="Normal 10 2 10 2 23 2 3" xfId="3402" xr:uid="{00000000-0005-0000-0000-00004A0D0000}"/>
    <cellStyle name="Normal 10 2 10 2 23 2 4" xfId="3403" xr:uid="{00000000-0005-0000-0000-00004B0D0000}"/>
    <cellStyle name="Normal 10 2 10 2 23 2 5" xfId="3404" xr:uid="{00000000-0005-0000-0000-00004C0D0000}"/>
    <cellStyle name="Normal 10 2 10 2 23 2 6" xfId="3405" xr:uid="{00000000-0005-0000-0000-00004D0D0000}"/>
    <cellStyle name="Normal 10 2 10 2 23 2 7" xfId="3406" xr:uid="{00000000-0005-0000-0000-00004E0D0000}"/>
    <cellStyle name="Normal 10 2 10 2 23 2 8" xfId="3407" xr:uid="{00000000-0005-0000-0000-00004F0D0000}"/>
    <cellStyle name="Normal 10 2 10 2 23 2 9" xfId="3408" xr:uid="{00000000-0005-0000-0000-0000500D0000}"/>
    <cellStyle name="Normal 10 2 10 2 23 3" xfId="3409" xr:uid="{00000000-0005-0000-0000-0000510D0000}"/>
    <cellStyle name="Normal 10 2 10 2 23 3 10" xfId="3410" xr:uid="{00000000-0005-0000-0000-0000520D0000}"/>
    <cellStyle name="Normal 10 2 10 2 23 3 2" xfId="3411" xr:uid="{00000000-0005-0000-0000-0000530D0000}"/>
    <cellStyle name="Normal 10 2 10 2 23 3 3" xfId="3412" xr:uid="{00000000-0005-0000-0000-0000540D0000}"/>
    <cellStyle name="Normal 10 2 10 2 23 3 4" xfId="3413" xr:uid="{00000000-0005-0000-0000-0000550D0000}"/>
    <cellStyle name="Normal 10 2 10 2 23 3 5" xfId="3414" xr:uid="{00000000-0005-0000-0000-0000560D0000}"/>
    <cellStyle name="Normal 10 2 10 2 23 3 6" xfId="3415" xr:uid="{00000000-0005-0000-0000-0000570D0000}"/>
    <cellStyle name="Normal 10 2 10 2 23 3 7" xfId="3416" xr:uid="{00000000-0005-0000-0000-0000580D0000}"/>
    <cellStyle name="Normal 10 2 10 2 23 3 8" xfId="3417" xr:uid="{00000000-0005-0000-0000-0000590D0000}"/>
    <cellStyle name="Normal 10 2 10 2 23 3 9" xfId="3418" xr:uid="{00000000-0005-0000-0000-00005A0D0000}"/>
    <cellStyle name="Normal 10 2 10 2 23 4" xfId="3419" xr:uid="{00000000-0005-0000-0000-00005B0D0000}"/>
    <cellStyle name="Normal 10 2 10 2 23 4 10" xfId="3420" xr:uid="{00000000-0005-0000-0000-00005C0D0000}"/>
    <cellStyle name="Normal 10 2 10 2 23 4 2" xfId="3421" xr:uid="{00000000-0005-0000-0000-00005D0D0000}"/>
    <cellStyle name="Normal 10 2 10 2 23 4 3" xfId="3422" xr:uid="{00000000-0005-0000-0000-00005E0D0000}"/>
    <cellStyle name="Normal 10 2 10 2 23 4 4" xfId="3423" xr:uid="{00000000-0005-0000-0000-00005F0D0000}"/>
    <cellStyle name="Normal 10 2 10 2 23 4 5" xfId="3424" xr:uid="{00000000-0005-0000-0000-0000600D0000}"/>
    <cellStyle name="Normal 10 2 10 2 23 4 6" xfId="3425" xr:uid="{00000000-0005-0000-0000-0000610D0000}"/>
    <cellStyle name="Normal 10 2 10 2 23 4 7" xfId="3426" xr:uid="{00000000-0005-0000-0000-0000620D0000}"/>
    <cellStyle name="Normal 10 2 10 2 23 4 8" xfId="3427" xr:uid="{00000000-0005-0000-0000-0000630D0000}"/>
    <cellStyle name="Normal 10 2 10 2 23 4 9" xfId="3428" xr:uid="{00000000-0005-0000-0000-0000640D0000}"/>
    <cellStyle name="Normal 10 2 10 2 23 5" xfId="3429" xr:uid="{00000000-0005-0000-0000-0000650D0000}"/>
    <cellStyle name="Normal 10 2 10 2 23 5 10" xfId="3430" xr:uid="{00000000-0005-0000-0000-0000660D0000}"/>
    <cellStyle name="Normal 10 2 10 2 23 5 2" xfId="3431" xr:uid="{00000000-0005-0000-0000-0000670D0000}"/>
    <cellStyle name="Normal 10 2 10 2 23 5 3" xfId="3432" xr:uid="{00000000-0005-0000-0000-0000680D0000}"/>
    <cellStyle name="Normal 10 2 10 2 23 5 4" xfId="3433" xr:uid="{00000000-0005-0000-0000-0000690D0000}"/>
    <cellStyle name="Normal 10 2 10 2 23 5 5" xfId="3434" xr:uid="{00000000-0005-0000-0000-00006A0D0000}"/>
    <cellStyle name="Normal 10 2 10 2 23 5 6" xfId="3435" xr:uid="{00000000-0005-0000-0000-00006B0D0000}"/>
    <cellStyle name="Normal 10 2 10 2 23 5 7" xfId="3436" xr:uid="{00000000-0005-0000-0000-00006C0D0000}"/>
    <cellStyle name="Normal 10 2 10 2 23 5 8" xfId="3437" xr:uid="{00000000-0005-0000-0000-00006D0D0000}"/>
    <cellStyle name="Normal 10 2 10 2 23 5 9" xfId="3438" xr:uid="{00000000-0005-0000-0000-00006E0D0000}"/>
    <cellStyle name="Normal 10 2 10 2 23 6" xfId="3439" xr:uid="{00000000-0005-0000-0000-00006F0D0000}"/>
    <cellStyle name="Normal 10 2 10 2 23 7" xfId="3440" xr:uid="{00000000-0005-0000-0000-0000700D0000}"/>
    <cellStyle name="Normal 10 2 10 2 23 8" xfId="3441" xr:uid="{00000000-0005-0000-0000-0000710D0000}"/>
    <cellStyle name="Normal 10 2 10 2 23 9" xfId="3442" xr:uid="{00000000-0005-0000-0000-0000720D0000}"/>
    <cellStyle name="Normal 10 2 10 2 24" xfId="3443" xr:uid="{00000000-0005-0000-0000-0000730D0000}"/>
    <cellStyle name="Normal 10 2 10 2 24 10" xfId="3444" xr:uid="{00000000-0005-0000-0000-0000740D0000}"/>
    <cellStyle name="Normal 10 2 10 2 24 11" xfId="3445" xr:uid="{00000000-0005-0000-0000-0000750D0000}"/>
    <cellStyle name="Normal 10 2 10 2 24 12" xfId="3446" xr:uid="{00000000-0005-0000-0000-0000760D0000}"/>
    <cellStyle name="Normal 10 2 10 2 24 13" xfId="3447" xr:uid="{00000000-0005-0000-0000-0000770D0000}"/>
    <cellStyle name="Normal 10 2 10 2 24 14" xfId="3448" xr:uid="{00000000-0005-0000-0000-0000780D0000}"/>
    <cellStyle name="Normal 10 2 10 2 24 2" xfId="3449" xr:uid="{00000000-0005-0000-0000-0000790D0000}"/>
    <cellStyle name="Normal 10 2 10 2 24 2 10" xfId="3450" xr:uid="{00000000-0005-0000-0000-00007A0D0000}"/>
    <cellStyle name="Normal 10 2 10 2 24 2 2" xfId="3451" xr:uid="{00000000-0005-0000-0000-00007B0D0000}"/>
    <cellStyle name="Normal 10 2 10 2 24 2 3" xfId="3452" xr:uid="{00000000-0005-0000-0000-00007C0D0000}"/>
    <cellStyle name="Normal 10 2 10 2 24 2 4" xfId="3453" xr:uid="{00000000-0005-0000-0000-00007D0D0000}"/>
    <cellStyle name="Normal 10 2 10 2 24 2 5" xfId="3454" xr:uid="{00000000-0005-0000-0000-00007E0D0000}"/>
    <cellStyle name="Normal 10 2 10 2 24 2 6" xfId="3455" xr:uid="{00000000-0005-0000-0000-00007F0D0000}"/>
    <cellStyle name="Normal 10 2 10 2 24 2 7" xfId="3456" xr:uid="{00000000-0005-0000-0000-0000800D0000}"/>
    <cellStyle name="Normal 10 2 10 2 24 2 8" xfId="3457" xr:uid="{00000000-0005-0000-0000-0000810D0000}"/>
    <cellStyle name="Normal 10 2 10 2 24 2 9" xfId="3458" xr:uid="{00000000-0005-0000-0000-0000820D0000}"/>
    <cellStyle name="Normal 10 2 10 2 24 3" xfId="3459" xr:uid="{00000000-0005-0000-0000-0000830D0000}"/>
    <cellStyle name="Normal 10 2 10 2 24 3 10" xfId="3460" xr:uid="{00000000-0005-0000-0000-0000840D0000}"/>
    <cellStyle name="Normal 10 2 10 2 24 3 2" xfId="3461" xr:uid="{00000000-0005-0000-0000-0000850D0000}"/>
    <cellStyle name="Normal 10 2 10 2 24 3 3" xfId="3462" xr:uid="{00000000-0005-0000-0000-0000860D0000}"/>
    <cellStyle name="Normal 10 2 10 2 24 3 4" xfId="3463" xr:uid="{00000000-0005-0000-0000-0000870D0000}"/>
    <cellStyle name="Normal 10 2 10 2 24 3 5" xfId="3464" xr:uid="{00000000-0005-0000-0000-0000880D0000}"/>
    <cellStyle name="Normal 10 2 10 2 24 3 6" xfId="3465" xr:uid="{00000000-0005-0000-0000-0000890D0000}"/>
    <cellStyle name="Normal 10 2 10 2 24 3 7" xfId="3466" xr:uid="{00000000-0005-0000-0000-00008A0D0000}"/>
    <cellStyle name="Normal 10 2 10 2 24 3 8" xfId="3467" xr:uid="{00000000-0005-0000-0000-00008B0D0000}"/>
    <cellStyle name="Normal 10 2 10 2 24 3 9" xfId="3468" xr:uid="{00000000-0005-0000-0000-00008C0D0000}"/>
    <cellStyle name="Normal 10 2 10 2 24 4" xfId="3469" xr:uid="{00000000-0005-0000-0000-00008D0D0000}"/>
    <cellStyle name="Normal 10 2 10 2 24 4 10" xfId="3470" xr:uid="{00000000-0005-0000-0000-00008E0D0000}"/>
    <cellStyle name="Normal 10 2 10 2 24 4 2" xfId="3471" xr:uid="{00000000-0005-0000-0000-00008F0D0000}"/>
    <cellStyle name="Normal 10 2 10 2 24 4 3" xfId="3472" xr:uid="{00000000-0005-0000-0000-0000900D0000}"/>
    <cellStyle name="Normal 10 2 10 2 24 4 4" xfId="3473" xr:uid="{00000000-0005-0000-0000-0000910D0000}"/>
    <cellStyle name="Normal 10 2 10 2 24 4 5" xfId="3474" xr:uid="{00000000-0005-0000-0000-0000920D0000}"/>
    <cellStyle name="Normal 10 2 10 2 24 4 6" xfId="3475" xr:uid="{00000000-0005-0000-0000-0000930D0000}"/>
    <cellStyle name="Normal 10 2 10 2 24 4 7" xfId="3476" xr:uid="{00000000-0005-0000-0000-0000940D0000}"/>
    <cellStyle name="Normal 10 2 10 2 24 4 8" xfId="3477" xr:uid="{00000000-0005-0000-0000-0000950D0000}"/>
    <cellStyle name="Normal 10 2 10 2 24 4 9" xfId="3478" xr:uid="{00000000-0005-0000-0000-0000960D0000}"/>
    <cellStyle name="Normal 10 2 10 2 24 5" xfId="3479" xr:uid="{00000000-0005-0000-0000-0000970D0000}"/>
    <cellStyle name="Normal 10 2 10 2 24 5 10" xfId="3480" xr:uid="{00000000-0005-0000-0000-0000980D0000}"/>
    <cellStyle name="Normal 10 2 10 2 24 5 2" xfId="3481" xr:uid="{00000000-0005-0000-0000-0000990D0000}"/>
    <cellStyle name="Normal 10 2 10 2 24 5 3" xfId="3482" xr:uid="{00000000-0005-0000-0000-00009A0D0000}"/>
    <cellStyle name="Normal 10 2 10 2 24 5 4" xfId="3483" xr:uid="{00000000-0005-0000-0000-00009B0D0000}"/>
    <cellStyle name="Normal 10 2 10 2 24 5 5" xfId="3484" xr:uid="{00000000-0005-0000-0000-00009C0D0000}"/>
    <cellStyle name="Normal 10 2 10 2 24 5 6" xfId="3485" xr:uid="{00000000-0005-0000-0000-00009D0D0000}"/>
    <cellStyle name="Normal 10 2 10 2 24 5 7" xfId="3486" xr:uid="{00000000-0005-0000-0000-00009E0D0000}"/>
    <cellStyle name="Normal 10 2 10 2 24 5 8" xfId="3487" xr:uid="{00000000-0005-0000-0000-00009F0D0000}"/>
    <cellStyle name="Normal 10 2 10 2 24 5 9" xfId="3488" xr:uid="{00000000-0005-0000-0000-0000A00D0000}"/>
    <cellStyle name="Normal 10 2 10 2 24 6" xfId="3489" xr:uid="{00000000-0005-0000-0000-0000A10D0000}"/>
    <cellStyle name="Normal 10 2 10 2 24 7" xfId="3490" xr:uid="{00000000-0005-0000-0000-0000A20D0000}"/>
    <cellStyle name="Normal 10 2 10 2 24 8" xfId="3491" xr:uid="{00000000-0005-0000-0000-0000A30D0000}"/>
    <cellStyle name="Normal 10 2 10 2 24 9" xfId="3492" xr:uid="{00000000-0005-0000-0000-0000A40D0000}"/>
    <cellStyle name="Normal 10 2 10 2 25" xfId="3493" xr:uid="{00000000-0005-0000-0000-0000A50D0000}"/>
    <cellStyle name="Normal 10 2 10 2 25 10" xfId="3494" xr:uid="{00000000-0005-0000-0000-0000A60D0000}"/>
    <cellStyle name="Normal 10 2 10 2 25 11" xfId="3495" xr:uid="{00000000-0005-0000-0000-0000A70D0000}"/>
    <cellStyle name="Normal 10 2 10 2 25 12" xfId="3496" xr:uid="{00000000-0005-0000-0000-0000A80D0000}"/>
    <cellStyle name="Normal 10 2 10 2 25 13" xfId="3497" xr:uid="{00000000-0005-0000-0000-0000A90D0000}"/>
    <cellStyle name="Normal 10 2 10 2 25 14" xfId="3498" xr:uid="{00000000-0005-0000-0000-0000AA0D0000}"/>
    <cellStyle name="Normal 10 2 10 2 25 2" xfId="3499" xr:uid="{00000000-0005-0000-0000-0000AB0D0000}"/>
    <cellStyle name="Normal 10 2 10 2 25 2 10" xfId="3500" xr:uid="{00000000-0005-0000-0000-0000AC0D0000}"/>
    <cellStyle name="Normal 10 2 10 2 25 2 2" xfId="3501" xr:uid="{00000000-0005-0000-0000-0000AD0D0000}"/>
    <cellStyle name="Normal 10 2 10 2 25 2 3" xfId="3502" xr:uid="{00000000-0005-0000-0000-0000AE0D0000}"/>
    <cellStyle name="Normal 10 2 10 2 25 2 4" xfId="3503" xr:uid="{00000000-0005-0000-0000-0000AF0D0000}"/>
    <cellStyle name="Normal 10 2 10 2 25 2 5" xfId="3504" xr:uid="{00000000-0005-0000-0000-0000B00D0000}"/>
    <cellStyle name="Normal 10 2 10 2 25 2 6" xfId="3505" xr:uid="{00000000-0005-0000-0000-0000B10D0000}"/>
    <cellStyle name="Normal 10 2 10 2 25 2 7" xfId="3506" xr:uid="{00000000-0005-0000-0000-0000B20D0000}"/>
    <cellStyle name="Normal 10 2 10 2 25 2 8" xfId="3507" xr:uid="{00000000-0005-0000-0000-0000B30D0000}"/>
    <cellStyle name="Normal 10 2 10 2 25 2 9" xfId="3508" xr:uid="{00000000-0005-0000-0000-0000B40D0000}"/>
    <cellStyle name="Normal 10 2 10 2 25 3" xfId="3509" xr:uid="{00000000-0005-0000-0000-0000B50D0000}"/>
    <cellStyle name="Normal 10 2 10 2 25 3 10" xfId="3510" xr:uid="{00000000-0005-0000-0000-0000B60D0000}"/>
    <cellStyle name="Normal 10 2 10 2 25 3 2" xfId="3511" xr:uid="{00000000-0005-0000-0000-0000B70D0000}"/>
    <cellStyle name="Normal 10 2 10 2 25 3 3" xfId="3512" xr:uid="{00000000-0005-0000-0000-0000B80D0000}"/>
    <cellStyle name="Normal 10 2 10 2 25 3 4" xfId="3513" xr:uid="{00000000-0005-0000-0000-0000B90D0000}"/>
    <cellStyle name="Normal 10 2 10 2 25 3 5" xfId="3514" xr:uid="{00000000-0005-0000-0000-0000BA0D0000}"/>
    <cellStyle name="Normal 10 2 10 2 25 3 6" xfId="3515" xr:uid="{00000000-0005-0000-0000-0000BB0D0000}"/>
    <cellStyle name="Normal 10 2 10 2 25 3 7" xfId="3516" xr:uid="{00000000-0005-0000-0000-0000BC0D0000}"/>
    <cellStyle name="Normal 10 2 10 2 25 3 8" xfId="3517" xr:uid="{00000000-0005-0000-0000-0000BD0D0000}"/>
    <cellStyle name="Normal 10 2 10 2 25 3 9" xfId="3518" xr:uid="{00000000-0005-0000-0000-0000BE0D0000}"/>
    <cellStyle name="Normal 10 2 10 2 25 4" xfId="3519" xr:uid="{00000000-0005-0000-0000-0000BF0D0000}"/>
    <cellStyle name="Normal 10 2 10 2 25 4 10" xfId="3520" xr:uid="{00000000-0005-0000-0000-0000C00D0000}"/>
    <cellStyle name="Normal 10 2 10 2 25 4 2" xfId="3521" xr:uid="{00000000-0005-0000-0000-0000C10D0000}"/>
    <cellStyle name="Normal 10 2 10 2 25 4 3" xfId="3522" xr:uid="{00000000-0005-0000-0000-0000C20D0000}"/>
    <cellStyle name="Normal 10 2 10 2 25 4 4" xfId="3523" xr:uid="{00000000-0005-0000-0000-0000C30D0000}"/>
    <cellStyle name="Normal 10 2 10 2 25 4 5" xfId="3524" xr:uid="{00000000-0005-0000-0000-0000C40D0000}"/>
    <cellStyle name="Normal 10 2 10 2 25 4 6" xfId="3525" xr:uid="{00000000-0005-0000-0000-0000C50D0000}"/>
    <cellStyle name="Normal 10 2 10 2 25 4 7" xfId="3526" xr:uid="{00000000-0005-0000-0000-0000C60D0000}"/>
    <cellStyle name="Normal 10 2 10 2 25 4 8" xfId="3527" xr:uid="{00000000-0005-0000-0000-0000C70D0000}"/>
    <cellStyle name="Normal 10 2 10 2 25 4 9" xfId="3528" xr:uid="{00000000-0005-0000-0000-0000C80D0000}"/>
    <cellStyle name="Normal 10 2 10 2 25 5" xfId="3529" xr:uid="{00000000-0005-0000-0000-0000C90D0000}"/>
    <cellStyle name="Normal 10 2 10 2 25 5 10" xfId="3530" xr:uid="{00000000-0005-0000-0000-0000CA0D0000}"/>
    <cellStyle name="Normal 10 2 10 2 25 5 2" xfId="3531" xr:uid="{00000000-0005-0000-0000-0000CB0D0000}"/>
    <cellStyle name="Normal 10 2 10 2 25 5 3" xfId="3532" xr:uid="{00000000-0005-0000-0000-0000CC0D0000}"/>
    <cellStyle name="Normal 10 2 10 2 25 5 4" xfId="3533" xr:uid="{00000000-0005-0000-0000-0000CD0D0000}"/>
    <cellStyle name="Normal 10 2 10 2 25 5 5" xfId="3534" xr:uid="{00000000-0005-0000-0000-0000CE0D0000}"/>
    <cellStyle name="Normal 10 2 10 2 25 5 6" xfId="3535" xr:uid="{00000000-0005-0000-0000-0000CF0D0000}"/>
    <cellStyle name="Normal 10 2 10 2 25 5 7" xfId="3536" xr:uid="{00000000-0005-0000-0000-0000D00D0000}"/>
    <cellStyle name="Normal 10 2 10 2 25 5 8" xfId="3537" xr:uid="{00000000-0005-0000-0000-0000D10D0000}"/>
    <cellStyle name="Normal 10 2 10 2 25 5 9" xfId="3538" xr:uid="{00000000-0005-0000-0000-0000D20D0000}"/>
    <cellStyle name="Normal 10 2 10 2 25 6" xfId="3539" xr:uid="{00000000-0005-0000-0000-0000D30D0000}"/>
    <cellStyle name="Normal 10 2 10 2 25 7" xfId="3540" xr:uid="{00000000-0005-0000-0000-0000D40D0000}"/>
    <cellStyle name="Normal 10 2 10 2 25 8" xfId="3541" xr:uid="{00000000-0005-0000-0000-0000D50D0000}"/>
    <cellStyle name="Normal 10 2 10 2 25 9" xfId="3542" xr:uid="{00000000-0005-0000-0000-0000D60D0000}"/>
    <cellStyle name="Normal 10 2 10 2 26" xfId="3543" xr:uid="{00000000-0005-0000-0000-0000D70D0000}"/>
    <cellStyle name="Normal 10 2 10 2 26 10" xfId="3544" xr:uid="{00000000-0005-0000-0000-0000D80D0000}"/>
    <cellStyle name="Normal 10 2 10 2 26 11" xfId="3545" xr:uid="{00000000-0005-0000-0000-0000D90D0000}"/>
    <cellStyle name="Normal 10 2 10 2 26 12" xfId="3546" xr:uid="{00000000-0005-0000-0000-0000DA0D0000}"/>
    <cellStyle name="Normal 10 2 10 2 26 13" xfId="3547" xr:uid="{00000000-0005-0000-0000-0000DB0D0000}"/>
    <cellStyle name="Normal 10 2 10 2 26 14" xfId="3548" xr:uid="{00000000-0005-0000-0000-0000DC0D0000}"/>
    <cellStyle name="Normal 10 2 10 2 26 2" xfId="3549" xr:uid="{00000000-0005-0000-0000-0000DD0D0000}"/>
    <cellStyle name="Normal 10 2 10 2 26 2 10" xfId="3550" xr:uid="{00000000-0005-0000-0000-0000DE0D0000}"/>
    <cellStyle name="Normal 10 2 10 2 26 2 2" xfId="3551" xr:uid="{00000000-0005-0000-0000-0000DF0D0000}"/>
    <cellStyle name="Normal 10 2 10 2 26 2 3" xfId="3552" xr:uid="{00000000-0005-0000-0000-0000E00D0000}"/>
    <cellStyle name="Normal 10 2 10 2 26 2 4" xfId="3553" xr:uid="{00000000-0005-0000-0000-0000E10D0000}"/>
    <cellStyle name="Normal 10 2 10 2 26 2 5" xfId="3554" xr:uid="{00000000-0005-0000-0000-0000E20D0000}"/>
    <cellStyle name="Normal 10 2 10 2 26 2 6" xfId="3555" xr:uid="{00000000-0005-0000-0000-0000E30D0000}"/>
    <cellStyle name="Normal 10 2 10 2 26 2 7" xfId="3556" xr:uid="{00000000-0005-0000-0000-0000E40D0000}"/>
    <cellStyle name="Normal 10 2 10 2 26 2 8" xfId="3557" xr:uid="{00000000-0005-0000-0000-0000E50D0000}"/>
    <cellStyle name="Normal 10 2 10 2 26 2 9" xfId="3558" xr:uid="{00000000-0005-0000-0000-0000E60D0000}"/>
    <cellStyle name="Normal 10 2 10 2 26 3" xfId="3559" xr:uid="{00000000-0005-0000-0000-0000E70D0000}"/>
    <cellStyle name="Normal 10 2 10 2 26 3 10" xfId="3560" xr:uid="{00000000-0005-0000-0000-0000E80D0000}"/>
    <cellStyle name="Normal 10 2 10 2 26 3 2" xfId="3561" xr:uid="{00000000-0005-0000-0000-0000E90D0000}"/>
    <cellStyle name="Normal 10 2 10 2 26 3 3" xfId="3562" xr:uid="{00000000-0005-0000-0000-0000EA0D0000}"/>
    <cellStyle name="Normal 10 2 10 2 26 3 4" xfId="3563" xr:uid="{00000000-0005-0000-0000-0000EB0D0000}"/>
    <cellStyle name="Normal 10 2 10 2 26 3 5" xfId="3564" xr:uid="{00000000-0005-0000-0000-0000EC0D0000}"/>
    <cellStyle name="Normal 10 2 10 2 26 3 6" xfId="3565" xr:uid="{00000000-0005-0000-0000-0000ED0D0000}"/>
    <cellStyle name="Normal 10 2 10 2 26 3 7" xfId="3566" xr:uid="{00000000-0005-0000-0000-0000EE0D0000}"/>
    <cellStyle name="Normal 10 2 10 2 26 3 8" xfId="3567" xr:uid="{00000000-0005-0000-0000-0000EF0D0000}"/>
    <cellStyle name="Normal 10 2 10 2 26 3 9" xfId="3568" xr:uid="{00000000-0005-0000-0000-0000F00D0000}"/>
    <cellStyle name="Normal 10 2 10 2 26 4" xfId="3569" xr:uid="{00000000-0005-0000-0000-0000F10D0000}"/>
    <cellStyle name="Normal 10 2 10 2 26 4 10" xfId="3570" xr:uid="{00000000-0005-0000-0000-0000F20D0000}"/>
    <cellStyle name="Normal 10 2 10 2 26 4 2" xfId="3571" xr:uid="{00000000-0005-0000-0000-0000F30D0000}"/>
    <cellStyle name="Normal 10 2 10 2 26 4 3" xfId="3572" xr:uid="{00000000-0005-0000-0000-0000F40D0000}"/>
    <cellStyle name="Normal 10 2 10 2 26 4 4" xfId="3573" xr:uid="{00000000-0005-0000-0000-0000F50D0000}"/>
    <cellStyle name="Normal 10 2 10 2 26 4 5" xfId="3574" xr:uid="{00000000-0005-0000-0000-0000F60D0000}"/>
    <cellStyle name="Normal 10 2 10 2 26 4 6" xfId="3575" xr:uid="{00000000-0005-0000-0000-0000F70D0000}"/>
    <cellStyle name="Normal 10 2 10 2 26 4 7" xfId="3576" xr:uid="{00000000-0005-0000-0000-0000F80D0000}"/>
    <cellStyle name="Normal 10 2 10 2 26 4 8" xfId="3577" xr:uid="{00000000-0005-0000-0000-0000F90D0000}"/>
    <cellStyle name="Normal 10 2 10 2 26 4 9" xfId="3578" xr:uid="{00000000-0005-0000-0000-0000FA0D0000}"/>
    <cellStyle name="Normal 10 2 10 2 26 5" xfId="3579" xr:uid="{00000000-0005-0000-0000-0000FB0D0000}"/>
    <cellStyle name="Normal 10 2 10 2 26 5 10" xfId="3580" xr:uid="{00000000-0005-0000-0000-0000FC0D0000}"/>
    <cellStyle name="Normal 10 2 10 2 26 5 2" xfId="3581" xr:uid="{00000000-0005-0000-0000-0000FD0D0000}"/>
    <cellStyle name="Normal 10 2 10 2 26 5 3" xfId="3582" xr:uid="{00000000-0005-0000-0000-0000FE0D0000}"/>
    <cellStyle name="Normal 10 2 10 2 26 5 4" xfId="3583" xr:uid="{00000000-0005-0000-0000-0000FF0D0000}"/>
    <cellStyle name="Normal 10 2 10 2 26 5 5" xfId="3584" xr:uid="{00000000-0005-0000-0000-0000000E0000}"/>
    <cellStyle name="Normal 10 2 10 2 26 5 6" xfId="3585" xr:uid="{00000000-0005-0000-0000-0000010E0000}"/>
    <cellStyle name="Normal 10 2 10 2 26 5 7" xfId="3586" xr:uid="{00000000-0005-0000-0000-0000020E0000}"/>
    <cellStyle name="Normal 10 2 10 2 26 5 8" xfId="3587" xr:uid="{00000000-0005-0000-0000-0000030E0000}"/>
    <cellStyle name="Normal 10 2 10 2 26 5 9" xfId="3588" xr:uid="{00000000-0005-0000-0000-0000040E0000}"/>
    <cellStyle name="Normal 10 2 10 2 26 6" xfId="3589" xr:uid="{00000000-0005-0000-0000-0000050E0000}"/>
    <cellStyle name="Normal 10 2 10 2 26 7" xfId="3590" xr:uid="{00000000-0005-0000-0000-0000060E0000}"/>
    <cellStyle name="Normal 10 2 10 2 26 8" xfId="3591" xr:uid="{00000000-0005-0000-0000-0000070E0000}"/>
    <cellStyle name="Normal 10 2 10 2 26 9" xfId="3592" xr:uid="{00000000-0005-0000-0000-0000080E0000}"/>
    <cellStyle name="Normal 10 2 10 2 27" xfId="3593" xr:uid="{00000000-0005-0000-0000-0000090E0000}"/>
    <cellStyle name="Normal 10 2 10 2 27 10" xfId="3594" xr:uid="{00000000-0005-0000-0000-00000A0E0000}"/>
    <cellStyle name="Normal 10 2 10 2 27 11" xfId="3595" xr:uid="{00000000-0005-0000-0000-00000B0E0000}"/>
    <cellStyle name="Normal 10 2 10 2 27 12" xfId="3596" xr:uid="{00000000-0005-0000-0000-00000C0E0000}"/>
    <cellStyle name="Normal 10 2 10 2 27 13" xfId="3597" xr:uid="{00000000-0005-0000-0000-00000D0E0000}"/>
    <cellStyle name="Normal 10 2 10 2 27 14" xfId="3598" xr:uid="{00000000-0005-0000-0000-00000E0E0000}"/>
    <cellStyle name="Normal 10 2 10 2 27 2" xfId="3599" xr:uid="{00000000-0005-0000-0000-00000F0E0000}"/>
    <cellStyle name="Normal 10 2 10 2 27 2 10" xfId="3600" xr:uid="{00000000-0005-0000-0000-0000100E0000}"/>
    <cellStyle name="Normal 10 2 10 2 27 2 2" xfId="3601" xr:uid="{00000000-0005-0000-0000-0000110E0000}"/>
    <cellStyle name="Normal 10 2 10 2 27 2 3" xfId="3602" xr:uid="{00000000-0005-0000-0000-0000120E0000}"/>
    <cellStyle name="Normal 10 2 10 2 27 2 4" xfId="3603" xr:uid="{00000000-0005-0000-0000-0000130E0000}"/>
    <cellStyle name="Normal 10 2 10 2 27 2 5" xfId="3604" xr:uid="{00000000-0005-0000-0000-0000140E0000}"/>
    <cellStyle name="Normal 10 2 10 2 27 2 6" xfId="3605" xr:uid="{00000000-0005-0000-0000-0000150E0000}"/>
    <cellStyle name="Normal 10 2 10 2 27 2 7" xfId="3606" xr:uid="{00000000-0005-0000-0000-0000160E0000}"/>
    <cellStyle name="Normal 10 2 10 2 27 2 8" xfId="3607" xr:uid="{00000000-0005-0000-0000-0000170E0000}"/>
    <cellStyle name="Normal 10 2 10 2 27 2 9" xfId="3608" xr:uid="{00000000-0005-0000-0000-0000180E0000}"/>
    <cellStyle name="Normal 10 2 10 2 27 3" xfId="3609" xr:uid="{00000000-0005-0000-0000-0000190E0000}"/>
    <cellStyle name="Normal 10 2 10 2 27 3 10" xfId="3610" xr:uid="{00000000-0005-0000-0000-00001A0E0000}"/>
    <cellStyle name="Normal 10 2 10 2 27 3 2" xfId="3611" xr:uid="{00000000-0005-0000-0000-00001B0E0000}"/>
    <cellStyle name="Normal 10 2 10 2 27 3 3" xfId="3612" xr:uid="{00000000-0005-0000-0000-00001C0E0000}"/>
    <cellStyle name="Normal 10 2 10 2 27 3 4" xfId="3613" xr:uid="{00000000-0005-0000-0000-00001D0E0000}"/>
    <cellStyle name="Normal 10 2 10 2 27 3 5" xfId="3614" xr:uid="{00000000-0005-0000-0000-00001E0E0000}"/>
    <cellStyle name="Normal 10 2 10 2 27 3 6" xfId="3615" xr:uid="{00000000-0005-0000-0000-00001F0E0000}"/>
    <cellStyle name="Normal 10 2 10 2 27 3 7" xfId="3616" xr:uid="{00000000-0005-0000-0000-0000200E0000}"/>
    <cellStyle name="Normal 10 2 10 2 27 3 8" xfId="3617" xr:uid="{00000000-0005-0000-0000-0000210E0000}"/>
    <cellStyle name="Normal 10 2 10 2 27 3 9" xfId="3618" xr:uid="{00000000-0005-0000-0000-0000220E0000}"/>
    <cellStyle name="Normal 10 2 10 2 27 4" xfId="3619" xr:uid="{00000000-0005-0000-0000-0000230E0000}"/>
    <cellStyle name="Normal 10 2 10 2 27 4 10" xfId="3620" xr:uid="{00000000-0005-0000-0000-0000240E0000}"/>
    <cellStyle name="Normal 10 2 10 2 27 4 2" xfId="3621" xr:uid="{00000000-0005-0000-0000-0000250E0000}"/>
    <cellStyle name="Normal 10 2 10 2 27 4 3" xfId="3622" xr:uid="{00000000-0005-0000-0000-0000260E0000}"/>
    <cellStyle name="Normal 10 2 10 2 27 4 4" xfId="3623" xr:uid="{00000000-0005-0000-0000-0000270E0000}"/>
    <cellStyle name="Normal 10 2 10 2 27 4 5" xfId="3624" xr:uid="{00000000-0005-0000-0000-0000280E0000}"/>
    <cellStyle name="Normal 10 2 10 2 27 4 6" xfId="3625" xr:uid="{00000000-0005-0000-0000-0000290E0000}"/>
    <cellStyle name="Normal 10 2 10 2 27 4 7" xfId="3626" xr:uid="{00000000-0005-0000-0000-00002A0E0000}"/>
    <cellStyle name="Normal 10 2 10 2 27 4 8" xfId="3627" xr:uid="{00000000-0005-0000-0000-00002B0E0000}"/>
    <cellStyle name="Normal 10 2 10 2 27 4 9" xfId="3628" xr:uid="{00000000-0005-0000-0000-00002C0E0000}"/>
    <cellStyle name="Normal 10 2 10 2 27 5" xfId="3629" xr:uid="{00000000-0005-0000-0000-00002D0E0000}"/>
    <cellStyle name="Normal 10 2 10 2 27 5 10" xfId="3630" xr:uid="{00000000-0005-0000-0000-00002E0E0000}"/>
    <cellStyle name="Normal 10 2 10 2 27 5 2" xfId="3631" xr:uid="{00000000-0005-0000-0000-00002F0E0000}"/>
    <cellStyle name="Normal 10 2 10 2 27 5 3" xfId="3632" xr:uid="{00000000-0005-0000-0000-0000300E0000}"/>
    <cellStyle name="Normal 10 2 10 2 27 5 4" xfId="3633" xr:uid="{00000000-0005-0000-0000-0000310E0000}"/>
    <cellStyle name="Normal 10 2 10 2 27 5 5" xfId="3634" xr:uid="{00000000-0005-0000-0000-0000320E0000}"/>
    <cellStyle name="Normal 10 2 10 2 27 5 6" xfId="3635" xr:uid="{00000000-0005-0000-0000-0000330E0000}"/>
    <cellStyle name="Normal 10 2 10 2 27 5 7" xfId="3636" xr:uid="{00000000-0005-0000-0000-0000340E0000}"/>
    <cellStyle name="Normal 10 2 10 2 27 5 8" xfId="3637" xr:uid="{00000000-0005-0000-0000-0000350E0000}"/>
    <cellStyle name="Normal 10 2 10 2 27 5 9" xfId="3638" xr:uid="{00000000-0005-0000-0000-0000360E0000}"/>
    <cellStyle name="Normal 10 2 10 2 27 6" xfId="3639" xr:uid="{00000000-0005-0000-0000-0000370E0000}"/>
    <cellStyle name="Normal 10 2 10 2 27 7" xfId="3640" xr:uid="{00000000-0005-0000-0000-0000380E0000}"/>
    <cellStyle name="Normal 10 2 10 2 27 8" xfId="3641" xr:uid="{00000000-0005-0000-0000-0000390E0000}"/>
    <cellStyle name="Normal 10 2 10 2 27 9" xfId="3642" xr:uid="{00000000-0005-0000-0000-00003A0E0000}"/>
    <cellStyle name="Normal 10 2 10 2 28" xfId="3643" xr:uid="{00000000-0005-0000-0000-00003B0E0000}"/>
    <cellStyle name="Normal 10 2 10 2 28 10" xfId="3644" xr:uid="{00000000-0005-0000-0000-00003C0E0000}"/>
    <cellStyle name="Normal 10 2 10 2 28 11" xfId="3645" xr:uid="{00000000-0005-0000-0000-00003D0E0000}"/>
    <cellStyle name="Normal 10 2 10 2 28 12" xfId="3646" xr:uid="{00000000-0005-0000-0000-00003E0E0000}"/>
    <cellStyle name="Normal 10 2 10 2 28 13" xfId="3647" xr:uid="{00000000-0005-0000-0000-00003F0E0000}"/>
    <cellStyle name="Normal 10 2 10 2 28 14" xfId="3648" xr:uid="{00000000-0005-0000-0000-0000400E0000}"/>
    <cellStyle name="Normal 10 2 10 2 28 2" xfId="3649" xr:uid="{00000000-0005-0000-0000-0000410E0000}"/>
    <cellStyle name="Normal 10 2 10 2 28 2 10" xfId="3650" xr:uid="{00000000-0005-0000-0000-0000420E0000}"/>
    <cellStyle name="Normal 10 2 10 2 28 2 2" xfId="3651" xr:uid="{00000000-0005-0000-0000-0000430E0000}"/>
    <cellStyle name="Normal 10 2 10 2 28 2 3" xfId="3652" xr:uid="{00000000-0005-0000-0000-0000440E0000}"/>
    <cellStyle name="Normal 10 2 10 2 28 2 4" xfId="3653" xr:uid="{00000000-0005-0000-0000-0000450E0000}"/>
    <cellStyle name="Normal 10 2 10 2 28 2 5" xfId="3654" xr:uid="{00000000-0005-0000-0000-0000460E0000}"/>
    <cellStyle name="Normal 10 2 10 2 28 2 6" xfId="3655" xr:uid="{00000000-0005-0000-0000-0000470E0000}"/>
    <cellStyle name="Normal 10 2 10 2 28 2 7" xfId="3656" xr:uid="{00000000-0005-0000-0000-0000480E0000}"/>
    <cellStyle name="Normal 10 2 10 2 28 2 8" xfId="3657" xr:uid="{00000000-0005-0000-0000-0000490E0000}"/>
    <cellStyle name="Normal 10 2 10 2 28 2 9" xfId="3658" xr:uid="{00000000-0005-0000-0000-00004A0E0000}"/>
    <cellStyle name="Normal 10 2 10 2 28 3" xfId="3659" xr:uid="{00000000-0005-0000-0000-00004B0E0000}"/>
    <cellStyle name="Normal 10 2 10 2 28 3 10" xfId="3660" xr:uid="{00000000-0005-0000-0000-00004C0E0000}"/>
    <cellStyle name="Normal 10 2 10 2 28 3 2" xfId="3661" xr:uid="{00000000-0005-0000-0000-00004D0E0000}"/>
    <cellStyle name="Normal 10 2 10 2 28 3 3" xfId="3662" xr:uid="{00000000-0005-0000-0000-00004E0E0000}"/>
    <cellStyle name="Normal 10 2 10 2 28 3 4" xfId="3663" xr:uid="{00000000-0005-0000-0000-00004F0E0000}"/>
    <cellStyle name="Normal 10 2 10 2 28 3 5" xfId="3664" xr:uid="{00000000-0005-0000-0000-0000500E0000}"/>
    <cellStyle name="Normal 10 2 10 2 28 3 6" xfId="3665" xr:uid="{00000000-0005-0000-0000-0000510E0000}"/>
    <cellStyle name="Normal 10 2 10 2 28 3 7" xfId="3666" xr:uid="{00000000-0005-0000-0000-0000520E0000}"/>
    <cellStyle name="Normal 10 2 10 2 28 3 8" xfId="3667" xr:uid="{00000000-0005-0000-0000-0000530E0000}"/>
    <cellStyle name="Normal 10 2 10 2 28 3 9" xfId="3668" xr:uid="{00000000-0005-0000-0000-0000540E0000}"/>
    <cellStyle name="Normal 10 2 10 2 28 4" xfId="3669" xr:uid="{00000000-0005-0000-0000-0000550E0000}"/>
    <cellStyle name="Normal 10 2 10 2 28 4 10" xfId="3670" xr:uid="{00000000-0005-0000-0000-0000560E0000}"/>
    <cellStyle name="Normal 10 2 10 2 28 4 2" xfId="3671" xr:uid="{00000000-0005-0000-0000-0000570E0000}"/>
    <cellStyle name="Normal 10 2 10 2 28 4 3" xfId="3672" xr:uid="{00000000-0005-0000-0000-0000580E0000}"/>
    <cellStyle name="Normal 10 2 10 2 28 4 4" xfId="3673" xr:uid="{00000000-0005-0000-0000-0000590E0000}"/>
    <cellStyle name="Normal 10 2 10 2 28 4 5" xfId="3674" xr:uid="{00000000-0005-0000-0000-00005A0E0000}"/>
    <cellStyle name="Normal 10 2 10 2 28 4 6" xfId="3675" xr:uid="{00000000-0005-0000-0000-00005B0E0000}"/>
    <cellStyle name="Normal 10 2 10 2 28 4 7" xfId="3676" xr:uid="{00000000-0005-0000-0000-00005C0E0000}"/>
    <cellStyle name="Normal 10 2 10 2 28 4 8" xfId="3677" xr:uid="{00000000-0005-0000-0000-00005D0E0000}"/>
    <cellStyle name="Normal 10 2 10 2 28 4 9" xfId="3678" xr:uid="{00000000-0005-0000-0000-00005E0E0000}"/>
    <cellStyle name="Normal 10 2 10 2 28 5" xfId="3679" xr:uid="{00000000-0005-0000-0000-00005F0E0000}"/>
    <cellStyle name="Normal 10 2 10 2 28 5 10" xfId="3680" xr:uid="{00000000-0005-0000-0000-0000600E0000}"/>
    <cellStyle name="Normal 10 2 10 2 28 5 2" xfId="3681" xr:uid="{00000000-0005-0000-0000-0000610E0000}"/>
    <cellStyle name="Normal 10 2 10 2 28 5 3" xfId="3682" xr:uid="{00000000-0005-0000-0000-0000620E0000}"/>
    <cellStyle name="Normal 10 2 10 2 28 5 4" xfId="3683" xr:uid="{00000000-0005-0000-0000-0000630E0000}"/>
    <cellStyle name="Normal 10 2 10 2 28 5 5" xfId="3684" xr:uid="{00000000-0005-0000-0000-0000640E0000}"/>
    <cellStyle name="Normal 10 2 10 2 28 5 6" xfId="3685" xr:uid="{00000000-0005-0000-0000-0000650E0000}"/>
    <cellStyle name="Normal 10 2 10 2 28 5 7" xfId="3686" xr:uid="{00000000-0005-0000-0000-0000660E0000}"/>
    <cellStyle name="Normal 10 2 10 2 28 5 8" xfId="3687" xr:uid="{00000000-0005-0000-0000-0000670E0000}"/>
    <cellStyle name="Normal 10 2 10 2 28 5 9" xfId="3688" xr:uid="{00000000-0005-0000-0000-0000680E0000}"/>
    <cellStyle name="Normal 10 2 10 2 28 6" xfId="3689" xr:uid="{00000000-0005-0000-0000-0000690E0000}"/>
    <cellStyle name="Normal 10 2 10 2 28 7" xfId="3690" xr:uid="{00000000-0005-0000-0000-00006A0E0000}"/>
    <cellStyle name="Normal 10 2 10 2 28 8" xfId="3691" xr:uid="{00000000-0005-0000-0000-00006B0E0000}"/>
    <cellStyle name="Normal 10 2 10 2 28 9" xfId="3692" xr:uid="{00000000-0005-0000-0000-00006C0E0000}"/>
    <cellStyle name="Normal 10 2 10 2 29" xfId="3693" xr:uid="{00000000-0005-0000-0000-00006D0E0000}"/>
    <cellStyle name="Normal 10 2 10 2 29 10" xfId="3694" xr:uid="{00000000-0005-0000-0000-00006E0E0000}"/>
    <cellStyle name="Normal 10 2 10 2 29 11" xfId="3695" xr:uid="{00000000-0005-0000-0000-00006F0E0000}"/>
    <cellStyle name="Normal 10 2 10 2 29 12" xfId="3696" xr:uid="{00000000-0005-0000-0000-0000700E0000}"/>
    <cellStyle name="Normal 10 2 10 2 29 13" xfId="3697" xr:uid="{00000000-0005-0000-0000-0000710E0000}"/>
    <cellStyle name="Normal 10 2 10 2 29 14" xfId="3698" xr:uid="{00000000-0005-0000-0000-0000720E0000}"/>
    <cellStyle name="Normal 10 2 10 2 29 2" xfId="3699" xr:uid="{00000000-0005-0000-0000-0000730E0000}"/>
    <cellStyle name="Normal 10 2 10 2 29 2 10" xfId="3700" xr:uid="{00000000-0005-0000-0000-0000740E0000}"/>
    <cellStyle name="Normal 10 2 10 2 29 2 2" xfId="3701" xr:uid="{00000000-0005-0000-0000-0000750E0000}"/>
    <cellStyle name="Normal 10 2 10 2 29 2 3" xfId="3702" xr:uid="{00000000-0005-0000-0000-0000760E0000}"/>
    <cellStyle name="Normal 10 2 10 2 29 2 4" xfId="3703" xr:uid="{00000000-0005-0000-0000-0000770E0000}"/>
    <cellStyle name="Normal 10 2 10 2 29 2 5" xfId="3704" xr:uid="{00000000-0005-0000-0000-0000780E0000}"/>
    <cellStyle name="Normal 10 2 10 2 29 2 6" xfId="3705" xr:uid="{00000000-0005-0000-0000-0000790E0000}"/>
    <cellStyle name="Normal 10 2 10 2 29 2 7" xfId="3706" xr:uid="{00000000-0005-0000-0000-00007A0E0000}"/>
    <cellStyle name="Normal 10 2 10 2 29 2 8" xfId="3707" xr:uid="{00000000-0005-0000-0000-00007B0E0000}"/>
    <cellStyle name="Normal 10 2 10 2 29 2 9" xfId="3708" xr:uid="{00000000-0005-0000-0000-00007C0E0000}"/>
    <cellStyle name="Normal 10 2 10 2 29 3" xfId="3709" xr:uid="{00000000-0005-0000-0000-00007D0E0000}"/>
    <cellStyle name="Normal 10 2 10 2 29 3 10" xfId="3710" xr:uid="{00000000-0005-0000-0000-00007E0E0000}"/>
    <cellStyle name="Normal 10 2 10 2 29 3 2" xfId="3711" xr:uid="{00000000-0005-0000-0000-00007F0E0000}"/>
    <cellStyle name="Normal 10 2 10 2 29 3 3" xfId="3712" xr:uid="{00000000-0005-0000-0000-0000800E0000}"/>
    <cellStyle name="Normal 10 2 10 2 29 3 4" xfId="3713" xr:uid="{00000000-0005-0000-0000-0000810E0000}"/>
    <cellStyle name="Normal 10 2 10 2 29 3 5" xfId="3714" xr:uid="{00000000-0005-0000-0000-0000820E0000}"/>
    <cellStyle name="Normal 10 2 10 2 29 3 6" xfId="3715" xr:uid="{00000000-0005-0000-0000-0000830E0000}"/>
    <cellStyle name="Normal 10 2 10 2 29 3 7" xfId="3716" xr:uid="{00000000-0005-0000-0000-0000840E0000}"/>
    <cellStyle name="Normal 10 2 10 2 29 3 8" xfId="3717" xr:uid="{00000000-0005-0000-0000-0000850E0000}"/>
    <cellStyle name="Normal 10 2 10 2 29 3 9" xfId="3718" xr:uid="{00000000-0005-0000-0000-0000860E0000}"/>
    <cellStyle name="Normal 10 2 10 2 29 4" xfId="3719" xr:uid="{00000000-0005-0000-0000-0000870E0000}"/>
    <cellStyle name="Normal 10 2 10 2 29 4 10" xfId="3720" xr:uid="{00000000-0005-0000-0000-0000880E0000}"/>
    <cellStyle name="Normal 10 2 10 2 29 4 2" xfId="3721" xr:uid="{00000000-0005-0000-0000-0000890E0000}"/>
    <cellStyle name="Normal 10 2 10 2 29 4 3" xfId="3722" xr:uid="{00000000-0005-0000-0000-00008A0E0000}"/>
    <cellStyle name="Normal 10 2 10 2 29 4 4" xfId="3723" xr:uid="{00000000-0005-0000-0000-00008B0E0000}"/>
    <cellStyle name="Normal 10 2 10 2 29 4 5" xfId="3724" xr:uid="{00000000-0005-0000-0000-00008C0E0000}"/>
    <cellStyle name="Normal 10 2 10 2 29 4 6" xfId="3725" xr:uid="{00000000-0005-0000-0000-00008D0E0000}"/>
    <cellStyle name="Normal 10 2 10 2 29 4 7" xfId="3726" xr:uid="{00000000-0005-0000-0000-00008E0E0000}"/>
    <cellStyle name="Normal 10 2 10 2 29 4 8" xfId="3727" xr:uid="{00000000-0005-0000-0000-00008F0E0000}"/>
    <cellStyle name="Normal 10 2 10 2 29 4 9" xfId="3728" xr:uid="{00000000-0005-0000-0000-0000900E0000}"/>
    <cellStyle name="Normal 10 2 10 2 29 5" xfId="3729" xr:uid="{00000000-0005-0000-0000-0000910E0000}"/>
    <cellStyle name="Normal 10 2 10 2 29 5 10" xfId="3730" xr:uid="{00000000-0005-0000-0000-0000920E0000}"/>
    <cellStyle name="Normal 10 2 10 2 29 5 2" xfId="3731" xr:uid="{00000000-0005-0000-0000-0000930E0000}"/>
    <cellStyle name="Normal 10 2 10 2 29 5 3" xfId="3732" xr:uid="{00000000-0005-0000-0000-0000940E0000}"/>
    <cellStyle name="Normal 10 2 10 2 29 5 4" xfId="3733" xr:uid="{00000000-0005-0000-0000-0000950E0000}"/>
    <cellStyle name="Normal 10 2 10 2 29 5 5" xfId="3734" xr:uid="{00000000-0005-0000-0000-0000960E0000}"/>
    <cellStyle name="Normal 10 2 10 2 29 5 6" xfId="3735" xr:uid="{00000000-0005-0000-0000-0000970E0000}"/>
    <cellStyle name="Normal 10 2 10 2 29 5 7" xfId="3736" xr:uid="{00000000-0005-0000-0000-0000980E0000}"/>
    <cellStyle name="Normal 10 2 10 2 29 5 8" xfId="3737" xr:uid="{00000000-0005-0000-0000-0000990E0000}"/>
    <cellStyle name="Normal 10 2 10 2 29 5 9" xfId="3738" xr:uid="{00000000-0005-0000-0000-00009A0E0000}"/>
    <cellStyle name="Normal 10 2 10 2 29 6" xfId="3739" xr:uid="{00000000-0005-0000-0000-00009B0E0000}"/>
    <cellStyle name="Normal 10 2 10 2 29 7" xfId="3740" xr:uid="{00000000-0005-0000-0000-00009C0E0000}"/>
    <cellStyle name="Normal 10 2 10 2 29 8" xfId="3741" xr:uid="{00000000-0005-0000-0000-00009D0E0000}"/>
    <cellStyle name="Normal 10 2 10 2 29 9" xfId="3742" xr:uid="{00000000-0005-0000-0000-00009E0E0000}"/>
    <cellStyle name="Normal 10 2 10 2 3" xfId="3743" xr:uid="{00000000-0005-0000-0000-00009F0E0000}"/>
    <cellStyle name="Normal 10 2 10 2 3 10" xfId="3744" xr:uid="{00000000-0005-0000-0000-0000A00E0000}"/>
    <cellStyle name="Normal 10 2 10 2 3 11" xfId="3745" xr:uid="{00000000-0005-0000-0000-0000A10E0000}"/>
    <cellStyle name="Normal 10 2 10 2 3 12" xfId="3746" xr:uid="{00000000-0005-0000-0000-0000A20E0000}"/>
    <cellStyle name="Normal 10 2 10 2 3 13" xfId="3747" xr:uid="{00000000-0005-0000-0000-0000A30E0000}"/>
    <cellStyle name="Normal 10 2 10 2 3 14" xfId="3748" xr:uid="{00000000-0005-0000-0000-0000A40E0000}"/>
    <cellStyle name="Normal 10 2 10 2 3 2" xfId="3749" xr:uid="{00000000-0005-0000-0000-0000A50E0000}"/>
    <cellStyle name="Normal 10 2 10 2 3 2 10" xfId="3750" xr:uid="{00000000-0005-0000-0000-0000A60E0000}"/>
    <cellStyle name="Normal 10 2 10 2 3 2 2" xfId="3751" xr:uid="{00000000-0005-0000-0000-0000A70E0000}"/>
    <cellStyle name="Normal 10 2 10 2 3 2 3" xfId="3752" xr:uid="{00000000-0005-0000-0000-0000A80E0000}"/>
    <cellStyle name="Normal 10 2 10 2 3 2 4" xfId="3753" xr:uid="{00000000-0005-0000-0000-0000A90E0000}"/>
    <cellStyle name="Normal 10 2 10 2 3 2 5" xfId="3754" xr:uid="{00000000-0005-0000-0000-0000AA0E0000}"/>
    <cellStyle name="Normal 10 2 10 2 3 2 6" xfId="3755" xr:uid="{00000000-0005-0000-0000-0000AB0E0000}"/>
    <cellStyle name="Normal 10 2 10 2 3 2 7" xfId="3756" xr:uid="{00000000-0005-0000-0000-0000AC0E0000}"/>
    <cellStyle name="Normal 10 2 10 2 3 2 8" xfId="3757" xr:uid="{00000000-0005-0000-0000-0000AD0E0000}"/>
    <cellStyle name="Normal 10 2 10 2 3 2 9" xfId="3758" xr:uid="{00000000-0005-0000-0000-0000AE0E0000}"/>
    <cellStyle name="Normal 10 2 10 2 3 3" xfId="3759" xr:uid="{00000000-0005-0000-0000-0000AF0E0000}"/>
    <cellStyle name="Normal 10 2 10 2 3 3 10" xfId="3760" xr:uid="{00000000-0005-0000-0000-0000B00E0000}"/>
    <cellStyle name="Normal 10 2 10 2 3 3 2" xfId="3761" xr:uid="{00000000-0005-0000-0000-0000B10E0000}"/>
    <cellStyle name="Normal 10 2 10 2 3 3 3" xfId="3762" xr:uid="{00000000-0005-0000-0000-0000B20E0000}"/>
    <cellStyle name="Normal 10 2 10 2 3 3 4" xfId="3763" xr:uid="{00000000-0005-0000-0000-0000B30E0000}"/>
    <cellStyle name="Normal 10 2 10 2 3 3 5" xfId="3764" xr:uid="{00000000-0005-0000-0000-0000B40E0000}"/>
    <cellStyle name="Normal 10 2 10 2 3 3 6" xfId="3765" xr:uid="{00000000-0005-0000-0000-0000B50E0000}"/>
    <cellStyle name="Normal 10 2 10 2 3 3 7" xfId="3766" xr:uid="{00000000-0005-0000-0000-0000B60E0000}"/>
    <cellStyle name="Normal 10 2 10 2 3 3 8" xfId="3767" xr:uid="{00000000-0005-0000-0000-0000B70E0000}"/>
    <cellStyle name="Normal 10 2 10 2 3 3 9" xfId="3768" xr:uid="{00000000-0005-0000-0000-0000B80E0000}"/>
    <cellStyle name="Normal 10 2 10 2 3 4" xfId="3769" xr:uid="{00000000-0005-0000-0000-0000B90E0000}"/>
    <cellStyle name="Normal 10 2 10 2 3 4 10" xfId="3770" xr:uid="{00000000-0005-0000-0000-0000BA0E0000}"/>
    <cellStyle name="Normal 10 2 10 2 3 4 2" xfId="3771" xr:uid="{00000000-0005-0000-0000-0000BB0E0000}"/>
    <cellStyle name="Normal 10 2 10 2 3 4 3" xfId="3772" xr:uid="{00000000-0005-0000-0000-0000BC0E0000}"/>
    <cellStyle name="Normal 10 2 10 2 3 4 4" xfId="3773" xr:uid="{00000000-0005-0000-0000-0000BD0E0000}"/>
    <cellStyle name="Normal 10 2 10 2 3 4 5" xfId="3774" xr:uid="{00000000-0005-0000-0000-0000BE0E0000}"/>
    <cellStyle name="Normal 10 2 10 2 3 4 6" xfId="3775" xr:uid="{00000000-0005-0000-0000-0000BF0E0000}"/>
    <cellStyle name="Normal 10 2 10 2 3 4 7" xfId="3776" xr:uid="{00000000-0005-0000-0000-0000C00E0000}"/>
    <cellStyle name="Normal 10 2 10 2 3 4 8" xfId="3777" xr:uid="{00000000-0005-0000-0000-0000C10E0000}"/>
    <cellStyle name="Normal 10 2 10 2 3 4 9" xfId="3778" xr:uid="{00000000-0005-0000-0000-0000C20E0000}"/>
    <cellStyle name="Normal 10 2 10 2 3 5" xfId="3779" xr:uid="{00000000-0005-0000-0000-0000C30E0000}"/>
    <cellStyle name="Normal 10 2 10 2 3 5 10" xfId="3780" xr:uid="{00000000-0005-0000-0000-0000C40E0000}"/>
    <cellStyle name="Normal 10 2 10 2 3 5 2" xfId="3781" xr:uid="{00000000-0005-0000-0000-0000C50E0000}"/>
    <cellStyle name="Normal 10 2 10 2 3 5 3" xfId="3782" xr:uid="{00000000-0005-0000-0000-0000C60E0000}"/>
    <cellStyle name="Normal 10 2 10 2 3 5 4" xfId="3783" xr:uid="{00000000-0005-0000-0000-0000C70E0000}"/>
    <cellStyle name="Normal 10 2 10 2 3 5 5" xfId="3784" xr:uid="{00000000-0005-0000-0000-0000C80E0000}"/>
    <cellStyle name="Normal 10 2 10 2 3 5 6" xfId="3785" xr:uid="{00000000-0005-0000-0000-0000C90E0000}"/>
    <cellStyle name="Normal 10 2 10 2 3 5 7" xfId="3786" xr:uid="{00000000-0005-0000-0000-0000CA0E0000}"/>
    <cellStyle name="Normal 10 2 10 2 3 5 8" xfId="3787" xr:uid="{00000000-0005-0000-0000-0000CB0E0000}"/>
    <cellStyle name="Normal 10 2 10 2 3 5 9" xfId="3788" xr:uid="{00000000-0005-0000-0000-0000CC0E0000}"/>
    <cellStyle name="Normal 10 2 10 2 3 6" xfId="3789" xr:uid="{00000000-0005-0000-0000-0000CD0E0000}"/>
    <cellStyle name="Normal 10 2 10 2 3 7" xfId="3790" xr:uid="{00000000-0005-0000-0000-0000CE0E0000}"/>
    <cellStyle name="Normal 10 2 10 2 3 8" xfId="3791" xr:uid="{00000000-0005-0000-0000-0000CF0E0000}"/>
    <cellStyle name="Normal 10 2 10 2 3 9" xfId="3792" xr:uid="{00000000-0005-0000-0000-0000D00E0000}"/>
    <cellStyle name="Normal 10 2 10 2 30" xfId="3793" xr:uid="{00000000-0005-0000-0000-0000D10E0000}"/>
    <cellStyle name="Normal 10 2 10 2 30 10" xfId="3794" xr:uid="{00000000-0005-0000-0000-0000D20E0000}"/>
    <cellStyle name="Normal 10 2 10 2 30 11" xfId="3795" xr:uid="{00000000-0005-0000-0000-0000D30E0000}"/>
    <cellStyle name="Normal 10 2 10 2 30 12" xfId="3796" xr:uid="{00000000-0005-0000-0000-0000D40E0000}"/>
    <cellStyle name="Normal 10 2 10 2 30 13" xfId="3797" xr:uid="{00000000-0005-0000-0000-0000D50E0000}"/>
    <cellStyle name="Normal 10 2 10 2 30 14" xfId="3798" xr:uid="{00000000-0005-0000-0000-0000D60E0000}"/>
    <cellStyle name="Normal 10 2 10 2 30 2" xfId="3799" xr:uid="{00000000-0005-0000-0000-0000D70E0000}"/>
    <cellStyle name="Normal 10 2 10 2 30 2 10" xfId="3800" xr:uid="{00000000-0005-0000-0000-0000D80E0000}"/>
    <cellStyle name="Normal 10 2 10 2 30 2 2" xfId="3801" xr:uid="{00000000-0005-0000-0000-0000D90E0000}"/>
    <cellStyle name="Normal 10 2 10 2 30 2 3" xfId="3802" xr:uid="{00000000-0005-0000-0000-0000DA0E0000}"/>
    <cellStyle name="Normal 10 2 10 2 30 2 4" xfId="3803" xr:uid="{00000000-0005-0000-0000-0000DB0E0000}"/>
    <cellStyle name="Normal 10 2 10 2 30 2 5" xfId="3804" xr:uid="{00000000-0005-0000-0000-0000DC0E0000}"/>
    <cellStyle name="Normal 10 2 10 2 30 2 6" xfId="3805" xr:uid="{00000000-0005-0000-0000-0000DD0E0000}"/>
    <cellStyle name="Normal 10 2 10 2 30 2 7" xfId="3806" xr:uid="{00000000-0005-0000-0000-0000DE0E0000}"/>
    <cellStyle name="Normal 10 2 10 2 30 2 8" xfId="3807" xr:uid="{00000000-0005-0000-0000-0000DF0E0000}"/>
    <cellStyle name="Normal 10 2 10 2 30 2 9" xfId="3808" xr:uid="{00000000-0005-0000-0000-0000E00E0000}"/>
    <cellStyle name="Normal 10 2 10 2 30 3" xfId="3809" xr:uid="{00000000-0005-0000-0000-0000E10E0000}"/>
    <cellStyle name="Normal 10 2 10 2 30 3 10" xfId="3810" xr:uid="{00000000-0005-0000-0000-0000E20E0000}"/>
    <cellStyle name="Normal 10 2 10 2 30 3 2" xfId="3811" xr:uid="{00000000-0005-0000-0000-0000E30E0000}"/>
    <cellStyle name="Normal 10 2 10 2 30 3 3" xfId="3812" xr:uid="{00000000-0005-0000-0000-0000E40E0000}"/>
    <cellStyle name="Normal 10 2 10 2 30 3 4" xfId="3813" xr:uid="{00000000-0005-0000-0000-0000E50E0000}"/>
    <cellStyle name="Normal 10 2 10 2 30 3 5" xfId="3814" xr:uid="{00000000-0005-0000-0000-0000E60E0000}"/>
    <cellStyle name="Normal 10 2 10 2 30 3 6" xfId="3815" xr:uid="{00000000-0005-0000-0000-0000E70E0000}"/>
    <cellStyle name="Normal 10 2 10 2 30 3 7" xfId="3816" xr:uid="{00000000-0005-0000-0000-0000E80E0000}"/>
    <cellStyle name="Normal 10 2 10 2 30 3 8" xfId="3817" xr:uid="{00000000-0005-0000-0000-0000E90E0000}"/>
    <cellStyle name="Normal 10 2 10 2 30 3 9" xfId="3818" xr:uid="{00000000-0005-0000-0000-0000EA0E0000}"/>
    <cellStyle name="Normal 10 2 10 2 30 4" xfId="3819" xr:uid="{00000000-0005-0000-0000-0000EB0E0000}"/>
    <cellStyle name="Normal 10 2 10 2 30 4 10" xfId="3820" xr:uid="{00000000-0005-0000-0000-0000EC0E0000}"/>
    <cellStyle name="Normal 10 2 10 2 30 4 2" xfId="3821" xr:uid="{00000000-0005-0000-0000-0000ED0E0000}"/>
    <cellStyle name="Normal 10 2 10 2 30 4 3" xfId="3822" xr:uid="{00000000-0005-0000-0000-0000EE0E0000}"/>
    <cellStyle name="Normal 10 2 10 2 30 4 4" xfId="3823" xr:uid="{00000000-0005-0000-0000-0000EF0E0000}"/>
    <cellStyle name="Normal 10 2 10 2 30 4 5" xfId="3824" xr:uid="{00000000-0005-0000-0000-0000F00E0000}"/>
    <cellStyle name="Normal 10 2 10 2 30 4 6" xfId="3825" xr:uid="{00000000-0005-0000-0000-0000F10E0000}"/>
    <cellStyle name="Normal 10 2 10 2 30 4 7" xfId="3826" xr:uid="{00000000-0005-0000-0000-0000F20E0000}"/>
    <cellStyle name="Normal 10 2 10 2 30 4 8" xfId="3827" xr:uid="{00000000-0005-0000-0000-0000F30E0000}"/>
    <cellStyle name="Normal 10 2 10 2 30 4 9" xfId="3828" xr:uid="{00000000-0005-0000-0000-0000F40E0000}"/>
    <cellStyle name="Normal 10 2 10 2 30 5" xfId="3829" xr:uid="{00000000-0005-0000-0000-0000F50E0000}"/>
    <cellStyle name="Normal 10 2 10 2 30 5 10" xfId="3830" xr:uid="{00000000-0005-0000-0000-0000F60E0000}"/>
    <cellStyle name="Normal 10 2 10 2 30 5 2" xfId="3831" xr:uid="{00000000-0005-0000-0000-0000F70E0000}"/>
    <cellStyle name="Normal 10 2 10 2 30 5 3" xfId="3832" xr:uid="{00000000-0005-0000-0000-0000F80E0000}"/>
    <cellStyle name="Normal 10 2 10 2 30 5 4" xfId="3833" xr:uid="{00000000-0005-0000-0000-0000F90E0000}"/>
    <cellStyle name="Normal 10 2 10 2 30 5 5" xfId="3834" xr:uid="{00000000-0005-0000-0000-0000FA0E0000}"/>
    <cellStyle name="Normal 10 2 10 2 30 5 6" xfId="3835" xr:uid="{00000000-0005-0000-0000-0000FB0E0000}"/>
    <cellStyle name="Normal 10 2 10 2 30 5 7" xfId="3836" xr:uid="{00000000-0005-0000-0000-0000FC0E0000}"/>
    <cellStyle name="Normal 10 2 10 2 30 5 8" xfId="3837" xr:uid="{00000000-0005-0000-0000-0000FD0E0000}"/>
    <cellStyle name="Normal 10 2 10 2 30 5 9" xfId="3838" xr:uid="{00000000-0005-0000-0000-0000FE0E0000}"/>
    <cellStyle name="Normal 10 2 10 2 30 6" xfId="3839" xr:uid="{00000000-0005-0000-0000-0000FF0E0000}"/>
    <cellStyle name="Normal 10 2 10 2 30 7" xfId="3840" xr:uid="{00000000-0005-0000-0000-0000000F0000}"/>
    <cellStyle name="Normal 10 2 10 2 30 8" xfId="3841" xr:uid="{00000000-0005-0000-0000-0000010F0000}"/>
    <cellStyle name="Normal 10 2 10 2 30 9" xfId="3842" xr:uid="{00000000-0005-0000-0000-0000020F0000}"/>
    <cellStyle name="Normal 10 2 10 2 31" xfId="3843" xr:uid="{00000000-0005-0000-0000-0000030F0000}"/>
    <cellStyle name="Normal 10 2 10 2 31 10" xfId="3844" xr:uid="{00000000-0005-0000-0000-0000040F0000}"/>
    <cellStyle name="Normal 10 2 10 2 31 11" xfId="3845" xr:uid="{00000000-0005-0000-0000-0000050F0000}"/>
    <cellStyle name="Normal 10 2 10 2 31 12" xfId="3846" xr:uid="{00000000-0005-0000-0000-0000060F0000}"/>
    <cellStyle name="Normal 10 2 10 2 31 13" xfId="3847" xr:uid="{00000000-0005-0000-0000-0000070F0000}"/>
    <cellStyle name="Normal 10 2 10 2 31 14" xfId="3848" xr:uid="{00000000-0005-0000-0000-0000080F0000}"/>
    <cellStyle name="Normal 10 2 10 2 31 2" xfId="3849" xr:uid="{00000000-0005-0000-0000-0000090F0000}"/>
    <cellStyle name="Normal 10 2 10 2 31 2 10" xfId="3850" xr:uid="{00000000-0005-0000-0000-00000A0F0000}"/>
    <cellStyle name="Normal 10 2 10 2 31 2 2" xfId="3851" xr:uid="{00000000-0005-0000-0000-00000B0F0000}"/>
    <cellStyle name="Normal 10 2 10 2 31 2 3" xfId="3852" xr:uid="{00000000-0005-0000-0000-00000C0F0000}"/>
    <cellStyle name="Normal 10 2 10 2 31 2 4" xfId="3853" xr:uid="{00000000-0005-0000-0000-00000D0F0000}"/>
    <cellStyle name="Normal 10 2 10 2 31 2 5" xfId="3854" xr:uid="{00000000-0005-0000-0000-00000E0F0000}"/>
    <cellStyle name="Normal 10 2 10 2 31 2 6" xfId="3855" xr:uid="{00000000-0005-0000-0000-00000F0F0000}"/>
    <cellStyle name="Normal 10 2 10 2 31 2 7" xfId="3856" xr:uid="{00000000-0005-0000-0000-0000100F0000}"/>
    <cellStyle name="Normal 10 2 10 2 31 2 8" xfId="3857" xr:uid="{00000000-0005-0000-0000-0000110F0000}"/>
    <cellStyle name="Normal 10 2 10 2 31 2 9" xfId="3858" xr:uid="{00000000-0005-0000-0000-0000120F0000}"/>
    <cellStyle name="Normal 10 2 10 2 31 3" xfId="3859" xr:uid="{00000000-0005-0000-0000-0000130F0000}"/>
    <cellStyle name="Normal 10 2 10 2 31 3 10" xfId="3860" xr:uid="{00000000-0005-0000-0000-0000140F0000}"/>
    <cellStyle name="Normal 10 2 10 2 31 3 2" xfId="3861" xr:uid="{00000000-0005-0000-0000-0000150F0000}"/>
    <cellStyle name="Normal 10 2 10 2 31 3 3" xfId="3862" xr:uid="{00000000-0005-0000-0000-0000160F0000}"/>
    <cellStyle name="Normal 10 2 10 2 31 3 4" xfId="3863" xr:uid="{00000000-0005-0000-0000-0000170F0000}"/>
    <cellStyle name="Normal 10 2 10 2 31 3 5" xfId="3864" xr:uid="{00000000-0005-0000-0000-0000180F0000}"/>
    <cellStyle name="Normal 10 2 10 2 31 3 6" xfId="3865" xr:uid="{00000000-0005-0000-0000-0000190F0000}"/>
    <cellStyle name="Normal 10 2 10 2 31 3 7" xfId="3866" xr:uid="{00000000-0005-0000-0000-00001A0F0000}"/>
    <cellStyle name="Normal 10 2 10 2 31 3 8" xfId="3867" xr:uid="{00000000-0005-0000-0000-00001B0F0000}"/>
    <cellStyle name="Normal 10 2 10 2 31 3 9" xfId="3868" xr:uid="{00000000-0005-0000-0000-00001C0F0000}"/>
    <cellStyle name="Normal 10 2 10 2 31 4" xfId="3869" xr:uid="{00000000-0005-0000-0000-00001D0F0000}"/>
    <cellStyle name="Normal 10 2 10 2 31 4 10" xfId="3870" xr:uid="{00000000-0005-0000-0000-00001E0F0000}"/>
    <cellStyle name="Normal 10 2 10 2 31 4 2" xfId="3871" xr:uid="{00000000-0005-0000-0000-00001F0F0000}"/>
    <cellStyle name="Normal 10 2 10 2 31 4 3" xfId="3872" xr:uid="{00000000-0005-0000-0000-0000200F0000}"/>
    <cellStyle name="Normal 10 2 10 2 31 4 4" xfId="3873" xr:uid="{00000000-0005-0000-0000-0000210F0000}"/>
    <cellStyle name="Normal 10 2 10 2 31 4 5" xfId="3874" xr:uid="{00000000-0005-0000-0000-0000220F0000}"/>
    <cellStyle name="Normal 10 2 10 2 31 4 6" xfId="3875" xr:uid="{00000000-0005-0000-0000-0000230F0000}"/>
    <cellStyle name="Normal 10 2 10 2 31 4 7" xfId="3876" xr:uid="{00000000-0005-0000-0000-0000240F0000}"/>
    <cellStyle name="Normal 10 2 10 2 31 4 8" xfId="3877" xr:uid="{00000000-0005-0000-0000-0000250F0000}"/>
    <cellStyle name="Normal 10 2 10 2 31 4 9" xfId="3878" xr:uid="{00000000-0005-0000-0000-0000260F0000}"/>
    <cellStyle name="Normal 10 2 10 2 31 5" xfId="3879" xr:uid="{00000000-0005-0000-0000-0000270F0000}"/>
    <cellStyle name="Normal 10 2 10 2 31 5 10" xfId="3880" xr:uid="{00000000-0005-0000-0000-0000280F0000}"/>
    <cellStyle name="Normal 10 2 10 2 31 5 2" xfId="3881" xr:uid="{00000000-0005-0000-0000-0000290F0000}"/>
    <cellStyle name="Normal 10 2 10 2 31 5 3" xfId="3882" xr:uid="{00000000-0005-0000-0000-00002A0F0000}"/>
    <cellStyle name="Normal 10 2 10 2 31 5 4" xfId="3883" xr:uid="{00000000-0005-0000-0000-00002B0F0000}"/>
    <cellStyle name="Normal 10 2 10 2 31 5 5" xfId="3884" xr:uid="{00000000-0005-0000-0000-00002C0F0000}"/>
    <cellStyle name="Normal 10 2 10 2 31 5 6" xfId="3885" xr:uid="{00000000-0005-0000-0000-00002D0F0000}"/>
    <cellStyle name="Normal 10 2 10 2 31 5 7" xfId="3886" xr:uid="{00000000-0005-0000-0000-00002E0F0000}"/>
    <cellStyle name="Normal 10 2 10 2 31 5 8" xfId="3887" xr:uid="{00000000-0005-0000-0000-00002F0F0000}"/>
    <cellStyle name="Normal 10 2 10 2 31 5 9" xfId="3888" xr:uid="{00000000-0005-0000-0000-0000300F0000}"/>
    <cellStyle name="Normal 10 2 10 2 31 6" xfId="3889" xr:uid="{00000000-0005-0000-0000-0000310F0000}"/>
    <cellStyle name="Normal 10 2 10 2 31 7" xfId="3890" xr:uid="{00000000-0005-0000-0000-0000320F0000}"/>
    <cellStyle name="Normal 10 2 10 2 31 8" xfId="3891" xr:uid="{00000000-0005-0000-0000-0000330F0000}"/>
    <cellStyle name="Normal 10 2 10 2 31 9" xfId="3892" xr:uid="{00000000-0005-0000-0000-0000340F0000}"/>
    <cellStyle name="Normal 10 2 10 2 32" xfId="3893" xr:uid="{00000000-0005-0000-0000-0000350F0000}"/>
    <cellStyle name="Normal 10 2 10 2 32 10" xfId="3894" xr:uid="{00000000-0005-0000-0000-0000360F0000}"/>
    <cellStyle name="Normal 10 2 10 2 32 11" xfId="3895" xr:uid="{00000000-0005-0000-0000-0000370F0000}"/>
    <cellStyle name="Normal 10 2 10 2 32 12" xfId="3896" xr:uid="{00000000-0005-0000-0000-0000380F0000}"/>
    <cellStyle name="Normal 10 2 10 2 32 13" xfId="3897" xr:uid="{00000000-0005-0000-0000-0000390F0000}"/>
    <cellStyle name="Normal 10 2 10 2 32 14" xfId="3898" xr:uid="{00000000-0005-0000-0000-00003A0F0000}"/>
    <cellStyle name="Normal 10 2 10 2 32 2" xfId="3899" xr:uid="{00000000-0005-0000-0000-00003B0F0000}"/>
    <cellStyle name="Normal 10 2 10 2 32 2 10" xfId="3900" xr:uid="{00000000-0005-0000-0000-00003C0F0000}"/>
    <cellStyle name="Normal 10 2 10 2 32 2 2" xfId="3901" xr:uid="{00000000-0005-0000-0000-00003D0F0000}"/>
    <cellStyle name="Normal 10 2 10 2 32 2 3" xfId="3902" xr:uid="{00000000-0005-0000-0000-00003E0F0000}"/>
    <cellStyle name="Normal 10 2 10 2 32 2 4" xfId="3903" xr:uid="{00000000-0005-0000-0000-00003F0F0000}"/>
    <cellStyle name="Normal 10 2 10 2 32 2 5" xfId="3904" xr:uid="{00000000-0005-0000-0000-0000400F0000}"/>
    <cellStyle name="Normal 10 2 10 2 32 2 6" xfId="3905" xr:uid="{00000000-0005-0000-0000-0000410F0000}"/>
    <cellStyle name="Normal 10 2 10 2 32 2 7" xfId="3906" xr:uid="{00000000-0005-0000-0000-0000420F0000}"/>
    <cellStyle name="Normal 10 2 10 2 32 2 8" xfId="3907" xr:uid="{00000000-0005-0000-0000-0000430F0000}"/>
    <cellStyle name="Normal 10 2 10 2 32 2 9" xfId="3908" xr:uid="{00000000-0005-0000-0000-0000440F0000}"/>
    <cellStyle name="Normal 10 2 10 2 32 3" xfId="3909" xr:uid="{00000000-0005-0000-0000-0000450F0000}"/>
    <cellStyle name="Normal 10 2 10 2 32 3 10" xfId="3910" xr:uid="{00000000-0005-0000-0000-0000460F0000}"/>
    <cellStyle name="Normal 10 2 10 2 32 3 2" xfId="3911" xr:uid="{00000000-0005-0000-0000-0000470F0000}"/>
    <cellStyle name="Normal 10 2 10 2 32 3 3" xfId="3912" xr:uid="{00000000-0005-0000-0000-0000480F0000}"/>
    <cellStyle name="Normal 10 2 10 2 32 3 4" xfId="3913" xr:uid="{00000000-0005-0000-0000-0000490F0000}"/>
    <cellStyle name="Normal 10 2 10 2 32 3 5" xfId="3914" xr:uid="{00000000-0005-0000-0000-00004A0F0000}"/>
    <cellStyle name="Normal 10 2 10 2 32 3 6" xfId="3915" xr:uid="{00000000-0005-0000-0000-00004B0F0000}"/>
    <cellStyle name="Normal 10 2 10 2 32 3 7" xfId="3916" xr:uid="{00000000-0005-0000-0000-00004C0F0000}"/>
    <cellStyle name="Normal 10 2 10 2 32 3 8" xfId="3917" xr:uid="{00000000-0005-0000-0000-00004D0F0000}"/>
    <cellStyle name="Normal 10 2 10 2 32 3 9" xfId="3918" xr:uid="{00000000-0005-0000-0000-00004E0F0000}"/>
    <cellStyle name="Normal 10 2 10 2 32 4" xfId="3919" xr:uid="{00000000-0005-0000-0000-00004F0F0000}"/>
    <cellStyle name="Normal 10 2 10 2 32 4 10" xfId="3920" xr:uid="{00000000-0005-0000-0000-0000500F0000}"/>
    <cellStyle name="Normal 10 2 10 2 32 4 2" xfId="3921" xr:uid="{00000000-0005-0000-0000-0000510F0000}"/>
    <cellStyle name="Normal 10 2 10 2 32 4 3" xfId="3922" xr:uid="{00000000-0005-0000-0000-0000520F0000}"/>
    <cellStyle name="Normal 10 2 10 2 32 4 4" xfId="3923" xr:uid="{00000000-0005-0000-0000-0000530F0000}"/>
    <cellStyle name="Normal 10 2 10 2 32 4 5" xfId="3924" xr:uid="{00000000-0005-0000-0000-0000540F0000}"/>
    <cellStyle name="Normal 10 2 10 2 32 4 6" xfId="3925" xr:uid="{00000000-0005-0000-0000-0000550F0000}"/>
    <cellStyle name="Normal 10 2 10 2 32 4 7" xfId="3926" xr:uid="{00000000-0005-0000-0000-0000560F0000}"/>
    <cellStyle name="Normal 10 2 10 2 32 4 8" xfId="3927" xr:uid="{00000000-0005-0000-0000-0000570F0000}"/>
    <cellStyle name="Normal 10 2 10 2 32 4 9" xfId="3928" xr:uid="{00000000-0005-0000-0000-0000580F0000}"/>
    <cellStyle name="Normal 10 2 10 2 32 5" xfId="3929" xr:uid="{00000000-0005-0000-0000-0000590F0000}"/>
    <cellStyle name="Normal 10 2 10 2 32 5 10" xfId="3930" xr:uid="{00000000-0005-0000-0000-00005A0F0000}"/>
    <cellStyle name="Normal 10 2 10 2 32 5 2" xfId="3931" xr:uid="{00000000-0005-0000-0000-00005B0F0000}"/>
    <cellStyle name="Normal 10 2 10 2 32 5 3" xfId="3932" xr:uid="{00000000-0005-0000-0000-00005C0F0000}"/>
    <cellStyle name="Normal 10 2 10 2 32 5 4" xfId="3933" xr:uid="{00000000-0005-0000-0000-00005D0F0000}"/>
    <cellStyle name="Normal 10 2 10 2 32 5 5" xfId="3934" xr:uid="{00000000-0005-0000-0000-00005E0F0000}"/>
    <cellStyle name="Normal 10 2 10 2 32 5 6" xfId="3935" xr:uid="{00000000-0005-0000-0000-00005F0F0000}"/>
    <cellStyle name="Normal 10 2 10 2 32 5 7" xfId="3936" xr:uid="{00000000-0005-0000-0000-0000600F0000}"/>
    <cellStyle name="Normal 10 2 10 2 32 5 8" xfId="3937" xr:uid="{00000000-0005-0000-0000-0000610F0000}"/>
    <cellStyle name="Normal 10 2 10 2 32 5 9" xfId="3938" xr:uid="{00000000-0005-0000-0000-0000620F0000}"/>
    <cellStyle name="Normal 10 2 10 2 32 6" xfId="3939" xr:uid="{00000000-0005-0000-0000-0000630F0000}"/>
    <cellStyle name="Normal 10 2 10 2 32 7" xfId="3940" xr:uid="{00000000-0005-0000-0000-0000640F0000}"/>
    <cellStyle name="Normal 10 2 10 2 32 8" xfId="3941" xr:uid="{00000000-0005-0000-0000-0000650F0000}"/>
    <cellStyle name="Normal 10 2 10 2 32 9" xfId="3942" xr:uid="{00000000-0005-0000-0000-0000660F0000}"/>
    <cellStyle name="Normal 10 2 10 2 33" xfId="3943" xr:uid="{00000000-0005-0000-0000-0000670F0000}"/>
    <cellStyle name="Normal 10 2 10 2 33 10" xfId="3944" xr:uid="{00000000-0005-0000-0000-0000680F0000}"/>
    <cellStyle name="Normal 10 2 10 2 33 11" xfId="3945" xr:uid="{00000000-0005-0000-0000-0000690F0000}"/>
    <cellStyle name="Normal 10 2 10 2 33 12" xfId="3946" xr:uid="{00000000-0005-0000-0000-00006A0F0000}"/>
    <cellStyle name="Normal 10 2 10 2 33 13" xfId="3947" xr:uid="{00000000-0005-0000-0000-00006B0F0000}"/>
    <cellStyle name="Normal 10 2 10 2 33 14" xfId="3948" xr:uid="{00000000-0005-0000-0000-00006C0F0000}"/>
    <cellStyle name="Normal 10 2 10 2 33 2" xfId="3949" xr:uid="{00000000-0005-0000-0000-00006D0F0000}"/>
    <cellStyle name="Normal 10 2 10 2 33 2 10" xfId="3950" xr:uid="{00000000-0005-0000-0000-00006E0F0000}"/>
    <cellStyle name="Normal 10 2 10 2 33 2 2" xfId="3951" xr:uid="{00000000-0005-0000-0000-00006F0F0000}"/>
    <cellStyle name="Normal 10 2 10 2 33 2 3" xfId="3952" xr:uid="{00000000-0005-0000-0000-0000700F0000}"/>
    <cellStyle name="Normal 10 2 10 2 33 2 4" xfId="3953" xr:uid="{00000000-0005-0000-0000-0000710F0000}"/>
    <cellStyle name="Normal 10 2 10 2 33 2 5" xfId="3954" xr:uid="{00000000-0005-0000-0000-0000720F0000}"/>
    <cellStyle name="Normal 10 2 10 2 33 2 6" xfId="3955" xr:uid="{00000000-0005-0000-0000-0000730F0000}"/>
    <cellStyle name="Normal 10 2 10 2 33 2 7" xfId="3956" xr:uid="{00000000-0005-0000-0000-0000740F0000}"/>
    <cellStyle name="Normal 10 2 10 2 33 2 8" xfId="3957" xr:uid="{00000000-0005-0000-0000-0000750F0000}"/>
    <cellStyle name="Normal 10 2 10 2 33 2 9" xfId="3958" xr:uid="{00000000-0005-0000-0000-0000760F0000}"/>
    <cellStyle name="Normal 10 2 10 2 33 3" xfId="3959" xr:uid="{00000000-0005-0000-0000-0000770F0000}"/>
    <cellStyle name="Normal 10 2 10 2 33 3 10" xfId="3960" xr:uid="{00000000-0005-0000-0000-0000780F0000}"/>
    <cellStyle name="Normal 10 2 10 2 33 3 2" xfId="3961" xr:uid="{00000000-0005-0000-0000-0000790F0000}"/>
    <cellStyle name="Normal 10 2 10 2 33 3 3" xfId="3962" xr:uid="{00000000-0005-0000-0000-00007A0F0000}"/>
    <cellStyle name="Normal 10 2 10 2 33 3 4" xfId="3963" xr:uid="{00000000-0005-0000-0000-00007B0F0000}"/>
    <cellStyle name="Normal 10 2 10 2 33 3 5" xfId="3964" xr:uid="{00000000-0005-0000-0000-00007C0F0000}"/>
    <cellStyle name="Normal 10 2 10 2 33 3 6" xfId="3965" xr:uid="{00000000-0005-0000-0000-00007D0F0000}"/>
    <cellStyle name="Normal 10 2 10 2 33 3 7" xfId="3966" xr:uid="{00000000-0005-0000-0000-00007E0F0000}"/>
    <cellStyle name="Normal 10 2 10 2 33 3 8" xfId="3967" xr:uid="{00000000-0005-0000-0000-00007F0F0000}"/>
    <cellStyle name="Normal 10 2 10 2 33 3 9" xfId="3968" xr:uid="{00000000-0005-0000-0000-0000800F0000}"/>
    <cellStyle name="Normal 10 2 10 2 33 4" xfId="3969" xr:uid="{00000000-0005-0000-0000-0000810F0000}"/>
    <cellStyle name="Normal 10 2 10 2 33 4 10" xfId="3970" xr:uid="{00000000-0005-0000-0000-0000820F0000}"/>
    <cellStyle name="Normal 10 2 10 2 33 4 2" xfId="3971" xr:uid="{00000000-0005-0000-0000-0000830F0000}"/>
    <cellStyle name="Normal 10 2 10 2 33 4 3" xfId="3972" xr:uid="{00000000-0005-0000-0000-0000840F0000}"/>
    <cellStyle name="Normal 10 2 10 2 33 4 4" xfId="3973" xr:uid="{00000000-0005-0000-0000-0000850F0000}"/>
    <cellStyle name="Normal 10 2 10 2 33 4 5" xfId="3974" xr:uid="{00000000-0005-0000-0000-0000860F0000}"/>
    <cellStyle name="Normal 10 2 10 2 33 4 6" xfId="3975" xr:uid="{00000000-0005-0000-0000-0000870F0000}"/>
    <cellStyle name="Normal 10 2 10 2 33 4 7" xfId="3976" xr:uid="{00000000-0005-0000-0000-0000880F0000}"/>
    <cellStyle name="Normal 10 2 10 2 33 4 8" xfId="3977" xr:uid="{00000000-0005-0000-0000-0000890F0000}"/>
    <cellStyle name="Normal 10 2 10 2 33 4 9" xfId="3978" xr:uid="{00000000-0005-0000-0000-00008A0F0000}"/>
    <cellStyle name="Normal 10 2 10 2 33 5" xfId="3979" xr:uid="{00000000-0005-0000-0000-00008B0F0000}"/>
    <cellStyle name="Normal 10 2 10 2 33 5 10" xfId="3980" xr:uid="{00000000-0005-0000-0000-00008C0F0000}"/>
    <cellStyle name="Normal 10 2 10 2 33 5 2" xfId="3981" xr:uid="{00000000-0005-0000-0000-00008D0F0000}"/>
    <cellStyle name="Normal 10 2 10 2 33 5 3" xfId="3982" xr:uid="{00000000-0005-0000-0000-00008E0F0000}"/>
    <cellStyle name="Normal 10 2 10 2 33 5 4" xfId="3983" xr:uid="{00000000-0005-0000-0000-00008F0F0000}"/>
    <cellStyle name="Normal 10 2 10 2 33 5 5" xfId="3984" xr:uid="{00000000-0005-0000-0000-0000900F0000}"/>
    <cellStyle name="Normal 10 2 10 2 33 5 6" xfId="3985" xr:uid="{00000000-0005-0000-0000-0000910F0000}"/>
    <cellStyle name="Normal 10 2 10 2 33 5 7" xfId="3986" xr:uid="{00000000-0005-0000-0000-0000920F0000}"/>
    <cellStyle name="Normal 10 2 10 2 33 5 8" xfId="3987" xr:uid="{00000000-0005-0000-0000-0000930F0000}"/>
    <cellStyle name="Normal 10 2 10 2 33 5 9" xfId="3988" xr:uid="{00000000-0005-0000-0000-0000940F0000}"/>
    <cellStyle name="Normal 10 2 10 2 33 6" xfId="3989" xr:uid="{00000000-0005-0000-0000-0000950F0000}"/>
    <cellStyle name="Normal 10 2 10 2 33 7" xfId="3990" xr:uid="{00000000-0005-0000-0000-0000960F0000}"/>
    <cellStyle name="Normal 10 2 10 2 33 8" xfId="3991" xr:uid="{00000000-0005-0000-0000-0000970F0000}"/>
    <cellStyle name="Normal 10 2 10 2 33 9" xfId="3992" xr:uid="{00000000-0005-0000-0000-0000980F0000}"/>
    <cellStyle name="Normal 10 2 10 2 34" xfId="3993" xr:uid="{00000000-0005-0000-0000-0000990F0000}"/>
    <cellStyle name="Normal 10 2 10 2 34 10" xfId="3994" xr:uid="{00000000-0005-0000-0000-00009A0F0000}"/>
    <cellStyle name="Normal 10 2 10 2 34 2" xfId="3995" xr:uid="{00000000-0005-0000-0000-00009B0F0000}"/>
    <cellStyle name="Normal 10 2 10 2 34 3" xfId="3996" xr:uid="{00000000-0005-0000-0000-00009C0F0000}"/>
    <cellStyle name="Normal 10 2 10 2 34 4" xfId="3997" xr:uid="{00000000-0005-0000-0000-00009D0F0000}"/>
    <cellStyle name="Normal 10 2 10 2 34 5" xfId="3998" xr:uid="{00000000-0005-0000-0000-00009E0F0000}"/>
    <cellStyle name="Normal 10 2 10 2 34 6" xfId="3999" xr:uid="{00000000-0005-0000-0000-00009F0F0000}"/>
    <cellStyle name="Normal 10 2 10 2 34 7" xfId="4000" xr:uid="{00000000-0005-0000-0000-0000A00F0000}"/>
    <cellStyle name="Normal 10 2 10 2 34 8" xfId="4001" xr:uid="{00000000-0005-0000-0000-0000A10F0000}"/>
    <cellStyle name="Normal 10 2 10 2 34 9" xfId="4002" xr:uid="{00000000-0005-0000-0000-0000A20F0000}"/>
    <cellStyle name="Normal 10 2 10 2 35" xfId="4003" xr:uid="{00000000-0005-0000-0000-0000A30F0000}"/>
    <cellStyle name="Normal 10 2 10 2 35 10" xfId="4004" xr:uid="{00000000-0005-0000-0000-0000A40F0000}"/>
    <cellStyle name="Normal 10 2 10 2 35 2" xfId="4005" xr:uid="{00000000-0005-0000-0000-0000A50F0000}"/>
    <cellStyle name="Normal 10 2 10 2 35 3" xfId="4006" xr:uid="{00000000-0005-0000-0000-0000A60F0000}"/>
    <cellStyle name="Normal 10 2 10 2 35 4" xfId="4007" xr:uid="{00000000-0005-0000-0000-0000A70F0000}"/>
    <cellStyle name="Normal 10 2 10 2 35 5" xfId="4008" xr:uid="{00000000-0005-0000-0000-0000A80F0000}"/>
    <cellStyle name="Normal 10 2 10 2 35 6" xfId="4009" xr:uid="{00000000-0005-0000-0000-0000A90F0000}"/>
    <cellStyle name="Normal 10 2 10 2 35 7" xfId="4010" xr:uid="{00000000-0005-0000-0000-0000AA0F0000}"/>
    <cellStyle name="Normal 10 2 10 2 35 8" xfId="4011" xr:uid="{00000000-0005-0000-0000-0000AB0F0000}"/>
    <cellStyle name="Normal 10 2 10 2 35 9" xfId="4012" xr:uid="{00000000-0005-0000-0000-0000AC0F0000}"/>
    <cellStyle name="Normal 10 2 10 2 36" xfId="4013" xr:uid="{00000000-0005-0000-0000-0000AD0F0000}"/>
    <cellStyle name="Normal 10 2 10 2 36 10" xfId="4014" xr:uid="{00000000-0005-0000-0000-0000AE0F0000}"/>
    <cellStyle name="Normal 10 2 10 2 36 2" xfId="4015" xr:uid="{00000000-0005-0000-0000-0000AF0F0000}"/>
    <cellStyle name="Normal 10 2 10 2 36 3" xfId="4016" xr:uid="{00000000-0005-0000-0000-0000B00F0000}"/>
    <cellStyle name="Normal 10 2 10 2 36 4" xfId="4017" xr:uid="{00000000-0005-0000-0000-0000B10F0000}"/>
    <cellStyle name="Normal 10 2 10 2 36 5" xfId="4018" xr:uid="{00000000-0005-0000-0000-0000B20F0000}"/>
    <cellStyle name="Normal 10 2 10 2 36 6" xfId="4019" xr:uid="{00000000-0005-0000-0000-0000B30F0000}"/>
    <cellStyle name="Normal 10 2 10 2 36 7" xfId="4020" xr:uid="{00000000-0005-0000-0000-0000B40F0000}"/>
    <cellStyle name="Normal 10 2 10 2 36 8" xfId="4021" xr:uid="{00000000-0005-0000-0000-0000B50F0000}"/>
    <cellStyle name="Normal 10 2 10 2 36 9" xfId="4022" xr:uid="{00000000-0005-0000-0000-0000B60F0000}"/>
    <cellStyle name="Normal 10 2 10 2 37" xfId="4023" xr:uid="{00000000-0005-0000-0000-0000B70F0000}"/>
    <cellStyle name="Normal 10 2 10 2 37 10" xfId="4024" xr:uid="{00000000-0005-0000-0000-0000B80F0000}"/>
    <cellStyle name="Normal 10 2 10 2 37 2" xfId="4025" xr:uid="{00000000-0005-0000-0000-0000B90F0000}"/>
    <cellStyle name="Normal 10 2 10 2 37 3" xfId="4026" xr:uid="{00000000-0005-0000-0000-0000BA0F0000}"/>
    <cellStyle name="Normal 10 2 10 2 37 4" xfId="4027" xr:uid="{00000000-0005-0000-0000-0000BB0F0000}"/>
    <cellStyle name="Normal 10 2 10 2 37 5" xfId="4028" xr:uid="{00000000-0005-0000-0000-0000BC0F0000}"/>
    <cellStyle name="Normal 10 2 10 2 37 6" xfId="4029" xr:uid="{00000000-0005-0000-0000-0000BD0F0000}"/>
    <cellStyle name="Normal 10 2 10 2 37 7" xfId="4030" xr:uid="{00000000-0005-0000-0000-0000BE0F0000}"/>
    <cellStyle name="Normal 10 2 10 2 37 8" xfId="4031" xr:uid="{00000000-0005-0000-0000-0000BF0F0000}"/>
    <cellStyle name="Normal 10 2 10 2 37 9" xfId="4032" xr:uid="{00000000-0005-0000-0000-0000C00F0000}"/>
    <cellStyle name="Normal 10 2 10 2 38" xfId="4033" xr:uid="{00000000-0005-0000-0000-0000C10F0000}"/>
    <cellStyle name="Normal 10 2 10 2 39" xfId="4034" xr:uid="{00000000-0005-0000-0000-0000C20F0000}"/>
    <cellStyle name="Normal 10 2 10 2 4" xfId="4035" xr:uid="{00000000-0005-0000-0000-0000C30F0000}"/>
    <cellStyle name="Normal 10 2 10 2 4 10" xfId="4036" xr:uid="{00000000-0005-0000-0000-0000C40F0000}"/>
    <cellStyle name="Normal 10 2 10 2 4 11" xfId="4037" xr:uid="{00000000-0005-0000-0000-0000C50F0000}"/>
    <cellStyle name="Normal 10 2 10 2 4 12" xfId="4038" xr:uid="{00000000-0005-0000-0000-0000C60F0000}"/>
    <cellStyle name="Normal 10 2 10 2 4 13" xfId="4039" xr:uid="{00000000-0005-0000-0000-0000C70F0000}"/>
    <cellStyle name="Normal 10 2 10 2 4 14" xfId="4040" xr:uid="{00000000-0005-0000-0000-0000C80F0000}"/>
    <cellStyle name="Normal 10 2 10 2 4 2" xfId="4041" xr:uid="{00000000-0005-0000-0000-0000C90F0000}"/>
    <cellStyle name="Normal 10 2 10 2 4 2 10" xfId="4042" xr:uid="{00000000-0005-0000-0000-0000CA0F0000}"/>
    <cellStyle name="Normal 10 2 10 2 4 2 2" xfId="4043" xr:uid="{00000000-0005-0000-0000-0000CB0F0000}"/>
    <cellStyle name="Normal 10 2 10 2 4 2 3" xfId="4044" xr:uid="{00000000-0005-0000-0000-0000CC0F0000}"/>
    <cellStyle name="Normal 10 2 10 2 4 2 4" xfId="4045" xr:uid="{00000000-0005-0000-0000-0000CD0F0000}"/>
    <cellStyle name="Normal 10 2 10 2 4 2 5" xfId="4046" xr:uid="{00000000-0005-0000-0000-0000CE0F0000}"/>
    <cellStyle name="Normal 10 2 10 2 4 2 6" xfId="4047" xr:uid="{00000000-0005-0000-0000-0000CF0F0000}"/>
    <cellStyle name="Normal 10 2 10 2 4 2 7" xfId="4048" xr:uid="{00000000-0005-0000-0000-0000D00F0000}"/>
    <cellStyle name="Normal 10 2 10 2 4 2 8" xfId="4049" xr:uid="{00000000-0005-0000-0000-0000D10F0000}"/>
    <cellStyle name="Normal 10 2 10 2 4 2 9" xfId="4050" xr:uid="{00000000-0005-0000-0000-0000D20F0000}"/>
    <cellStyle name="Normal 10 2 10 2 4 3" xfId="4051" xr:uid="{00000000-0005-0000-0000-0000D30F0000}"/>
    <cellStyle name="Normal 10 2 10 2 4 3 10" xfId="4052" xr:uid="{00000000-0005-0000-0000-0000D40F0000}"/>
    <cellStyle name="Normal 10 2 10 2 4 3 2" xfId="4053" xr:uid="{00000000-0005-0000-0000-0000D50F0000}"/>
    <cellStyle name="Normal 10 2 10 2 4 3 3" xfId="4054" xr:uid="{00000000-0005-0000-0000-0000D60F0000}"/>
    <cellStyle name="Normal 10 2 10 2 4 3 4" xfId="4055" xr:uid="{00000000-0005-0000-0000-0000D70F0000}"/>
    <cellStyle name="Normal 10 2 10 2 4 3 5" xfId="4056" xr:uid="{00000000-0005-0000-0000-0000D80F0000}"/>
    <cellStyle name="Normal 10 2 10 2 4 3 6" xfId="4057" xr:uid="{00000000-0005-0000-0000-0000D90F0000}"/>
    <cellStyle name="Normal 10 2 10 2 4 3 7" xfId="4058" xr:uid="{00000000-0005-0000-0000-0000DA0F0000}"/>
    <cellStyle name="Normal 10 2 10 2 4 3 8" xfId="4059" xr:uid="{00000000-0005-0000-0000-0000DB0F0000}"/>
    <cellStyle name="Normal 10 2 10 2 4 3 9" xfId="4060" xr:uid="{00000000-0005-0000-0000-0000DC0F0000}"/>
    <cellStyle name="Normal 10 2 10 2 4 4" xfId="4061" xr:uid="{00000000-0005-0000-0000-0000DD0F0000}"/>
    <cellStyle name="Normal 10 2 10 2 4 4 10" xfId="4062" xr:uid="{00000000-0005-0000-0000-0000DE0F0000}"/>
    <cellStyle name="Normal 10 2 10 2 4 4 2" xfId="4063" xr:uid="{00000000-0005-0000-0000-0000DF0F0000}"/>
    <cellStyle name="Normal 10 2 10 2 4 4 3" xfId="4064" xr:uid="{00000000-0005-0000-0000-0000E00F0000}"/>
    <cellStyle name="Normal 10 2 10 2 4 4 4" xfId="4065" xr:uid="{00000000-0005-0000-0000-0000E10F0000}"/>
    <cellStyle name="Normal 10 2 10 2 4 4 5" xfId="4066" xr:uid="{00000000-0005-0000-0000-0000E20F0000}"/>
    <cellStyle name="Normal 10 2 10 2 4 4 6" xfId="4067" xr:uid="{00000000-0005-0000-0000-0000E30F0000}"/>
    <cellStyle name="Normal 10 2 10 2 4 4 7" xfId="4068" xr:uid="{00000000-0005-0000-0000-0000E40F0000}"/>
    <cellStyle name="Normal 10 2 10 2 4 4 8" xfId="4069" xr:uid="{00000000-0005-0000-0000-0000E50F0000}"/>
    <cellStyle name="Normal 10 2 10 2 4 4 9" xfId="4070" xr:uid="{00000000-0005-0000-0000-0000E60F0000}"/>
    <cellStyle name="Normal 10 2 10 2 4 5" xfId="4071" xr:uid="{00000000-0005-0000-0000-0000E70F0000}"/>
    <cellStyle name="Normal 10 2 10 2 4 5 10" xfId="4072" xr:uid="{00000000-0005-0000-0000-0000E80F0000}"/>
    <cellStyle name="Normal 10 2 10 2 4 5 2" xfId="4073" xr:uid="{00000000-0005-0000-0000-0000E90F0000}"/>
    <cellStyle name="Normal 10 2 10 2 4 5 3" xfId="4074" xr:uid="{00000000-0005-0000-0000-0000EA0F0000}"/>
    <cellStyle name="Normal 10 2 10 2 4 5 4" xfId="4075" xr:uid="{00000000-0005-0000-0000-0000EB0F0000}"/>
    <cellStyle name="Normal 10 2 10 2 4 5 5" xfId="4076" xr:uid="{00000000-0005-0000-0000-0000EC0F0000}"/>
    <cellStyle name="Normal 10 2 10 2 4 5 6" xfId="4077" xr:uid="{00000000-0005-0000-0000-0000ED0F0000}"/>
    <cellStyle name="Normal 10 2 10 2 4 5 7" xfId="4078" xr:uid="{00000000-0005-0000-0000-0000EE0F0000}"/>
    <cellStyle name="Normal 10 2 10 2 4 5 8" xfId="4079" xr:uid="{00000000-0005-0000-0000-0000EF0F0000}"/>
    <cellStyle name="Normal 10 2 10 2 4 5 9" xfId="4080" xr:uid="{00000000-0005-0000-0000-0000F00F0000}"/>
    <cellStyle name="Normal 10 2 10 2 4 6" xfId="4081" xr:uid="{00000000-0005-0000-0000-0000F10F0000}"/>
    <cellStyle name="Normal 10 2 10 2 4 7" xfId="4082" xr:uid="{00000000-0005-0000-0000-0000F20F0000}"/>
    <cellStyle name="Normal 10 2 10 2 4 8" xfId="4083" xr:uid="{00000000-0005-0000-0000-0000F30F0000}"/>
    <cellStyle name="Normal 10 2 10 2 4 9" xfId="4084" xr:uid="{00000000-0005-0000-0000-0000F40F0000}"/>
    <cellStyle name="Normal 10 2 10 2 40" xfId="4085" xr:uid="{00000000-0005-0000-0000-0000F50F0000}"/>
    <cellStyle name="Normal 10 2 10 2 41" xfId="4086" xr:uid="{00000000-0005-0000-0000-0000F60F0000}"/>
    <cellStyle name="Normal 10 2 10 2 42" xfId="4087" xr:uid="{00000000-0005-0000-0000-0000F70F0000}"/>
    <cellStyle name="Normal 10 2 10 2 43" xfId="4088" xr:uid="{00000000-0005-0000-0000-0000F80F0000}"/>
    <cellStyle name="Normal 10 2 10 2 44" xfId="4089" xr:uid="{00000000-0005-0000-0000-0000F90F0000}"/>
    <cellStyle name="Normal 10 2 10 2 45" xfId="4090" xr:uid="{00000000-0005-0000-0000-0000FA0F0000}"/>
    <cellStyle name="Normal 10 2 10 2 46" xfId="4091" xr:uid="{00000000-0005-0000-0000-0000FB0F0000}"/>
    <cellStyle name="Normal 10 2 10 2 47" xfId="4092" xr:uid="{00000000-0005-0000-0000-0000FC0F0000}"/>
    <cellStyle name="Normal 10 2 10 2 48" xfId="4093" xr:uid="{00000000-0005-0000-0000-0000FD0F0000}"/>
    <cellStyle name="Normal 10 2 10 2 5" xfId="4094" xr:uid="{00000000-0005-0000-0000-0000FE0F0000}"/>
    <cellStyle name="Normal 10 2 10 2 5 10" xfId="4095" xr:uid="{00000000-0005-0000-0000-0000FF0F0000}"/>
    <cellStyle name="Normal 10 2 10 2 5 11" xfId="4096" xr:uid="{00000000-0005-0000-0000-000000100000}"/>
    <cellStyle name="Normal 10 2 10 2 5 12" xfId="4097" xr:uid="{00000000-0005-0000-0000-000001100000}"/>
    <cellStyle name="Normal 10 2 10 2 5 13" xfId="4098" xr:uid="{00000000-0005-0000-0000-000002100000}"/>
    <cellStyle name="Normal 10 2 10 2 5 14" xfId="4099" xr:uid="{00000000-0005-0000-0000-000003100000}"/>
    <cellStyle name="Normal 10 2 10 2 5 2" xfId="4100" xr:uid="{00000000-0005-0000-0000-000004100000}"/>
    <cellStyle name="Normal 10 2 10 2 5 2 10" xfId="4101" xr:uid="{00000000-0005-0000-0000-000005100000}"/>
    <cellStyle name="Normal 10 2 10 2 5 2 2" xfId="4102" xr:uid="{00000000-0005-0000-0000-000006100000}"/>
    <cellStyle name="Normal 10 2 10 2 5 2 3" xfId="4103" xr:uid="{00000000-0005-0000-0000-000007100000}"/>
    <cellStyle name="Normal 10 2 10 2 5 2 4" xfId="4104" xr:uid="{00000000-0005-0000-0000-000008100000}"/>
    <cellStyle name="Normal 10 2 10 2 5 2 5" xfId="4105" xr:uid="{00000000-0005-0000-0000-000009100000}"/>
    <cellStyle name="Normal 10 2 10 2 5 2 6" xfId="4106" xr:uid="{00000000-0005-0000-0000-00000A100000}"/>
    <cellStyle name="Normal 10 2 10 2 5 2 7" xfId="4107" xr:uid="{00000000-0005-0000-0000-00000B100000}"/>
    <cellStyle name="Normal 10 2 10 2 5 2 8" xfId="4108" xr:uid="{00000000-0005-0000-0000-00000C100000}"/>
    <cellStyle name="Normal 10 2 10 2 5 2 9" xfId="4109" xr:uid="{00000000-0005-0000-0000-00000D100000}"/>
    <cellStyle name="Normal 10 2 10 2 5 3" xfId="4110" xr:uid="{00000000-0005-0000-0000-00000E100000}"/>
    <cellStyle name="Normal 10 2 10 2 5 3 10" xfId="4111" xr:uid="{00000000-0005-0000-0000-00000F100000}"/>
    <cellStyle name="Normal 10 2 10 2 5 3 2" xfId="4112" xr:uid="{00000000-0005-0000-0000-000010100000}"/>
    <cellStyle name="Normal 10 2 10 2 5 3 3" xfId="4113" xr:uid="{00000000-0005-0000-0000-000011100000}"/>
    <cellStyle name="Normal 10 2 10 2 5 3 4" xfId="4114" xr:uid="{00000000-0005-0000-0000-000012100000}"/>
    <cellStyle name="Normal 10 2 10 2 5 3 5" xfId="4115" xr:uid="{00000000-0005-0000-0000-000013100000}"/>
    <cellStyle name="Normal 10 2 10 2 5 3 6" xfId="4116" xr:uid="{00000000-0005-0000-0000-000014100000}"/>
    <cellStyle name="Normal 10 2 10 2 5 3 7" xfId="4117" xr:uid="{00000000-0005-0000-0000-000015100000}"/>
    <cellStyle name="Normal 10 2 10 2 5 3 8" xfId="4118" xr:uid="{00000000-0005-0000-0000-000016100000}"/>
    <cellStyle name="Normal 10 2 10 2 5 3 9" xfId="4119" xr:uid="{00000000-0005-0000-0000-000017100000}"/>
    <cellStyle name="Normal 10 2 10 2 5 4" xfId="4120" xr:uid="{00000000-0005-0000-0000-000018100000}"/>
    <cellStyle name="Normal 10 2 10 2 5 4 10" xfId="4121" xr:uid="{00000000-0005-0000-0000-000019100000}"/>
    <cellStyle name="Normal 10 2 10 2 5 4 2" xfId="4122" xr:uid="{00000000-0005-0000-0000-00001A100000}"/>
    <cellStyle name="Normal 10 2 10 2 5 4 3" xfId="4123" xr:uid="{00000000-0005-0000-0000-00001B100000}"/>
    <cellStyle name="Normal 10 2 10 2 5 4 4" xfId="4124" xr:uid="{00000000-0005-0000-0000-00001C100000}"/>
    <cellStyle name="Normal 10 2 10 2 5 4 5" xfId="4125" xr:uid="{00000000-0005-0000-0000-00001D100000}"/>
    <cellStyle name="Normal 10 2 10 2 5 4 6" xfId="4126" xr:uid="{00000000-0005-0000-0000-00001E100000}"/>
    <cellStyle name="Normal 10 2 10 2 5 4 7" xfId="4127" xr:uid="{00000000-0005-0000-0000-00001F100000}"/>
    <cellStyle name="Normal 10 2 10 2 5 4 8" xfId="4128" xr:uid="{00000000-0005-0000-0000-000020100000}"/>
    <cellStyle name="Normal 10 2 10 2 5 4 9" xfId="4129" xr:uid="{00000000-0005-0000-0000-000021100000}"/>
    <cellStyle name="Normal 10 2 10 2 5 5" xfId="4130" xr:uid="{00000000-0005-0000-0000-000022100000}"/>
    <cellStyle name="Normal 10 2 10 2 5 5 10" xfId="4131" xr:uid="{00000000-0005-0000-0000-000023100000}"/>
    <cellStyle name="Normal 10 2 10 2 5 5 2" xfId="4132" xr:uid="{00000000-0005-0000-0000-000024100000}"/>
    <cellStyle name="Normal 10 2 10 2 5 5 3" xfId="4133" xr:uid="{00000000-0005-0000-0000-000025100000}"/>
    <cellStyle name="Normal 10 2 10 2 5 5 4" xfId="4134" xr:uid="{00000000-0005-0000-0000-000026100000}"/>
    <cellStyle name="Normal 10 2 10 2 5 5 5" xfId="4135" xr:uid="{00000000-0005-0000-0000-000027100000}"/>
    <cellStyle name="Normal 10 2 10 2 5 5 6" xfId="4136" xr:uid="{00000000-0005-0000-0000-000028100000}"/>
    <cellStyle name="Normal 10 2 10 2 5 5 7" xfId="4137" xr:uid="{00000000-0005-0000-0000-000029100000}"/>
    <cellStyle name="Normal 10 2 10 2 5 5 8" xfId="4138" xr:uid="{00000000-0005-0000-0000-00002A100000}"/>
    <cellStyle name="Normal 10 2 10 2 5 5 9" xfId="4139" xr:uid="{00000000-0005-0000-0000-00002B100000}"/>
    <cellStyle name="Normal 10 2 10 2 5 6" xfId="4140" xr:uid="{00000000-0005-0000-0000-00002C100000}"/>
    <cellStyle name="Normal 10 2 10 2 5 7" xfId="4141" xr:uid="{00000000-0005-0000-0000-00002D100000}"/>
    <cellStyle name="Normal 10 2 10 2 5 8" xfId="4142" xr:uid="{00000000-0005-0000-0000-00002E100000}"/>
    <cellStyle name="Normal 10 2 10 2 5 9" xfId="4143" xr:uid="{00000000-0005-0000-0000-00002F100000}"/>
    <cellStyle name="Normal 10 2 10 2 6" xfId="4144" xr:uid="{00000000-0005-0000-0000-000030100000}"/>
    <cellStyle name="Normal 10 2 10 2 6 10" xfId="4145" xr:uid="{00000000-0005-0000-0000-000031100000}"/>
    <cellStyle name="Normal 10 2 10 2 6 11" xfId="4146" xr:uid="{00000000-0005-0000-0000-000032100000}"/>
    <cellStyle name="Normal 10 2 10 2 6 12" xfId="4147" xr:uid="{00000000-0005-0000-0000-000033100000}"/>
    <cellStyle name="Normal 10 2 10 2 6 13" xfId="4148" xr:uid="{00000000-0005-0000-0000-000034100000}"/>
    <cellStyle name="Normal 10 2 10 2 6 14" xfId="4149" xr:uid="{00000000-0005-0000-0000-000035100000}"/>
    <cellStyle name="Normal 10 2 10 2 6 2" xfId="4150" xr:uid="{00000000-0005-0000-0000-000036100000}"/>
    <cellStyle name="Normal 10 2 10 2 6 2 10" xfId="4151" xr:uid="{00000000-0005-0000-0000-000037100000}"/>
    <cellStyle name="Normal 10 2 10 2 6 2 2" xfId="4152" xr:uid="{00000000-0005-0000-0000-000038100000}"/>
    <cellStyle name="Normal 10 2 10 2 6 2 3" xfId="4153" xr:uid="{00000000-0005-0000-0000-000039100000}"/>
    <cellStyle name="Normal 10 2 10 2 6 2 4" xfId="4154" xr:uid="{00000000-0005-0000-0000-00003A100000}"/>
    <cellStyle name="Normal 10 2 10 2 6 2 5" xfId="4155" xr:uid="{00000000-0005-0000-0000-00003B100000}"/>
    <cellStyle name="Normal 10 2 10 2 6 2 6" xfId="4156" xr:uid="{00000000-0005-0000-0000-00003C100000}"/>
    <cellStyle name="Normal 10 2 10 2 6 2 7" xfId="4157" xr:uid="{00000000-0005-0000-0000-00003D100000}"/>
    <cellStyle name="Normal 10 2 10 2 6 2 8" xfId="4158" xr:uid="{00000000-0005-0000-0000-00003E100000}"/>
    <cellStyle name="Normal 10 2 10 2 6 2 9" xfId="4159" xr:uid="{00000000-0005-0000-0000-00003F100000}"/>
    <cellStyle name="Normal 10 2 10 2 6 3" xfId="4160" xr:uid="{00000000-0005-0000-0000-000040100000}"/>
    <cellStyle name="Normal 10 2 10 2 6 3 10" xfId="4161" xr:uid="{00000000-0005-0000-0000-000041100000}"/>
    <cellStyle name="Normal 10 2 10 2 6 3 2" xfId="4162" xr:uid="{00000000-0005-0000-0000-000042100000}"/>
    <cellStyle name="Normal 10 2 10 2 6 3 3" xfId="4163" xr:uid="{00000000-0005-0000-0000-000043100000}"/>
    <cellStyle name="Normal 10 2 10 2 6 3 4" xfId="4164" xr:uid="{00000000-0005-0000-0000-000044100000}"/>
    <cellStyle name="Normal 10 2 10 2 6 3 5" xfId="4165" xr:uid="{00000000-0005-0000-0000-000045100000}"/>
    <cellStyle name="Normal 10 2 10 2 6 3 6" xfId="4166" xr:uid="{00000000-0005-0000-0000-000046100000}"/>
    <cellStyle name="Normal 10 2 10 2 6 3 7" xfId="4167" xr:uid="{00000000-0005-0000-0000-000047100000}"/>
    <cellStyle name="Normal 10 2 10 2 6 3 8" xfId="4168" xr:uid="{00000000-0005-0000-0000-000048100000}"/>
    <cellStyle name="Normal 10 2 10 2 6 3 9" xfId="4169" xr:uid="{00000000-0005-0000-0000-000049100000}"/>
    <cellStyle name="Normal 10 2 10 2 6 4" xfId="4170" xr:uid="{00000000-0005-0000-0000-00004A100000}"/>
    <cellStyle name="Normal 10 2 10 2 6 4 10" xfId="4171" xr:uid="{00000000-0005-0000-0000-00004B100000}"/>
    <cellStyle name="Normal 10 2 10 2 6 4 2" xfId="4172" xr:uid="{00000000-0005-0000-0000-00004C100000}"/>
    <cellStyle name="Normal 10 2 10 2 6 4 3" xfId="4173" xr:uid="{00000000-0005-0000-0000-00004D100000}"/>
    <cellStyle name="Normal 10 2 10 2 6 4 4" xfId="4174" xr:uid="{00000000-0005-0000-0000-00004E100000}"/>
    <cellStyle name="Normal 10 2 10 2 6 4 5" xfId="4175" xr:uid="{00000000-0005-0000-0000-00004F100000}"/>
    <cellStyle name="Normal 10 2 10 2 6 4 6" xfId="4176" xr:uid="{00000000-0005-0000-0000-000050100000}"/>
    <cellStyle name="Normal 10 2 10 2 6 4 7" xfId="4177" xr:uid="{00000000-0005-0000-0000-000051100000}"/>
    <cellStyle name="Normal 10 2 10 2 6 4 8" xfId="4178" xr:uid="{00000000-0005-0000-0000-000052100000}"/>
    <cellStyle name="Normal 10 2 10 2 6 4 9" xfId="4179" xr:uid="{00000000-0005-0000-0000-000053100000}"/>
    <cellStyle name="Normal 10 2 10 2 6 5" xfId="4180" xr:uid="{00000000-0005-0000-0000-000054100000}"/>
    <cellStyle name="Normal 10 2 10 2 6 5 10" xfId="4181" xr:uid="{00000000-0005-0000-0000-000055100000}"/>
    <cellStyle name="Normal 10 2 10 2 6 5 2" xfId="4182" xr:uid="{00000000-0005-0000-0000-000056100000}"/>
    <cellStyle name="Normal 10 2 10 2 6 5 3" xfId="4183" xr:uid="{00000000-0005-0000-0000-000057100000}"/>
    <cellStyle name="Normal 10 2 10 2 6 5 4" xfId="4184" xr:uid="{00000000-0005-0000-0000-000058100000}"/>
    <cellStyle name="Normal 10 2 10 2 6 5 5" xfId="4185" xr:uid="{00000000-0005-0000-0000-000059100000}"/>
    <cellStyle name="Normal 10 2 10 2 6 5 6" xfId="4186" xr:uid="{00000000-0005-0000-0000-00005A100000}"/>
    <cellStyle name="Normal 10 2 10 2 6 5 7" xfId="4187" xr:uid="{00000000-0005-0000-0000-00005B100000}"/>
    <cellStyle name="Normal 10 2 10 2 6 5 8" xfId="4188" xr:uid="{00000000-0005-0000-0000-00005C100000}"/>
    <cellStyle name="Normal 10 2 10 2 6 5 9" xfId="4189" xr:uid="{00000000-0005-0000-0000-00005D100000}"/>
    <cellStyle name="Normal 10 2 10 2 6 6" xfId="4190" xr:uid="{00000000-0005-0000-0000-00005E100000}"/>
    <cellStyle name="Normal 10 2 10 2 6 7" xfId="4191" xr:uid="{00000000-0005-0000-0000-00005F100000}"/>
    <cellStyle name="Normal 10 2 10 2 6 8" xfId="4192" xr:uid="{00000000-0005-0000-0000-000060100000}"/>
    <cellStyle name="Normal 10 2 10 2 6 9" xfId="4193" xr:uid="{00000000-0005-0000-0000-000061100000}"/>
    <cellStyle name="Normal 10 2 10 2 7" xfId="4194" xr:uid="{00000000-0005-0000-0000-000062100000}"/>
    <cellStyle name="Normal 10 2 10 2 7 10" xfId="4195" xr:uid="{00000000-0005-0000-0000-000063100000}"/>
    <cellStyle name="Normal 10 2 10 2 7 11" xfId="4196" xr:uid="{00000000-0005-0000-0000-000064100000}"/>
    <cellStyle name="Normal 10 2 10 2 7 12" xfId="4197" xr:uid="{00000000-0005-0000-0000-000065100000}"/>
    <cellStyle name="Normal 10 2 10 2 7 13" xfId="4198" xr:uid="{00000000-0005-0000-0000-000066100000}"/>
    <cellStyle name="Normal 10 2 10 2 7 14" xfId="4199" xr:uid="{00000000-0005-0000-0000-000067100000}"/>
    <cellStyle name="Normal 10 2 10 2 7 2" xfId="4200" xr:uid="{00000000-0005-0000-0000-000068100000}"/>
    <cellStyle name="Normal 10 2 10 2 7 2 10" xfId="4201" xr:uid="{00000000-0005-0000-0000-000069100000}"/>
    <cellStyle name="Normal 10 2 10 2 7 2 2" xfId="4202" xr:uid="{00000000-0005-0000-0000-00006A100000}"/>
    <cellStyle name="Normal 10 2 10 2 7 2 3" xfId="4203" xr:uid="{00000000-0005-0000-0000-00006B100000}"/>
    <cellStyle name="Normal 10 2 10 2 7 2 4" xfId="4204" xr:uid="{00000000-0005-0000-0000-00006C100000}"/>
    <cellStyle name="Normal 10 2 10 2 7 2 5" xfId="4205" xr:uid="{00000000-0005-0000-0000-00006D100000}"/>
    <cellStyle name="Normal 10 2 10 2 7 2 6" xfId="4206" xr:uid="{00000000-0005-0000-0000-00006E100000}"/>
    <cellStyle name="Normal 10 2 10 2 7 2 7" xfId="4207" xr:uid="{00000000-0005-0000-0000-00006F100000}"/>
    <cellStyle name="Normal 10 2 10 2 7 2 8" xfId="4208" xr:uid="{00000000-0005-0000-0000-000070100000}"/>
    <cellStyle name="Normal 10 2 10 2 7 2 9" xfId="4209" xr:uid="{00000000-0005-0000-0000-000071100000}"/>
    <cellStyle name="Normal 10 2 10 2 7 3" xfId="4210" xr:uid="{00000000-0005-0000-0000-000072100000}"/>
    <cellStyle name="Normal 10 2 10 2 7 3 10" xfId="4211" xr:uid="{00000000-0005-0000-0000-000073100000}"/>
    <cellStyle name="Normal 10 2 10 2 7 3 2" xfId="4212" xr:uid="{00000000-0005-0000-0000-000074100000}"/>
    <cellStyle name="Normal 10 2 10 2 7 3 3" xfId="4213" xr:uid="{00000000-0005-0000-0000-000075100000}"/>
    <cellStyle name="Normal 10 2 10 2 7 3 4" xfId="4214" xr:uid="{00000000-0005-0000-0000-000076100000}"/>
    <cellStyle name="Normal 10 2 10 2 7 3 5" xfId="4215" xr:uid="{00000000-0005-0000-0000-000077100000}"/>
    <cellStyle name="Normal 10 2 10 2 7 3 6" xfId="4216" xr:uid="{00000000-0005-0000-0000-000078100000}"/>
    <cellStyle name="Normal 10 2 10 2 7 3 7" xfId="4217" xr:uid="{00000000-0005-0000-0000-000079100000}"/>
    <cellStyle name="Normal 10 2 10 2 7 3 8" xfId="4218" xr:uid="{00000000-0005-0000-0000-00007A100000}"/>
    <cellStyle name="Normal 10 2 10 2 7 3 9" xfId="4219" xr:uid="{00000000-0005-0000-0000-00007B100000}"/>
    <cellStyle name="Normal 10 2 10 2 7 4" xfId="4220" xr:uid="{00000000-0005-0000-0000-00007C100000}"/>
    <cellStyle name="Normal 10 2 10 2 7 4 10" xfId="4221" xr:uid="{00000000-0005-0000-0000-00007D100000}"/>
    <cellStyle name="Normal 10 2 10 2 7 4 2" xfId="4222" xr:uid="{00000000-0005-0000-0000-00007E100000}"/>
    <cellStyle name="Normal 10 2 10 2 7 4 3" xfId="4223" xr:uid="{00000000-0005-0000-0000-00007F100000}"/>
    <cellStyle name="Normal 10 2 10 2 7 4 4" xfId="4224" xr:uid="{00000000-0005-0000-0000-000080100000}"/>
    <cellStyle name="Normal 10 2 10 2 7 4 5" xfId="4225" xr:uid="{00000000-0005-0000-0000-000081100000}"/>
    <cellStyle name="Normal 10 2 10 2 7 4 6" xfId="4226" xr:uid="{00000000-0005-0000-0000-000082100000}"/>
    <cellStyle name="Normal 10 2 10 2 7 4 7" xfId="4227" xr:uid="{00000000-0005-0000-0000-000083100000}"/>
    <cellStyle name="Normal 10 2 10 2 7 4 8" xfId="4228" xr:uid="{00000000-0005-0000-0000-000084100000}"/>
    <cellStyle name="Normal 10 2 10 2 7 4 9" xfId="4229" xr:uid="{00000000-0005-0000-0000-000085100000}"/>
    <cellStyle name="Normal 10 2 10 2 7 5" xfId="4230" xr:uid="{00000000-0005-0000-0000-000086100000}"/>
    <cellStyle name="Normal 10 2 10 2 7 5 10" xfId="4231" xr:uid="{00000000-0005-0000-0000-000087100000}"/>
    <cellStyle name="Normal 10 2 10 2 7 5 2" xfId="4232" xr:uid="{00000000-0005-0000-0000-000088100000}"/>
    <cellStyle name="Normal 10 2 10 2 7 5 3" xfId="4233" xr:uid="{00000000-0005-0000-0000-000089100000}"/>
    <cellStyle name="Normal 10 2 10 2 7 5 4" xfId="4234" xr:uid="{00000000-0005-0000-0000-00008A100000}"/>
    <cellStyle name="Normal 10 2 10 2 7 5 5" xfId="4235" xr:uid="{00000000-0005-0000-0000-00008B100000}"/>
    <cellStyle name="Normal 10 2 10 2 7 5 6" xfId="4236" xr:uid="{00000000-0005-0000-0000-00008C100000}"/>
    <cellStyle name="Normal 10 2 10 2 7 5 7" xfId="4237" xr:uid="{00000000-0005-0000-0000-00008D100000}"/>
    <cellStyle name="Normal 10 2 10 2 7 5 8" xfId="4238" xr:uid="{00000000-0005-0000-0000-00008E100000}"/>
    <cellStyle name="Normal 10 2 10 2 7 5 9" xfId="4239" xr:uid="{00000000-0005-0000-0000-00008F100000}"/>
    <cellStyle name="Normal 10 2 10 2 7 6" xfId="4240" xr:uid="{00000000-0005-0000-0000-000090100000}"/>
    <cellStyle name="Normal 10 2 10 2 7 7" xfId="4241" xr:uid="{00000000-0005-0000-0000-000091100000}"/>
    <cellStyle name="Normal 10 2 10 2 7 8" xfId="4242" xr:uid="{00000000-0005-0000-0000-000092100000}"/>
    <cellStyle name="Normal 10 2 10 2 7 9" xfId="4243" xr:uid="{00000000-0005-0000-0000-000093100000}"/>
    <cellStyle name="Normal 10 2 10 2 8" xfId="4244" xr:uid="{00000000-0005-0000-0000-000094100000}"/>
    <cellStyle name="Normal 10 2 10 2 8 10" xfId="4245" xr:uid="{00000000-0005-0000-0000-000095100000}"/>
    <cellStyle name="Normal 10 2 10 2 8 11" xfId="4246" xr:uid="{00000000-0005-0000-0000-000096100000}"/>
    <cellStyle name="Normal 10 2 10 2 8 12" xfId="4247" xr:uid="{00000000-0005-0000-0000-000097100000}"/>
    <cellStyle name="Normal 10 2 10 2 8 13" xfId="4248" xr:uid="{00000000-0005-0000-0000-000098100000}"/>
    <cellStyle name="Normal 10 2 10 2 8 14" xfId="4249" xr:uid="{00000000-0005-0000-0000-000099100000}"/>
    <cellStyle name="Normal 10 2 10 2 8 2" xfId="4250" xr:uid="{00000000-0005-0000-0000-00009A100000}"/>
    <cellStyle name="Normal 10 2 10 2 8 2 10" xfId="4251" xr:uid="{00000000-0005-0000-0000-00009B100000}"/>
    <cellStyle name="Normal 10 2 10 2 8 2 2" xfId="4252" xr:uid="{00000000-0005-0000-0000-00009C100000}"/>
    <cellStyle name="Normal 10 2 10 2 8 2 3" xfId="4253" xr:uid="{00000000-0005-0000-0000-00009D100000}"/>
    <cellStyle name="Normal 10 2 10 2 8 2 4" xfId="4254" xr:uid="{00000000-0005-0000-0000-00009E100000}"/>
    <cellStyle name="Normal 10 2 10 2 8 2 5" xfId="4255" xr:uid="{00000000-0005-0000-0000-00009F100000}"/>
    <cellStyle name="Normal 10 2 10 2 8 2 6" xfId="4256" xr:uid="{00000000-0005-0000-0000-0000A0100000}"/>
    <cellStyle name="Normal 10 2 10 2 8 2 7" xfId="4257" xr:uid="{00000000-0005-0000-0000-0000A1100000}"/>
    <cellStyle name="Normal 10 2 10 2 8 2 8" xfId="4258" xr:uid="{00000000-0005-0000-0000-0000A2100000}"/>
    <cellStyle name="Normal 10 2 10 2 8 2 9" xfId="4259" xr:uid="{00000000-0005-0000-0000-0000A3100000}"/>
    <cellStyle name="Normal 10 2 10 2 8 3" xfId="4260" xr:uid="{00000000-0005-0000-0000-0000A4100000}"/>
    <cellStyle name="Normal 10 2 10 2 8 3 10" xfId="4261" xr:uid="{00000000-0005-0000-0000-0000A5100000}"/>
    <cellStyle name="Normal 10 2 10 2 8 3 2" xfId="4262" xr:uid="{00000000-0005-0000-0000-0000A6100000}"/>
    <cellStyle name="Normal 10 2 10 2 8 3 3" xfId="4263" xr:uid="{00000000-0005-0000-0000-0000A7100000}"/>
    <cellStyle name="Normal 10 2 10 2 8 3 4" xfId="4264" xr:uid="{00000000-0005-0000-0000-0000A8100000}"/>
    <cellStyle name="Normal 10 2 10 2 8 3 5" xfId="4265" xr:uid="{00000000-0005-0000-0000-0000A9100000}"/>
    <cellStyle name="Normal 10 2 10 2 8 3 6" xfId="4266" xr:uid="{00000000-0005-0000-0000-0000AA100000}"/>
    <cellStyle name="Normal 10 2 10 2 8 3 7" xfId="4267" xr:uid="{00000000-0005-0000-0000-0000AB100000}"/>
    <cellStyle name="Normal 10 2 10 2 8 3 8" xfId="4268" xr:uid="{00000000-0005-0000-0000-0000AC100000}"/>
    <cellStyle name="Normal 10 2 10 2 8 3 9" xfId="4269" xr:uid="{00000000-0005-0000-0000-0000AD100000}"/>
    <cellStyle name="Normal 10 2 10 2 8 4" xfId="4270" xr:uid="{00000000-0005-0000-0000-0000AE100000}"/>
    <cellStyle name="Normal 10 2 10 2 8 4 10" xfId="4271" xr:uid="{00000000-0005-0000-0000-0000AF100000}"/>
    <cellStyle name="Normal 10 2 10 2 8 4 2" xfId="4272" xr:uid="{00000000-0005-0000-0000-0000B0100000}"/>
    <cellStyle name="Normal 10 2 10 2 8 4 3" xfId="4273" xr:uid="{00000000-0005-0000-0000-0000B1100000}"/>
    <cellStyle name="Normal 10 2 10 2 8 4 4" xfId="4274" xr:uid="{00000000-0005-0000-0000-0000B2100000}"/>
    <cellStyle name="Normal 10 2 10 2 8 4 5" xfId="4275" xr:uid="{00000000-0005-0000-0000-0000B3100000}"/>
    <cellStyle name="Normal 10 2 10 2 8 4 6" xfId="4276" xr:uid="{00000000-0005-0000-0000-0000B4100000}"/>
    <cellStyle name="Normal 10 2 10 2 8 4 7" xfId="4277" xr:uid="{00000000-0005-0000-0000-0000B5100000}"/>
    <cellStyle name="Normal 10 2 10 2 8 4 8" xfId="4278" xr:uid="{00000000-0005-0000-0000-0000B6100000}"/>
    <cellStyle name="Normal 10 2 10 2 8 4 9" xfId="4279" xr:uid="{00000000-0005-0000-0000-0000B7100000}"/>
    <cellStyle name="Normal 10 2 10 2 8 5" xfId="4280" xr:uid="{00000000-0005-0000-0000-0000B8100000}"/>
    <cellStyle name="Normal 10 2 10 2 8 5 10" xfId="4281" xr:uid="{00000000-0005-0000-0000-0000B9100000}"/>
    <cellStyle name="Normal 10 2 10 2 8 5 2" xfId="4282" xr:uid="{00000000-0005-0000-0000-0000BA100000}"/>
    <cellStyle name="Normal 10 2 10 2 8 5 3" xfId="4283" xr:uid="{00000000-0005-0000-0000-0000BB100000}"/>
    <cellStyle name="Normal 10 2 10 2 8 5 4" xfId="4284" xr:uid="{00000000-0005-0000-0000-0000BC100000}"/>
    <cellStyle name="Normal 10 2 10 2 8 5 5" xfId="4285" xr:uid="{00000000-0005-0000-0000-0000BD100000}"/>
    <cellStyle name="Normal 10 2 10 2 8 5 6" xfId="4286" xr:uid="{00000000-0005-0000-0000-0000BE100000}"/>
    <cellStyle name="Normal 10 2 10 2 8 5 7" xfId="4287" xr:uid="{00000000-0005-0000-0000-0000BF100000}"/>
    <cellStyle name="Normal 10 2 10 2 8 5 8" xfId="4288" xr:uid="{00000000-0005-0000-0000-0000C0100000}"/>
    <cellStyle name="Normal 10 2 10 2 8 5 9" xfId="4289" xr:uid="{00000000-0005-0000-0000-0000C1100000}"/>
    <cellStyle name="Normal 10 2 10 2 8 6" xfId="4290" xr:uid="{00000000-0005-0000-0000-0000C2100000}"/>
    <cellStyle name="Normal 10 2 10 2 8 7" xfId="4291" xr:uid="{00000000-0005-0000-0000-0000C3100000}"/>
    <cellStyle name="Normal 10 2 10 2 8 8" xfId="4292" xr:uid="{00000000-0005-0000-0000-0000C4100000}"/>
    <cellStyle name="Normal 10 2 10 2 8 9" xfId="4293" xr:uid="{00000000-0005-0000-0000-0000C5100000}"/>
    <cellStyle name="Normal 10 2 10 2 9" xfId="4294" xr:uid="{00000000-0005-0000-0000-0000C6100000}"/>
    <cellStyle name="Normal 10 2 10 2 9 10" xfId="4295" xr:uid="{00000000-0005-0000-0000-0000C7100000}"/>
    <cellStyle name="Normal 10 2 10 2 9 11" xfId="4296" xr:uid="{00000000-0005-0000-0000-0000C8100000}"/>
    <cellStyle name="Normal 10 2 10 2 9 12" xfId="4297" xr:uid="{00000000-0005-0000-0000-0000C9100000}"/>
    <cellStyle name="Normal 10 2 10 2 9 13" xfId="4298" xr:uid="{00000000-0005-0000-0000-0000CA100000}"/>
    <cellStyle name="Normal 10 2 10 2 9 14" xfId="4299" xr:uid="{00000000-0005-0000-0000-0000CB100000}"/>
    <cellStyle name="Normal 10 2 10 2 9 2" xfId="4300" xr:uid="{00000000-0005-0000-0000-0000CC100000}"/>
    <cellStyle name="Normal 10 2 10 2 9 2 10" xfId="4301" xr:uid="{00000000-0005-0000-0000-0000CD100000}"/>
    <cellStyle name="Normal 10 2 10 2 9 2 2" xfId="4302" xr:uid="{00000000-0005-0000-0000-0000CE100000}"/>
    <cellStyle name="Normal 10 2 10 2 9 2 3" xfId="4303" xr:uid="{00000000-0005-0000-0000-0000CF100000}"/>
    <cellStyle name="Normal 10 2 10 2 9 2 4" xfId="4304" xr:uid="{00000000-0005-0000-0000-0000D0100000}"/>
    <cellStyle name="Normal 10 2 10 2 9 2 5" xfId="4305" xr:uid="{00000000-0005-0000-0000-0000D1100000}"/>
    <cellStyle name="Normal 10 2 10 2 9 2 6" xfId="4306" xr:uid="{00000000-0005-0000-0000-0000D2100000}"/>
    <cellStyle name="Normal 10 2 10 2 9 2 7" xfId="4307" xr:uid="{00000000-0005-0000-0000-0000D3100000}"/>
    <cellStyle name="Normal 10 2 10 2 9 2 8" xfId="4308" xr:uid="{00000000-0005-0000-0000-0000D4100000}"/>
    <cellStyle name="Normal 10 2 10 2 9 2 9" xfId="4309" xr:uid="{00000000-0005-0000-0000-0000D5100000}"/>
    <cellStyle name="Normal 10 2 10 2 9 3" xfId="4310" xr:uid="{00000000-0005-0000-0000-0000D6100000}"/>
    <cellStyle name="Normal 10 2 10 2 9 3 10" xfId="4311" xr:uid="{00000000-0005-0000-0000-0000D7100000}"/>
    <cellStyle name="Normal 10 2 10 2 9 3 2" xfId="4312" xr:uid="{00000000-0005-0000-0000-0000D8100000}"/>
    <cellStyle name="Normal 10 2 10 2 9 3 3" xfId="4313" xr:uid="{00000000-0005-0000-0000-0000D9100000}"/>
    <cellStyle name="Normal 10 2 10 2 9 3 4" xfId="4314" xr:uid="{00000000-0005-0000-0000-0000DA100000}"/>
    <cellStyle name="Normal 10 2 10 2 9 3 5" xfId="4315" xr:uid="{00000000-0005-0000-0000-0000DB100000}"/>
    <cellStyle name="Normal 10 2 10 2 9 3 6" xfId="4316" xr:uid="{00000000-0005-0000-0000-0000DC100000}"/>
    <cellStyle name="Normal 10 2 10 2 9 3 7" xfId="4317" xr:uid="{00000000-0005-0000-0000-0000DD100000}"/>
    <cellStyle name="Normal 10 2 10 2 9 3 8" xfId="4318" xr:uid="{00000000-0005-0000-0000-0000DE100000}"/>
    <cellStyle name="Normal 10 2 10 2 9 3 9" xfId="4319" xr:uid="{00000000-0005-0000-0000-0000DF100000}"/>
    <cellStyle name="Normal 10 2 10 2 9 4" xfId="4320" xr:uid="{00000000-0005-0000-0000-0000E0100000}"/>
    <cellStyle name="Normal 10 2 10 2 9 4 10" xfId="4321" xr:uid="{00000000-0005-0000-0000-0000E1100000}"/>
    <cellStyle name="Normal 10 2 10 2 9 4 2" xfId="4322" xr:uid="{00000000-0005-0000-0000-0000E2100000}"/>
    <cellStyle name="Normal 10 2 10 2 9 4 3" xfId="4323" xr:uid="{00000000-0005-0000-0000-0000E3100000}"/>
    <cellStyle name="Normal 10 2 10 2 9 4 4" xfId="4324" xr:uid="{00000000-0005-0000-0000-0000E4100000}"/>
    <cellStyle name="Normal 10 2 10 2 9 4 5" xfId="4325" xr:uid="{00000000-0005-0000-0000-0000E5100000}"/>
    <cellStyle name="Normal 10 2 10 2 9 4 6" xfId="4326" xr:uid="{00000000-0005-0000-0000-0000E6100000}"/>
    <cellStyle name="Normal 10 2 10 2 9 4 7" xfId="4327" xr:uid="{00000000-0005-0000-0000-0000E7100000}"/>
    <cellStyle name="Normal 10 2 10 2 9 4 8" xfId="4328" xr:uid="{00000000-0005-0000-0000-0000E8100000}"/>
    <cellStyle name="Normal 10 2 10 2 9 4 9" xfId="4329" xr:uid="{00000000-0005-0000-0000-0000E9100000}"/>
    <cellStyle name="Normal 10 2 10 2 9 5" xfId="4330" xr:uid="{00000000-0005-0000-0000-0000EA100000}"/>
    <cellStyle name="Normal 10 2 10 2 9 5 10" xfId="4331" xr:uid="{00000000-0005-0000-0000-0000EB100000}"/>
    <cellStyle name="Normal 10 2 10 2 9 5 2" xfId="4332" xr:uid="{00000000-0005-0000-0000-0000EC100000}"/>
    <cellStyle name="Normal 10 2 10 2 9 5 3" xfId="4333" xr:uid="{00000000-0005-0000-0000-0000ED100000}"/>
    <cellStyle name="Normal 10 2 10 2 9 5 4" xfId="4334" xr:uid="{00000000-0005-0000-0000-0000EE100000}"/>
    <cellStyle name="Normal 10 2 10 2 9 5 5" xfId="4335" xr:uid="{00000000-0005-0000-0000-0000EF100000}"/>
    <cellStyle name="Normal 10 2 10 2 9 5 6" xfId="4336" xr:uid="{00000000-0005-0000-0000-0000F0100000}"/>
    <cellStyle name="Normal 10 2 10 2 9 5 7" xfId="4337" xr:uid="{00000000-0005-0000-0000-0000F1100000}"/>
    <cellStyle name="Normal 10 2 10 2 9 5 8" xfId="4338" xr:uid="{00000000-0005-0000-0000-0000F2100000}"/>
    <cellStyle name="Normal 10 2 10 2 9 5 9" xfId="4339" xr:uid="{00000000-0005-0000-0000-0000F3100000}"/>
    <cellStyle name="Normal 10 2 10 2 9 6" xfId="4340" xr:uid="{00000000-0005-0000-0000-0000F4100000}"/>
    <cellStyle name="Normal 10 2 10 2 9 7" xfId="4341" xr:uid="{00000000-0005-0000-0000-0000F5100000}"/>
    <cellStyle name="Normal 10 2 10 2 9 8" xfId="4342" xr:uid="{00000000-0005-0000-0000-0000F6100000}"/>
    <cellStyle name="Normal 10 2 10 2 9 9" xfId="4343" xr:uid="{00000000-0005-0000-0000-0000F7100000}"/>
    <cellStyle name="Normal 10 2 10 20" xfId="4344" xr:uid="{00000000-0005-0000-0000-0000F8100000}"/>
    <cellStyle name="Normal 10 2 10 20 10" xfId="4345" xr:uid="{00000000-0005-0000-0000-0000F9100000}"/>
    <cellStyle name="Normal 10 2 10 20 11" xfId="4346" xr:uid="{00000000-0005-0000-0000-0000FA100000}"/>
    <cellStyle name="Normal 10 2 10 20 12" xfId="4347" xr:uid="{00000000-0005-0000-0000-0000FB100000}"/>
    <cellStyle name="Normal 10 2 10 20 13" xfId="4348" xr:uid="{00000000-0005-0000-0000-0000FC100000}"/>
    <cellStyle name="Normal 10 2 10 20 14" xfId="4349" xr:uid="{00000000-0005-0000-0000-0000FD100000}"/>
    <cellStyle name="Normal 10 2 10 20 2" xfId="4350" xr:uid="{00000000-0005-0000-0000-0000FE100000}"/>
    <cellStyle name="Normal 10 2 10 20 2 10" xfId="4351" xr:uid="{00000000-0005-0000-0000-0000FF100000}"/>
    <cellStyle name="Normal 10 2 10 20 2 2" xfId="4352" xr:uid="{00000000-0005-0000-0000-000000110000}"/>
    <cellStyle name="Normal 10 2 10 20 2 3" xfId="4353" xr:uid="{00000000-0005-0000-0000-000001110000}"/>
    <cellStyle name="Normal 10 2 10 20 2 4" xfId="4354" xr:uid="{00000000-0005-0000-0000-000002110000}"/>
    <cellStyle name="Normal 10 2 10 20 2 5" xfId="4355" xr:uid="{00000000-0005-0000-0000-000003110000}"/>
    <cellStyle name="Normal 10 2 10 20 2 6" xfId="4356" xr:uid="{00000000-0005-0000-0000-000004110000}"/>
    <cellStyle name="Normal 10 2 10 20 2 7" xfId="4357" xr:uid="{00000000-0005-0000-0000-000005110000}"/>
    <cellStyle name="Normal 10 2 10 20 2 8" xfId="4358" xr:uid="{00000000-0005-0000-0000-000006110000}"/>
    <cellStyle name="Normal 10 2 10 20 2 9" xfId="4359" xr:uid="{00000000-0005-0000-0000-000007110000}"/>
    <cellStyle name="Normal 10 2 10 20 3" xfId="4360" xr:uid="{00000000-0005-0000-0000-000008110000}"/>
    <cellStyle name="Normal 10 2 10 20 3 10" xfId="4361" xr:uid="{00000000-0005-0000-0000-000009110000}"/>
    <cellStyle name="Normal 10 2 10 20 3 2" xfId="4362" xr:uid="{00000000-0005-0000-0000-00000A110000}"/>
    <cellStyle name="Normal 10 2 10 20 3 3" xfId="4363" xr:uid="{00000000-0005-0000-0000-00000B110000}"/>
    <cellStyle name="Normal 10 2 10 20 3 4" xfId="4364" xr:uid="{00000000-0005-0000-0000-00000C110000}"/>
    <cellStyle name="Normal 10 2 10 20 3 5" xfId="4365" xr:uid="{00000000-0005-0000-0000-00000D110000}"/>
    <cellStyle name="Normal 10 2 10 20 3 6" xfId="4366" xr:uid="{00000000-0005-0000-0000-00000E110000}"/>
    <cellStyle name="Normal 10 2 10 20 3 7" xfId="4367" xr:uid="{00000000-0005-0000-0000-00000F110000}"/>
    <cellStyle name="Normal 10 2 10 20 3 8" xfId="4368" xr:uid="{00000000-0005-0000-0000-000010110000}"/>
    <cellStyle name="Normal 10 2 10 20 3 9" xfId="4369" xr:uid="{00000000-0005-0000-0000-000011110000}"/>
    <cellStyle name="Normal 10 2 10 20 4" xfId="4370" xr:uid="{00000000-0005-0000-0000-000012110000}"/>
    <cellStyle name="Normal 10 2 10 20 4 10" xfId="4371" xr:uid="{00000000-0005-0000-0000-000013110000}"/>
    <cellStyle name="Normal 10 2 10 20 4 2" xfId="4372" xr:uid="{00000000-0005-0000-0000-000014110000}"/>
    <cellStyle name="Normal 10 2 10 20 4 3" xfId="4373" xr:uid="{00000000-0005-0000-0000-000015110000}"/>
    <cellStyle name="Normal 10 2 10 20 4 4" xfId="4374" xr:uid="{00000000-0005-0000-0000-000016110000}"/>
    <cellStyle name="Normal 10 2 10 20 4 5" xfId="4375" xr:uid="{00000000-0005-0000-0000-000017110000}"/>
    <cellStyle name="Normal 10 2 10 20 4 6" xfId="4376" xr:uid="{00000000-0005-0000-0000-000018110000}"/>
    <cellStyle name="Normal 10 2 10 20 4 7" xfId="4377" xr:uid="{00000000-0005-0000-0000-000019110000}"/>
    <cellStyle name="Normal 10 2 10 20 4 8" xfId="4378" xr:uid="{00000000-0005-0000-0000-00001A110000}"/>
    <cellStyle name="Normal 10 2 10 20 4 9" xfId="4379" xr:uid="{00000000-0005-0000-0000-00001B110000}"/>
    <cellStyle name="Normal 10 2 10 20 5" xfId="4380" xr:uid="{00000000-0005-0000-0000-00001C110000}"/>
    <cellStyle name="Normal 10 2 10 20 5 10" xfId="4381" xr:uid="{00000000-0005-0000-0000-00001D110000}"/>
    <cellStyle name="Normal 10 2 10 20 5 2" xfId="4382" xr:uid="{00000000-0005-0000-0000-00001E110000}"/>
    <cellStyle name="Normal 10 2 10 20 5 3" xfId="4383" xr:uid="{00000000-0005-0000-0000-00001F110000}"/>
    <cellStyle name="Normal 10 2 10 20 5 4" xfId="4384" xr:uid="{00000000-0005-0000-0000-000020110000}"/>
    <cellStyle name="Normal 10 2 10 20 5 5" xfId="4385" xr:uid="{00000000-0005-0000-0000-000021110000}"/>
    <cellStyle name="Normal 10 2 10 20 5 6" xfId="4386" xr:uid="{00000000-0005-0000-0000-000022110000}"/>
    <cellStyle name="Normal 10 2 10 20 5 7" xfId="4387" xr:uid="{00000000-0005-0000-0000-000023110000}"/>
    <cellStyle name="Normal 10 2 10 20 5 8" xfId="4388" xr:uid="{00000000-0005-0000-0000-000024110000}"/>
    <cellStyle name="Normal 10 2 10 20 5 9" xfId="4389" xr:uid="{00000000-0005-0000-0000-000025110000}"/>
    <cellStyle name="Normal 10 2 10 20 6" xfId="4390" xr:uid="{00000000-0005-0000-0000-000026110000}"/>
    <cellStyle name="Normal 10 2 10 20 7" xfId="4391" xr:uid="{00000000-0005-0000-0000-000027110000}"/>
    <cellStyle name="Normal 10 2 10 20 8" xfId="4392" xr:uid="{00000000-0005-0000-0000-000028110000}"/>
    <cellStyle name="Normal 10 2 10 20 9" xfId="4393" xr:uid="{00000000-0005-0000-0000-000029110000}"/>
    <cellStyle name="Normal 10 2 10 21" xfId="4394" xr:uid="{00000000-0005-0000-0000-00002A110000}"/>
    <cellStyle name="Normal 10 2 10 21 10" xfId="4395" xr:uid="{00000000-0005-0000-0000-00002B110000}"/>
    <cellStyle name="Normal 10 2 10 21 11" xfId="4396" xr:uid="{00000000-0005-0000-0000-00002C110000}"/>
    <cellStyle name="Normal 10 2 10 21 12" xfId="4397" xr:uid="{00000000-0005-0000-0000-00002D110000}"/>
    <cellStyle name="Normal 10 2 10 21 13" xfId="4398" xr:uid="{00000000-0005-0000-0000-00002E110000}"/>
    <cellStyle name="Normal 10 2 10 21 14" xfId="4399" xr:uid="{00000000-0005-0000-0000-00002F110000}"/>
    <cellStyle name="Normal 10 2 10 21 2" xfId="4400" xr:uid="{00000000-0005-0000-0000-000030110000}"/>
    <cellStyle name="Normal 10 2 10 21 2 10" xfId="4401" xr:uid="{00000000-0005-0000-0000-000031110000}"/>
    <cellStyle name="Normal 10 2 10 21 2 2" xfId="4402" xr:uid="{00000000-0005-0000-0000-000032110000}"/>
    <cellStyle name="Normal 10 2 10 21 2 3" xfId="4403" xr:uid="{00000000-0005-0000-0000-000033110000}"/>
    <cellStyle name="Normal 10 2 10 21 2 4" xfId="4404" xr:uid="{00000000-0005-0000-0000-000034110000}"/>
    <cellStyle name="Normal 10 2 10 21 2 5" xfId="4405" xr:uid="{00000000-0005-0000-0000-000035110000}"/>
    <cellStyle name="Normal 10 2 10 21 2 6" xfId="4406" xr:uid="{00000000-0005-0000-0000-000036110000}"/>
    <cellStyle name="Normal 10 2 10 21 2 7" xfId="4407" xr:uid="{00000000-0005-0000-0000-000037110000}"/>
    <cellStyle name="Normal 10 2 10 21 2 8" xfId="4408" xr:uid="{00000000-0005-0000-0000-000038110000}"/>
    <cellStyle name="Normal 10 2 10 21 2 9" xfId="4409" xr:uid="{00000000-0005-0000-0000-000039110000}"/>
    <cellStyle name="Normal 10 2 10 21 3" xfId="4410" xr:uid="{00000000-0005-0000-0000-00003A110000}"/>
    <cellStyle name="Normal 10 2 10 21 3 10" xfId="4411" xr:uid="{00000000-0005-0000-0000-00003B110000}"/>
    <cellStyle name="Normal 10 2 10 21 3 2" xfId="4412" xr:uid="{00000000-0005-0000-0000-00003C110000}"/>
    <cellStyle name="Normal 10 2 10 21 3 3" xfId="4413" xr:uid="{00000000-0005-0000-0000-00003D110000}"/>
    <cellStyle name="Normal 10 2 10 21 3 4" xfId="4414" xr:uid="{00000000-0005-0000-0000-00003E110000}"/>
    <cellStyle name="Normal 10 2 10 21 3 5" xfId="4415" xr:uid="{00000000-0005-0000-0000-00003F110000}"/>
    <cellStyle name="Normal 10 2 10 21 3 6" xfId="4416" xr:uid="{00000000-0005-0000-0000-000040110000}"/>
    <cellStyle name="Normal 10 2 10 21 3 7" xfId="4417" xr:uid="{00000000-0005-0000-0000-000041110000}"/>
    <cellStyle name="Normal 10 2 10 21 3 8" xfId="4418" xr:uid="{00000000-0005-0000-0000-000042110000}"/>
    <cellStyle name="Normal 10 2 10 21 3 9" xfId="4419" xr:uid="{00000000-0005-0000-0000-000043110000}"/>
    <cellStyle name="Normal 10 2 10 21 4" xfId="4420" xr:uid="{00000000-0005-0000-0000-000044110000}"/>
    <cellStyle name="Normal 10 2 10 21 4 10" xfId="4421" xr:uid="{00000000-0005-0000-0000-000045110000}"/>
    <cellStyle name="Normal 10 2 10 21 4 2" xfId="4422" xr:uid="{00000000-0005-0000-0000-000046110000}"/>
    <cellStyle name="Normal 10 2 10 21 4 3" xfId="4423" xr:uid="{00000000-0005-0000-0000-000047110000}"/>
    <cellStyle name="Normal 10 2 10 21 4 4" xfId="4424" xr:uid="{00000000-0005-0000-0000-000048110000}"/>
    <cellStyle name="Normal 10 2 10 21 4 5" xfId="4425" xr:uid="{00000000-0005-0000-0000-000049110000}"/>
    <cellStyle name="Normal 10 2 10 21 4 6" xfId="4426" xr:uid="{00000000-0005-0000-0000-00004A110000}"/>
    <cellStyle name="Normal 10 2 10 21 4 7" xfId="4427" xr:uid="{00000000-0005-0000-0000-00004B110000}"/>
    <cellStyle name="Normal 10 2 10 21 4 8" xfId="4428" xr:uid="{00000000-0005-0000-0000-00004C110000}"/>
    <cellStyle name="Normal 10 2 10 21 4 9" xfId="4429" xr:uid="{00000000-0005-0000-0000-00004D110000}"/>
    <cellStyle name="Normal 10 2 10 21 5" xfId="4430" xr:uid="{00000000-0005-0000-0000-00004E110000}"/>
    <cellStyle name="Normal 10 2 10 21 5 10" xfId="4431" xr:uid="{00000000-0005-0000-0000-00004F110000}"/>
    <cellStyle name="Normal 10 2 10 21 5 2" xfId="4432" xr:uid="{00000000-0005-0000-0000-000050110000}"/>
    <cellStyle name="Normal 10 2 10 21 5 3" xfId="4433" xr:uid="{00000000-0005-0000-0000-000051110000}"/>
    <cellStyle name="Normal 10 2 10 21 5 4" xfId="4434" xr:uid="{00000000-0005-0000-0000-000052110000}"/>
    <cellStyle name="Normal 10 2 10 21 5 5" xfId="4435" xr:uid="{00000000-0005-0000-0000-000053110000}"/>
    <cellStyle name="Normal 10 2 10 21 5 6" xfId="4436" xr:uid="{00000000-0005-0000-0000-000054110000}"/>
    <cellStyle name="Normal 10 2 10 21 5 7" xfId="4437" xr:uid="{00000000-0005-0000-0000-000055110000}"/>
    <cellStyle name="Normal 10 2 10 21 5 8" xfId="4438" xr:uid="{00000000-0005-0000-0000-000056110000}"/>
    <cellStyle name="Normal 10 2 10 21 5 9" xfId="4439" xr:uid="{00000000-0005-0000-0000-000057110000}"/>
    <cellStyle name="Normal 10 2 10 21 6" xfId="4440" xr:uid="{00000000-0005-0000-0000-000058110000}"/>
    <cellStyle name="Normal 10 2 10 21 7" xfId="4441" xr:uid="{00000000-0005-0000-0000-000059110000}"/>
    <cellStyle name="Normal 10 2 10 21 8" xfId="4442" xr:uid="{00000000-0005-0000-0000-00005A110000}"/>
    <cellStyle name="Normal 10 2 10 21 9" xfId="4443" xr:uid="{00000000-0005-0000-0000-00005B110000}"/>
    <cellStyle name="Normal 10 2 10 22" xfId="4444" xr:uid="{00000000-0005-0000-0000-00005C110000}"/>
    <cellStyle name="Normal 10 2 10 22 10" xfId="4445" xr:uid="{00000000-0005-0000-0000-00005D110000}"/>
    <cellStyle name="Normal 10 2 10 22 11" xfId="4446" xr:uid="{00000000-0005-0000-0000-00005E110000}"/>
    <cellStyle name="Normal 10 2 10 22 12" xfId="4447" xr:uid="{00000000-0005-0000-0000-00005F110000}"/>
    <cellStyle name="Normal 10 2 10 22 13" xfId="4448" xr:uid="{00000000-0005-0000-0000-000060110000}"/>
    <cellStyle name="Normal 10 2 10 22 14" xfId="4449" xr:uid="{00000000-0005-0000-0000-000061110000}"/>
    <cellStyle name="Normal 10 2 10 22 2" xfId="4450" xr:uid="{00000000-0005-0000-0000-000062110000}"/>
    <cellStyle name="Normal 10 2 10 22 2 10" xfId="4451" xr:uid="{00000000-0005-0000-0000-000063110000}"/>
    <cellStyle name="Normal 10 2 10 22 2 2" xfId="4452" xr:uid="{00000000-0005-0000-0000-000064110000}"/>
    <cellStyle name="Normal 10 2 10 22 2 3" xfId="4453" xr:uid="{00000000-0005-0000-0000-000065110000}"/>
    <cellStyle name="Normal 10 2 10 22 2 4" xfId="4454" xr:uid="{00000000-0005-0000-0000-000066110000}"/>
    <cellStyle name="Normal 10 2 10 22 2 5" xfId="4455" xr:uid="{00000000-0005-0000-0000-000067110000}"/>
    <cellStyle name="Normal 10 2 10 22 2 6" xfId="4456" xr:uid="{00000000-0005-0000-0000-000068110000}"/>
    <cellStyle name="Normal 10 2 10 22 2 7" xfId="4457" xr:uid="{00000000-0005-0000-0000-000069110000}"/>
    <cellStyle name="Normal 10 2 10 22 2 8" xfId="4458" xr:uid="{00000000-0005-0000-0000-00006A110000}"/>
    <cellStyle name="Normal 10 2 10 22 2 9" xfId="4459" xr:uid="{00000000-0005-0000-0000-00006B110000}"/>
    <cellStyle name="Normal 10 2 10 22 3" xfId="4460" xr:uid="{00000000-0005-0000-0000-00006C110000}"/>
    <cellStyle name="Normal 10 2 10 22 3 10" xfId="4461" xr:uid="{00000000-0005-0000-0000-00006D110000}"/>
    <cellStyle name="Normal 10 2 10 22 3 2" xfId="4462" xr:uid="{00000000-0005-0000-0000-00006E110000}"/>
    <cellStyle name="Normal 10 2 10 22 3 3" xfId="4463" xr:uid="{00000000-0005-0000-0000-00006F110000}"/>
    <cellStyle name="Normal 10 2 10 22 3 4" xfId="4464" xr:uid="{00000000-0005-0000-0000-000070110000}"/>
    <cellStyle name="Normal 10 2 10 22 3 5" xfId="4465" xr:uid="{00000000-0005-0000-0000-000071110000}"/>
    <cellStyle name="Normal 10 2 10 22 3 6" xfId="4466" xr:uid="{00000000-0005-0000-0000-000072110000}"/>
    <cellStyle name="Normal 10 2 10 22 3 7" xfId="4467" xr:uid="{00000000-0005-0000-0000-000073110000}"/>
    <cellStyle name="Normal 10 2 10 22 3 8" xfId="4468" xr:uid="{00000000-0005-0000-0000-000074110000}"/>
    <cellStyle name="Normal 10 2 10 22 3 9" xfId="4469" xr:uid="{00000000-0005-0000-0000-000075110000}"/>
    <cellStyle name="Normal 10 2 10 22 4" xfId="4470" xr:uid="{00000000-0005-0000-0000-000076110000}"/>
    <cellStyle name="Normal 10 2 10 22 4 10" xfId="4471" xr:uid="{00000000-0005-0000-0000-000077110000}"/>
    <cellStyle name="Normal 10 2 10 22 4 2" xfId="4472" xr:uid="{00000000-0005-0000-0000-000078110000}"/>
    <cellStyle name="Normal 10 2 10 22 4 3" xfId="4473" xr:uid="{00000000-0005-0000-0000-000079110000}"/>
    <cellStyle name="Normal 10 2 10 22 4 4" xfId="4474" xr:uid="{00000000-0005-0000-0000-00007A110000}"/>
    <cellStyle name="Normal 10 2 10 22 4 5" xfId="4475" xr:uid="{00000000-0005-0000-0000-00007B110000}"/>
    <cellStyle name="Normal 10 2 10 22 4 6" xfId="4476" xr:uid="{00000000-0005-0000-0000-00007C110000}"/>
    <cellStyle name="Normal 10 2 10 22 4 7" xfId="4477" xr:uid="{00000000-0005-0000-0000-00007D110000}"/>
    <cellStyle name="Normal 10 2 10 22 4 8" xfId="4478" xr:uid="{00000000-0005-0000-0000-00007E110000}"/>
    <cellStyle name="Normal 10 2 10 22 4 9" xfId="4479" xr:uid="{00000000-0005-0000-0000-00007F110000}"/>
    <cellStyle name="Normal 10 2 10 22 5" xfId="4480" xr:uid="{00000000-0005-0000-0000-000080110000}"/>
    <cellStyle name="Normal 10 2 10 22 5 10" xfId="4481" xr:uid="{00000000-0005-0000-0000-000081110000}"/>
    <cellStyle name="Normal 10 2 10 22 5 2" xfId="4482" xr:uid="{00000000-0005-0000-0000-000082110000}"/>
    <cellStyle name="Normal 10 2 10 22 5 3" xfId="4483" xr:uid="{00000000-0005-0000-0000-000083110000}"/>
    <cellStyle name="Normal 10 2 10 22 5 4" xfId="4484" xr:uid="{00000000-0005-0000-0000-000084110000}"/>
    <cellStyle name="Normal 10 2 10 22 5 5" xfId="4485" xr:uid="{00000000-0005-0000-0000-000085110000}"/>
    <cellStyle name="Normal 10 2 10 22 5 6" xfId="4486" xr:uid="{00000000-0005-0000-0000-000086110000}"/>
    <cellStyle name="Normal 10 2 10 22 5 7" xfId="4487" xr:uid="{00000000-0005-0000-0000-000087110000}"/>
    <cellStyle name="Normal 10 2 10 22 5 8" xfId="4488" xr:uid="{00000000-0005-0000-0000-000088110000}"/>
    <cellStyle name="Normal 10 2 10 22 5 9" xfId="4489" xr:uid="{00000000-0005-0000-0000-000089110000}"/>
    <cellStyle name="Normal 10 2 10 22 6" xfId="4490" xr:uid="{00000000-0005-0000-0000-00008A110000}"/>
    <cellStyle name="Normal 10 2 10 22 7" xfId="4491" xr:uid="{00000000-0005-0000-0000-00008B110000}"/>
    <cellStyle name="Normal 10 2 10 22 8" xfId="4492" xr:uid="{00000000-0005-0000-0000-00008C110000}"/>
    <cellStyle name="Normal 10 2 10 22 9" xfId="4493" xr:uid="{00000000-0005-0000-0000-00008D110000}"/>
    <cellStyle name="Normal 10 2 10 23" xfId="4494" xr:uid="{00000000-0005-0000-0000-00008E110000}"/>
    <cellStyle name="Normal 10 2 10 23 10" xfId="4495" xr:uid="{00000000-0005-0000-0000-00008F110000}"/>
    <cellStyle name="Normal 10 2 10 23 11" xfId="4496" xr:uid="{00000000-0005-0000-0000-000090110000}"/>
    <cellStyle name="Normal 10 2 10 23 12" xfId="4497" xr:uid="{00000000-0005-0000-0000-000091110000}"/>
    <cellStyle name="Normal 10 2 10 23 13" xfId="4498" xr:uid="{00000000-0005-0000-0000-000092110000}"/>
    <cellStyle name="Normal 10 2 10 23 14" xfId="4499" xr:uid="{00000000-0005-0000-0000-000093110000}"/>
    <cellStyle name="Normal 10 2 10 23 2" xfId="4500" xr:uid="{00000000-0005-0000-0000-000094110000}"/>
    <cellStyle name="Normal 10 2 10 23 2 10" xfId="4501" xr:uid="{00000000-0005-0000-0000-000095110000}"/>
    <cellStyle name="Normal 10 2 10 23 2 2" xfId="4502" xr:uid="{00000000-0005-0000-0000-000096110000}"/>
    <cellStyle name="Normal 10 2 10 23 2 3" xfId="4503" xr:uid="{00000000-0005-0000-0000-000097110000}"/>
    <cellStyle name="Normal 10 2 10 23 2 4" xfId="4504" xr:uid="{00000000-0005-0000-0000-000098110000}"/>
    <cellStyle name="Normal 10 2 10 23 2 5" xfId="4505" xr:uid="{00000000-0005-0000-0000-000099110000}"/>
    <cellStyle name="Normal 10 2 10 23 2 6" xfId="4506" xr:uid="{00000000-0005-0000-0000-00009A110000}"/>
    <cellStyle name="Normal 10 2 10 23 2 7" xfId="4507" xr:uid="{00000000-0005-0000-0000-00009B110000}"/>
    <cellStyle name="Normal 10 2 10 23 2 8" xfId="4508" xr:uid="{00000000-0005-0000-0000-00009C110000}"/>
    <cellStyle name="Normal 10 2 10 23 2 9" xfId="4509" xr:uid="{00000000-0005-0000-0000-00009D110000}"/>
    <cellStyle name="Normal 10 2 10 23 3" xfId="4510" xr:uid="{00000000-0005-0000-0000-00009E110000}"/>
    <cellStyle name="Normal 10 2 10 23 3 10" xfId="4511" xr:uid="{00000000-0005-0000-0000-00009F110000}"/>
    <cellStyle name="Normal 10 2 10 23 3 2" xfId="4512" xr:uid="{00000000-0005-0000-0000-0000A0110000}"/>
    <cellStyle name="Normal 10 2 10 23 3 3" xfId="4513" xr:uid="{00000000-0005-0000-0000-0000A1110000}"/>
    <cellStyle name="Normal 10 2 10 23 3 4" xfId="4514" xr:uid="{00000000-0005-0000-0000-0000A2110000}"/>
    <cellStyle name="Normal 10 2 10 23 3 5" xfId="4515" xr:uid="{00000000-0005-0000-0000-0000A3110000}"/>
    <cellStyle name="Normal 10 2 10 23 3 6" xfId="4516" xr:uid="{00000000-0005-0000-0000-0000A4110000}"/>
    <cellStyle name="Normal 10 2 10 23 3 7" xfId="4517" xr:uid="{00000000-0005-0000-0000-0000A5110000}"/>
    <cellStyle name="Normal 10 2 10 23 3 8" xfId="4518" xr:uid="{00000000-0005-0000-0000-0000A6110000}"/>
    <cellStyle name="Normal 10 2 10 23 3 9" xfId="4519" xr:uid="{00000000-0005-0000-0000-0000A7110000}"/>
    <cellStyle name="Normal 10 2 10 23 4" xfId="4520" xr:uid="{00000000-0005-0000-0000-0000A8110000}"/>
    <cellStyle name="Normal 10 2 10 23 4 10" xfId="4521" xr:uid="{00000000-0005-0000-0000-0000A9110000}"/>
    <cellStyle name="Normal 10 2 10 23 4 2" xfId="4522" xr:uid="{00000000-0005-0000-0000-0000AA110000}"/>
    <cellStyle name="Normal 10 2 10 23 4 3" xfId="4523" xr:uid="{00000000-0005-0000-0000-0000AB110000}"/>
    <cellStyle name="Normal 10 2 10 23 4 4" xfId="4524" xr:uid="{00000000-0005-0000-0000-0000AC110000}"/>
    <cellStyle name="Normal 10 2 10 23 4 5" xfId="4525" xr:uid="{00000000-0005-0000-0000-0000AD110000}"/>
    <cellStyle name="Normal 10 2 10 23 4 6" xfId="4526" xr:uid="{00000000-0005-0000-0000-0000AE110000}"/>
    <cellStyle name="Normal 10 2 10 23 4 7" xfId="4527" xr:uid="{00000000-0005-0000-0000-0000AF110000}"/>
    <cellStyle name="Normal 10 2 10 23 4 8" xfId="4528" xr:uid="{00000000-0005-0000-0000-0000B0110000}"/>
    <cellStyle name="Normal 10 2 10 23 4 9" xfId="4529" xr:uid="{00000000-0005-0000-0000-0000B1110000}"/>
    <cellStyle name="Normal 10 2 10 23 5" xfId="4530" xr:uid="{00000000-0005-0000-0000-0000B2110000}"/>
    <cellStyle name="Normal 10 2 10 23 5 10" xfId="4531" xr:uid="{00000000-0005-0000-0000-0000B3110000}"/>
    <cellStyle name="Normal 10 2 10 23 5 2" xfId="4532" xr:uid="{00000000-0005-0000-0000-0000B4110000}"/>
    <cellStyle name="Normal 10 2 10 23 5 3" xfId="4533" xr:uid="{00000000-0005-0000-0000-0000B5110000}"/>
    <cellStyle name="Normal 10 2 10 23 5 4" xfId="4534" xr:uid="{00000000-0005-0000-0000-0000B6110000}"/>
    <cellStyle name="Normal 10 2 10 23 5 5" xfId="4535" xr:uid="{00000000-0005-0000-0000-0000B7110000}"/>
    <cellStyle name="Normal 10 2 10 23 5 6" xfId="4536" xr:uid="{00000000-0005-0000-0000-0000B8110000}"/>
    <cellStyle name="Normal 10 2 10 23 5 7" xfId="4537" xr:uid="{00000000-0005-0000-0000-0000B9110000}"/>
    <cellStyle name="Normal 10 2 10 23 5 8" xfId="4538" xr:uid="{00000000-0005-0000-0000-0000BA110000}"/>
    <cellStyle name="Normal 10 2 10 23 5 9" xfId="4539" xr:uid="{00000000-0005-0000-0000-0000BB110000}"/>
    <cellStyle name="Normal 10 2 10 23 6" xfId="4540" xr:uid="{00000000-0005-0000-0000-0000BC110000}"/>
    <cellStyle name="Normal 10 2 10 23 7" xfId="4541" xr:uid="{00000000-0005-0000-0000-0000BD110000}"/>
    <cellStyle name="Normal 10 2 10 23 8" xfId="4542" xr:uid="{00000000-0005-0000-0000-0000BE110000}"/>
    <cellStyle name="Normal 10 2 10 23 9" xfId="4543" xr:uid="{00000000-0005-0000-0000-0000BF110000}"/>
    <cellStyle name="Normal 10 2 10 24" xfId="4544" xr:uid="{00000000-0005-0000-0000-0000C0110000}"/>
    <cellStyle name="Normal 10 2 10 24 10" xfId="4545" xr:uid="{00000000-0005-0000-0000-0000C1110000}"/>
    <cellStyle name="Normal 10 2 10 24 11" xfId="4546" xr:uid="{00000000-0005-0000-0000-0000C2110000}"/>
    <cellStyle name="Normal 10 2 10 24 12" xfId="4547" xr:uid="{00000000-0005-0000-0000-0000C3110000}"/>
    <cellStyle name="Normal 10 2 10 24 13" xfId="4548" xr:uid="{00000000-0005-0000-0000-0000C4110000}"/>
    <cellStyle name="Normal 10 2 10 24 14" xfId="4549" xr:uid="{00000000-0005-0000-0000-0000C5110000}"/>
    <cellStyle name="Normal 10 2 10 24 2" xfId="4550" xr:uid="{00000000-0005-0000-0000-0000C6110000}"/>
    <cellStyle name="Normal 10 2 10 24 2 10" xfId="4551" xr:uid="{00000000-0005-0000-0000-0000C7110000}"/>
    <cellStyle name="Normal 10 2 10 24 2 2" xfId="4552" xr:uid="{00000000-0005-0000-0000-0000C8110000}"/>
    <cellStyle name="Normal 10 2 10 24 2 3" xfId="4553" xr:uid="{00000000-0005-0000-0000-0000C9110000}"/>
    <cellStyle name="Normal 10 2 10 24 2 4" xfId="4554" xr:uid="{00000000-0005-0000-0000-0000CA110000}"/>
    <cellStyle name="Normal 10 2 10 24 2 5" xfId="4555" xr:uid="{00000000-0005-0000-0000-0000CB110000}"/>
    <cellStyle name="Normal 10 2 10 24 2 6" xfId="4556" xr:uid="{00000000-0005-0000-0000-0000CC110000}"/>
    <cellStyle name="Normal 10 2 10 24 2 7" xfId="4557" xr:uid="{00000000-0005-0000-0000-0000CD110000}"/>
    <cellStyle name="Normal 10 2 10 24 2 8" xfId="4558" xr:uid="{00000000-0005-0000-0000-0000CE110000}"/>
    <cellStyle name="Normal 10 2 10 24 2 9" xfId="4559" xr:uid="{00000000-0005-0000-0000-0000CF110000}"/>
    <cellStyle name="Normal 10 2 10 24 3" xfId="4560" xr:uid="{00000000-0005-0000-0000-0000D0110000}"/>
    <cellStyle name="Normal 10 2 10 24 3 10" xfId="4561" xr:uid="{00000000-0005-0000-0000-0000D1110000}"/>
    <cellStyle name="Normal 10 2 10 24 3 2" xfId="4562" xr:uid="{00000000-0005-0000-0000-0000D2110000}"/>
    <cellStyle name="Normal 10 2 10 24 3 3" xfId="4563" xr:uid="{00000000-0005-0000-0000-0000D3110000}"/>
    <cellStyle name="Normal 10 2 10 24 3 4" xfId="4564" xr:uid="{00000000-0005-0000-0000-0000D4110000}"/>
    <cellStyle name="Normal 10 2 10 24 3 5" xfId="4565" xr:uid="{00000000-0005-0000-0000-0000D5110000}"/>
    <cellStyle name="Normal 10 2 10 24 3 6" xfId="4566" xr:uid="{00000000-0005-0000-0000-0000D6110000}"/>
    <cellStyle name="Normal 10 2 10 24 3 7" xfId="4567" xr:uid="{00000000-0005-0000-0000-0000D7110000}"/>
    <cellStyle name="Normal 10 2 10 24 3 8" xfId="4568" xr:uid="{00000000-0005-0000-0000-0000D8110000}"/>
    <cellStyle name="Normal 10 2 10 24 3 9" xfId="4569" xr:uid="{00000000-0005-0000-0000-0000D9110000}"/>
    <cellStyle name="Normal 10 2 10 24 4" xfId="4570" xr:uid="{00000000-0005-0000-0000-0000DA110000}"/>
    <cellStyle name="Normal 10 2 10 24 4 10" xfId="4571" xr:uid="{00000000-0005-0000-0000-0000DB110000}"/>
    <cellStyle name="Normal 10 2 10 24 4 2" xfId="4572" xr:uid="{00000000-0005-0000-0000-0000DC110000}"/>
    <cellStyle name="Normal 10 2 10 24 4 3" xfId="4573" xr:uid="{00000000-0005-0000-0000-0000DD110000}"/>
    <cellStyle name="Normal 10 2 10 24 4 4" xfId="4574" xr:uid="{00000000-0005-0000-0000-0000DE110000}"/>
    <cellStyle name="Normal 10 2 10 24 4 5" xfId="4575" xr:uid="{00000000-0005-0000-0000-0000DF110000}"/>
    <cellStyle name="Normal 10 2 10 24 4 6" xfId="4576" xr:uid="{00000000-0005-0000-0000-0000E0110000}"/>
    <cellStyle name="Normal 10 2 10 24 4 7" xfId="4577" xr:uid="{00000000-0005-0000-0000-0000E1110000}"/>
    <cellStyle name="Normal 10 2 10 24 4 8" xfId="4578" xr:uid="{00000000-0005-0000-0000-0000E2110000}"/>
    <cellStyle name="Normal 10 2 10 24 4 9" xfId="4579" xr:uid="{00000000-0005-0000-0000-0000E3110000}"/>
    <cellStyle name="Normal 10 2 10 24 5" xfId="4580" xr:uid="{00000000-0005-0000-0000-0000E4110000}"/>
    <cellStyle name="Normal 10 2 10 24 5 10" xfId="4581" xr:uid="{00000000-0005-0000-0000-0000E5110000}"/>
    <cellStyle name="Normal 10 2 10 24 5 2" xfId="4582" xr:uid="{00000000-0005-0000-0000-0000E6110000}"/>
    <cellStyle name="Normal 10 2 10 24 5 3" xfId="4583" xr:uid="{00000000-0005-0000-0000-0000E7110000}"/>
    <cellStyle name="Normal 10 2 10 24 5 4" xfId="4584" xr:uid="{00000000-0005-0000-0000-0000E8110000}"/>
    <cellStyle name="Normal 10 2 10 24 5 5" xfId="4585" xr:uid="{00000000-0005-0000-0000-0000E9110000}"/>
    <cellStyle name="Normal 10 2 10 24 5 6" xfId="4586" xr:uid="{00000000-0005-0000-0000-0000EA110000}"/>
    <cellStyle name="Normal 10 2 10 24 5 7" xfId="4587" xr:uid="{00000000-0005-0000-0000-0000EB110000}"/>
    <cellStyle name="Normal 10 2 10 24 5 8" xfId="4588" xr:uid="{00000000-0005-0000-0000-0000EC110000}"/>
    <cellStyle name="Normal 10 2 10 24 5 9" xfId="4589" xr:uid="{00000000-0005-0000-0000-0000ED110000}"/>
    <cellStyle name="Normal 10 2 10 24 6" xfId="4590" xr:uid="{00000000-0005-0000-0000-0000EE110000}"/>
    <cellStyle name="Normal 10 2 10 24 7" xfId="4591" xr:uid="{00000000-0005-0000-0000-0000EF110000}"/>
    <cellStyle name="Normal 10 2 10 24 8" xfId="4592" xr:uid="{00000000-0005-0000-0000-0000F0110000}"/>
    <cellStyle name="Normal 10 2 10 24 9" xfId="4593" xr:uid="{00000000-0005-0000-0000-0000F1110000}"/>
    <cellStyle name="Normal 10 2 10 25" xfId="4594" xr:uid="{00000000-0005-0000-0000-0000F2110000}"/>
    <cellStyle name="Normal 10 2 10 25 10" xfId="4595" xr:uid="{00000000-0005-0000-0000-0000F3110000}"/>
    <cellStyle name="Normal 10 2 10 25 11" xfId="4596" xr:uid="{00000000-0005-0000-0000-0000F4110000}"/>
    <cellStyle name="Normal 10 2 10 25 12" xfId="4597" xr:uid="{00000000-0005-0000-0000-0000F5110000}"/>
    <cellStyle name="Normal 10 2 10 25 13" xfId="4598" xr:uid="{00000000-0005-0000-0000-0000F6110000}"/>
    <cellStyle name="Normal 10 2 10 25 14" xfId="4599" xr:uid="{00000000-0005-0000-0000-0000F7110000}"/>
    <cellStyle name="Normal 10 2 10 25 2" xfId="4600" xr:uid="{00000000-0005-0000-0000-0000F8110000}"/>
    <cellStyle name="Normal 10 2 10 25 2 10" xfId="4601" xr:uid="{00000000-0005-0000-0000-0000F9110000}"/>
    <cellStyle name="Normal 10 2 10 25 2 2" xfId="4602" xr:uid="{00000000-0005-0000-0000-0000FA110000}"/>
    <cellStyle name="Normal 10 2 10 25 2 3" xfId="4603" xr:uid="{00000000-0005-0000-0000-0000FB110000}"/>
    <cellStyle name="Normal 10 2 10 25 2 4" xfId="4604" xr:uid="{00000000-0005-0000-0000-0000FC110000}"/>
    <cellStyle name="Normal 10 2 10 25 2 5" xfId="4605" xr:uid="{00000000-0005-0000-0000-0000FD110000}"/>
    <cellStyle name="Normal 10 2 10 25 2 6" xfId="4606" xr:uid="{00000000-0005-0000-0000-0000FE110000}"/>
    <cellStyle name="Normal 10 2 10 25 2 7" xfId="4607" xr:uid="{00000000-0005-0000-0000-0000FF110000}"/>
    <cellStyle name="Normal 10 2 10 25 2 8" xfId="4608" xr:uid="{00000000-0005-0000-0000-000000120000}"/>
    <cellStyle name="Normal 10 2 10 25 2 9" xfId="4609" xr:uid="{00000000-0005-0000-0000-000001120000}"/>
    <cellStyle name="Normal 10 2 10 25 3" xfId="4610" xr:uid="{00000000-0005-0000-0000-000002120000}"/>
    <cellStyle name="Normal 10 2 10 25 3 10" xfId="4611" xr:uid="{00000000-0005-0000-0000-000003120000}"/>
    <cellStyle name="Normal 10 2 10 25 3 2" xfId="4612" xr:uid="{00000000-0005-0000-0000-000004120000}"/>
    <cellStyle name="Normal 10 2 10 25 3 3" xfId="4613" xr:uid="{00000000-0005-0000-0000-000005120000}"/>
    <cellStyle name="Normal 10 2 10 25 3 4" xfId="4614" xr:uid="{00000000-0005-0000-0000-000006120000}"/>
    <cellStyle name="Normal 10 2 10 25 3 5" xfId="4615" xr:uid="{00000000-0005-0000-0000-000007120000}"/>
    <cellStyle name="Normal 10 2 10 25 3 6" xfId="4616" xr:uid="{00000000-0005-0000-0000-000008120000}"/>
    <cellStyle name="Normal 10 2 10 25 3 7" xfId="4617" xr:uid="{00000000-0005-0000-0000-000009120000}"/>
    <cellStyle name="Normal 10 2 10 25 3 8" xfId="4618" xr:uid="{00000000-0005-0000-0000-00000A120000}"/>
    <cellStyle name="Normal 10 2 10 25 3 9" xfId="4619" xr:uid="{00000000-0005-0000-0000-00000B120000}"/>
    <cellStyle name="Normal 10 2 10 25 4" xfId="4620" xr:uid="{00000000-0005-0000-0000-00000C120000}"/>
    <cellStyle name="Normal 10 2 10 25 4 10" xfId="4621" xr:uid="{00000000-0005-0000-0000-00000D120000}"/>
    <cellStyle name="Normal 10 2 10 25 4 2" xfId="4622" xr:uid="{00000000-0005-0000-0000-00000E120000}"/>
    <cellStyle name="Normal 10 2 10 25 4 3" xfId="4623" xr:uid="{00000000-0005-0000-0000-00000F120000}"/>
    <cellStyle name="Normal 10 2 10 25 4 4" xfId="4624" xr:uid="{00000000-0005-0000-0000-000010120000}"/>
    <cellStyle name="Normal 10 2 10 25 4 5" xfId="4625" xr:uid="{00000000-0005-0000-0000-000011120000}"/>
    <cellStyle name="Normal 10 2 10 25 4 6" xfId="4626" xr:uid="{00000000-0005-0000-0000-000012120000}"/>
    <cellStyle name="Normal 10 2 10 25 4 7" xfId="4627" xr:uid="{00000000-0005-0000-0000-000013120000}"/>
    <cellStyle name="Normal 10 2 10 25 4 8" xfId="4628" xr:uid="{00000000-0005-0000-0000-000014120000}"/>
    <cellStyle name="Normal 10 2 10 25 4 9" xfId="4629" xr:uid="{00000000-0005-0000-0000-000015120000}"/>
    <cellStyle name="Normal 10 2 10 25 5" xfId="4630" xr:uid="{00000000-0005-0000-0000-000016120000}"/>
    <cellStyle name="Normal 10 2 10 25 5 10" xfId="4631" xr:uid="{00000000-0005-0000-0000-000017120000}"/>
    <cellStyle name="Normal 10 2 10 25 5 2" xfId="4632" xr:uid="{00000000-0005-0000-0000-000018120000}"/>
    <cellStyle name="Normal 10 2 10 25 5 3" xfId="4633" xr:uid="{00000000-0005-0000-0000-000019120000}"/>
    <cellStyle name="Normal 10 2 10 25 5 4" xfId="4634" xr:uid="{00000000-0005-0000-0000-00001A120000}"/>
    <cellStyle name="Normal 10 2 10 25 5 5" xfId="4635" xr:uid="{00000000-0005-0000-0000-00001B120000}"/>
    <cellStyle name="Normal 10 2 10 25 5 6" xfId="4636" xr:uid="{00000000-0005-0000-0000-00001C120000}"/>
    <cellStyle name="Normal 10 2 10 25 5 7" xfId="4637" xr:uid="{00000000-0005-0000-0000-00001D120000}"/>
    <cellStyle name="Normal 10 2 10 25 5 8" xfId="4638" xr:uid="{00000000-0005-0000-0000-00001E120000}"/>
    <cellStyle name="Normal 10 2 10 25 5 9" xfId="4639" xr:uid="{00000000-0005-0000-0000-00001F120000}"/>
    <cellStyle name="Normal 10 2 10 25 6" xfId="4640" xr:uid="{00000000-0005-0000-0000-000020120000}"/>
    <cellStyle name="Normal 10 2 10 25 7" xfId="4641" xr:uid="{00000000-0005-0000-0000-000021120000}"/>
    <cellStyle name="Normal 10 2 10 25 8" xfId="4642" xr:uid="{00000000-0005-0000-0000-000022120000}"/>
    <cellStyle name="Normal 10 2 10 25 9" xfId="4643" xr:uid="{00000000-0005-0000-0000-000023120000}"/>
    <cellStyle name="Normal 10 2 10 26" xfId="4644" xr:uid="{00000000-0005-0000-0000-000024120000}"/>
    <cellStyle name="Normal 10 2 10 26 10" xfId="4645" xr:uid="{00000000-0005-0000-0000-000025120000}"/>
    <cellStyle name="Normal 10 2 10 26 11" xfId="4646" xr:uid="{00000000-0005-0000-0000-000026120000}"/>
    <cellStyle name="Normal 10 2 10 26 12" xfId="4647" xr:uid="{00000000-0005-0000-0000-000027120000}"/>
    <cellStyle name="Normal 10 2 10 26 13" xfId="4648" xr:uid="{00000000-0005-0000-0000-000028120000}"/>
    <cellStyle name="Normal 10 2 10 26 14" xfId="4649" xr:uid="{00000000-0005-0000-0000-000029120000}"/>
    <cellStyle name="Normal 10 2 10 26 2" xfId="4650" xr:uid="{00000000-0005-0000-0000-00002A120000}"/>
    <cellStyle name="Normal 10 2 10 26 2 10" xfId="4651" xr:uid="{00000000-0005-0000-0000-00002B120000}"/>
    <cellStyle name="Normal 10 2 10 26 2 2" xfId="4652" xr:uid="{00000000-0005-0000-0000-00002C120000}"/>
    <cellStyle name="Normal 10 2 10 26 2 3" xfId="4653" xr:uid="{00000000-0005-0000-0000-00002D120000}"/>
    <cellStyle name="Normal 10 2 10 26 2 4" xfId="4654" xr:uid="{00000000-0005-0000-0000-00002E120000}"/>
    <cellStyle name="Normal 10 2 10 26 2 5" xfId="4655" xr:uid="{00000000-0005-0000-0000-00002F120000}"/>
    <cellStyle name="Normal 10 2 10 26 2 6" xfId="4656" xr:uid="{00000000-0005-0000-0000-000030120000}"/>
    <cellStyle name="Normal 10 2 10 26 2 7" xfId="4657" xr:uid="{00000000-0005-0000-0000-000031120000}"/>
    <cellStyle name="Normal 10 2 10 26 2 8" xfId="4658" xr:uid="{00000000-0005-0000-0000-000032120000}"/>
    <cellStyle name="Normal 10 2 10 26 2 9" xfId="4659" xr:uid="{00000000-0005-0000-0000-000033120000}"/>
    <cellStyle name="Normal 10 2 10 26 3" xfId="4660" xr:uid="{00000000-0005-0000-0000-000034120000}"/>
    <cellStyle name="Normal 10 2 10 26 3 10" xfId="4661" xr:uid="{00000000-0005-0000-0000-000035120000}"/>
    <cellStyle name="Normal 10 2 10 26 3 2" xfId="4662" xr:uid="{00000000-0005-0000-0000-000036120000}"/>
    <cellStyle name="Normal 10 2 10 26 3 3" xfId="4663" xr:uid="{00000000-0005-0000-0000-000037120000}"/>
    <cellStyle name="Normal 10 2 10 26 3 4" xfId="4664" xr:uid="{00000000-0005-0000-0000-000038120000}"/>
    <cellStyle name="Normal 10 2 10 26 3 5" xfId="4665" xr:uid="{00000000-0005-0000-0000-000039120000}"/>
    <cellStyle name="Normal 10 2 10 26 3 6" xfId="4666" xr:uid="{00000000-0005-0000-0000-00003A120000}"/>
    <cellStyle name="Normal 10 2 10 26 3 7" xfId="4667" xr:uid="{00000000-0005-0000-0000-00003B120000}"/>
    <cellStyle name="Normal 10 2 10 26 3 8" xfId="4668" xr:uid="{00000000-0005-0000-0000-00003C120000}"/>
    <cellStyle name="Normal 10 2 10 26 3 9" xfId="4669" xr:uid="{00000000-0005-0000-0000-00003D120000}"/>
    <cellStyle name="Normal 10 2 10 26 4" xfId="4670" xr:uid="{00000000-0005-0000-0000-00003E120000}"/>
    <cellStyle name="Normal 10 2 10 26 4 10" xfId="4671" xr:uid="{00000000-0005-0000-0000-00003F120000}"/>
    <cellStyle name="Normal 10 2 10 26 4 2" xfId="4672" xr:uid="{00000000-0005-0000-0000-000040120000}"/>
    <cellStyle name="Normal 10 2 10 26 4 3" xfId="4673" xr:uid="{00000000-0005-0000-0000-000041120000}"/>
    <cellStyle name="Normal 10 2 10 26 4 4" xfId="4674" xr:uid="{00000000-0005-0000-0000-000042120000}"/>
    <cellStyle name="Normal 10 2 10 26 4 5" xfId="4675" xr:uid="{00000000-0005-0000-0000-000043120000}"/>
    <cellStyle name="Normal 10 2 10 26 4 6" xfId="4676" xr:uid="{00000000-0005-0000-0000-000044120000}"/>
    <cellStyle name="Normal 10 2 10 26 4 7" xfId="4677" xr:uid="{00000000-0005-0000-0000-000045120000}"/>
    <cellStyle name="Normal 10 2 10 26 4 8" xfId="4678" xr:uid="{00000000-0005-0000-0000-000046120000}"/>
    <cellStyle name="Normal 10 2 10 26 4 9" xfId="4679" xr:uid="{00000000-0005-0000-0000-000047120000}"/>
    <cellStyle name="Normal 10 2 10 26 5" xfId="4680" xr:uid="{00000000-0005-0000-0000-000048120000}"/>
    <cellStyle name="Normal 10 2 10 26 5 10" xfId="4681" xr:uid="{00000000-0005-0000-0000-000049120000}"/>
    <cellStyle name="Normal 10 2 10 26 5 2" xfId="4682" xr:uid="{00000000-0005-0000-0000-00004A120000}"/>
    <cellStyle name="Normal 10 2 10 26 5 3" xfId="4683" xr:uid="{00000000-0005-0000-0000-00004B120000}"/>
    <cellStyle name="Normal 10 2 10 26 5 4" xfId="4684" xr:uid="{00000000-0005-0000-0000-00004C120000}"/>
    <cellStyle name="Normal 10 2 10 26 5 5" xfId="4685" xr:uid="{00000000-0005-0000-0000-00004D120000}"/>
    <cellStyle name="Normal 10 2 10 26 5 6" xfId="4686" xr:uid="{00000000-0005-0000-0000-00004E120000}"/>
    <cellStyle name="Normal 10 2 10 26 5 7" xfId="4687" xr:uid="{00000000-0005-0000-0000-00004F120000}"/>
    <cellStyle name="Normal 10 2 10 26 5 8" xfId="4688" xr:uid="{00000000-0005-0000-0000-000050120000}"/>
    <cellStyle name="Normal 10 2 10 26 5 9" xfId="4689" xr:uid="{00000000-0005-0000-0000-000051120000}"/>
    <cellStyle name="Normal 10 2 10 26 6" xfId="4690" xr:uid="{00000000-0005-0000-0000-000052120000}"/>
    <cellStyle name="Normal 10 2 10 26 7" xfId="4691" xr:uid="{00000000-0005-0000-0000-000053120000}"/>
    <cellStyle name="Normal 10 2 10 26 8" xfId="4692" xr:uid="{00000000-0005-0000-0000-000054120000}"/>
    <cellStyle name="Normal 10 2 10 26 9" xfId="4693" xr:uid="{00000000-0005-0000-0000-000055120000}"/>
    <cellStyle name="Normal 10 2 10 27" xfId="4694" xr:uid="{00000000-0005-0000-0000-000056120000}"/>
    <cellStyle name="Normal 10 2 10 27 10" xfId="4695" xr:uid="{00000000-0005-0000-0000-000057120000}"/>
    <cellStyle name="Normal 10 2 10 27 11" xfId="4696" xr:uid="{00000000-0005-0000-0000-000058120000}"/>
    <cellStyle name="Normal 10 2 10 27 12" xfId="4697" xr:uid="{00000000-0005-0000-0000-000059120000}"/>
    <cellStyle name="Normal 10 2 10 27 13" xfId="4698" xr:uid="{00000000-0005-0000-0000-00005A120000}"/>
    <cellStyle name="Normal 10 2 10 27 14" xfId="4699" xr:uid="{00000000-0005-0000-0000-00005B120000}"/>
    <cellStyle name="Normal 10 2 10 27 2" xfId="4700" xr:uid="{00000000-0005-0000-0000-00005C120000}"/>
    <cellStyle name="Normal 10 2 10 27 2 10" xfId="4701" xr:uid="{00000000-0005-0000-0000-00005D120000}"/>
    <cellStyle name="Normal 10 2 10 27 2 2" xfId="4702" xr:uid="{00000000-0005-0000-0000-00005E120000}"/>
    <cellStyle name="Normal 10 2 10 27 2 3" xfId="4703" xr:uid="{00000000-0005-0000-0000-00005F120000}"/>
    <cellStyle name="Normal 10 2 10 27 2 4" xfId="4704" xr:uid="{00000000-0005-0000-0000-000060120000}"/>
    <cellStyle name="Normal 10 2 10 27 2 5" xfId="4705" xr:uid="{00000000-0005-0000-0000-000061120000}"/>
    <cellStyle name="Normal 10 2 10 27 2 6" xfId="4706" xr:uid="{00000000-0005-0000-0000-000062120000}"/>
    <cellStyle name="Normal 10 2 10 27 2 7" xfId="4707" xr:uid="{00000000-0005-0000-0000-000063120000}"/>
    <cellStyle name="Normal 10 2 10 27 2 8" xfId="4708" xr:uid="{00000000-0005-0000-0000-000064120000}"/>
    <cellStyle name="Normal 10 2 10 27 2 9" xfId="4709" xr:uid="{00000000-0005-0000-0000-000065120000}"/>
    <cellStyle name="Normal 10 2 10 27 3" xfId="4710" xr:uid="{00000000-0005-0000-0000-000066120000}"/>
    <cellStyle name="Normal 10 2 10 27 3 10" xfId="4711" xr:uid="{00000000-0005-0000-0000-000067120000}"/>
    <cellStyle name="Normal 10 2 10 27 3 2" xfId="4712" xr:uid="{00000000-0005-0000-0000-000068120000}"/>
    <cellStyle name="Normal 10 2 10 27 3 3" xfId="4713" xr:uid="{00000000-0005-0000-0000-000069120000}"/>
    <cellStyle name="Normal 10 2 10 27 3 4" xfId="4714" xr:uid="{00000000-0005-0000-0000-00006A120000}"/>
    <cellStyle name="Normal 10 2 10 27 3 5" xfId="4715" xr:uid="{00000000-0005-0000-0000-00006B120000}"/>
    <cellStyle name="Normal 10 2 10 27 3 6" xfId="4716" xr:uid="{00000000-0005-0000-0000-00006C120000}"/>
    <cellStyle name="Normal 10 2 10 27 3 7" xfId="4717" xr:uid="{00000000-0005-0000-0000-00006D120000}"/>
    <cellStyle name="Normal 10 2 10 27 3 8" xfId="4718" xr:uid="{00000000-0005-0000-0000-00006E120000}"/>
    <cellStyle name="Normal 10 2 10 27 3 9" xfId="4719" xr:uid="{00000000-0005-0000-0000-00006F120000}"/>
    <cellStyle name="Normal 10 2 10 27 4" xfId="4720" xr:uid="{00000000-0005-0000-0000-000070120000}"/>
    <cellStyle name="Normal 10 2 10 27 4 10" xfId="4721" xr:uid="{00000000-0005-0000-0000-000071120000}"/>
    <cellStyle name="Normal 10 2 10 27 4 2" xfId="4722" xr:uid="{00000000-0005-0000-0000-000072120000}"/>
    <cellStyle name="Normal 10 2 10 27 4 3" xfId="4723" xr:uid="{00000000-0005-0000-0000-000073120000}"/>
    <cellStyle name="Normal 10 2 10 27 4 4" xfId="4724" xr:uid="{00000000-0005-0000-0000-000074120000}"/>
    <cellStyle name="Normal 10 2 10 27 4 5" xfId="4725" xr:uid="{00000000-0005-0000-0000-000075120000}"/>
    <cellStyle name="Normal 10 2 10 27 4 6" xfId="4726" xr:uid="{00000000-0005-0000-0000-000076120000}"/>
    <cellStyle name="Normal 10 2 10 27 4 7" xfId="4727" xr:uid="{00000000-0005-0000-0000-000077120000}"/>
    <cellStyle name="Normal 10 2 10 27 4 8" xfId="4728" xr:uid="{00000000-0005-0000-0000-000078120000}"/>
    <cellStyle name="Normal 10 2 10 27 4 9" xfId="4729" xr:uid="{00000000-0005-0000-0000-000079120000}"/>
    <cellStyle name="Normal 10 2 10 27 5" xfId="4730" xr:uid="{00000000-0005-0000-0000-00007A120000}"/>
    <cellStyle name="Normal 10 2 10 27 5 10" xfId="4731" xr:uid="{00000000-0005-0000-0000-00007B120000}"/>
    <cellStyle name="Normal 10 2 10 27 5 2" xfId="4732" xr:uid="{00000000-0005-0000-0000-00007C120000}"/>
    <cellStyle name="Normal 10 2 10 27 5 3" xfId="4733" xr:uid="{00000000-0005-0000-0000-00007D120000}"/>
    <cellStyle name="Normal 10 2 10 27 5 4" xfId="4734" xr:uid="{00000000-0005-0000-0000-00007E120000}"/>
    <cellStyle name="Normal 10 2 10 27 5 5" xfId="4735" xr:uid="{00000000-0005-0000-0000-00007F120000}"/>
    <cellStyle name="Normal 10 2 10 27 5 6" xfId="4736" xr:uid="{00000000-0005-0000-0000-000080120000}"/>
    <cellStyle name="Normal 10 2 10 27 5 7" xfId="4737" xr:uid="{00000000-0005-0000-0000-000081120000}"/>
    <cellStyle name="Normal 10 2 10 27 5 8" xfId="4738" xr:uid="{00000000-0005-0000-0000-000082120000}"/>
    <cellStyle name="Normal 10 2 10 27 5 9" xfId="4739" xr:uid="{00000000-0005-0000-0000-000083120000}"/>
    <cellStyle name="Normal 10 2 10 27 6" xfId="4740" xr:uid="{00000000-0005-0000-0000-000084120000}"/>
    <cellStyle name="Normal 10 2 10 27 7" xfId="4741" xr:uid="{00000000-0005-0000-0000-000085120000}"/>
    <cellStyle name="Normal 10 2 10 27 8" xfId="4742" xr:uid="{00000000-0005-0000-0000-000086120000}"/>
    <cellStyle name="Normal 10 2 10 27 9" xfId="4743" xr:uid="{00000000-0005-0000-0000-000087120000}"/>
    <cellStyle name="Normal 10 2 10 28" xfId="4744" xr:uid="{00000000-0005-0000-0000-000088120000}"/>
    <cellStyle name="Normal 10 2 10 28 10" xfId="4745" xr:uid="{00000000-0005-0000-0000-000089120000}"/>
    <cellStyle name="Normal 10 2 10 28 11" xfId="4746" xr:uid="{00000000-0005-0000-0000-00008A120000}"/>
    <cellStyle name="Normal 10 2 10 28 12" xfId="4747" xr:uid="{00000000-0005-0000-0000-00008B120000}"/>
    <cellStyle name="Normal 10 2 10 28 13" xfId="4748" xr:uid="{00000000-0005-0000-0000-00008C120000}"/>
    <cellStyle name="Normal 10 2 10 28 14" xfId="4749" xr:uid="{00000000-0005-0000-0000-00008D120000}"/>
    <cellStyle name="Normal 10 2 10 28 2" xfId="4750" xr:uid="{00000000-0005-0000-0000-00008E120000}"/>
    <cellStyle name="Normal 10 2 10 28 2 10" xfId="4751" xr:uid="{00000000-0005-0000-0000-00008F120000}"/>
    <cellStyle name="Normal 10 2 10 28 2 2" xfId="4752" xr:uid="{00000000-0005-0000-0000-000090120000}"/>
    <cellStyle name="Normal 10 2 10 28 2 3" xfId="4753" xr:uid="{00000000-0005-0000-0000-000091120000}"/>
    <cellStyle name="Normal 10 2 10 28 2 4" xfId="4754" xr:uid="{00000000-0005-0000-0000-000092120000}"/>
    <cellStyle name="Normal 10 2 10 28 2 5" xfId="4755" xr:uid="{00000000-0005-0000-0000-000093120000}"/>
    <cellStyle name="Normal 10 2 10 28 2 6" xfId="4756" xr:uid="{00000000-0005-0000-0000-000094120000}"/>
    <cellStyle name="Normal 10 2 10 28 2 7" xfId="4757" xr:uid="{00000000-0005-0000-0000-000095120000}"/>
    <cellStyle name="Normal 10 2 10 28 2 8" xfId="4758" xr:uid="{00000000-0005-0000-0000-000096120000}"/>
    <cellStyle name="Normal 10 2 10 28 2 9" xfId="4759" xr:uid="{00000000-0005-0000-0000-000097120000}"/>
    <cellStyle name="Normal 10 2 10 28 3" xfId="4760" xr:uid="{00000000-0005-0000-0000-000098120000}"/>
    <cellStyle name="Normal 10 2 10 28 3 10" xfId="4761" xr:uid="{00000000-0005-0000-0000-000099120000}"/>
    <cellStyle name="Normal 10 2 10 28 3 2" xfId="4762" xr:uid="{00000000-0005-0000-0000-00009A120000}"/>
    <cellStyle name="Normal 10 2 10 28 3 3" xfId="4763" xr:uid="{00000000-0005-0000-0000-00009B120000}"/>
    <cellStyle name="Normal 10 2 10 28 3 4" xfId="4764" xr:uid="{00000000-0005-0000-0000-00009C120000}"/>
    <cellStyle name="Normal 10 2 10 28 3 5" xfId="4765" xr:uid="{00000000-0005-0000-0000-00009D120000}"/>
    <cellStyle name="Normal 10 2 10 28 3 6" xfId="4766" xr:uid="{00000000-0005-0000-0000-00009E120000}"/>
    <cellStyle name="Normal 10 2 10 28 3 7" xfId="4767" xr:uid="{00000000-0005-0000-0000-00009F120000}"/>
    <cellStyle name="Normal 10 2 10 28 3 8" xfId="4768" xr:uid="{00000000-0005-0000-0000-0000A0120000}"/>
    <cellStyle name="Normal 10 2 10 28 3 9" xfId="4769" xr:uid="{00000000-0005-0000-0000-0000A1120000}"/>
    <cellStyle name="Normal 10 2 10 28 4" xfId="4770" xr:uid="{00000000-0005-0000-0000-0000A2120000}"/>
    <cellStyle name="Normal 10 2 10 28 4 10" xfId="4771" xr:uid="{00000000-0005-0000-0000-0000A3120000}"/>
    <cellStyle name="Normal 10 2 10 28 4 2" xfId="4772" xr:uid="{00000000-0005-0000-0000-0000A4120000}"/>
    <cellStyle name="Normal 10 2 10 28 4 3" xfId="4773" xr:uid="{00000000-0005-0000-0000-0000A5120000}"/>
    <cellStyle name="Normal 10 2 10 28 4 4" xfId="4774" xr:uid="{00000000-0005-0000-0000-0000A6120000}"/>
    <cellStyle name="Normal 10 2 10 28 4 5" xfId="4775" xr:uid="{00000000-0005-0000-0000-0000A7120000}"/>
    <cellStyle name="Normal 10 2 10 28 4 6" xfId="4776" xr:uid="{00000000-0005-0000-0000-0000A8120000}"/>
    <cellStyle name="Normal 10 2 10 28 4 7" xfId="4777" xr:uid="{00000000-0005-0000-0000-0000A9120000}"/>
    <cellStyle name="Normal 10 2 10 28 4 8" xfId="4778" xr:uid="{00000000-0005-0000-0000-0000AA120000}"/>
    <cellStyle name="Normal 10 2 10 28 4 9" xfId="4779" xr:uid="{00000000-0005-0000-0000-0000AB120000}"/>
    <cellStyle name="Normal 10 2 10 28 5" xfId="4780" xr:uid="{00000000-0005-0000-0000-0000AC120000}"/>
    <cellStyle name="Normal 10 2 10 28 5 10" xfId="4781" xr:uid="{00000000-0005-0000-0000-0000AD120000}"/>
    <cellStyle name="Normal 10 2 10 28 5 2" xfId="4782" xr:uid="{00000000-0005-0000-0000-0000AE120000}"/>
    <cellStyle name="Normal 10 2 10 28 5 3" xfId="4783" xr:uid="{00000000-0005-0000-0000-0000AF120000}"/>
    <cellStyle name="Normal 10 2 10 28 5 4" xfId="4784" xr:uid="{00000000-0005-0000-0000-0000B0120000}"/>
    <cellStyle name="Normal 10 2 10 28 5 5" xfId="4785" xr:uid="{00000000-0005-0000-0000-0000B1120000}"/>
    <cellStyle name="Normal 10 2 10 28 5 6" xfId="4786" xr:uid="{00000000-0005-0000-0000-0000B2120000}"/>
    <cellStyle name="Normal 10 2 10 28 5 7" xfId="4787" xr:uid="{00000000-0005-0000-0000-0000B3120000}"/>
    <cellStyle name="Normal 10 2 10 28 5 8" xfId="4788" xr:uid="{00000000-0005-0000-0000-0000B4120000}"/>
    <cellStyle name="Normal 10 2 10 28 5 9" xfId="4789" xr:uid="{00000000-0005-0000-0000-0000B5120000}"/>
    <cellStyle name="Normal 10 2 10 28 6" xfId="4790" xr:uid="{00000000-0005-0000-0000-0000B6120000}"/>
    <cellStyle name="Normal 10 2 10 28 7" xfId="4791" xr:uid="{00000000-0005-0000-0000-0000B7120000}"/>
    <cellStyle name="Normal 10 2 10 28 8" xfId="4792" xr:uid="{00000000-0005-0000-0000-0000B8120000}"/>
    <cellStyle name="Normal 10 2 10 28 9" xfId="4793" xr:uid="{00000000-0005-0000-0000-0000B9120000}"/>
    <cellStyle name="Normal 10 2 10 29" xfId="4794" xr:uid="{00000000-0005-0000-0000-0000BA120000}"/>
    <cellStyle name="Normal 10 2 10 29 10" xfId="4795" xr:uid="{00000000-0005-0000-0000-0000BB120000}"/>
    <cellStyle name="Normal 10 2 10 29 11" xfId="4796" xr:uid="{00000000-0005-0000-0000-0000BC120000}"/>
    <cellStyle name="Normal 10 2 10 29 12" xfId="4797" xr:uid="{00000000-0005-0000-0000-0000BD120000}"/>
    <cellStyle name="Normal 10 2 10 29 13" xfId="4798" xr:uid="{00000000-0005-0000-0000-0000BE120000}"/>
    <cellStyle name="Normal 10 2 10 29 14" xfId="4799" xr:uid="{00000000-0005-0000-0000-0000BF120000}"/>
    <cellStyle name="Normal 10 2 10 29 2" xfId="4800" xr:uid="{00000000-0005-0000-0000-0000C0120000}"/>
    <cellStyle name="Normal 10 2 10 29 2 10" xfId="4801" xr:uid="{00000000-0005-0000-0000-0000C1120000}"/>
    <cellStyle name="Normal 10 2 10 29 2 2" xfId="4802" xr:uid="{00000000-0005-0000-0000-0000C2120000}"/>
    <cellStyle name="Normal 10 2 10 29 2 3" xfId="4803" xr:uid="{00000000-0005-0000-0000-0000C3120000}"/>
    <cellStyle name="Normal 10 2 10 29 2 4" xfId="4804" xr:uid="{00000000-0005-0000-0000-0000C4120000}"/>
    <cellStyle name="Normal 10 2 10 29 2 5" xfId="4805" xr:uid="{00000000-0005-0000-0000-0000C5120000}"/>
    <cellStyle name="Normal 10 2 10 29 2 6" xfId="4806" xr:uid="{00000000-0005-0000-0000-0000C6120000}"/>
    <cellStyle name="Normal 10 2 10 29 2 7" xfId="4807" xr:uid="{00000000-0005-0000-0000-0000C7120000}"/>
    <cellStyle name="Normal 10 2 10 29 2 8" xfId="4808" xr:uid="{00000000-0005-0000-0000-0000C8120000}"/>
    <cellStyle name="Normal 10 2 10 29 2 9" xfId="4809" xr:uid="{00000000-0005-0000-0000-0000C9120000}"/>
    <cellStyle name="Normal 10 2 10 29 3" xfId="4810" xr:uid="{00000000-0005-0000-0000-0000CA120000}"/>
    <cellStyle name="Normal 10 2 10 29 3 10" xfId="4811" xr:uid="{00000000-0005-0000-0000-0000CB120000}"/>
    <cellStyle name="Normal 10 2 10 29 3 2" xfId="4812" xr:uid="{00000000-0005-0000-0000-0000CC120000}"/>
    <cellStyle name="Normal 10 2 10 29 3 3" xfId="4813" xr:uid="{00000000-0005-0000-0000-0000CD120000}"/>
    <cellStyle name="Normal 10 2 10 29 3 4" xfId="4814" xr:uid="{00000000-0005-0000-0000-0000CE120000}"/>
    <cellStyle name="Normal 10 2 10 29 3 5" xfId="4815" xr:uid="{00000000-0005-0000-0000-0000CF120000}"/>
    <cellStyle name="Normal 10 2 10 29 3 6" xfId="4816" xr:uid="{00000000-0005-0000-0000-0000D0120000}"/>
    <cellStyle name="Normal 10 2 10 29 3 7" xfId="4817" xr:uid="{00000000-0005-0000-0000-0000D1120000}"/>
    <cellStyle name="Normal 10 2 10 29 3 8" xfId="4818" xr:uid="{00000000-0005-0000-0000-0000D2120000}"/>
    <cellStyle name="Normal 10 2 10 29 3 9" xfId="4819" xr:uid="{00000000-0005-0000-0000-0000D3120000}"/>
    <cellStyle name="Normal 10 2 10 29 4" xfId="4820" xr:uid="{00000000-0005-0000-0000-0000D4120000}"/>
    <cellStyle name="Normal 10 2 10 29 4 10" xfId="4821" xr:uid="{00000000-0005-0000-0000-0000D5120000}"/>
    <cellStyle name="Normal 10 2 10 29 4 2" xfId="4822" xr:uid="{00000000-0005-0000-0000-0000D6120000}"/>
    <cellStyle name="Normal 10 2 10 29 4 3" xfId="4823" xr:uid="{00000000-0005-0000-0000-0000D7120000}"/>
    <cellStyle name="Normal 10 2 10 29 4 4" xfId="4824" xr:uid="{00000000-0005-0000-0000-0000D8120000}"/>
    <cellStyle name="Normal 10 2 10 29 4 5" xfId="4825" xr:uid="{00000000-0005-0000-0000-0000D9120000}"/>
    <cellStyle name="Normal 10 2 10 29 4 6" xfId="4826" xr:uid="{00000000-0005-0000-0000-0000DA120000}"/>
    <cellStyle name="Normal 10 2 10 29 4 7" xfId="4827" xr:uid="{00000000-0005-0000-0000-0000DB120000}"/>
    <cellStyle name="Normal 10 2 10 29 4 8" xfId="4828" xr:uid="{00000000-0005-0000-0000-0000DC120000}"/>
    <cellStyle name="Normal 10 2 10 29 4 9" xfId="4829" xr:uid="{00000000-0005-0000-0000-0000DD120000}"/>
    <cellStyle name="Normal 10 2 10 29 5" xfId="4830" xr:uid="{00000000-0005-0000-0000-0000DE120000}"/>
    <cellStyle name="Normal 10 2 10 29 5 10" xfId="4831" xr:uid="{00000000-0005-0000-0000-0000DF120000}"/>
    <cellStyle name="Normal 10 2 10 29 5 2" xfId="4832" xr:uid="{00000000-0005-0000-0000-0000E0120000}"/>
    <cellStyle name="Normal 10 2 10 29 5 3" xfId="4833" xr:uid="{00000000-0005-0000-0000-0000E1120000}"/>
    <cellStyle name="Normal 10 2 10 29 5 4" xfId="4834" xr:uid="{00000000-0005-0000-0000-0000E2120000}"/>
    <cellStyle name="Normal 10 2 10 29 5 5" xfId="4835" xr:uid="{00000000-0005-0000-0000-0000E3120000}"/>
    <cellStyle name="Normal 10 2 10 29 5 6" xfId="4836" xr:uid="{00000000-0005-0000-0000-0000E4120000}"/>
    <cellStyle name="Normal 10 2 10 29 5 7" xfId="4837" xr:uid="{00000000-0005-0000-0000-0000E5120000}"/>
    <cellStyle name="Normal 10 2 10 29 5 8" xfId="4838" xr:uid="{00000000-0005-0000-0000-0000E6120000}"/>
    <cellStyle name="Normal 10 2 10 29 5 9" xfId="4839" xr:uid="{00000000-0005-0000-0000-0000E7120000}"/>
    <cellStyle name="Normal 10 2 10 29 6" xfId="4840" xr:uid="{00000000-0005-0000-0000-0000E8120000}"/>
    <cellStyle name="Normal 10 2 10 29 7" xfId="4841" xr:uid="{00000000-0005-0000-0000-0000E9120000}"/>
    <cellStyle name="Normal 10 2 10 29 8" xfId="4842" xr:uid="{00000000-0005-0000-0000-0000EA120000}"/>
    <cellStyle name="Normal 10 2 10 29 9" xfId="4843" xr:uid="{00000000-0005-0000-0000-0000EB120000}"/>
    <cellStyle name="Normal 10 2 10 3" xfId="4844" xr:uid="{00000000-0005-0000-0000-0000EC120000}"/>
    <cellStyle name="Normal 10 2 10 3 10" xfId="4845" xr:uid="{00000000-0005-0000-0000-0000ED120000}"/>
    <cellStyle name="Normal 10 2 10 3 11" xfId="4846" xr:uid="{00000000-0005-0000-0000-0000EE120000}"/>
    <cellStyle name="Normal 10 2 10 3 12" xfId="4847" xr:uid="{00000000-0005-0000-0000-0000EF120000}"/>
    <cellStyle name="Normal 10 2 10 3 13" xfId="4848" xr:uid="{00000000-0005-0000-0000-0000F0120000}"/>
    <cellStyle name="Normal 10 2 10 3 14" xfId="4849" xr:uid="{00000000-0005-0000-0000-0000F1120000}"/>
    <cellStyle name="Normal 10 2 10 3 15" xfId="4850" xr:uid="{00000000-0005-0000-0000-0000F2120000}"/>
    <cellStyle name="Normal 10 2 10 3 2" xfId="4851" xr:uid="{00000000-0005-0000-0000-0000F3120000}"/>
    <cellStyle name="Normal 10 2 10 3 2 10" xfId="4852" xr:uid="{00000000-0005-0000-0000-0000F4120000}"/>
    <cellStyle name="Normal 10 2 10 3 2 2" xfId="4853" xr:uid="{00000000-0005-0000-0000-0000F5120000}"/>
    <cellStyle name="Normal 10 2 10 3 2 3" xfId="4854" xr:uid="{00000000-0005-0000-0000-0000F6120000}"/>
    <cellStyle name="Normal 10 2 10 3 2 4" xfId="4855" xr:uid="{00000000-0005-0000-0000-0000F7120000}"/>
    <cellStyle name="Normal 10 2 10 3 2 5" xfId="4856" xr:uid="{00000000-0005-0000-0000-0000F8120000}"/>
    <cellStyle name="Normal 10 2 10 3 2 6" xfId="4857" xr:uid="{00000000-0005-0000-0000-0000F9120000}"/>
    <cellStyle name="Normal 10 2 10 3 2 7" xfId="4858" xr:uid="{00000000-0005-0000-0000-0000FA120000}"/>
    <cellStyle name="Normal 10 2 10 3 2 8" xfId="4859" xr:uid="{00000000-0005-0000-0000-0000FB120000}"/>
    <cellStyle name="Normal 10 2 10 3 2 9" xfId="4860" xr:uid="{00000000-0005-0000-0000-0000FC120000}"/>
    <cellStyle name="Normal 10 2 10 3 3" xfId="4861" xr:uid="{00000000-0005-0000-0000-0000FD120000}"/>
    <cellStyle name="Normal 10 2 10 3 3 10" xfId="4862" xr:uid="{00000000-0005-0000-0000-0000FE120000}"/>
    <cellStyle name="Normal 10 2 10 3 3 2" xfId="4863" xr:uid="{00000000-0005-0000-0000-0000FF120000}"/>
    <cellStyle name="Normal 10 2 10 3 3 3" xfId="4864" xr:uid="{00000000-0005-0000-0000-000000130000}"/>
    <cellStyle name="Normal 10 2 10 3 3 4" xfId="4865" xr:uid="{00000000-0005-0000-0000-000001130000}"/>
    <cellStyle name="Normal 10 2 10 3 3 5" xfId="4866" xr:uid="{00000000-0005-0000-0000-000002130000}"/>
    <cellStyle name="Normal 10 2 10 3 3 6" xfId="4867" xr:uid="{00000000-0005-0000-0000-000003130000}"/>
    <cellStyle name="Normal 10 2 10 3 3 7" xfId="4868" xr:uid="{00000000-0005-0000-0000-000004130000}"/>
    <cellStyle name="Normal 10 2 10 3 3 8" xfId="4869" xr:uid="{00000000-0005-0000-0000-000005130000}"/>
    <cellStyle name="Normal 10 2 10 3 3 9" xfId="4870" xr:uid="{00000000-0005-0000-0000-000006130000}"/>
    <cellStyle name="Normal 10 2 10 3 4" xfId="4871" xr:uid="{00000000-0005-0000-0000-000007130000}"/>
    <cellStyle name="Normal 10 2 10 3 4 10" xfId="4872" xr:uid="{00000000-0005-0000-0000-000008130000}"/>
    <cellStyle name="Normal 10 2 10 3 4 2" xfId="4873" xr:uid="{00000000-0005-0000-0000-000009130000}"/>
    <cellStyle name="Normal 10 2 10 3 4 3" xfId="4874" xr:uid="{00000000-0005-0000-0000-00000A130000}"/>
    <cellStyle name="Normal 10 2 10 3 4 4" xfId="4875" xr:uid="{00000000-0005-0000-0000-00000B130000}"/>
    <cellStyle name="Normal 10 2 10 3 4 5" xfId="4876" xr:uid="{00000000-0005-0000-0000-00000C130000}"/>
    <cellStyle name="Normal 10 2 10 3 4 6" xfId="4877" xr:uid="{00000000-0005-0000-0000-00000D130000}"/>
    <cellStyle name="Normal 10 2 10 3 4 7" xfId="4878" xr:uid="{00000000-0005-0000-0000-00000E130000}"/>
    <cellStyle name="Normal 10 2 10 3 4 8" xfId="4879" xr:uid="{00000000-0005-0000-0000-00000F130000}"/>
    <cellStyle name="Normal 10 2 10 3 4 9" xfId="4880" xr:uid="{00000000-0005-0000-0000-000010130000}"/>
    <cellStyle name="Normal 10 2 10 3 5" xfId="4881" xr:uid="{00000000-0005-0000-0000-000011130000}"/>
    <cellStyle name="Normal 10 2 10 3 5 10" xfId="4882" xr:uid="{00000000-0005-0000-0000-000012130000}"/>
    <cellStyle name="Normal 10 2 10 3 5 2" xfId="4883" xr:uid="{00000000-0005-0000-0000-000013130000}"/>
    <cellStyle name="Normal 10 2 10 3 5 3" xfId="4884" xr:uid="{00000000-0005-0000-0000-000014130000}"/>
    <cellStyle name="Normal 10 2 10 3 5 4" xfId="4885" xr:uid="{00000000-0005-0000-0000-000015130000}"/>
    <cellStyle name="Normal 10 2 10 3 5 5" xfId="4886" xr:uid="{00000000-0005-0000-0000-000016130000}"/>
    <cellStyle name="Normal 10 2 10 3 5 6" xfId="4887" xr:uid="{00000000-0005-0000-0000-000017130000}"/>
    <cellStyle name="Normal 10 2 10 3 5 7" xfId="4888" xr:uid="{00000000-0005-0000-0000-000018130000}"/>
    <cellStyle name="Normal 10 2 10 3 5 8" xfId="4889" xr:uid="{00000000-0005-0000-0000-000019130000}"/>
    <cellStyle name="Normal 10 2 10 3 5 9" xfId="4890" xr:uid="{00000000-0005-0000-0000-00001A130000}"/>
    <cellStyle name="Normal 10 2 10 3 6" xfId="4891" xr:uid="{00000000-0005-0000-0000-00001B130000}"/>
    <cellStyle name="Normal 10 2 10 3 7" xfId="4892" xr:uid="{00000000-0005-0000-0000-00001C130000}"/>
    <cellStyle name="Normal 10 2 10 3 8" xfId="4893" xr:uid="{00000000-0005-0000-0000-00001D130000}"/>
    <cellStyle name="Normal 10 2 10 3 9" xfId="4894" xr:uid="{00000000-0005-0000-0000-00001E130000}"/>
    <cellStyle name="Normal 10 2 10 30" xfId="4895" xr:uid="{00000000-0005-0000-0000-00001F130000}"/>
    <cellStyle name="Normal 10 2 10 30 10" xfId="4896" xr:uid="{00000000-0005-0000-0000-000020130000}"/>
    <cellStyle name="Normal 10 2 10 30 11" xfId="4897" xr:uid="{00000000-0005-0000-0000-000021130000}"/>
    <cellStyle name="Normal 10 2 10 30 12" xfId="4898" xr:uid="{00000000-0005-0000-0000-000022130000}"/>
    <cellStyle name="Normal 10 2 10 30 13" xfId="4899" xr:uid="{00000000-0005-0000-0000-000023130000}"/>
    <cellStyle name="Normal 10 2 10 30 14" xfId="4900" xr:uid="{00000000-0005-0000-0000-000024130000}"/>
    <cellStyle name="Normal 10 2 10 30 2" xfId="4901" xr:uid="{00000000-0005-0000-0000-000025130000}"/>
    <cellStyle name="Normal 10 2 10 30 2 10" xfId="4902" xr:uid="{00000000-0005-0000-0000-000026130000}"/>
    <cellStyle name="Normal 10 2 10 30 2 2" xfId="4903" xr:uid="{00000000-0005-0000-0000-000027130000}"/>
    <cellStyle name="Normal 10 2 10 30 2 3" xfId="4904" xr:uid="{00000000-0005-0000-0000-000028130000}"/>
    <cellStyle name="Normal 10 2 10 30 2 4" xfId="4905" xr:uid="{00000000-0005-0000-0000-000029130000}"/>
    <cellStyle name="Normal 10 2 10 30 2 5" xfId="4906" xr:uid="{00000000-0005-0000-0000-00002A130000}"/>
    <cellStyle name="Normal 10 2 10 30 2 6" xfId="4907" xr:uid="{00000000-0005-0000-0000-00002B130000}"/>
    <cellStyle name="Normal 10 2 10 30 2 7" xfId="4908" xr:uid="{00000000-0005-0000-0000-00002C130000}"/>
    <cellStyle name="Normal 10 2 10 30 2 8" xfId="4909" xr:uid="{00000000-0005-0000-0000-00002D130000}"/>
    <cellStyle name="Normal 10 2 10 30 2 9" xfId="4910" xr:uid="{00000000-0005-0000-0000-00002E130000}"/>
    <cellStyle name="Normal 10 2 10 30 3" xfId="4911" xr:uid="{00000000-0005-0000-0000-00002F130000}"/>
    <cellStyle name="Normal 10 2 10 30 3 10" xfId="4912" xr:uid="{00000000-0005-0000-0000-000030130000}"/>
    <cellStyle name="Normal 10 2 10 30 3 2" xfId="4913" xr:uid="{00000000-0005-0000-0000-000031130000}"/>
    <cellStyle name="Normal 10 2 10 30 3 3" xfId="4914" xr:uid="{00000000-0005-0000-0000-000032130000}"/>
    <cellStyle name="Normal 10 2 10 30 3 4" xfId="4915" xr:uid="{00000000-0005-0000-0000-000033130000}"/>
    <cellStyle name="Normal 10 2 10 30 3 5" xfId="4916" xr:uid="{00000000-0005-0000-0000-000034130000}"/>
    <cellStyle name="Normal 10 2 10 30 3 6" xfId="4917" xr:uid="{00000000-0005-0000-0000-000035130000}"/>
    <cellStyle name="Normal 10 2 10 30 3 7" xfId="4918" xr:uid="{00000000-0005-0000-0000-000036130000}"/>
    <cellStyle name="Normal 10 2 10 30 3 8" xfId="4919" xr:uid="{00000000-0005-0000-0000-000037130000}"/>
    <cellStyle name="Normal 10 2 10 30 3 9" xfId="4920" xr:uid="{00000000-0005-0000-0000-000038130000}"/>
    <cellStyle name="Normal 10 2 10 30 4" xfId="4921" xr:uid="{00000000-0005-0000-0000-000039130000}"/>
    <cellStyle name="Normal 10 2 10 30 4 10" xfId="4922" xr:uid="{00000000-0005-0000-0000-00003A130000}"/>
    <cellStyle name="Normal 10 2 10 30 4 2" xfId="4923" xr:uid="{00000000-0005-0000-0000-00003B130000}"/>
    <cellStyle name="Normal 10 2 10 30 4 3" xfId="4924" xr:uid="{00000000-0005-0000-0000-00003C130000}"/>
    <cellStyle name="Normal 10 2 10 30 4 4" xfId="4925" xr:uid="{00000000-0005-0000-0000-00003D130000}"/>
    <cellStyle name="Normal 10 2 10 30 4 5" xfId="4926" xr:uid="{00000000-0005-0000-0000-00003E130000}"/>
    <cellStyle name="Normal 10 2 10 30 4 6" xfId="4927" xr:uid="{00000000-0005-0000-0000-00003F130000}"/>
    <cellStyle name="Normal 10 2 10 30 4 7" xfId="4928" xr:uid="{00000000-0005-0000-0000-000040130000}"/>
    <cellStyle name="Normal 10 2 10 30 4 8" xfId="4929" xr:uid="{00000000-0005-0000-0000-000041130000}"/>
    <cellStyle name="Normal 10 2 10 30 4 9" xfId="4930" xr:uid="{00000000-0005-0000-0000-000042130000}"/>
    <cellStyle name="Normal 10 2 10 30 5" xfId="4931" xr:uid="{00000000-0005-0000-0000-000043130000}"/>
    <cellStyle name="Normal 10 2 10 30 5 10" xfId="4932" xr:uid="{00000000-0005-0000-0000-000044130000}"/>
    <cellStyle name="Normal 10 2 10 30 5 2" xfId="4933" xr:uid="{00000000-0005-0000-0000-000045130000}"/>
    <cellStyle name="Normal 10 2 10 30 5 3" xfId="4934" xr:uid="{00000000-0005-0000-0000-000046130000}"/>
    <cellStyle name="Normal 10 2 10 30 5 4" xfId="4935" xr:uid="{00000000-0005-0000-0000-000047130000}"/>
    <cellStyle name="Normal 10 2 10 30 5 5" xfId="4936" xr:uid="{00000000-0005-0000-0000-000048130000}"/>
    <cellStyle name="Normal 10 2 10 30 5 6" xfId="4937" xr:uid="{00000000-0005-0000-0000-000049130000}"/>
    <cellStyle name="Normal 10 2 10 30 5 7" xfId="4938" xr:uid="{00000000-0005-0000-0000-00004A130000}"/>
    <cellStyle name="Normal 10 2 10 30 5 8" xfId="4939" xr:uid="{00000000-0005-0000-0000-00004B130000}"/>
    <cellStyle name="Normal 10 2 10 30 5 9" xfId="4940" xr:uid="{00000000-0005-0000-0000-00004C130000}"/>
    <cellStyle name="Normal 10 2 10 30 6" xfId="4941" xr:uid="{00000000-0005-0000-0000-00004D130000}"/>
    <cellStyle name="Normal 10 2 10 30 7" xfId="4942" xr:uid="{00000000-0005-0000-0000-00004E130000}"/>
    <cellStyle name="Normal 10 2 10 30 8" xfId="4943" xr:uid="{00000000-0005-0000-0000-00004F130000}"/>
    <cellStyle name="Normal 10 2 10 30 9" xfId="4944" xr:uid="{00000000-0005-0000-0000-000050130000}"/>
    <cellStyle name="Normal 10 2 10 31" xfId="4945" xr:uid="{00000000-0005-0000-0000-000051130000}"/>
    <cellStyle name="Normal 10 2 10 31 10" xfId="4946" xr:uid="{00000000-0005-0000-0000-000052130000}"/>
    <cellStyle name="Normal 10 2 10 31 11" xfId="4947" xr:uid="{00000000-0005-0000-0000-000053130000}"/>
    <cellStyle name="Normal 10 2 10 31 12" xfId="4948" xr:uid="{00000000-0005-0000-0000-000054130000}"/>
    <cellStyle name="Normal 10 2 10 31 13" xfId="4949" xr:uid="{00000000-0005-0000-0000-000055130000}"/>
    <cellStyle name="Normal 10 2 10 31 14" xfId="4950" xr:uid="{00000000-0005-0000-0000-000056130000}"/>
    <cellStyle name="Normal 10 2 10 31 2" xfId="4951" xr:uid="{00000000-0005-0000-0000-000057130000}"/>
    <cellStyle name="Normal 10 2 10 31 2 10" xfId="4952" xr:uid="{00000000-0005-0000-0000-000058130000}"/>
    <cellStyle name="Normal 10 2 10 31 2 2" xfId="4953" xr:uid="{00000000-0005-0000-0000-000059130000}"/>
    <cellStyle name="Normal 10 2 10 31 2 3" xfId="4954" xr:uid="{00000000-0005-0000-0000-00005A130000}"/>
    <cellStyle name="Normal 10 2 10 31 2 4" xfId="4955" xr:uid="{00000000-0005-0000-0000-00005B130000}"/>
    <cellStyle name="Normal 10 2 10 31 2 5" xfId="4956" xr:uid="{00000000-0005-0000-0000-00005C130000}"/>
    <cellStyle name="Normal 10 2 10 31 2 6" xfId="4957" xr:uid="{00000000-0005-0000-0000-00005D130000}"/>
    <cellStyle name="Normal 10 2 10 31 2 7" xfId="4958" xr:uid="{00000000-0005-0000-0000-00005E130000}"/>
    <cellStyle name="Normal 10 2 10 31 2 8" xfId="4959" xr:uid="{00000000-0005-0000-0000-00005F130000}"/>
    <cellStyle name="Normal 10 2 10 31 2 9" xfId="4960" xr:uid="{00000000-0005-0000-0000-000060130000}"/>
    <cellStyle name="Normal 10 2 10 31 3" xfId="4961" xr:uid="{00000000-0005-0000-0000-000061130000}"/>
    <cellStyle name="Normal 10 2 10 31 3 10" xfId="4962" xr:uid="{00000000-0005-0000-0000-000062130000}"/>
    <cellStyle name="Normal 10 2 10 31 3 2" xfId="4963" xr:uid="{00000000-0005-0000-0000-000063130000}"/>
    <cellStyle name="Normal 10 2 10 31 3 3" xfId="4964" xr:uid="{00000000-0005-0000-0000-000064130000}"/>
    <cellStyle name="Normal 10 2 10 31 3 4" xfId="4965" xr:uid="{00000000-0005-0000-0000-000065130000}"/>
    <cellStyle name="Normal 10 2 10 31 3 5" xfId="4966" xr:uid="{00000000-0005-0000-0000-000066130000}"/>
    <cellStyle name="Normal 10 2 10 31 3 6" xfId="4967" xr:uid="{00000000-0005-0000-0000-000067130000}"/>
    <cellStyle name="Normal 10 2 10 31 3 7" xfId="4968" xr:uid="{00000000-0005-0000-0000-000068130000}"/>
    <cellStyle name="Normal 10 2 10 31 3 8" xfId="4969" xr:uid="{00000000-0005-0000-0000-000069130000}"/>
    <cellStyle name="Normal 10 2 10 31 3 9" xfId="4970" xr:uid="{00000000-0005-0000-0000-00006A130000}"/>
    <cellStyle name="Normal 10 2 10 31 4" xfId="4971" xr:uid="{00000000-0005-0000-0000-00006B130000}"/>
    <cellStyle name="Normal 10 2 10 31 4 10" xfId="4972" xr:uid="{00000000-0005-0000-0000-00006C130000}"/>
    <cellStyle name="Normal 10 2 10 31 4 2" xfId="4973" xr:uid="{00000000-0005-0000-0000-00006D130000}"/>
    <cellStyle name="Normal 10 2 10 31 4 3" xfId="4974" xr:uid="{00000000-0005-0000-0000-00006E130000}"/>
    <cellStyle name="Normal 10 2 10 31 4 4" xfId="4975" xr:uid="{00000000-0005-0000-0000-00006F130000}"/>
    <cellStyle name="Normal 10 2 10 31 4 5" xfId="4976" xr:uid="{00000000-0005-0000-0000-000070130000}"/>
    <cellStyle name="Normal 10 2 10 31 4 6" xfId="4977" xr:uid="{00000000-0005-0000-0000-000071130000}"/>
    <cellStyle name="Normal 10 2 10 31 4 7" xfId="4978" xr:uid="{00000000-0005-0000-0000-000072130000}"/>
    <cellStyle name="Normal 10 2 10 31 4 8" xfId="4979" xr:uid="{00000000-0005-0000-0000-000073130000}"/>
    <cellStyle name="Normal 10 2 10 31 4 9" xfId="4980" xr:uid="{00000000-0005-0000-0000-000074130000}"/>
    <cellStyle name="Normal 10 2 10 31 5" xfId="4981" xr:uid="{00000000-0005-0000-0000-000075130000}"/>
    <cellStyle name="Normal 10 2 10 31 5 10" xfId="4982" xr:uid="{00000000-0005-0000-0000-000076130000}"/>
    <cellStyle name="Normal 10 2 10 31 5 2" xfId="4983" xr:uid="{00000000-0005-0000-0000-000077130000}"/>
    <cellStyle name="Normal 10 2 10 31 5 3" xfId="4984" xr:uid="{00000000-0005-0000-0000-000078130000}"/>
    <cellStyle name="Normal 10 2 10 31 5 4" xfId="4985" xr:uid="{00000000-0005-0000-0000-000079130000}"/>
    <cellStyle name="Normal 10 2 10 31 5 5" xfId="4986" xr:uid="{00000000-0005-0000-0000-00007A130000}"/>
    <cellStyle name="Normal 10 2 10 31 5 6" xfId="4987" xr:uid="{00000000-0005-0000-0000-00007B130000}"/>
    <cellStyle name="Normal 10 2 10 31 5 7" xfId="4988" xr:uid="{00000000-0005-0000-0000-00007C130000}"/>
    <cellStyle name="Normal 10 2 10 31 5 8" xfId="4989" xr:uid="{00000000-0005-0000-0000-00007D130000}"/>
    <cellStyle name="Normal 10 2 10 31 5 9" xfId="4990" xr:uid="{00000000-0005-0000-0000-00007E130000}"/>
    <cellStyle name="Normal 10 2 10 31 6" xfId="4991" xr:uid="{00000000-0005-0000-0000-00007F130000}"/>
    <cellStyle name="Normal 10 2 10 31 7" xfId="4992" xr:uid="{00000000-0005-0000-0000-000080130000}"/>
    <cellStyle name="Normal 10 2 10 31 8" xfId="4993" xr:uid="{00000000-0005-0000-0000-000081130000}"/>
    <cellStyle name="Normal 10 2 10 31 9" xfId="4994" xr:uid="{00000000-0005-0000-0000-000082130000}"/>
    <cellStyle name="Normal 10 2 10 32" xfId="4995" xr:uid="{00000000-0005-0000-0000-000083130000}"/>
    <cellStyle name="Normal 10 2 10 32 10" xfId="4996" xr:uid="{00000000-0005-0000-0000-000084130000}"/>
    <cellStyle name="Normal 10 2 10 32 11" xfId="4997" xr:uid="{00000000-0005-0000-0000-000085130000}"/>
    <cellStyle name="Normal 10 2 10 32 12" xfId="4998" xr:uid="{00000000-0005-0000-0000-000086130000}"/>
    <cellStyle name="Normal 10 2 10 32 13" xfId="4999" xr:uid="{00000000-0005-0000-0000-000087130000}"/>
    <cellStyle name="Normal 10 2 10 32 14" xfId="5000" xr:uid="{00000000-0005-0000-0000-000088130000}"/>
    <cellStyle name="Normal 10 2 10 32 2" xfId="5001" xr:uid="{00000000-0005-0000-0000-000089130000}"/>
    <cellStyle name="Normal 10 2 10 32 2 10" xfId="5002" xr:uid="{00000000-0005-0000-0000-00008A130000}"/>
    <cellStyle name="Normal 10 2 10 32 2 2" xfId="5003" xr:uid="{00000000-0005-0000-0000-00008B130000}"/>
    <cellStyle name="Normal 10 2 10 32 2 3" xfId="5004" xr:uid="{00000000-0005-0000-0000-00008C130000}"/>
    <cellStyle name="Normal 10 2 10 32 2 4" xfId="5005" xr:uid="{00000000-0005-0000-0000-00008D130000}"/>
    <cellStyle name="Normal 10 2 10 32 2 5" xfId="5006" xr:uid="{00000000-0005-0000-0000-00008E130000}"/>
    <cellStyle name="Normal 10 2 10 32 2 6" xfId="5007" xr:uid="{00000000-0005-0000-0000-00008F130000}"/>
    <cellStyle name="Normal 10 2 10 32 2 7" xfId="5008" xr:uid="{00000000-0005-0000-0000-000090130000}"/>
    <cellStyle name="Normal 10 2 10 32 2 8" xfId="5009" xr:uid="{00000000-0005-0000-0000-000091130000}"/>
    <cellStyle name="Normal 10 2 10 32 2 9" xfId="5010" xr:uid="{00000000-0005-0000-0000-000092130000}"/>
    <cellStyle name="Normal 10 2 10 32 3" xfId="5011" xr:uid="{00000000-0005-0000-0000-000093130000}"/>
    <cellStyle name="Normal 10 2 10 32 3 10" xfId="5012" xr:uid="{00000000-0005-0000-0000-000094130000}"/>
    <cellStyle name="Normal 10 2 10 32 3 2" xfId="5013" xr:uid="{00000000-0005-0000-0000-000095130000}"/>
    <cellStyle name="Normal 10 2 10 32 3 3" xfId="5014" xr:uid="{00000000-0005-0000-0000-000096130000}"/>
    <cellStyle name="Normal 10 2 10 32 3 4" xfId="5015" xr:uid="{00000000-0005-0000-0000-000097130000}"/>
    <cellStyle name="Normal 10 2 10 32 3 5" xfId="5016" xr:uid="{00000000-0005-0000-0000-000098130000}"/>
    <cellStyle name="Normal 10 2 10 32 3 6" xfId="5017" xr:uid="{00000000-0005-0000-0000-000099130000}"/>
    <cellStyle name="Normal 10 2 10 32 3 7" xfId="5018" xr:uid="{00000000-0005-0000-0000-00009A130000}"/>
    <cellStyle name="Normal 10 2 10 32 3 8" xfId="5019" xr:uid="{00000000-0005-0000-0000-00009B130000}"/>
    <cellStyle name="Normal 10 2 10 32 3 9" xfId="5020" xr:uid="{00000000-0005-0000-0000-00009C130000}"/>
    <cellStyle name="Normal 10 2 10 32 4" xfId="5021" xr:uid="{00000000-0005-0000-0000-00009D130000}"/>
    <cellStyle name="Normal 10 2 10 32 4 10" xfId="5022" xr:uid="{00000000-0005-0000-0000-00009E130000}"/>
    <cellStyle name="Normal 10 2 10 32 4 2" xfId="5023" xr:uid="{00000000-0005-0000-0000-00009F130000}"/>
    <cellStyle name="Normal 10 2 10 32 4 3" xfId="5024" xr:uid="{00000000-0005-0000-0000-0000A0130000}"/>
    <cellStyle name="Normal 10 2 10 32 4 4" xfId="5025" xr:uid="{00000000-0005-0000-0000-0000A1130000}"/>
    <cellStyle name="Normal 10 2 10 32 4 5" xfId="5026" xr:uid="{00000000-0005-0000-0000-0000A2130000}"/>
    <cellStyle name="Normal 10 2 10 32 4 6" xfId="5027" xr:uid="{00000000-0005-0000-0000-0000A3130000}"/>
    <cellStyle name="Normal 10 2 10 32 4 7" xfId="5028" xr:uid="{00000000-0005-0000-0000-0000A4130000}"/>
    <cellStyle name="Normal 10 2 10 32 4 8" xfId="5029" xr:uid="{00000000-0005-0000-0000-0000A5130000}"/>
    <cellStyle name="Normal 10 2 10 32 4 9" xfId="5030" xr:uid="{00000000-0005-0000-0000-0000A6130000}"/>
    <cellStyle name="Normal 10 2 10 32 5" xfId="5031" xr:uid="{00000000-0005-0000-0000-0000A7130000}"/>
    <cellStyle name="Normal 10 2 10 32 5 10" xfId="5032" xr:uid="{00000000-0005-0000-0000-0000A8130000}"/>
    <cellStyle name="Normal 10 2 10 32 5 2" xfId="5033" xr:uid="{00000000-0005-0000-0000-0000A9130000}"/>
    <cellStyle name="Normal 10 2 10 32 5 3" xfId="5034" xr:uid="{00000000-0005-0000-0000-0000AA130000}"/>
    <cellStyle name="Normal 10 2 10 32 5 4" xfId="5035" xr:uid="{00000000-0005-0000-0000-0000AB130000}"/>
    <cellStyle name="Normal 10 2 10 32 5 5" xfId="5036" xr:uid="{00000000-0005-0000-0000-0000AC130000}"/>
    <cellStyle name="Normal 10 2 10 32 5 6" xfId="5037" xr:uid="{00000000-0005-0000-0000-0000AD130000}"/>
    <cellStyle name="Normal 10 2 10 32 5 7" xfId="5038" xr:uid="{00000000-0005-0000-0000-0000AE130000}"/>
    <cellStyle name="Normal 10 2 10 32 5 8" xfId="5039" xr:uid="{00000000-0005-0000-0000-0000AF130000}"/>
    <cellStyle name="Normal 10 2 10 32 5 9" xfId="5040" xr:uid="{00000000-0005-0000-0000-0000B0130000}"/>
    <cellStyle name="Normal 10 2 10 32 6" xfId="5041" xr:uid="{00000000-0005-0000-0000-0000B1130000}"/>
    <cellStyle name="Normal 10 2 10 32 7" xfId="5042" xr:uid="{00000000-0005-0000-0000-0000B2130000}"/>
    <cellStyle name="Normal 10 2 10 32 8" xfId="5043" xr:uid="{00000000-0005-0000-0000-0000B3130000}"/>
    <cellStyle name="Normal 10 2 10 32 9" xfId="5044" xr:uid="{00000000-0005-0000-0000-0000B4130000}"/>
    <cellStyle name="Normal 10 2 10 33" xfId="5045" xr:uid="{00000000-0005-0000-0000-0000B5130000}"/>
    <cellStyle name="Normal 10 2 10 33 10" xfId="5046" xr:uid="{00000000-0005-0000-0000-0000B6130000}"/>
    <cellStyle name="Normal 10 2 10 33 11" xfId="5047" xr:uid="{00000000-0005-0000-0000-0000B7130000}"/>
    <cellStyle name="Normal 10 2 10 33 12" xfId="5048" xr:uid="{00000000-0005-0000-0000-0000B8130000}"/>
    <cellStyle name="Normal 10 2 10 33 13" xfId="5049" xr:uid="{00000000-0005-0000-0000-0000B9130000}"/>
    <cellStyle name="Normal 10 2 10 33 14" xfId="5050" xr:uid="{00000000-0005-0000-0000-0000BA130000}"/>
    <cellStyle name="Normal 10 2 10 33 2" xfId="5051" xr:uid="{00000000-0005-0000-0000-0000BB130000}"/>
    <cellStyle name="Normal 10 2 10 33 2 10" xfId="5052" xr:uid="{00000000-0005-0000-0000-0000BC130000}"/>
    <cellStyle name="Normal 10 2 10 33 2 2" xfId="5053" xr:uid="{00000000-0005-0000-0000-0000BD130000}"/>
    <cellStyle name="Normal 10 2 10 33 2 3" xfId="5054" xr:uid="{00000000-0005-0000-0000-0000BE130000}"/>
    <cellStyle name="Normal 10 2 10 33 2 4" xfId="5055" xr:uid="{00000000-0005-0000-0000-0000BF130000}"/>
    <cellStyle name="Normal 10 2 10 33 2 5" xfId="5056" xr:uid="{00000000-0005-0000-0000-0000C0130000}"/>
    <cellStyle name="Normal 10 2 10 33 2 6" xfId="5057" xr:uid="{00000000-0005-0000-0000-0000C1130000}"/>
    <cellStyle name="Normal 10 2 10 33 2 7" xfId="5058" xr:uid="{00000000-0005-0000-0000-0000C2130000}"/>
    <cellStyle name="Normal 10 2 10 33 2 8" xfId="5059" xr:uid="{00000000-0005-0000-0000-0000C3130000}"/>
    <cellStyle name="Normal 10 2 10 33 2 9" xfId="5060" xr:uid="{00000000-0005-0000-0000-0000C4130000}"/>
    <cellStyle name="Normal 10 2 10 33 3" xfId="5061" xr:uid="{00000000-0005-0000-0000-0000C5130000}"/>
    <cellStyle name="Normal 10 2 10 33 3 10" xfId="5062" xr:uid="{00000000-0005-0000-0000-0000C6130000}"/>
    <cellStyle name="Normal 10 2 10 33 3 2" xfId="5063" xr:uid="{00000000-0005-0000-0000-0000C7130000}"/>
    <cellStyle name="Normal 10 2 10 33 3 3" xfId="5064" xr:uid="{00000000-0005-0000-0000-0000C8130000}"/>
    <cellStyle name="Normal 10 2 10 33 3 4" xfId="5065" xr:uid="{00000000-0005-0000-0000-0000C9130000}"/>
    <cellStyle name="Normal 10 2 10 33 3 5" xfId="5066" xr:uid="{00000000-0005-0000-0000-0000CA130000}"/>
    <cellStyle name="Normal 10 2 10 33 3 6" xfId="5067" xr:uid="{00000000-0005-0000-0000-0000CB130000}"/>
    <cellStyle name="Normal 10 2 10 33 3 7" xfId="5068" xr:uid="{00000000-0005-0000-0000-0000CC130000}"/>
    <cellStyle name="Normal 10 2 10 33 3 8" xfId="5069" xr:uid="{00000000-0005-0000-0000-0000CD130000}"/>
    <cellStyle name="Normal 10 2 10 33 3 9" xfId="5070" xr:uid="{00000000-0005-0000-0000-0000CE130000}"/>
    <cellStyle name="Normal 10 2 10 33 4" xfId="5071" xr:uid="{00000000-0005-0000-0000-0000CF130000}"/>
    <cellStyle name="Normal 10 2 10 33 4 10" xfId="5072" xr:uid="{00000000-0005-0000-0000-0000D0130000}"/>
    <cellStyle name="Normal 10 2 10 33 4 2" xfId="5073" xr:uid="{00000000-0005-0000-0000-0000D1130000}"/>
    <cellStyle name="Normal 10 2 10 33 4 3" xfId="5074" xr:uid="{00000000-0005-0000-0000-0000D2130000}"/>
    <cellStyle name="Normal 10 2 10 33 4 4" xfId="5075" xr:uid="{00000000-0005-0000-0000-0000D3130000}"/>
    <cellStyle name="Normal 10 2 10 33 4 5" xfId="5076" xr:uid="{00000000-0005-0000-0000-0000D4130000}"/>
    <cellStyle name="Normal 10 2 10 33 4 6" xfId="5077" xr:uid="{00000000-0005-0000-0000-0000D5130000}"/>
    <cellStyle name="Normal 10 2 10 33 4 7" xfId="5078" xr:uid="{00000000-0005-0000-0000-0000D6130000}"/>
    <cellStyle name="Normal 10 2 10 33 4 8" xfId="5079" xr:uid="{00000000-0005-0000-0000-0000D7130000}"/>
    <cellStyle name="Normal 10 2 10 33 4 9" xfId="5080" xr:uid="{00000000-0005-0000-0000-0000D8130000}"/>
    <cellStyle name="Normal 10 2 10 33 5" xfId="5081" xr:uid="{00000000-0005-0000-0000-0000D9130000}"/>
    <cellStyle name="Normal 10 2 10 33 5 10" xfId="5082" xr:uid="{00000000-0005-0000-0000-0000DA130000}"/>
    <cellStyle name="Normal 10 2 10 33 5 2" xfId="5083" xr:uid="{00000000-0005-0000-0000-0000DB130000}"/>
    <cellStyle name="Normal 10 2 10 33 5 3" xfId="5084" xr:uid="{00000000-0005-0000-0000-0000DC130000}"/>
    <cellStyle name="Normal 10 2 10 33 5 4" xfId="5085" xr:uid="{00000000-0005-0000-0000-0000DD130000}"/>
    <cellStyle name="Normal 10 2 10 33 5 5" xfId="5086" xr:uid="{00000000-0005-0000-0000-0000DE130000}"/>
    <cellStyle name="Normal 10 2 10 33 5 6" xfId="5087" xr:uid="{00000000-0005-0000-0000-0000DF130000}"/>
    <cellStyle name="Normal 10 2 10 33 5 7" xfId="5088" xr:uid="{00000000-0005-0000-0000-0000E0130000}"/>
    <cellStyle name="Normal 10 2 10 33 5 8" xfId="5089" xr:uid="{00000000-0005-0000-0000-0000E1130000}"/>
    <cellStyle name="Normal 10 2 10 33 5 9" xfId="5090" xr:uid="{00000000-0005-0000-0000-0000E2130000}"/>
    <cellStyle name="Normal 10 2 10 33 6" xfId="5091" xr:uid="{00000000-0005-0000-0000-0000E3130000}"/>
    <cellStyle name="Normal 10 2 10 33 7" xfId="5092" xr:uid="{00000000-0005-0000-0000-0000E4130000}"/>
    <cellStyle name="Normal 10 2 10 33 8" xfId="5093" xr:uid="{00000000-0005-0000-0000-0000E5130000}"/>
    <cellStyle name="Normal 10 2 10 33 9" xfId="5094" xr:uid="{00000000-0005-0000-0000-0000E6130000}"/>
    <cellStyle name="Normal 10 2 10 34" xfId="5095" xr:uid="{00000000-0005-0000-0000-0000E7130000}"/>
    <cellStyle name="Normal 10 2 10 34 10" xfId="5096" xr:uid="{00000000-0005-0000-0000-0000E8130000}"/>
    <cellStyle name="Normal 10 2 10 34 11" xfId="5097" xr:uid="{00000000-0005-0000-0000-0000E9130000}"/>
    <cellStyle name="Normal 10 2 10 34 12" xfId="5098" xr:uid="{00000000-0005-0000-0000-0000EA130000}"/>
    <cellStyle name="Normal 10 2 10 34 13" xfId="5099" xr:uid="{00000000-0005-0000-0000-0000EB130000}"/>
    <cellStyle name="Normal 10 2 10 34 14" xfId="5100" xr:uid="{00000000-0005-0000-0000-0000EC130000}"/>
    <cellStyle name="Normal 10 2 10 34 2" xfId="5101" xr:uid="{00000000-0005-0000-0000-0000ED130000}"/>
    <cellStyle name="Normal 10 2 10 34 2 10" xfId="5102" xr:uid="{00000000-0005-0000-0000-0000EE130000}"/>
    <cellStyle name="Normal 10 2 10 34 2 2" xfId="5103" xr:uid="{00000000-0005-0000-0000-0000EF130000}"/>
    <cellStyle name="Normal 10 2 10 34 2 3" xfId="5104" xr:uid="{00000000-0005-0000-0000-0000F0130000}"/>
    <cellStyle name="Normal 10 2 10 34 2 4" xfId="5105" xr:uid="{00000000-0005-0000-0000-0000F1130000}"/>
    <cellStyle name="Normal 10 2 10 34 2 5" xfId="5106" xr:uid="{00000000-0005-0000-0000-0000F2130000}"/>
    <cellStyle name="Normal 10 2 10 34 2 6" xfId="5107" xr:uid="{00000000-0005-0000-0000-0000F3130000}"/>
    <cellStyle name="Normal 10 2 10 34 2 7" xfId="5108" xr:uid="{00000000-0005-0000-0000-0000F4130000}"/>
    <cellStyle name="Normal 10 2 10 34 2 8" xfId="5109" xr:uid="{00000000-0005-0000-0000-0000F5130000}"/>
    <cellStyle name="Normal 10 2 10 34 2 9" xfId="5110" xr:uid="{00000000-0005-0000-0000-0000F6130000}"/>
    <cellStyle name="Normal 10 2 10 34 3" xfId="5111" xr:uid="{00000000-0005-0000-0000-0000F7130000}"/>
    <cellStyle name="Normal 10 2 10 34 3 10" xfId="5112" xr:uid="{00000000-0005-0000-0000-0000F8130000}"/>
    <cellStyle name="Normal 10 2 10 34 3 2" xfId="5113" xr:uid="{00000000-0005-0000-0000-0000F9130000}"/>
    <cellStyle name="Normal 10 2 10 34 3 3" xfId="5114" xr:uid="{00000000-0005-0000-0000-0000FA130000}"/>
    <cellStyle name="Normal 10 2 10 34 3 4" xfId="5115" xr:uid="{00000000-0005-0000-0000-0000FB130000}"/>
    <cellStyle name="Normal 10 2 10 34 3 5" xfId="5116" xr:uid="{00000000-0005-0000-0000-0000FC130000}"/>
    <cellStyle name="Normal 10 2 10 34 3 6" xfId="5117" xr:uid="{00000000-0005-0000-0000-0000FD130000}"/>
    <cellStyle name="Normal 10 2 10 34 3 7" xfId="5118" xr:uid="{00000000-0005-0000-0000-0000FE130000}"/>
    <cellStyle name="Normal 10 2 10 34 3 8" xfId="5119" xr:uid="{00000000-0005-0000-0000-0000FF130000}"/>
    <cellStyle name="Normal 10 2 10 34 3 9" xfId="5120" xr:uid="{00000000-0005-0000-0000-000000140000}"/>
    <cellStyle name="Normal 10 2 10 34 4" xfId="5121" xr:uid="{00000000-0005-0000-0000-000001140000}"/>
    <cellStyle name="Normal 10 2 10 34 4 10" xfId="5122" xr:uid="{00000000-0005-0000-0000-000002140000}"/>
    <cellStyle name="Normal 10 2 10 34 4 2" xfId="5123" xr:uid="{00000000-0005-0000-0000-000003140000}"/>
    <cellStyle name="Normal 10 2 10 34 4 3" xfId="5124" xr:uid="{00000000-0005-0000-0000-000004140000}"/>
    <cellStyle name="Normal 10 2 10 34 4 4" xfId="5125" xr:uid="{00000000-0005-0000-0000-000005140000}"/>
    <cellStyle name="Normal 10 2 10 34 4 5" xfId="5126" xr:uid="{00000000-0005-0000-0000-000006140000}"/>
    <cellStyle name="Normal 10 2 10 34 4 6" xfId="5127" xr:uid="{00000000-0005-0000-0000-000007140000}"/>
    <cellStyle name="Normal 10 2 10 34 4 7" xfId="5128" xr:uid="{00000000-0005-0000-0000-000008140000}"/>
    <cellStyle name="Normal 10 2 10 34 4 8" xfId="5129" xr:uid="{00000000-0005-0000-0000-000009140000}"/>
    <cellStyle name="Normal 10 2 10 34 4 9" xfId="5130" xr:uid="{00000000-0005-0000-0000-00000A140000}"/>
    <cellStyle name="Normal 10 2 10 34 5" xfId="5131" xr:uid="{00000000-0005-0000-0000-00000B140000}"/>
    <cellStyle name="Normal 10 2 10 34 5 10" xfId="5132" xr:uid="{00000000-0005-0000-0000-00000C140000}"/>
    <cellStyle name="Normal 10 2 10 34 5 2" xfId="5133" xr:uid="{00000000-0005-0000-0000-00000D140000}"/>
    <cellStyle name="Normal 10 2 10 34 5 3" xfId="5134" xr:uid="{00000000-0005-0000-0000-00000E140000}"/>
    <cellStyle name="Normal 10 2 10 34 5 4" xfId="5135" xr:uid="{00000000-0005-0000-0000-00000F140000}"/>
    <cellStyle name="Normal 10 2 10 34 5 5" xfId="5136" xr:uid="{00000000-0005-0000-0000-000010140000}"/>
    <cellStyle name="Normal 10 2 10 34 5 6" xfId="5137" xr:uid="{00000000-0005-0000-0000-000011140000}"/>
    <cellStyle name="Normal 10 2 10 34 5 7" xfId="5138" xr:uid="{00000000-0005-0000-0000-000012140000}"/>
    <cellStyle name="Normal 10 2 10 34 5 8" xfId="5139" xr:uid="{00000000-0005-0000-0000-000013140000}"/>
    <cellStyle name="Normal 10 2 10 34 5 9" xfId="5140" xr:uid="{00000000-0005-0000-0000-000014140000}"/>
    <cellStyle name="Normal 10 2 10 34 6" xfId="5141" xr:uid="{00000000-0005-0000-0000-000015140000}"/>
    <cellStyle name="Normal 10 2 10 34 7" xfId="5142" xr:uid="{00000000-0005-0000-0000-000016140000}"/>
    <cellStyle name="Normal 10 2 10 34 8" xfId="5143" xr:uid="{00000000-0005-0000-0000-000017140000}"/>
    <cellStyle name="Normal 10 2 10 34 9" xfId="5144" xr:uid="{00000000-0005-0000-0000-000018140000}"/>
    <cellStyle name="Normal 10 2 10 35" xfId="5145" xr:uid="{00000000-0005-0000-0000-000019140000}"/>
    <cellStyle name="Normal 10 2 10 35 10" xfId="5146" xr:uid="{00000000-0005-0000-0000-00001A140000}"/>
    <cellStyle name="Normal 10 2 10 35 2" xfId="5147" xr:uid="{00000000-0005-0000-0000-00001B140000}"/>
    <cellStyle name="Normal 10 2 10 35 3" xfId="5148" xr:uid="{00000000-0005-0000-0000-00001C140000}"/>
    <cellStyle name="Normal 10 2 10 35 4" xfId="5149" xr:uid="{00000000-0005-0000-0000-00001D140000}"/>
    <cellStyle name="Normal 10 2 10 35 5" xfId="5150" xr:uid="{00000000-0005-0000-0000-00001E140000}"/>
    <cellStyle name="Normal 10 2 10 35 6" xfId="5151" xr:uid="{00000000-0005-0000-0000-00001F140000}"/>
    <cellStyle name="Normal 10 2 10 35 7" xfId="5152" xr:uid="{00000000-0005-0000-0000-000020140000}"/>
    <cellStyle name="Normal 10 2 10 35 8" xfId="5153" xr:uid="{00000000-0005-0000-0000-000021140000}"/>
    <cellStyle name="Normal 10 2 10 35 9" xfId="5154" xr:uid="{00000000-0005-0000-0000-000022140000}"/>
    <cellStyle name="Normal 10 2 10 36" xfId="5155" xr:uid="{00000000-0005-0000-0000-000023140000}"/>
    <cellStyle name="Normal 10 2 10 36 10" xfId="5156" xr:uid="{00000000-0005-0000-0000-000024140000}"/>
    <cellStyle name="Normal 10 2 10 36 2" xfId="5157" xr:uid="{00000000-0005-0000-0000-000025140000}"/>
    <cellStyle name="Normal 10 2 10 36 3" xfId="5158" xr:uid="{00000000-0005-0000-0000-000026140000}"/>
    <cellStyle name="Normal 10 2 10 36 4" xfId="5159" xr:uid="{00000000-0005-0000-0000-000027140000}"/>
    <cellStyle name="Normal 10 2 10 36 5" xfId="5160" xr:uid="{00000000-0005-0000-0000-000028140000}"/>
    <cellStyle name="Normal 10 2 10 36 6" xfId="5161" xr:uid="{00000000-0005-0000-0000-000029140000}"/>
    <cellStyle name="Normal 10 2 10 36 7" xfId="5162" xr:uid="{00000000-0005-0000-0000-00002A140000}"/>
    <cellStyle name="Normal 10 2 10 36 8" xfId="5163" xr:uid="{00000000-0005-0000-0000-00002B140000}"/>
    <cellStyle name="Normal 10 2 10 36 9" xfId="5164" xr:uid="{00000000-0005-0000-0000-00002C140000}"/>
    <cellStyle name="Normal 10 2 10 37" xfId="5165" xr:uid="{00000000-0005-0000-0000-00002D140000}"/>
    <cellStyle name="Normal 10 2 10 37 10" xfId="5166" xr:uid="{00000000-0005-0000-0000-00002E140000}"/>
    <cellStyle name="Normal 10 2 10 37 2" xfId="5167" xr:uid="{00000000-0005-0000-0000-00002F140000}"/>
    <cellStyle name="Normal 10 2 10 37 3" xfId="5168" xr:uid="{00000000-0005-0000-0000-000030140000}"/>
    <cellStyle name="Normal 10 2 10 37 4" xfId="5169" xr:uid="{00000000-0005-0000-0000-000031140000}"/>
    <cellStyle name="Normal 10 2 10 37 5" xfId="5170" xr:uid="{00000000-0005-0000-0000-000032140000}"/>
    <cellStyle name="Normal 10 2 10 37 6" xfId="5171" xr:uid="{00000000-0005-0000-0000-000033140000}"/>
    <cellStyle name="Normal 10 2 10 37 7" xfId="5172" xr:uid="{00000000-0005-0000-0000-000034140000}"/>
    <cellStyle name="Normal 10 2 10 37 8" xfId="5173" xr:uid="{00000000-0005-0000-0000-000035140000}"/>
    <cellStyle name="Normal 10 2 10 37 9" xfId="5174" xr:uid="{00000000-0005-0000-0000-000036140000}"/>
    <cellStyle name="Normal 10 2 10 38" xfId="5175" xr:uid="{00000000-0005-0000-0000-000037140000}"/>
    <cellStyle name="Normal 10 2 10 38 10" xfId="5176" xr:uid="{00000000-0005-0000-0000-000038140000}"/>
    <cellStyle name="Normal 10 2 10 38 2" xfId="5177" xr:uid="{00000000-0005-0000-0000-000039140000}"/>
    <cellStyle name="Normal 10 2 10 38 3" xfId="5178" xr:uid="{00000000-0005-0000-0000-00003A140000}"/>
    <cellStyle name="Normal 10 2 10 38 4" xfId="5179" xr:uid="{00000000-0005-0000-0000-00003B140000}"/>
    <cellStyle name="Normal 10 2 10 38 5" xfId="5180" xr:uid="{00000000-0005-0000-0000-00003C140000}"/>
    <cellStyle name="Normal 10 2 10 38 6" xfId="5181" xr:uid="{00000000-0005-0000-0000-00003D140000}"/>
    <cellStyle name="Normal 10 2 10 38 7" xfId="5182" xr:uid="{00000000-0005-0000-0000-00003E140000}"/>
    <cellStyle name="Normal 10 2 10 38 8" xfId="5183" xr:uid="{00000000-0005-0000-0000-00003F140000}"/>
    <cellStyle name="Normal 10 2 10 38 9" xfId="5184" xr:uid="{00000000-0005-0000-0000-000040140000}"/>
    <cellStyle name="Normal 10 2 10 39" xfId="5185" xr:uid="{00000000-0005-0000-0000-000041140000}"/>
    <cellStyle name="Normal 10 2 10 4" xfId="5186" xr:uid="{00000000-0005-0000-0000-000042140000}"/>
    <cellStyle name="Normal 10 2 10 4 10" xfId="5187" xr:uid="{00000000-0005-0000-0000-000043140000}"/>
    <cellStyle name="Normal 10 2 10 4 11" xfId="5188" xr:uid="{00000000-0005-0000-0000-000044140000}"/>
    <cellStyle name="Normal 10 2 10 4 12" xfId="5189" xr:uid="{00000000-0005-0000-0000-000045140000}"/>
    <cellStyle name="Normal 10 2 10 4 13" xfId="5190" xr:uid="{00000000-0005-0000-0000-000046140000}"/>
    <cellStyle name="Normal 10 2 10 4 14" xfId="5191" xr:uid="{00000000-0005-0000-0000-000047140000}"/>
    <cellStyle name="Normal 10 2 10 4 2" xfId="5192" xr:uid="{00000000-0005-0000-0000-000048140000}"/>
    <cellStyle name="Normal 10 2 10 4 2 10" xfId="5193" xr:uid="{00000000-0005-0000-0000-000049140000}"/>
    <cellStyle name="Normal 10 2 10 4 2 2" xfId="5194" xr:uid="{00000000-0005-0000-0000-00004A140000}"/>
    <cellStyle name="Normal 10 2 10 4 2 3" xfId="5195" xr:uid="{00000000-0005-0000-0000-00004B140000}"/>
    <cellStyle name="Normal 10 2 10 4 2 4" xfId="5196" xr:uid="{00000000-0005-0000-0000-00004C140000}"/>
    <cellStyle name="Normal 10 2 10 4 2 5" xfId="5197" xr:uid="{00000000-0005-0000-0000-00004D140000}"/>
    <cellStyle name="Normal 10 2 10 4 2 6" xfId="5198" xr:uid="{00000000-0005-0000-0000-00004E140000}"/>
    <cellStyle name="Normal 10 2 10 4 2 7" xfId="5199" xr:uid="{00000000-0005-0000-0000-00004F140000}"/>
    <cellStyle name="Normal 10 2 10 4 2 8" xfId="5200" xr:uid="{00000000-0005-0000-0000-000050140000}"/>
    <cellStyle name="Normal 10 2 10 4 2 9" xfId="5201" xr:uid="{00000000-0005-0000-0000-000051140000}"/>
    <cellStyle name="Normal 10 2 10 4 3" xfId="5202" xr:uid="{00000000-0005-0000-0000-000052140000}"/>
    <cellStyle name="Normal 10 2 10 4 3 10" xfId="5203" xr:uid="{00000000-0005-0000-0000-000053140000}"/>
    <cellStyle name="Normal 10 2 10 4 3 2" xfId="5204" xr:uid="{00000000-0005-0000-0000-000054140000}"/>
    <cellStyle name="Normal 10 2 10 4 3 3" xfId="5205" xr:uid="{00000000-0005-0000-0000-000055140000}"/>
    <cellStyle name="Normal 10 2 10 4 3 4" xfId="5206" xr:uid="{00000000-0005-0000-0000-000056140000}"/>
    <cellStyle name="Normal 10 2 10 4 3 5" xfId="5207" xr:uid="{00000000-0005-0000-0000-000057140000}"/>
    <cellStyle name="Normal 10 2 10 4 3 6" xfId="5208" xr:uid="{00000000-0005-0000-0000-000058140000}"/>
    <cellStyle name="Normal 10 2 10 4 3 7" xfId="5209" xr:uid="{00000000-0005-0000-0000-000059140000}"/>
    <cellStyle name="Normal 10 2 10 4 3 8" xfId="5210" xr:uid="{00000000-0005-0000-0000-00005A140000}"/>
    <cellStyle name="Normal 10 2 10 4 3 9" xfId="5211" xr:uid="{00000000-0005-0000-0000-00005B140000}"/>
    <cellStyle name="Normal 10 2 10 4 4" xfId="5212" xr:uid="{00000000-0005-0000-0000-00005C140000}"/>
    <cellStyle name="Normal 10 2 10 4 4 10" xfId="5213" xr:uid="{00000000-0005-0000-0000-00005D140000}"/>
    <cellStyle name="Normal 10 2 10 4 4 2" xfId="5214" xr:uid="{00000000-0005-0000-0000-00005E140000}"/>
    <cellStyle name="Normal 10 2 10 4 4 3" xfId="5215" xr:uid="{00000000-0005-0000-0000-00005F140000}"/>
    <cellStyle name="Normal 10 2 10 4 4 4" xfId="5216" xr:uid="{00000000-0005-0000-0000-000060140000}"/>
    <cellStyle name="Normal 10 2 10 4 4 5" xfId="5217" xr:uid="{00000000-0005-0000-0000-000061140000}"/>
    <cellStyle name="Normal 10 2 10 4 4 6" xfId="5218" xr:uid="{00000000-0005-0000-0000-000062140000}"/>
    <cellStyle name="Normal 10 2 10 4 4 7" xfId="5219" xr:uid="{00000000-0005-0000-0000-000063140000}"/>
    <cellStyle name="Normal 10 2 10 4 4 8" xfId="5220" xr:uid="{00000000-0005-0000-0000-000064140000}"/>
    <cellStyle name="Normal 10 2 10 4 4 9" xfId="5221" xr:uid="{00000000-0005-0000-0000-000065140000}"/>
    <cellStyle name="Normal 10 2 10 4 5" xfId="5222" xr:uid="{00000000-0005-0000-0000-000066140000}"/>
    <cellStyle name="Normal 10 2 10 4 5 10" xfId="5223" xr:uid="{00000000-0005-0000-0000-000067140000}"/>
    <cellStyle name="Normal 10 2 10 4 5 2" xfId="5224" xr:uid="{00000000-0005-0000-0000-000068140000}"/>
    <cellStyle name="Normal 10 2 10 4 5 3" xfId="5225" xr:uid="{00000000-0005-0000-0000-000069140000}"/>
    <cellStyle name="Normal 10 2 10 4 5 4" xfId="5226" xr:uid="{00000000-0005-0000-0000-00006A140000}"/>
    <cellStyle name="Normal 10 2 10 4 5 5" xfId="5227" xr:uid="{00000000-0005-0000-0000-00006B140000}"/>
    <cellStyle name="Normal 10 2 10 4 5 6" xfId="5228" xr:uid="{00000000-0005-0000-0000-00006C140000}"/>
    <cellStyle name="Normal 10 2 10 4 5 7" xfId="5229" xr:uid="{00000000-0005-0000-0000-00006D140000}"/>
    <cellStyle name="Normal 10 2 10 4 5 8" xfId="5230" xr:uid="{00000000-0005-0000-0000-00006E140000}"/>
    <cellStyle name="Normal 10 2 10 4 5 9" xfId="5231" xr:uid="{00000000-0005-0000-0000-00006F140000}"/>
    <cellStyle name="Normal 10 2 10 4 6" xfId="5232" xr:uid="{00000000-0005-0000-0000-000070140000}"/>
    <cellStyle name="Normal 10 2 10 4 7" xfId="5233" xr:uid="{00000000-0005-0000-0000-000071140000}"/>
    <cellStyle name="Normal 10 2 10 4 8" xfId="5234" xr:uid="{00000000-0005-0000-0000-000072140000}"/>
    <cellStyle name="Normal 10 2 10 4 9" xfId="5235" xr:uid="{00000000-0005-0000-0000-000073140000}"/>
    <cellStyle name="Normal 10 2 10 40" xfId="5236" xr:uid="{00000000-0005-0000-0000-000074140000}"/>
    <cellStyle name="Normal 10 2 10 41" xfId="5237" xr:uid="{00000000-0005-0000-0000-000075140000}"/>
    <cellStyle name="Normal 10 2 10 42" xfId="5238" xr:uid="{00000000-0005-0000-0000-000076140000}"/>
    <cellStyle name="Normal 10 2 10 43" xfId="5239" xr:uid="{00000000-0005-0000-0000-000077140000}"/>
    <cellStyle name="Normal 10 2 10 44" xfId="5240" xr:uid="{00000000-0005-0000-0000-000078140000}"/>
    <cellStyle name="Normal 10 2 10 45" xfId="5241" xr:uid="{00000000-0005-0000-0000-000079140000}"/>
    <cellStyle name="Normal 10 2 10 46" xfId="5242" xr:uid="{00000000-0005-0000-0000-00007A140000}"/>
    <cellStyle name="Normal 10 2 10 47" xfId="5243" xr:uid="{00000000-0005-0000-0000-00007B140000}"/>
    <cellStyle name="Normal 10 2 10 48" xfId="5244" xr:uid="{00000000-0005-0000-0000-00007C140000}"/>
    <cellStyle name="Normal 10 2 10 49" xfId="5245" xr:uid="{00000000-0005-0000-0000-00007D140000}"/>
    <cellStyle name="Normal 10 2 10 5" xfId="5246" xr:uid="{00000000-0005-0000-0000-00007E140000}"/>
    <cellStyle name="Normal 10 2 10 5 10" xfId="5247" xr:uid="{00000000-0005-0000-0000-00007F140000}"/>
    <cellStyle name="Normal 10 2 10 5 11" xfId="5248" xr:uid="{00000000-0005-0000-0000-000080140000}"/>
    <cellStyle name="Normal 10 2 10 5 12" xfId="5249" xr:uid="{00000000-0005-0000-0000-000081140000}"/>
    <cellStyle name="Normal 10 2 10 5 13" xfId="5250" xr:uid="{00000000-0005-0000-0000-000082140000}"/>
    <cellStyle name="Normal 10 2 10 5 14" xfId="5251" xr:uid="{00000000-0005-0000-0000-000083140000}"/>
    <cellStyle name="Normal 10 2 10 5 2" xfId="5252" xr:uid="{00000000-0005-0000-0000-000084140000}"/>
    <cellStyle name="Normal 10 2 10 5 2 10" xfId="5253" xr:uid="{00000000-0005-0000-0000-000085140000}"/>
    <cellStyle name="Normal 10 2 10 5 2 2" xfId="5254" xr:uid="{00000000-0005-0000-0000-000086140000}"/>
    <cellStyle name="Normal 10 2 10 5 2 3" xfId="5255" xr:uid="{00000000-0005-0000-0000-000087140000}"/>
    <cellStyle name="Normal 10 2 10 5 2 4" xfId="5256" xr:uid="{00000000-0005-0000-0000-000088140000}"/>
    <cellStyle name="Normal 10 2 10 5 2 5" xfId="5257" xr:uid="{00000000-0005-0000-0000-000089140000}"/>
    <cellStyle name="Normal 10 2 10 5 2 6" xfId="5258" xr:uid="{00000000-0005-0000-0000-00008A140000}"/>
    <cellStyle name="Normal 10 2 10 5 2 7" xfId="5259" xr:uid="{00000000-0005-0000-0000-00008B140000}"/>
    <cellStyle name="Normal 10 2 10 5 2 8" xfId="5260" xr:uid="{00000000-0005-0000-0000-00008C140000}"/>
    <cellStyle name="Normal 10 2 10 5 2 9" xfId="5261" xr:uid="{00000000-0005-0000-0000-00008D140000}"/>
    <cellStyle name="Normal 10 2 10 5 3" xfId="5262" xr:uid="{00000000-0005-0000-0000-00008E140000}"/>
    <cellStyle name="Normal 10 2 10 5 3 10" xfId="5263" xr:uid="{00000000-0005-0000-0000-00008F140000}"/>
    <cellStyle name="Normal 10 2 10 5 3 2" xfId="5264" xr:uid="{00000000-0005-0000-0000-000090140000}"/>
    <cellStyle name="Normal 10 2 10 5 3 3" xfId="5265" xr:uid="{00000000-0005-0000-0000-000091140000}"/>
    <cellStyle name="Normal 10 2 10 5 3 4" xfId="5266" xr:uid="{00000000-0005-0000-0000-000092140000}"/>
    <cellStyle name="Normal 10 2 10 5 3 5" xfId="5267" xr:uid="{00000000-0005-0000-0000-000093140000}"/>
    <cellStyle name="Normal 10 2 10 5 3 6" xfId="5268" xr:uid="{00000000-0005-0000-0000-000094140000}"/>
    <cellStyle name="Normal 10 2 10 5 3 7" xfId="5269" xr:uid="{00000000-0005-0000-0000-000095140000}"/>
    <cellStyle name="Normal 10 2 10 5 3 8" xfId="5270" xr:uid="{00000000-0005-0000-0000-000096140000}"/>
    <cellStyle name="Normal 10 2 10 5 3 9" xfId="5271" xr:uid="{00000000-0005-0000-0000-000097140000}"/>
    <cellStyle name="Normal 10 2 10 5 4" xfId="5272" xr:uid="{00000000-0005-0000-0000-000098140000}"/>
    <cellStyle name="Normal 10 2 10 5 4 10" xfId="5273" xr:uid="{00000000-0005-0000-0000-000099140000}"/>
    <cellStyle name="Normal 10 2 10 5 4 2" xfId="5274" xr:uid="{00000000-0005-0000-0000-00009A140000}"/>
    <cellStyle name="Normal 10 2 10 5 4 3" xfId="5275" xr:uid="{00000000-0005-0000-0000-00009B140000}"/>
    <cellStyle name="Normal 10 2 10 5 4 4" xfId="5276" xr:uid="{00000000-0005-0000-0000-00009C140000}"/>
    <cellStyle name="Normal 10 2 10 5 4 5" xfId="5277" xr:uid="{00000000-0005-0000-0000-00009D140000}"/>
    <cellStyle name="Normal 10 2 10 5 4 6" xfId="5278" xr:uid="{00000000-0005-0000-0000-00009E140000}"/>
    <cellStyle name="Normal 10 2 10 5 4 7" xfId="5279" xr:uid="{00000000-0005-0000-0000-00009F140000}"/>
    <cellStyle name="Normal 10 2 10 5 4 8" xfId="5280" xr:uid="{00000000-0005-0000-0000-0000A0140000}"/>
    <cellStyle name="Normal 10 2 10 5 4 9" xfId="5281" xr:uid="{00000000-0005-0000-0000-0000A1140000}"/>
    <cellStyle name="Normal 10 2 10 5 5" xfId="5282" xr:uid="{00000000-0005-0000-0000-0000A2140000}"/>
    <cellStyle name="Normal 10 2 10 5 5 10" xfId="5283" xr:uid="{00000000-0005-0000-0000-0000A3140000}"/>
    <cellStyle name="Normal 10 2 10 5 5 2" xfId="5284" xr:uid="{00000000-0005-0000-0000-0000A4140000}"/>
    <cellStyle name="Normal 10 2 10 5 5 3" xfId="5285" xr:uid="{00000000-0005-0000-0000-0000A5140000}"/>
    <cellStyle name="Normal 10 2 10 5 5 4" xfId="5286" xr:uid="{00000000-0005-0000-0000-0000A6140000}"/>
    <cellStyle name="Normal 10 2 10 5 5 5" xfId="5287" xr:uid="{00000000-0005-0000-0000-0000A7140000}"/>
    <cellStyle name="Normal 10 2 10 5 5 6" xfId="5288" xr:uid="{00000000-0005-0000-0000-0000A8140000}"/>
    <cellStyle name="Normal 10 2 10 5 5 7" xfId="5289" xr:uid="{00000000-0005-0000-0000-0000A9140000}"/>
    <cellStyle name="Normal 10 2 10 5 5 8" xfId="5290" xr:uid="{00000000-0005-0000-0000-0000AA140000}"/>
    <cellStyle name="Normal 10 2 10 5 5 9" xfId="5291" xr:uid="{00000000-0005-0000-0000-0000AB140000}"/>
    <cellStyle name="Normal 10 2 10 5 6" xfId="5292" xr:uid="{00000000-0005-0000-0000-0000AC140000}"/>
    <cellStyle name="Normal 10 2 10 5 7" xfId="5293" xr:uid="{00000000-0005-0000-0000-0000AD140000}"/>
    <cellStyle name="Normal 10 2 10 5 8" xfId="5294" xr:uid="{00000000-0005-0000-0000-0000AE140000}"/>
    <cellStyle name="Normal 10 2 10 5 9" xfId="5295" xr:uid="{00000000-0005-0000-0000-0000AF140000}"/>
    <cellStyle name="Normal 10 2 10 50" xfId="7" xr:uid="{00000000-0005-0000-0000-000007000000}"/>
    <cellStyle name="Normal 10 2 10 6" xfId="5296" xr:uid="{00000000-0005-0000-0000-0000B0140000}"/>
    <cellStyle name="Normal 10 2 10 6 10" xfId="5297" xr:uid="{00000000-0005-0000-0000-0000B1140000}"/>
    <cellStyle name="Normal 10 2 10 6 11" xfId="5298" xr:uid="{00000000-0005-0000-0000-0000B2140000}"/>
    <cellStyle name="Normal 10 2 10 6 12" xfId="5299" xr:uid="{00000000-0005-0000-0000-0000B3140000}"/>
    <cellStyle name="Normal 10 2 10 6 13" xfId="5300" xr:uid="{00000000-0005-0000-0000-0000B4140000}"/>
    <cellStyle name="Normal 10 2 10 6 14" xfId="5301" xr:uid="{00000000-0005-0000-0000-0000B5140000}"/>
    <cellStyle name="Normal 10 2 10 6 2" xfId="5302" xr:uid="{00000000-0005-0000-0000-0000B6140000}"/>
    <cellStyle name="Normal 10 2 10 6 2 10" xfId="5303" xr:uid="{00000000-0005-0000-0000-0000B7140000}"/>
    <cellStyle name="Normal 10 2 10 6 2 2" xfId="5304" xr:uid="{00000000-0005-0000-0000-0000B8140000}"/>
    <cellStyle name="Normal 10 2 10 6 2 3" xfId="5305" xr:uid="{00000000-0005-0000-0000-0000B9140000}"/>
    <cellStyle name="Normal 10 2 10 6 2 4" xfId="5306" xr:uid="{00000000-0005-0000-0000-0000BA140000}"/>
    <cellStyle name="Normal 10 2 10 6 2 5" xfId="5307" xr:uid="{00000000-0005-0000-0000-0000BB140000}"/>
    <cellStyle name="Normal 10 2 10 6 2 6" xfId="5308" xr:uid="{00000000-0005-0000-0000-0000BC140000}"/>
    <cellStyle name="Normal 10 2 10 6 2 7" xfId="5309" xr:uid="{00000000-0005-0000-0000-0000BD140000}"/>
    <cellStyle name="Normal 10 2 10 6 2 8" xfId="5310" xr:uid="{00000000-0005-0000-0000-0000BE140000}"/>
    <cellStyle name="Normal 10 2 10 6 2 9" xfId="5311" xr:uid="{00000000-0005-0000-0000-0000BF140000}"/>
    <cellStyle name="Normal 10 2 10 6 3" xfId="5312" xr:uid="{00000000-0005-0000-0000-0000C0140000}"/>
    <cellStyle name="Normal 10 2 10 6 3 10" xfId="5313" xr:uid="{00000000-0005-0000-0000-0000C1140000}"/>
    <cellStyle name="Normal 10 2 10 6 3 2" xfId="5314" xr:uid="{00000000-0005-0000-0000-0000C2140000}"/>
    <cellStyle name="Normal 10 2 10 6 3 3" xfId="5315" xr:uid="{00000000-0005-0000-0000-0000C3140000}"/>
    <cellStyle name="Normal 10 2 10 6 3 4" xfId="5316" xr:uid="{00000000-0005-0000-0000-0000C4140000}"/>
    <cellStyle name="Normal 10 2 10 6 3 5" xfId="5317" xr:uid="{00000000-0005-0000-0000-0000C5140000}"/>
    <cellStyle name="Normal 10 2 10 6 3 6" xfId="5318" xr:uid="{00000000-0005-0000-0000-0000C6140000}"/>
    <cellStyle name="Normal 10 2 10 6 3 7" xfId="5319" xr:uid="{00000000-0005-0000-0000-0000C7140000}"/>
    <cellStyle name="Normal 10 2 10 6 3 8" xfId="5320" xr:uid="{00000000-0005-0000-0000-0000C8140000}"/>
    <cellStyle name="Normal 10 2 10 6 3 9" xfId="5321" xr:uid="{00000000-0005-0000-0000-0000C9140000}"/>
    <cellStyle name="Normal 10 2 10 6 4" xfId="5322" xr:uid="{00000000-0005-0000-0000-0000CA140000}"/>
    <cellStyle name="Normal 10 2 10 6 4 10" xfId="5323" xr:uid="{00000000-0005-0000-0000-0000CB140000}"/>
    <cellStyle name="Normal 10 2 10 6 4 2" xfId="5324" xr:uid="{00000000-0005-0000-0000-0000CC140000}"/>
    <cellStyle name="Normal 10 2 10 6 4 3" xfId="5325" xr:uid="{00000000-0005-0000-0000-0000CD140000}"/>
    <cellStyle name="Normal 10 2 10 6 4 4" xfId="5326" xr:uid="{00000000-0005-0000-0000-0000CE140000}"/>
    <cellStyle name="Normal 10 2 10 6 4 5" xfId="5327" xr:uid="{00000000-0005-0000-0000-0000CF140000}"/>
    <cellStyle name="Normal 10 2 10 6 4 6" xfId="5328" xr:uid="{00000000-0005-0000-0000-0000D0140000}"/>
    <cellStyle name="Normal 10 2 10 6 4 7" xfId="5329" xr:uid="{00000000-0005-0000-0000-0000D1140000}"/>
    <cellStyle name="Normal 10 2 10 6 4 8" xfId="5330" xr:uid="{00000000-0005-0000-0000-0000D2140000}"/>
    <cellStyle name="Normal 10 2 10 6 4 9" xfId="5331" xr:uid="{00000000-0005-0000-0000-0000D3140000}"/>
    <cellStyle name="Normal 10 2 10 6 5" xfId="5332" xr:uid="{00000000-0005-0000-0000-0000D4140000}"/>
    <cellStyle name="Normal 10 2 10 6 5 10" xfId="5333" xr:uid="{00000000-0005-0000-0000-0000D5140000}"/>
    <cellStyle name="Normal 10 2 10 6 5 2" xfId="5334" xr:uid="{00000000-0005-0000-0000-0000D6140000}"/>
    <cellStyle name="Normal 10 2 10 6 5 3" xfId="5335" xr:uid="{00000000-0005-0000-0000-0000D7140000}"/>
    <cellStyle name="Normal 10 2 10 6 5 4" xfId="5336" xr:uid="{00000000-0005-0000-0000-0000D8140000}"/>
    <cellStyle name="Normal 10 2 10 6 5 5" xfId="5337" xr:uid="{00000000-0005-0000-0000-0000D9140000}"/>
    <cellStyle name="Normal 10 2 10 6 5 6" xfId="5338" xr:uid="{00000000-0005-0000-0000-0000DA140000}"/>
    <cellStyle name="Normal 10 2 10 6 5 7" xfId="5339" xr:uid="{00000000-0005-0000-0000-0000DB140000}"/>
    <cellStyle name="Normal 10 2 10 6 5 8" xfId="5340" xr:uid="{00000000-0005-0000-0000-0000DC140000}"/>
    <cellStyle name="Normal 10 2 10 6 5 9" xfId="5341" xr:uid="{00000000-0005-0000-0000-0000DD140000}"/>
    <cellStyle name="Normal 10 2 10 6 6" xfId="5342" xr:uid="{00000000-0005-0000-0000-0000DE140000}"/>
    <cellStyle name="Normal 10 2 10 6 7" xfId="5343" xr:uid="{00000000-0005-0000-0000-0000DF140000}"/>
    <cellStyle name="Normal 10 2 10 6 8" xfId="5344" xr:uid="{00000000-0005-0000-0000-0000E0140000}"/>
    <cellStyle name="Normal 10 2 10 6 9" xfId="5345" xr:uid="{00000000-0005-0000-0000-0000E1140000}"/>
    <cellStyle name="Normal 10 2 10 7" xfId="5346" xr:uid="{00000000-0005-0000-0000-0000E2140000}"/>
    <cellStyle name="Normal 10 2 10 7 10" xfId="5347" xr:uid="{00000000-0005-0000-0000-0000E3140000}"/>
    <cellStyle name="Normal 10 2 10 7 11" xfId="5348" xr:uid="{00000000-0005-0000-0000-0000E4140000}"/>
    <cellStyle name="Normal 10 2 10 7 12" xfId="5349" xr:uid="{00000000-0005-0000-0000-0000E5140000}"/>
    <cellStyle name="Normal 10 2 10 7 13" xfId="5350" xr:uid="{00000000-0005-0000-0000-0000E6140000}"/>
    <cellStyle name="Normal 10 2 10 7 14" xfId="5351" xr:uid="{00000000-0005-0000-0000-0000E7140000}"/>
    <cellStyle name="Normal 10 2 10 7 2" xfId="5352" xr:uid="{00000000-0005-0000-0000-0000E8140000}"/>
    <cellStyle name="Normal 10 2 10 7 2 10" xfId="5353" xr:uid="{00000000-0005-0000-0000-0000E9140000}"/>
    <cellStyle name="Normal 10 2 10 7 2 2" xfId="5354" xr:uid="{00000000-0005-0000-0000-0000EA140000}"/>
    <cellStyle name="Normal 10 2 10 7 2 3" xfId="5355" xr:uid="{00000000-0005-0000-0000-0000EB140000}"/>
    <cellStyle name="Normal 10 2 10 7 2 4" xfId="5356" xr:uid="{00000000-0005-0000-0000-0000EC140000}"/>
    <cellStyle name="Normal 10 2 10 7 2 5" xfId="5357" xr:uid="{00000000-0005-0000-0000-0000ED140000}"/>
    <cellStyle name="Normal 10 2 10 7 2 6" xfId="5358" xr:uid="{00000000-0005-0000-0000-0000EE140000}"/>
    <cellStyle name="Normal 10 2 10 7 2 7" xfId="5359" xr:uid="{00000000-0005-0000-0000-0000EF140000}"/>
    <cellStyle name="Normal 10 2 10 7 2 8" xfId="5360" xr:uid="{00000000-0005-0000-0000-0000F0140000}"/>
    <cellStyle name="Normal 10 2 10 7 2 9" xfId="5361" xr:uid="{00000000-0005-0000-0000-0000F1140000}"/>
    <cellStyle name="Normal 10 2 10 7 3" xfId="5362" xr:uid="{00000000-0005-0000-0000-0000F2140000}"/>
    <cellStyle name="Normal 10 2 10 7 3 10" xfId="5363" xr:uid="{00000000-0005-0000-0000-0000F3140000}"/>
    <cellStyle name="Normal 10 2 10 7 3 2" xfId="5364" xr:uid="{00000000-0005-0000-0000-0000F4140000}"/>
    <cellStyle name="Normal 10 2 10 7 3 3" xfId="5365" xr:uid="{00000000-0005-0000-0000-0000F5140000}"/>
    <cellStyle name="Normal 10 2 10 7 3 4" xfId="5366" xr:uid="{00000000-0005-0000-0000-0000F6140000}"/>
    <cellStyle name="Normal 10 2 10 7 3 5" xfId="5367" xr:uid="{00000000-0005-0000-0000-0000F7140000}"/>
    <cellStyle name="Normal 10 2 10 7 3 6" xfId="5368" xr:uid="{00000000-0005-0000-0000-0000F8140000}"/>
    <cellStyle name="Normal 10 2 10 7 3 7" xfId="5369" xr:uid="{00000000-0005-0000-0000-0000F9140000}"/>
    <cellStyle name="Normal 10 2 10 7 3 8" xfId="5370" xr:uid="{00000000-0005-0000-0000-0000FA140000}"/>
    <cellStyle name="Normal 10 2 10 7 3 9" xfId="5371" xr:uid="{00000000-0005-0000-0000-0000FB140000}"/>
    <cellStyle name="Normal 10 2 10 7 4" xfId="5372" xr:uid="{00000000-0005-0000-0000-0000FC140000}"/>
    <cellStyle name="Normal 10 2 10 7 4 10" xfId="5373" xr:uid="{00000000-0005-0000-0000-0000FD140000}"/>
    <cellStyle name="Normal 10 2 10 7 4 2" xfId="5374" xr:uid="{00000000-0005-0000-0000-0000FE140000}"/>
    <cellStyle name="Normal 10 2 10 7 4 3" xfId="5375" xr:uid="{00000000-0005-0000-0000-0000FF140000}"/>
    <cellStyle name="Normal 10 2 10 7 4 4" xfId="5376" xr:uid="{00000000-0005-0000-0000-000000150000}"/>
    <cellStyle name="Normal 10 2 10 7 4 5" xfId="5377" xr:uid="{00000000-0005-0000-0000-000001150000}"/>
    <cellStyle name="Normal 10 2 10 7 4 6" xfId="5378" xr:uid="{00000000-0005-0000-0000-000002150000}"/>
    <cellStyle name="Normal 10 2 10 7 4 7" xfId="5379" xr:uid="{00000000-0005-0000-0000-000003150000}"/>
    <cellStyle name="Normal 10 2 10 7 4 8" xfId="5380" xr:uid="{00000000-0005-0000-0000-000004150000}"/>
    <cellStyle name="Normal 10 2 10 7 4 9" xfId="5381" xr:uid="{00000000-0005-0000-0000-000005150000}"/>
    <cellStyle name="Normal 10 2 10 7 5" xfId="5382" xr:uid="{00000000-0005-0000-0000-000006150000}"/>
    <cellStyle name="Normal 10 2 10 7 5 10" xfId="5383" xr:uid="{00000000-0005-0000-0000-000007150000}"/>
    <cellStyle name="Normal 10 2 10 7 5 2" xfId="5384" xr:uid="{00000000-0005-0000-0000-000008150000}"/>
    <cellStyle name="Normal 10 2 10 7 5 3" xfId="5385" xr:uid="{00000000-0005-0000-0000-000009150000}"/>
    <cellStyle name="Normal 10 2 10 7 5 4" xfId="5386" xr:uid="{00000000-0005-0000-0000-00000A150000}"/>
    <cellStyle name="Normal 10 2 10 7 5 5" xfId="5387" xr:uid="{00000000-0005-0000-0000-00000B150000}"/>
    <cellStyle name="Normal 10 2 10 7 5 6" xfId="5388" xr:uid="{00000000-0005-0000-0000-00000C150000}"/>
    <cellStyle name="Normal 10 2 10 7 5 7" xfId="5389" xr:uid="{00000000-0005-0000-0000-00000D150000}"/>
    <cellStyle name="Normal 10 2 10 7 5 8" xfId="5390" xr:uid="{00000000-0005-0000-0000-00000E150000}"/>
    <cellStyle name="Normal 10 2 10 7 5 9" xfId="5391" xr:uid="{00000000-0005-0000-0000-00000F150000}"/>
    <cellStyle name="Normal 10 2 10 7 6" xfId="5392" xr:uid="{00000000-0005-0000-0000-000010150000}"/>
    <cellStyle name="Normal 10 2 10 7 7" xfId="5393" xr:uid="{00000000-0005-0000-0000-000011150000}"/>
    <cellStyle name="Normal 10 2 10 7 8" xfId="5394" xr:uid="{00000000-0005-0000-0000-000012150000}"/>
    <cellStyle name="Normal 10 2 10 7 9" xfId="5395" xr:uid="{00000000-0005-0000-0000-000013150000}"/>
    <cellStyle name="Normal 10 2 10 8" xfId="5396" xr:uid="{00000000-0005-0000-0000-000014150000}"/>
    <cellStyle name="Normal 10 2 10 8 10" xfId="5397" xr:uid="{00000000-0005-0000-0000-000015150000}"/>
    <cellStyle name="Normal 10 2 10 8 11" xfId="5398" xr:uid="{00000000-0005-0000-0000-000016150000}"/>
    <cellStyle name="Normal 10 2 10 8 12" xfId="5399" xr:uid="{00000000-0005-0000-0000-000017150000}"/>
    <cellStyle name="Normal 10 2 10 8 13" xfId="5400" xr:uid="{00000000-0005-0000-0000-000018150000}"/>
    <cellStyle name="Normal 10 2 10 8 14" xfId="5401" xr:uid="{00000000-0005-0000-0000-000019150000}"/>
    <cellStyle name="Normal 10 2 10 8 2" xfId="5402" xr:uid="{00000000-0005-0000-0000-00001A150000}"/>
    <cellStyle name="Normal 10 2 10 8 2 10" xfId="5403" xr:uid="{00000000-0005-0000-0000-00001B150000}"/>
    <cellStyle name="Normal 10 2 10 8 2 2" xfId="5404" xr:uid="{00000000-0005-0000-0000-00001C150000}"/>
    <cellStyle name="Normal 10 2 10 8 2 3" xfId="5405" xr:uid="{00000000-0005-0000-0000-00001D150000}"/>
    <cellStyle name="Normal 10 2 10 8 2 4" xfId="5406" xr:uid="{00000000-0005-0000-0000-00001E150000}"/>
    <cellStyle name="Normal 10 2 10 8 2 5" xfId="5407" xr:uid="{00000000-0005-0000-0000-00001F150000}"/>
    <cellStyle name="Normal 10 2 10 8 2 6" xfId="5408" xr:uid="{00000000-0005-0000-0000-000020150000}"/>
    <cellStyle name="Normal 10 2 10 8 2 7" xfId="5409" xr:uid="{00000000-0005-0000-0000-000021150000}"/>
    <cellStyle name="Normal 10 2 10 8 2 8" xfId="5410" xr:uid="{00000000-0005-0000-0000-000022150000}"/>
    <cellStyle name="Normal 10 2 10 8 2 9" xfId="5411" xr:uid="{00000000-0005-0000-0000-000023150000}"/>
    <cellStyle name="Normal 10 2 10 8 3" xfId="5412" xr:uid="{00000000-0005-0000-0000-000024150000}"/>
    <cellStyle name="Normal 10 2 10 8 3 10" xfId="5413" xr:uid="{00000000-0005-0000-0000-000025150000}"/>
    <cellStyle name="Normal 10 2 10 8 3 2" xfId="5414" xr:uid="{00000000-0005-0000-0000-000026150000}"/>
    <cellStyle name="Normal 10 2 10 8 3 3" xfId="5415" xr:uid="{00000000-0005-0000-0000-000027150000}"/>
    <cellStyle name="Normal 10 2 10 8 3 4" xfId="5416" xr:uid="{00000000-0005-0000-0000-000028150000}"/>
    <cellStyle name="Normal 10 2 10 8 3 5" xfId="5417" xr:uid="{00000000-0005-0000-0000-000029150000}"/>
    <cellStyle name="Normal 10 2 10 8 3 6" xfId="5418" xr:uid="{00000000-0005-0000-0000-00002A150000}"/>
    <cellStyle name="Normal 10 2 10 8 3 7" xfId="5419" xr:uid="{00000000-0005-0000-0000-00002B150000}"/>
    <cellStyle name="Normal 10 2 10 8 3 8" xfId="5420" xr:uid="{00000000-0005-0000-0000-00002C150000}"/>
    <cellStyle name="Normal 10 2 10 8 3 9" xfId="5421" xr:uid="{00000000-0005-0000-0000-00002D150000}"/>
    <cellStyle name="Normal 10 2 10 8 4" xfId="5422" xr:uid="{00000000-0005-0000-0000-00002E150000}"/>
    <cellStyle name="Normal 10 2 10 8 4 10" xfId="5423" xr:uid="{00000000-0005-0000-0000-00002F150000}"/>
    <cellStyle name="Normal 10 2 10 8 4 2" xfId="5424" xr:uid="{00000000-0005-0000-0000-000030150000}"/>
    <cellStyle name="Normal 10 2 10 8 4 3" xfId="5425" xr:uid="{00000000-0005-0000-0000-000031150000}"/>
    <cellStyle name="Normal 10 2 10 8 4 4" xfId="5426" xr:uid="{00000000-0005-0000-0000-000032150000}"/>
    <cellStyle name="Normal 10 2 10 8 4 5" xfId="5427" xr:uid="{00000000-0005-0000-0000-000033150000}"/>
    <cellStyle name="Normal 10 2 10 8 4 6" xfId="5428" xr:uid="{00000000-0005-0000-0000-000034150000}"/>
    <cellStyle name="Normal 10 2 10 8 4 7" xfId="5429" xr:uid="{00000000-0005-0000-0000-000035150000}"/>
    <cellStyle name="Normal 10 2 10 8 4 8" xfId="5430" xr:uid="{00000000-0005-0000-0000-000036150000}"/>
    <cellStyle name="Normal 10 2 10 8 4 9" xfId="5431" xr:uid="{00000000-0005-0000-0000-000037150000}"/>
    <cellStyle name="Normal 10 2 10 8 5" xfId="5432" xr:uid="{00000000-0005-0000-0000-000038150000}"/>
    <cellStyle name="Normal 10 2 10 8 5 10" xfId="5433" xr:uid="{00000000-0005-0000-0000-000039150000}"/>
    <cellStyle name="Normal 10 2 10 8 5 2" xfId="5434" xr:uid="{00000000-0005-0000-0000-00003A150000}"/>
    <cellStyle name="Normal 10 2 10 8 5 3" xfId="5435" xr:uid="{00000000-0005-0000-0000-00003B150000}"/>
    <cellStyle name="Normal 10 2 10 8 5 4" xfId="5436" xr:uid="{00000000-0005-0000-0000-00003C150000}"/>
    <cellStyle name="Normal 10 2 10 8 5 5" xfId="5437" xr:uid="{00000000-0005-0000-0000-00003D150000}"/>
    <cellStyle name="Normal 10 2 10 8 5 6" xfId="5438" xr:uid="{00000000-0005-0000-0000-00003E150000}"/>
    <cellStyle name="Normal 10 2 10 8 5 7" xfId="5439" xr:uid="{00000000-0005-0000-0000-00003F150000}"/>
    <cellStyle name="Normal 10 2 10 8 5 8" xfId="5440" xr:uid="{00000000-0005-0000-0000-000040150000}"/>
    <cellStyle name="Normal 10 2 10 8 5 9" xfId="5441" xr:uid="{00000000-0005-0000-0000-000041150000}"/>
    <cellStyle name="Normal 10 2 10 8 6" xfId="5442" xr:uid="{00000000-0005-0000-0000-000042150000}"/>
    <cellStyle name="Normal 10 2 10 8 7" xfId="5443" xr:uid="{00000000-0005-0000-0000-000043150000}"/>
    <cellStyle name="Normal 10 2 10 8 8" xfId="5444" xr:uid="{00000000-0005-0000-0000-000044150000}"/>
    <cellStyle name="Normal 10 2 10 8 9" xfId="5445" xr:uid="{00000000-0005-0000-0000-000045150000}"/>
    <cellStyle name="Normal 10 2 10 9" xfId="5446" xr:uid="{00000000-0005-0000-0000-000046150000}"/>
    <cellStyle name="Normal 10 2 10 9 10" xfId="5447" xr:uid="{00000000-0005-0000-0000-000047150000}"/>
    <cellStyle name="Normal 10 2 10 9 11" xfId="5448" xr:uid="{00000000-0005-0000-0000-000048150000}"/>
    <cellStyle name="Normal 10 2 10 9 12" xfId="5449" xr:uid="{00000000-0005-0000-0000-000049150000}"/>
    <cellStyle name="Normal 10 2 10 9 13" xfId="5450" xr:uid="{00000000-0005-0000-0000-00004A150000}"/>
    <cellStyle name="Normal 10 2 10 9 14" xfId="5451" xr:uid="{00000000-0005-0000-0000-00004B150000}"/>
    <cellStyle name="Normal 10 2 10 9 2" xfId="5452" xr:uid="{00000000-0005-0000-0000-00004C150000}"/>
    <cellStyle name="Normal 10 2 10 9 2 10" xfId="5453" xr:uid="{00000000-0005-0000-0000-00004D150000}"/>
    <cellStyle name="Normal 10 2 10 9 2 2" xfId="5454" xr:uid="{00000000-0005-0000-0000-00004E150000}"/>
    <cellStyle name="Normal 10 2 10 9 2 3" xfId="5455" xr:uid="{00000000-0005-0000-0000-00004F150000}"/>
    <cellStyle name="Normal 10 2 10 9 2 4" xfId="5456" xr:uid="{00000000-0005-0000-0000-000050150000}"/>
    <cellStyle name="Normal 10 2 10 9 2 5" xfId="5457" xr:uid="{00000000-0005-0000-0000-000051150000}"/>
    <cellStyle name="Normal 10 2 10 9 2 6" xfId="5458" xr:uid="{00000000-0005-0000-0000-000052150000}"/>
    <cellStyle name="Normal 10 2 10 9 2 7" xfId="5459" xr:uid="{00000000-0005-0000-0000-000053150000}"/>
    <cellStyle name="Normal 10 2 10 9 2 8" xfId="5460" xr:uid="{00000000-0005-0000-0000-000054150000}"/>
    <cellStyle name="Normal 10 2 10 9 2 9" xfId="5461" xr:uid="{00000000-0005-0000-0000-000055150000}"/>
    <cellStyle name="Normal 10 2 10 9 3" xfId="5462" xr:uid="{00000000-0005-0000-0000-000056150000}"/>
    <cellStyle name="Normal 10 2 10 9 3 10" xfId="5463" xr:uid="{00000000-0005-0000-0000-000057150000}"/>
    <cellStyle name="Normal 10 2 10 9 3 2" xfId="5464" xr:uid="{00000000-0005-0000-0000-000058150000}"/>
    <cellStyle name="Normal 10 2 10 9 3 3" xfId="5465" xr:uid="{00000000-0005-0000-0000-000059150000}"/>
    <cellStyle name="Normal 10 2 10 9 3 4" xfId="5466" xr:uid="{00000000-0005-0000-0000-00005A150000}"/>
    <cellStyle name="Normal 10 2 10 9 3 5" xfId="5467" xr:uid="{00000000-0005-0000-0000-00005B150000}"/>
    <cellStyle name="Normal 10 2 10 9 3 6" xfId="5468" xr:uid="{00000000-0005-0000-0000-00005C150000}"/>
    <cellStyle name="Normal 10 2 10 9 3 7" xfId="5469" xr:uid="{00000000-0005-0000-0000-00005D150000}"/>
    <cellStyle name="Normal 10 2 10 9 3 8" xfId="5470" xr:uid="{00000000-0005-0000-0000-00005E150000}"/>
    <cellStyle name="Normal 10 2 10 9 3 9" xfId="5471" xr:uid="{00000000-0005-0000-0000-00005F150000}"/>
    <cellStyle name="Normal 10 2 10 9 4" xfId="5472" xr:uid="{00000000-0005-0000-0000-000060150000}"/>
    <cellStyle name="Normal 10 2 10 9 4 10" xfId="5473" xr:uid="{00000000-0005-0000-0000-000061150000}"/>
    <cellStyle name="Normal 10 2 10 9 4 2" xfId="5474" xr:uid="{00000000-0005-0000-0000-000062150000}"/>
    <cellStyle name="Normal 10 2 10 9 4 3" xfId="5475" xr:uid="{00000000-0005-0000-0000-000063150000}"/>
    <cellStyle name="Normal 10 2 10 9 4 4" xfId="5476" xr:uid="{00000000-0005-0000-0000-000064150000}"/>
    <cellStyle name="Normal 10 2 10 9 4 5" xfId="5477" xr:uid="{00000000-0005-0000-0000-000065150000}"/>
    <cellStyle name="Normal 10 2 10 9 4 6" xfId="5478" xr:uid="{00000000-0005-0000-0000-000066150000}"/>
    <cellStyle name="Normal 10 2 10 9 4 7" xfId="5479" xr:uid="{00000000-0005-0000-0000-000067150000}"/>
    <cellStyle name="Normal 10 2 10 9 4 8" xfId="5480" xr:uid="{00000000-0005-0000-0000-000068150000}"/>
    <cellStyle name="Normal 10 2 10 9 4 9" xfId="5481" xr:uid="{00000000-0005-0000-0000-000069150000}"/>
    <cellStyle name="Normal 10 2 10 9 5" xfId="5482" xr:uid="{00000000-0005-0000-0000-00006A150000}"/>
    <cellStyle name="Normal 10 2 10 9 5 10" xfId="5483" xr:uid="{00000000-0005-0000-0000-00006B150000}"/>
    <cellStyle name="Normal 10 2 10 9 5 2" xfId="5484" xr:uid="{00000000-0005-0000-0000-00006C150000}"/>
    <cellStyle name="Normal 10 2 10 9 5 3" xfId="5485" xr:uid="{00000000-0005-0000-0000-00006D150000}"/>
    <cellStyle name="Normal 10 2 10 9 5 4" xfId="5486" xr:uid="{00000000-0005-0000-0000-00006E150000}"/>
    <cellStyle name="Normal 10 2 10 9 5 5" xfId="5487" xr:uid="{00000000-0005-0000-0000-00006F150000}"/>
    <cellStyle name="Normal 10 2 10 9 5 6" xfId="5488" xr:uid="{00000000-0005-0000-0000-000070150000}"/>
    <cellStyle name="Normal 10 2 10 9 5 7" xfId="5489" xr:uid="{00000000-0005-0000-0000-000071150000}"/>
    <cellStyle name="Normal 10 2 10 9 5 8" xfId="5490" xr:uid="{00000000-0005-0000-0000-000072150000}"/>
    <cellStyle name="Normal 10 2 10 9 5 9" xfId="5491" xr:uid="{00000000-0005-0000-0000-000073150000}"/>
    <cellStyle name="Normal 10 2 10 9 6" xfId="5492" xr:uid="{00000000-0005-0000-0000-000074150000}"/>
    <cellStyle name="Normal 10 2 10 9 7" xfId="5493" xr:uid="{00000000-0005-0000-0000-000075150000}"/>
    <cellStyle name="Normal 10 2 10 9 8" xfId="5494" xr:uid="{00000000-0005-0000-0000-000076150000}"/>
    <cellStyle name="Normal 10 2 10 9 9" xfId="5495" xr:uid="{00000000-0005-0000-0000-000077150000}"/>
    <cellStyle name="Normal 10 2 11" xfId="5496" xr:uid="{00000000-0005-0000-0000-000078150000}"/>
    <cellStyle name="Normal 10 2 12" xfId="5497" xr:uid="{00000000-0005-0000-0000-000079150000}"/>
    <cellStyle name="Normal 10 2 13" xfId="5498" xr:uid="{00000000-0005-0000-0000-00007A150000}"/>
    <cellStyle name="Normal 10 2 14" xfId="5499" xr:uid="{00000000-0005-0000-0000-00007B150000}"/>
    <cellStyle name="Normal 10 2 15" xfId="5500" xr:uid="{00000000-0005-0000-0000-00007C150000}"/>
    <cellStyle name="Normal 10 2 16" xfId="5501" xr:uid="{00000000-0005-0000-0000-00007D150000}"/>
    <cellStyle name="Normal 10 2 17" xfId="5502" xr:uid="{00000000-0005-0000-0000-00007E150000}"/>
    <cellStyle name="Normal 10 2 18" xfId="5503" xr:uid="{00000000-0005-0000-0000-00007F150000}"/>
    <cellStyle name="Normal 10 2 19" xfId="5504" xr:uid="{00000000-0005-0000-0000-000080150000}"/>
    <cellStyle name="Normal 10 2 2" xfId="5505" xr:uid="{00000000-0005-0000-0000-000081150000}"/>
    <cellStyle name="Normal 10 2 2 2" xfId="5506" xr:uid="{00000000-0005-0000-0000-000082150000}"/>
    <cellStyle name="Normal 10 2 2 2 2" xfId="5507" xr:uid="{00000000-0005-0000-0000-000083150000}"/>
    <cellStyle name="Normal 10 2 20" xfId="5508" xr:uid="{00000000-0005-0000-0000-000084150000}"/>
    <cellStyle name="Normal 10 2 21" xfId="5509" xr:uid="{00000000-0005-0000-0000-000085150000}"/>
    <cellStyle name="Normal 10 2 22" xfId="5510" xr:uid="{00000000-0005-0000-0000-000086150000}"/>
    <cellStyle name="Normal 10 2 23" xfId="5511" xr:uid="{00000000-0005-0000-0000-000087150000}"/>
    <cellStyle name="Normal 10 2 24" xfId="5512" xr:uid="{00000000-0005-0000-0000-000088150000}"/>
    <cellStyle name="Normal 10 2 25" xfId="5513" xr:uid="{00000000-0005-0000-0000-000089150000}"/>
    <cellStyle name="Normal 10 2 26" xfId="5514" xr:uid="{00000000-0005-0000-0000-00008A150000}"/>
    <cellStyle name="Normal 10 2 27" xfId="5515" xr:uid="{00000000-0005-0000-0000-00008B150000}"/>
    <cellStyle name="Normal 10 2 28" xfId="5516" xr:uid="{00000000-0005-0000-0000-00008C150000}"/>
    <cellStyle name="Normal 10 2 29" xfId="5517" xr:uid="{00000000-0005-0000-0000-00008D150000}"/>
    <cellStyle name="Normal 10 2 3" xfId="5518" xr:uid="{00000000-0005-0000-0000-00008E150000}"/>
    <cellStyle name="Normal 10 2 30" xfId="5519" xr:uid="{00000000-0005-0000-0000-00008F150000}"/>
    <cellStyle name="Normal 10 2 31" xfId="5520" xr:uid="{00000000-0005-0000-0000-000090150000}"/>
    <cellStyle name="Normal 10 2 32" xfId="5521" xr:uid="{00000000-0005-0000-0000-000091150000}"/>
    <cellStyle name="Normal 10 2 33" xfId="5522" xr:uid="{00000000-0005-0000-0000-000092150000}"/>
    <cellStyle name="Normal 10 2 34" xfId="5523" xr:uid="{00000000-0005-0000-0000-000093150000}"/>
    <cellStyle name="Normal 10 2 35" xfId="5524" xr:uid="{00000000-0005-0000-0000-000094150000}"/>
    <cellStyle name="Normal 10 2 36" xfId="5525" xr:uid="{00000000-0005-0000-0000-000095150000}"/>
    <cellStyle name="Normal 10 2 37" xfId="5526" xr:uid="{00000000-0005-0000-0000-000096150000}"/>
    <cellStyle name="Normal 10 2 38" xfId="5527" xr:uid="{00000000-0005-0000-0000-000097150000}"/>
    <cellStyle name="Normal 10 2 39" xfId="5528" xr:uid="{00000000-0005-0000-0000-000098150000}"/>
    <cellStyle name="Normal 10 2 4" xfId="5529" xr:uid="{00000000-0005-0000-0000-000099150000}"/>
    <cellStyle name="Normal 10 2 40" xfId="5530" xr:uid="{00000000-0005-0000-0000-00009A150000}"/>
    <cellStyle name="Normal 10 2 41" xfId="5531" xr:uid="{00000000-0005-0000-0000-00009B150000}"/>
    <cellStyle name="Normal 10 2 42" xfId="5532" xr:uid="{00000000-0005-0000-0000-00009C150000}"/>
    <cellStyle name="Normal 10 2 43" xfId="5533" xr:uid="{00000000-0005-0000-0000-00009D150000}"/>
    <cellStyle name="Normal 10 2 44" xfId="5534" xr:uid="{00000000-0005-0000-0000-00009E150000}"/>
    <cellStyle name="Normal 10 2 45" xfId="5535" xr:uid="{00000000-0005-0000-0000-00009F150000}"/>
    <cellStyle name="Normal 10 2 46" xfId="5536" xr:uid="{00000000-0005-0000-0000-0000A0150000}"/>
    <cellStyle name="Normal 10 2 47" xfId="5537" xr:uid="{00000000-0005-0000-0000-0000A1150000}"/>
    <cellStyle name="Normal 10 2 48" xfId="5538" xr:uid="{00000000-0005-0000-0000-0000A2150000}"/>
    <cellStyle name="Normal 10 2 49" xfId="5539" xr:uid="{00000000-0005-0000-0000-0000A3150000}"/>
    <cellStyle name="Normal 10 2 5" xfId="5540" xr:uid="{00000000-0005-0000-0000-0000A4150000}"/>
    <cellStyle name="Normal 10 2 50" xfId="5541" xr:uid="{00000000-0005-0000-0000-0000A5150000}"/>
    <cellStyle name="Normal 10 2 51" xfId="5542" xr:uid="{00000000-0005-0000-0000-0000A6150000}"/>
    <cellStyle name="Normal 10 2 52" xfId="5543" xr:uid="{00000000-0005-0000-0000-0000A7150000}"/>
    <cellStyle name="Normal 10 2 53" xfId="5544" xr:uid="{00000000-0005-0000-0000-0000A8150000}"/>
    <cellStyle name="Normal 10 2 54" xfId="5545" xr:uid="{00000000-0005-0000-0000-0000A9150000}"/>
    <cellStyle name="Normal 10 2 55" xfId="5546" xr:uid="{00000000-0005-0000-0000-0000AA150000}"/>
    <cellStyle name="Normal 10 2 56" xfId="5547" xr:uid="{00000000-0005-0000-0000-0000AB150000}"/>
    <cellStyle name="Normal 10 2 57" xfId="5548" xr:uid="{00000000-0005-0000-0000-0000AC150000}"/>
    <cellStyle name="Normal 10 2 58" xfId="5549" xr:uid="{00000000-0005-0000-0000-0000AD150000}"/>
    <cellStyle name="Normal 10 2 59" xfId="5550" xr:uid="{00000000-0005-0000-0000-0000AE150000}"/>
    <cellStyle name="Normal 10 2 6" xfId="5551" xr:uid="{00000000-0005-0000-0000-0000AF150000}"/>
    <cellStyle name="Normal 10 2 60" xfId="5552" xr:uid="{00000000-0005-0000-0000-0000B0150000}"/>
    <cellStyle name="Normal 10 2 61" xfId="5553" xr:uid="{00000000-0005-0000-0000-0000B1150000}"/>
    <cellStyle name="Normal 10 2 62" xfId="5554" xr:uid="{00000000-0005-0000-0000-0000B2150000}"/>
    <cellStyle name="Normal 10 2 63" xfId="5555" xr:uid="{00000000-0005-0000-0000-0000B3150000}"/>
    <cellStyle name="Normal 10 2 64" xfId="5556" xr:uid="{00000000-0005-0000-0000-0000B4150000}"/>
    <cellStyle name="Normal 10 2 65" xfId="5557" xr:uid="{00000000-0005-0000-0000-0000B5150000}"/>
    <cellStyle name="Normal 10 2 66" xfId="5558" xr:uid="{00000000-0005-0000-0000-0000B6150000}"/>
    <cellStyle name="Normal 10 2 67" xfId="5559" xr:uid="{00000000-0005-0000-0000-0000B7150000}"/>
    <cellStyle name="Normal 10 2 68" xfId="5560" xr:uid="{00000000-0005-0000-0000-0000B8150000}"/>
    <cellStyle name="Normal 10 2 69" xfId="5561" xr:uid="{00000000-0005-0000-0000-0000B9150000}"/>
    <cellStyle name="Normal 10 2 7" xfId="5562" xr:uid="{00000000-0005-0000-0000-0000BA150000}"/>
    <cellStyle name="Normal 10 2 70" xfId="5563" xr:uid="{00000000-0005-0000-0000-0000BB150000}"/>
    <cellStyle name="Normal 10 2 71" xfId="5564" xr:uid="{00000000-0005-0000-0000-0000BC150000}"/>
    <cellStyle name="Normal 10 2 72" xfId="5565" xr:uid="{00000000-0005-0000-0000-0000BD150000}"/>
    <cellStyle name="Normal 10 2 73" xfId="5566" xr:uid="{00000000-0005-0000-0000-0000BE150000}"/>
    <cellStyle name="Normal 10 2 74" xfId="5567" xr:uid="{00000000-0005-0000-0000-0000BF150000}"/>
    <cellStyle name="Normal 10 2 75" xfId="5568" xr:uid="{00000000-0005-0000-0000-0000C0150000}"/>
    <cellStyle name="Normal 10 2 76" xfId="5569" xr:uid="{00000000-0005-0000-0000-0000C1150000}"/>
    <cellStyle name="Normal 10 2 77" xfId="5570" xr:uid="{00000000-0005-0000-0000-0000C2150000}"/>
    <cellStyle name="Normal 10 2 78" xfId="5571" xr:uid="{00000000-0005-0000-0000-0000C3150000}"/>
    <cellStyle name="Normal 10 2 79" xfId="5572" xr:uid="{00000000-0005-0000-0000-0000C4150000}"/>
    <cellStyle name="Normal 10 2 8" xfId="5573" xr:uid="{00000000-0005-0000-0000-0000C5150000}"/>
    <cellStyle name="Normal 10 2 9" xfId="5574" xr:uid="{00000000-0005-0000-0000-0000C6150000}"/>
    <cellStyle name="Normal 10 2_Enlaces" xfId="5575" xr:uid="{00000000-0005-0000-0000-0000C7150000}"/>
    <cellStyle name="Normal 10 20" xfId="5576" xr:uid="{00000000-0005-0000-0000-0000C8150000}"/>
    <cellStyle name="Normal 10 21" xfId="5577" xr:uid="{00000000-0005-0000-0000-0000C9150000}"/>
    <cellStyle name="Normal 10 22" xfId="5578" xr:uid="{00000000-0005-0000-0000-0000CA150000}"/>
    <cellStyle name="Normal 10 23" xfId="5579" xr:uid="{00000000-0005-0000-0000-0000CB150000}"/>
    <cellStyle name="Normal 10 24" xfId="5580" xr:uid="{00000000-0005-0000-0000-0000CC150000}"/>
    <cellStyle name="Normal 10 25" xfId="5581" xr:uid="{00000000-0005-0000-0000-0000CD150000}"/>
    <cellStyle name="Normal 10 26" xfId="5582" xr:uid="{00000000-0005-0000-0000-0000CE150000}"/>
    <cellStyle name="Normal 10 27" xfId="5583" xr:uid="{00000000-0005-0000-0000-0000CF150000}"/>
    <cellStyle name="Normal 10 28" xfId="5584" xr:uid="{00000000-0005-0000-0000-0000D0150000}"/>
    <cellStyle name="Normal 10 29" xfId="5585" xr:uid="{00000000-0005-0000-0000-0000D1150000}"/>
    <cellStyle name="Normal 10 3" xfId="5586" xr:uid="{00000000-0005-0000-0000-0000D2150000}"/>
    <cellStyle name="Normal 10 3 2" xfId="5587" xr:uid="{00000000-0005-0000-0000-0000D3150000}"/>
    <cellStyle name="Normal 10 3 3" xfId="5588" xr:uid="{00000000-0005-0000-0000-0000D4150000}"/>
    <cellStyle name="Normal 10 3 4" xfId="5589" xr:uid="{00000000-0005-0000-0000-0000D5150000}"/>
    <cellStyle name="Normal 10 3 4 2" xfId="5590" xr:uid="{00000000-0005-0000-0000-0000D6150000}"/>
    <cellStyle name="Normal 10 3 4 2 2" xfId="5591" xr:uid="{00000000-0005-0000-0000-0000D7150000}"/>
    <cellStyle name="Normal 10 3 4 3" xfId="5592" xr:uid="{00000000-0005-0000-0000-0000D8150000}"/>
    <cellStyle name="Normal 10 3 5" xfId="5593" xr:uid="{00000000-0005-0000-0000-0000D9150000}"/>
    <cellStyle name="Normal 10 3 6" xfId="5594" xr:uid="{00000000-0005-0000-0000-0000DA150000}"/>
    <cellStyle name="Normal 10 3 7" xfId="5595" xr:uid="{00000000-0005-0000-0000-0000DB150000}"/>
    <cellStyle name="Normal 10 3 7 2" xfId="5596" xr:uid="{00000000-0005-0000-0000-0000DC150000}"/>
    <cellStyle name="Normal 10 3 8" xfId="5597" xr:uid="{00000000-0005-0000-0000-0000DD150000}"/>
    <cellStyle name="Normal 10 3 9" xfId="5598" xr:uid="{00000000-0005-0000-0000-0000DE150000}"/>
    <cellStyle name="Normal 10 3_Implem" xfId="5599" xr:uid="{00000000-0005-0000-0000-0000DF150000}"/>
    <cellStyle name="Normal 10 30" xfId="5600" xr:uid="{00000000-0005-0000-0000-0000E0150000}"/>
    <cellStyle name="Normal 10 31" xfId="5601" xr:uid="{00000000-0005-0000-0000-0000E1150000}"/>
    <cellStyle name="Normal 10 4" xfId="5602" xr:uid="{00000000-0005-0000-0000-0000E2150000}"/>
    <cellStyle name="Normal 10 5" xfId="5603" xr:uid="{00000000-0005-0000-0000-0000E3150000}"/>
    <cellStyle name="Normal 10 6" xfId="5604" xr:uid="{00000000-0005-0000-0000-0000E4150000}"/>
    <cellStyle name="Normal 10 7" xfId="5605" xr:uid="{00000000-0005-0000-0000-0000E5150000}"/>
    <cellStyle name="Normal 10 8" xfId="5606" xr:uid="{00000000-0005-0000-0000-0000E6150000}"/>
    <cellStyle name="Normal 10 9" xfId="5607" xr:uid="{00000000-0005-0000-0000-0000E7150000}"/>
    <cellStyle name="Normal 100" xfId="5608" xr:uid="{00000000-0005-0000-0000-0000E8150000}"/>
    <cellStyle name="Normal 100 2" xfId="5609" xr:uid="{00000000-0005-0000-0000-0000E9150000}"/>
    <cellStyle name="Normal 100 3" xfId="5610" xr:uid="{00000000-0005-0000-0000-0000EA150000}"/>
    <cellStyle name="Normal 101" xfId="5611" xr:uid="{00000000-0005-0000-0000-0000EB150000}"/>
    <cellStyle name="Normal 101 2" xfId="5612" xr:uid="{00000000-0005-0000-0000-0000EC150000}"/>
    <cellStyle name="Normal 101 3" xfId="5613" xr:uid="{00000000-0005-0000-0000-0000ED150000}"/>
    <cellStyle name="Normal 102" xfId="5614" xr:uid="{00000000-0005-0000-0000-0000EE150000}"/>
    <cellStyle name="Normal 102 2" xfId="5615" xr:uid="{00000000-0005-0000-0000-0000EF150000}"/>
    <cellStyle name="Normal 102 3" xfId="5616" xr:uid="{00000000-0005-0000-0000-0000F0150000}"/>
    <cellStyle name="Normal 103" xfId="5617" xr:uid="{00000000-0005-0000-0000-0000F1150000}"/>
    <cellStyle name="Normal 103 2" xfId="5618" xr:uid="{00000000-0005-0000-0000-0000F2150000}"/>
    <cellStyle name="Normal 104" xfId="5619" xr:uid="{00000000-0005-0000-0000-0000F3150000}"/>
    <cellStyle name="Normal 104 2" xfId="5620" xr:uid="{00000000-0005-0000-0000-0000F4150000}"/>
    <cellStyle name="Normal 105" xfId="5621" xr:uid="{00000000-0005-0000-0000-0000F5150000}"/>
    <cellStyle name="Normal 105 2" xfId="5622" xr:uid="{00000000-0005-0000-0000-0000F6150000}"/>
    <cellStyle name="Normal 106" xfId="5623" xr:uid="{00000000-0005-0000-0000-0000F7150000}"/>
    <cellStyle name="Normal 106 2" xfId="5624" xr:uid="{00000000-0005-0000-0000-0000F8150000}"/>
    <cellStyle name="Normal 107" xfId="5625" xr:uid="{00000000-0005-0000-0000-0000F9150000}"/>
    <cellStyle name="Normal 107 2" xfId="5626" xr:uid="{00000000-0005-0000-0000-0000FA150000}"/>
    <cellStyle name="Normal 108" xfId="5627" xr:uid="{00000000-0005-0000-0000-0000FB150000}"/>
    <cellStyle name="Normal 108 2" xfId="5628" xr:uid="{00000000-0005-0000-0000-0000FC150000}"/>
    <cellStyle name="Normal 109" xfId="5629" xr:uid="{00000000-0005-0000-0000-0000FD150000}"/>
    <cellStyle name="Normal 109 2" xfId="5630" xr:uid="{00000000-0005-0000-0000-0000FE150000}"/>
    <cellStyle name="Normal 11" xfId="5631" xr:uid="{00000000-0005-0000-0000-0000FF150000}"/>
    <cellStyle name="Normal 11 10" xfId="5632" xr:uid="{00000000-0005-0000-0000-000000160000}"/>
    <cellStyle name="Normal 11 11" xfId="5633" xr:uid="{00000000-0005-0000-0000-000001160000}"/>
    <cellStyle name="Normal 11 12" xfId="5634" xr:uid="{00000000-0005-0000-0000-000002160000}"/>
    <cellStyle name="Normal 11 13" xfId="5635" xr:uid="{00000000-0005-0000-0000-000003160000}"/>
    <cellStyle name="Normal 11 14" xfId="5636" xr:uid="{00000000-0005-0000-0000-000004160000}"/>
    <cellStyle name="Normal 11 15" xfId="5637" xr:uid="{00000000-0005-0000-0000-000005160000}"/>
    <cellStyle name="Normal 11 16" xfId="5638" xr:uid="{00000000-0005-0000-0000-000006160000}"/>
    <cellStyle name="Normal 11 17" xfId="5639" xr:uid="{00000000-0005-0000-0000-000007160000}"/>
    <cellStyle name="Normal 11 18" xfId="5640" xr:uid="{00000000-0005-0000-0000-000008160000}"/>
    <cellStyle name="Normal 11 19" xfId="5641" xr:uid="{00000000-0005-0000-0000-000009160000}"/>
    <cellStyle name="Normal 11 2" xfId="5642" xr:uid="{00000000-0005-0000-0000-00000A160000}"/>
    <cellStyle name="Normal 11 2 2" xfId="5643" xr:uid="{00000000-0005-0000-0000-00000B160000}"/>
    <cellStyle name="Normal 11 2 3" xfId="5644" xr:uid="{00000000-0005-0000-0000-00000C160000}"/>
    <cellStyle name="Normal 11 20" xfId="5645" xr:uid="{00000000-0005-0000-0000-00000D160000}"/>
    <cellStyle name="Normal 11 21" xfId="5646" xr:uid="{00000000-0005-0000-0000-00000E160000}"/>
    <cellStyle name="Normal 11 22" xfId="5647" xr:uid="{00000000-0005-0000-0000-00000F160000}"/>
    <cellStyle name="Normal 11 23" xfId="5648" xr:uid="{00000000-0005-0000-0000-000010160000}"/>
    <cellStyle name="Normal 11 24" xfId="5649" xr:uid="{00000000-0005-0000-0000-000011160000}"/>
    <cellStyle name="Normal 11 25" xfId="5650" xr:uid="{00000000-0005-0000-0000-000012160000}"/>
    <cellStyle name="Normal 11 3" xfId="5651" xr:uid="{00000000-0005-0000-0000-000013160000}"/>
    <cellStyle name="Normal 11 3 2" xfId="5652" xr:uid="{00000000-0005-0000-0000-000014160000}"/>
    <cellStyle name="Normal 11 3 3" xfId="5653" xr:uid="{00000000-0005-0000-0000-000015160000}"/>
    <cellStyle name="Normal 11 4" xfId="5654" xr:uid="{00000000-0005-0000-0000-000016160000}"/>
    <cellStyle name="Normal 11 5" xfId="5655" xr:uid="{00000000-0005-0000-0000-000017160000}"/>
    <cellStyle name="Normal 11 6" xfId="5656" xr:uid="{00000000-0005-0000-0000-000018160000}"/>
    <cellStyle name="Normal 11 7" xfId="5657" xr:uid="{00000000-0005-0000-0000-000019160000}"/>
    <cellStyle name="Normal 11 8" xfId="5658" xr:uid="{00000000-0005-0000-0000-00001A160000}"/>
    <cellStyle name="Normal 11 9" xfId="5659" xr:uid="{00000000-0005-0000-0000-00001B160000}"/>
    <cellStyle name="Normal 110" xfId="5660" xr:uid="{00000000-0005-0000-0000-00001C160000}"/>
    <cellStyle name="Normal 110 2" xfId="5661" xr:uid="{00000000-0005-0000-0000-00001D160000}"/>
    <cellStyle name="Normal 111" xfId="5662" xr:uid="{00000000-0005-0000-0000-00001E160000}"/>
    <cellStyle name="Normal 111 2" xfId="5663" xr:uid="{00000000-0005-0000-0000-00001F160000}"/>
    <cellStyle name="Normal 112" xfId="5664" xr:uid="{00000000-0005-0000-0000-000020160000}"/>
    <cellStyle name="Normal 112 2" xfId="5665" xr:uid="{00000000-0005-0000-0000-000021160000}"/>
    <cellStyle name="Normal 113" xfId="5666" xr:uid="{00000000-0005-0000-0000-000022160000}"/>
    <cellStyle name="Normal 113 2" xfId="5667" xr:uid="{00000000-0005-0000-0000-000023160000}"/>
    <cellStyle name="Normal 114" xfId="5668" xr:uid="{00000000-0005-0000-0000-000024160000}"/>
    <cellStyle name="Normal 114 2" xfId="5669" xr:uid="{00000000-0005-0000-0000-000025160000}"/>
    <cellStyle name="Normal 115" xfId="5670" xr:uid="{00000000-0005-0000-0000-000026160000}"/>
    <cellStyle name="Normal 115 2" xfId="5671" xr:uid="{00000000-0005-0000-0000-000027160000}"/>
    <cellStyle name="Normal 116" xfId="5672" xr:uid="{00000000-0005-0000-0000-000028160000}"/>
    <cellStyle name="Normal 116 2" xfId="5673" xr:uid="{00000000-0005-0000-0000-000029160000}"/>
    <cellStyle name="Normal 117" xfId="5674" xr:uid="{00000000-0005-0000-0000-00002A160000}"/>
    <cellStyle name="Normal 117 2" xfId="5675" xr:uid="{00000000-0005-0000-0000-00002B160000}"/>
    <cellStyle name="Normal 118" xfId="5676" xr:uid="{00000000-0005-0000-0000-00002C160000}"/>
    <cellStyle name="Normal 118 2" xfId="5677" xr:uid="{00000000-0005-0000-0000-00002D160000}"/>
    <cellStyle name="Normal 119" xfId="5678" xr:uid="{00000000-0005-0000-0000-00002E160000}"/>
    <cellStyle name="Normal 119 2" xfId="5679" xr:uid="{00000000-0005-0000-0000-00002F160000}"/>
    <cellStyle name="Normal 12" xfId="5680" xr:uid="{00000000-0005-0000-0000-000030160000}"/>
    <cellStyle name="Normal 12 10" xfId="5681" xr:uid="{00000000-0005-0000-0000-000031160000}"/>
    <cellStyle name="Normal 12 11" xfId="5682" xr:uid="{00000000-0005-0000-0000-000032160000}"/>
    <cellStyle name="Normal 12 12" xfId="5683" xr:uid="{00000000-0005-0000-0000-000033160000}"/>
    <cellStyle name="Normal 12 13" xfId="5684" xr:uid="{00000000-0005-0000-0000-000034160000}"/>
    <cellStyle name="Normal 12 14" xfId="5685" xr:uid="{00000000-0005-0000-0000-000035160000}"/>
    <cellStyle name="Normal 12 15" xfId="5686" xr:uid="{00000000-0005-0000-0000-000036160000}"/>
    <cellStyle name="Normal 12 16" xfId="5687" xr:uid="{00000000-0005-0000-0000-000037160000}"/>
    <cellStyle name="Normal 12 17" xfId="5688" xr:uid="{00000000-0005-0000-0000-000038160000}"/>
    <cellStyle name="Normal 12 18" xfId="5689" xr:uid="{00000000-0005-0000-0000-000039160000}"/>
    <cellStyle name="Normal 12 19" xfId="5690" xr:uid="{00000000-0005-0000-0000-00003A160000}"/>
    <cellStyle name="Normal 12 2" xfId="5691" xr:uid="{00000000-0005-0000-0000-00003B160000}"/>
    <cellStyle name="Normal 12 2 2" xfId="5692" xr:uid="{00000000-0005-0000-0000-00003C160000}"/>
    <cellStyle name="Normal 12 2 3" xfId="5693" xr:uid="{00000000-0005-0000-0000-00003D160000}"/>
    <cellStyle name="Normal 12 20" xfId="5694" xr:uid="{00000000-0005-0000-0000-00003E160000}"/>
    <cellStyle name="Normal 12 21" xfId="5695" xr:uid="{00000000-0005-0000-0000-00003F160000}"/>
    <cellStyle name="Normal 12 22" xfId="5696" xr:uid="{00000000-0005-0000-0000-000040160000}"/>
    <cellStyle name="Normal 12 23" xfId="5697" xr:uid="{00000000-0005-0000-0000-000041160000}"/>
    <cellStyle name="Normal 12 24" xfId="5698" xr:uid="{00000000-0005-0000-0000-000042160000}"/>
    <cellStyle name="Normal 12 25" xfId="5699" xr:uid="{00000000-0005-0000-0000-000043160000}"/>
    <cellStyle name="Normal 12 3" xfId="5700" xr:uid="{00000000-0005-0000-0000-000044160000}"/>
    <cellStyle name="Normal 12 3 2" xfId="5701" xr:uid="{00000000-0005-0000-0000-000045160000}"/>
    <cellStyle name="Normal 12 3 3" xfId="5702" xr:uid="{00000000-0005-0000-0000-000046160000}"/>
    <cellStyle name="Normal 12 4" xfId="5703" xr:uid="{00000000-0005-0000-0000-000047160000}"/>
    <cellStyle name="Normal 12 5" xfId="5704" xr:uid="{00000000-0005-0000-0000-000048160000}"/>
    <cellStyle name="Normal 12 6" xfId="5705" xr:uid="{00000000-0005-0000-0000-000049160000}"/>
    <cellStyle name="Normal 12 7" xfId="5706" xr:uid="{00000000-0005-0000-0000-00004A160000}"/>
    <cellStyle name="Normal 12 8" xfId="5707" xr:uid="{00000000-0005-0000-0000-00004B160000}"/>
    <cellStyle name="Normal 12 9" xfId="5708" xr:uid="{00000000-0005-0000-0000-00004C160000}"/>
    <cellStyle name="Normal 120" xfId="5709" xr:uid="{00000000-0005-0000-0000-00004D160000}"/>
    <cellStyle name="Normal 120 2" xfId="5710" xr:uid="{00000000-0005-0000-0000-00004E160000}"/>
    <cellStyle name="Normal 121" xfId="5711" xr:uid="{00000000-0005-0000-0000-00004F160000}"/>
    <cellStyle name="Normal 121 2" xfId="5712" xr:uid="{00000000-0005-0000-0000-000050160000}"/>
    <cellStyle name="Normal 122" xfId="5713" xr:uid="{00000000-0005-0000-0000-000051160000}"/>
    <cellStyle name="Normal 122 2" xfId="5714" xr:uid="{00000000-0005-0000-0000-000052160000}"/>
    <cellStyle name="Normal 123" xfId="5715" xr:uid="{00000000-0005-0000-0000-000053160000}"/>
    <cellStyle name="Normal 123 2" xfId="5716" xr:uid="{00000000-0005-0000-0000-000054160000}"/>
    <cellStyle name="Normal 124" xfId="5717" xr:uid="{00000000-0005-0000-0000-000055160000}"/>
    <cellStyle name="Normal 124 2" xfId="5718" xr:uid="{00000000-0005-0000-0000-000056160000}"/>
    <cellStyle name="Normal 125" xfId="5719" xr:uid="{00000000-0005-0000-0000-000057160000}"/>
    <cellStyle name="Normal 125 2" xfId="5720" xr:uid="{00000000-0005-0000-0000-000058160000}"/>
    <cellStyle name="Normal 126" xfId="5721" xr:uid="{00000000-0005-0000-0000-000059160000}"/>
    <cellStyle name="Normal 126 2" xfId="5722" xr:uid="{00000000-0005-0000-0000-00005A160000}"/>
    <cellStyle name="Normal 127" xfId="5723" xr:uid="{00000000-0005-0000-0000-00005B160000}"/>
    <cellStyle name="Normal 127 2" xfId="5724" xr:uid="{00000000-0005-0000-0000-00005C160000}"/>
    <cellStyle name="Normal 128" xfId="5725" xr:uid="{00000000-0005-0000-0000-00005D160000}"/>
    <cellStyle name="Normal 128 2" xfId="5726" xr:uid="{00000000-0005-0000-0000-00005E160000}"/>
    <cellStyle name="Normal 129" xfId="5727" xr:uid="{00000000-0005-0000-0000-00005F160000}"/>
    <cellStyle name="Normal 129 2" xfId="5728" xr:uid="{00000000-0005-0000-0000-000060160000}"/>
    <cellStyle name="Normal 13" xfId="5729" xr:uid="{00000000-0005-0000-0000-000061160000}"/>
    <cellStyle name="Normal 13 10" xfId="5730" xr:uid="{00000000-0005-0000-0000-000062160000}"/>
    <cellStyle name="Normal 13 11" xfId="5731" xr:uid="{00000000-0005-0000-0000-000063160000}"/>
    <cellStyle name="Normal 13 12" xfId="5732" xr:uid="{00000000-0005-0000-0000-000064160000}"/>
    <cellStyle name="Normal 13 13" xfId="5733" xr:uid="{00000000-0005-0000-0000-000065160000}"/>
    <cellStyle name="Normal 13 14" xfId="5734" xr:uid="{00000000-0005-0000-0000-000066160000}"/>
    <cellStyle name="Normal 13 15" xfId="5735" xr:uid="{00000000-0005-0000-0000-000067160000}"/>
    <cellStyle name="Normal 13 16" xfId="5736" xr:uid="{00000000-0005-0000-0000-000068160000}"/>
    <cellStyle name="Normal 13 17" xfId="5737" xr:uid="{00000000-0005-0000-0000-000069160000}"/>
    <cellStyle name="Normal 13 18" xfId="5738" xr:uid="{00000000-0005-0000-0000-00006A160000}"/>
    <cellStyle name="Normal 13 19" xfId="5739" xr:uid="{00000000-0005-0000-0000-00006B160000}"/>
    <cellStyle name="Normal 13 2" xfId="5740" xr:uid="{00000000-0005-0000-0000-00006C160000}"/>
    <cellStyle name="Normal 13 2 2" xfId="5741" xr:uid="{00000000-0005-0000-0000-00006D160000}"/>
    <cellStyle name="Normal 13 2 3" xfId="5742" xr:uid="{00000000-0005-0000-0000-00006E160000}"/>
    <cellStyle name="Normal 13 20" xfId="5743" xr:uid="{00000000-0005-0000-0000-00006F160000}"/>
    <cellStyle name="Normal 13 21" xfId="5744" xr:uid="{00000000-0005-0000-0000-000070160000}"/>
    <cellStyle name="Normal 13 22" xfId="5745" xr:uid="{00000000-0005-0000-0000-000071160000}"/>
    <cellStyle name="Normal 13 23" xfId="5746" xr:uid="{00000000-0005-0000-0000-000072160000}"/>
    <cellStyle name="Normal 13 24" xfId="5747" xr:uid="{00000000-0005-0000-0000-000073160000}"/>
    <cellStyle name="Normal 13 25" xfId="5748" xr:uid="{00000000-0005-0000-0000-000074160000}"/>
    <cellStyle name="Normal 13 26" xfId="5749" xr:uid="{00000000-0005-0000-0000-000075160000}"/>
    <cellStyle name="Normal 13 3" xfId="5750" xr:uid="{00000000-0005-0000-0000-000076160000}"/>
    <cellStyle name="Normal 13 3 2" xfId="5751" xr:uid="{00000000-0005-0000-0000-000077160000}"/>
    <cellStyle name="Normal 13 3 3" xfId="5752" xr:uid="{00000000-0005-0000-0000-000078160000}"/>
    <cellStyle name="Normal 13 4" xfId="5753" xr:uid="{00000000-0005-0000-0000-000079160000}"/>
    <cellStyle name="Normal 13 5" xfId="5754" xr:uid="{00000000-0005-0000-0000-00007A160000}"/>
    <cellStyle name="Normal 13 6" xfId="5755" xr:uid="{00000000-0005-0000-0000-00007B160000}"/>
    <cellStyle name="Normal 13 7" xfId="5756" xr:uid="{00000000-0005-0000-0000-00007C160000}"/>
    <cellStyle name="Normal 13 8" xfId="5757" xr:uid="{00000000-0005-0000-0000-00007D160000}"/>
    <cellStyle name="Normal 13 9" xfId="5758" xr:uid="{00000000-0005-0000-0000-00007E160000}"/>
    <cellStyle name="Normal 130" xfId="5759" xr:uid="{00000000-0005-0000-0000-00007F160000}"/>
    <cellStyle name="Normal 130 2" xfId="5760" xr:uid="{00000000-0005-0000-0000-000080160000}"/>
    <cellStyle name="Normal 131" xfId="5761" xr:uid="{00000000-0005-0000-0000-000081160000}"/>
    <cellStyle name="Normal 131 2" xfId="5762" xr:uid="{00000000-0005-0000-0000-000082160000}"/>
    <cellStyle name="Normal 132" xfId="5763" xr:uid="{00000000-0005-0000-0000-000083160000}"/>
    <cellStyle name="Normal 132 2" xfId="5764" xr:uid="{00000000-0005-0000-0000-000084160000}"/>
    <cellStyle name="Normal 133" xfId="5765" xr:uid="{00000000-0005-0000-0000-000085160000}"/>
    <cellStyle name="Normal 133 2" xfId="5766" xr:uid="{00000000-0005-0000-0000-000086160000}"/>
    <cellStyle name="Normal 134" xfId="5767" xr:uid="{00000000-0005-0000-0000-000087160000}"/>
    <cellStyle name="Normal 134 2" xfId="5768" xr:uid="{00000000-0005-0000-0000-000088160000}"/>
    <cellStyle name="Normal 135" xfId="5769" xr:uid="{00000000-0005-0000-0000-000089160000}"/>
    <cellStyle name="Normal 135 2" xfId="5770" xr:uid="{00000000-0005-0000-0000-00008A160000}"/>
    <cellStyle name="Normal 136" xfId="5771" xr:uid="{00000000-0005-0000-0000-00008B160000}"/>
    <cellStyle name="Normal 136 2" xfId="5772" xr:uid="{00000000-0005-0000-0000-00008C160000}"/>
    <cellStyle name="Normal 137" xfId="5773" xr:uid="{00000000-0005-0000-0000-00008D160000}"/>
    <cellStyle name="Normal 137 2" xfId="5774" xr:uid="{00000000-0005-0000-0000-00008E160000}"/>
    <cellStyle name="Normal 138" xfId="5775" xr:uid="{00000000-0005-0000-0000-00008F160000}"/>
    <cellStyle name="Normal 138 2" xfId="5776" xr:uid="{00000000-0005-0000-0000-000090160000}"/>
    <cellStyle name="Normal 139" xfId="5777" xr:uid="{00000000-0005-0000-0000-000091160000}"/>
    <cellStyle name="Normal 139 2" xfId="5778" xr:uid="{00000000-0005-0000-0000-000092160000}"/>
    <cellStyle name="Normal 14" xfId="5779" xr:uid="{00000000-0005-0000-0000-000093160000}"/>
    <cellStyle name="Normal 14 2" xfId="5780" xr:uid="{00000000-0005-0000-0000-000094160000}"/>
    <cellStyle name="Normal 14 3" xfId="5781" xr:uid="{00000000-0005-0000-0000-000095160000}"/>
    <cellStyle name="Normal 14 3 2" xfId="5782" xr:uid="{00000000-0005-0000-0000-000096160000}"/>
    <cellStyle name="Normal 14 4" xfId="5783" xr:uid="{00000000-0005-0000-0000-000097160000}"/>
    <cellStyle name="Normal 14 5" xfId="5784" xr:uid="{00000000-0005-0000-0000-000098160000}"/>
    <cellStyle name="Normal 140" xfId="5785" xr:uid="{00000000-0005-0000-0000-000099160000}"/>
    <cellStyle name="Normal 140 2" xfId="5786" xr:uid="{00000000-0005-0000-0000-00009A160000}"/>
    <cellStyle name="Normal 141" xfId="5787" xr:uid="{00000000-0005-0000-0000-00009B160000}"/>
    <cellStyle name="Normal 141 2" xfId="5788" xr:uid="{00000000-0005-0000-0000-00009C160000}"/>
    <cellStyle name="Normal 142" xfId="5789" xr:uid="{00000000-0005-0000-0000-00009D160000}"/>
    <cellStyle name="Normal 142 2" xfId="5790" xr:uid="{00000000-0005-0000-0000-00009E160000}"/>
    <cellStyle name="Normal 143" xfId="5791" xr:uid="{00000000-0005-0000-0000-00009F160000}"/>
    <cellStyle name="Normal 143 2" xfId="5792" xr:uid="{00000000-0005-0000-0000-0000A0160000}"/>
    <cellStyle name="Normal 144" xfId="5793" xr:uid="{00000000-0005-0000-0000-0000A1160000}"/>
    <cellStyle name="Normal 144 2" xfId="5794" xr:uid="{00000000-0005-0000-0000-0000A2160000}"/>
    <cellStyle name="Normal 145" xfId="5795" xr:uid="{00000000-0005-0000-0000-0000A3160000}"/>
    <cellStyle name="Normal 145 2" xfId="5796" xr:uid="{00000000-0005-0000-0000-0000A4160000}"/>
    <cellStyle name="Normal 146" xfId="5797" xr:uid="{00000000-0005-0000-0000-0000A5160000}"/>
    <cellStyle name="Normal 146 2" xfId="5798" xr:uid="{00000000-0005-0000-0000-0000A6160000}"/>
    <cellStyle name="Normal 147" xfId="5799" xr:uid="{00000000-0005-0000-0000-0000A7160000}"/>
    <cellStyle name="Normal 147 2" xfId="5800" xr:uid="{00000000-0005-0000-0000-0000A8160000}"/>
    <cellStyle name="Normal 148" xfId="5801" xr:uid="{00000000-0005-0000-0000-0000A9160000}"/>
    <cellStyle name="Normal 148 2" xfId="5802" xr:uid="{00000000-0005-0000-0000-0000AA160000}"/>
    <cellStyle name="Normal 149" xfId="5803" xr:uid="{00000000-0005-0000-0000-0000AB160000}"/>
    <cellStyle name="Normal 149 2" xfId="5804" xr:uid="{00000000-0005-0000-0000-0000AC160000}"/>
    <cellStyle name="Normal 15" xfId="8" xr:uid="{00000000-0005-0000-0000-000008000000}"/>
    <cellStyle name="Normal 15 10" xfId="5805" xr:uid="{00000000-0005-0000-0000-0000AD160000}"/>
    <cellStyle name="Normal 15 11" xfId="5806" xr:uid="{00000000-0005-0000-0000-0000AE160000}"/>
    <cellStyle name="Normal 15 12" xfId="5807" xr:uid="{00000000-0005-0000-0000-0000AF160000}"/>
    <cellStyle name="Normal 15 13" xfId="5808" xr:uid="{00000000-0005-0000-0000-0000B0160000}"/>
    <cellStyle name="Normal 15 14" xfId="5809" xr:uid="{00000000-0005-0000-0000-0000B1160000}"/>
    <cellStyle name="Normal 15 15" xfId="5810" xr:uid="{00000000-0005-0000-0000-0000B2160000}"/>
    <cellStyle name="Normal 15 16" xfId="5811" xr:uid="{00000000-0005-0000-0000-0000B3160000}"/>
    <cellStyle name="Normal 15 17" xfId="5812" xr:uid="{00000000-0005-0000-0000-0000B4160000}"/>
    <cellStyle name="Normal 15 18" xfId="5813" xr:uid="{00000000-0005-0000-0000-0000B5160000}"/>
    <cellStyle name="Normal 15 19" xfId="5814" xr:uid="{00000000-0005-0000-0000-0000B6160000}"/>
    <cellStyle name="Normal 15 2" xfId="5815" xr:uid="{00000000-0005-0000-0000-0000B7160000}"/>
    <cellStyle name="Normal 15 2 2" xfId="5816" xr:uid="{00000000-0005-0000-0000-0000B8160000}"/>
    <cellStyle name="Normal 15 2 3" xfId="5817" xr:uid="{00000000-0005-0000-0000-0000B9160000}"/>
    <cellStyle name="Normal 15 20" xfId="5818" xr:uid="{00000000-0005-0000-0000-0000BA160000}"/>
    <cellStyle name="Normal 15 21" xfId="5819" xr:uid="{00000000-0005-0000-0000-0000BB160000}"/>
    <cellStyle name="Normal 15 22" xfId="5820" xr:uid="{00000000-0005-0000-0000-0000BC160000}"/>
    <cellStyle name="Normal 15 23" xfId="5821" xr:uid="{00000000-0005-0000-0000-0000BD160000}"/>
    <cellStyle name="Normal 15 24" xfId="5822" xr:uid="{00000000-0005-0000-0000-0000BE160000}"/>
    <cellStyle name="Normal 15 25" xfId="5823" xr:uid="{00000000-0005-0000-0000-0000BF160000}"/>
    <cellStyle name="Normal 15 3" xfId="5824" xr:uid="{00000000-0005-0000-0000-0000C0160000}"/>
    <cellStyle name="Normal 15 3 2" xfId="5825" xr:uid="{00000000-0005-0000-0000-0000C1160000}"/>
    <cellStyle name="Normal 15 3 3" xfId="5826" xr:uid="{00000000-0005-0000-0000-0000C2160000}"/>
    <cellStyle name="Normal 15 4" xfId="5827" xr:uid="{00000000-0005-0000-0000-0000C3160000}"/>
    <cellStyle name="Normal 15 5" xfId="5828" xr:uid="{00000000-0005-0000-0000-0000C4160000}"/>
    <cellStyle name="Normal 15 6" xfId="5829" xr:uid="{00000000-0005-0000-0000-0000C5160000}"/>
    <cellStyle name="Normal 15 7" xfId="5830" xr:uid="{00000000-0005-0000-0000-0000C6160000}"/>
    <cellStyle name="Normal 15 8" xfId="5831" xr:uid="{00000000-0005-0000-0000-0000C7160000}"/>
    <cellStyle name="Normal 15 9" xfId="5832" xr:uid="{00000000-0005-0000-0000-0000C8160000}"/>
    <cellStyle name="Normal 150" xfId="5833" xr:uid="{00000000-0005-0000-0000-0000C9160000}"/>
    <cellStyle name="Normal 150 2" xfId="5834" xr:uid="{00000000-0005-0000-0000-0000CA160000}"/>
    <cellStyle name="Normal 151" xfId="5835" xr:uid="{00000000-0005-0000-0000-0000CB160000}"/>
    <cellStyle name="Normal 151 2" xfId="5836" xr:uid="{00000000-0005-0000-0000-0000CC160000}"/>
    <cellStyle name="Normal 152" xfId="5837" xr:uid="{00000000-0005-0000-0000-0000CD160000}"/>
    <cellStyle name="Normal 152 2" xfId="5838" xr:uid="{00000000-0005-0000-0000-0000CE160000}"/>
    <cellStyle name="Normal 153" xfId="5839" xr:uid="{00000000-0005-0000-0000-0000CF160000}"/>
    <cellStyle name="Normal 153 2" xfId="5840" xr:uid="{00000000-0005-0000-0000-0000D0160000}"/>
    <cellStyle name="Normal 154" xfId="5841" xr:uid="{00000000-0005-0000-0000-0000D1160000}"/>
    <cellStyle name="Normal 154 2" xfId="5842" xr:uid="{00000000-0005-0000-0000-0000D2160000}"/>
    <cellStyle name="Normal 155" xfId="5843" xr:uid="{00000000-0005-0000-0000-0000D3160000}"/>
    <cellStyle name="Normal 155 2" xfId="5844" xr:uid="{00000000-0005-0000-0000-0000D4160000}"/>
    <cellStyle name="Normal 156" xfId="5845" xr:uid="{00000000-0005-0000-0000-0000D5160000}"/>
    <cellStyle name="Normal 156 2" xfId="5846" xr:uid="{00000000-0005-0000-0000-0000D6160000}"/>
    <cellStyle name="Normal 157" xfId="5847" xr:uid="{00000000-0005-0000-0000-0000D7160000}"/>
    <cellStyle name="Normal 157 2" xfId="5848" xr:uid="{00000000-0005-0000-0000-0000D8160000}"/>
    <cellStyle name="Normal 158" xfId="5849" xr:uid="{00000000-0005-0000-0000-0000D9160000}"/>
    <cellStyle name="Normal 158 2" xfId="5850" xr:uid="{00000000-0005-0000-0000-0000DA160000}"/>
    <cellStyle name="Normal 159" xfId="5851" xr:uid="{00000000-0005-0000-0000-0000DB160000}"/>
    <cellStyle name="Normal 159 2" xfId="5852" xr:uid="{00000000-0005-0000-0000-0000DC160000}"/>
    <cellStyle name="Normal 16" xfId="5853" xr:uid="{00000000-0005-0000-0000-0000DD160000}"/>
    <cellStyle name="Normal 16 10" xfId="5854" xr:uid="{00000000-0005-0000-0000-0000DE160000}"/>
    <cellStyle name="Normal 16 11" xfId="5855" xr:uid="{00000000-0005-0000-0000-0000DF160000}"/>
    <cellStyle name="Normal 16 12" xfId="5856" xr:uid="{00000000-0005-0000-0000-0000E0160000}"/>
    <cellStyle name="Normal 16 13" xfId="5857" xr:uid="{00000000-0005-0000-0000-0000E1160000}"/>
    <cellStyle name="Normal 16 14" xfId="5858" xr:uid="{00000000-0005-0000-0000-0000E2160000}"/>
    <cellStyle name="Normal 16 15" xfId="5859" xr:uid="{00000000-0005-0000-0000-0000E3160000}"/>
    <cellStyle name="Normal 16 16" xfId="5860" xr:uid="{00000000-0005-0000-0000-0000E4160000}"/>
    <cellStyle name="Normal 16 17" xfId="5861" xr:uid="{00000000-0005-0000-0000-0000E5160000}"/>
    <cellStyle name="Normal 16 18" xfId="5862" xr:uid="{00000000-0005-0000-0000-0000E6160000}"/>
    <cellStyle name="Normal 16 19" xfId="5863" xr:uid="{00000000-0005-0000-0000-0000E7160000}"/>
    <cellStyle name="Normal 16 2" xfId="5864" xr:uid="{00000000-0005-0000-0000-0000E8160000}"/>
    <cellStyle name="Normal 16 2 2" xfId="5865" xr:uid="{00000000-0005-0000-0000-0000E9160000}"/>
    <cellStyle name="Normal 16 2 3" xfId="5866" xr:uid="{00000000-0005-0000-0000-0000EA160000}"/>
    <cellStyle name="Normal 16 20" xfId="5867" xr:uid="{00000000-0005-0000-0000-0000EB160000}"/>
    <cellStyle name="Normal 16 21" xfId="5868" xr:uid="{00000000-0005-0000-0000-0000EC160000}"/>
    <cellStyle name="Normal 16 22" xfId="5869" xr:uid="{00000000-0005-0000-0000-0000ED160000}"/>
    <cellStyle name="Normal 16 23" xfId="5870" xr:uid="{00000000-0005-0000-0000-0000EE160000}"/>
    <cellStyle name="Normal 16 24" xfId="5871" xr:uid="{00000000-0005-0000-0000-0000EF160000}"/>
    <cellStyle name="Normal 16 25" xfId="5872" xr:uid="{00000000-0005-0000-0000-0000F0160000}"/>
    <cellStyle name="Normal 16 26" xfId="5873" xr:uid="{00000000-0005-0000-0000-0000F1160000}"/>
    <cellStyle name="Normal 16 3" xfId="5874" xr:uid="{00000000-0005-0000-0000-0000F2160000}"/>
    <cellStyle name="Normal 16 3 2" xfId="5875" xr:uid="{00000000-0005-0000-0000-0000F3160000}"/>
    <cellStyle name="Normal 16 3 3" xfId="5876" xr:uid="{00000000-0005-0000-0000-0000F4160000}"/>
    <cellStyle name="Normal 16 4" xfId="5877" xr:uid="{00000000-0005-0000-0000-0000F5160000}"/>
    <cellStyle name="Normal 16 5" xfId="5878" xr:uid="{00000000-0005-0000-0000-0000F6160000}"/>
    <cellStyle name="Normal 16 6" xfId="5879" xr:uid="{00000000-0005-0000-0000-0000F7160000}"/>
    <cellStyle name="Normal 16 7" xfId="5880" xr:uid="{00000000-0005-0000-0000-0000F8160000}"/>
    <cellStyle name="Normal 16 8" xfId="5881" xr:uid="{00000000-0005-0000-0000-0000F9160000}"/>
    <cellStyle name="Normal 16 9" xfId="5882" xr:uid="{00000000-0005-0000-0000-0000FA160000}"/>
    <cellStyle name="Normal 160" xfId="5883" xr:uid="{00000000-0005-0000-0000-0000FB160000}"/>
    <cellStyle name="Normal 160 2" xfId="5884" xr:uid="{00000000-0005-0000-0000-0000FC160000}"/>
    <cellStyle name="Normal 161" xfId="5885" xr:uid="{00000000-0005-0000-0000-0000FD160000}"/>
    <cellStyle name="Normal 161 2" xfId="5886" xr:uid="{00000000-0005-0000-0000-0000FE160000}"/>
    <cellStyle name="Normal 162" xfId="5887" xr:uid="{00000000-0005-0000-0000-0000FF160000}"/>
    <cellStyle name="Normal 162 2" xfId="5888" xr:uid="{00000000-0005-0000-0000-000000170000}"/>
    <cellStyle name="Normal 163" xfId="5889" xr:uid="{00000000-0005-0000-0000-000001170000}"/>
    <cellStyle name="Normal 163 2" xfId="5890" xr:uid="{00000000-0005-0000-0000-000002170000}"/>
    <cellStyle name="Normal 164" xfId="5891" xr:uid="{00000000-0005-0000-0000-000003170000}"/>
    <cellStyle name="Normal 164 2" xfId="5892" xr:uid="{00000000-0005-0000-0000-000004170000}"/>
    <cellStyle name="Normal 165" xfId="5893" xr:uid="{00000000-0005-0000-0000-000005170000}"/>
    <cellStyle name="Normal 165 2" xfId="5894" xr:uid="{00000000-0005-0000-0000-000006170000}"/>
    <cellStyle name="Normal 166" xfId="5895" xr:uid="{00000000-0005-0000-0000-000007170000}"/>
    <cellStyle name="Normal 166 2" xfId="5896" xr:uid="{00000000-0005-0000-0000-000008170000}"/>
    <cellStyle name="Normal 167" xfId="5897" xr:uid="{00000000-0005-0000-0000-000009170000}"/>
    <cellStyle name="Normal 167 2" xfId="5898" xr:uid="{00000000-0005-0000-0000-00000A170000}"/>
    <cellStyle name="Normal 168" xfId="5899" xr:uid="{00000000-0005-0000-0000-00000B170000}"/>
    <cellStyle name="Normal 168 2" xfId="5900" xr:uid="{00000000-0005-0000-0000-00000C170000}"/>
    <cellStyle name="Normal 169" xfId="5901" xr:uid="{00000000-0005-0000-0000-00000D170000}"/>
    <cellStyle name="Normal 169 2" xfId="5902" xr:uid="{00000000-0005-0000-0000-00000E170000}"/>
    <cellStyle name="Normal 17" xfId="9" xr:uid="{00000000-0005-0000-0000-000009000000}"/>
    <cellStyle name="Normal 17 10" xfId="5903" xr:uid="{00000000-0005-0000-0000-00000F170000}"/>
    <cellStyle name="Normal 17 11" xfId="5904" xr:uid="{00000000-0005-0000-0000-000010170000}"/>
    <cellStyle name="Normal 17 12" xfId="5905" xr:uid="{00000000-0005-0000-0000-000011170000}"/>
    <cellStyle name="Normal 17 13" xfId="5906" xr:uid="{00000000-0005-0000-0000-000012170000}"/>
    <cellStyle name="Normal 17 14" xfId="5907" xr:uid="{00000000-0005-0000-0000-000013170000}"/>
    <cellStyle name="Normal 17 15" xfId="5908" xr:uid="{00000000-0005-0000-0000-000014170000}"/>
    <cellStyle name="Normal 17 16" xfId="5909" xr:uid="{00000000-0005-0000-0000-000015170000}"/>
    <cellStyle name="Normal 17 17" xfId="5910" xr:uid="{00000000-0005-0000-0000-000016170000}"/>
    <cellStyle name="Normal 17 18" xfId="5911" xr:uid="{00000000-0005-0000-0000-000017170000}"/>
    <cellStyle name="Normal 17 19" xfId="5912" xr:uid="{00000000-0005-0000-0000-000018170000}"/>
    <cellStyle name="Normal 17 2" xfId="5913" xr:uid="{00000000-0005-0000-0000-000019170000}"/>
    <cellStyle name="Normal 17 2 2" xfId="5914" xr:uid="{00000000-0005-0000-0000-00001A170000}"/>
    <cellStyle name="Normal 17 2 3" xfId="5915" xr:uid="{00000000-0005-0000-0000-00001B170000}"/>
    <cellStyle name="Normal 17 20" xfId="5916" xr:uid="{00000000-0005-0000-0000-00001C170000}"/>
    <cellStyle name="Normal 17 21" xfId="5917" xr:uid="{00000000-0005-0000-0000-00001D170000}"/>
    <cellStyle name="Normal 17 22" xfId="5918" xr:uid="{00000000-0005-0000-0000-00001E170000}"/>
    <cellStyle name="Normal 17 23" xfId="5919" xr:uid="{00000000-0005-0000-0000-00001F170000}"/>
    <cellStyle name="Normal 17 24" xfId="5920" xr:uid="{00000000-0005-0000-0000-000020170000}"/>
    <cellStyle name="Normal 17 25" xfId="5921" xr:uid="{00000000-0005-0000-0000-000021170000}"/>
    <cellStyle name="Normal 17 26" xfId="5922" xr:uid="{00000000-0005-0000-0000-000022170000}"/>
    <cellStyle name="Normal 17 27" xfId="5923" xr:uid="{00000000-0005-0000-0000-000023170000}"/>
    <cellStyle name="Normal 17 28" xfId="5924" xr:uid="{00000000-0005-0000-0000-000024170000}"/>
    <cellStyle name="Normal 17 29" xfId="5925" xr:uid="{00000000-0005-0000-0000-000025170000}"/>
    <cellStyle name="Normal 17 3" xfId="5926" xr:uid="{00000000-0005-0000-0000-000026170000}"/>
    <cellStyle name="Normal 17 3 2" xfId="5927" xr:uid="{00000000-0005-0000-0000-000027170000}"/>
    <cellStyle name="Normal 17 3 3" xfId="5928" xr:uid="{00000000-0005-0000-0000-000028170000}"/>
    <cellStyle name="Normal 17 3 4" xfId="5929" xr:uid="{00000000-0005-0000-0000-000029170000}"/>
    <cellStyle name="Normal 17 3 5" xfId="5930" xr:uid="{00000000-0005-0000-0000-00002A170000}"/>
    <cellStyle name="Normal 17 4" xfId="5931" xr:uid="{00000000-0005-0000-0000-00002B170000}"/>
    <cellStyle name="Normal 17 5" xfId="5932" xr:uid="{00000000-0005-0000-0000-00002C170000}"/>
    <cellStyle name="Normal 17 6" xfId="5933" xr:uid="{00000000-0005-0000-0000-00002D170000}"/>
    <cellStyle name="Normal 17 7" xfId="5934" xr:uid="{00000000-0005-0000-0000-00002E170000}"/>
    <cellStyle name="Normal 17 8" xfId="5935" xr:uid="{00000000-0005-0000-0000-00002F170000}"/>
    <cellStyle name="Normal 17 9" xfId="5936" xr:uid="{00000000-0005-0000-0000-000030170000}"/>
    <cellStyle name="Normal 170" xfId="5937" xr:uid="{00000000-0005-0000-0000-000031170000}"/>
    <cellStyle name="Normal 171" xfId="5938" xr:uid="{00000000-0005-0000-0000-000032170000}"/>
    <cellStyle name="Normal 172" xfId="39122" xr:uid="{00000000-0005-0000-0000-0000D2980000}"/>
    <cellStyle name="Normal 177" xfId="39123" xr:uid="{00000000-0005-0000-0000-0000D3980000}"/>
    <cellStyle name="Normal 18" xfId="5939" xr:uid="{00000000-0005-0000-0000-000033170000}"/>
    <cellStyle name="Normal 18 10" xfId="5940" xr:uid="{00000000-0005-0000-0000-000034170000}"/>
    <cellStyle name="Normal 18 11" xfId="5941" xr:uid="{00000000-0005-0000-0000-000035170000}"/>
    <cellStyle name="Normal 18 12" xfId="5942" xr:uid="{00000000-0005-0000-0000-000036170000}"/>
    <cellStyle name="Normal 18 13" xfId="5943" xr:uid="{00000000-0005-0000-0000-000037170000}"/>
    <cellStyle name="Normal 18 14" xfId="5944" xr:uid="{00000000-0005-0000-0000-000038170000}"/>
    <cellStyle name="Normal 18 15" xfId="5945" xr:uid="{00000000-0005-0000-0000-000039170000}"/>
    <cellStyle name="Normal 18 16" xfId="5946" xr:uid="{00000000-0005-0000-0000-00003A170000}"/>
    <cellStyle name="Normal 18 17" xfId="5947" xr:uid="{00000000-0005-0000-0000-00003B170000}"/>
    <cellStyle name="Normal 18 18" xfId="5948" xr:uid="{00000000-0005-0000-0000-00003C170000}"/>
    <cellStyle name="Normal 18 19" xfId="5949" xr:uid="{00000000-0005-0000-0000-00003D170000}"/>
    <cellStyle name="Normal 18 2" xfId="5950" xr:uid="{00000000-0005-0000-0000-00003E170000}"/>
    <cellStyle name="Normal 18 2 2" xfId="5951" xr:uid="{00000000-0005-0000-0000-00003F170000}"/>
    <cellStyle name="Normal 18 2 3" xfId="5952" xr:uid="{00000000-0005-0000-0000-000040170000}"/>
    <cellStyle name="Normal 18 20" xfId="5953" xr:uid="{00000000-0005-0000-0000-000041170000}"/>
    <cellStyle name="Normal 18 21" xfId="5954" xr:uid="{00000000-0005-0000-0000-000042170000}"/>
    <cellStyle name="Normal 18 22" xfId="5955" xr:uid="{00000000-0005-0000-0000-000043170000}"/>
    <cellStyle name="Normal 18 23" xfId="5956" xr:uid="{00000000-0005-0000-0000-000044170000}"/>
    <cellStyle name="Normal 18 24" xfId="5957" xr:uid="{00000000-0005-0000-0000-000045170000}"/>
    <cellStyle name="Normal 18 25" xfId="5958" xr:uid="{00000000-0005-0000-0000-000046170000}"/>
    <cellStyle name="Normal 18 3" xfId="5959" xr:uid="{00000000-0005-0000-0000-000047170000}"/>
    <cellStyle name="Normal 18 3 2" xfId="5960" xr:uid="{00000000-0005-0000-0000-000048170000}"/>
    <cellStyle name="Normal 18 3 3" xfId="5961" xr:uid="{00000000-0005-0000-0000-000049170000}"/>
    <cellStyle name="Normal 18 3 4" xfId="5962" xr:uid="{00000000-0005-0000-0000-00004A170000}"/>
    <cellStyle name="Normal 18 3 5" xfId="5963" xr:uid="{00000000-0005-0000-0000-00004B170000}"/>
    <cellStyle name="Normal 18 4" xfId="5964" xr:uid="{00000000-0005-0000-0000-00004C170000}"/>
    <cellStyle name="Normal 18 5" xfId="5965" xr:uid="{00000000-0005-0000-0000-00004D170000}"/>
    <cellStyle name="Normal 18 6" xfId="5966" xr:uid="{00000000-0005-0000-0000-00004E170000}"/>
    <cellStyle name="Normal 18 7" xfId="5967" xr:uid="{00000000-0005-0000-0000-00004F170000}"/>
    <cellStyle name="Normal 18 8" xfId="5968" xr:uid="{00000000-0005-0000-0000-000050170000}"/>
    <cellStyle name="Normal 18 9" xfId="5969" xr:uid="{00000000-0005-0000-0000-000051170000}"/>
    <cellStyle name="Normal 19" xfId="5970" xr:uid="{00000000-0005-0000-0000-000052170000}"/>
    <cellStyle name="Normal 19 10" xfId="5971" xr:uid="{00000000-0005-0000-0000-000053170000}"/>
    <cellStyle name="Normal 19 11" xfId="5972" xr:uid="{00000000-0005-0000-0000-000054170000}"/>
    <cellStyle name="Normal 19 12" xfId="5973" xr:uid="{00000000-0005-0000-0000-000055170000}"/>
    <cellStyle name="Normal 19 13" xfId="5974" xr:uid="{00000000-0005-0000-0000-000056170000}"/>
    <cellStyle name="Normal 19 14" xfId="5975" xr:uid="{00000000-0005-0000-0000-000057170000}"/>
    <cellStyle name="Normal 19 15" xfId="5976" xr:uid="{00000000-0005-0000-0000-000058170000}"/>
    <cellStyle name="Normal 19 16" xfId="5977" xr:uid="{00000000-0005-0000-0000-000059170000}"/>
    <cellStyle name="Normal 19 17" xfId="5978" xr:uid="{00000000-0005-0000-0000-00005A170000}"/>
    <cellStyle name="Normal 19 18" xfId="5979" xr:uid="{00000000-0005-0000-0000-00005B170000}"/>
    <cellStyle name="Normal 19 19" xfId="5980" xr:uid="{00000000-0005-0000-0000-00005C170000}"/>
    <cellStyle name="Normal 19 2" xfId="5981" xr:uid="{00000000-0005-0000-0000-00005D170000}"/>
    <cellStyle name="Normal 19 2 2" xfId="5982" xr:uid="{00000000-0005-0000-0000-00005E170000}"/>
    <cellStyle name="Normal 19 2 3" xfId="5983" xr:uid="{00000000-0005-0000-0000-00005F170000}"/>
    <cellStyle name="Normal 19 20" xfId="5984" xr:uid="{00000000-0005-0000-0000-000060170000}"/>
    <cellStyle name="Normal 19 21" xfId="5985" xr:uid="{00000000-0005-0000-0000-000061170000}"/>
    <cellStyle name="Normal 19 22" xfId="5986" xr:uid="{00000000-0005-0000-0000-000062170000}"/>
    <cellStyle name="Normal 19 23" xfId="5987" xr:uid="{00000000-0005-0000-0000-000063170000}"/>
    <cellStyle name="Normal 19 24" xfId="5988" xr:uid="{00000000-0005-0000-0000-000064170000}"/>
    <cellStyle name="Normal 19 25" xfId="5989" xr:uid="{00000000-0005-0000-0000-000065170000}"/>
    <cellStyle name="Normal 19 3" xfId="5990" xr:uid="{00000000-0005-0000-0000-000066170000}"/>
    <cellStyle name="Normal 19 3 2" xfId="5991" xr:uid="{00000000-0005-0000-0000-000067170000}"/>
    <cellStyle name="Normal 19 3 3" xfId="5992" xr:uid="{00000000-0005-0000-0000-000068170000}"/>
    <cellStyle name="Normal 19 3 4" xfId="5993" xr:uid="{00000000-0005-0000-0000-000069170000}"/>
    <cellStyle name="Normal 19 3 5" xfId="5994" xr:uid="{00000000-0005-0000-0000-00006A170000}"/>
    <cellStyle name="Normal 19 4" xfId="5995" xr:uid="{00000000-0005-0000-0000-00006B170000}"/>
    <cellStyle name="Normal 19 5" xfId="5996" xr:uid="{00000000-0005-0000-0000-00006C170000}"/>
    <cellStyle name="Normal 19 6" xfId="5997" xr:uid="{00000000-0005-0000-0000-00006D170000}"/>
    <cellStyle name="Normal 19 7" xfId="5998" xr:uid="{00000000-0005-0000-0000-00006E170000}"/>
    <cellStyle name="Normal 19 8" xfId="5999" xr:uid="{00000000-0005-0000-0000-00006F170000}"/>
    <cellStyle name="Normal 19 9" xfId="6000" xr:uid="{00000000-0005-0000-0000-000070170000}"/>
    <cellStyle name="Normal 2" xfId="10" xr:uid="{00000000-0005-0000-0000-00000A000000}"/>
    <cellStyle name="Normal 2 10" xfId="11" xr:uid="{00000000-0005-0000-0000-00000B000000}"/>
    <cellStyle name="Normal 2 10 10" xfId="6001" xr:uid="{00000000-0005-0000-0000-000071170000}"/>
    <cellStyle name="Normal 2 10 2" xfId="6002" xr:uid="{00000000-0005-0000-0000-000072170000}"/>
    <cellStyle name="Normal 2 10 3" xfId="6003" xr:uid="{00000000-0005-0000-0000-000073170000}"/>
    <cellStyle name="Normal 2 10 4" xfId="6004" xr:uid="{00000000-0005-0000-0000-000074170000}"/>
    <cellStyle name="Normal 2 10_Enlaces" xfId="6005" xr:uid="{00000000-0005-0000-0000-000075170000}"/>
    <cellStyle name="Normal 2 100" xfId="6006" xr:uid="{00000000-0005-0000-0000-000076170000}"/>
    <cellStyle name="Normal 2 100 2" xfId="6007" xr:uid="{00000000-0005-0000-0000-000077170000}"/>
    <cellStyle name="Normal 2 101" xfId="6008" xr:uid="{00000000-0005-0000-0000-000078170000}"/>
    <cellStyle name="Normal 2 101 2" xfId="6009" xr:uid="{00000000-0005-0000-0000-000079170000}"/>
    <cellStyle name="Normal 2 102" xfId="6010" xr:uid="{00000000-0005-0000-0000-00007A170000}"/>
    <cellStyle name="Normal 2 102 2" xfId="6011" xr:uid="{00000000-0005-0000-0000-00007B170000}"/>
    <cellStyle name="Normal 2 103" xfId="6012" xr:uid="{00000000-0005-0000-0000-00007C170000}"/>
    <cellStyle name="Normal 2 103 2" xfId="6013" xr:uid="{00000000-0005-0000-0000-00007D170000}"/>
    <cellStyle name="Normal 2 104" xfId="6014" xr:uid="{00000000-0005-0000-0000-00007E170000}"/>
    <cellStyle name="Normal 2 104 2" xfId="6015" xr:uid="{00000000-0005-0000-0000-00007F170000}"/>
    <cellStyle name="Normal 2 105" xfId="6016" xr:uid="{00000000-0005-0000-0000-000080170000}"/>
    <cellStyle name="Normal 2 106" xfId="6017" xr:uid="{00000000-0005-0000-0000-000081170000}"/>
    <cellStyle name="Normal 2 107" xfId="6018" xr:uid="{00000000-0005-0000-0000-000082170000}"/>
    <cellStyle name="Normal 2 108" xfId="6019" xr:uid="{00000000-0005-0000-0000-000083170000}"/>
    <cellStyle name="Normal 2 109" xfId="6020" xr:uid="{00000000-0005-0000-0000-000084170000}"/>
    <cellStyle name="Normal 2 11" xfId="6021" xr:uid="{00000000-0005-0000-0000-000085170000}"/>
    <cellStyle name="Normal 2 11 2" xfId="6022" xr:uid="{00000000-0005-0000-0000-000086170000}"/>
    <cellStyle name="Normal 2 11 3" xfId="6023" xr:uid="{00000000-0005-0000-0000-000087170000}"/>
    <cellStyle name="Normal 2 11 4" xfId="6024" xr:uid="{00000000-0005-0000-0000-000088170000}"/>
    <cellStyle name="Normal 2 11 5" xfId="6025" xr:uid="{00000000-0005-0000-0000-000089170000}"/>
    <cellStyle name="Normal 2 110" xfId="6026" xr:uid="{00000000-0005-0000-0000-00008A170000}"/>
    <cellStyle name="Normal 2 111" xfId="6027" xr:uid="{00000000-0005-0000-0000-00008B170000}"/>
    <cellStyle name="Normal 2 112" xfId="6028" xr:uid="{00000000-0005-0000-0000-00008C170000}"/>
    <cellStyle name="Normal 2 113" xfId="6029" xr:uid="{00000000-0005-0000-0000-00008D170000}"/>
    <cellStyle name="Normal 2 114" xfId="6030" xr:uid="{00000000-0005-0000-0000-00008E170000}"/>
    <cellStyle name="Normal 2 115" xfId="6031" xr:uid="{00000000-0005-0000-0000-00008F170000}"/>
    <cellStyle name="Normal 2 116" xfId="6032" xr:uid="{00000000-0005-0000-0000-000090170000}"/>
    <cellStyle name="Normal 2 117" xfId="6033" xr:uid="{00000000-0005-0000-0000-000091170000}"/>
    <cellStyle name="Normal 2 118" xfId="6034" xr:uid="{00000000-0005-0000-0000-000092170000}"/>
    <cellStyle name="Normal 2 119" xfId="6035" xr:uid="{00000000-0005-0000-0000-000093170000}"/>
    <cellStyle name="Normal 2 12" xfId="6036" xr:uid="{00000000-0005-0000-0000-000094170000}"/>
    <cellStyle name="Normal 2 12 2" xfId="6037" xr:uid="{00000000-0005-0000-0000-000095170000}"/>
    <cellStyle name="Normal 2 12 3" xfId="6038" xr:uid="{00000000-0005-0000-0000-000096170000}"/>
    <cellStyle name="Normal 2 12 4" xfId="6039" xr:uid="{00000000-0005-0000-0000-000097170000}"/>
    <cellStyle name="Normal 2 12 5" xfId="6040" xr:uid="{00000000-0005-0000-0000-000098170000}"/>
    <cellStyle name="Normal 2 12 6" xfId="6041" xr:uid="{00000000-0005-0000-0000-000099170000}"/>
    <cellStyle name="Normal 2 120" xfId="6042" xr:uid="{00000000-0005-0000-0000-00009A170000}"/>
    <cellStyle name="Normal 2 121" xfId="6043" xr:uid="{00000000-0005-0000-0000-00009B170000}"/>
    <cellStyle name="Normal 2 122" xfId="6044" xr:uid="{00000000-0005-0000-0000-00009C170000}"/>
    <cellStyle name="Normal 2 123" xfId="6045" xr:uid="{00000000-0005-0000-0000-00009D170000}"/>
    <cellStyle name="Normal 2 124" xfId="6046" xr:uid="{00000000-0005-0000-0000-00009E170000}"/>
    <cellStyle name="Normal 2 125" xfId="6047" xr:uid="{00000000-0005-0000-0000-00009F170000}"/>
    <cellStyle name="Normal 2 126" xfId="6048" xr:uid="{00000000-0005-0000-0000-0000A0170000}"/>
    <cellStyle name="Normal 2 127" xfId="6049" xr:uid="{00000000-0005-0000-0000-0000A1170000}"/>
    <cellStyle name="Normal 2 128" xfId="6050" xr:uid="{00000000-0005-0000-0000-0000A2170000}"/>
    <cellStyle name="Normal 2 129" xfId="6051" xr:uid="{00000000-0005-0000-0000-0000A3170000}"/>
    <cellStyle name="Normal 2 13" xfId="6052" xr:uid="{00000000-0005-0000-0000-0000A4170000}"/>
    <cellStyle name="Normal 2 13 2" xfId="6053" xr:uid="{00000000-0005-0000-0000-0000A5170000}"/>
    <cellStyle name="Normal 2 13 3" xfId="6054" xr:uid="{00000000-0005-0000-0000-0000A6170000}"/>
    <cellStyle name="Normal 2 13 4" xfId="6055" xr:uid="{00000000-0005-0000-0000-0000A7170000}"/>
    <cellStyle name="Normal 2 13 5" xfId="6056" xr:uid="{00000000-0005-0000-0000-0000A8170000}"/>
    <cellStyle name="Normal 2 13 6" xfId="6057" xr:uid="{00000000-0005-0000-0000-0000A9170000}"/>
    <cellStyle name="Normal 2 130" xfId="6058" xr:uid="{00000000-0005-0000-0000-0000AA170000}"/>
    <cellStyle name="Normal 2 131" xfId="6059" xr:uid="{00000000-0005-0000-0000-0000AB170000}"/>
    <cellStyle name="Normal 2 132" xfId="6060" xr:uid="{00000000-0005-0000-0000-0000AC170000}"/>
    <cellStyle name="Normal 2 133" xfId="6061" xr:uid="{00000000-0005-0000-0000-0000AD170000}"/>
    <cellStyle name="Normal 2 134" xfId="6062" xr:uid="{00000000-0005-0000-0000-0000AE170000}"/>
    <cellStyle name="Normal 2 135" xfId="6063" xr:uid="{00000000-0005-0000-0000-0000AF170000}"/>
    <cellStyle name="Normal 2 136" xfId="6064" xr:uid="{00000000-0005-0000-0000-0000B0170000}"/>
    <cellStyle name="Normal 2 137" xfId="6065" xr:uid="{00000000-0005-0000-0000-0000B1170000}"/>
    <cellStyle name="Normal 2 138" xfId="6066" xr:uid="{00000000-0005-0000-0000-0000B2170000}"/>
    <cellStyle name="Normal 2 139" xfId="6067" xr:uid="{00000000-0005-0000-0000-0000B3170000}"/>
    <cellStyle name="Normal 2 14" xfId="6068" xr:uid="{00000000-0005-0000-0000-0000B4170000}"/>
    <cellStyle name="Normal 2 14 2" xfId="6069" xr:uid="{00000000-0005-0000-0000-0000B5170000}"/>
    <cellStyle name="Normal 2 14 3" xfId="6070" xr:uid="{00000000-0005-0000-0000-0000B6170000}"/>
    <cellStyle name="Normal 2 14 4" xfId="6071" xr:uid="{00000000-0005-0000-0000-0000B7170000}"/>
    <cellStyle name="Normal 2 14 5" xfId="6072" xr:uid="{00000000-0005-0000-0000-0000B8170000}"/>
    <cellStyle name="Normal 2 140" xfId="6073" xr:uid="{00000000-0005-0000-0000-0000B9170000}"/>
    <cellStyle name="Normal 2 141" xfId="6074" xr:uid="{00000000-0005-0000-0000-0000BA170000}"/>
    <cellStyle name="Normal 2 142" xfId="6075" xr:uid="{00000000-0005-0000-0000-0000BB170000}"/>
    <cellStyle name="Normal 2 143" xfId="6076" xr:uid="{00000000-0005-0000-0000-0000BC170000}"/>
    <cellStyle name="Normal 2 144" xfId="6077" xr:uid="{00000000-0005-0000-0000-0000BD170000}"/>
    <cellStyle name="Normal 2 145" xfId="6078" xr:uid="{00000000-0005-0000-0000-0000BE170000}"/>
    <cellStyle name="Normal 2 146" xfId="6079" xr:uid="{00000000-0005-0000-0000-0000BF170000}"/>
    <cellStyle name="Normal 2 147" xfId="6080" xr:uid="{00000000-0005-0000-0000-0000C0170000}"/>
    <cellStyle name="Normal 2 148" xfId="6081" xr:uid="{00000000-0005-0000-0000-0000C1170000}"/>
    <cellStyle name="Normal 2 149" xfId="6082" xr:uid="{00000000-0005-0000-0000-0000C2170000}"/>
    <cellStyle name="Normal 2 15" xfId="6083" xr:uid="{00000000-0005-0000-0000-0000C3170000}"/>
    <cellStyle name="Normal 2 15 2" xfId="6084" xr:uid="{00000000-0005-0000-0000-0000C4170000}"/>
    <cellStyle name="Normal 2 15 3" xfId="6085" xr:uid="{00000000-0005-0000-0000-0000C5170000}"/>
    <cellStyle name="Normal 2 15 4" xfId="6086" xr:uid="{00000000-0005-0000-0000-0000C6170000}"/>
    <cellStyle name="Normal 2 15 5" xfId="6087" xr:uid="{00000000-0005-0000-0000-0000C7170000}"/>
    <cellStyle name="Normal 2 15 6" xfId="6088" xr:uid="{00000000-0005-0000-0000-0000C8170000}"/>
    <cellStyle name="Normal 2 150" xfId="6089" xr:uid="{00000000-0005-0000-0000-0000C9170000}"/>
    <cellStyle name="Normal 2 151" xfId="6090" xr:uid="{00000000-0005-0000-0000-0000CA170000}"/>
    <cellStyle name="Normal 2 152" xfId="6091" xr:uid="{00000000-0005-0000-0000-0000CB170000}"/>
    <cellStyle name="Normal 2 153" xfId="6092" xr:uid="{00000000-0005-0000-0000-0000CC170000}"/>
    <cellStyle name="Normal 2 154" xfId="6093" xr:uid="{00000000-0005-0000-0000-0000CD170000}"/>
    <cellStyle name="Normal 2 155" xfId="6094" xr:uid="{00000000-0005-0000-0000-0000CE170000}"/>
    <cellStyle name="Normal 2 156" xfId="6095" xr:uid="{00000000-0005-0000-0000-0000CF170000}"/>
    <cellStyle name="Normal 2 157" xfId="6096" xr:uid="{00000000-0005-0000-0000-0000D0170000}"/>
    <cellStyle name="Normal 2 158" xfId="6097" xr:uid="{00000000-0005-0000-0000-0000D1170000}"/>
    <cellStyle name="Normal 2 159" xfId="6098" xr:uid="{00000000-0005-0000-0000-0000D2170000}"/>
    <cellStyle name="Normal 2 16" xfId="6099" xr:uid="{00000000-0005-0000-0000-0000D3170000}"/>
    <cellStyle name="Normal 2 16 2" xfId="6100" xr:uid="{00000000-0005-0000-0000-0000D4170000}"/>
    <cellStyle name="Normal 2 16 3" xfId="6101" xr:uid="{00000000-0005-0000-0000-0000D5170000}"/>
    <cellStyle name="Normal 2 16 4" xfId="6102" xr:uid="{00000000-0005-0000-0000-0000D6170000}"/>
    <cellStyle name="Normal 2 16 5" xfId="6103" xr:uid="{00000000-0005-0000-0000-0000D7170000}"/>
    <cellStyle name="Normal 2 160" xfId="6104" xr:uid="{00000000-0005-0000-0000-0000D8170000}"/>
    <cellStyle name="Normal 2 161" xfId="6105" xr:uid="{00000000-0005-0000-0000-0000D9170000}"/>
    <cellStyle name="Normal 2 162" xfId="6106" xr:uid="{00000000-0005-0000-0000-0000DA170000}"/>
    <cellStyle name="Normal 2 163" xfId="6107" xr:uid="{00000000-0005-0000-0000-0000DB170000}"/>
    <cellStyle name="Normal 2 164" xfId="6108" xr:uid="{00000000-0005-0000-0000-0000DC170000}"/>
    <cellStyle name="Normal 2 165" xfId="6109" xr:uid="{00000000-0005-0000-0000-0000DD170000}"/>
    <cellStyle name="Normal 2 166" xfId="6110" xr:uid="{00000000-0005-0000-0000-0000DE170000}"/>
    <cellStyle name="Normal 2 167" xfId="6111" xr:uid="{00000000-0005-0000-0000-0000DF170000}"/>
    <cellStyle name="Normal 2 168" xfId="6112" xr:uid="{00000000-0005-0000-0000-0000E0170000}"/>
    <cellStyle name="Normal 2 169" xfId="6113" xr:uid="{00000000-0005-0000-0000-0000E1170000}"/>
    <cellStyle name="Normal 2 17" xfId="6114" xr:uid="{00000000-0005-0000-0000-0000E2170000}"/>
    <cellStyle name="Normal 2 17 2" xfId="6115" xr:uid="{00000000-0005-0000-0000-0000E3170000}"/>
    <cellStyle name="Normal 2 17 3" xfId="6116" xr:uid="{00000000-0005-0000-0000-0000E4170000}"/>
    <cellStyle name="Normal 2 17 4" xfId="6117" xr:uid="{00000000-0005-0000-0000-0000E5170000}"/>
    <cellStyle name="Normal 2 17 5" xfId="6118" xr:uid="{00000000-0005-0000-0000-0000E6170000}"/>
    <cellStyle name="Normal 2 170" xfId="6119" xr:uid="{00000000-0005-0000-0000-0000E7170000}"/>
    <cellStyle name="Normal 2 171" xfId="6120" xr:uid="{00000000-0005-0000-0000-0000E8170000}"/>
    <cellStyle name="Normal 2 172" xfId="6121" xr:uid="{00000000-0005-0000-0000-0000E9170000}"/>
    <cellStyle name="Normal 2 173" xfId="6122" xr:uid="{00000000-0005-0000-0000-0000EA170000}"/>
    <cellStyle name="Normal 2 174" xfId="6123" xr:uid="{00000000-0005-0000-0000-0000EB170000}"/>
    <cellStyle name="Normal 2 175" xfId="6124" xr:uid="{00000000-0005-0000-0000-0000EC170000}"/>
    <cellStyle name="Normal 2 176" xfId="6125" xr:uid="{00000000-0005-0000-0000-0000ED170000}"/>
    <cellStyle name="Normal 2 177" xfId="6126" xr:uid="{00000000-0005-0000-0000-0000EE170000}"/>
    <cellStyle name="Normal 2 178" xfId="6127" xr:uid="{00000000-0005-0000-0000-0000EF170000}"/>
    <cellStyle name="Normal 2 179" xfId="6128" xr:uid="{00000000-0005-0000-0000-0000F0170000}"/>
    <cellStyle name="Normal 2 18" xfId="6129" xr:uid="{00000000-0005-0000-0000-0000F1170000}"/>
    <cellStyle name="Normal 2 18 2" xfId="6130" xr:uid="{00000000-0005-0000-0000-0000F2170000}"/>
    <cellStyle name="Normal 2 18 3" xfId="6131" xr:uid="{00000000-0005-0000-0000-0000F3170000}"/>
    <cellStyle name="Normal 2 18 4" xfId="6132" xr:uid="{00000000-0005-0000-0000-0000F4170000}"/>
    <cellStyle name="Normal 2 18 5" xfId="6133" xr:uid="{00000000-0005-0000-0000-0000F5170000}"/>
    <cellStyle name="Normal 2 19" xfId="6134" xr:uid="{00000000-0005-0000-0000-0000F6170000}"/>
    <cellStyle name="Normal 2 19 2" xfId="6135" xr:uid="{00000000-0005-0000-0000-0000F7170000}"/>
    <cellStyle name="Normal 2 19 3" xfId="6136" xr:uid="{00000000-0005-0000-0000-0000F8170000}"/>
    <cellStyle name="Normal 2 19 4" xfId="6137" xr:uid="{00000000-0005-0000-0000-0000F9170000}"/>
    <cellStyle name="Normal 2 19 5" xfId="6138" xr:uid="{00000000-0005-0000-0000-0000FA170000}"/>
    <cellStyle name="Normal 2 2" xfId="12" xr:uid="{00000000-0005-0000-0000-00000C000000}"/>
    <cellStyle name="Normal 2 2 10" xfId="6139" xr:uid="{00000000-0005-0000-0000-0000FB170000}"/>
    <cellStyle name="Normal 2 2 10 10" xfId="6140" xr:uid="{00000000-0005-0000-0000-0000FC170000}"/>
    <cellStyle name="Normal 2 2 10 10 10" xfId="6141" xr:uid="{00000000-0005-0000-0000-0000FD170000}"/>
    <cellStyle name="Normal 2 2 10 10 11" xfId="6142" xr:uid="{00000000-0005-0000-0000-0000FE170000}"/>
    <cellStyle name="Normal 2 2 10 10 12" xfId="6143" xr:uid="{00000000-0005-0000-0000-0000FF170000}"/>
    <cellStyle name="Normal 2 2 10 10 13" xfId="6144" xr:uid="{00000000-0005-0000-0000-000000180000}"/>
    <cellStyle name="Normal 2 2 10 10 14" xfId="6145" xr:uid="{00000000-0005-0000-0000-000001180000}"/>
    <cellStyle name="Normal 2 2 10 10 2" xfId="6146" xr:uid="{00000000-0005-0000-0000-000002180000}"/>
    <cellStyle name="Normal 2 2 10 10 2 10" xfId="6147" xr:uid="{00000000-0005-0000-0000-000003180000}"/>
    <cellStyle name="Normal 2 2 10 10 2 2" xfId="6148" xr:uid="{00000000-0005-0000-0000-000004180000}"/>
    <cellStyle name="Normal 2 2 10 10 2 3" xfId="6149" xr:uid="{00000000-0005-0000-0000-000005180000}"/>
    <cellStyle name="Normal 2 2 10 10 2 4" xfId="6150" xr:uid="{00000000-0005-0000-0000-000006180000}"/>
    <cellStyle name="Normal 2 2 10 10 2 5" xfId="6151" xr:uid="{00000000-0005-0000-0000-000007180000}"/>
    <cellStyle name="Normal 2 2 10 10 2 6" xfId="6152" xr:uid="{00000000-0005-0000-0000-000008180000}"/>
    <cellStyle name="Normal 2 2 10 10 2 7" xfId="6153" xr:uid="{00000000-0005-0000-0000-000009180000}"/>
    <cellStyle name="Normal 2 2 10 10 2 8" xfId="6154" xr:uid="{00000000-0005-0000-0000-00000A180000}"/>
    <cellStyle name="Normal 2 2 10 10 2 9" xfId="6155" xr:uid="{00000000-0005-0000-0000-00000B180000}"/>
    <cellStyle name="Normal 2 2 10 10 3" xfId="6156" xr:uid="{00000000-0005-0000-0000-00000C180000}"/>
    <cellStyle name="Normal 2 2 10 10 3 10" xfId="6157" xr:uid="{00000000-0005-0000-0000-00000D180000}"/>
    <cellStyle name="Normal 2 2 10 10 3 2" xfId="6158" xr:uid="{00000000-0005-0000-0000-00000E180000}"/>
    <cellStyle name="Normal 2 2 10 10 3 3" xfId="6159" xr:uid="{00000000-0005-0000-0000-00000F180000}"/>
    <cellStyle name="Normal 2 2 10 10 3 4" xfId="6160" xr:uid="{00000000-0005-0000-0000-000010180000}"/>
    <cellStyle name="Normal 2 2 10 10 3 5" xfId="6161" xr:uid="{00000000-0005-0000-0000-000011180000}"/>
    <cellStyle name="Normal 2 2 10 10 3 6" xfId="6162" xr:uid="{00000000-0005-0000-0000-000012180000}"/>
    <cellStyle name="Normal 2 2 10 10 3 7" xfId="6163" xr:uid="{00000000-0005-0000-0000-000013180000}"/>
    <cellStyle name="Normal 2 2 10 10 3 8" xfId="6164" xr:uid="{00000000-0005-0000-0000-000014180000}"/>
    <cellStyle name="Normal 2 2 10 10 3 9" xfId="6165" xr:uid="{00000000-0005-0000-0000-000015180000}"/>
    <cellStyle name="Normal 2 2 10 10 4" xfId="6166" xr:uid="{00000000-0005-0000-0000-000016180000}"/>
    <cellStyle name="Normal 2 2 10 10 4 10" xfId="6167" xr:uid="{00000000-0005-0000-0000-000017180000}"/>
    <cellStyle name="Normal 2 2 10 10 4 2" xfId="6168" xr:uid="{00000000-0005-0000-0000-000018180000}"/>
    <cellStyle name="Normal 2 2 10 10 4 3" xfId="6169" xr:uid="{00000000-0005-0000-0000-000019180000}"/>
    <cellStyle name="Normal 2 2 10 10 4 4" xfId="6170" xr:uid="{00000000-0005-0000-0000-00001A180000}"/>
    <cellStyle name="Normal 2 2 10 10 4 5" xfId="6171" xr:uid="{00000000-0005-0000-0000-00001B180000}"/>
    <cellStyle name="Normal 2 2 10 10 4 6" xfId="6172" xr:uid="{00000000-0005-0000-0000-00001C180000}"/>
    <cellStyle name="Normal 2 2 10 10 4 7" xfId="6173" xr:uid="{00000000-0005-0000-0000-00001D180000}"/>
    <cellStyle name="Normal 2 2 10 10 4 8" xfId="6174" xr:uid="{00000000-0005-0000-0000-00001E180000}"/>
    <cellStyle name="Normal 2 2 10 10 4 9" xfId="6175" xr:uid="{00000000-0005-0000-0000-00001F180000}"/>
    <cellStyle name="Normal 2 2 10 10 5" xfId="6176" xr:uid="{00000000-0005-0000-0000-000020180000}"/>
    <cellStyle name="Normal 2 2 10 10 5 10" xfId="6177" xr:uid="{00000000-0005-0000-0000-000021180000}"/>
    <cellStyle name="Normal 2 2 10 10 5 2" xfId="6178" xr:uid="{00000000-0005-0000-0000-000022180000}"/>
    <cellStyle name="Normal 2 2 10 10 5 3" xfId="6179" xr:uid="{00000000-0005-0000-0000-000023180000}"/>
    <cellStyle name="Normal 2 2 10 10 5 4" xfId="6180" xr:uid="{00000000-0005-0000-0000-000024180000}"/>
    <cellStyle name="Normal 2 2 10 10 5 5" xfId="6181" xr:uid="{00000000-0005-0000-0000-000025180000}"/>
    <cellStyle name="Normal 2 2 10 10 5 6" xfId="6182" xr:uid="{00000000-0005-0000-0000-000026180000}"/>
    <cellStyle name="Normal 2 2 10 10 5 7" xfId="6183" xr:uid="{00000000-0005-0000-0000-000027180000}"/>
    <cellStyle name="Normal 2 2 10 10 5 8" xfId="6184" xr:uid="{00000000-0005-0000-0000-000028180000}"/>
    <cellStyle name="Normal 2 2 10 10 5 9" xfId="6185" xr:uid="{00000000-0005-0000-0000-000029180000}"/>
    <cellStyle name="Normal 2 2 10 10 6" xfId="6186" xr:uid="{00000000-0005-0000-0000-00002A180000}"/>
    <cellStyle name="Normal 2 2 10 10 7" xfId="6187" xr:uid="{00000000-0005-0000-0000-00002B180000}"/>
    <cellStyle name="Normal 2 2 10 10 8" xfId="6188" xr:uid="{00000000-0005-0000-0000-00002C180000}"/>
    <cellStyle name="Normal 2 2 10 10 9" xfId="6189" xr:uid="{00000000-0005-0000-0000-00002D180000}"/>
    <cellStyle name="Normal 2 2 10 11" xfId="6190" xr:uid="{00000000-0005-0000-0000-00002E180000}"/>
    <cellStyle name="Normal 2 2 10 11 10" xfId="6191" xr:uid="{00000000-0005-0000-0000-00002F180000}"/>
    <cellStyle name="Normal 2 2 10 11 11" xfId="6192" xr:uid="{00000000-0005-0000-0000-000030180000}"/>
    <cellStyle name="Normal 2 2 10 11 12" xfId="6193" xr:uid="{00000000-0005-0000-0000-000031180000}"/>
    <cellStyle name="Normal 2 2 10 11 13" xfId="6194" xr:uid="{00000000-0005-0000-0000-000032180000}"/>
    <cellStyle name="Normal 2 2 10 11 14" xfId="6195" xr:uid="{00000000-0005-0000-0000-000033180000}"/>
    <cellStyle name="Normal 2 2 10 11 2" xfId="6196" xr:uid="{00000000-0005-0000-0000-000034180000}"/>
    <cellStyle name="Normal 2 2 10 11 2 10" xfId="6197" xr:uid="{00000000-0005-0000-0000-000035180000}"/>
    <cellStyle name="Normal 2 2 10 11 2 2" xfId="6198" xr:uid="{00000000-0005-0000-0000-000036180000}"/>
    <cellStyle name="Normal 2 2 10 11 2 3" xfId="6199" xr:uid="{00000000-0005-0000-0000-000037180000}"/>
    <cellStyle name="Normal 2 2 10 11 2 4" xfId="6200" xr:uid="{00000000-0005-0000-0000-000038180000}"/>
    <cellStyle name="Normal 2 2 10 11 2 5" xfId="6201" xr:uid="{00000000-0005-0000-0000-000039180000}"/>
    <cellStyle name="Normal 2 2 10 11 2 6" xfId="6202" xr:uid="{00000000-0005-0000-0000-00003A180000}"/>
    <cellStyle name="Normal 2 2 10 11 2 7" xfId="6203" xr:uid="{00000000-0005-0000-0000-00003B180000}"/>
    <cellStyle name="Normal 2 2 10 11 2 8" xfId="6204" xr:uid="{00000000-0005-0000-0000-00003C180000}"/>
    <cellStyle name="Normal 2 2 10 11 2 9" xfId="6205" xr:uid="{00000000-0005-0000-0000-00003D180000}"/>
    <cellStyle name="Normal 2 2 10 11 3" xfId="6206" xr:uid="{00000000-0005-0000-0000-00003E180000}"/>
    <cellStyle name="Normal 2 2 10 11 3 10" xfId="6207" xr:uid="{00000000-0005-0000-0000-00003F180000}"/>
    <cellStyle name="Normal 2 2 10 11 3 2" xfId="6208" xr:uid="{00000000-0005-0000-0000-000040180000}"/>
    <cellStyle name="Normal 2 2 10 11 3 3" xfId="6209" xr:uid="{00000000-0005-0000-0000-000041180000}"/>
    <cellStyle name="Normal 2 2 10 11 3 4" xfId="6210" xr:uid="{00000000-0005-0000-0000-000042180000}"/>
    <cellStyle name="Normal 2 2 10 11 3 5" xfId="6211" xr:uid="{00000000-0005-0000-0000-000043180000}"/>
    <cellStyle name="Normal 2 2 10 11 3 6" xfId="6212" xr:uid="{00000000-0005-0000-0000-000044180000}"/>
    <cellStyle name="Normal 2 2 10 11 3 7" xfId="6213" xr:uid="{00000000-0005-0000-0000-000045180000}"/>
    <cellStyle name="Normal 2 2 10 11 3 8" xfId="6214" xr:uid="{00000000-0005-0000-0000-000046180000}"/>
    <cellStyle name="Normal 2 2 10 11 3 9" xfId="6215" xr:uid="{00000000-0005-0000-0000-000047180000}"/>
    <cellStyle name="Normal 2 2 10 11 4" xfId="6216" xr:uid="{00000000-0005-0000-0000-000048180000}"/>
    <cellStyle name="Normal 2 2 10 11 4 10" xfId="6217" xr:uid="{00000000-0005-0000-0000-000049180000}"/>
    <cellStyle name="Normal 2 2 10 11 4 2" xfId="6218" xr:uid="{00000000-0005-0000-0000-00004A180000}"/>
    <cellStyle name="Normal 2 2 10 11 4 3" xfId="6219" xr:uid="{00000000-0005-0000-0000-00004B180000}"/>
    <cellStyle name="Normal 2 2 10 11 4 4" xfId="6220" xr:uid="{00000000-0005-0000-0000-00004C180000}"/>
    <cellStyle name="Normal 2 2 10 11 4 5" xfId="6221" xr:uid="{00000000-0005-0000-0000-00004D180000}"/>
    <cellStyle name="Normal 2 2 10 11 4 6" xfId="6222" xr:uid="{00000000-0005-0000-0000-00004E180000}"/>
    <cellStyle name="Normal 2 2 10 11 4 7" xfId="6223" xr:uid="{00000000-0005-0000-0000-00004F180000}"/>
    <cellStyle name="Normal 2 2 10 11 4 8" xfId="6224" xr:uid="{00000000-0005-0000-0000-000050180000}"/>
    <cellStyle name="Normal 2 2 10 11 4 9" xfId="6225" xr:uid="{00000000-0005-0000-0000-000051180000}"/>
    <cellStyle name="Normal 2 2 10 11 5" xfId="6226" xr:uid="{00000000-0005-0000-0000-000052180000}"/>
    <cellStyle name="Normal 2 2 10 11 5 10" xfId="6227" xr:uid="{00000000-0005-0000-0000-000053180000}"/>
    <cellStyle name="Normal 2 2 10 11 5 2" xfId="6228" xr:uid="{00000000-0005-0000-0000-000054180000}"/>
    <cellStyle name="Normal 2 2 10 11 5 3" xfId="6229" xr:uid="{00000000-0005-0000-0000-000055180000}"/>
    <cellStyle name="Normal 2 2 10 11 5 4" xfId="6230" xr:uid="{00000000-0005-0000-0000-000056180000}"/>
    <cellStyle name="Normal 2 2 10 11 5 5" xfId="6231" xr:uid="{00000000-0005-0000-0000-000057180000}"/>
    <cellStyle name="Normal 2 2 10 11 5 6" xfId="6232" xr:uid="{00000000-0005-0000-0000-000058180000}"/>
    <cellStyle name="Normal 2 2 10 11 5 7" xfId="6233" xr:uid="{00000000-0005-0000-0000-000059180000}"/>
    <cellStyle name="Normal 2 2 10 11 5 8" xfId="6234" xr:uid="{00000000-0005-0000-0000-00005A180000}"/>
    <cellStyle name="Normal 2 2 10 11 5 9" xfId="6235" xr:uid="{00000000-0005-0000-0000-00005B180000}"/>
    <cellStyle name="Normal 2 2 10 11 6" xfId="6236" xr:uid="{00000000-0005-0000-0000-00005C180000}"/>
    <cellStyle name="Normal 2 2 10 11 7" xfId="6237" xr:uid="{00000000-0005-0000-0000-00005D180000}"/>
    <cellStyle name="Normal 2 2 10 11 8" xfId="6238" xr:uid="{00000000-0005-0000-0000-00005E180000}"/>
    <cellStyle name="Normal 2 2 10 11 9" xfId="6239" xr:uid="{00000000-0005-0000-0000-00005F180000}"/>
    <cellStyle name="Normal 2 2 10 12" xfId="6240" xr:uid="{00000000-0005-0000-0000-000060180000}"/>
    <cellStyle name="Normal 2 2 10 12 10" xfId="6241" xr:uid="{00000000-0005-0000-0000-000061180000}"/>
    <cellStyle name="Normal 2 2 10 12 11" xfId="6242" xr:uid="{00000000-0005-0000-0000-000062180000}"/>
    <cellStyle name="Normal 2 2 10 12 12" xfId="6243" xr:uid="{00000000-0005-0000-0000-000063180000}"/>
    <cellStyle name="Normal 2 2 10 12 13" xfId="6244" xr:uid="{00000000-0005-0000-0000-000064180000}"/>
    <cellStyle name="Normal 2 2 10 12 14" xfId="6245" xr:uid="{00000000-0005-0000-0000-000065180000}"/>
    <cellStyle name="Normal 2 2 10 12 2" xfId="6246" xr:uid="{00000000-0005-0000-0000-000066180000}"/>
    <cellStyle name="Normal 2 2 10 12 2 10" xfId="6247" xr:uid="{00000000-0005-0000-0000-000067180000}"/>
    <cellStyle name="Normal 2 2 10 12 2 2" xfId="6248" xr:uid="{00000000-0005-0000-0000-000068180000}"/>
    <cellStyle name="Normal 2 2 10 12 2 3" xfId="6249" xr:uid="{00000000-0005-0000-0000-000069180000}"/>
    <cellStyle name="Normal 2 2 10 12 2 4" xfId="6250" xr:uid="{00000000-0005-0000-0000-00006A180000}"/>
    <cellStyle name="Normal 2 2 10 12 2 5" xfId="6251" xr:uid="{00000000-0005-0000-0000-00006B180000}"/>
    <cellStyle name="Normal 2 2 10 12 2 6" xfId="6252" xr:uid="{00000000-0005-0000-0000-00006C180000}"/>
    <cellStyle name="Normal 2 2 10 12 2 7" xfId="6253" xr:uid="{00000000-0005-0000-0000-00006D180000}"/>
    <cellStyle name="Normal 2 2 10 12 2 8" xfId="6254" xr:uid="{00000000-0005-0000-0000-00006E180000}"/>
    <cellStyle name="Normal 2 2 10 12 2 9" xfId="6255" xr:uid="{00000000-0005-0000-0000-00006F180000}"/>
    <cellStyle name="Normal 2 2 10 12 3" xfId="6256" xr:uid="{00000000-0005-0000-0000-000070180000}"/>
    <cellStyle name="Normal 2 2 10 12 3 10" xfId="6257" xr:uid="{00000000-0005-0000-0000-000071180000}"/>
    <cellStyle name="Normal 2 2 10 12 3 2" xfId="6258" xr:uid="{00000000-0005-0000-0000-000072180000}"/>
    <cellStyle name="Normal 2 2 10 12 3 3" xfId="6259" xr:uid="{00000000-0005-0000-0000-000073180000}"/>
    <cellStyle name="Normal 2 2 10 12 3 4" xfId="6260" xr:uid="{00000000-0005-0000-0000-000074180000}"/>
    <cellStyle name="Normal 2 2 10 12 3 5" xfId="6261" xr:uid="{00000000-0005-0000-0000-000075180000}"/>
    <cellStyle name="Normal 2 2 10 12 3 6" xfId="6262" xr:uid="{00000000-0005-0000-0000-000076180000}"/>
    <cellStyle name="Normal 2 2 10 12 3 7" xfId="6263" xr:uid="{00000000-0005-0000-0000-000077180000}"/>
    <cellStyle name="Normal 2 2 10 12 3 8" xfId="6264" xr:uid="{00000000-0005-0000-0000-000078180000}"/>
    <cellStyle name="Normal 2 2 10 12 3 9" xfId="6265" xr:uid="{00000000-0005-0000-0000-000079180000}"/>
    <cellStyle name="Normal 2 2 10 12 4" xfId="6266" xr:uid="{00000000-0005-0000-0000-00007A180000}"/>
    <cellStyle name="Normal 2 2 10 12 4 10" xfId="6267" xr:uid="{00000000-0005-0000-0000-00007B180000}"/>
    <cellStyle name="Normal 2 2 10 12 4 2" xfId="6268" xr:uid="{00000000-0005-0000-0000-00007C180000}"/>
    <cellStyle name="Normal 2 2 10 12 4 3" xfId="6269" xr:uid="{00000000-0005-0000-0000-00007D180000}"/>
    <cellStyle name="Normal 2 2 10 12 4 4" xfId="6270" xr:uid="{00000000-0005-0000-0000-00007E180000}"/>
    <cellStyle name="Normal 2 2 10 12 4 5" xfId="6271" xr:uid="{00000000-0005-0000-0000-00007F180000}"/>
    <cellStyle name="Normal 2 2 10 12 4 6" xfId="6272" xr:uid="{00000000-0005-0000-0000-000080180000}"/>
    <cellStyle name="Normal 2 2 10 12 4 7" xfId="6273" xr:uid="{00000000-0005-0000-0000-000081180000}"/>
    <cellStyle name="Normal 2 2 10 12 4 8" xfId="6274" xr:uid="{00000000-0005-0000-0000-000082180000}"/>
    <cellStyle name="Normal 2 2 10 12 4 9" xfId="6275" xr:uid="{00000000-0005-0000-0000-000083180000}"/>
    <cellStyle name="Normal 2 2 10 12 5" xfId="6276" xr:uid="{00000000-0005-0000-0000-000084180000}"/>
    <cellStyle name="Normal 2 2 10 12 5 10" xfId="6277" xr:uid="{00000000-0005-0000-0000-000085180000}"/>
    <cellStyle name="Normal 2 2 10 12 5 2" xfId="6278" xr:uid="{00000000-0005-0000-0000-000086180000}"/>
    <cellStyle name="Normal 2 2 10 12 5 3" xfId="6279" xr:uid="{00000000-0005-0000-0000-000087180000}"/>
    <cellStyle name="Normal 2 2 10 12 5 4" xfId="6280" xr:uid="{00000000-0005-0000-0000-000088180000}"/>
    <cellStyle name="Normal 2 2 10 12 5 5" xfId="6281" xr:uid="{00000000-0005-0000-0000-000089180000}"/>
    <cellStyle name="Normal 2 2 10 12 5 6" xfId="6282" xr:uid="{00000000-0005-0000-0000-00008A180000}"/>
    <cellStyle name="Normal 2 2 10 12 5 7" xfId="6283" xr:uid="{00000000-0005-0000-0000-00008B180000}"/>
    <cellStyle name="Normal 2 2 10 12 5 8" xfId="6284" xr:uid="{00000000-0005-0000-0000-00008C180000}"/>
    <cellStyle name="Normal 2 2 10 12 5 9" xfId="6285" xr:uid="{00000000-0005-0000-0000-00008D180000}"/>
    <cellStyle name="Normal 2 2 10 12 6" xfId="6286" xr:uid="{00000000-0005-0000-0000-00008E180000}"/>
    <cellStyle name="Normal 2 2 10 12 7" xfId="6287" xr:uid="{00000000-0005-0000-0000-00008F180000}"/>
    <cellStyle name="Normal 2 2 10 12 8" xfId="6288" xr:uid="{00000000-0005-0000-0000-000090180000}"/>
    <cellStyle name="Normal 2 2 10 12 9" xfId="6289" xr:uid="{00000000-0005-0000-0000-000091180000}"/>
    <cellStyle name="Normal 2 2 10 13" xfId="6290" xr:uid="{00000000-0005-0000-0000-000092180000}"/>
    <cellStyle name="Normal 2 2 10 13 10" xfId="6291" xr:uid="{00000000-0005-0000-0000-000093180000}"/>
    <cellStyle name="Normal 2 2 10 13 11" xfId="6292" xr:uid="{00000000-0005-0000-0000-000094180000}"/>
    <cellStyle name="Normal 2 2 10 13 12" xfId="6293" xr:uid="{00000000-0005-0000-0000-000095180000}"/>
    <cellStyle name="Normal 2 2 10 13 13" xfId="6294" xr:uid="{00000000-0005-0000-0000-000096180000}"/>
    <cellStyle name="Normal 2 2 10 13 14" xfId="6295" xr:uid="{00000000-0005-0000-0000-000097180000}"/>
    <cellStyle name="Normal 2 2 10 13 2" xfId="6296" xr:uid="{00000000-0005-0000-0000-000098180000}"/>
    <cellStyle name="Normal 2 2 10 13 2 10" xfId="6297" xr:uid="{00000000-0005-0000-0000-000099180000}"/>
    <cellStyle name="Normal 2 2 10 13 2 2" xfId="6298" xr:uid="{00000000-0005-0000-0000-00009A180000}"/>
    <cellStyle name="Normal 2 2 10 13 2 3" xfId="6299" xr:uid="{00000000-0005-0000-0000-00009B180000}"/>
    <cellStyle name="Normal 2 2 10 13 2 4" xfId="6300" xr:uid="{00000000-0005-0000-0000-00009C180000}"/>
    <cellStyle name="Normal 2 2 10 13 2 5" xfId="6301" xr:uid="{00000000-0005-0000-0000-00009D180000}"/>
    <cellStyle name="Normal 2 2 10 13 2 6" xfId="6302" xr:uid="{00000000-0005-0000-0000-00009E180000}"/>
    <cellStyle name="Normal 2 2 10 13 2 7" xfId="6303" xr:uid="{00000000-0005-0000-0000-00009F180000}"/>
    <cellStyle name="Normal 2 2 10 13 2 8" xfId="6304" xr:uid="{00000000-0005-0000-0000-0000A0180000}"/>
    <cellStyle name="Normal 2 2 10 13 2 9" xfId="6305" xr:uid="{00000000-0005-0000-0000-0000A1180000}"/>
    <cellStyle name="Normal 2 2 10 13 3" xfId="6306" xr:uid="{00000000-0005-0000-0000-0000A2180000}"/>
    <cellStyle name="Normal 2 2 10 13 3 10" xfId="6307" xr:uid="{00000000-0005-0000-0000-0000A3180000}"/>
    <cellStyle name="Normal 2 2 10 13 3 2" xfId="6308" xr:uid="{00000000-0005-0000-0000-0000A4180000}"/>
    <cellStyle name="Normal 2 2 10 13 3 3" xfId="6309" xr:uid="{00000000-0005-0000-0000-0000A5180000}"/>
    <cellStyle name="Normal 2 2 10 13 3 4" xfId="6310" xr:uid="{00000000-0005-0000-0000-0000A6180000}"/>
    <cellStyle name="Normal 2 2 10 13 3 5" xfId="6311" xr:uid="{00000000-0005-0000-0000-0000A7180000}"/>
    <cellStyle name="Normal 2 2 10 13 3 6" xfId="6312" xr:uid="{00000000-0005-0000-0000-0000A8180000}"/>
    <cellStyle name="Normal 2 2 10 13 3 7" xfId="6313" xr:uid="{00000000-0005-0000-0000-0000A9180000}"/>
    <cellStyle name="Normal 2 2 10 13 3 8" xfId="6314" xr:uid="{00000000-0005-0000-0000-0000AA180000}"/>
    <cellStyle name="Normal 2 2 10 13 3 9" xfId="6315" xr:uid="{00000000-0005-0000-0000-0000AB180000}"/>
    <cellStyle name="Normal 2 2 10 13 4" xfId="6316" xr:uid="{00000000-0005-0000-0000-0000AC180000}"/>
    <cellStyle name="Normal 2 2 10 13 4 10" xfId="6317" xr:uid="{00000000-0005-0000-0000-0000AD180000}"/>
    <cellStyle name="Normal 2 2 10 13 4 2" xfId="6318" xr:uid="{00000000-0005-0000-0000-0000AE180000}"/>
    <cellStyle name="Normal 2 2 10 13 4 3" xfId="6319" xr:uid="{00000000-0005-0000-0000-0000AF180000}"/>
    <cellStyle name="Normal 2 2 10 13 4 4" xfId="6320" xr:uid="{00000000-0005-0000-0000-0000B0180000}"/>
    <cellStyle name="Normal 2 2 10 13 4 5" xfId="6321" xr:uid="{00000000-0005-0000-0000-0000B1180000}"/>
    <cellStyle name="Normal 2 2 10 13 4 6" xfId="6322" xr:uid="{00000000-0005-0000-0000-0000B2180000}"/>
    <cellStyle name="Normal 2 2 10 13 4 7" xfId="6323" xr:uid="{00000000-0005-0000-0000-0000B3180000}"/>
    <cellStyle name="Normal 2 2 10 13 4 8" xfId="6324" xr:uid="{00000000-0005-0000-0000-0000B4180000}"/>
    <cellStyle name="Normal 2 2 10 13 4 9" xfId="6325" xr:uid="{00000000-0005-0000-0000-0000B5180000}"/>
    <cellStyle name="Normal 2 2 10 13 5" xfId="6326" xr:uid="{00000000-0005-0000-0000-0000B6180000}"/>
    <cellStyle name="Normal 2 2 10 13 5 10" xfId="6327" xr:uid="{00000000-0005-0000-0000-0000B7180000}"/>
    <cellStyle name="Normal 2 2 10 13 5 2" xfId="6328" xr:uid="{00000000-0005-0000-0000-0000B8180000}"/>
    <cellStyle name="Normal 2 2 10 13 5 3" xfId="6329" xr:uid="{00000000-0005-0000-0000-0000B9180000}"/>
    <cellStyle name="Normal 2 2 10 13 5 4" xfId="6330" xr:uid="{00000000-0005-0000-0000-0000BA180000}"/>
    <cellStyle name="Normal 2 2 10 13 5 5" xfId="6331" xr:uid="{00000000-0005-0000-0000-0000BB180000}"/>
    <cellStyle name="Normal 2 2 10 13 5 6" xfId="6332" xr:uid="{00000000-0005-0000-0000-0000BC180000}"/>
    <cellStyle name="Normal 2 2 10 13 5 7" xfId="6333" xr:uid="{00000000-0005-0000-0000-0000BD180000}"/>
    <cellStyle name="Normal 2 2 10 13 5 8" xfId="6334" xr:uid="{00000000-0005-0000-0000-0000BE180000}"/>
    <cellStyle name="Normal 2 2 10 13 5 9" xfId="6335" xr:uid="{00000000-0005-0000-0000-0000BF180000}"/>
    <cellStyle name="Normal 2 2 10 13 6" xfId="6336" xr:uid="{00000000-0005-0000-0000-0000C0180000}"/>
    <cellStyle name="Normal 2 2 10 13 7" xfId="6337" xr:uid="{00000000-0005-0000-0000-0000C1180000}"/>
    <cellStyle name="Normal 2 2 10 13 8" xfId="6338" xr:uid="{00000000-0005-0000-0000-0000C2180000}"/>
    <cellStyle name="Normal 2 2 10 13 9" xfId="6339" xr:uid="{00000000-0005-0000-0000-0000C3180000}"/>
    <cellStyle name="Normal 2 2 10 14" xfId="6340" xr:uid="{00000000-0005-0000-0000-0000C4180000}"/>
    <cellStyle name="Normal 2 2 10 14 10" xfId="6341" xr:uid="{00000000-0005-0000-0000-0000C5180000}"/>
    <cellStyle name="Normal 2 2 10 14 11" xfId="6342" xr:uid="{00000000-0005-0000-0000-0000C6180000}"/>
    <cellStyle name="Normal 2 2 10 14 12" xfId="6343" xr:uid="{00000000-0005-0000-0000-0000C7180000}"/>
    <cellStyle name="Normal 2 2 10 14 13" xfId="6344" xr:uid="{00000000-0005-0000-0000-0000C8180000}"/>
    <cellStyle name="Normal 2 2 10 14 14" xfId="6345" xr:uid="{00000000-0005-0000-0000-0000C9180000}"/>
    <cellStyle name="Normal 2 2 10 14 2" xfId="6346" xr:uid="{00000000-0005-0000-0000-0000CA180000}"/>
    <cellStyle name="Normal 2 2 10 14 2 10" xfId="6347" xr:uid="{00000000-0005-0000-0000-0000CB180000}"/>
    <cellStyle name="Normal 2 2 10 14 2 2" xfId="6348" xr:uid="{00000000-0005-0000-0000-0000CC180000}"/>
    <cellStyle name="Normal 2 2 10 14 2 3" xfId="6349" xr:uid="{00000000-0005-0000-0000-0000CD180000}"/>
    <cellStyle name="Normal 2 2 10 14 2 4" xfId="6350" xr:uid="{00000000-0005-0000-0000-0000CE180000}"/>
    <cellStyle name="Normal 2 2 10 14 2 5" xfId="6351" xr:uid="{00000000-0005-0000-0000-0000CF180000}"/>
    <cellStyle name="Normal 2 2 10 14 2 6" xfId="6352" xr:uid="{00000000-0005-0000-0000-0000D0180000}"/>
    <cellStyle name="Normal 2 2 10 14 2 7" xfId="6353" xr:uid="{00000000-0005-0000-0000-0000D1180000}"/>
    <cellStyle name="Normal 2 2 10 14 2 8" xfId="6354" xr:uid="{00000000-0005-0000-0000-0000D2180000}"/>
    <cellStyle name="Normal 2 2 10 14 2 9" xfId="6355" xr:uid="{00000000-0005-0000-0000-0000D3180000}"/>
    <cellStyle name="Normal 2 2 10 14 3" xfId="6356" xr:uid="{00000000-0005-0000-0000-0000D4180000}"/>
    <cellStyle name="Normal 2 2 10 14 3 10" xfId="6357" xr:uid="{00000000-0005-0000-0000-0000D5180000}"/>
    <cellStyle name="Normal 2 2 10 14 3 2" xfId="6358" xr:uid="{00000000-0005-0000-0000-0000D6180000}"/>
    <cellStyle name="Normal 2 2 10 14 3 3" xfId="6359" xr:uid="{00000000-0005-0000-0000-0000D7180000}"/>
    <cellStyle name="Normal 2 2 10 14 3 4" xfId="6360" xr:uid="{00000000-0005-0000-0000-0000D8180000}"/>
    <cellStyle name="Normal 2 2 10 14 3 5" xfId="6361" xr:uid="{00000000-0005-0000-0000-0000D9180000}"/>
    <cellStyle name="Normal 2 2 10 14 3 6" xfId="6362" xr:uid="{00000000-0005-0000-0000-0000DA180000}"/>
    <cellStyle name="Normal 2 2 10 14 3 7" xfId="6363" xr:uid="{00000000-0005-0000-0000-0000DB180000}"/>
    <cellStyle name="Normal 2 2 10 14 3 8" xfId="6364" xr:uid="{00000000-0005-0000-0000-0000DC180000}"/>
    <cellStyle name="Normal 2 2 10 14 3 9" xfId="6365" xr:uid="{00000000-0005-0000-0000-0000DD180000}"/>
    <cellStyle name="Normal 2 2 10 14 4" xfId="6366" xr:uid="{00000000-0005-0000-0000-0000DE180000}"/>
    <cellStyle name="Normal 2 2 10 14 4 10" xfId="6367" xr:uid="{00000000-0005-0000-0000-0000DF180000}"/>
    <cellStyle name="Normal 2 2 10 14 4 2" xfId="6368" xr:uid="{00000000-0005-0000-0000-0000E0180000}"/>
    <cellStyle name="Normal 2 2 10 14 4 3" xfId="6369" xr:uid="{00000000-0005-0000-0000-0000E1180000}"/>
    <cellStyle name="Normal 2 2 10 14 4 4" xfId="6370" xr:uid="{00000000-0005-0000-0000-0000E2180000}"/>
    <cellStyle name="Normal 2 2 10 14 4 5" xfId="6371" xr:uid="{00000000-0005-0000-0000-0000E3180000}"/>
    <cellStyle name="Normal 2 2 10 14 4 6" xfId="6372" xr:uid="{00000000-0005-0000-0000-0000E4180000}"/>
    <cellStyle name="Normal 2 2 10 14 4 7" xfId="6373" xr:uid="{00000000-0005-0000-0000-0000E5180000}"/>
    <cellStyle name="Normal 2 2 10 14 4 8" xfId="6374" xr:uid="{00000000-0005-0000-0000-0000E6180000}"/>
    <cellStyle name="Normal 2 2 10 14 4 9" xfId="6375" xr:uid="{00000000-0005-0000-0000-0000E7180000}"/>
    <cellStyle name="Normal 2 2 10 14 5" xfId="6376" xr:uid="{00000000-0005-0000-0000-0000E8180000}"/>
    <cellStyle name="Normal 2 2 10 14 5 10" xfId="6377" xr:uid="{00000000-0005-0000-0000-0000E9180000}"/>
    <cellStyle name="Normal 2 2 10 14 5 2" xfId="6378" xr:uid="{00000000-0005-0000-0000-0000EA180000}"/>
    <cellStyle name="Normal 2 2 10 14 5 3" xfId="6379" xr:uid="{00000000-0005-0000-0000-0000EB180000}"/>
    <cellStyle name="Normal 2 2 10 14 5 4" xfId="6380" xr:uid="{00000000-0005-0000-0000-0000EC180000}"/>
    <cellStyle name="Normal 2 2 10 14 5 5" xfId="6381" xr:uid="{00000000-0005-0000-0000-0000ED180000}"/>
    <cellStyle name="Normal 2 2 10 14 5 6" xfId="6382" xr:uid="{00000000-0005-0000-0000-0000EE180000}"/>
    <cellStyle name="Normal 2 2 10 14 5 7" xfId="6383" xr:uid="{00000000-0005-0000-0000-0000EF180000}"/>
    <cellStyle name="Normal 2 2 10 14 5 8" xfId="6384" xr:uid="{00000000-0005-0000-0000-0000F0180000}"/>
    <cellStyle name="Normal 2 2 10 14 5 9" xfId="6385" xr:uid="{00000000-0005-0000-0000-0000F1180000}"/>
    <cellStyle name="Normal 2 2 10 14 6" xfId="6386" xr:uid="{00000000-0005-0000-0000-0000F2180000}"/>
    <cellStyle name="Normal 2 2 10 14 7" xfId="6387" xr:uid="{00000000-0005-0000-0000-0000F3180000}"/>
    <cellStyle name="Normal 2 2 10 14 8" xfId="6388" xr:uid="{00000000-0005-0000-0000-0000F4180000}"/>
    <cellStyle name="Normal 2 2 10 14 9" xfId="6389" xr:uid="{00000000-0005-0000-0000-0000F5180000}"/>
    <cellStyle name="Normal 2 2 10 15" xfId="6390" xr:uid="{00000000-0005-0000-0000-0000F6180000}"/>
    <cellStyle name="Normal 2 2 10 15 10" xfId="6391" xr:uid="{00000000-0005-0000-0000-0000F7180000}"/>
    <cellStyle name="Normal 2 2 10 15 11" xfId="6392" xr:uid="{00000000-0005-0000-0000-0000F8180000}"/>
    <cellStyle name="Normal 2 2 10 15 12" xfId="6393" xr:uid="{00000000-0005-0000-0000-0000F9180000}"/>
    <cellStyle name="Normal 2 2 10 15 13" xfId="6394" xr:uid="{00000000-0005-0000-0000-0000FA180000}"/>
    <cellStyle name="Normal 2 2 10 15 14" xfId="6395" xr:uid="{00000000-0005-0000-0000-0000FB180000}"/>
    <cellStyle name="Normal 2 2 10 15 2" xfId="6396" xr:uid="{00000000-0005-0000-0000-0000FC180000}"/>
    <cellStyle name="Normal 2 2 10 15 2 10" xfId="6397" xr:uid="{00000000-0005-0000-0000-0000FD180000}"/>
    <cellStyle name="Normal 2 2 10 15 2 2" xfId="6398" xr:uid="{00000000-0005-0000-0000-0000FE180000}"/>
    <cellStyle name="Normal 2 2 10 15 2 3" xfId="6399" xr:uid="{00000000-0005-0000-0000-0000FF180000}"/>
    <cellStyle name="Normal 2 2 10 15 2 4" xfId="6400" xr:uid="{00000000-0005-0000-0000-000000190000}"/>
    <cellStyle name="Normal 2 2 10 15 2 5" xfId="6401" xr:uid="{00000000-0005-0000-0000-000001190000}"/>
    <cellStyle name="Normal 2 2 10 15 2 6" xfId="6402" xr:uid="{00000000-0005-0000-0000-000002190000}"/>
    <cellStyle name="Normal 2 2 10 15 2 7" xfId="6403" xr:uid="{00000000-0005-0000-0000-000003190000}"/>
    <cellStyle name="Normal 2 2 10 15 2 8" xfId="6404" xr:uid="{00000000-0005-0000-0000-000004190000}"/>
    <cellStyle name="Normal 2 2 10 15 2 9" xfId="6405" xr:uid="{00000000-0005-0000-0000-000005190000}"/>
    <cellStyle name="Normal 2 2 10 15 3" xfId="6406" xr:uid="{00000000-0005-0000-0000-000006190000}"/>
    <cellStyle name="Normal 2 2 10 15 3 10" xfId="6407" xr:uid="{00000000-0005-0000-0000-000007190000}"/>
    <cellStyle name="Normal 2 2 10 15 3 2" xfId="6408" xr:uid="{00000000-0005-0000-0000-000008190000}"/>
    <cellStyle name="Normal 2 2 10 15 3 3" xfId="6409" xr:uid="{00000000-0005-0000-0000-000009190000}"/>
    <cellStyle name="Normal 2 2 10 15 3 4" xfId="6410" xr:uid="{00000000-0005-0000-0000-00000A190000}"/>
    <cellStyle name="Normal 2 2 10 15 3 5" xfId="6411" xr:uid="{00000000-0005-0000-0000-00000B190000}"/>
    <cellStyle name="Normal 2 2 10 15 3 6" xfId="6412" xr:uid="{00000000-0005-0000-0000-00000C190000}"/>
    <cellStyle name="Normal 2 2 10 15 3 7" xfId="6413" xr:uid="{00000000-0005-0000-0000-00000D190000}"/>
    <cellStyle name="Normal 2 2 10 15 3 8" xfId="6414" xr:uid="{00000000-0005-0000-0000-00000E190000}"/>
    <cellStyle name="Normal 2 2 10 15 3 9" xfId="6415" xr:uid="{00000000-0005-0000-0000-00000F190000}"/>
    <cellStyle name="Normal 2 2 10 15 4" xfId="6416" xr:uid="{00000000-0005-0000-0000-000010190000}"/>
    <cellStyle name="Normal 2 2 10 15 4 10" xfId="6417" xr:uid="{00000000-0005-0000-0000-000011190000}"/>
    <cellStyle name="Normal 2 2 10 15 4 2" xfId="6418" xr:uid="{00000000-0005-0000-0000-000012190000}"/>
    <cellStyle name="Normal 2 2 10 15 4 3" xfId="6419" xr:uid="{00000000-0005-0000-0000-000013190000}"/>
    <cellStyle name="Normal 2 2 10 15 4 4" xfId="6420" xr:uid="{00000000-0005-0000-0000-000014190000}"/>
    <cellStyle name="Normal 2 2 10 15 4 5" xfId="6421" xr:uid="{00000000-0005-0000-0000-000015190000}"/>
    <cellStyle name="Normal 2 2 10 15 4 6" xfId="6422" xr:uid="{00000000-0005-0000-0000-000016190000}"/>
    <cellStyle name="Normal 2 2 10 15 4 7" xfId="6423" xr:uid="{00000000-0005-0000-0000-000017190000}"/>
    <cellStyle name="Normal 2 2 10 15 4 8" xfId="6424" xr:uid="{00000000-0005-0000-0000-000018190000}"/>
    <cellStyle name="Normal 2 2 10 15 4 9" xfId="6425" xr:uid="{00000000-0005-0000-0000-000019190000}"/>
    <cellStyle name="Normal 2 2 10 15 5" xfId="6426" xr:uid="{00000000-0005-0000-0000-00001A190000}"/>
    <cellStyle name="Normal 2 2 10 15 5 10" xfId="6427" xr:uid="{00000000-0005-0000-0000-00001B190000}"/>
    <cellStyle name="Normal 2 2 10 15 5 2" xfId="6428" xr:uid="{00000000-0005-0000-0000-00001C190000}"/>
    <cellStyle name="Normal 2 2 10 15 5 3" xfId="6429" xr:uid="{00000000-0005-0000-0000-00001D190000}"/>
    <cellStyle name="Normal 2 2 10 15 5 4" xfId="6430" xr:uid="{00000000-0005-0000-0000-00001E190000}"/>
    <cellStyle name="Normal 2 2 10 15 5 5" xfId="6431" xr:uid="{00000000-0005-0000-0000-00001F190000}"/>
    <cellStyle name="Normal 2 2 10 15 5 6" xfId="6432" xr:uid="{00000000-0005-0000-0000-000020190000}"/>
    <cellStyle name="Normal 2 2 10 15 5 7" xfId="6433" xr:uid="{00000000-0005-0000-0000-000021190000}"/>
    <cellStyle name="Normal 2 2 10 15 5 8" xfId="6434" xr:uid="{00000000-0005-0000-0000-000022190000}"/>
    <cellStyle name="Normal 2 2 10 15 5 9" xfId="6435" xr:uid="{00000000-0005-0000-0000-000023190000}"/>
    <cellStyle name="Normal 2 2 10 15 6" xfId="6436" xr:uid="{00000000-0005-0000-0000-000024190000}"/>
    <cellStyle name="Normal 2 2 10 15 7" xfId="6437" xr:uid="{00000000-0005-0000-0000-000025190000}"/>
    <cellStyle name="Normal 2 2 10 15 8" xfId="6438" xr:uid="{00000000-0005-0000-0000-000026190000}"/>
    <cellStyle name="Normal 2 2 10 15 9" xfId="6439" xr:uid="{00000000-0005-0000-0000-000027190000}"/>
    <cellStyle name="Normal 2 2 10 16" xfId="6440" xr:uid="{00000000-0005-0000-0000-000028190000}"/>
    <cellStyle name="Normal 2 2 10 16 10" xfId="6441" xr:uid="{00000000-0005-0000-0000-000029190000}"/>
    <cellStyle name="Normal 2 2 10 16 11" xfId="6442" xr:uid="{00000000-0005-0000-0000-00002A190000}"/>
    <cellStyle name="Normal 2 2 10 16 12" xfId="6443" xr:uid="{00000000-0005-0000-0000-00002B190000}"/>
    <cellStyle name="Normal 2 2 10 16 13" xfId="6444" xr:uid="{00000000-0005-0000-0000-00002C190000}"/>
    <cellStyle name="Normal 2 2 10 16 14" xfId="6445" xr:uid="{00000000-0005-0000-0000-00002D190000}"/>
    <cellStyle name="Normal 2 2 10 16 2" xfId="6446" xr:uid="{00000000-0005-0000-0000-00002E190000}"/>
    <cellStyle name="Normal 2 2 10 16 2 10" xfId="6447" xr:uid="{00000000-0005-0000-0000-00002F190000}"/>
    <cellStyle name="Normal 2 2 10 16 2 2" xfId="6448" xr:uid="{00000000-0005-0000-0000-000030190000}"/>
    <cellStyle name="Normal 2 2 10 16 2 3" xfId="6449" xr:uid="{00000000-0005-0000-0000-000031190000}"/>
    <cellStyle name="Normal 2 2 10 16 2 4" xfId="6450" xr:uid="{00000000-0005-0000-0000-000032190000}"/>
    <cellStyle name="Normal 2 2 10 16 2 5" xfId="6451" xr:uid="{00000000-0005-0000-0000-000033190000}"/>
    <cellStyle name="Normal 2 2 10 16 2 6" xfId="6452" xr:uid="{00000000-0005-0000-0000-000034190000}"/>
    <cellStyle name="Normal 2 2 10 16 2 7" xfId="6453" xr:uid="{00000000-0005-0000-0000-000035190000}"/>
    <cellStyle name="Normal 2 2 10 16 2 8" xfId="6454" xr:uid="{00000000-0005-0000-0000-000036190000}"/>
    <cellStyle name="Normal 2 2 10 16 2 9" xfId="6455" xr:uid="{00000000-0005-0000-0000-000037190000}"/>
    <cellStyle name="Normal 2 2 10 16 3" xfId="6456" xr:uid="{00000000-0005-0000-0000-000038190000}"/>
    <cellStyle name="Normal 2 2 10 16 3 10" xfId="6457" xr:uid="{00000000-0005-0000-0000-000039190000}"/>
    <cellStyle name="Normal 2 2 10 16 3 2" xfId="6458" xr:uid="{00000000-0005-0000-0000-00003A190000}"/>
    <cellStyle name="Normal 2 2 10 16 3 3" xfId="6459" xr:uid="{00000000-0005-0000-0000-00003B190000}"/>
    <cellStyle name="Normal 2 2 10 16 3 4" xfId="6460" xr:uid="{00000000-0005-0000-0000-00003C190000}"/>
    <cellStyle name="Normal 2 2 10 16 3 5" xfId="6461" xr:uid="{00000000-0005-0000-0000-00003D190000}"/>
    <cellStyle name="Normal 2 2 10 16 3 6" xfId="6462" xr:uid="{00000000-0005-0000-0000-00003E190000}"/>
    <cellStyle name="Normal 2 2 10 16 3 7" xfId="6463" xr:uid="{00000000-0005-0000-0000-00003F190000}"/>
    <cellStyle name="Normal 2 2 10 16 3 8" xfId="6464" xr:uid="{00000000-0005-0000-0000-000040190000}"/>
    <cellStyle name="Normal 2 2 10 16 3 9" xfId="6465" xr:uid="{00000000-0005-0000-0000-000041190000}"/>
    <cellStyle name="Normal 2 2 10 16 4" xfId="6466" xr:uid="{00000000-0005-0000-0000-000042190000}"/>
    <cellStyle name="Normal 2 2 10 16 4 10" xfId="6467" xr:uid="{00000000-0005-0000-0000-000043190000}"/>
    <cellStyle name="Normal 2 2 10 16 4 2" xfId="6468" xr:uid="{00000000-0005-0000-0000-000044190000}"/>
    <cellStyle name="Normal 2 2 10 16 4 3" xfId="6469" xr:uid="{00000000-0005-0000-0000-000045190000}"/>
    <cellStyle name="Normal 2 2 10 16 4 4" xfId="6470" xr:uid="{00000000-0005-0000-0000-000046190000}"/>
    <cellStyle name="Normal 2 2 10 16 4 5" xfId="6471" xr:uid="{00000000-0005-0000-0000-000047190000}"/>
    <cellStyle name="Normal 2 2 10 16 4 6" xfId="6472" xr:uid="{00000000-0005-0000-0000-000048190000}"/>
    <cellStyle name="Normal 2 2 10 16 4 7" xfId="6473" xr:uid="{00000000-0005-0000-0000-000049190000}"/>
    <cellStyle name="Normal 2 2 10 16 4 8" xfId="6474" xr:uid="{00000000-0005-0000-0000-00004A190000}"/>
    <cellStyle name="Normal 2 2 10 16 4 9" xfId="6475" xr:uid="{00000000-0005-0000-0000-00004B190000}"/>
    <cellStyle name="Normal 2 2 10 16 5" xfId="6476" xr:uid="{00000000-0005-0000-0000-00004C190000}"/>
    <cellStyle name="Normal 2 2 10 16 5 10" xfId="6477" xr:uid="{00000000-0005-0000-0000-00004D190000}"/>
    <cellStyle name="Normal 2 2 10 16 5 2" xfId="6478" xr:uid="{00000000-0005-0000-0000-00004E190000}"/>
    <cellStyle name="Normal 2 2 10 16 5 3" xfId="6479" xr:uid="{00000000-0005-0000-0000-00004F190000}"/>
    <cellStyle name="Normal 2 2 10 16 5 4" xfId="6480" xr:uid="{00000000-0005-0000-0000-000050190000}"/>
    <cellStyle name="Normal 2 2 10 16 5 5" xfId="6481" xr:uid="{00000000-0005-0000-0000-000051190000}"/>
    <cellStyle name="Normal 2 2 10 16 5 6" xfId="6482" xr:uid="{00000000-0005-0000-0000-000052190000}"/>
    <cellStyle name="Normal 2 2 10 16 5 7" xfId="6483" xr:uid="{00000000-0005-0000-0000-000053190000}"/>
    <cellStyle name="Normal 2 2 10 16 5 8" xfId="6484" xr:uid="{00000000-0005-0000-0000-000054190000}"/>
    <cellStyle name="Normal 2 2 10 16 5 9" xfId="6485" xr:uid="{00000000-0005-0000-0000-000055190000}"/>
    <cellStyle name="Normal 2 2 10 16 6" xfId="6486" xr:uid="{00000000-0005-0000-0000-000056190000}"/>
    <cellStyle name="Normal 2 2 10 16 7" xfId="6487" xr:uid="{00000000-0005-0000-0000-000057190000}"/>
    <cellStyle name="Normal 2 2 10 16 8" xfId="6488" xr:uid="{00000000-0005-0000-0000-000058190000}"/>
    <cellStyle name="Normal 2 2 10 16 9" xfId="6489" xr:uid="{00000000-0005-0000-0000-000059190000}"/>
    <cellStyle name="Normal 2 2 10 17" xfId="6490" xr:uid="{00000000-0005-0000-0000-00005A190000}"/>
    <cellStyle name="Normal 2 2 10 17 10" xfId="6491" xr:uid="{00000000-0005-0000-0000-00005B190000}"/>
    <cellStyle name="Normal 2 2 10 17 11" xfId="6492" xr:uid="{00000000-0005-0000-0000-00005C190000}"/>
    <cellStyle name="Normal 2 2 10 17 12" xfId="6493" xr:uid="{00000000-0005-0000-0000-00005D190000}"/>
    <cellStyle name="Normal 2 2 10 17 13" xfId="6494" xr:uid="{00000000-0005-0000-0000-00005E190000}"/>
    <cellStyle name="Normal 2 2 10 17 14" xfId="6495" xr:uid="{00000000-0005-0000-0000-00005F190000}"/>
    <cellStyle name="Normal 2 2 10 17 2" xfId="6496" xr:uid="{00000000-0005-0000-0000-000060190000}"/>
    <cellStyle name="Normal 2 2 10 17 2 10" xfId="6497" xr:uid="{00000000-0005-0000-0000-000061190000}"/>
    <cellStyle name="Normal 2 2 10 17 2 2" xfId="6498" xr:uid="{00000000-0005-0000-0000-000062190000}"/>
    <cellStyle name="Normal 2 2 10 17 2 3" xfId="6499" xr:uid="{00000000-0005-0000-0000-000063190000}"/>
    <cellStyle name="Normal 2 2 10 17 2 4" xfId="6500" xr:uid="{00000000-0005-0000-0000-000064190000}"/>
    <cellStyle name="Normal 2 2 10 17 2 5" xfId="6501" xr:uid="{00000000-0005-0000-0000-000065190000}"/>
    <cellStyle name="Normal 2 2 10 17 2 6" xfId="6502" xr:uid="{00000000-0005-0000-0000-000066190000}"/>
    <cellStyle name="Normal 2 2 10 17 2 7" xfId="6503" xr:uid="{00000000-0005-0000-0000-000067190000}"/>
    <cellStyle name="Normal 2 2 10 17 2 8" xfId="6504" xr:uid="{00000000-0005-0000-0000-000068190000}"/>
    <cellStyle name="Normal 2 2 10 17 2 9" xfId="6505" xr:uid="{00000000-0005-0000-0000-000069190000}"/>
    <cellStyle name="Normal 2 2 10 17 3" xfId="6506" xr:uid="{00000000-0005-0000-0000-00006A190000}"/>
    <cellStyle name="Normal 2 2 10 17 3 10" xfId="6507" xr:uid="{00000000-0005-0000-0000-00006B190000}"/>
    <cellStyle name="Normal 2 2 10 17 3 2" xfId="6508" xr:uid="{00000000-0005-0000-0000-00006C190000}"/>
    <cellStyle name="Normal 2 2 10 17 3 3" xfId="6509" xr:uid="{00000000-0005-0000-0000-00006D190000}"/>
    <cellStyle name="Normal 2 2 10 17 3 4" xfId="6510" xr:uid="{00000000-0005-0000-0000-00006E190000}"/>
    <cellStyle name="Normal 2 2 10 17 3 5" xfId="6511" xr:uid="{00000000-0005-0000-0000-00006F190000}"/>
    <cellStyle name="Normal 2 2 10 17 3 6" xfId="6512" xr:uid="{00000000-0005-0000-0000-000070190000}"/>
    <cellStyle name="Normal 2 2 10 17 3 7" xfId="6513" xr:uid="{00000000-0005-0000-0000-000071190000}"/>
    <cellStyle name="Normal 2 2 10 17 3 8" xfId="6514" xr:uid="{00000000-0005-0000-0000-000072190000}"/>
    <cellStyle name="Normal 2 2 10 17 3 9" xfId="6515" xr:uid="{00000000-0005-0000-0000-000073190000}"/>
    <cellStyle name="Normal 2 2 10 17 4" xfId="6516" xr:uid="{00000000-0005-0000-0000-000074190000}"/>
    <cellStyle name="Normal 2 2 10 17 4 10" xfId="6517" xr:uid="{00000000-0005-0000-0000-000075190000}"/>
    <cellStyle name="Normal 2 2 10 17 4 2" xfId="6518" xr:uid="{00000000-0005-0000-0000-000076190000}"/>
    <cellStyle name="Normal 2 2 10 17 4 3" xfId="6519" xr:uid="{00000000-0005-0000-0000-000077190000}"/>
    <cellStyle name="Normal 2 2 10 17 4 4" xfId="6520" xr:uid="{00000000-0005-0000-0000-000078190000}"/>
    <cellStyle name="Normal 2 2 10 17 4 5" xfId="6521" xr:uid="{00000000-0005-0000-0000-000079190000}"/>
    <cellStyle name="Normal 2 2 10 17 4 6" xfId="6522" xr:uid="{00000000-0005-0000-0000-00007A190000}"/>
    <cellStyle name="Normal 2 2 10 17 4 7" xfId="6523" xr:uid="{00000000-0005-0000-0000-00007B190000}"/>
    <cellStyle name="Normal 2 2 10 17 4 8" xfId="6524" xr:uid="{00000000-0005-0000-0000-00007C190000}"/>
    <cellStyle name="Normal 2 2 10 17 4 9" xfId="6525" xr:uid="{00000000-0005-0000-0000-00007D190000}"/>
    <cellStyle name="Normal 2 2 10 17 5" xfId="6526" xr:uid="{00000000-0005-0000-0000-00007E190000}"/>
    <cellStyle name="Normal 2 2 10 17 5 10" xfId="6527" xr:uid="{00000000-0005-0000-0000-00007F190000}"/>
    <cellStyle name="Normal 2 2 10 17 5 2" xfId="6528" xr:uid="{00000000-0005-0000-0000-000080190000}"/>
    <cellStyle name="Normal 2 2 10 17 5 3" xfId="6529" xr:uid="{00000000-0005-0000-0000-000081190000}"/>
    <cellStyle name="Normal 2 2 10 17 5 4" xfId="6530" xr:uid="{00000000-0005-0000-0000-000082190000}"/>
    <cellStyle name="Normal 2 2 10 17 5 5" xfId="6531" xr:uid="{00000000-0005-0000-0000-000083190000}"/>
    <cellStyle name="Normal 2 2 10 17 5 6" xfId="6532" xr:uid="{00000000-0005-0000-0000-000084190000}"/>
    <cellStyle name="Normal 2 2 10 17 5 7" xfId="6533" xr:uid="{00000000-0005-0000-0000-000085190000}"/>
    <cellStyle name="Normal 2 2 10 17 5 8" xfId="6534" xr:uid="{00000000-0005-0000-0000-000086190000}"/>
    <cellStyle name="Normal 2 2 10 17 5 9" xfId="6535" xr:uid="{00000000-0005-0000-0000-000087190000}"/>
    <cellStyle name="Normal 2 2 10 17 6" xfId="6536" xr:uid="{00000000-0005-0000-0000-000088190000}"/>
    <cellStyle name="Normal 2 2 10 17 7" xfId="6537" xr:uid="{00000000-0005-0000-0000-000089190000}"/>
    <cellStyle name="Normal 2 2 10 17 8" xfId="6538" xr:uid="{00000000-0005-0000-0000-00008A190000}"/>
    <cellStyle name="Normal 2 2 10 17 9" xfId="6539" xr:uid="{00000000-0005-0000-0000-00008B190000}"/>
    <cellStyle name="Normal 2 2 10 18" xfId="6540" xr:uid="{00000000-0005-0000-0000-00008C190000}"/>
    <cellStyle name="Normal 2 2 10 18 10" xfId="6541" xr:uid="{00000000-0005-0000-0000-00008D190000}"/>
    <cellStyle name="Normal 2 2 10 18 11" xfId="6542" xr:uid="{00000000-0005-0000-0000-00008E190000}"/>
    <cellStyle name="Normal 2 2 10 18 12" xfId="6543" xr:uid="{00000000-0005-0000-0000-00008F190000}"/>
    <cellStyle name="Normal 2 2 10 18 13" xfId="6544" xr:uid="{00000000-0005-0000-0000-000090190000}"/>
    <cellStyle name="Normal 2 2 10 18 14" xfId="6545" xr:uid="{00000000-0005-0000-0000-000091190000}"/>
    <cellStyle name="Normal 2 2 10 18 2" xfId="6546" xr:uid="{00000000-0005-0000-0000-000092190000}"/>
    <cellStyle name="Normal 2 2 10 18 2 10" xfId="6547" xr:uid="{00000000-0005-0000-0000-000093190000}"/>
    <cellStyle name="Normal 2 2 10 18 2 2" xfId="6548" xr:uid="{00000000-0005-0000-0000-000094190000}"/>
    <cellStyle name="Normal 2 2 10 18 2 3" xfId="6549" xr:uid="{00000000-0005-0000-0000-000095190000}"/>
    <cellStyle name="Normal 2 2 10 18 2 4" xfId="6550" xr:uid="{00000000-0005-0000-0000-000096190000}"/>
    <cellStyle name="Normal 2 2 10 18 2 5" xfId="6551" xr:uid="{00000000-0005-0000-0000-000097190000}"/>
    <cellStyle name="Normal 2 2 10 18 2 6" xfId="6552" xr:uid="{00000000-0005-0000-0000-000098190000}"/>
    <cellStyle name="Normal 2 2 10 18 2 7" xfId="6553" xr:uid="{00000000-0005-0000-0000-000099190000}"/>
    <cellStyle name="Normal 2 2 10 18 2 8" xfId="6554" xr:uid="{00000000-0005-0000-0000-00009A190000}"/>
    <cellStyle name="Normal 2 2 10 18 2 9" xfId="6555" xr:uid="{00000000-0005-0000-0000-00009B190000}"/>
    <cellStyle name="Normal 2 2 10 18 3" xfId="6556" xr:uid="{00000000-0005-0000-0000-00009C190000}"/>
    <cellStyle name="Normal 2 2 10 18 3 10" xfId="6557" xr:uid="{00000000-0005-0000-0000-00009D190000}"/>
    <cellStyle name="Normal 2 2 10 18 3 2" xfId="6558" xr:uid="{00000000-0005-0000-0000-00009E190000}"/>
    <cellStyle name="Normal 2 2 10 18 3 3" xfId="6559" xr:uid="{00000000-0005-0000-0000-00009F190000}"/>
    <cellStyle name="Normal 2 2 10 18 3 4" xfId="6560" xr:uid="{00000000-0005-0000-0000-0000A0190000}"/>
    <cellStyle name="Normal 2 2 10 18 3 5" xfId="6561" xr:uid="{00000000-0005-0000-0000-0000A1190000}"/>
    <cellStyle name="Normal 2 2 10 18 3 6" xfId="6562" xr:uid="{00000000-0005-0000-0000-0000A2190000}"/>
    <cellStyle name="Normal 2 2 10 18 3 7" xfId="6563" xr:uid="{00000000-0005-0000-0000-0000A3190000}"/>
    <cellStyle name="Normal 2 2 10 18 3 8" xfId="6564" xr:uid="{00000000-0005-0000-0000-0000A4190000}"/>
    <cellStyle name="Normal 2 2 10 18 3 9" xfId="6565" xr:uid="{00000000-0005-0000-0000-0000A5190000}"/>
    <cellStyle name="Normal 2 2 10 18 4" xfId="6566" xr:uid="{00000000-0005-0000-0000-0000A6190000}"/>
    <cellStyle name="Normal 2 2 10 18 4 10" xfId="6567" xr:uid="{00000000-0005-0000-0000-0000A7190000}"/>
    <cellStyle name="Normal 2 2 10 18 4 2" xfId="6568" xr:uid="{00000000-0005-0000-0000-0000A8190000}"/>
    <cellStyle name="Normal 2 2 10 18 4 3" xfId="6569" xr:uid="{00000000-0005-0000-0000-0000A9190000}"/>
    <cellStyle name="Normal 2 2 10 18 4 4" xfId="6570" xr:uid="{00000000-0005-0000-0000-0000AA190000}"/>
    <cellStyle name="Normal 2 2 10 18 4 5" xfId="6571" xr:uid="{00000000-0005-0000-0000-0000AB190000}"/>
    <cellStyle name="Normal 2 2 10 18 4 6" xfId="6572" xr:uid="{00000000-0005-0000-0000-0000AC190000}"/>
    <cellStyle name="Normal 2 2 10 18 4 7" xfId="6573" xr:uid="{00000000-0005-0000-0000-0000AD190000}"/>
    <cellStyle name="Normal 2 2 10 18 4 8" xfId="6574" xr:uid="{00000000-0005-0000-0000-0000AE190000}"/>
    <cellStyle name="Normal 2 2 10 18 4 9" xfId="6575" xr:uid="{00000000-0005-0000-0000-0000AF190000}"/>
    <cellStyle name="Normal 2 2 10 18 5" xfId="6576" xr:uid="{00000000-0005-0000-0000-0000B0190000}"/>
    <cellStyle name="Normal 2 2 10 18 5 10" xfId="6577" xr:uid="{00000000-0005-0000-0000-0000B1190000}"/>
    <cellStyle name="Normal 2 2 10 18 5 2" xfId="6578" xr:uid="{00000000-0005-0000-0000-0000B2190000}"/>
    <cellStyle name="Normal 2 2 10 18 5 3" xfId="6579" xr:uid="{00000000-0005-0000-0000-0000B3190000}"/>
    <cellStyle name="Normal 2 2 10 18 5 4" xfId="6580" xr:uid="{00000000-0005-0000-0000-0000B4190000}"/>
    <cellStyle name="Normal 2 2 10 18 5 5" xfId="6581" xr:uid="{00000000-0005-0000-0000-0000B5190000}"/>
    <cellStyle name="Normal 2 2 10 18 5 6" xfId="6582" xr:uid="{00000000-0005-0000-0000-0000B6190000}"/>
    <cellStyle name="Normal 2 2 10 18 5 7" xfId="6583" xr:uid="{00000000-0005-0000-0000-0000B7190000}"/>
    <cellStyle name="Normal 2 2 10 18 5 8" xfId="6584" xr:uid="{00000000-0005-0000-0000-0000B8190000}"/>
    <cellStyle name="Normal 2 2 10 18 5 9" xfId="6585" xr:uid="{00000000-0005-0000-0000-0000B9190000}"/>
    <cellStyle name="Normal 2 2 10 18 6" xfId="6586" xr:uid="{00000000-0005-0000-0000-0000BA190000}"/>
    <cellStyle name="Normal 2 2 10 18 7" xfId="6587" xr:uid="{00000000-0005-0000-0000-0000BB190000}"/>
    <cellStyle name="Normal 2 2 10 18 8" xfId="6588" xr:uid="{00000000-0005-0000-0000-0000BC190000}"/>
    <cellStyle name="Normal 2 2 10 18 9" xfId="6589" xr:uid="{00000000-0005-0000-0000-0000BD190000}"/>
    <cellStyle name="Normal 2 2 10 19" xfId="6590" xr:uid="{00000000-0005-0000-0000-0000BE190000}"/>
    <cellStyle name="Normal 2 2 10 19 10" xfId="6591" xr:uid="{00000000-0005-0000-0000-0000BF190000}"/>
    <cellStyle name="Normal 2 2 10 19 11" xfId="6592" xr:uid="{00000000-0005-0000-0000-0000C0190000}"/>
    <cellStyle name="Normal 2 2 10 19 12" xfId="6593" xr:uid="{00000000-0005-0000-0000-0000C1190000}"/>
    <cellStyle name="Normal 2 2 10 19 13" xfId="6594" xr:uid="{00000000-0005-0000-0000-0000C2190000}"/>
    <cellStyle name="Normal 2 2 10 19 14" xfId="6595" xr:uid="{00000000-0005-0000-0000-0000C3190000}"/>
    <cellStyle name="Normal 2 2 10 19 2" xfId="6596" xr:uid="{00000000-0005-0000-0000-0000C4190000}"/>
    <cellStyle name="Normal 2 2 10 19 2 10" xfId="6597" xr:uid="{00000000-0005-0000-0000-0000C5190000}"/>
    <cellStyle name="Normal 2 2 10 19 2 2" xfId="6598" xr:uid="{00000000-0005-0000-0000-0000C6190000}"/>
    <cellStyle name="Normal 2 2 10 19 2 3" xfId="6599" xr:uid="{00000000-0005-0000-0000-0000C7190000}"/>
    <cellStyle name="Normal 2 2 10 19 2 4" xfId="6600" xr:uid="{00000000-0005-0000-0000-0000C8190000}"/>
    <cellStyle name="Normal 2 2 10 19 2 5" xfId="6601" xr:uid="{00000000-0005-0000-0000-0000C9190000}"/>
    <cellStyle name="Normal 2 2 10 19 2 6" xfId="6602" xr:uid="{00000000-0005-0000-0000-0000CA190000}"/>
    <cellStyle name="Normal 2 2 10 19 2 7" xfId="6603" xr:uid="{00000000-0005-0000-0000-0000CB190000}"/>
    <cellStyle name="Normal 2 2 10 19 2 8" xfId="6604" xr:uid="{00000000-0005-0000-0000-0000CC190000}"/>
    <cellStyle name="Normal 2 2 10 19 2 9" xfId="6605" xr:uid="{00000000-0005-0000-0000-0000CD190000}"/>
    <cellStyle name="Normal 2 2 10 19 3" xfId="6606" xr:uid="{00000000-0005-0000-0000-0000CE190000}"/>
    <cellStyle name="Normal 2 2 10 19 3 10" xfId="6607" xr:uid="{00000000-0005-0000-0000-0000CF190000}"/>
    <cellStyle name="Normal 2 2 10 19 3 2" xfId="6608" xr:uid="{00000000-0005-0000-0000-0000D0190000}"/>
    <cellStyle name="Normal 2 2 10 19 3 3" xfId="6609" xr:uid="{00000000-0005-0000-0000-0000D1190000}"/>
    <cellStyle name="Normal 2 2 10 19 3 4" xfId="6610" xr:uid="{00000000-0005-0000-0000-0000D2190000}"/>
    <cellStyle name="Normal 2 2 10 19 3 5" xfId="6611" xr:uid="{00000000-0005-0000-0000-0000D3190000}"/>
    <cellStyle name="Normal 2 2 10 19 3 6" xfId="6612" xr:uid="{00000000-0005-0000-0000-0000D4190000}"/>
    <cellStyle name="Normal 2 2 10 19 3 7" xfId="6613" xr:uid="{00000000-0005-0000-0000-0000D5190000}"/>
    <cellStyle name="Normal 2 2 10 19 3 8" xfId="6614" xr:uid="{00000000-0005-0000-0000-0000D6190000}"/>
    <cellStyle name="Normal 2 2 10 19 3 9" xfId="6615" xr:uid="{00000000-0005-0000-0000-0000D7190000}"/>
    <cellStyle name="Normal 2 2 10 19 4" xfId="6616" xr:uid="{00000000-0005-0000-0000-0000D8190000}"/>
    <cellStyle name="Normal 2 2 10 19 4 10" xfId="6617" xr:uid="{00000000-0005-0000-0000-0000D9190000}"/>
    <cellStyle name="Normal 2 2 10 19 4 2" xfId="6618" xr:uid="{00000000-0005-0000-0000-0000DA190000}"/>
    <cellStyle name="Normal 2 2 10 19 4 3" xfId="6619" xr:uid="{00000000-0005-0000-0000-0000DB190000}"/>
    <cellStyle name="Normal 2 2 10 19 4 4" xfId="6620" xr:uid="{00000000-0005-0000-0000-0000DC190000}"/>
    <cellStyle name="Normal 2 2 10 19 4 5" xfId="6621" xr:uid="{00000000-0005-0000-0000-0000DD190000}"/>
    <cellStyle name="Normal 2 2 10 19 4 6" xfId="6622" xr:uid="{00000000-0005-0000-0000-0000DE190000}"/>
    <cellStyle name="Normal 2 2 10 19 4 7" xfId="6623" xr:uid="{00000000-0005-0000-0000-0000DF190000}"/>
    <cellStyle name="Normal 2 2 10 19 4 8" xfId="6624" xr:uid="{00000000-0005-0000-0000-0000E0190000}"/>
    <cellStyle name="Normal 2 2 10 19 4 9" xfId="6625" xr:uid="{00000000-0005-0000-0000-0000E1190000}"/>
    <cellStyle name="Normal 2 2 10 19 5" xfId="6626" xr:uid="{00000000-0005-0000-0000-0000E2190000}"/>
    <cellStyle name="Normal 2 2 10 19 5 10" xfId="6627" xr:uid="{00000000-0005-0000-0000-0000E3190000}"/>
    <cellStyle name="Normal 2 2 10 19 5 2" xfId="6628" xr:uid="{00000000-0005-0000-0000-0000E4190000}"/>
    <cellStyle name="Normal 2 2 10 19 5 3" xfId="6629" xr:uid="{00000000-0005-0000-0000-0000E5190000}"/>
    <cellStyle name="Normal 2 2 10 19 5 4" xfId="6630" xr:uid="{00000000-0005-0000-0000-0000E6190000}"/>
    <cellStyle name="Normal 2 2 10 19 5 5" xfId="6631" xr:uid="{00000000-0005-0000-0000-0000E7190000}"/>
    <cellStyle name="Normal 2 2 10 19 5 6" xfId="6632" xr:uid="{00000000-0005-0000-0000-0000E8190000}"/>
    <cellStyle name="Normal 2 2 10 19 5 7" xfId="6633" xr:uid="{00000000-0005-0000-0000-0000E9190000}"/>
    <cellStyle name="Normal 2 2 10 19 5 8" xfId="6634" xr:uid="{00000000-0005-0000-0000-0000EA190000}"/>
    <cellStyle name="Normal 2 2 10 19 5 9" xfId="6635" xr:uid="{00000000-0005-0000-0000-0000EB190000}"/>
    <cellStyle name="Normal 2 2 10 19 6" xfId="6636" xr:uid="{00000000-0005-0000-0000-0000EC190000}"/>
    <cellStyle name="Normal 2 2 10 19 7" xfId="6637" xr:uid="{00000000-0005-0000-0000-0000ED190000}"/>
    <cellStyle name="Normal 2 2 10 19 8" xfId="6638" xr:uid="{00000000-0005-0000-0000-0000EE190000}"/>
    <cellStyle name="Normal 2 2 10 19 9" xfId="6639" xr:uid="{00000000-0005-0000-0000-0000EF190000}"/>
    <cellStyle name="Normal 2 2 10 2" xfId="6640" xr:uid="{00000000-0005-0000-0000-0000F0190000}"/>
    <cellStyle name="Normal 2 2 10 2 10" xfId="6641" xr:uid="{00000000-0005-0000-0000-0000F1190000}"/>
    <cellStyle name="Normal 2 2 10 2 10 10" xfId="6642" xr:uid="{00000000-0005-0000-0000-0000F2190000}"/>
    <cellStyle name="Normal 2 2 10 2 10 11" xfId="6643" xr:uid="{00000000-0005-0000-0000-0000F3190000}"/>
    <cellStyle name="Normal 2 2 10 2 10 12" xfId="6644" xr:uid="{00000000-0005-0000-0000-0000F4190000}"/>
    <cellStyle name="Normal 2 2 10 2 10 13" xfId="6645" xr:uid="{00000000-0005-0000-0000-0000F5190000}"/>
    <cellStyle name="Normal 2 2 10 2 10 14" xfId="6646" xr:uid="{00000000-0005-0000-0000-0000F6190000}"/>
    <cellStyle name="Normal 2 2 10 2 10 2" xfId="6647" xr:uid="{00000000-0005-0000-0000-0000F7190000}"/>
    <cellStyle name="Normal 2 2 10 2 10 2 10" xfId="6648" xr:uid="{00000000-0005-0000-0000-0000F8190000}"/>
    <cellStyle name="Normal 2 2 10 2 10 2 2" xfId="6649" xr:uid="{00000000-0005-0000-0000-0000F9190000}"/>
    <cellStyle name="Normal 2 2 10 2 10 2 3" xfId="6650" xr:uid="{00000000-0005-0000-0000-0000FA190000}"/>
    <cellStyle name="Normal 2 2 10 2 10 2 4" xfId="6651" xr:uid="{00000000-0005-0000-0000-0000FB190000}"/>
    <cellStyle name="Normal 2 2 10 2 10 2 5" xfId="6652" xr:uid="{00000000-0005-0000-0000-0000FC190000}"/>
    <cellStyle name="Normal 2 2 10 2 10 2 6" xfId="6653" xr:uid="{00000000-0005-0000-0000-0000FD190000}"/>
    <cellStyle name="Normal 2 2 10 2 10 2 7" xfId="6654" xr:uid="{00000000-0005-0000-0000-0000FE190000}"/>
    <cellStyle name="Normal 2 2 10 2 10 2 8" xfId="6655" xr:uid="{00000000-0005-0000-0000-0000FF190000}"/>
    <cellStyle name="Normal 2 2 10 2 10 2 9" xfId="6656" xr:uid="{00000000-0005-0000-0000-0000001A0000}"/>
    <cellStyle name="Normal 2 2 10 2 10 3" xfId="6657" xr:uid="{00000000-0005-0000-0000-0000011A0000}"/>
    <cellStyle name="Normal 2 2 10 2 10 3 10" xfId="6658" xr:uid="{00000000-0005-0000-0000-0000021A0000}"/>
    <cellStyle name="Normal 2 2 10 2 10 3 2" xfId="6659" xr:uid="{00000000-0005-0000-0000-0000031A0000}"/>
    <cellStyle name="Normal 2 2 10 2 10 3 3" xfId="6660" xr:uid="{00000000-0005-0000-0000-0000041A0000}"/>
    <cellStyle name="Normal 2 2 10 2 10 3 4" xfId="6661" xr:uid="{00000000-0005-0000-0000-0000051A0000}"/>
    <cellStyle name="Normal 2 2 10 2 10 3 5" xfId="6662" xr:uid="{00000000-0005-0000-0000-0000061A0000}"/>
    <cellStyle name="Normal 2 2 10 2 10 3 6" xfId="6663" xr:uid="{00000000-0005-0000-0000-0000071A0000}"/>
    <cellStyle name="Normal 2 2 10 2 10 3 7" xfId="6664" xr:uid="{00000000-0005-0000-0000-0000081A0000}"/>
    <cellStyle name="Normal 2 2 10 2 10 3 8" xfId="6665" xr:uid="{00000000-0005-0000-0000-0000091A0000}"/>
    <cellStyle name="Normal 2 2 10 2 10 3 9" xfId="6666" xr:uid="{00000000-0005-0000-0000-00000A1A0000}"/>
    <cellStyle name="Normal 2 2 10 2 10 4" xfId="6667" xr:uid="{00000000-0005-0000-0000-00000B1A0000}"/>
    <cellStyle name="Normal 2 2 10 2 10 4 10" xfId="6668" xr:uid="{00000000-0005-0000-0000-00000C1A0000}"/>
    <cellStyle name="Normal 2 2 10 2 10 4 2" xfId="6669" xr:uid="{00000000-0005-0000-0000-00000D1A0000}"/>
    <cellStyle name="Normal 2 2 10 2 10 4 3" xfId="6670" xr:uid="{00000000-0005-0000-0000-00000E1A0000}"/>
    <cellStyle name="Normal 2 2 10 2 10 4 4" xfId="6671" xr:uid="{00000000-0005-0000-0000-00000F1A0000}"/>
    <cellStyle name="Normal 2 2 10 2 10 4 5" xfId="6672" xr:uid="{00000000-0005-0000-0000-0000101A0000}"/>
    <cellStyle name="Normal 2 2 10 2 10 4 6" xfId="6673" xr:uid="{00000000-0005-0000-0000-0000111A0000}"/>
    <cellStyle name="Normal 2 2 10 2 10 4 7" xfId="6674" xr:uid="{00000000-0005-0000-0000-0000121A0000}"/>
    <cellStyle name="Normal 2 2 10 2 10 4 8" xfId="6675" xr:uid="{00000000-0005-0000-0000-0000131A0000}"/>
    <cellStyle name="Normal 2 2 10 2 10 4 9" xfId="6676" xr:uid="{00000000-0005-0000-0000-0000141A0000}"/>
    <cellStyle name="Normal 2 2 10 2 10 5" xfId="6677" xr:uid="{00000000-0005-0000-0000-0000151A0000}"/>
    <cellStyle name="Normal 2 2 10 2 10 5 10" xfId="6678" xr:uid="{00000000-0005-0000-0000-0000161A0000}"/>
    <cellStyle name="Normal 2 2 10 2 10 5 2" xfId="6679" xr:uid="{00000000-0005-0000-0000-0000171A0000}"/>
    <cellStyle name="Normal 2 2 10 2 10 5 3" xfId="6680" xr:uid="{00000000-0005-0000-0000-0000181A0000}"/>
    <cellStyle name="Normal 2 2 10 2 10 5 4" xfId="6681" xr:uid="{00000000-0005-0000-0000-0000191A0000}"/>
    <cellStyle name="Normal 2 2 10 2 10 5 5" xfId="6682" xr:uid="{00000000-0005-0000-0000-00001A1A0000}"/>
    <cellStyle name="Normal 2 2 10 2 10 5 6" xfId="6683" xr:uid="{00000000-0005-0000-0000-00001B1A0000}"/>
    <cellStyle name="Normal 2 2 10 2 10 5 7" xfId="6684" xr:uid="{00000000-0005-0000-0000-00001C1A0000}"/>
    <cellStyle name="Normal 2 2 10 2 10 5 8" xfId="6685" xr:uid="{00000000-0005-0000-0000-00001D1A0000}"/>
    <cellStyle name="Normal 2 2 10 2 10 5 9" xfId="6686" xr:uid="{00000000-0005-0000-0000-00001E1A0000}"/>
    <cellStyle name="Normal 2 2 10 2 10 6" xfId="6687" xr:uid="{00000000-0005-0000-0000-00001F1A0000}"/>
    <cellStyle name="Normal 2 2 10 2 10 7" xfId="6688" xr:uid="{00000000-0005-0000-0000-0000201A0000}"/>
    <cellStyle name="Normal 2 2 10 2 10 8" xfId="6689" xr:uid="{00000000-0005-0000-0000-0000211A0000}"/>
    <cellStyle name="Normal 2 2 10 2 10 9" xfId="6690" xr:uid="{00000000-0005-0000-0000-0000221A0000}"/>
    <cellStyle name="Normal 2 2 10 2 11" xfId="6691" xr:uid="{00000000-0005-0000-0000-0000231A0000}"/>
    <cellStyle name="Normal 2 2 10 2 11 10" xfId="6692" xr:uid="{00000000-0005-0000-0000-0000241A0000}"/>
    <cellStyle name="Normal 2 2 10 2 11 11" xfId="6693" xr:uid="{00000000-0005-0000-0000-0000251A0000}"/>
    <cellStyle name="Normal 2 2 10 2 11 12" xfId="6694" xr:uid="{00000000-0005-0000-0000-0000261A0000}"/>
    <cellStyle name="Normal 2 2 10 2 11 13" xfId="6695" xr:uid="{00000000-0005-0000-0000-0000271A0000}"/>
    <cellStyle name="Normal 2 2 10 2 11 14" xfId="6696" xr:uid="{00000000-0005-0000-0000-0000281A0000}"/>
    <cellStyle name="Normal 2 2 10 2 11 2" xfId="6697" xr:uid="{00000000-0005-0000-0000-0000291A0000}"/>
    <cellStyle name="Normal 2 2 10 2 11 2 10" xfId="6698" xr:uid="{00000000-0005-0000-0000-00002A1A0000}"/>
    <cellStyle name="Normal 2 2 10 2 11 2 2" xfId="6699" xr:uid="{00000000-0005-0000-0000-00002B1A0000}"/>
    <cellStyle name="Normal 2 2 10 2 11 2 3" xfId="6700" xr:uid="{00000000-0005-0000-0000-00002C1A0000}"/>
    <cellStyle name="Normal 2 2 10 2 11 2 4" xfId="6701" xr:uid="{00000000-0005-0000-0000-00002D1A0000}"/>
    <cellStyle name="Normal 2 2 10 2 11 2 5" xfId="6702" xr:uid="{00000000-0005-0000-0000-00002E1A0000}"/>
    <cellStyle name="Normal 2 2 10 2 11 2 6" xfId="6703" xr:uid="{00000000-0005-0000-0000-00002F1A0000}"/>
    <cellStyle name="Normal 2 2 10 2 11 2 7" xfId="6704" xr:uid="{00000000-0005-0000-0000-0000301A0000}"/>
    <cellStyle name="Normal 2 2 10 2 11 2 8" xfId="6705" xr:uid="{00000000-0005-0000-0000-0000311A0000}"/>
    <cellStyle name="Normal 2 2 10 2 11 2 9" xfId="6706" xr:uid="{00000000-0005-0000-0000-0000321A0000}"/>
    <cellStyle name="Normal 2 2 10 2 11 3" xfId="6707" xr:uid="{00000000-0005-0000-0000-0000331A0000}"/>
    <cellStyle name="Normal 2 2 10 2 11 3 10" xfId="6708" xr:uid="{00000000-0005-0000-0000-0000341A0000}"/>
    <cellStyle name="Normal 2 2 10 2 11 3 2" xfId="6709" xr:uid="{00000000-0005-0000-0000-0000351A0000}"/>
    <cellStyle name="Normal 2 2 10 2 11 3 3" xfId="6710" xr:uid="{00000000-0005-0000-0000-0000361A0000}"/>
    <cellStyle name="Normal 2 2 10 2 11 3 4" xfId="6711" xr:uid="{00000000-0005-0000-0000-0000371A0000}"/>
    <cellStyle name="Normal 2 2 10 2 11 3 5" xfId="6712" xr:uid="{00000000-0005-0000-0000-0000381A0000}"/>
    <cellStyle name="Normal 2 2 10 2 11 3 6" xfId="6713" xr:uid="{00000000-0005-0000-0000-0000391A0000}"/>
    <cellStyle name="Normal 2 2 10 2 11 3 7" xfId="6714" xr:uid="{00000000-0005-0000-0000-00003A1A0000}"/>
    <cellStyle name="Normal 2 2 10 2 11 3 8" xfId="6715" xr:uid="{00000000-0005-0000-0000-00003B1A0000}"/>
    <cellStyle name="Normal 2 2 10 2 11 3 9" xfId="6716" xr:uid="{00000000-0005-0000-0000-00003C1A0000}"/>
    <cellStyle name="Normal 2 2 10 2 11 4" xfId="6717" xr:uid="{00000000-0005-0000-0000-00003D1A0000}"/>
    <cellStyle name="Normal 2 2 10 2 11 4 10" xfId="6718" xr:uid="{00000000-0005-0000-0000-00003E1A0000}"/>
    <cellStyle name="Normal 2 2 10 2 11 4 2" xfId="6719" xr:uid="{00000000-0005-0000-0000-00003F1A0000}"/>
    <cellStyle name="Normal 2 2 10 2 11 4 3" xfId="6720" xr:uid="{00000000-0005-0000-0000-0000401A0000}"/>
    <cellStyle name="Normal 2 2 10 2 11 4 4" xfId="6721" xr:uid="{00000000-0005-0000-0000-0000411A0000}"/>
    <cellStyle name="Normal 2 2 10 2 11 4 5" xfId="6722" xr:uid="{00000000-0005-0000-0000-0000421A0000}"/>
    <cellStyle name="Normal 2 2 10 2 11 4 6" xfId="6723" xr:uid="{00000000-0005-0000-0000-0000431A0000}"/>
    <cellStyle name="Normal 2 2 10 2 11 4 7" xfId="6724" xr:uid="{00000000-0005-0000-0000-0000441A0000}"/>
    <cellStyle name="Normal 2 2 10 2 11 4 8" xfId="6725" xr:uid="{00000000-0005-0000-0000-0000451A0000}"/>
    <cellStyle name="Normal 2 2 10 2 11 4 9" xfId="6726" xr:uid="{00000000-0005-0000-0000-0000461A0000}"/>
    <cellStyle name="Normal 2 2 10 2 11 5" xfId="6727" xr:uid="{00000000-0005-0000-0000-0000471A0000}"/>
    <cellStyle name="Normal 2 2 10 2 11 5 10" xfId="6728" xr:uid="{00000000-0005-0000-0000-0000481A0000}"/>
    <cellStyle name="Normal 2 2 10 2 11 5 2" xfId="6729" xr:uid="{00000000-0005-0000-0000-0000491A0000}"/>
    <cellStyle name="Normal 2 2 10 2 11 5 3" xfId="6730" xr:uid="{00000000-0005-0000-0000-00004A1A0000}"/>
    <cellStyle name="Normal 2 2 10 2 11 5 4" xfId="6731" xr:uid="{00000000-0005-0000-0000-00004B1A0000}"/>
    <cellStyle name="Normal 2 2 10 2 11 5 5" xfId="6732" xr:uid="{00000000-0005-0000-0000-00004C1A0000}"/>
    <cellStyle name="Normal 2 2 10 2 11 5 6" xfId="6733" xr:uid="{00000000-0005-0000-0000-00004D1A0000}"/>
    <cellStyle name="Normal 2 2 10 2 11 5 7" xfId="6734" xr:uid="{00000000-0005-0000-0000-00004E1A0000}"/>
    <cellStyle name="Normal 2 2 10 2 11 5 8" xfId="6735" xr:uid="{00000000-0005-0000-0000-00004F1A0000}"/>
    <cellStyle name="Normal 2 2 10 2 11 5 9" xfId="6736" xr:uid="{00000000-0005-0000-0000-0000501A0000}"/>
    <cellStyle name="Normal 2 2 10 2 11 6" xfId="6737" xr:uid="{00000000-0005-0000-0000-0000511A0000}"/>
    <cellStyle name="Normal 2 2 10 2 11 7" xfId="6738" xr:uid="{00000000-0005-0000-0000-0000521A0000}"/>
    <cellStyle name="Normal 2 2 10 2 11 8" xfId="6739" xr:uid="{00000000-0005-0000-0000-0000531A0000}"/>
    <cellStyle name="Normal 2 2 10 2 11 9" xfId="6740" xr:uid="{00000000-0005-0000-0000-0000541A0000}"/>
    <cellStyle name="Normal 2 2 10 2 12" xfId="6741" xr:uid="{00000000-0005-0000-0000-0000551A0000}"/>
    <cellStyle name="Normal 2 2 10 2 12 10" xfId="6742" xr:uid="{00000000-0005-0000-0000-0000561A0000}"/>
    <cellStyle name="Normal 2 2 10 2 12 11" xfId="6743" xr:uid="{00000000-0005-0000-0000-0000571A0000}"/>
    <cellStyle name="Normal 2 2 10 2 12 12" xfId="6744" xr:uid="{00000000-0005-0000-0000-0000581A0000}"/>
    <cellStyle name="Normal 2 2 10 2 12 13" xfId="6745" xr:uid="{00000000-0005-0000-0000-0000591A0000}"/>
    <cellStyle name="Normal 2 2 10 2 12 14" xfId="6746" xr:uid="{00000000-0005-0000-0000-00005A1A0000}"/>
    <cellStyle name="Normal 2 2 10 2 12 2" xfId="6747" xr:uid="{00000000-0005-0000-0000-00005B1A0000}"/>
    <cellStyle name="Normal 2 2 10 2 12 2 10" xfId="6748" xr:uid="{00000000-0005-0000-0000-00005C1A0000}"/>
    <cellStyle name="Normal 2 2 10 2 12 2 2" xfId="6749" xr:uid="{00000000-0005-0000-0000-00005D1A0000}"/>
    <cellStyle name="Normal 2 2 10 2 12 2 3" xfId="6750" xr:uid="{00000000-0005-0000-0000-00005E1A0000}"/>
    <cellStyle name="Normal 2 2 10 2 12 2 4" xfId="6751" xr:uid="{00000000-0005-0000-0000-00005F1A0000}"/>
    <cellStyle name="Normal 2 2 10 2 12 2 5" xfId="6752" xr:uid="{00000000-0005-0000-0000-0000601A0000}"/>
    <cellStyle name="Normal 2 2 10 2 12 2 6" xfId="6753" xr:uid="{00000000-0005-0000-0000-0000611A0000}"/>
    <cellStyle name="Normal 2 2 10 2 12 2 7" xfId="6754" xr:uid="{00000000-0005-0000-0000-0000621A0000}"/>
    <cellStyle name="Normal 2 2 10 2 12 2 8" xfId="6755" xr:uid="{00000000-0005-0000-0000-0000631A0000}"/>
    <cellStyle name="Normal 2 2 10 2 12 2 9" xfId="6756" xr:uid="{00000000-0005-0000-0000-0000641A0000}"/>
    <cellStyle name="Normal 2 2 10 2 12 3" xfId="6757" xr:uid="{00000000-0005-0000-0000-0000651A0000}"/>
    <cellStyle name="Normal 2 2 10 2 12 3 10" xfId="6758" xr:uid="{00000000-0005-0000-0000-0000661A0000}"/>
    <cellStyle name="Normal 2 2 10 2 12 3 2" xfId="6759" xr:uid="{00000000-0005-0000-0000-0000671A0000}"/>
    <cellStyle name="Normal 2 2 10 2 12 3 3" xfId="6760" xr:uid="{00000000-0005-0000-0000-0000681A0000}"/>
    <cellStyle name="Normal 2 2 10 2 12 3 4" xfId="6761" xr:uid="{00000000-0005-0000-0000-0000691A0000}"/>
    <cellStyle name="Normal 2 2 10 2 12 3 5" xfId="6762" xr:uid="{00000000-0005-0000-0000-00006A1A0000}"/>
    <cellStyle name="Normal 2 2 10 2 12 3 6" xfId="6763" xr:uid="{00000000-0005-0000-0000-00006B1A0000}"/>
    <cellStyle name="Normal 2 2 10 2 12 3 7" xfId="6764" xr:uid="{00000000-0005-0000-0000-00006C1A0000}"/>
    <cellStyle name="Normal 2 2 10 2 12 3 8" xfId="6765" xr:uid="{00000000-0005-0000-0000-00006D1A0000}"/>
    <cellStyle name="Normal 2 2 10 2 12 3 9" xfId="6766" xr:uid="{00000000-0005-0000-0000-00006E1A0000}"/>
    <cellStyle name="Normal 2 2 10 2 12 4" xfId="6767" xr:uid="{00000000-0005-0000-0000-00006F1A0000}"/>
    <cellStyle name="Normal 2 2 10 2 12 4 10" xfId="6768" xr:uid="{00000000-0005-0000-0000-0000701A0000}"/>
    <cellStyle name="Normal 2 2 10 2 12 4 2" xfId="6769" xr:uid="{00000000-0005-0000-0000-0000711A0000}"/>
    <cellStyle name="Normal 2 2 10 2 12 4 3" xfId="6770" xr:uid="{00000000-0005-0000-0000-0000721A0000}"/>
    <cellStyle name="Normal 2 2 10 2 12 4 4" xfId="6771" xr:uid="{00000000-0005-0000-0000-0000731A0000}"/>
    <cellStyle name="Normal 2 2 10 2 12 4 5" xfId="6772" xr:uid="{00000000-0005-0000-0000-0000741A0000}"/>
    <cellStyle name="Normal 2 2 10 2 12 4 6" xfId="6773" xr:uid="{00000000-0005-0000-0000-0000751A0000}"/>
    <cellStyle name="Normal 2 2 10 2 12 4 7" xfId="6774" xr:uid="{00000000-0005-0000-0000-0000761A0000}"/>
    <cellStyle name="Normal 2 2 10 2 12 4 8" xfId="6775" xr:uid="{00000000-0005-0000-0000-0000771A0000}"/>
    <cellStyle name="Normal 2 2 10 2 12 4 9" xfId="6776" xr:uid="{00000000-0005-0000-0000-0000781A0000}"/>
    <cellStyle name="Normal 2 2 10 2 12 5" xfId="6777" xr:uid="{00000000-0005-0000-0000-0000791A0000}"/>
    <cellStyle name="Normal 2 2 10 2 12 5 10" xfId="6778" xr:uid="{00000000-0005-0000-0000-00007A1A0000}"/>
    <cellStyle name="Normal 2 2 10 2 12 5 2" xfId="6779" xr:uid="{00000000-0005-0000-0000-00007B1A0000}"/>
    <cellStyle name="Normal 2 2 10 2 12 5 3" xfId="6780" xr:uid="{00000000-0005-0000-0000-00007C1A0000}"/>
    <cellStyle name="Normal 2 2 10 2 12 5 4" xfId="6781" xr:uid="{00000000-0005-0000-0000-00007D1A0000}"/>
    <cellStyle name="Normal 2 2 10 2 12 5 5" xfId="6782" xr:uid="{00000000-0005-0000-0000-00007E1A0000}"/>
    <cellStyle name="Normal 2 2 10 2 12 5 6" xfId="6783" xr:uid="{00000000-0005-0000-0000-00007F1A0000}"/>
    <cellStyle name="Normal 2 2 10 2 12 5 7" xfId="6784" xr:uid="{00000000-0005-0000-0000-0000801A0000}"/>
    <cellStyle name="Normal 2 2 10 2 12 5 8" xfId="6785" xr:uid="{00000000-0005-0000-0000-0000811A0000}"/>
    <cellStyle name="Normal 2 2 10 2 12 5 9" xfId="6786" xr:uid="{00000000-0005-0000-0000-0000821A0000}"/>
    <cellStyle name="Normal 2 2 10 2 12 6" xfId="6787" xr:uid="{00000000-0005-0000-0000-0000831A0000}"/>
    <cellStyle name="Normal 2 2 10 2 12 7" xfId="6788" xr:uid="{00000000-0005-0000-0000-0000841A0000}"/>
    <cellStyle name="Normal 2 2 10 2 12 8" xfId="6789" xr:uid="{00000000-0005-0000-0000-0000851A0000}"/>
    <cellStyle name="Normal 2 2 10 2 12 9" xfId="6790" xr:uid="{00000000-0005-0000-0000-0000861A0000}"/>
    <cellStyle name="Normal 2 2 10 2 13" xfId="6791" xr:uid="{00000000-0005-0000-0000-0000871A0000}"/>
    <cellStyle name="Normal 2 2 10 2 13 10" xfId="6792" xr:uid="{00000000-0005-0000-0000-0000881A0000}"/>
    <cellStyle name="Normal 2 2 10 2 13 11" xfId="6793" xr:uid="{00000000-0005-0000-0000-0000891A0000}"/>
    <cellStyle name="Normal 2 2 10 2 13 12" xfId="6794" xr:uid="{00000000-0005-0000-0000-00008A1A0000}"/>
    <cellStyle name="Normal 2 2 10 2 13 13" xfId="6795" xr:uid="{00000000-0005-0000-0000-00008B1A0000}"/>
    <cellStyle name="Normal 2 2 10 2 13 14" xfId="6796" xr:uid="{00000000-0005-0000-0000-00008C1A0000}"/>
    <cellStyle name="Normal 2 2 10 2 13 2" xfId="6797" xr:uid="{00000000-0005-0000-0000-00008D1A0000}"/>
    <cellStyle name="Normal 2 2 10 2 13 2 10" xfId="6798" xr:uid="{00000000-0005-0000-0000-00008E1A0000}"/>
    <cellStyle name="Normal 2 2 10 2 13 2 2" xfId="6799" xr:uid="{00000000-0005-0000-0000-00008F1A0000}"/>
    <cellStyle name="Normal 2 2 10 2 13 2 3" xfId="6800" xr:uid="{00000000-0005-0000-0000-0000901A0000}"/>
    <cellStyle name="Normal 2 2 10 2 13 2 4" xfId="6801" xr:uid="{00000000-0005-0000-0000-0000911A0000}"/>
    <cellStyle name="Normal 2 2 10 2 13 2 5" xfId="6802" xr:uid="{00000000-0005-0000-0000-0000921A0000}"/>
    <cellStyle name="Normal 2 2 10 2 13 2 6" xfId="6803" xr:uid="{00000000-0005-0000-0000-0000931A0000}"/>
    <cellStyle name="Normal 2 2 10 2 13 2 7" xfId="6804" xr:uid="{00000000-0005-0000-0000-0000941A0000}"/>
    <cellStyle name="Normal 2 2 10 2 13 2 8" xfId="6805" xr:uid="{00000000-0005-0000-0000-0000951A0000}"/>
    <cellStyle name="Normal 2 2 10 2 13 2 9" xfId="6806" xr:uid="{00000000-0005-0000-0000-0000961A0000}"/>
    <cellStyle name="Normal 2 2 10 2 13 3" xfId="6807" xr:uid="{00000000-0005-0000-0000-0000971A0000}"/>
    <cellStyle name="Normal 2 2 10 2 13 3 10" xfId="6808" xr:uid="{00000000-0005-0000-0000-0000981A0000}"/>
    <cellStyle name="Normal 2 2 10 2 13 3 2" xfId="6809" xr:uid="{00000000-0005-0000-0000-0000991A0000}"/>
    <cellStyle name="Normal 2 2 10 2 13 3 3" xfId="6810" xr:uid="{00000000-0005-0000-0000-00009A1A0000}"/>
    <cellStyle name="Normal 2 2 10 2 13 3 4" xfId="6811" xr:uid="{00000000-0005-0000-0000-00009B1A0000}"/>
    <cellStyle name="Normal 2 2 10 2 13 3 5" xfId="6812" xr:uid="{00000000-0005-0000-0000-00009C1A0000}"/>
    <cellStyle name="Normal 2 2 10 2 13 3 6" xfId="6813" xr:uid="{00000000-0005-0000-0000-00009D1A0000}"/>
    <cellStyle name="Normal 2 2 10 2 13 3 7" xfId="6814" xr:uid="{00000000-0005-0000-0000-00009E1A0000}"/>
    <cellStyle name="Normal 2 2 10 2 13 3 8" xfId="6815" xr:uid="{00000000-0005-0000-0000-00009F1A0000}"/>
    <cellStyle name="Normal 2 2 10 2 13 3 9" xfId="6816" xr:uid="{00000000-0005-0000-0000-0000A01A0000}"/>
    <cellStyle name="Normal 2 2 10 2 13 4" xfId="6817" xr:uid="{00000000-0005-0000-0000-0000A11A0000}"/>
    <cellStyle name="Normal 2 2 10 2 13 4 10" xfId="6818" xr:uid="{00000000-0005-0000-0000-0000A21A0000}"/>
    <cellStyle name="Normal 2 2 10 2 13 4 2" xfId="6819" xr:uid="{00000000-0005-0000-0000-0000A31A0000}"/>
    <cellStyle name="Normal 2 2 10 2 13 4 3" xfId="6820" xr:uid="{00000000-0005-0000-0000-0000A41A0000}"/>
    <cellStyle name="Normal 2 2 10 2 13 4 4" xfId="6821" xr:uid="{00000000-0005-0000-0000-0000A51A0000}"/>
    <cellStyle name="Normal 2 2 10 2 13 4 5" xfId="6822" xr:uid="{00000000-0005-0000-0000-0000A61A0000}"/>
    <cellStyle name="Normal 2 2 10 2 13 4 6" xfId="6823" xr:uid="{00000000-0005-0000-0000-0000A71A0000}"/>
    <cellStyle name="Normal 2 2 10 2 13 4 7" xfId="6824" xr:uid="{00000000-0005-0000-0000-0000A81A0000}"/>
    <cellStyle name="Normal 2 2 10 2 13 4 8" xfId="6825" xr:uid="{00000000-0005-0000-0000-0000A91A0000}"/>
    <cellStyle name="Normal 2 2 10 2 13 4 9" xfId="6826" xr:uid="{00000000-0005-0000-0000-0000AA1A0000}"/>
    <cellStyle name="Normal 2 2 10 2 13 5" xfId="6827" xr:uid="{00000000-0005-0000-0000-0000AB1A0000}"/>
    <cellStyle name="Normal 2 2 10 2 13 5 10" xfId="6828" xr:uid="{00000000-0005-0000-0000-0000AC1A0000}"/>
    <cellStyle name="Normal 2 2 10 2 13 5 2" xfId="6829" xr:uid="{00000000-0005-0000-0000-0000AD1A0000}"/>
    <cellStyle name="Normal 2 2 10 2 13 5 3" xfId="6830" xr:uid="{00000000-0005-0000-0000-0000AE1A0000}"/>
    <cellStyle name="Normal 2 2 10 2 13 5 4" xfId="6831" xr:uid="{00000000-0005-0000-0000-0000AF1A0000}"/>
    <cellStyle name="Normal 2 2 10 2 13 5 5" xfId="6832" xr:uid="{00000000-0005-0000-0000-0000B01A0000}"/>
    <cellStyle name="Normal 2 2 10 2 13 5 6" xfId="6833" xr:uid="{00000000-0005-0000-0000-0000B11A0000}"/>
    <cellStyle name="Normal 2 2 10 2 13 5 7" xfId="6834" xr:uid="{00000000-0005-0000-0000-0000B21A0000}"/>
    <cellStyle name="Normal 2 2 10 2 13 5 8" xfId="6835" xr:uid="{00000000-0005-0000-0000-0000B31A0000}"/>
    <cellStyle name="Normal 2 2 10 2 13 5 9" xfId="6836" xr:uid="{00000000-0005-0000-0000-0000B41A0000}"/>
    <cellStyle name="Normal 2 2 10 2 13 6" xfId="6837" xr:uid="{00000000-0005-0000-0000-0000B51A0000}"/>
    <cellStyle name="Normal 2 2 10 2 13 7" xfId="6838" xr:uid="{00000000-0005-0000-0000-0000B61A0000}"/>
    <cellStyle name="Normal 2 2 10 2 13 8" xfId="6839" xr:uid="{00000000-0005-0000-0000-0000B71A0000}"/>
    <cellStyle name="Normal 2 2 10 2 13 9" xfId="6840" xr:uid="{00000000-0005-0000-0000-0000B81A0000}"/>
    <cellStyle name="Normal 2 2 10 2 14" xfId="6841" xr:uid="{00000000-0005-0000-0000-0000B91A0000}"/>
    <cellStyle name="Normal 2 2 10 2 14 10" xfId="6842" xr:uid="{00000000-0005-0000-0000-0000BA1A0000}"/>
    <cellStyle name="Normal 2 2 10 2 14 11" xfId="6843" xr:uid="{00000000-0005-0000-0000-0000BB1A0000}"/>
    <cellStyle name="Normal 2 2 10 2 14 12" xfId="6844" xr:uid="{00000000-0005-0000-0000-0000BC1A0000}"/>
    <cellStyle name="Normal 2 2 10 2 14 13" xfId="6845" xr:uid="{00000000-0005-0000-0000-0000BD1A0000}"/>
    <cellStyle name="Normal 2 2 10 2 14 14" xfId="6846" xr:uid="{00000000-0005-0000-0000-0000BE1A0000}"/>
    <cellStyle name="Normal 2 2 10 2 14 2" xfId="6847" xr:uid="{00000000-0005-0000-0000-0000BF1A0000}"/>
    <cellStyle name="Normal 2 2 10 2 14 2 10" xfId="6848" xr:uid="{00000000-0005-0000-0000-0000C01A0000}"/>
    <cellStyle name="Normal 2 2 10 2 14 2 2" xfId="6849" xr:uid="{00000000-0005-0000-0000-0000C11A0000}"/>
    <cellStyle name="Normal 2 2 10 2 14 2 3" xfId="6850" xr:uid="{00000000-0005-0000-0000-0000C21A0000}"/>
    <cellStyle name="Normal 2 2 10 2 14 2 4" xfId="6851" xr:uid="{00000000-0005-0000-0000-0000C31A0000}"/>
    <cellStyle name="Normal 2 2 10 2 14 2 5" xfId="6852" xr:uid="{00000000-0005-0000-0000-0000C41A0000}"/>
    <cellStyle name="Normal 2 2 10 2 14 2 6" xfId="6853" xr:uid="{00000000-0005-0000-0000-0000C51A0000}"/>
    <cellStyle name="Normal 2 2 10 2 14 2 7" xfId="6854" xr:uid="{00000000-0005-0000-0000-0000C61A0000}"/>
    <cellStyle name="Normal 2 2 10 2 14 2 8" xfId="6855" xr:uid="{00000000-0005-0000-0000-0000C71A0000}"/>
    <cellStyle name="Normal 2 2 10 2 14 2 9" xfId="6856" xr:uid="{00000000-0005-0000-0000-0000C81A0000}"/>
    <cellStyle name="Normal 2 2 10 2 14 3" xfId="6857" xr:uid="{00000000-0005-0000-0000-0000C91A0000}"/>
    <cellStyle name="Normal 2 2 10 2 14 3 10" xfId="6858" xr:uid="{00000000-0005-0000-0000-0000CA1A0000}"/>
    <cellStyle name="Normal 2 2 10 2 14 3 2" xfId="6859" xr:uid="{00000000-0005-0000-0000-0000CB1A0000}"/>
    <cellStyle name="Normal 2 2 10 2 14 3 3" xfId="6860" xr:uid="{00000000-0005-0000-0000-0000CC1A0000}"/>
    <cellStyle name="Normal 2 2 10 2 14 3 4" xfId="6861" xr:uid="{00000000-0005-0000-0000-0000CD1A0000}"/>
    <cellStyle name="Normal 2 2 10 2 14 3 5" xfId="6862" xr:uid="{00000000-0005-0000-0000-0000CE1A0000}"/>
    <cellStyle name="Normal 2 2 10 2 14 3 6" xfId="6863" xr:uid="{00000000-0005-0000-0000-0000CF1A0000}"/>
    <cellStyle name="Normal 2 2 10 2 14 3 7" xfId="6864" xr:uid="{00000000-0005-0000-0000-0000D01A0000}"/>
    <cellStyle name="Normal 2 2 10 2 14 3 8" xfId="6865" xr:uid="{00000000-0005-0000-0000-0000D11A0000}"/>
    <cellStyle name="Normal 2 2 10 2 14 3 9" xfId="6866" xr:uid="{00000000-0005-0000-0000-0000D21A0000}"/>
    <cellStyle name="Normal 2 2 10 2 14 4" xfId="6867" xr:uid="{00000000-0005-0000-0000-0000D31A0000}"/>
    <cellStyle name="Normal 2 2 10 2 14 4 10" xfId="6868" xr:uid="{00000000-0005-0000-0000-0000D41A0000}"/>
    <cellStyle name="Normal 2 2 10 2 14 4 2" xfId="6869" xr:uid="{00000000-0005-0000-0000-0000D51A0000}"/>
    <cellStyle name="Normal 2 2 10 2 14 4 3" xfId="6870" xr:uid="{00000000-0005-0000-0000-0000D61A0000}"/>
    <cellStyle name="Normal 2 2 10 2 14 4 4" xfId="6871" xr:uid="{00000000-0005-0000-0000-0000D71A0000}"/>
    <cellStyle name="Normal 2 2 10 2 14 4 5" xfId="6872" xr:uid="{00000000-0005-0000-0000-0000D81A0000}"/>
    <cellStyle name="Normal 2 2 10 2 14 4 6" xfId="6873" xr:uid="{00000000-0005-0000-0000-0000D91A0000}"/>
    <cellStyle name="Normal 2 2 10 2 14 4 7" xfId="6874" xr:uid="{00000000-0005-0000-0000-0000DA1A0000}"/>
    <cellStyle name="Normal 2 2 10 2 14 4 8" xfId="6875" xr:uid="{00000000-0005-0000-0000-0000DB1A0000}"/>
    <cellStyle name="Normal 2 2 10 2 14 4 9" xfId="6876" xr:uid="{00000000-0005-0000-0000-0000DC1A0000}"/>
    <cellStyle name="Normal 2 2 10 2 14 5" xfId="6877" xr:uid="{00000000-0005-0000-0000-0000DD1A0000}"/>
    <cellStyle name="Normal 2 2 10 2 14 5 10" xfId="6878" xr:uid="{00000000-0005-0000-0000-0000DE1A0000}"/>
    <cellStyle name="Normal 2 2 10 2 14 5 2" xfId="6879" xr:uid="{00000000-0005-0000-0000-0000DF1A0000}"/>
    <cellStyle name="Normal 2 2 10 2 14 5 3" xfId="6880" xr:uid="{00000000-0005-0000-0000-0000E01A0000}"/>
    <cellStyle name="Normal 2 2 10 2 14 5 4" xfId="6881" xr:uid="{00000000-0005-0000-0000-0000E11A0000}"/>
    <cellStyle name="Normal 2 2 10 2 14 5 5" xfId="6882" xr:uid="{00000000-0005-0000-0000-0000E21A0000}"/>
    <cellStyle name="Normal 2 2 10 2 14 5 6" xfId="6883" xr:uid="{00000000-0005-0000-0000-0000E31A0000}"/>
    <cellStyle name="Normal 2 2 10 2 14 5 7" xfId="6884" xr:uid="{00000000-0005-0000-0000-0000E41A0000}"/>
    <cellStyle name="Normal 2 2 10 2 14 5 8" xfId="6885" xr:uid="{00000000-0005-0000-0000-0000E51A0000}"/>
    <cellStyle name="Normal 2 2 10 2 14 5 9" xfId="6886" xr:uid="{00000000-0005-0000-0000-0000E61A0000}"/>
    <cellStyle name="Normal 2 2 10 2 14 6" xfId="6887" xr:uid="{00000000-0005-0000-0000-0000E71A0000}"/>
    <cellStyle name="Normal 2 2 10 2 14 7" xfId="6888" xr:uid="{00000000-0005-0000-0000-0000E81A0000}"/>
    <cellStyle name="Normal 2 2 10 2 14 8" xfId="6889" xr:uid="{00000000-0005-0000-0000-0000E91A0000}"/>
    <cellStyle name="Normal 2 2 10 2 14 9" xfId="6890" xr:uid="{00000000-0005-0000-0000-0000EA1A0000}"/>
    <cellStyle name="Normal 2 2 10 2 15" xfId="6891" xr:uid="{00000000-0005-0000-0000-0000EB1A0000}"/>
    <cellStyle name="Normal 2 2 10 2 15 10" xfId="6892" xr:uid="{00000000-0005-0000-0000-0000EC1A0000}"/>
    <cellStyle name="Normal 2 2 10 2 15 11" xfId="6893" xr:uid="{00000000-0005-0000-0000-0000ED1A0000}"/>
    <cellStyle name="Normal 2 2 10 2 15 12" xfId="6894" xr:uid="{00000000-0005-0000-0000-0000EE1A0000}"/>
    <cellStyle name="Normal 2 2 10 2 15 13" xfId="6895" xr:uid="{00000000-0005-0000-0000-0000EF1A0000}"/>
    <cellStyle name="Normal 2 2 10 2 15 14" xfId="6896" xr:uid="{00000000-0005-0000-0000-0000F01A0000}"/>
    <cellStyle name="Normal 2 2 10 2 15 2" xfId="6897" xr:uid="{00000000-0005-0000-0000-0000F11A0000}"/>
    <cellStyle name="Normal 2 2 10 2 15 2 10" xfId="6898" xr:uid="{00000000-0005-0000-0000-0000F21A0000}"/>
    <cellStyle name="Normal 2 2 10 2 15 2 2" xfId="6899" xr:uid="{00000000-0005-0000-0000-0000F31A0000}"/>
    <cellStyle name="Normal 2 2 10 2 15 2 3" xfId="6900" xr:uid="{00000000-0005-0000-0000-0000F41A0000}"/>
    <cellStyle name="Normal 2 2 10 2 15 2 4" xfId="6901" xr:uid="{00000000-0005-0000-0000-0000F51A0000}"/>
    <cellStyle name="Normal 2 2 10 2 15 2 5" xfId="6902" xr:uid="{00000000-0005-0000-0000-0000F61A0000}"/>
    <cellStyle name="Normal 2 2 10 2 15 2 6" xfId="6903" xr:uid="{00000000-0005-0000-0000-0000F71A0000}"/>
    <cellStyle name="Normal 2 2 10 2 15 2 7" xfId="6904" xr:uid="{00000000-0005-0000-0000-0000F81A0000}"/>
    <cellStyle name="Normal 2 2 10 2 15 2 8" xfId="6905" xr:uid="{00000000-0005-0000-0000-0000F91A0000}"/>
    <cellStyle name="Normal 2 2 10 2 15 2 9" xfId="6906" xr:uid="{00000000-0005-0000-0000-0000FA1A0000}"/>
    <cellStyle name="Normal 2 2 10 2 15 3" xfId="6907" xr:uid="{00000000-0005-0000-0000-0000FB1A0000}"/>
    <cellStyle name="Normal 2 2 10 2 15 3 10" xfId="6908" xr:uid="{00000000-0005-0000-0000-0000FC1A0000}"/>
    <cellStyle name="Normal 2 2 10 2 15 3 2" xfId="6909" xr:uid="{00000000-0005-0000-0000-0000FD1A0000}"/>
    <cellStyle name="Normal 2 2 10 2 15 3 3" xfId="6910" xr:uid="{00000000-0005-0000-0000-0000FE1A0000}"/>
    <cellStyle name="Normal 2 2 10 2 15 3 4" xfId="6911" xr:uid="{00000000-0005-0000-0000-0000FF1A0000}"/>
    <cellStyle name="Normal 2 2 10 2 15 3 5" xfId="6912" xr:uid="{00000000-0005-0000-0000-0000001B0000}"/>
    <cellStyle name="Normal 2 2 10 2 15 3 6" xfId="6913" xr:uid="{00000000-0005-0000-0000-0000011B0000}"/>
    <cellStyle name="Normal 2 2 10 2 15 3 7" xfId="6914" xr:uid="{00000000-0005-0000-0000-0000021B0000}"/>
    <cellStyle name="Normal 2 2 10 2 15 3 8" xfId="6915" xr:uid="{00000000-0005-0000-0000-0000031B0000}"/>
    <cellStyle name="Normal 2 2 10 2 15 3 9" xfId="6916" xr:uid="{00000000-0005-0000-0000-0000041B0000}"/>
    <cellStyle name="Normal 2 2 10 2 15 4" xfId="6917" xr:uid="{00000000-0005-0000-0000-0000051B0000}"/>
    <cellStyle name="Normal 2 2 10 2 15 4 10" xfId="6918" xr:uid="{00000000-0005-0000-0000-0000061B0000}"/>
    <cellStyle name="Normal 2 2 10 2 15 4 2" xfId="6919" xr:uid="{00000000-0005-0000-0000-0000071B0000}"/>
    <cellStyle name="Normal 2 2 10 2 15 4 3" xfId="6920" xr:uid="{00000000-0005-0000-0000-0000081B0000}"/>
    <cellStyle name="Normal 2 2 10 2 15 4 4" xfId="6921" xr:uid="{00000000-0005-0000-0000-0000091B0000}"/>
    <cellStyle name="Normal 2 2 10 2 15 4 5" xfId="6922" xr:uid="{00000000-0005-0000-0000-00000A1B0000}"/>
    <cellStyle name="Normal 2 2 10 2 15 4 6" xfId="6923" xr:uid="{00000000-0005-0000-0000-00000B1B0000}"/>
    <cellStyle name="Normal 2 2 10 2 15 4 7" xfId="6924" xr:uid="{00000000-0005-0000-0000-00000C1B0000}"/>
    <cellStyle name="Normal 2 2 10 2 15 4 8" xfId="6925" xr:uid="{00000000-0005-0000-0000-00000D1B0000}"/>
    <cellStyle name="Normal 2 2 10 2 15 4 9" xfId="6926" xr:uid="{00000000-0005-0000-0000-00000E1B0000}"/>
    <cellStyle name="Normal 2 2 10 2 15 5" xfId="6927" xr:uid="{00000000-0005-0000-0000-00000F1B0000}"/>
    <cellStyle name="Normal 2 2 10 2 15 5 10" xfId="6928" xr:uid="{00000000-0005-0000-0000-0000101B0000}"/>
    <cellStyle name="Normal 2 2 10 2 15 5 2" xfId="6929" xr:uid="{00000000-0005-0000-0000-0000111B0000}"/>
    <cellStyle name="Normal 2 2 10 2 15 5 3" xfId="6930" xr:uid="{00000000-0005-0000-0000-0000121B0000}"/>
    <cellStyle name="Normal 2 2 10 2 15 5 4" xfId="6931" xr:uid="{00000000-0005-0000-0000-0000131B0000}"/>
    <cellStyle name="Normal 2 2 10 2 15 5 5" xfId="6932" xr:uid="{00000000-0005-0000-0000-0000141B0000}"/>
    <cellStyle name="Normal 2 2 10 2 15 5 6" xfId="6933" xr:uid="{00000000-0005-0000-0000-0000151B0000}"/>
    <cellStyle name="Normal 2 2 10 2 15 5 7" xfId="6934" xr:uid="{00000000-0005-0000-0000-0000161B0000}"/>
    <cellStyle name="Normal 2 2 10 2 15 5 8" xfId="6935" xr:uid="{00000000-0005-0000-0000-0000171B0000}"/>
    <cellStyle name="Normal 2 2 10 2 15 5 9" xfId="6936" xr:uid="{00000000-0005-0000-0000-0000181B0000}"/>
    <cellStyle name="Normal 2 2 10 2 15 6" xfId="6937" xr:uid="{00000000-0005-0000-0000-0000191B0000}"/>
    <cellStyle name="Normal 2 2 10 2 15 7" xfId="6938" xr:uid="{00000000-0005-0000-0000-00001A1B0000}"/>
    <cellStyle name="Normal 2 2 10 2 15 8" xfId="6939" xr:uid="{00000000-0005-0000-0000-00001B1B0000}"/>
    <cellStyle name="Normal 2 2 10 2 15 9" xfId="6940" xr:uid="{00000000-0005-0000-0000-00001C1B0000}"/>
    <cellStyle name="Normal 2 2 10 2 16" xfId="6941" xr:uid="{00000000-0005-0000-0000-00001D1B0000}"/>
    <cellStyle name="Normal 2 2 10 2 16 10" xfId="6942" xr:uid="{00000000-0005-0000-0000-00001E1B0000}"/>
    <cellStyle name="Normal 2 2 10 2 16 11" xfId="6943" xr:uid="{00000000-0005-0000-0000-00001F1B0000}"/>
    <cellStyle name="Normal 2 2 10 2 16 12" xfId="6944" xr:uid="{00000000-0005-0000-0000-0000201B0000}"/>
    <cellStyle name="Normal 2 2 10 2 16 13" xfId="6945" xr:uid="{00000000-0005-0000-0000-0000211B0000}"/>
    <cellStyle name="Normal 2 2 10 2 16 14" xfId="6946" xr:uid="{00000000-0005-0000-0000-0000221B0000}"/>
    <cellStyle name="Normal 2 2 10 2 16 2" xfId="6947" xr:uid="{00000000-0005-0000-0000-0000231B0000}"/>
    <cellStyle name="Normal 2 2 10 2 16 2 10" xfId="6948" xr:uid="{00000000-0005-0000-0000-0000241B0000}"/>
    <cellStyle name="Normal 2 2 10 2 16 2 2" xfId="6949" xr:uid="{00000000-0005-0000-0000-0000251B0000}"/>
    <cellStyle name="Normal 2 2 10 2 16 2 3" xfId="6950" xr:uid="{00000000-0005-0000-0000-0000261B0000}"/>
    <cellStyle name="Normal 2 2 10 2 16 2 4" xfId="6951" xr:uid="{00000000-0005-0000-0000-0000271B0000}"/>
    <cellStyle name="Normal 2 2 10 2 16 2 5" xfId="6952" xr:uid="{00000000-0005-0000-0000-0000281B0000}"/>
    <cellStyle name="Normal 2 2 10 2 16 2 6" xfId="6953" xr:uid="{00000000-0005-0000-0000-0000291B0000}"/>
    <cellStyle name="Normal 2 2 10 2 16 2 7" xfId="6954" xr:uid="{00000000-0005-0000-0000-00002A1B0000}"/>
    <cellStyle name="Normal 2 2 10 2 16 2 8" xfId="6955" xr:uid="{00000000-0005-0000-0000-00002B1B0000}"/>
    <cellStyle name="Normal 2 2 10 2 16 2 9" xfId="6956" xr:uid="{00000000-0005-0000-0000-00002C1B0000}"/>
    <cellStyle name="Normal 2 2 10 2 16 3" xfId="6957" xr:uid="{00000000-0005-0000-0000-00002D1B0000}"/>
    <cellStyle name="Normal 2 2 10 2 16 3 10" xfId="6958" xr:uid="{00000000-0005-0000-0000-00002E1B0000}"/>
    <cellStyle name="Normal 2 2 10 2 16 3 2" xfId="6959" xr:uid="{00000000-0005-0000-0000-00002F1B0000}"/>
    <cellStyle name="Normal 2 2 10 2 16 3 3" xfId="6960" xr:uid="{00000000-0005-0000-0000-0000301B0000}"/>
    <cellStyle name="Normal 2 2 10 2 16 3 4" xfId="6961" xr:uid="{00000000-0005-0000-0000-0000311B0000}"/>
    <cellStyle name="Normal 2 2 10 2 16 3 5" xfId="6962" xr:uid="{00000000-0005-0000-0000-0000321B0000}"/>
    <cellStyle name="Normal 2 2 10 2 16 3 6" xfId="6963" xr:uid="{00000000-0005-0000-0000-0000331B0000}"/>
    <cellStyle name="Normal 2 2 10 2 16 3 7" xfId="6964" xr:uid="{00000000-0005-0000-0000-0000341B0000}"/>
    <cellStyle name="Normal 2 2 10 2 16 3 8" xfId="6965" xr:uid="{00000000-0005-0000-0000-0000351B0000}"/>
    <cellStyle name="Normal 2 2 10 2 16 3 9" xfId="6966" xr:uid="{00000000-0005-0000-0000-0000361B0000}"/>
    <cellStyle name="Normal 2 2 10 2 16 4" xfId="6967" xr:uid="{00000000-0005-0000-0000-0000371B0000}"/>
    <cellStyle name="Normal 2 2 10 2 16 4 10" xfId="6968" xr:uid="{00000000-0005-0000-0000-0000381B0000}"/>
    <cellStyle name="Normal 2 2 10 2 16 4 2" xfId="6969" xr:uid="{00000000-0005-0000-0000-0000391B0000}"/>
    <cellStyle name="Normal 2 2 10 2 16 4 3" xfId="6970" xr:uid="{00000000-0005-0000-0000-00003A1B0000}"/>
    <cellStyle name="Normal 2 2 10 2 16 4 4" xfId="6971" xr:uid="{00000000-0005-0000-0000-00003B1B0000}"/>
    <cellStyle name="Normal 2 2 10 2 16 4 5" xfId="6972" xr:uid="{00000000-0005-0000-0000-00003C1B0000}"/>
    <cellStyle name="Normal 2 2 10 2 16 4 6" xfId="6973" xr:uid="{00000000-0005-0000-0000-00003D1B0000}"/>
    <cellStyle name="Normal 2 2 10 2 16 4 7" xfId="6974" xr:uid="{00000000-0005-0000-0000-00003E1B0000}"/>
    <cellStyle name="Normal 2 2 10 2 16 4 8" xfId="6975" xr:uid="{00000000-0005-0000-0000-00003F1B0000}"/>
    <cellStyle name="Normal 2 2 10 2 16 4 9" xfId="6976" xr:uid="{00000000-0005-0000-0000-0000401B0000}"/>
    <cellStyle name="Normal 2 2 10 2 16 5" xfId="6977" xr:uid="{00000000-0005-0000-0000-0000411B0000}"/>
    <cellStyle name="Normal 2 2 10 2 16 5 10" xfId="6978" xr:uid="{00000000-0005-0000-0000-0000421B0000}"/>
    <cellStyle name="Normal 2 2 10 2 16 5 2" xfId="6979" xr:uid="{00000000-0005-0000-0000-0000431B0000}"/>
    <cellStyle name="Normal 2 2 10 2 16 5 3" xfId="6980" xr:uid="{00000000-0005-0000-0000-0000441B0000}"/>
    <cellStyle name="Normal 2 2 10 2 16 5 4" xfId="6981" xr:uid="{00000000-0005-0000-0000-0000451B0000}"/>
    <cellStyle name="Normal 2 2 10 2 16 5 5" xfId="6982" xr:uid="{00000000-0005-0000-0000-0000461B0000}"/>
    <cellStyle name="Normal 2 2 10 2 16 5 6" xfId="6983" xr:uid="{00000000-0005-0000-0000-0000471B0000}"/>
    <cellStyle name="Normal 2 2 10 2 16 5 7" xfId="6984" xr:uid="{00000000-0005-0000-0000-0000481B0000}"/>
    <cellStyle name="Normal 2 2 10 2 16 5 8" xfId="6985" xr:uid="{00000000-0005-0000-0000-0000491B0000}"/>
    <cellStyle name="Normal 2 2 10 2 16 5 9" xfId="6986" xr:uid="{00000000-0005-0000-0000-00004A1B0000}"/>
    <cellStyle name="Normal 2 2 10 2 16 6" xfId="6987" xr:uid="{00000000-0005-0000-0000-00004B1B0000}"/>
    <cellStyle name="Normal 2 2 10 2 16 7" xfId="6988" xr:uid="{00000000-0005-0000-0000-00004C1B0000}"/>
    <cellStyle name="Normal 2 2 10 2 16 8" xfId="6989" xr:uid="{00000000-0005-0000-0000-00004D1B0000}"/>
    <cellStyle name="Normal 2 2 10 2 16 9" xfId="6990" xr:uid="{00000000-0005-0000-0000-00004E1B0000}"/>
    <cellStyle name="Normal 2 2 10 2 17" xfId="6991" xr:uid="{00000000-0005-0000-0000-00004F1B0000}"/>
    <cellStyle name="Normal 2 2 10 2 17 10" xfId="6992" xr:uid="{00000000-0005-0000-0000-0000501B0000}"/>
    <cellStyle name="Normal 2 2 10 2 17 11" xfId="6993" xr:uid="{00000000-0005-0000-0000-0000511B0000}"/>
    <cellStyle name="Normal 2 2 10 2 17 12" xfId="6994" xr:uid="{00000000-0005-0000-0000-0000521B0000}"/>
    <cellStyle name="Normal 2 2 10 2 17 13" xfId="6995" xr:uid="{00000000-0005-0000-0000-0000531B0000}"/>
    <cellStyle name="Normal 2 2 10 2 17 14" xfId="6996" xr:uid="{00000000-0005-0000-0000-0000541B0000}"/>
    <cellStyle name="Normal 2 2 10 2 17 2" xfId="6997" xr:uid="{00000000-0005-0000-0000-0000551B0000}"/>
    <cellStyle name="Normal 2 2 10 2 17 2 10" xfId="6998" xr:uid="{00000000-0005-0000-0000-0000561B0000}"/>
    <cellStyle name="Normal 2 2 10 2 17 2 2" xfId="6999" xr:uid="{00000000-0005-0000-0000-0000571B0000}"/>
    <cellStyle name="Normal 2 2 10 2 17 2 3" xfId="7000" xr:uid="{00000000-0005-0000-0000-0000581B0000}"/>
    <cellStyle name="Normal 2 2 10 2 17 2 4" xfId="7001" xr:uid="{00000000-0005-0000-0000-0000591B0000}"/>
    <cellStyle name="Normal 2 2 10 2 17 2 5" xfId="7002" xr:uid="{00000000-0005-0000-0000-00005A1B0000}"/>
    <cellStyle name="Normal 2 2 10 2 17 2 6" xfId="7003" xr:uid="{00000000-0005-0000-0000-00005B1B0000}"/>
    <cellStyle name="Normal 2 2 10 2 17 2 7" xfId="7004" xr:uid="{00000000-0005-0000-0000-00005C1B0000}"/>
    <cellStyle name="Normal 2 2 10 2 17 2 8" xfId="7005" xr:uid="{00000000-0005-0000-0000-00005D1B0000}"/>
    <cellStyle name="Normal 2 2 10 2 17 2 9" xfId="7006" xr:uid="{00000000-0005-0000-0000-00005E1B0000}"/>
    <cellStyle name="Normal 2 2 10 2 17 3" xfId="7007" xr:uid="{00000000-0005-0000-0000-00005F1B0000}"/>
    <cellStyle name="Normal 2 2 10 2 17 3 10" xfId="7008" xr:uid="{00000000-0005-0000-0000-0000601B0000}"/>
    <cellStyle name="Normal 2 2 10 2 17 3 2" xfId="7009" xr:uid="{00000000-0005-0000-0000-0000611B0000}"/>
    <cellStyle name="Normal 2 2 10 2 17 3 3" xfId="7010" xr:uid="{00000000-0005-0000-0000-0000621B0000}"/>
    <cellStyle name="Normal 2 2 10 2 17 3 4" xfId="7011" xr:uid="{00000000-0005-0000-0000-0000631B0000}"/>
    <cellStyle name="Normal 2 2 10 2 17 3 5" xfId="7012" xr:uid="{00000000-0005-0000-0000-0000641B0000}"/>
    <cellStyle name="Normal 2 2 10 2 17 3 6" xfId="7013" xr:uid="{00000000-0005-0000-0000-0000651B0000}"/>
    <cellStyle name="Normal 2 2 10 2 17 3 7" xfId="7014" xr:uid="{00000000-0005-0000-0000-0000661B0000}"/>
    <cellStyle name="Normal 2 2 10 2 17 3 8" xfId="7015" xr:uid="{00000000-0005-0000-0000-0000671B0000}"/>
    <cellStyle name="Normal 2 2 10 2 17 3 9" xfId="7016" xr:uid="{00000000-0005-0000-0000-0000681B0000}"/>
    <cellStyle name="Normal 2 2 10 2 17 4" xfId="7017" xr:uid="{00000000-0005-0000-0000-0000691B0000}"/>
    <cellStyle name="Normal 2 2 10 2 17 4 10" xfId="7018" xr:uid="{00000000-0005-0000-0000-00006A1B0000}"/>
    <cellStyle name="Normal 2 2 10 2 17 4 2" xfId="7019" xr:uid="{00000000-0005-0000-0000-00006B1B0000}"/>
    <cellStyle name="Normal 2 2 10 2 17 4 3" xfId="7020" xr:uid="{00000000-0005-0000-0000-00006C1B0000}"/>
    <cellStyle name="Normal 2 2 10 2 17 4 4" xfId="7021" xr:uid="{00000000-0005-0000-0000-00006D1B0000}"/>
    <cellStyle name="Normal 2 2 10 2 17 4 5" xfId="7022" xr:uid="{00000000-0005-0000-0000-00006E1B0000}"/>
    <cellStyle name="Normal 2 2 10 2 17 4 6" xfId="7023" xr:uid="{00000000-0005-0000-0000-00006F1B0000}"/>
    <cellStyle name="Normal 2 2 10 2 17 4 7" xfId="7024" xr:uid="{00000000-0005-0000-0000-0000701B0000}"/>
    <cellStyle name="Normal 2 2 10 2 17 4 8" xfId="7025" xr:uid="{00000000-0005-0000-0000-0000711B0000}"/>
    <cellStyle name="Normal 2 2 10 2 17 4 9" xfId="7026" xr:uid="{00000000-0005-0000-0000-0000721B0000}"/>
    <cellStyle name="Normal 2 2 10 2 17 5" xfId="7027" xr:uid="{00000000-0005-0000-0000-0000731B0000}"/>
    <cellStyle name="Normal 2 2 10 2 17 5 10" xfId="7028" xr:uid="{00000000-0005-0000-0000-0000741B0000}"/>
    <cellStyle name="Normal 2 2 10 2 17 5 2" xfId="7029" xr:uid="{00000000-0005-0000-0000-0000751B0000}"/>
    <cellStyle name="Normal 2 2 10 2 17 5 3" xfId="7030" xr:uid="{00000000-0005-0000-0000-0000761B0000}"/>
    <cellStyle name="Normal 2 2 10 2 17 5 4" xfId="7031" xr:uid="{00000000-0005-0000-0000-0000771B0000}"/>
    <cellStyle name="Normal 2 2 10 2 17 5 5" xfId="7032" xr:uid="{00000000-0005-0000-0000-0000781B0000}"/>
    <cellStyle name="Normal 2 2 10 2 17 5 6" xfId="7033" xr:uid="{00000000-0005-0000-0000-0000791B0000}"/>
    <cellStyle name="Normal 2 2 10 2 17 5 7" xfId="7034" xr:uid="{00000000-0005-0000-0000-00007A1B0000}"/>
    <cellStyle name="Normal 2 2 10 2 17 5 8" xfId="7035" xr:uid="{00000000-0005-0000-0000-00007B1B0000}"/>
    <cellStyle name="Normal 2 2 10 2 17 5 9" xfId="7036" xr:uid="{00000000-0005-0000-0000-00007C1B0000}"/>
    <cellStyle name="Normal 2 2 10 2 17 6" xfId="7037" xr:uid="{00000000-0005-0000-0000-00007D1B0000}"/>
    <cellStyle name="Normal 2 2 10 2 17 7" xfId="7038" xr:uid="{00000000-0005-0000-0000-00007E1B0000}"/>
    <cellStyle name="Normal 2 2 10 2 17 8" xfId="7039" xr:uid="{00000000-0005-0000-0000-00007F1B0000}"/>
    <cellStyle name="Normal 2 2 10 2 17 9" xfId="7040" xr:uid="{00000000-0005-0000-0000-0000801B0000}"/>
    <cellStyle name="Normal 2 2 10 2 18" xfId="7041" xr:uid="{00000000-0005-0000-0000-0000811B0000}"/>
    <cellStyle name="Normal 2 2 10 2 18 10" xfId="7042" xr:uid="{00000000-0005-0000-0000-0000821B0000}"/>
    <cellStyle name="Normal 2 2 10 2 18 11" xfId="7043" xr:uid="{00000000-0005-0000-0000-0000831B0000}"/>
    <cellStyle name="Normal 2 2 10 2 18 12" xfId="7044" xr:uid="{00000000-0005-0000-0000-0000841B0000}"/>
    <cellStyle name="Normal 2 2 10 2 18 13" xfId="7045" xr:uid="{00000000-0005-0000-0000-0000851B0000}"/>
    <cellStyle name="Normal 2 2 10 2 18 14" xfId="7046" xr:uid="{00000000-0005-0000-0000-0000861B0000}"/>
    <cellStyle name="Normal 2 2 10 2 18 2" xfId="7047" xr:uid="{00000000-0005-0000-0000-0000871B0000}"/>
    <cellStyle name="Normal 2 2 10 2 18 2 10" xfId="7048" xr:uid="{00000000-0005-0000-0000-0000881B0000}"/>
    <cellStyle name="Normal 2 2 10 2 18 2 2" xfId="7049" xr:uid="{00000000-0005-0000-0000-0000891B0000}"/>
    <cellStyle name="Normal 2 2 10 2 18 2 3" xfId="7050" xr:uid="{00000000-0005-0000-0000-00008A1B0000}"/>
    <cellStyle name="Normal 2 2 10 2 18 2 4" xfId="7051" xr:uid="{00000000-0005-0000-0000-00008B1B0000}"/>
    <cellStyle name="Normal 2 2 10 2 18 2 5" xfId="7052" xr:uid="{00000000-0005-0000-0000-00008C1B0000}"/>
    <cellStyle name="Normal 2 2 10 2 18 2 6" xfId="7053" xr:uid="{00000000-0005-0000-0000-00008D1B0000}"/>
    <cellStyle name="Normal 2 2 10 2 18 2 7" xfId="7054" xr:uid="{00000000-0005-0000-0000-00008E1B0000}"/>
    <cellStyle name="Normal 2 2 10 2 18 2 8" xfId="7055" xr:uid="{00000000-0005-0000-0000-00008F1B0000}"/>
    <cellStyle name="Normal 2 2 10 2 18 2 9" xfId="7056" xr:uid="{00000000-0005-0000-0000-0000901B0000}"/>
    <cellStyle name="Normal 2 2 10 2 18 3" xfId="7057" xr:uid="{00000000-0005-0000-0000-0000911B0000}"/>
    <cellStyle name="Normal 2 2 10 2 18 3 10" xfId="7058" xr:uid="{00000000-0005-0000-0000-0000921B0000}"/>
    <cellStyle name="Normal 2 2 10 2 18 3 2" xfId="7059" xr:uid="{00000000-0005-0000-0000-0000931B0000}"/>
    <cellStyle name="Normal 2 2 10 2 18 3 3" xfId="7060" xr:uid="{00000000-0005-0000-0000-0000941B0000}"/>
    <cellStyle name="Normal 2 2 10 2 18 3 4" xfId="7061" xr:uid="{00000000-0005-0000-0000-0000951B0000}"/>
    <cellStyle name="Normal 2 2 10 2 18 3 5" xfId="7062" xr:uid="{00000000-0005-0000-0000-0000961B0000}"/>
    <cellStyle name="Normal 2 2 10 2 18 3 6" xfId="7063" xr:uid="{00000000-0005-0000-0000-0000971B0000}"/>
    <cellStyle name="Normal 2 2 10 2 18 3 7" xfId="7064" xr:uid="{00000000-0005-0000-0000-0000981B0000}"/>
    <cellStyle name="Normal 2 2 10 2 18 3 8" xfId="7065" xr:uid="{00000000-0005-0000-0000-0000991B0000}"/>
    <cellStyle name="Normal 2 2 10 2 18 3 9" xfId="7066" xr:uid="{00000000-0005-0000-0000-00009A1B0000}"/>
    <cellStyle name="Normal 2 2 10 2 18 4" xfId="7067" xr:uid="{00000000-0005-0000-0000-00009B1B0000}"/>
    <cellStyle name="Normal 2 2 10 2 18 4 10" xfId="7068" xr:uid="{00000000-0005-0000-0000-00009C1B0000}"/>
    <cellStyle name="Normal 2 2 10 2 18 4 2" xfId="7069" xr:uid="{00000000-0005-0000-0000-00009D1B0000}"/>
    <cellStyle name="Normal 2 2 10 2 18 4 3" xfId="7070" xr:uid="{00000000-0005-0000-0000-00009E1B0000}"/>
    <cellStyle name="Normal 2 2 10 2 18 4 4" xfId="7071" xr:uid="{00000000-0005-0000-0000-00009F1B0000}"/>
    <cellStyle name="Normal 2 2 10 2 18 4 5" xfId="7072" xr:uid="{00000000-0005-0000-0000-0000A01B0000}"/>
    <cellStyle name="Normal 2 2 10 2 18 4 6" xfId="7073" xr:uid="{00000000-0005-0000-0000-0000A11B0000}"/>
    <cellStyle name="Normal 2 2 10 2 18 4 7" xfId="7074" xr:uid="{00000000-0005-0000-0000-0000A21B0000}"/>
    <cellStyle name="Normal 2 2 10 2 18 4 8" xfId="7075" xr:uid="{00000000-0005-0000-0000-0000A31B0000}"/>
    <cellStyle name="Normal 2 2 10 2 18 4 9" xfId="7076" xr:uid="{00000000-0005-0000-0000-0000A41B0000}"/>
    <cellStyle name="Normal 2 2 10 2 18 5" xfId="7077" xr:uid="{00000000-0005-0000-0000-0000A51B0000}"/>
    <cellStyle name="Normal 2 2 10 2 18 5 10" xfId="7078" xr:uid="{00000000-0005-0000-0000-0000A61B0000}"/>
    <cellStyle name="Normal 2 2 10 2 18 5 2" xfId="7079" xr:uid="{00000000-0005-0000-0000-0000A71B0000}"/>
    <cellStyle name="Normal 2 2 10 2 18 5 3" xfId="7080" xr:uid="{00000000-0005-0000-0000-0000A81B0000}"/>
    <cellStyle name="Normal 2 2 10 2 18 5 4" xfId="7081" xr:uid="{00000000-0005-0000-0000-0000A91B0000}"/>
    <cellStyle name="Normal 2 2 10 2 18 5 5" xfId="7082" xr:uid="{00000000-0005-0000-0000-0000AA1B0000}"/>
    <cellStyle name="Normal 2 2 10 2 18 5 6" xfId="7083" xr:uid="{00000000-0005-0000-0000-0000AB1B0000}"/>
    <cellStyle name="Normal 2 2 10 2 18 5 7" xfId="7084" xr:uid="{00000000-0005-0000-0000-0000AC1B0000}"/>
    <cellStyle name="Normal 2 2 10 2 18 5 8" xfId="7085" xr:uid="{00000000-0005-0000-0000-0000AD1B0000}"/>
    <cellStyle name="Normal 2 2 10 2 18 5 9" xfId="7086" xr:uid="{00000000-0005-0000-0000-0000AE1B0000}"/>
    <cellStyle name="Normal 2 2 10 2 18 6" xfId="7087" xr:uid="{00000000-0005-0000-0000-0000AF1B0000}"/>
    <cellStyle name="Normal 2 2 10 2 18 7" xfId="7088" xr:uid="{00000000-0005-0000-0000-0000B01B0000}"/>
    <cellStyle name="Normal 2 2 10 2 18 8" xfId="7089" xr:uid="{00000000-0005-0000-0000-0000B11B0000}"/>
    <cellStyle name="Normal 2 2 10 2 18 9" xfId="7090" xr:uid="{00000000-0005-0000-0000-0000B21B0000}"/>
    <cellStyle name="Normal 2 2 10 2 19" xfId="7091" xr:uid="{00000000-0005-0000-0000-0000B31B0000}"/>
    <cellStyle name="Normal 2 2 10 2 19 10" xfId="7092" xr:uid="{00000000-0005-0000-0000-0000B41B0000}"/>
    <cellStyle name="Normal 2 2 10 2 19 11" xfId="7093" xr:uid="{00000000-0005-0000-0000-0000B51B0000}"/>
    <cellStyle name="Normal 2 2 10 2 19 12" xfId="7094" xr:uid="{00000000-0005-0000-0000-0000B61B0000}"/>
    <cellStyle name="Normal 2 2 10 2 19 13" xfId="7095" xr:uid="{00000000-0005-0000-0000-0000B71B0000}"/>
    <cellStyle name="Normal 2 2 10 2 19 14" xfId="7096" xr:uid="{00000000-0005-0000-0000-0000B81B0000}"/>
    <cellStyle name="Normal 2 2 10 2 19 2" xfId="7097" xr:uid="{00000000-0005-0000-0000-0000B91B0000}"/>
    <cellStyle name="Normal 2 2 10 2 19 2 10" xfId="7098" xr:uid="{00000000-0005-0000-0000-0000BA1B0000}"/>
    <cellStyle name="Normal 2 2 10 2 19 2 2" xfId="7099" xr:uid="{00000000-0005-0000-0000-0000BB1B0000}"/>
    <cellStyle name="Normal 2 2 10 2 19 2 3" xfId="7100" xr:uid="{00000000-0005-0000-0000-0000BC1B0000}"/>
    <cellStyle name="Normal 2 2 10 2 19 2 4" xfId="7101" xr:uid="{00000000-0005-0000-0000-0000BD1B0000}"/>
    <cellStyle name="Normal 2 2 10 2 19 2 5" xfId="7102" xr:uid="{00000000-0005-0000-0000-0000BE1B0000}"/>
    <cellStyle name="Normal 2 2 10 2 19 2 6" xfId="7103" xr:uid="{00000000-0005-0000-0000-0000BF1B0000}"/>
    <cellStyle name="Normal 2 2 10 2 19 2 7" xfId="7104" xr:uid="{00000000-0005-0000-0000-0000C01B0000}"/>
    <cellStyle name="Normal 2 2 10 2 19 2 8" xfId="7105" xr:uid="{00000000-0005-0000-0000-0000C11B0000}"/>
    <cellStyle name="Normal 2 2 10 2 19 2 9" xfId="7106" xr:uid="{00000000-0005-0000-0000-0000C21B0000}"/>
    <cellStyle name="Normal 2 2 10 2 19 3" xfId="7107" xr:uid="{00000000-0005-0000-0000-0000C31B0000}"/>
    <cellStyle name="Normal 2 2 10 2 19 3 10" xfId="7108" xr:uid="{00000000-0005-0000-0000-0000C41B0000}"/>
    <cellStyle name="Normal 2 2 10 2 19 3 2" xfId="7109" xr:uid="{00000000-0005-0000-0000-0000C51B0000}"/>
    <cellStyle name="Normal 2 2 10 2 19 3 3" xfId="7110" xr:uid="{00000000-0005-0000-0000-0000C61B0000}"/>
    <cellStyle name="Normal 2 2 10 2 19 3 4" xfId="7111" xr:uid="{00000000-0005-0000-0000-0000C71B0000}"/>
    <cellStyle name="Normal 2 2 10 2 19 3 5" xfId="7112" xr:uid="{00000000-0005-0000-0000-0000C81B0000}"/>
    <cellStyle name="Normal 2 2 10 2 19 3 6" xfId="7113" xr:uid="{00000000-0005-0000-0000-0000C91B0000}"/>
    <cellStyle name="Normal 2 2 10 2 19 3 7" xfId="7114" xr:uid="{00000000-0005-0000-0000-0000CA1B0000}"/>
    <cellStyle name="Normal 2 2 10 2 19 3 8" xfId="7115" xr:uid="{00000000-0005-0000-0000-0000CB1B0000}"/>
    <cellStyle name="Normal 2 2 10 2 19 3 9" xfId="7116" xr:uid="{00000000-0005-0000-0000-0000CC1B0000}"/>
    <cellStyle name="Normal 2 2 10 2 19 4" xfId="7117" xr:uid="{00000000-0005-0000-0000-0000CD1B0000}"/>
    <cellStyle name="Normal 2 2 10 2 19 4 10" xfId="7118" xr:uid="{00000000-0005-0000-0000-0000CE1B0000}"/>
    <cellStyle name="Normal 2 2 10 2 19 4 2" xfId="7119" xr:uid="{00000000-0005-0000-0000-0000CF1B0000}"/>
    <cellStyle name="Normal 2 2 10 2 19 4 3" xfId="7120" xr:uid="{00000000-0005-0000-0000-0000D01B0000}"/>
    <cellStyle name="Normal 2 2 10 2 19 4 4" xfId="7121" xr:uid="{00000000-0005-0000-0000-0000D11B0000}"/>
    <cellStyle name="Normal 2 2 10 2 19 4 5" xfId="7122" xr:uid="{00000000-0005-0000-0000-0000D21B0000}"/>
    <cellStyle name="Normal 2 2 10 2 19 4 6" xfId="7123" xr:uid="{00000000-0005-0000-0000-0000D31B0000}"/>
    <cellStyle name="Normal 2 2 10 2 19 4 7" xfId="7124" xr:uid="{00000000-0005-0000-0000-0000D41B0000}"/>
    <cellStyle name="Normal 2 2 10 2 19 4 8" xfId="7125" xr:uid="{00000000-0005-0000-0000-0000D51B0000}"/>
    <cellStyle name="Normal 2 2 10 2 19 4 9" xfId="7126" xr:uid="{00000000-0005-0000-0000-0000D61B0000}"/>
    <cellStyle name="Normal 2 2 10 2 19 5" xfId="7127" xr:uid="{00000000-0005-0000-0000-0000D71B0000}"/>
    <cellStyle name="Normal 2 2 10 2 19 5 10" xfId="7128" xr:uid="{00000000-0005-0000-0000-0000D81B0000}"/>
    <cellStyle name="Normal 2 2 10 2 19 5 2" xfId="7129" xr:uid="{00000000-0005-0000-0000-0000D91B0000}"/>
    <cellStyle name="Normal 2 2 10 2 19 5 3" xfId="7130" xr:uid="{00000000-0005-0000-0000-0000DA1B0000}"/>
    <cellStyle name="Normal 2 2 10 2 19 5 4" xfId="7131" xr:uid="{00000000-0005-0000-0000-0000DB1B0000}"/>
    <cellStyle name="Normal 2 2 10 2 19 5 5" xfId="7132" xr:uid="{00000000-0005-0000-0000-0000DC1B0000}"/>
    <cellStyle name="Normal 2 2 10 2 19 5 6" xfId="7133" xr:uid="{00000000-0005-0000-0000-0000DD1B0000}"/>
    <cellStyle name="Normal 2 2 10 2 19 5 7" xfId="7134" xr:uid="{00000000-0005-0000-0000-0000DE1B0000}"/>
    <cellStyle name="Normal 2 2 10 2 19 5 8" xfId="7135" xr:uid="{00000000-0005-0000-0000-0000DF1B0000}"/>
    <cellStyle name="Normal 2 2 10 2 19 5 9" xfId="7136" xr:uid="{00000000-0005-0000-0000-0000E01B0000}"/>
    <cellStyle name="Normal 2 2 10 2 19 6" xfId="7137" xr:uid="{00000000-0005-0000-0000-0000E11B0000}"/>
    <cellStyle name="Normal 2 2 10 2 19 7" xfId="7138" xr:uid="{00000000-0005-0000-0000-0000E21B0000}"/>
    <cellStyle name="Normal 2 2 10 2 19 8" xfId="7139" xr:uid="{00000000-0005-0000-0000-0000E31B0000}"/>
    <cellStyle name="Normal 2 2 10 2 19 9" xfId="7140" xr:uid="{00000000-0005-0000-0000-0000E41B0000}"/>
    <cellStyle name="Normal 2 2 10 2 2" xfId="7141" xr:uid="{00000000-0005-0000-0000-0000E51B0000}"/>
    <cellStyle name="Normal 2 2 10 2 2 10" xfId="7142" xr:uid="{00000000-0005-0000-0000-0000E61B0000}"/>
    <cellStyle name="Normal 2 2 10 2 2 11" xfId="7143" xr:uid="{00000000-0005-0000-0000-0000E71B0000}"/>
    <cellStyle name="Normal 2 2 10 2 2 12" xfId="7144" xr:uid="{00000000-0005-0000-0000-0000E81B0000}"/>
    <cellStyle name="Normal 2 2 10 2 2 13" xfId="7145" xr:uid="{00000000-0005-0000-0000-0000E91B0000}"/>
    <cellStyle name="Normal 2 2 10 2 2 14" xfId="7146" xr:uid="{00000000-0005-0000-0000-0000EA1B0000}"/>
    <cellStyle name="Normal 2 2 10 2 2 2" xfId="7147" xr:uid="{00000000-0005-0000-0000-0000EB1B0000}"/>
    <cellStyle name="Normal 2 2 10 2 2 2 10" xfId="7148" xr:uid="{00000000-0005-0000-0000-0000EC1B0000}"/>
    <cellStyle name="Normal 2 2 10 2 2 2 2" xfId="7149" xr:uid="{00000000-0005-0000-0000-0000ED1B0000}"/>
    <cellStyle name="Normal 2 2 10 2 2 2 3" xfId="7150" xr:uid="{00000000-0005-0000-0000-0000EE1B0000}"/>
    <cellStyle name="Normal 2 2 10 2 2 2 4" xfId="7151" xr:uid="{00000000-0005-0000-0000-0000EF1B0000}"/>
    <cellStyle name="Normal 2 2 10 2 2 2 5" xfId="7152" xr:uid="{00000000-0005-0000-0000-0000F01B0000}"/>
    <cellStyle name="Normal 2 2 10 2 2 2 6" xfId="7153" xr:uid="{00000000-0005-0000-0000-0000F11B0000}"/>
    <cellStyle name="Normal 2 2 10 2 2 2 7" xfId="7154" xr:uid="{00000000-0005-0000-0000-0000F21B0000}"/>
    <cellStyle name="Normal 2 2 10 2 2 2 8" xfId="7155" xr:uid="{00000000-0005-0000-0000-0000F31B0000}"/>
    <cellStyle name="Normal 2 2 10 2 2 2 9" xfId="7156" xr:uid="{00000000-0005-0000-0000-0000F41B0000}"/>
    <cellStyle name="Normal 2 2 10 2 2 3" xfId="7157" xr:uid="{00000000-0005-0000-0000-0000F51B0000}"/>
    <cellStyle name="Normal 2 2 10 2 2 3 10" xfId="7158" xr:uid="{00000000-0005-0000-0000-0000F61B0000}"/>
    <cellStyle name="Normal 2 2 10 2 2 3 2" xfId="7159" xr:uid="{00000000-0005-0000-0000-0000F71B0000}"/>
    <cellStyle name="Normal 2 2 10 2 2 3 3" xfId="7160" xr:uid="{00000000-0005-0000-0000-0000F81B0000}"/>
    <cellStyle name="Normal 2 2 10 2 2 3 4" xfId="7161" xr:uid="{00000000-0005-0000-0000-0000F91B0000}"/>
    <cellStyle name="Normal 2 2 10 2 2 3 5" xfId="7162" xr:uid="{00000000-0005-0000-0000-0000FA1B0000}"/>
    <cellStyle name="Normal 2 2 10 2 2 3 6" xfId="7163" xr:uid="{00000000-0005-0000-0000-0000FB1B0000}"/>
    <cellStyle name="Normal 2 2 10 2 2 3 7" xfId="7164" xr:uid="{00000000-0005-0000-0000-0000FC1B0000}"/>
    <cellStyle name="Normal 2 2 10 2 2 3 8" xfId="7165" xr:uid="{00000000-0005-0000-0000-0000FD1B0000}"/>
    <cellStyle name="Normal 2 2 10 2 2 3 9" xfId="7166" xr:uid="{00000000-0005-0000-0000-0000FE1B0000}"/>
    <cellStyle name="Normal 2 2 10 2 2 4" xfId="7167" xr:uid="{00000000-0005-0000-0000-0000FF1B0000}"/>
    <cellStyle name="Normal 2 2 10 2 2 4 10" xfId="7168" xr:uid="{00000000-0005-0000-0000-0000001C0000}"/>
    <cellStyle name="Normal 2 2 10 2 2 4 2" xfId="7169" xr:uid="{00000000-0005-0000-0000-0000011C0000}"/>
    <cellStyle name="Normal 2 2 10 2 2 4 3" xfId="7170" xr:uid="{00000000-0005-0000-0000-0000021C0000}"/>
    <cellStyle name="Normal 2 2 10 2 2 4 4" xfId="7171" xr:uid="{00000000-0005-0000-0000-0000031C0000}"/>
    <cellStyle name="Normal 2 2 10 2 2 4 5" xfId="7172" xr:uid="{00000000-0005-0000-0000-0000041C0000}"/>
    <cellStyle name="Normal 2 2 10 2 2 4 6" xfId="7173" xr:uid="{00000000-0005-0000-0000-0000051C0000}"/>
    <cellStyle name="Normal 2 2 10 2 2 4 7" xfId="7174" xr:uid="{00000000-0005-0000-0000-0000061C0000}"/>
    <cellStyle name="Normal 2 2 10 2 2 4 8" xfId="7175" xr:uid="{00000000-0005-0000-0000-0000071C0000}"/>
    <cellStyle name="Normal 2 2 10 2 2 4 9" xfId="7176" xr:uid="{00000000-0005-0000-0000-0000081C0000}"/>
    <cellStyle name="Normal 2 2 10 2 2 5" xfId="7177" xr:uid="{00000000-0005-0000-0000-0000091C0000}"/>
    <cellStyle name="Normal 2 2 10 2 2 5 10" xfId="7178" xr:uid="{00000000-0005-0000-0000-00000A1C0000}"/>
    <cellStyle name="Normal 2 2 10 2 2 5 2" xfId="7179" xr:uid="{00000000-0005-0000-0000-00000B1C0000}"/>
    <cellStyle name="Normal 2 2 10 2 2 5 3" xfId="7180" xr:uid="{00000000-0005-0000-0000-00000C1C0000}"/>
    <cellStyle name="Normal 2 2 10 2 2 5 4" xfId="7181" xr:uid="{00000000-0005-0000-0000-00000D1C0000}"/>
    <cellStyle name="Normal 2 2 10 2 2 5 5" xfId="7182" xr:uid="{00000000-0005-0000-0000-00000E1C0000}"/>
    <cellStyle name="Normal 2 2 10 2 2 5 6" xfId="7183" xr:uid="{00000000-0005-0000-0000-00000F1C0000}"/>
    <cellStyle name="Normal 2 2 10 2 2 5 7" xfId="7184" xr:uid="{00000000-0005-0000-0000-0000101C0000}"/>
    <cellStyle name="Normal 2 2 10 2 2 5 8" xfId="7185" xr:uid="{00000000-0005-0000-0000-0000111C0000}"/>
    <cellStyle name="Normal 2 2 10 2 2 5 9" xfId="7186" xr:uid="{00000000-0005-0000-0000-0000121C0000}"/>
    <cellStyle name="Normal 2 2 10 2 2 6" xfId="7187" xr:uid="{00000000-0005-0000-0000-0000131C0000}"/>
    <cellStyle name="Normal 2 2 10 2 2 7" xfId="7188" xr:uid="{00000000-0005-0000-0000-0000141C0000}"/>
    <cellStyle name="Normal 2 2 10 2 2 8" xfId="7189" xr:uid="{00000000-0005-0000-0000-0000151C0000}"/>
    <cellStyle name="Normal 2 2 10 2 2 9" xfId="7190" xr:uid="{00000000-0005-0000-0000-0000161C0000}"/>
    <cellStyle name="Normal 2 2 10 2 20" xfId="7191" xr:uid="{00000000-0005-0000-0000-0000171C0000}"/>
    <cellStyle name="Normal 2 2 10 2 20 10" xfId="7192" xr:uid="{00000000-0005-0000-0000-0000181C0000}"/>
    <cellStyle name="Normal 2 2 10 2 20 11" xfId="7193" xr:uid="{00000000-0005-0000-0000-0000191C0000}"/>
    <cellStyle name="Normal 2 2 10 2 20 12" xfId="7194" xr:uid="{00000000-0005-0000-0000-00001A1C0000}"/>
    <cellStyle name="Normal 2 2 10 2 20 13" xfId="7195" xr:uid="{00000000-0005-0000-0000-00001B1C0000}"/>
    <cellStyle name="Normal 2 2 10 2 20 14" xfId="7196" xr:uid="{00000000-0005-0000-0000-00001C1C0000}"/>
    <cellStyle name="Normal 2 2 10 2 20 2" xfId="7197" xr:uid="{00000000-0005-0000-0000-00001D1C0000}"/>
    <cellStyle name="Normal 2 2 10 2 20 2 10" xfId="7198" xr:uid="{00000000-0005-0000-0000-00001E1C0000}"/>
    <cellStyle name="Normal 2 2 10 2 20 2 2" xfId="7199" xr:uid="{00000000-0005-0000-0000-00001F1C0000}"/>
    <cellStyle name="Normal 2 2 10 2 20 2 3" xfId="7200" xr:uid="{00000000-0005-0000-0000-0000201C0000}"/>
    <cellStyle name="Normal 2 2 10 2 20 2 4" xfId="7201" xr:uid="{00000000-0005-0000-0000-0000211C0000}"/>
    <cellStyle name="Normal 2 2 10 2 20 2 5" xfId="7202" xr:uid="{00000000-0005-0000-0000-0000221C0000}"/>
    <cellStyle name="Normal 2 2 10 2 20 2 6" xfId="7203" xr:uid="{00000000-0005-0000-0000-0000231C0000}"/>
    <cellStyle name="Normal 2 2 10 2 20 2 7" xfId="7204" xr:uid="{00000000-0005-0000-0000-0000241C0000}"/>
    <cellStyle name="Normal 2 2 10 2 20 2 8" xfId="7205" xr:uid="{00000000-0005-0000-0000-0000251C0000}"/>
    <cellStyle name="Normal 2 2 10 2 20 2 9" xfId="7206" xr:uid="{00000000-0005-0000-0000-0000261C0000}"/>
    <cellStyle name="Normal 2 2 10 2 20 3" xfId="7207" xr:uid="{00000000-0005-0000-0000-0000271C0000}"/>
    <cellStyle name="Normal 2 2 10 2 20 3 10" xfId="7208" xr:uid="{00000000-0005-0000-0000-0000281C0000}"/>
    <cellStyle name="Normal 2 2 10 2 20 3 2" xfId="7209" xr:uid="{00000000-0005-0000-0000-0000291C0000}"/>
    <cellStyle name="Normal 2 2 10 2 20 3 3" xfId="7210" xr:uid="{00000000-0005-0000-0000-00002A1C0000}"/>
    <cellStyle name="Normal 2 2 10 2 20 3 4" xfId="7211" xr:uid="{00000000-0005-0000-0000-00002B1C0000}"/>
    <cellStyle name="Normal 2 2 10 2 20 3 5" xfId="7212" xr:uid="{00000000-0005-0000-0000-00002C1C0000}"/>
    <cellStyle name="Normal 2 2 10 2 20 3 6" xfId="7213" xr:uid="{00000000-0005-0000-0000-00002D1C0000}"/>
    <cellStyle name="Normal 2 2 10 2 20 3 7" xfId="7214" xr:uid="{00000000-0005-0000-0000-00002E1C0000}"/>
    <cellStyle name="Normal 2 2 10 2 20 3 8" xfId="7215" xr:uid="{00000000-0005-0000-0000-00002F1C0000}"/>
    <cellStyle name="Normal 2 2 10 2 20 3 9" xfId="7216" xr:uid="{00000000-0005-0000-0000-0000301C0000}"/>
    <cellStyle name="Normal 2 2 10 2 20 4" xfId="7217" xr:uid="{00000000-0005-0000-0000-0000311C0000}"/>
    <cellStyle name="Normal 2 2 10 2 20 4 10" xfId="7218" xr:uid="{00000000-0005-0000-0000-0000321C0000}"/>
    <cellStyle name="Normal 2 2 10 2 20 4 2" xfId="7219" xr:uid="{00000000-0005-0000-0000-0000331C0000}"/>
    <cellStyle name="Normal 2 2 10 2 20 4 3" xfId="7220" xr:uid="{00000000-0005-0000-0000-0000341C0000}"/>
    <cellStyle name="Normal 2 2 10 2 20 4 4" xfId="7221" xr:uid="{00000000-0005-0000-0000-0000351C0000}"/>
    <cellStyle name="Normal 2 2 10 2 20 4 5" xfId="7222" xr:uid="{00000000-0005-0000-0000-0000361C0000}"/>
    <cellStyle name="Normal 2 2 10 2 20 4 6" xfId="7223" xr:uid="{00000000-0005-0000-0000-0000371C0000}"/>
    <cellStyle name="Normal 2 2 10 2 20 4 7" xfId="7224" xr:uid="{00000000-0005-0000-0000-0000381C0000}"/>
    <cellStyle name="Normal 2 2 10 2 20 4 8" xfId="7225" xr:uid="{00000000-0005-0000-0000-0000391C0000}"/>
    <cellStyle name="Normal 2 2 10 2 20 4 9" xfId="7226" xr:uid="{00000000-0005-0000-0000-00003A1C0000}"/>
    <cellStyle name="Normal 2 2 10 2 20 5" xfId="7227" xr:uid="{00000000-0005-0000-0000-00003B1C0000}"/>
    <cellStyle name="Normal 2 2 10 2 20 5 10" xfId="7228" xr:uid="{00000000-0005-0000-0000-00003C1C0000}"/>
    <cellStyle name="Normal 2 2 10 2 20 5 2" xfId="7229" xr:uid="{00000000-0005-0000-0000-00003D1C0000}"/>
    <cellStyle name="Normal 2 2 10 2 20 5 3" xfId="7230" xr:uid="{00000000-0005-0000-0000-00003E1C0000}"/>
    <cellStyle name="Normal 2 2 10 2 20 5 4" xfId="7231" xr:uid="{00000000-0005-0000-0000-00003F1C0000}"/>
    <cellStyle name="Normal 2 2 10 2 20 5 5" xfId="7232" xr:uid="{00000000-0005-0000-0000-0000401C0000}"/>
    <cellStyle name="Normal 2 2 10 2 20 5 6" xfId="7233" xr:uid="{00000000-0005-0000-0000-0000411C0000}"/>
    <cellStyle name="Normal 2 2 10 2 20 5 7" xfId="7234" xr:uid="{00000000-0005-0000-0000-0000421C0000}"/>
    <cellStyle name="Normal 2 2 10 2 20 5 8" xfId="7235" xr:uid="{00000000-0005-0000-0000-0000431C0000}"/>
    <cellStyle name="Normal 2 2 10 2 20 5 9" xfId="7236" xr:uid="{00000000-0005-0000-0000-0000441C0000}"/>
    <cellStyle name="Normal 2 2 10 2 20 6" xfId="7237" xr:uid="{00000000-0005-0000-0000-0000451C0000}"/>
    <cellStyle name="Normal 2 2 10 2 20 7" xfId="7238" xr:uid="{00000000-0005-0000-0000-0000461C0000}"/>
    <cellStyle name="Normal 2 2 10 2 20 8" xfId="7239" xr:uid="{00000000-0005-0000-0000-0000471C0000}"/>
    <cellStyle name="Normal 2 2 10 2 20 9" xfId="7240" xr:uid="{00000000-0005-0000-0000-0000481C0000}"/>
    <cellStyle name="Normal 2 2 10 2 21" xfId="7241" xr:uid="{00000000-0005-0000-0000-0000491C0000}"/>
    <cellStyle name="Normal 2 2 10 2 21 10" xfId="7242" xr:uid="{00000000-0005-0000-0000-00004A1C0000}"/>
    <cellStyle name="Normal 2 2 10 2 21 11" xfId="7243" xr:uid="{00000000-0005-0000-0000-00004B1C0000}"/>
    <cellStyle name="Normal 2 2 10 2 21 12" xfId="7244" xr:uid="{00000000-0005-0000-0000-00004C1C0000}"/>
    <cellStyle name="Normal 2 2 10 2 21 13" xfId="7245" xr:uid="{00000000-0005-0000-0000-00004D1C0000}"/>
    <cellStyle name="Normal 2 2 10 2 21 14" xfId="7246" xr:uid="{00000000-0005-0000-0000-00004E1C0000}"/>
    <cellStyle name="Normal 2 2 10 2 21 2" xfId="7247" xr:uid="{00000000-0005-0000-0000-00004F1C0000}"/>
    <cellStyle name="Normal 2 2 10 2 21 2 10" xfId="7248" xr:uid="{00000000-0005-0000-0000-0000501C0000}"/>
    <cellStyle name="Normal 2 2 10 2 21 2 2" xfId="7249" xr:uid="{00000000-0005-0000-0000-0000511C0000}"/>
    <cellStyle name="Normal 2 2 10 2 21 2 3" xfId="7250" xr:uid="{00000000-0005-0000-0000-0000521C0000}"/>
    <cellStyle name="Normal 2 2 10 2 21 2 4" xfId="7251" xr:uid="{00000000-0005-0000-0000-0000531C0000}"/>
    <cellStyle name="Normal 2 2 10 2 21 2 5" xfId="7252" xr:uid="{00000000-0005-0000-0000-0000541C0000}"/>
    <cellStyle name="Normal 2 2 10 2 21 2 6" xfId="7253" xr:uid="{00000000-0005-0000-0000-0000551C0000}"/>
    <cellStyle name="Normal 2 2 10 2 21 2 7" xfId="7254" xr:uid="{00000000-0005-0000-0000-0000561C0000}"/>
    <cellStyle name="Normal 2 2 10 2 21 2 8" xfId="7255" xr:uid="{00000000-0005-0000-0000-0000571C0000}"/>
    <cellStyle name="Normal 2 2 10 2 21 2 9" xfId="7256" xr:uid="{00000000-0005-0000-0000-0000581C0000}"/>
    <cellStyle name="Normal 2 2 10 2 21 3" xfId="7257" xr:uid="{00000000-0005-0000-0000-0000591C0000}"/>
    <cellStyle name="Normal 2 2 10 2 21 3 10" xfId="7258" xr:uid="{00000000-0005-0000-0000-00005A1C0000}"/>
    <cellStyle name="Normal 2 2 10 2 21 3 2" xfId="7259" xr:uid="{00000000-0005-0000-0000-00005B1C0000}"/>
    <cellStyle name="Normal 2 2 10 2 21 3 3" xfId="7260" xr:uid="{00000000-0005-0000-0000-00005C1C0000}"/>
    <cellStyle name="Normal 2 2 10 2 21 3 4" xfId="7261" xr:uid="{00000000-0005-0000-0000-00005D1C0000}"/>
    <cellStyle name="Normal 2 2 10 2 21 3 5" xfId="7262" xr:uid="{00000000-0005-0000-0000-00005E1C0000}"/>
    <cellStyle name="Normal 2 2 10 2 21 3 6" xfId="7263" xr:uid="{00000000-0005-0000-0000-00005F1C0000}"/>
    <cellStyle name="Normal 2 2 10 2 21 3 7" xfId="7264" xr:uid="{00000000-0005-0000-0000-0000601C0000}"/>
    <cellStyle name="Normal 2 2 10 2 21 3 8" xfId="7265" xr:uid="{00000000-0005-0000-0000-0000611C0000}"/>
    <cellStyle name="Normal 2 2 10 2 21 3 9" xfId="7266" xr:uid="{00000000-0005-0000-0000-0000621C0000}"/>
    <cellStyle name="Normal 2 2 10 2 21 4" xfId="7267" xr:uid="{00000000-0005-0000-0000-0000631C0000}"/>
    <cellStyle name="Normal 2 2 10 2 21 4 10" xfId="7268" xr:uid="{00000000-0005-0000-0000-0000641C0000}"/>
    <cellStyle name="Normal 2 2 10 2 21 4 2" xfId="7269" xr:uid="{00000000-0005-0000-0000-0000651C0000}"/>
    <cellStyle name="Normal 2 2 10 2 21 4 3" xfId="7270" xr:uid="{00000000-0005-0000-0000-0000661C0000}"/>
    <cellStyle name="Normal 2 2 10 2 21 4 4" xfId="7271" xr:uid="{00000000-0005-0000-0000-0000671C0000}"/>
    <cellStyle name="Normal 2 2 10 2 21 4 5" xfId="7272" xr:uid="{00000000-0005-0000-0000-0000681C0000}"/>
    <cellStyle name="Normal 2 2 10 2 21 4 6" xfId="7273" xr:uid="{00000000-0005-0000-0000-0000691C0000}"/>
    <cellStyle name="Normal 2 2 10 2 21 4 7" xfId="7274" xr:uid="{00000000-0005-0000-0000-00006A1C0000}"/>
    <cellStyle name="Normal 2 2 10 2 21 4 8" xfId="7275" xr:uid="{00000000-0005-0000-0000-00006B1C0000}"/>
    <cellStyle name="Normal 2 2 10 2 21 4 9" xfId="7276" xr:uid="{00000000-0005-0000-0000-00006C1C0000}"/>
    <cellStyle name="Normal 2 2 10 2 21 5" xfId="7277" xr:uid="{00000000-0005-0000-0000-00006D1C0000}"/>
    <cellStyle name="Normal 2 2 10 2 21 5 10" xfId="7278" xr:uid="{00000000-0005-0000-0000-00006E1C0000}"/>
    <cellStyle name="Normal 2 2 10 2 21 5 2" xfId="7279" xr:uid="{00000000-0005-0000-0000-00006F1C0000}"/>
    <cellStyle name="Normal 2 2 10 2 21 5 3" xfId="7280" xr:uid="{00000000-0005-0000-0000-0000701C0000}"/>
    <cellStyle name="Normal 2 2 10 2 21 5 4" xfId="7281" xr:uid="{00000000-0005-0000-0000-0000711C0000}"/>
    <cellStyle name="Normal 2 2 10 2 21 5 5" xfId="7282" xr:uid="{00000000-0005-0000-0000-0000721C0000}"/>
    <cellStyle name="Normal 2 2 10 2 21 5 6" xfId="7283" xr:uid="{00000000-0005-0000-0000-0000731C0000}"/>
    <cellStyle name="Normal 2 2 10 2 21 5 7" xfId="7284" xr:uid="{00000000-0005-0000-0000-0000741C0000}"/>
    <cellStyle name="Normal 2 2 10 2 21 5 8" xfId="7285" xr:uid="{00000000-0005-0000-0000-0000751C0000}"/>
    <cellStyle name="Normal 2 2 10 2 21 5 9" xfId="7286" xr:uid="{00000000-0005-0000-0000-0000761C0000}"/>
    <cellStyle name="Normal 2 2 10 2 21 6" xfId="7287" xr:uid="{00000000-0005-0000-0000-0000771C0000}"/>
    <cellStyle name="Normal 2 2 10 2 21 7" xfId="7288" xr:uid="{00000000-0005-0000-0000-0000781C0000}"/>
    <cellStyle name="Normal 2 2 10 2 21 8" xfId="7289" xr:uid="{00000000-0005-0000-0000-0000791C0000}"/>
    <cellStyle name="Normal 2 2 10 2 21 9" xfId="7290" xr:uid="{00000000-0005-0000-0000-00007A1C0000}"/>
    <cellStyle name="Normal 2 2 10 2 22" xfId="7291" xr:uid="{00000000-0005-0000-0000-00007B1C0000}"/>
    <cellStyle name="Normal 2 2 10 2 22 10" xfId="7292" xr:uid="{00000000-0005-0000-0000-00007C1C0000}"/>
    <cellStyle name="Normal 2 2 10 2 22 11" xfId="7293" xr:uid="{00000000-0005-0000-0000-00007D1C0000}"/>
    <cellStyle name="Normal 2 2 10 2 22 12" xfId="7294" xr:uid="{00000000-0005-0000-0000-00007E1C0000}"/>
    <cellStyle name="Normal 2 2 10 2 22 13" xfId="7295" xr:uid="{00000000-0005-0000-0000-00007F1C0000}"/>
    <cellStyle name="Normal 2 2 10 2 22 14" xfId="7296" xr:uid="{00000000-0005-0000-0000-0000801C0000}"/>
    <cellStyle name="Normal 2 2 10 2 22 2" xfId="7297" xr:uid="{00000000-0005-0000-0000-0000811C0000}"/>
    <cellStyle name="Normal 2 2 10 2 22 2 10" xfId="7298" xr:uid="{00000000-0005-0000-0000-0000821C0000}"/>
    <cellStyle name="Normal 2 2 10 2 22 2 2" xfId="7299" xr:uid="{00000000-0005-0000-0000-0000831C0000}"/>
    <cellStyle name="Normal 2 2 10 2 22 2 3" xfId="7300" xr:uid="{00000000-0005-0000-0000-0000841C0000}"/>
    <cellStyle name="Normal 2 2 10 2 22 2 4" xfId="7301" xr:uid="{00000000-0005-0000-0000-0000851C0000}"/>
    <cellStyle name="Normal 2 2 10 2 22 2 5" xfId="7302" xr:uid="{00000000-0005-0000-0000-0000861C0000}"/>
    <cellStyle name="Normal 2 2 10 2 22 2 6" xfId="7303" xr:uid="{00000000-0005-0000-0000-0000871C0000}"/>
    <cellStyle name="Normal 2 2 10 2 22 2 7" xfId="7304" xr:uid="{00000000-0005-0000-0000-0000881C0000}"/>
    <cellStyle name="Normal 2 2 10 2 22 2 8" xfId="7305" xr:uid="{00000000-0005-0000-0000-0000891C0000}"/>
    <cellStyle name="Normal 2 2 10 2 22 2 9" xfId="7306" xr:uid="{00000000-0005-0000-0000-00008A1C0000}"/>
    <cellStyle name="Normal 2 2 10 2 22 3" xfId="7307" xr:uid="{00000000-0005-0000-0000-00008B1C0000}"/>
    <cellStyle name="Normal 2 2 10 2 22 3 10" xfId="7308" xr:uid="{00000000-0005-0000-0000-00008C1C0000}"/>
    <cellStyle name="Normal 2 2 10 2 22 3 2" xfId="7309" xr:uid="{00000000-0005-0000-0000-00008D1C0000}"/>
    <cellStyle name="Normal 2 2 10 2 22 3 3" xfId="7310" xr:uid="{00000000-0005-0000-0000-00008E1C0000}"/>
    <cellStyle name="Normal 2 2 10 2 22 3 4" xfId="7311" xr:uid="{00000000-0005-0000-0000-00008F1C0000}"/>
    <cellStyle name="Normal 2 2 10 2 22 3 5" xfId="7312" xr:uid="{00000000-0005-0000-0000-0000901C0000}"/>
    <cellStyle name="Normal 2 2 10 2 22 3 6" xfId="7313" xr:uid="{00000000-0005-0000-0000-0000911C0000}"/>
    <cellStyle name="Normal 2 2 10 2 22 3 7" xfId="7314" xr:uid="{00000000-0005-0000-0000-0000921C0000}"/>
    <cellStyle name="Normal 2 2 10 2 22 3 8" xfId="7315" xr:uid="{00000000-0005-0000-0000-0000931C0000}"/>
    <cellStyle name="Normal 2 2 10 2 22 3 9" xfId="7316" xr:uid="{00000000-0005-0000-0000-0000941C0000}"/>
    <cellStyle name="Normal 2 2 10 2 22 4" xfId="7317" xr:uid="{00000000-0005-0000-0000-0000951C0000}"/>
    <cellStyle name="Normal 2 2 10 2 22 4 10" xfId="7318" xr:uid="{00000000-0005-0000-0000-0000961C0000}"/>
    <cellStyle name="Normal 2 2 10 2 22 4 2" xfId="7319" xr:uid="{00000000-0005-0000-0000-0000971C0000}"/>
    <cellStyle name="Normal 2 2 10 2 22 4 3" xfId="7320" xr:uid="{00000000-0005-0000-0000-0000981C0000}"/>
    <cellStyle name="Normal 2 2 10 2 22 4 4" xfId="7321" xr:uid="{00000000-0005-0000-0000-0000991C0000}"/>
    <cellStyle name="Normal 2 2 10 2 22 4 5" xfId="7322" xr:uid="{00000000-0005-0000-0000-00009A1C0000}"/>
    <cellStyle name="Normal 2 2 10 2 22 4 6" xfId="7323" xr:uid="{00000000-0005-0000-0000-00009B1C0000}"/>
    <cellStyle name="Normal 2 2 10 2 22 4 7" xfId="7324" xr:uid="{00000000-0005-0000-0000-00009C1C0000}"/>
    <cellStyle name="Normal 2 2 10 2 22 4 8" xfId="7325" xr:uid="{00000000-0005-0000-0000-00009D1C0000}"/>
    <cellStyle name="Normal 2 2 10 2 22 4 9" xfId="7326" xr:uid="{00000000-0005-0000-0000-00009E1C0000}"/>
    <cellStyle name="Normal 2 2 10 2 22 5" xfId="7327" xr:uid="{00000000-0005-0000-0000-00009F1C0000}"/>
    <cellStyle name="Normal 2 2 10 2 22 5 10" xfId="7328" xr:uid="{00000000-0005-0000-0000-0000A01C0000}"/>
    <cellStyle name="Normal 2 2 10 2 22 5 2" xfId="7329" xr:uid="{00000000-0005-0000-0000-0000A11C0000}"/>
    <cellStyle name="Normal 2 2 10 2 22 5 3" xfId="7330" xr:uid="{00000000-0005-0000-0000-0000A21C0000}"/>
    <cellStyle name="Normal 2 2 10 2 22 5 4" xfId="7331" xr:uid="{00000000-0005-0000-0000-0000A31C0000}"/>
    <cellStyle name="Normal 2 2 10 2 22 5 5" xfId="7332" xr:uid="{00000000-0005-0000-0000-0000A41C0000}"/>
    <cellStyle name="Normal 2 2 10 2 22 5 6" xfId="7333" xr:uid="{00000000-0005-0000-0000-0000A51C0000}"/>
    <cellStyle name="Normal 2 2 10 2 22 5 7" xfId="7334" xr:uid="{00000000-0005-0000-0000-0000A61C0000}"/>
    <cellStyle name="Normal 2 2 10 2 22 5 8" xfId="7335" xr:uid="{00000000-0005-0000-0000-0000A71C0000}"/>
    <cellStyle name="Normal 2 2 10 2 22 5 9" xfId="7336" xr:uid="{00000000-0005-0000-0000-0000A81C0000}"/>
    <cellStyle name="Normal 2 2 10 2 22 6" xfId="7337" xr:uid="{00000000-0005-0000-0000-0000A91C0000}"/>
    <cellStyle name="Normal 2 2 10 2 22 7" xfId="7338" xr:uid="{00000000-0005-0000-0000-0000AA1C0000}"/>
    <cellStyle name="Normal 2 2 10 2 22 8" xfId="7339" xr:uid="{00000000-0005-0000-0000-0000AB1C0000}"/>
    <cellStyle name="Normal 2 2 10 2 22 9" xfId="7340" xr:uid="{00000000-0005-0000-0000-0000AC1C0000}"/>
    <cellStyle name="Normal 2 2 10 2 23" xfId="7341" xr:uid="{00000000-0005-0000-0000-0000AD1C0000}"/>
    <cellStyle name="Normal 2 2 10 2 23 10" xfId="7342" xr:uid="{00000000-0005-0000-0000-0000AE1C0000}"/>
    <cellStyle name="Normal 2 2 10 2 23 11" xfId="7343" xr:uid="{00000000-0005-0000-0000-0000AF1C0000}"/>
    <cellStyle name="Normal 2 2 10 2 23 12" xfId="7344" xr:uid="{00000000-0005-0000-0000-0000B01C0000}"/>
    <cellStyle name="Normal 2 2 10 2 23 13" xfId="7345" xr:uid="{00000000-0005-0000-0000-0000B11C0000}"/>
    <cellStyle name="Normal 2 2 10 2 23 14" xfId="7346" xr:uid="{00000000-0005-0000-0000-0000B21C0000}"/>
    <cellStyle name="Normal 2 2 10 2 23 2" xfId="7347" xr:uid="{00000000-0005-0000-0000-0000B31C0000}"/>
    <cellStyle name="Normal 2 2 10 2 23 2 10" xfId="7348" xr:uid="{00000000-0005-0000-0000-0000B41C0000}"/>
    <cellStyle name="Normal 2 2 10 2 23 2 2" xfId="7349" xr:uid="{00000000-0005-0000-0000-0000B51C0000}"/>
    <cellStyle name="Normal 2 2 10 2 23 2 3" xfId="7350" xr:uid="{00000000-0005-0000-0000-0000B61C0000}"/>
    <cellStyle name="Normal 2 2 10 2 23 2 4" xfId="7351" xr:uid="{00000000-0005-0000-0000-0000B71C0000}"/>
    <cellStyle name="Normal 2 2 10 2 23 2 5" xfId="7352" xr:uid="{00000000-0005-0000-0000-0000B81C0000}"/>
    <cellStyle name="Normal 2 2 10 2 23 2 6" xfId="7353" xr:uid="{00000000-0005-0000-0000-0000B91C0000}"/>
    <cellStyle name="Normal 2 2 10 2 23 2 7" xfId="7354" xr:uid="{00000000-0005-0000-0000-0000BA1C0000}"/>
    <cellStyle name="Normal 2 2 10 2 23 2 8" xfId="7355" xr:uid="{00000000-0005-0000-0000-0000BB1C0000}"/>
    <cellStyle name="Normal 2 2 10 2 23 2 9" xfId="7356" xr:uid="{00000000-0005-0000-0000-0000BC1C0000}"/>
    <cellStyle name="Normal 2 2 10 2 23 3" xfId="7357" xr:uid="{00000000-0005-0000-0000-0000BD1C0000}"/>
    <cellStyle name="Normal 2 2 10 2 23 3 10" xfId="7358" xr:uid="{00000000-0005-0000-0000-0000BE1C0000}"/>
    <cellStyle name="Normal 2 2 10 2 23 3 2" xfId="7359" xr:uid="{00000000-0005-0000-0000-0000BF1C0000}"/>
    <cellStyle name="Normal 2 2 10 2 23 3 3" xfId="7360" xr:uid="{00000000-0005-0000-0000-0000C01C0000}"/>
    <cellStyle name="Normal 2 2 10 2 23 3 4" xfId="7361" xr:uid="{00000000-0005-0000-0000-0000C11C0000}"/>
    <cellStyle name="Normal 2 2 10 2 23 3 5" xfId="7362" xr:uid="{00000000-0005-0000-0000-0000C21C0000}"/>
    <cellStyle name="Normal 2 2 10 2 23 3 6" xfId="7363" xr:uid="{00000000-0005-0000-0000-0000C31C0000}"/>
    <cellStyle name="Normal 2 2 10 2 23 3 7" xfId="7364" xr:uid="{00000000-0005-0000-0000-0000C41C0000}"/>
    <cellStyle name="Normal 2 2 10 2 23 3 8" xfId="7365" xr:uid="{00000000-0005-0000-0000-0000C51C0000}"/>
    <cellStyle name="Normal 2 2 10 2 23 3 9" xfId="7366" xr:uid="{00000000-0005-0000-0000-0000C61C0000}"/>
    <cellStyle name="Normal 2 2 10 2 23 4" xfId="7367" xr:uid="{00000000-0005-0000-0000-0000C71C0000}"/>
    <cellStyle name="Normal 2 2 10 2 23 4 10" xfId="7368" xr:uid="{00000000-0005-0000-0000-0000C81C0000}"/>
    <cellStyle name="Normal 2 2 10 2 23 4 2" xfId="7369" xr:uid="{00000000-0005-0000-0000-0000C91C0000}"/>
    <cellStyle name="Normal 2 2 10 2 23 4 3" xfId="7370" xr:uid="{00000000-0005-0000-0000-0000CA1C0000}"/>
    <cellStyle name="Normal 2 2 10 2 23 4 4" xfId="7371" xr:uid="{00000000-0005-0000-0000-0000CB1C0000}"/>
    <cellStyle name="Normal 2 2 10 2 23 4 5" xfId="7372" xr:uid="{00000000-0005-0000-0000-0000CC1C0000}"/>
    <cellStyle name="Normal 2 2 10 2 23 4 6" xfId="7373" xr:uid="{00000000-0005-0000-0000-0000CD1C0000}"/>
    <cellStyle name="Normal 2 2 10 2 23 4 7" xfId="7374" xr:uid="{00000000-0005-0000-0000-0000CE1C0000}"/>
    <cellStyle name="Normal 2 2 10 2 23 4 8" xfId="7375" xr:uid="{00000000-0005-0000-0000-0000CF1C0000}"/>
    <cellStyle name="Normal 2 2 10 2 23 4 9" xfId="7376" xr:uid="{00000000-0005-0000-0000-0000D01C0000}"/>
    <cellStyle name="Normal 2 2 10 2 23 5" xfId="7377" xr:uid="{00000000-0005-0000-0000-0000D11C0000}"/>
    <cellStyle name="Normal 2 2 10 2 23 5 10" xfId="7378" xr:uid="{00000000-0005-0000-0000-0000D21C0000}"/>
    <cellStyle name="Normal 2 2 10 2 23 5 2" xfId="7379" xr:uid="{00000000-0005-0000-0000-0000D31C0000}"/>
    <cellStyle name="Normal 2 2 10 2 23 5 3" xfId="7380" xr:uid="{00000000-0005-0000-0000-0000D41C0000}"/>
    <cellStyle name="Normal 2 2 10 2 23 5 4" xfId="7381" xr:uid="{00000000-0005-0000-0000-0000D51C0000}"/>
    <cellStyle name="Normal 2 2 10 2 23 5 5" xfId="7382" xr:uid="{00000000-0005-0000-0000-0000D61C0000}"/>
    <cellStyle name="Normal 2 2 10 2 23 5 6" xfId="7383" xr:uid="{00000000-0005-0000-0000-0000D71C0000}"/>
    <cellStyle name="Normal 2 2 10 2 23 5 7" xfId="7384" xr:uid="{00000000-0005-0000-0000-0000D81C0000}"/>
    <cellStyle name="Normal 2 2 10 2 23 5 8" xfId="7385" xr:uid="{00000000-0005-0000-0000-0000D91C0000}"/>
    <cellStyle name="Normal 2 2 10 2 23 5 9" xfId="7386" xr:uid="{00000000-0005-0000-0000-0000DA1C0000}"/>
    <cellStyle name="Normal 2 2 10 2 23 6" xfId="7387" xr:uid="{00000000-0005-0000-0000-0000DB1C0000}"/>
    <cellStyle name="Normal 2 2 10 2 23 7" xfId="7388" xr:uid="{00000000-0005-0000-0000-0000DC1C0000}"/>
    <cellStyle name="Normal 2 2 10 2 23 8" xfId="7389" xr:uid="{00000000-0005-0000-0000-0000DD1C0000}"/>
    <cellStyle name="Normal 2 2 10 2 23 9" xfId="7390" xr:uid="{00000000-0005-0000-0000-0000DE1C0000}"/>
    <cellStyle name="Normal 2 2 10 2 24" xfId="7391" xr:uid="{00000000-0005-0000-0000-0000DF1C0000}"/>
    <cellStyle name="Normal 2 2 10 2 24 10" xfId="7392" xr:uid="{00000000-0005-0000-0000-0000E01C0000}"/>
    <cellStyle name="Normal 2 2 10 2 24 11" xfId="7393" xr:uid="{00000000-0005-0000-0000-0000E11C0000}"/>
    <cellStyle name="Normal 2 2 10 2 24 12" xfId="7394" xr:uid="{00000000-0005-0000-0000-0000E21C0000}"/>
    <cellStyle name="Normal 2 2 10 2 24 13" xfId="7395" xr:uid="{00000000-0005-0000-0000-0000E31C0000}"/>
    <cellStyle name="Normal 2 2 10 2 24 14" xfId="7396" xr:uid="{00000000-0005-0000-0000-0000E41C0000}"/>
    <cellStyle name="Normal 2 2 10 2 24 2" xfId="7397" xr:uid="{00000000-0005-0000-0000-0000E51C0000}"/>
    <cellStyle name="Normal 2 2 10 2 24 2 10" xfId="7398" xr:uid="{00000000-0005-0000-0000-0000E61C0000}"/>
    <cellStyle name="Normal 2 2 10 2 24 2 2" xfId="7399" xr:uid="{00000000-0005-0000-0000-0000E71C0000}"/>
    <cellStyle name="Normal 2 2 10 2 24 2 3" xfId="7400" xr:uid="{00000000-0005-0000-0000-0000E81C0000}"/>
    <cellStyle name="Normal 2 2 10 2 24 2 4" xfId="7401" xr:uid="{00000000-0005-0000-0000-0000E91C0000}"/>
    <cellStyle name="Normal 2 2 10 2 24 2 5" xfId="7402" xr:uid="{00000000-0005-0000-0000-0000EA1C0000}"/>
    <cellStyle name="Normal 2 2 10 2 24 2 6" xfId="7403" xr:uid="{00000000-0005-0000-0000-0000EB1C0000}"/>
    <cellStyle name="Normal 2 2 10 2 24 2 7" xfId="7404" xr:uid="{00000000-0005-0000-0000-0000EC1C0000}"/>
    <cellStyle name="Normal 2 2 10 2 24 2 8" xfId="7405" xr:uid="{00000000-0005-0000-0000-0000ED1C0000}"/>
    <cellStyle name="Normal 2 2 10 2 24 2 9" xfId="7406" xr:uid="{00000000-0005-0000-0000-0000EE1C0000}"/>
    <cellStyle name="Normal 2 2 10 2 24 3" xfId="7407" xr:uid="{00000000-0005-0000-0000-0000EF1C0000}"/>
    <cellStyle name="Normal 2 2 10 2 24 3 10" xfId="7408" xr:uid="{00000000-0005-0000-0000-0000F01C0000}"/>
    <cellStyle name="Normal 2 2 10 2 24 3 2" xfId="7409" xr:uid="{00000000-0005-0000-0000-0000F11C0000}"/>
    <cellStyle name="Normal 2 2 10 2 24 3 3" xfId="7410" xr:uid="{00000000-0005-0000-0000-0000F21C0000}"/>
    <cellStyle name="Normal 2 2 10 2 24 3 4" xfId="7411" xr:uid="{00000000-0005-0000-0000-0000F31C0000}"/>
    <cellStyle name="Normal 2 2 10 2 24 3 5" xfId="7412" xr:uid="{00000000-0005-0000-0000-0000F41C0000}"/>
    <cellStyle name="Normal 2 2 10 2 24 3 6" xfId="7413" xr:uid="{00000000-0005-0000-0000-0000F51C0000}"/>
    <cellStyle name="Normal 2 2 10 2 24 3 7" xfId="7414" xr:uid="{00000000-0005-0000-0000-0000F61C0000}"/>
    <cellStyle name="Normal 2 2 10 2 24 3 8" xfId="7415" xr:uid="{00000000-0005-0000-0000-0000F71C0000}"/>
    <cellStyle name="Normal 2 2 10 2 24 3 9" xfId="7416" xr:uid="{00000000-0005-0000-0000-0000F81C0000}"/>
    <cellStyle name="Normal 2 2 10 2 24 4" xfId="7417" xr:uid="{00000000-0005-0000-0000-0000F91C0000}"/>
    <cellStyle name="Normal 2 2 10 2 24 4 10" xfId="7418" xr:uid="{00000000-0005-0000-0000-0000FA1C0000}"/>
    <cellStyle name="Normal 2 2 10 2 24 4 2" xfId="7419" xr:uid="{00000000-0005-0000-0000-0000FB1C0000}"/>
    <cellStyle name="Normal 2 2 10 2 24 4 3" xfId="7420" xr:uid="{00000000-0005-0000-0000-0000FC1C0000}"/>
    <cellStyle name="Normal 2 2 10 2 24 4 4" xfId="7421" xr:uid="{00000000-0005-0000-0000-0000FD1C0000}"/>
    <cellStyle name="Normal 2 2 10 2 24 4 5" xfId="7422" xr:uid="{00000000-0005-0000-0000-0000FE1C0000}"/>
    <cellStyle name="Normal 2 2 10 2 24 4 6" xfId="7423" xr:uid="{00000000-0005-0000-0000-0000FF1C0000}"/>
    <cellStyle name="Normal 2 2 10 2 24 4 7" xfId="7424" xr:uid="{00000000-0005-0000-0000-0000001D0000}"/>
    <cellStyle name="Normal 2 2 10 2 24 4 8" xfId="7425" xr:uid="{00000000-0005-0000-0000-0000011D0000}"/>
    <cellStyle name="Normal 2 2 10 2 24 4 9" xfId="7426" xr:uid="{00000000-0005-0000-0000-0000021D0000}"/>
    <cellStyle name="Normal 2 2 10 2 24 5" xfId="7427" xr:uid="{00000000-0005-0000-0000-0000031D0000}"/>
    <cellStyle name="Normal 2 2 10 2 24 5 10" xfId="7428" xr:uid="{00000000-0005-0000-0000-0000041D0000}"/>
    <cellStyle name="Normal 2 2 10 2 24 5 2" xfId="7429" xr:uid="{00000000-0005-0000-0000-0000051D0000}"/>
    <cellStyle name="Normal 2 2 10 2 24 5 3" xfId="7430" xr:uid="{00000000-0005-0000-0000-0000061D0000}"/>
    <cellStyle name="Normal 2 2 10 2 24 5 4" xfId="7431" xr:uid="{00000000-0005-0000-0000-0000071D0000}"/>
    <cellStyle name="Normal 2 2 10 2 24 5 5" xfId="7432" xr:uid="{00000000-0005-0000-0000-0000081D0000}"/>
    <cellStyle name="Normal 2 2 10 2 24 5 6" xfId="7433" xr:uid="{00000000-0005-0000-0000-0000091D0000}"/>
    <cellStyle name="Normal 2 2 10 2 24 5 7" xfId="7434" xr:uid="{00000000-0005-0000-0000-00000A1D0000}"/>
    <cellStyle name="Normal 2 2 10 2 24 5 8" xfId="7435" xr:uid="{00000000-0005-0000-0000-00000B1D0000}"/>
    <cellStyle name="Normal 2 2 10 2 24 5 9" xfId="7436" xr:uid="{00000000-0005-0000-0000-00000C1D0000}"/>
    <cellStyle name="Normal 2 2 10 2 24 6" xfId="7437" xr:uid="{00000000-0005-0000-0000-00000D1D0000}"/>
    <cellStyle name="Normal 2 2 10 2 24 7" xfId="7438" xr:uid="{00000000-0005-0000-0000-00000E1D0000}"/>
    <cellStyle name="Normal 2 2 10 2 24 8" xfId="7439" xr:uid="{00000000-0005-0000-0000-00000F1D0000}"/>
    <cellStyle name="Normal 2 2 10 2 24 9" xfId="7440" xr:uid="{00000000-0005-0000-0000-0000101D0000}"/>
    <cellStyle name="Normal 2 2 10 2 25" xfId="7441" xr:uid="{00000000-0005-0000-0000-0000111D0000}"/>
    <cellStyle name="Normal 2 2 10 2 25 10" xfId="7442" xr:uid="{00000000-0005-0000-0000-0000121D0000}"/>
    <cellStyle name="Normal 2 2 10 2 25 11" xfId="7443" xr:uid="{00000000-0005-0000-0000-0000131D0000}"/>
    <cellStyle name="Normal 2 2 10 2 25 12" xfId="7444" xr:uid="{00000000-0005-0000-0000-0000141D0000}"/>
    <cellStyle name="Normal 2 2 10 2 25 13" xfId="7445" xr:uid="{00000000-0005-0000-0000-0000151D0000}"/>
    <cellStyle name="Normal 2 2 10 2 25 14" xfId="7446" xr:uid="{00000000-0005-0000-0000-0000161D0000}"/>
    <cellStyle name="Normal 2 2 10 2 25 2" xfId="7447" xr:uid="{00000000-0005-0000-0000-0000171D0000}"/>
    <cellStyle name="Normal 2 2 10 2 25 2 10" xfId="7448" xr:uid="{00000000-0005-0000-0000-0000181D0000}"/>
    <cellStyle name="Normal 2 2 10 2 25 2 2" xfId="7449" xr:uid="{00000000-0005-0000-0000-0000191D0000}"/>
    <cellStyle name="Normal 2 2 10 2 25 2 3" xfId="7450" xr:uid="{00000000-0005-0000-0000-00001A1D0000}"/>
    <cellStyle name="Normal 2 2 10 2 25 2 4" xfId="7451" xr:uid="{00000000-0005-0000-0000-00001B1D0000}"/>
    <cellStyle name="Normal 2 2 10 2 25 2 5" xfId="7452" xr:uid="{00000000-0005-0000-0000-00001C1D0000}"/>
    <cellStyle name="Normal 2 2 10 2 25 2 6" xfId="7453" xr:uid="{00000000-0005-0000-0000-00001D1D0000}"/>
    <cellStyle name="Normal 2 2 10 2 25 2 7" xfId="7454" xr:uid="{00000000-0005-0000-0000-00001E1D0000}"/>
    <cellStyle name="Normal 2 2 10 2 25 2 8" xfId="7455" xr:uid="{00000000-0005-0000-0000-00001F1D0000}"/>
    <cellStyle name="Normal 2 2 10 2 25 2 9" xfId="7456" xr:uid="{00000000-0005-0000-0000-0000201D0000}"/>
    <cellStyle name="Normal 2 2 10 2 25 3" xfId="7457" xr:uid="{00000000-0005-0000-0000-0000211D0000}"/>
    <cellStyle name="Normal 2 2 10 2 25 3 10" xfId="7458" xr:uid="{00000000-0005-0000-0000-0000221D0000}"/>
    <cellStyle name="Normal 2 2 10 2 25 3 2" xfId="7459" xr:uid="{00000000-0005-0000-0000-0000231D0000}"/>
    <cellStyle name="Normal 2 2 10 2 25 3 3" xfId="7460" xr:uid="{00000000-0005-0000-0000-0000241D0000}"/>
    <cellStyle name="Normal 2 2 10 2 25 3 4" xfId="7461" xr:uid="{00000000-0005-0000-0000-0000251D0000}"/>
    <cellStyle name="Normal 2 2 10 2 25 3 5" xfId="7462" xr:uid="{00000000-0005-0000-0000-0000261D0000}"/>
    <cellStyle name="Normal 2 2 10 2 25 3 6" xfId="7463" xr:uid="{00000000-0005-0000-0000-0000271D0000}"/>
    <cellStyle name="Normal 2 2 10 2 25 3 7" xfId="7464" xr:uid="{00000000-0005-0000-0000-0000281D0000}"/>
    <cellStyle name="Normal 2 2 10 2 25 3 8" xfId="7465" xr:uid="{00000000-0005-0000-0000-0000291D0000}"/>
    <cellStyle name="Normal 2 2 10 2 25 3 9" xfId="7466" xr:uid="{00000000-0005-0000-0000-00002A1D0000}"/>
    <cellStyle name="Normal 2 2 10 2 25 4" xfId="7467" xr:uid="{00000000-0005-0000-0000-00002B1D0000}"/>
    <cellStyle name="Normal 2 2 10 2 25 4 10" xfId="7468" xr:uid="{00000000-0005-0000-0000-00002C1D0000}"/>
    <cellStyle name="Normal 2 2 10 2 25 4 2" xfId="7469" xr:uid="{00000000-0005-0000-0000-00002D1D0000}"/>
    <cellStyle name="Normal 2 2 10 2 25 4 3" xfId="7470" xr:uid="{00000000-0005-0000-0000-00002E1D0000}"/>
    <cellStyle name="Normal 2 2 10 2 25 4 4" xfId="7471" xr:uid="{00000000-0005-0000-0000-00002F1D0000}"/>
    <cellStyle name="Normal 2 2 10 2 25 4 5" xfId="7472" xr:uid="{00000000-0005-0000-0000-0000301D0000}"/>
    <cellStyle name="Normal 2 2 10 2 25 4 6" xfId="7473" xr:uid="{00000000-0005-0000-0000-0000311D0000}"/>
    <cellStyle name="Normal 2 2 10 2 25 4 7" xfId="7474" xr:uid="{00000000-0005-0000-0000-0000321D0000}"/>
    <cellStyle name="Normal 2 2 10 2 25 4 8" xfId="7475" xr:uid="{00000000-0005-0000-0000-0000331D0000}"/>
    <cellStyle name="Normal 2 2 10 2 25 4 9" xfId="7476" xr:uid="{00000000-0005-0000-0000-0000341D0000}"/>
    <cellStyle name="Normal 2 2 10 2 25 5" xfId="7477" xr:uid="{00000000-0005-0000-0000-0000351D0000}"/>
    <cellStyle name="Normal 2 2 10 2 25 5 10" xfId="7478" xr:uid="{00000000-0005-0000-0000-0000361D0000}"/>
    <cellStyle name="Normal 2 2 10 2 25 5 2" xfId="7479" xr:uid="{00000000-0005-0000-0000-0000371D0000}"/>
    <cellStyle name="Normal 2 2 10 2 25 5 3" xfId="7480" xr:uid="{00000000-0005-0000-0000-0000381D0000}"/>
    <cellStyle name="Normal 2 2 10 2 25 5 4" xfId="7481" xr:uid="{00000000-0005-0000-0000-0000391D0000}"/>
    <cellStyle name="Normal 2 2 10 2 25 5 5" xfId="7482" xr:uid="{00000000-0005-0000-0000-00003A1D0000}"/>
    <cellStyle name="Normal 2 2 10 2 25 5 6" xfId="7483" xr:uid="{00000000-0005-0000-0000-00003B1D0000}"/>
    <cellStyle name="Normal 2 2 10 2 25 5 7" xfId="7484" xr:uid="{00000000-0005-0000-0000-00003C1D0000}"/>
    <cellStyle name="Normal 2 2 10 2 25 5 8" xfId="7485" xr:uid="{00000000-0005-0000-0000-00003D1D0000}"/>
    <cellStyle name="Normal 2 2 10 2 25 5 9" xfId="7486" xr:uid="{00000000-0005-0000-0000-00003E1D0000}"/>
    <cellStyle name="Normal 2 2 10 2 25 6" xfId="7487" xr:uid="{00000000-0005-0000-0000-00003F1D0000}"/>
    <cellStyle name="Normal 2 2 10 2 25 7" xfId="7488" xr:uid="{00000000-0005-0000-0000-0000401D0000}"/>
    <cellStyle name="Normal 2 2 10 2 25 8" xfId="7489" xr:uid="{00000000-0005-0000-0000-0000411D0000}"/>
    <cellStyle name="Normal 2 2 10 2 25 9" xfId="7490" xr:uid="{00000000-0005-0000-0000-0000421D0000}"/>
    <cellStyle name="Normal 2 2 10 2 26" xfId="7491" xr:uid="{00000000-0005-0000-0000-0000431D0000}"/>
    <cellStyle name="Normal 2 2 10 2 26 10" xfId="7492" xr:uid="{00000000-0005-0000-0000-0000441D0000}"/>
    <cellStyle name="Normal 2 2 10 2 26 11" xfId="7493" xr:uid="{00000000-0005-0000-0000-0000451D0000}"/>
    <cellStyle name="Normal 2 2 10 2 26 12" xfId="7494" xr:uid="{00000000-0005-0000-0000-0000461D0000}"/>
    <cellStyle name="Normal 2 2 10 2 26 13" xfId="7495" xr:uid="{00000000-0005-0000-0000-0000471D0000}"/>
    <cellStyle name="Normal 2 2 10 2 26 14" xfId="7496" xr:uid="{00000000-0005-0000-0000-0000481D0000}"/>
    <cellStyle name="Normal 2 2 10 2 26 2" xfId="7497" xr:uid="{00000000-0005-0000-0000-0000491D0000}"/>
    <cellStyle name="Normal 2 2 10 2 26 2 10" xfId="7498" xr:uid="{00000000-0005-0000-0000-00004A1D0000}"/>
    <cellStyle name="Normal 2 2 10 2 26 2 2" xfId="7499" xr:uid="{00000000-0005-0000-0000-00004B1D0000}"/>
    <cellStyle name="Normal 2 2 10 2 26 2 3" xfId="7500" xr:uid="{00000000-0005-0000-0000-00004C1D0000}"/>
    <cellStyle name="Normal 2 2 10 2 26 2 4" xfId="7501" xr:uid="{00000000-0005-0000-0000-00004D1D0000}"/>
    <cellStyle name="Normal 2 2 10 2 26 2 5" xfId="7502" xr:uid="{00000000-0005-0000-0000-00004E1D0000}"/>
    <cellStyle name="Normal 2 2 10 2 26 2 6" xfId="7503" xr:uid="{00000000-0005-0000-0000-00004F1D0000}"/>
    <cellStyle name="Normal 2 2 10 2 26 2 7" xfId="7504" xr:uid="{00000000-0005-0000-0000-0000501D0000}"/>
    <cellStyle name="Normal 2 2 10 2 26 2 8" xfId="7505" xr:uid="{00000000-0005-0000-0000-0000511D0000}"/>
    <cellStyle name="Normal 2 2 10 2 26 2 9" xfId="7506" xr:uid="{00000000-0005-0000-0000-0000521D0000}"/>
    <cellStyle name="Normal 2 2 10 2 26 3" xfId="7507" xr:uid="{00000000-0005-0000-0000-0000531D0000}"/>
    <cellStyle name="Normal 2 2 10 2 26 3 10" xfId="7508" xr:uid="{00000000-0005-0000-0000-0000541D0000}"/>
    <cellStyle name="Normal 2 2 10 2 26 3 2" xfId="7509" xr:uid="{00000000-0005-0000-0000-0000551D0000}"/>
    <cellStyle name="Normal 2 2 10 2 26 3 3" xfId="7510" xr:uid="{00000000-0005-0000-0000-0000561D0000}"/>
    <cellStyle name="Normal 2 2 10 2 26 3 4" xfId="7511" xr:uid="{00000000-0005-0000-0000-0000571D0000}"/>
    <cellStyle name="Normal 2 2 10 2 26 3 5" xfId="7512" xr:uid="{00000000-0005-0000-0000-0000581D0000}"/>
    <cellStyle name="Normal 2 2 10 2 26 3 6" xfId="7513" xr:uid="{00000000-0005-0000-0000-0000591D0000}"/>
    <cellStyle name="Normal 2 2 10 2 26 3 7" xfId="7514" xr:uid="{00000000-0005-0000-0000-00005A1D0000}"/>
    <cellStyle name="Normal 2 2 10 2 26 3 8" xfId="7515" xr:uid="{00000000-0005-0000-0000-00005B1D0000}"/>
    <cellStyle name="Normal 2 2 10 2 26 3 9" xfId="7516" xr:uid="{00000000-0005-0000-0000-00005C1D0000}"/>
    <cellStyle name="Normal 2 2 10 2 26 4" xfId="7517" xr:uid="{00000000-0005-0000-0000-00005D1D0000}"/>
    <cellStyle name="Normal 2 2 10 2 26 4 10" xfId="7518" xr:uid="{00000000-0005-0000-0000-00005E1D0000}"/>
    <cellStyle name="Normal 2 2 10 2 26 4 2" xfId="7519" xr:uid="{00000000-0005-0000-0000-00005F1D0000}"/>
    <cellStyle name="Normal 2 2 10 2 26 4 3" xfId="7520" xr:uid="{00000000-0005-0000-0000-0000601D0000}"/>
    <cellStyle name="Normal 2 2 10 2 26 4 4" xfId="7521" xr:uid="{00000000-0005-0000-0000-0000611D0000}"/>
    <cellStyle name="Normal 2 2 10 2 26 4 5" xfId="7522" xr:uid="{00000000-0005-0000-0000-0000621D0000}"/>
    <cellStyle name="Normal 2 2 10 2 26 4 6" xfId="7523" xr:uid="{00000000-0005-0000-0000-0000631D0000}"/>
    <cellStyle name="Normal 2 2 10 2 26 4 7" xfId="7524" xr:uid="{00000000-0005-0000-0000-0000641D0000}"/>
    <cellStyle name="Normal 2 2 10 2 26 4 8" xfId="7525" xr:uid="{00000000-0005-0000-0000-0000651D0000}"/>
    <cellStyle name="Normal 2 2 10 2 26 4 9" xfId="7526" xr:uid="{00000000-0005-0000-0000-0000661D0000}"/>
    <cellStyle name="Normal 2 2 10 2 26 5" xfId="7527" xr:uid="{00000000-0005-0000-0000-0000671D0000}"/>
    <cellStyle name="Normal 2 2 10 2 26 5 10" xfId="7528" xr:uid="{00000000-0005-0000-0000-0000681D0000}"/>
    <cellStyle name="Normal 2 2 10 2 26 5 2" xfId="7529" xr:uid="{00000000-0005-0000-0000-0000691D0000}"/>
    <cellStyle name="Normal 2 2 10 2 26 5 3" xfId="7530" xr:uid="{00000000-0005-0000-0000-00006A1D0000}"/>
    <cellStyle name="Normal 2 2 10 2 26 5 4" xfId="7531" xr:uid="{00000000-0005-0000-0000-00006B1D0000}"/>
    <cellStyle name="Normal 2 2 10 2 26 5 5" xfId="7532" xr:uid="{00000000-0005-0000-0000-00006C1D0000}"/>
    <cellStyle name="Normal 2 2 10 2 26 5 6" xfId="7533" xr:uid="{00000000-0005-0000-0000-00006D1D0000}"/>
    <cellStyle name="Normal 2 2 10 2 26 5 7" xfId="7534" xr:uid="{00000000-0005-0000-0000-00006E1D0000}"/>
    <cellStyle name="Normal 2 2 10 2 26 5 8" xfId="7535" xr:uid="{00000000-0005-0000-0000-00006F1D0000}"/>
    <cellStyle name="Normal 2 2 10 2 26 5 9" xfId="7536" xr:uid="{00000000-0005-0000-0000-0000701D0000}"/>
    <cellStyle name="Normal 2 2 10 2 26 6" xfId="7537" xr:uid="{00000000-0005-0000-0000-0000711D0000}"/>
    <cellStyle name="Normal 2 2 10 2 26 7" xfId="7538" xr:uid="{00000000-0005-0000-0000-0000721D0000}"/>
    <cellStyle name="Normal 2 2 10 2 26 8" xfId="7539" xr:uid="{00000000-0005-0000-0000-0000731D0000}"/>
    <cellStyle name="Normal 2 2 10 2 26 9" xfId="7540" xr:uid="{00000000-0005-0000-0000-0000741D0000}"/>
    <cellStyle name="Normal 2 2 10 2 27" xfId="7541" xr:uid="{00000000-0005-0000-0000-0000751D0000}"/>
    <cellStyle name="Normal 2 2 10 2 27 10" xfId="7542" xr:uid="{00000000-0005-0000-0000-0000761D0000}"/>
    <cellStyle name="Normal 2 2 10 2 27 11" xfId="7543" xr:uid="{00000000-0005-0000-0000-0000771D0000}"/>
    <cellStyle name="Normal 2 2 10 2 27 12" xfId="7544" xr:uid="{00000000-0005-0000-0000-0000781D0000}"/>
    <cellStyle name="Normal 2 2 10 2 27 13" xfId="7545" xr:uid="{00000000-0005-0000-0000-0000791D0000}"/>
    <cellStyle name="Normal 2 2 10 2 27 14" xfId="7546" xr:uid="{00000000-0005-0000-0000-00007A1D0000}"/>
    <cellStyle name="Normal 2 2 10 2 27 2" xfId="7547" xr:uid="{00000000-0005-0000-0000-00007B1D0000}"/>
    <cellStyle name="Normal 2 2 10 2 27 2 10" xfId="7548" xr:uid="{00000000-0005-0000-0000-00007C1D0000}"/>
    <cellStyle name="Normal 2 2 10 2 27 2 2" xfId="7549" xr:uid="{00000000-0005-0000-0000-00007D1D0000}"/>
    <cellStyle name="Normal 2 2 10 2 27 2 3" xfId="7550" xr:uid="{00000000-0005-0000-0000-00007E1D0000}"/>
    <cellStyle name="Normal 2 2 10 2 27 2 4" xfId="7551" xr:uid="{00000000-0005-0000-0000-00007F1D0000}"/>
    <cellStyle name="Normal 2 2 10 2 27 2 5" xfId="7552" xr:uid="{00000000-0005-0000-0000-0000801D0000}"/>
    <cellStyle name="Normal 2 2 10 2 27 2 6" xfId="7553" xr:uid="{00000000-0005-0000-0000-0000811D0000}"/>
    <cellStyle name="Normal 2 2 10 2 27 2 7" xfId="7554" xr:uid="{00000000-0005-0000-0000-0000821D0000}"/>
    <cellStyle name="Normal 2 2 10 2 27 2 8" xfId="7555" xr:uid="{00000000-0005-0000-0000-0000831D0000}"/>
    <cellStyle name="Normal 2 2 10 2 27 2 9" xfId="7556" xr:uid="{00000000-0005-0000-0000-0000841D0000}"/>
    <cellStyle name="Normal 2 2 10 2 27 3" xfId="7557" xr:uid="{00000000-0005-0000-0000-0000851D0000}"/>
    <cellStyle name="Normal 2 2 10 2 27 3 10" xfId="7558" xr:uid="{00000000-0005-0000-0000-0000861D0000}"/>
    <cellStyle name="Normal 2 2 10 2 27 3 2" xfId="7559" xr:uid="{00000000-0005-0000-0000-0000871D0000}"/>
    <cellStyle name="Normal 2 2 10 2 27 3 3" xfId="7560" xr:uid="{00000000-0005-0000-0000-0000881D0000}"/>
    <cellStyle name="Normal 2 2 10 2 27 3 4" xfId="7561" xr:uid="{00000000-0005-0000-0000-0000891D0000}"/>
    <cellStyle name="Normal 2 2 10 2 27 3 5" xfId="7562" xr:uid="{00000000-0005-0000-0000-00008A1D0000}"/>
    <cellStyle name="Normal 2 2 10 2 27 3 6" xfId="7563" xr:uid="{00000000-0005-0000-0000-00008B1D0000}"/>
    <cellStyle name="Normal 2 2 10 2 27 3 7" xfId="7564" xr:uid="{00000000-0005-0000-0000-00008C1D0000}"/>
    <cellStyle name="Normal 2 2 10 2 27 3 8" xfId="7565" xr:uid="{00000000-0005-0000-0000-00008D1D0000}"/>
    <cellStyle name="Normal 2 2 10 2 27 3 9" xfId="7566" xr:uid="{00000000-0005-0000-0000-00008E1D0000}"/>
    <cellStyle name="Normal 2 2 10 2 27 4" xfId="7567" xr:uid="{00000000-0005-0000-0000-00008F1D0000}"/>
    <cellStyle name="Normal 2 2 10 2 27 4 10" xfId="7568" xr:uid="{00000000-0005-0000-0000-0000901D0000}"/>
    <cellStyle name="Normal 2 2 10 2 27 4 2" xfId="7569" xr:uid="{00000000-0005-0000-0000-0000911D0000}"/>
    <cellStyle name="Normal 2 2 10 2 27 4 3" xfId="7570" xr:uid="{00000000-0005-0000-0000-0000921D0000}"/>
    <cellStyle name="Normal 2 2 10 2 27 4 4" xfId="7571" xr:uid="{00000000-0005-0000-0000-0000931D0000}"/>
    <cellStyle name="Normal 2 2 10 2 27 4 5" xfId="7572" xr:uid="{00000000-0005-0000-0000-0000941D0000}"/>
    <cellStyle name="Normal 2 2 10 2 27 4 6" xfId="7573" xr:uid="{00000000-0005-0000-0000-0000951D0000}"/>
    <cellStyle name="Normal 2 2 10 2 27 4 7" xfId="7574" xr:uid="{00000000-0005-0000-0000-0000961D0000}"/>
    <cellStyle name="Normal 2 2 10 2 27 4 8" xfId="7575" xr:uid="{00000000-0005-0000-0000-0000971D0000}"/>
    <cellStyle name="Normal 2 2 10 2 27 4 9" xfId="7576" xr:uid="{00000000-0005-0000-0000-0000981D0000}"/>
    <cellStyle name="Normal 2 2 10 2 27 5" xfId="7577" xr:uid="{00000000-0005-0000-0000-0000991D0000}"/>
    <cellStyle name="Normal 2 2 10 2 27 5 10" xfId="7578" xr:uid="{00000000-0005-0000-0000-00009A1D0000}"/>
    <cellStyle name="Normal 2 2 10 2 27 5 2" xfId="7579" xr:uid="{00000000-0005-0000-0000-00009B1D0000}"/>
    <cellStyle name="Normal 2 2 10 2 27 5 3" xfId="7580" xr:uid="{00000000-0005-0000-0000-00009C1D0000}"/>
    <cellStyle name="Normal 2 2 10 2 27 5 4" xfId="7581" xr:uid="{00000000-0005-0000-0000-00009D1D0000}"/>
    <cellStyle name="Normal 2 2 10 2 27 5 5" xfId="7582" xr:uid="{00000000-0005-0000-0000-00009E1D0000}"/>
    <cellStyle name="Normal 2 2 10 2 27 5 6" xfId="7583" xr:uid="{00000000-0005-0000-0000-00009F1D0000}"/>
    <cellStyle name="Normal 2 2 10 2 27 5 7" xfId="7584" xr:uid="{00000000-0005-0000-0000-0000A01D0000}"/>
    <cellStyle name="Normal 2 2 10 2 27 5 8" xfId="7585" xr:uid="{00000000-0005-0000-0000-0000A11D0000}"/>
    <cellStyle name="Normal 2 2 10 2 27 5 9" xfId="7586" xr:uid="{00000000-0005-0000-0000-0000A21D0000}"/>
    <cellStyle name="Normal 2 2 10 2 27 6" xfId="7587" xr:uid="{00000000-0005-0000-0000-0000A31D0000}"/>
    <cellStyle name="Normal 2 2 10 2 27 7" xfId="7588" xr:uid="{00000000-0005-0000-0000-0000A41D0000}"/>
    <cellStyle name="Normal 2 2 10 2 27 8" xfId="7589" xr:uid="{00000000-0005-0000-0000-0000A51D0000}"/>
    <cellStyle name="Normal 2 2 10 2 27 9" xfId="7590" xr:uid="{00000000-0005-0000-0000-0000A61D0000}"/>
    <cellStyle name="Normal 2 2 10 2 28" xfId="7591" xr:uid="{00000000-0005-0000-0000-0000A71D0000}"/>
    <cellStyle name="Normal 2 2 10 2 28 10" xfId="7592" xr:uid="{00000000-0005-0000-0000-0000A81D0000}"/>
    <cellStyle name="Normal 2 2 10 2 28 11" xfId="7593" xr:uid="{00000000-0005-0000-0000-0000A91D0000}"/>
    <cellStyle name="Normal 2 2 10 2 28 12" xfId="7594" xr:uid="{00000000-0005-0000-0000-0000AA1D0000}"/>
    <cellStyle name="Normal 2 2 10 2 28 13" xfId="7595" xr:uid="{00000000-0005-0000-0000-0000AB1D0000}"/>
    <cellStyle name="Normal 2 2 10 2 28 14" xfId="7596" xr:uid="{00000000-0005-0000-0000-0000AC1D0000}"/>
    <cellStyle name="Normal 2 2 10 2 28 2" xfId="7597" xr:uid="{00000000-0005-0000-0000-0000AD1D0000}"/>
    <cellStyle name="Normal 2 2 10 2 28 2 10" xfId="7598" xr:uid="{00000000-0005-0000-0000-0000AE1D0000}"/>
    <cellStyle name="Normal 2 2 10 2 28 2 2" xfId="7599" xr:uid="{00000000-0005-0000-0000-0000AF1D0000}"/>
    <cellStyle name="Normal 2 2 10 2 28 2 3" xfId="7600" xr:uid="{00000000-0005-0000-0000-0000B01D0000}"/>
    <cellStyle name="Normal 2 2 10 2 28 2 4" xfId="7601" xr:uid="{00000000-0005-0000-0000-0000B11D0000}"/>
    <cellStyle name="Normal 2 2 10 2 28 2 5" xfId="7602" xr:uid="{00000000-0005-0000-0000-0000B21D0000}"/>
    <cellStyle name="Normal 2 2 10 2 28 2 6" xfId="7603" xr:uid="{00000000-0005-0000-0000-0000B31D0000}"/>
    <cellStyle name="Normal 2 2 10 2 28 2 7" xfId="7604" xr:uid="{00000000-0005-0000-0000-0000B41D0000}"/>
    <cellStyle name="Normal 2 2 10 2 28 2 8" xfId="7605" xr:uid="{00000000-0005-0000-0000-0000B51D0000}"/>
    <cellStyle name="Normal 2 2 10 2 28 2 9" xfId="7606" xr:uid="{00000000-0005-0000-0000-0000B61D0000}"/>
    <cellStyle name="Normal 2 2 10 2 28 3" xfId="7607" xr:uid="{00000000-0005-0000-0000-0000B71D0000}"/>
    <cellStyle name="Normal 2 2 10 2 28 3 10" xfId="7608" xr:uid="{00000000-0005-0000-0000-0000B81D0000}"/>
    <cellStyle name="Normal 2 2 10 2 28 3 2" xfId="7609" xr:uid="{00000000-0005-0000-0000-0000B91D0000}"/>
    <cellStyle name="Normal 2 2 10 2 28 3 3" xfId="7610" xr:uid="{00000000-0005-0000-0000-0000BA1D0000}"/>
    <cellStyle name="Normal 2 2 10 2 28 3 4" xfId="7611" xr:uid="{00000000-0005-0000-0000-0000BB1D0000}"/>
    <cellStyle name="Normal 2 2 10 2 28 3 5" xfId="7612" xr:uid="{00000000-0005-0000-0000-0000BC1D0000}"/>
    <cellStyle name="Normal 2 2 10 2 28 3 6" xfId="7613" xr:uid="{00000000-0005-0000-0000-0000BD1D0000}"/>
    <cellStyle name="Normal 2 2 10 2 28 3 7" xfId="7614" xr:uid="{00000000-0005-0000-0000-0000BE1D0000}"/>
    <cellStyle name="Normal 2 2 10 2 28 3 8" xfId="7615" xr:uid="{00000000-0005-0000-0000-0000BF1D0000}"/>
    <cellStyle name="Normal 2 2 10 2 28 3 9" xfId="7616" xr:uid="{00000000-0005-0000-0000-0000C01D0000}"/>
    <cellStyle name="Normal 2 2 10 2 28 4" xfId="7617" xr:uid="{00000000-0005-0000-0000-0000C11D0000}"/>
    <cellStyle name="Normal 2 2 10 2 28 4 10" xfId="7618" xr:uid="{00000000-0005-0000-0000-0000C21D0000}"/>
    <cellStyle name="Normal 2 2 10 2 28 4 2" xfId="7619" xr:uid="{00000000-0005-0000-0000-0000C31D0000}"/>
    <cellStyle name="Normal 2 2 10 2 28 4 3" xfId="7620" xr:uid="{00000000-0005-0000-0000-0000C41D0000}"/>
    <cellStyle name="Normal 2 2 10 2 28 4 4" xfId="7621" xr:uid="{00000000-0005-0000-0000-0000C51D0000}"/>
    <cellStyle name="Normal 2 2 10 2 28 4 5" xfId="7622" xr:uid="{00000000-0005-0000-0000-0000C61D0000}"/>
    <cellStyle name="Normal 2 2 10 2 28 4 6" xfId="7623" xr:uid="{00000000-0005-0000-0000-0000C71D0000}"/>
    <cellStyle name="Normal 2 2 10 2 28 4 7" xfId="7624" xr:uid="{00000000-0005-0000-0000-0000C81D0000}"/>
    <cellStyle name="Normal 2 2 10 2 28 4 8" xfId="7625" xr:uid="{00000000-0005-0000-0000-0000C91D0000}"/>
    <cellStyle name="Normal 2 2 10 2 28 4 9" xfId="7626" xr:uid="{00000000-0005-0000-0000-0000CA1D0000}"/>
    <cellStyle name="Normal 2 2 10 2 28 5" xfId="7627" xr:uid="{00000000-0005-0000-0000-0000CB1D0000}"/>
    <cellStyle name="Normal 2 2 10 2 28 5 10" xfId="7628" xr:uid="{00000000-0005-0000-0000-0000CC1D0000}"/>
    <cellStyle name="Normal 2 2 10 2 28 5 2" xfId="7629" xr:uid="{00000000-0005-0000-0000-0000CD1D0000}"/>
    <cellStyle name="Normal 2 2 10 2 28 5 3" xfId="7630" xr:uid="{00000000-0005-0000-0000-0000CE1D0000}"/>
    <cellStyle name="Normal 2 2 10 2 28 5 4" xfId="7631" xr:uid="{00000000-0005-0000-0000-0000CF1D0000}"/>
    <cellStyle name="Normal 2 2 10 2 28 5 5" xfId="7632" xr:uid="{00000000-0005-0000-0000-0000D01D0000}"/>
    <cellStyle name="Normal 2 2 10 2 28 5 6" xfId="7633" xr:uid="{00000000-0005-0000-0000-0000D11D0000}"/>
    <cellStyle name="Normal 2 2 10 2 28 5 7" xfId="7634" xr:uid="{00000000-0005-0000-0000-0000D21D0000}"/>
    <cellStyle name="Normal 2 2 10 2 28 5 8" xfId="7635" xr:uid="{00000000-0005-0000-0000-0000D31D0000}"/>
    <cellStyle name="Normal 2 2 10 2 28 5 9" xfId="7636" xr:uid="{00000000-0005-0000-0000-0000D41D0000}"/>
    <cellStyle name="Normal 2 2 10 2 28 6" xfId="7637" xr:uid="{00000000-0005-0000-0000-0000D51D0000}"/>
    <cellStyle name="Normal 2 2 10 2 28 7" xfId="7638" xr:uid="{00000000-0005-0000-0000-0000D61D0000}"/>
    <cellStyle name="Normal 2 2 10 2 28 8" xfId="7639" xr:uid="{00000000-0005-0000-0000-0000D71D0000}"/>
    <cellStyle name="Normal 2 2 10 2 28 9" xfId="7640" xr:uid="{00000000-0005-0000-0000-0000D81D0000}"/>
    <cellStyle name="Normal 2 2 10 2 29" xfId="7641" xr:uid="{00000000-0005-0000-0000-0000D91D0000}"/>
    <cellStyle name="Normal 2 2 10 2 29 10" xfId="7642" xr:uid="{00000000-0005-0000-0000-0000DA1D0000}"/>
    <cellStyle name="Normal 2 2 10 2 29 11" xfId="7643" xr:uid="{00000000-0005-0000-0000-0000DB1D0000}"/>
    <cellStyle name="Normal 2 2 10 2 29 12" xfId="7644" xr:uid="{00000000-0005-0000-0000-0000DC1D0000}"/>
    <cellStyle name="Normal 2 2 10 2 29 13" xfId="7645" xr:uid="{00000000-0005-0000-0000-0000DD1D0000}"/>
    <cellStyle name="Normal 2 2 10 2 29 14" xfId="7646" xr:uid="{00000000-0005-0000-0000-0000DE1D0000}"/>
    <cellStyle name="Normal 2 2 10 2 29 2" xfId="7647" xr:uid="{00000000-0005-0000-0000-0000DF1D0000}"/>
    <cellStyle name="Normal 2 2 10 2 29 2 10" xfId="7648" xr:uid="{00000000-0005-0000-0000-0000E01D0000}"/>
    <cellStyle name="Normal 2 2 10 2 29 2 2" xfId="7649" xr:uid="{00000000-0005-0000-0000-0000E11D0000}"/>
    <cellStyle name="Normal 2 2 10 2 29 2 3" xfId="7650" xr:uid="{00000000-0005-0000-0000-0000E21D0000}"/>
    <cellStyle name="Normal 2 2 10 2 29 2 4" xfId="7651" xr:uid="{00000000-0005-0000-0000-0000E31D0000}"/>
    <cellStyle name="Normal 2 2 10 2 29 2 5" xfId="7652" xr:uid="{00000000-0005-0000-0000-0000E41D0000}"/>
    <cellStyle name="Normal 2 2 10 2 29 2 6" xfId="7653" xr:uid="{00000000-0005-0000-0000-0000E51D0000}"/>
    <cellStyle name="Normal 2 2 10 2 29 2 7" xfId="7654" xr:uid="{00000000-0005-0000-0000-0000E61D0000}"/>
    <cellStyle name="Normal 2 2 10 2 29 2 8" xfId="7655" xr:uid="{00000000-0005-0000-0000-0000E71D0000}"/>
    <cellStyle name="Normal 2 2 10 2 29 2 9" xfId="7656" xr:uid="{00000000-0005-0000-0000-0000E81D0000}"/>
    <cellStyle name="Normal 2 2 10 2 29 3" xfId="7657" xr:uid="{00000000-0005-0000-0000-0000E91D0000}"/>
    <cellStyle name="Normal 2 2 10 2 29 3 10" xfId="7658" xr:uid="{00000000-0005-0000-0000-0000EA1D0000}"/>
    <cellStyle name="Normal 2 2 10 2 29 3 2" xfId="7659" xr:uid="{00000000-0005-0000-0000-0000EB1D0000}"/>
    <cellStyle name="Normal 2 2 10 2 29 3 3" xfId="7660" xr:uid="{00000000-0005-0000-0000-0000EC1D0000}"/>
    <cellStyle name="Normal 2 2 10 2 29 3 4" xfId="7661" xr:uid="{00000000-0005-0000-0000-0000ED1D0000}"/>
    <cellStyle name="Normal 2 2 10 2 29 3 5" xfId="7662" xr:uid="{00000000-0005-0000-0000-0000EE1D0000}"/>
    <cellStyle name="Normal 2 2 10 2 29 3 6" xfId="7663" xr:uid="{00000000-0005-0000-0000-0000EF1D0000}"/>
    <cellStyle name="Normal 2 2 10 2 29 3 7" xfId="7664" xr:uid="{00000000-0005-0000-0000-0000F01D0000}"/>
    <cellStyle name="Normal 2 2 10 2 29 3 8" xfId="7665" xr:uid="{00000000-0005-0000-0000-0000F11D0000}"/>
    <cellStyle name="Normal 2 2 10 2 29 3 9" xfId="7666" xr:uid="{00000000-0005-0000-0000-0000F21D0000}"/>
    <cellStyle name="Normal 2 2 10 2 29 4" xfId="7667" xr:uid="{00000000-0005-0000-0000-0000F31D0000}"/>
    <cellStyle name="Normal 2 2 10 2 29 4 10" xfId="7668" xr:uid="{00000000-0005-0000-0000-0000F41D0000}"/>
    <cellStyle name="Normal 2 2 10 2 29 4 2" xfId="7669" xr:uid="{00000000-0005-0000-0000-0000F51D0000}"/>
    <cellStyle name="Normal 2 2 10 2 29 4 3" xfId="7670" xr:uid="{00000000-0005-0000-0000-0000F61D0000}"/>
    <cellStyle name="Normal 2 2 10 2 29 4 4" xfId="7671" xr:uid="{00000000-0005-0000-0000-0000F71D0000}"/>
    <cellStyle name="Normal 2 2 10 2 29 4 5" xfId="7672" xr:uid="{00000000-0005-0000-0000-0000F81D0000}"/>
    <cellStyle name="Normal 2 2 10 2 29 4 6" xfId="7673" xr:uid="{00000000-0005-0000-0000-0000F91D0000}"/>
    <cellStyle name="Normal 2 2 10 2 29 4 7" xfId="7674" xr:uid="{00000000-0005-0000-0000-0000FA1D0000}"/>
    <cellStyle name="Normal 2 2 10 2 29 4 8" xfId="7675" xr:uid="{00000000-0005-0000-0000-0000FB1D0000}"/>
    <cellStyle name="Normal 2 2 10 2 29 4 9" xfId="7676" xr:uid="{00000000-0005-0000-0000-0000FC1D0000}"/>
    <cellStyle name="Normal 2 2 10 2 29 5" xfId="7677" xr:uid="{00000000-0005-0000-0000-0000FD1D0000}"/>
    <cellStyle name="Normal 2 2 10 2 29 5 10" xfId="7678" xr:uid="{00000000-0005-0000-0000-0000FE1D0000}"/>
    <cellStyle name="Normal 2 2 10 2 29 5 2" xfId="7679" xr:uid="{00000000-0005-0000-0000-0000FF1D0000}"/>
    <cellStyle name="Normal 2 2 10 2 29 5 3" xfId="7680" xr:uid="{00000000-0005-0000-0000-0000001E0000}"/>
    <cellStyle name="Normal 2 2 10 2 29 5 4" xfId="7681" xr:uid="{00000000-0005-0000-0000-0000011E0000}"/>
    <cellStyle name="Normal 2 2 10 2 29 5 5" xfId="7682" xr:uid="{00000000-0005-0000-0000-0000021E0000}"/>
    <cellStyle name="Normal 2 2 10 2 29 5 6" xfId="7683" xr:uid="{00000000-0005-0000-0000-0000031E0000}"/>
    <cellStyle name="Normal 2 2 10 2 29 5 7" xfId="7684" xr:uid="{00000000-0005-0000-0000-0000041E0000}"/>
    <cellStyle name="Normal 2 2 10 2 29 5 8" xfId="7685" xr:uid="{00000000-0005-0000-0000-0000051E0000}"/>
    <cellStyle name="Normal 2 2 10 2 29 5 9" xfId="7686" xr:uid="{00000000-0005-0000-0000-0000061E0000}"/>
    <cellStyle name="Normal 2 2 10 2 29 6" xfId="7687" xr:uid="{00000000-0005-0000-0000-0000071E0000}"/>
    <cellStyle name="Normal 2 2 10 2 29 7" xfId="7688" xr:uid="{00000000-0005-0000-0000-0000081E0000}"/>
    <cellStyle name="Normal 2 2 10 2 29 8" xfId="7689" xr:uid="{00000000-0005-0000-0000-0000091E0000}"/>
    <cellStyle name="Normal 2 2 10 2 29 9" xfId="7690" xr:uid="{00000000-0005-0000-0000-00000A1E0000}"/>
    <cellStyle name="Normal 2 2 10 2 3" xfId="7691" xr:uid="{00000000-0005-0000-0000-00000B1E0000}"/>
    <cellStyle name="Normal 2 2 10 2 3 10" xfId="7692" xr:uid="{00000000-0005-0000-0000-00000C1E0000}"/>
    <cellStyle name="Normal 2 2 10 2 3 11" xfId="7693" xr:uid="{00000000-0005-0000-0000-00000D1E0000}"/>
    <cellStyle name="Normal 2 2 10 2 3 12" xfId="7694" xr:uid="{00000000-0005-0000-0000-00000E1E0000}"/>
    <cellStyle name="Normal 2 2 10 2 3 13" xfId="7695" xr:uid="{00000000-0005-0000-0000-00000F1E0000}"/>
    <cellStyle name="Normal 2 2 10 2 3 14" xfId="7696" xr:uid="{00000000-0005-0000-0000-0000101E0000}"/>
    <cellStyle name="Normal 2 2 10 2 3 2" xfId="7697" xr:uid="{00000000-0005-0000-0000-0000111E0000}"/>
    <cellStyle name="Normal 2 2 10 2 3 2 10" xfId="7698" xr:uid="{00000000-0005-0000-0000-0000121E0000}"/>
    <cellStyle name="Normal 2 2 10 2 3 2 2" xfId="7699" xr:uid="{00000000-0005-0000-0000-0000131E0000}"/>
    <cellStyle name="Normal 2 2 10 2 3 2 3" xfId="7700" xr:uid="{00000000-0005-0000-0000-0000141E0000}"/>
    <cellStyle name="Normal 2 2 10 2 3 2 4" xfId="7701" xr:uid="{00000000-0005-0000-0000-0000151E0000}"/>
    <cellStyle name="Normal 2 2 10 2 3 2 5" xfId="7702" xr:uid="{00000000-0005-0000-0000-0000161E0000}"/>
    <cellStyle name="Normal 2 2 10 2 3 2 6" xfId="7703" xr:uid="{00000000-0005-0000-0000-0000171E0000}"/>
    <cellStyle name="Normal 2 2 10 2 3 2 7" xfId="7704" xr:uid="{00000000-0005-0000-0000-0000181E0000}"/>
    <cellStyle name="Normal 2 2 10 2 3 2 8" xfId="7705" xr:uid="{00000000-0005-0000-0000-0000191E0000}"/>
    <cellStyle name="Normal 2 2 10 2 3 2 9" xfId="7706" xr:uid="{00000000-0005-0000-0000-00001A1E0000}"/>
    <cellStyle name="Normal 2 2 10 2 3 3" xfId="7707" xr:uid="{00000000-0005-0000-0000-00001B1E0000}"/>
    <cellStyle name="Normal 2 2 10 2 3 3 10" xfId="7708" xr:uid="{00000000-0005-0000-0000-00001C1E0000}"/>
    <cellStyle name="Normal 2 2 10 2 3 3 2" xfId="7709" xr:uid="{00000000-0005-0000-0000-00001D1E0000}"/>
    <cellStyle name="Normal 2 2 10 2 3 3 3" xfId="7710" xr:uid="{00000000-0005-0000-0000-00001E1E0000}"/>
    <cellStyle name="Normal 2 2 10 2 3 3 4" xfId="7711" xr:uid="{00000000-0005-0000-0000-00001F1E0000}"/>
    <cellStyle name="Normal 2 2 10 2 3 3 5" xfId="7712" xr:uid="{00000000-0005-0000-0000-0000201E0000}"/>
    <cellStyle name="Normal 2 2 10 2 3 3 6" xfId="7713" xr:uid="{00000000-0005-0000-0000-0000211E0000}"/>
    <cellStyle name="Normal 2 2 10 2 3 3 7" xfId="7714" xr:uid="{00000000-0005-0000-0000-0000221E0000}"/>
    <cellStyle name="Normal 2 2 10 2 3 3 8" xfId="7715" xr:uid="{00000000-0005-0000-0000-0000231E0000}"/>
    <cellStyle name="Normal 2 2 10 2 3 3 9" xfId="7716" xr:uid="{00000000-0005-0000-0000-0000241E0000}"/>
    <cellStyle name="Normal 2 2 10 2 3 4" xfId="7717" xr:uid="{00000000-0005-0000-0000-0000251E0000}"/>
    <cellStyle name="Normal 2 2 10 2 3 4 10" xfId="7718" xr:uid="{00000000-0005-0000-0000-0000261E0000}"/>
    <cellStyle name="Normal 2 2 10 2 3 4 2" xfId="7719" xr:uid="{00000000-0005-0000-0000-0000271E0000}"/>
    <cellStyle name="Normal 2 2 10 2 3 4 3" xfId="7720" xr:uid="{00000000-0005-0000-0000-0000281E0000}"/>
    <cellStyle name="Normal 2 2 10 2 3 4 4" xfId="7721" xr:uid="{00000000-0005-0000-0000-0000291E0000}"/>
    <cellStyle name="Normal 2 2 10 2 3 4 5" xfId="7722" xr:uid="{00000000-0005-0000-0000-00002A1E0000}"/>
    <cellStyle name="Normal 2 2 10 2 3 4 6" xfId="7723" xr:uid="{00000000-0005-0000-0000-00002B1E0000}"/>
    <cellStyle name="Normal 2 2 10 2 3 4 7" xfId="7724" xr:uid="{00000000-0005-0000-0000-00002C1E0000}"/>
    <cellStyle name="Normal 2 2 10 2 3 4 8" xfId="7725" xr:uid="{00000000-0005-0000-0000-00002D1E0000}"/>
    <cellStyle name="Normal 2 2 10 2 3 4 9" xfId="7726" xr:uid="{00000000-0005-0000-0000-00002E1E0000}"/>
    <cellStyle name="Normal 2 2 10 2 3 5" xfId="7727" xr:uid="{00000000-0005-0000-0000-00002F1E0000}"/>
    <cellStyle name="Normal 2 2 10 2 3 5 10" xfId="7728" xr:uid="{00000000-0005-0000-0000-0000301E0000}"/>
    <cellStyle name="Normal 2 2 10 2 3 5 2" xfId="7729" xr:uid="{00000000-0005-0000-0000-0000311E0000}"/>
    <cellStyle name="Normal 2 2 10 2 3 5 3" xfId="7730" xr:uid="{00000000-0005-0000-0000-0000321E0000}"/>
    <cellStyle name="Normal 2 2 10 2 3 5 4" xfId="7731" xr:uid="{00000000-0005-0000-0000-0000331E0000}"/>
    <cellStyle name="Normal 2 2 10 2 3 5 5" xfId="7732" xr:uid="{00000000-0005-0000-0000-0000341E0000}"/>
    <cellStyle name="Normal 2 2 10 2 3 5 6" xfId="7733" xr:uid="{00000000-0005-0000-0000-0000351E0000}"/>
    <cellStyle name="Normal 2 2 10 2 3 5 7" xfId="7734" xr:uid="{00000000-0005-0000-0000-0000361E0000}"/>
    <cellStyle name="Normal 2 2 10 2 3 5 8" xfId="7735" xr:uid="{00000000-0005-0000-0000-0000371E0000}"/>
    <cellStyle name="Normal 2 2 10 2 3 5 9" xfId="7736" xr:uid="{00000000-0005-0000-0000-0000381E0000}"/>
    <cellStyle name="Normal 2 2 10 2 3 6" xfId="7737" xr:uid="{00000000-0005-0000-0000-0000391E0000}"/>
    <cellStyle name="Normal 2 2 10 2 3 7" xfId="7738" xr:uid="{00000000-0005-0000-0000-00003A1E0000}"/>
    <cellStyle name="Normal 2 2 10 2 3 8" xfId="7739" xr:uid="{00000000-0005-0000-0000-00003B1E0000}"/>
    <cellStyle name="Normal 2 2 10 2 3 9" xfId="7740" xr:uid="{00000000-0005-0000-0000-00003C1E0000}"/>
    <cellStyle name="Normal 2 2 10 2 30" xfId="7741" xr:uid="{00000000-0005-0000-0000-00003D1E0000}"/>
    <cellStyle name="Normal 2 2 10 2 30 10" xfId="7742" xr:uid="{00000000-0005-0000-0000-00003E1E0000}"/>
    <cellStyle name="Normal 2 2 10 2 30 11" xfId="7743" xr:uid="{00000000-0005-0000-0000-00003F1E0000}"/>
    <cellStyle name="Normal 2 2 10 2 30 12" xfId="7744" xr:uid="{00000000-0005-0000-0000-0000401E0000}"/>
    <cellStyle name="Normal 2 2 10 2 30 13" xfId="7745" xr:uid="{00000000-0005-0000-0000-0000411E0000}"/>
    <cellStyle name="Normal 2 2 10 2 30 14" xfId="7746" xr:uid="{00000000-0005-0000-0000-0000421E0000}"/>
    <cellStyle name="Normal 2 2 10 2 30 2" xfId="7747" xr:uid="{00000000-0005-0000-0000-0000431E0000}"/>
    <cellStyle name="Normal 2 2 10 2 30 2 10" xfId="7748" xr:uid="{00000000-0005-0000-0000-0000441E0000}"/>
    <cellStyle name="Normal 2 2 10 2 30 2 2" xfId="7749" xr:uid="{00000000-0005-0000-0000-0000451E0000}"/>
    <cellStyle name="Normal 2 2 10 2 30 2 3" xfId="7750" xr:uid="{00000000-0005-0000-0000-0000461E0000}"/>
    <cellStyle name="Normal 2 2 10 2 30 2 4" xfId="7751" xr:uid="{00000000-0005-0000-0000-0000471E0000}"/>
    <cellStyle name="Normal 2 2 10 2 30 2 5" xfId="7752" xr:uid="{00000000-0005-0000-0000-0000481E0000}"/>
    <cellStyle name="Normal 2 2 10 2 30 2 6" xfId="7753" xr:uid="{00000000-0005-0000-0000-0000491E0000}"/>
    <cellStyle name="Normal 2 2 10 2 30 2 7" xfId="7754" xr:uid="{00000000-0005-0000-0000-00004A1E0000}"/>
    <cellStyle name="Normal 2 2 10 2 30 2 8" xfId="7755" xr:uid="{00000000-0005-0000-0000-00004B1E0000}"/>
    <cellStyle name="Normal 2 2 10 2 30 2 9" xfId="7756" xr:uid="{00000000-0005-0000-0000-00004C1E0000}"/>
    <cellStyle name="Normal 2 2 10 2 30 3" xfId="7757" xr:uid="{00000000-0005-0000-0000-00004D1E0000}"/>
    <cellStyle name="Normal 2 2 10 2 30 3 10" xfId="7758" xr:uid="{00000000-0005-0000-0000-00004E1E0000}"/>
    <cellStyle name="Normal 2 2 10 2 30 3 2" xfId="7759" xr:uid="{00000000-0005-0000-0000-00004F1E0000}"/>
    <cellStyle name="Normal 2 2 10 2 30 3 3" xfId="7760" xr:uid="{00000000-0005-0000-0000-0000501E0000}"/>
    <cellStyle name="Normal 2 2 10 2 30 3 4" xfId="7761" xr:uid="{00000000-0005-0000-0000-0000511E0000}"/>
    <cellStyle name="Normal 2 2 10 2 30 3 5" xfId="7762" xr:uid="{00000000-0005-0000-0000-0000521E0000}"/>
    <cellStyle name="Normal 2 2 10 2 30 3 6" xfId="7763" xr:uid="{00000000-0005-0000-0000-0000531E0000}"/>
    <cellStyle name="Normal 2 2 10 2 30 3 7" xfId="7764" xr:uid="{00000000-0005-0000-0000-0000541E0000}"/>
    <cellStyle name="Normal 2 2 10 2 30 3 8" xfId="7765" xr:uid="{00000000-0005-0000-0000-0000551E0000}"/>
    <cellStyle name="Normal 2 2 10 2 30 3 9" xfId="7766" xr:uid="{00000000-0005-0000-0000-0000561E0000}"/>
    <cellStyle name="Normal 2 2 10 2 30 4" xfId="7767" xr:uid="{00000000-0005-0000-0000-0000571E0000}"/>
    <cellStyle name="Normal 2 2 10 2 30 4 10" xfId="7768" xr:uid="{00000000-0005-0000-0000-0000581E0000}"/>
    <cellStyle name="Normal 2 2 10 2 30 4 2" xfId="7769" xr:uid="{00000000-0005-0000-0000-0000591E0000}"/>
    <cellStyle name="Normal 2 2 10 2 30 4 3" xfId="7770" xr:uid="{00000000-0005-0000-0000-00005A1E0000}"/>
    <cellStyle name="Normal 2 2 10 2 30 4 4" xfId="7771" xr:uid="{00000000-0005-0000-0000-00005B1E0000}"/>
    <cellStyle name="Normal 2 2 10 2 30 4 5" xfId="7772" xr:uid="{00000000-0005-0000-0000-00005C1E0000}"/>
    <cellStyle name="Normal 2 2 10 2 30 4 6" xfId="7773" xr:uid="{00000000-0005-0000-0000-00005D1E0000}"/>
    <cellStyle name="Normal 2 2 10 2 30 4 7" xfId="7774" xr:uid="{00000000-0005-0000-0000-00005E1E0000}"/>
    <cellStyle name="Normal 2 2 10 2 30 4 8" xfId="7775" xr:uid="{00000000-0005-0000-0000-00005F1E0000}"/>
    <cellStyle name="Normal 2 2 10 2 30 4 9" xfId="7776" xr:uid="{00000000-0005-0000-0000-0000601E0000}"/>
    <cellStyle name="Normal 2 2 10 2 30 5" xfId="7777" xr:uid="{00000000-0005-0000-0000-0000611E0000}"/>
    <cellStyle name="Normal 2 2 10 2 30 5 10" xfId="7778" xr:uid="{00000000-0005-0000-0000-0000621E0000}"/>
    <cellStyle name="Normal 2 2 10 2 30 5 2" xfId="7779" xr:uid="{00000000-0005-0000-0000-0000631E0000}"/>
    <cellStyle name="Normal 2 2 10 2 30 5 3" xfId="7780" xr:uid="{00000000-0005-0000-0000-0000641E0000}"/>
    <cellStyle name="Normal 2 2 10 2 30 5 4" xfId="7781" xr:uid="{00000000-0005-0000-0000-0000651E0000}"/>
    <cellStyle name="Normal 2 2 10 2 30 5 5" xfId="7782" xr:uid="{00000000-0005-0000-0000-0000661E0000}"/>
    <cellStyle name="Normal 2 2 10 2 30 5 6" xfId="7783" xr:uid="{00000000-0005-0000-0000-0000671E0000}"/>
    <cellStyle name="Normal 2 2 10 2 30 5 7" xfId="7784" xr:uid="{00000000-0005-0000-0000-0000681E0000}"/>
    <cellStyle name="Normal 2 2 10 2 30 5 8" xfId="7785" xr:uid="{00000000-0005-0000-0000-0000691E0000}"/>
    <cellStyle name="Normal 2 2 10 2 30 5 9" xfId="7786" xr:uid="{00000000-0005-0000-0000-00006A1E0000}"/>
    <cellStyle name="Normal 2 2 10 2 30 6" xfId="7787" xr:uid="{00000000-0005-0000-0000-00006B1E0000}"/>
    <cellStyle name="Normal 2 2 10 2 30 7" xfId="7788" xr:uid="{00000000-0005-0000-0000-00006C1E0000}"/>
    <cellStyle name="Normal 2 2 10 2 30 8" xfId="7789" xr:uid="{00000000-0005-0000-0000-00006D1E0000}"/>
    <cellStyle name="Normal 2 2 10 2 30 9" xfId="7790" xr:uid="{00000000-0005-0000-0000-00006E1E0000}"/>
    <cellStyle name="Normal 2 2 10 2 31" xfId="7791" xr:uid="{00000000-0005-0000-0000-00006F1E0000}"/>
    <cellStyle name="Normal 2 2 10 2 31 10" xfId="7792" xr:uid="{00000000-0005-0000-0000-0000701E0000}"/>
    <cellStyle name="Normal 2 2 10 2 31 11" xfId="7793" xr:uid="{00000000-0005-0000-0000-0000711E0000}"/>
    <cellStyle name="Normal 2 2 10 2 31 12" xfId="7794" xr:uid="{00000000-0005-0000-0000-0000721E0000}"/>
    <cellStyle name="Normal 2 2 10 2 31 13" xfId="7795" xr:uid="{00000000-0005-0000-0000-0000731E0000}"/>
    <cellStyle name="Normal 2 2 10 2 31 14" xfId="7796" xr:uid="{00000000-0005-0000-0000-0000741E0000}"/>
    <cellStyle name="Normal 2 2 10 2 31 2" xfId="7797" xr:uid="{00000000-0005-0000-0000-0000751E0000}"/>
    <cellStyle name="Normal 2 2 10 2 31 2 10" xfId="7798" xr:uid="{00000000-0005-0000-0000-0000761E0000}"/>
    <cellStyle name="Normal 2 2 10 2 31 2 2" xfId="7799" xr:uid="{00000000-0005-0000-0000-0000771E0000}"/>
    <cellStyle name="Normal 2 2 10 2 31 2 3" xfId="7800" xr:uid="{00000000-0005-0000-0000-0000781E0000}"/>
    <cellStyle name="Normal 2 2 10 2 31 2 4" xfId="7801" xr:uid="{00000000-0005-0000-0000-0000791E0000}"/>
    <cellStyle name="Normal 2 2 10 2 31 2 5" xfId="7802" xr:uid="{00000000-0005-0000-0000-00007A1E0000}"/>
    <cellStyle name="Normal 2 2 10 2 31 2 6" xfId="7803" xr:uid="{00000000-0005-0000-0000-00007B1E0000}"/>
    <cellStyle name="Normal 2 2 10 2 31 2 7" xfId="7804" xr:uid="{00000000-0005-0000-0000-00007C1E0000}"/>
    <cellStyle name="Normal 2 2 10 2 31 2 8" xfId="7805" xr:uid="{00000000-0005-0000-0000-00007D1E0000}"/>
    <cellStyle name="Normal 2 2 10 2 31 2 9" xfId="7806" xr:uid="{00000000-0005-0000-0000-00007E1E0000}"/>
    <cellStyle name="Normal 2 2 10 2 31 3" xfId="7807" xr:uid="{00000000-0005-0000-0000-00007F1E0000}"/>
    <cellStyle name="Normal 2 2 10 2 31 3 10" xfId="7808" xr:uid="{00000000-0005-0000-0000-0000801E0000}"/>
    <cellStyle name="Normal 2 2 10 2 31 3 2" xfId="7809" xr:uid="{00000000-0005-0000-0000-0000811E0000}"/>
    <cellStyle name="Normal 2 2 10 2 31 3 3" xfId="7810" xr:uid="{00000000-0005-0000-0000-0000821E0000}"/>
    <cellStyle name="Normal 2 2 10 2 31 3 4" xfId="7811" xr:uid="{00000000-0005-0000-0000-0000831E0000}"/>
    <cellStyle name="Normal 2 2 10 2 31 3 5" xfId="7812" xr:uid="{00000000-0005-0000-0000-0000841E0000}"/>
    <cellStyle name="Normal 2 2 10 2 31 3 6" xfId="7813" xr:uid="{00000000-0005-0000-0000-0000851E0000}"/>
    <cellStyle name="Normal 2 2 10 2 31 3 7" xfId="7814" xr:uid="{00000000-0005-0000-0000-0000861E0000}"/>
    <cellStyle name="Normal 2 2 10 2 31 3 8" xfId="7815" xr:uid="{00000000-0005-0000-0000-0000871E0000}"/>
    <cellStyle name="Normal 2 2 10 2 31 3 9" xfId="7816" xr:uid="{00000000-0005-0000-0000-0000881E0000}"/>
    <cellStyle name="Normal 2 2 10 2 31 4" xfId="7817" xr:uid="{00000000-0005-0000-0000-0000891E0000}"/>
    <cellStyle name="Normal 2 2 10 2 31 4 10" xfId="7818" xr:uid="{00000000-0005-0000-0000-00008A1E0000}"/>
    <cellStyle name="Normal 2 2 10 2 31 4 2" xfId="7819" xr:uid="{00000000-0005-0000-0000-00008B1E0000}"/>
    <cellStyle name="Normal 2 2 10 2 31 4 3" xfId="7820" xr:uid="{00000000-0005-0000-0000-00008C1E0000}"/>
    <cellStyle name="Normal 2 2 10 2 31 4 4" xfId="7821" xr:uid="{00000000-0005-0000-0000-00008D1E0000}"/>
    <cellStyle name="Normal 2 2 10 2 31 4 5" xfId="7822" xr:uid="{00000000-0005-0000-0000-00008E1E0000}"/>
    <cellStyle name="Normal 2 2 10 2 31 4 6" xfId="7823" xr:uid="{00000000-0005-0000-0000-00008F1E0000}"/>
    <cellStyle name="Normal 2 2 10 2 31 4 7" xfId="7824" xr:uid="{00000000-0005-0000-0000-0000901E0000}"/>
    <cellStyle name="Normal 2 2 10 2 31 4 8" xfId="7825" xr:uid="{00000000-0005-0000-0000-0000911E0000}"/>
    <cellStyle name="Normal 2 2 10 2 31 4 9" xfId="7826" xr:uid="{00000000-0005-0000-0000-0000921E0000}"/>
    <cellStyle name="Normal 2 2 10 2 31 5" xfId="7827" xr:uid="{00000000-0005-0000-0000-0000931E0000}"/>
    <cellStyle name="Normal 2 2 10 2 31 5 10" xfId="7828" xr:uid="{00000000-0005-0000-0000-0000941E0000}"/>
    <cellStyle name="Normal 2 2 10 2 31 5 2" xfId="7829" xr:uid="{00000000-0005-0000-0000-0000951E0000}"/>
    <cellStyle name="Normal 2 2 10 2 31 5 3" xfId="7830" xr:uid="{00000000-0005-0000-0000-0000961E0000}"/>
    <cellStyle name="Normal 2 2 10 2 31 5 4" xfId="7831" xr:uid="{00000000-0005-0000-0000-0000971E0000}"/>
    <cellStyle name="Normal 2 2 10 2 31 5 5" xfId="7832" xr:uid="{00000000-0005-0000-0000-0000981E0000}"/>
    <cellStyle name="Normal 2 2 10 2 31 5 6" xfId="7833" xr:uid="{00000000-0005-0000-0000-0000991E0000}"/>
    <cellStyle name="Normal 2 2 10 2 31 5 7" xfId="7834" xr:uid="{00000000-0005-0000-0000-00009A1E0000}"/>
    <cellStyle name="Normal 2 2 10 2 31 5 8" xfId="7835" xr:uid="{00000000-0005-0000-0000-00009B1E0000}"/>
    <cellStyle name="Normal 2 2 10 2 31 5 9" xfId="7836" xr:uid="{00000000-0005-0000-0000-00009C1E0000}"/>
    <cellStyle name="Normal 2 2 10 2 31 6" xfId="7837" xr:uid="{00000000-0005-0000-0000-00009D1E0000}"/>
    <cellStyle name="Normal 2 2 10 2 31 7" xfId="7838" xr:uid="{00000000-0005-0000-0000-00009E1E0000}"/>
    <cellStyle name="Normal 2 2 10 2 31 8" xfId="7839" xr:uid="{00000000-0005-0000-0000-00009F1E0000}"/>
    <cellStyle name="Normal 2 2 10 2 31 9" xfId="7840" xr:uid="{00000000-0005-0000-0000-0000A01E0000}"/>
    <cellStyle name="Normal 2 2 10 2 32" xfId="7841" xr:uid="{00000000-0005-0000-0000-0000A11E0000}"/>
    <cellStyle name="Normal 2 2 10 2 32 10" xfId="7842" xr:uid="{00000000-0005-0000-0000-0000A21E0000}"/>
    <cellStyle name="Normal 2 2 10 2 32 11" xfId="7843" xr:uid="{00000000-0005-0000-0000-0000A31E0000}"/>
    <cellStyle name="Normal 2 2 10 2 32 12" xfId="7844" xr:uid="{00000000-0005-0000-0000-0000A41E0000}"/>
    <cellStyle name="Normal 2 2 10 2 32 13" xfId="7845" xr:uid="{00000000-0005-0000-0000-0000A51E0000}"/>
    <cellStyle name="Normal 2 2 10 2 32 14" xfId="7846" xr:uid="{00000000-0005-0000-0000-0000A61E0000}"/>
    <cellStyle name="Normal 2 2 10 2 32 2" xfId="7847" xr:uid="{00000000-0005-0000-0000-0000A71E0000}"/>
    <cellStyle name="Normal 2 2 10 2 32 2 10" xfId="7848" xr:uid="{00000000-0005-0000-0000-0000A81E0000}"/>
    <cellStyle name="Normal 2 2 10 2 32 2 2" xfId="7849" xr:uid="{00000000-0005-0000-0000-0000A91E0000}"/>
    <cellStyle name="Normal 2 2 10 2 32 2 3" xfId="7850" xr:uid="{00000000-0005-0000-0000-0000AA1E0000}"/>
    <cellStyle name="Normal 2 2 10 2 32 2 4" xfId="7851" xr:uid="{00000000-0005-0000-0000-0000AB1E0000}"/>
    <cellStyle name="Normal 2 2 10 2 32 2 5" xfId="7852" xr:uid="{00000000-0005-0000-0000-0000AC1E0000}"/>
    <cellStyle name="Normal 2 2 10 2 32 2 6" xfId="7853" xr:uid="{00000000-0005-0000-0000-0000AD1E0000}"/>
    <cellStyle name="Normal 2 2 10 2 32 2 7" xfId="7854" xr:uid="{00000000-0005-0000-0000-0000AE1E0000}"/>
    <cellStyle name="Normal 2 2 10 2 32 2 8" xfId="7855" xr:uid="{00000000-0005-0000-0000-0000AF1E0000}"/>
    <cellStyle name="Normal 2 2 10 2 32 2 9" xfId="7856" xr:uid="{00000000-0005-0000-0000-0000B01E0000}"/>
    <cellStyle name="Normal 2 2 10 2 32 3" xfId="7857" xr:uid="{00000000-0005-0000-0000-0000B11E0000}"/>
    <cellStyle name="Normal 2 2 10 2 32 3 10" xfId="7858" xr:uid="{00000000-0005-0000-0000-0000B21E0000}"/>
    <cellStyle name="Normal 2 2 10 2 32 3 2" xfId="7859" xr:uid="{00000000-0005-0000-0000-0000B31E0000}"/>
    <cellStyle name="Normal 2 2 10 2 32 3 3" xfId="7860" xr:uid="{00000000-0005-0000-0000-0000B41E0000}"/>
    <cellStyle name="Normal 2 2 10 2 32 3 4" xfId="7861" xr:uid="{00000000-0005-0000-0000-0000B51E0000}"/>
    <cellStyle name="Normal 2 2 10 2 32 3 5" xfId="7862" xr:uid="{00000000-0005-0000-0000-0000B61E0000}"/>
    <cellStyle name="Normal 2 2 10 2 32 3 6" xfId="7863" xr:uid="{00000000-0005-0000-0000-0000B71E0000}"/>
    <cellStyle name="Normal 2 2 10 2 32 3 7" xfId="7864" xr:uid="{00000000-0005-0000-0000-0000B81E0000}"/>
    <cellStyle name="Normal 2 2 10 2 32 3 8" xfId="7865" xr:uid="{00000000-0005-0000-0000-0000B91E0000}"/>
    <cellStyle name="Normal 2 2 10 2 32 3 9" xfId="7866" xr:uid="{00000000-0005-0000-0000-0000BA1E0000}"/>
    <cellStyle name="Normal 2 2 10 2 32 4" xfId="7867" xr:uid="{00000000-0005-0000-0000-0000BB1E0000}"/>
    <cellStyle name="Normal 2 2 10 2 32 4 10" xfId="7868" xr:uid="{00000000-0005-0000-0000-0000BC1E0000}"/>
    <cellStyle name="Normal 2 2 10 2 32 4 2" xfId="7869" xr:uid="{00000000-0005-0000-0000-0000BD1E0000}"/>
    <cellStyle name="Normal 2 2 10 2 32 4 3" xfId="7870" xr:uid="{00000000-0005-0000-0000-0000BE1E0000}"/>
    <cellStyle name="Normal 2 2 10 2 32 4 4" xfId="7871" xr:uid="{00000000-0005-0000-0000-0000BF1E0000}"/>
    <cellStyle name="Normal 2 2 10 2 32 4 5" xfId="7872" xr:uid="{00000000-0005-0000-0000-0000C01E0000}"/>
    <cellStyle name="Normal 2 2 10 2 32 4 6" xfId="7873" xr:uid="{00000000-0005-0000-0000-0000C11E0000}"/>
    <cellStyle name="Normal 2 2 10 2 32 4 7" xfId="7874" xr:uid="{00000000-0005-0000-0000-0000C21E0000}"/>
    <cellStyle name="Normal 2 2 10 2 32 4 8" xfId="7875" xr:uid="{00000000-0005-0000-0000-0000C31E0000}"/>
    <cellStyle name="Normal 2 2 10 2 32 4 9" xfId="7876" xr:uid="{00000000-0005-0000-0000-0000C41E0000}"/>
    <cellStyle name="Normal 2 2 10 2 32 5" xfId="7877" xr:uid="{00000000-0005-0000-0000-0000C51E0000}"/>
    <cellStyle name="Normal 2 2 10 2 32 5 10" xfId="7878" xr:uid="{00000000-0005-0000-0000-0000C61E0000}"/>
    <cellStyle name="Normal 2 2 10 2 32 5 2" xfId="7879" xr:uid="{00000000-0005-0000-0000-0000C71E0000}"/>
    <cellStyle name="Normal 2 2 10 2 32 5 3" xfId="7880" xr:uid="{00000000-0005-0000-0000-0000C81E0000}"/>
    <cellStyle name="Normal 2 2 10 2 32 5 4" xfId="7881" xr:uid="{00000000-0005-0000-0000-0000C91E0000}"/>
    <cellStyle name="Normal 2 2 10 2 32 5 5" xfId="7882" xr:uid="{00000000-0005-0000-0000-0000CA1E0000}"/>
    <cellStyle name="Normal 2 2 10 2 32 5 6" xfId="7883" xr:uid="{00000000-0005-0000-0000-0000CB1E0000}"/>
    <cellStyle name="Normal 2 2 10 2 32 5 7" xfId="7884" xr:uid="{00000000-0005-0000-0000-0000CC1E0000}"/>
    <cellStyle name="Normal 2 2 10 2 32 5 8" xfId="7885" xr:uid="{00000000-0005-0000-0000-0000CD1E0000}"/>
    <cellStyle name="Normal 2 2 10 2 32 5 9" xfId="7886" xr:uid="{00000000-0005-0000-0000-0000CE1E0000}"/>
    <cellStyle name="Normal 2 2 10 2 32 6" xfId="7887" xr:uid="{00000000-0005-0000-0000-0000CF1E0000}"/>
    <cellStyle name="Normal 2 2 10 2 32 7" xfId="7888" xr:uid="{00000000-0005-0000-0000-0000D01E0000}"/>
    <cellStyle name="Normal 2 2 10 2 32 8" xfId="7889" xr:uid="{00000000-0005-0000-0000-0000D11E0000}"/>
    <cellStyle name="Normal 2 2 10 2 32 9" xfId="7890" xr:uid="{00000000-0005-0000-0000-0000D21E0000}"/>
    <cellStyle name="Normal 2 2 10 2 33" xfId="7891" xr:uid="{00000000-0005-0000-0000-0000D31E0000}"/>
    <cellStyle name="Normal 2 2 10 2 33 10" xfId="7892" xr:uid="{00000000-0005-0000-0000-0000D41E0000}"/>
    <cellStyle name="Normal 2 2 10 2 33 11" xfId="7893" xr:uid="{00000000-0005-0000-0000-0000D51E0000}"/>
    <cellStyle name="Normal 2 2 10 2 33 12" xfId="7894" xr:uid="{00000000-0005-0000-0000-0000D61E0000}"/>
    <cellStyle name="Normal 2 2 10 2 33 13" xfId="7895" xr:uid="{00000000-0005-0000-0000-0000D71E0000}"/>
    <cellStyle name="Normal 2 2 10 2 33 14" xfId="7896" xr:uid="{00000000-0005-0000-0000-0000D81E0000}"/>
    <cellStyle name="Normal 2 2 10 2 33 2" xfId="7897" xr:uid="{00000000-0005-0000-0000-0000D91E0000}"/>
    <cellStyle name="Normal 2 2 10 2 33 2 10" xfId="7898" xr:uid="{00000000-0005-0000-0000-0000DA1E0000}"/>
    <cellStyle name="Normal 2 2 10 2 33 2 2" xfId="7899" xr:uid="{00000000-0005-0000-0000-0000DB1E0000}"/>
    <cellStyle name="Normal 2 2 10 2 33 2 3" xfId="7900" xr:uid="{00000000-0005-0000-0000-0000DC1E0000}"/>
    <cellStyle name="Normal 2 2 10 2 33 2 4" xfId="7901" xr:uid="{00000000-0005-0000-0000-0000DD1E0000}"/>
    <cellStyle name="Normal 2 2 10 2 33 2 5" xfId="7902" xr:uid="{00000000-0005-0000-0000-0000DE1E0000}"/>
    <cellStyle name="Normal 2 2 10 2 33 2 6" xfId="7903" xr:uid="{00000000-0005-0000-0000-0000DF1E0000}"/>
    <cellStyle name="Normal 2 2 10 2 33 2 7" xfId="7904" xr:uid="{00000000-0005-0000-0000-0000E01E0000}"/>
    <cellStyle name="Normal 2 2 10 2 33 2 8" xfId="7905" xr:uid="{00000000-0005-0000-0000-0000E11E0000}"/>
    <cellStyle name="Normal 2 2 10 2 33 2 9" xfId="7906" xr:uid="{00000000-0005-0000-0000-0000E21E0000}"/>
    <cellStyle name="Normal 2 2 10 2 33 3" xfId="7907" xr:uid="{00000000-0005-0000-0000-0000E31E0000}"/>
    <cellStyle name="Normal 2 2 10 2 33 3 10" xfId="7908" xr:uid="{00000000-0005-0000-0000-0000E41E0000}"/>
    <cellStyle name="Normal 2 2 10 2 33 3 2" xfId="7909" xr:uid="{00000000-0005-0000-0000-0000E51E0000}"/>
    <cellStyle name="Normal 2 2 10 2 33 3 3" xfId="7910" xr:uid="{00000000-0005-0000-0000-0000E61E0000}"/>
    <cellStyle name="Normal 2 2 10 2 33 3 4" xfId="7911" xr:uid="{00000000-0005-0000-0000-0000E71E0000}"/>
    <cellStyle name="Normal 2 2 10 2 33 3 5" xfId="7912" xr:uid="{00000000-0005-0000-0000-0000E81E0000}"/>
    <cellStyle name="Normal 2 2 10 2 33 3 6" xfId="7913" xr:uid="{00000000-0005-0000-0000-0000E91E0000}"/>
    <cellStyle name="Normal 2 2 10 2 33 3 7" xfId="7914" xr:uid="{00000000-0005-0000-0000-0000EA1E0000}"/>
    <cellStyle name="Normal 2 2 10 2 33 3 8" xfId="7915" xr:uid="{00000000-0005-0000-0000-0000EB1E0000}"/>
    <cellStyle name="Normal 2 2 10 2 33 3 9" xfId="7916" xr:uid="{00000000-0005-0000-0000-0000EC1E0000}"/>
    <cellStyle name="Normal 2 2 10 2 33 4" xfId="7917" xr:uid="{00000000-0005-0000-0000-0000ED1E0000}"/>
    <cellStyle name="Normal 2 2 10 2 33 4 10" xfId="7918" xr:uid="{00000000-0005-0000-0000-0000EE1E0000}"/>
    <cellStyle name="Normal 2 2 10 2 33 4 2" xfId="7919" xr:uid="{00000000-0005-0000-0000-0000EF1E0000}"/>
    <cellStyle name="Normal 2 2 10 2 33 4 3" xfId="7920" xr:uid="{00000000-0005-0000-0000-0000F01E0000}"/>
    <cellStyle name="Normal 2 2 10 2 33 4 4" xfId="7921" xr:uid="{00000000-0005-0000-0000-0000F11E0000}"/>
    <cellStyle name="Normal 2 2 10 2 33 4 5" xfId="7922" xr:uid="{00000000-0005-0000-0000-0000F21E0000}"/>
    <cellStyle name="Normal 2 2 10 2 33 4 6" xfId="7923" xr:uid="{00000000-0005-0000-0000-0000F31E0000}"/>
    <cellStyle name="Normal 2 2 10 2 33 4 7" xfId="7924" xr:uid="{00000000-0005-0000-0000-0000F41E0000}"/>
    <cellStyle name="Normal 2 2 10 2 33 4 8" xfId="7925" xr:uid="{00000000-0005-0000-0000-0000F51E0000}"/>
    <cellStyle name="Normal 2 2 10 2 33 4 9" xfId="7926" xr:uid="{00000000-0005-0000-0000-0000F61E0000}"/>
    <cellStyle name="Normal 2 2 10 2 33 5" xfId="7927" xr:uid="{00000000-0005-0000-0000-0000F71E0000}"/>
    <cellStyle name="Normal 2 2 10 2 33 5 10" xfId="7928" xr:uid="{00000000-0005-0000-0000-0000F81E0000}"/>
    <cellStyle name="Normal 2 2 10 2 33 5 2" xfId="7929" xr:uid="{00000000-0005-0000-0000-0000F91E0000}"/>
    <cellStyle name="Normal 2 2 10 2 33 5 3" xfId="7930" xr:uid="{00000000-0005-0000-0000-0000FA1E0000}"/>
    <cellStyle name="Normal 2 2 10 2 33 5 4" xfId="7931" xr:uid="{00000000-0005-0000-0000-0000FB1E0000}"/>
    <cellStyle name="Normal 2 2 10 2 33 5 5" xfId="7932" xr:uid="{00000000-0005-0000-0000-0000FC1E0000}"/>
    <cellStyle name="Normal 2 2 10 2 33 5 6" xfId="7933" xr:uid="{00000000-0005-0000-0000-0000FD1E0000}"/>
    <cellStyle name="Normal 2 2 10 2 33 5 7" xfId="7934" xr:uid="{00000000-0005-0000-0000-0000FE1E0000}"/>
    <cellStyle name="Normal 2 2 10 2 33 5 8" xfId="7935" xr:uid="{00000000-0005-0000-0000-0000FF1E0000}"/>
    <cellStyle name="Normal 2 2 10 2 33 5 9" xfId="7936" xr:uid="{00000000-0005-0000-0000-0000001F0000}"/>
    <cellStyle name="Normal 2 2 10 2 33 6" xfId="7937" xr:uid="{00000000-0005-0000-0000-0000011F0000}"/>
    <cellStyle name="Normal 2 2 10 2 33 7" xfId="7938" xr:uid="{00000000-0005-0000-0000-0000021F0000}"/>
    <cellStyle name="Normal 2 2 10 2 33 8" xfId="7939" xr:uid="{00000000-0005-0000-0000-0000031F0000}"/>
    <cellStyle name="Normal 2 2 10 2 33 9" xfId="7940" xr:uid="{00000000-0005-0000-0000-0000041F0000}"/>
    <cellStyle name="Normal 2 2 10 2 34" xfId="7941" xr:uid="{00000000-0005-0000-0000-0000051F0000}"/>
    <cellStyle name="Normal 2 2 10 2 34 10" xfId="7942" xr:uid="{00000000-0005-0000-0000-0000061F0000}"/>
    <cellStyle name="Normal 2 2 10 2 34 2" xfId="7943" xr:uid="{00000000-0005-0000-0000-0000071F0000}"/>
    <cellStyle name="Normal 2 2 10 2 34 3" xfId="7944" xr:uid="{00000000-0005-0000-0000-0000081F0000}"/>
    <cellStyle name="Normal 2 2 10 2 34 4" xfId="7945" xr:uid="{00000000-0005-0000-0000-0000091F0000}"/>
    <cellStyle name="Normal 2 2 10 2 34 5" xfId="7946" xr:uid="{00000000-0005-0000-0000-00000A1F0000}"/>
    <cellStyle name="Normal 2 2 10 2 34 6" xfId="7947" xr:uid="{00000000-0005-0000-0000-00000B1F0000}"/>
    <cellStyle name="Normal 2 2 10 2 34 7" xfId="7948" xr:uid="{00000000-0005-0000-0000-00000C1F0000}"/>
    <cellStyle name="Normal 2 2 10 2 34 8" xfId="7949" xr:uid="{00000000-0005-0000-0000-00000D1F0000}"/>
    <cellStyle name="Normal 2 2 10 2 34 9" xfId="7950" xr:uid="{00000000-0005-0000-0000-00000E1F0000}"/>
    <cellStyle name="Normal 2 2 10 2 35" xfId="7951" xr:uid="{00000000-0005-0000-0000-00000F1F0000}"/>
    <cellStyle name="Normal 2 2 10 2 35 10" xfId="7952" xr:uid="{00000000-0005-0000-0000-0000101F0000}"/>
    <cellStyle name="Normal 2 2 10 2 35 2" xfId="7953" xr:uid="{00000000-0005-0000-0000-0000111F0000}"/>
    <cellStyle name="Normal 2 2 10 2 35 3" xfId="7954" xr:uid="{00000000-0005-0000-0000-0000121F0000}"/>
    <cellStyle name="Normal 2 2 10 2 35 4" xfId="7955" xr:uid="{00000000-0005-0000-0000-0000131F0000}"/>
    <cellStyle name="Normal 2 2 10 2 35 5" xfId="7956" xr:uid="{00000000-0005-0000-0000-0000141F0000}"/>
    <cellStyle name="Normal 2 2 10 2 35 6" xfId="7957" xr:uid="{00000000-0005-0000-0000-0000151F0000}"/>
    <cellStyle name="Normal 2 2 10 2 35 7" xfId="7958" xr:uid="{00000000-0005-0000-0000-0000161F0000}"/>
    <cellStyle name="Normal 2 2 10 2 35 8" xfId="7959" xr:uid="{00000000-0005-0000-0000-0000171F0000}"/>
    <cellStyle name="Normal 2 2 10 2 35 9" xfId="7960" xr:uid="{00000000-0005-0000-0000-0000181F0000}"/>
    <cellStyle name="Normal 2 2 10 2 36" xfId="7961" xr:uid="{00000000-0005-0000-0000-0000191F0000}"/>
    <cellStyle name="Normal 2 2 10 2 36 10" xfId="7962" xr:uid="{00000000-0005-0000-0000-00001A1F0000}"/>
    <cellStyle name="Normal 2 2 10 2 36 2" xfId="7963" xr:uid="{00000000-0005-0000-0000-00001B1F0000}"/>
    <cellStyle name="Normal 2 2 10 2 36 3" xfId="7964" xr:uid="{00000000-0005-0000-0000-00001C1F0000}"/>
    <cellStyle name="Normal 2 2 10 2 36 4" xfId="7965" xr:uid="{00000000-0005-0000-0000-00001D1F0000}"/>
    <cellStyle name="Normal 2 2 10 2 36 5" xfId="7966" xr:uid="{00000000-0005-0000-0000-00001E1F0000}"/>
    <cellStyle name="Normal 2 2 10 2 36 6" xfId="7967" xr:uid="{00000000-0005-0000-0000-00001F1F0000}"/>
    <cellStyle name="Normal 2 2 10 2 36 7" xfId="7968" xr:uid="{00000000-0005-0000-0000-0000201F0000}"/>
    <cellStyle name="Normal 2 2 10 2 36 8" xfId="7969" xr:uid="{00000000-0005-0000-0000-0000211F0000}"/>
    <cellStyle name="Normal 2 2 10 2 36 9" xfId="7970" xr:uid="{00000000-0005-0000-0000-0000221F0000}"/>
    <cellStyle name="Normal 2 2 10 2 37" xfId="7971" xr:uid="{00000000-0005-0000-0000-0000231F0000}"/>
    <cellStyle name="Normal 2 2 10 2 37 10" xfId="7972" xr:uid="{00000000-0005-0000-0000-0000241F0000}"/>
    <cellStyle name="Normal 2 2 10 2 37 2" xfId="7973" xr:uid="{00000000-0005-0000-0000-0000251F0000}"/>
    <cellStyle name="Normal 2 2 10 2 37 3" xfId="7974" xr:uid="{00000000-0005-0000-0000-0000261F0000}"/>
    <cellStyle name="Normal 2 2 10 2 37 4" xfId="7975" xr:uid="{00000000-0005-0000-0000-0000271F0000}"/>
    <cellStyle name="Normal 2 2 10 2 37 5" xfId="7976" xr:uid="{00000000-0005-0000-0000-0000281F0000}"/>
    <cellStyle name="Normal 2 2 10 2 37 6" xfId="7977" xr:uid="{00000000-0005-0000-0000-0000291F0000}"/>
    <cellStyle name="Normal 2 2 10 2 37 7" xfId="7978" xr:uid="{00000000-0005-0000-0000-00002A1F0000}"/>
    <cellStyle name="Normal 2 2 10 2 37 8" xfId="7979" xr:uid="{00000000-0005-0000-0000-00002B1F0000}"/>
    <cellStyle name="Normal 2 2 10 2 37 9" xfId="7980" xr:uid="{00000000-0005-0000-0000-00002C1F0000}"/>
    <cellStyle name="Normal 2 2 10 2 38" xfId="7981" xr:uid="{00000000-0005-0000-0000-00002D1F0000}"/>
    <cellStyle name="Normal 2 2 10 2 39" xfId="7982" xr:uid="{00000000-0005-0000-0000-00002E1F0000}"/>
    <cellStyle name="Normal 2 2 10 2 4" xfId="7983" xr:uid="{00000000-0005-0000-0000-00002F1F0000}"/>
    <cellStyle name="Normal 2 2 10 2 4 10" xfId="7984" xr:uid="{00000000-0005-0000-0000-0000301F0000}"/>
    <cellStyle name="Normal 2 2 10 2 4 11" xfId="7985" xr:uid="{00000000-0005-0000-0000-0000311F0000}"/>
    <cellStyle name="Normal 2 2 10 2 4 12" xfId="7986" xr:uid="{00000000-0005-0000-0000-0000321F0000}"/>
    <cellStyle name="Normal 2 2 10 2 4 13" xfId="7987" xr:uid="{00000000-0005-0000-0000-0000331F0000}"/>
    <cellStyle name="Normal 2 2 10 2 4 14" xfId="7988" xr:uid="{00000000-0005-0000-0000-0000341F0000}"/>
    <cellStyle name="Normal 2 2 10 2 4 2" xfId="7989" xr:uid="{00000000-0005-0000-0000-0000351F0000}"/>
    <cellStyle name="Normal 2 2 10 2 4 2 10" xfId="7990" xr:uid="{00000000-0005-0000-0000-0000361F0000}"/>
    <cellStyle name="Normal 2 2 10 2 4 2 2" xfId="7991" xr:uid="{00000000-0005-0000-0000-0000371F0000}"/>
    <cellStyle name="Normal 2 2 10 2 4 2 3" xfId="7992" xr:uid="{00000000-0005-0000-0000-0000381F0000}"/>
    <cellStyle name="Normal 2 2 10 2 4 2 4" xfId="7993" xr:uid="{00000000-0005-0000-0000-0000391F0000}"/>
    <cellStyle name="Normal 2 2 10 2 4 2 5" xfId="7994" xr:uid="{00000000-0005-0000-0000-00003A1F0000}"/>
    <cellStyle name="Normal 2 2 10 2 4 2 6" xfId="7995" xr:uid="{00000000-0005-0000-0000-00003B1F0000}"/>
    <cellStyle name="Normal 2 2 10 2 4 2 7" xfId="7996" xr:uid="{00000000-0005-0000-0000-00003C1F0000}"/>
    <cellStyle name="Normal 2 2 10 2 4 2 8" xfId="7997" xr:uid="{00000000-0005-0000-0000-00003D1F0000}"/>
    <cellStyle name="Normal 2 2 10 2 4 2 9" xfId="7998" xr:uid="{00000000-0005-0000-0000-00003E1F0000}"/>
    <cellStyle name="Normal 2 2 10 2 4 3" xfId="7999" xr:uid="{00000000-0005-0000-0000-00003F1F0000}"/>
    <cellStyle name="Normal 2 2 10 2 4 3 10" xfId="8000" xr:uid="{00000000-0005-0000-0000-0000401F0000}"/>
    <cellStyle name="Normal 2 2 10 2 4 3 2" xfId="8001" xr:uid="{00000000-0005-0000-0000-0000411F0000}"/>
    <cellStyle name="Normal 2 2 10 2 4 3 3" xfId="8002" xr:uid="{00000000-0005-0000-0000-0000421F0000}"/>
    <cellStyle name="Normal 2 2 10 2 4 3 4" xfId="8003" xr:uid="{00000000-0005-0000-0000-0000431F0000}"/>
    <cellStyle name="Normal 2 2 10 2 4 3 5" xfId="8004" xr:uid="{00000000-0005-0000-0000-0000441F0000}"/>
    <cellStyle name="Normal 2 2 10 2 4 3 6" xfId="8005" xr:uid="{00000000-0005-0000-0000-0000451F0000}"/>
    <cellStyle name="Normal 2 2 10 2 4 3 7" xfId="8006" xr:uid="{00000000-0005-0000-0000-0000461F0000}"/>
    <cellStyle name="Normal 2 2 10 2 4 3 8" xfId="8007" xr:uid="{00000000-0005-0000-0000-0000471F0000}"/>
    <cellStyle name="Normal 2 2 10 2 4 3 9" xfId="8008" xr:uid="{00000000-0005-0000-0000-0000481F0000}"/>
    <cellStyle name="Normal 2 2 10 2 4 4" xfId="8009" xr:uid="{00000000-0005-0000-0000-0000491F0000}"/>
    <cellStyle name="Normal 2 2 10 2 4 4 10" xfId="8010" xr:uid="{00000000-0005-0000-0000-00004A1F0000}"/>
    <cellStyle name="Normal 2 2 10 2 4 4 2" xfId="8011" xr:uid="{00000000-0005-0000-0000-00004B1F0000}"/>
    <cellStyle name="Normal 2 2 10 2 4 4 3" xfId="8012" xr:uid="{00000000-0005-0000-0000-00004C1F0000}"/>
    <cellStyle name="Normal 2 2 10 2 4 4 4" xfId="8013" xr:uid="{00000000-0005-0000-0000-00004D1F0000}"/>
    <cellStyle name="Normal 2 2 10 2 4 4 5" xfId="8014" xr:uid="{00000000-0005-0000-0000-00004E1F0000}"/>
    <cellStyle name="Normal 2 2 10 2 4 4 6" xfId="8015" xr:uid="{00000000-0005-0000-0000-00004F1F0000}"/>
    <cellStyle name="Normal 2 2 10 2 4 4 7" xfId="8016" xr:uid="{00000000-0005-0000-0000-0000501F0000}"/>
    <cellStyle name="Normal 2 2 10 2 4 4 8" xfId="8017" xr:uid="{00000000-0005-0000-0000-0000511F0000}"/>
    <cellStyle name="Normal 2 2 10 2 4 4 9" xfId="8018" xr:uid="{00000000-0005-0000-0000-0000521F0000}"/>
    <cellStyle name="Normal 2 2 10 2 4 5" xfId="8019" xr:uid="{00000000-0005-0000-0000-0000531F0000}"/>
    <cellStyle name="Normal 2 2 10 2 4 5 10" xfId="8020" xr:uid="{00000000-0005-0000-0000-0000541F0000}"/>
    <cellStyle name="Normal 2 2 10 2 4 5 2" xfId="8021" xr:uid="{00000000-0005-0000-0000-0000551F0000}"/>
    <cellStyle name="Normal 2 2 10 2 4 5 3" xfId="8022" xr:uid="{00000000-0005-0000-0000-0000561F0000}"/>
    <cellStyle name="Normal 2 2 10 2 4 5 4" xfId="8023" xr:uid="{00000000-0005-0000-0000-0000571F0000}"/>
    <cellStyle name="Normal 2 2 10 2 4 5 5" xfId="8024" xr:uid="{00000000-0005-0000-0000-0000581F0000}"/>
    <cellStyle name="Normal 2 2 10 2 4 5 6" xfId="8025" xr:uid="{00000000-0005-0000-0000-0000591F0000}"/>
    <cellStyle name="Normal 2 2 10 2 4 5 7" xfId="8026" xr:uid="{00000000-0005-0000-0000-00005A1F0000}"/>
    <cellStyle name="Normal 2 2 10 2 4 5 8" xfId="8027" xr:uid="{00000000-0005-0000-0000-00005B1F0000}"/>
    <cellStyle name="Normal 2 2 10 2 4 5 9" xfId="8028" xr:uid="{00000000-0005-0000-0000-00005C1F0000}"/>
    <cellStyle name="Normal 2 2 10 2 4 6" xfId="8029" xr:uid="{00000000-0005-0000-0000-00005D1F0000}"/>
    <cellStyle name="Normal 2 2 10 2 4 7" xfId="8030" xr:uid="{00000000-0005-0000-0000-00005E1F0000}"/>
    <cellStyle name="Normal 2 2 10 2 4 8" xfId="8031" xr:uid="{00000000-0005-0000-0000-00005F1F0000}"/>
    <cellStyle name="Normal 2 2 10 2 4 9" xfId="8032" xr:uid="{00000000-0005-0000-0000-0000601F0000}"/>
    <cellStyle name="Normal 2 2 10 2 40" xfId="8033" xr:uid="{00000000-0005-0000-0000-0000611F0000}"/>
    <cellStyle name="Normal 2 2 10 2 41" xfId="8034" xr:uid="{00000000-0005-0000-0000-0000621F0000}"/>
    <cellStyle name="Normal 2 2 10 2 42" xfId="8035" xr:uid="{00000000-0005-0000-0000-0000631F0000}"/>
    <cellStyle name="Normal 2 2 10 2 43" xfId="8036" xr:uid="{00000000-0005-0000-0000-0000641F0000}"/>
    <cellStyle name="Normal 2 2 10 2 44" xfId="8037" xr:uid="{00000000-0005-0000-0000-0000651F0000}"/>
    <cellStyle name="Normal 2 2 10 2 45" xfId="8038" xr:uid="{00000000-0005-0000-0000-0000661F0000}"/>
    <cellStyle name="Normal 2 2 10 2 46" xfId="8039" xr:uid="{00000000-0005-0000-0000-0000671F0000}"/>
    <cellStyle name="Normal 2 2 10 2 5" xfId="8040" xr:uid="{00000000-0005-0000-0000-0000681F0000}"/>
    <cellStyle name="Normal 2 2 10 2 5 10" xfId="8041" xr:uid="{00000000-0005-0000-0000-0000691F0000}"/>
    <cellStyle name="Normal 2 2 10 2 5 11" xfId="8042" xr:uid="{00000000-0005-0000-0000-00006A1F0000}"/>
    <cellStyle name="Normal 2 2 10 2 5 12" xfId="8043" xr:uid="{00000000-0005-0000-0000-00006B1F0000}"/>
    <cellStyle name="Normal 2 2 10 2 5 13" xfId="8044" xr:uid="{00000000-0005-0000-0000-00006C1F0000}"/>
    <cellStyle name="Normal 2 2 10 2 5 14" xfId="8045" xr:uid="{00000000-0005-0000-0000-00006D1F0000}"/>
    <cellStyle name="Normal 2 2 10 2 5 2" xfId="8046" xr:uid="{00000000-0005-0000-0000-00006E1F0000}"/>
    <cellStyle name="Normal 2 2 10 2 5 2 10" xfId="8047" xr:uid="{00000000-0005-0000-0000-00006F1F0000}"/>
    <cellStyle name="Normal 2 2 10 2 5 2 2" xfId="8048" xr:uid="{00000000-0005-0000-0000-0000701F0000}"/>
    <cellStyle name="Normal 2 2 10 2 5 2 3" xfId="8049" xr:uid="{00000000-0005-0000-0000-0000711F0000}"/>
    <cellStyle name="Normal 2 2 10 2 5 2 4" xfId="8050" xr:uid="{00000000-0005-0000-0000-0000721F0000}"/>
    <cellStyle name="Normal 2 2 10 2 5 2 5" xfId="8051" xr:uid="{00000000-0005-0000-0000-0000731F0000}"/>
    <cellStyle name="Normal 2 2 10 2 5 2 6" xfId="8052" xr:uid="{00000000-0005-0000-0000-0000741F0000}"/>
    <cellStyle name="Normal 2 2 10 2 5 2 7" xfId="8053" xr:uid="{00000000-0005-0000-0000-0000751F0000}"/>
    <cellStyle name="Normal 2 2 10 2 5 2 8" xfId="8054" xr:uid="{00000000-0005-0000-0000-0000761F0000}"/>
    <cellStyle name="Normal 2 2 10 2 5 2 9" xfId="8055" xr:uid="{00000000-0005-0000-0000-0000771F0000}"/>
    <cellStyle name="Normal 2 2 10 2 5 3" xfId="8056" xr:uid="{00000000-0005-0000-0000-0000781F0000}"/>
    <cellStyle name="Normal 2 2 10 2 5 3 10" xfId="8057" xr:uid="{00000000-0005-0000-0000-0000791F0000}"/>
    <cellStyle name="Normal 2 2 10 2 5 3 2" xfId="8058" xr:uid="{00000000-0005-0000-0000-00007A1F0000}"/>
    <cellStyle name="Normal 2 2 10 2 5 3 3" xfId="8059" xr:uid="{00000000-0005-0000-0000-00007B1F0000}"/>
    <cellStyle name="Normal 2 2 10 2 5 3 4" xfId="8060" xr:uid="{00000000-0005-0000-0000-00007C1F0000}"/>
    <cellStyle name="Normal 2 2 10 2 5 3 5" xfId="8061" xr:uid="{00000000-0005-0000-0000-00007D1F0000}"/>
    <cellStyle name="Normal 2 2 10 2 5 3 6" xfId="8062" xr:uid="{00000000-0005-0000-0000-00007E1F0000}"/>
    <cellStyle name="Normal 2 2 10 2 5 3 7" xfId="8063" xr:uid="{00000000-0005-0000-0000-00007F1F0000}"/>
    <cellStyle name="Normal 2 2 10 2 5 3 8" xfId="8064" xr:uid="{00000000-0005-0000-0000-0000801F0000}"/>
    <cellStyle name="Normal 2 2 10 2 5 3 9" xfId="8065" xr:uid="{00000000-0005-0000-0000-0000811F0000}"/>
    <cellStyle name="Normal 2 2 10 2 5 4" xfId="8066" xr:uid="{00000000-0005-0000-0000-0000821F0000}"/>
    <cellStyle name="Normal 2 2 10 2 5 4 10" xfId="8067" xr:uid="{00000000-0005-0000-0000-0000831F0000}"/>
    <cellStyle name="Normal 2 2 10 2 5 4 2" xfId="8068" xr:uid="{00000000-0005-0000-0000-0000841F0000}"/>
    <cellStyle name="Normal 2 2 10 2 5 4 3" xfId="8069" xr:uid="{00000000-0005-0000-0000-0000851F0000}"/>
    <cellStyle name="Normal 2 2 10 2 5 4 4" xfId="8070" xr:uid="{00000000-0005-0000-0000-0000861F0000}"/>
    <cellStyle name="Normal 2 2 10 2 5 4 5" xfId="8071" xr:uid="{00000000-0005-0000-0000-0000871F0000}"/>
    <cellStyle name="Normal 2 2 10 2 5 4 6" xfId="8072" xr:uid="{00000000-0005-0000-0000-0000881F0000}"/>
    <cellStyle name="Normal 2 2 10 2 5 4 7" xfId="8073" xr:uid="{00000000-0005-0000-0000-0000891F0000}"/>
    <cellStyle name="Normal 2 2 10 2 5 4 8" xfId="8074" xr:uid="{00000000-0005-0000-0000-00008A1F0000}"/>
    <cellStyle name="Normal 2 2 10 2 5 4 9" xfId="8075" xr:uid="{00000000-0005-0000-0000-00008B1F0000}"/>
    <cellStyle name="Normal 2 2 10 2 5 5" xfId="8076" xr:uid="{00000000-0005-0000-0000-00008C1F0000}"/>
    <cellStyle name="Normal 2 2 10 2 5 5 10" xfId="8077" xr:uid="{00000000-0005-0000-0000-00008D1F0000}"/>
    <cellStyle name="Normal 2 2 10 2 5 5 2" xfId="8078" xr:uid="{00000000-0005-0000-0000-00008E1F0000}"/>
    <cellStyle name="Normal 2 2 10 2 5 5 3" xfId="8079" xr:uid="{00000000-0005-0000-0000-00008F1F0000}"/>
    <cellStyle name="Normal 2 2 10 2 5 5 4" xfId="8080" xr:uid="{00000000-0005-0000-0000-0000901F0000}"/>
    <cellStyle name="Normal 2 2 10 2 5 5 5" xfId="8081" xr:uid="{00000000-0005-0000-0000-0000911F0000}"/>
    <cellStyle name="Normal 2 2 10 2 5 5 6" xfId="8082" xr:uid="{00000000-0005-0000-0000-0000921F0000}"/>
    <cellStyle name="Normal 2 2 10 2 5 5 7" xfId="8083" xr:uid="{00000000-0005-0000-0000-0000931F0000}"/>
    <cellStyle name="Normal 2 2 10 2 5 5 8" xfId="8084" xr:uid="{00000000-0005-0000-0000-0000941F0000}"/>
    <cellStyle name="Normal 2 2 10 2 5 5 9" xfId="8085" xr:uid="{00000000-0005-0000-0000-0000951F0000}"/>
    <cellStyle name="Normal 2 2 10 2 5 6" xfId="8086" xr:uid="{00000000-0005-0000-0000-0000961F0000}"/>
    <cellStyle name="Normal 2 2 10 2 5 7" xfId="8087" xr:uid="{00000000-0005-0000-0000-0000971F0000}"/>
    <cellStyle name="Normal 2 2 10 2 5 8" xfId="8088" xr:uid="{00000000-0005-0000-0000-0000981F0000}"/>
    <cellStyle name="Normal 2 2 10 2 5 9" xfId="8089" xr:uid="{00000000-0005-0000-0000-0000991F0000}"/>
    <cellStyle name="Normal 2 2 10 2 6" xfId="8090" xr:uid="{00000000-0005-0000-0000-00009A1F0000}"/>
    <cellStyle name="Normal 2 2 10 2 6 10" xfId="8091" xr:uid="{00000000-0005-0000-0000-00009B1F0000}"/>
    <cellStyle name="Normal 2 2 10 2 6 11" xfId="8092" xr:uid="{00000000-0005-0000-0000-00009C1F0000}"/>
    <cellStyle name="Normal 2 2 10 2 6 12" xfId="8093" xr:uid="{00000000-0005-0000-0000-00009D1F0000}"/>
    <cellStyle name="Normal 2 2 10 2 6 13" xfId="8094" xr:uid="{00000000-0005-0000-0000-00009E1F0000}"/>
    <cellStyle name="Normal 2 2 10 2 6 14" xfId="8095" xr:uid="{00000000-0005-0000-0000-00009F1F0000}"/>
    <cellStyle name="Normal 2 2 10 2 6 2" xfId="8096" xr:uid="{00000000-0005-0000-0000-0000A01F0000}"/>
    <cellStyle name="Normal 2 2 10 2 6 2 10" xfId="8097" xr:uid="{00000000-0005-0000-0000-0000A11F0000}"/>
    <cellStyle name="Normal 2 2 10 2 6 2 2" xfId="8098" xr:uid="{00000000-0005-0000-0000-0000A21F0000}"/>
    <cellStyle name="Normal 2 2 10 2 6 2 3" xfId="8099" xr:uid="{00000000-0005-0000-0000-0000A31F0000}"/>
    <cellStyle name="Normal 2 2 10 2 6 2 4" xfId="8100" xr:uid="{00000000-0005-0000-0000-0000A41F0000}"/>
    <cellStyle name="Normal 2 2 10 2 6 2 5" xfId="8101" xr:uid="{00000000-0005-0000-0000-0000A51F0000}"/>
    <cellStyle name="Normal 2 2 10 2 6 2 6" xfId="8102" xr:uid="{00000000-0005-0000-0000-0000A61F0000}"/>
    <cellStyle name="Normal 2 2 10 2 6 2 7" xfId="8103" xr:uid="{00000000-0005-0000-0000-0000A71F0000}"/>
    <cellStyle name="Normal 2 2 10 2 6 2 8" xfId="8104" xr:uid="{00000000-0005-0000-0000-0000A81F0000}"/>
    <cellStyle name="Normal 2 2 10 2 6 2 9" xfId="8105" xr:uid="{00000000-0005-0000-0000-0000A91F0000}"/>
    <cellStyle name="Normal 2 2 10 2 6 3" xfId="8106" xr:uid="{00000000-0005-0000-0000-0000AA1F0000}"/>
    <cellStyle name="Normal 2 2 10 2 6 3 10" xfId="8107" xr:uid="{00000000-0005-0000-0000-0000AB1F0000}"/>
    <cellStyle name="Normal 2 2 10 2 6 3 2" xfId="8108" xr:uid="{00000000-0005-0000-0000-0000AC1F0000}"/>
    <cellStyle name="Normal 2 2 10 2 6 3 3" xfId="8109" xr:uid="{00000000-0005-0000-0000-0000AD1F0000}"/>
    <cellStyle name="Normal 2 2 10 2 6 3 4" xfId="8110" xr:uid="{00000000-0005-0000-0000-0000AE1F0000}"/>
    <cellStyle name="Normal 2 2 10 2 6 3 5" xfId="8111" xr:uid="{00000000-0005-0000-0000-0000AF1F0000}"/>
    <cellStyle name="Normal 2 2 10 2 6 3 6" xfId="8112" xr:uid="{00000000-0005-0000-0000-0000B01F0000}"/>
    <cellStyle name="Normal 2 2 10 2 6 3 7" xfId="8113" xr:uid="{00000000-0005-0000-0000-0000B11F0000}"/>
    <cellStyle name="Normal 2 2 10 2 6 3 8" xfId="8114" xr:uid="{00000000-0005-0000-0000-0000B21F0000}"/>
    <cellStyle name="Normal 2 2 10 2 6 3 9" xfId="8115" xr:uid="{00000000-0005-0000-0000-0000B31F0000}"/>
    <cellStyle name="Normal 2 2 10 2 6 4" xfId="8116" xr:uid="{00000000-0005-0000-0000-0000B41F0000}"/>
    <cellStyle name="Normal 2 2 10 2 6 4 10" xfId="8117" xr:uid="{00000000-0005-0000-0000-0000B51F0000}"/>
    <cellStyle name="Normal 2 2 10 2 6 4 2" xfId="8118" xr:uid="{00000000-0005-0000-0000-0000B61F0000}"/>
    <cellStyle name="Normal 2 2 10 2 6 4 3" xfId="8119" xr:uid="{00000000-0005-0000-0000-0000B71F0000}"/>
    <cellStyle name="Normal 2 2 10 2 6 4 4" xfId="8120" xr:uid="{00000000-0005-0000-0000-0000B81F0000}"/>
    <cellStyle name="Normal 2 2 10 2 6 4 5" xfId="8121" xr:uid="{00000000-0005-0000-0000-0000B91F0000}"/>
    <cellStyle name="Normal 2 2 10 2 6 4 6" xfId="8122" xr:uid="{00000000-0005-0000-0000-0000BA1F0000}"/>
    <cellStyle name="Normal 2 2 10 2 6 4 7" xfId="8123" xr:uid="{00000000-0005-0000-0000-0000BB1F0000}"/>
    <cellStyle name="Normal 2 2 10 2 6 4 8" xfId="8124" xr:uid="{00000000-0005-0000-0000-0000BC1F0000}"/>
    <cellStyle name="Normal 2 2 10 2 6 4 9" xfId="8125" xr:uid="{00000000-0005-0000-0000-0000BD1F0000}"/>
    <cellStyle name="Normal 2 2 10 2 6 5" xfId="8126" xr:uid="{00000000-0005-0000-0000-0000BE1F0000}"/>
    <cellStyle name="Normal 2 2 10 2 6 5 10" xfId="8127" xr:uid="{00000000-0005-0000-0000-0000BF1F0000}"/>
    <cellStyle name="Normal 2 2 10 2 6 5 2" xfId="8128" xr:uid="{00000000-0005-0000-0000-0000C01F0000}"/>
    <cellStyle name="Normal 2 2 10 2 6 5 3" xfId="8129" xr:uid="{00000000-0005-0000-0000-0000C11F0000}"/>
    <cellStyle name="Normal 2 2 10 2 6 5 4" xfId="8130" xr:uid="{00000000-0005-0000-0000-0000C21F0000}"/>
    <cellStyle name="Normal 2 2 10 2 6 5 5" xfId="8131" xr:uid="{00000000-0005-0000-0000-0000C31F0000}"/>
    <cellStyle name="Normal 2 2 10 2 6 5 6" xfId="8132" xr:uid="{00000000-0005-0000-0000-0000C41F0000}"/>
    <cellStyle name="Normal 2 2 10 2 6 5 7" xfId="8133" xr:uid="{00000000-0005-0000-0000-0000C51F0000}"/>
    <cellStyle name="Normal 2 2 10 2 6 5 8" xfId="8134" xr:uid="{00000000-0005-0000-0000-0000C61F0000}"/>
    <cellStyle name="Normal 2 2 10 2 6 5 9" xfId="8135" xr:uid="{00000000-0005-0000-0000-0000C71F0000}"/>
    <cellStyle name="Normal 2 2 10 2 6 6" xfId="8136" xr:uid="{00000000-0005-0000-0000-0000C81F0000}"/>
    <cellStyle name="Normal 2 2 10 2 6 7" xfId="8137" xr:uid="{00000000-0005-0000-0000-0000C91F0000}"/>
    <cellStyle name="Normal 2 2 10 2 6 8" xfId="8138" xr:uid="{00000000-0005-0000-0000-0000CA1F0000}"/>
    <cellStyle name="Normal 2 2 10 2 6 9" xfId="8139" xr:uid="{00000000-0005-0000-0000-0000CB1F0000}"/>
    <cellStyle name="Normal 2 2 10 2 7" xfId="8140" xr:uid="{00000000-0005-0000-0000-0000CC1F0000}"/>
    <cellStyle name="Normal 2 2 10 2 7 10" xfId="8141" xr:uid="{00000000-0005-0000-0000-0000CD1F0000}"/>
    <cellStyle name="Normal 2 2 10 2 7 11" xfId="8142" xr:uid="{00000000-0005-0000-0000-0000CE1F0000}"/>
    <cellStyle name="Normal 2 2 10 2 7 12" xfId="8143" xr:uid="{00000000-0005-0000-0000-0000CF1F0000}"/>
    <cellStyle name="Normal 2 2 10 2 7 13" xfId="8144" xr:uid="{00000000-0005-0000-0000-0000D01F0000}"/>
    <cellStyle name="Normal 2 2 10 2 7 14" xfId="8145" xr:uid="{00000000-0005-0000-0000-0000D11F0000}"/>
    <cellStyle name="Normal 2 2 10 2 7 2" xfId="8146" xr:uid="{00000000-0005-0000-0000-0000D21F0000}"/>
    <cellStyle name="Normal 2 2 10 2 7 2 10" xfId="8147" xr:uid="{00000000-0005-0000-0000-0000D31F0000}"/>
    <cellStyle name="Normal 2 2 10 2 7 2 2" xfId="8148" xr:uid="{00000000-0005-0000-0000-0000D41F0000}"/>
    <cellStyle name="Normal 2 2 10 2 7 2 3" xfId="8149" xr:uid="{00000000-0005-0000-0000-0000D51F0000}"/>
    <cellStyle name="Normal 2 2 10 2 7 2 4" xfId="8150" xr:uid="{00000000-0005-0000-0000-0000D61F0000}"/>
    <cellStyle name="Normal 2 2 10 2 7 2 5" xfId="8151" xr:uid="{00000000-0005-0000-0000-0000D71F0000}"/>
    <cellStyle name="Normal 2 2 10 2 7 2 6" xfId="8152" xr:uid="{00000000-0005-0000-0000-0000D81F0000}"/>
    <cellStyle name="Normal 2 2 10 2 7 2 7" xfId="8153" xr:uid="{00000000-0005-0000-0000-0000D91F0000}"/>
    <cellStyle name="Normal 2 2 10 2 7 2 8" xfId="8154" xr:uid="{00000000-0005-0000-0000-0000DA1F0000}"/>
    <cellStyle name="Normal 2 2 10 2 7 2 9" xfId="8155" xr:uid="{00000000-0005-0000-0000-0000DB1F0000}"/>
    <cellStyle name="Normal 2 2 10 2 7 3" xfId="8156" xr:uid="{00000000-0005-0000-0000-0000DC1F0000}"/>
    <cellStyle name="Normal 2 2 10 2 7 3 10" xfId="8157" xr:uid="{00000000-0005-0000-0000-0000DD1F0000}"/>
    <cellStyle name="Normal 2 2 10 2 7 3 2" xfId="8158" xr:uid="{00000000-0005-0000-0000-0000DE1F0000}"/>
    <cellStyle name="Normal 2 2 10 2 7 3 3" xfId="8159" xr:uid="{00000000-0005-0000-0000-0000DF1F0000}"/>
    <cellStyle name="Normal 2 2 10 2 7 3 4" xfId="8160" xr:uid="{00000000-0005-0000-0000-0000E01F0000}"/>
    <cellStyle name="Normal 2 2 10 2 7 3 5" xfId="8161" xr:uid="{00000000-0005-0000-0000-0000E11F0000}"/>
    <cellStyle name="Normal 2 2 10 2 7 3 6" xfId="8162" xr:uid="{00000000-0005-0000-0000-0000E21F0000}"/>
    <cellStyle name="Normal 2 2 10 2 7 3 7" xfId="8163" xr:uid="{00000000-0005-0000-0000-0000E31F0000}"/>
    <cellStyle name="Normal 2 2 10 2 7 3 8" xfId="8164" xr:uid="{00000000-0005-0000-0000-0000E41F0000}"/>
    <cellStyle name="Normal 2 2 10 2 7 3 9" xfId="8165" xr:uid="{00000000-0005-0000-0000-0000E51F0000}"/>
    <cellStyle name="Normal 2 2 10 2 7 4" xfId="8166" xr:uid="{00000000-0005-0000-0000-0000E61F0000}"/>
    <cellStyle name="Normal 2 2 10 2 7 4 10" xfId="8167" xr:uid="{00000000-0005-0000-0000-0000E71F0000}"/>
    <cellStyle name="Normal 2 2 10 2 7 4 2" xfId="8168" xr:uid="{00000000-0005-0000-0000-0000E81F0000}"/>
    <cellStyle name="Normal 2 2 10 2 7 4 3" xfId="8169" xr:uid="{00000000-0005-0000-0000-0000E91F0000}"/>
    <cellStyle name="Normal 2 2 10 2 7 4 4" xfId="8170" xr:uid="{00000000-0005-0000-0000-0000EA1F0000}"/>
    <cellStyle name="Normal 2 2 10 2 7 4 5" xfId="8171" xr:uid="{00000000-0005-0000-0000-0000EB1F0000}"/>
    <cellStyle name="Normal 2 2 10 2 7 4 6" xfId="8172" xr:uid="{00000000-0005-0000-0000-0000EC1F0000}"/>
    <cellStyle name="Normal 2 2 10 2 7 4 7" xfId="8173" xr:uid="{00000000-0005-0000-0000-0000ED1F0000}"/>
    <cellStyle name="Normal 2 2 10 2 7 4 8" xfId="8174" xr:uid="{00000000-0005-0000-0000-0000EE1F0000}"/>
    <cellStyle name="Normal 2 2 10 2 7 4 9" xfId="8175" xr:uid="{00000000-0005-0000-0000-0000EF1F0000}"/>
    <cellStyle name="Normal 2 2 10 2 7 5" xfId="8176" xr:uid="{00000000-0005-0000-0000-0000F01F0000}"/>
    <cellStyle name="Normal 2 2 10 2 7 5 10" xfId="8177" xr:uid="{00000000-0005-0000-0000-0000F11F0000}"/>
    <cellStyle name="Normal 2 2 10 2 7 5 2" xfId="8178" xr:uid="{00000000-0005-0000-0000-0000F21F0000}"/>
    <cellStyle name="Normal 2 2 10 2 7 5 3" xfId="8179" xr:uid="{00000000-0005-0000-0000-0000F31F0000}"/>
    <cellStyle name="Normal 2 2 10 2 7 5 4" xfId="8180" xr:uid="{00000000-0005-0000-0000-0000F41F0000}"/>
    <cellStyle name="Normal 2 2 10 2 7 5 5" xfId="8181" xr:uid="{00000000-0005-0000-0000-0000F51F0000}"/>
    <cellStyle name="Normal 2 2 10 2 7 5 6" xfId="8182" xr:uid="{00000000-0005-0000-0000-0000F61F0000}"/>
    <cellStyle name="Normal 2 2 10 2 7 5 7" xfId="8183" xr:uid="{00000000-0005-0000-0000-0000F71F0000}"/>
    <cellStyle name="Normal 2 2 10 2 7 5 8" xfId="8184" xr:uid="{00000000-0005-0000-0000-0000F81F0000}"/>
    <cellStyle name="Normal 2 2 10 2 7 5 9" xfId="8185" xr:uid="{00000000-0005-0000-0000-0000F91F0000}"/>
    <cellStyle name="Normal 2 2 10 2 7 6" xfId="8186" xr:uid="{00000000-0005-0000-0000-0000FA1F0000}"/>
    <cellStyle name="Normal 2 2 10 2 7 7" xfId="8187" xr:uid="{00000000-0005-0000-0000-0000FB1F0000}"/>
    <cellStyle name="Normal 2 2 10 2 7 8" xfId="8188" xr:uid="{00000000-0005-0000-0000-0000FC1F0000}"/>
    <cellStyle name="Normal 2 2 10 2 7 9" xfId="8189" xr:uid="{00000000-0005-0000-0000-0000FD1F0000}"/>
    <cellStyle name="Normal 2 2 10 2 8" xfId="8190" xr:uid="{00000000-0005-0000-0000-0000FE1F0000}"/>
    <cellStyle name="Normal 2 2 10 2 8 10" xfId="8191" xr:uid="{00000000-0005-0000-0000-0000FF1F0000}"/>
    <cellStyle name="Normal 2 2 10 2 8 11" xfId="8192" xr:uid="{00000000-0005-0000-0000-000000200000}"/>
    <cellStyle name="Normal 2 2 10 2 8 12" xfId="8193" xr:uid="{00000000-0005-0000-0000-000001200000}"/>
    <cellStyle name="Normal 2 2 10 2 8 13" xfId="8194" xr:uid="{00000000-0005-0000-0000-000002200000}"/>
    <cellStyle name="Normal 2 2 10 2 8 14" xfId="8195" xr:uid="{00000000-0005-0000-0000-000003200000}"/>
    <cellStyle name="Normal 2 2 10 2 8 2" xfId="8196" xr:uid="{00000000-0005-0000-0000-000004200000}"/>
    <cellStyle name="Normal 2 2 10 2 8 2 10" xfId="8197" xr:uid="{00000000-0005-0000-0000-000005200000}"/>
    <cellStyle name="Normal 2 2 10 2 8 2 2" xfId="8198" xr:uid="{00000000-0005-0000-0000-000006200000}"/>
    <cellStyle name="Normal 2 2 10 2 8 2 3" xfId="8199" xr:uid="{00000000-0005-0000-0000-000007200000}"/>
    <cellStyle name="Normal 2 2 10 2 8 2 4" xfId="8200" xr:uid="{00000000-0005-0000-0000-000008200000}"/>
    <cellStyle name="Normal 2 2 10 2 8 2 5" xfId="8201" xr:uid="{00000000-0005-0000-0000-000009200000}"/>
    <cellStyle name="Normal 2 2 10 2 8 2 6" xfId="8202" xr:uid="{00000000-0005-0000-0000-00000A200000}"/>
    <cellStyle name="Normal 2 2 10 2 8 2 7" xfId="8203" xr:uid="{00000000-0005-0000-0000-00000B200000}"/>
    <cellStyle name="Normal 2 2 10 2 8 2 8" xfId="8204" xr:uid="{00000000-0005-0000-0000-00000C200000}"/>
    <cellStyle name="Normal 2 2 10 2 8 2 9" xfId="8205" xr:uid="{00000000-0005-0000-0000-00000D200000}"/>
    <cellStyle name="Normal 2 2 10 2 8 3" xfId="8206" xr:uid="{00000000-0005-0000-0000-00000E200000}"/>
    <cellStyle name="Normal 2 2 10 2 8 3 10" xfId="8207" xr:uid="{00000000-0005-0000-0000-00000F200000}"/>
    <cellStyle name="Normal 2 2 10 2 8 3 2" xfId="8208" xr:uid="{00000000-0005-0000-0000-000010200000}"/>
    <cellStyle name="Normal 2 2 10 2 8 3 3" xfId="8209" xr:uid="{00000000-0005-0000-0000-000011200000}"/>
    <cellStyle name="Normal 2 2 10 2 8 3 4" xfId="8210" xr:uid="{00000000-0005-0000-0000-000012200000}"/>
    <cellStyle name="Normal 2 2 10 2 8 3 5" xfId="8211" xr:uid="{00000000-0005-0000-0000-000013200000}"/>
    <cellStyle name="Normal 2 2 10 2 8 3 6" xfId="8212" xr:uid="{00000000-0005-0000-0000-000014200000}"/>
    <cellStyle name="Normal 2 2 10 2 8 3 7" xfId="8213" xr:uid="{00000000-0005-0000-0000-000015200000}"/>
    <cellStyle name="Normal 2 2 10 2 8 3 8" xfId="8214" xr:uid="{00000000-0005-0000-0000-000016200000}"/>
    <cellStyle name="Normal 2 2 10 2 8 3 9" xfId="8215" xr:uid="{00000000-0005-0000-0000-000017200000}"/>
    <cellStyle name="Normal 2 2 10 2 8 4" xfId="8216" xr:uid="{00000000-0005-0000-0000-000018200000}"/>
    <cellStyle name="Normal 2 2 10 2 8 4 10" xfId="8217" xr:uid="{00000000-0005-0000-0000-000019200000}"/>
    <cellStyle name="Normal 2 2 10 2 8 4 2" xfId="8218" xr:uid="{00000000-0005-0000-0000-00001A200000}"/>
    <cellStyle name="Normal 2 2 10 2 8 4 3" xfId="8219" xr:uid="{00000000-0005-0000-0000-00001B200000}"/>
    <cellStyle name="Normal 2 2 10 2 8 4 4" xfId="8220" xr:uid="{00000000-0005-0000-0000-00001C200000}"/>
    <cellStyle name="Normal 2 2 10 2 8 4 5" xfId="8221" xr:uid="{00000000-0005-0000-0000-00001D200000}"/>
    <cellStyle name="Normal 2 2 10 2 8 4 6" xfId="8222" xr:uid="{00000000-0005-0000-0000-00001E200000}"/>
    <cellStyle name="Normal 2 2 10 2 8 4 7" xfId="8223" xr:uid="{00000000-0005-0000-0000-00001F200000}"/>
    <cellStyle name="Normal 2 2 10 2 8 4 8" xfId="8224" xr:uid="{00000000-0005-0000-0000-000020200000}"/>
    <cellStyle name="Normal 2 2 10 2 8 4 9" xfId="8225" xr:uid="{00000000-0005-0000-0000-000021200000}"/>
    <cellStyle name="Normal 2 2 10 2 8 5" xfId="8226" xr:uid="{00000000-0005-0000-0000-000022200000}"/>
    <cellStyle name="Normal 2 2 10 2 8 5 10" xfId="8227" xr:uid="{00000000-0005-0000-0000-000023200000}"/>
    <cellStyle name="Normal 2 2 10 2 8 5 2" xfId="8228" xr:uid="{00000000-0005-0000-0000-000024200000}"/>
    <cellStyle name="Normal 2 2 10 2 8 5 3" xfId="8229" xr:uid="{00000000-0005-0000-0000-000025200000}"/>
    <cellStyle name="Normal 2 2 10 2 8 5 4" xfId="8230" xr:uid="{00000000-0005-0000-0000-000026200000}"/>
    <cellStyle name="Normal 2 2 10 2 8 5 5" xfId="8231" xr:uid="{00000000-0005-0000-0000-000027200000}"/>
    <cellStyle name="Normal 2 2 10 2 8 5 6" xfId="8232" xr:uid="{00000000-0005-0000-0000-000028200000}"/>
    <cellStyle name="Normal 2 2 10 2 8 5 7" xfId="8233" xr:uid="{00000000-0005-0000-0000-000029200000}"/>
    <cellStyle name="Normal 2 2 10 2 8 5 8" xfId="8234" xr:uid="{00000000-0005-0000-0000-00002A200000}"/>
    <cellStyle name="Normal 2 2 10 2 8 5 9" xfId="8235" xr:uid="{00000000-0005-0000-0000-00002B200000}"/>
    <cellStyle name="Normal 2 2 10 2 8 6" xfId="8236" xr:uid="{00000000-0005-0000-0000-00002C200000}"/>
    <cellStyle name="Normal 2 2 10 2 8 7" xfId="8237" xr:uid="{00000000-0005-0000-0000-00002D200000}"/>
    <cellStyle name="Normal 2 2 10 2 8 8" xfId="8238" xr:uid="{00000000-0005-0000-0000-00002E200000}"/>
    <cellStyle name="Normal 2 2 10 2 8 9" xfId="8239" xr:uid="{00000000-0005-0000-0000-00002F200000}"/>
    <cellStyle name="Normal 2 2 10 2 9" xfId="8240" xr:uid="{00000000-0005-0000-0000-000030200000}"/>
    <cellStyle name="Normal 2 2 10 2 9 10" xfId="8241" xr:uid="{00000000-0005-0000-0000-000031200000}"/>
    <cellStyle name="Normal 2 2 10 2 9 11" xfId="8242" xr:uid="{00000000-0005-0000-0000-000032200000}"/>
    <cellStyle name="Normal 2 2 10 2 9 12" xfId="8243" xr:uid="{00000000-0005-0000-0000-000033200000}"/>
    <cellStyle name="Normal 2 2 10 2 9 13" xfId="8244" xr:uid="{00000000-0005-0000-0000-000034200000}"/>
    <cellStyle name="Normal 2 2 10 2 9 14" xfId="8245" xr:uid="{00000000-0005-0000-0000-000035200000}"/>
    <cellStyle name="Normal 2 2 10 2 9 2" xfId="8246" xr:uid="{00000000-0005-0000-0000-000036200000}"/>
    <cellStyle name="Normal 2 2 10 2 9 2 10" xfId="8247" xr:uid="{00000000-0005-0000-0000-000037200000}"/>
    <cellStyle name="Normal 2 2 10 2 9 2 2" xfId="8248" xr:uid="{00000000-0005-0000-0000-000038200000}"/>
    <cellStyle name="Normal 2 2 10 2 9 2 3" xfId="8249" xr:uid="{00000000-0005-0000-0000-000039200000}"/>
    <cellStyle name="Normal 2 2 10 2 9 2 4" xfId="8250" xr:uid="{00000000-0005-0000-0000-00003A200000}"/>
    <cellStyle name="Normal 2 2 10 2 9 2 5" xfId="8251" xr:uid="{00000000-0005-0000-0000-00003B200000}"/>
    <cellStyle name="Normal 2 2 10 2 9 2 6" xfId="8252" xr:uid="{00000000-0005-0000-0000-00003C200000}"/>
    <cellStyle name="Normal 2 2 10 2 9 2 7" xfId="8253" xr:uid="{00000000-0005-0000-0000-00003D200000}"/>
    <cellStyle name="Normal 2 2 10 2 9 2 8" xfId="8254" xr:uid="{00000000-0005-0000-0000-00003E200000}"/>
    <cellStyle name="Normal 2 2 10 2 9 2 9" xfId="8255" xr:uid="{00000000-0005-0000-0000-00003F200000}"/>
    <cellStyle name="Normal 2 2 10 2 9 3" xfId="8256" xr:uid="{00000000-0005-0000-0000-000040200000}"/>
    <cellStyle name="Normal 2 2 10 2 9 3 10" xfId="8257" xr:uid="{00000000-0005-0000-0000-000041200000}"/>
    <cellStyle name="Normal 2 2 10 2 9 3 2" xfId="8258" xr:uid="{00000000-0005-0000-0000-000042200000}"/>
    <cellStyle name="Normal 2 2 10 2 9 3 3" xfId="8259" xr:uid="{00000000-0005-0000-0000-000043200000}"/>
    <cellStyle name="Normal 2 2 10 2 9 3 4" xfId="8260" xr:uid="{00000000-0005-0000-0000-000044200000}"/>
    <cellStyle name="Normal 2 2 10 2 9 3 5" xfId="8261" xr:uid="{00000000-0005-0000-0000-000045200000}"/>
    <cellStyle name="Normal 2 2 10 2 9 3 6" xfId="8262" xr:uid="{00000000-0005-0000-0000-000046200000}"/>
    <cellStyle name="Normal 2 2 10 2 9 3 7" xfId="8263" xr:uid="{00000000-0005-0000-0000-000047200000}"/>
    <cellStyle name="Normal 2 2 10 2 9 3 8" xfId="8264" xr:uid="{00000000-0005-0000-0000-000048200000}"/>
    <cellStyle name="Normal 2 2 10 2 9 3 9" xfId="8265" xr:uid="{00000000-0005-0000-0000-000049200000}"/>
    <cellStyle name="Normal 2 2 10 2 9 4" xfId="8266" xr:uid="{00000000-0005-0000-0000-00004A200000}"/>
    <cellStyle name="Normal 2 2 10 2 9 4 10" xfId="8267" xr:uid="{00000000-0005-0000-0000-00004B200000}"/>
    <cellStyle name="Normal 2 2 10 2 9 4 2" xfId="8268" xr:uid="{00000000-0005-0000-0000-00004C200000}"/>
    <cellStyle name="Normal 2 2 10 2 9 4 3" xfId="8269" xr:uid="{00000000-0005-0000-0000-00004D200000}"/>
    <cellStyle name="Normal 2 2 10 2 9 4 4" xfId="8270" xr:uid="{00000000-0005-0000-0000-00004E200000}"/>
    <cellStyle name="Normal 2 2 10 2 9 4 5" xfId="8271" xr:uid="{00000000-0005-0000-0000-00004F200000}"/>
    <cellStyle name="Normal 2 2 10 2 9 4 6" xfId="8272" xr:uid="{00000000-0005-0000-0000-000050200000}"/>
    <cellStyle name="Normal 2 2 10 2 9 4 7" xfId="8273" xr:uid="{00000000-0005-0000-0000-000051200000}"/>
    <cellStyle name="Normal 2 2 10 2 9 4 8" xfId="8274" xr:uid="{00000000-0005-0000-0000-000052200000}"/>
    <cellStyle name="Normal 2 2 10 2 9 4 9" xfId="8275" xr:uid="{00000000-0005-0000-0000-000053200000}"/>
    <cellStyle name="Normal 2 2 10 2 9 5" xfId="8276" xr:uid="{00000000-0005-0000-0000-000054200000}"/>
    <cellStyle name="Normal 2 2 10 2 9 5 10" xfId="8277" xr:uid="{00000000-0005-0000-0000-000055200000}"/>
    <cellStyle name="Normal 2 2 10 2 9 5 2" xfId="8278" xr:uid="{00000000-0005-0000-0000-000056200000}"/>
    <cellStyle name="Normal 2 2 10 2 9 5 3" xfId="8279" xr:uid="{00000000-0005-0000-0000-000057200000}"/>
    <cellStyle name="Normal 2 2 10 2 9 5 4" xfId="8280" xr:uid="{00000000-0005-0000-0000-000058200000}"/>
    <cellStyle name="Normal 2 2 10 2 9 5 5" xfId="8281" xr:uid="{00000000-0005-0000-0000-000059200000}"/>
    <cellStyle name="Normal 2 2 10 2 9 5 6" xfId="8282" xr:uid="{00000000-0005-0000-0000-00005A200000}"/>
    <cellStyle name="Normal 2 2 10 2 9 5 7" xfId="8283" xr:uid="{00000000-0005-0000-0000-00005B200000}"/>
    <cellStyle name="Normal 2 2 10 2 9 5 8" xfId="8284" xr:uid="{00000000-0005-0000-0000-00005C200000}"/>
    <cellStyle name="Normal 2 2 10 2 9 5 9" xfId="8285" xr:uid="{00000000-0005-0000-0000-00005D200000}"/>
    <cellStyle name="Normal 2 2 10 2 9 6" xfId="8286" xr:uid="{00000000-0005-0000-0000-00005E200000}"/>
    <cellStyle name="Normal 2 2 10 2 9 7" xfId="8287" xr:uid="{00000000-0005-0000-0000-00005F200000}"/>
    <cellStyle name="Normal 2 2 10 2 9 8" xfId="8288" xr:uid="{00000000-0005-0000-0000-000060200000}"/>
    <cellStyle name="Normal 2 2 10 2 9 9" xfId="8289" xr:uid="{00000000-0005-0000-0000-000061200000}"/>
    <cellStyle name="Normal 2 2 10 20" xfId="8290" xr:uid="{00000000-0005-0000-0000-000062200000}"/>
    <cellStyle name="Normal 2 2 10 20 10" xfId="8291" xr:uid="{00000000-0005-0000-0000-000063200000}"/>
    <cellStyle name="Normal 2 2 10 20 11" xfId="8292" xr:uid="{00000000-0005-0000-0000-000064200000}"/>
    <cellStyle name="Normal 2 2 10 20 12" xfId="8293" xr:uid="{00000000-0005-0000-0000-000065200000}"/>
    <cellStyle name="Normal 2 2 10 20 13" xfId="8294" xr:uid="{00000000-0005-0000-0000-000066200000}"/>
    <cellStyle name="Normal 2 2 10 20 14" xfId="8295" xr:uid="{00000000-0005-0000-0000-000067200000}"/>
    <cellStyle name="Normal 2 2 10 20 2" xfId="8296" xr:uid="{00000000-0005-0000-0000-000068200000}"/>
    <cellStyle name="Normal 2 2 10 20 2 10" xfId="8297" xr:uid="{00000000-0005-0000-0000-000069200000}"/>
    <cellStyle name="Normal 2 2 10 20 2 2" xfId="8298" xr:uid="{00000000-0005-0000-0000-00006A200000}"/>
    <cellStyle name="Normal 2 2 10 20 2 3" xfId="8299" xr:uid="{00000000-0005-0000-0000-00006B200000}"/>
    <cellStyle name="Normal 2 2 10 20 2 4" xfId="8300" xr:uid="{00000000-0005-0000-0000-00006C200000}"/>
    <cellStyle name="Normal 2 2 10 20 2 5" xfId="8301" xr:uid="{00000000-0005-0000-0000-00006D200000}"/>
    <cellStyle name="Normal 2 2 10 20 2 6" xfId="8302" xr:uid="{00000000-0005-0000-0000-00006E200000}"/>
    <cellStyle name="Normal 2 2 10 20 2 7" xfId="8303" xr:uid="{00000000-0005-0000-0000-00006F200000}"/>
    <cellStyle name="Normal 2 2 10 20 2 8" xfId="8304" xr:uid="{00000000-0005-0000-0000-000070200000}"/>
    <cellStyle name="Normal 2 2 10 20 2 9" xfId="8305" xr:uid="{00000000-0005-0000-0000-000071200000}"/>
    <cellStyle name="Normal 2 2 10 20 3" xfId="8306" xr:uid="{00000000-0005-0000-0000-000072200000}"/>
    <cellStyle name="Normal 2 2 10 20 3 10" xfId="8307" xr:uid="{00000000-0005-0000-0000-000073200000}"/>
    <cellStyle name="Normal 2 2 10 20 3 2" xfId="8308" xr:uid="{00000000-0005-0000-0000-000074200000}"/>
    <cellStyle name="Normal 2 2 10 20 3 3" xfId="8309" xr:uid="{00000000-0005-0000-0000-000075200000}"/>
    <cellStyle name="Normal 2 2 10 20 3 4" xfId="8310" xr:uid="{00000000-0005-0000-0000-000076200000}"/>
    <cellStyle name="Normal 2 2 10 20 3 5" xfId="8311" xr:uid="{00000000-0005-0000-0000-000077200000}"/>
    <cellStyle name="Normal 2 2 10 20 3 6" xfId="8312" xr:uid="{00000000-0005-0000-0000-000078200000}"/>
    <cellStyle name="Normal 2 2 10 20 3 7" xfId="8313" xr:uid="{00000000-0005-0000-0000-000079200000}"/>
    <cellStyle name="Normal 2 2 10 20 3 8" xfId="8314" xr:uid="{00000000-0005-0000-0000-00007A200000}"/>
    <cellStyle name="Normal 2 2 10 20 3 9" xfId="8315" xr:uid="{00000000-0005-0000-0000-00007B200000}"/>
    <cellStyle name="Normal 2 2 10 20 4" xfId="8316" xr:uid="{00000000-0005-0000-0000-00007C200000}"/>
    <cellStyle name="Normal 2 2 10 20 4 10" xfId="8317" xr:uid="{00000000-0005-0000-0000-00007D200000}"/>
    <cellStyle name="Normal 2 2 10 20 4 2" xfId="8318" xr:uid="{00000000-0005-0000-0000-00007E200000}"/>
    <cellStyle name="Normal 2 2 10 20 4 3" xfId="8319" xr:uid="{00000000-0005-0000-0000-00007F200000}"/>
    <cellStyle name="Normal 2 2 10 20 4 4" xfId="8320" xr:uid="{00000000-0005-0000-0000-000080200000}"/>
    <cellStyle name="Normal 2 2 10 20 4 5" xfId="8321" xr:uid="{00000000-0005-0000-0000-000081200000}"/>
    <cellStyle name="Normal 2 2 10 20 4 6" xfId="8322" xr:uid="{00000000-0005-0000-0000-000082200000}"/>
    <cellStyle name="Normal 2 2 10 20 4 7" xfId="8323" xr:uid="{00000000-0005-0000-0000-000083200000}"/>
    <cellStyle name="Normal 2 2 10 20 4 8" xfId="8324" xr:uid="{00000000-0005-0000-0000-000084200000}"/>
    <cellStyle name="Normal 2 2 10 20 4 9" xfId="8325" xr:uid="{00000000-0005-0000-0000-000085200000}"/>
    <cellStyle name="Normal 2 2 10 20 5" xfId="8326" xr:uid="{00000000-0005-0000-0000-000086200000}"/>
    <cellStyle name="Normal 2 2 10 20 5 10" xfId="8327" xr:uid="{00000000-0005-0000-0000-000087200000}"/>
    <cellStyle name="Normal 2 2 10 20 5 2" xfId="8328" xr:uid="{00000000-0005-0000-0000-000088200000}"/>
    <cellStyle name="Normal 2 2 10 20 5 3" xfId="8329" xr:uid="{00000000-0005-0000-0000-000089200000}"/>
    <cellStyle name="Normal 2 2 10 20 5 4" xfId="8330" xr:uid="{00000000-0005-0000-0000-00008A200000}"/>
    <cellStyle name="Normal 2 2 10 20 5 5" xfId="8331" xr:uid="{00000000-0005-0000-0000-00008B200000}"/>
    <cellStyle name="Normal 2 2 10 20 5 6" xfId="8332" xr:uid="{00000000-0005-0000-0000-00008C200000}"/>
    <cellStyle name="Normal 2 2 10 20 5 7" xfId="8333" xr:uid="{00000000-0005-0000-0000-00008D200000}"/>
    <cellStyle name="Normal 2 2 10 20 5 8" xfId="8334" xr:uid="{00000000-0005-0000-0000-00008E200000}"/>
    <cellStyle name="Normal 2 2 10 20 5 9" xfId="8335" xr:uid="{00000000-0005-0000-0000-00008F200000}"/>
    <cellStyle name="Normal 2 2 10 20 6" xfId="8336" xr:uid="{00000000-0005-0000-0000-000090200000}"/>
    <cellStyle name="Normal 2 2 10 20 7" xfId="8337" xr:uid="{00000000-0005-0000-0000-000091200000}"/>
    <cellStyle name="Normal 2 2 10 20 8" xfId="8338" xr:uid="{00000000-0005-0000-0000-000092200000}"/>
    <cellStyle name="Normal 2 2 10 20 9" xfId="8339" xr:uid="{00000000-0005-0000-0000-000093200000}"/>
    <cellStyle name="Normal 2 2 10 21" xfId="8340" xr:uid="{00000000-0005-0000-0000-000094200000}"/>
    <cellStyle name="Normal 2 2 10 21 10" xfId="8341" xr:uid="{00000000-0005-0000-0000-000095200000}"/>
    <cellStyle name="Normal 2 2 10 21 11" xfId="8342" xr:uid="{00000000-0005-0000-0000-000096200000}"/>
    <cellStyle name="Normal 2 2 10 21 12" xfId="8343" xr:uid="{00000000-0005-0000-0000-000097200000}"/>
    <cellStyle name="Normal 2 2 10 21 13" xfId="8344" xr:uid="{00000000-0005-0000-0000-000098200000}"/>
    <cellStyle name="Normal 2 2 10 21 14" xfId="8345" xr:uid="{00000000-0005-0000-0000-000099200000}"/>
    <cellStyle name="Normal 2 2 10 21 2" xfId="8346" xr:uid="{00000000-0005-0000-0000-00009A200000}"/>
    <cellStyle name="Normal 2 2 10 21 2 10" xfId="8347" xr:uid="{00000000-0005-0000-0000-00009B200000}"/>
    <cellStyle name="Normal 2 2 10 21 2 2" xfId="8348" xr:uid="{00000000-0005-0000-0000-00009C200000}"/>
    <cellStyle name="Normal 2 2 10 21 2 3" xfId="8349" xr:uid="{00000000-0005-0000-0000-00009D200000}"/>
    <cellStyle name="Normal 2 2 10 21 2 4" xfId="8350" xr:uid="{00000000-0005-0000-0000-00009E200000}"/>
    <cellStyle name="Normal 2 2 10 21 2 5" xfId="8351" xr:uid="{00000000-0005-0000-0000-00009F200000}"/>
    <cellStyle name="Normal 2 2 10 21 2 6" xfId="8352" xr:uid="{00000000-0005-0000-0000-0000A0200000}"/>
    <cellStyle name="Normal 2 2 10 21 2 7" xfId="8353" xr:uid="{00000000-0005-0000-0000-0000A1200000}"/>
    <cellStyle name="Normal 2 2 10 21 2 8" xfId="8354" xr:uid="{00000000-0005-0000-0000-0000A2200000}"/>
    <cellStyle name="Normal 2 2 10 21 2 9" xfId="8355" xr:uid="{00000000-0005-0000-0000-0000A3200000}"/>
    <cellStyle name="Normal 2 2 10 21 3" xfId="8356" xr:uid="{00000000-0005-0000-0000-0000A4200000}"/>
    <cellStyle name="Normal 2 2 10 21 3 10" xfId="8357" xr:uid="{00000000-0005-0000-0000-0000A5200000}"/>
    <cellStyle name="Normal 2 2 10 21 3 2" xfId="8358" xr:uid="{00000000-0005-0000-0000-0000A6200000}"/>
    <cellStyle name="Normal 2 2 10 21 3 3" xfId="8359" xr:uid="{00000000-0005-0000-0000-0000A7200000}"/>
    <cellStyle name="Normal 2 2 10 21 3 4" xfId="8360" xr:uid="{00000000-0005-0000-0000-0000A8200000}"/>
    <cellStyle name="Normal 2 2 10 21 3 5" xfId="8361" xr:uid="{00000000-0005-0000-0000-0000A9200000}"/>
    <cellStyle name="Normal 2 2 10 21 3 6" xfId="8362" xr:uid="{00000000-0005-0000-0000-0000AA200000}"/>
    <cellStyle name="Normal 2 2 10 21 3 7" xfId="8363" xr:uid="{00000000-0005-0000-0000-0000AB200000}"/>
    <cellStyle name="Normal 2 2 10 21 3 8" xfId="8364" xr:uid="{00000000-0005-0000-0000-0000AC200000}"/>
    <cellStyle name="Normal 2 2 10 21 3 9" xfId="8365" xr:uid="{00000000-0005-0000-0000-0000AD200000}"/>
    <cellStyle name="Normal 2 2 10 21 4" xfId="8366" xr:uid="{00000000-0005-0000-0000-0000AE200000}"/>
    <cellStyle name="Normal 2 2 10 21 4 10" xfId="8367" xr:uid="{00000000-0005-0000-0000-0000AF200000}"/>
    <cellStyle name="Normal 2 2 10 21 4 2" xfId="8368" xr:uid="{00000000-0005-0000-0000-0000B0200000}"/>
    <cellStyle name="Normal 2 2 10 21 4 3" xfId="8369" xr:uid="{00000000-0005-0000-0000-0000B1200000}"/>
    <cellStyle name="Normal 2 2 10 21 4 4" xfId="8370" xr:uid="{00000000-0005-0000-0000-0000B2200000}"/>
    <cellStyle name="Normal 2 2 10 21 4 5" xfId="8371" xr:uid="{00000000-0005-0000-0000-0000B3200000}"/>
    <cellStyle name="Normal 2 2 10 21 4 6" xfId="8372" xr:uid="{00000000-0005-0000-0000-0000B4200000}"/>
    <cellStyle name="Normal 2 2 10 21 4 7" xfId="8373" xr:uid="{00000000-0005-0000-0000-0000B5200000}"/>
    <cellStyle name="Normal 2 2 10 21 4 8" xfId="8374" xr:uid="{00000000-0005-0000-0000-0000B6200000}"/>
    <cellStyle name="Normal 2 2 10 21 4 9" xfId="8375" xr:uid="{00000000-0005-0000-0000-0000B7200000}"/>
    <cellStyle name="Normal 2 2 10 21 5" xfId="8376" xr:uid="{00000000-0005-0000-0000-0000B8200000}"/>
    <cellStyle name="Normal 2 2 10 21 5 10" xfId="8377" xr:uid="{00000000-0005-0000-0000-0000B9200000}"/>
    <cellStyle name="Normal 2 2 10 21 5 2" xfId="8378" xr:uid="{00000000-0005-0000-0000-0000BA200000}"/>
    <cellStyle name="Normal 2 2 10 21 5 3" xfId="8379" xr:uid="{00000000-0005-0000-0000-0000BB200000}"/>
    <cellStyle name="Normal 2 2 10 21 5 4" xfId="8380" xr:uid="{00000000-0005-0000-0000-0000BC200000}"/>
    <cellStyle name="Normal 2 2 10 21 5 5" xfId="8381" xr:uid="{00000000-0005-0000-0000-0000BD200000}"/>
    <cellStyle name="Normal 2 2 10 21 5 6" xfId="8382" xr:uid="{00000000-0005-0000-0000-0000BE200000}"/>
    <cellStyle name="Normal 2 2 10 21 5 7" xfId="8383" xr:uid="{00000000-0005-0000-0000-0000BF200000}"/>
    <cellStyle name="Normal 2 2 10 21 5 8" xfId="8384" xr:uid="{00000000-0005-0000-0000-0000C0200000}"/>
    <cellStyle name="Normal 2 2 10 21 5 9" xfId="8385" xr:uid="{00000000-0005-0000-0000-0000C1200000}"/>
    <cellStyle name="Normal 2 2 10 21 6" xfId="8386" xr:uid="{00000000-0005-0000-0000-0000C2200000}"/>
    <cellStyle name="Normal 2 2 10 21 7" xfId="8387" xr:uid="{00000000-0005-0000-0000-0000C3200000}"/>
    <cellStyle name="Normal 2 2 10 21 8" xfId="8388" xr:uid="{00000000-0005-0000-0000-0000C4200000}"/>
    <cellStyle name="Normal 2 2 10 21 9" xfId="8389" xr:uid="{00000000-0005-0000-0000-0000C5200000}"/>
    <cellStyle name="Normal 2 2 10 22" xfId="8390" xr:uid="{00000000-0005-0000-0000-0000C6200000}"/>
    <cellStyle name="Normal 2 2 10 22 10" xfId="8391" xr:uid="{00000000-0005-0000-0000-0000C7200000}"/>
    <cellStyle name="Normal 2 2 10 22 11" xfId="8392" xr:uid="{00000000-0005-0000-0000-0000C8200000}"/>
    <cellStyle name="Normal 2 2 10 22 12" xfId="8393" xr:uid="{00000000-0005-0000-0000-0000C9200000}"/>
    <cellStyle name="Normal 2 2 10 22 13" xfId="8394" xr:uid="{00000000-0005-0000-0000-0000CA200000}"/>
    <cellStyle name="Normal 2 2 10 22 14" xfId="8395" xr:uid="{00000000-0005-0000-0000-0000CB200000}"/>
    <cellStyle name="Normal 2 2 10 22 2" xfId="8396" xr:uid="{00000000-0005-0000-0000-0000CC200000}"/>
    <cellStyle name="Normal 2 2 10 22 2 10" xfId="8397" xr:uid="{00000000-0005-0000-0000-0000CD200000}"/>
    <cellStyle name="Normal 2 2 10 22 2 2" xfId="8398" xr:uid="{00000000-0005-0000-0000-0000CE200000}"/>
    <cellStyle name="Normal 2 2 10 22 2 3" xfId="8399" xr:uid="{00000000-0005-0000-0000-0000CF200000}"/>
    <cellStyle name="Normal 2 2 10 22 2 4" xfId="8400" xr:uid="{00000000-0005-0000-0000-0000D0200000}"/>
    <cellStyle name="Normal 2 2 10 22 2 5" xfId="8401" xr:uid="{00000000-0005-0000-0000-0000D1200000}"/>
    <cellStyle name="Normal 2 2 10 22 2 6" xfId="8402" xr:uid="{00000000-0005-0000-0000-0000D2200000}"/>
    <cellStyle name="Normal 2 2 10 22 2 7" xfId="8403" xr:uid="{00000000-0005-0000-0000-0000D3200000}"/>
    <cellStyle name="Normal 2 2 10 22 2 8" xfId="8404" xr:uid="{00000000-0005-0000-0000-0000D4200000}"/>
    <cellStyle name="Normal 2 2 10 22 2 9" xfId="8405" xr:uid="{00000000-0005-0000-0000-0000D5200000}"/>
    <cellStyle name="Normal 2 2 10 22 3" xfId="8406" xr:uid="{00000000-0005-0000-0000-0000D6200000}"/>
    <cellStyle name="Normal 2 2 10 22 3 10" xfId="8407" xr:uid="{00000000-0005-0000-0000-0000D7200000}"/>
    <cellStyle name="Normal 2 2 10 22 3 2" xfId="8408" xr:uid="{00000000-0005-0000-0000-0000D8200000}"/>
    <cellStyle name="Normal 2 2 10 22 3 3" xfId="8409" xr:uid="{00000000-0005-0000-0000-0000D9200000}"/>
    <cellStyle name="Normal 2 2 10 22 3 4" xfId="8410" xr:uid="{00000000-0005-0000-0000-0000DA200000}"/>
    <cellStyle name="Normal 2 2 10 22 3 5" xfId="8411" xr:uid="{00000000-0005-0000-0000-0000DB200000}"/>
    <cellStyle name="Normal 2 2 10 22 3 6" xfId="8412" xr:uid="{00000000-0005-0000-0000-0000DC200000}"/>
    <cellStyle name="Normal 2 2 10 22 3 7" xfId="8413" xr:uid="{00000000-0005-0000-0000-0000DD200000}"/>
    <cellStyle name="Normal 2 2 10 22 3 8" xfId="8414" xr:uid="{00000000-0005-0000-0000-0000DE200000}"/>
    <cellStyle name="Normal 2 2 10 22 3 9" xfId="8415" xr:uid="{00000000-0005-0000-0000-0000DF200000}"/>
    <cellStyle name="Normal 2 2 10 22 4" xfId="8416" xr:uid="{00000000-0005-0000-0000-0000E0200000}"/>
    <cellStyle name="Normal 2 2 10 22 4 10" xfId="8417" xr:uid="{00000000-0005-0000-0000-0000E1200000}"/>
    <cellStyle name="Normal 2 2 10 22 4 2" xfId="8418" xr:uid="{00000000-0005-0000-0000-0000E2200000}"/>
    <cellStyle name="Normal 2 2 10 22 4 3" xfId="8419" xr:uid="{00000000-0005-0000-0000-0000E3200000}"/>
    <cellStyle name="Normal 2 2 10 22 4 4" xfId="8420" xr:uid="{00000000-0005-0000-0000-0000E4200000}"/>
    <cellStyle name="Normal 2 2 10 22 4 5" xfId="8421" xr:uid="{00000000-0005-0000-0000-0000E5200000}"/>
    <cellStyle name="Normal 2 2 10 22 4 6" xfId="8422" xr:uid="{00000000-0005-0000-0000-0000E6200000}"/>
    <cellStyle name="Normal 2 2 10 22 4 7" xfId="8423" xr:uid="{00000000-0005-0000-0000-0000E7200000}"/>
    <cellStyle name="Normal 2 2 10 22 4 8" xfId="8424" xr:uid="{00000000-0005-0000-0000-0000E8200000}"/>
    <cellStyle name="Normal 2 2 10 22 4 9" xfId="8425" xr:uid="{00000000-0005-0000-0000-0000E9200000}"/>
    <cellStyle name="Normal 2 2 10 22 5" xfId="8426" xr:uid="{00000000-0005-0000-0000-0000EA200000}"/>
    <cellStyle name="Normal 2 2 10 22 5 10" xfId="8427" xr:uid="{00000000-0005-0000-0000-0000EB200000}"/>
    <cellStyle name="Normal 2 2 10 22 5 2" xfId="8428" xr:uid="{00000000-0005-0000-0000-0000EC200000}"/>
    <cellStyle name="Normal 2 2 10 22 5 3" xfId="8429" xr:uid="{00000000-0005-0000-0000-0000ED200000}"/>
    <cellStyle name="Normal 2 2 10 22 5 4" xfId="8430" xr:uid="{00000000-0005-0000-0000-0000EE200000}"/>
    <cellStyle name="Normal 2 2 10 22 5 5" xfId="8431" xr:uid="{00000000-0005-0000-0000-0000EF200000}"/>
    <cellStyle name="Normal 2 2 10 22 5 6" xfId="8432" xr:uid="{00000000-0005-0000-0000-0000F0200000}"/>
    <cellStyle name="Normal 2 2 10 22 5 7" xfId="8433" xr:uid="{00000000-0005-0000-0000-0000F1200000}"/>
    <cellStyle name="Normal 2 2 10 22 5 8" xfId="8434" xr:uid="{00000000-0005-0000-0000-0000F2200000}"/>
    <cellStyle name="Normal 2 2 10 22 5 9" xfId="8435" xr:uid="{00000000-0005-0000-0000-0000F3200000}"/>
    <cellStyle name="Normal 2 2 10 22 6" xfId="8436" xr:uid="{00000000-0005-0000-0000-0000F4200000}"/>
    <cellStyle name="Normal 2 2 10 22 7" xfId="8437" xr:uid="{00000000-0005-0000-0000-0000F5200000}"/>
    <cellStyle name="Normal 2 2 10 22 8" xfId="8438" xr:uid="{00000000-0005-0000-0000-0000F6200000}"/>
    <cellStyle name="Normal 2 2 10 22 9" xfId="8439" xr:uid="{00000000-0005-0000-0000-0000F7200000}"/>
    <cellStyle name="Normal 2 2 10 23" xfId="8440" xr:uid="{00000000-0005-0000-0000-0000F8200000}"/>
    <cellStyle name="Normal 2 2 10 23 10" xfId="8441" xr:uid="{00000000-0005-0000-0000-0000F9200000}"/>
    <cellStyle name="Normal 2 2 10 23 11" xfId="8442" xr:uid="{00000000-0005-0000-0000-0000FA200000}"/>
    <cellStyle name="Normal 2 2 10 23 12" xfId="8443" xr:uid="{00000000-0005-0000-0000-0000FB200000}"/>
    <cellStyle name="Normal 2 2 10 23 13" xfId="8444" xr:uid="{00000000-0005-0000-0000-0000FC200000}"/>
    <cellStyle name="Normal 2 2 10 23 14" xfId="8445" xr:uid="{00000000-0005-0000-0000-0000FD200000}"/>
    <cellStyle name="Normal 2 2 10 23 2" xfId="8446" xr:uid="{00000000-0005-0000-0000-0000FE200000}"/>
    <cellStyle name="Normal 2 2 10 23 2 10" xfId="8447" xr:uid="{00000000-0005-0000-0000-0000FF200000}"/>
    <cellStyle name="Normal 2 2 10 23 2 2" xfId="8448" xr:uid="{00000000-0005-0000-0000-000000210000}"/>
    <cellStyle name="Normal 2 2 10 23 2 3" xfId="8449" xr:uid="{00000000-0005-0000-0000-000001210000}"/>
    <cellStyle name="Normal 2 2 10 23 2 4" xfId="8450" xr:uid="{00000000-0005-0000-0000-000002210000}"/>
    <cellStyle name="Normal 2 2 10 23 2 5" xfId="8451" xr:uid="{00000000-0005-0000-0000-000003210000}"/>
    <cellStyle name="Normal 2 2 10 23 2 6" xfId="8452" xr:uid="{00000000-0005-0000-0000-000004210000}"/>
    <cellStyle name="Normal 2 2 10 23 2 7" xfId="8453" xr:uid="{00000000-0005-0000-0000-000005210000}"/>
    <cellStyle name="Normal 2 2 10 23 2 8" xfId="8454" xr:uid="{00000000-0005-0000-0000-000006210000}"/>
    <cellStyle name="Normal 2 2 10 23 2 9" xfId="8455" xr:uid="{00000000-0005-0000-0000-000007210000}"/>
    <cellStyle name="Normal 2 2 10 23 3" xfId="8456" xr:uid="{00000000-0005-0000-0000-000008210000}"/>
    <cellStyle name="Normal 2 2 10 23 3 10" xfId="8457" xr:uid="{00000000-0005-0000-0000-000009210000}"/>
    <cellStyle name="Normal 2 2 10 23 3 2" xfId="8458" xr:uid="{00000000-0005-0000-0000-00000A210000}"/>
    <cellStyle name="Normal 2 2 10 23 3 3" xfId="8459" xr:uid="{00000000-0005-0000-0000-00000B210000}"/>
    <cellStyle name="Normal 2 2 10 23 3 4" xfId="8460" xr:uid="{00000000-0005-0000-0000-00000C210000}"/>
    <cellStyle name="Normal 2 2 10 23 3 5" xfId="8461" xr:uid="{00000000-0005-0000-0000-00000D210000}"/>
    <cellStyle name="Normal 2 2 10 23 3 6" xfId="8462" xr:uid="{00000000-0005-0000-0000-00000E210000}"/>
    <cellStyle name="Normal 2 2 10 23 3 7" xfId="8463" xr:uid="{00000000-0005-0000-0000-00000F210000}"/>
    <cellStyle name="Normal 2 2 10 23 3 8" xfId="8464" xr:uid="{00000000-0005-0000-0000-000010210000}"/>
    <cellStyle name="Normal 2 2 10 23 3 9" xfId="8465" xr:uid="{00000000-0005-0000-0000-000011210000}"/>
    <cellStyle name="Normal 2 2 10 23 4" xfId="8466" xr:uid="{00000000-0005-0000-0000-000012210000}"/>
    <cellStyle name="Normal 2 2 10 23 4 10" xfId="8467" xr:uid="{00000000-0005-0000-0000-000013210000}"/>
    <cellStyle name="Normal 2 2 10 23 4 2" xfId="8468" xr:uid="{00000000-0005-0000-0000-000014210000}"/>
    <cellStyle name="Normal 2 2 10 23 4 3" xfId="8469" xr:uid="{00000000-0005-0000-0000-000015210000}"/>
    <cellStyle name="Normal 2 2 10 23 4 4" xfId="8470" xr:uid="{00000000-0005-0000-0000-000016210000}"/>
    <cellStyle name="Normal 2 2 10 23 4 5" xfId="8471" xr:uid="{00000000-0005-0000-0000-000017210000}"/>
    <cellStyle name="Normal 2 2 10 23 4 6" xfId="8472" xr:uid="{00000000-0005-0000-0000-000018210000}"/>
    <cellStyle name="Normal 2 2 10 23 4 7" xfId="8473" xr:uid="{00000000-0005-0000-0000-000019210000}"/>
    <cellStyle name="Normal 2 2 10 23 4 8" xfId="8474" xr:uid="{00000000-0005-0000-0000-00001A210000}"/>
    <cellStyle name="Normal 2 2 10 23 4 9" xfId="8475" xr:uid="{00000000-0005-0000-0000-00001B210000}"/>
    <cellStyle name="Normal 2 2 10 23 5" xfId="8476" xr:uid="{00000000-0005-0000-0000-00001C210000}"/>
    <cellStyle name="Normal 2 2 10 23 5 10" xfId="8477" xr:uid="{00000000-0005-0000-0000-00001D210000}"/>
    <cellStyle name="Normal 2 2 10 23 5 2" xfId="8478" xr:uid="{00000000-0005-0000-0000-00001E210000}"/>
    <cellStyle name="Normal 2 2 10 23 5 3" xfId="8479" xr:uid="{00000000-0005-0000-0000-00001F210000}"/>
    <cellStyle name="Normal 2 2 10 23 5 4" xfId="8480" xr:uid="{00000000-0005-0000-0000-000020210000}"/>
    <cellStyle name="Normal 2 2 10 23 5 5" xfId="8481" xr:uid="{00000000-0005-0000-0000-000021210000}"/>
    <cellStyle name="Normal 2 2 10 23 5 6" xfId="8482" xr:uid="{00000000-0005-0000-0000-000022210000}"/>
    <cellStyle name="Normal 2 2 10 23 5 7" xfId="8483" xr:uid="{00000000-0005-0000-0000-000023210000}"/>
    <cellStyle name="Normal 2 2 10 23 5 8" xfId="8484" xr:uid="{00000000-0005-0000-0000-000024210000}"/>
    <cellStyle name="Normal 2 2 10 23 5 9" xfId="8485" xr:uid="{00000000-0005-0000-0000-000025210000}"/>
    <cellStyle name="Normal 2 2 10 23 6" xfId="8486" xr:uid="{00000000-0005-0000-0000-000026210000}"/>
    <cellStyle name="Normal 2 2 10 23 7" xfId="8487" xr:uid="{00000000-0005-0000-0000-000027210000}"/>
    <cellStyle name="Normal 2 2 10 23 8" xfId="8488" xr:uid="{00000000-0005-0000-0000-000028210000}"/>
    <cellStyle name="Normal 2 2 10 23 9" xfId="8489" xr:uid="{00000000-0005-0000-0000-000029210000}"/>
    <cellStyle name="Normal 2 2 10 24" xfId="8490" xr:uid="{00000000-0005-0000-0000-00002A210000}"/>
    <cellStyle name="Normal 2 2 10 24 10" xfId="8491" xr:uid="{00000000-0005-0000-0000-00002B210000}"/>
    <cellStyle name="Normal 2 2 10 24 11" xfId="8492" xr:uid="{00000000-0005-0000-0000-00002C210000}"/>
    <cellStyle name="Normal 2 2 10 24 12" xfId="8493" xr:uid="{00000000-0005-0000-0000-00002D210000}"/>
    <cellStyle name="Normal 2 2 10 24 13" xfId="8494" xr:uid="{00000000-0005-0000-0000-00002E210000}"/>
    <cellStyle name="Normal 2 2 10 24 14" xfId="8495" xr:uid="{00000000-0005-0000-0000-00002F210000}"/>
    <cellStyle name="Normal 2 2 10 24 2" xfId="8496" xr:uid="{00000000-0005-0000-0000-000030210000}"/>
    <cellStyle name="Normal 2 2 10 24 2 10" xfId="8497" xr:uid="{00000000-0005-0000-0000-000031210000}"/>
    <cellStyle name="Normal 2 2 10 24 2 2" xfId="8498" xr:uid="{00000000-0005-0000-0000-000032210000}"/>
    <cellStyle name="Normal 2 2 10 24 2 3" xfId="8499" xr:uid="{00000000-0005-0000-0000-000033210000}"/>
    <cellStyle name="Normal 2 2 10 24 2 4" xfId="8500" xr:uid="{00000000-0005-0000-0000-000034210000}"/>
    <cellStyle name="Normal 2 2 10 24 2 5" xfId="8501" xr:uid="{00000000-0005-0000-0000-000035210000}"/>
    <cellStyle name="Normal 2 2 10 24 2 6" xfId="8502" xr:uid="{00000000-0005-0000-0000-000036210000}"/>
    <cellStyle name="Normal 2 2 10 24 2 7" xfId="8503" xr:uid="{00000000-0005-0000-0000-000037210000}"/>
    <cellStyle name="Normal 2 2 10 24 2 8" xfId="8504" xr:uid="{00000000-0005-0000-0000-000038210000}"/>
    <cellStyle name="Normal 2 2 10 24 2 9" xfId="8505" xr:uid="{00000000-0005-0000-0000-000039210000}"/>
    <cellStyle name="Normal 2 2 10 24 3" xfId="8506" xr:uid="{00000000-0005-0000-0000-00003A210000}"/>
    <cellStyle name="Normal 2 2 10 24 3 10" xfId="8507" xr:uid="{00000000-0005-0000-0000-00003B210000}"/>
    <cellStyle name="Normal 2 2 10 24 3 2" xfId="8508" xr:uid="{00000000-0005-0000-0000-00003C210000}"/>
    <cellStyle name="Normal 2 2 10 24 3 3" xfId="8509" xr:uid="{00000000-0005-0000-0000-00003D210000}"/>
    <cellStyle name="Normal 2 2 10 24 3 4" xfId="8510" xr:uid="{00000000-0005-0000-0000-00003E210000}"/>
    <cellStyle name="Normal 2 2 10 24 3 5" xfId="8511" xr:uid="{00000000-0005-0000-0000-00003F210000}"/>
    <cellStyle name="Normal 2 2 10 24 3 6" xfId="8512" xr:uid="{00000000-0005-0000-0000-000040210000}"/>
    <cellStyle name="Normal 2 2 10 24 3 7" xfId="8513" xr:uid="{00000000-0005-0000-0000-000041210000}"/>
    <cellStyle name="Normal 2 2 10 24 3 8" xfId="8514" xr:uid="{00000000-0005-0000-0000-000042210000}"/>
    <cellStyle name="Normal 2 2 10 24 3 9" xfId="8515" xr:uid="{00000000-0005-0000-0000-000043210000}"/>
    <cellStyle name="Normal 2 2 10 24 4" xfId="8516" xr:uid="{00000000-0005-0000-0000-000044210000}"/>
    <cellStyle name="Normal 2 2 10 24 4 10" xfId="8517" xr:uid="{00000000-0005-0000-0000-000045210000}"/>
    <cellStyle name="Normal 2 2 10 24 4 2" xfId="8518" xr:uid="{00000000-0005-0000-0000-000046210000}"/>
    <cellStyle name="Normal 2 2 10 24 4 3" xfId="8519" xr:uid="{00000000-0005-0000-0000-000047210000}"/>
    <cellStyle name="Normal 2 2 10 24 4 4" xfId="8520" xr:uid="{00000000-0005-0000-0000-000048210000}"/>
    <cellStyle name="Normal 2 2 10 24 4 5" xfId="8521" xr:uid="{00000000-0005-0000-0000-000049210000}"/>
    <cellStyle name="Normal 2 2 10 24 4 6" xfId="8522" xr:uid="{00000000-0005-0000-0000-00004A210000}"/>
    <cellStyle name="Normal 2 2 10 24 4 7" xfId="8523" xr:uid="{00000000-0005-0000-0000-00004B210000}"/>
    <cellStyle name="Normal 2 2 10 24 4 8" xfId="8524" xr:uid="{00000000-0005-0000-0000-00004C210000}"/>
    <cellStyle name="Normal 2 2 10 24 4 9" xfId="8525" xr:uid="{00000000-0005-0000-0000-00004D210000}"/>
    <cellStyle name="Normal 2 2 10 24 5" xfId="8526" xr:uid="{00000000-0005-0000-0000-00004E210000}"/>
    <cellStyle name="Normal 2 2 10 24 5 10" xfId="8527" xr:uid="{00000000-0005-0000-0000-00004F210000}"/>
    <cellStyle name="Normal 2 2 10 24 5 2" xfId="8528" xr:uid="{00000000-0005-0000-0000-000050210000}"/>
    <cellStyle name="Normal 2 2 10 24 5 3" xfId="8529" xr:uid="{00000000-0005-0000-0000-000051210000}"/>
    <cellStyle name="Normal 2 2 10 24 5 4" xfId="8530" xr:uid="{00000000-0005-0000-0000-000052210000}"/>
    <cellStyle name="Normal 2 2 10 24 5 5" xfId="8531" xr:uid="{00000000-0005-0000-0000-000053210000}"/>
    <cellStyle name="Normal 2 2 10 24 5 6" xfId="8532" xr:uid="{00000000-0005-0000-0000-000054210000}"/>
    <cellStyle name="Normal 2 2 10 24 5 7" xfId="8533" xr:uid="{00000000-0005-0000-0000-000055210000}"/>
    <cellStyle name="Normal 2 2 10 24 5 8" xfId="8534" xr:uid="{00000000-0005-0000-0000-000056210000}"/>
    <cellStyle name="Normal 2 2 10 24 5 9" xfId="8535" xr:uid="{00000000-0005-0000-0000-000057210000}"/>
    <cellStyle name="Normal 2 2 10 24 6" xfId="8536" xr:uid="{00000000-0005-0000-0000-000058210000}"/>
    <cellStyle name="Normal 2 2 10 24 7" xfId="8537" xr:uid="{00000000-0005-0000-0000-000059210000}"/>
    <cellStyle name="Normal 2 2 10 24 8" xfId="8538" xr:uid="{00000000-0005-0000-0000-00005A210000}"/>
    <cellStyle name="Normal 2 2 10 24 9" xfId="8539" xr:uid="{00000000-0005-0000-0000-00005B210000}"/>
    <cellStyle name="Normal 2 2 10 25" xfId="8540" xr:uid="{00000000-0005-0000-0000-00005C210000}"/>
    <cellStyle name="Normal 2 2 10 25 10" xfId="8541" xr:uid="{00000000-0005-0000-0000-00005D210000}"/>
    <cellStyle name="Normal 2 2 10 25 11" xfId="8542" xr:uid="{00000000-0005-0000-0000-00005E210000}"/>
    <cellStyle name="Normal 2 2 10 25 12" xfId="8543" xr:uid="{00000000-0005-0000-0000-00005F210000}"/>
    <cellStyle name="Normal 2 2 10 25 13" xfId="8544" xr:uid="{00000000-0005-0000-0000-000060210000}"/>
    <cellStyle name="Normal 2 2 10 25 14" xfId="8545" xr:uid="{00000000-0005-0000-0000-000061210000}"/>
    <cellStyle name="Normal 2 2 10 25 2" xfId="8546" xr:uid="{00000000-0005-0000-0000-000062210000}"/>
    <cellStyle name="Normal 2 2 10 25 2 10" xfId="8547" xr:uid="{00000000-0005-0000-0000-000063210000}"/>
    <cellStyle name="Normal 2 2 10 25 2 2" xfId="8548" xr:uid="{00000000-0005-0000-0000-000064210000}"/>
    <cellStyle name="Normal 2 2 10 25 2 3" xfId="8549" xr:uid="{00000000-0005-0000-0000-000065210000}"/>
    <cellStyle name="Normal 2 2 10 25 2 4" xfId="8550" xr:uid="{00000000-0005-0000-0000-000066210000}"/>
    <cellStyle name="Normal 2 2 10 25 2 5" xfId="8551" xr:uid="{00000000-0005-0000-0000-000067210000}"/>
    <cellStyle name="Normal 2 2 10 25 2 6" xfId="8552" xr:uid="{00000000-0005-0000-0000-000068210000}"/>
    <cellStyle name="Normal 2 2 10 25 2 7" xfId="8553" xr:uid="{00000000-0005-0000-0000-000069210000}"/>
    <cellStyle name="Normal 2 2 10 25 2 8" xfId="8554" xr:uid="{00000000-0005-0000-0000-00006A210000}"/>
    <cellStyle name="Normal 2 2 10 25 2 9" xfId="8555" xr:uid="{00000000-0005-0000-0000-00006B210000}"/>
    <cellStyle name="Normal 2 2 10 25 3" xfId="8556" xr:uid="{00000000-0005-0000-0000-00006C210000}"/>
    <cellStyle name="Normal 2 2 10 25 3 10" xfId="8557" xr:uid="{00000000-0005-0000-0000-00006D210000}"/>
    <cellStyle name="Normal 2 2 10 25 3 2" xfId="8558" xr:uid="{00000000-0005-0000-0000-00006E210000}"/>
    <cellStyle name="Normal 2 2 10 25 3 3" xfId="8559" xr:uid="{00000000-0005-0000-0000-00006F210000}"/>
    <cellStyle name="Normal 2 2 10 25 3 4" xfId="8560" xr:uid="{00000000-0005-0000-0000-000070210000}"/>
    <cellStyle name="Normal 2 2 10 25 3 5" xfId="8561" xr:uid="{00000000-0005-0000-0000-000071210000}"/>
    <cellStyle name="Normal 2 2 10 25 3 6" xfId="8562" xr:uid="{00000000-0005-0000-0000-000072210000}"/>
    <cellStyle name="Normal 2 2 10 25 3 7" xfId="8563" xr:uid="{00000000-0005-0000-0000-000073210000}"/>
    <cellStyle name="Normal 2 2 10 25 3 8" xfId="8564" xr:uid="{00000000-0005-0000-0000-000074210000}"/>
    <cellStyle name="Normal 2 2 10 25 3 9" xfId="8565" xr:uid="{00000000-0005-0000-0000-000075210000}"/>
    <cellStyle name="Normal 2 2 10 25 4" xfId="8566" xr:uid="{00000000-0005-0000-0000-000076210000}"/>
    <cellStyle name="Normal 2 2 10 25 4 10" xfId="8567" xr:uid="{00000000-0005-0000-0000-000077210000}"/>
    <cellStyle name="Normal 2 2 10 25 4 2" xfId="8568" xr:uid="{00000000-0005-0000-0000-000078210000}"/>
    <cellStyle name="Normal 2 2 10 25 4 3" xfId="8569" xr:uid="{00000000-0005-0000-0000-000079210000}"/>
    <cellStyle name="Normal 2 2 10 25 4 4" xfId="8570" xr:uid="{00000000-0005-0000-0000-00007A210000}"/>
    <cellStyle name="Normal 2 2 10 25 4 5" xfId="8571" xr:uid="{00000000-0005-0000-0000-00007B210000}"/>
    <cellStyle name="Normal 2 2 10 25 4 6" xfId="8572" xr:uid="{00000000-0005-0000-0000-00007C210000}"/>
    <cellStyle name="Normal 2 2 10 25 4 7" xfId="8573" xr:uid="{00000000-0005-0000-0000-00007D210000}"/>
    <cellStyle name="Normal 2 2 10 25 4 8" xfId="8574" xr:uid="{00000000-0005-0000-0000-00007E210000}"/>
    <cellStyle name="Normal 2 2 10 25 4 9" xfId="8575" xr:uid="{00000000-0005-0000-0000-00007F210000}"/>
    <cellStyle name="Normal 2 2 10 25 5" xfId="8576" xr:uid="{00000000-0005-0000-0000-000080210000}"/>
    <cellStyle name="Normal 2 2 10 25 5 10" xfId="8577" xr:uid="{00000000-0005-0000-0000-000081210000}"/>
    <cellStyle name="Normal 2 2 10 25 5 2" xfId="8578" xr:uid="{00000000-0005-0000-0000-000082210000}"/>
    <cellStyle name="Normal 2 2 10 25 5 3" xfId="8579" xr:uid="{00000000-0005-0000-0000-000083210000}"/>
    <cellStyle name="Normal 2 2 10 25 5 4" xfId="8580" xr:uid="{00000000-0005-0000-0000-000084210000}"/>
    <cellStyle name="Normal 2 2 10 25 5 5" xfId="8581" xr:uid="{00000000-0005-0000-0000-000085210000}"/>
    <cellStyle name="Normal 2 2 10 25 5 6" xfId="8582" xr:uid="{00000000-0005-0000-0000-000086210000}"/>
    <cellStyle name="Normal 2 2 10 25 5 7" xfId="8583" xr:uid="{00000000-0005-0000-0000-000087210000}"/>
    <cellStyle name="Normal 2 2 10 25 5 8" xfId="8584" xr:uid="{00000000-0005-0000-0000-000088210000}"/>
    <cellStyle name="Normal 2 2 10 25 5 9" xfId="8585" xr:uid="{00000000-0005-0000-0000-000089210000}"/>
    <cellStyle name="Normal 2 2 10 25 6" xfId="8586" xr:uid="{00000000-0005-0000-0000-00008A210000}"/>
    <cellStyle name="Normal 2 2 10 25 7" xfId="8587" xr:uid="{00000000-0005-0000-0000-00008B210000}"/>
    <cellStyle name="Normal 2 2 10 25 8" xfId="8588" xr:uid="{00000000-0005-0000-0000-00008C210000}"/>
    <cellStyle name="Normal 2 2 10 25 9" xfId="8589" xr:uid="{00000000-0005-0000-0000-00008D210000}"/>
    <cellStyle name="Normal 2 2 10 26" xfId="8590" xr:uid="{00000000-0005-0000-0000-00008E210000}"/>
    <cellStyle name="Normal 2 2 10 26 10" xfId="8591" xr:uid="{00000000-0005-0000-0000-00008F210000}"/>
    <cellStyle name="Normal 2 2 10 26 11" xfId="8592" xr:uid="{00000000-0005-0000-0000-000090210000}"/>
    <cellStyle name="Normal 2 2 10 26 12" xfId="8593" xr:uid="{00000000-0005-0000-0000-000091210000}"/>
    <cellStyle name="Normal 2 2 10 26 13" xfId="8594" xr:uid="{00000000-0005-0000-0000-000092210000}"/>
    <cellStyle name="Normal 2 2 10 26 14" xfId="8595" xr:uid="{00000000-0005-0000-0000-000093210000}"/>
    <cellStyle name="Normal 2 2 10 26 2" xfId="8596" xr:uid="{00000000-0005-0000-0000-000094210000}"/>
    <cellStyle name="Normal 2 2 10 26 2 10" xfId="8597" xr:uid="{00000000-0005-0000-0000-000095210000}"/>
    <cellStyle name="Normal 2 2 10 26 2 2" xfId="8598" xr:uid="{00000000-0005-0000-0000-000096210000}"/>
    <cellStyle name="Normal 2 2 10 26 2 3" xfId="8599" xr:uid="{00000000-0005-0000-0000-000097210000}"/>
    <cellStyle name="Normal 2 2 10 26 2 4" xfId="8600" xr:uid="{00000000-0005-0000-0000-000098210000}"/>
    <cellStyle name="Normal 2 2 10 26 2 5" xfId="8601" xr:uid="{00000000-0005-0000-0000-000099210000}"/>
    <cellStyle name="Normal 2 2 10 26 2 6" xfId="8602" xr:uid="{00000000-0005-0000-0000-00009A210000}"/>
    <cellStyle name="Normal 2 2 10 26 2 7" xfId="8603" xr:uid="{00000000-0005-0000-0000-00009B210000}"/>
    <cellStyle name="Normal 2 2 10 26 2 8" xfId="8604" xr:uid="{00000000-0005-0000-0000-00009C210000}"/>
    <cellStyle name="Normal 2 2 10 26 2 9" xfId="8605" xr:uid="{00000000-0005-0000-0000-00009D210000}"/>
    <cellStyle name="Normal 2 2 10 26 3" xfId="8606" xr:uid="{00000000-0005-0000-0000-00009E210000}"/>
    <cellStyle name="Normal 2 2 10 26 3 10" xfId="8607" xr:uid="{00000000-0005-0000-0000-00009F210000}"/>
    <cellStyle name="Normal 2 2 10 26 3 2" xfId="8608" xr:uid="{00000000-0005-0000-0000-0000A0210000}"/>
    <cellStyle name="Normal 2 2 10 26 3 3" xfId="8609" xr:uid="{00000000-0005-0000-0000-0000A1210000}"/>
    <cellStyle name="Normal 2 2 10 26 3 4" xfId="8610" xr:uid="{00000000-0005-0000-0000-0000A2210000}"/>
    <cellStyle name="Normal 2 2 10 26 3 5" xfId="8611" xr:uid="{00000000-0005-0000-0000-0000A3210000}"/>
    <cellStyle name="Normal 2 2 10 26 3 6" xfId="8612" xr:uid="{00000000-0005-0000-0000-0000A4210000}"/>
    <cellStyle name="Normal 2 2 10 26 3 7" xfId="8613" xr:uid="{00000000-0005-0000-0000-0000A5210000}"/>
    <cellStyle name="Normal 2 2 10 26 3 8" xfId="8614" xr:uid="{00000000-0005-0000-0000-0000A6210000}"/>
    <cellStyle name="Normal 2 2 10 26 3 9" xfId="8615" xr:uid="{00000000-0005-0000-0000-0000A7210000}"/>
    <cellStyle name="Normal 2 2 10 26 4" xfId="8616" xr:uid="{00000000-0005-0000-0000-0000A8210000}"/>
    <cellStyle name="Normal 2 2 10 26 4 10" xfId="8617" xr:uid="{00000000-0005-0000-0000-0000A9210000}"/>
    <cellStyle name="Normal 2 2 10 26 4 2" xfId="8618" xr:uid="{00000000-0005-0000-0000-0000AA210000}"/>
    <cellStyle name="Normal 2 2 10 26 4 3" xfId="8619" xr:uid="{00000000-0005-0000-0000-0000AB210000}"/>
    <cellStyle name="Normal 2 2 10 26 4 4" xfId="8620" xr:uid="{00000000-0005-0000-0000-0000AC210000}"/>
    <cellStyle name="Normal 2 2 10 26 4 5" xfId="8621" xr:uid="{00000000-0005-0000-0000-0000AD210000}"/>
    <cellStyle name="Normal 2 2 10 26 4 6" xfId="8622" xr:uid="{00000000-0005-0000-0000-0000AE210000}"/>
    <cellStyle name="Normal 2 2 10 26 4 7" xfId="8623" xr:uid="{00000000-0005-0000-0000-0000AF210000}"/>
    <cellStyle name="Normal 2 2 10 26 4 8" xfId="8624" xr:uid="{00000000-0005-0000-0000-0000B0210000}"/>
    <cellStyle name="Normal 2 2 10 26 4 9" xfId="8625" xr:uid="{00000000-0005-0000-0000-0000B1210000}"/>
    <cellStyle name="Normal 2 2 10 26 5" xfId="8626" xr:uid="{00000000-0005-0000-0000-0000B2210000}"/>
    <cellStyle name="Normal 2 2 10 26 5 10" xfId="8627" xr:uid="{00000000-0005-0000-0000-0000B3210000}"/>
    <cellStyle name="Normal 2 2 10 26 5 2" xfId="8628" xr:uid="{00000000-0005-0000-0000-0000B4210000}"/>
    <cellStyle name="Normal 2 2 10 26 5 3" xfId="8629" xr:uid="{00000000-0005-0000-0000-0000B5210000}"/>
    <cellStyle name="Normal 2 2 10 26 5 4" xfId="8630" xr:uid="{00000000-0005-0000-0000-0000B6210000}"/>
    <cellStyle name="Normal 2 2 10 26 5 5" xfId="8631" xr:uid="{00000000-0005-0000-0000-0000B7210000}"/>
    <cellStyle name="Normal 2 2 10 26 5 6" xfId="8632" xr:uid="{00000000-0005-0000-0000-0000B8210000}"/>
    <cellStyle name="Normal 2 2 10 26 5 7" xfId="8633" xr:uid="{00000000-0005-0000-0000-0000B9210000}"/>
    <cellStyle name="Normal 2 2 10 26 5 8" xfId="8634" xr:uid="{00000000-0005-0000-0000-0000BA210000}"/>
    <cellStyle name="Normal 2 2 10 26 5 9" xfId="8635" xr:uid="{00000000-0005-0000-0000-0000BB210000}"/>
    <cellStyle name="Normal 2 2 10 26 6" xfId="8636" xr:uid="{00000000-0005-0000-0000-0000BC210000}"/>
    <cellStyle name="Normal 2 2 10 26 7" xfId="8637" xr:uid="{00000000-0005-0000-0000-0000BD210000}"/>
    <cellStyle name="Normal 2 2 10 26 8" xfId="8638" xr:uid="{00000000-0005-0000-0000-0000BE210000}"/>
    <cellStyle name="Normal 2 2 10 26 9" xfId="8639" xr:uid="{00000000-0005-0000-0000-0000BF210000}"/>
    <cellStyle name="Normal 2 2 10 27" xfId="8640" xr:uid="{00000000-0005-0000-0000-0000C0210000}"/>
    <cellStyle name="Normal 2 2 10 27 10" xfId="8641" xr:uid="{00000000-0005-0000-0000-0000C1210000}"/>
    <cellStyle name="Normal 2 2 10 27 11" xfId="8642" xr:uid="{00000000-0005-0000-0000-0000C2210000}"/>
    <cellStyle name="Normal 2 2 10 27 12" xfId="8643" xr:uid="{00000000-0005-0000-0000-0000C3210000}"/>
    <cellStyle name="Normal 2 2 10 27 13" xfId="8644" xr:uid="{00000000-0005-0000-0000-0000C4210000}"/>
    <cellStyle name="Normal 2 2 10 27 14" xfId="8645" xr:uid="{00000000-0005-0000-0000-0000C5210000}"/>
    <cellStyle name="Normal 2 2 10 27 2" xfId="8646" xr:uid="{00000000-0005-0000-0000-0000C6210000}"/>
    <cellStyle name="Normal 2 2 10 27 2 10" xfId="8647" xr:uid="{00000000-0005-0000-0000-0000C7210000}"/>
    <cellStyle name="Normal 2 2 10 27 2 2" xfId="8648" xr:uid="{00000000-0005-0000-0000-0000C8210000}"/>
    <cellStyle name="Normal 2 2 10 27 2 3" xfId="8649" xr:uid="{00000000-0005-0000-0000-0000C9210000}"/>
    <cellStyle name="Normal 2 2 10 27 2 4" xfId="8650" xr:uid="{00000000-0005-0000-0000-0000CA210000}"/>
    <cellStyle name="Normal 2 2 10 27 2 5" xfId="8651" xr:uid="{00000000-0005-0000-0000-0000CB210000}"/>
    <cellStyle name="Normal 2 2 10 27 2 6" xfId="8652" xr:uid="{00000000-0005-0000-0000-0000CC210000}"/>
    <cellStyle name="Normal 2 2 10 27 2 7" xfId="8653" xr:uid="{00000000-0005-0000-0000-0000CD210000}"/>
    <cellStyle name="Normal 2 2 10 27 2 8" xfId="8654" xr:uid="{00000000-0005-0000-0000-0000CE210000}"/>
    <cellStyle name="Normal 2 2 10 27 2 9" xfId="8655" xr:uid="{00000000-0005-0000-0000-0000CF210000}"/>
    <cellStyle name="Normal 2 2 10 27 3" xfId="8656" xr:uid="{00000000-0005-0000-0000-0000D0210000}"/>
    <cellStyle name="Normal 2 2 10 27 3 10" xfId="8657" xr:uid="{00000000-0005-0000-0000-0000D1210000}"/>
    <cellStyle name="Normal 2 2 10 27 3 2" xfId="8658" xr:uid="{00000000-0005-0000-0000-0000D2210000}"/>
    <cellStyle name="Normal 2 2 10 27 3 3" xfId="8659" xr:uid="{00000000-0005-0000-0000-0000D3210000}"/>
    <cellStyle name="Normal 2 2 10 27 3 4" xfId="8660" xr:uid="{00000000-0005-0000-0000-0000D4210000}"/>
    <cellStyle name="Normal 2 2 10 27 3 5" xfId="8661" xr:uid="{00000000-0005-0000-0000-0000D5210000}"/>
    <cellStyle name="Normal 2 2 10 27 3 6" xfId="8662" xr:uid="{00000000-0005-0000-0000-0000D6210000}"/>
    <cellStyle name="Normal 2 2 10 27 3 7" xfId="8663" xr:uid="{00000000-0005-0000-0000-0000D7210000}"/>
    <cellStyle name="Normal 2 2 10 27 3 8" xfId="8664" xr:uid="{00000000-0005-0000-0000-0000D8210000}"/>
    <cellStyle name="Normal 2 2 10 27 3 9" xfId="8665" xr:uid="{00000000-0005-0000-0000-0000D9210000}"/>
    <cellStyle name="Normal 2 2 10 27 4" xfId="8666" xr:uid="{00000000-0005-0000-0000-0000DA210000}"/>
    <cellStyle name="Normal 2 2 10 27 4 10" xfId="8667" xr:uid="{00000000-0005-0000-0000-0000DB210000}"/>
    <cellStyle name="Normal 2 2 10 27 4 2" xfId="8668" xr:uid="{00000000-0005-0000-0000-0000DC210000}"/>
    <cellStyle name="Normal 2 2 10 27 4 3" xfId="8669" xr:uid="{00000000-0005-0000-0000-0000DD210000}"/>
    <cellStyle name="Normal 2 2 10 27 4 4" xfId="8670" xr:uid="{00000000-0005-0000-0000-0000DE210000}"/>
    <cellStyle name="Normal 2 2 10 27 4 5" xfId="8671" xr:uid="{00000000-0005-0000-0000-0000DF210000}"/>
    <cellStyle name="Normal 2 2 10 27 4 6" xfId="8672" xr:uid="{00000000-0005-0000-0000-0000E0210000}"/>
    <cellStyle name="Normal 2 2 10 27 4 7" xfId="8673" xr:uid="{00000000-0005-0000-0000-0000E1210000}"/>
    <cellStyle name="Normal 2 2 10 27 4 8" xfId="8674" xr:uid="{00000000-0005-0000-0000-0000E2210000}"/>
    <cellStyle name="Normal 2 2 10 27 4 9" xfId="8675" xr:uid="{00000000-0005-0000-0000-0000E3210000}"/>
    <cellStyle name="Normal 2 2 10 27 5" xfId="8676" xr:uid="{00000000-0005-0000-0000-0000E4210000}"/>
    <cellStyle name="Normal 2 2 10 27 5 10" xfId="8677" xr:uid="{00000000-0005-0000-0000-0000E5210000}"/>
    <cellStyle name="Normal 2 2 10 27 5 2" xfId="8678" xr:uid="{00000000-0005-0000-0000-0000E6210000}"/>
    <cellStyle name="Normal 2 2 10 27 5 3" xfId="8679" xr:uid="{00000000-0005-0000-0000-0000E7210000}"/>
    <cellStyle name="Normal 2 2 10 27 5 4" xfId="8680" xr:uid="{00000000-0005-0000-0000-0000E8210000}"/>
    <cellStyle name="Normal 2 2 10 27 5 5" xfId="8681" xr:uid="{00000000-0005-0000-0000-0000E9210000}"/>
    <cellStyle name="Normal 2 2 10 27 5 6" xfId="8682" xr:uid="{00000000-0005-0000-0000-0000EA210000}"/>
    <cellStyle name="Normal 2 2 10 27 5 7" xfId="8683" xr:uid="{00000000-0005-0000-0000-0000EB210000}"/>
    <cellStyle name="Normal 2 2 10 27 5 8" xfId="8684" xr:uid="{00000000-0005-0000-0000-0000EC210000}"/>
    <cellStyle name="Normal 2 2 10 27 5 9" xfId="8685" xr:uid="{00000000-0005-0000-0000-0000ED210000}"/>
    <cellStyle name="Normal 2 2 10 27 6" xfId="8686" xr:uid="{00000000-0005-0000-0000-0000EE210000}"/>
    <cellStyle name="Normal 2 2 10 27 7" xfId="8687" xr:uid="{00000000-0005-0000-0000-0000EF210000}"/>
    <cellStyle name="Normal 2 2 10 27 8" xfId="8688" xr:uid="{00000000-0005-0000-0000-0000F0210000}"/>
    <cellStyle name="Normal 2 2 10 27 9" xfId="8689" xr:uid="{00000000-0005-0000-0000-0000F1210000}"/>
    <cellStyle name="Normal 2 2 10 28" xfId="8690" xr:uid="{00000000-0005-0000-0000-0000F2210000}"/>
    <cellStyle name="Normal 2 2 10 28 10" xfId="8691" xr:uid="{00000000-0005-0000-0000-0000F3210000}"/>
    <cellStyle name="Normal 2 2 10 28 11" xfId="8692" xr:uid="{00000000-0005-0000-0000-0000F4210000}"/>
    <cellStyle name="Normal 2 2 10 28 12" xfId="8693" xr:uid="{00000000-0005-0000-0000-0000F5210000}"/>
    <cellStyle name="Normal 2 2 10 28 13" xfId="8694" xr:uid="{00000000-0005-0000-0000-0000F6210000}"/>
    <cellStyle name="Normal 2 2 10 28 14" xfId="8695" xr:uid="{00000000-0005-0000-0000-0000F7210000}"/>
    <cellStyle name="Normal 2 2 10 28 2" xfId="8696" xr:uid="{00000000-0005-0000-0000-0000F8210000}"/>
    <cellStyle name="Normal 2 2 10 28 2 10" xfId="8697" xr:uid="{00000000-0005-0000-0000-0000F9210000}"/>
    <cellStyle name="Normal 2 2 10 28 2 2" xfId="8698" xr:uid="{00000000-0005-0000-0000-0000FA210000}"/>
    <cellStyle name="Normal 2 2 10 28 2 3" xfId="8699" xr:uid="{00000000-0005-0000-0000-0000FB210000}"/>
    <cellStyle name="Normal 2 2 10 28 2 4" xfId="8700" xr:uid="{00000000-0005-0000-0000-0000FC210000}"/>
    <cellStyle name="Normal 2 2 10 28 2 5" xfId="8701" xr:uid="{00000000-0005-0000-0000-0000FD210000}"/>
    <cellStyle name="Normal 2 2 10 28 2 6" xfId="8702" xr:uid="{00000000-0005-0000-0000-0000FE210000}"/>
    <cellStyle name="Normal 2 2 10 28 2 7" xfId="8703" xr:uid="{00000000-0005-0000-0000-0000FF210000}"/>
    <cellStyle name="Normal 2 2 10 28 2 8" xfId="8704" xr:uid="{00000000-0005-0000-0000-000000220000}"/>
    <cellStyle name="Normal 2 2 10 28 2 9" xfId="8705" xr:uid="{00000000-0005-0000-0000-000001220000}"/>
    <cellStyle name="Normal 2 2 10 28 3" xfId="8706" xr:uid="{00000000-0005-0000-0000-000002220000}"/>
    <cellStyle name="Normal 2 2 10 28 3 10" xfId="8707" xr:uid="{00000000-0005-0000-0000-000003220000}"/>
    <cellStyle name="Normal 2 2 10 28 3 2" xfId="8708" xr:uid="{00000000-0005-0000-0000-000004220000}"/>
    <cellStyle name="Normal 2 2 10 28 3 3" xfId="8709" xr:uid="{00000000-0005-0000-0000-000005220000}"/>
    <cellStyle name="Normal 2 2 10 28 3 4" xfId="8710" xr:uid="{00000000-0005-0000-0000-000006220000}"/>
    <cellStyle name="Normal 2 2 10 28 3 5" xfId="8711" xr:uid="{00000000-0005-0000-0000-000007220000}"/>
    <cellStyle name="Normal 2 2 10 28 3 6" xfId="8712" xr:uid="{00000000-0005-0000-0000-000008220000}"/>
    <cellStyle name="Normal 2 2 10 28 3 7" xfId="8713" xr:uid="{00000000-0005-0000-0000-000009220000}"/>
    <cellStyle name="Normal 2 2 10 28 3 8" xfId="8714" xr:uid="{00000000-0005-0000-0000-00000A220000}"/>
    <cellStyle name="Normal 2 2 10 28 3 9" xfId="8715" xr:uid="{00000000-0005-0000-0000-00000B220000}"/>
    <cellStyle name="Normal 2 2 10 28 4" xfId="8716" xr:uid="{00000000-0005-0000-0000-00000C220000}"/>
    <cellStyle name="Normal 2 2 10 28 4 10" xfId="8717" xr:uid="{00000000-0005-0000-0000-00000D220000}"/>
    <cellStyle name="Normal 2 2 10 28 4 2" xfId="8718" xr:uid="{00000000-0005-0000-0000-00000E220000}"/>
    <cellStyle name="Normal 2 2 10 28 4 3" xfId="8719" xr:uid="{00000000-0005-0000-0000-00000F220000}"/>
    <cellStyle name="Normal 2 2 10 28 4 4" xfId="8720" xr:uid="{00000000-0005-0000-0000-000010220000}"/>
    <cellStyle name="Normal 2 2 10 28 4 5" xfId="8721" xr:uid="{00000000-0005-0000-0000-000011220000}"/>
    <cellStyle name="Normal 2 2 10 28 4 6" xfId="8722" xr:uid="{00000000-0005-0000-0000-000012220000}"/>
    <cellStyle name="Normal 2 2 10 28 4 7" xfId="8723" xr:uid="{00000000-0005-0000-0000-000013220000}"/>
    <cellStyle name="Normal 2 2 10 28 4 8" xfId="8724" xr:uid="{00000000-0005-0000-0000-000014220000}"/>
    <cellStyle name="Normal 2 2 10 28 4 9" xfId="8725" xr:uid="{00000000-0005-0000-0000-000015220000}"/>
    <cellStyle name="Normal 2 2 10 28 5" xfId="8726" xr:uid="{00000000-0005-0000-0000-000016220000}"/>
    <cellStyle name="Normal 2 2 10 28 5 10" xfId="8727" xr:uid="{00000000-0005-0000-0000-000017220000}"/>
    <cellStyle name="Normal 2 2 10 28 5 2" xfId="8728" xr:uid="{00000000-0005-0000-0000-000018220000}"/>
    <cellStyle name="Normal 2 2 10 28 5 3" xfId="8729" xr:uid="{00000000-0005-0000-0000-000019220000}"/>
    <cellStyle name="Normal 2 2 10 28 5 4" xfId="8730" xr:uid="{00000000-0005-0000-0000-00001A220000}"/>
    <cellStyle name="Normal 2 2 10 28 5 5" xfId="8731" xr:uid="{00000000-0005-0000-0000-00001B220000}"/>
    <cellStyle name="Normal 2 2 10 28 5 6" xfId="8732" xr:uid="{00000000-0005-0000-0000-00001C220000}"/>
    <cellStyle name="Normal 2 2 10 28 5 7" xfId="8733" xr:uid="{00000000-0005-0000-0000-00001D220000}"/>
    <cellStyle name="Normal 2 2 10 28 5 8" xfId="8734" xr:uid="{00000000-0005-0000-0000-00001E220000}"/>
    <cellStyle name="Normal 2 2 10 28 5 9" xfId="8735" xr:uid="{00000000-0005-0000-0000-00001F220000}"/>
    <cellStyle name="Normal 2 2 10 28 6" xfId="8736" xr:uid="{00000000-0005-0000-0000-000020220000}"/>
    <cellStyle name="Normal 2 2 10 28 7" xfId="8737" xr:uid="{00000000-0005-0000-0000-000021220000}"/>
    <cellStyle name="Normal 2 2 10 28 8" xfId="8738" xr:uid="{00000000-0005-0000-0000-000022220000}"/>
    <cellStyle name="Normal 2 2 10 28 9" xfId="8739" xr:uid="{00000000-0005-0000-0000-000023220000}"/>
    <cellStyle name="Normal 2 2 10 29" xfId="8740" xr:uid="{00000000-0005-0000-0000-000024220000}"/>
    <cellStyle name="Normal 2 2 10 29 10" xfId="8741" xr:uid="{00000000-0005-0000-0000-000025220000}"/>
    <cellStyle name="Normal 2 2 10 29 11" xfId="8742" xr:uid="{00000000-0005-0000-0000-000026220000}"/>
    <cellStyle name="Normal 2 2 10 29 12" xfId="8743" xr:uid="{00000000-0005-0000-0000-000027220000}"/>
    <cellStyle name="Normal 2 2 10 29 13" xfId="8744" xr:uid="{00000000-0005-0000-0000-000028220000}"/>
    <cellStyle name="Normal 2 2 10 29 14" xfId="8745" xr:uid="{00000000-0005-0000-0000-000029220000}"/>
    <cellStyle name="Normal 2 2 10 29 2" xfId="8746" xr:uid="{00000000-0005-0000-0000-00002A220000}"/>
    <cellStyle name="Normal 2 2 10 29 2 10" xfId="8747" xr:uid="{00000000-0005-0000-0000-00002B220000}"/>
    <cellStyle name="Normal 2 2 10 29 2 2" xfId="8748" xr:uid="{00000000-0005-0000-0000-00002C220000}"/>
    <cellStyle name="Normal 2 2 10 29 2 3" xfId="8749" xr:uid="{00000000-0005-0000-0000-00002D220000}"/>
    <cellStyle name="Normal 2 2 10 29 2 4" xfId="8750" xr:uid="{00000000-0005-0000-0000-00002E220000}"/>
    <cellStyle name="Normal 2 2 10 29 2 5" xfId="8751" xr:uid="{00000000-0005-0000-0000-00002F220000}"/>
    <cellStyle name="Normal 2 2 10 29 2 6" xfId="8752" xr:uid="{00000000-0005-0000-0000-000030220000}"/>
    <cellStyle name="Normal 2 2 10 29 2 7" xfId="8753" xr:uid="{00000000-0005-0000-0000-000031220000}"/>
    <cellStyle name="Normal 2 2 10 29 2 8" xfId="8754" xr:uid="{00000000-0005-0000-0000-000032220000}"/>
    <cellStyle name="Normal 2 2 10 29 2 9" xfId="8755" xr:uid="{00000000-0005-0000-0000-000033220000}"/>
    <cellStyle name="Normal 2 2 10 29 3" xfId="8756" xr:uid="{00000000-0005-0000-0000-000034220000}"/>
    <cellStyle name="Normal 2 2 10 29 3 10" xfId="8757" xr:uid="{00000000-0005-0000-0000-000035220000}"/>
    <cellStyle name="Normal 2 2 10 29 3 2" xfId="8758" xr:uid="{00000000-0005-0000-0000-000036220000}"/>
    <cellStyle name="Normal 2 2 10 29 3 3" xfId="8759" xr:uid="{00000000-0005-0000-0000-000037220000}"/>
    <cellStyle name="Normal 2 2 10 29 3 4" xfId="8760" xr:uid="{00000000-0005-0000-0000-000038220000}"/>
    <cellStyle name="Normal 2 2 10 29 3 5" xfId="8761" xr:uid="{00000000-0005-0000-0000-000039220000}"/>
    <cellStyle name="Normal 2 2 10 29 3 6" xfId="8762" xr:uid="{00000000-0005-0000-0000-00003A220000}"/>
    <cellStyle name="Normal 2 2 10 29 3 7" xfId="8763" xr:uid="{00000000-0005-0000-0000-00003B220000}"/>
    <cellStyle name="Normal 2 2 10 29 3 8" xfId="8764" xr:uid="{00000000-0005-0000-0000-00003C220000}"/>
    <cellStyle name="Normal 2 2 10 29 3 9" xfId="8765" xr:uid="{00000000-0005-0000-0000-00003D220000}"/>
    <cellStyle name="Normal 2 2 10 29 4" xfId="8766" xr:uid="{00000000-0005-0000-0000-00003E220000}"/>
    <cellStyle name="Normal 2 2 10 29 4 10" xfId="8767" xr:uid="{00000000-0005-0000-0000-00003F220000}"/>
    <cellStyle name="Normal 2 2 10 29 4 2" xfId="8768" xr:uid="{00000000-0005-0000-0000-000040220000}"/>
    <cellStyle name="Normal 2 2 10 29 4 3" xfId="8769" xr:uid="{00000000-0005-0000-0000-000041220000}"/>
    <cellStyle name="Normal 2 2 10 29 4 4" xfId="8770" xr:uid="{00000000-0005-0000-0000-000042220000}"/>
    <cellStyle name="Normal 2 2 10 29 4 5" xfId="8771" xr:uid="{00000000-0005-0000-0000-000043220000}"/>
    <cellStyle name="Normal 2 2 10 29 4 6" xfId="8772" xr:uid="{00000000-0005-0000-0000-000044220000}"/>
    <cellStyle name="Normal 2 2 10 29 4 7" xfId="8773" xr:uid="{00000000-0005-0000-0000-000045220000}"/>
    <cellStyle name="Normal 2 2 10 29 4 8" xfId="8774" xr:uid="{00000000-0005-0000-0000-000046220000}"/>
    <cellStyle name="Normal 2 2 10 29 4 9" xfId="8775" xr:uid="{00000000-0005-0000-0000-000047220000}"/>
    <cellStyle name="Normal 2 2 10 29 5" xfId="8776" xr:uid="{00000000-0005-0000-0000-000048220000}"/>
    <cellStyle name="Normal 2 2 10 29 5 10" xfId="8777" xr:uid="{00000000-0005-0000-0000-000049220000}"/>
    <cellStyle name="Normal 2 2 10 29 5 2" xfId="8778" xr:uid="{00000000-0005-0000-0000-00004A220000}"/>
    <cellStyle name="Normal 2 2 10 29 5 3" xfId="8779" xr:uid="{00000000-0005-0000-0000-00004B220000}"/>
    <cellStyle name="Normal 2 2 10 29 5 4" xfId="8780" xr:uid="{00000000-0005-0000-0000-00004C220000}"/>
    <cellStyle name="Normal 2 2 10 29 5 5" xfId="8781" xr:uid="{00000000-0005-0000-0000-00004D220000}"/>
    <cellStyle name="Normal 2 2 10 29 5 6" xfId="8782" xr:uid="{00000000-0005-0000-0000-00004E220000}"/>
    <cellStyle name="Normal 2 2 10 29 5 7" xfId="8783" xr:uid="{00000000-0005-0000-0000-00004F220000}"/>
    <cellStyle name="Normal 2 2 10 29 5 8" xfId="8784" xr:uid="{00000000-0005-0000-0000-000050220000}"/>
    <cellStyle name="Normal 2 2 10 29 5 9" xfId="8785" xr:uid="{00000000-0005-0000-0000-000051220000}"/>
    <cellStyle name="Normal 2 2 10 29 6" xfId="8786" xr:uid="{00000000-0005-0000-0000-000052220000}"/>
    <cellStyle name="Normal 2 2 10 29 7" xfId="8787" xr:uid="{00000000-0005-0000-0000-000053220000}"/>
    <cellStyle name="Normal 2 2 10 29 8" xfId="8788" xr:uid="{00000000-0005-0000-0000-000054220000}"/>
    <cellStyle name="Normal 2 2 10 29 9" xfId="8789" xr:uid="{00000000-0005-0000-0000-000055220000}"/>
    <cellStyle name="Normal 2 2 10 3" xfId="8790" xr:uid="{00000000-0005-0000-0000-000056220000}"/>
    <cellStyle name="Normal 2 2 10 3 10" xfId="8791" xr:uid="{00000000-0005-0000-0000-000057220000}"/>
    <cellStyle name="Normal 2 2 10 3 11" xfId="8792" xr:uid="{00000000-0005-0000-0000-000058220000}"/>
    <cellStyle name="Normal 2 2 10 3 12" xfId="8793" xr:uid="{00000000-0005-0000-0000-000059220000}"/>
    <cellStyle name="Normal 2 2 10 3 13" xfId="8794" xr:uid="{00000000-0005-0000-0000-00005A220000}"/>
    <cellStyle name="Normal 2 2 10 3 14" xfId="8795" xr:uid="{00000000-0005-0000-0000-00005B220000}"/>
    <cellStyle name="Normal 2 2 10 3 2" xfId="8796" xr:uid="{00000000-0005-0000-0000-00005C220000}"/>
    <cellStyle name="Normal 2 2 10 3 2 10" xfId="8797" xr:uid="{00000000-0005-0000-0000-00005D220000}"/>
    <cellStyle name="Normal 2 2 10 3 2 2" xfId="8798" xr:uid="{00000000-0005-0000-0000-00005E220000}"/>
    <cellStyle name="Normal 2 2 10 3 2 3" xfId="8799" xr:uid="{00000000-0005-0000-0000-00005F220000}"/>
    <cellStyle name="Normal 2 2 10 3 2 4" xfId="8800" xr:uid="{00000000-0005-0000-0000-000060220000}"/>
    <cellStyle name="Normal 2 2 10 3 2 5" xfId="8801" xr:uid="{00000000-0005-0000-0000-000061220000}"/>
    <cellStyle name="Normal 2 2 10 3 2 6" xfId="8802" xr:uid="{00000000-0005-0000-0000-000062220000}"/>
    <cellStyle name="Normal 2 2 10 3 2 7" xfId="8803" xr:uid="{00000000-0005-0000-0000-000063220000}"/>
    <cellStyle name="Normal 2 2 10 3 2 8" xfId="8804" xr:uid="{00000000-0005-0000-0000-000064220000}"/>
    <cellStyle name="Normal 2 2 10 3 2 9" xfId="8805" xr:uid="{00000000-0005-0000-0000-000065220000}"/>
    <cellStyle name="Normal 2 2 10 3 3" xfId="8806" xr:uid="{00000000-0005-0000-0000-000066220000}"/>
    <cellStyle name="Normal 2 2 10 3 3 10" xfId="8807" xr:uid="{00000000-0005-0000-0000-000067220000}"/>
    <cellStyle name="Normal 2 2 10 3 3 2" xfId="8808" xr:uid="{00000000-0005-0000-0000-000068220000}"/>
    <cellStyle name="Normal 2 2 10 3 3 3" xfId="8809" xr:uid="{00000000-0005-0000-0000-000069220000}"/>
    <cellStyle name="Normal 2 2 10 3 3 4" xfId="8810" xr:uid="{00000000-0005-0000-0000-00006A220000}"/>
    <cellStyle name="Normal 2 2 10 3 3 5" xfId="8811" xr:uid="{00000000-0005-0000-0000-00006B220000}"/>
    <cellStyle name="Normal 2 2 10 3 3 6" xfId="8812" xr:uid="{00000000-0005-0000-0000-00006C220000}"/>
    <cellStyle name="Normal 2 2 10 3 3 7" xfId="8813" xr:uid="{00000000-0005-0000-0000-00006D220000}"/>
    <cellStyle name="Normal 2 2 10 3 3 8" xfId="8814" xr:uid="{00000000-0005-0000-0000-00006E220000}"/>
    <cellStyle name="Normal 2 2 10 3 3 9" xfId="8815" xr:uid="{00000000-0005-0000-0000-00006F220000}"/>
    <cellStyle name="Normal 2 2 10 3 4" xfId="8816" xr:uid="{00000000-0005-0000-0000-000070220000}"/>
    <cellStyle name="Normal 2 2 10 3 4 10" xfId="8817" xr:uid="{00000000-0005-0000-0000-000071220000}"/>
    <cellStyle name="Normal 2 2 10 3 4 2" xfId="8818" xr:uid="{00000000-0005-0000-0000-000072220000}"/>
    <cellStyle name="Normal 2 2 10 3 4 3" xfId="8819" xr:uid="{00000000-0005-0000-0000-000073220000}"/>
    <cellStyle name="Normal 2 2 10 3 4 4" xfId="8820" xr:uid="{00000000-0005-0000-0000-000074220000}"/>
    <cellStyle name="Normal 2 2 10 3 4 5" xfId="8821" xr:uid="{00000000-0005-0000-0000-000075220000}"/>
    <cellStyle name="Normal 2 2 10 3 4 6" xfId="8822" xr:uid="{00000000-0005-0000-0000-000076220000}"/>
    <cellStyle name="Normal 2 2 10 3 4 7" xfId="8823" xr:uid="{00000000-0005-0000-0000-000077220000}"/>
    <cellStyle name="Normal 2 2 10 3 4 8" xfId="8824" xr:uid="{00000000-0005-0000-0000-000078220000}"/>
    <cellStyle name="Normal 2 2 10 3 4 9" xfId="8825" xr:uid="{00000000-0005-0000-0000-000079220000}"/>
    <cellStyle name="Normal 2 2 10 3 5" xfId="8826" xr:uid="{00000000-0005-0000-0000-00007A220000}"/>
    <cellStyle name="Normal 2 2 10 3 5 10" xfId="8827" xr:uid="{00000000-0005-0000-0000-00007B220000}"/>
    <cellStyle name="Normal 2 2 10 3 5 2" xfId="8828" xr:uid="{00000000-0005-0000-0000-00007C220000}"/>
    <cellStyle name="Normal 2 2 10 3 5 3" xfId="8829" xr:uid="{00000000-0005-0000-0000-00007D220000}"/>
    <cellStyle name="Normal 2 2 10 3 5 4" xfId="8830" xr:uid="{00000000-0005-0000-0000-00007E220000}"/>
    <cellStyle name="Normal 2 2 10 3 5 5" xfId="8831" xr:uid="{00000000-0005-0000-0000-00007F220000}"/>
    <cellStyle name="Normal 2 2 10 3 5 6" xfId="8832" xr:uid="{00000000-0005-0000-0000-000080220000}"/>
    <cellStyle name="Normal 2 2 10 3 5 7" xfId="8833" xr:uid="{00000000-0005-0000-0000-000081220000}"/>
    <cellStyle name="Normal 2 2 10 3 5 8" xfId="8834" xr:uid="{00000000-0005-0000-0000-000082220000}"/>
    <cellStyle name="Normal 2 2 10 3 5 9" xfId="8835" xr:uid="{00000000-0005-0000-0000-000083220000}"/>
    <cellStyle name="Normal 2 2 10 3 6" xfId="8836" xr:uid="{00000000-0005-0000-0000-000084220000}"/>
    <cellStyle name="Normal 2 2 10 3 7" xfId="8837" xr:uid="{00000000-0005-0000-0000-000085220000}"/>
    <cellStyle name="Normal 2 2 10 3 8" xfId="8838" xr:uid="{00000000-0005-0000-0000-000086220000}"/>
    <cellStyle name="Normal 2 2 10 3 9" xfId="8839" xr:uid="{00000000-0005-0000-0000-000087220000}"/>
    <cellStyle name="Normal 2 2 10 30" xfId="8840" xr:uid="{00000000-0005-0000-0000-000088220000}"/>
    <cellStyle name="Normal 2 2 10 30 10" xfId="8841" xr:uid="{00000000-0005-0000-0000-000089220000}"/>
    <cellStyle name="Normal 2 2 10 30 11" xfId="8842" xr:uid="{00000000-0005-0000-0000-00008A220000}"/>
    <cellStyle name="Normal 2 2 10 30 12" xfId="8843" xr:uid="{00000000-0005-0000-0000-00008B220000}"/>
    <cellStyle name="Normal 2 2 10 30 13" xfId="8844" xr:uid="{00000000-0005-0000-0000-00008C220000}"/>
    <cellStyle name="Normal 2 2 10 30 14" xfId="8845" xr:uid="{00000000-0005-0000-0000-00008D220000}"/>
    <cellStyle name="Normal 2 2 10 30 2" xfId="8846" xr:uid="{00000000-0005-0000-0000-00008E220000}"/>
    <cellStyle name="Normal 2 2 10 30 2 10" xfId="8847" xr:uid="{00000000-0005-0000-0000-00008F220000}"/>
    <cellStyle name="Normal 2 2 10 30 2 2" xfId="8848" xr:uid="{00000000-0005-0000-0000-000090220000}"/>
    <cellStyle name="Normal 2 2 10 30 2 3" xfId="8849" xr:uid="{00000000-0005-0000-0000-000091220000}"/>
    <cellStyle name="Normal 2 2 10 30 2 4" xfId="8850" xr:uid="{00000000-0005-0000-0000-000092220000}"/>
    <cellStyle name="Normal 2 2 10 30 2 5" xfId="8851" xr:uid="{00000000-0005-0000-0000-000093220000}"/>
    <cellStyle name="Normal 2 2 10 30 2 6" xfId="8852" xr:uid="{00000000-0005-0000-0000-000094220000}"/>
    <cellStyle name="Normal 2 2 10 30 2 7" xfId="8853" xr:uid="{00000000-0005-0000-0000-000095220000}"/>
    <cellStyle name="Normal 2 2 10 30 2 8" xfId="8854" xr:uid="{00000000-0005-0000-0000-000096220000}"/>
    <cellStyle name="Normal 2 2 10 30 2 9" xfId="8855" xr:uid="{00000000-0005-0000-0000-000097220000}"/>
    <cellStyle name="Normal 2 2 10 30 3" xfId="8856" xr:uid="{00000000-0005-0000-0000-000098220000}"/>
    <cellStyle name="Normal 2 2 10 30 3 10" xfId="8857" xr:uid="{00000000-0005-0000-0000-000099220000}"/>
    <cellStyle name="Normal 2 2 10 30 3 2" xfId="8858" xr:uid="{00000000-0005-0000-0000-00009A220000}"/>
    <cellStyle name="Normal 2 2 10 30 3 3" xfId="8859" xr:uid="{00000000-0005-0000-0000-00009B220000}"/>
    <cellStyle name="Normal 2 2 10 30 3 4" xfId="8860" xr:uid="{00000000-0005-0000-0000-00009C220000}"/>
    <cellStyle name="Normal 2 2 10 30 3 5" xfId="8861" xr:uid="{00000000-0005-0000-0000-00009D220000}"/>
    <cellStyle name="Normal 2 2 10 30 3 6" xfId="8862" xr:uid="{00000000-0005-0000-0000-00009E220000}"/>
    <cellStyle name="Normal 2 2 10 30 3 7" xfId="8863" xr:uid="{00000000-0005-0000-0000-00009F220000}"/>
    <cellStyle name="Normal 2 2 10 30 3 8" xfId="8864" xr:uid="{00000000-0005-0000-0000-0000A0220000}"/>
    <cellStyle name="Normal 2 2 10 30 3 9" xfId="8865" xr:uid="{00000000-0005-0000-0000-0000A1220000}"/>
    <cellStyle name="Normal 2 2 10 30 4" xfId="8866" xr:uid="{00000000-0005-0000-0000-0000A2220000}"/>
    <cellStyle name="Normal 2 2 10 30 4 10" xfId="8867" xr:uid="{00000000-0005-0000-0000-0000A3220000}"/>
    <cellStyle name="Normal 2 2 10 30 4 2" xfId="8868" xr:uid="{00000000-0005-0000-0000-0000A4220000}"/>
    <cellStyle name="Normal 2 2 10 30 4 3" xfId="8869" xr:uid="{00000000-0005-0000-0000-0000A5220000}"/>
    <cellStyle name="Normal 2 2 10 30 4 4" xfId="8870" xr:uid="{00000000-0005-0000-0000-0000A6220000}"/>
    <cellStyle name="Normal 2 2 10 30 4 5" xfId="8871" xr:uid="{00000000-0005-0000-0000-0000A7220000}"/>
    <cellStyle name="Normal 2 2 10 30 4 6" xfId="8872" xr:uid="{00000000-0005-0000-0000-0000A8220000}"/>
    <cellStyle name="Normal 2 2 10 30 4 7" xfId="8873" xr:uid="{00000000-0005-0000-0000-0000A9220000}"/>
    <cellStyle name="Normal 2 2 10 30 4 8" xfId="8874" xr:uid="{00000000-0005-0000-0000-0000AA220000}"/>
    <cellStyle name="Normal 2 2 10 30 4 9" xfId="8875" xr:uid="{00000000-0005-0000-0000-0000AB220000}"/>
    <cellStyle name="Normal 2 2 10 30 5" xfId="8876" xr:uid="{00000000-0005-0000-0000-0000AC220000}"/>
    <cellStyle name="Normal 2 2 10 30 5 10" xfId="8877" xr:uid="{00000000-0005-0000-0000-0000AD220000}"/>
    <cellStyle name="Normal 2 2 10 30 5 2" xfId="8878" xr:uid="{00000000-0005-0000-0000-0000AE220000}"/>
    <cellStyle name="Normal 2 2 10 30 5 3" xfId="8879" xr:uid="{00000000-0005-0000-0000-0000AF220000}"/>
    <cellStyle name="Normal 2 2 10 30 5 4" xfId="8880" xr:uid="{00000000-0005-0000-0000-0000B0220000}"/>
    <cellStyle name="Normal 2 2 10 30 5 5" xfId="8881" xr:uid="{00000000-0005-0000-0000-0000B1220000}"/>
    <cellStyle name="Normal 2 2 10 30 5 6" xfId="8882" xr:uid="{00000000-0005-0000-0000-0000B2220000}"/>
    <cellStyle name="Normal 2 2 10 30 5 7" xfId="8883" xr:uid="{00000000-0005-0000-0000-0000B3220000}"/>
    <cellStyle name="Normal 2 2 10 30 5 8" xfId="8884" xr:uid="{00000000-0005-0000-0000-0000B4220000}"/>
    <cellStyle name="Normal 2 2 10 30 5 9" xfId="8885" xr:uid="{00000000-0005-0000-0000-0000B5220000}"/>
    <cellStyle name="Normal 2 2 10 30 6" xfId="8886" xr:uid="{00000000-0005-0000-0000-0000B6220000}"/>
    <cellStyle name="Normal 2 2 10 30 7" xfId="8887" xr:uid="{00000000-0005-0000-0000-0000B7220000}"/>
    <cellStyle name="Normal 2 2 10 30 8" xfId="8888" xr:uid="{00000000-0005-0000-0000-0000B8220000}"/>
    <cellStyle name="Normal 2 2 10 30 9" xfId="8889" xr:uid="{00000000-0005-0000-0000-0000B9220000}"/>
    <cellStyle name="Normal 2 2 10 31" xfId="8890" xr:uid="{00000000-0005-0000-0000-0000BA220000}"/>
    <cellStyle name="Normal 2 2 10 31 10" xfId="8891" xr:uid="{00000000-0005-0000-0000-0000BB220000}"/>
    <cellStyle name="Normal 2 2 10 31 11" xfId="8892" xr:uid="{00000000-0005-0000-0000-0000BC220000}"/>
    <cellStyle name="Normal 2 2 10 31 12" xfId="8893" xr:uid="{00000000-0005-0000-0000-0000BD220000}"/>
    <cellStyle name="Normal 2 2 10 31 13" xfId="8894" xr:uid="{00000000-0005-0000-0000-0000BE220000}"/>
    <cellStyle name="Normal 2 2 10 31 14" xfId="8895" xr:uid="{00000000-0005-0000-0000-0000BF220000}"/>
    <cellStyle name="Normal 2 2 10 31 2" xfId="8896" xr:uid="{00000000-0005-0000-0000-0000C0220000}"/>
    <cellStyle name="Normal 2 2 10 31 2 10" xfId="8897" xr:uid="{00000000-0005-0000-0000-0000C1220000}"/>
    <cellStyle name="Normal 2 2 10 31 2 2" xfId="8898" xr:uid="{00000000-0005-0000-0000-0000C2220000}"/>
    <cellStyle name="Normal 2 2 10 31 2 3" xfId="8899" xr:uid="{00000000-0005-0000-0000-0000C3220000}"/>
    <cellStyle name="Normal 2 2 10 31 2 4" xfId="8900" xr:uid="{00000000-0005-0000-0000-0000C4220000}"/>
    <cellStyle name="Normal 2 2 10 31 2 5" xfId="8901" xr:uid="{00000000-0005-0000-0000-0000C5220000}"/>
    <cellStyle name="Normal 2 2 10 31 2 6" xfId="8902" xr:uid="{00000000-0005-0000-0000-0000C6220000}"/>
    <cellStyle name="Normal 2 2 10 31 2 7" xfId="8903" xr:uid="{00000000-0005-0000-0000-0000C7220000}"/>
    <cellStyle name="Normal 2 2 10 31 2 8" xfId="8904" xr:uid="{00000000-0005-0000-0000-0000C8220000}"/>
    <cellStyle name="Normal 2 2 10 31 2 9" xfId="8905" xr:uid="{00000000-0005-0000-0000-0000C9220000}"/>
    <cellStyle name="Normal 2 2 10 31 3" xfId="8906" xr:uid="{00000000-0005-0000-0000-0000CA220000}"/>
    <cellStyle name="Normal 2 2 10 31 3 10" xfId="8907" xr:uid="{00000000-0005-0000-0000-0000CB220000}"/>
    <cellStyle name="Normal 2 2 10 31 3 2" xfId="8908" xr:uid="{00000000-0005-0000-0000-0000CC220000}"/>
    <cellStyle name="Normal 2 2 10 31 3 3" xfId="8909" xr:uid="{00000000-0005-0000-0000-0000CD220000}"/>
    <cellStyle name="Normal 2 2 10 31 3 4" xfId="8910" xr:uid="{00000000-0005-0000-0000-0000CE220000}"/>
    <cellStyle name="Normal 2 2 10 31 3 5" xfId="8911" xr:uid="{00000000-0005-0000-0000-0000CF220000}"/>
    <cellStyle name="Normal 2 2 10 31 3 6" xfId="8912" xr:uid="{00000000-0005-0000-0000-0000D0220000}"/>
    <cellStyle name="Normal 2 2 10 31 3 7" xfId="8913" xr:uid="{00000000-0005-0000-0000-0000D1220000}"/>
    <cellStyle name="Normal 2 2 10 31 3 8" xfId="8914" xr:uid="{00000000-0005-0000-0000-0000D2220000}"/>
    <cellStyle name="Normal 2 2 10 31 3 9" xfId="8915" xr:uid="{00000000-0005-0000-0000-0000D3220000}"/>
    <cellStyle name="Normal 2 2 10 31 4" xfId="8916" xr:uid="{00000000-0005-0000-0000-0000D4220000}"/>
    <cellStyle name="Normal 2 2 10 31 4 10" xfId="8917" xr:uid="{00000000-0005-0000-0000-0000D5220000}"/>
    <cellStyle name="Normal 2 2 10 31 4 2" xfId="8918" xr:uid="{00000000-0005-0000-0000-0000D6220000}"/>
    <cellStyle name="Normal 2 2 10 31 4 3" xfId="8919" xr:uid="{00000000-0005-0000-0000-0000D7220000}"/>
    <cellStyle name="Normal 2 2 10 31 4 4" xfId="8920" xr:uid="{00000000-0005-0000-0000-0000D8220000}"/>
    <cellStyle name="Normal 2 2 10 31 4 5" xfId="8921" xr:uid="{00000000-0005-0000-0000-0000D9220000}"/>
    <cellStyle name="Normal 2 2 10 31 4 6" xfId="8922" xr:uid="{00000000-0005-0000-0000-0000DA220000}"/>
    <cellStyle name="Normal 2 2 10 31 4 7" xfId="8923" xr:uid="{00000000-0005-0000-0000-0000DB220000}"/>
    <cellStyle name="Normal 2 2 10 31 4 8" xfId="8924" xr:uid="{00000000-0005-0000-0000-0000DC220000}"/>
    <cellStyle name="Normal 2 2 10 31 4 9" xfId="8925" xr:uid="{00000000-0005-0000-0000-0000DD220000}"/>
    <cellStyle name="Normal 2 2 10 31 5" xfId="8926" xr:uid="{00000000-0005-0000-0000-0000DE220000}"/>
    <cellStyle name="Normal 2 2 10 31 5 10" xfId="8927" xr:uid="{00000000-0005-0000-0000-0000DF220000}"/>
    <cellStyle name="Normal 2 2 10 31 5 2" xfId="8928" xr:uid="{00000000-0005-0000-0000-0000E0220000}"/>
    <cellStyle name="Normal 2 2 10 31 5 3" xfId="8929" xr:uid="{00000000-0005-0000-0000-0000E1220000}"/>
    <cellStyle name="Normal 2 2 10 31 5 4" xfId="8930" xr:uid="{00000000-0005-0000-0000-0000E2220000}"/>
    <cellStyle name="Normal 2 2 10 31 5 5" xfId="8931" xr:uid="{00000000-0005-0000-0000-0000E3220000}"/>
    <cellStyle name="Normal 2 2 10 31 5 6" xfId="8932" xr:uid="{00000000-0005-0000-0000-0000E4220000}"/>
    <cellStyle name="Normal 2 2 10 31 5 7" xfId="8933" xr:uid="{00000000-0005-0000-0000-0000E5220000}"/>
    <cellStyle name="Normal 2 2 10 31 5 8" xfId="8934" xr:uid="{00000000-0005-0000-0000-0000E6220000}"/>
    <cellStyle name="Normal 2 2 10 31 5 9" xfId="8935" xr:uid="{00000000-0005-0000-0000-0000E7220000}"/>
    <cellStyle name="Normal 2 2 10 31 6" xfId="8936" xr:uid="{00000000-0005-0000-0000-0000E8220000}"/>
    <cellStyle name="Normal 2 2 10 31 7" xfId="8937" xr:uid="{00000000-0005-0000-0000-0000E9220000}"/>
    <cellStyle name="Normal 2 2 10 31 8" xfId="8938" xr:uid="{00000000-0005-0000-0000-0000EA220000}"/>
    <cellStyle name="Normal 2 2 10 31 9" xfId="8939" xr:uid="{00000000-0005-0000-0000-0000EB220000}"/>
    <cellStyle name="Normal 2 2 10 32" xfId="8940" xr:uid="{00000000-0005-0000-0000-0000EC220000}"/>
    <cellStyle name="Normal 2 2 10 32 10" xfId="8941" xr:uid="{00000000-0005-0000-0000-0000ED220000}"/>
    <cellStyle name="Normal 2 2 10 32 11" xfId="8942" xr:uid="{00000000-0005-0000-0000-0000EE220000}"/>
    <cellStyle name="Normal 2 2 10 32 12" xfId="8943" xr:uid="{00000000-0005-0000-0000-0000EF220000}"/>
    <cellStyle name="Normal 2 2 10 32 13" xfId="8944" xr:uid="{00000000-0005-0000-0000-0000F0220000}"/>
    <cellStyle name="Normal 2 2 10 32 14" xfId="8945" xr:uid="{00000000-0005-0000-0000-0000F1220000}"/>
    <cellStyle name="Normal 2 2 10 32 2" xfId="8946" xr:uid="{00000000-0005-0000-0000-0000F2220000}"/>
    <cellStyle name="Normal 2 2 10 32 2 10" xfId="8947" xr:uid="{00000000-0005-0000-0000-0000F3220000}"/>
    <cellStyle name="Normal 2 2 10 32 2 2" xfId="8948" xr:uid="{00000000-0005-0000-0000-0000F4220000}"/>
    <cellStyle name="Normal 2 2 10 32 2 3" xfId="8949" xr:uid="{00000000-0005-0000-0000-0000F5220000}"/>
    <cellStyle name="Normal 2 2 10 32 2 4" xfId="8950" xr:uid="{00000000-0005-0000-0000-0000F6220000}"/>
    <cellStyle name="Normal 2 2 10 32 2 5" xfId="8951" xr:uid="{00000000-0005-0000-0000-0000F7220000}"/>
    <cellStyle name="Normal 2 2 10 32 2 6" xfId="8952" xr:uid="{00000000-0005-0000-0000-0000F8220000}"/>
    <cellStyle name="Normal 2 2 10 32 2 7" xfId="8953" xr:uid="{00000000-0005-0000-0000-0000F9220000}"/>
    <cellStyle name="Normal 2 2 10 32 2 8" xfId="8954" xr:uid="{00000000-0005-0000-0000-0000FA220000}"/>
    <cellStyle name="Normal 2 2 10 32 2 9" xfId="8955" xr:uid="{00000000-0005-0000-0000-0000FB220000}"/>
    <cellStyle name="Normal 2 2 10 32 3" xfId="8956" xr:uid="{00000000-0005-0000-0000-0000FC220000}"/>
    <cellStyle name="Normal 2 2 10 32 3 10" xfId="8957" xr:uid="{00000000-0005-0000-0000-0000FD220000}"/>
    <cellStyle name="Normal 2 2 10 32 3 2" xfId="8958" xr:uid="{00000000-0005-0000-0000-0000FE220000}"/>
    <cellStyle name="Normal 2 2 10 32 3 3" xfId="8959" xr:uid="{00000000-0005-0000-0000-0000FF220000}"/>
    <cellStyle name="Normal 2 2 10 32 3 4" xfId="8960" xr:uid="{00000000-0005-0000-0000-000000230000}"/>
    <cellStyle name="Normal 2 2 10 32 3 5" xfId="8961" xr:uid="{00000000-0005-0000-0000-000001230000}"/>
    <cellStyle name="Normal 2 2 10 32 3 6" xfId="8962" xr:uid="{00000000-0005-0000-0000-000002230000}"/>
    <cellStyle name="Normal 2 2 10 32 3 7" xfId="8963" xr:uid="{00000000-0005-0000-0000-000003230000}"/>
    <cellStyle name="Normal 2 2 10 32 3 8" xfId="8964" xr:uid="{00000000-0005-0000-0000-000004230000}"/>
    <cellStyle name="Normal 2 2 10 32 3 9" xfId="8965" xr:uid="{00000000-0005-0000-0000-000005230000}"/>
    <cellStyle name="Normal 2 2 10 32 4" xfId="8966" xr:uid="{00000000-0005-0000-0000-000006230000}"/>
    <cellStyle name="Normal 2 2 10 32 4 10" xfId="8967" xr:uid="{00000000-0005-0000-0000-000007230000}"/>
    <cellStyle name="Normal 2 2 10 32 4 2" xfId="8968" xr:uid="{00000000-0005-0000-0000-000008230000}"/>
    <cellStyle name="Normal 2 2 10 32 4 3" xfId="8969" xr:uid="{00000000-0005-0000-0000-000009230000}"/>
    <cellStyle name="Normal 2 2 10 32 4 4" xfId="8970" xr:uid="{00000000-0005-0000-0000-00000A230000}"/>
    <cellStyle name="Normal 2 2 10 32 4 5" xfId="8971" xr:uid="{00000000-0005-0000-0000-00000B230000}"/>
    <cellStyle name="Normal 2 2 10 32 4 6" xfId="8972" xr:uid="{00000000-0005-0000-0000-00000C230000}"/>
    <cellStyle name="Normal 2 2 10 32 4 7" xfId="8973" xr:uid="{00000000-0005-0000-0000-00000D230000}"/>
    <cellStyle name="Normal 2 2 10 32 4 8" xfId="8974" xr:uid="{00000000-0005-0000-0000-00000E230000}"/>
    <cellStyle name="Normal 2 2 10 32 4 9" xfId="8975" xr:uid="{00000000-0005-0000-0000-00000F230000}"/>
    <cellStyle name="Normal 2 2 10 32 5" xfId="8976" xr:uid="{00000000-0005-0000-0000-000010230000}"/>
    <cellStyle name="Normal 2 2 10 32 5 10" xfId="8977" xr:uid="{00000000-0005-0000-0000-000011230000}"/>
    <cellStyle name="Normal 2 2 10 32 5 2" xfId="8978" xr:uid="{00000000-0005-0000-0000-000012230000}"/>
    <cellStyle name="Normal 2 2 10 32 5 3" xfId="8979" xr:uid="{00000000-0005-0000-0000-000013230000}"/>
    <cellStyle name="Normal 2 2 10 32 5 4" xfId="8980" xr:uid="{00000000-0005-0000-0000-000014230000}"/>
    <cellStyle name="Normal 2 2 10 32 5 5" xfId="8981" xr:uid="{00000000-0005-0000-0000-000015230000}"/>
    <cellStyle name="Normal 2 2 10 32 5 6" xfId="8982" xr:uid="{00000000-0005-0000-0000-000016230000}"/>
    <cellStyle name="Normal 2 2 10 32 5 7" xfId="8983" xr:uid="{00000000-0005-0000-0000-000017230000}"/>
    <cellStyle name="Normal 2 2 10 32 5 8" xfId="8984" xr:uid="{00000000-0005-0000-0000-000018230000}"/>
    <cellStyle name="Normal 2 2 10 32 5 9" xfId="8985" xr:uid="{00000000-0005-0000-0000-000019230000}"/>
    <cellStyle name="Normal 2 2 10 32 6" xfId="8986" xr:uid="{00000000-0005-0000-0000-00001A230000}"/>
    <cellStyle name="Normal 2 2 10 32 7" xfId="8987" xr:uid="{00000000-0005-0000-0000-00001B230000}"/>
    <cellStyle name="Normal 2 2 10 32 8" xfId="8988" xr:uid="{00000000-0005-0000-0000-00001C230000}"/>
    <cellStyle name="Normal 2 2 10 32 9" xfId="8989" xr:uid="{00000000-0005-0000-0000-00001D230000}"/>
    <cellStyle name="Normal 2 2 10 33" xfId="8990" xr:uid="{00000000-0005-0000-0000-00001E230000}"/>
    <cellStyle name="Normal 2 2 10 33 10" xfId="8991" xr:uid="{00000000-0005-0000-0000-00001F230000}"/>
    <cellStyle name="Normal 2 2 10 33 11" xfId="8992" xr:uid="{00000000-0005-0000-0000-000020230000}"/>
    <cellStyle name="Normal 2 2 10 33 12" xfId="8993" xr:uid="{00000000-0005-0000-0000-000021230000}"/>
    <cellStyle name="Normal 2 2 10 33 13" xfId="8994" xr:uid="{00000000-0005-0000-0000-000022230000}"/>
    <cellStyle name="Normal 2 2 10 33 14" xfId="8995" xr:uid="{00000000-0005-0000-0000-000023230000}"/>
    <cellStyle name="Normal 2 2 10 33 2" xfId="8996" xr:uid="{00000000-0005-0000-0000-000024230000}"/>
    <cellStyle name="Normal 2 2 10 33 2 10" xfId="8997" xr:uid="{00000000-0005-0000-0000-000025230000}"/>
    <cellStyle name="Normal 2 2 10 33 2 2" xfId="8998" xr:uid="{00000000-0005-0000-0000-000026230000}"/>
    <cellStyle name="Normal 2 2 10 33 2 3" xfId="8999" xr:uid="{00000000-0005-0000-0000-000027230000}"/>
    <cellStyle name="Normal 2 2 10 33 2 4" xfId="9000" xr:uid="{00000000-0005-0000-0000-000028230000}"/>
    <cellStyle name="Normal 2 2 10 33 2 5" xfId="9001" xr:uid="{00000000-0005-0000-0000-000029230000}"/>
    <cellStyle name="Normal 2 2 10 33 2 6" xfId="9002" xr:uid="{00000000-0005-0000-0000-00002A230000}"/>
    <cellStyle name="Normal 2 2 10 33 2 7" xfId="9003" xr:uid="{00000000-0005-0000-0000-00002B230000}"/>
    <cellStyle name="Normal 2 2 10 33 2 8" xfId="9004" xr:uid="{00000000-0005-0000-0000-00002C230000}"/>
    <cellStyle name="Normal 2 2 10 33 2 9" xfId="9005" xr:uid="{00000000-0005-0000-0000-00002D230000}"/>
    <cellStyle name="Normal 2 2 10 33 3" xfId="9006" xr:uid="{00000000-0005-0000-0000-00002E230000}"/>
    <cellStyle name="Normal 2 2 10 33 3 10" xfId="9007" xr:uid="{00000000-0005-0000-0000-00002F230000}"/>
    <cellStyle name="Normal 2 2 10 33 3 2" xfId="9008" xr:uid="{00000000-0005-0000-0000-000030230000}"/>
    <cellStyle name="Normal 2 2 10 33 3 3" xfId="9009" xr:uid="{00000000-0005-0000-0000-000031230000}"/>
    <cellStyle name="Normal 2 2 10 33 3 4" xfId="9010" xr:uid="{00000000-0005-0000-0000-000032230000}"/>
    <cellStyle name="Normal 2 2 10 33 3 5" xfId="9011" xr:uid="{00000000-0005-0000-0000-000033230000}"/>
    <cellStyle name="Normal 2 2 10 33 3 6" xfId="9012" xr:uid="{00000000-0005-0000-0000-000034230000}"/>
    <cellStyle name="Normal 2 2 10 33 3 7" xfId="9013" xr:uid="{00000000-0005-0000-0000-000035230000}"/>
    <cellStyle name="Normal 2 2 10 33 3 8" xfId="9014" xr:uid="{00000000-0005-0000-0000-000036230000}"/>
    <cellStyle name="Normal 2 2 10 33 3 9" xfId="9015" xr:uid="{00000000-0005-0000-0000-000037230000}"/>
    <cellStyle name="Normal 2 2 10 33 4" xfId="9016" xr:uid="{00000000-0005-0000-0000-000038230000}"/>
    <cellStyle name="Normal 2 2 10 33 4 10" xfId="9017" xr:uid="{00000000-0005-0000-0000-000039230000}"/>
    <cellStyle name="Normal 2 2 10 33 4 2" xfId="9018" xr:uid="{00000000-0005-0000-0000-00003A230000}"/>
    <cellStyle name="Normal 2 2 10 33 4 3" xfId="9019" xr:uid="{00000000-0005-0000-0000-00003B230000}"/>
    <cellStyle name="Normal 2 2 10 33 4 4" xfId="9020" xr:uid="{00000000-0005-0000-0000-00003C230000}"/>
    <cellStyle name="Normal 2 2 10 33 4 5" xfId="9021" xr:uid="{00000000-0005-0000-0000-00003D230000}"/>
    <cellStyle name="Normal 2 2 10 33 4 6" xfId="9022" xr:uid="{00000000-0005-0000-0000-00003E230000}"/>
    <cellStyle name="Normal 2 2 10 33 4 7" xfId="9023" xr:uid="{00000000-0005-0000-0000-00003F230000}"/>
    <cellStyle name="Normal 2 2 10 33 4 8" xfId="9024" xr:uid="{00000000-0005-0000-0000-000040230000}"/>
    <cellStyle name="Normal 2 2 10 33 4 9" xfId="9025" xr:uid="{00000000-0005-0000-0000-000041230000}"/>
    <cellStyle name="Normal 2 2 10 33 5" xfId="9026" xr:uid="{00000000-0005-0000-0000-000042230000}"/>
    <cellStyle name="Normal 2 2 10 33 5 10" xfId="9027" xr:uid="{00000000-0005-0000-0000-000043230000}"/>
    <cellStyle name="Normal 2 2 10 33 5 2" xfId="9028" xr:uid="{00000000-0005-0000-0000-000044230000}"/>
    <cellStyle name="Normal 2 2 10 33 5 3" xfId="9029" xr:uid="{00000000-0005-0000-0000-000045230000}"/>
    <cellStyle name="Normal 2 2 10 33 5 4" xfId="9030" xr:uid="{00000000-0005-0000-0000-000046230000}"/>
    <cellStyle name="Normal 2 2 10 33 5 5" xfId="9031" xr:uid="{00000000-0005-0000-0000-000047230000}"/>
    <cellStyle name="Normal 2 2 10 33 5 6" xfId="9032" xr:uid="{00000000-0005-0000-0000-000048230000}"/>
    <cellStyle name="Normal 2 2 10 33 5 7" xfId="9033" xr:uid="{00000000-0005-0000-0000-000049230000}"/>
    <cellStyle name="Normal 2 2 10 33 5 8" xfId="9034" xr:uid="{00000000-0005-0000-0000-00004A230000}"/>
    <cellStyle name="Normal 2 2 10 33 5 9" xfId="9035" xr:uid="{00000000-0005-0000-0000-00004B230000}"/>
    <cellStyle name="Normal 2 2 10 33 6" xfId="9036" xr:uid="{00000000-0005-0000-0000-00004C230000}"/>
    <cellStyle name="Normal 2 2 10 33 7" xfId="9037" xr:uid="{00000000-0005-0000-0000-00004D230000}"/>
    <cellStyle name="Normal 2 2 10 33 8" xfId="9038" xr:uid="{00000000-0005-0000-0000-00004E230000}"/>
    <cellStyle name="Normal 2 2 10 33 9" xfId="9039" xr:uid="{00000000-0005-0000-0000-00004F230000}"/>
    <cellStyle name="Normal 2 2 10 34" xfId="9040" xr:uid="{00000000-0005-0000-0000-000050230000}"/>
    <cellStyle name="Normal 2 2 10 34 10" xfId="9041" xr:uid="{00000000-0005-0000-0000-000051230000}"/>
    <cellStyle name="Normal 2 2 10 34 11" xfId="9042" xr:uid="{00000000-0005-0000-0000-000052230000}"/>
    <cellStyle name="Normal 2 2 10 34 12" xfId="9043" xr:uid="{00000000-0005-0000-0000-000053230000}"/>
    <cellStyle name="Normal 2 2 10 34 13" xfId="9044" xr:uid="{00000000-0005-0000-0000-000054230000}"/>
    <cellStyle name="Normal 2 2 10 34 14" xfId="9045" xr:uid="{00000000-0005-0000-0000-000055230000}"/>
    <cellStyle name="Normal 2 2 10 34 2" xfId="9046" xr:uid="{00000000-0005-0000-0000-000056230000}"/>
    <cellStyle name="Normal 2 2 10 34 2 10" xfId="9047" xr:uid="{00000000-0005-0000-0000-000057230000}"/>
    <cellStyle name="Normal 2 2 10 34 2 2" xfId="9048" xr:uid="{00000000-0005-0000-0000-000058230000}"/>
    <cellStyle name="Normal 2 2 10 34 2 3" xfId="9049" xr:uid="{00000000-0005-0000-0000-000059230000}"/>
    <cellStyle name="Normal 2 2 10 34 2 4" xfId="9050" xr:uid="{00000000-0005-0000-0000-00005A230000}"/>
    <cellStyle name="Normal 2 2 10 34 2 5" xfId="9051" xr:uid="{00000000-0005-0000-0000-00005B230000}"/>
    <cellStyle name="Normal 2 2 10 34 2 6" xfId="9052" xr:uid="{00000000-0005-0000-0000-00005C230000}"/>
    <cellStyle name="Normal 2 2 10 34 2 7" xfId="9053" xr:uid="{00000000-0005-0000-0000-00005D230000}"/>
    <cellStyle name="Normal 2 2 10 34 2 8" xfId="9054" xr:uid="{00000000-0005-0000-0000-00005E230000}"/>
    <cellStyle name="Normal 2 2 10 34 2 9" xfId="9055" xr:uid="{00000000-0005-0000-0000-00005F230000}"/>
    <cellStyle name="Normal 2 2 10 34 3" xfId="9056" xr:uid="{00000000-0005-0000-0000-000060230000}"/>
    <cellStyle name="Normal 2 2 10 34 3 10" xfId="9057" xr:uid="{00000000-0005-0000-0000-000061230000}"/>
    <cellStyle name="Normal 2 2 10 34 3 2" xfId="9058" xr:uid="{00000000-0005-0000-0000-000062230000}"/>
    <cellStyle name="Normal 2 2 10 34 3 3" xfId="9059" xr:uid="{00000000-0005-0000-0000-000063230000}"/>
    <cellStyle name="Normal 2 2 10 34 3 4" xfId="9060" xr:uid="{00000000-0005-0000-0000-000064230000}"/>
    <cellStyle name="Normal 2 2 10 34 3 5" xfId="9061" xr:uid="{00000000-0005-0000-0000-000065230000}"/>
    <cellStyle name="Normal 2 2 10 34 3 6" xfId="9062" xr:uid="{00000000-0005-0000-0000-000066230000}"/>
    <cellStyle name="Normal 2 2 10 34 3 7" xfId="9063" xr:uid="{00000000-0005-0000-0000-000067230000}"/>
    <cellStyle name="Normal 2 2 10 34 3 8" xfId="9064" xr:uid="{00000000-0005-0000-0000-000068230000}"/>
    <cellStyle name="Normal 2 2 10 34 3 9" xfId="9065" xr:uid="{00000000-0005-0000-0000-000069230000}"/>
    <cellStyle name="Normal 2 2 10 34 4" xfId="9066" xr:uid="{00000000-0005-0000-0000-00006A230000}"/>
    <cellStyle name="Normal 2 2 10 34 4 10" xfId="9067" xr:uid="{00000000-0005-0000-0000-00006B230000}"/>
    <cellStyle name="Normal 2 2 10 34 4 2" xfId="9068" xr:uid="{00000000-0005-0000-0000-00006C230000}"/>
    <cellStyle name="Normal 2 2 10 34 4 3" xfId="9069" xr:uid="{00000000-0005-0000-0000-00006D230000}"/>
    <cellStyle name="Normal 2 2 10 34 4 4" xfId="9070" xr:uid="{00000000-0005-0000-0000-00006E230000}"/>
    <cellStyle name="Normal 2 2 10 34 4 5" xfId="9071" xr:uid="{00000000-0005-0000-0000-00006F230000}"/>
    <cellStyle name="Normal 2 2 10 34 4 6" xfId="9072" xr:uid="{00000000-0005-0000-0000-000070230000}"/>
    <cellStyle name="Normal 2 2 10 34 4 7" xfId="9073" xr:uid="{00000000-0005-0000-0000-000071230000}"/>
    <cellStyle name="Normal 2 2 10 34 4 8" xfId="9074" xr:uid="{00000000-0005-0000-0000-000072230000}"/>
    <cellStyle name="Normal 2 2 10 34 4 9" xfId="9075" xr:uid="{00000000-0005-0000-0000-000073230000}"/>
    <cellStyle name="Normal 2 2 10 34 5" xfId="9076" xr:uid="{00000000-0005-0000-0000-000074230000}"/>
    <cellStyle name="Normal 2 2 10 34 5 10" xfId="9077" xr:uid="{00000000-0005-0000-0000-000075230000}"/>
    <cellStyle name="Normal 2 2 10 34 5 2" xfId="9078" xr:uid="{00000000-0005-0000-0000-000076230000}"/>
    <cellStyle name="Normal 2 2 10 34 5 3" xfId="9079" xr:uid="{00000000-0005-0000-0000-000077230000}"/>
    <cellStyle name="Normal 2 2 10 34 5 4" xfId="9080" xr:uid="{00000000-0005-0000-0000-000078230000}"/>
    <cellStyle name="Normal 2 2 10 34 5 5" xfId="9081" xr:uid="{00000000-0005-0000-0000-000079230000}"/>
    <cellStyle name="Normal 2 2 10 34 5 6" xfId="9082" xr:uid="{00000000-0005-0000-0000-00007A230000}"/>
    <cellStyle name="Normal 2 2 10 34 5 7" xfId="9083" xr:uid="{00000000-0005-0000-0000-00007B230000}"/>
    <cellStyle name="Normal 2 2 10 34 5 8" xfId="9084" xr:uid="{00000000-0005-0000-0000-00007C230000}"/>
    <cellStyle name="Normal 2 2 10 34 5 9" xfId="9085" xr:uid="{00000000-0005-0000-0000-00007D230000}"/>
    <cellStyle name="Normal 2 2 10 34 6" xfId="9086" xr:uid="{00000000-0005-0000-0000-00007E230000}"/>
    <cellStyle name="Normal 2 2 10 34 7" xfId="9087" xr:uid="{00000000-0005-0000-0000-00007F230000}"/>
    <cellStyle name="Normal 2 2 10 34 8" xfId="9088" xr:uid="{00000000-0005-0000-0000-000080230000}"/>
    <cellStyle name="Normal 2 2 10 34 9" xfId="9089" xr:uid="{00000000-0005-0000-0000-000081230000}"/>
    <cellStyle name="Normal 2 2 10 35" xfId="9090" xr:uid="{00000000-0005-0000-0000-000082230000}"/>
    <cellStyle name="Normal 2 2 10 35 10" xfId="9091" xr:uid="{00000000-0005-0000-0000-000083230000}"/>
    <cellStyle name="Normal 2 2 10 35 2" xfId="9092" xr:uid="{00000000-0005-0000-0000-000084230000}"/>
    <cellStyle name="Normal 2 2 10 35 3" xfId="9093" xr:uid="{00000000-0005-0000-0000-000085230000}"/>
    <cellStyle name="Normal 2 2 10 35 4" xfId="9094" xr:uid="{00000000-0005-0000-0000-000086230000}"/>
    <cellStyle name="Normal 2 2 10 35 5" xfId="9095" xr:uid="{00000000-0005-0000-0000-000087230000}"/>
    <cellStyle name="Normal 2 2 10 35 6" xfId="9096" xr:uid="{00000000-0005-0000-0000-000088230000}"/>
    <cellStyle name="Normal 2 2 10 35 7" xfId="9097" xr:uid="{00000000-0005-0000-0000-000089230000}"/>
    <cellStyle name="Normal 2 2 10 35 8" xfId="9098" xr:uid="{00000000-0005-0000-0000-00008A230000}"/>
    <cellStyle name="Normal 2 2 10 35 9" xfId="9099" xr:uid="{00000000-0005-0000-0000-00008B230000}"/>
    <cellStyle name="Normal 2 2 10 36" xfId="9100" xr:uid="{00000000-0005-0000-0000-00008C230000}"/>
    <cellStyle name="Normal 2 2 10 36 10" xfId="9101" xr:uid="{00000000-0005-0000-0000-00008D230000}"/>
    <cellStyle name="Normal 2 2 10 36 2" xfId="9102" xr:uid="{00000000-0005-0000-0000-00008E230000}"/>
    <cellStyle name="Normal 2 2 10 36 3" xfId="9103" xr:uid="{00000000-0005-0000-0000-00008F230000}"/>
    <cellStyle name="Normal 2 2 10 36 4" xfId="9104" xr:uid="{00000000-0005-0000-0000-000090230000}"/>
    <cellStyle name="Normal 2 2 10 36 5" xfId="9105" xr:uid="{00000000-0005-0000-0000-000091230000}"/>
    <cellStyle name="Normal 2 2 10 36 6" xfId="9106" xr:uid="{00000000-0005-0000-0000-000092230000}"/>
    <cellStyle name="Normal 2 2 10 36 7" xfId="9107" xr:uid="{00000000-0005-0000-0000-000093230000}"/>
    <cellStyle name="Normal 2 2 10 36 8" xfId="9108" xr:uid="{00000000-0005-0000-0000-000094230000}"/>
    <cellStyle name="Normal 2 2 10 36 9" xfId="9109" xr:uid="{00000000-0005-0000-0000-000095230000}"/>
    <cellStyle name="Normal 2 2 10 37" xfId="9110" xr:uid="{00000000-0005-0000-0000-000096230000}"/>
    <cellStyle name="Normal 2 2 10 37 10" xfId="9111" xr:uid="{00000000-0005-0000-0000-000097230000}"/>
    <cellStyle name="Normal 2 2 10 37 2" xfId="9112" xr:uid="{00000000-0005-0000-0000-000098230000}"/>
    <cellStyle name="Normal 2 2 10 37 3" xfId="9113" xr:uid="{00000000-0005-0000-0000-000099230000}"/>
    <cellStyle name="Normal 2 2 10 37 4" xfId="9114" xr:uid="{00000000-0005-0000-0000-00009A230000}"/>
    <cellStyle name="Normal 2 2 10 37 5" xfId="9115" xr:uid="{00000000-0005-0000-0000-00009B230000}"/>
    <cellStyle name="Normal 2 2 10 37 6" xfId="9116" xr:uid="{00000000-0005-0000-0000-00009C230000}"/>
    <cellStyle name="Normal 2 2 10 37 7" xfId="9117" xr:uid="{00000000-0005-0000-0000-00009D230000}"/>
    <cellStyle name="Normal 2 2 10 37 8" xfId="9118" xr:uid="{00000000-0005-0000-0000-00009E230000}"/>
    <cellStyle name="Normal 2 2 10 37 9" xfId="9119" xr:uid="{00000000-0005-0000-0000-00009F230000}"/>
    <cellStyle name="Normal 2 2 10 38" xfId="9120" xr:uid="{00000000-0005-0000-0000-0000A0230000}"/>
    <cellStyle name="Normal 2 2 10 38 10" xfId="9121" xr:uid="{00000000-0005-0000-0000-0000A1230000}"/>
    <cellStyle name="Normal 2 2 10 38 2" xfId="9122" xr:uid="{00000000-0005-0000-0000-0000A2230000}"/>
    <cellStyle name="Normal 2 2 10 38 3" xfId="9123" xr:uid="{00000000-0005-0000-0000-0000A3230000}"/>
    <cellStyle name="Normal 2 2 10 38 4" xfId="9124" xr:uid="{00000000-0005-0000-0000-0000A4230000}"/>
    <cellStyle name="Normal 2 2 10 38 5" xfId="9125" xr:uid="{00000000-0005-0000-0000-0000A5230000}"/>
    <cellStyle name="Normal 2 2 10 38 6" xfId="9126" xr:uid="{00000000-0005-0000-0000-0000A6230000}"/>
    <cellStyle name="Normal 2 2 10 38 7" xfId="9127" xr:uid="{00000000-0005-0000-0000-0000A7230000}"/>
    <cellStyle name="Normal 2 2 10 38 8" xfId="9128" xr:uid="{00000000-0005-0000-0000-0000A8230000}"/>
    <cellStyle name="Normal 2 2 10 38 9" xfId="9129" xr:uid="{00000000-0005-0000-0000-0000A9230000}"/>
    <cellStyle name="Normal 2 2 10 39" xfId="9130" xr:uid="{00000000-0005-0000-0000-0000AA230000}"/>
    <cellStyle name="Normal 2 2 10 4" xfId="9131" xr:uid="{00000000-0005-0000-0000-0000AB230000}"/>
    <cellStyle name="Normal 2 2 10 4 10" xfId="9132" xr:uid="{00000000-0005-0000-0000-0000AC230000}"/>
    <cellStyle name="Normal 2 2 10 4 11" xfId="9133" xr:uid="{00000000-0005-0000-0000-0000AD230000}"/>
    <cellStyle name="Normal 2 2 10 4 12" xfId="9134" xr:uid="{00000000-0005-0000-0000-0000AE230000}"/>
    <cellStyle name="Normal 2 2 10 4 13" xfId="9135" xr:uid="{00000000-0005-0000-0000-0000AF230000}"/>
    <cellStyle name="Normal 2 2 10 4 14" xfId="9136" xr:uid="{00000000-0005-0000-0000-0000B0230000}"/>
    <cellStyle name="Normal 2 2 10 4 2" xfId="9137" xr:uid="{00000000-0005-0000-0000-0000B1230000}"/>
    <cellStyle name="Normal 2 2 10 4 2 10" xfId="9138" xr:uid="{00000000-0005-0000-0000-0000B2230000}"/>
    <cellStyle name="Normal 2 2 10 4 2 2" xfId="9139" xr:uid="{00000000-0005-0000-0000-0000B3230000}"/>
    <cellStyle name="Normal 2 2 10 4 2 3" xfId="9140" xr:uid="{00000000-0005-0000-0000-0000B4230000}"/>
    <cellStyle name="Normal 2 2 10 4 2 4" xfId="9141" xr:uid="{00000000-0005-0000-0000-0000B5230000}"/>
    <cellStyle name="Normal 2 2 10 4 2 5" xfId="9142" xr:uid="{00000000-0005-0000-0000-0000B6230000}"/>
    <cellStyle name="Normal 2 2 10 4 2 6" xfId="9143" xr:uid="{00000000-0005-0000-0000-0000B7230000}"/>
    <cellStyle name="Normal 2 2 10 4 2 7" xfId="9144" xr:uid="{00000000-0005-0000-0000-0000B8230000}"/>
    <cellStyle name="Normal 2 2 10 4 2 8" xfId="9145" xr:uid="{00000000-0005-0000-0000-0000B9230000}"/>
    <cellStyle name="Normal 2 2 10 4 2 9" xfId="9146" xr:uid="{00000000-0005-0000-0000-0000BA230000}"/>
    <cellStyle name="Normal 2 2 10 4 3" xfId="9147" xr:uid="{00000000-0005-0000-0000-0000BB230000}"/>
    <cellStyle name="Normal 2 2 10 4 3 10" xfId="9148" xr:uid="{00000000-0005-0000-0000-0000BC230000}"/>
    <cellStyle name="Normal 2 2 10 4 3 2" xfId="9149" xr:uid="{00000000-0005-0000-0000-0000BD230000}"/>
    <cellStyle name="Normal 2 2 10 4 3 3" xfId="9150" xr:uid="{00000000-0005-0000-0000-0000BE230000}"/>
    <cellStyle name="Normal 2 2 10 4 3 4" xfId="9151" xr:uid="{00000000-0005-0000-0000-0000BF230000}"/>
    <cellStyle name="Normal 2 2 10 4 3 5" xfId="9152" xr:uid="{00000000-0005-0000-0000-0000C0230000}"/>
    <cellStyle name="Normal 2 2 10 4 3 6" xfId="9153" xr:uid="{00000000-0005-0000-0000-0000C1230000}"/>
    <cellStyle name="Normal 2 2 10 4 3 7" xfId="9154" xr:uid="{00000000-0005-0000-0000-0000C2230000}"/>
    <cellStyle name="Normal 2 2 10 4 3 8" xfId="9155" xr:uid="{00000000-0005-0000-0000-0000C3230000}"/>
    <cellStyle name="Normal 2 2 10 4 3 9" xfId="9156" xr:uid="{00000000-0005-0000-0000-0000C4230000}"/>
    <cellStyle name="Normal 2 2 10 4 4" xfId="9157" xr:uid="{00000000-0005-0000-0000-0000C5230000}"/>
    <cellStyle name="Normal 2 2 10 4 4 10" xfId="9158" xr:uid="{00000000-0005-0000-0000-0000C6230000}"/>
    <cellStyle name="Normal 2 2 10 4 4 2" xfId="9159" xr:uid="{00000000-0005-0000-0000-0000C7230000}"/>
    <cellStyle name="Normal 2 2 10 4 4 3" xfId="9160" xr:uid="{00000000-0005-0000-0000-0000C8230000}"/>
    <cellStyle name="Normal 2 2 10 4 4 4" xfId="9161" xr:uid="{00000000-0005-0000-0000-0000C9230000}"/>
    <cellStyle name="Normal 2 2 10 4 4 5" xfId="9162" xr:uid="{00000000-0005-0000-0000-0000CA230000}"/>
    <cellStyle name="Normal 2 2 10 4 4 6" xfId="9163" xr:uid="{00000000-0005-0000-0000-0000CB230000}"/>
    <cellStyle name="Normal 2 2 10 4 4 7" xfId="9164" xr:uid="{00000000-0005-0000-0000-0000CC230000}"/>
    <cellStyle name="Normal 2 2 10 4 4 8" xfId="9165" xr:uid="{00000000-0005-0000-0000-0000CD230000}"/>
    <cellStyle name="Normal 2 2 10 4 4 9" xfId="9166" xr:uid="{00000000-0005-0000-0000-0000CE230000}"/>
    <cellStyle name="Normal 2 2 10 4 5" xfId="9167" xr:uid="{00000000-0005-0000-0000-0000CF230000}"/>
    <cellStyle name="Normal 2 2 10 4 5 10" xfId="9168" xr:uid="{00000000-0005-0000-0000-0000D0230000}"/>
    <cellStyle name="Normal 2 2 10 4 5 2" xfId="9169" xr:uid="{00000000-0005-0000-0000-0000D1230000}"/>
    <cellStyle name="Normal 2 2 10 4 5 3" xfId="9170" xr:uid="{00000000-0005-0000-0000-0000D2230000}"/>
    <cellStyle name="Normal 2 2 10 4 5 4" xfId="9171" xr:uid="{00000000-0005-0000-0000-0000D3230000}"/>
    <cellStyle name="Normal 2 2 10 4 5 5" xfId="9172" xr:uid="{00000000-0005-0000-0000-0000D4230000}"/>
    <cellStyle name="Normal 2 2 10 4 5 6" xfId="9173" xr:uid="{00000000-0005-0000-0000-0000D5230000}"/>
    <cellStyle name="Normal 2 2 10 4 5 7" xfId="9174" xr:uid="{00000000-0005-0000-0000-0000D6230000}"/>
    <cellStyle name="Normal 2 2 10 4 5 8" xfId="9175" xr:uid="{00000000-0005-0000-0000-0000D7230000}"/>
    <cellStyle name="Normal 2 2 10 4 5 9" xfId="9176" xr:uid="{00000000-0005-0000-0000-0000D8230000}"/>
    <cellStyle name="Normal 2 2 10 4 6" xfId="9177" xr:uid="{00000000-0005-0000-0000-0000D9230000}"/>
    <cellStyle name="Normal 2 2 10 4 7" xfId="9178" xr:uid="{00000000-0005-0000-0000-0000DA230000}"/>
    <cellStyle name="Normal 2 2 10 4 8" xfId="9179" xr:uid="{00000000-0005-0000-0000-0000DB230000}"/>
    <cellStyle name="Normal 2 2 10 4 9" xfId="9180" xr:uid="{00000000-0005-0000-0000-0000DC230000}"/>
    <cellStyle name="Normal 2 2 10 40" xfId="9181" xr:uid="{00000000-0005-0000-0000-0000DD230000}"/>
    <cellStyle name="Normal 2 2 10 41" xfId="9182" xr:uid="{00000000-0005-0000-0000-0000DE230000}"/>
    <cellStyle name="Normal 2 2 10 42" xfId="9183" xr:uid="{00000000-0005-0000-0000-0000DF230000}"/>
    <cellStyle name="Normal 2 2 10 43" xfId="9184" xr:uid="{00000000-0005-0000-0000-0000E0230000}"/>
    <cellStyle name="Normal 2 2 10 44" xfId="9185" xr:uid="{00000000-0005-0000-0000-0000E1230000}"/>
    <cellStyle name="Normal 2 2 10 45" xfId="9186" xr:uid="{00000000-0005-0000-0000-0000E2230000}"/>
    <cellStyle name="Normal 2 2 10 46" xfId="9187" xr:uid="{00000000-0005-0000-0000-0000E3230000}"/>
    <cellStyle name="Normal 2 2 10 47" xfId="9188" xr:uid="{00000000-0005-0000-0000-0000E4230000}"/>
    <cellStyle name="Normal 2 2 10 5" xfId="9189" xr:uid="{00000000-0005-0000-0000-0000E5230000}"/>
    <cellStyle name="Normal 2 2 10 5 10" xfId="9190" xr:uid="{00000000-0005-0000-0000-0000E6230000}"/>
    <cellStyle name="Normal 2 2 10 5 11" xfId="9191" xr:uid="{00000000-0005-0000-0000-0000E7230000}"/>
    <cellStyle name="Normal 2 2 10 5 12" xfId="9192" xr:uid="{00000000-0005-0000-0000-0000E8230000}"/>
    <cellStyle name="Normal 2 2 10 5 13" xfId="9193" xr:uid="{00000000-0005-0000-0000-0000E9230000}"/>
    <cellStyle name="Normal 2 2 10 5 14" xfId="9194" xr:uid="{00000000-0005-0000-0000-0000EA230000}"/>
    <cellStyle name="Normal 2 2 10 5 2" xfId="9195" xr:uid="{00000000-0005-0000-0000-0000EB230000}"/>
    <cellStyle name="Normal 2 2 10 5 2 10" xfId="9196" xr:uid="{00000000-0005-0000-0000-0000EC230000}"/>
    <cellStyle name="Normal 2 2 10 5 2 2" xfId="9197" xr:uid="{00000000-0005-0000-0000-0000ED230000}"/>
    <cellStyle name="Normal 2 2 10 5 2 3" xfId="9198" xr:uid="{00000000-0005-0000-0000-0000EE230000}"/>
    <cellStyle name="Normal 2 2 10 5 2 4" xfId="9199" xr:uid="{00000000-0005-0000-0000-0000EF230000}"/>
    <cellStyle name="Normal 2 2 10 5 2 5" xfId="9200" xr:uid="{00000000-0005-0000-0000-0000F0230000}"/>
    <cellStyle name="Normal 2 2 10 5 2 6" xfId="9201" xr:uid="{00000000-0005-0000-0000-0000F1230000}"/>
    <cellStyle name="Normal 2 2 10 5 2 7" xfId="9202" xr:uid="{00000000-0005-0000-0000-0000F2230000}"/>
    <cellStyle name="Normal 2 2 10 5 2 8" xfId="9203" xr:uid="{00000000-0005-0000-0000-0000F3230000}"/>
    <cellStyle name="Normal 2 2 10 5 2 9" xfId="9204" xr:uid="{00000000-0005-0000-0000-0000F4230000}"/>
    <cellStyle name="Normal 2 2 10 5 3" xfId="9205" xr:uid="{00000000-0005-0000-0000-0000F5230000}"/>
    <cellStyle name="Normal 2 2 10 5 3 10" xfId="9206" xr:uid="{00000000-0005-0000-0000-0000F6230000}"/>
    <cellStyle name="Normal 2 2 10 5 3 2" xfId="9207" xr:uid="{00000000-0005-0000-0000-0000F7230000}"/>
    <cellStyle name="Normal 2 2 10 5 3 3" xfId="9208" xr:uid="{00000000-0005-0000-0000-0000F8230000}"/>
    <cellStyle name="Normal 2 2 10 5 3 4" xfId="9209" xr:uid="{00000000-0005-0000-0000-0000F9230000}"/>
    <cellStyle name="Normal 2 2 10 5 3 5" xfId="9210" xr:uid="{00000000-0005-0000-0000-0000FA230000}"/>
    <cellStyle name="Normal 2 2 10 5 3 6" xfId="9211" xr:uid="{00000000-0005-0000-0000-0000FB230000}"/>
    <cellStyle name="Normal 2 2 10 5 3 7" xfId="9212" xr:uid="{00000000-0005-0000-0000-0000FC230000}"/>
    <cellStyle name="Normal 2 2 10 5 3 8" xfId="9213" xr:uid="{00000000-0005-0000-0000-0000FD230000}"/>
    <cellStyle name="Normal 2 2 10 5 3 9" xfId="9214" xr:uid="{00000000-0005-0000-0000-0000FE230000}"/>
    <cellStyle name="Normal 2 2 10 5 4" xfId="9215" xr:uid="{00000000-0005-0000-0000-0000FF230000}"/>
    <cellStyle name="Normal 2 2 10 5 4 10" xfId="9216" xr:uid="{00000000-0005-0000-0000-000000240000}"/>
    <cellStyle name="Normal 2 2 10 5 4 2" xfId="9217" xr:uid="{00000000-0005-0000-0000-000001240000}"/>
    <cellStyle name="Normal 2 2 10 5 4 3" xfId="9218" xr:uid="{00000000-0005-0000-0000-000002240000}"/>
    <cellStyle name="Normal 2 2 10 5 4 4" xfId="9219" xr:uid="{00000000-0005-0000-0000-000003240000}"/>
    <cellStyle name="Normal 2 2 10 5 4 5" xfId="9220" xr:uid="{00000000-0005-0000-0000-000004240000}"/>
    <cellStyle name="Normal 2 2 10 5 4 6" xfId="9221" xr:uid="{00000000-0005-0000-0000-000005240000}"/>
    <cellStyle name="Normal 2 2 10 5 4 7" xfId="9222" xr:uid="{00000000-0005-0000-0000-000006240000}"/>
    <cellStyle name="Normal 2 2 10 5 4 8" xfId="9223" xr:uid="{00000000-0005-0000-0000-000007240000}"/>
    <cellStyle name="Normal 2 2 10 5 4 9" xfId="9224" xr:uid="{00000000-0005-0000-0000-000008240000}"/>
    <cellStyle name="Normal 2 2 10 5 5" xfId="9225" xr:uid="{00000000-0005-0000-0000-000009240000}"/>
    <cellStyle name="Normal 2 2 10 5 5 10" xfId="9226" xr:uid="{00000000-0005-0000-0000-00000A240000}"/>
    <cellStyle name="Normal 2 2 10 5 5 2" xfId="9227" xr:uid="{00000000-0005-0000-0000-00000B240000}"/>
    <cellStyle name="Normal 2 2 10 5 5 3" xfId="9228" xr:uid="{00000000-0005-0000-0000-00000C240000}"/>
    <cellStyle name="Normal 2 2 10 5 5 4" xfId="9229" xr:uid="{00000000-0005-0000-0000-00000D240000}"/>
    <cellStyle name="Normal 2 2 10 5 5 5" xfId="9230" xr:uid="{00000000-0005-0000-0000-00000E240000}"/>
    <cellStyle name="Normal 2 2 10 5 5 6" xfId="9231" xr:uid="{00000000-0005-0000-0000-00000F240000}"/>
    <cellStyle name="Normal 2 2 10 5 5 7" xfId="9232" xr:uid="{00000000-0005-0000-0000-000010240000}"/>
    <cellStyle name="Normal 2 2 10 5 5 8" xfId="9233" xr:uid="{00000000-0005-0000-0000-000011240000}"/>
    <cellStyle name="Normal 2 2 10 5 5 9" xfId="9234" xr:uid="{00000000-0005-0000-0000-000012240000}"/>
    <cellStyle name="Normal 2 2 10 5 6" xfId="9235" xr:uid="{00000000-0005-0000-0000-000013240000}"/>
    <cellStyle name="Normal 2 2 10 5 7" xfId="9236" xr:uid="{00000000-0005-0000-0000-000014240000}"/>
    <cellStyle name="Normal 2 2 10 5 8" xfId="9237" xr:uid="{00000000-0005-0000-0000-000015240000}"/>
    <cellStyle name="Normal 2 2 10 5 9" xfId="9238" xr:uid="{00000000-0005-0000-0000-000016240000}"/>
    <cellStyle name="Normal 2 2 10 6" xfId="9239" xr:uid="{00000000-0005-0000-0000-000017240000}"/>
    <cellStyle name="Normal 2 2 10 6 10" xfId="9240" xr:uid="{00000000-0005-0000-0000-000018240000}"/>
    <cellStyle name="Normal 2 2 10 6 11" xfId="9241" xr:uid="{00000000-0005-0000-0000-000019240000}"/>
    <cellStyle name="Normal 2 2 10 6 12" xfId="9242" xr:uid="{00000000-0005-0000-0000-00001A240000}"/>
    <cellStyle name="Normal 2 2 10 6 13" xfId="9243" xr:uid="{00000000-0005-0000-0000-00001B240000}"/>
    <cellStyle name="Normal 2 2 10 6 14" xfId="9244" xr:uid="{00000000-0005-0000-0000-00001C240000}"/>
    <cellStyle name="Normal 2 2 10 6 2" xfId="9245" xr:uid="{00000000-0005-0000-0000-00001D240000}"/>
    <cellStyle name="Normal 2 2 10 6 2 10" xfId="9246" xr:uid="{00000000-0005-0000-0000-00001E240000}"/>
    <cellStyle name="Normal 2 2 10 6 2 2" xfId="9247" xr:uid="{00000000-0005-0000-0000-00001F240000}"/>
    <cellStyle name="Normal 2 2 10 6 2 3" xfId="9248" xr:uid="{00000000-0005-0000-0000-000020240000}"/>
    <cellStyle name="Normal 2 2 10 6 2 4" xfId="9249" xr:uid="{00000000-0005-0000-0000-000021240000}"/>
    <cellStyle name="Normal 2 2 10 6 2 5" xfId="9250" xr:uid="{00000000-0005-0000-0000-000022240000}"/>
    <cellStyle name="Normal 2 2 10 6 2 6" xfId="9251" xr:uid="{00000000-0005-0000-0000-000023240000}"/>
    <cellStyle name="Normal 2 2 10 6 2 7" xfId="9252" xr:uid="{00000000-0005-0000-0000-000024240000}"/>
    <cellStyle name="Normal 2 2 10 6 2 8" xfId="9253" xr:uid="{00000000-0005-0000-0000-000025240000}"/>
    <cellStyle name="Normal 2 2 10 6 2 9" xfId="9254" xr:uid="{00000000-0005-0000-0000-000026240000}"/>
    <cellStyle name="Normal 2 2 10 6 3" xfId="9255" xr:uid="{00000000-0005-0000-0000-000027240000}"/>
    <cellStyle name="Normal 2 2 10 6 3 10" xfId="9256" xr:uid="{00000000-0005-0000-0000-000028240000}"/>
    <cellStyle name="Normal 2 2 10 6 3 2" xfId="9257" xr:uid="{00000000-0005-0000-0000-000029240000}"/>
    <cellStyle name="Normal 2 2 10 6 3 3" xfId="9258" xr:uid="{00000000-0005-0000-0000-00002A240000}"/>
    <cellStyle name="Normal 2 2 10 6 3 4" xfId="9259" xr:uid="{00000000-0005-0000-0000-00002B240000}"/>
    <cellStyle name="Normal 2 2 10 6 3 5" xfId="9260" xr:uid="{00000000-0005-0000-0000-00002C240000}"/>
    <cellStyle name="Normal 2 2 10 6 3 6" xfId="9261" xr:uid="{00000000-0005-0000-0000-00002D240000}"/>
    <cellStyle name="Normal 2 2 10 6 3 7" xfId="9262" xr:uid="{00000000-0005-0000-0000-00002E240000}"/>
    <cellStyle name="Normal 2 2 10 6 3 8" xfId="9263" xr:uid="{00000000-0005-0000-0000-00002F240000}"/>
    <cellStyle name="Normal 2 2 10 6 3 9" xfId="9264" xr:uid="{00000000-0005-0000-0000-000030240000}"/>
    <cellStyle name="Normal 2 2 10 6 4" xfId="9265" xr:uid="{00000000-0005-0000-0000-000031240000}"/>
    <cellStyle name="Normal 2 2 10 6 4 10" xfId="9266" xr:uid="{00000000-0005-0000-0000-000032240000}"/>
    <cellStyle name="Normal 2 2 10 6 4 2" xfId="9267" xr:uid="{00000000-0005-0000-0000-000033240000}"/>
    <cellStyle name="Normal 2 2 10 6 4 3" xfId="9268" xr:uid="{00000000-0005-0000-0000-000034240000}"/>
    <cellStyle name="Normal 2 2 10 6 4 4" xfId="9269" xr:uid="{00000000-0005-0000-0000-000035240000}"/>
    <cellStyle name="Normal 2 2 10 6 4 5" xfId="9270" xr:uid="{00000000-0005-0000-0000-000036240000}"/>
    <cellStyle name="Normal 2 2 10 6 4 6" xfId="9271" xr:uid="{00000000-0005-0000-0000-000037240000}"/>
    <cellStyle name="Normal 2 2 10 6 4 7" xfId="9272" xr:uid="{00000000-0005-0000-0000-000038240000}"/>
    <cellStyle name="Normal 2 2 10 6 4 8" xfId="9273" xr:uid="{00000000-0005-0000-0000-000039240000}"/>
    <cellStyle name="Normal 2 2 10 6 4 9" xfId="9274" xr:uid="{00000000-0005-0000-0000-00003A240000}"/>
    <cellStyle name="Normal 2 2 10 6 5" xfId="9275" xr:uid="{00000000-0005-0000-0000-00003B240000}"/>
    <cellStyle name="Normal 2 2 10 6 5 10" xfId="9276" xr:uid="{00000000-0005-0000-0000-00003C240000}"/>
    <cellStyle name="Normal 2 2 10 6 5 2" xfId="9277" xr:uid="{00000000-0005-0000-0000-00003D240000}"/>
    <cellStyle name="Normal 2 2 10 6 5 3" xfId="9278" xr:uid="{00000000-0005-0000-0000-00003E240000}"/>
    <cellStyle name="Normal 2 2 10 6 5 4" xfId="9279" xr:uid="{00000000-0005-0000-0000-00003F240000}"/>
    <cellStyle name="Normal 2 2 10 6 5 5" xfId="9280" xr:uid="{00000000-0005-0000-0000-000040240000}"/>
    <cellStyle name="Normal 2 2 10 6 5 6" xfId="9281" xr:uid="{00000000-0005-0000-0000-000041240000}"/>
    <cellStyle name="Normal 2 2 10 6 5 7" xfId="9282" xr:uid="{00000000-0005-0000-0000-000042240000}"/>
    <cellStyle name="Normal 2 2 10 6 5 8" xfId="9283" xr:uid="{00000000-0005-0000-0000-000043240000}"/>
    <cellStyle name="Normal 2 2 10 6 5 9" xfId="9284" xr:uid="{00000000-0005-0000-0000-000044240000}"/>
    <cellStyle name="Normal 2 2 10 6 6" xfId="9285" xr:uid="{00000000-0005-0000-0000-000045240000}"/>
    <cellStyle name="Normal 2 2 10 6 7" xfId="9286" xr:uid="{00000000-0005-0000-0000-000046240000}"/>
    <cellStyle name="Normal 2 2 10 6 8" xfId="9287" xr:uid="{00000000-0005-0000-0000-000047240000}"/>
    <cellStyle name="Normal 2 2 10 6 9" xfId="9288" xr:uid="{00000000-0005-0000-0000-000048240000}"/>
    <cellStyle name="Normal 2 2 10 7" xfId="9289" xr:uid="{00000000-0005-0000-0000-000049240000}"/>
    <cellStyle name="Normal 2 2 10 7 10" xfId="9290" xr:uid="{00000000-0005-0000-0000-00004A240000}"/>
    <cellStyle name="Normal 2 2 10 7 11" xfId="9291" xr:uid="{00000000-0005-0000-0000-00004B240000}"/>
    <cellStyle name="Normal 2 2 10 7 12" xfId="9292" xr:uid="{00000000-0005-0000-0000-00004C240000}"/>
    <cellStyle name="Normal 2 2 10 7 13" xfId="9293" xr:uid="{00000000-0005-0000-0000-00004D240000}"/>
    <cellStyle name="Normal 2 2 10 7 14" xfId="9294" xr:uid="{00000000-0005-0000-0000-00004E240000}"/>
    <cellStyle name="Normal 2 2 10 7 2" xfId="9295" xr:uid="{00000000-0005-0000-0000-00004F240000}"/>
    <cellStyle name="Normal 2 2 10 7 2 10" xfId="9296" xr:uid="{00000000-0005-0000-0000-000050240000}"/>
    <cellStyle name="Normal 2 2 10 7 2 2" xfId="9297" xr:uid="{00000000-0005-0000-0000-000051240000}"/>
    <cellStyle name="Normal 2 2 10 7 2 3" xfId="9298" xr:uid="{00000000-0005-0000-0000-000052240000}"/>
    <cellStyle name="Normal 2 2 10 7 2 4" xfId="9299" xr:uid="{00000000-0005-0000-0000-000053240000}"/>
    <cellStyle name="Normal 2 2 10 7 2 5" xfId="9300" xr:uid="{00000000-0005-0000-0000-000054240000}"/>
    <cellStyle name="Normal 2 2 10 7 2 6" xfId="9301" xr:uid="{00000000-0005-0000-0000-000055240000}"/>
    <cellStyle name="Normal 2 2 10 7 2 7" xfId="9302" xr:uid="{00000000-0005-0000-0000-000056240000}"/>
    <cellStyle name="Normal 2 2 10 7 2 8" xfId="9303" xr:uid="{00000000-0005-0000-0000-000057240000}"/>
    <cellStyle name="Normal 2 2 10 7 2 9" xfId="9304" xr:uid="{00000000-0005-0000-0000-000058240000}"/>
    <cellStyle name="Normal 2 2 10 7 3" xfId="9305" xr:uid="{00000000-0005-0000-0000-000059240000}"/>
    <cellStyle name="Normal 2 2 10 7 3 10" xfId="9306" xr:uid="{00000000-0005-0000-0000-00005A240000}"/>
    <cellStyle name="Normal 2 2 10 7 3 2" xfId="9307" xr:uid="{00000000-0005-0000-0000-00005B240000}"/>
    <cellStyle name="Normal 2 2 10 7 3 3" xfId="9308" xr:uid="{00000000-0005-0000-0000-00005C240000}"/>
    <cellStyle name="Normal 2 2 10 7 3 4" xfId="9309" xr:uid="{00000000-0005-0000-0000-00005D240000}"/>
    <cellStyle name="Normal 2 2 10 7 3 5" xfId="9310" xr:uid="{00000000-0005-0000-0000-00005E240000}"/>
    <cellStyle name="Normal 2 2 10 7 3 6" xfId="9311" xr:uid="{00000000-0005-0000-0000-00005F240000}"/>
    <cellStyle name="Normal 2 2 10 7 3 7" xfId="9312" xr:uid="{00000000-0005-0000-0000-000060240000}"/>
    <cellStyle name="Normal 2 2 10 7 3 8" xfId="9313" xr:uid="{00000000-0005-0000-0000-000061240000}"/>
    <cellStyle name="Normal 2 2 10 7 3 9" xfId="9314" xr:uid="{00000000-0005-0000-0000-000062240000}"/>
    <cellStyle name="Normal 2 2 10 7 4" xfId="9315" xr:uid="{00000000-0005-0000-0000-000063240000}"/>
    <cellStyle name="Normal 2 2 10 7 4 10" xfId="9316" xr:uid="{00000000-0005-0000-0000-000064240000}"/>
    <cellStyle name="Normal 2 2 10 7 4 2" xfId="9317" xr:uid="{00000000-0005-0000-0000-000065240000}"/>
    <cellStyle name="Normal 2 2 10 7 4 3" xfId="9318" xr:uid="{00000000-0005-0000-0000-000066240000}"/>
    <cellStyle name="Normal 2 2 10 7 4 4" xfId="9319" xr:uid="{00000000-0005-0000-0000-000067240000}"/>
    <cellStyle name="Normal 2 2 10 7 4 5" xfId="9320" xr:uid="{00000000-0005-0000-0000-000068240000}"/>
    <cellStyle name="Normal 2 2 10 7 4 6" xfId="9321" xr:uid="{00000000-0005-0000-0000-000069240000}"/>
    <cellStyle name="Normal 2 2 10 7 4 7" xfId="9322" xr:uid="{00000000-0005-0000-0000-00006A240000}"/>
    <cellStyle name="Normal 2 2 10 7 4 8" xfId="9323" xr:uid="{00000000-0005-0000-0000-00006B240000}"/>
    <cellStyle name="Normal 2 2 10 7 4 9" xfId="9324" xr:uid="{00000000-0005-0000-0000-00006C240000}"/>
    <cellStyle name="Normal 2 2 10 7 5" xfId="9325" xr:uid="{00000000-0005-0000-0000-00006D240000}"/>
    <cellStyle name="Normal 2 2 10 7 5 10" xfId="9326" xr:uid="{00000000-0005-0000-0000-00006E240000}"/>
    <cellStyle name="Normal 2 2 10 7 5 2" xfId="9327" xr:uid="{00000000-0005-0000-0000-00006F240000}"/>
    <cellStyle name="Normal 2 2 10 7 5 3" xfId="9328" xr:uid="{00000000-0005-0000-0000-000070240000}"/>
    <cellStyle name="Normal 2 2 10 7 5 4" xfId="9329" xr:uid="{00000000-0005-0000-0000-000071240000}"/>
    <cellStyle name="Normal 2 2 10 7 5 5" xfId="9330" xr:uid="{00000000-0005-0000-0000-000072240000}"/>
    <cellStyle name="Normal 2 2 10 7 5 6" xfId="9331" xr:uid="{00000000-0005-0000-0000-000073240000}"/>
    <cellStyle name="Normal 2 2 10 7 5 7" xfId="9332" xr:uid="{00000000-0005-0000-0000-000074240000}"/>
    <cellStyle name="Normal 2 2 10 7 5 8" xfId="9333" xr:uid="{00000000-0005-0000-0000-000075240000}"/>
    <cellStyle name="Normal 2 2 10 7 5 9" xfId="9334" xr:uid="{00000000-0005-0000-0000-000076240000}"/>
    <cellStyle name="Normal 2 2 10 7 6" xfId="9335" xr:uid="{00000000-0005-0000-0000-000077240000}"/>
    <cellStyle name="Normal 2 2 10 7 7" xfId="9336" xr:uid="{00000000-0005-0000-0000-000078240000}"/>
    <cellStyle name="Normal 2 2 10 7 8" xfId="9337" xr:uid="{00000000-0005-0000-0000-000079240000}"/>
    <cellStyle name="Normal 2 2 10 7 9" xfId="9338" xr:uid="{00000000-0005-0000-0000-00007A240000}"/>
    <cellStyle name="Normal 2 2 10 8" xfId="9339" xr:uid="{00000000-0005-0000-0000-00007B240000}"/>
    <cellStyle name="Normal 2 2 10 8 10" xfId="9340" xr:uid="{00000000-0005-0000-0000-00007C240000}"/>
    <cellStyle name="Normal 2 2 10 8 11" xfId="9341" xr:uid="{00000000-0005-0000-0000-00007D240000}"/>
    <cellStyle name="Normal 2 2 10 8 12" xfId="9342" xr:uid="{00000000-0005-0000-0000-00007E240000}"/>
    <cellStyle name="Normal 2 2 10 8 13" xfId="9343" xr:uid="{00000000-0005-0000-0000-00007F240000}"/>
    <cellStyle name="Normal 2 2 10 8 14" xfId="9344" xr:uid="{00000000-0005-0000-0000-000080240000}"/>
    <cellStyle name="Normal 2 2 10 8 2" xfId="9345" xr:uid="{00000000-0005-0000-0000-000081240000}"/>
    <cellStyle name="Normal 2 2 10 8 2 10" xfId="9346" xr:uid="{00000000-0005-0000-0000-000082240000}"/>
    <cellStyle name="Normal 2 2 10 8 2 2" xfId="9347" xr:uid="{00000000-0005-0000-0000-000083240000}"/>
    <cellStyle name="Normal 2 2 10 8 2 3" xfId="9348" xr:uid="{00000000-0005-0000-0000-000084240000}"/>
    <cellStyle name="Normal 2 2 10 8 2 4" xfId="9349" xr:uid="{00000000-0005-0000-0000-000085240000}"/>
    <cellStyle name="Normal 2 2 10 8 2 5" xfId="9350" xr:uid="{00000000-0005-0000-0000-000086240000}"/>
    <cellStyle name="Normal 2 2 10 8 2 6" xfId="9351" xr:uid="{00000000-0005-0000-0000-000087240000}"/>
    <cellStyle name="Normal 2 2 10 8 2 7" xfId="9352" xr:uid="{00000000-0005-0000-0000-000088240000}"/>
    <cellStyle name="Normal 2 2 10 8 2 8" xfId="9353" xr:uid="{00000000-0005-0000-0000-000089240000}"/>
    <cellStyle name="Normal 2 2 10 8 2 9" xfId="9354" xr:uid="{00000000-0005-0000-0000-00008A240000}"/>
    <cellStyle name="Normal 2 2 10 8 3" xfId="9355" xr:uid="{00000000-0005-0000-0000-00008B240000}"/>
    <cellStyle name="Normal 2 2 10 8 3 10" xfId="9356" xr:uid="{00000000-0005-0000-0000-00008C240000}"/>
    <cellStyle name="Normal 2 2 10 8 3 2" xfId="9357" xr:uid="{00000000-0005-0000-0000-00008D240000}"/>
    <cellStyle name="Normal 2 2 10 8 3 3" xfId="9358" xr:uid="{00000000-0005-0000-0000-00008E240000}"/>
    <cellStyle name="Normal 2 2 10 8 3 4" xfId="9359" xr:uid="{00000000-0005-0000-0000-00008F240000}"/>
    <cellStyle name="Normal 2 2 10 8 3 5" xfId="9360" xr:uid="{00000000-0005-0000-0000-000090240000}"/>
    <cellStyle name="Normal 2 2 10 8 3 6" xfId="9361" xr:uid="{00000000-0005-0000-0000-000091240000}"/>
    <cellStyle name="Normal 2 2 10 8 3 7" xfId="9362" xr:uid="{00000000-0005-0000-0000-000092240000}"/>
    <cellStyle name="Normal 2 2 10 8 3 8" xfId="9363" xr:uid="{00000000-0005-0000-0000-000093240000}"/>
    <cellStyle name="Normal 2 2 10 8 3 9" xfId="9364" xr:uid="{00000000-0005-0000-0000-000094240000}"/>
    <cellStyle name="Normal 2 2 10 8 4" xfId="9365" xr:uid="{00000000-0005-0000-0000-000095240000}"/>
    <cellStyle name="Normal 2 2 10 8 4 10" xfId="9366" xr:uid="{00000000-0005-0000-0000-000096240000}"/>
    <cellStyle name="Normal 2 2 10 8 4 2" xfId="9367" xr:uid="{00000000-0005-0000-0000-000097240000}"/>
    <cellStyle name="Normal 2 2 10 8 4 3" xfId="9368" xr:uid="{00000000-0005-0000-0000-000098240000}"/>
    <cellStyle name="Normal 2 2 10 8 4 4" xfId="9369" xr:uid="{00000000-0005-0000-0000-000099240000}"/>
    <cellStyle name="Normal 2 2 10 8 4 5" xfId="9370" xr:uid="{00000000-0005-0000-0000-00009A240000}"/>
    <cellStyle name="Normal 2 2 10 8 4 6" xfId="9371" xr:uid="{00000000-0005-0000-0000-00009B240000}"/>
    <cellStyle name="Normal 2 2 10 8 4 7" xfId="9372" xr:uid="{00000000-0005-0000-0000-00009C240000}"/>
    <cellStyle name="Normal 2 2 10 8 4 8" xfId="9373" xr:uid="{00000000-0005-0000-0000-00009D240000}"/>
    <cellStyle name="Normal 2 2 10 8 4 9" xfId="9374" xr:uid="{00000000-0005-0000-0000-00009E240000}"/>
    <cellStyle name="Normal 2 2 10 8 5" xfId="9375" xr:uid="{00000000-0005-0000-0000-00009F240000}"/>
    <cellStyle name="Normal 2 2 10 8 5 10" xfId="9376" xr:uid="{00000000-0005-0000-0000-0000A0240000}"/>
    <cellStyle name="Normal 2 2 10 8 5 2" xfId="9377" xr:uid="{00000000-0005-0000-0000-0000A1240000}"/>
    <cellStyle name="Normal 2 2 10 8 5 3" xfId="9378" xr:uid="{00000000-0005-0000-0000-0000A2240000}"/>
    <cellStyle name="Normal 2 2 10 8 5 4" xfId="9379" xr:uid="{00000000-0005-0000-0000-0000A3240000}"/>
    <cellStyle name="Normal 2 2 10 8 5 5" xfId="9380" xr:uid="{00000000-0005-0000-0000-0000A4240000}"/>
    <cellStyle name="Normal 2 2 10 8 5 6" xfId="9381" xr:uid="{00000000-0005-0000-0000-0000A5240000}"/>
    <cellStyle name="Normal 2 2 10 8 5 7" xfId="9382" xr:uid="{00000000-0005-0000-0000-0000A6240000}"/>
    <cellStyle name="Normal 2 2 10 8 5 8" xfId="9383" xr:uid="{00000000-0005-0000-0000-0000A7240000}"/>
    <cellStyle name="Normal 2 2 10 8 5 9" xfId="9384" xr:uid="{00000000-0005-0000-0000-0000A8240000}"/>
    <cellStyle name="Normal 2 2 10 8 6" xfId="9385" xr:uid="{00000000-0005-0000-0000-0000A9240000}"/>
    <cellStyle name="Normal 2 2 10 8 7" xfId="9386" xr:uid="{00000000-0005-0000-0000-0000AA240000}"/>
    <cellStyle name="Normal 2 2 10 8 8" xfId="9387" xr:uid="{00000000-0005-0000-0000-0000AB240000}"/>
    <cellStyle name="Normal 2 2 10 8 9" xfId="9388" xr:uid="{00000000-0005-0000-0000-0000AC240000}"/>
    <cellStyle name="Normal 2 2 10 9" xfId="9389" xr:uid="{00000000-0005-0000-0000-0000AD240000}"/>
    <cellStyle name="Normal 2 2 10 9 10" xfId="9390" xr:uid="{00000000-0005-0000-0000-0000AE240000}"/>
    <cellStyle name="Normal 2 2 10 9 11" xfId="9391" xr:uid="{00000000-0005-0000-0000-0000AF240000}"/>
    <cellStyle name="Normal 2 2 10 9 12" xfId="9392" xr:uid="{00000000-0005-0000-0000-0000B0240000}"/>
    <cellStyle name="Normal 2 2 10 9 13" xfId="9393" xr:uid="{00000000-0005-0000-0000-0000B1240000}"/>
    <cellStyle name="Normal 2 2 10 9 14" xfId="9394" xr:uid="{00000000-0005-0000-0000-0000B2240000}"/>
    <cellStyle name="Normal 2 2 10 9 2" xfId="9395" xr:uid="{00000000-0005-0000-0000-0000B3240000}"/>
    <cellStyle name="Normal 2 2 10 9 2 10" xfId="9396" xr:uid="{00000000-0005-0000-0000-0000B4240000}"/>
    <cellStyle name="Normal 2 2 10 9 2 2" xfId="9397" xr:uid="{00000000-0005-0000-0000-0000B5240000}"/>
    <cellStyle name="Normal 2 2 10 9 2 3" xfId="9398" xr:uid="{00000000-0005-0000-0000-0000B6240000}"/>
    <cellStyle name="Normal 2 2 10 9 2 4" xfId="9399" xr:uid="{00000000-0005-0000-0000-0000B7240000}"/>
    <cellStyle name="Normal 2 2 10 9 2 5" xfId="9400" xr:uid="{00000000-0005-0000-0000-0000B8240000}"/>
    <cellStyle name="Normal 2 2 10 9 2 6" xfId="9401" xr:uid="{00000000-0005-0000-0000-0000B9240000}"/>
    <cellStyle name="Normal 2 2 10 9 2 7" xfId="9402" xr:uid="{00000000-0005-0000-0000-0000BA240000}"/>
    <cellStyle name="Normal 2 2 10 9 2 8" xfId="9403" xr:uid="{00000000-0005-0000-0000-0000BB240000}"/>
    <cellStyle name="Normal 2 2 10 9 2 9" xfId="9404" xr:uid="{00000000-0005-0000-0000-0000BC240000}"/>
    <cellStyle name="Normal 2 2 10 9 3" xfId="9405" xr:uid="{00000000-0005-0000-0000-0000BD240000}"/>
    <cellStyle name="Normal 2 2 10 9 3 10" xfId="9406" xr:uid="{00000000-0005-0000-0000-0000BE240000}"/>
    <cellStyle name="Normal 2 2 10 9 3 2" xfId="9407" xr:uid="{00000000-0005-0000-0000-0000BF240000}"/>
    <cellStyle name="Normal 2 2 10 9 3 3" xfId="9408" xr:uid="{00000000-0005-0000-0000-0000C0240000}"/>
    <cellStyle name="Normal 2 2 10 9 3 4" xfId="9409" xr:uid="{00000000-0005-0000-0000-0000C1240000}"/>
    <cellStyle name="Normal 2 2 10 9 3 5" xfId="9410" xr:uid="{00000000-0005-0000-0000-0000C2240000}"/>
    <cellStyle name="Normal 2 2 10 9 3 6" xfId="9411" xr:uid="{00000000-0005-0000-0000-0000C3240000}"/>
    <cellStyle name="Normal 2 2 10 9 3 7" xfId="9412" xr:uid="{00000000-0005-0000-0000-0000C4240000}"/>
    <cellStyle name="Normal 2 2 10 9 3 8" xfId="9413" xr:uid="{00000000-0005-0000-0000-0000C5240000}"/>
    <cellStyle name="Normal 2 2 10 9 3 9" xfId="9414" xr:uid="{00000000-0005-0000-0000-0000C6240000}"/>
    <cellStyle name="Normal 2 2 10 9 4" xfId="9415" xr:uid="{00000000-0005-0000-0000-0000C7240000}"/>
    <cellStyle name="Normal 2 2 10 9 4 10" xfId="9416" xr:uid="{00000000-0005-0000-0000-0000C8240000}"/>
    <cellStyle name="Normal 2 2 10 9 4 2" xfId="9417" xr:uid="{00000000-0005-0000-0000-0000C9240000}"/>
    <cellStyle name="Normal 2 2 10 9 4 3" xfId="9418" xr:uid="{00000000-0005-0000-0000-0000CA240000}"/>
    <cellStyle name="Normal 2 2 10 9 4 4" xfId="9419" xr:uid="{00000000-0005-0000-0000-0000CB240000}"/>
    <cellStyle name="Normal 2 2 10 9 4 5" xfId="9420" xr:uid="{00000000-0005-0000-0000-0000CC240000}"/>
    <cellStyle name="Normal 2 2 10 9 4 6" xfId="9421" xr:uid="{00000000-0005-0000-0000-0000CD240000}"/>
    <cellStyle name="Normal 2 2 10 9 4 7" xfId="9422" xr:uid="{00000000-0005-0000-0000-0000CE240000}"/>
    <cellStyle name="Normal 2 2 10 9 4 8" xfId="9423" xr:uid="{00000000-0005-0000-0000-0000CF240000}"/>
    <cellStyle name="Normal 2 2 10 9 4 9" xfId="9424" xr:uid="{00000000-0005-0000-0000-0000D0240000}"/>
    <cellStyle name="Normal 2 2 10 9 5" xfId="9425" xr:uid="{00000000-0005-0000-0000-0000D1240000}"/>
    <cellStyle name="Normal 2 2 10 9 5 10" xfId="9426" xr:uid="{00000000-0005-0000-0000-0000D2240000}"/>
    <cellStyle name="Normal 2 2 10 9 5 2" xfId="9427" xr:uid="{00000000-0005-0000-0000-0000D3240000}"/>
    <cellStyle name="Normal 2 2 10 9 5 3" xfId="9428" xr:uid="{00000000-0005-0000-0000-0000D4240000}"/>
    <cellStyle name="Normal 2 2 10 9 5 4" xfId="9429" xr:uid="{00000000-0005-0000-0000-0000D5240000}"/>
    <cellStyle name="Normal 2 2 10 9 5 5" xfId="9430" xr:uid="{00000000-0005-0000-0000-0000D6240000}"/>
    <cellStyle name="Normal 2 2 10 9 5 6" xfId="9431" xr:uid="{00000000-0005-0000-0000-0000D7240000}"/>
    <cellStyle name="Normal 2 2 10 9 5 7" xfId="9432" xr:uid="{00000000-0005-0000-0000-0000D8240000}"/>
    <cellStyle name="Normal 2 2 10 9 5 8" xfId="9433" xr:uid="{00000000-0005-0000-0000-0000D9240000}"/>
    <cellStyle name="Normal 2 2 10 9 5 9" xfId="9434" xr:uid="{00000000-0005-0000-0000-0000DA240000}"/>
    <cellStyle name="Normal 2 2 10 9 6" xfId="9435" xr:uid="{00000000-0005-0000-0000-0000DB240000}"/>
    <cellStyle name="Normal 2 2 10 9 7" xfId="9436" xr:uid="{00000000-0005-0000-0000-0000DC240000}"/>
    <cellStyle name="Normal 2 2 10 9 8" xfId="9437" xr:uid="{00000000-0005-0000-0000-0000DD240000}"/>
    <cellStyle name="Normal 2 2 10 9 9" xfId="9438" xr:uid="{00000000-0005-0000-0000-0000DE240000}"/>
    <cellStyle name="Normal 2 2 11" xfId="9439" xr:uid="{00000000-0005-0000-0000-0000DF240000}"/>
    <cellStyle name="Normal 2 2 12" xfId="9440" xr:uid="{00000000-0005-0000-0000-0000E0240000}"/>
    <cellStyle name="Normal 2 2 13" xfId="9441" xr:uid="{00000000-0005-0000-0000-0000E1240000}"/>
    <cellStyle name="Normal 2 2 14" xfId="9442" xr:uid="{00000000-0005-0000-0000-0000E2240000}"/>
    <cellStyle name="Normal 2 2 15" xfId="9443" xr:uid="{00000000-0005-0000-0000-0000E3240000}"/>
    <cellStyle name="Normal 2 2 16" xfId="9444" xr:uid="{00000000-0005-0000-0000-0000E4240000}"/>
    <cellStyle name="Normal 2 2 17" xfId="9445" xr:uid="{00000000-0005-0000-0000-0000E5240000}"/>
    <cellStyle name="Normal 2 2 18" xfId="9446" xr:uid="{00000000-0005-0000-0000-0000E6240000}"/>
    <cellStyle name="Normal 2 2 19" xfId="9447" xr:uid="{00000000-0005-0000-0000-0000E7240000}"/>
    <cellStyle name="Normal 2 2 2" xfId="13" xr:uid="{00000000-0005-0000-0000-00000D000000}"/>
    <cellStyle name="Normal 2 2 2 10" xfId="9448" xr:uid="{00000000-0005-0000-0000-0000E8240000}"/>
    <cellStyle name="Normal 2 2 2 10 10" xfId="9449" xr:uid="{00000000-0005-0000-0000-0000E9240000}"/>
    <cellStyle name="Normal 2 2 2 10 11" xfId="9450" xr:uid="{00000000-0005-0000-0000-0000EA240000}"/>
    <cellStyle name="Normal 2 2 2 10 12" xfId="9451" xr:uid="{00000000-0005-0000-0000-0000EB240000}"/>
    <cellStyle name="Normal 2 2 2 10 13" xfId="9452" xr:uid="{00000000-0005-0000-0000-0000EC240000}"/>
    <cellStyle name="Normal 2 2 2 10 14" xfId="9453" xr:uid="{00000000-0005-0000-0000-0000ED240000}"/>
    <cellStyle name="Normal 2 2 2 10 2" xfId="9454" xr:uid="{00000000-0005-0000-0000-0000EE240000}"/>
    <cellStyle name="Normal 2 2 2 10 2 10" xfId="9455" xr:uid="{00000000-0005-0000-0000-0000EF240000}"/>
    <cellStyle name="Normal 2 2 2 10 2 2" xfId="9456" xr:uid="{00000000-0005-0000-0000-0000F0240000}"/>
    <cellStyle name="Normal 2 2 2 10 2 3" xfId="9457" xr:uid="{00000000-0005-0000-0000-0000F1240000}"/>
    <cellStyle name="Normal 2 2 2 10 2 4" xfId="9458" xr:uid="{00000000-0005-0000-0000-0000F2240000}"/>
    <cellStyle name="Normal 2 2 2 10 2 5" xfId="9459" xr:uid="{00000000-0005-0000-0000-0000F3240000}"/>
    <cellStyle name="Normal 2 2 2 10 2 6" xfId="9460" xr:uid="{00000000-0005-0000-0000-0000F4240000}"/>
    <cellStyle name="Normal 2 2 2 10 2 7" xfId="9461" xr:uid="{00000000-0005-0000-0000-0000F5240000}"/>
    <cellStyle name="Normal 2 2 2 10 2 8" xfId="9462" xr:uid="{00000000-0005-0000-0000-0000F6240000}"/>
    <cellStyle name="Normal 2 2 2 10 2 9" xfId="9463" xr:uid="{00000000-0005-0000-0000-0000F7240000}"/>
    <cellStyle name="Normal 2 2 2 10 3" xfId="9464" xr:uid="{00000000-0005-0000-0000-0000F8240000}"/>
    <cellStyle name="Normal 2 2 2 10 3 10" xfId="9465" xr:uid="{00000000-0005-0000-0000-0000F9240000}"/>
    <cellStyle name="Normal 2 2 2 10 3 2" xfId="9466" xr:uid="{00000000-0005-0000-0000-0000FA240000}"/>
    <cellStyle name="Normal 2 2 2 10 3 3" xfId="9467" xr:uid="{00000000-0005-0000-0000-0000FB240000}"/>
    <cellStyle name="Normal 2 2 2 10 3 4" xfId="9468" xr:uid="{00000000-0005-0000-0000-0000FC240000}"/>
    <cellStyle name="Normal 2 2 2 10 3 5" xfId="9469" xr:uid="{00000000-0005-0000-0000-0000FD240000}"/>
    <cellStyle name="Normal 2 2 2 10 3 6" xfId="9470" xr:uid="{00000000-0005-0000-0000-0000FE240000}"/>
    <cellStyle name="Normal 2 2 2 10 3 7" xfId="9471" xr:uid="{00000000-0005-0000-0000-0000FF240000}"/>
    <cellStyle name="Normal 2 2 2 10 3 8" xfId="9472" xr:uid="{00000000-0005-0000-0000-000000250000}"/>
    <cellStyle name="Normal 2 2 2 10 3 9" xfId="9473" xr:uid="{00000000-0005-0000-0000-000001250000}"/>
    <cellStyle name="Normal 2 2 2 10 4" xfId="9474" xr:uid="{00000000-0005-0000-0000-000002250000}"/>
    <cellStyle name="Normal 2 2 2 10 4 10" xfId="9475" xr:uid="{00000000-0005-0000-0000-000003250000}"/>
    <cellStyle name="Normal 2 2 2 10 4 2" xfId="9476" xr:uid="{00000000-0005-0000-0000-000004250000}"/>
    <cellStyle name="Normal 2 2 2 10 4 3" xfId="9477" xr:uid="{00000000-0005-0000-0000-000005250000}"/>
    <cellStyle name="Normal 2 2 2 10 4 4" xfId="9478" xr:uid="{00000000-0005-0000-0000-000006250000}"/>
    <cellStyle name="Normal 2 2 2 10 4 5" xfId="9479" xr:uid="{00000000-0005-0000-0000-000007250000}"/>
    <cellStyle name="Normal 2 2 2 10 4 6" xfId="9480" xr:uid="{00000000-0005-0000-0000-000008250000}"/>
    <cellStyle name="Normal 2 2 2 10 4 7" xfId="9481" xr:uid="{00000000-0005-0000-0000-000009250000}"/>
    <cellStyle name="Normal 2 2 2 10 4 8" xfId="9482" xr:uid="{00000000-0005-0000-0000-00000A250000}"/>
    <cellStyle name="Normal 2 2 2 10 4 9" xfId="9483" xr:uid="{00000000-0005-0000-0000-00000B250000}"/>
    <cellStyle name="Normal 2 2 2 10 5" xfId="9484" xr:uid="{00000000-0005-0000-0000-00000C250000}"/>
    <cellStyle name="Normal 2 2 2 10 5 10" xfId="9485" xr:uid="{00000000-0005-0000-0000-00000D250000}"/>
    <cellStyle name="Normal 2 2 2 10 5 2" xfId="9486" xr:uid="{00000000-0005-0000-0000-00000E250000}"/>
    <cellStyle name="Normal 2 2 2 10 5 3" xfId="9487" xr:uid="{00000000-0005-0000-0000-00000F250000}"/>
    <cellStyle name="Normal 2 2 2 10 5 4" xfId="9488" xr:uid="{00000000-0005-0000-0000-000010250000}"/>
    <cellStyle name="Normal 2 2 2 10 5 5" xfId="9489" xr:uid="{00000000-0005-0000-0000-000011250000}"/>
    <cellStyle name="Normal 2 2 2 10 5 6" xfId="9490" xr:uid="{00000000-0005-0000-0000-000012250000}"/>
    <cellStyle name="Normal 2 2 2 10 5 7" xfId="9491" xr:uid="{00000000-0005-0000-0000-000013250000}"/>
    <cellStyle name="Normal 2 2 2 10 5 8" xfId="9492" xr:uid="{00000000-0005-0000-0000-000014250000}"/>
    <cellStyle name="Normal 2 2 2 10 5 9" xfId="9493" xr:uid="{00000000-0005-0000-0000-000015250000}"/>
    <cellStyle name="Normal 2 2 2 10 6" xfId="9494" xr:uid="{00000000-0005-0000-0000-000016250000}"/>
    <cellStyle name="Normal 2 2 2 10 7" xfId="9495" xr:uid="{00000000-0005-0000-0000-000017250000}"/>
    <cellStyle name="Normal 2 2 2 10 8" xfId="9496" xr:uid="{00000000-0005-0000-0000-000018250000}"/>
    <cellStyle name="Normal 2 2 2 10 9" xfId="9497" xr:uid="{00000000-0005-0000-0000-000019250000}"/>
    <cellStyle name="Normal 2 2 2 11" xfId="9498" xr:uid="{00000000-0005-0000-0000-00001A250000}"/>
    <cellStyle name="Normal 2 2 2 11 10" xfId="9499" xr:uid="{00000000-0005-0000-0000-00001B250000}"/>
    <cellStyle name="Normal 2 2 2 11 11" xfId="9500" xr:uid="{00000000-0005-0000-0000-00001C250000}"/>
    <cellStyle name="Normal 2 2 2 11 12" xfId="9501" xr:uid="{00000000-0005-0000-0000-00001D250000}"/>
    <cellStyle name="Normal 2 2 2 11 13" xfId="9502" xr:uid="{00000000-0005-0000-0000-00001E250000}"/>
    <cellStyle name="Normal 2 2 2 11 14" xfId="9503" xr:uid="{00000000-0005-0000-0000-00001F250000}"/>
    <cellStyle name="Normal 2 2 2 11 2" xfId="9504" xr:uid="{00000000-0005-0000-0000-000020250000}"/>
    <cellStyle name="Normal 2 2 2 11 2 10" xfId="9505" xr:uid="{00000000-0005-0000-0000-000021250000}"/>
    <cellStyle name="Normal 2 2 2 11 2 2" xfId="9506" xr:uid="{00000000-0005-0000-0000-000022250000}"/>
    <cellStyle name="Normal 2 2 2 11 2 3" xfId="9507" xr:uid="{00000000-0005-0000-0000-000023250000}"/>
    <cellStyle name="Normal 2 2 2 11 2 4" xfId="9508" xr:uid="{00000000-0005-0000-0000-000024250000}"/>
    <cellStyle name="Normal 2 2 2 11 2 5" xfId="9509" xr:uid="{00000000-0005-0000-0000-000025250000}"/>
    <cellStyle name="Normal 2 2 2 11 2 6" xfId="9510" xr:uid="{00000000-0005-0000-0000-000026250000}"/>
    <cellStyle name="Normal 2 2 2 11 2 7" xfId="9511" xr:uid="{00000000-0005-0000-0000-000027250000}"/>
    <cellStyle name="Normal 2 2 2 11 2 8" xfId="9512" xr:uid="{00000000-0005-0000-0000-000028250000}"/>
    <cellStyle name="Normal 2 2 2 11 2 9" xfId="9513" xr:uid="{00000000-0005-0000-0000-000029250000}"/>
    <cellStyle name="Normal 2 2 2 11 3" xfId="9514" xr:uid="{00000000-0005-0000-0000-00002A250000}"/>
    <cellStyle name="Normal 2 2 2 11 3 10" xfId="9515" xr:uid="{00000000-0005-0000-0000-00002B250000}"/>
    <cellStyle name="Normal 2 2 2 11 3 2" xfId="9516" xr:uid="{00000000-0005-0000-0000-00002C250000}"/>
    <cellStyle name="Normal 2 2 2 11 3 3" xfId="9517" xr:uid="{00000000-0005-0000-0000-00002D250000}"/>
    <cellStyle name="Normal 2 2 2 11 3 4" xfId="9518" xr:uid="{00000000-0005-0000-0000-00002E250000}"/>
    <cellStyle name="Normal 2 2 2 11 3 5" xfId="9519" xr:uid="{00000000-0005-0000-0000-00002F250000}"/>
    <cellStyle name="Normal 2 2 2 11 3 6" xfId="9520" xr:uid="{00000000-0005-0000-0000-000030250000}"/>
    <cellStyle name="Normal 2 2 2 11 3 7" xfId="9521" xr:uid="{00000000-0005-0000-0000-000031250000}"/>
    <cellStyle name="Normal 2 2 2 11 3 8" xfId="9522" xr:uid="{00000000-0005-0000-0000-000032250000}"/>
    <cellStyle name="Normal 2 2 2 11 3 9" xfId="9523" xr:uid="{00000000-0005-0000-0000-000033250000}"/>
    <cellStyle name="Normal 2 2 2 11 4" xfId="9524" xr:uid="{00000000-0005-0000-0000-000034250000}"/>
    <cellStyle name="Normal 2 2 2 11 4 10" xfId="9525" xr:uid="{00000000-0005-0000-0000-000035250000}"/>
    <cellStyle name="Normal 2 2 2 11 4 2" xfId="9526" xr:uid="{00000000-0005-0000-0000-000036250000}"/>
    <cellStyle name="Normal 2 2 2 11 4 3" xfId="9527" xr:uid="{00000000-0005-0000-0000-000037250000}"/>
    <cellStyle name="Normal 2 2 2 11 4 4" xfId="9528" xr:uid="{00000000-0005-0000-0000-000038250000}"/>
    <cellStyle name="Normal 2 2 2 11 4 5" xfId="9529" xr:uid="{00000000-0005-0000-0000-000039250000}"/>
    <cellStyle name="Normal 2 2 2 11 4 6" xfId="9530" xr:uid="{00000000-0005-0000-0000-00003A250000}"/>
    <cellStyle name="Normal 2 2 2 11 4 7" xfId="9531" xr:uid="{00000000-0005-0000-0000-00003B250000}"/>
    <cellStyle name="Normal 2 2 2 11 4 8" xfId="9532" xr:uid="{00000000-0005-0000-0000-00003C250000}"/>
    <cellStyle name="Normal 2 2 2 11 4 9" xfId="9533" xr:uid="{00000000-0005-0000-0000-00003D250000}"/>
    <cellStyle name="Normal 2 2 2 11 5" xfId="9534" xr:uid="{00000000-0005-0000-0000-00003E250000}"/>
    <cellStyle name="Normal 2 2 2 11 5 10" xfId="9535" xr:uid="{00000000-0005-0000-0000-00003F250000}"/>
    <cellStyle name="Normal 2 2 2 11 5 2" xfId="9536" xr:uid="{00000000-0005-0000-0000-000040250000}"/>
    <cellStyle name="Normal 2 2 2 11 5 3" xfId="9537" xr:uid="{00000000-0005-0000-0000-000041250000}"/>
    <cellStyle name="Normal 2 2 2 11 5 4" xfId="9538" xr:uid="{00000000-0005-0000-0000-000042250000}"/>
    <cellStyle name="Normal 2 2 2 11 5 5" xfId="9539" xr:uid="{00000000-0005-0000-0000-000043250000}"/>
    <cellStyle name="Normal 2 2 2 11 5 6" xfId="9540" xr:uid="{00000000-0005-0000-0000-000044250000}"/>
    <cellStyle name="Normal 2 2 2 11 5 7" xfId="9541" xr:uid="{00000000-0005-0000-0000-000045250000}"/>
    <cellStyle name="Normal 2 2 2 11 5 8" xfId="9542" xr:uid="{00000000-0005-0000-0000-000046250000}"/>
    <cellStyle name="Normal 2 2 2 11 5 9" xfId="9543" xr:uid="{00000000-0005-0000-0000-000047250000}"/>
    <cellStyle name="Normal 2 2 2 11 6" xfId="9544" xr:uid="{00000000-0005-0000-0000-000048250000}"/>
    <cellStyle name="Normal 2 2 2 11 7" xfId="9545" xr:uid="{00000000-0005-0000-0000-000049250000}"/>
    <cellStyle name="Normal 2 2 2 11 8" xfId="9546" xr:uid="{00000000-0005-0000-0000-00004A250000}"/>
    <cellStyle name="Normal 2 2 2 11 9" xfId="9547" xr:uid="{00000000-0005-0000-0000-00004B250000}"/>
    <cellStyle name="Normal 2 2 2 12" xfId="9548" xr:uid="{00000000-0005-0000-0000-00004C250000}"/>
    <cellStyle name="Normal 2 2 2 12 10" xfId="9549" xr:uid="{00000000-0005-0000-0000-00004D250000}"/>
    <cellStyle name="Normal 2 2 2 12 11" xfId="9550" xr:uid="{00000000-0005-0000-0000-00004E250000}"/>
    <cellStyle name="Normal 2 2 2 12 12" xfId="9551" xr:uid="{00000000-0005-0000-0000-00004F250000}"/>
    <cellStyle name="Normal 2 2 2 12 13" xfId="9552" xr:uid="{00000000-0005-0000-0000-000050250000}"/>
    <cellStyle name="Normal 2 2 2 12 14" xfId="9553" xr:uid="{00000000-0005-0000-0000-000051250000}"/>
    <cellStyle name="Normal 2 2 2 12 2" xfId="9554" xr:uid="{00000000-0005-0000-0000-000052250000}"/>
    <cellStyle name="Normal 2 2 2 12 2 10" xfId="9555" xr:uid="{00000000-0005-0000-0000-000053250000}"/>
    <cellStyle name="Normal 2 2 2 12 2 2" xfId="9556" xr:uid="{00000000-0005-0000-0000-000054250000}"/>
    <cellStyle name="Normal 2 2 2 12 2 3" xfId="9557" xr:uid="{00000000-0005-0000-0000-000055250000}"/>
    <cellStyle name="Normal 2 2 2 12 2 4" xfId="9558" xr:uid="{00000000-0005-0000-0000-000056250000}"/>
    <cellStyle name="Normal 2 2 2 12 2 5" xfId="9559" xr:uid="{00000000-0005-0000-0000-000057250000}"/>
    <cellStyle name="Normal 2 2 2 12 2 6" xfId="9560" xr:uid="{00000000-0005-0000-0000-000058250000}"/>
    <cellStyle name="Normal 2 2 2 12 2 7" xfId="9561" xr:uid="{00000000-0005-0000-0000-000059250000}"/>
    <cellStyle name="Normal 2 2 2 12 2 8" xfId="9562" xr:uid="{00000000-0005-0000-0000-00005A250000}"/>
    <cellStyle name="Normal 2 2 2 12 2 9" xfId="9563" xr:uid="{00000000-0005-0000-0000-00005B250000}"/>
    <cellStyle name="Normal 2 2 2 12 3" xfId="9564" xr:uid="{00000000-0005-0000-0000-00005C250000}"/>
    <cellStyle name="Normal 2 2 2 12 3 10" xfId="9565" xr:uid="{00000000-0005-0000-0000-00005D250000}"/>
    <cellStyle name="Normal 2 2 2 12 3 2" xfId="9566" xr:uid="{00000000-0005-0000-0000-00005E250000}"/>
    <cellStyle name="Normal 2 2 2 12 3 3" xfId="9567" xr:uid="{00000000-0005-0000-0000-00005F250000}"/>
    <cellStyle name="Normal 2 2 2 12 3 4" xfId="9568" xr:uid="{00000000-0005-0000-0000-000060250000}"/>
    <cellStyle name="Normal 2 2 2 12 3 5" xfId="9569" xr:uid="{00000000-0005-0000-0000-000061250000}"/>
    <cellStyle name="Normal 2 2 2 12 3 6" xfId="9570" xr:uid="{00000000-0005-0000-0000-000062250000}"/>
    <cellStyle name="Normal 2 2 2 12 3 7" xfId="9571" xr:uid="{00000000-0005-0000-0000-000063250000}"/>
    <cellStyle name="Normal 2 2 2 12 3 8" xfId="9572" xr:uid="{00000000-0005-0000-0000-000064250000}"/>
    <cellStyle name="Normal 2 2 2 12 3 9" xfId="9573" xr:uid="{00000000-0005-0000-0000-000065250000}"/>
    <cellStyle name="Normal 2 2 2 12 4" xfId="9574" xr:uid="{00000000-0005-0000-0000-000066250000}"/>
    <cellStyle name="Normal 2 2 2 12 4 10" xfId="9575" xr:uid="{00000000-0005-0000-0000-000067250000}"/>
    <cellStyle name="Normal 2 2 2 12 4 2" xfId="9576" xr:uid="{00000000-0005-0000-0000-000068250000}"/>
    <cellStyle name="Normal 2 2 2 12 4 3" xfId="9577" xr:uid="{00000000-0005-0000-0000-000069250000}"/>
    <cellStyle name="Normal 2 2 2 12 4 4" xfId="9578" xr:uid="{00000000-0005-0000-0000-00006A250000}"/>
    <cellStyle name="Normal 2 2 2 12 4 5" xfId="9579" xr:uid="{00000000-0005-0000-0000-00006B250000}"/>
    <cellStyle name="Normal 2 2 2 12 4 6" xfId="9580" xr:uid="{00000000-0005-0000-0000-00006C250000}"/>
    <cellStyle name="Normal 2 2 2 12 4 7" xfId="9581" xr:uid="{00000000-0005-0000-0000-00006D250000}"/>
    <cellStyle name="Normal 2 2 2 12 4 8" xfId="9582" xr:uid="{00000000-0005-0000-0000-00006E250000}"/>
    <cellStyle name="Normal 2 2 2 12 4 9" xfId="9583" xr:uid="{00000000-0005-0000-0000-00006F250000}"/>
    <cellStyle name="Normal 2 2 2 12 5" xfId="9584" xr:uid="{00000000-0005-0000-0000-000070250000}"/>
    <cellStyle name="Normal 2 2 2 12 5 10" xfId="9585" xr:uid="{00000000-0005-0000-0000-000071250000}"/>
    <cellStyle name="Normal 2 2 2 12 5 2" xfId="9586" xr:uid="{00000000-0005-0000-0000-000072250000}"/>
    <cellStyle name="Normal 2 2 2 12 5 3" xfId="9587" xr:uid="{00000000-0005-0000-0000-000073250000}"/>
    <cellStyle name="Normal 2 2 2 12 5 4" xfId="9588" xr:uid="{00000000-0005-0000-0000-000074250000}"/>
    <cellStyle name="Normal 2 2 2 12 5 5" xfId="9589" xr:uid="{00000000-0005-0000-0000-000075250000}"/>
    <cellStyle name="Normal 2 2 2 12 5 6" xfId="9590" xr:uid="{00000000-0005-0000-0000-000076250000}"/>
    <cellStyle name="Normal 2 2 2 12 5 7" xfId="9591" xr:uid="{00000000-0005-0000-0000-000077250000}"/>
    <cellStyle name="Normal 2 2 2 12 5 8" xfId="9592" xr:uid="{00000000-0005-0000-0000-000078250000}"/>
    <cellStyle name="Normal 2 2 2 12 5 9" xfId="9593" xr:uid="{00000000-0005-0000-0000-000079250000}"/>
    <cellStyle name="Normal 2 2 2 12 6" xfId="9594" xr:uid="{00000000-0005-0000-0000-00007A250000}"/>
    <cellStyle name="Normal 2 2 2 12 7" xfId="9595" xr:uid="{00000000-0005-0000-0000-00007B250000}"/>
    <cellStyle name="Normal 2 2 2 12 8" xfId="9596" xr:uid="{00000000-0005-0000-0000-00007C250000}"/>
    <cellStyle name="Normal 2 2 2 12 9" xfId="9597" xr:uid="{00000000-0005-0000-0000-00007D250000}"/>
    <cellStyle name="Normal 2 2 2 13" xfId="9598" xr:uid="{00000000-0005-0000-0000-00007E250000}"/>
    <cellStyle name="Normal 2 2 2 13 10" xfId="9599" xr:uid="{00000000-0005-0000-0000-00007F250000}"/>
    <cellStyle name="Normal 2 2 2 13 11" xfId="9600" xr:uid="{00000000-0005-0000-0000-000080250000}"/>
    <cellStyle name="Normal 2 2 2 13 12" xfId="9601" xr:uid="{00000000-0005-0000-0000-000081250000}"/>
    <cellStyle name="Normal 2 2 2 13 13" xfId="9602" xr:uid="{00000000-0005-0000-0000-000082250000}"/>
    <cellStyle name="Normal 2 2 2 13 14" xfId="9603" xr:uid="{00000000-0005-0000-0000-000083250000}"/>
    <cellStyle name="Normal 2 2 2 13 2" xfId="9604" xr:uid="{00000000-0005-0000-0000-000084250000}"/>
    <cellStyle name="Normal 2 2 2 13 2 10" xfId="9605" xr:uid="{00000000-0005-0000-0000-000085250000}"/>
    <cellStyle name="Normal 2 2 2 13 2 2" xfId="9606" xr:uid="{00000000-0005-0000-0000-000086250000}"/>
    <cellStyle name="Normal 2 2 2 13 2 3" xfId="9607" xr:uid="{00000000-0005-0000-0000-000087250000}"/>
    <cellStyle name="Normal 2 2 2 13 2 4" xfId="9608" xr:uid="{00000000-0005-0000-0000-000088250000}"/>
    <cellStyle name="Normal 2 2 2 13 2 5" xfId="9609" xr:uid="{00000000-0005-0000-0000-000089250000}"/>
    <cellStyle name="Normal 2 2 2 13 2 6" xfId="9610" xr:uid="{00000000-0005-0000-0000-00008A250000}"/>
    <cellStyle name="Normal 2 2 2 13 2 7" xfId="9611" xr:uid="{00000000-0005-0000-0000-00008B250000}"/>
    <cellStyle name="Normal 2 2 2 13 2 8" xfId="9612" xr:uid="{00000000-0005-0000-0000-00008C250000}"/>
    <cellStyle name="Normal 2 2 2 13 2 9" xfId="9613" xr:uid="{00000000-0005-0000-0000-00008D250000}"/>
    <cellStyle name="Normal 2 2 2 13 3" xfId="9614" xr:uid="{00000000-0005-0000-0000-00008E250000}"/>
    <cellStyle name="Normal 2 2 2 13 3 10" xfId="9615" xr:uid="{00000000-0005-0000-0000-00008F250000}"/>
    <cellStyle name="Normal 2 2 2 13 3 2" xfId="9616" xr:uid="{00000000-0005-0000-0000-000090250000}"/>
    <cellStyle name="Normal 2 2 2 13 3 3" xfId="9617" xr:uid="{00000000-0005-0000-0000-000091250000}"/>
    <cellStyle name="Normal 2 2 2 13 3 4" xfId="9618" xr:uid="{00000000-0005-0000-0000-000092250000}"/>
    <cellStyle name="Normal 2 2 2 13 3 5" xfId="9619" xr:uid="{00000000-0005-0000-0000-000093250000}"/>
    <cellStyle name="Normal 2 2 2 13 3 6" xfId="9620" xr:uid="{00000000-0005-0000-0000-000094250000}"/>
    <cellStyle name="Normal 2 2 2 13 3 7" xfId="9621" xr:uid="{00000000-0005-0000-0000-000095250000}"/>
    <cellStyle name="Normal 2 2 2 13 3 8" xfId="9622" xr:uid="{00000000-0005-0000-0000-000096250000}"/>
    <cellStyle name="Normal 2 2 2 13 3 9" xfId="9623" xr:uid="{00000000-0005-0000-0000-000097250000}"/>
    <cellStyle name="Normal 2 2 2 13 4" xfId="9624" xr:uid="{00000000-0005-0000-0000-000098250000}"/>
    <cellStyle name="Normal 2 2 2 13 4 10" xfId="9625" xr:uid="{00000000-0005-0000-0000-000099250000}"/>
    <cellStyle name="Normal 2 2 2 13 4 2" xfId="9626" xr:uid="{00000000-0005-0000-0000-00009A250000}"/>
    <cellStyle name="Normal 2 2 2 13 4 3" xfId="9627" xr:uid="{00000000-0005-0000-0000-00009B250000}"/>
    <cellStyle name="Normal 2 2 2 13 4 4" xfId="9628" xr:uid="{00000000-0005-0000-0000-00009C250000}"/>
    <cellStyle name="Normal 2 2 2 13 4 5" xfId="9629" xr:uid="{00000000-0005-0000-0000-00009D250000}"/>
    <cellStyle name="Normal 2 2 2 13 4 6" xfId="9630" xr:uid="{00000000-0005-0000-0000-00009E250000}"/>
    <cellStyle name="Normal 2 2 2 13 4 7" xfId="9631" xr:uid="{00000000-0005-0000-0000-00009F250000}"/>
    <cellStyle name="Normal 2 2 2 13 4 8" xfId="9632" xr:uid="{00000000-0005-0000-0000-0000A0250000}"/>
    <cellStyle name="Normal 2 2 2 13 4 9" xfId="9633" xr:uid="{00000000-0005-0000-0000-0000A1250000}"/>
    <cellStyle name="Normal 2 2 2 13 5" xfId="9634" xr:uid="{00000000-0005-0000-0000-0000A2250000}"/>
    <cellStyle name="Normal 2 2 2 13 5 10" xfId="9635" xr:uid="{00000000-0005-0000-0000-0000A3250000}"/>
    <cellStyle name="Normal 2 2 2 13 5 2" xfId="9636" xr:uid="{00000000-0005-0000-0000-0000A4250000}"/>
    <cellStyle name="Normal 2 2 2 13 5 3" xfId="9637" xr:uid="{00000000-0005-0000-0000-0000A5250000}"/>
    <cellStyle name="Normal 2 2 2 13 5 4" xfId="9638" xr:uid="{00000000-0005-0000-0000-0000A6250000}"/>
    <cellStyle name="Normal 2 2 2 13 5 5" xfId="9639" xr:uid="{00000000-0005-0000-0000-0000A7250000}"/>
    <cellStyle name="Normal 2 2 2 13 5 6" xfId="9640" xr:uid="{00000000-0005-0000-0000-0000A8250000}"/>
    <cellStyle name="Normal 2 2 2 13 5 7" xfId="9641" xr:uid="{00000000-0005-0000-0000-0000A9250000}"/>
    <cellStyle name="Normal 2 2 2 13 5 8" xfId="9642" xr:uid="{00000000-0005-0000-0000-0000AA250000}"/>
    <cellStyle name="Normal 2 2 2 13 5 9" xfId="9643" xr:uid="{00000000-0005-0000-0000-0000AB250000}"/>
    <cellStyle name="Normal 2 2 2 13 6" xfId="9644" xr:uid="{00000000-0005-0000-0000-0000AC250000}"/>
    <cellStyle name="Normal 2 2 2 13 7" xfId="9645" xr:uid="{00000000-0005-0000-0000-0000AD250000}"/>
    <cellStyle name="Normal 2 2 2 13 8" xfId="9646" xr:uid="{00000000-0005-0000-0000-0000AE250000}"/>
    <cellStyle name="Normal 2 2 2 13 9" xfId="9647" xr:uid="{00000000-0005-0000-0000-0000AF250000}"/>
    <cellStyle name="Normal 2 2 2 14" xfId="9648" xr:uid="{00000000-0005-0000-0000-0000B0250000}"/>
    <cellStyle name="Normal 2 2 2 14 10" xfId="9649" xr:uid="{00000000-0005-0000-0000-0000B1250000}"/>
    <cellStyle name="Normal 2 2 2 14 11" xfId="9650" xr:uid="{00000000-0005-0000-0000-0000B2250000}"/>
    <cellStyle name="Normal 2 2 2 14 12" xfId="9651" xr:uid="{00000000-0005-0000-0000-0000B3250000}"/>
    <cellStyle name="Normal 2 2 2 14 13" xfId="9652" xr:uid="{00000000-0005-0000-0000-0000B4250000}"/>
    <cellStyle name="Normal 2 2 2 14 14" xfId="9653" xr:uid="{00000000-0005-0000-0000-0000B5250000}"/>
    <cellStyle name="Normal 2 2 2 14 2" xfId="9654" xr:uid="{00000000-0005-0000-0000-0000B6250000}"/>
    <cellStyle name="Normal 2 2 2 14 2 10" xfId="9655" xr:uid="{00000000-0005-0000-0000-0000B7250000}"/>
    <cellStyle name="Normal 2 2 2 14 2 2" xfId="9656" xr:uid="{00000000-0005-0000-0000-0000B8250000}"/>
    <cellStyle name="Normal 2 2 2 14 2 3" xfId="9657" xr:uid="{00000000-0005-0000-0000-0000B9250000}"/>
    <cellStyle name="Normal 2 2 2 14 2 4" xfId="9658" xr:uid="{00000000-0005-0000-0000-0000BA250000}"/>
    <cellStyle name="Normal 2 2 2 14 2 5" xfId="9659" xr:uid="{00000000-0005-0000-0000-0000BB250000}"/>
    <cellStyle name="Normal 2 2 2 14 2 6" xfId="9660" xr:uid="{00000000-0005-0000-0000-0000BC250000}"/>
    <cellStyle name="Normal 2 2 2 14 2 7" xfId="9661" xr:uid="{00000000-0005-0000-0000-0000BD250000}"/>
    <cellStyle name="Normal 2 2 2 14 2 8" xfId="9662" xr:uid="{00000000-0005-0000-0000-0000BE250000}"/>
    <cellStyle name="Normal 2 2 2 14 2 9" xfId="9663" xr:uid="{00000000-0005-0000-0000-0000BF250000}"/>
    <cellStyle name="Normal 2 2 2 14 3" xfId="9664" xr:uid="{00000000-0005-0000-0000-0000C0250000}"/>
    <cellStyle name="Normal 2 2 2 14 3 10" xfId="9665" xr:uid="{00000000-0005-0000-0000-0000C1250000}"/>
    <cellStyle name="Normal 2 2 2 14 3 2" xfId="9666" xr:uid="{00000000-0005-0000-0000-0000C2250000}"/>
    <cellStyle name="Normal 2 2 2 14 3 3" xfId="9667" xr:uid="{00000000-0005-0000-0000-0000C3250000}"/>
    <cellStyle name="Normal 2 2 2 14 3 4" xfId="9668" xr:uid="{00000000-0005-0000-0000-0000C4250000}"/>
    <cellStyle name="Normal 2 2 2 14 3 5" xfId="9669" xr:uid="{00000000-0005-0000-0000-0000C5250000}"/>
    <cellStyle name="Normal 2 2 2 14 3 6" xfId="9670" xr:uid="{00000000-0005-0000-0000-0000C6250000}"/>
    <cellStyle name="Normal 2 2 2 14 3 7" xfId="9671" xr:uid="{00000000-0005-0000-0000-0000C7250000}"/>
    <cellStyle name="Normal 2 2 2 14 3 8" xfId="9672" xr:uid="{00000000-0005-0000-0000-0000C8250000}"/>
    <cellStyle name="Normal 2 2 2 14 3 9" xfId="9673" xr:uid="{00000000-0005-0000-0000-0000C9250000}"/>
    <cellStyle name="Normal 2 2 2 14 4" xfId="9674" xr:uid="{00000000-0005-0000-0000-0000CA250000}"/>
    <cellStyle name="Normal 2 2 2 14 4 10" xfId="9675" xr:uid="{00000000-0005-0000-0000-0000CB250000}"/>
    <cellStyle name="Normal 2 2 2 14 4 2" xfId="9676" xr:uid="{00000000-0005-0000-0000-0000CC250000}"/>
    <cellStyle name="Normal 2 2 2 14 4 3" xfId="9677" xr:uid="{00000000-0005-0000-0000-0000CD250000}"/>
    <cellStyle name="Normal 2 2 2 14 4 4" xfId="9678" xr:uid="{00000000-0005-0000-0000-0000CE250000}"/>
    <cellStyle name="Normal 2 2 2 14 4 5" xfId="9679" xr:uid="{00000000-0005-0000-0000-0000CF250000}"/>
    <cellStyle name="Normal 2 2 2 14 4 6" xfId="9680" xr:uid="{00000000-0005-0000-0000-0000D0250000}"/>
    <cellStyle name="Normal 2 2 2 14 4 7" xfId="9681" xr:uid="{00000000-0005-0000-0000-0000D1250000}"/>
    <cellStyle name="Normal 2 2 2 14 4 8" xfId="9682" xr:uid="{00000000-0005-0000-0000-0000D2250000}"/>
    <cellStyle name="Normal 2 2 2 14 4 9" xfId="9683" xr:uid="{00000000-0005-0000-0000-0000D3250000}"/>
    <cellStyle name="Normal 2 2 2 14 5" xfId="9684" xr:uid="{00000000-0005-0000-0000-0000D4250000}"/>
    <cellStyle name="Normal 2 2 2 14 5 10" xfId="9685" xr:uid="{00000000-0005-0000-0000-0000D5250000}"/>
    <cellStyle name="Normal 2 2 2 14 5 2" xfId="9686" xr:uid="{00000000-0005-0000-0000-0000D6250000}"/>
    <cellStyle name="Normal 2 2 2 14 5 3" xfId="9687" xr:uid="{00000000-0005-0000-0000-0000D7250000}"/>
    <cellStyle name="Normal 2 2 2 14 5 4" xfId="9688" xr:uid="{00000000-0005-0000-0000-0000D8250000}"/>
    <cellStyle name="Normal 2 2 2 14 5 5" xfId="9689" xr:uid="{00000000-0005-0000-0000-0000D9250000}"/>
    <cellStyle name="Normal 2 2 2 14 5 6" xfId="9690" xr:uid="{00000000-0005-0000-0000-0000DA250000}"/>
    <cellStyle name="Normal 2 2 2 14 5 7" xfId="9691" xr:uid="{00000000-0005-0000-0000-0000DB250000}"/>
    <cellStyle name="Normal 2 2 2 14 5 8" xfId="9692" xr:uid="{00000000-0005-0000-0000-0000DC250000}"/>
    <cellStyle name="Normal 2 2 2 14 5 9" xfId="9693" xr:uid="{00000000-0005-0000-0000-0000DD250000}"/>
    <cellStyle name="Normal 2 2 2 14 6" xfId="9694" xr:uid="{00000000-0005-0000-0000-0000DE250000}"/>
    <cellStyle name="Normal 2 2 2 14 7" xfId="9695" xr:uid="{00000000-0005-0000-0000-0000DF250000}"/>
    <cellStyle name="Normal 2 2 2 14 8" xfId="9696" xr:uid="{00000000-0005-0000-0000-0000E0250000}"/>
    <cellStyle name="Normal 2 2 2 14 9" xfId="9697" xr:uid="{00000000-0005-0000-0000-0000E1250000}"/>
    <cellStyle name="Normal 2 2 2 15" xfId="9698" xr:uid="{00000000-0005-0000-0000-0000E2250000}"/>
    <cellStyle name="Normal 2 2 2 15 10" xfId="9699" xr:uid="{00000000-0005-0000-0000-0000E3250000}"/>
    <cellStyle name="Normal 2 2 2 15 11" xfId="9700" xr:uid="{00000000-0005-0000-0000-0000E4250000}"/>
    <cellStyle name="Normal 2 2 2 15 12" xfId="9701" xr:uid="{00000000-0005-0000-0000-0000E5250000}"/>
    <cellStyle name="Normal 2 2 2 15 13" xfId="9702" xr:uid="{00000000-0005-0000-0000-0000E6250000}"/>
    <cellStyle name="Normal 2 2 2 15 14" xfId="9703" xr:uid="{00000000-0005-0000-0000-0000E7250000}"/>
    <cellStyle name="Normal 2 2 2 15 2" xfId="9704" xr:uid="{00000000-0005-0000-0000-0000E8250000}"/>
    <cellStyle name="Normal 2 2 2 15 2 10" xfId="9705" xr:uid="{00000000-0005-0000-0000-0000E9250000}"/>
    <cellStyle name="Normal 2 2 2 15 2 2" xfId="9706" xr:uid="{00000000-0005-0000-0000-0000EA250000}"/>
    <cellStyle name="Normal 2 2 2 15 2 3" xfId="9707" xr:uid="{00000000-0005-0000-0000-0000EB250000}"/>
    <cellStyle name="Normal 2 2 2 15 2 4" xfId="9708" xr:uid="{00000000-0005-0000-0000-0000EC250000}"/>
    <cellStyle name="Normal 2 2 2 15 2 5" xfId="9709" xr:uid="{00000000-0005-0000-0000-0000ED250000}"/>
    <cellStyle name="Normal 2 2 2 15 2 6" xfId="9710" xr:uid="{00000000-0005-0000-0000-0000EE250000}"/>
    <cellStyle name="Normal 2 2 2 15 2 7" xfId="9711" xr:uid="{00000000-0005-0000-0000-0000EF250000}"/>
    <cellStyle name="Normal 2 2 2 15 2 8" xfId="9712" xr:uid="{00000000-0005-0000-0000-0000F0250000}"/>
    <cellStyle name="Normal 2 2 2 15 2 9" xfId="9713" xr:uid="{00000000-0005-0000-0000-0000F1250000}"/>
    <cellStyle name="Normal 2 2 2 15 3" xfId="9714" xr:uid="{00000000-0005-0000-0000-0000F2250000}"/>
    <cellStyle name="Normal 2 2 2 15 3 10" xfId="9715" xr:uid="{00000000-0005-0000-0000-0000F3250000}"/>
    <cellStyle name="Normal 2 2 2 15 3 2" xfId="9716" xr:uid="{00000000-0005-0000-0000-0000F4250000}"/>
    <cellStyle name="Normal 2 2 2 15 3 3" xfId="9717" xr:uid="{00000000-0005-0000-0000-0000F5250000}"/>
    <cellStyle name="Normal 2 2 2 15 3 4" xfId="9718" xr:uid="{00000000-0005-0000-0000-0000F6250000}"/>
    <cellStyle name="Normal 2 2 2 15 3 5" xfId="9719" xr:uid="{00000000-0005-0000-0000-0000F7250000}"/>
    <cellStyle name="Normal 2 2 2 15 3 6" xfId="9720" xr:uid="{00000000-0005-0000-0000-0000F8250000}"/>
    <cellStyle name="Normal 2 2 2 15 3 7" xfId="9721" xr:uid="{00000000-0005-0000-0000-0000F9250000}"/>
    <cellStyle name="Normal 2 2 2 15 3 8" xfId="9722" xr:uid="{00000000-0005-0000-0000-0000FA250000}"/>
    <cellStyle name="Normal 2 2 2 15 3 9" xfId="9723" xr:uid="{00000000-0005-0000-0000-0000FB250000}"/>
    <cellStyle name="Normal 2 2 2 15 4" xfId="9724" xr:uid="{00000000-0005-0000-0000-0000FC250000}"/>
    <cellStyle name="Normal 2 2 2 15 4 10" xfId="9725" xr:uid="{00000000-0005-0000-0000-0000FD250000}"/>
    <cellStyle name="Normal 2 2 2 15 4 2" xfId="9726" xr:uid="{00000000-0005-0000-0000-0000FE250000}"/>
    <cellStyle name="Normal 2 2 2 15 4 3" xfId="9727" xr:uid="{00000000-0005-0000-0000-0000FF250000}"/>
    <cellStyle name="Normal 2 2 2 15 4 4" xfId="9728" xr:uid="{00000000-0005-0000-0000-000000260000}"/>
    <cellStyle name="Normal 2 2 2 15 4 5" xfId="9729" xr:uid="{00000000-0005-0000-0000-000001260000}"/>
    <cellStyle name="Normal 2 2 2 15 4 6" xfId="9730" xr:uid="{00000000-0005-0000-0000-000002260000}"/>
    <cellStyle name="Normal 2 2 2 15 4 7" xfId="9731" xr:uid="{00000000-0005-0000-0000-000003260000}"/>
    <cellStyle name="Normal 2 2 2 15 4 8" xfId="9732" xr:uid="{00000000-0005-0000-0000-000004260000}"/>
    <cellStyle name="Normal 2 2 2 15 4 9" xfId="9733" xr:uid="{00000000-0005-0000-0000-000005260000}"/>
    <cellStyle name="Normal 2 2 2 15 5" xfId="9734" xr:uid="{00000000-0005-0000-0000-000006260000}"/>
    <cellStyle name="Normal 2 2 2 15 5 10" xfId="9735" xr:uid="{00000000-0005-0000-0000-000007260000}"/>
    <cellStyle name="Normal 2 2 2 15 5 2" xfId="9736" xr:uid="{00000000-0005-0000-0000-000008260000}"/>
    <cellStyle name="Normal 2 2 2 15 5 3" xfId="9737" xr:uid="{00000000-0005-0000-0000-000009260000}"/>
    <cellStyle name="Normal 2 2 2 15 5 4" xfId="9738" xr:uid="{00000000-0005-0000-0000-00000A260000}"/>
    <cellStyle name="Normal 2 2 2 15 5 5" xfId="9739" xr:uid="{00000000-0005-0000-0000-00000B260000}"/>
    <cellStyle name="Normal 2 2 2 15 5 6" xfId="9740" xr:uid="{00000000-0005-0000-0000-00000C260000}"/>
    <cellStyle name="Normal 2 2 2 15 5 7" xfId="9741" xr:uid="{00000000-0005-0000-0000-00000D260000}"/>
    <cellStyle name="Normal 2 2 2 15 5 8" xfId="9742" xr:uid="{00000000-0005-0000-0000-00000E260000}"/>
    <cellStyle name="Normal 2 2 2 15 5 9" xfId="9743" xr:uid="{00000000-0005-0000-0000-00000F260000}"/>
    <cellStyle name="Normal 2 2 2 15 6" xfId="9744" xr:uid="{00000000-0005-0000-0000-000010260000}"/>
    <cellStyle name="Normal 2 2 2 15 7" xfId="9745" xr:uid="{00000000-0005-0000-0000-000011260000}"/>
    <cellStyle name="Normal 2 2 2 15 8" xfId="9746" xr:uid="{00000000-0005-0000-0000-000012260000}"/>
    <cellStyle name="Normal 2 2 2 15 9" xfId="9747" xr:uid="{00000000-0005-0000-0000-000013260000}"/>
    <cellStyle name="Normal 2 2 2 16" xfId="9748" xr:uid="{00000000-0005-0000-0000-000014260000}"/>
    <cellStyle name="Normal 2 2 2 16 10" xfId="9749" xr:uid="{00000000-0005-0000-0000-000015260000}"/>
    <cellStyle name="Normal 2 2 2 16 11" xfId="9750" xr:uid="{00000000-0005-0000-0000-000016260000}"/>
    <cellStyle name="Normal 2 2 2 16 12" xfId="9751" xr:uid="{00000000-0005-0000-0000-000017260000}"/>
    <cellStyle name="Normal 2 2 2 16 13" xfId="9752" xr:uid="{00000000-0005-0000-0000-000018260000}"/>
    <cellStyle name="Normal 2 2 2 16 14" xfId="9753" xr:uid="{00000000-0005-0000-0000-000019260000}"/>
    <cellStyle name="Normal 2 2 2 16 2" xfId="9754" xr:uid="{00000000-0005-0000-0000-00001A260000}"/>
    <cellStyle name="Normal 2 2 2 16 2 10" xfId="9755" xr:uid="{00000000-0005-0000-0000-00001B260000}"/>
    <cellStyle name="Normal 2 2 2 16 2 2" xfId="9756" xr:uid="{00000000-0005-0000-0000-00001C260000}"/>
    <cellStyle name="Normal 2 2 2 16 2 3" xfId="9757" xr:uid="{00000000-0005-0000-0000-00001D260000}"/>
    <cellStyle name="Normal 2 2 2 16 2 4" xfId="9758" xr:uid="{00000000-0005-0000-0000-00001E260000}"/>
    <cellStyle name="Normal 2 2 2 16 2 5" xfId="9759" xr:uid="{00000000-0005-0000-0000-00001F260000}"/>
    <cellStyle name="Normal 2 2 2 16 2 6" xfId="9760" xr:uid="{00000000-0005-0000-0000-000020260000}"/>
    <cellStyle name="Normal 2 2 2 16 2 7" xfId="9761" xr:uid="{00000000-0005-0000-0000-000021260000}"/>
    <cellStyle name="Normal 2 2 2 16 2 8" xfId="9762" xr:uid="{00000000-0005-0000-0000-000022260000}"/>
    <cellStyle name="Normal 2 2 2 16 2 9" xfId="9763" xr:uid="{00000000-0005-0000-0000-000023260000}"/>
    <cellStyle name="Normal 2 2 2 16 3" xfId="9764" xr:uid="{00000000-0005-0000-0000-000024260000}"/>
    <cellStyle name="Normal 2 2 2 16 3 10" xfId="9765" xr:uid="{00000000-0005-0000-0000-000025260000}"/>
    <cellStyle name="Normal 2 2 2 16 3 2" xfId="9766" xr:uid="{00000000-0005-0000-0000-000026260000}"/>
    <cellStyle name="Normal 2 2 2 16 3 3" xfId="9767" xr:uid="{00000000-0005-0000-0000-000027260000}"/>
    <cellStyle name="Normal 2 2 2 16 3 4" xfId="9768" xr:uid="{00000000-0005-0000-0000-000028260000}"/>
    <cellStyle name="Normal 2 2 2 16 3 5" xfId="9769" xr:uid="{00000000-0005-0000-0000-000029260000}"/>
    <cellStyle name="Normal 2 2 2 16 3 6" xfId="9770" xr:uid="{00000000-0005-0000-0000-00002A260000}"/>
    <cellStyle name="Normal 2 2 2 16 3 7" xfId="9771" xr:uid="{00000000-0005-0000-0000-00002B260000}"/>
    <cellStyle name="Normal 2 2 2 16 3 8" xfId="9772" xr:uid="{00000000-0005-0000-0000-00002C260000}"/>
    <cellStyle name="Normal 2 2 2 16 3 9" xfId="9773" xr:uid="{00000000-0005-0000-0000-00002D260000}"/>
    <cellStyle name="Normal 2 2 2 16 4" xfId="9774" xr:uid="{00000000-0005-0000-0000-00002E260000}"/>
    <cellStyle name="Normal 2 2 2 16 4 10" xfId="9775" xr:uid="{00000000-0005-0000-0000-00002F260000}"/>
    <cellStyle name="Normal 2 2 2 16 4 2" xfId="9776" xr:uid="{00000000-0005-0000-0000-000030260000}"/>
    <cellStyle name="Normal 2 2 2 16 4 3" xfId="9777" xr:uid="{00000000-0005-0000-0000-000031260000}"/>
    <cellStyle name="Normal 2 2 2 16 4 4" xfId="9778" xr:uid="{00000000-0005-0000-0000-000032260000}"/>
    <cellStyle name="Normal 2 2 2 16 4 5" xfId="9779" xr:uid="{00000000-0005-0000-0000-000033260000}"/>
    <cellStyle name="Normal 2 2 2 16 4 6" xfId="9780" xr:uid="{00000000-0005-0000-0000-000034260000}"/>
    <cellStyle name="Normal 2 2 2 16 4 7" xfId="9781" xr:uid="{00000000-0005-0000-0000-000035260000}"/>
    <cellStyle name="Normal 2 2 2 16 4 8" xfId="9782" xr:uid="{00000000-0005-0000-0000-000036260000}"/>
    <cellStyle name="Normal 2 2 2 16 4 9" xfId="9783" xr:uid="{00000000-0005-0000-0000-000037260000}"/>
    <cellStyle name="Normal 2 2 2 16 5" xfId="9784" xr:uid="{00000000-0005-0000-0000-000038260000}"/>
    <cellStyle name="Normal 2 2 2 16 5 10" xfId="9785" xr:uid="{00000000-0005-0000-0000-000039260000}"/>
    <cellStyle name="Normal 2 2 2 16 5 2" xfId="9786" xr:uid="{00000000-0005-0000-0000-00003A260000}"/>
    <cellStyle name="Normal 2 2 2 16 5 3" xfId="9787" xr:uid="{00000000-0005-0000-0000-00003B260000}"/>
    <cellStyle name="Normal 2 2 2 16 5 4" xfId="9788" xr:uid="{00000000-0005-0000-0000-00003C260000}"/>
    <cellStyle name="Normal 2 2 2 16 5 5" xfId="9789" xr:uid="{00000000-0005-0000-0000-00003D260000}"/>
    <cellStyle name="Normal 2 2 2 16 5 6" xfId="9790" xr:uid="{00000000-0005-0000-0000-00003E260000}"/>
    <cellStyle name="Normal 2 2 2 16 5 7" xfId="9791" xr:uid="{00000000-0005-0000-0000-00003F260000}"/>
    <cellStyle name="Normal 2 2 2 16 5 8" xfId="9792" xr:uid="{00000000-0005-0000-0000-000040260000}"/>
    <cellStyle name="Normal 2 2 2 16 5 9" xfId="9793" xr:uid="{00000000-0005-0000-0000-000041260000}"/>
    <cellStyle name="Normal 2 2 2 16 6" xfId="9794" xr:uid="{00000000-0005-0000-0000-000042260000}"/>
    <cellStyle name="Normal 2 2 2 16 7" xfId="9795" xr:uid="{00000000-0005-0000-0000-000043260000}"/>
    <cellStyle name="Normal 2 2 2 16 8" xfId="9796" xr:uid="{00000000-0005-0000-0000-000044260000}"/>
    <cellStyle name="Normal 2 2 2 16 9" xfId="9797" xr:uid="{00000000-0005-0000-0000-000045260000}"/>
    <cellStyle name="Normal 2 2 2 17" xfId="9798" xr:uid="{00000000-0005-0000-0000-000046260000}"/>
    <cellStyle name="Normal 2 2 2 17 10" xfId="9799" xr:uid="{00000000-0005-0000-0000-000047260000}"/>
    <cellStyle name="Normal 2 2 2 17 11" xfId="9800" xr:uid="{00000000-0005-0000-0000-000048260000}"/>
    <cellStyle name="Normal 2 2 2 17 12" xfId="9801" xr:uid="{00000000-0005-0000-0000-000049260000}"/>
    <cellStyle name="Normal 2 2 2 17 13" xfId="9802" xr:uid="{00000000-0005-0000-0000-00004A260000}"/>
    <cellStyle name="Normal 2 2 2 17 14" xfId="9803" xr:uid="{00000000-0005-0000-0000-00004B260000}"/>
    <cellStyle name="Normal 2 2 2 17 2" xfId="9804" xr:uid="{00000000-0005-0000-0000-00004C260000}"/>
    <cellStyle name="Normal 2 2 2 17 2 10" xfId="9805" xr:uid="{00000000-0005-0000-0000-00004D260000}"/>
    <cellStyle name="Normal 2 2 2 17 2 2" xfId="9806" xr:uid="{00000000-0005-0000-0000-00004E260000}"/>
    <cellStyle name="Normal 2 2 2 17 2 3" xfId="9807" xr:uid="{00000000-0005-0000-0000-00004F260000}"/>
    <cellStyle name="Normal 2 2 2 17 2 4" xfId="9808" xr:uid="{00000000-0005-0000-0000-000050260000}"/>
    <cellStyle name="Normal 2 2 2 17 2 5" xfId="9809" xr:uid="{00000000-0005-0000-0000-000051260000}"/>
    <cellStyle name="Normal 2 2 2 17 2 6" xfId="9810" xr:uid="{00000000-0005-0000-0000-000052260000}"/>
    <cellStyle name="Normal 2 2 2 17 2 7" xfId="9811" xr:uid="{00000000-0005-0000-0000-000053260000}"/>
    <cellStyle name="Normal 2 2 2 17 2 8" xfId="9812" xr:uid="{00000000-0005-0000-0000-000054260000}"/>
    <cellStyle name="Normal 2 2 2 17 2 9" xfId="9813" xr:uid="{00000000-0005-0000-0000-000055260000}"/>
    <cellStyle name="Normal 2 2 2 17 3" xfId="9814" xr:uid="{00000000-0005-0000-0000-000056260000}"/>
    <cellStyle name="Normal 2 2 2 17 3 10" xfId="9815" xr:uid="{00000000-0005-0000-0000-000057260000}"/>
    <cellStyle name="Normal 2 2 2 17 3 2" xfId="9816" xr:uid="{00000000-0005-0000-0000-000058260000}"/>
    <cellStyle name="Normal 2 2 2 17 3 3" xfId="9817" xr:uid="{00000000-0005-0000-0000-000059260000}"/>
    <cellStyle name="Normal 2 2 2 17 3 4" xfId="9818" xr:uid="{00000000-0005-0000-0000-00005A260000}"/>
    <cellStyle name="Normal 2 2 2 17 3 5" xfId="9819" xr:uid="{00000000-0005-0000-0000-00005B260000}"/>
    <cellStyle name="Normal 2 2 2 17 3 6" xfId="9820" xr:uid="{00000000-0005-0000-0000-00005C260000}"/>
    <cellStyle name="Normal 2 2 2 17 3 7" xfId="9821" xr:uid="{00000000-0005-0000-0000-00005D260000}"/>
    <cellStyle name="Normal 2 2 2 17 3 8" xfId="9822" xr:uid="{00000000-0005-0000-0000-00005E260000}"/>
    <cellStyle name="Normal 2 2 2 17 3 9" xfId="9823" xr:uid="{00000000-0005-0000-0000-00005F260000}"/>
    <cellStyle name="Normal 2 2 2 17 4" xfId="9824" xr:uid="{00000000-0005-0000-0000-000060260000}"/>
    <cellStyle name="Normal 2 2 2 17 4 10" xfId="9825" xr:uid="{00000000-0005-0000-0000-000061260000}"/>
    <cellStyle name="Normal 2 2 2 17 4 2" xfId="9826" xr:uid="{00000000-0005-0000-0000-000062260000}"/>
    <cellStyle name="Normal 2 2 2 17 4 3" xfId="9827" xr:uid="{00000000-0005-0000-0000-000063260000}"/>
    <cellStyle name="Normal 2 2 2 17 4 4" xfId="9828" xr:uid="{00000000-0005-0000-0000-000064260000}"/>
    <cellStyle name="Normal 2 2 2 17 4 5" xfId="9829" xr:uid="{00000000-0005-0000-0000-000065260000}"/>
    <cellStyle name="Normal 2 2 2 17 4 6" xfId="9830" xr:uid="{00000000-0005-0000-0000-000066260000}"/>
    <cellStyle name="Normal 2 2 2 17 4 7" xfId="9831" xr:uid="{00000000-0005-0000-0000-000067260000}"/>
    <cellStyle name="Normal 2 2 2 17 4 8" xfId="9832" xr:uid="{00000000-0005-0000-0000-000068260000}"/>
    <cellStyle name="Normal 2 2 2 17 4 9" xfId="9833" xr:uid="{00000000-0005-0000-0000-000069260000}"/>
    <cellStyle name="Normal 2 2 2 17 5" xfId="9834" xr:uid="{00000000-0005-0000-0000-00006A260000}"/>
    <cellStyle name="Normal 2 2 2 17 5 10" xfId="9835" xr:uid="{00000000-0005-0000-0000-00006B260000}"/>
    <cellStyle name="Normal 2 2 2 17 5 2" xfId="9836" xr:uid="{00000000-0005-0000-0000-00006C260000}"/>
    <cellStyle name="Normal 2 2 2 17 5 3" xfId="9837" xr:uid="{00000000-0005-0000-0000-00006D260000}"/>
    <cellStyle name="Normal 2 2 2 17 5 4" xfId="9838" xr:uid="{00000000-0005-0000-0000-00006E260000}"/>
    <cellStyle name="Normal 2 2 2 17 5 5" xfId="9839" xr:uid="{00000000-0005-0000-0000-00006F260000}"/>
    <cellStyle name="Normal 2 2 2 17 5 6" xfId="9840" xr:uid="{00000000-0005-0000-0000-000070260000}"/>
    <cellStyle name="Normal 2 2 2 17 5 7" xfId="9841" xr:uid="{00000000-0005-0000-0000-000071260000}"/>
    <cellStyle name="Normal 2 2 2 17 5 8" xfId="9842" xr:uid="{00000000-0005-0000-0000-000072260000}"/>
    <cellStyle name="Normal 2 2 2 17 5 9" xfId="9843" xr:uid="{00000000-0005-0000-0000-000073260000}"/>
    <cellStyle name="Normal 2 2 2 17 6" xfId="9844" xr:uid="{00000000-0005-0000-0000-000074260000}"/>
    <cellStyle name="Normal 2 2 2 17 7" xfId="9845" xr:uid="{00000000-0005-0000-0000-000075260000}"/>
    <cellStyle name="Normal 2 2 2 17 8" xfId="9846" xr:uid="{00000000-0005-0000-0000-000076260000}"/>
    <cellStyle name="Normal 2 2 2 17 9" xfId="9847" xr:uid="{00000000-0005-0000-0000-000077260000}"/>
    <cellStyle name="Normal 2 2 2 18" xfId="9848" xr:uid="{00000000-0005-0000-0000-000078260000}"/>
    <cellStyle name="Normal 2 2 2 18 10" xfId="9849" xr:uid="{00000000-0005-0000-0000-000079260000}"/>
    <cellStyle name="Normal 2 2 2 18 11" xfId="9850" xr:uid="{00000000-0005-0000-0000-00007A260000}"/>
    <cellStyle name="Normal 2 2 2 18 12" xfId="9851" xr:uid="{00000000-0005-0000-0000-00007B260000}"/>
    <cellStyle name="Normal 2 2 2 18 13" xfId="9852" xr:uid="{00000000-0005-0000-0000-00007C260000}"/>
    <cellStyle name="Normal 2 2 2 18 14" xfId="9853" xr:uid="{00000000-0005-0000-0000-00007D260000}"/>
    <cellStyle name="Normal 2 2 2 18 2" xfId="9854" xr:uid="{00000000-0005-0000-0000-00007E260000}"/>
    <cellStyle name="Normal 2 2 2 18 2 10" xfId="9855" xr:uid="{00000000-0005-0000-0000-00007F260000}"/>
    <cellStyle name="Normal 2 2 2 18 2 2" xfId="9856" xr:uid="{00000000-0005-0000-0000-000080260000}"/>
    <cellStyle name="Normal 2 2 2 18 2 3" xfId="9857" xr:uid="{00000000-0005-0000-0000-000081260000}"/>
    <cellStyle name="Normal 2 2 2 18 2 4" xfId="9858" xr:uid="{00000000-0005-0000-0000-000082260000}"/>
    <cellStyle name="Normal 2 2 2 18 2 5" xfId="9859" xr:uid="{00000000-0005-0000-0000-000083260000}"/>
    <cellStyle name="Normal 2 2 2 18 2 6" xfId="9860" xr:uid="{00000000-0005-0000-0000-000084260000}"/>
    <cellStyle name="Normal 2 2 2 18 2 7" xfId="9861" xr:uid="{00000000-0005-0000-0000-000085260000}"/>
    <cellStyle name="Normal 2 2 2 18 2 8" xfId="9862" xr:uid="{00000000-0005-0000-0000-000086260000}"/>
    <cellStyle name="Normal 2 2 2 18 2 9" xfId="9863" xr:uid="{00000000-0005-0000-0000-000087260000}"/>
    <cellStyle name="Normal 2 2 2 18 3" xfId="9864" xr:uid="{00000000-0005-0000-0000-000088260000}"/>
    <cellStyle name="Normal 2 2 2 18 3 10" xfId="9865" xr:uid="{00000000-0005-0000-0000-000089260000}"/>
    <cellStyle name="Normal 2 2 2 18 3 2" xfId="9866" xr:uid="{00000000-0005-0000-0000-00008A260000}"/>
    <cellStyle name="Normal 2 2 2 18 3 3" xfId="9867" xr:uid="{00000000-0005-0000-0000-00008B260000}"/>
    <cellStyle name="Normal 2 2 2 18 3 4" xfId="9868" xr:uid="{00000000-0005-0000-0000-00008C260000}"/>
    <cellStyle name="Normal 2 2 2 18 3 5" xfId="9869" xr:uid="{00000000-0005-0000-0000-00008D260000}"/>
    <cellStyle name="Normal 2 2 2 18 3 6" xfId="9870" xr:uid="{00000000-0005-0000-0000-00008E260000}"/>
    <cellStyle name="Normal 2 2 2 18 3 7" xfId="9871" xr:uid="{00000000-0005-0000-0000-00008F260000}"/>
    <cellStyle name="Normal 2 2 2 18 3 8" xfId="9872" xr:uid="{00000000-0005-0000-0000-000090260000}"/>
    <cellStyle name="Normal 2 2 2 18 3 9" xfId="9873" xr:uid="{00000000-0005-0000-0000-000091260000}"/>
    <cellStyle name="Normal 2 2 2 18 4" xfId="9874" xr:uid="{00000000-0005-0000-0000-000092260000}"/>
    <cellStyle name="Normal 2 2 2 18 4 10" xfId="9875" xr:uid="{00000000-0005-0000-0000-000093260000}"/>
    <cellStyle name="Normal 2 2 2 18 4 2" xfId="9876" xr:uid="{00000000-0005-0000-0000-000094260000}"/>
    <cellStyle name="Normal 2 2 2 18 4 3" xfId="9877" xr:uid="{00000000-0005-0000-0000-000095260000}"/>
    <cellStyle name="Normal 2 2 2 18 4 4" xfId="9878" xr:uid="{00000000-0005-0000-0000-000096260000}"/>
    <cellStyle name="Normal 2 2 2 18 4 5" xfId="9879" xr:uid="{00000000-0005-0000-0000-000097260000}"/>
    <cellStyle name="Normal 2 2 2 18 4 6" xfId="9880" xr:uid="{00000000-0005-0000-0000-000098260000}"/>
    <cellStyle name="Normal 2 2 2 18 4 7" xfId="9881" xr:uid="{00000000-0005-0000-0000-000099260000}"/>
    <cellStyle name="Normal 2 2 2 18 4 8" xfId="9882" xr:uid="{00000000-0005-0000-0000-00009A260000}"/>
    <cellStyle name="Normal 2 2 2 18 4 9" xfId="9883" xr:uid="{00000000-0005-0000-0000-00009B260000}"/>
    <cellStyle name="Normal 2 2 2 18 5" xfId="9884" xr:uid="{00000000-0005-0000-0000-00009C260000}"/>
    <cellStyle name="Normal 2 2 2 18 5 10" xfId="9885" xr:uid="{00000000-0005-0000-0000-00009D260000}"/>
    <cellStyle name="Normal 2 2 2 18 5 2" xfId="9886" xr:uid="{00000000-0005-0000-0000-00009E260000}"/>
    <cellStyle name="Normal 2 2 2 18 5 3" xfId="9887" xr:uid="{00000000-0005-0000-0000-00009F260000}"/>
    <cellStyle name="Normal 2 2 2 18 5 4" xfId="9888" xr:uid="{00000000-0005-0000-0000-0000A0260000}"/>
    <cellStyle name="Normal 2 2 2 18 5 5" xfId="9889" xr:uid="{00000000-0005-0000-0000-0000A1260000}"/>
    <cellStyle name="Normal 2 2 2 18 5 6" xfId="9890" xr:uid="{00000000-0005-0000-0000-0000A2260000}"/>
    <cellStyle name="Normal 2 2 2 18 5 7" xfId="9891" xr:uid="{00000000-0005-0000-0000-0000A3260000}"/>
    <cellStyle name="Normal 2 2 2 18 5 8" xfId="9892" xr:uid="{00000000-0005-0000-0000-0000A4260000}"/>
    <cellStyle name="Normal 2 2 2 18 5 9" xfId="9893" xr:uid="{00000000-0005-0000-0000-0000A5260000}"/>
    <cellStyle name="Normal 2 2 2 18 6" xfId="9894" xr:uid="{00000000-0005-0000-0000-0000A6260000}"/>
    <cellStyle name="Normal 2 2 2 18 7" xfId="9895" xr:uid="{00000000-0005-0000-0000-0000A7260000}"/>
    <cellStyle name="Normal 2 2 2 18 8" xfId="9896" xr:uid="{00000000-0005-0000-0000-0000A8260000}"/>
    <cellStyle name="Normal 2 2 2 18 9" xfId="9897" xr:uid="{00000000-0005-0000-0000-0000A9260000}"/>
    <cellStyle name="Normal 2 2 2 19" xfId="9898" xr:uid="{00000000-0005-0000-0000-0000AA260000}"/>
    <cellStyle name="Normal 2 2 2 19 10" xfId="9899" xr:uid="{00000000-0005-0000-0000-0000AB260000}"/>
    <cellStyle name="Normal 2 2 2 19 11" xfId="9900" xr:uid="{00000000-0005-0000-0000-0000AC260000}"/>
    <cellStyle name="Normal 2 2 2 19 12" xfId="9901" xr:uid="{00000000-0005-0000-0000-0000AD260000}"/>
    <cellStyle name="Normal 2 2 2 19 13" xfId="9902" xr:uid="{00000000-0005-0000-0000-0000AE260000}"/>
    <cellStyle name="Normal 2 2 2 19 14" xfId="9903" xr:uid="{00000000-0005-0000-0000-0000AF260000}"/>
    <cellStyle name="Normal 2 2 2 19 2" xfId="9904" xr:uid="{00000000-0005-0000-0000-0000B0260000}"/>
    <cellStyle name="Normal 2 2 2 19 2 10" xfId="9905" xr:uid="{00000000-0005-0000-0000-0000B1260000}"/>
    <cellStyle name="Normal 2 2 2 19 2 2" xfId="9906" xr:uid="{00000000-0005-0000-0000-0000B2260000}"/>
    <cellStyle name="Normal 2 2 2 19 2 3" xfId="9907" xr:uid="{00000000-0005-0000-0000-0000B3260000}"/>
    <cellStyle name="Normal 2 2 2 19 2 4" xfId="9908" xr:uid="{00000000-0005-0000-0000-0000B4260000}"/>
    <cellStyle name="Normal 2 2 2 19 2 5" xfId="9909" xr:uid="{00000000-0005-0000-0000-0000B5260000}"/>
    <cellStyle name="Normal 2 2 2 19 2 6" xfId="9910" xr:uid="{00000000-0005-0000-0000-0000B6260000}"/>
    <cellStyle name="Normal 2 2 2 19 2 7" xfId="9911" xr:uid="{00000000-0005-0000-0000-0000B7260000}"/>
    <cellStyle name="Normal 2 2 2 19 2 8" xfId="9912" xr:uid="{00000000-0005-0000-0000-0000B8260000}"/>
    <cellStyle name="Normal 2 2 2 19 2 9" xfId="9913" xr:uid="{00000000-0005-0000-0000-0000B9260000}"/>
    <cellStyle name="Normal 2 2 2 19 3" xfId="9914" xr:uid="{00000000-0005-0000-0000-0000BA260000}"/>
    <cellStyle name="Normal 2 2 2 19 3 10" xfId="9915" xr:uid="{00000000-0005-0000-0000-0000BB260000}"/>
    <cellStyle name="Normal 2 2 2 19 3 2" xfId="9916" xr:uid="{00000000-0005-0000-0000-0000BC260000}"/>
    <cellStyle name="Normal 2 2 2 19 3 3" xfId="9917" xr:uid="{00000000-0005-0000-0000-0000BD260000}"/>
    <cellStyle name="Normal 2 2 2 19 3 4" xfId="9918" xr:uid="{00000000-0005-0000-0000-0000BE260000}"/>
    <cellStyle name="Normal 2 2 2 19 3 5" xfId="9919" xr:uid="{00000000-0005-0000-0000-0000BF260000}"/>
    <cellStyle name="Normal 2 2 2 19 3 6" xfId="9920" xr:uid="{00000000-0005-0000-0000-0000C0260000}"/>
    <cellStyle name="Normal 2 2 2 19 3 7" xfId="9921" xr:uid="{00000000-0005-0000-0000-0000C1260000}"/>
    <cellStyle name="Normal 2 2 2 19 3 8" xfId="9922" xr:uid="{00000000-0005-0000-0000-0000C2260000}"/>
    <cellStyle name="Normal 2 2 2 19 3 9" xfId="9923" xr:uid="{00000000-0005-0000-0000-0000C3260000}"/>
    <cellStyle name="Normal 2 2 2 19 4" xfId="9924" xr:uid="{00000000-0005-0000-0000-0000C4260000}"/>
    <cellStyle name="Normal 2 2 2 19 4 10" xfId="9925" xr:uid="{00000000-0005-0000-0000-0000C5260000}"/>
    <cellStyle name="Normal 2 2 2 19 4 2" xfId="9926" xr:uid="{00000000-0005-0000-0000-0000C6260000}"/>
    <cellStyle name="Normal 2 2 2 19 4 3" xfId="9927" xr:uid="{00000000-0005-0000-0000-0000C7260000}"/>
    <cellStyle name="Normal 2 2 2 19 4 4" xfId="9928" xr:uid="{00000000-0005-0000-0000-0000C8260000}"/>
    <cellStyle name="Normal 2 2 2 19 4 5" xfId="9929" xr:uid="{00000000-0005-0000-0000-0000C9260000}"/>
    <cellStyle name="Normal 2 2 2 19 4 6" xfId="9930" xr:uid="{00000000-0005-0000-0000-0000CA260000}"/>
    <cellStyle name="Normal 2 2 2 19 4 7" xfId="9931" xr:uid="{00000000-0005-0000-0000-0000CB260000}"/>
    <cellStyle name="Normal 2 2 2 19 4 8" xfId="9932" xr:uid="{00000000-0005-0000-0000-0000CC260000}"/>
    <cellStyle name="Normal 2 2 2 19 4 9" xfId="9933" xr:uid="{00000000-0005-0000-0000-0000CD260000}"/>
    <cellStyle name="Normal 2 2 2 19 5" xfId="9934" xr:uid="{00000000-0005-0000-0000-0000CE260000}"/>
    <cellStyle name="Normal 2 2 2 19 5 10" xfId="9935" xr:uid="{00000000-0005-0000-0000-0000CF260000}"/>
    <cellStyle name="Normal 2 2 2 19 5 2" xfId="9936" xr:uid="{00000000-0005-0000-0000-0000D0260000}"/>
    <cellStyle name="Normal 2 2 2 19 5 3" xfId="9937" xr:uid="{00000000-0005-0000-0000-0000D1260000}"/>
    <cellStyle name="Normal 2 2 2 19 5 4" xfId="9938" xr:uid="{00000000-0005-0000-0000-0000D2260000}"/>
    <cellStyle name="Normal 2 2 2 19 5 5" xfId="9939" xr:uid="{00000000-0005-0000-0000-0000D3260000}"/>
    <cellStyle name="Normal 2 2 2 19 5 6" xfId="9940" xr:uid="{00000000-0005-0000-0000-0000D4260000}"/>
    <cellStyle name="Normal 2 2 2 19 5 7" xfId="9941" xr:uid="{00000000-0005-0000-0000-0000D5260000}"/>
    <cellStyle name="Normal 2 2 2 19 5 8" xfId="9942" xr:uid="{00000000-0005-0000-0000-0000D6260000}"/>
    <cellStyle name="Normal 2 2 2 19 5 9" xfId="9943" xr:uid="{00000000-0005-0000-0000-0000D7260000}"/>
    <cellStyle name="Normal 2 2 2 19 6" xfId="9944" xr:uid="{00000000-0005-0000-0000-0000D8260000}"/>
    <cellStyle name="Normal 2 2 2 19 7" xfId="9945" xr:uid="{00000000-0005-0000-0000-0000D9260000}"/>
    <cellStyle name="Normal 2 2 2 19 8" xfId="9946" xr:uid="{00000000-0005-0000-0000-0000DA260000}"/>
    <cellStyle name="Normal 2 2 2 19 9" xfId="9947" xr:uid="{00000000-0005-0000-0000-0000DB260000}"/>
    <cellStyle name="Normal 2 2 2 2" xfId="14" xr:uid="{00000000-0005-0000-0000-00000E000000}"/>
    <cellStyle name="Normal 2 2 2 2 10" xfId="9948" xr:uid="{00000000-0005-0000-0000-0000DC260000}"/>
    <cellStyle name="Normal 2 2 2 2 11" xfId="9949" xr:uid="{00000000-0005-0000-0000-0000DD260000}"/>
    <cellStyle name="Normal 2 2 2 2 12" xfId="9950" xr:uid="{00000000-0005-0000-0000-0000DE260000}"/>
    <cellStyle name="Normal 2 2 2 2 13" xfId="9951" xr:uid="{00000000-0005-0000-0000-0000DF260000}"/>
    <cellStyle name="Normal 2 2 2 2 14" xfId="9952" xr:uid="{00000000-0005-0000-0000-0000E0260000}"/>
    <cellStyle name="Normal 2 2 2 2 15" xfId="9953" xr:uid="{00000000-0005-0000-0000-0000E1260000}"/>
    <cellStyle name="Normal 2 2 2 2 16" xfId="9954" xr:uid="{00000000-0005-0000-0000-0000E2260000}"/>
    <cellStyle name="Normal 2 2 2 2 17" xfId="9955" xr:uid="{00000000-0005-0000-0000-0000E3260000}"/>
    <cellStyle name="Normal 2 2 2 2 18" xfId="9956" xr:uid="{00000000-0005-0000-0000-0000E4260000}"/>
    <cellStyle name="Normal 2 2 2 2 19" xfId="9957" xr:uid="{00000000-0005-0000-0000-0000E5260000}"/>
    <cellStyle name="Normal 2 2 2 2 2" xfId="15" xr:uid="{00000000-0005-0000-0000-00000F000000}"/>
    <cellStyle name="Normal 2 2 2 2 2 10" xfId="9958" xr:uid="{00000000-0005-0000-0000-0000E6260000}"/>
    <cellStyle name="Normal 2 2 2 2 2 10 10" xfId="9959" xr:uid="{00000000-0005-0000-0000-0000E7260000}"/>
    <cellStyle name="Normal 2 2 2 2 2 10 11" xfId="9960" xr:uid="{00000000-0005-0000-0000-0000E8260000}"/>
    <cellStyle name="Normal 2 2 2 2 2 10 12" xfId="9961" xr:uid="{00000000-0005-0000-0000-0000E9260000}"/>
    <cellStyle name="Normal 2 2 2 2 2 10 13" xfId="9962" xr:uid="{00000000-0005-0000-0000-0000EA260000}"/>
    <cellStyle name="Normal 2 2 2 2 2 10 14" xfId="9963" xr:uid="{00000000-0005-0000-0000-0000EB260000}"/>
    <cellStyle name="Normal 2 2 2 2 2 10 2" xfId="9964" xr:uid="{00000000-0005-0000-0000-0000EC260000}"/>
    <cellStyle name="Normal 2 2 2 2 2 10 2 10" xfId="9965" xr:uid="{00000000-0005-0000-0000-0000ED260000}"/>
    <cellStyle name="Normal 2 2 2 2 2 10 2 2" xfId="9966" xr:uid="{00000000-0005-0000-0000-0000EE260000}"/>
    <cellStyle name="Normal 2 2 2 2 2 10 2 3" xfId="9967" xr:uid="{00000000-0005-0000-0000-0000EF260000}"/>
    <cellStyle name="Normal 2 2 2 2 2 10 2 4" xfId="9968" xr:uid="{00000000-0005-0000-0000-0000F0260000}"/>
    <cellStyle name="Normal 2 2 2 2 2 10 2 5" xfId="9969" xr:uid="{00000000-0005-0000-0000-0000F1260000}"/>
    <cellStyle name="Normal 2 2 2 2 2 10 2 6" xfId="9970" xr:uid="{00000000-0005-0000-0000-0000F2260000}"/>
    <cellStyle name="Normal 2 2 2 2 2 10 2 7" xfId="9971" xr:uid="{00000000-0005-0000-0000-0000F3260000}"/>
    <cellStyle name="Normal 2 2 2 2 2 10 2 8" xfId="9972" xr:uid="{00000000-0005-0000-0000-0000F4260000}"/>
    <cellStyle name="Normal 2 2 2 2 2 10 2 9" xfId="9973" xr:uid="{00000000-0005-0000-0000-0000F5260000}"/>
    <cellStyle name="Normal 2 2 2 2 2 10 3" xfId="9974" xr:uid="{00000000-0005-0000-0000-0000F6260000}"/>
    <cellStyle name="Normal 2 2 2 2 2 10 3 10" xfId="9975" xr:uid="{00000000-0005-0000-0000-0000F7260000}"/>
    <cellStyle name="Normal 2 2 2 2 2 10 3 2" xfId="9976" xr:uid="{00000000-0005-0000-0000-0000F8260000}"/>
    <cellStyle name="Normal 2 2 2 2 2 10 3 3" xfId="9977" xr:uid="{00000000-0005-0000-0000-0000F9260000}"/>
    <cellStyle name="Normal 2 2 2 2 2 10 3 4" xfId="9978" xr:uid="{00000000-0005-0000-0000-0000FA260000}"/>
    <cellStyle name="Normal 2 2 2 2 2 10 3 5" xfId="9979" xr:uid="{00000000-0005-0000-0000-0000FB260000}"/>
    <cellStyle name="Normal 2 2 2 2 2 10 3 6" xfId="9980" xr:uid="{00000000-0005-0000-0000-0000FC260000}"/>
    <cellStyle name="Normal 2 2 2 2 2 10 3 7" xfId="9981" xr:uid="{00000000-0005-0000-0000-0000FD260000}"/>
    <cellStyle name="Normal 2 2 2 2 2 10 3 8" xfId="9982" xr:uid="{00000000-0005-0000-0000-0000FE260000}"/>
    <cellStyle name="Normal 2 2 2 2 2 10 3 9" xfId="9983" xr:uid="{00000000-0005-0000-0000-0000FF260000}"/>
    <cellStyle name="Normal 2 2 2 2 2 10 4" xfId="9984" xr:uid="{00000000-0005-0000-0000-000000270000}"/>
    <cellStyle name="Normal 2 2 2 2 2 10 4 10" xfId="9985" xr:uid="{00000000-0005-0000-0000-000001270000}"/>
    <cellStyle name="Normal 2 2 2 2 2 10 4 2" xfId="9986" xr:uid="{00000000-0005-0000-0000-000002270000}"/>
    <cellStyle name="Normal 2 2 2 2 2 10 4 3" xfId="9987" xr:uid="{00000000-0005-0000-0000-000003270000}"/>
    <cellStyle name="Normal 2 2 2 2 2 10 4 4" xfId="9988" xr:uid="{00000000-0005-0000-0000-000004270000}"/>
    <cellStyle name="Normal 2 2 2 2 2 10 4 5" xfId="9989" xr:uid="{00000000-0005-0000-0000-000005270000}"/>
    <cellStyle name="Normal 2 2 2 2 2 10 4 6" xfId="9990" xr:uid="{00000000-0005-0000-0000-000006270000}"/>
    <cellStyle name="Normal 2 2 2 2 2 10 4 7" xfId="9991" xr:uid="{00000000-0005-0000-0000-000007270000}"/>
    <cellStyle name="Normal 2 2 2 2 2 10 4 8" xfId="9992" xr:uid="{00000000-0005-0000-0000-000008270000}"/>
    <cellStyle name="Normal 2 2 2 2 2 10 4 9" xfId="9993" xr:uid="{00000000-0005-0000-0000-000009270000}"/>
    <cellStyle name="Normal 2 2 2 2 2 10 5" xfId="9994" xr:uid="{00000000-0005-0000-0000-00000A270000}"/>
    <cellStyle name="Normal 2 2 2 2 2 10 5 10" xfId="9995" xr:uid="{00000000-0005-0000-0000-00000B270000}"/>
    <cellStyle name="Normal 2 2 2 2 2 10 5 2" xfId="9996" xr:uid="{00000000-0005-0000-0000-00000C270000}"/>
    <cellStyle name="Normal 2 2 2 2 2 10 5 3" xfId="9997" xr:uid="{00000000-0005-0000-0000-00000D270000}"/>
    <cellStyle name="Normal 2 2 2 2 2 10 5 4" xfId="9998" xr:uid="{00000000-0005-0000-0000-00000E270000}"/>
    <cellStyle name="Normal 2 2 2 2 2 10 5 5" xfId="9999" xr:uid="{00000000-0005-0000-0000-00000F270000}"/>
    <cellStyle name="Normal 2 2 2 2 2 10 5 6" xfId="10000" xr:uid="{00000000-0005-0000-0000-000010270000}"/>
    <cellStyle name="Normal 2 2 2 2 2 10 5 7" xfId="10001" xr:uid="{00000000-0005-0000-0000-000011270000}"/>
    <cellStyle name="Normal 2 2 2 2 2 10 5 8" xfId="10002" xr:uid="{00000000-0005-0000-0000-000012270000}"/>
    <cellStyle name="Normal 2 2 2 2 2 10 5 9" xfId="10003" xr:uid="{00000000-0005-0000-0000-000013270000}"/>
    <cellStyle name="Normal 2 2 2 2 2 10 6" xfId="10004" xr:uid="{00000000-0005-0000-0000-000014270000}"/>
    <cellStyle name="Normal 2 2 2 2 2 10 7" xfId="10005" xr:uid="{00000000-0005-0000-0000-000015270000}"/>
    <cellStyle name="Normal 2 2 2 2 2 10 8" xfId="10006" xr:uid="{00000000-0005-0000-0000-000016270000}"/>
    <cellStyle name="Normal 2 2 2 2 2 10 9" xfId="10007" xr:uid="{00000000-0005-0000-0000-000017270000}"/>
    <cellStyle name="Normal 2 2 2 2 2 11" xfId="10008" xr:uid="{00000000-0005-0000-0000-000018270000}"/>
    <cellStyle name="Normal 2 2 2 2 2 11 10" xfId="10009" xr:uid="{00000000-0005-0000-0000-000019270000}"/>
    <cellStyle name="Normal 2 2 2 2 2 11 11" xfId="10010" xr:uid="{00000000-0005-0000-0000-00001A270000}"/>
    <cellStyle name="Normal 2 2 2 2 2 11 12" xfId="10011" xr:uid="{00000000-0005-0000-0000-00001B270000}"/>
    <cellStyle name="Normal 2 2 2 2 2 11 13" xfId="10012" xr:uid="{00000000-0005-0000-0000-00001C270000}"/>
    <cellStyle name="Normal 2 2 2 2 2 11 14" xfId="10013" xr:uid="{00000000-0005-0000-0000-00001D270000}"/>
    <cellStyle name="Normal 2 2 2 2 2 11 2" xfId="10014" xr:uid="{00000000-0005-0000-0000-00001E270000}"/>
    <cellStyle name="Normal 2 2 2 2 2 11 2 10" xfId="10015" xr:uid="{00000000-0005-0000-0000-00001F270000}"/>
    <cellStyle name="Normal 2 2 2 2 2 11 2 2" xfId="10016" xr:uid="{00000000-0005-0000-0000-000020270000}"/>
    <cellStyle name="Normal 2 2 2 2 2 11 2 3" xfId="10017" xr:uid="{00000000-0005-0000-0000-000021270000}"/>
    <cellStyle name="Normal 2 2 2 2 2 11 2 4" xfId="10018" xr:uid="{00000000-0005-0000-0000-000022270000}"/>
    <cellStyle name="Normal 2 2 2 2 2 11 2 5" xfId="10019" xr:uid="{00000000-0005-0000-0000-000023270000}"/>
    <cellStyle name="Normal 2 2 2 2 2 11 2 6" xfId="10020" xr:uid="{00000000-0005-0000-0000-000024270000}"/>
    <cellStyle name="Normal 2 2 2 2 2 11 2 7" xfId="10021" xr:uid="{00000000-0005-0000-0000-000025270000}"/>
    <cellStyle name="Normal 2 2 2 2 2 11 2 8" xfId="10022" xr:uid="{00000000-0005-0000-0000-000026270000}"/>
    <cellStyle name="Normal 2 2 2 2 2 11 2 9" xfId="10023" xr:uid="{00000000-0005-0000-0000-000027270000}"/>
    <cellStyle name="Normal 2 2 2 2 2 11 3" xfId="10024" xr:uid="{00000000-0005-0000-0000-000028270000}"/>
    <cellStyle name="Normal 2 2 2 2 2 11 3 10" xfId="10025" xr:uid="{00000000-0005-0000-0000-000029270000}"/>
    <cellStyle name="Normal 2 2 2 2 2 11 3 2" xfId="10026" xr:uid="{00000000-0005-0000-0000-00002A270000}"/>
    <cellStyle name="Normal 2 2 2 2 2 11 3 3" xfId="10027" xr:uid="{00000000-0005-0000-0000-00002B270000}"/>
    <cellStyle name="Normal 2 2 2 2 2 11 3 4" xfId="10028" xr:uid="{00000000-0005-0000-0000-00002C270000}"/>
    <cellStyle name="Normal 2 2 2 2 2 11 3 5" xfId="10029" xr:uid="{00000000-0005-0000-0000-00002D270000}"/>
    <cellStyle name="Normal 2 2 2 2 2 11 3 6" xfId="10030" xr:uid="{00000000-0005-0000-0000-00002E270000}"/>
    <cellStyle name="Normal 2 2 2 2 2 11 3 7" xfId="10031" xr:uid="{00000000-0005-0000-0000-00002F270000}"/>
    <cellStyle name="Normal 2 2 2 2 2 11 3 8" xfId="10032" xr:uid="{00000000-0005-0000-0000-000030270000}"/>
    <cellStyle name="Normal 2 2 2 2 2 11 3 9" xfId="10033" xr:uid="{00000000-0005-0000-0000-000031270000}"/>
    <cellStyle name="Normal 2 2 2 2 2 11 4" xfId="10034" xr:uid="{00000000-0005-0000-0000-000032270000}"/>
    <cellStyle name="Normal 2 2 2 2 2 11 4 10" xfId="10035" xr:uid="{00000000-0005-0000-0000-000033270000}"/>
    <cellStyle name="Normal 2 2 2 2 2 11 4 2" xfId="10036" xr:uid="{00000000-0005-0000-0000-000034270000}"/>
    <cellStyle name="Normal 2 2 2 2 2 11 4 3" xfId="10037" xr:uid="{00000000-0005-0000-0000-000035270000}"/>
    <cellStyle name="Normal 2 2 2 2 2 11 4 4" xfId="10038" xr:uid="{00000000-0005-0000-0000-000036270000}"/>
    <cellStyle name="Normal 2 2 2 2 2 11 4 5" xfId="10039" xr:uid="{00000000-0005-0000-0000-000037270000}"/>
    <cellStyle name="Normal 2 2 2 2 2 11 4 6" xfId="10040" xr:uid="{00000000-0005-0000-0000-000038270000}"/>
    <cellStyle name="Normal 2 2 2 2 2 11 4 7" xfId="10041" xr:uid="{00000000-0005-0000-0000-000039270000}"/>
    <cellStyle name="Normal 2 2 2 2 2 11 4 8" xfId="10042" xr:uid="{00000000-0005-0000-0000-00003A270000}"/>
    <cellStyle name="Normal 2 2 2 2 2 11 4 9" xfId="10043" xr:uid="{00000000-0005-0000-0000-00003B270000}"/>
    <cellStyle name="Normal 2 2 2 2 2 11 5" xfId="10044" xr:uid="{00000000-0005-0000-0000-00003C270000}"/>
    <cellStyle name="Normal 2 2 2 2 2 11 5 10" xfId="10045" xr:uid="{00000000-0005-0000-0000-00003D270000}"/>
    <cellStyle name="Normal 2 2 2 2 2 11 5 2" xfId="10046" xr:uid="{00000000-0005-0000-0000-00003E270000}"/>
    <cellStyle name="Normal 2 2 2 2 2 11 5 3" xfId="10047" xr:uid="{00000000-0005-0000-0000-00003F270000}"/>
    <cellStyle name="Normal 2 2 2 2 2 11 5 4" xfId="10048" xr:uid="{00000000-0005-0000-0000-000040270000}"/>
    <cellStyle name="Normal 2 2 2 2 2 11 5 5" xfId="10049" xr:uid="{00000000-0005-0000-0000-000041270000}"/>
    <cellStyle name="Normal 2 2 2 2 2 11 5 6" xfId="10050" xr:uid="{00000000-0005-0000-0000-000042270000}"/>
    <cellStyle name="Normal 2 2 2 2 2 11 5 7" xfId="10051" xr:uid="{00000000-0005-0000-0000-000043270000}"/>
    <cellStyle name="Normal 2 2 2 2 2 11 5 8" xfId="10052" xr:uid="{00000000-0005-0000-0000-000044270000}"/>
    <cellStyle name="Normal 2 2 2 2 2 11 5 9" xfId="10053" xr:uid="{00000000-0005-0000-0000-000045270000}"/>
    <cellStyle name="Normal 2 2 2 2 2 11 6" xfId="10054" xr:uid="{00000000-0005-0000-0000-000046270000}"/>
    <cellStyle name="Normal 2 2 2 2 2 11 7" xfId="10055" xr:uid="{00000000-0005-0000-0000-000047270000}"/>
    <cellStyle name="Normal 2 2 2 2 2 11 8" xfId="10056" xr:uid="{00000000-0005-0000-0000-000048270000}"/>
    <cellStyle name="Normal 2 2 2 2 2 11 9" xfId="10057" xr:uid="{00000000-0005-0000-0000-000049270000}"/>
    <cellStyle name="Normal 2 2 2 2 2 12" xfId="10058" xr:uid="{00000000-0005-0000-0000-00004A270000}"/>
    <cellStyle name="Normal 2 2 2 2 2 12 10" xfId="10059" xr:uid="{00000000-0005-0000-0000-00004B270000}"/>
    <cellStyle name="Normal 2 2 2 2 2 12 11" xfId="10060" xr:uid="{00000000-0005-0000-0000-00004C270000}"/>
    <cellStyle name="Normal 2 2 2 2 2 12 12" xfId="10061" xr:uid="{00000000-0005-0000-0000-00004D270000}"/>
    <cellStyle name="Normal 2 2 2 2 2 12 13" xfId="10062" xr:uid="{00000000-0005-0000-0000-00004E270000}"/>
    <cellStyle name="Normal 2 2 2 2 2 12 14" xfId="10063" xr:uid="{00000000-0005-0000-0000-00004F270000}"/>
    <cellStyle name="Normal 2 2 2 2 2 12 2" xfId="10064" xr:uid="{00000000-0005-0000-0000-000050270000}"/>
    <cellStyle name="Normal 2 2 2 2 2 12 2 10" xfId="10065" xr:uid="{00000000-0005-0000-0000-000051270000}"/>
    <cellStyle name="Normal 2 2 2 2 2 12 2 2" xfId="10066" xr:uid="{00000000-0005-0000-0000-000052270000}"/>
    <cellStyle name="Normal 2 2 2 2 2 12 2 3" xfId="10067" xr:uid="{00000000-0005-0000-0000-000053270000}"/>
    <cellStyle name="Normal 2 2 2 2 2 12 2 4" xfId="10068" xr:uid="{00000000-0005-0000-0000-000054270000}"/>
    <cellStyle name="Normal 2 2 2 2 2 12 2 5" xfId="10069" xr:uid="{00000000-0005-0000-0000-000055270000}"/>
    <cellStyle name="Normal 2 2 2 2 2 12 2 6" xfId="10070" xr:uid="{00000000-0005-0000-0000-000056270000}"/>
    <cellStyle name="Normal 2 2 2 2 2 12 2 7" xfId="10071" xr:uid="{00000000-0005-0000-0000-000057270000}"/>
    <cellStyle name="Normal 2 2 2 2 2 12 2 8" xfId="10072" xr:uid="{00000000-0005-0000-0000-000058270000}"/>
    <cellStyle name="Normal 2 2 2 2 2 12 2 9" xfId="10073" xr:uid="{00000000-0005-0000-0000-000059270000}"/>
    <cellStyle name="Normal 2 2 2 2 2 12 3" xfId="10074" xr:uid="{00000000-0005-0000-0000-00005A270000}"/>
    <cellStyle name="Normal 2 2 2 2 2 12 3 10" xfId="10075" xr:uid="{00000000-0005-0000-0000-00005B270000}"/>
    <cellStyle name="Normal 2 2 2 2 2 12 3 2" xfId="10076" xr:uid="{00000000-0005-0000-0000-00005C270000}"/>
    <cellStyle name="Normal 2 2 2 2 2 12 3 3" xfId="10077" xr:uid="{00000000-0005-0000-0000-00005D270000}"/>
    <cellStyle name="Normal 2 2 2 2 2 12 3 4" xfId="10078" xr:uid="{00000000-0005-0000-0000-00005E270000}"/>
    <cellStyle name="Normal 2 2 2 2 2 12 3 5" xfId="10079" xr:uid="{00000000-0005-0000-0000-00005F270000}"/>
    <cellStyle name="Normal 2 2 2 2 2 12 3 6" xfId="10080" xr:uid="{00000000-0005-0000-0000-000060270000}"/>
    <cellStyle name="Normal 2 2 2 2 2 12 3 7" xfId="10081" xr:uid="{00000000-0005-0000-0000-000061270000}"/>
    <cellStyle name="Normal 2 2 2 2 2 12 3 8" xfId="10082" xr:uid="{00000000-0005-0000-0000-000062270000}"/>
    <cellStyle name="Normal 2 2 2 2 2 12 3 9" xfId="10083" xr:uid="{00000000-0005-0000-0000-000063270000}"/>
    <cellStyle name="Normal 2 2 2 2 2 12 4" xfId="10084" xr:uid="{00000000-0005-0000-0000-000064270000}"/>
    <cellStyle name="Normal 2 2 2 2 2 12 4 10" xfId="10085" xr:uid="{00000000-0005-0000-0000-000065270000}"/>
    <cellStyle name="Normal 2 2 2 2 2 12 4 2" xfId="10086" xr:uid="{00000000-0005-0000-0000-000066270000}"/>
    <cellStyle name="Normal 2 2 2 2 2 12 4 3" xfId="10087" xr:uid="{00000000-0005-0000-0000-000067270000}"/>
    <cellStyle name="Normal 2 2 2 2 2 12 4 4" xfId="10088" xr:uid="{00000000-0005-0000-0000-000068270000}"/>
    <cellStyle name="Normal 2 2 2 2 2 12 4 5" xfId="10089" xr:uid="{00000000-0005-0000-0000-000069270000}"/>
    <cellStyle name="Normal 2 2 2 2 2 12 4 6" xfId="10090" xr:uid="{00000000-0005-0000-0000-00006A270000}"/>
    <cellStyle name="Normal 2 2 2 2 2 12 4 7" xfId="10091" xr:uid="{00000000-0005-0000-0000-00006B270000}"/>
    <cellStyle name="Normal 2 2 2 2 2 12 4 8" xfId="10092" xr:uid="{00000000-0005-0000-0000-00006C270000}"/>
    <cellStyle name="Normal 2 2 2 2 2 12 4 9" xfId="10093" xr:uid="{00000000-0005-0000-0000-00006D270000}"/>
    <cellStyle name="Normal 2 2 2 2 2 12 5" xfId="10094" xr:uid="{00000000-0005-0000-0000-00006E270000}"/>
    <cellStyle name="Normal 2 2 2 2 2 12 5 10" xfId="10095" xr:uid="{00000000-0005-0000-0000-00006F270000}"/>
    <cellStyle name="Normal 2 2 2 2 2 12 5 2" xfId="10096" xr:uid="{00000000-0005-0000-0000-000070270000}"/>
    <cellStyle name="Normal 2 2 2 2 2 12 5 3" xfId="10097" xr:uid="{00000000-0005-0000-0000-000071270000}"/>
    <cellStyle name="Normal 2 2 2 2 2 12 5 4" xfId="10098" xr:uid="{00000000-0005-0000-0000-000072270000}"/>
    <cellStyle name="Normal 2 2 2 2 2 12 5 5" xfId="10099" xr:uid="{00000000-0005-0000-0000-000073270000}"/>
    <cellStyle name="Normal 2 2 2 2 2 12 5 6" xfId="10100" xr:uid="{00000000-0005-0000-0000-000074270000}"/>
    <cellStyle name="Normal 2 2 2 2 2 12 5 7" xfId="10101" xr:uid="{00000000-0005-0000-0000-000075270000}"/>
    <cellStyle name="Normal 2 2 2 2 2 12 5 8" xfId="10102" xr:uid="{00000000-0005-0000-0000-000076270000}"/>
    <cellStyle name="Normal 2 2 2 2 2 12 5 9" xfId="10103" xr:uid="{00000000-0005-0000-0000-000077270000}"/>
    <cellStyle name="Normal 2 2 2 2 2 12 6" xfId="10104" xr:uid="{00000000-0005-0000-0000-000078270000}"/>
    <cellStyle name="Normal 2 2 2 2 2 12 7" xfId="10105" xr:uid="{00000000-0005-0000-0000-000079270000}"/>
    <cellStyle name="Normal 2 2 2 2 2 12 8" xfId="10106" xr:uid="{00000000-0005-0000-0000-00007A270000}"/>
    <cellStyle name="Normal 2 2 2 2 2 12 9" xfId="10107" xr:uid="{00000000-0005-0000-0000-00007B270000}"/>
    <cellStyle name="Normal 2 2 2 2 2 13" xfId="10108" xr:uid="{00000000-0005-0000-0000-00007C270000}"/>
    <cellStyle name="Normal 2 2 2 2 2 13 10" xfId="10109" xr:uid="{00000000-0005-0000-0000-00007D270000}"/>
    <cellStyle name="Normal 2 2 2 2 2 13 11" xfId="10110" xr:uid="{00000000-0005-0000-0000-00007E270000}"/>
    <cellStyle name="Normal 2 2 2 2 2 13 12" xfId="10111" xr:uid="{00000000-0005-0000-0000-00007F270000}"/>
    <cellStyle name="Normal 2 2 2 2 2 13 13" xfId="10112" xr:uid="{00000000-0005-0000-0000-000080270000}"/>
    <cellStyle name="Normal 2 2 2 2 2 13 14" xfId="10113" xr:uid="{00000000-0005-0000-0000-000081270000}"/>
    <cellStyle name="Normal 2 2 2 2 2 13 2" xfId="10114" xr:uid="{00000000-0005-0000-0000-000082270000}"/>
    <cellStyle name="Normal 2 2 2 2 2 13 2 10" xfId="10115" xr:uid="{00000000-0005-0000-0000-000083270000}"/>
    <cellStyle name="Normal 2 2 2 2 2 13 2 2" xfId="10116" xr:uid="{00000000-0005-0000-0000-000084270000}"/>
    <cellStyle name="Normal 2 2 2 2 2 13 2 3" xfId="10117" xr:uid="{00000000-0005-0000-0000-000085270000}"/>
    <cellStyle name="Normal 2 2 2 2 2 13 2 4" xfId="10118" xr:uid="{00000000-0005-0000-0000-000086270000}"/>
    <cellStyle name="Normal 2 2 2 2 2 13 2 5" xfId="10119" xr:uid="{00000000-0005-0000-0000-000087270000}"/>
    <cellStyle name="Normal 2 2 2 2 2 13 2 6" xfId="10120" xr:uid="{00000000-0005-0000-0000-000088270000}"/>
    <cellStyle name="Normal 2 2 2 2 2 13 2 7" xfId="10121" xr:uid="{00000000-0005-0000-0000-000089270000}"/>
    <cellStyle name="Normal 2 2 2 2 2 13 2 8" xfId="10122" xr:uid="{00000000-0005-0000-0000-00008A270000}"/>
    <cellStyle name="Normal 2 2 2 2 2 13 2 9" xfId="10123" xr:uid="{00000000-0005-0000-0000-00008B270000}"/>
    <cellStyle name="Normal 2 2 2 2 2 13 3" xfId="10124" xr:uid="{00000000-0005-0000-0000-00008C270000}"/>
    <cellStyle name="Normal 2 2 2 2 2 13 3 10" xfId="10125" xr:uid="{00000000-0005-0000-0000-00008D270000}"/>
    <cellStyle name="Normal 2 2 2 2 2 13 3 2" xfId="10126" xr:uid="{00000000-0005-0000-0000-00008E270000}"/>
    <cellStyle name="Normal 2 2 2 2 2 13 3 3" xfId="10127" xr:uid="{00000000-0005-0000-0000-00008F270000}"/>
    <cellStyle name="Normal 2 2 2 2 2 13 3 4" xfId="10128" xr:uid="{00000000-0005-0000-0000-000090270000}"/>
    <cellStyle name="Normal 2 2 2 2 2 13 3 5" xfId="10129" xr:uid="{00000000-0005-0000-0000-000091270000}"/>
    <cellStyle name="Normal 2 2 2 2 2 13 3 6" xfId="10130" xr:uid="{00000000-0005-0000-0000-000092270000}"/>
    <cellStyle name="Normal 2 2 2 2 2 13 3 7" xfId="10131" xr:uid="{00000000-0005-0000-0000-000093270000}"/>
    <cellStyle name="Normal 2 2 2 2 2 13 3 8" xfId="10132" xr:uid="{00000000-0005-0000-0000-000094270000}"/>
    <cellStyle name="Normal 2 2 2 2 2 13 3 9" xfId="10133" xr:uid="{00000000-0005-0000-0000-000095270000}"/>
    <cellStyle name="Normal 2 2 2 2 2 13 4" xfId="10134" xr:uid="{00000000-0005-0000-0000-000096270000}"/>
    <cellStyle name="Normal 2 2 2 2 2 13 4 10" xfId="10135" xr:uid="{00000000-0005-0000-0000-000097270000}"/>
    <cellStyle name="Normal 2 2 2 2 2 13 4 2" xfId="10136" xr:uid="{00000000-0005-0000-0000-000098270000}"/>
    <cellStyle name="Normal 2 2 2 2 2 13 4 3" xfId="10137" xr:uid="{00000000-0005-0000-0000-000099270000}"/>
    <cellStyle name="Normal 2 2 2 2 2 13 4 4" xfId="10138" xr:uid="{00000000-0005-0000-0000-00009A270000}"/>
    <cellStyle name="Normal 2 2 2 2 2 13 4 5" xfId="10139" xr:uid="{00000000-0005-0000-0000-00009B270000}"/>
    <cellStyle name="Normal 2 2 2 2 2 13 4 6" xfId="10140" xr:uid="{00000000-0005-0000-0000-00009C270000}"/>
    <cellStyle name="Normal 2 2 2 2 2 13 4 7" xfId="10141" xr:uid="{00000000-0005-0000-0000-00009D270000}"/>
    <cellStyle name="Normal 2 2 2 2 2 13 4 8" xfId="10142" xr:uid="{00000000-0005-0000-0000-00009E270000}"/>
    <cellStyle name="Normal 2 2 2 2 2 13 4 9" xfId="10143" xr:uid="{00000000-0005-0000-0000-00009F270000}"/>
    <cellStyle name="Normal 2 2 2 2 2 13 5" xfId="10144" xr:uid="{00000000-0005-0000-0000-0000A0270000}"/>
    <cellStyle name="Normal 2 2 2 2 2 13 5 10" xfId="10145" xr:uid="{00000000-0005-0000-0000-0000A1270000}"/>
    <cellStyle name="Normal 2 2 2 2 2 13 5 2" xfId="10146" xr:uid="{00000000-0005-0000-0000-0000A2270000}"/>
    <cellStyle name="Normal 2 2 2 2 2 13 5 3" xfId="10147" xr:uid="{00000000-0005-0000-0000-0000A3270000}"/>
    <cellStyle name="Normal 2 2 2 2 2 13 5 4" xfId="10148" xr:uid="{00000000-0005-0000-0000-0000A4270000}"/>
    <cellStyle name="Normal 2 2 2 2 2 13 5 5" xfId="10149" xr:uid="{00000000-0005-0000-0000-0000A5270000}"/>
    <cellStyle name="Normal 2 2 2 2 2 13 5 6" xfId="10150" xr:uid="{00000000-0005-0000-0000-0000A6270000}"/>
    <cellStyle name="Normal 2 2 2 2 2 13 5 7" xfId="10151" xr:uid="{00000000-0005-0000-0000-0000A7270000}"/>
    <cellStyle name="Normal 2 2 2 2 2 13 5 8" xfId="10152" xr:uid="{00000000-0005-0000-0000-0000A8270000}"/>
    <cellStyle name="Normal 2 2 2 2 2 13 5 9" xfId="10153" xr:uid="{00000000-0005-0000-0000-0000A9270000}"/>
    <cellStyle name="Normal 2 2 2 2 2 13 6" xfId="10154" xr:uid="{00000000-0005-0000-0000-0000AA270000}"/>
    <cellStyle name="Normal 2 2 2 2 2 13 7" xfId="10155" xr:uid="{00000000-0005-0000-0000-0000AB270000}"/>
    <cellStyle name="Normal 2 2 2 2 2 13 8" xfId="10156" xr:uid="{00000000-0005-0000-0000-0000AC270000}"/>
    <cellStyle name="Normal 2 2 2 2 2 13 9" xfId="10157" xr:uid="{00000000-0005-0000-0000-0000AD270000}"/>
    <cellStyle name="Normal 2 2 2 2 2 14" xfId="10158" xr:uid="{00000000-0005-0000-0000-0000AE270000}"/>
    <cellStyle name="Normal 2 2 2 2 2 14 10" xfId="10159" xr:uid="{00000000-0005-0000-0000-0000AF270000}"/>
    <cellStyle name="Normal 2 2 2 2 2 14 11" xfId="10160" xr:uid="{00000000-0005-0000-0000-0000B0270000}"/>
    <cellStyle name="Normal 2 2 2 2 2 14 12" xfId="10161" xr:uid="{00000000-0005-0000-0000-0000B1270000}"/>
    <cellStyle name="Normal 2 2 2 2 2 14 13" xfId="10162" xr:uid="{00000000-0005-0000-0000-0000B2270000}"/>
    <cellStyle name="Normal 2 2 2 2 2 14 14" xfId="10163" xr:uid="{00000000-0005-0000-0000-0000B3270000}"/>
    <cellStyle name="Normal 2 2 2 2 2 14 2" xfId="10164" xr:uid="{00000000-0005-0000-0000-0000B4270000}"/>
    <cellStyle name="Normal 2 2 2 2 2 14 2 10" xfId="10165" xr:uid="{00000000-0005-0000-0000-0000B5270000}"/>
    <cellStyle name="Normal 2 2 2 2 2 14 2 2" xfId="10166" xr:uid="{00000000-0005-0000-0000-0000B6270000}"/>
    <cellStyle name="Normal 2 2 2 2 2 14 2 3" xfId="10167" xr:uid="{00000000-0005-0000-0000-0000B7270000}"/>
    <cellStyle name="Normal 2 2 2 2 2 14 2 4" xfId="10168" xr:uid="{00000000-0005-0000-0000-0000B8270000}"/>
    <cellStyle name="Normal 2 2 2 2 2 14 2 5" xfId="10169" xr:uid="{00000000-0005-0000-0000-0000B9270000}"/>
    <cellStyle name="Normal 2 2 2 2 2 14 2 6" xfId="10170" xr:uid="{00000000-0005-0000-0000-0000BA270000}"/>
    <cellStyle name="Normal 2 2 2 2 2 14 2 7" xfId="10171" xr:uid="{00000000-0005-0000-0000-0000BB270000}"/>
    <cellStyle name="Normal 2 2 2 2 2 14 2 8" xfId="10172" xr:uid="{00000000-0005-0000-0000-0000BC270000}"/>
    <cellStyle name="Normal 2 2 2 2 2 14 2 9" xfId="10173" xr:uid="{00000000-0005-0000-0000-0000BD270000}"/>
    <cellStyle name="Normal 2 2 2 2 2 14 3" xfId="10174" xr:uid="{00000000-0005-0000-0000-0000BE270000}"/>
    <cellStyle name="Normal 2 2 2 2 2 14 3 10" xfId="10175" xr:uid="{00000000-0005-0000-0000-0000BF270000}"/>
    <cellStyle name="Normal 2 2 2 2 2 14 3 2" xfId="10176" xr:uid="{00000000-0005-0000-0000-0000C0270000}"/>
    <cellStyle name="Normal 2 2 2 2 2 14 3 3" xfId="10177" xr:uid="{00000000-0005-0000-0000-0000C1270000}"/>
    <cellStyle name="Normal 2 2 2 2 2 14 3 4" xfId="10178" xr:uid="{00000000-0005-0000-0000-0000C2270000}"/>
    <cellStyle name="Normal 2 2 2 2 2 14 3 5" xfId="10179" xr:uid="{00000000-0005-0000-0000-0000C3270000}"/>
    <cellStyle name="Normal 2 2 2 2 2 14 3 6" xfId="10180" xr:uid="{00000000-0005-0000-0000-0000C4270000}"/>
    <cellStyle name="Normal 2 2 2 2 2 14 3 7" xfId="10181" xr:uid="{00000000-0005-0000-0000-0000C5270000}"/>
    <cellStyle name="Normal 2 2 2 2 2 14 3 8" xfId="10182" xr:uid="{00000000-0005-0000-0000-0000C6270000}"/>
    <cellStyle name="Normal 2 2 2 2 2 14 3 9" xfId="10183" xr:uid="{00000000-0005-0000-0000-0000C7270000}"/>
    <cellStyle name="Normal 2 2 2 2 2 14 4" xfId="10184" xr:uid="{00000000-0005-0000-0000-0000C8270000}"/>
    <cellStyle name="Normal 2 2 2 2 2 14 4 10" xfId="10185" xr:uid="{00000000-0005-0000-0000-0000C9270000}"/>
    <cellStyle name="Normal 2 2 2 2 2 14 4 2" xfId="10186" xr:uid="{00000000-0005-0000-0000-0000CA270000}"/>
    <cellStyle name="Normal 2 2 2 2 2 14 4 3" xfId="10187" xr:uid="{00000000-0005-0000-0000-0000CB270000}"/>
    <cellStyle name="Normal 2 2 2 2 2 14 4 4" xfId="10188" xr:uid="{00000000-0005-0000-0000-0000CC270000}"/>
    <cellStyle name="Normal 2 2 2 2 2 14 4 5" xfId="10189" xr:uid="{00000000-0005-0000-0000-0000CD270000}"/>
    <cellStyle name="Normal 2 2 2 2 2 14 4 6" xfId="10190" xr:uid="{00000000-0005-0000-0000-0000CE270000}"/>
    <cellStyle name="Normal 2 2 2 2 2 14 4 7" xfId="10191" xr:uid="{00000000-0005-0000-0000-0000CF270000}"/>
    <cellStyle name="Normal 2 2 2 2 2 14 4 8" xfId="10192" xr:uid="{00000000-0005-0000-0000-0000D0270000}"/>
    <cellStyle name="Normal 2 2 2 2 2 14 4 9" xfId="10193" xr:uid="{00000000-0005-0000-0000-0000D1270000}"/>
    <cellStyle name="Normal 2 2 2 2 2 14 5" xfId="10194" xr:uid="{00000000-0005-0000-0000-0000D2270000}"/>
    <cellStyle name="Normal 2 2 2 2 2 14 5 10" xfId="10195" xr:uid="{00000000-0005-0000-0000-0000D3270000}"/>
    <cellStyle name="Normal 2 2 2 2 2 14 5 2" xfId="10196" xr:uid="{00000000-0005-0000-0000-0000D4270000}"/>
    <cellStyle name="Normal 2 2 2 2 2 14 5 3" xfId="10197" xr:uid="{00000000-0005-0000-0000-0000D5270000}"/>
    <cellStyle name="Normal 2 2 2 2 2 14 5 4" xfId="10198" xr:uid="{00000000-0005-0000-0000-0000D6270000}"/>
    <cellStyle name="Normal 2 2 2 2 2 14 5 5" xfId="10199" xr:uid="{00000000-0005-0000-0000-0000D7270000}"/>
    <cellStyle name="Normal 2 2 2 2 2 14 5 6" xfId="10200" xr:uid="{00000000-0005-0000-0000-0000D8270000}"/>
    <cellStyle name="Normal 2 2 2 2 2 14 5 7" xfId="10201" xr:uid="{00000000-0005-0000-0000-0000D9270000}"/>
    <cellStyle name="Normal 2 2 2 2 2 14 5 8" xfId="10202" xr:uid="{00000000-0005-0000-0000-0000DA270000}"/>
    <cellStyle name="Normal 2 2 2 2 2 14 5 9" xfId="10203" xr:uid="{00000000-0005-0000-0000-0000DB270000}"/>
    <cellStyle name="Normal 2 2 2 2 2 14 6" xfId="10204" xr:uid="{00000000-0005-0000-0000-0000DC270000}"/>
    <cellStyle name="Normal 2 2 2 2 2 14 7" xfId="10205" xr:uid="{00000000-0005-0000-0000-0000DD270000}"/>
    <cellStyle name="Normal 2 2 2 2 2 14 8" xfId="10206" xr:uid="{00000000-0005-0000-0000-0000DE270000}"/>
    <cellStyle name="Normal 2 2 2 2 2 14 9" xfId="10207" xr:uid="{00000000-0005-0000-0000-0000DF270000}"/>
    <cellStyle name="Normal 2 2 2 2 2 15" xfId="10208" xr:uid="{00000000-0005-0000-0000-0000E0270000}"/>
    <cellStyle name="Normal 2 2 2 2 2 15 10" xfId="10209" xr:uid="{00000000-0005-0000-0000-0000E1270000}"/>
    <cellStyle name="Normal 2 2 2 2 2 15 11" xfId="10210" xr:uid="{00000000-0005-0000-0000-0000E2270000}"/>
    <cellStyle name="Normal 2 2 2 2 2 15 12" xfId="10211" xr:uid="{00000000-0005-0000-0000-0000E3270000}"/>
    <cellStyle name="Normal 2 2 2 2 2 15 13" xfId="10212" xr:uid="{00000000-0005-0000-0000-0000E4270000}"/>
    <cellStyle name="Normal 2 2 2 2 2 15 14" xfId="10213" xr:uid="{00000000-0005-0000-0000-0000E5270000}"/>
    <cellStyle name="Normal 2 2 2 2 2 15 2" xfId="10214" xr:uid="{00000000-0005-0000-0000-0000E6270000}"/>
    <cellStyle name="Normal 2 2 2 2 2 15 2 10" xfId="10215" xr:uid="{00000000-0005-0000-0000-0000E7270000}"/>
    <cellStyle name="Normal 2 2 2 2 2 15 2 2" xfId="10216" xr:uid="{00000000-0005-0000-0000-0000E8270000}"/>
    <cellStyle name="Normal 2 2 2 2 2 15 2 3" xfId="10217" xr:uid="{00000000-0005-0000-0000-0000E9270000}"/>
    <cellStyle name="Normal 2 2 2 2 2 15 2 4" xfId="10218" xr:uid="{00000000-0005-0000-0000-0000EA270000}"/>
    <cellStyle name="Normal 2 2 2 2 2 15 2 5" xfId="10219" xr:uid="{00000000-0005-0000-0000-0000EB270000}"/>
    <cellStyle name="Normal 2 2 2 2 2 15 2 6" xfId="10220" xr:uid="{00000000-0005-0000-0000-0000EC270000}"/>
    <cellStyle name="Normal 2 2 2 2 2 15 2 7" xfId="10221" xr:uid="{00000000-0005-0000-0000-0000ED270000}"/>
    <cellStyle name="Normal 2 2 2 2 2 15 2 8" xfId="10222" xr:uid="{00000000-0005-0000-0000-0000EE270000}"/>
    <cellStyle name="Normal 2 2 2 2 2 15 2 9" xfId="10223" xr:uid="{00000000-0005-0000-0000-0000EF270000}"/>
    <cellStyle name="Normal 2 2 2 2 2 15 3" xfId="10224" xr:uid="{00000000-0005-0000-0000-0000F0270000}"/>
    <cellStyle name="Normal 2 2 2 2 2 15 3 10" xfId="10225" xr:uid="{00000000-0005-0000-0000-0000F1270000}"/>
    <cellStyle name="Normal 2 2 2 2 2 15 3 2" xfId="10226" xr:uid="{00000000-0005-0000-0000-0000F2270000}"/>
    <cellStyle name="Normal 2 2 2 2 2 15 3 3" xfId="10227" xr:uid="{00000000-0005-0000-0000-0000F3270000}"/>
    <cellStyle name="Normal 2 2 2 2 2 15 3 4" xfId="10228" xr:uid="{00000000-0005-0000-0000-0000F4270000}"/>
    <cellStyle name="Normal 2 2 2 2 2 15 3 5" xfId="10229" xr:uid="{00000000-0005-0000-0000-0000F5270000}"/>
    <cellStyle name="Normal 2 2 2 2 2 15 3 6" xfId="10230" xr:uid="{00000000-0005-0000-0000-0000F6270000}"/>
    <cellStyle name="Normal 2 2 2 2 2 15 3 7" xfId="10231" xr:uid="{00000000-0005-0000-0000-0000F7270000}"/>
    <cellStyle name="Normal 2 2 2 2 2 15 3 8" xfId="10232" xr:uid="{00000000-0005-0000-0000-0000F8270000}"/>
    <cellStyle name="Normal 2 2 2 2 2 15 3 9" xfId="10233" xr:uid="{00000000-0005-0000-0000-0000F9270000}"/>
    <cellStyle name="Normal 2 2 2 2 2 15 4" xfId="10234" xr:uid="{00000000-0005-0000-0000-0000FA270000}"/>
    <cellStyle name="Normal 2 2 2 2 2 15 4 10" xfId="10235" xr:uid="{00000000-0005-0000-0000-0000FB270000}"/>
    <cellStyle name="Normal 2 2 2 2 2 15 4 2" xfId="10236" xr:uid="{00000000-0005-0000-0000-0000FC270000}"/>
    <cellStyle name="Normal 2 2 2 2 2 15 4 3" xfId="10237" xr:uid="{00000000-0005-0000-0000-0000FD270000}"/>
    <cellStyle name="Normal 2 2 2 2 2 15 4 4" xfId="10238" xr:uid="{00000000-0005-0000-0000-0000FE270000}"/>
    <cellStyle name="Normal 2 2 2 2 2 15 4 5" xfId="10239" xr:uid="{00000000-0005-0000-0000-0000FF270000}"/>
    <cellStyle name="Normal 2 2 2 2 2 15 4 6" xfId="10240" xr:uid="{00000000-0005-0000-0000-000000280000}"/>
    <cellStyle name="Normal 2 2 2 2 2 15 4 7" xfId="10241" xr:uid="{00000000-0005-0000-0000-000001280000}"/>
    <cellStyle name="Normal 2 2 2 2 2 15 4 8" xfId="10242" xr:uid="{00000000-0005-0000-0000-000002280000}"/>
    <cellStyle name="Normal 2 2 2 2 2 15 4 9" xfId="10243" xr:uid="{00000000-0005-0000-0000-000003280000}"/>
    <cellStyle name="Normal 2 2 2 2 2 15 5" xfId="10244" xr:uid="{00000000-0005-0000-0000-000004280000}"/>
    <cellStyle name="Normal 2 2 2 2 2 15 5 10" xfId="10245" xr:uid="{00000000-0005-0000-0000-000005280000}"/>
    <cellStyle name="Normal 2 2 2 2 2 15 5 2" xfId="10246" xr:uid="{00000000-0005-0000-0000-000006280000}"/>
    <cellStyle name="Normal 2 2 2 2 2 15 5 3" xfId="10247" xr:uid="{00000000-0005-0000-0000-000007280000}"/>
    <cellStyle name="Normal 2 2 2 2 2 15 5 4" xfId="10248" xr:uid="{00000000-0005-0000-0000-000008280000}"/>
    <cellStyle name="Normal 2 2 2 2 2 15 5 5" xfId="10249" xr:uid="{00000000-0005-0000-0000-000009280000}"/>
    <cellStyle name="Normal 2 2 2 2 2 15 5 6" xfId="10250" xr:uid="{00000000-0005-0000-0000-00000A280000}"/>
    <cellStyle name="Normal 2 2 2 2 2 15 5 7" xfId="10251" xr:uid="{00000000-0005-0000-0000-00000B280000}"/>
    <cellStyle name="Normal 2 2 2 2 2 15 5 8" xfId="10252" xr:uid="{00000000-0005-0000-0000-00000C280000}"/>
    <cellStyle name="Normal 2 2 2 2 2 15 5 9" xfId="10253" xr:uid="{00000000-0005-0000-0000-00000D280000}"/>
    <cellStyle name="Normal 2 2 2 2 2 15 6" xfId="10254" xr:uid="{00000000-0005-0000-0000-00000E280000}"/>
    <cellStyle name="Normal 2 2 2 2 2 15 7" xfId="10255" xr:uid="{00000000-0005-0000-0000-00000F280000}"/>
    <cellStyle name="Normal 2 2 2 2 2 15 8" xfId="10256" xr:uid="{00000000-0005-0000-0000-000010280000}"/>
    <cellStyle name="Normal 2 2 2 2 2 15 9" xfId="10257" xr:uid="{00000000-0005-0000-0000-000011280000}"/>
    <cellStyle name="Normal 2 2 2 2 2 16" xfId="10258" xr:uid="{00000000-0005-0000-0000-000012280000}"/>
    <cellStyle name="Normal 2 2 2 2 2 16 10" xfId="10259" xr:uid="{00000000-0005-0000-0000-000013280000}"/>
    <cellStyle name="Normal 2 2 2 2 2 16 11" xfId="10260" xr:uid="{00000000-0005-0000-0000-000014280000}"/>
    <cellStyle name="Normal 2 2 2 2 2 16 12" xfId="10261" xr:uid="{00000000-0005-0000-0000-000015280000}"/>
    <cellStyle name="Normal 2 2 2 2 2 16 13" xfId="10262" xr:uid="{00000000-0005-0000-0000-000016280000}"/>
    <cellStyle name="Normal 2 2 2 2 2 16 14" xfId="10263" xr:uid="{00000000-0005-0000-0000-000017280000}"/>
    <cellStyle name="Normal 2 2 2 2 2 16 2" xfId="10264" xr:uid="{00000000-0005-0000-0000-000018280000}"/>
    <cellStyle name="Normal 2 2 2 2 2 16 2 10" xfId="10265" xr:uid="{00000000-0005-0000-0000-000019280000}"/>
    <cellStyle name="Normal 2 2 2 2 2 16 2 2" xfId="10266" xr:uid="{00000000-0005-0000-0000-00001A280000}"/>
    <cellStyle name="Normal 2 2 2 2 2 16 2 3" xfId="10267" xr:uid="{00000000-0005-0000-0000-00001B280000}"/>
    <cellStyle name="Normal 2 2 2 2 2 16 2 4" xfId="10268" xr:uid="{00000000-0005-0000-0000-00001C280000}"/>
    <cellStyle name="Normal 2 2 2 2 2 16 2 5" xfId="10269" xr:uid="{00000000-0005-0000-0000-00001D280000}"/>
    <cellStyle name="Normal 2 2 2 2 2 16 2 6" xfId="10270" xr:uid="{00000000-0005-0000-0000-00001E280000}"/>
    <cellStyle name="Normal 2 2 2 2 2 16 2 7" xfId="10271" xr:uid="{00000000-0005-0000-0000-00001F280000}"/>
    <cellStyle name="Normal 2 2 2 2 2 16 2 8" xfId="10272" xr:uid="{00000000-0005-0000-0000-000020280000}"/>
    <cellStyle name="Normal 2 2 2 2 2 16 2 9" xfId="10273" xr:uid="{00000000-0005-0000-0000-000021280000}"/>
    <cellStyle name="Normal 2 2 2 2 2 16 3" xfId="10274" xr:uid="{00000000-0005-0000-0000-000022280000}"/>
    <cellStyle name="Normal 2 2 2 2 2 16 3 10" xfId="10275" xr:uid="{00000000-0005-0000-0000-000023280000}"/>
    <cellStyle name="Normal 2 2 2 2 2 16 3 2" xfId="10276" xr:uid="{00000000-0005-0000-0000-000024280000}"/>
    <cellStyle name="Normal 2 2 2 2 2 16 3 3" xfId="10277" xr:uid="{00000000-0005-0000-0000-000025280000}"/>
    <cellStyle name="Normal 2 2 2 2 2 16 3 4" xfId="10278" xr:uid="{00000000-0005-0000-0000-000026280000}"/>
    <cellStyle name="Normal 2 2 2 2 2 16 3 5" xfId="10279" xr:uid="{00000000-0005-0000-0000-000027280000}"/>
    <cellStyle name="Normal 2 2 2 2 2 16 3 6" xfId="10280" xr:uid="{00000000-0005-0000-0000-000028280000}"/>
    <cellStyle name="Normal 2 2 2 2 2 16 3 7" xfId="10281" xr:uid="{00000000-0005-0000-0000-000029280000}"/>
    <cellStyle name="Normal 2 2 2 2 2 16 3 8" xfId="10282" xr:uid="{00000000-0005-0000-0000-00002A280000}"/>
    <cellStyle name="Normal 2 2 2 2 2 16 3 9" xfId="10283" xr:uid="{00000000-0005-0000-0000-00002B280000}"/>
    <cellStyle name="Normal 2 2 2 2 2 16 4" xfId="10284" xr:uid="{00000000-0005-0000-0000-00002C280000}"/>
    <cellStyle name="Normal 2 2 2 2 2 16 4 10" xfId="10285" xr:uid="{00000000-0005-0000-0000-00002D280000}"/>
    <cellStyle name="Normal 2 2 2 2 2 16 4 2" xfId="10286" xr:uid="{00000000-0005-0000-0000-00002E280000}"/>
    <cellStyle name="Normal 2 2 2 2 2 16 4 3" xfId="10287" xr:uid="{00000000-0005-0000-0000-00002F280000}"/>
    <cellStyle name="Normal 2 2 2 2 2 16 4 4" xfId="10288" xr:uid="{00000000-0005-0000-0000-000030280000}"/>
    <cellStyle name="Normal 2 2 2 2 2 16 4 5" xfId="10289" xr:uid="{00000000-0005-0000-0000-000031280000}"/>
    <cellStyle name="Normal 2 2 2 2 2 16 4 6" xfId="10290" xr:uid="{00000000-0005-0000-0000-000032280000}"/>
    <cellStyle name="Normal 2 2 2 2 2 16 4 7" xfId="10291" xr:uid="{00000000-0005-0000-0000-000033280000}"/>
    <cellStyle name="Normal 2 2 2 2 2 16 4 8" xfId="10292" xr:uid="{00000000-0005-0000-0000-000034280000}"/>
    <cellStyle name="Normal 2 2 2 2 2 16 4 9" xfId="10293" xr:uid="{00000000-0005-0000-0000-000035280000}"/>
    <cellStyle name="Normal 2 2 2 2 2 16 5" xfId="10294" xr:uid="{00000000-0005-0000-0000-000036280000}"/>
    <cellStyle name="Normal 2 2 2 2 2 16 5 10" xfId="10295" xr:uid="{00000000-0005-0000-0000-000037280000}"/>
    <cellStyle name="Normal 2 2 2 2 2 16 5 2" xfId="10296" xr:uid="{00000000-0005-0000-0000-000038280000}"/>
    <cellStyle name="Normal 2 2 2 2 2 16 5 3" xfId="10297" xr:uid="{00000000-0005-0000-0000-000039280000}"/>
    <cellStyle name="Normal 2 2 2 2 2 16 5 4" xfId="10298" xr:uid="{00000000-0005-0000-0000-00003A280000}"/>
    <cellStyle name="Normal 2 2 2 2 2 16 5 5" xfId="10299" xr:uid="{00000000-0005-0000-0000-00003B280000}"/>
    <cellStyle name="Normal 2 2 2 2 2 16 5 6" xfId="10300" xr:uid="{00000000-0005-0000-0000-00003C280000}"/>
    <cellStyle name="Normal 2 2 2 2 2 16 5 7" xfId="10301" xr:uid="{00000000-0005-0000-0000-00003D280000}"/>
    <cellStyle name="Normal 2 2 2 2 2 16 5 8" xfId="10302" xr:uid="{00000000-0005-0000-0000-00003E280000}"/>
    <cellStyle name="Normal 2 2 2 2 2 16 5 9" xfId="10303" xr:uid="{00000000-0005-0000-0000-00003F280000}"/>
    <cellStyle name="Normal 2 2 2 2 2 16 6" xfId="10304" xr:uid="{00000000-0005-0000-0000-000040280000}"/>
    <cellStyle name="Normal 2 2 2 2 2 16 7" xfId="10305" xr:uid="{00000000-0005-0000-0000-000041280000}"/>
    <cellStyle name="Normal 2 2 2 2 2 16 8" xfId="10306" xr:uid="{00000000-0005-0000-0000-000042280000}"/>
    <cellStyle name="Normal 2 2 2 2 2 16 9" xfId="10307" xr:uid="{00000000-0005-0000-0000-000043280000}"/>
    <cellStyle name="Normal 2 2 2 2 2 17" xfId="10308" xr:uid="{00000000-0005-0000-0000-000044280000}"/>
    <cellStyle name="Normal 2 2 2 2 2 17 10" xfId="10309" xr:uid="{00000000-0005-0000-0000-000045280000}"/>
    <cellStyle name="Normal 2 2 2 2 2 17 11" xfId="10310" xr:uid="{00000000-0005-0000-0000-000046280000}"/>
    <cellStyle name="Normal 2 2 2 2 2 17 12" xfId="10311" xr:uid="{00000000-0005-0000-0000-000047280000}"/>
    <cellStyle name="Normal 2 2 2 2 2 17 13" xfId="10312" xr:uid="{00000000-0005-0000-0000-000048280000}"/>
    <cellStyle name="Normal 2 2 2 2 2 17 14" xfId="10313" xr:uid="{00000000-0005-0000-0000-000049280000}"/>
    <cellStyle name="Normal 2 2 2 2 2 17 2" xfId="10314" xr:uid="{00000000-0005-0000-0000-00004A280000}"/>
    <cellStyle name="Normal 2 2 2 2 2 17 2 10" xfId="10315" xr:uid="{00000000-0005-0000-0000-00004B280000}"/>
    <cellStyle name="Normal 2 2 2 2 2 17 2 2" xfId="10316" xr:uid="{00000000-0005-0000-0000-00004C280000}"/>
    <cellStyle name="Normal 2 2 2 2 2 17 2 3" xfId="10317" xr:uid="{00000000-0005-0000-0000-00004D280000}"/>
    <cellStyle name="Normal 2 2 2 2 2 17 2 4" xfId="10318" xr:uid="{00000000-0005-0000-0000-00004E280000}"/>
    <cellStyle name="Normal 2 2 2 2 2 17 2 5" xfId="10319" xr:uid="{00000000-0005-0000-0000-00004F280000}"/>
    <cellStyle name="Normal 2 2 2 2 2 17 2 6" xfId="10320" xr:uid="{00000000-0005-0000-0000-000050280000}"/>
    <cellStyle name="Normal 2 2 2 2 2 17 2 7" xfId="10321" xr:uid="{00000000-0005-0000-0000-000051280000}"/>
    <cellStyle name="Normal 2 2 2 2 2 17 2 8" xfId="10322" xr:uid="{00000000-0005-0000-0000-000052280000}"/>
    <cellStyle name="Normal 2 2 2 2 2 17 2 9" xfId="10323" xr:uid="{00000000-0005-0000-0000-000053280000}"/>
    <cellStyle name="Normal 2 2 2 2 2 17 3" xfId="10324" xr:uid="{00000000-0005-0000-0000-000054280000}"/>
    <cellStyle name="Normal 2 2 2 2 2 17 3 10" xfId="10325" xr:uid="{00000000-0005-0000-0000-000055280000}"/>
    <cellStyle name="Normal 2 2 2 2 2 17 3 2" xfId="10326" xr:uid="{00000000-0005-0000-0000-000056280000}"/>
    <cellStyle name="Normal 2 2 2 2 2 17 3 3" xfId="10327" xr:uid="{00000000-0005-0000-0000-000057280000}"/>
    <cellStyle name="Normal 2 2 2 2 2 17 3 4" xfId="10328" xr:uid="{00000000-0005-0000-0000-000058280000}"/>
    <cellStyle name="Normal 2 2 2 2 2 17 3 5" xfId="10329" xr:uid="{00000000-0005-0000-0000-000059280000}"/>
    <cellStyle name="Normal 2 2 2 2 2 17 3 6" xfId="10330" xr:uid="{00000000-0005-0000-0000-00005A280000}"/>
    <cellStyle name="Normal 2 2 2 2 2 17 3 7" xfId="10331" xr:uid="{00000000-0005-0000-0000-00005B280000}"/>
    <cellStyle name="Normal 2 2 2 2 2 17 3 8" xfId="10332" xr:uid="{00000000-0005-0000-0000-00005C280000}"/>
    <cellStyle name="Normal 2 2 2 2 2 17 3 9" xfId="10333" xr:uid="{00000000-0005-0000-0000-00005D280000}"/>
    <cellStyle name="Normal 2 2 2 2 2 17 4" xfId="10334" xr:uid="{00000000-0005-0000-0000-00005E280000}"/>
    <cellStyle name="Normal 2 2 2 2 2 17 4 10" xfId="10335" xr:uid="{00000000-0005-0000-0000-00005F280000}"/>
    <cellStyle name="Normal 2 2 2 2 2 17 4 2" xfId="10336" xr:uid="{00000000-0005-0000-0000-000060280000}"/>
    <cellStyle name="Normal 2 2 2 2 2 17 4 3" xfId="10337" xr:uid="{00000000-0005-0000-0000-000061280000}"/>
    <cellStyle name="Normal 2 2 2 2 2 17 4 4" xfId="10338" xr:uid="{00000000-0005-0000-0000-000062280000}"/>
    <cellStyle name="Normal 2 2 2 2 2 17 4 5" xfId="10339" xr:uid="{00000000-0005-0000-0000-000063280000}"/>
    <cellStyle name="Normal 2 2 2 2 2 17 4 6" xfId="10340" xr:uid="{00000000-0005-0000-0000-000064280000}"/>
    <cellStyle name="Normal 2 2 2 2 2 17 4 7" xfId="10341" xr:uid="{00000000-0005-0000-0000-000065280000}"/>
    <cellStyle name="Normal 2 2 2 2 2 17 4 8" xfId="10342" xr:uid="{00000000-0005-0000-0000-000066280000}"/>
    <cellStyle name="Normal 2 2 2 2 2 17 4 9" xfId="10343" xr:uid="{00000000-0005-0000-0000-000067280000}"/>
    <cellStyle name="Normal 2 2 2 2 2 17 5" xfId="10344" xr:uid="{00000000-0005-0000-0000-000068280000}"/>
    <cellStyle name="Normal 2 2 2 2 2 17 5 10" xfId="10345" xr:uid="{00000000-0005-0000-0000-000069280000}"/>
    <cellStyle name="Normal 2 2 2 2 2 17 5 2" xfId="10346" xr:uid="{00000000-0005-0000-0000-00006A280000}"/>
    <cellStyle name="Normal 2 2 2 2 2 17 5 3" xfId="10347" xr:uid="{00000000-0005-0000-0000-00006B280000}"/>
    <cellStyle name="Normal 2 2 2 2 2 17 5 4" xfId="10348" xr:uid="{00000000-0005-0000-0000-00006C280000}"/>
    <cellStyle name="Normal 2 2 2 2 2 17 5 5" xfId="10349" xr:uid="{00000000-0005-0000-0000-00006D280000}"/>
    <cellStyle name="Normal 2 2 2 2 2 17 5 6" xfId="10350" xr:uid="{00000000-0005-0000-0000-00006E280000}"/>
    <cellStyle name="Normal 2 2 2 2 2 17 5 7" xfId="10351" xr:uid="{00000000-0005-0000-0000-00006F280000}"/>
    <cellStyle name="Normal 2 2 2 2 2 17 5 8" xfId="10352" xr:uid="{00000000-0005-0000-0000-000070280000}"/>
    <cellStyle name="Normal 2 2 2 2 2 17 5 9" xfId="10353" xr:uid="{00000000-0005-0000-0000-000071280000}"/>
    <cellStyle name="Normal 2 2 2 2 2 17 6" xfId="10354" xr:uid="{00000000-0005-0000-0000-000072280000}"/>
    <cellStyle name="Normal 2 2 2 2 2 17 7" xfId="10355" xr:uid="{00000000-0005-0000-0000-000073280000}"/>
    <cellStyle name="Normal 2 2 2 2 2 17 8" xfId="10356" xr:uid="{00000000-0005-0000-0000-000074280000}"/>
    <cellStyle name="Normal 2 2 2 2 2 17 9" xfId="10357" xr:uid="{00000000-0005-0000-0000-000075280000}"/>
    <cellStyle name="Normal 2 2 2 2 2 18" xfId="10358" xr:uid="{00000000-0005-0000-0000-000076280000}"/>
    <cellStyle name="Normal 2 2 2 2 2 18 10" xfId="10359" xr:uid="{00000000-0005-0000-0000-000077280000}"/>
    <cellStyle name="Normal 2 2 2 2 2 18 11" xfId="10360" xr:uid="{00000000-0005-0000-0000-000078280000}"/>
    <cellStyle name="Normal 2 2 2 2 2 18 12" xfId="10361" xr:uid="{00000000-0005-0000-0000-000079280000}"/>
    <cellStyle name="Normal 2 2 2 2 2 18 13" xfId="10362" xr:uid="{00000000-0005-0000-0000-00007A280000}"/>
    <cellStyle name="Normal 2 2 2 2 2 18 14" xfId="10363" xr:uid="{00000000-0005-0000-0000-00007B280000}"/>
    <cellStyle name="Normal 2 2 2 2 2 18 2" xfId="10364" xr:uid="{00000000-0005-0000-0000-00007C280000}"/>
    <cellStyle name="Normal 2 2 2 2 2 18 2 10" xfId="10365" xr:uid="{00000000-0005-0000-0000-00007D280000}"/>
    <cellStyle name="Normal 2 2 2 2 2 18 2 2" xfId="10366" xr:uid="{00000000-0005-0000-0000-00007E280000}"/>
    <cellStyle name="Normal 2 2 2 2 2 18 2 3" xfId="10367" xr:uid="{00000000-0005-0000-0000-00007F280000}"/>
    <cellStyle name="Normal 2 2 2 2 2 18 2 4" xfId="10368" xr:uid="{00000000-0005-0000-0000-000080280000}"/>
    <cellStyle name="Normal 2 2 2 2 2 18 2 5" xfId="10369" xr:uid="{00000000-0005-0000-0000-000081280000}"/>
    <cellStyle name="Normal 2 2 2 2 2 18 2 6" xfId="10370" xr:uid="{00000000-0005-0000-0000-000082280000}"/>
    <cellStyle name="Normal 2 2 2 2 2 18 2 7" xfId="10371" xr:uid="{00000000-0005-0000-0000-000083280000}"/>
    <cellStyle name="Normal 2 2 2 2 2 18 2 8" xfId="10372" xr:uid="{00000000-0005-0000-0000-000084280000}"/>
    <cellStyle name="Normal 2 2 2 2 2 18 2 9" xfId="10373" xr:uid="{00000000-0005-0000-0000-000085280000}"/>
    <cellStyle name="Normal 2 2 2 2 2 18 3" xfId="10374" xr:uid="{00000000-0005-0000-0000-000086280000}"/>
    <cellStyle name="Normal 2 2 2 2 2 18 3 10" xfId="10375" xr:uid="{00000000-0005-0000-0000-000087280000}"/>
    <cellStyle name="Normal 2 2 2 2 2 18 3 2" xfId="10376" xr:uid="{00000000-0005-0000-0000-000088280000}"/>
    <cellStyle name="Normal 2 2 2 2 2 18 3 3" xfId="10377" xr:uid="{00000000-0005-0000-0000-000089280000}"/>
    <cellStyle name="Normal 2 2 2 2 2 18 3 4" xfId="10378" xr:uid="{00000000-0005-0000-0000-00008A280000}"/>
    <cellStyle name="Normal 2 2 2 2 2 18 3 5" xfId="10379" xr:uid="{00000000-0005-0000-0000-00008B280000}"/>
    <cellStyle name="Normal 2 2 2 2 2 18 3 6" xfId="10380" xr:uid="{00000000-0005-0000-0000-00008C280000}"/>
    <cellStyle name="Normal 2 2 2 2 2 18 3 7" xfId="10381" xr:uid="{00000000-0005-0000-0000-00008D280000}"/>
    <cellStyle name="Normal 2 2 2 2 2 18 3 8" xfId="10382" xr:uid="{00000000-0005-0000-0000-00008E280000}"/>
    <cellStyle name="Normal 2 2 2 2 2 18 3 9" xfId="10383" xr:uid="{00000000-0005-0000-0000-00008F280000}"/>
    <cellStyle name="Normal 2 2 2 2 2 18 4" xfId="10384" xr:uid="{00000000-0005-0000-0000-000090280000}"/>
    <cellStyle name="Normal 2 2 2 2 2 18 4 10" xfId="10385" xr:uid="{00000000-0005-0000-0000-000091280000}"/>
    <cellStyle name="Normal 2 2 2 2 2 18 4 2" xfId="10386" xr:uid="{00000000-0005-0000-0000-000092280000}"/>
    <cellStyle name="Normal 2 2 2 2 2 18 4 3" xfId="10387" xr:uid="{00000000-0005-0000-0000-000093280000}"/>
    <cellStyle name="Normal 2 2 2 2 2 18 4 4" xfId="10388" xr:uid="{00000000-0005-0000-0000-000094280000}"/>
    <cellStyle name="Normal 2 2 2 2 2 18 4 5" xfId="10389" xr:uid="{00000000-0005-0000-0000-000095280000}"/>
    <cellStyle name="Normal 2 2 2 2 2 18 4 6" xfId="10390" xr:uid="{00000000-0005-0000-0000-000096280000}"/>
    <cellStyle name="Normal 2 2 2 2 2 18 4 7" xfId="10391" xr:uid="{00000000-0005-0000-0000-000097280000}"/>
    <cellStyle name="Normal 2 2 2 2 2 18 4 8" xfId="10392" xr:uid="{00000000-0005-0000-0000-000098280000}"/>
    <cellStyle name="Normal 2 2 2 2 2 18 4 9" xfId="10393" xr:uid="{00000000-0005-0000-0000-000099280000}"/>
    <cellStyle name="Normal 2 2 2 2 2 18 5" xfId="10394" xr:uid="{00000000-0005-0000-0000-00009A280000}"/>
    <cellStyle name="Normal 2 2 2 2 2 18 5 10" xfId="10395" xr:uid="{00000000-0005-0000-0000-00009B280000}"/>
    <cellStyle name="Normal 2 2 2 2 2 18 5 2" xfId="10396" xr:uid="{00000000-0005-0000-0000-00009C280000}"/>
    <cellStyle name="Normal 2 2 2 2 2 18 5 3" xfId="10397" xr:uid="{00000000-0005-0000-0000-00009D280000}"/>
    <cellStyle name="Normal 2 2 2 2 2 18 5 4" xfId="10398" xr:uid="{00000000-0005-0000-0000-00009E280000}"/>
    <cellStyle name="Normal 2 2 2 2 2 18 5 5" xfId="10399" xr:uid="{00000000-0005-0000-0000-00009F280000}"/>
    <cellStyle name="Normal 2 2 2 2 2 18 5 6" xfId="10400" xr:uid="{00000000-0005-0000-0000-0000A0280000}"/>
    <cellStyle name="Normal 2 2 2 2 2 18 5 7" xfId="10401" xr:uid="{00000000-0005-0000-0000-0000A1280000}"/>
    <cellStyle name="Normal 2 2 2 2 2 18 5 8" xfId="10402" xr:uid="{00000000-0005-0000-0000-0000A2280000}"/>
    <cellStyle name="Normal 2 2 2 2 2 18 5 9" xfId="10403" xr:uid="{00000000-0005-0000-0000-0000A3280000}"/>
    <cellStyle name="Normal 2 2 2 2 2 18 6" xfId="10404" xr:uid="{00000000-0005-0000-0000-0000A4280000}"/>
    <cellStyle name="Normal 2 2 2 2 2 18 7" xfId="10405" xr:uid="{00000000-0005-0000-0000-0000A5280000}"/>
    <cellStyle name="Normal 2 2 2 2 2 18 8" xfId="10406" xr:uid="{00000000-0005-0000-0000-0000A6280000}"/>
    <cellStyle name="Normal 2 2 2 2 2 18 9" xfId="10407" xr:uid="{00000000-0005-0000-0000-0000A7280000}"/>
    <cellStyle name="Normal 2 2 2 2 2 19" xfId="10408" xr:uid="{00000000-0005-0000-0000-0000A8280000}"/>
    <cellStyle name="Normal 2 2 2 2 2 19 10" xfId="10409" xr:uid="{00000000-0005-0000-0000-0000A9280000}"/>
    <cellStyle name="Normal 2 2 2 2 2 19 11" xfId="10410" xr:uid="{00000000-0005-0000-0000-0000AA280000}"/>
    <cellStyle name="Normal 2 2 2 2 2 19 12" xfId="10411" xr:uid="{00000000-0005-0000-0000-0000AB280000}"/>
    <cellStyle name="Normal 2 2 2 2 2 19 13" xfId="10412" xr:uid="{00000000-0005-0000-0000-0000AC280000}"/>
    <cellStyle name="Normal 2 2 2 2 2 19 14" xfId="10413" xr:uid="{00000000-0005-0000-0000-0000AD280000}"/>
    <cellStyle name="Normal 2 2 2 2 2 19 2" xfId="10414" xr:uid="{00000000-0005-0000-0000-0000AE280000}"/>
    <cellStyle name="Normal 2 2 2 2 2 19 2 10" xfId="10415" xr:uid="{00000000-0005-0000-0000-0000AF280000}"/>
    <cellStyle name="Normal 2 2 2 2 2 19 2 2" xfId="10416" xr:uid="{00000000-0005-0000-0000-0000B0280000}"/>
    <cellStyle name="Normal 2 2 2 2 2 19 2 3" xfId="10417" xr:uid="{00000000-0005-0000-0000-0000B1280000}"/>
    <cellStyle name="Normal 2 2 2 2 2 19 2 4" xfId="10418" xr:uid="{00000000-0005-0000-0000-0000B2280000}"/>
    <cellStyle name="Normal 2 2 2 2 2 19 2 5" xfId="10419" xr:uid="{00000000-0005-0000-0000-0000B3280000}"/>
    <cellStyle name="Normal 2 2 2 2 2 19 2 6" xfId="10420" xr:uid="{00000000-0005-0000-0000-0000B4280000}"/>
    <cellStyle name="Normal 2 2 2 2 2 19 2 7" xfId="10421" xr:uid="{00000000-0005-0000-0000-0000B5280000}"/>
    <cellStyle name="Normal 2 2 2 2 2 19 2 8" xfId="10422" xr:uid="{00000000-0005-0000-0000-0000B6280000}"/>
    <cellStyle name="Normal 2 2 2 2 2 19 2 9" xfId="10423" xr:uid="{00000000-0005-0000-0000-0000B7280000}"/>
    <cellStyle name="Normal 2 2 2 2 2 19 3" xfId="10424" xr:uid="{00000000-0005-0000-0000-0000B8280000}"/>
    <cellStyle name="Normal 2 2 2 2 2 19 3 10" xfId="10425" xr:uid="{00000000-0005-0000-0000-0000B9280000}"/>
    <cellStyle name="Normal 2 2 2 2 2 19 3 2" xfId="10426" xr:uid="{00000000-0005-0000-0000-0000BA280000}"/>
    <cellStyle name="Normal 2 2 2 2 2 19 3 3" xfId="10427" xr:uid="{00000000-0005-0000-0000-0000BB280000}"/>
    <cellStyle name="Normal 2 2 2 2 2 19 3 4" xfId="10428" xr:uid="{00000000-0005-0000-0000-0000BC280000}"/>
    <cellStyle name="Normal 2 2 2 2 2 19 3 5" xfId="10429" xr:uid="{00000000-0005-0000-0000-0000BD280000}"/>
    <cellStyle name="Normal 2 2 2 2 2 19 3 6" xfId="10430" xr:uid="{00000000-0005-0000-0000-0000BE280000}"/>
    <cellStyle name="Normal 2 2 2 2 2 19 3 7" xfId="10431" xr:uid="{00000000-0005-0000-0000-0000BF280000}"/>
    <cellStyle name="Normal 2 2 2 2 2 19 3 8" xfId="10432" xr:uid="{00000000-0005-0000-0000-0000C0280000}"/>
    <cellStyle name="Normal 2 2 2 2 2 19 3 9" xfId="10433" xr:uid="{00000000-0005-0000-0000-0000C1280000}"/>
    <cellStyle name="Normal 2 2 2 2 2 19 4" xfId="10434" xr:uid="{00000000-0005-0000-0000-0000C2280000}"/>
    <cellStyle name="Normal 2 2 2 2 2 19 4 10" xfId="10435" xr:uid="{00000000-0005-0000-0000-0000C3280000}"/>
    <cellStyle name="Normal 2 2 2 2 2 19 4 2" xfId="10436" xr:uid="{00000000-0005-0000-0000-0000C4280000}"/>
    <cellStyle name="Normal 2 2 2 2 2 19 4 3" xfId="10437" xr:uid="{00000000-0005-0000-0000-0000C5280000}"/>
    <cellStyle name="Normal 2 2 2 2 2 19 4 4" xfId="10438" xr:uid="{00000000-0005-0000-0000-0000C6280000}"/>
    <cellStyle name="Normal 2 2 2 2 2 19 4 5" xfId="10439" xr:uid="{00000000-0005-0000-0000-0000C7280000}"/>
    <cellStyle name="Normal 2 2 2 2 2 19 4 6" xfId="10440" xr:uid="{00000000-0005-0000-0000-0000C8280000}"/>
    <cellStyle name="Normal 2 2 2 2 2 19 4 7" xfId="10441" xr:uid="{00000000-0005-0000-0000-0000C9280000}"/>
    <cellStyle name="Normal 2 2 2 2 2 19 4 8" xfId="10442" xr:uid="{00000000-0005-0000-0000-0000CA280000}"/>
    <cellStyle name="Normal 2 2 2 2 2 19 4 9" xfId="10443" xr:uid="{00000000-0005-0000-0000-0000CB280000}"/>
    <cellStyle name="Normal 2 2 2 2 2 19 5" xfId="10444" xr:uid="{00000000-0005-0000-0000-0000CC280000}"/>
    <cellStyle name="Normal 2 2 2 2 2 19 5 10" xfId="10445" xr:uid="{00000000-0005-0000-0000-0000CD280000}"/>
    <cellStyle name="Normal 2 2 2 2 2 19 5 2" xfId="10446" xr:uid="{00000000-0005-0000-0000-0000CE280000}"/>
    <cellStyle name="Normal 2 2 2 2 2 19 5 3" xfId="10447" xr:uid="{00000000-0005-0000-0000-0000CF280000}"/>
    <cellStyle name="Normal 2 2 2 2 2 19 5 4" xfId="10448" xr:uid="{00000000-0005-0000-0000-0000D0280000}"/>
    <cellStyle name="Normal 2 2 2 2 2 19 5 5" xfId="10449" xr:uid="{00000000-0005-0000-0000-0000D1280000}"/>
    <cellStyle name="Normal 2 2 2 2 2 19 5 6" xfId="10450" xr:uid="{00000000-0005-0000-0000-0000D2280000}"/>
    <cellStyle name="Normal 2 2 2 2 2 19 5 7" xfId="10451" xr:uid="{00000000-0005-0000-0000-0000D3280000}"/>
    <cellStyle name="Normal 2 2 2 2 2 19 5 8" xfId="10452" xr:uid="{00000000-0005-0000-0000-0000D4280000}"/>
    <cellStyle name="Normal 2 2 2 2 2 19 5 9" xfId="10453" xr:uid="{00000000-0005-0000-0000-0000D5280000}"/>
    <cellStyle name="Normal 2 2 2 2 2 19 6" xfId="10454" xr:uid="{00000000-0005-0000-0000-0000D6280000}"/>
    <cellStyle name="Normal 2 2 2 2 2 19 7" xfId="10455" xr:uid="{00000000-0005-0000-0000-0000D7280000}"/>
    <cellStyle name="Normal 2 2 2 2 2 19 8" xfId="10456" xr:uid="{00000000-0005-0000-0000-0000D8280000}"/>
    <cellStyle name="Normal 2 2 2 2 2 19 9" xfId="10457" xr:uid="{00000000-0005-0000-0000-0000D9280000}"/>
    <cellStyle name="Normal 2 2 2 2 2 2" xfId="10458" xr:uid="{00000000-0005-0000-0000-0000DA280000}"/>
    <cellStyle name="Normal 2 2 2 2 2 2 10" xfId="10459" xr:uid="{00000000-0005-0000-0000-0000DB280000}"/>
    <cellStyle name="Normal 2 2 2 2 2 2 10 10" xfId="10460" xr:uid="{00000000-0005-0000-0000-0000DC280000}"/>
    <cellStyle name="Normal 2 2 2 2 2 2 10 11" xfId="10461" xr:uid="{00000000-0005-0000-0000-0000DD280000}"/>
    <cellStyle name="Normal 2 2 2 2 2 2 10 12" xfId="10462" xr:uid="{00000000-0005-0000-0000-0000DE280000}"/>
    <cellStyle name="Normal 2 2 2 2 2 2 10 13" xfId="10463" xr:uid="{00000000-0005-0000-0000-0000DF280000}"/>
    <cellStyle name="Normal 2 2 2 2 2 2 10 14" xfId="10464" xr:uid="{00000000-0005-0000-0000-0000E0280000}"/>
    <cellStyle name="Normal 2 2 2 2 2 2 10 2" xfId="10465" xr:uid="{00000000-0005-0000-0000-0000E1280000}"/>
    <cellStyle name="Normal 2 2 2 2 2 2 10 2 10" xfId="10466" xr:uid="{00000000-0005-0000-0000-0000E2280000}"/>
    <cellStyle name="Normal 2 2 2 2 2 2 10 2 2" xfId="10467" xr:uid="{00000000-0005-0000-0000-0000E3280000}"/>
    <cellStyle name="Normal 2 2 2 2 2 2 10 2 3" xfId="10468" xr:uid="{00000000-0005-0000-0000-0000E4280000}"/>
    <cellStyle name="Normal 2 2 2 2 2 2 10 2 4" xfId="10469" xr:uid="{00000000-0005-0000-0000-0000E5280000}"/>
    <cellStyle name="Normal 2 2 2 2 2 2 10 2 5" xfId="10470" xr:uid="{00000000-0005-0000-0000-0000E6280000}"/>
    <cellStyle name="Normal 2 2 2 2 2 2 10 2 6" xfId="10471" xr:uid="{00000000-0005-0000-0000-0000E7280000}"/>
    <cellStyle name="Normal 2 2 2 2 2 2 10 2 7" xfId="10472" xr:uid="{00000000-0005-0000-0000-0000E8280000}"/>
    <cellStyle name="Normal 2 2 2 2 2 2 10 2 8" xfId="10473" xr:uid="{00000000-0005-0000-0000-0000E9280000}"/>
    <cellStyle name="Normal 2 2 2 2 2 2 10 2 9" xfId="10474" xr:uid="{00000000-0005-0000-0000-0000EA280000}"/>
    <cellStyle name="Normal 2 2 2 2 2 2 10 3" xfId="10475" xr:uid="{00000000-0005-0000-0000-0000EB280000}"/>
    <cellStyle name="Normal 2 2 2 2 2 2 10 3 10" xfId="10476" xr:uid="{00000000-0005-0000-0000-0000EC280000}"/>
    <cellStyle name="Normal 2 2 2 2 2 2 10 3 2" xfId="10477" xr:uid="{00000000-0005-0000-0000-0000ED280000}"/>
    <cellStyle name="Normal 2 2 2 2 2 2 10 3 3" xfId="10478" xr:uid="{00000000-0005-0000-0000-0000EE280000}"/>
    <cellStyle name="Normal 2 2 2 2 2 2 10 3 4" xfId="10479" xr:uid="{00000000-0005-0000-0000-0000EF280000}"/>
    <cellStyle name="Normal 2 2 2 2 2 2 10 3 5" xfId="10480" xr:uid="{00000000-0005-0000-0000-0000F0280000}"/>
    <cellStyle name="Normal 2 2 2 2 2 2 10 3 6" xfId="10481" xr:uid="{00000000-0005-0000-0000-0000F1280000}"/>
    <cellStyle name="Normal 2 2 2 2 2 2 10 3 7" xfId="10482" xr:uid="{00000000-0005-0000-0000-0000F2280000}"/>
    <cellStyle name="Normal 2 2 2 2 2 2 10 3 8" xfId="10483" xr:uid="{00000000-0005-0000-0000-0000F3280000}"/>
    <cellStyle name="Normal 2 2 2 2 2 2 10 3 9" xfId="10484" xr:uid="{00000000-0005-0000-0000-0000F4280000}"/>
    <cellStyle name="Normal 2 2 2 2 2 2 10 4" xfId="10485" xr:uid="{00000000-0005-0000-0000-0000F5280000}"/>
    <cellStyle name="Normal 2 2 2 2 2 2 10 4 10" xfId="10486" xr:uid="{00000000-0005-0000-0000-0000F6280000}"/>
    <cellStyle name="Normal 2 2 2 2 2 2 10 4 2" xfId="10487" xr:uid="{00000000-0005-0000-0000-0000F7280000}"/>
    <cellStyle name="Normal 2 2 2 2 2 2 10 4 3" xfId="10488" xr:uid="{00000000-0005-0000-0000-0000F8280000}"/>
    <cellStyle name="Normal 2 2 2 2 2 2 10 4 4" xfId="10489" xr:uid="{00000000-0005-0000-0000-0000F9280000}"/>
    <cellStyle name="Normal 2 2 2 2 2 2 10 4 5" xfId="10490" xr:uid="{00000000-0005-0000-0000-0000FA280000}"/>
    <cellStyle name="Normal 2 2 2 2 2 2 10 4 6" xfId="10491" xr:uid="{00000000-0005-0000-0000-0000FB280000}"/>
    <cellStyle name="Normal 2 2 2 2 2 2 10 4 7" xfId="10492" xr:uid="{00000000-0005-0000-0000-0000FC280000}"/>
    <cellStyle name="Normal 2 2 2 2 2 2 10 4 8" xfId="10493" xr:uid="{00000000-0005-0000-0000-0000FD280000}"/>
    <cellStyle name="Normal 2 2 2 2 2 2 10 4 9" xfId="10494" xr:uid="{00000000-0005-0000-0000-0000FE280000}"/>
    <cellStyle name="Normal 2 2 2 2 2 2 10 5" xfId="10495" xr:uid="{00000000-0005-0000-0000-0000FF280000}"/>
    <cellStyle name="Normal 2 2 2 2 2 2 10 5 10" xfId="10496" xr:uid="{00000000-0005-0000-0000-000000290000}"/>
    <cellStyle name="Normal 2 2 2 2 2 2 10 5 2" xfId="10497" xr:uid="{00000000-0005-0000-0000-000001290000}"/>
    <cellStyle name="Normal 2 2 2 2 2 2 10 5 3" xfId="10498" xr:uid="{00000000-0005-0000-0000-000002290000}"/>
    <cellStyle name="Normal 2 2 2 2 2 2 10 5 4" xfId="10499" xr:uid="{00000000-0005-0000-0000-000003290000}"/>
    <cellStyle name="Normal 2 2 2 2 2 2 10 5 5" xfId="10500" xr:uid="{00000000-0005-0000-0000-000004290000}"/>
    <cellStyle name="Normal 2 2 2 2 2 2 10 5 6" xfId="10501" xr:uid="{00000000-0005-0000-0000-000005290000}"/>
    <cellStyle name="Normal 2 2 2 2 2 2 10 5 7" xfId="10502" xr:uid="{00000000-0005-0000-0000-000006290000}"/>
    <cellStyle name="Normal 2 2 2 2 2 2 10 5 8" xfId="10503" xr:uid="{00000000-0005-0000-0000-000007290000}"/>
    <cellStyle name="Normal 2 2 2 2 2 2 10 5 9" xfId="10504" xr:uid="{00000000-0005-0000-0000-000008290000}"/>
    <cellStyle name="Normal 2 2 2 2 2 2 10 6" xfId="10505" xr:uid="{00000000-0005-0000-0000-000009290000}"/>
    <cellStyle name="Normal 2 2 2 2 2 2 10 7" xfId="10506" xr:uid="{00000000-0005-0000-0000-00000A290000}"/>
    <cellStyle name="Normal 2 2 2 2 2 2 10 8" xfId="10507" xr:uid="{00000000-0005-0000-0000-00000B290000}"/>
    <cellStyle name="Normal 2 2 2 2 2 2 10 9" xfId="10508" xr:uid="{00000000-0005-0000-0000-00000C290000}"/>
    <cellStyle name="Normal 2 2 2 2 2 2 11" xfId="10509" xr:uid="{00000000-0005-0000-0000-00000D290000}"/>
    <cellStyle name="Normal 2 2 2 2 2 2 11 10" xfId="10510" xr:uid="{00000000-0005-0000-0000-00000E290000}"/>
    <cellStyle name="Normal 2 2 2 2 2 2 11 11" xfId="10511" xr:uid="{00000000-0005-0000-0000-00000F290000}"/>
    <cellStyle name="Normal 2 2 2 2 2 2 11 12" xfId="10512" xr:uid="{00000000-0005-0000-0000-000010290000}"/>
    <cellStyle name="Normal 2 2 2 2 2 2 11 13" xfId="10513" xr:uid="{00000000-0005-0000-0000-000011290000}"/>
    <cellStyle name="Normal 2 2 2 2 2 2 11 14" xfId="10514" xr:uid="{00000000-0005-0000-0000-000012290000}"/>
    <cellStyle name="Normal 2 2 2 2 2 2 11 2" xfId="10515" xr:uid="{00000000-0005-0000-0000-000013290000}"/>
    <cellStyle name="Normal 2 2 2 2 2 2 11 2 10" xfId="10516" xr:uid="{00000000-0005-0000-0000-000014290000}"/>
    <cellStyle name="Normal 2 2 2 2 2 2 11 2 2" xfId="10517" xr:uid="{00000000-0005-0000-0000-000015290000}"/>
    <cellStyle name="Normal 2 2 2 2 2 2 11 2 3" xfId="10518" xr:uid="{00000000-0005-0000-0000-000016290000}"/>
    <cellStyle name="Normal 2 2 2 2 2 2 11 2 4" xfId="10519" xr:uid="{00000000-0005-0000-0000-000017290000}"/>
    <cellStyle name="Normal 2 2 2 2 2 2 11 2 5" xfId="10520" xr:uid="{00000000-0005-0000-0000-000018290000}"/>
    <cellStyle name="Normal 2 2 2 2 2 2 11 2 6" xfId="10521" xr:uid="{00000000-0005-0000-0000-000019290000}"/>
    <cellStyle name="Normal 2 2 2 2 2 2 11 2 7" xfId="10522" xr:uid="{00000000-0005-0000-0000-00001A290000}"/>
    <cellStyle name="Normal 2 2 2 2 2 2 11 2 8" xfId="10523" xr:uid="{00000000-0005-0000-0000-00001B290000}"/>
    <cellStyle name="Normal 2 2 2 2 2 2 11 2 9" xfId="10524" xr:uid="{00000000-0005-0000-0000-00001C290000}"/>
    <cellStyle name="Normal 2 2 2 2 2 2 11 3" xfId="10525" xr:uid="{00000000-0005-0000-0000-00001D290000}"/>
    <cellStyle name="Normal 2 2 2 2 2 2 11 3 10" xfId="10526" xr:uid="{00000000-0005-0000-0000-00001E290000}"/>
    <cellStyle name="Normal 2 2 2 2 2 2 11 3 2" xfId="10527" xr:uid="{00000000-0005-0000-0000-00001F290000}"/>
    <cellStyle name="Normal 2 2 2 2 2 2 11 3 3" xfId="10528" xr:uid="{00000000-0005-0000-0000-000020290000}"/>
    <cellStyle name="Normal 2 2 2 2 2 2 11 3 4" xfId="10529" xr:uid="{00000000-0005-0000-0000-000021290000}"/>
    <cellStyle name="Normal 2 2 2 2 2 2 11 3 5" xfId="10530" xr:uid="{00000000-0005-0000-0000-000022290000}"/>
    <cellStyle name="Normal 2 2 2 2 2 2 11 3 6" xfId="10531" xr:uid="{00000000-0005-0000-0000-000023290000}"/>
    <cellStyle name="Normal 2 2 2 2 2 2 11 3 7" xfId="10532" xr:uid="{00000000-0005-0000-0000-000024290000}"/>
    <cellStyle name="Normal 2 2 2 2 2 2 11 3 8" xfId="10533" xr:uid="{00000000-0005-0000-0000-000025290000}"/>
    <cellStyle name="Normal 2 2 2 2 2 2 11 3 9" xfId="10534" xr:uid="{00000000-0005-0000-0000-000026290000}"/>
    <cellStyle name="Normal 2 2 2 2 2 2 11 4" xfId="10535" xr:uid="{00000000-0005-0000-0000-000027290000}"/>
    <cellStyle name="Normal 2 2 2 2 2 2 11 4 10" xfId="10536" xr:uid="{00000000-0005-0000-0000-000028290000}"/>
    <cellStyle name="Normal 2 2 2 2 2 2 11 4 2" xfId="10537" xr:uid="{00000000-0005-0000-0000-000029290000}"/>
    <cellStyle name="Normal 2 2 2 2 2 2 11 4 3" xfId="10538" xr:uid="{00000000-0005-0000-0000-00002A290000}"/>
    <cellStyle name="Normal 2 2 2 2 2 2 11 4 4" xfId="10539" xr:uid="{00000000-0005-0000-0000-00002B290000}"/>
    <cellStyle name="Normal 2 2 2 2 2 2 11 4 5" xfId="10540" xr:uid="{00000000-0005-0000-0000-00002C290000}"/>
    <cellStyle name="Normal 2 2 2 2 2 2 11 4 6" xfId="10541" xr:uid="{00000000-0005-0000-0000-00002D290000}"/>
    <cellStyle name="Normal 2 2 2 2 2 2 11 4 7" xfId="10542" xr:uid="{00000000-0005-0000-0000-00002E290000}"/>
    <cellStyle name="Normal 2 2 2 2 2 2 11 4 8" xfId="10543" xr:uid="{00000000-0005-0000-0000-00002F290000}"/>
    <cellStyle name="Normal 2 2 2 2 2 2 11 4 9" xfId="10544" xr:uid="{00000000-0005-0000-0000-000030290000}"/>
    <cellStyle name="Normal 2 2 2 2 2 2 11 5" xfId="10545" xr:uid="{00000000-0005-0000-0000-000031290000}"/>
    <cellStyle name="Normal 2 2 2 2 2 2 11 5 10" xfId="10546" xr:uid="{00000000-0005-0000-0000-000032290000}"/>
    <cellStyle name="Normal 2 2 2 2 2 2 11 5 2" xfId="10547" xr:uid="{00000000-0005-0000-0000-000033290000}"/>
    <cellStyle name="Normal 2 2 2 2 2 2 11 5 3" xfId="10548" xr:uid="{00000000-0005-0000-0000-000034290000}"/>
    <cellStyle name="Normal 2 2 2 2 2 2 11 5 4" xfId="10549" xr:uid="{00000000-0005-0000-0000-000035290000}"/>
    <cellStyle name="Normal 2 2 2 2 2 2 11 5 5" xfId="10550" xr:uid="{00000000-0005-0000-0000-000036290000}"/>
    <cellStyle name="Normal 2 2 2 2 2 2 11 5 6" xfId="10551" xr:uid="{00000000-0005-0000-0000-000037290000}"/>
    <cellStyle name="Normal 2 2 2 2 2 2 11 5 7" xfId="10552" xr:uid="{00000000-0005-0000-0000-000038290000}"/>
    <cellStyle name="Normal 2 2 2 2 2 2 11 5 8" xfId="10553" xr:uid="{00000000-0005-0000-0000-000039290000}"/>
    <cellStyle name="Normal 2 2 2 2 2 2 11 5 9" xfId="10554" xr:uid="{00000000-0005-0000-0000-00003A290000}"/>
    <cellStyle name="Normal 2 2 2 2 2 2 11 6" xfId="10555" xr:uid="{00000000-0005-0000-0000-00003B290000}"/>
    <cellStyle name="Normal 2 2 2 2 2 2 11 7" xfId="10556" xr:uid="{00000000-0005-0000-0000-00003C290000}"/>
    <cellStyle name="Normal 2 2 2 2 2 2 11 8" xfId="10557" xr:uid="{00000000-0005-0000-0000-00003D290000}"/>
    <cellStyle name="Normal 2 2 2 2 2 2 11 9" xfId="10558" xr:uid="{00000000-0005-0000-0000-00003E290000}"/>
    <cellStyle name="Normal 2 2 2 2 2 2 12" xfId="10559" xr:uid="{00000000-0005-0000-0000-00003F290000}"/>
    <cellStyle name="Normal 2 2 2 2 2 2 12 10" xfId="10560" xr:uid="{00000000-0005-0000-0000-000040290000}"/>
    <cellStyle name="Normal 2 2 2 2 2 2 12 11" xfId="10561" xr:uid="{00000000-0005-0000-0000-000041290000}"/>
    <cellStyle name="Normal 2 2 2 2 2 2 12 12" xfId="10562" xr:uid="{00000000-0005-0000-0000-000042290000}"/>
    <cellStyle name="Normal 2 2 2 2 2 2 12 13" xfId="10563" xr:uid="{00000000-0005-0000-0000-000043290000}"/>
    <cellStyle name="Normal 2 2 2 2 2 2 12 14" xfId="10564" xr:uid="{00000000-0005-0000-0000-000044290000}"/>
    <cellStyle name="Normal 2 2 2 2 2 2 12 2" xfId="10565" xr:uid="{00000000-0005-0000-0000-000045290000}"/>
    <cellStyle name="Normal 2 2 2 2 2 2 12 2 10" xfId="10566" xr:uid="{00000000-0005-0000-0000-000046290000}"/>
    <cellStyle name="Normal 2 2 2 2 2 2 12 2 2" xfId="10567" xr:uid="{00000000-0005-0000-0000-000047290000}"/>
    <cellStyle name="Normal 2 2 2 2 2 2 12 2 3" xfId="10568" xr:uid="{00000000-0005-0000-0000-000048290000}"/>
    <cellStyle name="Normal 2 2 2 2 2 2 12 2 4" xfId="10569" xr:uid="{00000000-0005-0000-0000-000049290000}"/>
    <cellStyle name="Normal 2 2 2 2 2 2 12 2 5" xfId="10570" xr:uid="{00000000-0005-0000-0000-00004A290000}"/>
    <cellStyle name="Normal 2 2 2 2 2 2 12 2 6" xfId="10571" xr:uid="{00000000-0005-0000-0000-00004B290000}"/>
    <cellStyle name="Normal 2 2 2 2 2 2 12 2 7" xfId="10572" xr:uid="{00000000-0005-0000-0000-00004C290000}"/>
    <cellStyle name="Normal 2 2 2 2 2 2 12 2 8" xfId="10573" xr:uid="{00000000-0005-0000-0000-00004D290000}"/>
    <cellStyle name="Normal 2 2 2 2 2 2 12 2 9" xfId="10574" xr:uid="{00000000-0005-0000-0000-00004E290000}"/>
    <cellStyle name="Normal 2 2 2 2 2 2 12 3" xfId="10575" xr:uid="{00000000-0005-0000-0000-00004F290000}"/>
    <cellStyle name="Normal 2 2 2 2 2 2 12 3 10" xfId="10576" xr:uid="{00000000-0005-0000-0000-000050290000}"/>
    <cellStyle name="Normal 2 2 2 2 2 2 12 3 2" xfId="10577" xr:uid="{00000000-0005-0000-0000-000051290000}"/>
    <cellStyle name="Normal 2 2 2 2 2 2 12 3 3" xfId="10578" xr:uid="{00000000-0005-0000-0000-000052290000}"/>
    <cellStyle name="Normal 2 2 2 2 2 2 12 3 4" xfId="10579" xr:uid="{00000000-0005-0000-0000-000053290000}"/>
    <cellStyle name="Normal 2 2 2 2 2 2 12 3 5" xfId="10580" xr:uid="{00000000-0005-0000-0000-000054290000}"/>
    <cellStyle name="Normal 2 2 2 2 2 2 12 3 6" xfId="10581" xr:uid="{00000000-0005-0000-0000-000055290000}"/>
    <cellStyle name="Normal 2 2 2 2 2 2 12 3 7" xfId="10582" xr:uid="{00000000-0005-0000-0000-000056290000}"/>
    <cellStyle name="Normal 2 2 2 2 2 2 12 3 8" xfId="10583" xr:uid="{00000000-0005-0000-0000-000057290000}"/>
    <cellStyle name="Normal 2 2 2 2 2 2 12 3 9" xfId="10584" xr:uid="{00000000-0005-0000-0000-000058290000}"/>
    <cellStyle name="Normal 2 2 2 2 2 2 12 4" xfId="10585" xr:uid="{00000000-0005-0000-0000-000059290000}"/>
    <cellStyle name="Normal 2 2 2 2 2 2 12 4 10" xfId="10586" xr:uid="{00000000-0005-0000-0000-00005A290000}"/>
    <cellStyle name="Normal 2 2 2 2 2 2 12 4 2" xfId="10587" xr:uid="{00000000-0005-0000-0000-00005B290000}"/>
    <cellStyle name="Normal 2 2 2 2 2 2 12 4 3" xfId="10588" xr:uid="{00000000-0005-0000-0000-00005C290000}"/>
    <cellStyle name="Normal 2 2 2 2 2 2 12 4 4" xfId="10589" xr:uid="{00000000-0005-0000-0000-00005D290000}"/>
    <cellStyle name="Normal 2 2 2 2 2 2 12 4 5" xfId="10590" xr:uid="{00000000-0005-0000-0000-00005E290000}"/>
    <cellStyle name="Normal 2 2 2 2 2 2 12 4 6" xfId="10591" xr:uid="{00000000-0005-0000-0000-00005F290000}"/>
    <cellStyle name="Normal 2 2 2 2 2 2 12 4 7" xfId="10592" xr:uid="{00000000-0005-0000-0000-000060290000}"/>
    <cellStyle name="Normal 2 2 2 2 2 2 12 4 8" xfId="10593" xr:uid="{00000000-0005-0000-0000-000061290000}"/>
    <cellStyle name="Normal 2 2 2 2 2 2 12 4 9" xfId="10594" xr:uid="{00000000-0005-0000-0000-000062290000}"/>
    <cellStyle name="Normal 2 2 2 2 2 2 12 5" xfId="10595" xr:uid="{00000000-0005-0000-0000-000063290000}"/>
    <cellStyle name="Normal 2 2 2 2 2 2 12 5 10" xfId="10596" xr:uid="{00000000-0005-0000-0000-000064290000}"/>
    <cellStyle name="Normal 2 2 2 2 2 2 12 5 2" xfId="10597" xr:uid="{00000000-0005-0000-0000-000065290000}"/>
    <cellStyle name="Normal 2 2 2 2 2 2 12 5 3" xfId="10598" xr:uid="{00000000-0005-0000-0000-000066290000}"/>
    <cellStyle name="Normal 2 2 2 2 2 2 12 5 4" xfId="10599" xr:uid="{00000000-0005-0000-0000-000067290000}"/>
    <cellStyle name="Normal 2 2 2 2 2 2 12 5 5" xfId="10600" xr:uid="{00000000-0005-0000-0000-000068290000}"/>
    <cellStyle name="Normal 2 2 2 2 2 2 12 5 6" xfId="10601" xr:uid="{00000000-0005-0000-0000-000069290000}"/>
    <cellStyle name="Normal 2 2 2 2 2 2 12 5 7" xfId="10602" xr:uid="{00000000-0005-0000-0000-00006A290000}"/>
    <cellStyle name="Normal 2 2 2 2 2 2 12 5 8" xfId="10603" xr:uid="{00000000-0005-0000-0000-00006B290000}"/>
    <cellStyle name="Normal 2 2 2 2 2 2 12 5 9" xfId="10604" xr:uid="{00000000-0005-0000-0000-00006C290000}"/>
    <cellStyle name="Normal 2 2 2 2 2 2 12 6" xfId="10605" xr:uid="{00000000-0005-0000-0000-00006D290000}"/>
    <cellStyle name="Normal 2 2 2 2 2 2 12 7" xfId="10606" xr:uid="{00000000-0005-0000-0000-00006E290000}"/>
    <cellStyle name="Normal 2 2 2 2 2 2 12 8" xfId="10607" xr:uid="{00000000-0005-0000-0000-00006F290000}"/>
    <cellStyle name="Normal 2 2 2 2 2 2 12 9" xfId="10608" xr:uid="{00000000-0005-0000-0000-000070290000}"/>
    <cellStyle name="Normal 2 2 2 2 2 2 13" xfId="10609" xr:uid="{00000000-0005-0000-0000-000071290000}"/>
    <cellStyle name="Normal 2 2 2 2 2 2 13 10" xfId="10610" xr:uid="{00000000-0005-0000-0000-000072290000}"/>
    <cellStyle name="Normal 2 2 2 2 2 2 13 11" xfId="10611" xr:uid="{00000000-0005-0000-0000-000073290000}"/>
    <cellStyle name="Normal 2 2 2 2 2 2 13 12" xfId="10612" xr:uid="{00000000-0005-0000-0000-000074290000}"/>
    <cellStyle name="Normal 2 2 2 2 2 2 13 13" xfId="10613" xr:uid="{00000000-0005-0000-0000-000075290000}"/>
    <cellStyle name="Normal 2 2 2 2 2 2 13 14" xfId="10614" xr:uid="{00000000-0005-0000-0000-000076290000}"/>
    <cellStyle name="Normal 2 2 2 2 2 2 13 2" xfId="10615" xr:uid="{00000000-0005-0000-0000-000077290000}"/>
    <cellStyle name="Normal 2 2 2 2 2 2 13 2 10" xfId="10616" xr:uid="{00000000-0005-0000-0000-000078290000}"/>
    <cellStyle name="Normal 2 2 2 2 2 2 13 2 2" xfId="10617" xr:uid="{00000000-0005-0000-0000-000079290000}"/>
    <cellStyle name="Normal 2 2 2 2 2 2 13 2 3" xfId="10618" xr:uid="{00000000-0005-0000-0000-00007A290000}"/>
    <cellStyle name="Normal 2 2 2 2 2 2 13 2 4" xfId="10619" xr:uid="{00000000-0005-0000-0000-00007B290000}"/>
    <cellStyle name="Normal 2 2 2 2 2 2 13 2 5" xfId="10620" xr:uid="{00000000-0005-0000-0000-00007C290000}"/>
    <cellStyle name="Normal 2 2 2 2 2 2 13 2 6" xfId="10621" xr:uid="{00000000-0005-0000-0000-00007D290000}"/>
    <cellStyle name="Normal 2 2 2 2 2 2 13 2 7" xfId="10622" xr:uid="{00000000-0005-0000-0000-00007E290000}"/>
    <cellStyle name="Normal 2 2 2 2 2 2 13 2 8" xfId="10623" xr:uid="{00000000-0005-0000-0000-00007F290000}"/>
    <cellStyle name="Normal 2 2 2 2 2 2 13 2 9" xfId="10624" xr:uid="{00000000-0005-0000-0000-000080290000}"/>
    <cellStyle name="Normal 2 2 2 2 2 2 13 3" xfId="10625" xr:uid="{00000000-0005-0000-0000-000081290000}"/>
    <cellStyle name="Normal 2 2 2 2 2 2 13 3 10" xfId="10626" xr:uid="{00000000-0005-0000-0000-000082290000}"/>
    <cellStyle name="Normal 2 2 2 2 2 2 13 3 2" xfId="10627" xr:uid="{00000000-0005-0000-0000-000083290000}"/>
    <cellStyle name="Normal 2 2 2 2 2 2 13 3 3" xfId="10628" xr:uid="{00000000-0005-0000-0000-000084290000}"/>
    <cellStyle name="Normal 2 2 2 2 2 2 13 3 4" xfId="10629" xr:uid="{00000000-0005-0000-0000-000085290000}"/>
    <cellStyle name="Normal 2 2 2 2 2 2 13 3 5" xfId="10630" xr:uid="{00000000-0005-0000-0000-000086290000}"/>
    <cellStyle name="Normal 2 2 2 2 2 2 13 3 6" xfId="10631" xr:uid="{00000000-0005-0000-0000-000087290000}"/>
    <cellStyle name="Normal 2 2 2 2 2 2 13 3 7" xfId="10632" xr:uid="{00000000-0005-0000-0000-000088290000}"/>
    <cellStyle name="Normal 2 2 2 2 2 2 13 3 8" xfId="10633" xr:uid="{00000000-0005-0000-0000-000089290000}"/>
    <cellStyle name="Normal 2 2 2 2 2 2 13 3 9" xfId="10634" xr:uid="{00000000-0005-0000-0000-00008A290000}"/>
    <cellStyle name="Normal 2 2 2 2 2 2 13 4" xfId="10635" xr:uid="{00000000-0005-0000-0000-00008B290000}"/>
    <cellStyle name="Normal 2 2 2 2 2 2 13 4 10" xfId="10636" xr:uid="{00000000-0005-0000-0000-00008C290000}"/>
    <cellStyle name="Normal 2 2 2 2 2 2 13 4 2" xfId="10637" xr:uid="{00000000-0005-0000-0000-00008D290000}"/>
    <cellStyle name="Normal 2 2 2 2 2 2 13 4 3" xfId="10638" xr:uid="{00000000-0005-0000-0000-00008E290000}"/>
    <cellStyle name="Normal 2 2 2 2 2 2 13 4 4" xfId="10639" xr:uid="{00000000-0005-0000-0000-00008F290000}"/>
    <cellStyle name="Normal 2 2 2 2 2 2 13 4 5" xfId="10640" xr:uid="{00000000-0005-0000-0000-000090290000}"/>
    <cellStyle name="Normal 2 2 2 2 2 2 13 4 6" xfId="10641" xr:uid="{00000000-0005-0000-0000-000091290000}"/>
    <cellStyle name="Normal 2 2 2 2 2 2 13 4 7" xfId="10642" xr:uid="{00000000-0005-0000-0000-000092290000}"/>
    <cellStyle name="Normal 2 2 2 2 2 2 13 4 8" xfId="10643" xr:uid="{00000000-0005-0000-0000-000093290000}"/>
    <cellStyle name="Normal 2 2 2 2 2 2 13 4 9" xfId="10644" xr:uid="{00000000-0005-0000-0000-000094290000}"/>
    <cellStyle name="Normal 2 2 2 2 2 2 13 5" xfId="10645" xr:uid="{00000000-0005-0000-0000-000095290000}"/>
    <cellStyle name="Normal 2 2 2 2 2 2 13 5 10" xfId="10646" xr:uid="{00000000-0005-0000-0000-000096290000}"/>
    <cellStyle name="Normal 2 2 2 2 2 2 13 5 2" xfId="10647" xr:uid="{00000000-0005-0000-0000-000097290000}"/>
    <cellStyle name="Normal 2 2 2 2 2 2 13 5 3" xfId="10648" xr:uid="{00000000-0005-0000-0000-000098290000}"/>
    <cellStyle name="Normal 2 2 2 2 2 2 13 5 4" xfId="10649" xr:uid="{00000000-0005-0000-0000-000099290000}"/>
    <cellStyle name="Normal 2 2 2 2 2 2 13 5 5" xfId="10650" xr:uid="{00000000-0005-0000-0000-00009A290000}"/>
    <cellStyle name="Normal 2 2 2 2 2 2 13 5 6" xfId="10651" xr:uid="{00000000-0005-0000-0000-00009B290000}"/>
    <cellStyle name="Normal 2 2 2 2 2 2 13 5 7" xfId="10652" xr:uid="{00000000-0005-0000-0000-00009C290000}"/>
    <cellStyle name="Normal 2 2 2 2 2 2 13 5 8" xfId="10653" xr:uid="{00000000-0005-0000-0000-00009D290000}"/>
    <cellStyle name="Normal 2 2 2 2 2 2 13 5 9" xfId="10654" xr:uid="{00000000-0005-0000-0000-00009E290000}"/>
    <cellStyle name="Normal 2 2 2 2 2 2 13 6" xfId="10655" xr:uid="{00000000-0005-0000-0000-00009F290000}"/>
    <cellStyle name="Normal 2 2 2 2 2 2 13 7" xfId="10656" xr:uid="{00000000-0005-0000-0000-0000A0290000}"/>
    <cellStyle name="Normal 2 2 2 2 2 2 13 8" xfId="10657" xr:uid="{00000000-0005-0000-0000-0000A1290000}"/>
    <cellStyle name="Normal 2 2 2 2 2 2 13 9" xfId="10658" xr:uid="{00000000-0005-0000-0000-0000A2290000}"/>
    <cellStyle name="Normal 2 2 2 2 2 2 14" xfId="10659" xr:uid="{00000000-0005-0000-0000-0000A3290000}"/>
    <cellStyle name="Normal 2 2 2 2 2 2 14 10" xfId="10660" xr:uid="{00000000-0005-0000-0000-0000A4290000}"/>
    <cellStyle name="Normal 2 2 2 2 2 2 14 11" xfId="10661" xr:uid="{00000000-0005-0000-0000-0000A5290000}"/>
    <cellStyle name="Normal 2 2 2 2 2 2 14 12" xfId="10662" xr:uid="{00000000-0005-0000-0000-0000A6290000}"/>
    <cellStyle name="Normal 2 2 2 2 2 2 14 13" xfId="10663" xr:uid="{00000000-0005-0000-0000-0000A7290000}"/>
    <cellStyle name="Normal 2 2 2 2 2 2 14 14" xfId="10664" xr:uid="{00000000-0005-0000-0000-0000A8290000}"/>
    <cellStyle name="Normal 2 2 2 2 2 2 14 2" xfId="10665" xr:uid="{00000000-0005-0000-0000-0000A9290000}"/>
    <cellStyle name="Normal 2 2 2 2 2 2 14 2 10" xfId="10666" xr:uid="{00000000-0005-0000-0000-0000AA290000}"/>
    <cellStyle name="Normal 2 2 2 2 2 2 14 2 2" xfId="10667" xr:uid="{00000000-0005-0000-0000-0000AB290000}"/>
    <cellStyle name="Normal 2 2 2 2 2 2 14 2 3" xfId="10668" xr:uid="{00000000-0005-0000-0000-0000AC290000}"/>
    <cellStyle name="Normal 2 2 2 2 2 2 14 2 4" xfId="10669" xr:uid="{00000000-0005-0000-0000-0000AD290000}"/>
    <cellStyle name="Normal 2 2 2 2 2 2 14 2 5" xfId="10670" xr:uid="{00000000-0005-0000-0000-0000AE290000}"/>
    <cellStyle name="Normal 2 2 2 2 2 2 14 2 6" xfId="10671" xr:uid="{00000000-0005-0000-0000-0000AF290000}"/>
    <cellStyle name="Normal 2 2 2 2 2 2 14 2 7" xfId="10672" xr:uid="{00000000-0005-0000-0000-0000B0290000}"/>
    <cellStyle name="Normal 2 2 2 2 2 2 14 2 8" xfId="10673" xr:uid="{00000000-0005-0000-0000-0000B1290000}"/>
    <cellStyle name="Normal 2 2 2 2 2 2 14 2 9" xfId="10674" xr:uid="{00000000-0005-0000-0000-0000B2290000}"/>
    <cellStyle name="Normal 2 2 2 2 2 2 14 3" xfId="10675" xr:uid="{00000000-0005-0000-0000-0000B3290000}"/>
    <cellStyle name="Normal 2 2 2 2 2 2 14 3 10" xfId="10676" xr:uid="{00000000-0005-0000-0000-0000B4290000}"/>
    <cellStyle name="Normal 2 2 2 2 2 2 14 3 2" xfId="10677" xr:uid="{00000000-0005-0000-0000-0000B5290000}"/>
    <cellStyle name="Normal 2 2 2 2 2 2 14 3 3" xfId="10678" xr:uid="{00000000-0005-0000-0000-0000B6290000}"/>
    <cellStyle name="Normal 2 2 2 2 2 2 14 3 4" xfId="10679" xr:uid="{00000000-0005-0000-0000-0000B7290000}"/>
    <cellStyle name="Normal 2 2 2 2 2 2 14 3 5" xfId="10680" xr:uid="{00000000-0005-0000-0000-0000B8290000}"/>
    <cellStyle name="Normal 2 2 2 2 2 2 14 3 6" xfId="10681" xr:uid="{00000000-0005-0000-0000-0000B9290000}"/>
    <cellStyle name="Normal 2 2 2 2 2 2 14 3 7" xfId="10682" xr:uid="{00000000-0005-0000-0000-0000BA290000}"/>
    <cellStyle name="Normal 2 2 2 2 2 2 14 3 8" xfId="10683" xr:uid="{00000000-0005-0000-0000-0000BB290000}"/>
    <cellStyle name="Normal 2 2 2 2 2 2 14 3 9" xfId="10684" xr:uid="{00000000-0005-0000-0000-0000BC290000}"/>
    <cellStyle name="Normal 2 2 2 2 2 2 14 4" xfId="10685" xr:uid="{00000000-0005-0000-0000-0000BD290000}"/>
    <cellStyle name="Normal 2 2 2 2 2 2 14 4 10" xfId="10686" xr:uid="{00000000-0005-0000-0000-0000BE290000}"/>
    <cellStyle name="Normal 2 2 2 2 2 2 14 4 2" xfId="10687" xr:uid="{00000000-0005-0000-0000-0000BF290000}"/>
    <cellStyle name="Normal 2 2 2 2 2 2 14 4 3" xfId="10688" xr:uid="{00000000-0005-0000-0000-0000C0290000}"/>
    <cellStyle name="Normal 2 2 2 2 2 2 14 4 4" xfId="10689" xr:uid="{00000000-0005-0000-0000-0000C1290000}"/>
    <cellStyle name="Normal 2 2 2 2 2 2 14 4 5" xfId="10690" xr:uid="{00000000-0005-0000-0000-0000C2290000}"/>
    <cellStyle name="Normal 2 2 2 2 2 2 14 4 6" xfId="10691" xr:uid="{00000000-0005-0000-0000-0000C3290000}"/>
    <cellStyle name="Normal 2 2 2 2 2 2 14 4 7" xfId="10692" xr:uid="{00000000-0005-0000-0000-0000C4290000}"/>
    <cellStyle name="Normal 2 2 2 2 2 2 14 4 8" xfId="10693" xr:uid="{00000000-0005-0000-0000-0000C5290000}"/>
    <cellStyle name="Normal 2 2 2 2 2 2 14 4 9" xfId="10694" xr:uid="{00000000-0005-0000-0000-0000C6290000}"/>
    <cellStyle name="Normal 2 2 2 2 2 2 14 5" xfId="10695" xr:uid="{00000000-0005-0000-0000-0000C7290000}"/>
    <cellStyle name="Normal 2 2 2 2 2 2 14 5 10" xfId="10696" xr:uid="{00000000-0005-0000-0000-0000C8290000}"/>
    <cellStyle name="Normal 2 2 2 2 2 2 14 5 2" xfId="10697" xr:uid="{00000000-0005-0000-0000-0000C9290000}"/>
    <cellStyle name="Normal 2 2 2 2 2 2 14 5 3" xfId="10698" xr:uid="{00000000-0005-0000-0000-0000CA290000}"/>
    <cellStyle name="Normal 2 2 2 2 2 2 14 5 4" xfId="10699" xr:uid="{00000000-0005-0000-0000-0000CB290000}"/>
    <cellStyle name="Normal 2 2 2 2 2 2 14 5 5" xfId="10700" xr:uid="{00000000-0005-0000-0000-0000CC290000}"/>
    <cellStyle name="Normal 2 2 2 2 2 2 14 5 6" xfId="10701" xr:uid="{00000000-0005-0000-0000-0000CD290000}"/>
    <cellStyle name="Normal 2 2 2 2 2 2 14 5 7" xfId="10702" xr:uid="{00000000-0005-0000-0000-0000CE290000}"/>
    <cellStyle name="Normal 2 2 2 2 2 2 14 5 8" xfId="10703" xr:uid="{00000000-0005-0000-0000-0000CF290000}"/>
    <cellStyle name="Normal 2 2 2 2 2 2 14 5 9" xfId="10704" xr:uid="{00000000-0005-0000-0000-0000D0290000}"/>
    <cellStyle name="Normal 2 2 2 2 2 2 14 6" xfId="10705" xr:uid="{00000000-0005-0000-0000-0000D1290000}"/>
    <cellStyle name="Normal 2 2 2 2 2 2 14 7" xfId="10706" xr:uid="{00000000-0005-0000-0000-0000D2290000}"/>
    <cellStyle name="Normal 2 2 2 2 2 2 14 8" xfId="10707" xr:uid="{00000000-0005-0000-0000-0000D3290000}"/>
    <cellStyle name="Normal 2 2 2 2 2 2 14 9" xfId="10708" xr:uid="{00000000-0005-0000-0000-0000D4290000}"/>
    <cellStyle name="Normal 2 2 2 2 2 2 15" xfId="10709" xr:uid="{00000000-0005-0000-0000-0000D5290000}"/>
    <cellStyle name="Normal 2 2 2 2 2 2 15 10" xfId="10710" xr:uid="{00000000-0005-0000-0000-0000D6290000}"/>
    <cellStyle name="Normal 2 2 2 2 2 2 15 11" xfId="10711" xr:uid="{00000000-0005-0000-0000-0000D7290000}"/>
    <cellStyle name="Normal 2 2 2 2 2 2 15 12" xfId="10712" xr:uid="{00000000-0005-0000-0000-0000D8290000}"/>
    <cellStyle name="Normal 2 2 2 2 2 2 15 13" xfId="10713" xr:uid="{00000000-0005-0000-0000-0000D9290000}"/>
    <cellStyle name="Normal 2 2 2 2 2 2 15 14" xfId="10714" xr:uid="{00000000-0005-0000-0000-0000DA290000}"/>
    <cellStyle name="Normal 2 2 2 2 2 2 15 2" xfId="10715" xr:uid="{00000000-0005-0000-0000-0000DB290000}"/>
    <cellStyle name="Normal 2 2 2 2 2 2 15 2 10" xfId="10716" xr:uid="{00000000-0005-0000-0000-0000DC290000}"/>
    <cellStyle name="Normal 2 2 2 2 2 2 15 2 2" xfId="10717" xr:uid="{00000000-0005-0000-0000-0000DD290000}"/>
    <cellStyle name="Normal 2 2 2 2 2 2 15 2 3" xfId="10718" xr:uid="{00000000-0005-0000-0000-0000DE290000}"/>
    <cellStyle name="Normal 2 2 2 2 2 2 15 2 4" xfId="10719" xr:uid="{00000000-0005-0000-0000-0000DF290000}"/>
    <cellStyle name="Normal 2 2 2 2 2 2 15 2 5" xfId="10720" xr:uid="{00000000-0005-0000-0000-0000E0290000}"/>
    <cellStyle name="Normal 2 2 2 2 2 2 15 2 6" xfId="10721" xr:uid="{00000000-0005-0000-0000-0000E1290000}"/>
    <cellStyle name="Normal 2 2 2 2 2 2 15 2 7" xfId="10722" xr:uid="{00000000-0005-0000-0000-0000E2290000}"/>
    <cellStyle name="Normal 2 2 2 2 2 2 15 2 8" xfId="10723" xr:uid="{00000000-0005-0000-0000-0000E3290000}"/>
    <cellStyle name="Normal 2 2 2 2 2 2 15 2 9" xfId="10724" xr:uid="{00000000-0005-0000-0000-0000E4290000}"/>
    <cellStyle name="Normal 2 2 2 2 2 2 15 3" xfId="10725" xr:uid="{00000000-0005-0000-0000-0000E5290000}"/>
    <cellStyle name="Normal 2 2 2 2 2 2 15 3 10" xfId="10726" xr:uid="{00000000-0005-0000-0000-0000E6290000}"/>
    <cellStyle name="Normal 2 2 2 2 2 2 15 3 2" xfId="10727" xr:uid="{00000000-0005-0000-0000-0000E7290000}"/>
    <cellStyle name="Normal 2 2 2 2 2 2 15 3 3" xfId="10728" xr:uid="{00000000-0005-0000-0000-0000E8290000}"/>
    <cellStyle name="Normal 2 2 2 2 2 2 15 3 4" xfId="10729" xr:uid="{00000000-0005-0000-0000-0000E9290000}"/>
    <cellStyle name="Normal 2 2 2 2 2 2 15 3 5" xfId="10730" xr:uid="{00000000-0005-0000-0000-0000EA290000}"/>
    <cellStyle name="Normal 2 2 2 2 2 2 15 3 6" xfId="10731" xr:uid="{00000000-0005-0000-0000-0000EB290000}"/>
    <cellStyle name="Normal 2 2 2 2 2 2 15 3 7" xfId="10732" xr:uid="{00000000-0005-0000-0000-0000EC290000}"/>
    <cellStyle name="Normal 2 2 2 2 2 2 15 3 8" xfId="10733" xr:uid="{00000000-0005-0000-0000-0000ED290000}"/>
    <cellStyle name="Normal 2 2 2 2 2 2 15 3 9" xfId="10734" xr:uid="{00000000-0005-0000-0000-0000EE290000}"/>
    <cellStyle name="Normal 2 2 2 2 2 2 15 4" xfId="10735" xr:uid="{00000000-0005-0000-0000-0000EF290000}"/>
    <cellStyle name="Normal 2 2 2 2 2 2 15 4 10" xfId="10736" xr:uid="{00000000-0005-0000-0000-0000F0290000}"/>
    <cellStyle name="Normal 2 2 2 2 2 2 15 4 2" xfId="10737" xr:uid="{00000000-0005-0000-0000-0000F1290000}"/>
    <cellStyle name="Normal 2 2 2 2 2 2 15 4 3" xfId="10738" xr:uid="{00000000-0005-0000-0000-0000F2290000}"/>
    <cellStyle name="Normal 2 2 2 2 2 2 15 4 4" xfId="10739" xr:uid="{00000000-0005-0000-0000-0000F3290000}"/>
    <cellStyle name="Normal 2 2 2 2 2 2 15 4 5" xfId="10740" xr:uid="{00000000-0005-0000-0000-0000F4290000}"/>
    <cellStyle name="Normal 2 2 2 2 2 2 15 4 6" xfId="10741" xr:uid="{00000000-0005-0000-0000-0000F5290000}"/>
    <cellStyle name="Normal 2 2 2 2 2 2 15 4 7" xfId="10742" xr:uid="{00000000-0005-0000-0000-0000F6290000}"/>
    <cellStyle name="Normal 2 2 2 2 2 2 15 4 8" xfId="10743" xr:uid="{00000000-0005-0000-0000-0000F7290000}"/>
    <cellStyle name="Normal 2 2 2 2 2 2 15 4 9" xfId="10744" xr:uid="{00000000-0005-0000-0000-0000F8290000}"/>
    <cellStyle name="Normal 2 2 2 2 2 2 15 5" xfId="10745" xr:uid="{00000000-0005-0000-0000-0000F9290000}"/>
    <cellStyle name="Normal 2 2 2 2 2 2 15 5 10" xfId="10746" xr:uid="{00000000-0005-0000-0000-0000FA290000}"/>
    <cellStyle name="Normal 2 2 2 2 2 2 15 5 2" xfId="10747" xr:uid="{00000000-0005-0000-0000-0000FB290000}"/>
    <cellStyle name="Normal 2 2 2 2 2 2 15 5 3" xfId="10748" xr:uid="{00000000-0005-0000-0000-0000FC290000}"/>
    <cellStyle name="Normal 2 2 2 2 2 2 15 5 4" xfId="10749" xr:uid="{00000000-0005-0000-0000-0000FD290000}"/>
    <cellStyle name="Normal 2 2 2 2 2 2 15 5 5" xfId="10750" xr:uid="{00000000-0005-0000-0000-0000FE290000}"/>
    <cellStyle name="Normal 2 2 2 2 2 2 15 5 6" xfId="10751" xr:uid="{00000000-0005-0000-0000-0000FF290000}"/>
    <cellStyle name="Normal 2 2 2 2 2 2 15 5 7" xfId="10752" xr:uid="{00000000-0005-0000-0000-0000002A0000}"/>
    <cellStyle name="Normal 2 2 2 2 2 2 15 5 8" xfId="10753" xr:uid="{00000000-0005-0000-0000-0000012A0000}"/>
    <cellStyle name="Normal 2 2 2 2 2 2 15 5 9" xfId="10754" xr:uid="{00000000-0005-0000-0000-0000022A0000}"/>
    <cellStyle name="Normal 2 2 2 2 2 2 15 6" xfId="10755" xr:uid="{00000000-0005-0000-0000-0000032A0000}"/>
    <cellStyle name="Normal 2 2 2 2 2 2 15 7" xfId="10756" xr:uid="{00000000-0005-0000-0000-0000042A0000}"/>
    <cellStyle name="Normal 2 2 2 2 2 2 15 8" xfId="10757" xr:uid="{00000000-0005-0000-0000-0000052A0000}"/>
    <cellStyle name="Normal 2 2 2 2 2 2 15 9" xfId="10758" xr:uid="{00000000-0005-0000-0000-0000062A0000}"/>
    <cellStyle name="Normal 2 2 2 2 2 2 16" xfId="10759" xr:uid="{00000000-0005-0000-0000-0000072A0000}"/>
    <cellStyle name="Normal 2 2 2 2 2 2 16 10" xfId="10760" xr:uid="{00000000-0005-0000-0000-0000082A0000}"/>
    <cellStyle name="Normal 2 2 2 2 2 2 16 11" xfId="10761" xr:uid="{00000000-0005-0000-0000-0000092A0000}"/>
    <cellStyle name="Normal 2 2 2 2 2 2 16 12" xfId="10762" xr:uid="{00000000-0005-0000-0000-00000A2A0000}"/>
    <cellStyle name="Normal 2 2 2 2 2 2 16 13" xfId="10763" xr:uid="{00000000-0005-0000-0000-00000B2A0000}"/>
    <cellStyle name="Normal 2 2 2 2 2 2 16 14" xfId="10764" xr:uid="{00000000-0005-0000-0000-00000C2A0000}"/>
    <cellStyle name="Normal 2 2 2 2 2 2 16 2" xfId="10765" xr:uid="{00000000-0005-0000-0000-00000D2A0000}"/>
    <cellStyle name="Normal 2 2 2 2 2 2 16 2 10" xfId="10766" xr:uid="{00000000-0005-0000-0000-00000E2A0000}"/>
    <cellStyle name="Normal 2 2 2 2 2 2 16 2 2" xfId="10767" xr:uid="{00000000-0005-0000-0000-00000F2A0000}"/>
    <cellStyle name="Normal 2 2 2 2 2 2 16 2 3" xfId="10768" xr:uid="{00000000-0005-0000-0000-0000102A0000}"/>
    <cellStyle name="Normal 2 2 2 2 2 2 16 2 4" xfId="10769" xr:uid="{00000000-0005-0000-0000-0000112A0000}"/>
    <cellStyle name="Normal 2 2 2 2 2 2 16 2 5" xfId="10770" xr:uid="{00000000-0005-0000-0000-0000122A0000}"/>
    <cellStyle name="Normal 2 2 2 2 2 2 16 2 6" xfId="10771" xr:uid="{00000000-0005-0000-0000-0000132A0000}"/>
    <cellStyle name="Normal 2 2 2 2 2 2 16 2 7" xfId="10772" xr:uid="{00000000-0005-0000-0000-0000142A0000}"/>
    <cellStyle name="Normal 2 2 2 2 2 2 16 2 8" xfId="10773" xr:uid="{00000000-0005-0000-0000-0000152A0000}"/>
    <cellStyle name="Normal 2 2 2 2 2 2 16 2 9" xfId="10774" xr:uid="{00000000-0005-0000-0000-0000162A0000}"/>
    <cellStyle name="Normal 2 2 2 2 2 2 16 3" xfId="10775" xr:uid="{00000000-0005-0000-0000-0000172A0000}"/>
    <cellStyle name="Normal 2 2 2 2 2 2 16 3 10" xfId="10776" xr:uid="{00000000-0005-0000-0000-0000182A0000}"/>
    <cellStyle name="Normal 2 2 2 2 2 2 16 3 2" xfId="10777" xr:uid="{00000000-0005-0000-0000-0000192A0000}"/>
    <cellStyle name="Normal 2 2 2 2 2 2 16 3 3" xfId="10778" xr:uid="{00000000-0005-0000-0000-00001A2A0000}"/>
    <cellStyle name="Normal 2 2 2 2 2 2 16 3 4" xfId="10779" xr:uid="{00000000-0005-0000-0000-00001B2A0000}"/>
    <cellStyle name="Normal 2 2 2 2 2 2 16 3 5" xfId="10780" xr:uid="{00000000-0005-0000-0000-00001C2A0000}"/>
    <cellStyle name="Normal 2 2 2 2 2 2 16 3 6" xfId="10781" xr:uid="{00000000-0005-0000-0000-00001D2A0000}"/>
    <cellStyle name="Normal 2 2 2 2 2 2 16 3 7" xfId="10782" xr:uid="{00000000-0005-0000-0000-00001E2A0000}"/>
    <cellStyle name="Normal 2 2 2 2 2 2 16 3 8" xfId="10783" xr:uid="{00000000-0005-0000-0000-00001F2A0000}"/>
    <cellStyle name="Normal 2 2 2 2 2 2 16 3 9" xfId="10784" xr:uid="{00000000-0005-0000-0000-0000202A0000}"/>
    <cellStyle name="Normal 2 2 2 2 2 2 16 4" xfId="10785" xr:uid="{00000000-0005-0000-0000-0000212A0000}"/>
    <cellStyle name="Normal 2 2 2 2 2 2 16 4 10" xfId="10786" xr:uid="{00000000-0005-0000-0000-0000222A0000}"/>
    <cellStyle name="Normal 2 2 2 2 2 2 16 4 2" xfId="10787" xr:uid="{00000000-0005-0000-0000-0000232A0000}"/>
    <cellStyle name="Normal 2 2 2 2 2 2 16 4 3" xfId="10788" xr:uid="{00000000-0005-0000-0000-0000242A0000}"/>
    <cellStyle name="Normal 2 2 2 2 2 2 16 4 4" xfId="10789" xr:uid="{00000000-0005-0000-0000-0000252A0000}"/>
    <cellStyle name="Normal 2 2 2 2 2 2 16 4 5" xfId="10790" xr:uid="{00000000-0005-0000-0000-0000262A0000}"/>
    <cellStyle name="Normal 2 2 2 2 2 2 16 4 6" xfId="10791" xr:uid="{00000000-0005-0000-0000-0000272A0000}"/>
    <cellStyle name="Normal 2 2 2 2 2 2 16 4 7" xfId="10792" xr:uid="{00000000-0005-0000-0000-0000282A0000}"/>
    <cellStyle name="Normal 2 2 2 2 2 2 16 4 8" xfId="10793" xr:uid="{00000000-0005-0000-0000-0000292A0000}"/>
    <cellStyle name="Normal 2 2 2 2 2 2 16 4 9" xfId="10794" xr:uid="{00000000-0005-0000-0000-00002A2A0000}"/>
    <cellStyle name="Normal 2 2 2 2 2 2 16 5" xfId="10795" xr:uid="{00000000-0005-0000-0000-00002B2A0000}"/>
    <cellStyle name="Normal 2 2 2 2 2 2 16 5 10" xfId="10796" xr:uid="{00000000-0005-0000-0000-00002C2A0000}"/>
    <cellStyle name="Normal 2 2 2 2 2 2 16 5 2" xfId="10797" xr:uid="{00000000-0005-0000-0000-00002D2A0000}"/>
    <cellStyle name="Normal 2 2 2 2 2 2 16 5 3" xfId="10798" xr:uid="{00000000-0005-0000-0000-00002E2A0000}"/>
    <cellStyle name="Normal 2 2 2 2 2 2 16 5 4" xfId="10799" xr:uid="{00000000-0005-0000-0000-00002F2A0000}"/>
    <cellStyle name="Normal 2 2 2 2 2 2 16 5 5" xfId="10800" xr:uid="{00000000-0005-0000-0000-0000302A0000}"/>
    <cellStyle name="Normal 2 2 2 2 2 2 16 5 6" xfId="10801" xr:uid="{00000000-0005-0000-0000-0000312A0000}"/>
    <cellStyle name="Normal 2 2 2 2 2 2 16 5 7" xfId="10802" xr:uid="{00000000-0005-0000-0000-0000322A0000}"/>
    <cellStyle name="Normal 2 2 2 2 2 2 16 5 8" xfId="10803" xr:uid="{00000000-0005-0000-0000-0000332A0000}"/>
    <cellStyle name="Normal 2 2 2 2 2 2 16 5 9" xfId="10804" xr:uid="{00000000-0005-0000-0000-0000342A0000}"/>
    <cellStyle name="Normal 2 2 2 2 2 2 16 6" xfId="10805" xr:uid="{00000000-0005-0000-0000-0000352A0000}"/>
    <cellStyle name="Normal 2 2 2 2 2 2 16 7" xfId="10806" xr:uid="{00000000-0005-0000-0000-0000362A0000}"/>
    <cellStyle name="Normal 2 2 2 2 2 2 16 8" xfId="10807" xr:uid="{00000000-0005-0000-0000-0000372A0000}"/>
    <cellStyle name="Normal 2 2 2 2 2 2 16 9" xfId="10808" xr:uid="{00000000-0005-0000-0000-0000382A0000}"/>
    <cellStyle name="Normal 2 2 2 2 2 2 17" xfId="10809" xr:uid="{00000000-0005-0000-0000-0000392A0000}"/>
    <cellStyle name="Normal 2 2 2 2 2 2 17 10" xfId="10810" xr:uid="{00000000-0005-0000-0000-00003A2A0000}"/>
    <cellStyle name="Normal 2 2 2 2 2 2 17 11" xfId="10811" xr:uid="{00000000-0005-0000-0000-00003B2A0000}"/>
    <cellStyle name="Normal 2 2 2 2 2 2 17 12" xfId="10812" xr:uid="{00000000-0005-0000-0000-00003C2A0000}"/>
    <cellStyle name="Normal 2 2 2 2 2 2 17 13" xfId="10813" xr:uid="{00000000-0005-0000-0000-00003D2A0000}"/>
    <cellStyle name="Normal 2 2 2 2 2 2 17 14" xfId="10814" xr:uid="{00000000-0005-0000-0000-00003E2A0000}"/>
    <cellStyle name="Normal 2 2 2 2 2 2 17 2" xfId="10815" xr:uid="{00000000-0005-0000-0000-00003F2A0000}"/>
    <cellStyle name="Normal 2 2 2 2 2 2 17 2 10" xfId="10816" xr:uid="{00000000-0005-0000-0000-0000402A0000}"/>
    <cellStyle name="Normal 2 2 2 2 2 2 17 2 2" xfId="10817" xr:uid="{00000000-0005-0000-0000-0000412A0000}"/>
    <cellStyle name="Normal 2 2 2 2 2 2 17 2 3" xfId="10818" xr:uid="{00000000-0005-0000-0000-0000422A0000}"/>
    <cellStyle name="Normal 2 2 2 2 2 2 17 2 4" xfId="10819" xr:uid="{00000000-0005-0000-0000-0000432A0000}"/>
    <cellStyle name="Normal 2 2 2 2 2 2 17 2 5" xfId="10820" xr:uid="{00000000-0005-0000-0000-0000442A0000}"/>
    <cellStyle name="Normal 2 2 2 2 2 2 17 2 6" xfId="10821" xr:uid="{00000000-0005-0000-0000-0000452A0000}"/>
    <cellStyle name="Normal 2 2 2 2 2 2 17 2 7" xfId="10822" xr:uid="{00000000-0005-0000-0000-0000462A0000}"/>
    <cellStyle name="Normal 2 2 2 2 2 2 17 2 8" xfId="10823" xr:uid="{00000000-0005-0000-0000-0000472A0000}"/>
    <cellStyle name="Normal 2 2 2 2 2 2 17 2 9" xfId="10824" xr:uid="{00000000-0005-0000-0000-0000482A0000}"/>
    <cellStyle name="Normal 2 2 2 2 2 2 17 3" xfId="10825" xr:uid="{00000000-0005-0000-0000-0000492A0000}"/>
    <cellStyle name="Normal 2 2 2 2 2 2 17 3 10" xfId="10826" xr:uid="{00000000-0005-0000-0000-00004A2A0000}"/>
    <cellStyle name="Normal 2 2 2 2 2 2 17 3 2" xfId="10827" xr:uid="{00000000-0005-0000-0000-00004B2A0000}"/>
    <cellStyle name="Normal 2 2 2 2 2 2 17 3 3" xfId="10828" xr:uid="{00000000-0005-0000-0000-00004C2A0000}"/>
    <cellStyle name="Normal 2 2 2 2 2 2 17 3 4" xfId="10829" xr:uid="{00000000-0005-0000-0000-00004D2A0000}"/>
    <cellStyle name="Normal 2 2 2 2 2 2 17 3 5" xfId="10830" xr:uid="{00000000-0005-0000-0000-00004E2A0000}"/>
    <cellStyle name="Normal 2 2 2 2 2 2 17 3 6" xfId="10831" xr:uid="{00000000-0005-0000-0000-00004F2A0000}"/>
    <cellStyle name="Normal 2 2 2 2 2 2 17 3 7" xfId="10832" xr:uid="{00000000-0005-0000-0000-0000502A0000}"/>
    <cellStyle name="Normal 2 2 2 2 2 2 17 3 8" xfId="10833" xr:uid="{00000000-0005-0000-0000-0000512A0000}"/>
    <cellStyle name="Normal 2 2 2 2 2 2 17 3 9" xfId="10834" xr:uid="{00000000-0005-0000-0000-0000522A0000}"/>
    <cellStyle name="Normal 2 2 2 2 2 2 17 4" xfId="10835" xr:uid="{00000000-0005-0000-0000-0000532A0000}"/>
    <cellStyle name="Normal 2 2 2 2 2 2 17 4 10" xfId="10836" xr:uid="{00000000-0005-0000-0000-0000542A0000}"/>
    <cellStyle name="Normal 2 2 2 2 2 2 17 4 2" xfId="10837" xr:uid="{00000000-0005-0000-0000-0000552A0000}"/>
    <cellStyle name="Normal 2 2 2 2 2 2 17 4 3" xfId="10838" xr:uid="{00000000-0005-0000-0000-0000562A0000}"/>
    <cellStyle name="Normal 2 2 2 2 2 2 17 4 4" xfId="10839" xr:uid="{00000000-0005-0000-0000-0000572A0000}"/>
    <cellStyle name="Normal 2 2 2 2 2 2 17 4 5" xfId="10840" xr:uid="{00000000-0005-0000-0000-0000582A0000}"/>
    <cellStyle name="Normal 2 2 2 2 2 2 17 4 6" xfId="10841" xr:uid="{00000000-0005-0000-0000-0000592A0000}"/>
    <cellStyle name="Normal 2 2 2 2 2 2 17 4 7" xfId="10842" xr:uid="{00000000-0005-0000-0000-00005A2A0000}"/>
    <cellStyle name="Normal 2 2 2 2 2 2 17 4 8" xfId="10843" xr:uid="{00000000-0005-0000-0000-00005B2A0000}"/>
    <cellStyle name="Normal 2 2 2 2 2 2 17 4 9" xfId="10844" xr:uid="{00000000-0005-0000-0000-00005C2A0000}"/>
    <cellStyle name="Normal 2 2 2 2 2 2 17 5" xfId="10845" xr:uid="{00000000-0005-0000-0000-00005D2A0000}"/>
    <cellStyle name="Normal 2 2 2 2 2 2 17 5 10" xfId="10846" xr:uid="{00000000-0005-0000-0000-00005E2A0000}"/>
    <cellStyle name="Normal 2 2 2 2 2 2 17 5 2" xfId="10847" xr:uid="{00000000-0005-0000-0000-00005F2A0000}"/>
    <cellStyle name="Normal 2 2 2 2 2 2 17 5 3" xfId="10848" xr:uid="{00000000-0005-0000-0000-0000602A0000}"/>
    <cellStyle name="Normal 2 2 2 2 2 2 17 5 4" xfId="10849" xr:uid="{00000000-0005-0000-0000-0000612A0000}"/>
    <cellStyle name="Normal 2 2 2 2 2 2 17 5 5" xfId="10850" xr:uid="{00000000-0005-0000-0000-0000622A0000}"/>
    <cellStyle name="Normal 2 2 2 2 2 2 17 5 6" xfId="10851" xr:uid="{00000000-0005-0000-0000-0000632A0000}"/>
    <cellStyle name="Normal 2 2 2 2 2 2 17 5 7" xfId="10852" xr:uid="{00000000-0005-0000-0000-0000642A0000}"/>
    <cellStyle name="Normal 2 2 2 2 2 2 17 5 8" xfId="10853" xr:uid="{00000000-0005-0000-0000-0000652A0000}"/>
    <cellStyle name="Normal 2 2 2 2 2 2 17 5 9" xfId="10854" xr:uid="{00000000-0005-0000-0000-0000662A0000}"/>
    <cellStyle name="Normal 2 2 2 2 2 2 17 6" xfId="10855" xr:uid="{00000000-0005-0000-0000-0000672A0000}"/>
    <cellStyle name="Normal 2 2 2 2 2 2 17 7" xfId="10856" xr:uid="{00000000-0005-0000-0000-0000682A0000}"/>
    <cellStyle name="Normal 2 2 2 2 2 2 17 8" xfId="10857" xr:uid="{00000000-0005-0000-0000-0000692A0000}"/>
    <cellStyle name="Normal 2 2 2 2 2 2 17 9" xfId="10858" xr:uid="{00000000-0005-0000-0000-00006A2A0000}"/>
    <cellStyle name="Normal 2 2 2 2 2 2 18" xfId="10859" xr:uid="{00000000-0005-0000-0000-00006B2A0000}"/>
    <cellStyle name="Normal 2 2 2 2 2 2 18 10" xfId="10860" xr:uid="{00000000-0005-0000-0000-00006C2A0000}"/>
    <cellStyle name="Normal 2 2 2 2 2 2 18 11" xfId="10861" xr:uid="{00000000-0005-0000-0000-00006D2A0000}"/>
    <cellStyle name="Normal 2 2 2 2 2 2 18 12" xfId="10862" xr:uid="{00000000-0005-0000-0000-00006E2A0000}"/>
    <cellStyle name="Normal 2 2 2 2 2 2 18 13" xfId="10863" xr:uid="{00000000-0005-0000-0000-00006F2A0000}"/>
    <cellStyle name="Normal 2 2 2 2 2 2 18 14" xfId="10864" xr:uid="{00000000-0005-0000-0000-0000702A0000}"/>
    <cellStyle name="Normal 2 2 2 2 2 2 18 2" xfId="10865" xr:uid="{00000000-0005-0000-0000-0000712A0000}"/>
    <cellStyle name="Normal 2 2 2 2 2 2 18 2 10" xfId="10866" xr:uid="{00000000-0005-0000-0000-0000722A0000}"/>
    <cellStyle name="Normal 2 2 2 2 2 2 18 2 2" xfId="10867" xr:uid="{00000000-0005-0000-0000-0000732A0000}"/>
    <cellStyle name="Normal 2 2 2 2 2 2 18 2 3" xfId="10868" xr:uid="{00000000-0005-0000-0000-0000742A0000}"/>
    <cellStyle name="Normal 2 2 2 2 2 2 18 2 4" xfId="10869" xr:uid="{00000000-0005-0000-0000-0000752A0000}"/>
    <cellStyle name="Normal 2 2 2 2 2 2 18 2 5" xfId="10870" xr:uid="{00000000-0005-0000-0000-0000762A0000}"/>
    <cellStyle name="Normal 2 2 2 2 2 2 18 2 6" xfId="10871" xr:uid="{00000000-0005-0000-0000-0000772A0000}"/>
    <cellStyle name="Normal 2 2 2 2 2 2 18 2 7" xfId="10872" xr:uid="{00000000-0005-0000-0000-0000782A0000}"/>
    <cellStyle name="Normal 2 2 2 2 2 2 18 2 8" xfId="10873" xr:uid="{00000000-0005-0000-0000-0000792A0000}"/>
    <cellStyle name="Normal 2 2 2 2 2 2 18 2 9" xfId="10874" xr:uid="{00000000-0005-0000-0000-00007A2A0000}"/>
    <cellStyle name="Normal 2 2 2 2 2 2 18 3" xfId="10875" xr:uid="{00000000-0005-0000-0000-00007B2A0000}"/>
    <cellStyle name="Normal 2 2 2 2 2 2 18 3 10" xfId="10876" xr:uid="{00000000-0005-0000-0000-00007C2A0000}"/>
    <cellStyle name="Normal 2 2 2 2 2 2 18 3 2" xfId="10877" xr:uid="{00000000-0005-0000-0000-00007D2A0000}"/>
    <cellStyle name="Normal 2 2 2 2 2 2 18 3 3" xfId="10878" xr:uid="{00000000-0005-0000-0000-00007E2A0000}"/>
    <cellStyle name="Normal 2 2 2 2 2 2 18 3 4" xfId="10879" xr:uid="{00000000-0005-0000-0000-00007F2A0000}"/>
    <cellStyle name="Normal 2 2 2 2 2 2 18 3 5" xfId="10880" xr:uid="{00000000-0005-0000-0000-0000802A0000}"/>
    <cellStyle name="Normal 2 2 2 2 2 2 18 3 6" xfId="10881" xr:uid="{00000000-0005-0000-0000-0000812A0000}"/>
    <cellStyle name="Normal 2 2 2 2 2 2 18 3 7" xfId="10882" xr:uid="{00000000-0005-0000-0000-0000822A0000}"/>
    <cellStyle name="Normal 2 2 2 2 2 2 18 3 8" xfId="10883" xr:uid="{00000000-0005-0000-0000-0000832A0000}"/>
    <cellStyle name="Normal 2 2 2 2 2 2 18 3 9" xfId="10884" xr:uid="{00000000-0005-0000-0000-0000842A0000}"/>
    <cellStyle name="Normal 2 2 2 2 2 2 18 4" xfId="10885" xr:uid="{00000000-0005-0000-0000-0000852A0000}"/>
    <cellStyle name="Normal 2 2 2 2 2 2 18 4 10" xfId="10886" xr:uid="{00000000-0005-0000-0000-0000862A0000}"/>
    <cellStyle name="Normal 2 2 2 2 2 2 18 4 2" xfId="10887" xr:uid="{00000000-0005-0000-0000-0000872A0000}"/>
    <cellStyle name="Normal 2 2 2 2 2 2 18 4 3" xfId="10888" xr:uid="{00000000-0005-0000-0000-0000882A0000}"/>
    <cellStyle name="Normal 2 2 2 2 2 2 18 4 4" xfId="10889" xr:uid="{00000000-0005-0000-0000-0000892A0000}"/>
    <cellStyle name="Normal 2 2 2 2 2 2 18 4 5" xfId="10890" xr:uid="{00000000-0005-0000-0000-00008A2A0000}"/>
    <cellStyle name="Normal 2 2 2 2 2 2 18 4 6" xfId="10891" xr:uid="{00000000-0005-0000-0000-00008B2A0000}"/>
    <cellStyle name="Normal 2 2 2 2 2 2 18 4 7" xfId="10892" xr:uid="{00000000-0005-0000-0000-00008C2A0000}"/>
    <cellStyle name="Normal 2 2 2 2 2 2 18 4 8" xfId="10893" xr:uid="{00000000-0005-0000-0000-00008D2A0000}"/>
    <cellStyle name="Normal 2 2 2 2 2 2 18 4 9" xfId="10894" xr:uid="{00000000-0005-0000-0000-00008E2A0000}"/>
    <cellStyle name="Normal 2 2 2 2 2 2 18 5" xfId="10895" xr:uid="{00000000-0005-0000-0000-00008F2A0000}"/>
    <cellStyle name="Normal 2 2 2 2 2 2 18 5 10" xfId="10896" xr:uid="{00000000-0005-0000-0000-0000902A0000}"/>
    <cellStyle name="Normal 2 2 2 2 2 2 18 5 2" xfId="10897" xr:uid="{00000000-0005-0000-0000-0000912A0000}"/>
    <cellStyle name="Normal 2 2 2 2 2 2 18 5 3" xfId="10898" xr:uid="{00000000-0005-0000-0000-0000922A0000}"/>
    <cellStyle name="Normal 2 2 2 2 2 2 18 5 4" xfId="10899" xr:uid="{00000000-0005-0000-0000-0000932A0000}"/>
    <cellStyle name="Normal 2 2 2 2 2 2 18 5 5" xfId="10900" xr:uid="{00000000-0005-0000-0000-0000942A0000}"/>
    <cellStyle name="Normal 2 2 2 2 2 2 18 5 6" xfId="10901" xr:uid="{00000000-0005-0000-0000-0000952A0000}"/>
    <cellStyle name="Normal 2 2 2 2 2 2 18 5 7" xfId="10902" xr:uid="{00000000-0005-0000-0000-0000962A0000}"/>
    <cellStyle name="Normal 2 2 2 2 2 2 18 5 8" xfId="10903" xr:uid="{00000000-0005-0000-0000-0000972A0000}"/>
    <cellStyle name="Normal 2 2 2 2 2 2 18 5 9" xfId="10904" xr:uid="{00000000-0005-0000-0000-0000982A0000}"/>
    <cellStyle name="Normal 2 2 2 2 2 2 18 6" xfId="10905" xr:uid="{00000000-0005-0000-0000-0000992A0000}"/>
    <cellStyle name="Normal 2 2 2 2 2 2 18 7" xfId="10906" xr:uid="{00000000-0005-0000-0000-00009A2A0000}"/>
    <cellStyle name="Normal 2 2 2 2 2 2 18 8" xfId="10907" xr:uid="{00000000-0005-0000-0000-00009B2A0000}"/>
    <cellStyle name="Normal 2 2 2 2 2 2 18 9" xfId="10908" xr:uid="{00000000-0005-0000-0000-00009C2A0000}"/>
    <cellStyle name="Normal 2 2 2 2 2 2 19" xfId="10909" xr:uid="{00000000-0005-0000-0000-00009D2A0000}"/>
    <cellStyle name="Normal 2 2 2 2 2 2 19 10" xfId="10910" xr:uid="{00000000-0005-0000-0000-00009E2A0000}"/>
    <cellStyle name="Normal 2 2 2 2 2 2 19 11" xfId="10911" xr:uid="{00000000-0005-0000-0000-00009F2A0000}"/>
    <cellStyle name="Normal 2 2 2 2 2 2 19 12" xfId="10912" xr:uid="{00000000-0005-0000-0000-0000A02A0000}"/>
    <cellStyle name="Normal 2 2 2 2 2 2 19 13" xfId="10913" xr:uid="{00000000-0005-0000-0000-0000A12A0000}"/>
    <cellStyle name="Normal 2 2 2 2 2 2 19 14" xfId="10914" xr:uid="{00000000-0005-0000-0000-0000A22A0000}"/>
    <cellStyle name="Normal 2 2 2 2 2 2 19 2" xfId="10915" xr:uid="{00000000-0005-0000-0000-0000A32A0000}"/>
    <cellStyle name="Normal 2 2 2 2 2 2 19 2 10" xfId="10916" xr:uid="{00000000-0005-0000-0000-0000A42A0000}"/>
    <cellStyle name="Normal 2 2 2 2 2 2 19 2 2" xfId="10917" xr:uid="{00000000-0005-0000-0000-0000A52A0000}"/>
    <cellStyle name="Normal 2 2 2 2 2 2 19 2 3" xfId="10918" xr:uid="{00000000-0005-0000-0000-0000A62A0000}"/>
    <cellStyle name="Normal 2 2 2 2 2 2 19 2 4" xfId="10919" xr:uid="{00000000-0005-0000-0000-0000A72A0000}"/>
    <cellStyle name="Normal 2 2 2 2 2 2 19 2 5" xfId="10920" xr:uid="{00000000-0005-0000-0000-0000A82A0000}"/>
    <cellStyle name="Normal 2 2 2 2 2 2 19 2 6" xfId="10921" xr:uid="{00000000-0005-0000-0000-0000A92A0000}"/>
    <cellStyle name="Normal 2 2 2 2 2 2 19 2 7" xfId="10922" xr:uid="{00000000-0005-0000-0000-0000AA2A0000}"/>
    <cellStyle name="Normal 2 2 2 2 2 2 19 2 8" xfId="10923" xr:uid="{00000000-0005-0000-0000-0000AB2A0000}"/>
    <cellStyle name="Normal 2 2 2 2 2 2 19 2 9" xfId="10924" xr:uid="{00000000-0005-0000-0000-0000AC2A0000}"/>
    <cellStyle name="Normal 2 2 2 2 2 2 19 3" xfId="10925" xr:uid="{00000000-0005-0000-0000-0000AD2A0000}"/>
    <cellStyle name="Normal 2 2 2 2 2 2 19 3 10" xfId="10926" xr:uid="{00000000-0005-0000-0000-0000AE2A0000}"/>
    <cellStyle name="Normal 2 2 2 2 2 2 19 3 2" xfId="10927" xr:uid="{00000000-0005-0000-0000-0000AF2A0000}"/>
    <cellStyle name="Normal 2 2 2 2 2 2 19 3 3" xfId="10928" xr:uid="{00000000-0005-0000-0000-0000B02A0000}"/>
    <cellStyle name="Normal 2 2 2 2 2 2 19 3 4" xfId="10929" xr:uid="{00000000-0005-0000-0000-0000B12A0000}"/>
    <cellStyle name="Normal 2 2 2 2 2 2 19 3 5" xfId="10930" xr:uid="{00000000-0005-0000-0000-0000B22A0000}"/>
    <cellStyle name="Normal 2 2 2 2 2 2 19 3 6" xfId="10931" xr:uid="{00000000-0005-0000-0000-0000B32A0000}"/>
    <cellStyle name="Normal 2 2 2 2 2 2 19 3 7" xfId="10932" xr:uid="{00000000-0005-0000-0000-0000B42A0000}"/>
    <cellStyle name="Normal 2 2 2 2 2 2 19 3 8" xfId="10933" xr:uid="{00000000-0005-0000-0000-0000B52A0000}"/>
    <cellStyle name="Normal 2 2 2 2 2 2 19 3 9" xfId="10934" xr:uid="{00000000-0005-0000-0000-0000B62A0000}"/>
    <cellStyle name="Normal 2 2 2 2 2 2 19 4" xfId="10935" xr:uid="{00000000-0005-0000-0000-0000B72A0000}"/>
    <cellStyle name="Normal 2 2 2 2 2 2 19 4 10" xfId="10936" xr:uid="{00000000-0005-0000-0000-0000B82A0000}"/>
    <cellStyle name="Normal 2 2 2 2 2 2 19 4 2" xfId="10937" xr:uid="{00000000-0005-0000-0000-0000B92A0000}"/>
    <cellStyle name="Normal 2 2 2 2 2 2 19 4 3" xfId="10938" xr:uid="{00000000-0005-0000-0000-0000BA2A0000}"/>
    <cellStyle name="Normal 2 2 2 2 2 2 19 4 4" xfId="10939" xr:uid="{00000000-0005-0000-0000-0000BB2A0000}"/>
    <cellStyle name="Normal 2 2 2 2 2 2 19 4 5" xfId="10940" xr:uid="{00000000-0005-0000-0000-0000BC2A0000}"/>
    <cellStyle name="Normal 2 2 2 2 2 2 19 4 6" xfId="10941" xr:uid="{00000000-0005-0000-0000-0000BD2A0000}"/>
    <cellStyle name="Normal 2 2 2 2 2 2 19 4 7" xfId="10942" xr:uid="{00000000-0005-0000-0000-0000BE2A0000}"/>
    <cellStyle name="Normal 2 2 2 2 2 2 19 4 8" xfId="10943" xr:uid="{00000000-0005-0000-0000-0000BF2A0000}"/>
    <cellStyle name="Normal 2 2 2 2 2 2 19 4 9" xfId="10944" xr:uid="{00000000-0005-0000-0000-0000C02A0000}"/>
    <cellStyle name="Normal 2 2 2 2 2 2 19 5" xfId="10945" xr:uid="{00000000-0005-0000-0000-0000C12A0000}"/>
    <cellStyle name="Normal 2 2 2 2 2 2 19 5 10" xfId="10946" xr:uid="{00000000-0005-0000-0000-0000C22A0000}"/>
    <cellStyle name="Normal 2 2 2 2 2 2 19 5 2" xfId="10947" xr:uid="{00000000-0005-0000-0000-0000C32A0000}"/>
    <cellStyle name="Normal 2 2 2 2 2 2 19 5 3" xfId="10948" xr:uid="{00000000-0005-0000-0000-0000C42A0000}"/>
    <cellStyle name="Normal 2 2 2 2 2 2 19 5 4" xfId="10949" xr:uid="{00000000-0005-0000-0000-0000C52A0000}"/>
    <cellStyle name="Normal 2 2 2 2 2 2 19 5 5" xfId="10950" xr:uid="{00000000-0005-0000-0000-0000C62A0000}"/>
    <cellStyle name="Normal 2 2 2 2 2 2 19 5 6" xfId="10951" xr:uid="{00000000-0005-0000-0000-0000C72A0000}"/>
    <cellStyle name="Normal 2 2 2 2 2 2 19 5 7" xfId="10952" xr:uid="{00000000-0005-0000-0000-0000C82A0000}"/>
    <cellStyle name="Normal 2 2 2 2 2 2 19 5 8" xfId="10953" xr:uid="{00000000-0005-0000-0000-0000C92A0000}"/>
    <cellStyle name="Normal 2 2 2 2 2 2 19 5 9" xfId="10954" xr:uid="{00000000-0005-0000-0000-0000CA2A0000}"/>
    <cellStyle name="Normal 2 2 2 2 2 2 19 6" xfId="10955" xr:uid="{00000000-0005-0000-0000-0000CB2A0000}"/>
    <cellStyle name="Normal 2 2 2 2 2 2 19 7" xfId="10956" xr:uid="{00000000-0005-0000-0000-0000CC2A0000}"/>
    <cellStyle name="Normal 2 2 2 2 2 2 19 8" xfId="10957" xr:uid="{00000000-0005-0000-0000-0000CD2A0000}"/>
    <cellStyle name="Normal 2 2 2 2 2 2 19 9" xfId="10958" xr:uid="{00000000-0005-0000-0000-0000CE2A0000}"/>
    <cellStyle name="Normal 2 2 2 2 2 2 2" xfId="10959" xr:uid="{00000000-0005-0000-0000-0000CF2A0000}"/>
    <cellStyle name="Normal 2 2 2 2 2 2 2 10" xfId="10960" xr:uid="{00000000-0005-0000-0000-0000D02A0000}"/>
    <cellStyle name="Normal 2 2 2 2 2 2 2 11" xfId="10961" xr:uid="{00000000-0005-0000-0000-0000D12A0000}"/>
    <cellStyle name="Normal 2 2 2 2 2 2 2 12" xfId="10962" xr:uid="{00000000-0005-0000-0000-0000D22A0000}"/>
    <cellStyle name="Normal 2 2 2 2 2 2 2 13" xfId="10963" xr:uid="{00000000-0005-0000-0000-0000D32A0000}"/>
    <cellStyle name="Normal 2 2 2 2 2 2 2 14" xfId="10964" xr:uid="{00000000-0005-0000-0000-0000D42A0000}"/>
    <cellStyle name="Normal 2 2 2 2 2 2 2 15" xfId="10965" xr:uid="{00000000-0005-0000-0000-0000D52A0000}"/>
    <cellStyle name="Normal 2 2 2 2 2 2 2 16" xfId="10966" xr:uid="{00000000-0005-0000-0000-0000D62A0000}"/>
    <cellStyle name="Normal 2 2 2 2 2 2 2 2" xfId="10967" xr:uid="{00000000-0005-0000-0000-0000D72A0000}"/>
    <cellStyle name="Normal 2 2 2 2 2 2 2 2 10" xfId="10968" xr:uid="{00000000-0005-0000-0000-0000D82A0000}"/>
    <cellStyle name="Normal 2 2 2 2 2 2 2 2 11" xfId="10969" xr:uid="{00000000-0005-0000-0000-0000D92A0000}"/>
    <cellStyle name="Normal 2 2 2 2 2 2 2 2 12" xfId="10970" xr:uid="{00000000-0005-0000-0000-0000DA2A0000}"/>
    <cellStyle name="Normal 2 2 2 2 2 2 2 2 2" xfId="10971" xr:uid="{00000000-0005-0000-0000-0000DB2A0000}"/>
    <cellStyle name="Normal 2 2 2 2 2 2 2 2 3" xfId="10972" xr:uid="{00000000-0005-0000-0000-0000DC2A0000}"/>
    <cellStyle name="Normal 2 2 2 2 2 2 2 2 4" xfId="10973" xr:uid="{00000000-0005-0000-0000-0000DD2A0000}"/>
    <cellStyle name="Normal 2 2 2 2 2 2 2 2 5" xfId="10974" xr:uid="{00000000-0005-0000-0000-0000DE2A0000}"/>
    <cellStyle name="Normal 2 2 2 2 2 2 2 2 6" xfId="10975" xr:uid="{00000000-0005-0000-0000-0000DF2A0000}"/>
    <cellStyle name="Normal 2 2 2 2 2 2 2 2 7" xfId="10976" xr:uid="{00000000-0005-0000-0000-0000E02A0000}"/>
    <cellStyle name="Normal 2 2 2 2 2 2 2 2 8" xfId="10977" xr:uid="{00000000-0005-0000-0000-0000E12A0000}"/>
    <cellStyle name="Normal 2 2 2 2 2 2 2 2 9" xfId="10978" xr:uid="{00000000-0005-0000-0000-0000E22A0000}"/>
    <cellStyle name="Normal 2 2 2 2 2 2 2 3" xfId="10979" xr:uid="{00000000-0005-0000-0000-0000E32A0000}"/>
    <cellStyle name="Normal 2 2 2 2 2 2 2 3 10" xfId="10980" xr:uid="{00000000-0005-0000-0000-0000E42A0000}"/>
    <cellStyle name="Normal 2 2 2 2 2 2 2 3 2" xfId="10981" xr:uid="{00000000-0005-0000-0000-0000E52A0000}"/>
    <cellStyle name="Normal 2 2 2 2 2 2 2 3 3" xfId="10982" xr:uid="{00000000-0005-0000-0000-0000E62A0000}"/>
    <cellStyle name="Normal 2 2 2 2 2 2 2 3 4" xfId="10983" xr:uid="{00000000-0005-0000-0000-0000E72A0000}"/>
    <cellStyle name="Normal 2 2 2 2 2 2 2 3 5" xfId="10984" xr:uid="{00000000-0005-0000-0000-0000E82A0000}"/>
    <cellStyle name="Normal 2 2 2 2 2 2 2 3 6" xfId="10985" xr:uid="{00000000-0005-0000-0000-0000E92A0000}"/>
    <cellStyle name="Normal 2 2 2 2 2 2 2 3 7" xfId="10986" xr:uid="{00000000-0005-0000-0000-0000EA2A0000}"/>
    <cellStyle name="Normal 2 2 2 2 2 2 2 3 8" xfId="10987" xr:uid="{00000000-0005-0000-0000-0000EB2A0000}"/>
    <cellStyle name="Normal 2 2 2 2 2 2 2 3 9" xfId="10988" xr:uid="{00000000-0005-0000-0000-0000EC2A0000}"/>
    <cellStyle name="Normal 2 2 2 2 2 2 2 4" xfId="10989" xr:uid="{00000000-0005-0000-0000-0000ED2A0000}"/>
    <cellStyle name="Normal 2 2 2 2 2 2 2 4 10" xfId="10990" xr:uid="{00000000-0005-0000-0000-0000EE2A0000}"/>
    <cellStyle name="Normal 2 2 2 2 2 2 2 4 2" xfId="10991" xr:uid="{00000000-0005-0000-0000-0000EF2A0000}"/>
    <cellStyle name="Normal 2 2 2 2 2 2 2 4 3" xfId="10992" xr:uid="{00000000-0005-0000-0000-0000F02A0000}"/>
    <cellStyle name="Normal 2 2 2 2 2 2 2 4 4" xfId="10993" xr:uid="{00000000-0005-0000-0000-0000F12A0000}"/>
    <cellStyle name="Normal 2 2 2 2 2 2 2 4 5" xfId="10994" xr:uid="{00000000-0005-0000-0000-0000F22A0000}"/>
    <cellStyle name="Normal 2 2 2 2 2 2 2 4 6" xfId="10995" xr:uid="{00000000-0005-0000-0000-0000F32A0000}"/>
    <cellStyle name="Normal 2 2 2 2 2 2 2 4 7" xfId="10996" xr:uid="{00000000-0005-0000-0000-0000F42A0000}"/>
    <cellStyle name="Normal 2 2 2 2 2 2 2 4 8" xfId="10997" xr:uid="{00000000-0005-0000-0000-0000F52A0000}"/>
    <cellStyle name="Normal 2 2 2 2 2 2 2 4 9" xfId="10998" xr:uid="{00000000-0005-0000-0000-0000F62A0000}"/>
    <cellStyle name="Normal 2 2 2 2 2 2 2 5" xfId="10999" xr:uid="{00000000-0005-0000-0000-0000F72A0000}"/>
    <cellStyle name="Normal 2 2 2 2 2 2 2 5 10" xfId="11000" xr:uid="{00000000-0005-0000-0000-0000F82A0000}"/>
    <cellStyle name="Normal 2 2 2 2 2 2 2 5 2" xfId="11001" xr:uid="{00000000-0005-0000-0000-0000F92A0000}"/>
    <cellStyle name="Normal 2 2 2 2 2 2 2 5 3" xfId="11002" xr:uid="{00000000-0005-0000-0000-0000FA2A0000}"/>
    <cellStyle name="Normal 2 2 2 2 2 2 2 5 4" xfId="11003" xr:uid="{00000000-0005-0000-0000-0000FB2A0000}"/>
    <cellStyle name="Normal 2 2 2 2 2 2 2 5 5" xfId="11004" xr:uid="{00000000-0005-0000-0000-0000FC2A0000}"/>
    <cellStyle name="Normal 2 2 2 2 2 2 2 5 6" xfId="11005" xr:uid="{00000000-0005-0000-0000-0000FD2A0000}"/>
    <cellStyle name="Normal 2 2 2 2 2 2 2 5 7" xfId="11006" xr:uid="{00000000-0005-0000-0000-0000FE2A0000}"/>
    <cellStyle name="Normal 2 2 2 2 2 2 2 5 8" xfId="11007" xr:uid="{00000000-0005-0000-0000-0000FF2A0000}"/>
    <cellStyle name="Normal 2 2 2 2 2 2 2 5 9" xfId="11008" xr:uid="{00000000-0005-0000-0000-0000002B0000}"/>
    <cellStyle name="Normal 2 2 2 2 2 2 2 6" xfId="11009" xr:uid="{00000000-0005-0000-0000-0000012B0000}"/>
    <cellStyle name="Normal 2 2 2 2 2 2 2 7" xfId="11010" xr:uid="{00000000-0005-0000-0000-0000022B0000}"/>
    <cellStyle name="Normal 2 2 2 2 2 2 2 8" xfId="11011" xr:uid="{00000000-0005-0000-0000-0000032B0000}"/>
    <cellStyle name="Normal 2 2 2 2 2 2 2 9" xfId="11012" xr:uid="{00000000-0005-0000-0000-0000042B0000}"/>
    <cellStyle name="Normal 2 2 2 2 2 2 20" xfId="11013" xr:uid="{00000000-0005-0000-0000-0000052B0000}"/>
    <cellStyle name="Normal 2 2 2 2 2 2 20 10" xfId="11014" xr:uid="{00000000-0005-0000-0000-0000062B0000}"/>
    <cellStyle name="Normal 2 2 2 2 2 2 20 11" xfId="11015" xr:uid="{00000000-0005-0000-0000-0000072B0000}"/>
    <cellStyle name="Normal 2 2 2 2 2 2 20 12" xfId="11016" xr:uid="{00000000-0005-0000-0000-0000082B0000}"/>
    <cellStyle name="Normal 2 2 2 2 2 2 20 13" xfId="11017" xr:uid="{00000000-0005-0000-0000-0000092B0000}"/>
    <cellStyle name="Normal 2 2 2 2 2 2 20 14" xfId="11018" xr:uid="{00000000-0005-0000-0000-00000A2B0000}"/>
    <cellStyle name="Normal 2 2 2 2 2 2 20 2" xfId="11019" xr:uid="{00000000-0005-0000-0000-00000B2B0000}"/>
    <cellStyle name="Normal 2 2 2 2 2 2 20 2 10" xfId="11020" xr:uid="{00000000-0005-0000-0000-00000C2B0000}"/>
    <cellStyle name="Normal 2 2 2 2 2 2 20 2 2" xfId="11021" xr:uid="{00000000-0005-0000-0000-00000D2B0000}"/>
    <cellStyle name="Normal 2 2 2 2 2 2 20 2 3" xfId="11022" xr:uid="{00000000-0005-0000-0000-00000E2B0000}"/>
    <cellStyle name="Normal 2 2 2 2 2 2 20 2 4" xfId="11023" xr:uid="{00000000-0005-0000-0000-00000F2B0000}"/>
    <cellStyle name="Normal 2 2 2 2 2 2 20 2 5" xfId="11024" xr:uid="{00000000-0005-0000-0000-0000102B0000}"/>
    <cellStyle name="Normal 2 2 2 2 2 2 20 2 6" xfId="11025" xr:uid="{00000000-0005-0000-0000-0000112B0000}"/>
    <cellStyle name="Normal 2 2 2 2 2 2 20 2 7" xfId="11026" xr:uid="{00000000-0005-0000-0000-0000122B0000}"/>
    <cellStyle name="Normal 2 2 2 2 2 2 20 2 8" xfId="11027" xr:uid="{00000000-0005-0000-0000-0000132B0000}"/>
    <cellStyle name="Normal 2 2 2 2 2 2 20 2 9" xfId="11028" xr:uid="{00000000-0005-0000-0000-0000142B0000}"/>
    <cellStyle name="Normal 2 2 2 2 2 2 20 3" xfId="11029" xr:uid="{00000000-0005-0000-0000-0000152B0000}"/>
    <cellStyle name="Normal 2 2 2 2 2 2 20 3 10" xfId="11030" xr:uid="{00000000-0005-0000-0000-0000162B0000}"/>
    <cellStyle name="Normal 2 2 2 2 2 2 20 3 2" xfId="11031" xr:uid="{00000000-0005-0000-0000-0000172B0000}"/>
    <cellStyle name="Normal 2 2 2 2 2 2 20 3 3" xfId="11032" xr:uid="{00000000-0005-0000-0000-0000182B0000}"/>
    <cellStyle name="Normal 2 2 2 2 2 2 20 3 4" xfId="11033" xr:uid="{00000000-0005-0000-0000-0000192B0000}"/>
    <cellStyle name="Normal 2 2 2 2 2 2 20 3 5" xfId="11034" xr:uid="{00000000-0005-0000-0000-00001A2B0000}"/>
    <cellStyle name="Normal 2 2 2 2 2 2 20 3 6" xfId="11035" xr:uid="{00000000-0005-0000-0000-00001B2B0000}"/>
    <cellStyle name="Normal 2 2 2 2 2 2 20 3 7" xfId="11036" xr:uid="{00000000-0005-0000-0000-00001C2B0000}"/>
    <cellStyle name="Normal 2 2 2 2 2 2 20 3 8" xfId="11037" xr:uid="{00000000-0005-0000-0000-00001D2B0000}"/>
    <cellStyle name="Normal 2 2 2 2 2 2 20 3 9" xfId="11038" xr:uid="{00000000-0005-0000-0000-00001E2B0000}"/>
    <cellStyle name="Normal 2 2 2 2 2 2 20 4" xfId="11039" xr:uid="{00000000-0005-0000-0000-00001F2B0000}"/>
    <cellStyle name="Normal 2 2 2 2 2 2 20 4 10" xfId="11040" xr:uid="{00000000-0005-0000-0000-0000202B0000}"/>
    <cellStyle name="Normal 2 2 2 2 2 2 20 4 2" xfId="11041" xr:uid="{00000000-0005-0000-0000-0000212B0000}"/>
    <cellStyle name="Normal 2 2 2 2 2 2 20 4 3" xfId="11042" xr:uid="{00000000-0005-0000-0000-0000222B0000}"/>
    <cellStyle name="Normal 2 2 2 2 2 2 20 4 4" xfId="11043" xr:uid="{00000000-0005-0000-0000-0000232B0000}"/>
    <cellStyle name="Normal 2 2 2 2 2 2 20 4 5" xfId="11044" xr:uid="{00000000-0005-0000-0000-0000242B0000}"/>
    <cellStyle name="Normal 2 2 2 2 2 2 20 4 6" xfId="11045" xr:uid="{00000000-0005-0000-0000-0000252B0000}"/>
    <cellStyle name="Normal 2 2 2 2 2 2 20 4 7" xfId="11046" xr:uid="{00000000-0005-0000-0000-0000262B0000}"/>
    <cellStyle name="Normal 2 2 2 2 2 2 20 4 8" xfId="11047" xr:uid="{00000000-0005-0000-0000-0000272B0000}"/>
    <cellStyle name="Normal 2 2 2 2 2 2 20 4 9" xfId="11048" xr:uid="{00000000-0005-0000-0000-0000282B0000}"/>
    <cellStyle name="Normal 2 2 2 2 2 2 20 5" xfId="11049" xr:uid="{00000000-0005-0000-0000-0000292B0000}"/>
    <cellStyle name="Normal 2 2 2 2 2 2 20 5 10" xfId="11050" xr:uid="{00000000-0005-0000-0000-00002A2B0000}"/>
    <cellStyle name="Normal 2 2 2 2 2 2 20 5 2" xfId="11051" xr:uid="{00000000-0005-0000-0000-00002B2B0000}"/>
    <cellStyle name="Normal 2 2 2 2 2 2 20 5 3" xfId="11052" xr:uid="{00000000-0005-0000-0000-00002C2B0000}"/>
    <cellStyle name="Normal 2 2 2 2 2 2 20 5 4" xfId="11053" xr:uid="{00000000-0005-0000-0000-00002D2B0000}"/>
    <cellStyle name="Normal 2 2 2 2 2 2 20 5 5" xfId="11054" xr:uid="{00000000-0005-0000-0000-00002E2B0000}"/>
    <cellStyle name="Normal 2 2 2 2 2 2 20 5 6" xfId="11055" xr:uid="{00000000-0005-0000-0000-00002F2B0000}"/>
    <cellStyle name="Normal 2 2 2 2 2 2 20 5 7" xfId="11056" xr:uid="{00000000-0005-0000-0000-0000302B0000}"/>
    <cellStyle name="Normal 2 2 2 2 2 2 20 5 8" xfId="11057" xr:uid="{00000000-0005-0000-0000-0000312B0000}"/>
    <cellStyle name="Normal 2 2 2 2 2 2 20 5 9" xfId="11058" xr:uid="{00000000-0005-0000-0000-0000322B0000}"/>
    <cellStyle name="Normal 2 2 2 2 2 2 20 6" xfId="11059" xr:uid="{00000000-0005-0000-0000-0000332B0000}"/>
    <cellStyle name="Normal 2 2 2 2 2 2 20 7" xfId="11060" xr:uid="{00000000-0005-0000-0000-0000342B0000}"/>
    <cellStyle name="Normal 2 2 2 2 2 2 20 8" xfId="11061" xr:uid="{00000000-0005-0000-0000-0000352B0000}"/>
    <cellStyle name="Normal 2 2 2 2 2 2 20 9" xfId="11062" xr:uid="{00000000-0005-0000-0000-0000362B0000}"/>
    <cellStyle name="Normal 2 2 2 2 2 2 21" xfId="11063" xr:uid="{00000000-0005-0000-0000-0000372B0000}"/>
    <cellStyle name="Normal 2 2 2 2 2 2 21 10" xfId="11064" xr:uid="{00000000-0005-0000-0000-0000382B0000}"/>
    <cellStyle name="Normal 2 2 2 2 2 2 21 11" xfId="11065" xr:uid="{00000000-0005-0000-0000-0000392B0000}"/>
    <cellStyle name="Normal 2 2 2 2 2 2 21 12" xfId="11066" xr:uid="{00000000-0005-0000-0000-00003A2B0000}"/>
    <cellStyle name="Normal 2 2 2 2 2 2 21 13" xfId="11067" xr:uid="{00000000-0005-0000-0000-00003B2B0000}"/>
    <cellStyle name="Normal 2 2 2 2 2 2 21 14" xfId="11068" xr:uid="{00000000-0005-0000-0000-00003C2B0000}"/>
    <cellStyle name="Normal 2 2 2 2 2 2 21 2" xfId="11069" xr:uid="{00000000-0005-0000-0000-00003D2B0000}"/>
    <cellStyle name="Normal 2 2 2 2 2 2 21 2 10" xfId="11070" xr:uid="{00000000-0005-0000-0000-00003E2B0000}"/>
    <cellStyle name="Normal 2 2 2 2 2 2 21 2 2" xfId="11071" xr:uid="{00000000-0005-0000-0000-00003F2B0000}"/>
    <cellStyle name="Normal 2 2 2 2 2 2 21 2 3" xfId="11072" xr:uid="{00000000-0005-0000-0000-0000402B0000}"/>
    <cellStyle name="Normal 2 2 2 2 2 2 21 2 4" xfId="11073" xr:uid="{00000000-0005-0000-0000-0000412B0000}"/>
    <cellStyle name="Normal 2 2 2 2 2 2 21 2 5" xfId="11074" xr:uid="{00000000-0005-0000-0000-0000422B0000}"/>
    <cellStyle name="Normal 2 2 2 2 2 2 21 2 6" xfId="11075" xr:uid="{00000000-0005-0000-0000-0000432B0000}"/>
    <cellStyle name="Normal 2 2 2 2 2 2 21 2 7" xfId="11076" xr:uid="{00000000-0005-0000-0000-0000442B0000}"/>
    <cellStyle name="Normal 2 2 2 2 2 2 21 2 8" xfId="11077" xr:uid="{00000000-0005-0000-0000-0000452B0000}"/>
    <cellStyle name="Normal 2 2 2 2 2 2 21 2 9" xfId="11078" xr:uid="{00000000-0005-0000-0000-0000462B0000}"/>
    <cellStyle name="Normal 2 2 2 2 2 2 21 3" xfId="11079" xr:uid="{00000000-0005-0000-0000-0000472B0000}"/>
    <cellStyle name="Normal 2 2 2 2 2 2 21 3 10" xfId="11080" xr:uid="{00000000-0005-0000-0000-0000482B0000}"/>
    <cellStyle name="Normal 2 2 2 2 2 2 21 3 2" xfId="11081" xr:uid="{00000000-0005-0000-0000-0000492B0000}"/>
    <cellStyle name="Normal 2 2 2 2 2 2 21 3 3" xfId="11082" xr:uid="{00000000-0005-0000-0000-00004A2B0000}"/>
    <cellStyle name="Normal 2 2 2 2 2 2 21 3 4" xfId="11083" xr:uid="{00000000-0005-0000-0000-00004B2B0000}"/>
    <cellStyle name="Normal 2 2 2 2 2 2 21 3 5" xfId="11084" xr:uid="{00000000-0005-0000-0000-00004C2B0000}"/>
    <cellStyle name="Normal 2 2 2 2 2 2 21 3 6" xfId="11085" xr:uid="{00000000-0005-0000-0000-00004D2B0000}"/>
    <cellStyle name="Normal 2 2 2 2 2 2 21 3 7" xfId="11086" xr:uid="{00000000-0005-0000-0000-00004E2B0000}"/>
    <cellStyle name="Normal 2 2 2 2 2 2 21 3 8" xfId="11087" xr:uid="{00000000-0005-0000-0000-00004F2B0000}"/>
    <cellStyle name="Normal 2 2 2 2 2 2 21 3 9" xfId="11088" xr:uid="{00000000-0005-0000-0000-0000502B0000}"/>
    <cellStyle name="Normal 2 2 2 2 2 2 21 4" xfId="11089" xr:uid="{00000000-0005-0000-0000-0000512B0000}"/>
    <cellStyle name="Normal 2 2 2 2 2 2 21 4 10" xfId="11090" xr:uid="{00000000-0005-0000-0000-0000522B0000}"/>
    <cellStyle name="Normal 2 2 2 2 2 2 21 4 2" xfId="11091" xr:uid="{00000000-0005-0000-0000-0000532B0000}"/>
    <cellStyle name="Normal 2 2 2 2 2 2 21 4 3" xfId="11092" xr:uid="{00000000-0005-0000-0000-0000542B0000}"/>
    <cellStyle name="Normal 2 2 2 2 2 2 21 4 4" xfId="11093" xr:uid="{00000000-0005-0000-0000-0000552B0000}"/>
    <cellStyle name="Normal 2 2 2 2 2 2 21 4 5" xfId="11094" xr:uid="{00000000-0005-0000-0000-0000562B0000}"/>
    <cellStyle name="Normal 2 2 2 2 2 2 21 4 6" xfId="11095" xr:uid="{00000000-0005-0000-0000-0000572B0000}"/>
    <cellStyle name="Normal 2 2 2 2 2 2 21 4 7" xfId="11096" xr:uid="{00000000-0005-0000-0000-0000582B0000}"/>
    <cellStyle name="Normal 2 2 2 2 2 2 21 4 8" xfId="11097" xr:uid="{00000000-0005-0000-0000-0000592B0000}"/>
    <cellStyle name="Normal 2 2 2 2 2 2 21 4 9" xfId="11098" xr:uid="{00000000-0005-0000-0000-00005A2B0000}"/>
    <cellStyle name="Normal 2 2 2 2 2 2 21 5" xfId="11099" xr:uid="{00000000-0005-0000-0000-00005B2B0000}"/>
    <cellStyle name="Normal 2 2 2 2 2 2 21 5 10" xfId="11100" xr:uid="{00000000-0005-0000-0000-00005C2B0000}"/>
    <cellStyle name="Normal 2 2 2 2 2 2 21 5 2" xfId="11101" xr:uid="{00000000-0005-0000-0000-00005D2B0000}"/>
    <cellStyle name="Normal 2 2 2 2 2 2 21 5 3" xfId="11102" xr:uid="{00000000-0005-0000-0000-00005E2B0000}"/>
    <cellStyle name="Normal 2 2 2 2 2 2 21 5 4" xfId="11103" xr:uid="{00000000-0005-0000-0000-00005F2B0000}"/>
    <cellStyle name="Normal 2 2 2 2 2 2 21 5 5" xfId="11104" xr:uid="{00000000-0005-0000-0000-0000602B0000}"/>
    <cellStyle name="Normal 2 2 2 2 2 2 21 5 6" xfId="11105" xr:uid="{00000000-0005-0000-0000-0000612B0000}"/>
    <cellStyle name="Normal 2 2 2 2 2 2 21 5 7" xfId="11106" xr:uid="{00000000-0005-0000-0000-0000622B0000}"/>
    <cellStyle name="Normal 2 2 2 2 2 2 21 5 8" xfId="11107" xr:uid="{00000000-0005-0000-0000-0000632B0000}"/>
    <cellStyle name="Normal 2 2 2 2 2 2 21 5 9" xfId="11108" xr:uid="{00000000-0005-0000-0000-0000642B0000}"/>
    <cellStyle name="Normal 2 2 2 2 2 2 21 6" xfId="11109" xr:uid="{00000000-0005-0000-0000-0000652B0000}"/>
    <cellStyle name="Normal 2 2 2 2 2 2 21 7" xfId="11110" xr:uid="{00000000-0005-0000-0000-0000662B0000}"/>
    <cellStyle name="Normal 2 2 2 2 2 2 21 8" xfId="11111" xr:uid="{00000000-0005-0000-0000-0000672B0000}"/>
    <cellStyle name="Normal 2 2 2 2 2 2 21 9" xfId="11112" xr:uid="{00000000-0005-0000-0000-0000682B0000}"/>
    <cellStyle name="Normal 2 2 2 2 2 2 22" xfId="11113" xr:uid="{00000000-0005-0000-0000-0000692B0000}"/>
    <cellStyle name="Normal 2 2 2 2 2 2 22 10" xfId="11114" xr:uid="{00000000-0005-0000-0000-00006A2B0000}"/>
    <cellStyle name="Normal 2 2 2 2 2 2 22 11" xfId="11115" xr:uid="{00000000-0005-0000-0000-00006B2B0000}"/>
    <cellStyle name="Normal 2 2 2 2 2 2 22 12" xfId="11116" xr:uid="{00000000-0005-0000-0000-00006C2B0000}"/>
    <cellStyle name="Normal 2 2 2 2 2 2 22 13" xfId="11117" xr:uid="{00000000-0005-0000-0000-00006D2B0000}"/>
    <cellStyle name="Normal 2 2 2 2 2 2 22 14" xfId="11118" xr:uid="{00000000-0005-0000-0000-00006E2B0000}"/>
    <cellStyle name="Normal 2 2 2 2 2 2 22 2" xfId="11119" xr:uid="{00000000-0005-0000-0000-00006F2B0000}"/>
    <cellStyle name="Normal 2 2 2 2 2 2 22 2 10" xfId="11120" xr:uid="{00000000-0005-0000-0000-0000702B0000}"/>
    <cellStyle name="Normal 2 2 2 2 2 2 22 2 2" xfId="11121" xr:uid="{00000000-0005-0000-0000-0000712B0000}"/>
    <cellStyle name="Normal 2 2 2 2 2 2 22 2 3" xfId="11122" xr:uid="{00000000-0005-0000-0000-0000722B0000}"/>
    <cellStyle name="Normal 2 2 2 2 2 2 22 2 4" xfId="11123" xr:uid="{00000000-0005-0000-0000-0000732B0000}"/>
    <cellStyle name="Normal 2 2 2 2 2 2 22 2 5" xfId="11124" xr:uid="{00000000-0005-0000-0000-0000742B0000}"/>
    <cellStyle name="Normal 2 2 2 2 2 2 22 2 6" xfId="11125" xr:uid="{00000000-0005-0000-0000-0000752B0000}"/>
    <cellStyle name="Normal 2 2 2 2 2 2 22 2 7" xfId="11126" xr:uid="{00000000-0005-0000-0000-0000762B0000}"/>
    <cellStyle name="Normal 2 2 2 2 2 2 22 2 8" xfId="11127" xr:uid="{00000000-0005-0000-0000-0000772B0000}"/>
    <cellStyle name="Normal 2 2 2 2 2 2 22 2 9" xfId="11128" xr:uid="{00000000-0005-0000-0000-0000782B0000}"/>
    <cellStyle name="Normal 2 2 2 2 2 2 22 3" xfId="11129" xr:uid="{00000000-0005-0000-0000-0000792B0000}"/>
    <cellStyle name="Normal 2 2 2 2 2 2 22 3 10" xfId="11130" xr:uid="{00000000-0005-0000-0000-00007A2B0000}"/>
    <cellStyle name="Normal 2 2 2 2 2 2 22 3 2" xfId="11131" xr:uid="{00000000-0005-0000-0000-00007B2B0000}"/>
    <cellStyle name="Normal 2 2 2 2 2 2 22 3 3" xfId="11132" xr:uid="{00000000-0005-0000-0000-00007C2B0000}"/>
    <cellStyle name="Normal 2 2 2 2 2 2 22 3 4" xfId="11133" xr:uid="{00000000-0005-0000-0000-00007D2B0000}"/>
    <cellStyle name="Normal 2 2 2 2 2 2 22 3 5" xfId="11134" xr:uid="{00000000-0005-0000-0000-00007E2B0000}"/>
    <cellStyle name="Normal 2 2 2 2 2 2 22 3 6" xfId="11135" xr:uid="{00000000-0005-0000-0000-00007F2B0000}"/>
    <cellStyle name="Normal 2 2 2 2 2 2 22 3 7" xfId="11136" xr:uid="{00000000-0005-0000-0000-0000802B0000}"/>
    <cellStyle name="Normal 2 2 2 2 2 2 22 3 8" xfId="11137" xr:uid="{00000000-0005-0000-0000-0000812B0000}"/>
    <cellStyle name="Normal 2 2 2 2 2 2 22 3 9" xfId="11138" xr:uid="{00000000-0005-0000-0000-0000822B0000}"/>
    <cellStyle name="Normal 2 2 2 2 2 2 22 4" xfId="11139" xr:uid="{00000000-0005-0000-0000-0000832B0000}"/>
    <cellStyle name="Normal 2 2 2 2 2 2 22 4 10" xfId="11140" xr:uid="{00000000-0005-0000-0000-0000842B0000}"/>
    <cellStyle name="Normal 2 2 2 2 2 2 22 4 2" xfId="11141" xr:uid="{00000000-0005-0000-0000-0000852B0000}"/>
    <cellStyle name="Normal 2 2 2 2 2 2 22 4 3" xfId="11142" xr:uid="{00000000-0005-0000-0000-0000862B0000}"/>
    <cellStyle name="Normal 2 2 2 2 2 2 22 4 4" xfId="11143" xr:uid="{00000000-0005-0000-0000-0000872B0000}"/>
    <cellStyle name="Normal 2 2 2 2 2 2 22 4 5" xfId="11144" xr:uid="{00000000-0005-0000-0000-0000882B0000}"/>
    <cellStyle name="Normal 2 2 2 2 2 2 22 4 6" xfId="11145" xr:uid="{00000000-0005-0000-0000-0000892B0000}"/>
    <cellStyle name="Normal 2 2 2 2 2 2 22 4 7" xfId="11146" xr:uid="{00000000-0005-0000-0000-00008A2B0000}"/>
    <cellStyle name="Normal 2 2 2 2 2 2 22 4 8" xfId="11147" xr:uid="{00000000-0005-0000-0000-00008B2B0000}"/>
    <cellStyle name="Normal 2 2 2 2 2 2 22 4 9" xfId="11148" xr:uid="{00000000-0005-0000-0000-00008C2B0000}"/>
    <cellStyle name="Normal 2 2 2 2 2 2 22 5" xfId="11149" xr:uid="{00000000-0005-0000-0000-00008D2B0000}"/>
    <cellStyle name="Normal 2 2 2 2 2 2 22 5 10" xfId="11150" xr:uid="{00000000-0005-0000-0000-00008E2B0000}"/>
    <cellStyle name="Normal 2 2 2 2 2 2 22 5 2" xfId="11151" xr:uid="{00000000-0005-0000-0000-00008F2B0000}"/>
    <cellStyle name="Normal 2 2 2 2 2 2 22 5 3" xfId="11152" xr:uid="{00000000-0005-0000-0000-0000902B0000}"/>
    <cellStyle name="Normal 2 2 2 2 2 2 22 5 4" xfId="11153" xr:uid="{00000000-0005-0000-0000-0000912B0000}"/>
    <cellStyle name="Normal 2 2 2 2 2 2 22 5 5" xfId="11154" xr:uid="{00000000-0005-0000-0000-0000922B0000}"/>
    <cellStyle name="Normal 2 2 2 2 2 2 22 5 6" xfId="11155" xr:uid="{00000000-0005-0000-0000-0000932B0000}"/>
    <cellStyle name="Normal 2 2 2 2 2 2 22 5 7" xfId="11156" xr:uid="{00000000-0005-0000-0000-0000942B0000}"/>
    <cellStyle name="Normal 2 2 2 2 2 2 22 5 8" xfId="11157" xr:uid="{00000000-0005-0000-0000-0000952B0000}"/>
    <cellStyle name="Normal 2 2 2 2 2 2 22 5 9" xfId="11158" xr:uid="{00000000-0005-0000-0000-0000962B0000}"/>
    <cellStyle name="Normal 2 2 2 2 2 2 22 6" xfId="11159" xr:uid="{00000000-0005-0000-0000-0000972B0000}"/>
    <cellStyle name="Normal 2 2 2 2 2 2 22 7" xfId="11160" xr:uid="{00000000-0005-0000-0000-0000982B0000}"/>
    <cellStyle name="Normal 2 2 2 2 2 2 22 8" xfId="11161" xr:uid="{00000000-0005-0000-0000-0000992B0000}"/>
    <cellStyle name="Normal 2 2 2 2 2 2 22 9" xfId="11162" xr:uid="{00000000-0005-0000-0000-00009A2B0000}"/>
    <cellStyle name="Normal 2 2 2 2 2 2 23" xfId="11163" xr:uid="{00000000-0005-0000-0000-00009B2B0000}"/>
    <cellStyle name="Normal 2 2 2 2 2 2 23 10" xfId="11164" xr:uid="{00000000-0005-0000-0000-00009C2B0000}"/>
    <cellStyle name="Normal 2 2 2 2 2 2 23 11" xfId="11165" xr:uid="{00000000-0005-0000-0000-00009D2B0000}"/>
    <cellStyle name="Normal 2 2 2 2 2 2 23 12" xfId="11166" xr:uid="{00000000-0005-0000-0000-00009E2B0000}"/>
    <cellStyle name="Normal 2 2 2 2 2 2 23 13" xfId="11167" xr:uid="{00000000-0005-0000-0000-00009F2B0000}"/>
    <cellStyle name="Normal 2 2 2 2 2 2 23 14" xfId="11168" xr:uid="{00000000-0005-0000-0000-0000A02B0000}"/>
    <cellStyle name="Normal 2 2 2 2 2 2 23 2" xfId="11169" xr:uid="{00000000-0005-0000-0000-0000A12B0000}"/>
    <cellStyle name="Normal 2 2 2 2 2 2 23 2 10" xfId="11170" xr:uid="{00000000-0005-0000-0000-0000A22B0000}"/>
    <cellStyle name="Normal 2 2 2 2 2 2 23 2 2" xfId="11171" xr:uid="{00000000-0005-0000-0000-0000A32B0000}"/>
    <cellStyle name="Normal 2 2 2 2 2 2 23 2 3" xfId="11172" xr:uid="{00000000-0005-0000-0000-0000A42B0000}"/>
    <cellStyle name="Normal 2 2 2 2 2 2 23 2 4" xfId="11173" xr:uid="{00000000-0005-0000-0000-0000A52B0000}"/>
    <cellStyle name="Normal 2 2 2 2 2 2 23 2 5" xfId="11174" xr:uid="{00000000-0005-0000-0000-0000A62B0000}"/>
    <cellStyle name="Normal 2 2 2 2 2 2 23 2 6" xfId="11175" xr:uid="{00000000-0005-0000-0000-0000A72B0000}"/>
    <cellStyle name="Normal 2 2 2 2 2 2 23 2 7" xfId="11176" xr:uid="{00000000-0005-0000-0000-0000A82B0000}"/>
    <cellStyle name="Normal 2 2 2 2 2 2 23 2 8" xfId="11177" xr:uid="{00000000-0005-0000-0000-0000A92B0000}"/>
    <cellStyle name="Normal 2 2 2 2 2 2 23 2 9" xfId="11178" xr:uid="{00000000-0005-0000-0000-0000AA2B0000}"/>
    <cellStyle name="Normal 2 2 2 2 2 2 23 3" xfId="11179" xr:uid="{00000000-0005-0000-0000-0000AB2B0000}"/>
    <cellStyle name="Normal 2 2 2 2 2 2 23 3 10" xfId="11180" xr:uid="{00000000-0005-0000-0000-0000AC2B0000}"/>
    <cellStyle name="Normal 2 2 2 2 2 2 23 3 2" xfId="11181" xr:uid="{00000000-0005-0000-0000-0000AD2B0000}"/>
    <cellStyle name="Normal 2 2 2 2 2 2 23 3 3" xfId="11182" xr:uid="{00000000-0005-0000-0000-0000AE2B0000}"/>
    <cellStyle name="Normal 2 2 2 2 2 2 23 3 4" xfId="11183" xr:uid="{00000000-0005-0000-0000-0000AF2B0000}"/>
    <cellStyle name="Normal 2 2 2 2 2 2 23 3 5" xfId="11184" xr:uid="{00000000-0005-0000-0000-0000B02B0000}"/>
    <cellStyle name="Normal 2 2 2 2 2 2 23 3 6" xfId="11185" xr:uid="{00000000-0005-0000-0000-0000B12B0000}"/>
    <cellStyle name="Normal 2 2 2 2 2 2 23 3 7" xfId="11186" xr:uid="{00000000-0005-0000-0000-0000B22B0000}"/>
    <cellStyle name="Normal 2 2 2 2 2 2 23 3 8" xfId="11187" xr:uid="{00000000-0005-0000-0000-0000B32B0000}"/>
    <cellStyle name="Normal 2 2 2 2 2 2 23 3 9" xfId="11188" xr:uid="{00000000-0005-0000-0000-0000B42B0000}"/>
    <cellStyle name="Normal 2 2 2 2 2 2 23 4" xfId="11189" xr:uid="{00000000-0005-0000-0000-0000B52B0000}"/>
    <cellStyle name="Normal 2 2 2 2 2 2 23 4 10" xfId="11190" xr:uid="{00000000-0005-0000-0000-0000B62B0000}"/>
    <cellStyle name="Normal 2 2 2 2 2 2 23 4 2" xfId="11191" xr:uid="{00000000-0005-0000-0000-0000B72B0000}"/>
    <cellStyle name="Normal 2 2 2 2 2 2 23 4 3" xfId="11192" xr:uid="{00000000-0005-0000-0000-0000B82B0000}"/>
    <cellStyle name="Normal 2 2 2 2 2 2 23 4 4" xfId="11193" xr:uid="{00000000-0005-0000-0000-0000B92B0000}"/>
    <cellStyle name="Normal 2 2 2 2 2 2 23 4 5" xfId="11194" xr:uid="{00000000-0005-0000-0000-0000BA2B0000}"/>
    <cellStyle name="Normal 2 2 2 2 2 2 23 4 6" xfId="11195" xr:uid="{00000000-0005-0000-0000-0000BB2B0000}"/>
    <cellStyle name="Normal 2 2 2 2 2 2 23 4 7" xfId="11196" xr:uid="{00000000-0005-0000-0000-0000BC2B0000}"/>
    <cellStyle name="Normal 2 2 2 2 2 2 23 4 8" xfId="11197" xr:uid="{00000000-0005-0000-0000-0000BD2B0000}"/>
    <cellStyle name="Normal 2 2 2 2 2 2 23 4 9" xfId="11198" xr:uid="{00000000-0005-0000-0000-0000BE2B0000}"/>
    <cellStyle name="Normal 2 2 2 2 2 2 23 5" xfId="11199" xr:uid="{00000000-0005-0000-0000-0000BF2B0000}"/>
    <cellStyle name="Normal 2 2 2 2 2 2 23 5 10" xfId="11200" xr:uid="{00000000-0005-0000-0000-0000C02B0000}"/>
    <cellStyle name="Normal 2 2 2 2 2 2 23 5 2" xfId="11201" xr:uid="{00000000-0005-0000-0000-0000C12B0000}"/>
    <cellStyle name="Normal 2 2 2 2 2 2 23 5 3" xfId="11202" xr:uid="{00000000-0005-0000-0000-0000C22B0000}"/>
    <cellStyle name="Normal 2 2 2 2 2 2 23 5 4" xfId="11203" xr:uid="{00000000-0005-0000-0000-0000C32B0000}"/>
    <cellStyle name="Normal 2 2 2 2 2 2 23 5 5" xfId="11204" xr:uid="{00000000-0005-0000-0000-0000C42B0000}"/>
    <cellStyle name="Normal 2 2 2 2 2 2 23 5 6" xfId="11205" xr:uid="{00000000-0005-0000-0000-0000C52B0000}"/>
    <cellStyle name="Normal 2 2 2 2 2 2 23 5 7" xfId="11206" xr:uid="{00000000-0005-0000-0000-0000C62B0000}"/>
    <cellStyle name="Normal 2 2 2 2 2 2 23 5 8" xfId="11207" xr:uid="{00000000-0005-0000-0000-0000C72B0000}"/>
    <cellStyle name="Normal 2 2 2 2 2 2 23 5 9" xfId="11208" xr:uid="{00000000-0005-0000-0000-0000C82B0000}"/>
    <cellStyle name="Normal 2 2 2 2 2 2 23 6" xfId="11209" xr:uid="{00000000-0005-0000-0000-0000C92B0000}"/>
    <cellStyle name="Normal 2 2 2 2 2 2 23 7" xfId="11210" xr:uid="{00000000-0005-0000-0000-0000CA2B0000}"/>
    <cellStyle name="Normal 2 2 2 2 2 2 23 8" xfId="11211" xr:uid="{00000000-0005-0000-0000-0000CB2B0000}"/>
    <cellStyle name="Normal 2 2 2 2 2 2 23 9" xfId="11212" xr:uid="{00000000-0005-0000-0000-0000CC2B0000}"/>
    <cellStyle name="Normal 2 2 2 2 2 2 24" xfId="11213" xr:uid="{00000000-0005-0000-0000-0000CD2B0000}"/>
    <cellStyle name="Normal 2 2 2 2 2 2 24 10" xfId="11214" xr:uid="{00000000-0005-0000-0000-0000CE2B0000}"/>
    <cellStyle name="Normal 2 2 2 2 2 2 24 11" xfId="11215" xr:uid="{00000000-0005-0000-0000-0000CF2B0000}"/>
    <cellStyle name="Normal 2 2 2 2 2 2 24 12" xfId="11216" xr:uid="{00000000-0005-0000-0000-0000D02B0000}"/>
    <cellStyle name="Normal 2 2 2 2 2 2 24 13" xfId="11217" xr:uid="{00000000-0005-0000-0000-0000D12B0000}"/>
    <cellStyle name="Normal 2 2 2 2 2 2 24 14" xfId="11218" xr:uid="{00000000-0005-0000-0000-0000D22B0000}"/>
    <cellStyle name="Normal 2 2 2 2 2 2 24 2" xfId="11219" xr:uid="{00000000-0005-0000-0000-0000D32B0000}"/>
    <cellStyle name="Normal 2 2 2 2 2 2 24 2 10" xfId="11220" xr:uid="{00000000-0005-0000-0000-0000D42B0000}"/>
    <cellStyle name="Normal 2 2 2 2 2 2 24 2 2" xfId="11221" xr:uid="{00000000-0005-0000-0000-0000D52B0000}"/>
    <cellStyle name="Normal 2 2 2 2 2 2 24 2 3" xfId="11222" xr:uid="{00000000-0005-0000-0000-0000D62B0000}"/>
    <cellStyle name="Normal 2 2 2 2 2 2 24 2 4" xfId="11223" xr:uid="{00000000-0005-0000-0000-0000D72B0000}"/>
    <cellStyle name="Normal 2 2 2 2 2 2 24 2 5" xfId="11224" xr:uid="{00000000-0005-0000-0000-0000D82B0000}"/>
    <cellStyle name="Normal 2 2 2 2 2 2 24 2 6" xfId="11225" xr:uid="{00000000-0005-0000-0000-0000D92B0000}"/>
    <cellStyle name="Normal 2 2 2 2 2 2 24 2 7" xfId="11226" xr:uid="{00000000-0005-0000-0000-0000DA2B0000}"/>
    <cellStyle name="Normal 2 2 2 2 2 2 24 2 8" xfId="11227" xr:uid="{00000000-0005-0000-0000-0000DB2B0000}"/>
    <cellStyle name="Normal 2 2 2 2 2 2 24 2 9" xfId="11228" xr:uid="{00000000-0005-0000-0000-0000DC2B0000}"/>
    <cellStyle name="Normal 2 2 2 2 2 2 24 3" xfId="11229" xr:uid="{00000000-0005-0000-0000-0000DD2B0000}"/>
    <cellStyle name="Normal 2 2 2 2 2 2 24 3 10" xfId="11230" xr:uid="{00000000-0005-0000-0000-0000DE2B0000}"/>
    <cellStyle name="Normal 2 2 2 2 2 2 24 3 2" xfId="11231" xr:uid="{00000000-0005-0000-0000-0000DF2B0000}"/>
    <cellStyle name="Normal 2 2 2 2 2 2 24 3 3" xfId="11232" xr:uid="{00000000-0005-0000-0000-0000E02B0000}"/>
    <cellStyle name="Normal 2 2 2 2 2 2 24 3 4" xfId="11233" xr:uid="{00000000-0005-0000-0000-0000E12B0000}"/>
    <cellStyle name="Normal 2 2 2 2 2 2 24 3 5" xfId="11234" xr:uid="{00000000-0005-0000-0000-0000E22B0000}"/>
    <cellStyle name="Normal 2 2 2 2 2 2 24 3 6" xfId="11235" xr:uid="{00000000-0005-0000-0000-0000E32B0000}"/>
    <cellStyle name="Normal 2 2 2 2 2 2 24 3 7" xfId="11236" xr:uid="{00000000-0005-0000-0000-0000E42B0000}"/>
    <cellStyle name="Normal 2 2 2 2 2 2 24 3 8" xfId="11237" xr:uid="{00000000-0005-0000-0000-0000E52B0000}"/>
    <cellStyle name="Normal 2 2 2 2 2 2 24 3 9" xfId="11238" xr:uid="{00000000-0005-0000-0000-0000E62B0000}"/>
    <cellStyle name="Normal 2 2 2 2 2 2 24 4" xfId="11239" xr:uid="{00000000-0005-0000-0000-0000E72B0000}"/>
    <cellStyle name="Normal 2 2 2 2 2 2 24 4 10" xfId="11240" xr:uid="{00000000-0005-0000-0000-0000E82B0000}"/>
    <cellStyle name="Normal 2 2 2 2 2 2 24 4 2" xfId="11241" xr:uid="{00000000-0005-0000-0000-0000E92B0000}"/>
    <cellStyle name="Normal 2 2 2 2 2 2 24 4 3" xfId="11242" xr:uid="{00000000-0005-0000-0000-0000EA2B0000}"/>
    <cellStyle name="Normal 2 2 2 2 2 2 24 4 4" xfId="11243" xr:uid="{00000000-0005-0000-0000-0000EB2B0000}"/>
    <cellStyle name="Normal 2 2 2 2 2 2 24 4 5" xfId="11244" xr:uid="{00000000-0005-0000-0000-0000EC2B0000}"/>
    <cellStyle name="Normal 2 2 2 2 2 2 24 4 6" xfId="11245" xr:uid="{00000000-0005-0000-0000-0000ED2B0000}"/>
    <cellStyle name="Normal 2 2 2 2 2 2 24 4 7" xfId="11246" xr:uid="{00000000-0005-0000-0000-0000EE2B0000}"/>
    <cellStyle name="Normal 2 2 2 2 2 2 24 4 8" xfId="11247" xr:uid="{00000000-0005-0000-0000-0000EF2B0000}"/>
    <cellStyle name="Normal 2 2 2 2 2 2 24 4 9" xfId="11248" xr:uid="{00000000-0005-0000-0000-0000F02B0000}"/>
    <cellStyle name="Normal 2 2 2 2 2 2 24 5" xfId="11249" xr:uid="{00000000-0005-0000-0000-0000F12B0000}"/>
    <cellStyle name="Normal 2 2 2 2 2 2 24 5 10" xfId="11250" xr:uid="{00000000-0005-0000-0000-0000F22B0000}"/>
    <cellStyle name="Normal 2 2 2 2 2 2 24 5 2" xfId="11251" xr:uid="{00000000-0005-0000-0000-0000F32B0000}"/>
    <cellStyle name="Normal 2 2 2 2 2 2 24 5 3" xfId="11252" xr:uid="{00000000-0005-0000-0000-0000F42B0000}"/>
    <cellStyle name="Normal 2 2 2 2 2 2 24 5 4" xfId="11253" xr:uid="{00000000-0005-0000-0000-0000F52B0000}"/>
    <cellStyle name="Normal 2 2 2 2 2 2 24 5 5" xfId="11254" xr:uid="{00000000-0005-0000-0000-0000F62B0000}"/>
    <cellStyle name="Normal 2 2 2 2 2 2 24 5 6" xfId="11255" xr:uid="{00000000-0005-0000-0000-0000F72B0000}"/>
    <cellStyle name="Normal 2 2 2 2 2 2 24 5 7" xfId="11256" xr:uid="{00000000-0005-0000-0000-0000F82B0000}"/>
    <cellStyle name="Normal 2 2 2 2 2 2 24 5 8" xfId="11257" xr:uid="{00000000-0005-0000-0000-0000F92B0000}"/>
    <cellStyle name="Normal 2 2 2 2 2 2 24 5 9" xfId="11258" xr:uid="{00000000-0005-0000-0000-0000FA2B0000}"/>
    <cellStyle name="Normal 2 2 2 2 2 2 24 6" xfId="11259" xr:uid="{00000000-0005-0000-0000-0000FB2B0000}"/>
    <cellStyle name="Normal 2 2 2 2 2 2 24 7" xfId="11260" xr:uid="{00000000-0005-0000-0000-0000FC2B0000}"/>
    <cellStyle name="Normal 2 2 2 2 2 2 24 8" xfId="11261" xr:uid="{00000000-0005-0000-0000-0000FD2B0000}"/>
    <cellStyle name="Normal 2 2 2 2 2 2 24 9" xfId="11262" xr:uid="{00000000-0005-0000-0000-0000FE2B0000}"/>
    <cellStyle name="Normal 2 2 2 2 2 2 25" xfId="11263" xr:uid="{00000000-0005-0000-0000-0000FF2B0000}"/>
    <cellStyle name="Normal 2 2 2 2 2 2 25 10" xfId="11264" xr:uid="{00000000-0005-0000-0000-0000002C0000}"/>
    <cellStyle name="Normal 2 2 2 2 2 2 25 11" xfId="11265" xr:uid="{00000000-0005-0000-0000-0000012C0000}"/>
    <cellStyle name="Normal 2 2 2 2 2 2 25 12" xfId="11266" xr:uid="{00000000-0005-0000-0000-0000022C0000}"/>
    <cellStyle name="Normal 2 2 2 2 2 2 25 13" xfId="11267" xr:uid="{00000000-0005-0000-0000-0000032C0000}"/>
    <cellStyle name="Normal 2 2 2 2 2 2 25 14" xfId="11268" xr:uid="{00000000-0005-0000-0000-0000042C0000}"/>
    <cellStyle name="Normal 2 2 2 2 2 2 25 2" xfId="11269" xr:uid="{00000000-0005-0000-0000-0000052C0000}"/>
    <cellStyle name="Normal 2 2 2 2 2 2 25 2 10" xfId="11270" xr:uid="{00000000-0005-0000-0000-0000062C0000}"/>
    <cellStyle name="Normal 2 2 2 2 2 2 25 2 2" xfId="11271" xr:uid="{00000000-0005-0000-0000-0000072C0000}"/>
    <cellStyle name="Normal 2 2 2 2 2 2 25 2 3" xfId="11272" xr:uid="{00000000-0005-0000-0000-0000082C0000}"/>
    <cellStyle name="Normal 2 2 2 2 2 2 25 2 4" xfId="11273" xr:uid="{00000000-0005-0000-0000-0000092C0000}"/>
    <cellStyle name="Normal 2 2 2 2 2 2 25 2 5" xfId="11274" xr:uid="{00000000-0005-0000-0000-00000A2C0000}"/>
    <cellStyle name="Normal 2 2 2 2 2 2 25 2 6" xfId="11275" xr:uid="{00000000-0005-0000-0000-00000B2C0000}"/>
    <cellStyle name="Normal 2 2 2 2 2 2 25 2 7" xfId="11276" xr:uid="{00000000-0005-0000-0000-00000C2C0000}"/>
    <cellStyle name="Normal 2 2 2 2 2 2 25 2 8" xfId="11277" xr:uid="{00000000-0005-0000-0000-00000D2C0000}"/>
    <cellStyle name="Normal 2 2 2 2 2 2 25 2 9" xfId="11278" xr:uid="{00000000-0005-0000-0000-00000E2C0000}"/>
    <cellStyle name="Normal 2 2 2 2 2 2 25 3" xfId="11279" xr:uid="{00000000-0005-0000-0000-00000F2C0000}"/>
    <cellStyle name="Normal 2 2 2 2 2 2 25 3 10" xfId="11280" xr:uid="{00000000-0005-0000-0000-0000102C0000}"/>
    <cellStyle name="Normal 2 2 2 2 2 2 25 3 2" xfId="11281" xr:uid="{00000000-0005-0000-0000-0000112C0000}"/>
    <cellStyle name="Normal 2 2 2 2 2 2 25 3 3" xfId="11282" xr:uid="{00000000-0005-0000-0000-0000122C0000}"/>
    <cellStyle name="Normal 2 2 2 2 2 2 25 3 4" xfId="11283" xr:uid="{00000000-0005-0000-0000-0000132C0000}"/>
    <cellStyle name="Normal 2 2 2 2 2 2 25 3 5" xfId="11284" xr:uid="{00000000-0005-0000-0000-0000142C0000}"/>
    <cellStyle name="Normal 2 2 2 2 2 2 25 3 6" xfId="11285" xr:uid="{00000000-0005-0000-0000-0000152C0000}"/>
    <cellStyle name="Normal 2 2 2 2 2 2 25 3 7" xfId="11286" xr:uid="{00000000-0005-0000-0000-0000162C0000}"/>
    <cellStyle name="Normal 2 2 2 2 2 2 25 3 8" xfId="11287" xr:uid="{00000000-0005-0000-0000-0000172C0000}"/>
    <cellStyle name="Normal 2 2 2 2 2 2 25 3 9" xfId="11288" xr:uid="{00000000-0005-0000-0000-0000182C0000}"/>
    <cellStyle name="Normal 2 2 2 2 2 2 25 4" xfId="11289" xr:uid="{00000000-0005-0000-0000-0000192C0000}"/>
    <cellStyle name="Normal 2 2 2 2 2 2 25 4 10" xfId="11290" xr:uid="{00000000-0005-0000-0000-00001A2C0000}"/>
    <cellStyle name="Normal 2 2 2 2 2 2 25 4 2" xfId="11291" xr:uid="{00000000-0005-0000-0000-00001B2C0000}"/>
    <cellStyle name="Normal 2 2 2 2 2 2 25 4 3" xfId="11292" xr:uid="{00000000-0005-0000-0000-00001C2C0000}"/>
    <cellStyle name="Normal 2 2 2 2 2 2 25 4 4" xfId="11293" xr:uid="{00000000-0005-0000-0000-00001D2C0000}"/>
    <cellStyle name="Normal 2 2 2 2 2 2 25 4 5" xfId="11294" xr:uid="{00000000-0005-0000-0000-00001E2C0000}"/>
    <cellStyle name="Normal 2 2 2 2 2 2 25 4 6" xfId="11295" xr:uid="{00000000-0005-0000-0000-00001F2C0000}"/>
    <cellStyle name="Normal 2 2 2 2 2 2 25 4 7" xfId="11296" xr:uid="{00000000-0005-0000-0000-0000202C0000}"/>
    <cellStyle name="Normal 2 2 2 2 2 2 25 4 8" xfId="11297" xr:uid="{00000000-0005-0000-0000-0000212C0000}"/>
    <cellStyle name="Normal 2 2 2 2 2 2 25 4 9" xfId="11298" xr:uid="{00000000-0005-0000-0000-0000222C0000}"/>
    <cellStyle name="Normal 2 2 2 2 2 2 25 5" xfId="11299" xr:uid="{00000000-0005-0000-0000-0000232C0000}"/>
    <cellStyle name="Normal 2 2 2 2 2 2 25 5 10" xfId="11300" xr:uid="{00000000-0005-0000-0000-0000242C0000}"/>
    <cellStyle name="Normal 2 2 2 2 2 2 25 5 2" xfId="11301" xr:uid="{00000000-0005-0000-0000-0000252C0000}"/>
    <cellStyle name="Normal 2 2 2 2 2 2 25 5 3" xfId="11302" xr:uid="{00000000-0005-0000-0000-0000262C0000}"/>
    <cellStyle name="Normal 2 2 2 2 2 2 25 5 4" xfId="11303" xr:uid="{00000000-0005-0000-0000-0000272C0000}"/>
    <cellStyle name="Normal 2 2 2 2 2 2 25 5 5" xfId="11304" xr:uid="{00000000-0005-0000-0000-0000282C0000}"/>
    <cellStyle name="Normal 2 2 2 2 2 2 25 5 6" xfId="11305" xr:uid="{00000000-0005-0000-0000-0000292C0000}"/>
    <cellStyle name="Normal 2 2 2 2 2 2 25 5 7" xfId="11306" xr:uid="{00000000-0005-0000-0000-00002A2C0000}"/>
    <cellStyle name="Normal 2 2 2 2 2 2 25 5 8" xfId="11307" xr:uid="{00000000-0005-0000-0000-00002B2C0000}"/>
    <cellStyle name="Normal 2 2 2 2 2 2 25 5 9" xfId="11308" xr:uid="{00000000-0005-0000-0000-00002C2C0000}"/>
    <cellStyle name="Normal 2 2 2 2 2 2 25 6" xfId="11309" xr:uid="{00000000-0005-0000-0000-00002D2C0000}"/>
    <cellStyle name="Normal 2 2 2 2 2 2 25 7" xfId="11310" xr:uid="{00000000-0005-0000-0000-00002E2C0000}"/>
    <cellStyle name="Normal 2 2 2 2 2 2 25 8" xfId="11311" xr:uid="{00000000-0005-0000-0000-00002F2C0000}"/>
    <cellStyle name="Normal 2 2 2 2 2 2 25 9" xfId="11312" xr:uid="{00000000-0005-0000-0000-0000302C0000}"/>
    <cellStyle name="Normal 2 2 2 2 2 2 26" xfId="11313" xr:uid="{00000000-0005-0000-0000-0000312C0000}"/>
    <cellStyle name="Normal 2 2 2 2 2 2 26 10" xfId="11314" xr:uid="{00000000-0005-0000-0000-0000322C0000}"/>
    <cellStyle name="Normal 2 2 2 2 2 2 26 11" xfId="11315" xr:uid="{00000000-0005-0000-0000-0000332C0000}"/>
    <cellStyle name="Normal 2 2 2 2 2 2 26 12" xfId="11316" xr:uid="{00000000-0005-0000-0000-0000342C0000}"/>
    <cellStyle name="Normal 2 2 2 2 2 2 26 13" xfId="11317" xr:uid="{00000000-0005-0000-0000-0000352C0000}"/>
    <cellStyle name="Normal 2 2 2 2 2 2 26 14" xfId="11318" xr:uid="{00000000-0005-0000-0000-0000362C0000}"/>
    <cellStyle name="Normal 2 2 2 2 2 2 26 2" xfId="11319" xr:uid="{00000000-0005-0000-0000-0000372C0000}"/>
    <cellStyle name="Normal 2 2 2 2 2 2 26 2 10" xfId="11320" xr:uid="{00000000-0005-0000-0000-0000382C0000}"/>
    <cellStyle name="Normal 2 2 2 2 2 2 26 2 2" xfId="11321" xr:uid="{00000000-0005-0000-0000-0000392C0000}"/>
    <cellStyle name="Normal 2 2 2 2 2 2 26 2 3" xfId="11322" xr:uid="{00000000-0005-0000-0000-00003A2C0000}"/>
    <cellStyle name="Normal 2 2 2 2 2 2 26 2 4" xfId="11323" xr:uid="{00000000-0005-0000-0000-00003B2C0000}"/>
    <cellStyle name="Normal 2 2 2 2 2 2 26 2 5" xfId="11324" xr:uid="{00000000-0005-0000-0000-00003C2C0000}"/>
    <cellStyle name="Normal 2 2 2 2 2 2 26 2 6" xfId="11325" xr:uid="{00000000-0005-0000-0000-00003D2C0000}"/>
    <cellStyle name="Normal 2 2 2 2 2 2 26 2 7" xfId="11326" xr:uid="{00000000-0005-0000-0000-00003E2C0000}"/>
    <cellStyle name="Normal 2 2 2 2 2 2 26 2 8" xfId="11327" xr:uid="{00000000-0005-0000-0000-00003F2C0000}"/>
    <cellStyle name="Normal 2 2 2 2 2 2 26 2 9" xfId="11328" xr:uid="{00000000-0005-0000-0000-0000402C0000}"/>
    <cellStyle name="Normal 2 2 2 2 2 2 26 3" xfId="11329" xr:uid="{00000000-0005-0000-0000-0000412C0000}"/>
    <cellStyle name="Normal 2 2 2 2 2 2 26 3 10" xfId="11330" xr:uid="{00000000-0005-0000-0000-0000422C0000}"/>
    <cellStyle name="Normal 2 2 2 2 2 2 26 3 2" xfId="11331" xr:uid="{00000000-0005-0000-0000-0000432C0000}"/>
    <cellStyle name="Normal 2 2 2 2 2 2 26 3 3" xfId="11332" xr:uid="{00000000-0005-0000-0000-0000442C0000}"/>
    <cellStyle name="Normal 2 2 2 2 2 2 26 3 4" xfId="11333" xr:uid="{00000000-0005-0000-0000-0000452C0000}"/>
    <cellStyle name="Normal 2 2 2 2 2 2 26 3 5" xfId="11334" xr:uid="{00000000-0005-0000-0000-0000462C0000}"/>
    <cellStyle name="Normal 2 2 2 2 2 2 26 3 6" xfId="11335" xr:uid="{00000000-0005-0000-0000-0000472C0000}"/>
    <cellStyle name="Normal 2 2 2 2 2 2 26 3 7" xfId="11336" xr:uid="{00000000-0005-0000-0000-0000482C0000}"/>
    <cellStyle name="Normal 2 2 2 2 2 2 26 3 8" xfId="11337" xr:uid="{00000000-0005-0000-0000-0000492C0000}"/>
    <cellStyle name="Normal 2 2 2 2 2 2 26 3 9" xfId="11338" xr:uid="{00000000-0005-0000-0000-00004A2C0000}"/>
    <cellStyle name="Normal 2 2 2 2 2 2 26 4" xfId="11339" xr:uid="{00000000-0005-0000-0000-00004B2C0000}"/>
    <cellStyle name="Normal 2 2 2 2 2 2 26 4 10" xfId="11340" xr:uid="{00000000-0005-0000-0000-00004C2C0000}"/>
    <cellStyle name="Normal 2 2 2 2 2 2 26 4 2" xfId="11341" xr:uid="{00000000-0005-0000-0000-00004D2C0000}"/>
    <cellStyle name="Normal 2 2 2 2 2 2 26 4 3" xfId="11342" xr:uid="{00000000-0005-0000-0000-00004E2C0000}"/>
    <cellStyle name="Normal 2 2 2 2 2 2 26 4 4" xfId="11343" xr:uid="{00000000-0005-0000-0000-00004F2C0000}"/>
    <cellStyle name="Normal 2 2 2 2 2 2 26 4 5" xfId="11344" xr:uid="{00000000-0005-0000-0000-0000502C0000}"/>
    <cellStyle name="Normal 2 2 2 2 2 2 26 4 6" xfId="11345" xr:uid="{00000000-0005-0000-0000-0000512C0000}"/>
    <cellStyle name="Normal 2 2 2 2 2 2 26 4 7" xfId="11346" xr:uid="{00000000-0005-0000-0000-0000522C0000}"/>
    <cellStyle name="Normal 2 2 2 2 2 2 26 4 8" xfId="11347" xr:uid="{00000000-0005-0000-0000-0000532C0000}"/>
    <cellStyle name="Normal 2 2 2 2 2 2 26 4 9" xfId="11348" xr:uid="{00000000-0005-0000-0000-0000542C0000}"/>
    <cellStyle name="Normal 2 2 2 2 2 2 26 5" xfId="11349" xr:uid="{00000000-0005-0000-0000-0000552C0000}"/>
    <cellStyle name="Normal 2 2 2 2 2 2 26 5 10" xfId="11350" xr:uid="{00000000-0005-0000-0000-0000562C0000}"/>
    <cellStyle name="Normal 2 2 2 2 2 2 26 5 2" xfId="11351" xr:uid="{00000000-0005-0000-0000-0000572C0000}"/>
    <cellStyle name="Normal 2 2 2 2 2 2 26 5 3" xfId="11352" xr:uid="{00000000-0005-0000-0000-0000582C0000}"/>
    <cellStyle name="Normal 2 2 2 2 2 2 26 5 4" xfId="11353" xr:uid="{00000000-0005-0000-0000-0000592C0000}"/>
    <cellStyle name="Normal 2 2 2 2 2 2 26 5 5" xfId="11354" xr:uid="{00000000-0005-0000-0000-00005A2C0000}"/>
    <cellStyle name="Normal 2 2 2 2 2 2 26 5 6" xfId="11355" xr:uid="{00000000-0005-0000-0000-00005B2C0000}"/>
    <cellStyle name="Normal 2 2 2 2 2 2 26 5 7" xfId="11356" xr:uid="{00000000-0005-0000-0000-00005C2C0000}"/>
    <cellStyle name="Normal 2 2 2 2 2 2 26 5 8" xfId="11357" xr:uid="{00000000-0005-0000-0000-00005D2C0000}"/>
    <cellStyle name="Normal 2 2 2 2 2 2 26 5 9" xfId="11358" xr:uid="{00000000-0005-0000-0000-00005E2C0000}"/>
    <cellStyle name="Normal 2 2 2 2 2 2 26 6" xfId="11359" xr:uid="{00000000-0005-0000-0000-00005F2C0000}"/>
    <cellStyle name="Normal 2 2 2 2 2 2 26 7" xfId="11360" xr:uid="{00000000-0005-0000-0000-0000602C0000}"/>
    <cellStyle name="Normal 2 2 2 2 2 2 26 8" xfId="11361" xr:uid="{00000000-0005-0000-0000-0000612C0000}"/>
    <cellStyle name="Normal 2 2 2 2 2 2 26 9" xfId="11362" xr:uid="{00000000-0005-0000-0000-0000622C0000}"/>
    <cellStyle name="Normal 2 2 2 2 2 2 27" xfId="11363" xr:uid="{00000000-0005-0000-0000-0000632C0000}"/>
    <cellStyle name="Normal 2 2 2 2 2 2 27 10" xfId="11364" xr:uid="{00000000-0005-0000-0000-0000642C0000}"/>
    <cellStyle name="Normal 2 2 2 2 2 2 27 11" xfId="11365" xr:uid="{00000000-0005-0000-0000-0000652C0000}"/>
    <cellStyle name="Normal 2 2 2 2 2 2 27 12" xfId="11366" xr:uid="{00000000-0005-0000-0000-0000662C0000}"/>
    <cellStyle name="Normal 2 2 2 2 2 2 27 13" xfId="11367" xr:uid="{00000000-0005-0000-0000-0000672C0000}"/>
    <cellStyle name="Normal 2 2 2 2 2 2 27 14" xfId="11368" xr:uid="{00000000-0005-0000-0000-0000682C0000}"/>
    <cellStyle name="Normal 2 2 2 2 2 2 27 2" xfId="11369" xr:uid="{00000000-0005-0000-0000-0000692C0000}"/>
    <cellStyle name="Normal 2 2 2 2 2 2 27 2 10" xfId="11370" xr:uid="{00000000-0005-0000-0000-00006A2C0000}"/>
    <cellStyle name="Normal 2 2 2 2 2 2 27 2 2" xfId="11371" xr:uid="{00000000-0005-0000-0000-00006B2C0000}"/>
    <cellStyle name="Normal 2 2 2 2 2 2 27 2 3" xfId="11372" xr:uid="{00000000-0005-0000-0000-00006C2C0000}"/>
    <cellStyle name="Normal 2 2 2 2 2 2 27 2 4" xfId="11373" xr:uid="{00000000-0005-0000-0000-00006D2C0000}"/>
    <cellStyle name="Normal 2 2 2 2 2 2 27 2 5" xfId="11374" xr:uid="{00000000-0005-0000-0000-00006E2C0000}"/>
    <cellStyle name="Normal 2 2 2 2 2 2 27 2 6" xfId="11375" xr:uid="{00000000-0005-0000-0000-00006F2C0000}"/>
    <cellStyle name="Normal 2 2 2 2 2 2 27 2 7" xfId="11376" xr:uid="{00000000-0005-0000-0000-0000702C0000}"/>
    <cellStyle name="Normal 2 2 2 2 2 2 27 2 8" xfId="11377" xr:uid="{00000000-0005-0000-0000-0000712C0000}"/>
    <cellStyle name="Normal 2 2 2 2 2 2 27 2 9" xfId="11378" xr:uid="{00000000-0005-0000-0000-0000722C0000}"/>
    <cellStyle name="Normal 2 2 2 2 2 2 27 3" xfId="11379" xr:uid="{00000000-0005-0000-0000-0000732C0000}"/>
    <cellStyle name="Normal 2 2 2 2 2 2 27 3 10" xfId="11380" xr:uid="{00000000-0005-0000-0000-0000742C0000}"/>
    <cellStyle name="Normal 2 2 2 2 2 2 27 3 2" xfId="11381" xr:uid="{00000000-0005-0000-0000-0000752C0000}"/>
    <cellStyle name="Normal 2 2 2 2 2 2 27 3 3" xfId="11382" xr:uid="{00000000-0005-0000-0000-0000762C0000}"/>
    <cellStyle name="Normal 2 2 2 2 2 2 27 3 4" xfId="11383" xr:uid="{00000000-0005-0000-0000-0000772C0000}"/>
    <cellStyle name="Normal 2 2 2 2 2 2 27 3 5" xfId="11384" xr:uid="{00000000-0005-0000-0000-0000782C0000}"/>
    <cellStyle name="Normal 2 2 2 2 2 2 27 3 6" xfId="11385" xr:uid="{00000000-0005-0000-0000-0000792C0000}"/>
    <cellStyle name="Normal 2 2 2 2 2 2 27 3 7" xfId="11386" xr:uid="{00000000-0005-0000-0000-00007A2C0000}"/>
    <cellStyle name="Normal 2 2 2 2 2 2 27 3 8" xfId="11387" xr:uid="{00000000-0005-0000-0000-00007B2C0000}"/>
    <cellStyle name="Normal 2 2 2 2 2 2 27 3 9" xfId="11388" xr:uid="{00000000-0005-0000-0000-00007C2C0000}"/>
    <cellStyle name="Normal 2 2 2 2 2 2 27 4" xfId="11389" xr:uid="{00000000-0005-0000-0000-00007D2C0000}"/>
    <cellStyle name="Normal 2 2 2 2 2 2 27 4 10" xfId="11390" xr:uid="{00000000-0005-0000-0000-00007E2C0000}"/>
    <cellStyle name="Normal 2 2 2 2 2 2 27 4 2" xfId="11391" xr:uid="{00000000-0005-0000-0000-00007F2C0000}"/>
    <cellStyle name="Normal 2 2 2 2 2 2 27 4 3" xfId="11392" xr:uid="{00000000-0005-0000-0000-0000802C0000}"/>
    <cellStyle name="Normal 2 2 2 2 2 2 27 4 4" xfId="11393" xr:uid="{00000000-0005-0000-0000-0000812C0000}"/>
    <cellStyle name="Normal 2 2 2 2 2 2 27 4 5" xfId="11394" xr:uid="{00000000-0005-0000-0000-0000822C0000}"/>
    <cellStyle name="Normal 2 2 2 2 2 2 27 4 6" xfId="11395" xr:uid="{00000000-0005-0000-0000-0000832C0000}"/>
    <cellStyle name="Normal 2 2 2 2 2 2 27 4 7" xfId="11396" xr:uid="{00000000-0005-0000-0000-0000842C0000}"/>
    <cellStyle name="Normal 2 2 2 2 2 2 27 4 8" xfId="11397" xr:uid="{00000000-0005-0000-0000-0000852C0000}"/>
    <cellStyle name="Normal 2 2 2 2 2 2 27 4 9" xfId="11398" xr:uid="{00000000-0005-0000-0000-0000862C0000}"/>
    <cellStyle name="Normal 2 2 2 2 2 2 27 5" xfId="11399" xr:uid="{00000000-0005-0000-0000-0000872C0000}"/>
    <cellStyle name="Normal 2 2 2 2 2 2 27 5 10" xfId="11400" xr:uid="{00000000-0005-0000-0000-0000882C0000}"/>
    <cellStyle name="Normal 2 2 2 2 2 2 27 5 2" xfId="11401" xr:uid="{00000000-0005-0000-0000-0000892C0000}"/>
    <cellStyle name="Normal 2 2 2 2 2 2 27 5 3" xfId="11402" xr:uid="{00000000-0005-0000-0000-00008A2C0000}"/>
    <cellStyle name="Normal 2 2 2 2 2 2 27 5 4" xfId="11403" xr:uid="{00000000-0005-0000-0000-00008B2C0000}"/>
    <cellStyle name="Normal 2 2 2 2 2 2 27 5 5" xfId="11404" xr:uid="{00000000-0005-0000-0000-00008C2C0000}"/>
    <cellStyle name="Normal 2 2 2 2 2 2 27 5 6" xfId="11405" xr:uid="{00000000-0005-0000-0000-00008D2C0000}"/>
    <cellStyle name="Normal 2 2 2 2 2 2 27 5 7" xfId="11406" xr:uid="{00000000-0005-0000-0000-00008E2C0000}"/>
    <cellStyle name="Normal 2 2 2 2 2 2 27 5 8" xfId="11407" xr:uid="{00000000-0005-0000-0000-00008F2C0000}"/>
    <cellStyle name="Normal 2 2 2 2 2 2 27 5 9" xfId="11408" xr:uid="{00000000-0005-0000-0000-0000902C0000}"/>
    <cellStyle name="Normal 2 2 2 2 2 2 27 6" xfId="11409" xr:uid="{00000000-0005-0000-0000-0000912C0000}"/>
    <cellStyle name="Normal 2 2 2 2 2 2 27 7" xfId="11410" xr:uid="{00000000-0005-0000-0000-0000922C0000}"/>
    <cellStyle name="Normal 2 2 2 2 2 2 27 8" xfId="11411" xr:uid="{00000000-0005-0000-0000-0000932C0000}"/>
    <cellStyle name="Normal 2 2 2 2 2 2 27 9" xfId="11412" xr:uid="{00000000-0005-0000-0000-0000942C0000}"/>
    <cellStyle name="Normal 2 2 2 2 2 2 28" xfId="11413" xr:uid="{00000000-0005-0000-0000-0000952C0000}"/>
    <cellStyle name="Normal 2 2 2 2 2 2 28 10" xfId="11414" xr:uid="{00000000-0005-0000-0000-0000962C0000}"/>
    <cellStyle name="Normal 2 2 2 2 2 2 28 11" xfId="11415" xr:uid="{00000000-0005-0000-0000-0000972C0000}"/>
    <cellStyle name="Normal 2 2 2 2 2 2 28 12" xfId="11416" xr:uid="{00000000-0005-0000-0000-0000982C0000}"/>
    <cellStyle name="Normal 2 2 2 2 2 2 28 13" xfId="11417" xr:uid="{00000000-0005-0000-0000-0000992C0000}"/>
    <cellStyle name="Normal 2 2 2 2 2 2 28 14" xfId="11418" xr:uid="{00000000-0005-0000-0000-00009A2C0000}"/>
    <cellStyle name="Normal 2 2 2 2 2 2 28 2" xfId="11419" xr:uid="{00000000-0005-0000-0000-00009B2C0000}"/>
    <cellStyle name="Normal 2 2 2 2 2 2 28 2 10" xfId="11420" xr:uid="{00000000-0005-0000-0000-00009C2C0000}"/>
    <cellStyle name="Normal 2 2 2 2 2 2 28 2 2" xfId="11421" xr:uid="{00000000-0005-0000-0000-00009D2C0000}"/>
    <cellStyle name="Normal 2 2 2 2 2 2 28 2 3" xfId="11422" xr:uid="{00000000-0005-0000-0000-00009E2C0000}"/>
    <cellStyle name="Normal 2 2 2 2 2 2 28 2 4" xfId="11423" xr:uid="{00000000-0005-0000-0000-00009F2C0000}"/>
    <cellStyle name="Normal 2 2 2 2 2 2 28 2 5" xfId="11424" xr:uid="{00000000-0005-0000-0000-0000A02C0000}"/>
    <cellStyle name="Normal 2 2 2 2 2 2 28 2 6" xfId="11425" xr:uid="{00000000-0005-0000-0000-0000A12C0000}"/>
    <cellStyle name="Normal 2 2 2 2 2 2 28 2 7" xfId="11426" xr:uid="{00000000-0005-0000-0000-0000A22C0000}"/>
    <cellStyle name="Normal 2 2 2 2 2 2 28 2 8" xfId="11427" xr:uid="{00000000-0005-0000-0000-0000A32C0000}"/>
    <cellStyle name="Normal 2 2 2 2 2 2 28 2 9" xfId="11428" xr:uid="{00000000-0005-0000-0000-0000A42C0000}"/>
    <cellStyle name="Normal 2 2 2 2 2 2 28 3" xfId="11429" xr:uid="{00000000-0005-0000-0000-0000A52C0000}"/>
    <cellStyle name="Normal 2 2 2 2 2 2 28 3 10" xfId="11430" xr:uid="{00000000-0005-0000-0000-0000A62C0000}"/>
    <cellStyle name="Normal 2 2 2 2 2 2 28 3 2" xfId="11431" xr:uid="{00000000-0005-0000-0000-0000A72C0000}"/>
    <cellStyle name="Normal 2 2 2 2 2 2 28 3 3" xfId="11432" xr:uid="{00000000-0005-0000-0000-0000A82C0000}"/>
    <cellStyle name="Normal 2 2 2 2 2 2 28 3 4" xfId="11433" xr:uid="{00000000-0005-0000-0000-0000A92C0000}"/>
    <cellStyle name="Normal 2 2 2 2 2 2 28 3 5" xfId="11434" xr:uid="{00000000-0005-0000-0000-0000AA2C0000}"/>
    <cellStyle name="Normal 2 2 2 2 2 2 28 3 6" xfId="11435" xr:uid="{00000000-0005-0000-0000-0000AB2C0000}"/>
    <cellStyle name="Normal 2 2 2 2 2 2 28 3 7" xfId="11436" xr:uid="{00000000-0005-0000-0000-0000AC2C0000}"/>
    <cellStyle name="Normal 2 2 2 2 2 2 28 3 8" xfId="11437" xr:uid="{00000000-0005-0000-0000-0000AD2C0000}"/>
    <cellStyle name="Normal 2 2 2 2 2 2 28 3 9" xfId="11438" xr:uid="{00000000-0005-0000-0000-0000AE2C0000}"/>
    <cellStyle name="Normal 2 2 2 2 2 2 28 4" xfId="11439" xr:uid="{00000000-0005-0000-0000-0000AF2C0000}"/>
    <cellStyle name="Normal 2 2 2 2 2 2 28 4 10" xfId="11440" xr:uid="{00000000-0005-0000-0000-0000B02C0000}"/>
    <cellStyle name="Normal 2 2 2 2 2 2 28 4 2" xfId="11441" xr:uid="{00000000-0005-0000-0000-0000B12C0000}"/>
    <cellStyle name="Normal 2 2 2 2 2 2 28 4 3" xfId="11442" xr:uid="{00000000-0005-0000-0000-0000B22C0000}"/>
    <cellStyle name="Normal 2 2 2 2 2 2 28 4 4" xfId="11443" xr:uid="{00000000-0005-0000-0000-0000B32C0000}"/>
    <cellStyle name="Normal 2 2 2 2 2 2 28 4 5" xfId="11444" xr:uid="{00000000-0005-0000-0000-0000B42C0000}"/>
    <cellStyle name="Normal 2 2 2 2 2 2 28 4 6" xfId="11445" xr:uid="{00000000-0005-0000-0000-0000B52C0000}"/>
    <cellStyle name="Normal 2 2 2 2 2 2 28 4 7" xfId="11446" xr:uid="{00000000-0005-0000-0000-0000B62C0000}"/>
    <cellStyle name="Normal 2 2 2 2 2 2 28 4 8" xfId="11447" xr:uid="{00000000-0005-0000-0000-0000B72C0000}"/>
    <cellStyle name="Normal 2 2 2 2 2 2 28 4 9" xfId="11448" xr:uid="{00000000-0005-0000-0000-0000B82C0000}"/>
    <cellStyle name="Normal 2 2 2 2 2 2 28 5" xfId="11449" xr:uid="{00000000-0005-0000-0000-0000B92C0000}"/>
    <cellStyle name="Normal 2 2 2 2 2 2 28 5 10" xfId="11450" xr:uid="{00000000-0005-0000-0000-0000BA2C0000}"/>
    <cellStyle name="Normal 2 2 2 2 2 2 28 5 2" xfId="11451" xr:uid="{00000000-0005-0000-0000-0000BB2C0000}"/>
    <cellStyle name="Normal 2 2 2 2 2 2 28 5 3" xfId="11452" xr:uid="{00000000-0005-0000-0000-0000BC2C0000}"/>
    <cellStyle name="Normal 2 2 2 2 2 2 28 5 4" xfId="11453" xr:uid="{00000000-0005-0000-0000-0000BD2C0000}"/>
    <cellStyle name="Normal 2 2 2 2 2 2 28 5 5" xfId="11454" xr:uid="{00000000-0005-0000-0000-0000BE2C0000}"/>
    <cellStyle name="Normal 2 2 2 2 2 2 28 5 6" xfId="11455" xr:uid="{00000000-0005-0000-0000-0000BF2C0000}"/>
    <cellStyle name="Normal 2 2 2 2 2 2 28 5 7" xfId="11456" xr:uid="{00000000-0005-0000-0000-0000C02C0000}"/>
    <cellStyle name="Normal 2 2 2 2 2 2 28 5 8" xfId="11457" xr:uid="{00000000-0005-0000-0000-0000C12C0000}"/>
    <cellStyle name="Normal 2 2 2 2 2 2 28 5 9" xfId="11458" xr:uid="{00000000-0005-0000-0000-0000C22C0000}"/>
    <cellStyle name="Normal 2 2 2 2 2 2 28 6" xfId="11459" xr:uid="{00000000-0005-0000-0000-0000C32C0000}"/>
    <cellStyle name="Normal 2 2 2 2 2 2 28 7" xfId="11460" xr:uid="{00000000-0005-0000-0000-0000C42C0000}"/>
    <cellStyle name="Normal 2 2 2 2 2 2 28 8" xfId="11461" xr:uid="{00000000-0005-0000-0000-0000C52C0000}"/>
    <cellStyle name="Normal 2 2 2 2 2 2 28 9" xfId="11462" xr:uid="{00000000-0005-0000-0000-0000C62C0000}"/>
    <cellStyle name="Normal 2 2 2 2 2 2 29" xfId="11463" xr:uid="{00000000-0005-0000-0000-0000C72C0000}"/>
    <cellStyle name="Normal 2 2 2 2 2 2 29 10" xfId="11464" xr:uid="{00000000-0005-0000-0000-0000C82C0000}"/>
    <cellStyle name="Normal 2 2 2 2 2 2 29 11" xfId="11465" xr:uid="{00000000-0005-0000-0000-0000C92C0000}"/>
    <cellStyle name="Normal 2 2 2 2 2 2 29 12" xfId="11466" xr:uid="{00000000-0005-0000-0000-0000CA2C0000}"/>
    <cellStyle name="Normal 2 2 2 2 2 2 29 13" xfId="11467" xr:uid="{00000000-0005-0000-0000-0000CB2C0000}"/>
    <cellStyle name="Normal 2 2 2 2 2 2 29 14" xfId="11468" xr:uid="{00000000-0005-0000-0000-0000CC2C0000}"/>
    <cellStyle name="Normal 2 2 2 2 2 2 29 2" xfId="11469" xr:uid="{00000000-0005-0000-0000-0000CD2C0000}"/>
    <cellStyle name="Normal 2 2 2 2 2 2 29 2 10" xfId="11470" xr:uid="{00000000-0005-0000-0000-0000CE2C0000}"/>
    <cellStyle name="Normal 2 2 2 2 2 2 29 2 2" xfId="11471" xr:uid="{00000000-0005-0000-0000-0000CF2C0000}"/>
    <cellStyle name="Normal 2 2 2 2 2 2 29 2 3" xfId="11472" xr:uid="{00000000-0005-0000-0000-0000D02C0000}"/>
    <cellStyle name="Normal 2 2 2 2 2 2 29 2 4" xfId="11473" xr:uid="{00000000-0005-0000-0000-0000D12C0000}"/>
    <cellStyle name="Normal 2 2 2 2 2 2 29 2 5" xfId="11474" xr:uid="{00000000-0005-0000-0000-0000D22C0000}"/>
    <cellStyle name="Normal 2 2 2 2 2 2 29 2 6" xfId="11475" xr:uid="{00000000-0005-0000-0000-0000D32C0000}"/>
    <cellStyle name="Normal 2 2 2 2 2 2 29 2 7" xfId="11476" xr:uid="{00000000-0005-0000-0000-0000D42C0000}"/>
    <cellStyle name="Normal 2 2 2 2 2 2 29 2 8" xfId="11477" xr:uid="{00000000-0005-0000-0000-0000D52C0000}"/>
    <cellStyle name="Normal 2 2 2 2 2 2 29 2 9" xfId="11478" xr:uid="{00000000-0005-0000-0000-0000D62C0000}"/>
    <cellStyle name="Normal 2 2 2 2 2 2 29 3" xfId="11479" xr:uid="{00000000-0005-0000-0000-0000D72C0000}"/>
    <cellStyle name="Normal 2 2 2 2 2 2 29 3 10" xfId="11480" xr:uid="{00000000-0005-0000-0000-0000D82C0000}"/>
    <cellStyle name="Normal 2 2 2 2 2 2 29 3 2" xfId="11481" xr:uid="{00000000-0005-0000-0000-0000D92C0000}"/>
    <cellStyle name="Normal 2 2 2 2 2 2 29 3 3" xfId="11482" xr:uid="{00000000-0005-0000-0000-0000DA2C0000}"/>
    <cellStyle name="Normal 2 2 2 2 2 2 29 3 4" xfId="11483" xr:uid="{00000000-0005-0000-0000-0000DB2C0000}"/>
    <cellStyle name="Normal 2 2 2 2 2 2 29 3 5" xfId="11484" xr:uid="{00000000-0005-0000-0000-0000DC2C0000}"/>
    <cellStyle name="Normal 2 2 2 2 2 2 29 3 6" xfId="11485" xr:uid="{00000000-0005-0000-0000-0000DD2C0000}"/>
    <cellStyle name="Normal 2 2 2 2 2 2 29 3 7" xfId="11486" xr:uid="{00000000-0005-0000-0000-0000DE2C0000}"/>
    <cellStyle name="Normal 2 2 2 2 2 2 29 3 8" xfId="11487" xr:uid="{00000000-0005-0000-0000-0000DF2C0000}"/>
    <cellStyle name="Normal 2 2 2 2 2 2 29 3 9" xfId="11488" xr:uid="{00000000-0005-0000-0000-0000E02C0000}"/>
    <cellStyle name="Normal 2 2 2 2 2 2 29 4" xfId="11489" xr:uid="{00000000-0005-0000-0000-0000E12C0000}"/>
    <cellStyle name="Normal 2 2 2 2 2 2 29 4 10" xfId="11490" xr:uid="{00000000-0005-0000-0000-0000E22C0000}"/>
    <cellStyle name="Normal 2 2 2 2 2 2 29 4 2" xfId="11491" xr:uid="{00000000-0005-0000-0000-0000E32C0000}"/>
    <cellStyle name="Normal 2 2 2 2 2 2 29 4 3" xfId="11492" xr:uid="{00000000-0005-0000-0000-0000E42C0000}"/>
    <cellStyle name="Normal 2 2 2 2 2 2 29 4 4" xfId="11493" xr:uid="{00000000-0005-0000-0000-0000E52C0000}"/>
    <cellStyle name="Normal 2 2 2 2 2 2 29 4 5" xfId="11494" xr:uid="{00000000-0005-0000-0000-0000E62C0000}"/>
    <cellStyle name="Normal 2 2 2 2 2 2 29 4 6" xfId="11495" xr:uid="{00000000-0005-0000-0000-0000E72C0000}"/>
    <cellStyle name="Normal 2 2 2 2 2 2 29 4 7" xfId="11496" xr:uid="{00000000-0005-0000-0000-0000E82C0000}"/>
    <cellStyle name="Normal 2 2 2 2 2 2 29 4 8" xfId="11497" xr:uid="{00000000-0005-0000-0000-0000E92C0000}"/>
    <cellStyle name="Normal 2 2 2 2 2 2 29 4 9" xfId="11498" xr:uid="{00000000-0005-0000-0000-0000EA2C0000}"/>
    <cellStyle name="Normal 2 2 2 2 2 2 29 5" xfId="11499" xr:uid="{00000000-0005-0000-0000-0000EB2C0000}"/>
    <cellStyle name="Normal 2 2 2 2 2 2 29 5 10" xfId="11500" xr:uid="{00000000-0005-0000-0000-0000EC2C0000}"/>
    <cellStyle name="Normal 2 2 2 2 2 2 29 5 2" xfId="11501" xr:uid="{00000000-0005-0000-0000-0000ED2C0000}"/>
    <cellStyle name="Normal 2 2 2 2 2 2 29 5 3" xfId="11502" xr:uid="{00000000-0005-0000-0000-0000EE2C0000}"/>
    <cellStyle name="Normal 2 2 2 2 2 2 29 5 4" xfId="11503" xr:uid="{00000000-0005-0000-0000-0000EF2C0000}"/>
    <cellStyle name="Normal 2 2 2 2 2 2 29 5 5" xfId="11504" xr:uid="{00000000-0005-0000-0000-0000F02C0000}"/>
    <cellStyle name="Normal 2 2 2 2 2 2 29 5 6" xfId="11505" xr:uid="{00000000-0005-0000-0000-0000F12C0000}"/>
    <cellStyle name="Normal 2 2 2 2 2 2 29 5 7" xfId="11506" xr:uid="{00000000-0005-0000-0000-0000F22C0000}"/>
    <cellStyle name="Normal 2 2 2 2 2 2 29 5 8" xfId="11507" xr:uid="{00000000-0005-0000-0000-0000F32C0000}"/>
    <cellStyle name="Normal 2 2 2 2 2 2 29 5 9" xfId="11508" xr:uid="{00000000-0005-0000-0000-0000F42C0000}"/>
    <cellStyle name="Normal 2 2 2 2 2 2 29 6" xfId="11509" xr:uid="{00000000-0005-0000-0000-0000F52C0000}"/>
    <cellStyle name="Normal 2 2 2 2 2 2 29 7" xfId="11510" xr:uid="{00000000-0005-0000-0000-0000F62C0000}"/>
    <cellStyle name="Normal 2 2 2 2 2 2 29 8" xfId="11511" xr:uid="{00000000-0005-0000-0000-0000F72C0000}"/>
    <cellStyle name="Normal 2 2 2 2 2 2 29 9" xfId="11512" xr:uid="{00000000-0005-0000-0000-0000F82C0000}"/>
    <cellStyle name="Normal 2 2 2 2 2 2 3" xfId="11513" xr:uid="{00000000-0005-0000-0000-0000F92C0000}"/>
    <cellStyle name="Normal 2 2 2 2 2 2 3 10" xfId="11514" xr:uid="{00000000-0005-0000-0000-0000FA2C0000}"/>
    <cellStyle name="Normal 2 2 2 2 2 2 3 11" xfId="11515" xr:uid="{00000000-0005-0000-0000-0000FB2C0000}"/>
    <cellStyle name="Normal 2 2 2 2 2 2 3 12" xfId="11516" xr:uid="{00000000-0005-0000-0000-0000FC2C0000}"/>
    <cellStyle name="Normal 2 2 2 2 2 2 3 13" xfId="11517" xr:uid="{00000000-0005-0000-0000-0000FD2C0000}"/>
    <cellStyle name="Normal 2 2 2 2 2 2 3 14" xfId="11518" xr:uid="{00000000-0005-0000-0000-0000FE2C0000}"/>
    <cellStyle name="Normal 2 2 2 2 2 2 3 15" xfId="11519" xr:uid="{00000000-0005-0000-0000-0000FF2C0000}"/>
    <cellStyle name="Normal 2 2 2 2 2 2 3 16" xfId="11520" xr:uid="{00000000-0005-0000-0000-0000002D0000}"/>
    <cellStyle name="Normal 2 2 2 2 2 2 3 2" xfId="11521" xr:uid="{00000000-0005-0000-0000-0000012D0000}"/>
    <cellStyle name="Normal 2 2 2 2 2 2 3 2 10" xfId="11522" xr:uid="{00000000-0005-0000-0000-0000022D0000}"/>
    <cellStyle name="Normal 2 2 2 2 2 2 3 2 2" xfId="11523" xr:uid="{00000000-0005-0000-0000-0000032D0000}"/>
    <cellStyle name="Normal 2 2 2 2 2 2 3 2 3" xfId="11524" xr:uid="{00000000-0005-0000-0000-0000042D0000}"/>
    <cellStyle name="Normal 2 2 2 2 2 2 3 2 4" xfId="11525" xr:uid="{00000000-0005-0000-0000-0000052D0000}"/>
    <cellStyle name="Normal 2 2 2 2 2 2 3 2 5" xfId="11526" xr:uid="{00000000-0005-0000-0000-0000062D0000}"/>
    <cellStyle name="Normal 2 2 2 2 2 2 3 2 6" xfId="11527" xr:uid="{00000000-0005-0000-0000-0000072D0000}"/>
    <cellStyle name="Normal 2 2 2 2 2 2 3 2 7" xfId="11528" xr:uid="{00000000-0005-0000-0000-0000082D0000}"/>
    <cellStyle name="Normal 2 2 2 2 2 2 3 2 8" xfId="11529" xr:uid="{00000000-0005-0000-0000-0000092D0000}"/>
    <cellStyle name="Normal 2 2 2 2 2 2 3 2 9" xfId="11530" xr:uid="{00000000-0005-0000-0000-00000A2D0000}"/>
    <cellStyle name="Normal 2 2 2 2 2 2 3 3" xfId="11531" xr:uid="{00000000-0005-0000-0000-00000B2D0000}"/>
    <cellStyle name="Normal 2 2 2 2 2 2 3 3 10" xfId="11532" xr:uid="{00000000-0005-0000-0000-00000C2D0000}"/>
    <cellStyle name="Normal 2 2 2 2 2 2 3 3 2" xfId="11533" xr:uid="{00000000-0005-0000-0000-00000D2D0000}"/>
    <cellStyle name="Normal 2 2 2 2 2 2 3 3 3" xfId="11534" xr:uid="{00000000-0005-0000-0000-00000E2D0000}"/>
    <cellStyle name="Normal 2 2 2 2 2 2 3 3 4" xfId="11535" xr:uid="{00000000-0005-0000-0000-00000F2D0000}"/>
    <cellStyle name="Normal 2 2 2 2 2 2 3 3 5" xfId="11536" xr:uid="{00000000-0005-0000-0000-0000102D0000}"/>
    <cellStyle name="Normal 2 2 2 2 2 2 3 3 6" xfId="11537" xr:uid="{00000000-0005-0000-0000-0000112D0000}"/>
    <cellStyle name="Normal 2 2 2 2 2 2 3 3 7" xfId="11538" xr:uid="{00000000-0005-0000-0000-0000122D0000}"/>
    <cellStyle name="Normal 2 2 2 2 2 2 3 3 8" xfId="11539" xr:uid="{00000000-0005-0000-0000-0000132D0000}"/>
    <cellStyle name="Normal 2 2 2 2 2 2 3 3 9" xfId="11540" xr:uid="{00000000-0005-0000-0000-0000142D0000}"/>
    <cellStyle name="Normal 2 2 2 2 2 2 3 4" xfId="11541" xr:uid="{00000000-0005-0000-0000-0000152D0000}"/>
    <cellStyle name="Normal 2 2 2 2 2 2 3 4 10" xfId="11542" xr:uid="{00000000-0005-0000-0000-0000162D0000}"/>
    <cellStyle name="Normal 2 2 2 2 2 2 3 4 2" xfId="11543" xr:uid="{00000000-0005-0000-0000-0000172D0000}"/>
    <cellStyle name="Normal 2 2 2 2 2 2 3 4 3" xfId="11544" xr:uid="{00000000-0005-0000-0000-0000182D0000}"/>
    <cellStyle name="Normal 2 2 2 2 2 2 3 4 4" xfId="11545" xr:uid="{00000000-0005-0000-0000-0000192D0000}"/>
    <cellStyle name="Normal 2 2 2 2 2 2 3 4 5" xfId="11546" xr:uid="{00000000-0005-0000-0000-00001A2D0000}"/>
    <cellStyle name="Normal 2 2 2 2 2 2 3 4 6" xfId="11547" xr:uid="{00000000-0005-0000-0000-00001B2D0000}"/>
    <cellStyle name="Normal 2 2 2 2 2 2 3 4 7" xfId="11548" xr:uid="{00000000-0005-0000-0000-00001C2D0000}"/>
    <cellStyle name="Normal 2 2 2 2 2 2 3 4 8" xfId="11549" xr:uid="{00000000-0005-0000-0000-00001D2D0000}"/>
    <cellStyle name="Normal 2 2 2 2 2 2 3 4 9" xfId="11550" xr:uid="{00000000-0005-0000-0000-00001E2D0000}"/>
    <cellStyle name="Normal 2 2 2 2 2 2 3 5" xfId="11551" xr:uid="{00000000-0005-0000-0000-00001F2D0000}"/>
    <cellStyle name="Normal 2 2 2 2 2 2 3 5 10" xfId="11552" xr:uid="{00000000-0005-0000-0000-0000202D0000}"/>
    <cellStyle name="Normal 2 2 2 2 2 2 3 5 2" xfId="11553" xr:uid="{00000000-0005-0000-0000-0000212D0000}"/>
    <cellStyle name="Normal 2 2 2 2 2 2 3 5 3" xfId="11554" xr:uid="{00000000-0005-0000-0000-0000222D0000}"/>
    <cellStyle name="Normal 2 2 2 2 2 2 3 5 4" xfId="11555" xr:uid="{00000000-0005-0000-0000-0000232D0000}"/>
    <cellStyle name="Normal 2 2 2 2 2 2 3 5 5" xfId="11556" xr:uid="{00000000-0005-0000-0000-0000242D0000}"/>
    <cellStyle name="Normal 2 2 2 2 2 2 3 5 6" xfId="11557" xr:uid="{00000000-0005-0000-0000-0000252D0000}"/>
    <cellStyle name="Normal 2 2 2 2 2 2 3 5 7" xfId="11558" xr:uid="{00000000-0005-0000-0000-0000262D0000}"/>
    <cellStyle name="Normal 2 2 2 2 2 2 3 5 8" xfId="11559" xr:uid="{00000000-0005-0000-0000-0000272D0000}"/>
    <cellStyle name="Normal 2 2 2 2 2 2 3 5 9" xfId="11560" xr:uid="{00000000-0005-0000-0000-0000282D0000}"/>
    <cellStyle name="Normal 2 2 2 2 2 2 3 6" xfId="11561" xr:uid="{00000000-0005-0000-0000-0000292D0000}"/>
    <cellStyle name="Normal 2 2 2 2 2 2 3 7" xfId="11562" xr:uid="{00000000-0005-0000-0000-00002A2D0000}"/>
    <cellStyle name="Normal 2 2 2 2 2 2 3 8" xfId="11563" xr:uid="{00000000-0005-0000-0000-00002B2D0000}"/>
    <cellStyle name="Normal 2 2 2 2 2 2 3 9" xfId="11564" xr:uid="{00000000-0005-0000-0000-00002C2D0000}"/>
    <cellStyle name="Normal 2 2 2 2 2 2 30" xfId="11565" xr:uid="{00000000-0005-0000-0000-00002D2D0000}"/>
    <cellStyle name="Normal 2 2 2 2 2 2 30 10" xfId="11566" xr:uid="{00000000-0005-0000-0000-00002E2D0000}"/>
    <cellStyle name="Normal 2 2 2 2 2 2 30 11" xfId="11567" xr:uid="{00000000-0005-0000-0000-00002F2D0000}"/>
    <cellStyle name="Normal 2 2 2 2 2 2 30 12" xfId="11568" xr:uid="{00000000-0005-0000-0000-0000302D0000}"/>
    <cellStyle name="Normal 2 2 2 2 2 2 30 13" xfId="11569" xr:uid="{00000000-0005-0000-0000-0000312D0000}"/>
    <cellStyle name="Normal 2 2 2 2 2 2 30 14" xfId="11570" xr:uid="{00000000-0005-0000-0000-0000322D0000}"/>
    <cellStyle name="Normal 2 2 2 2 2 2 30 2" xfId="11571" xr:uid="{00000000-0005-0000-0000-0000332D0000}"/>
    <cellStyle name="Normal 2 2 2 2 2 2 30 2 10" xfId="11572" xr:uid="{00000000-0005-0000-0000-0000342D0000}"/>
    <cellStyle name="Normal 2 2 2 2 2 2 30 2 2" xfId="11573" xr:uid="{00000000-0005-0000-0000-0000352D0000}"/>
    <cellStyle name="Normal 2 2 2 2 2 2 30 2 3" xfId="11574" xr:uid="{00000000-0005-0000-0000-0000362D0000}"/>
    <cellStyle name="Normal 2 2 2 2 2 2 30 2 4" xfId="11575" xr:uid="{00000000-0005-0000-0000-0000372D0000}"/>
    <cellStyle name="Normal 2 2 2 2 2 2 30 2 5" xfId="11576" xr:uid="{00000000-0005-0000-0000-0000382D0000}"/>
    <cellStyle name="Normal 2 2 2 2 2 2 30 2 6" xfId="11577" xr:uid="{00000000-0005-0000-0000-0000392D0000}"/>
    <cellStyle name="Normal 2 2 2 2 2 2 30 2 7" xfId="11578" xr:uid="{00000000-0005-0000-0000-00003A2D0000}"/>
    <cellStyle name="Normal 2 2 2 2 2 2 30 2 8" xfId="11579" xr:uid="{00000000-0005-0000-0000-00003B2D0000}"/>
    <cellStyle name="Normal 2 2 2 2 2 2 30 2 9" xfId="11580" xr:uid="{00000000-0005-0000-0000-00003C2D0000}"/>
    <cellStyle name="Normal 2 2 2 2 2 2 30 3" xfId="11581" xr:uid="{00000000-0005-0000-0000-00003D2D0000}"/>
    <cellStyle name="Normal 2 2 2 2 2 2 30 3 10" xfId="11582" xr:uid="{00000000-0005-0000-0000-00003E2D0000}"/>
    <cellStyle name="Normal 2 2 2 2 2 2 30 3 2" xfId="11583" xr:uid="{00000000-0005-0000-0000-00003F2D0000}"/>
    <cellStyle name="Normal 2 2 2 2 2 2 30 3 3" xfId="11584" xr:uid="{00000000-0005-0000-0000-0000402D0000}"/>
    <cellStyle name="Normal 2 2 2 2 2 2 30 3 4" xfId="11585" xr:uid="{00000000-0005-0000-0000-0000412D0000}"/>
    <cellStyle name="Normal 2 2 2 2 2 2 30 3 5" xfId="11586" xr:uid="{00000000-0005-0000-0000-0000422D0000}"/>
    <cellStyle name="Normal 2 2 2 2 2 2 30 3 6" xfId="11587" xr:uid="{00000000-0005-0000-0000-0000432D0000}"/>
    <cellStyle name="Normal 2 2 2 2 2 2 30 3 7" xfId="11588" xr:uid="{00000000-0005-0000-0000-0000442D0000}"/>
    <cellStyle name="Normal 2 2 2 2 2 2 30 3 8" xfId="11589" xr:uid="{00000000-0005-0000-0000-0000452D0000}"/>
    <cellStyle name="Normal 2 2 2 2 2 2 30 3 9" xfId="11590" xr:uid="{00000000-0005-0000-0000-0000462D0000}"/>
    <cellStyle name="Normal 2 2 2 2 2 2 30 4" xfId="11591" xr:uid="{00000000-0005-0000-0000-0000472D0000}"/>
    <cellStyle name="Normal 2 2 2 2 2 2 30 4 10" xfId="11592" xr:uid="{00000000-0005-0000-0000-0000482D0000}"/>
    <cellStyle name="Normal 2 2 2 2 2 2 30 4 2" xfId="11593" xr:uid="{00000000-0005-0000-0000-0000492D0000}"/>
    <cellStyle name="Normal 2 2 2 2 2 2 30 4 3" xfId="11594" xr:uid="{00000000-0005-0000-0000-00004A2D0000}"/>
    <cellStyle name="Normal 2 2 2 2 2 2 30 4 4" xfId="11595" xr:uid="{00000000-0005-0000-0000-00004B2D0000}"/>
    <cellStyle name="Normal 2 2 2 2 2 2 30 4 5" xfId="11596" xr:uid="{00000000-0005-0000-0000-00004C2D0000}"/>
    <cellStyle name="Normal 2 2 2 2 2 2 30 4 6" xfId="11597" xr:uid="{00000000-0005-0000-0000-00004D2D0000}"/>
    <cellStyle name="Normal 2 2 2 2 2 2 30 4 7" xfId="11598" xr:uid="{00000000-0005-0000-0000-00004E2D0000}"/>
    <cellStyle name="Normal 2 2 2 2 2 2 30 4 8" xfId="11599" xr:uid="{00000000-0005-0000-0000-00004F2D0000}"/>
    <cellStyle name="Normal 2 2 2 2 2 2 30 4 9" xfId="11600" xr:uid="{00000000-0005-0000-0000-0000502D0000}"/>
    <cellStyle name="Normal 2 2 2 2 2 2 30 5" xfId="11601" xr:uid="{00000000-0005-0000-0000-0000512D0000}"/>
    <cellStyle name="Normal 2 2 2 2 2 2 30 5 10" xfId="11602" xr:uid="{00000000-0005-0000-0000-0000522D0000}"/>
    <cellStyle name="Normal 2 2 2 2 2 2 30 5 2" xfId="11603" xr:uid="{00000000-0005-0000-0000-0000532D0000}"/>
    <cellStyle name="Normal 2 2 2 2 2 2 30 5 3" xfId="11604" xr:uid="{00000000-0005-0000-0000-0000542D0000}"/>
    <cellStyle name="Normal 2 2 2 2 2 2 30 5 4" xfId="11605" xr:uid="{00000000-0005-0000-0000-0000552D0000}"/>
    <cellStyle name="Normal 2 2 2 2 2 2 30 5 5" xfId="11606" xr:uid="{00000000-0005-0000-0000-0000562D0000}"/>
    <cellStyle name="Normal 2 2 2 2 2 2 30 5 6" xfId="11607" xr:uid="{00000000-0005-0000-0000-0000572D0000}"/>
    <cellStyle name="Normal 2 2 2 2 2 2 30 5 7" xfId="11608" xr:uid="{00000000-0005-0000-0000-0000582D0000}"/>
    <cellStyle name="Normal 2 2 2 2 2 2 30 5 8" xfId="11609" xr:uid="{00000000-0005-0000-0000-0000592D0000}"/>
    <cellStyle name="Normal 2 2 2 2 2 2 30 5 9" xfId="11610" xr:uid="{00000000-0005-0000-0000-00005A2D0000}"/>
    <cellStyle name="Normal 2 2 2 2 2 2 30 6" xfId="11611" xr:uid="{00000000-0005-0000-0000-00005B2D0000}"/>
    <cellStyle name="Normal 2 2 2 2 2 2 30 7" xfId="11612" xr:uid="{00000000-0005-0000-0000-00005C2D0000}"/>
    <cellStyle name="Normal 2 2 2 2 2 2 30 8" xfId="11613" xr:uid="{00000000-0005-0000-0000-00005D2D0000}"/>
    <cellStyle name="Normal 2 2 2 2 2 2 30 9" xfId="11614" xr:uid="{00000000-0005-0000-0000-00005E2D0000}"/>
    <cellStyle name="Normal 2 2 2 2 2 2 31" xfId="11615" xr:uid="{00000000-0005-0000-0000-00005F2D0000}"/>
    <cellStyle name="Normal 2 2 2 2 2 2 31 10" xfId="11616" xr:uid="{00000000-0005-0000-0000-0000602D0000}"/>
    <cellStyle name="Normal 2 2 2 2 2 2 31 11" xfId="11617" xr:uid="{00000000-0005-0000-0000-0000612D0000}"/>
    <cellStyle name="Normal 2 2 2 2 2 2 31 12" xfId="11618" xr:uid="{00000000-0005-0000-0000-0000622D0000}"/>
    <cellStyle name="Normal 2 2 2 2 2 2 31 13" xfId="11619" xr:uid="{00000000-0005-0000-0000-0000632D0000}"/>
    <cellStyle name="Normal 2 2 2 2 2 2 31 14" xfId="11620" xr:uid="{00000000-0005-0000-0000-0000642D0000}"/>
    <cellStyle name="Normal 2 2 2 2 2 2 31 2" xfId="11621" xr:uid="{00000000-0005-0000-0000-0000652D0000}"/>
    <cellStyle name="Normal 2 2 2 2 2 2 31 2 10" xfId="11622" xr:uid="{00000000-0005-0000-0000-0000662D0000}"/>
    <cellStyle name="Normal 2 2 2 2 2 2 31 2 2" xfId="11623" xr:uid="{00000000-0005-0000-0000-0000672D0000}"/>
    <cellStyle name="Normal 2 2 2 2 2 2 31 2 3" xfId="11624" xr:uid="{00000000-0005-0000-0000-0000682D0000}"/>
    <cellStyle name="Normal 2 2 2 2 2 2 31 2 4" xfId="11625" xr:uid="{00000000-0005-0000-0000-0000692D0000}"/>
    <cellStyle name="Normal 2 2 2 2 2 2 31 2 5" xfId="11626" xr:uid="{00000000-0005-0000-0000-00006A2D0000}"/>
    <cellStyle name="Normal 2 2 2 2 2 2 31 2 6" xfId="11627" xr:uid="{00000000-0005-0000-0000-00006B2D0000}"/>
    <cellStyle name="Normal 2 2 2 2 2 2 31 2 7" xfId="11628" xr:uid="{00000000-0005-0000-0000-00006C2D0000}"/>
    <cellStyle name="Normal 2 2 2 2 2 2 31 2 8" xfId="11629" xr:uid="{00000000-0005-0000-0000-00006D2D0000}"/>
    <cellStyle name="Normal 2 2 2 2 2 2 31 2 9" xfId="11630" xr:uid="{00000000-0005-0000-0000-00006E2D0000}"/>
    <cellStyle name="Normal 2 2 2 2 2 2 31 3" xfId="11631" xr:uid="{00000000-0005-0000-0000-00006F2D0000}"/>
    <cellStyle name="Normal 2 2 2 2 2 2 31 3 10" xfId="11632" xr:uid="{00000000-0005-0000-0000-0000702D0000}"/>
    <cellStyle name="Normal 2 2 2 2 2 2 31 3 2" xfId="11633" xr:uid="{00000000-0005-0000-0000-0000712D0000}"/>
    <cellStyle name="Normal 2 2 2 2 2 2 31 3 3" xfId="11634" xr:uid="{00000000-0005-0000-0000-0000722D0000}"/>
    <cellStyle name="Normal 2 2 2 2 2 2 31 3 4" xfId="11635" xr:uid="{00000000-0005-0000-0000-0000732D0000}"/>
    <cellStyle name="Normal 2 2 2 2 2 2 31 3 5" xfId="11636" xr:uid="{00000000-0005-0000-0000-0000742D0000}"/>
    <cellStyle name="Normal 2 2 2 2 2 2 31 3 6" xfId="11637" xr:uid="{00000000-0005-0000-0000-0000752D0000}"/>
    <cellStyle name="Normal 2 2 2 2 2 2 31 3 7" xfId="11638" xr:uid="{00000000-0005-0000-0000-0000762D0000}"/>
    <cellStyle name="Normal 2 2 2 2 2 2 31 3 8" xfId="11639" xr:uid="{00000000-0005-0000-0000-0000772D0000}"/>
    <cellStyle name="Normal 2 2 2 2 2 2 31 3 9" xfId="11640" xr:uid="{00000000-0005-0000-0000-0000782D0000}"/>
    <cellStyle name="Normal 2 2 2 2 2 2 31 4" xfId="11641" xr:uid="{00000000-0005-0000-0000-0000792D0000}"/>
    <cellStyle name="Normal 2 2 2 2 2 2 31 4 10" xfId="11642" xr:uid="{00000000-0005-0000-0000-00007A2D0000}"/>
    <cellStyle name="Normal 2 2 2 2 2 2 31 4 2" xfId="11643" xr:uid="{00000000-0005-0000-0000-00007B2D0000}"/>
    <cellStyle name="Normal 2 2 2 2 2 2 31 4 3" xfId="11644" xr:uid="{00000000-0005-0000-0000-00007C2D0000}"/>
    <cellStyle name="Normal 2 2 2 2 2 2 31 4 4" xfId="11645" xr:uid="{00000000-0005-0000-0000-00007D2D0000}"/>
    <cellStyle name="Normal 2 2 2 2 2 2 31 4 5" xfId="11646" xr:uid="{00000000-0005-0000-0000-00007E2D0000}"/>
    <cellStyle name="Normal 2 2 2 2 2 2 31 4 6" xfId="11647" xr:uid="{00000000-0005-0000-0000-00007F2D0000}"/>
    <cellStyle name="Normal 2 2 2 2 2 2 31 4 7" xfId="11648" xr:uid="{00000000-0005-0000-0000-0000802D0000}"/>
    <cellStyle name="Normal 2 2 2 2 2 2 31 4 8" xfId="11649" xr:uid="{00000000-0005-0000-0000-0000812D0000}"/>
    <cellStyle name="Normal 2 2 2 2 2 2 31 4 9" xfId="11650" xr:uid="{00000000-0005-0000-0000-0000822D0000}"/>
    <cellStyle name="Normal 2 2 2 2 2 2 31 5" xfId="11651" xr:uid="{00000000-0005-0000-0000-0000832D0000}"/>
    <cellStyle name="Normal 2 2 2 2 2 2 31 5 10" xfId="11652" xr:uid="{00000000-0005-0000-0000-0000842D0000}"/>
    <cellStyle name="Normal 2 2 2 2 2 2 31 5 2" xfId="11653" xr:uid="{00000000-0005-0000-0000-0000852D0000}"/>
    <cellStyle name="Normal 2 2 2 2 2 2 31 5 3" xfId="11654" xr:uid="{00000000-0005-0000-0000-0000862D0000}"/>
    <cellStyle name="Normal 2 2 2 2 2 2 31 5 4" xfId="11655" xr:uid="{00000000-0005-0000-0000-0000872D0000}"/>
    <cellStyle name="Normal 2 2 2 2 2 2 31 5 5" xfId="11656" xr:uid="{00000000-0005-0000-0000-0000882D0000}"/>
    <cellStyle name="Normal 2 2 2 2 2 2 31 5 6" xfId="11657" xr:uid="{00000000-0005-0000-0000-0000892D0000}"/>
    <cellStyle name="Normal 2 2 2 2 2 2 31 5 7" xfId="11658" xr:uid="{00000000-0005-0000-0000-00008A2D0000}"/>
    <cellStyle name="Normal 2 2 2 2 2 2 31 5 8" xfId="11659" xr:uid="{00000000-0005-0000-0000-00008B2D0000}"/>
    <cellStyle name="Normal 2 2 2 2 2 2 31 5 9" xfId="11660" xr:uid="{00000000-0005-0000-0000-00008C2D0000}"/>
    <cellStyle name="Normal 2 2 2 2 2 2 31 6" xfId="11661" xr:uid="{00000000-0005-0000-0000-00008D2D0000}"/>
    <cellStyle name="Normal 2 2 2 2 2 2 31 7" xfId="11662" xr:uid="{00000000-0005-0000-0000-00008E2D0000}"/>
    <cellStyle name="Normal 2 2 2 2 2 2 31 8" xfId="11663" xr:uid="{00000000-0005-0000-0000-00008F2D0000}"/>
    <cellStyle name="Normal 2 2 2 2 2 2 31 9" xfId="11664" xr:uid="{00000000-0005-0000-0000-0000902D0000}"/>
    <cellStyle name="Normal 2 2 2 2 2 2 32" xfId="11665" xr:uid="{00000000-0005-0000-0000-0000912D0000}"/>
    <cellStyle name="Normal 2 2 2 2 2 2 32 10" xfId="11666" xr:uid="{00000000-0005-0000-0000-0000922D0000}"/>
    <cellStyle name="Normal 2 2 2 2 2 2 32 11" xfId="11667" xr:uid="{00000000-0005-0000-0000-0000932D0000}"/>
    <cellStyle name="Normal 2 2 2 2 2 2 32 12" xfId="11668" xr:uid="{00000000-0005-0000-0000-0000942D0000}"/>
    <cellStyle name="Normal 2 2 2 2 2 2 32 13" xfId="11669" xr:uid="{00000000-0005-0000-0000-0000952D0000}"/>
    <cellStyle name="Normal 2 2 2 2 2 2 32 14" xfId="11670" xr:uid="{00000000-0005-0000-0000-0000962D0000}"/>
    <cellStyle name="Normal 2 2 2 2 2 2 32 2" xfId="11671" xr:uid="{00000000-0005-0000-0000-0000972D0000}"/>
    <cellStyle name="Normal 2 2 2 2 2 2 32 2 10" xfId="11672" xr:uid="{00000000-0005-0000-0000-0000982D0000}"/>
    <cellStyle name="Normal 2 2 2 2 2 2 32 2 2" xfId="11673" xr:uid="{00000000-0005-0000-0000-0000992D0000}"/>
    <cellStyle name="Normal 2 2 2 2 2 2 32 2 3" xfId="11674" xr:uid="{00000000-0005-0000-0000-00009A2D0000}"/>
    <cellStyle name="Normal 2 2 2 2 2 2 32 2 4" xfId="11675" xr:uid="{00000000-0005-0000-0000-00009B2D0000}"/>
    <cellStyle name="Normal 2 2 2 2 2 2 32 2 5" xfId="11676" xr:uid="{00000000-0005-0000-0000-00009C2D0000}"/>
    <cellStyle name="Normal 2 2 2 2 2 2 32 2 6" xfId="11677" xr:uid="{00000000-0005-0000-0000-00009D2D0000}"/>
    <cellStyle name="Normal 2 2 2 2 2 2 32 2 7" xfId="11678" xr:uid="{00000000-0005-0000-0000-00009E2D0000}"/>
    <cellStyle name="Normal 2 2 2 2 2 2 32 2 8" xfId="11679" xr:uid="{00000000-0005-0000-0000-00009F2D0000}"/>
    <cellStyle name="Normal 2 2 2 2 2 2 32 2 9" xfId="11680" xr:uid="{00000000-0005-0000-0000-0000A02D0000}"/>
    <cellStyle name="Normal 2 2 2 2 2 2 32 3" xfId="11681" xr:uid="{00000000-0005-0000-0000-0000A12D0000}"/>
    <cellStyle name="Normal 2 2 2 2 2 2 32 3 10" xfId="11682" xr:uid="{00000000-0005-0000-0000-0000A22D0000}"/>
    <cellStyle name="Normal 2 2 2 2 2 2 32 3 2" xfId="11683" xr:uid="{00000000-0005-0000-0000-0000A32D0000}"/>
    <cellStyle name="Normal 2 2 2 2 2 2 32 3 3" xfId="11684" xr:uid="{00000000-0005-0000-0000-0000A42D0000}"/>
    <cellStyle name="Normal 2 2 2 2 2 2 32 3 4" xfId="11685" xr:uid="{00000000-0005-0000-0000-0000A52D0000}"/>
    <cellStyle name="Normal 2 2 2 2 2 2 32 3 5" xfId="11686" xr:uid="{00000000-0005-0000-0000-0000A62D0000}"/>
    <cellStyle name="Normal 2 2 2 2 2 2 32 3 6" xfId="11687" xr:uid="{00000000-0005-0000-0000-0000A72D0000}"/>
    <cellStyle name="Normal 2 2 2 2 2 2 32 3 7" xfId="11688" xr:uid="{00000000-0005-0000-0000-0000A82D0000}"/>
    <cellStyle name="Normal 2 2 2 2 2 2 32 3 8" xfId="11689" xr:uid="{00000000-0005-0000-0000-0000A92D0000}"/>
    <cellStyle name="Normal 2 2 2 2 2 2 32 3 9" xfId="11690" xr:uid="{00000000-0005-0000-0000-0000AA2D0000}"/>
    <cellStyle name="Normal 2 2 2 2 2 2 32 4" xfId="11691" xr:uid="{00000000-0005-0000-0000-0000AB2D0000}"/>
    <cellStyle name="Normal 2 2 2 2 2 2 32 4 10" xfId="11692" xr:uid="{00000000-0005-0000-0000-0000AC2D0000}"/>
    <cellStyle name="Normal 2 2 2 2 2 2 32 4 2" xfId="11693" xr:uid="{00000000-0005-0000-0000-0000AD2D0000}"/>
    <cellStyle name="Normal 2 2 2 2 2 2 32 4 3" xfId="11694" xr:uid="{00000000-0005-0000-0000-0000AE2D0000}"/>
    <cellStyle name="Normal 2 2 2 2 2 2 32 4 4" xfId="11695" xr:uid="{00000000-0005-0000-0000-0000AF2D0000}"/>
    <cellStyle name="Normal 2 2 2 2 2 2 32 4 5" xfId="11696" xr:uid="{00000000-0005-0000-0000-0000B02D0000}"/>
    <cellStyle name="Normal 2 2 2 2 2 2 32 4 6" xfId="11697" xr:uid="{00000000-0005-0000-0000-0000B12D0000}"/>
    <cellStyle name="Normal 2 2 2 2 2 2 32 4 7" xfId="11698" xr:uid="{00000000-0005-0000-0000-0000B22D0000}"/>
    <cellStyle name="Normal 2 2 2 2 2 2 32 4 8" xfId="11699" xr:uid="{00000000-0005-0000-0000-0000B32D0000}"/>
    <cellStyle name="Normal 2 2 2 2 2 2 32 4 9" xfId="11700" xr:uid="{00000000-0005-0000-0000-0000B42D0000}"/>
    <cellStyle name="Normal 2 2 2 2 2 2 32 5" xfId="11701" xr:uid="{00000000-0005-0000-0000-0000B52D0000}"/>
    <cellStyle name="Normal 2 2 2 2 2 2 32 5 10" xfId="11702" xr:uid="{00000000-0005-0000-0000-0000B62D0000}"/>
    <cellStyle name="Normal 2 2 2 2 2 2 32 5 2" xfId="11703" xr:uid="{00000000-0005-0000-0000-0000B72D0000}"/>
    <cellStyle name="Normal 2 2 2 2 2 2 32 5 3" xfId="11704" xr:uid="{00000000-0005-0000-0000-0000B82D0000}"/>
    <cellStyle name="Normal 2 2 2 2 2 2 32 5 4" xfId="11705" xr:uid="{00000000-0005-0000-0000-0000B92D0000}"/>
    <cellStyle name="Normal 2 2 2 2 2 2 32 5 5" xfId="11706" xr:uid="{00000000-0005-0000-0000-0000BA2D0000}"/>
    <cellStyle name="Normal 2 2 2 2 2 2 32 5 6" xfId="11707" xr:uid="{00000000-0005-0000-0000-0000BB2D0000}"/>
    <cellStyle name="Normal 2 2 2 2 2 2 32 5 7" xfId="11708" xr:uid="{00000000-0005-0000-0000-0000BC2D0000}"/>
    <cellStyle name="Normal 2 2 2 2 2 2 32 5 8" xfId="11709" xr:uid="{00000000-0005-0000-0000-0000BD2D0000}"/>
    <cellStyle name="Normal 2 2 2 2 2 2 32 5 9" xfId="11710" xr:uid="{00000000-0005-0000-0000-0000BE2D0000}"/>
    <cellStyle name="Normal 2 2 2 2 2 2 32 6" xfId="11711" xr:uid="{00000000-0005-0000-0000-0000BF2D0000}"/>
    <cellStyle name="Normal 2 2 2 2 2 2 32 7" xfId="11712" xr:uid="{00000000-0005-0000-0000-0000C02D0000}"/>
    <cellStyle name="Normal 2 2 2 2 2 2 32 8" xfId="11713" xr:uid="{00000000-0005-0000-0000-0000C12D0000}"/>
    <cellStyle name="Normal 2 2 2 2 2 2 32 9" xfId="11714" xr:uid="{00000000-0005-0000-0000-0000C22D0000}"/>
    <cellStyle name="Normal 2 2 2 2 2 2 33" xfId="11715" xr:uid="{00000000-0005-0000-0000-0000C32D0000}"/>
    <cellStyle name="Normal 2 2 2 2 2 2 33 10" xfId="11716" xr:uid="{00000000-0005-0000-0000-0000C42D0000}"/>
    <cellStyle name="Normal 2 2 2 2 2 2 33 11" xfId="11717" xr:uid="{00000000-0005-0000-0000-0000C52D0000}"/>
    <cellStyle name="Normal 2 2 2 2 2 2 33 12" xfId="11718" xr:uid="{00000000-0005-0000-0000-0000C62D0000}"/>
    <cellStyle name="Normal 2 2 2 2 2 2 33 13" xfId="11719" xr:uid="{00000000-0005-0000-0000-0000C72D0000}"/>
    <cellStyle name="Normal 2 2 2 2 2 2 33 14" xfId="11720" xr:uid="{00000000-0005-0000-0000-0000C82D0000}"/>
    <cellStyle name="Normal 2 2 2 2 2 2 33 2" xfId="11721" xr:uid="{00000000-0005-0000-0000-0000C92D0000}"/>
    <cellStyle name="Normal 2 2 2 2 2 2 33 2 10" xfId="11722" xr:uid="{00000000-0005-0000-0000-0000CA2D0000}"/>
    <cellStyle name="Normal 2 2 2 2 2 2 33 2 2" xfId="11723" xr:uid="{00000000-0005-0000-0000-0000CB2D0000}"/>
    <cellStyle name="Normal 2 2 2 2 2 2 33 2 3" xfId="11724" xr:uid="{00000000-0005-0000-0000-0000CC2D0000}"/>
    <cellStyle name="Normal 2 2 2 2 2 2 33 2 4" xfId="11725" xr:uid="{00000000-0005-0000-0000-0000CD2D0000}"/>
    <cellStyle name="Normal 2 2 2 2 2 2 33 2 5" xfId="11726" xr:uid="{00000000-0005-0000-0000-0000CE2D0000}"/>
    <cellStyle name="Normal 2 2 2 2 2 2 33 2 6" xfId="11727" xr:uid="{00000000-0005-0000-0000-0000CF2D0000}"/>
    <cellStyle name="Normal 2 2 2 2 2 2 33 2 7" xfId="11728" xr:uid="{00000000-0005-0000-0000-0000D02D0000}"/>
    <cellStyle name="Normal 2 2 2 2 2 2 33 2 8" xfId="11729" xr:uid="{00000000-0005-0000-0000-0000D12D0000}"/>
    <cellStyle name="Normal 2 2 2 2 2 2 33 2 9" xfId="11730" xr:uid="{00000000-0005-0000-0000-0000D22D0000}"/>
    <cellStyle name="Normal 2 2 2 2 2 2 33 3" xfId="11731" xr:uid="{00000000-0005-0000-0000-0000D32D0000}"/>
    <cellStyle name="Normal 2 2 2 2 2 2 33 3 10" xfId="11732" xr:uid="{00000000-0005-0000-0000-0000D42D0000}"/>
    <cellStyle name="Normal 2 2 2 2 2 2 33 3 2" xfId="11733" xr:uid="{00000000-0005-0000-0000-0000D52D0000}"/>
    <cellStyle name="Normal 2 2 2 2 2 2 33 3 3" xfId="11734" xr:uid="{00000000-0005-0000-0000-0000D62D0000}"/>
    <cellStyle name="Normal 2 2 2 2 2 2 33 3 4" xfId="11735" xr:uid="{00000000-0005-0000-0000-0000D72D0000}"/>
    <cellStyle name="Normal 2 2 2 2 2 2 33 3 5" xfId="11736" xr:uid="{00000000-0005-0000-0000-0000D82D0000}"/>
    <cellStyle name="Normal 2 2 2 2 2 2 33 3 6" xfId="11737" xr:uid="{00000000-0005-0000-0000-0000D92D0000}"/>
    <cellStyle name="Normal 2 2 2 2 2 2 33 3 7" xfId="11738" xr:uid="{00000000-0005-0000-0000-0000DA2D0000}"/>
    <cellStyle name="Normal 2 2 2 2 2 2 33 3 8" xfId="11739" xr:uid="{00000000-0005-0000-0000-0000DB2D0000}"/>
    <cellStyle name="Normal 2 2 2 2 2 2 33 3 9" xfId="11740" xr:uid="{00000000-0005-0000-0000-0000DC2D0000}"/>
    <cellStyle name="Normal 2 2 2 2 2 2 33 4" xfId="11741" xr:uid="{00000000-0005-0000-0000-0000DD2D0000}"/>
    <cellStyle name="Normal 2 2 2 2 2 2 33 4 10" xfId="11742" xr:uid="{00000000-0005-0000-0000-0000DE2D0000}"/>
    <cellStyle name="Normal 2 2 2 2 2 2 33 4 2" xfId="11743" xr:uid="{00000000-0005-0000-0000-0000DF2D0000}"/>
    <cellStyle name="Normal 2 2 2 2 2 2 33 4 3" xfId="11744" xr:uid="{00000000-0005-0000-0000-0000E02D0000}"/>
    <cellStyle name="Normal 2 2 2 2 2 2 33 4 4" xfId="11745" xr:uid="{00000000-0005-0000-0000-0000E12D0000}"/>
    <cellStyle name="Normal 2 2 2 2 2 2 33 4 5" xfId="11746" xr:uid="{00000000-0005-0000-0000-0000E22D0000}"/>
    <cellStyle name="Normal 2 2 2 2 2 2 33 4 6" xfId="11747" xr:uid="{00000000-0005-0000-0000-0000E32D0000}"/>
    <cellStyle name="Normal 2 2 2 2 2 2 33 4 7" xfId="11748" xr:uid="{00000000-0005-0000-0000-0000E42D0000}"/>
    <cellStyle name="Normal 2 2 2 2 2 2 33 4 8" xfId="11749" xr:uid="{00000000-0005-0000-0000-0000E52D0000}"/>
    <cellStyle name="Normal 2 2 2 2 2 2 33 4 9" xfId="11750" xr:uid="{00000000-0005-0000-0000-0000E62D0000}"/>
    <cellStyle name="Normal 2 2 2 2 2 2 33 5" xfId="11751" xr:uid="{00000000-0005-0000-0000-0000E72D0000}"/>
    <cellStyle name="Normal 2 2 2 2 2 2 33 5 10" xfId="11752" xr:uid="{00000000-0005-0000-0000-0000E82D0000}"/>
    <cellStyle name="Normal 2 2 2 2 2 2 33 5 2" xfId="11753" xr:uid="{00000000-0005-0000-0000-0000E92D0000}"/>
    <cellStyle name="Normal 2 2 2 2 2 2 33 5 3" xfId="11754" xr:uid="{00000000-0005-0000-0000-0000EA2D0000}"/>
    <cellStyle name="Normal 2 2 2 2 2 2 33 5 4" xfId="11755" xr:uid="{00000000-0005-0000-0000-0000EB2D0000}"/>
    <cellStyle name="Normal 2 2 2 2 2 2 33 5 5" xfId="11756" xr:uid="{00000000-0005-0000-0000-0000EC2D0000}"/>
    <cellStyle name="Normal 2 2 2 2 2 2 33 5 6" xfId="11757" xr:uid="{00000000-0005-0000-0000-0000ED2D0000}"/>
    <cellStyle name="Normal 2 2 2 2 2 2 33 5 7" xfId="11758" xr:uid="{00000000-0005-0000-0000-0000EE2D0000}"/>
    <cellStyle name="Normal 2 2 2 2 2 2 33 5 8" xfId="11759" xr:uid="{00000000-0005-0000-0000-0000EF2D0000}"/>
    <cellStyle name="Normal 2 2 2 2 2 2 33 5 9" xfId="11760" xr:uid="{00000000-0005-0000-0000-0000F02D0000}"/>
    <cellStyle name="Normal 2 2 2 2 2 2 33 6" xfId="11761" xr:uid="{00000000-0005-0000-0000-0000F12D0000}"/>
    <cellStyle name="Normal 2 2 2 2 2 2 33 7" xfId="11762" xr:uid="{00000000-0005-0000-0000-0000F22D0000}"/>
    <cellStyle name="Normal 2 2 2 2 2 2 33 8" xfId="11763" xr:uid="{00000000-0005-0000-0000-0000F32D0000}"/>
    <cellStyle name="Normal 2 2 2 2 2 2 33 9" xfId="11764" xr:uid="{00000000-0005-0000-0000-0000F42D0000}"/>
    <cellStyle name="Normal 2 2 2 2 2 2 34" xfId="11765" xr:uid="{00000000-0005-0000-0000-0000F52D0000}"/>
    <cellStyle name="Normal 2 2 2 2 2 2 34 10" xfId="11766" xr:uid="{00000000-0005-0000-0000-0000F62D0000}"/>
    <cellStyle name="Normal 2 2 2 2 2 2 34 2" xfId="11767" xr:uid="{00000000-0005-0000-0000-0000F72D0000}"/>
    <cellStyle name="Normal 2 2 2 2 2 2 34 3" xfId="11768" xr:uid="{00000000-0005-0000-0000-0000F82D0000}"/>
    <cellStyle name="Normal 2 2 2 2 2 2 34 4" xfId="11769" xr:uid="{00000000-0005-0000-0000-0000F92D0000}"/>
    <cellStyle name="Normal 2 2 2 2 2 2 34 5" xfId="11770" xr:uid="{00000000-0005-0000-0000-0000FA2D0000}"/>
    <cellStyle name="Normal 2 2 2 2 2 2 34 6" xfId="11771" xr:uid="{00000000-0005-0000-0000-0000FB2D0000}"/>
    <cellStyle name="Normal 2 2 2 2 2 2 34 7" xfId="11772" xr:uid="{00000000-0005-0000-0000-0000FC2D0000}"/>
    <cellStyle name="Normal 2 2 2 2 2 2 34 8" xfId="11773" xr:uid="{00000000-0005-0000-0000-0000FD2D0000}"/>
    <cellStyle name="Normal 2 2 2 2 2 2 34 9" xfId="11774" xr:uid="{00000000-0005-0000-0000-0000FE2D0000}"/>
    <cellStyle name="Normal 2 2 2 2 2 2 35" xfId="11775" xr:uid="{00000000-0005-0000-0000-0000FF2D0000}"/>
    <cellStyle name="Normal 2 2 2 2 2 2 35 10" xfId="11776" xr:uid="{00000000-0005-0000-0000-0000002E0000}"/>
    <cellStyle name="Normal 2 2 2 2 2 2 35 2" xfId="11777" xr:uid="{00000000-0005-0000-0000-0000012E0000}"/>
    <cellStyle name="Normal 2 2 2 2 2 2 35 3" xfId="11778" xr:uid="{00000000-0005-0000-0000-0000022E0000}"/>
    <cellStyle name="Normal 2 2 2 2 2 2 35 4" xfId="11779" xr:uid="{00000000-0005-0000-0000-0000032E0000}"/>
    <cellStyle name="Normal 2 2 2 2 2 2 35 5" xfId="11780" xr:uid="{00000000-0005-0000-0000-0000042E0000}"/>
    <cellStyle name="Normal 2 2 2 2 2 2 35 6" xfId="11781" xr:uid="{00000000-0005-0000-0000-0000052E0000}"/>
    <cellStyle name="Normal 2 2 2 2 2 2 35 7" xfId="11782" xr:uid="{00000000-0005-0000-0000-0000062E0000}"/>
    <cellStyle name="Normal 2 2 2 2 2 2 35 8" xfId="11783" xr:uid="{00000000-0005-0000-0000-0000072E0000}"/>
    <cellStyle name="Normal 2 2 2 2 2 2 35 9" xfId="11784" xr:uid="{00000000-0005-0000-0000-0000082E0000}"/>
    <cellStyle name="Normal 2 2 2 2 2 2 36" xfId="11785" xr:uid="{00000000-0005-0000-0000-0000092E0000}"/>
    <cellStyle name="Normal 2 2 2 2 2 2 36 10" xfId="11786" xr:uid="{00000000-0005-0000-0000-00000A2E0000}"/>
    <cellStyle name="Normal 2 2 2 2 2 2 36 2" xfId="11787" xr:uid="{00000000-0005-0000-0000-00000B2E0000}"/>
    <cellStyle name="Normal 2 2 2 2 2 2 36 3" xfId="11788" xr:uid="{00000000-0005-0000-0000-00000C2E0000}"/>
    <cellStyle name="Normal 2 2 2 2 2 2 36 4" xfId="11789" xr:uid="{00000000-0005-0000-0000-00000D2E0000}"/>
    <cellStyle name="Normal 2 2 2 2 2 2 36 5" xfId="11790" xr:uid="{00000000-0005-0000-0000-00000E2E0000}"/>
    <cellStyle name="Normal 2 2 2 2 2 2 36 6" xfId="11791" xr:uid="{00000000-0005-0000-0000-00000F2E0000}"/>
    <cellStyle name="Normal 2 2 2 2 2 2 36 7" xfId="11792" xr:uid="{00000000-0005-0000-0000-0000102E0000}"/>
    <cellStyle name="Normal 2 2 2 2 2 2 36 8" xfId="11793" xr:uid="{00000000-0005-0000-0000-0000112E0000}"/>
    <cellStyle name="Normal 2 2 2 2 2 2 36 9" xfId="11794" xr:uid="{00000000-0005-0000-0000-0000122E0000}"/>
    <cellStyle name="Normal 2 2 2 2 2 2 37" xfId="11795" xr:uid="{00000000-0005-0000-0000-0000132E0000}"/>
    <cellStyle name="Normal 2 2 2 2 2 2 37 10" xfId="11796" xr:uid="{00000000-0005-0000-0000-0000142E0000}"/>
    <cellStyle name="Normal 2 2 2 2 2 2 37 2" xfId="11797" xr:uid="{00000000-0005-0000-0000-0000152E0000}"/>
    <cellStyle name="Normal 2 2 2 2 2 2 37 3" xfId="11798" xr:uid="{00000000-0005-0000-0000-0000162E0000}"/>
    <cellStyle name="Normal 2 2 2 2 2 2 37 4" xfId="11799" xr:uid="{00000000-0005-0000-0000-0000172E0000}"/>
    <cellStyle name="Normal 2 2 2 2 2 2 37 5" xfId="11800" xr:uid="{00000000-0005-0000-0000-0000182E0000}"/>
    <cellStyle name="Normal 2 2 2 2 2 2 37 6" xfId="11801" xr:uid="{00000000-0005-0000-0000-0000192E0000}"/>
    <cellStyle name="Normal 2 2 2 2 2 2 37 7" xfId="11802" xr:uid="{00000000-0005-0000-0000-00001A2E0000}"/>
    <cellStyle name="Normal 2 2 2 2 2 2 37 8" xfId="11803" xr:uid="{00000000-0005-0000-0000-00001B2E0000}"/>
    <cellStyle name="Normal 2 2 2 2 2 2 37 9" xfId="11804" xr:uid="{00000000-0005-0000-0000-00001C2E0000}"/>
    <cellStyle name="Normal 2 2 2 2 2 2 38" xfId="11805" xr:uid="{00000000-0005-0000-0000-00001D2E0000}"/>
    <cellStyle name="Normal 2 2 2 2 2 2 39" xfId="11806" xr:uid="{00000000-0005-0000-0000-00001E2E0000}"/>
    <cellStyle name="Normal 2 2 2 2 2 2 4" xfId="11807" xr:uid="{00000000-0005-0000-0000-00001F2E0000}"/>
    <cellStyle name="Normal 2 2 2 2 2 2 4 10" xfId="11808" xr:uid="{00000000-0005-0000-0000-0000202E0000}"/>
    <cellStyle name="Normal 2 2 2 2 2 2 4 11" xfId="11809" xr:uid="{00000000-0005-0000-0000-0000212E0000}"/>
    <cellStyle name="Normal 2 2 2 2 2 2 4 12" xfId="11810" xr:uid="{00000000-0005-0000-0000-0000222E0000}"/>
    <cellStyle name="Normal 2 2 2 2 2 2 4 13" xfId="11811" xr:uid="{00000000-0005-0000-0000-0000232E0000}"/>
    <cellStyle name="Normal 2 2 2 2 2 2 4 14" xfId="11812" xr:uid="{00000000-0005-0000-0000-0000242E0000}"/>
    <cellStyle name="Normal 2 2 2 2 2 2 4 2" xfId="11813" xr:uid="{00000000-0005-0000-0000-0000252E0000}"/>
    <cellStyle name="Normal 2 2 2 2 2 2 4 2 10" xfId="11814" xr:uid="{00000000-0005-0000-0000-0000262E0000}"/>
    <cellStyle name="Normal 2 2 2 2 2 2 4 2 2" xfId="11815" xr:uid="{00000000-0005-0000-0000-0000272E0000}"/>
    <cellStyle name="Normal 2 2 2 2 2 2 4 2 3" xfId="11816" xr:uid="{00000000-0005-0000-0000-0000282E0000}"/>
    <cellStyle name="Normal 2 2 2 2 2 2 4 2 4" xfId="11817" xr:uid="{00000000-0005-0000-0000-0000292E0000}"/>
    <cellStyle name="Normal 2 2 2 2 2 2 4 2 5" xfId="11818" xr:uid="{00000000-0005-0000-0000-00002A2E0000}"/>
    <cellStyle name="Normal 2 2 2 2 2 2 4 2 6" xfId="11819" xr:uid="{00000000-0005-0000-0000-00002B2E0000}"/>
    <cellStyle name="Normal 2 2 2 2 2 2 4 2 7" xfId="11820" xr:uid="{00000000-0005-0000-0000-00002C2E0000}"/>
    <cellStyle name="Normal 2 2 2 2 2 2 4 2 8" xfId="11821" xr:uid="{00000000-0005-0000-0000-00002D2E0000}"/>
    <cellStyle name="Normal 2 2 2 2 2 2 4 2 9" xfId="11822" xr:uid="{00000000-0005-0000-0000-00002E2E0000}"/>
    <cellStyle name="Normal 2 2 2 2 2 2 4 3" xfId="11823" xr:uid="{00000000-0005-0000-0000-00002F2E0000}"/>
    <cellStyle name="Normal 2 2 2 2 2 2 4 3 10" xfId="11824" xr:uid="{00000000-0005-0000-0000-0000302E0000}"/>
    <cellStyle name="Normal 2 2 2 2 2 2 4 3 2" xfId="11825" xr:uid="{00000000-0005-0000-0000-0000312E0000}"/>
    <cellStyle name="Normal 2 2 2 2 2 2 4 3 3" xfId="11826" xr:uid="{00000000-0005-0000-0000-0000322E0000}"/>
    <cellStyle name="Normal 2 2 2 2 2 2 4 3 4" xfId="11827" xr:uid="{00000000-0005-0000-0000-0000332E0000}"/>
    <cellStyle name="Normal 2 2 2 2 2 2 4 3 5" xfId="11828" xr:uid="{00000000-0005-0000-0000-0000342E0000}"/>
    <cellStyle name="Normal 2 2 2 2 2 2 4 3 6" xfId="11829" xr:uid="{00000000-0005-0000-0000-0000352E0000}"/>
    <cellStyle name="Normal 2 2 2 2 2 2 4 3 7" xfId="11830" xr:uid="{00000000-0005-0000-0000-0000362E0000}"/>
    <cellStyle name="Normal 2 2 2 2 2 2 4 3 8" xfId="11831" xr:uid="{00000000-0005-0000-0000-0000372E0000}"/>
    <cellStyle name="Normal 2 2 2 2 2 2 4 3 9" xfId="11832" xr:uid="{00000000-0005-0000-0000-0000382E0000}"/>
    <cellStyle name="Normal 2 2 2 2 2 2 4 4" xfId="11833" xr:uid="{00000000-0005-0000-0000-0000392E0000}"/>
    <cellStyle name="Normal 2 2 2 2 2 2 4 4 10" xfId="11834" xr:uid="{00000000-0005-0000-0000-00003A2E0000}"/>
    <cellStyle name="Normal 2 2 2 2 2 2 4 4 2" xfId="11835" xr:uid="{00000000-0005-0000-0000-00003B2E0000}"/>
    <cellStyle name="Normal 2 2 2 2 2 2 4 4 3" xfId="11836" xr:uid="{00000000-0005-0000-0000-00003C2E0000}"/>
    <cellStyle name="Normal 2 2 2 2 2 2 4 4 4" xfId="11837" xr:uid="{00000000-0005-0000-0000-00003D2E0000}"/>
    <cellStyle name="Normal 2 2 2 2 2 2 4 4 5" xfId="11838" xr:uid="{00000000-0005-0000-0000-00003E2E0000}"/>
    <cellStyle name="Normal 2 2 2 2 2 2 4 4 6" xfId="11839" xr:uid="{00000000-0005-0000-0000-00003F2E0000}"/>
    <cellStyle name="Normal 2 2 2 2 2 2 4 4 7" xfId="11840" xr:uid="{00000000-0005-0000-0000-0000402E0000}"/>
    <cellStyle name="Normal 2 2 2 2 2 2 4 4 8" xfId="11841" xr:uid="{00000000-0005-0000-0000-0000412E0000}"/>
    <cellStyle name="Normal 2 2 2 2 2 2 4 4 9" xfId="11842" xr:uid="{00000000-0005-0000-0000-0000422E0000}"/>
    <cellStyle name="Normal 2 2 2 2 2 2 4 5" xfId="11843" xr:uid="{00000000-0005-0000-0000-0000432E0000}"/>
    <cellStyle name="Normal 2 2 2 2 2 2 4 5 10" xfId="11844" xr:uid="{00000000-0005-0000-0000-0000442E0000}"/>
    <cellStyle name="Normal 2 2 2 2 2 2 4 5 2" xfId="11845" xr:uid="{00000000-0005-0000-0000-0000452E0000}"/>
    <cellStyle name="Normal 2 2 2 2 2 2 4 5 3" xfId="11846" xr:uid="{00000000-0005-0000-0000-0000462E0000}"/>
    <cellStyle name="Normal 2 2 2 2 2 2 4 5 4" xfId="11847" xr:uid="{00000000-0005-0000-0000-0000472E0000}"/>
    <cellStyle name="Normal 2 2 2 2 2 2 4 5 5" xfId="11848" xr:uid="{00000000-0005-0000-0000-0000482E0000}"/>
    <cellStyle name="Normal 2 2 2 2 2 2 4 5 6" xfId="11849" xr:uid="{00000000-0005-0000-0000-0000492E0000}"/>
    <cellStyle name="Normal 2 2 2 2 2 2 4 5 7" xfId="11850" xr:uid="{00000000-0005-0000-0000-00004A2E0000}"/>
    <cellStyle name="Normal 2 2 2 2 2 2 4 5 8" xfId="11851" xr:uid="{00000000-0005-0000-0000-00004B2E0000}"/>
    <cellStyle name="Normal 2 2 2 2 2 2 4 5 9" xfId="11852" xr:uid="{00000000-0005-0000-0000-00004C2E0000}"/>
    <cellStyle name="Normal 2 2 2 2 2 2 4 6" xfId="11853" xr:uid="{00000000-0005-0000-0000-00004D2E0000}"/>
    <cellStyle name="Normal 2 2 2 2 2 2 4 7" xfId="11854" xr:uid="{00000000-0005-0000-0000-00004E2E0000}"/>
    <cellStyle name="Normal 2 2 2 2 2 2 4 8" xfId="11855" xr:uid="{00000000-0005-0000-0000-00004F2E0000}"/>
    <cellStyle name="Normal 2 2 2 2 2 2 4 9" xfId="11856" xr:uid="{00000000-0005-0000-0000-0000502E0000}"/>
    <cellStyle name="Normal 2 2 2 2 2 2 40" xfId="11857" xr:uid="{00000000-0005-0000-0000-0000512E0000}"/>
    <cellStyle name="Normal 2 2 2 2 2 2 41" xfId="11858" xr:uid="{00000000-0005-0000-0000-0000522E0000}"/>
    <cellStyle name="Normal 2 2 2 2 2 2 42" xfId="11859" xr:uid="{00000000-0005-0000-0000-0000532E0000}"/>
    <cellStyle name="Normal 2 2 2 2 2 2 43" xfId="11860" xr:uid="{00000000-0005-0000-0000-0000542E0000}"/>
    <cellStyle name="Normal 2 2 2 2 2 2 44" xfId="11861" xr:uid="{00000000-0005-0000-0000-0000552E0000}"/>
    <cellStyle name="Normal 2 2 2 2 2 2 45" xfId="11862" xr:uid="{00000000-0005-0000-0000-0000562E0000}"/>
    <cellStyle name="Normal 2 2 2 2 2 2 46" xfId="11863" xr:uid="{00000000-0005-0000-0000-0000572E0000}"/>
    <cellStyle name="Normal 2 2 2 2 2 2 47" xfId="11864" xr:uid="{00000000-0005-0000-0000-0000582E0000}"/>
    <cellStyle name="Normal 2 2 2 2 2 2 48" xfId="11865" xr:uid="{00000000-0005-0000-0000-0000592E0000}"/>
    <cellStyle name="Normal 2 2 2 2 2 2 5" xfId="11866" xr:uid="{00000000-0005-0000-0000-00005A2E0000}"/>
    <cellStyle name="Normal 2 2 2 2 2 2 5 10" xfId="11867" xr:uid="{00000000-0005-0000-0000-00005B2E0000}"/>
    <cellStyle name="Normal 2 2 2 2 2 2 5 11" xfId="11868" xr:uid="{00000000-0005-0000-0000-00005C2E0000}"/>
    <cellStyle name="Normal 2 2 2 2 2 2 5 12" xfId="11869" xr:uid="{00000000-0005-0000-0000-00005D2E0000}"/>
    <cellStyle name="Normal 2 2 2 2 2 2 5 13" xfId="11870" xr:uid="{00000000-0005-0000-0000-00005E2E0000}"/>
    <cellStyle name="Normal 2 2 2 2 2 2 5 14" xfId="11871" xr:uid="{00000000-0005-0000-0000-00005F2E0000}"/>
    <cellStyle name="Normal 2 2 2 2 2 2 5 2" xfId="11872" xr:uid="{00000000-0005-0000-0000-0000602E0000}"/>
    <cellStyle name="Normal 2 2 2 2 2 2 5 2 10" xfId="11873" xr:uid="{00000000-0005-0000-0000-0000612E0000}"/>
    <cellStyle name="Normal 2 2 2 2 2 2 5 2 2" xfId="11874" xr:uid="{00000000-0005-0000-0000-0000622E0000}"/>
    <cellStyle name="Normal 2 2 2 2 2 2 5 2 3" xfId="11875" xr:uid="{00000000-0005-0000-0000-0000632E0000}"/>
    <cellStyle name="Normal 2 2 2 2 2 2 5 2 4" xfId="11876" xr:uid="{00000000-0005-0000-0000-0000642E0000}"/>
    <cellStyle name="Normal 2 2 2 2 2 2 5 2 5" xfId="11877" xr:uid="{00000000-0005-0000-0000-0000652E0000}"/>
    <cellStyle name="Normal 2 2 2 2 2 2 5 2 6" xfId="11878" xr:uid="{00000000-0005-0000-0000-0000662E0000}"/>
    <cellStyle name="Normal 2 2 2 2 2 2 5 2 7" xfId="11879" xr:uid="{00000000-0005-0000-0000-0000672E0000}"/>
    <cellStyle name="Normal 2 2 2 2 2 2 5 2 8" xfId="11880" xr:uid="{00000000-0005-0000-0000-0000682E0000}"/>
    <cellStyle name="Normal 2 2 2 2 2 2 5 2 9" xfId="11881" xr:uid="{00000000-0005-0000-0000-0000692E0000}"/>
    <cellStyle name="Normal 2 2 2 2 2 2 5 3" xfId="11882" xr:uid="{00000000-0005-0000-0000-00006A2E0000}"/>
    <cellStyle name="Normal 2 2 2 2 2 2 5 3 10" xfId="11883" xr:uid="{00000000-0005-0000-0000-00006B2E0000}"/>
    <cellStyle name="Normal 2 2 2 2 2 2 5 3 2" xfId="11884" xr:uid="{00000000-0005-0000-0000-00006C2E0000}"/>
    <cellStyle name="Normal 2 2 2 2 2 2 5 3 3" xfId="11885" xr:uid="{00000000-0005-0000-0000-00006D2E0000}"/>
    <cellStyle name="Normal 2 2 2 2 2 2 5 3 4" xfId="11886" xr:uid="{00000000-0005-0000-0000-00006E2E0000}"/>
    <cellStyle name="Normal 2 2 2 2 2 2 5 3 5" xfId="11887" xr:uid="{00000000-0005-0000-0000-00006F2E0000}"/>
    <cellStyle name="Normal 2 2 2 2 2 2 5 3 6" xfId="11888" xr:uid="{00000000-0005-0000-0000-0000702E0000}"/>
    <cellStyle name="Normal 2 2 2 2 2 2 5 3 7" xfId="11889" xr:uid="{00000000-0005-0000-0000-0000712E0000}"/>
    <cellStyle name="Normal 2 2 2 2 2 2 5 3 8" xfId="11890" xr:uid="{00000000-0005-0000-0000-0000722E0000}"/>
    <cellStyle name="Normal 2 2 2 2 2 2 5 3 9" xfId="11891" xr:uid="{00000000-0005-0000-0000-0000732E0000}"/>
    <cellStyle name="Normal 2 2 2 2 2 2 5 4" xfId="11892" xr:uid="{00000000-0005-0000-0000-0000742E0000}"/>
    <cellStyle name="Normal 2 2 2 2 2 2 5 4 10" xfId="11893" xr:uid="{00000000-0005-0000-0000-0000752E0000}"/>
    <cellStyle name="Normal 2 2 2 2 2 2 5 4 2" xfId="11894" xr:uid="{00000000-0005-0000-0000-0000762E0000}"/>
    <cellStyle name="Normal 2 2 2 2 2 2 5 4 3" xfId="11895" xr:uid="{00000000-0005-0000-0000-0000772E0000}"/>
    <cellStyle name="Normal 2 2 2 2 2 2 5 4 4" xfId="11896" xr:uid="{00000000-0005-0000-0000-0000782E0000}"/>
    <cellStyle name="Normal 2 2 2 2 2 2 5 4 5" xfId="11897" xr:uid="{00000000-0005-0000-0000-0000792E0000}"/>
    <cellStyle name="Normal 2 2 2 2 2 2 5 4 6" xfId="11898" xr:uid="{00000000-0005-0000-0000-00007A2E0000}"/>
    <cellStyle name="Normal 2 2 2 2 2 2 5 4 7" xfId="11899" xr:uid="{00000000-0005-0000-0000-00007B2E0000}"/>
    <cellStyle name="Normal 2 2 2 2 2 2 5 4 8" xfId="11900" xr:uid="{00000000-0005-0000-0000-00007C2E0000}"/>
    <cellStyle name="Normal 2 2 2 2 2 2 5 4 9" xfId="11901" xr:uid="{00000000-0005-0000-0000-00007D2E0000}"/>
    <cellStyle name="Normal 2 2 2 2 2 2 5 5" xfId="11902" xr:uid="{00000000-0005-0000-0000-00007E2E0000}"/>
    <cellStyle name="Normal 2 2 2 2 2 2 5 5 10" xfId="11903" xr:uid="{00000000-0005-0000-0000-00007F2E0000}"/>
    <cellStyle name="Normal 2 2 2 2 2 2 5 5 2" xfId="11904" xr:uid="{00000000-0005-0000-0000-0000802E0000}"/>
    <cellStyle name="Normal 2 2 2 2 2 2 5 5 3" xfId="11905" xr:uid="{00000000-0005-0000-0000-0000812E0000}"/>
    <cellStyle name="Normal 2 2 2 2 2 2 5 5 4" xfId="11906" xr:uid="{00000000-0005-0000-0000-0000822E0000}"/>
    <cellStyle name="Normal 2 2 2 2 2 2 5 5 5" xfId="11907" xr:uid="{00000000-0005-0000-0000-0000832E0000}"/>
    <cellStyle name="Normal 2 2 2 2 2 2 5 5 6" xfId="11908" xr:uid="{00000000-0005-0000-0000-0000842E0000}"/>
    <cellStyle name="Normal 2 2 2 2 2 2 5 5 7" xfId="11909" xr:uid="{00000000-0005-0000-0000-0000852E0000}"/>
    <cellStyle name="Normal 2 2 2 2 2 2 5 5 8" xfId="11910" xr:uid="{00000000-0005-0000-0000-0000862E0000}"/>
    <cellStyle name="Normal 2 2 2 2 2 2 5 5 9" xfId="11911" xr:uid="{00000000-0005-0000-0000-0000872E0000}"/>
    <cellStyle name="Normal 2 2 2 2 2 2 5 6" xfId="11912" xr:uid="{00000000-0005-0000-0000-0000882E0000}"/>
    <cellStyle name="Normal 2 2 2 2 2 2 5 7" xfId="11913" xr:uid="{00000000-0005-0000-0000-0000892E0000}"/>
    <cellStyle name="Normal 2 2 2 2 2 2 5 8" xfId="11914" xr:uid="{00000000-0005-0000-0000-00008A2E0000}"/>
    <cellStyle name="Normal 2 2 2 2 2 2 5 9" xfId="11915" xr:uid="{00000000-0005-0000-0000-00008B2E0000}"/>
    <cellStyle name="Normal 2 2 2 2 2 2 6" xfId="11916" xr:uid="{00000000-0005-0000-0000-00008C2E0000}"/>
    <cellStyle name="Normal 2 2 2 2 2 2 6 10" xfId="11917" xr:uid="{00000000-0005-0000-0000-00008D2E0000}"/>
    <cellStyle name="Normal 2 2 2 2 2 2 6 11" xfId="11918" xr:uid="{00000000-0005-0000-0000-00008E2E0000}"/>
    <cellStyle name="Normal 2 2 2 2 2 2 6 12" xfId="11919" xr:uid="{00000000-0005-0000-0000-00008F2E0000}"/>
    <cellStyle name="Normal 2 2 2 2 2 2 6 13" xfId="11920" xr:uid="{00000000-0005-0000-0000-0000902E0000}"/>
    <cellStyle name="Normal 2 2 2 2 2 2 6 14" xfId="11921" xr:uid="{00000000-0005-0000-0000-0000912E0000}"/>
    <cellStyle name="Normal 2 2 2 2 2 2 6 2" xfId="11922" xr:uid="{00000000-0005-0000-0000-0000922E0000}"/>
    <cellStyle name="Normal 2 2 2 2 2 2 6 2 10" xfId="11923" xr:uid="{00000000-0005-0000-0000-0000932E0000}"/>
    <cellStyle name="Normal 2 2 2 2 2 2 6 2 2" xfId="11924" xr:uid="{00000000-0005-0000-0000-0000942E0000}"/>
    <cellStyle name="Normal 2 2 2 2 2 2 6 2 3" xfId="11925" xr:uid="{00000000-0005-0000-0000-0000952E0000}"/>
    <cellStyle name="Normal 2 2 2 2 2 2 6 2 4" xfId="11926" xr:uid="{00000000-0005-0000-0000-0000962E0000}"/>
    <cellStyle name="Normal 2 2 2 2 2 2 6 2 5" xfId="11927" xr:uid="{00000000-0005-0000-0000-0000972E0000}"/>
    <cellStyle name="Normal 2 2 2 2 2 2 6 2 6" xfId="11928" xr:uid="{00000000-0005-0000-0000-0000982E0000}"/>
    <cellStyle name="Normal 2 2 2 2 2 2 6 2 7" xfId="11929" xr:uid="{00000000-0005-0000-0000-0000992E0000}"/>
    <cellStyle name="Normal 2 2 2 2 2 2 6 2 8" xfId="11930" xr:uid="{00000000-0005-0000-0000-00009A2E0000}"/>
    <cellStyle name="Normal 2 2 2 2 2 2 6 2 9" xfId="11931" xr:uid="{00000000-0005-0000-0000-00009B2E0000}"/>
    <cellStyle name="Normal 2 2 2 2 2 2 6 3" xfId="11932" xr:uid="{00000000-0005-0000-0000-00009C2E0000}"/>
    <cellStyle name="Normal 2 2 2 2 2 2 6 3 10" xfId="11933" xr:uid="{00000000-0005-0000-0000-00009D2E0000}"/>
    <cellStyle name="Normal 2 2 2 2 2 2 6 3 2" xfId="11934" xr:uid="{00000000-0005-0000-0000-00009E2E0000}"/>
    <cellStyle name="Normal 2 2 2 2 2 2 6 3 3" xfId="11935" xr:uid="{00000000-0005-0000-0000-00009F2E0000}"/>
    <cellStyle name="Normal 2 2 2 2 2 2 6 3 4" xfId="11936" xr:uid="{00000000-0005-0000-0000-0000A02E0000}"/>
    <cellStyle name="Normal 2 2 2 2 2 2 6 3 5" xfId="11937" xr:uid="{00000000-0005-0000-0000-0000A12E0000}"/>
    <cellStyle name="Normal 2 2 2 2 2 2 6 3 6" xfId="11938" xr:uid="{00000000-0005-0000-0000-0000A22E0000}"/>
    <cellStyle name="Normal 2 2 2 2 2 2 6 3 7" xfId="11939" xr:uid="{00000000-0005-0000-0000-0000A32E0000}"/>
    <cellStyle name="Normal 2 2 2 2 2 2 6 3 8" xfId="11940" xr:uid="{00000000-0005-0000-0000-0000A42E0000}"/>
    <cellStyle name="Normal 2 2 2 2 2 2 6 3 9" xfId="11941" xr:uid="{00000000-0005-0000-0000-0000A52E0000}"/>
    <cellStyle name="Normal 2 2 2 2 2 2 6 4" xfId="11942" xr:uid="{00000000-0005-0000-0000-0000A62E0000}"/>
    <cellStyle name="Normal 2 2 2 2 2 2 6 4 10" xfId="11943" xr:uid="{00000000-0005-0000-0000-0000A72E0000}"/>
    <cellStyle name="Normal 2 2 2 2 2 2 6 4 2" xfId="11944" xr:uid="{00000000-0005-0000-0000-0000A82E0000}"/>
    <cellStyle name="Normal 2 2 2 2 2 2 6 4 3" xfId="11945" xr:uid="{00000000-0005-0000-0000-0000A92E0000}"/>
    <cellStyle name="Normal 2 2 2 2 2 2 6 4 4" xfId="11946" xr:uid="{00000000-0005-0000-0000-0000AA2E0000}"/>
    <cellStyle name="Normal 2 2 2 2 2 2 6 4 5" xfId="11947" xr:uid="{00000000-0005-0000-0000-0000AB2E0000}"/>
    <cellStyle name="Normal 2 2 2 2 2 2 6 4 6" xfId="11948" xr:uid="{00000000-0005-0000-0000-0000AC2E0000}"/>
    <cellStyle name="Normal 2 2 2 2 2 2 6 4 7" xfId="11949" xr:uid="{00000000-0005-0000-0000-0000AD2E0000}"/>
    <cellStyle name="Normal 2 2 2 2 2 2 6 4 8" xfId="11950" xr:uid="{00000000-0005-0000-0000-0000AE2E0000}"/>
    <cellStyle name="Normal 2 2 2 2 2 2 6 4 9" xfId="11951" xr:uid="{00000000-0005-0000-0000-0000AF2E0000}"/>
    <cellStyle name="Normal 2 2 2 2 2 2 6 5" xfId="11952" xr:uid="{00000000-0005-0000-0000-0000B02E0000}"/>
    <cellStyle name="Normal 2 2 2 2 2 2 6 5 10" xfId="11953" xr:uid="{00000000-0005-0000-0000-0000B12E0000}"/>
    <cellStyle name="Normal 2 2 2 2 2 2 6 5 2" xfId="11954" xr:uid="{00000000-0005-0000-0000-0000B22E0000}"/>
    <cellStyle name="Normal 2 2 2 2 2 2 6 5 3" xfId="11955" xr:uid="{00000000-0005-0000-0000-0000B32E0000}"/>
    <cellStyle name="Normal 2 2 2 2 2 2 6 5 4" xfId="11956" xr:uid="{00000000-0005-0000-0000-0000B42E0000}"/>
    <cellStyle name="Normal 2 2 2 2 2 2 6 5 5" xfId="11957" xr:uid="{00000000-0005-0000-0000-0000B52E0000}"/>
    <cellStyle name="Normal 2 2 2 2 2 2 6 5 6" xfId="11958" xr:uid="{00000000-0005-0000-0000-0000B62E0000}"/>
    <cellStyle name="Normal 2 2 2 2 2 2 6 5 7" xfId="11959" xr:uid="{00000000-0005-0000-0000-0000B72E0000}"/>
    <cellStyle name="Normal 2 2 2 2 2 2 6 5 8" xfId="11960" xr:uid="{00000000-0005-0000-0000-0000B82E0000}"/>
    <cellStyle name="Normal 2 2 2 2 2 2 6 5 9" xfId="11961" xr:uid="{00000000-0005-0000-0000-0000B92E0000}"/>
    <cellStyle name="Normal 2 2 2 2 2 2 6 6" xfId="11962" xr:uid="{00000000-0005-0000-0000-0000BA2E0000}"/>
    <cellStyle name="Normal 2 2 2 2 2 2 6 7" xfId="11963" xr:uid="{00000000-0005-0000-0000-0000BB2E0000}"/>
    <cellStyle name="Normal 2 2 2 2 2 2 6 8" xfId="11964" xr:uid="{00000000-0005-0000-0000-0000BC2E0000}"/>
    <cellStyle name="Normal 2 2 2 2 2 2 6 9" xfId="11965" xr:uid="{00000000-0005-0000-0000-0000BD2E0000}"/>
    <cellStyle name="Normal 2 2 2 2 2 2 7" xfId="11966" xr:uid="{00000000-0005-0000-0000-0000BE2E0000}"/>
    <cellStyle name="Normal 2 2 2 2 2 2 7 10" xfId="11967" xr:uid="{00000000-0005-0000-0000-0000BF2E0000}"/>
    <cellStyle name="Normal 2 2 2 2 2 2 7 11" xfId="11968" xr:uid="{00000000-0005-0000-0000-0000C02E0000}"/>
    <cellStyle name="Normal 2 2 2 2 2 2 7 12" xfId="11969" xr:uid="{00000000-0005-0000-0000-0000C12E0000}"/>
    <cellStyle name="Normal 2 2 2 2 2 2 7 13" xfId="11970" xr:uid="{00000000-0005-0000-0000-0000C22E0000}"/>
    <cellStyle name="Normal 2 2 2 2 2 2 7 14" xfId="11971" xr:uid="{00000000-0005-0000-0000-0000C32E0000}"/>
    <cellStyle name="Normal 2 2 2 2 2 2 7 2" xfId="11972" xr:uid="{00000000-0005-0000-0000-0000C42E0000}"/>
    <cellStyle name="Normal 2 2 2 2 2 2 7 2 10" xfId="11973" xr:uid="{00000000-0005-0000-0000-0000C52E0000}"/>
    <cellStyle name="Normal 2 2 2 2 2 2 7 2 2" xfId="11974" xr:uid="{00000000-0005-0000-0000-0000C62E0000}"/>
    <cellStyle name="Normal 2 2 2 2 2 2 7 2 3" xfId="11975" xr:uid="{00000000-0005-0000-0000-0000C72E0000}"/>
    <cellStyle name="Normal 2 2 2 2 2 2 7 2 4" xfId="11976" xr:uid="{00000000-0005-0000-0000-0000C82E0000}"/>
    <cellStyle name="Normal 2 2 2 2 2 2 7 2 5" xfId="11977" xr:uid="{00000000-0005-0000-0000-0000C92E0000}"/>
    <cellStyle name="Normal 2 2 2 2 2 2 7 2 6" xfId="11978" xr:uid="{00000000-0005-0000-0000-0000CA2E0000}"/>
    <cellStyle name="Normal 2 2 2 2 2 2 7 2 7" xfId="11979" xr:uid="{00000000-0005-0000-0000-0000CB2E0000}"/>
    <cellStyle name="Normal 2 2 2 2 2 2 7 2 8" xfId="11980" xr:uid="{00000000-0005-0000-0000-0000CC2E0000}"/>
    <cellStyle name="Normal 2 2 2 2 2 2 7 2 9" xfId="11981" xr:uid="{00000000-0005-0000-0000-0000CD2E0000}"/>
    <cellStyle name="Normal 2 2 2 2 2 2 7 3" xfId="11982" xr:uid="{00000000-0005-0000-0000-0000CE2E0000}"/>
    <cellStyle name="Normal 2 2 2 2 2 2 7 3 10" xfId="11983" xr:uid="{00000000-0005-0000-0000-0000CF2E0000}"/>
    <cellStyle name="Normal 2 2 2 2 2 2 7 3 2" xfId="11984" xr:uid="{00000000-0005-0000-0000-0000D02E0000}"/>
    <cellStyle name="Normal 2 2 2 2 2 2 7 3 3" xfId="11985" xr:uid="{00000000-0005-0000-0000-0000D12E0000}"/>
    <cellStyle name="Normal 2 2 2 2 2 2 7 3 4" xfId="11986" xr:uid="{00000000-0005-0000-0000-0000D22E0000}"/>
    <cellStyle name="Normal 2 2 2 2 2 2 7 3 5" xfId="11987" xr:uid="{00000000-0005-0000-0000-0000D32E0000}"/>
    <cellStyle name="Normal 2 2 2 2 2 2 7 3 6" xfId="11988" xr:uid="{00000000-0005-0000-0000-0000D42E0000}"/>
    <cellStyle name="Normal 2 2 2 2 2 2 7 3 7" xfId="11989" xr:uid="{00000000-0005-0000-0000-0000D52E0000}"/>
    <cellStyle name="Normal 2 2 2 2 2 2 7 3 8" xfId="11990" xr:uid="{00000000-0005-0000-0000-0000D62E0000}"/>
    <cellStyle name="Normal 2 2 2 2 2 2 7 3 9" xfId="11991" xr:uid="{00000000-0005-0000-0000-0000D72E0000}"/>
    <cellStyle name="Normal 2 2 2 2 2 2 7 4" xfId="11992" xr:uid="{00000000-0005-0000-0000-0000D82E0000}"/>
    <cellStyle name="Normal 2 2 2 2 2 2 7 4 10" xfId="11993" xr:uid="{00000000-0005-0000-0000-0000D92E0000}"/>
    <cellStyle name="Normal 2 2 2 2 2 2 7 4 2" xfId="11994" xr:uid="{00000000-0005-0000-0000-0000DA2E0000}"/>
    <cellStyle name="Normal 2 2 2 2 2 2 7 4 3" xfId="11995" xr:uid="{00000000-0005-0000-0000-0000DB2E0000}"/>
    <cellStyle name="Normal 2 2 2 2 2 2 7 4 4" xfId="11996" xr:uid="{00000000-0005-0000-0000-0000DC2E0000}"/>
    <cellStyle name="Normal 2 2 2 2 2 2 7 4 5" xfId="11997" xr:uid="{00000000-0005-0000-0000-0000DD2E0000}"/>
    <cellStyle name="Normal 2 2 2 2 2 2 7 4 6" xfId="11998" xr:uid="{00000000-0005-0000-0000-0000DE2E0000}"/>
    <cellStyle name="Normal 2 2 2 2 2 2 7 4 7" xfId="11999" xr:uid="{00000000-0005-0000-0000-0000DF2E0000}"/>
    <cellStyle name="Normal 2 2 2 2 2 2 7 4 8" xfId="12000" xr:uid="{00000000-0005-0000-0000-0000E02E0000}"/>
    <cellStyle name="Normal 2 2 2 2 2 2 7 4 9" xfId="12001" xr:uid="{00000000-0005-0000-0000-0000E12E0000}"/>
    <cellStyle name="Normal 2 2 2 2 2 2 7 5" xfId="12002" xr:uid="{00000000-0005-0000-0000-0000E22E0000}"/>
    <cellStyle name="Normal 2 2 2 2 2 2 7 5 10" xfId="12003" xr:uid="{00000000-0005-0000-0000-0000E32E0000}"/>
    <cellStyle name="Normal 2 2 2 2 2 2 7 5 2" xfId="12004" xr:uid="{00000000-0005-0000-0000-0000E42E0000}"/>
    <cellStyle name="Normal 2 2 2 2 2 2 7 5 3" xfId="12005" xr:uid="{00000000-0005-0000-0000-0000E52E0000}"/>
    <cellStyle name="Normal 2 2 2 2 2 2 7 5 4" xfId="12006" xr:uid="{00000000-0005-0000-0000-0000E62E0000}"/>
    <cellStyle name="Normal 2 2 2 2 2 2 7 5 5" xfId="12007" xr:uid="{00000000-0005-0000-0000-0000E72E0000}"/>
    <cellStyle name="Normal 2 2 2 2 2 2 7 5 6" xfId="12008" xr:uid="{00000000-0005-0000-0000-0000E82E0000}"/>
    <cellStyle name="Normal 2 2 2 2 2 2 7 5 7" xfId="12009" xr:uid="{00000000-0005-0000-0000-0000E92E0000}"/>
    <cellStyle name="Normal 2 2 2 2 2 2 7 5 8" xfId="12010" xr:uid="{00000000-0005-0000-0000-0000EA2E0000}"/>
    <cellStyle name="Normal 2 2 2 2 2 2 7 5 9" xfId="12011" xr:uid="{00000000-0005-0000-0000-0000EB2E0000}"/>
    <cellStyle name="Normal 2 2 2 2 2 2 7 6" xfId="12012" xr:uid="{00000000-0005-0000-0000-0000EC2E0000}"/>
    <cellStyle name="Normal 2 2 2 2 2 2 7 7" xfId="12013" xr:uid="{00000000-0005-0000-0000-0000ED2E0000}"/>
    <cellStyle name="Normal 2 2 2 2 2 2 7 8" xfId="12014" xr:uid="{00000000-0005-0000-0000-0000EE2E0000}"/>
    <cellStyle name="Normal 2 2 2 2 2 2 7 9" xfId="12015" xr:uid="{00000000-0005-0000-0000-0000EF2E0000}"/>
    <cellStyle name="Normal 2 2 2 2 2 2 8" xfId="12016" xr:uid="{00000000-0005-0000-0000-0000F02E0000}"/>
    <cellStyle name="Normal 2 2 2 2 2 2 8 10" xfId="12017" xr:uid="{00000000-0005-0000-0000-0000F12E0000}"/>
    <cellStyle name="Normal 2 2 2 2 2 2 8 11" xfId="12018" xr:uid="{00000000-0005-0000-0000-0000F22E0000}"/>
    <cellStyle name="Normal 2 2 2 2 2 2 8 12" xfId="12019" xr:uid="{00000000-0005-0000-0000-0000F32E0000}"/>
    <cellStyle name="Normal 2 2 2 2 2 2 8 13" xfId="12020" xr:uid="{00000000-0005-0000-0000-0000F42E0000}"/>
    <cellStyle name="Normal 2 2 2 2 2 2 8 14" xfId="12021" xr:uid="{00000000-0005-0000-0000-0000F52E0000}"/>
    <cellStyle name="Normal 2 2 2 2 2 2 8 2" xfId="12022" xr:uid="{00000000-0005-0000-0000-0000F62E0000}"/>
    <cellStyle name="Normal 2 2 2 2 2 2 8 2 10" xfId="12023" xr:uid="{00000000-0005-0000-0000-0000F72E0000}"/>
    <cellStyle name="Normal 2 2 2 2 2 2 8 2 2" xfId="12024" xr:uid="{00000000-0005-0000-0000-0000F82E0000}"/>
    <cellStyle name="Normal 2 2 2 2 2 2 8 2 3" xfId="12025" xr:uid="{00000000-0005-0000-0000-0000F92E0000}"/>
    <cellStyle name="Normal 2 2 2 2 2 2 8 2 4" xfId="12026" xr:uid="{00000000-0005-0000-0000-0000FA2E0000}"/>
    <cellStyle name="Normal 2 2 2 2 2 2 8 2 5" xfId="12027" xr:uid="{00000000-0005-0000-0000-0000FB2E0000}"/>
    <cellStyle name="Normal 2 2 2 2 2 2 8 2 6" xfId="12028" xr:uid="{00000000-0005-0000-0000-0000FC2E0000}"/>
    <cellStyle name="Normal 2 2 2 2 2 2 8 2 7" xfId="12029" xr:uid="{00000000-0005-0000-0000-0000FD2E0000}"/>
    <cellStyle name="Normal 2 2 2 2 2 2 8 2 8" xfId="12030" xr:uid="{00000000-0005-0000-0000-0000FE2E0000}"/>
    <cellStyle name="Normal 2 2 2 2 2 2 8 2 9" xfId="12031" xr:uid="{00000000-0005-0000-0000-0000FF2E0000}"/>
    <cellStyle name="Normal 2 2 2 2 2 2 8 3" xfId="12032" xr:uid="{00000000-0005-0000-0000-0000002F0000}"/>
    <cellStyle name="Normal 2 2 2 2 2 2 8 3 10" xfId="12033" xr:uid="{00000000-0005-0000-0000-0000012F0000}"/>
    <cellStyle name="Normal 2 2 2 2 2 2 8 3 2" xfId="12034" xr:uid="{00000000-0005-0000-0000-0000022F0000}"/>
    <cellStyle name="Normal 2 2 2 2 2 2 8 3 3" xfId="12035" xr:uid="{00000000-0005-0000-0000-0000032F0000}"/>
    <cellStyle name="Normal 2 2 2 2 2 2 8 3 4" xfId="12036" xr:uid="{00000000-0005-0000-0000-0000042F0000}"/>
    <cellStyle name="Normal 2 2 2 2 2 2 8 3 5" xfId="12037" xr:uid="{00000000-0005-0000-0000-0000052F0000}"/>
    <cellStyle name="Normal 2 2 2 2 2 2 8 3 6" xfId="12038" xr:uid="{00000000-0005-0000-0000-0000062F0000}"/>
    <cellStyle name="Normal 2 2 2 2 2 2 8 3 7" xfId="12039" xr:uid="{00000000-0005-0000-0000-0000072F0000}"/>
    <cellStyle name="Normal 2 2 2 2 2 2 8 3 8" xfId="12040" xr:uid="{00000000-0005-0000-0000-0000082F0000}"/>
    <cellStyle name="Normal 2 2 2 2 2 2 8 3 9" xfId="12041" xr:uid="{00000000-0005-0000-0000-0000092F0000}"/>
    <cellStyle name="Normal 2 2 2 2 2 2 8 4" xfId="12042" xr:uid="{00000000-0005-0000-0000-00000A2F0000}"/>
    <cellStyle name="Normal 2 2 2 2 2 2 8 4 10" xfId="12043" xr:uid="{00000000-0005-0000-0000-00000B2F0000}"/>
    <cellStyle name="Normal 2 2 2 2 2 2 8 4 2" xfId="12044" xr:uid="{00000000-0005-0000-0000-00000C2F0000}"/>
    <cellStyle name="Normal 2 2 2 2 2 2 8 4 3" xfId="12045" xr:uid="{00000000-0005-0000-0000-00000D2F0000}"/>
    <cellStyle name="Normal 2 2 2 2 2 2 8 4 4" xfId="12046" xr:uid="{00000000-0005-0000-0000-00000E2F0000}"/>
    <cellStyle name="Normal 2 2 2 2 2 2 8 4 5" xfId="12047" xr:uid="{00000000-0005-0000-0000-00000F2F0000}"/>
    <cellStyle name="Normal 2 2 2 2 2 2 8 4 6" xfId="12048" xr:uid="{00000000-0005-0000-0000-0000102F0000}"/>
    <cellStyle name="Normal 2 2 2 2 2 2 8 4 7" xfId="12049" xr:uid="{00000000-0005-0000-0000-0000112F0000}"/>
    <cellStyle name="Normal 2 2 2 2 2 2 8 4 8" xfId="12050" xr:uid="{00000000-0005-0000-0000-0000122F0000}"/>
    <cellStyle name="Normal 2 2 2 2 2 2 8 4 9" xfId="12051" xr:uid="{00000000-0005-0000-0000-0000132F0000}"/>
    <cellStyle name="Normal 2 2 2 2 2 2 8 5" xfId="12052" xr:uid="{00000000-0005-0000-0000-0000142F0000}"/>
    <cellStyle name="Normal 2 2 2 2 2 2 8 5 10" xfId="12053" xr:uid="{00000000-0005-0000-0000-0000152F0000}"/>
    <cellStyle name="Normal 2 2 2 2 2 2 8 5 2" xfId="12054" xr:uid="{00000000-0005-0000-0000-0000162F0000}"/>
    <cellStyle name="Normal 2 2 2 2 2 2 8 5 3" xfId="12055" xr:uid="{00000000-0005-0000-0000-0000172F0000}"/>
    <cellStyle name="Normal 2 2 2 2 2 2 8 5 4" xfId="12056" xr:uid="{00000000-0005-0000-0000-0000182F0000}"/>
    <cellStyle name="Normal 2 2 2 2 2 2 8 5 5" xfId="12057" xr:uid="{00000000-0005-0000-0000-0000192F0000}"/>
    <cellStyle name="Normal 2 2 2 2 2 2 8 5 6" xfId="12058" xr:uid="{00000000-0005-0000-0000-00001A2F0000}"/>
    <cellStyle name="Normal 2 2 2 2 2 2 8 5 7" xfId="12059" xr:uid="{00000000-0005-0000-0000-00001B2F0000}"/>
    <cellStyle name="Normal 2 2 2 2 2 2 8 5 8" xfId="12060" xr:uid="{00000000-0005-0000-0000-00001C2F0000}"/>
    <cellStyle name="Normal 2 2 2 2 2 2 8 5 9" xfId="12061" xr:uid="{00000000-0005-0000-0000-00001D2F0000}"/>
    <cellStyle name="Normal 2 2 2 2 2 2 8 6" xfId="12062" xr:uid="{00000000-0005-0000-0000-00001E2F0000}"/>
    <cellStyle name="Normal 2 2 2 2 2 2 8 7" xfId="12063" xr:uid="{00000000-0005-0000-0000-00001F2F0000}"/>
    <cellStyle name="Normal 2 2 2 2 2 2 8 8" xfId="12064" xr:uid="{00000000-0005-0000-0000-0000202F0000}"/>
    <cellStyle name="Normal 2 2 2 2 2 2 8 9" xfId="12065" xr:uid="{00000000-0005-0000-0000-0000212F0000}"/>
    <cellStyle name="Normal 2 2 2 2 2 2 9" xfId="12066" xr:uid="{00000000-0005-0000-0000-0000222F0000}"/>
    <cellStyle name="Normal 2 2 2 2 2 2 9 10" xfId="12067" xr:uid="{00000000-0005-0000-0000-0000232F0000}"/>
    <cellStyle name="Normal 2 2 2 2 2 2 9 11" xfId="12068" xr:uid="{00000000-0005-0000-0000-0000242F0000}"/>
    <cellStyle name="Normal 2 2 2 2 2 2 9 12" xfId="12069" xr:uid="{00000000-0005-0000-0000-0000252F0000}"/>
    <cellStyle name="Normal 2 2 2 2 2 2 9 13" xfId="12070" xr:uid="{00000000-0005-0000-0000-0000262F0000}"/>
    <cellStyle name="Normal 2 2 2 2 2 2 9 14" xfId="12071" xr:uid="{00000000-0005-0000-0000-0000272F0000}"/>
    <cellStyle name="Normal 2 2 2 2 2 2 9 2" xfId="12072" xr:uid="{00000000-0005-0000-0000-0000282F0000}"/>
    <cellStyle name="Normal 2 2 2 2 2 2 9 2 10" xfId="12073" xr:uid="{00000000-0005-0000-0000-0000292F0000}"/>
    <cellStyle name="Normal 2 2 2 2 2 2 9 2 2" xfId="12074" xr:uid="{00000000-0005-0000-0000-00002A2F0000}"/>
    <cellStyle name="Normal 2 2 2 2 2 2 9 2 3" xfId="12075" xr:uid="{00000000-0005-0000-0000-00002B2F0000}"/>
    <cellStyle name="Normal 2 2 2 2 2 2 9 2 4" xfId="12076" xr:uid="{00000000-0005-0000-0000-00002C2F0000}"/>
    <cellStyle name="Normal 2 2 2 2 2 2 9 2 5" xfId="12077" xr:uid="{00000000-0005-0000-0000-00002D2F0000}"/>
    <cellStyle name="Normal 2 2 2 2 2 2 9 2 6" xfId="12078" xr:uid="{00000000-0005-0000-0000-00002E2F0000}"/>
    <cellStyle name="Normal 2 2 2 2 2 2 9 2 7" xfId="12079" xr:uid="{00000000-0005-0000-0000-00002F2F0000}"/>
    <cellStyle name="Normal 2 2 2 2 2 2 9 2 8" xfId="12080" xr:uid="{00000000-0005-0000-0000-0000302F0000}"/>
    <cellStyle name="Normal 2 2 2 2 2 2 9 2 9" xfId="12081" xr:uid="{00000000-0005-0000-0000-0000312F0000}"/>
    <cellStyle name="Normal 2 2 2 2 2 2 9 3" xfId="12082" xr:uid="{00000000-0005-0000-0000-0000322F0000}"/>
    <cellStyle name="Normal 2 2 2 2 2 2 9 3 10" xfId="12083" xr:uid="{00000000-0005-0000-0000-0000332F0000}"/>
    <cellStyle name="Normal 2 2 2 2 2 2 9 3 2" xfId="12084" xr:uid="{00000000-0005-0000-0000-0000342F0000}"/>
    <cellStyle name="Normal 2 2 2 2 2 2 9 3 3" xfId="12085" xr:uid="{00000000-0005-0000-0000-0000352F0000}"/>
    <cellStyle name="Normal 2 2 2 2 2 2 9 3 4" xfId="12086" xr:uid="{00000000-0005-0000-0000-0000362F0000}"/>
    <cellStyle name="Normal 2 2 2 2 2 2 9 3 5" xfId="12087" xr:uid="{00000000-0005-0000-0000-0000372F0000}"/>
    <cellStyle name="Normal 2 2 2 2 2 2 9 3 6" xfId="12088" xr:uid="{00000000-0005-0000-0000-0000382F0000}"/>
    <cellStyle name="Normal 2 2 2 2 2 2 9 3 7" xfId="12089" xr:uid="{00000000-0005-0000-0000-0000392F0000}"/>
    <cellStyle name="Normal 2 2 2 2 2 2 9 3 8" xfId="12090" xr:uid="{00000000-0005-0000-0000-00003A2F0000}"/>
    <cellStyle name="Normal 2 2 2 2 2 2 9 3 9" xfId="12091" xr:uid="{00000000-0005-0000-0000-00003B2F0000}"/>
    <cellStyle name="Normal 2 2 2 2 2 2 9 4" xfId="12092" xr:uid="{00000000-0005-0000-0000-00003C2F0000}"/>
    <cellStyle name="Normal 2 2 2 2 2 2 9 4 10" xfId="12093" xr:uid="{00000000-0005-0000-0000-00003D2F0000}"/>
    <cellStyle name="Normal 2 2 2 2 2 2 9 4 2" xfId="12094" xr:uid="{00000000-0005-0000-0000-00003E2F0000}"/>
    <cellStyle name="Normal 2 2 2 2 2 2 9 4 3" xfId="12095" xr:uid="{00000000-0005-0000-0000-00003F2F0000}"/>
    <cellStyle name="Normal 2 2 2 2 2 2 9 4 4" xfId="12096" xr:uid="{00000000-0005-0000-0000-0000402F0000}"/>
    <cellStyle name="Normal 2 2 2 2 2 2 9 4 5" xfId="12097" xr:uid="{00000000-0005-0000-0000-0000412F0000}"/>
    <cellStyle name="Normal 2 2 2 2 2 2 9 4 6" xfId="12098" xr:uid="{00000000-0005-0000-0000-0000422F0000}"/>
    <cellStyle name="Normal 2 2 2 2 2 2 9 4 7" xfId="12099" xr:uid="{00000000-0005-0000-0000-0000432F0000}"/>
    <cellStyle name="Normal 2 2 2 2 2 2 9 4 8" xfId="12100" xr:uid="{00000000-0005-0000-0000-0000442F0000}"/>
    <cellStyle name="Normal 2 2 2 2 2 2 9 4 9" xfId="12101" xr:uid="{00000000-0005-0000-0000-0000452F0000}"/>
    <cellStyle name="Normal 2 2 2 2 2 2 9 5" xfId="12102" xr:uid="{00000000-0005-0000-0000-0000462F0000}"/>
    <cellStyle name="Normal 2 2 2 2 2 2 9 5 10" xfId="12103" xr:uid="{00000000-0005-0000-0000-0000472F0000}"/>
    <cellStyle name="Normal 2 2 2 2 2 2 9 5 2" xfId="12104" xr:uid="{00000000-0005-0000-0000-0000482F0000}"/>
    <cellStyle name="Normal 2 2 2 2 2 2 9 5 3" xfId="12105" xr:uid="{00000000-0005-0000-0000-0000492F0000}"/>
    <cellStyle name="Normal 2 2 2 2 2 2 9 5 4" xfId="12106" xr:uid="{00000000-0005-0000-0000-00004A2F0000}"/>
    <cellStyle name="Normal 2 2 2 2 2 2 9 5 5" xfId="12107" xr:uid="{00000000-0005-0000-0000-00004B2F0000}"/>
    <cellStyle name="Normal 2 2 2 2 2 2 9 5 6" xfId="12108" xr:uid="{00000000-0005-0000-0000-00004C2F0000}"/>
    <cellStyle name="Normal 2 2 2 2 2 2 9 5 7" xfId="12109" xr:uid="{00000000-0005-0000-0000-00004D2F0000}"/>
    <cellStyle name="Normal 2 2 2 2 2 2 9 5 8" xfId="12110" xr:uid="{00000000-0005-0000-0000-00004E2F0000}"/>
    <cellStyle name="Normal 2 2 2 2 2 2 9 5 9" xfId="12111" xr:uid="{00000000-0005-0000-0000-00004F2F0000}"/>
    <cellStyle name="Normal 2 2 2 2 2 2 9 6" xfId="12112" xr:uid="{00000000-0005-0000-0000-0000502F0000}"/>
    <cellStyle name="Normal 2 2 2 2 2 2 9 7" xfId="12113" xr:uid="{00000000-0005-0000-0000-0000512F0000}"/>
    <cellStyle name="Normal 2 2 2 2 2 2 9 8" xfId="12114" xr:uid="{00000000-0005-0000-0000-0000522F0000}"/>
    <cellStyle name="Normal 2 2 2 2 2 2 9 9" xfId="12115" xr:uid="{00000000-0005-0000-0000-0000532F0000}"/>
    <cellStyle name="Normal 2 2 2 2 2 20" xfId="12116" xr:uid="{00000000-0005-0000-0000-0000542F0000}"/>
    <cellStyle name="Normal 2 2 2 2 2 20 10" xfId="12117" xr:uid="{00000000-0005-0000-0000-0000552F0000}"/>
    <cellStyle name="Normal 2 2 2 2 2 20 11" xfId="12118" xr:uid="{00000000-0005-0000-0000-0000562F0000}"/>
    <cellStyle name="Normal 2 2 2 2 2 20 12" xfId="12119" xr:uid="{00000000-0005-0000-0000-0000572F0000}"/>
    <cellStyle name="Normal 2 2 2 2 2 20 13" xfId="12120" xr:uid="{00000000-0005-0000-0000-0000582F0000}"/>
    <cellStyle name="Normal 2 2 2 2 2 20 14" xfId="12121" xr:uid="{00000000-0005-0000-0000-0000592F0000}"/>
    <cellStyle name="Normal 2 2 2 2 2 20 2" xfId="12122" xr:uid="{00000000-0005-0000-0000-00005A2F0000}"/>
    <cellStyle name="Normal 2 2 2 2 2 20 2 10" xfId="12123" xr:uid="{00000000-0005-0000-0000-00005B2F0000}"/>
    <cellStyle name="Normal 2 2 2 2 2 20 2 2" xfId="12124" xr:uid="{00000000-0005-0000-0000-00005C2F0000}"/>
    <cellStyle name="Normal 2 2 2 2 2 20 2 3" xfId="12125" xr:uid="{00000000-0005-0000-0000-00005D2F0000}"/>
    <cellStyle name="Normal 2 2 2 2 2 20 2 4" xfId="12126" xr:uid="{00000000-0005-0000-0000-00005E2F0000}"/>
    <cellStyle name="Normal 2 2 2 2 2 20 2 5" xfId="12127" xr:uid="{00000000-0005-0000-0000-00005F2F0000}"/>
    <cellStyle name="Normal 2 2 2 2 2 20 2 6" xfId="12128" xr:uid="{00000000-0005-0000-0000-0000602F0000}"/>
    <cellStyle name="Normal 2 2 2 2 2 20 2 7" xfId="12129" xr:uid="{00000000-0005-0000-0000-0000612F0000}"/>
    <cellStyle name="Normal 2 2 2 2 2 20 2 8" xfId="12130" xr:uid="{00000000-0005-0000-0000-0000622F0000}"/>
    <cellStyle name="Normal 2 2 2 2 2 20 2 9" xfId="12131" xr:uid="{00000000-0005-0000-0000-0000632F0000}"/>
    <cellStyle name="Normal 2 2 2 2 2 20 3" xfId="12132" xr:uid="{00000000-0005-0000-0000-0000642F0000}"/>
    <cellStyle name="Normal 2 2 2 2 2 20 3 10" xfId="12133" xr:uid="{00000000-0005-0000-0000-0000652F0000}"/>
    <cellStyle name="Normal 2 2 2 2 2 20 3 2" xfId="12134" xr:uid="{00000000-0005-0000-0000-0000662F0000}"/>
    <cellStyle name="Normal 2 2 2 2 2 20 3 3" xfId="12135" xr:uid="{00000000-0005-0000-0000-0000672F0000}"/>
    <cellStyle name="Normal 2 2 2 2 2 20 3 4" xfId="12136" xr:uid="{00000000-0005-0000-0000-0000682F0000}"/>
    <cellStyle name="Normal 2 2 2 2 2 20 3 5" xfId="12137" xr:uid="{00000000-0005-0000-0000-0000692F0000}"/>
    <cellStyle name="Normal 2 2 2 2 2 20 3 6" xfId="12138" xr:uid="{00000000-0005-0000-0000-00006A2F0000}"/>
    <cellStyle name="Normal 2 2 2 2 2 20 3 7" xfId="12139" xr:uid="{00000000-0005-0000-0000-00006B2F0000}"/>
    <cellStyle name="Normal 2 2 2 2 2 20 3 8" xfId="12140" xr:uid="{00000000-0005-0000-0000-00006C2F0000}"/>
    <cellStyle name="Normal 2 2 2 2 2 20 3 9" xfId="12141" xr:uid="{00000000-0005-0000-0000-00006D2F0000}"/>
    <cellStyle name="Normal 2 2 2 2 2 20 4" xfId="12142" xr:uid="{00000000-0005-0000-0000-00006E2F0000}"/>
    <cellStyle name="Normal 2 2 2 2 2 20 4 10" xfId="12143" xr:uid="{00000000-0005-0000-0000-00006F2F0000}"/>
    <cellStyle name="Normal 2 2 2 2 2 20 4 2" xfId="12144" xr:uid="{00000000-0005-0000-0000-0000702F0000}"/>
    <cellStyle name="Normal 2 2 2 2 2 20 4 3" xfId="12145" xr:uid="{00000000-0005-0000-0000-0000712F0000}"/>
    <cellStyle name="Normal 2 2 2 2 2 20 4 4" xfId="12146" xr:uid="{00000000-0005-0000-0000-0000722F0000}"/>
    <cellStyle name="Normal 2 2 2 2 2 20 4 5" xfId="12147" xr:uid="{00000000-0005-0000-0000-0000732F0000}"/>
    <cellStyle name="Normal 2 2 2 2 2 20 4 6" xfId="12148" xr:uid="{00000000-0005-0000-0000-0000742F0000}"/>
    <cellStyle name="Normal 2 2 2 2 2 20 4 7" xfId="12149" xr:uid="{00000000-0005-0000-0000-0000752F0000}"/>
    <cellStyle name="Normal 2 2 2 2 2 20 4 8" xfId="12150" xr:uid="{00000000-0005-0000-0000-0000762F0000}"/>
    <cellStyle name="Normal 2 2 2 2 2 20 4 9" xfId="12151" xr:uid="{00000000-0005-0000-0000-0000772F0000}"/>
    <cellStyle name="Normal 2 2 2 2 2 20 5" xfId="12152" xr:uid="{00000000-0005-0000-0000-0000782F0000}"/>
    <cellStyle name="Normal 2 2 2 2 2 20 5 10" xfId="12153" xr:uid="{00000000-0005-0000-0000-0000792F0000}"/>
    <cellStyle name="Normal 2 2 2 2 2 20 5 2" xfId="12154" xr:uid="{00000000-0005-0000-0000-00007A2F0000}"/>
    <cellStyle name="Normal 2 2 2 2 2 20 5 3" xfId="12155" xr:uid="{00000000-0005-0000-0000-00007B2F0000}"/>
    <cellStyle name="Normal 2 2 2 2 2 20 5 4" xfId="12156" xr:uid="{00000000-0005-0000-0000-00007C2F0000}"/>
    <cellStyle name="Normal 2 2 2 2 2 20 5 5" xfId="12157" xr:uid="{00000000-0005-0000-0000-00007D2F0000}"/>
    <cellStyle name="Normal 2 2 2 2 2 20 5 6" xfId="12158" xr:uid="{00000000-0005-0000-0000-00007E2F0000}"/>
    <cellStyle name="Normal 2 2 2 2 2 20 5 7" xfId="12159" xr:uid="{00000000-0005-0000-0000-00007F2F0000}"/>
    <cellStyle name="Normal 2 2 2 2 2 20 5 8" xfId="12160" xr:uid="{00000000-0005-0000-0000-0000802F0000}"/>
    <cellStyle name="Normal 2 2 2 2 2 20 5 9" xfId="12161" xr:uid="{00000000-0005-0000-0000-0000812F0000}"/>
    <cellStyle name="Normal 2 2 2 2 2 20 6" xfId="12162" xr:uid="{00000000-0005-0000-0000-0000822F0000}"/>
    <cellStyle name="Normal 2 2 2 2 2 20 7" xfId="12163" xr:uid="{00000000-0005-0000-0000-0000832F0000}"/>
    <cellStyle name="Normal 2 2 2 2 2 20 8" xfId="12164" xr:uid="{00000000-0005-0000-0000-0000842F0000}"/>
    <cellStyle name="Normal 2 2 2 2 2 20 9" xfId="12165" xr:uid="{00000000-0005-0000-0000-0000852F0000}"/>
    <cellStyle name="Normal 2 2 2 2 2 21" xfId="12166" xr:uid="{00000000-0005-0000-0000-0000862F0000}"/>
    <cellStyle name="Normal 2 2 2 2 2 21 10" xfId="12167" xr:uid="{00000000-0005-0000-0000-0000872F0000}"/>
    <cellStyle name="Normal 2 2 2 2 2 21 11" xfId="12168" xr:uid="{00000000-0005-0000-0000-0000882F0000}"/>
    <cellStyle name="Normal 2 2 2 2 2 21 12" xfId="12169" xr:uid="{00000000-0005-0000-0000-0000892F0000}"/>
    <cellStyle name="Normal 2 2 2 2 2 21 13" xfId="12170" xr:uid="{00000000-0005-0000-0000-00008A2F0000}"/>
    <cellStyle name="Normal 2 2 2 2 2 21 14" xfId="12171" xr:uid="{00000000-0005-0000-0000-00008B2F0000}"/>
    <cellStyle name="Normal 2 2 2 2 2 21 2" xfId="12172" xr:uid="{00000000-0005-0000-0000-00008C2F0000}"/>
    <cellStyle name="Normal 2 2 2 2 2 21 2 10" xfId="12173" xr:uid="{00000000-0005-0000-0000-00008D2F0000}"/>
    <cellStyle name="Normal 2 2 2 2 2 21 2 2" xfId="12174" xr:uid="{00000000-0005-0000-0000-00008E2F0000}"/>
    <cellStyle name="Normal 2 2 2 2 2 21 2 3" xfId="12175" xr:uid="{00000000-0005-0000-0000-00008F2F0000}"/>
    <cellStyle name="Normal 2 2 2 2 2 21 2 4" xfId="12176" xr:uid="{00000000-0005-0000-0000-0000902F0000}"/>
    <cellStyle name="Normal 2 2 2 2 2 21 2 5" xfId="12177" xr:uid="{00000000-0005-0000-0000-0000912F0000}"/>
    <cellStyle name="Normal 2 2 2 2 2 21 2 6" xfId="12178" xr:uid="{00000000-0005-0000-0000-0000922F0000}"/>
    <cellStyle name="Normal 2 2 2 2 2 21 2 7" xfId="12179" xr:uid="{00000000-0005-0000-0000-0000932F0000}"/>
    <cellStyle name="Normal 2 2 2 2 2 21 2 8" xfId="12180" xr:uid="{00000000-0005-0000-0000-0000942F0000}"/>
    <cellStyle name="Normal 2 2 2 2 2 21 2 9" xfId="12181" xr:uid="{00000000-0005-0000-0000-0000952F0000}"/>
    <cellStyle name="Normal 2 2 2 2 2 21 3" xfId="12182" xr:uid="{00000000-0005-0000-0000-0000962F0000}"/>
    <cellStyle name="Normal 2 2 2 2 2 21 3 10" xfId="12183" xr:uid="{00000000-0005-0000-0000-0000972F0000}"/>
    <cellStyle name="Normal 2 2 2 2 2 21 3 2" xfId="12184" xr:uid="{00000000-0005-0000-0000-0000982F0000}"/>
    <cellStyle name="Normal 2 2 2 2 2 21 3 3" xfId="12185" xr:uid="{00000000-0005-0000-0000-0000992F0000}"/>
    <cellStyle name="Normal 2 2 2 2 2 21 3 4" xfId="12186" xr:uid="{00000000-0005-0000-0000-00009A2F0000}"/>
    <cellStyle name="Normal 2 2 2 2 2 21 3 5" xfId="12187" xr:uid="{00000000-0005-0000-0000-00009B2F0000}"/>
    <cellStyle name="Normal 2 2 2 2 2 21 3 6" xfId="12188" xr:uid="{00000000-0005-0000-0000-00009C2F0000}"/>
    <cellStyle name="Normal 2 2 2 2 2 21 3 7" xfId="12189" xr:uid="{00000000-0005-0000-0000-00009D2F0000}"/>
    <cellStyle name="Normal 2 2 2 2 2 21 3 8" xfId="12190" xr:uid="{00000000-0005-0000-0000-00009E2F0000}"/>
    <cellStyle name="Normal 2 2 2 2 2 21 3 9" xfId="12191" xr:uid="{00000000-0005-0000-0000-00009F2F0000}"/>
    <cellStyle name="Normal 2 2 2 2 2 21 4" xfId="12192" xr:uid="{00000000-0005-0000-0000-0000A02F0000}"/>
    <cellStyle name="Normal 2 2 2 2 2 21 4 10" xfId="12193" xr:uid="{00000000-0005-0000-0000-0000A12F0000}"/>
    <cellStyle name="Normal 2 2 2 2 2 21 4 2" xfId="12194" xr:uid="{00000000-0005-0000-0000-0000A22F0000}"/>
    <cellStyle name="Normal 2 2 2 2 2 21 4 3" xfId="12195" xr:uid="{00000000-0005-0000-0000-0000A32F0000}"/>
    <cellStyle name="Normal 2 2 2 2 2 21 4 4" xfId="12196" xr:uid="{00000000-0005-0000-0000-0000A42F0000}"/>
    <cellStyle name="Normal 2 2 2 2 2 21 4 5" xfId="12197" xr:uid="{00000000-0005-0000-0000-0000A52F0000}"/>
    <cellStyle name="Normal 2 2 2 2 2 21 4 6" xfId="12198" xr:uid="{00000000-0005-0000-0000-0000A62F0000}"/>
    <cellStyle name="Normal 2 2 2 2 2 21 4 7" xfId="12199" xr:uid="{00000000-0005-0000-0000-0000A72F0000}"/>
    <cellStyle name="Normal 2 2 2 2 2 21 4 8" xfId="12200" xr:uid="{00000000-0005-0000-0000-0000A82F0000}"/>
    <cellStyle name="Normal 2 2 2 2 2 21 4 9" xfId="12201" xr:uid="{00000000-0005-0000-0000-0000A92F0000}"/>
    <cellStyle name="Normal 2 2 2 2 2 21 5" xfId="12202" xr:uid="{00000000-0005-0000-0000-0000AA2F0000}"/>
    <cellStyle name="Normal 2 2 2 2 2 21 5 10" xfId="12203" xr:uid="{00000000-0005-0000-0000-0000AB2F0000}"/>
    <cellStyle name="Normal 2 2 2 2 2 21 5 2" xfId="12204" xr:uid="{00000000-0005-0000-0000-0000AC2F0000}"/>
    <cellStyle name="Normal 2 2 2 2 2 21 5 3" xfId="12205" xr:uid="{00000000-0005-0000-0000-0000AD2F0000}"/>
    <cellStyle name="Normal 2 2 2 2 2 21 5 4" xfId="12206" xr:uid="{00000000-0005-0000-0000-0000AE2F0000}"/>
    <cellStyle name="Normal 2 2 2 2 2 21 5 5" xfId="12207" xr:uid="{00000000-0005-0000-0000-0000AF2F0000}"/>
    <cellStyle name="Normal 2 2 2 2 2 21 5 6" xfId="12208" xr:uid="{00000000-0005-0000-0000-0000B02F0000}"/>
    <cellStyle name="Normal 2 2 2 2 2 21 5 7" xfId="12209" xr:uid="{00000000-0005-0000-0000-0000B12F0000}"/>
    <cellStyle name="Normal 2 2 2 2 2 21 5 8" xfId="12210" xr:uid="{00000000-0005-0000-0000-0000B22F0000}"/>
    <cellStyle name="Normal 2 2 2 2 2 21 5 9" xfId="12211" xr:uid="{00000000-0005-0000-0000-0000B32F0000}"/>
    <cellStyle name="Normal 2 2 2 2 2 21 6" xfId="12212" xr:uid="{00000000-0005-0000-0000-0000B42F0000}"/>
    <cellStyle name="Normal 2 2 2 2 2 21 7" xfId="12213" xr:uid="{00000000-0005-0000-0000-0000B52F0000}"/>
    <cellStyle name="Normal 2 2 2 2 2 21 8" xfId="12214" xr:uid="{00000000-0005-0000-0000-0000B62F0000}"/>
    <cellStyle name="Normal 2 2 2 2 2 21 9" xfId="12215" xr:uid="{00000000-0005-0000-0000-0000B72F0000}"/>
    <cellStyle name="Normal 2 2 2 2 2 22" xfId="12216" xr:uid="{00000000-0005-0000-0000-0000B82F0000}"/>
    <cellStyle name="Normal 2 2 2 2 2 22 10" xfId="12217" xr:uid="{00000000-0005-0000-0000-0000B92F0000}"/>
    <cellStyle name="Normal 2 2 2 2 2 22 11" xfId="12218" xr:uid="{00000000-0005-0000-0000-0000BA2F0000}"/>
    <cellStyle name="Normal 2 2 2 2 2 22 12" xfId="12219" xr:uid="{00000000-0005-0000-0000-0000BB2F0000}"/>
    <cellStyle name="Normal 2 2 2 2 2 22 13" xfId="12220" xr:uid="{00000000-0005-0000-0000-0000BC2F0000}"/>
    <cellStyle name="Normal 2 2 2 2 2 22 14" xfId="12221" xr:uid="{00000000-0005-0000-0000-0000BD2F0000}"/>
    <cellStyle name="Normal 2 2 2 2 2 22 2" xfId="12222" xr:uid="{00000000-0005-0000-0000-0000BE2F0000}"/>
    <cellStyle name="Normal 2 2 2 2 2 22 2 10" xfId="12223" xr:uid="{00000000-0005-0000-0000-0000BF2F0000}"/>
    <cellStyle name="Normal 2 2 2 2 2 22 2 2" xfId="12224" xr:uid="{00000000-0005-0000-0000-0000C02F0000}"/>
    <cellStyle name="Normal 2 2 2 2 2 22 2 3" xfId="12225" xr:uid="{00000000-0005-0000-0000-0000C12F0000}"/>
    <cellStyle name="Normal 2 2 2 2 2 22 2 4" xfId="12226" xr:uid="{00000000-0005-0000-0000-0000C22F0000}"/>
    <cellStyle name="Normal 2 2 2 2 2 22 2 5" xfId="12227" xr:uid="{00000000-0005-0000-0000-0000C32F0000}"/>
    <cellStyle name="Normal 2 2 2 2 2 22 2 6" xfId="12228" xr:uid="{00000000-0005-0000-0000-0000C42F0000}"/>
    <cellStyle name="Normal 2 2 2 2 2 22 2 7" xfId="12229" xr:uid="{00000000-0005-0000-0000-0000C52F0000}"/>
    <cellStyle name="Normal 2 2 2 2 2 22 2 8" xfId="12230" xr:uid="{00000000-0005-0000-0000-0000C62F0000}"/>
    <cellStyle name="Normal 2 2 2 2 2 22 2 9" xfId="12231" xr:uid="{00000000-0005-0000-0000-0000C72F0000}"/>
    <cellStyle name="Normal 2 2 2 2 2 22 3" xfId="12232" xr:uid="{00000000-0005-0000-0000-0000C82F0000}"/>
    <cellStyle name="Normal 2 2 2 2 2 22 3 10" xfId="12233" xr:uid="{00000000-0005-0000-0000-0000C92F0000}"/>
    <cellStyle name="Normal 2 2 2 2 2 22 3 2" xfId="12234" xr:uid="{00000000-0005-0000-0000-0000CA2F0000}"/>
    <cellStyle name="Normal 2 2 2 2 2 22 3 3" xfId="12235" xr:uid="{00000000-0005-0000-0000-0000CB2F0000}"/>
    <cellStyle name="Normal 2 2 2 2 2 22 3 4" xfId="12236" xr:uid="{00000000-0005-0000-0000-0000CC2F0000}"/>
    <cellStyle name="Normal 2 2 2 2 2 22 3 5" xfId="12237" xr:uid="{00000000-0005-0000-0000-0000CD2F0000}"/>
    <cellStyle name="Normal 2 2 2 2 2 22 3 6" xfId="12238" xr:uid="{00000000-0005-0000-0000-0000CE2F0000}"/>
    <cellStyle name="Normal 2 2 2 2 2 22 3 7" xfId="12239" xr:uid="{00000000-0005-0000-0000-0000CF2F0000}"/>
    <cellStyle name="Normal 2 2 2 2 2 22 3 8" xfId="12240" xr:uid="{00000000-0005-0000-0000-0000D02F0000}"/>
    <cellStyle name="Normal 2 2 2 2 2 22 3 9" xfId="12241" xr:uid="{00000000-0005-0000-0000-0000D12F0000}"/>
    <cellStyle name="Normal 2 2 2 2 2 22 4" xfId="12242" xr:uid="{00000000-0005-0000-0000-0000D22F0000}"/>
    <cellStyle name="Normal 2 2 2 2 2 22 4 10" xfId="12243" xr:uid="{00000000-0005-0000-0000-0000D32F0000}"/>
    <cellStyle name="Normal 2 2 2 2 2 22 4 2" xfId="12244" xr:uid="{00000000-0005-0000-0000-0000D42F0000}"/>
    <cellStyle name="Normal 2 2 2 2 2 22 4 3" xfId="12245" xr:uid="{00000000-0005-0000-0000-0000D52F0000}"/>
    <cellStyle name="Normal 2 2 2 2 2 22 4 4" xfId="12246" xr:uid="{00000000-0005-0000-0000-0000D62F0000}"/>
    <cellStyle name="Normal 2 2 2 2 2 22 4 5" xfId="12247" xr:uid="{00000000-0005-0000-0000-0000D72F0000}"/>
    <cellStyle name="Normal 2 2 2 2 2 22 4 6" xfId="12248" xr:uid="{00000000-0005-0000-0000-0000D82F0000}"/>
    <cellStyle name="Normal 2 2 2 2 2 22 4 7" xfId="12249" xr:uid="{00000000-0005-0000-0000-0000D92F0000}"/>
    <cellStyle name="Normal 2 2 2 2 2 22 4 8" xfId="12250" xr:uid="{00000000-0005-0000-0000-0000DA2F0000}"/>
    <cellStyle name="Normal 2 2 2 2 2 22 4 9" xfId="12251" xr:uid="{00000000-0005-0000-0000-0000DB2F0000}"/>
    <cellStyle name="Normal 2 2 2 2 2 22 5" xfId="12252" xr:uid="{00000000-0005-0000-0000-0000DC2F0000}"/>
    <cellStyle name="Normal 2 2 2 2 2 22 5 10" xfId="12253" xr:uid="{00000000-0005-0000-0000-0000DD2F0000}"/>
    <cellStyle name="Normal 2 2 2 2 2 22 5 2" xfId="12254" xr:uid="{00000000-0005-0000-0000-0000DE2F0000}"/>
    <cellStyle name="Normal 2 2 2 2 2 22 5 3" xfId="12255" xr:uid="{00000000-0005-0000-0000-0000DF2F0000}"/>
    <cellStyle name="Normal 2 2 2 2 2 22 5 4" xfId="12256" xr:uid="{00000000-0005-0000-0000-0000E02F0000}"/>
    <cellStyle name="Normal 2 2 2 2 2 22 5 5" xfId="12257" xr:uid="{00000000-0005-0000-0000-0000E12F0000}"/>
    <cellStyle name="Normal 2 2 2 2 2 22 5 6" xfId="12258" xr:uid="{00000000-0005-0000-0000-0000E22F0000}"/>
    <cellStyle name="Normal 2 2 2 2 2 22 5 7" xfId="12259" xr:uid="{00000000-0005-0000-0000-0000E32F0000}"/>
    <cellStyle name="Normal 2 2 2 2 2 22 5 8" xfId="12260" xr:uid="{00000000-0005-0000-0000-0000E42F0000}"/>
    <cellStyle name="Normal 2 2 2 2 2 22 5 9" xfId="12261" xr:uid="{00000000-0005-0000-0000-0000E52F0000}"/>
    <cellStyle name="Normal 2 2 2 2 2 22 6" xfId="12262" xr:uid="{00000000-0005-0000-0000-0000E62F0000}"/>
    <cellStyle name="Normal 2 2 2 2 2 22 7" xfId="12263" xr:uid="{00000000-0005-0000-0000-0000E72F0000}"/>
    <cellStyle name="Normal 2 2 2 2 2 22 8" xfId="12264" xr:uid="{00000000-0005-0000-0000-0000E82F0000}"/>
    <cellStyle name="Normal 2 2 2 2 2 22 9" xfId="12265" xr:uid="{00000000-0005-0000-0000-0000E92F0000}"/>
    <cellStyle name="Normal 2 2 2 2 2 23" xfId="12266" xr:uid="{00000000-0005-0000-0000-0000EA2F0000}"/>
    <cellStyle name="Normal 2 2 2 2 2 23 10" xfId="12267" xr:uid="{00000000-0005-0000-0000-0000EB2F0000}"/>
    <cellStyle name="Normal 2 2 2 2 2 23 11" xfId="12268" xr:uid="{00000000-0005-0000-0000-0000EC2F0000}"/>
    <cellStyle name="Normal 2 2 2 2 2 23 12" xfId="12269" xr:uid="{00000000-0005-0000-0000-0000ED2F0000}"/>
    <cellStyle name="Normal 2 2 2 2 2 23 13" xfId="12270" xr:uid="{00000000-0005-0000-0000-0000EE2F0000}"/>
    <cellStyle name="Normal 2 2 2 2 2 23 14" xfId="12271" xr:uid="{00000000-0005-0000-0000-0000EF2F0000}"/>
    <cellStyle name="Normal 2 2 2 2 2 23 2" xfId="12272" xr:uid="{00000000-0005-0000-0000-0000F02F0000}"/>
    <cellStyle name="Normal 2 2 2 2 2 23 2 10" xfId="12273" xr:uid="{00000000-0005-0000-0000-0000F12F0000}"/>
    <cellStyle name="Normal 2 2 2 2 2 23 2 2" xfId="12274" xr:uid="{00000000-0005-0000-0000-0000F22F0000}"/>
    <cellStyle name="Normal 2 2 2 2 2 23 2 3" xfId="12275" xr:uid="{00000000-0005-0000-0000-0000F32F0000}"/>
    <cellStyle name="Normal 2 2 2 2 2 23 2 4" xfId="12276" xr:uid="{00000000-0005-0000-0000-0000F42F0000}"/>
    <cellStyle name="Normal 2 2 2 2 2 23 2 5" xfId="12277" xr:uid="{00000000-0005-0000-0000-0000F52F0000}"/>
    <cellStyle name="Normal 2 2 2 2 2 23 2 6" xfId="12278" xr:uid="{00000000-0005-0000-0000-0000F62F0000}"/>
    <cellStyle name="Normal 2 2 2 2 2 23 2 7" xfId="12279" xr:uid="{00000000-0005-0000-0000-0000F72F0000}"/>
    <cellStyle name="Normal 2 2 2 2 2 23 2 8" xfId="12280" xr:uid="{00000000-0005-0000-0000-0000F82F0000}"/>
    <cellStyle name="Normal 2 2 2 2 2 23 2 9" xfId="12281" xr:uid="{00000000-0005-0000-0000-0000F92F0000}"/>
    <cellStyle name="Normal 2 2 2 2 2 23 3" xfId="12282" xr:uid="{00000000-0005-0000-0000-0000FA2F0000}"/>
    <cellStyle name="Normal 2 2 2 2 2 23 3 10" xfId="12283" xr:uid="{00000000-0005-0000-0000-0000FB2F0000}"/>
    <cellStyle name="Normal 2 2 2 2 2 23 3 2" xfId="12284" xr:uid="{00000000-0005-0000-0000-0000FC2F0000}"/>
    <cellStyle name="Normal 2 2 2 2 2 23 3 3" xfId="12285" xr:uid="{00000000-0005-0000-0000-0000FD2F0000}"/>
    <cellStyle name="Normal 2 2 2 2 2 23 3 4" xfId="12286" xr:uid="{00000000-0005-0000-0000-0000FE2F0000}"/>
    <cellStyle name="Normal 2 2 2 2 2 23 3 5" xfId="12287" xr:uid="{00000000-0005-0000-0000-0000FF2F0000}"/>
    <cellStyle name="Normal 2 2 2 2 2 23 3 6" xfId="12288" xr:uid="{00000000-0005-0000-0000-000000300000}"/>
    <cellStyle name="Normal 2 2 2 2 2 23 3 7" xfId="12289" xr:uid="{00000000-0005-0000-0000-000001300000}"/>
    <cellStyle name="Normal 2 2 2 2 2 23 3 8" xfId="12290" xr:uid="{00000000-0005-0000-0000-000002300000}"/>
    <cellStyle name="Normal 2 2 2 2 2 23 3 9" xfId="12291" xr:uid="{00000000-0005-0000-0000-000003300000}"/>
    <cellStyle name="Normal 2 2 2 2 2 23 4" xfId="12292" xr:uid="{00000000-0005-0000-0000-000004300000}"/>
    <cellStyle name="Normal 2 2 2 2 2 23 4 10" xfId="12293" xr:uid="{00000000-0005-0000-0000-000005300000}"/>
    <cellStyle name="Normal 2 2 2 2 2 23 4 2" xfId="12294" xr:uid="{00000000-0005-0000-0000-000006300000}"/>
    <cellStyle name="Normal 2 2 2 2 2 23 4 3" xfId="12295" xr:uid="{00000000-0005-0000-0000-000007300000}"/>
    <cellStyle name="Normal 2 2 2 2 2 23 4 4" xfId="12296" xr:uid="{00000000-0005-0000-0000-000008300000}"/>
    <cellStyle name="Normal 2 2 2 2 2 23 4 5" xfId="12297" xr:uid="{00000000-0005-0000-0000-000009300000}"/>
    <cellStyle name="Normal 2 2 2 2 2 23 4 6" xfId="12298" xr:uid="{00000000-0005-0000-0000-00000A300000}"/>
    <cellStyle name="Normal 2 2 2 2 2 23 4 7" xfId="12299" xr:uid="{00000000-0005-0000-0000-00000B300000}"/>
    <cellStyle name="Normal 2 2 2 2 2 23 4 8" xfId="12300" xr:uid="{00000000-0005-0000-0000-00000C300000}"/>
    <cellStyle name="Normal 2 2 2 2 2 23 4 9" xfId="12301" xr:uid="{00000000-0005-0000-0000-00000D300000}"/>
    <cellStyle name="Normal 2 2 2 2 2 23 5" xfId="12302" xr:uid="{00000000-0005-0000-0000-00000E300000}"/>
    <cellStyle name="Normal 2 2 2 2 2 23 5 10" xfId="12303" xr:uid="{00000000-0005-0000-0000-00000F300000}"/>
    <cellStyle name="Normal 2 2 2 2 2 23 5 2" xfId="12304" xr:uid="{00000000-0005-0000-0000-000010300000}"/>
    <cellStyle name="Normal 2 2 2 2 2 23 5 3" xfId="12305" xr:uid="{00000000-0005-0000-0000-000011300000}"/>
    <cellStyle name="Normal 2 2 2 2 2 23 5 4" xfId="12306" xr:uid="{00000000-0005-0000-0000-000012300000}"/>
    <cellStyle name="Normal 2 2 2 2 2 23 5 5" xfId="12307" xr:uid="{00000000-0005-0000-0000-000013300000}"/>
    <cellStyle name="Normal 2 2 2 2 2 23 5 6" xfId="12308" xr:uid="{00000000-0005-0000-0000-000014300000}"/>
    <cellStyle name="Normal 2 2 2 2 2 23 5 7" xfId="12309" xr:uid="{00000000-0005-0000-0000-000015300000}"/>
    <cellStyle name="Normal 2 2 2 2 2 23 5 8" xfId="12310" xr:uid="{00000000-0005-0000-0000-000016300000}"/>
    <cellStyle name="Normal 2 2 2 2 2 23 5 9" xfId="12311" xr:uid="{00000000-0005-0000-0000-000017300000}"/>
    <cellStyle name="Normal 2 2 2 2 2 23 6" xfId="12312" xr:uid="{00000000-0005-0000-0000-000018300000}"/>
    <cellStyle name="Normal 2 2 2 2 2 23 7" xfId="12313" xr:uid="{00000000-0005-0000-0000-000019300000}"/>
    <cellStyle name="Normal 2 2 2 2 2 23 8" xfId="12314" xr:uid="{00000000-0005-0000-0000-00001A300000}"/>
    <cellStyle name="Normal 2 2 2 2 2 23 9" xfId="12315" xr:uid="{00000000-0005-0000-0000-00001B300000}"/>
    <cellStyle name="Normal 2 2 2 2 2 24" xfId="12316" xr:uid="{00000000-0005-0000-0000-00001C300000}"/>
    <cellStyle name="Normal 2 2 2 2 2 24 10" xfId="12317" xr:uid="{00000000-0005-0000-0000-00001D300000}"/>
    <cellStyle name="Normal 2 2 2 2 2 24 11" xfId="12318" xr:uid="{00000000-0005-0000-0000-00001E300000}"/>
    <cellStyle name="Normal 2 2 2 2 2 24 12" xfId="12319" xr:uid="{00000000-0005-0000-0000-00001F300000}"/>
    <cellStyle name="Normal 2 2 2 2 2 24 13" xfId="12320" xr:uid="{00000000-0005-0000-0000-000020300000}"/>
    <cellStyle name="Normal 2 2 2 2 2 24 14" xfId="12321" xr:uid="{00000000-0005-0000-0000-000021300000}"/>
    <cellStyle name="Normal 2 2 2 2 2 24 2" xfId="12322" xr:uid="{00000000-0005-0000-0000-000022300000}"/>
    <cellStyle name="Normal 2 2 2 2 2 24 2 10" xfId="12323" xr:uid="{00000000-0005-0000-0000-000023300000}"/>
    <cellStyle name="Normal 2 2 2 2 2 24 2 2" xfId="12324" xr:uid="{00000000-0005-0000-0000-000024300000}"/>
    <cellStyle name="Normal 2 2 2 2 2 24 2 3" xfId="12325" xr:uid="{00000000-0005-0000-0000-000025300000}"/>
    <cellStyle name="Normal 2 2 2 2 2 24 2 4" xfId="12326" xr:uid="{00000000-0005-0000-0000-000026300000}"/>
    <cellStyle name="Normal 2 2 2 2 2 24 2 5" xfId="12327" xr:uid="{00000000-0005-0000-0000-000027300000}"/>
    <cellStyle name="Normal 2 2 2 2 2 24 2 6" xfId="12328" xr:uid="{00000000-0005-0000-0000-000028300000}"/>
    <cellStyle name="Normal 2 2 2 2 2 24 2 7" xfId="12329" xr:uid="{00000000-0005-0000-0000-000029300000}"/>
    <cellStyle name="Normal 2 2 2 2 2 24 2 8" xfId="12330" xr:uid="{00000000-0005-0000-0000-00002A300000}"/>
    <cellStyle name="Normal 2 2 2 2 2 24 2 9" xfId="12331" xr:uid="{00000000-0005-0000-0000-00002B300000}"/>
    <cellStyle name="Normal 2 2 2 2 2 24 3" xfId="12332" xr:uid="{00000000-0005-0000-0000-00002C300000}"/>
    <cellStyle name="Normal 2 2 2 2 2 24 3 10" xfId="12333" xr:uid="{00000000-0005-0000-0000-00002D300000}"/>
    <cellStyle name="Normal 2 2 2 2 2 24 3 2" xfId="12334" xr:uid="{00000000-0005-0000-0000-00002E300000}"/>
    <cellStyle name="Normal 2 2 2 2 2 24 3 3" xfId="12335" xr:uid="{00000000-0005-0000-0000-00002F300000}"/>
    <cellStyle name="Normal 2 2 2 2 2 24 3 4" xfId="12336" xr:uid="{00000000-0005-0000-0000-000030300000}"/>
    <cellStyle name="Normal 2 2 2 2 2 24 3 5" xfId="12337" xr:uid="{00000000-0005-0000-0000-000031300000}"/>
    <cellStyle name="Normal 2 2 2 2 2 24 3 6" xfId="12338" xr:uid="{00000000-0005-0000-0000-000032300000}"/>
    <cellStyle name="Normal 2 2 2 2 2 24 3 7" xfId="12339" xr:uid="{00000000-0005-0000-0000-000033300000}"/>
    <cellStyle name="Normal 2 2 2 2 2 24 3 8" xfId="12340" xr:uid="{00000000-0005-0000-0000-000034300000}"/>
    <cellStyle name="Normal 2 2 2 2 2 24 3 9" xfId="12341" xr:uid="{00000000-0005-0000-0000-000035300000}"/>
    <cellStyle name="Normal 2 2 2 2 2 24 4" xfId="12342" xr:uid="{00000000-0005-0000-0000-000036300000}"/>
    <cellStyle name="Normal 2 2 2 2 2 24 4 10" xfId="12343" xr:uid="{00000000-0005-0000-0000-000037300000}"/>
    <cellStyle name="Normal 2 2 2 2 2 24 4 2" xfId="12344" xr:uid="{00000000-0005-0000-0000-000038300000}"/>
    <cellStyle name="Normal 2 2 2 2 2 24 4 3" xfId="12345" xr:uid="{00000000-0005-0000-0000-000039300000}"/>
    <cellStyle name="Normal 2 2 2 2 2 24 4 4" xfId="12346" xr:uid="{00000000-0005-0000-0000-00003A300000}"/>
    <cellStyle name="Normal 2 2 2 2 2 24 4 5" xfId="12347" xr:uid="{00000000-0005-0000-0000-00003B300000}"/>
    <cellStyle name="Normal 2 2 2 2 2 24 4 6" xfId="12348" xr:uid="{00000000-0005-0000-0000-00003C300000}"/>
    <cellStyle name="Normal 2 2 2 2 2 24 4 7" xfId="12349" xr:uid="{00000000-0005-0000-0000-00003D300000}"/>
    <cellStyle name="Normal 2 2 2 2 2 24 4 8" xfId="12350" xr:uid="{00000000-0005-0000-0000-00003E300000}"/>
    <cellStyle name="Normal 2 2 2 2 2 24 4 9" xfId="12351" xr:uid="{00000000-0005-0000-0000-00003F300000}"/>
    <cellStyle name="Normal 2 2 2 2 2 24 5" xfId="12352" xr:uid="{00000000-0005-0000-0000-000040300000}"/>
    <cellStyle name="Normal 2 2 2 2 2 24 5 10" xfId="12353" xr:uid="{00000000-0005-0000-0000-000041300000}"/>
    <cellStyle name="Normal 2 2 2 2 2 24 5 2" xfId="12354" xr:uid="{00000000-0005-0000-0000-000042300000}"/>
    <cellStyle name="Normal 2 2 2 2 2 24 5 3" xfId="12355" xr:uid="{00000000-0005-0000-0000-000043300000}"/>
    <cellStyle name="Normal 2 2 2 2 2 24 5 4" xfId="12356" xr:uid="{00000000-0005-0000-0000-000044300000}"/>
    <cellStyle name="Normal 2 2 2 2 2 24 5 5" xfId="12357" xr:uid="{00000000-0005-0000-0000-000045300000}"/>
    <cellStyle name="Normal 2 2 2 2 2 24 5 6" xfId="12358" xr:uid="{00000000-0005-0000-0000-000046300000}"/>
    <cellStyle name="Normal 2 2 2 2 2 24 5 7" xfId="12359" xr:uid="{00000000-0005-0000-0000-000047300000}"/>
    <cellStyle name="Normal 2 2 2 2 2 24 5 8" xfId="12360" xr:uid="{00000000-0005-0000-0000-000048300000}"/>
    <cellStyle name="Normal 2 2 2 2 2 24 5 9" xfId="12361" xr:uid="{00000000-0005-0000-0000-000049300000}"/>
    <cellStyle name="Normal 2 2 2 2 2 24 6" xfId="12362" xr:uid="{00000000-0005-0000-0000-00004A300000}"/>
    <cellStyle name="Normal 2 2 2 2 2 24 7" xfId="12363" xr:uid="{00000000-0005-0000-0000-00004B300000}"/>
    <cellStyle name="Normal 2 2 2 2 2 24 8" xfId="12364" xr:uid="{00000000-0005-0000-0000-00004C300000}"/>
    <cellStyle name="Normal 2 2 2 2 2 24 9" xfId="12365" xr:uid="{00000000-0005-0000-0000-00004D300000}"/>
    <cellStyle name="Normal 2 2 2 2 2 25" xfId="12366" xr:uid="{00000000-0005-0000-0000-00004E300000}"/>
    <cellStyle name="Normal 2 2 2 2 2 25 10" xfId="12367" xr:uid="{00000000-0005-0000-0000-00004F300000}"/>
    <cellStyle name="Normal 2 2 2 2 2 25 11" xfId="12368" xr:uid="{00000000-0005-0000-0000-000050300000}"/>
    <cellStyle name="Normal 2 2 2 2 2 25 12" xfId="12369" xr:uid="{00000000-0005-0000-0000-000051300000}"/>
    <cellStyle name="Normal 2 2 2 2 2 25 13" xfId="12370" xr:uid="{00000000-0005-0000-0000-000052300000}"/>
    <cellStyle name="Normal 2 2 2 2 2 25 14" xfId="12371" xr:uid="{00000000-0005-0000-0000-000053300000}"/>
    <cellStyle name="Normal 2 2 2 2 2 25 2" xfId="12372" xr:uid="{00000000-0005-0000-0000-000054300000}"/>
    <cellStyle name="Normal 2 2 2 2 2 25 2 10" xfId="12373" xr:uid="{00000000-0005-0000-0000-000055300000}"/>
    <cellStyle name="Normal 2 2 2 2 2 25 2 2" xfId="12374" xr:uid="{00000000-0005-0000-0000-000056300000}"/>
    <cellStyle name="Normal 2 2 2 2 2 25 2 3" xfId="12375" xr:uid="{00000000-0005-0000-0000-000057300000}"/>
    <cellStyle name="Normal 2 2 2 2 2 25 2 4" xfId="12376" xr:uid="{00000000-0005-0000-0000-000058300000}"/>
    <cellStyle name="Normal 2 2 2 2 2 25 2 5" xfId="12377" xr:uid="{00000000-0005-0000-0000-000059300000}"/>
    <cellStyle name="Normal 2 2 2 2 2 25 2 6" xfId="12378" xr:uid="{00000000-0005-0000-0000-00005A300000}"/>
    <cellStyle name="Normal 2 2 2 2 2 25 2 7" xfId="12379" xr:uid="{00000000-0005-0000-0000-00005B300000}"/>
    <cellStyle name="Normal 2 2 2 2 2 25 2 8" xfId="12380" xr:uid="{00000000-0005-0000-0000-00005C300000}"/>
    <cellStyle name="Normal 2 2 2 2 2 25 2 9" xfId="12381" xr:uid="{00000000-0005-0000-0000-00005D300000}"/>
    <cellStyle name="Normal 2 2 2 2 2 25 3" xfId="12382" xr:uid="{00000000-0005-0000-0000-00005E300000}"/>
    <cellStyle name="Normal 2 2 2 2 2 25 3 10" xfId="12383" xr:uid="{00000000-0005-0000-0000-00005F300000}"/>
    <cellStyle name="Normal 2 2 2 2 2 25 3 2" xfId="12384" xr:uid="{00000000-0005-0000-0000-000060300000}"/>
    <cellStyle name="Normal 2 2 2 2 2 25 3 3" xfId="12385" xr:uid="{00000000-0005-0000-0000-000061300000}"/>
    <cellStyle name="Normal 2 2 2 2 2 25 3 4" xfId="12386" xr:uid="{00000000-0005-0000-0000-000062300000}"/>
    <cellStyle name="Normal 2 2 2 2 2 25 3 5" xfId="12387" xr:uid="{00000000-0005-0000-0000-000063300000}"/>
    <cellStyle name="Normal 2 2 2 2 2 25 3 6" xfId="12388" xr:uid="{00000000-0005-0000-0000-000064300000}"/>
    <cellStyle name="Normal 2 2 2 2 2 25 3 7" xfId="12389" xr:uid="{00000000-0005-0000-0000-000065300000}"/>
    <cellStyle name="Normal 2 2 2 2 2 25 3 8" xfId="12390" xr:uid="{00000000-0005-0000-0000-000066300000}"/>
    <cellStyle name="Normal 2 2 2 2 2 25 3 9" xfId="12391" xr:uid="{00000000-0005-0000-0000-000067300000}"/>
    <cellStyle name="Normal 2 2 2 2 2 25 4" xfId="12392" xr:uid="{00000000-0005-0000-0000-000068300000}"/>
    <cellStyle name="Normal 2 2 2 2 2 25 4 10" xfId="12393" xr:uid="{00000000-0005-0000-0000-000069300000}"/>
    <cellStyle name="Normal 2 2 2 2 2 25 4 2" xfId="12394" xr:uid="{00000000-0005-0000-0000-00006A300000}"/>
    <cellStyle name="Normal 2 2 2 2 2 25 4 3" xfId="12395" xr:uid="{00000000-0005-0000-0000-00006B300000}"/>
    <cellStyle name="Normal 2 2 2 2 2 25 4 4" xfId="12396" xr:uid="{00000000-0005-0000-0000-00006C300000}"/>
    <cellStyle name="Normal 2 2 2 2 2 25 4 5" xfId="12397" xr:uid="{00000000-0005-0000-0000-00006D300000}"/>
    <cellStyle name="Normal 2 2 2 2 2 25 4 6" xfId="12398" xr:uid="{00000000-0005-0000-0000-00006E300000}"/>
    <cellStyle name="Normal 2 2 2 2 2 25 4 7" xfId="12399" xr:uid="{00000000-0005-0000-0000-00006F300000}"/>
    <cellStyle name="Normal 2 2 2 2 2 25 4 8" xfId="12400" xr:uid="{00000000-0005-0000-0000-000070300000}"/>
    <cellStyle name="Normal 2 2 2 2 2 25 4 9" xfId="12401" xr:uid="{00000000-0005-0000-0000-000071300000}"/>
    <cellStyle name="Normal 2 2 2 2 2 25 5" xfId="12402" xr:uid="{00000000-0005-0000-0000-000072300000}"/>
    <cellStyle name="Normal 2 2 2 2 2 25 5 10" xfId="12403" xr:uid="{00000000-0005-0000-0000-000073300000}"/>
    <cellStyle name="Normal 2 2 2 2 2 25 5 2" xfId="12404" xr:uid="{00000000-0005-0000-0000-000074300000}"/>
    <cellStyle name="Normal 2 2 2 2 2 25 5 3" xfId="12405" xr:uid="{00000000-0005-0000-0000-000075300000}"/>
    <cellStyle name="Normal 2 2 2 2 2 25 5 4" xfId="12406" xr:uid="{00000000-0005-0000-0000-000076300000}"/>
    <cellStyle name="Normal 2 2 2 2 2 25 5 5" xfId="12407" xr:uid="{00000000-0005-0000-0000-000077300000}"/>
    <cellStyle name="Normal 2 2 2 2 2 25 5 6" xfId="12408" xr:uid="{00000000-0005-0000-0000-000078300000}"/>
    <cellStyle name="Normal 2 2 2 2 2 25 5 7" xfId="12409" xr:uid="{00000000-0005-0000-0000-000079300000}"/>
    <cellStyle name="Normal 2 2 2 2 2 25 5 8" xfId="12410" xr:uid="{00000000-0005-0000-0000-00007A300000}"/>
    <cellStyle name="Normal 2 2 2 2 2 25 5 9" xfId="12411" xr:uid="{00000000-0005-0000-0000-00007B300000}"/>
    <cellStyle name="Normal 2 2 2 2 2 25 6" xfId="12412" xr:uid="{00000000-0005-0000-0000-00007C300000}"/>
    <cellStyle name="Normal 2 2 2 2 2 25 7" xfId="12413" xr:uid="{00000000-0005-0000-0000-00007D300000}"/>
    <cellStyle name="Normal 2 2 2 2 2 25 8" xfId="12414" xr:uid="{00000000-0005-0000-0000-00007E300000}"/>
    <cellStyle name="Normal 2 2 2 2 2 25 9" xfId="12415" xr:uid="{00000000-0005-0000-0000-00007F300000}"/>
    <cellStyle name="Normal 2 2 2 2 2 26" xfId="12416" xr:uid="{00000000-0005-0000-0000-000080300000}"/>
    <cellStyle name="Normal 2 2 2 2 2 26 10" xfId="12417" xr:uid="{00000000-0005-0000-0000-000081300000}"/>
    <cellStyle name="Normal 2 2 2 2 2 26 11" xfId="12418" xr:uid="{00000000-0005-0000-0000-000082300000}"/>
    <cellStyle name="Normal 2 2 2 2 2 26 12" xfId="12419" xr:uid="{00000000-0005-0000-0000-000083300000}"/>
    <cellStyle name="Normal 2 2 2 2 2 26 13" xfId="12420" xr:uid="{00000000-0005-0000-0000-000084300000}"/>
    <cellStyle name="Normal 2 2 2 2 2 26 14" xfId="12421" xr:uid="{00000000-0005-0000-0000-000085300000}"/>
    <cellStyle name="Normal 2 2 2 2 2 26 2" xfId="12422" xr:uid="{00000000-0005-0000-0000-000086300000}"/>
    <cellStyle name="Normal 2 2 2 2 2 26 2 10" xfId="12423" xr:uid="{00000000-0005-0000-0000-000087300000}"/>
    <cellStyle name="Normal 2 2 2 2 2 26 2 2" xfId="12424" xr:uid="{00000000-0005-0000-0000-000088300000}"/>
    <cellStyle name="Normal 2 2 2 2 2 26 2 3" xfId="12425" xr:uid="{00000000-0005-0000-0000-000089300000}"/>
    <cellStyle name="Normal 2 2 2 2 2 26 2 4" xfId="12426" xr:uid="{00000000-0005-0000-0000-00008A300000}"/>
    <cellStyle name="Normal 2 2 2 2 2 26 2 5" xfId="12427" xr:uid="{00000000-0005-0000-0000-00008B300000}"/>
    <cellStyle name="Normal 2 2 2 2 2 26 2 6" xfId="12428" xr:uid="{00000000-0005-0000-0000-00008C300000}"/>
    <cellStyle name="Normal 2 2 2 2 2 26 2 7" xfId="12429" xr:uid="{00000000-0005-0000-0000-00008D300000}"/>
    <cellStyle name="Normal 2 2 2 2 2 26 2 8" xfId="12430" xr:uid="{00000000-0005-0000-0000-00008E300000}"/>
    <cellStyle name="Normal 2 2 2 2 2 26 2 9" xfId="12431" xr:uid="{00000000-0005-0000-0000-00008F300000}"/>
    <cellStyle name="Normal 2 2 2 2 2 26 3" xfId="12432" xr:uid="{00000000-0005-0000-0000-000090300000}"/>
    <cellStyle name="Normal 2 2 2 2 2 26 3 10" xfId="12433" xr:uid="{00000000-0005-0000-0000-000091300000}"/>
    <cellStyle name="Normal 2 2 2 2 2 26 3 2" xfId="12434" xr:uid="{00000000-0005-0000-0000-000092300000}"/>
    <cellStyle name="Normal 2 2 2 2 2 26 3 3" xfId="12435" xr:uid="{00000000-0005-0000-0000-000093300000}"/>
    <cellStyle name="Normal 2 2 2 2 2 26 3 4" xfId="12436" xr:uid="{00000000-0005-0000-0000-000094300000}"/>
    <cellStyle name="Normal 2 2 2 2 2 26 3 5" xfId="12437" xr:uid="{00000000-0005-0000-0000-000095300000}"/>
    <cellStyle name="Normal 2 2 2 2 2 26 3 6" xfId="12438" xr:uid="{00000000-0005-0000-0000-000096300000}"/>
    <cellStyle name="Normal 2 2 2 2 2 26 3 7" xfId="12439" xr:uid="{00000000-0005-0000-0000-000097300000}"/>
    <cellStyle name="Normal 2 2 2 2 2 26 3 8" xfId="12440" xr:uid="{00000000-0005-0000-0000-000098300000}"/>
    <cellStyle name="Normal 2 2 2 2 2 26 3 9" xfId="12441" xr:uid="{00000000-0005-0000-0000-000099300000}"/>
    <cellStyle name="Normal 2 2 2 2 2 26 4" xfId="12442" xr:uid="{00000000-0005-0000-0000-00009A300000}"/>
    <cellStyle name="Normal 2 2 2 2 2 26 4 10" xfId="12443" xr:uid="{00000000-0005-0000-0000-00009B300000}"/>
    <cellStyle name="Normal 2 2 2 2 2 26 4 2" xfId="12444" xr:uid="{00000000-0005-0000-0000-00009C300000}"/>
    <cellStyle name="Normal 2 2 2 2 2 26 4 3" xfId="12445" xr:uid="{00000000-0005-0000-0000-00009D300000}"/>
    <cellStyle name="Normal 2 2 2 2 2 26 4 4" xfId="12446" xr:uid="{00000000-0005-0000-0000-00009E300000}"/>
    <cellStyle name="Normal 2 2 2 2 2 26 4 5" xfId="12447" xr:uid="{00000000-0005-0000-0000-00009F300000}"/>
    <cellStyle name="Normal 2 2 2 2 2 26 4 6" xfId="12448" xr:uid="{00000000-0005-0000-0000-0000A0300000}"/>
    <cellStyle name="Normal 2 2 2 2 2 26 4 7" xfId="12449" xr:uid="{00000000-0005-0000-0000-0000A1300000}"/>
    <cellStyle name="Normal 2 2 2 2 2 26 4 8" xfId="12450" xr:uid="{00000000-0005-0000-0000-0000A2300000}"/>
    <cellStyle name="Normal 2 2 2 2 2 26 4 9" xfId="12451" xr:uid="{00000000-0005-0000-0000-0000A3300000}"/>
    <cellStyle name="Normal 2 2 2 2 2 26 5" xfId="12452" xr:uid="{00000000-0005-0000-0000-0000A4300000}"/>
    <cellStyle name="Normal 2 2 2 2 2 26 5 10" xfId="12453" xr:uid="{00000000-0005-0000-0000-0000A5300000}"/>
    <cellStyle name="Normal 2 2 2 2 2 26 5 2" xfId="12454" xr:uid="{00000000-0005-0000-0000-0000A6300000}"/>
    <cellStyle name="Normal 2 2 2 2 2 26 5 3" xfId="12455" xr:uid="{00000000-0005-0000-0000-0000A7300000}"/>
    <cellStyle name="Normal 2 2 2 2 2 26 5 4" xfId="12456" xr:uid="{00000000-0005-0000-0000-0000A8300000}"/>
    <cellStyle name="Normal 2 2 2 2 2 26 5 5" xfId="12457" xr:uid="{00000000-0005-0000-0000-0000A9300000}"/>
    <cellStyle name="Normal 2 2 2 2 2 26 5 6" xfId="12458" xr:uid="{00000000-0005-0000-0000-0000AA300000}"/>
    <cellStyle name="Normal 2 2 2 2 2 26 5 7" xfId="12459" xr:uid="{00000000-0005-0000-0000-0000AB300000}"/>
    <cellStyle name="Normal 2 2 2 2 2 26 5 8" xfId="12460" xr:uid="{00000000-0005-0000-0000-0000AC300000}"/>
    <cellStyle name="Normal 2 2 2 2 2 26 5 9" xfId="12461" xr:uid="{00000000-0005-0000-0000-0000AD300000}"/>
    <cellStyle name="Normal 2 2 2 2 2 26 6" xfId="12462" xr:uid="{00000000-0005-0000-0000-0000AE300000}"/>
    <cellStyle name="Normal 2 2 2 2 2 26 7" xfId="12463" xr:uid="{00000000-0005-0000-0000-0000AF300000}"/>
    <cellStyle name="Normal 2 2 2 2 2 26 8" xfId="12464" xr:uid="{00000000-0005-0000-0000-0000B0300000}"/>
    <cellStyle name="Normal 2 2 2 2 2 26 9" xfId="12465" xr:uid="{00000000-0005-0000-0000-0000B1300000}"/>
    <cellStyle name="Normal 2 2 2 2 2 27" xfId="12466" xr:uid="{00000000-0005-0000-0000-0000B2300000}"/>
    <cellStyle name="Normal 2 2 2 2 2 27 10" xfId="12467" xr:uid="{00000000-0005-0000-0000-0000B3300000}"/>
    <cellStyle name="Normal 2 2 2 2 2 27 11" xfId="12468" xr:uid="{00000000-0005-0000-0000-0000B4300000}"/>
    <cellStyle name="Normal 2 2 2 2 2 27 12" xfId="12469" xr:uid="{00000000-0005-0000-0000-0000B5300000}"/>
    <cellStyle name="Normal 2 2 2 2 2 27 13" xfId="12470" xr:uid="{00000000-0005-0000-0000-0000B6300000}"/>
    <cellStyle name="Normal 2 2 2 2 2 27 14" xfId="12471" xr:uid="{00000000-0005-0000-0000-0000B7300000}"/>
    <cellStyle name="Normal 2 2 2 2 2 27 2" xfId="12472" xr:uid="{00000000-0005-0000-0000-0000B8300000}"/>
    <cellStyle name="Normal 2 2 2 2 2 27 2 10" xfId="12473" xr:uid="{00000000-0005-0000-0000-0000B9300000}"/>
    <cellStyle name="Normal 2 2 2 2 2 27 2 2" xfId="12474" xr:uid="{00000000-0005-0000-0000-0000BA300000}"/>
    <cellStyle name="Normal 2 2 2 2 2 27 2 3" xfId="12475" xr:uid="{00000000-0005-0000-0000-0000BB300000}"/>
    <cellStyle name="Normal 2 2 2 2 2 27 2 4" xfId="12476" xr:uid="{00000000-0005-0000-0000-0000BC300000}"/>
    <cellStyle name="Normal 2 2 2 2 2 27 2 5" xfId="12477" xr:uid="{00000000-0005-0000-0000-0000BD300000}"/>
    <cellStyle name="Normal 2 2 2 2 2 27 2 6" xfId="12478" xr:uid="{00000000-0005-0000-0000-0000BE300000}"/>
    <cellStyle name="Normal 2 2 2 2 2 27 2 7" xfId="12479" xr:uid="{00000000-0005-0000-0000-0000BF300000}"/>
    <cellStyle name="Normal 2 2 2 2 2 27 2 8" xfId="12480" xr:uid="{00000000-0005-0000-0000-0000C0300000}"/>
    <cellStyle name="Normal 2 2 2 2 2 27 2 9" xfId="12481" xr:uid="{00000000-0005-0000-0000-0000C1300000}"/>
    <cellStyle name="Normal 2 2 2 2 2 27 3" xfId="12482" xr:uid="{00000000-0005-0000-0000-0000C2300000}"/>
    <cellStyle name="Normal 2 2 2 2 2 27 3 10" xfId="12483" xr:uid="{00000000-0005-0000-0000-0000C3300000}"/>
    <cellStyle name="Normal 2 2 2 2 2 27 3 2" xfId="12484" xr:uid="{00000000-0005-0000-0000-0000C4300000}"/>
    <cellStyle name="Normal 2 2 2 2 2 27 3 3" xfId="12485" xr:uid="{00000000-0005-0000-0000-0000C5300000}"/>
    <cellStyle name="Normal 2 2 2 2 2 27 3 4" xfId="12486" xr:uid="{00000000-0005-0000-0000-0000C6300000}"/>
    <cellStyle name="Normal 2 2 2 2 2 27 3 5" xfId="12487" xr:uid="{00000000-0005-0000-0000-0000C7300000}"/>
    <cellStyle name="Normal 2 2 2 2 2 27 3 6" xfId="12488" xr:uid="{00000000-0005-0000-0000-0000C8300000}"/>
    <cellStyle name="Normal 2 2 2 2 2 27 3 7" xfId="12489" xr:uid="{00000000-0005-0000-0000-0000C9300000}"/>
    <cellStyle name="Normal 2 2 2 2 2 27 3 8" xfId="12490" xr:uid="{00000000-0005-0000-0000-0000CA300000}"/>
    <cellStyle name="Normal 2 2 2 2 2 27 3 9" xfId="12491" xr:uid="{00000000-0005-0000-0000-0000CB300000}"/>
    <cellStyle name="Normal 2 2 2 2 2 27 4" xfId="12492" xr:uid="{00000000-0005-0000-0000-0000CC300000}"/>
    <cellStyle name="Normal 2 2 2 2 2 27 4 10" xfId="12493" xr:uid="{00000000-0005-0000-0000-0000CD300000}"/>
    <cellStyle name="Normal 2 2 2 2 2 27 4 2" xfId="12494" xr:uid="{00000000-0005-0000-0000-0000CE300000}"/>
    <cellStyle name="Normal 2 2 2 2 2 27 4 3" xfId="12495" xr:uid="{00000000-0005-0000-0000-0000CF300000}"/>
    <cellStyle name="Normal 2 2 2 2 2 27 4 4" xfId="12496" xr:uid="{00000000-0005-0000-0000-0000D0300000}"/>
    <cellStyle name="Normal 2 2 2 2 2 27 4 5" xfId="12497" xr:uid="{00000000-0005-0000-0000-0000D1300000}"/>
    <cellStyle name="Normal 2 2 2 2 2 27 4 6" xfId="12498" xr:uid="{00000000-0005-0000-0000-0000D2300000}"/>
    <cellStyle name="Normal 2 2 2 2 2 27 4 7" xfId="12499" xr:uid="{00000000-0005-0000-0000-0000D3300000}"/>
    <cellStyle name="Normal 2 2 2 2 2 27 4 8" xfId="12500" xr:uid="{00000000-0005-0000-0000-0000D4300000}"/>
    <cellStyle name="Normal 2 2 2 2 2 27 4 9" xfId="12501" xr:uid="{00000000-0005-0000-0000-0000D5300000}"/>
    <cellStyle name="Normal 2 2 2 2 2 27 5" xfId="12502" xr:uid="{00000000-0005-0000-0000-0000D6300000}"/>
    <cellStyle name="Normal 2 2 2 2 2 27 5 10" xfId="12503" xr:uid="{00000000-0005-0000-0000-0000D7300000}"/>
    <cellStyle name="Normal 2 2 2 2 2 27 5 2" xfId="12504" xr:uid="{00000000-0005-0000-0000-0000D8300000}"/>
    <cellStyle name="Normal 2 2 2 2 2 27 5 3" xfId="12505" xr:uid="{00000000-0005-0000-0000-0000D9300000}"/>
    <cellStyle name="Normal 2 2 2 2 2 27 5 4" xfId="12506" xr:uid="{00000000-0005-0000-0000-0000DA300000}"/>
    <cellStyle name="Normal 2 2 2 2 2 27 5 5" xfId="12507" xr:uid="{00000000-0005-0000-0000-0000DB300000}"/>
    <cellStyle name="Normal 2 2 2 2 2 27 5 6" xfId="12508" xr:uid="{00000000-0005-0000-0000-0000DC300000}"/>
    <cellStyle name="Normal 2 2 2 2 2 27 5 7" xfId="12509" xr:uid="{00000000-0005-0000-0000-0000DD300000}"/>
    <cellStyle name="Normal 2 2 2 2 2 27 5 8" xfId="12510" xr:uid="{00000000-0005-0000-0000-0000DE300000}"/>
    <cellStyle name="Normal 2 2 2 2 2 27 5 9" xfId="12511" xr:uid="{00000000-0005-0000-0000-0000DF300000}"/>
    <cellStyle name="Normal 2 2 2 2 2 27 6" xfId="12512" xr:uid="{00000000-0005-0000-0000-0000E0300000}"/>
    <cellStyle name="Normal 2 2 2 2 2 27 7" xfId="12513" xr:uid="{00000000-0005-0000-0000-0000E1300000}"/>
    <cellStyle name="Normal 2 2 2 2 2 27 8" xfId="12514" xr:uid="{00000000-0005-0000-0000-0000E2300000}"/>
    <cellStyle name="Normal 2 2 2 2 2 27 9" xfId="12515" xr:uid="{00000000-0005-0000-0000-0000E3300000}"/>
    <cellStyle name="Normal 2 2 2 2 2 28" xfId="12516" xr:uid="{00000000-0005-0000-0000-0000E4300000}"/>
    <cellStyle name="Normal 2 2 2 2 2 28 10" xfId="12517" xr:uid="{00000000-0005-0000-0000-0000E5300000}"/>
    <cellStyle name="Normal 2 2 2 2 2 28 11" xfId="12518" xr:uid="{00000000-0005-0000-0000-0000E6300000}"/>
    <cellStyle name="Normal 2 2 2 2 2 28 12" xfId="12519" xr:uid="{00000000-0005-0000-0000-0000E7300000}"/>
    <cellStyle name="Normal 2 2 2 2 2 28 13" xfId="12520" xr:uid="{00000000-0005-0000-0000-0000E8300000}"/>
    <cellStyle name="Normal 2 2 2 2 2 28 14" xfId="12521" xr:uid="{00000000-0005-0000-0000-0000E9300000}"/>
    <cellStyle name="Normal 2 2 2 2 2 28 2" xfId="12522" xr:uid="{00000000-0005-0000-0000-0000EA300000}"/>
    <cellStyle name="Normal 2 2 2 2 2 28 2 10" xfId="12523" xr:uid="{00000000-0005-0000-0000-0000EB300000}"/>
    <cellStyle name="Normal 2 2 2 2 2 28 2 2" xfId="12524" xr:uid="{00000000-0005-0000-0000-0000EC300000}"/>
    <cellStyle name="Normal 2 2 2 2 2 28 2 3" xfId="12525" xr:uid="{00000000-0005-0000-0000-0000ED300000}"/>
    <cellStyle name="Normal 2 2 2 2 2 28 2 4" xfId="12526" xr:uid="{00000000-0005-0000-0000-0000EE300000}"/>
    <cellStyle name="Normal 2 2 2 2 2 28 2 5" xfId="12527" xr:uid="{00000000-0005-0000-0000-0000EF300000}"/>
    <cellStyle name="Normal 2 2 2 2 2 28 2 6" xfId="12528" xr:uid="{00000000-0005-0000-0000-0000F0300000}"/>
    <cellStyle name="Normal 2 2 2 2 2 28 2 7" xfId="12529" xr:uid="{00000000-0005-0000-0000-0000F1300000}"/>
    <cellStyle name="Normal 2 2 2 2 2 28 2 8" xfId="12530" xr:uid="{00000000-0005-0000-0000-0000F2300000}"/>
    <cellStyle name="Normal 2 2 2 2 2 28 2 9" xfId="12531" xr:uid="{00000000-0005-0000-0000-0000F3300000}"/>
    <cellStyle name="Normal 2 2 2 2 2 28 3" xfId="12532" xr:uid="{00000000-0005-0000-0000-0000F4300000}"/>
    <cellStyle name="Normal 2 2 2 2 2 28 3 10" xfId="12533" xr:uid="{00000000-0005-0000-0000-0000F5300000}"/>
    <cellStyle name="Normal 2 2 2 2 2 28 3 2" xfId="12534" xr:uid="{00000000-0005-0000-0000-0000F6300000}"/>
    <cellStyle name="Normal 2 2 2 2 2 28 3 3" xfId="12535" xr:uid="{00000000-0005-0000-0000-0000F7300000}"/>
    <cellStyle name="Normal 2 2 2 2 2 28 3 4" xfId="12536" xr:uid="{00000000-0005-0000-0000-0000F8300000}"/>
    <cellStyle name="Normal 2 2 2 2 2 28 3 5" xfId="12537" xr:uid="{00000000-0005-0000-0000-0000F9300000}"/>
    <cellStyle name="Normal 2 2 2 2 2 28 3 6" xfId="12538" xr:uid="{00000000-0005-0000-0000-0000FA300000}"/>
    <cellStyle name="Normal 2 2 2 2 2 28 3 7" xfId="12539" xr:uid="{00000000-0005-0000-0000-0000FB300000}"/>
    <cellStyle name="Normal 2 2 2 2 2 28 3 8" xfId="12540" xr:uid="{00000000-0005-0000-0000-0000FC300000}"/>
    <cellStyle name="Normal 2 2 2 2 2 28 3 9" xfId="12541" xr:uid="{00000000-0005-0000-0000-0000FD300000}"/>
    <cellStyle name="Normal 2 2 2 2 2 28 4" xfId="12542" xr:uid="{00000000-0005-0000-0000-0000FE300000}"/>
    <cellStyle name="Normal 2 2 2 2 2 28 4 10" xfId="12543" xr:uid="{00000000-0005-0000-0000-0000FF300000}"/>
    <cellStyle name="Normal 2 2 2 2 2 28 4 2" xfId="12544" xr:uid="{00000000-0005-0000-0000-000000310000}"/>
    <cellStyle name="Normal 2 2 2 2 2 28 4 3" xfId="12545" xr:uid="{00000000-0005-0000-0000-000001310000}"/>
    <cellStyle name="Normal 2 2 2 2 2 28 4 4" xfId="12546" xr:uid="{00000000-0005-0000-0000-000002310000}"/>
    <cellStyle name="Normal 2 2 2 2 2 28 4 5" xfId="12547" xr:uid="{00000000-0005-0000-0000-000003310000}"/>
    <cellStyle name="Normal 2 2 2 2 2 28 4 6" xfId="12548" xr:uid="{00000000-0005-0000-0000-000004310000}"/>
    <cellStyle name="Normal 2 2 2 2 2 28 4 7" xfId="12549" xr:uid="{00000000-0005-0000-0000-000005310000}"/>
    <cellStyle name="Normal 2 2 2 2 2 28 4 8" xfId="12550" xr:uid="{00000000-0005-0000-0000-000006310000}"/>
    <cellStyle name="Normal 2 2 2 2 2 28 4 9" xfId="12551" xr:uid="{00000000-0005-0000-0000-000007310000}"/>
    <cellStyle name="Normal 2 2 2 2 2 28 5" xfId="12552" xr:uid="{00000000-0005-0000-0000-000008310000}"/>
    <cellStyle name="Normal 2 2 2 2 2 28 5 10" xfId="12553" xr:uid="{00000000-0005-0000-0000-000009310000}"/>
    <cellStyle name="Normal 2 2 2 2 2 28 5 2" xfId="12554" xr:uid="{00000000-0005-0000-0000-00000A310000}"/>
    <cellStyle name="Normal 2 2 2 2 2 28 5 3" xfId="12555" xr:uid="{00000000-0005-0000-0000-00000B310000}"/>
    <cellStyle name="Normal 2 2 2 2 2 28 5 4" xfId="12556" xr:uid="{00000000-0005-0000-0000-00000C310000}"/>
    <cellStyle name="Normal 2 2 2 2 2 28 5 5" xfId="12557" xr:uid="{00000000-0005-0000-0000-00000D310000}"/>
    <cellStyle name="Normal 2 2 2 2 2 28 5 6" xfId="12558" xr:uid="{00000000-0005-0000-0000-00000E310000}"/>
    <cellStyle name="Normal 2 2 2 2 2 28 5 7" xfId="12559" xr:uid="{00000000-0005-0000-0000-00000F310000}"/>
    <cellStyle name="Normal 2 2 2 2 2 28 5 8" xfId="12560" xr:uid="{00000000-0005-0000-0000-000010310000}"/>
    <cellStyle name="Normal 2 2 2 2 2 28 5 9" xfId="12561" xr:uid="{00000000-0005-0000-0000-000011310000}"/>
    <cellStyle name="Normal 2 2 2 2 2 28 6" xfId="12562" xr:uid="{00000000-0005-0000-0000-000012310000}"/>
    <cellStyle name="Normal 2 2 2 2 2 28 7" xfId="12563" xr:uid="{00000000-0005-0000-0000-000013310000}"/>
    <cellStyle name="Normal 2 2 2 2 2 28 8" xfId="12564" xr:uid="{00000000-0005-0000-0000-000014310000}"/>
    <cellStyle name="Normal 2 2 2 2 2 28 9" xfId="12565" xr:uid="{00000000-0005-0000-0000-000015310000}"/>
    <cellStyle name="Normal 2 2 2 2 2 29" xfId="12566" xr:uid="{00000000-0005-0000-0000-000016310000}"/>
    <cellStyle name="Normal 2 2 2 2 2 29 10" xfId="12567" xr:uid="{00000000-0005-0000-0000-000017310000}"/>
    <cellStyle name="Normal 2 2 2 2 2 29 11" xfId="12568" xr:uid="{00000000-0005-0000-0000-000018310000}"/>
    <cellStyle name="Normal 2 2 2 2 2 29 12" xfId="12569" xr:uid="{00000000-0005-0000-0000-000019310000}"/>
    <cellStyle name="Normal 2 2 2 2 2 29 13" xfId="12570" xr:uid="{00000000-0005-0000-0000-00001A310000}"/>
    <cellStyle name="Normal 2 2 2 2 2 29 14" xfId="12571" xr:uid="{00000000-0005-0000-0000-00001B310000}"/>
    <cellStyle name="Normal 2 2 2 2 2 29 2" xfId="12572" xr:uid="{00000000-0005-0000-0000-00001C310000}"/>
    <cellStyle name="Normal 2 2 2 2 2 29 2 10" xfId="12573" xr:uid="{00000000-0005-0000-0000-00001D310000}"/>
    <cellStyle name="Normal 2 2 2 2 2 29 2 2" xfId="12574" xr:uid="{00000000-0005-0000-0000-00001E310000}"/>
    <cellStyle name="Normal 2 2 2 2 2 29 2 3" xfId="12575" xr:uid="{00000000-0005-0000-0000-00001F310000}"/>
    <cellStyle name="Normal 2 2 2 2 2 29 2 4" xfId="12576" xr:uid="{00000000-0005-0000-0000-000020310000}"/>
    <cellStyle name="Normal 2 2 2 2 2 29 2 5" xfId="12577" xr:uid="{00000000-0005-0000-0000-000021310000}"/>
    <cellStyle name="Normal 2 2 2 2 2 29 2 6" xfId="12578" xr:uid="{00000000-0005-0000-0000-000022310000}"/>
    <cellStyle name="Normal 2 2 2 2 2 29 2 7" xfId="12579" xr:uid="{00000000-0005-0000-0000-000023310000}"/>
    <cellStyle name="Normal 2 2 2 2 2 29 2 8" xfId="12580" xr:uid="{00000000-0005-0000-0000-000024310000}"/>
    <cellStyle name="Normal 2 2 2 2 2 29 2 9" xfId="12581" xr:uid="{00000000-0005-0000-0000-000025310000}"/>
    <cellStyle name="Normal 2 2 2 2 2 29 3" xfId="12582" xr:uid="{00000000-0005-0000-0000-000026310000}"/>
    <cellStyle name="Normal 2 2 2 2 2 29 3 10" xfId="12583" xr:uid="{00000000-0005-0000-0000-000027310000}"/>
    <cellStyle name="Normal 2 2 2 2 2 29 3 2" xfId="12584" xr:uid="{00000000-0005-0000-0000-000028310000}"/>
    <cellStyle name="Normal 2 2 2 2 2 29 3 3" xfId="12585" xr:uid="{00000000-0005-0000-0000-000029310000}"/>
    <cellStyle name="Normal 2 2 2 2 2 29 3 4" xfId="12586" xr:uid="{00000000-0005-0000-0000-00002A310000}"/>
    <cellStyle name="Normal 2 2 2 2 2 29 3 5" xfId="12587" xr:uid="{00000000-0005-0000-0000-00002B310000}"/>
    <cellStyle name="Normal 2 2 2 2 2 29 3 6" xfId="12588" xr:uid="{00000000-0005-0000-0000-00002C310000}"/>
    <cellStyle name="Normal 2 2 2 2 2 29 3 7" xfId="12589" xr:uid="{00000000-0005-0000-0000-00002D310000}"/>
    <cellStyle name="Normal 2 2 2 2 2 29 3 8" xfId="12590" xr:uid="{00000000-0005-0000-0000-00002E310000}"/>
    <cellStyle name="Normal 2 2 2 2 2 29 3 9" xfId="12591" xr:uid="{00000000-0005-0000-0000-00002F310000}"/>
    <cellStyle name="Normal 2 2 2 2 2 29 4" xfId="12592" xr:uid="{00000000-0005-0000-0000-000030310000}"/>
    <cellStyle name="Normal 2 2 2 2 2 29 4 10" xfId="12593" xr:uid="{00000000-0005-0000-0000-000031310000}"/>
    <cellStyle name="Normal 2 2 2 2 2 29 4 2" xfId="12594" xr:uid="{00000000-0005-0000-0000-000032310000}"/>
    <cellStyle name="Normal 2 2 2 2 2 29 4 3" xfId="12595" xr:uid="{00000000-0005-0000-0000-000033310000}"/>
    <cellStyle name="Normal 2 2 2 2 2 29 4 4" xfId="12596" xr:uid="{00000000-0005-0000-0000-000034310000}"/>
    <cellStyle name="Normal 2 2 2 2 2 29 4 5" xfId="12597" xr:uid="{00000000-0005-0000-0000-000035310000}"/>
    <cellStyle name="Normal 2 2 2 2 2 29 4 6" xfId="12598" xr:uid="{00000000-0005-0000-0000-000036310000}"/>
    <cellStyle name="Normal 2 2 2 2 2 29 4 7" xfId="12599" xr:uid="{00000000-0005-0000-0000-000037310000}"/>
    <cellStyle name="Normal 2 2 2 2 2 29 4 8" xfId="12600" xr:uid="{00000000-0005-0000-0000-000038310000}"/>
    <cellStyle name="Normal 2 2 2 2 2 29 4 9" xfId="12601" xr:uid="{00000000-0005-0000-0000-000039310000}"/>
    <cellStyle name="Normal 2 2 2 2 2 29 5" xfId="12602" xr:uid="{00000000-0005-0000-0000-00003A310000}"/>
    <cellStyle name="Normal 2 2 2 2 2 29 5 10" xfId="12603" xr:uid="{00000000-0005-0000-0000-00003B310000}"/>
    <cellStyle name="Normal 2 2 2 2 2 29 5 2" xfId="12604" xr:uid="{00000000-0005-0000-0000-00003C310000}"/>
    <cellStyle name="Normal 2 2 2 2 2 29 5 3" xfId="12605" xr:uid="{00000000-0005-0000-0000-00003D310000}"/>
    <cellStyle name="Normal 2 2 2 2 2 29 5 4" xfId="12606" xr:uid="{00000000-0005-0000-0000-00003E310000}"/>
    <cellStyle name="Normal 2 2 2 2 2 29 5 5" xfId="12607" xr:uid="{00000000-0005-0000-0000-00003F310000}"/>
    <cellStyle name="Normal 2 2 2 2 2 29 5 6" xfId="12608" xr:uid="{00000000-0005-0000-0000-000040310000}"/>
    <cellStyle name="Normal 2 2 2 2 2 29 5 7" xfId="12609" xr:uid="{00000000-0005-0000-0000-000041310000}"/>
    <cellStyle name="Normal 2 2 2 2 2 29 5 8" xfId="12610" xr:uid="{00000000-0005-0000-0000-000042310000}"/>
    <cellStyle name="Normal 2 2 2 2 2 29 5 9" xfId="12611" xr:uid="{00000000-0005-0000-0000-000043310000}"/>
    <cellStyle name="Normal 2 2 2 2 2 29 6" xfId="12612" xr:uid="{00000000-0005-0000-0000-000044310000}"/>
    <cellStyle name="Normal 2 2 2 2 2 29 7" xfId="12613" xr:uid="{00000000-0005-0000-0000-000045310000}"/>
    <cellStyle name="Normal 2 2 2 2 2 29 8" xfId="12614" xr:uid="{00000000-0005-0000-0000-000046310000}"/>
    <cellStyle name="Normal 2 2 2 2 2 29 9" xfId="12615" xr:uid="{00000000-0005-0000-0000-000047310000}"/>
    <cellStyle name="Normal 2 2 2 2 2 3" xfId="12616" xr:uid="{00000000-0005-0000-0000-000048310000}"/>
    <cellStyle name="Normal 2 2 2 2 2 3 10" xfId="12617" xr:uid="{00000000-0005-0000-0000-000049310000}"/>
    <cellStyle name="Normal 2 2 2 2 2 3 11" xfId="12618" xr:uid="{00000000-0005-0000-0000-00004A310000}"/>
    <cellStyle name="Normal 2 2 2 2 2 3 12" xfId="12619" xr:uid="{00000000-0005-0000-0000-00004B310000}"/>
    <cellStyle name="Normal 2 2 2 2 2 3 13" xfId="12620" xr:uid="{00000000-0005-0000-0000-00004C310000}"/>
    <cellStyle name="Normal 2 2 2 2 2 3 14" xfId="12621" xr:uid="{00000000-0005-0000-0000-00004D310000}"/>
    <cellStyle name="Normal 2 2 2 2 2 3 15" xfId="12622" xr:uid="{00000000-0005-0000-0000-00004E310000}"/>
    <cellStyle name="Normal 2 2 2 2 2 3 16" xfId="12623" xr:uid="{00000000-0005-0000-0000-00004F310000}"/>
    <cellStyle name="Normal 2 2 2 2 2 3 2" xfId="12624" xr:uid="{00000000-0005-0000-0000-000050310000}"/>
    <cellStyle name="Normal 2 2 2 2 2 3 2 10" xfId="12625" xr:uid="{00000000-0005-0000-0000-000051310000}"/>
    <cellStyle name="Normal 2 2 2 2 2 3 2 11" xfId="12626" xr:uid="{00000000-0005-0000-0000-000052310000}"/>
    <cellStyle name="Normal 2 2 2 2 2 3 2 12" xfId="12627" xr:uid="{00000000-0005-0000-0000-000053310000}"/>
    <cellStyle name="Normal 2 2 2 2 2 3 2 2" xfId="12628" xr:uid="{00000000-0005-0000-0000-000054310000}"/>
    <cellStyle name="Normal 2 2 2 2 2 3 2 3" xfId="12629" xr:uid="{00000000-0005-0000-0000-000055310000}"/>
    <cellStyle name="Normal 2 2 2 2 2 3 2 4" xfId="12630" xr:uid="{00000000-0005-0000-0000-000056310000}"/>
    <cellStyle name="Normal 2 2 2 2 2 3 2 5" xfId="12631" xr:uid="{00000000-0005-0000-0000-000057310000}"/>
    <cellStyle name="Normal 2 2 2 2 2 3 2 6" xfId="12632" xr:uid="{00000000-0005-0000-0000-000058310000}"/>
    <cellStyle name="Normal 2 2 2 2 2 3 2 7" xfId="12633" xr:uid="{00000000-0005-0000-0000-000059310000}"/>
    <cellStyle name="Normal 2 2 2 2 2 3 2 8" xfId="12634" xr:uid="{00000000-0005-0000-0000-00005A310000}"/>
    <cellStyle name="Normal 2 2 2 2 2 3 2 9" xfId="12635" xr:uid="{00000000-0005-0000-0000-00005B310000}"/>
    <cellStyle name="Normal 2 2 2 2 2 3 3" xfId="12636" xr:uid="{00000000-0005-0000-0000-00005C310000}"/>
    <cellStyle name="Normal 2 2 2 2 2 3 3 10" xfId="12637" xr:uid="{00000000-0005-0000-0000-00005D310000}"/>
    <cellStyle name="Normal 2 2 2 2 2 3 3 2" xfId="12638" xr:uid="{00000000-0005-0000-0000-00005E310000}"/>
    <cellStyle name="Normal 2 2 2 2 2 3 3 3" xfId="12639" xr:uid="{00000000-0005-0000-0000-00005F310000}"/>
    <cellStyle name="Normal 2 2 2 2 2 3 3 4" xfId="12640" xr:uid="{00000000-0005-0000-0000-000060310000}"/>
    <cellStyle name="Normal 2 2 2 2 2 3 3 5" xfId="12641" xr:uid="{00000000-0005-0000-0000-000061310000}"/>
    <cellStyle name="Normal 2 2 2 2 2 3 3 6" xfId="12642" xr:uid="{00000000-0005-0000-0000-000062310000}"/>
    <cellStyle name="Normal 2 2 2 2 2 3 3 7" xfId="12643" xr:uid="{00000000-0005-0000-0000-000063310000}"/>
    <cellStyle name="Normal 2 2 2 2 2 3 3 8" xfId="12644" xr:uid="{00000000-0005-0000-0000-000064310000}"/>
    <cellStyle name="Normal 2 2 2 2 2 3 3 9" xfId="12645" xr:uid="{00000000-0005-0000-0000-000065310000}"/>
    <cellStyle name="Normal 2 2 2 2 2 3 4" xfId="12646" xr:uid="{00000000-0005-0000-0000-000066310000}"/>
    <cellStyle name="Normal 2 2 2 2 2 3 4 10" xfId="12647" xr:uid="{00000000-0005-0000-0000-000067310000}"/>
    <cellStyle name="Normal 2 2 2 2 2 3 4 2" xfId="12648" xr:uid="{00000000-0005-0000-0000-000068310000}"/>
    <cellStyle name="Normal 2 2 2 2 2 3 4 3" xfId="12649" xr:uid="{00000000-0005-0000-0000-000069310000}"/>
    <cellStyle name="Normal 2 2 2 2 2 3 4 4" xfId="12650" xr:uid="{00000000-0005-0000-0000-00006A310000}"/>
    <cellStyle name="Normal 2 2 2 2 2 3 4 5" xfId="12651" xr:uid="{00000000-0005-0000-0000-00006B310000}"/>
    <cellStyle name="Normal 2 2 2 2 2 3 4 6" xfId="12652" xr:uid="{00000000-0005-0000-0000-00006C310000}"/>
    <cellStyle name="Normal 2 2 2 2 2 3 4 7" xfId="12653" xr:uid="{00000000-0005-0000-0000-00006D310000}"/>
    <cellStyle name="Normal 2 2 2 2 2 3 4 8" xfId="12654" xr:uid="{00000000-0005-0000-0000-00006E310000}"/>
    <cellStyle name="Normal 2 2 2 2 2 3 4 9" xfId="12655" xr:uid="{00000000-0005-0000-0000-00006F310000}"/>
    <cellStyle name="Normal 2 2 2 2 2 3 5" xfId="12656" xr:uid="{00000000-0005-0000-0000-000070310000}"/>
    <cellStyle name="Normal 2 2 2 2 2 3 5 10" xfId="12657" xr:uid="{00000000-0005-0000-0000-000071310000}"/>
    <cellStyle name="Normal 2 2 2 2 2 3 5 2" xfId="12658" xr:uid="{00000000-0005-0000-0000-000072310000}"/>
    <cellStyle name="Normal 2 2 2 2 2 3 5 3" xfId="12659" xr:uid="{00000000-0005-0000-0000-000073310000}"/>
    <cellStyle name="Normal 2 2 2 2 2 3 5 4" xfId="12660" xr:uid="{00000000-0005-0000-0000-000074310000}"/>
    <cellStyle name="Normal 2 2 2 2 2 3 5 5" xfId="12661" xr:uid="{00000000-0005-0000-0000-000075310000}"/>
    <cellStyle name="Normal 2 2 2 2 2 3 5 6" xfId="12662" xr:uid="{00000000-0005-0000-0000-000076310000}"/>
    <cellStyle name="Normal 2 2 2 2 2 3 5 7" xfId="12663" xr:uid="{00000000-0005-0000-0000-000077310000}"/>
    <cellStyle name="Normal 2 2 2 2 2 3 5 8" xfId="12664" xr:uid="{00000000-0005-0000-0000-000078310000}"/>
    <cellStyle name="Normal 2 2 2 2 2 3 5 9" xfId="12665" xr:uid="{00000000-0005-0000-0000-000079310000}"/>
    <cellStyle name="Normal 2 2 2 2 2 3 6" xfId="12666" xr:uid="{00000000-0005-0000-0000-00007A310000}"/>
    <cellStyle name="Normal 2 2 2 2 2 3 7" xfId="12667" xr:uid="{00000000-0005-0000-0000-00007B310000}"/>
    <cellStyle name="Normal 2 2 2 2 2 3 8" xfId="12668" xr:uid="{00000000-0005-0000-0000-00007C310000}"/>
    <cellStyle name="Normal 2 2 2 2 2 3 9" xfId="12669" xr:uid="{00000000-0005-0000-0000-00007D310000}"/>
    <cellStyle name="Normal 2 2 2 2 2 30" xfId="12670" xr:uid="{00000000-0005-0000-0000-00007E310000}"/>
    <cellStyle name="Normal 2 2 2 2 2 30 10" xfId="12671" xr:uid="{00000000-0005-0000-0000-00007F310000}"/>
    <cellStyle name="Normal 2 2 2 2 2 30 11" xfId="12672" xr:uid="{00000000-0005-0000-0000-000080310000}"/>
    <cellStyle name="Normal 2 2 2 2 2 30 12" xfId="12673" xr:uid="{00000000-0005-0000-0000-000081310000}"/>
    <cellStyle name="Normal 2 2 2 2 2 30 13" xfId="12674" xr:uid="{00000000-0005-0000-0000-000082310000}"/>
    <cellStyle name="Normal 2 2 2 2 2 30 14" xfId="12675" xr:uid="{00000000-0005-0000-0000-000083310000}"/>
    <cellStyle name="Normal 2 2 2 2 2 30 2" xfId="12676" xr:uid="{00000000-0005-0000-0000-000084310000}"/>
    <cellStyle name="Normal 2 2 2 2 2 30 2 10" xfId="12677" xr:uid="{00000000-0005-0000-0000-000085310000}"/>
    <cellStyle name="Normal 2 2 2 2 2 30 2 2" xfId="12678" xr:uid="{00000000-0005-0000-0000-000086310000}"/>
    <cellStyle name="Normal 2 2 2 2 2 30 2 3" xfId="12679" xr:uid="{00000000-0005-0000-0000-000087310000}"/>
    <cellStyle name="Normal 2 2 2 2 2 30 2 4" xfId="12680" xr:uid="{00000000-0005-0000-0000-000088310000}"/>
    <cellStyle name="Normal 2 2 2 2 2 30 2 5" xfId="12681" xr:uid="{00000000-0005-0000-0000-000089310000}"/>
    <cellStyle name="Normal 2 2 2 2 2 30 2 6" xfId="12682" xr:uid="{00000000-0005-0000-0000-00008A310000}"/>
    <cellStyle name="Normal 2 2 2 2 2 30 2 7" xfId="12683" xr:uid="{00000000-0005-0000-0000-00008B310000}"/>
    <cellStyle name="Normal 2 2 2 2 2 30 2 8" xfId="12684" xr:uid="{00000000-0005-0000-0000-00008C310000}"/>
    <cellStyle name="Normal 2 2 2 2 2 30 2 9" xfId="12685" xr:uid="{00000000-0005-0000-0000-00008D310000}"/>
    <cellStyle name="Normal 2 2 2 2 2 30 3" xfId="12686" xr:uid="{00000000-0005-0000-0000-00008E310000}"/>
    <cellStyle name="Normal 2 2 2 2 2 30 3 10" xfId="12687" xr:uid="{00000000-0005-0000-0000-00008F310000}"/>
    <cellStyle name="Normal 2 2 2 2 2 30 3 2" xfId="12688" xr:uid="{00000000-0005-0000-0000-000090310000}"/>
    <cellStyle name="Normal 2 2 2 2 2 30 3 3" xfId="12689" xr:uid="{00000000-0005-0000-0000-000091310000}"/>
    <cellStyle name="Normal 2 2 2 2 2 30 3 4" xfId="12690" xr:uid="{00000000-0005-0000-0000-000092310000}"/>
    <cellStyle name="Normal 2 2 2 2 2 30 3 5" xfId="12691" xr:uid="{00000000-0005-0000-0000-000093310000}"/>
    <cellStyle name="Normal 2 2 2 2 2 30 3 6" xfId="12692" xr:uid="{00000000-0005-0000-0000-000094310000}"/>
    <cellStyle name="Normal 2 2 2 2 2 30 3 7" xfId="12693" xr:uid="{00000000-0005-0000-0000-000095310000}"/>
    <cellStyle name="Normal 2 2 2 2 2 30 3 8" xfId="12694" xr:uid="{00000000-0005-0000-0000-000096310000}"/>
    <cellStyle name="Normal 2 2 2 2 2 30 3 9" xfId="12695" xr:uid="{00000000-0005-0000-0000-000097310000}"/>
    <cellStyle name="Normal 2 2 2 2 2 30 4" xfId="12696" xr:uid="{00000000-0005-0000-0000-000098310000}"/>
    <cellStyle name="Normal 2 2 2 2 2 30 4 10" xfId="12697" xr:uid="{00000000-0005-0000-0000-000099310000}"/>
    <cellStyle name="Normal 2 2 2 2 2 30 4 2" xfId="12698" xr:uid="{00000000-0005-0000-0000-00009A310000}"/>
    <cellStyle name="Normal 2 2 2 2 2 30 4 3" xfId="12699" xr:uid="{00000000-0005-0000-0000-00009B310000}"/>
    <cellStyle name="Normal 2 2 2 2 2 30 4 4" xfId="12700" xr:uid="{00000000-0005-0000-0000-00009C310000}"/>
    <cellStyle name="Normal 2 2 2 2 2 30 4 5" xfId="12701" xr:uid="{00000000-0005-0000-0000-00009D310000}"/>
    <cellStyle name="Normal 2 2 2 2 2 30 4 6" xfId="12702" xr:uid="{00000000-0005-0000-0000-00009E310000}"/>
    <cellStyle name="Normal 2 2 2 2 2 30 4 7" xfId="12703" xr:uid="{00000000-0005-0000-0000-00009F310000}"/>
    <cellStyle name="Normal 2 2 2 2 2 30 4 8" xfId="12704" xr:uid="{00000000-0005-0000-0000-0000A0310000}"/>
    <cellStyle name="Normal 2 2 2 2 2 30 4 9" xfId="12705" xr:uid="{00000000-0005-0000-0000-0000A1310000}"/>
    <cellStyle name="Normal 2 2 2 2 2 30 5" xfId="12706" xr:uid="{00000000-0005-0000-0000-0000A2310000}"/>
    <cellStyle name="Normal 2 2 2 2 2 30 5 10" xfId="12707" xr:uid="{00000000-0005-0000-0000-0000A3310000}"/>
    <cellStyle name="Normal 2 2 2 2 2 30 5 2" xfId="12708" xr:uid="{00000000-0005-0000-0000-0000A4310000}"/>
    <cellStyle name="Normal 2 2 2 2 2 30 5 3" xfId="12709" xr:uid="{00000000-0005-0000-0000-0000A5310000}"/>
    <cellStyle name="Normal 2 2 2 2 2 30 5 4" xfId="12710" xr:uid="{00000000-0005-0000-0000-0000A6310000}"/>
    <cellStyle name="Normal 2 2 2 2 2 30 5 5" xfId="12711" xr:uid="{00000000-0005-0000-0000-0000A7310000}"/>
    <cellStyle name="Normal 2 2 2 2 2 30 5 6" xfId="12712" xr:uid="{00000000-0005-0000-0000-0000A8310000}"/>
    <cellStyle name="Normal 2 2 2 2 2 30 5 7" xfId="12713" xr:uid="{00000000-0005-0000-0000-0000A9310000}"/>
    <cellStyle name="Normal 2 2 2 2 2 30 5 8" xfId="12714" xr:uid="{00000000-0005-0000-0000-0000AA310000}"/>
    <cellStyle name="Normal 2 2 2 2 2 30 5 9" xfId="12715" xr:uid="{00000000-0005-0000-0000-0000AB310000}"/>
    <cellStyle name="Normal 2 2 2 2 2 30 6" xfId="12716" xr:uid="{00000000-0005-0000-0000-0000AC310000}"/>
    <cellStyle name="Normal 2 2 2 2 2 30 7" xfId="12717" xr:uid="{00000000-0005-0000-0000-0000AD310000}"/>
    <cellStyle name="Normal 2 2 2 2 2 30 8" xfId="12718" xr:uid="{00000000-0005-0000-0000-0000AE310000}"/>
    <cellStyle name="Normal 2 2 2 2 2 30 9" xfId="12719" xr:uid="{00000000-0005-0000-0000-0000AF310000}"/>
    <cellStyle name="Normal 2 2 2 2 2 31" xfId="12720" xr:uid="{00000000-0005-0000-0000-0000B0310000}"/>
    <cellStyle name="Normal 2 2 2 2 2 31 10" xfId="12721" xr:uid="{00000000-0005-0000-0000-0000B1310000}"/>
    <cellStyle name="Normal 2 2 2 2 2 31 11" xfId="12722" xr:uid="{00000000-0005-0000-0000-0000B2310000}"/>
    <cellStyle name="Normal 2 2 2 2 2 31 12" xfId="12723" xr:uid="{00000000-0005-0000-0000-0000B3310000}"/>
    <cellStyle name="Normal 2 2 2 2 2 31 13" xfId="12724" xr:uid="{00000000-0005-0000-0000-0000B4310000}"/>
    <cellStyle name="Normal 2 2 2 2 2 31 14" xfId="12725" xr:uid="{00000000-0005-0000-0000-0000B5310000}"/>
    <cellStyle name="Normal 2 2 2 2 2 31 2" xfId="12726" xr:uid="{00000000-0005-0000-0000-0000B6310000}"/>
    <cellStyle name="Normal 2 2 2 2 2 31 2 10" xfId="12727" xr:uid="{00000000-0005-0000-0000-0000B7310000}"/>
    <cellStyle name="Normal 2 2 2 2 2 31 2 2" xfId="12728" xr:uid="{00000000-0005-0000-0000-0000B8310000}"/>
    <cellStyle name="Normal 2 2 2 2 2 31 2 3" xfId="12729" xr:uid="{00000000-0005-0000-0000-0000B9310000}"/>
    <cellStyle name="Normal 2 2 2 2 2 31 2 4" xfId="12730" xr:uid="{00000000-0005-0000-0000-0000BA310000}"/>
    <cellStyle name="Normal 2 2 2 2 2 31 2 5" xfId="12731" xr:uid="{00000000-0005-0000-0000-0000BB310000}"/>
    <cellStyle name="Normal 2 2 2 2 2 31 2 6" xfId="12732" xr:uid="{00000000-0005-0000-0000-0000BC310000}"/>
    <cellStyle name="Normal 2 2 2 2 2 31 2 7" xfId="12733" xr:uid="{00000000-0005-0000-0000-0000BD310000}"/>
    <cellStyle name="Normal 2 2 2 2 2 31 2 8" xfId="12734" xr:uid="{00000000-0005-0000-0000-0000BE310000}"/>
    <cellStyle name="Normal 2 2 2 2 2 31 2 9" xfId="12735" xr:uid="{00000000-0005-0000-0000-0000BF310000}"/>
    <cellStyle name="Normal 2 2 2 2 2 31 3" xfId="12736" xr:uid="{00000000-0005-0000-0000-0000C0310000}"/>
    <cellStyle name="Normal 2 2 2 2 2 31 3 10" xfId="12737" xr:uid="{00000000-0005-0000-0000-0000C1310000}"/>
    <cellStyle name="Normal 2 2 2 2 2 31 3 2" xfId="12738" xr:uid="{00000000-0005-0000-0000-0000C2310000}"/>
    <cellStyle name="Normal 2 2 2 2 2 31 3 3" xfId="12739" xr:uid="{00000000-0005-0000-0000-0000C3310000}"/>
    <cellStyle name="Normal 2 2 2 2 2 31 3 4" xfId="12740" xr:uid="{00000000-0005-0000-0000-0000C4310000}"/>
    <cellStyle name="Normal 2 2 2 2 2 31 3 5" xfId="12741" xr:uid="{00000000-0005-0000-0000-0000C5310000}"/>
    <cellStyle name="Normal 2 2 2 2 2 31 3 6" xfId="12742" xr:uid="{00000000-0005-0000-0000-0000C6310000}"/>
    <cellStyle name="Normal 2 2 2 2 2 31 3 7" xfId="12743" xr:uid="{00000000-0005-0000-0000-0000C7310000}"/>
    <cellStyle name="Normal 2 2 2 2 2 31 3 8" xfId="12744" xr:uid="{00000000-0005-0000-0000-0000C8310000}"/>
    <cellStyle name="Normal 2 2 2 2 2 31 3 9" xfId="12745" xr:uid="{00000000-0005-0000-0000-0000C9310000}"/>
    <cellStyle name="Normal 2 2 2 2 2 31 4" xfId="12746" xr:uid="{00000000-0005-0000-0000-0000CA310000}"/>
    <cellStyle name="Normal 2 2 2 2 2 31 4 10" xfId="12747" xr:uid="{00000000-0005-0000-0000-0000CB310000}"/>
    <cellStyle name="Normal 2 2 2 2 2 31 4 2" xfId="12748" xr:uid="{00000000-0005-0000-0000-0000CC310000}"/>
    <cellStyle name="Normal 2 2 2 2 2 31 4 3" xfId="12749" xr:uid="{00000000-0005-0000-0000-0000CD310000}"/>
    <cellStyle name="Normal 2 2 2 2 2 31 4 4" xfId="12750" xr:uid="{00000000-0005-0000-0000-0000CE310000}"/>
    <cellStyle name="Normal 2 2 2 2 2 31 4 5" xfId="12751" xr:uid="{00000000-0005-0000-0000-0000CF310000}"/>
    <cellStyle name="Normal 2 2 2 2 2 31 4 6" xfId="12752" xr:uid="{00000000-0005-0000-0000-0000D0310000}"/>
    <cellStyle name="Normal 2 2 2 2 2 31 4 7" xfId="12753" xr:uid="{00000000-0005-0000-0000-0000D1310000}"/>
    <cellStyle name="Normal 2 2 2 2 2 31 4 8" xfId="12754" xr:uid="{00000000-0005-0000-0000-0000D2310000}"/>
    <cellStyle name="Normal 2 2 2 2 2 31 4 9" xfId="12755" xr:uid="{00000000-0005-0000-0000-0000D3310000}"/>
    <cellStyle name="Normal 2 2 2 2 2 31 5" xfId="12756" xr:uid="{00000000-0005-0000-0000-0000D4310000}"/>
    <cellStyle name="Normal 2 2 2 2 2 31 5 10" xfId="12757" xr:uid="{00000000-0005-0000-0000-0000D5310000}"/>
    <cellStyle name="Normal 2 2 2 2 2 31 5 2" xfId="12758" xr:uid="{00000000-0005-0000-0000-0000D6310000}"/>
    <cellStyle name="Normal 2 2 2 2 2 31 5 3" xfId="12759" xr:uid="{00000000-0005-0000-0000-0000D7310000}"/>
    <cellStyle name="Normal 2 2 2 2 2 31 5 4" xfId="12760" xr:uid="{00000000-0005-0000-0000-0000D8310000}"/>
    <cellStyle name="Normal 2 2 2 2 2 31 5 5" xfId="12761" xr:uid="{00000000-0005-0000-0000-0000D9310000}"/>
    <cellStyle name="Normal 2 2 2 2 2 31 5 6" xfId="12762" xr:uid="{00000000-0005-0000-0000-0000DA310000}"/>
    <cellStyle name="Normal 2 2 2 2 2 31 5 7" xfId="12763" xr:uid="{00000000-0005-0000-0000-0000DB310000}"/>
    <cellStyle name="Normal 2 2 2 2 2 31 5 8" xfId="12764" xr:uid="{00000000-0005-0000-0000-0000DC310000}"/>
    <cellStyle name="Normal 2 2 2 2 2 31 5 9" xfId="12765" xr:uid="{00000000-0005-0000-0000-0000DD310000}"/>
    <cellStyle name="Normal 2 2 2 2 2 31 6" xfId="12766" xr:uid="{00000000-0005-0000-0000-0000DE310000}"/>
    <cellStyle name="Normal 2 2 2 2 2 31 7" xfId="12767" xr:uid="{00000000-0005-0000-0000-0000DF310000}"/>
    <cellStyle name="Normal 2 2 2 2 2 31 8" xfId="12768" xr:uid="{00000000-0005-0000-0000-0000E0310000}"/>
    <cellStyle name="Normal 2 2 2 2 2 31 9" xfId="12769" xr:uid="{00000000-0005-0000-0000-0000E1310000}"/>
    <cellStyle name="Normal 2 2 2 2 2 32" xfId="12770" xr:uid="{00000000-0005-0000-0000-0000E2310000}"/>
    <cellStyle name="Normal 2 2 2 2 2 32 10" xfId="12771" xr:uid="{00000000-0005-0000-0000-0000E3310000}"/>
    <cellStyle name="Normal 2 2 2 2 2 32 11" xfId="12772" xr:uid="{00000000-0005-0000-0000-0000E4310000}"/>
    <cellStyle name="Normal 2 2 2 2 2 32 12" xfId="12773" xr:uid="{00000000-0005-0000-0000-0000E5310000}"/>
    <cellStyle name="Normal 2 2 2 2 2 32 13" xfId="12774" xr:uid="{00000000-0005-0000-0000-0000E6310000}"/>
    <cellStyle name="Normal 2 2 2 2 2 32 14" xfId="12775" xr:uid="{00000000-0005-0000-0000-0000E7310000}"/>
    <cellStyle name="Normal 2 2 2 2 2 32 2" xfId="12776" xr:uid="{00000000-0005-0000-0000-0000E8310000}"/>
    <cellStyle name="Normal 2 2 2 2 2 32 2 10" xfId="12777" xr:uid="{00000000-0005-0000-0000-0000E9310000}"/>
    <cellStyle name="Normal 2 2 2 2 2 32 2 2" xfId="12778" xr:uid="{00000000-0005-0000-0000-0000EA310000}"/>
    <cellStyle name="Normal 2 2 2 2 2 32 2 3" xfId="12779" xr:uid="{00000000-0005-0000-0000-0000EB310000}"/>
    <cellStyle name="Normal 2 2 2 2 2 32 2 4" xfId="12780" xr:uid="{00000000-0005-0000-0000-0000EC310000}"/>
    <cellStyle name="Normal 2 2 2 2 2 32 2 5" xfId="12781" xr:uid="{00000000-0005-0000-0000-0000ED310000}"/>
    <cellStyle name="Normal 2 2 2 2 2 32 2 6" xfId="12782" xr:uid="{00000000-0005-0000-0000-0000EE310000}"/>
    <cellStyle name="Normal 2 2 2 2 2 32 2 7" xfId="12783" xr:uid="{00000000-0005-0000-0000-0000EF310000}"/>
    <cellStyle name="Normal 2 2 2 2 2 32 2 8" xfId="12784" xr:uid="{00000000-0005-0000-0000-0000F0310000}"/>
    <cellStyle name="Normal 2 2 2 2 2 32 2 9" xfId="12785" xr:uid="{00000000-0005-0000-0000-0000F1310000}"/>
    <cellStyle name="Normal 2 2 2 2 2 32 3" xfId="12786" xr:uid="{00000000-0005-0000-0000-0000F2310000}"/>
    <cellStyle name="Normal 2 2 2 2 2 32 3 10" xfId="12787" xr:uid="{00000000-0005-0000-0000-0000F3310000}"/>
    <cellStyle name="Normal 2 2 2 2 2 32 3 2" xfId="12788" xr:uid="{00000000-0005-0000-0000-0000F4310000}"/>
    <cellStyle name="Normal 2 2 2 2 2 32 3 3" xfId="12789" xr:uid="{00000000-0005-0000-0000-0000F5310000}"/>
    <cellStyle name="Normal 2 2 2 2 2 32 3 4" xfId="12790" xr:uid="{00000000-0005-0000-0000-0000F6310000}"/>
    <cellStyle name="Normal 2 2 2 2 2 32 3 5" xfId="12791" xr:uid="{00000000-0005-0000-0000-0000F7310000}"/>
    <cellStyle name="Normal 2 2 2 2 2 32 3 6" xfId="12792" xr:uid="{00000000-0005-0000-0000-0000F8310000}"/>
    <cellStyle name="Normal 2 2 2 2 2 32 3 7" xfId="12793" xr:uid="{00000000-0005-0000-0000-0000F9310000}"/>
    <cellStyle name="Normal 2 2 2 2 2 32 3 8" xfId="12794" xr:uid="{00000000-0005-0000-0000-0000FA310000}"/>
    <cellStyle name="Normal 2 2 2 2 2 32 3 9" xfId="12795" xr:uid="{00000000-0005-0000-0000-0000FB310000}"/>
    <cellStyle name="Normal 2 2 2 2 2 32 4" xfId="12796" xr:uid="{00000000-0005-0000-0000-0000FC310000}"/>
    <cellStyle name="Normal 2 2 2 2 2 32 4 10" xfId="12797" xr:uid="{00000000-0005-0000-0000-0000FD310000}"/>
    <cellStyle name="Normal 2 2 2 2 2 32 4 2" xfId="12798" xr:uid="{00000000-0005-0000-0000-0000FE310000}"/>
    <cellStyle name="Normal 2 2 2 2 2 32 4 3" xfId="12799" xr:uid="{00000000-0005-0000-0000-0000FF310000}"/>
    <cellStyle name="Normal 2 2 2 2 2 32 4 4" xfId="12800" xr:uid="{00000000-0005-0000-0000-000000320000}"/>
    <cellStyle name="Normal 2 2 2 2 2 32 4 5" xfId="12801" xr:uid="{00000000-0005-0000-0000-000001320000}"/>
    <cellStyle name="Normal 2 2 2 2 2 32 4 6" xfId="12802" xr:uid="{00000000-0005-0000-0000-000002320000}"/>
    <cellStyle name="Normal 2 2 2 2 2 32 4 7" xfId="12803" xr:uid="{00000000-0005-0000-0000-000003320000}"/>
    <cellStyle name="Normal 2 2 2 2 2 32 4 8" xfId="12804" xr:uid="{00000000-0005-0000-0000-000004320000}"/>
    <cellStyle name="Normal 2 2 2 2 2 32 4 9" xfId="12805" xr:uid="{00000000-0005-0000-0000-000005320000}"/>
    <cellStyle name="Normal 2 2 2 2 2 32 5" xfId="12806" xr:uid="{00000000-0005-0000-0000-000006320000}"/>
    <cellStyle name="Normal 2 2 2 2 2 32 5 10" xfId="12807" xr:uid="{00000000-0005-0000-0000-000007320000}"/>
    <cellStyle name="Normal 2 2 2 2 2 32 5 2" xfId="12808" xr:uid="{00000000-0005-0000-0000-000008320000}"/>
    <cellStyle name="Normal 2 2 2 2 2 32 5 3" xfId="12809" xr:uid="{00000000-0005-0000-0000-000009320000}"/>
    <cellStyle name="Normal 2 2 2 2 2 32 5 4" xfId="12810" xr:uid="{00000000-0005-0000-0000-00000A320000}"/>
    <cellStyle name="Normal 2 2 2 2 2 32 5 5" xfId="12811" xr:uid="{00000000-0005-0000-0000-00000B320000}"/>
    <cellStyle name="Normal 2 2 2 2 2 32 5 6" xfId="12812" xr:uid="{00000000-0005-0000-0000-00000C320000}"/>
    <cellStyle name="Normal 2 2 2 2 2 32 5 7" xfId="12813" xr:uid="{00000000-0005-0000-0000-00000D320000}"/>
    <cellStyle name="Normal 2 2 2 2 2 32 5 8" xfId="12814" xr:uid="{00000000-0005-0000-0000-00000E320000}"/>
    <cellStyle name="Normal 2 2 2 2 2 32 5 9" xfId="12815" xr:uid="{00000000-0005-0000-0000-00000F320000}"/>
    <cellStyle name="Normal 2 2 2 2 2 32 6" xfId="12816" xr:uid="{00000000-0005-0000-0000-000010320000}"/>
    <cellStyle name="Normal 2 2 2 2 2 32 7" xfId="12817" xr:uid="{00000000-0005-0000-0000-000011320000}"/>
    <cellStyle name="Normal 2 2 2 2 2 32 8" xfId="12818" xr:uid="{00000000-0005-0000-0000-000012320000}"/>
    <cellStyle name="Normal 2 2 2 2 2 32 9" xfId="12819" xr:uid="{00000000-0005-0000-0000-000013320000}"/>
    <cellStyle name="Normal 2 2 2 2 2 33" xfId="12820" xr:uid="{00000000-0005-0000-0000-000014320000}"/>
    <cellStyle name="Normal 2 2 2 2 2 33 10" xfId="12821" xr:uid="{00000000-0005-0000-0000-000015320000}"/>
    <cellStyle name="Normal 2 2 2 2 2 33 11" xfId="12822" xr:uid="{00000000-0005-0000-0000-000016320000}"/>
    <cellStyle name="Normal 2 2 2 2 2 33 12" xfId="12823" xr:uid="{00000000-0005-0000-0000-000017320000}"/>
    <cellStyle name="Normal 2 2 2 2 2 33 13" xfId="12824" xr:uid="{00000000-0005-0000-0000-000018320000}"/>
    <cellStyle name="Normal 2 2 2 2 2 33 14" xfId="12825" xr:uid="{00000000-0005-0000-0000-000019320000}"/>
    <cellStyle name="Normal 2 2 2 2 2 33 2" xfId="12826" xr:uid="{00000000-0005-0000-0000-00001A320000}"/>
    <cellStyle name="Normal 2 2 2 2 2 33 2 10" xfId="12827" xr:uid="{00000000-0005-0000-0000-00001B320000}"/>
    <cellStyle name="Normal 2 2 2 2 2 33 2 2" xfId="12828" xr:uid="{00000000-0005-0000-0000-00001C320000}"/>
    <cellStyle name="Normal 2 2 2 2 2 33 2 3" xfId="12829" xr:uid="{00000000-0005-0000-0000-00001D320000}"/>
    <cellStyle name="Normal 2 2 2 2 2 33 2 4" xfId="12830" xr:uid="{00000000-0005-0000-0000-00001E320000}"/>
    <cellStyle name="Normal 2 2 2 2 2 33 2 5" xfId="12831" xr:uid="{00000000-0005-0000-0000-00001F320000}"/>
    <cellStyle name="Normal 2 2 2 2 2 33 2 6" xfId="12832" xr:uid="{00000000-0005-0000-0000-000020320000}"/>
    <cellStyle name="Normal 2 2 2 2 2 33 2 7" xfId="12833" xr:uid="{00000000-0005-0000-0000-000021320000}"/>
    <cellStyle name="Normal 2 2 2 2 2 33 2 8" xfId="12834" xr:uid="{00000000-0005-0000-0000-000022320000}"/>
    <cellStyle name="Normal 2 2 2 2 2 33 2 9" xfId="12835" xr:uid="{00000000-0005-0000-0000-000023320000}"/>
    <cellStyle name="Normal 2 2 2 2 2 33 3" xfId="12836" xr:uid="{00000000-0005-0000-0000-000024320000}"/>
    <cellStyle name="Normal 2 2 2 2 2 33 3 10" xfId="12837" xr:uid="{00000000-0005-0000-0000-000025320000}"/>
    <cellStyle name="Normal 2 2 2 2 2 33 3 2" xfId="12838" xr:uid="{00000000-0005-0000-0000-000026320000}"/>
    <cellStyle name="Normal 2 2 2 2 2 33 3 3" xfId="12839" xr:uid="{00000000-0005-0000-0000-000027320000}"/>
    <cellStyle name="Normal 2 2 2 2 2 33 3 4" xfId="12840" xr:uid="{00000000-0005-0000-0000-000028320000}"/>
    <cellStyle name="Normal 2 2 2 2 2 33 3 5" xfId="12841" xr:uid="{00000000-0005-0000-0000-000029320000}"/>
    <cellStyle name="Normal 2 2 2 2 2 33 3 6" xfId="12842" xr:uid="{00000000-0005-0000-0000-00002A320000}"/>
    <cellStyle name="Normal 2 2 2 2 2 33 3 7" xfId="12843" xr:uid="{00000000-0005-0000-0000-00002B320000}"/>
    <cellStyle name="Normal 2 2 2 2 2 33 3 8" xfId="12844" xr:uid="{00000000-0005-0000-0000-00002C320000}"/>
    <cellStyle name="Normal 2 2 2 2 2 33 3 9" xfId="12845" xr:uid="{00000000-0005-0000-0000-00002D320000}"/>
    <cellStyle name="Normal 2 2 2 2 2 33 4" xfId="12846" xr:uid="{00000000-0005-0000-0000-00002E320000}"/>
    <cellStyle name="Normal 2 2 2 2 2 33 4 10" xfId="12847" xr:uid="{00000000-0005-0000-0000-00002F320000}"/>
    <cellStyle name="Normal 2 2 2 2 2 33 4 2" xfId="12848" xr:uid="{00000000-0005-0000-0000-000030320000}"/>
    <cellStyle name="Normal 2 2 2 2 2 33 4 3" xfId="12849" xr:uid="{00000000-0005-0000-0000-000031320000}"/>
    <cellStyle name="Normal 2 2 2 2 2 33 4 4" xfId="12850" xr:uid="{00000000-0005-0000-0000-000032320000}"/>
    <cellStyle name="Normal 2 2 2 2 2 33 4 5" xfId="12851" xr:uid="{00000000-0005-0000-0000-000033320000}"/>
    <cellStyle name="Normal 2 2 2 2 2 33 4 6" xfId="12852" xr:uid="{00000000-0005-0000-0000-000034320000}"/>
    <cellStyle name="Normal 2 2 2 2 2 33 4 7" xfId="12853" xr:uid="{00000000-0005-0000-0000-000035320000}"/>
    <cellStyle name="Normal 2 2 2 2 2 33 4 8" xfId="12854" xr:uid="{00000000-0005-0000-0000-000036320000}"/>
    <cellStyle name="Normal 2 2 2 2 2 33 4 9" xfId="12855" xr:uid="{00000000-0005-0000-0000-000037320000}"/>
    <cellStyle name="Normal 2 2 2 2 2 33 5" xfId="12856" xr:uid="{00000000-0005-0000-0000-000038320000}"/>
    <cellStyle name="Normal 2 2 2 2 2 33 5 10" xfId="12857" xr:uid="{00000000-0005-0000-0000-000039320000}"/>
    <cellStyle name="Normal 2 2 2 2 2 33 5 2" xfId="12858" xr:uid="{00000000-0005-0000-0000-00003A320000}"/>
    <cellStyle name="Normal 2 2 2 2 2 33 5 3" xfId="12859" xr:uid="{00000000-0005-0000-0000-00003B320000}"/>
    <cellStyle name="Normal 2 2 2 2 2 33 5 4" xfId="12860" xr:uid="{00000000-0005-0000-0000-00003C320000}"/>
    <cellStyle name="Normal 2 2 2 2 2 33 5 5" xfId="12861" xr:uid="{00000000-0005-0000-0000-00003D320000}"/>
    <cellStyle name="Normal 2 2 2 2 2 33 5 6" xfId="12862" xr:uid="{00000000-0005-0000-0000-00003E320000}"/>
    <cellStyle name="Normal 2 2 2 2 2 33 5 7" xfId="12863" xr:uid="{00000000-0005-0000-0000-00003F320000}"/>
    <cellStyle name="Normal 2 2 2 2 2 33 5 8" xfId="12864" xr:uid="{00000000-0005-0000-0000-000040320000}"/>
    <cellStyle name="Normal 2 2 2 2 2 33 5 9" xfId="12865" xr:uid="{00000000-0005-0000-0000-000041320000}"/>
    <cellStyle name="Normal 2 2 2 2 2 33 6" xfId="12866" xr:uid="{00000000-0005-0000-0000-000042320000}"/>
    <cellStyle name="Normal 2 2 2 2 2 33 7" xfId="12867" xr:uid="{00000000-0005-0000-0000-000043320000}"/>
    <cellStyle name="Normal 2 2 2 2 2 33 8" xfId="12868" xr:uid="{00000000-0005-0000-0000-000044320000}"/>
    <cellStyle name="Normal 2 2 2 2 2 33 9" xfId="12869" xr:uid="{00000000-0005-0000-0000-000045320000}"/>
    <cellStyle name="Normal 2 2 2 2 2 34" xfId="12870" xr:uid="{00000000-0005-0000-0000-000046320000}"/>
    <cellStyle name="Normal 2 2 2 2 2 34 10" xfId="12871" xr:uid="{00000000-0005-0000-0000-000047320000}"/>
    <cellStyle name="Normal 2 2 2 2 2 34 11" xfId="12872" xr:uid="{00000000-0005-0000-0000-000048320000}"/>
    <cellStyle name="Normal 2 2 2 2 2 34 12" xfId="12873" xr:uid="{00000000-0005-0000-0000-000049320000}"/>
    <cellStyle name="Normal 2 2 2 2 2 34 13" xfId="12874" xr:uid="{00000000-0005-0000-0000-00004A320000}"/>
    <cellStyle name="Normal 2 2 2 2 2 34 14" xfId="12875" xr:uid="{00000000-0005-0000-0000-00004B320000}"/>
    <cellStyle name="Normal 2 2 2 2 2 34 2" xfId="12876" xr:uid="{00000000-0005-0000-0000-00004C320000}"/>
    <cellStyle name="Normal 2 2 2 2 2 34 2 10" xfId="12877" xr:uid="{00000000-0005-0000-0000-00004D320000}"/>
    <cellStyle name="Normal 2 2 2 2 2 34 2 2" xfId="12878" xr:uid="{00000000-0005-0000-0000-00004E320000}"/>
    <cellStyle name="Normal 2 2 2 2 2 34 2 3" xfId="12879" xr:uid="{00000000-0005-0000-0000-00004F320000}"/>
    <cellStyle name="Normal 2 2 2 2 2 34 2 4" xfId="12880" xr:uid="{00000000-0005-0000-0000-000050320000}"/>
    <cellStyle name="Normal 2 2 2 2 2 34 2 5" xfId="12881" xr:uid="{00000000-0005-0000-0000-000051320000}"/>
    <cellStyle name="Normal 2 2 2 2 2 34 2 6" xfId="12882" xr:uid="{00000000-0005-0000-0000-000052320000}"/>
    <cellStyle name="Normal 2 2 2 2 2 34 2 7" xfId="12883" xr:uid="{00000000-0005-0000-0000-000053320000}"/>
    <cellStyle name="Normal 2 2 2 2 2 34 2 8" xfId="12884" xr:uid="{00000000-0005-0000-0000-000054320000}"/>
    <cellStyle name="Normal 2 2 2 2 2 34 2 9" xfId="12885" xr:uid="{00000000-0005-0000-0000-000055320000}"/>
    <cellStyle name="Normal 2 2 2 2 2 34 3" xfId="12886" xr:uid="{00000000-0005-0000-0000-000056320000}"/>
    <cellStyle name="Normal 2 2 2 2 2 34 3 10" xfId="12887" xr:uid="{00000000-0005-0000-0000-000057320000}"/>
    <cellStyle name="Normal 2 2 2 2 2 34 3 2" xfId="12888" xr:uid="{00000000-0005-0000-0000-000058320000}"/>
    <cellStyle name="Normal 2 2 2 2 2 34 3 3" xfId="12889" xr:uid="{00000000-0005-0000-0000-000059320000}"/>
    <cellStyle name="Normal 2 2 2 2 2 34 3 4" xfId="12890" xr:uid="{00000000-0005-0000-0000-00005A320000}"/>
    <cellStyle name="Normal 2 2 2 2 2 34 3 5" xfId="12891" xr:uid="{00000000-0005-0000-0000-00005B320000}"/>
    <cellStyle name="Normal 2 2 2 2 2 34 3 6" xfId="12892" xr:uid="{00000000-0005-0000-0000-00005C320000}"/>
    <cellStyle name="Normal 2 2 2 2 2 34 3 7" xfId="12893" xr:uid="{00000000-0005-0000-0000-00005D320000}"/>
    <cellStyle name="Normal 2 2 2 2 2 34 3 8" xfId="12894" xr:uid="{00000000-0005-0000-0000-00005E320000}"/>
    <cellStyle name="Normal 2 2 2 2 2 34 3 9" xfId="12895" xr:uid="{00000000-0005-0000-0000-00005F320000}"/>
    <cellStyle name="Normal 2 2 2 2 2 34 4" xfId="12896" xr:uid="{00000000-0005-0000-0000-000060320000}"/>
    <cellStyle name="Normal 2 2 2 2 2 34 4 10" xfId="12897" xr:uid="{00000000-0005-0000-0000-000061320000}"/>
    <cellStyle name="Normal 2 2 2 2 2 34 4 2" xfId="12898" xr:uid="{00000000-0005-0000-0000-000062320000}"/>
    <cellStyle name="Normal 2 2 2 2 2 34 4 3" xfId="12899" xr:uid="{00000000-0005-0000-0000-000063320000}"/>
    <cellStyle name="Normal 2 2 2 2 2 34 4 4" xfId="12900" xr:uid="{00000000-0005-0000-0000-000064320000}"/>
    <cellStyle name="Normal 2 2 2 2 2 34 4 5" xfId="12901" xr:uid="{00000000-0005-0000-0000-000065320000}"/>
    <cellStyle name="Normal 2 2 2 2 2 34 4 6" xfId="12902" xr:uid="{00000000-0005-0000-0000-000066320000}"/>
    <cellStyle name="Normal 2 2 2 2 2 34 4 7" xfId="12903" xr:uid="{00000000-0005-0000-0000-000067320000}"/>
    <cellStyle name="Normal 2 2 2 2 2 34 4 8" xfId="12904" xr:uid="{00000000-0005-0000-0000-000068320000}"/>
    <cellStyle name="Normal 2 2 2 2 2 34 4 9" xfId="12905" xr:uid="{00000000-0005-0000-0000-000069320000}"/>
    <cellStyle name="Normal 2 2 2 2 2 34 5" xfId="12906" xr:uid="{00000000-0005-0000-0000-00006A320000}"/>
    <cellStyle name="Normal 2 2 2 2 2 34 5 10" xfId="12907" xr:uid="{00000000-0005-0000-0000-00006B320000}"/>
    <cellStyle name="Normal 2 2 2 2 2 34 5 2" xfId="12908" xr:uid="{00000000-0005-0000-0000-00006C320000}"/>
    <cellStyle name="Normal 2 2 2 2 2 34 5 3" xfId="12909" xr:uid="{00000000-0005-0000-0000-00006D320000}"/>
    <cellStyle name="Normal 2 2 2 2 2 34 5 4" xfId="12910" xr:uid="{00000000-0005-0000-0000-00006E320000}"/>
    <cellStyle name="Normal 2 2 2 2 2 34 5 5" xfId="12911" xr:uid="{00000000-0005-0000-0000-00006F320000}"/>
    <cellStyle name="Normal 2 2 2 2 2 34 5 6" xfId="12912" xr:uid="{00000000-0005-0000-0000-000070320000}"/>
    <cellStyle name="Normal 2 2 2 2 2 34 5 7" xfId="12913" xr:uid="{00000000-0005-0000-0000-000071320000}"/>
    <cellStyle name="Normal 2 2 2 2 2 34 5 8" xfId="12914" xr:uid="{00000000-0005-0000-0000-000072320000}"/>
    <cellStyle name="Normal 2 2 2 2 2 34 5 9" xfId="12915" xr:uid="{00000000-0005-0000-0000-000073320000}"/>
    <cellStyle name="Normal 2 2 2 2 2 34 6" xfId="12916" xr:uid="{00000000-0005-0000-0000-000074320000}"/>
    <cellStyle name="Normal 2 2 2 2 2 34 7" xfId="12917" xr:uid="{00000000-0005-0000-0000-000075320000}"/>
    <cellStyle name="Normal 2 2 2 2 2 34 8" xfId="12918" xr:uid="{00000000-0005-0000-0000-000076320000}"/>
    <cellStyle name="Normal 2 2 2 2 2 34 9" xfId="12919" xr:uid="{00000000-0005-0000-0000-000077320000}"/>
    <cellStyle name="Normal 2 2 2 2 2 35" xfId="12920" xr:uid="{00000000-0005-0000-0000-000078320000}"/>
    <cellStyle name="Normal 2 2 2 2 2 35 10" xfId="12921" xr:uid="{00000000-0005-0000-0000-000079320000}"/>
    <cellStyle name="Normal 2 2 2 2 2 35 2" xfId="12922" xr:uid="{00000000-0005-0000-0000-00007A320000}"/>
    <cellStyle name="Normal 2 2 2 2 2 35 3" xfId="12923" xr:uid="{00000000-0005-0000-0000-00007B320000}"/>
    <cellStyle name="Normal 2 2 2 2 2 35 4" xfId="12924" xr:uid="{00000000-0005-0000-0000-00007C320000}"/>
    <cellStyle name="Normal 2 2 2 2 2 35 5" xfId="12925" xr:uid="{00000000-0005-0000-0000-00007D320000}"/>
    <cellStyle name="Normal 2 2 2 2 2 35 6" xfId="12926" xr:uid="{00000000-0005-0000-0000-00007E320000}"/>
    <cellStyle name="Normal 2 2 2 2 2 35 7" xfId="12927" xr:uid="{00000000-0005-0000-0000-00007F320000}"/>
    <cellStyle name="Normal 2 2 2 2 2 35 8" xfId="12928" xr:uid="{00000000-0005-0000-0000-000080320000}"/>
    <cellStyle name="Normal 2 2 2 2 2 35 9" xfId="12929" xr:uid="{00000000-0005-0000-0000-000081320000}"/>
    <cellStyle name="Normal 2 2 2 2 2 36" xfId="12930" xr:uid="{00000000-0005-0000-0000-000082320000}"/>
    <cellStyle name="Normal 2 2 2 2 2 36 10" xfId="12931" xr:uid="{00000000-0005-0000-0000-000083320000}"/>
    <cellStyle name="Normal 2 2 2 2 2 36 2" xfId="12932" xr:uid="{00000000-0005-0000-0000-000084320000}"/>
    <cellStyle name="Normal 2 2 2 2 2 36 3" xfId="12933" xr:uid="{00000000-0005-0000-0000-000085320000}"/>
    <cellStyle name="Normal 2 2 2 2 2 36 4" xfId="12934" xr:uid="{00000000-0005-0000-0000-000086320000}"/>
    <cellStyle name="Normal 2 2 2 2 2 36 5" xfId="12935" xr:uid="{00000000-0005-0000-0000-000087320000}"/>
    <cellStyle name="Normal 2 2 2 2 2 36 6" xfId="12936" xr:uid="{00000000-0005-0000-0000-000088320000}"/>
    <cellStyle name="Normal 2 2 2 2 2 36 7" xfId="12937" xr:uid="{00000000-0005-0000-0000-000089320000}"/>
    <cellStyle name="Normal 2 2 2 2 2 36 8" xfId="12938" xr:uid="{00000000-0005-0000-0000-00008A320000}"/>
    <cellStyle name="Normal 2 2 2 2 2 36 9" xfId="12939" xr:uid="{00000000-0005-0000-0000-00008B320000}"/>
    <cellStyle name="Normal 2 2 2 2 2 37" xfId="12940" xr:uid="{00000000-0005-0000-0000-00008C320000}"/>
    <cellStyle name="Normal 2 2 2 2 2 37 10" xfId="12941" xr:uid="{00000000-0005-0000-0000-00008D320000}"/>
    <cellStyle name="Normal 2 2 2 2 2 37 2" xfId="12942" xr:uid="{00000000-0005-0000-0000-00008E320000}"/>
    <cellStyle name="Normal 2 2 2 2 2 37 3" xfId="12943" xr:uid="{00000000-0005-0000-0000-00008F320000}"/>
    <cellStyle name="Normal 2 2 2 2 2 37 4" xfId="12944" xr:uid="{00000000-0005-0000-0000-000090320000}"/>
    <cellStyle name="Normal 2 2 2 2 2 37 5" xfId="12945" xr:uid="{00000000-0005-0000-0000-000091320000}"/>
    <cellStyle name="Normal 2 2 2 2 2 37 6" xfId="12946" xr:uid="{00000000-0005-0000-0000-000092320000}"/>
    <cellStyle name="Normal 2 2 2 2 2 37 7" xfId="12947" xr:uid="{00000000-0005-0000-0000-000093320000}"/>
    <cellStyle name="Normal 2 2 2 2 2 37 8" xfId="12948" xr:uid="{00000000-0005-0000-0000-000094320000}"/>
    <cellStyle name="Normal 2 2 2 2 2 37 9" xfId="12949" xr:uid="{00000000-0005-0000-0000-000095320000}"/>
    <cellStyle name="Normal 2 2 2 2 2 38" xfId="12950" xr:uid="{00000000-0005-0000-0000-000096320000}"/>
    <cellStyle name="Normal 2 2 2 2 2 38 10" xfId="12951" xr:uid="{00000000-0005-0000-0000-000097320000}"/>
    <cellStyle name="Normal 2 2 2 2 2 38 2" xfId="12952" xr:uid="{00000000-0005-0000-0000-000098320000}"/>
    <cellStyle name="Normal 2 2 2 2 2 38 3" xfId="12953" xr:uid="{00000000-0005-0000-0000-000099320000}"/>
    <cellStyle name="Normal 2 2 2 2 2 38 4" xfId="12954" xr:uid="{00000000-0005-0000-0000-00009A320000}"/>
    <cellStyle name="Normal 2 2 2 2 2 38 5" xfId="12955" xr:uid="{00000000-0005-0000-0000-00009B320000}"/>
    <cellStyle name="Normal 2 2 2 2 2 38 6" xfId="12956" xr:uid="{00000000-0005-0000-0000-00009C320000}"/>
    <cellStyle name="Normal 2 2 2 2 2 38 7" xfId="12957" xr:uid="{00000000-0005-0000-0000-00009D320000}"/>
    <cellStyle name="Normal 2 2 2 2 2 38 8" xfId="12958" xr:uid="{00000000-0005-0000-0000-00009E320000}"/>
    <cellStyle name="Normal 2 2 2 2 2 38 9" xfId="12959" xr:uid="{00000000-0005-0000-0000-00009F320000}"/>
    <cellStyle name="Normal 2 2 2 2 2 39" xfId="12960" xr:uid="{00000000-0005-0000-0000-0000A0320000}"/>
    <cellStyle name="Normal 2 2 2 2 2 4" xfId="12961" xr:uid="{00000000-0005-0000-0000-0000A1320000}"/>
    <cellStyle name="Normal 2 2 2 2 2 4 10" xfId="12962" xr:uid="{00000000-0005-0000-0000-0000A2320000}"/>
    <cellStyle name="Normal 2 2 2 2 2 4 11" xfId="12963" xr:uid="{00000000-0005-0000-0000-0000A3320000}"/>
    <cellStyle name="Normal 2 2 2 2 2 4 12" xfId="12964" xr:uid="{00000000-0005-0000-0000-0000A4320000}"/>
    <cellStyle name="Normal 2 2 2 2 2 4 13" xfId="12965" xr:uid="{00000000-0005-0000-0000-0000A5320000}"/>
    <cellStyle name="Normal 2 2 2 2 2 4 14" xfId="12966" xr:uid="{00000000-0005-0000-0000-0000A6320000}"/>
    <cellStyle name="Normal 2 2 2 2 2 4 15" xfId="12967" xr:uid="{00000000-0005-0000-0000-0000A7320000}"/>
    <cellStyle name="Normal 2 2 2 2 2 4 16" xfId="12968" xr:uid="{00000000-0005-0000-0000-0000A8320000}"/>
    <cellStyle name="Normal 2 2 2 2 2 4 2" xfId="12969" xr:uid="{00000000-0005-0000-0000-0000A9320000}"/>
    <cellStyle name="Normal 2 2 2 2 2 4 2 10" xfId="12970" xr:uid="{00000000-0005-0000-0000-0000AA320000}"/>
    <cellStyle name="Normal 2 2 2 2 2 4 2 2" xfId="12971" xr:uid="{00000000-0005-0000-0000-0000AB320000}"/>
    <cellStyle name="Normal 2 2 2 2 2 4 2 3" xfId="12972" xr:uid="{00000000-0005-0000-0000-0000AC320000}"/>
    <cellStyle name="Normal 2 2 2 2 2 4 2 4" xfId="12973" xr:uid="{00000000-0005-0000-0000-0000AD320000}"/>
    <cellStyle name="Normal 2 2 2 2 2 4 2 5" xfId="12974" xr:uid="{00000000-0005-0000-0000-0000AE320000}"/>
    <cellStyle name="Normal 2 2 2 2 2 4 2 6" xfId="12975" xr:uid="{00000000-0005-0000-0000-0000AF320000}"/>
    <cellStyle name="Normal 2 2 2 2 2 4 2 7" xfId="12976" xr:uid="{00000000-0005-0000-0000-0000B0320000}"/>
    <cellStyle name="Normal 2 2 2 2 2 4 2 8" xfId="12977" xr:uid="{00000000-0005-0000-0000-0000B1320000}"/>
    <cellStyle name="Normal 2 2 2 2 2 4 2 9" xfId="12978" xr:uid="{00000000-0005-0000-0000-0000B2320000}"/>
    <cellStyle name="Normal 2 2 2 2 2 4 3" xfId="12979" xr:uid="{00000000-0005-0000-0000-0000B3320000}"/>
    <cellStyle name="Normal 2 2 2 2 2 4 3 10" xfId="12980" xr:uid="{00000000-0005-0000-0000-0000B4320000}"/>
    <cellStyle name="Normal 2 2 2 2 2 4 3 2" xfId="12981" xr:uid="{00000000-0005-0000-0000-0000B5320000}"/>
    <cellStyle name="Normal 2 2 2 2 2 4 3 3" xfId="12982" xr:uid="{00000000-0005-0000-0000-0000B6320000}"/>
    <cellStyle name="Normal 2 2 2 2 2 4 3 4" xfId="12983" xr:uid="{00000000-0005-0000-0000-0000B7320000}"/>
    <cellStyle name="Normal 2 2 2 2 2 4 3 5" xfId="12984" xr:uid="{00000000-0005-0000-0000-0000B8320000}"/>
    <cellStyle name="Normal 2 2 2 2 2 4 3 6" xfId="12985" xr:uid="{00000000-0005-0000-0000-0000B9320000}"/>
    <cellStyle name="Normal 2 2 2 2 2 4 3 7" xfId="12986" xr:uid="{00000000-0005-0000-0000-0000BA320000}"/>
    <cellStyle name="Normal 2 2 2 2 2 4 3 8" xfId="12987" xr:uid="{00000000-0005-0000-0000-0000BB320000}"/>
    <cellStyle name="Normal 2 2 2 2 2 4 3 9" xfId="12988" xr:uid="{00000000-0005-0000-0000-0000BC320000}"/>
    <cellStyle name="Normal 2 2 2 2 2 4 4" xfId="12989" xr:uid="{00000000-0005-0000-0000-0000BD320000}"/>
    <cellStyle name="Normal 2 2 2 2 2 4 4 10" xfId="12990" xr:uid="{00000000-0005-0000-0000-0000BE320000}"/>
    <cellStyle name="Normal 2 2 2 2 2 4 4 2" xfId="12991" xr:uid="{00000000-0005-0000-0000-0000BF320000}"/>
    <cellStyle name="Normal 2 2 2 2 2 4 4 3" xfId="12992" xr:uid="{00000000-0005-0000-0000-0000C0320000}"/>
    <cellStyle name="Normal 2 2 2 2 2 4 4 4" xfId="12993" xr:uid="{00000000-0005-0000-0000-0000C1320000}"/>
    <cellStyle name="Normal 2 2 2 2 2 4 4 5" xfId="12994" xr:uid="{00000000-0005-0000-0000-0000C2320000}"/>
    <cellStyle name="Normal 2 2 2 2 2 4 4 6" xfId="12995" xr:uid="{00000000-0005-0000-0000-0000C3320000}"/>
    <cellStyle name="Normal 2 2 2 2 2 4 4 7" xfId="12996" xr:uid="{00000000-0005-0000-0000-0000C4320000}"/>
    <cellStyle name="Normal 2 2 2 2 2 4 4 8" xfId="12997" xr:uid="{00000000-0005-0000-0000-0000C5320000}"/>
    <cellStyle name="Normal 2 2 2 2 2 4 4 9" xfId="12998" xr:uid="{00000000-0005-0000-0000-0000C6320000}"/>
    <cellStyle name="Normal 2 2 2 2 2 4 5" xfId="12999" xr:uid="{00000000-0005-0000-0000-0000C7320000}"/>
    <cellStyle name="Normal 2 2 2 2 2 4 5 10" xfId="13000" xr:uid="{00000000-0005-0000-0000-0000C8320000}"/>
    <cellStyle name="Normal 2 2 2 2 2 4 5 2" xfId="13001" xr:uid="{00000000-0005-0000-0000-0000C9320000}"/>
    <cellStyle name="Normal 2 2 2 2 2 4 5 3" xfId="13002" xr:uid="{00000000-0005-0000-0000-0000CA320000}"/>
    <cellStyle name="Normal 2 2 2 2 2 4 5 4" xfId="13003" xr:uid="{00000000-0005-0000-0000-0000CB320000}"/>
    <cellStyle name="Normal 2 2 2 2 2 4 5 5" xfId="13004" xr:uid="{00000000-0005-0000-0000-0000CC320000}"/>
    <cellStyle name="Normal 2 2 2 2 2 4 5 6" xfId="13005" xr:uid="{00000000-0005-0000-0000-0000CD320000}"/>
    <cellStyle name="Normal 2 2 2 2 2 4 5 7" xfId="13006" xr:uid="{00000000-0005-0000-0000-0000CE320000}"/>
    <cellStyle name="Normal 2 2 2 2 2 4 5 8" xfId="13007" xr:uid="{00000000-0005-0000-0000-0000CF320000}"/>
    <cellStyle name="Normal 2 2 2 2 2 4 5 9" xfId="13008" xr:uid="{00000000-0005-0000-0000-0000D0320000}"/>
    <cellStyle name="Normal 2 2 2 2 2 4 6" xfId="13009" xr:uid="{00000000-0005-0000-0000-0000D1320000}"/>
    <cellStyle name="Normal 2 2 2 2 2 4 7" xfId="13010" xr:uid="{00000000-0005-0000-0000-0000D2320000}"/>
    <cellStyle name="Normal 2 2 2 2 2 4 8" xfId="13011" xr:uid="{00000000-0005-0000-0000-0000D3320000}"/>
    <cellStyle name="Normal 2 2 2 2 2 4 9" xfId="13012" xr:uid="{00000000-0005-0000-0000-0000D4320000}"/>
    <cellStyle name="Normal 2 2 2 2 2 40" xfId="13013" xr:uid="{00000000-0005-0000-0000-0000D5320000}"/>
    <cellStyle name="Normal 2 2 2 2 2 41" xfId="13014" xr:uid="{00000000-0005-0000-0000-0000D6320000}"/>
    <cellStyle name="Normal 2 2 2 2 2 42" xfId="13015" xr:uid="{00000000-0005-0000-0000-0000D7320000}"/>
    <cellStyle name="Normal 2 2 2 2 2 43" xfId="13016" xr:uid="{00000000-0005-0000-0000-0000D8320000}"/>
    <cellStyle name="Normal 2 2 2 2 2 44" xfId="13017" xr:uid="{00000000-0005-0000-0000-0000D9320000}"/>
    <cellStyle name="Normal 2 2 2 2 2 45" xfId="13018" xr:uid="{00000000-0005-0000-0000-0000DA320000}"/>
    <cellStyle name="Normal 2 2 2 2 2 46" xfId="13019" xr:uid="{00000000-0005-0000-0000-0000DB320000}"/>
    <cellStyle name="Normal 2 2 2 2 2 47" xfId="13020" xr:uid="{00000000-0005-0000-0000-0000DC320000}"/>
    <cellStyle name="Normal 2 2 2 2 2 48" xfId="13021" xr:uid="{00000000-0005-0000-0000-0000DD320000}"/>
    <cellStyle name="Normal 2 2 2 2 2 49" xfId="13022" xr:uid="{00000000-0005-0000-0000-0000DE320000}"/>
    <cellStyle name="Normal 2 2 2 2 2 5" xfId="13023" xr:uid="{00000000-0005-0000-0000-0000DF320000}"/>
    <cellStyle name="Normal 2 2 2 2 2 5 10" xfId="13024" xr:uid="{00000000-0005-0000-0000-0000E0320000}"/>
    <cellStyle name="Normal 2 2 2 2 2 5 11" xfId="13025" xr:uid="{00000000-0005-0000-0000-0000E1320000}"/>
    <cellStyle name="Normal 2 2 2 2 2 5 12" xfId="13026" xr:uid="{00000000-0005-0000-0000-0000E2320000}"/>
    <cellStyle name="Normal 2 2 2 2 2 5 13" xfId="13027" xr:uid="{00000000-0005-0000-0000-0000E3320000}"/>
    <cellStyle name="Normal 2 2 2 2 2 5 14" xfId="13028" xr:uid="{00000000-0005-0000-0000-0000E4320000}"/>
    <cellStyle name="Normal 2 2 2 2 2 5 2" xfId="13029" xr:uid="{00000000-0005-0000-0000-0000E5320000}"/>
    <cellStyle name="Normal 2 2 2 2 2 5 2 10" xfId="13030" xr:uid="{00000000-0005-0000-0000-0000E6320000}"/>
    <cellStyle name="Normal 2 2 2 2 2 5 2 2" xfId="13031" xr:uid="{00000000-0005-0000-0000-0000E7320000}"/>
    <cellStyle name="Normal 2 2 2 2 2 5 2 3" xfId="13032" xr:uid="{00000000-0005-0000-0000-0000E8320000}"/>
    <cellStyle name="Normal 2 2 2 2 2 5 2 4" xfId="13033" xr:uid="{00000000-0005-0000-0000-0000E9320000}"/>
    <cellStyle name="Normal 2 2 2 2 2 5 2 5" xfId="13034" xr:uid="{00000000-0005-0000-0000-0000EA320000}"/>
    <cellStyle name="Normal 2 2 2 2 2 5 2 6" xfId="13035" xr:uid="{00000000-0005-0000-0000-0000EB320000}"/>
    <cellStyle name="Normal 2 2 2 2 2 5 2 7" xfId="13036" xr:uid="{00000000-0005-0000-0000-0000EC320000}"/>
    <cellStyle name="Normal 2 2 2 2 2 5 2 8" xfId="13037" xr:uid="{00000000-0005-0000-0000-0000ED320000}"/>
    <cellStyle name="Normal 2 2 2 2 2 5 2 9" xfId="13038" xr:uid="{00000000-0005-0000-0000-0000EE320000}"/>
    <cellStyle name="Normal 2 2 2 2 2 5 3" xfId="13039" xr:uid="{00000000-0005-0000-0000-0000EF320000}"/>
    <cellStyle name="Normal 2 2 2 2 2 5 3 10" xfId="13040" xr:uid="{00000000-0005-0000-0000-0000F0320000}"/>
    <cellStyle name="Normal 2 2 2 2 2 5 3 2" xfId="13041" xr:uid="{00000000-0005-0000-0000-0000F1320000}"/>
    <cellStyle name="Normal 2 2 2 2 2 5 3 3" xfId="13042" xr:uid="{00000000-0005-0000-0000-0000F2320000}"/>
    <cellStyle name="Normal 2 2 2 2 2 5 3 4" xfId="13043" xr:uid="{00000000-0005-0000-0000-0000F3320000}"/>
    <cellStyle name="Normal 2 2 2 2 2 5 3 5" xfId="13044" xr:uid="{00000000-0005-0000-0000-0000F4320000}"/>
    <cellStyle name="Normal 2 2 2 2 2 5 3 6" xfId="13045" xr:uid="{00000000-0005-0000-0000-0000F5320000}"/>
    <cellStyle name="Normal 2 2 2 2 2 5 3 7" xfId="13046" xr:uid="{00000000-0005-0000-0000-0000F6320000}"/>
    <cellStyle name="Normal 2 2 2 2 2 5 3 8" xfId="13047" xr:uid="{00000000-0005-0000-0000-0000F7320000}"/>
    <cellStyle name="Normal 2 2 2 2 2 5 3 9" xfId="13048" xr:uid="{00000000-0005-0000-0000-0000F8320000}"/>
    <cellStyle name="Normal 2 2 2 2 2 5 4" xfId="13049" xr:uid="{00000000-0005-0000-0000-0000F9320000}"/>
    <cellStyle name="Normal 2 2 2 2 2 5 4 10" xfId="13050" xr:uid="{00000000-0005-0000-0000-0000FA320000}"/>
    <cellStyle name="Normal 2 2 2 2 2 5 4 2" xfId="13051" xr:uid="{00000000-0005-0000-0000-0000FB320000}"/>
    <cellStyle name="Normal 2 2 2 2 2 5 4 3" xfId="13052" xr:uid="{00000000-0005-0000-0000-0000FC320000}"/>
    <cellStyle name="Normal 2 2 2 2 2 5 4 4" xfId="13053" xr:uid="{00000000-0005-0000-0000-0000FD320000}"/>
    <cellStyle name="Normal 2 2 2 2 2 5 4 5" xfId="13054" xr:uid="{00000000-0005-0000-0000-0000FE320000}"/>
    <cellStyle name="Normal 2 2 2 2 2 5 4 6" xfId="13055" xr:uid="{00000000-0005-0000-0000-0000FF320000}"/>
    <cellStyle name="Normal 2 2 2 2 2 5 4 7" xfId="13056" xr:uid="{00000000-0005-0000-0000-000000330000}"/>
    <cellStyle name="Normal 2 2 2 2 2 5 4 8" xfId="13057" xr:uid="{00000000-0005-0000-0000-000001330000}"/>
    <cellStyle name="Normal 2 2 2 2 2 5 4 9" xfId="13058" xr:uid="{00000000-0005-0000-0000-000002330000}"/>
    <cellStyle name="Normal 2 2 2 2 2 5 5" xfId="13059" xr:uid="{00000000-0005-0000-0000-000003330000}"/>
    <cellStyle name="Normal 2 2 2 2 2 5 5 10" xfId="13060" xr:uid="{00000000-0005-0000-0000-000004330000}"/>
    <cellStyle name="Normal 2 2 2 2 2 5 5 2" xfId="13061" xr:uid="{00000000-0005-0000-0000-000005330000}"/>
    <cellStyle name="Normal 2 2 2 2 2 5 5 3" xfId="13062" xr:uid="{00000000-0005-0000-0000-000006330000}"/>
    <cellStyle name="Normal 2 2 2 2 2 5 5 4" xfId="13063" xr:uid="{00000000-0005-0000-0000-000007330000}"/>
    <cellStyle name="Normal 2 2 2 2 2 5 5 5" xfId="13064" xr:uid="{00000000-0005-0000-0000-000008330000}"/>
    <cellStyle name="Normal 2 2 2 2 2 5 5 6" xfId="13065" xr:uid="{00000000-0005-0000-0000-000009330000}"/>
    <cellStyle name="Normal 2 2 2 2 2 5 5 7" xfId="13066" xr:uid="{00000000-0005-0000-0000-00000A330000}"/>
    <cellStyle name="Normal 2 2 2 2 2 5 5 8" xfId="13067" xr:uid="{00000000-0005-0000-0000-00000B330000}"/>
    <cellStyle name="Normal 2 2 2 2 2 5 5 9" xfId="13068" xr:uid="{00000000-0005-0000-0000-00000C330000}"/>
    <cellStyle name="Normal 2 2 2 2 2 5 6" xfId="13069" xr:uid="{00000000-0005-0000-0000-00000D330000}"/>
    <cellStyle name="Normal 2 2 2 2 2 5 7" xfId="13070" xr:uid="{00000000-0005-0000-0000-00000E330000}"/>
    <cellStyle name="Normal 2 2 2 2 2 5 8" xfId="13071" xr:uid="{00000000-0005-0000-0000-00000F330000}"/>
    <cellStyle name="Normal 2 2 2 2 2 5 9" xfId="13072" xr:uid="{00000000-0005-0000-0000-000010330000}"/>
    <cellStyle name="Normal 2 2 2 2 2 6" xfId="13073" xr:uid="{00000000-0005-0000-0000-000011330000}"/>
    <cellStyle name="Normal 2 2 2 2 2 6 10" xfId="13074" xr:uid="{00000000-0005-0000-0000-000012330000}"/>
    <cellStyle name="Normal 2 2 2 2 2 6 11" xfId="13075" xr:uid="{00000000-0005-0000-0000-000013330000}"/>
    <cellStyle name="Normal 2 2 2 2 2 6 12" xfId="13076" xr:uid="{00000000-0005-0000-0000-000014330000}"/>
    <cellStyle name="Normal 2 2 2 2 2 6 13" xfId="13077" xr:uid="{00000000-0005-0000-0000-000015330000}"/>
    <cellStyle name="Normal 2 2 2 2 2 6 14" xfId="13078" xr:uid="{00000000-0005-0000-0000-000016330000}"/>
    <cellStyle name="Normal 2 2 2 2 2 6 2" xfId="13079" xr:uid="{00000000-0005-0000-0000-000017330000}"/>
    <cellStyle name="Normal 2 2 2 2 2 6 2 10" xfId="13080" xr:uid="{00000000-0005-0000-0000-000018330000}"/>
    <cellStyle name="Normal 2 2 2 2 2 6 2 2" xfId="13081" xr:uid="{00000000-0005-0000-0000-000019330000}"/>
    <cellStyle name="Normal 2 2 2 2 2 6 2 3" xfId="13082" xr:uid="{00000000-0005-0000-0000-00001A330000}"/>
    <cellStyle name="Normal 2 2 2 2 2 6 2 4" xfId="13083" xr:uid="{00000000-0005-0000-0000-00001B330000}"/>
    <cellStyle name="Normal 2 2 2 2 2 6 2 5" xfId="13084" xr:uid="{00000000-0005-0000-0000-00001C330000}"/>
    <cellStyle name="Normal 2 2 2 2 2 6 2 6" xfId="13085" xr:uid="{00000000-0005-0000-0000-00001D330000}"/>
    <cellStyle name="Normal 2 2 2 2 2 6 2 7" xfId="13086" xr:uid="{00000000-0005-0000-0000-00001E330000}"/>
    <cellStyle name="Normal 2 2 2 2 2 6 2 8" xfId="13087" xr:uid="{00000000-0005-0000-0000-00001F330000}"/>
    <cellStyle name="Normal 2 2 2 2 2 6 2 9" xfId="13088" xr:uid="{00000000-0005-0000-0000-000020330000}"/>
    <cellStyle name="Normal 2 2 2 2 2 6 3" xfId="13089" xr:uid="{00000000-0005-0000-0000-000021330000}"/>
    <cellStyle name="Normal 2 2 2 2 2 6 3 10" xfId="13090" xr:uid="{00000000-0005-0000-0000-000022330000}"/>
    <cellStyle name="Normal 2 2 2 2 2 6 3 2" xfId="13091" xr:uid="{00000000-0005-0000-0000-000023330000}"/>
    <cellStyle name="Normal 2 2 2 2 2 6 3 3" xfId="13092" xr:uid="{00000000-0005-0000-0000-000024330000}"/>
    <cellStyle name="Normal 2 2 2 2 2 6 3 4" xfId="13093" xr:uid="{00000000-0005-0000-0000-000025330000}"/>
    <cellStyle name="Normal 2 2 2 2 2 6 3 5" xfId="13094" xr:uid="{00000000-0005-0000-0000-000026330000}"/>
    <cellStyle name="Normal 2 2 2 2 2 6 3 6" xfId="13095" xr:uid="{00000000-0005-0000-0000-000027330000}"/>
    <cellStyle name="Normal 2 2 2 2 2 6 3 7" xfId="13096" xr:uid="{00000000-0005-0000-0000-000028330000}"/>
    <cellStyle name="Normal 2 2 2 2 2 6 3 8" xfId="13097" xr:uid="{00000000-0005-0000-0000-000029330000}"/>
    <cellStyle name="Normal 2 2 2 2 2 6 3 9" xfId="13098" xr:uid="{00000000-0005-0000-0000-00002A330000}"/>
    <cellStyle name="Normal 2 2 2 2 2 6 4" xfId="13099" xr:uid="{00000000-0005-0000-0000-00002B330000}"/>
    <cellStyle name="Normal 2 2 2 2 2 6 4 10" xfId="13100" xr:uid="{00000000-0005-0000-0000-00002C330000}"/>
    <cellStyle name="Normal 2 2 2 2 2 6 4 2" xfId="13101" xr:uid="{00000000-0005-0000-0000-00002D330000}"/>
    <cellStyle name="Normal 2 2 2 2 2 6 4 3" xfId="13102" xr:uid="{00000000-0005-0000-0000-00002E330000}"/>
    <cellStyle name="Normal 2 2 2 2 2 6 4 4" xfId="13103" xr:uid="{00000000-0005-0000-0000-00002F330000}"/>
    <cellStyle name="Normal 2 2 2 2 2 6 4 5" xfId="13104" xr:uid="{00000000-0005-0000-0000-000030330000}"/>
    <cellStyle name="Normal 2 2 2 2 2 6 4 6" xfId="13105" xr:uid="{00000000-0005-0000-0000-000031330000}"/>
    <cellStyle name="Normal 2 2 2 2 2 6 4 7" xfId="13106" xr:uid="{00000000-0005-0000-0000-000032330000}"/>
    <cellStyle name="Normal 2 2 2 2 2 6 4 8" xfId="13107" xr:uid="{00000000-0005-0000-0000-000033330000}"/>
    <cellStyle name="Normal 2 2 2 2 2 6 4 9" xfId="13108" xr:uid="{00000000-0005-0000-0000-000034330000}"/>
    <cellStyle name="Normal 2 2 2 2 2 6 5" xfId="13109" xr:uid="{00000000-0005-0000-0000-000035330000}"/>
    <cellStyle name="Normal 2 2 2 2 2 6 5 10" xfId="13110" xr:uid="{00000000-0005-0000-0000-000036330000}"/>
    <cellStyle name="Normal 2 2 2 2 2 6 5 2" xfId="13111" xr:uid="{00000000-0005-0000-0000-000037330000}"/>
    <cellStyle name="Normal 2 2 2 2 2 6 5 3" xfId="13112" xr:uid="{00000000-0005-0000-0000-000038330000}"/>
    <cellStyle name="Normal 2 2 2 2 2 6 5 4" xfId="13113" xr:uid="{00000000-0005-0000-0000-000039330000}"/>
    <cellStyle name="Normal 2 2 2 2 2 6 5 5" xfId="13114" xr:uid="{00000000-0005-0000-0000-00003A330000}"/>
    <cellStyle name="Normal 2 2 2 2 2 6 5 6" xfId="13115" xr:uid="{00000000-0005-0000-0000-00003B330000}"/>
    <cellStyle name="Normal 2 2 2 2 2 6 5 7" xfId="13116" xr:uid="{00000000-0005-0000-0000-00003C330000}"/>
    <cellStyle name="Normal 2 2 2 2 2 6 5 8" xfId="13117" xr:uid="{00000000-0005-0000-0000-00003D330000}"/>
    <cellStyle name="Normal 2 2 2 2 2 6 5 9" xfId="13118" xr:uid="{00000000-0005-0000-0000-00003E330000}"/>
    <cellStyle name="Normal 2 2 2 2 2 6 6" xfId="13119" xr:uid="{00000000-0005-0000-0000-00003F330000}"/>
    <cellStyle name="Normal 2 2 2 2 2 6 7" xfId="13120" xr:uid="{00000000-0005-0000-0000-000040330000}"/>
    <cellStyle name="Normal 2 2 2 2 2 6 8" xfId="13121" xr:uid="{00000000-0005-0000-0000-000041330000}"/>
    <cellStyle name="Normal 2 2 2 2 2 6 9" xfId="13122" xr:uid="{00000000-0005-0000-0000-000042330000}"/>
    <cellStyle name="Normal 2 2 2 2 2 7" xfId="13123" xr:uid="{00000000-0005-0000-0000-000043330000}"/>
    <cellStyle name="Normal 2 2 2 2 2 7 10" xfId="13124" xr:uid="{00000000-0005-0000-0000-000044330000}"/>
    <cellStyle name="Normal 2 2 2 2 2 7 11" xfId="13125" xr:uid="{00000000-0005-0000-0000-000045330000}"/>
    <cellStyle name="Normal 2 2 2 2 2 7 12" xfId="13126" xr:uid="{00000000-0005-0000-0000-000046330000}"/>
    <cellStyle name="Normal 2 2 2 2 2 7 13" xfId="13127" xr:uid="{00000000-0005-0000-0000-000047330000}"/>
    <cellStyle name="Normal 2 2 2 2 2 7 14" xfId="13128" xr:uid="{00000000-0005-0000-0000-000048330000}"/>
    <cellStyle name="Normal 2 2 2 2 2 7 2" xfId="13129" xr:uid="{00000000-0005-0000-0000-000049330000}"/>
    <cellStyle name="Normal 2 2 2 2 2 7 2 10" xfId="13130" xr:uid="{00000000-0005-0000-0000-00004A330000}"/>
    <cellStyle name="Normal 2 2 2 2 2 7 2 2" xfId="13131" xr:uid="{00000000-0005-0000-0000-00004B330000}"/>
    <cellStyle name="Normal 2 2 2 2 2 7 2 3" xfId="13132" xr:uid="{00000000-0005-0000-0000-00004C330000}"/>
    <cellStyle name="Normal 2 2 2 2 2 7 2 4" xfId="13133" xr:uid="{00000000-0005-0000-0000-00004D330000}"/>
    <cellStyle name="Normal 2 2 2 2 2 7 2 5" xfId="13134" xr:uid="{00000000-0005-0000-0000-00004E330000}"/>
    <cellStyle name="Normal 2 2 2 2 2 7 2 6" xfId="13135" xr:uid="{00000000-0005-0000-0000-00004F330000}"/>
    <cellStyle name="Normal 2 2 2 2 2 7 2 7" xfId="13136" xr:uid="{00000000-0005-0000-0000-000050330000}"/>
    <cellStyle name="Normal 2 2 2 2 2 7 2 8" xfId="13137" xr:uid="{00000000-0005-0000-0000-000051330000}"/>
    <cellStyle name="Normal 2 2 2 2 2 7 2 9" xfId="13138" xr:uid="{00000000-0005-0000-0000-000052330000}"/>
    <cellStyle name="Normal 2 2 2 2 2 7 3" xfId="13139" xr:uid="{00000000-0005-0000-0000-000053330000}"/>
    <cellStyle name="Normal 2 2 2 2 2 7 3 10" xfId="13140" xr:uid="{00000000-0005-0000-0000-000054330000}"/>
    <cellStyle name="Normal 2 2 2 2 2 7 3 2" xfId="13141" xr:uid="{00000000-0005-0000-0000-000055330000}"/>
    <cellStyle name="Normal 2 2 2 2 2 7 3 3" xfId="13142" xr:uid="{00000000-0005-0000-0000-000056330000}"/>
    <cellStyle name="Normal 2 2 2 2 2 7 3 4" xfId="13143" xr:uid="{00000000-0005-0000-0000-000057330000}"/>
    <cellStyle name="Normal 2 2 2 2 2 7 3 5" xfId="13144" xr:uid="{00000000-0005-0000-0000-000058330000}"/>
    <cellStyle name="Normal 2 2 2 2 2 7 3 6" xfId="13145" xr:uid="{00000000-0005-0000-0000-000059330000}"/>
    <cellStyle name="Normal 2 2 2 2 2 7 3 7" xfId="13146" xr:uid="{00000000-0005-0000-0000-00005A330000}"/>
    <cellStyle name="Normal 2 2 2 2 2 7 3 8" xfId="13147" xr:uid="{00000000-0005-0000-0000-00005B330000}"/>
    <cellStyle name="Normal 2 2 2 2 2 7 3 9" xfId="13148" xr:uid="{00000000-0005-0000-0000-00005C330000}"/>
    <cellStyle name="Normal 2 2 2 2 2 7 4" xfId="13149" xr:uid="{00000000-0005-0000-0000-00005D330000}"/>
    <cellStyle name="Normal 2 2 2 2 2 7 4 10" xfId="13150" xr:uid="{00000000-0005-0000-0000-00005E330000}"/>
    <cellStyle name="Normal 2 2 2 2 2 7 4 2" xfId="13151" xr:uid="{00000000-0005-0000-0000-00005F330000}"/>
    <cellStyle name="Normal 2 2 2 2 2 7 4 3" xfId="13152" xr:uid="{00000000-0005-0000-0000-000060330000}"/>
    <cellStyle name="Normal 2 2 2 2 2 7 4 4" xfId="13153" xr:uid="{00000000-0005-0000-0000-000061330000}"/>
    <cellStyle name="Normal 2 2 2 2 2 7 4 5" xfId="13154" xr:uid="{00000000-0005-0000-0000-000062330000}"/>
    <cellStyle name="Normal 2 2 2 2 2 7 4 6" xfId="13155" xr:uid="{00000000-0005-0000-0000-000063330000}"/>
    <cellStyle name="Normal 2 2 2 2 2 7 4 7" xfId="13156" xr:uid="{00000000-0005-0000-0000-000064330000}"/>
    <cellStyle name="Normal 2 2 2 2 2 7 4 8" xfId="13157" xr:uid="{00000000-0005-0000-0000-000065330000}"/>
    <cellStyle name="Normal 2 2 2 2 2 7 4 9" xfId="13158" xr:uid="{00000000-0005-0000-0000-000066330000}"/>
    <cellStyle name="Normal 2 2 2 2 2 7 5" xfId="13159" xr:uid="{00000000-0005-0000-0000-000067330000}"/>
    <cellStyle name="Normal 2 2 2 2 2 7 5 10" xfId="13160" xr:uid="{00000000-0005-0000-0000-000068330000}"/>
    <cellStyle name="Normal 2 2 2 2 2 7 5 2" xfId="13161" xr:uid="{00000000-0005-0000-0000-000069330000}"/>
    <cellStyle name="Normal 2 2 2 2 2 7 5 3" xfId="13162" xr:uid="{00000000-0005-0000-0000-00006A330000}"/>
    <cellStyle name="Normal 2 2 2 2 2 7 5 4" xfId="13163" xr:uid="{00000000-0005-0000-0000-00006B330000}"/>
    <cellStyle name="Normal 2 2 2 2 2 7 5 5" xfId="13164" xr:uid="{00000000-0005-0000-0000-00006C330000}"/>
    <cellStyle name="Normal 2 2 2 2 2 7 5 6" xfId="13165" xr:uid="{00000000-0005-0000-0000-00006D330000}"/>
    <cellStyle name="Normal 2 2 2 2 2 7 5 7" xfId="13166" xr:uid="{00000000-0005-0000-0000-00006E330000}"/>
    <cellStyle name="Normal 2 2 2 2 2 7 5 8" xfId="13167" xr:uid="{00000000-0005-0000-0000-00006F330000}"/>
    <cellStyle name="Normal 2 2 2 2 2 7 5 9" xfId="13168" xr:uid="{00000000-0005-0000-0000-000070330000}"/>
    <cellStyle name="Normal 2 2 2 2 2 7 6" xfId="13169" xr:uid="{00000000-0005-0000-0000-000071330000}"/>
    <cellStyle name="Normal 2 2 2 2 2 7 7" xfId="13170" xr:uid="{00000000-0005-0000-0000-000072330000}"/>
    <cellStyle name="Normal 2 2 2 2 2 7 8" xfId="13171" xr:uid="{00000000-0005-0000-0000-000073330000}"/>
    <cellStyle name="Normal 2 2 2 2 2 7 9" xfId="13172" xr:uid="{00000000-0005-0000-0000-000074330000}"/>
    <cellStyle name="Normal 2 2 2 2 2 8" xfId="13173" xr:uid="{00000000-0005-0000-0000-000075330000}"/>
    <cellStyle name="Normal 2 2 2 2 2 8 10" xfId="13174" xr:uid="{00000000-0005-0000-0000-000076330000}"/>
    <cellStyle name="Normal 2 2 2 2 2 8 11" xfId="13175" xr:uid="{00000000-0005-0000-0000-000077330000}"/>
    <cellStyle name="Normal 2 2 2 2 2 8 12" xfId="13176" xr:uid="{00000000-0005-0000-0000-000078330000}"/>
    <cellStyle name="Normal 2 2 2 2 2 8 13" xfId="13177" xr:uid="{00000000-0005-0000-0000-000079330000}"/>
    <cellStyle name="Normal 2 2 2 2 2 8 14" xfId="13178" xr:uid="{00000000-0005-0000-0000-00007A330000}"/>
    <cellStyle name="Normal 2 2 2 2 2 8 2" xfId="13179" xr:uid="{00000000-0005-0000-0000-00007B330000}"/>
    <cellStyle name="Normal 2 2 2 2 2 8 2 10" xfId="13180" xr:uid="{00000000-0005-0000-0000-00007C330000}"/>
    <cellStyle name="Normal 2 2 2 2 2 8 2 2" xfId="13181" xr:uid="{00000000-0005-0000-0000-00007D330000}"/>
    <cellStyle name="Normal 2 2 2 2 2 8 2 3" xfId="13182" xr:uid="{00000000-0005-0000-0000-00007E330000}"/>
    <cellStyle name="Normal 2 2 2 2 2 8 2 4" xfId="13183" xr:uid="{00000000-0005-0000-0000-00007F330000}"/>
    <cellStyle name="Normal 2 2 2 2 2 8 2 5" xfId="13184" xr:uid="{00000000-0005-0000-0000-000080330000}"/>
    <cellStyle name="Normal 2 2 2 2 2 8 2 6" xfId="13185" xr:uid="{00000000-0005-0000-0000-000081330000}"/>
    <cellStyle name="Normal 2 2 2 2 2 8 2 7" xfId="13186" xr:uid="{00000000-0005-0000-0000-000082330000}"/>
    <cellStyle name="Normal 2 2 2 2 2 8 2 8" xfId="13187" xr:uid="{00000000-0005-0000-0000-000083330000}"/>
    <cellStyle name="Normal 2 2 2 2 2 8 2 9" xfId="13188" xr:uid="{00000000-0005-0000-0000-000084330000}"/>
    <cellStyle name="Normal 2 2 2 2 2 8 3" xfId="13189" xr:uid="{00000000-0005-0000-0000-000085330000}"/>
    <cellStyle name="Normal 2 2 2 2 2 8 3 10" xfId="13190" xr:uid="{00000000-0005-0000-0000-000086330000}"/>
    <cellStyle name="Normal 2 2 2 2 2 8 3 2" xfId="13191" xr:uid="{00000000-0005-0000-0000-000087330000}"/>
    <cellStyle name="Normal 2 2 2 2 2 8 3 3" xfId="13192" xr:uid="{00000000-0005-0000-0000-000088330000}"/>
    <cellStyle name="Normal 2 2 2 2 2 8 3 4" xfId="13193" xr:uid="{00000000-0005-0000-0000-000089330000}"/>
    <cellStyle name="Normal 2 2 2 2 2 8 3 5" xfId="13194" xr:uid="{00000000-0005-0000-0000-00008A330000}"/>
    <cellStyle name="Normal 2 2 2 2 2 8 3 6" xfId="13195" xr:uid="{00000000-0005-0000-0000-00008B330000}"/>
    <cellStyle name="Normal 2 2 2 2 2 8 3 7" xfId="13196" xr:uid="{00000000-0005-0000-0000-00008C330000}"/>
    <cellStyle name="Normal 2 2 2 2 2 8 3 8" xfId="13197" xr:uid="{00000000-0005-0000-0000-00008D330000}"/>
    <cellStyle name="Normal 2 2 2 2 2 8 3 9" xfId="13198" xr:uid="{00000000-0005-0000-0000-00008E330000}"/>
    <cellStyle name="Normal 2 2 2 2 2 8 4" xfId="13199" xr:uid="{00000000-0005-0000-0000-00008F330000}"/>
    <cellStyle name="Normal 2 2 2 2 2 8 4 10" xfId="13200" xr:uid="{00000000-0005-0000-0000-000090330000}"/>
    <cellStyle name="Normal 2 2 2 2 2 8 4 2" xfId="13201" xr:uid="{00000000-0005-0000-0000-000091330000}"/>
    <cellStyle name="Normal 2 2 2 2 2 8 4 3" xfId="13202" xr:uid="{00000000-0005-0000-0000-000092330000}"/>
    <cellStyle name="Normal 2 2 2 2 2 8 4 4" xfId="13203" xr:uid="{00000000-0005-0000-0000-000093330000}"/>
    <cellStyle name="Normal 2 2 2 2 2 8 4 5" xfId="13204" xr:uid="{00000000-0005-0000-0000-000094330000}"/>
    <cellStyle name="Normal 2 2 2 2 2 8 4 6" xfId="13205" xr:uid="{00000000-0005-0000-0000-000095330000}"/>
    <cellStyle name="Normal 2 2 2 2 2 8 4 7" xfId="13206" xr:uid="{00000000-0005-0000-0000-000096330000}"/>
    <cellStyle name="Normal 2 2 2 2 2 8 4 8" xfId="13207" xr:uid="{00000000-0005-0000-0000-000097330000}"/>
    <cellStyle name="Normal 2 2 2 2 2 8 4 9" xfId="13208" xr:uid="{00000000-0005-0000-0000-000098330000}"/>
    <cellStyle name="Normal 2 2 2 2 2 8 5" xfId="13209" xr:uid="{00000000-0005-0000-0000-000099330000}"/>
    <cellStyle name="Normal 2 2 2 2 2 8 5 10" xfId="13210" xr:uid="{00000000-0005-0000-0000-00009A330000}"/>
    <cellStyle name="Normal 2 2 2 2 2 8 5 2" xfId="13211" xr:uid="{00000000-0005-0000-0000-00009B330000}"/>
    <cellStyle name="Normal 2 2 2 2 2 8 5 3" xfId="13212" xr:uid="{00000000-0005-0000-0000-00009C330000}"/>
    <cellStyle name="Normal 2 2 2 2 2 8 5 4" xfId="13213" xr:uid="{00000000-0005-0000-0000-00009D330000}"/>
    <cellStyle name="Normal 2 2 2 2 2 8 5 5" xfId="13214" xr:uid="{00000000-0005-0000-0000-00009E330000}"/>
    <cellStyle name="Normal 2 2 2 2 2 8 5 6" xfId="13215" xr:uid="{00000000-0005-0000-0000-00009F330000}"/>
    <cellStyle name="Normal 2 2 2 2 2 8 5 7" xfId="13216" xr:uid="{00000000-0005-0000-0000-0000A0330000}"/>
    <cellStyle name="Normal 2 2 2 2 2 8 5 8" xfId="13217" xr:uid="{00000000-0005-0000-0000-0000A1330000}"/>
    <cellStyle name="Normal 2 2 2 2 2 8 5 9" xfId="13218" xr:uid="{00000000-0005-0000-0000-0000A2330000}"/>
    <cellStyle name="Normal 2 2 2 2 2 8 6" xfId="13219" xr:uid="{00000000-0005-0000-0000-0000A3330000}"/>
    <cellStyle name="Normal 2 2 2 2 2 8 7" xfId="13220" xr:uid="{00000000-0005-0000-0000-0000A4330000}"/>
    <cellStyle name="Normal 2 2 2 2 2 8 8" xfId="13221" xr:uid="{00000000-0005-0000-0000-0000A5330000}"/>
    <cellStyle name="Normal 2 2 2 2 2 8 9" xfId="13222" xr:uid="{00000000-0005-0000-0000-0000A6330000}"/>
    <cellStyle name="Normal 2 2 2 2 2 9" xfId="13223" xr:uid="{00000000-0005-0000-0000-0000A7330000}"/>
    <cellStyle name="Normal 2 2 2 2 2 9 10" xfId="13224" xr:uid="{00000000-0005-0000-0000-0000A8330000}"/>
    <cellStyle name="Normal 2 2 2 2 2 9 11" xfId="13225" xr:uid="{00000000-0005-0000-0000-0000A9330000}"/>
    <cellStyle name="Normal 2 2 2 2 2 9 12" xfId="13226" xr:uid="{00000000-0005-0000-0000-0000AA330000}"/>
    <cellStyle name="Normal 2 2 2 2 2 9 13" xfId="13227" xr:uid="{00000000-0005-0000-0000-0000AB330000}"/>
    <cellStyle name="Normal 2 2 2 2 2 9 14" xfId="13228" xr:uid="{00000000-0005-0000-0000-0000AC330000}"/>
    <cellStyle name="Normal 2 2 2 2 2 9 2" xfId="13229" xr:uid="{00000000-0005-0000-0000-0000AD330000}"/>
    <cellStyle name="Normal 2 2 2 2 2 9 2 10" xfId="13230" xr:uid="{00000000-0005-0000-0000-0000AE330000}"/>
    <cellStyle name="Normal 2 2 2 2 2 9 2 2" xfId="13231" xr:uid="{00000000-0005-0000-0000-0000AF330000}"/>
    <cellStyle name="Normal 2 2 2 2 2 9 2 3" xfId="13232" xr:uid="{00000000-0005-0000-0000-0000B0330000}"/>
    <cellStyle name="Normal 2 2 2 2 2 9 2 4" xfId="13233" xr:uid="{00000000-0005-0000-0000-0000B1330000}"/>
    <cellStyle name="Normal 2 2 2 2 2 9 2 5" xfId="13234" xr:uid="{00000000-0005-0000-0000-0000B2330000}"/>
    <cellStyle name="Normal 2 2 2 2 2 9 2 6" xfId="13235" xr:uid="{00000000-0005-0000-0000-0000B3330000}"/>
    <cellStyle name="Normal 2 2 2 2 2 9 2 7" xfId="13236" xr:uid="{00000000-0005-0000-0000-0000B4330000}"/>
    <cellStyle name="Normal 2 2 2 2 2 9 2 8" xfId="13237" xr:uid="{00000000-0005-0000-0000-0000B5330000}"/>
    <cellStyle name="Normal 2 2 2 2 2 9 2 9" xfId="13238" xr:uid="{00000000-0005-0000-0000-0000B6330000}"/>
    <cellStyle name="Normal 2 2 2 2 2 9 3" xfId="13239" xr:uid="{00000000-0005-0000-0000-0000B7330000}"/>
    <cellStyle name="Normal 2 2 2 2 2 9 3 10" xfId="13240" xr:uid="{00000000-0005-0000-0000-0000B8330000}"/>
    <cellStyle name="Normal 2 2 2 2 2 9 3 2" xfId="13241" xr:uid="{00000000-0005-0000-0000-0000B9330000}"/>
    <cellStyle name="Normal 2 2 2 2 2 9 3 3" xfId="13242" xr:uid="{00000000-0005-0000-0000-0000BA330000}"/>
    <cellStyle name="Normal 2 2 2 2 2 9 3 4" xfId="13243" xr:uid="{00000000-0005-0000-0000-0000BB330000}"/>
    <cellStyle name="Normal 2 2 2 2 2 9 3 5" xfId="13244" xr:uid="{00000000-0005-0000-0000-0000BC330000}"/>
    <cellStyle name="Normal 2 2 2 2 2 9 3 6" xfId="13245" xr:uid="{00000000-0005-0000-0000-0000BD330000}"/>
    <cellStyle name="Normal 2 2 2 2 2 9 3 7" xfId="13246" xr:uid="{00000000-0005-0000-0000-0000BE330000}"/>
    <cellStyle name="Normal 2 2 2 2 2 9 3 8" xfId="13247" xr:uid="{00000000-0005-0000-0000-0000BF330000}"/>
    <cellStyle name="Normal 2 2 2 2 2 9 3 9" xfId="13248" xr:uid="{00000000-0005-0000-0000-0000C0330000}"/>
    <cellStyle name="Normal 2 2 2 2 2 9 4" xfId="13249" xr:uid="{00000000-0005-0000-0000-0000C1330000}"/>
    <cellStyle name="Normal 2 2 2 2 2 9 4 10" xfId="13250" xr:uid="{00000000-0005-0000-0000-0000C2330000}"/>
    <cellStyle name="Normal 2 2 2 2 2 9 4 2" xfId="13251" xr:uid="{00000000-0005-0000-0000-0000C3330000}"/>
    <cellStyle name="Normal 2 2 2 2 2 9 4 3" xfId="13252" xr:uid="{00000000-0005-0000-0000-0000C4330000}"/>
    <cellStyle name="Normal 2 2 2 2 2 9 4 4" xfId="13253" xr:uid="{00000000-0005-0000-0000-0000C5330000}"/>
    <cellStyle name="Normal 2 2 2 2 2 9 4 5" xfId="13254" xr:uid="{00000000-0005-0000-0000-0000C6330000}"/>
    <cellStyle name="Normal 2 2 2 2 2 9 4 6" xfId="13255" xr:uid="{00000000-0005-0000-0000-0000C7330000}"/>
    <cellStyle name="Normal 2 2 2 2 2 9 4 7" xfId="13256" xr:uid="{00000000-0005-0000-0000-0000C8330000}"/>
    <cellStyle name="Normal 2 2 2 2 2 9 4 8" xfId="13257" xr:uid="{00000000-0005-0000-0000-0000C9330000}"/>
    <cellStyle name="Normal 2 2 2 2 2 9 4 9" xfId="13258" xr:uid="{00000000-0005-0000-0000-0000CA330000}"/>
    <cellStyle name="Normal 2 2 2 2 2 9 5" xfId="13259" xr:uid="{00000000-0005-0000-0000-0000CB330000}"/>
    <cellStyle name="Normal 2 2 2 2 2 9 5 10" xfId="13260" xr:uid="{00000000-0005-0000-0000-0000CC330000}"/>
    <cellStyle name="Normal 2 2 2 2 2 9 5 2" xfId="13261" xr:uid="{00000000-0005-0000-0000-0000CD330000}"/>
    <cellStyle name="Normal 2 2 2 2 2 9 5 3" xfId="13262" xr:uid="{00000000-0005-0000-0000-0000CE330000}"/>
    <cellStyle name="Normal 2 2 2 2 2 9 5 4" xfId="13263" xr:uid="{00000000-0005-0000-0000-0000CF330000}"/>
    <cellStyle name="Normal 2 2 2 2 2 9 5 5" xfId="13264" xr:uid="{00000000-0005-0000-0000-0000D0330000}"/>
    <cellStyle name="Normal 2 2 2 2 2 9 5 6" xfId="13265" xr:uid="{00000000-0005-0000-0000-0000D1330000}"/>
    <cellStyle name="Normal 2 2 2 2 2 9 5 7" xfId="13266" xr:uid="{00000000-0005-0000-0000-0000D2330000}"/>
    <cellStyle name="Normal 2 2 2 2 2 9 5 8" xfId="13267" xr:uid="{00000000-0005-0000-0000-0000D3330000}"/>
    <cellStyle name="Normal 2 2 2 2 2 9 5 9" xfId="13268" xr:uid="{00000000-0005-0000-0000-0000D4330000}"/>
    <cellStyle name="Normal 2 2 2 2 2 9 6" xfId="13269" xr:uid="{00000000-0005-0000-0000-0000D5330000}"/>
    <cellStyle name="Normal 2 2 2 2 2 9 7" xfId="13270" xr:uid="{00000000-0005-0000-0000-0000D6330000}"/>
    <cellStyle name="Normal 2 2 2 2 2 9 8" xfId="13271" xr:uid="{00000000-0005-0000-0000-0000D7330000}"/>
    <cellStyle name="Normal 2 2 2 2 2 9 9" xfId="13272" xr:uid="{00000000-0005-0000-0000-0000D8330000}"/>
    <cellStyle name="Normal 2 2 2 2 20" xfId="13273" xr:uid="{00000000-0005-0000-0000-0000D9330000}"/>
    <cellStyle name="Normal 2 2 2 2 21" xfId="13274" xr:uid="{00000000-0005-0000-0000-0000DA330000}"/>
    <cellStyle name="Normal 2 2 2 2 22" xfId="13275" xr:uid="{00000000-0005-0000-0000-0000DB330000}"/>
    <cellStyle name="Normal 2 2 2 2 23" xfId="13276" xr:uid="{00000000-0005-0000-0000-0000DC330000}"/>
    <cellStyle name="Normal 2 2 2 2 24" xfId="13277" xr:uid="{00000000-0005-0000-0000-0000DD330000}"/>
    <cellStyle name="Normal 2 2 2 2 25" xfId="13278" xr:uid="{00000000-0005-0000-0000-0000DE330000}"/>
    <cellStyle name="Normal 2 2 2 2 26" xfId="13279" xr:uid="{00000000-0005-0000-0000-0000DF330000}"/>
    <cellStyle name="Normal 2 2 2 2 27" xfId="13280" xr:uid="{00000000-0005-0000-0000-0000E0330000}"/>
    <cellStyle name="Normal 2 2 2 2 28" xfId="13281" xr:uid="{00000000-0005-0000-0000-0000E1330000}"/>
    <cellStyle name="Normal 2 2 2 2 29" xfId="13282" xr:uid="{00000000-0005-0000-0000-0000E2330000}"/>
    <cellStyle name="Normal 2 2 2 2 3" xfId="13283" xr:uid="{00000000-0005-0000-0000-0000E3330000}"/>
    <cellStyle name="Normal 2 2 2 2 3 2" xfId="13284" xr:uid="{00000000-0005-0000-0000-0000E4330000}"/>
    <cellStyle name="Normal 2 2 2 2 3 2 2" xfId="13285" xr:uid="{00000000-0005-0000-0000-0000E5330000}"/>
    <cellStyle name="Normal 2 2 2 2 3 3" xfId="13286" xr:uid="{00000000-0005-0000-0000-0000E6330000}"/>
    <cellStyle name="Normal 2 2 2 2 3 4" xfId="13287" xr:uid="{00000000-0005-0000-0000-0000E7330000}"/>
    <cellStyle name="Normal 2 2 2 2 3 5" xfId="13288" xr:uid="{00000000-0005-0000-0000-0000E8330000}"/>
    <cellStyle name="Normal 2 2 2 2 30" xfId="13289" xr:uid="{00000000-0005-0000-0000-0000E9330000}"/>
    <cellStyle name="Normal 2 2 2 2 31" xfId="13290" xr:uid="{00000000-0005-0000-0000-0000EA330000}"/>
    <cellStyle name="Normal 2 2 2 2 32" xfId="13291" xr:uid="{00000000-0005-0000-0000-0000EB330000}"/>
    <cellStyle name="Normal 2 2 2 2 33" xfId="13292" xr:uid="{00000000-0005-0000-0000-0000EC330000}"/>
    <cellStyle name="Normal 2 2 2 2 34" xfId="13293" xr:uid="{00000000-0005-0000-0000-0000ED330000}"/>
    <cellStyle name="Normal 2 2 2 2 35" xfId="13294" xr:uid="{00000000-0005-0000-0000-0000EE330000}"/>
    <cellStyle name="Normal 2 2 2 2 36" xfId="13295" xr:uid="{00000000-0005-0000-0000-0000EF330000}"/>
    <cellStyle name="Normal 2 2 2 2 37" xfId="13296" xr:uid="{00000000-0005-0000-0000-0000F0330000}"/>
    <cellStyle name="Normal 2 2 2 2 38" xfId="13297" xr:uid="{00000000-0005-0000-0000-0000F1330000}"/>
    <cellStyle name="Normal 2 2 2 2 39" xfId="13298" xr:uid="{00000000-0005-0000-0000-0000F2330000}"/>
    <cellStyle name="Normal 2 2 2 2 4" xfId="13299" xr:uid="{00000000-0005-0000-0000-0000F3330000}"/>
    <cellStyle name="Normal 2 2 2 2 4 10" xfId="13300" xr:uid="{00000000-0005-0000-0000-0000F4330000}"/>
    <cellStyle name="Normal 2 2 2 2 4 10 10" xfId="13301" xr:uid="{00000000-0005-0000-0000-0000F5330000}"/>
    <cellStyle name="Normal 2 2 2 2 4 10 11" xfId="13302" xr:uid="{00000000-0005-0000-0000-0000F6330000}"/>
    <cellStyle name="Normal 2 2 2 2 4 10 12" xfId="13303" xr:uid="{00000000-0005-0000-0000-0000F7330000}"/>
    <cellStyle name="Normal 2 2 2 2 4 10 13" xfId="13304" xr:uid="{00000000-0005-0000-0000-0000F8330000}"/>
    <cellStyle name="Normal 2 2 2 2 4 10 14" xfId="13305" xr:uid="{00000000-0005-0000-0000-0000F9330000}"/>
    <cellStyle name="Normal 2 2 2 2 4 10 2" xfId="13306" xr:uid="{00000000-0005-0000-0000-0000FA330000}"/>
    <cellStyle name="Normal 2 2 2 2 4 10 2 10" xfId="13307" xr:uid="{00000000-0005-0000-0000-0000FB330000}"/>
    <cellStyle name="Normal 2 2 2 2 4 10 2 2" xfId="13308" xr:uid="{00000000-0005-0000-0000-0000FC330000}"/>
    <cellStyle name="Normal 2 2 2 2 4 10 2 3" xfId="13309" xr:uid="{00000000-0005-0000-0000-0000FD330000}"/>
    <cellStyle name="Normal 2 2 2 2 4 10 2 4" xfId="13310" xr:uid="{00000000-0005-0000-0000-0000FE330000}"/>
    <cellStyle name="Normal 2 2 2 2 4 10 2 5" xfId="13311" xr:uid="{00000000-0005-0000-0000-0000FF330000}"/>
    <cellStyle name="Normal 2 2 2 2 4 10 2 6" xfId="13312" xr:uid="{00000000-0005-0000-0000-000000340000}"/>
    <cellStyle name="Normal 2 2 2 2 4 10 2 7" xfId="13313" xr:uid="{00000000-0005-0000-0000-000001340000}"/>
    <cellStyle name="Normal 2 2 2 2 4 10 2 8" xfId="13314" xr:uid="{00000000-0005-0000-0000-000002340000}"/>
    <cellStyle name="Normal 2 2 2 2 4 10 2 9" xfId="13315" xr:uid="{00000000-0005-0000-0000-000003340000}"/>
    <cellStyle name="Normal 2 2 2 2 4 10 3" xfId="13316" xr:uid="{00000000-0005-0000-0000-000004340000}"/>
    <cellStyle name="Normal 2 2 2 2 4 10 3 10" xfId="13317" xr:uid="{00000000-0005-0000-0000-000005340000}"/>
    <cellStyle name="Normal 2 2 2 2 4 10 3 2" xfId="13318" xr:uid="{00000000-0005-0000-0000-000006340000}"/>
    <cellStyle name="Normal 2 2 2 2 4 10 3 3" xfId="13319" xr:uid="{00000000-0005-0000-0000-000007340000}"/>
    <cellStyle name="Normal 2 2 2 2 4 10 3 4" xfId="13320" xr:uid="{00000000-0005-0000-0000-000008340000}"/>
    <cellStyle name="Normal 2 2 2 2 4 10 3 5" xfId="13321" xr:uid="{00000000-0005-0000-0000-000009340000}"/>
    <cellStyle name="Normal 2 2 2 2 4 10 3 6" xfId="13322" xr:uid="{00000000-0005-0000-0000-00000A340000}"/>
    <cellStyle name="Normal 2 2 2 2 4 10 3 7" xfId="13323" xr:uid="{00000000-0005-0000-0000-00000B340000}"/>
    <cellStyle name="Normal 2 2 2 2 4 10 3 8" xfId="13324" xr:uid="{00000000-0005-0000-0000-00000C340000}"/>
    <cellStyle name="Normal 2 2 2 2 4 10 3 9" xfId="13325" xr:uid="{00000000-0005-0000-0000-00000D340000}"/>
    <cellStyle name="Normal 2 2 2 2 4 10 4" xfId="13326" xr:uid="{00000000-0005-0000-0000-00000E340000}"/>
    <cellStyle name="Normal 2 2 2 2 4 10 4 10" xfId="13327" xr:uid="{00000000-0005-0000-0000-00000F340000}"/>
    <cellStyle name="Normal 2 2 2 2 4 10 4 2" xfId="13328" xr:uid="{00000000-0005-0000-0000-000010340000}"/>
    <cellStyle name="Normal 2 2 2 2 4 10 4 3" xfId="13329" xr:uid="{00000000-0005-0000-0000-000011340000}"/>
    <cellStyle name="Normal 2 2 2 2 4 10 4 4" xfId="13330" xr:uid="{00000000-0005-0000-0000-000012340000}"/>
    <cellStyle name="Normal 2 2 2 2 4 10 4 5" xfId="13331" xr:uid="{00000000-0005-0000-0000-000013340000}"/>
    <cellStyle name="Normal 2 2 2 2 4 10 4 6" xfId="13332" xr:uid="{00000000-0005-0000-0000-000014340000}"/>
    <cellStyle name="Normal 2 2 2 2 4 10 4 7" xfId="13333" xr:uid="{00000000-0005-0000-0000-000015340000}"/>
    <cellStyle name="Normal 2 2 2 2 4 10 4 8" xfId="13334" xr:uid="{00000000-0005-0000-0000-000016340000}"/>
    <cellStyle name="Normal 2 2 2 2 4 10 4 9" xfId="13335" xr:uid="{00000000-0005-0000-0000-000017340000}"/>
    <cellStyle name="Normal 2 2 2 2 4 10 5" xfId="13336" xr:uid="{00000000-0005-0000-0000-000018340000}"/>
    <cellStyle name="Normal 2 2 2 2 4 10 5 10" xfId="13337" xr:uid="{00000000-0005-0000-0000-000019340000}"/>
    <cellStyle name="Normal 2 2 2 2 4 10 5 2" xfId="13338" xr:uid="{00000000-0005-0000-0000-00001A340000}"/>
    <cellStyle name="Normal 2 2 2 2 4 10 5 3" xfId="13339" xr:uid="{00000000-0005-0000-0000-00001B340000}"/>
    <cellStyle name="Normal 2 2 2 2 4 10 5 4" xfId="13340" xr:uid="{00000000-0005-0000-0000-00001C340000}"/>
    <cellStyle name="Normal 2 2 2 2 4 10 5 5" xfId="13341" xr:uid="{00000000-0005-0000-0000-00001D340000}"/>
    <cellStyle name="Normal 2 2 2 2 4 10 5 6" xfId="13342" xr:uid="{00000000-0005-0000-0000-00001E340000}"/>
    <cellStyle name="Normal 2 2 2 2 4 10 5 7" xfId="13343" xr:uid="{00000000-0005-0000-0000-00001F340000}"/>
    <cellStyle name="Normal 2 2 2 2 4 10 5 8" xfId="13344" xr:uid="{00000000-0005-0000-0000-000020340000}"/>
    <cellStyle name="Normal 2 2 2 2 4 10 5 9" xfId="13345" xr:uid="{00000000-0005-0000-0000-000021340000}"/>
    <cellStyle name="Normal 2 2 2 2 4 10 6" xfId="13346" xr:uid="{00000000-0005-0000-0000-000022340000}"/>
    <cellStyle name="Normal 2 2 2 2 4 10 7" xfId="13347" xr:uid="{00000000-0005-0000-0000-000023340000}"/>
    <cellStyle name="Normal 2 2 2 2 4 10 8" xfId="13348" xr:uid="{00000000-0005-0000-0000-000024340000}"/>
    <cellStyle name="Normal 2 2 2 2 4 10 9" xfId="13349" xr:uid="{00000000-0005-0000-0000-000025340000}"/>
    <cellStyle name="Normal 2 2 2 2 4 11" xfId="13350" xr:uid="{00000000-0005-0000-0000-000026340000}"/>
    <cellStyle name="Normal 2 2 2 2 4 11 10" xfId="13351" xr:uid="{00000000-0005-0000-0000-000027340000}"/>
    <cellStyle name="Normal 2 2 2 2 4 11 11" xfId="13352" xr:uid="{00000000-0005-0000-0000-000028340000}"/>
    <cellStyle name="Normal 2 2 2 2 4 11 12" xfId="13353" xr:uid="{00000000-0005-0000-0000-000029340000}"/>
    <cellStyle name="Normal 2 2 2 2 4 11 13" xfId="13354" xr:uid="{00000000-0005-0000-0000-00002A340000}"/>
    <cellStyle name="Normal 2 2 2 2 4 11 14" xfId="13355" xr:uid="{00000000-0005-0000-0000-00002B340000}"/>
    <cellStyle name="Normal 2 2 2 2 4 11 2" xfId="13356" xr:uid="{00000000-0005-0000-0000-00002C340000}"/>
    <cellStyle name="Normal 2 2 2 2 4 11 2 10" xfId="13357" xr:uid="{00000000-0005-0000-0000-00002D340000}"/>
    <cellStyle name="Normal 2 2 2 2 4 11 2 2" xfId="13358" xr:uid="{00000000-0005-0000-0000-00002E340000}"/>
    <cellStyle name="Normal 2 2 2 2 4 11 2 3" xfId="13359" xr:uid="{00000000-0005-0000-0000-00002F340000}"/>
    <cellStyle name="Normal 2 2 2 2 4 11 2 4" xfId="13360" xr:uid="{00000000-0005-0000-0000-000030340000}"/>
    <cellStyle name="Normal 2 2 2 2 4 11 2 5" xfId="13361" xr:uid="{00000000-0005-0000-0000-000031340000}"/>
    <cellStyle name="Normal 2 2 2 2 4 11 2 6" xfId="13362" xr:uid="{00000000-0005-0000-0000-000032340000}"/>
    <cellStyle name="Normal 2 2 2 2 4 11 2 7" xfId="13363" xr:uid="{00000000-0005-0000-0000-000033340000}"/>
    <cellStyle name="Normal 2 2 2 2 4 11 2 8" xfId="13364" xr:uid="{00000000-0005-0000-0000-000034340000}"/>
    <cellStyle name="Normal 2 2 2 2 4 11 2 9" xfId="13365" xr:uid="{00000000-0005-0000-0000-000035340000}"/>
    <cellStyle name="Normal 2 2 2 2 4 11 3" xfId="13366" xr:uid="{00000000-0005-0000-0000-000036340000}"/>
    <cellStyle name="Normal 2 2 2 2 4 11 3 10" xfId="13367" xr:uid="{00000000-0005-0000-0000-000037340000}"/>
    <cellStyle name="Normal 2 2 2 2 4 11 3 2" xfId="13368" xr:uid="{00000000-0005-0000-0000-000038340000}"/>
    <cellStyle name="Normal 2 2 2 2 4 11 3 3" xfId="13369" xr:uid="{00000000-0005-0000-0000-000039340000}"/>
    <cellStyle name="Normal 2 2 2 2 4 11 3 4" xfId="13370" xr:uid="{00000000-0005-0000-0000-00003A340000}"/>
    <cellStyle name="Normal 2 2 2 2 4 11 3 5" xfId="13371" xr:uid="{00000000-0005-0000-0000-00003B340000}"/>
    <cellStyle name="Normal 2 2 2 2 4 11 3 6" xfId="13372" xr:uid="{00000000-0005-0000-0000-00003C340000}"/>
    <cellStyle name="Normal 2 2 2 2 4 11 3 7" xfId="13373" xr:uid="{00000000-0005-0000-0000-00003D340000}"/>
    <cellStyle name="Normal 2 2 2 2 4 11 3 8" xfId="13374" xr:uid="{00000000-0005-0000-0000-00003E340000}"/>
    <cellStyle name="Normal 2 2 2 2 4 11 3 9" xfId="13375" xr:uid="{00000000-0005-0000-0000-00003F340000}"/>
    <cellStyle name="Normal 2 2 2 2 4 11 4" xfId="13376" xr:uid="{00000000-0005-0000-0000-000040340000}"/>
    <cellStyle name="Normal 2 2 2 2 4 11 4 10" xfId="13377" xr:uid="{00000000-0005-0000-0000-000041340000}"/>
    <cellStyle name="Normal 2 2 2 2 4 11 4 2" xfId="13378" xr:uid="{00000000-0005-0000-0000-000042340000}"/>
    <cellStyle name="Normal 2 2 2 2 4 11 4 3" xfId="13379" xr:uid="{00000000-0005-0000-0000-000043340000}"/>
    <cellStyle name="Normal 2 2 2 2 4 11 4 4" xfId="13380" xr:uid="{00000000-0005-0000-0000-000044340000}"/>
    <cellStyle name="Normal 2 2 2 2 4 11 4 5" xfId="13381" xr:uid="{00000000-0005-0000-0000-000045340000}"/>
    <cellStyle name="Normal 2 2 2 2 4 11 4 6" xfId="13382" xr:uid="{00000000-0005-0000-0000-000046340000}"/>
    <cellStyle name="Normal 2 2 2 2 4 11 4 7" xfId="13383" xr:uid="{00000000-0005-0000-0000-000047340000}"/>
    <cellStyle name="Normal 2 2 2 2 4 11 4 8" xfId="13384" xr:uid="{00000000-0005-0000-0000-000048340000}"/>
    <cellStyle name="Normal 2 2 2 2 4 11 4 9" xfId="13385" xr:uid="{00000000-0005-0000-0000-000049340000}"/>
    <cellStyle name="Normal 2 2 2 2 4 11 5" xfId="13386" xr:uid="{00000000-0005-0000-0000-00004A340000}"/>
    <cellStyle name="Normal 2 2 2 2 4 11 5 10" xfId="13387" xr:uid="{00000000-0005-0000-0000-00004B340000}"/>
    <cellStyle name="Normal 2 2 2 2 4 11 5 2" xfId="13388" xr:uid="{00000000-0005-0000-0000-00004C340000}"/>
    <cellStyle name="Normal 2 2 2 2 4 11 5 3" xfId="13389" xr:uid="{00000000-0005-0000-0000-00004D340000}"/>
    <cellStyle name="Normal 2 2 2 2 4 11 5 4" xfId="13390" xr:uid="{00000000-0005-0000-0000-00004E340000}"/>
    <cellStyle name="Normal 2 2 2 2 4 11 5 5" xfId="13391" xr:uid="{00000000-0005-0000-0000-00004F340000}"/>
    <cellStyle name="Normal 2 2 2 2 4 11 5 6" xfId="13392" xr:uid="{00000000-0005-0000-0000-000050340000}"/>
    <cellStyle name="Normal 2 2 2 2 4 11 5 7" xfId="13393" xr:uid="{00000000-0005-0000-0000-000051340000}"/>
    <cellStyle name="Normal 2 2 2 2 4 11 5 8" xfId="13394" xr:uid="{00000000-0005-0000-0000-000052340000}"/>
    <cellStyle name="Normal 2 2 2 2 4 11 5 9" xfId="13395" xr:uid="{00000000-0005-0000-0000-000053340000}"/>
    <cellStyle name="Normal 2 2 2 2 4 11 6" xfId="13396" xr:uid="{00000000-0005-0000-0000-000054340000}"/>
    <cellStyle name="Normal 2 2 2 2 4 11 7" xfId="13397" xr:uid="{00000000-0005-0000-0000-000055340000}"/>
    <cellStyle name="Normal 2 2 2 2 4 11 8" xfId="13398" xr:uid="{00000000-0005-0000-0000-000056340000}"/>
    <cellStyle name="Normal 2 2 2 2 4 11 9" xfId="13399" xr:uid="{00000000-0005-0000-0000-000057340000}"/>
    <cellStyle name="Normal 2 2 2 2 4 12" xfId="13400" xr:uid="{00000000-0005-0000-0000-000058340000}"/>
    <cellStyle name="Normal 2 2 2 2 4 12 10" xfId="13401" xr:uid="{00000000-0005-0000-0000-000059340000}"/>
    <cellStyle name="Normal 2 2 2 2 4 12 11" xfId="13402" xr:uid="{00000000-0005-0000-0000-00005A340000}"/>
    <cellStyle name="Normal 2 2 2 2 4 12 12" xfId="13403" xr:uid="{00000000-0005-0000-0000-00005B340000}"/>
    <cellStyle name="Normal 2 2 2 2 4 12 13" xfId="13404" xr:uid="{00000000-0005-0000-0000-00005C340000}"/>
    <cellStyle name="Normal 2 2 2 2 4 12 14" xfId="13405" xr:uid="{00000000-0005-0000-0000-00005D340000}"/>
    <cellStyle name="Normal 2 2 2 2 4 12 2" xfId="13406" xr:uid="{00000000-0005-0000-0000-00005E340000}"/>
    <cellStyle name="Normal 2 2 2 2 4 12 2 10" xfId="13407" xr:uid="{00000000-0005-0000-0000-00005F340000}"/>
    <cellStyle name="Normal 2 2 2 2 4 12 2 2" xfId="13408" xr:uid="{00000000-0005-0000-0000-000060340000}"/>
    <cellStyle name="Normal 2 2 2 2 4 12 2 3" xfId="13409" xr:uid="{00000000-0005-0000-0000-000061340000}"/>
    <cellStyle name="Normal 2 2 2 2 4 12 2 4" xfId="13410" xr:uid="{00000000-0005-0000-0000-000062340000}"/>
    <cellStyle name="Normal 2 2 2 2 4 12 2 5" xfId="13411" xr:uid="{00000000-0005-0000-0000-000063340000}"/>
    <cellStyle name="Normal 2 2 2 2 4 12 2 6" xfId="13412" xr:uid="{00000000-0005-0000-0000-000064340000}"/>
    <cellStyle name="Normal 2 2 2 2 4 12 2 7" xfId="13413" xr:uid="{00000000-0005-0000-0000-000065340000}"/>
    <cellStyle name="Normal 2 2 2 2 4 12 2 8" xfId="13414" xr:uid="{00000000-0005-0000-0000-000066340000}"/>
    <cellStyle name="Normal 2 2 2 2 4 12 2 9" xfId="13415" xr:uid="{00000000-0005-0000-0000-000067340000}"/>
    <cellStyle name="Normal 2 2 2 2 4 12 3" xfId="13416" xr:uid="{00000000-0005-0000-0000-000068340000}"/>
    <cellStyle name="Normal 2 2 2 2 4 12 3 10" xfId="13417" xr:uid="{00000000-0005-0000-0000-000069340000}"/>
    <cellStyle name="Normal 2 2 2 2 4 12 3 2" xfId="13418" xr:uid="{00000000-0005-0000-0000-00006A340000}"/>
    <cellStyle name="Normal 2 2 2 2 4 12 3 3" xfId="13419" xr:uid="{00000000-0005-0000-0000-00006B340000}"/>
    <cellStyle name="Normal 2 2 2 2 4 12 3 4" xfId="13420" xr:uid="{00000000-0005-0000-0000-00006C340000}"/>
    <cellStyle name="Normal 2 2 2 2 4 12 3 5" xfId="13421" xr:uid="{00000000-0005-0000-0000-00006D340000}"/>
    <cellStyle name="Normal 2 2 2 2 4 12 3 6" xfId="13422" xr:uid="{00000000-0005-0000-0000-00006E340000}"/>
    <cellStyle name="Normal 2 2 2 2 4 12 3 7" xfId="13423" xr:uid="{00000000-0005-0000-0000-00006F340000}"/>
    <cellStyle name="Normal 2 2 2 2 4 12 3 8" xfId="13424" xr:uid="{00000000-0005-0000-0000-000070340000}"/>
    <cellStyle name="Normal 2 2 2 2 4 12 3 9" xfId="13425" xr:uid="{00000000-0005-0000-0000-000071340000}"/>
    <cellStyle name="Normal 2 2 2 2 4 12 4" xfId="13426" xr:uid="{00000000-0005-0000-0000-000072340000}"/>
    <cellStyle name="Normal 2 2 2 2 4 12 4 10" xfId="13427" xr:uid="{00000000-0005-0000-0000-000073340000}"/>
    <cellStyle name="Normal 2 2 2 2 4 12 4 2" xfId="13428" xr:uid="{00000000-0005-0000-0000-000074340000}"/>
    <cellStyle name="Normal 2 2 2 2 4 12 4 3" xfId="13429" xr:uid="{00000000-0005-0000-0000-000075340000}"/>
    <cellStyle name="Normal 2 2 2 2 4 12 4 4" xfId="13430" xr:uid="{00000000-0005-0000-0000-000076340000}"/>
    <cellStyle name="Normal 2 2 2 2 4 12 4 5" xfId="13431" xr:uid="{00000000-0005-0000-0000-000077340000}"/>
    <cellStyle name="Normal 2 2 2 2 4 12 4 6" xfId="13432" xr:uid="{00000000-0005-0000-0000-000078340000}"/>
    <cellStyle name="Normal 2 2 2 2 4 12 4 7" xfId="13433" xr:uid="{00000000-0005-0000-0000-000079340000}"/>
    <cellStyle name="Normal 2 2 2 2 4 12 4 8" xfId="13434" xr:uid="{00000000-0005-0000-0000-00007A340000}"/>
    <cellStyle name="Normal 2 2 2 2 4 12 4 9" xfId="13435" xr:uid="{00000000-0005-0000-0000-00007B340000}"/>
    <cellStyle name="Normal 2 2 2 2 4 12 5" xfId="13436" xr:uid="{00000000-0005-0000-0000-00007C340000}"/>
    <cellStyle name="Normal 2 2 2 2 4 12 5 10" xfId="13437" xr:uid="{00000000-0005-0000-0000-00007D340000}"/>
    <cellStyle name="Normal 2 2 2 2 4 12 5 2" xfId="13438" xr:uid="{00000000-0005-0000-0000-00007E340000}"/>
    <cellStyle name="Normal 2 2 2 2 4 12 5 3" xfId="13439" xr:uid="{00000000-0005-0000-0000-00007F340000}"/>
    <cellStyle name="Normal 2 2 2 2 4 12 5 4" xfId="13440" xr:uid="{00000000-0005-0000-0000-000080340000}"/>
    <cellStyle name="Normal 2 2 2 2 4 12 5 5" xfId="13441" xr:uid="{00000000-0005-0000-0000-000081340000}"/>
    <cellStyle name="Normal 2 2 2 2 4 12 5 6" xfId="13442" xr:uid="{00000000-0005-0000-0000-000082340000}"/>
    <cellStyle name="Normal 2 2 2 2 4 12 5 7" xfId="13443" xr:uid="{00000000-0005-0000-0000-000083340000}"/>
    <cellStyle name="Normal 2 2 2 2 4 12 5 8" xfId="13444" xr:uid="{00000000-0005-0000-0000-000084340000}"/>
    <cellStyle name="Normal 2 2 2 2 4 12 5 9" xfId="13445" xr:uid="{00000000-0005-0000-0000-000085340000}"/>
    <cellStyle name="Normal 2 2 2 2 4 12 6" xfId="13446" xr:uid="{00000000-0005-0000-0000-000086340000}"/>
    <cellStyle name="Normal 2 2 2 2 4 12 7" xfId="13447" xr:uid="{00000000-0005-0000-0000-000087340000}"/>
    <cellStyle name="Normal 2 2 2 2 4 12 8" xfId="13448" xr:uid="{00000000-0005-0000-0000-000088340000}"/>
    <cellStyle name="Normal 2 2 2 2 4 12 9" xfId="13449" xr:uid="{00000000-0005-0000-0000-000089340000}"/>
    <cellStyle name="Normal 2 2 2 2 4 13" xfId="13450" xr:uid="{00000000-0005-0000-0000-00008A340000}"/>
    <cellStyle name="Normal 2 2 2 2 4 13 10" xfId="13451" xr:uid="{00000000-0005-0000-0000-00008B340000}"/>
    <cellStyle name="Normal 2 2 2 2 4 13 11" xfId="13452" xr:uid="{00000000-0005-0000-0000-00008C340000}"/>
    <cellStyle name="Normal 2 2 2 2 4 13 12" xfId="13453" xr:uid="{00000000-0005-0000-0000-00008D340000}"/>
    <cellStyle name="Normal 2 2 2 2 4 13 13" xfId="13454" xr:uid="{00000000-0005-0000-0000-00008E340000}"/>
    <cellStyle name="Normal 2 2 2 2 4 13 14" xfId="13455" xr:uid="{00000000-0005-0000-0000-00008F340000}"/>
    <cellStyle name="Normal 2 2 2 2 4 13 2" xfId="13456" xr:uid="{00000000-0005-0000-0000-000090340000}"/>
    <cellStyle name="Normal 2 2 2 2 4 13 2 10" xfId="13457" xr:uid="{00000000-0005-0000-0000-000091340000}"/>
    <cellStyle name="Normal 2 2 2 2 4 13 2 2" xfId="13458" xr:uid="{00000000-0005-0000-0000-000092340000}"/>
    <cellStyle name="Normal 2 2 2 2 4 13 2 3" xfId="13459" xr:uid="{00000000-0005-0000-0000-000093340000}"/>
    <cellStyle name="Normal 2 2 2 2 4 13 2 4" xfId="13460" xr:uid="{00000000-0005-0000-0000-000094340000}"/>
    <cellStyle name="Normal 2 2 2 2 4 13 2 5" xfId="13461" xr:uid="{00000000-0005-0000-0000-000095340000}"/>
    <cellStyle name="Normal 2 2 2 2 4 13 2 6" xfId="13462" xr:uid="{00000000-0005-0000-0000-000096340000}"/>
    <cellStyle name="Normal 2 2 2 2 4 13 2 7" xfId="13463" xr:uid="{00000000-0005-0000-0000-000097340000}"/>
    <cellStyle name="Normal 2 2 2 2 4 13 2 8" xfId="13464" xr:uid="{00000000-0005-0000-0000-000098340000}"/>
    <cellStyle name="Normal 2 2 2 2 4 13 2 9" xfId="13465" xr:uid="{00000000-0005-0000-0000-000099340000}"/>
    <cellStyle name="Normal 2 2 2 2 4 13 3" xfId="13466" xr:uid="{00000000-0005-0000-0000-00009A340000}"/>
    <cellStyle name="Normal 2 2 2 2 4 13 3 10" xfId="13467" xr:uid="{00000000-0005-0000-0000-00009B340000}"/>
    <cellStyle name="Normal 2 2 2 2 4 13 3 2" xfId="13468" xr:uid="{00000000-0005-0000-0000-00009C340000}"/>
    <cellStyle name="Normal 2 2 2 2 4 13 3 3" xfId="13469" xr:uid="{00000000-0005-0000-0000-00009D340000}"/>
    <cellStyle name="Normal 2 2 2 2 4 13 3 4" xfId="13470" xr:uid="{00000000-0005-0000-0000-00009E340000}"/>
    <cellStyle name="Normal 2 2 2 2 4 13 3 5" xfId="13471" xr:uid="{00000000-0005-0000-0000-00009F340000}"/>
    <cellStyle name="Normal 2 2 2 2 4 13 3 6" xfId="13472" xr:uid="{00000000-0005-0000-0000-0000A0340000}"/>
    <cellStyle name="Normal 2 2 2 2 4 13 3 7" xfId="13473" xr:uid="{00000000-0005-0000-0000-0000A1340000}"/>
    <cellStyle name="Normal 2 2 2 2 4 13 3 8" xfId="13474" xr:uid="{00000000-0005-0000-0000-0000A2340000}"/>
    <cellStyle name="Normal 2 2 2 2 4 13 3 9" xfId="13475" xr:uid="{00000000-0005-0000-0000-0000A3340000}"/>
    <cellStyle name="Normal 2 2 2 2 4 13 4" xfId="13476" xr:uid="{00000000-0005-0000-0000-0000A4340000}"/>
    <cellStyle name="Normal 2 2 2 2 4 13 4 10" xfId="13477" xr:uid="{00000000-0005-0000-0000-0000A5340000}"/>
    <cellStyle name="Normal 2 2 2 2 4 13 4 2" xfId="13478" xr:uid="{00000000-0005-0000-0000-0000A6340000}"/>
    <cellStyle name="Normal 2 2 2 2 4 13 4 3" xfId="13479" xr:uid="{00000000-0005-0000-0000-0000A7340000}"/>
    <cellStyle name="Normal 2 2 2 2 4 13 4 4" xfId="13480" xr:uid="{00000000-0005-0000-0000-0000A8340000}"/>
    <cellStyle name="Normal 2 2 2 2 4 13 4 5" xfId="13481" xr:uid="{00000000-0005-0000-0000-0000A9340000}"/>
    <cellStyle name="Normal 2 2 2 2 4 13 4 6" xfId="13482" xr:uid="{00000000-0005-0000-0000-0000AA340000}"/>
    <cellStyle name="Normal 2 2 2 2 4 13 4 7" xfId="13483" xr:uid="{00000000-0005-0000-0000-0000AB340000}"/>
    <cellStyle name="Normal 2 2 2 2 4 13 4 8" xfId="13484" xr:uid="{00000000-0005-0000-0000-0000AC340000}"/>
    <cellStyle name="Normal 2 2 2 2 4 13 4 9" xfId="13485" xr:uid="{00000000-0005-0000-0000-0000AD340000}"/>
    <cellStyle name="Normal 2 2 2 2 4 13 5" xfId="13486" xr:uid="{00000000-0005-0000-0000-0000AE340000}"/>
    <cellStyle name="Normal 2 2 2 2 4 13 5 10" xfId="13487" xr:uid="{00000000-0005-0000-0000-0000AF340000}"/>
    <cellStyle name="Normal 2 2 2 2 4 13 5 2" xfId="13488" xr:uid="{00000000-0005-0000-0000-0000B0340000}"/>
    <cellStyle name="Normal 2 2 2 2 4 13 5 3" xfId="13489" xr:uid="{00000000-0005-0000-0000-0000B1340000}"/>
    <cellStyle name="Normal 2 2 2 2 4 13 5 4" xfId="13490" xr:uid="{00000000-0005-0000-0000-0000B2340000}"/>
    <cellStyle name="Normal 2 2 2 2 4 13 5 5" xfId="13491" xr:uid="{00000000-0005-0000-0000-0000B3340000}"/>
    <cellStyle name="Normal 2 2 2 2 4 13 5 6" xfId="13492" xr:uid="{00000000-0005-0000-0000-0000B4340000}"/>
    <cellStyle name="Normal 2 2 2 2 4 13 5 7" xfId="13493" xr:uid="{00000000-0005-0000-0000-0000B5340000}"/>
    <cellStyle name="Normal 2 2 2 2 4 13 5 8" xfId="13494" xr:uid="{00000000-0005-0000-0000-0000B6340000}"/>
    <cellStyle name="Normal 2 2 2 2 4 13 5 9" xfId="13495" xr:uid="{00000000-0005-0000-0000-0000B7340000}"/>
    <cellStyle name="Normal 2 2 2 2 4 13 6" xfId="13496" xr:uid="{00000000-0005-0000-0000-0000B8340000}"/>
    <cellStyle name="Normal 2 2 2 2 4 13 7" xfId="13497" xr:uid="{00000000-0005-0000-0000-0000B9340000}"/>
    <cellStyle name="Normal 2 2 2 2 4 13 8" xfId="13498" xr:uid="{00000000-0005-0000-0000-0000BA340000}"/>
    <cellStyle name="Normal 2 2 2 2 4 13 9" xfId="13499" xr:uid="{00000000-0005-0000-0000-0000BB340000}"/>
    <cellStyle name="Normal 2 2 2 2 4 14" xfId="13500" xr:uid="{00000000-0005-0000-0000-0000BC340000}"/>
    <cellStyle name="Normal 2 2 2 2 4 14 10" xfId="13501" xr:uid="{00000000-0005-0000-0000-0000BD340000}"/>
    <cellStyle name="Normal 2 2 2 2 4 14 11" xfId="13502" xr:uid="{00000000-0005-0000-0000-0000BE340000}"/>
    <cellStyle name="Normal 2 2 2 2 4 14 12" xfId="13503" xr:uid="{00000000-0005-0000-0000-0000BF340000}"/>
    <cellStyle name="Normal 2 2 2 2 4 14 13" xfId="13504" xr:uid="{00000000-0005-0000-0000-0000C0340000}"/>
    <cellStyle name="Normal 2 2 2 2 4 14 14" xfId="13505" xr:uid="{00000000-0005-0000-0000-0000C1340000}"/>
    <cellStyle name="Normal 2 2 2 2 4 14 2" xfId="13506" xr:uid="{00000000-0005-0000-0000-0000C2340000}"/>
    <cellStyle name="Normal 2 2 2 2 4 14 2 10" xfId="13507" xr:uid="{00000000-0005-0000-0000-0000C3340000}"/>
    <cellStyle name="Normal 2 2 2 2 4 14 2 2" xfId="13508" xr:uid="{00000000-0005-0000-0000-0000C4340000}"/>
    <cellStyle name="Normal 2 2 2 2 4 14 2 3" xfId="13509" xr:uid="{00000000-0005-0000-0000-0000C5340000}"/>
    <cellStyle name="Normal 2 2 2 2 4 14 2 4" xfId="13510" xr:uid="{00000000-0005-0000-0000-0000C6340000}"/>
    <cellStyle name="Normal 2 2 2 2 4 14 2 5" xfId="13511" xr:uid="{00000000-0005-0000-0000-0000C7340000}"/>
    <cellStyle name="Normal 2 2 2 2 4 14 2 6" xfId="13512" xr:uid="{00000000-0005-0000-0000-0000C8340000}"/>
    <cellStyle name="Normal 2 2 2 2 4 14 2 7" xfId="13513" xr:uid="{00000000-0005-0000-0000-0000C9340000}"/>
    <cellStyle name="Normal 2 2 2 2 4 14 2 8" xfId="13514" xr:uid="{00000000-0005-0000-0000-0000CA340000}"/>
    <cellStyle name="Normal 2 2 2 2 4 14 2 9" xfId="13515" xr:uid="{00000000-0005-0000-0000-0000CB340000}"/>
    <cellStyle name="Normal 2 2 2 2 4 14 3" xfId="13516" xr:uid="{00000000-0005-0000-0000-0000CC340000}"/>
    <cellStyle name="Normal 2 2 2 2 4 14 3 10" xfId="13517" xr:uid="{00000000-0005-0000-0000-0000CD340000}"/>
    <cellStyle name="Normal 2 2 2 2 4 14 3 2" xfId="13518" xr:uid="{00000000-0005-0000-0000-0000CE340000}"/>
    <cellStyle name="Normal 2 2 2 2 4 14 3 3" xfId="13519" xr:uid="{00000000-0005-0000-0000-0000CF340000}"/>
    <cellStyle name="Normal 2 2 2 2 4 14 3 4" xfId="13520" xr:uid="{00000000-0005-0000-0000-0000D0340000}"/>
    <cellStyle name="Normal 2 2 2 2 4 14 3 5" xfId="13521" xr:uid="{00000000-0005-0000-0000-0000D1340000}"/>
    <cellStyle name="Normal 2 2 2 2 4 14 3 6" xfId="13522" xr:uid="{00000000-0005-0000-0000-0000D2340000}"/>
    <cellStyle name="Normal 2 2 2 2 4 14 3 7" xfId="13523" xr:uid="{00000000-0005-0000-0000-0000D3340000}"/>
    <cellStyle name="Normal 2 2 2 2 4 14 3 8" xfId="13524" xr:uid="{00000000-0005-0000-0000-0000D4340000}"/>
    <cellStyle name="Normal 2 2 2 2 4 14 3 9" xfId="13525" xr:uid="{00000000-0005-0000-0000-0000D5340000}"/>
    <cellStyle name="Normal 2 2 2 2 4 14 4" xfId="13526" xr:uid="{00000000-0005-0000-0000-0000D6340000}"/>
    <cellStyle name="Normal 2 2 2 2 4 14 4 10" xfId="13527" xr:uid="{00000000-0005-0000-0000-0000D7340000}"/>
    <cellStyle name="Normal 2 2 2 2 4 14 4 2" xfId="13528" xr:uid="{00000000-0005-0000-0000-0000D8340000}"/>
    <cellStyle name="Normal 2 2 2 2 4 14 4 3" xfId="13529" xr:uid="{00000000-0005-0000-0000-0000D9340000}"/>
    <cellStyle name="Normal 2 2 2 2 4 14 4 4" xfId="13530" xr:uid="{00000000-0005-0000-0000-0000DA340000}"/>
    <cellStyle name="Normal 2 2 2 2 4 14 4 5" xfId="13531" xr:uid="{00000000-0005-0000-0000-0000DB340000}"/>
    <cellStyle name="Normal 2 2 2 2 4 14 4 6" xfId="13532" xr:uid="{00000000-0005-0000-0000-0000DC340000}"/>
    <cellStyle name="Normal 2 2 2 2 4 14 4 7" xfId="13533" xr:uid="{00000000-0005-0000-0000-0000DD340000}"/>
    <cellStyle name="Normal 2 2 2 2 4 14 4 8" xfId="13534" xr:uid="{00000000-0005-0000-0000-0000DE340000}"/>
    <cellStyle name="Normal 2 2 2 2 4 14 4 9" xfId="13535" xr:uid="{00000000-0005-0000-0000-0000DF340000}"/>
    <cellStyle name="Normal 2 2 2 2 4 14 5" xfId="13536" xr:uid="{00000000-0005-0000-0000-0000E0340000}"/>
    <cellStyle name="Normal 2 2 2 2 4 14 5 10" xfId="13537" xr:uid="{00000000-0005-0000-0000-0000E1340000}"/>
    <cellStyle name="Normal 2 2 2 2 4 14 5 2" xfId="13538" xr:uid="{00000000-0005-0000-0000-0000E2340000}"/>
    <cellStyle name="Normal 2 2 2 2 4 14 5 3" xfId="13539" xr:uid="{00000000-0005-0000-0000-0000E3340000}"/>
    <cellStyle name="Normal 2 2 2 2 4 14 5 4" xfId="13540" xr:uid="{00000000-0005-0000-0000-0000E4340000}"/>
    <cellStyle name="Normal 2 2 2 2 4 14 5 5" xfId="13541" xr:uid="{00000000-0005-0000-0000-0000E5340000}"/>
    <cellStyle name="Normal 2 2 2 2 4 14 5 6" xfId="13542" xr:uid="{00000000-0005-0000-0000-0000E6340000}"/>
    <cellStyle name="Normal 2 2 2 2 4 14 5 7" xfId="13543" xr:uid="{00000000-0005-0000-0000-0000E7340000}"/>
    <cellStyle name="Normal 2 2 2 2 4 14 5 8" xfId="13544" xr:uid="{00000000-0005-0000-0000-0000E8340000}"/>
    <cellStyle name="Normal 2 2 2 2 4 14 5 9" xfId="13545" xr:uid="{00000000-0005-0000-0000-0000E9340000}"/>
    <cellStyle name="Normal 2 2 2 2 4 14 6" xfId="13546" xr:uid="{00000000-0005-0000-0000-0000EA340000}"/>
    <cellStyle name="Normal 2 2 2 2 4 14 7" xfId="13547" xr:uid="{00000000-0005-0000-0000-0000EB340000}"/>
    <cellStyle name="Normal 2 2 2 2 4 14 8" xfId="13548" xr:uid="{00000000-0005-0000-0000-0000EC340000}"/>
    <cellStyle name="Normal 2 2 2 2 4 14 9" xfId="13549" xr:uid="{00000000-0005-0000-0000-0000ED340000}"/>
    <cellStyle name="Normal 2 2 2 2 4 15" xfId="13550" xr:uid="{00000000-0005-0000-0000-0000EE340000}"/>
    <cellStyle name="Normal 2 2 2 2 4 15 10" xfId="13551" xr:uid="{00000000-0005-0000-0000-0000EF340000}"/>
    <cellStyle name="Normal 2 2 2 2 4 15 11" xfId="13552" xr:uid="{00000000-0005-0000-0000-0000F0340000}"/>
    <cellStyle name="Normal 2 2 2 2 4 15 12" xfId="13553" xr:uid="{00000000-0005-0000-0000-0000F1340000}"/>
    <cellStyle name="Normal 2 2 2 2 4 15 13" xfId="13554" xr:uid="{00000000-0005-0000-0000-0000F2340000}"/>
    <cellStyle name="Normal 2 2 2 2 4 15 14" xfId="13555" xr:uid="{00000000-0005-0000-0000-0000F3340000}"/>
    <cellStyle name="Normal 2 2 2 2 4 15 2" xfId="13556" xr:uid="{00000000-0005-0000-0000-0000F4340000}"/>
    <cellStyle name="Normal 2 2 2 2 4 15 2 10" xfId="13557" xr:uid="{00000000-0005-0000-0000-0000F5340000}"/>
    <cellStyle name="Normal 2 2 2 2 4 15 2 2" xfId="13558" xr:uid="{00000000-0005-0000-0000-0000F6340000}"/>
    <cellStyle name="Normal 2 2 2 2 4 15 2 3" xfId="13559" xr:uid="{00000000-0005-0000-0000-0000F7340000}"/>
    <cellStyle name="Normal 2 2 2 2 4 15 2 4" xfId="13560" xr:uid="{00000000-0005-0000-0000-0000F8340000}"/>
    <cellStyle name="Normal 2 2 2 2 4 15 2 5" xfId="13561" xr:uid="{00000000-0005-0000-0000-0000F9340000}"/>
    <cellStyle name="Normal 2 2 2 2 4 15 2 6" xfId="13562" xr:uid="{00000000-0005-0000-0000-0000FA340000}"/>
    <cellStyle name="Normal 2 2 2 2 4 15 2 7" xfId="13563" xr:uid="{00000000-0005-0000-0000-0000FB340000}"/>
    <cellStyle name="Normal 2 2 2 2 4 15 2 8" xfId="13564" xr:uid="{00000000-0005-0000-0000-0000FC340000}"/>
    <cellStyle name="Normal 2 2 2 2 4 15 2 9" xfId="13565" xr:uid="{00000000-0005-0000-0000-0000FD340000}"/>
    <cellStyle name="Normal 2 2 2 2 4 15 3" xfId="13566" xr:uid="{00000000-0005-0000-0000-0000FE340000}"/>
    <cellStyle name="Normal 2 2 2 2 4 15 3 10" xfId="13567" xr:uid="{00000000-0005-0000-0000-0000FF340000}"/>
    <cellStyle name="Normal 2 2 2 2 4 15 3 2" xfId="13568" xr:uid="{00000000-0005-0000-0000-000000350000}"/>
    <cellStyle name="Normal 2 2 2 2 4 15 3 3" xfId="13569" xr:uid="{00000000-0005-0000-0000-000001350000}"/>
    <cellStyle name="Normal 2 2 2 2 4 15 3 4" xfId="13570" xr:uid="{00000000-0005-0000-0000-000002350000}"/>
    <cellStyle name="Normal 2 2 2 2 4 15 3 5" xfId="13571" xr:uid="{00000000-0005-0000-0000-000003350000}"/>
    <cellStyle name="Normal 2 2 2 2 4 15 3 6" xfId="13572" xr:uid="{00000000-0005-0000-0000-000004350000}"/>
    <cellStyle name="Normal 2 2 2 2 4 15 3 7" xfId="13573" xr:uid="{00000000-0005-0000-0000-000005350000}"/>
    <cellStyle name="Normal 2 2 2 2 4 15 3 8" xfId="13574" xr:uid="{00000000-0005-0000-0000-000006350000}"/>
    <cellStyle name="Normal 2 2 2 2 4 15 3 9" xfId="13575" xr:uid="{00000000-0005-0000-0000-000007350000}"/>
    <cellStyle name="Normal 2 2 2 2 4 15 4" xfId="13576" xr:uid="{00000000-0005-0000-0000-000008350000}"/>
    <cellStyle name="Normal 2 2 2 2 4 15 4 10" xfId="13577" xr:uid="{00000000-0005-0000-0000-000009350000}"/>
    <cellStyle name="Normal 2 2 2 2 4 15 4 2" xfId="13578" xr:uid="{00000000-0005-0000-0000-00000A350000}"/>
    <cellStyle name="Normal 2 2 2 2 4 15 4 3" xfId="13579" xr:uid="{00000000-0005-0000-0000-00000B350000}"/>
    <cellStyle name="Normal 2 2 2 2 4 15 4 4" xfId="13580" xr:uid="{00000000-0005-0000-0000-00000C350000}"/>
    <cellStyle name="Normal 2 2 2 2 4 15 4 5" xfId="13581" xr:uid="{00000000-0005-0000-0000-00000D350000}"/>
    <cellStyle name="Normal 2 2 2 2 4 15 4 6" xfId="13582" xr:uid="{00000000-0005-0000-0000-00000E350000}"/>
    <cellStyle name="Normal 2 2 2 2 4 15 4 7" xfId="13583" xr:uid="{00000000-0005-0000-0000-00000F350000}"/>
    <cellStyle name="Normal 2 2 2 2 4 15 4 8" xfId="13584" xr:uid="{00000000-0005-0000-0000-000010350000}"/>
    <cellStyle name="Normal 2 2 2 2 4 15 4 9" xfId="13585" xr:uid="{00000000-0005-0000-0000-000011350000}"/>
    <cellStyle name="Normal 2 2 2 2 4 15 5" xfId="13586" xr:uid="{00000000-0005-0000-0000-000012350000}"/>
    <cellStyle name="Normal 2 2 2 2 4 15 5 10" xfId="13587" xr:uid="{00000000-0005-0000-0000-000013350000}"/>
    <cellStyle name="Normal 2 2 2 2 4 15 5 2" xfId="13588" xr:uid="{00000000-0005-0000-0000-000014350000}"/>
    <cellStyle name="Normal 2 2 2 2 4 15 5 3" xfId="13589" xr:uid="{00000000-0005-0000-0000-000015350000}"/>
    <cellStyle name="Normal 2 2 2 2 4 15 5 4" xfId="13590" xr:uid="{00000000-0005-0000-0000-000016350000}"/>
    <cellStyle name="Normal 2 2 2 2 4 15 5 5" xfId="13591" xr:uid="{00000000-0005-0000-0000-000017350000}"/>
    <cellStyle name="Normal 2 2 2 2 4 15 5 6" xfId="13592" xr:uid="{00000000-0005-0000-0000-000018350000}"/>
    <cellStyle name="Normal 2 2 2 2 4 15 5 7" xfId="13593" xr:uid="{00000000-0005-0000-0000-000019350000}"/>
    <cellStyle name="Normal 2 2 2 2 4 15 5 8" xfId="13594" xr:uid="{00000000-0005-0000-0000-00001A350000}"/>
    <cellStyle name="Normal 2 2 2 2 4 15 5 9" xfId="13595" xr:uid="{00000000-0005-0000-0000-00001B350000}"/>
    <cellStyle name="Normal 2 2 2 2 4 15 6" xfId="13596" xr:uid="{00000000-0005-0000-0000-00001C350000}"/>
    <cellStyle name="Normal 2 2 2 2 4 15 7" xfId="13597" xr:uid="{00000000-0005-0000-0000-00001D350000}"/>
    <cellStyle name="Normal 2 2 2 2 4 15 8" xfId="13598" xr:uid="{00000000-0005-0000-0000-00001E350000}"/>
    <cellStyle name="Normal 2 2 2 2 4 15 9" xfId="13599" xr:uid="{00000000-0005-0000-0000-00001F350000}"/>
    <cellStyle name="Normal 2 2 2 2 4 16" xfId="13600" xr:uid="{00000000-0005-0000-0000-000020350000}"/>
    <cellStyle name="Normal 2 2 2 2 4 16 10" xfId="13601" xr:uid="{00000000-0005-0000-0000-000021350000}"/>
    <cellStyle name="Normal 2 2 2 2 4 16 11" xfId="13602" xr:uid="{00000000-0005-0000-0000-000022350000}"/>
    <cellStyle name="Normal 2 2 2 2 4 16 12" xfId="13603" xr:uid="{00000000-0005-0000-0000-000023350000}"/>
    <cellStyle name="Normal 2 2 2 2 4 16 13" xfId="13604" xr:uid="{00000000-0005-0000-0000-000024350000}"/>
    <cellStyle name="Normal 2 2 2 2 4 16 14" xfId="13605" xr:uid="{00000000-0005-0000-0000-000025350000}"/>
    <cellStyle name="Normal 2 2 2 2 4 16 2" xfId="13606" xr:uid="{00000000-0005-0000-0000-000026350000}"/>
    <cellStyle name="Normal 2 2 2 2 4 16 2 10" xfId="13607" xr:uid="{00000000-0005-0000-0000-000027350000}"/>
    <cellStyle name="Normal 2 2 2 2 4 16 2 2" xfId="13608" xr:uid="{00000000-0005-0000-0000-000028350000}"/>
    <cellStyle name="Normal 2 2 2 2 4 16 2 3" xfId="13609" xr:uid="{00000000-0005-0000-0000-000029350000}"/>
    <cellStyle name="Normal 2 2 2 2 4 16 2 4" xfId="13610" xr:uid="{00000000-0005-0000-0000-00002A350000}"/>
    <cellStyle name="Normal 2 2 2 2 4 16 2 5" xfId="13611" xr:uid="{00000000-0005-0000-0000-00002B350000}"/>
    <cellStyle name="Normal 2 2 2 2 4 16 2 6" xfId="13612" xr:uid="{00000000-0005-0000-0000-00002C350000}"/>
    <cellStyle name="Normal 2 2 2 2 4 16 2 7" xfId="13613" xr:uid="{00000000-0005-0000-0000-00002D350000}"/>
    <cellStyle name="Normal 2 2 2 2 4 16 2 8" xfId="13614" xr:uid="{00000000-0005-0000-0000-00002E350000}"/>
    <cellStyle name="Normal 2 2 2 2 4 16 2 9" xfId="13615" xr:uid="{00000000-0005-0000-0000-00002F350000}"/>
    <cellStyle name="Normal 2 2 2 2 4 16 3" xfId="13616" xr:uid="{00000000-0005-0000-0000-000030350000}"/>
    <cellStyle name="Normal 2 2 2 2 4 16 3 10" xfId="13617" xr:uid="{00000000-0005-0000-0000-000031350000}"/>
    <cellStyle name="Normal 2 2 2 2 4 16 3 2" xfId="13618" xr:uid="{00000000-0005-0000-0000-000032350000}"/>
    <cellStyle name="Normal 2 2 2 2 4 16 3 3" xfId="13619" xr:uid="{00000000-0005-0000-0000-000033350000}"/>
    <cellStyle name="Normal 2 2 2 2 4 16 3 4" xfId="13620" xr:uid="{00000000-0005-0000-0000-000034350000}"/>
    <cellStyle name="Normal 2 2 2 2 4 16 3 5" xfId="13621" xr:uid="{00000000-0005-0000-0000-000035350000}"/>
    <cellStyle name="Normal 2 2 2 2 4 16 3 6" xfId="13622" xr:uid="{00000000-0005-0000-0000-000036350000}"/>
    <cellStyle name="Normal 2 2 2 2 4 16 3 7" xfId="13623" xr:uid="{00000000-0005-0000-0000-000037350000}"/>
    <cellStyle name="Normal 2 2 2 2 4 16 3 8" xfId="13624" xr:uid="{00000000-0005-0000-0000-000038350000}"/>
    <cellStyle name="Normal 2 2 2 2 4 16 3 9" xfId="13625" xr:uid="{00000000-0005-0000-0000-000039350000}"/>
    <cellStyle name="Normal 2 2 2 2 4 16 4" xfId="13626" xr:uid="{00000000-0005-0000-0000-00003A350000}"/>
    <cellStyle name="Normal 2 2 2 2 4 16 4 10" xfId="13627" xr:uid="{00000000-0005-0000-0000-00003B350000}"/>
    <cellStyle name="Normal 2 2 2 2 4 16 4 2" xfId="13628" xr:uid="{00000000-0005-0000-0000-00003C350000}"/>
    <cellStyle name="Normal 2 2 2 2 4 16 4 3" xfId="13629" xr:uid="{00000000-0005-0000-0000-00003D350000}"/>
    <cellStyle name="Normal 2 2 2 2 4 16 4 4" xfId="13630" xr:uid="{00000000-0005-0000-0000-00003E350000}"/>
    <cellStyle name="Normal 2 2 2 2 4 16 4 5" xfId="13631" xr:uid="{00000000-0005-0000-0000-00003F350000}"/>
    <cellStyle name="Normal 2 2 2 2 4 16 4 6" xfId="13632" xr:uid="{00000000-0005-0000-0000-000040350000}"/>
    <cellStyle name="Normal 2 2 2 2 4 16 4 7" xfId="13633" xr:uid="{00000000-0005-0000-0000-000041350000}"/>
    <cellStyle name="Normal 2 2 2 2 4 16 4 8" xfId="13634" xr:uid="{00000000-0005-0000-0000-000042350000}"/>
    <cellStyle name="Normal 2 2 2 2 4 16 4 9" xfId="13635" xr:uid="{00000000-0005-0000-0000-000043350000}"/>
    <cellStyle name="Normal 2 2 2 2 4 16 5" xfId="13636" xr:uid="{00000000-0005-0000-0000-000044350000}"/>
    <cellStyle name="Normal 2 2 2 2 4 16 5 10" xfId="13637" xr:uid="{00000000-0005-0000-0000-000045350000}"/>
    <cellStyle name="Normal 2 2 2 2 4 16 5 2" xfId="13638" xr:uid="{00000000-0005-0000-0000-000046350000}"/>
    <cellStyle name="Normal 2 2 2 2 4 16 5 3" xfId="13639" xr:uid="{00000000-0005-0000-0000-000047350000}"/>
    <cellStyle name="Normal 2 2 2 2 4 16 5 4" xfId="13640" xr:uid="{00000000-0005-0000-0000-000048350000}"/>
    <cellStyle name="Normal 2 2 2 2 4 16 5 5" xfId="13641" xr:uid="{00000000-0005-0000-0000-000049350000}"/>
    <cellStyle name="Normal 2 2 2 2 4 16 5 6" xfId="13642" xr:uid="{00000000-0005-0000-0000-00004A350000}"/>
    <cellStyle name="Normal 2 2 2 2 4 16 5 7" xfId="13643" xr:uid="{00000000-0005-0000-0000-00004B350000}"/>
    <cellStyle name="Normal 2 2 2 2 4 16 5 8" xfId="13644" xr:uid="{00000000-0005-0000-0000-00004C350000}"/>
    <cellStyle name="Normal 2 2 2 2 4 16 5 9" xfId="13645" xr:uid="{00000000-0005-0000-0000-00004D350000}"/>
    <cellStyle name="Normal 2 2 2 2 4 16 6" xfId="13646" xr:uid="{00000000-0005-0000-0000-00004E350000}"/>
    <cellStyle name="Normal 2 2 2 2 4 16 7" xfId="13647" xr:uid="{00000000-0005-0000-0000-00004F350000}"/>
    <cellStyle name="Normal 2 2 2 2 4 16 8" xfId="13648" xr:uid="{00000000-0005-0000-0000-000050350000}"/>
    <cellStyle name="Normal 2 2 2 2 4 16 9" xfId="13649" xr:uid="{00000000-0005-0000-0000-000051350000}"/>
    <cellStyle name="Normal 2 2 2 2 4 17" xfId="13650" xr:uid="{00000000-0005-0000-0000-000052350000}"/>
    <cellStyle name="Normal 2 2 2 2 4 17 10" xfId="13651" xr:uid="{00000000-0005-0000-0000-000053350000}"/>
    <cellStyle name="Normal 2 2 2 2 4 17 11" xfId="13652" xr:uid="{00000000-0005-0000-0000-000054350000}"/>
    <cellStyle name="Normal 2 2 2 2 4 17 12" xfId="13653" xr:uid="{00000000-0005-0000-0000-000055350000}"/>
    <cellStyle name="Normal 2 2 2 2 4 17 13" xfId="13654" xr:uid="{00000000-0005-0000-0000-000056350000}"/>
    <cellStyle name="Normal 2 2 2 2 4 17 14" xfId="13655" xr:uid="{00000000-0005-0000-0000-000057350000}"/>
    <cellStyle name="Normal 2 2 2 2 4 17 2" xfId="13656" xr:uid="{00000000-0005-0000-0000-000058350000}"/>
    <cellStyle name="Normal 2 2 2 2 4 17 2 10" xfId="13657" xr:uid="{00000000-0005-0000-0000-000059350000}"/>
    <cellStyle name="Normal 2 2 2 2 4 17 2 2" xfId="13658" xr:uid="{00000000-0005-0000-0000-00005A350000}"/>
    <cellStyle name="Normal 2 2 2 2 4 17 2 3" xfId="13659" xr:uid="{00000000-0005-0000-0000-00005B350000}"/>
    <cellStyle name="Normal 2 2 2 2 4 17 2 4" xfId="13660" xr:uid="{00000000-0005-0000-0000-00005C350000}"/>
    <cellStyle name="Normal 2 2 2 2 4 17 2 5" xfId="13661" xr:uid="{00000000-0005-0000-0000-00005D350000}"/>
    <cellStyle name="Normal 2 2 2 2 4 17 2 6" xfId="13662" xr:uid="{00000000-0005-0000-0000-00005E350000}"/>
    <cellStyle name="Normal 2 2 2 2 4 17 2 7" xfId="13663" xr:uid="{00000000-0005-0000-0000-00005F350000}"/>
    <cellStyle name="Normal 2 2 2 2 4 17 2 8" xfId="13664" xr:uid="{00000000-0005-0000-0000-000060350000}"/>
    <cellStyle name="Normal 2 2 2 2 4 17 2 9" xfId="13665" xr:uid="{00000000-0005-0000-0000-000061350000}"/>
    <cellStyle name="Normal 2 2 2 2 4 17 3" xfId="13666" xr:uid="{00000000-0005-0000-0000-000062350000}"/>
    <cellStyle name="Normal 2 2 2 2 4 17 3 10" xfId="13667" xr:uid="{00000000-0005-0000-0000-000063350000}"/>
    <cellStyle name="Normal 2 2 2 2 4 17 3 2" xfId="13668" xr:uid="{00000000-0005-0000-0000-000064350000}"/>
    <cellStyle name="Normal 2 2 2 2 4 17 3 3" xfId="13669" xr:uid="{00000000-0005-0000-0000-000065350000}"/>
    <cellStyle name="Normal 2 2 2 2 4 17 3 4" xfId="13670" xr:uid="{00000000-0005-0000-0000-000066350000}"/>
    <cellStyle name="Normal 2 2 2 2 4 17 3 5" xfId="13671" xr:uid="{00000000-0005-0000-0000-000067350000}"/>
    <cellStyle name="Normal 2 2 2 2 4 17 3 6" xfId="13672" xr:uid="{00000000-0005-0000-0000-000068350000}"/>
    <cellStyle name="Normal 2 2 2 2 4 17 3 7" xfId="13673" xr:uid="{00000000-0005-0000-0000-000069350000}"/>
    <cellStyle name="Normal 2 2 2 2 4 17 3 8" xfId="13674" xr:uid="{00000000-0005-0000-0000-00006A350000}"/>
    <cellStyle name="Normal 2 2 2 2 4 17 3 9" xfId="13675" xr:uid="{00000000-0005-0000-0000-00006B350000}"/>
    <cellStyle name="Normal 2 2 2 2 4 17 4" xfId="13676" xr:uid="{00000000-0005-0000-0000-00006C350000}"/>
    <cellStyle name="Normal 2 2 2 2 4 17 4 10" xfId="13677" xr:uid="{00000000-0005-0000-0000-00006D350000}"/>
    <cellStyle name="Normal 2 2 2 2 4 17 4 2" xfId="13678" xr:uid="{00000000-0005-0000-0000-00006E350000}"/>
    <cellStyle name="Normal 2 2 2 2 4 17 4 3" xfId="13679" xr:uid="{00000000-0005-0000-0000-00006F350000}"/>
    <cellStyle name="Normal 2 2 2 2 4 17 4 4" xfId="13680" xr:uid="{00000000-0005-0000-0000-000070350000}"/>
    <cellStyle name="Normal 2 2 2 2 4 17 4 5" xfId="13681" xr:uid="{00000000-0005-0000-0000-000071350000}"/>
    <cellStyle name="Normal 2 2 2 2 4 17 4 6" xfId="13682" xr:uid="{00000000-0005-0000-0000-000072350000}"/>
    <cellStyle name="Normal 2 2 2 2 4 17 4 7" xfId="13683" xr:uid="{00000000-0005-0000-0000-000073350000}"/>
    <cellStyle name="Normal 2 2 2 2 4 17 4 8" xfId="13684" xr:uid="{00000000-0005-0000-0000-000074350000}"/>
    <cellStyle name="Normal 2 2 2 2 4 17 4 9" xfId="13685" xr:uid="{00000000-0005-0000-0000-000075350000}"/>
    <cellStyle name="Normal 2 2 2 2 4 17 5" xfId="13686" xr:uid="{00000000-0005-0000-0000-000076350000}"/>
    <cellStyle name="Normal 2 2 2 2 4 17 5 10" xfId="13687" xr:uid="{00000000-0005-0000-0000-000077350000}"/>
    <cellStyle name="Normal 2 2 2 2 4 17 5 2" xfId="13688" xr:uid="{00000000-0005-0000-0000-000078350000}"/>
    <cellStyle name="Normal 2 2 2 2 4 17 5 3" xfId="13689" xr:uid="{00000000-0005-0000-0000-000079350000}"/>
    <cellStyle name="Normal 2 2 2 2 4 17 5 4" xfId="13690" xr:uid="{00000000-0005-0000-0000-00007A350000}"/>
    <cellStyle name="Normal 2 2 2 2 4 17 5 5" xfId="13691" xr:uid="{00000000-0005-0000-0000-00007B350000}"/>
    <cellStyle name="Normal 2 2 2 2 4 17 5 6" xfId="13692" xr:uid="{00000000-0005-0000-0000-00007C350000}"/>
    <cellStyle name="Normal 2 2 2 2 4 17 5 7" xfId="13693" xr:uid="{00000000-0005-0000-0000-00007D350000}"/>
    <cellStyle name="Normal 2 2 2 2 4 17 5 8" xfId="13694" xr:uid="{00000000-0005-0000-0000-00007E350000}"/>
    <cellStyle name="Normal 2 2 2 2 4 17 5 9" xfId="13695" xr:uid="{00000000-0005-0000-0000-00007F350000}"/>
    <cellStyle name="Normal 2 2 2 2 4 17 6" xfId="13696" xr:uid="{00000000-0005-0000-0000-000080350000}"/>
    <cellStyle name="Normal 2 2 2 2 4 17 7" xfId="13697" xr:uid="{00000000-0005-0000-0000-000081350000}"/>
    <cellStyle name="Normal 2 2 2 2 4 17 8" xfId="13698" xr:uid="{00000000-0005-0000-0000-000082350000}"/>
    <cellStyle name="Normal 2 2 2 2 4 17 9" xfId="13699" xr:uid="{00000000-0005-0000-0000-000083350000}"/>
    <cellStyle name="Normal 2 2 2 2 4 18" xfId="13700" xr:uid="{00000000-0005-0000-0000-000084350000}"/>
    <cellStyle name="Normal 2 2 2 2 4 18 10" xfId="13701" xr:uid="{00000000-0005-0000-0000-000085350000}"/>
    <cellStyle name="Normal 2 2 2 2 4 18 11" xfId="13702" xr:uid="{00000000-0005-0000-0000-000086350000}"/>
    <cellStyle name="Normal 2 2 2 2 4 18 12" xfId="13703" xr:uid="{00000000-0005-0000-0000-000087350000}"/>
    <cellStyle name="Normal 2 2 2 2 4 18 13" xfId="13704" xr:uid="{00000000-0005-0000-0000-000088350000}"/>
    <cellStyle name="Normal 2 2 2 2 4 18 14" xfId="13705" xr:uid="{00000000-0005-0000-0000-000089350000}"/>
    <cellStyle name="Normal 2 2 2 2 4 18 2" xfId="13706" xr:uid="{00000000-0005-0000-0000-00008A350000}"/>
    <cellStyle name="Normal 2 2 2 2 4 18 2 10" xfId="13707" xr:uid="{00000000-0005-0000-0000-00008B350000}"/>
    <cellStyle name="Normal 2 2 2 2 4 18 2 2" xfId="13708" xr:uid="{00000000-0005-0000-0000-00008C350000}"/>
    <cellStyle name="Normal 2 2 2 2 4 18 2 3" xfId="13709" xr:uid="{00000000-0005-0000-0000-00008D350000}"/>
    <cellStyle name="Normal 2 2 2 2 4 18 2 4" xfId="13710" xr:uid="{00000000-0005-0000-0000-00008E350000}"/>
    <cellStyle name="Normal 2 2 2 2 4 18 2 5" xfId="13711" xr:uid="{00000000-0005-0000-0000-00008F350000}"/>
    <cellStyle name="Normal 2 2 2 2 4 18 2 6" xfId="13712" xr:uid="{00000000-0005-0000-0000-000090350000}"/>
    <cellStyle name="Normal 2 2 2 2 4 18 2 7" xfId="13713" xr:uid="{00000000-0005-0000-0000-000091350000}"/>
    <cellStyle name="Normal 2 2 2 2 4 18 2 8" xfId="13714" xr:uid="{00000000-0005-0000-0000-000092350000}"/>
    <cellStyle name="Normal 2 2 2 2 4 18 2 9" xfId="13715" xr:uid="{00000000-0005-0000-0000-000093350000}"/>
    <cellStyle name="Normal 2 2 2 2 4 18 3" xfId="13716" xr:uid="{00000000-0005-0000-0000-000094350000}"/>
    <cellStyle name="Normal 2 2 2 2 4 18 3 10" xfId="13717" xr:uid="{00000000-0005-0000-0000-000095350000}"/>
    <cellStyle name="Normal 2 2 2 2 4 18 3 2" xfId="13718" xr:uid="{00000000-0005-0000-0000-000096350000}"/>
    <cellStyle name="Normal 2 2 2 2 4 18 3 3" xfId="13719" xr:uid="{00000000-0005-0000-0000-000097350000}"/>
    <cellStyle name="Normal 2 2 2 2 4 18 3 4" xfId="13720" xr:uid="{00000000-0005-0000-0000-000098350000}"/>
    <cellStyle name="Normal 2 2 2 2 4 18 3 5" xfId="13721" xr:uid="{00000000-0005-0000-0000-000099350000}"/>
    <cellStyle name="Normal 2 2 2 2 4 18 3 6" xfId="13722" xr:uid="{00000000-0005-0000-0000-00009A350000}"/>
    <cellStyle name="Normal 2 2 2 2 4 18 3 7" xfId="13723" xr:uid="{00000000-0005-0000-0000-00009B350000}"/>
    <cellStyle name="Normal 2 2 2 2 4 18 3 8" xfId="13724" xr:uid="{00000000-0005-0000-0000-00009C350000}"/>
    <cellStyle name="Normal 2 2 2 2 4 18 3 9" xfId="13725" xr:uid="{00000000-0005-0000-0000-00009D350000}"/>
    <cellStyle name="Normal 2 2 2 2 4 18 4" xfId="13726" xr:uid="{00000000-0005-0000-0000-00009E350000}"/>
    <cellStyle name="Normal 2 2 2 2 4 18 4 10" xfId="13727" xr:uid="{00000000-0005-0000-0000-00009F350000}"/>
    <cellStyle name="Normal 2 2 2 2 4 18 4 2" xfId="13728" xr:uid="{00000000-0005-0000-0000-0000A0350000}"/>
    <cellStyle name="Normal 2 2 2 2 4 18 4 3" xfId="13729" xr:uid="{00000000-0005-0000-0000-0000A1350000}"/>
    <cellStyle name="Normal 2 2 2 2 4 18 4 4" xfId="13730" xr:uid="{00000000-0005-0000-0000-0000A2350000}"/>
    <cellStyle name="Normal 2 2 2 2 4 18 4 5" xfId="13731" xr:uid="{00000000-0005-0000-0000-0000A3350000}"/>
    <cellStyle name="Normal 2 2 2 2 4 18 4 6" xfId="13732" xr:uid="{00000000-0005-0000-0000-0000A4350000}"/>
    <cellStyle name="Normal 2 2 2 2 4 18 4 7" xfId="13733" xr:uid="{00000000-0005-0000-0000-0000A5350000}"/>
    <cellStyle name="Normal 2 2 2 2 4 18 4 8" xfId="13734" xr:uid="{00000000-0005-0000-0000-0000A6350000}"/>
    <cellStyle name="Normal 2 2 2 2 4 18 4 9" xfId="13735" xr:uid="{00000000-0005-0000-0000-0000A7350000}"/>
    <cellStyle name="Normal 2 2 2 2 4 18 5" xfId="13736" xr:uid="{00000000-0005-0000-0000-0000A8350000}"/>
    <cellStyle name="Normal 2 2 2 2 4 18 5 10" xfId="13737" xr:uid="{00000000-0005-0000-0000-0000A9350000}"/>
    <cellStyle name="Normal 2 2 2 2 4 18 5 2" xfId="13738" xr:uid="{00000000-0005-0000-0000-0000AA350000}"/>
    <cellStyle name="Normal 2 2 2 2 4 18 5 3" xfId="13739" xr:uid="{00000000-0005-0000-0000-0000AB350000}"/>
    <cellStyle name="Normal 2 2 2 2 4 18 5 4" xfId="13740" xr:uid="{00000000-0005-0000-0000-0000AC350000}"/>
    <cellStyle name="Normal 2 2 2 2 4 18 5 5" xfId="13741" xr:uid="{00000000-0005-0000-0000-0000AD350000}"/>
    <cellStyle name="Normal 2 2 2 2 4 18 5 6" xfId="13742" xr:uid="{00000000-0005-0000-0000-0000AE350000}"/>
    <cellStyle name="Normal 2 2 2 2 4 18 5 7" xfId="13743" xr:uid="{00000000-0005-0000-0000-0000AF350000}"/>
    <cellStyle name="Normal 2 2 2 2 4 18 5 8" xfId="13744" xr:uid="{00000000-0005-0000-0000-0000B0350000}"/>
    <cellStyle name="Normal 2 2 2 2 4 18 5 9" xfId="13745" xr:uid="{00000000-0005-0000-0000-0000B1350000}"/>
    <cellStyle name="Normal 2 2 2 2 4 18 6" xfId="13746" xr:uid="{00000000-0005-0000-0000-0000B2350000}"/>
    <cellStyle name="Normal 2 2 2 2 4 18 7" xfId="13747" xr:uid="{00000000-0005-0000-0000-0000B3350000}"/>
    <cellStyle name="Normal 2 2 2 2 4 18 8" xfId="13748" xr:uid="{00000000-0005-0000-0000-0000B4350000}"/>
    <cellStyle name="Normal 2 2 2 2 4 18 9" xfId="13749" xr:uid="{00000000-0005-0000-0000-0000B5350000}"/>
    <cellStyle name="Normal 2 2 2 2 4 19" xfId="13750" xr:uid="{00000000-0005-0000-0000-0000B6350000}"/>
    <cellStyle name="Normal 2 2 2 2 4 19 10" xfId="13751" xr:uid="{00000000-0005-0000-0000-0000B7350000}"/>
    <cellStyle name="Normal 2 2 2 2 4 19 11" xfId="13752" xr:uid="{00000000-0005-0000-0000-0000B8350000}"/>
    <cellStyle name="Normal 2 2 2 2 4 19 12" xfId="13753" xr:uid="{00000000-0005-0000-0000-0000B9350000}"/>
    <cellStyle name="Normal 2 2 2 2 4 19 13" xfId="13754" xr:uid="{00000000-0005-0000-0000-0000BA350000}"/>
    <cellStyle name="Normal 2 2 2 2 4 19 14" xfId="13755" xr:uid="{00000000-0005-0000-0000-0000BB350000}"/>
    <cellStyle name="Normal 2 2 2 2 4 19 2" xfId="13756" xr:uid="{00000000-0005-0000-0000-0000BC350000}"/>
    <cellStyle name="Normal 2 2 2 2 4 19 2 10" xfId="13757" xr:uid="{00000000-0005-0000-0000-0000BD350000}"/>
    <cellStyle name="Normal 2 2 2 2 4 19 2 2" xfId="13758" xr:uid="{00000000-0005-0000-0000-0000BE350000}"/>
    <cellStyle name="Normal 2 2 2 2 4 19 2 3" xfId="13759" xr:uid="{00000000-0005-0000-0000-0000BF350000}"/>
    <cellStyle name="Normal 2 2 2 2 4 19 2 4" xfId="13760" xr:uid="{00000000-0005-0000-0000-0000C0350000}"/>
    <cellStyle name="Normal 2 2 2 2 4 19 2 5" xfId="13761" xr:uid="{00000000-0005-0000-0000-0000C1350000}"/>
    <cellStyle name="Normal 2 2 2 2 4 19 2 6" xfId="13762" xr:uid="{00000000-0005-0000-0000-0000C2350000}"/>
    <cellStyle name="Normal 2 2 2 2 4 19 2 7" xfId="13763" xr:uid="{00000000-0005-0000-0000-0000C3350000}"/>
    <cellStyle name="Normal 2 2 2 2 4 19 2 8" xfId="13764" xr:uid="{00000000-0005-0000-0000-0000C4350000}"/>
    <cellStyle name="Normal 2 2 2 2 4 19 2 9" xfId="13765" xr:uid="{00000000-0005-0000-0000-0000C5350000}"/>
    <cellStyle name="Normal 2 2 2 2 4 19 3" xfId="13766" xr:uid="{00000000-0005-0000-0000-0000C6350000}"/>
    <cellStyle name="Normal 2 2 2 2 4 19 3 10" xfId="13767" xr:uid="{00000000-0005-0000-0000-0000C7350000}"/>
    <cellStyle name="Normal 2 2 2 2 4 19 3 2" xfId="13768" xr:uid="{00000000-0005-0000-0000-0000C8350000}"/>
    <cellStyle name="Normal 2 2 2 2 4 19 3 3" xfId="13769" xr:uid="{00000000-0005-0000-0000-0000C9350000}"/>
    <cellStyle name="Normal 2 2 2 2 4 19 3 4" xfId="13770" xr:uid="{00000000-0005-0000-0000-0000CA350000}"/>
    <cellStyle name="Normal 2 2 2 2 4 19 3 5" xfId="13771" xr:uid="{00000000-0005-0000-0000-0000CB350000}"/>
    <cellStyle name="Normal 2 2 2 2 4 19 3 6" xfId="13772" xr:uid="{00000000-0005-0000-0000-0000CC350000}"/>
    <cellStyle name="Normal 2 2 2 2 4 19 3 7" xfId="13773" xr:uid="{00000000-0005-0000-0000-0000CD350000}"/>
    <cellStyle name="Normal 2 2 2 2 4 19 3 8" xfId="13774" xr:uid="{00000000-0005-0000-0000-0000CE350000}"/>
    <cellStyle name="Normal 2 2 2 2 4 19 3 9" xfId="13775" xr:uid="{00000000-0005-0000-0000-0000CF350000}"/>
    <cellStyle name="Normal 2 2 2 2 4 19 4" xfId="13776" xr:uid="{00000000-0005-0000-0000-0000D0350000}"/>
    <cellStyle name="Normal 2 2 2 2 4 19 4 10" xfId="13777" xr:uid="{00000000-0005-0000-0000-0000D1350000}"/>
    <cellStyle name="Normal 2 2 2 2 4 19 4 2" xfId="13778" xr:uid="{00000000-0005-0000-0000-0000D2350000}"/>
    <cellStyle name="Normal 2 2 2 2 4 19 4 3" xfId="13779" xr:uid="{00000000-0005-0000-0000-0000D3350000}"/>
    <cellStyle name="Normal 2 2 2 2 4 19 4 4" xfId="13780" xr:uid="{00000000-0005-0000-0000-0000D4350000}"/>
    <cellStyle name="Normal 2 2 2 2 4 19 4 5" xfId="13781" xr:uid="{00000000-0005-0000-0000-0000D5350000}"/>
    <cellStyle name="Normal 2 2 2 2 4 19 4 6" xfId="13782" xr:uid="{00000000-0005-0000-0000-0000D6350000}"/>
    <cellStyle name="Normal 2 2 2 2 4 19 4 7" xfId="13783" xr:uid="{00000000-0005-0000-0000-0000D7350000}"/>
    <cellStyle name="Normal 2 2 2 2 4 19 4 8" xfId="13784" xr:uid="{00000000-0005-0000-0000-0000D8350000}"/>
    <cellStyle name="Normal 2 2 2 2 4 19 4 9" xfId="13785" xr:uid="{00000000-0005-0000-0000-0000D9350000}"/>
    <cellStyle name="Normal 2 2 2 2 4 19 5" xfId="13786" xr:uid="{00000000-0005-0000-0000-0000DA350000}"/>
    <cellStyle name="Normal 2 2 2 2 4 19 5 10" xfId="13787" xr:uid="{00000000-0005-0000-0000-0000DB350000}"/>
    <cellStyle name="Normal 2 2 2 2 4 19 5 2" xfId="13788" xr:uid="{00000000-0005-0000-0000-0000DC350000}"/>
    <cellStyle name="Normal 2 2 2 2 4 19 5 3" xfId="13789" xr:uid="{00000000-0005-0000-0000-0000DD350000}"/>
    <cellStyle name="Normal 2 2 2 2 4 19 5 4" xfId="13790" xr:uid="{00000000-0005-0000-0000-0000DE350000}"/>
    <cellStyle name="Normal 2 2 2 2 4 19 5 5" xfId="13791" xr:uid="{00000000-0005-0000-0000-0000DF350000}"/>
    <cellStyle name="Normal 2 2 2 2 4 19 5 6" xfId="13792" xr:uid="{00000000-0005-0000-0000-0000E0350000}"/>
    <cellStyle name="Normal 2 2 2 2 4 19 5 7" xfId="13793" xr:uid="{00000000-0005-0000-0000-0000E1350000}"/>
    <cellStyle name="Normal 2 2 2 2 4 19 5 8" xfId="13794" xr:uid="{00000000-0005-0000-0000-0000E2350000}"/>
    <cellStyle name="Normal 2 2 2 2 4 19 5 9" xfId="13795" xr:uid="{00000000-0005-0000-0000-0000E3350000}"/>
    <cellStyle name="Normal 2 2 2 2 4 19 6" xfId="13796" xr:uid="{00000000-0005-0000-0000-0000E4350000}"/>
    <cellStyle name="Normal 2 2 2 2 4 19 7" xfId="13797" xr:uid="{00000000-0005-0000-0000-0000E5350000}"/>
    <cellStyle name="Normal 2 2 2 2 4 19 8" xfId="13798" xr:uid="{00000000-0005-0000-0000-0000E6350000}"/>
    <cellStyle name="Normal 2 2 2 2 4 19 9" xfId="13799" xr:uid="{00000000-0005-0000-0000-0000E7350000}"/>
    <cellStyle name="Normal 2 2 2 2 4 2" xfId="13800" xr:uid="{00000000-0005-0000-0000-0000E8350000}"/>
    <cellStyle name="Normal 2 2 2 2 4 2 10" xfId="13801" xr:uid="{00000000-0005-0000-0000-0000E9350000}"/>
    <cellStyle name="Normal 2 2 2 2 4 2 11" xfId="13802" xr:uid="{00000000-0005-0000-0000-0000EA350000}"/>
    <cellStyle name="Normal 2 2 2 2 4 2 12" xfId="13803" xr:uid="{00000000-0005-0000-0000-0000EB350000}"/>
    <cellStyle name="Normal 2 2 2 2 4 2 13" xfId="13804" xr:uid="{00000000-0005-0000-0000-0000EC350000}"/>
    <cellStyle name="Normal 2 2 2 2 4 2 14" xfId="13805" xr:uid="{00000000-0005-0000-0000-0000ED350000}"/>
    <cellStyle name="Normal 2 2 2 2 4 2 15" xfId="13806" xr:uid="{00000000-0005-0000-0000-0000EE350000}"/>
    <cellStyle name="Normal 2 2 2 2 4 2 16" xfId="13807" xr:uid="{00000000-0005-0000-0000-0000EF350000}"/>
    <cellStyle name="Normal 2 2 2 2 4 2 17" xfId="13808" xr:uid="{00000000-0005-0000-0000-0000F0350000}"/>
    <cellStyle name="Normal 2 2 2 2 4 2 18" xfId="13809" xr:uid="{00000000-0005-0000-0000-0000F1350000}"/>
    <cellStyle name="Normal 2 2 2 2 4 2 19" xfId="13810" xr:uid="{00000000-0005-0000-0000-0000F2350000}"/>
    <cellStyle name="Normal 2 2 2 2 4 2 2" xfId="13811" xr:uid="{00000000-0005-0000-0000-0000F3350000}"/>
    <cellStyle name="Normal 2 2 2 2 4 2 2 10" xfId="13812" xr:uid="{00000000-0005-0000-0000-0000F4350000}"/>
    <cellStyle name="Normal 2 2 2 2 4 2 2 10 10" xfId="13813" xr:uid="{00000000-0005-0000-0000-0000F5350000}"/>
    <cellStyle name="Normal 2 2 2 2 4 2 2 10 11" xfId="13814" xr:uid="{00000000-0005-0000-0000-0000F6350000}"/>
    <cellStyle name="Normal 2 2 2 2 4 2 2 10 12" xfId="13815" xr:uid="{00000000-0005-0000-0000-0000F7350000}"/>
    <cellStyle name="Normal 2 2 2 2 4 2 2 10 13" xfId="13816" xr:uid="{00000000-0005-0000-0000-0000F8350000}"/>
    <cellStyle name="Normal 2 2 2 2 4 2 2 10 14" xfId="13817" xr:uid="{00000000-0005-0000-0000-0000F9350000}"/>
    <cellStyle name="Normal 2 2 2 2 4 2 2 10 2" xfId="13818" xr:uid="{00000000-0005-0000-0000-0000FA350000}"/>
    <cellStyle name="Normal 2 2 2 2 4 2 2 10 2 10" xfId="13819" xr:uid="{00000000-0005-0000-0000-0000FB350000}"/>
    <cellStyle name="Normal 2 2 2 2 4 2 2 10 2 2" xfId="13820" xr:uid="{00000000-0005-0000-0000-0000FC350000}"/>
    <cellStyle name="Normal 2 2 2 2 4 2 2 10 2 3" xfId="13821" xr:uid="{00000000-0005-0000-0000-0000FD350000}"/>
    <cellStyle name="Normal 2 2 2 2 4 2 2 10 2 4" xfId="13822" xr:uid="{00000000-0005-0000-0000-0000FE350000}"/>
    <cellStyle name="Normal 2 2 2 2 4 2 2 10 2 5" xfId="13823" xr:uid="{00000000-0005-0000-0000-0000FF350000}"/>
    <cellStyle name="Normal 2 2 2 2 4 2 2 10 2 6" xfId="13824" xr:uid="{00000000-0005-0000-0000-000000360000}"/>
    <cellStyle name="Normal 2 2 2 2 4 2 2 10 2 7" xfId="13825" xr:uid="{00000000-0005-0000-0000-000001360000}"/>
    <cellStyle name="Normal 2 2 2 2 4 2 2 10 2 8" xfId="13826" xr:uid="{00000000-0005-0000-0000-000002360000}"/>
    <cellStyle name="Normal 2 2 2 2 4 2 2 10 2 9" xfId="13827" xr:uid="{00000000-0005-0000-0000-000003360000}"/>
    <cellStyle name="Normal 2 2 2 2 4 2 2 10 3" xfId="13828" xr:uid="{00000000-0005-0000-0000-000004360000}"/>
    <cellStyle name="Normal 2 2 2 2 4 2 2 10 3 10" xfId="13829" xr:uid="{00000000-0005-0000-0000-000005360000}"/>
    <cellStyle name="Normal 2 2 2 2 4 2 2 10 3 2" xfId="13830" xr:uid="{00000000-0005-0000-0000-000006360000}"/>
    <cellStyle name="Normal 2 2 2 2 4 2 2 10 3 3" xfId="13831" xr:uid="{00000000-0005-0000-0000-000007360000}"/>
    <cellStyle name="Normal 2 2 2 2 4 2 2 10 3 4" xfId="13832" xr:uid="{00000000-0005-0000-0000-000008360000}"/>
    <cellStyle name="Normal 2 2 2 2 4 2 2 10 3 5" xfId="13833" xr:uid="{00000000-0005-0000-0000-000009360000}"/>
    <cellStyle name="Normal 2 2 2 2 4 2 2 10 3 6" xfId="13834" xr:uid="{00000000-0005-0000-0000-00000A360000}"/>
    <cellStyle name="Normal 2 2 2 2 4 2 2 10 3 7" xfId="13835" xr:uid="{00000000-0005-0000-0000-00000B360000}"/>
    <cellStyle name="Normal 2 2 2 2 4 2 2 10 3 8" xfId="13836" xr:uid="{00000000-0005-0000-0000-00000C360000}"/>
    <cellStyle name="Normal 2 2 2 2 4 2 2 10 3 9" xfId="13837" xr:uid="{00000000-0005-0000-0000-00000D360000}"/>
    <cellStyle name="Normal 2 2 2 2 4 2 2 10 4" xfId="13838" xr:uid="{00000000-0005-0000-0000-00000E360000}"/>
    <cellStyle name="Normal 2 2 2 2 4 2 2 10 4 10" xfId="13839" xr:uid="{00000000-0005-0000-0000-00000F360000}"/>
    <cellStyle name="Normal 2 2 2 2 4 2 2 10 4 2" xfId="13840" xr:uid="{00000000-0005-0000-0000-000010360000}"/>
    <cellStyle name="Normal 2 2 2 2 4 2 2 10 4 3" xfId="13841" xr:uid="{00000000-0005-0000-0000-000011360000}"/>
    <cellStyle name="Normal 2 2 2 2 4 2 2 10 4 4" xfId="13842" xr:uid="{00000000-0005-0000-0000-000012360000}"/>
    <cellStyle name="Normal 2 2 2 2 4 2 2 10 4 5" xfId="13843" xr:uid="{00000000-0005-0000-0000-000013360000}"/>
    <cellStyle name="Normal 2 2 2 2 4 2 2 10 4 6" xfId="13844" xr:uid="{00000000-0005-0000-0000-000014360000}"/>
    <cellStyle name="Normal 2 2 2 2 4 2 2 10 4 7" xfId="13845" xr:uid="{00000000-0005-0000-0000-000015360000}"/>
    <cellStyle name="Normal 2 2 2 2 4 2 2 10 4 8" xfId="13846" xr:uid="{00000000-0005-0000-0000-000016360000}"/>
    <cellStyle name="Normal 2 2 2 2 4 2 2 10 4 9" xfId="13847" xr:uid="{00000000-0005-0000-0000-000017360000}"/>
    <cellStyle name="Normal 2 2 2 2 4 2 2 10 5" xfId="13848" xr:uid="{00000000-0005-0000-0000-000018360000}"/>
    <cellStyle name="Normal 2 2 2 2 4 2 2 10 5 10" xfId="13849" xr:uid="{00000000-0005-0000-0000-000019360000}"/>
    <cellStyle name="Normal 2 2 2 2 4 2 2 10 5 2" xfId="13850" xr:uid="{00000000-0005-0000-0000-00001A360000}"/>
    <cellStyle name="Normal 2 2 2 2 4 2 2 10 5 3" xfId="13851" xr:uid="{00000000-0005-0000-0000-00001B360000}"/>
    <cellStyle name="Normal 2 2 2 2 4 2 2 10 5 4" xfId="13852" xr:uid="{00000000-0005-0000-0000-00001C360000}"/>
    <cellStyle name="Normal 2 2 2 2 4 2 2 10 5 5" xfId="13853" xr:uid="{00000000-0005-0000-0000-00001D360000}"/>
    <cellStyle name="Normal 2 2 2 2 4 2 2 10 5 6" xfId="13854" xr:uid="{00000000-0005-0000-0000-00001E360000}"/>
    <cellStyle name="Normal 2 2 2 2 4 2 2 10 5 7" xfId="13855" xr:uid="{00000000-0005-0000-0000-00001F360000}"/>
    <cellStyle name="Normal 2 2 2 2 4 2 2 10 5 8" xfId="13856" xr:uid="{00000000-0005-0000-0000-000020360000}"/>
    <cellStyle name="Normal 2 2 2 2 4 2 2 10 5 9" xfId="13857" xr:uid="{00000000-0005-0000-0000-000021360000}"/>
    <cellStyle name="Normal 2 2 2 2 4 2 2 10 6" xfId="13858" xr:uid="{00000000-0005-0000-0000-000022360000}"/>
    <cellStyle name="Normal 2 2 2 2 4 2 2 10 7" xfId="13859" xr:uid="{00000000-0005-0000-0000-000023360000}"/>
    <cellStyle name="Normal 2 2 2 2 4 2 2 10 8" xfId="13860" xr:uid="{00000000-0005-0000-0000-000024360000}"/>
    <cellStyle name="Normal 2 2 2 2 4 2 2 10 9" xfId="13861" xr:uid="{00000000-0005-0000-0000-000025360000}"/>
    <cellStyle name="Normal 2 2 2 2 4 2 2 11" xfId="13862" xr:uid="{00000000-0005-0000-0000-000026360000}"/>
    <cellStyle name="Normal 2 2 2 2 4 2 2 11 10" xfId="13863" xr:uid="{00000000-0005-0000-0000-000027360000}"/>
    <cellStyle name="Normal 2 2 2 2 4 2 2 11 11" xfId="13864" xr:uid="{00000000-0005-0000-0000-000028360000}"/>
    <cellStyle name="Normal 2 2 2 2 4 2 2 11 12" xfId="13865" xr:uid="{00000000-0005-0000-0000-000029360000}"/>
    <cellStyle name="Normal 2 2 2 2 4 2 2 11 13" xfId="13866" xr:uid="{00000000-0005-0000-0000-00002A360000}"/>
    <cellStyle name="Normal 2 2 2 2 4 2 2 11 14" xfId="13867" xr:uid="{00000000-0005-0000-0000-00002B360000}"/>
    <cellStyle name="Normal 2 2 2 2 4 2 2 11 2" xfId="13868" xr:uid="{00000000-0005-0000-0000-00002C360000}"/>
    <cellStyle name="Normal 2 2 2 2 4 2 2 11 2 10" xfId="13869" xr:uid="{00000000-0005-0000-0000-00002D360000}"/>
    <cellStyle name="Normal 2 2 2 2 4 2 2 11 2 2" xfId="13870" xr:uid="{00000000-0005-0000-0000-00002E360000}"/>
    <cellStyle name="Normal 2 2 2 2 4 2 2 11 2 3" xfId="13871" xr:uid="{00000000-0005-0000-0000-00002F360000}"/>
    <cellStyle name="Normal 2 2 2 2 4 2 2 11 2 4" xfId="13872" xr:uid="{00000000-0005-0000-0000-000030360000}"/>
    <cellStyle name="Normal 2 2 2 2 4 2 2 11 2 5" xfId="13873" xr:uid="{00000000-0005-0000-0000-000031360000}"/>
    <cellStyle name="Normal 2 2 2 2 4 2 2 11 2 6" xfId="13874" xr:uid="{00000000-0005-0000-0000-000032360000}"/>
    <cellStyle name="Normal 2 2 2 2 4 2 2 11 2 7" xfId="13875" xr:uid="{00000000-0005-0000-0000-000033360000}"/>
    <cellStyle name="Normal 2 2 2 2 4 2 2 11 2 8" xfId="13876" xr:uid="{00000000-0005-0000-0000-000034360000}"/>
    <cellStyle name="Normal 2 2 2 2 4 2 2 11 2 9" xfId="13877" xr:uid="{00000000-0005-0000-0000-000035360000}"/>
    <cellStyle name="Normal 2 2 2 2 4 2 2 11 3" xfId="13878" xr:uid="{00000000-0005-0000-0000-000036360000}"/>
    <cellStyle name="Normal 2 2 2 2 4 2 2 11 3 10" xfId="13879" xr:uid="{00000000-0005-0000-0000-000037360000}"/>
    <cellStyle name="Normal 2 2 2 2 4 2 2 11 3 2" xfId="13880" xr:uid="{00000000-0005-0000-0000-000038360000}"/>
    <cellStyle name="Normal 2 2 2 2 4 2 2 11 3 3" xfId="13881" xr:uid="{00000000-0005-0000-0000-000039360000}"/>
    <cellStyle name="Normal 2 2 2 2 4 2 2 11 3 4" xfId="13882" xr:uid="{00000000-0005-0000-0000-00003A360000}"/>
    <cellStyle name="Normal 2 2 2 2 4 2 2 11 3 5" xfId="13883" xr:uid="{00000000-0005-0000-0000-00003B360000}"/>
    <cellStyle name="Normal 2 2 2 2 4 2 2 11 3 6" xfId="13884" xr:uid="{00000000-0005-0000-0000-00003C360000}"/>
    <cellStyle name="Normal 2 2 2 2 4 2 2 11 3 7" xfId="13885" xr:uid="{00000000-0005-0000-0000-00003D360000}"/>
    <cellStyle name="Normal 2 2 2 2 4 2 2 11 3 8" xfId="13886" xr:uid="{00000000-0005-0000-0000-00003E360000}"/>
    <cellStyle name="Normal 2 2 2 2 4 2 2 11 3 9" xfId="13887" xr:uid="{00000000-0005-0000-0000-00003F360000}"/>
    <cellStyle name="Normal 2 2 2 2 4 2 2 11 4" xfId="13888" xr:uid="{00000000-0005-0000-0000-000040360000}"/>
    <cellStyle name="Normal 2 2 2 2 4 2 2 11 4 10" xfId="13889" xr:uid="{00000000-0005-0000-0000-000041360000}"/>
    <cellStyle name="Normal 2 2 2 2 4 2 2 11 4 2" xfId="13890" xr:uid="{00000000-0005-0000-0000-000042360000}"/>
    <cellStyle name="Normal 2 2 2 2 4 2 2 11 4 3" xfId="13891" xr:uid="{00000000-0005-0000-0000-000043360000}"/>
    <cellStyle name="Normal 2 2 2 2 4 2 2 11 4 4" xfId="13892" xr:uid="{00000000-0005-0000-0000-000044360000}"/>
    <cellStyle name="Normal 2 2 2 2 4 2 2 11 4 5" xfId="13893" xr:uid="{00000000-0005-0000-0000-000045360000}"/>
    <cellStyle name="Normal 2 2 2 2 4 2 2 11 4 6" xfId="13894" xr:uid="{00000000-0005-0000-0000-000046360000}"/>
    <cellStyle name="Normal 2 2 2 2 4 2 2 11 4 7" xfId="13895" xr:uid="{00000000-0005-0000-0000-000047360000}"/>
    <cellStyle name="Normal 2 2 2 2 4 2 2 11 4 8" xfId="13896" xr:uid="{00000000-0005-0000-0000-000048360000}"/>
    <cellStyle name="Normal 2 2 2 2 4 2 2 11 4 9" xfId="13897" xr:uid="{00000000-0005-0000-0000-000049360000}"/>
    <cellStyle name="Normal 2 2 2 2 4 2 2 11 5" xfId="13898" xr:uid="{00000000-0005-0000-0000-00004A360000}"/>
    <cellStyle name="Normal 2 2 2 2 4 2 2 11 5 10" xfId="13899" xr:uid="{00000000-0005-0000-0000-00004B360000}"/>
    <cellStyle name="Normal 2 2 2 2 4 2 2 11 5 2" xfId="13900" xr:uid="{00000000-0005-0000-0000-00004C360000}"/>
    <cellStyle name="Normal 2 2 2 2 4 2 2 11 5 3" xfId="13901" xr:uid="{00000000-0005-0000-0000-00004D360000}"/>
    <cellStyle name="Normal 2 2 2 2 4 2 2 11 5 4" xfId="13902" xr:uid="{00000000-0005-0000-0000-00004E360000}"/>
    <cellStyle name="Normal 2 2 2 2 4 2 2 11 5 5" xfId="13903" xr:uid="{00000000-0005-0000-0000-00004F360000}"/>
    <cellStyle name="Normal 2 2 2 2 4 2 2 11 5 6" xfId="13904" xr:uid="{00000000-0005-0000-0000-000050360000}"/>
    <cellStyle name="Normal 2 2 2 2 4 2 2 11 5 7" xfId="13905" xr:uid="{00000000-0005-0000-0000-000051360000}"/>
    <cellStyle name="Normal 2 2 2 2 4 2 2 11 5 8" xfId="13906" xr:uid="{00000000-0005-0000-0000-000052360000}"/>
    <cellStyle name="Normal 2 2 2 2 4 2 2 11 5 9" xfId="13907" xr:uid="{00000000-0005-0000-0000-000053360000}"/>
    <cellStyle name="Normal 2 2 2 2 4 2 2 11 6" xfId="13908" xr:uid="{00000000-0005-0000-0000-000054360000}"/>
    <cellStyle name="Normal 2 2 2 2 4 2 2 11 7" xfId="13909" xr:uid="{00000000-0005-0000-0000-000055360000}"/>
    <cellStyle name="Normal 2 2 2 2 4 2 2 11 8" xfId="13910" xr:uid="{00000000-0005-0000-0000-000056360000}"/>
    <cellStyle name="Normal 2 2 2 2 4 2 2 11 9" xfId="13911" xr:uid="{00000000-0005-0000-0000-000057360000}"/>
    <cellStyle name="Normal 2 2 2 2 4 2 2 12" xfId="13912" xr:uid="{00000000-0005-0000-0000-000058360000}"/>
    <cellStyle name="Normal 2 2 2 2 4 2 2 12 10" xfId="13913" xr:uid="{00000000-0005-0000-0000-000059360000}"/>
    <cellStyle name="Normal 2 2 2 2 4 2 2 12 11" xfId="13914" xr:uid="{00000000-0005-0000-0000-00005A360000}"/>
    <cellStyle name="Normal 2 2 2 2 4 2 2 12 12" xfId="13915" xr:uid="{00000000-0005-0000-0000-00005B360000}"/>
    <cellStyle name="Normal 2 2 2 2 4 2 2 12 13" xfId="13916" xr:uid="{00000000-0005-0000-0000-00005C360000}"/>
    <cellStyle name="Normal 2 2 2 2 4 2 2 12 14" xfId="13917" xr:uid="{00000000-0005-0000-0000-00005D360000}"/>
    <cellStyle name="Normal 2 2 2 2 4 2 2 12 2" xfId="13918" xr:uid="{00000000-0005-0000-0000-00005E360000}"/>
    <cellStyle name="Normal 2 2 2 2 4 2 2 12 2 10" xfId="13919" xr:uid="{00000000-0005-0000-0000-00005F360000}"/>
    <cellStyle name="Normal 2 2 2 2 4 2 2 12 2 2" xfId="13920" xr:uid="{00000000-0005-0000-0000-000060360000}"/>
    <cellStyle name="Normal 2 2 2 2 4 2 2 12 2 3" xfId="13921" xr:uid="{00000000-0005-0000-0000-000061360000}"/>
    <cellStyle name="Normal 2 2 2 2 4 2 2 12 2 4" xfId="13922" xr:uid="{00000000-0005-0000-0000-000062360000}"/>
    <cellStyle name="Normal 2 2 2 2 4 2 2 12 2 5" xfId="13923" xr:uid="{00000000-0005-0000-0000-000063360000}"/>
    <cellStyle name="Normal 2 2 2 2 4 2 2 12 2 6" xfId="13924" xr:uid="{00000000-0005-0000-0000-000064360000}"/>
    <cellStyle name="Normal 2 2 2 2 4 2 2 12 2 7" xfId="13925" xr:uid="{00000000-0005-0000-0000-000065360000}"/>
    <cellStyle name="Normal 2 2 2 2 4 2 2 12 2 8" xfId="13926" xr:uid="{00000000-0005-0000-0000-000066360000}"/>
    <cellStyle name="Normal 2 2 2 2 4 2 2 12 2 9" xfId="13927" xr:uid="{00000000-0005-0000-0000-000067360000}"/>
    <cellStyle name="Normal 2 2 2 2 4 2 2 12 3" xfId="13928" xr:uid="{00000000-0005-0000-0000-000068360000}"/>
    <cellStyle name="Normal 2 2 2 2 4 2 2 12 3 10" xfId="13929" xr:uid="{00000000-0005-0000-0000-000069360000}"/>
    <cellStyle name="Normal 2 2 2 2 4 2 2 12 3 2" xfId="13930" xr:uid="{00000000-0005-0000-0000-00006A360000}"/>
    <cellStyle name="Normal 2 2 2 2 4 2 2 12 3 3" xfId="13931" xr:uid="{00000000-0005-0000-0000-00006B360000}"/>
    <cellStyle name="Normal 2 2 2 2 4 2 2 12 3 4" xfId="13932" xr:uid="{00000000-0005-0000-0000-00006C360000}"/>
    <cellStyle name="Normal 2 2 2 2 4 2 2 12 3 5" xfId="13933" xr:uid="{00000000-0005-0000-0000-00006D360000}"/>
    <cellStyle name="Normal 2 2 2 2 4 2 2 12 3 6" xfId="13934" xr:uid="{00000000-0005-0000-0000-00006E360000}"/>
    <cellStyle name="Normal 2 2 2 2 4 2 2 12 3 7" xfId="13935" xr:uid="{00000000-0005-0000-0000-00006F360000}"/>
    <cellStyle name="Normal 2 2 2 2 4 2 2 12 3 8" xfId="13936" xr:uid="{00000000-0005-0000-0000-000070360000}"/>
    <cellStyle name="Normal 2 2 2 2 4 2 2 12 3 9" xfId="13937" xr:uid="{00000000-0005-0000-0000-000071360000}"/>
    <cellStyle name="Normal 2 2 2 2 4 2 2 12 4" xfId="13938" xr:uid="{00000000-0005-0000-0000-000072360000}"/>
    <cellStyle name="Normal 2 2 2 2 4 2 2 12 4 10" xfId="13939" xr:uid="{00000000-0005-0000-0000-000073360000}"/>
    <cellStyle name="Normal 2 2 2 2 4 2 2 12 4 2" xfId="13940" xr:uid="{00000000-0005-0000-0000-000074360000}"/>
    <cellStyle name="Normal 2 2 2 2 4 2 2 12 4 3" xfId="13941" xr:uid="{00000000-0005-0000-0000-000075360000}"/>
    <cellStyle name="Normal 2 2 2 2 4 2 2 12 4 4" xfId="13942" xr:uid="{00000000-0005-0000-0000-000076360000}"/>
    <cellStyle name="Normal 2 2 2 2 4 2 2 12 4 5" xfId="13943" xr:uid="{00000000-0005-0000-0000-000077360000}"/>
    <cellStyle name="Normal 2 2 2 2 4 2 2 12 4 6" xfId="13944" xr:uid="{00000000-0005-0000-0000-000078360000}"/>
    <cellStyle name="Normal 2 2 2 2 4 2 2 12 4 7" xfId="13945" xr:uid="{00000000-0005-0000-0000-000079360000}"/>
    <cellStyle name="Normal 2 2 2 2 4 2 2 12 4 8" xfId="13946" xr:uid="{00000000-0005-0000-0000-00007A360000}"/>
    <cellStyle name="Normal 2 2 2 2 4 2 2 12 4 9" xfId="13947" xr:uid="{00000000-0005-0000-0000-00007B360000}"/>
    <cellStyle name="Normal 2 2 2 2 4 2 2 12 5" xfId="13948" xr:uid="{00000000-0005-0000-0000-00007C360000}"/>
    <cellStyle name="Normal 2 2 2 2 4 2 2 12 5 10" xfId="13949" xr:uid="{00000000-0005-0000-0000-00007D360000}"/>
    <cellStyle name="Normal 2 2 2 2 4 2 2 12 5 2" xfId="13950" xr:uid="{00000000-0005-0000-0000-00007E360000}"/>
    <cellStyle name="Normal 2 2 2 2 4 2 2 12 5 3" xfId="13951" xr:uid="{00000000-0005-0000-0000-00007F360000}"/>
    <cellStyle name="Normal 2 2 2 2 4 2 2 12 5 4" xfId="13952" xr:uid="{00000000-0005-0000-0000-000080360000}"/>
    <cellStyle name="Normal 2 2 2 2 4 2 2 12 5 5" xfId="13953" xr:uid="{00000000-0005-0000-0000-000081360000}"/>
    <cellStyle name="Normal 2 2 2 2 4 2 2 12 5 6" xfId="13954" xr:uid="{00000000-0005-0000-0000-000082360000}"/>
    <cellStyle name="Normal 2 2 2 2 4 2 2 12 5 7" xfId="13955" xr:uid="{00000000-0005-0000-0000-000083360000}"/>
    <cellStyle name="Normal 2 2 2 2 4 2 2 12 5 8" xfId="13956" xr:uid="{00000000-0005-0000-0000-000084360000}"/>
    <cellStyle name="Normal 2 2 2 2 4 2 2 12 5 9" xfId="13957" xr:uid="{00000000-0005-0000-0000-000085360000}"/>
    <cellStyle name="Normal 2 2 2 2 4 2 2 12 6" xfId="13958" xr:uid="{00000000-0005-0000-0000-000086360000}"/>
    <cellStyle name="Normal 2 2 2 2 4 2 2 12 7" xfId="13959" xr:uid="{00000000-0005-0000-0000-000087360000}"/>
    <cellStyle name="Normal 2 2 2 2 4 2 2 12 8" xfId="13960" xr:uid="{00000000-0005-0000-0000-000088360000}"/>
    <cellStyle name="Normal 2 2 2 2 4 2 2 12 9" xfId="13961" xr:uid="{00000000-0005-0000-0000-000089360000}"/>
    <cellStyle name="Normal 2 2 2 2 4 2 2 13" xfId="13962" xr:uid="{00000000-0005-0000-0000-00008A360000}"/>
    <cellStyle name="Normal 2 2 2 2 4 2 2 13 10" xfId="13963" xr:uid="{00000000-0005-0000-0000-00008B360000}"/>
    <cellStyle name="Normal 2 2 2 2 4 2 2 13 11" xfId="13964" xr:uid="{00000000-0005-0000-0000-00008C360000}"/>
    <cellStyle name="Normal 2 2 2 2 4 2 2 13 12" xfId="13965" xr:uid="{00000000-0005-0000-0000-00008D360000}"/>
    <cellStyle name="Normal 2 2 2 2 4 2 2 13 13" xfId="13966" xr:uid="{00000000-0005-0000-0000-00008E360000}"/>
    <cellStyle name="Normal 2 2 2 2 4 2 2 13 14" xfId="13967" xr:uid="{00000000-0005-0000-0000-00008F360000}"/>
    <cellStyle name="Normal 2 2 2 2 4 2 2 13 2" xfId="13968" xr:uid="{00000000-0005-0000-0000-000090360000}"/>
    <cellStyle name="Normal 2 2 2 2 4 2 2 13 2 10" xfId="13969" xr:uid="{00000000-0005-0000-0000-000091360000}"/>
    <cellStyle name="Normal 2 2 2 2 4 2 2 13 2 2" xfId="13970" xr:uid="{00000000-0005-0000-0000-000092360000}"/>
    <cellStyle name="Normal 2 2 2 2 4 2 2 13 2 3" xfId="13971" xr:uid="{00000000-0005-0000-0000-000093360000}"/>
    <cellStyle name="Normal 2 2 2 2 4 2 2 13 2 4" xfId="13972" xr:uid="{00000000-0005-0000-0000-000094360000}"/>
    <cellStyle name="Normal 2 2 2 2 4 2 2 13 2 5" xfId="13973" xr:uid="{00000000-0005-0000-0000-000095360000}"/>
    <cellStyle name="Normal 2 2 2 2 4 2 2 13 2 6" xfId="13974" xr:uid="{00000000-0005-0000-0000-000096360000}"/>
    <cellStyle name="Normal 2 2 2 2 4 2 2 13 2 7" xfId="13975" xr:uid="{00000000-0005-0000-0000-000097360000}"/>
    <cellStyle name="Normal 2 2 2 2 4 2 2 13 2 8" xfId="13976" xr:uid="{00000000-0005-0000-0000-000098360000}"/>
    <cellStyle name="Normal 2 2 2 2 4 2 2 13 2 9" xfId="13977" xr:uid="{00000000-0005-0000-0000-000099360000}"/>
    <cellStyle name="Normal 2 2 2 2 4 2 2 13 3" xfId="13978" xr:uid="{00000000-0005-0000-0000-00009A360000}"/>
    <cellStyle name="Normal 2 2 2 2 4 2 2 13 3 10" xfId="13979" xr:uid="{00000000-0005-0000-0000-00009B360000}"/>
    <cellStyle name="Normal 2 2 2 2 4 2 2 13 3 2" xfId="13980" xr:uid="{00000000-0005-0000-0000-00009C360000}"/>
    <cellStyle name="Normal 2 2 2 2 4 2 2 13 3 3" xfId="13981" xr:uid="{00000000-0005-0000-0000-00009D360000}"/>
    <cellStyle name="Normal 2 2 2 2 4 2 2 13 3 4" xfId="13982" xr:uid="{00000000-0005-0000-0000-00009E360000}"/>
    <cellStyle name="Normal 2 2 2 2 4 2 2 13 3 5" xfId="13983" xr:uid="{00000000-0005-0000-0000-00009F360000}"/>
    <cellStyle name="Normal 2 2 2 2 4 2 2 13 3 6" xfId="13984" xr:uid="{00000000-0005-0000-0000-0000A0360000}"/>
    <cellStyle name="Normal 2 2 2 2 4 2 2 13 3 7" xfId="13985" xr:uid="{00000000-0005-0000-0000-0000A1360000}"/>
    <cellStyle name="Normal 2 2 2 2 4 2 2 13 3 8" xfId="13986" xr:uid="{00000000-0005-0000-0000-0000A2360000}"/>
    <cellStyle name="Normal 2 2 2 2 4 2 2 13 3 9" xfId="13987" xr:uid="{00000000-0005-0000-0000-0000A3360000}"/>
    <cellStyle name="Normal 2 2 2 2 4 2 2 13 4" xfId="13988" xr:uid="{00000000-0005-0000-0000-0000A4360000}"/>
    <cellStyle name="Normal 2 2 2 2 4 2 2 13 4 10" xfId="13989" xr:uid="{00000000-0005-0000-0000-0000A5360000}"/>
    <cellStyle name="Normal 2 2 2 2 4 2 2 13 4 2" xfId="13990" xr:uid="{00000000-0005-0000-0000-0000A6360000}"/>
    <cellStyle name="Normal 2 2 2 2 4 2 2 13 4 3" xfId="13991" xr:uid="{00000000-0005-0000-0000-0000A7360000}"/>
    <cellStyle name="Normal 2 2 2 2 4 2 2 13 4 4" xfId="13992" xr:uid="{00000000-0005-0000-0000-0000A8360000}"/>
    <cellStyle name="Normal 2 2 2 2 4 2 2 13 4 5" xfId="13993" xr:uid="{00000000-0005-0000-0000-0000A9360000}"/>
    <cellStyle name="Normal 2 2 2 2 4 2 2 13 4 6" xfId="13994" xr:uid="{00000000-0005-0000-0000-0000AA360000}"/>
    <cellStyle name="Normal 2 2 2 2 4 2 2 13 4 7" xfId="13995" xr:uid="{00000000-0005-0000-0000-0000AB360000}"/>
    <cellStyle name="Normal 2 2 2 2 4 2 2 13 4 8" xfId="13996" xr:uid="{00000000-0005-0000-0000-0000AC360000}"/>
    <cellStyle name="Normal 2 2 2 2 4 2 2 13 4 9" xfId="13997" xr:uid="{00000000-0005-0000-0000-0000AD360000}"/>
    <cellStyle name="Normal 2 2 2 2 4 2 2 13 5" xfId="13998" xr:uid="{00000000-0005-0000-0000-0000AE360000}"/>
    <cellStyle name="Normal 2 2 2 2 4 2 2 13 5 10" xfId="13999" xr:uid="{00000000-0005-0000-0000-0000AF360000}"/>
    <cellStyle name="Normal 2 2 2 2 4 2 2 13 5 2" xfId="14000" xr:uid="{00000000-0005-0000-0000-0000B0360000}"/>
    <cellStyle name="Normal 2 2 2 2 4 2 2 13 5 3" xfId="14001" xr:uid="{00000000-0005-0000-0000-0000B1360000}"/>
    <cellStyle name="Normal 2 2 2 2 4 2 2 13 5 4" xfId="14002" xr:uid="{00000000-0005-0000-0000-0000B2360000}"/>
    <cellStyle name="Normal 2 2 2 2 4 2 2 13 5 5" xfId="14003" xr:uid="{00000000-0005-0000-0000-0000B3360000}"/>
    <cellStyle name="Normal 2 2 2 2 4 2 2 13 5 6" xfId="14004" xr:uid="{00000000-0005-0000-0000-0000B4360000}"/>
    <cellStyle name="Normal 2 2 2 2 4 2 2 13 5 7" xfId="14005" xr:uid="{00000000-0005-0000-0000-0000B5360000}"/>
    <cellStyle name="Normal 2 2 2 2 4 2 2 13 5 8" xfId="14006" xr:uid="{00000000-0005-0000-0000-0000B6360000}"/>
    <cellStyle name="Normal 2 2 2 2 4 2 2 13 5 9" xfId="14007" xr:uid="{00000000-0005-0000-0000-0000B7360000}"/>
    <cellStyle name="Normal 2 2 2 2 4 2 2 13 6" xfId="14008" xr:uid="{00000000-0005-0000-0000-0000B8360000}"/>
    <cellStyle name="Normal 2 2 2 2 4 2 2 13 7" xfId="14009" xr:uid="{00000000-0005-0000-0000-0000B9360000}"/>
    <cellStyle name="Normal 2 2 2 2 4 2 2 13 8" xfId="14010" xr:uid="{00000000-0005-0000-0000-0000BA360000}"/>
    <cellStyle name="Normal 2 2 2 2 4 2 2 13 9" xfId="14011" xr:uid="{00000000-0005-0000-0000-0000BB360000}"/>
    <cellStyle name="Normal 2 2 2 2 4 2 2 14" xfId="14012" xr:uid="{00000000-0005-0000-0000-0000BC360000}"/>
    <cellStyle name="Normal 2 2 2 2 4 2 2 14 10" xfId="14013" xr:uid="{00000000-0005-0000-0000-0000BD360000}"/>
    <cellStyle name="Normal 2 2 2 2 4 2 2 14 11" xfId="14014" xr:uid="{00000000-0005-0000-0000-0000BE360000}"/>
    <cellStyle name="Normal 2 2 2 2 4 2 2 14 12" xfId="14015" xr:uid="{00000000-0005-0000-0000-0000BF360000}"/>
    <cellStyle name="Normal 2 2 2 2 4 2 2 14 13" xfId="14016" xr:uid="{00000000-0005-0000-0000-0000C0360000}"/>
    <cellStyle name="Normal 2 2 2 2 4 2 2 14 14" xfId="14017" xr:uid="{00000000-0005-0000-0000-0000C1360000}"/>
    <cellStyle name="Normal 2 2 2 2 4 2 2 14 2" xfId="14018" xr:uid="{00000000-0005-0000-0000-0000C2360000}"/>
    <cellStyle name="Normal 2 2 2 2 4 2 2 14 2 10" xfId="14019" xr:uid="{00000000-0005-0000-0000-0000C3360000}"/>
    <cellStyle name="Normal 2 2 2 2 4 2 2 14 2 2" xfId="14020" xr:uid="{00000000-0005-0000-0000-0000C4360000}"/>
    <cellStyle name="Normal 2 2 2 2 4 2 2 14 2 3" xfId="14021" xr:uid="{00000000-0005-0000-0000-0000C5360000}"/>
    <cellStyle name="Normal 2 2 2 2 4 2 2 14 2 4" xfId="14022" xr:uid="{00000000-0005-0000-0000-0000C6360000}"/>
    <cellStyle name="Normal 2 2 2 2 4 2 2 14 2 5" xfId="14023" xr:uid="{00000000-0005-0000-0000-0000C7360000}"/>
    <cellStyle name="Normal 2 2 2 2 4 2 2 14 2 6" xfId="14024" xr:uid="{00000000-0005-0000-0000-0000C8360000}"/>
    <cellStyle name="Normal 2 2 2 2 4 2 2 14 2 7" xfId="14025" xr:uid="{00000000-0005-0000-0000-0000C9360000}"/>
    <cellStyle name="Normal 2 2 2 2 4 2 2 14 2 8" xfId="14026" xr:uid="{00000000-0005-0000-0000-0000CA360000}"/>
    <cellStyle name="Normal 2 2 2 2 4 2 2 14 2 9" xfId="14027" xr:uid="{00000000-0005-0000-0000-0000CB360000}"/>
    <cellStyle name="Normal 2 2 2 2 4 2 2 14 3" xfId="14028" xr:uid="{00000000-0005-0000-0000-0000CC360000}"/>
    <cellStyle name="Normal 2 2 2 2 4 2 2 14 3 10" xfId="14029" xr:uid="{00000000-0005-0000-0000-0000CD360000}"/>
    <cellStyle name="Normal 2 2 2 2 4 2 2 14 3 2" xfId="14030" xr:uid="{00000000-0005-0000-0000-0000CE360000}"/>
    <cellStyle name="Normal 2 2 2 2 4 2 2 14 3 3" xfId="14031" xr:uid="{00000000-0005-0000-0000-0000CF360000}"/>
    <cellStyle name="Normal 2 2 2 2 4 2 2 14 3 4" xfId="14032" xr:uid="{00000000-0005-0000-0000-0000D0360000}"/>
    <cellStyle name="Normal 2 2 2 2 4 2 2 14 3 5" xfId="14033" xr:uid="{00000000-0005-0000-0000-0000D1360000}"/>
    <cellStyle name="Normal 2 2 2 2 4 2 2 14 3 6" xfId="14034" xr:uid="{00000000-0005-0000-0000-0000D2360000}"/>
    <cellStyle name="Normal 2 2 2 2 4 2 2 14 3 7" xfId="14035" xr:uid="{00000000-0005-0000-0000-0000D3360000}"/>
    <cellStyle name="Normal 2 2 2 2 4 2 2 14 3 8" xfId="14036" xr:uid="{00000000-0005-0000-0000-0000D4360000}"/>
    <cellStyle name="Normal 2 2 2 2 4 2 2 14 3 9" xfId="14037" xr:uid="{00000000-0005-0000-0000-0000D5360000}"/>
    <cellStyle name="Normal 2 2 2 2 4 2 2 14 4" xfId="14038" xr:uid="{00000000-0005-0000-0000-0000D6360000}"/>
    <cellStyle name="Normal 2 2 2 2 4 2 2 14 4 10" xfId="14039" xr:uid="{00000000-0005-0000-0000-0000D7360000}"/>
    <cellStyle name="Normal 2 2 2 2 4 2 2 14 4 2" xfId="14040" xr:uid="{00000000-0005-0000-0000-0000D8360000}"/>
    <cellStyle name="Normal 2 2 2 2 4 2 2 14 4 3" xfId="14041" xr:uid="{00000000-0005-0000-0000-0000D9360000}"/>
    <cellStyle name="Normal 2 2 2 2 4 2 2 14 4 4" xfId="14042" xr:uid="{00000000-0005-0000-0000-0000DA360000}"/>
    <cellStyle name="Normal 2 2 2 2 4 2 2 14 4 5" xfId="14043" xr:uid="{00000000-0005-0000-0000-0000DB360000}"/>
    <cellStyle name="Normal 2 2 2 2 4 2 2 14 4 6" xfId="14044" xr:uid="{00000000-0005-0000-0000-0000DC360000}"/>
    <cellStyle name="Normal 2 2 2 2 4 2 2 14 4 7" xfId="14045" xr:uid="{00000000-0005-0000-0000-0000DD360000}"/>
    <cellStyle name="Normal 2 2 2 2 4 2 2 14 4 8" xfId="14046" xr:uid="{00000000-0005-0000-0000-0000DE360000}"/>
    <cellStyle name="Normal 2 2 2 2 4 2 2 14 4 9" xfId="14047" xr:uid="{00000000-0005-0000-0000-0000DF360000}"/>
    <cellStyle name="Normal 2 2 2 2 4 2 2 14 5" xfId="14048" xr:uid="{00000000-0005-0000-0000-0000E0360000}"/>
    <cellStyle name="Normal 2 2 2 2 4 2 2 14 5 10" xfId="14049" xr:uid="{00000000-0005-0000-0000-0000E1360000}"/>
    <cellStyle name="Normal 2 2 2 2 4 2 2 14 5 2" xfId="14050" xr:uid="{00000000-0005-0000-0000-0000E2360000}"/>
    <cellStyle name="Normal 2 2 2 2 4 2 2 14 5 3" xfId="14051" xr:uid="{00000000-0005-0000-0000-0000E3360000}"/>
    <cellStyle name="Normal 2 2 2 2 4 2 2 14 5 4" xfId="14052" xr:uid="{00000000-0005-0000-0000-0000E4360000}"/>
    <cellStyle name="Normal 2 2 2 2 4 2 2 14 5 5" xfId="14053" xr:uid="{00000000-0005-0000-0000-0000E5360000}"/>
    <cellStyle name="Normal 2 2 2 2 4 2 2 14 5 6" xfId="14054" xr:uid="{00000000-0005-0000-0000-0000E6360000}"/>
    <cellStyle name="Normal 2 2 2 2 4 2 2 14 5 7" xfId="14055" xr:uid="{00000000-0005-0000-0000-0000E7360000}"/>
    <cellStyle name="Normal 2 2 2 2 4 2 2 14 5 8" xfId="14056" xr:uid="{00000000-0005-0000-0000-0000E8360000}"/>
    <cellStyle name="Normal 2 2 2 2 4 2 2 14 5 9" xfId="14057" xr:uid="{00000000-0005-0000-0000-0000E9360000}"/>
    <cellStyle name="Normal 2 2 2 2 4 2 2 14 6" xfId="14058" xr:uid="{00000000-0005-0000-0000-0000EA360000}"/>
    <cellStyle name="Normal 2 2 2 2 4 2 2 14 7" xfId="14059" xr:uid="{00000000-0005-0000-0000-0000EB360000}"/>
    <cellStyle name="Normal 2 2 2 2 4 2 2 14 8" xfId="14060" xr:uid="{00000000-0005-0000-0000-0000EC360000}"/>
    <cellStyle name="Normal 2 2 2 2 4 2 2 14 9" xfId="14061" xr:uid="{00000000-0005-0000-0000-0000ED360000}"/>
    <cellStyle name="Normal 2 2 2 2 4 2 2 15" xfId="14062" xr:uid="{00000000-0005-0000-0000-0000EE360000}"/>
    <cellStyle name="Normal 2 2 2 2 4 2 2 15 10" xfId="14063" xr:uid="{00000000-0005-0000-0000-0000EF360000}"/>
    <cellStyle name="Normal 2 2 2 2 4 2 2 15 11" xfId="14064" xr:uid="{00000000-0005-0000-0000-0000F0360000}"/>
    <cellStyle name="Normal 2 2 2 2 4 2 2 15 12" xfId="14065" xr:uid="{00000000-0005-0000-0000-0000F1360000}"/>
    <cellStyle name="Normal 2 2 2 2 4 2 2 15 13" xfId="14066" xr:uid="{00000000-0005-0000-0000-0000F2360000}"/>
    <cellStyle name="Normal 2 2 2 2 4 2 2 15 14" xfId="14067" xr:uid="{00000000-0005-0000-0000-0000F3360000}"/>
    <cellStyle name="Normal 2 2 2 2 4 2 2 15 2" xfId="14068" xr:uid="{00000000-0005-0000-0000-0000F4360000}"/>
    <cellStyle name="Normal 2 2 2 2 4 2 2 15 2 10" xfId="14069" xr:uid="{00000000-0005-0000-0000-0000F5360000}"/>
    <cellStyle name="Normal 2 2 2 2 4 2 2 15 2 2" xfId="14070" xr:uid="{00000000-0005-0000-0000-0000F6360000}"/>
    <cellStyle name="Normal 2 2 2 2 4 2 2 15 2 3" xfId="14071" xr:uid="{00000000-0005-0000-0000-0000F7360000}"/>
    <cellStyle name="Normal 2 2 2 2 4 2 2 15 2 4" xfId="14072" xr:uid="{00000000-0005-0000-0000-0000F8360000}"/>
    <cellStyle name="Normal 2 2 2 2 4 2 2 15 2 5" xfId="14073" xr:uid="{00000000-0005-0000-0000-0000F9360000}"/>
    <cellStyle name="Normal 2 2 2 2 4 2 2 15 2 6" xfId="14074" xr:uid="{00000000-0005-0000-0000-0000FA360000}"/>
    <cellStyle name="Normal 2 2 2 2 4 2 2 15 2 7" xfId="14075" xr:uid="{00000000-0005-0000-0000-0000FB360000}"/>
    <cellStyle name="Normal 2 2 2 2 4 2 2 15 2 8" xfId="14076" xr:uid="{00000000-0005-0000-0000-0000FC360000}"/>
    <cellStyle name="Normal 2 2 2 2 4 2 2 15 2 9" xfId="14077" xr:uid="{00000000-0005-0000-0000-0000FD360000}"/>
    <cellStyle name="Normal 2 2 2 2 4 2 2 15 3" xfId="14078" xr:uid="{00000000-0005-0000-0000-0000FE360000}"/>
    <cellStyle name="Normal 2 2 2 2 4 2 2 15 3 10" xfId="14079" xr:uid="{00000000-0005-0000-0000-0000FF360000}"/>
    <cellStyle name="Normal 2 2 2 2 4 2 2 15 3 2" xfId="14080" xr:uid="{00000000-0005-0000-0000-000000370000}"/>
    <cellStyle name="Normal 2 2 2 2 4 2 2 15 3 3" xfId="14081" xr:uid="{00000000-0005-0000-0000-000001370000}"/>
    <cellStyle name="Normal 2 2 2 2 4 2 2 15 3 4" xfId="14082" xr:uid="{00000000-0005-0000-0000-000002370000}"/>
    <cellStyle name="Normal 2 2 2 2 4 2 2 15 3 5" xfId="14083" xr:uid="{00000000-0005-0000-0000-000003370000}"/>
    <cellStyle name="Normal 2 2 2 2 4 2 2 15 3 6" xfId="14084" xr:uid="{00000000-0005-0000-0000-000004370000}"/>
    <cellStyle name="Normal 2 2 2 2 4 2 2 15 3 7" xfId="14085" xr:uid="{00000000-0005-0000-0000-000005370000}"/>
    <cellStyle name="Normal 2 2 2 2 4 2 2 15 3 8" xfId="14086" xr:uid="{00000000-0005-0000-0000-000006370000}"/>
    <cellStyle name="Normal 2 2 2 2 4 2 2 15 3 9" xfId="14087" xr:uid="{00000000-0005-0000-0000-000007370000}"/>
    <cellStyle name="Normal 2 2 2 2 4 2 2 15 4" xfId="14088" xr:uid="{00000000-0005-0000-0000-000008370000}"/>
    <cellStyle name="Normal 2 2 2 2 4 2 2 15 4 10" xfId="14089" xr:uid="{00000000-0005-0000-0000-000009370000}"/>
    <cellStyle name="Normal 2 2 2 2 4 2 2 15 4 2" xfId="14090" xr:uid="{00000000-0005-0000-0000-00000A370000}"/>
    <cellStyle name="Normal 2 2 2 2 4 2 2 15 4 3" xfId="14091" xr:uid="{00000000-0005-0000-0000-00000B370000}"/>
    <cellStyle name="Normal 2 2 2 2 4 2 2 15 4 4" xfId="14092" xr:uid="{00000000-0005-0000-0000-00000C370000}"/>
    <cellStyle name="Normal 2 2 2 2 4 2 2 15 4 5" xfId="14093" xr:uid="{00000000-0005-0000-0000-00000D370000}"/>
    <cellStyle name="Normal 2 2 2 2 4 2 2 15 4 6" xfId="14094" xr:uid="{00000000-0005-0000-0000-00000E370000}"/>
    <cellStyle name="Normal 2 2 2 2 4 2 2 15 4 7" xfId="14095" xr:uid="{00000000-0005-0000-0000-00000F370000}"/>
    <cellStyle name="Normal 2 2 2 2 4 2 2 15 4 8" xfId="14096" xr:uid="{00000000-0005-0000-0000-000010370000}"/>
    <cellStyle name="Normal 2 2 2 2 4 2 2 15 4 9" xfId="14097" xr:uid="{00000000-0005-0000-0000-000011370000}"/>
    <cellStyle name="Normal 2 2 2 2 4 2 2 15 5" xfId="14098" xr:uid="{00000000-0005-0000-0000-000012370000}"/>
    <cellStyle name="Normal 2 2 2 2 4 2 2 15 5 10" xfId="14099" xr:uid="{00000000-0005-0000-0000-000013370000}"/>
    <cellStyle name="Normal 2 2 2 2 4 2 2 15 5 2" xfId="14100" xr:uid="{00000000-0005-0000-0000-000014370000}"/>
    <cellStyle name="Normal 2 2 2 2 4 2 2 15 5 3" xfId="14101" xr:uid="{00000000-0005-0000-0000-000015370000}"/>
    <cellStyle name="Normal 2 2 2 2 4 2 2 15 5 4" xfId="14102" xr:uid="{00000000-0005-0000-0000-000016370000}"/>
    <cellStyle name="Normal 2 2 2 2 4 2 2 15 5 5" xfId="14103" xr:uid="{00000000-0005-0000-0000-000017370000}"/>
    <cellStyle name="Normal 2 2 2 2 4 2 2 15 5 6" xfId="14104" xr:uid="{00000000-0005-0000-0000-000018370000}"/>
    <cellStyle name="Normal 2 2 2 2 4 2 2 15 5 7" xfId="14105" xr:uid="{00000000-0005-0000-0000-000019370000}"/>
    <cellStyle name="Normal 2 2 2 2 4 2 2 15 5 8" xfId="14106" xr:uid="{00000000-0005-0000-0000-00001A370000}"/>
    <cellStyle name="Normal 2 2 2 2 4 2 2 15 5 9" xfId="14107" xr:uid="{00000000-0005-0000-0000-00001B370000}"/>
    <cellStyle name="Normal 2 2 2 2 4 2 2 15 6" xfId="14108" xr:uid="{00000000-0005-0000-0000-00001C370000}"/>
    <cellStyle name="Normal 2 2 2 2 4 2 2 15 7" xfId="14109" xr:uid="{00000000-0005-0000-0000-00001D370000}"/>
    <cellStyle name="Normal 2 2 2 2 4 2 2 15 8" xfId="14110" xr:uid="{00000000-0005-0000-0000-00001E370000}"/>
    <cellStyle name="Normal 2 2 2 2 4 2 2 15 9" xfId="14111" xr:uid="{00000000-0005-0000-0000-00001F370000}"/>
    <cellStyle name="Normal 2 2 2 2 4 2 2 16" xfId="14112" xr:uid="{00000000-0005-0000-0000-000020370000}"/>
    <cellStyle name="Normal 2 2 2 2 4 2 2 16 10" xfId="14113" xr:uid="{00000000-0005-0000-0000-000021370000}"/>
    <cellStyle name="Normal 2 2 2 2 4 2 2 16 11" xfId="14114" xr:uid="{00000000-0005-0000-0000-000022370000}"/>
    <cellStyle name="Normal 2 2 2 2 4 2 2 16 12" xfId="14115" xr:uid="{00000000-0005-0000-0000-000023370000}"/>
    <cellStyle name="Normal 2 2 2 2 4 2 2 16 13" xfId="14116" xr:uid="{00000000-0005-0000-0000-000024370000}"/>
    <cellStyle name="Normal 2 2 2 2 4 2 2 16 14" xfId="14117" xr:uid="{00000000-0005-0000-0000-000025370000}"/>
    <cellStyle name="Normal 2 2 2 2 4 2 2 16 2" xfId="14118" xr:uid="{00000000-0005-0000-0000-000026370000}"/>
    <cellStyle name="Normal 2 2 2 2 4 2 2 16 2 10" xfId="14119" xr:uid="{00000000-0005-0000-0000-000027370000}"/>
    <cellStyle name="Normal 2 2 2 2 4 2 2 16 2 2" xfId="14120" xr:uid="{00000000-0005-0000-0000-000028370000}"/>
    <cellStyle name="Normal 2 2 2 2 4 2 2 16 2 3" xfId="14121" xr:uid="{00000000-0005-0000-0000-000029370000}"/>
    <cellStyle name="Normal 2 2 2 2 4 2 2 16 2 4" xfId="14122" xr:uid="{00000000-0005-0000-0000-00002A370000}"/>
    <cellStyle name="Normal 2 2 2 2 4 2 2 16 2 5" xfId="14123" xr:uid="{00000000-0005-0000-0000-00002B370000}"/>
    <cellStyle name="Normal 2 2 2 2 4 2 2 16 2 6" xfId="14124" xr:uid="{00000000-0005-0000-0000-00002C370000}"/>
    <cellStyle name="Normal 2 2 2 2 4 2 2 16 2 7" xfId="14125" xr:uid="{00000000-0005-0000-0000-00002D370000}"/>
    <cellStyle name="Normal 2 2 2 2 4 2 2 16 2 8" xfId="14126" xr:uid="{00000000-0005-0000-0000-00002E370000}"/>
    <cellStyle name="Normal 2 2 2 2 4 2 2 16 2 9" xfId="14127" xr:uid="{00000000-0005-0000-0000-00002F370000}"/>
    <cellStyle name="Normal 2 2 2 2 4 2 2 16 3" xfId="14128" xr:uid="{00000000-0005-0000-0000-000030370000}"/>
    <cellStyle name="Normal 2 2 2 2 4 2 2 16 3 10" xfId="14129" xr:uid="{00000000-0005-0000-0000-000031370000}"/>
    <cellStyle name="Normal 2 2 2 2 4 2 2 16 3 2" xfId="14130" xr:uid="{00000000-0005-0000-0000-000032370000}"/>
    <cellStyle name="Normal 2 2 2 2 4 2 2 16 3 3" xfId="14131" xr:uid="{00000000-0005-0000-0000-000033370000}"/>
    <cellStyle name="Normal 2 2 2 2 4 2 2 16 3 4" xfId="14132" xr:uid="{00000000-0005-0000-0000-000034370000}"/>
    <cellStyle name="Normal 2 2 2 2 4 2 2 16 3 5" xfId="14133" xr:uid="{00000000-0005-0000-0000-000035370000}"/>
    <cellStyle name="Normal 2 2 2 2 4 2 2 16 3 6" xfId="14134" xr:uid="{00000000-0005-0000-0000-000036370000}"/>
    <cellStyle name="Normal 2 2 2 2 4 2 2 16 3 7" xfId="14135" xr:uid="{00000000-0005-0000-0000-000037370000}"/>
    <cellStyle name="Normal 2 2 2 2 4 2 2 16 3 8" xfId="14136" xr:uid="{00000000-0005-0000-0000-000038370000}"/>
    <cellStyle name="Normal 2 2 2 2 4 2 2 16 3 9" xfId="14137" xr:uid="{00000000-0005-0000-0000-000039370000}"/>
    <cellStyle name="Normal 2 2 2 2 4 2 2 16 4" xfId="14138" xr:uid="{00000000-0005-0000-0000-00003A370000}"/>
    <cellStyle name="Normal 2 2 2 2 4 2 2 16 4 10" xfId="14139" xr:uid="{00000000-0005-0000-0000-00003B370000}"/>
    <cellStyle name="Normal 2 2 2 2 4 2 2 16 4 2" xfId="14140" xr:uid="{00000000-0005-0000-0000-00003C370000}"/>
    <cellStyle name="Normal 2 2 2 2 4 2 2 16 4 3" xfId="14141" xr:uid="{00000000-0005-0000-0000-00003D370000}"/>
    <cellStyle name="Normal 2 2 2 2 4 2 2 16 4 4" xfId="14142" xr:uid="{00000000-0005-0000-0000-00003E370000}"/>
    <cellStyle name="Normal 2 2 2 2 4 2 2 16 4 5" xfId="14143" xr:uid="{00000000-0005-0000-0000-00003F370000}"/>
    <cellStyle name="Normal 2 2 2 2 4 2 2 16 4 6" xfId="14144" xr:uid="{00000000-0005-0000-0000-000040370000}"/>
    <cellStyle name="Normal 2 2 2 2 4 2 2 16 4 7" xfId="14145" xr:uid="{00000000-0005-0000-0000-000041370000}"/>
    <cellStyle name="Normal 2 2 2 2 4 2 2 16 4 8" xfId="14146" xr:uid="{00000000-0005-0000-0000-000042370000}"/>
    <cellStyle name="Normal 2 2 2 2 4 2 2 16 4 9" xfId="14147" xr:uid="{00000000-0005-0000-0000-000043370000}"/>
    <cellStyle name="Normal 2 2 2 2 4 2 2 16 5" xfId="14148" xr:uid="{00000000-0005-0000-0000-000044370000}"/>
    <cellStyle name="Normal 2 2 2 2 4 2 2 16 5 10" xfId="14149" xr:uid="{00000000-0005-0000-0000-000045370000}"/>
    <cellStyle name="Normal 2 2 2 2 4 2 2 16 5 2" xfId="14150" xr:uid="{00000000-0005-0000-0000-000046370000}"/>
    <cellStyle name="Normal 2 2 2 2 4 2 2 16 5 3" xfId="14151" xr:uid="{00000000-0005-0000-0000-000047370000}"/>
    <cellStyle name="Normal 2 2 2 2 4 2 2 16 5 4" xfId="14152" xr:uid="{00000000-0005-0000-0000-000048370000}"/>
    <cellStyle name="Normal 2 2 2 2 4 2 2 16 5 5" xfId="14153" xr:uid="{00000000-0005-0000-0000-000049370000}"/>
    <cellStyle name="Normal 2 2 2 2 4 2 2 16 5 6" xfId="14154" xr:uid="{00000000-0005-0000-0000-00004A370000}"/>
    <cellStyle name="Normal 2 2 2 2 4 2 2 16 5 7" xfId="14155" xr:uid="{00000000-0005-0000-0000-00004B370000}"/>
    <cellStyle name="Normal 2 2 2 2 4 2 2 16 5 8" xfId="14156" xr:uid="{00000000-0005-0000-0000-00004C370000}"/>
    <cellStyle name="Normal 2 2 2 2 4 2 2 16 5 9" xfId="14157" xr:uid="{00000000-0005-0000-0000-00004D370000}"/>
    <cellStyle name="Normal 2 2 2 2 4 2 2 16 6" xfId="14158" xr:uid="{00000000-0005-0000-0000-00004E370000}"/>
    <cellStyle name="Normal 2 2 2 2 4 2 2 16 7" xfId="14159" xr:uid="{00000000-0005-0000-0000-00004F370000}"/>
    <cellStyle name="Normal 2 2 2 2 4 2 2 16 8" xfId="14160" xr:uid="{00000000-0005-0000-0000-000050370000}"/>
    <cellStyle name="Normal 2 2 2 2 4 2 2 16 9" xfId="14161" xr:uid="{00000000-0005-0000-0000-000051370000}"/>
    <cellStyle name="Normal 2 2 2 2 4 2 2 17" xfId="14162" xr:uid="{00000000-0005-0000-0000-000052370000}"/>
    <cellStyle name="Normal 2 2 2 2 4 2 2 17 10" xfId="14163" xr:uid="{00000000-0005-0000-0000-000053370000}"/>
    <cellStyle name="Normal 2 2 2 2 4 2 2 17 11" xfId="14164" xr:uid="{00000000-0005-0000-0000-000054370000}"/>
    <cellStyle name="Normal 2 2 2 2 4 2 2 17 12" xfId="14165" xr:uid="{00000000-0005-0000-0000-000055370000}"/>
    <cellStyle name="Normal 2 2 2 2 4 2 2 17 13" xfId="14166" xr:uid="{00000000-0005-0000-0000-000056370000}"/>
    <cellStyle name="Normal 2 2 2 2 4 2 2 17 14" xfId="14167" xr:uid="{00000000-0005-0000-0000-000057370000}"/>
    <cellStyle name="Normal 2 2 2 2 4 2 2 17 2" xfId="14168" xr:uid="{00000000-0005-0000-0000-000058370000}"/>
    <cellStyle name="Normal 2 2 2 2 4 2 2 17 2 10" xfId="14169" xr:uid="{00000000-0005-0000-0000-000059370000}"/>
    <cellStyle name="Normal 2 2 2 2 4 2 2 17 2 2" xfId="14170" xr:uid="{00000000-0005-0000-0000-00005A370000}"/>
    <cellStyle name="Normal 2 2 2 2 4 2 2 17 2 3" xfId="14171" xr:uid="{00000000-0005-0000-0000-00005B370000}"/>
    <cellStyle name="Normal 2 2 2 2 4 2 2 17 2 4" xfId="14172" xr:uid="{00000000-0005-0000-0000-00005C370000}"/>
    <cellStyle name="Normal 2 2 2 2 4 2 2 17 2 5" xfId="14173" xr:uid="{00000000-0005-0000-0000-00005D370000}"/>
    <cellStyle name="Normal 2 2 2 2 4 2 2 17 2 6" xfId="14174" xr:uid="{00000000-0005-0000-0000-00005E370000}"/>
    <cellStyle name="Normal 2 2 2 2 4 2 2 17 2 7" xfId="14175" xr:uid="{00000000-0005-0000-0000-00005F370000}"/>
    <cellStyle name="Normal 2 2 2 2 4 2 2 17 2 8" xfId="14176" xr:uid="{00000000-0005-0000-0000-000060370000}"/>
    <cellStyle name="Normal 2 2 2 2 4 2 2 17 2 9" xfId="14177" xr:uid="{00000000-0005-0000-0000-000061370000}"/>
    <cellStyle name="Normal 2 2 2 2 4 2 2 17 3" xfId="14178" xr:uid="{00000000-0005-0000-0000-000062370000}"/>
    <cellStyle name="Normal 2 2 2 2 4 2 2 17 3 10" xfId="14179" xr:uid="{00000000-0005-0000-0000-000063370000}"/>
    <cellStyle name="Normal 2 2 2 2 4 2 2 17 3 2" xfId="14180" xr:uid="{00000000-0005-0000-0000-000064370000}"/>
    <cellStyle name="Normal 2 2 2 2 4 2 2 17 3 3" xfId="14181" xr:uid="{00000000-0005-0000-0000-000065370000}"/>
    <cellStyle name="Normal 2 2 2 2 4 2 2 17 3 4" xfId="14182" xr:uid="{00000000-0005-0000-0000-000066370000}"/>
    <cellStyle name="Normal 2 2 2 2 4 2 2 17 3 5" xfId="14183" xr:uid="{00000000-0005-0000-0000-000067370000}"/>
    <cellStyle name="Normal 2 2 2 2 4 2 2 17 3 6" xfId="14184" xr:uid="{00000000-0005-0000-0000-000068370000}"/>
    <cellStyle name="Normal 2 2 2 2 4 2 2 17 3 7" xfId="14185" xr:uid="{00000000-0005-0000-0000-000069370000}"/>
    <cellStyle name="Normal 2 2 2 2 4 2 2 17 3 8" xfId="14186" xr:uid="{00000000-0005-0000-0000-00006A370000}"/>
    <cellStyle name="Normal 2 2 2 2 4 2 2 17 3 9" xfId="14187" xr:uid="{00000000-0005-0000-0000-00006B370000}"/>
    <cellStyle name="Normal 2 2 2 2 4 2 2 17 4" xfId="14188" xr:uid="{00000000-0005-0000-0000-00006C370000}"/>
    <cellStyle name="Normal 2 2 2 2 4 2 2 17 4 10" xfId="14189" xr:uid="{00000000-0005-0000-0000-00006D370000}"/>
    <cellStyle name="Normal 2 2 2 2 4 2 2 17 4 2" xfId="14190" xr:uid="{00000000-0005-0000-0000-00006E370000}"/>
    <cellStyle name="Normal 2 2 2 2 4 2 2 17 4 3" xfId="14191" xr:uid="{00000000-0005-0000-0000-00006F370000}"/>
    <cellStyle name="Normal 2 2 2 2 4 2 2 17 4 4" xfId="14192" xr:uid="{00000000-0005-0000-0000-000070370000}"/>
    <cellStyle name="Normal 2 2 2 2 4 2 2 17 4 5" xfId="14193" xr:uid="{00000000-0005-0000-0000-000071370000}"/>
    <cellStyle name="Normal 2 2 2 2 4 2 2 17 4 6" xfId="14194" xr:uid="{00000000-0005-0000-0000-000072370000}"/>
    <cellStyle name="Normal 2 2 2 2 4 2 2 17 4 7" xfId="14195" xr:uid="{00000000-0005-0000-0000-000073370000}"/>
    <cellStyle name="Normal 2 2 2 2 4 2 2 17 4 8" xfId="14196" xr:uid="{00000000-0005-0000-0000-000074370000}"/>
    <cellStyle name="Normal 2 2 2 2 4 2 2 17 4 9" xfId="14197" xr:uid="{00000000-0005-0000-0000-000075370000}"/>
    <cellStyle name="Normal 2 2 2 2 4 2 2 17 5" xfId="14198" xr:uid="{00000000-0005-0000-0000-000076370000}"/>
    <cellStyle name="Normal 2 2 2 2 4 2 2 17 5 10" xfId="14199" xr:uid="{00000000-0005-0000-0000-000077370000}"/>
    <cellStyle name="Normal 2 2 2 2 4 2 2 17 5 2" xfId="14200" xr:uid="{00000000-0005-0000-0000-000078370000}"/>
    <cellStyle name="Normal 2 2 2 2 4 2 2 17 5 3" xfId="14201" xr:uid="{00000000-0005-0000-0000-000079370000}"/>
    <cellStyle name="Normal 2 2 2 2 4 2 2 17 5 4" xfId="14202" xr:uid="{00000000-0005-0000-0000-00007A370000}"/>
    <cellStyle name="Normal 2 2 2 2 4 2 2 17 5 5" xfId="14203" xr:uid="{00000000-0005-0000-0000-00007B370000}"/>
    <cellStyle name="Normal 2 2 2 2 4 2 2 17 5 6" xfId="14204" xr:uid="{00000000-0005-0000-0000-00007C370000}"/>
    <cellStyle name="Normal 2 2 2 2 4 2 2 17 5 7" xfId="14205" xr:uid="{00000000-0005-0000-0000-00007D370000}"/>
    <cellStyle name="Normal 2 2 2 2 4 2 2 17 5 8" xfId="14206" xr:uid="{00000000-0005-0000-0000-00007E370000}"/>
    <cellStyle name="Normal 2 2 2 2 4 2 2 17 5 9" xfId="14207" xr:uid="{00000000-0005-0000-0000-00007F370000}"/>
    <cellStyle name="Normal 2 2 2 2 4 2 2 17 6" xfId="14208" xr:uid="{00000000-0005-0000-0000-000080370000}"/>
    <cellStyle name="Normal 2 2 2 2 4 2 2 17 7" xfId="14209" xr:uid="{00000000-0005-0000-0000-000081370000}"/>
    <cellStyle name="Normal 2 2 2 2 4 2 2 17 8" xfId="14210" xr:uid="{00000000-0005-0000-0000-000082370000}"/>
    <cellStyle name="Normal 2 2 2 2 4 2 2 17 9" xfId="14211" xr:uid="{00000000-0005-0000-0000-000083370000}"/>
    <cellStyle name="Normal 2 2 2 2 4 2 2 18" xfId="14212" xr:uid="{00000000-0005-0000-0000-000084370000}"/>
    <cellStyle name="Normal 2 2 2 2 4 2 2 18 10" xfId="14213" xr:uid="{00000000-0005-0000-0000-000085370000}"/>
    <cellStyle name="Normal 2 2 2 2 4 2 2 18 11" xfId="14214" xr:uid="{00000000-0005-0000-0000-000086370000}"/>
    <cellStyle name="Normal 2 2 2 2 4 2 2 18 12" xfId="14215" xr:uid="{00000000-0005-0000-0000-000087370000}"/>
    <cellStyle name="Normal 2 2 2 2 4 2 2 18 13" xfId="14216" xr:uid="{00000000-0005-0000-0000-000088370000}"/>
    <cellStyle name="Normal 2 2 2 2 4 2 2 18 14" xfId="14217" xr:uid="{00000000-0005-0000-0000-000089370000}"/>
    <cellStyle name="Normal 2 2 2 2 4 2 2 18 2" xfId="14218" xr:uid="{00000000-0005-0000-0000-00008A370000}"/>
    <cellStyle name="Normal 2 2 2 2 4 2 2 18 2 10" xfId="14219" xr:uid="{00000000-0005-0000-0000-00008B370000}"/>
    <cellStyle name="Normal 2 2 2 2 4 2 2 18 2 2" xfId="14220" xr:uid="{00000000-0005-0000-0000-00008C370000}"/>
    <cellStyle name="Normal 2 2 2 2 4 2 2 18 2 3" xfId="14221" xr:uid="{00000000-0005-0000-0000-00008D370000}"/>
    <cellStyle name="Normal 2 2 2 2 4 2 2 18 2 4" xfId="14222" xr:uid="{00000000-0005-0000-0000-00008E370000}"/>
    <cellStyle name="Normal 2 2 2 2 4 2 2 18 2 5" xfId="14223" xr:uid="{00000000-0005-0000-0000-00008F370000}"/>
    <cellStyle name="Normal 2 2 2 2 4 2 2 18 2 6" xfId="14224" xr:uid="{00000000-0005-0000-0000-000090370000}"/>
    <cellStyle name="Normal 2 2 2 2 4 2 2 18 2 7" xfId="14225" xr:uid="{00000000-0005-0000-0000-000091370000}"/>
    <cellStyle name="Normal 2 2 2 2 4 2 2 18 2 8" xfId="14226" xr:uid="{00000000-0005-0000-0000-000092370000}"/>
    <cellStyle name="Normal 2 2 2 2 4 2 2 18 2 9" xfId="14227" xr:uid="{00000000-0005-0000-0000-000093370000}"/>
    <cellStyle name="Normal 2 2 2 2 4 2 2 18 3" xfId="14228" xr:uid="{00000000-0005-0000-0000-000094370000}"/>
    <cellStyle name="Normal 2 2 2 2 4 2 2 18 3 10" xfId="14229" xr:uid="{00000000-0005-0000-0000-000095370000}"/>
    <cellStyle name="Normal 2 2 2 2 4 2 2 18 3 2" xfId="14230" xr:uid="{00000000-0005-0000-0000-000096370000}"/>
    <cellStyle name="Normal 2 2 2 2 4 2 2 18 3 3" xfId="14231" xr:uid="{00000000-0005-0000-0000-000097370000}"/>
    <cellStyle name="Normal 2 2 2 2 4 2 2 18 3 4" xfId="14232" xr:uid="{00000000-0005-0000-0000-000098370000}"/>
    <cellStyle name="Normal 2 2 2 2 4 2 2 18 3 5" xfId="14233" xr:uid="{00000000-0005-0000-0000-000099370000}"/>
    <cellStyle name="Normal 2 2 2 2 4 2 2 18 3 6" xfId="14234" xr:uid="{00000000-0005-0000-0000-00009A370000}"/>
    <cellStyle name="Normal 2 2 2 2 4 2 2 18 3 7" xfId="14235" xr:uid="{00000000-0005-0000-0000-00009B370000}"/>
    <cellStyle name="Normal 2 2 2 2 4 2 2 18 3 8" xfId="14236" xr:uid="{00000000-0005-0000-0000-00009C370000}"/>
    <cellStyle name="Normal 2 2 2 2 4 2 2 18 3 9" xfId="14237" xr:uid="{00000000-0005-0000-0000-00009D370000}"/>
    <cellStyle name="Normal 2 2 2 2 4 2 2 18 4" xfId="14238" xr:uid="{00000000-0005-0000-0000-00009E370000}"/>
    <cellStyle name="Normal 2 2 2 2 4 2 2 18 4 10" xfId="14239" xr:uid="{00000000-0005-0000-0000-00009F370000}"/>
    <cellStyle name="Normal 2 2 2 2 4 2 2 18 4 2" xfId="14240" xr:uid="{00000000-0005-0000-0000-0000A0370000}"/>
    <cellStyle name="Normal 2 2 2 2 4 2 2 18 4 3" xfId="14241" xr:uid="{00000000-0005-0000-0000-0000A1370000}"/>
    <cellStyle name="Normal 2 2 2 2 4 2 2 18 4 4" xfId="14242" xr:uid="{00000000-0005-0000-0000-0000A2370000}"/>
    <cellStyle name="Normal 2 2 2 2 4 2 2 18 4 5" xfId="14243" xr:uid="{00000000-0005-0000-0000-0000A3370000}"/>
    <cellStyle name="Normal 2 2 2 2 4 2 2 18 4 6" xfId="14244" xr:uid="{00000000-0005-0000-0000-0000A4370000}"/>
    <cellStyle name="Normal 2 2 2 2 4 2 2 18 4 7" xfId="14245" xr:uid="{00000000-0005-0000-0000-0000A5370000}"/>
    <cellStyle name="Normal 2 2 2 2 4 2 2 18 4 8" xfId="14246" xr:uid="{00000000-0005-0000-0000-0000A6370000}"/>
    <cellStyle name="Normal 2 2 2 2 4 2 2 18 4 9" xfId="14247" xr:uid="{00000000-0005-0000-0000-0000A7370000}"/>
    <cellStyle name="Normal 2 2 2 2 4 2 2 18 5" xfId="14248" xr:uid="{00000000-0005-0000-0000-0000A8370000}"/>
    <cellStyle name="Normal 2 2 2 2 4 2 2 18 5 10" xfId="14249" xr:uid="{00000000-0005-0000-0000-0000A9370000}"/>
    <cellStyle name="Normal 2 2 2 2 4 2 2 18 5 2" xfId="14250" xr:uid="{00000000-0005-0000-0000-0000AA370000}"/>
    <cellStyle name="Normal 2 2 2 2 4 2 2 18 5 3" xfId="14251" xr:uid="{00000000-0005-0000-0000-0000AB370000}"/>
    <cellStyle name="Normal 2 2 2 2 4 2 2 18 5 4" xfId="14252" xr:uid="{00000000-0005-0000-0000-0000AC370000}"/>
    <cellStyle name="Normal 2 2 2 2 4 2 2 18 5 5" xfId="14253" xr:uid="{00000000-0005-0000-0000-0000AD370000}"/>
    <cellStyle name="Normal 2 2 2 2 4 2 2 18 5 6" xfId="14254" xr:uid="{00000000-0005-0000-0000-0000AE370000}"/>
    <cellStyle name="Normal 2 2 2 2 4 2 2 18 5 7" xfId="14255" xr:uid="{00000000-0005-0000-0000-0000AF370000}"/>
    <cellStyle name="Normal 2 2 2 2 4 2 2 18 5 8" xfId="14256" xr:uid="{00000000-0005-0000-0000-0000B0370000}"/>
    <cellStyle name="Normal 2 2 2 2 4 2 2 18 5 9" xfId="14257" xr:uid="{00000000-0005-0000-0000-0000B1370000}"/>
    <cellStyle name="Normal 2 2 2 2 4 2 2 18 6" xfId="14258" xr:uid="{00000000-0005-0000-0000-0000B2370000}"/>
    <cellStyle name="Normal 2 2 2 2 4 2 2 18 7" xfId="14259" xr:uid="{00000000-0005-0000-0000-0000B3370000}"/>
    <cellStyle name="Normal 2 2 2 2 4 2 2 18 8" xfId="14260" xr:uid="{00000000-0005-0000-0000-0000B4370000}"/>
    <cellStyle name="Normal 2 2 2 2 4 2 2 18 9" xfId="14261" xr:uid="{00000000-0005-0000-0000-0000B5370000}"/>
    <cellStyle name="Normal 2 2 2 2 4 2 2 19" xfId="14262" xr:uid="{00000000-0005-0000-0000-0000B6370000}"/>
    <cellStyle name="Normal 2 2 2 2 4 2 2 19 10" xfId="14263" xr:uid="{00000000-0005-0000-0000-0000B7370000}"/>
    <cellStyle name="Normal 2 2 2 2 4 2 2 19 11" xfId="14264" xr:uid="{00000000-0005-0000-0000-0000B8370000}"/>
    <cellStyle name="Normal 2 2 2 2 4 2 2 19 12" xfId="14265" xr:uid="{00000000-0005-0000-0000-0000B9370000}"/>
    <cellStyle name="Normal 2 2 2 2 4 2 2 19 13" xfId="14266" xr:uid="{00000000-0005-0000-0000-0000BA370000}"/>
    <cellStyle name="Normal 2 2 2 2 4 2 2 19 14" xfId="14267" xr:uid="{00000000-0005-0000-0000-0000BB370000}"/>
    <cellStyle name="Normal 2 2 2 2 4 2 2 19 2" xfId="14268" xr:uid="{00000000-0005-0000-0000-0000BC370000}"/>
    <cellStyle name="Normal 2 2 2 2 4 2 2 19 2 10" xfId="14269" xr:uid="{00000000-0005-0000-0000-0000BD370000}"/>
    <cellStyle name="Normal 2 2 2 2 4 2 2 19 2 2" xfId="14270" xr:uid="{00000000-0005-0000-0000-0000BE370000}"/>
    <cellStyle name="Normal 2 2 2 2 4 2 2 19 2 3" xfId="14271" xr:uid="{00000000-0005-0000-0000-0000BF370000}"/>
    <cellStyle name="Normal 2 2 2 2 4 2 2 19 2 4" xfId="14272" xr:uid="{00000000-0005-0000-0000-0000C0370000}"/>
    <cellStyle name="Normal 2 2 2 2 4 2 2 19 2 5" xfId="14273" xr:uid="{00000000-0005-0000-0000-0000C1370000}"/>
    <cellStyle name="Normal 2 2 2 2 4 2 2 19 2 6" xfId="14274" xr:uid="{00000000-0005-0000-0000-0000C2370000}"/>
    <cellStyle name="Normal 2 2 2 2 4 2 2 19 2 7" xfId="14275" xr:uid="{00000000-0005-0000-0000-0000C3370000}"/>
    <cellStyle name="Normal 2 2 2 2 4 2 2 19 2 8" xfId="14276" xr:uid="{00000000-0005-0000-0000-0000C4370000}"/>
    <cellStyle name="Normal 2 2 2 2 4 2 2 19 2 9" xfId="14277" xr:uid="{00000000-0005-0000-0000-0000C5370000}"/>
    <cellStyle name="Normal 2 2 2 2 4 2 2 19 3" xfId="14278" xr:uid="{00000000-0005-0000-0000-0000C6370000}"/>
    <cellStyle name="Normal 2 2 2 2 4 2 2 19 3 10" xfId="14279" xr:uid="{00000000-0005-0000-0000-0000C7370000}"/>
    <cellStyle name="Normal 2 2 2 2 4 2 2 19 3 2" xfId="14280" xr:uid="{00000000-0005-0000-0000-0000C8370000}"/>
    <cellStyle name="Normal 2 2 2 2 4 2 2 19 3 3" xfId="14281" xr:uid="{00000000-0005-0000-0000-0000C9370000}"/>
    <cellStyle name="Normal 2 2 2 2 4 2 2 19 3 4" xfId="14282" xr:uid="{00000000-0005-0000-0000-0000CA370000}"/>
    <cellStyle name="Normal 2 2 2 2 4 2 2 19 3 5" xfId="14283" xr:uid="{00000000-0005-0000-0000-0000CB370000}"/>
    <cellStyle name="Normal 2 2 2 2 4 2 2 19 3 6" xfId="14284" xr:uid="{00000000-0005-0000-0000-0000CC370000}"/>
    <cellStyle name="Normal 2 2 2 2 4 2 2 19 3 7" xfId="14285" xr:uid="{00000000-0005-0000-0000-0000CD370000}"/>
    <cellStyle name="Normal 2 2 2 2 4 2 2 19 3 8" xfId="14286" xr:uid="{00000000-0005-0000-0000-0000CE370000}"/>
    <cellStyle name="Normal 2 2 2 2 4 2 2 19 3 9" xfId="14287" xr:uid="{00000000-0005-0000-0000-0000CF370000}"/>
    <cellStyle name="Normal 2 2 2 2 4 2 2 19 4" xfId="14288" xr:uid="{00000000-0005-0000-0000-0000D0370000}"/>
    <cellStyle name="Normal 2 2 2 2 4 2 2 19 4 10" xfId="14289" xr:uid="{00000000-0005-0000-0000-0000D1370000}"/>
    <cellStyle name="Normal 2 2 2 2 4 2 2 19 4 2" xfId="14290" xr:uid="{00000000-0005-0000-0000-0000D2370000}"/>
    <cellStyle name="Normal 2 2 2 2 4 2 2 19 4 3" xfId="14291" xr:uid="{00000000-0005-0000-0000-0000D3370000}"/>
    <cellStyle name="Normal 2 2 2 2 4 2 2 19 4 4" xfId="14292" xr:uid="{00000000-0005-0000-0000-0000D4370000}"/>
    <cellStyle name="Normal 2 2 2 2 4 2 2 19 4 5" xfId="14293" xr:uid="{00000000-0005-0000-0000-0000D5370000}"/>
    <cellStyle name="Normal 2 2 2 2 4 2 2 19 4 6" xfId="14294" xr:uid="{00000000-0005-0000-0000-0000D6370000}"/>
    <cellStyle name="Normal 2 2 2 2 4 2 2 19 4 7" xfId="14295" xr:uid="{00000000-0005-0000-0000-0000D7370000}"/>
    <cellStyle name="Normal 2 2 2 2 4 2 2 19 4 8" xfId="14296" xr:uid="{00000000-0005-0000-0000-0000D8370000}"/>
    <cellStyle name="Normal 2 2 2 2 4 2 2 19 4 9" xfId="14297" xr:uid="{00000000-0005-0000-0000-0000D9370000}"/>
    <cellStyle name="Normal 2 2 2 2 4 2 2 19 5" xfId="14298" xr:uid="{00000000-0005-0000-0000-0000DA370000}"/>
    <cellStyle name="Normal 2 2 2 2 4 2 2 19 5 10" xfId="14299" xr:uid="{00000000-0005-0000-0000-0000DB370000}"/>
    <cellStyle name="Normal 2 2 2 2 4 2 2 19 5 2" xfId="14300" xr:uid="{00000000-0005-0000-0000-0000DC370000}"/>
    <cellStyle name="Normal 2 2 2 2 4 2 2 19 5 3" xfId="14301" xr:uid="{00000000-0005-0000-0000-0000DD370000}"/>
    <cellStyle name="Normal 2 2 2 2 4 2 2 19 5 4" xfId="14302" xr:uid="{00000000-0005-0000-0000-0000DE370000}"/>
    <cellStyle name="Normal 2 2 2 2 4 2 2 19 5 5" xfId="14303" xr:uid="{00000000-0005-0000-0000-0000DF370000}"/>
    <cellStyle name="Normal 2 2 2 2 4 2 2 19 5 6" xfId="14304" xr:uid="{00000000-0005-0000-0000-0000E0370000}"/>
    <cellStyle name="Normal 2 2 2 2 4 2 2 19 5 7" xfId="14305" xr:uid="{00000000-0005-0000-0000-0000E1370000}"/>
    <cellStyle name="Normal 2 2 2 2 4 2 2 19 5 8" xfId="14306" xr:uid="{00000000-0005-0000-0000-0000E2370000}"/>
    <cellStyle name="Normal 2 2 2 2 4 2 2 19 5 9" xfId="14307" xr:uid="{00000000-0005-0000-0000-0000E3370000}"/>
    <cellStyle name="Normal 2 2 2 2 4 2 2 19 6" xfId="14308" xr:uid="{00000000-0005-0000-0000-0000E4370000}"/>
    <cellStyle name="Normal 2 2 2 2 4 2 2 19 7" xfId="14309" xr:uid="{00000000-0005-0000-0000-0000E5370000}"/>
    <cellStyle name="Normal 2 2 2 2 4 2 2 19 8" xfId="14310" xr:uid="{00000000-0005-0000-0000-0000E6370000}"/>
    <cellStyle name="Normal 2 2 2 2 4 2 2 19 9" xfId="14311" xr:uid="{00000000-0005-0000-0000-0000E7370000}"/>
    <cellStyle name="Normal 2 2 2 2 4 2 2 2" xfId="14312" xr:uid="{00000000-0005-0000-0000-0000E8370000}"/>
    <cellStyle name="Normal 2 2 2 2 4 2 2 2 10" xfId="14313" xr:uid="{00000000-0005-0000-0000-0000E9370000}"/>
    <cellStyle name="Normal 2 2 2 2 4 2 2 2 11" xfId="14314" xr:uid="{00000000-0005-0000-0000-0000EA370000}"/>
    <cellStyle name="Normal 2 2 2 2 4 2 2 2 12" xfId="14315" xr:uid="{00000000-0005-0000-0000-0000EB370000}"/>
    <cellStyle name="Normal 2 2 2 2 4 2 2 2 13" xfId="14316" xr:uid="{00000000-0005-0000-0000-0000EC370000}"/>
    <cellStyle name="Normal 2 2 2 2 4 2 2 2 14" xfId="14317" xr:uid="{00000000-0005-0000-0000-0000ED370000}"/>
    <cellStyle name="Normal 2 2 2 2 4 2 2 2 2" xfId="14318" xr:uid="{00000000-0005-0000-0000-0000EE370000}"/>
    <cellStyle name="Normal 2 2 2 2 4 2 2 2 2 10" xfId="14319" xr:uid="{00000000-0005-0000-0000-0000EF370000}"/>
    <cellStyle name="Normal 2 2 2 2 4 2 2 2 2 2" xfId="14320" xr:uid="{00000000-0005-0000-0000-0000F0370000}"/>
    <cellStyle name="Normal 2 2 2 2 4 2 2 2 2 3" xfId="14321" xr:uid="{00000000-0005-0000-0000-0000F1370000}"/>
    <cellStyle name="Normal 2 2 2 2 4 2 2 2 2 4" xfId="14322" xr:uid="{00000000-0005-0000-0000-0000F2370000}"/>
    <cellStyle name="Normal 2 2 2 2 4 2 2 2 2 5" xfId="14323" xr:uid="{00000000-0005-0000-0000-0000F3370000}"/>
    <cellStyle name="Normal 2 2 2 2 4 2 2 2 2 6" xfId="14324" xr:uid="{00000000-0005-0000-0000-0000F4370000}"/>
    <cellStyle name="Normal 2 2 2 2 4 2 2 2 2 7" xfId="14325" xr:uid="{00000000-0005-0000-0000-0000F5370000}"/>
    <cellStyle name="Normal 2 2 2 2 4 2 2 2 2 8" xfId="14326" xr:uid="{00000000-0005-0000-0000-0000F6370000}"/>
    <cellStyle name="Normal 2 2 2 2 4 2 2 2 2 9" xfId="14327" xr:uid="{00000000-0005-0000-0000-0000F7370000}"/>
    <cellStyle name="Normal 2 2 2 2 4 2 2 2 3" xfId="14328" xr:uid="{00000000-0005-0000-0000-0000F8370000}"/>
    <cellStyle name="Normal 2 2 2 2 4 2 2 2 3 10" xfId="14329" xr:uid="{00000000-0005-0000-0000-0000F9370000}"/>
    <cellStyle name="Normal 2 2 2 2 4 2 2 2 3 2" xfId="14330" xr:uid="{00000000-0005-0000-0000-0000FA370000}"/>
    <cellStyle name="Normal 2 2 2 2 4 2 2 2 3 3" xfId="14331" xr:uid="{00000000-0005-0000-0000-0000FB370000}"/>
    <cellStyle name="Normal 2 2 2 2 4 2 2 2 3 4" xfId="14332" xr:uid="{00000000-0005-0000-0000-0000FC370000}"/>
    <cellStyle name="Normal 2 2 2 2 4 2 2 2 3 5" xfId="14333" xr:uid="{00000000-0005-0000-0000-0000FD370000}"/>
    <cellStyle name="Normal 2 2 2 2 4 2 2 2 3 6" xfId="14334" xr:uid="{00000000-0005-0000-0000-0000FE370000}"/>
    <cellStyle name="Normal 2 2 2 2 4 2 2 2 3 7" xfId="14335" xr:uid="{00000000-0005-0000-0000-0000FF370000}"/>
    <cellStyle name="Normal 2 2 2 2 4 2 2 2 3 8" xfId="14336" xr:uid="{00000000-0005-0000-0000-000000380000}"/>
    <cellStyle name="Normal 2 2 2 2 4 2 2 2 3 9" xfId="14337" xr:uid="{00000000-0005-0000-0000-000001380000}"/>
    <cellStyle name="Normal 2 2 2 2 4 2 2 2 4" xfId="14338" xr:uid="{00000000-0005-0000-0000-000002380000}"/>
    <cellStyle name="Normal 2 2 2 2 4 2 2 2 4 10" xfId="14339" xr:uid="{00000000-0005-0000-0000-000003380000}"/>
    <cellStyle name="Normal 2 2 2 2 4 2 2 2 4 2" xfId="14340" xr:uid="{00000000-0005-0000-0000-000004380000}"/>
    <cellStyle name="Normal 2 2 2 2 4 2 2 2 4 3" xfId="14341" xr:uid="{00000000-0005-0000-0000-000005380000}"/>
    <cellStyle name="Normal 2 2 2 2 4 2 2 2 4 4" xfId="14342" xr:uid="{00000000-0005-0000-0000-000006380000}"/>
    <cellStyle name="Normal 2 2 2 2 4 2 2 2 4 5" xfId="14343" xr:uid="{00000000-0005-0000-0000-000007380000}"/>
    <cellStyle name="Normal 2 2 2 2 4 2 2 2 4 6" xfId="14344" xr:uid="{00000000-0005-0000-0000-000008380000}"/>
    <cellStyle name="Normal 2 2 2 2 4 2 2 2 4 7" xfId="14345" xr:uid="{00000000-0005-0000-0000-000009380000}"/>
    <cellStyle name="Normal 2 2 2 2 4 2 2 2 4 8" xfId="14346" xr:uid="{00000000-0005-0000-0000-00000A380000}"/>
    <cellStyle name="Normal 2 2 2 2 4 2 2 2 4 9" xfId="14347" xr:uid="{00000000-0005-0000-0000-00000B380000}"/>
    <cellStyle name="Normal 2 2 2 2 4 2 2 2 5" xfId="14348" xr:uid="{00000000-0005-0000-0000-00000C380000}"/>
    <cellStyle name="Normal 2 2 2 2 4 2 2 2 5 10" xfId="14349" xr:uid="{00000000-0005-0000-0000-00000D380000}"/>
    <cellStyle name="Normal 2 2 2 2 4 2 2 2 5 2" xfId="14350" xr:uid="{00000000-0005-0000-0000-00000E380000}"/>
    <cellStyle name="Normal 2 2 2 2 4 2 2 2 5 3" xfId="14351" xr:uid="{00000000-0005-0000-0000-00000F380000}"/>
    <cellStyle name="Normal 2 2 2 2 4 2 2 2 5 4" xfId="14352" xr:uid="{00000000-0005-0000-0000-000010380000}"/>
    <cellStyle name="Normal 2 2 2 2 4 2 2 2 5 5" xfId="14353" xr:uid="{00000000-0005-0000-0000-000011380000}"/>
    <cellStyle name="Normal 2 2 2 2 4 2 2 2 5 6" xfId="14354" xr:uid="{00000000-0005-0000-0000-000012380000}"/>
    <cellStyle name="Normal 2 2 2 2 4 2 2 2 5 7" xfId="14355" xr:uid="{00000000-0005-0000-0000-000013380000}"/>
    <cellStyle name="Normal 2 2 2 2 4 2 2 2 5 8" xfId="14356" xr:uid="{00000000-0005-0000-0000-000014380000}"/>
    <cellStyle name="Normal 2 2 2 2 4 2 2 2 5 9" xfId="14357" xr:uid="{00000000-0005-0000-0000-000015380000}"/>
    <cellStyle name="Normal 2 2 2 2 4 2 2 2 6" xfId="14358" xr:uid="{00000000-0005-0000-0000-000016380000}"/>
    <cellStyle name="Normal 2 2 2 2 4 2 2 2 7" xfId="14359" xr:uid="{00000000-0005-0000-0000-000017380000}"/>
    <cellStyle name="Normal 2 2 2 2 4 2 2 2 8" xfId="14360" xr:uid="{00000000-0005-0000-0000-000018380000}"/>
    <cellStyle name="Normal 2 2 2 2 4 2 2 2 9" xfId="14361" xr:uid="{00000000-0005-0000-0000-000019380000}"/>
    <cellStyle name="Normal 2 2 2 2 4 2 2 20" xfId="14362" xr:uid="{00000000-0005-0000-0000-00001A380000}"/>
    <cellStyle name="Normal 2 2 2 2 4 2 2 20 10" xfId="14363" xr:uid="{00000000-0005-0000-0000-00001B380000}"/>
    <cellStyle name="Normal 2 2 2 2 4 2 2 20 11" xfId="14364" xr:uid="{00000000-0005-0000-0000-00001C380000}"/>
    <cellStyle name="Normal 2 2 2 2 4 2 2 20 12" xfId="14365" xr:uid="{00000000-0005-0000-0000-00001D380000}"/>
    <cellStyle name="Normal 2 2 2 2 4 2 2 20 13" xfId="14366" xr:uid="{00000000-0005-0000-0000-00001E380000}"/>
    <cellStyle name="Normal 2 2 2 2 4 2 2 20 14" xfId="14367" xr:uid="{00000000-0005-0000-0000-00001F380000}"/>
    <cellStyle name="Normal 2 2 2 2 4 2 2 20 2" xfId="14368" xr:uid="{00000000-0005-0000-0000-000020380000}"/>
    <cellStyle name="Normal 2 2 2 2 4 2 2 20 2 10" xfId="14369" xr:uid="{00000000-0005-0000-0000-000021380000}"/>
    <cellStyle name="Normal 2 2 2 2 4 2 2 20 2 2" xfId="14370" xr:uid="{00000000-0005-0000-0000-000022380000}"/>
    <cellStyle name="Normal 2 2 2 2 4 2 2 20 2 3" xfId="14371" xr:uid="{00000000-0005-0000-0000-000023380000}"/>
    <cellStyle name="Normal 2 2 2 2 4 2 2 20 2 4" xfId="14372" xr:uid="{00000000-0005-0000-0000-000024380000}"/>
    <cellStyle name="Normal 2 2 2 2 4 2 2 20 2 5" xfId="14373" xr:uid="{00000000-0005-0000-0000-000025380000}"/>
    <cellStyle name="Normal 2 2 2 2 4 2 2 20 2 6" xfId="14374" xr:uid="{00000000-0005-0000-0000-000026380000}"/>
    <cellStyle name="Normal 2 2 2 2 4 2 2 20 2 7" xfId="14375" xr:uid="{00000000-0005-0000-0000-000027380000}"/>
    <cellStyle name="Normal 2 2 2 2 4 2 2 20 2 8" xfId="14376" xr:uid="{00000000-0005-0000-0000-000028380000}"/>
    <cellStyle name="Normal 2 2 2 2 4 2 2 20 2 9" xfId="14377" xr:uid="{00000000-0005-0000-0000-000029380000}"/>
    <cellStyle name="Normal 2 2 2 2 4 2 2 20 3" xfId="14378" xr:uid="{00000000-0005-0000-0000-00002A380000}"/>
    <cellStyle name="Normal 2 2 2 2 4 2 2 20 3 10" xfId="14379" xr:uid="{00000000-0005-0000-0000-00002B380000}"/>
    <cellStyle name="Normal 2 2 2 2 4 2 2 20 3 2" xfId="14380" xr:uid="{00000000-0005-0000-0000-00002C380000}"/>
    <cellStyle name="Normal 2 2 2 2 4 2 2 20 3 3" xfId="14381" xr:uid="{00000000-0005-0000-0000-00002D380000}"/>
    <cellStyle name="Normal 2 2 2 2 4 2 2 20 3 4" xfId="14382" xr:uid="{00000000-0005-0000-0000-00002E380000}"/>
    <cellStyle name="Normal 2 2 2 2 4 2 2 20 3 5" xfId="14383" xr:uid="{00000000-0005-0000-0000-00002F380000}"/>
    <cellStyle name="Normal 2 2 2 2 4 2 2 20 3 6" xfId="14384" xr:uid="{00000000-0005-0000-0000-000030380000}"/>
    <cellStyle name="Normal 2 2 2 2 4 2 2 20 3 7" xfId="14385" xr:uid="{00000000-0005-0000-0000-000031380000}"/>
    <cellStyle name="Normal 2 2 2 2 4 2 2 20 3 8" xfId="14386" xr:uid="{00000000-0005-0000-0000-000032380000}"/>
    <cellStyle name="Normal 2 2 2 2 4 2 2 20 3 9" xfId="14387" xr:uid="{00000000-0005-0000-0000-000033380000}"/>
    <cellStyle name="Normal 2 2 2 2 4 2 2 20 4" xfId="14388" xr:uid="{00000000-0005-0000-0000-000034380000}"/>
    <cellStyle name="Normal 2 2 2 2 4 2 2 20 4 10" xfId="14389" xr:uid="{00000000-0005-0000-0000-000035380000}"/>
    <cellStyle name="Normal 2 2 2 2 4 2 2 20 4 2" xfId="14390" xr:uid="{00000000-0005-0000-0000-000036380000}"/>
    <cellStyle name="Normal 2 2 2 2 4 2 2 20 4 3" xfId="14391" xr:uid="{00000000-0005-0000-0000-000037380000}"/>
    <cellStyle name="Normal 2 2 2 2 4 2 2 20 4 4" xfId="14392" xr:uid="{00000000-0005-0000-0000-000038380000}"/>
    <cellStyle name="Normal 2 2 2 2 4 2 2 20 4 5" xfId="14393" xr:uid="{00000000-0005-0000-0000-000039380000}"/>
    <cellStyle name="Normal 2 2 2 2 4 2 2 20 4 6" xfId="14394" xr:uid="{00000000-0005-0000-0000-00003A380000}"/>
    <cellStyle name="Normal 2 2 2 2 4 2 2 20 4 7" xfId="14395" xr:uid="{00000000-0005-0000-0000-00003B380000}"/>
    <cellStyle name="Normal 2 2 2 2 4 2 2 20 4 8" xfId="14396" xr:uid="{00000000-0005-0000-0000-00003C380000}"/>
    <cellStyle name="Normal 2 2 2 2 4 2 2 20 4 9" xfId="14397" xr:uid="{00000000-0005-0000-0000-00003D380000}"/>
    <cellStyle name="Normal 2 2 2 2 4 2 2 20 5" xfId="14398" xr:uid="{00000000-0005-0000-0000-00003E380000}"/>
    <cellStyle name="Normal 2 2 2 2 4 2 2 20 5 10" xfId="14399" xr:uid="{00000000-0005-0000-0000-00003F380000}"/>
    <cellStyle name="Normal 2 2 2 2 4 2 2 20 5 2" xfId="14400" xr:uid="{00000000-0005-0000-0000-000040380000}"/>
    <cellStyle name="Normal 2 2 2 2 4 2 2 20 5 3" xfId="14401" xr:uid="{00000000-0005-0000-0000-000041380000}"/>
    <cellStyle name="Normal 2 2 2 2 4 2 2 20 5 4" xfId="14402" xr:uid="{00000000-0005-0000-0000-000042380000}"/>
    <cellStyle name="Normal 2 2 2 2 4 2 2 20 5 5" xfId="14403" xr:uid="{00000000-0005-0000-0000-000043380000}"/>
    <cellStyle name="Normal 2 2 2 2 4 2 2 20 5 6" xfId="14404" xr:uid="{00000000-0005-0000-0000-000044380000}"/>
    <cellStyle name="Normal 2 2 2 2 4 2 2 20 5 7" xfId="14405" xr:uid="{00000000-0005-0000-0000-000045380000}"/>
    <cellStyle name="Normal 2 2 2 2 4 2 2 20 5 8" xfId="14406" xr:uid="{00000000-0005-0000-0000-000046380000}"/>
    <cellStyle name="Normal 2 2 2 2 4 2 2 20 5 9" xfId="14407" xr:uid="{00000000-0005-0000-0000-000047380000}"/>
    <cellStyle name="Normal 2 2 2 2 4 2 2 20 6" xfId="14408" xr:uid="{00000000-0005-0000-0000-000048380000}"/>
    <cellStyle name="Normal 2 2 2 2 4 2 2 20 7" xfId="14409" xr:uid="{00000000-0005-0000-0000-000049380000}"/>
    <cellStyle name="Normal 2 2 2 2 4 2 2 20 8" xfId="14410" xr:uid="{00000000-0005-0000-0000-00004A380000}"/>
    <cellStyle name="Normal 2 2 2 2 4 2 2 20 9" xfId="14411" xr:uid="{00000000-0005-0000-0000-00004B380000}"/>
    <cellStyle name="Normal 2 2 2 2 4 2 2 3" xfId="14412" xr:uid="{00000000-0005-0000-0000-00004C380000}"/>
    <cellStyle name="Normal 2 2 2 2 4 2 2 3 10" xfId="14413" xr:uid="{00000000-0005-0000-0000-00004D380000}"/>
    <cellStyle name="Normal 2 2 2 2 4 2 2 3 11" xfId="14414" xr:uid="{00000000-0005-0000-0000-00004E380000}"/>
    <cellStyle name="Normal 2 2 2 2 4 2 2 3 12" xfId="14415" xr:uid="{00000000-0005-0000-0000-00004F380000}"/>
    <cellStyle name="Normal 2 2 2 2 4 2 2 3 13" xfId="14416" xr:uid="{00000000-0005-0000-0000-000050380000}"/>
    <cellStyle name="Normal 2 2 2 2 4 2 2 3 14" xfId="14417" xr:uid="{00000000-0005-0000-0000-000051380000}"/>
    <cellStyle name="Normal 2 2 2 2 4 2 2 3 2" xfId="14418" xr:uid="{00000000-0005-0000-0000-000052380000}"/>
    <cellStyle name="Normal 2 2 2 2 4 2 2 3 2 10" xfId="14419" xr:uid="{00000000-0005-0000-0000-000053380000}"/>
    <cellStyle name="Normal 2 2 2 2 4 2 2 3 2 2" xfId="14420" xr:uid="{00000000-0005-0000-0000-000054380000}"/>
    <cellStyle name="Normal 2 2 2 2 4 2 2 3 2 3" xfId="14421" xr:uid="{00000000-0005-0000-0000-000055380000}"/>
    <cellStyle name="Normal 2 2 2 2 4 2 2 3 2 4" xfId="14422" xr:uid="{00000000-0005-0000-0000-000056380000}"/>
    <cellStyle name="Normal 2 2 2 2 4 2 2 3 2 5" xfId="14423" xr:uid="{00000000-0005-0000-0000-000057380000}"/>
    <cellStyle name="Normal 2 2 2 2 4 2 2 3 2 6" xfId="14424" xr:uid="{00000000-0005-0000-0000-000058380000}"/>
    <cellStyle name="Normal 2 2 2 2 4 2 2 3 2 7" xfId="14425" xr:uid="{00000000-0005-0000-0000-000059380000}"/>
    <cellStyle name="Normal 2 2 2 2 4 2 2 3 2 8" xfId="14426" xr:uid="{00000000-0005-0000-0000-00005A380000}"/>
    <cellStyle name="Normal 2 2 2 2 4 2 2 3 2 9" xfId="14427" xr:uid="{00000000-0005-0000-0000-00005B380000}"/>
    <cellStyle name="Normal 2 2 2 2 4 2 2 3 3" xfId="14428" xr:uid="{00000000-0005-0000-0000-00005C380000}"/>
    <cellStyle name="Normal 2 2 2 2 4 2 2 3 3 10" xfId="14429" xr:uid="{00000000-0005-0000-0000-00005D380000}"/>
    <cellStyle name="Normal 2 2 2 2 4 2 2 3 3 2" xfId="14430" xr:uid="{00000000-0005-0000-0000-00005E380000}"/>
    <cellStyle name="Normal 2 2 2 2 4 2 2 3 3 3" xfId="14431" xr:uid="{00000000-0005-0000-0000-00005F380000}"/>
    <cellStyle name="Normal 2 2 2 2 4 2 2 3 3 4" xfId="14432" xr:uid="{00000000-0005-0000-0000-000060380000}"/>
    <cellStyle name="Normal 2 2 2 2 4 2 2 3 3 5" xfId="14433" xr:uid="{00000000-0005-0000-0000-000061380000}"/>
    <cellStyle name="Normal 2 2 2 2 4 2 2 3 3 6" xfId="14434" xr:uid="{00000000-0005-0000-0000-000062380000}"/>
    <cellStyle name="Normal 2 2 2 2 4 2 2 3 3 7" xfId="14435" xr:uid="{00000000-0005-0000-0000-000063380000}"/>
    <cellStyle name="Normal 2 2 2 2 4 2 2 3 3 8" xfId="14436" xr:uid="{00000000-0005-0000-0000-000064380000}"/>
    <cellStyle name="Normal 2 2 2 2 4 2 2 3 3 9" xfId="14437" xr:uid="{00000000-0005-0000-0000-000065380000}"/>
    <cellStyle name="Normal 2 2 2 2 4 2 2 3 4" xfId="14438" xr:uid="{00000000-0005-0000-0000-000066380000}"/>
    <cellStyle name="Normal 2 2 2 2 4 2 2 3 4 10" xfId="14439" xr:uid="{00000000-0005-0000-0000-000067380000}"/>
    <cellStyle name="Normal 2 2 2 2 4 2 2 3 4 2" xfId="14440" xr:uid="{00000000-0005-0000-0000-000068380000}"/>
    <cellStyle name="Normal 2 2 2 2 4 2 2 3 4 3" xfId="14441" xr:uid="{00000000-0005-0000-0000-000069380000}"/>
    <cellStyle name="Normal 2 2 2 2 4 2 2 3 4 4" xfId="14442" xr:uid="{00000000-0005-0000-0000-00006A380000}"/>
    <cellStyle name="Normal 2 2 2 2 4 2 2 3 4 5" xfId="14443" xr:uid="{00000000-0005-0000-0000-00006B380000}"/>
    <cellStyle name="Normal 2 2 2 2 4 2 2 3 4 6" xfId="14444" xr:uid="{00000000-0005-0000-0000-00006C380000}"/>
    <cellStyle name="Normal 2 2 2 2 4 2 2 3 4 7" xfId="14445" xr:uid="{00000000-0005-0000-0000-00006D380000}"/>
    <cellStyle name="Normal 2 2 2 2 4 2 2 3 4 8" xfId="14446" xr:uid="{00000000-0005-0000-0000-00006E380000}"/>
    <cellStyle name="Normal 2 2 2 2 4 2 2 3 4 9" xfId="14447" xr:uid="{00000000-0005-0000-0000-00006F380000}"/>
    <cellStyle name="Normal 2 2 2 2 4 2 2 3 5" xfId="14448" xr:uid="{00000000-0005-0000-0000-000070380000}"/>
    <cellStyle name="Normal 2 2 2 2 4 2 2 3 5 10" xfId="14449" xr:uid="{00000000-0005-0000-0000-000071380000}"/>
    <cellStyle name="Normal 2 2 2 2 4 2 2 3 5 2" xfId="14450" xr:uid="{00000000-0005-0000-0000-000072380000}"/>
    <cellStyle name="Normal 2 2 2 2 4 2 2 3 5 3" xfId="14451" xr:uid="{00000000-0005-0000-0000-000073380000}"/>
    <cellStyle name="Normal 2 2 2 2 4 2 2 3 5 4" xfId="14452" xr:uid="{00000000-0005-0000-0000-000074380000}"/>
    <cellStyle name="Normal 2 2 2 2 4 2 2 3 5 5" xfId="14453" xr:uid="{00000000-0005-0000-0000-000075380000}"/>
    <cellStyle name="Normal 2 2 2 2 4 2 2 3 5 6" xfId="14454" xr:uid="{00000000-0005-0000-0000-000076380000}"/>
    <cellStyle name="Normal 2 2 2 2 4 2 2 3 5 7" xfId="14455" xr:uid="{00000000-0005-0000-0000-000077380000}"/>
    <cellStyle name="Normal 2 2 2 2 4 2 2 3 5 8" xfId="14456" xr:uid="{00000000-0005-0000-0000-000078380000}"/>
    <cellStyle name="Normal 2 2 2 2 4 2 2 3 5 9" xfId="14457" xr:uid="{00000000-0005-0000-0000-000079380000}"/>
    <cellStyle name="Normal 2 2 2 2 4 2 2 3 6" xfId="14458" xr:uid="{00000000-0005-0000-0000-00007A380000}"/>
    <cellStyle name="Normal 2 2 2 2 4 2 2 3 7" xfId="14459" xr:uid="{00000000-0005-0000-0000-00007B380000}"/>
    <cellStyle name="Normal 2 2 2 2 4 2 2 3 8" xfId="14460" xr:uid="{00000000-0005-0000-0000-00007C380000}"/>
    <cellStyle name="Normal 2 2 2 2 4 2 2 3 9" xfId="14461" xr:uid="{00000000-0005-0000-0000-00007D380000}"/>
    <cellStyle name="Normal 2 2 2 2 4 2 2 4" xfId="14462" xr:uid="{00000000-0005-0000-0000-00007E380000}"/>
    <cellStyle name="Normal 2 2 2 2 4 2 2 4 10" xfId="14463" xr:uid="{00000000-0005-0000-0000-00007F380000}"/>
    <cellStyle name="Normal 2 2 2 2 4 2 2 4 11" xfId="14464" xr:uid="{00000000-0005-0000-0000-000080380000}"/>
    <cellStyle name="Normal 2 2 2 2 4 2 2 4 12" xfId="14465" xr:uid="{00000000-0005-0000-0000-000081380000}"/>
    <cellStyle name="Normal 2 2 2 2 4 2 2 4 13" xfId="14466" xr:uid="{00000000-0005-0000-0000-000082380000}"/>
    <cellStyle name="Normal 2 2 2 2 4 2 2 4 14" xfId="14467" xr:uid="{00000000-0005-0000-0000-000083380000}"/>
    <cellStyle name="Normal 2 2 2 2 4 2 2 4 2" xfId="14468" xr:uid="{00000000-0005-0000-0000-000084380000}"/>
    <cellStyle name="Normal 2 2 2 2 4 2 2 4 2 10" xfId="14469" xr:uid="{00000000-0005-0000-0000-000085380000}"/>
    <cellStyle name="Normal 2 2 2 2 4 2 2 4 2 2" xfId="14470" xr:uid="{00000000-0005-0000-0000-000086380000}"/>
    <cellStyle name="Normal 2 2 2 2 4 2 2 4 2 3" xfId="14471" xr:uid="{00000000-0005-0000-0000-000087380000}"/>
    <cellStyle name="Normal 2 2 2 2 4 2 2 4 2 4" xfId="14472" xr:uid="{00000000-0005-0000-0000-000088380000}"/>
    <cellStyle name="Normal 2 2 2 2 4 2 2 4 2 5" xfId="14473" xr:uid="{00000000-0005-0000-0000-000089380000}"/>
    <cellStyle name="Normal 2 2 2 2 4 2 2 4 2 6" xfId="14474" xr:uid="{00000000-0005-0000-0000-00008A380000}"/>
    <cellStyle name="Normal 2 2 2 2 4 2 2 4 2 7" xfId="14475" xr:uid="{00000000-0005-0000-0000-00008B380000}"/>
    <cellStyle name="Normal 2 2 2 2 4 2 2 4 2 8" xfId="14476" xr:uid="{00000000-0005-0000-0000-00008C380000}"/>
    <cellStyle name="Normal 2 2 2 2 4 2 2 4 2 9" xfId="14477" xr:uid="{00000000-0005-0000-0000-00008D380000}"/>
    <cellStyle name="Normal 2 2 2 2 4 2 2 4 3" xfId="14478" xr:uid="{00000000-0005-0000-0000-00008E380000}"/>
    <cellStyle name="Normal 2 2 2 2 4 2 2 4 3 10" xfId="14479" xr:uid="{00000000-0005-0000-0000-00008F380000}"/>
    <cellStyle name="Normal 2 2 2 2 4 2 2 4 3 2" xfId="14480" xr:uid="{00000000-0005-0000-0000-000090380000}"/>
    <cellStyle name="Normal 2 2 2 2 4 2 2 4 3 3" xfId="14481" xr:uid="{00000000-0005-0000-0000-000091380000}"/>
    <cellStyle name="Normal 2 2 2 2 4 2 2 4 3 4" xfId="14482" xr:uid="{00000000-0005-0000-0000-000092380000}"/>
    <cellStyle name="Normal 2 2 2 2 4 2 2 4 3 5" xfId="14483" xr:uid="{00000000-0005-0000-0000-000093380000}"/>
    <cellStyle name="Normal 2 2 2 2 4 2 2 4 3 6" xfId="14484" xr:uid="{00000000-0005-0000-0000-000094380000}"/>
    <cellStyle name="Normal 2 2 2 2 4 2 2 4 3 7" xfId="14485" xr:uid="{00000000-0005-0000-0000-000095380000}"/>
    <cellStyle name="Normal 2 2 2 2 4 2 2 4 3 8" xfId="14486" xr:uid="{00000000-0005-0000-0000-000096380000}"/>
    <cellStyle name="Normal 2 2 2 2 4 2 2 4 3 9" xfId="14487" xr:uid="{00000000-0005-0000-0000-000097380000}"/>
    <cellStyle name="Normal 2 2 2 2 4 2 2 4 4" xfId="14488" xr:uid="{00000000-0005-0000-0000-000098380000}"/>
    <cellStyle name="Normal 2 2 2 2 4 2 2 4 4 10" xfId="14489" xr:uid="{00000000-0005-0000-0000-000099380000}"/>
    <cellStyle name="Normal 2 2 2 2 4 2 2 4 4 2" xfId="14490" xr:uid="{00000000-0005-0000-0000-00009A380000}"/>
    <cellStyle name="Normal 2 2 2 2 4 2 2 4 4 3" xfId="14491" xr:uid="{00000000-0005-0000-0000-00009B380000}"/>
    <cellStyle name="Normal 2 2 2 2 4 2 2 4 4 4" xfId="14492" xr:uid="{00000000-0005-0000-0000-00009C380000}"/>
    <cellStyle name="Normal 2 2 2 2 4 2 2 4 4 5" xfId="14493" xr:uid="{00000000-0005-0000-0000-00009D380000}"/>
    <cellStyle name="Normal 2 2 2 2 4 2 2 4 4 6" xfId="14494" xr:uid="{00000000-0005-0000-0000-00009E380000}"/>
    <cellStyle name="Normal 2 2 2 2 4 2 2 4 4 7" xfId="14495" xr:uid="{00000000-0005-0000-0000-00009F380000}"/>
    <cellStyle name="Normal 2 2 2 2 4 2 2 4 4 8" xfId="14496" xr:uid="{00000000-0005-0000-0000-0000A0380000}"/>
    <cellStyle name="Normal 2 2 2 2 4 2 2 4 4 9" xfId="14497" xr:uid="{00000000-0005-0000-0000-0000A1380000}"/>
    <cellStyle name="Normal 2 2 2 2 4 2 2 4 5" xfId="14498" xr:uid="{00000000-0005-0000-0000-0000A2380000}"/>
    <cellStyle name="Normal 2 2 2 2 4 2 2 4 5 10" xfId="14499" xr:uid="{00000000-0005-0000-0000-0000A3380000}"/>
    <cellStyle name="Normal 2 2 2 2 4 2 2 4 5 2" xfId="14500" xr:uid="{00000000-0005-0000-0000-0000A4380000}"/>
    <cellStyle name="Normal 2 2 2 2 4 2 2 4 5 3" xfId="14501" xr:uid="{00000000-0005-0000-0000-0000A5380000}"/>
    <cellStyle name="Normal 2 2 2 2 4 2 2 4 5 4" xfId="14502" xr:uid="{00000000-0005-0000-0000-0000A6380000}"/>
    <cellStyle name="Normal 2 2 2 2 4 2 2 4 5 5" xfId="14503" xr:uid="{00000000-0005-0000-0000-0000A7380000}"/>
    <cellStyle name="Normal 2 2 2 2 4 2 2 4 5 6" xfId="14504" xr:uid="{00000000-0005-0000-0000-0000A8380000}"/>
    <cellStyle name="Normal 2 2 2 2 4 2 2 4 5 7" xfId="14505" xr:uid="{00000000-0005-0000-0000-0000A9380000}"/>
    <cellStyle name="Normal 2 2 2 2 4 2 2 4 5 8" xfId="14506" xr:uid="{00000000-0005-0000-0000-0000AA380000}"/>
    <cellStyle name="Normal 2 2 2 2 4 2 2 4 5 9" xfId="14507" xr:uid="{00000000-0005-0000-0000-0000AB380000}"/>
    <cellStyle name="Normal 2 2 2 2 4 2 2 4 6" xfId="14508" xr:uid="{00000000-0005-0000-0000-0000AC380000}"/>
    <cellStyle name="Normal 2 2 2 2 4 2 2 4 7" xfId="14509" xr:uid="{00000000-0005-0000-0000-0000AD380000}"/>
    <cellStyle name="Normal 2 2 2 2 4 2 2 4 8" xfId="14510" xr:uid="{00000000-0005-0000-0000-0000AE380000}"/>
    <cellStyle name="Normal 2 2 2 2 4 2 2 4 9" xfId="14511" xr:uid="{00000000-0005-0000-0000-0000AF380000}"/>
    <cellStyle name="Normal 2 2 2 2 4 2 2 5" xfId="14512" xr:uid="{00000000-0005-0000-0000-0000B0380000}"/>
    <cellStyle name="Normal 2 2 2 2 4 2 2 5 10" xfId="14513" xr:uid="{00000000-0005-0000-0000-0000B1380000}"/>
    <cellStyle name="Normal 2 2 2 2 4 2 2 5 11" xfId="14514" xr:uid="{00000000-0005-0000-0000-0000B2380000}"/>
    <cellStyle name="Normal 2 2 2 2 4 2 2 5 12" xfId="14515" xr:uid="{00000000-0005-0000-0000-0000B3380000}"/>
    <cellStyle name="Normal 2 2 2 2 4 2 2 5 13" xfId="14516" xr:uid="{00000000-0005-0000-0000-0000B4380000}"/>
    <cellStyle name="Normal 2 2 2 2 4 2 2 5 14" xfId="14517" xr:uid="{00000000-0005-0000-0000-0000B5380000}"/>
    <cellStyle name="Normal 2 2 2 2 4 2 2 5 2" xfId="14518" xr:uid="{00000000-0005-0000-0000-0000B6380000}"/>
    <cellStyle name="Normal 2 2 2 2 4 2 2 5 2 10" xfId="14519" xr:uid="{00000000-0005-0000-0000-0000B7380000}"/>
    <cellStyle name="Normal 2 2 2 2 4 2 2 5 2 2" xfId="14520" xr:uid="{00000000-0005-0000-0000-0000B8380000}"/>
    <cellStyle name="Normal 2 2 2 2 4 2 2 5 2 3" xfId="14521" xr:uid="{00000000-0005-0000-0000-0000B9380000}"/>
    <cellStyle name="Normal 2 2 2 2 4 2 2 5 2 4" xfId="14522" xr:uid="{00000000-0005-0000-0000-0000BA380000}"/>
    <cellStyle name="Normal 2 2 2 2 4 2 2 5 2 5" xfId="14523" xr:uid="{00000000-0005-0000-0000-0000BB380000}"/>
    <cellStyle name="Normal 2 2 2 2 4 2 2 5 2 6" xfId="14524" xr:uid="{00000000-0005-0000-0000-0000BC380000}"/>
    <cellStyle name="Normal 2 2 2 2 4 2 2 5 2 7" xfId="14525" xr:uid="{00000000-0005-0000-0000-0000BD380000}"/>
    <cellStyle name="Normal 2 2 2 2 4 2 2 5 2 8" xfId="14526" xr:uid="{00000000-0005-0000-0000-0000BE380000}"/>
    <cellStyle name="Normal 2 2 2 2 4 2 2 5 2 9" xfId="14527" xr:uid="{00000000-0005-0000-0000-0000BF380000}"/>
    <cellStyle name="Normal 2 2 2 2 4 2 2 5 3" xfId="14528" xr:uid="{00000000-0005-0000-0000-0000C0380000}"/>
    <cellStyle name="Normal 2 2 2 2 4 2 2 5 3 10" xfId="14529" xr:uid="{00000000-0005-0000-0000-0000C1380000}"/>
    <cellStyle name="Normal 2 2 2 2 4 2 2 5 3 2" xfId="14530" xr:uid="{00000000-0005-0000-0000-0000C2380000}"/>
    <cellStyle name="Normal 2 2 2 2 4 2 2 5 3 3" xfId="14531" xr:uid="{00000000-0005-0000-0000-0000C3380000}"/>
    <cellStyle name="Normal 2 2 2 2 4 2 2 5 3 4" xfId="14532" xr:uid="{00000000-0005-0000-0000-0000C4380000}"/>
    <cellStyle name="Normal 2 2 2 2 4 2 2 5 3 5" xfId="14533" xr:uid="{00000000-0005-0000-0000-0000C5380000}"/>
    <cellStyle name="Normal 2 2 2 2 4 2 2 5 3 6" xfId="14534" xr:uid="{00000000-0005-0000-0000-0000C6380000}"/>
    <cellStyle name="Normal 2 2 2 2 4 2 2 5 3 7" xfId="14535" xr:uid="{00000000-0005-0000-0000-0000C7380000}"/>
    <cellStyle name="Normal 2 2 2 2 4 2 2 5 3 8" xfId="14536" xr:uid="{00000000-0005-0000-0000-0000C8380000}"/>
    <cellStyle name="Normal 2 2 2 2 4 2 2 5 3 9" xfId="14537" xr:uid="{00000000-0005-0000-0000-0000C9380000}"/>
    <cellStyle name="Normal 2 2 2 2 4 2 2 5 4" xfId="14538" xr:uid="{00000000-0005-0000-0000-0000CA380000}"/>
    <cellStyle name="Normal 2 2 2 2 4 2 2 5 4 10" xfId="14539" xr:uid="{00000000-0005-0000-0000-0000CB380000}"/>
    <cellStyle name="Normal 2 2 2 2 4 2 2 5 4 2" xfId="14540" xr:uid="{00000000-0005-0000-0000-0000CC380000}"/>
    <cellStyle name="Normal 2 2 2 2 4 2 2 5 4 3" xfId="14541" xr:uid="{00000000-0005-0000-0000-0000CD380000}"/>
    <cellStyle name="Normal 2 2 2 2 4 2 2 5 4 4" xfId="14542" xr:uid="{00000000-0005-0000-0000-0000CE380000}"/>
    <cellStyle name="Normal 2 2 2 2 4 2 2 5 4 5" xfId="14543" xr:uid="{00000000-0005-0000-0000-0000CF380000}"/>
    <cellStyle name="Normal 2 2 2 2 4 2 2 5 4 6" xfId="14544" xr:uid="{00000000-0005-0000-0000-0000D0380000}"/>
    <cellStyle name="Normal 2 2 2 2 4 2 2 5 4 7" xfId="14545" xr:uid="{00000000-0005-0000-0000-0000D1380000}"/>
    <cellStyle name="Normal 2 2 2 2 4 2 2 5 4 8" xfId="14546" xr:uid="{00000000-0005-0000-0000-0000D2380000}"/>
    <cellStyle name="Normal 2 2 2 2 4 2 2 5 4 9" xfId="14547" xr:uid="{00000000-0005-0000-0000-0000D3380000}"/>
    <cellStyle name="Normal 2 2 2 2 4 2 2 5 5" xfId="14548" xr:uid="{00000000-0005-0000-0000-0000D4380000}"/>
    <cellStyle name="Normal 2 2 2 2 4 2 2 5 5 10" xfId="14549" xr:uid="{00000000-0005-0000-0000-0000D5380000}"/>
    <cellStyle name="Normal 2 2 2 2 4 2 2 5 5 2" xfId="14550" xr:uid="{00000000-0005-0000-0000-0000D6380000}"/>
    <cellStyle name="Normal 2 2 2 2 4 2 2 5 5 3" xfId="14551" xr:uid="{00000000-0005-0000-0000-0000D7380000}"/>
    <cellStyle name="Normal 2 2 2 2 4 2 2 5 5 4" xfId="14552" xr:uid="{00000000-0005-0000-0000-0000D8380000}"/>
    <cellStyle name="Normal 2 2 2 2 4 2 2 5 5 5" xfId="14553" xr:uid="{00000000-0005-0000-0000-0000D9380000}"/>
    <cellStyle name="Normal 2 2 2 2 4 2 2 5 5 6" xfId="14554" xr:uid="{00000000-0005-0000-0000-0000DA380000}"/>
    <cellStyle name="Normal 2 2 2 2 4 2 2 5 5 7" xfId="14555" xr:uid="{00000000-0005-0000-0000-0000DB380000}"/>
    <cellStyle name="Normal 2 2 2 2 4 2 2 5 5 8" xfId="14556" xr:uid="{00000000-0005-0000-0000-0000DC380000}"/>
    <cellStyle name="Normal 2 2 2 2 4 2 2 5 5 9" xfId="14557" xr:uid="{00000000-0005-0000-0000-0000DD380000}"/>
    <cellStyle name="Normal 2 2 2 2 4 2 2 5 6" xfId="14558" xr:uid="{00000000-0005-0000-0000-0000DE380000}"/>
    <cellStyle name="Normal 2 2 2 2 4 2 2 5 7" xfId="14559" xr:uid="{00000000-0005-0000-0000-0000DF380000}"/>
    <cellStyle name="Normal 2 2 2 2 4 2 2 5 8" xfId="14560" xr:uid="{00000000-0005-0000-0000-0000E0380000}"/>
    <cellStyle name="Normal 2 2 2 2 4 2 2 5 9" xfId="14561" xr:uid="{00000000-0005-0000-0000-0000E1380000}"/>
    <cellStyle name="Normal 2 2 2 2 4 2 2 6" xfId="14562" xr:uid="{00000000-0005-0000-0000-0000E2380000}"/>
    <cellStyle name="Normal 2 2 2 2 4 2 2 6 10" xfId="14563" xr:uid="{00000000-0005-0000-0000-0000E3380000}"/>
    <cellStyle name="Normal 2 2 2 2 4 2 2 6 11" xfId="14564" xr:uid="{00000000-0005-0000-0000-0000E4380000}"/>
    <cellStyle name="Normal 2 2 2 2 4 2 2 6 12" xfId="14565" xr:uid="{00000000-0005-0000-0000-0000E5380000}"/>
    <cellStyle name="Normal 2 2 2 2 4 2 2 6 13" xfId="14566" xr:uid="{00000000-0005-0000-0000-0000E6380000}"/>
    <cellStyle name="Normal 2 2 2 2 4 2 2 6 14" xfId="14567" xr:uid="{00000000-0005-0000-0000-0000E7380000}"/>
    <cellStyle name="Normal 2 2 2 2 4 2 2 6 2" xfId="14568" xr:uid="{00000000-0005-0000-0000-0000E8380000}"/>
    <cellStyle name="Normal 2 2 2 2 4 2 2 6 2 10" xfId="14569" xr:uid="{00000000-0005-0000-0000-0000E9380000}"/>
    <cellStyle name="Normal 2 2 2 2 4 2 2 6 2 2" xfId="14570" xr:uid="{00000000-0005-0000-0000-0000EA380000}"/>
    <cellStyle name="Normal 2 2 2 2 4 2 2 6 2 3" xfId="14571" xr:uid="{00000000-0005-0000-0000-0000EB380000}"/>
    <cellStyle name="Normal 2 2 2 2 4 2 2 6 2 4" xfId="14572" xr:uid="{00000000-0005-0000-0000-0000EC380000}"/>
    <cellStyle name="Normal 2 2 2 2 4 2 2 6 2 5" xfId="14573" xr:uid="{00000000-0005-0000-0000-0000ED380000}"/>
    <cellStyle name="Normal 2 2 2 2 4 2 2 6 2 6" xfId="14574" xr:uid="{00000000-0005-0000-0000-0000EE380000}"/>
    <cellStyle name="Normal 2 2 2 2 4 2 2 6 2 7" xfId="14575" xr:uid="{00000000-0005-0000-0000-0000EF380000}"/>
    <cellStyle name="Normal 2 2 2 2 4 2 2 6 2 8" xfId="14576" xr:uid="{00000000-0005-0000-0000-0000F0380000}"/>
    <cellStyle name="Normal 2 2 2 2 4 2 2 6 2 9" xfId="14577" xr:uid="{00000000-0005-0000-0000-0000F1380000}"/>
    <cellStyle name="Normal 2 2 2 2 4 2 2 6 3" xfId="14578" xr:uid="{00000000-0005-0000-0000-0000F2380000}"/>
    <cellStyle name="Normal 2 2 2 2 4 2 2 6 3 10" xfId="14579" xr:uid="{00000000-0005-0000-0000-0000F3380000}"/>
    <cellStyle name="Normal 2 2 2 2 4 2 2 6 3 2" xfId="14580" xr:uid="{00000000-0005-0000-0000-0000F4380000}"/>
    <cellStyle name="Normal 2 2 2 2 4 2 2 6 3 3" xfId="14581" xr:uid="{00000000-0005-0000-0000-0000F5380000}"/>
    <cellStyle name="Normal 2 2 2 2 4 2 2 6 3 4" xfId="14582" xr:uid="{00000000-0005-0000-0000-0000F6380000}"/>
    <cellStyle name="Normal 2 2 2 2 4 2 2 6 3 5" xfId="14583" xr:uid="{00000000-0005-0000-0000-0000F7380000}"/>
    <cellStyle name="Normal 2 2 2 2 4 2 2 6 3 6" xfId="14584" xr:uid="{00000000-0005-0000-0000-0000F8380000}"/>
    <cellStyle name="Normal 2 2 2 2 4 2 2 6 3 7" xfId="14585" xr:uid="{00000000-0005-0000-0000-0000F9380000}"/>
    <cellStyle name="Normal 2 2 2 2 4 2 2 6 3 8" xfId="14586" xr:uid="{00000000-0005-0000-0000-0000FA380000}"/>
    <cellStyle name="Normal 2 2 2 2 4 2 2 6 3 9" xfId="14587" xr:uid="{00000000-0005-0000-0000-0000FB380000}"/>
    <cellStyle name="Normal 2 2 2 2 4 2 2 6 4" xfId="14588" xr:uid="{00000000-0005-0000-0000-0000FC380000}"/>
    <cellStyle name="Normal 2 2 2 2 4 2 2 6 4 10" xfId="14589" xr:uid="{00000000-0005-0000-0000-0000FD380000}"/>
    <cellStyle name="Normal 2 2 2 2 4 2 2 6 4 2" xfId="14590" xr:uid="{00000000-0005-0000-0000-0000FE380000}"/>
    <cellStyle name="Normal 2 2 2 2 4 2 2 6 4 3" xfId="14591" xr:uid="{00000000-0005-0000-0000-0000FF380000}"/>
    <cellStyle name="Normal 2 2 2 2 4 2 2 6 4 4" xfId="14592" xr:uid="{00000000-0005-0000-0000-000000390000}"/>
    <cellStyle name="Normal 2 2 2 2 4 2 2 6 4 5" xfId="14593" xr:uid="{00000000-0005-0000-0000-000001390000}"/>
    <cellStyle name="Normal 2 2 2 2 4 2 2 6 4 6" xfId="14594" xr:uid="{00000000-0005-0000-0000-000002390000}"/>
    <cellStyle name="Normal 2 2 2 2 4 2 2 6 4 7" xfId="14595" xr:uid="{00000000-0005-0000-0000-000003390000}"/>
    <cellStyle name="Normal 2 2 2 2 4 2 2 6 4 8" xfId="14596" xr:uid="{00000000-0005-0000-0000-000004390000}"/>
    <cellStyle name="Normal 2 2 2 2 4 2 2 6 4 9" xfId="14597" xr:uid="{00000000-0005-0000-0000-000005390000}"/>
    <cellStyle name="Normal 2 2 2 2 4 2 2 6 5" xfId="14598" xr:uid="{00000000-0005-0000-0000-000006390000}"/>
    <cellStyle name="Normal 2 2 2 2 4 2 2 6 5 10" xfId="14599" xr:uid="{00000000-0005-0000-0000-000007390000}"/>
    <cellStyle name="Normal 2 2 2 2 4 2 2 6 5 2" xfId="14600" xr:uid="{00000000-0005-0000-0000-000008390000}"/>
    <cellStyle name="Normal 2 2 2 2 4 2 2 6 5 3" xfId="14601" xr:uid="{00000000-0005-0000-0000-000009390000}"/>
    <cellStyle name="Normal 2 2 2 2 4 2 2 6 5 4" xfId="14602" xr:uid="{00000000-0005-0000-0000-00000A390000}"/>
    <cellStyle name="Normal 2 2 2 2 4 2 2 6 5 5" xfId="14603" xr:uid="{00000000-0005-0000-0000-00000B390000}"/>
    <cellStyle name="Normal 2 2 2 2 4 2 2 6 5 6" xfId="14604" xr:uid="{00000000-0005-0000-0000-00000C390000}"/>
    <cellStyle name="Normal 2 2 2 2 4 2 2 6 5 7" xfId="14605" xr:uid="{00000000-0005-0000-0000-00000D390000}"/>
    <cellStyle name="Normal 2 2 2 2 4 2 2 6 5 8" xfId="14606" xr:uid="{00000000-0005-0000-0000-00000E390000}"/>
    <cellStyle name="Normal 2 2 2 2 4 2 2 6 5 9" xfId="14607" xr:uid="{00000000-0005-0000-0000-00000F390000}"/>
    <cellStyle name="Normal 2 2 2 2 4 2 2 6 6" xfId="14608" xr:uid="{00000000-0005-0000-0000-000010390000}"/>
    <cellStyle name="Normal 2 2 2 2 4 2 2 6 7" xfId="14609" xr:uid="{00000000-0005-0000-0000-000011390000}"/>
    <cellStyle name="Normal 2 2 2 2 4 2 2 6 8" xfId="14610" xr:uid="{00000000-0005-0000-0000-000012390000}"/>
    <cellStyle name="Normal 2 2 2 2 4 2 2 6 9" xfId="14611" xr:uid="{00000000-0005-0000-0000-000013390000}"/>
    <cellStyle name="Normal 2 2 2 2 4 2 2 7" xfId="14612" xr:uid="{00000000-0005-0000-0000-000014390000}"/>
    <cellStyle name="Normal 2 2 2 2 4 2 2 7 10" xfId="14613" xr:uid="{00000000-0005-0000-0000-000015390000}"/>
    <cellStyle name="Normal 2 2 2 2 4 2 2 7 11" xfId="14614" xr:uid="{00000000-0005-0000-0000-000016390000}"/>
    <cellStyle name="Normal 2 2 2 2 4 2 2 7 12" xfId="14615" xr:uid="{00000000-0005-0000-0000-000017390000}"/>
    <cellStyle name="Normal 2 2 2 2 4 2 2 7 13" xfId="14616" xr:uid="{00000000-0005-0000-0000-000018390000}"/>
    <cellStyle name="Normal 2 2 2 2 4 2 2 7 14" xfId="14617" xr:uid="{00000000-0005-0000-0000-000019390000}"/>
    <cellStyle name="Normal 2 2 2 2 4 2 2 7 2" xfId="14618" xr:uid="{00000000-0005-0000-0000-00001A390000}"/>
    <cellStyle name="Normal 2 2 2 2 4 2 2 7 2 10" xfId="14619" xr:uid="{00000000-0005-0000-0000-00001B390000}"/>
    <cellStyle name="Normal 2 2 2 2 4 2 2 7 2 2" xfId="14620" xr:uid="{00000000-0005-0000-0000-00001C390000}"/>
    <cellStyle name="Normal 2 2 2 2 4 2 2 7 2 3" xfId="14621" xr:uid="{00000000-0005-0000-0000-00001D390000}"/>
    <cellStyle name="Normal 2 2 2 2 4 2 2 7 2 4" xfId="14622" xr:uid="{00000000-0005-0000-0000-00001E390000}"/>
    <cellStyle name="Normal 2 2 2 2 4 2 2 7 2 5" xfId="14623" xr:uid="{00000000-0005-0000-0000-00001F390000}"/>
    <cellStyle name="Normal 2 2 2 2 4 2 2 7 2 6" xfId="14624" xr:uid="{00000000-0005-0000-0000-000020390000}"/>
    <cellStyle name="Normal 2 2 2 2 4 2 2 7 2 7" xfId="14625" xr:uid="{00000000-0005-0000-0000-000021390000}"/>
    <cellStyle name="Normal 2 2 2 2 4 2 2 7 2 8" xfId="14626" xr:uid="{00000000-0005-0000-0000-000022390000}"/>
    <cellStyle name="Normal 2 2 2 2 4 2 2 7 2 9" xfId="14627" xr:uid="{00000000-0005-0000-0000-000023390000}"/>
    <cellStyle name="Normal 2 2 2 2 4 2 2 7 3" xfId="14628" xr:uid="{00000000-0005-0000-0000-000024390000}"/>
    <cellStyle name="Normal 2 2 2 2 4 2 2 7 3 10" xfId="14629" xr:uid="{00000000-0005-0000-0000-000025390000}"/>
    <cellStyle name="Normal 2 2 2 2 4 2 2 7 3 2" xfId="14630" xr:uid="{00000000-0005-0000-0000-000026390000}"/>
    <cellStyle name="Normal 2 2 2 2 4 2 2 7 3 3" xfId="14631" xr:uid="{00000000-0005-0000-0000-000027390000}"/>
    <cellStyle name="Normal 2 2 2 2 4 2 2 7 3 4" xfId="14632" xr:uid="{00000000-0005-0000-0000-000028390000}"/>
    <cellStyle name="Normal 2 2 2 2 4 2 2 7 3 5" xfId="14633" xr:uid="{00000000-0005-0000-0000-000029390000}"/>
    <cellStyle name="Normal 2 2 2 2 4 2 2 7 3 6" xfId="14634" xr:uid="{00000000-0005-0000-0000-00002A390000}"/>
    <cellStyle name="Normal 2 2 2 2 4 2 2 7 3 7" xfId="14635" xr:uid="{00000000-0005-0000-0000-00002B390000}"/>
    <cellStyle name="Normal 2 2 2 2 4 2 2 7 3 8" xfId="14636" xr:uid="{00000000-0005-0000-0000-00002C390000}"/>
    <cellStyle name="Normal 2 2 2 2 4 2 2 7 3 9" xfId="14637" xr:uid="{00000000-0005-0000-0000-00002D390000}"/>
    <cellStyle name="Normal 2 2 2 2 4 2 2 7 4" xfId="14638" xr:uid="{00000000-0005-0000-0000-00002E390000}"/>
    <cellStyle name="Normal 2 2 2 2 4 2 2 7 4 10" xfId="14639" xr:uid="{00000000-0005-0000-0000-00002F390000}"/>
    <cellStyle name="Normal 2 2 2 2 4 2 2 7 4 2" xfId="14640" xr:uid="{00000000-0005-0000-0000-000030390000}"/>
    <cellStyle name="Normal 2 2 2 2 4 2 2 7 4 3" xfId="14641" xr:uid="{00000000-0005-0000-0000-000031390000}"/>
    <cellStyle name="Normal 2 2 2 2 4 2 2 7 4 4" xfId="14642" xr:uid="{00000000-0005-0000-0000-000032390000}"/>
    <cellStyle name="Normal 2 2 2 2 4 2 2 7 4 5" xfId="14643" xr:uid="{00000000-0005-0000-0000-000033390000}"/>
    <cellStyle name="Normal 2 2 2 2 4 2 2 7 4 6" xfId="14644" xr:uid="{00000000-0005-0000-0000-000034390000}"/>
    <cellStyle name="Normal 2 2 2 2 4 2 2 7 4 7" xfId="14645" xr:uid="{00000000-0005-0000-0000-000035390000}"/>
    <cellStyle name="Normal 2 2 2 2 4 2 2 7 4 8" xfId="14646" xr:uid="{00000000-0005-0000-0000-000036390000}"/>
    <cellStyle name="Normal 2 2 2 2 4 2 2 7 4 9" xfId="14647" xr:uid="{00000000-0005-0000-0000-000037390000}"/>
    <cellStyle name="Normal 2 2 2 2 4 2 2 7 5" xfId="14648" xr:uid="{00000000-0005-0000-0000-000038390000}"/>
    <cellStyle name="Normal 2 2 2 2 4 2 2 7 5 10" xfId="14649" xr:uid="{00000000-0005-0000-0000-000039390000}"/>
    <cellStyle name="Normal 2 2 2 2 4 2 2 7 5 2" xfId="14650" xr:uid="{00000000-0005-0000-0000-00003A390000}"/>
    <cellStyle name="Normal 2 2 2 2 4 2 2 7 5 3" xfId="14651" xr:uid="{00000000-0005-0000-0000-00003B390000}"/>
    <cellStyle name="Normal 2 2 2 2 4 2 2 7 5 4" xfId="14652" xr:uid="{00000000-0005-0000-0000-00003C390000}"/>
    <cellStyle name="Normal 2 2 2 2 4 2 2 7 5 5" xfId="14653" xr:uid="{00000000-0005-0000-0000-00003D390000}"/>
    <cellStyle name="Normal 2 2 2 2 4 2 2 7 5 6" xfId="14654" xr:uid="{00000000-0005-0000-0000-00003E390000}"/>
    <cellStyle name="Normal 2 2 2 2 4 2 2 7 5 7" xfId="14655" xr:uid="{00000000-0005-0000-0000-00003F390000}"/>
    <cellStyle name="Normal 2 2 2 2 4 2 2 7 5 8" xfId="14656" xr:uid="{00000000-0005-0000-0000-000040390000}"/>
    <cellStyle name="Normal 2 2 2 2 4 2 2 7 5 9" xfId="14657" xr:uid="{00000000-0005-0000-0000-000041390000}"/>
    <cellStyle name="Normal 2 2 2 2 4 2 2 7 6" xfId="14658" xr:uid="{00000000-0005-0000-0000-000042390000}"/>
    <cellStyle name="Normal 2 2 2 2 4 2 2 7 7" xfId="14659" xr:uid="{00000000-0005-0000-0000-000043390000}"/>
    <cellStyle name="Normal 2 2 2 2 4 2 2 7 8" xfId="14660" xr:uid="{00000000-0005-0000-0000-000044390000}"/>
    <cellStyle name="Normal 2 2 2 2 4 2 2 7 9" xfId="14661" xr:uid="{00000000-0005-0000-0000-000045390000}"/>
    <cellStyle name="Normal 2 2 2 2 4 2 2 8" xfId="14662" xr:uid="{00000000-0005-0000-0000-000046390000}"/>
    <cellStyle name="Normal 2 2 2 2 4 2 2 8 10" xfId="14663" xr:uid="{00000000-0005-0000-0000-000047390000}"/>
    <cellStyle name="Normal 2 2 2 2 4 2 2 8 11" xfId="14664" xr:uid="{00000000-0005-0000-0000-000048390000}"/>
    <cellStyle name="Normal 2 2 2 2 4 2 2 8 12" xfId="14665" xr:uid="{00000000-0005-0000-0000-000049390000}"/>
    <cellStyle name="Normal 2 2 2 2 4 2 2 8 13" xfId="14666" xr:uid="{00000000-0005-0000-0000-00004A390000}"/>
    <cellStyle name="Normal 2 2 2 2 4 2 2 8 14" xfId="14667" xr:uid="{00000000-0005-0000-0000-00004B390000}"/>
    <cellStyle name="Normal 2 2 2 2 4 2 2 8 2" xfId="14668" xr:uid="{00000000-0005-0000-0000-00004C390000}"/>
    <cellStyle name="Normal 2 2 2 2 4 2 2 8 2 10" xfId="14669" xr:uid="{00000000-0005-0000-0000-00004D390000}"/>
    <cellStyle name="Normal 2 2 2 2 4 2 2 8 2 2" xfId="14670" xr:uid="{00000000-0005-0000-0000-00004E390000}"/>
    <cellStyle name="Normal 2 2 2 2 4 2 2 8 2 3" xfId="14671" xr:uid="{00000000-0005-0000-0000-00004F390000}"/>
    <cellStyle name="Normal 2 2 2 2 4 2 2 8 2 4" xfId="14672" xr:uid="{00000000-0005-0000-0000-000050390000}"/>
    <cellStyle name="Normal 2 2 2 2 4 2 2 8 2 5" xfId="14673" xr:uid="{00000000-0005-0000-0000-000051390000}"/>
    <cellStyle name="Normal 2 2 2 2 4 2 2 8 2 6" xfId="14674" xr:uid="{00000000-0005-0000-0000-000052390000}"/>
    <cellStyle name="Normal 2 2 2 2 4 2 2 8 2 7" xfId="14675" xr:uid="{00000000-0005-0000-0000-000053390000}"/>
    <cellStyle name="Normal 2 2 2 2 4 2 2 8 2 8" xfId="14676" xr:uid="{00000000-0005-0000-0000-000054390000}"/>
    <cellStyle name="Normal 2 2 2 2 4 2 2 8 2 9" xfId="14677" xr:uid="{00000000-0005-0000-0000-000055390000}"/>
    <cellStyle name="Normal 2 2 2 2 4 2 2 8 3" xfId="14678" xr:uid="{00000000-0005-0000-0000-000056390000}"/>
    <cellStyle name="Normal 2 2 2 2 4 2 2 8 3 10" xfId="14679" xr:uid="{00000000-0005-0000-0000-000057390000}"/>
    <cellStyle name="Normal 2 2 2 2 4 2 2 8 3 2" xfId="14680" xr:uid="{00000000-0005-0000-0000-000058390000}"/>
    <cellStyle name="Normal 2 2 2 2 4 2 2 8 3 3" xfId="14681" xr:uid="{00000000-0005-0000-0000-000059390000}"/>
    <cellStyle name="Normal 2 2 2 2 4 2 2 8 3 4" xfId="14682" xr:uid="{00000000-0005-0000-0000-00005A390000}"/>
    <cellStyle name="Normal 2 2 2 2 4 2 2 8 3 5" xfId="14683" xr:uid="{00000000-0005-0000-0000-00005B390000}"/>
    <cellStyle name="Normal 2 2 2 2 4 2 2 8 3 6" xfId="14684" xr:uid="{00000000-0005-0000-0000-00005C390000}"/>
    <cellStyle name="Normal 2 2 2 2 4 2 2 8 3 7" xfId="14685" xr:uid="{00000000-0005-0000-0000-00005D390000}"/>
    <cellStyle name="Normal 2 2 2 2 4 2 2 8 3 8" xfId="14686" xr:uid="{00000000-0005-0000-0000-00005E390000}"/>
    <cellStyle name="Normal 2 2 2 2 4 2 2 8 3 9" xfId="14687" xr:uid="{00000000-0005-0000-0000-00005F390000}"/>
    <cellStyle name="Normal 2 2 2 2 4 2 2 8 4" xfId="14688" xr:uid="{00000000-0005-0000-0000-000060390000}"/>
    <cellStyle name="Normal 2 2 2 2 4 2 2 8 4 10" xfId="14689" xr:uid="{00000000-0005-0000-0000-000061390000}"/>
    <cellStyle name="Normal 2 2 2 2 4 2 2 8 4 2" xfId="14690" xr:uid="{00000000-0005-0000-0000-000062390000}"/>
    <cellStyle name="Normal 2 2 2 2 4 2 2 8 4 3" xfId="14691" xr:uid="{00000000-0005-0000-0000-000063390000}"/>
    <cellStyle name="Normal 2 2 2 2 4 2 2 8 4 4" xfId="14692" xr:uid="{00000000-0005-0000-0000-000064390000}"/>
    <cellStyle name="Normal 2 2 2 2 4 2 2 8 4 5" xfId="14693" xr:uid="{00000000-0005-0000-0000-000065390000}"/>
    <cellStyle name="Normal 2 2 2 2 4 2 2 8 4 6" xfId="14694" xr:uid="{00000000-0005-0000-0000-000066390000}"/>
    <cellStyle name="Normal 2 2 2 2 4 2 2 8 4 7" xfId="14695" xr:uid="{00000000-0005-0000-0000-000067390000}"/>
    <cellStyle name="Normal 2 2 2 2 4 2 2 8 4 8" xfId="14696" xr:uid="{00000000-0005-0000-0000-000068390000}"/>
    <cellStyle name="Normal 2 2 2 2 4 2 2 8 4 9" xfId="14697" xr:uid="{00000000-0005-0000-0000-000069390000}"/>
    <cellStyle name="Normal 2 2 2 2 4 2 2 8 5" xfId="14698" xr:uid="{00000000-0005-0000-0000-00006A390000}"/>
    <cellStyle name="Normal 2 2 2 2 4 2 2 8 5 10" xfId="14699" xr:uid="{00000000-0005-0000-0000-00006B390000}"/>
    <cellStyle name="Normal 2 2 2 2 4 2 2 8 5 2" xfId="14700" xr:uid="{00000000-0005-0000-0000-00006C390000}"/>
    <cellStyle name="Normal 2 2 2 2 4 2 2 8 5 3" xfId="14701" xr:uid="{00000000-0005-0000-0000-00006D390000}"/>
    <cellStyle name="Normal 2 2 2 2 4 2 2 8 5 4" xfId="14702" xr:uid="{00000000-0005-0000-0000-00006E390000}"/>
    <cellStyle name="Normal 2 2 2 2 4 2 2 8 5 5" xfId="14703" xr:uid="{00000000-0005-0000-0000-00006F390000}"/>
    <cellStyle name="Normal 2 2 2 2 4 2 2 8 5 6" xfId="14704" xr:uid="{00000000-0005-0000-0000-000070390000}"/>
    <cellStyle name="Normal 2 2 2 2 4 2 2 8 5 7" xfId="14705" xr:uid="{00000000-0005-0000-0000-000071390000}"/>
    <cellStyle name="Normal 2 2 2 2 4 2 2 8 5 8" xfId="14706" xr:uid="{00000000-0005-0000-0000-000072390000}"/>
    <cellStyle name="Normal 2 2 2 2 4 2 2 8 5 9" xfId="14707" xr:uid="{00000000-0005-0000-0000-000073390000}"/>
    <cellStyle name="Normal 2 2 2 2 4 2 2 8 6" xfId="14708" xr:uid="{00000000-0005-0000-0000-000074390000}"/>
    <cellStyle name="Normal 2 2 2 2 4 2 2 8 7" xfId="14709" xr:uid="{00000000-0005-0000-0000-000075390000}"/>
    <cellStyle name="Normal 2 2 2 2 4 2 2 8 8" xfId="14710" xr:uid="{00000000-0005-0000-0000-000076390000}"/>
    <cellStyle name="Normal 2 2 2 2 4 2 2 8 9" xfId="14711" xr:uid="{00000000-0005-0000-0000-000077390000}"/>
    <cellStyle name="Normal 2 2 2 2 4 2 2 9" xfId="14712" xr:uid="{00000000-0005-0000-0000-000078390000}"/>
    <cellStyle name="Normal 2 2 2 2 4 2 2 9 10" xfId="14713" xr:uid="{00000000-0005-0000-0000-000079390000}"/>
    <cellStyle name="Normal 2 2 2 2 4 2 2 9 11" xfId="14714" xr:uid="{00000000-0005-0000-0000-00007A390000}"/>
    <cellStyle name="Normal 2 2 2 2 4 2 2 9 12" xfId="14715" xr:uid="{00000000-0005-0000-0000-00007B390000}"/>
    <cellStyle name="Normal 2 2 2 2 4 2 2 9 13" xfId="14716" xr:uid="{00000000-0005-0000-0000-00007C390000}"/>
    <cellStyle name="Normal 2 2 2 2 4 2 2 9 14" xfId="14717" xr:uid="{00000000-0005-0000-0000-00007D390000}"/>
    <cellStyle name="Normal 2 2 2 2 4 2 2 9 2" xfId="14718" xr:uid="{00000000-0005-0000-0000-00007E390000}"/>
    <cellStyle name="Normal 2 2 2 2 4 2 2 9 2 10" xfId="14719" xr:uid="{00000000-0005-0000-0000-00007F390000}"/>
    <cellStyle name="Normal 2 2 2 2 4 2 2 9 2 2" xfId="14720" xr:uid="{00000000-0005-0000-0000-000080390000}"/>
    <cellStyle name="Normal 2 2 2 2 4 2 2 9 2 3" xfId="14721" xr:uid="{00000000-0005-0000-0000-000081390000}"/>
    <cellStyle name="Normal 2 2 2 2 4 2 2 9 2 4" xfId="14722" xr:uid="{00000000-0005-0000-0000-000082390000}"/>
    <cellStyle name="Normal 2 2 2 2 4 2 2 9 2 5" xfId="14723" xr:uid="{00000000-0005-0000-0000-000083390000}"/>
    <cellStyle name="Normal 2 2 2 2 4 2 2 9 2 6" xfId="14724" xr:uid="{00000000-0005-0000-0000-000084390000}"/>
    <cellStyle name="Normal 2 2 2 2 4 2 2 9 2 7" xfId="14725" xr:uid="{00000000-0005-0000-0000-000085390000}"/>
    <cellStyle name="Normal 2 2 2 2 4 2 2 9 2 8" xfId="14726" xr:uid="{00000000-0005-0000-0000-000086390000}"/>
    <cellStyle name="Normal 2 2 2 2 4 2 2 9 2 9" xfId="14727" xr:uid="{00000000-0005-0000-0000-000087390000}"/>
    <cellStyle name="Normal 2 2 2 2 4 2 2 9 3" xfId="14728" xr:uid="{00000000-0005-0000-0000-000088390000}"/>
    <cellStyle name="Normal 2 2 2 2 4 2 2 9 3 10" xfId="14729" xr:uid="{00000000-0005-0000-0000-000089390000}"/>
    <cellStyle name="Normal 2 2 2 2 4 2 2 9 3 2" xfId="14730" xr:uid="{00000000-0005-0000-0000-00008A390000}"/>
    <cellStyle name="Normal 2 2 2 2 4 2 2 9 3 3" xfId="14731" xr:uid="{00000000-0005-0000-0000-00008B390000}"/>
    <cellStyle name="Normal 2 2 2 2 4 2 2 9 3 4" xfId="14732" xr:uid="{00000000-0005-0000-0000-00008C390000}"/>
    <cellStyle name="Normal 2 2 2 2 4 2 2 9 3 5" xfId="14733" xr:uid="{00000000-0005-0000-0000-00008D390000}"/>
    <cellStyle name="Normal 2 2 2 2 4 2 2 9 3 6" xfId="14734" xr:uid="{00000000-0005-0000-0000-00008E390000}"/>
    <cellStyle name="Normal 2 2 2 2 4 2 2 9 3 7" xfId="14735" xr:uid="{00000000-0005-0000-0000-00008F390000}"/>
    <cellStyle name="Normal 2 2 2 2 4 2 2 9 3 8" xfId="14736" xr:uid="{00000000-0005-0000-0000-000090390000}"/>
    <cellStyle name="Normal 2 2 2 2 4 2 2 9 3 9" xfId="14737" xr:uid="{00000000-0005-0000-0000-000091390000}"/>
    <cellStyle name="Normal 2 2 2 2 4 2 2 9 4" xfId="14738" xr:uid="{00000000-0005-0000-0000-000092390000}"/>
    <cellStyle name="Normal 2 2 2 2 4 2 2 9 4 10" xfId="14739" xr:uid="{00000000-0005-0000-0000-000093390000}"/>
    <cellStyle name="Normal 2 2 2 2 4 2 2 9 4 2" xfId="14740" xr:uid="{00000000-0005-0000-0000-000094390000}"/>
    <cellStyle name="Normal 2 2 2 2 4 2 2 9 4 3" xfId="14741" xr:uid="{00000000-0005-0000-0000-000095390000}"/>
    <cellStyle name="Normal 2 2 2 2 4 2 2 9 4 4" xfId="14742" xr:uid="{00000000-0005-0000-0000-000096390000}"/>
    <cellStyle name="Normal 2 2 2 2 4 2 2 9 4 5" xfId="14743" xr:uid="{00000000-0005-0000-0000-000097390000}"/>
    <cellStyle name="Normal 2 2 2 2 4 2 2 9 4 6" xfId="14744" xr:uid="{00000000-0005-0000-0000-000098390000}"/>
    <cellStyle name="Normal 2 2 2 2 4 2 2 9 4 7" xfId="14745" xr:uid="{00000000-0005-0000-0000-000099390000}"/>
    <cellStyle name="Normal 2 2 2 2 4 2 2 9 4 8" xfId="14746" xr:uid="{00000000-0005-0000-0000-00009A390000}"/>
    <cellStyle name="Normal 2 2 2 2 4 2 2 9 4 9" xfId="14747" xr:uid="{00000000-0005-0000-0000-00009B390000}"/>
    <cellStyle name="Normal 2 2 2 2 4 2 2 9 5" xfId="14748" xr:uid="{00000000-0005-0000-0000-00009C390000}"/>
    <cellStyle name="Normal 2 2 2 2 4 2 2 9 5 10" xfId="14749" xr:uid="{00000000-0005-0000-0000-00009D390000}"/>
    <cellStyle name="Normal 2 2 2 2 4 2 2 9 5 2" xfId="14750" xr:uid="{00000000-0005-0000-0000-00009E390000}"/>
    <cellStyle name="Normal 2 2 2 2 4 2 2 9 5 3" xfId="14751" xr:uid="{00000000-0005-0000-0000-00009F390000}"/>
    <cellStyle name="Normal 2 2 2 2 4 2 2 9 5 4" xfId="14752" xr:uid="{00000000-0005-0000-0000-0000A0390000}"/>
    <cellStyle name="Normal 2 2 2 2 4 2 2 9 5 5" xfId="14753" xr:uid="{00000000-0005-0000-0000-0000A1390000}"/>
    <cellStyle name="Normal 2 2 2 2 4 2 2 9 5 6" xfId="14754" xr:uid="{00000000-0005-0000-0000-0000A2390000}"/>
    <cellStyle name="Normal 2 2 2 2 4 2 2 9 5 7" xfId="14755" xr:uid="{00000000-0005-0000-0000-0000A3390000}"/>
    <cellStyle name="Normal 2 2 2 2 4 2 2 9 5 8" xfId="14756" xr:uid="{00000000-0005-0000-0000-0000A4390000}"/>
    <cellStyle name="Normal 2 2 2 2 4 2 2 9 5 9" xfId="14757" xr:uid="{00000000-0005-0000-0000-0000A5390000}"/>
    <cellStyle name="Normal 2 2 2 2 4 2 2 9 6" xfId="14758" xr:uid="{00000000-0005-0000-0000-0000A6390000}"/>
    <cellStyle name="Normal 2 2 2 2 4 2 2 9 7" xfId="14759" xr:uid="{00000000-0005-0000-0000-0000A7390000}"/>
    <cellStyle name="Normal 2 2 2 2 4 2 2 9 8" xfId="14760" xr:uid="{00000000-0005-0000-0000-0000A8390000}"/>
    <cellStyle name="Normal 2 2 2 2 4 2 2 9 9" xfId="14761" xr:uid="{00000000-0005-0000-0000-0000A9390000}"/>
    <cellStyle name="Normal 2 2 2 2 4 2 20" xfId="14762" xr:uid="{00000000-0005-0000-0000-0000AA390000}"/>
    <cellStyle name="Normal 2 2 2 2 4 2 21" xfId="14763" xr:uid="{00000000-0005-0000-0000-0000AB390000}"/>
    <cellStyle name="Normal 2 2 2 2 4 2 21 10" xfId="14764" xr:uid="{00000000-0005-0000-0000-0000AC390000}"/>
    <cellStyle name="Normal 2 2 2 2 4 2 21 2" xfId="14765" xr:uid="{00000000-0005-0000-0000-0000AD390000}"/>
    <cellStyle name="Normal 2 2 2 2 4 2 21 3" xfId="14766" xr:uid="{00000000-0005-0000-0000-0000AE390000}"/>
    <cellStyle name="Normal 2 2 2 2 4 2 21 4" xfId="14767" xr:uid="{00000000-0005-0000-0000-0000AF390000}"/>
    <cellStyle name="Normal 2 2 2 2 4 2 21 5" xfId="14768" xr:uid="{00000000-0005-0000-0000-0000B0390000}"/>
    <cellStyle name="Normal 2 2 2 2 4 2 21 6" xfId="14769" xr:uid="{00000000-0005-0000-0000-0000B1390000}"/>
    <cellStyle name="Normal 2 2 2 2 4 2 21 7" xfId="14770" xr:uid="{00000000-0005-0000-0000-0000B2390000}"/>
    <cellStyle name="Normal 2 2 2 2 4 2 21 8" xfId="14771" xr:uid="{00000000-0005-0000-0000-0000B3390000}"/>
    <cellStyle name="Normal 2 2 2 2 4 2 21 9" xfId="14772" xr:uid="{00000000-0005-0000-0000-0000B4390000}"/>
    <cellStyle name="Normal 2 2 2 2 4 2 22" xfId="14773" xr:uid="{00000000-0005-0000-0000-0000B5390000}"/>
    <cellStyle name="Normal 2 2 2 2 4 2 22 10" xfId="14774" xr:uid="{00000000-0005-0000-0000-0000B6390000}"/>
    <cellStyle name="Normal 2 2 2 2 4 2 22 2" xfId="14775" xr:uid="{00000000-0005-0000-0000-0000B7390000}"/>
    <cellStyle name="Normal 2 2 2 2 4 2 22 3" xfId="14776" xr:uid="{00000000-0005-0000-0000-0000B8390000}"/>
    <cellStyle name="Normal 2 2 2 2 4 2 22 4" xfId="14777" xr:uid="{00000000-0005-0000-0000-0000B9390000}"/>
    <cellStyle name="Normal 2 2 2 2 4 2 22 5" xfId="14778" xr:uid="{00000000-0005-0000-0000-0000BA390000}"/>
    <cellStyle name="Normal 2 2 2 2 4 2 22 6" xfId="14779" xr:uid="{00000000-0005-0000-0000-0000BB390000}"/>
    <cellStyle name="Normal 2 2 2 2 4 2 22 7" xfId="14780" xr:uid="{00000000-0005-0000-0000-0000BC390000}"/>
    <cellStyle name="Normal 2 2 2 2 4 2 22 8" xfId="14781" xr:uid="{00000000-0005-0000-0000-0000BD390000}"/>
    <cellStyle name="Normal 2 2 2 2 4 2 22 9" xfId="14782" xr:uid="{00000000-0005-0000-0000-0000BE390000}"/>
    <cellStyle name="Normal 2 2 2 2 4 2 23" xfId="14783" xr:uid="{00000000-0005-0000-0000-0000BF390000}"/>
    <cellStyle name="Normal 2 2 2 2 4 2 23 10" xfId="14784" xr:uid="{00000000-0005-0000-0000-0000C0390000}"/>
    <cellStyle name="Normal 2 2 2 2 4 2 23 2" xfId="14785" xr:uid="{00000000-0005-0000-0000-0000C1390000}"/>
    <cellStyle name="Normal 2 2 2 2 4 2 23 3" xfId="14786" xr:uid="{00000000-0005-0000-0000-0000C2390000}"/>
    <cellStyle name="Normal 2 2 2 2 4 2 23 4" xfId="14787" xr:uid="{00000000-0005-0000-0000-0000C3390000}"/>
    <cellStyle name="Normal 2 2 2 2 4 2 23 5" xfId="14788" xr:uid="{00000000-0005-0000-0000-0000C4390000}"/>
    <cellStyle name="Normal 2 2 2 2 4 2 23 6" xfId="14789" xr:uid="{00000000-0005-0000-0000-0000C5390000}"/>
    <cellStyle name="Normal 2 2 2 2 4 2 23 7" xfId="14790" xr:uid="{00000000-0005-0000-0000-0000C6390000}"/>
    <cellStyle name="Normal 2 2 2 2 4 2 23 8" xfId="14791" xr:uid="{00000000-0005-0000-0000-0000C7390000}"/>
    <cellStyle name="Normal 2 2 2 2 4 2 23 9" xfId="14792" xr:uid="{00000000-0005-0000-0000-0000C8390000}"/>
    <cellStyle name="Normal 2 2 2 2 4 2 24" xfId="14793" xr:uid="{00000000-0005-0000-0000-0000C9390000}"/>
    <cellStyle name="Normal 2 2 2 2 4 2 24 10" xfId="14794" xr:uid="{00000000-0005-0000-0000-0000CA390000}"/>
    <cellStyle name="Normal 2 2 2 2 4 2 24 2" xfId="14795" xr:uid="{00000000-0005-0000-0000-0000CB390000}"/>
    <cellStyle name="Normal 2 2 2 2 4 2 24 3" xfId="14796" xr:uid="{00000000-0005-0000-0000-0000CC390000}"/>
    <cellStyle name="Normal 2 2 2 2 4 2 24 4" xfId="14797" xr:uid="{00000000-0005-0000-0000-0000CD390000}"/>
    <cellStyle name="Normal 2 2 2 2 4 2 24 5" xfId="14798" xr:uid="{00000000-0005-0000-0000-0000CE390000}"/>
    <cellStyle name="Normal 2 2 2 2 4 2 24 6" xfId="14799" xr:uid="{00000000-0005-0000-0000-0000CF390000}"/>
    <cellStyle name="Normal 2 2 2 2 4 2 24 7" xfId="14800" xr:uid="{00000000-0005-0000-0000-0000D0390000}"/>
    <cellStyle name="Normal 2 2 2 2 4 2 24 8" xfId="14801" xr:uid="{00000000-0005-0000-0000-0000D1390000}"/>
    <cellStyle name="Normal 2 2 2 2 4 2 24 9" xfId="14802" xr:uid="{00000000-0005-0000-0000-0000D2390000}"/>
    <cellStyle name="Normal 2 2 2 2 4 2 25" xfId="14803" xr:uid="{00000000-0005-0000-0000-0000D3390000}"/>
    <cellStyle name="Normal 2 2 2 2 4 2 26" xfId="14804" xr:uid="{00000000-0005-0000-0000-0000D4390000}"/>
    <cellStyle name="Normal 2 2 2 2 4 2 27" xfId="14805" xr:uid="{00000000-0005-0000-0000-0000D5390000}"/>
    <cellStyle name="Normal 2 2 2 2 4 2 28" xfId="14806" xr:uid="{00000000-0005-0000-0000-0000D6390000}"/>
    <cellStyle name="Normal 2 2 2 2 4 2 29" xfId="14807" xr:uid="{00000000-0005-0000-0000-0000D7390000}"/>
    <cellStyle name="Normal 2 2 2 2 4 2 3" xfId="14808" xr:uid="{00000000-0005-0000-0000-0000D8390000}"/>
    <cellStyle name="Normal 2 2 2 2 4 2 30" xfId="14809" xr:uid="{00000000-0005-0000-0000-0000D9390000}"/>
    <cellStyle name="Normal 2 2 2 2 4 2 31" xfId="14810" xr:uid="{00000000-0005-0000-0000-0000DA390000}"/>
    <cellStyle name="Normal 2 2 2 2 4 2 32" xfId="14811" xr:uid="{00000000-0005-0000-0000-0000DB390000}"/>
    <cellStyle name="Normal 2 2 2 2 4 2 33" xfId="14812" xr:uid="{00000000-0005-0000-0000-0000DC390000}"/>
    <cellStyle name="Normal 2 2 2 2 4 2 34" xfId="14813" xr:uid="{00000000-0005-0000-0000-0000DD390000}"/>
    <cellStyle name="Normal 2 2 2 2 4 2 35" xfId="14814" xr:uid="{00000000-0005-0000-0000-0000DE390000}"/>
    <cellStyle name="Normal 2 2 2 2 4 2 4" xfId="14815" xr:uid="{00000000-0005-0000-0000-0000DF390000}"/>
    <cellStyle name="Normal 2 2 2 2 4 2 5" xfId="14816" xr:uid="{00000000-0005-0000-0000-0000E0390000}"/>
    <cellStyle name="Normal 2 2 2 2 4 2 6" xfId="14817" xr:uid="{00000000-0005-0000-0000-0000E1390000}"/>
    <cellStyle name="Normal 2 2 2 2 4 2 7" xfId="14818" xr:uid="{00000000-0005-0000-0000-0000E2390000}"/>
    <cellStyle name="Normal 2 2 2 2 4 2 8" xfId="14819" xr:uid="{00000000-0005-0000-0000-0000E3390000}"/>
    <cellStyle name="Normal 2 2 2 2 4 2 9" xfId="14820" xr:uid="{00000000-0005-0000-0000-0000E4390000}"/>
    <cellStyle name="Normal 2 2 2 2 4 20" xfId="14821" xr:uid="{00000000-0005-0000-0000-0000E5390000}"/>
    <cellStyle name="Normal 2 2 2 2 4 20 10" xfId="14822" xr:uid="{00000000-0005-0000-0000-0000E6390000}"/>
    <cellStyle name="Normal 2 2 2 2 4 20 11" xfId="14823" xr:uid="{00000000-0005-0000-0000-0000E7390000}"/>
    <cellStyle name="Normal 2 2 2 2 4 20 12" xfId="14824" xr:uid="{00000000-0005-0000-0000-0000E8390000}"/>
    <cellStyle name="Normal 2 2 2 2 4 20 13" xfId="14825" xr:uid="{00000000-0005-0000-0000-0000E9390000}"/>
    <cellStyle name="Normal 2 2 2 2 4 20 14" xfId="14826" xr:uid="{00000000-0005-0000-0000-0000EA390000}"/>
    <cellStyle name="Normal 2 2 2 2 4 20 2" xfId="14827" xr:uid="{00000000-0005-0000-0000-0000EB390000}"/>
    <cellStyle name="Normal 2 2 2 2 4 20 2 10" xfId="14828" xr:uid="{00000000-0005-0000-0000-0000EC390000}"/>
    <cellStyle name="Normal 2 2 2 2 4 20 2 2" xfId="14829" xr:uid="{00000000-0005-0000-0000-0000ED390000}"/>
    <cellStyle name="Normal 2 2 2 2 4 20 2 3" xfId="14830" xr:uid="{00000000-0005-0000-0000-0000EE390000}"/>
    <cellStyle name="Normal 2 2 2 2 4 20 2 4" xfId="14831" xr:uid="{00000000-0005-0000-0000-0000EF390000}"/>
    <cellStyle name="Normal 2 2 2 2 4 20 2 5" xfId="14832" xr:uid="{00000000-0005-0000-0000-0000F0390000}"/>
    <cellStyle name="Normal 2 2 2 2 4 20 2 6" xfId="14833" xr:uid="{00000000-0005-0000-0000-0000F1390000}"/>
    <cellStyle name="Normal 2 2 2 2 4 20 2 7" xfId="14834" xr:uid="{00000000-0005-0000-0000-0000F2390000}"/>
    <cellStyle name="Normal 2 2 2 2 4 20 2 8" xfId="14835" xr:uid="{00000000-0005-0000-0000-0000F3390000}"/>
    <cellStyle name="Normal 2 2 2 2 4 20 2 9" xfId="14836" xr:uid="{00000000-0005-0000-0000-0000F4390000}"/>
    <cellStyle name="Normal 2 2 2 2 4 20 3" xfId="14837" xr:uid="{00000000-0005-0000-0000-0000F5390000}"/>
    <cellStyle name="Normal 2 2 2 2 4 20 3 10" xfId="14838" xr:uid="{00000000-0005-0000-0000-0000F6390000}"/>
    <cellStyle name="Normal 2 2 2 2 4 20 3 2" xfId="14839" xr:uid="{00000000-0005-0000-0000-0000F7390000}"/>
    <cellStyle name="Normal 2 2 2 2 4 20 3 3" xfId="14840" xr:uid="{00000000-0005-0000-0000-0000F8390000}"/>
    <cellStyle name="Normal 2 2 2 2 4 20 3 4" xfId="14841" xr:uid="{00000000-0005-0000-0000-0000F9390000}"/>
    <cellStyle name="Normal 2 2 2 2 4 20 3 5" xfId="14842" xr:uid="{00000000-0005-0000-0000-0000FA390000}"/>
    <cellStyle name="Normal 2 2 2 2 4 20 3 6" xfId="14843" xr:uid="{00000000-0005-0000-0000-0000FB390000}"/>
    <cellStyle name="Normal 2 2 2 2 4 20 3 7" xfId="14844" xr:uid="{00000000-0005-0000-0000-0000FC390000}"/>
    <cellStyle name="Normal 2 2 2 2 4 20 3 8" xfId="14845" xr:uid="{00000000-0005-0000-0000-0000FD390000}"/>
    <cellStyle name="Normal 2 2 2 2 4 20 3 9" xfId="14846" xr:uid="{00000000-0005-0000-0000-0000FE390000}"/>
    <cellStyle name="Normal 2 2 2 2 4 20 4" xfId="14847" xr:uid="{00000000-0005-0000-0000-0000FF390000}"/>
    <cellStyle name="Normal 2 2 2 2 4 20 4 10" xfId="14848" xr:uid="{00000000-0005-0000-0000-0000003A0000}"/>
    <cellStyle name="Normal 2 2 2 2 4 20 4 2" xfId="14849" xr:uid="{00000000-0005-0000-0000-0000013A0000}"/>
    <cellStyle name="Normal 2 2 2 2 4 20 4 3" xfId="14850" xr:uid="{00000000-0005-0000-0000-0000023A0000}"/>
    <cellStyle name="Normal 2 2 2 2 4 20 4 4" xfId="14851" xr:uid="{00000000-0005-0000-0000-0000033A0000}"/>
    <cellStyle name="Normal 2 2 2 2 4 20 4 5" xfId="14852" xr:uid="{00000000-0005-0000-0000-0000043A0000}"/>
    <cellStyle name="Normal 2 2 2 2 4 20 4 6" xfId="14853" xr:uid="{00000000-0005-0000-0000-0000053A0000}"/>
    <cellStyle name="Normal 2 2 2 2 4 20 4 7" xfId="14854" xr:uid="{00000000-0005-0000-0000-0000063A0000}"/>
    <cellStyle name="Normal 2 2 2 2 4 20 4 8" xfId="14855" xr:uid="{00000000-0005-0000-0000-0000073A0000}"/>
    <cellStyle name="Normal 2 2 2 2 4 20 4 9" xfId="14856" xr:uid="{00000000-0005-0000-0000-0000083A0000}"/>
    <cellStyle name="Normal 2 2 2 2 4 20 5" xfId="14857" xr:uid="{00000000-0005-0000-0000-0000093A0000}"/>
    <cellStyle name="Normal 2 2 2 2 4 20 5 10" xfId="14858" xr:uid="{00000000-0005-0000-0000-00000A3A0000}"/>
    <cellStyle name="Normal 2 2 2 2 4 20 5 2" xfId="14859" xr:uid="{00000000-0005-0000-0000-00000B3A0000}"/>
    <cellStyle name="Normal 2 2 2 2 4 20 5 3" xfId="14860" xr:uid="{00000000-0005-0000-0000-00000C3A0000}"/>
    <cellStyle name="Normal 2 2 2 2 4 20 5 4" xfId="14861" xr:uid="{00000000-0005-0000-0000-00000D3A0000}"/>
    <cellStyle name="Normal 2 2 2 2 4 20 5 5" xfId="14862" xr:uid="{00000000-0005-0000-0000-00000E3A0000}"/>
    <cellStyle name="Normal 2 2 2 2 4 20 5 6" xfId="14863" xr:uid="{00000000-0005-0000-0000-00000F3A0000}"/>
    <cellStyle name="Normal 2 2 2 2 4 20 5 7" xfId="14864" xr:uid="{00000000-0005-0000-0000-0000103A0000}"/>
    <cellStyle name="Normal 2 2 2 2 4 20 5 8" xfId="14865" xr:uid="{00000000-0005-0000-0000-0000113A0000}"/>
    <cellStyle name="Normal 2 2 2 2 4 20 5 9" xfId="14866" xr:uid="{00000000-0005-0000-0000-0000123A0000}"/>
    <cellStyle name="Normal 2 2 2 2 4 20 6" xfId="14867" xr:uid="{00000000-0005-0000-0000-0000133A0000}"/>
    <cellStyle name="Normal 2 2 2 2 4 20 7" xfId="14868" xr:uid="{00000000-0005-0000-0000-0000143A0000}"/>
    <cellStyle name="Normal 2 2 2 2 4 20 8" xfId="14869" xr:uid="{00000000-0005-0000-0000-0000153A0000}"/>
    <cellStyle name="Normal 2 2 2 2 4 20 9" xfId="14870" xr:uid="{00000000-0005-0000-0000-0000163A0000}"/>
    <cellStyle name="Normal 2 2 2 2 4 21" xfId="14871" xr:uid="{00000000-0005-0000-0000-0000173A0000}"/>
    <cellStyle name="Normal 2 2 2 2 4 21 10" xfId="14872" xr:uid="{00000000-0005-0000-0000-0000183A0000}"/>
    <cellStyle name="Normal 2 2 2 2 4 21 11" xfId="14873" xr:uid="{00000000-0005-0000-0000-0000193A0000}"/>
    <cellStyle name="Normal 2 2 2 2 4 21 12" xfId="14874" xr:uid="{00000000-0005-0000-0000-00001A3A0000}"/>
    <cellStyle name="Normal 2 2 2 2 4 21 13" xfId="14875" xr:uid="{00000000-0005-0000-0000-00001B3A0000}"/>
    <cellStyle name="Normal 2 2 2 2 4 21 14" xfId="14876" xr:uid="{00000000-0005-0000-0000-00001C3A0000}"/>
    <cellStyle name="Normal 2 2 2 2 4 21 2" xfId="14877" xr:uid="{00000000-0005-0000-0000-00001D3A0000}"/>
    <cellStyle name="Normal 2 2 2 2 4 21 2 10" xfId="14878" xr:uid="{00000000-0005-0000-0000-00001E3A0000}"/>
    <cellStyle name="Normal 2 2 2 2 4 21 2 2" xfId="14879" xr:uid="{00000000-0005-0000-0000-00001F3A0000}"/>
    <cellStyle name="Normal 2 2 2 2 4 21 2 3" xfId="14880" xr:uid="{00000000-0005-0000-0000-0000203A0000}"/>
    <cellStyle name="Normal 2 2 2 2 4 21 2 4" xfId="14881" xr:uid="{00000000-0005-0000-0000-0000213A0000}"/>
    <cellStyle name="Normal 2 2 2 2 4 21 2 5" xfId="14882" xr:uid="{00000000-0005-0000-0000-0000223A0000}"/>
    <cellStyle name="Normal 2 2 2 2 4 21 2 6" xfId="14883" xr:uid="{00000000-0005-0000-0000-0000233A0000}"/>
    <cellStyle name="Normal 2 2 2 2 4 21 2 7" xfId="14884" xr:uid="{00000000-0005-0000-0000-0000243A0000}"/>
    <cellStyle name="Normal 2 2 2 2 4 21 2 8" xfId="14885" xr:uid="{00000000-0005-0000-0000-0000253A0000}"/>
    <cellStyle name="Normal 2 2 2 2 4 21 2 9" xfId="14886" xr:uid="{00000000-0005-0000-0000-0000263A0000}"/>
    <cellStyle name="Normal 2 2 2 2 4 21 3" xfId="14887" xr:uid="{00000000-0005-0000-0000-0000273A0000}"/>
    <cellStyle name="Normal 2 2 2 2 4 21 3 10" xfId="14888" xr:uid="{00000000-0005-0000-0000-0000283A0000}"/>
    <cellStyle name="Normal 2 2 2 2 4 21 3 2" xfId="14889" xr:uid="{00000000-0005-0000-0000-0000293A0000}"/>
    <cellStyle name="Normal 2 2 2 2 4 21 3 3" xfId="14890" xr:uid="{00000000-0005-0000-0000-00002A3A0000}"/>
    <cellStyle name="Normal 2 2 2 2 4 21 3 4" xfId="14891" xr:uid="{00000000-0005-0000-0000-00002B3A0000}"/>
    <cellStyle name="Normal 2 2 2 2 4 21 3 5" xfId="14892" xr:uid="{00000000-0005-0000-0000-00002C3A0000}"/>
    <cellStyle name="Normal 2 2 2 2 4 21 3 6" xfId="14893" xr:uid="{00000000-0005-0000-0000-00002D3A0000}"/>
    <cellStyle name="Normal 2 2 2 2 4 21 3 7" xfId="14894" xr:uid="{00000000-0005-0000-0000-00002E3A0000}"/>
    <cellStyle name="Normal 2 2 2 2 4 21 3 8" xfId="14895" xr:uid="{00000000-0005-0000-0000-00002F3A0000}"/>
    <cellStyle name="Normal 2 2 2 2 4 21 3 9" xfId="14896" xr:uid="{00000000-0005-0000-0000-0000303A0000}"/>
    <cellStyle name="Normal 2 2 2 2 4 21 4" xfId="14897" xr:uid="{00000000-0005-0000-0000-0000313A0000}"/>
    <cellStyle name="Normal 2 2 2 2 4 21 4 10" xfId="14898" xr:uid="{00000000-0005-0000-0000-0000323A0000}"/>
    <cellStyle name="Normal 2 2 2 2 4 21 4 2" xfId="14899" xr:uid="{00000000-0005-0000-0000-0000333A0000}"/>
    <cellStyle name="Normal 2 2 2 2 4 21 4 3" xfId="14900" xr:uid="{00000000-0005-0000-0000-0000343A0000}"/>
    <cellStyle name="Normal 2 2 2 2 4 21 4 4" xfId="14901" xr:uid="{00000000-0005-0000-0000-0000353A0000}"/>
    <cellStyle name="Normal 2 2 2 2 4 21 4 5" xfId="14902" xr:uid="{00000000-0005-0000-0000-0000363A0000}"/>
    <cellStyle name="Normal 2 2 2 2 4 21 4 6" xfId="14903" xr:uid="{00000000-0005-0000-0000-0000373A0000}"/>
    <cellStyle name="Normal 2 2 2 2 4 21 4 7" xfId="14904" xr:uid="{00000000-0005-0000-0000-0000383A0000}"/>
    <cellStyle name="Normal 2 2 2 2 4 21 4 8" xfId="14905" xr:uid="{00000000-0005-0000-0000-0000393A0000}"/>
    <cellStyle name="Normal 2 2 2 2 4 21 4 9" xfId="14906" xr:uid="{00000000-0005-0000-0000-00003A3A0000}"/>
    <cellStyle name="Normal 2 2 2 2 4 21 5" xfId="14907" xr:uid="{00000000-0005-0000-0000-00003B3A0000}"/>
    <cellStyle name="Normal 2 2 2 2 4 21 5 10" xfId="14908" xr:uid="{00000000-0005-0000-0000-00003C3A0000}"/>
    <cellStyle name="Normal 2 2 2 2 4 21 5 2" xfId="14909" xr:uid="{00000000-0005-0000-0000-00003D3A0000}"/>
    <cellStyle name="Normal 2 2 2 2 4 21 5 3" xfId="14910" xr:uid="{00000000-0005-0000-0000-00003E3A0000}"/>
    <cellStyle name="Normal 2 2 2 2 4 21 5 4" xfId="14911" xr:uid="{00000000-0005-0000-0000-00003F3A0000}"/>
    <cellStyle name="Normal 2 2 2 2 4 21 5 5" xfId="14912" xr:uid="{00000000-0005-0000-0000-0000403A0000}"/>
    <cellStyle name="Normal 2 2 2 2 4 21 5 6" xfId="14913" xr:uid="{00000000-0005-0000-0000-0000413A0000}"/>
    <cellStyle name="Normal 2 2 2 2 4 21 5 7" xfId="14914" xr:uid="{00000000-0005-0000-0000-0000423A0000}"/>
    <cellStyle name="Normal 2 2 2 2 4 21 5 8" xfId="14915" xr:uid="{00000000-0005-0000-0000-0000433A0000}"/>
    <cellStyle name="Normal 2 2 2 2 4 21 5 9" xfId="14916" xr:uid="{00000000-0005-0000-0000-0000443A0000}"/>
    <cellStyle name="Normal 2 2 2 2 4 21 6" xfId="14917" xr:uid="{00000000-0005-0000-0000-0000453A0000}"/>
    <cellStyle name="Normal 2 2 2 2 4 21 7" xfId="14918" xr:uid="{00000000-0005-0000-0000-0000463A0000}"/>
    <cellStyle name="Normal 2 2 2 2 4 21 8" xfId="14919" xr:uid="{00000000-0005-0000-0000-0000473A0000}"/>
    <cellStyle name="Normal 2 2 2 2 4 21 9" xfId="14920" xr:uid="{00000000-0005-0000-0000-0000483A0000}"/>
    <cellStyle name="Normal 2 2 2 2 4 22" xfId="14921" xr:uid="{00000000-0005-0000-0000-0000493A0000}"/>
    <cellStyle name="Normal 2 2 2 2 4 22 10" xfId="14922" xr:uid="{00000000-0005-0000-0000-00004A3A0000}"/>
    <cellStyle name="Normal 2 2 2 2 4 22 11" xfId="14923" xr:uid="{00000000-0005-0000-0000-00004B3A0000}"/>
    <cellStyle name="Normal 2 2 2 2 4 22 12" xfId="14924" xr:uid="{00000000-0005-0000-0000-00004C3A0000}"/>
    <cellStyle name="Normal 2 2 2 2 4 22 13" xfId="14925" xr:uid="{00000000-0005-0000-0000-00004D3A0000}"/>
    <cellStyle name="Normal 2 2 2 2 4 22 14" xfId="14926" xr:uid="{00000000-0005-0000-0000-00004E3A0000}"/>
    <cellStyle name="Normal 2 2 2 2 4 22 2" xfId="14927" xr:uid="{00000000-0005-0000-0000-00004F3A0000}"/>
    <cellStyle name="Normal 2 2 2 2 4 22 2 10" xfId="14928" xr:uid="{00000000-0005-0000-0000-0000503A0000}"/>
    <cellStyle name="Normal 2 2 2 2 4 22 2 2" xfId="14929" xr:uid="{00000000-0005-0000-0000-0000513A0000}"/>
    <cellStyle name="Normal 2 2 2 2 4 22 2 3" xfId="14930" xr:uid="{00000000-0005-0000-0000-0000523A0000}"/>
    <cellStyle name="Normal 2 2 2 2 4 22 2 4" xfId="14931" xr:uid="{00000000-0005-0000-0000-0000533A0000}"/>
    <cellStyle name="Normal 2 2 2 2 4 22 2 5" xfId="14932" xr:uid="{00000000-0005-0000-0000-0000543A0000}"/>
    <cellStyle name="Normal 2 2 2 2 4 22 2 6" xfId="14933" xr:uid="{00000000-0005-0000-0000-0000553A0000}"/>
    <cellStyle name="Normal 2 2 2 2 4 22 2 7" xfId="14934" xr:uid="{00000000-0005-0000-0000-0000563A0000}"/>
    <cellStyle name="Normal 2 2 2 2 4 22 2 8" xfId="14935" xr:uid="{00000000-0005-0000-0000-0000573A0000}"/>
    <cellStyle name="Normal 2 2 2 2 4 22 2 9" xfId="14936" xr:uid="{00000000-0005-0000-0000-0000583A0000}"/>
    <cellStyle name="Normal 2 2 2 2 4 22 3" xfId="14937" xr:uid="{00000000-0005-0000-0000-0000593A0000}"/>
    <cellStyle name="Normal 2 2 2 2 4 22 3 10" xfId="14938" xr:uid="{00000000-0005-0000-0000-00005A3A0000}"/>
    <cellStyle name="Normal 2 2 2 2 4 22 3 2" xfId="14939" xr:uid="{00000000-0005-0000-0000-00005B3A0000}"/>
    <cellStyle name="Normal 2 2 2 2 4 22 3 3" xfId="14940" xr:uid="{00000000-0005-0000-0000-00005C3A0000}"/>
    <cellStyle name="Normal 2 2 2 2 4 22 3 4" xfId="14941" xr:uid="{00000000-0005-0000-0000-00005D3A0000}"/>
    <cellStyle name="Normal 2 2 2 2 4 22 3 5" xfId="14942" xr:uid="{00000000-0005-0000-0000-00005E3A0000}"/>
    <cellStyle name="Normal 2 2 2 2 4 22 3 6" xfId="14943" xr:uid="{00000000-0005-0000-0000-00005F3A0000}"/>
    <cellStyle name="Normal 2 2 2 2 4 22 3 7" xfId="14944" xr:uid="{00000000-0005-0000-0000-0000603A0000}"/>
    <cellStyle name="Normal 2 2 2 2 4 22 3 8" xfId="14945" xr:uid="{00000000-0005-0000-0000-0000613A0000}"/>
    <cellStyle name="Normal 2 2 2 2 4 22 3 9" xfId="14946" xr:uid="{00000000-0005-0000-0000-0000623A0000}"/>
    <cellStyle name="Normal 2 2 2 2 4 22 4" xfId="14947" xr:uid="{00000000-0005-0000-0000-0000633A0000}"/>
    <cellStyle name="Normal 2 2 2 2 4 22 4 10" xfId="14948" xr:uid="{00000000-0005-0000-0000-0000643A0000}"/>
    <cellStyle name="Normal 2 2 2 2 4 22 4 2" xfId="14949" xr:uid="{00000000-0005-0000-0000-0000653A0000}"/>
    <cellStyle name="Normal 2 2 2 2 4 22 4 3" xfId="14950" xr:uid="{00000000-0005-0000-0000-0000663A0000}"/>
    <cellStyle name="Normal 2 2 2 2 4 22 4 4" xfId="14951" xr:uid="{00000000-0005-0000-0000-0000673A0000}"/>
    <cellStyle name="Normal 2 2 2 2 4 22 4 5" xfId="14952" xr:uid="{00000000-0005-0000-0000-0000683A0000}"/>
    <cellStyle name="Normal 2 2 2 2 4 22 4 6" xfId="14953" xr:uid="{00000000-0005-0000-0000-0000693A0000}"/>
    <cellStyle name="Normal 2 2 2 2 4 22 4 7" xfId="14954" xr:uid="{00000000-0005-0000-0000-00006A3A0000}"/>
    <cellStyle name="Normal 2 2 2 2 4 22 4 8" xfId="14955" xr:uid="{00000000-0005-0000-0000-00006B3A0000}"/>
    <cellStyle name="Normal 2 2 2 2 4 22 4 9" xfId="14956" xr:uid="{00000000-0005-0000-0000-00006C3A0000}"/>
    <cellStyle name="Normal 2 2 2 2 4 22 5" xfId="14957" xr:uid="{00000000-0005-0000-0000-00006D3A0000}"/>
    <cellStyle name="Normal 2 2 2 2 4 22 5 10" xfId="14958" xr:uid="{00000000-0005-0000-0000-00006E3A0000}"/>
    <cellStyle name="Normal 2 2 2 2 4 22 5 2" xfId="14959" xr:uid="{00000000-0005-0000-0000-00006F3A0000}"/>
    <cellStyle name="Normal 2 2 2 2 4 22 5 3" xfId="14960" xr:uid="{00000000-0005-0000-0000-0000703A0000}"/>
    <cellStyle name="Normal 2 2 2 2 4 22 5 4" xfId="14961" xr:uid="{00000000-0005-0000-0000-0000713A0000}"/>
    <cellStyle name="Normal 2 2 2 2 4 22 5 5" xfId="14962" xr:uid="{00000000-0005-0000-0000-0000723A0000}"/>
    <cellStyle name="Normal 2 2 2 2 4 22 5 6" xfId="14963" xr:uid="{00000000-0005-0000-0000-0000733A0000}"/>
    <cellStyle name="Normal 2 2 2 2 4 22 5 7" xfId="14964" xr:uid="{00000000-0005-0000-0000-0000743A0000}"/>
    <cellStyle name="Normal 2 2 2 2 4 22 5 8" xfId="14965" xr:uid="{00000000-0005-0000-0000-0000753A0000}"/>
    <cellStyle name="Normal 2 2 2 2 4 22 5 9" xfId="14966" xr:uid="{00000000-0005-0000-0000-0000763A0000}"/>
    <cellStyle name="Normal 2 2 2 2 4 22 6" xfId="14967" xr:uid="{00000000-0005-0000-0000-0000773A0000}"/>
    <cellStyle name="Normal 2 2 2 2 4 22 7" xfId="14968" xr:uid="{00000000-0005-0000-0000-0000783A0000}"/>
    <cellStyle name="Normal 2 2 2 2 4 22 8" xfId="14969" xr:uid="{00000000-0005-0000-0000-0000793A0000}"/>
    <cellStyle name="Normal 2 2 2 2 4 22 9" xfId="14970" xr:uid="{00000000-0005-0000-0000-00007A3A0000}"/>
    <cellStyle name="Normal 2 2 2 2 4 23" xfId="14971" xr:uid="{00000000-0005-0000-0000-00007B3A0000}"/>
    <cellStyle name="Normal 2 2 2 2 4 23 10" xfId="14972" xr:uid="{00000000-0005-0000-0000-00007C3A0000}"/>
    <cellStyle name="Normal 2 2 2 2 4 23 11" xfId="14973" xr:uid="{00000000-0005-0000-0000-00007D3A0000}"/>
    <cellStyle name="Normal 2 2 2 2 4 23 12" xfId="14974" xr:uid="{00000000-0005-0000-0000-00007E3A0000}"/>
    <cellStyle name="Normal 2 2 2 2 4 23 13" xfId="14975" xr:uid="{00000000-0005-0000-0000-00007F3A0000}"/>
    <cellStyle name="Normal 2 2 2 2 4 23 14" xfId="14976" xr:uid="{00000000-0005-0000-0000-0000803A0000}"/>
    <cellStyle name="Normal 2 2 2 2 4 23 2" xfId="14977" xr:uid="{00000000-0005-0000-0000-0000813A0000}"/>
    <cellStyle name="Normal 2 2 2 2 4 23 2 10" xfId="14978" xr:uid="{00000000-0005-0000-0000-0000823A0000}"/>
    <cellStyle name="Normal 2 2 2 2 4 23 2 2" xfId="14979" xr:uid="{00000000-0005-0000-0000-0000833A0000}"/>
    <cellStyle name="Normal 2 2 2 2 4 23 2 3" xfId="14980" xr:uid="{00000000-0005-0000-0000-0000843A0000}"/>
    <cellStyle name="Normal 2 2 2 2 4 23 2 4" xfId="14981" xr:uid="{00000000-0005-0000-0000-0000853A0000}"/>
    <cellStyle name="Normal 2 2 2 2 4 23 2 5" xfId="14982" xr:uid="{00000000-0005-0000-0000-0000863A0000}"/>
    <cellStyle name="Normal 2 2 2 2 4 23 2 6" xfId="14983" xr:uid="{00000000-0005-0000-0000-0000873A0000}"/>
    <cellStyle name="Normal 2 2 2 2 4 23 2 7" xfId="14984" xr:uid="{00000000-0005-0000-0000-0000883A0000}"/>
    <cellStyle name="Normal 2 2 2 2 4 23 2 8" xfId="14985" xr:uid="{00000000-0005-0000-0000-0000893A0000}"/>
    <cellStyle name="Normal 2 2 2 2 4 23 2 9" xfId="14986" xr:uid="{00000000-0005-0000-0000-00008A3A0000}"/>
    <cellStyle name="Normal 2 2 2 2 4 23 3" xfId="14987" xr:uid="{00000000-0005-0000-0000-00008B3A0000}"/>
    <cellStyle name="Normal 2 2 2 2 4 23 3 10" xfId="14988" xr:uid="{00000000-0005-0000-0000-00008C3A0000}"/>
    <cellStyle name="Normal 2 2 2 2 4 23 3 2" xfId="14989" xr:uid="{00000000-0005-0000-0000-00008D3A0000}"/>
    <cellStyle name="Normal 2 2 2 2 4 23 3 3" xfId="14990" xr:uid="{00000000-0005-0000-0000-00008E3A0000}"/>
    <cellStyle name="Normal 2 2 2 2 4 23 3 4" xfId="14991" xr:uid="{00000000-0005-0000-0000-00008F3A0000}"/>
    <cellStyle name="Normal 2 2 2 2 4 23 3 5" xfId="14992" xr:uid="{00000000-0005-0000-0000-0000903A0000}"/>
    <cellStyle name="Normal 2 2 2 2 4 23 3 6" xfId="14993" xr:uid="{00000000-0005-0000-0000-0000913A0000}"/>
    <cellStyle name="Normal 2 2 2 2 4 23 3 7" xfId="14994" xr:uid="{00000000-0005-0000-0000-0000923A0000}"/>
    <cellStyle name="Normal 2 2 2 2 4 23 3 8" xfId="14995" xr:uid="{00000000-0005-0000-0000-0000933A0000}"/>
    <cellStyle name="Normal 2 2 2 2 4 23 3 9" xfId="14996" xr:uid="{00000000-0005-0000-0000-0000943A0000}"/>
    <cellStyle name="Normal 2 2 2 2 4 23 4" xfId="14997" xr:uid="{00000000-0005-0000-0000-0000953A0000}"/>
    <cellStyle name="Normal 2 2 2 2 4 23 4 10" xfId="14998" xr:uid="{00000000-0005-0000-0000-0000963A0000}"/>
    <cellStyle name="Normal 2 2 2 2 4 23 4 2" xfId="14999" xr:uid="{00000000-0005-0000-0000-0000973A0000}"/>
    <cellStyle name="Normal 2 2 2 2 4 23 4 3" xfId="15000" xr:uid="{00000000-0005-0000-0000-0000983A0000}"/>
    <cellStyle name="Normal 2 2 2 2 4 23 4 4" xfId="15001" xr:uid="{00000000-0005-0000-0000-0000993A0000}"/>
    <cellStyle name="Normal 2 2 2 2 4 23 4 5" xfId="15002" xr:uid="{00000000-0005-0000-0000-00009A3A0000}"/>
    <cellStyle name="Normal 2 2 2 2 4 23 4 6" xfId="15003" xr:uid="{00000000-0005-0000-0000-00009B3A0000}"/>
    <cellStyle name="Normal 2 2 2 2 4 23 4 7" xfId="15004" xr:uid="{00000000-0005-0000-0000-00009C3A0000}"/>
    <cellStyle name="Normal 2 2 2 2 4 23 4 8" xfId="15005" xr:uid="{00000000-0005-0000-0000-00009D3A0000}"/>
    <cellStyle name="Normal 2 2 2 2 4 23 4 9" xfId="15006" xr:uid="{00000000-0005-0000-0000-00009E3A0000}"/>
    <cellStyle name="Normal 2 2 2 2 4 23 5" xfId="15007" xr:uid="{00000000-0005-0000-0000-00009F3A0000}"/>
    <cellStyle name="Normal 2 2 2 2 4 23 5 10" xfId="15008" xr:uid="{00000000-0005-0000-0000-0000A03A0000}"/>
    <cellStyle name="Normal 2 2 2 2 4 23 5 2" xfId="15009" xr:uid="{00000000-0005-0000-0000-0000A13A0000}"/>
    <cellStyle name="Normal 2 2 2 2 4 23 5 3" xfId="15010" xr:uid="{00000000-0005-0000-0000-0000A23A0000}"/>
    <cellStyle name="Normal 2 2 2 2 4 23 5 4" xfId="15011" xr:uid="{00000000-0005-0000-0000-0000A33A0000}"/>
    <cellStyle name="Normal 2 2 2 2 4 23 5 5" xfId="15012" xr:uid="{00000000-0005-0000-0000-0000A43A0000}"/>
    <cellStyle name="Normal 2 2 2 2 4 23 5 6" xfId="15013" xr:uid="{00000000-0005-0000-0000-0000A53A0000}"/>
    <cellStyle name="Normal 2 2 2 2 4 23 5 7" xfId="15014" xr:uid="{00000000-0005-0000-0000-0000A63A0000}"/>
    <cellStyle name="Normal 2 2 2 2 4 23 5 8" xfId="15015" xr:uid="{00000000-0005-0000-0000-0000A73A0000}"/>
    <cellStyle name="Normal 2 2 2 2 4 23 5 9" xfId="15016" xr:uid="{00000000-0005-0000-0000-0000A83A0000}"/>
    <cellStyle name="Normal 2 2 2 2 4 23 6" xfId="15017" xr:uid="{00000000-0005-0000-0000-0000A93A0000}"/>
    <cellStyle name="Normal 2 2 2 2 4 23 7" xfId="15018" xr:uid="{00000000-0005-0000-0000-0000AA3A0000}"/>
    <cellStyle name="Normal 2 2 2 2 4 23 8" xfId="15019" xr:uid="{00000000-0005-0000-0000-0000AB3A0000}"/>
    <cellStyle name="Normal 2 2 2 2 4 23 9" xfId="15020" xr:uid="{00000000-0005-0000-0000-0000AC3A0000}"/>
    <cellStyle name="Normal 2 2 2 2 4 24" xfId="15021" xr:uid="{00000000-0005-0000-0000-0000AD3A0000}"/>
    <cellStyle name="Normal 2 2 2 2 4 24 10" xfId="15022" xr:uid="{00000000-0005-0000-0000-0000AE3A0000}"/>
    <cellStyle name="Normal 2 2 2 2 4 24 11" xfId="15023" xr:uid="{00000000-0005-0000-0000-0000AF3A0000}"/>
    <cellStyle name="Normal 2 2 2 2 4 24 12" xfId="15024" xr:uid="{00000000-0005-0000-0000-0000B03A0000}"/>
    <cellStyle name="Normal 2 2 2 2 4 24 13" xfId="15025" xr:uid="{00000000-0005-0000-0000-0000B13A0000}"/>
    <cellStyle name="Normal 2 2 2 2 4 24 14" xfId="15026" xr:uid="{00000000-0005-0000-0000-0000B23A0000}"/>
    <cellStyle name="Normal 2 2 2 2 4 24 2" xfId="15027" xr:uid="{00000000-0005-0000-0000-0000B33A0000}"/>
    <cellStyle name="Normal 2 2 2 2 4 24 2 10" xfId="15028" xr:uid="{00000000-0005-0000-0000-0000B43A0000}"/>
    <cellStyle name="Normal 2 2 2 2 4 24 2 2" xfId="15029" xr:uid="{00000000-0005-0000-0000-0000B53A0000}"/>
    <cellStyle name="Normal 2 2 2 2 4 24 2 3" xfId="15030" xr:uid="{00000000-0005-0000-0000-0000B63A0000}"/>
    <cellStyle name="Normal 2 2 2 2 4 24 2 4" xfId="15031" xr:uid="{00000000-0005-0000-0000-0000B73A0000}"/>
    <cellStyle name="Normal 2 2 2 2 4 24 2 5" xfId="15032" xr:uid="{00000000-0005-0000-0000-0000B83A0000}"/>
    <cellStyle name="Normal 2 2 2 2 4 24 2 6" xfId="15033" xr:uid="{00000000-0005-0000-0000-0000B93A0000}"/>
    <cellStyle name="Normal 2 2 2 2 4 24 2 7" xfId="15034" xr:uid="{00000000-0005-0000-0000-0000BA3A0000}"/>
    <cellStyle name="Normal 2 2 2 2 4 24 2 8" xfId="15035" xr:uid="{00000000-0005-0000-0000-0000BB3A0000}"/>
    <cellStyle name="Normal 2 2 2 2 4 24 2 9" xfId="15036" xr:uid="{00000000-0005-0000-0000-0000BC3A0000}"/>
    <cellStyle name="Normal 2 2 2 2 4 24 3" xfId="15037" xr:uid="{00000000-0005-0000-0000-0000BD3A0000}"/>
    <cellStyle name="Normal 2 2 2 2 4 24 3 10" xfId="15038" xr:uid="{00000000-0005-0000-0000-0000BE3A0000}"/>
    <cellStyle name="Normal 2 2 2 2 4 24 3 2" xfId="15039" xr:uid="{00000000-0005-0000-0000-0000BF3A0000}"/>
    <cellStyle name="Normal 2 2 2 2 4 24 3 3" xfId="15040" xr:uid="{00000000-0005-0000-0000-0000C03A0000}"/>
    <cellStyle name="Normal 2 2 2 2 4 24 3 4" xfId="15041" xr:uid="{00000000-0005-0000-0000-0000C13A0000}"/>
    <cellStyle name="Normal 2 2 2 2 4 24 3 5" xfId="15042" xr:uid="{00000000-0005-0000-0000-0000C23A0000}"/>
    <cellStyle name="Normal 2 2 2 2 4 24 3 6" xfId="15043" xr:uid="{00000000-0005-0000-0000-0000C33A0000}"/>
    <cellStyle name="Normal 2 2 2 2 4 24 3 7" xfId="15044" xr:uid="{00000000-0005-0000-0000-0000C43A0000}"/>
    <cellStyle name="Normal 2 2 2 2 4 24 3 8" xfId="15045" xr:uid="{00000000-0005-0000-0000-0000C53A0000}"/>
    <cellStyle name="Normal 2 2 2 2 4 24 3 9" xfId="15046" xr:uid="{00000000-0005-0000-0000-0000C63A0000}"/>
    <cellStyle name="Normal 2 2 2 2 4 24 4" xfId="15047" xr:uid="{00000000-0005-0000-0000-0000C73A0000}"/>
    <cellStyle name="Normal 2 2 2 2 4 24 4 10" xfId="15048" xr:uid="{00000000-0005-0000-0000-0000C83A0000}"/>
    <cellStyle name="Normal 2 2 2 2 4 24 4 2" xfId="15049" xr:uid="{00000000-0005-0000-0000-0000C93A0000}"/>
    <cellStyle name="Normal 2 2 2 2 4 24 4 3" xfId="15050" xr:uid="{00000000-0005-0000-0000-0000CA3A0000}"/>
    <cellStyle name="Normal 2 2 2 2 4 24 4 4" xfId="15051" xr:uid="{00000000-0005-0000-0000-0000CB3A0000}"/>
    <cellStyle name="Normal 2 2 2 2 4 24 4 5" xfId="15052" xr:uid="{00000000-0005-0000-0000-0000CC3A0000}"/>
    <cellStyle name="Normal 2 2 2 2 4 24 4 6" xfId="15053" xr:uid="{00000000-0005-0000-0000-0000CD3A0000}"/>
    <cellStyle name="Normal 2 2 2 2 4 24 4 7" xfId="15054" xr:uid="{00000000-0005-0000-0000-0000CE3A0000}"/>
    <cellStyle name="Normal 2 2 2 2 4 24 4 8" xfId="15055" xr:uid="{00000000-0005-0000-0000-0000CF3A0000}"/>
    <cellStyle name="Normal 2 2 2 2 4 24 4 9" xfId="15056" xr:uid="{00000000-0005-0000-0000-0000D03A0000}"/>
    <cellStyle name="Normal 2 2 2 2 4 24 5" xfId="15057" xr:uid="{00000000-0005-0000-0000-0000D13A0000}"/>
    <cellStyle name="Normal 2 2 2 2 4 24 5 10" xfId="15058" xr:uid="{00000000-0005-0000-0000-0000D23A0000}"/>
    <cellStyle name="Normal 2 2 2 2 4 24 5 2" xfId="15059" xr:uid="{00000000-0005-0000-0000-0000D33A0000}"/>
    <cellStyle name="Normal 2 2 2 2 4 24 5 3" xfId="15060" xr:uid="{00000000-0005-0000-0000-0000D43A0000}"/>
    <cellStyle name="Normal 2 2 2 2 4 24 5 4" xfId="15061" xr:uid="{00000000-0005-0000-0000-0000D53A0000}"/>
    <cellStyle name="Normal 2 2 2 2 4 24 5 5" xfId="15062" xr:uid="{00000000-0005-0000-0000-0000D63A0000}"/>
    <cellStyle name="Normal 2 2 2 2 4 24 5 6" xfId="15063" xr:uid="{00000000-0005-0000-0000-0000D73A0000}"/>
    <cellStyle name="Normal 2 2 2 2 4 24 5 7" xfId="15064" xr:uid="{00000000-0005-0000-0000-0000D83A0000}"/>
    <cellStyle name="Normal 2 2 2 2 4 24 5 8" xfId="15065" xr:uid="{00000000-0005-0000-0000-0000D93A0000}"/>
    <cellStyle name="Normal 2 2 2 2 4 24 5 9" xfId="15066" xr:uid="{00000000-0005-0000-0000-0000DA3A0000}"/>
    <cellStyle name="Normal 2 2 2 2 4 24 6" xfId="15067" xr:uid="{00000000-0005-0000-0000-0000DB3A0000}"/>
    <cellStyle name="Normal 2 2 2 2 4 24 7" xfId="15068" xr:uid="{00000000-0005-0000-0000-0000DC3A0000}"/>
    <cellStyle name="Normal 2 2 2 2 4 24 8" xfId="15069" xr:uid="{00000000-0005-0000-0000-0000DD3A0000}"/>
    <cellStyle name="Normal 2 2 2 2 4 24 9" xfId="15070" xr:uid="{00000000-0005-0000-0000-0000DE3A0000}"/>
    <cellStyle name="Normal 2 2 2 2 4 25" xfId="15071" xr:uid="{00000000-0005-0000-0000-0000DF3A0000}"/>
    <cellStyle name="Normal 2 2 2 2 4 25 10" xfId="15072" xr:uid="{00000000-0005-0000-0000-0000E03A0000}"/>
    <cellStyle name="Normal 2 2 2 2 4 25 11" xfId="15073" xr:uid="{00000000-0005-0000-0000-0000E13A0000}"/>
    <cellStyle name="Normal 2 2 2 2 4 25 12" xfId="15074" xr:uid="{00000000-0005-0000-0000-0000E23A0000}"/>
    <cellStyle name="Normal 2 2 2 2 4 25 13" xfId="15075" xr:uid="{00000000-0005-0000-0000-0000E33A0000}"/>
    <cellStyle name="Normal 2 2 2 2 4 25 14" xfId="15076" xr:uid="{00000000-0005-0000-0000-0000E43A0000}"/>
    <cellStyle name="Normal 2 2 2 2 4 25 2" xfId="15077" xr:uid="{00000000-0005-0000-0000-0000E53A0000}"/>
    <cellStyle name="Normal 2 2 2 2 4 25 2 10" xfId="15078" xr:uid="{00000000-0005-0000-0000-0000E63A0000}"/>
    <cellStyle name="Normal 2 2 2 2 4 25 2 2" xfId="15079" xr:uid="{00000000-0005-0000-0000-0000E73A0000}"/>
    <cellStyle name="Normal 2 2 2 2 4 25 2 3" xfId="15080" xr:uid="{00000000-0005-0000-0000-0000E83A0000}"/>
    <cellStyle name="Normal 2 2 2 2 4 25 2 4" xfId="15081" xr:uid="{00000000-0005-0000-0000-0000E93A0000}"/>
    <cellStyle name="Normal 2 2 2 2 4 25 2 5" xfId="15082" xr:uid="{00000000-0005-0000-0000-0000EA3A0000}"/>
    <cellStyle name="Normal 2 2 2 2 4 25 2 6" xfId="15083" xr:uid="{00000000-0005-0000-0000-0000EB3A0000}"/>
    <cellStyle name="Normal 2 2 2 2 4 25 2 7" xfId="15084" xr:uid="{00000000-0005-0000-0000-0000EC3A0000}"/>
    <cellStyle name="Normal 2 2 2 2 4 25 2 8" xfId="15085" xr:uid="{00000000-0005-0000-0000-0000ED3A0000}"/>
    <cellStyle name="Normal 2 2 2 2 4 25 2 9" xfId="15086" xr:uid="{00000000-0005-0000-0000-0000EE3A0000}"/>
    <cellStyle name="Normal 2 2 2 2 4 25 3" xfId="15087" xr:uid="{00000000-0005-0000-0000-0000EF3A0000}"/>
    <cellStyle name="Normal 2 2 2 2 4 25 3 10" xfId="15088" xr:uid="{00000000-0005-0000-0000-0000F03A0000}"/>
    <cellStyle name="Normal 2 2 2 2 4 25 3 2" xfId="15089" xr:uid="{00000000-0005-0000-0000-0000F13A0000}"/>
    <cellStyle name="Normal 2 2 2 2 4 25 3 3" xfId="15090" xr:uid="{00000000-0005-0000-0000-0000F23A0000}"/>
    <cellStyle name="Normal 2 2 2 2 4 25 3 4" xfId="15091" xr:uid="{00000000-0005-0000-0000-0000F33A0000}"/>
    <cellStyle name="Normal 2 2 2 2 4 25 3 5" xfId="15092" xr:uid="{00000000-0005-0000-0000-0000F43A0000}"/>
    <cellStyle name="Normal 2 2 2 2 4 25 3 6" xfId="15093" xr:uid="{00000000-0005-0000-0000-0000F53A0000}"/>
    <cellStyle name="Normal 2 2 2 2 4 25 3 7" xfId="15094" xr:uid="{00000000-0005-0000-0000-0000F63A0000}"/>
    <cellStyle name="Normal 2 2 2 2 4 25 3 8" xfId="15095" xr:uid="{00000000-0005-0000-0000-0000F73A0000}"/>
    <cellStyle name="Normal 2 2 2 2 4 25 3 9" xfId="15096" xr:uid="{00000000-0005-0000-0000-0000F83A0000}"/>
    <cellStyle name="Normal 2 2 2 2 4 25 4" xfId="15097" xr:uid="{00000000-0005-0000-0000-0000F93A0000}"/>
    <cellStyle name="Normal 2 2 2 2 4 25 4 10" xfId="15098" xr:uid="{00000000-0005-0000-0000-0000FA3A0000}"/>
    <cellStyle name="Normal 2 2 2 2 4 25 4 2" xfId="15099" xr:uid="{00000000-0005-0000-0000-0000FB3A0000}"/>
    <cellStyle name="Normal 2 2 2 2 4 25 4 3" xfId="15100" xr:uid="{00000000-0005-0000-0000-0000FC3A0000}"/>
    <cellStyle name="Normal 2 2 2 2 4 25 4 4" xfId="15101" xr:uid="{00000000-0005-0000-0000-0000FD3A0000}"/>
    <cellStyle name="Normal 2 2 2 2 4 25 4 5" xfId="15102" xr:uid="{00000000-0005-0000-0000-0000FE3A0000}"/>
    <cellStyle name="Normal 2 2 2 2 4 25 4 6" xfId="15103" xr:uid="{00000000-0005-0000-0000-0000FF3A0000}"/>
    <cellStyle name="Normal 2 2 2 2 4 25 4 7" xfId="15104" xr:uid="{00000000-0005-0000-0000-0000003B0000}"/>
    <cellStyle name="Normal 2 2 2 2 4 25 4 8" xfId="15105" xr:uid="{00000000-0005-0000-0000-0000013B0000}"/>
    <cellStyle name="Normal 2 2 2 2 4 25 4 9" xfId="15106" xr:uid="{00000000-0005-0000-0000-0000023B0000}"/>
    <cellStyle name="Normal 2 2 2 2 4 25 5" xfId="15107" xr:uid="{00000000-0005-0000-0000-0000033B0000}"/>
    <cellStyle name="Normal 2 2 2 2 4 25 5 10" xfId="15108" xr:uid="{00000000-0005-0000-0000-0000043B0000}"/>
    <cellStyle name="Normal 2 2 2 2 4 25 5 2" xfId="15109" xr:uid="{00000000-0005-0000-0000-0000053B0000}"/>
    <cellStyle name="Normal 2 2 2 2 4 25 5 3" xfId="15110" xr:uid="{00000000-0005-0000-0000-0000063B0000}"/>
    <cellStyle name="Normal 2 2 2 2 4 25 5 4" xfId="15111" xr:uid="{00000000-0005-0000-0000-0000073B0000}"/>
    <cellStyle name="Normal 2 2 2 2 4 25 5 5" xfId="15112" xr:uid="{00000000-0005-0000-0000-0000083B0000}"/>
    <cellStyle name="Normal 2 2 2 2 4 25 5 6" xfId="15113" xr:uid="{00000000-0005-0000-0000-0000093B0000}"/>
    <cellStyle name="Normal 2 2 2 2 4 25 5 7" xfId="15114" xr:uid="{00000000-0005-0000-0000-00000A3B0000}"/>
    <cellStyle name="Normal 2 2 2 2 4 25 5 8" xfId="15115" xr:uid="{00000000-0005-0000-0000-00000B3B0000}"/>
    <cellStyle name="Normal 2 2 2 2 4 25 5 9" xfId="15116" xr:uid="{00000000-0005-0000-0000-00000C3B0000}"/>
    <cellStyle name="Normal 2 2 2 2 4 25 6" xfId="15117" xr:uid="{00000000-0005-0000-0000-00000D3B0000}"/>
    <cellStyle name="Normal 2 2 2 2 4 25 7" xfId="15118" xr:uid="{00000000-0005-0000-0000-00000E3B0000}"/>
    <cellStyle name="Normal 2 2 2 2 4 25 8" xfId="15119" xr:uid="{00000000-0005-0000-0000-00000F3B0000}"/>
    <cellStyle name="Normal 2 2 2 2 4 25 9" xfId="15120" xr:uid="{00000000-0005-0000-0000-0000103B0000}"/>
    <cellStyle name="Normal 2 2 2 2 4 26" xfId="15121" xr:uid="{00000000-0005-0000-0000-0000113B0000}"/>
    <cellStyle name="Normal 2 2 2 2 4 26 10" xfId="15122" xr:uid="{00000000-0005-0000-0000-0000123B0000}"/>
    <cellStyle name="Normal 2 2 2 2 4 26 11" xfId="15123" xr:uid="{00000000-0005-0000-0000-0000133B0000}"/>
    <cellStyle name="Normal 2 2 2 2 4 26 12" xfId="15124" xr:uid="{00000000-0005-0000-0000-0000143B0000}"/>
    <cellStyle name="Normal 2 2 2 2 4 26 13" xfId="15125" xr:uid="{00000000-0005-0000-0000-0000153B0000}"/>
    <cellStyle name="Normal 2 2 2 2 4 26 14" xfId="15126" xr:uid="{00000000-0005-0000-0000-0000163B0000}"/>
    <cellStyle name="Normal 2 2 2 2 4 26 2" xfId="15127" xr:uid="{00000000-0005-0000-0000-0000173B0000}"/>
    <cellStyle name="Normal 2 2 2 2 4 26 2 10" xfId="15128" xr:uid="{00000000-0005-0000-0000-0000183B0000}"/>
    <cellStyle name="Normal 2 2 2 2 4 26 2 2" xfId="15129" xr:uid="{00000000-0005-0000-0000-0000193B0000}"/>
    <cellStyle name="Normal 2 2 2 2 4 26 2 3" xfId="15130" xr:uid="{00000000-0005-0000-0000-00001A3B0000}"/>
    <cellStyle name="Normal 2 2 2 2 4 26 2 4" xfId="15131" xr:uid="{00000000-0005-0000-0000-00001B3B0000}"/>
    <cellStyle name="Normal 2 2 2 2 4 26 2 5" xfId="15132" xr:uid="{00000000-0005-0000-0000-00001C3B0000}"/>
    <cellStyle name="Normal 2 2 2 2 4 26 2 6" xfId="15133" xr:uid="{00000000-0005-0000-0000-00001D3B0000}"/>
    <cellStyle name="Normal 2 2 2 2 4 26 2 7" xfId="15134" xr:uid="{00000000-0005-0000-0000-00001E3B0000}"/>
    <cellStyle name="Normal 2 2 2 2 4 26 2 8" xfId="15135" xr:uid="{00000000-0005-0000-0000-00001F3B0000}"/>
    <cellStyle name="Normal 2 2 2 2 4 26 2 9" xfId="15136" xr:uid="{00000000-0005-0000-0000-0000203B0000}"/>
    <cellStyle name="Normal 2 2 2 2 4 26 3" xfId="15137" xr:uid="{00000000-0005-0000-0000-0000213B0000}"/>
    <cellStyle name="Normal 2 2 2 2 4 26 3 10" xfId="15138" xr:uid="{00000000-0005-0000-0000-0000223B0000}"/>
    <cellStyle name="Normal 2 2 2 2 4 26 3 2" xfId="15139" xr:uid="{00000000-0005-0000-0000-0000233B0000}"/>
    <cellStyle name="Normal 2 2 2 2 4 26 3 3" xfId="15140" xr:uid="{00000000-0005-0000-0000-0000243B0000}"/>
    <cellStyle name="Normal 2 2 2 2 4 26 3 4" xfId="15141" xr:uid="{00000000-0005-0000-0000-0000253B0000}"/>
    <cellStyle name="Normal 2 2 2 2 4 26 3 5" xfId="15142" xr:uid="{00000000-0005-0000-0000-0000263B0000}"/>
    <cellStyle name="Normal 2 2 2 2 4 26 3 6" xfId="15143" xr:uid="{00000000-0005-0000-0000-0000273B0000}"/>
    <cellStyle name="Normal 2 2 2 2 4 26 3 7" xfId="15144" xr:uid="{00000000-0005-0000-0000-0000283B0000}"/>
    <cellStyle name="Normal 2 2 2 2 4 26 3 8" xfId="15145" xr:uid="{00000000-0005-0000-0000-0000293B0000}"/>
    <cellStyle name="Normal 2 2 2 2 4 26 3 9" xfId="15146" xr:uid="{00000000-0005-0000-0000-00002A3B0000}"/>
    <cellStyle name="Normal 2 2 2 2 4 26 4" xfId="15147" xr:uid="{00000000-0005-0000-0000-00002B3B0000}"/>
    <cellStyle name="Normal 2 2 2 2 4 26 4 10" xfId="15148" xr:uid="{00000000-0005-0000-0000-00002C3B0000}"/>
    <cellStyle name="Normal 2 2 2 2 4 26 4 2" xfId="15149" xr:uid="{00000000-0005-0000-0000-00002D3B0000}"/>
    <cellStyle name="Normal 2 2 2 2 4 26 4 3" xfId="15150" xr:uid="{00000000-0005-0000-0000-00002E3B0000}"/>
    <cellStyle name="Normal 2 2 2 2 4 26 4 4" xfId="15151" xr:uid="{00000000-0005-0000-0000-00002F3B0000}"/>
    <cellStyle name="Normal 2 2 2 2 4 26 4 5" xfId="15152" xr:uid="{00000000-0005-0000-0000-0000303B0000}"/>
    <cellStyle name="Normal 2 2 2 2 4 26 4 6" xfId="15153" xr:uid="{00000000-0005-0000-0000-0000313B0000}"/>
    <cellStyle name="Normal 2 2 2 2 4 26 4 7" xfId="15154" xr:uid="{00000000-0005-0000-0000-0000323B0000}"/>
    <cellStyle name="Normal 2 2 2 2 4 26 4 8" xfId="15155" xr:uid="{00000000-0005-0000-0000-0000333B0000}"/>
    <cellStyle name="Normal 2 2 2 2 4 26 4 9" xfId="15156" xr:uid="{00000000-0005-0000-0000-0000343B0000}"/>
    <cellStyle name="Normal 2 2 2 2 4 26 5" xfId="15157" xr:uid="{00000000-0005-0000-0000-0000353B0000}"/>
    <cellStyle name="Normal 2 2 2 2 4 26 5 10" xfId="15158" xr:uid="{00000000-0005-0000-0000-0000363B0000}"/>
    <cellStyle name="Normal 2 2 2 2 4 26 5 2" xfId="15159" xr:uid="{00000000-0005-0000-0000-0000373B0000}"/>
    <cellStyle name="Normal 2 2 2 2 4 26 5 3" xfId="15160" xr:uid="{00000000-0005-0000-0000-0000383B0000}"/>
    <cellStyle name="Normal 2 2 2 2 4 26 5 4" xfId="15161" xr:uid="{00000000-0005-0000-0000-0000393B0000}"/>
    <cellStyle name="Normal 2 2 2 2 4 26 5 5" xfId="15162" xr:uid="{00000000-0005-0000-0000-00003A3B0000}"/>
    <cellStyle name="Normal 2 2 2 2 4 26 5 6" xfId="15163" xr:uid="{00000000-0005-0000-0000-00003B3B0000}"/>
    <cellStyle name="Normal 2 2 2 2 4 26 5 7" xfId="15164" xr:uid="{00000000-0005-0000-0000-00003C3B0000}"/>
    <cellStyle name="Normal 2 2 2 2 4 26 5 8" xfId="15165" xr:uid="{00000000-0005-0000-0000-00003D3B0000}"/>
    <cellStyle name="Normal 2 2 2 2 4 26 5 9" xfId="15166" xr:uid="{00000000-0005-0000-0000-00003E3B0000}"/>
    <cellStyle name="Normal 2 2 2 2 4 26 6" xfId="15167" xr:uid="{00000000-0005-0000-0000-00003F3B0000}"/>
    <cellStyle name="Normal 2 2 2 2 4 26 7" xfId="15168" xr:uid="{00000000-0005-0000-0000-0000403B0000}"/>
    <cellStyle name="Normal 2 2 2 2 4 26 8" xfId="15169" xr:uid="{00000000-0005-0000-0000-0000413B0000}"/>
    <cellStyle name="Normal 2 2 2 2 4 26 9" xfId="15170" xr:uid="{00000000-0005-0000-0000-0000423B0000}"/>
    <cellStyle name="Normal 2 2 2 2 4 27" xfId="15171" xr:uid="{00000000-0005-0000-0000-0000433B0000}"/>
    <cellStyle name="Normal 2 2 2 2 4 27 10" xfId="15172" xr:uid="{00000000-0005-0000-0000-0000443B0000}"/>
    <cellStyle name="Normal 2 2 2 2 4 27 11" xfId="15173" xr:uid="{00000000-0005-0000-0000-0000453B0000}"/>
    <cellStyle name="Normal 2 2 2 2 4 27 12" xfId="15174" xr:uid="{00000000-0005-0000-0000-0000463B0000}"/>
    <cellStyle name="Normal 2 2 2 2 4 27 13" xfId="15175" xr:uid="{00000000-0005-0000-0000-0000473B0000}"/>
    <cellStyle name="Normal 2 2 2 2 4 27 14" xfId="15176" xr:uid="{00000000-0005-0000-0000-0000483B0000}"/>
    <cellStyle name="Normal 2 2 2 2 4 27 2" xfId="15177" xr:uid="{00000000-0005-0000-0000-0000493B0000}"/>
    <cellStyle name="Normal 2 2 2 2 4 27 2 10" xfId="15178" xr:uid="{00000000-0005-0000-0000-00004A3B0000}"/>
    <cellStyle name="Normal 2 2 2 2 4 27 2 2" xfId="15179" xr:uid="{00000000-0005-0000-0000-00004B3B0000}"/>
    <cellStyle name="Normal 2 2 2 2 4 27 2 3" xfId="15180" xr:uid="{00000000-0005-0000-0000-00004C3B0000}"/>
    <cellStyle name="Normal 2 2 2 2 4 27 2 4" xfId="15181" xr:uid="{00000000-0005-0000-0000-00004D3B0000}"/>
    <cellStyle name="Normal 2 2 2 2 4 27 2 5" xfId="15182" xr:uid="{00000000-0005-0000-0000-00004E3B0000}"/>
    <cellStyle name="Normal 2 2 2 2 4 27 2 6" xfId="15183" xr:uid="{00000000-0005-0000-0000-00004F3B0000}"/>
    <cellStyle name="Normal 2 2 2 2 4 27 2 7" xfId="15184" xr:uid="{00000000-0005-0000-0000-0000503B0000}"/>
    <cellStyle name="Normal 2 2 2 2 4 27 2 8" xfId="15185" xr:uid="{00000000-0005-0000-0000-0000513B0000}"/>
    <cellStyle name="Normal 2 2 2 2 4 27 2 9" xfId="15186" xr:uid="{00000000-0005-0000-0000-0000523B0000}"/>
    <cellStyle name="Normal 2 2 2 2 4 27 3" xfId="15187" xr:uid="{00000000-0005-0000-0000-0000533B0000}"/>
    <cellStyle name="Normal 2 2 2 2 4 27 3 10" xfId="15188" xr:uid="{00000000-0005-0000-0000-0000543B0000}"/>
    <cellStyle name="Normal 2 2 2 2 4 27 3 2" xfId="15189" xr:uid="{00000000-0005-0000-0000-0000553B0000}"/>
    <cellStyle name="Normal 2 2 2 2 4 27 3 3" xfId="15190" xr:uid="{00000000-0005-0000-0000-0000563B0000}"/>
    <cellStyle name="Normal 2 2 2 2 4 27 3 4" xfId="15191" xr:uid="{00000000-0005-0000-0000-0000573B0000}"/>
    <cellStyle name="Normal 2 2 2 2 4 27 3 5" xfId="15192" xr:uid="{00000000-0005-0000-0000-0000583B0000}"/>
    <cellStyle name="Normal 2 2 2 2 4 27 3 6" xfId="15193" xr:uid="{00000000-0005-0000-0000-0000593B0000}"/>
    <cellStyle name="Normal 2 2 2 2 4 27 3 7" xfId="15194" xr:uid="{00000000-0005-0000-0000-00005A3B0000}"/>
    <cellStyle name="Normal 2 2 2 2 4 27 3 8" xfId="15195" xr:uid="{00000000-0005-0000-0000-00005B3B0000}"/>
    <cellStyle name="Normal 2 2 2 2 4 27 3 9" xfId="15196" xr:uid="{00000000-0005-0000-0000-00005C3B0000}"/>
    <cellStyle name="Normal 2 2 2 2 4 27 4" xfId="15197" xr:uid="{00000000-0005-0000-0000-00005D3B0000}"/>
    <cellStyle name="Normal 2 2 2 2 4 27 4 10" xfId="15198" xr:uid="{00000000-0005-0000-0000-00005E3B0000}"/>
    <cellStyle name="Normal 2 2 2 2 4 27 4 2" xfId="15199" xr:uid="{00000000-0005-0000-0000-00005F3B0000}"/>
    <cellStyle name="Normal 2 2 2 2 4 27 4 3" xfId="15200" xr:uid="{00000000-0005-0000-0000-0000603B0000}"/>
    <cellStyle name="Normal 2 2 2 2 4 27 4 4" xfId="15201" xr:uid="{00000000-0005-0000-0000-0000613B0000}"/>
    <cellStyle name="Normal 2 2 2 2 4 27 4 5" xfId="15202" xr:uid="{00000000-0005-0000-0000-0000623B0000}"/>
    <cellStyle name="Normal 2 2 2 2 4 27 4 6" xfId="15203" xr:uid="{00000000-0005-0000-0000-0000633B0000}"/>
    <cellStyle name="Normal 2 2 2 2 4 27 4 7" xfId="15204" xr:uid="{00000000-0005-0000-0000-0000643B0000}"/>
    <cellStyle name="Normal 2 2 2 2 4 27 4 8" xfId="15205" xr:uid="{00000000-0005-0000-0000-0000653B0000}"/>
    <cellStyle name="Normal 2 2 2 2 4 27 4 9" xfId="15206" xr:uid="{00000000-0005-0000-0000-0000663B0000}"/>
    <cellStyle name="Normal 2 2 2 2 4 27 5" xfId="15207" xr:uid="{00000000-0005-0000-0000-0000673B0000}"/>
    <cellStyle name="Normal 2 2 2 2 4 27 5 10" xfId="15208" xr:uid="{00000000-0005-0000-0000-0000683B0000}"/>
    <cellStyle name="Normal 2 2 2 2 4 27 5 2" xfId="15209" xr:uid="{00000000-0005-0000-0000-0000693B0000}"/>
    <cellStyle name="Normal 2 2 2 2 4 27 5 3" xfId="15210" xr:uid="{00000000-0005-0000-0000-00006A3B0000}"/>
    <cellStyle name="Normal 2 2 2 2 4 27 5 4" xfId="15211" xr:uid="{00000000-0005-0000-0000-00006B3B0000}"/>
    <cellStyle name="Normal 2 2 2 2 4 27 5 5" xfId="15212" xr:uid="{00000000-0005-0000-0000-00006C3B0000}"/>
    <cellStyle name="Normal 2 2 2 2 4 27 5 6" xfId="15213" xr:uid="{00000000-0005-0000-0000-00006D3B0000}"/>
    <cellStyle name="Normal 2 2 2 2 4 27 5 7" xfId="15214" xr:uid="{00000000-0005-0000-0000-00006E3B0000}"/>
    <cellStyle name="Normal 2 2 2 2 4 27 5 8" xfId="15215" xr:uid="{00000000-0005-0000-0000-00006F3B0000}"/>
    <cellStyle name="Normal 2 2 2 2 4 27 5 9" xfId="15216" xr:uid="{00000000-0005-0000-0000-0000703B0000}"/>
    <cellStyle name="Normal 2 2 2 2 4 27 6" xfId="15217" xr:uid="{00000000-0005-0000-0000-0000713B0000}"/>
    <cellStyle name="Normal 2 2 2 2 4 27 7" xfId="15218" xr:uid="{00000000-0005-0000-0000-0000723B0000}"/>
    <cellStyle name="Normal 2 2 2 2 4 27 8" xfId="15219" xr:uid="{00000000-0005-0000-0000-0000733B0000}"/>
    <cellStyle name="Normal 2 2 2 2 4 27 9" xfId="15220" xr:uid="{00000000-0005-0000-0000-0000743B0000}"/>
    <cellStyle name="Normal 2 2 2 2 4 28" xfId="15221" xr:uid="{00000000-0005-0000-0000-0000753B0000}"/>
    <cellStyle name="Normal 2 2 2 2 4 28 10" xfId="15222" xr:uid="{00000000-0005-0000-0000-0000763B0000}"/>
    <cellStyle name="Normal 2 2 2 2 4 28 11" xfId="15223" xr:uid="{00000000-0005-0000-0000-0000773B0000}"/>
    <cellStyle name="Normal 2 2 2 2 4 28 12" xfId="15224" xr:uid="{00000000-0005-0000-0000-0000783B0000}"/>
    <cellStyle name="Normal 2 2 2 2 4 28 13" xfId="15225" xr:uid="{00000000-0005-0000-0000-0000793B0000}"/>
    <cellStyle name="Normal 2 2 2 2 4 28 14" xfId="15226" xr:uid="{00000000-0005-0000-0000-00007A3B0000}"/>
    <cellStyle name="Normal 2 2 2 2 4 28 2" xfId="15227" xr:uid="{00000000-0005-0000-0000-00007B3B0000}"/>
    <cellStyle name="Normal 2 2 2 2 4 28 2 10" xfId="15228" xr:uid="{00000000-0005-0000-0000-00007C3B0000}"/>
    <cellStyle name="Normal 2 2 2 2 4 28 2 2" xfId="15229" xr:uid="{00000000-0005-0000-0000-00007D3B0000}"/>
    <cellStyle name="Normal 2 2 2 2 4 28 2 3" xfId="15230" xr:uid="{00000000-0005-0000-0000-00007E3B0000}"/>
    <cellStyle name="Normal 2 2 2 2 4 28 2 4" xfId="15231" xr:uid="{00000000-0005-0000-0000-00007F3B0000}"/>
    <cellStyle name="Normal 2 2 2 2 4 28 2 5" xfId="15232" xr:uid="{00000000-0005-0000-0000-0000803B0000}"/>
    <cellStyle name="Normal 2 2 2 2 4 28 2 6" xfId="15233" xr:uid="{00000000-0005-0000-0000-0000813B0000}"/>
    <cellStyle name="Normal 2 2 2 2 4 28 2 7" xfId="15234" xr:uid="{00000000-0005-0000-0000-0000823B0000}"/>
    <cellStyle name="Normal 2 2 2 2 4 28 2 8" xfId="15235" xr:uid="{00000000-0005-0000-0000-0000833B0000}"/>
    <cellStyle name="Normal 2 2 2 2 4 28 2 9" xfId="15236" xr:uid="{00000000-0005-0000-0000-0000843B0000}"/>
    <cellStyle name="Normal 2 2 2 2 4 28 3" xfId="15237" xr:uid="{00000000-0005-0000-0000-0000853B0000}"/>
    <cellStyle name="Normal 2 2 2 2 4 28 3 10" xfId="15238" xr:uid="{00000000-0005-0000-0000-0000863B0000}"/>
    <cellStyle name="Normal 2 2 2 2 4 28 3 2" xfId="15239" xr:uid="{00000000-0005-0000-0000-0000873B0000}"/>
    <cellStyle name="Normal 2 2 2 2 4 28 3 3" xfId="15240" xr:uid="{00000000-0005-0000-0000-0000883B0000}"/>
    <cellStyle name="Normal 2 2 2 2 4 28 3 4" xfId="15241" xr:uid="{00000000-0005-0000-0000-0000893B0000}"/>
    <cellStyle name="Normal 2 2 2 2 4 28 3 5" xfId="15242" xr:uid="{00000000-0005-0000-0000-00008A3B0000}"/>
    <cellStyle name="Normal 2 2 2 2 4 28 3 6" xfId="15243" xr:uid="{00000000-0005-0000-0000-00008B3B0000}"/>
    <cellStyle name="Normal 2 2 2 2 4 28 3 7" xfId="15244" xr:uid="{00000000-0005-0000-0000-00008C3B0000}"/>
    <cellStyle name="Normal 2 2 2 2 4 28 3 8" xfId="15245" xr:uid="{00000000-0005-0000-0000-00008D3B0000}"/>
    <cellStyle name="Normal 2 2 2 2 4 28 3 9" xfId="15246" xr:uid="{00000000-0005-0000-0000-00008E3B0000}"/>
    <cellStyle name="Normal 2 2 2 2 4 28 4" xfId="15247" xr:uid="{00000000-0005-0000-0000-00008F3B0000}"/>
    <cellStyle name="Normal 2 2 2 2 4 28 4 10" xfId="15248" xr:uid="{00000000-0005-0000-0000-0000903B0000}"/>
    <cellStyle name="Normal 2 2 2 2 4 28 4 2" xfId="15249" xr:uid="{00000000-0005-0000-0000-0000913B0000}"/>
    <cellStyle name="Normal 2 2 2 2 4 28 4 3" xfId="15250" xr:uid="{00000000-0005-0000-0000-0000923B0000}"/>
    <cellStyle name="Normal 2 2 2 2 4 28 4 4" xfId="15251" xr:uid="{00000000-0005-0000-0000-0000933B0000}"/>
    <cellStyle name="Normal 2 2 2 2 4 28 4 5" xfId="15252" xr:uid="{00000000-0005-0000-0000-0000943B0000}"/>
    <cellStyle name="Normal 2 2 2 2 4 28 4 6" xfId="15253" xr:uid="{00000000-0005-0000-0000-0000953B0000}"/>
    <cellStyle name="Normal 2 2 2 2 4 28 4 7" xfId="15254" xr:uid="{00000000-0005-0000-0000-0000963B0000}"/>
    <cellStyle name="Normal 2 2 2 2 4 28 4 8" xfId="15255" xr:uid="{00000000-0005-0000-0000-0000973B0000}"/>
    <cellStyle name="Normal 2 2 2 2 4 28 4 9" xfId="15256" xr:uid="{00000000-0005-0000-0000-0000983B0000}"/>
    <cellStyle name="Normal 2 2 2 2 4 28 5" xfId="15257" xr:uid="{00000000-0005-0000-0000-0000993B0000}"/>
    <cellStyle name="Normal 2 2 2 2 4 28 5 10" xfId="15258" xr:uid="{00000000-0005-0000-0000-00009A3B0000}"/>
    <cellStyle name="Normal 2 2 2 2 4 28 5 2" xfId="15259" xr:uid="{00000000-0005-0000-0000-00009B3B0000}"/>
    <cellStyle name="Normal 2 2 2 2 4 28 5 3" xfId="15260" xr:uid="{00000000-0005-0000-0000-00009C3B0000}"/>
    <cellStyle name="Normal 2 2 2 2 4 28 5 4" xfId="15261" xr:uid="{00000000-0005-0000-0000-00009D3B0000}"/>
    <cellStyle name="Normal 2 2 2 2 4 28 5 5" xfId="15262" xr:uid="{00000000-0005-0000-0000-00009E3B0000}"/>
    <cellStyle name="Normal 2 2 2 2 4 28 5 6" xfId="15263" xr:uid="{00000000-0005-0000-0000-00009F3B0000}"/>
    <cellStyle name="Normal 2 2 2 2 4 28 5 7" xfId="15264" xr:uid="{00000000-0005-0000-0000-0000A03B0000}"/>
    <cellStyle name="Normal 2 2 2 2 4 28 5 8" xfId="15265" xr:uid="{00000000-0005-0000-0000-0000A13B0000}"/>
    <cellStyle name="Normal 2 2 2 2 4 28 5 9" xfId="15266" xr:uid="{00000000-0005-0000-0000-0000A23B0000}"/>
    <cellStyle name="Normal 2 2 2 2 4 28 6" xfId="15267" xr:uid="{00000000-0005-0000-0000-0000A33B0000}"/>
    <cellStyle name="Normal 2 2 2 2 4 28 7" xfId="15268" xr:uid="{00000000-0005-0000-0000-0000A43B0000}"/>
    <cellStyle name="Normal 2 2 2 2 4 28 8" xfId="15269" xr:uid="{00000000-0005-0000-0000-0000A53B0000}"/>
    <cellStyle name="Normal 2 2 2 2 4 28 9" xfId="15270" xr:uid="{00000000-0005-0000-0000-0000A63B0000}"/>
    <cellStyle name="Normal 2 2 2 2 4 29" xfId="15271" xr:uid="{00000000-0005-0000-0000-0000A73B0000}"/>
    <cellStyle name="Normal 2 2 2 2 4 29 10" xfId="15272" xr:uid="{00000000-0005-0000-0000-0000A83B0000}"/>
    <cellStyle name="Normal 2 2 2 2 4 29 11" xfId="15273" xr:uid="{00000000-0005-0000-0000-0000A93B0000}"/>
    <cellStyle name="Normal 2 2 2 2 4 29 12" xfId="15274" xr:uid="{00000000-0005-0000-0000-0000AA3B0000}"/>
    <cellStyle name="Normal 2 2 2 2 4 29 13" xfId="15275" xr:uid="{00000000-0005-0000-0000-0000AB3B0000}"/>
    <cellStyle name="Normal 2 2 2 2 4 29 14" xfId="15276" xr:uid="{00000000-0005-0000-0000-0000AC3B0000}"/>
    <cellStyle name="Normal 2 2 2 2 4 29 2" xfId="15277" xr:uid="{00000000-0005-0000-0000-0000AD3B0000}"/>
    <cellStyle name="Normal 2 2 2 2 4 29 2 10" xfId="15278" xr:uid="{00000000-0005-0000-0000-0000AE3B0000}"/>
    <cellStyle name="Normal 2 2 2 2 4 29 2 2" xfId="15279" xr:uid="{00000000-0005-0000-0000-0000AF3B0000}"/>
    <cellStyle name="Normal 2 2 2 2 4 29 2 3" xfId="15280" xr:uid="{00000000-0005-0000-0000-0000B03B0000}"/>
    <cellStyle name="Normal 2 2 2 2 4 29 2 4" xfId="15281" xr:uid="{00000000-0005-0000-0000-0000B13B0000}"/>
    <cellStyle name="Normal 2 2 2 2 4 29 2 5" xfId="15282" xr:uid="{00000000-0005-0000-0000-0000B23B0000}"/>
    <cellStyle name="Normal 2 2 2 2 4 29 2 6" xfId="15283" xr:uid="{00000000-0005-0000-0000-0000B33B0000}"/>
    <cellStyle name="Normal 2 2 2 2 4 29 2 7" xfId="15284" xr:uid="{00000000-0005-0000-0000-0000B43B0000}"/>
    <cellStyle name="Normal 2 2 2 2 4 29 2 8" xfId="15285" xr:uid="{00000000-0005-0000-0000-0000B53B0000}"/>
    <cellStyle name="Normal 2 2 2 2 4 29 2 9" xfId="15286" xr:uid="{00000000-0005-0000-0000-0000B63B0000}"/>
    <cellStyle name="Normal 2 2 2 2 4 29 3" xfId="15287" xr:uid="{00000000-0005-0000-0000-0000B73B0000}"/>
    <cellStyle name="Normal 2 2 2 2 4 29 3 10" xfId="15288" xr:uid="{00000000-0005-0000-0000-0000B83B0000}"/>
    <cellStyle name="Normal 2 2 2 2 4 29 3 2" xfId="15289" xr:uid="{00000000-0005-0000-0000-0000B93B0000}"/>
    <cellStyle name="Normal 2 2 2 2 4 29 3 3" xfId="15290" xr:uid="{00000000-0005-0000-0000-0000BA3B0000}"/>
    <cellStyle name="Normal 2 2 2 2 4 29 3 4" xfId="15291" xr:uid="{00000000-0005-0000-0000-0000BB3B0000}"/>
    <cellStyle name="Normal 2 2 2 2 4 29 3 5" xfId="15292" xr:uid="{00000000-0005-0000-0000-0000BC3B0000}"/>
    <cellStyle name="Normal 2 2 2 2 4 29 3 6" xfId="15293" xr:uid="{00000000-0005-0000-0000-0000BD3B0000}"/>
    <cellStyle name="Normal 2 2 2 2 4 29 3 7" xfId="15294" xr:uid="{00000000-0005-0000-0000-0000BE3B0000}"/>
    <cellStyle name="Normal 2 2 2 2 4 29 3 8" xfId="15295" xr:uid="{00000000-0005-0000-0000-0000BF3B0000}"/>
    <cellStyle name="Normal 2 2 2 2 4 29 3 9" xfId="15296" xr:uid="{00000000-0005-0000-0000-0000C03B0000}"/>
    <cellStyle name="Normal 2 2 2 2 4 29 4" xfId="15297" xr:uid="{00000000-0005-0000-0000-0000C13B0000}"/>
    <cellStyle name="Normal 2 2 2 2 4 29 4 10" xfId="15298" xr:uid="{00000000-0005-0000-0000-0000C23B0000}"/>
    <cellStyle name="Normal 2 2 2 2 4 29 4 2" xfId="15299" xr:uid="{00000000-0005-0000-0000-0000C33B0000}"/>
    <cellStyle name="Normal 2 2 2 2 4 29 4 3" xfId="15300" xr:uid="{00000000-0005-0000-0000-0000C43B0000}"/>
    <cellStyle name="Normal 2 2 2 2 4 29 4 4" xfId="15301" xr:uid="{00000000-0005-0000-0000-0000C53B0000}"/>
    <cellStyle name="Normal 2 2 2 2 4 29 4 5" xfId="15302" xr:uid="{00000000-0005-0000-0000-0000C63B0000}"/>
    <cellStyle name="Normal 2 2 2 2 4 29 4 6" xfId="15303" xr:uid="{00000000-0005-0000-0000-0000C73B0000}"/>
    <cellStyle name="Normal 2 2 2 2 4 29 4 7" xfId="15304" xr:uid="{00000000-0005-0000-0000-0000C83B0000}"/>
    <cellStyle name="Normal 2 2 2 2 4 29 4 8" xfId="15305" xr:uid="{00000000-0005-0000-0000-0000C93B0000}"/>
    <cellStyle name="Normal 2 2 2 2 4 29 4 9" xfId="15306" xr:uid="{00000000-0005-0000-0000-0000CA3B0000}"/>
    <cellStyle name="Normal 2 2 2 2 4 29 5" xfId="15307" xr:uid="{00000000-0005-0000-0000-0000CB3B0000}"/>
    <cellStyle name="Normal 2 2 2 2 4 29 5 10" xfId="15308" xr:uid="{00000000-0005-0000-0000-0000CC3B0000}"/>
    <cellStyle name="Normal 2 2 2 2 4 29 5 2" xfId="15309" xr:uid="{00000000-0005-0000-0000-0000CD3B0000}"/>
    <cellStyle name="Normal 2 2 2 2 4 29 5 3" xfId="15310" xr:uid="{00000000-0005-0000-0000-0000CE3B0000}"/>
    <cellStyle name="Normal 2 2 2 2 4 29 5 4" xfId="15311" xr:uid="{00000000-0005-0000-0000-0000CF3B0000}"/>
    <cellStyle name="Normal 2 2 2 2 4 29 5 5" xfId="15312" xr:uid="{00000000-0005-0000-0000-0000D03B0000}"/>
    <cellStyle name="Normal 2 2 2 2 4 29 5 6" xfId="15313" xr:uid="{00000000-0005-0000-0000-0000D13B0000}"/>
    <cellStyle name="Normal 2 2 2 2 4 29 5 7" xfId="15314" xr:uid="{00000000-0005-0000-0000-0000D23B0000}"/>
    <cellStyle name="Normal 2 2 2 2 4 29 5 8" xfId="15315" xr:uid="{00000000-0005-0000-0000-0000D33B0000}"/>
    <cellStyle name="Normal 2 2 2 2 4 29 5 9" xfId="15316" xr:uid="{00000000-0005-0000-0000-0000D43B0000}"/>
    <cellStyle name="Normal 2 2 2 2 4 29 6" xfId="15317" xr:uid="{00000000-0005-0000-0000-0000D53B0000}"/>
    <cellStyle name="Normal 2 2 2 2 4 29 7" xfId="15318" xr:uid="{00000000-0005-0000-0000-0000D63B0000}"/>
    <cellStyle name="Normal 2 2 2 2 4 29 8" xfId="15319" xr:uid="{00000000-0005-0000-0000-0000D73B0000}"/>
    <cellStyle name="Normal 2 2 2 2 4 29 9" xfId="15320" xr:uid="{00000000-0005-0000-0000-0000D83B0000}"/>
    <cellStyle name="Normal 2 2 2 2 4 3" xfId="15321" xr:uid="{00000000-0005-0000-0000-0000D93B0000}"/>
    <cellStyle name="Normal 2 2 2 2 4 3 10" xfId="15322" xr:uid="{00000000-0005-0000-0000-0000DA3B0000}"/>
    <cellStyle name="Normal 2 2 2 2 4 3 11" xfId="15323" xr:uid="{00000000-0005-0000-0000-0000DB3B0000}"/>
    <cellStyle name="Normal 2 2 2 2 4 3 12" xfId="15324" xr:uid="{00000000-0005-0000-0000-0000DC3B0000}"/>
    <cellStyle name="Normal 2 2 2 2 4 3 13" xfId="15325" xr:uid="{00000000-0005-0000-0000-0000DD3B0000}"/>
    <cellStyle name="Normal 2 2 2 2 4 3 14" xfId="15326" xr:uid="{00000000-0005-0000-0000-0000DE3B0000}"/>
    <cellStyle name="Normal 2 2 2 2 4 3 2" xfId="15327" xr:uid="{00000000-0005-0000-0000-0000DF3B0000}"/>
    <cellStyle name="Normal 2 2 2 2 4 3 2 10" xfId="15328" xr:uid="{00000000-0005-0000-0000-0000E03B0000}"/>
    <cellStyle name="Normal 2 2 2 2 4 3 2 2" xfId="15329" xr:uid="{00000000-0005-0000-0000-0000E13B0000}"/>
    <cellStyle name="Normal 2 2 2 2 4 3 2 3" xfId="15330" xr:uid="{00000000-0005-0000-0000-0000E23B0000}"/>
    <cellStyle name="Normal 2 2 2 2 4 3 2 4" xfId="15331" xr:uid="{00000000-0005-0000-0000-0000E33B0000}"/>
    <cellStyle name="Normal 2 2 2 2 4 3 2 5" xfId="15332" xr:uid="{00000000-0005-0000-0000-0000E43B0000}"/>
    <cellStyle name="Normal 2 2 2 2 4 3 2 6" xfId="15333" xr:uid="{00000000-0005-0000-0000-0000E53B0000}"/>
    <cellStyle name="Normal 2 2 2 2 4 3 2 7" xfId="15334" xr:uid="{00000000-0005-0000-0000-0000E63B0000}"/>
    <cellStyle name="Normal 2 2 2 2 4 3 2 8" xfId="15335" xr:uid="{00000000-0005-0000-0000-0000E73B0000}"/>
    <cellStyle name="Normal 2 2 2 2 4 3 2 9" xfId="15336" xr:uid="{00000000-0005-0000-0000-0000E83B0000}"/>
    <cellStyle name="Normal 2 2 2 2 4 3 3" xfId="15337" xr:uid="{00000000-0005-0000-0000-0000E93B0000}"/>
    <cellStyle name="Normal 2 2 2 2 4 3 3 10" xfId="15338" xr:uid="{00000000-0005-0000-0000-0000EA3B0000}"/>
    <cellStyle name="Normal 2 2 2 2 4 3 3 2" xfId="15339" xr:uid="{00000000-0005-0000-0000-0000EB3B0000}"/>
    <cellStyle name="Normal 2 2 2 2 4 3 3 3" xfId="15340" xr:uid="{00000000-0005-0000-0000-0000EC3B0000}"/>
    <cellStyle name="Normal 2 2 2 2 4 3 3 4" xfId="15341" xr:uid="{00000000-0005-0000-0000-0000ED3B0000}"/>
    <cellStyle name="Normal 2 2 2 2 4 3 3 5" xfId="15342" xr:uid="{00000000-0005-0000-0000-0000EE3B0000}"/>
    <cellStyle name="Normal 2 2 2 2 4 3 3 6" xfId="15343" xr:uid="{00000000-0005-0000-0000-0000EF3B0000}"/>
    <cellStyle name="Normal 2 2 2 2 4 3 3 7" xfId="15344" xr:uid="{00000000-0005-0000-0000-0000F03B0000}"/>
    <cellStyle name="Normal 2 2 2 2 4 3 3 8" xfId="15345" xr:uid="{00000000-0005-0000-0000-0000F13B0000}"/>
    <cellStyle name="Normal 2 2 2 2 4 3 3 9" xfId="15346" xr:uid="{00000000-0005-0000-0000-0000F23B0000}"/>
    <cellStyle name="Normal 2 2 2 2 4 3 4" xfId="15347" xr:uid="{00000000-0005-0000-0000-0000F33B0000}"/>
    <cellStyle name="Normal 2 2 2 2 4 3 4 10" xfId="15348" xr:uid="{00000000-0005-0000-0000-0000F43B0000}"/>
    <cellStyle name="Normal 2 2 2 2 4 3 4 2" xfId="15349" xr:uid="{00000000-0005-0000-0000-0000F53B0000}"/>
    <cellStyle name="Normal 2 2 2 2 4 3 4 3" xfId="15350" xr:uid="{00000000-0005-0000-0000-0000F63B0000}"/>
    <cellStyle name="Normal 2 2 2 2 4 3 4 4" xfId="15351" xr:uid="{00000000-0005-0000-0000-0000F73B0000}"/>
    <cellStyle name="Normal 2 2 2 2 4 3 4 5" xfId="15352" xr:uid="{00000000-0005-0000-0000-0000F83B0000}"/>
    <cellStyle name="Normal 2 2 2 2 4 3 4 6" xfId="15353" xr:uid="{00000000-0005-0000-0000-0000F93B0000}"/>
    <cellStyle name="Normal 2 2 2 2 4 3 4 7" xfId="15354" xr:uid="{00000000-0005-0000-0000-0000FA3B0000}"/>
    <cellStyle name="Normal 2 2 2 2 4 3 4 8" xfId="15355" xr:uid="{00000000-0005-0000-0000-0000FB3B0000}"/>
    <cellStyle name="Normal 2 2 2 2 4 3 4 9" xfId="15356" xr:uid="{00000000-0005-0000-0000-0000FC3B0000}"/>
    <cellStyle name="Normal 2 2 2 2 4 3 5" xfId="15357" xr:uid="{00000000-0005-0000-0000-0000FD3B0000}"/>
    <cellStyle name="Normal 2 2 2 2 4 3 5 10" xfId="15358" xr:uid="{00000000-0005-0000-0000-0000FE3B0000}"/>
    <cellStyle name="Normal 2 2 2 2 4 3 5 2" xfId="15359" xr:uid="{00000000-0005-0000-0000-0000FF3B0000}"/>
    <cellStyle name="Normal 2 2 2 2 4 3 5 3" xfId="15360" xr:uid="{00000000-0005-0000-0000-0000003C0000}"/>
    <cellStyle name="Normal 2 2 2 2 4 3 5 4" xfId="15361" xr:uid="{00000000-0005-0000-0000-0000013C0000}"/>
    <cellStyle name="Normal 2 2 2 2 4 3 5 5" xfId="15362" xr:uid="{00000000-0005-0000-0000-0000023C0000}"/>
    <cellStyle name="Normal 2 2 2 2 4 3 5 6" xfId="15363" xr:uid="{00000000-0005-0000-0000-0000033C0000}"/>
    <cellStyle name="Normal 2 2 2 2 4 3 5 7" xfId="15364" xr:uid="{00000000-0005-0000-0000-0000043C0000}"/>
    <cellStyle name="Normal 2 2 2 2 4 3 5 8" xfId="15365" xr:uid="{00000000-0005-0000-0000-0000053C0000}"/>
    <cellStyle name="Normal 2 2 2 2 4 3 5 9" xfId="15366" xr:uid="{00000000-0005-0000-0000-0000063C0000}"/>
    <cellStyle name="Normal 2 2 2 2 4 3 6" xfId="15367" xr:uid="{00000000-0005-0000-0000-0000073C0000}"/>
    <cellStyle name="Normal 2 2 2 2 4 3 7" xfId="15368" xr:uid="{00000000-0005-0000-0000-0000083C0000}"/>
    <cellStyle name="Normal 2 2 2 2 4 3 8" xfId="15369" xr:uid="{00000000-0005-0000-0000-0000093C0000}"/>
    <cellStyle name="Normal 2 2 2 2 4 3 9" xfId="15370" xr:uid="{00000000-0005-0000-0000-00000A3C0000}"/>
    <cellStyle name="Normal 2 2 2 2 4 30" xfId="15371" xr:uid="{00000000-0005-0000-0000-00000B3C0000}"/>
    <cellStyle name="Normal 2 2 2 2 4 30 10" xfId="15372" xr:uid="{00000000-0005-0000-0000-00000C3C0000}"/>
    <cellStyle name="Normal 2 2 2 2 4 30 11" xfId="15373" xr:uid="{00000000-0005-0000-0000-00000D3C0000}"/>
    <cellStyle name="Normal 2 2 2 2 4 30 12" xfId="15374" xr:uid="{00000000-0005-0000-0000-00000E3C0000}"/>
    <cellStyle name="Normal 2 2 2 2 4 30 13" xfId="15375" xr:uid="{00000000-0005-0000-0000-00000F3C0000}"/>
    <cellStyle name="Normal 2 2 2 2 4 30 14" xfId="15376" xr:uid="{00000000-0005-0000-0000-0000103C0000}"/>
    <cellStyle name="Normal 2 2 2 2 4 30 2" xfId="15377" xr:uid="{00000000-0005-0000-0000-0000113C0000}"/>
    <cellStyle name="Normal 2 2 2 2 4 30 2 10" xfId="15378" xr:uid="{00000000-0005-0000-0000-0000123C0000}"/>
    <cellStyle name="Normal 2 2 2 2 4 30 2 2" xfId="15379" xr:uid="{00000000-0005-0000-0000-0000133C0000}"/>
    <cellStyle name="Normal 2 2 2 2 4 30 2 3" xfId="15380" xr:uid="{00000000-0005-0000-0000-0000143C0000}"/>
    <cellStyle name="Normal 2 2 2 2 4 30 2 4" xfId="15381" xr:uid="{00000000-0005-0000-0000-0000153C0000}"/>
    <cellStyle name="Normal 2 2 2 2 4 30 2 5" xfId="15382" xr:uid="{00000000-0005-0000-0000-0000163C0000}"/>
    <cellStyle name="Normal 2 2 2 2 4 30 2 6" xfId="15383" xr:uid="{00000000-0005-0000-0000-0000173C0000}"/>
    <cellStyle name="Normal 2 2 2 2 4 30 2 7" xfId="15384" xr:uid="{00000000-0005-0000-0000-0000183C0000}"/>
    <cellStyle name="Normal 2 2 2 2 4 30 2 8" xfId="15385" xr:uid="{00000000-0005-0000-0000-0000193C0000}"/>
    <cellStyle name="Normal 2 2 2 2 4 30 2 9" xfId="15386" xr:uid="{00000000-0005-0000-0000-00001A3C0000}"/>
    <cellStyle name="Normal 2 2 2 2 4 30 3" xfId="15387" xr:uid="{00000000-0005-0000-0000-00001B3C0000}"/>
    <cellStyle name="Normal 2 2 2 2 4 30 3 10" xfId="15388" xr:uid="{00000000-0005-0000-0000-00001C3C0000}"/>
    <cellStyle name="Normal 2 2 2 2 4 30 3 2" xfId="15389" xr:uid="{00000000-0005-0000-0000-00001D3C0000}"/>
    <cellStyle name="Normal 2 2 2 2 4 30 3 3" xfId="15390" xr:uid="{00000000-0005-0000-0000-00001E3C0000}"/>
    <cellStyle name="Normal 2 2 2 2 4 30 3 4" xfId="15391" xr:uid="{00000000-0005-0000-0000-00001F3C0000}"/>
    <cellStyle name="Normal 2 2 2 2 4 30 3 5" xfId="15392" xr:uid="{00000000-0005-0000-0000-0000203C0000}"/>
    <cellStyle name="Normal 2 2 2 2 4 30 3 6" xfId="15393" xr:uid="{00000000-0005-0000-0000-0000213C0000}"/>
    <cellStyle name="Normal 2 2 2 2 4 30 3 7" xfId="15394" xr:uid="{00000000-0005-0000-0000-0000223C0000}"/>
    <cellStyle name="Normal 2 2 2 2 4 30 3 8" xfId="15395" xr:uid="{00000000-0005-0000-0000-0000233C0000}"/>
    <cellStyle name="Normal 2 2 2 2 4 30 3 9" xfId="15396" xr:uid="{00000000-0005-0000-0000-0000243C0000}"/>
    <cellStyle name="Normal 2 2 2 2 4 30 4" xfId="15397" xr:uid="{00000000-0005-0000-0000-0000253C0000}"/>
    <cellStyle name="Normal 2 2 2 2 4 30 4 10" xfId="15398" xr:uid="{00000000-0005-0000-0000-0000263C0000}"/>
    <cellStyle name="Normal 2 2 2 2 4 30 4 2" xfId="15399" xr:uid="{00000000-0005-0000-0000-0000273C0000}"/>
    <cellStyle name="Normal 2 2 2 2 4 30 4 3" xfId="15400" xr:uid="{00000000-0005-0000-0000-0000283C0000}"/>
    <cellStyle name="Normal 2 2 2 2 4 30 4 4" xfId="15401" xr:uid="{00000000-0005-0000-0000-0000293C0000}"/>
    <cellStyle name="Normal 2 2 2 2 4 30 4 5" xfId="15402" xr:uid="{00000000-0005-0000-0000-00002A3C0000}"/>
    <cellStyle name="Normal 2 2 2 2 4 30 4 6" xfId="15403" xr:uid="{00000000-0005-0000-0000-00002B3C0000}"/>
    <cellStyle name="Normal 2 2 2 2 4 30 4 7" xfId="15404" xr:uid="{00000000-0005-0000-0000-00002C3C0000}"/>
    <cellStyle name="Normal 2 2 2 2 4 30 4 8" xfId="15405" xr:uid="{00000000-0005-0000-0000-00002D3C0000}"/>
    <cellStyle name="Normal 2 2 2 2 4 30 4 9" xfId="15406" xr:uid="{00000000-0005-0000-0000-00002E3C0000}"/>
    <cellStyle name="Normal 2 2 2 2 4 30 5" xfId="15407" xr:uid="{00000000-0005-0000-0000-00002F3C0000}"/>
    <cellStyle name="Normal 2 2 2 2 4 30 5 10" xfId="15408" xr:uid="{00000000-0005-0000-0000-0000303C0000}"/>
    <cellStyle name="Normal 2 2 2 2 4 30 5 2" xfId="15409" xr:uid="{00000000-0005-0000-0000-0000313C0000}"/>
    <cellStyle name="Normal 2 2 2 2 4 30 5 3" xfId="15410" xr:uid="{00000000-0005-0000-0000-0000323C0000}"/>
    <cellStyle name="Normal 2 2 2 2 4 30 5 4" xfId="15411" xr:uid="{00000000-0005-0000-0000-0000333C0000}"/>
    <cellStyle name="Normal 2 2 2 2 4 30 5 5" xfId="15412" xr:uid="{00000000-0005-0000-0000-0000343C0000}"/>
    <cellStyle name="Normal 2 2 2 2 4 30 5 6" xfId="15413" xr:uid="{00000000-0005-0000-0000-0000353C0000}"/>
    <cellStyle name="Normal 2 2 2 2 4 30 5 7" xfId="15414" xr:uid="{00000000-0005-0000-0000-0000363C0000}"/>
    <cellStyle name="Normal 2 2 2 2 4 30 5 8" xfId="15415" xr:uid="{00000000-0005-0000-0000-0000373C0000}"/>
    <cellStyle name="Normal 2 2 2 2 4 30 5 9" xfId="15416" xr:uid="{00000000-0005-0000-0000-0000383C0000}"/>
    <cellStyle name="Normal 2 2 2 2 4 30 6" xfId="15417" xr:uid="{00000000-0005-0000-0000-0000393C0000}"/>
    <cellStyle name="Normal 2 2 2 2 4 30 7" xfId="15418" xr:uid="{00000000-0005-0000-0000-00003A3C0000}"/>
    <cellStyle name="Normal 2 2 2 2 4 30 8" xfId="15419" xr:uid="{00000000-0005-0000-0000-00003B3C0000}"/>
    <cellStyle name="Normal 2 2 2 2 4 30 9" xfId="15420" xr:uid="{00000000-0005-0000-0000-00003C3C0000}"/>
    <cellStyle name="Normal 2 2 2 2 4 31" xfId="15421" xr:uid="{00000000-0005-0000-0000-00003D3C0000}"/>
    <cellStyle name="Normal 2 2 2 2 4 31 10" xfId="15422" xr:uid="{00000000-0005-0000-0000-00003E3C0000}"/>
    <cellStyle name="Normal 2 2 2 2 4 31 11" xfId="15423" xr:uid="{00000000-0005-0000-0000-00003F3C0000}"/>
    <cellStyle name="Normal 2 2 2 2 4 31 12" xfId="15424" xr:uid="{00000000-0005-0000-0000-0000403C0000}"/>
    <cellStyle name="Normal 2 2 2 2 4 31 13" xfId="15425" xr:uid="{00000000-0005-0000-0000-0000413C0000}"/>
    <cellStyle name="Normal 2 2 2 2 4 31 14" xfId="15426" xr:uid="{00000000-0005-0000-0000-0000423C0000}"/>
    <cellStyle name="Normal 2 2 2 2 4 31 2" xfId="15427" xr:uid="{00000000-0005-0000-0000-0000433C0000}"/>
    <cellStyle name="Normal 2 2 2 2 4 31 2 10" xfId="15428" xr:uid="{00000000-0005-0000-0000-0000443C0000}"/>
    <cellStyle name="Normal 2 2 2 2 4 31 2 2" xfId="15429" xr:uid="{00000000-0005-0000-0000-0000453C0000}"/>
    <cellStyle name="Normal 2 2 2 2 4 31 2 3" xfId="15430" xr:uid="{00000000-0005-0000-0000-0000463C0000}"/>
    <cellStyle name="Normal 2 2 2 2 4 31 2 4" xfId="15431" xr:uid="{00000000-0005-0000-0000-0000473C0000}"/>
    <cellStyle name="Normal 2 2 2 2 4 31 2 5" xfId="15432" xr:uid="{00000000-0005-0000-0000-0000483C0000}"/>
    <cellStyle name="Normal 2 2 2 2 4 31 2 6" xfId="15433" xr:uid="{00000000-0005-0000-0000-0000493C0000}"/>
    <cellStyle name="Normal 2 2 2 2 4 31 2 7" xfId="15434" xr:uid="{00000000-0005-0000-0000-00004A3C0000}"/>
    <cellStyle name="Normal 2 2 2 2 4 31 2 8" xfId="15435" xr:uid="{00000000-0005-0000-0000-00004B3C0000}"/>
    <cellStyle name="Normal 2 2 2 2 4 31 2 9" xfId="15436" xr:uid="{00000000-0005-0000-0000-00004C3C0000}"/>
    <cellStyle name="Normal 2 2 2 2 4 31 3" xfId="15437" xr:uid="{00000000-0005-0000-0000-00004D3C0000}"/>
    <cellStyle name="Normal 2 2 2 2 4 31 3 10" xfId="15438" xr:uid="{00000000-0005-0000-0000-00004E3C0000}"/>
    <cellStyle name="Normal 2 2 2 2 4 31 3 2" xfId="15439" xr:uid="{00000000-0005-0000-0000-00004F3C0000}"/>
    <cellStyle name="Normal 2 2 2 2 4 31 3 3" xfId="15440" xr:uid="{00000000-0005-0000-0000-0000503C0000}"/>
    <cellStyle name="Normal 2 2 2 2 4 31 3 4" xfId="15441" xr:uid="{00000000-0005-0000-0000-0000513C0000}"/>
    <cellStyle name="Normal 2 2 2 2 4 31 3 5" xfId="15442" xr:uid="{00000000-0005-0000-0000-0000523C0000}"/>
    <cellStyle name="Normal 2 2 2 2 4 31 3 6" xfId="15443" xr:uid="{00000000-0005-0000-0000-0000533C0000}"/>
    <cellStyle name="Normal 2 2 2 2 4 31 3 7" xfId="15444" xr:uid="{00000000-0005-0000-0000-0000543C0000}"/>
    <cellStyle name="Normal 2 2 2 2 4 31 3 8" xfId="15445" xr:uid="{00000000-0005-0000-0000-0000553C0000}"/>
    <cellStyle name="Normal 2 2 2 2 4 31 3 9" xfId="15446" xr:uid="{00000000-0005-0000-0000-0000563C0000}"/>
    <cellStyle name="Normal 2 2 2 2 4 31 4" xfId="15447" xr:uid="{00000000-0005-0000-0000-0000573C0000}"/>
    <cellStyle name="Normal 2 2 2 2 4 31 4 10" xfId="15448" xr:uid="{00000000-0005-0000-0000-0000583C0000}"/>
    <cellStyle name="Normal 2 2 2 2 4 31 4 2" xfId="15449" xr:uid="{00000000-0005-0000-0000-0000593C0000}"/>
    <cellStyle name="Normal 2 2 2 2 4 31 4 3" xfId="15450" xr:uid="{00000000-0005-0000-0000-00005A3C0000}"/>
    <cellStyle name="Normal 2 2 2 2 4 31 4 4" xfId="15451" xr:uid="{00000000-0005-0000-0000-00005B3C0000}"/>
    <cellStyle name="Normal 2 2 2 2 4 31 4 5" xfId="15452" xr:uid="{00000000-0005-0000-0000-00005C3C0000}"/>
    <cellStyle name="Normal 2 2 2 2 4 31 4 6" xfId="15453" xr:uid="{00000000-0005-0000-0000-00005D3C0000}"/>
    <cellStyle name="Normal 2 2 2 2 4 31 4 7" xfId="15454" xr:uid="{00000000-0005-0000-0000-00005E3C0000}"/>
    <cellStyle name="Normal 2 2 2 2 4 31 4 8" xfId="15455" xr:uid="{00000000-0005-0000-0000-00005F3C0000}"/>
    <cellStyle name="Normal 2 2 2 2 4 31 4 9" xfId="15456" xr:uid="{00000000-0005-0000-0000-0000603C0000}"/>
    <cellStyle name="Normal 2 2 2 2 4 31 5" xfId="15457" xr:uid="{00000000-0005-0000-0000-0000613C0000}"/>
    <cellStyle name="Normal 2 2 2 2 4 31 5 10" xfId="15458" xr:uid="{00000000-0005-0000-0000-0000623C0000}"/>
    <cellStyle name="Normal 2 2 2 2 4 31 5 2" xfId="15459" xr:uid="{00000000-0005-0000-0000-0000633C0000}"/>
    <cellStyle name="Normal 2 2 2 2 4 31 5 3" xfId="15460" xr:uid="{00000000-0005-0000-0000-0000643C0000}"/>
    <cellStyle name="Normal 2 2 2 2 4 31 5 4" xfId="15461" xr:uid="{00000000-0005-0000-0000-0000653C0000}"/>
    <cellStyle name="Normal 2 2 2 2 4 31 5 5" xfId="15462" xr:uid="{00000000-0005-0000-0000-0000663C0000}"/>
    <cellStyle name="Normal 2 2 2 2 4 31 5 6" xfId="15463" xr:uid="{00000000-0005-0000-0000-0000673C0000}"/>
    <cellStyle name="Normal 2 2 2 2 4 31 5 7" xfId="15464" xr:uid="{00000000-0005-0000-0000-0000683C0000}"/>
    <cellStyle name="Normal 2 2 2 2 4 31 5 8" xfId="15465" xr:uid="{00000000-0005-0000-0000-0000693C0000}"/>
    <cellStyle name="Normal 2 2 2 2 4 31 5 9" xfId="15466" xr:uid="{00000000-0005-0000-0000-00006A3C0000}"/>
    <cellStyle name="Normal 2 2 2 2 4 31 6" xfId="15467" xr:uid="{00000000-0005-0000-0000-00006B3C0000}"/>
    <cellStyle name="Normal 2 2 2 2 4 31 7" xfId="15468" xr:uid="{00000000-0005-0000-0000-00006C3C0000}"/>
    <cellStyle name="Normal 2 2 2 2 4 31 8" xfId="15469" xr:uid="{00000000-0005-0000-0000-00006D3C0000}"/>
    <cellStyle name="Normal 2 2 2 2 4 31 9" xfId="15470" xr:uid="{00000000-0005-0000-0000-00006E3C0000}"/>
    <cellStyle name="Normal 2 2 2 2 4 32" xfId="15471" xr:uid="{00000000-0005-0000-0000-00006F3C0000}"/>
    <cellStyle name="Normal 2 2 2 2 4 32 10" xfId="15472" xr:uid="{00000000-0005-0000-0000-0000703C0000}"/>
    <cellStyle name="Normal 2 2 2 2 4 32 11" xfId="15473" xr:uid="{00000000-0005-0000-0000-0000713C0000}"/>
    <cellStyle name="Normal 2 2 2 2 4 32 12" xfId="15474" xr:uid="{00000000-0005-0000-0000-0000723C0000}"/>
    <cellStyle name="Normal 2 2 2 2 4 32 13" xfId="15475" xr:uid="{00000000-0005-0000-0000-0000733C0000}"/>
    <cellStyle name="Normal 2 2 2 2 4 32 14" xfId="15476" xr:uid="{00000000-0005-0000-0000-0000743C0000}"/>
    <cellStyle name="Normal 2 2 2 2 4 32 2" xfId="15477" xr:uid="{00000000-0005-0000-0000-0000753C0000}"/>
    <cellStyle name="Normal 2 2 2 2 4 32 2 10" xfId="15478" xr:uid="{00000000-0005-0000-0000-0000763C0000}"/>
    <cellStyle name="Normal 2 2 2 2 4 32 2 2" xfId="15479" xr:uid="{00000000-0005-0000-0000-0000773C0000}"/>
    <cellStyle name="Normal 2 2 2 2 4 32 2 3" xfId="15480" xr:uid="{00000000-0005-0000-0000-0000783C0000}"/>
    <cellStyle name="Normal 2 2 2 2 4 32 2 4" xfId="15481" xr:uid="{00000000-0005-0000-0000-0000793C0000}"/>
    <cellStyle name="Normal 2 2 2 2 4 32 2 5" xfId="15482" xr:uid="{00000000-0005-0000-0000-00007A3C0000}"/>
    <cellStyle name="Normal 2 2 2 2 4 32 2 6" xfId="15483" xr:uid="{00000000-0005-0000-0000-00007B3C0000}"/>
    <cellStyle name="Normal 2 2 2 2 4 32 2 7" xfId="15484" xr:uid="{00000000-0005-0000-0000-00007C3C0000}"/>
    <cellStyle name="Normal 2 2 2 2 4 32 2 8" xfId="15485" xr:uid="{00000000-0005-0000-0000-00007D3C0000}"/>
    <cellStyle name="Normal 2 2 2 2 4 32 2 9" xfId="15486" xr:uid="{00000000-0005-0000-0000-00007E3C0000}"/>
    <cellStyle name="Normal 2 2 2 2 4 32 3" xfId="15487" xr:uid="{00000000-0005-0000-0000-00007F3C0000}"/>
    <cellStyle name="Normal 2 2 2 2 4 32 3 10" xfId="15488" xr:uid="{00000000-0005-0000-0000-0000803C0000}"/>
    <cellStyle name="Normal 2 2 2 2 4 32 3 2" xfId="15489" xr:uid="{00000000-0005-0000-0000-0000813C0000}"/>
    <cellStyle name="Normal 2 2 2 2 4 32 3 3" xfId="15490" xr:uid="{00000000-0005-0000-0000-0000823C0000}"/>
    <cellStyle name="Normal 2 2 2 2 4 32 3 4" xfId="15491" xr:uid="{00000000-0005-0000-0000-0000833C0000}"/>
    <cellStyle name="Normal 2 2 2 2 4 32 3 5" xfId="15492" xr:uid="{00000000-0005-0000-0000-0000843C0000}"/>
    <cellStyle name="Normal 2 2 2 2 4 32 3 6" xfId="15493" xr:uid="{00000000-0005-0000-0000-0000853C0000}"/>
    <cellStyle name="Normal 2 2 2 2 4 32 3 7" xfId="15494" xr:uid="{00000000-0005-0000-0000-0000863C0000}"/>
    <cellStyle name="Normal 2 2 2 2 4 32 3 8" xfId="15495" xr:uid="{00000000-0005-0000-0000-0000873C0000}"/>
    <cellStyle name="Normal 2 2 2 2 4 32 3 9" xfId="15496" xr:uid="{00000000-0005-0000-0000-0000883C0000}"/>
    <cellStyle name="Normal 2 2 2 2 4 32 4" xfId="15497" xr:uid="{00000000-0005-0000-0000-0000893C0000}"/>
    <cellStyle name="Normal 2 2 2 2 4 32 4 10" xfId="15498" xr:uid="{00000000-0005-0000-0000-00008A3C0000}"/>
    <cellStyle name="Normal 2 2 2 2 4 32 4 2" xfId="15499" xr:uid="{00000000-0005-0000-0000-00008B3C0000}"/>
    <cellStyle name="Normal 2 2 2 2 4 32 4 3" xfId="15500" xr:uid="{00000000-0005-0000-0000-00008C3C0000}"/>
    <cellStyle name="Normal 2 2 2 2 4 32 4 4" xfId="15501" xr:uid="{00000000-0005-0000-0000-00008D3C0000}"/>
    <cellStyle name="Normal 2 2 2 2 4 32 4 5" xfId="15502" xr:uid="{00000000-0005-0000-0000-00008E3C0000}"/>
    <cellStyle name="Normal 2 2 2 2 4 32 4 6" xfId="15503" xr:uid="{00000000-0005-0000-0000-00008F3C0000}"/>
    <cellStyle name="Normal 2 2 2 2 4 32 4 7" xfId="15504" xr:uid="{00000000-0005-0000-0000-0000903C0000}"/>
    <cellStyle name="Normal 2 2 2 2 4 32 4 8" xfId="15505" xr:uid="{00000000-0005-0000-0000-0000913C0000}"/>
    <cellStyle name="Normal 2 2 2 2 4 32 4 9" xfId="15506" xr:uid="{00000000-0005-0000-0000-0000923C0000}"/>
    <cellStyle name="Normal 2 2 2 2 4 32 5" xfId="15507" xr:uid="{00000000-0005-0000-0000-0000933C0000}"/>
    <cellStyle name="Normal 2 2 2 2 4 32 5 10" xfId="15508" xr:uid="{00000000-0005-0000-0000-0000943C0000}"/>
    <cellStyle name="Normal 2 2 2 2 4 32 5 2" xfId="15509" xr:uid="{00000000-0005-0000-0000-0000953C0000}"/>
    <cellStyle name="Normal 2 2 2 2 4 32 5 3" xfId="15510" xr:uid="{00000000-0005-0000-0000-0000963C0000}"/>
    <cellStyle name="Normal 2 2 2 2 4 32 5 4" xfId="15511" xr:uid="{00000000-0005-0000-0000-0000973C0000}"/>
    <cellStyle name="Normal 2 2 2 2 4 32 5 5" xfId="15512" xr:uid="{00000000-0005-0000-0000-0000983C0000}"/>
    <cellStyle name="Normal 2 2 2 2 4 32 5 6" xfId="15513" xr:uid="{00000000-0005-0000-0000-0000993C0000}"/>
    <cellStyle name="Normal 2 2 2 2 4 32 5 7" xfId="15514" xr:uid="{00000000-0005-0000-0000-00009A3C0000}"/>
    <cellStyle name="Normal 2 2 2 2 4 32 5 8" xfId="15515" xr:uid="{00000000-0005-0000-0000-00009B3C0000}"/>
    <cellStyle name="Normal 2 2 2 2 4 32 5 9" xfId="15516" xr:uid="{00000000-0005-0000-0000-00009C3C0000}"/>
    <cellStyle name="Normal 2 2 2 2 4 32 6" xfId="15517" xr:uid="{00000000-0005-0000-0000-00009D3C0000}"/>
    <cellStyle name="Normal 2 2 2 2 4 32 7" xfId="15518" xr:uid="{00000000-0005-0000-0000-00009E3C0000}"/>
    <cellStyle name="Normal 2 2 2 2 4 32 8" xfId="15519" xr:uid="{00000000-0005-0000-0000-00009F3C0000}"/>
    <cellStyle name="Normal 2 2 2 2 4 32 9" xfId="15520" xr:uid="{00000000-0005-0000-0000-0000A03C0000}"/>
    <cellStyle name="Normal 2 2 2 2 4 33" xfId="15521" xr:uid="{00000000-0005-0000-0000-0000A13C0000}"/>
    <cellStyle name="Normal 2 2 2 2 4 33 10" xfId="15522" xr:uid="{00000000-0005-0000-0000-0000A23C0000}"/>
    <cellStyle name="Normal 2 2 2 2 4 33 11" xfId="15523" xr:uid="{00000000-0005-0000-0000-0000A33C0000}"/>
    <cellStyle name="Normal 2 2 2 2 4 33 12" xfId="15524" xr:uid="{00000000-0005-0000-0000-0000A43C0000}"/>
    <cellStyle name="Normal 2 2 2 2 4 33 13" xfId="15525" xr:uid="{00000000-0005-0000-0000-0000A53C0000}"/>
    <cellStyle name="Normal 2 2 2 2 4 33 14" xfId="15526" xr:uid="{00000000-0005-0000-0000-0000A63C0000}"/>
    <cellStyle name="Normal 2 2 2 2 4 33 2" xfId="15527" xr:uid="{00000000-0005-0000-0000-0000A73C0000}"/>
    <cellStyle name="Normal 2 2 2 2 4 33 2 10" xfId="15528" xr:uid="{00000000-0005-0000-0000-0000A83C0000}"/>
    <cellStyle name="Normal 2 2 2 2 4 33 2 2" xfId="15529" xr:uid="{00000000-0005-0000-0000-0000A93C0000}"/>
    <cellStyle name="Normal 2 2 2 2 4 33 2 3" xfId="15530" xr:uid="{00000000-0005-0000-0000-0000AA3C0000}"/>
    <cellStyle name="Normal 2 2 2 2 4 33 2 4" xfId="15531" xr:uid="{00000000-0005-0000-0000-0000AB3C0000}"/>
    <cellStyle name="Normal 2 2 2 2 4 33 2 5" xfId="15532" xr:uid="{00000000-0005-0000-0000-0000AC3C0000}"/>
    <cellStyle name="Normal 2 2 2 2 4 33 2 6" xfId="15533" xr:uid="{00000000-0005-0000-0000-0000AD3C0000}"/>
    <cellStyle name="Normal 2 2 2 2 4 33 2 7" xfId="15534" xr:uid="{00000000-0005-0000-0000-0000AE3C0000}"/>
    <cellStyle name="Normal 2 2 2 2 4 33 2 8" xfId="15535" xr:uid="{00000000-0005-0000-0000-0000AF3C0000}"/>
    <cellStyle name="Normal 2 2 2 2 4 33 2 9" xfId="15536" xr:uid="{00000000-0005-0000-0000-0000B03C0000}"/>
    <cellStyle name="Normal 2 2 2 2 4 33 3" xfId="15537" xr:uid="{00000000-0005-0000-0000-0000B13C0000}"/>
    <cellStyle name="Normal 2 2 2 2 4 33 3 10" xfId="15538" xr:uid="{00000000-0005-0000-0000-0000B23C0000}"/>
    <cellStyle name="Normal 2 2 2 2 4 33 3 2" xfId="15539" xr:uid="{00000000-0005-0000-0000-0000B33C0000}"/>
    <cellStyle name="Normal 2 2 2 2 4 33 3 3" xfId="15540" xr:uid="{00000000-0005-0000-0000-0000B43C0000}"/>
    <cellStyle name="Normal 2 2 2 2 4 33 3 4" xfId="15541" xr:uid="{00000000-0005-0000-0000-0000B53C0000}"/>
    <cellStyle name="Normal 2 2 2 2 4 33 3 5" xfId="15542" xr:uid="{00000000-0005-0000-0000-0000B63C0000}"/>
    <cellStyle name="Normal 2 2 2 2 4 33 3 6" xfId="15543" xr:uid="{00000000-0005-0000-0000-0000B73C0000}"/>
    <cellStyle name="Normal 2 2 2 2 4 33 3 7" xfId="15544" xr:uid="{00000000-0005-0000-0000-0000B83C0000}"/>
    <cellStyle name="Normal 2 2 2 2 4 33 3 8" xfId="15545" xr:uid="{00000000-0005-0000-0000-0000B93C0000}"/>
    <cellStyle name="Normal 2 2 2 2 4 33 3 9" xfId="15546" xr:uid="{00000000-0005-0000-0000-0000BA3C0000}"/>
    <cellStyle name="Normal 2 2 2 2 4 33 4" xfId="15547" xr:uid="{00000000-0005-0000-0000-0000BB3C0000}"/>
    <cellStyle name="Normal 2 2 2 2 4 33 4 10" xfId="15548" xr:uid="{00000000-0005-0000-0000-0000BC3C0000}"/>
    <cellStyle name="Normal 2 2 2 2 4 33 4 2" xfId="15549" xr:uid="{00000000-0005-0000-0000-0000BD3C0000}"/>
    <cellStyle name="Normal 2 2 2 2 4 33 4 3" xfId="15550" xr:uid="{00000000-0005-0000-0000-0000BE3C0000}"/>
    <cellStyle name="Normal 2 2 2 2 4 33 4 4" xfId="15551" xr:uid="{00000000-0005-0000-0000-0000BF3C0000}"/>
    <cellStyle name="Normal 2 2 2 2 4 33 4 5" xfId="15552" xr:uid="{00000000-0005-0000-0000-0000C03C0000}"/>
    <cellStyle name="Normal 2 2 2 2 4 33 4 6" xfId="15553" xr:uid="{00000000-0005-0000-0000-0000C13C0000}"/>
    <cellStyle name="Normal 2 2 2 2 4 33 4 7" xfId="15554" xr:uid="{00000000-0005-0000-0000-0000C23C0000}"/>
    <cellStyle name="Normal 2 2 2 2 4 33 4 8" xfId="15555" xr:uid="{00000000-0005-0000-0000-0000C33C0000}"/>
    <cellStyle name="Normal 2 2 2 2 4 33 4 9" xfId="15556" xr:uid="{00000000-0005-0000-0000-0000C43C0000}"/>
    <cellStyle name="Normal 2 2 2 2 4 33 5" xfId="15557" xr:uid="{00000000-0005-0000-0000-0000C53C0000}"/>
    <cellStyle name="Normal 2 2 2 2 4 33 5 10" xfId="15558" xr:uid="{00000000-0005-0000-0000-0000C63C0000}"/>
    <cellStyle name="Normal 2 2 2 2 4 33 5 2" xfId="15559" xr:uid="{00000000-0005-0000-0000-0000C73C0000}"/>
    <cellStyle name="Normal 2 2 2 2 4 33 5 3" xfId="15560" xr:uid="{00000000-0005-0000-0000-0000C83C0000}"/>
    <cellStyle name="Normal 2 2 2 2 4 33 5 4" xfId="15561" xr:uid="{00000000-0005-0000-0000-0000C93C0000}"/>
    <cellStyle name="Normal 2 2 2 2 4 33 5 5" xfId="15562" xr:uid="{00000000-0005-0000-0000-0000CA3C0000}"/>
    <cellStyle name="Normal 2 2 2 2 4 33 5 6" xfId="15563" xr:uid="{00000000-0005-0000-0000-0000CB3C0000}"/>
    <cellStyle name="Normal 2 2 2 2 4 33 5 7" xfId="15564" xr:uid="{00000000-0005-0000-0000-0000CC3C0000}"/>
    <cellStyle name="Normal 2 2 2 2 4 33 5 8" xfId="15565" xr:uid="{00000000-0005-0000-0000-0000CD3C0000}"/>
    <cellStyle name="Normal 2 2 2 2 4 33 5 9" xfId="15566" xr:uid="{00000000-0005-0000-0000-0000CE3C0000}"/>
    <cellStyle name="Normal 2 2 2 2 4 33 6" xfId="15567" xr:uid="{00000000-0005-0000-0000-0000CF3C0000}"/>
    <cellStyle name="Normal 2 2 2 2 4 33 7" xfId="15568" xr:uid="{00000000-0005-0000-0000-0000D03C0000}"/>
    <cellStyle name="Normal 2 2 2 2 4 33 8" xfId="15569" xr:uid="{00000000-0005-0000-0000-0000D13C0000}"/>
    <cellStyle name="Normal 2 2 2 2 4 33 9" xfId="15570" xr:uid="{00000000-0005-0000-0000-0000D23C0000}"/>
    <cellStyle name="Normal 2 2 2 2 4 34" xfId="15571" xr:uid="{00000000-0005-0000-0000-0000D33C0000}"/>
    <cellStyle name="Normal 2 2 2 2 4 35" xfId="15572" xr:uid="{00000000-0005-0000-0000-0000D43C0000}"/>
    <cellStyle name="Normal 2 2 2 2 4 4" xfId="15573" xr:uid="{00000000-0005-0000-0000-0000D53C0000}"/>
    <cellStyle name="Normal 2 2 2 2 4 4 10" xfId="15574" xr:uid="{00000000-0005-0000-0000-0000D63C0000}"/>
    <cellStyle name="Normal 2 2 2 2 4 4 11" xfId="15575" xr:uid="{00000000-0005-0000-0000-0000D73C0000}"/>
    <cellStyle name="Normal 2 2 2 2 4 4 12" xfId="15576" xr:uid="{00000000-0005-0000-0000-0000D83C0000}"/>
    <cellStyle name="Normal 2 2 2 2 4 4 13" xfId="15577" xr:uid="{00000000-0005-0000-0000-0000D93C0000}"/>
    <cellStyle name="Normal 2 2 2 2 4 4 14" xfId="15578" xr:uid="{00000000-0005-0000-0000-0000DA3C0000}"/>
    <cellStyle name="Normal 2 2 2 2 4 4 2" xfId="15579" xr:uid="{00000000-0005-0000-0000-0000DB3C0000}"/>
    <cellStyle name="Normal 2 2 2 2 4 4 2 10" xfId="15580" xr:uid="{00000000-0005-0000-0000-0000DC3C0000}"/>
    <cellStyle name="Normal 2 2 2 2 4 4 2 2" xfId="15581" xr:uid="{00000000-0005-0000-0000-0000DD3C0000}"/>
    <cellStyle name="Normal 2 2 2 2 4 4 2 3" xfId="15582" xr:uid="{00000000-0005-0000-0000-0000DE3C0000}"/>
    <cellStyle name="Normal 2 2 2 2 4 4 2 4" xfId="15583" xr:uid="{00000000-0005-0000-0000-0000DF3C0000}"/>
    <cellStyle name="Normal 2 2 2 2 4 4 2 5" xfId="15584" xr:uid="{00000000-0005-0000-0000-0000E03C0000}"/>
    <cellStyle name="Normal 2 2 2 2 4 4 2 6" xfId="15585" xr:uid="{00000000-0005-0000-0000-0000E13C0000}"/>
    <cellStyle name="Normal 2 2 2 2 4 4 2 7" xfId="15586" xr:uid="{00000000-0005-0000-0000-0000E23C0000}"/>
    <cellStyle name="Normal 2 2 2 2 4 4 2 8" xfId="15587" xr:uid="{00000000-0005-0000-0000-0000E33C0000}"/>
    <cellStyle name="Normal 2 2 2 2 4 4 2 9" xfId="15588" xr:uid="{00000000-0005-0000-0000-0000E43C0000}"/>
    <cellStyle name="Normal 2 2 2 2 4 4 3" xfId="15589" xr:uid="{00000000-0005-0000-0000-0000E53C0000}"/>
    <cellStyle name="Normal 2 2 2 2 4 4 3 10" xfId="15590" xr:uid="{00000000-0005-0000-0000-0000E63C0000}"/>
    <cellStyle name="Normal 2 2 2 2 4 4 3 2" xfId="15591" xr:uid="{00000000-0005-0000-0000-0000E73C0000}"/>
    <cellStyle name="Normal 2 2 2 2 4 4 3 3" xfId="15592" xr:uid="{00000000-0005-0000-0000-0000E83C0000}"/>
    <cellStyle name="Normal 2 2 2 2 4 4 3 4" xfId="15593" xr:uid="{00000000-0005-0000-0000-0000E93C0000}"/>
    <cellStyle name="Normal 2 2 2 2 4 4 3 5" xfId="15594" xr:uid="{00000000-0005-0000-0000-0000EA3C0000}"/>
    <cellStyle name="Normal 2 2 2 2 4 4 3 6" xfId="15595" xr:uid="{00000000-0005-0000-0000-0000EB3C0000}"/>
    <cellStyle name="Normal 2 2 2 2 4 4 3 7" xfId="15596" xr:uid="{00000000-0005-0000-0000-0000EC3C0000}"/>
    <cellStyle name="Normal 2 2 2 2 4 4 3 8" xfId="15597" xr:uid="{00000000-0005-0000-0000-0000ED3C0000}"/>
    <cellStyle name="Normal 2 2 2 2 4 4 3 9" xfId="15598" xr:uid="{00000000-0005-0000-0000-0000EE3C0000}"/>
    <cellStyle name="Normal 2 2 2 2 4 4 4" xfId="15599" xr:uid="{00000000-0005-0000-0000-0000EF3C0000}"/>
    <cellStyle name="Normal 2 2 2 2 4 4 4 10" xfId="15600" xr:uid="{00000000-0005-0000-0000-0000F03C0000}"/>
    <cellStyle name="Normal 2 2 2 2 4 4 4 2" xfId="15601" xr:uid="{00000000-0005-0000-0000-0000F13C0000}"/>
    <cellStyle name="Normal 2 2 2 2 4 4 4 3" xfId="15602" xr:uid="{00000000-0005-0000-0000-0000F23C0000}"/>
    <cellStyle name="Normal 2 2 2 2 4 4 4 4" xfId="15603" xr:uid="{00000000-0005-0000-0000-0000F33C0000}"/>
    <cellStyle name="Normal 2 2 2 2 4 4 4 5" xfId="15604" xr:uid="{00000000-0005-0000-0000-0000F43C0000}"/>
    <cellStyle name="Normal 2 2 2 2 4 4 4 6" xfId="15605" xr:uid="{00000000-0005-0000-0000-0000F53C0000}"/>
    <cellStyle name="Normal 2 2 2 2 4 4 4 7" xfId="15606" xr:uid="{00000000-0005-0000-0000-0000F63C0000}"/>
    <cellStyle name="Normal 2 2 2 2 4 4 4 8" xfId="15607" xr:uid="{00000000-0005-0000-0000-0000F73C0000}"/>
    <cellStyle name="Normal 2 2 2 2 4 4 4 9" xfId="15608" xr:uid="{00000000-0005-0000-0000-0000F83C0000}"/>
    <cellStyle name="Normal 2 2 2 2 4 4 5" xfId="15609" xr:uid="{00000000-0005-0000-0000-0000F93C0000}"/>
    <cellStyle name="Normal 2 2 2 2 4 4 5 10" xfId="15610" xr:uid="{00000000-0005-0000-0000-0000FA3C0000}"/>
    <cellStyle name="Normal 2 2 2 2 4 4 5 2" xfId="15611" xr:uid="{00000000-0005-0000-0000-0000FB3C0000}"/>
    <cellStyle name="Normal 2 2 2 2 4 4 5 3" xfId="15612" xr:uid="{00000000-0005-0000-0000-0000FC3C0000}"/>
    <cellStyle name="Normal 2 2 2 2 4 4 5 4" xfId="15613" xr:uid="{00000000-0005-0000-0000-0000FD3C0000}"/>
    <cellStyle name="Normal 2 2 2 2 4 4 5 5" xfId="15614" xr:uid="{00000000-0005-0000-0000-0000FE3C0000}"/>
    <cellStyle name="Normal 2 2 2 2 4 4 5 6" xfId="15615" xr:uid="{00000000-0005-0000-0000-0000FF3C0000}"/>
    <cellStyle name="Normal 2 2 2 2 4 4 5 7" xfId="15616" xr:uid="{00000000-0005-0000-0000-0000003D0000}"/>
    <cellStyle name="Normal 2 2 2 2 4 4 5 8" xfId="15617" xr:uid="{00000000-0005-0000-0000-0000013D0000}"/>
    <cellStyle name="Normal 2 2 2 2 4 4 5 9" xfId="15618" xr:uid="{00000000-0005-0000-0000-0000023D0000}"/>
    <cellStyle name="Normal 2 2 2 2 4 4 6" xfId="15619" xr:uid="{00000000-0005-0000-0000-0000033D0000}"/>
    <cellStyle name="Normal 2 2 2 2 4 4 7" xfId="15620" xr:uid="{00000000-0005-0000-0000-0000043D0000}"/>
    <cellStyle name="Normal 2 2 2 2 4 4 8" xfId="15621" xr:uid="{00000000-0005-0000-0000-0000053D0000}"/>
    <cellStyle name="Normal 2 2 2 2 4 4 9" xfId="15622" xr:uid="{00000000-0005-0000-0000-0000063D0000}"/>
    <cellStyle name="Normal 2 2 2 2 4 5" xfId="15623" xr:uid="{00000000-0005-0000-0000-0000073D0000}"/>
    <cellStyle name="Normal 2 2 2 2 4 5 10" xfId="15624" xr:uid="{00000000-0005-0000-0000-0000083D0000}"/>
    <cellStyle name="Normal 2 2 2 2 4 5 11" xfId="15625" xr:uid="{00000000-0005-0000-0000-0000093D0000}"/>
    <cellStyle name="Normal 2 2 2 2 4 5 12" xfId="15626" xr:uid="{00000000-0005-0000-0000-00000A3D0000}"/>
    <cellStyle name="Normal 2 2 2 2 4 5 13" xfId="15627" xr:uid="{00000000-0005-0000-0000-00000B3D0000}"/>
    <cellStyle name="Normal 2 2 2 2 4 5 14" xfId="15628" xr:uid="{00000000-0005-0000-0000-00000C3D0000}"/>
    <cellStyle name="Normal 2 2 2 2 4 5 2" xfId="15629" xr:uid="{00000000-0005-0000-0000-00000D3D0000}"/>
    <cellStyle name="Normal 2 2 2 2 4 5 2 10" xfId="15630" xr:uid="{00000000-0005-0000-0000-00000E3D0000}"/>
    <cellStyle name="Normal 2 2 2 2 4 5 2 2" xfId="15631" xr:uid="{00000000-0005-0000-0000-00000F3D0000}"/>
    <cellStyle name="Normal 2 2 2 2 4 5 2 3" xfId="15632" xr:uid="{00000000-0005-0000-0000-0000103D0000}"/>
    <cellStyle name="Normal 2 2 2 2 4 5 2 4" xfId="15633" xr:uid="{00000000-0005-0000-0000-0000113D0000}"/>
    <cellStyle name="Normal 2 2 2 2 4 5 2 5" xfId="15634" xr:uid="{00000000-0005-0000-0000-0000123D0000}"/>
    <cellStyle name="Normal 2 2 2 2 4 5 2 6" xfId="15635" xr:uid="{00000000-0005-0000-0000-0000133D0000}"/>
    <cellStyle name="Normal 2 2 2 2 4 5 2 7" xfId="15636" xr:uid="{00000000-0005-0000-0000-0000143D0000}"/>
    <cellStyle name="Normal 2 2 2 2 4 5 2 8" xfId="15637" xr:uid="{00000000-0005-0000-0000-0000153D0000}"/>
    <cellStyle name="Normal 2 2 2 2 4 5 2 9" xfId="15638" xr:uid="{00000000-0005-0000-0000-0000163D0000}"/>
    <cellStyle name="Normal 2 2 2 2 4 5 3" xfId="15639" xr:uid="{00000000-0005-0000-0000-0000173D0000}"/>
    <cellStyle name="Normal 2 2 2 2 4 5 3 10" xfId="15640" xr:uid="{00000000-0005-0000-0000-0000183D0000}"/>
    <cellStyle name="Normal 2 2 2 2 4 5 3 2" xfId="15641" xr:uid="{00000000-0005-0000-0000-0000193D0000}"/>
    <cellStyle name="Normal 2 2 2 2 4 5 3 3" xfId="15642" xr:uid="{00000000-0005-0000-0000-00001A3D0000}"/>
    <cellStyle name="Normal 2 2 2 2 4 5 3 4" xfId="15643" xr:uid="{00000000-0005-0000-0000-00001B3D0000}"/>
    <cellStyle name="Normal 2 2 2 2 4 5 3 5" xfId="15644" xr:uid="{00000000-0005-0000-0000-00001C3D0000}"/>
    <cellStyle name="Normal 2 2 2 2 4 5 3 6" xfId="15645" xr:uid="{00000000-0005-0000-0000-00001D3D0000}"/>
    <cellStyle name="Normal 2 2 2 2 4 5 3 7" xfId="15646" xr:uid="{00000000-0005-0000-0000-00001E3D0000}"/>
    <cellStyle name="Normal 2 2 2 2 4 5 3 8" xfId="15647" xr:uid="{00000000-0005-0000-0000-00001F3D0000}"/>
    <cellStyle name="Normal 2 2 2 2 4 5 3 9" xfId="15648" xr:uid="{00000000-0005-0000-0000-0000203D0000}"/>
    <cellStyle name="Normal 2 2 2 2 4 5 4" xfId="15649" xr:uid="{00000000-0005-0000-0000-0000213D0000}"/>
    <cellStyle name="Normal 2 2 2 2 4 5 4 10" xfId="15650" xr:uid="{00000000-0005-0000-0000-0000223D0000}"/>
    <cellStyle name="Normal 2 2 2 2 4 5 4 2" xfId="15651" xr:uid="{00000000-0005-0000-0000-0000233D0000}"/>
    <cellStyle name="Normal 2 2 2 2 4 5 4 3" xfId="15652" xr:uid="{00000000-0005-0000-0000-0000243D0000}"/>
    <cellStyle name="Normal 2 2 2 2 4 5 4 4" xfId="15653" xr:uid="{00000000-0005-0000-0000-0000253D0000}"/>
    <cellStyle name="Normal 2 2 2 2 4 5 4 5" xfId="15654" xr:uid="{00000000-0005-0000-0000-0000263D0000}"/>
    <cellStyle name="Normal 2 2 2 2 4 5 4 6" xfId="15655" xr:uid="{00000000-0005-0000-0000-0000273D0000}"/>
    <cellStyle name="Normal 2 2 2 2 4 5 4 7" xfId="15656" xr:uid="{00000000-0005-0000-0000-0000283D0000}"/>
    <cellStyle name="Normal 2 2 2 2 4 5 4 8" xfId="15657" xr:uid="{00000000-0005-0000-0000-0000293D0000}"/>
    <cellStyle name="Normal 2 2 2 2 4 5 4 9" xfId="15658" xr:uid="{00000000-0005-0000-0000-00002A3D0000}"/>
    <cellStyle name="Normal 2 2 2 2 4 5 5" xfId="15659" xr:uid="{00000000-0005-0000-0000-00002B3D0000}"/>
    <cellStyle name="Normal 2 2 2 2 4 5 5 10" xfId="15660" xr:uid="{00000000-0005-0000-0000-00002C3D0000}"/>
    <cellStyle name="Normal 2 2 2 2 4 5 5 2" xfId="15661" xr:uid="{00000000-0005-0000-0000-00002D3D0000}"/>
    <cellStyle name="Normal 2 2 2 2 4 5 5 3" xfId="15662" xr:uid="{00000000-0005-0000-0000-00002E3D0000}"/>
    <cellStyle name="Normal 2 2 2 2 4 5 5 4" xfId="15663" xr:uid="{00000000-0005-0000-0000-00002F3D0000}"/>
    <cellStyle name="Normal 2 2 2 2 4 5 5 5" xfId="15664" xr:uid="{00000000-0005-0000-0000-0000303D0000}"/>
    <cellStyle name="Normal 2 2 2 2 4 5 5 6" xfId="15665" xr:uid="{00000000-0005-0000-0000-0000313D0000}"/>
    <cellStyle name="Normal 2 2 2 2 4 5 5 7" xfId="15666" xr:uid="{00000000-0005-0000-0000-0000323D0000}"/>
    <cellStyle name="Normal 2 2 2 2 4 5 5 8" xfId="15667" xr:uid="{00000000-0005-0000-0000-0000333D0000}"/>
    <cellStyle name="Normal 2 2 2 2 4 5 5 9" xfId="15668" xr:uid="{00000000-0005-0000-0000-0000343D0000}"/>
    <cellStyle name="Normal 2 2 2 2 4 5 6" xfId="15669" xr:uid="{00000000-0005-0000-0000-0000353D0000}"/>
    <cellStyle name="Normal 2 2 2 2 4 5 7" xfId="15670" xr:uid="{00000000-0005-0000-0000-0000363D0000}"/>
    <cellStyle name="Normal 2 2 2 2 4 5 8" xfId="15671" xr:uid="{00000000-0005-0000-0000-0000373D0000}"/>
    <cellStyle name="Normal 2 2 2 2 4 5 9" xfId="15672" xr:uid="{00000000-0005-0000-0000-0000383D0000}"/>
    <cellStyle name="Normal 2 2 2 2 4 6" xfId="15673" xr:uid="{00000000-0005-0000-0000-0000393D0000}"/>
    <cellStyle name="Normal 2 2 2 2 4 6 10" xfId="15674" xr:uid="{00000000-0005-0000-0000-00003A3D0000}"/>
    <cellStyle name="Normal 2 2 2 2 4 6 11" xfId="15675" xr:uid="{00000000-0005-0000-0000-00003B3D0000}"/>
    <cellStyle name="Normal 2 2 2 2 4 6 12" xfId="15676" xr:uid="{00000000-0005-0000-0000-00003C3D0000}"/>
    <cellStyle name="Normal 2 2 2 2 4 6 13" xfId="15677" xr:uid="{00000000-0005-0000-0000-00003D3D0000}"/>
    <cellStyle name="Normal 2 2 2 2 4 6 14" xfId="15678" xr:uid="{00000000-0005-0000-0000-00003E3D0000}"/>
    <cellStyle name="Normal 2 2 2 2 4 6 2" xfId="15679" xr:uid="{00000000-0005-0000-0000-00003F3D0000}"/>
    <cellStyle name="Normal 2 2 2 2 4 6 2 10" xfId="15680" xr:uid="{00000000-0005-0000-0000-0000403D0000}"/>
    <cellStyle name="Normal 2 2 2 2 4 6 2 2" xfId="15681" xr:uid="{00000000-0005-0000-0000-0000413D0000}"/>
    <cellStyle name="Normal 2 2 2 2 4 6 2 3" xfId="15682" xr:uid="{00000000-0005-0000-0000-0000423D0000}"/>
    <cellStyle name="Normal 2 2 2 2 4 6 2 4" xfId="15683" xr:uid="{00000000-0005-0000-0000-0000433D0000}"/>
    <cellStyle name="Normal 2 2 2 2 4 6 2 5" xfId="15684" xr:uid="{00000000-0005-0000-0000-0000443D0000}"/>
    <cellStyle name="Normal 2 2 2 2 4 6 2 6" xfId="15685" xr:uid="{00000000-0005-0000-0000-0000453D0000}"/>
    <cellStyle name="Normal 2 2 2 2 4 6 2 7" xfId="15686" xr:uid="{00000000-0005-0000-0000-0000463D0000}"/>
    <cellStyle name="Normal 2 2 2 2 4 6 2 8" xfId="15687" xr:uid="{00000000-0005-0000-0000-0000473D0000}"/>
    <cellStyle name="Normal 2 2 2 2 4 6 2 9" xfId="15688" xr:uid="{00000000-0005-0000-0000-0000483D0000}"/>
    <cellStyle name="Normal 2 2 2 2 4 6 3" xfId="15689" xr:uid="{00000000-0005-0000-0000-0000493D0000}"/>
    <cellStyle name="Normal 2 2 2 2 4 6 3 10" xfId="15690" xr:uid="{00000000-0005-0000-0000-00004A3D0000}"/>
    <cellStyle name="Normal 2 2 2 2 4 6 3 2" xfId="15691" xr:uid="{00000000-0005-0000-0000-00004B3D0000}"/>
    <cellStyle name="Normal 2 2 2 2 4 6 3 3" xfId="15692" xr:uid="{00000000-0005-0000-0000-00004C3D0000}"/>
    <cellStyle name="Normal 2 2 2 2 4 6 3 4" xfId="15693" xr:uid="{00000000-0005-0000-0000-00004D3D0000}"/>
    <cellStyle name="Normal 2 2 2 2 4 6 3 5" xfId="15694" xr:uid="{00000000-0005-0000-0000-00004E3D0000}"/>
    <cellStyle name="Normal 2 2 2 2 4 6 3 6" xfId="15695" xr:uid="{00000000-0005-0000-0000-00004F3D0000}"/>
    <cellStyle name="Normal 2 2 2 2 4 6 3 7" xfId="15696" xr:uid="{00000000-0005-0000-0000-0000503D0000}"/>
    <cellStyle name="Normal 2 2 2 2 4 6 3 8" xfId="15697" xr:uid="{00000000-0005-0000-0000-0000513D0000}"/>
    <cellStyle name="Normal 2 2 2 2 4 6 3 9" xfId="15698" xr:uid="{00000000-0005-0000-0000-0000523D0000}"/>
    <cellStyle name="Normal 2 2 2 2 4 6 4" xfId="15699" xr:uid="{00000000-0005-0000-0000-0000533D0000}"/>
    <cellStyle name="Normal 2 2 2 2 4 6 4 10" xfId="15700" xr:uid="{00000000-0005-0000-0000-0000543D0000}"/>
    <cellStyle name="Normal 2 2 2 2 4 6 4 2" xfId="15701" xr:uid="{00000000-0005-0000-0000-0000553D0000}"/>
    <cellStyle name="Normal 2 2 2 2 4 6 4 3" xfId="15702" xr:uid="{00000000-0005-0000-0000-0000563D0000}"/>
    <cellStyle name="Normal 2 2 2 2 4 6 4 4" xfId="15703" xr:uid="{00000000-0005-0000-0000-0000573D0000}"/>
    <cellStyle name="Normal 2 2 2 2 4 6 4 5" xfId="15704" xr:uid="{00000000-0005-0000-0000-0000583D0000}"/>
    <cellStyle name="Normal 2 2 2 2 4 6 4 6" xfId="15705" xr:uid="{00000000-0005-0000-0000-0000593D0000}"/>
    <cellStyle name="Normal 2 2 2 2 4 6 4 7" xfId="15706" xr:uid="{00000000-0005-0000-0000-00005A3D0000}"/>
    <cellStyle name="Normal 2 2 2 2 4 6 4 8" xfId="15707" xr:uid="{00000000-0005-0000-0000-00005B3D0000}"/>
    <cellStyle name="Normal 2 2 2 2 4 6 4 9" xfId="15708" xr:uid="{00000000-0005-0000-0000-00005C3D0000}"/>
    <cellStyle name="Normal 2 2 2 2 4 6 5" xfId="15709" xr:uid="{00000000-0005-0000-0000-00005D3D0000}"/>
    <cellStyle name="Normal 2 2 2 2 4 6 5 10" xfId="15710" xr:uid="{00000000-0005-0000-0000-00005E3D0000}"/>
    <cellStyle name="Normal 2 2 2 2 4 6 5 2" xfId="15711" xr:uid="{00000000-0005-0000-0000-00005F3D0000}"/>
    <cellStyle name="Normal 2 2 2 2 4 6 5 3" xfId="15712" xr:uid="{00000000-0005-0000-0000-0000603D0000}"/>
    <cellStyle name="Normal 2 2 2 2 4 6 5 4" xfId="15713" xr:uid="{00000000-0005-0000-0000-0000613D0000}"/>
    <cellStyle name="Normal 2 2 2 2 4 6 5 5" xfId="15714" xr:uid="{00000000-0005-0000-0000-0000623D0000}"/>
    <cellStyle name="Normal 2 2 2 2 4 6 5 6" xfId="15715" xr:uid="{00000000-0005-0000-0000-0000633D0000}"/>
    <cellStyle name="Normal 2 2 2 2 4 6 5 7" xfId="15716" xr:uid="{00000000-0005-0000-0000-0000643D0000}"/>
    <cellStyle name="Normal 2 2 2 2 4 6 5 8" xfId="15717" xr:uid="{00000000-0005-0000-0000-0000653D0000}"/>
    <cellStyle name="Normal 2 2 2 2 4 6 5 9" xfId="15718" xr:uid="{00000000-0005-0000-0000-0000663D0000}"/>
    <cellStyle name="Normal 2 2 2 2 4 6 6" xfId="15719" xr:uid="{00000000-0005-0000-0000-0000673D0000}"/>
    <cellStyle name="Normal 2 2 2 2 4 6 7" xfId="15720" xr:uid="{00000000-0005-0000-0000-0000683D0000}"/>
    <cellStyle name="Normal 2 2 2 2 4 6 8" xfId="15721" xr:uid="{00000000-0005-0000-0000-0000693D0000}"/>
    <cellStyle name="Normal 2 2 2 2 4 6 9" xfId="15722" xr:uid="{00000000-0005-0000-0000-00006A3D0000}"/>
    <cellStyle name="Normal 2 2 2 2 4 7" xfId="15723" xr:uid="{00000000-0005-0000-0000-00006B3D0000}"/>
    <cellStyle name="Normal 2 2 2 2 4 7 10" xfId="15724" xr:uid="{00000000-0005-0000-0000-00006C3D0000}"/>
    <cellStyle name="Normal 2 2 2 2 4 7 11" xfId="15725" xr:uid="{00000000-0005-0000-0000-00006D3D0000}"/>
    <cellStyle name="Normal 2 2 2 2 4 7 12" xfId="15726" xr:uid="{00000000-0005-0000-0000-00006E3D0000}"/>
    <cellStyle name="Normal 2 2 2 2 4 7 13" xfId="15727" xr:uid="{00000000-0005-0000-0000-00006F3D0000}"/>
    <cellStyle name="Normal 2 2 2 2 4 7 14" xfId="15728" xr:uid="{00000000-0005-0000-0000-0000703D0000}"/>
    <cellStyle name="Normal 2 2 2 2 4 7 2" xfId="15729" xr:uid="{00000000-0005-0000-0000-0000713D0000}"/>
    <cellStyle name="Normal 2 2 2 2 4 7 2 10" xfId="15730" xr:uid="{00000000-0005-0000-0000-0000723D0000}"/>
    <cellStyle name="Normal 2 2 2 2 4 7 2 2" xfId="15731" xr:uid="{00000000-0005-0000-0000-0000733D0000}"/>
    <cellStyle name="Normal 2 2 2 2 4 7 2 3" xfId="15732" xr:uid="{00000000-0005-0000-0000-0000743D0000}"/>
    <cellStyle name="Normal 2 2 2 2 4 7 2 4" xfId="15733" xr:uid="{00000000-0005-0000-0000-0000753D0000}"/>
    <cellStyle name="Normal 2 2 2 2 4 7 2 5" xfId="15734" xr:uid="{00000000-0005-0000-0000-0000763D0000}"/>
    <cellStyle name="Normal 2 2 2 2 4 7 2 6" xfId="15735" xr:uid="{00000000-0005-0000-0000-0000773D0000}"/>
    <cellStyle name="Normal 2 2 2 2 4 7 2 7" xfId="15736" xr:uid="{00000000-0005-0000-0000-0000783D0000}"/>
    <cellStyle name="Normal 2 2 2 2 4 7 2 8" xfId="15737" xr:uid="{00000000-0005-0000-0000-0000793D0000}"/>
    <cellStyle name="Normal 2 2 2 2 4 7 2 9" xfId="15738" xr:uid="{00000000-0005-0000-0000-00007A3D0000}"/>
    <cellStyle name="Normal 2 2 2 2 4 7 3" xfId="15739" xr:uid="{00000000-0005-0000-0000-00007B3D0000}"/>
    <cellStyle name="Normal 2 2 2 2 4 7 3 10" xfId="15740" xr:uid="{00000000-0005-0000-0000-00007C3D0000}"/>
    <cellStyle name="Normal 2 2 2 2 4 7 3 2" xfId="15741" xr:uid="{00000000-0005-0000-0000-00007D3D0000}"/>
    <cellStyle name="Normal 2 2 2 2 4 7 3 3" xfId="15742" xr:uid="{00000000-0005-0000-0000-00007E3D0000}"/>
    <cellStyle name="Normal 2 2 2 2 4 7 3 4" xfId="15743" xr:uid="{00000000-0005-0000-0000-00007F3D0000}"/>
    <cellStyle name="Normal 2 2 2 2 4 7 3 5" xfId="15744" xr:uid="{00000000-0005-0000-0000-0000803D0000}"/>
    <cellStyle name="Normal 2 2 2 2 4 7 3 6" xfId="15745" xr:uid="{00000000-0005-0000-0000-0000813D0000}"/>
    <cellStyle name="Normal 2 2 2 2 4 7 3 7" xfId="15746" xr:uid="{00000000-0005-0000-0000-0000823D0000}"/>
    <cellStyle name="Normal 2 2 2 2 4 7 3 8" xfId="15747" xr:uid="{00000000-0005-0000-0000-0000833D0000}"/>
    <cellStyle name="Normal 2 2 2 2 4 7 3 9" xfId="15748" xr:uid="{00000000-0005-0000-0000-0000843D0000}"/>
    <cellStyle name="Normal 2 2 2 2 4 7 4" xfId="15749" xr:uid="{00000000-0005-0000-0000-0000853D0000}"/>
    <cellStyle name="Normal 2 2 2 2 4 7 4 10" xfId="15750" xr:uid="{00000000-0005-0000-0000-0000863D0000}"/>
    <cellStyle name="Normal 2 2 2 2 4 7 4 2" xfId="15751" xr:uid="{00000000-0005-0000-0000-0000873D0000}"/>
    <cellStyle name="Normal 2 2 2 2 4 7 4 3" xfId="15752" xr:uid="{00000000-0005-0000-0000-0000883D0000}"/>
    <cellStyle name="Normal 2 2 2 2 4 7 4 4" xfId="15753" xr:uid="{00000000-0005-0000-0000-0000893D0000}"/>
    <cellStyle name="Normal 2 2 2 2 4 7 4 5" xfId="15754" xr:uid="{00000000-0005-0000-0000-00008A3D0000}"/>
    <cellStyle name="Normal 2 2 2 2 4 7 4 6" xfId="15755" xr:uid="{00000000-0005-0000-0000-00008B3D0000}"/>
    <cellStyle name="Normal 2 2 2 2 4 7 4 7" xfId="15756" xr:uid="{00000000-0005-0000-0000-00008C3D0000}"/>
    <cellStyle name="Normal 2 2 2 2 4 7 4 8" xfId="15757" xr:uid="{00000000-0005-0000-0000-00008D3D0000}"/>
    <cellStyle name="Normal 2 2 2 2 4 7 4 9" xfId="15758" xr:uid="{00000000-0005-0000-0000-00008E3D0000}"/>
    <cellStyle name="Normal 2 2 2 2 4 7 5" xfId="15759" xr:uid="{00000000-0005-0000-0000-00008F3D0000}"/>
    <cellStyle name="Normal 2 2 2 2 4 7 5 10" xfId="15760" xr:uid="{00000000-0005-0000-0000-0000903D0000}"/>
    <cellStyle name="Normal 2 2 2 2 4 7 5 2" xfId="15761" xr:uid="{00000000-0005-0000-0000-0000913D0000}"/>
    <cellStyle name="Normal 2 2 2 2 4 7 5 3" xfId="15762" xr:uid="{00000000-0005-0000-0000-0000923D0000}"/>
    <cellStyle name="Normal 2 2 2 2 4 7 5 4" xfId="15763" xr:uid="{00000000-0005-0000-0000-0000933D0000}"/>
    <cellStyle name="Normal 2 2 2 2 4 7 5 5" xfId="15764" xr:uid="{00000000-0005-0000-0000-0000943D0000}"/>
    <cellStyle name="Normal 2 2 2 2 4 7 5 6" xfId="15765" xr:uid="{00000000-0005-0000-0000-0000953D0000}"/>
    <cellStyle name="Normal 2 2 2 2 4 7 5 7" xfId="15766" xr:uid="{00000000-0005-0000-0000-0000963D0000}"/>
    <cellStyle name="Normal 2 2 2 2 4 7 5 8" xfId="15767" xr:uid="{00000000-0005-0000-0000-0000973D0000}"/>
    <cellStyle name="Normal 2 2 2 2 4 7 5 9" xfId="15768" xr:uid="{00000000-0005-0000-0000-0000983D0000}"/>
    <cellStyle name="Normal 2 2 2 2 4 7 6" xfId="15769" xr:uid="{00000000-0005-0000-0000-0000993D0000}"/>
    <cellStyle name="Normal 2 2 2 2 4 7 7" xfId="15770" xr:uid="{00000000-0005-0000-0000-00009A3D0000}"/>
    <cellStyle name="Normal 2 2 2 2 4 7 8" xfId="15771" xr:uid="{00000000-0005-0000-0000-00009B3D0000}"/>
    <cellStyle name="Normal 2 2 2 2 4 7 9" xfId="15772" xr:uid="{00000000-0005-0000-0000-00009C3D0000}"/>
    <cellStyle name="Normal 2 2 2 2 4 8" xfId="15773" xr:uid="{00000000-0005-0000-0000-00009D3D0000}"/>
    <cellStyle name="Normal 2 2 2 2 4 8 10" xfId="15774" xr:uid="{00000000-0005-0000-0000-00009E3D0000}"/>
    <cellStyle name="Normal 2 2 2 2 4 8 11" xfId="15775" xr:uid="{00000000-0005-0000-0000-00009F3D0000}"/>
    <cellStyle name="Normal 2 2 2 2 4 8 12" xfId="15776" xr:uid="{00000000-0005-0000-0000-0000A03D0000}"/>
    <cellStyle name="Normal 2 2 2 2 4 8 13" xfId="15777" xr:uid="{00000000-0005-0000-0000-0000A13D0000}"/>
    <cellStyle name="Normal 2 2 2 2 4 8 14" xfId="15778" xr:uid="{00000000-0005-0000-0000-0000A23D0000}"/>
    <cellStyle name="Normal 2 2 2 2 4 8 2" xfId="15779" xr:uid="{00000000-0005-0000-0000-0000A33D0000}"/>
    <cellStyle name="Normal 2 2 2 2 4 8 2 10" xfId="15780" xr:uid="{00000000-0005-0000-0000-0000A43D0000}"/>
    <cellStyle name="Normal 2 2 2 2 4 8 2 2" xfId="15781" xr:uid="{00000000-0005-0000-0000-0000A53D0000}"/>
    <cellStyle name="Normal 2 2 2 2 4 8 2 3" xfId="15782" xr:uid="{00000000-0005-0000-0000-0000A63D0000}"/>
    <cellStyle name="Normal 2 2 2 2 4 8 2 4" xfId="15783" xr:uid="{00000000-0005-0000-0000-0000A73D0000}"/>
    <cellStyle name="Normal 2 2 2 2 4 8 2 5" xfId="15784" xr:uid="{00000000-0005-0000-0000-0000A83D0000}"/>
    <cellStyle name="Normal 2 2 2 2 4 8 2 6" xfId="15785" xr:uid="{00000000-0005-0000-0000-0000A93D0000}"/>
    <cellStyle name="Normal 2 2 2 2 4 8 2 7" xfId="15786" xr:uid="{00000000-0005-0000-0000-0000AA3D0000}"/>
    <cellStyle name="Normal 2 2 2 2 4 8 2 8" xfId="15787" xr:uid="{00000000-0005-0000-0000-0000AB3D0000}"/>
    <cellStyle name="Normal 2 2 2 2 4 8 2 9" xfId="15788" xr:uid="{00000000-0005-0000-0000-0000AC3D0000}"/>
    <cellStyle name="Normal 2 2 2 2 4 8 3" xfId="15789" xr:uid="{00000000-0005-0000-0000-0000AD3D0000}"/>
    <cellStyle name="Normal 2 2 2 2 4 8 3 10" xfId="15790" xr:uid="{00000000-0005-0000-0000-0000AE3D0000}"/>
    <cellStyle name="Normal 2 2 2 2 4 8 3 2" xfId="15791" xr:uid="{00000000-0005-0000-0000-0000AF3D0000}"/>
    <cellStyle name="Normal 2 2 2 2 4 8 3 3" xfId="15792" xr:uid="{00000000-0005-0000-0000-0000B03D0000}"/>
    <cellStyle name="Normal 2 2 2 2 4 8 3 4" xfId="15793" xr:uid="{00000000-0005-0000-0000-0000B13D0000}"/>
    <cellStyle name="Normal 2 2 2 2 4 8 3 5" xfId="15794" xr:uid="{00000000-0005-0000-0000-0000B23D0000}"/>
    <cellStyle name="Normal 2 2 2 2 4 8 3 6" xfId="15795" xr:uid="{00000000-0005-0000-0000-0000B33D0000}"/>
    <cellStyle name="Normal 2 2 2 2 4 8 3 7" xfId="15796" xr:uid="{00000000-0005-0000-0000-0000B43D0000}"/>
    <cellStyle name="Normal 2 2 2 2 4 8 3 8" xfId="15797" xr:uid="{00000000-0005-0000-0000-0000B53D0000}"/>
    <cellStyle name="Normal 2 2 2 2 4 8 3 9" xfId="15798" xr:uid="{00000000-0005-0000-0000-0000B63D0000}"/>
    <cellStyle name="Normal 2 2 2 2 4 8 4" xfId="15799" xr:uid="{00000000-0005-0000-0000-0000B73D0000}"/>
    <cellStyle name="Normal 2 2 2 2 4 8 4 10" xfId="15800" xr:uid="{00000000-0005-0000-0000-0000B83D0000}"/>
    <cellStyle name="Normal 2 2 2 2 4 8 4 2" xfId="15801" xr:uid="{00000000-0005-0000-0000-0000B93D0000}"/>
    <cellStyle name="Normal 2 2 2 2 4 8 4 3" xfId="15802" xr:uid="{00000000-0005-0000-0000-0000BA3D0000}"/>
    <cellStyle name="Normal 2 2 2 2 4 8 4 4" xfId="15803" xr:uid="{00000000-0005-0000-0000-0000BB3D0000}"/>
    <cellStyle name="Normal 2 2 2 2 4 8 4 5" xfId="15804" xr:uid="{00000000-0005-0000-0000-0000BC3D0000}"/>
    <cellStyle name="Normal 2 2 2 2 4 8 4 6" xfId="15805" xr:uid="{00000000-0005-0000-0000-0000BD3D0000}"/>
    <cellStyle name="Normal 2 2 2 2 4 8 4 7" xfId="15806" xr:uid="{00000000-0005-0000-0000-0000BE3D0000}"/>
    <cellStyle name="Normal 2 2 2 2 4 8 4 8" xfId="15807" xr:uid="{00000000-0005-0000-0000-0000BF3D0000}"/>
    <cellStyle name="Normal 2 2 2 2 4 8 4 9" xfId="15808" xr:uid="{00000000-0005-0000-0000-0000C03D0000}"/>
    <cellStyle name="Normal 2 2 2 2 4 8 5" xfId="15809" xr:uid="{00000000-0005-0000-0000-0000C13D0000}"/>
    <cellStyle name="Normal 2 2 2 2 4 8 5 10" xfId="15810" xr:uid="{00000000-0005-0000-0000-0000C23D0000}"/>
    <cellStyle name="Normal 2 2 2 2 4 8 5 2" xfId="15811" xr:uid="{00000000-0005-0000-0000-0000C33D0000}"/>
    <cellStyle name="Normal 2 2 2 2 4 8 5 3" xfId="15812" xr:uid="{00000000-0005-0000-0000-0000C43D0000}"/>
    <cellStyle name="Normal 2 2 2 2 4 8 5 4" xfId="15813" xr:uid="{00000000-0005-0000-0000-0000C53D0000}"/>
    <cellStyle name="Normal 2 2 2 2 4 8 5 5" xfId="15814" xr:uid="{00000000-0005-0000-0000-0000C63D0000}"/>
    <cellStyle name="Normal 2 2 2 2 4 8 5 6" xfId="15815" xr:uid="{00000000-0005-0000-0000-0000C73D0000}"/>
    <cellStyle name="Normal 2 2 2 2 4 8 5 7" xfId="15816" xr:uid="{00000000-0005-0000-0000-0000C83D0000}"/>
    <cellStyle name="Normal 2 2 2 2 4 8 5 8" xfId="15817" xr:uid="{00000000-0005-0000-0000-0000C93D0000}"/>
    <cellStyle name="Normal 2 2 2 2 4 8 5 9" xfId="15818" xr:uid="{00000000-0005-0000-0000-0000CA3D0000}"/>
    <cellStyle name="Normal 2 2 2 2 4 8 6" xfId="15819" xr:uid="{00000000-0005-0000-0000-0000CB3D0000}"/>
    <cellStyle name="Normal 2 2 2 2 4 8 7" xfId="15820" xr:uid="{00000000-0005-0000-0000-0000CC3D0000}"/>
    <cellStyle name="Normal 2 2 2 2 4 8 8" xfId="15821" xr:uid="{00000000-0005-0000-0000-0000CD3D0000}"/>
    <cellStyle name="Normal 2 2 2 2 4 8 9" xfId="15822" xr:uid="{00000000-0005-0000-0000-0000CE3D0000}"/>
    <cellStyle name="Normal 2 2 2 2 4 9" xfId="15823" xr:uid="{00000000-0005-0000-0000-0000CF3D0000}"/>
    <cellStyle name="Normal 2 2 2 2 4 9 10" xfId="15824" xr:uid="{00000000-0005-0000-0000-0000D03D0000}"/>
    <cellStyle name="Normal 2 2 2 2 4 9 11" xfId="15825" xr:uid="{00000000-0005-0000-0000-0000D13D0000}"/>
    <cellStyle name="Normal 2 2 2 2 4 9 12" xfId="15826" xr:uid="{00000000-0005-0000-0000-0000D23D0000}"/>
    <cellStyle name="Normal 2 2 2 2 4 9 13" xfId="15827" xr:uid="{00000000-0005-0000-0000-0000D33D0000}"/>
    <cellStyle name="Normal 2 2 2 2 4 9 14" xfId="15828" xr:uid="{00000000-0005-0000-0000-0000D43D0000}"/>
    <cellStyle name="Normal 2 2 2 2 4 9 2" xfId="15829" xr:uid="{00000000-0005-0000-0000-0000D53D0000}"/>
    <cellStyle name="Normal 2 2 2 2 4 9 2 10" xfId="15830" xr:uid="{00000000-0005-0000-0000-0000D63D0000}"/>
    <cellStyle name="Normal 2 2 2 2 4 9 2 2" xfId="15831" xr:uid="{00000000-0005-0000-0000-0000D73D0000}"/>
    <cellStyle name="Normal 2 2 2 2 4 9 2 3" xfId="15832" xr:uid="{00000000-0005-0000-0000-0000D83D0000}"/>
    <cellStyle name="Normal 2 2 2 2 4 9 2 4" xfId="15833" xr:uid="{00000000-0005-0000-0000-0000D93D0000}"/>
    <cellStyle name="Normal 2 2 2 2 4 9 2 5" xfId="15834" xr:uid="{00000000-0005-0000-0000-0000DA3D0000}"/>
    <cellStyle name="Normal 2 2 2 2 4 9 2 6" xfId="15835" xr:uid="{00000000-0005-0000-0000-0000DB3D0000}"/>
    <cellStyle name="Normal 2 2 2 2 4 9 2 7" xfId="15836" xr:uid="{00000000-0005-0000-0000-0000DC3D0000}"/>
    <cellStyle name="Normal 2 2 2 2 4 9 2 8" xfId="15837" xr:uid="{00000000-0005-0000-0000-0000DD3D0000}"/>
    <cellStyle name="Normal 2 2 2 2 4 9 2 9" xfId="15838" xr:uid="{00000000-0005-0000-0000-0000DE3D0000}"/>
    <cellStyle name="Normal 2 2 2 2 4 9 3" xfId="15839" xr:uid="{00000000-0005-0000-0000-0000DF3D0000}"/>
    <cellStyle name="Normal 2 2 2 2 4 9 3 10" xfId="15840" xr:uid="{00000000-0005-0000-0000-0000E03D0000}"/>
    <cellStyle name="Normal 2 2 2 2 4 9 3 2" xfId="15841" xr:uid="{00000000-0005-0000-0000-0000E13D0000}"/>
    <cellStyle name="Normal 2 2 2 2 4 9 3 3" xfId="15842" xr:uid="{00000000-0005-0000-0000-0000E23D0000}"/>
    <cellStyle name="Normal 2 2 2 2 4 9 3 4" xfId="15843" xr:uid="{00000000-0005-0000-0000-0000E33D0000}"/>
    <cellStyle name="Normal 2 2 2 2 4 9 3 5" xfId="15844" xr:uid="{00000000-0005-0000-0000-0000E43D0000}"/>
    <cellStyle name="Normal 2 2 2 2 4 9 3 6" xfId="15845" xr:uid="{00000000-0005-0000-0000-0000E53D0000}"/>
    <cellStyle name="Normal 2 2 2 2 4 9 3 7" xfId="15846" xr:uid="{00000000-0005-0000-0000-0000E63D0000}"/>
    <cellStyle name="Normal 2 2 2 2 4 9 3 8" xfId="15847" xr:uid="{00000000-0005-0000-0000-0000E73D0000}"/>
    <cellStyle name="Normal 2 2 2 2 4 9 3 9" xfId="15848" xr:uid="{00000000-0005-0000-0000-0000E83D0000}"/>
    <cellStyle name="Normal 2 2 2 2 4 9 4" xfId="15849" xr:uid="{00000000-0005-0000-0000-0000E93D0000}"/>
    <cellStyle name="Normal 2 2 2 2 4 9 4 10" xfId="15850" xr:uid="{00000000-0005-0000-0000-0000EA3D0000}"/>
    <cellStyle name="Normal 2 2 2 2 4 9 4 2" xfId="15851" xr:uid="{00000000-0005-0000-0000-0000EB3D0000}"/>
    <cellStyle name="Normal 2 2 2 2 4 9 4 3" xfId="15852" xr:uid="{00000000-0005-0000-0000-0000EC3D0000}"/>
    <cellStyle name="Normal 2 2 2 2 4 9 4 4" xfId="15853" xr:uid="{00000000-0005-0000-0000-0000ED3D0000}"/>
    <cellStyle name="Normal 2 2 2 2 4 9 4 5" xfId="15854" xr:uid="{00000000-0005-0000-0000-0000EE3D0000}"/>
    <cellStyle name="Normal 2 2 2 2 4 9 4 6" xfId="15855" xr:uid="{00000000-0005-0000-0000-0000EF3D0000}"/>
    <cellStyle name="Normal 2 2 2 2 4 9 4 7" xfId="15856" xr:uid="{00000000-0005-0000-0000-0000F03D0000}"/>
    <cellStyle name="Normal 2 2 2 2 4 9 4 8" xfId="15857" xr:uid="{00000000-0005-0000-0000-0000F13D0000}"/>
    <cellStyle name="Normal 2 2 2 2 4 9 4 9" xfId="15858" xr:uid="{00000000-0005-0000-0000-0000F23D0000}"/>
    <cellStyle name="Normal 2 2 2 2 4 9 5" xfId="15859" xr:uid="{00000000-0005-0000-0000-0000F33D0000}"/>
    <cellStyle name="Normal 2 2 2 2 4 9 5 10" xfId="15860" xr:uid="{00000000-0005-0000-0000-0000F43D0000}"/>
    <cellStyle name="Normal 2 2 2 2 4 9 5 2" xfId="15861" xr:uid="{00000000-0005-0000-0000-0000F53D0000}"/>
    <cellStyle name="Normal 2 2 2 2 4 9 5 3" xfId="15862" xr:uid="{00000000-0005-0000-0000-0000F63D0000}"/>
    <cellStyle name="Normal 2 2 2 2 4 9 5 4" xfId="15863" xr:uid="{00000000-0005-0000-0000-0000F73D0000}"/>
    <cellStyle name="Normal 2 2 2 2 4 9 5 5" xfId="15864" xr:uid="{00000000-0005-0000-0000-0000F83D0000}"/>
    <cellStyle name="Normal 2 2 2 2 4 9 5 6" xfId="15865" xr:uid="{00000000-0005-0000-0000-0000F93D0000}"/>
    <cellStyle name="Normal 2 2 2 2 4 9 5 7" xfId="15866" xr:uid="{00000000-0005-0000-0000-0000FA3D0000}"/>
    <cellStyle name="Normal 2 2 2 2 4 9 5 8" xfId="15867" xr:uid="{00000000-0005-0000-0000-0000FB3D0000}"/>
    <cellStyle name="Normal 2 2 2 2 4 9 5 9" xfId="15868" xr:uid="{00000000-0005-0000-0000-0000FC3D0000}"/>
    <cellStyle name="Normal 2 2 2 2 4 9 6" xfId="15869" xr:uid="{00000000-0005-0000-0000-0000FD3D0000}"/>
    <cellStyle name="Normal 2 2 2 2 4 9 7" xfId="15870" xr:uid="{00000000-0005-0000-0000-0000FE3D0000}"/>
    <cellStyle name="Normal 2 2 2 2 4 9 8" xfId="15871" xr:uid="{00000000-0005-0000-0000-0000FF3D0000}"/>
    <cellStyle name="Normal 2 2 2 2 4 9 9" xfId="15872" xr:uid="{00000000-0005-0000-0000-0000003E0000}"/>
    <cellStyle name="Normal 2 2 2 2 40" xfId="15873" xr:uid="{00000000-0005-0000-0000-0000013E0000}"/>
    <cellStyle name="Normal 2 2 2 2 40 10" xfId="15874" xr:uid="{00000000-0005-0000-0000-0000023E0000}"/>
    <cellStyle name="Normal 2 2 2 2 40 2" xfId="15875" xr:uid="{00000000-0005-0000-0000-0000033E0000}"/>
    <cellStyle name="Normal 2 2 2 2 40 3" xfId="15876" xr:uid="{00000000-0005-0000-0000-0000043E0000}"/>
    <cellStyle name="Normal 2 2 2 2 40 4" xfId="15877" xr:uid="{00000000-0005-0000-0000-0000053E0000}"/>
    <cellStyle name="Normal 2 2 2 2 40 5" xfId="15878" xr:uid="{00000000-0005-0000-0000-0000063E0000}"/>
    <cellStyle name="Normal 2 2 2 2 40 6" xfId="15879" xr:uid="{00000000-0005-0000-0000-0000073E0000}"/>
    <cellStyle name="Normal 2 2 2 2 40 7" xfId="15880" xr:uid="{00000000-0005-0000-0000-0000083E0000}"/>
    <cellStyle name="Normal 2 2 2 2 40 8" xfId="15881" xr:uid="{00000000-0005-0000-0000-0000093E0000}"/>
    <cellStyle name="Normal 2 2 2 2 40 9" xfId="15882" xr:uid="{00000000-0005-0000-0000-00000A3E0000}"/>
    <cellStyle name="Normal 2 2 2 2 41" xfId="15883" xr:uid="{00000000-0005-0000-0000-00000B3E0000}"/>
    <cellStyle name="Normal 2 2 2 2 42" xfId="15884" xr:uid="{00000000-0005-0000-0000-00000C3E0000}"/>
    <cellStyle name="Normal 2 2 2 2 43" xfId="15885" xr:uid="{00000000-0005-0000-0000-00000D3E0000}"/>
    <cellStyle name="Normal 2 2 2 2 44" xfId="15886" xr:uid="{00000000-0005-0000-0000-00000E3E0000}"/>
    <cellStyle name="Normal 2 2 2 2 45" xfId="15887" xr:uid="{00000000-0005-0000-0000-00000F3E0000}"/>
    <cellStyle name="Normal 2 2 2 2 46" xfId="15888" xr:uid="{00000000-0005-0000-0000-0000103E0000}"/>
    <cellStyle name="Normal 2 2 2 2 47" xfId="15889" xr:uid="{00000000-0005-0000-0000-0000113E0000}"/>
    <cellStyle name="Normal 2 2 2 2 48" xfId="15890" xr:uid="{00000000-0005-0000-0000-0000123E0000}"/>
    <cellStyle name="Normal 2 2 2 2 49" xfId="15891" xr:uid="{00000000-0005-0000-0000-0000133E0000}"/>
    <cellStyle name="Normal 2 2 2 2 5" xfId="15892" xr:uid="{00000000-0005-0000-0000-0000143E0000}"/>
    <cellStyle name="Normal 2 2 2 2 5 10" xfId="15893" xr:uid="{00000000-0005-0000-0000-0000153E0000}"/>
    <cellStyle name="Normal 2 2 2 2 5 10 10" xfId="15894" xr:uid="{00000000-0005-0000-0000-0000163E0000}"/>
    <cellStyle name="Normal 2 2 2 2 5 10 11" xfId="15895" xr:uid="{00000000-0005-0000-0000-0000173E0000}"/>
    <cellStyle name="Normal 2 2 2 2 5 10 12" xfId="15896" xr:uid="{00000000-0005-0000-0000-0000183E0000}"/>
    <cellStyle name="Normal 2 2 2 2 5 10 13" xfId="15897" xr:uid="{00000000-0005-0000-0000-0000193E0000}"/>
    <cellStyle name="Normal 2 2 2 2 5 10 14" xfId="15898" xr:uid="{00000000-0005-0000-0000-00001A3E0000}"/>
    <cellStyle name="Normal 2 2 2 2 5 10 2" xfId="15899" xr:uid="{00000000-0005-0000-0000-00001B3E0000}"/>
    <cellStyle name="Normal 2 2 2 2 5 10 2 10" xfId="15900" xr:uid="{00000000-0005-0000-0000-00001C3E0000}"/>
    <cellStyle name="Normal 2 2 2 2 5 10 2 2" xfId="15901" xr:uid="{00000000-0005-0000-0000-00001D3E0000}"/>
    <cellStyle name="Normal 2 2 2 2 5 10 2 3" xfId="15902" xr:uid="{00000000-0005-0000-0000-00001E3E0000}"/>
    <cellStyle name="Normal 2 2 2 2 5 10 2 4" xfId="15903" xr:uid="{00000000-0005-0000-0000-00001F3E0000}"/>
    <cellStyle name="Normal 2 2 2 2 5 10 2 5" xfId="15904" xr:uid="{00000000-0005-0000-0000-0000203E0000}"/>
    <cellStyle name="Normal 2 2 2 2 5 10 2 6" xfId="15905" xr:uid="{00000000-0005-0000-0000-0000213E0000}"/>
    <cellStyle name="Normal 2 2 2 2 5 10 2 7" xfId="15906" xr:uid="{00000000-0005-0000-0000-0000223E0000}"/>
    <cellStyle name="Normal 2 2 2 2 5 10 2 8" xfId="15907" xr:uid="{00000000-0005-0000-0000-0000233E0000}"/>
    <cellStyle name="Normal 2 2 2 2 5 10 2 9" xfId="15908" xr:uid="{00000000-0005-0000-0000-0000243E0000}"/>
    <cellStyle name="Normal 2 2 2 2 5 10 3" xfId="15909" xr:uid="{00000000-0005-0000-0000-0000253E0000}"/>
    <cellStyle name="Normal 2 2 2 2 5 10 3 10" xfId="15910" xr:uid="{00000000-0005-0000-0000-0000263E0000}"/>
    <cellStyle name="Normal 2 2 2 2 5 10 3 2" xfId="15911" xr:uid="{00000000-0005-0000-0000-0000273E0000}"/>
    <cellStyle name="Normal 2 2 2 2 5 10 3 3" xfId="15912" xr:uid="{00000000-0005-0000-0000-0000283E0000}"/>
    <cellStyle name="Normal 2 2 2 2 5 10 3 4" xfId="15913" xr:uid="{00000000-0005-0000-0000-0000293E0000}"/>
    <cellStyle name="Normal 2 2 2 2 5 10 3 5" xfId="15914" xr:uid="{00000000-0005-0000-0000-00002A3E0000}"/>
    <cellStyle name="Normal 2 2 2 2 5 10 3 6" xfId="15915" xr:uid="{00000000-0005-0000-0000-00002B3E0000}"/>
    <cellStyle name="Normal 2 2 2 2 5 10 3 7" xfId="15916" xr:uid="{00000000-0005-0000-0000-00002C3E0000}"/>
    <cellStyle name="Normal 2 2 2 2 5 10 3 8" xfId="15917" xr:uid="{00000000-0005-0000-0000-00002D3E0000}"/>
    <cellStyle name="Normal 2 2 2 2 5 10 3 9" xfId="15918" xr:uid="{00000000-0005-0000-0000-00002E3E0000}"/>
    <cellStyle name="Normal 2 2 2 2 5 10 4" xfId="15919" xr:uid="{00000000-0005-0000-0000-00002F3E0000}"/>
    <cellStyle name="Normal 2 2 2 2 5 10 4 10" xfId="15920" xr:uid="{00000000-0005-0000-0000-0000303E0000}"/>
    <cellStyle name="Normal 2 2 2 2 5 10 4 2" xfId="15921" xr:uid="{00000000-0005-0000-0000-0000313E0000}"/>
    <cellStyle name="Normal 2 2 2 2 5 10 4 3" xfId="15922" xr:uid="{00000000-0005-0000-0000-0000323E0000}"/>
    <cellStyle name="Normal 2 2 2 2 5 10 4 4" xfId="15923" xr:uid="{00000000-0005-0000-0000-0000333E0000}"/>
    <cellStyle name="Normal 2 2 2 2 5 10 4 5" xfId="15924" xr:uid="{00000000-0005-0000-0000-0000343E0000}"/>
    <cellStyle name="Normal 2 2 2 2 5 10 4 6" xfId="15925" xr:uid="{00000000-0005-0000-0000-0000353E0000}"/>
    <cellStyle name="Normal 2 2 2 2 5 10 4 7" xfId="15926" xr:uid="{00000000-0005-0000-0000-0000363E0000}"/>
    <cellStyle name="Normal 2 2 2 2 5 10 4 8" xfId="15927" xr:uid="{00000000-0005-0000-0000-0000373E0000}"/>
    <cellStyle name="Normal 2 2 2 2 5 10 4 9" xfId="15928" xr:uid="{00000000-0005-0000-0000-0000383E0000}"/>
    <cellStyle name="Normal 2 2 2 2 5 10 5" xfId="15929" xr:uid="{00000000-0005-0000-0000-0000393E0000}"/>
    <cellStyle name="Normal 2 2 2 2 5 10 5 10" xfId="15930" xr:uid="{00000000-0005-0000-0000-00003A3E0000}"/>
    <cellStyle name="Normal 2 2 2 2 5 10 5 2" xfId="15931" xr:uid="{00000000-0005-0000-0000-00003B3E0000}"/>
    <cellStyle name="Normal 2 2 2 2 5 10 5 3" xfId="15932" xr:uid="{00000000-0005-0000-0000-00003C3E0000}"/>
    <cellStyle name="Normal 2 2 2 2 5 10 5 4" xfId="15933" xr:uid="{00000000-0005-0000-0000-00003D3E0000}"/>
    <cellStyle name="Normal 2 2 2 2 5 10 5 5" xfId="15934" xr:uid="{00000000-0005-0000-0000-00003E3E0000}"/>
    <cellStyle name="Normal 2 2 2 2 5 10 5 6" xfId="15935" xr:uid="{00000000-0005-0000-0000-00003F3E0000}"/>
    <cellStyle name="Normal 2 2 2 2 5 10 5 7" xfId="15936" xr:uid="{00000000-0005-0000-0000-0000403E0000}"/>
    <cellStyle name="Normal 2 2 2 2 5 10 5 8" xfId="15937" xr:uid="{00000000-0005-0000-0000-0000413E0000}"/>
    <cellStyle name="Normal 2 2 2 2 5 10 5 9" xfId="15938" xr:uid="{00000000-0005-0000-0000-0000423E0000}"/>
    <cellStyle name="Normal 2 2 2 2 5 10 6" xfId="15939" xr:uid="{00000000-0005-0000-0000-0000433E0000}"/>
    <cellStyle name="Normal 2 2 2 2 5 10 7" xfId="15940" xr:uid="{00000000-0005-0000-0000-0000443E0000}"/>
    <cellStyle name="Normal 2 2 2 2 5 10 8" xfId="15941" xr:uid="{00000000-0005-0000-0000-0000453E0000}"/>
    <cellStyle name="Normal 2 2 2 2 5 10 9" xfId="15942" xr:uid="{00000000-0005-0000-0000-0000463E0000}"/>
    <cellStyle name="Normal 2 2 2 2 5 11" xfId="15943" xr:uid="{00000000-0005-0000-0000-0000473E0000}"/>
    <cellStyle name="Normal 2 2 2 2 5 11 10" xfId="15944" xr:uid="{00000000-0005-0000-0000-0000483E0000}"/>
    <cellStyle name="Normal 2 2 2 2 5 11 11" xfId="15945" xr:uid="{00000000-0005-0000-0000-0000493E0000}"/>
    <cellStyle name="Normal 2 2 2 2 5 11 12" xfId="15946" xr:uid="{00000000-0005-0000-0000-00004A3E0000}"/>
    <cellStyle name="Normal 2 2 2 2 5 11 13" xfId="15947" xr:uid="{00000000-0005-0000-0000-00004B3E0000}"/>
    <cellStyle name="Normal 2 2 2 2 5 11 14" xfId="15948" xr:uid="{00000000-0005-0000-0000-00004C3E0000}"/>
    <cellStyle name="Normal 2 2 2 2 5 11 2" xfId="15949" xr:uid="{00000000-0005-0000-0000-00004D3E0000}"/>
    <cellStyle name="Normal 2 2 2 2 5 11 2 10" xfId="15950" xr:uid="{00000000-0005-0000-0000-00004E3E0000}"/>
    <cellStyle name="Normal 2 2 2 2 5 11 2 2" xfId="15951" xr:uid="{00000000-0005-0000-0000-00004F3E0000}"/>
    <cellStyle name="Normal 2 2 2 2 5 11 2 3" xfId="15952" xr:uid="{00000000-0005-0000-0000-0000503E0000}"/>
    <cellStyle name="Normal 2 2 2 2 5 11 2 4" xfId="15953" xr:uid="{00000000-0005-0000-0000-0000513E0000}"/>
    <cellStyle name="Normal 2 2 2 2 5 11 2 5" xfId="15954" xr:uid="{00000000-0005-0000-0000-0000523E0000}"/>
    <cellStyle name="Normal 2 2 2 2 5 11 2 6" xfId="15955" xr:uid="{00000000-0005-0000-0000-0000533E0000}"/>
    <cellStyle name="Normal 2 2 2 2 5 11 2 7" xfId="15956" xr:uid="{00000000-0005-0000-0000-0000543E0000}"/>
    <cellStyle name="Normal 2 2 2 2 5 11 2 8" xfId="15957" xr:uid="{00000000-0005-0000-0000-0000553E0000}"/>
    <cellStyle name="Normal 2 2 2 2 5 11 2 9" xfId="15958" xr:uid="{00000000-0005-0000-0000-0000563E0000}"/>
    <cellStyle name="Normal 2 2 2 2 5 11 3" xfId="15959" xr:uid="{00000000-0005-0000-0000-0000573E0000}"/>
    <cellStyle name="Normal 2 2 2 2 5 11 3 10" xfId="15960" xr:uid="{00000000-0005-0000-0000-0000583E0000}"/>
    <cellStyle name="Normal 2 2 2 2 5 11 3 2" xfId="15961" xr:uid="{00000000-0005-0000-0000-0000593E0000}"/>
    <cellStyle name="Normal 2 2 2 2 5 11 3 3" xfId="15962" xr:uid="{00000000-0005-0000-0000-00005A3E0000}"/>
    <cellStyle name="Normal 2 2 2 2 5 11 3 4" xfId="15963" xr:uid="{00000000-0005-0000-0000-00005B3E0000}"/>
    <cellStyle name="Normal 2 2 2 2 5 11 3 5" xfId="15964" xr:uid="{00000000-0005-0000-0000-00005C3E0000}"/>
    <cellStyle name="Normal 2 2 2 2 5 11 3 6" xfId="15965" xr:uid="{00000000-0005-0000-0000-00005D3E0000}"/>
    <cellStyle name="Normal 2 2 2 2 5 11 3 7" xfId="15966" xr:uid="{00000000-0005-0000-0000-00005E3E0000}"/>
    <cellStyle name="Normal 2 2 2 2 5 11 3 8" xfId="15967" xr:uid="{00000000-0005-0000-0000-00005F3E0000}"/>
    <cellStyle name="Normal 2 2 2 2 5 11 3 9" xfId="15968" xr:uid="{00000000-0005-0000-0000-0000603E0000}"/>
    <cellStyle name="Normal 2 2 2 2 5 11 4" xfId="15969" xr:uid="{00000000-0005-0000-0000-0000613E0000}"/>
    <cellStyle name="Normal 2 2 2 2 5 11 4 10" xfId="15970" xr:uid="{00000000-0005-0000-0000-0000623E0000}"/>
    <cellStyle name="Normal 2 2 2 2 5 11 4 2" xfId="15971" xr:uid="{00000000-0005-0000-0000-0000633E0000}"/>
    <cellStyle name="Normal 2 2 2 2 5 11 4 3" xfId="15972" xr:uid="{00000000-0005-0000-0000-0000643E0000}"/>
    <cellStyle name="Normal 2 2 2 2 5 11 4 4" xfId="15973" xr:uid="{00000000-0005-0000-0000-0000653E0000}"/>
    <cellStyle name="Normal 2 2 2 2 5 11 4 5" xfId="15974" xr:uid="{00000000-0005-0000-0000-0000663E0000}"/>
    <cellStyle name="Normal 2 2 2 2 5 11 4 6" xfId="15975" xr:uid="{00000000-0005-0000-0000-0000673E0000}"/>
    <cellStyle name="Normal 2 2 2 2 5 11 4 7" xfId="15976" xr:uid="{00000000-0005-0000-0000-0000683E0000}"/>
    <cellStyle name="Normal 2 2 2 2 5 11 4 8" xfId="15977" xr:uid="{00000000-0005-0000-0000-0000693E0000}"/>
    <cellStyle name="Normal 2 2 2 2 5 11 4 9" xfId="15978" xr:uid="{00000000-0005-0000-0000-00006A3E0000}"/>
    <cellStyle name="Normal 2 2 2 2 5 11 5" xfId="15979" xr:uid="{00000000-0005-0000-0000-00006B3E0000}"/>
    <cellStyle name="Normal 2 2 2 2 5 11 5 10" xfId="15980" xr:uid="{00000000-0005-0000-0000-00006C3E0000}"/>
    <cellStyle name="Normal 2 2 2 2 5 11 5 2" xfId="15981" xr:uid="{00000000-0005-0000-0000-00006D3E0000}"/>
    <cellStyle name="Normal 2 2 2 2 5 11 5 3" xfId="15982" xr:uid="{00000000-0005-0000-0000-00006E3E0000}"/>
    <cellStyle name="Normal 2 2 2 2 5 11 5 4" xfId="15983" xr:uid="{00000000-0005-0000-0000-00006F3E0000}"/>
    <cellStyle name="Normal 2 2 2 2 5 11 5 5" xfId="15984" xr:uid="{00000000-0005-0000-0000-0000703E0000}"/>
    <cellStyle name="Normal 2 2 2 2 5 11 5 6" xfId="15985" xr:uid="{00000000-0005-0000-0000-0000713E0000}"/>
    <cellStyle name="Normal 2 2 2 2 5 11 5 7" xfId="15986" xr:uid="{00000000-0005-0000-0000-0000723E0000}"/>
    <cellStyle name="Normal 2 2 2 2 5 11 5 8" xfId="15987" xr:uid="{00000000-0005-0000-0000-0000733E0000}"/>
    <cellStyle name="Normal 2 2 2 2 5 11 5 9" xfId="15988" xr:uid="{00000000-0005-0000-0000-0000743E0000}"/>
    <cellStyle name="Normal 2 2 2 2 5 11 6" xfId="15989" xr:uid="{00000000-0005-0000-0000-0000753E0000}"/>
    <cellStyle name="Normal 2 2 2 2 5 11 7" xfId="15990" xr:uid="{00000000-0005-0000-0000-0000763E0000}"/>
    <cellStyle name="Normal 2 2 2 2 5 11 8" xfId="15991" xr:uid="{00000000-0005-0000-0000-0000773E0000}"/>
    <cellStyle name="Normal 2 2 2 2 5 11 9" xfId="15992" xr:uid="{00000000-0005-0000-0000-0000783E0000}"/>
    <cellStyle name="Normal 2 2 2 2 5 12" xfId="15993" xr:uid="{00000000-0005-0000-0000-0000793E0000}"/>
    <cellStyle name="Normal 2 2 2 2 5 12 10" xfId="15994" xr:uid="{00000000-0005-0000-0000-00007A3E0000}"/>
    <cellStyle name="Normal 2 2 2 2 5 12 11" xfId="15995" xr:uid="{00000000-0005-0000-0000-00007B3E0000}"/>
    <cellStyle name="Normal 2 2 2 2 5 12 12" xfId="15996" xr:uid="{00000000-0005-0000-0000-00007C3E0000}"/>
    <cellStyle name="Normal 2 2 2 2 5 12 13" xfId="15997" xr:uid="{00000000-0005-0000-0000-00007D3E0000}"/>
    <cellStyle name="Normal 2 2 2 2 5 12 14" xfId="15998" xr:uid="{00000000-0005-0000-0000-00007E3E0000}"/>
    <cellStyle name="Normal 2 2 2 2 5 12 2" xfId="15999" xr:uid="{00000000-0005-0000-0000-00007F3E0000}"/>
    <cellStyle name="Normal 2 2 2 2 5 12 2 10" xfId="16000" xr:uid="{00000000-0005-0000-0000-0000803E0000}"/>
    <cellStyle name="Normal 2 2 2 2 5 12 2 2" xfId="16001" xr:uid="{00000000-0005-0000-0000-0000813E0000}"/>
    <cellStyle name="Normal 2 2 2 2 5 12 2 3" xfId="16002" xr:uid="{00000000-0005-0000-0000-0000823E0000}"/>
    <cellStyle name="Normal 2 2 2 2 5 12 2 4" xfId="16003" xr:uid="{00000000-0005-0000-0000-0000833E0000}"/>
    <cellStyle name="Normal 2 2 2 2 5 12 2 5" xfId="16004" xr:uid="{00000000-0005-0000-0000-0000843E0000}"/>
    <cellStyle name="Normal 2 2 2 2 5 12 2 6" xfId="16005" xr:uid="{00000000-0005-0000-0000-0000853E0000}"/>
    <cellStyle name="Normal 2 2 2 2 5 12 2 7" xfId="16006" xr:uid="{00000000-0005-0000-0000-0000863E0000}"/>
    <cellStyle name="Normal 2 2 2 2 5 12 2 8" xfId="16007" xr:uid="{00000000-0005-0000-0000-0000873E0000}"/>
    <cellStyle name="Normal 2 2 2 2 5 12 2 9" xfId="16008" xr:uid="{00000000-0005-0000-0000-0000883E0000}"/>
    <cellStyle name="Normal 2 2 2 2 5 12 3" xfId="16009" xr:uid="{00000000-0005-0000-0000-0000893E0000}"/>
    <cellStyle name="Normal 2 2 2 2 5 12 3 10" xfId="16010" xr:uid="{00000000-0005-0000-0000-00008A3E0000}"/>
    <cellStyle name="Normal 2 2 2 2 5 12 3 2" xfId="16011" xr:uid="{00000000-0005-0000-0000-00008B3E0000}"/>
    <cellStyle name="Normal 2 2 2 2 5 12 3 3" xfId="16012" xr:uid="{00000000-0005-0000-0000-00008C3E0000}"/>
    <cellStyle name="Normal 2 2 2 2 5 12 3 4" xfId="16013" xr:uid="{00000000-0005-0000-0000-00008D3E0000}"/>
    <cellStyle name="Normal 2 2 2 2 5 12 3 5" xfId="16014" xr:uid="{00000000-0005-0000-0000-00008E3E0000}"/>
    <cellStyle name="Normal 2 2 2 2 5 12 3 6" xfId="16015" xr:uid="{00000000-0005-0000-0000-00008F3E0000}"/>
    <cellStyle name="Normal 2 2 2 2 5 12 3 7" xfId="16016" xr:uid="{00000000-0005-0000-0000-0000903E0000}"/>
    <cellStyle name="Normal 2 2 2 2 5 12 3 8" xfId="16017" xr:uid="{00000000-0005-0000-0000-0000913E0000}"/>
    <cellStyle name="Normal 2 2 2 2 5 12 3 9" xfId="16018" xr:uid="{00000000-0005-0000-0000-0000923E0000}"/>
    <cellStyle name="Normal 2 2 2 2 5 12 4" xfId="16019" xr:uid="{00000000-0005-0000-0000-0000933E0000}"/>
    <cellStyle name="Normal 2 2 2 2 5 12 4 10" xfId="16020" xr:uid="{00000000-0005-0000-0000-0000943E0000}"/>
    <cellStyle name="Normal 2 2 2 2 5 12 4 2" xfId="16021" xr:uid="{00000000-0005-0000-0000-0000953E0000}"/>
    <cellStyle name="Normal 2 2 2 2 5 12 4 3" xfId="16022" xr:uid="{00000000-0005-0000-0000-0000963E0000}"/>
    <cellStyle name="Normal 2 2 2 2 5 12 4 4" xfId="16023" xr:uid="{00000000-0005-0000-0000-0000973E0000}"/>
    <cellStyle name="Normal 2 2 2 2 5 12 4 5" xfId="16024" xr:uid="{00000000-0005-0000-0000-0000983E0000}"/>
    <cellStyle name="Normal 2 2 2 2 5 12 4 6" xfId="16025" xr:uid="{00000000-0005-0000-0000-0000993E0000}"/>
    <cellStyle name="Normal 2 2 2 2 5 12 4 7" xfId="16026" xr:uid="{00000000-0005-0000-0000-00009A3E0000}"/>
    <cellStyle name="Normal 2 2 2 2 5 12 4 8" xfId="16027" xr:uid="{00000000-0005-0000-0000-00009B3E0000}"/>
    <cellStyle name="Normal 2 2 2 2 5 12 4 9" xfId="16028" xr:uid="{00000000-0005-0000-0000-00009C3E0000}"/>
    <cellStyle name="Normal 2 2 2 2 5 12 5" xfId="16029" xr:uid="{00000000-0005-0000-0000-00009D3E0000}"/>
    <cellStyle name="Normal 2 2 2 2 5 12 5 10" xfId="16030" xr:uid="{00000000-0005-0000-0000-00009E3E0000}"/>
    <cellStyle name="Normal 2 2 2 2 5 12 5 2" xfId="16031" xr:uid="{00000000-0005-0000-0000-00009F3E0000}"/>
    <cellStyle name="Normal 2 2 2 2 5 12 5 3" xfId="16032" xr:uid="{00000000-0005-0000-0000-0000A03E0000}"/>
    <cellStyle name="Normal 2 2 2 2 5 12 5 4" xfId="16033" xr:uid="{00000000-0005-0000-0000-0000A13E0000}"/>
    <cellStyle name="Normal 2 2 2 2 5 12 5 5" xfId="16034" xr:uid="{00000000-0005-0000-0000-0000A23E0000}"/>
    <cellStyle name="Normal 2 2 2 2 5 12 5 6" xfId="16035" xr:uid="{00000000-0005-0000-0000-0000A33E0000}"/>
    <cellStyle name="Normal 2 2 2 2 5 12 5 7" xfId="16036" xr:uid="{00000000-0005-0000-0000-0000A43E0000}"/>
    <cellStyle name="Normal 2 2 2 2 5 12 5 8" xfId="16037" xr:uid="{00000000-0005-0000-0000-0000A53E0000}"/>
    <cellStyle name="Normal 2 2 2 2 5 12 5 9" xfId="16038" xr:uid="{00000000-0005-0000-0000-0000A63E0000}"/>
    <cellStyle name="Normal 2 2 2 2 5 12 6" xfId="16039" xr:uid="{00000000-0005-0000-0000-0000A73E0000}"/>
    <cellStyle name="Normal 2 2 2 2 5 12 7" xfId="16040" xr:uid="{00000000-0005-0000-0000-0000A83E0000}"/>
    <cellStyle name="Normal 2 2 2 2 5 12 8" xfId="16041" xr:uid="{00000000-0005-0000-0000-0000A93E0000}"/>
    <cellStyle name="Normal 2 2 2 2 5 12 9" xfId="16042" xr:uid="{00000000-0005-0000-0000-0000AA3E0000}"/>
    <cellStyle name="Normal 2 2 2 2 5 13" xfId="16043" xr:uid="{00000000-0005-0000-0000-0000AB3E0000}"/>
    <cellStyle name="Normal 2 2 2 2 5 13 10" xfId="16044" xr:uid="{00000000-0005-0000-0000-0000AC3E0000}"/>
    <cellStyle name="Normal 2 2 2 2 5 13 11" xfId="16045" xr:uid="{00000000-0005-0000-0000-0000AD3E0000}"/>
    <cellStyle name="Normal 2 2 2 2 5 13 12" xfId="16046" xr:uid="{00000000-0005-0000-0000-0000AE3E0000}"/>
    <cellStyle name="Normal 2 2 2 2 5 13 13" xfId="16047" xr:uid="{00000000-0005-0000-0000-0000AF3E0000}"/>
    <cellStyle name="Normal 2 2 2 2 5 13 14" xfId="16048" xr:uid="{00000000-0005-0000-0000-0000B03E0000}"/>
    <cellStyle name="Normal 2 2 2 2 5 13 2" xfId="16049" xr:uid="{00000000-0005-0000-0000-0000B13E0000}"/>
    <cellStyle name="Normal 2 2 2 2 5 13 2 10" xfId="16050" xr:uid="{00000000-0005-0000-0000-0000B23E0000}"/>
    <cellStyle name="Normal 2 2 2 2 5 13 2 2" xfId="16051" xr:uid="{00000000-0005-0000-0000-0000B33E0000}"/>
    <cellStyle name="Normal 2 2 2 2 5 13 2 3" xfId="16052" xr:uid="{00000000-0005-0000-0000-0000B43E0000}"/>
    <cellStyle name="Normal 2 2 2 2 5 13 2 4" xfId="16053" xr:uid="{00000000-0005-0000-0000-0000B53E0000}"/>
    <cellStyle name="Normal 2 2 2 2 5 13 2 5" xfId="16054" xr:uid="{00000000-0005-0000-0000-0000B63E0000}"/>
    <cellStyle name="Normal 2 2 2 2 5 13 2 6" xfId="16055" xr:uid="{00000000-0005-0000-0000-0000B73E0000}"/>
    <cellStyle name="Normal 2 2 2 2 5 13 2 7" xfId="16056" xr:uid="{00000000-0005-0000-0000-0000B83E0000}"/>
    <cellStyle name="Normal 2 2 2 2 5 13 2 8" xfId="16057" xr:uid="{00000000-0005-0000-0000-0000B93E0000}"/>
    <cellStyle name="Normal 2 2 2 2 5 13 2 9" xfId="16058" xr:uid="{00000000-0005-0000-0000-0000BA3E0000}"/>
    <cellStyle name="Normal 2 2 2 2 5 13 3" xfId="16059" xr:uid="{00000000-0005-0000-0000-0000BB3E0000}"/>
    <cellStyle name="Normal 2 2 2 2 5 13 3 10" xfId="16060" xr:uid="{00000000-0005-0000-0000-0000BC3E0000}"/>
    <cellStyle name="Normal 2 2 2 2 5 13 3 2" xfId="16061" xr:uid="{00000000-0005-0000-0000-0000BD3E0000}"/>
    <cellStyle name="Normal 2 2 2 2 5 13 3 3" xfId="16062" xr:uid="{00000000-0005-0000-0000-0000BE3E0000}"/>
    <cellStyle name="Normal 2 2 2 2 5 13 3 4" xfId="16063" xr:uid="{00000000-0005-0000-0000-0000BF3E0000}"/>
    <cellStyle name="Normal 2 2 2 2 5 13 3 5" xfId="16064" xr:uid="{00000000-0005-0000-0000-0000C03E0000}"/>
    <cellStyle name="Normal 2 2 2 2 5 13 3 6" xfId="16065" xr:uid="{00000000-0005-0000-0000-0000C13E0000}"/>
    <cellStyle name="Normal 2 2 2 2 5 13 3 7" xfId="16066" xr:uid="{00000000-0005-0000-0000-0000C23E0000}"/>
    <cellStyle name="Normal 2 2 2 2 5 13 3 8" xfId="16067" xr:uid="{00000000-0005-0000-0000-0000C33E0000}"/>
    <cellStyle name="Normal 2 2 2 2 5 13 3 9" xfId="16068" xr:uid="{00000000-0005-0000-0000-0000C43E0000}"/>
    <cellStyle name="Normal 2 2 2 2 5 13 4" xfId="16069" xr:uid="{00000000-0005-0000-0000-0000C53E0000}"/>
    <cellStyle name="Normal 2 2 2 2 5 13 4 10" xfId="16070" xr:uid="{00000000-0005-0000-0000-0000C63E0000}"/>
    <cellStyle name="Normal 2 2 2 2 5 13 4 2" xfId="16071" xr:uid="{00000000-0005-0000-0000-0000C73E0000}"/>
    <cellStyle name="Normal 2 2 2 2 5 13 4 3" xfId="16072" xr:uid="{00000000-0005-0000-0000-0000C83E0000}"/>
    <cellStyle name="Normal 2 2 2 2 5 13 4 4" xfId="16073" xr:uid="{00000000-0005-0000-0000-0000C93E0000}"/>
    <cellStyle name="Normal 2 2 2 2 5 13 4 5" xfId="16074" xr:uid="{00000000-0005-0000-0000-0000CA3E0000}"/>
    <cellStyle name="Normal 2 2 2 2 5 13 4 6" xfId="16075" xr:uid="{00000000-0005-0000-0000-0000CB3E0000}"/>
    <cellStyle name="Normal 2 2 2 2 5 13 4 7" xfId="16076" xr:uid="{00000000-0005-0000-0000-0000CC3E0000}"/>
    <cellStyle name="Normal 2 2 2 2 5 13 4 8" xfId="16077" xr:uid="{00000000-0005-0000-0000-0000CD3E0000}"/>
    <cellStyle name="Normal 2 2 2 2 5 13 4 9" xfId="16078" xr:uid="{00000000-0005-0000-0000-0000CE3E0000}"/>
    <cellStyle name="Normal 2 2 2 2 5 13 5" xfId="16079" xr:uid="{00000000-0005-0000-0000-0000CF3E0000}"/>
    <cellStyle name="Normal 2 2 2 2 5 13 5 10" xfId="16080" xr:uid="{00000000-0005-0000-0000-0000D03E0000}"/>
    <cellStyle name="Normal 2 2 2 2 5 13 5 2" xfId="16081" xr:uid="{00000000-0005-0000-0000-0000D13E0000}"/>
    <cellStyle name="Normal 2 2 2 2 5 13 5 3" xfId="16082" xr:uid="{00000000-0005-0000-0000-0000D23E0000}"/>
    <cellStyle name="Normal 2 2 2 2 5 13 5 4" xfId="16083" xr:uid="{00000000-0005-0000-0000-0000D33E0000}"/>
    <cellStyle name="Normal 2 2 2 2 5 13 5 5" xfId="16084" xr:uid="{00000000-0005-0000-0000-0000D43E0000}"/>
    <cellStyle name="Normal 2 2 2 2 5 13 5 6" xfId="16085" xr:uid="{00000000-0005-0000-0000-0000D53E0000}"/>
    <cellStyle name="Normal 2 2 2 2 5 13 5 7" xfId="16086" xr:uid="{00000000-0005-0000-0000-0000D63E0000}"/>
    <cellStyle name="Normal 2 2 2 2 5 13 5 8" xfId="16087" xr:uid="{00000000-0005-0000-0000-0000D73E0000}"/>
    <cellStyle name="Normal 2 2 2 2 5 13 5 9" xfId="16088" xr:uid="{00000000-0005-0000-0000-0000D83E0000}"/>
    <cellStyle name="Normal 2 2 2 2 5 13 6" xfId="16089" xr:uid="{00000000-0005-0000-0000-0000D93E0000}"/>
    <cellStyle name="Normal 2 2 2 2 5 13 7" xfId="16090" xr:uid="{00000000-0005-0000-0000-0000DA3E0000}"/>
    <cellStyle name="Normal 2 2 2 2 5 13 8" xfId="16091" xr:uid="{00000000-0005-0000-0000-0000DB3E0000}"/>
    <cellStyle name="Normal 2 2 2 2 5 13 9" xfId="16092" xr:uid="{00000000-0005-0000-0000-0000DC3E0000}"/>
    <cellStyle name="Normal 2 2 2 2 5 14" xfId="16093" xr:uid="{00000000-0005-0000-0000-0000DD3E0000}"/>
    <cellStyle name="Normal 2 2 2 2 5 14 10" xfId="16094" xr:uid="{00000000-0005-0000-0000-0000DE3E0000}"/>
    <cellStyle name="Normal 2 2 2 2 5 14 11" xfId="16095" xr:uid="{00000000-0005-0000-0000-0000DF3E0000}"/>
    <cellStyle name="Normal 2 2 2 2 5 14 12" xfId="16096" xr:uid="{00000000-0005-0000-0000-0000E03E0000}"/>
    <cellStyle name="Normal 2 2 2 2 5 14 13" xfId="16097" xr:uid="{00000000-0005-0000-0000-0000E13E0000}"/>
    <cellStyle name="Normal 2 2 2 2 5 14 14" xfId="16098" xr:uid="{00000000-0005-0000-0000-0000E23E0000}"/>
    <cellStyle name="Normal 2 2 2 2 5 14 2" xfId="16099" xr:uid="{00000000-0005-0000-0000-0000E33E0000}"/>
    <cellStyle name="Normal 2 2 2 2 5 14 2 10" xfId="16100" xr:uid="{00000000-0005-0000-0000-0000E43E0000}"/>
    <cellStyle name="Normal 2 2 2 2 5 14 2 2" xfId="16101" xr:uid="{00000000-0005-0000-0000-0000E53E0000}"/>
    <cellStyle name="Normal 2 2 2 2 5 14 2 3" xfId="16102" xr:uid="{00000000-0005-0000-0000-0000E63E0000}"/>
    <cellStyle name="Normal 2 2 2 2 5 14 2 4" xfId="16103" xr:uid="{00000000-0005-0000-0000-0000E73E0000}"/>
    <cellStyle name="Normal 2 2 2 2 5 14 2 5" xfId="16104" xr:uid="{00000000-0005-0000-0000-0000E83E0000}"/>
    <cellStyle name="Normal 2 2 2 2 5 14 2 6" xfId="16105" xr:uid="{00000000-0005-0000-0000-0000E93E0000}"/>
    <cellStyle name="Normal 2 2 2 2 5 14 2 7" xfId="16106" xr:uid="{00000000-0005-0000-0000-0000EA3E0000}"/>
    <cellStyle name="Normal 2 2 2 2 5 14 2 8" xfId="16107" xr:uid="{00000000-0005-0000-0000-0000EB3E0000}"/>
    <cellStyle name="Normal 2 2 2 2 5 14 2 9" xfId="16108" xr:uid="{00000000-0005-0000-0000-0000EC3E0000}"/>
    <cellStyle name="Normal 2 2 2 2 5 14 3" xfId="16109" xr:uid="{00000000-0005-0000-0000-0000ED3E0000}"/>
    <cellStyle name="Normal 2 2 2 2 5 14 3 10" xfId="16110" xr:uid="{00000000-0005-0000-0000-0000EE3E0000}"/>
    <cellStyle name="Normal 2 2 2 2 5 14 3 2" xfId="16111" xr:uid="{00000000-0005-0000-0000-0000EF3E0000}"/>
    <cellStyle name="Normal 2 2 2 2 5 14 3 3" xfId="16112" xr:uid="{00000000-0005-0000-0000-0000F03E0000}"/>
    <cellStyle name="Normal 2 2 2 2 5 14 3 4" xfId="16113" xr:uid="{00000000-0005-0000-0000-0000F13E0000}"/>
    <cellStyle name="Normal 2 2 2 2 5 14 3 5" xfId="16114" xr:uid="{00000000-0005-0000-0000-0000F23E0000}"/>
    <cellStyle name="Normal 2 2 2 2 5 14 3 6" xfId="16115" xr:uid="{00000000-0005-0000-0000-0000F33E0000}"/>
    <cellStyle name="Normal 2 2 2 2 5 14 3 7" xfId="16116" xr:uid="{00000000-0005-0000-0000-0000F43E0000}"/>
    <cellStyle name="Normal 2 2 2 2 5 14 3 8" xfId="16117" xr:uid="{00000000-0005-0000-0000-0000F53E0000}"/>
    <cellStyle name="Normal 2 2 2 2 5 14 3 9" xfId="16118" xr:uid="{00000000-0005-0000-0000-0000F63E0000}"/>
    <cellStyle name="Normal 2 2 2 2 5 14 4" xfId="16119" xr:uid="{00000000-0005-0000-0000-0000F73E0000}"/>
    <cellStyle name="Normal 2 2 2 2 5 14 4 10" xfId="16120" xr:uid="{00000000-0005-0000-0000-0000F83E0000}"/>
    <cellStyle name="Normal 2 2 2 2 5 14 4 2" xfId="16121" xr:uid="{00000000-0005-0000-0000-0000F93E0000}"/>
    <cellStyle name="Normal 2 2 2 2 5 14 4 3" xfId="16122" xr:uid="{00000000-0005-0000-0000-0000FA3E0000}"/>
    <cellStyle name="Normal 2 2 2 2 5 14 4 4" xfId="16123" xr:uid="{00000000-0005-0000-0000-0000FB3E0000}"/>
    <cellStyle name="Normal 2 2 2 2 5 14 4 5" xfId="16124" xr:uid="{00000000-0005-0000-0000-0000FC3E0000}"/>
    <cellStyle name="Normal 2 2 2 2 5 14 4 6" xfId="16125" xr:uid="{00000000-0005-0000-0000-0000FD3E0000}"/>
    <cellStyle name="Normal 2 2 2 2 5 14 4 7" xfId="16126" xr:uid="{00000000-0005-0000-0000-0000FE3E0000}"/>
    <cellStyle name="Normal 2 2 2 2 5 14 4 8" xfId="16127" xr:uid="{00000000-0005-0000-0000-0000FF3E0000}"/>
    <cellStyle name="Normal 2 2 2 2 5 14 4 9" xfId="16128" xr:uid="{00000000-0005-0000-0000-0000003F0000}"/>
    <cellStyle name="Normal 2 2 2 2 5 14 5" xfId="16129" xr:uid="{00000000-0005-0000-0000-0000013F0000}"/>
    <cellStyle name="Normal 2 2 2 2 5 14 5 10" xfId="16130" xr:uid="{00000000-0005-0000-0000-0000023F0000}"/>
    <cellStyle name="Normal 2 2 2 2 5 14 5 2" xfId="16131" xr:uid="{00000000-0005-0000-0000-0000033F0000}"/>
    <cellStyle name="Normal 2 2 2 2 5 14 5 3" xfId="16132" xr:uid="{00000000-0005-0000-0000-0000043F0000}"/>
    <cellStyle name="Normal 2 2 2 2 5 14 5 4" xfId="16133" xr:uid="{00000000-0005-0000-0000-0000053F0000}"/>
    <cellStyle name="Normal 2 2 2 2 5 14 5 5" xfId="16134" xr:uid="{00000000-0005-0000-0000-0000063F0000}"/>
    <cellStyle name="Normal 2 2 2 2 5 14 5 6" xfId="16135" xr:uid="{00000000-0005-0000-0000-0000073F0000}"/>
    <cellStyle name="Normal 2 2 2 2 5 14 5 7" xfId="16136" xr:uid="{00000000-0005-0000-0000-0000083F0000}"/>
    <cellStyle name="Normal 2 2 2 2 5 14 5 8" xfId="16137" xr:uid="{00000000-0005-0000-0000-0000093F0000}"/>
    <cellStyle name="Normal 2 2 2 2 5 14 5 9" xfId="16138" xr:uid="{00000000-0005-0000-0000-00000A3F0000}"/>
    <cellStyle name="Normal 2 2 2 2 5 14 6" xfId="16139" xr:uid="{00000000-0005-0000-0000-00000B3F0000}"/>
    <cellStyle name="Normal 2 2 2 2 5 14 7" xfId="16140" xr:uid="{00000000-0005-0000-0000-00000C3F0000}"/>
    <cellStyle name="Normal 2 2 2 2 5 14 8" xfId="16141" xr:uid="{00000000-0005-0000-0000-00000D3F0000}"/>
    <cellStyle name="Normal 2 2 2 2 5 14 9" xfId="16142" xr:uid="{00000000-0005-0000-0000-00000E3F0000}"/>
    <cellStyle name="Normal 2 2 2 2 5 15" xfId="16143" xr:uid="{00000000-0005-0000-0000-00000F3F0000}"/>
    <cellStyle name="Normal 2 2 2 2 5 15 10" xfId="16144" xr:uid="{00000000-0005-0000-0000-0000103F0000}"/>
    <cellStyle name="Normal 2 2 2 2 5 15 11" xfId="16145" xr:uid="{00000000-0005-0000-0000-0000113F0000}"/>
    <cellStyle name="Normal 2 2 2 2 5 15 12" xfId="16146" xr:uid="{00000000-0005-0000-0000-0000123F0000}"/>
    <cellStyle name="Normal 2 2 2 2 5 15 13" xfId="16147" xr:uid="{00000000-0005-0000-0000-0000133F0000}"/>
    <cellStyle name="Normal 2 2 2 2 5 15 14" xfId="16148" xr:uid="{00000000-0005-0000-0000-0000143F0000}"/>
    <cellStyle name="Normal 2 2 2 2 5 15 2" xfId="16149" xr:uid="{00000000-0005-0000-0000-0000153F0000}"/>
    <cellStyle name="Normal 2 2 2 2 5 15 2 10" xfId="16150" xr:uid="{00000000-0005-0000-0000-0000163F0000}"/>
    <cellStyle name="Normal 2 2 2 2 5 15 2 2" xfId="16151" xr:uid="{00000000-0005-0000-0000-0000173F0000}"/>
    <cellStyle name="Normal 2 2 2 2 5 15 2 3" xfId="16152" xr:uid="{00000000-0005-0000-0000-0000183F0000}"/>
    <cellStyle name="Normal 2 2 2 2 5 15 2 4" xfId="16153" xr:uid="{00000000-0005-0000-0000-0000193F0000}"/>
    <cellStyle name="Normal 2 2 2 2 5 15 2 5" xfId="16154" xr:uid="{00000000-0005-0000-0000-00001A3F0000}"/>
    <cellStyle name="Normal 2 2 2 2 5 15 2 6" xfId="16155" xr:uid="{00000000-0005-0000-0000-00001B3F0000}"/>
    <cellStyle name="Normal 2 2 2 2 5 15 2 7" xfId="16156" xr:uid="{00000000-0005-0000-0000-00001C3F0000}"/>
    <cellStyle name="Normal 2 2 2 2 5 15 2 8" xfId="16157" xr:uid="{00000000-0005-0000-0000-00001D3F0000}"/>
    <cellStyle name="Normal 2 2 2 2 5 15 2 9" xfId="16158" xr:uid="{00000000-0005-0000-0000-00001E3F0000}"/>
    <cellStyle name="Normal 2 2 2 2 5 15 3" xfId="16159" xr:uid="{00000000-0005-0000-0000-00001F3F0000}"/>
    <cellStyle name="Normal 2 2 2 2 5 15 3 10" xfId="16160" xr:uid="{00000000-0005-0000-0000-0000203F0000}"/>
    <cellStyle name="Normal 2 2 2 2 5 15 3 2" xfId="16161" xr:uid="{00000000-0005-0000-0000-0000213F0000}"/>
    <cellStyle name="Normal 2 2 2 2 5 15 3 3" xfId="16162" xr:uid="{00000000-0005-0000-0000-0000223F0000}"/>
    <cellStyle name="Normal 2 2 2 2 5 15 3 4" xfId="16163" xr:uid="{00000000-0005-0000-0000-0000233F0000}"/>
    <cellStyle name="Normal 2 2 2 2 5 15 3 5" xfId="16164" xr:uid="{00000000-0005-0000-0000-0000243F0000}"/>
    <cellStyle name="Normal 2 2 2 2 5 15 3 6" xfId="16165" xr:uid="{00000000-0005-0000-0000-0000253F0000}"/>
    <cellStyle name="Normal 2 2 2 2 5 15 3 7" xfId="16166" xr:uid="{00000000-0005-0000-0000-0000263F0000}"/>
    <cellStyle name="Normal 2 2 2 2 5 15 3 8" xfId="16167" xr:uid="{00000000-0005-0000-0000-0000273F0000}"/>
    <cellStyle name="Normal 2 2 2 2 5 15 3 9" xfId="16168" xr:uid="{00000000-0005-0000-0000-0000283F0000}"/>
    <cellStyle name="Normal 2 2 2 2 5 15 4" xfId="16169" xr:uid="{00000000-0005-0000-0000-0000293F0000}"/>
    <cellStyle name="Normal 2 2 2 2 5 15 4 10" xfId="16170" xr:uid="{00000000-0005-0000-0000-00002A3F0000}"/>
    <cellStyle name="Normal 2 2 2 2 5 15 4 2" xfId="16171" xr:uid="{00000000-0005-0000-0000-00002B3F0000}"/>
    <cellStyle name="Normal 2 2 2 2 5 15 4 3" xfId="16172" xr:uid="{00000000-0005-0000-0000-00002C3F0000}"/>
    <cellStyle name="Normal 2 2 2 2 5 15 4 4" xfId="16173" xr:uid="{00000000-0005-0000-0000-00002D3F0000}"/>
    <cellStyle name="Normal 2 2 2 2 5 15 4 5" xfId="16174" xr:uid="{00000000-0005-0000-0000-00002E3F0000}"/>
    <cellStyle name="Normal 2 2 2 2 5 15 4 6" xfId="16175" xr:uid="{00000000-0005-0000-0000-00002F3F0000}"/>
    <cellStyle name="Normal 2 2 2 2 5 15 4 7" xfId="16176" xr:uid="{00000000-0005-0000-0000-0000303F0000}"/>
    <cellStyle name="Normal 2 2 2 2 5 15 4 8" xfId="16177" xr:uid="{00000000-0005-0000-0000-0000313F0000}"/>
    <cellStyle name="Normal 2 2 2 2 5 15 4 9" xfId="16178" xr:uid="{00000000-0005-0000-0000-0000323F0000}"/>
    <cellStyle name="Normal 2 2 2 2 5 15 5" xfId="16179" xr:uid="{00000000-0005-0000-0000-0000333F0000}"/>
    <cellStyle name="Normal 2 2 2 2 5 15 5 10" xfId="16180" xr:uid="{00000000-0005-0000-0000-0000343F0000}"/>
    <cellStyle name="Normal 2 2 2 2 5 15 5 2" xfId="16181" xr:uid="{00000000-0005-0000-0000-0000353F0000}"/>
    <cellStyle name="Normal 2 2 2 2 5 15 5 3" xfId="16182" xr:uid="{00000000-0005-0000-0000-0000363F0000}"/>
    <cellStyle name="Normal 2 2 2 2 5 15 5 4" xfId="16183" xr:uid="{00000000-0005-0000-0000-0000373F0000}"/>
    <cellStyle name="Normal 2 2 2 2 5 15 5 5" xfId="16184" xr:uid="{00000000-0005-0000-0000-0000383F0000}"/>
    <cellStyle name="Normal 2 2 2 2 5 15 5 6" xfId="16185" xr:uid="{00000000-0005-0000-0000-0000393F0000}"/>
    <cellStyle name="Normal 2 2 2 2 5 15 5 7" xfId="16186" xr:uid="{00000000-0005-0000-0000-00003A3F0000}"/>
    <cellStyle name="Normal 2 2 2 2 5 15 5 8" xfId="16187" xr:uid="{00000000-0005-0000-0000-00003B3F0000}"/>
    <cellStyle name="Normal 2 2 2 2 5 15 5 9" xfId="16188" xr:uid="{00000000-0005-0000-0000-00003C3F0000}"/>
    <cellStyle name="Normal 2 2 2 2 5 15 6" xfId="16189" xr:uid="{00000000-0005-0000-0000-00003D3F0000}"/>
    <cellStyle name="Normal 2 2 2 2 5 15 7" xfId="16190" xr:uid="{00000000-0005-0000-0000-00003E3F0000}"/>
    <cellStyle name="Normal 2 2 2 2 5 15 8" xfId="16191" xr:uid="{00000000-0005-0000-0000-00003F3F0000}"/>
    <cellStyle name="Normal 2 2 2 2 5 15 9" xfId="16192" xr:uid="{00000000-0005-0000-0000-0000403F0000}"/>
    <cellStyle name="Normal 2 2 2 2 5 16" xfId="16193" xr:uid="{00000000-0005-0000-0000-0000413F0000}"/>
    <cellStyle name="Normal 2 2 2 2 5 16 10" xfId="16194" xr:uid="{00000000-0005-0000-0000-0000423F0000}"/>
    <cellStyle name="Normal 2 2 2 2 5 16 11" xfId="16195" xr:uid="{00000000-0005-0000-0000-0000433F0000}"/>
    <cellStyle name="Normal 2 2 2 2 5 16 12" xfId="16196" xr:uid="{00000000-0005-0000-0000-0000443F0000}"/>
    <cellStyle name="Normal 2 2 2 2 5 16 13" xfId="16197" xr:uid="{00000000-0005-0000-0000-0000453F0000}"/>
    <cellStyle name="Normal 2 2 2 2 5 16 14" xfId="16198" xr:uid="{00000000-0005-0000-0000-0000463F0000}"/>
    <cellStyle name="Normal 2 2 2 2 5 16 2" xfId="16199" xr:uid="{00000000-0005-0000-0000-0000473F0000}"/>
    <cellStyle name="Normal 2 2 2 2 5 16 2 10" xfId="16200" xr:uid="{00000000-0005-0000-0000-0000483F0000}"/>
    <cellStyle name="Normal 2 2 2 2 5 16 2 2" xfId="16201" xr:uid="{00000000-0005-0000-0000-0000493F0000}"/>
    <cellStyle name="Normal 2 2 2 2 5 16 2 3" xfId="16202" xr:uid="{00000000-0005-0000-0000-00004A3F0000}"/>
    <cellStyle name="Normal 2 2 2 2 5 16 2 4" xfId="16203" xr:uid="{00000000-0005-0000-0000-00004B3F0000}"/>
    <cellStyle name="Normal 2 2 2 2 5 16 2 5" xfId="16204" xr:uid="{00000000-0005-0000-0000-00004C3F0000}"/>
    <cellStyle name="Normal 2 2 2 2 5 16 2 6" xfId="16205" xr:uid="{00000000-0005-0000-0000-00004D3F0000}"/>
    <cellStyle name="Normal 2 2 2 2 5 16 2 7" xfId="16206" xr:uid="{00000000-0005-0000-0000-00004E3F0000}"/>
    <cellStyle name="Normal 2 2 2 2 5 16 2 8" xfId="16207" xr:uid="{00000000-0005-0000-0000-00004F3F0000}"/>
    <cellStyle name="Normal 2 2 2 2 5 16 2 9" xfId="16208" xr:uid="{00000000-0005-0000-0000-0000503F0000}"/>
    <cellStyle name="Normal 2 2 2 2 5 16 3" xfId="16209" xr:uid="{00000000-0005-0000-0000-0000513F0000}"/>
    <cellStyle name="Normal 2 2 2 2 5 16 3 10" xfId="16210" xr:uid="{00000000-0005-0000-0000-0000523F0000}"/>
    <cellStyle name="Normal 2 2 2 2 5 16 3 2" xfId="16211" xr:uid="{00000000-0005-0000-0000-0000533F0000}"/>
    <cellStyle name="Normal 2 2 2 2 5 16 3 3" xfId="16212" xr:uid="{00000000-0005-0000-0000-0000543F0000}"/>
    <cellStyle name="Normal 2 2 2 2 5 16 3 4" xfId="16213" xr:uid="{00000000-0005-0000-0000-0000553F0000}"/>
    <cellStyle name="Normal 2 2 2 2 5 16 3 5" xfId="16214" xr:uid="{00000000-0005-0000-0000-0000563F0000}"/>
    <cellStyle name="Normal 2 2 2 2 5 16 3 6" xfId="16215" xr:uid="{00000000-0005-0000-0000-0000573F0000}"/>
    <cellStyle name="Normal 2 2 2 2 5 16 3 7" xfId="16216" xr:uid="{00000000-0005-0000-0000-0000583F0000}"/>
    <cellStyle name="Normal 2 2 2 2 5 16 3 8" xfId="16217" xr:uid="{00000000-0005-0000-0000-0000593F0000}"/>
    <cellStyle name="Normal 2 2 2 2 5 16 3 9" xfId="16218" xr:uid="{00000000-0005-0000-0000-00005A3F0000}"/>
    <cellStyle name="Normal 2 2 2 2 5 16 4" xfId="16219" xr:uid="{00000000-0005-0000-0000-00005B3F0000}"/>
    <cellStyle name="Normal 2 2 2 2 5 16 4 10" xfId="16220" xr:uid="{00000000-0005-0000-0000-00005C3F0000}"/>
    <cellStyle name="Normal 2 2 2 2 5 16 4 2" xfId="16221" xr:uid="{00000000-0005-0000-0000-00005D3F0000}"/>
    <cellStyle name="Normal 2 2 2 2 5 16 4 3" xfId="16222" xr:uid="{00000000-0005-0000-0000-00005E3F0000}"/>
    <cellStyle name="Normal 2 2 2 2 5 16 4 4" xfId="16223" xr:uid="{00000000-0005-0000-0000-00005F3F0000}"/>
    <cellStyle name="Normal 2 2 2 2 5 16 4 5" xfId="16224" xr:uid="{00000000-0005-0000-0000-0000603F0000}"/>
    <cellStyle name="Normal 2 2 2 2 5 16 4 6" xfId="16225" xr:uid="{00000000-0005-0000-0000-0000613F0000}"/>
    <cellStyle name="Normal 2 2 2 2 5 16 4 7" xfId="16226" xr:uid="{00000000-0005-0000-0000-0000623F0000}"/>
    <cellStyle name="Normal 2 2 2 2 5 16 4 8" xfId="16227" xr:uid="{00000000-0005-0000-0000-0000633F0000}"/>
    <cellStyle name="Normal 2 2 2 2 5 16 4 9" xfId="16228" xr:uid="{00000000-0005-0000-0000-0000643F0000}"/>
    <cellStyle name="Normal 2 2 2 2 5 16 5" xfId="16229" xr:uid="{00000000-0005-0000-0000-0000653F0000}"/>
    <cellStyle name="Normal 2 2 2 2 5 16 5 10" xfId="16230" xr:uid="{00000000-0005-0000-0000-0000663F0000}"/>
    <cellStyle name="Normal 2 2 2 2 5 16 5 2" xfId="16231" xr:uid="{00000000-0005-0000-0000-0000673F0000}"/>
    <cellStyle name="Normal 2 2 2 2 5 16 5 3" xfId="16232" xr:uid="{00000000-0005-0000-0000-0000683F0000}"/>
    <cellStyle name="Normal 2 2 2 2 5 16 5 4" xfId="16233" xr:uid="{00000000-0005-0000-0000-0000693F0000}"/>
    <cellStyle name="Normal 2 2 2 2 5 16 5 5" xfId="16234" xr:uid="{00000000-0005-0000-0000-00006A3F0000}"/>
    <cellStyle name="Normal 2 2 2 2 5 16 5 6" xfId="16235" xr:uid="{00000000-0005-0000-0000-00006B3F0000}"/>
    <cellStyle name="Normal 2 2 2 2 5 16 5 7" xfId="16236" xr:uid="{00000000-0005-0000-0000-00006C3F0000}"/>
    <cellStyle name="Normal 2 2 2 2 5 16 5 8" xfId="16237" xr:uid="{00000000-0005-0000-0000-00006D3F0000}"/>
    <cellStyle name="Normal 2 2 2 2 5 16 5 9" xfId="16238" xr:uid="{00000000-0005-0000-0000-00006E3F0000}"/>
    <cellStyle name="Normal 2 2 2 2 5 16 6" xfId="16239" xr:uid="{00000000-0005-0000-0000-00006F3F0000}"/>
    <cellStyle name="Normal 2 2 2 2 5 16 7" xfId="16240" xr:uid="{00000000-0005-0000-0000-0000703F0000}"/>
    <cellStyle name="Normal 2 2 2 2 5 16 8" xfId="16241" xr:uid="{00000000-0005-0000-0000-0000713F0000}"/>
    <cellStyle name="Normal 2 2 2 2 5 16 9" xfId="16242" xr:uid="{00000000-0005-0000-0000-0000723F0000}"/>
    <cellStyle name="Normal 2 2 2 2 5 17" xfId="16243" xr:uid="{00000000-0005-0000-0000-0000733F0000}"/>
    <cellStyle name="Normal 2 2 2 2 5 17 10" xfId="16244" xr:uid="{00000000-0005-0000-0000-0000743F0000}"/>
    <cellStyle name="Normal 2 2 2 2 5 17 11" xfId="16245" xr:uid="{00000000-0005-0000-0000-0000753F0000}"/>
    <cellStyle name="Normal 2 2 2 2 5 17 12" xfId="16246" xr:uid="{00000000-0005-0000-0000-0000763F0000}"/>
    <cellStyle name="Normal 2 2 2 2 5 17 13" xfId="16247" xr:uid="{00000000-0005-0000-0000-0000773F0000}"/>
    <cellStyle name="Normal 2 2 2 2 5 17 14" xfId="16248" xr:uid="{00000000-0005-0000-0000-0000783F0000}"/>
    <cellStyle name="Normal 2 2 2 2 5 17 2" xfId="16249" xr:uid="{00000000-0005-0000-0000-0000793F0000}"/>
    <cellStyle name="Normal 2 2 2 2 5 17 2 10" xfId="16250" xr:uid="{00000000-0005-0000-0000-00007A3F0000}"/>
    <cellStyle name="Normal 2 2 2 2 5 17 2 2" xfId="16251" xr:uid="{00000000-0005-0000-0000-00007B3F0000}"/>
    <cellStyle name="Normal 2 2 2 2 5 17 2 3" xfId="16252" xr:uid="{00000000-0005-0000-0000-00007C3F0000}"/>
    <cellStyle name="Normal 2 2 2 2 5 17 2 4" xfId="16253" xr:uid="{00000000-0005-0000-0000-00007D3F0000}"/>
    <cellStyle name="Normal 2 2 2 2 5 17 2 5" xfId="16254" xr:uid="{00000000-0005-0000-0000-00007E3F0000}"/>
    <cellStyle name="Normal 2 2 2 2 5 17 2 6" xfId="16255" xr:uid="{00000000-0005-0000-0000-00007F3F0000}"/>
    <cellStyle name="Normal 2 2 2 2 5 17 2 7" xfId="16256" xr:uid="{00000000-0005-0000-0000-0000803F0000}"/>
    <cellStyle name="Normal 2 2 2 2 5 17 2 8" xfId="16257" xr:uid="{00000000-0005-0000-0000-0000813F0000}"/>
    <cellStyle name="Normal 2 2 2 2 5 17 2 9" xfId="16258" xr:uid="{00000000-0005-0000-0000-0000823F0000}"/>
    <cellStyle name="Normal 2 2 2 2 5 17 3" xfId="16259" xr:uid="{00000000-0005-0000-0000-0000833F0000}"/>
    <cellStyle name="Normal 2 2 2 2 5 17 3 10" xfId="16260" xr:uid="{00000000-0005-0000-0000-0000843F0000}"/>
    <cellStyle name="Normal 2 2 2 2 5 17 3 2" xfId="16261" xr:uid="{00000000-0005-0000-0000-0000853F0000}"/>
    <cellStyle name="Normal 2 2 2 2 5 17 3 3" xfId="16262" xr:uid="{00000000-0005-0000-0000-0000863F0000}"/>
    <cellStyle name="Normal 2 2 2 2 5 17 3 4" xfId="16263" xr:uid="{00000000-0005-0000-0000-0000873F0000}"/>
    <cellStyle name="Normal 2 2 2 2 5 17 3 5" xfId="16264" xr:uid="{00000000-0005-0000-0000-0000883F0000}"/>
    <cellStyle name="Normal 2 2 2 2 5 17 3 6" xfId="16265" xr:uid="{00000000-0005-0000-0000-0000893F0000}"/>
    <cellStyle name="Normal 2 2 2 2 5 17 3 7" xfId="16266" xr:uid="{00000000-0005-0000-0000-00008A3F0000}"/>
    <cellStyle name="Normal 2 2 2 2 5 17 3 8" xfId="16267" xr:uid="{00000000-0005-0000-0000-00008B3F0000}"/>
    <cellStyle name="Normal 2 2 2 2 5 17 3 9" xfId="16268" xr:uid="{00000000-0005-0000-0000-00008C3F0000}"/>
    <cellStyle name="Normal 2 2 2 2 5 17 4" xfId="16269" xr:uid="{00000000-0005-0000-0000-00008D3F0000}"/>
    <cellStyle name="Normal 2 2 2 2 5 17 4 10" xfId="16270" xr:uid="{00000000-0005-0000-0000-00008E3F0000}"/>
    <cellStyle name="Normal 2 2 2 2 5 17 4 2" xfId="16271" xr:uid="{00000000-0005-0000-0000-00008F3F0000}"/>
    <cellStyle name="Normal 2 2 2 2 5 17 4 3" xfId="16272" xr:uid="{00000000-0005-0000-0000-0000903F0000}"/>
    <cellStyle name="Normal 2 2 2 2 5 17 4 4" xfId="16273" xr:uid="{00000000-0005-0000-0000-0000913F0000}"/>
    <cellStyle name="Normal 2 2 2 2 5 17 4 5" xfId="16274" xr:uid="{00000000-0005-0000-0000-0000923F0000}"/>
    <cellStyle name="Normal 2 2 2 2 5 17 4 6" xfId="16275" xr:uid="{00000000-0005-0000-0000-0000933F0000}"/>
    <cellStyle name="Normal 2 2 2 2 5 17 4 7" xfId="16276" xr:uid="{00000000-0005-0000-0000-0000943F0000}"/>
    <cellStyle name="Normal 2 2 2 2 5 17 4 8" xfId="16277" xr:uid="{00000000-0005-0000-0000-0000953F0000}"/>
    <cellStyle name="Normal 2 2 2 2 5 17 4 9" xfId="16278" xr:uid="{00000000-0005-0000-0000-0000963F0000}"/>
    <cellStyle name="Normal 2 2 2 2 5 17 5" xfId="16279" xr:uid="{00000000-0005-0000-0000-0000973F0000}"/>
    <cellStyle name="Normal 2 2 2 2 5 17 5 10" xfId="16280" xr:uid="{00000000-0005-0000-0000-0000983F0000}"/>
    <cellStyle name="Normal 2 2 2 2 5 17 5 2" xfId="16281" xr:uid="{00000000-0005-0000-0000-0000993F0000}"/>
    <cellStyle name="Normal 2 2 2 2 5 17 5 3" xfId="16282" xr:uid="{00000000-0005-0000-0000-00009A3F0000}"/>
    <cellStyle name="Normal 2 2 2 2 5 17 5 4" xfId="16283" xr:uid="{00000000-0005-0000-0000-00009B3F0000}"/>
    <cellStyle name="Normal 2 2 2 2 5 17 5 5" xfId="16284" xr:uid="{00000000-0005-0000-0000-00009C3F0000}"/>
    <cellStyle name="Normal 2 2 2 2 5 17 5 6" xfId="16285" xr:uid="{00000000-0005-0000-0000-00009D3F0000}"/>
    <cellStyle name="Normal 2 2 2 2 5 17 5 7" xfId="16286" xr:uid="{00000000-0005-0000-0000-00009E3F0000}"/>
    <cellStyle name="Normal 2 2 2 2 5 17 5 8" xfId="16287" xr:uid="{00000000-0005-0000-0000-00009F3F0000}"/>
    <cellStyle name="Normal 2 2 2 2 5 17 5 9" xfId="16288" xr:uid="{00000000-0005-0000-0000-0000A03F0000}"/>
    <cellStyle name="Normal 2 2 2 2 5 17 6" xfId="16289" xr:uid="{00000000-0005-0000-0000-0000A13F0000}"/>
    <cellStyle name="Normal 2 2 2 2 5 17 7" xfId="16290" xr:uid="{00000000-0005-0000-0000-0000A23F0000}"/>
    <cellStyle name="Normal 2 2 2 2 5 17 8" xfId="16291" xr:uid="{00000000-0005-0000-0000-0000A33F0000}"/>
    <cellStyle name="Normal 2 2 2 2 5 17 9" xfId="16292" xr:uid="{00000000-0005-0000-0000-0000A43F0000}"/>
    <cellStyle name="Normal 2 2 2 2 5 18" xfId="16293" xr:uid="{00000000-0005-0000-0000-0000A53F0000}"/>
    <cellStyle name="Normal 2 2 2 2 5 18 10" xfId="16294" xr:uid="{00000000-0005-0000-0000-0000A63F0000}"/>
    <cellStyle name="Normal 2 2 2 2 5 18 11" xfId="16295" xr:uid="{00000000-0005-0000-0000-0000A73F0000}"/>
    <cellStyle name="Normal 2 2 2 2 5 18 12" xfId="16296" xr:uid="{00000000-0005-0000-0000-0000A83F0000}"/>
    <cellStyle name="Normal 2 2 2 2 5 18 13" xfId="16297" xr:uid="{00000000-0005-0000-0000-0000A93F0000}"/>
    <cellStyle name="Normal 2 2 2 2 5 18 14" xfId="16298" xr:uid="{00000000-0005-0000-0000-0000AA3F0000}"/>
    <cellStyle name="Normal 2 2 2 2 5 18 2" xfId="16299" xr:uid="{00000000-0005-0000-0000-0000AB3F0000}"/>
    <cellStyle name="Normal 2 2 2 2 5 18 2 10" xfId="16300" xr:uid="{00000000-0005-0000-0000-0000AC3F0000}"/>
    <cellStyle name="Normal 2 2 2 2 5 18 2 2" xfId="16301" xr:uid="{00000000-0005-0000-0000-0000AD3F0000}"/>
    <cellStyle name="Normal 2 2 2 2 5 18 2 3" xfId="16302" xr:uid="{00000000-0005-0000-0000-0000AE3F0000}"/>
    <cellStyle name="Normal 2 2 2 2 5 18 2 4" xfId="16303" xr:uid="{00000000-0005-0000-0000-0000AF3F0000}"/>
    <cellStyle name="Normal 2 2 2 2 5 18 2 5" xfId="16304" xr:uid="{00000000-0005-0000-0000-0000B03F0000}"/>
    <cellStyle name="Normal 2 2 2 2 5 18 2 6" xfId="16305" xr:uid="{00000000-0005-0000-0000-0000B13F0000}"/>
    <cellStyle name="Normal 2 2 2 2 5 18 2 7" xfId="16306" xr:uid="{00000000-0005-0000-0000-0000B23F0000}"/>
    <cellStyle name="Normal 2 2 2 2 5 18 2 8" xfId="16307" xr:uid="{00000000-0005-0000-0000-0000B33F0000}"/>
    <cellStyle name="Normal 2 2 2 2 5 18 2 9" xfId="16308" xr:uid="{00000000-0005-0000-0000-0000B43F0000}"/>
    <cellStyle name="Normal 2 2 2 2 5 18 3" xfId="16309" xr:uid="{00000000-0005-0000-0000-0000B53F0000}"/>
    <cellStyle name="Normal 2 2 2 2 5 18 3 10" xfId="16310" xr:uid="{00000000-0005-0000-0000-0000B63F0000}"/>
    <cellStyle name="Normal 2 2 2 2 5 18 3 2" xfId="16311" xr:uid="{00000000-0005-0000-0000-0000B73F0000}"/>
    <cellStyle name="Normal 2 2 2 2 5 18 3 3" xfId="16312" xr:uid="{00000000-0005-0000-0000-0000B83F0000}"/>
    <cellStyle name="Normal 2 2 2 2 5 18 3 4" xfId="16313" xr:uid="{00000000-0005-0000-0000-0000B93F0000}"/>
    <cellStyle name="Normal 2 2 2 2 5 18 3 5" xfId="16314" xr:uid="{00000000-0005-0000-0000-0000BA3F0000}"/>
    <cellStyle name="Normal 2 2 2 2 5 18 3 6" xfId="16315" xr:uid="{00000000-0005-0000-0000-0000BB3F0000}"/>
    <cellStyle name="Normal 2 2 2 2 5 18 3 7" xfId="16316" xr:uid="{00000000-0005-0000-0000-0000BC3F0000}"/>
    <cellStyle name="Normal 2 2 2 2 5 18 3 8" xfId="16317" xr:uid="{00000000-0005-0000-0000-0000BD3F0000}"/>
    <cellStyle name="Normal 2 2 2 2 5 18 3 9" xfId="16318" xr:uid="{00000000-0005-0000-0000-0000BE3F0000}"/>
    <cellStyle name="Normal 2 2 2 2 5 18 4" xfId="16319" xr:uid="{00000000-0005-0000-0000-0000BF3F0000}"/>
    <cellStyle name="Normal 2 2 2 2 5 18 4 10" xfId="16320" xr:uid="{00000000-0005-0000-0000-0000C03F0000}"/>
    <cellStyle name="Normal 2 2 2 2 5 18 4 2" xfId="16321" xr:uid="{00000000-0005-0000-0000-0000C13F0000}"/>
    <cellStyle name="Normal 2 2 2 2 5 18 4 3" xfId="16322" xr:uid="{00000000-0005-0000-0000-0000C23F0000}"/>
    <cellStyle name="Normal 2 2 2 2 5 18 4 4" xfId="16323" xr:uid="{00000000-0005-0000-0000-0000C33F0000}"/>
    <cellStyle name="Normal 2 2 2 2 5 18 4 5" xfId="16324" xr:uid="{00000000-0005-0000-0000-0000C43F0000}"/>
    <cellStyle name="Normal 2 2 2 2 5 18 4 6" xfId="16325" xr:uid="{00000000-0005-0000-0000-0000C53F0000}"/>
    <cellStyle name="Normal 2 2 2 2 5 18 4 7" xfId="16326" xr:uid="{00000000-0005-0000-0000-0000C63F0000}"/>
    <cellStyle name="Normal 2 2 2 2 5 18 4 8" xfId="16327" xr:uid="{00000000-0005-0000-0000-0000C73F0000}"/>
    <cellStyle name="Normal 2 2 2 2 5 18 4 9" xfId="16328" xr:uid="{00000000-0005-0000-0000-0000C83F0000}"/>
    <cellStyle name="Normal 2 2 2 2 5 18 5" xfId="16329" xr:uid="{00000000-0005-0000-0000-0000C93F0000}"/>
    <cellStyle name="Normal 2 2 2 2 5 18 5 10" xfId="16330" xr:uid="{00000000-0005-0000-0000-0000CA3F0000}"/>
    <cellStyle name="Normal 2 2 2 2 5 18 5 2" xfId="16331" xr:uid="{00000000-0005-0000-0000-0000CB3F0000}"/>
    <cellStyle name="Normal 2 2 2 2 5 18 5 3" xfId="16332" xr:uid="{00000000-0005-0000-0000-0000CC3F0000}"/>
    <cellStyle name="Normal 2 2 2 2 5 18 5 4" xfId="16333" xr:uid="{00000000-0005-0000-0000-0000CD3F0000}"/>
    <cellStyle name="Normal 2 2 2 2 5 18 5 5" xfId="16334" xr:uid="{00000000-0005-0000-0000-0000CE3F0000}"/>
    <cellStyle name="Normal 2 2 2 2 5 18 5 6" xfId="16335" xr:uid="{00000000-0005-0000-0000-0000CF3F0000}"/>
    <cellStyle name="Normal 2 2 2 2 5 18 5 7" xfId="16336" xr:uid="{00000000-0005-0000-0000-0000D03F0000}"/>
    <cellStyle name="Normal 2 2 2 2 5 18 5 8" xfId="16337" xr:uid="{00000000-0005-0000-0000-0000D13F0000}"/>
    <cellStyle name="Normal 2 2 2 2 5 18 5 9" xfId="16338" xr:uid="{00000000-0005-0000-0000-0000D23F0000}"/>
    <cellStyle name="Normal 2 2 2 2 5 18 6" xfId="16339" xr:uid="{00000000-0005-0000-0000-0000D33F0000}"/>
    <cellStyle name="Normal 2 2 2 2 5 18 7" xfId="16340" xr:uid="{00000000-0005-0000-0000-0000D43F0000}"/>
    <cellStyle name="Normal 2 2 2 2 5 18 8" xfId="16341" xr:uid="{00000000-0005-0000-0000-0000D53F0000}"/>
    <cellStyle name="Normal 2 2 2 2 5 18 9" xfId="16342" xr:uid="{00000000-0005-0000-0000-0000D63F0000}"/>
    <cellStyle name="Normal 2 2 2 2 5 19" xfId="16343" xr:uid="{00000000-0005-0000-0000-0000D73F0000}"/>
    <cellStyle name="Normal 2 2 2 2 5 19 10" xfId="16344" xr:uid="{00000000-0005-0000-0000-0000D83F0000}"/>
    <cellStyle name="Normal 2 2 2 2 5 19 11" xfId="16345" xr:uid="{00000000-0005-0000-0000-0000D93F0000}"/>
    <cellStyle name="Normal 2 2 2 2 5 19 12" xfId="16346" xr:uid="{00000000-0005-0000-0000-0000DA3F0000}"/>
    <cellStyle name="Normal 2 2 2 2 5 19 13" xfId="16347" xr:uid="{00000000-0005-0000-0000-0000DB3F0000}"/>
    <cellStyle name="Normal 2 2 2 2 5 19 14" xfId="16348" xr:uid="{00000000-0005-0000-0000-0000DC3F0000}"/>
    <cellStyle name="Normal 2 2 2 2 5 19 2" xfId="16349" xr:uid="{00000000-0005-0000-0000-0000DD3F0000}"/>
    <cellStyle name="Normal 2 2 2 2 5 19 2 10" xfId="16350" xr:uid="{00000000-0005-0000-0000-0000DE3F0000}"/>
    <cellStyle name="Normal 2 2 2 2 5 19 2 2" xfId="16351" xr:uid="{00000000-0005-0000-0000-0000DF3F0000}"/>
    <cellStyle name="Normal 2 2 2 2 5 19 2 3" xfId="16352" xr:uid="{00000000-0005-0000-0000-0000E03F0000}"/>
    <cellStyle name="Normal 2 2 2 2 5 19 2 4" xfId="16353" xr:uid="{00000000-0005-0000-0000-0000E13F0000}"/>
    <cellStyle name="Normal 2 2 2 2 5 19 2 5" xfId="16354" xr:uid="{00000000-0005-0000-0000-0000E23F0000}"/>
    <cellStyle name="Normal 2 2 2 2 5 19 2 6" xfId="16355" xr:uid="{00000000-0005-0000-0000-0000E33F0000}"/>
    <cellStyle name="Normal 2 2 2 2 5 19 2 7" xfId="16356" xr:uid="{00000000-0005-0000-0000-0000E43F0000}"/>
    <cellStyle name="Normal 2 2 2 2 5 19 2 8" xfId="16357" xr:uid="{00000000-0005-0000-0000-0000E53F0000}"/>
    <cellStyle name="Normal 2 2 2 2 5 19 2 9" xfId="16358" xr:uid="{00000000-0005-0000-0000-0000E63F0000}"/>
    <cellStyle name="Normal 2 2 2 2 5 19 3" xfId="16359" xr:uid="{00000000-0005-0000-0000-0000E73F0000}"/>
    <cellStyle name="Normal 2 2 2 2 5 19 3 10" xfId="16360" xr:uid="{00000000-0005-0000-0000-0000E83F0000}"/>
    <cellStyle name="Normal 2 2 2 2 5 19 3 2" xfId="16361" xr:uid="{00000000-0005-0000-0000-0000E93F0000}"/>
    <cellStyle name="Normal 2 2 2 2 5 19 3 3" xfId="16362" xr:uid="{00000000-0005-0000-0000-0000EA3F0000}"/>
    <cellStyle name="Normal 2 2 2 2 5 19 3 4" xfId="16363" xr:uid="{00000000-0005-0000-0000-0000EB3F0000}"/>
    <cellStyle name="Normal 2 2 2 2 5 19 3 5" xfId="16364" xr:uid="{00000000-0005-0000-0000-0000EC3F0000}"/>
    <cellStyle name="Normal 2 2 2 2 5 19 3 6" xfId="16365" xr:uid="{00000000-0005-0000-0000-0000ED3F0000}"/>
    <cellStyle name="Normal 2 2 2 2 5 19 3 7" xfId="16366" xr:uid="{00000000-0005-0000-0000-0000EE3F0000}"/>
    <cellStyle name="Normal 2 2 2 2 5 19 3 8" xfId="16367" xr:uid="{00000000-0005-0000-0000-0000EF3F0000}"/>
    <cellStyle name="Normal 2 2 2 2 5 19 3 9" xfId="16368" xr:uid="{00000000-0005-0000-0000-0000F03F0000}"/>
    <cellStyle name="Normal 2 2 2 2 5 19 4" xfId="16369" xr:uid="{00000000-0005-0000-0000-0000F13F0000}"/>
    <cellStyle name="Normal 2 2 2 2 5 19 4 10" xfId="16370" xr:uid="{00000000-0005-0000-0000-0000F23F0000}"/>
    <cellStyle name="Normal 2 2 2 2 5 19 4 2" xfId="16371" xr:uid="{00000000-0005-0000-0000-0000F33F0000}"/>
    <cellStyle name="Normal 2 2 2 2 5 19 4 3" xfId="16372" xr:uid="{00000000-0005-0000-0000-0000F43F0000}"/>
    <cellStyle name="Normal 2 2 2 2 5 19 4 4" xfId="16373" xr:uid="{00000000-0005-0000-0000-0000F53F0000}"/>
    <cellStyle name="Normal 2 2 2 2 5 19 4 5" xfId="16374" xr:uid="{00000000-0005-0000-0000-0000F63F0000}"/>
    <cellStyle name="Normal 2 2 2 2 5 19 4 6" xfId="16375" xr:uid="{00000000-0005-0000-0000-0000F73F0000}"/>
    <cellStyle name="Normal 2 2 2 2 5 19 4 7" xfId="16376" xr:uid="{00000000-0005-0000-0000-0000F83F0000}"/>
    <cellStyle name="Normal 2 2 2 2 5 19 4 8" xfId="16377" xr:uid="{00000000-0005-0000-0000-0000F93F0000}"/>
    <cellStyle name="Normal 2 2 2 2 5 19 4 9" xfId="16378" xr:uid="{00000000-0005-0000-0000-0000FA3F0000}"/>
    <cellStyle name="Normal 2 2 2 2 5 19 5" xfId="16379" xr:uid="{00000000-0005-0000-0000-0000FB3F0000}"/>
    <cellStyle name="Normal 2 2 2 2 5 19 5 10" xfId="16380" xr:uid="{00000000-0005-0000-0000-0000FC3F0000}"/>
    <cellStyle name="Normal 2 2 2 2 5 19 5 2" xfId="16381" xr:uid="{00000000-0005-0000-0000-0000FD3F0000}"/>
    <cellStyle name="Normal 2 2 2 2 5 19 5 3" xfId="16382" xr:uid="{00000000-0005-0000-0000-0000FE3F0000}"/>
    <cellStyle name="Normal 2 2 2 2 5 19 5 4" xfId="16383" xr:uid="{00000000-0005-0000-0000-0000FF3F0000}"/>
    <cellStyle name="Normal 2 2 2 2 5 19 5 5" xfId="16384" xr:uid="{00000000-0005-0000-0000-000000400000}"/>
    <cellStyle name="Normal 2 2 2 2 5 19 5 6" xfId="16385" xr:uid="{00000000-0005-0000-0000-000001400000}"/>
    <cellStyle name="Normal 2 2 2 2 5 19 5 7" xfId="16386" xr:uid="{00000000-0005-0000-0000-000002400000}"/>
    <cellStyle name="Normal 2 2 2 2 5 19 5 8" xfId="16387" xr:uid="{00000000-0005-0000-0000-000003400000}"/>
    <cellStyle name="Normal 2 2 2 2 5 19 5 9" xfId="16388" xr:uid="{00000000-0005-0000-0000-000004400000}"/>
    <cellStyle name="Normal 2 2 2 2 5 19 6" xfId="16389" xr:uid="{00000000-0005-0000-0000-000005400000}"/>
    <cellStyle name="Normal 2 2 2 2 5 19 7" xfId="16390" xr:uid="{00000000-0005-0000-0000-000006400000}"/>
    <cellStyle name="Normal 2 2 2 2 5 19 8" xfId="16391" xr:uid="{00000000-0005-0000-0000-000007400000}"/>
    <cellStyle name="Normal 2 2 2 2 5 19 9" xfId="16392" xr:uid="{00000000-0005-0000-0000-000008400000}"/>
    <cellStyle name="Normal 2 2 2 2 5 2" xfId="16393" xr:uid="{00000000-0005-0000-0000-000009400000}"/>
    <cellStyle name="Normal 2 2 2 2 5 2 10" xfId="16394" xr:uid="{00000000-0005-0000-0000-00000A400000}"/>
    <cellStyle name="Normal 2 2 2 2 5 2 11" xfId="16395" xr:uid="{00000000-0005-0000-0000-00000B400000}"/>
    <cellStyle name="Normal 2 2 2 2 5 2 12" xfId="16396" xr:uid="{00000000-0005-0000-0000-00000C400000}"/>
    <cellStyle name="Normal 2 2 2 2 5 2 13" xfId="16397" xr:uid="{00000000-0005-0000-0000-00000D400000}"/>
    <cellStyle name="Normal 2 2 2 2 5 2 14" xfId="16398" xr:uid="{00000000-0005-0000-0000-00000E400000}"/>
    <cellStyle name="Normal 2 2 2 2 5 2 15" xfId="16399" xr:uid="{00000000-0005-0000-0000-00000F400000}"/>
    <cellStyle name="Normal 2 2 2 2 5 2 16" xfId="16400" xr:uid="{00000000-0005-0000-0000-000010400000}"/>
    <cellStyle name="Normal 2 2 2 2 5 2 17" xfId="16401" xr:uid="{00000000-0005-0000-0000-000011400000}"/>
    <cellStyle name="Normal 2 2 2 2 5 2 18" xfId="16402" xr:uid="{00000000-0005-0000-0000-000012400000}"/>
    <cellStyle name="Normal 2 2 2 2 5 2 19" xfId="16403" xr:uid="{00000000-0005-0000-0000-000013400000}"/>
    <cellStyle name="Normal 2 2 2 2 5 2 2" xfId="16404" xr:uid="{00000000-0005-0000-0000-000014400000}"/>
    <cellStyle name="Normal 2 2 2 2 5 2 20" xfId="16405" xr:uid="{00000000-0005-0000-0000-000015400000}"/>
    <cellStyle name="Normal 2 2 2 2 5 2 21" xfId="16406" xr:uid="{00000000-0005-0000-0000-000016400000}"/>
    <cellStyle name="Normal 2 2 2 2 5 2 21 10" xfId="16407" xr:uid="{00000000-0005-0000-0000-000017400000}"/>
    <cellStyle name="Normal 2 2 2 2 5 2 21 2" xfId="16408" xr:uid="{00000000-0005-0000-0000-000018400000}"/>
    <cellStyle name="Normal 2 2 2 2 5 2 21 3" xfId="16409" xr:uid="{00000000-0005-0000-0000-000019400000}"/>
    <cellStyle name="Normal 2 2 2 2 5 2 21 4" xfId="16410" xr:uid="{00000000-0005-0000-0000-00001A400000}"/>
    <cellStyle name="Normal 2 2 2 2 5 2 21 5" xfId="16411" xr:uid="{00000000-0005-0000-0000-00001B400000}"/>
    <cellStyle name="Normal 2 2 2 2 5 2 21 6" xfId="16412" xr:uid="{00000000-0005-0000-0000-00001C400000}"/>
    <cellStyle name="Normal 2 2 2 2 5 2 21 7" xfId="16413" xr:uid="{00000000-0005-0000-0000-00001D400000}"/>
    <cellStyle name="Normal 2 2 2 2 5 2 21 8" xfId="16414" xr:uid="{00000000-0005-0000-0000-00001E400000}"/>
    <cellStyle name="Normal 2 2 2 2 5 2 21 9" xfId="16415" xr:uid="{00000000-0005-0000-0000-00001F400000}"/>
    <cellStyle name="Normal 2 2 2 2 5 2 22" xfId="16416" xr:uid="{00000000-0005-0000-0000-000020400000}"/>
    <cellStyle name="Normal 2 2 2 2 5 2 22 10" xfId="16417" xr:uid="{00000000-0005-0000-0000-000021400000}"/>
    <cellStyle name="Normal 2 2 2 2 5 2 22 2" xfId="16418" xr:uid="{00000000-0005-0000-0000-000022400000}"/>
    <cellStyle name="Normal 2 2 2 2 5 2 22 3" xfId="16419" xr:uid="{00000000-0005-0000-0000-000023400000}"/>
    <cellStyle name="Normal 2 2 2 2 5 2 22 4" xfId="16420" xr:uid="{00000000-0005-0000-0000-000024400000}"/>
    <cellStyle name="Normal 2 2 2 2 5 2 22 5" xfId="16421" xr:uid="{00000000-0005-0000-0000-000025400000}"/>
    <cellStyle name="Normal 2 2 2 2 5 2 22 6" xfId="16422" xr:uid="{00000000-0005-0000-0000-000026400000}"/>
    <cellStyle name="Normal 2 2 2 2 5 2 22 7" xfId="16423" xr:uid="{00000000-0005-0000-0000-000027400000}"/>
    <cellStyle name="Normal 2 2 2 2 5 2 22 8" xfId="16424" xr:uid="{00000000-0005-0000-0000-000028400000}"/>
    <cellStyle name="Normal 2 2 2 2 5 2 22 9" xfId="16425" xr:uid="{00000000-0005-0000-0000-000029400000}"/>
    <cellStyle name="Normal 2 2 2 2 5 2 23" xfId="16426" xr:uid="{00000000-0005-0000-0000-00002A400000}"/>
    <cellStyle name="Normal 2 2 2 2 5 2 23 10" xfId="16427" xr:uid="{00000000-0005-0000-0000-00002B400000}"/>
    <cellStyle name="Normal 2 2 2 2 5 2 23 2" xfId="16428" xr:uid="{00000000-0005-0000-0000-00002C400000}"/>
    <cellStyle name="Normal 2 2 2 2 5 2 23 3" xfId="16429" xr:uid="{00000000-0005-0000-0000-00002D400000}"/>
    <cellStyle name="Normal 2 2 2 2 5 2 23 4" xfId="16430" xr:uid="{00000000-0005-0000-0000-00002E400000}"/>
    <cellStyle name="Normal 2 2 2 2 5 2 23 5" xfId="16431" xr:uid="{00000000-0005-0000-0000-00002F400000}"/>
    <cellStyle name="Normal 2 2 2 2 5 2 23 6" xfId="16432" xr:uid="{00000000-0005-0000-0000-000030400000}"/>
    <cellStyle name="Normal 2 2 2 2 5 2 23 7" xfId="16433" xr:uid="{00000000-0005-0000-0000-000031400000}"/>
    <cellStyle name="Normal 2 2 2 2 5 2 23 8" xfId="16434" xr:uid="{00000000-0005-0000-0000-000032400000}"/>
    <cellStyle name="Normal 2 2 2 2 5 2 23 9" xfId="16435" xr:uid="{00000000-0005-0000-0000-000033400000}"/>
    <cellStyle name="Normal 2 2 2 2 5 2 24" xfId="16436" xr:uid="{00000000-0005-0000-0000-000034400000}"/>
    <cellStyle name="Normal 2 2 2 2 5 2 24 10" xfId="16437" xr:uid="{00000000-0005-0000-0000-000035400000}"/>
    <cellStyle name="Normal 2 2 2 2 5 2 24 2" xfId="16438" xr:uid="{00000000-0005-0000-0000-000036400000}"/>
    <cellStyle name="Normal 2 2 2 2 5 2 24 3" xfId="16439" xr:uid="{00000000-0005-0000-0000-000037400000}"/>
    <cellStyle name="Normal 2 2 2 2 5 2 24 4" xfId="16440" xr:uid="{00000000-0005-0000-0000-000038400000}"/>
    <cellStyle name="Normal 2 2 2 2 5 2 24 5" xfId="16441" xr:uid="{00000000-0005-0000-0000-000039400000}"/>
    <cellStyle name="Normal 2 2 2 2 5 2 24 6" xfId="16442" xr:uid="{00000000-0005-0000-0000-00003A400000}"/>
    <cellStyle name="Normal 2 2 2 2 5 2 24 7" xfId="16443" xr:uid="{00000000-0005-0000-0000-00003B400000}"/>
    <cellStyle name="Normal 2 2 2 2 5 2 24 8" xfId="16444" xr:uid="{00000000-0005-0000-0000-00003C400000}"/>
    <cellStyle name="Normal 2 2 2 2 5 2 24 9" xfId="16445" xr:uid="{00000000-0005-0000-0000-00003D400000}"/>
    <cellStyle name="Normal 2 2 2 2 5 2 25" xfId="16446" xr:uid="{00000000-0005-0000-0000-00003E400000}"/>
    <cellStyle name="Normal 2 2 2 2 5 2 26" xfId="16447" xr:uid="{00000000-0005-0000-0000-00003F400000}"/>
    <cellStyle name="Normal 2 2 2 2 5 2 27" xfId="16448" xr:uid="{00000000-0005-0000-0000-000040400000}"/>
    <cellStyle name="Normal 2 2 2 2 5 2 28" xfId="16449" xr:uid="{00000000-0005-0000-0000-000041400000}"/>
    <cellStyle name="Normal 2 2 2 2 5 2 29" xfId="16450" xr:uid="{00000000-0005-0000-0000-000042400000}"/>
    <cellStyle name="Normal 2 2 2 2 5 2 3" xfId="16451" xr:uid="{00000000-0005-0000-0000-000043400000}"/>
    <cellStyle name="Normal 2 2 2 2 5 2 30" xfId="16452" xr:uid="{00000000-0005-0000-0000-000044400000}"/>
    <cellStyle name="Normal 2 2 2 2 5 2 31" xfId="16453" xr:uid="{00000000-0005-0000-0000-000045400000}"/>
    <cellStyle name="Normal 2 2 2 2 5 2 32" xfId="16454" xr:uid="{00000000-0005-0000-0000-000046400000}"/>
    <cellStyle name="Normal 2 2 2 2 5 2 33" xfId="16455" xr:uid="{00000000-0005-0000-0000-000047400000}"/>
    <cellStyle name="Normal 2 2 2 2 5 2 4" xfId="16456" xr:uid="{00000000-0005-0000-0000-000048400000}"/>
    <cellStyle name="Normal 2 2 2 2 5 2 5" xfId="16457" xr:uid="{00000000-0005-0000-0000-000049400000}"/>
    <cellStyle name="Normal 2 2 2 2 5 2 6" xfId="16458" xr:uid="{00000000-0005-0000-0000-00004A400000}"/>
    <cellStyle name="Normal 2 2 2 2 5 2 7" xfId="16459" xr:uid="{00000000-0005-0000-0000-00004B400000}"/>
    <cellStyle name="Normal 2 2 2 2 5 2 8" xfId="16460" xr:uid="{00000000-0005-0000-0000-00004C400000}"/>
    <cellStyle name="Normal 2 2 2 2 5 2 9" xfId="16461" xr:uid="{00000000-0005-0000-0000-00004D400000}"/>
    <cellStyle name="Normal 2 2 2 2 5 20" xfId="16462" xr:uid="{00000000-0005-0000-0000-00004E400000}"/>
    <cellStyle name="Normal 2 2 2 2 5 20 10" xfId="16463" xr:uid="{00000000-0005-0000-0000-00004F400000}"/>
    <cellStyle name="Normal 2 2 2 2 5 20 11" xfId="16464" xr:uid="{00000000-0005-0000-0000-000050400000}"/>
    <cellStyle name="Normal 2 2 2 2 5 20 12" xfId="16465" xr:uid="{00000000-0005-0000-0000-000051400000}"/>
    <cellStyle name="Normal 2 2 2 2 5 20 13" xfId="16466" xr:uid="{00000000-0005-0000-0000-000052400000}"/>
    <cellStyle name="Normal 2 2 2 2 5 20 14" xfId="16467" xr:uid="{00000000-0005-0000-0000-000053400000}"/>
    <cellStyle name="Normal 2 2 2 2 5 20 2" xfId="16468" xr:uid="{00000000-0005-0000-0000-000054400000}"/>
    <cellStyle name="Normal 2 2 2 2 5 20 2 10" xfId="16469" xr:uid="{00000000-0005-0000-0000-000055400000}"/>
    <cellStyle name="Normal 2 2 2 2 5 20 2 2" xfId="16470" xr:uid="{00000000-0005-0000-0000-000056400000}"/>
    <cellStyle name="Normal 2 2 2 2 5 20 2 3" xfId="16471" xr:uid="{00000000-0005-0000-0000-000057400000}"/>
    <cellStyle name="Normal 2 2 2 2 5 20 2 4" xfId="16472" xr:uid="{00000000-0005-0000-0000-000058400000}"/>
    <cellStyle name="Normal 2 2 2 2 5 20 2 5" xfId="16473" xr:uid="{00000000-0005-0000-0000-000059400000}"/>
    <cellStyle name="Normal 2 2 2 2 5 20 2 6" xfId="16474" xr:uid="{00000000-0005-0000-0000-00005A400000}"/>
    <cellStyle name="Normal 2 2 2 2 5 20 2 7" xfId="16475" xr:uid="{00000000-0005-0000-0000-00005B400000}"/>
    <cellStyle name="Normal 2 2 2 2 5 20 2 8" xfId="16476" xr:uid="{00000000-0005-0000-0000-00005C400000}"/>
    <cellStyle name="Normal 2 2 2 2 5 20 2 9" xfId="16477" xr:uid="{00000000-0005-0000-0000-00005D400000}"/>
    <cellStyle name="Normal 2 2 2 2 5 20 3" xfId="16478" xr:uid="{00000000-0005-0000-0000-00005E400000}"/>
    <cellStyle name="Normal 2 2 2 2 5 20 3 10" xfId="16479" xr:uid="{00000000-0005-0000-0000-00005F400000}"/>
    <cellStyle name="Normal 2 2 2 2 5 20 3 2" xfId="16480" xr:uid="{00000000-0005-0000-0000-000060400000}"/>
    <cellStyle name="Normal 2 2 2 2 5 20 3 3" xfId="16481" xr:uid="{00000000-0005-0000-0000-000061400000}"/>
    <cellStyle name="Normal 2 2 2 2 5 20 3 4" xfId="16482" xr:uid="{00000000-0005-0000-0000-000062400000}"/>
    <cellStyle name="Normal 2 2 2 2 5 20 3 5" xfId="16483" xr:uid="{00000000-0005-0000-0000-000063400000}"/>
    <cellStyle name="Normal 2 2 2 2 5 20 3 6" xfId="16484" xr:uid="{00000000-0005-0000-0000-000064400000}"/>
    <cellStyle name="Normal 2 2 2 2 5 20 3 7" xfId="16485" xr:uid="{00000000-0005-0000-0000-000065400000}"/>
    <cellStyle name="Normal 2 2 2 2 5 20 3 8" xfId="16486" xr:uid="{00000000-0005-0000-0000-000066400000}"/>
    <cellStyle name="Normal 2 2 2 2 5 20 3 9" xfId="16487" xr:uid="{00000000-0005-0000-0000-000067400000}"/>
    <cellStyle name="Normal 2 2 2 2 5 20 4" xfId="16488" xr:uid="{00000000-0005-0000-0000-000068400000}"/>
    <cellStyle name="Normal 2 2 2 2 5 20 4 10" xfId="16489" xr:uid="{00000000-0005-0000-0000-000069400000}"/>
    <cellStyle name="Normal 2 2 2 2 5 20 4 2" xfId="16490" xr:uid="{00000000-0005-0000-0000-00006A400000}"/>
    <cellStyle name="Normal 2 2 2 2 5 20 4 3" xfId="16491" xr:uid="{00000000-0005-0000-0000-00006B400000}"/>
    <cellStyle name="Normal 2 2 2 2 5 20 4 4" xfId="16492" xr:uid="{00000000-0005-0000-0000-00006C400000}"/>
    <cellStyle name="Normal 2 2 2 2 5 20 4 5" xfId="16493" xr:uid="{00000000-0005-0000-0000-00006D400000}"/>
    <cellStyle name="Normal 2 2 2 2 5 20 4 6" xfId="16494" xr:uid="{00000000-0005-0000-0000-00006E400000}"/>
    <cellStyle name="Normal 2 2 2 2 5 20 4 7" xfId="16495" xr:uid="{00000000-0005-0000-0000-00006F400000}"/>
    <cellStyle name="Normal 2 2 2 2 5 20 4 8" xfId="16496" xr:uid="{00000000-0005-0000-0000-000070400000}"/>
    <cellStyle name="Normal 2 2 2 2 5 20 4 9" xfId="16497" xr:uid="{00000000-0005-0000-0000-000071400000}"/>
    <cellStyle name="Normal 2 2 2 2 5 20 5" xfId="16498" xr:uid="{00000000-0005-0000-0000-000072400000}"/>
    <cellStyle name="Normal 2 2 2 2 5 20 5 10" xfId="16499" xr:uid="{00000000-0005-0000-0000-000073400000}"/>
    <cellStyle name="Normal 2 2 2 2 5 20 5 2" xfId="16500" xr:uid="{00000000-0005-0000-0000-000074400000}"/>
    <cellStyle name="Normal 2 2 2 2 5 20 5 3" xfId="16501" xr:uid="{00000000-0005-0000-0000-000075400000}"/>
    <cellStyle name="Normal 2 2 2 2 5 20 5 4" xfId="16502" xr:uid="{00000000-0005-0000-0000-000076400000}"/>
    <cellStyle name="Normal 2 2 2 2 5 20 5 5" xfId="16503" xr:uid="{00000000-0005-0000-0000-000077400000}"/>
    <cellStyle name="Normal 2 2 2 2 5 20 5 6" xfId="16504" xr:uid="{00000000-0005-0000-0000-000078400000}"/>
    <cellStyle name="Normal 2 2 2 2 5 20 5 7" xfId="16505" xr:uid="{00000000-0005-0000-0000-000079400000}"/>
    <cellStyle name="Normal 2 2 2 2 5 20 5 8" xfId="16506" xr:uid="{00000000-0005-0000-0000-00007A400000}"/>
    <cellStyle name="Normal 2 2 2 2 5 20 5 9" xfId="16507" xr:uid="{00000000-0005-0000-0000-00007B400000}"/>
    <cellStyle name="Normal 2 2 2 2 5 20 6" xfId="16508" xr:uid="{00000000-0005-0000-0000-00007C400000}"/>
    <cellStyle name="Normal 2 2 2 2 5 20 7" xfId="16509" xr:uid="{00000000-0005-0000-0000-00007D400000}"/>
    <cellStyle name="Normal 2 2 2 2 5 20 8" xfId="16510" xr:uid="{00000000-0005-0000-0000-00007E400000}"/>
    <cellStyle name="Normal 2 2 2 2 5 20 9" xfId="16511" xr:uid="{00000000-0005-0000-0000-00007F400000}"/>
    <cellStyle name="Normal 2 2 2 2 5 21" xfId="16512" xr:uid="{00000000-0005-0000-0000-000080400000}"/>
    <cellStyle name="Normal 2 2 2 2 5 22" xfId="16513" xr:uid="{00000000-0005-0000-0000-000081400000}"/>
    <cellStyle name="Normal 2 2 2 2 5 3" xfId="16514" xr:uid="{00000000-0005-0000-0000-000082400000}"/>
    <cellStyle name="Normal 2 2 2 2 5 3 10" xfId="16515" xr:uid="{00000000-0005-0000-0000-000083400000}"/>
    <cellStyle name="Normal 2 2 2 2 5 3 11" xfId="16516" xr:uid="{00000000-0005-0000-0000-000084400000}"/>
    <cellStyle name="Normal 2 2 2 2 5 3 12" xfId="16517" xr:uid="{00000000-0005-0000-0000-000085400000}"/>
    <cellStyle name="Normal 2 2 2 2 5 3 13" xfId="16518" xr:uid="{00000000-0005-0000-0000-000086400000}"/>
    <cellStyle name="Normal 2 2 2 2 5 3 14" xfId="16519" xr:uid="{00000000-0005-0000-0000-000087400000}"/>
    <cellStyle name="Normal 2 2 2 2 5 3 2" xfId="16520" xr:uid="{00000000-0005-0000-0000-000088400000}"/>
    <cellStyle name="Normal 2 2 2 2 5 3 2 10" xfId="16521" xr:uid="{00000000-0005-0000-0000-000089400000}"/>
    <cellStyle name="Normal 2 2 2 2 5 3 2 2" xfId="16522" xr:uid="{00000000-0005-0000-0000-00008A400000}"/>
    <cellStyle name="Normal 2 2 2 2 5 3 2 3" xfId="16523" xr:uid="{00000000-0005-0000-0000-00008B400000}"/>
    <cellStyle name="Normal 2 2 2 2 5 3 2 4" xfId="16524" xr:uid="{00000000-0005-0000-0000-00008C400000}"/>
    <cellStyle name="Normal 2 2 2 2 5 3 2 5" xfId="16525" xr:uid="{00000000-0005-0000-0000-00008D400000}"/>
    <cellStyle name="Normal 2 2 2 2 5 3 2 6" xfId="16526" xr:uid="{00000000-0005-0000-0000-00008E400000}"/>
    <cellStyle name="Normal 2 2 2 2 5 3 2 7" xfId="16527" xr:uid="{00000000-0005-0000-0000-00008F400000}"/>
    <cellStyle name="Normal 2 2 2 2 5 3 2 8" xfId="16528" xr:uid="{00000000-0005-0000-0000-000090400000}"/>
    <cellStyle name="Normal 2 2 2 2 5 3 2 9" xfId="16529" xr:uid="{00000000-0005-0000-0000-000091400000}"/>
    <cellStyle name="Normal 2 2 2 2 5 3 3" xfId="16530" xr:uid="{00000000-0005-0000-0000-000092400000}"/>
    <cellStyle name="Normal 2 2 2 2 5 3 3 10" xfId="16531" xr:uid="{00000000-0005-0000-0000-000093400000}"/>
    <cellStyle name="Normal 2 2 2 2 5 3 3 2" xfId="16532" xr:uid="{00000000-0005-0000-0000-000094400000}"/>
    <cellStyle name="Normal 2 2 2 2 5 3 3 3" xfId="16533" xr:uid="{00000000-0005-0000-0000-000095400000}"/>
    <cellStyle name="Normal 2 2 2 2 5 3 3 4" xfId="16534" xr:uid="{00000000-0005-0000-0000-000096400000}"/>
    <cellStyle name="Normal 2 2 2 2 5 3 3 5" xfId="16535" xr:uid="{00000000-0005-0000-0000-000097400000}"/>
    <cellStyle name="Normal 2 2 2 2 5 3 3 6" xfId="16536" xr:uid="{00000000-0005-0000-0000-000098400000}"/>
    <cellStyle name="Normal 2 2 2 2 5 3 3 7" xfId="16537" xr:uid="{00000000-0005-0000-0000-000099400000}"/>
    <cellStyle name="Normal 2 2 2 2 5 3 3 8" xfId="16538" xr:uid="{00000000-0005-0000-0000-00009A400000}"/>
    <cellStyle name="Normal 2 2 2 2 5 3 3 9" xfId="16539" xr:uid="{00000000-0005-0000-0000-00009B400000}"/>
    <cellStyle name="Normal 2 2 2 2 5 3 4" xfId="16540" xr:uid="{00000000-0005-0000-0000-00009C400000}"/>
    <cellStyle name="Normal 2 2 2 2 5 3 4 10" xfId="16541" xr:uid="{00000000-0005-0000-0000-00009D400000}"/>
    <cellStyle name="Normal 2 2 2 2 5 3 4 2" xfId="16542" xr:uid="{00000000-0005-0000-0000-00009E400000}"/>
    <cellStyle name="Normal 2 2 2 2 5 3 4 3" xfId="16543" xr:uid="{00000000-0005-0000-0000-00009F400000}"/>
    <cellStyle name="Normal 2 2 2 2 5 3 4 4" xfId="16544" xr:uid="{00000000-0005-0000-0000-0000A0400000}"/>
    <cellStyle name="Normal 2 2 2 2 5 3 4 5" xfId="16545" xr:uid="{00000000-0005-0000-0000-0000A1400000}"/>
    <cellStyle name="Normal 2 2 2 2 5 3 4 6" xfId="16546" xr:uid="{00000000-0005-0000-0000-0000A2400000}"/>
    <cellStyle name="Normal 2 2 2 2 5 3 4 7" xfId="16547" xr:uid="{00000000-0005-0000-0000-0000A3400000}"/>
    <cellStyle name="Normal 2 2 2 2 5 3 4 8" xfId="16548" xr:uid="{00000000-0005-0000-0000-0000A4400000}"/>
    <cellStyle name="Normal 2 2 2 2 5 3 4 9" xfId="16549" xr:uid="{00000000-0005-0000-0000-0000A5400000}"/>
    <cellStyle name="Normal 2 2 2 2 5 3 5" xfId="16550" xr:uid="{00000000-0005-0000-0000-0000A6400000}"/>
    <cellStyle name="Normal 2 2 2 2 5 3 5 10" xfId="16551" xr:uid="{00000000-0005-0000-0000-0000A7400000}"/>
    <cellStyle name="Normal 2 2 2 2 5 3 5 2" xfId="16552" xr:uid="{00000000-0005-0000-0000-0000A8400000}"/>
    <cellStyle name="Normal 2 2 2 2 5 3 5 3" xfId="16553" xr:uid="{00000000-0005-0000-0000-0000A9400000}"/>
    <cellStyle name="Normal 2 2 2 2 5 3 5 4" xfId="16554" xr:uid="{00000000-0005-0000-0000-0000AA400000}"/>
    <cellStyle name="Normal 2 2 2 2 5 3 5 5" xfId="16555" xr:uid="{00000000-0005-0000-0000-0000AB400000}"/>
    <cellStyle name="Normal 2 2 2 2 5 3 5 6" xfId="16556" xr:uid="{00000000-0005-0000-0000-0000AC400000}"/>
    <cellStyle name="Normal 2 2 2 2 5 3 5 7" xfId="16557" xr:uid="{00000000-0005-0000-0000-0000AD400000}"/>
    <cellStyle name="Normal 2 2 2 2 5 3 5 8" xfId="16558" xr:uid="{00000000-0005-0000-0000-0000AE400000}"/>
    <cellStyle name="Normal 2 2 2 2 5 3 5 9" xfId="16559" xr:uid="{00000000-0005-0000-0000-0000AF400000}"/>
    <cellStyle name="Normal 2 2 2 2 5 3 6" xfId="16560" xr:uid="{00000000-0005-0000-0000-0000B0400000}"/>
    <cellStyle name="Normal 2 2 2 2 5 3 7" xfId="16561" xr:uid="{00000000-0005-0000-0000-0000B1400000}"/>
    <cellStyle name="Normal 2 2 2 2 5 3 8" xfId="16562" xr:uid="{00000000-0005-0000-0000-0000B2400000}"/>
    <cellStyle name="Normal 2 2 2 2 5 3 9" xfId="16563" xr:uid="{00000000-0005-0000-0000-0000B3400000}"/>
    <cellStyle name="Normal 2 2 2 2 5 4" xfId="16564" xr:uid="{00000000-0005-0000-0000-0000B4400000}"/>
    <cellStyle name="Normal 2 2 2 2 5 4 10" xfId="16565" xr:uid="{00000000-0005-0000-0000-0000B5400000}"/>
    <cellStyle name="Normal 2 2 2 2 5 4 11" xfId="16566" xr:uid="{00000000-0005-0000-0000-0000B6400000}"/>
    <cellStyle name="Normal 2 2 2 2 5 4 12" xfId="16567" xr:uid="{00000000-0005-0000-0000-0000B7400000}"/>
    <cellStyle name="Normal 2 2 2 2 5 4 13" xfId="16568" xr:uid="{00000000-0005-0000-0000-0000B8400000}"/>
    <cellStyle name="Normal 2 2 2 2 5 4 14" xfId="16569" xr:uid="{00000000-0005-0000-0000-0000B9400000}"/>
    <cellStyle name="Normal 2 2 2 2 5 4 2" xfId="16570" xr:uid="{00000000-0005-0000-0000-0000BA400000}"/>
    <cellStyle name="Normal 2 2 2 2 5 4 2 10" xfId="16571" xr:uid="{00000000-0005-0000-0000-0000BB400000}"/>
    <cellStyle name="Normal 2 2 2 2 5 4 2 2" xfId="16572" xr:uid="{00000000-0005-0000-0000-0000BC400000}"/>
    <cellStyle name="Normal 2 2 2 2 5 4 2 3" xfId="16573" xr:uid="{00000000-0005-0000-0000-0000BD400000}"/>
    <cellStyle name="Normal 2 2 2 2 5 4 2 4" xfId="16574" xr:uid="{00000000-0005-0000-0000-0000BE400000}"/>
    <cellStyle name="Normal 2 2 2 2 5 4 2 5" xfId="16575" xr:uid="{00000000-0005-0000-0000-0000BF400000}"/>
    <cellStyle name="Normal 2 2 2 2 5 4 2 6" xfId="16576" xr:uid="{00000000-0005-0000-0000-0000C0400000}"/>
    <cellStyle name="Normal 2 2 2 2 5 4 2 7" xfId="16577" xr:uid="{00000000-0005-0000-0000-0000C1400000}"/>
    <cellStyle name="Normal 2 2 2 2 5 4 2 8" xfId="16578" xr:uid="{00000000-0005-0000-0000-0000C2400000}"/>
    <cellStyle name="Normal 2 2 2 2 5 4 2 9" xfId="16579" xr:uid="{00000000-0005-0000-0000-0000C3400000}"/>
    <cellStyle name="Normal 2 2 2 2 5 4 3" xfId="16580" xr:uid="{00000000-0005-0000-0000-0000C4400000}"/>
    <cellStyle name="Normal 2 2 2 2 5 4 3 10" xfId="16581" xr:uid="{00000000-0005-0000-0000-0000C5400000}"/>
    <cellStyle name="Normal 2 2 2 2 5 4 3 2" xfId="16582" xr:uid="{00000000-0005-0000-0000-0000C6400000}"/>
    <cellStyle name="Normal 2 2 2 2 5 4 3 3" xfId="16583" xr:uid="{00000000-0005-0000-0000-0000C7400000}"/>
    <cellStyle name="Normal 2 2 2 2 5 4 3 4" xfId="16584" xr:uid="{00000000-0005-0000-0000-0000C8400000}"/>
    <cellStyle name="Normal 2 2 2 2 5 4 3 5" xfId="16585" xr:uid="{00000000-0005-0000-0000-0000C9400000}"/>
    <cellStyle name="Normal 2 2 2 2 5 4 3 6" xfId="16586" xr:uid="{00000000-0005-0000-0000-0000CA400000}"/>
    <cellStyle name="Normal 2 2 2 2 5 4 3 7" xfId="16587" xr:uid="{00000000-0005-0000-0000-0000CB400000}"/>
    <cellStyle name="Normal 2 2 2 2 5 4 3 8" xfId="16588" xr:uid="{00000000-0005-0000-0000-0000CC400000}"/>
    <cellStyle name="Normal 2 2 2 2 5 4 3 9" xfId="16589" xr:uid="{00000000-0005-0000-0000-0000CD400000}"/>
    <cellStyle name="Normal 2 2 2 2 5 4 4" xfId="16590" xr:uid="{00000000-0005-0000-0000-0000CE400000}"/>
    <cellStyle name="Normal 2 2 2 2 5 4 4 10" xfId="16591" xr:uid="{00000000-0005-0000-0000-0000CF400000}"/>
    <cellStyle name="Normal 2 2 2 2 5 4 4 2" xfId="16592" xr:uid="{00000000-0005-0000-0000-0000D0400000}"/>
    <cellStyle name="Normal 2 2 2 2 5 4 4 3" xfId="16593" xr:uid="{00000000-0005-0000-0000-0000D1400000}"/>
    <cellStyle name="Normal 2 2 2 2 5 4 4 4" xfId="16594" xr:uid="{00000000-0005-0000-0000-0000D2400000}"/>
    <cellStyle name="Normal 2 2 2 2 5 4 4 5" xfId="16595" xr:uid="{00000000-0005-0000-0000-0000D3400000}"/>
    <cellStyle name="Normal 2 2 2 2 5 4 4 6" xfId="16596" xr:uid="{00000000-0005-0000-0000-0000D4400000}"/>
    <cellStyle name="Normal 2 2 2 2 5 4 4 7" xfId="16597" xr:uid="{00000000-0005-0000-0000-0000D5400000}"/>
    <cellStyle name="Normal 2 2 2 2 5 4 4 8" xfId="16598" xr:uid="{00000000-0005-0000-0000-0000D6400000}"/>
    <cellStyle name="Normal 2 2 2 2 5 4 4 9" xfId="16599" xr:uid="{00000000-0005-0000-0000-0000D7400000}"/>
    <cellStyle name="Normal 2 2 2 2 5 4 5" xfId="16600" xr:uid="{00000000-0005-0000-0000-0000D8400000}"/>
    <cellStyle name="Normal 2 2 2 2 5 4 5 10" xfId="16601" xr:uid="{00000000-0005-0000-0000-0000D9400000}"/>
    <cellStyle name="Normal 2 2 2 2 5 4 5 2" xfId="16602" xr:uid="{00000000-0005-0000-0000-0000DA400000}"/>
    <cellStyle name="Normal 2 2 2 2 5 4 5 3" xfId="16603" xr:uid="{00000000-0005-0000-0000-0000DB400000}"/>
    <cellStyle name="Normal 2 2 2 2 5 4 5 4" xfId="16604" xr:uid="{00000000-0005-0000-0000-0000DC400000}"/>
    <cellStyle name="Normal 2 2 2 2 5 4 5 5" xfId="16605" xr:uid="{00000000-0005-0000-0000-0000DD400000}"/>
    <cellStyle name="Normal 2 2 2 2 5 4 5 6" xfId="16606" xr:uid="{00000000-0005-0000-0000-0000DE400000}"/>
    <cellStyle name="Normal 2 2 2 2 5 4 5 7" xfId="16607" xr:uid="{00000000-0005-0000-0000-0000DF400000}"/>
    <cellStyle name="Normal 2 2 2 2 5 4 5 8" xfId="16608" xr:uid="{00000000-0005-0000-0000-0000E0400000}"/>
    <cellStyle name="Normal 2 2 2 2 5 4 5 9" xfId="16609" xr:uid="{00000000-0005-0000-0000-0000E1400000}"/>
    <cellStyle name="Normal 2 2 2 2 5 4 6" xfId="16610" xr:uid="{00000000-0005-0000-0000-0000E2400000}"/>
    <cellStyle name="Normal 2 2 2 2 5 4 7" xfId="16611" xr:uid="{00000000-0005-0000-0000-0000E3400000}"/>
    <cellStyle name="Normal 2 2 2 2 5 4 8" xfId="16612" xr:uid="{00000000-0005-0000-0000-0000E4400000}"/>
    <cellStyle name="Normal 2 2 2 2 5 4 9" xfId="16613" xr:uid="{00000000-0005-0000-0000-0000E5400000}"/>
    <cellStyle name="Normal 2 2 2 2 5 5" xfId="16614" xr:uid="{00000000-0005-0000-0000-0000E6400000}"/>
    <cellStyle name="Normal 2 2 2 2 5 5 10" xfId="16615" xr:uid="{00000000-0005-0000-0000-0000E7400000}"/>
    <cellStyle name="Normal 2 2 2 2 5 5 11" xfId="16616" xr:uid="{00000000-0005-0000-0000-0000E8400000}"/>
    <cellStyle name="Normal 2 2 2 2 5 5 12" xfId="16617" xr:uid="{00000000-0005-0000-0000-0000E9400000}"/>
    <cellStyle name="Normal 2 2 2 2 5 5 13" xfId="16618" xr:uid="{00000000-0005-0000-0000-0000EA400000}"/>
    <cellStyle name="Normal 2 2 2 2 5 5 14" xfId="16619" xr:uid="{00000000-0005-0000-0000-0000EB400000}"/>
    <cellStyle name="Normal 2 2 2 2 5 5 2" xfId="16620" xr:uid="{00000000-0005-0000-0000-0000EC400000}"/>
    <cellStyle name="Normal 2 2 2 2 5 5 2 10" xfId="16621" xr:uid="{00000000-0005-0000-0000-0000ED400000}"/>
    <cellStyle name="Normal 2 2 2 2 5 5 2 2" xfId="16622" xr:uid="{00000000-0005-0000-0000-0000EE400000}"/>
    <cellStyle name="Normal 2 2 2 2 5 5 2 3" xfId="16623" xr:uid="{00000000-0005-0000-0000-0000EF400000}"/>
    <cellStyle name="Normal 2 2 2 2 5 5 2 4" xfId="16624" xr:uid="{00000000-0005-0000-0000-0000F0400000}"/>
    <cellStyle name="Normal 2 2 2 2 5 5 2 5" xfId="16625" xr:uid="{00000000-0005-0000-0000-0000F1400000}"/>
    <cellStyle name="Normal 2 2 2 2 5 5 2 6" xfId="16626" xr:uid="{00000000-0005-0000-0000-0000F2400000}"/>
    <cellStyle name="Normal 2 2 2 2 5 5 2 7" xfId="16627" xr:uid="{00000000-0005-0000-0000-0000F3400000}"/>
    <cellStyle name="Normal 2 2 2 2 5 5 2 8" xfId="16628" xr:uid="{00000000-0005-0000-0000-0000F4400000}"/>
    <cellStyle name="Normal 2 2 2 2 5 5 2 9" xfId="16629" xr:uid="{00000000-0005-0000-0000-0000F5400000}"/>
    <cellStyle name="Normal 2 2 2 2 5 5 3" xfId="16630" xr:uid="{00000000-0005-0000-0000-0000F6400000}"/>
    <cellStyle name="Normal 2 2 2 2 5 5 3 10" xfId="16631" xr:uid="{00000000-0005-0000-0000-0000F7400000}"/>
    <cellStyle name="Normal 2 2 2 2 5 5 3 2" xfId="16632" xr:uid="{00000000-0005-0000-0000-0000F8400000}"/>
    <cellStyle name="Normal 2 2 2 2 5 5 3 3" xfId="16633" xr:uid="{00000000-0005-0000-0000-0000F9400000}"/>
    <cellStyle name="Normal 2 2 2 2 5 5 3 4" xfId="16634" xr:uid="{00000000-0005-0000-0000-0000FA400000}"/>
    <cellStyle name="Normal 2 2 2 2 5 5 3 5" xfId="16635" xr:uid="{00000000-0005-0000-0000-0000FB400000}"/>
    <cellStyle name="Normal 2 2 2 2 5 5 3 6" xfId="16636" xr:uid="{00000000-0005-0000-0000-0000FC400000}"/>
    <cellStyle name="Normal 2 2 2 2 5 5 3 7" xfId="16637" xr:uid="{00000000-0005-0000-0000-0000FD400000}"/>
    <cellStyle name="Normal 2 2 2 2 5 5 3 8" xfId="16638" xr:uid="{00000000-0005-0000-0000-0000FE400000}"/>
    <cellStyle name="Normal 2 2 2 2 5 5 3 9" xfId="16639" xr:uid="{00000000-0005-0000-0000-0000FF400000}"/>
    <cellStyle name="Normal 2 2 2 2 5 5 4" xfId="16640" xr:uid="{00000000-0005-0000-0000-000000410000}"/>
    <cellStyle name="Normal 2 2 2 2 5 5 4 10" xfId="16641" xr:uid="{00000000-0005-0000-0000-000001410000}"/>
    <cellStyle name="Normal 2 2 2 2 5 5 4 2" xfId="16642" xr:uid="{00000000-0005-0000-0000-000002410000}"/>
    <cellStyle name="Normal 2 2 2 2 5 5 4 3" xfId="16643" xr:uid="{00000000-0005-0000-0000-000003410000}"/>
    <cellStyle name="Normal 2 2 2 2 5 5 4 4" xfId="16644" xr:uid="{00000000-0005-0000-0000-000004410000}"/>
    <cellStyle name="Normal 2 2 2 2 5 5 4 5" xfId="16645" xr:uid="{00000000-0005-0000-0000-000005410000}"/>
    <cellStyle name="Normal 2 2 2 2 5 5 4 6" xfId="16646" xr:uid="{00000000-0005-0000-0000-000006410000}"/>
    <cellStyle name="Normal 2 2 2 2 5 5 4 7" xfId="16647" xr:uid="{00000000-0005-0000-0000-000007410000}"/>
    <cellStyle name="Normal 2 2 2 2 5 5 4 8" xfId="16648" xr:uid="{00000000-0005-0000-0000-000008410000}"/>
    <cellStyle name="Normal 2 2 2 2 5 5 4 9" xfId="16649" xr:uid="{00000000-0005-0000-0000-000009410000}"/>
    <cellStyle name="Normal 2 2 2 2 5 5 5" xfId="16650" xr:uid="{00000000-0005-0000-0000-00000A410000}"/>
    <cellStyle name="Normal 2 2 2 2 5 5 5 10" xfId="16651" xr:uid="{00000000-0005-0000-0000-00000B410000}"/>
    <cellStyle name="Normal 2 2 2 2 5 5 5 2" xfId="16652" xr:uid="{00000000-0005-0000-0000-00000C410000}"/>
    <cellStyle name="Normal 2 2 2 2 5 5 5 3" xfId="16653" xr:uid="{00000000-0005-0000-0000-00000D410000}"/>
    <cellStyle name="Normal 2 2 2 2 5 5 5 4" xfId="16654" xr:uid="{00000000-0005-0000-0000-00000E410000}"/>
    <cellStyle name="Normal 2 2 2 2 5 5 5 5" xfId="16655" xr:uid="{00000000-0005-0000-0000-00000F410000}"/>
    <cellStyle name="Normal 2 2 2 2 5 5 5 6" xfId="16656" xr:uid="{00000000-0005-0000-0000-000010410000}"/>
    <cellStyle name="Normal 2 2 2 2 5 5 5 7" xfId="16657" xr:uid="{00000000-0005-0000-0000-000011410000}"/>
    <cellStyle name="Normal 2 2 2 2 5 5 5 8" xfId="16658" xr:uid="{00000000-0005-0000-0000-000012410000}"/>
    <cellStyle name="Normal 2 2 2 2 5 5 5 9" xfId="16659" xr:uid="{00000000-0005-0000-0000-000013410000}"/>
    <cellStyle name="Normal 2 2 2 2 5 5 6" xfId="16660" xr:uid="{00000000-0005-0000-0000-000014410000}"/>
    <cellStyle name="Normal 2 2 2 2 5 5 7" xfId="16661" xr:uid="{00000000-0005-0000-0000-000015410000}"/>
    <cellStyle name="Normal 2 2 2 2 5 5 8" xfId="16662" xr:uid="{00000000-0005-0000-0000-000016410000}"/>
    <cellStyle name="Normal 2 2 2 2 5 5 9" xfId="16663" xr:uid="{00000000-0005-0000-0000-000017410000}"/>
    <cellStyle name="Normal 2 2 2 2 5 6" xfId="16664" xr:uid="{00000000-0005-0000-0000-000018410000}"/>
    <cellStyle name="Normal 2 2 2 2 5 6 10" xfId="16665" xr:uid="{00000000-0005-0000-0000-000019410000}"/>
    <cellStyle name="Normal 2 2 2 2 5 6 11" xfId="16666" xr:uid="{00000000-0005-0000-0000-00001A410000}"/>
    <cellStyle name="Normal 2 2 2 2 5 6 12" xfId="16667" xr:uid="{00000000-0005-0000-0000-00001B410000}"/>
    <cellStyle name="Normal 2 2 2 2 5 6 13" xfId="16668" xr:uid="{00000000-0005-0000-0000-00001C410000}"/>
    <cellStyle name="Normal 2 2 2 2 5 6 14" xfId="16669" xr:uid="{00000000-0005-0000-0000-00001D410000}"/>
    <cellStyle name="Normal 2 2 2 2 5 6 2" xfId="16670" xr:uid="{00000000-0005-0000-0000-00001E410000}"/>
    <cellStyle name="Normal 2 2 2 2 5 6 2 10" xfId="16671" xr:uid="{00000000-0005-0000-0000-00001F410000}"/>
    <cellStyle name="Normal 2 2 2 2 5 6 2 2" xfId="16672" xr:uid="{00000000-0005-0000-0000-000020410000}"/>
    <cellStyle name="Normal 2 2 2 2 5 6 2 3" xfId="16673" xr:uid="{00000000-0005-0000-0000-000021410000}"/>
    <cellStyle name="Normal 2 2 2 2 5 6 2 4" xfId="16674" xr:uid="{00000000-0005-0000-0000-000022410000}"/>
    <cellStyle name="Normal 2 2 2 2 5 6 2 5" xfId="16675" xr:uid="{00000000-0005-0000-0000-000023410000}"/>
    <cellStyle name="Normal 2 2 2 2 5 6 2 6" xfId="16676" xr:uid="{00000000-0005-0000-0000-000024410000}"/>
    <cellStyle name="Normal 2 2 2 2 5 6 2 7" xfId="16677" xr:uid="{00000000-0005-0000-0000-000025410000}"/>
    <cellStyle name="Normal 2 2 2 2 5 6 2 8" xfId="16678" xr:uid="{00000000-0005-0000-0000-000026410000}"/>
    <cellStyle name="Normal 2 2 2 2 5 6 2 9" xfId="16679" xr:uid="{00000000-0005-0000-0000-000027410000}"/>
    <cellStyle name="Normal 2 2 2 2 5 6 3" xfId="16680" xr:uid="{00000000-0005-0000-0000-000028410000}"/>
    <cellStyle name="Normal 2 2 2 2 5 6 3 10" xfId="16681" xr:uid="{00000000-0005-0000-0000-000029410000}"/>
    <cellStyle name="Normal 2 2 2 2 5 6 3 2" xfId="16682" xr:uid="{00000000-0005-0000-0000-00002A410000}"/>
    <cellStyle name="Normal 2 2 2 2 5 6 3 3" xfId="16683" xr:uid="{00000000-0005-0000-0000-00002B410000}"/>
    <cellStyle name="Normal 2 2 2 2 5 6 3 4" xfId="16684" xr:uid="{00000000-0005-0000-0000-00002C410000}"/>
    <cellStyle name="Normal 2 2 2 2 5 6 3 5" xfId="16685" xr:uid="{00000000-0005-0000-0000-00002D410000}"/>
    <cellStyle name="Normal 2 2 2 2 5 6 3 6" xfId="16686" xr:uid="{00000000-0005-0000-0000-00002E410000}"/>
    <cellStyle name="Normal 2 2 2 2 5 6 3 7" xfId="16687" xr:uid="{00000000-0005-0000-0000-00002F410000}"/>
    <cellStyle name="Normal 2 2 2 2 5 6 3 8" xfId="16688" xr:uid="{00000000-0005-0000-0000-000030410000}"/>
    <cellStyle name="Normal 2 2 2 2 5 6 3 9" xfId="16689" xr:uid="{00000000-0005-0000-0000-000031410000}"/>
    <cellStyle name="Normal 2 2 2 2 5 6 4" xfId="16690" xr:uid="{00000000-0005-0000-0000-000032410000}"/>
    <cellStyle name="Normal 2 2 2 2 5 6 4 10" xfId="16691" xr:uid="{00000000-0005-0000-0000-000033410000}"/>
    <cellStyle name="Normal 2 2 2 2 5 6 4 2" xfId="16692" xr:uid="{00000000-0005-0000-0000-000034410000}"/>
    <cellStyle name="Normal 2 2 2 2 5 6 4 3" xfId="16693" xr:uid="{00000000-0005-0000-0000-000035410000}"/>
    <cellStyle name="Normal 2 2 2 2 5 6 4 4" xfId="16694" xr:uid="{00000000-0005-0000-0000-000036410000}"/>
    <cellStyle name="Normal 2 2 2 2 5 6 4 5" xfId="16695" xr:uid="{00000000-0005-0000-0000-000037410000}"/>
    <cellStyle name="Normal 2 2 2 2 5 6 4 6" xfId="16696" xr:uid="{00000000-0005-0000-0000-000038410000}"/>
    <cellStyle name="Normal 2 2 2 2 5 6 4 7" xfId="16697" xr:uid="{00000000-0005-0000-0000-000039410000}"/>
    <cellStyle name="Normal 2 2 2 2 5 6 4 8" xfId="16698" xr:uid="{00000000-0005-0000-0000-00003A410000}"/>
    <cellStyle name="Normal 2 2 2 2 5 6 4 9" xfId="16699" xr:uid="{00000000-0005-0000-0000-00003B410000}"/>
    <cellStyle name="Normal 2 2 2 2 5 6 5" xfId="16700" xr:uid="{00000000-0005-0000-0000-00003C410000}"/>
    <cellStyle name="Normal 2 2 2 2 5 6 5 10" xfId="16701" xr:uid="{00000000-0005-0000-0000-00003D410000}"/>
    <cellStyle name="Normal 2 2 2 2 5 6 5 2" xfId="16702" xr:uid="{00000000-0005-0000-0000-00003E410000}"/>
    <cellStyle name="Normal 2 2 2 2 5 6 5 3" xfId="16703" xr:uid="{00000000-0005-0000-0000-00003F410000}"/>
    <cellStyle name="Normal 2 2 2 2 5 6 5 4" xfId="16704" xr:uid="{00000000-0005-0000-0000-000040410000}"/>
    <cellStyle name="Normal 2 2 2 2 5 6 5 5" xfId="16705" xr:uid="{00000000-0005-0000-0000-000041410000}"/>
    <cellStyle name="Normal 2 2 2 2 5 6 5 6" xfId="16706" xr:uid="{00000000-0005-0000-0000-000042410000}"/>
    <cellStyle name="Normal 2 2 2 2 5 6 5 7" xfId="16707" xr:uid="{00000000-0005-0000-0000-000043410000}"/>
    <cellStyle name="Normal 2 2 2 2 5 6 5 8" xfId="16708" xr:uid="{00000000-0005-0000-0000-000044410000}"/>
    <cellStyle name="Normal 2 2 2 2 5 6 5 9" xfId="16709" xr:uid="{00000000-0005-0000-0000-000045410000}"/>
    <cellStyle name="Normal 2 2 2 2 5 6 6" xfId="16710" xr:uid="{00000000-0005-0000-0000-000046410000}"/>
    <cellStyle name="Normal 2 2 2 2 5 6 7" xfId="16711" xr:uid="{00000000-0005-0000-0000-000047410000}"/>
    <cellStyle name="Normal 2 2 2 2 5 6 8" xfId="16712" xr:uid="{00000000-0005-0000-0000-000048410000}"/>
    <cellStyle name="Normal 2 2 2 2 5 6 9" xfId="16713" xr:uid="{00000000-0005-0000-0000-000049410000}"/>
    <cellStyle name="Normal 2 2 2 2 5 7" xfId="16714" xr:uid="{00000000-0005-0000-0000-00004A410000}"/>
    <cellStyle name="Normal 2 2 2 2 5 7 10" xfId="16715" xr:uid="{00000000-0005-0000-0000-00004B410000}"/>
    <cellStyle name="Normal 2 2 2 2 5 7 11" xfId="16716" xr:uid="{00000000-0005-0000-0000-00004C410000}"/>
    <cellStyle name="Normal 2 2 2 2 5 7 12" xfId="16717" xr:uid="{00000000-0005-0000-0000-00004D410000}"/>
    <cellStyle name="Normal 2 2 2 2 5 7 13" xfId="16718" xr:uid="{00000000-0005-0000-0000-00004E410000}"/>
    <cellStyle name="Normal 2 2 2 2 5 7 14" xfId="16719" xr:uid="{00000000-0005-0000-0000-00004F410000}"/>
    <cellStyle name="Normal 2 2 2 2 5 7 2" xfId="16720" xr:uid="{00000000-0005-0000-0000-000050410000}"/>
    <cellStyle name="Normal 2 2 2 2 5 7 2 10" xfId="16721" xr:uid="{00000000-0005-0000-0000-000051410000}"/>
    <cellStyle name="Normal 2 2 2 2 5 7 2 2" xfId="16722" xr:uid="{00000000-0005-0000-0000-000052410000}"/>
    <cellStyle name="Normal 2 2 2 2 5 7 2 3" xfId="16723" xr:uid="{00000000-0005-0000-0000-000053410000}"/>
    <cellStyle name="Normal 2 2 2 2 5 7 2 4" xfId="16724" xr:uid="{00000000-0005-0000-0000-000054410000}"/>
    <cellStyle name="Normal 2 2 2 2 5 7 2 5" xfId="16725" xr:uid="{00000000-0005-0000-0000-000055410000}"/>
    <cellStyle name="Normal 2 2 2 2 5 7 2 6" xfId="16726" xr:uid="{00000000-0005-0000-0000-000056410000}"/>
    <cellStyle name="Normal 2 2 2 2 5 7 2 7" xfId="16727" xr:uid="{00000000-0005-0000-0000-000057410000}"/>
    <cellStyle name="Normal 2 2 2 2 5 7 2 8" xfId="16728" xr:uid="{00000000-0005-0000-0000-000058410000}"/>
    <cellStyle name="Normal 2 2 2 2 5 7 2 9" xfId="16729" xr:uid="{00000000-0005-0000-0000-000059410000}"/>
    <cellStyle name="Normal 2 2 2 2 5 7 3" xfId="16730" xr:uid="{00000000-0005-0000-0000-00005A410000}"/>
    <cellStyle name="Normal 2 2 2 2 5 7 3 10" xfId="16731" xr:uid="{00000000-0005-0000-0000-00005B410000}"/>
    <cellStyle name="Normal 2 2 2 2 5 7 3 2" xfId="16732" xr:uid="{00000000-0005-0000-0000-00005C410000}"/>
    <cellStyle name="Normal 2 2 2 2 5 7 3 3" xfId="16733" xr:uid="{00000000-0005-0000-0000-00005D410000}"/>
    <cellStyle name="Normal 2 2 2 2 5 7 3 4" xfId="16734" xr:uid="{00000000-0005-0000-0000-00005E410000}"/>
    <cellStyle name="Normal 2 2 2 2 5 7 3 5" xfId="16735" xr:uid="{00000000-0005-0000-0000-00005F410000}"/>
    <cellStyle name="Normal 2 2 2 2 5 7 3 6" xfId="16736" xr:uid="{00000000-0005-0000-0000-000060410000}"/>
    <cellStyle name="Normal 2 2 2 2 5 7 3 7" xfId="16737" xr:uid="{00000000-0005-0000-0000-000061410000}"/>
    <cellStyle name="Normal 2 2 2 2 5 7 3 8" xfId="16738" xr:uid="{00000000-0005-0000-0000-000062410000}"/>
    <cellStyle name="Normal 2 2 2 2 5 7 3 9" xfId="16739" xr:uid="{00000000-0005-0000-0000-000063410000}"/>
    <cellStyle name="Normal 2 2 2 2 5 7 4" xfId="16740" xr:uid="{00000000-0005-0000-0000-000064410000}"/>
    <cellStyle name="Normal 2 2 2 2 5 7 4 10" xfId="16741" xr:uid="{00000000-0005-0000-0000-000065410000}"/>
    <cellStyle name="Normal 2 2 2 2 5 7 4 2" xfId="16742" xr:uid="{00000000-0005-0000-0000-000066410000}"/>
    <cellStyle name="Normal 2 2 2 2 5 7 4 3" xfId="16743" xr:uid="{00000000-0005-0000-0000-000067410000}"/>
    <cellStyle name="Normal 2 2 2 2 5 7 4 4" xfId="16744" xr:uid="{00000000-0005-0000-0000-000068410000}"/>
    <cellStyle name="Normal 2 2 2 2 5 7 4 5" xfId="16745" xr:uid="{00000000-0005-0000-0000-000069410000}"/>
    <cellStyle name="Normal 2 2 2 2 5 7 4 6" xfId="16746" xr:uid="{00000000-0005-0000-0000-00006A410000}"/>
    <cellStyle name="Normal 2 2 2 2 5 7 4 7" xfId="16747" xr:uid="{00000000-0005-0000-0000-00006B410000}"/>
    <cellStyle name="Normal 2 2 2 2 5 7 4 8" xfId="16748" xr:uid="{00000000-0005-0000-0000-00006C410000}"/>
    <cellStyle name="Normal 2 2 2 2 5 7 4 9" xfId="16749" xr:uid="{00000000-0005-0000-0000-00006D410000}"/>
    <cellStyle name="Normal 2 2 2 2 5 7 5" xfId="16750" xr:uid="{00000000-0005-0000-0000-00006E410000}"/>
    <cellStyle name="Normal 2 2 2 2 5 7 5 10" xfId="16751" xr:uid="{00000000-0005-0000-0000-00006F410000}"/>
    <cellStyle name="Normal 2 2 2 2 5 7 5 2" xfId="16752" xr:uid="{00000000-0005-0000-0000-000070410000}"/>
    <cellStyle name="Normal 2 2 2 2 5 7 5 3" xfId="16753" xr:uid="{00000000-0005-0000-0000-000071410000}"/>
    <cellStyle name="Normal 2 2 2 2 5 7 5 4" xfId="16754" xr:uid="{00000000-0005-0000-0000-000072410000}"/>
    <cellStyle name="Normal 2 2 2 2 5 7 5 5" xfId="16755" xr:uid="{00000000-0005-0000-0000-000073410000}"/>
    <cellStyle name="Normal 2 2 2 2 5 7 5 6" xfId="16756" xr:uid="{00000000-0005-0000-0000-000074410000}"/>
    <cellStyle name="Normal 2 2 2 2 5 7 5 7" xfId="16757" xr:uid="{00000000-0005-0000-0000-000075410000}"/>
    <cellStyle name="Normal 2 2 2 2 5 7 5 8" xfId="16758" xr:uid="{00000000-0005-0000-0000-000076410000}"/>
    <cellStyle name="Normal 2 2 2 2 5 7 5 9" xfId="16759" xr:uid="{00000000-0005-0000-0000-000077410000}"/>
    <cellStyle name="Normal 2 2 2 2 5 7 6" xfId="16760" xr:uid="{00000000-0005-0000-0000-000078410000}"/>
    <cellStyle name="Normal 2 2 2 2 5 7 7" xfId="16761" xr:uid="{00000000-0005-0000-0000-000079410000}"/>
    <cellStyle name="Normal 2 2 2 2 5 7 8" xfId="16762" xr:uid="{00000000-0005-0000-0000-00007A410000}"/>
    <cellStyle name="Normal 2 2 2 2 5 7 9" xfId="16763" xr:uid="{00000000-0005-0000-0000-00007B410000}"/>
    <cellStyle name="Normal 2 2 2 2 5 8" xfId="16764" xr:uid="{00000000-0005-0000-0000-00007C410000}"/>
    <cellStyle name="Normal 2 2 2 2 5 8 10" xfId="16765" xr:uid="{00000000-0005-0000-0000-00007D410000}"/>
    <cellStyle name="Normal 2 2 2 2 5 8 11" xfId="16766" xr:uid="{00000000-0005-0000-0000-00007E410000}"/>
    <cellStyle name="Normal 2 2 2 2 5 8 12" xfId="16767" xr:uid="{00000000-0005-0000-0000-00007F410000}"/>
    <cellStyle name="Normal 2 2 2 2 5 8 13" xfId="16768" xr:uid="{00000000-0005-0000-0000-000080410000}"/>
    <cellStyle name="Normal 2 2 2 2 5 8 14" xfId="16769" xr:uid="{00000000-0005-0000-0000-000081410000}"/>
    <cellStyle name="Normal 2 2 2 2 5 8 2" xfId="16770" xr:uid="{00000000-0005-0000-0000-000082410000}"/>
    <cellStyle name="Normal 2 2 2 2 5 8 2 10" xfId="16771" xr:uid="{00000000-0005-0000-0000-000083410000}"/>
    <cellStyle name="Normal 2 2 2 2 5 8 2 2" xfId="16772" xr:uid="{00000000-0005-0000-0000-000084410000}"/>
    <cellStyle name="Normal 2 2 2 2 5 8 2 3" xfId="16773" xr:uid="{00000000-0005-0000-0000-000085410000}"/>
    <cellStyle name="Normal 2 2 2 2 5 8 2 4" xfId="16774" xr:uid="{00000000-0005-0000-0000-000086410000}"/>
    <cellStyle name="Normal 2 2 2 2 5 8 2 5" xfId="16775" xr:uid="{00000000-0005-0000-0000-000087410000}"/>
    <cellStyle name="Normal 2 2 2 2 5 8 2 6" xfId="16776" xr:uid="{00000000-0005-0000-0000-000088410000}"/>
    <cellStyle name="Normal 2 2 2 2 5 8 2 7" xfId="16777" xr:uid="{00000000-0005-0000-0000-000089410000}"/>
    <cellStyle name="Normal 2 2 2 2 5 8 2 8" xfId="16778" xr:uid="{00000000-0005-0000-0000-00008A410000}"/>
    <cellStyle name="Normal 2 2 2 2 5 8 2 9" xfId="16779" xr:uid="{00000000-0005-0000-0000-00008B410000}"/>
    <cellStyle name="Normal 2 2 2 2 5 8 3" xfId="16780" xr:uid="{00000000-0005-0000-0000-00008C410000}"/>
    <cellStyle name="Normal 2 2 2 2 5 8 3 10" xfId="16781" xr:uid="{00000000-0005-0000-0000-00008D410000}"/>
    <cellStyle name="Normal 2 2 2 2 5 8 3 2" xfId="16782" xr:uid="{00000000-0005-0000-0000-00008E410000}"/>
    <cellStyle name="Normal 2 2 2 2 5 8 3 3" xfId="16783" xr:uid="{00000000-0005-0000-0000-00008F410000}"/>
    <cellStyle name="Normal 2 2 2 2 5 8 3 4" xfId="16784" xr:uid="{00000000-0005-0000-0000-000090410000}"/>
    <cellStyle name="Normal 2 2 2 2 5 8 3 5" xfId="16785" xr:uid="{00000000-0005-0000-0000-000091410000}"/>
    <cellStyle name="Normal 2 2 2 2 5 8 3 6" xfId="16786" xr:uid="{00000000-0005-0000-0000-000092410000}"/>
    <cellStyle name="Normal 2 2 2 2 5 8 3 7" xfId="16787" xr:uid="{00000000-0005-0000-0000-000093410000}"/>
    <cellStyle name="Normal 2 2 2 2 5 8 3 8" xfId="16788" xr:uid="{00000000-0005-0000-0000-000094410000}"/>
    <cellStyle name="Normal 2 2 2 2 5 8 3 9" xfId="16789" xr:uid="{00000000-0005-0000-0000-000095410000}"/>
    <cellStyle name="Normal 2 2 2 2 5 8 4" xfId="16790" xr:uid="{00000000-0005-0000-0000-000096410000}"/>
    <cellStyle name="Normal 2 2 2 2 5 8 4 10" xfId="16791" xr:uid="{00000000-0005-0000-0000-000097410000}"/>
    <cellStyle name="Normal 2 2 2 2 5 8 4 2" xfId="16792" xr:uid="{00000000-0005-0000-0000-000098410000}"/>
    <cellStyle name="Normal 2 2 2 2 5 8 4 3" xfId="16793" xr:uid="{00000000-0005-0000-0000-000099410000}"/>
    <cellStyle name="Normal 2 2 2 2 5 8 4 4" xfId="16794" xr:uid="{00000000-0005-0000-0000-00009A410000}"/>
    <cellStyle name="Normal 2 2 2 2 5 8 4 5" xfId="16795" xr:uid="{00000000-0005-0000-0000-00009B410000}"/>
    <cellStyle name="Normal 2 2 2 2 5 8 4 6" xfId="16796" xr:uid="{00000000-0005-0000-0000-00009C410000}"/>
    <cellStyle name="Normal 2 2 2 2 5 8 4 7" xfId="16797" xr:uid="{00000000-0005-0000-0000-00009D410000}"/>
    <cellStyle name="Normal 2 2 2 2 5 8 4 8" xfId="16798" xr:uid="{00000000-0005-0000-0000-00009E410000}"/>
    <cellStyle name="Normal 2 2 2 2 5 8 4 9" xfId="16799" xr:uid="{00000000-0005-0000-0000-00009F410000}"/>
    <cellStyle name="Normal 2 2 2 2 5 8 5" xfId="16800" xr:uid="{00000000-0005-0000-0000-0000A0410000}"/>
    <cellStyle name="Normal 2 2 2 2 5 8 5 10" xfId="16801" xr:uid="{00000000-0005-0000-0000-0000A1410000}"/>
    <cellStyle name="Normal 2 2 2 2 5 8 5 2" xfId="16802" xr:uid="{00000000-0005-0000-0000-0000A2410000}"/>
    <cellStyle name="Normal 2 2 2 2 5 8 5 3" xfId="16803" xr:uid="{00000000-0005-0000-0000-0000A3410000}"/>
    <cellStyle name="Normal 2 2 2 2 5 8 5 4" xfId="16804" xr:uid="{00000000-0005-0000-0000-0000A4410000}"/>
    <cellStyle name="Normal 2 2 2 2 5 8 5 5" xfId="16805" xr:uid="{00000000-0005-0000-0000-0000A5410000}"/>
    <cellStyle name="Normal 2 2 2 2 5 8 5 6" xfId="16806" xr:uid="{00000000-0005-0000-0000-0000A6410000}"/>
    <cellStyle name="Normal 2 2 2 2 5 8 5 7" xfId="16807" xr:uid="{00000000-0005-0000-0000-0000A7410000}"/>
    <cellStyle name="Normal 2 2 2 2 5 8 5 8" xfId="16808" xr:uid="{00000000-0005-0000-0000-0000A8410000}"/>
    <cellStyle name="Normal 2 2 2 2 5 8 5 9" xfId="16809" xr:uid="{00000000-0005-0000-0000-0000A9410000}"/>
    <cellStyle name="Normal 2 2 2 2 5 8 6" xfId="16810" xr:uid="{00000000-0005-0000-0000-0000AA410000}"/>
    <cellStyle name="Normal 2 2 2 2 5 8 7" xfId="16811" xr:uid="{00000000-0005-0000-0000-0000AB410000}"/>
    <cellStyle name="Normal 2 2 2 2 5 8 8" xfId="16812" xr:uid="{00000000-0005-0000-0000-0000AC410000}"/>
    <cellStyle name="Normal 2 2 2 2 5 8 9" xfId="16813" xr:uid="{00000000-0005-0000-0000-0000AD410000}"/>
    <cellStyle name="Normal 2 2 2 2 5 9" xfId="16814" xr:uid="{00000000-0005-0000-0000-0000AE410000}"/>
    <cellStyle name="Normal 2 2 2 2 5 9 10" xfId="16815" xr:uid="{00000000-0005-0000-0000-0000AF410000}"/>
    <cellStyle name="Normal 2 2 2 2 5 9 11" xfId="16816" xr:uid="{00000000-0005-0000-0000-0000B0410000}"/>
    <cellStyle name="Normal 2 2 2 2 5 9 12" xfId="16817" xr:uid="{00000000-0005-0000-0000-0000B1410000}"/>
    <cellStyle name="Normal 2 2 2 2 5 9 13" xfId="16818" xr:uid="{00000000-0005-0000-0000-0000B2410000}"/>
    <cellStyle name="Normal 2 2 2 2 5 9 14" xfId="16819" xr:uid="{00000000-0005-0000-0000-0000B3410000}"/>
    <cellStyle name="Normal 2 2 2 2 5 9 2" xfId="16820" xr:uid="{00000000-0005-0000-0000-0000B4410000}"/>
    <cellStyle name="Normal 2 2 2 2 5 9 2 10" xfId="16821" xr:uid="{00000000-0005-0000-0000-0000B5410000}"/>
    <cellStyle name="Normal 2 2 2 2 5 9 2 2" xfId="16822" xr:uid="{00000000-0005-0000-0000-0000B6410000}"/>
    <cellStyle name="Normal 2 2 2 2 5 9 2 3" xfId="16823" xr:uid="{00000000-0005-0000-0000-0000B7410000}"/>
    <cellStyle name="Normal 2 2 2 2 5 9 2 4" xfId="16824" xr:uid="{00000000-0005-0000-0000-0000B8410000}"/>
    <cellStyle name="Normal 2 2 2 2 5 9 2 5" xfId="16825" xr:uid="{00000000-0005-0000-0000-0000B9410000}"/>
    <cellStyle name="Normal 2 2 2 2 5 9 2 6" xfId="16826" xr:uid="{00000000-0005-0000-0000-0000BA410000}"/>
    <cellStyle name="Normal 2 2 2 2 5 9 2 7" xfId="16827" xr:uid="{00000000-0005-0000-0000-0000BB410000}"/>
    <cellStyle name="Normal 2 2 2 2 5 9 2 8" xfId="16828" xr:uid="{00000000-0005-0000-0000-0000BC410000}"/>
    <cellStyle name="Normal 2 2 2 2 5 9 2 9" xfId="16829" xr:uid="{00000000-0005-0000-0000-0000BD410000}"/>
    <cellStyle name="Normal 2 2 2 2 5 9 3" xfId="16830" xr:uid="{00000000-0005-0000-0000-0000BE410000}"/>
    <cellStyle name="Normal 2 2 2 2 5 9 3 10" xfId="16831" xr:uid="{00000000-0005-0000-0000-0000BF410000}"/>
    <cellStyle name="Normal 2 2 2 2 5 9 3 2" xfId="16832" xr:uid="{00000000-0005-0000-0000-0000C0410000}"/>
    <cellStyle name="Normal 2 2 2 2 5 9 3 3" xfId="16833" xr:uid="{00000000-0005-0000-0000-0000C1410000}"/>
    <cellStyle name="Normal 2 2 2 2 5 9 3 4" xfId="16834" xr:uid="{00000000-0005-0000-0000-0000C2410000}"/>
    <cellStyle name="Normal 2 2 2 2 5 9 3 5" xfId="16835" xr:uid="{00000000-0005-0000-0000-0000C3410000}"/>
    <cellStyle name="Normal 2 2 2 2 5 9 3 6" xfId="16836" xr:uid="{00000000-0005-0000-0000-0000C4410000}"/>
    <cellStyle name="Normal 2 2 2 2 5 9 3 7" xfId="16837" xr:uid="{00000000-0005-0000-0000-0000C5410000}"/>
    <cellStyle name="Normal 2 2 2 2 5 9 3 8" xfId="16838" xr:uid="{00000000-0005-0000-0000-0000C6410000}"/>
    <cellStyle name="Normal 2 2 2 2 5 9 3 9" xfId="16839" xr:uid="{00000000-0005-0000-0000-0000C7410000}"/>
    <cellStyle name="Normal 2 2 2 2 5 9 4" xfId="16840" xr:uid="{00000000-0005-0000-0000-0000C8410000}"/>
    <cellStyle name="Normal 2 2 2 2 5 9 4 10" xfId="16841" xr:uid="{00000000-0005-0000-0000-0000C9410000}"/>
    <cellStyle name="Normal 2 2 2 2 5 9 4 2" xfId="16842" xr:uid="{00000000-0005-0000-0000-0000CA410000}"/>
    <cellStyle name="Normal 2 2 2 2 5 9 4 3" xfId="16843" xr:uid="{00000000-0005-0000-0000-0000CB410000}"/>
    <cellStyle name="Normal 2 2 2 2 5 9 4 4" xfId="16844" xr:uid="{00000000-0005-0000-0000-0000CC410000}"/>
    <cellStyle name="Normal 2 2 2 2 5 9 4 5" xfId="16845" xr:uid="{00000000-0005-0000-0000-0000CD410000}"/>
    <cellStyle name="Normal 2 2 2 2 5 9 4 6" xfId="16846" xr:uid="{00000000-0005-0000-0000-0000CE410000}"/>
    <cellStyle name="Normal 2 2 2 2 5 9 4 7" xfId="16847" xr:uid="{00000000-0005-0000-0000-0000CF410000}"/>
    <cellStyle name="Normal 2 2 2 2 5 9 4 8" xfId="16848" xr:uid="{00000000-0005-0000-0000-0000D0410000}"/>
    <cellStyle name="Normal 2 2 2 2 5 9 4 9" xfId="16849" xr:uid="{00000000-0005-0000-0000-0000D1410000}"/>
    <cellStyle name="Normal 2 2 2 2 5 9 5" xfId="16850" xr:uid="{00000000-0005-0000-0000-0000D2410000}"/>
    <cellStyle name="Normal 2 2 2 2 5 9 5 10" xfId="16851" xr:uid="{00000000-0005-0000-0000-0000D3410000}"/>
    <cellStyle name="Normal 2 2 2 2 5 9 5 2" xfId="16852" xr:uid="{00000000-0005-0000-0000-0000D4410000}"/>
    <cellStyle name="Normal 2 2 2 2 5 9 5 3" xfId="16853" xr:uid="{00000000-0005-0000-0000-0000D5410000}"/>
    <cellStyle name="Normal 2 2 2 2 5 9 5 4" xfId="16854" xr:uid="{00000000-0005-0000-0000-0000D6410000}"/>
    <cellStyle name="Normal 2 2 2 2 5 9 5 5" xfId="16855" xr:uid="{00000000-0005-0000-0000-0000D7410000}"/>
    <cellStyle name="Normal 2 2 2 2 5 9 5 6" xfId="16856" xr:uid="{00000000-0005-0000-0000-0000D8410000}"/>
    <cellStyle name="Normal 2 2 2 2 5 9 5 7" xfId="16857" xr:uid="{00000000-0005-0000-0000-0000D9410000}"/>
    <cellStyle name="Normal 2 2 2 2 5 9 5 8" xfId="16858" xr:uid="{00000000-0005-0000-0000-0000DA410000}"/>
    <cellStyle name="Normal 2 2 2 2 5 9 5 9" xfId="16859" xr:uid="{00000000-0005-0000-0000-0000DB410000}"/>
    <cellStyle name="Normal 2 2 2 2 5 9 6" xfId="16860" xr:uid="{00000000-0005-0000-0000-0000DC410000}"/>
    <cellStyle name="Normal 2 2 2 2 5 9 7" xfId="16861" xr:uid="{00000000-0005-0000-0000-0000DD410000}"/>
    <cellStyle name="Normal 2 2 2 2 5 9 8" xfId="16862" xr:uid="{00000000-0005-0000-0000-0000DE410000}"/>
    <cellStyle name="Normal 2 2 2 2 5 9 9" xfId="16863" xr:uid="{00000000-0005-0000-0000-0000DF410000}"/>
    <cellStyle name="Normal 2 2 2 2 50" xfId="16864" xr:uid="{00000000-0005-0000-0000-0000E0410000}"/>
    <cellStyle name="Normal 2 2 2 2 51" xfId="16865" xr:uid="{00000000-0005-0000-0000-0000E1410000}"/>
    <cellStyle name="Normal 2 2 2 2 6" xfId="16866" xr:uid="{00000000-0005-0000-0000-0000E2410000}"/>
    <cellStyle name="Normal 2 2 2 2 6 2" xfId="16867" xr:uid="{00000000-0005-0000-0000-0000E3410000}"/>
    <cellStyle name="Normal 2 2 2 2 7" xfId="16868" xr:uid="{00000000-0005-0000-0000-0000E4410000}"/>
    <cellStyle name="Normal 2 2 2 2 8" xfId="16869" xr:uid="{00000000-0005-0000-0000-0000E5410000}"/>
    <cellStyle name="Normal 2 2 2 2 9" xfId="16870" xr:uid="{00000000-0005-0000-0000-0000E6410000}"/>
    <cellStyle name="Normal 2 2 2 20" xfId="16871" xr:uid="{00000000-0005-0000-0000-0000E7410000}"/>
    <cellStyle name="Normal 2 2 2 20 10" xfId="16872" xr:uid="{00000000-0005-0000-0000-0000E8410000}"/>
    <cellStyle name="Normal 2 2 2 20 11" xfId="16873" xr:uid="{00000000-0005-0000-0000-0000E9410000}"/>
    <cellStyle name="Normal 2 2 2 20 12" xfId="16874" xr:uid="{00000000-0005-0000-0000-0000EA410000}"/>
    <cellStyle name="Normal 2 2 2 20 13" xfId="16875" xr:uid="{00000000-0005-0000-0000-0000EB410000}"/>
    <cellStyle name="Normal 2 2 2 20 14" xfId="16876" xr:uid="{00000000-0005-0000-0000-0000EC410000}"/>
    <cellStyle name="Normal 2 2 2 20 2" xfId="16877" xr:uid="{00000000-0005-0000-0000-0000ED410000}"/>
    <cellStyle name="Normal 2 2 2 20 2 10" xfId="16878" xr:uid="{00000000-0005-0000-0000-0000EE410000}"/>
    <cellStyle name="Normal 2 2 2 20 2 2" xfId="16879" xr:uid="{00000000-0005-0000-0000-0000EF410000}"/>
    <cellStyle name="Normal 2 2 2 20 2 3" xfId="16880" xr:uid="{00000000-0005-0000-0000-0000F0410000}"/>
    <cellStyle name="Normal 2 2 2 20 2 4" xfId="16881" xr:uid="{00000000-0005-0000-0000-0000F1410000}"/>
    <cellStyle name="Normal 2 2 2 20 2 5" xfId="16882" xr:uid="{00000000-0005-0000-0000-0000F2410000}"/>
    <cellStyle name="Normal 2 2 2 20 2 6" xfId="16883" xr:uid="{00000000-0005-0000-0000-0000F3410000}"/>
    <cellStyle name="Normal 2 2 2 20 2 7" xfId="16884" xr:uid="{00000000-0005-0000-0000-0000F4410000}"/>
    <cellStyle name="Normal 2 2 2 20 2 8" xfId="16885" xr:uid="{00000000-0005-0000-0000-0000F5410000}"/>
    <cellStyle name="Normal 2 2 2 20 2 9" xfId="16886" xr:uid="{00000000-0005-0000-0000-0000F6410000}"/>
    <cellStyle name="Normal 2 2 2 20 3" xfId="16887" xr:uid="{00000000-0005-0000-0000-0000F7410000}"/>
    <cellStyle name="Normal 2 2 2 20 3 10" xfId="16888" xr:uid="{00000000-0005-0000-0000-0000F8410000}"/>
    <cellStyle name="Normal 2 2 2 20 3 2" xfId="16889" xr:uid="{00000000-0005-0000-0000-0000F9410000}"/>
    <cellStyle name="Normal 2 2 2 20 3 3" xfId="16890" xr:uid="{00000000-0005-0000-0000-0000FA410000}"/>
    <cellStyle name="Normal 2 2 2 20 3 4" xfId="16891" xr:uid="{00000000-0005-0000-0000-0000FB410000}"/>
    <cellStyle name="Normal 2 2 2 20 3 5" xfId="16892" xr:uid="{00000000-0005-0000-0000-0000FC410000}"/>
    <cellStyle name="Normal 2 2 2 20 3 6" xfId="16893" xr:uid="{00000000-0005-0000-0000-0000FD410000}"/>
    <cellStyle name="Normal 2 2 2 20 3 7" xfId="16894" xr:uid="{00000000-0005-0000-0000-0000FE410000}"/>
    <cellStyle name="Normal 2 2 2 20 3 8" xfId="16895" xr:uid="{00000000-0005-0000-0000-0000FF410000}"/>
    <cellStyle name="Normal 2 2 2 20 3 9" xfId="16896" xr:uid="{00000000-0005-0000-0000-000000420000}"/>
    <cellStyle name="Normal 2 2 2 20 4" xfId="16897" xr:uid="{00000000-0005-0000-0000-000001420000}"/>
    <cellStyle name="Normal 2 2 2 20 4 10" xfId="16898" xr:uid="{00000000-0005-0000-0000-000002420000}"/>
    <cellStyle name="Normal 2 2 2 20 4 2" xfId="16899" xr:uid="{00000000-0005-0000-0000-000003420000}"/>
    <cellStyle name="Normal 2 2 2 20 4 3" xfId="16900" xr:uid="{00000000-0005-0000-0000-000004420000}"/>
    <cellStyle name="Normal 2 2 2 20 4 4" xfId="16901" xr:uid="{00000000-0005-0000-0000-000005420000}"/>
    <cellStyle name="Normal 2 2 2 20 4 5" xfId="16902" xr:uid="{00000000-0005-0000-0000-000006420000}"/>
    <cellStyle name="Normal 2 2 2 20 4 6" xfId="16903" xr:uid="{00000000-0005-0000-0000-000007420000}"/>
    <cellStyle name="Normal 2 2 2 20 4 7" xfId="16904" xr:uid="{00000000-0005-0000-0000-000008420000}"/>
    <cellStyle name="Normal 2 2 2 20 4 8" xfId="16905" xr:uid="{00000000-0005-0000-0000-000009420000}"/>
    <cellStyle name="Normal 2 2 2 20 4 9" xfId="16906" xr:uid="{00000000-0005-0000-0000-00000A420000}"/>
    <cellStyle name="Normal 2 2 2 20 5" xfId="16907" xr:uid="{00000000-0005-0000-0000-00000B420000}"/>
    <cellStyle name="Normal 2 2 2 20 5 10" xfId="16908" xr:uid="{00000000-0005-0000-0000-00000C420000}"/>
    <cellStyle name="Normal 2 2 2 20 5 2" xfId="16909" xr:uid="{00000000-0005-0000-0000-00000D420000}"/>
    <cellStyle name="Normal 2 2 2 20 5 3" xfId="16910" xr:uid="{00000000-0005-0000-0000-00000E420000}"/>
    <cellStyle name="Normal 2 2 2 20 5 4" xfId="16911" xr:uid="{00000000-0005-0000-0000-00000F420000}"/>
    <cellStyle name="Normal 2 2 2 20 5 5" xfId="16912" xr:uid="{00000000-0005-0000-0000-000010420000}"/>
    <cellStyle name="Normal 2 2 2 20 5 6" xfId="16913" xr:uid="{00000000-0005-0000-0000-000011420000}"/>
    <cellStyle name="Normal 2 2 2 20 5 7" xfId="16914" xr:uid="{00000000-0005-0000-0000-000012420000}"/>
    <cellStyle name="Normal 2 2 2 20 5 8" xfId="16915" xr:uid="{00000000-0005-0000-0000-000013420000}"/>
    <cellStyle name="Normal 2 2 2 20 5 9" xfId="16916" xr:uid="{00000000-0005-0000-0000-000014420000}"/>
    <cellStyle name="Normal 2 2 2 20 6" xfId="16917" xr:uid="{00000000-0005-0000-0000-000015420000}"/>
    <cellStyle name="Normal 2 2 2 20 7" xfId="16918" xr:uid="{00000000-0005-0000-0000-000016420000}"/>
    <cellStyle name="Normal 2 2 2 20 8" xfId="16919" xr:uid="{00000000-0005-0000-0000-000017420000}"/>
    <cellStyle name="Normal 2 2 2 20 9" xfId="16920" xr:uid="{00000000-0005-0000-0000-000018420000}"/>
    <cellStyle name="Normal 2 2 2 21" xfId="16921" xr:uid="{00000000-0005-0000-0000-000019420000}"/>
    <cellStyle name="Normal 2 2 2 21 10" xfId="16922" xr:uid="{00000000-0005-0000-0000-00001A420000}"/>
    <cellStyle name="Normal 2 2 2 21 11" xfId="16923" xr:uid="{00000000-0005-0000-0000-00001B420000}"/>
    <cellStyle name="Normal 2 2 2 21 12" xfId="16924" xr:uid="{00000000-0005-0000-0000-00001C420000}"/>
    <cellStyle name="Normal 2 2 2 21 13" xfId="16925" xr:uid="{00000000-0005-0000-0000-00001D420000}"/>
    <cellStyle name="Normal 2 2 2 21 14" xfId="16926" xr:uid="{00000000-0005-0000-0000-00001E420000}"/>
    <cellStyle name="Normal 2 2 2 21 2" xfId="16927" xr:uid="{00000000-0005-0000-0000-00001F420000}"/>
    <cellStyle name="Normal 2 2 2 21 2 10" xfId="16928" xr:uid="{00000000-0005-0000-0000-000020420000}"/>
    <cellStyle name="Normal 2 2 2 21 2 2" xfId="16929" xr:uid="{00000000-0005-0000-0000-000021420000}"/>
    <cellStyle name="Normal 2 2 2 21 2 3" xfId="16930" xr:uid="{00000000-0005-0000-0000-000022420000}"/>
    <cellStyle name="Normal 2 2 2 21 2 4" xfId="16931" xr:uid="{00000000-0005-0000-0000-000023420000}"/>
    <cellStyle name="Normal 2 2 2 21 2 5" xfId="16932" xr:uid="{00000000-0005-0000-0000-000024420000}"/>
    <cellStyle name="Normal 2 2 2 21 2 6" xfId="16933" xr:uid="{00000000-0005-0000-0000-000025420000}"/>
    <cellStyle name="Normal 2 2 2 21 2 7" xfId="16934" xr:uid="{00000000-0005-0000-0000-000026420000}"/>
    <cellStyle name="Normal 2 2 2 21 2 8" xfId="16935" xr:uid="{00000000-0005-0000-0000-000027420000}"/>
    <cellStyle name="Normal 2 2 2 21 2 9" xfId="16936" xr:uid="{00000000-0005-0000-0000-000028420000}"/>
    <cellStyle name="Normal 2 2 2 21 3" xfId="16937" xr:uid="{00000000-0005-0000-0000-000029420000}"/>
    <cellStyle name="Normal 2 2 2 21 3 10" xfId="16938" xr:uid="{00000000-0005-0000-0000-00002A420000}"/>
    <cellStyle name="Normal 2 2 2 21 3 2" xfId="16939" xr:uid="{00000000-0005-0000-0000-00002B420000}"/>
    <cellStyle name="Normal 2 2 2 21 3 3" xfId="16940" xr:uid="{00000000-0005-0000-0000-00002C420000}"/>
    <cellStyle name="Normal 2 2 2 21 3 4" xfId="16941" xr:uid="{00000000-0005-0000-0000-00002D420000}"/>
    <cellStyle name="Normal 2 2 2 21 3 5" xfId="16942" xr:uid="{00000000-0005-0000-0000-00002E420000}"/>
    <cellStyle name="Normal 2 2 2 21 3 6" xfId="16943" xr:uid="{00000000-0005-0000-0000-00002F420000}"/>
    <cellStyle name="Normal 2 2 2 21 3 7" xfId="16944" xr:uid="{00000000-0005-0000-0000-000030420000}"/>
    <cellStyle name="Normal 2 2 2 21 3 8" xfId="16945" xr:uid="{00000000-0005-0000-0000-000031420000}"/>
    <cellStyle name="Normal 2 2 2 21 3 9" xfId="16946" xr:uid="{00000000-0005-0000-0000-000032420000}"/>
    <cellStyle name="Normal 2 2 2 21 4" xfId="16947" xr:uid="{00000000-0005-0000-0000-000033420000}"/>
    <cellStyle name="Normal 2 2 2 21 4 10" xfId="16948" xr:uid="{00000000-0005-0000-0000-000034420000}"/>
    <cellStyle name="Normal 2 2 2 21 4 2" xfId="16949" xr:uid="{00000000-0005-0000-0000-000035420000}"/>
    <cellStyle name="Normal 2 2 2 21 4 3" xfId="16950" xr:uid="{00000000-0005-0000-0000-000036420000}"/>
    <cellStyle name="Normal 2 2 2 21 4 4" xfId="16951" xr:uid="{00000000-0005-0000-0000-000037420000}"/>
    <cellStyle name="Normal 2 2 2 21 4 5" xfId="16952" xr:uid="{00000000-0005-0000-0000-000038420000}"/>
    <cellStyle name="Normal 2 2 2 21 4 6" xfId="16953" xr:uid="{00000000-0005-0000-0000-000039420000}"/>
    <cellStyle name="Normal 2 2 2 21 4 7" xfId="16954" xr:uid="{00000000-0005-0000-0000-00003A420000}"/>
    <cellStyle name="Normal 2 2 2 21 4 8" xfId="16955" xr:uid="{00000000-0005-0000-0000-00003B420000}"/>
    <cellStyle name="Normal 2 2 2 21 4 9" xfId="16956" xr:uid="{00000000-0005-0000-0000-00003C420000}"/>
    <cellStyle name="Normal 2 2 2 21 5" xfId="16957" xr:uid="{00000000-0005-0000-0000-00003D420000}"/>
    <cellStyle name="Normal 2 2 2 21 5 10" xfId="16958" xr:uid="{00000000-0005-0000-0000-00003E420000}"/>
    <cellStyle name="Normal 2 2 2 21 5 2" xfId="16959" xr:uid="{00000000-0005-0000-0000-00003F420000}"/>
    <cellStyle name="Normal 2 2 2 21 5 3" xfId="16960" xr:uid="{00000000-0005-0000-0000-000040420000}"/>
    <cellStyle name="Normal 2 2 2 21 5 4" xfId="16961" xr:uid="{00000000-0005-0000-0000-000041420000}"/>
    <cellStyle name="Normal 2 2 2 21 5 5" xfId="16962" xr:uid="{00000000-0005-0000-0000-000042420000}"/>
    <cellStyle name="Normal 2 2 2 21 5 6" xfId="16963" xr:uid="{00000000-0005-0000-0000-000043420000}"/>
    <cellStyle name="Normal 2 2 2 21 5 7" xfId="16964" xr:uid="{00000000-0005-0000-0000-000044420000}"/>
    <cellStyle name="Normal 2 2 2 21 5 8" xfId="16965" xr:uid="{00000000-0005-0000-0000-000045420000}"/>
    <cellStyle name="Normal 2 2 2 21 5 9" xfId="16966" xr:uid="{00000000-0005-0000-0000-000046420000}"/>
    <cellStyle name="Normal 2 2 2 21 6" xfId="16967" xr:uid="{00000000-0005-0000-0000-000047420000}"/>
    <cellStyle name="Normal 2 2 2 21 7" xfId="16968" xr:uid="{00000000-0005-0000-0000-000048420000}"/>
    <cellStyle name="Normal 2 2 2 21 8" xfId="16969" xr:uid="{00000000-0005-0000-0000-000049420000}"/>
    <cellStyle name="Normal 2 2 2 21 9" xfId="16970" xr:uid="{00000000-0005-0000-0000-00004A420000}"/>
    <cellStyle name="Normal 2 2 2 22" xfId="16971" xr:uid="{00000000-0005-0000-0000-00004B420000}"/>
    <cellStyle name="Normal 2 2 2 22 10" xfId="16972" xr:uid="{00000000-0005-0000-0000-00004C420000}"/>
    <cellStyle name="Normal 2 2 2 22 11" xfId="16973" xr:uid="{00000000-0005-0000-0000-00004D420000}"/>
    <cellStyle name="Normal 2 2 2 22 12" xfId="16974" xr:uid="{00000000-0005-0000-0000-00004E420000}"/>
    <cellStyle name="Normal 2 2 2 22 13" xfId="16975" xr:uid="{00000000-0005-0000-0000-00004F420000}"/>
    <cellStyle name="Normal 2 2 2 22 14" xfId="16976" xr:uid="{00000000-0005-0000-0000-000050420000}"/>
    <cellStyle name="Normal 2 2 2 22 2" xfId="16977" xr:uid="{00000000-0005-0000-0000-000051420000}"/>
    <cellStyle name="Normal 2 2 2 22 2 10" xfId="16978" xr:uid="{00000000-0005-0000-0000-000052420000}"/>
    <cellStyle name="Normal 2 2 2 22 2 2" xfId="16979" xr:uid="{00000000-0005-0000-0000-000053420000}"/>
    <cellStyle name="Normal 2 2 2 22 2 3" xfId="16980" xr:uid="{00000000-0005-0000-0000-000054420000}"/>
    <cellStyle name="Normal 2 2 2 22 2 4" xfId="16981" xr:uid="{00000000-0005-0000-0000-000055420000}"/>
    <cellStyle name="Normal 2 2 2 22 2 5" xfId="16982" xr:uid="{00000000-0005-0000-0000-000056420000}"/>
    <cellStyle name="Normal 2 2 2 22 2 6" xfId="16983" xr:uid="{00000000-0005-0000-0000-000057420000}"/>
    <cellStyle name="Normal 2 2 2 22 2 7" xfId="16984" xr:uid="{00000000-0005-0000-0000-000058420000}"/>
    <cellStyle name="Normal 2 2 2 22 2 8" xfId="16985" xr:uid="{00000000-0005-0000-0000-000059420000}"/>
    <cellStyle name="Normal 2 2 2 22 2 9" xfId="16986" xr:uid="{00000000-0005-0000-0000-00005A420000}"/>
    <cellStyle name="Normal 2 2 2 22 3" xfId="16987" xr:uid="{00000000-0005-0000-0000-00005B420000}"/>
    <cellStyle name="Normal 2 2 2 22 3 10" xfId="16988" xr:uid="{00000000-0005-0000-0000-00005C420000}"/>
    <cellStyle name="Normal 2 2 2 22 3 2" xfId="16989" xr:uid="{00000000-0005-0000-0000-00005D420000}"/>
    <cellStyle name="Normal 2 2 2 22 3 3" xfId="16990" xr:uid="{00000000-0005-0000-0000-00005E420000}"/>
    <cellStyle name="Normal 2 2 2 22 3 4" xfId="16991" xr:uid="{00000000-0005-0000-0000-00005F420000}"/>
    <cellStyle name="Normal 2 2 2 22 3 5" xfId="16992" xr:uid="{00000000-0005-0000-0000-000060420000}"/>
    <cellStyle name="Normal 2 2 2 22 3 6" xfId="16993" xr:uid="{00000000-0005-0000-0000-000061420000}"/>
    <cellStyle name="Normal 2 2 2 22 3 7" xfId="16994" xr:uid="{00000000-0005-0000-0000-000062420000}"/>
    <cellStyle name="Normal 2 2 2 22 3 8" xfId="16995" xr:uid="{00000000-0005-0000-0000-000063420000}"/>
    <cellStyle name="Normal 2 2 2 22 3 9" xfId="16996" xr:uid="{00000000-0005-0000-0000-000064420000}"/>
    <cellStyle name="Normal 2 2 2 22 4" xfId="16997" xr:uid="{00000000-0005-0000-0000-000065420000}"/>
    <cellStyle name="Normal 2 2 2 22 4 10" xfId="16998" xr:uid="{00000000-0005-0000-0000-000066420000}"/>
    <cellStyle name="Normal 2 2 2 22 4 2" xfId="16999" xr:uid="{00000000-0005-0000-0000-000067420000}"/>
    <cellStyle name="Normal 2 2 2 22 4 3" xfId="17000" xr:uid="{00000000-0005-0000-0000-000068420000}"/>
    <cellStyle name="Normal 2 2 2 22 4 4" xfId="17001" xr:uid="{00000000-0005-0000-0000-000069420000}"/>
    <cellStyle name="Normal 2 2 2 22 4 5" xfId="17002" xr:uid="{00000000-0005-0000-0000-00006A420000}"/>
    <cellStyle name="Normal 2 2 2 22 4 6" xfId="17003" xr:uid="{00000000-0005-0000-0000-00006B420000}"/>
    <cellStyle name="Normal 2 2 2 22 4 7" xfId="17004" xr:uid="{00000000-0005-0000-0000-00006C420000}"/>
    <cellStyle name="Normal 2 2 2 22 4 8" xfId="17005" xr:uid="{00000000-0005-0000-0000-00006D420000}"/>
    <cellStyle name="Normal 2 2 2 22 4 9" xfId="17006" xr:uid="{00000000-0005-0000-0000-00006E420000}"/>
    <cellStyle name="Normal 2 2 2 22 5" xfId="17007" xr:uid="{00000000-0005-0000-0000-00006F420000}"/>
    <cellStyle name="Normal 2 2 2 22 5 10" xfId="17008" xr:uid="{00000000-0005-0000-0000-000070420000}"/>
    <cellStyle name="Normal 2 2 2 22 5 2" xfId="17009" xr:uid="{00000000-0005-0000-0000-000071420000}"/>
    <cellStyle name="Normal 2 2 2 22 5 3" xfId="17010" xr:uid="{00000000-0005-0000-0000-000072420000}"/>
    <cellStyle name="Normal 2 2 2 22 5 4" xfId="17011" xr:uid="{00000000-0005-0000-0000-000073420000}"/>
    <cellStyle name="Normal 2 2 2 22 5 5" xfId="17012" xr:uid="{00000000-0005-0000-0000-000074420000}"/>
    <cellStyle name="Normal 2 2 2 22 5 6" xfId="17013" xr:uid="{00000000-0005-0000-0000-000075420000}"/>
    <cellStyle name="Normal 2 2 2 22 5 7" xfId="17014" xr:uid="{00000000-0005-0000-0000-000076420000}"/>
    <cellStyle name="Normal 2 2 2 22 5 8" xfId="17015" xr:uid="{00000000-0005-0000-0000-000077420000}"/>
    <cellStyle name="Normal 2 2 2 22 5 9" xfId="17016" xr:uid="{00000000-0005-0000-0000-000078420000}"/>
    <cellStyle name="Normal 2 2 2 22 6" xfId="17017" xr:uid="{00000000-0005-0000-0000-000079420000}"/>
    <cellStyle name="Normal 2 2 2 22 7" xfId="17018" xr:uid="{00000000-0005-0000-0000-00007A420000}"/>
    <cellStyle name="Normal 2 2 2 22 8" xfId="17019" xr:uid="{00000000-0005-0000-0000-00007B420000}"/>
    <cellStyle name="Normal 2 2 2 22 9" xfId="17020" xr:uid="{00000000-0005-0000-0000-00007C420000}"/>
    <cellStyle name="Normal 2 2 2 23" xfId="17021" xr:uid="{00000000-0005-0000-0000-00007D420000}"/>
    <cellStyle name="Normal 2 2 2 23 10" xfId="17022" xr:uid="{00000000-0005-0000-0000-00007E420000}"/>
    <cellStyle name="Normal 2 2 2 23 11" xfId="17023" xr:uid="{00000000-0005-0000-0000-00007F420000}"/>
    <cellStyle name="Normal 2 2 2 23 12" xfId="17024" xr:uid="{00000000-0005-0000-0000-000080420000}"/>
    <cellStyle name="Normal 2 2 2 23 13" xfId="17025" xr:uid="{00000000-0005-0000-0000-000081420000}"/>
    <cellStyle name="Normal 2 2 2 23 14" xfId="17026" xr:uid="{00000000-0005-0000-0000-000082420000}"/>
    <cellStyle name="Normal 2 2 2 23 2" xfId="17027" xr:uid="{00000000-0005-0000-0000-000083420000}"/>
    <cellStyle name="Normal 2 2 2 23 2 10" xfId="17028" xr:uid="{00000000-0005-0000-0000-000084420000}"/>
    <cellStyle name="Normal 2 2 2 23 2 2" xfId="17029" xr:uid="{00000000-0005-0000-0000-000085420000}"/>
    <cellStyle name="Normal 2 2 2 23 2 3" xfId="17030" xr:uid="{00000000-0005-0000-0000-000086420000}"/>
    <cellStyle name="Normal 2 2 2 23 2 4" xfId="17031" xr:uid="{00000000-0005-0000-0000-000087420000}"/>
    <cellStyle name="Normal 2 2 2 23 2 5" xfId="17032" xr:uid="{00000000-0005-0000-0000-000088420000}"/>
    <cellStyle name="Normal 2 2 2 23 2 6" xfId="17033" xr:uid="{00000000-0005-0000-0000-000089420000}"/>
    <cellStyle name="Normal 2 2 2 23 2 7" xfId="17034" xr:uid="{00000000-0005-0000-0000-00008A420000}"/>
    <cellStyle name="Normal 2 2 2 23 2 8" xfId="17035" xr:uid="{00000000-0005-0000-0000-00008B420000}"/>
    <cellStyle name="Normal 2 2 2 23 2 9" xfId="17036" xr:uid="{00000000-0005-0000-0000-00008C420000}"/>
    <cellStyle name="Normal 2 2 2 23 3" xfId="17037" xr:uid="{00000000-0005-0000-0000-00008D420000}"/>
    <cellStyle name="Normal 2 2 2 23 3 10" xfId="17038" xr:uid="{00000000-0005-0000-0000-00008E420000}"/>
    <cellStyle name="Normal 2 2 2 23 3 2" xfId="17039" xr:uid="{00000000-0005-0000-0000-00008F420000}"/>
    <cellStyle name="Normal 2 2 2 23 3 3" xfId="17040" xr:uid="{00000000-0005-0000-0000-000090420000}"/>
    <cellStyle name="Normal 2 2 2 23 3 4" xfId="17041" xr:uid="{00000000-0005-0000-0000-000091420000}"/>
    <cellStyle name="Normal 2 2 2 23 3 5" xfId="17042" xr:uid="{00000000-0005-0000-0000-000092420000}"/>
    <cellStyle name="Normal 2 2 2 23 3 6" xfId="17043" xr:uid="{00000000-0005-0000-0000-000093420000}"/>
    <cellStyle name="Normal 2 2 2 23 3 7" xfId="17044" xr:uid="{00000000-0005-0000-0000-000094420000}"/>
    <cellStyle name="Normal 2 2 2 23 3 8" xfId="17045" xr:uid="{00000000-0005-0000-0000-000095420000}"/>
    <cellStyle name="Normal 2 2 2 23 3 9" xfId="17046" xr:uid="{00000000-0005-0000-0000-000096420000}"/>
    <cellStyle name="Normal 2 2 2 23 4" xfId="17047" xr:uid="{00000000-0005-0000-0000-000097420000}"/>
    <cellStyle name="Normal 2 2 2 23 4 10" xfId="17048" xr:uid="{00000000-0005-0000-0000-000098420000}"/>
    <cellStyle name="Normal 2 2 2 23 4 2" xfId="17049" xr:uid="{00000000-0005-0000-0000-000099420000}"/>
    <cellStyle name="Normal 2 2 2 23 4 3" xfId="17050" xr:uid="{00000000-0005-0000-0000-00009A420000}"/>
    <cellStyle name="Normal 2 2 2 23 4 4" xfId="17051" xr:uid="{00000000-0005-0000-0000-00009B420000}"/>
    <cellStyle name="Normal 2 2 2 23 4 5" xfId="17052" xr:uid="{00000000-0005-0000-0000-00009C420000}"/>
    <cellStyle name="Normal 2 2 2 23 4 6" xfId="17053" xr:uid="{00000000-0005-0000-0000-00009D420000}"/>
    <cellStyle name="Normal 2 2 2 23 4 7" xfId="17054" xr:uid="{00000000-0005-0000-0000-00009E420000}"/>
    <cellStyle name="Normal 2 2 2 23 4 8" xfId="17055" xr:uid="{00000000-0005-0000-0000-00009F420000}"/>
    <cellStyle name="Normal 2 2 2 23 4 9" xfId="17056" xr:uid="{00000000-0005-0000-0000-0000A0420000}"/>
    <cellStyle name="Normal 2 2 2 23 5" xfId="17057" xr:uid="{00000000-0005-0000-0000-0000A1420000}"/>
    <cellStyle name="Normal 2 2 2 23 5 10" xfId="17058" xr:uid="{00000000-0005-0000-0000-0000A2420000}"/>
    <cellStyle name="Normal 2 2 2 23 5 2" xfId="17059" xr:uid="{00000000-0005-0000-0000-0000A3420000}"/>
    <cellStyle name="Normal 2 2 2 23 5 3" xfId="17060" xr:uid="{00000000-0005-0000-0000-0000A4420000}"/>
    <cellStyle name="Normal 2 2 2 23 5 4" xfId="17061" xr:uid="{00000000-0005-0000-0000-0000A5420000}"/>
    <cellStyle name="Normal 2 2 2 23 5 5" xfId="17062" xr:uid="{00000000-0005-0000-0000-0000A6420000}"/>
    <cellStyle name="Normal 2 2 2 23 5 6" xfId="17063" xr:uid="{00000000-0005-0000-0000-0000A7420000}"/>
    <cellStyle name="Normal 2 2 2 23 5 7" xfId="17064" xr:uid="{00000000-0005-0000-0000-0000A8420000}"/>
    <cellStyle name="Normal 2 2 2 23 5 8" xfId="17065" xr:uid="{00000000-0005-0000-0000-0000A9420000}"/>
    <cellStyle name="Normal 2 2 2 23 5 9" xfId="17066" xr:uid="{00000000-0005-0000-0000-0000AA420000}"/>
    <cellStyle name="Normal 2 2 2 23 6" xfId="17067" xr:uid="{00000000-0005-0000-0000-0000AB420000}"/>
    <cellStyle name="Normal 2 2 2 23 7" xfId="17068" xr:uid="{00000000-0005-0000-0000-0000AC420000}"/>
    <cellStyle name="Normal 2 2 2 23 8" xfId="17069" xr:uid="{00000000-0005-0000-0000-0000AD420000}"/>
    <cellStyle name="Normal 2 2 2 23 9" xfId="17070" xr:uid="{00000000-0005-0000-0000-0000AE420000}"/>
    <cellStyle name="Normal 2 2 2 24" xfId="17071" xr:uid="{00000000-0005-0000-0000-0000AF420000}"/>
    <cellStyle name="Normal 2 2 2 24 10" xfId="17072" xr:uid="{00000000-0005-0000-0000-0000B0420000}"/>
    <cellStyle name="Normal 2 2 2 24 11" xfId="17073" xr:uid="{00000000-0005-0000-0000-0000B1420000}"/>
    <cellStyle name="Normal 2 2 2 24 12" xfId="17074" xr:uid="{00000000-0005-0000-0000-0000B2420000}"/>
    <cellStyle name="Normal 2 2 2 24 13" xfId="17075" xr:uid="{00000000-0005-0000-0000-0000B3420000}"/>
    <cellStyle name="Normal 2 2 2 24 14" xfId="17076" xr:uid="{00000000-0005-0000-0000-0000B4420000}"/>
    <cellStyle name="Normal 2 2 2 24 2" xfId="17077" xr:uid="{00000000-0005-0000-0000-0000B5420000}"/>
    <cellStyle name="Normal 2 2 2 24 2 10" xfId="17078" xr:uid="{00000000-0005-0000-0000-0000B6420000}"/>
    <cellStyle name="Normal 2 2 2 24 2 2" xfId="17079" xr:uid="{00000000-0005-0000-0000-0000B7420000}"/>
    <cellStyle name="Normal 2 2 2 24 2 3" xfId="17080" xr:uid="{00000000-0005-0000-0000-0000B8420000}"/>
    <cellStyle name="Normal 2 2 2 24 2 4" xfId="17081" xr:uid="{00000000-0005-0000-0000-0000B9420000}"/>
    <cellStyle name="Normal 2 2 2 24 2 5" xfId="17082" xr:uid="{00000000-0005-0000-0000-0000BA420000}"/>
    <cellStyle name="Normal 2 2 2 24 2 6" xfId="17083" xr:uid="{00000000-0005-0000-0000-0000BB420000}"/>
    <cellStyle name="Normal 2 2 2 24 2 7" xfId="17084" xr:uid="{00000000-0005-0000-0000-0000BC420000}"/>
    <cellStyle name="Normal 2 2 2 24 2 8" xfId="17085" xr:uid="{00000000-0005-0000-0000-0000BD420000}"/>
    <cellStyle name="Normal 2 2 2 24 2 9" xfId="17086" xr:uid="{00000000-0005-0000-0000-0000BE420000}"/>
    <cellStyle name="Normal 2 2 2 24 3" xfId="17087" xr:uid="{00000000-0005-0000-0000-0000BF420000}"/>
    <cellStyle name="Normal 2 2 2 24 3 10" xfId="17088" xr:uid="{00000000-0005-0000-0000-0000C0420000}"/>
    <cellStyle name="Normal 2 2 2 24 3 2" xfId="17089" xr:uid="{00000000-0005-0000-0000-0000C1420000}"/>
    <cellStyle name="Normal 2 2 2 24 3 3" xfId="17090" xr:uid="{00000000-0005-0000-0000-0000C2420000}"/>
    <cellStyle name="Normal 2 2 2 24 3 4" xfId="17091" xr:uid="{00000000-0005-0000-0000-0000C3420000}"/>
    <cellStyle name="Normal 2 2 2 24 3 5" xfId="17092" xr:uid="{00000000-0005-0000-0000-0000C4420000}"/>
    <cellStyle name="Normal 2 2 2 24 3 6" xfId="17093" xr:uid="{00000000-0005-0000-0000-0000C5420000}"/>
    <cellStyle name="Normal 2 2 2 24 3 7" xfId="17094" xr:uid="{00000000-0005-0000-0000-0000C6420000}"/>
    <cellStyle name="Normal 2 2 2 24 3 8" xfId="17095" xr:uid="{00000000-0005-0000-0000-0000C7420000}"/>
    <cellStyle name="Normal 2 2 2 24 3 9" xfId="17096" xr:uid="{00000000-0005-0000-0000-0000C8420000}"/>
    <cellStyle name="Normal 2 2 2 24 4" xfId="17097" xr:uid="{00000000-0005-0000-0000-0000C9420000}"/>
    <cellStyle name="Normal 2 2 2 24 4 10" xfId="17098" xr:uid="{00000000-0005-0000-0000-0000CA420000}"/>
    <cellStyle name="Normal 2 2 2 24 4 2" xfId="17099" xr:uid="{00000000-0005-0000-0000-0000CB420000}"/>
    <cellStyle name="Normal 2 2 2 24 4 3" xfId="17100" xr:uid="{00000000-0005-0000-0000-0000CC420000}"/>
    <cellStyle name="Normal 2 2 2 24 4 4" xfId="17101" xr:uid="{00000000-0005-0000-0000-0000CD420000}"/>
    <cellStyle name="Normal 2 2 2 24 4 5" xfId="17102" xr:uid="{00000000-0005-0000-0000-0000CE420000}"/>
    <cellStyle name="Normal 2 2 2 24 4 6" xfId="17103" xr:uid="{00000000-0005-0000-0000-0000CF420000}"/>
    <cellStyle name="Normal 2 2 2 24 4 7" xfId="17104" xr:uid="{00000000-0005-0000-0000-0000D0420000}"/>
    <cellStyle name="Normal 2 2 2 24 4 8" xfId="17105" xr:uid="{00000000-0005-0000-0000-0000D1420000}"/>
    <cellStyle name="Normal 2 2 2 24 4 9" xfId="17106" xr:uid="{00000000-0005-0000-0000-0000D2420000}"/>
    <cellStyle name="Normal 2 2 2 24 5" xfId="17107" xr:uid="{00000000-0005-0000-0000-0000D3420000}"/>
    <cellStyle name="Normal 2 2 2 24 5 10" xfId="17108" xr:uid="{00000000-0005-0000-0000-0000D4420000}"/>
    <cellStyle name="Normal 2 2 2 24 5 2" xfId="17109" xr:uid="{00000000-0005-0000-0000-0000D5420000}"/>
    <cellStyle name="Normal 2 2 2 24 5 3" xfId="17110" xr:uid="{00000000-0005-0000-0000-0000D6420000}"/>
    <cellStyle name="Normal 2 2 2 24 5 4" xfId="17111" xr:uid="{00000000-0005-0000-0000-0000D7420000}"/>
    <cellStyle name="Normal 2 2 2 24 5 5" xfId="17112" xr:uid="{00000000-0005-0000-0000-0000D8420000}"/>
    <cellStyle name="Normal 2 2 2 24 5 6" xfId="17113" xr:uid="{00000000-0005-0000-0000-0000D9420000}"/>
    <cellStyle name="Normal 2 2 2 24 5 7" xfId="17114" xr:uid="{00000000-0005-0000-0000-0000DA420000}"/>
    <cellStyle name="Normal 2 2 2 24 5 8" xfId="17115" xr:uid="{00000000-0005-0000-0000-0000DB420000}"/>
    <cellStyle name="Normal 2 2 2 24 5 9" xfId="17116" xr:uid="{00000000-0005-0000-0000-0000DC420000}"/>
    <cellStyle name="Normal 2 2 2 24 6" xfId="17117" xr:uid="{00000000-0005-0000-0000-0000DD420000}"/>
    <cellStyle name="Normal 2 2 2 24 7" xfId="17118" xr:uid="{00000000-0005-0000-0000-0000DE420000}"/>
    <cellStyle name="Normal 2 2 2 24 8" xfId="17119" xr:uid="{00000000-0005-0000-0000-0000DF420000}"/>
    <cellStyle name="Normal 2 2 2 24 9" xfId="17120" xr:uid="{00000000-0005-0000-0000-0000E0420000}"/>
    <cellStyle name="Normal 2 2 2 25" xfId="17121" xr:uid="{00000000-0005-0000-0000-0000E1420000}"/>
    <cellStyle name="Normal 2 2 2 25 10" xfId="17122" xr:uid="{00000000-0005-0000-0000-0000E2420000}"/>
    <cellStyle name="Normal 2 2 2 25 11" xfId="17123" xr:uid="{00000000-0005-0000-0000-0000E3420000}"/>
    <cellStyle name="Normal 2 2 2 25 12" xfId="17124" xr:uid="{00000000-0005-0000-0000-0000E4420000}"/>
    <cellStyle name="Normal 2 2 2 25 13" xfId="17125" xr:uid="{00000000-0005-0000-0000-0000E5420000}"/>
    <cellStyle name="Normal 2 2 2 25 14" xfId="17126" xr:uid="{00000000-0005-0000-0000-0000E6420000}"/>
    <cellStyle name="Normal 2 2 2 25 2" xfId="17127" xr:uid="{00000000-0005-0000-0000-0000E7420000}"/>
    <cellStyle name="Normal 2 2 2 25 2 10" xfId="17128" xr:uid="{00000000-0005-0000-0000-0000E8420000}"/>
    <cellStyle name="Normal 2 2 2 25 2 2" xfId="17129" xr:uid="{00000000-0005-0000-0000-0000E9420000}"/>
    <cellStyle name="Normal 2 2 2 25 2 3" xfId="17130" xr:uid="{00000000-0005-0000-0000-0000EA420000}"/>
    <cellStyle name="Normal 2 2 2 25 2 4" xfId="17131" xr:uid="{00000000-0005-0000-0000-0000EB420000}"/>
    <cellStyle name="Normal 2 2 2 25 2 5" xfId="17132" xr:uid="{00000000-0005-0000-0000-0000EC420000}"/>
    <cellStyle name="Normal 2 2 2 25 2 6" xfId="17133" xr:uid="{00000000-0005-0000-0000-0000ED420000}"/>
    <cellStyle name="Normal 2 2 2 25 2 7" xfId="17134" xr:uid="{00000000-0005-0000-0000-0000EE420000}"/>
    <cellStyle name="Normal 2 2 2 25 2 8" xfId="17135" xr:uid="{00000000-0005-0000-0000-0000EF420000}"/>
    <cellStyle name="Normal 2 2 2 25 2 9" xfId="17136" xr:uid="{00000000-0005-0000-0000-0000F0420000}"/>
    <cellStyle name="Normal 2 2 2 25 3" xfId="17137" xr:uid="{00000000-0005-0000-0000-0000F1420000}"/>
    <cellStyle name="Normal 2 2 2 25 3 10" xfId="17138" xr:uid="{00000000-0005-0000-0000-0000F2420000}"/>
    <cellStyle name="Normal 2 2 2 25 3 2" xfId="17139" xr:uid="{00000000-0005-0000-0000-0000F3420000}"/>
    <cellStyle name="Normal 2 2 2 25 3 3" xfId="17140" xr:uid="{00000000-0005-0000-0000-0000F4420000}"/>
    <cellStyle name="Normal 2 2 2 25 3 4" xfId="17141" xr:uid="{00000000-0005-0000-0000-0000F5420000}"/>
    <cellStyle name="Normal 2 2 2 25 3 5" xfId="17142" xr:uid="{00000000-0005-0000-0000-0000F6420000}"/>
    <cellStyle name="Normal 2 2 2 25 3 6" xfId="17143" xr:uid="{00000000-0005-0000-0000-0000F7420000}"/>
    <cellStyle name="Normal 2 2 2 25 3 7" xfId="17144" xr:uid="{00000000-0005-0000-0000-0000F8420000}"/>
    <cellStyle name="Normal 2 2 2 25 3 8" xfId="17145" xr:uid="{00000000-0005-0000-0000-0000F9420000}"/>
    <cellStyle name="Normal 2 2 2 25 3 9" xfId="17146" xr:uid="{00000000-0005-0000-0000-0000FA420000}"/>
    <cellStyle name="Normal 2 2 2 25 4" xfId="17147" xr:uid="{00000000-0005-0000-0000-0000FB420000}"/>
    <cellStyle name="Normal 2 2 2 25 4 10" xfId="17148" xr:uid="{00000000-0005-0000-0000-0000FC420000}"/>
    <cellStyle name="Normal 2 2 2 25 4 2" xfId="17149" xr:uid="{00000000-0005-0000-0000-0000FD420000}"/>
    <cellStyle name="Normal 2 2 2 25 4 3" xfId="17150" xr:uid="{00000000-0005-0000-0000-0000FE420000}"/>
    <cellStyle name="Normal 2 2 2 25 4 4" xfId="17151" xr:uid="{00000000-0005-0000-0000-0000FF420000}"/>
    <cellStyle name="Normal 2 2 2 25 4 5" xfId="17152" xr:uid="{00000000-0005-0000-0000-000000430000}"/>
    <cellStyle name="Normal 2 2 2 25 4 6" xfId="17153" xr:uid="{00000000-0005-0000-0000-000001430000}"/>
    <cellStyle name="Normal 2 2 2 25 4 7" xfId="17154" xr:uid="{00000000-0005-0000-0000-000002430000}"/>
    <cellStyle name="Normal 2 2 2 25 4 8" xfId="17155" xr:uid="{00000000-0005-0000-0000-000003430000}"/>
    <cellStyle name="Normal 2 2 2 25 4 9" xfId="17156" xr:uid="{00000000-0005-0000-0000-000004430000}"/>
    <cellStyle name="Normal 2 2 2 25 5" xfId="17157" xr:uid="{00000000-0005-0000-0000-000005430000}"/>
    <cellStyle name="Normal 2 2 2 25 5 10" xfId="17158" xr:uid="{00000000-0005-0000-0000-000006430000}"/>
    <cellStyle name="Normal 2 2 2 25 5 2" xfId="17159" xr:uid="{00000000-0005-0000-0000-000007430000}"/>
    <cellStyle name="Normal 2 2 2 25 5 3" xfId="17160" xr:uid="{00000000-0005-0000-0000-000008430000}"/>
    <cellStyle name="Normal 2 2 2 25 5 4" xfId="17161" xr:uid="{00000000-0005-0000-0000-000009430000}"/>
    <cellStyle name="Normal 2 2 2 25 5 5" xfId="17162" xr:uid="{00000000-0005-0000-0000-00000A430000}"/>
    <cellStyle name="Normal 2 2 2 25 5 6" xfId="17163" xr:uid="{00000000-0005-0000-0000-00000B430000}"/>
    <cellStyle name="Normal 2 2 2 25 5 7" xfId="17164" xr:uid="{00000000-0005-0000-0000-00000C430000}"/>
    <cellStyle name="Normal 2 2 2 25 5 8" xfId="17165" xr:uid="{00000000-0005-0000-0000-00000D430000}"/>
    <cellStyle name="Normal 2 2 2 25 5 9" xfId="17166" xr:uid="{00000000-0005-0000-0000-00000E430000}"/>
    <cellStyle name="Normal 2 2 2 25 6" xfId="17167" xr:uid="{00000000-0005-0000-0000-00000F430000}"/>
    <cellStyle name="Normal 2 2 2 25 7" xfId="17168" xr:uid="{00000000-0005-0000-0000-000010430000}"/>
    <cellStyle name="Normal 2 2 2 25 8" xfId="17169" xr:uid="{00000000-0005-0000-0000-000011430000}"/>
    <cellStyle name="Normal 2 2 2 25 9" xfId="17170" xr:uid="{00000000-0005-0000-0000-000012430000}"/>
    <cellStyle name="Normal 2 2 2 26" xfId="17171" xr:uid="{00000000-0005-0000-0000-000013430000}"/>
    <cellStyle name="Normal 2 2 2 26 10" xfId="17172" xr:uid="{00000000-0005-0000-0000-000014430000}"/>
    <cellStyle name="Normal 2 2 2 26 11" xfId="17173" xr:uid="{00000000-0005-0000-0000-000015430000}"/>
    <cellStyle name="Normal 2 2 2 26 12" xfId="17174" xr:uid="{00000000-0005-0000-0000-000016430000}"/>
    <cellStyle name="Normal 2 2 2 26 13" xfId="17175" xr:uid="{00000000-0005-0000-0000-000017430000}"/>
    <cellStyle name="Normal 2 2 2 26 14" xfId="17176" xr:uid="{00000000-0005-0000-0000-000018430000}"/>
    <cellStyle name="Normal 2 2 2 26 2" xfId="17177" xr:uid="{00000000-0005-0000-0000-000019430000}"/>
    <cellStyle name="Normal 2 2 2 26 2 10" xfId="17178" xr:uid="{00000000-0005-0000-0000-00001A430000}"/>
    <cellStyle name="Normal 2 2 2 26 2 2" xfId="17179" xr:uid="{00000000-0005-0000-0000-00001B430000}"/>
    <cellStyle name="Normal 2 2 2 26 2 3" xfId="17180" xr:uid="{00000000-0005-0000-0000-00001C430000}"/>
    <cellStyle name="Normal 2 2 2 26 2 4" xfId="17181" xr:uid="{00000000-0005-0000-0000-00001D430000}"/>
    <cellStyle name="Normal 2 2 2 26 2 5" xfId="17182" xr:uid="{00000000-0005-0000-0000-00001E430000}"/>
    <cellStyle name="Normal 2 2 2 26 2 6" xfId="17183" xr:uid="{00000000-0005-0000-0000-00001F430000}"/>
    <cellStyle name="Normal 2 2 2 26 2 7" xfId="17184" xr:uid="{00000000-0005-0000-0000-000020430000}"/>
    <cellStyle name="Normal 2 2 2 26 2 8" xfId="17185" xr:uid="{00000000-0005-0000-0000-000021430000}"/>
    <cellStyle name="Normal 2 2 2 26 2 9" xfId="17186" xr:uid="{00000000-0005-0000-0000-000022430000}"/>
    <cellStyle name="Normal 2 2 2 26 3" xfId="17187" xr:uid="{00000000-0005-0000-0000-000023430000}"/>
    <cellStyle name="Normal 2 2 2 26 3 10" xfId="17188" xr:uid="{00000000-0005-0000-0000-000024430000}"/>
    <cellStyle name="Normal 2 2 2 26 3 2" xfId="17189" xr:uid="{00000000-0005-0000-0000-000025430000}"/>
    <cellStyle name="Normal 2 2 2 26 3 3" xfId="17190" xr:uid="{00000000-0005-0000-0000-000026430000}"/>
    <cellStyle name="Normal 2 2 2 26 3 4" xfId="17191" xr:uid="{00000000-0005-0000-0000-000027430000}"/>
    <cellStyle name="Normal 2 2 2 26 3 5" xfId="17192" xr:uid="{00000000-0005-0000-0000-000028430000}"/>
    <cellStyle name="Normal 2 2 2 26 3 6" xfId="17193" xr:uid="{00000000-0005-0000-0000-000029430000}"/>
    <cellStyle name="Normal 2 2 2 26 3 7" xfId="17194" xr:uid="{00000000-0005-0000-0000-00002A430000}"/>
    <cellStyle name="Normal 2 2 2 26 3 8" xfId="17195" xr:uid="{00000000-0005-0000-0000-00002B430000}"/>
    <cellStyle name="Normal 2 2 2 26 3 9" xfId="17196" xr:uid="{00000000-0005-0000-0000-00002C430000}"/>
    <cellStyle name="Normal 2 2 2 26 4" xfId="17197" xr:uid="{00000000-0005-0000-0000-00002D430000}"/>
    <cellStyle name="Normal 2 2 2 26 4 10" xfId="17198" xr:uid="{00000000-0005-0000-0000-00002E430000}"/>
    <cellStyle name="Normal 2 2 2 26 4 2" xfId="17199" xr:uid="{00000000-0005-0000-0000-00002F430000}"/>
    <cellStyle name="Normal 2 2 2 26 4 3" xfId="17200" xr:uid="{00000000-0005-0000-0000-000030430000}"/>
    <cellStyle name="Normal 2 2 2 26 4 4" xfId="17201" xr:uid="{00000000-0005-0000-0000-000031430000}"/>
    <cellStyle name="Normal 2 2 2 26 4 5" xfId="17202" xr:uid="{00000000-0005-0000-0000-000032430000}"/>
    <cellStyle name="Normal 2 2 2 26 4 6" xfId="17203" xr:uid="{00000000-0005-0000-0000-000033430000}"/>
    <cellStyle name="Normal 2 2 2 26 4 7" xfId="17204" xr:uid="{00000000-0005-0000-0000-000034430000}"/>
    <cellStyle name="Normal 2 2 2 26 4 8" xfId="17205" xr:uid="{00000000-0005-0000-0000-000035430000}"/>
    <cellStyle name="Normal 2 2 2 26 4 9" xfId="17206" xr:uid="{00000000-0005-0000-0000-000036430000}"/>
    <cellStyle name="Normal 2 2 2 26 5" xfId="17207" xr:uid="{00000000-0005-0000-0000-000037430000}"/>
    <cellStyle name="Normal 2 2 2 26 5 10" xfId="17208" xr:uid="{00000000-0005-0000-0000-000038430000}"/>
    <cellStyle name="Normal 2 2 2 26 5 2" xfId="17209" xr:uid="{00000000-0005-0000-0000-000039430000}"/>
    <cellStyle name="Normal 2 2 2 26 5 3" xfId="17210" xr:uid="{00000000-0005-0000-0000-00003A430000}"/>
    <cellStyle name="Normal 2 2 2 26 5 4" xfId="17211" xr:uid="{00000000-0005-0000-0000-00003B430000}"/>
    <cellStyle name="Normal 2 2 2 26 5 5" xfId="17212" xr:uid="{00000000-0005-0000-0000-00003C430000}"/>
    <cellStyle name="Normal 2 2 2 26 5 6" xfId="17213" xr:uid="{00000000-0005-0000-0000-00003D430000}"/>
    <cellStyle name="Normal 2 2 2 26 5 7" xfId="17214" xr:uid="{00000000-0005-0000-0000-00003E430000}"/>
    <cellStyle name="Normal 2 2 2 26 5 8" xfId="17215" xr:uid="{00000000-0005-0000-0000-00003F430000}"/>
    <cellStyle name="Normal 2 2 2 26 5 9" xfId="17216" xr:uid="{00000000-0005-0000-0000-000040430000}"/>
    <cellStyle name="Normal 2 2 2 26 6" xfId="17217" xr:uid="{00000000-0005-0000-0000-000041430000}"/>
    <cellStyle name="Normal 2 2 2 26 7" xfId="17218" xr:uid="{00000000-0005-0000-0000-000042430000}"/>
    <cellStyle name="Normal 2 2 2 26 8" xfId="17219" xr:uid="{00000000-0005-0000-0000-000043430000}"/>
    <cellStyle name="Normal 2 2 2 26 9" xfId="17220" xr:uid="{00000000-0005-0000-0000-000044430000}"/>
    <cellStyle name="Normal 2 2 2 27" xfId="17221" xr:uid="{00000000-0005-0000-0000-000045430000}"/>
    <cellStyle name="Normal 2 2 2 27 10" xfId="17222" xr:uid="{00000000-0005-0000-0000-000046430000}"/>
    <cellStyle name="Normal 2 2 2 27 11" xfId="17223" xr:uid="{00000000-0005-0000-0000-000047430000}"/>
    <cellStyle name="Normal 2 2 2 27 12" xfId="17224" xr:uid="{00000000-0005-0000-0000-000048430000}"/>
    <cellStyle name="Normal 2 2 2 27 13" xfId="17225" xr:uid="{00000000-0005-0000-0000-000049430000}"/>
    <cellStyle name="Normal 2 2 2 27 14" xfId="17226" xr:uid="{00000000-0005-0000-0000-00004A430000}"/>
    <cellStyle name="Normal 2 2 2 27 2" xfId="17227" xr:uid="{00000000-0005-0000-0000-00004B430000}"/>
    <cellStyle name="Normal 2 2 2 27 2 10" xfId="17228" xr:uid="{00000000-0005-0000-0000-00004C430000}"/>
    <cellStyle name="Normal 2 2 2 27 2 2" xfId="17229" xr:uid="{00000000-0005-0000-0000-00004D430000}"/>
    <cellStyle name="Normal 2 2 2 27 2 3" xfId="17230" xr:uid="{00000000-0005-0000-0000-00004E430000}"/>
    <cellStyle name="Normal 2 2 2 27 2 4" xfId="17231" xr:uid="{00000000-0005-0000-0000-00004F430000}"/>
    <cellStyle name="Normal 2 2 2 27 2 5" xfId="17232" xr:uid="{00000000-0005-0000-0000-000050430000}"/>
    <cellStyle name="Normal 2 2 2 27 2 6" xfId="17233" xr:uid="{00000000-0005-0000-0000-000051430000}"/>
    <cellStyle name="Normal 2 2 2 27 2 7" xfId="17234" xr:uid="{00000000-0005-0000-0000-000052430000}"/>
    <cellStyle name="Normal 2 2 2 27 2 8" xfId="17235" xr:uid="{00000000-0005-0000-0000-000053430000}"/>
    <cellStyle name="Normal 2 2 2 27 2 9" xfId="17236" xr:uid="{00000000-0005-0000-0000-000054430000}"/>
    <cellStyle name="Normal 2 2 2 27 3" xfId="17237" xr:uid="{00000000-0005-0000-0000-000055430000}"/>
    <cellStyle name="Normal 2 2 2 27 3 10" xfId="17238" xr:uid="{00000000-0005-0000-0000-000056430000}"/>
    <cellStyle name="Normal 2 2 2 27 3 2" xfId="17239" xr:uid="{00000000-0005-0000-0000-000057430000}"/>
    <cellStyle name="Normal 2 2 2 27 3 3" xfId="17240" xr:uid="{00000000-0005-0000-0000-000058430000}"/>
    <cellStyle name="Normal 2 2 2 27 3 4" xfId="17241" xr:uid="{00000000-0005-0000-0000-000059430000}"/>
    <cellStyle name="Normal 2 2 2 27 3 5" xfId="17242" xr:uid="{00000000-0005-0000-0000-00005A430000}"/>
    <cellStyle name="Normal 2 2 2 27 3 6" xfId="17243" xr:uid="{00000000-0005-0000-0000-00005B430000}"/>
    <cellStyle name="Normal 2 2 2 27 3 7" xfId="17244" xr:uid="{00000000-0005-0000-0000-00005C430000}"/>
    <cellStyle name="Normal 2 2 2 27 3 8" xfId="17245" xr:uid="{00000000-0005-0000-0000-00005D430000}"/>
    <cellStyle name="Normal 2 2 2 27 3 9" xfId="17246" xr:uid="{00000000-0005-0000-0000-00005E430000}"/>
    <cellStyle name="Normal 2 2 2 27 4" xfId="17247" xr:uid="{00000000-0005-0000-0000-00005F430000}"/>
    <cellStyle name="Normal 2 2 2 27 4 10" xfId="17248" xr:uid="{00000000-0005-0000-0000-000060430000}"/>
    <cellStyle name="Normal 2 2 2 27 4 2" xfId="17249" xr:uid="{00000000-0005-0000-0000-000061430000}"/>
    <cellStyle name="Normal 2 2 2 27 4 3" xfId="17250" xr:uid="{00000000-0005-0000-0000-000062430000}"/>
    <cellStyle name="Normal 2 2 2 27 4 4" xfId="17251" xr:uid="{00000000-0005-0000-0000-000063430000}"/>
    <cellStyle name="Normal 2 2 2 27 4 5" xfId="17252" xr:uid="{00000000-0005-0000-0000-000064430000}"/>
    <cellStyle name="Normal 2 2 2 27 4 6" xfId="17253" xr:uid="{00000000-0005-0000-0000-000065430000}"/>
    <cellStyle name="Normal 2 2 2 27 4 7" xfId="17254" xr:uid="{00000000-0005-0000-0000-000066430000}"/>
    <cellStyle name="Normal 2 2 2 27 4 8" xfId="17255" xr:uid="{00000000-0005-0000-0000-000067430000}"/>
    <cellStyle name="Normal 2 2 2 27 4 9" xfId="17256" xr:uid="{00000000-0005-0000-0000-000068430000}"/>
    <cellStyle name="Normal 2 2 2 27 5" xfId="17257" xr:uid="{00000000-0005-0000-0000-000069430000}"/>
    <cellStyle name="Normal 2 2 2 27 5 10" xfId="17258" xr:uid="{00000000-0005-0000-0000-00006A430000}"/>
    <cellStyle name="Normal 2 2 2 27 5 2" xfId="17259" xr:uid="{00000000-0005-0000-0000-00006B430000}"/>
    <cellStyle name="Normal 2 2 2 27 5 3" xfId="17260" xr:uid="{00000000-0005-0000-0000-00006C430000}"/>
    <cellStyle name="Normal 2 2 2 27 5 4" xfId="17261" xr:uid="{00000000-0005-0000-0000-00006D430000}"/>
    <cellStyle name="Normal 2 2 2 27 5 5" xfId="17262" xr:uid="{00000000-0005-0000-0000-00006E430000}"/>
    <cellStyle name="Normal 2 2 2 27 5 6" xfId="17263" xr:uid="{00000000-0005-0000-0000-00006F430000}"/>
    <cellStyle name="Normal 2 2 2 27 5 7" xfId="17264" xr:uid="{00000000-0005-0000-0000-000070430000}"/>
    <cellStyle name="Normal 2 2 2 27 5 8" xfId="17265" xr:uid="{00000000-0005-0000-0000-000071430000}"/>
    <cellStyle name="Normal 2 2 2 27 5 9" xfId="17266" xr:uid="{00000000-0005-0000-0000-000072430000}"/>
    <cellStyle name="Normal 2 2 2 27 6" xfId="17267" xr:uid="{00000000-0005-0000-0000-000073430000}"/>
    <cellStyle name="Normal 2 2 2 27 7" xfId="17268" xr:uid="{00000000-0005-0000-0000-000074430000}"/>
    <cellStyle name="Normal 2 2 2 27 8" xfId="17269" xr:uid="{00000000-0005-0000-0000-000075430000}"/>
    <cellStyle name="Normal 2 2 2 27 9" xfId="17270" xr:uid="{00000000-0005-0000-0000-000076430000}"/>
    <cellStyle name="Normal 2 2 2 28" xfId="17271" xr:uid="{00000000-0005-0000-0000-000077430000}"/>
    <cellStyle name="Normal 2 2 2 28 10" xfId="17272" xr:uid="{00000000-0005-0000-0000-000078430000}"/>
    <cellStyle name="Normal 2 2 2 28 11" xfId="17273" xr:uid="{00000000-0005-0000-0000-000079430000}"/>
    <cellStyle name="Normal 2 2 2 28 12" xfId="17274" xr:uid="{00000000-0005-0000-0000-00007A430000}"/>
    <cellStyle name="Normal 2 2 2 28 13" xfId="17275" xr:uid="{00000000-0005-0000-0000-00007B430000}"/>
    <cellStyle name="Normal 2 2 2 28 14" xfId="17276" xr:uid="{00000000-0005-0000-0000-00007C430000}"/>
    <cellStyle name="Normal 2 2 2 28 2" xfId="17277" xr:uid="{00000000-0005-0000-0000-00007D430000}"/>
    <cellStyle name="Normal 2 2 2 28 2 10" xfId="17278" xr:uid="{00000000-0005-0000-0000-00007E430000}"/>
    <cellStyle name="Normal 2 2 2 28 2 2" xfId="17279" xr:uid="{00000000-0005-0000-0000-00007F430000}"/>
    <cellStyle name="Normal 2 2 2 28 2 3" xfId="17280" xr:uid="{00000000-0005-0000-0000-000080430000}"/>
    <cellStyle name="Normal 2 2 2 28 2 4" xfId="17281" xr:uid="{00000000-0005-0000-0000-000081430000}"/>
    <cellStyle name="Normal 2 2 2 28 2 5" xfId="17282" xr:uid="{00000000-0005-0000-0000-000082430000}"/>
    <cellStyle name="Normal 2 2 2 28 2 6" xfId="17283" xr:uid="{00000000-0005-0000-0000-000083430000}"/>
    <cellStyle name="Normal 2 2 2 28 2 7" xfId="17284" xr:uid="{00000000-0005-0000-0000-000084430000}"/>
    <cellStyle name="Normal 2 2 2 28 2 8" xfId="17285" xr:uid="{00000000-0005-0000-0000-000085430000}"/>
    <cellStyle name="Normal 2 2 2 28 2 9" xfId="17286" xr:uid="{00000000-0005-0000-0000-000086430000}"/>
    <cellStyle name="Normal 2 2 2 28 3" xfId="17287" xr:uid="{00000000-0005-0000-0000-000087430000}"/>
    <cellStyle name="Normal 2 2 2 28 3 10" xfId="17288" xr:uid="{00000000-0005-0000-0000-000088430000}"/>
    <cellStyle name="Normal 2 2 2 28 3 2" xfId="17289" xr:uid="{00000000-0005-0000-0000-000089430000}"/>
    <cellStyle name="Normal 2 2 2 28 3 3" xfId="17290" xr:uid="{00000000-0005-0000-0000-00008A430000}"/>
    <cellStyle name="Normal 2 2 2 28 3 4" xfId="17291" xr:uid="{00000000-0005-0000-0000-00008B430000}"/>
    <cellStyle name="Normal 2 2 2 28 3 5" xfId="17292" xr:uid="{00000000-0005-0000-0000-00008C430000}"/>
    <cellStyle name="Normal 2 2 2 28 3 6" xfId="17293" xr:uid="{00000000-0005-0000-0000-00008D430000}"/>
    <cellStyle name="Normal 2 2 2 28 3 7" xfId="17294" xr:uid="{00000000-0005-0000-0000-00008E430000}"/>
    <cellStyle name="Normal 2 2 2 28 3 8" xfId="17295" xr:uid="{00000000-0005-0000-0000-00008F430000}"/>
    <cellStyle name="Normal 2 2 2 28 3 9" xfId="17296" xr:uid="{00000000-0005-0000-0000-000090430000}"/>
    <cellStyle name="Normal 2 2 2 28 4" xfId="17297" xr:uid="{00000000-0005-0000-0000-000091430000}"/>
    <cellStyle name="Normal 2 2 2 28 4 10" xfId="17298" xr:uid="{00000000-0005-0000-0000-000092430000}"/>
    <cellStyle name="Normal 2 2 2 28 4 2" xfId="17299" xr:uid="{00000000-0005-0000-0000-000093430000}"/>
    <cellStyle name="Normal 2 2 2 28 4 3" xfId="17300" xr:uid="{00000000-0005-0000-0000-000094430000}"/>
    <cellStyle name="Normal 2 2 2 28 4 4" xfId="17301" xr:uid="{00000000-0005-0000-0000-000095430000}"/>
    <cellStyle name="Normal 2 2 2 28 4 5" xfId="17302" xr:uid="{00000000-0005-0000-0000-000096430000}"/>
    <cellStyle name="Normal 2 2 2 28 4 6" xfId="17303" xr:uid="{00000000-0005-0000-0000-000097430000}"/>
    <cellStyle name="Normal 2 2 2 28 4 7" xfId="17304" xr:uid="{00000000-0005-0000-0000-000098430000}"/>
    <cellStyle name="Normal 2 2 2 28 4 8" xfId="17305" xr:uid="{00000000-0005-0000-0000-000099430000}"/>
    <cellStyle name="Normal 2 2 2 28 4 9" xfId="17306" xr:uid="{00000000-0005-0000-0000-00009A430000}"/>
    <cellStyle name="Normal 2 2 2 28 5" xfId="17307" xr:uid="{00000000-0005-0000-0000-00009B430000}"/>
    <cellStyle name="Normal 2 2 2 28 5 10" xfId="17308" xr:uid="{00000000-0005-0000-0000-00009C430000}"/>
    <cellStyle name="Normal 2 2 2 28 5 2" xfId="17309" xr:uid="{00000000-0005-0000-0000-00009D430000}"/>
    <cellStyle name="Normal 2 2 2 28 5 3" xfId="17310" xr:uid="{00000000-0005-0000-0000-00009E430000}"/>
    <cellStyle name="Normal 2 2 2 28 5 4" xfId="17311" xr:uid="{00000000-0005-0000-0000-00009F430000}"/>
    <cellStyle name="Normal 2 2 2 28 5 5" xfId="17312" xr:uid="{00000000-0005-0000-0000-0000A0430000}"/>
    <cellStyle name="Normal 2 2 2 28 5 6" xfId="17313" xr:uid="{00000000-0005-0000-0000-0000A1430000}"/>
    <cellStyle name="Normal 2 2 2 28 5 7" xfId="17314" xr:uid="{00000000-0005-0000-0000-0000A2430000}"/>
    <cellStyle name="Normal 2 2 2 28 5 8" xfId="17315" xr:uid="{00000000-0005-0000-0000-0000A3430000}"/>
    <cellStyle name="Normal 2 2 2 28 5 9" xfId="17316" xr:uid="{00000000-0005-0000-0000-0000A4430000}"/>
    <cellStyle name="Normal 2 2 2 28 6" xfId="17317" xr:uid="{00000000-0005-0000-0000-0000A5430000}"/>
    <cellStyle name="Normal 2 2 2 28 7" xfId="17318" xr:uid="{00000000-0005-0000-0000-0000A6430000}"/>
    <cellStyle name="Normal 2 2 2 28 8" xfId="17319" xr:uid="{00000000-0005-0000-0000-0000A7430000}"/>
    <cellStyle name="Normal 2 2 2 28 9" xfId="17320" xr:uid="{00000000-0005-0000-0000-0000A8430000}"/>
    <cellStyle name="Normal 2 2 2 29" xfId="17321" xr:uid="{00000000-0005-0000-0000-0000A9430000}"/>
    <cellStyle name="Normal 2 2 2 29 10" xfId="17322" xr:uid="{00000000-0005-0000-0000-0000AA430000}"/>
    <cellStyle name="Normal 2 2 2 29 11" xfId="17323" xr:uid="{00000000-0005-0000-0000-0000AB430000}"/>
    <cellStyle name="Normal 2 2 2 29 12" xfId="17324" xr:uid="{00000000-0005-0000-0000-0000AC430000}"/>
    <cellStyle name="Normal 2 2 2 29 13" xfId="17325" xr:uid="{00000000-0005-0000-0000-0000AD430000}"/>
    <cellStyle name="Normal 2 2 2 29 14" xfId="17326" xr:uid="{00000000-0005-0000-0000-0000AE430000}"/>
    <cellStyle name="Normal 2 2 2 29 2" xfId="17327" xr:uid="{00000000-0005-0000-0000-0000AF430000}"/>
    <cellStyle name="Normal 2 2 2 29 2 10" xfId="17328" xr:uid="{00000000-0005-0000-0000-0000B0430000}"/>
    <cellStyle name="Normal 2 2 2 29 2 2" xfId="17329" xr:uid="{00000000-0005-0000-0000-0000B1430000}"/>
    <cellStyle name="Normal 2 2 2 29 2 3" xfId="17330" xr:uid="{00000000-0005-0000-0000-0000B2430000}"/>
    <cellStyle name="Normal 2 2 2 29 2 4" xfId="17331" xr:uid="{00000000-0005-0000-0000-0000B3430000}"/>
    <cellStyle name="Normal 2 2 2 29 2 5" xfId="17332" xr:uid="{00000000-0005-0000-0000-0000B4430000}"/>
    <cellStyle name="Normal 2 2 2 29 2 6" xfId="17333" xr:uid="{00000000-0005-0000-0000-0000B5430000}"/>
    <cellStyle name="Normal 2 2 2 29 2 7" xfId="17334" xr:uid="{00000000-0005-0000-0000-0000B6430000}"/>
    <cellStyle name="Normal 2 2 2 29 2 8" xfId="17335" xr:uid="{00000000-0005-0000-0000-0000B7430000}"/>
    <cellStyle name="Normal 2 2 2 29 2 9" xfId="17336" xr:uid="{00000000-0005-0000-0000-0000B8430000}"/>
    <cellStyle name="Normal 2 2 2 29 3" xfId="17337" xr:uid="{00000000-0005-0000-0000-0000B9430000}"/>
    <cellStyle name="Normal 2 2 2 29 3 10" xfId="17338" xr:uid="{00000000-0005-0000-0000-0000BA430000}"/>
    <cellStyle name="Normal 2 2 2 29 3 2" xfId="17339" xr:uid="{00000000-0005-0000-0000-0000BB430000}"/>
    <cellStyle name="Normal 2 2 2 29 3 3" xfId="17340" xr:uid="{00000000-0005-0000-0000-0000BC430000}"/>
    <cellStyle name="Normal 2 2 2 29 3 4" xfId="17341" xr:uid="{00000000-0005-0000-0000-0000BD430000}"/>
    <cellStyle name="Normal 2 2 2 29 3 5" xfId="17342" xr:uid="{00000000-0005-0000-0000-0000BE430000}"/>
    <cellStyle name="Normal 2 2 2 29 3 6" xfId="17343" xr:uid="{00000000-0005-0000-0000-0000BF430000}"/>
    <cellStyle name="Normal 2 2 2 29 3 7" xfId="17344" xr:uid="{00000000-0005-0000-0000-0000C0430000}"/>
    <cellStyle name="Normal 2 2 2 29 3 8" xfId="17345" xr:uid="{00000000-0005-0000-0000-0000C1430000}"/>
    <cellStyle name="Normal 2 2 2 29 3 9" xfId="17346" xr:uid="{00000000-0005-0000-0000-0000C2430000}"/>
    <cellStyle name="Normal 2 2 2 29 4" xfId="17347" xr:uid="{00000000-0005-0000-0000-0000C3430000}"/>
    <cellStyle name="Normal 2 2 2 29 4 10" xfId="17348" xr:uid="{00000000-0005-0000-0000-0000C4430000}"/>
    <cellStyle name="Normal 2 2 2 29 4 2" xfId="17349" xr:uid="{00000000-0005-0000-0000-0000C5430000}"/>
    <cellStyle name="Normal 2 2 2 29 4 3" xfId="17350" xr:uid="{00000000-0005-0000-0000-0000C6430000}"/>
    <cellStyle name="Normal 2 2 2 29 4 4" xfId="17351" xr:uid="{00000000-0005-0000-0000-0000C7430000}"/>
    <cellStyle name="Normal 2 2 2 29 4 5" xfId="17352" xr:uid="{00000000-0005-0000-0000-0000C8430000}"/>
    <cellStyle name="Normal 2 2 2 29 4 6" xfId="17353" xr:uid="{00000000-0005-0000-0000-0000C9430000}"/>
    <cellStyle name="Normal 2 2 2 29 4 7" xfId="17354" xr:uid="{00000000-0005-0000-0000-0000CA430000}"/>
    <cellStyle name="Normal 2 2 2 29 4 8" xfId="17355" xr:uid="{00000000-0005-0000-0000-0000CB430000}"/>
    <cellStyle name="Normal 2 2 2 29 4 9" xfId="17356" xr:uid="{00000000-0005-0000-0000-0000CC430000}"/>
    <cellStyle name="Normal 2 2 2 29 5" xfId="17357" xr:uid="{00000000-0005-0000-0000-0000CD430000}"/>
    <cellStyle name="Normal 2 2 2 29 5 10" xfId="17358" xr:uid="{00000000-0005-0000-0000-0000CE430000}"/>
    <cellStyle name="Normal 2 2 2 29 5 2" xfId="17359" xr:uid="{00000000-0005-0000-0000-0000CF430000}"/>
    <cellStyle name="Normal 2 2 2 29 5 3" xfId="17360" xr:uid="{00000000-0005-0000-0000-0000D0430000}"/>
    <cellStyle name="Normal 2 2 2 29 5 4" xfId="17361" xr:uid="{00000000-0005-0000-0000-0000D1430000}"/>
    <cellStyle name="Normal 2 2 2 29 5 5" xfId="17362" xr:uid="{00000000-0005-0000-0000-0000D2430000}"/>
    <cellStyle name="Normal 2 2 2 29 5 6" xfId="17363" xr:uid="{00000000-0005-0000-0000-0000D3430000}"/>
    <cellStyle name="Normal 2 2 2 29 5 7" xfId="17364" xr:uid="{00000000-0005-0000-0000-0000D4430000}"/>
    <cellStyle name="Normal 2 2 2 29 5 8" xfId="17365" xr:uid="{00000000-0005-0000-0000-0000D5430000}"/>
    <cellStyle name="Normal 2 2 2 29 5 9" xfId="17366" xr:uid="{00000000-0005-0000-0000-0000D6430000}"/>
    <cellStyle name="Normal 2 2 2 29 6" xfId="17367" xr:uid="{00000000-0005-0000-0000-0000D7430000}"/>
    <cellStyle name="Normal 2 2 2 29 7" xfId="17368" xr:uid="{00000000-0005-0000-0000-0000D8430000}"/>
    <cellStyle name="Normal 2 2 2 29 8" xfId="17369" xr:uid="{00000000-0005-0000-0000-0000D9430000}"/>
    <cellStyle name="Normal 2 2 2 29 9" xfId="17370" xr:uid="{00000000-0005-0000-0000-0000DA430000}"/>
    <cellStyle name="Normal 2 2 2 3" xfId="16" xr:uid="{00000000-0005-0000-0000-000010000000}"/>
    <cellStyle name="Normal 2 2 2 3 10" xfId="17371" xr:uid="{00000000-0005-0000-0000-0000DB430000}"/>
    <cellStyle name="Normal 2 2 2 3 10 10" xfId="17372" xr:uid="{00000000-0005-0000-0000-0000DC430000}"/>
    <cellStyle name="Normal 2 2 2 3 10 11" xfId="17373" xr:uid="{00000000-0005-0000-0000-0000DD430000}"/>
    <cellStyle name="Normal 2 2 2 3 10 12" xfId="17374" xr:uid="{00000000-0005-0000-0000-0000DE430000}"/>
    <cellStyle name="Normal 2 2 2 3 10 13" xfId="17375" xr:uid="{00000000-0005-0000-0000-0000DF430000}"/>
    <cellStyle name="Normal 2 2 2 3 10 14" xfId="17376" xr:uid="{00000000-0005-0000-0000-0000E0430000}"/>
    <cellStyle name="Normal 2 2 2 3 10 2" xfId="17377" xr:uid="{00000000-0005-0000-0000-0000E1430000}"/>
    <cellStyle name="Normal 2 2 2 3 10 2 10" xfId="17378" xr:uid="{00000000-0005-0000-0000-0000E2430000}"/>
    <cellStyle name="Normal 2 2 2 3 10 2 2" xfId="17379" xr:uid="{00000000-0005-0000-0000-0000E3430000}"/>
    <cellStyle name="Normal 2 2 2 3 10 2 3" xfId="17380" xr:uid="{00000000-0005-0000-0000-0000E4430000}"/>
    <cellStyle name="Normal 2 2 2 3 10 2 4" xfId="17381" xr:uid="{00000000-0005-0000-0000-0000E5430000}"/>
    <cellStyle name="Normal 2 2 2 3 10 2 5" xfId="17382" xr:uid="{00000000-0005-0000-0000-0000E6430000}"/>
    <cellStyle name="Normal 2 2 2 3 10 2 6" xfId="17383" xr:uid="{00000000-0005-0000-0000-0000E7430000}"/>
    <cellStyle name="Normal 2 2 2 3 10 2 7" xfId="17384" xr:uid="{00000000-0005-0000-0000-0000E8430000}"/>
    <cellStyle name="Normal 2 2 2 3 10 2 8" xfId="17385" xr:uid="{00000000-0005-0000-0000-0000E9430000}"/>
    <cellStyle name="Normal 2 2 2 3 10 2 9" xfId="17386" xr:uid="{00000000-0005-0000-0000-0000EA430000}"/>
    <cellStyle name="Normal 2 2 2 3 10 3" xfId="17387" xr:uid="{00000000-0005-0000-0000-0000EB430000}"/>
    <cellStyle name="Normal 2 2 2 3 10 3 10" xfId="17388" xr:uid="{00000000-0005-0000-0000-0000EC430000}"/>
    <cellStyle name="Normal 2 2 2 3 10 3 2" xfId="17389" xr:uid="{00000000-0005-0000-0000-0000ED430000}"/>
    <cellStyle name="Normal 2 2 2 3 10 3 3" xfId="17390" xr:uid="{00000000-0005-0000-0000-0000EE430000}"/>
    <cellStyle name="Normal 2 2 2 3 10 3 4" xfId="17391" xr:uid="{00000000-0005-0000-0000-0000EF430000}"/>
    <cellStyle name="Normal 2 2 2 3 10 3 5" xfId="17392" xr:uid="{00000000-0005-0000-0000-0000F0430000}"/>
    <cellStyle name="Normal 2 2 2 3 10 3 6" xfId="17393" xr:uid="{00000000-0005-0000-0000-0000F1430000}"/>
    <cellStyle name="Normal 2 2 2 3 10 3 7" xfId="17394" xr:uid="{00000000-0005-0000-0000-0000F2430000}"/>
    <cellStyle name="Normal 2 2 2 3 10 3 8" xfId="17395" xr:uid="{00000000-0005-0000-0000-0000F3430000}"/>
    <cellStyle name="Normal 2 2 2 3 10 3 9" xfId="17396" xr:uid="{00000000-0005-0000-0000-0000F4430000}"/>
    <cellStyle name="Normal 2 2 2 3 10 4" xfId="17397" xr:uid="{00000000-0005-0000-0000-0000F5430000}"/>
    <cellStyle name="Normal 2 2 2 3 10 4 10" xfId="17398" xr:uid="{00000000-0005-0000-0000-0000F6430000}"/>
    <cellStyle name="Normal 2 2 2 3 10 4 2" xfId="17399" xr:uid="{00000000-0005-0000-0000-0000F7430000}"/>
    <cellStyle name="Normal 2 2 2 3 10 4 3" xfId="17400" xr:uid="{00000000-0005-0000-0000-0000F8430000}"/>
    <cellStyle name="Normal 2 2 2 3 10 4 4" xfId="17401" xr:uid="{00000000-0005-0000-0000-0000F9430000}"/>
    <cellStyle name="Normal 2 2 2 3 10 4 5" xfId="17402" xr:uid="{00000000-0005-0000-0000-0000FA430000}"/>
    <cellStyle name="Normal 2 2 2 3 10 4 6" xfId="17403" xr:uid="{00000000-0005-0000-0000-0000FB430000}"/>
    <cellStyle name="Normal 2 2 2 3 10 4 7" xfId="17404" xr:uid="{00000000-0005-0000-0000-0000FC430000}"/>
    <cellStyle name="Normal 2 2 2 3 10 4 8" xfId="17405" xr:uid="{00000000-0005-0000-0000-0000FD430000}"/>
    <cellStyle name="Normal 2 2 2 3 10 4 9" xfId="17406" xr:uid="{00000000-0005-0000-0000-0000FE430000}"/>
    <cellStyle name="Normal 2 2 2 3 10 5" xfId="17407" xr:uid="{00000000-0005-0000-0000-0000FF430000}"/>
    <cellStyle name="Normal 2 2 2 3 10 5 10" xfId="17408" xr:uid="{00000000-0005-0000-0000-000000440000}"/>
    <cellStyle name="Normal 2 2 2 3 10 5 2" xfId="17409" xr:uid="{00000000-0005-0000-0000-000001440000}"/>
    <cellStyle name="Normal 2 2 2 3 10 5 3" xfId="17410" xr:uid="{00000000-0005-0000-0000-000002440000}"/>
    <cellStyle name="Normal 2 2 2 3 10 5 4" xfId="17411" xr:uid="{00000000-0005-0000-0000-000003440000}"/>
    <cellStyle name="Normal 2 2 2 3 10 5 5" xfId="17412" xr:uid="{00000000-0005-0000-0000-000004440000}"/>
    <cellStyle name="Normal 2 2 2 3 10 5 6" xfId="17413" xr:uid="{00000000-0005-0000-0000-000005440000}"/>
    <cellStyle name="Normal 2 2 2 3 10 5 7" xfId="17414" xr:uid="{00000000-0005-0000-0000-000006440000}"/>
    <cellStyle name="Normal 2 2 2 3 10 5 8" xfId="17415" xr:uid="{00000000-0005-0000-0000-000007440000}"/>
    <cellStyle name="Normal 2 2 2 3 10 5 9" xfId="17416" xr:uid="{00000000-0005-0000-0000-000008440000}"/>
    <cellStyle name="Normal 2 2 2 3 10 6" xfId="17417" xr:uid="{00000000-0005-0000-0000-000009440000}"/>
    <cellStyle name="Normal 2 2 2 3 10 7" xfId="17418" xr:uid="{00000000-0005-0000-0000-00000A440000}"/>
    <cellStyle name="Normal 2 2 2 3 10 8" xfId="17419" xr:uid="{00000000-0005-0000-0000-00000B440000}"/>
    <cellStyle name="Normal 2 2 2 3 10 9" xfId="17420" xr:uid="{00000000-0005-0000-0000-00000C440000}"/>
    <cellStyle name="Normal 2 2 2 3 11" xfId="17421" xr:uid="{00000000-0005-0000-0000-00000D440000}"/>
    <cellStyle name="Normal 2 2 2 3 11 10" xfId="17422" xr:uid="{00000000-0005-0000-0000-00000E440000}"/>
    <cellStyle name="Normal 2 2 2 3 11 11" xfId="17423" xr:uid="{00000000-0005-0000-0000-00000F440000}"/>
    <cellStyle name="Normal 2 2 2 3 11 12" xfId="17424" xr:uid="{00000000-0005-0000-0000-000010440000}"/>
    <cellStyle name="Normal 2 2 2 3 11 13" xfId="17425" xr:uid="{00000000-0005-0000-0000-000011440000}"/>
    <cellStyle name="Normal 2 2 2 3 11 14" xfId="17426" xr:uid="{00000000-0005-0000-0000-000012440000}"/>
    <cellStyle name="Normal 2 2 2 3 11 2" xfId="17427" xr:uid="{00000000-0005-0000-0000-000013440000}"/>
    <cellStyle name="Normal 2 2 2 3 11 2 10" xfId="17428" xr:uid="{00000000-0005-0000-0000-000014440000}"/>
    <cellStyle name="Normal 2 2 2 3 11 2 2" xfId="17429" xr:uid="{00000000-0005-0000-0000-000015440000}"/>
    <cellStyle name="Normal 2 2 2 3 11 2 3" xfId="17430" xr:uid="{00000000-0005-0000-0000-000016440000}"/>
    <cellStyle name="Normal 2 2 2 3 11 2 4" xfId="17431" xr:uid="{00000000-0005-0000-0000-000017440000}"/>
    <cellStyle name="Normal 2 2 2 3 11 2 5" xfId="17432" xr:uid="{00000000-0005-0000-0000-000018440000}"/>
    <cellStyle name="Normal 2 2 2 3 11 2 6" xfId="17433" xr:uid="{00000000-0005-0000-0000-000019440000}"/>
    <cellStyle name="Normal 2 2 2 3 11 2 7" xfId="17434" xr:uid="{00000000-0005-0000-0000-00001A440000}"/>
    <cellStyle name="Normal 2 2 2 3 11 2 8" xfId="17435" xr:uid="{00000000-0005-0000-0000-00001B440000}"/>
    <cellStyle name="Normal 2 2 2 3 11 2 9" xfId="17436" xr:uid="{00000000-0005-0000-0000-00001C440000}"/>
    <cellStyle name="Normal 2 2 2 3 11 3" xfId="17437" xr:uid="{00000000-0005-0000-0000-00001D440000}"/>
    <cellStyle name="Normal 2 2 2 3 11 3 10" xfId="17438" xr:uid="{00000000-0005-0000-0000-00001E440000}"/>
    <cellStyle name="Normal 2 2 2 3 11 3 2" xfId="17439" xr:uid="{00000000-0005-0000-0000-00001F440000}"/>
    <cellStyle name="Normal 2 2 2 3 11 3 3" xfId="17440" xr:uid="{00000000-0005-0000-0000-000020440000}"/>
    <cellStyle name="Normal 2 2 2 3 11 3 4" xfId="17441" xr:uid="{00000000-0005-0000-0000-000021440000}"/>
    <cellStyle name="Normal 2 2 2 3 11 3 5" xfId="17442" xr:uid="{00000000-0005-0000-0000-000022440000}"/>
    <cellStyle name="Normal 2 2 2 3 11 3 6" xfId="17443" xr:uid="{00000000-0005-0000-0000-000023440000}"/>
    <cellStyle name="Normal 2 2 2 3 11 3 7" xfId="17444" xr:uid="{00000000-0005-0000-0000-000024440000}"/>
    <cellStyle name="Normal 2 2 2 3 11 3 8" xfId="17445" xr:uid="{00000000-0005-0000-0000-000025440000}"/>
    <cellStyle name="Normal 2 2 2 3 11 3 9" xfId="17446" xr:uid="{00000000-0005-0000-0000-000026440000}"/>
    <cellStyle name="Normal 2 2 2 3 11 4" xfId="17447" xr:uid="{00000000-0005-0000-0000-000027440000}"/>
    <cellStyle name="Normal 2 2 2 3 11 4 10" xfId="17448" xr:uid="{00000000-0005-0000-0000-000028440000}"/>
    <cellStyle name="Normal 2 2 2 3 11 4 2" xfId="17449" xr:uid="{00000000-0005-0000-0000-000029440000}"/>
    <cellStyle name="Normal 2 2 2 3 11 4 3" xfId="17450" xr:uid="{00000000-0005-0000-0000-00002A440000}"/>
    <cellStyle name="Normal 2 2 2 3 11 4 4" xfId="17451" xr:uid="{00000000-0005-0000-0000-00002B440000}"/>
    <cellStyle name="Normal 2 2 2 3 11 4 5" xfId="17452" xr:uid="{00000000-0005-0000-0000-00002C440000}"/>
    <cellStyle name="Normal 2 2 2 3 11 4 6" xfId="17453" xr:uid="{00000000-0005-0000-0000-00002D440000}"/>
    <cellStyle name="Normal 2 2 2 3 11 4 7" xfId="17454" xr:uid="{00000000-0005-0000-0000-00002E440000}"/>
    <cellStyle name="Normal 2 2 2 3 11 4 8" xfId="17455" xr:uid="{00000000-0005-0000-0000-00002F440000}"/>
    <cellStyle name="Normal 2 2 2 3 11 4 9" xfId="17456" xr:uid="{00000000-0005-0000-0000-000030440000}"/>
    <cellStyle name="Normal 2 2 2 3 11 5" xfId="17457" xr:uid="{00000000-0005-0000-0000-000031440000}"/>
    <cellStyle name="Normal 2 2 2 3 11 5 10" xfId="17458" xr:uid="{00000000-0005-0000-0000-000032440000}"/>
    <cellStyle name="Normal 2 2 2 3 11 5 2" xfId="17459" xr:uid="{00000000-0005-0000-0000-000033440000}"/>
    <cellStyle name="Normal 2 2 2 3 11 5 3" xfId="17460" xr:uid="{00000000-0005-0000-0000-000034440000}"/>
    <cellStyle name="Normal 2 2 2 3 11 5 4" xfId="17461" xr:uid="{00000000-0005-0000-0000-000035440000}"/>
    <cellStyle name="Normal 2 2 2 3 11 5 5" xfId="17462" xr:uid="{00000000-0005-0000-0000-000036440000}"/>
    <cellStyle name="Normal 2 2 2 3 11 5 6" xfId="17463" xr:uid="{00000000-0005-0000-0000-000037440000}"/>
    <cellStyle name="Normal 2 2 2 3 11 5 7" xfId="17464" xr:uid="{00000000-0005-0000-0000-000038440000}"/>
    <cellStyle name="Normal 2 2 2 3 11 5 8" xfId="17465" xr:uid="{00000000-0005-0000-0000-000039440000}"/>
    <cellStyle name="Normal 2 2 2 3 11 5 9" xfId="17466" xr:uid="{00000000-0005-0000-0000-00003A440000}"/>
    <cellStyle name="Normal 2 2 2 3 11 6" xfId="17467" xr:uid="{00000000-0005-0000-0000-00003B440000}"/>
    <cellStyle name="Normal 2 2 2 3 11 7" xfId="17468" xr:uid="{00000000-0005-0000-0000-00003C440000}"/>
    <cellStyle name="Normal 2 2 2 3 11 8" xfId="17469" xr:uid="{00000000-0005-0000-0000-00003D440000}"/>
    <cellStyle name="Normal 2 2 2 3 11 9" xfId="17470" xr:uid="{00000000-0005-0000-0000-00003E440000}"/>
    <cellStyle name="Normal 2 2 2 3 12" xfId="17471" xr:uid="{00000000-0005-0000-0000-00003F440000}"/>
    <cellStyle name="Normal 2 2 2 3 12 10" xfId="17472" xr:uid="{00000000-0005-0000-0000-000040440000}"/>
    <cellStyle name="Normal 2 2 2 3 12 11" xfId="17473" xr:uid="{00000000-0005-0000-0000-000041440000}"/>
    <cellStyle name="Normal 2 2 2 3 12 12" xfId="17474" xr:uid="{00000000-0005-0000-0000-000042440000}"/>
    <cellStyle name="Normal 2 2 2 3 12 13" xfId="17475" xr:uid="{00000000-0005-0000-0000-000043440000}"/>
    <cellStyle name="Normal 2 2 2 3 12 14" xfId="17476" xr:uid="{00000000-0005-0000-0000-000044440000}"/>
    <cellStyle name="Normal 2 2 2 3 12 2" xfId="17477" xr:uid="{00000000-0005-0000-0000-000045440000}"/>
    <cellStyle name="Normal 2 2 2 3 12 2 10" xfId="17478" xr:uid="{00000000-0005-0000-0000-000046440000}"/>
    <cellStyle name="Normal 2 2 2 3 12 2 2" xfId="17479" xr:uid="{00000000-0005-0000-0000-000047440000}"/>
    <cellStyle name="Normal 2 2 2 3 12 2 3" xfId="17480" xr:uid="{00000000-0005-0000-0000-000048440000}"/>
    <cellStyle name="Normal 2 2 2 3 12 2 4" xfId="17481" xr:uid="{00000000-0005-0000-0000-000049440000}"/>
    <cellStyle name="Normal 2 2 2 3 12 2 5" xfId="17482" xr:uid="{00000000-0005-0000-0000-00004A440000}"/>
    <cellStyle name="Normal 2 2 2 3 12 2 6" xfId="17483" xr:uid="{00000000-0005-0000-0000-00004B440000}"/>
    <cellStyle name="Normal 2 2 2 3 12 2 7" xfId="17484" xr:uid="{00000000-0005-0000-0000-00004C440000}"/>
    <cellStyle name="Normal 2 2 2 3 12 2 8" xfId="17485" xr:uid="{00000000-0005-0000-0000-00004D440000}"/>
    <cellStyle name="Normal 2 2 2 3 12 2 9" xfId="17486" xr:uid="{00000000-0005-0000-0000-00004E440000}"/>
    <cellStyle name="Normal 2 2 2 3 12 3" xfId="17487" xr:uid="{00000000-0005-0000-0000-00004F440000}"/>
    <cellStyle name="Normal 2 2 2 3 12 3 10" xfId="17488" xr:uid="{00000000-0005-0000-0000-000050440000}"/>
    <cellStyle name="Normal 2 2 2 3 12 3 2" xfId="17489" xr:uid="{00000000-0005-0000-0000-000051440000}"/>
    <cellStyle name="Normal 2 2 2 3 12 3 3" xfId="17490" xr:uid="{00000000-0005-0000-0000-000052440000}"/>
    <cellStyle name="Normal 2 2 2 3 12 3 4" xfId="17491" xr:uid="{00000000-0005-0000-0000-000053440000}"/>
    <cellStyle name="Normal 2 2 2 3 12 3 5" xfId="17492" xr:uid="{00000000-0005-0000-0000-000054440000}"/>
    <cellStyle name="Normal 2 2 2 3 12 3 6" xfId="17493" xr:uid="{00000000-0005-0000-0000-000055440000}"/>
    <cellStyle name="Normal 2 2 2 3 12 3 7" xfId="17494" xr:uid="{00000000-0005-0000-0000-000056440000}"/>
    <cellStyle name="Normal 2 2 2 3 12 3 8" xfId="17495" xr:uid="{00000000-0005-0000-0000-000057440000}"/>
    <cellStyle name="Normal 2 2 2 3 12 3 9" xfId="17496" xr:uid="{00000000-0005-0000-0000-000058440000}"/>
    <cellStyle name="Normal 2 2 2 3 12 4" xfId="17497" xr:uid="{00000000-0005-0000-0000-000059440000}"/>
    <cellStyle name="Normal 2 2 2 3 12 4 10" xfId="17498" xr:uid="{00000000-0005-0000-0000-00005A440000}"/>
    <cellStyle name="Normal 2 2 2 3 12 4 2" xfId="17499" xr:uid="{00000000-0005-0000-0000-00005B440000}"/>
    <cellStyle name="Normal 2 2 2 3 12 4 3" xfId="17500" xr:uid="{00000000-0005-0000-0000-00005C440000}"/>
    <cellStyle name="Normal 2 2 2 3 12 4 4" xfId="17501" xr:uid="{00000000-0005-0000-0000-00005D440000}"/>
    <cellStyle name="Normal 2 2 2 3 12 4 5" xfId="17502" xr:uid="{00000000-0005-0000-0000-00005E440000}"/>
    <cellStyle name="Normal 2 2 2 3 12 4 6" xfId="17503" xr:uid="{00000000-0005-0000-0000-00005F440000}"/>
    <cellStyle name="Normal 2 2 2 3 12 4 7" xfId="17504" xr:uid="{00000000-0005-0000-0000-000060440000}"/>
    <cellStyle name="Normal 2 2 2 3 12 4 8" xfId="17505" xr:uid="{00000000-0005-0000-0000-000061440000}"/>
    <cellStyle name="Normal 2 2 2 3 12 4 9" xfId="17506" xr:uid="{00000000-0005-0000-0000-000062440000}"/>
    <cellStyle name="Normal 2 2 2 3 12 5" xfId="17507" xr:uid="{00000000-0005-0000-0000-000063440000}"/>
    <cellStyle name="Normal 2 2 2 3 12 5 10" xfId="17508" xr:uid="{00000000-0005-0000-0000-000064440000}"/>
    <cellStyle name="Normal 2 2 2 3 12 5 2" xfId="17509" xr:uid="{00000000-0005-0000-0000-000065440000}"/>
    <cellStyle name="Normal 2 2 2 3 12 5 3" xfId="17510" xr:uid="{00000000-0005-0000-0000-000066440000}"/>
    <cellStyle name="Normal 2 2 2 3 12 5 4" xfId="17511" xr:uid="{00000000-0005-0000-0000-000067440000}"/>
    <cellStyle name="Normal 2 2 2 3 12 5 5" xfId="17512" xr:uid="{00000000-0005-0000-0000-000068440000}"/>
    <cellStyle name="Normal 2 2 2 3 12 5 6" xfId="17513" xr:uid="{00000000-0005-0000-0000-000069440000}"/>
    <cellStyle name="Normal 2 2 2 3 12 5 7" xfId="17514" xr:uid="{00000000-0005-0000-0000-00006A440000}"/>
    <cellStyle name="Normal 2 2 2 3 12 5 8" xfId="17515" xr:uid="{00000000-0005-0000-0000-00006B440000}"/>
    <cellStyle name="Normal 2 2 2 3 12 5 9" xfId="17516" xr:uid="{00000000-0005-0000-0000-00006C440000}"/>
    <cellStyle name="Normal 2 2 2 3 12 6" xfId="17517" xr:uid="{00000000-0005-0000-0000-00006D440000}"/>
    <cellStyle name="Normal 2 2 2 3 12 7" xfId="17518" xr:uid="{00000000-0005-0000-0000-00006E440000}"/>
    <cellStyle name="Normal 2 2 2 3 12 8" xfId="17519" xr:uid="{00000000-0005-0000-0000-00006F440000}"/>
    <cellStyle name="Normal 2 2 2 3 12 9" xfId="17520" xr:uid="{00000000-0005-0000-0000-000070440000}"/>
    <cellStyle name="Normal 2 2 2 3 13" xfId="17521" xr:uid="{00000000-0005-0000-0000-000071440000}"/>
    <cellStyle name="Normal 2 2 2 3 13 10" xfId="17522" xr:uid="{00000000-0005-0000-0000-000072440000}"/>
    <cellStyle name="Normal 2 2 2 3 13 11" xfId="17523" xr:uid="{00000000-0005-0000-0000-000073440000}"/>
    <cellStyle name="Normal 2 2 2 3 13 12" xfId="17524" xr:uid="{00000000-0005-0000-0000-000074440000}"/>
    <cellStyle name="Normal 2 2 2 3 13 13" xfId="17525" xr:uid="{00000000-0005-0000-0000-000075440000}"/>
    <cellStyle name="Normal 2 2 2 3 13 14" xfId="17526" xr:uid="{00000000-0005-0000-0000-000076440000}"/>
    <cellStyle name="Normal 2 2 2 3 13 2" xfId="17527" xr:uid="{00000000-0005-0000-0000-000077440000}"/>
    <cellStyle name="Normal 2 2 2 3 13 2 10" xfId="17528" xr:uid="{00000000-0005-0000-0000-000078440000}"/>
    <cellStyle name="Normal 2 2 2 3 13 2 2" xfId="17529" xr:uid="{00000000-0005-0000-0000-000079440000}"/>
    <cellStyle name="Normal 2 2 2 3 13 2 3" xfId="17530" xr:uid="{00000000-0005-0000-0000-00007A440000}"/>
    <cellStyle name="Normal 2 2 2 3 13 2 4" xfId="17531" xr:uid="{00000000-0005-0000-0000-00007B440000}"/>
    <cellStyle name="Normal 2 2 2 3 13 2 5" xfId="17532" xr:uid="{00000000-0005-0000-0000-00007C440000}"/>
    <cellStyle name="Normal 2 2 2 3 13 2 6" xfId="17533" xr:uid="{00000000-0005-0000-0000-00007D440000}"/>
    <cellStyle name="Normal 2 2 2 3 13 2 7" xfId="17534" xr:uid="{00000000-0005-0000-0000-00007E440000}"/>
    <cellStyle name="Normal 2 2 2 3 13 2 8" xfId="17535" xr:uid="{00000000-0005-0000-0000-00007F440000}"/>
    <cellStyle name="Normal 2 2 2 3 13 2 9" xfId="17536" xr:uid="{00000000-0005-0000-0000-000080440000}"/>
    <cellStyle name="Normal 2 2 2 3 13 3" xfId="17537" xr:uid="{00000000-0005-0000-0000-000081440000}"/>
    <cellStyle name="Normal 2 2 2 3 13 3 10" xfId="17538" xr:uid="{00000000-0005-0000-0000-000082440000}"/>
    <cellStyle name="Normal 2 2 2 3 13 3 2" xfId="17539" xr:uid="{00000000-0005-0000-0000-000083440000}"/>
    <cellStyle name="Normal 2 2 2 3 13 3 3" xfId="17540" xr:uid="{00000000-0005-0000-0000-000084440000}"/>
    <cellStyle name="Normal 2 2 2 3 13 3 4" xfId="17541" xr:uid="{00000000-0005-0000-0000-000085440000}"/>
    <cellStyle name="Normal 2 2 2 3 13 3 5" xfId="17542" xr:uid="{00000000-0005-0000-0000-000086440000}"/>
    <cellStyle name="Normal 2 2 2 3 13 3 6" xfId="17543" xr:uid="{00000000-0005-0000-0000-000087440000}"/>
    <cellStyle name="Normal 2 2 2 3 13 3 7" xfId="17544" xr:uid="{00000000-0005-0000-0000-000088440000}"/>
    <cellStyle name="Normal 2 2 2 3 13 3 8" xfId="17545" xr:uid="{00000000-0005-0000-0000-000089440000}"/>
    <cellStyle name="Normal 2 2 2 3 13 3 9" xfId="17546" xr:uid="{00000000-0005-0000-0000-00008A440000}"/>
    <cellStyle name="Normal 2 2 2 3 13 4" xfId="17547" xr:uid="{00000000-0005-0000-0000-00008B440000}"/>
    <cellStyle name="Normal 2 2 2 3 13 4 10" xfId="17548" xr:uid="{00000000-0005-0000-0000-00008C440000}"/>
    <cellStyle name="Normal 2 2 2 3 13 4 2" xfId="17549" xr:uid="{00000000-0005-0000-0000-00008D440000}"/>
    <cellStyle name="Normal 2 2 2 3 13 4 3" xfId="17550" xr:uid="{00000000-0005-0000-0000-00008E440000}"/>
    <cellStyle name="Normal 2 2 2 3 13 4 4" xfId="17551" xr:uid="{00000000-0005-0000-0000-00008F440000}"/>
    <cellStyle name="Normal 2 2 2 3 13 4 5" xfId="17552" xr:uid="{00000000-0005-0000-0000-000090440000}"/>
    <cellStyle name="Normal 2 2 2 3 13 4 6" xfId="17553" xr:uid="{00000000-0005-0000-0000-000091440000}"/>
    <cellStyle name="Normal 2 2 2 3 13 4 7" xfId="17554" xr:uid="{00000000-0005-0000-0000-000092440000}"/>
    <cellStyle name="Normal 2 2 2 3 13 4 8" xfId="17555" xr:uid="{00000000-0005-0000-0000-000093440000}"/>
    <cellStyle name="Normal 2 2 2 3 13 4 9" xfId="17556" xr:uid="{00000000-0005-0000-0000-000094440000}"/>
    <cellStyle name="Normal 2 2 2 3 13 5" xfId="17557" xr:uid="{00000000-0005-0000-0000-000095440000}"/>
    <cellStyle name="Normal 2 2 2 3 13 5 10" xfId="17558" xr:uid="{00000000-0005-0000-0000-000096440000}"/>
    <cellStyle name="Normal 2 2 2 3 13 5 2" xfId="17559" xr:uid="{00000000-0005-0000-0000-000097440000}"/>
    <cellStyle name="Normal 2 2 2 3 13 5 3" xfId="17560" xr:uid="{00000000-0005-0000-0000-000098440000}"/>
    <cellStyle name="Normal 2 2 2 3 13 5 4" xfId="17561" xr:uid="{00000000-0005-0000-0000-000099440000}"/>
    <cellStyle name="Normal 2 2 2 3 13 5 5" xfId="17562" xr:uid="{00000000-0005-0000-0000-00009A440000}"/>
    <cellStyle name="Normal 2 2 2 3 13 5 6" xfId="17563" xr:uid="{00000000-0005-0000-0000-00009B440000}"/>
    <cellStyle name="Normal 2 2 2 3 13 5 7" xfId="17564" xr:uid="{00000000-0005-0000-0000-00009C440000}"/>
    <cellStyle name="Normal 2 2 2 3 13 5 8" xfId="17565" xr:uid="{00000000-0005-0000-0000-00009D440000}"/>
    <cellStyle name="Normal 2 2 2 3 13 5 9" xfId="17566" xr:uid="{00000000-0005-0000-0000-00009E440000}"/>
    <cellStyle name="Normal 2 2 2 3 13 6" xfId="17567" xr:uid="{00000000-0005-0000-0000-00009F440000}"/>
    <cellStyle name="Normal 2 2 2 3 13 7" xfId="17568" xr:uid="{00000000-0005-0000-0000-0000A0440000}"/>
    <cellStyle name="Normal 2 2 2 3 13 8" xfId="17569" xr:uid="{00000000-0005-0000-0000-0000A1440000}"/>
    <cellStyle name="Normal 2 2 2 3 13 9" xfId="17570" xr:uid="{00000000-0005-0000-0000-0000A2440000}"/>
    <cellStyle name="Normal 2 2 2 3 14" xfId="17571" xr:uid="{00000000-0005-0000-0000-0000A3440000}"/>
    <cellStyle name="Normal 2 2 2 3 14 10" xfId="17572" xr:uid="{00000000-0005-0000-0000-0000A4440000}"/>
    <cellStyle name="Normal 2 2 2 3 14 11" xfId="17573" xr:uid="{00000000-0005-0000-0000-0000A5440000}"/>
    <cellStyle name="Normal 2 2 2 3 14 12" xfId="17574" xr:uid="{00000000-0005-0000-0000-0000A6440000}"/>
    <cellStyle name="Normal 2 2 2 3 14 13" xfId="17575" xr:uid="{00000000-0005-0000-0000-0000A7440000}"/>
    <cellStyle name="Normal 2 2 2 3 14 14" xfId="17576" xr:uid="{00000000-0005-0000-0000-0000A8440000}"/>
    <cellStyle name="Normal 2 2 2 3 14 2" xfId="17577" xr:uid="{00000000-0005-0000-0000-0000A9440000}"/>
    <cellStyle name="Normal 2 2 2 3 14 2 10" xfId="17578" xr:uid="{00000000-0005-0000-0000-0000AA440000}"/>
    <cellStyle name="Normal 2 2 2 3 14 2 2" xfId="17579" xr:uid="{00000000-0005-0000-0000-0000AB440000}"/>
    <cellStyle name="Normal 2 2 2 3 14 2 3" xfId="17580" xr:uid="{00000000-0005-0000-0000-0000AC440000}"/>
    <cellStyle name="Normal 2 2 2 3 14 2 4" xfId="17581" xr:uid="{00000000-0005-0000-0000-0000AD440000}"/>
    <cellStyle name="Normal 2 2 2 3 14 2 5" xfId="17582" xr:uid="{00000000-0005-0000-0000-0000AE440000}"/>
    <cellStyle name="Normal 2 2 2 3 14 2 6" xfId="17583" xr:uid="{00000000-0005-0000-0000-0000AF440000}"/>
    <cellStyle name="Normal 2 2 2 3 14 2 7" xfId="17584" xr:uid="{00000000-0005-0000-0000-0000B0440000}"/>
    <cellStyle name="Normal 2 2 2 3 14 2 8" xfId="17585" xr:uid="{00000000-0005-0000-0000-0000B1440000}"/>
    <cellStyle name="Normal 2 2 2 3 14 2 9" xfId="17586" xr:uid="{00000000-0005-0000-0000-0000B2440000}"/>
    <cellStyle name="Normal 2 2 2 3 14 3" xfId="17587" xr:uid="{00000000-0005-0000-0000-0000B3440000}"/>
    <cellStyle name="Normal 2 2 2 3 14 3 10" xfId="17588" xr:uid="{00000000-0005-0000-0000-0000B4440000}"/>
    <cellStyle name="Normal 2 2 2 3 14 3 2" xfId="17589" xr:uid="{00000000-0005-0000-0000-0000B5440000}"/>
    <cellStyle name="Normal 2 2 2 3 14 3 3" xfId="17590" xr:uid="{00000000-0005-0000-0000-0000B6440000}"/>
    <cellStyle name="Normal 2 2 2 3 14 3 4" xfId="17591" xr:uid="{00000000-0005-0000-0000-0000B7440000}"/>
    <cellStyle name="Normal 2 2 2 3 14 3 5" xfId="17592" xr:uid="{00000000-0005-0000-0000-0000B8440000}"/>
    <cellStyle name="Normal 2 2 2 3 14 3 6" xfId="17593" xr:uid="{00000000-0005-0000-0000-0000B9440000}"/>
    <cellStyle name="Normal 2 2 2 3 14 3 7" xfId="17594" xr:uid="{00000000-0005-0000-0000-0000BA440000}"/>
    <cellStyle name="Normal 2 2 2 3 14 3 8" xfId="17595" xr:uid="{00000000-0005-0000-0000-0000BB440000}"/>
    <cellStyle name="Normal 2 2 2 3 14 3 9" xfId="17596" xr:uid="{00000000-0005-0000-0000-0000BC440000}"/>
    <cellStyle name="Normal 2 2 2 3 14 4" xfId="17597" xr:uid="{00000000-0005-0000-0000-0000BD440000}"/>
    <cellStyle name="Normal 2 2 2 3 14 4 10" xfId="17598" xr:uid="{00000000-0005-0000-0000-0000BE440000}"/>
    <cellStyle name="Normal 2 2 2 3 14 4 2" xfId="17599" xr:uid="{00000000-0005-0000-0000-0000BF440000}"/>
    <cellStyle name="Normal 2 2 2 3 14 4 3" xfId="17600" xr:uid="{00000000-0005-0000-0000-0000C0440000}"/>
    <cellStyle name="Normal 2 2 2 3 14 4 4" xfId="17601" xr:uid="{00000000-0005-0000-0000-0000C1440000}"/>
    <cellStyle name="Normal 2 2 2 3 14 4 5" xfId="17602" xr:uid="{00000000-0005-0000-0000-0000C2440000}"/>
    <cellStyle name="Normal 2 2 2 3 14 4 6" xfId="17603" xr:uid="{00000000-0005-0000-0000-0000C3440000}"/>
    <cellStyle name="Normal 2 2 2 3 14 4 7" xfId="17604" xr:uid="{00000000-0005-0000-0000-0000C4440000}"/>
    <cellStyle name="Normal 2 2 2 3 14 4 8" xfId="17605" xr:uid="{00000000-0005-0000-0000-0000C5440000}"/>
    <cellStyle name="Normal 2 2 2 3 14 4 9" xfId="17606" xr:uid="{00000000-0005-0000-0000-0000C6440000}"/>
    <cellStyle name="Normal 2 2 2 3 14 5" xfId="17607" xr:uid="{00000000-0005-0000-0000-0000C7440000}"/>
    <cellStyle name="Normal 2 2 2 3 14 5 10" xfId="17608" xr:uid="{00000000-0005-0000-0000-0000C8440000}"/>
    <cellStyle name="Normal 2 2 2 3 14 5 2" xfId="17609" xr:uid="{00000000-0005-0000-0000-0000C9440000}"/>
    <cellStyle name="Normal 2 2 2 3 14 5 3" xfId="17610" xr:uid="{00000000-0005-0000-0000-0000CA440000}"/>
    <cellStyle name="Normal 2 2 2 3 14 5 4" xfId="17611" xr:uid="{00000000-0005-0000-0000-0000CB440000}"/>
    <cellStyle name="Normal 2 2 2 3 14 5 5" xfId="17612" xr:uid="{00000000-0005-0000-0000-0000CC440000}"/>
    <cellStyle name="Normal 2 2 2 3 14 5 6" xfId="17613" xr:uid="{00000000-0005-0000-0000-0000CD440000}"/>
    <cellStyle name="Normal 2 2 2 3 14 5 7" xfId="17614" xr:uid="{00000000-0005-0000-0000-0000CE440000}"/>
    <cellStyle name="Normal 2 2 2 3 14 5 8" xfId="17615" xr:uid="{00000000-0005-0000-0000-0000CF440000}"/>
    <cellStyle name="Normal 2 2 2 3 14 5 9" xfId="17616" xr:uid="{00000000-0005-0000-0000-0000D0440000}"/>
    <cellStyle name="Normal 2 2 2 3 14 6" xfId="17617" xr:uid="{00000000-0005-0000-0000-0000D1440000}"/>
    <cellStyle name="Normal 2 2 2 3 14 7" xfId="17618" xr:uid="{00000000-0005-0000-0000-0000D2440000}"/>
    <cellStyle name="Normal 2 2 2 3 14 8" xfId="17619" xr:uid="{00000000-0005-0000-0000-0000D3440000}"/>
    <cellStyle name="Normal 2 2 2 3 14 9" xfId="17620" xr:uid="{00000000-0005-0000-0000-0000D4440000}"/>
    <cellStyle name="Normal 2 2 2 3 15" xfId="17621" xr:uid="{00000000-0005-0000-0000-0000D5440000}"/>
    <cellStyle name="Normal 2 2 2 3 15 10" xfId="17622" xr:uid="{00000000-0005-0000-0000-0000D6440000}"/>
    <cellStyle name="Normal 2 2 2 3 15 11" xfId="17623" xr:uid="{00000000-0005-0000-0000-0000D7440000}"/>
    <cellStyle name="Normal 2 2 2 3 15 12" xfId="17624" xr:uid="{00000000-0005-0000-0000-0000D8440000}"/>
    <cellStyle name="Normal 2 2 2 3 15 13" xfId="17625" xr:uid="{00000000-0005-0000-0000-0000D9440000}"/>
    <cellStyle name="Normal 2 2 2 3 15 14" xfId="17626" xr:uid="{00000000-0005-0000-0000-0000DA440000}"/>
    <cellStyle name="Normal 2 2 2 3 15 2" xfId="17627" xr:uid="{00000000-0005-0000-0000-0000DB440000}"/>
    <cellStyle name="Normal 2 2 2 3 15 2 10" xfId="17628" xr:uid="{00000000-0005-0000-0000-0000DC440000}"/>
    <cellStyle name="Normal 2 2 2 3 15 2 2" xfId="17629" xr:uid="{00000000-0005-0000-0000-0000DD440000}"/>
    <cellStyle name="Normal 2 2 2 3 15 2 3" xfId="17630" xr:uid="{00000000-0005-0000-0000-0000DE440000}"/>
    <cellStyle name="Normal 2 2 2 3 15 2 4" xfId="17631" xr:uid="{00000000-0005-0000-0000-0000DF440000}"/>
    <cellStyle name="Normal 2 2 2 3 15 2 5" xfId="17632" xr:uid="{00000000-0005-0000-0000-0000E0440000}"/>
    <cellStyle name="Normal 2 2 2 3 15 2 6" xfId="17633" xr:uid="{00000000-0005-0000-0000-0000E1440000}"/>
    <cellStyle name="Normal 2 2 2 3 15 2 7" xfId="17634" xr:uid="{00000000-0005-0000-0000-0000E2440000}"/>
    <cellStyle name="Normal 2 2 2 3 15 2 8" xfId="17635" xr:uid="{00000000-0005-0000-0000-0000E3440000}"/>
    <cellStyle name="Normal 2 2 2 3 15 2 9" xfId="17636" xr:uid="{00000000-0005-0000-0000-0000E4440000}"/>
    <cellStyle name="Normal 2 2 2 3 15 3" xfId="17637" xr:uid="{00000000-0005-0000-0000-0000E5440000}"/>
    <cellStyle name="Normal 2 2 2 3 15 3 10" xfId="17638" xr:uid="{00000000-0005-0000-0000-0000E6440000}"/>
    <cellStyle name="Normal 2 2 2 3 15 3 2" xfId="17639" xr:uid="{00000000-0005-0000-0000-0000E7440000}"/>
    <cellStyle name="Normal 2 2 2 3 15 3 3" xfId="17640" xr:uid="{00000000-0005-0000-0000-0000E8440000}"/>
    <cellStyle name="Normal 2 2 2 3 15 3 4" xfId="17641" xr:uid="{00000000-0005-0000-0000-0000E9440000}"/>
    <cellStyle name="Normal 2 2 2 3 15 3 5" xfId="17642" xr:uid="{00000000-0005-0000-0000-0000EA440000}"/>
    <cellStyle name="Normal 2 2 2 3 15 3 6" xfId="17643" xr:uid="{00000000-0005-0000-0000-0000EB440000}"/>
    <cellStyle name="Normal 2 2 2 3 15 3 7" xfId="17644" xr:uid="{00000000-0005-0000-0000-0000EC440000}"/>
    <cellStyle name="Normal 2 2 2 3 15 3 8" xfId="17645" xr:uid="{00000000-0005-0000-0000-0000ED440000}"/>
    <cellStyle name="Normal 2 2 2 3 15 3 9" xfId="17646" xr:uid="{00000000-0005-0000-0000-0000EE440000}"/>
    <cellStyle name="Normal 2 2 2 3 15 4" xfId="17647" xr:uid="{00000000-0005-0000-0000-0000EF440000}"/>
    <cellStyle name="Normal 2 2 2 3 15 4 10" xfId="17648" xr:uid="{00000000-0005-0000-0000-0000F0440000}"/>
    <cellStyle name="Normal 2 2 2 3 15 4 2" xfId="17649" xr:uid="{00000000-0005-0000-0000-0000F1440000}"/>
    <cellStyle name="Normal 2 2 2 3 15 4 3" xfId="17650" xr:uid="{00000000-0005-0000-0000-0000F2440000}"/>
    <cellStyle name="Normal 2 2 2 3 15 4 4" xfId="17651" xr:uid="{00000000-0005-0000-0000-0000F3440000}"/>
    <cellStyle name="Normal 2 2 2 3 15 4 5" xfId="17652" xr:uid="{00000000-0005-0000-0000-0000F4440000}"/>
    <cellStyle name="Normal 2 2 2 3 15 4 6" xfId="17653" xr:uid="{00000000-0005-0000-0000-0000F5440000}"/>
    <cellStyle name="Normal 2 2 2 3 15 4 7" xfId="17654" xr:uid="{00000000-0005-0000-0000-0000F6440000}"/>
    <cellStyle name="Normal 2 2 2 3 15 4 8" xfId="17655" xr:uid="{00000000-0005-0000-0000-0000F7440000}"/>
    <cellStyle name="Normal 2 2 2 3 15 4 9" xfId="17656" xr:uid="{00000000-0005-0000-0000-0000F8440000}"/>
    <cellStyle name="Normal 2 2 2 3 15 5" xfId="17657" xr:uid="{00000000-0005-0000-0000-0000F9440000}"/>
    <cellStyle name="Normal 2 2 2 3 15 5 10" xfId="17658" xr:uid="{00000000-0005-0000-0000-0000FA440000}"/>
    <cellStyle name="Normal 2 2 2 3 15 5 2" xfId="17659" xr:uid="{00000000-0005-0000-0000-0000FB440000}"/>
    <cellStyle name="Normal 2 2 2 3 15 5 3" xfId="17660" xr:uid="{00000000-0005-0000-0000-0000FC440000}"/>
    <cellStyle name="Normal 2 2 2 3 15 5 4" xfId="17661" xr:uid="{00000000-0005-0000-0000-0000FD440000}"/>
    <cellStyle name="Normal 2 2 2 3 15 5 5" xfId="17662" xr:uid="{00000000-0005-0000-0000-0000FE440000}"/>
    <cellStyle name="Normal 2 2 2 3 15 5 6" xfId="17663" xr:uid="{00000000-0005-0000-0000-0000FF440000}"/>
    <cellStyle name="Normal 2 2 2 3 15 5 7" xfId="17664" xr:uid="{00000000-0005-0000-0000-000000450000}"/>
    <cellStyle name="Normal 2 2 2 3 15 5 8" xfId="17665" xr:uid="{00000000-0005-0000-0000-000001450000}"/>
    <cellStyle name="Normal 2 2 2 3 15 5 9" xfId="17666" xr:uid="{00000000-0005-0000-0000-000002450000}"/>
    <cellStyle name="Normal 2 2 2 3 15 6" xfId="17667" xr:uid="{00000000-0005-0000-0000-000003450000}"/>
    <cellStyle name="Normal 2 2 2 3 15 7" xfId="17668" xr:uid="{00000000-0005-0000-0000-000004450000}"/>
    <cellStyle name="Normal 2 2 2 3 15 8" xfId="17669" xr:uid="{00000000-0005-0000-0000-000005450000}"/>
    <cellStyle name="Normal 2 2 2 3 15 9" xfId="17670" xr:uid="{00000000-0005-0000-0000-000006450000}"/>
    <cellStyle name="Normal 2 2 2 3 16" xfId="17671" xr:uid="{00000000-0005-0000-0000-000007450000}"/>
    <cellStyle name="Normal 2 2 2 3 16 10" xfId="17672" xr:uid="{00000000-0005-0000-0000-000008450000}"/>
    <cellStyle name="Normal 2 2 2 3 16 11" xfId="17673" xr:uid="{00000000-0005-0000-0000-000009450000}"/>
    <cellStyle name="Normal 2 2 2 3 16 12" xfId="17674" xr:uid="{00000000-0005-0000-0000-00000A450000}"/>
    <cellStyle name="Normal 2 2 2 3 16 13" xfId="17675" xr:uid="{00000000-0005-0000-0000-00000B450000}"/>
    <cellStyle name="Normal 2 2 2 3 16 14" xfId="17676" xr:uid="{00000000-0005-0000-0000-00000C450000}"/>
    <cellStyle name="Normal 2 2 2 3 16 2" xfId="17677" xr:uid="{00000000-0005-0000-0000-00000D450000}"/>
    <cellStyle name="Normal 2 2 2 3 16 2 10" xfId="17678" xr:uid="{00000000-0005-0000-0000-00000E450000}"/>
    <cellStyle name="Normal 2 2 2 3 16 2 2" xfId="17679" xr:uid="{00000000-0005-0000-0000-00000F450000}"/>
    <cellStyle name="Normal 2 2 2 3 16 2 3" xfId="17680" xr:uid="{00000000-0005-0000-0000-000010450000}"/>
    <cellStyle name="Normal 2 2 2 3 16 2 4" xfId="17681" xr:uid="{00000000-0005-0000-0000-000011450000}"/>
    <cellStyle name="Normal 2 2 2 3 16 2 5" xfId="17682" xr:uid="{00000000-0005-0000-0000-000012450000}"/>
    <cellStyle name="Normal 2 2 2 3 16 2 6" xfId="17683" xr:uid="{00000000-0005-0000-0000-000013450000}"/>
    <cellStyle name="Normal 2 2 2 3 16 2 7" xfId="17684" xr:uid="{00000000-0005-0000-0000-000014450000}"/>
    <cellStyle name="Normal 2 2 2 3 16 2 8" xfId="17685" xr:uid="{00000000-0005-0000-0000-000015450000}"/>
    <cellStyle name="Normal 2 2 2 3 16 2 9" xfId="17686" xr:uid="{00000000-0005-0000-0000-000016450000}"/>
    <cellStyle name="Normal 2 2 2 3 16 3" xfId="17687" xr:uid="{00000000-0005-0000-0000-000017450000}"/>
    <cellStyle name="Normal 2 2 2 3 16 3 10" xfId="17688" xr:uid="{00000000-0005-0000-0000-000018450000}"/>
    <cellStyle name="Normal 2 2 2 3 16 3 2" xfId="17689" xr:uid="{00000000-0005-0000-0000-000019450000}"/>
    <cellStyle name="Normal 2 2 2 3 16 3 3" xfId="17690" xr:uid="{00000000-0005-0000-0000-00001A450000}"/>
    <cellStyle name="Normal 2 2 2 3 16 3 4" xfId="17691" xr:uid="{00000000-0005-0000-0000-00001B450000}"/>
    <cellStyle name="Normal 2 2 2 3 16 3 5" xfId="17692" xr:uid="{00000000-0005-0000-0000-00001C450000}"/>
    <cellStyle name="Normal 2 2 2 3 16 3 6" xfId="17693" xr:uid="{00000000-0005-0000-0000-00001D450000}"/>
    <cellStyle name="Normal 2 2 2 3 16 3 7" xfId="17694" xr:uid="{00000000-0005-0000-0000-00001E450000}"/>
    <cellStyle name="Normal 2 2 2 3 16 3 8" xfId="17695" xr:uid="{00000000-0005-0000-0000-00001F450000}"/>
    <cellStyle name="Normal 2 2 2 3 16 3 9" xfId="17696" xr:uid="{00000000-0005-0000-0000-000020450000}"/>
    <cellStyle name="Normal 2 2 2 3 16 4" xfId="17697" xr:uid="{00000000-0005-0000-0000-000021450000}"/>
    <cellStyle name="Normal 2 2 2 3 16 4 10" xfId="17698" xr:uid="{00000000-0005-0000-0000-000022450000}"/>
    <cellStyle name="Normal 2 2 2 3 16 4 2" xfId="17699" xr:uid="{00000000-0005-0000-0000-000023450000}"/>
    <cellStyle name="Normal 2 2 2 3 16 4 3" xfId="17700" xr:uid="{00000000-0005-0000-0000-000024450000}"/>
    <cellStyle name="Normal 2 2 2 3 16 4 4" xfId="17701" xr:uid="{00000000-0005-0000-0000-000025450000}"/>
    <cellStyle name="Normal 2 2 2 3 16 4 5" xfId="17702" xr:uid="{00000000-0005-0000-0000-000026450000}"/>
    <cellStyle name="Normal 2 2 2 3 16 4 6" xfId="17703" xr:uid="{00000000-0005-0000-0000-000027450000}"/>
    <cellStyle name="Normal 2 2 2 3 16 4 7" xfId="17704" xr:uid="{00000000-0005-0000-0000-000028450000}"/>
    <cellStyle name="Normal 2 2 2 3 16 4 8" xfId="17705" xr:uid="{00000000-0005-0000-0000-000029450000}"/>
    <cellStyle name="Normal 2 2 2 3 16 4 9" xfId="17706" xr:uid="{00000000-0005-0000-0000-00002A450000}"/>
    <cellStyle name="Normal 2 2 2 3 16 5" xfId="17707" xr:uid="{00000000-0005-0000-0000-00002B450000}"/>
    <cellStyle name="Normal 2 2 2 3 16 5 10" xfId="17708" xr:uid="{00000000-0005-0000-0000-00002C450000}"/>
    <cellStyle name="Normal 2 2 2 3 16 5 2" xfId="17709" xr:uid="{00000000-0005-0000-0000-00002D450000}"/>
    <cellStyle name="Normal 2 2 2 3 16 5 3" xfId="17710" xr:uid="{00000000-0005-0000-0000-00002E450000}"/>
    <cellStyle name="Normal 2 2 2 3 16 5 4" xfId="17711" xr:uid="{00000000-0005-0000-0000-00002F450000}"/>
    <cellStyle name="Normal 2 2 2 3 16 5 5" xfId="17712" xr:uid="{00000000-0005-0000-0000-000030450000}"/>
    <cellStyle name="Normal 2 2 2 3 16 5 6" xfId="17713" xr:uid="{00000000-0005-0000-0000-000031450000}"/>
    <cellStyle name="Normal 2 2 2 3 16 5 7" xfId="17714" xr:uid="{00000000-0005-0000-0000-000032450000}"/>
    <cellStyle name="Normal 2 2 2 3 16 5 8" xfId="17715" xr:uid="{00000000-0005-0000-0000-000033450000}"/>
    <cellStyle name="Normal 2 2 2 3 16 5 9" xfId="17716" xr:uid="{00000000-0005-0000-0000-000034450000}"/>
    <cellStyle name="Normal 2 2 2 3 16 6" xfId="17717" xr:uid="{00000000-0005-0000-0000-000035450000}"/>
    <cellStyle name="Normal 2 2 2 3 16 7" xfId="17718" xr:uid="{00000000-0005-0000-0000-000036450000}"/>
    <cellStyle name="Normal 2 2 2 3 16 8" xfId="17719" xr:uid="{00000000-0005-0000-0000-000037450000}"/>
    <cellStyle name="Normal 2 2 2 3 16 9" xfId="17720" xr:uid="{00000000-0005-0000-0000-000038450000}"/>
    <cellStyle name="Normal 2 2 2 3 17" xfId="17721" xr:uid="{00000000-0005-0000-0000-000039450000}"/>
    <cellStyle name="Normal 2 2 2 3 17 10" xfId="17722" xr:uid="{00000000-0005-0000-0000-00003A450000}"/>
    <cellStyle name="Normal 2 2 2 3 17 11" xfId="17723" xr:uid="{00000000-0005-0000-0000-00003B450000}"/>
    <cellStyle name="Normal 2 2 2 3 17 12" xfId="17724" xr:uid="{00000000-0005-0000-0000-00003C450000}"/>
    <cellStyle name="Normal 2 2 2 3 17 13" xfId="17725" xr:uid="{00000000-0005-0000-0000-00003D450000}"/>
    <cellStyle name="Normal 2 2 2 3 17 14" xfId="17726" xr:uid="{00000000-0005-0000-0000-00003E450000}"/>
    <cellStyle name="Normal 2 2 2 3 17 2" xfId="17727" xr:uid="{00000000-0005-0000-0000-00003F450000}"/>
    <cellStyle name="Normal 2 2 2 3 17 2 10" xfId="17728" xr:uid="{00000000-0005-0000-0000-000040450000}"/>
    <cellStyle name="Normal 2 2 2 3 17 2 2" xfId="17729" xr:uid="{00000000-0005-0000-0000-000041450000}"/>
    <cellStyle name="Normal 2 2 2 3 17 2 3" xfId="17730" xr:uid="{00000000-0005-0000-0000-000042450000}"/>
    <cellStyle name="Normal 2 2 2 3 17 2 4" xfId="17731" xr:uid="{00000000-0005-0000-0000-000043450000}"/>
    <cellStyle name="Normal 2 2 2 3 17 2 5" xfId="17732" xr:uid="{00000000-0005-0000-0000-000044450000}"/>
    <cellStyle name="Normal 2 2 2 3 17 2 6" xfId="17733" xr:uid="{00000000-0005-0000-0000-000045450000}"/>
    <cellStyle name="Normal 2 2 2 3 17 2 7" xfId="17734" xr:uid="{00000000-0005-0000-0000-000046450000}"/>
    <cellStyle name="Normal 2 2 2 3 17 2 8" xfId="17735" xr:uid="{00000000-0005-0000-0000-000047450000}"/>
    <cellStyle name="Normal 2 2 2 3 17 2 9" xfId="17736" xr:uid="{00000000-0005-0000-0000-000048450000}"/>
    <cellStyle name="Normal 2 2 2 3 17 3" xfId="17737" xr:uid="{00000000-0005-0000-0000-000049450000}"/>
    <cellStyle name="Normal 2 2 2 3 17 3 10" xfId="17738" xr:uid="{00000000-0005-0000-0000-00004A450000}"/>
    <cellStyle name="Normal 2 2 2 3 17 3 2" xfId="17739" xr:uid="{00000000-0005-0000-0000-00004B450000}"/>
    <cellStyle name="Normal 2 2 2 3 17 3 3" xfId="17740" xr:uid="{00000000-0005-0000-0000-00004C450000}"/>
    <cellStyle name="Normal 2 2 2 3 17 3 4" xfId="17741" xr:uid="{00000000-0005-0000-0000-00004D450000}"/>
    <cellStyle name="Normal 2 2 2 3 17 3 5" xfId="17742" xr:uid="{00000000-0005-0000-0000-00004E450000}"/>
    <cellStyle name="Normal 2 2 2 3 17 3 6" xfId="17743" xr:uid="{00000000-0005-0000-0000-00004F450000}"/>
    <cellStyle name="Normal 2 2 2 3 17 3 7" xfId="17744" xr:uid="{00000000-0005-0000-0000-000050450000}"/>
    <cellStyle name="Normal 2 2 2 3 17 3 8" xfId="17745" xr:uid="{00000000-0005-0000-0000-000051450000}"/>
    <cellStyle name="Normal 2 2 2 3 17 3 9" xfId="17746" xr:uid="{00000000-0005-0000-0000-000052450000}"/>
    <cellStyle name="Normal 2 2 2 3 17 4" xfId="17747" xr:uid="{00000000-0005-0000-0000-000053450000}"/>
    <cellStyle name="Normal 2 2 2 3 17 4 10" xfId="17748" xr:uid="{00000000-0005-0000-0000-000054450000}"/>
    <cellStyle name="Normal 2 2 2 3 17 4 2" xfId="17749" xr:uid="{00000000-0005-0000-0000-000055450000}"/>
    <cellStyle name="Normal 2 2 2 3 17 4 3" xfId="17750" xr:uid="{00000000-0005-0000-0000-000056450000}"/>
    <cellStyle name="Normal 2 2 2 3 17 4 4" xfId="17751" xr:uid="{00000000-0005-0000-0000-000057450000}"/>
    <cellStyle name="Normal 2 2 2 3 17 4 5" xfId="17752" xr:uid="{00000000-0005-0000-0000-000058450000}"/>
    <cellStyle name="Normal 2 2 2 3 17 4 6" xfId="17753" xr:uid="{00000000-0005-0000-0000-000059450000}"/>
    <cellStyle name="Normal 2 2 2 3 17 4 7" xfId="17754" xr:uid="{00000000-0005-0000-0000-00005A450000}"/>
    <cellStyle name="Normal 2 2 2 3 17 4 8" xfId="17755" xr:uid="{00000000-0005-0000-0000-00005B450000}"/>
    <cellStyle name="Normal 2 2 2 3 17 4 9" xfId="17756" xr:uid="{00000000-0005-0000-0000-00005C450000}"/>
    <cellStyle name="Normal 2 2 2 3 17 5" xfId="17757" xr:uid="{00000000-0005-0000-0000-00005D450000}"/>
    <cellStyle name="Normal 2 2 2 3 17 5 10" xfId="17758" xr:uid="{00000000-0005-0000-0000-00005E450000}"/>
    <cellStyle name="Normal 2 2 2 3 17 5 2" xfId="17759" xr:uid="{00000000-0005-0000-0000-00005F450000}"/>
    <cellStyle name="Normal 2 2 2 3 17 5 3" xfId="17760" xr:uid="{00000000-0005-0000-0000-000060450000}"/>
    <cellStyle name="Normal 2 2 2 3 17 5 4" xfId="17761" xr:uid="{00000000-0005-0000-0000-000061450000}"/>
    <cellStyle name="Normal 2 2 2 3 17 5 5" xfId="17762" xr:uid="{00000000-0005-0000-0000-000062450000}"/>
    <cellStyle name="Normal 2 2 2 3 17 5 6" xfId="17763" xr:uid="{00000000-0005-0000-0000-000063450000}"/>
    <cellStyle name="Normal 2 2 2 3 17 5 7" xfId="17764" xr:uid="{00000000-0005-0000-0000-000064450000}"/>
    <cellStyle name="Normal 2 2 2 3 17 5 8" xfId="17765" xr:uid="{00000000-0005-0000-0000-000065450000}"/>
    <cellStyle name="Normal 2 2 2 3 17 5 9" xfId="17766" xr:uid="{00000000-0005-0000-0000-000066450000}"/>
    <cellStyle name="Normal 2 2 2 3 17 6" xfId="17767" xr:uid="{00000000-0005-0000-0000-000067450000}"/>
    <cellStyle name="Normal 2 2 2 3 17 7" xfId="17768" xr:uid="{00000000-0005-0000-0000-000068450000}"/>
    <cellStyle name="Normal 2 2 2 3 17 8" xfId="17769" xr:uid="{00000000-0005-0000-0000-000069450000}"/>
    <cellStyle name="Normal 2 2 2 3 17 9" xfId="17770" xr:uid="{00000000-0005-0000-0000-00006A450000}"/>
    <cellStyle name="Normal 2 2 2 3 18" xfId="17771" xr:uid="{00000000-0005-0000-0000-00006B450000}"/>
    <cellStyle name="Normal 2 2 2 3 18 10" xfId="17772" xr:uid="{00000000-0005-0000-0000-00006C450000}"/>
    <cellStyle name="Normal 2 2 2 3 18 11" xfId="17773" xr:uid="{00000000-0005-0000-0000-00006D450000}"/>
    <cellStyle name="Normal 2 2 2 3 18 12" xfId="17774" xr:uid="{00000000-0005-0000-0000-00006E450000}"/>
    <cellStyle name="Normal 2 2 2 3 18 13" xfId="17775" xr:uid="{00000000-0005-0000-0000-00006F450000}"/>
    <cellStyle name="Normal 2 2 2 3 18 14" xfId="17776" xr:uid="{00000000-0005-0000-0000-000070450000}"/>
    <cellStyle name="Normal 2 2 2 3 18 2" xfId="17777" xr:uid="{00000000-0005-0000-0000-000071450000}"/>
    <cellStyle name="Normal 2 2 2 3 18 2 10" xfId="17778" xr:uid="{00000000-0005-0000-0000-000072450000}"/>
    <cellStyle name="Normal 2 2 2 3 18 2 2" xfId="17779" xr:uid="{00000000-0005-0000-0000-000073450000}"/>
    <cellStyle name="Normal 2 2 2 3 18 2 3" xfId="17780" xr:uid="{00000000-0005-0000-0000-000074450000}"/>
    <cellStyle name="Normal 2 2 2 3 18 2 4" xfId="17781" xr:uid="{00000000-0005-0000-0000-000075450000}"/>
    <cellStyle name="Normal 2 2 2 3 18 2 5" xfId="17782" xr:uid="{00000000-0005-0000-0000-000076450000}"/>
    <cellStyle name="Normal 2 2 2 3 18 2 6" xfId="17783" xr:uid="{00000000-0005-0000-0000-000077450000}"/>
    <cellStyle name="Normal 2 2 2 3 18 2 7" xfId="17784" xr:uid="{00000000-0005-0000-0000-000078450000}"/>
    <cellStyle name="Normal 2 2 2 3 18 2 8" xfId="17785" xr:uid="{00000000-0005-0000-0000-000079450000}"/>
    <cellStyle name="Normal 2 2 2 3 18 2 9" xfId="17786" xr:uid="{00000000-0005-0000-0000-00007A450000}"/>
    <cellStyle name="Normal 2 2 2 3 18 3" xfId="17787" xr:uid="{00000000-0005-0000-0000-00007B450000}"/>
    <cellStyle name="Normal 2 2 2 3 18 3 10" xfId="17788" xr:uid="{00000000-0005-0000-0000-00007C450000}"/>
    <cellStyle name="Normal 2 2 2 3 18 3 2" xfId="17789" xr:uid="{00000000-0005-0000-0000-00007D450000}"/>
    <cellStyle name="Normal 2 2 2 3 18 3 3" xfId="17790" xr:uid="{00000000-0005-0000-0000-00007E450000}"/>
    <cellStyle name="Normal 2 2 2 3 18 3 4" xfId="17791" xr:uid="{00000000-0005-0000-0000-00007F450000}"/>
    <cellStyle name="Normal 2 2 2 3 18 3 5" xfId="17792" xr:uid="{00000000-0005-0000-0000-000080450000}"/>
    <cellStyle name="Normal 2 2 2 3 18 3 6" xfId="17793" xr:uid="{00000000-0005-0000-0000-000081450000}"/>
    <cellStyle name="Normal 2 2 2 3 18 3 7" xfId="17794" xr:uid="{00000000-0005-0000-0000-000082450000}"/>
    <cellStyle name="Normal 2 2 2 3 18 3 8" xfId="17795" xr:uid="{00000000-0005-0000-0000-000083450000}"/>
    <cellStyle name="Normal 2 2 2 3 18 3 9" xfId="17796" xr:uid="{00000000-0005-0000-0000-000084450000}"/>
    <cellStyle name="Normal 2 2 2 3 18 4" xfId="17797" xr:uid="{00000000-0005-0000-0000-000085450000}"/>
    <cellStyle name="Normal 2 2 2 3 18 4 10" xfId="17798" xr:uid="{00000000-0005-0000-0000-000086450000}"/>
    <cellStyle name="Normal 2 2 2 3 18 4 2" xfId="17799" xr:uid="{00000000-0005-0000-0000-000087450000}"/>
    <cellStyle name="Normal 2 2 2 3 18 4 3" xfId="17800" xr:uid="{00000000-0005-0000-0000-000088450000}"/>
    <cellStyle name="Normal 2 2 2 3 18 4 4" xfId="17801" xr:uid="{00000000-0005-0000-0000-000089450000}"/>
    <cellStyle name="Normal 2 2 2 3 18 4 5" xfId="17802" xr:uid="{00000000-0005-0000-0000-00008A450000}"/>
    <cellStyle name="Normal 2 2 2 3 18 4 6" xfId="17803" xr:uid="{00000000-0005-0000-0000-00008B450000}"/>
    <cellStyle name="Normal 2 2 2 3 18 4 7" xfId="17804" xr:uid="{00000000-0005-0000-0000-00008C450000}"/>
    <cellStyle name="Normal 2 2 2 3 18 4 8" xfId="17805" xr:uid="{00000000-0005-0000-0000-00008D450000}"/>
    <cellStyle name="Normal 2 2 2 3 18 4 9" xfId="17806" xr:uid="{00000000-0005-0000-0000-00008E450000}"/>
    <cellStyle name="Normal 2 2 2 3 18 5" xfId="17807" xr:uid="{00000000-0005-0000-0000-00008F450000}"/>
    <cellStyle name="Normal 2 2 2 3 18 5 10" xfId="17808" xr:uid="{00000000-0005-0000-0000-000090450000}"/>
    <cellStyle name="Normal 2 2 2 3 18 5 2" xfId="17809" xr:uid="{00000000-0005-0000-0000-000091450000}"/>
    <cellStyle name="Normal 2 2 2 3 18 5 3" xfId="17810" xr:uid="{00000000-0005-0000-0000-000092450000}"/>
    <cellStyle name="Normal 2 2 2 3 18 5 4" xfId="17811" xr:uid="{00000000-0005-0000-0000-000093450000}"/>
    <cellStyle name="Normal 2 2 2 3 18 5 5" xfId="17812" xr:uid="{00000000-0005-0000-0000-000094450000}"/>
    <cellStyle name="Normal 2 2 2 3 18 5 6" xfId="17813" xr:uid="{00000000-0005-0000-0000-000095450000}"/>
    <cellStyle name="Normal 2 2 2 3 18 5 7" xfId="17814" xr:uid="{00000000-0005-0000-0000-000096450000}"/>
    <cellStyle name="Normal 2 2 2 3 18 5 8" xfId="17815" xr:uid="{00000000-0005-0000-0000-000097450000}"/>
    <cellStyle name="Normal 2 2 2 3 18 5 9" xfId="17816" xr:uid="{00000000-0005-0000-0000-000098450000}"/>
    <cellStyle name="Normal 2 2 2 3 18 6" xfId="17817" xr:uid="{00000000-0005-0000-0000-000099450000}"/>
    <cellStyle name="Normal 2 2 2 3 18 7" xfId="17818" xr:uid="{00000000-0005-0000-0000-00009A450000}"/>
    <cellStyle name="Normal 2 2 2 3 18 8" xfId="17819" xr:uid="{00000000-0005-0000-0000-00009B450000}"/>
    <cellStyle name="Normal 2 2 2 3 18 9" xfId="17820" xr:uid="{00000000-0005-0000-0000-00009C450000}"/>
    <cellStyle name="Normal 2 2 2 3 19" xfId="17821" xr:uid="{00000000-0005-0000-0000-00009D450000}"/>
    <cellStyle name="Normal 2 2 2 3 19 10" xfId="17822" xr:uid="{00000000-0005-0000-0000-00009E450000}"/>
    <cellStyle name="Normal 2 2 2 3 19 11" xfId="17823" xr:uid="{00000000-0005-0000-0000-00009F450000}"/>
    <cellStyle name="Normal 2 2 2 3 19 12" xfId="17824" xr:uid="{00000000-0005-0000-0000-0000A0450000}"/>
    <cellStyle name="Normal 2 2 2 3 19 13" xfId="17825" xr:uid="{00000000-0005-0000-0000-0000A1450000}"/>
    <cellStyle name="Normal 2 2 2 3 19 14" xfId="17826" xr:uid="{00000000-0005-0000-0000-0000A2450000}"/>
    <cellStyle name="Normal 2 2 2 3 19 2" xfId="17827" xr:uid="{00000000-0005-0000-0000-0000A3450000}"/>
    <cellStyle name="Normal 2 2 2 3 19 2 10" xfId="17828" xr:uid="{00000000-0005-0000-0000-0000A4450000}"/>
    <cellStyle name="Normal 2 2 2 3 19 2 2" xfId="17829" xr:uid="{00000000-0005-0000-0000-0000A5450000}"/>
    <cellStyle name="Normal 2 2 2 3 19 2 3" xfId="17830" xr:uid="{00000000-0005-0000-0000-0000A6450000}"/>
    <cellStyle name="Normal 2 2 2 3 19 2 4" xfId="17831" xr:uid="{00000000-0005-0000-0000-0000A7450000}"/>
    <cellStyle name="Normal 2 2 2 3 19 2 5" xfId="17832" xr:uid="{00000000-0005-0000-0000-0000A8450000}"/>
    <cellStyle name="Normal 2 2 2 3 19 2 6" xfId="17833" xr:uid="{00000000-0005-0000-0000-0000A9450000}"/>
    <cellStyle name="Normal 2 2 2 3 19 2 7" xfId="17834" xr:uid="{00000000-0005-0000-0000-0000AA450000}"/>
    <cellStyle name="Normal 2 2 2 3 19 2 8" xfId="17835" xr:uid="{00000000-0005-0000-0000-0000AB450000}"/>
    <cellStyle name="Normal 2 2 2 3 19 2 9" xfId="17836" xr:uid="{00000000-0005-0000-0000-0000AC450000}"/>
    <cellStyle name="Normal 2 2 2 3 19 3" xfId="17837" xr:uid="{00000000-0005-0000-0000-0000AD450000}"/>
    <cellStyle name="Normal 2 2 2 3 19 3 10" xfId="17838" xr:uid="{00000000-0005-0000-0000-0000AE450000}"/>
    <cellStyle name="Normal 2 2 2 3 19 3 2" xfId="17839" xr:uid="{00000000-0005-0000-0000-0000AF450000}"/>
    <cellStyle name="Normal 2 2 2 3 19 3 3" xfId="17840" xr:uid="{00000000-0005-0000-0000-0000B0450000}"/>
    <cellStyle name="Normal 2 2 2 3 19 3 4" xfId="17841" xr:uid="{00000000-0005-0000-0000-0000B1450000}"/>
    <cellStyle name="Normal 2 2 2 3 19 3 5" xfId="17842" xr:uid="{00000000-0005-0000-0000-0000B2450000}"/>
    <cellStyle name="Normal 2 2 2 3 19 3 6" xfId="17843" xr:uid="{00000000-0005-0000-0000-0000B3450000}"/>
    <cellStyle name="Normal 2 2 2 3 19 3 7" xfId="17844" xr:uid="{00000000-0005-0000-0000-0000B4450000}"/>
    <cellStyle name="Normal 2 2 2 3 19 3 8" xfId="17845" xr:uid="{00000000-0005-0000-0000-0000B5450000}"/>
    <cellStyle name="Normal 2 2 2 3 19 3 9" xfId="17846" xr:uid="{00000000-0005-0000-0000-0000B6450000}"/>
    <cellStyle name="Normal 2 2 2 3 19 4" xfId="17847" xr:uid="{00000000-0005-0000-0000-0000B7450000}"/>
    <cellStyle name="Normal 2 2 2 3 19 4 10" xfId="17848" xr:uid="{00000000-0005-0000-0000-0000B8450000}"/>
    <cellStyle name="Normal 2 2 2 3 19 4 2" xfId="17849" xr:uid="{00000000-0005-0000-0000-0000B9450000}"/>
    <cellStyle name="Normal 2 2 2 3 19 4 3" xfId="17850" xr:uid="{00000000-0005-0000-0000-0000BA450000}"/>
    <cellStyle name="Normal 2 2 2 3 19 4 4" xfId="17851" xr:uid="{00000000-0005-0000-0000-0000BB450000}"/>
    <cellStyle name="Normal 2 2 2 3 19 4 5" xfId="17852" xr:uid="{00000000-0005-0000-0000-0000BC450000}"/>
    <cellStyle name="Normal 2 2 2 3 19 4 6" xfId="17853" xr:uid="{00000000-0005-0000-0000-0000BD450000}"/>
    <cellStyle name="Normal 2 2 2 3 19 4 7" xfId="17854" xr:uid="{00000000-0005-0000-0000-0000BE450000}"/>
    <cellStyle name="Normal 2 2 2 3 19 4 8" xfId="17855" xr:uid="{00000000-0005-0000-0000-0000BF450000}"/>
    <cellStyle name="Normal 2 2 2 3 19 4 9" xfId="17856" xr:uid="{00000000-0005-0000-0000-0000C0450000}"/>
    <cellStyle name="Normal 2 2 2 3 19 5" xfId="17857" xr:uid="{00000000-0005-0000-0000-0000C1450000}"/>
    <cellStyle name="Normal 2 2 2 3 19 5 10" xfId="17858" xr:uid="{00000000-0005-0000-0000-0000C2450000}"/>
    <cellStyle name="Normal 2 2 2 3 19 5 2" xfId="17859" xr:uid="{00000000-0005-0000-0000-0000C3450000}"/>
    <cellStyle name="Normal 2 2 2 3 19 5 3" xfId="17860" xr:uid="{00000000-0005-0000-0000-0000C4450000}"/>
    <cellStyle name="Normal 2 2 2 3 19 5 4" xfId="17861" xr:uid="{00000000-0005-0000-0000-0000C5450000}"/>
    <cellStyle name="Normal 2 2 2 3 19 5 5" xfId="17862" xr:uid="{00000000-0005-0000-0000-0000C6450000}"/>
    <cellStyle name="Normal 2 2 2 3 19 5 6" xfId="17863" xr:uid="{00000000-0005-0000-0000-0000C7450000}"/>
    <cellStyle name="Normal 2 2 2 3 19 5 7" xfId="17864" xr:uid="{00000000-0005-0000-0000-0000C8450000}"/>
    <cellStyle name="Normal 2 2 2 3 19 5 8" xfId="17865" xr:uid="{00000000-0005-0000-0000-0000C9450000}"/>
    <cellStyle name="Normal 2 2 2 3 19 5 9" xfId="17866" xr:uid="{00000000-0005-0000-0000-0000CA450000}"/>
    <cellStyle name="Normal 2 2 2 3 19 6" xfId="17867" xr:uid="{00000000-0005-0000-0000-0000CB450000}"/>
    <cellStyle name="Normal 2 2 2 3 19 7" xfId="17868" xr:uid="{00000000-0005-0000-0000-0000CC450000}"/>
    <cellStyle name="Normal 2 2 2 3 19 8" xfId="17869" xr:uid="{00000000-0005-0000-0000-0000CD450000}"/>
    <cellStyle name="Normal 2 2 2 3 19 9" xfId="17870" xr:uid="{00000000-0005-0000-0000-0000CE450000}"/>
    <cellStyle name="Normal 2 2 2 3 2" xfId="17871" xr:uid="{00000000-0005-0000-0000-0000CF450000}"/>
    <cellStyle name="Normal 2 2 2 3 2 10" xfId="17872" xr:uid="{00000000-0005-0000-0000-0000D0450000}"/>
    <cellStyle name="Normal 2 2 2 3 2 11" xfId="17873" xr:uid="{00000000-0005-0000-0000-0000D1450000}"/>
    <cellStyle name="Normal 2 2 2 3 2 12" xfId="17874" xr:uid="{00000000-0005-0000-0000-0000D2450000}"/>
    <cellStyle name="Normal 2 2 2 3 2 13" xfId="17875" xr:uid="{00000000-0005-0000-0000-0000D3450000}"/>
    <cellStyle name="Normal 2 2 2 3 2 14" xfId="17876" xr:uid="{00000000-0005-0000-0000-0000D4450000}"/>
    <cellStyle name="Normal 2 2 2 3 2 15" xfId="17877" xr:uid="{00000000-0005-0000-0000-0000D5450000}"/>
    <cellStyle name="Normal 2 2 2 3 2 16" xfId="17878" xr:uid="{00000000-0005-0000-0000-0000D6450000}"/>
    <cellStyle name="Normal 2 2 2 3 2 17" xfId="17879" xr:uid="{00000000-0005-0000-0000-0000D7450000}"/>
    <cellStyle name="Normal 2 2 2 3 2 2" xfId="17880" xr:uid="{00000000-0005-0000-0000-0000D8450000}"/>
    <cellStyle name="Normal 2 2 2 3 2 2 10" xfId="17881" xr:uid="{00000000-0005-0000-0000-0000D9450000}"/>
    <cellStyle name="Normal 2 2 2 3 2 2 11" xfId="17882" xr:uid="{00000000-0005-0000-0000-0000DA450000}"/>
    <cellStyle name="Normal 2 2 2 3 2 2 12" xfId="17883" xr:uid="{00000000-0005-0000-0000-0000DB450000}"/>
    <cellStyle name="Normal 2 2 2 3 2 2 2" xfId="17884" xr:uid="{00000000-0005-0000-0000-0000DC450000}"/>
    <cellStyle name="Normal 2 2 2 3 2 2 2 2" xfId="17885" xr:uid="{00000000-0005-0000-0000-0000DD450000}"/>
    <cellStyle name="Normal 2 2 2 3 2 2 2 3" xfId="17886" xr:uid="{00000000-0005-0000-0000-0000DE450000}"/>
    <cellStyle name="Normal 2 2 2 3 2 2 3" xfId="17887" xr:uid="{00000000-0005-0000-0000-0000DF450000}"/>
    <cellStyle name="Normal 2 2 2 3 2 2 4" xfId="17888" xr:uid="{00000000-0005-0000-0000-0000E0450000}"/>
    <cellStyle name="Normal 2 2 2 3 2 2 5" xfId="17889" xr:uid="{00000000-0005-0000-0000-0000E1450000}"/>
    <cellStyle name="Normal 2 2 2 3 2 2 6" xfId="17890" xr:uid="{00000000-0005-0000-0000-0000E2450000}"/>
    <cellStyle name="Normal 2 2 2 3 2 2 7" xfId="17891" xr:uid="{00000000-0005-0000-0000-0000E3450000}"/>
    <cellStyle name="Normal 2 2 2 3 2 2 8" xfId="17892" xr:uid="{00000000-0005-0000-0000-0000E4450000}"/>
    <cellStyle name="Normal 2 2 2 3 2 2 9" xfId="17893" xr:uid="{00000000-0005-0000-0000-0000E5450000}"/>
    <cellStyle name="Normal 2 2 2 3 2 3" xfId="17894" xr:uid="{00000000-0005-0000-0000-0000E6450000}"/>
    <cellStyle name="Normal 2 2 2 3 2 3 10" xfId="17895" xr:uid="{00000000-0005-0000-0000-0000E7450000}"/>
    <cellStyle name="Normal 2 2 2 3 2 3 11" xfId="17896" xr:uid="{00000000-0005-0000-0000-0000E8450000}"/>
    <cellStyle name="Normal 2 2 2 3 2 3 12" xfId="17897" xr:uid="{00000000-0005-0000-0000-0000E9450000}"/>
    <cellStyle name="Normal 2 2 2 3 2 3 2" xfId="17898" xr:uid="{00000000-0005-0000-0000-0000EA450000}"/>
    <cellStyle name="Normal 2 2 2 3 2 3 3" xfId="17899" xr:uid="{00000000-0005-0000-0000-0000EB450000}"/>
    <cellStyle name="Normal 2 2 2 3 2 3 4" xfId="17900" xr:uid="{00000000-0005-0000-0000-0000EC450000}"/>
    <cellStyle name="Normal 2 2 2 3 2 3 5" xfId="17901" xr:uid="{00000000-0005-0000-0000-0000ED450000}"/>
    <cellStyle name="Normal 2 2 2 3 2 3 6" xfId="17902" xr:uid="{00000000-0005-0000-0000-0000EE450000}"/>
    <cellStyle name="Normal 2 2 2 3 2 3 7" xfId="17903" xr:uid="{00000000-0005-0000-0000-0000EF450000}"/>
    <cellStyle name="Normal 2 2 2 3 2 3 8" xfId="17904" xr:uid="{00000000-0005-0000-0000-0000F0450000}"/>
    <cellStyle name="Normal 2 2 2 3 2 3 9" xfId="17905" xr:uid="{00000000-0005-0000-0000-0000F1450000}"/>
    <cellStyle name="Normal 2 2 2 3 2 4" xfId="17906" xr:uid="{00000000-0005-0000-0000-0000F2450000}"/>
    <cellStyle name="Normal 2 2 2 3 2 4 10" xfId="17907" xr:uid="{00000000-0005-0000-0000-0000F3450000}"/>
    <cellStyle name="Normal 2 2 2 3 2 4 2" xfId="17908" xr:uid="{00000000-0005-0000-0000-0000F4450000}"/>
    <cellStyle name="Normal 2 2 2 3 2 4 3" xfId="17909" xr:uid="{00000000-0005-0000-0000-0000F5450000}"/>
    <cellStyle name="Normal 2 2 2 3 2 4 4" xfId="17910" xr:uid="{00000000-0005-0000-0000-0000F6450000}"/>
    <cellStyle name="Normal 2 2 2 3 2 4 5" xfId="17911" xr:uid="{00000000-0005-0000-0000-0000F7450000}"/>
    <cellStyle name="Normal 2 2 2 3 2 4 6" xfId="17912" xr:uid="{00000000-0005-0000-0000-0000F8450000}"/>
    <cellStyle name="Normal 2 2 2 3 2 4 7" xfId="17913" xr:uid="{00000000-0005-0000-0000-0000F9450000}"/>
    <cellStyle name="Normal 2 2 2 3 2 4 8" xfId="17914" xr:uid="{00000000-0005-0000-0000-0000FA450000}"/>
    <cellStyle name="Normal 2 2 2 3 2 4 9" xfId="17915" xr:uid="{00000000-0005-0000-0000-0000FB450000}"/>
    <cellStyle name="Normal 2 2 2 3 2 5" xfId="17916" xr:uid="{00000000-0005-0000-0000-0000FC450000}"/>
    <cellStyle name="Normal 2 2 2 3 2 5 10" xfId="17917" xr:uid="{00000000-0005-0000-0000-0000FD450000}"/>
    <cellStyle name="Normal 2 2 2 3 2 5 2" xfId="17918" xr:uid="{00000000-0005-0000-0000-0000FE450000}"/>
    <cellStyle name="Normal 2 2 2 3 2 5 3" xfId="17919" xr:uid="{00000000-0005-0000-0000-0000FF450000}"/>
    <cellStyle name="Normal 2 2 2 3 2 5 4" xfId="17920" xr:uid="{00000000-0005-0000-0000-000000460000}"/>
    <cellStyle name="Normal 2 2 2 3 2 5 5" xfId="17921" xr:uid="{00000000-0005-0000-0000-000001460000}"/>
    <cellStyle name="Normal 2 2 2 3 2 5 6" xfId="17922" xr:uid="{00000000-0005-0000-0000-000002460000}"/>
    <cellStyle name="Normal 2 2 2 3 2 5 7" xfId="17923" xr:uid="{00000000-0005-0000-0000-000003460000}"/>
    <cellStyle name="Normal 2 2 2 3 2 5 8" xfId="17924" xr:uid="{00000000-0005-0000-0000-000004460000}"/>
    <cellStyle name="Normal 2 2 2 3 2 5 9" xfId="17925" xr:uid="{00000000-0005-0000-0000-000005460000}"/>
    <cellStyle name="Normal 2 2 2 3 2 6" xfId="17926" xr:uid="{00000000-0005-0000-0000-000006460000}"/>
    <cellStyle name="Normal 2 2 2 3 2 7" xfId="17927" xr:uid="{00000000-0005-0000-0000-000007460000}"/>
    <cellStyle name="Normal 2 2 2 3 2 8" xfId="17928" xr:uid="{00000000-0005-0000-0000-000008460000}"/>
    <cellStyle name="Normal 2 2 2 3 2 9" xfId="17929" xr:uid="{00000000-0005-0000-0000-000009460000}"/>
    <cellStyle name="Normal 2 2 2 3 20" xfId="17930" xr:uid="{00000000-0005-0000-0000-00000A460000}"/>
    <cellStyle name="Normal 2 2 2 3 20 10" xfId="17931" xr:uid="{00000000-0005-0000-0000-00000B460000}"/>
    <cellStyle name="Normal 2 2 2 3 20 11" xfId="17932" xr:uid="{00000000-0005-0000-0000-00000C460000}"/>
    <cellStyle name="Normal 2 2 2 3 20 12" xfId="17933" xr:uid="{00000000-0005-0000-0000-00000D460000}"/>
    <cellStyle name="Normal 2 2 2 3 20 13" xfId="17934" xr:uid="{00000000-0005-0000-0000-00000E460000}"/>
    <cellStyle name="Normal 2 2 2 3 20 14" xfId="17935" xr:uid="{00000000-0005-0000-0000-00000F460000}"/>
    <cellStyle name="Normal 2 2 2 3 20 2" xfId="17936" xr:uid="{00000000-0005-0000-0000-000010460000}"/>
    <cellStyle name="Normal 2 2 2 3 20 2 10" xfId="17937" xr:uid="{00000000-0005-0000-0000-000011460000}"/>
    <cellStyle name="Normal 2 2 2 3 20 2 2" xfId="17938" xr:uid="{00000000-0005-0000-0000-000012460000}"/>
    <cellStyle name="Normal 2 2 2 3 20 2 3" xfId="17939" xr:uid="{00000000-0005-0000-0000-000013460000}"/>
    <cellStyle name="Normal 2 2 2 3 20 2 4" xfId="17940" xr:uid="{00000000-0005-0000-0000-000014460000}"/>
    <cellStyle name="Normal 2 2 2 3 20 2 5" xfId="17941" xr:uid="{00000000-0005-0000-0000-000015460000}"/>
    <cellStyle name="Normal 2 2 2 3 20 2 6" xfId="17942" xr:uid="{00000000-0005-0000-0000-000016460000}"/>
    <cellStyle name="Normal 2 2 2 3 20 2 7" xfId="17943" xr:uid="{00000000-0005-0000-0000-000017460000}"/>
    <cellStyle name="Normal 2 2 2 3 20 2 8" xfId="17944" xr:uid="{00000000-0005-0000-0000-000018460000}"/>
    <cellStyle name="Normal 2 2 2 3 20 2 9" xfId="17945" xr:uid="{00000000-0005-0000-0000-000019460000}"/>
    <cellStyle name="Normal 2 2 2 3 20 3" xfId="17946" xr:uid="{00000000-0005-0000-0000-00001A460000}"/>
    <cellStyle name="Normal 2 2 2 3 20 3 10" xfId="17947" xr:uid="{00000000-0005-0000-0000-00001B460000}"/>
    <cellStyle name="Normal 2 2 2 3 20 3 2" xfId="17948" xr:uid="{00000000-0005-0000-0000-00001C460000}"/>
    <cellStyle name="Normal 2 2 2 3 20 3 3" xfId="17949" xr:uid="{00000000-0005-0000-0000-00001D460000}"/>
    <cellStyle name="Normal 2 2 2 3 20 3 4" xfId="17950" xr:uid="{00000000-0005-0000-0000-00001E460000}"/>
    <cellStyle name="Normal 2 2 2 3 20 3 5" xfId="17951" xr:uid="{00000000-0005-0000-0000-00001F460000}"/>
    <cellStyle name="Normal 2 2 2 3 20 3 6" xfId="17952" xr:uid="{00000000-0005-0000-0000-000020460000}"/>
    <cellStyle name="Normal 2 2 2 3 20 3 7" xfId="17953" xr:uid="{00000000-0005-0000-0000-000021460000}"/>
    <cellStyle name="Normal 2 2 2 3 20 3 8" xfId="17954" xr:uid="{00000000-0005-0000-0000-000022460000}"/>
    <cellStyle name="Normal 2 2 2 3 20 3 9" xfId="17955" xr:uid="{00000000-0005-0000-0000-000023460000}"/>
    <cellStyle name="Normal 2 2 2 3 20 4" xfId="17956" xr:uid="{00000000-0005-0000-0000-000024460000}"/>
    <cellStyle name="Normal 2 2 2 3 20 4 10" xfId="17957" xr:uid="{00000000-0005-0000-0000-000025460000}"/>
    <cellStyle name="Normal 2 2 2 3 20 4 2" xfId="17958" xr:uid="{00000000-0005-0000-0000-000026460000}"/>
    <cellStyle name="Normal 2 2 2 3 20 4 3" xfId="17959" xr:uid="{00000000-0005-0000-0000-000027460000}"/>
    <cellStyle name="Normal 2 2 2 3 20 4 4" xfId="17960" xr:uid="{00000000-0005-0000-0000-000028460000}"/>
    <cellStyle name="Normal 2 2 2 3 20 4 5" xfId="17961" xr:uid="{00000000-0005-0000-0000-000029460000}"/>
    <cellStyle name="Normal 2 2 2 3 20 4 6" xfId="17962" xr:uid="{00000000-0005-0000-0000-00002A460000}"/>
    <cellStyle name="Normal 2 2 2 3 20 4 7" xfId="17963" xr:uid="{00000000-0005-0000-0000-00002B460000}"/>
    <cellStyle name="Normal 2 2 2 3 20 4 8" xfId="17964" xr:uid="{00000000-0005-0000-0000-00002C460000}"/>
    <cellStyle name="Normal 2 2 2 3 20 4 9" xfId="17965" xr:uid="{00000000-0005-0000-0000-00002D460000}"/>
    <cellStyle name="Normal 2 2 2 3 20 5" xfId="17966" xr:uid="{00000000-0005-0000-0000-00002E460000}"/>
    <cellStyle name="Normal 2 2 2 3 20 5 10" xfId="17967" xr:uid="{00000000-0005-0000-0000-00002F460000}"/>
    <cellStyle name="Normal 2 2 2 3 20 5 2" xfId="17968" xr:uid="{00000000-0005-0000-0000-000030460000}"/>
    <cellStyle name="Normal 2 2 2 3 20 5 3" xfId="17969" xr:uid="{00000000-0005-0000-0000-000031460000}"/>
    <cellStyle name="Normal 2 2 2 3 20 5 4" xfId="17970" xr:uid="{00000000-0005-0000-0000-000032460000}"/>
    <cellStyle name="Normal 2 2 2 3 20 5 5" xfId="17971" xr:uid="{00000000-0005-0000-0000-000033460000}"/>
    <cellStyle name="Normal 2 2 2 3 20 5 6" xfId="17972" xr:uid="{00000000-0005-0000-0000-000034460000}"/>
    <cellStyle name="Normal 2 2 2 3 20 5 7" xfId="17973" xr:uid="{00000000-0005-0000-0000-000035460000}"/>
    <cellStyle name="Normal 2 2 2 3 20 5 8" xfId="17974" xr:uid="{00000000-0005-0000-0000-000036460000}"/>
    <cellStyle name="Normal 2 2 2 3 20 5 9" xfId="17975" xr:uid="{00000000-0005-0000-0000-000037460000}"/>
    <cellStyle name="Normal 2 2 2 3 20 6" xfId="17976" xr:uid="{00000000-0005-0000-0000-000038460000}"/>
    <cellStyle name="Normal 2 2 2 3 20 7" xfId="17977" xr:uid="{00000000-0005-0000-0000-000039460000}"/>
    <cellStyle name="Normal 2 2 2 3 20 8" xfId="17978" xr:uid="{00000000-0005-0000-0000-00003A460000}"/>
    <cellStyle name="Normal 2 2 2 3 20 9" xfId="17979" xr:uid="{00000000-0005-0000-0000-00003B460000}"/>
    <cellStyle name="Normal 2 2 2 3 21" xfId="17980" xr:uid="{00000000-0005-0000-0000-00003C460000}"/>
    <cellStyle name="Normal 2 2 2 3 21 10" xfId="17981" xr:uid="{00000000-0005-0000-0000-00003D460000}"/>
    <cellStyle name="Normal 2 2 2 3 21 11" xfId="17982" xr:uid="{00000000-0005-0000-0000-00003E460000}"/>
    <cellStyle name="Normal 2 2 2 3 21 12" xfId="17983" xr:uid="{00000000-0005-0000-0000-00003F460000}"/>
    <cellStyle name="Normal 2 2 2 3 21 13" xfId="17984" xr:uid="{00000000-0005-0000-0000-000040460000}"/>
    <cellStyle name="Normal 2 2 2 3 21 14" xfId="17985" xr:uid="{00000000-0005-0000-0000-000041460000}"/>
    <cellStyle name="Normal 2 2 2 3 21 2" xfId="17986" xr:uid="{00000000-0005-0000-0000-000042460000}"/>
    <cellStyle name="Normal 2 2 2 3 21 2 10" xfId="17987" xr:uid="{00000000-0005-0000-0000-000043460000}"/>
    <cellStyle name="Normal 2 2 2 3 21 2 2" xfId="17988" xr:uid="{00000000-0005-0000-0000-000044460000}"/>
    <cellStyle name="Normal 2 2 2 3 21 2 3" xfId="17989" xr:uid="{00000000-0005-0000-0000-000045460000}"/>
    <cellStyle name="Normal 2 2 2 3 21 2 4" xfId="17990" xr:uid="{00000000-0005-0000-0000-000046460000}"/>
    <cellStyle name="Normal 2 2 2 3 21 2 5" xfId="17991" xr:uid="{00000000-0005-0000-0000-000047460000}"/>
    <cellStyle name="Normal 2 2 2 3 21 2 6" xfId="17992" xr:uid="{00000000-0005-0000-0000-000048460000}"/>
    <cellStyle name="Normal 2 2 2 3 21 2 7" xfId="17993" xr:uid="{00000000-0005-0000-0000-000049460000}"/>
    <cellStyle name="Normal 2 2 2 3 21 2 8" xfId="17994" xr:uid="{00000000-0005-0000-0000-00004A460000}"/>
    <cellStyle name="Normal 2 2 2 3 21 2 9" xfId="17995" xr:uid="{00000000-0005-0000-0000-00004B460000}"/>
    <cellStyle name="Normal 2 2 2 3 21 3" xfId="17996" xr:uid="{00000000-0005-0000-0000-00004C460000}"/>
    <cellStyle name="Normal 2 2 2 3 21 3 10" xfId="17997" xr:uid="{00000000-0005-0000-0000-00004D460000}"/>
    <cellStyle name="Normal 2 2 2 3 21 3 2" xfId="17998" xr:uid="{00000000-0005-0000-0000-00004E460000}"/>
    <cellStyle name="Normal 2 2 2 3 21 3 3" xfId="17999" xr:uid="{00000000-0005-0000-0000-00004F460000}"/>
    <cellStyle name="Normal 2 2 2 3 21 3 4" xfId="18000" xr:uid="{00000000-0005-0000-0000-000050460000}"/>
    <cellStyle name="Normal 2 2 2 3 21 3 5" xfId="18001" xr:uid="{00000000-0005-0000-0000-000051460000}"/>
    <cellStyle name="Normal 2 2 2 3 21 3 6" xfId="18002" xr:uid="{00000000-0005-0000-0000-000052460000}"/>
    <cellStyle name="Normal 2 2 2 3 21 3 7" xfId="18003" xr:uid="{00000000-0005-0000-0000-000053460000}"/>
    <cellStyle name="Normal 2 2 2 3 21 3 8" xfId="18004" xr:uid="{00000000-0005-0000-0000-000054460000}"/>
    <cellStyle name="Normal 2 2 2 3 21 3 9" xfId="18005" xr:uid="{00000000-0005-0000-0000-000055460000}"/>
    <cellStyle name="Normal 2 2 2 3 21 4" xfId="18006" xr:uid="{00000000-0005-0000-0000-000056460000}"/>
    <cellStyle name="Normal 2 2 2 3 21 4 10" xfId="18007" xr:uid="{00000000-0005-0000-0000-000057460000}"/>
    <cellStyle name="Normal 2 2 2 3 21 4 2" xfId="18008" xr:uid="{00000000-0005-0000-0000-000058460000}"/>
    <cellStyle name="Normal 2 2 2 3 21 4 3" xfId="18009" xr:uid="{00000000-0005-0000-0000-000059460000}"/>
    <cellStyle name="Normal 2 2 2 3 21 4 4" xfId="18010" xr:uid="{00000000-0005-0000-0000-00005A460000}"/>
    <cellStyle name="Normal 2 2 2 3 21 4 5" xfId="18011" xr:uid="{00000000-0005-0000-0000-00005B460000}"/>
    <cellStyle name="Normal 2 2 2 3 21 4 6" xfId="18012" xr:uid="{00000000-0005-0000-0000-00005C460000}"/>
    <cellStyle name="Normal 2 2 2 3 21 4 7" xfId="18013" xr:uid="{00000000-0005-0000-0000-00005D460000}"/>
    <cellStyle name="Normal 2 2 2 3 21 4 8" xfId="18014" xr:uid="{00000000-0005-0000-0000-00005E460000}"/>
    <cellStyle name="Normal 2 2 2 3 21 4 9" xfId="18015" xr:uid="{00000000-0005-0000-0000-00005F460000}"/>
    <cellStyle name="Normal 2 2 2 3 21 5" xfId="18016" xr:uid="{00000000-0005-0000-0000-000060460000}"/>
    <cellStyle name="Normal 2 2 2 3 21 5 10" xfId="18017" xr:uid="{00000000-0005-0000-0000-000061460000}"/>
    <cellStyle name="Normal 2 2 2 3 21 5 2" xfId="18018" xr:uid="{00000000-0005-0000-0000-000062460000}"/>
    <cellStyle name="Normal 2 2 2 3 21 5 3" xfId="18019" xr:uid="{00000000-0005-0000-0000-000063460000}"/>
    <cellStyle name="Normal 2 2 2 3 21 5 4" xfId="18020" xr:uid="{00000000-0005-0000-0000-000064460000}"/>
    <cellStyle name="Normal 2 2 2 3 21 5 5" xfId="18021" xr:uid="{00000000-0005-0000-0000-000065460000}"/>
    <cellStyle name="Normal 2 2 2 3 21 5 6" xfId="18022" xr:uid="{00000000-0005-0000-0000-000066460000}"/>
    <cellStyle name="Normal 2 2 2 3 21 5 7" xfId="18023" xr:uid="{00000000-0005-0000-0000-000067460000}"/>
    <cellStyle name="Normal 2 2 2 3 21 5 8" xfId="18024" xr:uid="{00000000-0005-0000-0000-000068460000}"/>
    <cellStyle name="Normal 2 2 2 3 21 5 9" xfId="18025" xr:uid="{00000000-0005-0000-0000-000069460000}"/>
    <cellStyle name="Normal 2 2 2 3 21 6" xfId="18026" xr:uid="{00000000-0005-0000-0000-00006A460000}"/>
    <cellStyle name="Normal 2 2 2 3 21 7" xfId="18027" xr:uid="{00000000-0005-0000-0000-00006B460000}"/>
    <cellStyle name="Normal 2 2 2 3 21 8" xfId="18028" xr:uid="{00000000-0005-0000-0000-00006C460000}"/>
    <cellStyle name="Normal 2 2 2 3 21 9" xfId="18029" xr:uid="{00000000-0005-0000-0000-00006D460000}"/>
    <cellStyle name="Normal 2 2 2 3 22" xfId="18030" xr:uid="{00000000-0005-0000-0000-00006E460000}"/>
    <cellStyle name="Normal 2 2 2 3 22 10" xfId="18031" xr:uid="{00000000-0005-0000-0000-00006F460000}"/>
    <cellStyle name="Normal 2 2 2 3 22 11" xfId="18032" xr:uid="{00000000-0005-0000-0000-000070460000}"/>
    <cellStyle name="Normal 2 2 2 3 22 12" xfId="18033" xr:uid="{00000000-0005-0000-0000-000071460000}"/>
    <cellStyle name="Normal 2 2 2 3 22 13" xfId="18034" xr:uid="{00000000-0005-0000-0000-000072460000}"/>
    <cellStyle name="Normal 2 2 2 3 22 14" xfId="18035" xr:uid="{00000000-0005-0000-0000-000073460000}"/>
    <cellStyle name="Normal 2 2 2 3 22 2" xfId="18036" xr:uid="{00000000-0005-0000-0000-000074460000}"/>
    <cellStyle name="Normal 2 2 2 3 22 2 10" xfId="18037" xr:uid="{00000000-0005-0000-0000-000075460000}"/>
    <cellStyle name="Normal 2 2 2 3 22 2 2" xfId="18038" xr:uid="{00000000-0005-0000-0000-000076460000}"/>
    <cellStyle name="Normal 2 2 2 3 22 2 3" xfId="18039" xr:uid="{00000000-0005-0000-0000-000077460000}"/>
    <cellStyle name="Normal 2 2 2 3 22 2 4" xfId="18040" xr:uid="{00000000-0005-0000-0000-000078460000}"/>
    <cellStyle name="Normal 2 2 2 3 22 2 5" xfId="18041" xr:uid="{00000000-0005-0000-0000-000079460000}"/>
    <cellStyle name="Normal 2 2 2 3 22 2 6" xfId="18042" xr:uid="{00000000-0005-0000-0000-00007A460000}"/>
    <cellStyle name="Normal 2 2 2 3 22 2 7" xfId="18043" xr:uid="{00000000-0005-0000-0000-00007B460000}"/>
    <cellStyle name="Normal 2 2 2 3 22 2 8" xfId="18044" xr:uid="{00000000-0005-0000-0000-00007C460000}"/>
    <cellStyle name="Normal 2 2 2 3 22 2 9" xfId="18045" xr:uid="{00000000-0005-0000-0000-00007D460000}"/>
    <cellStyle name="Normal 2 2 2 3 22 3" xfId="18046" xr:uid="{00000000-0005-0000-0000-00007E460000}"/>
    <cellStyle name="Normal 2 2 2 3 22 3 10" xfId="18047" xr:uid="{00000000-0005-0000-0000-00007F460000}"/>
    <cellStyle name="Normal 2 2 2 3 22 3 2" xfId="18048" xr:uid="{00000000-0005-0000-0000-000080460000}"/>
    <cellStyle name="Normal 2 2 2 3 22 3 3" xfId="18049" xr:uid="{00000000-0005-0000-0000-000081460000}"/>
    <cellStyle name="Normal 2 2 2 3 22 3 4" xfId="18050" xr:uid="{00000000-0005-0000-0000-000082460000}"/>
    <cellStyle name="Normal 2 2 2 3 22 3 5" xfId="18051" xr:uid="{00000000-0005-0000-0000-000083460000}"/>
    <cellStyle name="Normal 2 2 2 3 22 3 6" xfId="18052" xr:uid="{00000000-0005-0000-0000-000084460000}"/>
    <cellStyle name="Normal 2 2 2 3 22 3 7" xfId="18053" xr:uid="{00000000-0005-0000-0000-000085460000}"/>
    <cellStyle name="Normal 2 2 2 3 22 3 8" xfId="18054" xr:uid="{00000000-0005-0000-0000-000086460000}"/>
    <cellStyle name="Normal 2 2 2 3 22 3 9" xfId="18055" xr:uid="{00000000-0005-0000-0000-000087460000}"/>
    <cellStyle name="Normal 2 2 2 3 22 4" xfId="18056" xr:uid="{00000000-0005-0000-0000-000088460000}"/>
    <cellStyle name="Normal 2 2 2 3 22 4 10" xfId="18057" xr:uid="{00000000-0005-0000-0000-000089460000}"/>
    <cellStyle name="Normal 2 2 2 3 22 4 2" xfId="18058" xr:uid="{00000000-0005-0000-0000-00008A460000}"/>
    <cellStyle name="Normal 2 2 2 3 22 4 3" xfId="18059" xr:uid="{00000000-0005-0000-0000-00008B460000}"/>
    <cellStyle name="Normal 2 2 2 3 22 4 4" xfId="18060" xr:uid="{00000000-0005-0000-0000-00008C460000}"/>
    <cellStyle name="Normal 2 2 2 3 22 4 5" xfId="18061" xr:uid="{00000000-0005-0000-0000-00008D460000}"/>
    <cellStyle name="Normal 2 2 2 3 22 4 6" xfId="18062" xr:uid="{00000000-0005-0000-0000-00008E460000}"/>
    <cellStyle name="Normal 2 2 2 3 22 4 7" xfId="18063" xr:uid="{00000000-0005-0000-0000-00008F460000}"/>
    <cellStyle name="Normal 2 2 2 3 22 4 8" xfId="18064" xr:uid="{00000000-0005-0000-0000-000090460000}"/>
    <cellStyle name="Normal 2 2 2 3 22 4 9" xfId="18065" xr:uid="{00000000-0005-0000-0000-000091460000}"/>
    <cellStyle name="Normal 2 2 2 3 22 5" xfId="18066" xr:uid="{00000000-0005-0000-0000-000092460000}"/>
    <cellStyle name="Normal 2 2 2 3 22 5 10" xfId="18067" xr:uid="{00000000-0005-0000-0000-000093460000}"/>
    <cellStyle name="Normal 2 2 2 3 22 5 2" xfId="18068" xr:uid="{00000000-0005-0000-0000-000094460000}"/>
    <cellStyle name="Normal 2 2 2 3 22 5 3" xfId="18069" xr:uid="{00000000-0005-0000-0000-000095460000}"/>
    <cellStyle name="Normal 2 2 2 3 22 5 4" xfId="18070" xr:uid="{00000000-0005-0000-0000-000096460000}"/>
    <cellStyle name="Normal 2 2 2 3 22 5 5" xfId="18071" xr:uid="{00000000-0005-0000-0000-000097460000}"/>
    <cellStyle name="Normal 2 2 2 3 22 5 6" xfId="18072" xr:uid="{00000000-0005-0000-0000-000098460000}"/>
    <cellStyle name="Normal 2 2 2 3 22 5 7" xfId="18073" xr:uid="{00000000-0005-0000-0000-000099460000}"/>
    <cellStyle name="Normal 2 2 2 3 22 5 8" xfId="18074" xr:uid="{00000000-0005-0000-0000-00009A460000}"/>
    <cellStyle name="Normal 2 2 2 3 22 5 9" xfId="18075" xr:uid="{00000000-0005-0000-0000-00009B460000}"/>
    <cellStyle name="Normal 2 2 2 3 22 6" xfId="18076" xr:uid="{00000000-0005-0000-0000-00009C460000}"/>
    <cellStyle name="Normal 2 2 2 3 22 7" xfId="18077" xr:uid="{00000000-0005-0000-0000-00009D460000}"/>
    <cellStyle name="Normal 2 2 2 3 22 8" xfId="18078" xr:uid="{00000000-0005-0000-0000-00009E460000}"/>
    <cellStyle name="Normal 2 2 2 3 22 9" xfId="18079" xr:uid="{00000000-0005-0000-0000-00009F460000}"/>
    <cellStyle name="Normal 2 2 2 3 23" xfId="18080" xr:uid="{00000000-0005-0000-0000-0000A0460000}"/>
    <cellStyle name="Normal 2 2 2 3 23 10" xfId="18081" xr:uid="{00000000-0005-0000-0000-0000A1460000}"/>
    <cellStyle name="Normal 2 2 2 3 23 11" xfId="18082" xr:uid="{00000000-0005-0000-0000-0000A2460000}"/>
    <cellStyle name="Normal 2 2 2 3 23 12" xfId="18083" xr:uid="{00000000-0005-0000-0000-0000A3460000}"/>
    <cellStyle name="Normal 2 2 2 3 23 13" xfId="18084" xr:uid="{00000000-0005-0000-0000-0000A4460000}"/>
    <cellStyle name="Normal 2 2 2 3 23 14" xfId="18085" xr:uid="{00000000-0005-0000-0000-0000A5460000}"/>
    <cellStyle name="Normal 2 2 2 3 23 2" xfId="18086" xr:uid="{00000000-0005-0000-0000-0000A6460000}"/>
    <cellStyle name="Normal 2 2 2 3 23 2 10" xfId="18087" xr:uid="{00000000-0005-0000-0000-0000A7460000}"/>
    <cellStyle name="Normal 2 2 2 3 23 2 2" xfId="18088" xr:uid="{00000000-0005-0000-0000-0000A8460000}"/>
    <cellStyle name="Normal 2 2 2 3 23 2 3" xfId="18089" xr:uid="{00000000-0005-0000-0000-0000A9460000}"/>
    <cellStyle name="Normal 2 2 2 3 23 2 4" xfId="18090" xr:uid="{00000000-0005-0000-0000-0000AA460000}"/>
    <cellStyle name="Normal 2 2 2 3 23 2 5" xfId="18091" xr:uid="{00000000-0005-0000-0000-0000AB460000}"/>
    <cellStyle name="Normal 2 2 2 3 23 2 6" xfId="18092" xr:uid="{00000000-0005-0000-0000-0000AC460000}"/>
    <cellStyle name="Normal 2 2 2 3 23 2 7" xfId="18093" xr:uid="{00000000-0005-0000-0000-0000AD460000}"/>
    <cellStyle name="Normal 2 2 2 3 23 2 8" xfId="18094" xr:uid="{00000000-0005-0000-0000-0000AE460000}"/>
    <cellStyle name="Normal 2 2 2 3 23 2 9" xfId="18095" xr:uid="{00000000-0005-0000-0000-0000AF460000}"/>
    <cellStyle name="Normal 2 2 2 3 23 3" xfId="18096" xr:uid="{00000000-0005-0000-0000-0000B0460000}"/>
    <cellStyle name="Normal 2 2 2 3 23 3 10" xfId="18097" xr:uid="{00000000-0005-0000-0000-0000B1460000}"/>
    <cellStyle name="Normal 2 2 2 3 23 3 2" xfId="18098" xr:uid="{00000000-0005-0000-0000-0000B2460000}"/>
    <cellStyle name="Normal 2 2 2 3 23 3 3" xfId="18099" xr:uid="{00000000-0005-0000-0000-0000B3460000}"/>
    <cellStyle name="Normal 2 2 2 3 23 3 4" xfId="18100" xr:uid="{00000000-0005-0000-0000-0000B4460000}"/>
    <cellStyle name="Normal 2 2 2 3 23 3 5" xfId="18101" xr:uid="{00000000-0005-0000-0000-0000B5460000}"/>
    <cellStyle name="Normal 2 2 2 3 23 3 6" xfId="18102" xr:uid="{00000000-0005-0000-0000-0000B6460000}"/>
    <cellStyle name="Normal 2 2 2 3 23 3 7" xfId="18103" xr:uid="{00000000-0005-0000-0000-0000B7460000}"/>
    <cellStyle name="Normal 2 2 2 3 23 3 8" xfId="18104" xr:uid="{00000000-0005-0000-0000-0000B8460000}"/>
    <cellStyle name="Normal 2 2 2 3 23 3 9" xfId="18105" xr:uid="{00000000-0005-0000-0000-0000B9460000}"/>
    <cellStyle name="Normal 2 2 2 3 23 4" xfId="18106" xr:uid="{00000000-0005-0000-0000-0000BA460000}"/>
    <cellStyle name="Normal 2 2 2 3 23 4 10" xfId="18107" xr:uid="{00000000-0005-0000-0000-0000BB460000}"/>
    <cellStyle name="Normal 2 2 2 3 23 4 2" xfId="18108" xr:uid="{00000000-0005-0000-0000-0000BC460000}"/>
    <cellStyle name="Normal 2 2 2 3 23 4 3" xfId="18109" xr:uid="{00000000-0005-0000-0000-0000BD460000}"/>
    <cellStyle name="Normal 2 2 2 3 23 4 4" xfId="18110" xr:uid="{00000000-0005-0000-0000-0000BE460000}"/>
    <cellStyle name="Normal 2 2 2 3 23 4 5" xfId="18111" xr:uid="{00000000-0005-0000-0000-0000BF460000}"/>
    <cellStyle name="Normal 2 2 2 3 23 4 6" xfId="18112" xr:uid="{00000000-0005-0000-0000-0000C0460000}"/>
    <cellStyle name="Normal 2 2 2 3 23 4 7" xfId="18113" xr:uid="{00000000-0005-0000-0000-0000C1460000}"/>
    <cellStyle name="Normal 2 2 2 3 23 4 8" xfId="18114" xr:uid="{00000000-0005-0000-0000-0000C2460000}"/>
    <cellStyle name="Normal 2 2 2 3 23 4 9" xfId="18115" xr:uid="{00000000-0005-0000-0000-0000C3460000}"/>
    <cellStyle name="Normal 2 2 2 3 23 5" xfId="18116" xr:uid="{00000000-0005-0000-0000-0000C4460000}"/>
    <cellStyle name="Normal 2 2 2 3 23 5 10" xfId="18117" xr:uid="{00000000-0005-0000-0000-0000C5460000}"/>
    <cellStyle name="Normal 2 2 2 3 23 5 2" xfId="18118" xr:uid="{00000000-0005-0000-0000-0000C6460000}"/>
    <cellStyle name="Normal 2 2 2 3 23 5 3" xfId="18119" xr:uid="{00000000-0005-0000-0000-0000C7460000}"/>
    <cellStyle name="Normal 2 2 2 3 23 5 4" xfId="18120" xr:uid="{00000000-0005-0000-0000-0000C8460000}"/>
    <cellStyle name="Normal 2 2 2 3 23 5 5" xfId="18121" xr:uid="{00000000-0005-0000-0000-0000C9460000}"/>
    <cellStyle name="Normal 2 2 2 3 23 5 6" xfId="18122" xr:uid="{00000000-0005-0000-0000-0000CA460000}"/>
    <cellStyle name="Normal 2 2 2 3 23 5 7" xfId="18123" xr:uid="{00000000-0005-0000-0000-0000CB460000}"/>
    <cellStyle name="Normal 2 2 2 3 23 5 8" xfId="18124" xr:uid="{00000000-0005-0000-0000-0000CC460000}"/>
    <cellStyle name="Normal 2 2 2 3 23 5 9" xfId="18125" xr:uid="{00000000-0005-0000-0000-0000CD460000}"/>
    <cellStyle name="Normal 2 2 2 3 23 6" xfId="18126" xr:uid="{00000000-0005-0000-0000-0000CE460000}"/>
    <cellStyle name="Normal 2 2 2 3 23 7" xfId="18127" xr:uid="{00000000-0005-0000-0000-0000CF460000}"/>
    <cellStyle name="Normal 2 2 2 3 23 8" xfId="18128" xr:uid="{00000000-0005-0000-0000-0000D0460000}"/>
    <cellStyle name="Normal 2 2 2 3 23 9" xfId="18129" xr:uid="{00000000-0005-0000-0000-0000D1460000}"/>
    <cellStyle name="Normal 2 2 2 3 24" xfId="18130" xr:uid="{00000000-0005-0000-0000-0000D2460000}"/>
    <cellStyle name="Normal 2 2 2 3 24 10" xfId="18131" xr:uid="{00000000-0005-0000-0000-0000D3460000}"/>
    <cellStyle name="Normal 2 2 2 3 24 11" xfId="18132" xr:uid="{00000000-0005-0000-0000-0000D4460000}"/>
    <cellStyle name="Normal 2 2 2 3 24 12" xfId="18133" xr:uid="{00000000-0005-0000-0000-0000D5460000}"/>
    <cellStyle name="Normal 2 2 2 3 24 13" xfId="18134" xr:uid="{00000000-0005-0000-0000-0000D6460000}"/>
    <cellStyle name="Normal 2 2 2 3 24 14" xfId="18135" xr:uid="{00000000-0005-0000-0000-0000D7460000}"/>
    <cellStyle name="Normal 2 2 2 3 24 2" xfId="18136" xr:uid="{00000000-0005-0000-0000-0000D8460000}"/>
    <cellStyle name="Normal 2 2 2 3 24 2 10" xfId="18137" xr:uid="{00000000-0005-0000-0000-0000D9460000}"/>
    <cellStyle name="Normal 2 2 2 3 24 2 2" xfId="18138" xr:uid="{00000000-0005-0000-0000-0000DA460000}"/>
    <cellStyle name="Normal 2 2 2 3 24 2 3" xfId="18139" xr:uid="{00000000-0005-0000-0000-0000DB460000}"/>
    <cellStyle name="Normal 2 2 2 3 24 2 4" xfId="18140" xr:uid="{00000000-0005-0000-0000-0000DC460000}"/>
    <cellStyle name="Normal 2 2 2 3 24 2 5" xfId="18141" xr:uid="{00000000-0005-0000-0000-0000DD460000}"/>
    <cellStyle name="Normal 2 2 2 3 24 2 6" xfId="18142" xr:uid="{00000000-0005-0000-0000-0000DE460000}"/>
    <cellStyle name="Normal 2 2 2 3 24 2 7" xfId="18143" xr:uid="{00000000-0005-0000-0000-0000DF460000}"/>
    <cellStyle name="Normal 2 2 2 3 24 2 8" xfId="18144" xr:uid="{00000000-0005-0000-0000-0000E0460000}"/>
    <cellStyle name="Normal 2 2 2 3 24 2 9" xfId="18145" xr:uid="{00000000-0005-0000-0000-0000E1460000}"/>
    <cellStyle name="Normal 2 2 2 3 24 3" xfId="18146" xr:uid="{00000000-0005-0000-0000-0000E2460000}"/>
    <cellStyle name="Normal 2 2 2 3 24 3 10" xfId="18147" xr:uid="{00000000-0005-0000-0000-0000E3460000}"/>
    <cellStyle name="Normal 2 2 2 3 24 3 2" xfId="18148" xr:uid="{00000000-0005-0000-0000-0000E4460000}"/>
    <cellStyle name="Normal 2 2 2 3 24 3 3" xfId="18149" xr:uid="{00000000-0005-0000-0000-0000E5460000}"/>
    <cellStyle name="Normal 2 2 2 3 24 3 4" xfId="18150" xr:uid="{00000000-0005-0000-0000-0000E6460000}"/>
    <cellStyle name="Normal 2 2 2 3 24 3 5" xfId="18151" xr:uid="{00000000-0005-0000-0000-0000E7460000}"/>
    <cellStyle name="Normal 2 2 2 3 24 3 6" xfId="18152" xr:uid="{00000000-0005-0000-0000-0000E8460000}"/>
    <cellStyle name="Normal 2 2 2 3 24 3 7" xfId="18153" xr:uid="{00000000-0005-0000-0000-0000E9460000}"/>
    <cellStyle name="Normal 2 2 2 3 24 3 8" xfId="18154" xr:uid="{00000000-0005-0000-0000-0000EA460000}"/>
    <cellStyle name="Normal 2 2 2 3 24 3 9" xfId="18155" xr:uid="{00000000-0005-0000-0000-0000EB460000}"/>
    <cellStyle name="Normal 2 2 2 3 24 4" xfId="18156" xr:uid="{00000000-0005-0000-0000-0000EC460000}"/>
    <cellStyle name="Normal 2 2 2 3 24 4 10" xfId="18157" xr:uid="{00000000-0005-0000-0000-0000ED460000}"/>
    <cellStyle name="Normal 2 2 2 3 24 4 2" xfId="18158" xr:uid="{00000000-0005-0000-0000-0000EE460000}"/>
    <cellStyle name="Normal 2 2 2 3 24 4 3" xfId="18159" xr:uid="{00000000-0005-0000-0000-0000EF460000}"/>
    <cellStyle name="Normal 2 2 2 3 24 4 4" xfId="18160" xr:uid="{00000000-0005-0000-0000-0000F0460000}"/>
    <cellStyle name="Normal 2 2 2 3 24 4 5" xfId="18161" xr:uid="{00000000-0005-0000-0000-0000F1460000}"/>
    <cellStyle name="Normal 2 2 2 3 24 4 6" xfId="18162" xr:uid="{00000000-0005-0000-0000-0000F2460000}"/>
    <cellStyle name="Normal 2 2 2 3 24 4 7" xfId="18163" xr:uid="{00000000-0005-0000-0000-0000F3460000}"/>
    <cellStyle name="Normal 2 2 2 3 24 4 8" xfId="18164" xr:uid="{00000000-0005-0000-0000-0000F4460000}"/>
    <cellStyle name="Normal 2 2 2 3 24 4 9" xfId="18165" xr:uid="{00000000-0005-0000-0000-0000F5460000}"/>
    <cellStyle name="Normal 2 2 2 3 24 5" xfId="18166" xr:uid="{00000000-0005-0000-0000-0000F6460000}"/>
    <cellStyle name="Normal 2 2 2 3 24 5 10" xfId="18167" xr:uid="{00000000-0005-0000-0000-0000F7460000}"/>
    <cellStyle name="Normal 2 2 2 3 24 5 2" xfId="18168" xr:uid="{00000000-0005-0000-0000-0000F8460000}"/>
    <cellStyle name="Normal 2 2 2 3 24 5 3" xfId="18169" xr:uid="{00000000-0005-0000-0000-0000F9460000}"/>
    <cellStyle name="Normal 2 2 2 3 24 5 4" xfId="18170" xr:uid="{00000000-0005-0000-0000-0000FA460000}"/>
    <cellStyle name="Normal 2 2 2 3 24 5 5" xfId="18171" xr:uid="{00000000-0005-0000-0000-0000FB460000}"/>
    <cellStyle name="Normal 2 2 2 3 24 5 6" xfId="18172" xr:uid="{00000000-0005-0000-0000-0000FC460000}"/>
    <cellStyle name="Normal 2 2 2 3 24 5 7" xfId="18173" xr:uid="{00000000-0005-0000-0000-0000FD460000}"/>
    <cellStyle name="Normal 2 2 2 3 24 5 8" xfId="18174" xr:uid="{00000000-0005-0000-0000-0000FE460000}"/>
    <cellStyle name="Normal 2 2 2 3 24 5 9" xfId="18175" xr:uid="{00000000-0005-0000-0000-0000FF460000}"/>
    <cellStyle name="Normal 2 2 2 3 24 6" xfId="18176" xr:uid="{00000000-0005-0000-0000-000000470000}"/>
    <cellStyle name="Normal 2 2 2 3 24 7" xfId="18177" xr:uid="{00000000-0005-0000-0000-000001470000}"/>
    <cellStyle name="Normal 2 2 2 3 24 8" xfId="18178" xr:uid="{00000000-0005-0000-0000-000002470000}"/>
    <cellStyle name="Normal 2 2 2 3 24 9" xfId="18179" xr:uid="{00000000-0005-0000-0000-000003470000}"/>
    <cellStyle name="Normal 2 2 2 3 25" xfId="18180" xr:uid="{00000000-0005-0000-0000-000004470000}"/>
    <cellStyle name="Normal 2 2 2 3 25 10" xfId="18181" xr:uid="{00000000-0005-0000-0000-000005470000}"/>
    <cellStyle name="Normal 2 2 2 3 25 11" xfId="18182" xr:uid="{00000000-0005-0000-0000-000006470000}"/>
    <cellStyle name="Normal 2 2 2 3 25 12" xfId="18183" xr:uid="{00000000-0005-0000-0000-000007470000}"/>
    <cellStyle name="Normal 2 2 2 3 25 13" xfId="18184" xr:uid="{00000000-0005-0000-0000-000008470000}"/>
    <cellStyle name="Normal 2 2 2 3 25 14" xfId="18185" xr:uid="{00000000-0005-0000-0000-000009470000}"/>
    <cellStyle name="Normal 2 2 2 3 25 2" xfId="18186" xr:uid="{00000000-0005-0000-0000-00000A470000}"/>
    <cellStyle name="Normal 2 2 2 3 25 2 10" xfId="18187" xr:uid="{00000000-0005-0000-0000-00000B470000}"/>
    <cellStyle name="Normal 2 2 2 3 25 2 2" xfId="18188" xr:uid="{00000000-0005-0000-0000-00000C470000}"/>
    <cellStyle name="Normal 2 2 2 3 25 2 3" xfId="18189" xr:uid="{00000000-0005-0000-0000-00000D470000}"/>
    <cellStyle name="Normal 2 2 2 3 25 2 4" xfId="18190" xr:uid="{00000000-0005-0000-0000-00000E470000}"/>
    <cellStyle name="Normal 2 2 2 3 25 2 5" xfId="18191" xr:uid="{00000000-0005-0000-0000-00000F470000}"/>
    <cellStyle name="Normal 2 2 2 3 25 2 6" xfId="18192" xr:uid="{00000000-0005-0000-0000-000010470000}"/>
    <cellStyle name="Normal 2 2 2 3 25 2 7" xfId="18193" xr:uid="{00000000-0005-0000-0000-000011470000}"/>
    <cellStyle name="Normal 2 2 2 3 25 2 8" xfId="18194" xr:uid="{00000000-0005-0000-0000-000012470000}"/>
    <cellStyle name="Normal 2 2 2 3 25 2 9" xfId="18195" xr:uid="{00000000-0005-0000-0000-000013470000}"/>
    <cellStyle name="Normal 2 2 2 3 25 3" xfId="18196" xr:uid="{00000000-0005-0000-0000-000014470000}"/>
    <cellStyle name="Normal 2 2 2 3 25 3 10" xfId="18197" xr:uid="{00000000-0005-0000-0000-000015470000}"/>
    <cellStyle name="Normal 2 2 2 3 25 3 2" xfId="18198" xr:uid="{00000000-0005-0000-0000-000016470000}"/>
    <cellStyle name="Normal 2 2 2 3 25 3 3" xfId="18199" xr:uid="{00000000-0005-0000-0000-000017470000}"/>
    <cellStyle name="Normal 2 2 2 3 25 3 4" xfId="18200" xr:uid="{00000000-0005-0000-0000-000018470000}"/>
    <cellStyle name="Normal 2 2 2 3 25 3 5" xfId="18201" xr:uid="{00000000-0005-0000-0000-000019470000}"/>
    <cellStyle name="Normal 2 2 2 3 25 3 6" xfId="18202" xr:uid="{00000000-0005-0000-0000-00001A470000}"/>
    <cellStyle name="Normal 2 2 2 3 25 3 7" xfId="18203" xr:uid="{00000000-0005-0000-0000-00001B470000}"/>
    <cellStyle name="Normal 2 2 2 3 25 3 8" xfId="18204" xr:uid="{00000000-0005-0000-0000-00001C470000}"/>
    <cellStyle name="Normal 2 2 2 3 25 3 9" xfId="18205" xr:uid="{00000000-0005-0000-0000-00001D470000}"/>
    <cellStyle name="Normal 2 2 2 3 25 4" xfId="18206" xr:uid="{00000000-0005-0000-0000-00001E470000}"/>
    <cellStyle name="Normal 2 2 2 3 25 4 10" xfId="18207" xr:uid="{00000000-0005-0000-0000-00001F470000}"/>
    <cellStyle name="Normal 2 2 2 3 25 4 2" xfId="18208" xr:uid="{00000000-0005-0000-0000-000020470000}"/>
    <cellStyle name="Normal 2 2 2 3 25 4 3" xfId="18209" xr:uid="{00000000-0005-0000-0000-000021470000}"/>
    <cellStyle name="Normal 2 2 2 3 25 4 4" xfId="18210" xr:uid="{00000000-0005-0000-0000-000022470000}"/>
    <cellStyle name="Normal 2 2 2 3 25 4 5" xfId="18211" xr:uid="{00000000-0005-0000-0000-000023470000}"/>
    <cellStyle name="Normal 2 2 2 3 25 4 6" xfId="18212" xr:uid="{00000000-0005-0000-0000-000024470000}"/>
    <cellStyle name="Normal 2 2 2 3 25 4 7" xfId="18213" xr:uid="{00000000-0005-0000-0000-000025470000}"/>
    <cellStyle name="Normal 2 2 2 3 25 4 8" xfId="18214" xr:uid="{00000000-0005-0000-0000-000026470000}"/>
    <cellStyle name="Normal 2 2 2 3 25 4 9" xfId="18215" xr:uid="{00000000-0005-0000-0000-000027470000}"/>
    <cellStyle name="Normal 2 2 2 3 25 5" xfId="18216" xr:uid="{00000000-0005-0000-0000-000028470000}"/>
    <cellStyle name="Normal 2 2 2 3 25 5 10" xfId="18217" xr:uid="{00000000-0005-0000-0000-000029470000}"/>
    <cellStyle name="Normal 2 2 2 3 25 5 2" xfId="18218" xr:uid="{00000000-0005-0000-0000-00002A470000}"/>
    <cellStyle name="Normal 2 2 2 3 25 5 3" xfId="18219" xr:uid="{00000000-0005-0000-0000-00002B470000}"/>
    <cellStyle name="Normal 2 2 2 3 25 5 4" xfId="18220" xr:uid="{00000000-0005-0000-0000-00002C470000}"/>
    <cellStyle name="Normal 2 2 2 3 25 5 5" xfId="18221" xr:uid="{00000000-0005-0000-0000-00002D470000}"/>
    <cellStyle name="Normal 2 2 2 3 25 5 6" xfId="18222" xr:uid="{00000000-0005-0000-0000-00002E470000}"/>
    <cellStyle name="Normal 2 2 2 3 25 5 7" xfId="18223" xr:uid="{00000000-0005-0000-0000-00002F470000}"/>
    <cellStyle name="Normal 2 2 2 3 25 5 8" xfId="18224" xr:uid="{00000000-0005-0000-0000-000030470000}"/>
    <cellStyle name="Normal 2 2 2 3 25 5 9" xfId="18225" xr:uid="{00000000-0005-0000-0000-000031470000}"/>
    <cellStyle name="Normal 2 2 2 3 25 6" xfId="18226" xr:uid="{00000000-0005-0000-0000-000032470000}"/>
    <cellStyle name="Normal 2 2 2 3 25 7" xfId="18227" xr:uid="{00000000-0005-0000-0000-000033470000}"/>
    <cellStyle name="Normal 2 2 2 3 25 8" xfId="18228" xr:uid="{00000000-0005-0000-0000-000034470000}"/>
    <cellStyle name="Normal 2 2 2 3 25 9" xfId="18229" xr:uid="{00000000-0005-0000-0000-000035470000}"/>
    <cellStyle name="Normal 2 2 2 3 26" xfId="18230" xr:uid="{00000000-0005-0000-0000-000036470000}"/>
    <cellStyle name="Normal 2 2 2 3 26 10" xfId="18231" xr:uid="{00000000-0005-0000-0000-000037470000}"/>
    <cellStyle name="Normal 2 2 2 3 26 11" xfId="18232" xr:uid="{00000000-0005-0000-0000-000038470000}"/>
    <cellStyle name="Normal 2 2 2 3 26 12" xfId="18233" xr:uid="{00000000-0005-0000-0000-000039470000}"/>
    <cellStyle name="Normal 2 2 2 3 26 13" xfId="18234" xr:uid="{00000000-0005-0000-0000-00003A470000}"/>
    <cellStyle name="Normal 2 2 2 3 26 14" xfId="18235" xr:uid="{00000000-0005-0000-0000-00003B470000}"/>
    <cellStyle name="Normal 2 2 2 3 26 2" xfId="18236" xr:uid="{00000000-0005-0000-0000-00003C470000}"/>
    <cellStyle name="Normal 2 2 2 3 26 2 10" xfId="18237" xr:uid="{00000000-0005-0000-0000-00003D470000}"/>
    <cellStyle name="Normal 2 2 2 3 26 2 2" xfId="18238" xr:uid="{00000000-0005-0000-0000-00003E470000}"/>
    <cellStyle name="Normal 2 2 2 3 26 2 3" xfId="18239" xr:uid="{00000000-0005-0000-0000-00003F470000}"/>
    <cellStyle name="Normal 2 2 2 3 26 2 4" xfId="18240" xr:uid="{00000000-0005-0000-0000-000040470000}"/>
    <cellStyle name="Normal 2 2 2 3 26 2 5" xfId="18241" xr:uid="{00000000-0005-0000-0000-000041470000}"/>
    <cellStyle name="Normal 2 2 2 3 26 2 6" xfId="18242" xr:uid="{00000000-0005-0000-0000-000042470000}"/>
    <cellStyle name="Normal 2 2 2 3 26 2 7" xfId="18243" xr:uid="{00000000-0005-0000-0000-000043470000}"/>
    <cellStyle name="Normal 2 2 2 3 26 2 8" xfId="18244" xr:uid="{00000000-0005-0000-0000-000044470000}"/>
    <cellStyle name="Normal 2 2 2 3 26 2 9" xfId="18245" xr:uid="{00000000-0005-0000-0000-000045470000}"/>
    <cellStyle name="Normal 2 2 2 3 26 3" xfId="18246" xr:uid="{00000000-0005-0000-0000-000046470000}"/>
    <cellStyle name="Normal 2 2 2 3 26 3 10" xfId="18247" xr:uid="{00000000-0005-0000-0000-000047470000}"/>
    <cellStyle name="Normal 2 2 2 3 26 3 2" xfId="18248" xr:uid="{00000000-0005-0000-0000-000048470000}"/>
    <cellStyle name="Normal 2 2 2 3 26 3 3" xfId="18249" xr:uid="{00000000-0005-0000-0000-000049470000}"/>
    <cellStyle name="Normal 2 2 2 3 26 3 4" xfId="18250" xr:uid="{00000000-0005-0000-0000-00004A470000}"/>
    <cellStyle name="Normal 2 2 2 3 26 3 5" xfId="18251" xr:uid="{00000000-0005-0000-0000-00004B470000}"/>
    <cellStyle name="Normal 2 2 2 3 26 3 6" xfId="18252" xr:uid="{00000000-0005-0000-0000-00004C470000}"/>
    <cellStyle name="Normal 2 2 2 3 26 3 7" xfId="18253" xr:uid="{00000000-0005-0000-0000-00004D470000}"/>
    <cellStyle name="Normal 2 2 2 3 26 3 8" xfId="18254" xr:uid="{00000000-0005-0000-0000-00004E470000}"/>
    <cellStyle name="Normal 2 2 2 3 26 3 9" xfId="18255" xr:uid="{00000000-0005-0000-0000-00004F470000}"/>
    <cellStyle name="Normal 2 2 2 3 26 4" xfId="18256" xr:uid="{00000000-0005-0000-0000-000050470000}"/>
    <cellStyle name="Normal 2 2 2 3 26 4 10" xfId="18257" xr:uid="{00000000-0005-0000-0000-000051470000}"/>
    <cellStyle name="Normal 2 2 2 3 26 4 2" xfId="18258" xr:uid="{00000000-0005-0000-0000-000052470000}"/>
    <cellStyle name="Normal 2 2 2 3 26 4 3" xfId="18259" xr:uid="{00000000-0005-0000-0000-000053470000}"/>
    <cellStyle name="Normal 2 2 2 3 26 4 4" xfId="18260" xr:uid="{00000000-0005-0000-0000-000054470000}"/>
    <cellStyle name="Normal 2 2 2 3 26 4 5" xfId="18261" xr:uid="{00000000-0005-0000-0000-000055470000}"/>
    <cellStyle name="Normal 2 2 2 3 26 4 6" xfId="18262" xr:uid="{00000000-0005-0000-0000-000056470000}"/>
    <cellStyle name="Normal 2 2 2 3 26 4 7" xfId="18263" xr:uid="{00000000-0005-0000-0000-000057470000}"/>
    <cellStyle name="Normal 2 2 2 3 26 4 8" xfId="18264" xr:uid="{00000000-0005-0000-0000-000058470000}"/>
    <cellStyle name="Normal 2 2 2 3 26 4 9" xfId="18265" xr:uid="{00000000-0005-0000-0000-000059470000}"/>
    <cellStyle name="Normal 2 2 2 3 26 5" xfId="18266" xr:uid="{00000000-0005-0000-0000-00005A470000}"/>
    <cellStyle name="Normal 2 2 2 3 26 5 10" xfId="18267" xr:uid="{00000000-0005-0000-0000-00005B470000}"/>
    <cellStyle name="Normal 2 2 2 3 26 5 2" xfId="18268" xr:uid="{00000000-0005-0000-0000-00005C470000}"/>
    <cellStyle name="Normal 2 2 2 3 26 5 3" xfId="18269" xr:uid="{00000000-0005-0000-0000-00005D470000}"/>
    <cellStyle name="Normal 2 2 2 3 26 5 4" xfId="18270" xr:uid="{00000000-0005-0000-0000-00005E470000}"/>
    <cellStyle name="Normal 2 2 2 3 26 5 5" xfId="18271" xr:uid="{00000000-0005-0000-0000-00005F470000}"/>
    <cellStyle name="Normal 2 2 2 3 26 5 6" xfId="18272" xr:uid="{00000000-0005-0000-0000-000060470000}"/>
    <cellStyle name="Normal 2 2 2 3 26 5 7" xfId="18273" xr:uid="{00000000-0005-0000-0000-000061470000}"/>
    <cellStyle name="Normal 2 2 2 3 26 5 8" xfId="18274" xr:uid="{00000000-0005-0000-0000-000062470000}"/>
    <cellStyle name="Normal 2 2 2 3 26 5 9" xfId="18275" xr:uid="{00000000-0005-0000-0000-000063470000}"/>
    <cellStyle name="Normal 2 2 2 3 26 6" xfId="18276" xr:uid="{00000000-0005-0000-0000-000064470000}"/>
    <cellStyle name="Normal 2 2 2 3 26 7" xfId="18277" xr:uid="{00000000-0005-0000-0000-000065470000}"/>
    <cellStyle name="Normal 2 2 2 3 26 8" xfId="18278" xr:uid="{00000000-0005-0000-0000-000066470000}"/>
    <cellStyle name="Normal 2 2 2 3 26 9" xfId="18279" xr:uid="{00000000-0005-0000-0000-000067470000}"/>
    <cellStyle name="Normal 2 2 2 3 27" xfId="18280" xr:uid="{00000000-0005-0000-0000-000068470000}"/>
    <cellStyle name="Normal 2 2 2 3 27 10" xfId="18281" xr:uid="{00000000-0005-0000-0000-000069470000}"/>
    <cellStyle name="Normal 2 2 2 3 27 11" xfId="18282" xr:uid="{00000000-0005-0000-0000-00006A470000}"/>
    <cellStyle name="Normal 2 2 2 3 27 12" xfId="18283" xr:uid="{00000000-0005-0000-0000-00006B470000}"/>
    <cellStyle name="Normal 2 2 2 3 27 13" xfId="18284" xr:uid="{00000000-0005-0000-0000-00006C470000}"/>
    <cellStyle name="Normal 2 2 2 3 27 14" xfId="18285" xr:uid="{00000000-0005-0000-0000-00006D470000}"/>
    <cellStyle name="Normal 2 2 2 3 27 2" xfId="18286" xr:uid="{00000000-0005-0000-0000-00006E470000}"/>
    <cellStyle name="Normal 2 2 2 3 27 2 10" xfId="18287" xr:uid="{00000000-0005-0000-0000-00006F470000}"/>
    <cellStyle name="Normal 2 2 2 3 27 2 2" xfId="18288" xr:uid="{00000000-0005-0000-0000-000070470000}"/>
    <cellStyle name="Normal 2 2 2 3 27 2 3" xfId="18289" xr:uid="{00000000-0005-0000-0000-000071470000}"/>
    <cellStyle name="Normal 2 2 2 3 27 2 4" xfId="18290" xr:uid="{00000000-0005-0000-0000-000072470000}"/>
    <cellStyle name="Normal 2 2 2 3 27 2 5" xfId="18291" xr:uid="{00000000-0005-0000-0000-000073470000}"/>
    <cellStyle name="Normal 2 2 2 3 27 2 6" xfId="18292" xr:uid="{00000000-0005-0000-0000-000074470000}"/>
    <cellStyle name="Normal 2 2 2 3 27 2 7" xfId="18293" xr:uid="{00000000-0005-0000-0000-000075470000}"/>
    <cellStyle name="Normal 2 2 2 3 27 2 8" xfId="18294" xr:uid="{00000000-0005-0000-0000-000076470000}"/>
    <cellStyle name="Normal 2 2 2 3 27 2 9" xfId="18295" xr:uid="{00000000-0005-0000-0000-000077470000}"/>
    <cellStyle name="Normal 2 2 2 3 27 3" xfId="18296" xr:uid="{00000000-0005-0000-0000-000078470000}"/>
    <cellStyle name="Normal 2 2 2 3 27 3 10" xfId="18297" xr:uid="{00000000-0005-0000-0000-000079470000}"/>
    <cellStyle name="Normal 2 2 2 3 27 3 2" xfId="18298" xr:uid="{00000000-0005-0000-0000-00007A470000}"/>
    <cellStyle name="Normal 2 2 2 3 27 3 3" xfId="18299" xr:uid="{00000000-0005-0000-0000-00007B470000}"/>
    <cellStyle name="Normal 2 2 2 3 27 3 4" xfId="18300" xr:uid="{00000000-0005-0000-0000-00007C470000}"/>
    <cellStyle name="Normal 2 2 2 3 27 3 5" xfId="18301" xr:uid="{00000000-0005-0000-0000-00007D470000}"/>
    <cellStyle name="Normal 2 2 2 3 27 3 6" xfId="18302" xr:uid="{00000000-0005-0000-0000-00007E470000}"/>
    <cellStyle name="Normal 2 2 2 3 27 3 7" xfId="18303" xr:uid="{00000000-0005-0000-0000-00007F470000}"/>
    <cellStyle name="Normal 2 2 2 3 27 3 8" xfId="18304" xr:uid="{00000000-0005-0000-0000-000080470000}"/>
    <cellStyle name="Normal 2 2 2 3 27 3 9" xfId="18305" xr:uid="{00000000-0005-0000-0000-000081470000}"/>
    <cellStyle name="Normal 2 2 2 3 27 4" xfId="18306" xr:uid="{00000000-0005-0000-0000-000082470000}"/>
    <cellStyle name="Normal 2 2 2 3 27 4 10" xfId="18307" xr:uid="{00000000-0005-0000-0000-000083470000}"/>
    <cellStyle name="Normal 2 2 2 3 27 4 2" xfId="18308" xr:uid="{00000000-0005-0000-0000-000084470000}"/>
    <cellStyle name="Normal 2 2 2 3 27 4 3" xfId="18309" xr:uid="{00000000-0005-0000-0000-000085470000}"/>
    <cellStyle name="Normal 2 2 2 3 27 4 4" xfId="18310" xr:uid="{00000000-0005-0000-0000-000086470000}"/>
    <cellStyle name="Normal 2 2 2 3 27 4 5" xfId="18311" xr:uid="{00000000-0005-0000-0000-000087470000}"/>
    <cellStyle name="Normal 2 2 2 3 27 4 6" xfId="18312" xr:uid="{00000000-0005-0000-0000-000088470000}"/>
    <cellStyle name="Normal 2 2 2 3 27 4 7" xfId="18313" xr:uid="{00000000-0005-0000-0000-000089470000}"/>
    <cellStyle name="Normal 2 2 2 3 27 4 8" xfId="18314" xr:uid="{00000000-0005-0000-0000-00008A470000}"/>
    <cellStyle name="Normal 2 2 2 3 27 4 9" xfId="18315" xr:uid="{00000000-0005-0000-0000-00008B470000}"/>
    <cellStyle name="Normal 2 2 2 3 27 5" xfId="18316" xr:uid="{00000000-0005-0000-0000-00008C470000}"/>
    <cellStyle name="Normal 2 2 2 3 27 5 10" xfId="18317" xr:uid="{00000000-0005-0000-0000-00008D470000}"/>
    <cellStyle name="Normal 2 2 2 3 27 5 2" xfId="18318" xr:uid="{00000000-0005-0000-0000-00008E470000}"/>
    <cellStyle name="Normal 2 2 2 3 27 5 3" xfId="18319" xr:uid="{00000000-0005-0000-0000-00008F470000}"/>
    <cellStyle name="Normal 2 2 2 3 27 5 4" xfId="18320" xr:uid="{00000000-0005-0000-0000-000090470000}"/>
    <cellStyle name="Normal 2 2 2 3 27 5 5" xfId="18321" xr:uid="{00000000-0005-0000-0000-000091470000}"/>
    <cellStyle name="Normal 2 2 2 3 27 5 6" xfId="18322" xr:uid="{00000000-0005-0000-0000-000092470000}"/>
    <cellStyle name="Normal 2 2 2 3 27 5 7" xfId="18323" xr:uid="{00000000-0005-0000-0000-000093470000}"/>
    <cellStyle name="Normal 2 2 2 3 27 5 8" xfId="18324" xr:uid="{00000000-0005-0000-0000-000094470000}"/>
    <cellStyle name="Normal 2 2 2 3 27 5 9" xfId="18325" xr:uid="{00000000-0005-0000-0000-000095470000}"/>
    <cellStyle name="Normal 2 2 2 3 27 6" xfId="18326" xr:uid="{00000000-0005-0000-0000-000096470000}"/>
    <cellStyle name="Normal 2 2 2 3 27 7" xfId="18327" xr:uid="{00000000-0005-0000-0000-000097470000}"/>
    <cellStyle name="Normal 2 2 2 3 27 8" xfId="18328" xr:uid="{00000000-0005-0000-0000-000098470000}"/>
    <cellStyle name="Normal 2 2 2 3 27 9" xfId="18329" xr:uid="{00000000-0005-0000-0000-000099470000}"/>
    <cellStyle name="Normal 2 2 2 3 28" xfId="18330" xr:uid="{00000000-0005-0000-0000-00009A470000}"/>
    <cellStyle name="Normal 2 2 2 3 28 10" xfId="18331" xr:uid="{00000000-0005-0000-0000-00009B470000}"/>
    <cellStyle name="Normal 2 2 2 3 28 11" xfId="18332" xr:uid="{00000000-0005-0000-0000-00009C470000}"/>
    <cellStyle name="Normal 2 2 2 3 28 12" xfId="18333" xr:uid="{00000000-0005-0000-0000-00009D470000}"/>
    <cellStyle name="Normal 2 2 2 3 28 13" xfId="18334" xr:uid="{00000000-0005-0000-0000-00009E470000}"/>
    <cellStyle name="Normal 2 2 2 3 28 14" xfId="18335" xr:uid="{00000000-0005-0000-0000-00009F470000}"/>
    <cellStyle name="Normal 2 2 2 3 28 2" xfId="18336" xr:uid="{00000000-0005-0000-0000-0000A0470000}"/>
    <cellStyle name="Normal 2 2 2 3 28 2 10" xfId="18337" xr:uid="{00000000-0005-0000-0000-0000A1470000}"/>
    <cellStyle name="Normal 2 2 2 3 28 2 2" xfId="18338" xr:uid="{00000000-0005-0000-0000-0000A2470000}"/>
    <cellStyle name="Normal 2 2 2 3 28 2 3" xfId="18339" xr:uid="{00000000-0005-0000-0000-0000A3470000}"/>
    <cellStyle name="Normal 2 2 2 3 28 2 4" xfId="18340" xr:uid="{00000000-0005-0000-0000-0000A4470000}"/>
    <cellStyle name="Normal 2 2 2 3 28 2 5" xfId="18341" xr:uid="{00000000-0005-0000-0000-0000A5470000}"/>
    <cellStyle name="Normal 2 2 2 3 28 2 6" xfId="18342" xr:uid="{00000000-0005-0000-0000-0000A6470000}"/>
    <cellStyle name="Normal 2 2 2 3 28 2 7" xfId="18343" xr:uid="{00000000-0005-0000-0000-0000A7470000}"/>
    <cellStyle name="Normal 2 2 2 3 28 2 8" xfId="18344" xr:uid="{00000000-0005-0000-0000-0000A8470000}"/>
    <cellStyle name="Normal 2 2 2 3 28 2 9" xfId="18345" xr:uid="{00000000-0005-0000-0000-0000A9470000}"/>
    <cellStyle name="Normal 2 2 2 3 28 3" xfId="18346" xr:uid="{00000000-0005-0000-0000-0000AA470000}"/>
    <cellStyle name="Normal 2 2 2 3 28 3 10" xfId="18347" xr:uid="{00000000-0005-0000-0000-0000AB470000}"/>
    <cellStyle name="Normal 2 2 2 3 28 3 2" xfId="18348" xr:uid="{00000000-0005-0000-0000-0000AC470000}"/>
    <cellStyle name="Normal 2 2 2 3 28 3 3" xfId="18349" xr:uid="{00000000-0005-0000-0000-0000AD470000}"/>
    <cellStyle name="Normal 2 2 2 3 28 3 4" xfId="18350" xr:uid="{00000000-0005-0000-0000-0000AE470000}"/>
    <cellStyle name="Normal 2 2 2 3 28 3 5" xfId="18351" xr:uid="{00000000-0005-0000-0000-0000AF470000}"/>
    <cellStyle name="Normal 2 2 2 3 28 3 6" xfId="18352" xr:uid="{00000000-0005-0000-0000-0000B0470000}"/>
    <cellStyle name="Normal 2 2 2 3 28 3 7" xfId="18353" xr:uid="{00000000-0005-0000-0000-0000B1470000}"/>
    <cellStyle name="Normal 2 2 2 3 28 3 8" xfId="18354" xr:uid="{00000000-0005-0000-0000-0000B2470000}"/>
    <cellStyle name="Normal 2 2 2 3 28 3 9" xfId="18355" xr:uid="{00000000-0005-0000-0000-0000B3470000}"/>
    <cellStyle name="Normal 2 2 2 3 28 4" xfId="18356" xr:uid="{00000000-0005-0000-0000-0000B4470000}"/>
    <cellStyle name="Normal 2 2 2 3 28 4 10" xfId="18357" xr:uid="{00000000-0005-0000-0000-0000B5470000}"/>
    <cellStyle name="Normal 2 2 2 3 28 4 2" xfId="18358" xr:uid="{00000000-0005-0000-0000-0000B6470000}"/>
    <cellStyle name="Normal 2 2 2 3 28 4 3" xfId="18359" xr:uid="{00000000-0005-0000-0000-0000B7470000}"/>
    <cellStyle name="Normal 2 2 2 3 28 4 4" xfId="18360" xr:uid="{00000000-0005-0000-0000-0000B8470000}"/>
    <cellStyle name="Normal 2 2 2 3 28 4 5" xfId="18361" xr:uid="{00000000-0005-0000-0000-0000B9470000}"/>
    <cellStyle name="Normal 2 2 2 3 28 4 6" xfId="18362" xr:uid="{00000000-0005-0000-0000-0000BA470000}"/>
    <cellStyle name="Normal 2 2 2 3 28 4 7" xfId="18363" xr:uid="{00000000-0005-0000-0000-0000BB470000}"/>
    <cellStyle name="Normal 2 2 2 3 28 4 8" xfId="18364" xr:uid="{00000000-0005-0000-0000-0000BC470000}"/>
    <cellStyle name="Normal 2 2 2 3 28 4 9" xfId="18365" xr:uid="{00000000-0005-0000-0000-0000BD470000}"/>
    <cellStyle name="Normal 2 2 2 3 28 5" xfId="18366" xr:uid="{00000000-0005-0000-0000-0000BE470000}"/>
    <cellStyle name="Normal 2 2 2 3 28 5 10" xfId="18367" xr:uid="{00000000-0005-0000-0000-0000BF470000}"/>
    <cellStyle name="Normal 2 2 2 3 28 5 2" xfId="18368" xr:uid="{00000000-0005-0000-0000-0000C0470000}"/>
    <cellStyle name="Normal 2 2 2 3 28 5 3" xfId="18369" xr:uid="{00000000-0005-0000-0000-0000C1470000}"/>
    <cellStyle name="Normal 2 2 2 3 28 5 4" xfId="18370" xr:uid="{00000000-0005-0000-0000-0000C2470000}"/>
    <cellStyle name="Normal 2 2 2 3 28 5 5" xfId="18371" xr:uid="{00000000-0005-0000-0000-0000C3470000}"/>
    <cellStyle name="Normal 2 2 2 3 28 5 6" xfId="18372" xr:uid="{00000000-0005-0000-0000-0000C4470000}"/>
    <cellStyle name="Normal 2 2 2 3 28 5 7" xfId="18373" xr:uid="{00000000-0005-0000-0000-0000C5470000}"/>
    <cellStyle name="Normal 2 2 2 3 28 5 8" xfId="18374" xr:uid="{00000000-0005-0000-0000-0000C6470000}"/>
    <cellStyle name="Normal 2 2 2 3 28 5 9" xfId="18375" xr:uid="{00000000-0005-0000-0000-0000C7470000}"/>
    <cellStyle name="Normal 2 2 2 3 28 6" xfId="18376" xr:uid="{00000000-0005-0000-0000-0000C8470000}"/>
    <cellStyle name="Normal 2 2 2 3 28 7" xfId="18377" xr:uid="{00000000-0005-0000-0000-0000C9470000}"/>
    <cellStyle name="Normal 2 2 2 3 28 8" xfId="18378" xr:uid="{00000000-0005-0000-0000-0000CA470000}"/>
    <cellStyle name="Normal 2 2 2 3 28 9" xfId="18379" xr:uid="{00000000-0005-0000-0000-0000CB470000}"/>
    <cellStyle name="Normal 2 2 2 3 29" xfId="18380" xr:uid="{00000000-0005-0000-0000-0000CC470000}"/>
    <cellStyle name="Normal 2 2 2 3 29 10" xfId="18381" xr:uid="{00000000-0005-0000-0000-0000CD470000}"/>
    <cellStyle name="Normal 2 2 2 3 29 11" xfId="18382" xr:uid="{00000000-0005-0000-0000-0000CE470000}"/>
    <cellStyle name="Normal 2 2 2 3 29 12" xfId="18383" xr:uid="{00000000-0005-0000-0000-0000CF470000}"/>
    <cellStyle name="Normal 2 2 2 3 29 13" xfId="18384" xr:uid="{00000000-0005-0000-0000-0000D0470000}"/>
    <cellStyle name="Normal 2 2 2 3 29 14" xfId="18385" xr:uid="{00000000-0005-0000-0000-0000D1470000}"/>
    <cellStyle name="Normal 2 2 2 3 29 2" xfId="18386" xr:uid="{00000000-0005-0000-0000-0000D2470000}"/>
    <cellStyle name="Normal 2 2 2 3 29 2 10" xfId="18387" xr:uid="{00000000-0005-0000-0000-0000D3470000}"/>
    <cellStyle name="Normal 2 2 2 3 29 2 2" xfId="18388" xr:uid="{00000000-0005-0000-0000-0000D4470000}"/>
    <cellStyle name="Normal 2 2 2 3 29 2 3" xfId="18389" xr:uid="{00000000-0005-0000-0000-0000D5470000}"/>
    <cellStyle name="Normal 2 2 2 3 29 2 4" xfId="18390" xr:uid="{00000000-0005-0000-0000-0000D6470000}"/>
    <cellStyle name="Normal 2 2 2 3 29 2 5" xfId="18391" xr:uid="{00000000-0005-0000-0000-0000D7470000}"/>
    <cellStyle name="Normal 2 2 2 3 29 2 6" xfId="18392" xr:uid="{00000000-0005-0000-0000-0000D8470000}"/>
    <cellStyle name="Normal 2 2 2 3 29 2 7" xfId="18393" xr:uid="{00000000-0005-0000-0000-0000D9470000}"/>
    <cellStyle name="Normal 2 2 2 3 29 2 8" xfId="18394" xr:uid="{00000000-0005-0000-0000-0000DA470000}"/>
    <cellStyle name="Normal 2 2 2 3 29 2 9" xfId="18395" xr:uid="{00000000-0005-0000-0000-0000DB470000}"/>
    <cellStyle name="Normal 2 2 2 3 29 3" xfId="18396" xr:uid="{00000000-0005-0000-0000-0000DC470000}"/>
    <cellStyle name="Normal 2 2 2 3 29 3 10" xfId="18397" xr:uid="{00000000-0005-0000-0000-0000DD470000}"/>
    <cellStyle name="Normal 2 2 2 3 29 3 2" xfId="18398" xr:uid="{00000000-0005-0000-0000-0000DE470000}"/>
    <cellStyle name="Normal 2 2 2 3 29 3 3" xfId="18399" xr:uid="{00000000-0005-0000-0000-0000DF470000}"/>
    <cellStyle name="Normal 2 2 2 3 29 3 4" xfId="18400" xr:uid="{00000000-0005-0000-0000-0000E0470000}"/>
    <cellStyle name="Normal 2 2 2 3 29 3 5" xfId="18401" xr:uid="{00000000-0005-0000-0000-0000E1470000}"/>
    <cellStyle name="Normal 2 2 2 3 29 3 6" xfId="18402" xr:uid="{00000000-0005-0000-0000-0000E2470000}"/>
    <cellStyle name="Normal 2 2 2 3 29 3 7" xfId="18403" xr:uid="{00000000-0005-0000-0000-0000E3470000}"/>
    <cellStyle name="Normal 2 2 2 3 29 3 8" xfId="18404" xr:uid="{00000000-0005-0000-0000-0000E4470000}"/>
    <cellStyle name="Normal 2 2 2 3 29 3 9" xfId="18405" xr:uid="{00000000-0005-0000-0000-0000E5470000}"/>
    <cellStyle name="Normal 2 2 2 3 29 4" xfId="18406" xr:uid="{00000000-0005-0000-0000-0000E6470000}"/>
    <cellStyle name="Normal 2 2 2 3 29 4 10" xfId="18407" xr:uid="{00000000-0005-0000-0000-0000E7470000}"/>
    <cellStyle name="Normal 2 2 2 3 29 4 2" xfId="18408" xr:uid="{00000000-0005-0000-0000-0000E8470000}"/>
    <cellStyle name="Normal 2 2 2 3 29 4 3" xfId="18409" xr:uid="{00000000-0005-0000-0000-0000E9470000}"/>
    <cellStyle name="Normal 2 2 2 3 29 4 4" xfId="18410" xr:uid="{00000000-0005-0000-0000-0000EA470000}"/>
    <cellStyle name="Normal 2 2 2 3 29 4 5" xfId="18411" xr:uid="{00000000-0005-0000-0000-0000EB470000}"/>
    <cellStyle name="Normal 2 2 2 3 29 4 6" xfId="18412" xr:uid="{00000000-0005-0000-0000-0000EC470000}"/>
    <cellStyle name="Normal 2 2 2 3 29 4 7" xfId="18413" xr:uid="{00000000-0005-0000-0000-0000ED470000}"/>
    <cellStyle name="Normal 2 2 2 3 29 4 8" xfId="18414" xr:uid="{00000000-0005-0000-0000-0000EE470000}"/>
    <cellStyle name="Normal 2 2 2 3 29 4 9" xfId="18415" xr:uid="{00000000-0005-0000-0000-0000EF470000}"/>
    <cellStyle name="Normal 2 2 2 3 29 5" xfId="18416" xr:uid="{00000000-0005-0000-0000-0000F0470000}"/>
    <cellStyle name="Normal 2 2 2 3 29 5 10" xfId="18417" xr:uid="{00000000-0005-0000-0000-0000F1470000}"/>
    <cellStyle name="Normal 2 2 2 3 29 5 2" xfId="18418" xr:uid="{00000000-0005-0000-0000-0000F2470000}"/>
    <cellStyle name="Normal 2 2 2 3 29 5 3" xfId="18419" xr:uid="{00000000-0005-0000-0000-0000F3470000}"/>
    <cellStyle name="Normal 2 2 2 3 29 5 4" xfId="18420" xr:uid="{00000000-0005-0000-0000-0000F4470000}"/>
    <cellStyle name="Normal 2 2 2 3 29 5 5" xfId="18421" xr:uid="{00000000-0005-0000-0000-0000F5470000}"/>
    <cellStyle name="Normal 2 2 2 3 29 5 6" xfId="18422" xr:uid="{00000000-0005-0000-0000-0000F6470000}"/>
    <cellStyle name="Normal 2 2 2 3 29 5 7" xfId="18423" xr:uid="{00000000-0005-0000-0000-0000F7470000}"/>
    <cellStyle name="Normal 2 2 2 3 29 5 8" xfId="18424" xr:uid="{00000000-0005-0000-0000-0000F8470000}"/>
    <cellStyle name="Normal 2 2 2 3 29 5 9" xfId="18425" xr:uid="{00000000-0005-0000-0000-0000F9470000}"/>
    <cellStyle name="Normal 2 2 2 3 29 6" xfId="18426" xr:uid="{00000000-0005-0000-0000-0000FA470000}"/>
    <cellStyle name="Normal 2 2 2 3 29 7" xfId="18427" xr:uid="{00000000-0005-0000-0000-0000FB470000}"/>
    <cellStyle name="Normal 2 2 2 3 29 8" xfId="18428" xr:uid="{00000000-0005-0000-0000-0000FC470000}"/>
    <cellStyle name="Normal 2 2 2 3 29 9" xfId="18429" xr:uid="{00000000-0005-0000-0000-0000FD470000}"/>
    <cellStyle name="Normal 2 2 2 3 3" xfId="18430" xr:uid="{00000000-0005-0000-0000-0000FE470000}"/>
    <cellStyle name="Normal 2 2 2 3 3 10" xfId="18431" xr:uid="{00000000-0005-0000-0000-0000FF470000}"/>
    <cellStyle name="Normal 2 2 2 3 3 11" xfId="18432" xr:uid="{00000000-0005-0000-0000-000000480000}"/>
    <cellStyle name="Normal 2 2 2 3 3 12" xfId="18433" xr:uid="{00000000-0005-0000-0000-000001480000}"/>
    <cellStyle name="Normal 2 2 2 3 3 13" xfId="18434" xr:uid="{00000000-0005-0000-0000-000002480000}"/>
    <cellStyle name="Normal 2 2 2 3 3 14" xfId="18435" xr:uid="{00000000-0005-0000-0000-000003480000}"/>
    <cellStyle name="Normal 2 2 2 3 3 15" xfId="18436" xr:uid="{00000000-0005-0000-0000-000004480000}"/>
    <cellStyle name="Normal 2 2 2 3 3 16" xfId="18437" xr:uid="{00000000-0005-0000-0000-000005480000}"/>
    <cellStyle name="Normal 2 2 2 3 3 2" xfId="18438" xr:uid="{00000000-0005-0000-0000-000006480000}"/>
    <cellStyle name="Normal 2 2 2 3 3 2 10" xfId="18439" xr:uid="{00000000-0005-0000-0000-000007480000}"/>
    <cellStyle name="Normal 2 2 2 3 3 2 11" xfId="18440" xr:uid="{00000000-0005-0000-0000-000008480000}"/>
    <cellStyle name="Normal 2 2 2 3 3 2 12" xfId="18441" xr:uid="{00000000-0005-0000-0000-000009480000}"/>
    <cellStyle name="Normal 2 2 2 3 3 2 2" xfId="18442" xr:uid="{00000000-0005-0000-0000-00000A480000}"/>
    <cellStyle name="Normal 2 2 2 3 3 2 3" xfId="18443" xr:uid="{00000000-0005-0000-0000-00000B480000}"/>
    <cellStyle name="Normal 2 2 2 3 3 2 4" xfId="18444" xr:uid="{00000000-0005-0000-0000-00000C480000}"/>
    <cellStyle name="Normal 2 2 2 3 3 2 5" xfId="18445" xr:uid="{00000000-0005-0000-0000-00000D480000}"/>
    <cellStyle name="Normal 2 2 2 3 3 2 6" xfId="18446" xr:uid="{00000000-0005-0000-0000-00000E480000}"/>
    <cellStyle name="Normal 2 2 2 3 3 2 7" xfId="18447" xr:uid="{00000000-0005-0000-0000-00000F480000}"/>
    <cellStyle name="Normal 2 2 2 3 3 2 8" xfId="18448" xr:uid="{00000000-0005-0000-0000-000010480000}"/>
    <cellStyle name="Normal 2 2 2 3 3 2 9" xfId="18449" xr:uid="{00000000-0005-0000-0000-000011480000}"/>
    <cellStyle name="Normal 2 2 2 3 3 3" xfId="18450" xr:uid="{00000000-0005-0000-0000-000012480000}"/>
    <cellStyle name="Normal 2 2 2 3 3 3 10" xfId="18451" xr:uid="{00000000-0005-0000-0000-000013480000}"/>
    <cellStyle name="Normal 2 2 2 3 3 3 2" xfId="18452" xr:uid="{00000000-0005-0000-0000-000014480000}"/>
    <cellStyle name="Normal 2 2 2 3 3 3 3" xfId="18453" xr:uid="{00000000-0005-0000-0000-000015480000}"/>
    <cellStyle name="Normal 2 2 2 3 3 3 4" xfId="18454" xr:uid="{00000000-0005-0000-0000-000016480000}"/>
    <cellStyle name="Normal 2 2 2 3 3 3 5" xfId="18455" xr:uid="{00000000-0005-0000-0000-000017480000}"/>
    <cellStyle name="Normal 2 2 2 3 3 3 6" xfId="18456" xr:uid="{00000000-0005-0000-0000-000018480000}"/>
    <cellStyle name="Normal 2 2 2 3 3 3 7" xfId="18457" xr:uid="{00000000-0005-0000-0000-000019480000}"/>
    <cellStyle name="Normal 2 2 2 3 3 3 8" xfId="18458" xr:uid="{00000000-0005-0000-0000-00001A480000}"/>
    <cellStyle name="Normal 2 2 2 3 3 3 9" xfId="18459" xr:uid="{00000000-0005-0000-0000-00001B480000}"/>
    <cellStyle name="Normal 2 2 2 3 3 4" xfId="18460" xr:uid="{00000000-0005-0000-0000-00001C480000}"/>
    <cellStyle name="Normal 2 2 2 3 3 4 10" xfId="18461" xr:uid="{00000000-0005-0000-0000-00001D480000}"/>
    <cellStyle name="Normal 2 2 2 3 3 4 2" xfId="18462" xr:uid="{00000000-0005-0000-0000-00001E480000}"/>
    <cellStyle name="Normal 2 2 2 3 3 4 3" xfId="18463" xr:uid="{00000000-0005-0000-0000-00001F480000}"/>
    <cellStyle name="Normal 2 2 2 3 3 4 4" xfId="18464" xr:uid="{00000000-0005-0000-0000-000020480000}"/>
    <cellStyle name="Normal 2 2 2 3 3 4 5" xfId="18465" xr:uid="{00000000-0005-0000-0000-000021480000}"/>
    <cellStyle name="Normal 2 2 2 3 3 4 6" xfId="18466" xr:uid="{00000000-0005-0000-0000-000022480000}"/>
    <cellStyle name="Normal 2 2 2 3 3 4 7" xfId="18467" xr:uid="{00000000-0005-0000-0000-000023480000}"/>
    <cellStyle name="Normal 2 2 2 3 3 4 8" xfId="18468" xr:uid="{00000000-0005-0000-0000-000024480000}"/>
    <cellStyle name="Normal 2 2 2 3 3 4 9" xfId="18469" xr:uid="{00000000-0005-0000-0000-000025480000}"/>
    <cellStyle name="Normal 2 2 2 3 3 5" xfId="18470" xr:uid="{00000000-0005-0000-0000-000026480000}"/>
    <cellStyle name="Normal 2 2 2 3 3 5 10" xfId="18471" xr:uid="{00000000-0005-0000-0000-000027480000}"/>
    <cellStyle name="Normal 2 2 2 3 3 5 2" xfId="18472" xr:uid="{00000000-0005-0000-0000-000028480000}"/>
    <cellStyle name="Normal 2 2 2 3 3 5 3" xfId="18473" xr:uid="{00000000-0005-0000-0000-000029480000}"/>
    <cellStyle name="Normal 2 2 2 3 3 5 4" xfId="18474" xr:uid="{00000000-0005-0000-0000-00002A480000}"/>
    <cellStyle name="Normal 2 2 2 3 3 5 5" xfId="18475" xr:uid="{00000000-0005-0000-0000-00002B480000}"/>
    <cellStyle name="Normal 2 2 2 3 3 5 6" xfId="18476" xr:uid="{00000000-0005-0000-0000-00002C480000}"/>
    <cellStyle name="Normal 2 2 2 3 3 5 7" xfId="18477" xr:uid="{00000000-0005-0000-0000-00002D480000}"/>
    <cellStyle name="Normal 2 2 2 3 3 5 8" xfId="18478" xr:uid="{00000000-0005-0000-0000-00002E480000}"/>
    <cellStyle name="Normal 2 2 2 3 3 5 9" xfId="18479" xr:uid="{00000000-0005-0000-0000-00002F480000}"/>
    <cellStyle name="Normal 2 2 2 3 3 6" xfId="18480" xr:uid="{00000000-0005-0000-0000-000030480000}"/>
    <cellStyle name="Normal 2 2 2 3 3 7" xfId="18481" xr:uid="{00000000-0005-0000-0000-000031480000}"/>
    <cellStyle name="Normal 2 2 2 3 3 8" xfId="18482" xr:uid="{00000000-0005-0000-0000-000032480000}"/>
    <cellStyle name="Normal 2 2 2 3 3 9" xfId="18483" xr:uid="{00000000-0005-0000-0000-000033480000}"/>
    <cellStyle name="Normal 2 2 2 3 30" xfId="18484" xr:uid="{00000000-0005-0000-0000-000034480000}"/>
    <cellStyle name="Normal 2 2 2 3 30 10" xfId="18485" xr:uid="{00000000-0005-0000-0000-000035480000}"/>
    <cellStyle name="Normal 2 2 2 3 30 11" xfId="18486" xr:uid="{00000000-0005-0000-0000-000036480000}"/>
    <cellStyle name="Normal 2 2 2 3 30 12" xfId="18487" xr:uid="{00000000-0005-0000-0000-000037480000}"/>
    <cellStyle name="Normal 2 2 2 3 30 13" xfId="18488" xr:uid="{00000000-0005-0000-0000-000038480000}"/>
    <cellStyle name="Normal 2 2 2 3 30 14" xfId="18489" xr:uid="{00000000-0005-0000-0000-000039480000}"/>
    <cellStyle name="Normal 2 2 2 3 30 2" xfId="18490" xr:uid="{00000000-0005-0000-0000-00003A480000}"/>
    <cellStyle name="Normal 2 2 2 3 30 2 10" xfId="18491" xr:uid="{00000000-0005-0000-0000-00003B480000}"/>
    <cellStyle name="Normal 2 2 2 3 30 2 2" xfId="18492" xr:uid="{00000000-0005-0000-0000-00003C480000}"/>
    <cellStyle name="Normal 2 2 2 3 30 2 3" xfId="18493" xr:uid="{00000000-0005-0000-0000-00003D480000}"/>
    <cellStyle name="Normal 2 2 2 3 30 2 4" xfId="18494" xr:uid="{00000000-0005-0000-0000-00003E480000}"/>
    <cellStyle name="Normal 2 2 2 3 30 2 5" xfId="18495" xr:uid="{00000000-0005-0000-0000-00003F480000}"/>
    <cellStyle name="Normal 2 2 2 3 30 2 6" xfId="18496" xr:uid="{00000000-0005-0000-0000-000040480000}"/>
    <cellStyle name="Normal 2 2 2 3 30 2 7" xfId="18497" xr:uid="{00000000-0005-0000-0000-000041480000}"/>
    <cellStyle name="Normal 2 2 2 3 30 2 8" xfId="18498" xr:uid="{00000000-0005-0000-0000-000042480000}"/>
    <cellStyle name="Normal 2 2 2 3 30 2 9" xfId="18499" xr:uid="{00000000-0005-0000-0000-000043480000}"/>
    <cellStyle name="Normal 2 2 2 3 30 3" xfId="18500" xr:uid="{00000000-0005-0000-0000-000044480000}"/>
    <cellStyle name="Normal 2 2 2 3 30 3 10" xfId="18501" xr:uid="{00000000-0005-0000-0000-000045480000}"/>
    <cellStyle name="Normal 2 2 2 3 30 3 2" xfId="18502" xr:uid="{00000000-0005-0000-0000-000046480000}"/>
    <cellStyle name="Normal 2 2 2 3 30 3 3" xfId="18503" xr:uid="{00000000-0005-0000-0000-000047480000}"/>
    <cellStyle name="Normal 2 2 2 3 30 3 4" xfId="18504" xr:uid="{00000000-0005-0000-0000-000048480000}"/>
    <cellStyle name="Normal 2 2 2 3 30 3 5" xfId="18505" xr:uid="{00000000-0005-0000-0000-000049480000}"/>
    <cellStyle name="Normal 2 2 2 3 30 3 6" xfId="18506" xr:uid="{00000000-0005-0000-0000-00004A480000}"/>
    <cellStyle name="Normal 2 2 2 3 30 3 7" xfId="18507" xr:uid="{00000000-0005-0000-0000-00004B480000}"/>
    <cellStyle name="Normal 2 2 2 3 30 3 8" xfId="18508" xr:uid="{00000000-0005-0000-0000-00004C480000}"/>
    <cellStyle name="Normal 2 2 2 3 30 3 9" xfId="18509" xr:uid="{00000000-0005-0000-0000-00004D480000}"/>
    <cellStyle name="Normal 2 2 2 3 30 4" xfId="18510" xr:uid="{00000000-0005-0000-0000-00004E480000}"/>
    <cellStyle name="Normal 2 2 2 3 30 4 10" xfId="18511" xr:uid="{00000000-0005-0000-0000-00004F480000}"/>
    <cellStyle name="Normal 2 2 2 3 30 4 2" xfId="18512" xr:uid="{00000000-0005-0000-0000-000050480000}"/>
    <cellStyle name="Normal 2 2 2 3 30 4 3" xfId="18513" xr:uid="{00000000-0005-0000-0000-000051480000}"/>
    <cellStyle name="Normal 2 2 2 3 30 4 4" xfId="18514" xr:uid="{00000000-0005-0000-0000-000052480000}"/>
    <cellStyle name="Normal 2 2 2 3 30 4 5" xfId="18515" xr:uid="{00000000-0005-0000-0000-000053480000}"/>
    <cellStyle name="Normal 2 2 2 3 30 4 6" xfId="18516" xr:uid="{00000000-0005-0000-0000-000054480000}"/>
    <cellStyle name="Normal 2 2 2 3 30 4 7" xfId="18517" xr:uid="{00000000-0005-0000-0000-000055480000}"/>
    <cellStyle name="Normal 2 2 2 3 30 4 8" xfId="18518" xr:uid="{00000000-0005-0000-0000-000056480000}"/>
    <cellStyle name="Normal 2 2 2 3 30 4 9" xfId="18519" xr:uid="{00000000-0005-0000-0000-000057480000}"/>
    <cellStyle name="Normal 2 2 2 3 30 5" xfId="18520" xr:uid="{00000000-0005-0000-0000-000058480000}"/>
    <cellStyle name="Normal 2 2 2 3 30 5 10" xfId="18521" xr:uid="{00000000-0005-0000-0000-000059480000}"/>
    <cellStyle name="Normal 2 2 2 3 30 5 2" xfId="18522" xr:uid="{00000000-0005-0000-0000-00005A480000}"/>
    <cellStyle name="Normal 2 2 2 3 30 5 3" xfId="18523" xr:uid="{00000000-0005-0000-0000-00005B480000}"/>
    <cellStyle name="Normal 2 2 2 3 30 5 4" xfId="18524" xr:uid="{00000000-0005-0000-0000-00005C480000}"/>
    <cellStyle name="Normal 2 2 2 3 30 5 5" xfId="18525" xr:uid="{00000000-0005-0000-0000-00005D480000}"/>
    <cellStyle name="Normal 2 2 2 3 30 5 6" xfId="18526" xr:uid="{00000000-0005-0000-0000-00005E480000}"/>
    <cellStyle name="Normal 2 2 2 3 30 5 7" xfId="18527" xr:uid="{00000000-0005-0000-0000-00005F480000}"/>
    <cellStyle name="Normal 2 2 2 3 30 5 8" xfId="18528" xr:uid="{00000000-0005-0000-0000-000060480000}"/>
    <cellStyle name="Normal 2 2 2 3 30 5 9" xfId="18529" xr:uid="{00000000-0005-0000-0000-000061480000}"/>
    <cellStyle name="Normal 2 2 2 3 30 6" xfId="18530" xr:uid="{00000000-0005-0000-0000-000062480000}"/>
    <cellStyle name="Normal 2 2 2 3 30 7" xfId="18531" xr:uid="{00000000-0005-0000-0000-000063480000}"/>
    <cellStyle name="Normal 2 2 2 3 30 8" xfId="18532" xr:uid="{00000000-0005-0000-0000-000064480000}"/>
    <cellStyle name="Normal 2 2 2 3 30 9" xfId="18533" xr:uid="{00000000-0005-0000-0000-000065480000}"/>
    <cellStyle name="Normal 2 2 2 3 31" xfId="18534" xr:uid="{00000000-0005-0000-0000-000066480000}"/>
    <cellStyle name="Normal 2 2 2 3 31 10" xfId="18535" xr:uid="{00000000-0005-0000-0000-000067480000}"/>
    <cellStyle name="Normal 2 2 2 3 31 11" xfId="18536" xr:uid="{00000000-0005-0000-0000-000068480000}"/>
    <cellStyle name="Normal 2 2 2 3 31 12" xfId="18537" xr:uid="{00000000-0005-0000-0000-000069480000}"/>
    <cellStyle name="Normal 2 2 2 3 31 13" xfId="18538" xr:uid="{00000000-0005-0000-0000-00006A480000}"/>
    <cellStyle name="Normal 2 2 2 3 31 14" xfId="18539" xr:uid="{00000000-0005-0000-0000-00006B480000}"/>
    <cellStyle name="Normal 2 2 2 3 31 2" xfId="18540" xr:uid="{00000000-0005-0000-0000-00006C480000}"/>
    <cellStyle name="Normal 2 2 2 3 31 2 10" xfId="18541" xr:uid="{00000000-0005-0000-0000-00006D480000}"/>
    <cellStyle name="Normal 2 2 2 3 31 2 2" xfId="18542" xr:uid="{00000000-0005-0000-0000-00006E480000}"/>
    <cellStyle name="Normal 2 2 2 3 31 2 3" xfId="18543" xr:uid="{00000000-0005-0000-0000-00006F480000}"/>
    <cellStyle name="Normal 2 2 2 3 31 2 4" xfId="18544" xr:uid="{00000000-0005-0000-0000-000070480000}"/>
    <cellStyle name="Normal 2 2 2 3 31 2 5" xfId="18545" xr:uid="{00000000-0005-0000-0000-000071480000}"/>
    <cellStyle name="Normal 2 2 2 3 31 2 6" xfId="18546" xr:uid="{00000000-0005-0000-0000-000072480000}"/>
    <cellStyle name="Normal 2 2 2 3 31 2 7" xfId="18547" xr:uid="{00000000-0005-0000-0000-000073480000}"/>
    <cellStyle name="Normal 2 2 2 3 31 2 8" xfId="18548" xr:uid="{00000000-0005-0000-0000-000074480000}"/>
    <cellStyle name="Normal 2 2 2 3 31 2 9" xfId="18549" xr:uid="{00000000-0005-0000-0000-000075480000}"/>
    <cellStyle name="Normal 2 2 2 3 31 3" xfId="18550" xr:uid="{00000000-0005-0000-0000-000076480000}"/>
    <cellStyle name="Normal 2 2 2 3 31 3 10" xfId="18551" xr:uid="{00000000-0005-0000-0000-000077480000}"/>
    <cellStyle name="Normal 2 2 2 3 31 3 2" xfId="18552" xr:uid="{00000000-0005-0000-0000-000078480000}"/>
    <cellStyle name="Normal 2 2 2 3 31 3 3" xfId="18553" xr:uid="{00000000-0005-0000-0000-000079480000}"/>
    <cellStyle name="Normal 2 2 2 3 31 3 4" xfId="18554" xr:uid="{00000000-0005-0000-0000-00007A480000}"/>
    <cellStyle name="Normal 2 2 2 3 31 3 5" xfId="18555" xr:uid="{00000000-0005-0000-0000-00007B480000}"/>
    <cellStyle name="Normal 2 2 2 3 31 3 6" xfId="18556" xr:uid="{00000000-0005-0000-0000-00007C480000}"/>
    <cellStyle name="Normal 2 2 2 3 31 3 7" xfId="18557" xr:uid="{00000000-0005-0000-0000-00007D480000}"/>
    <cellStyle name="Normal 2 2 2 3 31 3 8" xfId="18558" xr:uid="{00000000-0005-0000-0000-00007E480000}"/>
    <cellStyle name="Normal 2 2 2 3 31 3 9" xfId="18559" xr:uid="{00000000-0005-0000-0000-00007F480000}"/>
    <cellStyle name="Normal 2 2 2 3 31 4" xfId="18560" xr:uid="{00000000-0005-0000-0000-000080480000}"/>
    <cellStyle name="Normal 2 2 2 3 31 4 10" xfId="18561" xr:uid="{00000000-0005-0000-0000-000081480000}"/>
    <cellStyle name="Normal 2 2 2 3 31 4 2" xfId="18562" xr:uid="{00000000-0005-0000-0000-000082480000}"/>
    <cellStyle name="Normal 2 2 2 3 31 4 3" xfId="18563" xr:uid="{00000000-0005-0000-0000-000083480000}"/>
    <cellStyle name="Normal 2 2 2 3 31 4 4" xfId="18564" xr:uid="{00000000-0005-0000-0000-000084480000}"/>
    <cellStyle name="Normal 2 2 2 3 31 4 5" xfId="18565" xr:uid="{00000000-0005-0000-0000-000085480000}"/>
    <cellStyle name="Normal 2 2 2 3 31 4 6" xfId="18566" xr:uid="{00000000-0005-0000-0000-000086480000}"/>
    <cellStyle name="Normal 2 2 2 3 31 4 7" xfId="18567" xr:uid="{00000000-0005-0000-0000-000087480000}"/>
    <cellStyle name="Normal 2 2 2 3 31 4 8" xfId="18568" xr:uid="{00000000-0005-0000-0000-000088480000}"/>
    <cellStyle name="Normal 2 2 2 3 31 4 9" xfId="18569" xr:uid="{00000000-0005-0000-0000-000089480000}"/>
    <cellStyle name="Normal 2 2 2 3 31 5" xfId="18570" xr:uid="{00000000-0005-0000-0000-00008A480000}"/>
    <cellStyle name="Normal 2 2 2 3 31 5 10" xfId="18571" xr:uid="{00000000-0005-0000-0000-00008B480000}"/>
    <cellStyle name="Normal 2 2 2 3 31 5 2" xfId="18572" xr:uid="{00000000-0005-0000-0000-00008C480000}"/>
    <cellStyle name="Normal 2 2 2 3 31 5 3" xfId="18573" xr:uid="{00000000-0005-0000-0000-00008D480000}"/>
    <cellStyle name="Normal 2 2 2 3 31 5 4" xfId="18574" xr:uid="{00000000-0005-0000-0000-00008E480000}"/>
    <cellStyle name="Normal 2 2 2 3 31 5 5" xfId="18575" xr:uid="{00000000-0005-0000-0000-00008F480000}"/>
    <cellStyle name="Normal 2 2 2 3 31 5 6" xfId="18576" xr:uid="{00000000-0005-0000-0000-000090480000}"/>
    <cellStyle name="Normal 2 2 2 3 31 5 7" xfId="18577" xr:uid="{00000000-0005-0000-0000-000091480000}"/>
    <cellStyle name="Normal 2 2 2 3 31 5 8" xfId="18578" xr:uid="{00000000-0005-0000-0000-000092480000}"/>
    <cellStyle name="Normal 2 2 2 3 31 5 9" xfId="18579" xr:uid="{00000000-0005-0000-0000-000093480000}"/>
    <cellStyle name="Normal 2 2 2 3 31 6" xfId="18580" xr:uid="{00000000-0005-0000-0000-000094480000}"/>
    <cellStyle name="Normal 2 2 2 3 31 7" xfId="18581" xr:uid="{00000000-0005-0000-0000-000095480000}"/>
    <cellStyle name="Normal 2 2 2 3 31 8" xfId="18582" xr:uid="{00000000-0005-0000-0000-000096480000}"/>
    <cellStyle name="Normal 2 2 2 3 31 9" xfId="18583" xr:uid="{00000000-0005-0000-0000-000097480000}"/>
    <cellStyle name="Normal 2 2 2 3 32" xfId="18584" xr:uid="{00000000-0005-0000-0000-000098480000}"/>
    <cellStyle name="Normal 2 2 2 3 32 10" xfId="18585" xr:uid="{00000000-0005-0000-0000-000099480000}"/>
    <cellStyle name="Normal 2 2 2 3 32 11" xfId="18586" xr:uid="{00000000-0005-0000-0000-00009A480000}"/>
    <cellStyle name="Normal 2 2 2 3 32 12" xfId="18587" xr:uid="{00000000-0005-0000-0000-00009B480000}"/>
    <cellStyle name="Normal 2 2 2 3 32 13" xfId="18588" xr:uid="{00000000-0005-0000-0000-00009C480000}"/>
    <cellStyle name="Normal 2 2 2 3 32 14" xfId="18589" xr:uid="{00000000-0005-0000-0000-00009D480000}"/>
    <cellStyle name="Normal 2 2 2 3 32 2" xfId="18590" xr:uid="{00000000-0005-0000-0000-00009E480000}"/>
    <cellStyle name="Normal 2 2 2 3 32 2 10" xfId="18591" xr:uid="{00000000-0005-0000-0000-00009F480000}"/>
    <cellStyle name="Normal 2 2 2 3 32 2 2" xfId="18592" xr:uid="{00000000-0005-0000-0000-0000A0480000}"/>
    <cellStyle name="Normal 2 2 2 3 32 2 3" xfId="18593" xr:uid="{00000000-0005-0000-0000-0000A1480000}"/>
    <cellStyle name="Normal 2 2 2 3 32 2 4" xfId="18594" xr:uid="{00000000-0005-0000-0000-0000A2480000}"/>
    <cellStyle name="Normal 2 2 2 3 32 2 5" xfId="18595" xr:uid="{00000000-0005-0000-0000-0000A3480000}"/>
    <cellStyle name="Normal 2 2 2 3 32 2 6" xfId="18596" xr:uid="{00000000-0005-0000-0000-0000A4480000}"/>
    <cellStyle name="Normal 2 2 2 3 32 2 7" xfId="18597" xr:uid="{00000000-0005-0000-0000-0000A5480000}"/>
    <cellStyle name="Normal 2 2 2 3 32 2 8" xfId="18598" xr:uid="{00000000-0005-0000-0000-0000A6480000}"/>
    <cellStyle name="Normal 2 2 2 3 32 2 9" xfId="18599" xr:uid="{00000000-0005-0000-0000-0000A7480000}"/>
    <cellStyle name="Normal 2 2 2 3 32 3" xfId="18600" xr:uid="{00000000-0005-0000-0000-0000A8480000}"/>
    <cellStyle name="Normal 2 2 2 3 32 3 10" xfId="18601" xr:uid="{00000000-0005-0000-0000-0000A9480000}"/>
    <cellStyle name="Normal 2 2 2 3 32 3 2" xfId="18602" xr:uid="{00000000-0005-0000-0000-0000AA480000}"/>
    <cellStyle name="Normal 2 2 2 3 32 3 3" xfId="18603" xr:uid="{00000000-0005-0000-0000-0000AB480000}"/>
    <cellStyle name="Normal 2 2 2 3 32 3 4" xfId="18604" xr:uid="{00000000-0005-0000-0000-0000AC480000}"/>
    <cellStyle name="Normal 2 2 2 3 32 3 5" xfId="18605" xr:uid="{00000000-0005-0000-0000-0000AD480000}"/>
    <cellStyle name="Normal 2 2 2 3 32 3 6" xfId="18606" xr:uid="{00000000-0005-0000-0000-0000AE480000}"/>
    <cellStyle name="Normal 2 2 2 3 32 3 7" xfId="18607" xr:uid="{00000000-0005-0000-0000-0000AF480000}"/>
    <cellStyle name="Normal 2 2 2 3 32 3 8" xfId="18608" xr:uid="{00000000-0005-0000-0000-0000B0480000}"/>
    <cellStyle name="Normal 2 2 2 3 32 3 9" xfId="18609" xr:uid="{00000000-0005-0000-0000-0000B1480000}"/>
    <cellStyle name="Normal 2 2 2 3 32 4" xfId="18610" xr:uid="{00000000-0005-0000-0000-0000B2480000}"/>
    <cellStyle name="Normal 2 2 2 3 32 4 10" xfId="18611" xr:uid="{00000000-0005-0000-0000-0000B3480000}"/>
    <cellStyle name="Normal 2 2 2 3 32 4 2" xfId="18612" xr:uid="{00000000-0005-0000-0000-0000B4480000}"/>
    <cellStyle name="Normal 2 2 2 3 32 4 3" xfId="18613" xr:uid="{00000000-0005-0000-0000-0000B5480000}"/>
    <cellStyle name="Normal 2 2 2 3 32 4 4" xfId="18614" xr:uid="{00000000-0005-0000-0000-0000B6480000}"/>
    <cellStyle name="Normal 2 2 2 3 32 4 5" xfId="18615" xr:uid="{00000000-0005-0000-0000-0000B7480000}"/>
    <cellStyle name="Normal 2 2 2 3 32 4 6" xfId="18616" xr:uid="{00000000-0005-0000-0000-0000B8480000}"/>
    <cellStyle name="Normal 2 2 2 3 32 4 7" xfId="18617" xr:uid="{00000000-0005-0000-0000-0000B9480000}"/>
    <cellStyle name="Normal 2 2 2 3 32 4 8" xfId="18618" xr:uid="{00000000-0005-0000-0000-0000BA480000}"/>
    <cellStyle name="Normal 2 2 2 3 32 4 9" xfId="18619" xr:uid="{00000000-0005-0000-0000-0000BB480000}"/>
    <cellStyle name="Normal 2 2 2 3 32 5" xfId="18620" xr:uid="{00000000-0005-0000-0000-0000BC480000}"/>
    <cellStyle name="Normal 2 2 2 3 32 5 10" xfId="18621" xr:uid="{00000000-0005-0000-0000-0000BD480000}"/>
    <cellStyle name="Normal 2 2 2 3 32 5 2" xfId="18622" xr:uid="{00000000-0005-0000-0000-0000BE480000}"/>
    <cellStyle name="Normal 2 2 2 3 32 5 3" xfId="18623" xr:uid="{00000000-0005-0000-0000-0000BF480000}"/>
    <cellStyle name="Normal 2 2 2 3 32 5 4" xfId="18624" xr:uid="{00000000-0005-0000-0000-0000C0480000}"/>
    <cellStyle name="Normal 2 2 2 3 32 5 5" xfId="18625" xr:uid="{00000000-0005-0000-0000-0000C1480000}"/>
    <cellStyle name="Normal 2 2 2 3 32 5 6" xfId="18626" xr:uid="{00000000-0005-0000-0000-0000C2480000}"/>
    <cellStyle name="Normal 2 2 2 3 32 5 7" xfId="18627" xr:uid="{00000000-0005-0000-0000-0000C3480000}"/>
    <cellStyle name="Normal 2 2 2 3 32 5 8" xfId="18628" xr:uid="{00000000-0005-0000-0000-0000C4480000}"/>
    <cellStyle name="Normal 2 2 2 3 32 5 9" xfId="18629" xr:uid="{00000000-0005-0000-0000-0000C5480000}"/>
    <cellStyle name="Normal 2 2 2 3 32 6" xfId="18630" xr:uid="{00000000-0005-0000-0000-0000C6480000}"/>
    <cellStyle name="Normal 2 2 2 3 32 7" xfId="18631" xr:uid="{00000000-0005-0000-0000-0000C7480000}"/>
    <cellStyle name="Normal 2 2 2 3 32 8" xfId="18632" xr:uid="{00000000-0005-0000-0000-0000C8480000}"/>
    <cellStyle name="Normal 2 2 2 3 32 9" xfId="18633" xr:uid="{00000000-0005-0000-0000-0000C9480000}"/>
    <cellStyle name="Normal 2 2 2 3 33" xfId="18634" xr:uid="{00000000-0005-0000-0000-0000CA480000}"/>
    <cellStyle name="Normal 2 2 2 3 33 10" xfId="18635" xr:uid="{00000000-0005-0000-0000-0000CB480000}"/>
    <cellStyle name="Normal 2 2 2 3 33 11" xfId="18636" xr:uid="{00000000-0005-0000-0000-0000CC480000}"/>
    <cellStyle name="Normal 2 2 2 3 33 12" xfId="18637" xr:uid="{00000000-0005-0000-0000-0000CD480000}"/>
    <cellStyle name="Normal 2 2 2 3 33 13" xfId="18638" xr:uid="{00000000-0005-0000-0000-0000CE480000}"/>
    <cellStyle name="Normal 2 2 2 3 33 14" xfId="18639" xr:uid="{00000000-0005-0000-0000-0000CF480000}"/>
    <cellStyle name="Normal 2 2 2 3 33 2" xfId="18640" xr:uid="{00000000-0005-0000-0000-0000D0480000}"/>
    <cellStyle name="Normal 2 2 2 3 33 2 10" xfId="18641" xr:uid="{00000000-0005-0000-0000-0000D1480000}"/>
    <cellStyle name="Normal 2 2 2 3 33 2 2" xfId="18642" xr:uid="{00000000-0005-0000-0000-0000D2480000}"/>
    <cellStyle name="Normal 2 2 2 3 33 2 3" xfId="18643" xr:uid="{00000000-0005-0000-0000-0000D3480000}"/>
    <cellStyle name="Normal 2 2 2 3 33 2 4" xfId="18644" xr:uid="{00000000-0005-0000-0000-0000D4480000}"/>
    <cellStyle name="Normal 2 2 2 3 33 2 5" xfId="18645" xr:uid="{00000000-0005-0000-0000-0000D5480000}"/>
    <cellStyle name="Normal 2 2 2 3 33 2 6" xfId="18646" xr:uid="{00000000-0005-0000-0000-0000D6480000}"/>
    <cellStyle name="Normal 2 2 2 3 33 2 7" xfId="18647" xr:uid="{00000000-0005-0000-0000-0000D7480000}"/>
    <cellStyle name="Normal 2 2 2 3 33 2 8" xfId="18648" xr:uid="{00000000-0005-0000-0000-0000D8480000}"/>
    <cellStyle name="Normal 2 2 2 3 33 2 9" xfId="18649" xr:uid="{00000000-0005-0000-0000-0000D9480000}"/>
    <cellStyle name="Normal 2 2 2 3 33 3" xfId="18650" xr:uid="{00000000-0005-0000-0000-0000DA480000}"/>
    <cellStyle name="Normal 2 2 2 3 33 3 10" xfId="18651" xr:uid="{00000000-0005-0000-0000-0000DB480000}"/>
    <cellStyle name="Normal 2 2 2 3 33 3 2" xfId="18652" xr:uid="{00000000-0005-0000-0000-0000DC480000}"/>
    <cellStyle name="Normal 2 2 2 3 33 3 3" xfId="18653" xr:uid="{00000000-0005-0000-0000-0000DD480000}"/>
    <cellStyle name="Normal 2 2 2 3 33 3 4" xfId="18654" xr:uid="{00000000-0005-0000-0000-0000DE480000}"/>
    <cellStyle name="Normal 2 2 2 3 33 3 5" xfId="18655" xr:uid="{00000000-0005-0000-0000-0000DF480000}"/>
    <cellStyle name="Normal 2 2 2 3 33 3 6" xfId="18656" xr:uid="{00000000-0005-0000-0000-0000E0480000}"/>
    <cellStyle name="Normal 2 2 2 3 33 3 7" xfId="18657" xr:uid="{00000000-0005-0000-0000-0000E1480000}"/>
    <cellStyle name="Normal 2 2 2 3 33 3 8" xfId="18658" xr:uid="{00000000-0005-0000-0000-0000E2480000}"/>
    <cellStyle name="Normal 2 2 2 3 33 3 9" xfId="18659" xr:uid="{00000000-0005-0000-0000-0000E3480000}"/>
    <cellStyle name="Normal 2 2 2 3 33 4" xfId="18660" xr:uid="{00000000-0005-0000-0000-0000E4480000}"/>
    <cellStyle name="Normal 2 2 2 3 33 4 10" xfId="18661" xr:uid="{00000000-0005-0000-0000-0000E5480000}"/>
    <cellStyle name="Normal 2 2 2 3 33 4 2" xfId="18662" xr:uid="{00000000-0005-0000-0000-0000E6480000}"/>
    <cellStyle name="Normal 2 2 2 3 33 4 3" xfId="18663" xr:uid="{00000000-0005-0000-0000-0000E7480000}"/>
    <cellStyle name="Normal 2 2 2 3 33 4 4" xfId="18664" xr:uid="{00000000-0005-0000-0000-0000E8480000}"/>
    <cellStyle name="Normal 2 2 2 3 33 4 5" xfId="18665" xr:uid="{00000000-0005-0000-0000-0000E9480000}"/>
    <cellStyle name="Normal 2 2 2 3 33 4 6" xfId="18666" xr:uid="{00000000-0005-0000-0000-0000EA480000}"/>
    <cellStyle name="Normal 2 2 2 3 33 4 7" xfId="18667" xr:uid="{00000000-0005-0000-0000-0000EB480000}"/>
    <cellStyle name="Normal 2 2 2 3 33 4 8" xfId="18668" xr:uid="{00000000-0005-0000-0000-0000EC480000}"/>
    <cellStyle name="Normal 2 2 2 3 33 4 9" xfId="18669" xr:uid="{00000000-0005-0000-0000-0000ED480000}"/>
    <cellStyle name="Normal 2 2 2 3 33 5" xfId="18670" xr:uid="{00000000-0005-0000-0000-0000EE480000}"/>
    <cellStyle name="Normal 2 2 2 3 33 5 10" xfId="18671" xr:uid="{00000000-0005-0000-0000-0000EF480000}"/>
    <cellStyle name="Normal 2 2 2 3 33 5 2" xfId="18672" xr:uid="{00000000-0005-0000-0000-0000F0480000}"/>
    <cellStyle name="Normal 2 2 2 3 33 5 3" xfId="18673" xr:uid="{00000000-0005-0000-0000-0000F1480000}"/>
    <cellStyle name="Normal 2 2 2 3 33 5 4" xfId="18674" xr:uid="{00000000-0005-0000-0000-0000F2480000}"/>
    <cellStyle name="Normal 2 2 2 3 33 5 5" xfId="18675" xr:uid="{00000000-0005-0000-0000-0000F3480000}"/>
    <cellStyle name="Normal 2 2 2 3 33 5 6" xfId="18676" xr:uid="{00000000-0005-0000-0000-0000F4480000}"/>
    <cellStyle name="Normal 2 2 2 3 33 5 7" xfId="18677" xr:uid="{00000000-0005-0000-0000-0000F5480000}"/>
    <cellStyle name="Normal 2 2 2 3 33 5 8" xfId="18678" xr:uid="{00000000-0005-0000-0000-0000F6480000}"/>
    <cellStyle name="Normal 2 2 2 3 33 5 9" xfId="18679" xr:uid="{00000000-0005-0000-0000-0000F7480000}"/>
    <cellStyle name="Normal 2 2 2 3 33 6" xfId="18680" xr:uid="{00000000-0005-0000-0000-0000F8480000}"/>
    <cellStyle name="Normal 2 2 2 3 33 7" xfId="18681" xr:uid="{00000000-0005-0000-0000-0000F9480000}"/>
    <cellStyle name="Normal 2 2 2 3 33 8" xfId="18682" xr:uid="{00000000-0005-0000-0000-0000FA480000}"/>
    <cellStyle name="Normal 2 2 2 3 33 9" xfId="18683" xr:uid="{00000000-0005-0000-0000-0000FB480000}"/>
    <cellStyle name="Normal 2 2 2 3 34" xfId="18684" xr:uid="{00000000-0005-0000-0000-0000FC480000}"/>
    <cellStyle name="Normal 2 2 2 3 34 10" xfId="18685" xr:uid="{00000000-0005-0000-0000-0000FD480000}"/>
    <cellStyle name="Normal 2 2 2 3 34 2" xfId="18686" xr:uid="{00000000-0005-0000-0000-0000FE480000}"/>
    <cellStyle name="Normal 2 2 2 3 34 3" xfId="18687" xr:uid="{00000000-0005-0000-0000-0000FF480000}"/>
    <cellStyle name="Normal 2 2 2 3 34 4" xfId="18688" xr:uid="{00000000-0005-0000-0000-000000490000}"/>
    <cellStyle name="Normal 2 2 2 3 34 5" xfId="18689" xr:uid="{00000000-0005-0000-0000-000001490000}"/>
    <cellStyle name="Normal 2 2 2 3 34 6" xfId="18690" xr:uid="{00000000-0005-0000-0000-000002490000}"/>
    <cellStyle name="Normal 2 2 2 3 34 7" xfId="18691" xr:uid="{00000000-0005-0000-0000-000003490000}"/>
    <cellStyle name="Normal 2 2 2 3 34 8" xfId="18692" xr:uid="{00000000-0005-0000-0000-000004490000}"/>
    <cellStyle name="Normal 2 2 2 3 34 9" xfId="18693" xr:uid="{00000000-0005-0000-0000-000005490000}"/>
    <cellStyle name="Normal 2 2 2 3 35" xfId="18694" xr:uid="{00000000-0005-0000-0000-000006490000}"/>
    <cellStyle name="Normal 2 2 2 3 35 10" xfId="18695" xr:uid="{00000000-0005-0000-0000-000007490000}"/>
    <cellStyle name="Normal 2 2 2 3 35 2" xfId="18696" xr:uid="{00000000-0005-0000-0000-000008490000}"/>
    <cellStyle name="Normal 2 2 2 3 35 3" xfId="18697" xr:uid="{00000000-0005-0000-0000-000009490000}"/>
    <cellStyle name="Normal 2 2 2 3 35 4" xfId="18698" xr:uid="{00000000-0005-0000-0000-00000A490000}"/>
    <cellStyle name="Normal 2 2 2 3 35 5" xfId="18699" xr:uid="{00000000-0005-0000-0000-00000B490000}"/>
    <cellStyle name="Normal 2 2 2 3 35 6" xfId="18700" xr:uid="{00000000-0005-0000-0000-00000C490000}"/>
    <cellStyle name="Normal 2 2 2 3 35 7" xfId="18701" xr:uid="{00000000-0005-0000-0000-00000D490000}"/>
    <cellStyle name="Normal 2 2 2 3 35 8" xfId="18702" xr:uid="{00000000-0005-0000-0000-00000E490000}"/>
    <cellStyle name="Normal 2 2 2 3 35 9" xfId="18703" xr:uid="{00000000-0005-0000-0000-00000F490000}"/>
    <cellStyle name="Normal 2 2 2 3 36" xfId="18704" xr:uid="{00000000-0005-0000-0000-000010490000}"/>
    <cellStyle name="Normal 2 2 2 3 36 10" xfId="18705" xr:uid="{00000000-0005-0000-0000-000011490000}"/>
    <cellStyle name="Normal 2 2 2 3 36 2" xfId="18706" xr:uid="{00000000-0005-0000-0000-000012490000}"/>
    <cellStyle name="Normal 2 2 2 3 36 3" xfId="18707" xr:uid="{00000000-0005-0000-0000-000013490000}"/>
    <cellStyle name="Normal 2 2 2 3 36 4" xfId="18708" xr:uid="{00000000-0005-0000-0000-000014490000}"/>
    <cellStyle name="Normal 2 2 2 3 36 5" xfId="18709" xr:uid="{00000000-0005-0000-0000-000015490000}"/>
    <cellStyle name="Normal 2 2 2 3 36 6" xfId="18710" xr:uid="{00000000-0005-0000-0000-000016490000}"/>
    <cellStyle name="Normal 2 2 2 3 36 7" xfId="18711" xr:uid="{00000000-0005-0000-0000-000017490000}"/>
    <cellStyle name="Normal 2 2 2 3 36 8" xfId="18712" xr:uid="{00000000-0005-0000-0000-000018490000}"/>
    <cellStyle name="Normal 2 2 2 3 36 9" xfId="18713" xr:uid="{00000000-0005-0000-0000-000019490000}"/>
    <cellStyle name="Normal 2 2 2 3 37" xfId="18714" xr:uid="{00000000-0005-0000-0000-00001A490000}"/>
    <cellStyle name="Normal 2 2 2 3 37 10" xfId="18715" xr:uid="{00000000-0005-0000-0000-00001B490000}"/>
    <cellStyle name="Normal 2 2 2 3 37 2" xfId="18716" xr:uid="{00000000-0005-0000-0000-00001C490000}"/>
    <cellStyle name="Normal 2 2 2 3 37 3" xfId="18717" xr:uid="{00000000-0005-0000-0000-00001D490000}"/>
    <cellStyle name="Normal 2 2 2 3 37 4" xfId="18718" xr:uid="{00000000-0005-0000-0000-00001E490000}"/>
    <cellStyle name="Normal 2 2 2 3 37 5" xfId="18719" xr:uid="{00000000-0005-0000-0000-00001F490000}"/>
    <cellStyle name="Normal 2 2 2 3 37 6" xfId="18720" xr:uid="{00000000-0005-0000-0000-000020490000}"/>
    <cellStyle name="Normal 2 2 2 3 37 7" xfId="18721" xr:uid="{00000000-0005-0000-0000-000021490000}"/>
    <cellStyle name="Normal 2 2 2 3 37 8" xfId="18722" xr:uid="{00000000-0005-0000-0000-000022490000}"/>
    <cellStyle name="Normal 2 2 2 3 37 9" xfId="18723" xr:uid="{00000000-0005-0000-0000-000023490000}"/>
    <cellStyle name="Normal 2 2 2 3 38" xfId="18724" xr:uid="{00000000-0005-0000-0000-000024490000}"/>
    <cellStyle name="Normal 2 2 2 3 39" xfId="18725" xr:uid="{00000000-0005-0000-0000-000025490000}"/>
    <cellStyle name="Normal 2 2 2 3 4" xfId="18726" xr:uid="{00000000-0005-0000-0000-000026490000}"/>
    <cellStyle name="Normal 2 2 2 3 4 10" xfId="18727" xr:uid="{00000000-0005-0000-0000-000027490000}"/>
    <cellStyle name="Normal 2 2 2 3 4 11" xfId="18728" xr:uid="{00000000-0005-0000-0000-000028490000}"/>
    <cellStyle name="Normal 2 2 2 3 4 12" xfId="18729" xr:uid="{00000000-0005-0000-0000-000029490000}"/>
    <cellStyle name="Normal 2 2 2 3 4 13" xfId="18730" xr:uid="{00000000-0005-0000-0000-00002A490000}"/>
    <cellStyle name="Normal 2 2 2 3 4 14" xfId="18731" xr:uid="{00000000-0005-0000-0000-00002B490000}"/>
    <cellStyle name="Normal 2 2 2 3 4 15" xfId="18732" xr:uid="{00000000-0005-0000-0000-00002C490000}"/>
    <cellStyle name="Normal 2 2 2 3 4 16" xfId="18733" xr:uid="{00000000-0005-0000-0000-00002D490000}"/>
    <cellStyle name="Normal 2 2 2 3 4 2" xfId="18734" xr:uid="{00000000-0005-0000-0000-00002E490000}"/>
    <cellStyle name="Normal 2 2 2 3 4 2 10" xfId="18735" xr:uid="{00000000-0005-0000-0000-00002F490000}"/>
    <cellStyle name="Normal 2 2 2 3 4 2 2" xfId="18736" xr:uid="{00000000-0005-0000-0000-000030490000}"/>
    <cellStyle name="Normal 2 2 2 3 4 2 3" xfId="18737" xr:uid="{00000000-0005-0000-0000-000031490000}"/>
    <cellStyle name="Normal 2 2 2 3 4 2 4" xfId="18738" xr:uid="{00000000-0005-0000-0000-000032490000}"/>
    <cellStyle name="Normal 2 2 2 3 4 2 5" xfId="18739" xr:uid="{00000000-0005-0000-0000-000033490000}"/>
    <cellStyle name="Normal 2 2 2 3 4 2 6" xfId="18740" xr:uid="{00000000-0005-0000-0000-000034490000}"/>
    <cellStyle name="Normal 2 2 2 3 4 2 7" xfId="18741" xr:uid="{00000000-0005-0000-0000-000035490000}"/>
    <cellStyle name="Normal 2 2 2 3 4 2 8" xfId="18742" xr:uid="{00000000-0005-0000-0000-000036490000}"/>
    <cellStyle name="Normal 2 2 2 3 4 2 9" xfId="18743" xr:uid="{00000000-0005-0000-0000-000037490000}"/>
    <cellStyle name="Normal 2 2 2 3 4 3" xfId="18744" xr:uid="{00000000-0005-0000-0000-000038490000}"/>
    <cellStyle name="Normal 2 2 2 3 4 3 10" xfId="18745" xr:uid="{00000000-0005-0000-0000-000039490000}"/>
    <cellStyle name="Normal 2 2 2 3 4 3 2" xfId="18746" xr:uid="{00000000-0005-0000-0000-00003A490000}"/>
    <cellStyle name="Normal 2 2 2 3 4 3 3" xfId="18747" xr:uid="{00000000-0005-0000-0000-00003B490000}"/>
    <cellStyle name="Normal 2 2 2 3 4 3 4" xfId="18748" xr:uid="{00000000-0005-0000-0000-00003C490000}"/>
    <cellStyle name="Normal 2 2 2 3 4 3 5" xfId="18749" xr:uid="{00000000-0005-0000-0000-00003D490000}"/>
    <cellStyle name="Normal 2 2 2 3 4 3 6" xfId="18750" xr:uid="{00000000-0005-0000-0000-00003E490000}"/>
    <cellStyle name="Normal 2 2 2 3 4 3 7" xfId="18751" xr:uid="{00000000-0005-0000-0000-00003F490000}"/>
    <cellStyle name="Normal 2 2 2 3 4 3 8" xfId="18752" xr:uid="{00000000-0005-0000-0000-000040490000}"/>
    <cellStyle name="Normal 2 2 2 3 4 3 9" xfId="18753" xr:uid="{00000000-0005-0000-0000-000041490000}"/>
    <cellStyle name="Normal 2 2 2 3 4 4" xfId="18754" xr:uid="{00000000-0005-0000-0000-000042490000}"/>
    <cellStyle name="Normal 2 2 2 3 4 4 10" xfId="18755" xr:uid="{00000000-0005-0000-0000-000043490000}"/>
    <cellStyle name="Normal 2 2 2 3 4 4 2" xfId="18756" xr:uid="{00000000-0005-0000-0000-000044490000}"/>
    <cellStyle name="Normal 2 2 2 3 4 4 3" xfId="18757" xr:uid="{00000000-0005-0000-0000-000045490000}"/>
    <cellStyle name="Normal 2 2 2 3 4 4 4" xfId="18758" xr:uid="{00000000-0005-0000-0000-000046490000}"/>
    <cellStyle name="Normal 2 2 2 3 4 4 5" xfId="18759" xr:uid="{00000000-0005-0000-0000-000047490000}"/>
    <cellStyle name="Normal 2 2 2 3 4 4 6" xfId="18760" xr:uid="{00000000-0005-0000-0000-000048490000}"/>
    <cellStyle name="Normal 2 2 2 3 4 4 7" xfId="18761" xr:uid="{00000000-0005-0000-0000-000049490000}"/>
    <cellStyle name="Normal 2 2 2 3 4 4 8" xfId="18762" xr:uid="{00000000-0005-0000-0000-00004A490000}"/>
    <cellStyle name="Normal 2 2 2 3 4 4 9" xfId="18763" xr:uid="{00000000-0005-0000-0000-00004B490000}"/>
    <cellStyle name="Normal 2 2 2 3 4 5" xfId="18764" xr:uid="{00000000-0005-0000-0000-00004C490000}"/>
    <cellStyle name="Normal 2 2 2 3 4 5 10" xfId="18765" xr:uid="{00000000-0005-0000-0000-00004D490000}"/>
    <cellStyle name="Normal 2 2 2 3 4 5 2" xfId="18766" xr:uid="{00000000-0005-0000-0000-00004E490000}"/>
    <cellStyle name="Normal 2 2 2 3 4 5 3" xfId="18767" xr:uid="{00000000-0005-0000-0000-00004F490000}"/>
    <cellStyle name="Normal 2 2 2 3 4 5 4" xfId="18768" xr:uid="{00000000-0005-0000-0000-000050490000}"/>
    <cellStyle name="Normal 2 2 2 3 4 5 5" xfId="18769" xr:uid="{00000000-0005-0000-0000-000051490000}"/>
    <cellStyle name="Normal 2 2 2 3 4 5 6" xfId="18770" xr:uid="{00000000-0005-0000-0000-000052490000}"/>
    <cellStyle name="Normal 2 2 2 3 4 5 7" xfId="18771" xr:uid="{00000000-0005-0000-0000-000053490000}"/>
    <cellStyle name="Normal 2 2 2 3 4 5 8" xfId="18772" xr:uid="{00000000-0005-0000-0000-000054490000}"/>
    <cellStyle name="Normal 2 2 2 3 4 5 9" xfId="18773" xr:uid="{00000000-0005-0000-0000-000055490000}"/>
    <cellStyle name="Normal 2 2 2 3 4 6" xfId="18774" xr:uid="{00000000-0005-0000-0000-000056490000}"/>
    <cellStyle name="Normal 2 2 2 3 4 7" xfId="18775" xr:uid="{00000000-0005-0000-0000-000057490000}"/>
    <cellStyle name="Normal 2 2 2 3 4 8" xfId="18776" xr:uid="{00000000-0005-0000-0000-000058490000}"/>
    <cellStyle name="Normal 2 2 2 3 4 9" xfId="18777" xr:uid="{00000000-0005-0000-0000-000059490000}"/>
    <cellStyle name="Normal 2 2 2 3 40" xfId="18778" xr:uid="{00000000-0005-0000-0000-00005A490000}"/>
    <cellStyle name="Normal 2 2 2 3 41" xfId="18779" xr:uid="{00000000-0005-0000-0000-00005B490000}"/>
    <cellStyle name="Normal 2 2 2 3 42" xfId="18780" xr:uid="{00000000-0005-0000-0000-00005C490000}"/>
    <cellStyle name="Normal 2 2 2 3 43" xfId="18781" xr:uid="{00000000-0005-0000-0000-00005D490000}"/>
    <cellStyle name="Normal 2 2 2 3 44" xfId="18782" xr:uid="{00000000-0005-0000-0000-00005E490000}"/>
    <cellStyle name="Normal 2 2 2 3 45" xfId="18783" xr:uid="{00000000-0005-0000-0000-00005F490000}"/>
    <cellStyle name="Normal 2 2 2 3 46" xfId="18784" xr:uid="{00000000-0005-0000-0000-000060490000}"/>
    <cellStyle name="Normal 2 2 2 3 47" xfId="18785" xr:uid="{00000000-0005-0000-0000-000061490000}"/>
    <cellStyle name="Normal 2 2 2 3 48" xfId="18786" xr:uid="{00000000-0005-0000-0000-000062490000}"/>
    <cellStyle name="Normal 2 2 2 3 49" xfId="18787" xr:uid="{00000000-0005-0000-0000-000063490000}"/>
    <cellStyle name="Normal 2 2 2 3 5" xfId="18788" xr:uid="{00000000-0005-0000-0000-000064490000}"/>
    <cellStyle name="Normal 2 2 2 3 5 10" xfId="18789" xr:uid="{00000000-0005-0000-0000-000065490000}"/>
    <cellStyle name="Normal 2 2 2 3 5 11" xfId="18790" xr:uid="{00000000-0005-0000-0000-000066490000}"/>
    <cellStyle name="Normal 2 2 2 3 5 12" xfId="18791" xr:uid="{00000000-0005-0000-0000-000067490000}"/>
    <cellStyle name="Normal 2 2 2 3 5 13" xfId="18792" xr:uid="{00000000-0005-0000-0000-000068490000}"/>
    <cellStyle name="Normal 2 2 2 3 5 14" xfId="18793" xr:uid="{00000000-0005-0000-0000-000069490000}"/>
    <cellStyle name="Normal 2 2 2 3 5 15" xfId="18794" xr:uid="{00000000-0005-0000-0000-00006A490000}"/>
    <cellStyle name="Normal 2 2 2 3 5 2" xfId="18795" xr:uid="{00000000-0005-0000-0000-00006B490000}"/>
    <cellStyle name="Normal 2 2 2 3 5 2 10" xfId="18796" xr:uid="{00000000-0005-0000-0000-00006C490000}"/>
    <cellStyle name="Normal 2 2 2 3 5 2 2" xfId="18797" xr:uid="{00000000-0005-0000-0000-00006D490000}"/>
    <cellStyle name="Normal 2 2 2 3 5 2 3" xfId="18798" xr:uid="{00000000-0005-0000-0000-00006E490000}"/>
    <cellStyle name="Normal 2 2 2 3 5 2 4" xfId="18799" xr:uid="{00000000-0005-0000-0000-00006F490000}"/>
    <cellStyle name="Normal 2 2 2 3 5 2 5" xfId="18800" xr:uid="{00000000-0005-0000-0000-000070490000}"/>
    <cellStyle name="Normal 2 2 2 3 5 2 6" xfId="18801" xr:uid="{00000000-0005-0000-0000-000071490000}"/>
    <cellStyle name="Normal 2 2 2 3 5 2 7" xfId="18802" xr:uid="{00000000-0005-0000-0000-000072490000}"/>
    <cellStyle name="Normal 2 2 2 3 5 2 8" xfId="18803" xr:uid="{00000000-0005-0000-0000-000073490000}"/>
    <cellStyle name="Normal 2 2 2 3 5 2 9" xfId="18804" xr:uid="{00000000-0005-0000-0000-000074490000}"/>
    <cellStyle name="Normal 2 2 2 3 5 3" xfId="18805" xr:uid="{00000000-0005-0000-0000-000075490000}"/>
    <cellStyle name="Normal 2 2 2 3 5 3 10" xfId="18806" xr:uid="{00000000-0005-0000-0000-000076490000}"/>
    <cellStyle name="Normal 2 2 2 3 5 3 2" xfId="18807" xr:uid="{00000000-0005-0000-0000-000077490000}"/>
    <cellStyle name="Normal 2 2 2 3 5 3 3" xfId="18808" xr:uid="{00000000-0005-0000-0000-000078490000}"/>
    <cellStyle name="Normal 2 2 2 3 5 3 4" xfId="18809" xr:uid="{00000000-0005-0000-0000-000079490000}"/>
    <cellStyle name="Normal 2 2 2 3 5 3 5" xfId="18810" xr:uid="{00000000-0005-0000-0000-00007A490000}"/>
    <cellStyle name="Normal 2 2 2 3 5 3 6" xfId="18811" xr:uid="{00000000-0005-0000-0000-00007B490000}"/>
    <cellStyle name="Normal 2 2 2 3 5 3 7" xfId="18812" xr:uid="{00000000-0005-0000-0000-00007C490000}"/>
    <cellStyle name="Normal 2 2 2 3 5 3 8" xfId="18813" xr:uid="{00000000-0005-0000-0000-00007D490000}"/>
    <cellStyle name="Normal 2 2 2 3 5 3 9" xfId="18814" xr:uid="{00000000-0005-0000-0000-00007E490000}"/>
    <cellStyle name="Normal 2 2 2 3 5 4" xfId="18815" xr:uid="{00000000-0005-0000-0000-00007F490000}"/>
    <cellStyle name="Normal 2 2 2 3 5 4 10" xfId="18816" xr:uid="{00000000-0005-0000-0000-000080490000}"/>
    <cellStyle name="Normal 2 2 2 3 5 4 2" xfId="18817" xr:uid="{00000000-0005-0000-0000-000081490000}"/>
    <cellStyle name="Normal 2 2 2 3 5 4 3" xfId="18818" xr:uid="{00000000-0005-0000-0000-000082490000}"/>
    <cellStyle name="Normal 2 2 2 3 5 4 4" xfId="18819" xr:uid="{00000000-0005-0000-0000-000083490000}"/>
    <cellStyle name="Normal 2 2 2 3 5 4 5" xfId="18820" xr:uid="{00000000-0005-0000-0000-000084490000}"/>
    <cellStyle name="Normal 2 2 2 3 5 4 6" xfId="18821" xr:uid="{00000000-0005-0000-0000-000085490000}"/>
    <cellStyle name="Normal 2 2 2 3 5 4 7" xfId="18822" xr:uid="{00000000-0005-0000-0000-000086490000}"/>
    <cellStyle name="Normal 2 2 2 3 5 4 8" xfId="18823" xr:uid="{00000000-0005-0000-0000-000087490000}"/>
    <cellStyle name="Normal 2 2 2 3 5 4 9" xfId="18824" xr:uid="{00000000-0005-0000-0000-000088490000}"/>
    <cellStyle name="Normal 2 2 2 3 5 5" xfId="18825" xr:uid="{00000000-0005-0000-0000-000089490000}"/>
    <cellStyle name="Normal 2 2 2 3 5 5 10" xfId="18826" xr:uid="{00000000-0005-0000-0000-00008A490000}"/>
    <cellStyle name="Normal 2 2 2 3 5 5 2" xfId="18827" xr:uid="{00000000-0005-0000-0000-00008B490000}"/>
    <cellStyle name="Normal 2 2 2 3 5 5 3" xfId="18828" xr:uid="{00000000-0005-0000-0000-00008C490000}"/>
    <cellStyle name="Normal 2 2 2 3 5 5 4" xfId="18829" xr:uid="{00000000-0005-0000-0000-00008D490000}"/>
    <cellStyle name="Normal 2 2 2 3 5 5 5" xfId="18830" xr:uid="{00000000-0005-0000-0000-00008E490000}"/>
    <cellStyle name="Normal 2 2 2 3 5 5 6" xfId="18831" xr:uid="{00000000-0005-0000-0000-00008F490000}"/>
    <cellStyle name="Normal 2 2 2 3 5 5 7" xfId="18832" xr:uid="{00000000-0005-0000-0000-000090490000}"/>
    <cellStyle name="Normal 2 2 2 3 5 5 8" xfId="18833" xr:uid="{00000000-0005-0000-0000-000091490000}"/>
    <cellStyle name="Normal 2 2 2 3 5 5 9" xfId="18834" xr:uid="{00000000-0005-0000-0000-000092490000}"/>
    <cellStyle name="Normal 2 2 2 3 5 6" xfId="18835" xr:uid="{00000000-0005-0000-0000-000093490000}"/>
    <cellStyle name="Normal 2 2 2 3 5 7" xfId="18836" xr:uid="{00000000-0005-0000-0000-000094490000}"/>
    <cellStyle name="Normal 2 2 2 3 5 8" xfId="18837" xr:uid="{00000000-0005-0000-0000-000095490000}"/>
    <cellStyle name="Normal 2 2 2 3 5 9" xfId="18838" xr:uid="{00000000-0005-0000-0000-000096490000}"/>
    <cellStyle name="Normal 2 2 2 3 6" xfId="18839" xr:uid="{00000000-0005-0000-0000-000097490000}"/>
    <cellStyle name="Normal 2 2 2 3 6 10" xfId="18840" xr:uid="{00000000-0005-0000-0000-000098490000}"/>
    <cellStyle name="Normal 2 2 2 3 6 11" xfId="18841" xr:uid="{00000000-0005-0000-0000-000099490000}"/>
    <cellStyle name="Normal 2 2 2 3 6 12" xfId="18842" xr:uid="{00000000-0005-0000-0000-00009A490000}"/>
    <cellStyle name="Normal 2 2 2 3 6 13" xfId="18843" xr:uid="{00000000-0005-0000-0000-00009B490000}"/>
    <cellStyle name="Normal 2 2 2 3 6 14" xfId="18844" xr:uid="{00000000-0005-0000-0000-00009C490000}"/>
    <cellStyle name="Normal 2 2 2 3 6 15" xfId="18845" xr:uid="{00000000-0005-0000-0000-00009D490000}"/>
    <cellStyle name="Normal 2 2 2 3 6 2" xfId="18846" xr:uid="{00000000-0005-0000-0000-00009E490000}"/>
    <cellStyle name="Normal 2 2 2 3 6 2 10" xfId="18847" xr:uid="{00000000-0005-0000-0000-00009F490000}"/>
    <cellStyle name="Normal 2 2 2 3 6 2 2" xfId="18848" xr:uid="{00000000-0005-0000-0000-0000A0490000}"/>
    <cellStyle name="Normal 2 2 2 3 6 2 3" xfId="18849" xr:uid="{00000000-0005-0000-0000-0000A1490000}"/>
    <cellStyle name="Normal 2 2 2 3 6 2 4" xfId="18850" xr:uid="{00000000-0005-0000-0000-0000A2490000}"/>
    <cellStyle name="Normal 2 2 2 3 6 2 5" xfId="18851" xr:uid="{00000000-0005-0000-0000-0000A3490000}"/>
    <cellStyle name="Normal 2 2 2 3 6 2 6" xfId="18852" xr:uid="{00000000-0005-0000-0000-0000A4490000}"/>
    <cellStyle name="Normal 2 2 2 3 6 2 7" xfId="18853" xr:uid="{00000000-0005-0000-0000-0000A5490000}"/>
    <cellStyle name="Normal 2 2 2 3 6 2 8" xfId="18854" xr:uid="{00000000-0005-0000-0000-0000A6490000}"/>
    <cellStyle name="Normal 2 2 2 3 6 2 9" xfId="18855" xr:uid="{00000000-0005-0000-0000-0000A7490000}"/>
    <cellStyle name="Normal 2 2 2 3 6 3" xfId="18856" xr:uid="{00000000-0005-0000-0000-0000A8490000}"/>
    <cellStyle name="Normal 2 2 2 3 6 3 10" xfId="18857" xr:uid="{00000000-0005-0000-0000-0000A9490000}"/>
    <cellStyle name="Normal 2 2 2 3 6 3 2" xfId="18858" xr:uid="{00000000-0005-0000-0000-0000AA490000}"/>
    <cellStyle name="Normal 2 2 2 3 6 3 3" xfId="18859" xr:uid="{00000000-0005-0000-0000-0000AB490000}"/>
    <cellStyle name="Normal 2 2 2 3 6 3 4" xfId="18860" xr:uid="{00000000-0005-0000-0000-0000AC490000}"/>
    <cellStyle name="Normal 2 2 2 3 6 3 5" xfId="18861" xr:uid="{00000000-0005-0000-0000-0000AD490000}"/>
    <cellStyle name="Normal 2 2 2 3 6 3 6" xfId="18862" xr:uid="{00000000-0005-0000-0000-0000AE490000}"/>
    <cellStyle name="Normal 2 2 2 3 6 3 7" xfId="18863" xr:uid="{00000000-0005-0000-0000-0000AF490000}"/>
    <cellStyle name="Normal 2 2 2 3 6 3 8" xfId="18864" xr:uid="{00000000-0005-0000-0000-0000B0490000}"/>
    <cellStyle name="Normal 2 2 2 3 6 3 9" xfId="18865" xr:uid="{00000000-0005-0000-0000-0000B1490000}"/>
    <cellStyle name="Normal 2 2 2 3 6 4" xfId="18866" xr:uid="{00000000-0005-0000-0000-0000B2490000}"/>
    <cellStyle name="Normal 2 2 2 3 6 4 10" xfId="18867" xr:uid="{00000000-0005-0000-0000-0000B3490000}"/>
    <cellStyle name="Normal 2 2 2 3 6 4 2" xfId="18868" xr:uid="{00000000-0005-0000-0000-0000B4490000}"/>
    <cellStyle name="Normal 2 2 2 3 6 4 3" xfId="18869" xr:uid="{00000000-0005-0000-0000-0000B5490000}"/>
    <cellStyle name="Normal 2 2 2 3 6 4 4" xfId="18870" xr:uid="{00000000-0005-0000-0000-0000B6490000}"/>
    <cellStyle name="Normal 2 2 2 3 6 4 5" xfId="18871" xr:uid="{00000000-0005-0000-0000-0000B7490000}"/>
    <cellStyle name="Normal 2 2 2 3 6 4 6" xfId="18872" xr:uid="{00000000-0005-0000-0000-0000B8490000}"/>
    <cellStyle name="Normal 2 2 2 3 6 4 7" xfId="18873" xr:uid="{00000000-0005-0000-0000-0000B9490000}"/>
    <cellStyle name="Normal 2 2 2 3 6 4 8" xfId="18874" xr:uid="{00000000-0005-0000-0000-0000BA490000}"/>
    <cellStyle name="Normal 2 2 2 3 6 4 9" xfId="18875" xr:uid="{00000000-0005-0000-0000-0000BB490000}"/>
    <cellStyle name="Normal 2 2 2 3 6 5" xfId="18876" xr:uid="{00000000-0005-0000-0000-0000BC490000}"/>
    <cellStyle name="Normal 2 2 2 3 6 5 10" xfId="18877" xr:uid="{00000000-0005-0000-0000-0000BD490000}"/>
    <cellStyle name="Normal 2 2 2 3 6 5 2" xfId="18878" xr:uid="{00000000-0005-0000-0000-0000BE490000}"/>
    <cellStyle name="Normal 2 2 2 3 6 5 3" xfId="18879" xr:uid="{00000000-0005-0000-0000-0000BF490000}"/>
    <cellStyle name="Normal 2 2 2 3 6 5 4" xfId="18880" xr:uid="{00000000-0005-0000-0000-0000C0490000}"/>
    <cellStyle name="Normal 2 2 2 3 6 5 5" xfId="18881" xr:uid="{00000000-0005-0000-0000-0000C1490000}"/>
    <cellStyle name="Normal 2 2 2 3 6 5 6" xfId="18882" xr:uid="{00000000-0005-0000-0000-0000C2490000}"/>
    <cellStyle name="Normal 2 2 2 3 6 5 7" xfId="18883" xr:uid="{00000000-0005-0000-0000-0000C3490000}"/>
    <cellStyle name="Normal 2 2 2 3 6 5 8" xfId="18884" xr:uid="{00000000-0005-0000-0000-0000C4490000}"/>
    <cellStyle name="Normal 2 2 2 3 6 5 9" xfId="18885" xr:uid="{00000000-0005-0000-0000-0000C5490000}"/>
    <cellStyle name="Normal 2 2 2 3 6 6" xfId="18886" xr:uid="{00000000-0005-0000-0000-0000C6490000}"/>
    <cellStyle name="Normal 2 2 2 3 6 7" xfId="18887" xr:uid="{00000000-0005-0000-0000-0000C7490000}"/>
    <cellStyle name="Normal 2 2 2 3 6 8" xfId="18888" xr:uid="{00000000-0005-0000-0000-0000C8490000}"/>
    <cellStyle name="Normal 2 2 2 3 6 9" xfId="18889" xr:uid="{00000000-0005-0000-0000-0000C9490000}"/>
    <cellStyle name="Normal 2 2 2 3 7" xfId="18890" xr:uid="{00000000-0005-0000-0000-0000CA490000}"/>
    <cellStyle name="Normal 2 2 2 3 7 10" xfId="18891" xr:uid="{00000000-0005-0000-0000-0000CB490000}"/>
    <cellStyle name="Normal 2 2 2 3 7 11" xfId="18892" xr:uid="{00000000-0005-0000-0000-0000CC490000}"/>
    <cellStyle name="Normal 2 2 2 3 7 12" xfId="18893" xr:uid="{00000000-0005-0000-0000-0000CD490000}"/>
    <cellStyle name="Normal 2 2 2 3 7 13" xfId="18894" xr:uid="{00000000-0005-0000-0000-0000CE490000}"/>
    <cellStyle name="Normal 2 2 2 3 7 14" xfId="18895" xr:uid="{00000000-0005-0000-0000-0000CF490000}"/>
    <cellStyle name="Normal 2 2 2 3 7 15" xfId="18896" xr:uid="{00000000-0005-0000-0000-0000D0490000}"/>
    <cellStyle name="Normal 2 2 2 3 7 2" xfId="18897" xr:uid="{00000000-0005-0000-0000-0000D1490000}"/>
    <cellStyle name="Normal 2 2 2 3 7 2 10" xfId="18898" xr:uid="{00000000-0005-0000-0000-0000D2490000}"/>
    <cellStyle name="Normal 2 2 2 3 7 2 2" xfId="18899" xr:uid="{00000000-0005-0000-0000-0000D3490000}"/>
    <cellStyle name="Normal 2 2 2 3 7 2 3" xfId="18900" xr:uid="{00000000-0005-0000-0000-0000D4490000}"/>
    <cellStyle name="Normal 2 2 2 3 7 2 4" xfId="18901" xr:uid="{00000000-0005-0000-0000-0000D5490000}"/>
    <cellStyle name="Normal 2 2 2 3 7 2 5" xfId="18902" xr:uid="{00000000-0005-0000-0000-0000D6490000}"/>
    <cellStyle name="Normal 2 2 2 3 7 2 6" xfId="18903" xr:uid="{00000000-0005-0000-0000-0000D7490000}"/>
    <cellStyle name="Normal 2 2 2 3 7 2 7" xfId="18904" xr:uid="{00000000-0005-0000-0000-0000D8490000}"/>
    <cellStyle name="Normal 2 2 2 3 7 2 8" xfId="18905" xr:uid="{00000000-0005-0000-0000-0000D9490000}"/>
    <cellStyle name="Normal 2 2 2 3 7 2 9" xfId="18906" xr:uid="{00000000-0005-0000-0000-0000DA490000}"/>
    <cellStyle name="Normal 2 2 2 3 7 3" xfId="18907" xr:uid="{00000000-0005-0000-0000-0000DB490000}"/>
    <cellStyle name="Normal 2 2 2 3 7 3 10" xfId="18908" xr:uid="{00000000-0005-0000-0000-0000DC490000}"/>
    <cellStyle name="Normal 2 2 2 3 7 3 2" xfId="18909" xr:uid="{00000000-0005-0000-0000-0000DD490000}"/>
    <cellStyle name="Normal 2 2 2 3 7 3 3" xfId="18910" xr:uid="{00000000-0005-0000-0000-0000DE490000}"/>
    <cellStyle name="Normal 2 2 2 3 7 3 4" xfId="18911" xr:uid="{00000000-0005-0000-0000-0000DF490000}"/>
    <cellStyle name="Normal 2 2 2 3 7 3 5" xfId="18912" xr:uid="{00000000-0005-0000-0000-0000E0490000}"/>
    <cellStyle name="Normal 2 2 2 3 7 3 6" xfId="18913" xr:uid="{00000000-0005-0000-0000-0000E1490000}"/>
    <cellStyle name="Normal 2 2 2 3 7 3 7" xfId="18914" xr:uid="{00000000-0005-0000-0000-0000E2490000}"/>
    <cellStyle name="Normal 2 2 2 3 7 3 8" xfId="18915" xr:uid="{00000000-0005-0000-0000-0000E3490000}"/>
    <cellStyle name="Normal 2 2 2 3 7 3 9" xfId="18916" xr:uid="{00000000-0005-0000-0000-0000E4490000}"/>
    <cellStyle name="Normal 2 2 2 3 7 4" xfId="18917" xr:uid="{00000000-0005-0000-0000-0000E5490000}"/>
    <cellStyle name="Normal 2 2 2 3 7 4 10" xfId="18918" xr:uid="{00000000-0005-0000-0000-0000E6490000}"/>
    <cellStyle name="Normal 2 2 2 3 7 4 2" xfId="18919" xr:uid="{00000000-0005-0000-0000-0000E7490000}"/>
    <cellStyle name="Normal 2 2 2 3 7 4 3" xfId="18920" xr:uid="{00000000-0005-0000-0000-0000E8490000}"/>
    <cellStyle name="Normal 2 2 2 3 7 4 4" xfId="18921" xr:uid="{00000000-0005-0000-0000-0000E9490000}"/>
    <cellStyle name="Normal 2 2 2 3 7 4 5" xfId="18922" xr:uid="{00000000-0005-0000-0000-0000EA490000}"/>
    <cellStyle name="Normal 2 2 2 3 7 4 6" xfId="18923" xr:uid="{00000000-0005-0000-0000-0000EB490000}"/>
    <cellStyle name="Normal 2 2 2 3 7 4 7" xfId="18924" xr:uid="{00000000-0005-0000-0000-0000EC490000}"/>
    <cellStyle name="Normal 2 2 2 3 7 4 8" xfId="18925" xr:uid="{00000000-0005-0000-0000-0000ED490000}"/>
    <cellStyle name="Normal 2 2 2 3 7 4 9" xfId="18926" xr:uid="{00000000-0005-0000-0000-0000EE490000}"/>
    <cellStyle name="Normal 2 2 2 3 7 5" xfId="18927" xr:uid="{00000000-0005-0000-0000-0000EF490000}"/>
    <cellStyle name="Normal 2 2 2 3 7 5 10" xfId="18928" xr:uid="{00000000-0005-0000-0000-0000F0490000}"/>
    <cellStyle name="Normal 2 2 2 3 7 5 2" xfId="18929" xr:uid="{00000000-0005-0000-0000-0000F1490000}"/>
    <cellStyle name="Normal 2 2 2 3 7 5 3" xfId="18930" xr:uid="{00000000-0005-0000-0000-0000F2490000}"/>
    <cellStyle name="Normal 2 2 2 3 7 5 4" xfId="18931" xr:uid="{00000000-0005-0000-0000-0000F3490000}"/>
    <cellStyle name="Normal 2 2 2 3 7 5 5" xfId="18932" xr:uid="{00000000-0005-0000-0000-0000F4490000}"/>
    <cellStyle name="Normal 2 2 2 3 7 5 6" xfId="18933" xr:uid="{00000000-0005-0000-0000-0000F5490000}"/>
    <cellStyle name="Normal 2 2 2 3 7 5 7" xfId="18934" xr:uid="{00000000-0005-0000-0000-0000F6490000}"/>
    <cellStyle name="Normal 2 2 2 3 7 5 8" xfId="18935" xr:uid="{00000000-0005-0000-0000-0000F7490000}"/>
    <cellStyle name="Normal 2 2 2 3 7 5 9" xfId="18936" xr:uid="{00000000-0005-0000-0000-0000F8490000}"/>
    <cellStyle name="Normal 2 2 2 3 7 6" xfId="18937" xr:uid="{00000000-0005-0000-0000-0000F9490000}"/>
    <cellStyle name="Normal 2 2 2 3 7 7" xfId="18938" xr:uid="{00000000-0005-0000-0000-0000FA490000}"/>
    <cellStyle name="Normal 2 2 2 3 7 8" xfId="18939" xr:uid="{00000000-0005-0000-0000-0000FB490000}"/>
    <cellStyle name="Normal 2 2 2 3 7 9" xfId="18940" xr:uid="{00000000-0005-0000-0000-0000FC490000}"/>
    <cellStyle name="Normal 2 2 2 3 8" xfId="18941" xr:uid="{00000000-0005-0000-0000-0000FD490000}"/>
    <cellStyle name="Normal 2 2 2 3 8 10" xfId="18942" xr:uid="{00000000-0005-0000-0000-0000FE490000}"/>
    <cellStyle name="Normal 2 2 2 3 8 11" xfId="18943" xr:uid="{00000000-0005-0000-0000-0000FF490000}"/>
    <cellStyle name="Normal 2 2 2 3 8 12" xfId="18944" xr:uid="{00000000-0005-0000-0000-0000004A0000}"/>
    <cellStyle name="Normal 2 2 2 3 8 13" xfId="18945" xr:uid="{00000000-0005-0000-0000-0000014A0000}"/>
    <cellStyle name="Normal 2 2 2 3 8 14" xfId="18946" xr:uid="{00000000-0005-0000-0000-0000024A0000}"/>
    <cellStyle name="Normal 2 2 2 3 8 2" xfId="18947" xr:uid="{00000000-0005-0000-0000-0000034A0000}"/>
    <cellStyle name="Normal 2 2 2 3 8 2 10" xfId="18948" xr:uid="{00000000-0005-0000-0000-0000044A0000}"/>
    <cellStyle name="Normal 2 2 2 3 8 2 2" xfId="18949" xr:uid="{00000000-0005-0000-0000-0000054A0000}"/>
    <cellStyle name="Normal 2 2 2 3 8 2 3" xfId="18950" xr:uid="{00000000-0005-0000-0000-0000064A0000}"/>
    <cellStyle name="Normal 2 2 2 3 8 2 4" xfId="18951" xr:uid="{00000000-0005-0000-0000-0000074A0000}"/>
    <cellStyle name="Normal 2 2 2 3 8 2 5" xfId="18952" xr:uid="{00000000-0005-0000-0000-0000084A0000}"/>
    <cellStyle name="Normal 2 2 2 3 8 2 6" xfId="18953" xr:uid="{00000000-0005-0000-0000-0000094A0000}"/>
    <cellStyle name="Normal 2 2 2 3 8 2 7" xfId="18954" xr:uid="{00000000-0005-0000-0000-00000A4A0000}"/>
    <cellStyle name="Normal 2 2 2 3 8 2 8" xfId="18955" xr:uid="{00000000-0005-0000-0000-00000B4A0000}"/>
    <cellStyle name="Normal 2 2 2 3 8 2 9" xfId="18956" xr:uid="{00000000-0005-0000-0000-00000C4A0000}"/>
    <cellStyle name="Normal 2 2 2 3 8 3" xfId="18957" xr:uid="{00000000-0005-0000-0000-00000D4A0000}"/>
    <cellStyle name="Normal 2 2 2 3 8 3 10" xfId="18958" xr:uid="{00000000-0005-0000-0000-00000E4A0000}"/>
    <cellStyle name="Normal 2 2 2 3 8 3 2" xfId="18959" xr:uid="{00000000-0005-0000-0000-00000F4A0000}"/>
    <cellStyle name="Normal 2 2 2 3 8 3 3" xfId="18960" xr:uid="{00000000-0005-0000-0000-0000104A0000}"/>
    <cellStyle name="Normal 2 2 2 3 8 3 4" xfId="18961" xr:uid="{00000000-0005-0000-0000-0000114A0000}"/>
    <cellStyle name="Normal 2 2 2 3 8 3 5" xfId="18962" xr:uid="{00000000-0005-0000-0000-0000124A0000}"/>
    <cellStyle name="Normal 2 2 2 3 8 3 6" xfId="18963" xr:uid="{00000000-0005-0000-0000-0000134A0000}"/>
    <cellStyle name="Normal 2 2 2 3 8 3 7" xfId="18964" xr:uid="{00000000-0005-0000-0000-0000144A0000}"/>
    <cellStyle name="Normal 2 2 2 3 8 3 8" xfId="18965" xr:uid="{00000000-0005-0000-0000-0000154A0000}"/>
    <cellStyle name="Normal 2 2 2 3 8 3 9" xfId="18966" xr:uid="{00000000-0005-0000-0000-0000164A0000}"/>
    <cellStyle name="Normal 2 2 2 3 8 4" xfId="18967" xr:uid="{00000000-0005-0000-0000-0000174A0000}"/>
    <cellStyle name="Normal 2 2 2 3 8 4 10" xfId="18968" xr:uid="{00000000-0005-0000-0000-0000184A0000}"/>
    <cellStyle name="Normal 2 2 2 3 8 4 2" xfId="18969" xr:uid="{00000000-0005-0000-0000-0000194A0000}"/>
    <cellStyle name="Normal 2 2 2 3 8 4 3" xfId="18970" xr:uid="{00000000-0005-0000-0000-00001A4A0000}"/>
    <cellStyle name="Normal 2 2 2 3 8 4 4" xfId="18971" xr:uid="{00000000-0005-0000-0000-00001B4A0000}"/>
    <cellStyle name="Normal 2 2 2 3 8 4 5" xfId="18972" xr:uid="{00000000-0005-0000-0000-00001C4A0000}"/>
    <cellStyle name="Normal 2 2 2 3 8 4 6" xfId="18973" xr:uid="{00000000-0005-0000-0000-00001D4A0000}"/>
    <cellStyle name="Normal 2 2 2 3 8 4 7" xfId="18974" xr:uid="{00000000-0005-0000-0000-00001E4A0000}"/>
    <cellStyle name="Normal 2 2 2 3 8 4 8" xfId="18975" xr:uid="{00000000-0005-0000-0000-00001F4A0000}"/>
    <cellStyle name="Normal 2 2 2 3 8 4 9" xfId="18976" xr:uid="{00000000-0005-0000-0000-0000204A0000}"/>
    <cellStyle name="Normal 2 2 2 3 8 5" xfId="18977" xr:uid="{00000000-0005-0000-0000-0000214A0000}"/>
    <cellStyle name="Normal 2 2 2 3 8 5 10" xfId="18978" xr:uid="{00000000-0005-0000-0000-0000224A0000}"/>
    <cellStyle name="Normal 2 2 2 3 8 5 2" xfId="18979" xr:uid="{00000000-0005-0000-0000-0000234A0000}"/>
    <cellStyle name="Normal 2 2 2 3 8 5 3" xfId="18980" xr:uid="{00000000-0005-0000-0000-0000244A0000}"/>
    <cellStyle name="Normal 2 2 2 3 8 5 4" xfId="18981" xr:uid="{00000000-0005-0000-0000-0000254A0000}"/>
    <cellStyle name="Normal 2 2 2 3 8 5 5" xfId="18982" xr:uid="{00000000-0005-0000-0000-0000264A0000}"/>
    <cellStyle name="Normal 2 2 2 3 8 5 6" xfId="18983" xr:uid="{00000000-0005-0000-0000-0000274A0000}"/>
    <cellStyle name="Normal 2 2 2 3 8 5 7" xfId="18984" xr:uid="{00000000-0005-0000-0000-0000284A0000}"/>
    <cellStyle name="Normal 2 2 2 3 8 5 8" xfId="18985" xr:uid="{00000000-0005-0000-0000-0000294A0000}"/>
    <cellStyle name="Normal 2 2 2 3 8 5 9" xfId="18986" xr:uid="{00000000-0005-0000-0000-00002A4A0000}"/>
    <cellStyle name="Normal 2 2 2 3 8 6" xfId="18987" xr:uid="{00000000-0005-0000-0000-00002B4A0000}"/>
    <cellStyle name="Normal 2 2 2 3 8 7" xfId="18988" xr:uid="{00000000-0005-0000-0000-00002C4A0000}"/>
    <cellStyle name="Normal 2 2 2 3 8 8" xfId="18989" xr:uid="{00000000-0005-0000-0000-00002D4A0000}"/>
    <cellStyle name="Normal 2 2 2 3 8 9" xfId="18990" xr:uid="{00000000-0005-0000-0000-00002E4A0000}"/>
    <cellStyle name="Normal 2 2 2 3 9" xfId="18991" xr:uid="{00000000-0005-0000-0000-00002F4A0000}"/>
    <cellStyle name="Normal 2 2 2 3 9 10" xfId="18992" xr:uid="{00000000-0005-0000-0000-0000304A0000}"/>
    <cellStyle name="Normal 2 2 2 3 9 11" xfId="18993" xr:uid="{00000000-0005-0000-0000-0000314A0000}"/>
    <cellStyle name="Normal 2 2 2 3 9 12" xfId="18994" xr:uid="{00000000-0005-0000-0000-0000324A0000}"/>
    <cellStyle name="Normal 2 2 2 3 9 13" xfId="18995" xr:uid="{00000000-0005-0000-0000-0000334A0000}"/>
    <cellStyle name="Normal 2 2 2 3 9 14" xfId="18996" xr:uid="{00000000-0005-0000-0000-0000344A0000}"/>
    <cellStyle name="Normal 2 2 2 3 9 2" xfId="18997" xr:uid="{00000000-0005-0000-0000-0000354A0000}"/>
    <cellStyle name="Normal 2 2 2 3 9 2 10" xfId="18998" xr:uid="{00000000-0005-0000-0000-0000364A0000}"/>
    <cellStyle name="Normal 2 2 2 3 9 2 2" xfId="18999" xr:uid="{00000000-0005-0000-0000-0000374A0000}"/>
    <cellStyle name="Normal 2 2 2 3 9 2 3" xfId="19000" xr:uid="{00000000-0005-0000-0000-0000384A0000}"/>
    <cellStyle name="Normal 2 2 2 3 9 2 4" xfId="19001" xr:uid="{00000000-0005-0000-0000-0000394A0000}"/>
    <cellStyle name="Normal 2 2 2 3 9 2 5" xfId="19002" xr:uid="{00000000-0005-0000-0000-00003A4A0000}"/>
    <cellStyle name="Normal 2 2 2 3 9 2 6" xfId="19003" xr:uid="{00000000-0005-0000-0000-00003B4A0000}"/>
    <cellStyle name="Normal 2 2 2 3 9 2 7" xfId="19004" xr:uid="{00000000-0005-0000-0000-00003C4A0000}"/>
    <cellStyle name="Normal 2 2 2 3 9 2 8" xfId="19005" xr:uid="{00000000-0005-0000-0000-00003D4A0000}"/>
    <cellStyle name="Normal 2 2 2 3 9 2 9" xfId="19006" xr:uid="{00000000-0005-0000-0000-00003E4A0000}"/>
    <cellStyle name="Normal 2 2 2 3 9 3" xfId="19007" xr:uid="{00000000-0005-0000-0000-00003F4A0000}"/>
    <cellStyle name="Normal 2 2 2 3 9 3 10" xfId="19008" xr:uid="{00000000-0005-0000-0000-0000404A0000}"/>
    <cellStyle name="Normal 2 2 2 3 9 3 2" xfId="19009" xr:uid="{00000000-0005-0000-0000-0000414A0000}"/>
    <cellStyle name="Normal 2 2 2 3 9 3 3" xfId="19010" xr:uid="{00000000-0005-0000-0000-0000424A0000}"/>
    <cellStyle name="Normal 2 2 2 3 9 3 4" xfId="19011" xr:uid="{00000000-0005-0000-0000-0000434A0000}"/>
    <cellStyle name="Normal 2 2 2 3 9 3 5" xfId="19012" xr:uid="{00000000-0005-0000-0000-0000444A0000}"/>
    <cellStyle name="Normal 2 2 2 3 9 3 6" xfId="19013" xr:uid="{00000000-0005-0000-0000-0000454A0000}"/>
    <cellStyle name="Normal 2 2 2 3 9 3 7" xfId="19014" xr:uid="{00000000-0005-0000-0000-0000464A0000}"/>
    <cellStyle name="Normal 2 2 2 3 9 3 8" xfId="19015" xr:uid="{00000000-0005-0000-0000-0000474A0000}"/>
    <cellStyle name="Normal 2 2 2 3 9 3 9" xfId="19016" xr:uid="{00000000-0005-0000-0000-0000484A0000}"/>
    <cellStyle name="Normal 2 2 2 3 9 4" xfId="19017" xr:uid="{00000000-0005-0000-0000-0000494A0000}"/>
    <cellStyle name="Normal 2 2 2 3 9 4 10" xfId="19018" xr:uid="{00000000-0005-0000-0000-00004A4A0000}"/>
    <cellStyle name="Normal 2 2 2 3 9 4 2" xfId="19019" xr:uid="{00000000-0005-0000-0000-00004B4A0000}"/>
    <cellStyle name="Normal 2 2 2 3 9 4 3" xfId="19020" xr:uid="{00000000-0005-0000-0000-00004C4A0000}"/>
    <cellStyle name="Normal 2 2 2 3 9 4 4" xfId="19021" xr:uid="{00000000-0005-0000-0000-00004D4A0000}"/>
    <cellStyle name="Normal 2 2 2 3 9 4 5" xfId="19022" xr:uid="{00000000-0005-0000-0000-00004E4A0000}"/>
    <cellStyle name="Normal 2 2 2 3 9 4 6" xfId="19023" xr:uid="{00000000-0005-0000-0000-00004F4A0000}"/>
    <cellStyle name="Normal 2 2 2 3 9 4 7" xfId="19024" xr:uid="{00000000-0005-0000-0000-0000504A0000}"/>
    <cellStyle name="Normal 2 2 2 3 9 4 8" xfId="19025" xr:uid="{00000000-0005-0000-0000-0000514A0000}"/>
    <cellStyle name="Normal 2 2 2 3 9 4 9" xfId="19026" xr:uid="{00000000-0005-0000-0000-0000524A0000}"/>
    <cellStyle name="Normal 2 2 2 3 9 5" xfId="19027" xr:uid="{00000000-0005-0000-0000-0000534A0000}"/>
    <cellStyle name="Normal 2 2 2 3 9 5 10" xfId="19028" xr:uid="{00000000-0005-0000-0000-0000544A0000}"/>
    <cellStyle name="Normal 2 2 2 3 9 5 2" xfId="19029" xr:uid="{00000000-0005-0000-0000-0000554A0000}"/>
    <cellStyle name="Normal 2 2 2 3 9 5 3" xfId="19030" xr:uid="{00000000-0005-0000-0000-0000564A0000}"/>
    <cellStyle name="Normal 2 2 2 3 9 5 4" xfId="19031" xr:uid="{00000000-0005-0000-0000-0000574A0000}"/>
    <cellStyle name="Normal 2 2 2 3 9 5 5" xfId="19032" xr:uid="{00000000-0005-0000-0000-0000584A0000}"/>
    <cellStyle name="Normal 2 2 2 3 9 5 6" xfId="19033" xr:uid="{00000000-0005-0000-0000-0000594A0000}"/>
    <cellStyle name="Normal 2 2 2 3 9 5 7" xfId="19034" xr:uid="{00000000-0005-0000-0000-00005A4A0000}"/>
    <cellStyle name="Normal 2 2 2 3 9 5 8" xfId="19035" xr:uid="{00000000-0005-0000-0000-00005B4A0000}"/>
    <cellStyle name="Normal 2 2 2 3 9 5 9" xfId="19036" xr:uid="{00000000-0005-0000-0000-00005C4A0000}"/>
    <cellStyle name="Normal 2 2 2 3 9 6" xfId="19037" xr:uid="{00000000-0005-0000-0000-00005D4A0000}"/>
    <cellStyle name="Normal 2 2 2 3 9 7" xfId="19038" xr:uid="{00000000-0005-0000-0000-00005E4A0000}"/>
    <cellStyle name="Normal 2 2 2 3 9 8" xfId="19039" xr:uid="{00000000-0005-0000-0000-00005F4A0000}"/>
    <cellStyle name="Normal 2 2 2 3 9 9" xfId="19040" xr:uid="{00000000-0005-0000-0000-0000604A0000}"/>
    <cellStyle name="Normal 2 2 2 30" xfId="19041" xr:uid="{00000000-0005-0000-0000-0000614A0000}"/>
    <cellStyle name="Normal 2 2 2 30 10" xfId="19042" xr:uid="{00000000-0005-0000-0000-0000624A0000}"/>
    <cellStyle name="Normal 2 2 2 30 11" xfId="19043" xr:uid="{00000000-0005-0000-0000-0000634A0000}"/>
    <cellStyle name="Normal 2 2 2 30 12" xfId="19044" xr:uid="{00000000-0005-0000-0000-0000644A0000}"/>
    <cellStyle name="Normal 2 2 2 30 13" xfId="19045" xr:uid="{00000000-0005-0000-0000-0000654A0000}"/>
    <cellStyle name="Normal 2 2 2 30 14" xfId="19046" xr:uid="{00000000-0005-0000-0000-0000664A0000}"/>
    <cellStyle name="Normal 2 2 2 30 2" xfId="19047" xr:uid="{00000000-0005-0000-0000-0000674A0000}"/>
    <cellStyle name="Normal 2 2 2 30 2 10" xfId="19048" xr:uid="{00000000-0005-0000-0000-0000684A0000}"/>
    <cellStyle name="Normal 2 2 2 30 2 2" xfId="19049" xr:uid="{00000000-0005-0000-0000-0000694A0000}"/>
    <cellStyle name="Normal 2 2 2 30 2 3" xfId="19050" xr:uid="{00000000-0005-0000-0000-00006A4A0000}"/>
    <cellStyle name="Normal 2 2 2 30 2 4" xfId="19051" xr:uid="{00000000-0005-0000-0000-00006B4A0000}"/>
    <cellStyle name="Normal 2 2 2 30 2 5" xfId="19052" xr:uid="{00000000-0005-0000-0000-00006C4A0000}"/>
    <cellStyle name="Normal 2 2 2 30 2 6" xfId="19053" xr:uid="{00000000-0005-0000-0000-00006D4A0000}"/>
    <cellStyle name="Normal 2 2 2 30 2 7" xfId="19054" xr:uid="{00000000-0005-0000-0000-00006E4A0000}"/>
    <cellStyle name="Normal 2 2 2 30 2 8" xfId="19055" xr:uid="{00000000-0005-0000-0000-00006F4A0000}"/>
    <cellStyle name="Normal 2 2 2 30 2 9" xfId="19056" xr:uid="{00000000-0005-0000-0000-0000704A0000}"/>
    <cellStyle name="Normal 2 2 2 30 3" xfId="19057" xr:uid="{00000000-0005-0000-0000-0000714A0000}"/>
    <cellStyle name="Normal 2 2 2 30 3 10" xfId="19058" xr:uid="{00000000-0005-0000-0000-0000724A0000}"/>
    <cellStyle name="Normal 2 2 2 30 3 2" xfId="19059" xr:uid="{00000000-0005-0000-0000-0000734A0000}"/>
    <cellStyle name="Normal 2 2 2 30 3 3" xfId="19060" xr:uid="{00000000-0005-0000-0000-0000744A0000}"/>
    <cellStyle name="Normal 2 2 2 30 3 4" xfId="19061" xr:uid="{00000000-0005-0000-0000-0000754A0000}"/>
    <cellStyle name="Normal 2 2 2 30 3 5" xfId="19062" xr:uid="{00000000-0005-0000-0000-0000764A0000}"/>
    <cellStyle name="Normal 2 2 2 30 3 6" xfId="19063" xr:uid="{00000000-0005-0000-0000-0000774A0000}"/>
    <cellStyle name="Normal 2 2 2 30 3 7" xfId="19064" xr:uid="{00000000-0005-0000-0000-0000784A0000}"/>
    <cellStyle name="Normal 2 2 2 30 3 8" xfId="19065" xr:uid="{00000000-0005-0000-0000-0000794A0000}"/>
    <cellStyle name="Normal 2 2 2 30 3 9" xfId="19066" xr:uid="{00000000-0005-0000-0000-00007A4A0000}"/>
    <cellStyle name="Normal 2 2 2 30 4" xfId="19067" xr:uid="{00000000-0005-0000-0000-00007B4A0000}"/>
    <cellStyle name="Normal 2 2 2 30 4 10" xfId="19068" xr:uid="{00000000-0005-0000-0000-00007C4A0000}"/>
    <cellStyle name="Normal 2 2 2 30 4 2" xfId="19069" xr:uid="{00000000-0005-0000-0000-00007D4A0000}"/>
    <cellStyle name="Normal 2 2 2 30 4 3" xfId="19070" xr:uid="{00000000-0005-0000-0000-00007E4A0000}"/>
    <cellStyle name="Normal 2 2 2 30 4 4" xfId="19071" xr:uid="{00000000-0005-0000-0000-00007F4A0000}"/>
    <cellStyle name="Normal 2 2 2 30 4 5" xfId="19072" xr:uid="{00000000-0005-0000-0000-0000804A0000}"/>
    <cellStyle name="Normal 2 2 2 30 4 6" xfId="19073" xr:uid="{00000000-0005-0000-0000-0000814A0000}"/>
    <cellStyle name="Normal 2 2 2 30 4 7" xfId="19074" xr:uid="{00000000-0005-0000-0000-0000824A0000}"/>
    <cellStyle name="Normal 2 2 2 30 4 8" xfId="19075" xr:uid="{00000000-0005-0000-0000-0000834A0000}"/>
    <cellStyle name="Normal 2 2 2 30 4 9" xfId="19076" xr:uid="{00000000-0005-0000-0000-0000844A0000}"/>
    <cellStyle name="Normal 2 2 2 30 5" xfId="19077" xr:uid="{00000000-0005-0000-0000-0000854A0000}"/>
    <cellStyle name="Normal 2 2 2 30 5 10" xfId="19078" xr:uid="{00000000-0005-0000-0000-0000864A0000}"/>
    <cellStyle name="Normal 2 2 2 30 5 2" xfId="19079" xr:uid="{00000000-0005-0000-0000-0000874A0000}"/>
    <cellStyle name="Normal 2 2 2 30 5 3" xfId="19080" xr:uid="{00000000-0005-0000-0000-0000884A0000}"/>
    <cellStyle name="Normal 2 2 2 30 5 4" xfId="19081" xr:uid="{00000000-0005-0000-0000-0000894A0000}"/>
    <cellStyle name="Normal 2 2 2 30 5 5" xfId="19082" xr:uid="{00000000-0005-0000-0000-00008A4A0000}"/>
    <cellStyle name="Normal 2 2 2 30 5 6" xfId="19083" xr:uid="{00000000-0005-0000-0000-00008B4A0000}"/>
    <cellStyle name="Normal 2 2 2 30 5 7" xfId="19084" xr:uid="{00000000-0005-0000-0000-00008C4A0000}"/>
    <cellStyle name="Normal 2 2 2 30 5 8" xfId="19085" xr:uid="{00000000-0005-0000-0000-00008D4A0000}"/>
    <cellStyle name="Normal 2 2 2 30 5 9" xfId="19086" xr:uid="{00000000-0005-0000-0000-00008E4A0000}"/>
    <cellStyle name="Normal 2 2 2 30 6" xfId="19087" xr:uid="{00000000-0005-0000-0000-00008F4A0000}"/>
    <cellStyle name="Normal 2 2 2 30 7" xfId="19088" xr:uid="{00000000-0005-0000-0000-0000904A0000}"/>
    <cellStyle name="Normal 2 2 2 30 8" xfId="19089" xr:uid="{00000000-0005-0000-0000-0000914A0000}"/>
    <cellStyle name="Normal 2 2 2 30 9" xfId="19090" xr:uid="{00000000-0005-0000-0000-0000924A0000}"/>
    <cellStyle name="Normal 2 2 2 31" xfId="19091" xr:uid="{00000000-0005-0000-0000-0000934A0000}"/>
    <cellStyle name="Normal 2 2 2 31 10" xfId="19092" xr:uid="{00000000-0005-0000-0000-0000944A0000}"/>
    <cellStyle name="Normal 2 2 2 31 11" xfId="19093" xr:uid="{00000000-0005-0000-0000-0000954A0000}"/>
    <cellStyle name="Normal 2 2 2 31 12" xfId="19094" xr:uid="{00000000-0005-0000-0000-0000964A0000}"/>
    <cellStyle name="Normal 2 2 2 31 13" xfId="19095" xr:uid="{00000000-0005-0000-0000-0000974A0000}"/>
    <cellStyle name="Normal 2 2 2 31 14" xfId="19096" xr:uid="{00000000-0005-0000-0000-0000984A0000}"/>
    <cellStyle name="Normal 2 2 2 31 2" xfId="19097" xr:uid="{00000000-0005-0000-0000-0000994A0000}"/>
    <cellStyle name="Normal 2 2 2 31 2 10" xfId="19098" xr:uid="{00000000-0005-0000-0000-00009A4A0000}"/>
    <cellStyle name="Normal 2 2 2 31 2 2" xfId="19099" xr:uid="{00000000-0005-0000-0000-00009B4A0000}"/>
    <cellStyle name="Normal 2 2 2 31 2 3" xfId="19100" xr:uid="{00000000-0005-0000-0000-00009C4A0000}"/>
    <cellStyle name="Normal 2 2 2 31 2 4" xfId="19101" xr:uid="{00000000-0005-0000-0000-00009D4A0000}"/>
    <cellStyle name="Normal 2 2 2 31 2 5" xfId="19102" xr:uid="{00000000-0005-0000-0000-00009E4A0000}"/>
    <cellStyle name="Normal 2 2 2 31 2 6" xfId="19103" xr:uid="{00000000-0005-0000-0000-00009F4A0000}"/>
    <cellStyle name="Normal 2 2 2 31 2 7" xfId="19104" xr:uid="{00000000-0005-0000-0000-0000A04A0000}"/>
    <cellStyle name="Normal 2 2 2 31 2 8" xfId="19105" xr:uid="{00000000-0005-0000-0000-0000A14A0000}"/>
    <cellStyle name="Normal 2 2 2 31 2 9" xfId="19106" xr:uid="{00000000-0005-0000-0000-0000A24A0000}"/>
    <cellStyle name="Normal 2 2 2 31 3" xfId="19107" xr:uid="{00000000-0005-0000-0000-0000A34A0000}"/>
    <cellStyle name="Normal 2 2 2 31 3 10" xfId="19108" xr:uid="{00000000-0005-0000-0000-0000A44A0000}"/>
    <cellStyle name="Normal 2 2 2 31 3 2" xfId="19109" xr:uid="{00000000-0005-0000-0000-0000A54A0000}"/>
    <cellStyle name="Normal 2 2 2 31 3 3" xfId="19110" xr:uid="{00000000-0005-0000-0000-0000A64A0000}"/>
    <cellStyle name="Normal 2 2 2 31 3 4" xfId="19111" xr:uid="{00000000-0005-0000-0000-0000A74A0000}"/>
    <cellStyle name="Normal 2 2 2 31 3 5" xfId="19112" xr:uid="{00000000-0005-0000-0000-0000A84A0000}"/>
    <cellStyle name="Normal 2 2 2 31 3 6" xfId="19113" xr:uid="{00000000-0005-0000-0000-0000A94A0000}"/>
    <cellStyle name="Normal 2 2 2 31 3 7" xfId="19114" xr:uid="{00000000-0005-0000-0000-0000AA4A0000}"/>
    <cellStyle name="Normal 2 2 2 31 3 8" xfId="19115" xr:uid="{00000000-0005-0000-0000-0000AB4A0000}"/>
    <cellStyle name="Normal 2 2 2 31 3 9" xfId="19116" xr:uid="{00000000-0005-0000-0000-0000AC4A0000}"/>
    <cellStyle name="Normal 2 2 2 31 4" xfId="19117" xr:uid="{00000000-0005-0000-0000-0000AD4A0000}"/>
    <cellStyle name="Normal 2 2 2 31 4 10" xfId="19118" xr:uid="{00000000-0005-0000-0000-0000AE4A0000}"/>
    <cellStyle name="Normal 2 2 2 31 4 2" xfId="19119" xr:uid="{00000000-0005-0000-0000-0000AF4A0000}"/>
    <cellStyle name="Normal 2 2 2 31 4 3" xfId="19120" xr:uid="{00000000-0005-0000-0000-0000B04A0000}"/>
    <cellStyle name="Normal 2 2 2 31 4 4" xfId="19121" xr:uid="{00000000-0005-0000-0000-0000B14A0000}"/>
    <cellStyle name="Normal 2 2 2 31 4 5" xfId="19122" xr:uid="{00000000-0005-0000-0000-0000B24A0000}"/>
    <cellStyle name="Normal 2 2 2 31 4 6" xfId="19123" xr:uid="{00000000-0005-0000-0000-0000B34A0000}"/>
    <cellStyle name="Normal 2 2 2 31 4 7" xfId="19124" xr:uid="{00000000-0005-0000-0000-0000B44A0000}"/>
    <cellStyle name="Normal 2 2 2 31 4 8" xfId="19125" xr:uid="{00000000-0005-0000-0000-0000B54A0000}"/>
    <cellStyle name="Normal 2 2 2 31 4 9" xfId="19126" xr:uid="{00000000-0005-0000-0000-0000B64A0000}"/>
    <cellStyle name="Normal 2 2 2 31 5" xfId="19127" xr:uid="{00000000-0005-0000-0000-0000B74A0000}"/>
    <cellStyle name="Normal 2 2 2 31 5 10" xfId="19128" xr:uid="{00000000-0005-0000-0000-0000B84A0000}"/>
    <cellStyle name="Normal 2 2 2 31 5 2" xfId="19129" xr:uid="{00000000-0005-0000-0000-0000B94A0000}"/>
    <cellStyle name="Normal 2 2 2 31 5 3" xfId="19130" xr:uid="{00000000-0005-0000-0000-0000BA4A0000}"/>
    <cellStyle name="Normal 2 2 2 31 5 4" xfId="19131" xr:uid="{00000000-0005-0000-0000-0000BB4A0000}"/>
    <cellStyle name="Normal 2 2 2 31 5 5" xfId="19132" xr:uid="{00000000-0005-0000-0000-0000BC4A0000}"/>
    <cellStyle name="Normal 2 2 2 31 5 6" xfId="19133" xr:uid="{00000000-0005-0000-0000-0000BD4A0000}"/>
    <cellStyle name="Normal 2 2 2 31 5 7" xfId="19134" xr:uid="{00000000-0005-0000-0000-0000BE4A0000}"/>
    <cellStyle name="Normal 2 2 2 31 5 8" xfId="19135" xr:uid="{00000000-0005-0000-0000-0000BF4A0000}"/>
    <cellStyle name="Normal 2 2 2 31 5 9" xfId="19136" xr:uid="{00000000-0005-0000-0000-0000C04A0000}"/>
    <cellStyle name="Normal 2 2 2 31 6" xfId="19137" xr:uid="{00000000-0005-0000-0000-0000C14A0000}"/>
    <cellStyle name="Normal 2 2 2 31 7" xfId="19138" xr:uid="{00000000-0005-0000-0000-0000C24A0000}"/>
    <cellStyle name="Normal 2 2 2 31 8" xfId="19139" xr:uid="{00000000-0005-0000-0000-0000C34A0000}"/>
    <cellStyle name="Normal 2 2 2 31 9" xfId="19140" xr:uid="{00000000-0005-0000-0000-0000C44A0000}"/>
    <cellStyle name="Normal 2 2 2 32" xfId="19141" xr:uid="{00000000-0005-0000-0000-0000C54A0000}"/>
    <cellStyle name="Normal 2 2 2 32 10" xfId="19142" xr:uid="{00000000-0005-0000-0000-0000C64A0000}"/>
    <cellStyle name="Normal 2 2 2 32 11" xfId="19143" xr:uid="{00000000-0005-0000-0000-0000C74A0000}"/>
    <cellStyle name="Normal 2 2 2 32 12" xfId="19144" xr:uid="{00000000-0005-0000-0000-0000C84A0000}"/>
    <cellStyle name="Normal 2 2 2 32 13" xfId="19145" xr:uid="{00000000-0005-0000-0000-0000C94A0000}"/>
    <cellStyle name="Normal 2 2 2 32 14" xfId="19146" xr:uid="{00000000-0005-0000-0000-0000CA4A0000}"/>
    <cellStyle name="Normal 2 2 2 32 2" xfId="19147" xr:uid="{00000000-0005-0000-0000-0000CB4A0000}"/>
    <cellStyle name="Normal 2 2 2 32 2 10" xfId="19148" xr:uid="{00000000-0005-0000-0000-0000CC4A0000}"/>
    <cellStyle name="Normal 2 2 2 32 2 2" xfId="19149" xr:uid="{00000000-0005-0000-0000-0000CD4A0000}"/>
    <cellStyle name="Normal 2 2 2 32 2 3" xfId="19150" xr:uid="{00000000-0005-0000-0000-0000CE4A0000}"/>
    <cellStyle name="Normal 2 2 2 32 2 4" xfId="19151" xr:uid="{00000000-0005-0000-0000-0000CF4A0000}"/>
    <cellStyle name="Normal 2 2 2 32 2 5" xfId="19152" xr:uid="{00000000-0005-0000-0000-0000D04A0000}"/>
    <cellStyle name="Normal 2 2 2 32 2 6" xfId="19153" xr:uid="{00000000-0005-0000-0000-0000D14A0000}"/>
    <cellStyle name="Normal 2 2 2 32 2 7" xfId="19154" xr:uid="{00000000-0005-0000-0000-0000D24A0000}"/>
    <cellStyle name="Normal 2 2 2 32 2 8" xfId="19155" xr:uid="{00000000-0005-0000-0000-0000D34A0000}"/>
    <cellStyle name="Normal 2 2 2 32 2 9" xfId="19156" xr:uid="{00000000-0005-0000-0000-0000D44A0000}"/>
    <cellStyle name="Normal 2 2 2 32 3" xfId="19157" xr:uid="{00000000-0005-0000-0000-0000D54A0000}"/>
    <cellStyle name="Normal 2 2 2 32 3 10" xfId="19158" xr:uid="{00000000-0005-0000-0000-0000D64A0000}"/>
    <cellStyle name="Normal 2 2 2 32 3 2" xfId="19159" xr:uid="{00000000-0005-0000-0000-0000D74A0000}"/>
    <cellStyle name="Normal 2 2 2 32 3 3" xfId="19160" xr:uid="{00000000-0005-0000-0000-0000D84A0000}"/>
    <cellStyle name="Normal 2 2 2 32 3 4" xfId="19161" xr:uid="{00000000-0005-0000-0000-0000D94A0000}"/>
    <cellStyle name="Normal 2 2 2 32 3 5" xfId="19162" xr:uid="{00000000-0005-0000-0000-0000DA4A0000}"/>
    <cellStyle name="Normal 2 2 2 32 3 6" xfId="19163" xr:uid="{00000000-0005-0000-0000-0000DB4A0000}"/>
    <cellStyle name="Normal 2 2 2 32 3 7" xfId="19164" xr:uid="{00000000-0005-0000-0000-0000DC4A0000}"/>
    <cellStyle name="Normal 2 2 2 32 3 8" xfId="19165" xr:uid="{00000000-0005-0000-0000-0000DD4A0000}"/>
    <cellStyle name="Normal 2 2 2 32 3 9" xfId="19166" xr:uid="{00000000-0005-0000-0000-0000DE4A0000}"/>
    <cellStyle name="Normal 2 2 2 32 4" xfId="19167" xr:uid="{00000000-0005-0000-0000-0000DF4A0000}"/>
    <cellStyle name="Normal 2 2 2 32 4 10" xfId="19168" xr:uid="{00000000-0005-0000-0000-0000E04A0000}"/>
    <cellStyle name="Normal 2 2 2 32 4 2" xfId="19169" xr:uid="{00000000-0005-0000-0000-0000E14A0000}"/>
    <cellStyle name="Normal 2 2 2 32 4 3" xfId="19170" xr:uid="{00000000-0005-0000-0000-0000E24A0000}"/>
    <cellStyle name="Normal 2 2 2 32 4 4" xfId="19171" xr:uid="{00000000-0005-0000-0000-0000E34A0000}"/>
    <cellStyle name="Normal 2 2 2 32 4 5" xfId="19172" xr:uid="{00000000-0005-0000-0000-0000E44A0000}"/>
    <cellStyle name="Normal 2 2 2 32 4 6" xfId="19173" xr:uid="{00000000-0005-0000-0000-0000E54A0000}"/>
    <cellStyle name="Normal 2 2 2 32 4 7" xfId="19174" xr:uid="{00000000-0005-0000-0000-0000E64A0000}"/>
    <cellStyle name="Normal 2 2 2 32 4 8" xfId="19175" xr:uid="{00000000-0005-0000-0000-0000E74A0000}"/>
    <cellStyle name="Normal 2 2 2 32 4 9" xfId="19176" xr:uid="{00000000-0005-0000-0000-0000E84A0000}"/>
    <cellStyle name="Normal 2 2 2 32 5" xfId="19177" xr:uid="{00000000-0005-0000-0000-0000E94A0000}"/>
    <cellStyle name="Normal 2 2 2 32 5 10" xfId="19178" xr:uid="{00000000-0005-0000-0000-0000EA4A0000}"/>
    <cellStyle name="Normal 2 2 2 32 5 2" xfId="19179" xr:uid="{00000000-0005-0000-0000-0000EB4A0000}"/>
    <cellStyle name="Normal 2 2 2 32 5 3" xfId="19180" xr:uid="{00000000-0005-0000-0000-0000EC4A0000}"/>
    <cellStyle name="Normal 2 2 2 32 5 4" xfId="19181" xr:uid="{00000000-0005-0000-0000-0000ED4A0000}"/>
    <cellStyle name="Normal 2 2 2 32 5 5" xfId="19182" xr:uid="{00000000-0005-0000-0000-0000EE4A0000}"/>
    <cellStyle name="Normal 2 2 2 32 5 6" xfId="19183" xr:uid="{00000000-0005-0000-0000-0000EF4A0000}"/>
    <cellStyle name="Normal 2 2 2 32 5 7" xfId="19184" xr:uid="{00000000-0005-0000-0000-0000F04A0000}"/>
    <cellStyle name="Normal 2 2 2 32 5 8" xfId="19185" xr:uid="{00000000-0005-0000-0000-0000F14A0000}"/>
    <cellStyle name="Normal 2 2 2 32 5 9" xfId="19186" xr:uid="{00000000-0005-0000-0000-0000F24A0000}"/>
    <cellStyle name="Normal 2 2 2 32 6" xfId="19187" xr:uid="{00000000-0005-0000-0000-0000F34A0000}"/>
    <cellStyle name="Normal 2 2 2 32 7" xfId="19188" xr:uid="{00000000-0005-0000-0000-0000F44A0000}"/>
    <cellStyle name="Normal 2 2 2 32 8" xfId="19189" xr:uid="{00000000-0005-0000-0000-0000F54A0000}"/>
    <cellStyle name="Normal 2 2 2 32 9" xfId="19190" xr:uid="{00000000-0005-0000-0000-0000F64A0000}"/>
    <cellStyle name="Normal 2 2 2 33" xfId="19191" xr:uid="{00000000-0005-0000-0000-0000F74A0000}"/>
    <cellStyle name="Normal 2 2 2 33 10" xfId="19192" xr:uid="{00000000-0005-0000-0000-0000F84A0000}"/>
    <cellStyle name="Normal 2 2 2 33 11" xfId="19193" xr:uid="{00000000-0005-0000-0000-0000F94A0000}"/>
    <cellStyle name="Normal 2 2 2 33 12" xfId="19194" xr:uid="{00000000-0005-0000-0000-0000FA4A0000}"/>
    <cellStyle name="Normal 2 2 2 33 13" xfId="19195" xr:uid="{00000000-0005-0000-0000-0000FB4A0000}"/>
    <cellStyle name="Normal 2 2 2 33 14" xfId="19196" xr:uid="{00000000-0005-0000-0000-0000FC4A0000}"/>
    <cellStyle name="Normal 2 2 2 33 2" xfId="19197" xr:uid="{00000000-0005-0000-0000-0000FD4A0000}"/>
    <cellStyle name="Normal 2 2 2 33 2 10" xfId="19198" xr:uid="{00000000-0005-0000-0000-0000FE4A0000}"/>
    <cellStyle name="Normal 2 2 2 33 2 2" xfId="19199" xr:uid="{00000000-0005-0000-0000-0000FF4A0000}"/>
    <cellStyle name="Normal 2 2 2 33 2 3" xfId="19200" xr:uid="{00000000-0005-0000-0000-0000004B0000}"/>
    <cellStyle name="Normal 2 2 2 33 2 4" xfId="19201" xr:uid="{00000000-0005-0000-0000-0000014B0000}"/>
    <cellStyle name="Normal 2 2 2 33 2 5" xfId="19202" xr:uid="{00000000-0005-0000-0000-0000024B0000}"/>
    <cellStyle name="Normal 2 2 2 33 2 6" xfId="19203" xr:uid="{00000000-0005-0000-0000-0000034B0000}"/>
    <cellStyle name="Normal 2 2 2 33 2 7" xfId="19204" xr:uid="{00000000-0005-0000-0000-0000044B0000}"/>
    <cellStyle name="Normal 2 2 2 33 2 8" xfId="19205" xr:uid="{00000000-0005-0000-0000-0000054B0000}"/>
    <cellStyle name="Normal 2 2 2 33 2 9" xfId="19206" xr:uid="{00000000-0005-0000-0000-0000064B0000}"/>
    <cellStyle name="Normal 2 2 2 33 3" xfId="19207" xr:uid="{00000000-0005-0000-0000-0000074B0000}"/>
    <cellStyle name="Normal 2 2 2 33 3 10" xfId="19208" xr:uid="{00000000-0005-0000-0000-0000084B0000}"/>
    <cellStyle name="Normal 2 2 2 33 3 2" xfId="19209" xr:uid="{00000000-0005-0000-0000-0000094B0000}"/>
    <cellStyle name="Normal 2 2 2 33 3 3" xfId="19210" xr:uid="{00000000-0005-0000-0000-00000A4B0000}"/>
    <cellStyle name="Normal 2 2 2 33 3 4" xfId="19211" xr:uid="{00000000-0005-0000-0000-00000B4B0000}"/>
    <cellStyle name="Normal 2 2 2 33 3 5" xfId="19212" xr:uid="{00000000-0005-0000-0000-00000C4B0000}"/>
    <cellStyle name="Normal 2 2 2 33 3 6" xfId="19213" xr:uid="{00000000-0005-0000-0000-00000D4B0000}"/>
    <cellStyle name="Normal 2 2 2 33 3 7" xfId="19214" xr:uid="{00000000-0005-0000-0000-00000E4B0000}"/>
    <cellStyle name="Normal 2 2 2 33 3 8" xfId="19215" xr:uid="{00000000-0005-0000-0000-00000F4B0000}"/>
    <cellStyle name="Normal 2 2 2 33 3 9" xfId="19216" xr:uid="{00000000-0005-0000-0000-0000104B0000}"/>
    <cellStyle name="Normal 2 2 2 33 4" xfId="19217" xr:uid="{00000000-0005-0000-0000-0000114B0000}"/>
    <cellStyle name="Normal 2 2 2 33 4 10" xfId="19218" xr:uid="{00000000-0005-0000-0000-0000124B0000}"/>
    <cellStyle name="Normal 2 2 2 33 4 2" xfId="19219" xr:uid="{00000000-0005-0000-0000-0000134B0000}"/>
    <cellStyle name="Normal 2 2 2 33 4 3" xfId="19220" xr:uid="{00000000-0005-0000-0000-0000144B0000}"/>
    <cellStyle name="Normal 2 2 2 33 4 4" xfId="19221" xr:uid="{00000000-0005-0000-0000-0000154B0000}"/>
    <cellStyle name="Normal 2 2 2 33 4 5" xfId="19222" xr:uid="{00000000-0005-0000-0000-0000164B0000}"/>
    <cellStyle name="Normal 2 2 2 33 4 6" xfId="19223" xr:uid="{00000000-0005-0000-0000-0000174B0000}"/>
    <cellStyle name="Normal 2 2 2 33 4 7" xfId="19224" xr:uid="{00000000-0005-0000-0000-0000184B0000}"/>
    <cellStyle name="Normal 2 2 2 33 4 8" xfId="19225" xr:uid="{00000000-0005-0000-0000-0000194B0000}"/>
    <cellStyle name="Normal 2 2 2 33 4 9" xfId="19226" xr:uid="{00000000-0005-0000-0000-00001A4B0000}"/>
    <cellStyle name="Normal 2 2 2 33 5" xfId="19227" xr:uid="{00000000-0005-0000-0000-00001B4B0000}"/>
    <cellStyle name="Normal 2 2 2 33 5 10" xfId="19228" xr:uid="{00000000-0005-0000-0000-00001C4B0000}"/>
    <cellStyle name="Normal 2 2 2 33 5 2" xfId="19229" xr:uid="{00000000-0005-0000-0000-00001D4B0000}"/>
    <cellStyle name="Normal 2 2 2 33 5 3" xfId="19230" xr:uid="{00000000-0005-0000-0000-00001E4B0000}"/>
    <cellStyle name="Normal 2 2 2 33 5 4" xfId="19231" xr:uid="{00000000-0005-0000-0000-00001F4B0000}"/>
    <cellStyle name="Normal 2 2 2 33 5 5" xfId="19232" xr:uid="{00000000-0005-0000-0000-0000204B0000}"/>
    <cellStyle name="Normal 2 2 2 33 5 6" xfId="19233" xr:uid="{00000000-0005-0000-0000-0000214B0000}"/>
    <cellStyle name="Normal 2 2 2 33 5 7" xfId="19234" xr:uid="{00000000-0005-0000-0000-0000224B0000}"/>
    <cellStyle name="Normal 2 2 2 33 5 8" xfId="19235" xr:uid="{00000000-0005-0000-0000-0000234B0000}"/>
    <cellStyle name="Normal 2 2 2 33 5 9" xfId="19236" xr:uid="{00000000-0005-0000-0000-0000244B0000}"/>
    <cellStyle name="Normal 2 2 2 33 6" xfId="19237" xr:uid="{00000000-0005-0000-0000-0000254B0000}"/>
    <cellStyle name="Normal 2 2 2 33 7" xfId="19238" xr:uid="{00000000-0005-0000-0000-0000264B0000}"/>
    <cellStyle name="Normal 2 2 2 33 8" xfId="19239" xr:uid="{00000000-0005-0000-0000-0000274B0000}"/>
    <cellStyle name="Normal 2 2 2 33 9" xfId="19240" xr:uid="{00000000-0005-0000-0000-0000284B0000}"/>
    <cellStyle name="Normal 2 2 2 34" xfId="19241" xr:uid="{00000000-0005-0000-0000-0000294B0000}"/>
    <cellStyle name="Normal 2 2 2 34 10" xfId="19242" xr:uid="{00000000-0005-0000-0000-00002A4B0000}"/>
    <cellStyle name="Normal 2 2 2 34 11" xfId="19243" xr:uid="{00000000-0005-0000-0000-00002B4B0000}"/>
    <cellStyle name="Normal 2 2 2 34 12" xfId="19244" xr:uid="{00000000-0005-0000-0000-00002C4B0000}"/>
    <cellStyle name="Normal 2 2 2 34 13" xfId="19245" xr:uid="{00000000-0005-0000-0000-00002D4B0000}"/>
    <cellStyle name="Normal 2 2 2 34 14" xfId="19246" xr:uid="{00000000-0005-0000-0000-00002E4B0000}"/>
    <cellStyle name="Normal 2 2 2 34 2" xfId="19247" xr:uid="{00000000-0005-0000-0000-00002F4B0000}"/>
    <cellStyle name="Normal 2 2 2 34 2 10" xfId="19248" xr:uid="{00000000-0005-0000-0000-0000304B0000}"/>
    <cellStyle name="Normal 2 2 2 34 2 2" xfId="19249" xr:uid="{00000000-0005-0000-0000-0000314B0000}"/>
    <cellStyle name="Normal 2 2 2 34 2 3" xfId="19250" xr:uid="{00000000-0005-0000-0000-0000324B0000}"/>
    <cellStyle name="Normal 2 2 2 34 2 4" xfId="19251" xr:uid="{00000000-0005-0000-0000-0000334B0000}"/>
    <cellStyle name="Normal 2 2 2 34 2 5" xfId="19252" xr:uid="{00000000-0005-0000-0000-0000344B0000}"/>
    <cellStyle name="Normal 2 2 2 34 2 6" xfId="19253" xr:uid="{00000000-0005-0000-0000-0000354B0000}"/>
    <cellStyle name="Normal 2 2 2 34 2 7" xfId="19254" xr:uid="{00000000-0005-0000-0000-0000364B0000}"/>
    <cellStyle name="Normal 2 2 2 34 2 8" xfId="19255" xr:uid="{00000000-0005-0000-0000-0000374B0000}"/>
    <cellStyle name="Normal 2 2 2 34 2 9" xfId="19256" xr:uid="{00000000-0005-0000-0000-0000384B0000}"/>
    <cellStyle name="Normal 2 2 2 34 3" xfId="19257" xr:uid="{00000000-0005-0000-0000-0000394B0000}"/>
    <cellStyle name="Normal 2 2 2 34 3 10" xfId="19258" xr:uid="{00000000-0005-0000-0000-00003A4B0000}"/>
    <cellStyle name="Normal 2 2 2 34 3 2" xfId="19259" xr:uid="{00000000-0005-0000-0000-00003B4B0000}"/>
    <cellStyle name="Normal 2 2 2 34 3 3" xfId="19260" xr:uid="{00000000-0005-0000-0000-00003C4B0000}"/>
    <cellStyle name="Normal 2 2 2 34 3 4" xfId="19261" xr:uid="{00000000-0005-0000-0000-00003D4B0000}"/>
    <cellStyle name="Normal 2 2 2 34 3 5" xfId="19262" xr:uid="{00000000-0005-0000-0000-00003E4B0000}"/>
    <cellStyle name="Normal 2 2 2 34 3 6" xfId="19263" xr:uid="{00000000-0005-0000-0000-00003F4B0000}"/>
    <cellStyle name="Normal 2 2 2 34 3 7" xfId="19264" xr:uid="{00000000-0005-0000-0000-0000404B0000}"/>
    <cellStyle name="Normal 2 2 2 34 3 8" xfId="19265" xr:uid="{00000000-0005-0000-0000-0000414B0000}"/>
    <cellStyle name="Normal 2 2 2 34 3 9" xfId="19266" xr:uid="{00000000-0005-0000-0000-0000424B0000}"/>
    <cellStyle name="Normal 2 2 2 34 4" xfId="19267" xr:uid="{00000000-0005-0000-0000-0000434B0000}"/>
    <cellStyle name="Normal 2 2 2 34 4 10" xfId="19268" xr:uid="{00000000-0005-0000-0000-0000444B0000}"/>
    <cellStyle name="Normal 2 2 2 34 4 2" xfId="19269" xr:uid="{00000000-0005-0000-0000-0000454B0000}"/>
    <cellStyle name="Normal 2 2 2 34 4 3" xfId="19270" xr:uid="{00000000-0005-0000-0000-0000464B0000}"/>
    <cellStyle name="Normal 2 2 2 34 4 4" xfId="19271" xr:uid="{00000000-0005-0000-0000-0000474B0000}"/>
    <cellStyle name="Normal 2 2 2 34 4 5" xfId="19272" xr:uid="{00000000-0005-0000-0000-0000484B0000}"/>
    <cellStyle name="Normal 2 2 2 34 4 6" xfId="19273" xr:uid="{00000000-0005-0000-0000-0000494B0000}"/>
    <cellStyle name="Normal 2 2 2 34 4 7" xfId="19274" xr:uid="{00000000-0005-0000-0000-00004A4B0000}"/>
    <cellStyle name="Normal 2 2 2 34 4 8" xfId="19275" xr:uid="{00000000-0005-0000-0000-00004B4B0000}"/>
    <cellStyle name="Normal 2 2 2 34 4 9" xfId="19276" xr:uid="{00000000-0005-0000-0000-00004C4B0000}"/>
    <cellStyle name="Normal 2 2 2 34 5" xfId="19277" xr:uid="{00000000-0005-0000-0000-00004D4B0000}"/>
    <cellStyle name="Normal 2 2 2 34 5 10" xfId="19278" xr:uid="{00000000-0005-0000-0000-00004E4B0000}"/>
    <cellStyle name="Normal 2 2 2 34 5 2" xfId="19279" xr:uid="{00000000-0005-0000-0000-00004F4B0000}"/>
    <cellStyle name="Normal 2 2 2 34 5 3" xfId="19280" xr:uid="{00000000-0005-0000-0000-0000504B0000}"/>
    <cellStyle name="Normal 2 2 2 34 5 4" xfId="19281" xr:uid="{00000000-0005-0000-0000-0000514B0000}"/>
    <cellStyle name="Normal 2 2 2 34 5 5" xfId="19282" xr:uid="{00000000-0005-0000-0000-0000524B0000}"/>
    <cellStyle name="Normal 2 2 2 34 5 6" xfId="19283" xr:uid="{00000000-0005-0000-0000-0000534B0000}"/>
    <cellStyle name="Normal 2 2 2 34 5 7" xfId="19284" xr:uid="{00000000-0005-0000-0000-0000544B0000}"/>
    <cellStyle name="Normal 2 2 2 34 5 8" xfId="19285" xr:uid="{00000000-0005-0000-0000-0000554B0000}"/>
    <cellStyle name="Normal 2 2 2 34 5 9" xfId="19286" xr:uid="{00000000-0005-0000-0000-0000564B0000}"/>
    <cellStyle name="Normal 2 2 2 34 6" xfId="19287" xr:uid="{00000000-0005-0000-0000-0000574B0000}"/>
    <cellStyle name="Normal 2 2 2 34 7" xfId="19288" xr:uid="{00000000-0005-0000-0000-0000584B0000}"/>
    <cellStyle name="Normal 2 2 2 34 8" xfId="19289" xr:uid="{00000000-0005-0000-0000-0000594B0000}"/>
    <cellStyle name="Normal 2 2 2 34 9" xfId="19290" xr:uid="{00000000-0005-0000-0000-00005A4B0000}"/>
    <cellStyle name="Normal 2 2 2 35" xfId="19291" xr:uid="{00000000-0005-0000-0000-00005B4B0000}"/>
    <cellStyle name="Normal 2 2 2 35 10" xfId="19292" xr:uid="{00000000-0005-0000-0000-00005C4B0000}"/>
    <cellStyle name="Normal 2 2 2 35 11" xfId="19293" xr:uid="{00000000-0005-0000-0000-00005D4B0000}"/>
    <cellStyle name="Normal 2 2 2 35 12" xfId="19294" xr:uid="{00000000-0005-0000-0000-00005E4B0000}"/>
    <cellStyle name="Normal 2 2 2 35 13" xfId="19295" xr:uid="{00000000-0005-0000-0000-00005F4B0000}"/>
    <cellStyle name="Normal 2 2 2 35 14" xfId="19296" xr:uid="{00000000-0005-0000-0000-0000604B0000}"/>
    <cellStyle name="Normal 2 2 2 35 2" xfId="19297" xr:uid="{00000000-0005-0000-0000-0000614B0000}"/>
    <cellStyle name="Normal 2 2 2 35 2 10" xfId="19298" xr:uid="{00000000-0005-0000-0000-0000624B0000}"/>
    <cellStyle name="Normal 2 2 2 35 2 2" xfId="19299" xr:uid="{00000000-0005-0000-0000-0000634B0000}"/>
    <cellStyle name="Normal 2 2 2 35 2 3" xfId="19300" xr:uid="{00000000-0005-0000-0000-0000644B0000}"/>
    <cellStyle name="Normal 2 2 2 35 2 4" xfId="19301" xr:uid="{00000000-0005-0000-0000-0000654B0000}"/>
    <cellStyle name="Normal 2 2 2 35 2 5" xfId="19302" xr:uid="{00000000-0005-0000-0000-0000664B0000}"/>
    <cellStyle name="Normal 2 2 2 35 2 6" xfId="19303" xr:uid="{00000000-0005-0000-0000-0000674B0000}"/>
    <cellStyle name="Normal 2 2 2 35 2 7" xfId="19304" xr:uid="{00000000-0005-0000-0000-0000684B0000}"/>
    <cellStyle name="Normal 2 2 2 35 2 8" xfId="19305" xr:uid="{00000000-0005-0000-0000-0000694B0000}"/>
    <cellStyle name="Normal 2 2 2 35 2 9" xfId="19306" xr:uid="{00000000-0005-0000-0000-00006A4B0000}"/>
    <cellStyle name="Normal 2 2 2 35 3" xfId="19307" xr:uid="{00000000-0005-0000-0000-00006B4B0000}"/>
    <cellStyle name="Normal 2 2 2 35 3 10" xfId="19308" xr:uid="{00000000-0005-0000-0000-00006C4B0000}"/>
    <cellStyle name="Normal 2 2 2 35 3 2" xfId="19309" xr:uid="{00000000-0005-0000-0000-00006D4B0000}"/>
    <cellStyle name="Normal 2 2 2 35 3 3" xfId="19310" xr:uid="{00000000-0005-0000-0000-00006E4B0000}"/>
    <cellStyle name="Normal 2 2 2 35 3 4" xfId="19311" xr:uid="{00000000-0005-0000-0000-00006F4B0000}"/>
    <cellStyle name="Normal 2 2 2 35 3 5" xfId="19312" xr:uid="{00000000-0005-0000-0000-0000704B0000}"/>
    <cellStyle name="Normal 2 2 2 35 3 6" xfId="19313" xr:uid="{00000000-0005-0000-0000-0000714B0000}"/>
    <cellStyle name="Normal 2 2 2 35 3 7" xfId="19314" xr:uid="{00000000-0005-0000-0000-0000724B0000}"/>
    <cellStyle name="Normal 2 2 2 35 3 8" xfId="19315" xr:uid="{00000000-0005-0000-0000-0000734B0000}"/>
    <cellStyle name="Normal 2 2 2 35 3 9" xfId="19316" xr:uid="{00000000-0005-0000-0000-0000744B0000}"/>
    <cellStyle name="Normal 2 2 2 35 4" xfId="19317" xr:uid="{00000000-0005-0000-0000-0000754B0000}"/>
    <cellStyle name="Normal 2 2 2 35 4 10" xfId="19318" xr:uid="{00000000-0005-0000-0000-0000764B0000}"/>
    <cellStyle name="Normal 2 2 2 35 4 2" xfId="19319" xr:uid="{00000000-0005-0000-0000-0000774B0000}"/>
    <cellStyle name="Normal 2 2 2 35 4 3" xfId="19320" xr:uid="{00000000-0005-0000-0000-0000784B0000}"/>
    <cellStyle name="Normal 2 2 2 35 4 4" xfId="19321" xr:uid="{00000000-0005-0000-0000-0000794B0000}"/>
    <cellStyle name="Normal 2 2 2 35 4 5" xfId="19322" xr:uid="{00000000-0005-0000-0000-00007A4B0000}"/>
    <cellStyle name="Normal 2 2 2 35 4 6" xfId="19323" xr:uid="{00000000-0005-0000-0000-00007B4B0000}"/>
    <cellStyle name="Normal 2 2 2 35 4 7" xfId="19324" xr:uid="{00000000-0005-0000-0000-00007C4B0000}"/>
    <cellStyle name="Normal 2 2 2 35 4 8" xfId="19325" xr:uid="{00000000-0005-0000-0000-00007D4B0000}"/>
    <cellStyle name="Normal 2 2 2 35 4 9" xfId="19326" xr:uid="{00000000-0005-0000-0000-00007E4B0000}"/>
    <cellStyle name="Normal 2 2 2 35 5" xfId="19327" xr:uid="{00000000-0005-0000-0000-00007F4B0000}"/>
    <cellStyle name="Normal 2 2 2 35 5 10" xfId="19328" xr:uid="{00000000-0005-0000-0000-0000804B0000}"/>
    <cellStyle name="Normal 2 2 2 35 5 2" xfId="19329" xr:uid="{00000000-0005-0000-0000-0000814B0000}"/>
    <cellStyle name="Normal 2 2 2 35 5 3" xfId="19330" xr:uid="{00000000-0005-0000-0000-0000824B0000}"/>
    <cellStyle name="Normal 2 2 2 35 5 4" xfId="19331" xr:uid="{00000000-0005-0000-0000-0000834B0000}"/>
    <cellStyle name="Normal 2 2 2 35 5 5" xfId="19332" xr:uid="{00000000-0005-0000-0000-0000844B0000}"/>
    <cellStyle name="Normal 2 2 2 35 5 6" xfId="19333" xr:uid="{00000000-0005-0000-0000-0000854B0000}"/>
    <cellStyle name="Normal 2 2 2 35 5 7" xfId="19334" xr:uid="{00000000-0005-0000-0000-0000864B0000}"/>
    <cellStyle name="Normal 2 2 2 35 5 8" xfId="19335" xr:uid="{00000000-0005-0000-0000-0000874B0000}"/>
    <cellStyle name="Normal 2 2 2 35 5 9" xfId="19336" xr:uid="{00000000-0005-0000-0000-0000884B0000}"/>
    <cellStyle name="Normal 2 2 2 35 6" xfId="19337" xr:uid="{00000000-0005-0000-0000-0000894B0000}"/>
    <cellStyle name="Normal 2 2 2 35 7" xfId="19338" xr:uid="{00000000-0005-0000-0000-00008A4B0000}"/>
    <cellStyle name="Normal 2 2 2 35 8" xfId="19339" xr:uid="{00000000-0005-0000-0000-00008B4B0000}"/>
    <cellStyle name="Normal 2 2 2 35 9" xfId="19340" xr:uid="{00000000-0005-0000-0000-00008C4B0000}"/>
    <cellStyle name="Normal 2 2 2 36" xfId="19341" xr:uid="{00000000-0005-0000-0000-00008D4B0000}"/>
    <cellStyle name="Normal 2 2 2 36 10" xfId="19342" xr:uid="{00000000-0005-0000-0000-00008E4B0000}"/>
    <cellStyle name="Normal 2 2 2 36 2" xfId="19343" xr:uid="{00000000-0005-0000-0000-00008F4B0000}"/>
    <cellStyle name="Normal 2 2 2 36 3" xfId="19344" xr:uid="{00000000-0005-0000-0000-0000904B0000}"/>
    <cellStyle name="Normal 2 2 2 36 4" xfId="19345" xr:uid="{00000000-0005-0000-0000-0000914B0000}"/>
    <cellStyle name="Normal 2 2 2 36 5" xfId="19346" xr:uid="{00000000-0005-0000-0000-0000924B0000}"/>
    <cellStyle name="Normal 2 2 2 36 6" xfId="19347" xr:uid="{00000000-0005-0000-0000-0000934B0000}"/>
    <cellStyle name="Normal 2 2 2 36 7" xfId="19348" xr:uid="{00000000-0005-0000-0000-0000944B0000}"/>
    <cellStyle name="Normal 2 2 2 36 8" xfId="19349" xr:uid="{00000000-0005-0000-0000-0000954B0000}"/>
    <cellStyle name="Normal 2 2 2 36 9" xfId="19350" xr:uid="{00000000-0005-0000-0000-0000964B0000}"/>
    <cellStyle name="Normal 2 2 2 37" xfId="19351" xr:uid="{00000000-0005-0000-0000-0000974B0000}"/>
    <cellStyle name="Normal 2 2 2 37 10" xfId="19352" xr:uid="{00000000-0005-0000-0000-0000984B0000}"/>
    <cellStyle name="Normal 2 2 2 37 2" xfId="19353" xr:uid="{00000000-0005-0000-0000-0000994B0000}"/>
    <cellStyle name="Normal 2 2 2 37 3" xfId="19354" xr:uid="{00000000-0005-0000-0000-00009A4B0000}"/>
    <cellStyle name="Normal 2 2 2 37 4" xfId="19355" xr:uid="{00000000-0005-0000-0000-00009B4B0000}"/>
    <cellStyle name="Normal 2 2 2 37 5" xfId="19356" xr:uid="{00000000-0005-0000-0000-00009C4B0000}"/>
    <cellStyle name="Normal 2 2 2 37 6" xfId="19357" xr:uid="{00000000-0005-0000-0000-00009D4B0000}"/>
    <cellStyle name="Normal 2 2 2 37 7" xfId="19358" xr:uid="{00000000-0005-0000-0000-00009E4B0000}"/>
    <cellStyle name="Normal 2 2 2 37 8" xfId="19359" xr:uid="{00000000-0005-0000-0000-00009F4B0000}"/>
    <cellStyle name="Normal 2 2 2 37 9" xfId="19360" xr:uid="{00000000-0005-0000-0000-0000A04B0000}"/>
    <cellStyle name="Normal 2 2 2 38" xfId="19361" xr:uid="{00000000-0005-0000-0000-0000A14B0000}"/>
    <cellStyle name="Normal 2 2 2 38 10" xfId="19362" xr:uid="{00000000-0005-0000-0000-0000A24B0000}"/>
    <cellStyle name="Normal 2 2 2 38 2" xfId="19363" xr:uid="{00000000-0005-0000-0000-0000A34B0000}"/>
    <cellStyle name="Normal 2 2 2 38 3" xfId="19364" xr:uid="{00000000-0005-0000-0000-0000A44B0000}"/>
    <cellStyle name="Normal 2 2 2 38 4" xfId="19365" xr:uid="{00000000-0005-0000-0000-0000A54B0000}"/>
    <cellStyle name="Normal 2 2 2 38 5" xfId="19366" xr:uid="{00000000-0005-0000-0000-0000A64B0000}"/>
    <cellStyle name="Normal 2 2 2 38 6" xfId="19367" xr:uid="{00000000-0005-0000-0000-0000A74B0000}"/>
    <cellStyle name="Normal 2 2 2 38 7" xfId="19368" xr:uid="{00000000-0005-0000-0000-0000A84B0000}"/>
    <cellStyle name="Normal 2 2 2 38 8" xfId="19369" xr:uid="{00000000-0005-0000-0000-0000A94B0000}"/>
    <cellStyle name="Normal 2 2 2 38 9" xfId="19370" xr:uid="{00000000-0005-0000-0000-0000AA4B0000}"/>
    <cellStyle name="Normal 2 2 2 39" xfId="19371" xr:uid="{00000000-0005-0000-0000-0000AB4B0000}"/>
    <cellStyle name="Normal 2 2 2 39 10" xfId="19372" xr:uid="{00000000-0005-0000-0000-0000AC4B0000}"/>
    <cellStyle name="Normal 2 2 2 39 2" xfId="19373" xr:uid="{00000000-0005-0000-0000-0000AD4B0000}"/>
    <cellStyle name="Normal 2 2 2 39 3" xfId="19374" xr:uid="{00000000-0005-0000-0000-0000AE4B0000}"/>
    <cellStyle name="Normal 2 2 2 39 4" xfId="19375" xr:uid="{00000000-0005-0000-0000-0000AF4B0000}"/>
    <cellStyle name="Normal 2 2 2 39 5" xfId="19376" xr:uid="{00000000-0005-0000-0000-0000B04B0000}"/>
    <cellStyle name="Normal 2 2 2 39 6" xfId="19377" xr:uid="{00000000-0005-0000-0000-0000B14B0000}"/>
    <cellStyle name="Normal 2 2 2 39 7" xfId="19378" xr:uid="{00000000-0005-0000-0000-0000B24B0000}"/>
    <cellStyle name="Normal 2 2 2 39 8" xfId="19379" xr:uid="{00000000-0005-0000-0000-0000B34B0000}"/>
    <cellStyle name="Normal 2 2 2 39 9" xfId="19380" xr:uid="{00000000-0005-0000-0000-0000B44B0000}"/>
    <cellStyle name="Normal 2 2 2 4" xfId="19381" xr:uid="{00000000-0005-0000-0000-0000B54B0000}"/>
    <cellStyle name="Normal 2 2 2 4 10" xfId="19382" xr:uid="{00000000-0005-0000-0000-0000B64B0000}"/>
    <cellStyle name="Normal 2 2 2 4 11" xfId="19383" xr:uid="{00000000-0005-0000-0000-0000B74B0000}"/>
    <cellStyle name="Normal 2 2 2 4 12" xfId="19384" xr:uid="{00000000-0005-0000-0000-0000B84B0000}"/>
    <cellStyle name="Normal 2 2 2 4 13" xfId="19385" xr:uid="{00000000-0005-0000-0000-0000B94B0000}"/>
    <cellStyle name="Normal 2 2 2 4 14" xfId="19386" xr:uid="{00000000-0005-0000-0000-0000BA4B0000}"/>
    <cellStyle name="Normal 2 2 2 4 15" xfId="19387" xr:uid="{00000000-0005-0000-0000-0000BB4B0000}"/>
    <cellStyle name="Normal 2 2 2 4 16" xfId="19388" xr:uid="{00000000-0005-0000-0000-0000BC4B0000}"/>
    <cellStyle name="Normal 2 2 2 4 17" xfId="19389" xr:uid="{00000000-0005-0000-0000-0000BD4B0000}"/>
    <cellStyle name="Normal 2 2 2 4 18" xfId="19390" xr:uid="{00000000-0005-0000-0000-0000BE4B0000}"/>
    <cellStyle name="Normal 2 2 2 4 19" xfId="19391" xr:uid="{00000000-0005-0000-0000-0000BF4B0000}"/>
    <cellStyle name="Normal 2 2 2 4 2" xfId="19392" xr:uid="{00000000-0005-0000-0000-0000C04B0000}"/>
    <cellStyle name="Normal 2 2 2 4 2 10" xfId="19393" xr:uid="{00000000-0005-0000-0000-0000C14B0000}"/>
    <cellStyle name="Normal 2 2 2 4 2 10 10" xfId="19394" xr:uid="{00000000-0005-0000-0000-0000C24B0000}"/>
    <cellStyle name="Normal 2 2 2 4 2 10 11" xfId="19395" xr:uid="{00000000-0005-0000-0000-0000C34B0000}"/>
    <cellStyle name="Normal 2 2 2 4 2 10 12" xfId="19396" xr:uid="{00000000-0005-0000-0000-0000C44B0000}"/>
    <cellStyle name="Normal 2 2 2 4 2 10 13" xfId="19397" xr:uid="{00000000-0005-0000-0000-0000C54B0000}"/>
    <cellStyle name="Normal 2 2 2 4 2 10 14" xfId="19398" xr:uid="{00000000-0005-0000-0000-0000C64B0000}"/>
    <cellStyle name="Normal 2 2 2 4 2 10 2" xfId="19399" xr:uid="{00000000-0005-0000-0000-0000C74B0000}"/>
    <cellStyle name="Normal 2 2 2 4 2 10 2 10" xfId="19400" xr:uid="{00000000-0005-0000-0000-0000C84B0000}"/>
    <cellStyle name="Normal 2 2 2 4 2 10 2 2" xfId="19401" xr:uid="{00000000-0005-0000-0000-0000C94B0000}"/>
    <cellStyle name="Normal 2 2 2 4 2 10 2 3" xfId="19402" xr:uid="{00000000-0005-0000-0000-0000CA4B0000}"/>
    <cellStyle name="Normal 2 2 2 4 2 10 2 4" xfId="19403" xr:uid="{00000000-0005-0000-0000-0000CB4B0000}"/>
    <cellStyle name="Normal 2 2 2 4 2 10 2 5" xfId="19404" xr:uid="{00000000-0005-0000-0000-0000CC4B0000}"/>
    <cellStyle name="Normal 2 2 2 4 2 10 2 6" xfId="19405" xr:uid="{00000000-0005-0000-0000-0000CD4B0000}"/>
    <cellStyle name="Normal 2 2 2 4 2 10 2 7" xfId="19406" xr:uid="{00000000-0005-0000-0000-0000CE4B0000}"/>
    <cellStyle name="Normal 2 2 2 4 2 10 2 8" xfId="19407" xr:uid="{00000000-0005-0000-0000-0000CF4B0000}"/>
    <cellStyle name="Normal 2 2 2 4 2 10 2 9" xfId="19408" xr:uid="{00000000-0005-0000-0000-0000D04B0000}"/>
    <cellStyle name="Normal 2 2 2 4 2 10 3" xfId="19409" xr:uid="{00000000-0005-0000-0000-0000D14B0000}"/>
    <cellStyle name="Normal 2 2 2 4 2 10 3 10" xfId="19410" xr:uid="{00000000-0005-0000-0000-0000D24B0000}"/>
    <cellStyle name="Normal 2 2 2 4 2 10 3 2" xfId="19411" xr:uid="{00000000-0005-0000-0000-0000D34B0000}"/>
    <cellStyle name="Normal 2 2 2 4 2 10 3 3" xfId="19412" xr:uid="{00000000-0005-0000-0000-0000D44B0000}"/>
    <cellStyle name="Normal 2 2 2 4 2 10 3 4" xfId="19413" xr:uid="{00000000-0005-0000-0000-0000D54B0000}"/>
    <cellStyle name="Normal 2 2 2 4 2 10 3 5" xfId="19414" xr:uid="{00000000-0005-0000-0000-0000D64B0000}"/>
    <cellStyle name="Normal 2 2 2 4 2 10 3 6" xfId="19415" xr:uid="{00000000-0005-0000-0000-0000D74B0000}"/>
    <cellStyle name="Normal 2 2 2 4 2 10 3 7" xfId="19416" xr:uid="{00000000-0005-0000-0000-0000D84B0000}"/>
    <cellStyle name="Normal 2 2 2 4 2 10 3 8" xfId="19417" xr:uid="{00000000-0005-0000-0000-0000D94B0000}"/>
    <cellStyle name="Normal 2 2 2 4 2 10 3 9" xfId="19418" xr:uid="{00000000-0005-0000-0000-0000DA4B0000}"/>
    <cellStyle name="Normal 2 2 2 4 2 10 4" xfId="19419" xr:uid="{00000000-0005-0000-0000-0000DB4B0000}"/>
    <cellStyle name="Normal 2 2 2 4 2 10 4 10" xfId="19420" xr:uid="{00000000-0005-0000-0000-0000DC4B0000}"/>
    <cellStyle name="Normal 2 2 2 4 2 10 4 2" xfId="19421" xr:uid="{00000000-0005-0000-0000-0000DD4B0000}"/>
    <cellStyle name="Normal 2 2 2 4 2 10 4 3" xfId="19422" xr:uid="{00000000-0005-0000-0000-0000DE4B0000}"/>
    <cellStyle name="Normal 2 2 2 4 2 10 4 4" xfId="19423" xr:uid="{00000000-0005-0000-0000-0000DF4B0000}"/>
    <cellStyle name="Normal 2 2 2 4 2 10 4 5" xfId="19424" xr:uid="{00000000-0005-0000-0000-0000E04B0000}"/>
    <cellStyle name="Normal 2 2 2 4 2 10 4 6" xfId="19425" xr:uid="{00000000-0005-0000-0000-0000E14B0000}"/>
    <cellStyle name="Normal 2 2 2 4 2 10 4 7" xfId="19426" xr:uid="{00000000-0005-0000-0000-0000E24B0000}"/>
    <cellStyle name="Normal 2 2 2 4 2 10 4 8" xfId="19427" xr:uid="{00000000-0005-0000-0000-0000E34B0000}"/>
    <cellStyle name="Normal 2 2 2 4 2 10 4 9" xfId="19428" xr:uid="{00000000-0005-0000-0000-0000E44B0000}"/>
    <cellStyle name="Normal 2 2 2 4 2 10 5" xfId="19429" xr:uid="{00000000-0005-0000-0000-0000E54B0000}"/>
    <cellStyle name="Normal 2 2 2 4 2 10 5 10" xfId="19430" xr:uid="{00000000-0005-0000-0000-0000E64B0000}"/>
    <cellStyle name="Normal 2 2 2 4 2 10 5 2" xfId="19431" xr:uid="{00000000-0005-0000-0000-0000E74B0000}"/>
    <cellStyle name="Normal 2 2 2 4 2 10 5 3" xfId="19432" xr:uid="{00000000-0005-0000-0000-0000E84B0000}"/>
    <cellStyle name="Normal 2 2 2 4 2 10 5 4" xfId="19433" xr:uid="{00000000-0005-0000-0000-0000E94B0000}"/>
    <cellStyle name="Normal 2 2 2 4 2 10 5 5" xfId="19434" xr:uid="{00000000-0005-0000-0000-0000EA4B0000}"/>
    <cellStyle name="Normal 2 2 2 4 2 10 5 6" xfId="19435" xr:uid="{00000000-0005-0000-0000-0000EB4B0000}"/>
    <cellStyle name="Normal 2 2 2 4 2 10 5 7" xfId="19436" xr:uid="{00000000-0005-0000-0000-0000EC4B0000}"/>
    <cellStyle name="Normal 2 2 2 4 2 10 5 8" xfId="19437" xr:uid="{00000000-0005-0000-0000-0000ED4B0000}"/>
    <cellStyle name="Normal 2 2 2 4 2 10 5 9" xfId="19438" xr:uid="{00000000-0005-0000-0000-0000EE4B0000}"/>
    <cellStyle name="Normal 2 2 2 4 2 10 6" xfId="19439" xr:uid="{00000000-0005-0000-0000-0000EF4B0000}"/>
    <cellStyle name="Normal 2 2 2 4 2 10 7" xfId="19440" xr:uid="{00000000-0005-0000-0000-0000F04B0000}"/>
    <cellStyle name="Normal 2 2 2 4 2 10 8" xfId="19441" xr:uid="{00000000-0005-0000-0000-0000F14B0000}"/>
    <cellStyle name="Normal 2 2 2 4 2 10 9" xfId="19442" xr:uid="{00000000-0005-0000-0000-0000F24B0000}"/>
    <cellStyle name="Normal 2 2 2 4 2 11" xfId="19443" xr:uid="{00000000-0005-0000-0000-0000F34B0000}"/>
    <cellStyle name="Normal 2 2 2 4 2 11 10" xfId="19444" xr:uid="{00000000-0005-0000-0000-0000F44B0000}"/>
    <cellStyle name="Normal 2 2 2 4 2 11 11" xfId="19445" xr:uid="{00000000-0005-0000-0000-0000F54B0000}"/>
    <cellStyle name="Normal 2 2 2 4 2 11 12" xfId="19446" xr:uid="{00000000-0005-0000-0000-0000F64B0000}"/>
    <cellStyle name="Normal 2 2 2 4 2 11 13" xfId="19447" xr:uid="{00000000-0005-0000-0000-0000F74B0000}"/>
    <cellStyle name="Normal 2 2 2 4 2 11 14" xfId="19448" xr:uid="{00000000-0005-0000-0000-0000F84B0000}"/>
    <cellStyle name="Normal 2 2 2 4 2 11 2" xfId="19449" xr:uid="{00000000-0005-0000-0000-0000F94B0000}"/>
    <cellStyle name="Normal 2 2 2 4 2 11 2 10" xfId="19450" xr:uid="{00000000-0005-0000-0000-0000FA4B0000}"/>
    <cellStyle name="Normal 2 2 2 4 2 11 2 2" xfId="19451" xr:uid="{00000000-0005-0000-0000-0000FB4B0000}"/>
    <cellStyle name="Normal 2 2 2 4 2 11 2 3" xfId="19452" xr:uid="{00000000-0005-0000-0000-0000FC4B0000}"/>
    <cellStyle name="Normal 2 2 2 4 2 11 2 4" xfId="19453" xr:uid="{00000000-0005-0000-0000-0000FD4B0000}"/>
    <cellStyle name="Normal 2 2 2 4 2 11 2 5" xfId="19454" xr:uid="{00000000-0005-0000-0000-0000FE4B0000}"/>
    <cellStyle name="Normal 2 2 2 4 2 11 2 6" xfId="19455" xr:uid="{00000000-0005-0000-0000-0000FF4B0000}"/>
    <cellStyle name="Normal 2 2 2 4 2 11 2 7" xfId="19456" xr:uid="{00000000-0005-0000-0000-0000004C0000}"/>
    <cellStyle name="Normal 2 2 2 4 2 11 2 8" xfId="19457" xr:uid="{00000000-0005-0000-0000-0000014C0000}"/>
    <cellStyle name="Normal 2 2 2 4 2 11 2 9" xfId="19458" xr:uid="{00000000-0005-0000-0000-0000024C0000}"/>
    <cellStyle name="Normal 2 2 2 4 2 11 3" xfId="19459" xr:uid="{00000000-0005-0000-0000-0000034C0000}"/>
    <cellStyle name="Normal 2 2 2 4 2 11 3 10" xfId="19460" xr:uid="{00000000-0005-0000-0000-0000044C0000}"/>
    <cellStyle name="Normal 2 2 2 4 2 11 3 2" xfId="19461" xr:uid="{00000000-0005-0000-0000-0000054C0000}"/>
    <cellStyle name="Normal 2 2 2 4 2 11 3 3" xfId="19462" xr:uid="{00000000-0005-0000-0000-0000064C0000}"/>
    <cellStyle name="Normal 2 2 2 4 2 11 3 4" xfId="19463" xr:uid="{00000000-0005-0000-0000-0000074C0000}"/>
    <cellStyle name="Normal 2 2 2 4 2 11 3 5" xfId="19464" xr:uid="{00000000-0005-0000-0000-0000084C0000}"/>
    <cellStyle name="Normal 2 2 2 4 2 11 3 6" xfId="19465" xr:uid="{00000000-0005-0000-0000-0000094C0000}"/>
    <cellStyle name="Normal 2 2 2 4 2 11 3 7" xfId="19466" xr:uid="{00000000-0005-0000-0000-00000A4C0000}"/>
    <cellStyle name="Normal 2 2 2 4 2 11 3 8" xfId="19467" xr:uid="{00000000-0005-0000-0000-00000B4C0000}"/>
    <cellStyle name="Normal 2 2 2 4 2 11 3 9" xfId="19468" xr:uid="{00000000-0005-0000-0000-00000C4C0000}"/>
    <cellStyle name="Normal 2 2 2 4 2 11 4" xfId="19469" xr:uid="{00000000-0005-0000-0000-00000D4C0000}"/>
    <cellStyle name="Normal 2 2 2 4 2 11 4 10" xfId="19470" xr:uid="{00000000-0005-0000-0000-00000E4C0000}"/>
    <cellStyle name="Normal 2 2 2 4 2 11 4 2" xfId="19471" xr:uid="{00000000-0005-0000-0000-00000F4C0000}"/>
    <cellStyle name="Normal 2 2 2 4 2 11 4 3" xfId="19472" xr:uid="{00000000-0005-0000-0000-0000104C0000}"/>
    <cellStyle name="Normal 2 2 2 4 2 11 4 4" xfId="19473" xr:uid="{00000000-0005-0000-0000-0000114C0000}"/>
    <cellStyle name="Normal 2 2 2 4 2 11 4 5" xfId="19474" xr:uid="{00000000-0005-0000-0000-0000124C0000}"/>
    <cellStyle name="Normal 2 2 2 4 2 11 4 6" xfId="19475" xr:uid="{00000000-0005-0000-0000-0000134C0000}"/>
    <cellStyle name="Normal 2 2 2 4 2 11 4 7" xfId="19476" xr:uid="{00000000-0005-0000-0000-0000144C0000}"/>
    <cellStyle name="Normal 2 2 2 4 2 11 4 8" xfId="19477" xr:uid="{00000000-0005-0000-0000-0000154C0000}"/>
    <cellStyle name="Normal 2 2 2 4 2 11 4 9" xfId="19478" xr:uid="{00000000-0005-0000-0000-0000164C0000}"/>
    <cellStyle name="Normal 2 2 2 4 2 11 5" xfId="19479" xr:uid="{00000000-0005-0000-0000-0000174C0000}"/>
    <cellStyle name="Normal 2 2 2 4 2 11 5 10" xfId="19480" xr:uid="{00000000-0005-0000-0000-0000184C0000}"/>
    <cellStyle name="Normal 2 2 2 4 2 11 5 2" xfId="19481" xr:uid="{00000000-0005-0000-0000-0000194C0000}"/>
    <cellStyle name="Normal 2 2 2 4 2 11 5 3" xfId="19482" xr:uid="{00000000-0005-0000-0000-00001A4C0000}"/>
    <cellStyle name="Normal 2 2 2 4 2 11 5 4" xfId="19483" xr:uid="{00000000-0005-0000-0000-00001B4C0000}"/>
    <cellStyle name="Normal 2 2 2 4 2 11 5 5" xfId="19484" xr:uid="{00000000-0005-0000-0000-00001C4C0000}"/>
    <cellStyle name="Normal 2 2 2 4 2 11 5 6" xfId="19485" xr:uid="{00000000-0005-0000-0000-00001D4C0000}"/>
    <cellStyle name="Normal 2 2 2 4 2 11 5 7" xfId="19486" xr:uid="{00000000-0005-0000-0000-00001E4C0000}"/>
    <cellStyle name="Normal 2 2 2 4 2 11 5 8" xfId="19487" xr:uid="{00000000-0005-0000-0000-00001F4C0000}"/>
    <cellStyle name="Normal 2 2 2 4 2 11 5 9" xfId="19488" xr:uid="{00000000-0005-0000-0000-0000204C0000}"/>
    <cellStyle name="Normal 2 2 2 4 2 11 6" xfId="19489" xr:uid="{00000000-0005-0000-0000-0000214C0000}"/>
    <cellStyle name="Normal 2 2 2 4 2 11 7" xfId="19490" xr:uid="{00000000-0005-0000-0000-0000224C0000}"/>
    <cellStyle name="Normal 2 2 2 4 2 11 8" xfId="19491" xr:uid="{00000000-0005-0000-0000-0000234C0000}"/>
    <cellStyle name="Normal 2 2 2 4 2 11 9" xfId="19492" xr:uid="{00000000-0005-0000-0000-0000244C0000}"/>
    <cellStyle name="Normal 2 2 2 4 2 12" xfId="19493" xr:uid="{00000000-0005-0000-0000-0000254C0000}"/>
    <cellStyle name="Normal 2 2 2 4 2 12 10" xfId="19494" xr:uid="{00000000-0005-0000-0000-0000264C0000}"/>
    <cellStyle name="Normal 2 2 2 4 2 12 11" xfId="19495" xr:uid="{00000000-0005-0000-0000-0000274C0000}"/>
    <cellStyle name="Normal 2 2 2 4 2 12 12" xfId="19496" xr:uid="{00000000-0005-0000-0000-0000284C0000}"/>
    <cellStyle name="Normal 2 2 2 4 2 12 13" xfId="19497" xr:uid="{00000000-0005-0000-0000-0000294C0000}"/>
    <cellStyle name="Normal 2 2 2 4 2 12 14" xfId="19498" xr:uid="{00000000-0005-0000-0000-00002A4C0000}"/>
    <cellStyle name="Normal 2 2 2 4 2 12 2" xfId="19499" xr:uid="{00000000-0005-0000-0000-00002B4C0000}"/>
    <cellStyle name="Normal 2 2 2 4 2 12 2 10" xfId="19500" xr:uid="{00000000-0005-0000-0000-00002C4C0000}"/>
    <cellStyle name="Normal 2 2 2 4 2 12 2 2" xfId="19501" xr:uid="{00000000-0005-0000-0000-00002D4C0000}"/>
    <cellStyle name="Normal 2 2 2 4 2 12 2 3" xfId="19502" xr:uid="{00000000-0005-0000-0000-00002E4C0000}"/>
    <cellStyle name="Normal 2 2 2 4 2 12 2 4" xfId="19503" xr:uid="{00000000-0005-0000-0000-00002F4C0000}"/>
    <cellStyle name="Normal 2 2 2 4 2 12 2 5" xfId="19504" xr:uid="{00000000-0005-0000-0000-0000304C0000}"/>
    <cellStyle name="Normal 2 2 2 4 2 12 2 6" xfId="19505" xr:uid="{00000000-0005-0000-0000-0000314C0000}"/>
    <cellStyle name="Normal 2 2 2 4 2 12 2 7" xfId="19506" xr:uid="{00000000-0005-0000-0000-0000324C0000}"/>
    <cellStyle name="Normal 2 2 2 4 2 12 2 8" xfId="19507" xr:uid="{00000000-0005-0000-0000-0000334C0000}"/>
    <cellStyle name="Normal 2 2 2 4 2 12 2 9" xfId="19508" xr:uid="{00000000-0005-0000-0000-0000344C0000}"/>
    <cellStyle name="Normal 2 2 2 4 2 12 3" xfId="19509" xr:uid="{00000000-0005-0000-0000-0000354C0000}"/>
    <cellStyle name="Normal 2 2 2 4 2 12 3 10" xfId="19510" xr:uid="{00000000-0005-0000-0000-0000364C0000}"/>
    <cellStyle name="Normal 2 2 2 4 2 12 3 2" xfId="19511" xr:uid="{00000000-0005-0000-0000-0000374C0000}"/>
    <cellStyle name="Normal 2 2 2 4 2 12 3 3" xfId="19512" xr:uid="{00000000-0005-0000-0000-0000384C0000}"/>
    <cellStyle name="Normal 2 2 2 4 2 12 3 4" xfId="19513" xr:uid="{00000000-0005-0000-0000-0000394C0000}"/>
    <cellStyle name="Normal 2 2 2 4 2 12 3 5" xfId="19514" xr:uid="{00000000-0005-0000-0000-00003A4C0000}"/>
    <cellStyle name="Normal 2 2 2 4 2 12 3 6" xfId="19515" xr:uid="{00000000-0005-0000-0000-00003B4C0000}"/>
    <cellStyle name="Normal 2 2 2 4 2 12 3 7" xfId="19516" xr:uid="{00000000-0005-0000-0000-00003C4C0000}"/>
    <cellStyle name="Normal 2 2 2 4 2 12 3 8" xfId="19517" xr:uid="{00000000-0005-0000-0000-00003D4C0000}"/>
    <cellStyle name="Normal 2 2 2 4 2 12 3 9" xfId="19518" xr:uid="{00000000-0005-0000-0000-00003E4C0000}"/>
    <cellStyle name="Normal 2 2 2 4 2 12 4" xfId="19519" xr:uid="{00000000-0005-0000-0000-00003F4C0000}"/>
    <cellStyle name="Normal 2 2 2 4 2 12 4 10" xfId="19520" xr:uid="{00000000-0005-0000-0000-0000404C0000}"/>
    <cellStyle name="Normal 2 2 2 4 2 12 4 2" xfId="19521" xr:uid="{00000000-0005-0000-0000-0000414C0000}"/>
    <cellStyle name="Normal 2 2 2 4 2 12 4 3" xfId="19522" xr:uid="{00000000-0005-0000-0000-0000424C0000}"/>
    <cellStyle name="Normal 2 2 2 4 2 12 4 4" xfId="19523" xr:uid="{00000000-0005-0000-0000-0000434C0000}"/>
    <cellStyle name="Normal 2 2 2 4 2 12 4 5" xfId="19524" xr:uid="{00000000-0005-0000-0000-0000444C0000}"/>
    <cellStyle name="Normal 2 2 2 4 2 12 4 6" xfId="19525" xr:uid="{00000000-0005-0000-0000-0000454C0000}"/>
    <cellStyle name="Normal 2 2 2 4 2 12 4 7" xfId="19526" xr:uid="{00000000-0005-0000-0000-0000464C0000}"/>
    <cellStyle name="Normal 2 2 2 4 2 12 4 8" xfId="19527" xr:uid="{00000000-0005-0000-0000-0000474C0000}"/>
    <cellStyle name="Normal 2 2 2 4 2 12 4 9" xfId="19528" xr:uid="{00000000-0005-0000-0000-0000484C0000}"/>
    <cellStyle name="Normal 2 2 2 4 2 12 5" xfId="19529" xr:uid="{00000000-0005-0000-0000-0000494C0000}"/>
    <cellStyle name="Normal 2 2 2 4 2 12 5 10" xfId="19530" xr:uid="{00000000-0005-0000-0000-00004A4C0000}"/>
    <cellStyle name="Normal 2 2 2 4 2 12 5 2" xfId="19531" xr:uid="{00000000-0005-0000-0000-00004B4C0000}"/>
    <cellStyle name="Normal 2 2 2 4 2 12 5 3" xfId="19532" xr:uid="{00000000-0005-0000-0000-00004C4C0000}"/>
    <cellStyle name="Normal 2 2 2 4 2 12 5 4" xfId="19533" xr:uid="{00000000-0005-0000-0000-00004D4C0000}"/>
    <cellStyle name="Normal 2 2 2 4 2 12 5 5" xfId="19534" xr:uid="{00000000-0005-0000-0000-00004E4C0000}"/>
    <cellStyle name="Normal 2 2 2 4 2 12 5 6" xfId="19535" xr:uid="{00000000-0005-0000-0000-00004F4C0000}"/>
    <cellStyle name="Normal 2 2 2 4 2 12 5 7" xfId="19536" xr:uid="{00000000-0005-0000-0000-0000504C0000}"/>
    <cellStyle name="Normal 2 2 2 4 2 12 5 8" xfId="19537" xr:uid="{00000000-0005-0000-0000-0000514C0000}"/>
    <cellStyle name="Normal 2 2 2 4 2 12 5 9" xfId="19538" xr:uid="{00000000-0005-0000-0000-0000524C0000}"/>
    <cellStyle name="Normal 2 2 2 4 2 12 6" xfId="19539" xr:uid="{00000000-0005-0000-0000-0000534C0000}"/>
    <cellStyle name="Normal 2 2 2 4 2 12 7" xfId="19540" xr:uid="{00000000-0005-0000-0000-0000544C0000}"/>
    <cellStyle name="Normal 2 2 2 4 2 12 8" xfId="19541" xr:uid="{00000000-0005-0000-0000-0000554C0000}"/>
    <cellStyle name="Normal 2 2 2 4 2 12 9" xfId="19542" xr:uid="{00000000-0005-0000-0000-0000564C0000}"/>
    <cellStyle name="Normal 2 2 2 4 2 13" xfId="19543" xr:uid="{00000000-0005-0000-0000-0000574C0000}"/>
    <cellStyle name="Normal 2 2 2 4 2 13 10" xfId="19544" xr:uid="{00000000-0005-0000-0000-0000584C0000}"/>
    <cellStyle name="Normal 2 2 2 4 2 13 11" xfId="19545" xr:uid="{00000000-0005-0000-0000-0000594C0000}"/>
    <cellStyle name="Normal 2 2 2 4 2 13 12" xfId="19546" xr:uid="{00000000-0005-0000-0000-00005A4C0000}"/>
    <cellStyle name="Normal 2 2 2 4 2 13 13" xfId="19547" xr:uid="{00000000-0005-0000-0000-00005B4C0000}"/>
    <cellStyle name="Normal 2 2 2 4 2 13 14" xfId="19548" xr:uid="{00000000-0005-0000-0000-00005C4C0000}"/>
    <cellStyle name="Normal 2 2 2 4 2 13 2" xfId="19549" xr:uid="{00000000-0005-0000-0000-00005D4C0000}"/>
    <cellStyle name="Normal 2 2 2 4 2 13 2 10" xfId="19550" xr:uid="{00000000-0005-0000-0000-00005E4C0000}"/>
    <cellStyle name="Normal 2 2 2 4 2 13 2 2" xfId="19551" xr:uid="{00000000-0005-0000-0000-00005F4C0000}"/>
    <cellStyle name="Normal 2 2 2 4 2 13 2 3" xfId="19552" xr:uid="{00000000-0005-0000-0000-0000604C0000}"/>
    <cellStyle name="Normal 2 2 2 4 2 13 2 4" xfId="19553" xr:uid="{00000000-0005-0000-0000-0000614C0000}"/>
    <cellStyle name="Normal 2 2 2 4 2 13 2 5" xfId="19554" xr:uid="{00000000-0005-0000-0000-0000624C0000}"/>
    <cellStyle name="Normal 2 2 2 4 2 13 2 6" xfId="19555" xr:uid="{00000000-0005-0000-0000-0000634C0000}"/>
    <cellStyle name="Normal 2 2 2 4 2 13 2 7" xfId="19556" xr:uid="{00000000-0005-0000-0000-0000644C0000}"/>
    <cellStyle name="Normal 2 2 2 4 2 13 2 8" xfId="19557" xr:uid="{00000000-0005-0000-0000-0000654C0000}"/>
    <cellStyle name="Normal 2 2 2 4 2 13 2 9" xfId="19558" xr:uid="{00000000-0005-0000-0000-0000664C0000}"/>
    <cellStyle name="Normal 2 2 2 4 2 13 3" xfId="19559" xr:uid="{00000000-0005-0000-0000-0000674C0000}"/>
    <cellStyle name="Normal 2 2 2 4 2 13 3 10" xfId="19560" xr:uid="{00000000-0005-0000-0000-0000684C0000}"/>
    <cellStyle name="Normal 2 2 2 4 2 13 3 2" xfId="19561" xr:uid="{00000000-0005-0000-0000-0000694C0000}"/>
    <cellStyle name="Normal 2 2 2 4 2 13 3 3" xfId="19562" xr:uid="{00000000-0005-0000-0000-00006A4C0000}"/>
    <cellStyle name="Normal 2 2 2 4 2 13 3 4" xfId="19563" xr:uid="{00000000-0005-0000-0000-00006B4C0000}"/>
    <cellStyle name="Normal 2 2 2 4 2 13 3 5" xfId="19564" xr:uid="{00000000-0005-0000-0000-00006C4C0000}"/>
    <cellStyle name="Normal 2 2 2 4 2 13 3 6" xfId="19565" xr:uid="{00000000-0005-0000-0000-00006D4C0000}"/>
    <cellStyle name="Normal 2 2 2 4 2 13 3 7" xfId="19566" xr:uid="{00000000-0005-0000-0000-00006E4C0000}"/>
    <cellStyle name="Normal 2 2 2 4 2 13 3 8" xfId="19567" xr:uid="{00000000-0005-0000-0000-00006F4C0000}"/>
    <cellStyle name="Normal 2 2 2 4 2 13 3 9" xfId="19568" xr:uid="{00000000-0005-0000-0000-0000704C0000}"/>
    <cellStyle name="Normal 2 2 2 4 2 13 4" xfId="19569" xr:uid="{00000000-0005-0000-0000-0000714C0000}"/>
    <cellStyle name="Normal 2 2 2 4 2 13 4 10" xfId="19570" xr:uid="{00000000-0005-0000-0000-0000724C0000}"/>
    <cellStyle name="Normal 2 2 2 4 2 13 4 2" xfId="19571" xr:uid="{00000000-0005-0000-0000-0000734C0000}"/>
    <cellStyle name="Normal 2 2 2 4 2 13 4 3" xfId="19572" xr:uid="{00000000-0005-0000-0000-0000744C0000}"/>
    <cellStyle name="Normal 2 2 2 4 2 13 4 4" xfId="19573" xr:uid="{00000000-0005-0000-0000-0000754C0000}"/>
    <cellStyle name="Normal 2 2 2 4 2 13 4 5" xfId="19574" xr:uid="{00000000-0005-0000-0000-0000764C0000}"/>
    <cellStyle name="Normal 2 2 2 4 2 13 4 6" xfId="19575" xr:uid="{00000000-0005-0000-0000-0000774C0000}"/>
    <cellStyle name="Normal 2 2 2 4 2 13 4 7" xfId="19576" xr:uid="{00000000-0005-0000-0000-0000784C0000}"/>
    <cellStyle name="Normal 2 2 2 4 2 13 4 8" xfId="19577" xr:uid="{00000000-0005-0000-0000-0000794C0000}"/>
    <cellStyle name="Normal 2 2 2 4 2 13 4 9" xfId="19578" xr:uid="{00000000-0005-0000-0000-00007A4C0000}"/>
    <cellStyle name="Normal 2 2 2 4 2 13 5" xfId="19579" xr:uid="{00000000-0005-0000-0000-00007B4C0000}"/>
    <cellStyle name="Normal 2 2 2 4 2 13 5 10" xfId="19580" xr:uid="{00000000-0005-0000-0000-00007C4C0000}"/>
    <cellStyle name="Normal 2 2 2 4 2 13 5 2" xfId="19581" xr:uid="{00000000-0005-0000-0000-00007D4C0000}"/>
    <cellStyle name="Normal 2 2 2 4 2 13 5 3" xfId="19582" xr:uid="{00000000-0005-0000-0000-00007E4C0000}"/>
    <cellStyle name="Normal 2 2 2 4 2 13 5 4" xfId="19583" xr:uid="{00000000-0005-0000-0000-00007F4C0000}"/>
    <cellStyle name="Normal 2 2 2 4 2 13 5 5" xfId="19584" xr:uid="{00000000-0005-0000-0000-0000804C0000}"/>
    <cellStyle name="Normal 2 2 2 4 2 13 5 6" xfId="19585" xr:uid="{00000000-0005-0000-0000-0000814C0000}"/>
    <cellStyle name="Normal 2 2 2 4 2 13 5 7" xfId="19586" xr:uid="{00000000-0005-0000-0000-0000824C0000}"/>
    <cellStyle name="Normal 2 2 2 4 2 13 5 8" xfId="19587" xr:uid="{00000000-0005-0000-0000-0000834C0000}"/>
    <cellStyle name="Normal 2 2 2 4 2 13 5 9" xfId="19588" xr:uid="{00000000-0005-0000-0000-0000844C0000}"/>
    <cellStyle name="Normal 2 2 2 4 2 13 6" xfId="19589" xr:uid="{00000000-0005-0000-0000-0000854C0000}"/>
    <cellStyle name="Normal 2 2 2 4 2 13 7" xfId="19590" xr:uid="{00000000-0005-0000-0000-0000864C0000}"/>
    <cellStyle name="Normal 2 2 2 4 2 13 8" xfId="19591" xr:uid="{00000000-0005-0000-0000-0000874C0000}"/>
    <cellStyle name="Normal 2 2 2 4 2 13 9" xfId="19592" xr:uid="{00000000-0005-0000-0000-0000884C0000}"/>
    <cellStyle name="Normal 2 2 2 4 2 14" xfId="19593" xr:uid="{00000000-0005-0000-0000-0000894C0000}"/>
    <cellStyle name="Normal 2 2 2 4 2 14 10" xfId="19594" xr:uid="{00000000-0005-0000-0000-00008A4C0000}"/>
    <cellStyle name="Normal 2 2 2 4 2 14 11" xfId="19595" xr:uid="{00000000-0005-0000-0000-00008B4C0000}"/>
    <cellStyle name="Normal 2 2 2 4 2 14 12" xfId="19596" xr:uid="{00000000-0005-0000-0000-00008C4C0000}"/>
    <cellStyle name="Normal 2 2 2 4 2 14 13" xfId="19597" xr:uid="{00000000-0005-0000-0000-00008D4C0000}"/>
    <cellStyle name="Normal 2 2 2 4 2 14 14" xfId="19598" xr:uid="{00000000-0005-0000-0000-00008E4C0000}"/>
    <cellStyle name="Normal 2 2 2 4 2 14 2" xfId="19599" xr:uid="{00000000-0005-0000-0000-00008F4C0000}"/>
    <cellStyle name="Normal 2 2 2 4 2 14 2 10" xfId="19600" xr:uid="{00000000-0005-0000-0000-0000904C0000}"/>
    <cellStyle name="Normal 2 2 2 4 2 14 2 2" xfId="19601" xr:uid="{00000000-0005-0000-0000-0000914C0000}"/>
    <cellStyle name="Normal 2 2 2 4 2 14 2 3" xfId="19602" xr:uid="{00000000-0005-0000-0000-0000924C0000}"/>
    <cellStyle name="Normal 2 2 2 4 2 14 2 4" xfId="19603" xr:uid="{00000000-0005-0000-0000-0000934C0000}"/>
    <cellStyle name="Normal 2 2 2 4 2 14 2 5" xfId="19604" xr:uid="{00000000-0005-0000-0000-0000944C0000}"/>
    <cellStyle name="Normal 2 2 2 4 2 14 2 6" xfId="19605" xr:uid="{00000000-0005-0000-0000-0000954C0000}"/>
    <cellStyle name="Normal 2 2 2 4 2 14 2 7" xfId="19606" xr:uid="{00000000-0005-0000-0000-0000964C0000}"/>
    <cellStyle name="Normal 2 2 2 4 2 14 2 8" xfId="19607" xr:uid="{00000000-0005-0000-0000-0000974C0000}"/>
    <cellStyle name="Normal 2 2 2 4 2 14 2 9" xfId="19608" xr:uid="{00000000-0005-0000-0000-0000984C0000}"/>
    <cellStyle name="Normal 2 2 2 4 2 14 3" xfId="19609" xr:uid="{00000000-0005-0000-0000-0000994C0000}"/>
    <cellStyle name="Normal 2 2 2 4 2 14 3 10" xfId="19610" xr:uid="{00000000-0005-0000-0000-00009A4C0000}"/>
    <cellStyle name="Normal 2 2 2 4 2 14 3 2" xfId="19611" xr:uid="{00000000-0005-0000-0000-00009B4C0000}"/>
    <cellStyle name="Normal 2 2 2 4 2 14 3 3" xfId="19612" xr:uid="{00000000-0005-0000-0000-00009C4C0000}"/>
    <cellStyle name="Normal 2 2 2 4 2 14 3 4" xfId="19613" xr:uid="{00000000-0005-0000-0000-00009D4C0000}"/>
    <cellStyle name="Normal 2 2 2 4 2 14 3 5" xfId="19614" xr:uid="{00000000-0005-0000-0000-00009E4C0000}"/>
    <cellStyle name="Normal 2 2 2 4 2 14 3 6" xfId="19615" xr:uid="{00000000-0005-0000-0000-00009F4C0000}"/>
    <cellStyle name="Normal 2 2 2 4 2 14 3 7" xfId="19616" xr:uid="{00000000-0005-0000-0000-0000A04C0000}"/>
    <cellStyle name="Normal 2 2 2 4 2 14 3 8" xfId="19617" xr:uid="{00000000-0005-0000-0000-0000A14C0000}"/>
    <cellStyle name="Normal 2 2 2 4 2 14 3 9" xfId="19618" xr:uid="{00000000-0005-0000-0000-0000A24C0000}"/>
    <cellStyle name="Normal 2 2 2 4 2 14 4" xfId="19619" xr:uid="{00000000-0005-0000-0000-0000A34C0000}"/>
    <cellStyle name="Normal 2 2 2 4 2 14 4 10" xfId="19620" xr:uid="{00000000-0005-0000-0000-0000A44C0000}"/>
    <cellStyle name="Normal 2 2 2 4 2 14 4 2" xfId="19621" xr:uid="{00000000-0005-0000-0000-0000A54C0000}"/>
    <cellStyle name="Normal 2 2 2 4 2 14 4 3" xfId="19622" xr:uid="{00000000-0005-0000-0000-0000A64C0000}"/>
    <cellStyle name="Normal 2 2 2 4 2 14 4 4" xfId="19623" xr:uid="{00000000-0005-0000-0000-0000A74C0000}"/>
    <cellStyle name="Normal 2 2 2 4 2 14 4 5" xfId="19624" xr:uid="{00000000-0005-0000-0000-0000A84C0000}"/>
    <cellStyle name="Normal 2 2 2 4 2 14 4 6" xfId="19625" xr:uid="{00000000-0005-0000-0000-0000A94C0000}"/>
    <cellStyle name="Normal 2 2 2 4 2 14 4 7" xfId="19626" xr:uid="{00000000-0005-0000-0000-0000AA4C0000}"/>
    <cellStyle name="Normal 2 2 2 4 2 14 4 8" xfId="19627" xr:uid="{00000000-0005-0000-0000-0000AB4C0000}"/>
    <cellStyle name="Normal 2 2 2 4 2 14 4 9" xfId="19628" xr:uid="{00000000-0005-0000-0000-0000AC4C0000}"/>
    <cellStyle name="Normal 2 2 2 4 2 14 5" xfId="19629" xr:uid="{00000000-0005-0000-0000-0000AD4C0000}"/>
    <cellStyle name="Normal 2 2 2 4 2 14 5 10" xfId="19630" xr:uid="{00000000-0005-0000-0000-0000AE4C0000}"/>
    <cellStyle name="Normal 2 2 2 4 2 14 5 2" xfId="19631" xr:uid="{00000000-0005-0000-0000-0000AF4C0000}"/>
    <cellStyle name="Normal 2 2 2 4 2 14 5 3" xfId="19632" xr:uid="{00000000-0005-0000-0000-0000B04C0000}"/>
    <cellStyle name="Normal 2 2 2 4 2 14 5 4" xfId="19633" xr:uid="{00000000-0005-0000-0000-0000B14C0000}"/>
    <cellStyle name="Normal 2 2 2 4 2 14 5 5" xfId="19634" xr:uid="{00000000-0005-0000-0000-0000B24C0000}"/>
    <cellStyle name="Normal 2 2 2 4 2 14 5 6" xfId="19635" xr:uid="{00000000-0005-0000-0000-0000B34C0000}"/>
    <cellStyle name="Normal 2 2 2 4 2 14 5 7" xfId="19636" xr:uid="{00000000-0005-0000-0000-0000B44C0000}"/>
    <cellStyle name="Normal 2 2 2 4 2 14 5 8" xfId="19637" xr:uid="{00000000-0005-0000-0000-0000B54C0000}"/>
    <cellStyle name="Normal 2 2 2 4 2 14 5 9" xfId="19638" xr:uid="{00000000-0005-0000-0000-0000B64C0000}"/>
    <cellStyle name="Normal 2 2 2 4 2 14 6" xfId="19639" xr:uid="{00000000-0005-0000-0000-0000B74C0000}"/>
    <cellStyle name="Normal 2 2 2 4 2 14 7" xfId="19640" xr:uid="{00000000-0005-0000-0000-0000B84C0000}"/>
    <cellStyle name="Normal 2 2 2 4 2 14 8" xfId="19641" xr:uid="{00000000-0005-0000-0000-0000B94C0000}"/>
    <cellStyle name="Normal 2 2 2 4 2 14 9" xfId="19642" xr:uid="{00000000-0005-0000-0000-0000BA4C0000}"/>
    <cellStyle name="Normal 2 2 2 4 2 15" xfId="19643" xr:uid="{00000000-0005-0000-0000-0000BB4C0000}"/>
    <cellStyle name="Normal 2 2 2 4 2 15 10" xfId="19644" xr:uid="{00000000-0005-0000-0000-0000BC4C0000}"/>
    <cellStyle name="Normal 2 2 2 4 2 15 11" xfId="19645" xr:uid="{00000000-0005-0000-0000-0000BD4C0000}"/>
    <cellStyle name="Normal 2 2 2 4 2 15 12" xfId="19646" xr:uid="{00000000-0005-0000-0000-0000BE4C0000}"/>
    <cellStyle name="Normal 2 2 2 4 2 15 13" xfId="19647" xr:uid="{00000000-0005-0000-0000-0000BF4C0000}"/>
    <cellStyle name="Normal 2 2 2 4 2 15 14" xfId="19648" xr:uid="{00000000-0005-0000-0000-0000C04C0000}"/>
    <cellStyle name="Normal 2 2 2 4 2 15 2" xfId="19649" xr:uid="{00000000-0005-0000-0000-0000C14C0000}"/>
    <cellStyle name="Normal 2 2 2 4 2 15 2 10" xfId="19650" xr:uid="{00000000-0005-0000-0000-0000C24C0000}"/>
    <cellStyle name="Normal 2 2 2 4 2 15 2 2" xfId="19651" xr:uid="{00000000-0005-0000-0000-0000C34C0000}"/>
    <cellStyle name="Normal 2 2 2 4 2 15 2 3" xfId="19652" xr:uid="{00000000-0005-0000-0000-0000C44C0000}"/>
    <cellStyle name="Normal 2 2 2 4 2 15 2 4" xfId="19653" xr:uid="{00000000-0005-0000-0000-0000C54C0000}"/>
    <cellStyle name="Normal 2 2 2 4 2 15 2 5" xfId="19654" xr:uid="{00000000-0005-0000-0000-0000C64C0000}"/>
    <cellStyle name="Normal 2 2 2 4 2 15 2 6" xfId="19655" xr:uid="{00000000-0005-0000-0000-0000C74C0000}"/>
    <cellStyle name="Normal 2 2 2 4 2 15 2 7" xfId="19656" xr:uid="{00000000-0005-0000-0000-0000C84C0000}"/>
    <cellStyle name="Normal 2 2 2 4 2 15 2 8" xfId="19657" xr:uid="{00000000-0005-0000-0000-0000C94C0000}"/>
    <cellStyle name="Normal 2 2 2 4 2 15 2 9" xfId="19658" xr:uid="{00000000-0005-0000-0000-0000CA4C0000}"/>
    <cellStyle name="Normal 2 2 2 4 2 15 3" xfId="19659" xr:uid="{00000000-0005-0000-0000-0000CB4C0000}"/>
    <cellStyle name="Normal 2 2 2 4 2 15 3 10" xfId="19660" xr:uid="{00000000-0005-0000-0000-0000CC4C0000}"/>
    <cellStyle name="Normal 2 2 2 4 2 15 3 2" xfId="19661" xr:uid="{00000000-0005-0000-0000-0000CD4C0000}"/>
    <cellStyle name="Normal 2 2 2 4 2 15 3 3" xfId="19662" xr:uid="{00000000-0005-0000-0000-0000CE4C0000}"/>
    <cellStyle name="Normal 2 2 2 4 2 15 3 4" xfId="19663" xr:uid="{00000000-0005-0000-0000-0000CF4C0000}"/>
    <cellStyle name="Normal 2 2 2 4 2 15 3 5" xfId="19664" xr:uid="{00000000-0005-0000-0000-0000D04C0000}"/>
    <cellStyle name="Normal 2 2 2 4 2 15 3 6" xfId="19665" xr:uid="{00000000-0005-0000-0000-0000D14C0000}"/>
    <cellStyle name="Normal 2 2 2 4 2 15 3 7" xfId="19666" xr:uid="{00000000-0005-0000-0000-0000D24C0000}"/>
    <cellStyle name="Normal 2 2 2 4 2 15 3 8" xfId="19667" xr:uid="{00000000-0005-0000-0000-0000D34C0000}"/>
    <cellStyle name="Normal 2 2 2 4 2 15 3 9" xfId="19668" xr:uid="{00000000-0005-0000-0000-0000D44C0000}"/>
    <cellStyle name="Normal 2 2 2 4 2 15 4" xfId="19669" xr:uid="{00000000-0005-0000-0000-0000D54C0000}"/>
    <cellStyle name="Normal 2 2 2 4 2 15 4 10" xfId="19670" xr:uid="{00000000-0005-0000-0000-0000D64C0000}"/>
    <cellStyle name="Normal 2 2 2 4 2 15 4 2" xfId="19671" xr:uid="{00000000-0005-0000-0000-0000D74C0000}"/>
    <cellStyle name="Normal 2 2 2 4 2 15 4 3" xfId="19672" xr:uid="{00000000-0005-0000-0000-0000D84C0000}"/>
    <cellStyle name="Normal 2 2 2 4 2 15 4 4" xfId="19673" xr:uid="{00000000-0005-0000-0000-0000D94C0000}"/>
    <cellStyle name="Normal 2 2 2 4 2 15 4 5" xfId="19674" xr:uid="{00000000-0005-0000-0000-0000DA4C0000}"/>
    <cellStyle name="Normal 2 2 2 4 2 15 4 6" xfId="19675" xr:uid="{00000000-0005-0000-0000-0000DB4C0000}"/>
    <cellStyle name="Normal 2 2 2 4 2 15 4 7" xfId="19676" xr:uid="{00000000-0005-0000-0000-0000DC4C0000}"/>
    <cellStyle name="Normal 2 2 2 4 2 15 4 8" xfId="19677" xr:uid="{00000000-0005-0000-0000-0000DD4C0000}"/>
    <cellStyle name="Normal 2 2 2 4 2 15 4 9" xfId="19678" xr:uid="{00000000-0005-0000-0000-0000DE4C0000}"/>
    <cellStyle name="Normal 2 2 2 4 2 15 5" xfId="19679" xr:uid="{00000000-0005-0000-0000-0000DF4C0000}"/>
    <cellStyle name="Normal 2 2 2 4 2 15 5 10" xfId="19680" xr:uid="{00000000-0005-0000-0000-0000E04C0000}"/>
    <cellStyle name="Normal 2 2 2 4 2 15 5 2" xfId="19681" xr:uid="{00000000-0005-0000-0000-0000E14C0000}"/>
    <cellStyle name="Normal 2 2 2 4 2 15 5 3" xfId="19682" xr:uid="{00000000-0005-0000-0000-0000E24C0000}"/>
    <cellStyle name="Normal 2 2 2 4 2 15 5 4" xfId="19683" xr:uid="{00000000-0005-0000-0000-0000E34C0000}"/>
    <cellStyle name="Normal 2 2 2 4 2 15 5 5" xfId="19684" xr:uid="{00000000-0005-0000-0000-0000E44C0000}"/>
    <cellStyle name="Normal 2 2 2 4 2 15 5 6" xfId="19685" xr:uid="{00000000-0005-0000-0000-0000E54C0000}"/>
    <cellStyle name="Normal 2 2 2 4 2 15 5 7" xfId="19686" xr:uid="{00000000-0005-0000-0000-0000E64C0000}"/>
    <cellStyle name="Normal 2 2 2 4 2 15 5 8" xfId="19687" xr:uid="{00000000-0005-0000-0000-0000E74C0000}"/>
    <cellStyle name="Normal 2 2 2 4 2 15 5 9" xfId="19688" xr:uid="{00000000-0005-0000-0000-0000E84C0000}"/>
    <cellStyle name="Normal 2 2 2 4 2 15 6" xfId="19689" xr:uid="{00000000-0005-0000-0000-0000E94C0000}"/>
    <cellStyle name="Normal 2 2 2 4 2 15 7" xfId="19690" xr:uid="{00000000-0005-0000-0000-0000EA4C0000}"/>
    <cellStyle name="Normal 2 2 2 4 2 15 8" xfId="19691" xr:uid="{00000000-0005-0000-0000-0000EB4C0000}"/>
    <cellStyle name="Normal 2 2 2 4 2 15 9" xfId="19692" xr:uid="{00000000-0005-0000-0000-0000EC4C0000}"/>
    <cellStyle name="Normal 2 2 2 4 2 16" xfId="19693" xr:uid="{00000000-0005-0000-0000-0000ED4C0000}"/>
    <cellStyle name="Normal 2 2 2 4 2 16 10" xfId="19694" xr:uid="{00000000-0005-0000-0000-0000EE4C0000}"/>
    <cellStyle name="Normal 2 2 2 4 2 16 11" xfId="19695" xr:uid="{00000000-0005-0000-0000-0000EF4C0000}"/>
    <cellStyle name="Normal 2 2 2 4 2 16 12" xfId="19696" xr:uid="{00000000-0005-0000-0000-0000F04C0000}"/>
    <cellStyle name="Normal 2 2 2 4 2 16 13" xfId="19697" xr:uid="{00000000-0005-0000-0000-0000F14C0000}"/>
    <cellStyle name="Normal 2 2 2 4 2 16 14" xfId="19698" xr:uid="{00000000-0005-0000-0000-0000F24C0000}"/>
    <cellStyle name="Normal 2 2 2 4 2 16 2" xfId="19699" xr:uid="{00000000-0005-0000-0000-0000F34C0000}"/>
    <cellStyle name="Normal 2 2 2 4 2 16 2 10" xfId="19700" xr:uid="{00000000-0005-0000-0000-0000F44C0000}"/>
    <cellStyle name="Normal 2 2 2 4 2 16 2 2" xfId="19701" xr:uid="{00000000-0005-0000-0000-0000F54C0000}"/>
    <cellStyle name="Normal 2 2 2 4 2 16 2 3" xfId="19702" xr:uid="{00000000-0005-0000-0000-0000F64C0000}"/>
    <cellStyle name="Normal 2 2 2 4 2 16 2 4" xfId="19703" xr:uid="{00000000-0005-0000-0000-0000F74C0000}"/>
    <cellStyle name="Normal 2 2 2 4 2 16 2 5" xfId="19704" xr:uid="{00000000-0005-0000-0000-0000F84C0000}"/>
    <cellStyle name="Normal 2 2 2 4 2 16 2 6" xfId="19705" xr:uid="{00000000-0005-0000-0000-0000F94C0000}"/>
    <cellStyle name="Normal 2 2 2 4 2 16 2 7" xfId="19706" xr:uid="{00000000-0005-0000-0000-0000FA4C0000}"/>
    <cellStyle name="Normal 2 2 2 4 2 16 2 8" xfId="19707" xr:uid="{00000000-0005-0000-0000-0000FB4C0000}"/>
    <cellStyle name="Normal 2 2 2 4 2 16 2 9" xfId="19708" xr:uid="{00000000-0005-0000-0000-0000FC4C0000}"/>
    <cellStyle name="Normal 2 2 2 4 2 16 3" xfId="19709" xr:uid="{00000000-0005-0000-0000-0000FD4C0000}"/>
    <cellStyle name="Normal 2 2 2 4 2 16 3 10" xfId="19710" xr:uid="{00000000-0005-0000-0000-0000FE4C0000}"/>
    <cellStyle name="Normal 2 2 2 4 2 16 3 2" xfId="19711" xr:uid="{00000000-0005-0000-0000-0000FF4C0000}"/>
    <cellStyle name="Normal 2 2 2 4 2 16 3 3" xfId="19712" xr:uid="{00000000-0005-0000-0000-0000004D0000}"/>
    <cellStyle name="Normal 2 2 2 4 2 16 3 4" xfId="19713" xr:uid="{00000000-0005-0000-0000-0000014D0000}"/>
    <cellStyle name="Normal 2 2 2 4 2 16 3 5" xfId="19714" xr:uid="{00000000-0005-0000-0000-0000024D0000}"/>
    <cellStyle name="Normal 2 2 2 4 2 16 3 6" xfId="19715" xr:uid="{00000000-0005-0000-0000-0000034D0000}"/>
    <cellStyle name="Normal 2 2 2 4 2 16 3 7" xfId="19716" xr:uid="{00000000-0005-0000-0000-0000044D0000}"/>
    <cellStyle name="Normal 2 2 2 4 2 16 3 8" xfId="19717" xr:uid="{00000000-0005-0000-0000-0000054D0000}"/>
    <cellStyle name="Normal 2 2 2 4 2 16 3 9" xfId="19718" xr:uid="{00000000-0005-0000-0000-0000064D0000}"/>
    <cellStyle name="Normal 2 2 2 4 2 16 4" xfId="19719" xr:uid="{00000000-0005-0000-0000-0000074D0000}"/>
    <cellStyle name="Normal 2 2 2 4 2 16 4 10" xfId="19720" xr:uid="{00000000-0005-0000-0000-0000084D0000}"/>
    <cellStyle name="Normal 2 2 2 4 2 16 4 2" xfId="19721" xr:uid="{00000000-0005-0000-0000-0000094D0000}"/>
    <cellStyle name="Normal 2 2 2 4 2 16 4 3" xfId="19722" xr:uid="{00000000-0005-0000-0000-00000A4D0000}"/>
    <cellStyle name="Normal 2 2 2 4 2 16 4 4" xfId="19723" xr:uid="{00000000-0005-0000-0000-00000B4D0000}"/>
    <cellStyle name="Normal 2 2 2 4 2 16 4 5" xfId="19724" xr:uid="{00000000-0005-0000-0000-00000C4D0000}"/>
    <cellStyle name="Normal 2 2 2 4 2 16 4 6" xfId="19725" xr:uid="{00000000-0005-0000-0000-00000D4D0000}"/>
    <cellStyle name="Normal 2 2 2 4 2 16 4 7" xfId="19726" xr:uid="{00000000-0005-0000-0000-00000E4D0000}"/>
    <cellStyle name="Normal 2 2 2 4 2 16 4 8" xfId="19727" xr:uid="{00000000-0005-0000-0000-00000F4D0000}"/>
    <cellStyle name="Normal 2 2 2 4 2 16 4 9" xfId="19728" xr:uid="{00000000-0005-0000-0000-0000104D0000}"/>
    <cellStyle name="Normal 2 2 2 4 2 16 5" xfId="19729" xr:uid="{00000000-0005-0000-0000-0000114D0000}"/>
    <cellStyle name="Normal 2 2 2 4 2 16 5 10" xfId="19730" xr:uid="{00000000-0005-0000-0000-0000124D0000}"/>
    <cellStyle name="Normal 2 2 2 4 2 16 5 2" xfId="19731" xr:uid="{00000000-0005-0000-0000-0000134D0000}"/>
    <cellStyle name="Normal 2 2 2 4 2 16 5 3" xfId="19732" xr:uid="{00000000-0005-0000-0000-0000144D0000}"/>
    <cellStyle name="Normal 2 2 2 4 2 16 5 4" xfId="19733" xr:uid="{00000000-0005-0000-0000-0000154D0000}"/>
    <cellStyle name="Normal 2 2 2 4 2 16 5 5" xfId="19734" xr:uid="{00000000-0005-0000-0000-0000164D0000}"/>
    <cellStyle name="Normal 2 2 2 4 2 16 5 6" xfId="19735" xr:uid="{00000000-0005-0000-0000-0000174D0000}"/>
    <cellStyle name="Normal 2 2 2 4 2 16 5 7" xfId="19736" xr:uid="{00000000-0005-0000-0000-0000184D0000}"/>
    <cellStyle name="Normal 2 2 2 4 2 16 5 8" xfId="19737" xr:uid="{00000000-0005-0000-0000-0000194D0000}"/>
    <cellStyle name="Normal 2 2 2 4 2 16 5 9" xfId="19738" xr:uid="{00000000-0005-0000-0000-00001A4D0000}"/>
    <cellStyle name="Normal 2 2 2 4 2 16 6" xfId="19739" xr:uid="{00000000-0005-0000-0000-00001B4D0000}"/>
    <cellStyle name="Normal 2 2 2 4 2 16 7" xfId="19740" xr:uid="{00000000-0005-0000-0000-00001C4D0000}"/>
    <cellStyle name="Normal 2 2 2 4 2 16 8" xfId="19741" xr:uid="{00000000-0005-0000-0000-00001D4D0000}"/>
    <cellStyle name="Normal 2 2 2 4 2 16 9" xfId="19742" xr:uid="{00000000-0005-0000-0000-00001E4D0000}"/>
    <cellStyle name="Normal 2 2 2 4 2 17" xfId="19743" xr:uid="{00000000-0005-0000-0000-00001F4D0000}"/>
    <cellStyle name="Normal 2 2 2 4 2 17 10" xfId="19744" xr:uid="{00000000-0005-0000-0000-0000204D0000}"/>
    <cellStyle name="Normal 2 2 2 4 2 17 11" xfId="19745" xr:uid="{00000000-0005-0000-0000-0000214D0000}"/>
    <cellStyle name="Normal 2 2 2 4 2 17 12" xfId="19746" xr:uid="{00000000-0005-0000-0000-0000224D0000}"/>
    <cellStyle name="Normal 2 2 2 4 2 17 13" xfId="19747" xr:uid="{00000000-0005-0000-0000-0000234D0000}"/>
    <cellStyle name="Normal 2 2 2 4 2 17 14" xfId="19748" xr:uid="{00000000-0005-0000-0000-0000244D0000}"/>
    <cellStyle name="Normal 2 2 2 4 2 17 2" xfId="19749" xr:uid="{00000000-0005-0000-0000-0000254D0000}"/>
    <cellStyle name="Normal 2 2 2 4 2 17 2 10" xfId="19750" xr:uid="{00000000-0005-0000-0000-0000264D0000}"/>
    <cellStyle name="Normal 2 2 2 4 2 17 2 2" xfId="19751" xr:uid="{00000000-0005-0000-0000-0000274D0000}"/>
    <cellStyle name="Normal 2 2 2 4 2 17 2 3" xfId="19752" xr:uid="{00000000-0005-0000-0000-0000284D0000}"/>
    <cellStyle name="Normal 2 2 2 4 2 17 2 4" xfId="19753" xr:uid="{00000000-0005-0000-0000-0000294D0000}"/>
    <cellStyle name="Normal 2 2 2 4 2 17 2 5" xfId="19754" xr:uid="{00000000-0005-0000-0000-00002A4D0000}"/>
    <cellStyle name="Normal 2 2 2 4 2 17 2 6" xfId="19755" xr:uid="{00000000-0005-0000-0000-00002B4D0000}"/>
    <cellStyle name="Normal 2 2 2 4 2 17 2 7" xfId="19756" xr:uid="{00000000-0005-0000-0000-00002C4D0000}"/>
    <cellStyle name="Normal 2 2 2 4 2 17 2 8" xfId="19757" xr:uid="{00000000-0005-0000-0000-00002D4D0000}"/>
    <cellStyle name="Normal 2 2 2 4 2 17 2 9" xfId="19758" xr:uid="{00000000-0005-0000-0000-00002E4D0000}"/>
    <cellStyle name="Normal 2 2 2 4 2 17 3" xfId="19759" xr:uid="{00000000-0005-0000-0000-00002F4D0000}"/>
    <cellStyle name="Normal 2 2 2 4 2 17 3 10" xfId="19760" xr:uid="{00000000-0005-0000-0000-0000304D0000}"/>
    <cellStyle name="Normal 2 2 2 4 2 17 3 2" xfId="19761" xr:uid="{00000000-0005-0000-0000-0000314D0000}"/>
    <cellStyle name="Normal 2 2 2 4 2 17 3 3" xfId="19762" xr:uid="{00000000-0005-0000-0000-0000324D0000}"/>
    <cellStyle name="Normal 2 2 2 4 2 17 3 4" xfId="19763" xr:uid="{00000000-0005-0000-0000-0000334D0000}"/>
    <cellStyle name="Normal 2 2 2 4 2 17 3 5" xfId="19764" xr:uid="{00000000-0005-0000-0000-0000344D0000}"/>
    <cellStyle name="Normal 2 2 2 4 2 17 3 6" xfId="19765" xr:uid="{00000000-0005-0000-0000-0000354D0000}"/>
    <cellStyle name="Normal 2 2 2 4 2 17 3 7" xfId="19766" xr:uid="{00000000-0005-0000-0000-0000364D0000}"/>
    <cellStyle name="Normal 2 2 2 4 2 17 3 8" xfId="19767" xr:uid="{00000000-0005-0000-0000-0000374D0000}"/>
    <cellStyle name="Normal 2 2 2 4 2 17 3 9" xfId="19768" xr:uid="{00000000-0005-0000-0000-0000384D0000}"/>
    <cellStyle name="Normal 2 2 2 4 2 17 4" xfId="19769" xr:uid="{00000000-0005-0000-0000-0000394D0000}"/>
    <cellStyle name="Normal 2 2 2 4 2 17 4 10" xfId="19770" xr:uid="{00000000-0005-0000-0000-00003A4D0000}"/>
    <cellStyle name="Normal 2 2 2 4 2 17 4 2" xfId="19771" xr:uid="{00000000-0005-0000-0000-00003B4D0000}"/>
    <cellStyle name="Normal 2 2 2 4 2 17 4 3" xfId="19772" xr:uid="{00000000-0005-0000-0000-00003C4D0000}"/>
    <cellStyle name="Normal 2 2 2 4 2 17 4 4" xfId="19773" xr:uid="{00000000-0005-0000-0000-00003D4D0000}"/>
    <cellStyle name="Normal 2 2 2 4 2 17 4 5" xfId="19774" xr:uid="{00000000-0005-0000-0000-00003E4D0000}"/>
    <cellStyle name="Normal 2 2 2 4 2 17 4 6" xfId="19775" xr:uid="{00000000-0005-0000-0000-00003F4D0000}"/>
    <cellStyle name="Normal 2 2 2 4 2 17 4 7" xfId="19776" xr:uid="{00000000-0005-0000-0000-0000404D0000}"/>
    <cellStyle name="Normal 2 2 2 4 2 17 4 8" xfId="19777" xr:uid="{00000000-0005-0000-0000-0000414D0000}"/>
    <cellStyle name="Normal 2 2 2 4 2 17 4 9" xfId="19778" xr:uid="{00000000-0005-0000-0000-0000424D0000}"/>
    <cellStyle name="Normal 2 2 2 4 2 17 5" xfId="19779" xr:uid="{00000000-0005-0000-0000-0000434D0000}"/>
    <cellStyle name="Normal 2 2 2 4 2 17 5 10" xfId="19780" xr:uid="{00000000-0005-0000-0000-0000444D0000}"/>
    <cellStyle name="Normal 2 2 2 4 2 17 5 2" xfId="19781" xr:uid="{00000000-0005-0000-0000-0000454D0000}"/>
    <cellStyle name="Normal 2 2 2 4 2 17 5 3" xfId="19782" xr:uid="{00000000-0005-0000-0000-0000464D0000}"/>
    <cellStyle name="Normal 2 2 2 4 2 17 5 4" xfId="19783" xr:uid="{00000000-0005-0000-0000-0000474D0000}"/>
    <cellStyle name="Normal 2 2 2 4 2 17 5 5" xfId="19784" xr:uid="{00000000-0005-0000-0000-0000484D0000}"/>
    <cellStyle name="Normal 2 2 2 4 2 17 5 6" xfId="19785" xr:uid="{00000000-0005-0000-0000-0000494D0000}"/>
    <cellStyle name="Normal 2 2 2 4 2 17 5 7" xfId="19786" xr:uid="{00000000-0005-0000-0000-00004A4D0000}"/>
    <cellStyle name="Normal 2 2 2 4 2 17 5 8" xfId="19787" xr:uid="{00000000-0005-0000-0000-00004B4D0000}"/>
    <cellStyle name="Normal 2 2 2 4 2 17 5 9" xfId="19788" xr:uid="{00000000-0005-0000-0000-00004C4D0000}"/>
    <cellStyle name="Normal 2 2 2 4 2 17 6" xfId="19789" xr:uid="{00000000-0005-0000-0000-00004D4D0000}"/>
    <cellStyle name="Normal 2 2 2 4 2 17 7" xfId="19790" xr:uid="{00000000-0005-0000-0000-00004E4D0000}"/>
    <cellStyle name="Normal 2 2 2 4 2 17 8" xfId="19791" xr:uid="{00000000-0005-0000-0000-00004F4D0000}"/>
    <cellStyle name="Normal 2 2 2 4 2 17 9" xfId="19792" xr:uid="{00000000-0005-0000-0000-0000504D0000}"/>
    <cellStyle name="Normal 2 2 2 4 2 18" xfId="19793" xr:uid="{00000000-0005-0000-0000-0000514D0000}"/>
    <cellStyle name="Normal 2 2 2 4 2 18 10" xfId="19794" xr:uid="{00000000-0005-0000-0000-0000524D0000}"/>
    <cellStyle name="Normal 2 2 2 4 2 18 11" xfId="19795" xr:uid="{00000000-0005-0000-0000-0000534D0000}"/>
    <cellStyle name="Normal 2 2 2 4 2 18 12" xfId="19796" xr:uid="{00000000-0005-0000-0000-0000544D0000}"/>
    <cellStyle name="Normal 2 2 2 4 2 18 13" xfId="19797" xr:uid="{00000000-0005-0000-0000-0000554D0000}"/>
    <cellStyle name="Normal 2 2 2 4 2 18 14" xfId="19798" xr:uid="{00000000-0005-0000-0000-0000564D0000}"/>
    <cellStyle name="Normal 2 2 2 4 2 18 2" xfId="19799" xr:uid="{00000000-0005-0000-0000-0000574D0000}"/>
    <cellStyle name="Normal 2 2 2 4 2 18 2 10" xfId="19800" xr:uid="{00000000-0005-0000-0000-0000584D0000}"/>
    <cellStyle name="Normal 2 2 2 4 2 18 2 2" xfId="19801" xr:uid="{00000000-0005-0000-0000-0000594D0000}"/>
    <cellStyle name="Normal 2 2 2 4 2 18 2 3" xfId="19802" xr:uid="{00000000-0005-0000-0000-00005A4D0000}"/>
    <cellStyle name="Normal 2 2 2 4 2 18 2 4" xfId="19803" xr:uid="{00000000-0005-0000-0000-00005B4D0000}"/>
    <cellStyle name="Normal 2 2 2 4 2 18 2 5" xfId="19804" xr:uid="{00000000-0005-0000-0000-00005C4D0000}"/>
    <cellStyle name="Normal 2 2 2 4 2 18 2 6" xfId="19805" xr:uid="{00000000-0005-0000-0000-00005D4D0000}"/>
    <cellStyle name="Normal 2 2 2 4 2 18 2 7" xfId="19806" xr:uid="{00000000-0005-0000-0000-00005E4D0000}"/>
    <cellStyle name="Normal 2 2 2 4 2 18 2 8" xfId="19807" xr:uid="{00000000-0005-0000-0000-00005F4D0000}"/>
    <cellStyle name="Normal 2 2 2 4 2 18 2 9" xfId="19808" xr:uid="{00000000-0005-0000-0000-0000604D0000}"/>
    <cellStyle name="Normal 2 2 2 4 2 18 3" xfId="19809" xr:uid="{00000000-0005-0000-0000-0000614D0000}"/>
    <cellStyle name="Normal 2 2 2 4 2 18 3 10" xfId="19810" xr:uid="{00000000-0005-0000-0000-0000624D0000}"/>
    <cellStyle name="Normal 2 2 2 4 2 18 3 2" xfId="19811" xr:uid="{00000000-0005-0000-0000-0000634D0000}"/>
    <cellStyle name="Normal 2 2 2 4 2 18 3 3" xfId="19812" xr:uid="{00000000-0005-0000-0000-0000644D0000}"/>
    <cellStyle name="Normal 2 2 2 4 2 18 3 4" xfId="19813" xr:uid="{00000000-0005-0000-0000-0000654D0000}"/>
    <cellStyle name="Normal 2 2 2 4 2 18 3 5" xfId="19814" xr:uid="{00000000-0005-0000-0000-0000664D0000}"/>
    <cellStyle name="Normal 2 2 2 4 2 18 3 6" xfId="19815" xr:uid="{00000000-0005-0000-0000-0000674D0000}"/>
    <cellStyle name="Normal 2 2 2 4 2 18 3 7" xfId="19816" xr:uid="{00000000-0005-0000-0000-0000684D0000}"/>
    <cellStyle name="Normal 2 2 2 4 2 18 3 8" xfId="19817" xr:uid="{00000000-0005-0000-0000-0000694D0000}"/>
    <cellStyle name="Normal 2 2 2 4 2 18 3 9" xfId="19818" xr:uid="{00000000-0005-0000-0000-00006A4D0000}"/>
    <cellStyle name="Normal 2 2 2 4 2 18 4" xfId="19819" xr:uid="{00000000-0005-0000-0000-00006B4D0000}"/>
    <cellStyle name="Normal 2 2 2 4 2 18 4 10" xfId="19820" xr:uid="{00000000-0005-0000-0000-00006C4D0000}"/>
    <cellStyle name="Normal 2 2 2 4 2 18 4 2" xfId="19821" xr:uid="{00000000-0005-0000-0000-00006D4D0000}"/>
    <cellStyle name="Normal 2 2 2 4 2 18 4 3" xfId="19822" xr:uid="{00000000-0005-0000-0000-00006E4D0000}"/>
    <cellStyle name="Normal 2 2 2 4 2 18 4 4" xfId="19823" xr:uid="{00000000-0005-0000-0000-00006F4D0000}"/>
    <cellStyle name="Normal 2 2 2 4 2 18 4 5" xfId="19824" xr:uid="{00000000-0005-0000-0000-0000704D0000}"/>
    <cellStyle name="Normal 2 2 2 4 2 18 4 6" xfId="19825" xr:uid="{00000000-0005-0000-0000-0000714D0000}"/>
    <cellStyle name="Normal 2 2 2 4 2 18 4 7" xfId="19826" xr:uid="{00000000-0005-0000-0000-0000724D0000}"/>
    <cellStyle name="Normal 2 2 2 4 2 18 4 8" xfId="19827" xr:uid="{00000000-0005-0000-0000-0000734D0000}"/>
    <cellStyle name="Normal 2 2 2 4 2 18 4 9" xfId="19828" xr:uid="{00000000-0005-0000-0000-0000744D0000}"/>
    <cellStyle name="Normal 2 2 2 4 2 18 5" xfId="19829" xr:uid="{00000000-0005-0000-0000-0000754D0000}"/>
    <cellStyle name="Normal 2 2 2 4 2 18 5 10" xfId="19830" xr:uid="{00000000-0005-0000-0000-0000764D0000}"/>
    <cellStyle name="Normal 2 2 2 4 2 18 5 2" xfId="19831" xr:uid="{00000000-0005-0000-0000-0000774D0000}"/>
    <cellStyle name="Normal 2 2 2 4 2 18 5 3" xfId="19832" xr:uid="{00000000-0005-0000-0000-0000784D0000}"/>
    <cellStyle name="Normal 2 2 2 4 2 18 5 4" xfId="19833" xr:uid="{00000000-0005-0000-0000-0000794D0000}"/>
    <cellStyle name="Normal 2 2 2 4 2 18 5 5" xfId="19834" xr:uid="{00000000-0005-0000-0000-00007A4D0000}"/>
    <cellStyle name="Normal 2 2 2 4 2 18 5 6" xfId="19835" xr:uid="{00000000-0005-0000-0000-00007B4D0000}"/>
    <cellStyle name="Normal 2 2 2 4 2 18 5 7" xfId="19836" xr:uid="{00000000-0005-0000-0000-00007C4D0000}"/>
    <cellStyle name="Normal 2 2 2 4 2 18 5 8" xfId="19837" xr:uid="{00000000-0005-0000-0000-00007D4D0000}"/>
    <cellStyle name="Normal 2 2 2 4 2 18 5 9" xfId="19838" xr:uid="{00000000-0005-0000-0000-00007E4D0000}"/>
    <cellStyle name="Normal 2 2 2 4 2 18 6" xfId="19839" xr:uid="{00000000-0005-0000-0000-00007F4D0000}"/>
    <cellStyle name="Normal 2 2 2 4 2 18 7" xfId="19840" xr:uid="{00000000-0005-0000-0000-0000804D0000}"/>
    <cellStyle name="Normal 2 2 2 4 2 18 8" xfId="19841" xr:uid="{00000000-0005-0000-0000-0000814D0000}"/>
    <cellStyle name="Normal 2 2 2 4 2 18 9" xfId="19842" xr:uid="{00000000-0005-0000-0000-0000824D0000}"/>
    <cellStyle name="Normal 2 2 2 4 2 19" xfId="19843" xr:uid="{00000000-0005-0000-0000-0000834D0000}"/>
    <cellStyle name="Normal 2 2 2 4 2 19 10" xfId="19844" xr:uid="{00000000-0005-0000-0000-0000844D0000}"/>
    <cellStyle name="Normal 2 2 2 4 2 19 11" xfId="19845" xr:uid="{00000000-0005-0000-0000-0000854D0000}"/>
    <cellStyle name="Normal 2 2 2 4 2 19 12" xfId="19846" xr:uid="{00000000-0005-0000-0000-0000864D0000}"/>
    <cellStyle name="Normal 2 2 2 4 2 19 13" xfId="19847" xr:uid="{00000000-0005-0000-0000-0000874D0000}"/>
    <cellStyle name="Normal 2 2 2 4 2 19 14" xfId="19848" xr:uid="{00000000-0005-0000-0000-0000884D0000}"/>
    <cellStyle name="Normal 2 2 2 4 2 19 2" xfId="19849" xr:uid="{00000000-0005-0000-0000-0000894D0000}"/>
    <cellStyle name="Normal 2 2 2 4 2 19 2 10" xfId="19850" xr:uid="{00000000-0005-0000-0000-00008A4D0000}"/>
    <cellStyle name="Normal 2 2 2 4 2 19 2 2" xfId="19851" xr:uid="{00000000-0005-0000-0000-00008B4D0000}"/>
    <cellStyle name="Normal 2 2 2 4 2 19 2 3" xfId="19852" xr:uid="{00000000-0005-0000-0000-00008C4D0000}"/>
    <cellStyle name="Normal 2 2 2 4 2 19 2 4" xfId="19853" xr:uid="{00000000-0005-0000-0000-00008D4D0000}"/>
    <cellStyle name="Normal 2 2 2 4 2 19 2 5" xfId="19854" xr:uid="{00000000-0005-0000-0000-00008E4D0000}"/>
    <cellStyle name="Normal 2 2 2 4 2 19 2 6" xfId="19855" xr:uid="{00000000-0005-0000-0000-00008F4D0000}"/>
    <cellStyle name="Normal 2 2 2 4 2 19 2 7" xfId="19856" xr:uid="{00000000-0005-0000-0000-0000904D0000}"/>
    <cellStyle name="Normal 2 2 2 4 2 19 2 8" xfId="19857" xr:uid="{00000000-0005-0000-0000-0000914D0000}"/>
    <cellStyle name="Normal 2 2 2 4 2 19 2 9" xfId="19858" xr:uid="{00000000-0005-0000-0000-0000924D0000}"/>
    <cellStyle name="Normal 2 2 2 4 2 19 3" xfId="19859" xr:uid="{00000000-0005-0000-0000-0000934D0000}"/>
    <cellStyle name="Normal 2 2 2 4 2 19 3 10" xfId="19860" xr:uid="{00000000-0005-0000-0000-0000944D0000}"/>
    <cellStyle name="Normal 2 2 2 4 2 19 3 2" xfId="19861" xr:uid="{00000000-0005-0000-0000-0000954D0000}"/>
    <cellStyle name="Normal 2 2 2 4 2 19 3 3" xfId="19862" xr:uid="{00000000-0005-0000-0000-0000964D0000}"/>
    <cellStyle name="Normal 2 2 2 4 2 19 3 4" xfId="19863" xr:uid="{00000000-0005-0000-0000-0000974D0000}"/>
    <cellStyle name="Normal 2 2 2 4 2 19 3 5" xfId="19864" xr:uid="{00000000-0005-0000-0000-0000984D0000}"/>
    <cellStyle name="Normal 2 2 2 4 2 19 3 6" xfId="19865" xr:uid="{00000000-0005-0000-0000-0000994D0000}"/>
    <cellStyle name="Normal 2 2 2 4 2 19 3 7" xfId="19866" xr:uid="{00000000-0005-0000-0000-00009A4D0000}"/>
    <cellStyle name="Normal 2 2 2 4 2 19 3 8" xfId="19867" xr:uid="{00000000-0005-0000-0000-00009B4D0000}"/>
    <cellStyle name="Normal 2 2 2 4 2 19 3 9" xfId="19868" xr:uid="{00000000-0005-0000-0000-00009C4D0000}"/>
    <cellStyle name="Normal 2 2 2 4 2 19 4" xfId="19869" xr:uid="{00000000-0005-0000-0000-00009D4D0000}"/>
    <cellStyle name="Normal 2 2 2 4 2 19 4 10" xfId="19870" xr:uid="{00000000-0005-0000-0000-00009E4D0000}"/>
    <cellStyle name="Normal 2 2 2 4 2 19 4 2" xfId="19871" xr:uid="{00000000-0005-0000-0000-00009F4D0000}"/>
    <cellStyle name="Normal 2 2 2 4 2 19 4 3" xfId="19872" xr:uid="{00000000-0005-0000-0000-0000A04D0000}"/>
    <cellStyle name="Normal 2 2 2 4 2 19 4 4" xfId="19873" xr:uid="{00000000-0005-0000-0000-0000A14D0000}"/>
    <cellStyle name="Normal 2 2 2 4 2 19 4 5" xfId="19874" xr:uid="{00000000-0005-0000-0000-0000A24D0000}"/>
    <cellStyle name="Normal 2 2 2 4 2 19 4 6" xfId="19875" xr:uid="{00000000-0005-0000-0000-0000A34D0000}"/>
    <cellStyle name="Normal 2 2 2 4 2 19 4 7" xfId="19876" xr:uid="{00000000-0005-0000-0000-0000A44D0000}"/>
    <cellStyle name="Normal 2 2 2 4 2 19 4 8" xfId="19877" xr:uid="{00000000-0005-0000-0000-0000A54D0000}"/>
    <cellStyle name="Normal 2 2 2 4 2 19 4 9" xfId="19878" xr:uid="{00000000-0005-0000-0000-0000A64D0000}"/>
    <cellStyle name="Normal 2 2 2 4 2 19 5" xfId="19879" xr:uid="{00000000-0005-0000-0000-0000A74D0000}"/>
    <cellStyle name="Normal 2 2 2 4 2 19 5 10" xfId="19880" xr:uid="{00000000-0005-0000-0000-0000A84D0000}"/>
    <cellStyle name="Normal 2 2 2 4 2 19 5 2" xfId="19881" xr:uid="{00000000-0005-0000-0000-0000A94D0000}"/>
    <cellStyle name="Normal 2 2 2 4 2 19 5 3" xfId="19882" xr:uid="{00000000-0005-0000-0000-0000AA4D0000}"/>
    <cellStyle name="Normal 2 2 2 4 2 19 5 4" xfId="19883" xr:uid="{00000000-0005-0000-0000-0000AB4D0000}"/>
    <cellStyle name="Normal 2 2 2 4 2 19 5 5" xfId="19884" xr:uid="{00000000-0005-0000-0000-0000AC4D0000}"/>
    <cellStyle name="Normal 2 2 2 4 2 19 5 6" xfId="19885" xr:uid="{00000000-0005-0000-0000-0000AD4D0000}"/>
    <cellStyle name="Normal 2 2 2 4 2 19 5 7" xfId="19886" xr:uid="{00000000-0005-0000-0000-0000AE4D0000}"/>
    <cellStyle name="Normal 2 2 2 4 2 19 5 8" xfId="19887" xr:uid="{00000000-0005-0000-0000-0000AF4D0000}"/>
    <cellStyle name="Normal 2 2 2 4 2 19 5 9" xfId="19888" xr:uid="{00000000-0005-0000-0000-0000B04D0000}"/>
    <cellStyle name="Normal 2 2 2 4 2 19 6" xfId="19889" xr:uid="{00000000-0005-0000-0000-0000B14D0000}"/>
    <cellStyle name="Normal 2 2 2 4 2 19 7" xfId="19890" xr:uid="{00000000-0005-0000-0000-0000B24D0000}"/>
    <cellStyle name="Normal 2 2 2 4 2 19 8" xfId="19891" xr:uid="{00000000-0005-0000-0000-0000B34D0000}"/>
    <cellStyle name="Normal 2 2 2 4 2 19 9" xfId="19892" xr:uid="{00000000-0005-0000-0000-0000B44D0000}"/>
    <cellStyle name="Normal 2 2 2 4 2 2" xfId="19893" xr:uid="{00000000-0005-0000-0000-0000B54D0000}"/>
    <cellStyle name="Normal 2 2 2 4 2 2 10" xfId="19894" xr:uid="{00000000-0005-0000-0000-0000B64D0000}"/>
    <cellStyle name="Normal 2 2 2 4 2 2 11" xfId="19895" xr:uid="{00000000-0005-0000-0000-0000B74D0000}"/>
    <cellStyle name="Normal 2 2 2 4 2 2 12" xfId="19896" xr:uid="{00000000-0005-0000-0000-0000B84D0000}"/>
    <cellStyle name="Normal 2 2 2 4 2 2 13" xfId="19897" xr:uid="{00000000-0005-0000-0000-0000B94D0000}"/>
    <cellStyle name="Normal 2 2 2 4 2 2 14" xfId="19898" xr:uid="{00000000-0005-0000-0000-0000BA4D0000}"/>
    <cellStyle name="Normal 2 2 2 4 2 2 15" xfId="19899" xr:uid="{00000000-0005-0000-0000-0000BB4D0000}"/>
    <cellStyle name="Normal 2 2 2 4 2 2 16" xfId="19900" xr:uid="{00000000-0005-0000-0000-0000BC4D0000}"/>
    <cellStyle name="Normal 2 2 2 4 2 2 17" xfId="19901" xr:uid="{00000000-0005-0000-0000-0000BD4D0000}"/>
    <cellStyle name="Normal 2 2 2 4 2 2 18" xfId="19902" xr:uid="{00000000-0005-0000-0000-0000BE4D0000}"/>
    <cellStyle name="Normal 2 2 2 4 2 2 19" xfId="19903" xr:uid="{00000000-0005-0000-0000-0000BF4D0000}"/>
    <cellStyle name="Normal 2 2 2 4 2 2 2" xfId="19904" xr:uid="{00000000-0005-0000-0000-0000C04D0000}"/>
    <cellStyle name="Normal 2 2 2 4 2 2 20" xfId="19905" xr:uid="{00000000-0005-0000-0000-0000C14D0000}"/>
    <cellStyle name="Normal 2 2 2 4 2 2 21" xfId="19906" xr:uid="{00000000-0005-0000-0000-0000C24D0000}"/>
    <cellStyle name="Normal 2 2 2 4 2 2 21 10" xfId="19907" xr:uid="{00000000-0005-0000-0000-0000C34D0000}"/>
    <cellStyle name="Normal 2 2 2 4 2 2 21 2" xfId="19908" xr:uid="{00000000-0005-0000-0000-0000C44D0000}"/>
    <cellStyle name="Normal 2 2 2 4 2 2 21 3" xfId="19909" xr:uid="{00000000-0005-0000-0000-0000C54D0000}"/>
    <cellStyle name="Normal 2 2 2 4 2 2 21 4" xfId="19910" xr:uid="{00000000-0005-0000-0000-0000C64D0000}"/>
    <cellStyle name="Normal 2 2 2 4 2 2 21 5" xfId="19911" xr:uid="{00000000-0005-0000-0000-0000C74D0000}"/>
    <cellStyle name="Normal 2 2 2 4 2 2 21 6" xfId="19912" xr:uid="{00000000-0005-0000-0000-0000C84D0000}"/>
    <cellStyle name="Normal 2 2 2 4 2 2 21 7" xfId="19913" xr:uid="{00000000-0005-0000-0000-0000C94D0000}"/>
    <cellStyle name="Normal 2 2 2 4 2 2 21 8" xfId="19914" xr:uid="{00000000-0005-0000-0000-0000CA4D0000}"/>
    <cellStyle name="Normal 2 2 2 4 2 2 21 9" xfId="19915" xr:uid="{00000000-0005-0000-0000-0000CB4D0000}"/>
    <cellStyle name="Normal 2 2 2 4 2 2 22" xfId="19916" xr:uid="{00000000-0005-0000-0000-0000CC4D0000}"/>
    <cellStyle name="Normal 2 2 2 4 2 2 22 10" xfId="19917" xr:uid="{00000000-0005-0000-0000-0000CD4D0000}"/>
    <cellStyle name="Normal 2 2 2 4 2 2 22 2" xfId="19918" xr:uid="{00000000-0005-0000-0000-0000CE4D0000}"/>
    <cellStyle name="Normal 2 2 2 4 2 2 22 3" xfId="19919" xr:uid="{00000000-0005-0000-0000-0000CF4D0000}"/>
    <cellStyle name="Normal 2 2 2 4 2 2 22 4" xfId="19920" xr:uid="{00000000-0005-0000-0000-0000D04D0000}"/>
    <cellStyle name="Normal 2 2 2 4 2 2 22 5" xfId="19921" xr:uid="{00000000-0005-0000-0000-0000D14D0000}"/>
    <cellStyle name="Normal 2 2 2 4 2 2 22 6" xfId="19922" xr:uid="{00000000-0005-0000-0000-0000D24D0000}"/>
    <cellStyle name="Normal 2 2 2 4 2 2 22 7" xfId="19923" xr:uid="{00000000-0005-0000-0000-0000D34D0000}"/>
    <cellStyle name="Normal 2 2 2 4 2 2 22 8" xfId="19924" xr:uid="{00000000-0005-0000-0000-0000D44D0000}"/>
    <cellStyle name="Normal 2 2 2 4 2 2 22 9" xfId="19925" xr:uid="{00000000-0005-0000-0000-0000D54D0000}"/>
    <cellStyle name="Normal 2 2 2 4 2 2 23" xfId="19926" xr:uid="{00000000-0005-0000-0000-0000D64D0000}"/>
    <cellStyle name="Normal 2 2 2 4 2 2 23 10" xfId="19927" xr:uid="{00000000-0005-0000-0000-0000D74D0000}"/>
    <cellStyle name="Normal 2 2 2 4 2 2 23 2" xfId="19928" xr:uid="{00000000-0005-0000-0000-0000D84D0000}"/>
    <cellStyle name="Normal 2 2 2 4 2 2 23 3" xfId="19929" xr:uid="{00000000-0005-0000-0000-0000D94D0000}"/>
    <cellStyle name="Normal 2 2 2 4 2 2 23 4" xfId="19930" xr:uid="{00000000-0005-0000-0000-0000DA4D0000}"/>
    <cellStyle name="Normal 2 2 2 4 2 2 23 5" xfId="19931" xr:uid="{00000000-0005-0000-0000-0000DB4D0000}"/>
    <cellStyle name="Normal 2 2 2 4 2 2 23 6" xfId="19932" xr:uid="{00000000-0005-0000-0000-0000DC4D0000}"/>
    <cellStyle name="Normal 2 2 2 4 2 2 23 7" xfId="19933" xr:uid="{00000000-0005-0000-0000-0000DD4D0000}"/>
    <cellStyle name="Normal 2 2 2 4 2 2 23 8" xfId="19934" xr:uid="{00000000-0005-0000-0000-0000DE4D0000}"/>
    <cellStyle name="Normal 2 2 2 4 2 2 23 9" xfId="19935" xr:uid="{00000000-0005-0000-0000-0000DF4D0000}"/>
    <cellStyle name="Normal 2 2 2 4 2 2 24" xfId="19936" xr:uid="{00000000-0005-0000-0000-0000E04D0000}"/>
    <cellStyle name="Normal 2 2 2 4 2 2 24 10" xfId="19937" xr:uid="{00000000-0005-0000-0000-0000E14D0000}"/>
    <cellStyle name="Normal 2 2 2 4 2 2 24 2" xfId="19938" xr:uid="{00000000-0005-0000-0000-0000E24D0000}"/>
    <cellStyle name="Normal 2 2 2 4 2 2 24 3" xfId="19939" xr:uid="{00000000-0005-0000-0000-0000E34D0000}"/>
    <cellStyle name="Normal 2 2 2 4 2 2 24 4" xfId="19940" xr:uid="{00000000-0005-0000-0000-0000E44D0000}"/>
    <cellStyle name="Normal 2 2 2 4 2 2 24 5" xfId="19941" xr:uid="{00000000-0005-0000-0000-0000E54D0000}"/>
    <cellStyle name="Normal 2 2 2 4 2 2 24 6" xfId="19942" xr:uid="{00000000-0005-0000-0000-0000E64D0000}"/>
    <cellStyle name="Normal 2 2 2 4 2 2 24 7" xfId="19943" xr:uid="{00000000-0005-0000-0000-0000E74D0000}"/>
    <cellStyle name="Normal 2 2 2 4 2 2 24 8" xfId="19944" xr:uid="{00000000-0005-0000-0000-0000E84D0000}"/>
    <cellStyle name="Normal 2 2 2 4 2 2 24 9" xfId="19945" xr:uid="{00000000-0005-0000-0000-0000E94D0000}"/>
    <cellStyle name="Normal 2 2 2 4 2 2 25" xfId="19946" xr:uid="{00000000-0005-0000-0000-0000EA4D0000}"/>
    <cellStyle name="Normal 2 2 2 4 2 2 26" xfId="19947" xr:uid="{00000000-0005-0000-0000-0000EB4D0000}"/>
    <cellStyle name="Normal 2 2 2 4 2 2 27" xfId="19948" xr:uid="{00000000-0005-0000-0000-0000EC4D0000}"/>
    <cellStyle name="Normal 2 2 2 4 2 2 28" xfId="19949" xr:uid="{00000000-0005-0000-0000-0000ED4D0000}"/>
    <cellStyle name="Normal 2 2 2 4 2 2 29" xfId="19950" xr:uid="{00000000-0005-0000-0000-0000EE4D0000}"/>
    <cellStyle name="Normal 2 2 2 4 2 2 3" xfId="19951" xr:uid="{00000000-0005-0000-0000-0000EF4D0000}"/>
    <cellStyle name="Normal 2 2 2 4 2 2 30" xfId="19952" xr:uid="{00000000-0005-0000-0000-0000F04D0000}"/>
    <cellStyle name="Normal 2 2 2 4 2 2 31" xfId="19953" xr:uid="{00000000-0005-0000-0000-0000F14D0000}"/>
    <cellStyle name="Normal 2 2 2 4 2 2 32" xfId="19954" xr:uid="{00000000-0005-0000-0000-0000F24D0000}"/>
    <cellStyle name="Normal 2 2 2 4 2 2 33" xfId="19955" xr:uid="{00000000-0005-0000-0000-0000F34D0000}"/>
    <cellStyle name="Normal 2 2 2 4 2 2 34" xfId="19956" xr:uid="{00000000-0005-0000-0000-0000F44D0000}"/>
    <cellStyle name="Normal 2 2 2 4 2 2 35" xfId="19957" xr:uid="{00000000-0005-0000-0000-0000F54D0000}"/>
    <cellStyle name="Normal 2 2 2 4 2 2 4" xfId="19958" xr:uid="{00000000-0005-0000-0000-0000F64D0000}"/>
    <cellStyle name="Normal 2 2 2 4 2 2 5" xfId="19959" xr:uid="{00000000-0005-0000-0000-0000F74D0000}"/>
    <cellStyle name="Normal 2 2 2 4 2 2 6" xfId="19960" xr:uid="{00000000-0005-0000-0000-0000F84D0000}"/>
    <cellStyle name="Normal 2 2 2 4 2 2 7" xfId="19961" xr:uid="{00000000-0005-0000-0000-0000F94D0000}"/>
    <cellStyle name="Normal 2 2 2 4 2 2 8" xfId="19962" xr:uid="{00000000-0005-0000-0000-0000FA4D0000}"/>
    <cellStyle name="Normal 2 2 2 4 2 2 9" xfId="19963" xr:uid="{00000000-0005-0000-0000-0000FB4D0000}"/>
    <cellStyle name="Normal 2 2 2 4 2 20" xfId="19964" xr:uid="{00000000-0005-0000-0000-0000FC4D0000}"/>
    <cellStyle name="Normal 2 2 2 4 2 20 10" xfId="19965" xr:uid="{00000000-0005-0000-0000-0000FD4D0000}"/>
    <cellStyle name="Normal 2 2 2 4 2 20 11" xfId="19966" xr:uid="{00000000-0005-0000-0000-0000FE4D0000}"/>
    <cellStyle name="Normal 2 2 2 4 2 20 12" xfId="19967" xr:uid="{00000000-0005-0000-0000-0000FF4D0000}"/>
    <cellStyle name="Normal 2 2 2 4 2 20 13" xfId="19968" xr:uid="{00000000-0005-0000-0000-0000004E0000}"/>
    <cellStyle name="Normal 2 2 2 4 2 20 14" xfId="19969" xr:uid="{00000000-0005-0000-0000-0000014E0000}"/>
    <cellStyle name="Normal 2 2 2 4 2 20 2" xfId="19970" xr:uid="{00000000-0005-0000-0000-0000024E0000}"/>
    <cellStyle name="Normal 2 2 2 4 2 20 2 10" xfId="19971" xr:uid="{00000000-0005-0000-0000-0000034E0000}"/>
    <cellStyle name="Normal 2 2 2 4 2 20 2 2" xfId="19972" xr:uid="{00000000-0005-0000-0000-0000044E0000}"/>
    <cellStyle name="Normal 2 2 2 4 2 20 2 3" xfId="19973" xr:uid="{00000000-0005-0000-0000-0000054E0000}"/>
    <cellStyle name="Normal 2 2 2 4 2 20 2 4" xfId="19974" xr:uid="{00000000-0005-0000-0000-0000064E0000}"/>
    <cellStyle name="Normal 2 2 2 4 2 20 2 5" xfId="19975" xr:uid="{00000000-0005-0000-0000-0000074E0000}"/>
    <cellStyle name="Normal 2 2 2 4 2 20 2 6" xfId="19976" xr:uid="{00000000-0005-0000-0000-0000084E0000}"/>
    <cellStyle name="Normal 2 2 2 4 2 20 2 7" xfId="19977" xr:uid="{00000000-0005-0000-0000-0000094E0000}"/>
    <cellStyle name="Normal 2 2 2 4 2 20 2 8" xfId="19978" xr:uid="{00000000-0005-0000-0000-00000A4E0000}"/>
    <cellStyle name="Normal 2 2 2 4 2 20 2 9" xfId="19979" xr:uid="{00000000-0005-0000-0000-00000B4E0000}"/>
    <cellStyle name="Normal 2 2 2 4 2 20 3" xfId="19980" xr:uid="{00000000-0005-0000-0000-00000C4E0000}"/>
    <cellStyle name="Normal 2 2 2 4 2 20 3 10" xfId="19981" xr:uid="{00000000-0005-0000-0000-00000D4E0000}"/>
    <cellStyle name="Normal 2 2 2 4 2 20 3 2" xfId="19982" xr:uid="{00000000-0005-0000-0000-00000E4E0000}"/>
    <cellStyle name="Normal 2 2 2 4 2 20 3 3" xfId="19983" xr:uid="{00000000-0005-0000-0000-00000F4E0000}"/>
    <cellStyle name="Normal 2 2 2 4 2 20 3 4" xfId="19984" xr:uid="{00000000-0005-0000-0000-0000104E0000}"/>
    <cellStyle name="Normal 2 2 2 4 2 20 3 5" xfId="19985" xr:uid="{00000000-0005-0000-0000-0000114E0000}"/>
    <cellStyle name="Normal 2 2 2 4 2 20 3 6" xfId="19986" xr:uid="{00000000-0005-0000-0000-0000124E0000}"/>
    <cellStyle name="Normal 2 2 2 4 2 20 3 7" xfId="19987" xr:uid="{00000000-0005-0000-0000-0000134E0000}"/>
    <cellStyle name="Normal 2 2 2 4 2 20 3 8" xfId="19988" xr:uid="{00000000-0005-0000-0000-0000144E0000}"/>
    <cellStyle name="Normal 2 2 2 4 2 20 3 9" xfId="19989" xr:uid="{00000000-0005-0000-0000-0000154E0000}"/>
    <cellStyle name="Normal 2 2 2 4 2 20 4" xfId="19990" xr:uid="{00000000-0005-0000-0000-0000164E0000}"/>
    <cellStyle name="Normal 2 2 2 4 2 20 4 10" xfId="19991" xr:uid="{00000000-0005-0000-0000-0000174E0000}"/>
    <cellStyle name="Normal 2 2 2 4 2 20 4 2" xfId="19992" xr:uid="{00000000-0005-0000-0000-0000184E0000}"/>
    <cellStyle name="Normal 2 2 2 4 2 20 4 3" xfId="19993" xr:uid="{00000000-0005-0000-0000-0000194E0000}"/>
    <cellStyle name="Normal 2 2 2 4 2 20 4 4" xfId="19994" xr:uid="{00000000-0005-0000-0000-00001A4E0000}"/>
    <cellStyle name="Normal 2 2 2 4 2 20 4 5" xfId="19995" xr:uid="{00000000-0005-0000-0000-00001B4E0000}"/>
    <cellStyle name="Normal 2 2 2 4 2 20 4 6" xfId="19996" xr:uid="{00000000-0005-0000-0000-00001C4E0000}"/>
    <cellStyle name="Normal 2 2 2 4 2 20 4 7" xfId="19997" xr:uid="{00000000-0005-0000-0000-00001D4E0000}"/>
    <cellStyle name="Normal 2 2 2 4 2 20 4 8" xfId="19998" xr:uid="{00000000-0005-0000-0000-00001E4E0000}"/>
    <cellStyle name="Normal 2 2 2 4 2 20 4 9" xfId="19999" xr:uid="{00000000-0005-0000-0000-00001F4E0000}"/>
    <cellStyle name="Normal 2 2 2 4 2 20 5" xfId="20000" xr:uid="{00000000-0005-0000-0000-0000204E0000}"/>
    <cellStyle name="Normal 2 2 2 4 2 20 5 10" xfId="20001" xr:uid="{00000000-0005-0000-0000-0000214E0000}"/>
    <cellStyle name="Normal 2 2 2 4 2 20 5 2" xfId="20002" xr:uid="{00000000-0005-0000-0000-0000224E0000}"/>
    <cellStyle name="Normal 2 2 2 4 2 20 5 3" xfId="20003" xr:uid="{00000000-0005-0000-0000-0000234E0000}"/>
    <cellStyle name="Normal 2 2 2 4 2 20 5 4" xfId="20004" xr:uid="{00000000-0005-0000-0000-0000244E0000}"/>
    <cellStyle name="Normal 2 2 2 4 2 20 5 5" xfId="20005" xr:uid="{00000000-0005-0000-0000-0000254E0000}"/>
    <cellStyle name="Normal 2 2 2 4 2 20 5 6" xfId="20006" xr:uid="{00000000-0005-0000-0000-0000264E0000}"/>
    <cellStyle name="Normal 2 2 2 4 2 20 5 7" xfId="20007" xr:uid="{00000000-0005-0000-0000-0000274E0000}"/>
    <cellStyle name="Normal 2 2 2 4 2 20 5 8" xfId="20008" xr:uid="{00000000-0005-0000-0000-0000284E0000}"/>
    <cellStyle name="Normal 2 2 2 4 2 20 5 9" xfId="20009" xr:uid="{00000000-0005-0000-0000-0000294E0000}"/>
    <cellStyle name="Normal 2 2 2 4 2 20 6" xfId="20010" xr:uid="{00000000-0005-0000-0000-00002A4E0000}"/>
    <cellStyle name="Normal 2 2 2 4 2 20 7" xfId="20011" xr:uid="{00000000-0005-0000-0000-00002B4E0000}"/>
    <cellStyle name="Normal 2 2 2 4 2 20 8" xfId="20012" xr:uid="{00000000-0005-0000-0000-00002C4E0000}"/>
    <cellStyle name="Normal 2 2 2 4 2 20 9" xfId="20013" xr:uid="{00000000-0005-0000-0000-00002D4E0000}"/>
    <cellStyle name="Normal 2 2 2 4 2 21" xfId="20014" xr:uid="{00000000-0005-0000-0000-00002E4E0000}"/>
    <cellStyle name="Normal 2 2 2 4 2 22" xfId="20015" xr:uid="{00000000-0005-0000-0000-00002F4E0000}"/>
    <cellStyle name="Normal 2 2 2 4 2 3" xfId="20016" xr:uid="{00000000-0005-0000-0000-0000304E0000}"/>
    <cellStyle name="Normal 2 2 2 4 2 3 10" xfId="20017" xr:uid="{00000000-0005-0000-0000-0000314E0000}"/>
    <cellStyle name="Normal 2 2 2 4 2 3 11" xfId="20018" xr:uid="{00000000-0005-0000-0000-0000324E0000}"/>
    <cellStyle name="Normal 2 2 2 4 2 3 12" xfId="20019" xr:uid="{00000000-0005-0000-0000-0000334E0000}"/>
    <cellStyle name="Normal 2 2 2 4 2 3 13" xfId="20020" xr:uid="{00000000-0005-0000-0000-0000344E0000}"/>
    <cellStyle name="Normal 2 2 2 4 2 3 14" xfId="20021" xr:uid="{00000000-0005-0000-0000-0000354E0000}"/>
    <cellStyle name="Normal 2 2 2 4 2 3 2" xfId="20022" xr:uid="{00000000-0005-0000-0000-0000364E0000}"/>
    <cellStyle name="Normal 2 2 2 4 2 3 2 10" xfId="20023" xr:uid="{00000000-0005-0000-0000-0000374E0000}"/>
    <cellStyle name="Normal 2 2 2 4 2 3 2 2" xfId="20024" xr:uid="{00000000-0005-0000-0000-0000384E0000}"/>
    <cellStyle name="Normal 2 2 2 4 2 3 2 3" xfId="20025" xr:uid="{00000000-0005-0000-0000-0000394E0000}"/>
    <cellStyle name="Normal 2 2 2 4 2 3 2 4" xfId="20026" xr:uid="{00000000-0005-0000-0000-00003A4E0000}"/>
    <cellStyle name="Normal 2 2 2 4 2 3 2 5" xfId="20027" xr:uid="{00000000-0005-0000-0000-00003B4E0000}"/>
    <cellStyle name="Normal 2 2 2 4 2 3 2 6" xfId="20028" xr:uid="{00000000-0005-0000-0000-00003C4E0000}"/>
    <cellStyle name="Normal 2 2 2 4 2 3 2 7" xfId="20029" xr:uid="{00000000-0005-0000-0000-00003D4E0000}"/>
    <cellStyle name="Normal 2 2 2 4 2 3 2 8" xfId="20030" xr:uid="{00000000-0005-0000-0000-00003E4E0000}"/>
    <cellStyle name="Normal 2 2 2 4 2 3 2 9" xfId="20031" xr:uid="{00000000-0005-0000-0000-00003F4E0000}"/>
    <cellStyle name="Normal 2 2 2 4 2 3 3" xfId="20032" xr:uid="{00000000-0005-0000-0000-0000404E0000}"/>
    <cellStyle name="Normal 2 2 2 4 2 3 3 10" xfId="20033" xr:uid="{00000000-0005-0000-0000-0000414E0000}"/>
    <cellStyle name="Normal 2 2 2 4 2 3 3 2" xfId="20034" xr:uid="{00000000-0005-0000-0000-0000424E0000}"/>
    <cellStyle name="Normal 2 2 2 4 2 3 3 3" xfId="20035" xr:uid="{00000000-0005-0000-0000-0000434E0000}"/>
    <cellStyle name="Normal 2 2 2 4 2 3 3 4" xfId="20036" xr:uid="{00000000-0005-0000-0000-0000444E0000}"/>
    <cellStyle name="Normal 2 2 2 4 2 3 3 5" xfId="20037" xr:uid="{00000000-0005-0000-0000-0000454E0000}"/>
    <cellStyle name="Normal 2 2 2 4 2 3 3 6" xfId="20038" xr:uid="{00000000-0005-0000-0000-0000464E0000}"/>
    <cellStyle name="Normal 2 2 2 4 2 3 3 7" xfId="20039" xr:uid="{00000000-0005-0000-0000-0000474E0000}"/>
    <cellStyle name="Normal 2 2 2 4 2 3 3 8" xfId="20040" xr:uid="{00000000-0005-0000-0000-0000484E0000}"/>
    <cellStyle name="Normal 2 2 2 4 2 3 3 9" xfId="20041" xr:uid="{00000000-0005-0000-0000-0000494E0000}"/>
    <cellStyle name="Normal 2 2 2 4 2 3 4" xfId="20042" xr:uid="{00000000-0005-0000-0000-00004A4E0000}"/>
    <cellStyle name="Normal 2 2 2 4 2 3 4 10" xfId="20043" xr:uid="{00000000-0005-0000-0000-00004B4E0000}"/>
    <cellStyle name="Normal 2 2 2 4 2 3 4 2" xfId="20044" xr:uid="{00000000-0005-0000-0000-00004C4E0000}"/>
    <cellStyle name="Normal 2 2 2 4 2 3 4 3" xfId="20045" xr:uid="{00000000-0005-0000-0000-00004D4E0000}"/>
    <cellStyle name="Normal 2 2 2 4 2 3 4 4" xfId="20046" xr:uid="{00000000-0005-0000-0000-00004E4E0000}"/>
    <cellStyle name="Normal 2 2 2 4 2 3 4 5" xfId="20047" xr:uid="{00000000-0005-0000-0000-00004F4E0000}"/>
    <cellStyle name="Normal 2 2 2 4 2 3 4 6" xfId="20048" xr:uid="{00000000-0005-0000-0000-0000504E0000}"/>
    <cellStyle name="Normal 2 2 2 4 2 3 4 7" xfId="20049" xr:uid="{00000000-0005-0000-0000-0000514E0000}"/>
    <cellStyle name="Normal 2 2 2 4 2 3 4 8" xfId="20050" xr:uid="{00000000-0005-0000-0000-0000524E0000}"/>
    <cellStyle name="Normal 2 2 2 4 2 3 4 9" xfId="20051" xr:uid="{00000000-0005-0000-0000-0000534E0000}"/>
    <cellStyle name="Normal 2 2 2 4 2 3 5" xfId="20052" xr:uid="{00000000-0005-0000-0000-0000544E0000}"/>
    <cellStyle name="Normal 2 2 2 4 2 3 5 10" xfId="20053" xr:uid="{00000000-0005-0000-0000-0000554E0000}"/>
    <cellStyle name="Normal 2 2 2 4 2 3 5 2" xfId="20054" xr:uid="{00000000-0005-0000-0000-0000564E0000}"/>
    <cellStyle name="Normal 2 2 2 4 2 3 5 3" xfId="20055" xr:uid="{00000000-0005-0000-0000-0000574E0000}"/>
    <cellStyle name="Normal 2 2 2 4 2 3 5 4" xfId="20056" xr:uid="{00000000-0005-0000-0000-0000584E0000}"/>
    <cellStyle name="Normal 2 2 2 4 2 3 5 5" xfId="20057" xr:uid="{00000000-0005-0000-0000-0000594E0000}"/>
    <cellStyle name="Normal 2 2 2 4 2 3 5 6" xfId="20058" xr:uid="{00000000-0005-0000-0000-00005A4E0000}"/>
    <cellStyle name="Normal 2 2 2 4 2 3 5 7" xfId="20059" xr:uid="{00000000-0005-0000-0000-00005B4E0000}"/>
    <cellStyle name="Normal 2 2 2 4 2 3 5 8" xfId="20060" xr:uid="{00000000-0005-0000-0000-00005C4E0000}"/>
    <cellStyle name="Normal 2 2 2 4 2 3 5 9" xfId="20061" xr:uid="{00000000-0005-0000-0000-00005D4E0000}"/>
    <cellStyle name="Normal 2 2 2 4 2 3 6" xfId="20062" xr:uid="{00000000-0005-0000-0000-00005E4E0000}"/>
    <cellStyle name="Normal 2 2 2 4 2 3 7" xfId="20063" xr:uid="{00000000-0005-0000-0000-00005F4E0000}"/>
    <cellStyle name="Normal 2 2 2 4 2 3 8" xfId="20064" xr:uid="{00000000-0005-0000-0000-0000604E0000}"/>
    <cellStyle name="Normal 2 2 2 4 2 3 9" xfId="20065" xr:uid="{00000000-0005-0000-0000-0000614E0000}"/>
    <cellStyle name="Normal 2 2 2 4 2 4" xfId="20066" xr:uid="{00000000-0005-0000-0000-0000624E0000}"/>
    <cellStyle name="Normal 2 2 2 4 2 4 10" xfId="20067" xr:uid="{00000000-0005-0000-0000-0000634E0000}"/>
    <cellStyle name="Normal 2 2 2 4 2 4 11" xfId="20068" xr:uid="{00000000-0005-0000-0000-0000644E0000}"/>
    <cellStyle name="Normal 2 2 2 4 2 4 12" xfId="20069" xr:uid="{00000000-0005-0000-0000-0000654E0000}"/>
    <cellStyle name="Normal 2 2 2 4 2 4 13" xfId="20070" xr:uid="{00000000-0005-0000-0000-0000664E0000}"/>
    <cellStyle name="Normal 2 2 2 4 2 4 14" xfId="20071" xr:uid="{00000000-0005-0000-0000-0000674E0000}"/>
    <cellStyle name="Normal 2 2 2 4 2 4 2" xfId="20072" xr:uid="{00000000-0005-0000-0000-0000684E0000}"/>
    <cellStyle name="Normal 2 2 2 4 2 4 2 10" xfId="20073" xr:uid="{00000000-0005-0000-0000-0000694E0000}"/>
    <cellStyle name="Normal 2 2 2 4 2 4 2 2" xfId="20074" xr:uid="{00000000-0005-0000-0000-00006A4E0000}"/>
    <cellStyle name="Normal 2 2 2 4 2 4 2 3" xfId="20075" xr:uid="{00000000-0005-0000-0000-00006B4E0000}"/>
    <cellStyle name="Normal 2 2 2 4 2 4 2 4" xfId="20076" xr:uid="{00000000-0005-0000-0000-00006C4E0000}"/>
    <cellStyle name="Normal 2 2 2 4 2 4 2 5" xfId="20077" xr:uid="{00000000-0005-0000-0000-00006D4E0000}"/>
    <cellStyle name="Normal 2 2 2 4 2 4 2 6" xfId="20078" xr:uid="{00000000-0005-0000-0000-00006E4E0000}"/>
    <cellStyle name="Normal 2 2 2 4 2 4 2 7" xfId="20079" xr:uid="{00000000-0005-0000-0000-00006F4E0000}"/>
    <cellStyle name="Normal 2 2 2 4 2 4 2 8" xfId="20080" xr:uid="{00000000-0005-0000-0000-0000704E0000}"/>
    <cellStyle name="Normal 2 2 2 4 2 4 2 9" xfId="20081" xr:uid="{00000000-0005-0000-0000-0000714E0000}"/>
    <cellStyle name="Normal 2 2 2 4 2 4 3" xfId="20082" xr:uid="{00000000-0005-0000-0000-0000724E0000}"/>
    <cellStyle name="Normal 2 2 2 4 2 4 3 10" xfId="20083" xr:uid="{00000000-0005-0000-0000-0000734E0000}"/>
    <cellStyle name="Normal 2 2 2 4 2 4 3 2" xfId="20084" xr:uid="{00000000-0005-0000-0000-0000744E0000}"/>
    <cellStyle name="Normal 2 2 2 4 2 4 3 3" xfId="20085" xr:uid="{00000000-0005-0000-0000-0000754E0000}"/>
    <cellStyle name="Normal 2 2 2 4 2 4 3 4" xfId="20086" xr:uid="{00000000-0005-0000-0000-0000764E0000}"/>
    <cellStyle name="Normal 2 2 2 4 2 4 3 5" xfId="20087" xr:uid="{00000000-0005-0000-0000-0000774E0000}"/>
    <cellStyle name="Normal 2 2 2 4 2 4 3 6" xfId="20088" xr:uid="{00000000-0005-0000-0000-0000784E0000}"/>
    <cellStyle name="Normal 2 2 2 4 2 4 3 7" xfId="20089" xr:uid="{00000000-0005-0000-0000-0000794E0000}"/>
    <cellStyle name="Normal 2 2 2 4 2 4 3 8" xfId="20090" xr:uid="{00000000-0005-0000-0000-00007A4E0000}"/>
    <cellStyle name="Normal 2 2 2 4 2 4 3 9" xfId="20091" xr:uid="{00000000-0005-0000-0000-00007B4E0000}"/>
    <cellStyle name="Normal 2 2 2 4 2 4 4" xfId="20092" xr:uid="{00000000-0005-0000-0000-00007C4E0000}"/>
    <cellStyle name="Normal 2 2 2 4 2 4 4 10" xfId="20093" xr:uid="{00000000-0005-0000-0000-00007D4E0000}"/>
    <cellStyle name="Normal 2 2 2 4 2 4 4 2" xfId="20094" xr:uid="{00000000-0005-0000-0000-00007E4E0000}"/>
    <cellStyle name="Normal 2 2 2 4 2 4 4 3" xfId="20095" xr:uid="{00000000-0005-0000-0000-00007F4E0000}"/>
    <cellStyle name="Normal 2 2 2 4 2 4 4 4" xfId="20096" xr:uid="{00000000-0005-0000-0000-0000804E0000}"/>
    <cellStyle name="Normal 2 2 2 4 2 4 4 5" xfId="20097" xr:uid="{00000000-0005-0000-0000-0000814E0000}"/>
    <cellStyle name="Normal 2 2 2 4 2 4 4 6" xfId="20098" xr:uid="{00000000-0005-0000-0000-0000824E0000}"/>
    <cellStyle name="Normal 2 2 2 4 2 4 4 7" xfId="20099" xr:uid="{00000000-0005-0000-0000-0000834E0000}"/>
    <cellStyle name="Normal 2 2 2 4 2 4 4 8" xfId="20100" xr:uid="{00000000-0005-0000-0000-0000844E0000}"/>
    <cellStyle name="Normal 2 2 2 4 2 4 4 9" xfId="20101" xr:uid="{00000000-0005-0000-0000-0000854E0000}"/>
    <cellStyle name="Normal 2 2 2 4 2 4 5" xfId="20102" xr:uid="{00000000-0005-0000-0000-0000864E0000}"/>
    <cellStyle name="Normal 2 2 2 4 2 4 5 10" xfId="20103" xr:uid="{00000000-0005-0000-0000-0000874E0000}"/>
    <cellStyle name="Normal 2 2 2 4 2 4 5 2" xfId="20104" xr:uid="{00000000-0005-0000-0000-0000884E0000}"/>
    <cellStyle name="Normal 2 2 2 4 2 4 5 3" xfId="20105" xr:uid="{00000000-0005-0000-0000-0000894E0000}"/>
    <cellStyle name="Normal 2 2 2 4 2 4 5 4" xfId="20106" xr:uid="{00000000-0005-0000-0000-00008A4E0000}"/>
    <cellStyle name="Normal 2 2 2 4 2 4 5 5" xfId="20107" xr:uid="{00000000-0005-0000-0000-00008B4E0000}"/>
    <cellStyle name="Normal 2 2 2 4 2 4 5 6" xfId="20108" xr:uid="{00000000-0005-0000-0000-00008C4E0000}"/>
    <cellStyle name="Normal 2 2 2 4 2 4 5 7" xfId="20109" xr:uid="{00000000-0005-0000-0000-00008D4E0000}"/>
    <cellStyle name="Normal 2 2 2 4 2 4 5 8" xfId="20110" xr:uid="{00000000-0005-0000-0000-00008E4E0000}"/>
    <cellStyle name="Normal 2 2 2 4 2 4 5 9" xfId="20111" xr:uid="{00000000-0005-0000-0000-00008F4E0000}"/>
    <cellStyle name="Normal 2 2 2 4 2 4 6" xfId="20112" xr:uid="{00000000-0005-0000-0000-0000904E0000}"/>
    <cellStyle name="Normal 2 2 2 4 2 4 7" xfId="20113" xr:uid="{00000000-0005-0000-0000-0000914E0000}"/>
    <cellStyle name="Normal 2 2 2 4 2 4 8" xfId="20114" xr:uid="{00000000-0005-0000-0000-0000924E0000}"/>
    <cellStyle name="Normal 2 2 2 4 2 4 9" xfId="20115" xr:uid="{00000000-0005-0000-0000-0000934E0000}"/>
    <cellStyle name="Normal 2 2 2 4 2 5" xfId="20116" xr:uid="{00000000-0005-0000-0000-0000944E0000}"/>
    <cellStyle name="Normal 2 2 2 4 2 5 10" xfId="20117" xr:uid="{00000000-0005-0000-0000-0000954E0000}"/>
    <cellStyle name="Normal 2 2 2 4 2 5 11" xfId="20118" xr:uid="{00000000-0005-0000-0000-0000964E0000}"/>
    <cellStyle name="Normal 2 2 2 4 2 5 12" xfId="20119" xr:uid="{00000000-0005-0000-0000-0000974E0000}"/>
    <cellStyle name="Normal 2 2 2 4 2 5 13" xfId="20120" xr:uid="{00000000-0005-0000-0000-0000984E0000}"/>
    <cellStyle name="Normal 2 2 2 4 2 5 14" xfId="20121" xr:uid="{00000000-0005-0000-0000-0000994E0000}"/>
    <cellStyle name="Normal 2 2 2 4 2 5 2" xfId="20122" xr:uid="{00000000-0005-0000-0000-00009A4E0000}"/>
    <cellStyle name="Normal 2 2 2 4 2 5 2 10" xfId="20123" xr:uid="{00000000-0005-0000-0000-00009B4E0000}"/>
    <cellStyle name="Normal 2 2 2 4 2 5 2 2" xfId="20124" xr:uid="{00000000-0005-0000-0000-00009C4E0000}"/>
    <cellStyle name="Normal 2 2 2 4 2 5 2 3" xfId="20125" xr:uid="{00000000-0005-0000-0000-00009D4E0000}"/>
    <cellStyle name="Normal 2 2 2 4 2 5 2 4" xfId="20126" xr:uid="{00000000-0005-0000-0000-00009E4E0000}"/>
    <cellStyle name="Normal 2 2 2 4 2 5 2 5" xfId="20127" xr:uid="{00000000-0005-0000-0000-00009F4E0000}"/>
    <cellStyle name="Normal 2 2 2 4 2 5 2 6" xfId="20128" xr:uid="{00000000-0005-0000-0000-0000A04E0000}"/>
    <cellStyle name="Normal 2 2 2 4 2 5 2 7" xfId="20129" xr:uid="{00000000-0005-0000-0000-0000A14E0000}"/>
    <cellStyle name="Normal 2 2 2 4 2 5 2 8" xfId="20130" xr:uid="{00000000-0005-0000-0000-0000A24E0000}"/>
    <cellStyle name="Normal 2 2 2 4 2 5 2 9" xfId="20131" xr:uid="{00000000-0005-0000-0000-0000A34E0000}"/>
    <cellStyle name="Normal 2 2 2 4 2 5 3" xfId="20132" xr:uid="{00000000-0005-0000-0000-0000A44E0000}"/>
    <cellStyle name="Normal 2 2 2 4 2 5 3 10" xfId="20133" xr:uid="{00000000-0005-0000-0000-0000A54E0000}"/>
    <cellStyle name="Normal 2 2 2 4 2 5 3 2" xfId="20134" xr:uid="{00000000-0005-0000-0000-0000A64E0000}"/>
    <cellStyle name="Normal 2 2 2 4 2 5 3 3" xfId="20135" xr:uid="{00000000-0005-0000-0000-0000A74E0000}"/>
    <cellStyle name="Normal 2 2 2 4 2 5 3 4" xfId="20136" xr:uid="{00000000-0005-0000-0000-0000A84E0000}"/>
    <cellStyle name="Normal 2 2 2 4 2 5 3 5" xfId="20137" xr:uid="{00000000-0005-0000-0000-0000A94E0000}"/>
    <cellStyle name="Normal 2 2 2 4 2 5 3 6" xfId="20138" xr:uid="{00000000-0005-0000-0000-0000AA4E0000}"/>
    <cellStyle name="Normal 2 2 2 4 2 5 3 7" xfId="20139" xr:uid="{00000000-0005-0000-0000-0000AB4E0000}"/>
    <cellStyle name="Normal 2 2 2 4 2 5 3 8" xfId="20140" xr:uid="{00000000-0005-0000-0000-0000AC4E0000}"/>
    <cellStyle name="Normal 2 2 2 4 2 5 3 9" xfId="20141" xr:uid="{00000000-0005-0000-0000-0000AD4E0000}"/>
    <cellStyle name="Normal 2 2 2 4 2 5 4" xfId="20142" xr:uid="{00000000-0005-0000-0000-0000AE4E0000}"/>
    <cellStyle name="Normal 2 2 2 4 2 5 4 10" xfId="20143" xr:uid="{00000000-0005-0000-0000-0000AF4E0000}"/>
    <cellStyle name="Normal 2 2 2 4 2 5 4 2" xfId="20144" xr:uid="{00000000-0005-0000-0000-0000B04E0000}"/>
    <cellStyle name="Normal 2 2 2 4 2 5 4 3" xfId="20145" xr:uid="{00000000-0005-0000-0000-0000B14E0000}"/>
    <cellStyle name="Normal 2 2 2 4 2 5 4 4" xfId="20146" xr:uid="{00000000-0005-0000-0000-0000B24E0000}"/>
    <cellStyle name="Normal 2 2 2 4 2 5 4 5" xfId="20147" xr:uid="{00000000-0005-0000-0000-0000B34E0000}"/>
    <cellStyle name="Normal 2 2 2 4 2 5 4 6" xfId="20148" xr:uid="{00000000-0005-0000-0000-0000B44E0000}"/>
    <cellStyle name="Normal 2 2 2 4 2 5 4 7" xfId="20149" xr:uid="{00000000-0005-0000-0000-0000B54E0000}"/>
    <cellStyle name="Normal 2 2 2 4 2 5 4 8" xfId="20150" xr:uid="{00000000-0005-0000-0000-0000B64E0000}"/>
    <cellStyle name="Normal 2 2 2 4 2 5 4 9" xfId="20151" xr:uid="{00000000-0005-0000-0000-0000B74E0000}"/>
    <cellStyle name="Normal 2 2 2 4 2 5 5" xfId="20152" xr:uid="{00000000-0005-0000-0000-0000B84E0000}"/>
    <cellStyle name="Normal 2 2 2 4 2 5 5 10" xfId="20153" xr:uid="{00000000-0005-0000-0000-0000B94E0000}"/>
    <cellStyle name="Normal 2 2 2 4 2 5 5 2" xfId="20154" xr:uid="{00000000-0005-0000-0000-0000BA4E0000}"/>
    <cellStyle name="Normal 2 2 2 4 2 5 5 3" xfId="20155" xr:uid="{00000000-0005-0000-0000-0000BB4E0000}"/>
    <cellStyle name="Normal 2 2 2 4 2 5 5 4" xfId="20156" xr:uid="{00000000-0005-0000-0000-0000BC4E0000}"/>
    <cellStyle name="Normal 2 2 2 4 2 5 5 5" xfId="20157" xr:uid="{00000000-0005-0000-0000-0000BD4E0000}"/>
    <cellStyle name="Normal 2 2 2 4 2 5 5 6" xfId="20158" xr:uid="{00000000-0005-0000-0000-0000BE4E0000}"/>
    <cellStyle name="Normal 2 2 2 4 2 5 5 7" xfId="20159" xr:uid="{00000000-0005-0000-0000-0000BF4E0000}"/>
    <cellStyle name="Normal 2 2 2 4 2 5 5 8" xfId="20160" xr:uid="{00000000-0005-0000-0000-0000C04E0000}"/>
    <cellStyle name="Normal 2 2 2 4 2 5 5 9" xfId="20161" xr:uid="{00000000-0005-0000-0000-0000C14E0000}"/>
    <cellStyle name="Normal 2 2 2 4 2 5 6" xfId="20162" xr:uid="{00000000-0005-0000-0000-0000C24E0000}"/>
    <cellStyle name="Normal 2 2 2 4 2 5 7" xfId="20163" xr:uid="{00000000-0005-0000-0000-0000C34E0000}"/>
    <cellStyle name="Normal 2 2 2 4 2 5 8" xfId="20164" xr:uid="{00000000-0005-0000-0000-0000C44E0000}"/>
    <cellStyle name="Normal 2 2 2 4 2 5 9" xfId="20165" xr:uid="{00000000-0005-0000-0000-0000C54E0000}"/>
    <cellStyle name="Normal 2 2 2 4 2 6" xfId="20166" xr:uid="{00000000-0005-0000-0000-0000C64E0000}"/>
    <cellStyle name="Normal 2 2 2 4 2 6 10" xfId="20167" xr:uid="{00000000-0005-0000-0000-0000C74E0000}"/>
    <cellStyle name="Normal 2 2 2 4 2 6 11" xfId="20168" xr:uid="{00000000-0005-0000-0000-0000C84E0000}"/>
    <cellStyle name="Normal 2 2 2 4 2 6 12" xfId="20169" xr:uid="{00000000-0005-0000-0000-0000C94E0000}"/>
    <cellStyle name="Normal 2 2 2 4 2 6 13" xfId="20170" xr:uid="{00000000-0005-0000-0000-0000CA4E0000}"/>
    <cellStyle name="Normal 2 2 2 4 2 6 14" xfId="20171" xr:uid="{00000000-0005-0000-0000-0000CB4E0000}"/>
    <cellStyle name="Normal 2 2 2 4 2 6 2" xfId="20172" xr:uid="{00000000-0005-0000-0000-0000CC4E0000}"/>
    <cellStyle name="Normal 2 2 2 4 2 6 2 10" xfId="20173" xr:uid="{00000000-0005-0000-0000-0000CD4E0000}"/>
    <cellStyle name="Normal 2 2 2 4 2 6 2 2" xfId="20174" xr:uid="{00000000-0005-0000-0000-0000CE4E0000}"/>
    <cellStyle name="Normal 2 2 2 4 2 6 2 3" xfId="20175" xr:uid="{00000000-0005-0000-0000-0000CF4E0000}"/>
    <cellStyle name="Normal 2 2 2 4 2 6 2 4" xfId="20176" xr:uid="{00000000-0005-0000-0000-0000D04E0000}"/>
    <cellStyle name="Normal 2 2 2 4 2 6 2 5" xfId="20177" xr:uid="{00000000-0005-0000-0000-0000D14E0000}"/>
    <cellStyle name="Normal 2 2 2 4 2 6 2 6" xfId="20178" xr:uid="{00000000-0005-0000-0000-0000D24E0000}"/>
    <cellStyle name="Normal 2 2 2 4 2 6 2 7" xfId="20179" xr:uid="{00000000-0005-0000-0000-0000D34E0000}"/>
    <cellStyle name="Normal 2 2 2 4 2 6 2 8" xfId="20180" xr:uid="{00000000-0005-0000-0000-0000D44E0000}"/>
    <cellStyle name="Normal 2 2 2 4 2 6 2 9" xfId="20181" xr:uid="{00000000-0005-0000-0000-0000D54E0000}"/>
    <cellStyle name="Normal 2 2 2 4 2 6 3" xfId="20182" xr:uid="{00000000-0005-0000-0000-0000D64E0000}"/>
    <cellStyle name="Normal 2 2 2 4 2 6 3 10" xfId="20183" xr:uid="{00000000-0005-0000-0000-0000D74E0000}"/>
    <cellStyle name="Normal 2 2 2 4 2 6 3 2" xfId="20184" xr:uid="{00000000-0005-0000-0000-0000D84E0000}"/>
    <cellStyle name="Normal 2 2 2 4 2 6 3 3" xfId="20185" xr:uid="{00000000-0005-0000-0000-0000D94E0000}"/>
    <cellStyle name="Normal 2 2 2 4 2 6 3 4" xfId="20186" xr:uid="{00000000-0005-0000-0000-0000DA4E0000}"/>
    <cellStyle name="Normal 2 2 2 4 2 6 3 5" xfId="20187" xr:uid="{00000000-0005-0000-0000-0000DB4E0000}"/>
    <cellStyle name="Normal 2 2 2 4 2 6 3 6" xfId="20188" xr:uid="{00000000-0005-0000-0000-0000DC4E0000}"/>
    <cellStyle name="Normal 2 2 2 4 2 6 3 7" xfId="20189" xr:uid="{00000000-0005-0000-0000-0000DD4E0000}"/>
    <cellStyle name="Normal 2 2 2 4 2 6 3 8" xfId="20190" xr:uid="{00000000-0005-0000-0000-0000DE4E0000}"/>
    <cellStyle name="Normal 2 2 2 4 2 6 3 9" xfId="20191" xr:uid="{00000000-0005-0000-0000-0000DF4E0000}"/>
    <cellStyle name="Normal 2 2 2 4 2 6 4" xfId="20192" xr:uid="{00000000-0005-0000-0000-0000E04E0000}"/>
    <cellStyle name="Normal 2 2 2 4 2 6 4 10" xfId="20193" xr:uid="{00000000-0005-0000-0000-0000E14E0000}"/>
    <cellStyle name="Normal 2 2 2 4 2 6 4 2" xfId="20194" xr:uid="{00000000-0005-0000-0000-0000E24E0000}"/>
    <cellStyle name="Normal 2 2 2 4 2 6 4 3" xfId="20195" xr:uid="{00000000-0005-0000-0000-0000E34E0000}"/>
    <cellStyle name="Normal 2 2 2 4 2 6 4 4" xfId="20196" xr:uid="{00000000-0005-0000-0000-0000E44E0000}"/>
    <cellStyle name="Normal 2 2 2 4 2 6 4 5" xfId="20197" xr:uid="{00000000-0005-0000-0000-0000E54E0000}"/>
    <cellStyle name="Normal 2 2 2 4 2 6 4 6" xfId="20198" xr:uid="{00000000-0005-0000-0000-0000E64E0000}"/>
    <cellStyle name="Normal 2 2 2 4 2 6 4 7" xfId="20199" xr:uid="{00000000-0005-0000-0000-0000E74E0000}"/>
    <cellStyle name="Normal 2 2 2 4 2 6 4 8" xfId="20200" xr:uid="{00000000-0005-0000-0000-0000E84E0000}"/>
    <cellStyle name="Normal 2 2 2 4 2 6 4 9" xfId="20201" xr:uid="{00000000-0005-0000-0000-0000E94E0000}"/>
    <cellStyle name="Normal 2 2 2 4 2 6 5" xfId="20202" xr:uid="{00000000-0005-0000-0000-0000EA4E0000}"/>
    <cellStyle name="Normal 2 2 2 4 2 6 5 10" xfId="20203" xr:uid="{00000000-0005-0000-0000-0000EB4E0000}"/>
    <cellStyle name="Normal 2 2 2 4 2 6 5 2" xfId="20204" xr:uid="{00000000-0005-0000-0000-0000EC4E0000}"/>
    <cellStyle name="Normal 2 2 2 4 2 6 5 3" xfId="20205" xr:uid="{00000000-0005-0000-0000-0000ED4E0000}"/>
    <cellStyle name="Normal 2 2 2 4 2 6 5 4" xfId="20206" xr:uid="{00000000-0005-0000-0000-0000EE4E0000}"/>
    <cellStyle name="Normal 2 2 2 4 2 6 5 5" xfId="20207" xr:uid="{00000000-0005-0000-0000-0000EF4E0000}"/>
    <cellStyle name="Normal 2 2 2 4 2 6 5 6" xfId="20208" xr:uid="{00000000-0005-0000-0000-0000F04E0000}"/>
    <cellStyle name="Normal 2 2 2 4 2 6 5 7" xfId="20209" xr:uid="{00000000-0005-0000-0000-0000F14E0000}"/>
    <cellStyle name="Normal 2 2 2 4 2 6 5 8" xfId="20210" xr:uid="{00000000-0005-0000-0000-0000F24E0000}"/>
    <cellStyle name="Normal 2 2 2 4 2 6 5 9" xfId="20211" xr:uid="{00000000-0005-0000-0000-0000F34E0000}"/>
    <cellStyle name="Normal 2 2 2 4 2 6 6" xfId="20212" xr:uid="{00000000-0005-0000-0000-0000F44E0000}"/>
    <cellStyle name="Normal 2 2 2 4 2 6 7" xfId="20213" xr:uid="{00000000-0005-0000-0000-0000F54E0000}"/>
    <cellStyle name="Normal 2 2 2 4 2 6 8" xfId="20214" xr:uid="{00000000-0005-0000-0000-0000F64E0000}"/>
    <cellStyle name="Normal 2 2 2 4 2 6 9" xfId="20215" xr:uid="{00000000-0005-0000-0000-0000F74E0000}"/>
    <cellStyle name="Normal 2 2 2 4 2 7" xfId="20216" xr:uid="{00000000-0005-0000-0000-0000F84E0000}"/>
    <cellStyle name="Normal 2 2 2 4 2 7 10" xfId="20217" xr:uid="{00000000-0005-0000-0000-0000F94E0000}"/>
    <cellStyle name="Normal 2 2 2 4 2 7 11" xfId="20218" xr:uid="{00000000-0005-0000-0000-0000FA4E0000}"/>
    <cellStyle name="Normal 2 2 2 4 2 7 12" xfId="20219" xr:uid="{00000000-0005-0000-0000-0000FB4E0000}"/>
    <cellStyle name="Normal 2 2 2 4 2 7 13" xfId="20220" xr:uid="{00000000-0005-0000-0000-0000FC4E0000}"/>
    <cellStyle name="Normal 2 2 2 4 2 7 14" xfId="20221" xr:uid="{00000000-0005-0000-0000-0000FD4E0000}"/>
    <cellStyle name="Normal 2 2 2 4 2 7 2" xfId="20222" xr:uid="{00000000-0005-0000-0000-0000FE4E0000}"/>
    <cellStyle name="Normal 2 2 2 4 2 7 2 10" xfId="20223" xr:uid="{00000000-0005-0000-0000-0000FF4E0000}"/>
    <cellStyle name="Normal 2 2 2 4 2 7 2 2" xfId="20224" xr:uid="{00000000-0005-0000-0000-0000004F0000}"/>
    <cellStyle name="Normal 2 2 2 4 2 7 2 3" xfId="20225" xr:uid="{00000000-0005-0000-0000-0000014F0000}"/>
    <cellStyle name="Normal 2 2 2 4 2 7 2 4" xfId="20226" xr:uid="{00000000-0005-0000-0000-0000024F0000}"/>
    <cellStyle name="Normal 2 2 2 4 2 7 2 5" xfId="20227" xr:uid="{00000000-0005-0000-0000-0000034F0000}"/>
    <cellStyle name="Normal 2 2 2 4 2 7 2 6" xfId="20228" xr:uid="{00000000-0005-0000-0000-0000044F0000}"/>
    <cellStyle name="Normal 2 2 2 4 2 7 2 7" xfId="20229" xr:uid="{00000000-0005-0000-0000-0000054F0000}"/>
    <cellStyle name="Normal 2 2 2 4 2 7 2 8" xfId="20230" xr:uid="{00000000-0005-0000-0000-0000064F0000}"/>
    <cellStyle name="Normal 2 2 2 4 2 7 2 9" xfId="20231" xr:uid="{00000000-0005-0000-0000-0000074F0000}"/>
    <cellStyle name="Normal 2 2 2 4 2 7 3" xfId="20232" xr:uid="{00000000-0005-0000-0000-0000084F0000}"/>
    <cellStyle name="Normal 2 2 2 4 2 7 3 10" xfId="20233" xr:uid="{00000000-0005-0000-0000-0000094F0000}"/>
    <cellStyle name="Normal 2 2 2 4 2 7 3 2" xfId="20234" xr:uid="{00000000-0005-0000-0000-00000A4F0000}"/>
    <cellStyle name="Normal 2 2 2 4 2 7 3 3" xfId="20235" xr:uid="{00000000-0005-0000-0000-00000B4F0000}"/>
    <cellStyle name="Normal 2 2 2 4 2 7 3 4" xfId="20236" xr:uid="{00000000-0005-0000-0000-00000C4F0000}"/>
    <cellStyle name="Normal 2 2 2 4 2 7 3 5" xfId="20237" xr:uid="{00000000-0005-0000-0000-00000D4F0000}"/>
    <cellStyle name="Normal 2 2 2 4 2 7 3 6" xfId="20238" xr:uid="{00000000-0005-0000-0000-00000E4F0000}"/>
    <cellStyle name="Normal 2 2 2 4 2 7 3 7" xfId="20239" xr:uid="{00000000-0005-0000-0000-00000F4F0000}"/>
    <cellStyle name="Normal 2 2 2 4 2 7 3 8" xfId="20240" xr:uid="{00000000-0005-0000-0000-0000104F0000}"/>
    <cellStyle name="Normal 2 2 2 4 2 7 3 9" xfId="20241" xr:uid="{00000000-0005-0000-0000-0000114F0000}"/>
    <cellStyle name="Normal 2 2 2 4 2 7 4" xfId="20242" xr:uid="{00000000-0005-0000-0000-0000124F0000}"/>
    <cellStyle name="Normal 2 2 2 4 2 7 4 10" xfId="20243" xr:uid="{00000000-0005-0000-0000-0000134F0000}"/>
    <cellStyle name="Normal 2 2 2 4 2 7 4 2" xfId="20244" xr:uid="{00000000-0005-0000-0000-0000144F0000}"/>
    <cellStyle name="Normal 2 2 2 4 2 7 4 3" xfId="20245" xr:uid="{00000000-0005-0000-0000-0000154F0000}"/>
    <cellStyle name="Normal 2 2 2 4 2 7 4 4" xfId="20246" xr:uid="{00000000-0005-0000-0000-0000164F0000}"/>
    <cellStyle name="Normal 2 2 2 4 2 7 4 5" xfId="20247" xr:uid="{00000000-0005-0000-0000-0000174F0000}"/>
    <cellStyle name="Normal 2 2 2 4 2 7 4 6" xfId="20248" xr:uid="{00000000-0005-0000-0000-0000184F0000}"/>
    <cellStyle name="Normal 2 2 2 4 2 7 4 7" xfId="20249" xr:uid="{00000000-0005-0000-0000-0000194F0000}"/>
    <cellStyle name="Normal 2 2 2 4 2 7 4 8" xfId="20250" xr:uid="{00000000-0005-0000-0000-00001A4F0000}"/>
    <cellStyle name="Normal 2 2 2 4 2 7 4 9" xfId="20251" xr:uid="{00000000-0005-0000-0000-00001B4F0000}"/>
    <cellStyle name="Normal 2 2 2 4 2 7 5" xfId="20252" xr:uid="{00000000-0005-0000-0000-00001C4F0000}"/>
    <cellStyle name="Normal 2 2 2 4 2 7 5 10" xfId="20253" xr:uid="{00000000-0005-0000-0000-00001D4F0000}"/>
    <cellStyle name="Normal 2 2 2 4 2 7 5 2" xfId="20254" xr:uid="{00000000-0005-0000-0000-00001E4F0000}"/>
    <cellStyle name="Normal 2 2 2 4 2 7 5 3" xfId="20255" xr:uid="{00000000-0005-0000-0000-00001F4F0000}"/>
    <cellStyle name="Normal 2 2 2 4 2 7 5 4" xfId="20256" xr:uid="{00000000-0005-0000-0000-0000204F0000}"/>
    <cellStyle name="Normal 2 2 2 4 2 7 5 5" xfId="20257" xr:uid="{00000000-0005-0000-0000-0000214F0000}"/>
    <cellStyle name="Normal 2 2 2 4 2 7 5 6" xfId="20258" xr:uid="{00000000-0005-0000-0000-0000224F0000}"/>
    <cellStyle name="Normal 2 2 2 4 2 7 5 7" xfId="20259" xr:uid="{00000000-0005-0000-0000-0000234F0000}"/>
    <cellStyle name="Normal 2 2 2 4 2 7 5 8" xfId="20260" xr:uid="{00000000-0005-0000-0000-0000244F0000}"/>
    <cellStyle name="Normal 2 2 2 4 2 7 5 9" xfId="20261" xr:uid="{00000000-0005-0000-0000-0000254F0000}"/>
    <cellStyle name="Normal 2 2 2 4 2 7 6" xfId="20262" xr:uid="{00000000-0005-0000-0000-0000264F0000}"/>
    <cellStyle name="Normal 2 2 2 4 2 7 7" xfId="20263" xr:uid="{00000000-0005-0000-0000-0000274F0000}"/>
    <cellStyle name="Normal 2 2 2 4 2 7 8" xfId="20264" xr:uid="{00000000-0005-0000-0000-0000284F0000}"/>
    <cellStyle name="Normal 2 2 2 4 2 7 9" xfId="20265" xr:uid="{00000000-0005-0000-0000-0000294F0000}"/>
    <cellStyle name="Normal 2 2 2 4 2 8" xfId="20266" xr:uid="{00000000-0005-0000-0000-00002A4F0000}"/>
    <cellStyle name="Normal 2 2 2 4 2 8 10" xfId="20267" xr:uid="{00000000-0005-0000-0000-00002B4F0000}"/>
    <cellStyle name="Normal 2 2 2 4 2 8 11" xfId="20268" xr:uid="{00000000-0005-0000-0000-00002C4F0000}"/>
    <cellStyle name="Normal 2 2 2 4 2 8 12" xfId="20269" xr:uid="{00000000-0005-0000-0000-00002D4F0000}"/>
    <cellStyle name="Normal 2 2 2 4 2 8 13" xfId="20270" xr:uid="{00000000-0005-0000-0000-00002E4F0000}"/>
    <cellStyle name="Normal 2 2 2 4 2 8 14" xfId="20271" xr:uid="{00000000-0005-0000-0000-00002F4F0000}"/>
    <cellStyle name="Normal 2 2 2 4 2 8 2" xfId="20272" xr:uid="{00000000-0005-0000-0000-0000304F0000}"/>
    <cellStyle name="Normal 2 2 2 4 2 8 2 10" xfId="20273" xr:uid="{00000000-0005-0000-0000-0000314F0000}"/>
    <cellStyle name="Normal 2 2 2 4 2 8 2 2" xfId="20274" xr:uid="{00000000-0005-0000-0000-0000324F0000}"/>
    <cellStyle name="Normal 2 2 2 4 2 8 2 3" xfId="20275" xr:uid="{00000000-0005-0000-0000-0000334F0000}"/>
    <cellStyle name="Normal 2 2 2 4 2 8 2 4" xfId="20276" xr:uid="{00000000-0005-0000-0000-0000344F0000}"/>
    <cellStyle name="Normal 2 2 2 4 2 8 2 5" xfId="20277" xr:uid="{00000000-0005-0000-0000-0000354F0000}"/>
    <cellStyle name="Normal 2 2 2 4 2 8 2 6" xfId="20278" xr:uid="{00000000-0005-0000-0000-0000364F0000}"/>
    <cellStyle name="Normal 2 2 2 4 2 8 2 7" xfId="20279" xr:uid="{00000000-0005-0000-0000-0000374F0000}"/>
    <cellStyle name="Normal 2 2 2 4 2 8 2 8" xfId="20280" xr:uid="{00000000-0005-0000-0000-0000384F0000}"/>
    <cellStyle name="Normal 2 2 2 4 2 8 2 9" xfId="20281" xr:uid="{00000000-0005-0000-0000-0000394F0000}"/>
    <cellStyle name="Normal 2 2 2 4 2 8 3" xfId="20282" xr:uid="{00000000-0005-0000-0000-00003A4F0000}"/>
    <cellStyle name="Normal 2 2 2 4 2 8 3 10" xfId="20283" xr:uid="{00000000-0005-0000-0000-00003B4F0000}"/>
    <cellStyle name="Normal 2 2 2 4 2 8 3 2" xfId="20284" xr:uid="{00000000-0005-0000-0000-00003C4F0000}"/>
    <cellStyle name="Normal 2 2 2 4 2 8 3 3" xfId="20285" xr:uid="{00000000-0005-0000-0000-00003D4F0000}"/>
    <cellStyle name="Normal 2 2 2 4 2 8 3 4" xfId="20286" xr:uid="{00000000-0005-0000-0000-00003E4F0000}"/>
    <cellStyle name="Normal 2 2 2 4 2 8 3 5" xfId="20287" xr:uid="{00000000-0005-0000-0000-00003F4F0000}"/>
    <cellStyle name="Normal 2 2 2 4 2 8 3 6" xfId="20288" xr:uid="{00000000-0005-0000-0000-0000404F0000}"/>
    <cellStyle name="Normal 2 2 2 4 2 8 3 7" xfId="20289" xr:uid="{00000000-0005-0000-0000-0000414F0000}"/>
    <cellStyle name="Normal 2 2 2 4 2 8 3 8" xfId="20290" xr:uid="{00000000-0005-0000-0000-0000424F0000}"/>
    <cellStyle name="Normal 2 2 2 4 2 8 3 9" xfId="20291" xr:uid="{00000000-0005-0000-0000-0000434F0000}"/>
    <cellStyle name="Normal 2 2 2 4 2 8 4" xfId="20292" xr:uid="{00000000-0005-0000-0000-0000444F0000}"/>
    <cellStyle name="Normal 2 2 2 4 2 8 4 10" xfId="20293" xr:uid="{00000000-0005-0000-0000-0000454F0000}"/>
    <cellStyle name="Normal 2 2 2 4 2 8 4 2" xfId="20294" xr:uid="{00000000-0005-0000-0000-0000464F0000}"/>
    <cellStyle name="Normal 2 2 2 4 2 8 4 3" xfId="20295" xr:uid="{00000000-0005-0000-0000-0000474F0000}"/>
    <cellStyle name="Normal 2 2 2 4 2 8 4 4" xfId="20296" xr:uid="{00000000-0005-0000-0000-0000484F0000}"/>
    <cellStyle name="Normal 2 2 2 4 2 8 4 5" xfId="20297" xr:uid="{00000000-0005-0000-0000-0000494F0000}"/>
    <cellStyle name="Normal 2 2 2 4 2 8 4 6" xfId="20298" xr:uid="{00000000-0005-0000-0000-00004A4F0000}"/>
    <cellStyle name="Normal 2 2 2 4 2 8 4 7" xfId="20299" xr:uid="{00000000-0005-0000-0000-00004B4F0000}"/>
    <cellStyle name="Normal 2 2 2 4 2 8 4 8" xfId="20300" xr:uid="{00000000-0005-0000-0000-00004C4F0000}"/>
    <cellStyle name="Normal 2 2 2 4 2 8 4 9" xfId="20301" xr:uid="{00000000-0005-0000-0000-00004D4F0000}"/>
    <cellStyle name="Normal 2 2 2 4 2 8 5" xfId="20302" xr:uid="{00000000-0005-0000-0000-00004E4F0000}"/>
    <cellStyle name="Normal 2 2 2 4 2 8 5 10" xfId="20303" xr:uid="{00000000-0005-0000-0000-00004F4F0000}"/>
    <cellStyle name="Normal 2 2 2 4 2 8 5 2" xfId="20304" xr:uid="{00000000-0005-0000-0000-0000504F0000}"/>
    <cellStyle name="Normal 2 2 2 4 2 8 5 3" xfId="20305" xr:uid="{00000000-0005-0000-0000-0000514F0000}"/>
    <cellStyle name="Normal 2 2 2 4 2 8 5 4" xfId="20306" xr:uid="{00000000-0005-0000-0000-0000524F0000}"/>
    <cellStyle name="Normal 2 2 2 4 2 8 5 5" xfId="20307" xr:uid="{00000000-0005-0000-0000-0000534F0000}"/>
    <cellStyle name="Normal 2 2 2 4 2 8 5 6" xfId="20308" xr:uid="{00000000-0005-0000-0000-0000544F0000}"/>
    <cellStyle name="Normal 2 2 2 4 2 8 5 7" xfId="20309" xr:uid="{00000000-0005-0000-0000-0000554F0000}"/>
    <cellStyle name="Normal 2 2 2 4 2 8 5 8" xfId="20310" xr:uid="{00000000-0005-0000-0000-0000564F0000}"/>
    <cellStyle name="Normal 2 2 2 4 2 8 5 9" xfId="20311" xr:uid="{00000000-0005-0000-0000-0000574F0000}"/>
    <cellStyle name="Normal 2 2 2 4 2 8 6" xfId="20312" xr:uid="{00000000-0005-0000-0000-0000584F0000}"/>
    <cellStyle name="Normal 2 2 2 4 2 8 7" xfId="20313" xr:uid="{00000000-0005-0000-0000-0000594F0000}"/>
    <cellStyle name="Normal 2 2 2 4 2 8 8" xfId="20314" xr:uid="{00000000-0005-0000-0000-00005A4F0000}"/>
    <cellStyle name="Normal 2 2 2 4 2 8 9" xfId="20315" xr:uid="{00000000-0005-0000-0000-00005B4F0000}"/>
    <cellStyle name="Normal 2 2 2 4 2 9" xfId="20316" xr:uid="{00000000-0005-0000-0000-00005C4F0000}"/>
    <cellStyle name="Normal 2 2 2 4 2 9 10" xfId="20317" xr:uid="{00000000-0005-0000-0000-00005D4F0000}"/>
    <cellStyle name="Normal 2 2 2 4 2 9 11" xfId="20318" xr:uid="{00000000-0005-0000-0000-00005E4F0000}"/>
    <cellStyle name="Normal 2 2 2 4 2 9 12" xfId="20319" xr:uid="{00000000-0005-0000-0000-00005F4F0000}"/>
    <cellStyle name="Normal 2 2 2 4 2 9 13" xfId="20320" xr:uid="{00000000-0005-0000-0000-0000604F0000}"/>
    <cellStyle name="Normal 2 2 2 4 2 9 14" xfId="20321" xr:uid="{00000000-0005-0000-0000-0000614F0000}"/>
    <cellStyle name="Normal 2 2 2 4 2 9 2" xfId="20322" xr:uid="{00000000-0005-0000-0000-0000624F0000}"/>
    <cellStyle name="Normal 2 2 2 4 2 9 2 10" xfId="20323" xr:uid="{00000000-0005-0000-0000-0000634F0000}"/>
    <cellStyle name="Normal 2 2 2 4 2 9 2 2" xfId="20324" xr:uid="{00000000-0005-0000-0000-0000644F0000}"/>
    <cellStyle name="Normal 2 2 2 4 2 9 2 3" xfId="20325" xr:uid="{00000000-0005-0000-0000-0000654F0000}"/>
    <cellStyle name="Normal 2 2 2 4 2 9 2 4" xfId="20326" xr:uid="{00000000-0005-0000-0000-0000664F0000}"/>
    <cellStyle name="Normal 2 2 2 4 2 9 2 5" xfId="20327" xr:uid="{00000000-0005-0000-0000-0000674F0000}"/>
    <cellStyle name="Normal 2 2 2 4 2 9 2 6" xfId="20328" xr:uid="{00000000-0005-0000-0000-0000684F0000}"/>
    <cellStyle name="Normal 2 2 2 4 2 9 2 7" xfId="20329" xr:uid="{00000000-0005-0000-0000-0000694F0000}"/>
    <cellStyle name="Normal 2 2 2 4 2 9 2 8" xfId="20330" xr:uid="{00000000-0005-0000-0000-00006A4F0000}"/>
    <cellStyle name="Normal 2 2 2 4 2 9 2 9" xfId="20331" xr:uid="{00000000-0005-0000-0000-00006B4F0000}"/>
    <cellStyle name="Normal 2 2 2 4 2 9 3" xfId="20332" xr:uid="{00000000-0005-0000-0000-00006C4F0000}"/>
    <cellStyle name="Normal 2 2 2 4 2 9 3 10" xfId="20333" xr:uid="{00000000-0005-0000-0000-00006D4F0000}"/>
    <cellStyle name="Normal 2 2 2 4 2 9 3 2" xfId="20334" xr:uid="{00000000-0005-0000-0000-00006E4F0000}"/>
    <cellStyle name="Normal 2 2 2 4 2 9 3 3" xfId="20335" xr:uid="{00000000-0005-0000-0000-00006F4F0000}"/>
    <cellStyle name="Normal 2 2 2 4 2 9 3 4" xfId="20336" xr:uid="{00000000-0005-0000-0000-0000704F0000}"/>
    <cellStyle name="Normal 2 2 2 4 2 9 3 5" xfId="20337" xr:uid="{00000000-0005-0000-0000-0000714F0000}"/>
    <cellStyle name="Normal 2 2 2 4 2 9 3 6" xfId="20338" xr:uid="{00000000-0005-0000-0000-0000724F0000}"/>
    <cellStyle name="Normal 2 2 2 4 2 9 3 7" xfId="20339" xr:uid="{00000000-0005-0000-0000-0000734F0000}"/>
    <cellStyle name="Normal 2 2 2 4 2 9 3 8" xfId="20340" xr:uid="{00000000-0005-0000-0000-0000744F0000}"/>
    <cellStyle name="Normal 2 2 2 4 2 9 3 9" xfId="20341" xr:uid="{00000000-0005-0000-0000-0000754F0000}"/>
    <cellStyle name="Normal 2 2 2 4 2 9 4" xfId="20342" xr:uid="{00000000-0005-0000-0000-0000764F0000}"/>
    <cellStyle name="Normal 2 2 2 4 2 9 4 10" xfId="20343" xr:uid="{00000000-0005-0000-0000-0000774F0000}"/>
    <cellStyle name="Normal 2 2 2 4 2 9 4 2" xfId="20344" xr:uid="{00000000-0005-0000-0000-0000784F0000}"/>
    <cellStyle name="Normal 2 2 2 4 2 9 4 3" xfId="20345" xr:uid="{00000000-0005-0000-0000-0000794F0000}"/>
    <cellStyle name="Normal 2 2 2 4 2 9 4 4" xfId="20346" xr:uid="{00000000-0005-0000-0000-00007A4F0000}"/>
    <cellStyle name="Normal 2 2 2 4 2 9 4 5" xfId="20347" xr:uid="{00000000-0005-0000-0000-00007B4F0000}"/>
    <cellStyle name="Normal 2 2 2 4 2 9 4 6" xfId="20348" xr:uid="{00000000-0005-0000-0000-00007C4F0000}"/>
    <cellStyle name="Normal 2 2 2 4 2 9 4 7" xfId="20349" xr:uid="{00000000-0005-0000-0000-00007D4F0000}"/>
    <cellStyle name="Normal 2 2 2 4 2 9 4 8" xfId="20350" xr:uid="{00000000-0005-0000-0000-00007E4F0000}"/>
    <cellStyle name="Normal 2 2 2 4 2 9 4 9" xfId="20351" xr:uid="{00000000-0005-0000-0000-00007F4F0000}"/>
    <cellStyle name="Normal 2 2 2 4 2 9 5" xfId="20352" xr:uid="{00000000-0005-0000-0000-0000804F0000}"/>
    <cellStyle name="Normal 2 2 2 4 2 9 5 10" xfId="20353" xr:uid="{00000000-0005-0000-0000-0000814F0000}"/>
    <cellStyle name="Normal 2 2 2 4 2 9 5 2" xfId="20354" xr:uid="{00000000-0005-0000-0000-0000824F0000}"/>
    <cellStyle name="Normal 2 2 2 4 2 9 5 3" xfId="20355" xr:uid="{00000000-0005-0000-0000-0000834F0000}"/>
    <cellStyle name="Normal 2 2 2 4 2 9 5 4" xfId="20356" xr:uid="{00000000-0005-0000-0000-0000844F0000}"/>
    <cellStyle name="Normal 2 2 2 4 2 9 5 5" xfId="20357" xr:uid="{00000000-0005-0000-0000-0000854F0000}"/>
    <cellStyle name="Normal 2 2 2 4 2 9 5 6" xfId="20358" xr:uid="{00000000-0005-0000-0000-0000864F0000}"/>
    <cellStyle name="Normal 2 2 2 4 2 9 5 7" xfId="20359" xr:uid="{00000000-0005-0000-0000-0000874F0000}"/>
    <cellStyle name="Normal 2 2 2 4 2 9 5 8" xfId="20360" xr:uid="{00000000-0005-0000-0000-0000884F0000}"/>
    <cellStyle name="Normal 2 2 2 4 2 9 5 9" xfId="20361" xr:uid="{00000000-0005-0000-0000-0000894F0000}"/>
    <cellStyle name="Normal 2 2 2 4 2 9 6" xfId="20362" xr:uid="{00000000-0005-0000-0000-00008A4F0000}"/>
    <cellStyle name="Normal 2 2 2 4 2 9 7" xfId="20363" xr:uid="{00000000-0005-0000-0000-00008B4F0000}"/>
    <cellStyle name="Normal 2 2 2 4 2 9 8" xfId="20364" xr:uid="{00000000-0005-0000-0000-00008C4F0000}"/>
    <cellStyle name="Normal 2 2 2 4 2 9 9" xfId="20365" xr:uid="{00000000-0005-0000-0000-00008D4F0000}"/>
    <cellStyle name="Normal 2 2 2 4 20" xfId="20366" xr:uid="{00000000-0005-0000-0000-00008E4F0000}"/>
    <cellStyle name="Normal 2 2 2 4 21" xfId="20367" xr:uid="{00000000-0005-0000-0000-00008F4F0000}"/>
    <cellStyle name="Normal 2 2 2 4 22" xfId="20368" xr:uid="{00000000-0005-0000-0000-0000904F0000}"/>
    <cellStyle name="Normal 2 2 2 4 23" xfId="20369" xr:uid="{00000000-0005-0000-0000-0000914F0000}"/>
    <cellStyle name="Normal 2 2 2 4 24" xfId="20370" xr:uid="{00000000-0005-0000-0000-0000924F0000}"/>
    <cellStyle name="Normal 2 2 2 4 25" xfId="20371" xr:uid="{00000000-0005-0000-0000-0000934F0000}"/>
    <cellStyle name="Normal 2 2 2 4 26" xfId="20372" xr:uid="{00000000-0005-0000-0000-0000944F0000}"/>
    <cellStyle name="Normal 2 2 2 4 27" xfId="20373" xr:uid="{00000000-0005-0000-0000-0000954F0000}"/>
    <cellStyle name="Normal 2 2 2 4 28" xfId="20374" xr:uid="{00000000-0005-0000-0000-0000964F0000}"/>
    <cellStyle name="Normal 2 2 2 4 29" xfId="20375" xr:uid="{00000000-0005-0000-0000-0000974F0000}"/>
    <cellStyle name="Normal 2 2 2 4 3" xfId="20376" xr:uid="{00000000-0005-0000-0000-0000984F0000}"/>
    <cellStyle name="Normal 2 2 2 4 3 2" xfId="20377" xr:uid="{00000000-0005-0000-0000-0000994F0000}"/>
    <cellStyle name="Normal 2 2 2 4 3 3" xfId="20378" xr:uid="{00000000-0005-0000-0000-00009A4F0000}"/>
    <cellStyle name="Normal 2 2 2 4 30" xfId="20379" xr:uid="{00000000-0005-0000-0000-00009B4F0000}"/>
    <cellStyle name="Normal 2 2 2 4 31" xfId="20380" xr:uid="{00000000-0005-0000-0000-00009C4F0000}"/>
    <cellStyle name="Normal 2 2 2 4 32" xfId="20381" xr:uid="{00000000-0005-0000-0000-00009D4F0000}"/>
    <cellStyle name="Normal 2 2 2 4 33" xfId="20382" xr:uid="{00000000-0005-0000-0000-00009E4F0000}"/>
    <cellStyle name="Normal 2 2 2 4 34" xfId="20383" xr:uid="{00000000-0005-0000-0000-00009F4F0000}"/>
    <cellStyle name="Normal 2 2 2 4 34 10" xfId="20384" xr:uid="{00000000-0005-0000-0000-0000A04F0000}"/>
    <cellStyle name="Normal 2 2 2 4 34 2" xfId="20385" xr:uid="{00000000-0005-0000-0000-0000A14F0000}"/>
    <cellStyle name="Normal 2 2 2 4 34 3" xfId="20386" xr:uid="{00000000-0005-0000-0000-0000A24F0000}"/>
    <cellStyle name="Normal 2 2 2 4 34 4" xfId="20387" xr:uid="{00000000-0005-0000-0000-0000A34F0000}"/>
    <cellStyle name="Normal 2 2 2 4 34 5" xfId="20388" xr:uid="{00000000-0005-0000-0000-0000A44F0000}"/>
    <cellStyle name="Normal 2 2 2 4 34 6" xfId="20389" xr:uid="{00000000-0005-0000-0000-0000A54F0000}"/>
    <cellStyle name="Normal 2 2 2 4 34 7" xfId="20390" xr:uid="{00000000-0005-0000-0000-0000A64F0000}"/>
    <cellStyle name="Normal 2 2 2 4 34 8" xfId="20391" xr:uid="{00000000-0005-0000-0000-0000A74F0000}"/>
    <cellStyle name="Normal 2 2 2 4 34 9" xfId="20392" xr:uid="{00000000-0005-0000-0000-0000A84F0000}"/>
    <cellStyle name="Normal 2 2 2 4 35" xfId="20393" xr:uid="{00000000-0005-0000-0000-0000A94F0000}"/>
    <cellStyle name="Normal 2 2 2 4 35 10" xfId="20394" xr:uid="{00000000-0005-0000-0000-0000AA4F0000}"/>
    <cellStyle name="Normal 2 2 2 4 35 2" xfId="20395" xr:uid="{00000000-0005-0000-0000-0000AB4F0000}"/>
    <cellStyle name="Normal 2 2 2 4 35 3" xfId="20396" xr:uid="{00000000-0005-0000-0000-0000AC4F0000}"/>
    <cellStyle name="Normal 2 2 2 4 35 4" xfId="20397" xr:uid="{00000000-0005-0000-0000-0000AD4F0000}"/>
    <cellStyle name="Normal 2 2 2 4 35 5" xfId="20398" xr:uid="{00000000-0005-0000-0000-0000AE4F0000}"/>
    <cellStyle name="Normal 2 2 2 4 35 6" xfId="20399" xr:uid="{00000000-0005-0000-0000-0000AF4F0000}"/>
    <cellStyle name="Normal 2 2 2 4 35 7" xfId="20400" xr:uid="{00000000-0005-0000-0000-0000B04F0000}"/>
    <cellStyle name="Normal 2 2 2 4 35 8" xfId="20401" xr:uid="{00000000-0005-0000-0000-0000B14F0000}"/>
    <cellStyle name="Normal 2 2 2 4 35 9" xfId="20402" xr:uid="{00000000-0005-0000-0000-0000B24F0000}"/>
    <cellStyle name="Normal 2 2 2 4 36" xfId="20403" xr:uid="{00000000-0005-0000-0000-0000B34F0000}"/>
    <cellStyle name="Normal 2 2 2 4 36 10" xfId="20404" xr:uid="{00000000-0005-0000-0000-0000B44F0000}"/>
    <cellStyle name="Normal 2 2 2 4 36 2" xfId="20405" xr:uid="{00000000-0005-0000-0000-0000B54F0000}"/>
    <cellStyle name="Normal 2 2 2 4 36 3" xfId="20406" xr:uid="{00000000-0005-0000-0000-0000B64F0000}"/>
    <cellStyle name="Normal 2 2 2 4 36 4" xfId="20407" xr:uid="{00000000-0005-0000-0000-0000B74F0000}"/>
    <cellStyle name="Normal 2 2 2 4 36 5" xfId="20408" xr:uid="{00000000-0005-0000-0000-0000B84F0000}"/>
    <cellStyle name="Normal 2 2 2 4 36 6" xfId="20409" xr:uid="{00000000-0005-0000-0000-0000B94F0000}"/>
    <cellStyle name="Normal 2 2 2 4 36 7" xfId="20410" xr:uid="{00000000-0005-0000-0000-0000BA4F0000}"/>
    <cellStyle name="Normal 2 2 2 4 36 8" xfId="20411" xr:uid="{00000000-0005-0000-0000-0000BB4F0000}"/>
    <cellStyle name="Normal 2 2 2 4 36 9" xfId="20412" xr:uid="{00000000-0005-0000-0000-0000BC4F0000}"/>
    <cellStyle name="Normal 2 2 2 4 37" xfId="20413" xr:uid="{00000000-0005-0000-0000-0000BD4F0000}"/>
    <cellStyle name="Normal 2 2 2 4 37 10" xfId="20414" xr:uid="{00000000-0005-0000-0000-0000BE4F0000}"/>
    <cellStyle name="Normal 2 2 2 4 37 2" xfId="20415" xr:uid="{00000000-0005-0000-0000-0000BF4F0000}"/>
    <cellStyle name="Normal 2 2 2 4 37 3" xfId="20416" xr:uid="{00000000-0005-0000-0000-0000C04F0000}"/>
    <cellStyle name="Normal 2 2 2 4 37 4" xfId="20417" xr:uid="{00000000-0005-0000-0000-0000C14F0000}"/>
    <cellStyle name="Normal 2 2 2 4 37 5" xfId="20418" xr:uid="{00000000-0005-0000-0000-0000C24F0000}"/>
    <cellStyle name="Normal 2 2 2 4 37 6" xfId="20419" xr:uid="{00000000-0005-0000-0000-0000C34F0000}"/>
    <cellStyle name="Normal 2 2 2 4 37 7" xfId="20420" xr:uid="{00000000-0005-0000-0000-0000C44F0000}"/>
    <cellStyle name="Normal 2 2 2 4 37 8" xfId="20421" xr:uid="{00000000-0005-0000-0000-0000C54F0000}"/>
    <cellStyle name="Normal 2 2 2 4 37 9" xfId="20422" xr:uid="{00000000-0005-0000-0000-0000C64F0000}"/>
    <cellStyle name="Normal 2 2 2 4 38" xfId="20423" xr:uid="{00000000-0005-0000-0000-0000C74F0000}"/>
    <cellStyle name="Normal 2 2 2 4 39" xfId="20424" xr:uid="{00000000-0005-0000-0000-0000C84F0000}"/>
    <cellStyle name="Normal 2 2 2 4 4" xfId="20425" xr:uid="{00000000-0005-0000-0000-0000C94F0000}"/>
    <cellStyle name="Normal 2 2 2 4 40" xfId="20426" xr:uid="{00000000-0005-0000-0000-0000CA4F0000}"/>
    <cellStyle name="Normal 2 2 2 4 41" xfId="20427" xr:uid="{00000000-0005-0000-0000-0000CB4F0000}"/>
    <cellStyle name="Normal 2 2 2 4 42" xfId="20428" xr:uid="{00000000-0005-0000-0000-0000CC4F0000}"/>
    <cellStyle name="Normal 2 2 2 4 43" xfId="20429" xr:uid="{00000000-0005-0000-0000-0000CD4F0000}"/>
    <cellStyle name="Normal 2 2 2 4 44" xfId="20430" xr:uid="{00000000-0005-0000-0000-0000CE4F0000}"/>
    <cellStyle name="Normal 2 2 2 4 45" xfId="20431" xr:uid="{00000000-0005-0000-0000-0000CF4F0000}"/>
    <cellStyle name="Normal 2 2 2 4 46" xfId="20432" xr:uid="{00000000-0005-0000-0000-0000D04F0000}"/>
    <cellStyle name="Normal 2 2 2 4 47" xfId="20433" xr:uid="{00000000-0005-0000-0000-0000D14F0000}"/>
    <cellStyle name="Normal 2 2 2 4 48" xfId="20434" xr:uid="{00000000-0005-0000-0000-0000D24F0000}"/>
    <cellStyle name="Normal 2 2 2 4 5" xfId="20435" xr:uid="{00000000-0005-0000-0000-0000D34F0000}"/>
    <cellStyle name="Normal 2 2 2 4 6" xfId="20436" xr:uid="{00000000-0005-0000-0000-0000D44F0000}"/>
    <cellStyle name="Normal 2 2 2 4 7" xfId="20437" xr:uid="{00000000-0005-0000-0000-0000D54F0000}"/>
    <cellStyle name="Normal 2 2 2 4 8" xfId="20438" xr:uid="{00000000-0005-0000-0000-0000D64F0000}"/>
    <cellStyle name="Normal 2 2 2 4 9" xfId="20439" xr:uid="{00000000-0005-0000-0000-0000D74F0000}"/>
    <cellStyle name="Normal 2 2 2 40" xfId="20440" xr:uid="{00000000-0005-0000-0000-0000D84F0000}"/>
    <cellStyle name="Normal 2 2 2 40 10" xfId="20441" xr:uid="{00000000-0005-0000-0000-0000D94F0000}"/>
    <cellStyle name="Normal 2 2 2 40 2" xfId="20442" xr:uid="{00000000-0005-0000-0000-0000DA4F0000}"/>
    <cellStyle name="Normal 2 2 2 40 3" xfId="20443" xr:uid="{00000000-0005-0000-0000-0000DB4F0000}"/>
    <cellStyle name="Normal 2 2 2 40 4" xfId="20444" xr:uid="{00000000-0005-0000-0000-0000DC4F0000}"/>
    <cellStyle name="Normal 2 2 2 40 5" xfId="20445" xr:uid="{00000000-0005-0000-0000-0000DD4F0000}"/>
    <cellStyle name="Normal 2 2 2 40 6" xfId="20446" xr:uid="{00000000-0005-0000-0000-0000DE4F0000}"/>
    <cellStyle name="Normal 2 2 2 40 7" xfId="20447" xr:uid="{00000000-0005-0000-0000-0000DF4F0000}"/>
    <cellStyle name="Normal 2 2 2 40 8" xfId="20448" xr:uid="{00000000-0005-0000-0000-0000E04F0000}"/>
    <cellStyle name="Normal 2 2 2 40 9" xfId="20449" xr:uid="{00000000-0005-0000-0000-0000E14F0000}"/>
    <cellStyle name="Normal 2 2 2 41" xfId="20450" xr:uid="{00000000-0005-0000-0000-0000E24F0000}"/>
    <cellStyle name="Normal 2 2 2 42" xfId="20451" xr:uid="{00000000-0005-0000-0000-0000E34F0000}"/>
    <cellStyle name="Normal 2 2 2 43" xfId="20452" xr:uid="{00000000-0005-0000-0000-0000E44F0000}"/>
    <cellStyle name="Normal 2 2 2 44" xfId="20453" xr:uid="{00000000-0005-0000-0000-0000E54F0000}"/>
    <cellStyle name="Normal 2 2 2 45" xfId="20454" xr:uid="{00000000-0005-0000-0000-0000E64F0000}"/>
    <cellStyle name="Normal 2 2 2 46" xfId="20455" xr:uid="{00000000-0005-0000-0000-0000E74F0000}"/>
    <cellStyle name="Normal 2 2 2 47" xfId="20456" xr:uid="{00000000-0005-0000-0000-0000E84F0000}"/>
    <cellStyle name="Normal 2 2 2 48" xfId="20457" xr:uid="{00000000-0005-0000-0000-0000E94F0000}"/>
    <cellStyle name="Normal 2 2 2 49" xfId="20458" xr:uid="{00000000-0005-0000-0000-0000EA4F0000}"/>
    <cellStyle name="Normal 2 2 2 5" xfId="20459" xr:uid="{00000000-0005-0000-0000-0000EB4F0000}"/>
    <cellStyle name="Normal 2 2 2 5 10" xfId="20460" xr:uid="{00000000-0005-0000-0000-0000EC4F0000}"/>
    <cellStyle name="Normal 2 2 2 5 11" xfId="20461" xr:uid="{00000000-0005-0000-0000-0000ED4F0000}"/>
    <cellStyle name="Normal 2 2 2 5 12" xfId="20462" xr:uid="{00000000-0005-0000-0000-0000EE4F0000}"/>
    <cellStyle name="Normal 2 2 2 5 13" xfId="20463" xr:uid="{00000000-0005-0000-0000-0000EF4F0000}"/>
    <cellStyle name="Normal 2 2 2 5 14" xfId="20464" xr:uid="{00000000-0005-0000-0000-0000F04F0000}"/>
    <cellStyle name="Normal 2 2 2 5 15" xfId="20465" xr:uid="{00000000-0005-0000-0000-0000F14F0000}"/>
    <cellStyle name="Normal 2 2 2 5 16" xfId="20466" xr:uid="{00000000-0005-0000-0000-0000F24F0000}"/>
    <cellStyle name="Normal 2 2 2 5 17" xfId="20467" xr:uid="{00000000-0005-0000-0000-0000F34F0000}"/>
    <cellStyle name="Normal 2 2 2 5 18" xfId="20468" xr:uid="{00000000-0005-0000-0000-0000F44F0000}"/>
    <cellStyle name="Normal 2 2 2 5 19" xfId="20469" xr:uid="{00000000-0005-0000-0000-0000F54F0000}"/>
    <cellStyle name="Normal 2 2 2 5 2" xfId="20470" xr:uid="{00000000-0005-0000-0000-0000F64F0000}"/>
    <cellStyle name="Normal 2 2 2 5 2 10" xfId="20471" xr:uid="{00000000-0005-0000-0000-0000F74F0000}"/>
    <cellStyle name="Normal 2 2 2 5 2 10 10" xfId="20472" xr:uid="{00000000-0005-0000-0000-0000F84F0000}"/>
    <cellStyle name="Normal 2 2 2 5 2 10 11" xfId="20473" xr:uid="{00000000-0005-0000-0000-0000F94F0000}"/>
    <cellStyle name="Normal 2 2 2 5 2 10 12" xfId="20474" xr:uid="{00000000-0005-0000-0000-0000FA4F0000}"/>
    <cellStyle name="Normal 2 2 2 5 2 10 13" xfId="20475" xr:uid="{00000000-0005-0000-0000-0000FB4F0000}"/>
    <cellStyle name="Normal 2 2 2 5 2 10 14" xfId="20476" xr:uid="{00000000-0005-0000-0000-0000FC4F0000}"/>
    <cellStyle name="Normal 2 2 2 5 2 10 2" xfId="20477" xr:uid="{00000000-0005-0000-0000-0000FD4F0000}"/>
    <cellStyle name="Normal 2 2 2 5 2 10 2 10" xfId="20478" xr:uid="{00000000-0005-0000-0000-0000FE4F0000}"/>
    <cellStyle name="Normal 2 2 2 5 2 10 2 2" xfId="20479" xr:uid="{00000000-0005-0000-0000-0000FF4F0000}"/>
    <cellStyle name="Normal 2 2 2 5 2 10 2 3" xfId="20480" xr:uid="{00000000-0005-0000-0000-000000500000}"/>
    <cellStyle name="Normal 2 2 2 5 2 10 2 4" xfId="20481" xr:uid="{00000000-0005-0000-0000-000001500000}"/>
    <cellStyle name="Normal 2 2 2 5 2 10 2 5" xfId="20482" xr:uid="{00000000-0005-0000-0000-000002500000}"/>
    <cellStyle name="Normal 2 2 2 5 2 10 2 6" xfId="20483" xr:uid="{00000000-0005-0000-0000-000003500000}"/>
    <cellStyle name="Normal 2 2 2 5 2 10 2 7" xfId="20484" xr:uid="{00000000-0005-0000-0000-000004500000}"/>
    <cellStyle name="Normal 2 2 2 5 2 10 2 8" xfId="20485" xr:uid="{00000000-0005-0000-0000-000005500000}"/>
    <cellStyle name="Normal 2 2 2 5 2 10 2 9" xfId="20486" xr:uid="{00000000-0005-0000-0000-000006500000}"/>
    <cellStyle name="Normal 2 2 2 5 2 10 3" xfId="20487" xr:uid="{00000000-0005-0000-0000-000007500000}"/>
    <cellStyle name="Normal 2 2 2 5 2 10 3 10" xfId="20488" xr:uid="{00000000-0005-0000-0000-000008500000}"/>
    <cellStyle name="Normal 2 2 2 5 2 10 3 2" xfId="20489" xr:uid="{00000000-0005-0000-0000-000009500000}"/>
    <cellStyle name="Normal 2 2 2 5 2 10 3 3" xfId="20490" xr:uid="{00000000-0005-0000-0000-00000A500000}"/>
    <cellStyle name="Normal 2 2 2 5 2 10 3 4" xfId="20491" xr:uid="{00000000-0005-0000-0000-00000B500000}"/>
    <cellStyle name="Normal 2 2 2 5 2 10 3 5" xfId="20492" xr:uid="{00000000-0005-0000-0000-00000C500000}"/>
    <cellStyle name="Normal 2 2 2 5 2 10 3 6" xfId="20493" xr:uid="{00000000-0005-0000-0000-00000D500000}"/>
    <cellStyle name="Normal 2 2 2 5 2 10 3 7" xfId="20494" xr:uid="{00000000-0005-0000-0000-00000E500000}"/>
    <cellStyle name="Normal 2 2 2 5 2 10 3 8" xfId="20495" xr:uid="{00000000-0005-0000-0000-00000F500000}"/>
    <cellStyle name="Normal 2 2 2 5 2 10 3 9" xfId="20496" xr:uid="{00000000-0005-0000-0000-000010500000}"/>
    <cellStyle name="Normal 2 2 2 5 2 10 4" xfId="20497" xr:uid="{00000000-0005-0000-0000-000011500000}"/>
    <cellStyle name="Normal 2 2 2 5 2 10 4 10" xfId="20498" xr:uid="{00000000-0005-0000-0000-000012500000}"/>
    <cellStyle name="Normal 2 2 2 5 2 10 4 2" xfId="20499" xr:uid="{00000000-0005-0000-0000-000013500000}"/>
    <cellStyle name="Normal 2 2 2 5 2 10 4 3" xfId="20500" xr:uid="{00000000-0005-0000-0000-000014500000}"/>
    <cellStyle name="Normal 2 2 2 5 2 10 4 4" xfId="20501" xr:uid="{00000000-0005-0000-0000-000015500000}"/>
    <cellStyle name="Normal 2 2 2 5 2 10 4 5" xfId="20502" xr:uid="{00000000-0005-0000-0000-000016500000}"/>
    <cellStyle name="Normal 2 2 2 5 2 10 4 6" xfId="20503" xr:uid="{00000000-0005-0000-0000-000017500000}"/>
    <cellStyle name="Normal 2 2 2 5 2 10 4 7" xfId="20504" xr:uid="{00000000-0005-0000-0000-000018500000}"/>
    <cellStyle name="Normal 2 2 2 5 2 10 4 8" xfId="20505" xr:uid="{00000000-0005-0000-0000-000019500000}"/>
    <cellStyle name="Normal 2 2 2 5 2 10 4 9" xfId="20506" xr:uid="{00000000-0005-0000-0000-00001A500000}"/>
    <cellStyle name="Normal 2 2 2 5 2 10 5" xfId="20507" xr:uid="{00000000-0005-0000-0000-00001B500000}"/>
    <cellStyle name="Normal 2 2 2 5 2 10 5 10" xfId="20508" xr:uid="{00000000-0005-0000-0000-00001C500000}"/>
    <cellStyle name="Normal 2 2 2 5 2 10 5 2" xfId="20509" xr:uid="{00000000-0005-0000-0000-00001D500000}"/>
    <cellStyle name="Normal 2 2 2 5 2 10 5 3" xfId="20510" xr:uid="{00000000-0005-0000-0000-00001E500000}"/>
    <cellStyle name="Normal 2 2 2 5 2 10 5 4" xfId="20511" xr:uid="{00000000-0005-0000-0000-00001F500000}"/>
    <cellStyle name="Normal 2 2 2 5 2 10 5 5" xfId="20512" xr:uid="{00000000-0005-0000-0000-000020500000}"/>
    <cellStyle name="Normal 2 2 2 5 2 10 5 6" xfId="20513" xr:uid="{00000000-0005-0000-0000-000021500000}"/>
    <cellStyle name="Normal 2 2 2 5 2 10 5 7" xfId="20514" xr:uid="{00000000-0005-0000-0000-000022500000}"/>
    <cellStyle name="Normal 2 2 2 5 2 10 5 8" xfId="20515" xr:uid="{00000000-0005-0000-0000-000023500000}"/>
    <cellStyle name="Normal 2 2 2 5 2 10 5 9" xfId="20516" xr:uid="{00000000-0005-0000-0000-000024500000}"/>
    <cellStyle name="Normal 2 2 2 5 2 10 6" xfId="20517" xr:uid="{00000000-0005-0000-0000-000025500000}"/>
    <cellStyle name="Normal 2 2 2 5 2 10 7" xfId="20518" xr:uid="{00000000-0005-0000-0000-000026500000}"/>
    <cellStyle name="Normal 2 2 2 5 2 10 8" xfId="20519" xr:uid="{00000000-0005-0000-0000-000027500000}"/>
    <cellStyle name="Normal 2 2 2 5 2 10 9" xfId="20520" xr:uid="{00000000-0005-0000-0000-000028500000}"/>
    <cellStyle name="Normal 2 2 2 5 2 11" xfId="20521" xr:uid="{00000000-0005-0000-0000-000029500000}"/>
    <cellStyle name="Normal 2 2 2 5 2 11 10" xfId="20522" xr:uid="{00000000-0005-0000-0000-00002A500000}"/>
    <cellStyle name="Normal 2 2 2 5 2 11 11" xfId="20523" xr:uid="{00000000-0005-0000-0000-00002B500000}"/>
    <cellStyle name="Normal 2 2 2 5 2 11 12" xfId="20524" xr:uid="{00000000-0005-0000-0000-00002C500000}"/>
    <cellStyle name="Normal 2 2 2 5 2 11 13" xfId="20525" xr:uid="{00000000-0005-0000-0000-00002D500000}"/>
    <cellStyle name="Normal 2 2 2 5 2 11 14" xfId="20526" xr:uid="{00000000-0005-0000-0000-00002E500000}"/>
    <cellStyle name="Normal 2 2 2 5 2 11 2" xfId="20527" xr:uid="{00000000-0005-0000-0000-00002F500000}"/>
    <cellStyle name="Normal 2 2 2 5 2 11 2 10" xfId="20528" xr:uid="{00000000-0005-0000-0000-000030500000}"/>
    <cellStyle name="Normal 2 2 2 5 2 11 2 2" xfId="20529" xr:uid="{00000000-0005-0000-0000-000031500000}"/>
    <cellStyle name="Normal 2 2 2 5 2 11 2 3" xfId="20530" xr:uid="{00000000-0005-0000-0000-000032500000}"/>
    <cellStyle name="Normal 2 2 2 5 2 11 2 4" xfId="20531" xr:uid="{00000000-0005-0000-0000-000033500000}"/>
    <cellStyle name="Normal 2 2 2 5 2 11 2 5" xfId="20532" xr:uid="{00000000-0005-0000-0000-000034500000}"/>
    <cellStyle name="Normal 2 2 2 5 2 11 2 6" xfId="20533" xr:uid="{00000000-0005-0000-0000-000035500000}"/>
    <cellStyle name="Normal 2 2 2 5 2 11 2 7" xfId="20534" xr:uid="{00000000-0005-0000-0000-000036500000}"/>
    <cellStyle name="Normal 2 2 2 5 2 11 2 8" xfId="20535" xr:uid="{00000000-0005-0000-0000-000037500000}"/>
    <cellStyle name="Normal 2 2 2 5 2 11 2 9" xfId="20536" xr:uid="{00000000-0005-0000-0000-000038500000}"/>
    <cellStyle name="Normal 2 2 2 5 2 11 3" xfId="20537" xr:uid="{00000000-0005-0000-0000-000039500000}"/>
    <cellStyle name="Normal 2 2 2 5 2 11 3 10" xfId="20538" xr:uid="{00000000-0005-0000-0000-00003A500000}"/>
    <cellStyle name="Normal 2 2 2 5 2 11 3 2" xfId="20539" xr:uid="{00000000-0005-0000-0000-00003B500000}"/>
    <cellStyle name="Normal 2 2 2 5 2 11 3 3" xfId="20540" xr:uid="{00000000-0005-0000-0000-00003C500000}"/>
    <cellStyle name="Normal 2 2 2 5 2 11 3 4" xfId="20541" xr:uid="{00000000-0005-0000-0000-00003D500000}"/>
    <cellStyle name="Normal 2 2 2 5 2 11 3 5" xfId="20542" xr:uid="{00000000-0005-0000-0000-00003E500000}"/>
    <cellStyle name="Normal 2 2 2 5 2 11 3 6" xfId="20543" xr:uid="{00000000-0005-0000-0000-00003F500000}"/>
    <cellStyle name="Normal 2 2 2 5 2 11 3 7" xfId="20544" xr:uid="{00000000-0005-0000-0000-000040500000}"/>
    <cellStyle name="Normal 2 2 2 5 2 11 3 8" xfId="20545" xr:uid="{00000000-0005-0000-0000-000041500000}"/>
    <cellStyle name="Normal 2 2 2 5 2 11 3 9" xfId="20546" xr:uid="{00000000-0005-0000-0000-000042500000}"/>
    <cellStyle name="Normal 2 2 2 5 2 11 4" xfId="20547" xr:uid="{00000000-0005-0000-0000-000043500000}"/>
    <cellStyle name="Normal 2 2 2 5 2 11 4 10" xfId="20548" xr:uid="{00000000-0005-0000-0000-000044500000}"/>
    <cellStyle name="Normal 2 2 2 5 2 11 4 2" xfId="20549" xr:uid="{00000000-0005-0000-0000-000045500000}"/>
    <cellStyle name="Normal 2 2 2 5 2 11 4 3" xfId="20550" xr:uid="{00000000-0005-0000-0000-000046500000}"/>
    <cellStyle name="Normal 2 2 2 5 2 11 4 4" xfId="20551" xr:uid="{00000000-0005-0000-0000-000047500000}"/>
    <cellStyle name="Normal 2 2 2 5 2 11 4 5" xfId="20552" xr:uid="{00000000-0005-0000-0000-000048500000}"/>
    <cellStyle name="Normal 2 2 2 5 2 11 4 6" xfId="20553" xr:uid="{00000000-0005-0000-0000-000049500000}"/>
    <cellStyle name="Normal 2 2 2 5 2 11 4 7" xfId="20554" xr:uid="{00000000-0005-0000-0000-00004A500000}"/>
    <cellStyle name="Normal 2 2 2 5 2 11 4 8" xfId="20555" xr:uid="{00000000-0005-0000-0000-00004B500000}"/>
    <cellStyle name="Normal 2 2 2 5 2 11 4 9" xfId="20556" xr:uid="{00000000-0005-0000-0000-00004C500000}"/>
    <cellStyle name="Normal 2 2 2 5 2 11 5" xfId="20557" xr:uid="{00000000-0005-0000-0000-00004D500000}"/>
    <cellStyle name="Normal 2 2 2 5 2 11 5 10" xfId="20558" xr:uid="{00000000-0005-0000-0000-00004E500000}"/>
    <cellStyle name="Normal 2 2 2 5 2 11 5 2" xfId="20559" xr:uid="{00000000-0005-0000-0000-00004F500000}"/>
    <cellStyle name="Normal 2 2 2 5 2 11 5 3" xfId="20560" xr:uid="{00000000-0005-0000-0000-000050500000}"/>
    <cellStyle name="Normal 2 2 2 5 2 11 5 4" xfId="20561" xr:uid="{00000000-0005-0000-0000-000051500000}"/>
    <cellStyle name="Normal 2 2 2 5 2 11 5 5" xfId="20562" xr:uid="{00000000-0005-0000-0000-000052500000}"/>
    <cellStyle name="Normal 2 2 2 5 2 11 5 6" xfId="20563" xr:uid="{00000000-0005-0000-0000-000053500000}"/>
    <cellStyle name="Normal 2 2 2 5 2 11 5 7" xfId="20564" xr:uid="{00000000-0005-0000-0000-000054500000}"/>
    <cellStyle name="Normal 2 2 2 5 2 11 5 8" xfId="20565" xr:uid="{00000000-0005-0000-0000-000055500000}"/>
    <cellStyle name="Normal 2 2 2 5 2 11 5 9" xfId="20566" xr:uid="{00000000-0005-0000-0000-000056500000}"/>
    <cellStyle name="Normal 2 2 2 5 2 11 6" xfId="20567" xr:uid="{00000000-0005-0000-0000-000057500000}"/>
    <cellStyle name="Normal 2 2 2 5 2 11 7" xfId="20568" xr:uid="{00000000-0005-0000-0000-000058500000}"/>
    <cellStyle name="Normal 2 2 2 5 2 11 8" xfId="20569" xr:uid="{00000000-0005-0000-0000-000059500000}"/>
    <cellStyle name="Normal 2 2 2 5 2 11 9" xfId="20570" xr:uid="{00000000-0005-0000-0000-00005A500000}"/>
    <cellStyle name="Normal 2 2 2 5 2 12" xfId="20571" xr:uid="{00000000-0005-0000-0000-00005B500000}"/>
    <cellStyle name="Normal 2 2 2 5 2 12 10" xfId="20572" xr:uid="{00000000-0005-0000-0000-00005C500000}"/>
    <cellStyle name="Normal 2 2 2 5 2 12 11" xfId="20573" xr:uid="{00000000-0005-0000-0000-00005D500000}"/>
    <cellStyle name="Normal 2 2 2 5 2 12 12" xfId="20574" xr:uid="{00000000-0005-0000-0000-00005E500000}"/>
    <cellStyle name="Normal 2 2 2 5 2 12 13" xfId="20575" xr:uid="{00000000-0005-0000-0000-00005F500000}"/>
    <cellStyle name="Normal 2 2 2 5 2 12 14" xfId="20576" xr:uid="{00000000-0005-0000-0000-000060500000}"/>
    <cellStyle name="Normal 2 2 2 5 2 12 2" xfId="20577" xr:uid="{00000000-0005-0000-0000-000061500000}"/>
    <cellStyle name="Normal 2 2 2 5 2 12 2 10" xfId="20578" xr:uid="{00000000-0005-0000-0000-000062500000}"/>
    <cellStyle name="Normal 2 2 2 5 2 12 2 2" xfId="20579" xr:uid="{00000000-0005-0000-0000-000063500000}"/>
    <cellStyle name="Normal 2 2 2 5 2 12 2 3" xfId="20580" xr:uid="{00000000-0005-0000-0000-000064500000}"/>
    <cellStyle name="Normal 2 2 2 5 2 12 2 4" xfId="20581" xr:uid="{00000000-0005-0000-0000-000065500000}"/>
    <cellStyle name="Normal 2 2 2 5 2 12 2 5" xfId="20582" xr:uid="{00000000-0005-0000-0000-000066500000}"/>
    <cellStyle name="Normal 2 2 2 5 2 12 2 6" xfId="20583" xr:uid="{00000000-0005-0000-0000-000067500000}"/>
    <cellStyle name="Normal 2 2 2 5 2 12 2 7" xfId="20584" xr:uid="{00000000-0005-0000-0000-000068500000}"/>
    <cellStyle name="Normal 2 2 2 5 2 12 2 8" xfId="20585" xr:uid="{00000000-0005-0000-0000-000069500000}"/>
    <cellStyle name="Normal 2 2 2 5 2 12 2 9" xfId="20586" xr:uid="{00000000-0005-0000-0000-00006A500000}"/>
    <cellStyle name="Normal 2 2 2 5 2 12 3" xfId="20587" xr:uid="{00000000-0005-0000-0000-00006B500000}"/>
    <cellStyle name="Normal 2 2 2 5 2 12 3 10" xfId="20588" xr:uid="{00000000-0005-0000-0000-00006C500000}"/>
    <cellStyle name="Normal 2 2 2 5 2 12 3 2" xfId="20589" xr:uid="{00000000-0005-0000-0000-00006D500000}"/>
    <cellStyle name="Normal 2 2 2 5 2 12 3 3" xfId="20590" xr:uid="{00000000-0005-0000-0000-00006E500000}"/>
    <cellStyle name="Normal 2 2 2 5 2 12 3 4" xfId="20591" xr:uid="{00000000-0005-0000-0000-00006F500000}"/>
    <cellStyle name="Normal 2 2 2 5 2 12 3 5" xfId="20592" xr:uid="{00000000-0005-0000-0000-000070500000}"/>
    <cellStyle name="Normal 2 2 2 5 2 12 3 6" xfId="20593" xr:uid="{00000000-0005-0000-0000-000071500000}"/>
    <cellStyle name="Normal 2 2 2 5 2 12 3 7" xfId="20594" xr:uid="{00000000-0005-0000-0000-000072500000}"/>
    <cellStyle name="Normal 2 2 2 5 2 12 3 8" xfId="20595" xr:uid="{00000000-0005-0000-0000-000073500000}"/>
    <cellStyle name="Normal 2 2 2 5 2 12 3 9" xfId="20596" xr:uid="{00000000-0005-0000-0000-000074500000}"/>
    <cellStyle name="Normal 2 2 2 5 2 12 4" xfId="20597" xr:uid="{00000000-0005-0000-0000-000075500000}"/>
    <cellStyle name="Normal 2 2 2 5 2 12 4 10" xfId="20598" xr:uid="{00000000-0005-0000-0000-000076500000}"/>
    <cellStyle name="Normal 2 2 2 5 2 12 4 2" xfId="20599" xr:uid="{00000000-0005-0000-0000-000077500000}"/>
    <cellStyle name="Normal 2 2 2 5 2 12 4 3" xfId="20600" xr:uid="{00000000-0005-0000-0000-000078500000}"/>
    <cellStyle name="Normal 2 2 2 5 2 12 4 4" xfId="20601" xr:uid="{00000000-0005-0000-0000-000079500000}"/>
    <cellStyle name="Normal 2 2 2 5 2 12 4 5" xfId="20602" xr:uid="{00000000-0005-0000-0000-00007A500000}"/>
    <cellStyle name="Normal 2 2 2 5 2 12 4 6" xfId="20603" xr:uid="{00000000-0005-0000-0000-00007B500000}"/>
    <cellStyle name="Normal 2 2 2 5 2 12 4 7" xfId="20604" xr:uid="{00000000-0005-0000-0000-00007C500000}"/>
    <cellStyle name="Normal 2 2 2 5 2 12 4 8" xfId="20605" xr:uid="{00000000-0005-0000-0000-00007D500000}"/>
    <cellStyle name="Normal 2 2 2 5 2 12 4 9" xfId="20606" xr:uid="{00000000-0005-0000-0000-00007E500000}"/>
    <cellStyle name="Normal 2 2 2 5 2 12 5" xfId="20607" xr:uid="{00000000-0005-0000-0000-00007F500000}"/>
    <cellStyle name="Normal 2 2 2 5 2 12 5 10" xfId="20608" xr:uid="{00000000-0005-0000-0000-000080500000}"/>
    <cellStyle name="Normal 2 2 2 5 2 12 5 2" xfId="20609" xr:uid="{00000000-0005-0000-0000-000081500000}"/>
    <cellStyle name="Normal 2 2 2 5 2 12 5 3" xfId="20610" xr:uid="{00000000-0005-0000-0000-000082500000}"/>
    <cellStyle name="Normal 2 2 2 5 2 12 5 4" xfId="20611" xr:uid="{00000000-0005-0000-0000-000083500000}"/>
    <cellStyle name="Normal 2 2 2 5 2 12 5 5" xfId="20612" xr:uid="{00000000-0005-0000-0000-000084500000}"/>
    <cellStyle name="Normal 2 2 2 5 2 12 5 6" xfId="20613" xr:uid="{00000000-0005-0000-0000-000085500000}"/>
    <cellStyle name="Normal 2 2 2 5 2 12 5 7" xfId="20614" xr:uid="{00000000-0005-0000-0000-000086500000}"/>
    <cellStyle name="Normal 2 2 2 5 2 12 5 8" xfId="20615" xr:uid="{00000000-0005-0000-0000-000087500000}"/>
    <cellStyle name="Normal 2 2 2 5 2 12 5 9" xfId="20616" xr:uid="{00000000-0005-0000-0000-000088500000}"/>
    <cellStyle name="Normal 2 2 2 5 2 12 6" xfId="20617" xr:uid="{00000000-0005-0000-0000-000089500000}"/>
    <cellStyle name="Normal 2 2 2 5 2 12 7" xfId="20618" xr:uid="{00000000-0005-0000-0000-00008A500000}"/>
    <cellStyle name="Normal 2 2 2 5 2 12 8" xfId="20619" xr:uid="{00000000-0005-0000-0000-00008B500000}"/>
    <cellStyle name="Normal 2 2 2 5 2 12 9" xfId="20620" xr:uid="{00000000-0005-0000-0000-00008C500000}"/>
    <cellStyle name="Normal 2 2 2 5 2 13" xfId="20621" xr:uid="{00000000-0005-0000-0000-00008D500000}"/>
    <cellStyle name="Normal 2 2 2 5 2 13 10" xfId="20622" xr:uid="{00000000-0005-0000-0000-00008E500000}"/>
    <cellStyle name="Normal 2 2 2 5 2 13 11" xfId="20623" xr:uid="{00000000-0005-0000-0000-00008F500000}"/>
    <cellStyle name="Normal 2 2 2 5 2 13 12" xfId="20624" xr:uid="{00000000-0005-0000-0000-000090500000}"/>
    <cellStyle name="Normal 2 2 2 5 2 13 13" xfId="20625" xr:uid="{00000000-0005-0000-0000-000091500000}"/>
    <cellStyle name="Normal 2 2 2 5 2 13 14" xfId="20626" xr:uid="{00000000-0005-0000-0000-000092500000}"/>
    <cellStyle name="Normal 2 2 2 5 2 13 2" xfId="20627" xr:uid="{00000000-0005-0000-0000-000093500000}"/>
    <cellStyle name="Normal 2 2 2 5 2 13 2 10" xfId="20628" xr:uid="{00000000-0005-0000-0000-000094500000}"/>
    <cellStyle name="Normal 2 2 2 5 2 13 2 2" xfId="20629" xr:uid="{00000000-0005-0000-0000-000095500000}"/>
    <cellStyle name="Normal 2 2 2 5 2 13 2 3" xfId="20630" xr:uid="{00000000-0005-0000-0000-000096500000}"/>
    <cellStyle name="Normal 2 2 2 5 2 13 2 4" xfId="20631" xr:uid="{00000000-0005-0000-0000-000097500000}"/>
    <cellStyle name="Normal 2 2 2 5 2 13 2 5" xfId="20632" xr:uid="{00000000-0005-0000-0000-000098500000}"/>
    <cellStyle name="Normal 2 2 2 5 2 13 2 6" xfId="20633" xr:uid="{00000000-0005-0000-0000-000099500000}"/>
    <cellStyle name="Normal 2 2 2 5 2 13 2 7" xfId="20634" xr:uid="{00000000-0005-0000-0000-00009A500000}"/>
    <cellStyle name="Normal 2 2 2 5 2 13 2 8" xfId="20635" xr:uid="{00000000-0005-0000-0000-00009B500000}"/>
    <cellStyle name="Normal 2 2 2 5 2 13 2 9" xfId="20636" xr:uid="{00000000-0005-0000-0000-00009C500000}"/>
    <cellStyle name="Normal 2 2 2 5 2 13 3" xfId="20637" xr:uid="{00000000-0005-0000-0000-00009D500000}"/>
    <cellStyle name="Normal 2 2 2 5 2 13 3 10" xfId="20638" xr:uid="{00000000-0005-0000-0000-00009E500000}"/>
    <cellStyle name="Normal 2 2 2 5 2 13 3 2" xfId="20639" xr:uid="{00000000-0005-0000-0000-00009F500000}"/>
    <cellStyle name="Normal 2 2 2 5 2 13 3 3" xfId="20640" xr:uid="{00000000-0005-0000-0000-0000A0500000}"/>
    <cellStyle name="Normal 2 2 2 5 2 13 3 4" xfId="20641" xr:uid="{00000000-0005-0000-0000-0000A1500000}"/>
    <cellStyle name="Normal 2 2 2 5 2 13 3 5" xfId="20642" xr:uid="{00000000-0005-0000-0000-0000A2500000}"/>
    <cellStyle name="Normal 2 2 2 5 2 13 3 6" xfId="20643" xr:uid="{00000000-0005-0000-0000-0000A3500000}"/>
    <cellStyle name="Normal 2 2 2 5 2 13 3 7" xfId="20644" xr:uid="{00000000-0005-0000-0000-0000A4500000}"/>
    <cellStyle name="Normal 2 2 2 5 2 13 3 8" xfId="20645" xr:uid="{00000000-0005-0000-0000-0000A5500000}"/>
    <cellStyle name="Normal 2 2 2 5 2 13 3 9" xfId="20646" xr:uid="{00000000-0005-0000-0000-0000A6500000}"/>
    <cellStyle name="Normal 2 2 2 5 2 13 4" xfId="20647" xr:uid="{00000000-0005-0000-0000-0000A7500000}"/>
    <cellStyle name="Normal 2 2 2 5 2 13 4 10" xfId="20648" xr:uid="{00000000-0005-0000-0000-0000A8500000}"/>
    <cellStyle name="Normal 2 2 2 5 2 13 4 2" xfId="20649" xr:uid="{00000000-0005-0000-0000-0000A9500000}"/>
    <cellStyle name="Normal 2 2 2 5 2 13 4 3" xfId="20650" xr:uid="{00000000-0005-0000-0000-0000AA500000}"/>
    <cellStyle name="Normal 2 2 2 5 2 13 4 4" xfId="20651" xr:uid="{00000000-0005-0000-0000-0000AB500000}"/>
    <cellStyle name="Normal 2 2 2 5 2 13 4 5" xfId="20652" xr:uid="{00000000-0005-0000-0000-0000AC500000}"/>
    <cellStyle name="Normal 2 2 2 5 2 13 4 6" xfId="20653" xr:uid="{00000000-0005-0000-0000-0000AD500000}"/>
    <cellStyle name="Normal 2 2 2 5 2 13 4 7" xfId="20654" xr:uid="{00000000-0005-0000-0000-0000AE500000}"/>
    <cellStyle name="Normal 2 2 2 5 2 13 4 8" xfId="20655" xr:uid="{00000000-0005-0000-0000-0000AF500000}"/>
    <cellStyle name="Normal 2 2 2 5 2 13 4 9" xfId="20656" xr:uid="{00000000-0005-0000-0000-0000B0500000}"/>
    <cellStyle name="Normal 2 2 2 5 2 13 5" xfId="20657" xr:uid="{00000000-0005-0000-0000-0000B1500000}"/>
    <cellStyle name="Normal 2 2 2 5 2 13 5 10" xfId="20658" xr:uid="{00000000-0005-0000-0000-0000B2500000}"/>
    <cellStyle name="Normal 2 2 2 5 2 13 5 2" xfId="20659" xr:uid="{00000000-0005-0000-0000-0000B3500000}"/>
    <cellStyle name="Normal 2 2 2 5 2 13 5 3" xfId="20660" xr:uid="{00000000-0005-0000-0000-0000B4500000}"/>
    <cellStyle name="Normal 2 2 2 5 2 13 5 4" xfId="20661" xr:uid="{00000000-0005-0000-0000-0000B5500000}"/>
    <cellStyle name="Normal 2 2 2 5 2 13 5 5" xfId="20662" xr:uid="{00000000-0005-0000-0000-0000B6500000}"/>
    <cellStyle name="Normal 2 2 2 5 2 13 5 6" xfId="20663" xr:uid="{00000000-0005-0000-0000-0000B7500000}"/>
    <cellStyle name="Normal 2 2 2 5 2 13 5 7" xfId="20664" xr:uid="{00000000-0005-0000-0000-0000B8500000}"/>
    <cellStyle name="Normal 2 2 2 5 2 13 5 8" xfId="20665" xr:uid="{00000000-0005-0000-0000-0000B9500000}"/>
    <cellStyle name="Normal 2 2 2 5 2 13 5 9" xfId="20666" xr:uid="{00000000-0005-0000-0000-0000BA500000}"/>
    <cellStyle name="Normal 2 2 2 5 2 13 6" xfId="20667" xr:uid="{00000000-0005-0000-0000-0000BB500000}"/>
    <cellStyle name="Normal 2 2 2 5 2 13 7" xfId="20668" xr:uid="{00000000-0005-0000-0000-0000BC500000}"/>
    <cellStyle name="Normal 2 2 2 5 2 13 8" xfId="20669" xr:uid="{00000000-0005-0000-0000-0000BD500000}"/>
    <cellStyle name="Normal 2 2 2 5 2 13 9" xfId="20670" xr:uid="{00000000-0005-0000-0000-0000BE500000}"/>
    <cellStyle name="Normal 2 2 2 5 2 14" xfId="20671" xr:uid="{00000000-0005-0000-0000-0000BF500000}"/>
    <cellStyle name="Normal 2 2 2 5 2 14 10" xfId="20672" xr:uid="{00000000-0005-0000-0000-0000C0500000}"/>
    <cellStyle name="Normal 2 2 2 5 2 14 11" xfId="20673" xr:uid="{00000000-0005-0000-0000-0000C1500000}"/>
    <cellStyle name="Normal 2 2 2 5 2 14 12" xfId="20674" xr:uid="{00000000-0005-0000-0000-0000C2500000}"/>
    <cellStyle name="Normal 2 2 2 5 2 14 13" xfId="20675" xr:uid="{00000000-0005-0000-0000-0000C3500000}"/>
    <cellStyle name="Normal 2 2 2 5 2 14 14" xfId="20676" xr:uid="{00000000-0005-0000-0000-0000C4500000}"/>
    <cellStyle name="Normal 2 2 2 5 2 14 2" xfId="20677" xr:uid="{00000000-0005-0000-0000-0000C5500000}"/>
    <cellStyle name="Normal 2 2 2 5 2 14 2 10" xfId="20678" xr:uid="{00000000-0005-0000-0000-0000C6500000}"/>
    <cellStyle name="Normal 2 2 2 5 2 14 2 2" xfId="20679" xr:uid="{00000000-0005-0000-0000-0000C7500000}"/>
    <cellStyle name="Normal 2 2 2 5 2 14 2 3" xfId="20680" xr:uid="{00000000-0005-0000-0000-0000C8500000}"/>
    <cellStyle name="Normal 2 2 2 5 2 14 2 4" xfId="20681" xr:uid="{00000000-0005-0000-0000-0000C9500000}"/>
    <cellStyle name="Normal 2 2 2 5 2 14 2 5" xfId="20682" xr:uid="{00000000-0005-0000-0000-0000CA500000}"/>
    <cellStyle name="Normal 2 2 2 5 2 14 2 6" xfId="20683" xr:uid="{00000000-0005-0000-0000-0000CB500000}"/>
    <cellStyle name="Normal 2 2 2 5 2 14 2 7" xfId="20684" xr:uid="{00000000-0005-0000-0000-0000CC500000}"/>
    <cellStyle name="Normal 2 2 2 5 2 14 2 8" xfId="20685" xr:uid="{00000000-0005-0000-0000-0000CD500000}"/>
    <cellStyle name="Normal 2 2 2 5 2 14 2 9" xfId="20686" xr:uid="{00000000-0005-0000-0000-0000CE500000}"/>
    <cellStyle name="Normal 2 2 2 5 2 14 3" xfId="20687" xr:uid="{00000000-0005-0000-0000-0000CF500000}"/>
    <cellStyle name="Normal 2 2 2 5 2 14 3 10" xfId="20688" xr:uid="{00000000-0005-0000-0000-0000D0500000}"/>
    <cellStyle name="Normal 2 2 2 5 2 14 3 2" xfId="20689" xr:uid="{00000000-0005-0000-0000-0000D1500000}"/>
    <cellStyle name="Normal 2 2 2 5 2 14 3 3" xfId="20690" xr:uid="{00000000-0005-0000-0000-0000D2500000}"/>
    <cellStyle name="Normal 2 2 2 5 2 14 3 4" xfId="20691" xr:uid="{00000000-0005-0000-0000-0000D3500000}"/>
    <cellStyle name="Normal 2 2 2 5 2 14 3 5" xfId="20692" xr:uid="{00000000-0005-0000-0000-0000D4500000}"/>
    <cellStyle name="Normal 2 2 2 5 2 14 3 6" xfId="20693" xr:uid="{00000000-0005-0000-0000-0000D5500000}"/>
    <cellStyle name="Normal 2 2 2 5 2 14 3 7" xfId="20694" xr:uid="{00000000-0005-0000-0000-0000D6500000}"/>
    <cellStyle name="Normal 2 2 2 5 2 14 3 8" xfId="20695" xr:uid="{00000000-0005-0000-0000-0000D7500000}"/>
    <cellStyle name="Normal 2 2 2 5 2 14 3 9" xfId="20696" xr:uid="{00000000-0005-0000-0000-0000D8500000}"/>
    <cellStyle name="Normal 2 2 2 5 2 14 4" xfId="20697" xr:uid="{00000000-0005-0000-0000-0000D9500000}"/>
    <cellStyle name="Normal 2 2 2 5 2 14 4 10" xfId="20698" xr:uid="{00000000-0005-0000-0000-0000DA500000}"/>
    <cellStyle name="Normal 2 2 2 5 2 14 4 2" xfId="20699" xr:uid="{00000000-0005-0000-0000-0000DB500000}"/>
    <cellStyle name="Normal 2 2 2 5 2 14 4 3" xfId="20700" xr:uid="{00000000-0005-0000-0000-0000DC500000}"/>
    <cellStyle name="Normal 2 2 2 5 2 14 4 4" xfId="20701" xr:uid="{00000000-0005-0000-0000-0000DD500000}"/>
    <cellStyle name="Normal 2 2 2 5 2 14 4 5" xfId="20702" xr:uid="{00000000-0005-0000-0000-0000DE500000}"/>
    <cellStyle name="Normal 2 2 2 5 2 14 4 6" xfId="20703" xr:uid="{00000000-0005-0000-0000-0000DF500000}"/>
    <cellStyle name="Normal 2 2 2 5 2 14 4 7" xfId="20704" xr:uid="{00000000-0005-0000-0000-0000E0500000}"/>
    <cellStyle name="Normal 2 2 2 5 2 14 4 8" xfId="20705" xr:uid="{00000000-0005-0000-0000-0000E1500000}"/>
    <cellStyle name="Normal 2 2 2 5 2 14 4 9" xfId="20706" xr:uid="{00000000-0005-0000-0000-0000E2500000}"/>
    <cellStyle name="Normal 2 2 2 5 2 14 5" xfId="20707" xr:uid="{00000000-0005-0000-0000-0000E3500000}"/>
    <cellStyle name="Normal 2 2 2 5 2 14 5 10" xfId="20708" xr:uid="{00000000-0005-0000-0000-0000E4500000}"/>
    <cellStyle name="Normal 2 2 2 5 2 14 5 2" xfId="20709" xr:uid="{00000000-0005-0000-0000-0000E5500000}"/>
    <cellStyle name="Normal 2 2 2 5 2 14 5 3" xfId="20710" xr:uid="{00000000-0005-0000-0000-0000E6500000}"/>
    <cellStyle name="Normal 2 2 2 5 2 14 5 4" xfId="20711" xr:uid="{00000000-0005-0000-0000-0000E7500000}"/>
    <cellStyle name="Normal 2 2 2 5 2 14 5 5" xfId="20712" xr:uid="{00000000-0005-0000-0000-0000E8500000}"/>
    <cellStyle name="Normal 2 2 2 5 2 14 5 6" xfId="20713" xr:uid="{00000000-0005-0000-0000-0000E9500000}"/>
    <cellStyle name="Normal 2 2 2 5 2 14 5 7" xfId="20714" xr:uid="{00000000-0005-0000-0000-0000EA500000}"/>
    <cellStyle name="Normal 2 2 2 5 2 14 5 8" xfId="20715" xr:uid="{00000000-0005-0000-0000-0000EB500000}"/>
    <cellStyle name="Normal 2 2 2 5 2 14 5 9" xfId="20716" xr:uid="{00000000-0005-0000-0000-0000EC500000}"/>
    <cellStyle name="Normal 2 2 2 5 2 14 6" xfId="20717" xr:uid="{00000000-0005-0000-0000-0000ED500000}"/>
    <cellStyle name="Normal 2 2 2 5 2 14 7" xfId="20718" xr:uid="{00000000-0005-0000-0000-0000EE500000}"/>
    <cellStyle name="Normal 2 2 2 5 2 14 8" xfId="20719" xr:uid="{00000000-0005-0000-0000-0000EF500000}"/>
    <cellStyle name="Normal 2 2 2 5 2 14 9" xfId="20720" xr:uid="{00000000-0005-0000-0000-0000F0500000}"/>
    <cellStyle name="Normal 2 2 2 5 2 15" xfId="20721" xr:uid="{00000000-0005-0000-0000-0000F1500000}"/>
    <cellStyle name="Normal 2 2 2 5 2 15 10" xfId="20722" xr:uid="{00000000-0005-0000-0000-0000F2500000}"/>
    <cellStyle name="Normal 2 2 2 5 2 15 11" xfId="20723" xr:uid="{00000000-0005-0000-0000-0000F3500000}"/>
    <cellStyle name="Normal 2 2 2 5 2 15 12" xfId="20724" xr:uid="{00000000-0005-0000-0000-0000F4500000}"/>
    <cellStyle name="Normal 2 2 2 5 2 15 13" xfId="20725" xr:uid="{00000000-0005-0000-0000-0000F5500000}"/>
    <cellStyle name="Normal 2 2 2 5 2 15 14" xfId="20726" xr:uid="{00000000-0005-0000-0000-0000F6500000}"/>
    <cellStyle name="Normal 2 2 2 5 2 15 2" xfId="20727" xr:uid="{00000000-0005-0000-0000-0000F7500000}"/>
    <cellStyle name="Normal 2 2 2 5 2 15 2 10" xfId="20728" xr:uid="{00000000-0005-0000-0000-0000F8500000}"/>
    <cellStyle name="Normal 2 2 2 5 2 15 2 2" xfId="20729" xr:uid="{00000000-0005-0000-0000-0000F9500000}"/>
    <cellStyle name="Normal 2 2 2 5 2 15 2 3" xfId="20730" xr:uid="{00000000-0005-0000-0000-0000FA500000}"/>
    <cellStyle name="Normal 2 2 2 5 2 15 2 4" xfId="20731" xr:uid="{00000000-0005-0000-0000-0000FB500000}"/>
    <cellStyle name="Normal 2 2 2 5 2 15 2 5" xfId="20732" xr:uid="{00000000-0005-0000-0000-0000FC500000}"/>
    <cellStyle name="Normal 2 2 2 5 2 15 2 6" xfId="20733" xr:uid="{00000000-0005-0000-0000-0000FD500000}"/>
    <cellStyle name="Normal 2 2 2 5 2 15 2 7" xfId="20734" xr:uid="{00000000-0005-0000-0000-0000FE500000}"/>
    <cellStyle name="Normal 2 2 2 5 2 15 2 8" xfId="20735" xr:uid="{00000000-0005-0000-0000-0000FF500000}"/>
    <cellStyle name="Normal 2 2 2 5 2 15 2 9" xfId="20736" xr:uid="{00000000-0005-0000-0000-000000510000}"/>
    <cellStyle name="Normal 2 2 2 5 2 15 3" xfId="20737" xr:uid="{00000000-0005-0000-0000-000001510000}"/>
    <cellStyle name="Normal 2 2 2 5 2 15 3 10" xfId="20738" xr:uid="{00000000-0005-0000-0000-000002510000}"/>
    <cellStyle name="Normal 2 2 2 5 2 15 3 2" xfId="20739" xr:uid="{00000000-0005-0000-0000-000003510000}"/>
    <cellStyle name="Normal 2 2 2 5 2 15 3 3" xfId="20740" xr:uid="{00000000-0005-0000-0000-000004510000}"/>
    <cellStyle name="Normal 2 2 2 5 2 15 3 4" xfId="20741" xr:uid="{00000000-0005-0000-0000-000005510000}"/>
    <cellStyle name="Normal 2 2 2 5 2 15 3 5" xfId="20742" xr:uid="{00000000-0005-0000-0000-000006510000}"/>
    <cellStyle name="Normal 2 2 2 5 2 15 3 6" xfId="20743" xr:uid="{00000000-0005-0000-0000-000007510000}"/>
    <cellStyle name="Normal 2 2 2 5 2 15 3 7" xfId="20744" xr:uid="{00000000-0005-0000-0000-000008510000}"/>
    <cellStyle name="Normal 2 2 2 5 2 15 3 8" xfId="20745" xr:uid="{00000000-0005-0000-0000-000009510000}"/>
    <cellStyle name="Normal 2 2 2 5 2 15 3 9" xfId="20746" xr:uid="{00000000-0005-0000-0000-00000A510000}"/>
    <cellStyle name="Normal 2 2 2 5 2 15 4" xfId="20747" xr:uid="{00000000-0005-0000-0000-00000B510000}"/>
    <cellStyle name="Normal 2 2 2 5 2 15 4 10" xfId="20748" xr:uid="{00000000-0005-0000-0000-00000C510000}"/>
    <cellStyle name="Normal 2 2 2 5 2 15 4 2" xfId="20749" xr:uid="{00000000-0005-0000-0000-00000D510000}"/>
    <cellStyle name="Normal 2 2 2 5 2 15 4 3" xfId="20750" xr:uid="{00000000-0005-0000-0000-00000E510000}"/>
    <cellStyle name="Normal 2 2 2 5 2 15 4 4" xfId="20751" xr:uid="{00000000-0005-0000-0000-00000F510000}"/>
    <cellStyle name="Normal 2 2 2 5 2 15 4 5" xfId="20752" xr:uid="{00000000-0005-0000-0000-000010510000}"/>
    <cellStyle name="Normal 2 2 2 5 2 15 4 6" xfId="20753" xr:uid="{00000000-0005-0000-0000-000011510000}"/>
    <cellStyle name="Normal 2 2 2 5 2 15 4 7" xfId="20754" xr:uid="{00000000-0005-0000-0000-000012510000}"/>
    <cellStyle name="Normal 2 2 2 5 2 15 4 8" xfId="20755" xr:uid="{00000000-0005-0000-0000-000013510000}"/>
    <cellStyle name="Normal 2 2 2 5 2 15 4 9" xfId="20756" xr:uid="{00000000-0005-0000-0000-000014510000}"/>
    <cellStyle name="Normal 2 2 2 5 2 15 5" xfId="20757" xr:uid="{00000000-0005-0000-0000-000015510000}"/>
    <cellStyle name="Normal 2 2 2 5 2 15 5 10" xfId="20758" xr:uid="{00000000-0005-0000-0000-000016510000}"/>
    <cellStyle name="Normal 2 2 2 5 2 15 5 2" xfId="20759" xr:uid="{00000000-0005-0000-0000-000017510000}"/>
    <cellStyle name="Normal 2 2 2 5 2 15 5 3" xfId="20760" xr:uid="{00000000-0005-0000-0000-000018510000}"/>
    <cellStyle name="Normal 2 2 2 5 2 15 5 4" xfId="20761" xr:uid="{00000000-0005-0000-0000-000019510000}"/>
    <cellStyle name="Normal 2 2 2 5 2 15 5 5" xfId="20762" xr:uid="{00000000-0005-0000-0000-00001A510000}"/>
    <cellStyle name="Normal 2 2 2 5 2 15 5 6" xfId="20763" xr:uid="{00000000-0005-0000-0000-00001B510000}"/>
    <cellStyle name="Normal 2 2 2 5 2 15 5 7" xfId="20764" xr:uid="{00000000-0005-0000-0000-00001C510000}"/>
    <cellStyle name="Normal 2 2 2 5 2 15 5 8" xfId="20765" xr:uid="{00000000-0005-0000-0000-00001D510000}"/>
    <cellStyle name="Normal 2 2 2 5 2 15 5 9" xfId="20766" xr:uid="{00000000-0005-0000-0000-00001E510000}"/>
    <cellStyle name="Normal 2 2 2 5 2 15 6" xfId="20767" xr:uid="{00000000-0005-0000-0000-00001F510000}"/>
    <cellStyle name="Normal 2 2 2 5 2 15 7" xfId="20768" xr:uid="{00000000-0005-0000-0000-000020510000}"/>
    <cellStyle name="Normal 2 2 2 5 2 15 8" xfId="20769" xr:uid="{00000000-0005-0000-0000-000021510000}"/>
    <cellStyle name="Normal 2 2 2 5 2 15 9" xfId="20770" xr:uid="{00000000-0005-0000-0000-000022510000}"/>
    <cellStyle name="Normal 2 2 2 5 2 16" xfId="20771" xr:uid="{00000000-0005-0000-0000-000023510000}"/>
    <cellStyle name="Normal 2 2 2 5 2 16 10" xfId="20772" xr:uid="{00000000-0005-0000-0000-000024510000}"/>
    <cellStyle name="Normal 2 2 2 5 2 16 11" xfId="20773" xr:uid="{00000000-0005-0000-0000-000025510000}"/>
    <cellStyle name="Normal 2 2 2 5 2 16 12" xfId="20774" xr:uid="{00000000-0005-0000-0000-000026510000}"/>
    <cellStyle name="Normal 2 2 2 5 2 16 13" xfId="20775" xr:uid="{00000000-0005-0000-0000-000027510000}"/>
    <cellStyle name="Normal 2 2 2 5 2 16 14" xfId="20776" xr:uid="{00000000-0005-0000-0000-000028510000}"/>
    <cellStyle name="Normal 2 2 2 5 2 16 2" xfId="20777" xr:uid="{00000000-0005-0000-0000-000029510000}"/>
    <cellStyle name="Normal 2 2 2 5 2 16 2 10" xfId="20778" xr:uid="{00000000-0005-0000-0000-00002A510000}"/>
    <cellStyle name="Normal 2 2 2 5 2 16 2 2" xfId="20779" xr:uid="{00000000-0005-0000-0000-00002B510000}"/>
    <cellStyle name="Normal 2 2 2 5 2 16 2 3" xfId="20780" xr:uid="{00000000-0005-0000-0000-00002C510000}"/>
    <cellStyle name="Normal 2 2 2 5 2 16 2 4" xfId="20781" xr:uid="{00000000-0005-0000-0000-00002D510000}"/>
    <cellStyle name="Normal 2 2 2 5 2 16 2 5" xfId="20782" xr:uid="{00000000-0005-0000-0000-00002E510000}"/>
    <cellStyle name="Normal 2 2 2 5 2 16 2 6" xfId="20783" xr:uid="{00000000-0005-0000-0000-00002F510000}"/>
    <cellStyle name="Normal 2 2 2 5 2 16 2 7" xfId="20784" xr:uid="{00000000-0005-0000-0000-000030510000}"/>
    <cellStyle name="Normal 2 2 2 5 2 16 2 8" xfId="20785" xr:uid="{00000000-0005-0000-0000-000031510000}"/>
    <cellStyle name="Normal 2 2 2 5 2 16 2 9" xfId="20786" xr:uid="{00000000-0005-0000-0000-000032510000}"/>
    <cellStyle name="Normal 2 2 2 5 2 16 3" xfId="20787" xr:uid="{00000000-0005-0000-0000-000033510000}"/>
    <cellStyle name="Normal 2 2 2 5 2 16 3 10" xfId="20788" xr:uid="{00000000-0005-0000-0000-000034510000}"/>
    <cellStyle name="Normal 2 2 2 5 2 16 3 2" xfId="20789" xr:uid="{00000000-0005-0000-0000-000035510000}"/>
    <cellStyle name="Normal 2 2 2 5 2 16 3 3" xfId="20790" xr:uid="{00000000-0005-0000-0000-000036510000}"/>
    <cellStyle name="Normal 2 2 2 5 2 16 3 4" xfId="20791" xr:uid="{00000000-0005-0000-0000-000037510000}"/>
    <cellStyle name="Normal 2 2 2 5 2 16 3 5" xfId="20792" xr:uid="{00000000-0005-0000-0000-000038510000}"/>
    <cellStyle name="Normal 2 2 2 5 2 16 3 6" xfId="20793" xr:uid="{00000000-0005-0000-0000-000039510000}"/>
    <cellStyle name="Normal 2 2 2 5 2 16 3 7" xfId="20794" xr:uid="{00000000-0005-0000-0000-00003A510000}"/>
    <cellStyle name="Normal 2 2 2 5 2 16 3 8" xfId="20795" xr:uid="{00000000-0005-0000-0000-00003B510000}"/>
    <cellStyle name="Normal 2 2 2 5 2 16 3 9" xfId="20796" xr:uid="{00000000-0005-0000-0000-00003C510000}"/>
    <cellStyle name="Normal 2 2 2 5 2 16 4" xfId="20797" xr:uid="{00000000-0005-0000-0000-00003D510000}"/>
    <cellStyle name="Normal 2 2 2 5 2 16 4 10" xfId="20798" xr:uid="{00000000-0005-0000-0000-00003E510000}"/>
    <cellStyle name="Normal 2 2 2 5 2 16 4 2" xfId="20799" xr:uid="{00000000-0005-0000-0000-00003F510000}"/>
    <cellStyle name="Normal 2 2 2 5 2 16 4 3" xfId="20800" xr:uid="{00000000-0005-0000-0000-000040510000}"/>
    <cellStyle name="Normal 2 2 2 5 2 16 4 4" xfId="20801" xr:uid="{00000000-0005-0000-0000-000041510000}"/>
    <cellStyle name="Normal 2 2 2 5 2 16 4 5" xfId="20802" xr:uid="{00000000-0005-0000-0000-000042510000}"/>
    <cellStyle name="Normal 2 2 2 5 2 16 4 6" xfId="20803" xr:uid="{00000000-0005-0000-0000-000043510000}"/>
    <cellStyle name="Normal 2 2 2 5 2 16 4 7" xfId="20804" xr:uid="{00000000-0005-0000-0000-000044510000}"/>
    <cellStyle name="Normal 2 2 2 5 2 16 4 8" xfId="20805" xr:uid="{00000000-0005-0000-0000-000045510000}"/>
    <cellStyle name="Normal 2 2 2 5 2 16 4 9" xfId="20806" xr:uid="{00000000-0005-0000-0000-000046510000}"/>
    <cellStyle name="Normal 2 2 2 5 2 16 5" xfId="20807" xr:uid="{00000000-0005-0000-0000-000047510000}"/>
    <cellStyle name="Normal 2 2 2 5 2 16 5 10" xfId="20808" xr:uid="{00000000-0005-0000-0000-000048510000}"/>
    <cellStyle name="Normal 2 2 2 5 2 16 5 2" xfId="20809" xr:uid="{00000000-0005-0000-0000-000049510000}"/>
    <cellStyle name="Normal 2 2 2 5 2 16 5 3" xfId="20810" xr:uid="{00000000-0005-0000-0000-00004A510000}"/>
    <cellStyle name="Normal 2 2 2 5 2 16 5 4" xfId="20811" xr:uid="{00000000-0005-0000-0000-00004B510000}"/>
    <cellStyle name="Normal 2 2 2 5 2 16 5 5" xfId="20812" xr:uid="{00000000-0005-0000-0000-00004C510000}"/>
    <cellStyle name="Normal 2 2 2 5 2 16 5 6" xfId="20813" xr:uid="{00000000-0005-0000-0000-00004D510000}"/>
    <cellStyle name="Normal 2 2 2 5 2 16 5 7" xfId="20814" xr:uid="{00000000-0005-0000-0000-00004E510000}"/>
    <cellStyle name="Normal 2 2 2 5 2 16 5 8" xfId="20815" xr:uid="{00000000-0005-0000-0000-00004F510000}"/>
    <cellStyle name="Normal 2 2 2 5 2 16 5 9" xfId="20816" xr:uid="{00000000-0005-0000-0000-000050510000}"/>
    <cellStyle name="Normal 2 2 2 5 2 16 6" xfId="20817" xr:uid="{00000000-0005-0000-0000-000051510000}"/>
    <cellStyle name="Normal 2 2 2 5 2 16 7" xfId="20818" xr:uid="{00000000-0005-0000-0000-000052510000}"/>
    <cellStyle name="Normal 2 2 2 5 2 16 8" xfId="20819" xr:uid="{00000000-0005-0000-0000-000053510000}"/>
    <cellStyle name="Normal 2 2 2 5 2 16 9" xfId="20820" xr:uid="{00000000-0005-0000-0000-000054510000}"/>
    <cellStyle name="Normal 2 2 2 5 2 17" xfId="20821" xr:uid="{00000000-0005-0000-0000-000055510000}"/>
    <cellStyle name="Normal 2 2 2 5 2 17 10" xfId="20822" xr:uid="{00000000-0005-0000-0000-000056510000}"/>
    <cellStyle name="Normal 2 2 2 5 2 17 11" xfId="20823" xr:uid="{00000000-0005-0000-0000-000057510000}"/>
    <cellStyle name="Normal 2 2 2 5 2 17 12" xfId="20824" xr:uid="{00000000-0005-0000-0000-000058510000}"/>
    <cellStyle name="Normal 2 2 2 5 2 17 13" xfId="20825" xr:uid="{00000000-0005-0000-0000-000059510000}"/>
    <cellStyle name="Normal 2 2 2 5 2 17 14" xfId="20826" xr:uid="{00000000-0005-0000-0000-00005A510000}"/>
    <cellStyle name="Normal 2 2 2 5 2 17 2" xfId="20827" xr:uid="{00000000-0005-0000-0000-00005B510000}"/>
    <cellStyle name="Normal 2 2 2 5 2 17 2 10" xfId="20828" xr:uid="{00000000-0005-0000-0000-00005C510000}"/>
    <cellStyle name="Normal 2 2 2 5 2 17 2 2" xfId="20829" xr:uid="{00000000-0005-0000-0000-00005D510000}"/>
    <cellStyle name="Normal 2 2 2 5 2 17 2 3" xfId="20830" xr:uid="{00000000-0005-0000-0000-00005E510000}"/>
    <cellStyle name="Normal 2 2 2 5 2 17 2 4" xfId="20831" xr:uid="{00000000-0005-0000-0000-00005F510000}"/>
    <cellStyle name="Normal 2 2 2 5 2 17 2 5" xfId="20832" xr:uid="{00000000-0005-0000-0000-000060510000}"/>
    <cellStyle name="Normal 2 2 2 5 2 17 2 6" xfId="20833" xr:uid="{00000000-0005-0000-0000-000061510000}"/>
    <cellStyle name="Normal 2 2 2 5 2 17 2 7" xfId="20834" xr:uid="{00000000-0005-0000-0000-000062510000}"/>
    <cellStyle name="Normal 2 2 2 5 2 17 2 8" xfId="20835" xr:uid="{00000000-0005-0000-0000-000063510000}"/>
    <cellStyle name="Normal 2 2 2 5 2 17 2 9" xfId="20836" xr:uid="{00000000-0005-0000-0000-000064510000}"/>
    <cellStyle name="Normal 2 2 2 5 2 17 3" xfId="20837" xr:uid="{00000000-0005-0000-0000-000065510000}"/>
    <cellStyle name="Normal 2 2 2 5 2 17 3 10" xfId="20838" xr:uid="{00000000-0005-0000-0000-000066510000}"/>
    <cellStyle name="Normal 2 2 2 5 2 17 3 2" xfId="20839" xr:uid="{00000000-0005-0000-0000-000067510000}"/>
    <cellStyle name="Normal 2 2 2 5 2 17 3 3" xfId="20840" xr:uid="{00000000-0005-0000-0000-000068510000}"/>
    <cellStyle name="Normal 2 2 2 5 2 17 3 4" xfId="20841" xr:uid="{00000000-0005-0000-0000-000069510000}"/>
    <cellStyle name="Normal 2 2 2 5 2 17 3 5" xfId="20842" xr:uid="{00000000-0005-0000-0000-00006A510000}"/>
    <cellStyle name="Normal 2 2 2 5 2 17 3 6" xfId="20843" xr:uid="{00000000-0005-0000-0000-00006B510000}"/>
    <cellStyle name="Normal 2 2 2 5 2 17 3 7" xfId="20844" xr:uid="{00000000-0005-0000-0000-00006C510000}"/>
    <cellStyle name="Normal 2 2 2 5 2 17 3 8" xfId="20845" xr:uid="{00000000-0005-0000-0000-00006D510000}"/>
    <cellStyle name="Normal 2 2 2 5 2 17 3 9" xfId="20846" xr:uid="{00000000-0005-0000-0000-00006E510000}"/>
    <cellStyle name="Normal 2 2 2 5 2 17 4" xfId="20847" xr:uid="{00000000-0005-0000-0000-00006F510000}"/>
    <cellStyle name="Normal 2 2 2 5 2 17 4 10" xfId="20848" xr:uid="{00000000-0005-0000-0000-000070510000}"/>
    <cellStyle name="Normal 2 2 2 5 2 17 4 2" xfId="20849" xr:uid="{00000000-0005-0000-0000-000071510000}"/>
    <cellStyle name="Normal 2 2 2 5 2 17 4 3" xfId="20850" xr:uid="{00000000-0005-0000-0000-000072510000}"/>
    <cellStyle name="Normal 2 2 2 5 2 17 4 4" xfId="20851" xr:uid="{00000000-0005-0000-0000-000073510000}"/>
    <cellStyle name="Normal 2 2 2 5 2 17 4 5" xfId="20852" xr:uid="{00000000-0005-0000-0000-000074510000}"/>
    <cellStyle name="Normal 2 2 2 5 2 17 4 6" xfId="20853" xr:uid="{00000000-0005-0000-0000-000075510000}"/>
    <cellStyle name="Normal 2 2 2 5 2 17 4 7" xfId="20854" xr:uid="{00000000-0005-0000-0000-000076510000}"/>
    <cellStyle name="Normal 2 2 2 5 2 17 4 8" xfId="20855" xr:uid="{00000000-0005-0000-0000-000077510000}"/>
    <cellStyle name="Normal 2 2 2 5 2 17 4 9" xfId="20856" xr:uid="{00000000-0005-0000-0000-000078510000}"/>
    <cellStyle name="Normal 2 2 2 5 2 17 5" xfId="20857" xr:uid="{00000000-0005-0000-0000-000079510000}"/>
    <cellStyle name="Normal 2 2 2 5 2 17 5 10" xfId="20858" xr:uid="{00000000-0005-0000-0000-00007A510000}"/>
    <cellStyle name="Normal 2 2 2 5 2 17 5 2" xfId="20859" xr:uid="{00000000-0005-0000-0000-00007B510000}"/>
    <cellStyle name="Normal 2 2 2 5 2 17 5 3" xfId="20860" xr:uid="{00000000-0005-0000-0000-00007C510000}"/>
    <cellStyle name="Normal 2 2 2 5 2 17 5 4" xfId="20861" xr:uid="{00000000-0005-0000-0000-00007D510000}"/>
    <cellStyle name="Normal 2 2 2 5 2 17 5 5" xfId="20862" xr:uid="{00000000-0005-0000-0000-00007E510000}"/>
    <cellStyle name="Normal 2 2 2 5 2 17 5 6" xfId="20863" xr:uid="{00000000-0005-0000-0000-00007F510000}"/>
    <cellStyle name="Normal 2 2 2 5 2 17 5 7" xfId="20864" xr:uid="{00000000-0005-0000-0000-000080510000}"/>
    <cellStyle name="Normal 2 2 2 5 2 17 5 8" xfId="20865" xr:uid="{00000000-0005-0000-0000-000081510000}"/>
    <cellStyle name="Normal 2 2 2 5 2 17 5 9" xfId="20866" xr:uid="{00000000-0005-0000-0000-000082510000}"/>
    <cellStyle name="Normal 2 2 2 5 2 17 6" xfId="20867" xr:uid="{00000000-0005-0000-0000-000083510000}"/>
    <cellStyle name="Normal 2 2 2 5 2 17 7" xfId="20868" xr:uid="{00000000-0005-0000-0000-000084510000}"/>
    <cellStyle name="Normal 2 2 2 5 2 17 8" xfId="20869" xr:uid="{00000000-0005-0000-0000-000085510000}"/>
    <cellStyle name="Normal 2 2 2 5 2 17 9" xfId="20870" xr:uid="{00000000-0005-0000-0000-000086510000}"/>
    <cellStyle name="Normal 2 2 2 5 2 18" xfId="20871" xr:uid="{00000000-0005-0000-0000-000087510000}"/>
    <cellStyle name="Normal 2 2 2 5 2 18 10" xfId="20872" xr:uid="{00000000-0005-0000-0000-000088510000}"/>
    <cellStyle name="Normal 2 2 2 5 2 18 11" xfId="20873" xr:uid="{00000000-0005-0000-0000-000089510000}"/>
    <cellStyle name="Normal 2 2 2 5 2 18 12" xfId="20874" xr:uid="{00000000-0005-0000-0000-00008A510000}"/>
    <cellStyle name="Normal 2 2 2 5 2 18 13" xfId="20875" xr:uid="{00000000-0005-0000-0000-00008B510000}"/>
    <cellStyle name="Normal 2 2 2 5 2 18 14" xfId="20876" xr:uid="{00000000-0005-0000-0000-00008C510000}"/>
    <cellStyle name="Normal 2 2 2 5 2 18 2" xfId="20877" xr:uid="{00000000-0005-0000-0000-00008D510000}"/>
    <cellStyle name="Normal 2 2 2 5 2 18 2 10" xfId="20878" xr:uid="{00000000-0005-0000-0000-00008E510000}"/>
    <cellStyle name="Normal 2 2 2 5 2 18 2 2" xfId="20879" xr:uid="{00000000-0005-0000-0000-00008F510000}"/>
    <cellStyle name="Normal 2 2 2 5 2 18 2 3" xfId="20880" xr:uid="{00000000-0005-0000-0000-000090510000}"/>
    <cellStyle name="Normal 2 2 2 5 2 18 2 4" xfId="20881" xr:uid="{00000000-0005-0000-0000-000091510000}"/>
    <cellStyle name="Normal 2 2 2 5 2 18 2 5" xfId="20882" xr:uid="{00000000-0005-0000-0000-000092510000}"/>
    <cellStyle name="Normal 2 2 2 5 2 18 2 6" xfId="20883" xr:uid="{00000000-0005-0000-0000-000093510000}"/>
    <cellStyle name="Normal 2 2 2 5 2 18 2 7" xfId="20884" xr:uid="{00000000-0005-0000-0000-000094510000}"/>
    <cellStyle name="Normal 2 2 2 5 2 18 2 8" xfId="20885" xr:uid="{00000000-0005-0000-0000-000095510000}"/>
    <cellStyle name="Normal 2 2 2 5 2 18 2 9" xfId="20886" xr:uid="{00000000-0005-0000-0000-000096510000}"/>
    <cellStyle name="Normal 2 2 2 5 2 18 3" xfId="20887" xr:uid="{00000000-0005-0000-0000-000097510000}"/>
    <cellStyle name="Normal 2 2 2 5 2 18 3 10" xfId="20888" xr:uid="{00000000-0005-0000-0000-000098510000}"/>
    <cellStyle name="Normal 2 2 2 5 2 18 3 2" xfId="20889" xr:uid="{00000000-0005-0000-0000-000099510000}"/>
    <cellStyle name="Normal 2 2 2 5 2 18 3 3" xfId="20890" xr:uid="{00000000-0005-0000-0000-00009A510000}"/>
    <cellStyle name="Normal 2 2 2 5 2 18 3 4" xfId="20891" xr:uid="{00000000-0005-0000-0000-00009B510000}"/>
    <cellStyle name="Normal 2 2 2 5 2 18 3 5" xfId="20892" xr:uid="{00000000-0005-0000-0000-00009C510000}"/>
    <cellStyle name="Normal 2 2 2 5 2 18 3 6" xfId="20893" xr:uid="{00000000-0005-0000-0000-00009D510000}"/>
    <cellStyle name="Normal 2 2 2 5 2 18 3 7" xfId="20894" xr:uid="{00000000-0005-0000-0000-00009E510000}"/>
    <cellStyle name="Normal 2 2 2 5 2 18 3 8" xfId="20895" xr:uid="{00000000-0005-0000-0000-00009F510000}"/>
    <cellStyle name="Normal 2 2 2 5 2 18 3 9" xfId="20896" xr:uid="{00000000-0005-0000-0000-0000A0510000}"/>
    <cellStyle name="Normal 2 2 2 5 2 18 4" xfId="20897" xr:uid="{00000000-0005-0000-0000-0000A1510000}"/>
    <cellStyle name="Normal 2 2 2 5 2 18 4 10" xfId="20898" xr:uid="{00000000-0005-0000-0000-0000A2510000}"/>
    <cellStyle name="Normal 2 2 2 5 2 18 4 2" xfId="20899" xr:uid="{00000000-0005-0000-0000-0000A3510000}"/>
    <cellStyle name="Normal 2 2 2 5 2 18 4 3" xfId="20900" xr:uid="{00000000-0005-0000-0000-0000A4510000}"/>
    <cellStyle name="Normal 2 2 2 5 2 18 4 4" xfId="20901" xr:uid="{00000000-0005-0000-0000-0000A5510000}"/>
    <cellStyle name="Normal 2 2 2 5 2 18 4 5" xfId="20902" xr:uid="{00000000-0005-0000-0000-0000A6510000}"/>
    <cellStyle name="Normal 2 2 2 5 2 18 4 6" xfId="20903" xr:uid="{00000000-0005-0000-0000-0000A7510000}"/>
    <cellStyle name="Normal 2 2 2 5 2 18 4 7" xfId="20904" xr:uid="{00000000-0005-0000-0000-0000A8510000}"/>
    <cellStyle name="Normal 2 2 2 5 2 18 4 8" xfId="20905" xr:uid="{00000000-0005-0000-0000-0000A9510000}"/>
    <cellStyle name="Normal 2 2 2 5 2 18 4 9" xfId="20906" xr:uid="{00000000-0005-0000-0000-0000AA510000}"/>
    <cellStyle name="Normal 2 2 2 5 2 18 5" xfId="20907" xr:uid="{00000000-0005-0000-0000-0000AB510000}"/>
    <cellStyle name="Normal 2 2 2 5 2 18 5 10" xfId="20908" xr:uid="{00000000-0005-0000-0000-0000AC510000}"/>
    <cellStyle name="Normal 2 2 2 5 2 18 5 2" xfId="20909" xr:uid="{00000000-0005-0000-0000-0000AD510000}"/>
    <cellStyle name="Normal 2 2 2 5 2 18 5 3" xfId="20910" xr:uid="{00000000-0005-0000-0000-0000AE510000}"/>
    <cellStyle name="Normal 2 2 2 5 2 18 5 4" xfId="20911" xr:uid="{00000000-0005-0000-0000-0000AF510000}"/>
    <cellStyle name="Normal 2 2 2 5 2 18 5 5" xfId="20912" xr:uid="{00000000-0005-0000-0000-0000B0510000}"/>
    <cellStyle name="Normal 2 2 2 5 2 18 5 6" xfId="20913" xr:uid="{00000000-0005-0000-0000-0000B1510000}"/>
    <cellStyle name="Normal 2 2 2 5 2 18 5 7" xfId="20914" xr:uid="{00000000-0005-0000-0000-0000B2510000}"/>
    <cellStyle name="Normal 2 2 2 5 2 18 5 8" xfId="20915" xr:uid="{00000000-0005-0000-0000-0000B3510000}"/>
    <cellStyle name="Normal 2 2 2 5 2 18 5 9" xfId="20916" xr:uid="{00000000-0005-0000-0000-0000B4510000}"/>
    <cellStyle name="Normal 2 2 2 5 2 18 6" xfId="20917" xr:uid="{00000000-0005-0000-0000-0000B5510000}"/>
    <cellStyle name="Normal 2 2 2 5 2 18 7" xfId="20918" xr:uid="{00000000-0005-0000-0000-0000B6510000}"/>
    <cellStyle name="Normal 2 2 2 5 2 18 8" xfId="20919" xr:uid="{00000000-0005-0000-0000-0000B7510000}"/>
    <cellStyle name="Normal 2 2 2 5 2 18 9" xfId="20920" xr:uid="{00000000-0005-0000-0000-0000B8510000}"/>
    <cellStyle name="Normal 2 2 2 5 2 19" xfId="20921" xr:uid="{00000000-0005-0000-0000-0000B9510000}"/>
    <cellStyle name="Normal 2 2 2 5 2 19 10" xfId="20922" xr:uid="{00000000-0005-0000-0000-0000BA510000}"/>
    <cellStyle name="Normal 2 2 2 5 2 19 11" xfId="20923" xr:uid="{00000000-0005-0000-0000-0000BB510000}"/>
    <cellStyle name="Normal 2 2 2 5 2 19 12" xfId="20924" xr:uid="{00000000-0005-0000-0000-0000BC510000}"/>
    <cellStyle name="Normal 2 2 2 5 2 19 13" xfId="20925" xr:uid="{00000000-0005-0000-0000-0000BD510000}"/>
    <cellStyle name="Normal 2 2 2 5 2 19 14" xfId="20926" xr:uid="{00000000-0005-0000-0000-0000BE510000}"/>
    <cellStyle name="Normal 2 2 2 5 2 19 2" xfId="20927" xr:uid="{00000000-0005-0000-0000-0000BF510000}"/>
    <cellStyle name="Normal 2 2 2 5 2 19 2 10" xfId="20928" xr:uid="{00000000-0005-0000-0000-0000C0510000}"/>
    <cellStyle name="Normal 2 2 2 5 2 19 2 2" xfId="20929" xr:uid="{00000000-0005-0000-0000-0000C1510000}"/>
    <cellStyle name="Normal 2 2 2 5 2 19 2 3" xfId="20930" xr:uid="{00000000-0005-0000-0000-0000C2510000}"/>
    <cellStyle name="Normal 2 2 2 5 2 19 2 4" xfId="20931" xr:uid="{00000000-0005-0000-0000-0000C3510000}"/>
    <cellStyle name="Normal 2 2 2 5 2 19 2 5" xfId="20932" xr:uid="{00000000-0005-0000-0000-0000C4510000}"/>
    <cellStyle name="Normal 2 2 2 5 2 19 2 6" xfId="20933" xr:uid="{00000000-0005-0000-0000-0000C5510000}"/>
    <cellStyle name="Normal 2 2 2 5 2 19 2 7" xfId="20934" xr:uid="{00000000-0005-0000-0000-0000C6510000}"/>
    <cellStyle name="Normal 2 2 2 5 2 19 2 8" xfId="20935" xr:uid="{00000000-0005-0000-0000-0000C7510000}"/>
    <cellStyle name="Normal 2 2 2 5 2 19 2 9" xfId="20936" xr:uid="{00000000-0005-0000-0000-0000C8510000}"/>
    <cellStyle name="Normal 2 2 2 5 2 19 3" xfId="20937" xr:uid="{00000000-0005-0000-0000-0000C9510000}"/>
    <cellStyle name="Normal 2 2 2 5 2 19 3 10" xfId="20938" xr:uid="{00000000-0005-0000-0000-0000CA510000}"/>
    <cellStyle name="Normal 2 2 2 5 2 19 3 2" xfId="20939" xr:uid="{00000000-0005-0000-0000-0000CB510000}"/>
    <cellStyle name="Normal 2 2 2 5 2 19 3 3" xfId="20940" xr:uid="{00000000-0005-0000-0000-0000CC510000}"/>
    <cellStyle name="Normal 2 2 2 5 2 19 3 4" xfId="20941" xr:uid="{00000000-0005-0000-0000-0000CD510000}"/>
    <cellStyle name="Normal 2 2 2 5 2 19 3 5" xfId="20942" xr:uid="{00000000-0005-0000-0000-0000CE510000}"/>
    <cellStyle name="Normal 2 2 2 5 2 19 3 6" xfId="20943" xr:uid="{00000000-0005-0000-0000-0000CF510000}"/>
    <cellStyle name="Normal 2 2 2 5 2 19 3 7" xfId="20944" xr:uid="{00000000-0005-0000-0000-0000D0510000}"/>
    <cellStyle name="Normal 2 2 2 5 2 19 3 8" xfId="20945" xr:uid="{00000000-0005-0000-0000-0000D1510000}"/>
    <cellStyle name="Normal 2 2 2 5 2 19 3 9" xfId="20946" xr:uid="{00000000-0005-0000-0000-0000D2510000}"/>
    <cellStyle name="Normal 2 2 2 5 2 19 4" xfId="20947" xr:uid="{00000000-0005-0000-0000-0000D3510000}"/>
    <cellStyle name="Normal 2 2 2 5 2 19 4 10" xfId="20948" xr:uid="{00000000-0005-0000-0000-0000D4510000}"/>
    <cellStyle name="Normal 2 2 2 5 2 19 4 2" xfId="20949" xr:uid="{00000000-0005-0000-0000-0000D5510000}"/>
    <cellStyle name="Normal 2 2 2 5 2 19 4 3" xfId="20950" xr:uid="{00000000-0005-0000-0000-0000D6510000}"/>
    <cellStyle name="Normal 2 2 2 5 2 19 4 4" xfId="20951" xr:uid="{00000000-0005-0000-0000-0000D7510000}"/>
    <cellStyle name="Normal 2 2 2 5 2 19 4 5" xfId="20952" xr:uid="{00000000-0005-0000-0000-0000D8510000}"/>
    <cellStyle name="Normal 2 2 2 5 2 19 4 6" xfId="20953" xr:uid="{00000000-0005-0000-0000-0000D9510000}"/>
    <cellStyle name="Normal 2 2 2 5 2 19 4 7" xfId="20954" xr:uid="{00000000-0005-0000-0000-0000DA510000}"/>
    <cellStyle name="Normal 2 2 2 5 2 19 4 8" xfId="20955" xr:uid="{00000000-0005-0000-0000-0000DB510000}"/>
    <cellStyle name="Normal 2 2 2 5 2 19 4 9" xfId="20956" xr:uid="{00000000-0005-0000-0000-0000DC510000}"/>
    <cellStyle name="Normal 2 2 2 5 2 19 5" xfId="20957" xr:uid="{00000000-0005-0000-0000-0000DD510000}"/>
    <cellStyle name="Normal 2 2 2 5 2 19 5 10" xfId="20958" xr:uid="{00000000-0005-0000-0000-0000DE510000}"/>
    <cellStyle name="Normal 2 2 2 5 2 19 5 2" xfId="20959" xr:uid="{00000000-0005-0000-0000-0000DF510000}"/>
    <cellStyle name="Normal 2 2 2 5 2 19 5 3" xfId="20960" xr:uid="{00000000-0005-0000-0000-0000E0510000}"/>
    <cellStyle name="Normal 2 2 2 5 2 19 5 4" xfId="20961" xr:uid="{00000000-0005-0000-0000-0000E1510000}"/>
    <cellStyle name="Normal 2 2 2 5 2 19 5 5" xfId="20962" xr:uid="{00000000-0005-0000-0000-0000E2510000}"/>
    <cellStyle name="Normal 2 2 2 5 2 19 5 6" xfId="20963" xr:uid="{00000000-0005-0000-0000-0000E3510000}"/>
    <cellStyle name="Normal 2 2 2 5 2 19 5 7" xfId="20964" xr:uid="{00000000-0005-0000-0000-0000E4510000}"/>
    <cellStyle name="Normal 2 2 2 5 2 19 5 8" xfId="20965" xr:uid="{00000000-0005-0000-0000-0000E5510000}"/>
    <cellStyle name="Normal 2 2 2 5 2 19 5 9" xfId="20966" xr:uid="{00000000-0005-0000-0000-0000E6510000}"/>
    <cellStyle name="Normal 2 2 2 5 2 19 6" xfId="20967" xr:uid="{00000000-0005-0000-0000-0000E7510000}"/>
    <cellStyle name="Normal 2 2 2 5 2 19 7" xfId="20968" xr:uid="{00000000-0005-0000-0000-0000E8510000}"/>
    <cellStyle name="Normal 2 2 2 5 2 19 8" xfId="20969" xr:uid="{00000000-0005-0000-0000-0000E9510000}"/>
    <cellStyle name="Normal 2 2 2 5 2 19 9" xfId="20970" xr:uid="{00000000-0005-0000-0000-0000EA510000}"/>
    <cellStyle name="Normal 2 2 2 5 2 2" xfId="20971" xr:uid="{00000000-0005-0000-0000-0000EB510000}"/>
    <cellStyle name="Normal 2 2 2 5 2 2 10" xfId="20972" xr:uid="{00000000-0005-0000-0000-0000EC510000}"/>
    <cellStyle name="Normal 2 2 2 5 2 2 11" xfId="20973" xr:uid="{00000000-0005-0000-0000-0000ED510000}"/>
    <cellStyle name="Normal 2 2 2 5 2 2 12" xfId="20974" xr:uid="{00000000-0005-0000-0000-0000EE510000}"/>
    <cellStyle name="Normal 2 2 2 5 2 2 13" xfId="20975" xr:uid="{00000000-0005-0000-0000-0000EF510000}"/>
    <cellStyle name="Normal 2 2 2 5 2 2 14" xfId="20976" xr:uid="{00000000-0005-0000-0000-0000F0510000}"/>
    <cellStyle name="Normal 2 2 2 5 2 2 2" xfId="20977" xr:uid="{00000000-0005-0000-0000-0000F1510000}"/>
    <cellStyle name="Normal 2 2 2 5 2 2 2 10" xfId="20978" xr:uid="{00000000-0005-0000-0000-0000F2510000}"/>
    <cellStyle name="Normal 2 2 2 5 2 2 2 2" xfId="20979" xr:uid="{00000000-0005-0000-0000-0000F3510000}"/>
    <cellStyle name="Normal 2 2 2 5 2 2 2 3" xfId="20980" xr:uid="{00000000-0005-0000-0000-0000F4510000}"/>
    <cellStyle name="Normal 2 2 2 5 2 2 2 4" xfId="20981" xr:uid="{00000000-0005-0000-0000-0000F5510000}"/>
    <cellStyle name="Normal 2 2 2 5 2 2 2 5" xfId="20982" xr:uid="{00000000-0005-0000-0000-0000F6510000}"/>
    <cellStyle name="Normal 2 2 2 5 2 2 2 6" xfId="20983" xr:uid="{00000000-0005-0000-0000-0000F7510000}"/>
    <cellStyle name="Normal 2 2 2 5 2 2 2 7" xfId="20984" xr:uid="{00000000-0005-0000-0000-0000F8510000}"/>
    <cellStyle name="Normal 2 2 2 5 2 2 2 8" xfId="20985" xr:uid="{00000000-0005-0000-0000-0000F9510000}"/>
    <cellStyle name="Normal 2 2 2 5 2 2 2 9" xfId="20986" xr:uid="{00000000-0005-0000-0000-0000FA510000}"/>
    <cellStyle name="Normal 2 2 2 5 2 2 3" xfId="20987" xr:uid="{00000000-0005-0000-0000-0000FB510000}"/>
    <cellStyle name="Normal 2 2 2 5 2 2 3 10" xfId="20988" xr:uid="{00000000-0005-0000-0000-0000FC510000}"/>
    <cellStyle name="Normal 2 2 2 5 2 2 3 2" xfId="20989" xr:uid="{00000000-0005-0000-0000-0000FD510000}"/>
    <cellStyle name="Normal 2 2 2 5 2 2 3 3" xfId="20990" xr:uid="{00000000-0005-0000-0000-0000FE510000}"/>
    <cellStyle name="Normal 2 2 2 5 2 2 3 4" xfId="20991" xr:uid="{00000000-0005-0000-0000-0000FF510000}"/>
    <cellStyle name="Normal 2 2 2 5 2 2 3 5" xfId="20992" xr:uid="{00000000-0005-0000-0000-000000520000}"/>
    <cellStyle name="Normal 2 2 2 5 2 2 3 6" xfId="20993" xr:uid="{00000000-0005-0000-0000-000001520000}"/>
    <cellStyle name="Normal 2 2 2 5 2 2 3 7" xfId="20994" xr:uid="{00000000-0005-0000-0000-000002520000}"/>
    <cellStyle name="Normal 2 2 2 5 2 2 3 8" xfId="20995" xr:uid="{00000000-0005-0000-0000-000003520000}"/>
    <cellStyle name="Normal 2 2 2 5 2 2 3 9" xfId="20996" xr:uid="{00000000-0005-0000-0000-000004520000}"/>
    <cellStyle name="Normal 2 2 2 5 2 2 4" xfId="20997" xr:uid="{00000000-0005-0000-0000-000005520000}"/>
    <cellStyle name="Normal 2 2 2 5 2 2 4 10" xfId="20998" xr:uid="{00000000-0005-0000-0000-000006520000}"/>
    <cellStyle name="Normal 2 2 2 5 2 2 4 2" xfId="20999" xr:uid="{00000000-0005-0000-0000-000007520000}"/>
    <cellStyle name="Normal 2 2 2 5 2 2 4 3" xfId="21000" xr:uid="{00000000-0005-0000-0000-000008520000}"/>
    <cellStyle name="Normal 2 2 2 5 2 2 4 4" xfId="21001" xr:uid="{00000000-0005-0000-0000-000009520000}"/>
    <cellStyle name="Normal 2 2 2 5 2 2 4 5" xfId="21002" xr:uid="{00000000-0005-0000-0000-00000A520000}"/>
    <cellStyle name="Normal 2 2 2 5 2 2 4 6" xfId="21003" xr:uid="{00000000-0005-0000-0000-00000B520000}"/>
    <cellStyle name="Normal 2 2 2 5 2 2 4 7" xfId="21004" xr:uid="{00000000-0005-0000-0000-00000C520000}"/>
    <cellStyle name="Normal 2 2 2 5 2 2 4 8" xfId="21005" xr:uid="{00000000-0005-0000-0000-00000D520000}"/>
    <cellStyle name="Normal 2 2 2 5 2 2 4 9" xfId="21006" xr:uid="{00000000-0005-0000-0000-00000E520000}"/>
    <cellStyle name="Normal 2 2 2 5 2 2 5" xfId="21007" xr:uid="{00000000-0005-0000-0000-00000F520000}"/>
    <cellStyle name="Normal 2 2 2 5 2 2 5 10" xfId="21008" xr:uid="{00000000-0005-0000-0000-000010520000}"/>
    <cellStyle name="Normal 2 2 2 5 2 2 5 2" xfId="21009" xr:uid="{00000000-0005-0000-0000-000011520000}"/>
    <cellStyle name="Normal 2 2 2 5 2 2 5 3" xfId="21010" xr:uid="{00000000-0005-0000-0000-000012520000}"/>
    <cellStyle name="Normal 2 2 2 5 2 2 5 4" xfId="21011" xr:uid="{00000000-0005-0000-0000-000013520000}"/>
    <cellStyle name="Normal 2 2 2 5 2 2 5 5" xfId="21012" xr:uid="{00000000-0005-0000-0000-000014520000}"/>
    <cellStyle name="Normal 2 2 2 5 2 2 5 6" xfId="21013" xr:uid="{00000000-0005-0000-0000-000015520000}"/>
    <cellStyle name="Normal 2 2 2 5 2 2 5 7" xfId="21014" xr:uid="{00000000-0005-0000-0000-000016520000}"/>
    <cellStyle name="Normal 2 2 2 5 2 2 5 8" xfId="21015" xr:uid="{00000000-0005-0000-0000-000017520000}"/>
    <cellStyle name="Normal 2 2 2 5 2 2 5 9" xfId="21016" xr:uid="{00000000-0005-0000-0000-000018520000}"/>
    <cellStyle name="Normal 2 2 2 5 2 2 6" xfId="21017" xr:uid="{00000000-0005-0000-0000-000019520000}"/>
    <cellStyle name="Normal 2 2 2 5 2 2 7" xfId="21018" xr:uid="{00000000-0005-0000-0000-00001A520000}"/>
    <cellStyle name="Normal 2 2 2 5 2 2 8" xfId="21019" xr:uid="{00000000-0005-0000-0000-00001B520000}"/>
    <cellStyle name="Normal 2 2 2 5 2 2 9" xfId="21020" xr:uid="{00000000-0005-0000-0000-00001C520000}"/>
    <cellStyle name="Normal 2 2 2 5 2 20" xfId="21021" xr:uid="{00000000-0005-0000-0000-00001D520000}"/>
    <cellStyle name="Normal 2 2 2 5 2 20 10" xfId="21022" xr:uid="{00000000-0005-0000-0000-00001E520000}"/>
    <cellStyle name="Normal 2 2 2 5 2 20 11" xfId="21023" xr:uid="{00000000-0005-0000-0000-00001F520000}"/>
    <cellStyle name="Normal 2 2 2 5 2 20 12" xfId="21024" xr:uid="{00000000-0005-0000-0000-000020520000}"/>
    <cellStyle name="Normal 2 2 2 5 2 20 13" xfId="21025" xr:uid="{00000000-0005-0000-0000-000021520000}"/>
    <cellStyle name="Normal 2 2 2 5 2 20 14" xfId="21026" xr:uid="{00000000-0005-0000-0000-000022520000}"/>
    <cellStyle name="Normal 2 2 2 5 2 20 2" xfId="21027" xr:uid="{00000000-0005-0000-0000-000023520000}"/>
    <cellStyle name="Normal 2 2 2 5 2 20 2 10" xfId="21028" xr:uid="{00000000-0005-0000-0000-000024520000}"/>
    <cellStyle name="Normal 2 2 2 5 2 20 2 2" xfId="21029" xr:uid="{00000000-0005-0000-0000-000025520000}"/>
    <cellStyle name="Normal 2 2 2 5 2 20 2 3" xfId="21030" xr:uid="{00000000-0005-0000-0000-000026520000}"/>
    <cellStyle name="Normal 2 2 2 5 2 20 2 4" xfId="21031" xr:uid="{00000000-0005-0000-0000-000027520000}"/>
    <cellStyle name="Normal 2 2 2 5 2 20 2 5" xfId="21032" xr:uid="{00000000-0005-0000-0000-000028520000}"/>
    <cellStyle name="Normal 2 2 2 5 2 20 2 6" xfId="21033" xr:uid="{00000000-0005-0000-0000-000029520000}"/>
    <cellStyle name="Normal 2 2 2 5 2 20 2 7" xfId="21034" xr:uid="{00000000-0005-0000-0000-00002A520000}"/>
    <cellStyle name="Normal 2 2 2 5 2 20 2 8" xfId="21035" xr:uid="{00000000-0005-0000-0000-00002B520000}"/>
    <cellStyle name="Normal 2 2 2 5 2 20 2 9" xfId="21036" xr:uid="{00000000-0005-0000-0000-00002C520000}"/>
    <cellStyle name="Normal 2 2 2 5 2 20 3" xfId="21037" xr:uid="{00000000-0005-0000-0000-00002D520000}"/>
    <cellStyle name="Normal 2 2 2 5 2 20 3 10" xfId="21038" xr:uid="{00000000-0005-0000-0000-00002E520000}"/>
    <cellStyle name="Normal 2 2 2 5 2 20 3 2" xfId="21039" xr:uid="{00000000-0005-0000-0000-00002F520000}"/>
    <cellStyle name="Normal 2 2 2 5 2 20 3 3" xfId="21040" xr:uid="{00000000-0005-0000-0000-000030520000}"/>
    <cellStyle name="Normal 2 2 2 5 2 20 3 4" xfId="21041" xr:uid="{00000000-0005-0000-0000-000031520000}"/>
    <cellStyle name="Normal 2 2 2 5 2 20 3 5" xfId="21042" xr:uid="{00000000-0005-0000-0000-000032520000}"/>
    <cellStyle name="Normal 2 2 2 5 2 20 3 6" xfId="21043" xr:uid="{00000000-0005-0000-0000-000033520000}"/>
    <cellStyle name="Normal 2 2 2 5 2 20 3 7" xfId="21044" xr:uid="{00000000-0005-0000-0000-000034520000}"/>
    <cellStyle name="Normal 2 2 2 5 2 20 3 8" xfId="21045" xr:uid="{00000000-0005-0000-0000-000035520000}"/>
    <cellStyle name="Normal 2 2 2 5 2 20 3 9" xfId="21046" xr:uid="{00000000-0005-0000-0000-000036520000}"/>
    <cellStyle name="Normal 2 2 2 5 2 20 4" xfId="21047" xr:uid="{00000000-0005-0000-0000-000037520000}"/>
    <cellStyle name="Normal 2 2 2 5 2 20 4 10" xfId="21048" xr:uid="{00000000-0005-0000-0000-000038520000}"/>
    <cellStyle name="Normal 2 2 2 5 2 20 4 2" xfId="21049" xr:uid="{00000000-0005-0000-0000-000039520000}"/>
    <cellStyle name="Normal 2 2 2 5 2 20 4 3" xfId="21050" xr:uid="{00000000-0005-0000-0000-00003A520000}"/>
    <cellStyle name="Normal 2 2 2 5 2 20 4 4" xfId="21051" xr:uid="{00000000-0005-0000-0000-00003B520000}"/>
    <cellStyle name="Normal 2 2 2 5 2 20 4 5" xfId="21052" xr:uid="{00000000-0005-0000-0000-00003C520000}"/>
    <cellStyle name="Normal 2 2 2 5 2 20 4 6" xfId="21053" xr:uid="{00000000-0005-0000-0000-00003D520000}"/>
    <cellStyle name="Normal 2 2 2 5 2 20 4 7" xfId="21054" xr:uid="{00000000-0005-0000-0000-00003E520000}"/>
    <cellStyle name="Normal 2 2 2 5 2 20 4 8" xfId="21055" xr:uid="{00000000-0005-0000-0000-00003F520000}"/>
    <cellStyle name="Normal 2 2 2 5 2 20 4 9" xfId="21056" xr:uid="{00000000-0005-0000-0000-000040520000}"/>
    <cellStyle name="Normal 2 2 2 5 2 20 5" xfId="21057" xr:uid="{00000000-0005-0000-0000-000041520000}"/>
    <cellStyle name="Normal 2 2 2 5 2 20 5 10" xfId="21058" xr:uid="{00000000-0005-0000-0000-000042520000}"/>
    <cellStyle name="Normal 2 2 2 5 2 20 5 2" xfId="21059" xr:uid="{00000000-0005-0000-0000-000043520000}"/>
    <cellStyle name="Normal 2 2 2 5 2 20 5 3" xfId="21060" xr:uid="{00000000-0005-0000-0000-000044520000}"/>
    <cellStyle name="Normal 2 2 2 5 2 20 5 4" xfId="21061" xr:uid="{00000000-0005-0000-0000-000045520000}"/>
    <cellStyle name="Normal 2 2 2 5 2 20 5 5" xfId="21062" xr:uid="{00000000-0005-0000-0000-000046520000}"/>
    <cellStyle name="Normal 2 2 2 5 2 20 5 6" xfId="21063" xr:uid="{00000000-0005-0000-0000-000047520000}"/>
    <cellStyle name="Normal 2 2 2 5 2 20 5 7" xfId="21064" xr:uid="{00000000-0005-0000-0000-000048520000}"/>
    <cellStyle name="Normal 2 2 2 5 2 20 5 8" xfId="21065" xr:uid="{00000000-0005-0000-0000-000049520000}"/>
    <cellStyle name="Normal 2 2 2 5 2 20 5 9" xfId="21066" xr:uid="{00000000-0005-0000-0000-00004A520000}"/>
    <cellStyle name="Normal 2 2 2 5 2 20 6" xfId="21067" xr:uid="{00000000-0005-0000-0000-00004B520000}"/>
    <cellStyle name="Normal 2 2 2 5 2 20 7" xfId="21068" xr:uid="{00000000-0005-0000-0000-00004C520000}"/>
    <cellStyle name="Normal 2 2 2 5 2 20 8" xfId="21069" xr:uid="{00000000-0005-0000-0000-00004D520000}"/>
    <cellStyle name="Normal 2 2 2 5 2 20 9" xfId="21070" xr:uid="{00000000-0005-0000-0000-00004E520000}"/>
    <cellStyle name="Normal 2 2 2 5 2 21" xfId="21071" xr:uid="{00000000-0005-0000-0000-00004F520000}"/>
    <cellStyle name="Normal 2 2 2 5 2 22" xfId="21072" xr:uid="{00000000-0005-0000-0000-000050520000}"/>
    <cellStyle name="Normal 2 2 2 5 2 3" xfId="21073" xr:uid="{00000000-0005-0000-0000-000051520000}"/>
    <cellStyle name="Normal 2 2 2 5 2 3 10" xfId="21074" xr:uid="{00000000-0005-0000-0000-000052520000}"/>
    <cellStyle name="Normal 2 2 2 5 2 3 11" xfId="21075" xr:uid="{00000000-0005-0000-0000-000053520000}"/>
    <cellStyle name="Normal 2 2 2 5 2 3 12" xfId="21076" xr:uid="{00000000-0005-0000-0000-000054520000}"/>
    <cellStyle name="Normal 2 2 2 5 2 3 13" xfId="21077" xr:uid="{00000000-0005-0000-0000-000055520000}"/>
    <cellStyle name="Normal 2 2 2 5 2 3 14" xfId="21078" xr:uid="{00000000-0005-0000-0000-000056520000}"/>
    <cellStyle name="Normal 2 2 2 5 2 3 2" xfId="21079" xr:uid="{00000000-0005-0000-0000-000057520000}"/>
    <cellStyle name="Normal 2 2 2 5 2 3 2 10" xfId="21080" xr:uid="{00000000-0005-0000-0000-000058520000}"/>
    <cellStyle name="Normal 2 2 2 5 2 3 2 2" xfId="21081" xr:uid="{00000000-0005-0000-0000-000059520000}"/>
    <cellStyle name="Normal 2 2 2 5 2 3 2 3" xfId="21082" xr:uid="{00000000-0005-0000-0000-00005A520000}"/>
    <cellStyle name="Normal 2 2 2 5 2 3 2 4" xfId="21083" xr:uid="{00000000-0005-0000-0000-00005B520000}"/>
    <cellStyle name="Normal 2 2 2 5 2 3 2 5" xfId="21084" xr:uid="{00000000-0005-0000-0000-00005C520000}"/>
    <cellStyle name="Normal 2 2 2 5 2 3 2 6" xfId="21085" xr:uid="{00000000-0005-0000-0000-00005D520000}"/>
    <cellStyle name="Normal 2 2 2 5 2 3 2 7" xfId="21086" xr:uid="{00000000-0005-0000-0000-00005E520000}"/>
    <cellStyle name="Normal 2 2 2 5 2 3 2 8" xfId="21087" xr:uid="{00000000-0005-0000-0000-00005F520000}"/>
    <cellStyle name="Normal 2 2 2 5 2 3 2 9" xfId="21088" xr:uid="{00000000-0005-0000-0000-000060520000}"/>
    <cellStyle name="Normal 2 2 2 5 2 3 3" xfId="21089" xr:uid="{00000000-0005-0000-0000-000061520000}"/>
    <cellStyle name="Normal 2 2 2 5 2 3 3 10" xfId="21090" xr:uid="{00000000-0005-0000-0000-000062520000}"/>
    <cellStyle name="Normal 2 2 2 5 2 3 3 2" xfId="21091" xr:uid="{00000000-0005-0000-0000-000063520000}"/>
    <cellStyle name="Normal 2 2 2 5 2 3 3 3" xfId="21092" xr:uid="{00000000-0005-0000-0000-000064520000}"/>
    <cellStyle name="Normal 2 2 2 5 2 3 3 4" xfId="21093" xr:uid="{00000000-0005-0000-0000-000065520000}"/>
    <cellStyle name="Normal 2 2 2 5 2 3 3 5" xfId="21094" xr:uid="{00000000-0005-0000-0000-000066520000}"/>
    <cellStyle name="Normal 2 2 2 5 2 3 3 6" xfId="21095" xr:uid="{00000000-0005-0000-0000-000067520000}"/>
    <cellStyle name="Normal 2 2 2 5 2 3 3 7" xfId="21096" xr:uid="{00000000-0005-0000-0000-000068520000}"/>
    <cellStyle name="Normal 2 2 2 5 2 3 3 8" xfId="21097" xr:uid="{00000000-0005-0000-0000-000069520000}"/>
    <cellStyle name="Normal 2 2 2 5 2 3 3 9" xfId="21098" xr:uid="{00000000-0005-0000-0000-00006A520000}"/>
    <cellStyle name="Normal 2 2 2 5 2 3 4" xfId="21099" xr:uid="{00000000-0005-0000-0000-00006B520000}"/>
    <cellStyle name="Normal 2 2 2 5 2 3 4 10" xfId="21100" xr:uid="{00000000-0005-0000-0000-00006C520000}"/>
    <cellStyle name="Normal 2 2 2 5 2 3 4 2" xfId="21101" xr:uid="{00000000-0005-0000-0000-00006D520000}"/>
    <cellStyle name="Normal 2 2 2 5 2 3 4 3" xfId="21102" xr:uid="{00000000-0005-0000-0000-00006E520000}"/>
    <cellStyle name="Normal 2 2 2 5 2 3 4 4" xfId="21103" xr:uid="{00000000-0005-0000-0000-00006F520000}"/>
    <cellStyle name="Normal 2 2 2 5 2 3 4 5" xfId="21104" xr:uid="{00000000-0005-0000-0000-000070520000}"/>
    <cellStyle name="Normal 2 2 2 5 2 3 4 6" xfId="21105" xr:uid="{00000000-0005-0000-0000-000071520000}"/>
    <cellStyle name="Normal 2 2 2 5 2 3 4 7" xfId="21106" xr:uid="{00000000-0005-0000-0000-000072520000}"/>
    <cellStyle name="Normal 2 2 2 5 2 3 4 8" xfId="21107" xr:uid="{00000000-0005-0000-0000-000073520000}"/>
    <cellStyle name="Normal 2 2 2 5 2 3 4 9" xfId="21108" xr:uid="{00000000-0005-0000-0000-000074520000}"/>
    <cellStyle name="Normal 2 2 2 5 2 3 5" xfId="21109" xr:uid="{00000000-0005-0000-0000-000075520000}"/>
    <cellStyle name="Normal 2 2 2 5 2 3 5 10" xfId="21110" xr:uid="{00000000-0005-0000-0000-000076520000}"/>
    <cellStyle name="Normal 2 2 2 5 2 3 5 2" xfId="21111" xr:uid="{00000000-0005-0000-0000-000077520000}"/>
    <cellStyle name="Normal 2 2 2 5 2 3 5 3" xfId="21112" xr:uid="{00000000-0005-0000-0000-000078520000}"/>
    <cellStyle name="Normal 2 2 2 5 2 3 5 4" xfId="21113" xr:uid="{00000000-0005-0000-0000-000079520000}"/>
    <cellStyle name="Normal 2 2 2 5 2 3 5 5" xfId="21114" xr:uid="{00000000-0005-0000-0000-00007A520000}"/>
    <cellStyle name="Normal 2 2 2 5 2 3 5 6" xfId="21115" xr:uid="{00000000-0005-0000-0000-00007B520000}"/>
    <cellStyle name="Normal 2 2 2 5 2 3 5 7" xfId="21116" xr:uid="{00000000-0005-0000-0000-00007C520000}"/>
    <cellStyle name="Normal 2 2 2 5 2 3 5 8" xfId="21117" xr:uid="{00000000-0005-0000-0000-00007D520000}"/>
    <cellStyle name="Normal 2 2 2 5 2 3 5 9" xfId="21118" xr:uid="{00000000-0005-0000-0000-00007E520000}"/>
    <cellStyle name="Normal 2 2 2 5 2 3 6" xfId="21119" xr:uid="{00000000-0005-0000-0000-00007F520000}"/>
    <cellStyle name="Normal 2 2 2 5 2 3 7" xfId="21120" xr:uid="{00000000-0005-0000-0000-000080520000}"/>
    <cellStyle name="Normal 2 2 2 5 2 3 8" xfId="21121" xr:uid="{00000000-0005-0000-0000-000081520000}"/>
    <cellStyle name="Normal 2 2 2 5 2 3 9" xfId="21122" xr:uid="{00000000-0005-0000-0000-000082520000}"/>
    <cellStyle name="Normal 2 2 2 5 2 4" xfId="21123" xr:uid="{00000000-0005-0000-0000-000083520000}"/>
    <cellStyle name="Normal 2 2 2 5 2 4 10" xfId="21124" xr:uid="{00000000-0005-0000-0000-000084520000}"/>
    <cellStyle name="Normal 2 2 2 5 2 4 11" xfId="21125" xr:uid="{00000000-0005-0000-0000-000085520000}"/>
    <cellStyle name="Normal 2 2 2 5 2 4 12" xfId="21126" xr:uid="{00000000-0005-0000-0000-000086520000}"/>
    <cellStyle name="Normal 2 2 2 5 2 4 13" xfId="21127" xr:uid="{00000000-0005-0000-0000-000087520000}"/>
    <cellStyle name="Normal 2 2 2 5 2 4 14" xfId="21128" xr:uid="{00000000-0005-0000-0000-000088520000}"/>
    <cellStyle name="Normal 2 2 2 5 2 4 2" xfId="21129" xr:uid="{00000000-0005-0000-0000-000089520000}"/>
    <cellStyle name="Normal 2 2 2 5 2 4 2 10" xfId="21130" xr:uid="{00000000-0005-0000-0000-00008A520000}"/>
    <cellStyle name="Normal 2 2 2 5 2 4 2 2" xfId="21131" xr:uid="{00000000-0005-0000-0000-00008B520000}"/>
    <cellStyle name="Normal 2 2 2 5 2 4 2 3" xfId="21132" xr:uid="{00000000-0005-0000-0000-00008C520000}"/>
    <cellStyle name="Normal 2 2 2 5 2 4 2 4" xfId="21133" xr:uid="{00000000-0005-0000-0000-00008D520000}"/>
    <cellStyle name="Normal 2 2 2 5 2 4 2 5" xfId="21134" xr:uid="{00000000-0005-0000-0000-00008E520000}"/>
    <cellStyle name="Normal 2 2 2 5 2 4 2 6" xfId="21135" xr:uid="{00000000-0005-0000-0000-00008F520000}"/>
    <cellStyle name="Normal 2 2 2 5 2 4 2 7" xfId="21136" xr:uid="{00000000-0005-0000-0000-000090520000}"/>
    <cellStyle name="Normal 2 2 2 5 2 4 2 8" xfId="21137" xr:uid="{00000000-0005-0000-0000-000091520000}"/>
    <cellStyle name="Normal 2 2 2 5 2 4 2 9" xfId="21138" xr:uid="{00000000-0005-0000-0000-000092520000}"/>
    <cellStyle name="Normal 2 2 2 5 2 4 3" xfId="21139" xr:uid="{00000000-0005-0000-0000-000093520000}"/>
    <cellStyle name="Normal 2 2 2 5 2 4 3 10" xfId="21140" xr:uid="{00000000-0005-0000-0000-000094520000}"/>
    <cellStyle name="Normal 2 2 2 5 2 4 3 2" xfId="21141" xr:uid="{00000000-0005-0000-0000-000095520000}"/>
    <cellStyle name="Normal 2 2 2 5 2 4 3 3" xfId="21142" xr:uid="{00000000-0005-0000-0000-000096520000}"/>
    <cellStyle name="Normal 2 2 2 5 2 4 3 4" xfId="21143" xr:uid="{00000000-0005-0000-0000-000097520000}"/>
    <cellStyle name="Normal 2 2 2 5 2 4 3 5" xfId="21144" xr:uid="{00000000-0005-0000-0000-000098520000}"/>
    <cellStyle name="Normal 2 2 2 5 2 4 3 6" xfId="21145" xr:uid="{00000000-0005-0000-0000-000099520000}"/>
    <cellStyle name="Normal 2 2 2 5 2 4 3 7" xfId="21146" xr:uid="{00000000-0005-0000-0000-00009A520000}"/>
    <cellStyle name="Normal 2 2 2 5 2 4 3 8" xfId="21147" xr:uid="{00000000-0005-0000-0000-00009B520000}"/>
    <cellStyle name="Normal 2 2 2 5 2 4 3 9" xfId="21148" xr:uid="{00000000-0005-0000-0000-00009C520000}"/>
    <cellStyle name="Normal 2 2 2 5 2 4 4" xfId="21149" xr:uid="{00000000-0005-0000-0000-00009D520000}"/>
    <cellStyle name="Normal 2 2 2 5 2 4 4 10" xfId="21150" xr:uid="{00000000-0005-0000-0000-00009E520000}"/>
    <cellStyle name="Normal 2 2 2 5 2 4 4 2" xfId="21151" xr:uid="{00000000-0005-0000-0000-00009F520000}"/>
    <cellStyle name="Normal 2 2 2 5 2 4 4 3" xfId="21152" xr:uid="{00000000-0005-0000-0000-0000A0520000}"/>
    <cellStyle name="Normal 2 2 2 5 2 4 4 4" xfId="21153" xr:uid="{00000000-0005-0000-0000-0000A1520000}"/>
    <cellStyle name="Normal 2 2 2 5 2 4 4 5" xfId="21154" xr:uid="{00000000-0005-0000-0000-0000A2520000}"/>
    <cellStyle name="Normal 2 2 2 5 2 4 4 6" xfId="21155" xr:uid="{00000000-0005-0000-0000-0000A3520000}"/>
    <cellStyle name="Normal 2 2 2 5 2 4 4 7" xfId="21156" xr:uid="{00000000-0005-0000-0000-0000A4520000}"/>
    <cellStyle name="Normal 2 2 2 5 2 4 4 8" xfId="21157" xr:uid="{00000000-0005-0000-0000-0000A5520000}"/>
    <cellStyle name="Normal 2 2 2 5 2 4 4 9" xfId="21158" xr:uid="{00000000-0005-0000-0000-0000A6520000}"/>
    <cellStyle name="Normal 2 2 2 5 2 4 5" xfId="21159" xr:uid="{00000000-0005-0000-0000-0000A7520000}"/>
    <cellStyle name="Normal 2 2 2 5 2 4 5 10" xfId="21160" xr:uid="{00000000-0005-0000-0000-0000A8520000}"/>
    <cellStyle name="Normal 2 2 2 5 2 4 5 2" xfId="21161" xr:uid="{00000000-0005-0000-0000-0000A9520000}"/>
    <cellStyle name="Normal 2 2 2 5 2 4 5 3" xfId="21162" xr:uid="{00000000-0005-0000-0000-0000AA520000}"/>
    <cellStyle name="Normal 2 2 2 5 2 4 5 4" xfId="21163" xr:uid="{00000000-0005-0000-0000-0000AB520000}"/>
    <cellStyle name="Normal 2 2 2 5 2 4 5 5" xfId="21164" xr:uid="{00000000-0005-0000-0000-0000AC520000}"/>
    <cellStyle name="Normal 2 2 2 5 2 4 5 6" xfId="21165" xr:uid="{00000000-0005-0000-0000-0000AD520000}"/>
    <cellStyle name="Normal 2 2 2 5 2 4 5 7" xfId="21166" xr:uid="{00000000-0005-0000-0000-0000AE520000}"/>
    <cellStyle name="Normal 2 2 2 5 2 4 5 8" xfId="21167" xr:uid="{00000000-0005-0000-0000-0000AF520000}"/>
    <cellStyle name="Normal 2 2 2 5 2 4 5 9" xfId="21168" xr:uid="{00000000-0005-0000-0000-0000B0520000}"/>
    <cellStyle name="Normal 2 2 2 5 2 4 6" xfId="21169" xr:uid="{00000000-0005-0000-0000-0000B1520000}"/>
    <cellStyle name="Normal 2 2 2 5 2 4 7" xfId="21170" xr:uid="{00000000-0005-0000-0000-0000B2520000}"/>
    <cellStyle name="Normal 2 2 2 5 2 4 8" xfId="21171" xr:uid="{00000000-0005-0000-0000-0000B3520000}"/>
    <cellStyle name="Normal 2 2 2 5 2 4 9" xfId="21172" xr:uid="{00000000-0005-0000-0000-0000B4520000}"/>
    <cellStyle name="Normal 2 2 2 5 2 5" xfId="21173" xr:uid="{00000000-0005-0000-0000-0000B5520000}"/>
    <cellStyle name="Normal 2 2 2 5 2 5 10" xfId="21174" xr:uid="{00000000-0005-0000-0000-0000B6520000}"/>
    <cellStyle name="Normal 2 2 2 5 2 5 11" xfId="21175" xr:uid="{00000000-0005-0000-0000-0000B7520000}"/>
    <cellStyle name="Normal 2 2 2 5 2 5 12" xfId="21176" xr:uid="{00000000-0005-0000-0000-0000B8520000}"/>
    <cellStyle name="Normal 2 2 2 5 2 5 13" xfId="21177" xr:uid="{00000000-0005-0000-0000-0000B9520000}"/>
    <cellStyle name="Normal 2 2 2 5 2 5 14" xfId="21178" xr:uid="{00000000-0005-0000-0000-0000BA520000}"/>
    <cellStyle name="Normal 2 2 2 5 2 5 2" xfId="21179" xr:uid="{00000000-0005-0000-0000-0000BB520000}"/>
    <cellStyle name="Normal 2 2 2 5 2 5 2 10" xfId="21180" xr:uid="{00000000-0005-0000-0000-0000BC520000}"/>
    <cellStyle name="Normal 2 2 2 5 2 5 2 2" xfId="21181" xr:uid="{00000000-0005-0000-0000-0000BD520000}"/>
    <cellStyle name="Normal 2 2 2 5 2 5 2 3" xfId="21182" xr:uid="{00000000-0005-0000-0000-0000BE520000}"/>
    <cellStyle name="Normal 2 2 2 5 2 5 2 4" xfId="21183" xr:uid="{00000000-0005-0000-0000-0000BF520000}"/>
    <cellStyle name="Normal 2 2 2 5 2 5 2 5" xfId="21184" xr:uid="{00000000-0005-0000-0000-0000C0520000}"/>
    <cellStyle name="Normal 2 2 2 5 2 5 2 6" xfId="21185" xr:uid="{00000000-0005-0000-0000-0000C1520000}"/>
    <cellStyle name="Normal 2 2 2 5 2 5 2 7" xfId="21186" xr:uid="{00000000-0005-0000-0000-0000C2520000}"/>
    <cellStyle name="Normal 2 2 2 5 2 5 2 8" xfId="21187" xr:uid="{00000000-0005-0000-0000-0000C3520000}"/>
    <cellStyle name="Normal 2 2 2 5 2 5 2 9" xfId="21188" xr:uid="{00000000-0005-0000-0000-0000C4520000}"/>
    <cellStyle name="Normal 2 2 2 5 2 5 3" xfId="21189" xr:uid="{00000000-0005-0000-0000-0000C5520000}"/>
    <cellStyle name="Normal 2 2 2 5 2 5 3 10" xfId="21190" xr:uid="{00000000-0005-0000-0000-0000C6520000}"/>
    <cellStyle name="Normal 2 2 2 5 2 5 3 2" xfId="21191" xr:uid="{00000000-0005-0000-0000-0000C7520000}"/>
    <cellStyle name="Normal 2 2 2 5 2 5 3 3" xfId="21192" xr:uid="{00000000-0005-0000-0000-0000C8520000}"/>
    <cellStyle name="Normal 2 2 2 5 2 5 3 4" xfId="21193" xr:uid="{00000000-0005-0000-0000-0000C9520000}"/>
    <cellStyle name="Normal 2 2 2 5 2 5 3 5" xfId="21194" xr:uid="{00000000-0005-0000-0000-0000CA520000}"/>
    <cellStyle name="Normal 2 2 2 5 2 5 3 6" xfId="21195" xr:uid="{00000000-0005-0000-0000-0000CB520000}"/>
    <cellStyle name="Normal 2 2 2 5 2 5 3 7" xfId="21196" xr:uid="{00000000-0005-0000-0000-0000CC520000}"/>
    <cellStyle name="Normal 2 2 2 5 2 5 3 8" xfId="21197" xr:uid="{00000000-0005-0000-0000-0000CD520000}"/>
    <cellStyle name="Normal 2 2 2 5 2 5 3 9" xfId="21198" xr:uid="{00000000-0005-0000-0000-0000CE520000}"/>
    <cellStyle name="Normal 2 2 2 5 2 5 4" xfId="21199" xr:uid="{00000000-0005-0000-0000-0000CF520000}"/>
    <cellStyle name="Normal 2 2 2 5 2 5 4 10" xfId="21200" xr:uid="{00000000-0005-0000-0000-0000D0520000}"/>
    <cellStyle name="Normal 2 2 2 5 2 5 4 2" xfId="21201" xr:uid="{00000000-0005-0000-0000-0000D1520000}"/>
    <cellStyle name="Normal 2 2 2 5 2 5 4 3" xfId="21202" xr:uid="{00000000-0005-0000-0000-0000D2520000}"/>
    <cellStyle name="Normal 2 2 2 5 2 5 4 4" xfId="21203" xr:uid="{00000000-0005-0000-0000-0000D3520000}"/>
    <cellStyle name="Normal 2 2 2 5 2 5 4 5" xfId="21204" xr:uid="{00000000-0005-0000-0000-0000D4520000}"/>
    <cellStyle name="Normal 2 2 2 5 2 5 4 6" xfId="21205" xr:uid="{00000000-0005-0000-0000-0000D5520000}"/>
    <cellStyle name="Normal 2 2 2 5 2 5 4 7" xfId="21206" xr:uid="{00000000-0005-0000-0000-0000D6520000}"/>
    <cellStyle name="Normal 2 2 2 5 2 5 4 8" xfId="21207" xr:uid="{00000000-0005-0000-0000-0000D7520000}"/>
    <cellStyle name="Normal 2 2 2 5 2 5 4 9" xfId="21208" xr:uid="{00000000-0005-0000-0000-0000D8520000}"/>
    <cellStyle name="Normal 2 2 2 5 2 5 5" xfId="21209" xr:uid="{00000000-0005-0000-0000-0000D9520000}"/>
    <cellStyle name="Normal 2 2 2 5 2 5 5 10" xfId="21210" xr:uid="{00000000-0005-0000-0000-0000DA520000}"/>
    <cellStyle name="Normal 2 2 2 5 2 5 5 2" xfId="21211" xr:uid="{00000000-0005-0000-0000-0000DB520000}"/>
    <cellStyle name="Normal 2 2 2 5 2 5 5 3" xfId="21212" xr:uid="{00000000-0005-0000-0000-0000DC520000}"/>
    <cellStyle name="Normal 2 2 2 5 2 5 5 4" xfId="21213" xr:uid="{00000000-0005-0000-0000-0000DD520000}"/>
    <cellStyle name="Normal 2 2 2 5 2 5 5 5" xfId="21214" xr:uid="{00000000-0005-0000-0000-0000DE520000}"/>
    <cellStyle name="Normal 2 2 2 5 2 5 5 6" xfId="21215" xr:uid="{00000000-0005-0000-0000-0000DF520000}"/>
    <cellStyle name="Normal 2 2 2 5 2 5 5 7" xfId="21216" xr:uid="{00000000-0005-0000-0000-0000E0520000}"/>
    <cellStyle name="Normal 2 2 2 5 2 5 5 8" xfId="21217" xr:uid="{00000000-0005-0000-0000-0000E1520000}"/>
    <cellStyle name="Normal 2 2 2 5 2 5 5 9" xfId="21218" xr:uid="{00000000-0005-0000-0000-0000E2520000}"/>
    <cellStyle name="Normal 2 2 2 5 2 5 6" xfId="21219" xr:uid="{00000000-0005-0000-0000-0000E3520000}"/>
    <cellStyle name="Normal 2 2 2 5 2 5 7" xfId="21220" xr:uid="{00000000-0005-0000-0000-0000E4520000}"/>
    <cellStyle name="Normal 2 2 2 5 2 5 8" xfId="21221" xr:uid="{00000000-0005-0000-0000-0000E5520000}"/>
    <cellStyle name="Normal 2 2 2 5 2 5 9" xfId="21222" xr:uid="{00000000-0005-0000-0000-0000E6520000}"/>
    <cellStyle name="Normal 2 2 2 5 2 6" xfId="21223" xr:uid="{00000000-0005-0000-0000-0000E7520000}"/>
    <cellStyle name="Normal 2 2 2 5 2 6 10" xfId="21224" xr:uid="{00000000-0005-0000-0000-0000E8520000}"/>
    <cellStyle name="Normal 2 2 2 5 2 6 11" xfId="21225" xr:uid="{00000000-0005-0000-0000-0000E9520000}"/>
    <cellStyle name="Normal 2 2 2 5 2 6 12" xfId="21226" xr:uid="{00000000-0005-0000-0000-0000EA520000}"/>
    <cellStyle name="Normal 2 2 2 5 2 6 13" xfId="21227" xr:uid="{00000000-0005-0000-0000-0000EB520000}"/>
    <cellStyle name="Normal 2 2 2 5 2 6 14" xfId="21228" xr:uid="{00000000-0005-0000-0000-0000EC520000}"/>
    <cellStyle name="Normal 2 2 2 5 2 6 2" xfId="21229" xr:uid="{00000000-0005-0000-0000-0000ED520000}"/>
    <cellStyle name="Normal 2 2 2 5 2 6 2 10" xfId="21230" xr:uid="{00000000-0005-0000-0000-0000EE520000}"/>
    <cellStyle name="Normal 2 2 2 5 2 6 2 2" xfId="21231" xr:uid="{00000000-0005-0000-0000-0000EF520000}"/>
    <cellStyle name="Normal 2 2 2 5 2 6 2 3" xfId="21232" xr:uid="{00000000-0005-0000-0000-0000F0520000}"/>
    <cellStyle name="Normal 2 2 2 5 2 6 2 4" xfId="21233" xr:uid="{00000000-0005-0000-0000-0000F1520000}"/>
    <cellStyle name="Normal 2 2 2 5 2 6 2 5" xfId="21234" xr:uid="{00000000-0005-0000-0000-0000F2520000}"/>
    <cellStyle name="Normal 2 2 2 5 2 6 2 6" xfId="21235" xr:uid="{00000000-0005-0000-0000-0000F3520000}"/>
    <cellStyle name="Normal 2 2 2 5 2 6 2 7" xfId="21236" xr:uid="{00000000-0005-0000-0000-0000F4520000}"/>
    <cellStyle name="Normal 2 2 2 5 2 6 2 8" xfId="21237" xr:uid="{00000000-0005-0000-0000-0000F5520000}"/>
    <cellStyle name="Normal 2 2 2 5 2 6 2 9" xfId="21238" xr:uid="{00000000-0005-0000-0000-0000F6520000}"/>
    <cellStyle name="Normal 2 2 2 5 2 6 3" xfId="21239" xr:uid="{00000000-0005-0000-0000-0000F7520000}"/>
    <cellStyle name="Normal 2 2 2 5 2 6 3 10" xfId="21240" xr:uid="{00000000-0005-0000-0000-0000F8520000}"/>
    <cellStyle name="Normal 2 2 2 5 2 6 3 2" xfId="21241" xr:uid="{00000000-0005-0000-0000-0000F9520000}"/>
    <cellStyle name="Normal 2 2 2 5 2 6 3 3" xfId="21242" xr:uid="{00000000-0005-0000-0000-0000FA520000}"/>
    <cellStyle name="Normal 2 2 2 5 2 6 3 4" xfId="21243" xr:uid="{00000000-0005-0000-0000-0000FB520000}"/>
    <cellStyle name="Normal 2 2 2 5 2 6 3 5" xfId="21244" xr:uid="{00000000-0005-0000-0000-0000FC520000}"/>
    <cellStyle name="Normal 2 2 2 5 2 6 3 6" xfId="21245" xr:uid="{00000000-0005-0000-0000-0000FD520000}"/>
    <cellStyle name="Normal 2 2 2 5 2 6 3 7" xfId="21246" xr:uid="{00000000-0005-0000-0000-0000FE520000}"/>
    <cellStyle name="Normal 2 2 2 5 2 6 3 8" xfId="21247" xr:uid="{00000000-0005-0000-0000-0000FF520000}"/>
    <cellStyle name="Normal 2 2 2 5 2 6 3 9" xfId="21248" xr:uid="{00000000-0005-0000-0000-000000530000}"/>
    <cellStyle name="Normal 2 2 2 5 2 6 4" xfId="21249" xr:uid="{00000000-0005-0000-0000-000001530000}"/>
    <cellStyle name="Normal 2 2 2 5 2 6 4 10" xfId="21250" xr:uid="{00000000-0005-0000-0000-000002530000}"/>
    <cellStyle name="Normal 2 2 2 5 2 6 4 2" xfId="21251" xr:uid="{00000000-0005-0000-0000-000003530000}"/>
    <cellStyle name="Normal 2 2 2 5 2 6 4 3" xfId="21252" xr:uid="{00000000-0005-0000-0000-000004530000}"/>
    <cellStyle name="Normal 2 2 2 5 2 6 4 4" xfId="21253" xr:uid="{00000000-0005-0000-0000-000005530000}"/>
    <cellStyle name="Normal 2 2 2 5 2 6 4 5" xfId="21254" xr:uid="{00000000-0005-0000-0000-000006530000}"/>
    <cellStyle name="Normal 2 2 2 5 2 6 4 6" xfId="21255" xr:uid="{00000000-0005-0000-0000-000007530000}"/>
    <cellStyle name="Normal 2 2 2 5 2 6 4 7" xfId="21256" xr:uid="{00000000-0005-0000-0000-000008530000}"/>
    <cellStyle name="Normal 2 2 2 5 2 6 4 8" xfId="21257" xr:uid="{00000000-0005-0000-0000-000009530000}"/>
    <cellStyle name="Normal 2 2 2 5 2 6 4 9" xfId="21258" xr:uid="{00000000-0005-0000-0000-00000A530000}"/>
    <cellStyle name="Normal 2 2 2 5 2 6 5" xfId="21259" xr:uid="{00000000-0005-0000-0000-00000B530000}"/>
    <cellStyle name="Normal 2 2 2 5 2 6 5 10" xfId="21260" xr:uid="{00000000-0005-0000-0000-00000C530000}"/>
    <cellStyle name="Normal 2 2 2 5 2 6 5 2" xfId="21261" xr:uid="{00000000-0005-0000-0000-00000D530000}"/>
    <cellStyle name="Normal 2 2 2 5 2 6 5 3" xfId="21262" xr:uid="{00000000-0005-0000-0000-00000E530000}"/>
    <cellStyle name="Normal 2 2 2 5 2 6 5 4" xfId="21263" xr:uid="{00000000-0005-0000-0000-00000F530000}"/>
    <cellStyle name="Normal 2 2 2 5 2 6 5 5" xfId="21264" xr:uid="{00000000-0005-0000-0000-000010530000}"/>
    <cellStyle name="Normal 2 2 2 5 2 6 5 6" xfId="21265" xr:uid="{00000000-0005-0000-0000-000011530000}"/>
    <cellStyle name="Normal 2 2 2 5 2 6 5 7" xfId="21266" xr:uid="{00000000-0005-0000-0000-000012530000}"/>
    <cellStyle name="Normal 2 2 2 5 2 6 5 8" xfId="21267" xr:uid="{00000000-0005-0000-0000-000013530000}"/>
    <cellStyle name="Normal 2 2 2 5 2 6 5 9" xfId="21268" xr:uid="{00000000-0005-0000-0000-000014530000}"/>
    <cellStyle name="Normal 2 2 2 5 2 6 6" xfId="21269" xr:uid="{00000000-0005-0000-0000-000015530000}"/>
    <cellStyle name="Normal 2 2 2 5 2 6 7" xfId="21270" xr:uid="{00000000-0005-0000-0000-000016530000}"/>
    <cellStyle name="Normal 2 2 2 5 2 6 8" xfId="21271" xr:uid="{00000000-0005-0000-0000-000017530000}"/>
    <cellStyle name="Normal 2 2 2 5 2 6 9" xfId="21272" xr:uid="{00000000-0005-0000-0000-000018530000}"/>
    <cellStyle name="Normal 2 2 2 5 2 7" xfId="21273" xr:uid="{00000000-0005-0000-0000-000019530000}"/>
    <cellStyle name="Normal 2 2 2 5 2 7 10" xfId="21274" xr:uid="{00000000-0005-0000-0000-00001A530000}"/>
    <cellStyle name="Normal 2 2 2 5 2 7 11" xfId="21275" xr:uid="{00000000-0005-0000-0000-00001B530000}"/>
    <cellStyle name="Normal 2 2 2 5 2 7 12" xfId="21276" xr:uid="{00000000-0005-0000-0000-00001C530000}"/>
    <cellStyle name="Normal 2 2 2 5 2 7 13" xfId="21277" xr:uid="{00000000-0005-0000-0000-00001D530000}"/>
    <cellStyle name="Normal 2 2 2 5 2 7 14" xfId="21278" xr:uid="{00000000-0005-0000-0000-00001E530000}"/>
    <cellStyle name="Normal 2 2 2 5 2 7 2" xfId="21279" xr:uid="{00000000-0005-0000-0000-00001F530000}"/>
    <cellStyle name="Normal 2 2 2 5 2 7 2 10" xfId="21280" xr:uid="{00000000-0005-0000-0000-000020530000}"/>
    <cellStyle name="Normal 2 2 2 5 2 7 2 2" xfId="21281" xr:uid="{00000000-0005-0000-0000-000021530000}"/>
    <cellStyle name="Normal 2 2 2 5 2 7 2 3" xfId="21282" xr:uid="{00000000-0005-0000-0000-000022530000}"/>
    <cellStyle name="Normal 2 2 2 5 2 7 2 4" xfId="21283" xr:uid="{00000000-0005-0000-0000-000023530000}"/>
    <cellStyle name="Normal 2 2 2 5 2 7 2 5" xfId="21284" xr:uid="{00000000-0005-0000-0000-000024530000}"/>
    <cellStyle name="Normal 2 2 2 5 2 7 2 6" xfId="21285" xr:uid="{00000000-0005-0000-0000-000025530000}"/>
    <cellStyle name="Normal 2 2 2 5 2 7 2 7" xfId="21286" xr:uid="{00000000-0005-0000-0000-000026530000}"/>
    <cellStyle name="Normal 2 2 2 5 2 7 2 8" xfId="21287" xr:uid="{00000000-0005-0000-0000-000027530000}"/>
    <cellStyle name="Normal 2 2 2 5 2 7 2 9" xfId="21288" xr:uid="{00000000-0005-0000-0000-000028530000}"/>
    <cellStyle name="Normal 2 2 2 5 2 7 3" xfId="21289" xr:uid="{00000000-0005-0000-0000-000029530000}"/>
    <cellStyle name="Normal 2 2 2 5 2 7 3 10" xfId="21290" xr:uid="{00000000-0005-0000-0000-00002A530000}"/>
    <cellStyle name="Normal 2 2 2 5 2 7 3 2" xfId="21291" xr:uid="{00000000-0005-0000-0000-00002B530000}"/>
    <cellStyle name="Normal 2 2 2 5 2 7 3 3" xfId="21292" xr:uid="{00000000-0005-0000-0000-00002C530000}"/>
    <cellStyle name="Normal 2 2 2 5 2 7 3 4" xfId="21293" xr:uid="{00000000-0005-0000-0000-00002D530000}"/>
    <cellStyle name="Normal 2 2 2 5 2 7 3 5" xfId="21294" xr:uid="{00000000-0005-0000-0000-00002E530000}"/>
    <cellStyle name="Normal 2 2 2 5 2 7 3 6" xfId="21295" xr:uid="{00000000-0005-0000-0000-00002F530000}"/>
    <cellStyle name="Normal 2 2 2 5 2 7 3 7" xfId="21296" xr:uid="{00000000-0005-0000-0000-000030530000}"/>
    <cellStyle name="Normal 2 2 2 5 2 7 3 8" xfId="21297" xr:uid="{00000000-0005-0000-0000-000031530000}"/>
    <cellStyle name="Normal 2 2 2 5 2 7 3 9" xfId="21298" xr:uid="{00000000-0005-0000-0000-000032530000}"/>
    <cellStyle name="Normal 2 2 2 5 2 7 4" xfId="21299" xr:uid="{00000000-0005-0000-0000-000033530000}"/>
    <cellStyle name="Normal 2 2 2 5 2 7 4 10" xfId="21300" xr:uid="{00000000-0005-0000-0000-000034530000}"/>
    <cellStyle name="Normal 2 2 2 5 2 7 4 2" xfId="21301" xr:uid="{00000000-0005-0000-0000-000035530000}"/>
    <cellStyle name="Normal 2 2 2 5 2 7 4 3" xfId="21302" xr:uid="{00000000-0005-0000-0000-000036530000}"/>
    <cellStyle name="Normal 2 2 2 5 2 7 4 4" xfId="21303" xr:uid="{00000000-0005-0000-0000-000037530000}"/>
    <cellStyle name="Normal 2 2 2 5 2 7 4 5" xfId="21304" xr:uid="{00000000-0005-0000-0000-000038530000}"/>
    <cellStyle name="Normal 2 2 2 5 2 7 4 6" xfId="21305" xr:uid="{00000000-0005-0000-0000-000039530000}"/>
    <cellStyle name="Normal 2 2 2 5 2 7 4 7" xfId="21306" xr:uid="{00000000-0005-0000-0000-00003A530000}"/>
    <cellStyle name="Normal 2 2 2 5 2 7 4 8" xfId="21307" xr:uid="{00000000-0005-0000-0000-00003B530000}"/>
    <cellStyle name="Normal 2 2 2 5 2 7 4 9" xfId="21308" xr:uid="{00000000-0005-0000-0000-00003C530000}"/>
    <cellStyle name="Normal 2 2 2 5 2 7 5" xfId="21309" xr:uid="{00000000-0005-0000-0000-00003D530000}"/>
    <cellStyle name="Normal 2 2 2 5 2 7 5 10" xfId="21310" xr:uid="{00000000-0005-0000-0000-00003E530000}"/>
    <cellStyle name="Normal 2 2 2 5 2 7 5 2" xfId="21311" xr:uid="{00000000-0005-0000-0000-00003F530000}"/>
    <cellStyle name="Normal 2 2 2 5 2 7 5 3" xfId="21312" xr:uid="{00000000-0005-0000-0000-000040530000}"/>
    <cellStyle name="Normal 2 2 2 5 2 7 5 4" xfId="21313" xr:uid="{00000000-0005-0000-0000-000041530000}"/>
    <cellStyle name="Normal 2 2 2 5 2 7 5 5" xfId="21314" xr:uid="{00000000-0005-0000-0000-000042530000}"/>
    <cellStyle name="Normal 2 2 2 5 2 7 5 6" xfId="21315" xr:uid="{00000000-0005-0000-0000-000043530000}"/>
    <cellStyle name="Normal 2 2 2 5 2 7 5 7" xfId="21316" xr:uid="{00000000-0005-0000-0000-000044530000}"/>
    <cellStyle name="Normal 2 2 2 5 2 7 5 8" xfId="21317" xr:uid="{00000000-0005-0000-0000-000045530000}"/>
    <cellStyle name="Normal 2 2 2 5 2 7 5 9" xfId="21318" xr:uid="{00000000-0005-0000-0000-000046530000}"/>
    <cellStyle name="Normal 2 2 2 5 2 7 6" xfId="21319" xr:uid="{00000000-0005-0000-0000-000047530000}"/>
    <cellStyle name="Normal 2 2 2 5 2 7 7" xfId="21320" xr:uid="{00000000-0005-0000-0000-000048530000}"/>
    <cellStyle name="Normal 2 2 2 5 2 7 8" xfId="21321" xr:uid="{00000000-0005-0000-0000-000049530000}"/>
    <cellStyle name="Normal 2 2 2 5 2 7 9" xfId="21322" xr:uid="{00000000-0005-0000-0000-00004A530000}"/>
    <cellStyle name="Normal 2 2 2 5 2 8" xfId="21323" xr:uid="{00000000-0005-0000-0000-00004B530000}"/>
    <cellStyle name="Normal 2 2 2 5 2 8 10" xfId="21324" xr:uid="{00000000-0005-0000-0000-00004C530000}"/>
    <cellStyle name="Normal 2 2 2 5 2 8 11" xfId="21325" xr:uid="{00000000-0005-0000-0000-00004D530000}"/>
    <cellStyle name="Normal 2 2 2 5 2 8 12" xfId="21326" xr:uid="{00000000-0005-0000-0000-00004E530000}"/>
    <cellStyle name="Normal 2 2 2 5 2 8 13" xfId="21327" xr:uid="{00000000-0005-0000-0000-00004F530000}"/>
    <cellStyle name="Normal 2 2 2 5 2 8 14" xfId="21328" xr:uid="{00000000-0005-0000-0000-000050530000}"/>
    <cellStyle name="Normal 2 2 2 5 2 8 2" xfId="21329" xr:uid="{00000000-0005-0000-0000-000051530000}"/>
    <cellStyle name="Normal 2 2 2 5 2 8 2 10" xfId="21330" xr:uid="{00000000-0005-0000-0000-000052530000}"/>
    <cellStyle name="Normal 2 2 2 5 2 8 2 2" xfId="21331" xr:uid="{00000000-0005-0000-0000-000053530000}"/>
    <cellStyle name="Normal 2 2 2 5 2 8 2 3" xfId="21332" xr:uid="{00000000-0005-0000-0000-000054530000}"/>
    <cellStyle name="Normal 2 2 2 5 2 8 2 4" xfId="21333" xr:uid="{00000000-0005-0000-0000-000055530000}"/>
    <cellStyle name="Normal 2 2 2 5 2 8 2 5" xfId="21334" xr:uid="{00000000-0005-0000-0000-000056530000}"/>
    <cellStyle name="Normal 2 2 2 5 2 8 2 6" xfId="21335" xr:uid="{00000000-0005-0000-0000-000057530000}"/>
    <cellStyle name="Normal 2 2 2 5 2 8 2 7" xfId="21336" xr:uid="{00000000-0005-0000-0000-000058530000}"/>
    <cellStyle name="Normal 2 2 2 5 2 8 2 8" xfId="21337" xr:uid="{00000000-0005-0000-0000-000059530000}"/>
    <cellStyle name="Normal 2 2 2 5 2 8 2 9" xfId="21338" xr:uid="{00000000-0005-0000-0000-00005A530000}"/>
    <cellStyle name="Normal 2 2 2 5 2 8 3" xfId="21339" xr:uid="{00000000-0005-0000-0000-00005B530000}"/>
    <cellStyle name="Normal 2 2 2 5 2 8 3 10" xfId="21340" xr:uid="{00000000-0005-0000-0000-00005C530000}"/>
    <cellStyle name="Normal 2 2 2 5 2 8 3 2" xfId="21341" xr:uid="{00000000-0005-0000-0000-00005D530000}"/>
    <cellStyle name="Normal 2 2 2 5 2 8 3 3" xfId="21342" xr:uid="{00000000-0005-0000-0000-00005E530000}"/>
    <cellStyle name="Normal 2 2 2 5 2 8 3 4" xfId="21343" xr:uid="{00000000-0005-0000-0000-00005F530000}"/>
    <cellStyle name="Normal 2 2 2 5 2 8 3 5" xfId="21344" xr:uid="{00000000-0005-0000-0000-000060530000}"/>
    <cellStyle name="Normal 2 2 2 5 2 8 3 6" xfId="21345" xr:uid="{00000000-0005-0000-0000-000061530000}"/>
    <cellStyle name="Normal 2 2 2 5 2 8 3 7" xfId="21346" xr:uid="{00000000-0005-0000-0000-000062530000}"/>
    <cellStyle name="Normal 2 2 2 5 2 8 3 8" xfId="21347" xr:uid="{00000000-0005-0000-0000-000063530000}"/>
    <cellStyle name="Normal 2 2 2 5 2 8 3 9" xfId="21348" xr:uid="{00000000-0005-0000-0000-000064530000}"/>
    <cellStyle name="Normal 2 2 2 5 2 8 4" xfId="21349" xr:uid="{00000000-0005-0000-0000-000065530000}"/>
    <cellStyle name="Normal 2 2 2 5 2 8 4 10" xfId="21350" xr:uid="{00000000-0005-0000-0000-000066530000}"/>
    <cellStyle name="Normal 2 2 2 5 2 8 4 2" xfId="21351" xr:uid="{00000000-0005-0000-0000-000067530000}"/>
    <cellStyle name="Normal 2 2 2 5 2 8 4 3" xfId="21352" xr:uid="{00000000-0005-0000-0000-000068530000}"/>
    <cellStyle name="Normal 2 2 2 5 2 8 4 4" xfId="21353" xr:uid="{00000000-0005-0000-0000-000069530000}"/>
    <cellStyle name="Normal 2 2 2 5 2 8 4 5" xfId="21354" xr:uid="{00000000-0005-0000-0000-00006A530000}"/>
    <cellStyle name="Normal 2 2 2 5 2 8 4 6" xfId="21355" xr:uid="{00000000-0005-0000-0000-00006B530000}"/>
    <cellStyle name="Normal 2 2 2 5 2 8 4 7" xfId="21356" xr:uid="{00000000-0005-0000-0000-00006C530000}"/>
    <cellStyle name="Normal 2 2 2 5 2 8 4 8" xfId="21357" xr:uid="{00000000-0005-0000-0000-00006D530000}"/>
    <cellStyle name="Normal 2 2 2 5 2 8 4 9" xfId="21358" xr:uid="{00000000-0005-0000-0000-00006E530000}"/>
    <cellStyle name="Normal 2 2 2 5 2 8 5" xfId="21359" xr:uid="{00000000-0005-0000-0000-00006F530000}"/>
    <cellStyle name="Normal 2 2 2 5 2 8 5 10" xfId="21360" xr:uid="{00000000-0005-0000-0000-000070530000}"/>
    <cellStyle name="Normal 2 2 2 5 2 8 5 2" xfId="21361" xr:uid="{00000000-0005-0000-0000-000071530000}"/>
    <cellStyle name="Normal 2 2 2 5 2 8 5 3" xfId="21362" xr:uid="{00000000-0005-0000-0000-000072530000}"/>
    <cellStyle name="Normal 2 2 2 5 2 8 5 4" xfId="21363" xr:uid="{00000000-0005-0000-0000-000073530000}"/>
    <cellStyle name="Normal 2 2 2 5 2 8 5 5" xfId="21364" xr:uid="{00000000-0005-0000-0000-000074530000}"/>
    <cellStyle name="Normal 2 2 2 5 2 8 5 6" xfId="21365" xr:uid="{00000000-0005-0000-0000-000075530000}"/>
    <cellStyle name="Normal 2 2 2 5 2 8 5 7" xfId="21366" xr:uid="{00000000-0005-0000-0000-000076530000}"/>
    <cellStyle name="Normal 2 2 2 5 2 8 5 8" xfId="21367" xr:uid="{00000000-0005-0000-0000-000077530000}"/>
    <cellStyle name="Normal 2 2 2 5 2 8 5 9" xfId="21368" xr:uid="{00000000-0005-0000-0000-000078530000}"/>
    <cellStyle name="Normal 2 2 2 5 2 8 6" xfId="21369" xr:uid="{00000000-0005-0000-0000-000079530000}"/>
    <cellStyle name="Normal 2 2 2 5 2 8 7" xfId="21370" xr:uid="{00000000-0005-0000-0000-00007A530000}"/>
    <cellStyle name="Normal 2 2 2 5 2 8 8" xfId="21371" xr:uid="{00000000-0005-0000-0000-00007B530000}"/>
    <cellStyle name="Normal 2 2 2 5 2 8 9" xfId="21372" xr:uid="{00000000-0005-0000-0000-00007C530000}"/>
    <cellStyle name="Normal 2 2 2 5 2 9" xfId="21373" xr:uid="{00000000-0005-0000-0000-00007D530000}"/>
    <cellStyle name="Normal 2 2 2 5 2 9 10" xfId="21374" xr:uid="{00000000-0005-0000-0000-00007E530000}"/>
    <cellStyle name="Normal 2 2 2 5 2 9 11" xfId="21375" xr:uid="{00000000-0005-0000-0000-00007F530000}"/>
    <cellStyle name="Normal 2 2 2 5 2 9 12" xfId="21376" xr:uid="{00000000-0005-0000-0000-000080530000}"/>
    <cellStyle name="Normal 2 2 2 5 2 9 13" xfId="21377" xr:uid="{00000000-0005-0000-0000-000081530000}"/>
    <cellStyle name="Normal 2 2 2 5 2 9 14" xfId="21378" xr:uid="{00000000-0005-0000-0000-000082530000}"/>
    <cellStyle name="Normal 2 2 2 5 2 9 2" xfId="21379" xr:uid="{00000000-0005-0000-0000-000083530000}"/>
    <cellStyle name="Normal 2 2 2 5 2 9 2 10" xfId="21380" xr:uid="{00000000-0005-0000-0000-000084530000}"/>
    <cellStyle name="Normal 2 2 2 5 2 9 2 2" xfId="21381" xr:uid="{00000000-0005-0000-0000-000085530000}"/>
    <cellStyle name="Normal 2 2 2 5 2 9 2 3" xfId="21382" xr:uid="{00000000-0005-0000-0000-000086530000}"/>
    <cellStyle name="Normal 2 2 2 5 2 9 2 4" xfId="21383" xr:uid="{00000000-0005-0000-0000-000087530000}"/>
    <cellStyle name="Normal 2 2 2 5 2 9 2 5" xfId="21384" xr:uid="{00000000-0005-0000-0000-000088530000}"/>
    <cellStyle name="Normal 2 2 2 5 2 9 2 6" xfId="21385" xr:uid="{00000000-0005-0000-0000-000089530000}"/>
    <cellStyle name="Normal 2 2 2 5 2 9 2 7" xfId="21386" xr:uid="{00000000-0005-0000-0000-00008A530000}"/>
    <cellStyle name="Normal 2 2 2 5 2 9 2 8" xfId="21387" xr:uid="{00000000-0005-0000-0000-00008B530000}"/>
    <cellStyle name="Normal 2 2 2 5 2 9 2 9" xfId="21388" xr:uid="{00000000-0005-0000-0000-00008C530000}"/>
    <cellStyle name="Normal 2 2 2 5 2 9 3" xfId="21389" xr:uid="{00000000-0005-0000-0000-00008D530000}"/>
    <cellStyle name="Normal 2 2 2 5 2 9 3 10" xfId="21390" xr:uid="{00000000-0005-0000-0000-00008E530000}"/>
    <cellStyle name="Normal 2 2 2 5 2 9 3 2" xfId="21391" xr:uid="{00000000-0005-0000-0000-00008F530000}"/>
    <cellStyle name="Normal 2 2 2 5 2 9 3 3" xfId="21392" xr:uid="{00000000-0005-0000-0000-000090530000}"/>
    <cellStyle name="Normal 2 2 2 5 2 9 3 4" xfId="21393" xr:uid="{00000000-0005-0000-0000-000091530000}"/>
    <cellStyle name="Normal 2 2 2 5 2 9 3 5" xfId="21394" xr:uid="{00000000-0005-0000-0000-000092530000}"/>
    <cellStyle name="Normal 2 2 2 5 2 9 3 6" xfId="21395" xr:uid="{00000000-0005-0000-0000-000093530000}"/>
    <cellStyle name="Normal 2 2 2 5 2 9 3 7" xfId="21396" xr:uid="{00000000-0005-0000-0000-000094530000}"/>
    <cellStyle name="Normal 2 2 2 5 2 9 3 8" xfId="21397" xr:uid="{00000000-0005-0000-0000-000095530000}"/>
    <cellStyle name="Normal 2 2 2 5 2 9 3 9" xfId="21398" xr:uid="{00000000-0005-0000-0000-000096530000}"/>
    <cellStyle name="Normal 2 2 2 5 2 9 4" xfId="21399" xr:uid="{00000000-0005-0000-0000-000097530000}"/>
    <cellStyle name="Normal 2 2 2 5 2 9 4 10" xfId="21400" xr:uid="{00000000-0005-0000-0000-000098530000}"/>
    <cellStyle name="Normal 2 2 2 5 2 9 4 2" xfId="21401" xr:uid="{00000000-0005-0000-0000-000099530000}"/>
    <cellStyle name="Normal 2 2 2 5 2 9 4 3" xfId="21402" xr:uid="{00000000-0005-0000-0000-00009A530000}"/>
    <cellStyle name="Normal 2 2 2 5 2 9 4 4" xfId="21403" xr:uid="{00000000-0005-0000-0000-00009B530000}"/>
    <cellStyle name="Normal 2 2 2 5 2 9 4 5" xfId="21404" xr:uid="{00000000-0005-0000-0000-00009C530000}"/>
    <cellStyle name="Normal 2 2 2 5 2 9 4 6" xfId="21405" xr:uid="{00000000-0005-0000-0000-00009D530000}"/>
    <cellStyle name="Normal 2 2 2 5 2 9 4 7" xfId="21406" xr:uid="{00000000-0005-0000-0000-00009E530000}"/>
    <cellStyle name="Normal 2 2 2 5 2 9 4 8" xfId="21407" xr:uid="{00000000-0005-0000-0000-00009F530000}"/>
    <cellStyle name="Normal 2 2 2 5 2 9 4 9" xfId="21408" xr:uid="{00000000-0005-0000-0000-0000A0530000}"/>
    <cellStyle name="Normal 2 2 2 5 2 9 5" xfId="21409" xr:uid="{00000000-0005-0000-0000-0000A1530000}"/>
    <cellStyle name="Normal 2 2 2 5 2 9 5 10" xfId="21410" xr:uid="{00000000-0005-0000-0000-0000A2530000}"/>
    <cellStyle name="Normal 2 2 2 5 2 9 5 2" xfId="21411" xr:uid="{00000000-0005-0000-0000-0000A3530000}"/>
    <cellStyle name="Normal 2 2 2 5 2 9 5 3" xfId="21412" xr:uid="{00000000-0005-0000-0000-0000A4530000}"/>
    <cellStyle name="Normal 2 2 2 5 2 9 5 4" xfId="21413" xr:uid="{00000000-0005-0000-0000-0000A5530000}"/>
    <cellStyle name="Normal 2 2 2 5 2 9 5 5" xfId="21414" xr:uid="{00000000-0005-0000-0000-0000A6530000}"/>
    <cellStyle name="Normal 2 2 2 5 2 9 5 6" xfId="21415" xr:uid="{00000000-0005-0000-0000-0000A7530000}"/>
    <cellStyle name="Normal 2 2 2 5 2 9 5 7" xfId="21416" xr:uid="{00000000-0005-0000-0000-0000A8530000}"/>
    <cellStyle name="Normal 2 2 2 5 2 9 5 8" xfId="21417" xr:uid="{00000000-0005-0000-0000-0000A9530000}"/>
    <cellStyle name="Normal 2 2 2 5 2 9 5 9" xfId="21418" xr:uid="{00000000-0005-0000-0000-0000AA530000}"/>
    <cellStyle name="Normal 2 2 2 5 2 9 6" xfId="21419" xr:uid="{00000000-0005-0000-0000-0000AB530000}"/>
    <cellStyle name="Normal 2 2 2 5 2 9 7" xfId="21420" xr:uid="{00000000-0005-0000-0000-0000AC530000}"/>
    <cellStyle name="Normal 2 2 2 5 2 9 8" xfId="21421" xr:uid="{00000000-0005-0000-0000-0000AD530000}"/>
    <cellStyle name="Normal 2 2 2 5 2 9 9" xfId="21422" xr:uid="{00000000-0005-0000-0000-0000AE530000}"/>
    <cellStyle name="Normal 2 2 2 5 20" xfId="21423" xr:uid="{00000000-0005-0000-0000-0000AF530000}"/>
    <cellStyle name="Normal 2 2 2 5 21" xfId="21424" xr:uid="{00000000-0005-0000-0000-0000B0530000}"/>
    <cellStyle name="Normal 2 2 2 5 21 10" xfId="21425" xr:uid="{00000000-0005-0000-0000-0000B1530000}"/>
    <cellStyle name="Normal 2 2 2 5 21 2" xfId="21426" xr:uid="{00000000-0005-0000-0000-0000B2530000}"/>
    <cellStyle name="Normal 2 2 2 5 21 3" xfId="21427" xr:uid="{00000000-0005-0000-0000-0000B3530000}"/>
    <cellStyle name="Normal 2 2 2 5 21 4" xfId="21428" xr:uid="{00000000-0005-0000-0000-0000B4530000}"/>
    <cellStyle name="Normal 2 2 2 5 21 5" xfId="21429" xr:uid="{00000000-0005-0000-0000-0000B5530000}"/>
    <cellStyle name="Normal 2 2 2 5 21 6" xfId="21430" xr:uid="{00000000-0005-0000-0000-0000B6530000}"/>
    <cellStyle name="Normal 2 2 2 5 21 7" xfId="21431" xr:uid="{00000000-0005-0000-0000-0000B7530000}"/>
    <cellStyle name="Normal 2 2 2 5 21 8" xfId="21432" xr:uid="{00000000-0005-0000-0000-0000B8530000}"/>
    <cellStyle name="Normal 2 2 2 5 21 9" xfId="21433" xr:uid="{00000000-0005-0000-0000-0000B9530000}"/>
    <cellStyle name="Normal 2 2 2 5 22" xfId="21434" xr:uid="{00000000-0005-0000-0000-0000BA530000}"/>
    <cellStyle name="Normal 2 2 2 5 22 10" xfId="21435" xr:uid="{00000000-0005-0000-0000-0000BB530000}"/>
    <cellStyle name="Normal 2 2 2 5 22 2" xfId="21436" xr:uid="{00000000-0005-0000-0000-0000BC530000}"/>
    <cellStyle name="Normal 2 2 2 5 22 3" xfId="21437" xr:uid="{00000000-0005-0000-0000-0000BD530000}"/>
    <cellStyle name="Normal 2 2 2 5 22 4" xfId="21438" xr:uid="{00000000-0005-0000-0000-0000BE530000}"/>
    <cellStyle name="Normal 2 2 2 5 22 5" xfId="21439" xr:uid="{00000000-0005-0000-0000-0000BF530000}"/>
    <cellStyle name="Normal 2 2 2 5 22 6" xfId="21440" xr:uid="{00000000-0005-0000-0000-0000C0530000}"/>
    <cellStyle name="Normal 2 2 2 5 22 7" xfId="21441" xr:uid="{00000000-0005-0000-0000-0000C1530000}"/>
    <cellStyle name="Normal 2 2 2 5 22 8" xfId="21442" xr:uid="{00000000-0005-0000-0000-0000C2530000}"/>
    <cellStyle name="Normal 2 2 2 5 22 9" xfId="21443" xr:uid="{00000000-0005-0000-0000-0000C3530000}"/>
    <cellStyle name="Normal 2 2 2 5 23" xfId="21444" xr:uid="{00000000-0005-0000-0000-0000C4530000}"/>
    <cellStyle name="Normal 2 2 2 5 23 10" xfId="21445" xr:uid="{00000000-0005-0000-0000-0000C5530000}"/>
    <cellStyle name="Normal 2 2 2 5 23 2" xfId="21446" xr:uid="{00000000-0005-0000-0000-0000C6530000}"/>
    <cellStyle name="Normal 2 2 2 5 23 3" xfId="21447" xr:uid="{00000000-0005-0000-0000-0000C7530000}"/>
    <cellStyle name="Normal 2 2 2 5 23 4" xfId="21448" xr:uid="{00000000-0005-0000-0000-0000C8530000}"/>
    <cellStyle name="Normal 2 2 2 5 23 5" xfId="21449" xr:uid="{00000000-0005-0000-0000-0000C9530000}"/>
    <cellStyle name="Normal 2 2 2 5 23 6" xfId="21450" xr:uid="{00000000-0005-0000-0000-0000CA530000}"/>
    <cellStyle name="Normal 2 2 2 5 23 7" xfId="21451" xr:uid="{00000000-0005-0000-0000-0000CB530000}"/>
    <cellStyle name="Normal 2 2 2 5 23 8" xfId="21452" xr:uid="{00000000-0005-0000-0000-0000CC530000}"/>
    <cellStyle name="Normal 2 2 2 5 23 9" xfId="21453" xr:uid="{00000000-0005-0000-0000-0000CD530000}"/>
    <cellStyle name="Normal 2 2 2 5 24" xfId="21454" xr:uid="{00000000-0005-0000-0000-0000CE530000}"/>
    <cellStyle name="Normal 2 2 2 5 24 10" xfId="21455" xr:uid="{00000000-0005-0000-0000-0000CF530000}"/>
    <cellStyle name="Normal 2 2 2 5 24 2" xfId="21456" xr:uid="{00000000-0005-0000-0000-0000D0530000}"/>
    <cellStyle name="Normal 2 2 2 5 24 3" xfId="21457" xr:uid="{00000000-0005-0000-0000-0000D1530000}"/>
    <cellStyle name="Normal 2 2 2 5 24 4" xfId="21458" xr:uid="{00000000-0005-0000-0000-0000D2530000}"/>
    <cellStyle name="Normal 2 2 2 5 24 5" xfId="21459" xr:uid="{00000000-0005-0000-0000-0000D3530000}"/>
    <cellStyle name="Normal 2 2 2 5 24 6" xfId="21460" xr:uid="{00000000-0005-0000-0000-0000D4530000}"/>
    <cellStyle name="Normal 2 2 2 5 24 7" xfId="21461" xr:uid="{00000000-0005-0000-0000-0000D5530000}"/>
    <cellStyle name="Normal 2 2 2 5 24 8" xfId="21462" xr:uid="{00000000-0005-0000-0000-0000D6530000}"/>
    <cellStyle name="Normal 2 2 2 5 24 9" xfId="21463" xr:uid="{00000000-0005-0000-0000-0000D7530000}"/>
    <cellStyle name="Normal 2 2 2 5 25" xfId="21464" xr:uid="{00000000-0005-0000-0000-0000D8530000}"/>
    <cellStyle name="Normal 2 2 2 5 26" xfId="21465" xr:uid="{00000000-0005-0000-0000-0000D9530000}"/>
    <cellStyle name="Normal 2 2 2 5 27" xfId="21466" xr:uid="{00000000-0005-0000-0000-0000DA530000}"/>
    <cellStyle name="Normal 2 2 2 5 28" xfId="21467" xr:uid="{00000000-0005-0000-0000-0000DB530000}"/>
    <cellStyle name="Normal 2 2 2 5 29" xfId="21468" xr:uid="{00000000-0005-0000-0000-0000DC530000}"/>
    <cellStyle name="Normal 2 2 2 5 3" xfId="21469" xr:uid="{00000000-0005-0000-0000-0000DD530000}"/>
    <cellStyle name="Normal 2 2 2 5 30" xfId="21470" xr:uid="{00000000-0005-0000-0000-0000DE530000}"/>
    <cellStyle name="Normal 2 2 2 5 31" xfId="21471" xr:uid="{00000000-0005-0000-0000-0000DF530000}"/>
    <cellStyle name="Normal 2 2 2 5 32" xfId="21472" xr:uid="{00000000-0005-0000-0000-0000E0530000}"/>
    <cellStyle name="Normal 2 2 2 5 33" xfId="21473" xr:uid="{00000000-0005-0000-0000-0000E1530000}"/>
    <cellStyle name="Normal 2 2 2 5 34" xfId="21474" xr:uid="{00000000-0005-0000-0000-0000E2530000}"/>
    <cellStyle name="Normal 2 2 2 5 35" xfId="21475" xr:uid="{00000000-0005-0000-0000-0000E3530000}"/>
    <cellStyle name="Normal 2 2 2 5 4" xfId="21476" xr:uid="{00000000-0005-0000-0000-0000E4530000}"/>
    <cellStyle name="Normal 2 2 2 5 5" xfId="21477" xr:uid="{00000000-0005-0000-0000-0000E5530000}"/>
    <cellStyle name="Normal 2 2 2 5 6" xfId="21478" xr:uid="{00000000-0005-0000-0000-0000E6530000}"/>
    <cellStyle name="Normal 2 2 2 5 7" xfId="21479" xr:uid="{00000000-0005-0000-0000-0000E7530000}"/>
    <cellStyle name="Normal 2 2 2 5 8" xfId="21480" xr:uid="{00000000-0005-0000-0000-0000E8530000}"/>
    <cellStyle name="Normal 2 2 2 5 9" xfId="21481" xr:uid="{00000000-0005-0000-0000-0000E9530000}"/>
    <cellStyle name="Normal 2 2 2 50" xfId="21482" xr:uid="{00000000-0005-0000-0000-0000EA530000}"/>
    <cellStyle name="Normal 2 2 2 51" xfId="21483" xr:uid="{00000000-0005-0000-0000-0000EB530000}"/>
    <cellStyle name="Normal 2 2 2 6" xfId="21484" xr:uid="{00000000-0005-0000-0000-0000EC530000}"/>
    <cellStyle name="Normal 2 2 2 6 10" xfId="21485" xr:uid="{00000000-0005-0000-0000-0000ED530000}"/>
    <cellStyle name="Normal 2 2 2 6 11" xfId="21486" xr:uid="{00000000-0005-0000-0000-0000EE530000}"/>
    <cellStyle name="Normal 2 2 2 6 12" xfId="21487" xr:uid="{00000000-0005-0000-0000-0000EF530000}"/>
    <cellStyle name="Normal 2 2 2 6 13" xfId="21488" xr:uid="{00000000-0005-0000-0000-0000F0530000}"/>
    <cellStyle name="Normal 2 2 2 6 14" xfId="21489" xr:uid="{00000000-0005-0000-0000-0000F1530000}"/>
    <cellStyle name="Normal 2 2 2 6 15" xfId="21490" xr:uid="{00000000-0005-0000-0000-0000F2530000}"/>
    <cellStyle name="Normal 2 2 2 6 16" xfId="21491" xr:uid="{00000000-0005-0000-0000-0000F3530000}"/>
    <cellStyle name="Normal 2 2 2 6 2" xfId="21492" xr:uid="{00000000-0005-0000-0000-0000F4530000}"/>
    <cellStyle name="Normal 2 2 2 6 2 10" xfId="21493" xr:uid="{00000000-0005-0000-0000-0000F5530000}"/>
    <cellStyle name="Normal 2 2 2 6 2 2" xfId="21494" xr:uid="{00000000-0005-0000-0000-0000F6530000}"/>
    <cellStyle name="Normal 2 2 2 6 2 3" xfId="21495" xr:uid="{00000000-0005-0000-0000-0000F7530000}"/>
    <cellStyle name="Normal 2 2 2 6 2 4" xfId="21496" xr:uid="{00000000-0005-0000-0000-0000F8530000}"/>
    <cellStyle name="Normal 2 2 2 6 2 5" xfId="21497" xr:uid="{00000000-0005-0000-0000-0000F9530000}"/>
    <cellStyle name="Normal 2 2 2 6 2 6" xfId="21498" xr:uid="{00000000-0005-0000-0000-0000FA530000}"/>
    <cellStyle name="Normal 2 2 2 6 2 7" xfId="21499" xr:uid="{00000000-0005-0000-0000-0000FB530000}"/>
    <cellStyle name="Normal 2 2 2 6 2 8" xfId="21500" xr:uid="{00000000-0005-0000-0000-0000FC530000}"/>
    <cellStyle name="Normal 2 2 2 6 2 9" xfId="21501" xr:uid="{00000000-0005-0000-0000-0000FD530000}"/>
    <cellStyle name="Normal 2 2 2 6 3" xfId="21502" xr:uid="{00000000-0005-0000-0000-0000FE530000}"/>
    <cellStyle name="Normal 2 2 2 6 3 10" xfId="21503" xr:uid="{00000000-0005-0000-0000-0000FF530000}"/>
    <cellStyle name="Normal 2 2 2 6 3 2" xfId="21504" xr:uid="{00000000-0005-0000-0000-000000540000}"/>
    <cellStyle name="Normal 2 2 2 6 3 3" xfId="21505" xr:uid="{00000000-0005-0000-0000-000001540000}"/>
    <cellStyle name="Normal 2 2 2 6 3 4" xfId="21506" xr:uid="{00000000-0005-0000-0000-000002540000}"/>
    <cellStyle name="Normal 2 2 2 6 3 5" xfId="21507" xr:uid="{00000000-0005-0000-0000-000003540000}"/>
    <cellStyle name="Normal 2 2 2 6 3 6" xfId="21508" xr:uid="{00000000-0005-0000-0000-000004540000}"/>
    <cellStyle name="Normal 2 2 2 6 3 7" xfId="21509" xr:uid="{00000000-0005-0000-0000-000005540000}"/>
    <cellStyle name="Normal 2 2 2 6 3 8" xfId="21510" xr:uid="{00000000-0005-0000-0000-000006540000}"/>
    <cellStyle name="Normal 2 2 2 6 3 9" xfId="21511" xr:uid="{00000000-0005-0000-0000-000007540000}"/>
    <cellStyle name="Normal 2 2 2 6 4" xfId="21512" xr:uid="{00000000-0005-0000-0000-000008540000}"/>
    <cellStyle name="Normal 2 2 2 6 4 10" xfId="21513" xr:uid="{00000000-0005-0000-0000-000009540000}"/>
    <cellStyle name="Normal 2 2 2 6 4 2" xfId="21514" xr:uid="{00000000-0005-0000-0000-00000A540000}"/>
    <cellStyle name="Normal 2 2 2 6 4 3" xfId="21515" xr:uid="{00000000-0005-0000-0000-00000B540000}"/>
    <cellStyle name="Normal 2 2 2 6 4 4" xfId="21516" xr:uid="{00000000-0005-0000-0000-00000C540000}"/>
    <cellStyle name="Normal 2 2 2 6 4 5" xfId="21517" xr:uid="{00000000-0005-0000-0000-00000D540000}"/>
    <cellStyle name="Normal 2 2 2 6 4 6" xfId="21518" xr:uid="{00000000-0005-0000-0000-00000E540000}"/>
    <cellStyle name="Normal 2 2 2 6 4 7" xfId="21519" xr:uid="{00000000-0005-0000-0000-00000F540000}"/>
    <cellStyle name="Normal 2 2 2 6 4 8" xfId="21520" xr:uid="{00000000-0005-0000-0000-000010540000}"/>
    <cellStyle name="Normal 2 2 2 6 4 9" xfId="21521" xr:uid="{00000000-0005-0000-0000-000011540000}"/>
    <cellStyle name="Normal 2 2 2 6 5" xfId="21522" xr:uid="{00000000-0005-0000-0000-000012540000}"/>
    <cellStyle name="Normal 2 2 2 6 5 10" xfId="21523" xr:uid="{00000000-0005-0000-0000-000013540000}"/>
    <cellStyle name="Normal 2 2 2 6 5 2" xfId="21524" xr:uid="{00000000-0005-0000-0000-000014540000}"/>
    <cellStyle name="Normal 2 2 2 6 5 3" xfId="21525" xr:uid="{00000000-0005-0000-0000-000015540000}"/>
    <cellStyle name="Normal 2 2 2 6 5 4" xfId="21526" xr:uid="{00000000-0005-0000-0000-000016540000}"/>
    <cellStyle name="Normal 2 2 2 6 5 5" xfId="21527" xr:uid="{00000000-0005-0000-0000-000017540000}"/>
    <cellStyle name="Normal 2 2 2 6 5 6" xfId="21528" xr:uid="{00000000-0005-0000-0000-000018540000}"/>
    <cellStyle name="Normal 2 2 2 6 5 7" xfId="21529" xr:uid="{00000000-0005-0000-0000-000019540000}"/>
    <cellStyle name="Normal 2 2 2 6 5 8" xfId="21530" xr:uid="{00000000-0005-0000-0000-00001A540000}"/>
    <cellStyle name="Normal 2 2 2 6 5 9" xfId="21531" xr:uid="{00000000-0005-0000-0000-00001B540000}"/>
    <cellStyle name="Normal 2 2 2 6 6" xfId="21532" xr:uid="{00000000-0005-0000-0000-00001C540000}"/>
    <cellStyle name="Normal 2 2 2 6 7" xfId="21533" xr:uid="{00000000-0005-0000-0000-00001D540000}"/>
    <cellStyle name="Normal 2 2 2 6 8" xfId="21534" xr:uid="{00000000-0005-0000-0000-00001E540000}"/>
    <cellStyle name="Normal 2 2 2 6 9" xfId="21535" xr:uid="{00000000-0005-0000-0000-00001F540000}"/>
    <cellStyle name="Normal 2 2 2 7" xfId="21536" xr:uid="{00000000-0005-0000-0000-000020540000}"/>
    <cellStyle name="Normal 2 2 2 7 10" xfId="21537" xr:uid="{00000000-0005-0000-0000-000021540000}"/>
    <cellStyle name="Normal 2 2 2 7 11" xfId="21538" xr:uid="{00000000-0005-0000-0000-000022540000}"/>
    <cellStyle name="Normal 2 2 2 7 12" xfId="21539" xr:uid="{00000000-0005-0000-0000-000023540000}"/>
    <cellStyle name="Normal 2 2 2 7 13" xfId="21540" xr:uid="{00000000-0005-0000-0000-000024540000}"/>
    <cellStyle name="Normal 2 2 2 7 14" xfId="21541" xr:uid="{00000000-0005-0000-0000-000025540000}"/>
    <cellStyle name="Normal 2 2 2 7 15" xfId="21542" xr:uid="{00000000-0005-0000-0000-000026540000}"/>
    <cellStyle name="Normal 2 2 2 7 16" xfId="21543" xr:uid="{00000000-0005-0000-0000-000027540000}"/>
    <cellStyle name="Normal 2 2 2 7 2" xfId="21544" xr:uid="{00000000-0005-0000-0000-000028540000}"/>
    <cellStyle name="Normal 2 2 2 7 2 10" xfId="21545" xr:uid="{00000000-0005-0000-0000-000029540000}"/>
    <cellStyle name="Normal 2 2 2 7 2 2" xfId="21546" xr:uid="{00000000-0005-0000-0000-00002A540000}"/>
    <cellStyle name="Normal 2 2 2 7 2 3" xfId="21547" xr:uid="{00000000-0005-0000-0000-00002B540000}"/>
    <cellStyle name="Normal 2 2 2 7 2 4" xfId="21548" xr:uid="{00000000-0005-0000-0000-00002C540000}"/>
    <cellStyle name="Normal 2 2 2 7 2 5" xfId="21549" xr:uid="{00000000-0005-0000-0000-00002D540000}"/>
    <cellStyle name="Normal 2 2 2 7 2 6" xfId="21550" xr:uid="{00000000-0005-0000-0000-00002E540000}"/>
    <cellStyle name="Normal 2 2 2 7 2 7" xfId="21551" xr:uid="{00000000-0005-0000-0000-00002F540000}"/>
    <cellStyle name="Normal 2 2 2 7 2 8" xfId="21552" xr:uid="{00000000-0005-0000-0000-000030540000}"/>
    <cellStyle name="Normal 2 2 2 7 2 9" xfId="21553" xr:uid="{00000000-0005-0000-0000-000031540000}"/>
    <cellStyle name="Normal 2 2 2 7 3" xfId="21554" xr:uid="{00000000-0005-0000-0000-000032540000}"/>
    <cellStyle name="Normal 2 2 2 7 3 10" xfId="21555" xr:uid="{00000000-0005-0000-0000-000033540000}"/>
    <cellStyle name="Normal 2 2 2 7 3 2" xfId="21556" xr:uid="{00000000-0005-0000-0000-000034540000}"/>
    <cellStyle name="Normal 2 2 2 7 3 3" xfId="21557" xr:uid="{00000000-0005-0000-0000-000035540000}"/>
    <cellStyle name="Normal 2 2 2 7 3 4" xfId="21558" xr:uid="{00000000-0005-0000-0000-000036540000}"/>
    <cellStyle name="Normal 2 2 2 7 3 5" xfId="21559" xr:uid="{00000000-0005-0000-0000-000037540000}"/>
    <cellStyle name="Normal 2 2 2 7 3 6" xfId="21560" xr:uid="{00000000-0005-0000-0000-000038540000}"/>
    <cellStyle name="Normal 2 2 2 7 3 7" xfId="21561" xr:uid="{00000000-0005-0000-0000-000039540000}"/>
    <cellStyle name="Normal 2 2 2 7 3 8" xfId="21562" xr:uid="{00000000-0005-0000-0000-00003A540000}"/>
    <cellStyle name="Normal 2 2 2 7 3 9" xfId="21563" xr:uid="{00000000-0005-0000-0000-00003B540000}"/>
    <cellStyle name="Normal 2 2 2 7 4" xfId="21564" xr:uid="{00000000-0005-0000-0000-00003C540000}"/>
    <cellStyle name="Normal 2 2 2 7 4 10" xfId="21565" xr:uid="{00000000-0005-0000-0000-00003D540000}"/>
    <cellStyle name="Normal 2 2 2 7 4 2" xfId="21566" xr:uid="{00000000-0005-0000-0000-00003E540000}"/>
    <cellStyle name="Normal 2 2 2 7 4 3" xfId="21567" xr:uid="{00000000-0005-0000-0000-00003F540000}"/>
    <cellStyle name="Normal 2 2 2 7 4 4" xfId="21568" xr:uid="{00000000-0005-0000-0000-000040540000}"/>
    <cellStyle name="Normal 2 2 2 7 4 5" xfId="21569" xr:uid="{00000000-0005-0000-0000-000041540000}"/>
    <cellStyle name="Normal 2 2 2 7 4 6" xfId="21570" xr:uid="{00000000-0005-0000-0000-000042540000}"/>
    <cellStyle name="Normal 2 2 2 7 4 7" xfId="21571" xr:uid="{00000000-0005-0000-0000-000043540000}"/>
    <cellStyle name="Normal 2 2 2 7 4 8" xfId="21572" xr:uid="{00000000-0005-0000-0000-000044540000}"/>
    <cellStyle name="Normal 2 2 2 7 4 9" xfId="21573" xr:uid="{00000000-0005-0000-0000-000045540000}"/>
    <cellStyle name="Normal 2 2 2 7 5" xfId="21574" xr:uid="{00000000-0005-0000-0000-000046540000}"/>
    <cellStyle name="Normal 2 2 2 7 5 10" xfId="21575" xr:uid="{00000000-0005-0000-0000-000047540000}"/>
    <cellStyle name="Normal 2 2 2 7 5 2" xfId="21576" xr:uid="{00000000-0005-0000-0000-000048540000}"/>
    <cellStyle name="Normal 2 2 2 7 5 3" xfId="21577" xr:uid="{00000000-0005-0000-0000-000049540000}"/>
    <cellStyle name="Normal 2 2 2 7 5 4" xfId="21578" xr:uid="{00000000-0005-0000-0000-00004A540000}"/>
    <cellStyle name="Normal 2 2 2 7 5 5" xfId="21579" xr:uid="{00000000-0005-0000-0000-00004B540000}"/>
    <cellStyle name="Normal 2 2 2 7 5 6" xfId="21580" xr:uid="{00000000-0005-0000-0000-00004C540000}"/>
    <cellStyle name="Normal 2 2 2 7 5 7" xfId="21581" xr:uid="{00000000-0005-0000-0000-00004D540000}"/>
    <cellStyle name="Normal 2 2 2 7 5 8" xfId="21582" xr:uid="{00000000-0005-0000-0000-00004E540000}"/>
    <cellStyle name="Normal 2 2 2 7 5 9" xfId="21583" xr:uid="{00000000-0005-0000-0000-00004F540000}"/>
    <cellStyle name="Normal 2 2 2 7 6" xfId="21584" xr:uid="{00000000-0005-0000-0000-000050540000}"/>
    <cellStyle name="Normal 2 2 2 7 7" xfId="21585" xr:uid="{00000000-0005-0000-0000-000051540000}"/>
    <cellStyle name="Normal 2 2 2 7 8" xfId="21586" xr:uid="{00000000-0005-0000-0000-000052540000}"/>
    <cellStyle name="Normal 2 2 2 7 9" xfId="21587" xr:uid="{00000000-0005-0000-0000-000053540000}"/>
    <cellStyle name="Normal 2 2 2 8" xfId="21588" xr:uid="{00000000-0005-0000-0000-000054540000}"/>
    <cellStyle name="Normal 2 2 2 8 10" xfId="21589" xr:uid="{00000000-0005-0000-0000-000055540000}"/>
    <cellStyle name="Normal 2 2 2 8 11" xfId="21590" xr:uid="{00000000-0005-0000-0000-000056540000}"/>
    <cellStyle name="Normal 2 2 2 8 12" xfId="21591" xr:uid="{00000000-0005-0000-0000-000057540000}"/>
    <cellStyle name="Normal 2 2 2 8 13" xfId="21592" xr:uid="{00000000-0005-0000-0000-000058540000}"/>
    <cellStyle name="Normal 2 2 2 8 14" xfId="21593" xr:uid="{00000000-0005-0000-0000-000059540000}"/>
    <cellStyle name="Normal 2 2 2 8 2" xfId="21594" xr:uid="{00000000-0005-0000-0000-00005A540000}"/>
    <cellStyle name="Normal 2 2 2 8 2 10" xfId="21595" xr:uid="{00000000-0005-0000-0000-00005B540000}"/>
    <cellStyle name="Normal 2 2 2 8 2 2" xfId="21596" xr:uid="{00000000-0005-0000-0000-00005C540000}"/>
    <cellStyle name="Normal 2 2 2 8 2 3" xfId="21597" xr:uid="{00000000-0005-0000-0000-00005D540000}"/>
    <cellStyle name="Normal 2 2 2 8 2 4" xfId="21598" xr:uid="{00000000-0005-0000-0000-00005E540000}"/>
    <cellStyle name="Normal 2 2 2 8 2 5" xfId="21599" xr:uid="{00000000-0005-0000-0000-00005F540000}"/>
    <cellStyle name="Normal 2 2 2 8 2 6" xfId="21600" xr:uid="{00000000-0005-0000-0000-000060540000}"/>
    <cellStyle name="Normal 2 2 2 8 2 7" xfId="21601" xr:uid="{00000000-0005-0000-0000-000061540000}"/>
    <cellStyle name="Normal 2 2 2 8 2 8" xfId="21602" xr:uid="{00000000-0005-0000-0000-000062540000}"/>
    <cellStyle name="Normal 2 2 2 8 2 9" xfId="21603" xr:uid="{00000000-0005-0000-0000-000063540000}"/>
    <cellStyle name="Normal 2 2 2 8 3" xfId="21604" xr:uid="{00000000-0005-0000-0000-000064540000}"/>
    <cellStyle name="Normal 2 2 2 8 3 10" xfId="21605" xr:uid="{00000000-0005-0000-0000-000065540000}"/>
    <cellStyle name="Normal 2 2 2 8 3 2" xfId="21606" xr:uid="{00000000-0005-0000-0000-000066540000}"/>
    <cellStyle name="Normal 2 2 2 8 3 3" xfId="21607" xr:uid="{00000000-0005-0000-0000-000067540000}"/>
    <cellStyle name="Normal 2 2 2 8 3 4" xfId="21608" xr:uid="{00000000-0005-0000-0000-000068540000}"/>
    <cellStyle name="Normal 2 2 2 8 3 5" xfId="21609" xr:uid="{00000000-0005-0000-0000-000069540000}"/>
    <cellStyle name="Normal 2 2 2 8 3 6" xfId="21610" xr:uid="{00000000-0005-0000-0000-00006A540000}"/>
    <cellStyle name="Normal 2 2 2 8 3 7" xfId="21611" xr:uid="{00000000-0005-0000-0000-00006B540000}"/>
    <cellStyle name="Normal 2 2 2 8 3 8" xfId="21612" xr:uid="{00000000-0005-0000-0000-00006C540000}"/>
    <cellStyle name="Normal 2 2 2 8 3 9" xfId="21613" xr:uid="{00000000-0005-0000-0000-00006D540000}"/>
    <cellStyle name="Normal 2 2 2 8 4" xfId="21614" xr:uid="{00000000-0005-0000-0000-00006E540000}"/>
    <cellStyle name="Normal 2 2 2 8 4 10" xfId="21615" xr:uid="{00000000-0005-0000-0000-00006F540000}"/>
    <cellStyle name="Normal 2 2 2 8 4 2" xfId="21616" xr:uid="{00000000-0005-0000-0000-000070540000}"/>
    <cellStyle name="Normal 2 2 2 8 4 3" xfId="21617" xr:uid="{00000000-0005-0000-0000-000071540000}"/>
    <cellStyle name="Normal 2 2 2 8 4 4" xfId="21618" xr:uid="{00000000-0005-0000-0000-000072540000}"/>
    <cellStyle name="Normal 2 2 2 8 4 5" xfId="21619" xr:uid="{00000000-0005-0000-0000-000073540000}"/>
    <cellStyle name="Normal 2 2 2 8 4 6" xfId="21620" xr:uid="{00000000-0005-0000-0000-000074540000}"/>
    <cellStyle name="Normal 2 2 2 8 4 7" xfId="21621" xr:uid="{00000000-0005-0000-0000-000075540000}"/>
    <cellStyle name="Normal 2 2 2 8 4 8" xfId="21622" xr:uid="{00000000-0005-0000-0000-000076540000}"/>
    <cellStyle name="Normal 2 2 2 8 4 9" xfId="21623" xr:uid="{00000000-0005-0000-0000-000077540000}"/>
    <cellStyle name="Normal 2 2 2 8 5" xfId="21624" xr:uid="{00000000-0005-0000-0000-000078540000}"/>
    <cellStyle name="Normal 2 2 2 8 5 10" xfId="21625" xr:uid="{00000000-0005-0000-0000-000079540000}"/>
    <cellStyle name="Normal 2 2 2 8 5 2" xfId="21626" xr:uid="{00000000-0005-0000-0000-00007A540000}"/>
    <cellStyle name="Normal 2 2 2 8 5 3" xfId="21627" xr:uid="{00000000-0005-0000-0000-00007B540000}"/>
    <cellStyle name="Normal 2 2 2 8 5 4" xfId="21628" xr:uid="{00000000-0005-0000-0000-00007C540000}"/>
    <cellStyle name="Normal 2 2 2 8 5 5" xfId="21629" xr:uid="{00000000-0005-0000-0000-00007D540000}"/>
    <cellStyle name="Normal 2 2 2 8 5 6" xfId="21630" xr:uid="{00000000-0005-0000-0000-00007E540000}"/>
    <cellStyle name="Normal 2 2 2 8 5 7" xfId="21631" xr:uid="{00000000-0005-0000-0000-00007F540000}"/>
    <cellStyle name="Normal 2 2 2 8 5 8" xfId="21632" xr:uid="{00000000-0005-0000-0000-000080540000}"/>
    <cellStyle name="Normal 2 2 2 8 5 9" xfId="21633" xr:uid="{00000000-0005-0000-0000-000081540000}"/>
    <cellStyle name="Normal 2 2 2 8 6" xfId="21634" xr:uid="{00000000-0005-0000-0000-000082540000}"/>
    <cellStyle name="Normal 2 2 2 8 7" xfId="21635" xr:uid="{00000000-0005-0000-0000-000083540000}"/>
    <cellStyle name="Normal 2 2 2 8 8" xfId="21636" xr:uid="{00000000-0005-0000-0000-000084540000}"/>
    <cellStyle name="Normal 2 2 2 8 9" xfId="21637" xr:uid="{00000000-0005-0000-0000-000085540000}"/>
    <cellStyle name="Normal 2 2 2 9" xfId="21638" xr:uid="{00000000-0005-0000-0000-000086540000}"/>
    <cellStyle name="Normal 2 2 2 9 10" xfId="21639" xr:uid="{00000000-0005-0000-0000-000087540000}"/>
    <cellStyle name="Normal 2 2 2 9 11" xfId="21640" xr:uid="{00000000-0005-0000-0000-000088540000}"/>
    <cellStyle name="Normal 2 2 2 9 12" xfId="21641" xr:uid="{00000000-0005-0000-0000-000089540000}"/>
    <cellStyle name="Normal 2 2 2 9 13" xfId="21642" xr:uid="{00000000-0005-0000-0000-00008A540000}"/>
    <cellStyle name="Normal 2 2 2 9 14" xfId="21643" xr:uid="{00000000-0005-0000-0000-00008B540000}"/>
    <cellStyle name="Normal 2 2 2 9 2" xfId="21644" xr:uid="{00000000-0005-0000-0000-00008C540000}"/>
    <cellStyle name="Normal 2 2 2 9 2 10" xfId="21645" xr:uid="{00000000-0005-0000-0000-00008D540000}"/>
    <cellStyle name="Normal 2 2 2 9 2 2" xfId="21646" xr:uid="{00000000-0005-0000-0000-00008E540000}"/>
    <cellStyle name="Normal 2 2 2 9 2 3" xfId="21647" xr:uid="{00000000-0005-0000-0000-00008F540000}"/>
    <cellStyle name="Normal 2 2 2 9 2 4" xfId="21648" xr:uid="{00000000-0005-0000-0000-000090540000}"/>
    <cellStyle name="Normal 2 2 2 9 2 5" xfId="21649" xr:uid="{00000000-0005-0000-0000-000091540000}"/>
    <cellStyle name="Normal 2 2 2 9 2 6" xfId="21650" xr:uid="{00000000-0005-0000-0000-000092540000}"/>
    <cellStyle name="Normal 2 2 2 9 2 7" xfId="21651" xr:uid="{00000000-0005-0000-0000-000093540000}"/>
    <cellStyle name="Normal 2 2 2 9 2 8" xfId="21652" xr:uid="{00000000-0005-0000-0000-000094540000}"/>
    <cellStyle name="Normal 2 2 2 9 2 9" xfId="21653" xr:uid="{00000000-0005-0000-0000-000095540000}"/>
    <cellStyle name="Normal 2 2 2 9 3" xfId="21654" xr:uid="{00000000-0005-0000-0000-000096540000}"/>
    <cellStyle name="Normal 2 2 2 9 3 10" xfId="21655" xr:uid="{00000000-0005-0000-0000-000097540000}"/>
    <cellStyle name="Normal 2 2 2 9 3 2" xfId="21656" xr:uid="{00000000-0005-0000-0000-000098540000}"/>
    <cellStyle name="Normal 2 2 2 9 3 3" xfId="21657" xr:uid="{00000000-0005-0000-0000-000099540000}"/>
    <cellStyle name="Normal 2 2 2 9 3 4" xfId="21658" xr:uid="{00000000-0005-0000-0000-00009A540000}"/>
    <cellStyle name="Normal 2 2 2 9 3 5" xfId="21659" xr:uid="{00000000-0005-0000-0000-00009B540000}"/>
    <cellStyle name="Normal 2 2 2 9 3 6" xfId="21660" xr:uid="{00000000-0005-0000-0000-00009C540000}"/>
    <cellStyle name="Normal 2 2 2 9 3 7" xfId="21661" xr:uid="{00000000-0005-0000-0000-00009D540000}"/>
    <cellStyle name="Normal 2 2 2 9 3 8" xfId="21662" xr:uid="{00000000-0005-0000-0000-00009E540000}"/>
    <cellStyle name="Normal 2 2 2 9 3 9" xfId="21663" xr:uid="{00000000-0005-0000-0000-00009F540000}"/>
    <cellStyle name="Normal 2 2 2 9 4" xfId="21664" xr:uid="{00000000-0005-0000-0000-0000A0540000}"/>
    <cellStyle name="Normal 2 2 2 9 4 10" xfId="21665" xr:uid="{00000000-0005-0000-0000-0000A1540000}"/>
    <cellStyle name="Normal 2 2 2 9 4 2" xfId="21666" xr:uid="{00000000-0005-0000-0000-0000A2540000}"/>
    <cellStyle name="Normal 2 2 2 9 4 3" xfId="21667" xr:uid="{00000000-0005-0000-0000-0000A3540000}"/>
    <cellStyle name="Normal 2 2 2 9 4 4" xfId="21668" xr:uid="{00000000-0005-0000-0000-0000A4540000}"/>
    <cellStyle name="Normal 2 2 2 9 4 5" xfId="21669" xr:uid="{00000000-0005-0000-0000-0000A5540000}"/>
    <cellStyle name="Normal 2 2 2 9 4 6" xfId="21670" xr:uid="{00000000-0005-0000-0000-0000A6540000}"/>
    <cellStyle name="Normal 2 2 2 9 4 7" xfId="21671" xr:uid="{00000000-0005-0000-0000-0000A7540000}"/>
    <cellStyle name="Normal 2 2 2 9 4 8" xfId="21672" xr:uid="{00000000-0005-0000-0000-0000A8540000}"/>
    <cellStyle name="Normal 2 2 2 9 4 9" xfId="21673" xr:uid="{00000000-0005-0000-0000-0000A9540000}"/>
    <cellStyle name="Normal 2 2 2 9 5" xfId="21674" xr:uid="{00000000-0005-0000-0000-0000AA540000}"/>
    <cellStyle name="Normal 2 2 2 9 5 10" xfId="21675" xr:uid="{00000000-0005-0000-0000-0000AB540000}"/>
    <cellStyle name="Normal 2 2 2 9 5 2" xfId="21676" xr:uid="{00000000-0005-0000-0000-0000AC540000}"/>
    <cellStyle name="Normal 2 2 2 9 5 3" xfId="21677" xr:uid="{00000000-0005-0000-0000-0000AD540000}"/>
    <cellStyle name="Normal 2 2 2 9 5 4" xfId="21678" xr:uid="{00000000-0005-0000-0000-0000AE540000}"/>
    <cellStyle name="Normal 2 2 2 9 5 5" xfId="21679" xr:uid="{00000000-0005-0000-0000-0000AF540000}"/>
    <cellStyle name="Normal 2 2 2 9 5 6" xfId="21680" xr:uid="{00000000-0005-0000-0000-0000B0540000}"/>
    <cellStyle name="Normal 2 2 2 9 5 7" xfId="21681" xr:uid="{00000000-0005-0000-0000-0000B1540000}"/>
    <cellStyle name="Normal 2 2 2 9 5 8" xfId="21682" xr:uid="{00000000-0005-0000-0000-0000B2540000}"/>
    <cellStyle name="Normal 2 2 2 9 5 9" xfId="21683" xr:uid="{00000000-0005-0000-0000-0000B3540000}"/>
    <cellStyle name="Normal 2 2 2 9 6" xfId="21684" xr:uid="{00000000-0005-0000-0000-0000B4540000}"/>
    <cellStyle name="Normal 2 2 2 9 7" xfId="21685" xr:uid="{00000000-0005-0000-0000-0000B5540000}"/>
    <cellStyle name="Normal 2 2 2 9 8" xfId="21686" xr:uid="{00000000-0005-0000-0000-0000B6540000}"/>
    <cellStyle name="Normal 2 2 2 9 9" xfId="21687" xr:uid="{00000000-0005-0000-0000-0000B7540000}"/>
    <cellStyle name="Normal 2 2 20" xfId="21688" xr:uid="{00000000-0005-0000-0000-0000B8540000}"/>
    <cellStyle name="Normal 2 2 21" xfId="21689" xr:uid="{00000000-0005-0000-0000-0000B9540000}"/>
    <cellStyle name="Normal 2 2 22" xfId="21690" xr:uid="{00000000-0005-0000-0000-0000BA540000}"/>
    <cellStyle name="Normal 2 2 23" xfId="21691" xr:uid="{00000000-0005-0000-0000-0000BB540000}"/>
    <cellStyle name="Normal 2 2 24" xfId="21692" xr:uid="{00000000-0005-0000-0000-0000BC540000}"/>
    <cellStyle name="Normal 2 2 25" xfId="21693" xr:uid="{00000000-0005-0000-0000-0000BD540000}"/>
    <cellStyle name="Normal 2 2 26" xfId="21694" xr:uid="{00000000-0005-0000-0000-0000BE540000}"/>
    <cellStyle name="Normal 2 2 27" xfId="21695" xr:uid="{00000000-0005-0000-0000-0000BF540000}"/>
    <cellStyle name="Normal 2 2 28" xfId="21696" xr:uid="{00000000-0005-0000-0000-0000C0540000}"/>
    <cellStyle name="Normal 2 2 29" xfId="21697" xr:uid="{00000000-0005-0000-0000-0000C1540000}"/>
    <cellStyle name="Normal 2 2 3" xfId="21698" xr:uid="{00000000-0005-0000-0000-0000C2540000}"/>
    <cellStyle name="Normal 2 2 3 2" xfId="21699" xr:uid="{00000000-0005-0000-0000-0000C3540000}"/>
    <cellStyle name="Normal 2 2 3 3" xfId="21700" xr:uid="{00000000-0005-0000-0000-0000C4540000}"/>
    <cellStyle name="Normal 2 2 3 4" xfId="21701" xr:uid="{00000000-0005-0000-0000-0000C5540000}"/>
    <cellStyle name="Normal 2 2 30" xfId="21702" xr:uid="{00000000-0005-0000-0000-0000C6540000}"/>
    <cellStyle name="Normal 2 2 31" xfId="21703" xr:uid="{00000000-0005-0000-0000-0000C7540000}"/>
    <cellStyle name="Normal 2 2 32" xfId="21704" xr:uid="{00000000-0005-0000-0000-0000C8540000}"/>
    <cellStyle name="Normal 2 2 33" xfId="21705" xr:uid="{00000000-0005-0000-0000-0000C9540000}"/>
    <cellStyle name="Normal 2 2 34" xfId="21706" xr:uid="{00000000-0005-0000-0000-0000CA540000}"/>
    <cellStyle name="Normal 2 2 35" xfId="21707" xr:uid="{00000000-0005-0000-0000-0000CB540000}"/>
    <cellStyle name="Normal 2 2 36" xfId="21708" xr:uid="{00000000-0005-0000-0000-0000CC540000}"/>
    <cellStyle name="Normal 2 2 37" xfId="21709" xr:uid="{00000000-0005-0000-0000-0000CD540000}"/>
    <cellStyle name="Normal 2 2 38" xfId="21710" xr:uid="{00000000-0005-0000-0000-0000CE540000}"/>
    <cellStyle name="Normal 2 2 39" xfId="21711" xr:uid="{00000000-0005-0000-0000-0000CF540000}"/>
    <cellStyle name="Normal 2 2 4" xfId="17" xr:uid="{00000000-0005-0000-0000-000011000000}"/>
    <cellStyle name="Normal 2 2 4 10" xfId="21712" xr:uid="{00000000-0005-0000-0000-0000D0540000}"/>
    <cellStyle name="Normal 2 2 4 10 10" xfId="21713" xr:uid="{00000000-0005-0000-0000-0000D1540000}"/>
    <cellStyle name="Normal 2 2 4 10 11" xfId="21714" xr:uid="{00000000-0005-0000-0000-0000D2540000}"/>
    <cellStyle name="Normal 2 2 4 10 12" xfId="21715" xr:uid="{00000000-0005-0000-0000-0000D3540000}"/>
    <cellStyle name="Normal 2 2 4 10 13" xfId="21716" xr:uid="{00000000-0005-0000-0000-0000D4540000}"/>
    <cellStyle name="Normal 2 2 4 10 14" xfId="21717" xr:uid="{00000000-0005-0000-0000-0000D5540000}"/>
    <cellStyle name="Normal 2 2 4 10 2" xfId="21718" xr:uid="{00000000-0005-0000-0000-0000D6540000}"/>
    <cellStyle name="Normal 2 2 4 10 2 10" xfId="21719" xr:uid="{00000000-0005-0000-0000-0000D7540000}"/>
    <cellStyle name="Normal 2 2 4 10 2 2" xfId="21720" xr:uid="{00000000-0005-0000-0000-0000D8540000}"/>
    <cellStyle name="Normal 2 2 4 10 2 3" xfId="21721" xr:uid="{00000000-0005-0000-0000-0000D9540000}"/>
    <cellStyle name="Normal 2 2 4 10 2 4" xfId="21722" xr:uid="{00000000-0005-0000-0000-0000DA540000}"/>
    <cellStyle name="Normal 2 2 4 10 2 5" xfId="21723" xr:uid="{00000000-0005-0000-0000-0000DB540000}"/>
    <cellStyle name="Normal 2 2 4 10 2 6" xfId="21724" xr:uid="{00000000-0005-0000-0000-0000DC540000}"/>
    <cellStyle name="Normal 2 2 4 10 2 7" xfId="21725" xr:uid="{00000000-0005-0000-0000-0000DD540000}"/>
    <cellStyle name="Normal 2 2 4 10 2 8" xfId="21726" xr:uid="{00000000-0005-0000-0000-0000DE540000}"/>
    <cellStyle name="Normal 2 2 4 10 2 9" xfId="21727" xr:uid="{00000000-0005-0000-0000-0000DF540000}"/>
    <cellStyle name="Normal 2 2 4 10 3" xfId="21728" xr:uid="{00000000-0005-0000-0000-0000E0540000}"/>
    <cellStyle name="Normal 2 2 4 10 3 10" xfId="21729" xr:uid="{00000000-0005-0000-0000-0000E1540000}"/>
    <cellStyle name="Normal 2 2 4 10 3 2" xfId="21730" xr:uid="{00000000-0005-0000-0000-0000E2540000}"/>
    <cellStyle name="Normal 2 2 4 10 3 3" xfId="21731" xr:uid="{00000000-0005-0000-0000-0000E3540000}"/>
    <cellStyle name="Normal 2 2 4 10 3 4" xfId="21732" xr:uid="{00000000-0005-0000-0000-0000E4540000}"/>
    <cellStyle name="Normal 2 2 4 10 3 5" xfId="21733" xr:uid="{00000000-0005-0000-0000-0000E5540000}"/>
    <cellStyle name="Normal 2 2 4 10 3 6" xfId="21734" xr:uid="{00000000-0005-0000-0000-0000E6540000}"/>
    <cellStyle name="Normal 2 2 4 10 3 7" xfId="21735" xr:uid="{00000000-0005-0000-0000-0000E7540000}"/>
    <cellStyle name="Normal 2 2 4 10 3 8" xfId="21736" xr:uid="{00000000-0005-0000-0000-0000E8540000}"/>
    <cellStyle name="Normal 2 2 4 10 3 9" xfId="21737" xr:uid="{00000000-0005-0000-0000-0000E9540000}"/>
    <cellStyle name="Normal 2 2 4 10 4" xfId="21738" xr:uid="{00000000-0005-0000-0000-0000EA540000}"/>
    <cellStyle name="Normal 2 2 4 10 4 10" xfId="21739" xr:uid="{00000000-0005-0000-0000-0000EB540000}"/>
    <cellStyle name="Normal 2 2 4 10 4 2" xfId="21740" xr:uid="{00000000-0005-0000-0000-0000EC540000}"/>
    <cellStyle name="Normal 2 2 4 10 4 3" xfId="21741" xr:uid="{00000000-0005-0000-0000-0000ED540000}"/>
    <cellStyle name="Normal 2 2 4 10 4 4" xfId="21742" xr:uid="{00000000-0005-0000-0000-0000EE540000}"/>
    <cellStyle name="Normal 2 2 4 10 4 5" xfId="21743" xr:uid="{00000000-0005-0000-0000-0000EF540000}"/>
    <cellStyle name="Normal 2 2 4 10 4 6" xfId="21744" xr:uid="{00000000-0005-0000-0000-0000F0540000}"/>
    <cellStyle name="Normal 2 2 4 10 4 7" xfId="21745" xr:uid="{00000000-0005-0000-0000-0000F1540000}"/>
    <cellStyle name="Normal 2 2 4 10 4 8" xfId="21746" xr:uid="{00000000-0005-0000-0000-0000F2540000}"/>
    <cellStyle name="Normal 2 2 4 10 4 9" xfId="21747" xr:uid="{00000000-0005-0000-0000-0000F3540000}"/>
    <cellStyle name="Normal 2 2 4 10 5" xfId="21748" xr:uid="{00000000-0005-0000-0000-0000F4540000}"/>
    <cellStyle name="Normal 2 2 4 10 5 10" xfId="21749" xr:uid="{00000000-0005-0000-0000-0000F5540000}"/>
    <cellStyle name="Normal 2 2 4 10 5 2" xfId="21750" xr:uid="{00000000-0005-0000-0000-0000F6540000}"/>
    <cellStyle name="Normal 2 2 4 10 5 3" xfId="21751" xr:uid="{00000000-0005-0000-0000-0000F7540000}"/>
    <cellStyle name="Normal 2 2 4 10 5 4" xfId="21752" xr:uid="{00000000-0005-0000-0000-0000F8540000}"/>
    <cellStyle name="Normal 2 2 4 10 5 5" xfId="21753" xr:uid="{00000000-0005-0000-0000-0000F9540000}"/>
    <cellStyle name="Normal 2 2 4 10 5 6" xfId="21754" xr:uid="{00000000-0005-0000-0000-0000FA540000}"/>
    <cellStyle name="Normal 2 2 4 10 5 7" xfId="21755" xr:uid="{00000000-0005-0000-0000-0000FB540000}"/>
    <cellStyle name="Normal 2 2 4 10 5 8" xfId="21756" xr:uid="{00000000-0005-0000-0000-0000FC540000}"/>
    <cellStyle name="Normal 2 2 4 10 5 9" xfId="21757" xr:uid="{00000000-0005-0000-0000-0000FD540000}"/>
    <cellStyle name="Normal 2 2 4 10 6" xfId="21758" xr:uid="{00000000-0005-0000-0000-0000FE540000}"/>
    <cellStyle name="Normal 2 2 4 10 7" xfId="21759" xr:uid="{00000000-0005-0000-0000-0000FF540000}"/>
    <cellStyle name="Normal 2 2 4 10 8" xfId="21760" xr:uid="{00000000-0005-0000-0000-000000550000}"/>
    <cellStyle name="Normal 2 2 4 10 9" xfId="21761" xr:uid="{00000000-0005-0000-0000-000001550000}"/>
    <cellStyle name="Normal 2 2 4 11" xfId="21762" xr:uid="{00000000-0005-0000-0000-000002550000}"/>
    <cellStyle name="Normal 2 2 4 11 10" xfId="21763" xr:uid="{00000000-0005-0000-0000-000003550000}"/>
    <cellStyle name="Normal 2 2 4 11 11" xfId="21764" xr:uid="{00000000-0005-0000-0000-000004550000}"/>
    <cellStyle name="Normal 2 2 4 11 12" xfId="21765" xr:uid="{00000000-0005-0000-0000-000005550000}"/>
    <cellStyle name="Normal 2 2 4 11 13" xfId="21766" xr:uid="{00000000-0005-0000-0000-000006550000}"/>
    <cellStyle name="Normal 2 2 4 11 14" xfId="21767" xr:uid="{00000000-0005-0000-0000-000007550000}"/>
    <cellStyle name="Normal 2 2 4 11 2" xfId="21768" xr:uid="{00000000-0005-0000-0000-000008550000}"/>
    <cellStyle name="Normal 2 2 4 11 2 10" xfId="21769" xr:uid="{00000000-0005-0000-0000-000009550000}"/>
    <cellStyle name="Normal 2 2 4 11 2 2" xfId="21770" xr:uid="{00000000-0005-0000-0000-00000A550000}"/>
    <cellStyle name="Normal 2 2 4 11 2 3" xfId="21771" xr:uid="{00000000-0005-0000-0000-00000B550000}"/>
    <cellStyle name="Normal 2 2 4 11 2 4" xfId="21772" xr:uid="{00000000-0005-0000-0000-00000C550000}"/>
    <cellStyle name="Normal 2 2 4 11 2 5" xfId="21773" xr:uid="{00000000-0005-0000-0000-00000D550000}"/>
    <cellStyle name="Normal 2 2 4 11 2 6" xfId="21774" xr:uid="{00000000-0005-0000-0000-00000E550000}"/>
    <cellStyle name="Normal 2 2 4 11 2 7" xfId="21775" xr:uid="{00000000-0005-0000-0000-00000F550000}"/>
    <cellStyle name="Normal 2 2 4 11 2 8" xfId="21776" xr:uid="{00000000-0005-0000-0000-000010550000}"/>
    <cellStyle name="Normal 2 2 4 11 2 9" xfId="21777" xr:uid="{00000000-0005-0000-0000-000011550000}"/>
    <cellStyle name="Normal 2 2 4 11 3" xfId="21778" xr:uid="{00000000-0005-0000-0000-000012550000}"/>
    <cellStyle name="Normal 2 2 4 11 3 10" xfId="21779" xr:uid="{00000000-0005-0000-0000-000013550000}"/>
    <cellStyle name="Normal 2 2 4 11 3 2" xfId="21780" xr:uid="{00000000-0005-0000-0000-000014550000}"/>
    <cellStyle name="Normal 2 2 4 11 3 3" xfId="21781" xr:uid="{00000000-0005-0000-0000-000015550000}"/>
    <cellStyle name="Normal 2 2 4 11 3 4" xfId="21782" xr:uid="{00000000-0005-0000-0000-000016550000}"/>
    <cellStyle name="Normal 2 2 4 11 3 5" xfId="21783" xr:uid="{00000000-0005-0000-0000-000017550000}"/>
    <cellStyle name="Normal 2 2 4 11 3 6" xfId="21784" xr:uid="{00000000-0005-0000-0000-000018550000}"/>
    <cellStyle name="Normal 2 2 4 11 3 7" xfId="21785" xr:uid="{00000000-0005-0000-0000-000019550000}"/>
    <cellStyle name="Normal 2 2 4 11 3 8" xfId="21786" xr:uid="{00000000-0005-0000-0000-00001A550000}"/>
    <cellStyle name="Normal 2 2 4 11 3 9" xfId="21787" xr:uid="{00000000-0005-0000-0000-00001B550000}"/>
    <cellStyle name="Normal 2 2 4 11 4" xfId="21788" xr:uid="{00000000-0005-0000-0000-00001C550000}"/>
    <cellStyle name="Normal 2 2 4 11 4 10" xfId="21789" xr:uid="{00000000-0005-0000-0000-00001D550000}"/>
    <cellStyle name="Normal 2 2 4 11 4 2" xfId="21790" xr:uid="{00000000-0005-0000-0000-00001E550000}"/>
    <cellStyle name="Normal 2 2 4 11 4 3" xfId="21791" xr:uid="{00000000-0005-0000-0000-00001F550000}"/>
    <cellStyle name="Normal 2 2 4 11 4 4" xfId="21792" xr:uid="{00000000-0005-0000-0000-000020550000}"/>
    <cellStyle name="Normal 2 2 4 11 4 5" xfId="21793" xr:uid="{00000000-0005-0000-0000-000021550000}"/>
    <cellStyle name="Normal 2 2 4 11 4 6" xfId="21794" xr:uid="{00000000-0005-0000-0000-000022550000}"/>
    <cellStyle name="Normal 2 2 4 11 4 7" xfId="21795" xr:uid="{00000000-0005-0000-0000-000023550000}"/>
    <cellStyle name="Normal 2 2 4 11 4 8" xfId="21796" xr:uid="{00000000-0005-0000-0000-000024550000}"/>
    <cellStyle name="Normal 2 2 4 11 4 9" xfId="21797" xr:uid="{00000000-0005-0000-0000-000025550000}"/>
    <cellStyle name="Normal 2 2 4 11 5" xfId="21798" xr:uid="{00000000-0005-0000-0000-000026550000}"/>
    <cellStyle name="Normal 2 2 4 11 5 10" xfId="21799" xr:uid="{00000000-0005-0000-0000-000027550000}"/>
    <cellStyle name="Normal 2 2 4 11 5 2" xfId="21800" xr:uid="{00000000-0005-0000-0000-000028550000}"/>
    <cellStyle name="Normal 2 2 4 11 5 3" xfId="21801" xr:uid="{00000000-0005-0000-0000-000029550000}"/>
    <cellStyle name="Normal 2 2 4 11 5 4" xfId="21802" xr:uid="{00000000-0005-0000-0000-00002A550000}"/>
    <cellStyle name="Normal 2 2 4 11 5 5" xfId="21803" xr:uid="{00000000-0005-0000-0000-00002B550000}"/>
    <cellStyle name="Normal 2 2 4 11 5 6" xfId="21804" xr:uid="{00000000-0005-0000-0000-00002C550000}"/>
    <cellStyle name="Normal 2 2 4 11 5 7" xfId="21805" xr:uid="{00000000-0005-0000-0000-00002D550000}"/>
    <cellStyle name="Normal 2 2 4 11 5 8" xfId="21806" xr:uid="{00000000-0005-0000-0000-00002E550000}"/>
    <cellStyle name="Normal 2 2 4 11 5 9" xfId="21807" xr:uid="{00000000-0005-0000-0000-00002F550000}"/>
    <cellStyle name="Normal 2 2 4 11 6" xfId="21808" xr:uid="{00000000-0005-0000-0000-000030550000}"/>
    <cellStyle name="Normal 2 2 4 11 7" xfId="21809" xr:uid="{00000000-0005-0000-0000-000031550000}"/>
    <cellStyle name="Normal 2 2 4 11 8" xfId="21810" xr:uid="{00000000-0005-0000-0000-000032550000}"/>
    <cellStyle name="Normal 2 2 4 11 9" xfId="21811" xr:uid="{00000000-0005-0000-0000-000033550000}"/>
    <cellStyle name="Normal 2 2 4 12" xfId="21812" xr:uid="{00000000-0005-0000-0000-000034550000}"/>
    <cellStyle name="Normal 2 2 4 12 10" xfId="21813" xr:uid="{00000000-0005-0000-0000-000035550000}"/>
    <cellStyle name="Normal 2 2 4 12 11" xfId="21814" xr:uid="{00000000-0005-0000-0000-000036550000}"/>
    <cellStyle name="Normal 2 2 4 12 12" xfId="21815" xr:uid="{00000000-0005-0000-0000-000037550000}"/>
    <cellStyle name="Normal 2 2 4 12 13" xfId="21816" xr:uid="{00000000-0005-0000-0000-000038550000}"/>
    <cellStyle name="Normal 2 2 4 12 14" xfId="21817" xr:uid="{00000000-0005-0000-0000-000039550000}"/>
    <cellStyle name="Normal 2 2 4 12 2" xfId="21818" xr:uid="{00000000-0005-0000-0000-00003A550000}"/>
    <cellStyle name="Normal 2 2 4 12 2 10" xfId="21819" xr:uid="{00000000-0005-0000-0000-00003B550000}"/>
    <cellStyle name="Normal 2 2 4 12 2 2" xfId="21820" xr:uid="{00000000-0005-0000-0000-00003C550000}"/>
    <cellStyle name="Normal 2 2 4 12 2 3" xfId="21821" xr:uid="{00000000-0005-0000-0000-00003D550000}"/>
    <cellStyle name="Normal 2 2 4 12 2 4" xfId="21822" xr:uid="{00000000-0005-0000-0000-00003E550000}"/>
    <cellStyle name="Normal 2 2 4 12 2 5" xfId="21823" xr:uid="{00000000-0005-0000-0000-00003F550000}"/>
    <cellStyle name="Normal 2 2 4 12 2 6" xfId="21824" xr:uid="{00000000-0005-0000-0000-000040550000}"/>
    <cellStyle name="Normal 2 2 4 12 2 7" xfId="21825" xr:uid="{00000000-0005-0000-0000-000041550000}"/>
    <cellStyle name="Normal 2 2 4 12 2 8" xfId="21826" xr:uid="{00000000-0005-0000-0000-000042550000}"/>
    <cellStyle name="Normal 2 2 4 12 2 9" xfId="21827" xr:uid="{00000000-0005-0000-0000-000043550000}"/>
    <cellStyle name="Normal 2 2 4 12 3" xfId="21828" xr:uid="{00000000-0005-0000-0000-000044550000}"/>
    <cellStyle name="Normal 2 2 4 12 3 10" xfId="21829" xr:uid="{00000000-0005-0000-0000-000045550000}"/>
    <cellStyle name="Normal 2 2 4 12 3 2" xfId="21830" xr:uid="{00000000-0005-0000-0000-000046550000}"/>
    <cellStyle name="Normal 2 2 4 12 3 3" xfId="21831" xr:uid="{00000000-0005-0000-0000-000047550000}"/>
    <cellStyle name="Normal 2 2 4 12 3 4" xfId="21832" xr:uid="{00000000-0005-0000-0000-000048550000}"/>
    <cellStyle name="Normal 2 2 4 12 3 5" xfId="21833" xr:uid="{00000000-0005-0000-0000-000049550000}"/>
    <cellStyle name="Normal 2 2 4 12 3 6" xfId="21834" xr:uid="{00000000-0005-0000-0000-00004A550000}"/>
    <cellStyle name="Normal 2 2 4 12 3 7" xfId="21835" xr:uid="{00000000-0005-0000-0000-00004B550000}"/>
    <cellStyle name="Normal 2 2 4 12 3 8" xfId="21836" xr:uid="{00000000-0005-0000-0000-00004C550000}"/>
    <cellStyle name="Normal 2 2 4 12 3 9" xfId="21837" xr:uid="{00000000-0005-0000-0000-00004D550000}"/>
    <cellStyle name="Normal 2 2 4 12 4" xfId="21838" xr:uid="{00000000-0005-0000-0000-00004E550000}"/>
    <cellStyle name="Normal 2 2 4 12 4 10" xfId="21839" xr:uid="{00000000-0005-0000-0000-00004F550000}"/>
    <cellStyle name="Normal 2 2 4 12 4 2" xfId="21840" xr:uid="{00000000-0005-0000-0000-000050550000}"/>
    <cellStyle name="Normal 2 2 4 12 4 3" xfId="21841" xr:uid="{00000000-0005-0000-0000-000051550000}"/>
    <cellStyle name="Normal 2 2 4 12 4 4" xfId="21842" xr:uid="{00000000-0005-0000-0000-000052550000}"/>
    <cellStyle name="Normal 2 2 4 12 4 5" xfId="21843" xr:uid="{00000000-0005-0000-0000-000053550000}"/>
    <cellStyle name="Normal 2 2 4 12 4 6" xfId="21844" xr:uid="{00000000-0005-0000-0000-000054550000}"/>
    <cellStyle name="Normal 2 2 4 12 4 7" xfId="21845" xr:uid="{00000000-0005-0000-0000-000055550000}"/>
    <cellStyle name="Normal 2 2 4 12 4 8" xfId="21846" xr:uid="{00000000-0005-0000-0000-000056550000}"/>
    <cellStyle name="Normal 2 2 4 12 4 9" xfId="21847" xr:uid="{00000000-0005-0000-0000-000057550000}"/>
    <cellStyle name="Normal 2 2 4 12 5" xfId="21848" xr:uid="{00000000-0005-0000-0000-000058550000}"/>
    <cellStyle name="Normal 2 2 4 12 5 10" xfId="21849" xr:uid="{00000000-0005-0000-0000-000059550000}"/>
    <cellStyle name="Normal 2 2 4 12 5 2" xfId="21850" xr:uid="{00000000-0005-0000-0000-00005A550000}"/>
    <cellStyle name="Normal 2 2 4 12 5 3" xfId="21851" xr:uid="{00000000-0005-0000-0000-00005B550000}"/>
    <cellStyle name="Normal 2 2 4 12 5 4" xfId="21852" xr:uid="{00000000-0005-0000-0000-00005C550000}"/>
    <cellStyle name="Normal 2 2 4 12 5 5" xfId="21853" xr:uid="{00000000-0005-0000-0000-00005D550000}"/>
    <cellStyle name="Normal 2 2 4 12 5 6" xfId="21854" xr:uid="{00000000-0005-0000-0000-00005E550000}"/>
    <cellStyle name="Normal 2 2 4 12 5 7" xfId="21855" xr:uid="{00000000-0005-0000-0000-00005F550000}"/>
    <cellStyle name="Normal 2 2 4 12 5 8" xfId="21856" xr:uid="{00000000-0005-0000-0000-000060550000}"/>
    <cellStyle name="Normal 2 2 4 12 5 9" xfId="21857" xr:uid="{00000000-0005-0000-0000-000061550000}"/>
    <cellStyle name="Normal 2 2 4 12 6" xfId="21858" xr:uid="{00000000-0005-0000-0000-000062550000}"/>
    <cellStyle name="Normal 2 2 4 12 7" xfId="21859" xr:uid="{00000000-0005-0000-0000-000063550000}"/>
    <cellStyle name="Normal 2 2 4 12 8" xfId="21860" xr:uid="{00000000-0005-0000-0000-000064550000}"/>
    <cellStyle name="Normal 2 2 4 12 9" xfId="21861" xr:uid="{00000000-0005-0000-0000-000065550000}"/>
    <cellStyle name="Normal 2 2 4 13" xfId="21862" xr:uid="{00000000-0005-0000-0000-000066550000}"/>
    <cellStyle name="Normal 2 2 4 13 10" xfId="21863" xr:uid="{00000000-0005-0000-0000-000067550000}"/>
    <cellStyle name="Normal 2 2 4 13 11" xfId="21864" xr:uid="{00000000-0005-0000-0000-000068550000}"/>
    <cellStyle name="Normal 2 2 4 13 12" xfId="21865" xr:uid="{00000000-0005-0000-0000-000069550000}"/>
    <cellStyle name="Normal 2 2 4 13 13" xfId="21866" xr:uid="{00000000-0005-0000-0000-00006A550000}"/>
    <cellStyle name="Normal 2 2 4 13 14" xfId="21867" xr:uid="{00000000-0005-0000-0000-00006B550000}"/>
    <cellStyle name="Normal 2 2 4 13 2" xfId="21868" xr:uid="{00000000-0005-0000-0000-00006C550000}"/>
    <cellStyle name="Normal 2 2 4 13 2 10" xfId="21869" xr:uid="{00000000-0005-0000-0000-00006D550000}"/>
    <cellStyle name="Normal 2 2 4 13 2 2" xfId="21870" xr:uid="{00000000-0005-0000-0000-00006E550000}"/>
    <cellStyle name="Normal 2 2 4 13 2 3" xfId="21871" xr:uid="{00000000-0005-0000-0000-00006F550000}"/>
    <cellStyle name="Normal 2 2 4 13 2 4" xfId="21872" xr:uid="{00000000-0005-0000-0000-000070550000}"/>
    <cellStyle name="Normal 2 2 4 13 2 5" xfId="21873" xr:uid="{00000000-0005-0000-0000-000071550000}"/>
    <cellStyle name="Normal 2 2 4 13 2 6" xfId="21874" xr:uid="{00000000-0005-0000-0000-000072550000}"/>
    <cellStyle name="Normal 2 2 4 13 2 7" xfId="21875" xr:uid="{00000000-0005-0000-0000-000073550000}"/>
    <cellStyle name="Normal 2 2 4 13 2 8" xfId="21876" xr:uid="{00000000-0005-0000-0000-000074550000}"/>
    <cellStyle name="Normal 2 2 4 13 2 9" xfId="21877" xr:uid="{00000000-0005-0000-0000-000075550000}"/>
    <cellStyle name="Normal 2 2 4 13 3" xfId="21878" xr:uid="{00000000-0005-0000-0000-000076550000}"/>
    <cellStyle name="Normal 2 2 4 13 3 10" xfId="21879" xr:uid="{00000000-0005-0000-0000-000077550000}"/>
    <cellStyle name="Normal 2 2 4 13 3 2" xfId="21880" xr:uid="{00000000-0005-0000-0000-000078550000}"/>
    <cellStyle name="Normal 2 2 4 13 3 3" xfId="21881" xr:uid="{00000000-0005-0000-0000-000079550000}"/>
    <cellStyle name="Normal 2 2 4 13 3 4" xfId="21882" xr:uid="{00000000-0005-0000-0000-00007A550000}"/>
    <cellStyle name="Normal 2 2 4 13 3 5" xfId="21883" xr:uid="{00000000-0005-0000-0000-00007B550000}"/>
    <cellStyle name="Normal 2 2 4 13 3 6" xfId="21884" xr:uid="{00000000-0005-0000-0000-00007C550000}"/>
    <cellStyle name="Normal 2 2 4 13 3 7" xfId="21885" xr:uid="{00000000-0005-0000-0000-00007D550000}"/>
    <cellStyle name="Normal 2 2 4 13 3 8" xfId="21886" xr:uid="{00000000-0005-0000-0000-00007E550000}"/>
    <cellStyle name="Normal 2 2 4 13 3 9" xfId="21887" xr:uid="{00000000-0005-0000-0000-00007F550000}"/>
    <cellStyle name="Normal 2 2 4 13 4" xfId="21888" xr:uid="{00000000-0005-0000-0000-000080550000}"/>
    <cellStyle name="Normal 2 2 4 13 4 10" xfId="21889" xr:uid="{00000000-0005-0000-0000-000081550000}"/>
    <cellStyle name="Normal 2 2 4 13 4 2" xfId="21890" xr:uid="{00000000-0005-0000-0000-000082550000}"/>
    <cellStyle name="Normal 2 2 4 13 4 3" xfId="21891" xr:uid="{00000000-0005-0000-0000-000083550000}"/>
    <cellStyle name="Normal 2 2 4 13 4 4" xfId="21892" xr:uid="{00000000-0005-0000-0000-000084550000}"/>
    <cellStyle name="Normal 2 2 4 13 4 5" xfId="21893" xr:uid="{00000000-0005-0000-0000-000085550000}"/>
    <cellStyle name="Normal 2 2 4 13 4 6" xfId="21894" xr:uid="{00000000-0005-0000-0000-000086550000}"/>
    <cellStyle name="Normal 2 2 4 13 4 7" xfId="21895" xr:uid="{00000000-0005-0000-0000-000087550000}"/>
    <cellStyle name="Normal 2 2 4 13 4 8" xfId="21896" xr:uid="{00000000-0005-0000-0000-000088550000}"/>
    <cellStyle name="Normal 2 2 4 13 4 9" xfId="21897" xr:uid="{00000000-0005-0000-0000-000089550000}"/>
    <cellStyle name="Normal 2 2 4 13 5" xfId="21898" xr:uid="{00000000-0005-0000-0000-00008A550000}"/>
    <cellStyle name="Normal 2 2 4 13 5 10" xfId="21899" xr:uid="{00000000-0005-0000-0000-00008B550000}"/>
    <cellStyle name="Normal 2 2 4 13 5 2" xfId="21900" xr:uid="{00000000-0005-0000-0000-00008C550000}"/>
    <cellStyle name="Normal 2 2 4 13 5 3" xfId="21901" xr:uid="{00000000-0005-0000-0000-00008D550000}"/>
    <cellStyle name="Normal 2 2 4 13 5 4" xfId="21902" xr:uid="{00000000-0005-0000-0000-00008E550000}"/>
    <cellStyle name="Normal 2 2 4 13 5 5" xfId="21903" xr:uid="{00000000-0005-0000-0000-00008F550000}"/>
    <cellStyle name="Normal 2 2 4 13 5 6" xfId="21904" xr:uid="{00000000-0005-0000-0000-000090550000}"/>
    <cellStyle name="Normal 2 2 4 13 5 7" xfId="21905" xr:uid="{00000000-0005-0000-0000-000091550000}"/>
    <cellStyle name="Normal 2 2 4 13 5 8" xfId="21906" xr:uid="{00000000-0005-0000-0000-000092550000}"/>
    <cellStyle name="Normal 2 2 4 13 5 9" xfId="21907" xr:uid="{00000000-0005-0000-0000-000093550000}"/>
    <cellStyle name="Normal 2 2 4 13 6" xfId="21908" xr:uid="{00000000-0005-0000-0000-000094550000}"/>
    <cellStyle name="Normal 2 2 4 13 7" xfId="21909" xr:uid="{00000000-0005-0000-0000-000095550000}"/>
    <cellStyle name="Normal 2 2 4 13 8" xfId="21910" xr:uid="{00000000-0005-0000-0000-000096550000}"/>
    <cellStyle name="Normal 2 2 4 13 9" xfId="21911" xr:uid="{00000000-0005-0000-0000-000097550000}"/>
    <cellStyle name="Normal 2 2 4 14" xfId="21912" xr:uid="{00000000-0005-0000-0000-000098550000}"/>
    <cellStyle name="Normal 2 2 4 14 10" xfId="21913" xr:uid="{00000000-0005-0000-0000-000099550000}"/>
    <cellStyle name="Normal 2 2 4 14 11" xfId="21914" xr:uid="{00000000-0005-0000-0000-00009A550000}"/>
    <cellStyle name="Normal 2 2 4 14 12" xfId="21915" xr:uid="{00000000-0005-0000-0000-00009B550000}"/>
    <cellStyle name="Normal 2 2 4 14 13" xfId="21916" xr:uid="{00000000-0005-0000-0000-00009C550000}"/>
    <cellStyle name="Normal 2 2 4 14 14" xfId="21917" xr:uid="{00000000-0005-0000-0000-00009D550000}"/>
    <cellStyle name="Normal 2 2 4 14 2" xfId="21918" xr:uid="{00000000-0005-0000-0000-00009E550000}"/>
    <cellStyle name="Normal 2 2 4 14 2 10" xfId="21919" xr:uid="{00000000-0005-0000-0000-00009F550000}"/>
    <cellStyle name="Normal 2 2 4 14 2 2" xfId="21920" xr:uid="{00000000-0005-0000-0000-0000A0550000}"/>
    <cellStyle name="Normal 2 2 4 14 2 3" xfId="21921" xr:uid="{00000000-0005-0000-0000-0000A1550000}"/>
    <cellStyle name="Normal 2 2 4 14 2 4" xfId="21922" xr:uid="{00000000-0005-0000-0000-0000A2550000}"/>
    <cellStyle name="Normal 2 2 4 14 2 5" xfId="21923" xr:uid="{00000000-0005-0000-0000-0000A3550000}"/>
    <cellStyle name="Normal 2 2 4 14 2 6" xfId="21924" xr:uid="{00000000-0005-0000-0000-0000A4550000}"/>
    <cellStyle name="Normal 2 2 4 14 2 7" xfId="21925" xr:uid="{00000000-0005-0000-0000-0000A5550000}"/>
    <cellStyle name="Normal 2 2 4 14 2 8" xfId="21926" xr:uid="{00000000-0005-0000-0000-0000A6550000}"/>
    <cellStyle name="Normal 2 2 4 14 2 9" xfId="21927" xr:uid="{00000000-0005-0000-0000-0000A7550000}"/>
    <cellStyle name="Normal 2 2 4 14 3" xfId="21928" xr:uid="{00000000-0005-0000-0000-0000A8550000}"/>
    <cellStyle name="Normal 2 2 4 14 3 10" xfId="21929" xr:uid="{00000000-0005-0000-0000-0000A9550000}"/>
    <cellStyle name="Normal 2 2 4 14 3 2" xfId="21930" xr:uid="{00000000-0005-0000-0000-0000AA550000}"/>
    <cellStyle name="Normal 2 2 4 14 3 3" xfId="21931" xr:uid="{00000000-0005-0000-0000-0000AB550000}"/>
    <cellStyle name="Normal 2 2 4 14 3 4" xfId="21932" xr:uid="{00000000-0005-0000-0000-0000AC550000}"/>
    <cellStyle name="Normal 2 2 4 14 3 5" xfId="21933" xr:uid="{00000000-0005-0000-0000-0000AD550000}"/>
    <cellStyle name="Normal 2 2 4 14 3 6" xfId="21934" xr:uid="{00000000-0005-0000-0000-0000AE550000}"/>
    <cellStyle name="Normal 2 2 4 14 3 7" xfId="21935" xr:uid="{00000000-0005-0000-0000-0000AF550000}"/>
    <cellStyle name="Normal 2 2 4 14 3 8" xfId="21936" xr:uid="{00000000-0005-0000-0000-0000B0550000}"/>
    <cellStyle name="Normal 2 2 4 14 3 9" xfId="21937" xr:uid="{00000000-0005-0000-0000-0000B1550000}"/>
    <cellStyle name="Normal 2 2 4 14 4" xfId="21938" xr:uid="{00000000-0005-0000-0000-0000B2550000}"/>
    <cellStyle name="Normal 2 2 4 14 4 10" xfId="21939" xr:uid="{00000000-0005-0000-0000-0000B3550000}"/>
    <cellStyle name="Normal 2 2 4 14 4 2" xfId="21940" xr:uid="{00000000-0005-0000-0000-0000B4550000}"/>
    <cellStyle name="Normal 2 2 4 14 4 3" xfId="21941" xr:uid="{00000000-0005-0000-0000-0000B5550000}"/>
    <cellStyle name="Normal 2 2 4 14 4 4" xfId="21942" xr:uid="{00000000-0005-0000-0000-0000B6550000}"/>
    <cellStyle name="Normal 2 2 4 14 4 5" xfId="21943" xr:uid="{00000000-0005-0000-0000-0000B7550000}"/>
    <cellStyle name="Normal 2 2 4 14 4 6" xfId="21944" xr:uid="{00000000-0005-0000-0000-0000B8550000}"/>
    <cellStyle name="Normal 2 2 4 14 4 7" xfId="21945" xr:uid="{00000000-0005-0000-0000-0000B9550000}"/>
    <cellStyle name="Normal 2 2 4 14 4 8" xfId="21946" xr:uid="{00000000-0005-0000-0000-0000BA550000}"/>
    <cellStyle name="Normal 2 2 4 14 4 9" xfId="21947" xr:uid="{00000000-0005-0000-0000-0000BB550000}"/>
    <cellStyle name="Normal 2 2 4 14 5" xfId="21948" xr:uid="{00000000-0005-0000-0000-0000BC550000}"/>
    <cellStyle name="Normal 2 2 4 14 5 10" xfId="21949" xr:uid="{00000000-0005-0000-0000-0000BD550000}"/>
    <cellStyle name="Normal 2 2 4 14 5 2" xfId="21950" xr:uid="{00000000-0005-0000-0000-0000BE550000}"/>
    <cellStyle name="Normal 2 2 4 14 5 3" xfId="21951" xr:uid="{00000000-0005-0000-0000-0000BF550000}"/>
    <cellStyle name="Normal 2 2 4 14 5 4" xfId="21952" xr:uid="{00000000-0005-0000-0000-0000C0550000}"/>
    <cellStyle name="Normal 2 2 4 14 5 5" xfId="21953" xr:uid="{00000000-0005-0000-0000-0000C1550000}"/>
    <cellStyle name="Normal 2 2 4 14 5 6" xfId="21954" xr:uid="{00000000-0005-0000-0000-0000C2550000}"/>
    <cellStyle name="Normal 2 2 4 14 5 7" xfId="21955" xr:uid="{00000000-0005-0000-0000-0000C3550000}"/>
    <cellStyle name="Normal 2 2 4 14 5 8" xfId="21956" xr:uid="{00000000-0005-0000-0000-0000C4550000}"/>
    <cellStyle name="Normal 2 2 4 14 5 9" xfId="21957" xr:uid="{00000000-0005-0000-0000-0000C5550000}"/>
    <cellStyle name="Normal 2 2 4 14 6" xfId="21958" xr:uid="{00000000-0005-0000-0000-0000C6550000}"/>
    <cellStyle name="Normal 2 2 4 14 7" xfId="21959" xr:uid="{00000000-0005-0000-0000-0000C7550000}"/>
    <cellStyle name="Normal 2 2 4 14 8" xfId="21960" xr:uid="{00000000-0005-0000-0000-0000C8550000}"/>
    <cellStyle name="Normal 2 2 4 14 9" xfId="21961" xr:uid="{00000000-0005-0000-0000-0000C9550000}"/>
    <cellStyle name="Normal 2 2 4 15" xfId="21962" xr:uid="{00000000-0005-0000-0000-0000CA550000}"/>
    <cellStyle name="Normal 2 2 4 15 10" xfId="21963" xr:uid="{00000000-0005-0000-0000-0000CB550000}"/>
    <cellStyle name="Normal 2 2 4 15 11" xfId="21964" xr:uid="{00000000-0005-0000-0000-0000CC550000}"/>
    <cellStyle name="Normal 2 2 4 15 12" xfId="21965" xr:uid="{00000000-0005-0000-0000-0000CD550000}"/>
    <cellStyle name="Normal 2 2 4 15 13" xfId="21966" xr:uid="{00000000-0005-0000-0000-0000CE550000}"/>
    <cellStyle name="Normal 2 2 4 15 14" xfId="21967" xr:uid="{00000000-0005-0000-0000-0000CF550000}"/>
    <cellStyle name="Normal 2 2 4 15 2" xfId="21968" xr:uid="{00000000-0005-0000-0000-0000D0550000}"/>
    <cellStyle name="Normal 2 2 4 15 2 10" xfId="21969" xr:uid="{00000000-0005-0000-0000-0000D1550000}"/>
    <cellStyle name="Normal 2 2 4 15 2 2" xfId="21970" xr:uid="{00000000-0005-0000-0000-0000D2550000}"/>
    <cellStyle name="Normal 2 2 4 15 2 3" xfId="21971" xr:uid="{00000000-0005-0000-0000-0000D3550000}"/>
    <cellStyle name="Normal 2 2 4 15 2 4" xfId="21972" xr:uid="{00000000-0005-0000-0000-0000D4550000}"/>
    <cellStyle name="Normal 2 2 4 15 2 5" xfId="21973" xr:uid="{00000000-0005-0000-0000-0000D5550000}"/>
    <cellStyle name="Normal 2 2 4 15 2 6" xfId="21974" xr:uid="{00000000-0005-0000-0000-0000D6550000}"/>
    <cellStyle name="Normal 2 2 4 15 2 7" xfId="21975" xr:uid="{00000000-0005-0000-0000-0000D7550000}"/>
    <cellStyle name="Normal 2 2 4 15 2 8" xfId="21976" xr:uid="{00000000-0005-0000-0000-0000D8550000}"/>
    <cellStyle name="Normal 2 2 4 15 2 9" xfId="21977" xr:uid="{00000000-0005-0000-0000-0000D9550000}"/>
    <cellStyle name="Normal 2 2 4 15 3" xfId="21978" xr:uid="{00000000-0005-0000-0000-0000DA550000}"/>
    <cellStyle name="Normal 2 2 4 15 3 10" xfId="21979" xr:uid="{00000000-0005-0000-0000-0000DB550000}"/>
    <cellStyle name="Normal 2 2 4 15 3 2" xfId="21980" xr:uid="{00000000-0005-0000-0000-0000DC550000}"/>
    <cellStyle name="Normal 2 2 4 15 3 3" xfId="21981" xr:uid="{00000000-0005-0000-0000-0000DD550000}"/>
    <cellStyle name="Normal 2 2 4 15 3 4" xfId="21982" xr:uid="{00000000-0005-0000-0000-0000DE550000}"/>
    <cellStyle name="Normal 2 2 4 15 3 5" xfId="21983" xr:uid="{00000000-0005-0000-0000-0000DF550000}"/>
    <cellStyle name="Normal 2 2 4 15 3 6" xfId="21984" xr:uid="{00000000-0005-0000-0000-0000E0550000}"/>
    <cellStyle name="Normal 2 2 4 15 3 7" xfId="21985" xr:uid="{00000000-0005-0000-0000-0000E1550000}"/>
    <cellStyle name="Normal 2 2 4 15 3 8" xfId="21986" xr:uid="{00000000-0005-0000-0000-0000E2550000}"/>
    <cellStyle name="Normal 2 2 4 15 3 9" xfId="21987" xr:uid="{00000000-0005-0000-0000-0000E3550000}"/>
    <cellStyle name="Normal 2 2 4 15 4" xfId="21988" xr:uid="{00000000-0005-0000-0000-0000E4550000}"/>
    <cellStyle name="Normal 2 2 4 15 4 10" xfId="21989" xr:uid="{00000000-0005-0000-0000-0000E5550000}"/>
    <cellStyle name="Normal 2 2 4 15 4 2" xfId="21990" xr:uid="{00000000-0005-0000-0000-0000E6550000}"/>
    <cellStyle name="Normal 2 2 4 15 4 3" xfId="21991" xr:uid="{00000000-0005-0000-0000-0000E7550000}"/>
    <cellStyle name="Normal 2 2 4 15 4 4" xfId="21992" xr:uid="{00000000-0005-0000-0000-0000E8550000}"/>
    <cellStyle name="Normal 2 2 4 15 4 5" xfId="21993" xr:uid="{00000000-0005-0000-0000-0000E9550000}"/>
    <cellStyle name="Normal 2 2 4 15 4 6" xfId="21994" xr:uid="{00000000-0005-0000-0000-0000EA550000}"/>
    <cellStyle name="Normal 2 2 4 15 4 7" xfId="21995" xr:uid="{00000000-0005-0000-0000-0000EB550000}"/>
    <cellStyle name="Normal 2 2 4 15 4 8" xfId="21996" xr:uid="{00000000-0005-0000-0000-0000EC550000}"/>
    <cellStyle name="Normal 2 2 4 15 4 9" xfId="21997" xr:uid="{00000000-0005-0000-0000-0000ED550000}"/>
    <cellStyle name="Normal 2 2 4 15 5" xfId="21998" xr:uid="{00000000-0005-0000-0000-0000EE550000}"/>
    <cellStyle name="Normal 2 2 4 15 5 10" xfId="21999" xr:uid="{00000000-0005-0000-0000-0000EF550000}"/>
    <cellStyle name="Normal 2 2 4 15 5 2" xfId="22000" xr:uid="{00000000-0005-0000-0000-0000F0550000}"/>
    <cellStyle name="Normal 2 2 4 15 5 3" xfId="22001" xr:uid="{00000000-0005-0000-0000-0000F1550000}"/>
    <cellStyle name="Normal 2 2 4 15 5 4" xfId="22002" xr:uid="{00000000-0005-0000-0000-0000F2550000}"/>
    <cellStyle name="Normal 2 2 4 15 5 5" xfId="22003" xr:uid="{00000000-0005-0000-0000-0000F3550000}"/>
    <cellStyle name="Normal 2 2 4 15 5 6" xfId="22004" xr:uid="{00000000-0005-0000-0000-0000F4550000}"/>
    <cellStyle name="Normal 2 2 4 15 5 7" xfId="22005" xr:uid="{00000000-0005-0000-0000-0000F5550000}"/>
    <cellStyle name="Normal 2 2 4 15 5 8" xfId="22006" xr:uid="{00000000-0005-0000-0000-0000F6550000}"/>
    <cellStyle name="Normal 2 2 4 15 5 9" xfId="22007" xr:uid="{00000000-0005-0000-0000-0000F7550000}"/>
    <cellStyle name="Normal 2 2 4 15 6" xfId="22008" xr:uid="{00000000-0005-0000-0000-0000F8550000}"/>
    <cellStyle name="Normal 2 2 4 15 7" xfId="22009" xr:uid="{00000000-0005-0000-0000-0000F9550000}"/>
    <cellStyle name="Normal 2 2 4 15 8" xfId="22010" xr:uid="{00000000-0005-0000-0000-0000FA550000}"/>
    <cellStyle name="Normal 2 2 4 15 9" xfId="22011" xr:uid="{00000000-0005-0000-0000-0000FB550000}"/>
    <cellStyle name="Normal 2 2 4 16" xfId="22012" xr:uid="{00000000-0005-0000-0000-0000FC550000}"/>
    <cellStyle name="Normal 2 2 4 16 10" xfId="22013" xr:uid="{00000000-0005-0000-0000-0000FD550000}"/>
    <cellStyle name="Normal 2 2 4 16 11" xfId="22014" xr:uid="{00000000-0005-0000-0000-0000FE550000}"/>
    <cellStyle name="Normal 2 2 4 16 12" xfId="22015" xr:uid="{00000000-0005-0000-0000-0000FF550000}"/>
    <cellStyle name="Normal 2 2 4 16 13" xfId="22016" xr:uid="{00000000-0005-0000-0000-000000560000}"/>
    <cellStyle name="Normal 2 2 4 16 14" xfId="22017" xr:uid="{00000000-0005-0000-0000-000001560000}"/>
    <cellStyle name="Normal 2 2 4 16 2" xfId="22018" xr:uid="{00000000-0005-0000-0000-000002560000}"/>
    <cellStyle name="Normal 2 2 4 16 2 10" xfId="22019" xr:uid="{00000000-0005-0000-0000-000003560000}"/>
    <cellStyle name="Normal 2 2 4 16 2 2" xfId="22020" xr:uid="{00000000-0005-0000-0000-000004560000}"/>
    <cellStyle name="Normal 2 2 4 16 2 3" xfId="22021" xr:uid="{00000000-0005-0000-0000-000005560000}"/>
    <cellStyle name="Normal 2 2 4 16 2 4" xfId="22022" xr:uid="{00000000-0005-0000-0000-000006560000}"/>
    <cellStyle name="Normal 2 2 4 16 2 5" xfId="22023" xr:uid="{00000000-0005-0000-0000-000007560000}"/>
    <cellStyle name="Normal 2 2 4 16 2 6" xfId="22024" xr:uid="{00000000-0005-0000-0000-000008560000}"/>
    <cellStyle name="Normal 2 2 4 16 2 7" xfId="22025" xr:uid="{00000000-0005-0000-0000-000009560000}"/>
    <cellStyle name="Normal 2 2 4 16 2 8" xfId="22026" xr:uid="{00000000-0005-0000-0000-00000A560000}"/>
    <cellStyle name="Normal 2 2 4 16 2 9" xfId="22027" xr:uid="{00000000-0005-0000-0000-00000B560000}"/>
    <cellStyle name="Normal 2 2 4 16 3" xfId="22028" xr:uid="{00000000-0005-0000-0000-00000C560000}"/>
    <cellStyle name="Normal 2 2 4 16 3 10" xfId="22029" xr:uid="{00000000-0005-0000-0000-00000D560000}"/>
    <cellStyle name="Normal 2 2 4 16 3 2" xfId="22030" xr:uid="{00000000-0005-0000-0000-00000E560000}"/>
    <cellStyle name="Normal 2 2 4 16 3 3" xfId="22031" xr:uid="{00000000-0005-0000-0000-00000F560000}"/>
    <cellStyle name="Normal 2 2 4 16 3 4" xfId="22032" xr:uid="{00000000-0005-0000-0000-000010560000}"/>
    <cellStyle name="Normal 2 2 4 16 3 5" xfId="22033" xr:uid="{00000000-0005-0000-0000-000011560000}"/>
    <cellStyle name="Normal 2 2 4 16 3 6" xfId="22034" xr:uid="{00000000-0005-0000-0000-000012560000}"/>
    <cellStyle name="Normal 2 2 4 16 3 7" xfId="22035" xr:uid="{00000000-0005-0000-0000-000013560000}"/>
    <cellStyle name="Normal 2 2 4 16 3 8" xfId="22036" xr:uid="{00000000-0005-0000-0000-000014560000}"/>
    <cellStyle name="Normal 2 2 4 16 3 9" xfId="22037" xr:uid="{00000000-0005-0000-0000-000015560000}"/>
    <cellStyle name="Normal 2 2 4 16 4" xfId="22038" xr:uid="{00000000-0005-0000-0000-000016560000}"/>
    <cellStyle name="Normal 2 2 4 16 4 10" xfId="22039" xr:uid="{00000000-0005-0000-0000-000017560000}"/>
    <cellStyle name="Normal 2 2 4 16 4 2" xfId="22040" xr:uid="{00000000-0005-0000-0000-000018560000}"/>
    <cellStyle name="Normal 2 2 4 16 4 3" xfId="22041" xr:uid="{00000000-0005-0000-0000-000019560000}"/>
    <cellStyle name="Normal 2 2 4 16 4 4" xfId="22042" xr:uid="{00000000-0005-0000-0000-00001A560000}"/>
    <cellStyle name="Normal 2 2 4 16 4 5" xfId="22043" xr:uid="{00000000-0005-0000-0000-00001B560000}"/>
    <cellStyle name="Normal 2 2 4 16 4 6" xfId="22044" xr:uid="{00000000-0005-0000-0000-00001C560000}"/>
    <cellStyle name="Normal 2 2 4 16 4 7" xfId="22045" xr:uid="{00000000-0005-0000-0000-00001D560000}"/>
    <cellStyle name="Normal 2 2 4 16 4 8" xfId="22046" xr:uid="{00000000-0005-0000-0000-00001E560000}"/>
    <cellStyle name="Normal 2 2 4 16 4 9" xfId="22047" xr:uid="{00000000-0005-0000-0000-00001F560000}"/>
    <cellStyle name="Normal 2 2 4 16 5" xfId="22048" xr:uid="{00000000-0005-0000-0000-000020560000}"/>
    <cellStyle name="Normal 2 2 4 16 5 10" xfId="22049" xr:uid="{00000000-0005-0000-0000-000021560000}"/>
    <cellStyle name="Normal 2 2 4 16 5 2" xfId="22050" xr:uid="{00000000-0005-0000-0000-000022560000}"/>
    <cellStyle name="Normal 2 2 4 16 5 3" xfId="22051" xr:uid="{00000000-0005-0000-0000-000023560000}"/>
    <cellStyle name="Normal 2 2 4 16 5 4" xfId="22052" xr:uid="{00000000-0005-0000-0000-000024560000}"/>
    <cellStyle name="Normal 2 2 4 16 5 5" xfId="22053" xr:uid="{00000000-0005-0000-0000-000025560000}"/>
    <cellStyle name="Normal 2 2 4 16 5 6" xfId="22054" xr:uid="{00000000-0005-0000-0000-000026560000}"/>
    <cellStyle name="Normal 2 2 4 16 5 7" xfId="22055" xr:uid="{00000000-0005-0000-0000-000027560000}"/>
    <cellStyle name="Normal 2 2 4 16 5 8" xfId="22056" xr:uid="{00000000-0005-0000-0000-000028560000}"/>
    <cellStyle name="Normal 2 2 4 16 5 9" xfId="22057" xr:uid="{00000000-0005-0000-0000-000029560000}"/>
    <cellStyle name="Normal 2 2 4 16 6" xfId="22058" xr:uid="{00000000-0005-0000-0000-00002A560000}"/>
    <cellStyle name="Normal 2 2 4 16 7" xfId="22059" xr:uid="{00000000-0005-0000-0000-00002B560000}"/>
    <cellStyle name="Normal 2 2 4 16 8" xfId="22060" xr:uid="{00000000-0005-0000-0000-00002C560000}"/>
    <cellStyle name="Normal 2 2 4 16 9" xfId="22061" xr:uid="{00000000-0005-0000-0000-00002D560000}"/>
    <cellStyle name="Normal 2 2 4 17" xfId="22062" xr:uid="{00000000-0005-0000-0000-00002E560000}"/>
    <cellStyle name="Normal 2 2 4 17 10" xfId="22063" xr:uid="{00000000-0005-0000-0000-00002F560000}"/>
    <cellStyle name="Normal 2 2 4 17 11" xfId="22064" xr:uid="{00000000-0005-0000-0000-000030560000}"/>
    <cellStyle name="Normal 2 2 4 17 12" xfId="22065" xr:uid="{00000000-0005-0000-0000-000031560000}"/>
    <cellStyle name="Normal 2 2 4 17 13" xfId="22066" xr:uid="{00000000-0005-0000-0000-000032560000}"/>
    <cellStyle name="Normal 2 2 4 17 14" xfId="22067" xr:uid="{00000000-0005-0000-0000-000033560000}"/>
    <cellStyle name="Normal 2 2 4 17 2" xfId="22068" xr:uid="{00000000-0005-0000-0000-000034560000}"/>
    <cellStyle name="Normal 2 2 4 17 2 10" xfId="22069" xr:uid="{00000000-0005-0000-0000-000035560000}"/>
    <cellStyle name="Normal 2 2 4 17 2 2" xfId="22070" xr:uid="{00000000-0005-0000-0000-000036560000}"/>
    <cellStyle name="Normal 2 2 4 17 2 3" xfId="22071" xr:uid="{00000000-0005-0000-0000-000037560000}"/>
    <cellStyle name="Normal 2 2 4 17 2 4" xfId="22072" xr:uid="{00000000-0005-0000-0000-000038560000}"/>
    <cellStyle name="Normal 2 2 4 17 2 5" xfId="22073" xr:uid="{00000000-0005-0000-0000-000039560000}"/>
    <cellStyle name="Normal 2 2 4 17 2 6" xfId="22074" xr:uid="{00000000-0005-0000-0000-00003A560000}"/>
    <cellStyle name="Normal 2 2 4 17 2 7" xfId="22075" xr:uid="{00000000-0005-0000-0000-00003B560000}"/>
    <cellStyle name="Normal 2 2 4 17 2 8" xfId="22076" xr:uid="{00000000-0005-0000-0000-00003C560000}"/>
    <cellStyle name="Normal 2 2 4 17 2 9" xfId="22077" xr:uid="{00000000-0005-0000-0000-00003D560000}"/>
    <cellStyle name="Normal 2 2 4 17 3" xfId="22078" xr:uid="{00000000-0005-0000-0000-00003E560000}"/>
    <cellStyle name="Normal 2 2 4 17 3 10" xfId="22079" xr:uid="{00000000-0005-0000-0000-00003F560000}"/>
    <cellStyle name="Normal 2 2 4 17 3 2" xfId="22080" xr:uid="{00000000-0005-0000-0000-000040560000}"/>
    <cellStyle name="Normal 2 2 4 17 3 3" xfId="22081" xr:uid="{00000000-0005-0000-0000-000041560000}"/>
    <cellStyle name="Normal 2 2 4 17 3 4" xfId="22082" xr:uid="{00000000-0005-0000-0000-000042560000}"/>
    <cellStyle name="Normal 2 2 4 17 3 5" xfId="22083" xr:uid="{00000000-0005-0000-0000-000043560000}"/>
    <cellStyle name="Normal 2 2 4 17 3 6" xfId="22084" xr:uid="{00000000-0005-0000-0000-000044560000}"/>
    <cellStyle name="Normal 2 2 4 17 3 7" xfId="22085" xr:uid="{00000000-0005-0000-0000-000045560000}"/>
    <cellStyle name="Normal 2 2 4 17 3 8" xfId="22086" xr:uid="{00000000-0005-0000-0000-000046560000}"/>
    <cellStyle name="Normal 2 2 4 17 3 9" xfId="22087" xr:uid="{00000000-0005-0000-0000-000047560000}"/>
    <cellStyle name="Normal 2 2 4 17 4" xfId="22088" xr:uid="{00000000-0005-0000-0000-000048560000}"/>
    <cellStyle name="Normal 2 2 4 17 4 10" xfId="22089" xr:uid="{00000000-0005-0000-0000-000049560000}"/>
    <cellStyle name="Normal 2 2 4 17 4 2" xfId="22090" xr:uid="{00000000-0005-0000-0000-00004A560000}"/>
    <cellStyle name="Normal 2 2 4 17 4 3" xfId="22091" xr:uid="{00000000-0005-0000-0000-00004B560000}"/>
    <cellStyle name="Normal 2 2 4 17 4 4" xfId="22092" xr:uid="{00000000-0005-0000-0000-00004C560000}"/>
    <cellStyle name="Normal 2 2 4 17 4 5" xfId="22093" xr:uid="{00000000-0005-0000-0000-00004D560000}"/>
    <cellStyle name="Normal 2 2 4 17 4 6" xfId="22094" xr:uid="{00000000-0005-0000-0000-00004E560000}"/>
    <cellStyle name="Normal 2 2 4 17 4 7" xfId="22095" xr:uid="{00000000-0005-0000-0000-00004F560000}"/>
    <cellStyle name="Normal 2 2 4 17 4 8" xfId="22096" xr:uid="{00000000-0005-0000-0000-000050560000}"/>
    <cellStyle name="Normal 2 2 4 17 4 9" xfId="22097" xr:uid="{00000000-0005-0000-0000-000051560000}"/>
    <cellStyle name="Normal 2 2 4 17 5" xfId="22098" xr:uid="{00000000-0005-0000-0000-000052560000}"/>
    <cellStyle name="Normal 2 2 4 17 5 10" xfId="22099" xr:uid="{00000000-0005-0000-0000-000053560000}"/>
    <cellStyle name="Normal 2 2 4 17 5 2" xfId="22100" xr:uid="{00000000-0005-0000-0000-000054560000}"/>
    <cellStyle name="Normal 2 2 4 17 5 3" xfId="22101" xr:uid="{00000000-0005-0000-0000-000055560000}"/>
    <cellStyle name="Normal 2 2 4 17 5 4" xfId="22102" xr:uid="{00000000-0005-0000-0000-000056560000}"/>
    <cellStyle name="Normal 2 2 4 17 5 5" xfId="22103" xr:uid="{00000000-0005-0000-0000-000057560000}"/>
    <cellStyle name="Normal 2 2 4 17 5 6" xfId="22104" xr:uid="{00000000-0005-0000-0000-000058560000}"/>
    <cellStyle name="Normal 2 2 4 17 5 7" xfId="22105" xr:uid="{00000000-0005-0000-0000-000059560000}"/>
    <cellStyle name="Normal 2 2 4 17 5 8" xfId="22106" xr:uid="{00000000-0005-0000-0000-00005A560000}"/>
    <cellStyle name="Normal 2 2 4 17 5 9" xfId="22107" xr:uid="{00000000-0005-0000-0000-00005B560000}"/>
    <cellStyle name="Normal 2 2 4 17 6" xfId="22108" xr:uid="{00000000-0005-0000-0000-00005C560000}"/>
    <cellStyle name="Normal 2 2 4 17 7" xfId="22109" xr:uid="{00000000-0005-0000-0000-00005D560000}"/>
    <cellStyle name="Normal 2 2 4 17 8" xfId="22110" xr:uid="{00000000-0005-0000-0000-00005E560000}"/>
    <cellStyle name="Normal 2 2 4 17 9" xfId="22111" xr:uid="{00000000-0005-0000-0000-00005F560000}"/>
    <cellStyle name="Normal 2 2 4 18" xfId="22112" xr:uid="{00000000-0005-0000-0000-000060560000}"/>
    <cellStyle name="Normal 2 2 4 18 10" xfId="22113" xr:uid="{00000000-0005-0000-0000-000061560000}"/>
    <cellStyle name="Normal 2 2 4 18 11" xfId="22114" xr:uid="{00000000-0005-0000-0000-000062560000}"/>
    <cellStyle name="Normal 2 2 4 18 12" xfId="22115" xr:uid="{00000000-0005-0000-0000-000063560000}"/>
    <cellStyle name="Normal 2 2 4 18 13" xfId="22116" xr:uid="{00000000-0005-0000-0000-000064560000}"/>
    <cellStyle name="Normal 2 2 4 18 14" xfId="22117" xr:uid="{00000000-0005-0000-0000-000065560000}"/>
    <cellStyle name="Normal 2 2 4 18 2" xfId="22118" xr:uid="{00000000-0005-0000-0000-000066560000}"/>
    <cellStyle name="Normal 2 2 4 18 2 10" xfId="22119" xr:uid="{00000000-0005-0000-0000-000067560000}"/>
    <cellStyle name="Normal 2 2 4 18 2 2" xfId="22120" xr:uid="{00000000-0005-0000-0000-000068560000}"/>
    <cellStyle name="Normal 2 2 4 18 2 3" xfId="22121" xr:uid="{00000000-0005-0000-0000-000069560000}"/>
    <cellStyle name="Normal 2 2 4 18 2 4" xfId="22122" xr:uid="{00000000-0005-0000-0000-00006A560000}"/>
    <cellStyle name="Normal 2 2 4 18 2 5" xfId="22123" xr:uid="{00000000-0005-0000-0000-00006B560000}"/>
    <cellStyle name="Normal 2 2 4 18 2 6" xfId="22124" xr:uid="{00000000-0005-0000-0000-00006C560000}"/>
    <cellStyle name="Normal 2 2 4 18 2 7" xfId="22125" xr:uid="{00000000-0005-0000-0000-00006D560000}"/>
    <cellStyle name="Normal 2 2 4 18 2 8" xfId="22126" xr:uid="{00000000-0005-0000-0000-00006E560000}"/>
    <cellStyle name="Normal 2 2 4 18 2 9" xfId="22127" xr:uid="{00000000-0005-0000-0000-00006F560000}"/>
    <cellStyle name="Normal 2 2 4 18 3" xfId="22128" xr:uid="{00000000-0005-0000-0000-000070560000}"/>
    <cellStyle name="Normal 2 2 4 18 3 10" xfId="22129" xr:uid="{00000000-0005-0000-0000-000071560000}"/>
    <cellStyle name="Normal 2 2 4 18 3 2" xfId="22130" xr:uid="{00000000-0005-0000-0000-000072560000}"/>
    <cellStyle name="Normal 2 2 4 18 3 3" xfId="22131" xr:uid="{00000000-0005-0000-0000-000073560000}"/>
    <cellStyle name="Normal 2 2 4 18 3 4" xfId="22132" xr:uid="{00000000-0005-0000-0000-000074560000}"/>
    <cellStyle name="Normal 2 2 4 18 3 5" xfId="22133" xr:uid="{00000000-0005-0000-0000-000075560000}"/>
    <cellStyle name="Normal 2 2 4 18 3 6" xfId="22134" xr:uid="{00000000-0005-0000-0000-000076560000}"/>
    <cellStyle name="Normal 2 2 4 18 3 7" xfId="22135" xr:uid="{00000000-0005-0000-0000-000077560000}"/>
    <cellStyle name="Normal 2 2 4 18 3 8" xfId="22136" xr:uid="{00000000-0005-0000-0000-000078560000}"/>
    <cellStyle name="Normal 2 2 4 18 3 9" xfId="22137" xr:uid="{00000000-0005-0000-0000-000079560000}"/>
    <cellStyle name="Normal 2 2 4 18 4" xfId="22138" xr:uid="{00000000-0005-0000-0000-00007A560000}"/>
    <cellStyle name="Normal 2 2 4 18 4 10" xfId="22139" xr:uid="{00000000-0005-0000-0000-00007B560000}"/>
    <cellStyle name="Normal 2 2 4 18 4 2" xfId="22140" xr:uid="{00000000-0005-0000-0000-00007C560000}"/>
    <cellStyle name="Normal 2 2 4 18 4 3" xfId="22141" xr:uid="{00000000-0005-0000-0000-00007D560000}"/>
    <cellStyle name="Normal 2 2 4 18 4 4" xfId="22142" xr:uid="{00000000-0005-0000-0000-00007E560000}"/>
    <cellStyle name="Normal 2 2 4 18 4 5" xfId="22143" xr:uid="{00000000-0005-0000-0000-00007F560000}"/>
    <cellStyle name="Normal 2 2 4 18 4 6" xfId="22144" xr:uid="{00000000-0005-0000-0000-000080560000}"/>
    <cellStyle name="Normal 2 2 4 18 4 7" xfId="22145" xr:uid="{00000000-0005-0000-0000-000081560000}"/>
    <cellStyle name="Normal 2 2 4 18 4 8" xfId="22146" xr:uid="{00000000-0005-0000-0000-000082560000}"/>
    <cellStyle name="Normal 2 2 4 18 4 9" xfId="22147" xr:uid="{00000000-0005-0000-0000-000083560000}"/>
    <cellStyle name="Normal 2 2 4 18 5" xfId="22148" xr:uid="{00000000-0005-0000-0000-000084560000}"/>
    <cellStyle name="Normal 2 2 4 18 5 10" xfId="22149" xr:uid="{00000000-0005-0000-0000-000085560000}"/>
    <cellStyle name="Normal 2 2 4 18 5 2" xfId="22150" xr:uid="{00000000-0005-0000-0000-000086560000}"/>
    <cellStyle name="Normal 2 2 4 18 5 3" xfId="22151" xr:uid="{00000000-0005-0000-0000-000087560000}"/>
    <cellStyle name="Normal 2 2 4 18 5 4" xfId="22152" xr:uid="{00000000-0005-0000-0000-000088560000}"/>
    <cellStyle name="Normal 2 2 4 18 5 5" xfId="22153" xr:uid="{00000000-0005-0000-0000-000089560000}"/>
    <cellStyle name="Normal 2 2 4 18 5 6" xfId="22154" xr:uid="{00000000-0005-0000-0000-00008A560000}"/>
    <cellStyle name="Normal 2 2 4 18 5 7" xfId="22155" xr:uid="{00000000-0005-0000-0000-00008B560000}"/>
    <cellStyle name="Normal 2 2 4 18 5 8" xfId="22156" xr:uid="{00000000-0005-0000-0000-00008C560000}"/>
    <cellStyle name="Normal 2 2 4 18 5 9" xfId="22157" xr:uid="{00000000-0005-0000-0000-00008D560000}"/>
    <cellStyle name="Normal 2 2 4 18 6" xfId="22158" xr:uid="{00000000-0005-0000-0000-00008E560000}"/>
    <cellStyle name="Normal 2 2 4 18 7" xfId="22159" xr:uid="{00000000-0005-0000-0000-00008F560000}"/>
    <cellStyle name="Normal 2 2 4 18 8" xfId="22160" xr:uid="{00000000-0005-0000-0000-000090560000}"/>
    <cellStyle name="Normal 2 2 4 18 9" xfId="22161" xr:uid="{00000000-0005-0000-0000-000091560000}"/>
    <cellStyle name="Normal 2 2 4 19" xfId="22162" xr:uid="{00000000-0005-0000-0000-000092560000}"/>
    <cellStyle name="Normal 2 2 4 19 10" xfId="22163" xr:uid="{00000000-0005-0000-0000-000093560000}"/>
    <cellStyle name="Normal 2 2 4 19 11" xfId="22164" xr:uid="{00000000-0005-0000-0000-000094560000}"/>
    <cellStyle name="Normal 2 2 4 19 12" xfId="22165" xr:uid="{00000000-0005-0000-0000-000095560000}"/>
    <cellStyle name="Normal 2 2 4 19 13" xfId="22166" xr:uid="{00000000-0005-0000-0000-000096560000}"/>
    <cellStyle name="Normal 2 2 4 19 14" xfId="22167" xr:uid="{00000000-0005-0000-0000-000097560000}"/>
    <cellStyle name="Normal 2 2 4 19 2" xfId="22168" xr:uid="{00000000-0005-0000-0000-000098560000}"/>
    <cellStyle name="Normal 2 2 4 19 2 10" xfId="22169" xr:uid="{00000000-0005-0000-0000-000099560000}"/>
    <cellStyle name="Normal 2 2 4 19 2 2" xfId="22170" xr:uid="{00000000-0005-0000-0000-00009A560000}"/>
    <cellStyle name="Normal 2 2 4 19 2 3" xfId="22171" xr:uid="{00000000-0005-0000-0000-00009B560000}"/>
    <cellStyle name="Normal 2 2 4 19 2 4" xfId="22172" xr:uid="{00000000-0005-0000-0000-00009C560000}"/>
    <cellStyle name="Normal 2 2 4 19 2 5" xfId="22173" xr:uid="{00000000-0005-0000-0000-00009D560000}"/>
    <cellStyle name="Normal 2 2 4 19 2 6" xfId="22174" xr:uid="{00000000-0005-0000-0000-00009E560000}"/>
    <cellStyle name="Normal 2 2 4 19 2 7" xfId="22175" xr:uid="{00000000-0005-0000-0000-00009F560000}"/>
    <cellStyle name="Normal 2 2 4 19 2 8" xfId="22176" xr:uid="{00000000-0005-0000-0000-0000A0560000}"/>
    <cellStyle name="Normal 2 2 4 19 2 9" xfId="22177" xr:uid="{00000000-0005-0000-0000-0000A1560000}"/>
    <cellStyle name="Normal 2 2 4 19 3" xfId="22178" xr:uid="{00000000-0005-0000-0000-0000A2560000}"/>
    <cellStyle name="Normal 2 2 4 19 3 10" xfId="22179" xr:uid="{00000000-0005-0000-0000-0000A3560000}"/>
    <cellStyle name="Normal 2 2 4 19 3 2" xfId="22180" xr:uid="{00000000-0005-0000-0000-0000A4560000}"/>
    <cellStyle name="Normal 2 2 4 19 3 3" xfId="22181" xr:uid="{00000000-0005-0000-0000-0000A5560000}"/>
    <cellStyle name="Normal 2 2 4 19 3 4" xfId="22182" xr:uid="{00000000-0005-0000-0000-0000A6560000}"/>
    <cellStyle name="Normal 2 2 4 19 3 5" xfId="22183" xr:uid="{00000000-0005-0000-0000-0000A7560000}"/>
    <cellStyle name="Normal 2 2 4 19 3 6" xfId="22184" xr:uid="{00000000-0005-0000-0000-0000A8560000}"/>
    <cellStyle name="Normal 2 2 4 19 3 7" xfId="22185" xr:uid="{00000000-0005-0000-0000-0000A9560000}"/>
    <cellStyle name="Normal 2 2 4 19 3 8" xfId="22186" xr:uid="{00000000-0005-0000-0000-0000AA560000}"/>
    <cellStyle name="Normal 2 2 4 19 3 9" xfId="22187" xr:uid="{00000000-0005-0000-0000-0000AB560000}"/>
    <cellStyle name="Normal 2 2 4 19 4" xfId="22188" xr:uid="{00000000-0005-0000-0000-0000AC560000}"/>
    <cellStyle name="Normal 2 2 4 19 4 10" xfId="22189" xr:uid="{00000000-0005-0000-0000-0000AD560000}"/>
    <cellStyle name="Normal 2 2 4 19 4 2" xfId="22190" xr:uid="{00000000-0005-0000-0000-0000AE560000}"/>
    <cellStyle name="Normal 2 2 4 19 4 3" xfId="22191" xr:uid="{00000000-0005-0000-0000-0000AF560000}"/>
    <cellStyle name="Normal 2 2 4 19 4 4" xfId="22192" xr:uid="{00000000-0005-0000-0000-0000B0560000}"/>
    <cellStyle name="Normal 2 2 4 19 4 5" xfId="22193" xr:uid="{00000000-0005-0000-0000-0000B1560000}"/>
    <cellStyle name="Normal 2 2 4 19 4 6" xfId="22194" xr:uid="{00000000-0005-0000-0000-0000B2560000}"/>
    <cellStyle name="Normal 2 2 4 19 4 7" xfId="22195" xr:uid="{00000000-0005-0000-0000-0000B3560000}"/>
    <cellStyle name="Normal 2 2 4 19 4 8" xfId="22196" xr:uid="{00000000-0005-0000-0000-0000B4560000}"/>
    <cellStyle name="Normal 2 2 4 19 4 9" xfId="22197" xr:uid="{00000000-0005-0000-0000-0000B5560000}"/>
    <cellStyle name="Normal 2 2 4 19 5" xfId="22198" xr:uid="{00000000-0005-0000-0000-0000B6560000}"/>
    <cellStyle name="Normal 2 2 4 19 5 10" xfId="22199" xr:uid="{00000000-0005-0000-0000-0000B7560000}"/>
    <cellStyle name="Normal 2 2 4 19 5 2" xfId="22200" xr:uid="{00000000-0005-0000-0000-0000B8560000}"/>
    <cellStyle name="Normal 2 2 4 19 5 3" xfId="22201" xr:uid="{00000000-0005-0000-0000-0000B9560000}"/>
    <cellStyle name="Normal 2 2 4 19 5 4" xfId="22202" xr:uid="{00000000-0005-0000-0000-0000BA560000}"/>
    <cellStyle name="Normal 2 2 4 19 5 5" xfId="22203" xr:uid="{00000000-0005-0000-0000-0000BB560000}"/>
    <cellStyle name="Normal 2 2 4 19 5 6" xfId="22204" xr:uid="{00000000-0005-0000-0000-0000BC560000}"/>
    <cellStyle name="Normal 2 2 4 19 5 7" xfId="22205" xr:uid="{00000000-0005-0000-0000-0000BD560000}"/>
    <cellStyle name="Normal 2 2 4 19 5 8" xfId="22206" xr:uid="{00000000-0005-0000-0000-0000BE560000}"/>
    <cellStyle name="Normal 2 2 4 19 5 9" xfId="22207" xr:uid="{00000000-0005-0000-0000-0000BF560000}"/>
    <cellStyle name="Normal 2 2 4 19 6" xfId="22208" xr:uid="{00000000-0005-0000-0000-0000C0560000}"/>
    <cellStyle name="Normal 2 2 4 19 7" xfId="22209" xr:uid="{00000000-0005-0000-0000-0000C1560000}"/>
    <cellStyle name="Normal 2 2 4 19 8" xfId="22210" xr:uid="{00000000-0005-0000-0000-0000C2560000}"/>
    <cellStyle name="Normal 2 2 4 19 9" xfId="22211" xr:uid="{00000000-0005-0000-0000-0000C3560000}"/>
    <cellStyle name="Normal 2 2 4 2" xfId="22212" xr:uid="{00000000-0005-0000-0000-0000C4560000}"/>
    <cellStyle name="Normal 2 2 4 2 10" xfId="22213" xr:uid="{00000000-0005-0000-0000-0000C5560000}"/>
    <cellStyle name="Normal 2 2 4 2 11" xfId="22214" xr:uid="{00000000-0005-0000-0000-0000C6560000}"/>
    <cellStyle name="Normal 2 2 4 2 12" xfId="22215" xr:uid="{00000000-0005-0000-0000-0000C7560000}"/>
    <cellStyle name="Normal 2 2 4 2 13" xfId="22216" xr:uid="{00000000-0005-0000-0000-0000C8560000}"/>
    <cellStyle name="Normal 2 2 4 2 14" xfId="22217" xr:uid="{00000000-0005-0000-0000-0000C9560000}"/>
    <cellStyle name="Normal 2 2 4 2 15" xfId="22218" xr:uid="{00000000-0005-0000-0000-0000CA560000}"/>
    <cellStyle name="Normal 2 2 4 2 16" xfId="22219" xr:uid="{00000000-0005-0000-0000-0000CB560000}"/>
    <cellStyle name="Normal 2 2 4 2 17" xfId="22220" xr:uid="{00000000-0005-0000-0000-0000CC560000}"/>
    <cellStyle name="Normal 2 2 4 2 18" xfId="22221" xr:uid="{00000000-0005-0000-0000-0000CD560000}"/>
    <cellStyle name="Normal 2 2 4 2 19" xfId="22222" xr:uid="{00000000-0005-0000-0000-0000CE560000}"/>
    <cellStyle name="Normal 2 2 4 2 2" xfId="22223" xr:uid="{00000000-0005-0000-0000-0000CF560000}"/>
    <cellStyle name="Normal 2 2 4 2 2 10" xfId="22224" xr:uid="{00000000-0005-0000-0000-0000D0560000}"/>
    <cellStyle name="Normal 2 2 4 2 2 10 10" xfId="22225" xr:uid="{00000000-0005-0000-0000-0000D1560000}"/>
    <cellStyle name="Normal 2 2 4 2 2 10 11" xfId="22226" xr:uid="{00000000-0005-0000-0000-0000D2560000}"/>
    <cellStyle name="Normal 2 2 4 2 2 10 12" xfId="22227" xr:uid="{00000000-0005-0000-0000-0000D3560000}"/>
    <cellStyle name="Normal 2 2 4 2 2 10 13" xfId="22228" xr:uid="{00000000-0005-0000-0000-0000D4560000}"/>
    <cellStyle name="Normal 2 2 4 2 2 10 14" xfId="22229" xr:uid="{00000000-0005-0000-0000-0000D5560000}"/>
    <cellStyle name="Normal 2 2 4 2 2 10 2" xfId="22230" xr:uid="{00000000-0005-0000-0000-0000D6560000}"/>
    <cellStyle name="Normal 2 2 4 2 2 10 2 10" xfId="22231" xr:uid="{00000000-0005-0000-0000-0000D7560000}"/>
    <cellStyle name="Normal 2 2 4 2 2 10 2 2" xfId="22232" xr:uid="{00000000-0005-0000-0000-0000D8560000}"/>
    <cellStyle name="Normal 2 2 4 2 2 10 2 3" xfId="22233" xr:uid="{00000000-0005-0000-0000-0000D9560000}"/>
    <cellStyle name="Normal 2 2 4 2 2 10 2 4" xfId="22234" xr:uid="{00000000-0005-0000-0000-0000DA560000}"/>
    <cellStyle name="Normal 2 2 4 2 2 10 2 5" xfId="22235" xr:uid="{00000000-0005-0000-0000-0000DB560000}"/>
    <cellStyle name="Normal 2 2 4 2 2 10 2 6" xfId="22236" xr:uid="{00000000-0005-0000-0000-0000DC560000}"/>
    <cellStyle name="Normal 2 2 4 2 2 10 2 7" xfId="22237" xr:uid="{00000000-0005-0000-0000-0000DD560000}"/>
    <cellStyle name="Normal 2 2 4 2 2 10 2 8" xfId="22238" xr:uid="{00000000-0005-0000-0000-0000DE560000}"/>
    <cellStyle name="Normal 2 2 4 2 2 10 2 9" xfId="22239" xr:uid="{00000000-0005-0000-0000-0000DF560000}"/>
    <cellStyle name="Normal 2 2 4 2 2 10 3" xfId="22240" xr:uid="{00000000-0005-0000-0000-0000E0560000}"/>
    <cellStyle name="Normal 2 2 4 2 2 10 3 10" xfId="22241" xr:uid="{00000000-0005-0000-0000-0000E1560000}"/>
    <cellStyle name="Normal 2 2 4 2 2 10 3 2" xfId="22242" xr:uid="{00000000-0005-0000-0000-0000E2560000}"/>
    <cellStyle name="Normal 2 2 4 2 2 10 3 3" xfId="22243" xr:uid="{00000000-0005-0000-0000-0000E3560000}"/>
    <cellStyle name="Normal 2 2 4 2 2 10 3 4" xfId="22244" xr:uid="{00000000-0005-0000-0000-0000E4560000}"/>
    <cellStyle name="Normal 2 2 4 2 2 10 3 5" xfId="22245" xr:uid="{00000000-0005-0000-0000-0000E5560000}"/>
    <cellStyle name="Normal 2 2 4 2 2 10 3 6" xfId="22246" xr:uid="{00000000-0005-0000-0000-0000E6560000}"/>
    <cellStyle name="Normal 2 2 4 2 2 10 3 7" xfId="22247" xr:uid="{00000000-0005-0000-0000-0000E7560000}"/>
    <cellStyle name="Normal 2 2 4 2 2 10 3 8" xfId="22248" xr:uid="{00000000-0005-0000-0000-0000E8560000}"/>
    <cellStyle name="Normal 2 2 4 2 2 10 3 9" xfId="22249" xr:uid="{00000000-0005-0000-0000-0000E9560000}"/>
    <cellStyle name="Normal 2 2 4 2 2 10 4" xfId="22250" xr:uid="{00000000-0005-0000-0000-0000EA560000}"/>
    <cellStyle name="Normal 2 2 4 2 2 10 4 10" xfId="22251" xr:uid="{00000000-0005-0000-0000-0000EB560000}"/>
    <cellStyle name="Normal 2 2 4 2 2 10 4 2" xfId="22252" xr:uid="{00000000-0005-0000-0000-0000EC560000}"/>
    <cellStyle name="Normal 2 2 4 2 2 10 4 3" xfId="22253" xr:uid="{00000000-0005-0000-0000-0000ED560000}"/>
    <cellStyle name="Normal 2 2 4 2 2 10 4 4" xfId="22254" xr:uid="{00000000-0005-0000-0000-0000EE560000}"/>
    <cellStyle name="Normal 2 2 4 2 2 10 4 5" xfId="22255" xr:uid="{00000000-0005-0000-0000-0000EF560000}"/>
    <cellStyle name="Normal 2 2 4 2 2 10 4 6" xfId="22256" xr:uid="{00000000-0005-0000-0000-0000F0560000}"/>
    <cellStyle name="Normal 2 2 4 2 2 10 4 7" xfId="22257" xr:uid="{00000000-0005-0000-0000-0000F1560000}"/>
    <cellStyle name="Normal 2 2 4 2 2 10 4 8" xfId="22258" xr:uid="{00000000-0005-0000-0000-0000F2560000}"/>
    <cellStyle name="Normal 2 2 4 2 2 10 4 9" xfId="22259" xr:uid="{00000000-0005-0000-0000-0000F3560000}"/>
    <cellStyle name="Normal 2 2 4 2 2 10 5" xfId="22260" xr:uid="{00000000-0005-0000-0000-0000F4560000}"/>
    <cellStyle name="Normal 2 2 4 2 2 10 5 10" xfId="22261" xr:uid="{00000000-0005-0000-0000-0000F5560000}"/>
    <cellStyle name="Normal 2 2 4 2 2 10 5 2" xfId="22262" xr:uid="{00000000-0005-0000-0000-0000F6560000}"/>
    <cellStyle name="Normal 2 2 4 2 2 10 5 3" xfId="22263" xr:uid="{00000000-0005-0000-0000-0000F7560000}"/>
    <cellStyle name="Normal 2 2 4 2 2 10 5 4" xfId="22264" xr:uid="{00000000-0005-0000-0000-0000F8560000}"/>
    <cellStyle name="Normal 2 2 4 2 2 10 5 5" xfId="22265" xr:uid="{00000000-0005-0000-0000-0000F9560000}"/>
    <cellStyle name="Normal 2 2 4 2 2 10 5 6" xfId="22266" xr:uid="{00000000-0005-0000-0000-0000FA560000}"/>
    <cellStyle name="Normal 2 2 4 2 2 10 5 7" xfId="22267" xr:uid="{00000000-0005-0000-0000-0000FB560000}"/>
    <cellStyle name="Normal 2 2 4 2 2 10 5 8" xfId="22268" xr:uid="{00000000-0005-0000-0000-0000FC560000}"/>
    <cellStyle name="Normal 2 2 4 2 2 10 5 9" xfId="22269" xr:uid="{00000000-0005-0000-0000-0000FD560000}"/>
    <cellStyle name="Normal 2 2 4 2 2 10 6" xfId="22270" xr:uid="{00000000-0005-0000-0000-0000FE560000}"/>
    <cellStyle name="Normal 2 2 4 2 2 10 7" xfId="22271" xr:uid="{00000000-0005-0000-0000-0000FF560000}"/>
    <cellStyle name="Normal 2 2 4 2 2 10 8" xfId="22272" xr:uid="{00000000-0005-0000-0000-000000570000}"/>
    <cellStyle name="Normal 2 2 4 2 2 10 9" xfId="22273" xr:uid="{00000000-0005-0000-0000-000001570000}"/>
    <cellStyle name="Normal 2 2 4 2 2 11" xfId="22274" xr:uid="{00000000-0005-0000-0000-000002570000}"/>
    <cellStyle name="Normal 2 2 4 2 2 11 10" xfId="22275" xr:uid="{00000000-0005-0000-0000-000003570000}"/>
    <cellStyle name="Normal 2 2 4 2 2 11 11" xfId="22276" xr:uid="{00000000-0005-0000-0000-000004570000}"/>
    <cellStyle name="Normal 2 2 4 2 2 11 12" xfId="22277" xr:uid="{00000000-0005-0000-0000-000005570000}"/>
    <cellStyle name="Normal 2 2 4 2 2 11 13" xfId="22278" xr:uid="{00000000-0005-0000-0000-000006570000}"/>
    <cellStyle name="Normal 2 2 4 2 2 11 14" xfId="22279" xr:uid="{00000000-0005-0000-0000-000007570000}"/>
    <cellStyle name="Normal 2 2 4 2 2 11 2" xfId="22280" xr:uid="{00000000-0005-0000-0000-000008570000}"/>
    <cellStyle name="Normal 2 2 4 2 2 11 2 10" xfId="22281" xr:uid="{00000000-0005-0000-0000-000009570000}"/>
    <cellStyle name="Normal 2 2 4 2 2 11 2 2" xfId="22282" xr:uid="{00000000-0005-0000-0000-00000A570000}"/>
    <cellStyle name="Normal 2 2 4 2 2 11 2 3" xfId="22283" xr:uid="{00000000-0005-0000-0000-00000B570000}"/>
    <cellStyle name="Normal 2 2 4 2 2 11 2 4" xfId="22284" xr:uid="{00000000-0005-0000-0000-00000C570000}"/>
    <cellStyle name="Normal 2 2 4 2 2 11 2 5" xfId="22285" xr:uid="{00000000-0005-0000-0000-00000D570000}"/>
    <cellStyle name="Normal 2 2 4 2 2 11 2 6" xfId="22286" xr:uid="{00000000-0005-0000-0000-00000E570000}"/>
    <cellStyle name="Normal 2 2 4 2 2 11 2 7" xfId="22287" xr:uid="{00000000-0005-0000-0000-00000F570000}"/>
    <cellStyle name="Normal 2 2 4 2 2 11 2 8" xfId="22288" xr:uid="{00000000-0005-0000-0000-000010570000}"/>
    <cellStyle name="Normal 2 2 4 2 2 11 2 9" xfId="22289" xr:uid="{00000000-0005-0000-0000-000011570000}"/>
    <cellStyle name="Normal 2 2 4 2 2 11 3" xfId="22290" xr:uid="{00000000-0005-0000-0000-000012570000}"/>
    <cellStyle name="Normal 2 2 4 2 2 11 3 10" xfId="22291" xr:uid="{00000000-0005-0000-0000-000013570000}"/>
    <cellStyle name="Normal 2 2 4 2 2 11 3 2" xfId="22292" xr:uid="{00000000-0005-0000-0000-000014570000}"/>
    <cellStyle name="Normal 2 2 4 2 2 11 3 3" xfId="22293" xr:uid="{00000000-0005-0000-0000-000015570000}"/>
    <cellStyle name="Normal 2 2 4 2 2 11 3 4" xfId="22294" xr:uid="{00000000-0005-0000-0000-000016570000}"/>
    <cellStyle name="Normal 2 2 4 2 2 11 3 5" xfId="22295" xr:uid="{00000000-0005-0000-0000-000017570000}"/>
    <cellStyle name="Normal 2 2 4 2 2 11 3 6" xfId="22296" xr:uid="{00000000-0005-0000-0000-000018570000}"/>
    <cellStyle name="Normal 2 2 4 2 2 11 3 7" xfId="22297" xr:uid="{00000000-0005-0000-0000-000019570000}"/>
    <cellStyle name="Normal 2 2 4 2 2 11 3 8" xfId="22298" xr:uid="{00000000-0005-0000-0000-00001A570000}"/>
    <cellStyle name="Normal 2 2 4 2 2 11 3 9" xfId="22299" xr:uid="{00000000-0005-0000-0000-00001B570000}"/>
    <cellStyle name="Normal 2 2 4 2 2 11 4" xfId="22300" xr:uid="{00000000-0005-0000-0000-00001C570000}"/>
    <cellStyle name="Normal 2 2 4 2 2 11 4 10" xfId="22301" xr:uid="{00000000-0005-0000-0000-00001D570000}"/>
    <cellStyle name="Normal 2 2 4 2 2 11 4 2" xfId="22302" xr:uid="{00000000-0005-0000-0000-00001E570000}"/>
    <cellStyle name="Normal 2 2 4 2 2 11 4 3" xfId="22303" xr:uid="{00000000-0005-0000-0000-00001F570000}"/>
    <cellStyle name="Normal 2 2 4 2 2 11 4 4" xfId="22304" xr:uid="{00000000-0005-0000-0000-000020570000}"/>
    <cellStyle name="Normal 2 2 4 2 2 11 4 5" xfId="22305" xr:uid="{00000000-0005-0000-0000-000021570000}"/>
    <cellStyle name="Normal 2 2 4 2 2 11 4 6" xfId="22306" xr:uid="{00000000-0005-0000-0000-000022570000}"/>
    <cellStyle name="Normal 2 2 4 2 2 11 4 7" xfId="22307" xr:uid="{00000000-0005-0000-0000-000023570000}"/>
    <cellStyle name="Normal 2 2 4 2 2 11 4 8" xfId="22308" xr:uid="{00000000-0005-0000-0000-000024570000}"/>
    <cellStyle name="Normal 2 2 4 2 2 11 4 9" xfId="22309" xr:uid="{00000000-0005-0000-0000-000025570000}"/>
    <cellStyle name="Normal 2 2 4 2 2 11 5" xfId="22310" xr:uid="{00000000-0005-0000-0000-000026570000}"/>
    <cellStyle name="Normal 2 2 4 2 2 11 5 10" xfId="22311" xr:uid="{00000000-0005-0000-0000-000027570000}"/>
    <cellStyle name="Normal 2 2 4 2 2 11 5 2" xfId="22312" xr:uid="{00000000-0005-0000-0000-000028570000}"/>
    <cellStyle name="Normal 2 2 4 2 2 11 5 3" xfId="22313" xr:uid="{00000000-0005-0000-0000-000029570000}"/>
    <cellStyle name="Normal 2 2 4 2 2 11 5 4" xfId="22314" xr:uid="{00000000-0005-0000-0000-00002A570000}"/>
    <cellStyle name="Normal 2 2 4 2 2 11 5 5" xfId="22315" xr:uid="{00000000-0005-0000-0000-00002B570000}"/>
    <cellStyle name="Normal 2 2 4 2 2 11 5 6" xfId="22316" xr:uid="{00000000-0005-0000-0000-00002C570000}"/>
    <cellStyle name="Normal 2 2 4 2 2 11 5 7" xfId="22317" xr:uid="{00000000-0005-0000-0000-00002D570000}"/>
    <cellStyle name="Normal 2 2 4 2 2 11 5 8" xfId="22318" xr:uid="{00000000-0005-0000-0000-00002E570000}"/>
    <cellStyle name="Normal 2 2 4 2 2 11 5 9" xfId="22319" xr:uid="{00000000-0005-0000-0000-00002F570000}"/>
    <cellStyle name="Normal 2 2 4 2 2 11 6" xfId="22320" xr:uid="{00000000-0005-0000-0000-000030570000}"/>
    <cellStyle name="Normal 2 2 4 2 2 11 7" xfId="22321" xr:uid="{00000000-0005-0000-0000-000031570000}"/>
    <cellStyle name="Normal 2 2 4 2 2 11 8" xfId="22322" xr:uid="{00000000-0005-0000-0000-000032570000}"/>
    <cellStyle name="Normal 2 2 4 2 2 11 9" xfId="22323" xr:uid="{00000000-0005-0000-0000-000033570000}"/>
    <cellStyle name="Normal 2 2 4 2 2 12" xfId="22324" xr:uid="{00000000-0005-0000-0000-000034570000}"/>
    <cellStyle name="Normal 2 2 4 2 2 12 10" xfId="22325" xr:uid="{00000000-0005-0000-0000-000035570000}"/>
    <cellStyle name="Normal 2 2 4 2 2 12 11" xfId="22326" xr:uid="{00000000-0005-0000-0000-000036570000}"/>
    <cellStyle name="Normal 2 2 4 2 2 12 12" xfId="22327" xr:uid="{00000000-0005-0000-0000-000037570000}"/>
    <cellStyle name="Normal 2 2 4 2 2 12 13" xfId="22328" xr:uid="{00000000-0005-0000-0000-000038570000}"/>
    <cellStyle name="Normal 2 2 4 2 2 12 14" xfId="22329" xr:uid="{00000000-0005-0000-0000-000039570000}"/>
    <cellStyle name="Normal 2 2 4 2 2 12 2" xfId="22330" xr:uid="{00000000-0005-0000-0000-00003A570000}"/>
    <cellStyle name="Normal 2 2 4 2 2 12 2 10" xfId="22331" xr:uid="{00000000-0005-0000-0000-00003B570000}"/>
    <cellStyle name="Normal 2 2 4 2 2 12 2 2" xfId="22332" xr:uid="{00000000-0005-0000-0000-00003C570000}"/>
    <cellStyle name="Normal 2 2 4 2 2 12 2 3" xfId="22333" xr:uid="{00000000-0005-0000-0000-00003D570000}"/>
    <cellStyle name="Normal 2 2 4 2 2 12 2 4" xfId="22334" xr:uid="{00000000-0005-0000-0000-00003E570000}"/>
    <cellStyle name="Normal 2 2 4 2 2 12 2 5" xfId="22335" xr:uid="{00000000-0005-0000-0000-00003F570000}"/>
    <cellStyle name="Normal 2 2 4 2 2 12 2 6" xfId="22336" xr:uid="{00000000-0005-0000-0000-000040570000}"/>
    <cellStyle name="Normal 2 2 4 2 2 12 2 7" xfId="22337" xr:uid="{00000000-0005-0000-0000-000041570000}"/>
    <cellStyle name="Normal 2 2 4 2 2 12 2 8" xfId="22338" xr:uid="{00000000-0005-0000-0000-000042570000}"/>
    <cellStyle name="Normal 2 2 4 2 2 12 2 9" xfId="22339" xr:uid="{00000000-0005-0000-0000-000043570000}"/>
    <cellStyle name="Normal 2 2 4 2 2 12 3" xfId="22340" xr:uid="{00000000-0005-0000-0000-000044570000}"/>
    <cellStyle name="Normal 2 2 4 2 2 12 3 10" xfId="22341" xr:uid="{00000000-0005-0000-0000-000045570000}"/>
    <cellStyle name="Normal 2 2 4 2 2 12 3 2" xfId="22342" xr:uid="{00000000-0005-0000-0000-000046570000}"/>
    <cellStyle name="Normal 2 2 4 2 2 12 3 3" xfId="22343" xr:uid="{00000000-0005-0000-0000-000047570000}"/>
    <cellStyle name="Normal 2 2 4 2 2 12 3 4" xfId="22344" xr:uid="{00000000-0005-0000-0000-000048570000}"/>
    <cellStyle name="Normal 2 2 4 2 2 12 3 5" xfId="22345" xr:uid="{00000000-0005-0000-0000-000049570000}"/>
    <cellStyle name="Normal 2 2 4 2 2 12 3 6" xfId="22346" xr:uid="{00000000-0005-0000-0000-00004A570000}"/>
    <cellStyle name="Normal 2 2 4 2 2 12 3 7" xfId="22347" xr:uid="{00000000-0005-0000-0000-00004B570000}"/>
    <cellStyle name="Normal 2 2 4 2 2 12 3 8" xfId="22348" xr:uid="{00000000-0005-0000-0000-00004C570000}"/>
    <cellStyle name="Normal 2 2 4 2 2 12 3 9" xfId="22349" xr:uid="{00000000-0005-0000-0000-00004D570000}"/>
    <cellStyle name="Normal 2 2 4 2 2 12 4" xfId="22350" xr:uid="{00000000-0005-0000-0000-00004E570000}"/>
    <cellStyle name="Normal 2 2 4 2 2 12 4 10" xfId="22351" xr:uid="{00000000-0005-0000-0000-00004F570000}"/>
    <cellStyle name="Normal 2 2 4 2 2 12 4 2" xfId="22352" xr:uid="{00000000-0005-0000-0000-000050570000}"/>
    <cellStyle name="Normal 2 2 4 2 2 12 4 3" xfId="22353" xr:uid="{00000000-0005-0000-0000-000051570000}"/>
    <cellStyle name="Normal 2 2 4 2 2 12 4 4" xfId="22354" xr:uid="{00000000-0005-0000-0000-000052570000}"/>
    <cellStyle name="Normal 2 2 4 2 2 12 4 5" xfId="22355" xr:uid="{00000000-0005-0000-0000-000053570000}"/>
    <cellStyle name="Normal 2 2 4 2 2 12 4 6" xfId="22356" xr:uid="{00000000-0005-0000-0000-000054570000}"/>
    <cellStyle name="Normal 2 2 4 2 2 12 4 7" xfId="22357" xr:uid="{00000000-0005-0000-0000-000055570000}"/>
    <cellStyle name="Normal 2 2 4 2 2 12 4 8" xfId="22358" xr:uid="{00000000-0005-0000-0000-000056570000}"/>
    <cellStyle name="Normal 2 2 4 2 2 12 4 9" xfId="22359" xr:uid="{00000000-0005-0000-0000-000057570000}"/>
    <cellStyle name="Normal 2 2 4 2 2 12 5" xfId="22360" xr:uid="{00000000-0005-0000-0000-000058570000}"/>
    <cellStyle name="Normal 2 2 4 2 2 12 5 10" xfId="22361" xr:uid="{00000000-0005-0000-0000-000059570000}"/>
    <cellStyle name="Normal 2 2 4 2 2 12 5 2" xfId="22362" xr:uid="{00000000-0005-0000-0000-00005A570000}"/>
    <cellStyle name="Normal 2 2 4 2 2 12 5 3" xfId="22363" xr:uid="{00000000-0005-0000-0000-00005B570000}"/>
    <cellStyle name="Normal 2 2 4 2 2 12 5 4" xfId="22364" xr:uid="{00000000-0005-0000-0000-00005C570000}"/>
    <cellStyle name="Normal 2 2 4 2 2 12 5 5" xfId="22365" xr:uid="{00000000-0005-0000-0000-00005D570000}"/>
    <cellStyle name="Normal 2 2 4 2 2 12 5 6" xfId="22366" xr:uid="{00000000-0005-0000-0000-00005E570000}"/>
    <cellStyle name="Normal 2 2 4 2 2 12 5 7" xfId="22367" xr:uid="{00000000-0005-0000-0000-00005F570000}"/>
    <cellStyle name="Normal 2 2 4 2 2 12 5 8" xfId="22368" xr:uid="{00000000-0005-0000-0000-000060570000}"/>
    <cellStyle name="Normal 2 2 4 2 2 12 5 9" xfId="22369" xr:uid="{00000000-0005-0000-0000-000061570000}"/>
    <cellStyle name="Normal 2 2 4 2 2 12 6" xfId="22370" xr:uid="{00000000-0005-0000-0000-000062570000}"/>
    <cellStyle name="Normal 2 2 4 2 2 12 7" xfId="22371" xr:uid="{00000000-0005-0000-0000-000063570000}"/>
    <cellStyle name="Normal 2 2 4 2 2 12 8" xfId="22372" xr:uid="{00000000-0005-0000-0000-000064570000}"/>
    <cellStyle name="Normal 2 2 4 2 2 12 9" xfId="22373" xr:uid="{00000000-0005-0000-0000-000065570000}"/>
    <cellStyle name="Normal 2 2 4 2 2 13" xfId="22374" xr:uid="{00000000-0005-0000-0000-000066570000}"/>
    <cellStyle name="Normal 2 2 4 2 2 13 10" xfId="22375" xr:uid="{00000000-0005-0000-0000-000067570000}"/>
    <cellStyle name="Normal 2 2 4 2 2 13 11" xfId="22376" xr:uid="{00000000-0005-0000-0000-000068570000}"/>
    <cellStyle name="Normal 2 2 4 2 2 13 12" xfId="22377" xr:uid="{00000000-0005-0000-0000-000069570000}"/>
    <cellStyle name="Normal 2 2 4 2 2 13 13" xfId="22378" xr:uid="{00000000-0005-0000-0000-00006A570000}"/>
    <cellStyle name="Normal 2 2 4 2 2 13 14" xfId="22379" xr:uid="{00000000-0005-0000-0000-00006B570000}"/>
    <cellStyle name="Normal 2 2 4 2 2 13 2" xfId="22380" xr:uid="{00000000-0005-0000-0000-00006C570000}"/>
    <cellStyle name="Normal 2 2 4 2 2 13 2 10" xfId="22381" xr:uid="{00000000-0005-0000-0000-00006D570000}"/>
    <cellStyle name="Normal 2 2 4 2 2 13 2 2" xfId="22382" xr:uid="{00000000-0005-0000-0000-00006E570000}"/>
    <cellStyle name="Normal 2 2 4 2 2 13 2 3" xfId="22383" xr:uid="{00000000-0005-0000-0000-00006F570000}"/>
    <cellStyle name="Normal 2 2 4 2 2 13 2 4" xfId="22384" xr:uid="{00000000-0005-0000-0000-000070570000}"/>
    <cellStyle name="Normal 2 2 4 2 2 13 2 5" xfId="22385" xr:uid="{00000000-0005-0000-0000-000071570000}"/>
    <cellStyle name="Normal 2 2 4 2 2 13 2 6" xfId="22386" xr:uid="{00000000-0005-0000-0000-000072570000}"/>
    <cellStyle name="Normal 2 2 4 2 2 13 2 7" xfId="22387" xr:uid="{00000000-0005-0000-0000-000073570000}"/>
    <cellStyle name="Normal 2 2 4 2 2 13 2 8" xfId="22388" xr:uid="{00000000-0005-0000-0000-000074570000}"/>
    <cellStyle name="Normal 2 2 4 2 2 13 2 9" xfId="22389" xr:uid="{00000000-0005-0000-0000-000075570000}"/>
    <cellStyle name="Normal 2 2 4 2 2 13 3" xfId="22390" xr:uid="{00000000-0005-0000-0000-000076570000}"/>
    <cellStyle name="Normal 2 2 4 2 2 13 3 10" xfId="22391" xr:uid="{00000000-0005-0000-0000-000077570000}"/>
    <cellStyle name="Normal 2 2 4 2 2 13 3 2" xfId="22392" xr:uid="{00000000-0005-0000-0000-000078570000}"/>
    <cellStyle name="Normal 2 2 4 2 2 13 3 3" xfId="22393" xr:uid="{00000000-0005-0000-0000-000079570000}"/>
    <cellStyle name="Normal 2 2 4 2 2 13 3 4" xfId="22394" xr:uid="{00000000-0005-0000-0000-00007A570000}"/>
    <cellStyle name="Normal 2 2 4 2 2 13 3 5" xfId="22395" xr:uid="{00000000-0005-0000-0000-00007B570000}"/>
    <cellStyle name="Normal 2 2 4 2 2 13 3 6" xfId="22396" xr:uid="{00000000-0005-0000-0000-00007C570000}"/>
    <cellStyle name="Normal 2 2 4 2 2 13 3 7" xfId="22397" xr:uid="{00000000-0005-0000-0000-00007D570000}"/>
    <cellStyle name="Normal 2 2 4 2 2 13 3 8" xfId="22398" xr:uid="{00000000-0005-0000-0000-00007E570000}"/>
    <cellStyle name="Normal 2 2 4 2 2 13 3 9" xfId="22399" xr:uid="{00000000-0005-0000-0000-00007F570000}"/>
    <cellStyle name="Normal 2 2 4 2 2 13 4" xfId="22400" xr:uid="{00000000-0005-0000-0000-000080570000}"/>
    <cellStyle name="Normal 2 2 4 2 2 13 4 10" xfId="22401" xr:uid="{00000000-0005-0000-0000-000081570000}"/>
    <cellStyle name="Normal 2 2 4 2 2 13 4 2" xfId="22402" xr:uid="{00000000-0005-0000-0000-000082570000}"/>
    <cellStyle name="Normal 2 2 4 2 2 13 4 3" xfId="22403" xr:uid="{00000000-0005-0000-0000-000083570000}"/>
    <cellStyle name="Normal 2 2 4 2 2 13 4 4" xfId="22404" xr:uid="{00000000-0005-0000-0000-000084570000}"/>
    <cellStyle name="Normal 2 2 4 2 2 13 4 5" xfId="22405" xr:uid="{00000000-0005-0000-0000-000085570000}"/>
    <cellStyle name="Normal 2 2 4 2 2 13 4 6" xfId="22406" xr:uid="{00000000-0005-0000-0000-000086570000}"/>
    <cellStyle name="Normal 2 2 4 2 2 13 4 7" xfId="22407" xr:uid="{00000000-0005-0000-0000-000087570000}"/>
    <cellStyle name="Normal 2 2 4 2 2 13 4 8" xfId="22408" xr:uid="{00000000-0005-0000-0000-000088570000}"/>
    <cellStyle name="Normal 2 2 4 2 2 13 4 9" xfId="22409" xr:uid="{00000000-0005-0000-0000-000089570000}"/>
    <cellStyle name="Normal 2 2 4 2 2 13 5" xfId="22410" xr:uid="{00000000-0005-0000-0000-00008A570000}"/>
    <cellStyle name="Normal 2 2 4 2 2 13 5 10" xfId="22411" xr:uid="{00000000-0005-0000-0000-00008B570000}"/>
    <cellStyle name="Normal 2 2 4 2 2 13 5 2" xfId="22412" xr:uid="{00000000-0005-0000-0000-00008C570000}"/>
    <cellStyle name="Normal 2 2 4 2 2 13 5 3" xfId="22413" xr:uid="{00000000-0005-0000-0000-00008D570000}"/>
    <cellStyle name="Normal 2 2 4 2 2 13 5 4" xfId="22414" xr:uid="{00000000-0005-0000-0000-00008E570000}"/>
    <cellStyle name="Normal 2 2 4 2 2 13 5 5" xfId="22415" xr:uid="{00000000-0005-0000-0000-00008F570000}"/>
    <cellStyle name="Normal 2 2 4 2 2 13 5 6" xfId="22416" xr:uid="{00000000-0005-0000-0000-000090570000}"/>
    <cellStyle name="Normal 2 2 4 2 2 13 5 7" xfId="22417" xr:uid="{00000000-0005-0000-0000-000091570000}"/>
    <cellStyle name="Normal 2 2 4 2 2 13 5 8" xfId="22418" xr:uid="{00000000-0005-0000-0000-000092570000}"/>
    <cellStyle name="Normal 2 2 4 2 2 13 5 9" xfId="22419" xr:uid="{00000000-0005-0000-0000-000093570000}"/>
    <cellStyle name="Normal 2 2 4 2 2 13 6" xfId="22420" xr:uid="{00000000-0005-0000-0000-000094570000}"/>
    <cellStyle name="Normal 2 2 4 2 2 13 7" xfId="22421" xr:uid="{00000000-0005-0000-0000-000095570000}"/>
    <cellStyle name="Normal 2 2 4 2 2 13 8" xfId="22422" xr:uid="{00000000-0005-0000-0000-000096570000}"/>
    <cellStyle name="Normal 2 2 4 2 2 13 9" xfId="22423" xr:uid="{00000000-0005-0000-0000-000097570000}"/>
    <cellStyle name="Normal 2 2 4 2 2 14" xfId="22424" xr:uid="{00000000-0005-0000-0000-000098570000}"/>
    <cellStyle name="Normal 2 2 4 2 2 14 10" xfId="22425" xr:uid="{00000000-0005-0000-0000-000099570000}"/>
    <cellStyle name="Normal 2 2 4 2 2 14 11" xfId="22426" xr:uid="{00000000-0005-0000-0000-00009A570000}"/>
    <cellStyle name="Normal 2 2 4 2 2 14 12" xfId="22427" xr:uid="{00000000-0005-0000-0000-00009B570000}"/>
    <cellStyle name="Normal 2 2 4 2 2 14 13" xfId="22428" xr:uid="{00000000-0005-0000-0000-00009C570000}"/>
    <cellStyle name="Normal 2 2 4 2 2 14 14" xfId="22429" xr:uid="{00000000-0005-0000-0000-00009D570000}"/>
    <cellStyle name="Normal 2 2 4 2 2 14 2" xfId="22430" xr:uid="{00000000-0005-0000-0000-00009E570000}"/>
    <cellStyle name="Normal 2 2 4 2 2 14 2 10" xfId="22431" xr:uid="{00000000-0005-0000-0000-00009F570000}"/>
    <cellStyle name="Normal 2 2 4 2 2 14 2 2" xfId="22432" xr:uid="{00000000-0005-0000-0000-0000A0570000}"/>
    <cellStyle name="Normal 2 2 4 2 2 14 2 3" xfId="22433" xr:uid="{00000000-0005-0000-0000-0000A1570000}"/>
    <cellStyle name="Normal 2 2 4 2 2 14 2 4" xfId="22434" xr:uid="{00000000-0005-0000-0000-0000A2570000}"/>
    <cellStyle name="Normal 2 2 4 2 2 14 2 5" xfId="22435" xr:uid="{00000000-0005-0000-0000-0000A3570000}"/>
    <cellStyle name="Normal 2 2 4 2 2 14 2 6" xfId="22436" xr:uid="{00000000-0005-0000-0000-0000A4570000}"/>
    <cellStyle name="Normal 2 2 4 2 2 14 2 7" xfId="22437" xr:uid="{00000000-0005-0000-0000-0000A5570000}"/>
    <cellStyle name="Normal 2 2 4 2 2 14 2 8" xfId="22438" xr:uid="{00000000-0005-0000-0000-0000A6570000}"/>
    <cellStyle name="Normal 2 2 4 2 2 14 2 9" xfId="22439" xr:uid="{00000000-0005-0000-0000-0000A7570000}"/>
    <cellStyle name="Normal 2 2 4 2 2 14 3" xfId="22440" xr:uid="{00000000-0005-0000-0000-0000A8570000}"/>
    <cellStyle name="Normal 2 2 4 2 2 14 3 10" xfId="22441" xr:uid="{00000000-0005-0000-0000-0000A9570000}"/>
    <cellStyle name="Normal 2 2 4 2 2 14 3 2" xfId="22442" xr:uid="{00000000-0005-0000-0000-0000AA570000}"/>
    <cellStyle name="Normal 2 2 4 2 2 14 3 3" xfId="22443" xr:uid="{00000000-0005-0000-0000-0000AB570000}"/>
    <cellStyle name="Normal 2 2 4 2 2 14 3 4" xfId="22444" xr:uid="{00000000-0005-0000-0000-0000AC570000}"/>
    <cellStyle name="Normal 2 2 4 2 2 14 3 5" xfId="22445" xr:uid="{00000000-0005-0000-0000-0000AD570000}"/>
    <cellStyle name="Normal 2 2 4 2 2 14 3 6" xfId="22446" xr:uid="{00000000-0005-0000-0000-0000AE570000}"/>
    <cellStyle name="Normal 2 2 4 2 2 14 3 7" xfId="22447" xr:uid="{00000000-0005-0000-0000-0000AF570000}"/>
    <cellStyle name="Normal 2 2 4 2 2 14 3 8" xfId="22448" xr:uid="{00000000-0005-0000-0000-0000B0570000}"/>
    <cellStyle name="Normal 2 2 4 2 2 14 3 9" xfId="22449" xr:uid="{00000000-0005-0000-0000-0000B1570000}"/>
    <cellStyle name="Normal 2 2 4 2 2 14 4" xfId="22450" xr:uid="{00000000-0005-0000-0000-0000B2570000}"/>
    <cellStyle name="Normal 2 2 4 2 2 14 4 10" xfId="22451" xr:uid="{00000000-0005-0000-0000-0000B3570000}"/>
    <cellStyle name="Normal 2 2 4 2 2 14 4 2" xfId="22452" xr:uid="{00000000-0005-0000-0000-0000B4570000}"/>
    <cellStyle name="Normal 2 2 4 2 2 14 4 3" xfId="22453" xr:uid="{00000000-0005-0000-0000-0000B5570000}"/>
    <cellStyle name="Normal 2 2 4 2 2 14 4 4" xfId="22454" xr:uid="{00000000-0005-0000-0000-0000B6570000}"/>
    <cellStyle name="Normal 2 2 4 2 2 14 4 5" xfId="22455" xr:uid="{00000000-0005-0000-0000-0000B7570000}"/>
    <cellStyle name="Normal 2 2 4 2 2 14 4 6" xfId="22456" xr:uid="{00000000-0005-0000-0000-0000B8570000}"/>
    <cellStyle name="Normal 2 2 4 2 2 14 4 7" xfId="22457" xr:uid="{00000000-0005-0000-0000-0000B9570000}"/>
    <cellStyle name="Normal 2 2 4 2 2 14 4 8" xfId="22458" xr:uid="{00000000-0005-0000-0000-0000BA570000}"/>
    <cellStyle name="Normal 2 2 4 2 2 14 4 9" xfId="22459" xr:uid="{00000000-0005-0000-0000-0000BB570000}"/>
    <cellStyle name="Normal 2 2 4 2 2 14 5" xfId="22460" xr:uid="{00000000-0005-0000-0000-0000BC570000}"/>
    <cellStyle name="Normal 2 2 4 2 2 14 5 10" xfId="22461" xr:uid="{00000000-0005-0000-0000-0000BD570000}"/>
    <cellStyle name="Normal 2 2 4 2 2 14 5 2" xfId="22462" xr:uid="{00000000-0005-0000-0000-0000BE570000}"/>
    <cellStyle name="Normal 2 2 4 2 2 14 5 3" xfId="22463" xr:uid="{00000000-0005-0000-0000-0000BF570000}"/>
    <cellStyle name="Normal 2 2 4 2 2 14 5 4" xfId="22464" xr:uid="{00000000-0005-0000-0000-0000C0570000}"/>
    <cellStyle name="Normal 2 2 4 2 2 14 5 5" xfId="22465" xr:uid="{00000000-0005-0000-0000-0000C1570000}"/>
    <cellStyle name="Normal 2 2 4 2 2 14 5 6" xfId="22466" xr:uid="{00000000-0005-0000-0000-0000C2570000}"/>
    <cellStyle name="Normal 2 2 4 2 2 14 5 7" xfId="22467" xr:uid="{00000000-0005-0000-0000-0000C3570000}"/>
    <cellStyle name="Normal 2 2 4 2 2 14 5 8" xfId="22468" xr:uid="{00000000-0005-0000-0000-0000C4570000}"/>
    <cellStyle name="Normal 2 2 4 2 2 14 5 9" xfId="22469" xr:uid="{00000000-0005-0000-0000-0000C5570000}"/>
    <cellStyle name="Normal 2 2 4 2 2 14 6" xfId="22470" xr:uid="{00000000-0005-0000-0000-0000C6570000}"/>
    <cellStyle name="Normal 2 2 4 2 2 14 7" xfId="22471" xr:uid="{00000000-0005-0000-0000-0000C7570000}"/>
    <cellStyle name="Normal 2 2 4 2 2 14 8" xfId="22472" xr:uid="{00000000-0005-0000-0000-0000C8570000}"/>
    <cellStyle name="Normal 2 2 4 2 2 14 9" xfId="22473" xr:uid="{00000000-0005-0000-0000-0000C9570000}"/>
    <cellStyle name="Normal 2 2 4 2 2 15" xfId="22474" xr:uid="{00000000-0005-0000-0000-0000CA570000}"/>
    <cellStyle name="Normal 2 2 4 2 2 15 10" xfId="22475" xr:uid="{00000000-0005-0000-0000-0000CB570000}"/>
    <cellStyle name="Normal 2 2 4 2 2 15 11" xfId="22476" xr:uid="{00000000-0005-0000-0000-0000CC570000}"/>
    <cellStyle name="Normal 2 2 4 2 2 15 12" xfId="22477" xr:uid="{00000000-0005-0000-0000-0000CD570000}"/>
    <cellStyle name="Normal 2 2 4 2 2 15 13" xfId="22478" xr:uid="{00000000-0005-0000-0000-0000CE570000}"/>
    <cellStyle name="Normal 2 2 4 2 2 15 14" xfId="22479" xr:uid="{00000000-0005-0000-0000-0000CF570000}"/>
    <cellStyle name="Normal 2 2 4 2 2 15 2" xfId="22480" xr:uid="{00000000-0005-0000-0000-0000D0570000}"/>
    <cellStyle name="Normal 2 2 4 2 2 15 2 10" xfId="22481" xr:uid="{00000000-0005-0000-0000-0000D1570000}"/>
    <cellStyle name="Normal 2 2 4 2 2 15 2 2" xfId="22482" xr:uid="{00000000-0005-0000-0000-0000D2570000}"/>
    <cellStyle name="Normal 2 2 4 2 2 15 2 3" xfId="22483" xr:uid="{00000000-0005-0000-0000-0000D3570000}"/>
    <cellStyle name="Normal 2 2 4 2 2 15 2 4" xfId="22484" xr:uid="{00000000-0005-0000-0000-0000D4570000}"/>
    <cellStyle name="Normal 2 2 4 2 2 15 2 5" xfId="22485" xr:uid="{00000000-0005-0000-0000-0000D5570000}"/>
    <cellStyle name="Normal 2 2 4 2 2 15 2 6" xfId="22486" xr:uid="{00000000-0005-0000-0000-0000D6570000}"/>
    <cellStyle name="Normal 2 2 4 2 2 15 2 7" xfId="22487" xr:uid="{00000000-0005-0000-0000-0000D7570000}"/>
    <cellStyle name="Normal 2 2 4 2 2 15 2 8" xfId="22488" xr:uid="{00000000-0005-0000-0000-0000D8570000}"/>
    <cellStyle name="Normal 2 2 4 2 2 15 2 9" xfId="22489" xr:uid="{00000000-0005-0000-0000-0000D9570000}"/>
    <cellStyle name="Normal 2 2 4 2 2 15 3" xfId="22490" xr:uid="{00000000-0005-0000-0000-0000DA570000}"/>
    <cellStyle name="Normal 2 2 4 2 2 15 3 10" xfId="22491" xr:uid="{00000000-0005-0000-0000-0000DB570000}"/>
    <cellStyle name="Normal 2 2 4 2 2 15 3 2" xfId="22492" xr:uid="{00000000-0005-0000-0000-0000DC570000}"/>
    <cellStyle name="Normal 2 2 4 2 2 15 3 3" xfId="22493" xr:uid="{00000000-0005-0000-0000-0000DD570000}"/>
    <cellStyle name="Normal 2 2 4 2 2 15 3 4" xfId="22494" xr:uid="{00000000-0005-0000-0000-0000DE570000}"/>
    <cellStyle name="Normal 2 2 4 2 2 15 3 5" xfId="22495" xr:uid="{00000000-0005-0000-0000-0000DF570000}"/>
    <cellStyle name="Normal 2 2 4 2 2 15 3 6" xfId="22496" xr:uid="{00000000-0005-0000-0000-0000E0570000}"/>
    <cellStyle name="Normal 2 2 4 2 2 15 3 7" xfId="22497" xr:uid="{00000000-0005-0000-0000-0000E1570000}"/>
    <cellStyle name="Normal 2 2 4 2 2 15 3 8" xfId="22498" xr:uid="{00000000-0005-0000-0000-0000E2570000}"/>
    <cellStyle name="Normal 2 2 4 2 2 15 3 9" xfId="22499" xr:uid="{00000000-0005-0000-0000-0000E3570000}"/>
    <cellStyle name="Normal 2 2 4 2 2 15 4" xfId="22500" xr:uid="{00000000-0005-0000-0000-0000E4570000}"/>
    <cellStyle name="Normal 2 2 4 2 2 15 4 10" xfId="22501" xr:uid="{00000000-0005-0000-0000-0000E5570000}"/>
    <cellStyle name="Normal 2 2 4 2 2 15 4 2" xfId="22502" xr:uid="{00000000-0005-0000-0000-0000E6570000}"/>
    <cellStyle name="Normal 2 2 4 2 2 15 4 3" xfId="22503" xr:uid="{00000000-0005-0000-0000-0000E7570000}"/>
    <cellStyle name="Normal 2 2 4 2 2 15 4 4" xfId="22504" xr:uid="{00000000-0005-0000-0000-0000E8570000}"/>
    <cellStyle name="Normal 2 2 4 2 2 15 4 5" xfId="22505" xr:uid="{00000000-0005-0000-0000-0000E9570000}"/>
    <cellStyle name="Normal 2 2 4 2 2 15 4 6" xfId="22506" xr:uid="{00000000-0005-0000-0000-0000EA570000}"/>
    <cellStyle name="Normal 2 2 4 2 2 15 4 7" xfId="22507" xr:uid="{00000000-0005-0000-0000-0000EB570000}"/>
    <cellStyle name="Normal 2 2 4 2 2 15 4 8" xfId="22508" xr:uid="{00000000-0005-0000-0000-0000EC570000}"/>
    <cellStyle name="Normal 2 2 4 2 2 15 4 9" xfId="22509" xr:uid="{00000000-0005-0000-0000-0000ED570000}"/>
    <cellStyle name="Normal 2 2 4 2 2 15 5" xfId="22510" xr:uid="{00000000-0005-0000-0000-0000EE570000}"/>
    <cellStyle name="Normal 2 2 4 2 2 15 5 10" xfId="22511" xr:uid="{00000000-0005-0000-0000-0000EF570000}"/>
    <cellStyle name="Normal 2 2 4 2 2 15 5 2" xfId="22512" xr:uid="{00000000-0005-0000-0000-0000F0570000}"/>
    <cellStyle name="Normal 2 2 4 2 2 15 5 3" xfId="22513" xr:uid="{00000000-0005-0000-0000-0000F1570000}"/>
    <cellStyle name="Normal 2 2 4 2 2 15 5 4" xfId="22514" xr:uid="{00000000-0005-0000-0000-0000F2570000}"/>
    <cellStyle name="Normal 2 2 4 2 2 15 5 5" xfId="22515" xr:uid="{00000000-0005-0000-0000-0000F3570000}"/>
    <cellStyle name="Normal 2 2 4 2 2 15 5 6" xfId="22516" xr:uid="{00000000-0005-0000-0000-0000F4570000}"/>
    <cellStyle name="Normal 2 2 4 2 2 15 5 7" xfId="22517" xr:uid="{00000000-0005-0000-0000-0000F5570000}"/>
    <cellStyle name="Normal 2 2 4 2 2 15 5 8" xfId="22518" xr:uid="{00000000-0005-0000-0000-0000F6570000}"/>
    <cellStyle name="Normal 2 2 4 2 2 15 5 9" xfId="22519" xr:uid="{00000000-0005-0000-0000-0000F7570000}"/>
    <cellStyle name="Normal 2 2 4 2 2 15 6" xfId="22520" xr:uid="{00000000-0005-0000-0000-0000F8570000}"/>
    <cellStyle name="Normal 2 2 4 2 2 15 7" xfId="22521" xr:uid="{00000000-0005-0000-0000-0000F9570000}"/>
    <cellStyle name="Normal 2 2 4 2 2 15 8" xfId="22522" xr:uid="{00000000-0005-0000-0000-0000FA570000}"/>
    <cellStyle name="Normal 2 2 4 2 2 15 9" xfId="22523" xr:uid="{00000000-0005-0000-0000-0000FB570000}"/>
    <cellStyle name="Normal 2 2 4 2 2 16" xfId="22524" xr:uid="{00000000-0005-0000-0000-0000FC570000}"/>
    <cellStyle name="Normal 2 2 4 2 2 16 10" xfId="22525" xr:uid="{00000000-0005-0000-0000-0000FD570000}"/>
    <cellStyle name="Normal 2 2 4 2 2 16 11" xfId="22526" xr:uid="{00000000-0005-0000-0000-0000FE570000}"/>
    <cellStyle name="Normal 2 2 4 2 2 16 12" xfId="22527" xr:uid="{00000000-0005-0000-0000-0000FF570000}"/>
    <cellStyle name="Normal 2 2 4 2 2 16 13" xfId="22528" xr:uid="{00000000-0005-0000-0000-000000580000}"/>
    <cellStyle name="Normal 2 2 4 2 2 16 14" xfId="22529" xr:uid="{00000000-0005-0000-0000-000001580000}"/>
    <cellStyle name="Normal 2 2 4 2 2 16 2" xfId="22530" xr:uid="{00000000-0005-0000-0000-000002580000}"/>
    <cellStyle name="Normal 2 2 4 2 2 16 2 10" xfId="22531" xr:uid="{00000000-0005-0000-0000-000003580000}"/>
    <cellStyle name="Normal 2 2 4 2 2 16 2 2" xfId="22532" xr:uid="{00000000-0005-0000-0000-000004580000}"/>
    <cellStyle name="Normal 2 2 4 2 2 16 2 3" xfId="22533" xr:uid="{00000000-0005-0000-0000-000005580000}"/>
    <cellStyle name="Normal 2 2 4 2 2 16 2 4" xfId="22534" xr:uid="{00000000-0005-0000-0000-000006580000}"/>
    <cellStyle name="Normal 2 2 4 2 2 16 2 5" xfId="22535" xr:uid="{00000000-0005-0000-0000-000007580000}"/>
    <cellStyle name="Normal 2 2 4 2 2 16 2 6" xfId="22536" xr:uid="{00000000-0005-0000-0000-000008580000}"/>
    <cellStyle name="Normal 2 2 4 2 2 16 2 7" xfId="22537" xr:uid="{00000000-0005-0000-0000-000009580000}"/>
    <cellStyle name="Normal 2 2 4 2 2 16 2 8" xfId="22538" xr:uid="{00000000-0005-0000-0000-00000A580000}"/>
    <cellStyle name="Normal 2 2 4 2 2 16 2 9" xfId="22539" xr:uid="{00000000-0005-0000-0000-00000B580000}"/>
    <cellStyle name="Normal 2 2 4 2 2 16 3" xfId="22540" xr:uid="{00000000-0005-0000-0000-00000C580000}"/>
    <cellStyle name="Normal 2 2 4 2 2 16 3 10" xfId="22541" xr:uid="{00000000-0005-0000-0000-00000D580000}"/>
    <cellStyle name="Normal 2 2 4 2 2 16 3 2" xfId="22542" xr:uid="{00000000-0005-0000-0000-00000E580000}"/>
    <cellStyle name="Normal 2 2 4 2 2 16 3 3" xfId="22543" xr:uid="{00000000-0005-0000-0000-00000F580000}"/>
    <cellStyle name="Normal 2 2 4 2 2 16 3 4" xfId="22544" xr:uid="{00000000-0005-0000-0000-000010580000}"/>
    <cellStyle name="Normal 2 2 4 2 2 16 3 5" xfId="22545" xr:uid="{00000000-0005-0000-0000-000011580000}"/>
    <cellStyle name="Normal 2 2 4 2 2 16 3 6" xfId="22546" xr:uid="{00000000-0005-0000-0000-000012580000}"/>
    <cellStyle name="Normal 2 2 4 2 2 16 3 7" xfId="22547" xr:uid="{00000000-0005-0000-0000-000013580000}"/>
    <cellStyle name="Normal 2 2 4 2 2 16 3 8" xfId="22548" xr:uid="{00000000-0005-0000-0000-000014580000}"/>
    <cellStyle name="Normal 2 2 4 2 2 16 3 9" xfId="22549" xr:uid="{00000000-0005-0000-0000-000015580000}"/>
    <cellStyle name="Normal 2 2 4 2 2 16 4" xfId="22550" xr:uid="{00000000-0005-0000-0000-000016580000}"/>
    <cellStyle name="Normal 2 2 4 2 2 16 4 10" xfId="22551" xr:uid="{00000000-0005-0000-0000-000017580000}"/>
    <cellStyle name="Normal 2 2 4 2 2 16 4 2" xfId="22552" xr:uid="{00000000-0005-0000-0000-000018580000}"/>
    <cellStyle name="Normal 2 2 4 2 2 16 4 3" xfId="22553" xr:uid="{00000000-0005-0000-0000-000019580000}"/>
    <cellStyle name="Normal 2 2 4 2 2 16 4 4" xfId="22554" xr:uid="{00000000-0005-0000-0000-00001A580000}"/>
    <cellStyle name="Normal 2 2 4 2 2 16 4 5" xfId="22555" xr:uid="{00000000-0005-0000-0000-00001B580000}"/>
    <cellStyle name="Normal 2 2 4 2 2 16 4 6" xfId="22556" xr:uid="{00000000-0005-0000-0000-00001C580000}"/>
    <cellStyle name="Normal 2 2 4 2 2 16 4 7" xfId="22557" xr:uid="{00000000-0005-0000-0000-00001D580000}"/>
    <cellStyle name="Normal 2 2 4 2 2 16 4 8" xfId="22558" xr:uid="{00000000-0005-0000-0000-00001E580000}"/>
    <cellStyle name="Normal 2 2 4 2 2 16 4 9" xfId="22559" xr:uid="{00000000-0005-0000-0000-00001F580000}"/>
    <cellStyle name="Normal 2 2 4 2 2 16 5" xfId="22560" xr:uid="{00000000-0005-0000-0000-000020580000}"/>
    <cellStyle name="Normal 2 2 4 2 2 16 5 10" xfId="22561" xr:uid="{00000000-0005-0000-0000-000021580000}"/>
    <cellStyle name="Normal 2 2 4 2 2 16 5 2" xfId="22562" xr:uid="{00000000-0005-0000-0000-000022580000}"/>
    <cellStyle name="Normal 2 2 4 2 2 16 5 3" xfId="22563" xr:uid="{00000000-0005-0000-0000-000023580000}"/>
    <cellStyle name="Normal 2 2 4 2 2 16 5 4" xfId="22564" xr:uid="{00000000-0005-0000-0000-000024580000}"/>
    <cellStyle name="Normal 2 2 4 2 2 16 5 5" xfId="22565" xr:uid="{00000000-0005-0000-0000-000025580000}"/>
    <cellStyle name="Normal 2 2 4 2 2 16 5 6" xfId="22566" xr:uid="{00000000-0005-0000-0000-000026580000}"/>
    <cellStyle name="Normal 2 2 4 2 2 16 5 7" xfId="22567" xr:uid="{00000000-0005-0000-0000-000027580000}"/>
    <cellStyle name="Normal 2 2 4 2 2 16 5 8" xfId="22568" xr:uid="{00000000-0005-0000-0000-000028580000}"/>
    <cellStyle name="Normal 2 2 4 2 2 16 5 9" xfId="22569" xr:uid="{00000000-0005-0000-0000-000029580000}"/>
    <cellStyle name="Normal 2 2 4 2 2 16 6" xfId="22570" xr:uid="{00000000-0005-0000-0000-00002A580000}"/>
    <cellStyle name="Normal 2 2 4 2 2 16 7" xfId="22571" xr:uid="{00000000-0005-0000-0000-00002B580000}"/>
    <cellStyle name="Normal 2 2 4 2 2 16 8" xfId="22572" xr:uid="{00000000-0005-0000-0000-00002C580000}"/>
    <cellStyle name="Normal 2 2 4 2 2 16 9" xfId="22573" xr:uid="{00000000-0005-0000-0000-00002D580000}"/>
    <cellStyle name="Normal 2 2 4 2 2 17" xfId="22574" xr:uid="{00000000-0005-0000-0000-00002E580000}"/>
    <cellStyle name="Normal 2 2 4 2 2 17 10" xfId="22575" xr:uid="{00000000-0005-0000-0000-00002F580000}"/>
    <cellStyle name="Normal 2 2 4 2 2 17 11" xfId="22576" xr:uid="{00000000-0005-0000-0000-000030580000}"/>
    <cellStyle name="Normal 2 2 4 2 2 17 12" xfId="22577" xr:uid="{00000000-0005-0000-0000-000031580000}"/>
    <cellStyle name="Normal 2 2 4 2 2 17 13" xfId="22578" xr:uid="{00000000-0005-0000-0000-000032580000}"/>
    <cellStyle name="Normal 2 2 4 2 2 17 14" xfId="22579" xr:uid="{00000000-0005-0000-0000-000033580000}"/>
    <cellStyle name="Normal 2 2 4 2 2 17 2" xfId="22580" xr:uid="{00000000-0005-0000-0000-000034580000}"/>
    <cellStyle name="Normal 2 2 4 2 2 17 2 10" xfId="22581" xr:uid="{00000000-0005-0000-0000-000035580000}"/>
    <cellStyle name="Normal 2 2 4 2 2 17 2 2" xfId="22582" xr:uid="{00000000-0005-0000-0000-000036580000}"/>
    <cellStyle name="Normal 2 2 4 2 2 17 2 3" xfId="22583" xr:uid="{00000000-0005-0000-0000-000037580000}"/>
    <cellStyle name="Normal 2 2 4 2 2 17 2 4" xfId="22584" xr:uid="{00000000-0005-0000-0000-000038580000}"/>
    <cellStyle name="Normal 2 2 4 2 2 17 2 5" xfId="22585" xr:uid="{00000000-0005-0000-0000-000039580000}"/>
    <cellStyle name="Normal 2 2 4 2 2 17 2 6" xfId="22586" xr:uid="{00000000-0005-0000-0000-00003A580000}"/>
    <cellStyle name="Normal 2 2 4 2 2 17 2 7" xfId="22587" xr:uid="{00000000-0005-0000-0000-00003B580000}"/>
    <cellStyle name="Normal 2 2 4 2 2 17 2 8" xfId="22588" xr:uid="{00000000-0005-0000-0000-00003C580000}"/>
    <cellStyle name="Normal 2 2 4 2 2 17 2 9" xfId="22589" xr:uid="{00000000-0005-0000-0000-00003D580000}"/>
    <cellStyle name="Normal 2 2 4 2 2 17 3" xfId="22590" xr:uid="{00000000-0005-0000-0000-00003E580000}"/>
    <cellStyle name="Normal 2 2 4 2 2 17 3 10" xfId="22591" xr:uid="{00000000-0005-0000-0000-00003F580000}"/>
    <cellStyle name="Normal 2 2 4 2 2 17 3 2" xfId="22592" xr:uid="{00000000-0005-0000-0000-000040580000}"/>
    <cellStyle name="Normal 2 2 4 2 2 17 3 3" xfId="22593" xr:uid="{00000000-0005-0000-0000-000041580000}"/>
    <cellStyle name="Normal 2 2 4 2 2 17 3 4" xfId="22594" xr:uid="{00000000-0005-0000-0000-000042580000}"/>
    <cellStyle name="Normal 2 2 4 2 2 17 3 5" xfId="22595" xr:uid="{00000000-0005-0000-0000-000043580000}"/>
    <cellStyle name="Normal 2 2 4 2 2 17 3 6" xfId="22596" xr:uid="{00000000-0005-0000-0000-000044580000}"/>
    <cellStyle name="Normal 2 2 4 2 2 17 3 7" xfId="22597" xr:uid="{00000000-0005-0000-0000-000045580000}"/>
    <cellStyle name="Normal 2 2 4 2 2 17 3 8" xfId="22598" xr:uid="{00000000-0005-0000-0000-000046580000}"/>
    <cellStyle name="Normal 2 2 4 2 2 17 3 9" xfId="22599" xr:uid="{00000000-0005-0000-0000-000047580000}"/>
    <cellStyle name="Normal 2 2 4 2 2 17 4" xfId="22600" xr:uid="{00000000-0005-0000-0000-000048580000}"/>
    <cellStyle name="Normal 2 2 4 2 2 17 4 10" xfId="22601" xr:uid="{00000000-0005-0000-0000-000049580000}"/>
    <cellStyle name="Normal 2 2 4 2 2 17 4 2" xfId="22602" xr:uid="{00000000-0005-0000-0000-00004A580000}"/>
    <cellStyle name="Normal 2 2 4 2 2 17 4 3" xfId="22603" xr:uid="{00000000-0005-0000-0000-00004B580000}"/>
    <cellStyle name="Normal 2 2 4 2 2 17 4 4" xfId="22604" xr:uid="{00000000-0005-0000-0000-00004C580000}"/>
    <cellStyle name="Normal 2 2 4 2 2 17 4 5" xfId="22605" xr:uid="{00000000-0005-0000-0000-00004D580000}"/>
    <cellStyle name="Normal 2 2 4 2 2 17 4 6" xfId="22606" xr:uid="{00000000-0005-0000-0000-00004E580000}"/>
    <cellStyle name="Normal 2 2 4 2 2 17 4 7" xfId="22607" xr:uid="{00000000-0005-0000-0000-00004F580000}"/>
    <cellStyle name="Normal 2 2 4 2 2 17 4 8" xfId="22608" xr:uid="{00000000-0005-0000-0000-000050580000}"/>
    <cellStyle name="Normal 2 2 4 2 2 17 4 9" xfId="22609" xr:uid="{00000000-0005-0000-0000-000051580000}"/>
    <cellStyle name="Normal 2 2 4 2 2 17 5" xfId="22610" xr:uid="{00000000-0005-0000-0000-000052580000}"/>
    <cellStyle name="Normal 2 2 4 2 2 17 5 10" xfId="22611" xr:uid="{00000000-0005-0000-0000-000053580000}"/>
    <cellStyle name="Normal 2 2 4 2 2 17 5 2" xfId="22612" xr:uid="{00000000-0005-0000-0000-000054580000}"/>
    <cellStyle name="Normal 2 2 4 2 2 17 5 3" xfId="22613" xr:uid="{00000000-0005-0000-0000-000055580000}"/>
    <cellStyle name="Normal 2 2 4 2 2 17 5 4" xfId="22614" xr:uid="{00000000-0005-0000-0000-000056580000}"/>
    <cellStyle name="Normal 2 2 4 2 2 17 5 5" xfId="22615" xr:uid="{00000000-0005-0000-0000-000057580000}"/>
    <cellStyle name="Normal 2 2 4 2 2 17 5 6" xfId="22616" xr:uid="{00000000-0005-0000-0000-000058580000}"/>
    <cellStyle name="Normal 2 2 4 2 2 17 5 7" xfId="22617" xr:uid="{00000000-0005-0000-0000-000059580000}"/>
    <cellStyle name="Normal 2 2 4 2 2 17 5 8" xfId="22618" xr:uid="{00000000-0005-0000-0000-00005A580000}"/>
    <cellStyle name="Normal 2 2 4 2 2 17 5 9" xfId="22619" xr:uid="{00000000-0005-0000-0000-00005B580000}"/>
    <cellStyle name="Normal 2 2 4 2 2 17 6" xfId="22620" xr:uid="{00000000-0005-0000-0000-00005C580000}"/>
    <cellStyle name="Normal 2 2 4 2 2 17 7" xfId="22621" xr:uid="{00000000-0005-0000-0000-00005D580000}"/>
    <cellStyle name="Normal 2 2 4 2 2 17 8" xfId="22622" xr:uid="{00000000-0005-0000-0000-00005E580000}"/>
    <cellStyle name="Normal 2 2 4 2 2 17 9" xfId="22623" xr:uid="{00000000-0005-0000-0000-00005F580000}"/>
    <cellStyle name="Normal 2 2 4 2 2 18" xfId="22624" xr:uid="{00000000-0005-0000-0000-000060580000}"/>
    <cellStyle name="Normal 2 2 4 2 2 18 10" xfId="22625" xr:uid="{00000000-0005-0000-0000-000061580000}"/>
    <cellStyle name="Normal 2 2 4 2 2 18 11" xfId="22626" xr:uid="{00000000-0005-0000-0000-000062580000}"/>
    <cellStyle name="Normal 2 2 4 2 2 18 12" xfId="22627" xr:uid="{00000000-0005-0000-0000-000063580000}"/>
    <cellStyle name="Normal 2 2 4 2 2 18 13" xfId="22628" xr:uid="{00000000-0005-0000-0000-000064580000}"/>
    <cellStyle name="Normal 2 2 4 2 2 18 14" xfId="22629" xr:uid="{00000000-0005-0000-0000-000065580000}"/>
    <cellStyle name="Normal 2 2 4 2 2 18 2" xfId="22630" xr:uid="{00000000-0005-0000-0000-000066580000}"/>
    <cellStyle name="Normal 2 2 4 2 2 18 2 10" xfId="22631" xr:uid="{00000000-0005-0000-0000-000067580000}"/>
    <cellStyle name="Normal 2 2 4 2 2 18 2 2" xfId="22632" xr:uid="{00000000-0005-0000-0000-000068580000}"/>
    <cellStyle name="Normal 2 2 4 2 2 18 2 3" xfId="22633" xr:uid="{00000000-0005-0000-0000-000069580000}"/>
    <cellStyle name="Normal 2 2 4 2 2 18 2 4" xfId="22634" xr:uid="{00000000-0005-0000-0000-00006A580000}"/>
    <cellStyle name="Normal 2 2 4 2 2 18 2 5" xfId="22635" xr:uid="{00000000-0005-0000-0000-00006B580000}"/>
    <cellStyle name="Normal 2 2 4 2 2 18 2 6" xfId="22636" xr:uid="{00000000-0005-0000-0000-00006C580000}"/>
    <cellStyle name="Normal 2 2 4 2 2 18 2 7" xfId="22637" xr:uid="{00000000-0005-0000-0000-00006D580000}"/>
    <cellStyle name="Normal 2 2 4 2 2 18 2 8" xfId="22638" xr:uid="{00000000-0005-0000-0000-00006E580000}"/>
    <cellStyle name="Normal 2 2 4 2 2 18 2 9" xfId="22639" xr:uid="{00000000-0005-0000-0000-00006F580000}"/>
    <cellStyle name="Normal 2 2 4 2 2 18 3" xfId="22640" xr:uid="{00000000-0005-0000-0000-000070580000}"/>
    <cellStyle name="Normal 2 2 4 2 2 18 3 10" xfId="22641" xr:uid="{00000000-0005-0000-0000-000071580000}"/>
    <cellStyle name="Normal 2 2 4 2 2 18 3 2" xfId="22642" xr:uid="{00000000-0005-0000-0000-000072580000}"/>
    <cellStyle name="Normal 2 2 4 2 2 18 3 3" xfId="22643" xr:uid="{00000000-0005-0000-0000-000073580000}"/>
    <cellStyle name="Normal 2 2 4 2 2 18 3 4" xfId="22644" xr:uid="{00000000-0005-0000-0000-000074580000}"/>
    <cellStyle name="Normal 2 2 4 2 2 18 3 5" xfId="22645" xr:uid="{00000000-0005-0000-0000-000075580000}"/>
    <cellStyle name="Normal 2 2 4 2 2 18 3 6" xfId="22646" xr:uid="{00000000-0005-0000-0000-000076580000}"/>
    <cellStyle name="Normal 2 2 4 2 2 18 3 7" xfId="22647" xr:uid="{00000000-0005-0000-0000-000077580000}"/>
    <cellStyle name="Normal 2 2 4 2 2 18 3 8" xfId="22648" xr:uid="{00000000-0005-0000-0000-000078580000}"/>
    <cellStyle name="Normal 2 2 4 2 2 18 3 9" xfId="22649" xr:uid="{00000000-0005-0000-0000-000079580000}"/>
    <cellStyle name="Normal 2 2 4 2 2 18 4" xfId="22650" xr:uid="{00000000-0005-0000-0000-00007A580000}"/>
    <cellStyle name="Normal 2 2 4 2 2 18 4 10" xfId="22651" xr:uid="{00000000-0005-0000-0000-00007B580000}"/>
    <cellStyle name="Normal 2 2 4 2 2 18 4 2" xfId="22652" xr:uid="{00000000-0005-0000-0000-00007C580000}"/>
    <cellStyle name="Normal 2 2 4 2 2 18 4 3" xfId="22653" xr:uid="{00000000-0005-0000-0000-00007D580000}"/>
    <cellStyle name="Normal 2 2 4 2 2 18 4 4" xfId="22654" xr:uid="{00000000-0005-0000-0000-00007E580000}"/>
    <cellStyle name="Normal 2 2 4 2 2 18 4 5" xfId="22655" xr:uid="{00000000-0005-0000-0000-00007F580000}"/>
    <cellStyle name="Normal 2 2 4 2 2 18 4 6" xfId="22656" xr:uid="{00000000-0005-0000-0000-000080580000}"/>
    <cellStyle name="Normal 2 2 4 2 2 18 4 7" xfId="22657" xr:uid="{00000000-0005-0000-0000-000081580000}"/>
    <cellStyle name="Normal 2 2 4 2 2 18 4 8" xfId="22658" xr:uid="{00000000-0005-0000-0000-000082580000}"/>
    <cellStyle name="Normal 2 2 4 2 2 18 4 9" xfId="22659" xr:uid="{00000000-0005-0000-0000-000083580000}"/>
    <cellStyle name="Normal 2 2 4 2 2 18 5" xfId="22660" xr:uid="{00000000-0005-0000-0000-000084580000}"/>
    <cellStyle name="Normal 2 2 4 2 2 18 5 10" xfId="22661" xr:uid="{00000000-0005-0000-0000-000085580000}"/>
    <cellStyle name="Normal 2 2 4 2 2 18 5 2" xfId="22662" xr:uid="{00000000-0005-0000-0000-000086580000}"/>
    <cellStyle name="Normal 2 2 4 2 2 18 5 3" xfId="22663" xr:uid="{00000000-0005-0000-0000-000087580000}"/>
    <cellStyle name="Normal 2 2 4 2 2 18 5 4" xfId="22664" xr:uid="{00000000-0005-0000-0000-000088580000}"/>
    <cellStyle name="Normal 2 2 4 2 2 18 5 5" xfId="22665" xr:uid="{00000000-0005-0000-0000-000089580000}"/>
    <cellStyle name="Normal 2 2 4 2 2 18 5 6" xfId="22666" xr:uid="{00000000-0005-0000-0000-00008A580000}"/>
    <cellStyle name="Normal 2 2 4 2 2 18 5 7" xfId="22667" xr:uid="{00000000-0005-0000-0000-00008B580000}"/>
    <cellStyle name="Normal 2 2 4 2 2 18 5 8" xfId="22668" xr:uid="{00000000-0005-0000-0000-00008C580000}"/>
    <cellStyle name="Normal 2 2 4 2 2 18 5 9" xfId="22669" xr:uid="{00000000-0005-0000-0000-00008D580000}"/>
    <cellStyle name="Normal 2 2 4 2 2 18 6" xfId="22670" xr:uid="{00000000-0005-0000-0000-00008E580000}"/>
    <cellStyle name="Normal 2 2 4 2 2 18 7" xfId="22671" xr:uid="{00000000-0005-0000-0000-00008F580000}"/>
    <cellStyle name="Normal 2 2 4 2 2 18 8" xfId="22672" xr:uid="{00000000-0005-0000-0000-000090580000}"/>
    <cellStyle name="Normal 2 2 4 2 2 18 9" xfId="22673" xr:uid="{00000000-0005-0000-0000-000091580000}"/>
    <cellStyle name="Normal 2 2 4 2 2 19" xfId="22674" xr:uid="{00000000-0005-0000-0000-000092580000}"/>
    <cellStyle name="Normal 2 2 4 2 2 19 10" xfId="22675" xr:uid="{00000000-0005-0000-0000-000093580000}"/>
    <cellStyle name="Normal 2 2 4 2 2 19 11" xfId="22676" xr:uid="{00000000-0005-0000-0000-000094580000}"/>
    <cellStyle name="Normal 2 2 4 2 2 19 12" xfId="22677" xr:uid="{00000000-0005-0000-0000-000095580000}"/>
    <cellStyle name="Normal 2 2 4 2 2 19 13" xfId="22678" xr:uid="{00000000-0005-0000-0000-000096580000}"/>
    <cellStyle name="Normal 2 2 4 2 2 19 14" xfId="22679" xr:uid="{00000000-0005-0000-0000-000097580000}"/>
    <cellStyle name="Normal 2 2 4 2 2 19 2" xfId="22680" xr:uid="{00000000-0005-0000-0000-000098580000}"/>
    <cellStyle name="Normal 2 2 4 2 2 19 2 10" xfId="22681" xr:uid="{00000000-0005-0000-0000-000099580000}"/>
    <cellStyle name="Normal 2 2 4 2 2 19 2 2" xfId="22682" xr:uid="{00000000-0005-0000-0000-00009A580000}"/>
    <cellStyle name="Normal 2 2 4 2 2 19 2 3" xfId="22683" xr:uid="{00000000-0005-0000-0000-00009B580000}"/>
    <cellStyle name="Normal 2 2 4 2 2 19 2 4" xfId="22684" xr:uid="{00000000-0005-0000-0000-00009C580000}"/>
    <cellStyle name="Normal 2 2 4 2 2 19 2 5" xfId="22685" xr:uid="{00000000-0005-0000-0000-00009D580000}"/>
    <cellStyle name="Normal 2 2 4 2 2 19 2 6" xfId="22686" xr:uid="{00000000-0005-0000-0000-00009E580000}"/>
    <cellStyle name="Normal 2 2 4 2 2 19 2 7" xfId="22687" xr:uid="{00000000-0005-0000-0000-00009F580000}"/>
    <cellStyle name="Normal 2 2 4 2 2 19 2 8" xfId="22688" xr:uid="{00000000-0005-0000-0000-0000A0580000}"/>
    <cellStyle name="Normal 2 2 4 2 2 19 2 9" xfId="22689" xr:uid="{00000000-0005-0000-0000-0000A1580000}"/>
    <cellStyle name="Normal 2 2 4 2 2 19 3" xfId="22690" xr:uid="{00000000-0005-0000-0000-0000A2580000}"/>
    <cellStyle name="Normal 2 2 4 2 2 19 3 10" xfId="22691" xr:uid="{00000000-0005-0000-0000-0000A3580000}"/>
    <cellStyle name="Normal 2 2 4 2 2 19 3 2" xfId="22692" xr:uid="{00000000-0005-0000-0000-0000A4580000}"/>
    <cellStyle name="Normal 2 2 4 2 2 19 3 3" xfId="22693" xr:uid="{00000000-0005-0000-0000-0000A5580000}"/>
    <cellStyle name="Normal 2 2 4 2 2 19 3 4" xfId="22694" xr:uid="{00000000-0005-0000-0000-0000A6580000}"/>
    <cellStyle name="Normal 2 2 4 2 2 19 3 5" xfId="22695" xr:uid="{00000000-0005-0000-0000-0000A7580000}"/>
    <cellStyle name="Normal 2 2 4 2 2 19 3 6" xfId="22696" xr:uid="{00000000-0005-0000-0000-0000A8580000}"/>
    <cellStyle name="Normal 2 2 4 2 2 19 3 7" xfId="22697" xr:uid="{00000000-0005-0000-0000-0000A9580000}"/>
    <cellStyle name="Normal 2 2 4 2 2 19 3 8" xfId="22698" xr:uid="{00000000-0005-0000-0000-0000AA580000}"/>
    <cellStyle name="Normal 2 2 4 2 2 19 3 9" xfId="22699" xr:uid="{00000000-0005-0000-0000-0000AB580000}"/>
    <cellStyle name="Normal 2 2 4 2 2 19 4" xfId="22700" xr:uid="{00000000-0005-0000-0000-0000AC580000}"/>
    <cellStyle name="Normal 2 2 4 2 2 19 4 10" xfId="22701" xr:uid="{00000000-0005-0000-0000-0000AD580000}"/>
    <cellStyle name="Normal 2 2 4 2 2 19 4 2" xfId="22702" xr:uid="{00000000-0005-0000-0000-0000AE580000}"/>
    <cellStyle name="Normal 2 2 4 2 2 19 4 3" xfId="22703" xr:uid="{00000000-0005-0000-0000-0000AF580000}"/>
    <cellStyle name="Normal 2 2 4 2 2 19 4 4" xfId="22704" xr:uid="{00000000-0005-0000-0000-0000B0580000}"/>
    <cellStyle name="Normal 2 2 4 2 2 19 4 5" xfId="22705" xr:uid="{00000000-0005-0000-0000-0000B1580000}"/>
    <cellStyle name="Normal 2 2 4 2 2 19 4 6" xfId="22706" xr:uid="{00000000-0005-0000-0000-0000B2580000}"/>
    <cellStyle name="Normal 2 2 4 2 2 19 4 7" xfId="22707" xr:uid="{00000000-0005-0000-0000-0000B3580000}"/>
    <cellStyle name="Normal 2 2 4 2 2 19 4 8" xfId="22708" xr:uid="{00000000-0005-0000-0000-0000B4580000}"/>
    <cellStyle name="Normal 2 2 4 2 2 19 4 9" xfId="22709" xr:uid="{00000000-0005-0000-0000-0000B5580000}"/>
    <cellStyle name="Normal 2 2 4 2 2 19 5" xfId="22710" xr:uid="{00000000-0005-0000-0000-0000B6580000}"/>
    <cellStyle name="Normal 2 2 4 2 2 19 5 10" xfId="22711" xr:uid="{00000000-0005-0000-0000-0000B7580000}"/>
    <cellStyle name="Normal 2 2 4 2 2 19 5 2" xfId="22712" xr:uid="{00000000-0005-0000-0000-0000B8580000}"/>
    <cellStyle name="Normal 2 2 4 2 2 19 5 3" xfId="22713" xr:uid="{00000000-0005-0000-0000-0000B9580000}"/>
    <cellStyle name="Normal 2 2 4 2 2 19 5 4" xfId="22714" xr:uid="{00000000-0005-0000-0000-0000BA580000}"/>
    <cellStyle name="Normal 2 2 4 2 2 19 5 5" xfId="22715" xr:uid="{00000000-0005-0000-0000-0000BB580000}"/>
    <cellStyle name="Normal 2 2 4 2 2 19 5 6" xfId="22716" xr:uid="{00000000-0005-0000-0000-0000BC580000}"/>
    <cellStyle name="Normal 2 2 4 2 2 19 5 7" xfId="22717" xr:uid="{00000000-0005-0000-0000-0000BD580000}"/>
    <cellStyle name="Normal 2 2 4 2 2 19 5 8" xfId="22718" xr:uid="{00000000-0005-0000-0000-0000BE580000}"/>
    <cellStyle name="Normal 2 2 4 2 2 19 5 9" xfId="22719" xr:uid="{00000000-0005-0000-0000-0000BF580000}"/>
    <cellStyle name="Normal 2 2 4 2 2 19 6" xfId="22720" xr:uid="{00000000-0005-0000-0000-0000C0580000}"/>
    <cellStyle name="Normal 2 2 4 2 2 19 7" xfId="22721" xr:uid="{00000000-0005-0000-0000-0000C1580000}"/>
    <cellStyle name="Normal 2 2 4 2 2 19 8" xfId="22722" xr:uid="{00000000-0005-0000-0000-0000C2580000}"/>
    <cellStyle name="Normal 2 2 4 2 2 19 9" xfId="22723" xr:uid="{00000000-0005-0000-0000-0000C3580000}"/>
    <cellStyle name="Normal 2 2 4 2 2 2" xfId="22724" xr:uid="{00000000-0005-0000-0000-0000C4580000}"/>
    <cellStyle name="Normal 2 2 4 2 2 2 10" xfId="22725" xr:uid="{00000000-0005-0000-0000-0000C5580000}"/>
    <cellStyle name="Normal 2 2 4 2 2 2 11" xfId="22726" xr:uid="{00000000-0005-0000-0000-0000C6580000}"/>
    <cellStyle name="Normal 2 2 4 2 2 2 12" xfId="22727" xr:uid="{00000000-0005-0000-0000-0000C7580000}"/>
    <cellStyle name="Normal 2 2 4 2 2 2 13" xfId="22728" xr:uid="{00000000-0005-0000-0000-0000C8580000}"/>
    <cellStyle name="Normal 2 2 4 2 2 2 14" xfId="22729" xr:uid="{00000000-0005-0000-0000-0000C9580000}"/>
    <cellStyle name="Normal 2 2 4 2 2 2 2" xfId="22730" xr:uid="{00000000-0005-0000-0000-0000CA580000}"/>
    <cellStyle name="Normal 2 2 4 2 2 2 2 10" xfId="22731" xr:uid="{00000000-0005-0000-0000-0000CB580000}"/>
    <cellStyle name="Normal 2 2 4 2 2 2 2 2" xfId="22732" xr:uid="{00000000-0005-0000-0000-0000CC580000}"/>
    <cellStyle name="Normal 2 2 4 2 2 2 2 3" xfId="22733" xr:uid="{00000000-0005-0000-0000-0000CD580000}"/>
    <cellStyle name="Normal 2 2 4 2 2 2 2 4" xfId="22734" xr:uid="{00000000-0005-0000-0000-0000CE580000}"/>
    <cellStyle name="Normal 2 2 4 2 2 2 2 5" xfId="22735" xr:uid="{00000000-0005-0000-0000-0000CF580000}"/>
    <cellStyle name="Normal 2 2 4 2 2 2 2 6" xfId="22736" xr:uid="{00000000-0005-0000-0000-0000D0580000}"/>
    <cellStyle name="Normal 2 2 4 2 2 2 2 7" xfId="22737" xr:uid="{00000000-0005-0000-0000-0000D1580000}"/>
    <cellStyle name="Normal 2 2 4 2 2 2 2 8" xfId="22738" xr:uid="{00000000-0005-0000-0000-0000D2580000}"/>
    <cellStyle name="Normal 2 2 4 2 2 2 2 9" xfId="22739" xr:uid="{00000000-0005-0000-0000-0000D3580000}"/>
    <cellStyle name="Normal 2 2 4 2 2 2 3" xfId="22740" xr:uid="{00000000-0005-0000-0000-0000D4580000}"/>
    <cellStyle name="Normal 2 2 4 2 2 2 3 10" xfId="22741" xr:uid="{00000000-0005-0000-0000-0000D5580000}"/>
    <cellStyle name="Normal 2 2 4 2 2 2 3 2" xfId="22742" xr:uid="{00000000-0005-0000-0000-0000D6580000}"/>
    <cellStyle name="Normal 2 2 4 2 2 2 3 3" xfId="22743" xr:uid="{00000000-0005-0000-0000-0000D7580000}"/>
    <cellStyle name="Normal 2 2 4 2 2 2 3 4" xfId="22744" xr:uid="{00000000-0005-0000-0000-0000D8580000}"/>
    <cellStyle name="Normal 2 2 4 2 2 2 3 5" xfId="22745" xr:uid="{00000000-0005-0000-0000-0000D9580000}"/>
    <cellStyle name="Normal 2 2 4 2 2 2 3 6" xfId="22746" xr:uid="{00000000-0005-0000-0000-0000DA580000}"/>
    <cellStyle name="Normal 2 2 4 2 2 2 3 7" xfId="22747" xr:uid="{00000000-0005-0000-0000-0000DB580000}"/>
    <cellStyle name="Normal 2 2 4 2 2 2 3 8" xfId="22748" xr:uid="{00000000-0005-0000-0000-0000DC580000}"/>
    <cellStyle name="Normal 2 2 4 2 2 2 3 9" xfId="22749" xr:uid="{00000000-0005-0000-0000-0000DD580000}"/>
    <cellStyle name="Normal 2 2 4 2 2 2 4" xfId="22750" xr:uid="{00000000-0005-0000-0000-0000DE580000}"/>
    <cellStyle name="Normal 2 2 4 2 2 2 4 10" xfId="22751" xr:uid="{00000000-0005-0000-0000-0000DF580000}"/>
    <cellStyle name="Normal 2 2 4 2 2 2 4 2" xfId="22752" xr:uid="{00000000-0005-0000-0000-0000E0580000}"/>
    <cellStyle name="Normal 2 2 4 2 2 2 4 3" xfId="22753" xr:uid="{00000000-0005-0000-0000-0000E1580000}"/>
    <cellStyle name="Normal 2 2 4 2 2 2 4 4" xfId="22754" xr:uid="{00000000-0005-0000-0000-0000E2580000}"/>
    <cellStyle name="Normal 2 2 4 2 2 2 4 5" xfId="22755" xr:uid="{00000000-0005-0000-0000-0000E3580000}"/>
    <cellStyle name="Normal 2 2 4 2 2 2 4 6" xfId="22756" xr:uid="{00000000-0005-0000-0000-0000E4580000}"/>
    <cellStyle name="Normal 2 2 4 2 2 2 4 7" xfId="22757" xr:uid="{00000000-0005-0000-0000-0000E5580000}"/>
    <cellStyle name="Normal 2 2 4 2 2 2 4 8" xfId="22758" xr:uid="{00000000-0005-0000-0000-0000E6580000}"/>
    <cellStyle name="Normal 2 2 4 2 2 2 4 9" xfId="22759" xr:uid="{00000000-0005-0000-0000-0000E7580000}"/>
    <cellStyle name="Normal 2 2 4 2 2 2 5" xfId="22760" xr:uid="{00000000-0005-0000-0000-0000E8580000}"/>
    <cellStyle name="Normal 2 2 4 2 2 2 5 10" xfId="22761" xr:uid="{00000000-0005-0000-0000-0000E9580000}"/>
    <cellStyle name="Normal 2 2 4 2 2 2 5 2" xfId="22762" xr:uid="{00000000-0005-0000-0000-0000EA580000}"/>
    <cellStyle name="Normal 2 2 4 2 2 2 5 3" xfId="22763" xr:uid="{00000000-0005-0000-0000-0000EB580000}"/>
    <cellStyle name="Normal 2 2 4 2 2 2 5 4" xfId="22764" xr:uid="{00000000-0005-0000-0000-0000EC580000}"/>
    <cellStyle name="Normal 2 2 4 2 2 2 5 5" xfId="22765" xr:uid="{00000000-0005-0000-0000-0000ED580000}"/>
    <cellStyle name="Normal 2 2 4 2 2 2 5 6" xfId="22766" xr:uid="{00000000-0005-0000-0000-0000EE580000}"/>
    <cellStyle name="Normal 2 2 4 2 2 2 5 7" xfId="22767" xr:uid="{00000000-0005-0000-0000-0000EF580000}"/>
    <cellStyle name="Normal 2 2 4 2 2 2 5 8" xfId="22768" xr:uid="{00000000-0005-0000-0000-0000F0580000}"/>
    <cellStyle name="Normal 2 2 4 2 2 2 5 9" xfId="22769" xr:uid="{00000000-0005-0000-0000-0000F1580000}"/>
    <cellStyle name="Normal 2 2 4 2 2 2 6" xfId="22770" xr:uid="{00000000-0005-0000-0000-0000F2580000}"/>
    <cellStyle name="Normal 2 2 4 2 2 2 7" xfId="22771" xr:uid="{00000000-0005-0000-0000-0000F3580000}"/>
    <cellStyle name="Normal 2 2 4 2 2 2 8" xfId="22772" xr:uid="{00000000-0005-0000-0000-0000F4580000}"/>
    <cellStyle name="Normal 2 2 4 2 2 2 9" xfId="22773" xr:uid="{00000000-0005-0000-0000-0000F5580000}"/>
    <cellStyle name="Normal 2 2 4 2 2 20" xfId="22774" xr:uid="{00000000-0005-0000-0000-0000F6580000}"/>
    <cellStyle name="Normal 2 2 4 2 2 20 10" xfId="22775" xr:uid="{00000000-0005-0000-0000-0000F7580000}"/>
    <cellStyle name="Normal 2 2 4 2 2 20 11" xfId="22776" xr:uid="{00000000-0005-0000-0000-0000F8580000}"/>
    <cellStyle name="Normal 2 2 4 2 2 20 12" xfId="22777" xr:uid="{00000000-0005-0000-0000-0000F9580000}"/>
    <cellStyle name="Normal 2 2 4 2 2 20 13" xfId="22778" xr:uid="{00000000-0005-0000-0000-0000FA580000}"/>
    <cellStyle name="Normal 2 2 4 2 2 20 14" xfId="22779" xr:uid="{00000000-0005-0000-0000-0000FB580000}"/>
    <cellStyle name="Normal 2 2 4 2 2 20 2" xfId="22780" xr:uid="{00000000-0005-0000-0000-0000FC580000}"/>
    <cellStyle name="Normal 2 2 4 2 2 20 2 10" xfId="22781" xr:uid="{00000000-0005-0000-0000-0000FD580000}"/>
    <cellStyle name="Normal 2 2 4 2 2 20 2 2" xfId="22782" xr:uid="{00000000-0005-0000-0000-0000FE580000}"/>
    <cellStyle name="Normal 2 2 4 2 2 20 2 3" xfId="22783" xr:uid="{00000000-0005-0000-0000-0000FF580000}"/>
    <cellStyle name="Normal 2 2 4 2 2 20 2 4" xfId="22784" xr:uid="{00000000-0005-0000-0000-000000590000}"/>
    <cellStyle name="Normal 2 2 4 2 2 20 2 5" xfId="22785" xr:uid="{00000000-0005-0000-0000-000001590000}"/>
    <cellStyle name="Normal 2 2 4 2 2 20 2 6" xfId="22786" xr:uid="{00000000-0005-0000-0000-000002590000}"/>
    <cellStyle name="Normal 2 2 4 2 2 20 2 7" xfId="22787" xr:uid="{00000000-0005-0000-0000-000003590000}"/>
    <cellStyle name="Normal 2 2 4 2 2 20 2 8" xfId="22788" xr:uid="{00000000-0005-0000-0000-000004590000}"/>
    <cellStyle name="Normal 2 2 4 2 2 20 2 9" xfId="22789" xr:uid="{00000000-0005-0000-0000-000005590000}"/>
    <cellStyle name="Normal 2 2 4 2 2 20 3" xfId="22790" xr:uid="{00000000-0005-0000-0000-000006590000}"/>
    <cellStyle name="Normal 2 2 4 2 2 20 3 10" xfId="22791" xr:uid="{00000000-0005-0000-0000-000007590000}"/>
    <cellStyle name="Normal 2 2 4 2 2 20 3 2" xfId="22792" xr:uid="{00000000-0005-0000-0000-000008590000}"/>
    <cellStyle name="Normal 2 2 4 2 2 20 3 3" xfId="22793" xr:uid="{00000000-0005-0000-0000-000009590000}"/>
    <cellStyle name="Normal 2 2 4 2 2 20 3 4" xfId="22794" xr:uid="{00000000-0005-0000-0000-00000A590000}"/>
    <cellStyle name="Normal 2 2 4 2 2 20 3 5" xfId="22795" xr:uid="{00000000-0005-0000-0000-00000B590000}"/>
    <cellStyle name="Normal 2 2 4 2 2 20 3 6" xfId="22796" xr:uid="{00000000-0005-0000-0000-00000C590000}"/>
    <cellStyle name="Normal 2 2 4 2 2 20 3 7" xfId="22797" xr:uid="{00000000-0005-0000-0000-00000D590000}"/>
    <cellStyle name="Normal 2 2 4 2 2 20 3 8" xfId="22798" xr:uid="{00000000-0005-0000-0000-00000E590000}"/>
    <cellStyle name="Normal 2 2 4 2 2 20 3 9" xfId="22799" xr:uid="{00000000-0005-0000-0000-00000F590000}"/>
    <cellStyle name="Normal 2 2 4 2 2 20 4" xfId="22800" xr:uid="{00000000-0005-0000-0000-000010590000}"/>
    <cellStyle name="Normal 2 2 4 2 2 20 4 10" xfId="22801" xr:uid="{00000000-0005-0000-0000-000011590000}"/>
    <cellStyle name="Normal 2 2 4 2 2 20 4 2" xfId="22802" xr:uid="{00000000-0005-0000-0000-000012590000}"/>
    <cellStyle name="Normal 2 2 4 2 2 20 4 3" xfId="22803" xr:uid="{00000000-0005-0000-0000-000013590000}"/>
    <cellStyle name="Normal 2 2 4 2 2 20 4 4" xfId="22804" xr:uid="{00000000-0005-0000-0000-000014590000}"/>
    <cellStyle name="Normal 2 2 4 2 2 20 4 5" xfId="22805" xr:uid="{00000000-0005-0000-0000-000015590000}"/>
    <cellStyle name="Normal 2 2 4 2 2 20 4 6" xfId="22806" xr:uid="{00000000-0005-0000-0000-000016590000}"/>
    <cellStyle name="Normal 2 2 4 2 2 20 4 7" xfId="22807" xr:uid="{00000000-0005-0000-0000-000017590000}"/>
    <cellStyle name="Normal 2 2 4 2 2 20 4 8" xfId="22808" xr:uid="{00000000-0005-0000-0000-000018590000}"/>
    <cellStyle name="Normal 2 2 4 2 2 20 4 9" xfId="22809" xr:uid="{00000000-0005-0000-0000-000019590000}"/>
    <cellStyle name="Normal 2 2 4 2 2 20 5" xfId="22810" xr:uid="{00000000-0005-0000-0000-00001A590000}"/>
    <cellStyle name="Normal 2 2 4 2 2 20 5 10" xfId="22811" xr:uid="{00000000-0005-0000-0000-00001B590000}"/>
    <cellStyle name="Normal 2 2 4 2 2 20 5 2" xfId="22812" xr:uid="{00000000-0005-0000-0000-00001C590000}"/>
    <cellStyle name="Normal 2 2 4 2 2 20 5 3" xfId="22813" xr:uid="{00000000-0005-0000-0000-00001D590000}"/>
    <cellStyle name="Normal 2 2 4 2 2 20 5 4" xfId="22814" xr:uid="{00000000-0005-0000-0000-00001E590000}"/>
    <cellStyle name="Normal 2 2 4 2 2 20 5 5" xfId="22815" xr:uid="{00000000-0005-0000-0000-00001F590000}"/>
    <cellStyle name="Normal 2 2 4 2 2 20 5 6" xfId="22816" xr:uid="{00000000-0005-0000-0000-000020590000}"/>
    <cellStyle name="Normal 2 2 4 2 2 20 5 7" xfId="22817" xr:uid="{00000000-0005-0000-0000-000021590000}"/>
    <cellStyle name="Normal 2 2 4 2 2 20 5 8" xfId="22818" xr:uid="{00000000-0005-0000-0000-000022590000}"/>
    <cellStyle name="Normal 2 2 4 2 2 20 5 9" xfId="22819" xr:uid="{00000000-0005-0000-0000-000023590000}"/>
    <cellStyle name="Normal 2 2 4 2 2 20 6" xfId="22820" xr:uid="{00000000-0005-0000-0000-000024590000}"/>
    <cellStyle name="Normal 2 2 4 2 2 20 7" xfId="22821" xr:uid="{00000000-0005-0000-0000-000025590000}"/>
    <cellStyle name="Normal 2 2 4 2 2 20 8" xfId="22822" xr:uid="{00000000-0005-0000-0000-000026590000}"/>
    <cellStyle name="Normal 2 2 4 2 2 20 9" xfId="22823" xr:uid="{00000000-0005-0000-0000-000027590000}"/>
    <cellStyle name="Normal 2 2 4 2 2 3" xfId="22824" xr:uid="{00000000-0005-0000-0000-000028590000}"/>
    <cellStyle name="Normal 2 2 4 2 2 3 10" xfId="22825" xr:uid="{00000000-0005-0000-0000-000029590000}"/>
    <cellStyle name="Normal 2 2 4 2 2 3 11" xfId="22826" xr:uid="{00000000-0005-0000-0000-00002A590000}"/>
    <cellStyle name="Normal 2 2 4 2 2 3 12" xfId="22827" xr:uid="{00000000-0005-0000-0000-00002B590000}"/>
    <cellStyle name="Normal 2 2 4 2 2 3 13" xfId="22828" xr:uid="{00000000-0005-0000-0000-00002C590000}"/>
    <cellStyle name="Normal 2 2 4 2 2 3 14" xfId="22829" xr:uid="{00000000-0005-0000-0000-00002D590000}"/>
    <cellStyle name="Normal 2 2 4 2 2 3 2" xfId="22830" xr:uid="{00000000-0005-0000-0000-00002E590000}"/>
    <cellStyle name="Normal 2 2 4 2 2 3 2 10" xfId="22831" xr:uid="{00000000-0005-0000-0000-00002F590000}"/>
    <cellStyle name="Normal 2 2 4 2 2 3 2 2" xfId="22832" xr:uid="{00000000-0005-0000-0000-000030590000}"/>
    <cellStyle name="Normal 2 2 4 2 2 3 2 3" xfId="22833" xr:uid="{00000000-0005-0000-0000-000031590000}"/>
    <cellStyle name="Normal 2 2 4 2 2 3 2 4" xfId="22834" xr:uid="{00000000-0005-0000-0000-000032590000}"/>
    <cellStyle name="Normal 2 2 4 2 2 3 2 5" xfId="22835" xr:uid="{00000000-0005-0000-0000-000033590000}"/>
    <cellStyle name="Normal 2 2 4 2 2 3 2 6" xfId="22836" xr:uid="{00000000-0005-0000-0000-000034590000}"/>
    <cellStyle name="Normal 2 2 4 2 2 3 2 7" xfId="22837" xr:uid="{00000000-0005-0000-0000-000035590000}"/>
    <cellStyle name="Normal 2 2 4 2 2 3 2 8" xfId="22838" xr:uid="{00000000-0005-0000-0000-000036590000}"/>
    <cellStyle name="Normal 2 2 4 2 2 3 2 9" xfId="22839" xr:uid="{00000000-0005-0000-0000-000037590000}"/>
    <cellStyle name="Normal 2 2 4 2 2 3 3" xfId="22840" xr:uid="{00000000-0005-0000-0000-000038590000}"/>
    <cellStyle name="Normal 2 2 4 2 2 3 3 10" xfId="22841" xr:uid="{00000000-0005-0000-0000-000039590000}"/>
    <cellStyle name="Normal 2 2 4 2 2 3 3 2" xfId="22842" xr:uid="{00000000-0005-0000-0000-00003A590000}"/>
    <cellStyle name="Normal 2 2 4 2 2 3 3 3" xfId="22843" xr:uid="{00000000-0005-0000-0000-00003B590000}"/>
    <cellStyle name="Normal 2 2 4 2 2 3 3 4" xfId="22844" xr:uid="{00000000-0005-0000-0000-00003C590000}"/>
    <cellStyle name="Normal 2 2 4 2 2 3 3 5" xfId="22845" xr:uid="{00000000-0005-0000-0000-00003D590000}"/>
    <cellStyle name="Normal 2 2 4 2 2 3 3 6" xfId="22846" xr:uid="{00000000-0005-0000-0000-00003E590000}"/>
    <cellStyle name="Normal 2 2 4 2 2 3 3 7" xfId="22847" xr:uid="{00000000-0005-0000-0000-00003F590000}"/>
    <cellStyle name="Normal 2 2 4 2 2 3 3 8" xfId="22848" xr:uid="{00000000-0005-0000-0000-000040590000}"/>
    <cellStyle name="Normal 2 2 4 2 2 3 3 9" xfId="22849" xr:uid="{00000000-0005-0000-0000-000041590000}"/>
    <cellStyle name="Normal 2 2 4 2 2 3 4" xfId="22850" xr:uid="{00000000-0005-0000-0000-000042590000}"/>
    <cellStyle name="Normal 2 2 4 2 2 3 4 10" xfId="22851" xr:uid="{00000000-0005-0000-0000-000043590000}"/>
    <cellStyle name="Normal 2 2 4 2 2 3 4 2" xfId="22852" xr:uid="{00000000-0005-0000-0000-000044590000}"/>
    <cellStyle name="Normal 2 2 4 2 2 3 4 3" xfId="22853" xr:uid="{00000000-0005-0000-0000-000045590000}"/>
    <cellStyle name="Normal 2 2 4 2 2 3 4 4" xfId="22854" xr:uid="{00000000-0005-0000-0000-000046590000}"/>
    <cellStyle name="Normal 2 2 4 2 2 3 4 5" xfId="22855" xr:uid="{00000000-0005-0000-0000-000047590000}"/>
    <cellStyle name="Normal 2 2 4 2 2 3 4 6" xfId="22856" xr:uid="{00000000-0005-0000-0000-000048590000}"/>
    <cellStyle name="Normal 2 2 4 2 2 3 4 7" xfId="22857" xr:uid="{00000000-0005-0000-0000-000049590000}"/>
    <cellStyle name="Normal 2 2 4 2 2 3 4 8" xfId="22858" xr:uid="{00000000-0005-0000-0000-00004A590000}"/>
    <cellStyle name="Normal 2 2 4 2 2 3 4 9" xfId="22859" xr:uid="{00000000-0005-0000-0000-00004B590000}"/>
    <cellStyle name="Normal 2 2 4 2 2 3 5" xfId="22860" xr:uid="{00000000-0005-0000-0000-00004C590000}"/>
    <cellStyle name="Normal 2 2 4 2 2 3 5 10" xfId="22861" xr:uid="{00000000-0005-0000-0000-00004D590000}"/>
    <cellStyle name="Normal 2 2 4 2 2 3 5 2" xfId="22862" xr:uid="{00000000-0005-0000-0000-00004E590000}"/>
    <cellStyle name="Normal 2 2 4 2 2 3 5 3" xfId="22863" xr:uid="{00000000-0005-0000-0000-00004F590000}"/>
    <cellStyle name="Normal 2 2 4 2 2 3 5 4" xfId="22864" xr:uid="{00000000-0005-0000-0000-000050590000}"/>
    <cellStyle name="Normal 2 2 4 2 2 3 5 5" xfId="22865" xr:uid="{00000000-0005-0000-0000-000051590000}"/>
    <cellStyle name="Normal 2 2 4 2 2 3 5 6" xfId="22866" xr:uid="{00000000-0005-0000-0000-000052590000}"/>
    <cellStyle name="Normal 2 2 4 2 2 3 5 7" xfId="22867" xr:uid="{00000000-0005-0000-0000-000053590000}"/>
    <cellStyle name="Normal 2 2 4 2 2 3 5 8" xfId="22868" xr:uid="{00000000-0005-0000-0000-000054590000}"/>
    <cellStyle name="Normal 2 2 4 2 2 3 5 9" xfId="22869" xr:uid="{00000000-0005-0000-0000-000055590000}"/>
    <cellStyle name="Normal 2 2 4 2 2 3 6" xfId="22870" xr:uid="{00000000-0005-0000-0000-000056590000}"/>
    <cellStyle name="Normal 2 2 4 2 2 3 7" xfId="22871" xr:uid="{00000000-0005-0000-0000-000057590000}"/>
    <cellStyle name="Normal 2 2 4 2 2 3 8" xfId="22872" xr:uid="{00000000-0005-0000-0000-000058590000}"/>
    <cellStyle name="Normal 2 2 4 2 2 3 9" xfId="22873" xr:uid="{00000000-0005-0000-0000-000059590000}"/>
    <cellStyle name="Normal 2 2 4 2 2 4" xfId="22874" xr:uid="{00000000-0005-0000-0000-00005A590000}"/>
    <cellStyle name="Normal 2 2 4 2 2 4 10" xfId="22875" xr:uid="{00000000-0005-0000-0000-00005B590000}"/>
    <cellStyle name="Normal 2 2 4 2 2 4 11" xfId="22876" xr:uid="{00000000-0005-0000-0000-00005C590000}"/>
    <cellStyle name="Normal 2 2 4 2 2 4 12" xfId="22877" xr:uid="{00000000-0005-0000-0000-00005D590000}"/>
    <cellStyle name="Normal 2 2 4 2 2 4 13" xfId="22878" xr:uid="{00000000-0005-0000-0000-00005E590000}"/>
    <cellStyle name="Normal 2 2 4 2 2 4 14" xfId="22879" xr:uid="{00000000-0005-0000-0000-00005F590000}"/>
    <cellStyle name="Normal 2 2 4 2 2 4 2" xfId="22880" xr:uid="{00000000-0005-0000-0000-000060590000}"/>
    <cellStyle name="Normal 2 2 4 2 2 4 2 10" xfId="22881" xr:uid="{00000000-0005-0000-0000-000061590000}"/>
    <cellStyle name="Normal 2 2 4 2 2 4 2 2" xfId="22882" xr:uid="{00000000-0005-0000-0000-000062590000}"/>
    <cellStyle name="Normal 2 2 4 2 2 4 2 3" xfId="22883" xr:uid="{00000000-0005-0000-0000-000063590000}"/>
    <cellStyle name="Normal 2 2 4 2 2 4 2 4" xfId="22884" xr:uid="{00000000-0005-0000-0000-000064590000}"/>
    <cellStyle name="Normal 2 2 4 2 2 4 2 5" xfId="22885" xr:uid="{00000000-0005-0000-0000-000065590000}"/>
    <cellStyle name="Normal 2 2 4 2 2 4 2 6" xfId="22886" xr:uid="{00000000-0005-0000-0000-000066590000}"/>
    <cellStyle name="Normal 2 2 4 2 2 4 2 7" xfId="22887" xr:uid="{00000000-0005-0000-0000-000067590000}"/>
    <cellStyle name="Normal 2 2 4 2 2 4 2 8" xfId="22888" xr:uid="{00000000-0005-0000-0000-000068590000}"/>
    <cellStyle name="Normal 2 2 4 2 2 4 2 9" xfId="22889" xr:uid="{00000000-0005-0000-0000-000069590000}"/>
    <cellStyle name="Normal 2 2 4 2 2 4 3" xfId="22890" xr:uid="{00000000-0005-0000-0000-00006A590000}"/>
    <cellStyle name="Normal 2 2 4 2 2 4 3 10" xfId="22891" xr:uid="{00000000-0005-0000-0000-00006B590000}"/>
    <cellStyle name="Normal 2 2 4 2 2 4 3 2" xfId="22892" xr:uid="{00000000-0005-0000-0000-00006C590000}"/>
    <cellStyle name="Normal 2 2 4 2 2 4 3 3" xfId="22893" xr:uid="{00000000-0005-0000-0000-00006D590000}"/>
    <cellStyle name="Normal 2 2 4 2 2 4 3 4" xfId="22894" xr:uid="{00000000-0005-0000-0000-00006E590000}"/>
    <cellStyle name="Normal 2 2 4 2 2 4 3 5" xfId="22895" xr:uid="{00000000-0005-0000-0000-00006F590000}"/>
    <cellStyle name="Normal 2 2 4 2 2 4 3 6" xfId="22896" xr:uid="{00000000-0005-0000-0000-000070590000}"/>
    <cellStyle name="Normal 2 2 4 2 2 4 3 7" xfId="22897" xr:uid="{00000000-0005-0000-0000-000071590000}"/>
    <cellStyle name="Normal 2 2 4 2 2 4 3 8" xfId="22898" xr:uid="{00000000-0005-0000-0000-000072590000}"/>
    <cellStyle name="Normal 2 2 4 2 2 4 3 9" xfId="22899" xr:uid="{00000000-0005-0000-0000-000073590000}"/>
    <cellStyle name="Normal 2 2 4 2 2 4 4" xfId="22900" xr:uid="{00000000-0005-0000-0000-000074590000}"/>
    <cellStyle name="Normal 2 2 4 2 2 4 4 10" xfId="22901" xr:uid="{00000000-0005-0000-0000-000075590000}"/>
    <cellStyle name="Normal 2 2 4 2 2 4 4 2" xfId="22902" xr:uid="{00000000-0005-0000-0000-000076590000}"/>
    <cellStyle name="Normal 2 2 4 2 2 4 4 3" xfId="22903" xr:uid="{00000000-0005-0000-0000-000077590000}"/>
    <cellStyle name="Normal 2 2 4 2 2 4 4 4" xfId="22904" xr:uid="{00000000-0005-0000-0000-000078590000}"/>
    <cellStyle name="Normal 2 2 4 2 2 4 4 5" xfId="22905" xr:uid="{00000000-0005-0000-0000-000079590000}"/>
    <cellStyle name="Normal 2 2 4 2 2 4 4 6" xfId="22906" xr:uid="{00000000-0005-0000-0000-00007A590000}"/>
    <cellStyle name="Normal 2 2 4 2 2 4 4 7" xfId="22907" xr:uid="{00000000-0005-0000-0000-00007B590000}"/>
    <cellStyle name="Normal 2 2 4 2 2 4 4 8" xfId="22908" xr:uid="{00000000-0005-0000-0000-00007C590000}"/>
    <cellStyle name="Normal 2 2 4 2 2 4 4 9" xfId="22909" xr:uid="{00000000-0005-0000-0000-00007D590000}"/>
    <cellStyle name="Normal 2 2 4 2 2 4 5" xfId="22910" xr:uid="{00000000-0005-0000-0000-00007E590000}"/>
    <cellStyle name="Normal 2 2 4 2 2 4 5 10" xfId="22911" xr:uid="{00000000-0005-0000-0000-00007F590000}"/>
    <cellStyle name="Normal 2 2 4 2 2 4 5 2" xfId="22912" xr:uid="{00000000-0005-0000-0000-000080590000}"/>
    <cellStyle name="Normal 2 2 4 2 2 4 5 3" xfId="22913" xr:uid="{00000000-0005-0000-0000-000081590000}"/>
    <cellStyle name="Normal 2 2 4 2 2 4 5 4" xfId="22914" xr:uid="{00000000-0005-0000-0000-000082590000}"/>
    <cellStyle name="Normal 2 2 4 2 2 4 5 5" xfId="22915" xr:uid="{00000000-0005-0000-0000-000083590000}"/>
    <cellStyle name="Normal 2 2 4 2 2 4 5 6" xfId="22916" xr:uid="{00000000-0005-0000-0000-000084590000}"/>
    <cellStyle name="Normal 2 2 4 2 2 4 5 7" xfId="22917" xr:uid="{00000000-0005-0000-0000-000085590000}"/>
    <cellStyle name="Normal 2 2 4 2 2 4 5 8" xfId="22918" xr:uid="{00000000-0005-0000-0000-000086590000}"/>
    <cellStyle name="Normal 2 2 4 2 2 4 5 9" xfId="22919" xr:uid="{00000000-0005-0000-0000-000087590000}"/>
    <cellStyle name="Normal 2 2 4 2 2 4 6" xfId="22920" xr:uid="{00000000-0005-0000-0000-000088590000}"/>
    <cellStyle name="Normal 2 2 4 2 2 4 7" xfId="22921" xr:uid="{00000000-0005-0000-0000-000089590000}"/>
    <cellStyle name="Normal 2 2 4 2 2 4 8" xfId="22922" xr:uid="{00000000-0005-0000-0000-00008A590000}"/>
    <cellStyle name="Normal 2 2 4 2 2 4 9" xfId="22923" xr:uid="{00000000-0005-0000-0000-00008B590000}"/>
    <cellStyle name="Normal 2 2 4 2 2 5" xfId="22924" xr:uid="{00000000-0005-0000-0000-00008C590000}"/>
    <cellStyle name="Normal 2 2 4 2 2 5 10" xfId="22925" xr:uid="{00000000-0005-0000-0000-00008D590000}"/>
    <cellStyle name="Normal 2 2 4 2 2 5 11" xfId="22926" xr:uid="{00000000-0005-0000-0000-00008E590000}"/>
    <cellStyle name="Normal 2 2 4 2 2 5 12" xfId="22927" xr:uid="{00000000-0005-0000-0000-00008F590000}"/>
    <cellStyle name="Normal 2 2 4 2 2 5 13" xfId="22928" xr:uid="{00000000-0005-0000-0000-000090590000}"/>
    <cellStyle name="Normal 2 2 4 2 2 5 14" xfId="22929" xr:uid="{00000000-0005-0000-0000-000091590000}"/>
    <cellStyle name="Normal 2 2 4 2 2 5 2" xfId="22930" xr:uid="{00000000-0005-0000-0000-000092590000}"/>
    <cellStyle name="Normal 2 2 4 2 2 5 2 10" xfId="22931" xr:uid="{00000000-0005-0000-0000-000093590000}"/>
    <cellStyle name="Normal 2 2 4 2 2 5 2 2" xfId="22932" xr:uid="{00000000-0005-0000-0000-000094590000}"/>
    <cellStyle name="Normal 2 2 4 2 2 5 2 3" xfId="22933" xr:uid="{00000000-0005-0000-0000-000095590000}"/>
    <cellStyle name="Normal 2 2 4 2 2 5 2 4" xfId="22934" xr:uid="{00000000-0005-0000-0000-000096590000}"/>
    <cellStyle name="Normal 2 2 4 2 2 5 2 5" xfId="22935" xr:uid="{00000000-0005-0000-0000-000097590000}"/>
    <cellStyle name="Normal 2 2 4 2 2 5 2 6" xfId="22936" xr:uid="{00000000-0005-0000-0000-000098590000}"/>
    <cellStyle name="Normal 2 2 4 2 2 5 2 7" xfId="22937" xr:uid="{00000000-0005-0000-0000-000099590000}"/>
    <cellStyle name="Normal 2 2 4 2 2 5 2 8" xfId="22938" xr:uid="{00000000-0005-0000-0000-00009A590000}"/>
    <cellStyle name="Normal 2 2 4 2 2 5 2 9" xfId="22939" xr:uid="{00000000-0005-0000-0000-00009B590000}"/>
    <cellStyle name="Normal 2 2 4 2 2 5 3" xfId="22940" xr:uid="{00000000-0005-0000-0000-00009C590000}"/>
    <cellStyle name="Normal 2 2 4 2 2 5 3 10" xfId="22941" xr:uid="{00000000-0005-0000-0000-00009D590000}"/>
    <cellStyle name="Normal 2 2 4 2 2 5 3 2" xfId="22942" xr:uid="{00000000-0005-0000-0000-00009E590000}"/>
    <cellStyle name="Normal 2 2 4 2 2 5 3 3" xfId="22943" xr:uid="{00000000-0005-0000-0000-00009F590000}"/>
    <cellStyle name="Normal 2 2 4 2 2 5 3 4" xfId="22944" xr:uid="{00000000-0005-0000-0000-0000A0590000}"/>
    <cellStyle name="Normal 2 2 4 2 2 5 3 5" xfId="22945" xr:uid="{00000000-0005-0000-0000-0000A1590000}"/>
    <cellStyle name="Normal 2 2 4 2 2 5 3 6" xfId="22946" xr:uid="{00000000-0005-0000-0000-0000A2590000}"/>
    <cellStyle name="Normal 2 2 4 2 2 5 3 7" xfId="22947" xr:uid="{00000000-0005-0000-0000-0000A3590000}"/>
    <cellStyle name="Normal 2 2 4 2 2 5 3 8" xfId="22948" xr:uid="{00000000-0005-0000-0000-0000A4590000}"/>
    <cellStyle name="Normal 2 2 4 2 2 5 3 9" xfId="22949" xr:uid="{00000000-0005-0000-0000-0000A5590000}"/>
    <cellStyle name="Normal 2 2 4 2 2 5 4" xfId="22950" xr:uid="{00000000-0005-0000-0000-0000A6590000}"/>
    <cellStyle name="Normal 2 2 4 2 2 5 4 10" xfId="22951" xr:uid="{00000000-0005-0000-0000-0000A7590000}"/>
    <cellStyle name="Normal 2 2 4 2 2 5 4 2" xfId="22952" xr:uid="{00000000-0005-0000-0000-0000A8590000}"/>
    <cellStyle name="Normal 2 2 4 2 2 5 4 3" xfId="22953" xr:uid="{00000000-0005-0000-0000-0000A9590000}"/>
    <cellStyle name="Normal 2 2 4 2 2 5 4 4" xfId="22954" xr:uid="{00000000-0005-0000-0000-0000AA590000}"/>
    <cellStyle name="Normal 2 2 4 2 2 5 4 5" xfId="22955" xr:uid="{00000000-0005-0000-0000-0000AB590000}"/>
    <cellStyle name="Normal 2 2 4 2 2 5 4 6" xfId="22956" xr:uid="{00000000-0005-0000-0000-0000AC590000}"/>
    <cellStyle name="Normal 2 2 4 2 2 5 4 7" xfId="22957" xr:uid="{00000000-0005-0000-0000-0000AD590000}"/>
    <cellStyle name="Normal 2 2 4 2 2 5 4 8" xfId="22958" xr:uid="{00000000-0005-0000-0000-0000AE590000}"/>
    <cellStyle name="Normal 2 2 4 2 2 5 4 9" xfId="22959" xr:uid="{00000000-0005-0000-0000-0000AF590000}"/>
    <cellStyle name="Normal 2 2 4 2 2 5 5" xfId="22960" xr:uid="{00000000-0005-0000-0000-0000B0590000}"/>
    <cellStyle name="Normal 2 2 4 2 2 5 5 10" xfId="22961" xr:uid="{00000000-0005-0000-0000-0000B1590000}"/>
    <cellStyle name="Normal 2 2 4 2 2 5 5 2" xfId="22962" xr:uid="{00000000-0005-0000-0000-0000B2590000}"/>
    <cellStyle name="Normal 2 2 4 2 2 5 5 3" xfId="22963" xr:uid="{00000000-0005-0000-0000-0000B3590000}"/>
    <cellStyle name="Normal 2 2 4 2 2 5 5 4" xfId="22964" xr:uid="{00000000-0005-0000-0000-0000B4590000}"/>
    <cellStyle name="Normal 2 2 4 2 2 5 5 5" xfId="22965" xr:uid="{00000000-0005-0000-0000-0000B5590000}"/>
    <cellStyle name="Normal 2 2 4 2 2 5 5 6" xfId="22966" xr:uid="{00000000-0005-0000-0000-0000B6590000}"/>
    <cellStyle name="Normal 2 2 4 2 2 5 5 7" xfId="22967" xr:uid="{00000000-0005-0000-0000-0000B7590000}"/>
    <cellStyle name="Normal 2 2 4 2 2 5 5 8" xfId="22968" xr:uid="{00000000-0005-0000-0000-0000B8590000}"/>
    <cellStyle name="Normal 2 2 4 2 2 5 5 9" xfId="22969" xr:uid="{00000000-0005-0000-0000-0000B9590000}"/>
    <cellStyle name="Normal 2 2 4 2 2 5 6" xfId="22970" xr:uid="{00000000-0005-0000-0000-0000BA590000}"/>
    <cellStyle name="Normal 2 2 4 2 2 5 7" xfId="22971" xr:uid="{00000000-0005-0000-0000-0000BB590000}"/>
    <cellStyle name="Normal 2 2 4 2 2 5 8" xfId="22972" xr:uid="{00000000-0005-0000-0000-0000BC590000}"/>
    <cellStyle name="Normal 2 2 4 2 2 5 9" xfId="22973" xr:uid="{00000000-0005-0000-0000-0000BD590000}"/>
    <cellStyle name="Normal 2 2 4 2 2 6" xfId="22974" xr:uid="{00000000-0005-0000-0000-0000BE590000}"/>
    <cellStyle name="Normal 2 2 4 2 2 6 10" xfId="22975" xr:uid="{00000000-0005-0000-0000-0000BF590000}"/>
    <cellStyle name="Normal 2 2 4 2 2 6 11" xfId="22976" xr:uid="{00000000-0005-0000-0000-0000C0590000}"/>
    <cellStyle name="Normal 2 2 4 2 2 6 12" xfId="22977" xr:uid="{00000000-0005-0000-0000-0000C1590000}"/>
    <cellStyle name="Normal 2 2 4 2 2 6 13" xfId="22978" xr:uid="{00000000-0005-0000-0000-0000C2590000}"/>
    <cellStyle name="Normal 2 2 4 2 2 6 14" xfId="22979" xr:uid="{00000000-0005-0000-0000-0000C3590000}"/>
    <cellStyle name="Normal 2 2 4 2 2 6 2" xfId="22980" xr:uid="{00000000-0005-0000-0000-0000C4590000}"/>
    <cellStyle name="Normal 2 2 4 2 2 6 2 10" xfId="22981" xr:uid="{00000000-0005-0000-0000-0000C5590000}"/>
    <cellStyle name="Normal 2 2 4 2 2 6 2 2" xfId="22982" xr:uid="{00000000-0005-0000-0000-0000C6590000}"/>
    <cellStyle name="Normal 2 2 4 2 2 6 2 3" xfId="22983" xr:uid="{00000000-0005-0000-0000-0000C7590000}"/>
    <cellStyle name="Normal 2 2 4 2 2 6 2 4" xfId="22984" xr:uid="{00000000-0005-0000-0000-0000C8590000}"/>
    <cellStyle name="Normal 2 2 4 2 2 6 2 5" xfId="22985" xr:uid="{00000000-0005-0000-0000-0000C9590000}"/>
    <cellStyle name="Normal 2 2 4 2 2 6 2 6" xfId="22986" xr:uid="{00000000-0005-0000-0000-0000CA590000}"/>
    <cellStyle name="Normal 2 2 4 2 2 6 2 7" xfId="22987" xr:uid="{00000000-0005-0000-0000-0000CB590000}"/>
    <cellStyle name="Normal 2 2 4 2 2 6 2 8" xfId="22988" xr:uid="{00000000-0005-0000-0000-0000CC590000}"/>
    <cellStyle name="Normal 2 2 4 2 2 6 2 9" xfId="22989" xr:uid="{00000000-0005-0000-0000-0000CD590000}"/>
    <cellStyle name="Normal 2 2 4 2 2 6 3" xfId="22990" xr:uid="{00000000-0005-0000-0000-0000CE590000}"/>
    <cellStyle name="Normal 2 2 4 2 2 6 3 10" xfId="22991" xr:uid="{00000000-0005-0000-0000-0000CF590000}"/>
    <cellStyle name="Normal 2 2 4 2 2 6 3 2" xfId="22992" xr:uid="{00000000-0005-0000-0000-0000D0590000}"/>
    <cellStyle name="Normal 2 2 4 2 2 6 3 3" xfId="22993" xr:uid="{00000000-0005-0000-0000-0000D1590000}"/>
    <cellStyle name="Normal 2 2 4 2 2 6 3 4" xfId="22994" xr:uid="{00000000-0005-0000-0000-0000D2590000}"/>
    <cellStyle name="Normal 2 2 4 2 2 6 3 5" xfId="22995" xr:uid="{00000000-0005-0000-0000-0000D3590000}"/>
    <cellStyle name="Normal 2 2 4 2 2 6 3 6" xfId="22996" xr:uid="{00000000-0005-0000-0000-0000D4590000}"/>
    <cellStyle name="Normal 2 2 4 2 2 6 3 7" xfId="22997" xr:uid="{00000000-0005-0000-0000-0000D5590000}"/>
    <cellStyle name="Normal 2 2 4 2 2 6 3 8" xfId="22998" xr:uid="{00000000-0005-0000-0000-0000D6590000}"/>
    <cellStyle name="Normal 2 2 4 2 2 6 3 9" xfId="22999" xr:uid="{00000000-0005-0000-0000-0000D7590000}"/>
    <cellStyle name="Normal 2 2 4 2 2 6 4" xfId="23000" xr:uid="{00000000-0005-0000-0000-0000D8590000}"/>
    <cellStyle name="Normal 2 2 4 2 2 6 4 10" xfId="23001" xr:uid="{00000000-0005-0000-0000-0000D9590000}"/>
    <cellStyle name="Normal 2 2 4 2 2 6 4 2" xfId="23002" xr:uid="{00000000-0005-0000-0000-0000DA590000}"/>
    <cellStyle name="Normal 2 2 4 2 2 6 4 3" xfId="23003" xr:uid="{00000000-0005-0000-0000-0000DB590000}"/>
    <cellStyle name="Normal 2 2 4 2 2 6 4 4" xfId="23004" xr:uid="{00000000-0005-0000-0000-0000DC590000}"/>
    <cellStyle name="Normal 2 2 4 2 2 6 4 5" xfId="23005" xr:uid="{00000000-0005-0000-0000-0000DD590000}"/>
    <cellStyle name="Normal 2 2 4 2 2 6 4 6" xfId="23006" xr:uid="{00000000-0005-0000-0000-0000DE590000}"/>
    <cellStyle name="Normal 2 2 4 2 2 6 4 7" xfId="23007" xr:uid="{00000000-0005-0000-0000-0000DF590000}"/>
    <cellStyle name="Normal 2 2 4 2 2 6 4 8" xfId="23008" xr:uid="{00000000-0005-0000-0000-0000E0590000}"/>
    <cellStyle name="Normal 2 2 4 2 2 6 4 9" xfId="23009" xr:uid="{00000000-0005-0000-0000-0000E1590000}"/>
    <cellStyle name="Normal 2 2 4 2 2 6 5" xfId="23010" xr:uid="{00000000-0005-0000-0000-0000E2590000}"/>
    <cellStyle name="Normal 2 2 4 2 2 6 5 10" xfId="23011" xr:uid="{00000000-0005-0000-0000-0000E3590000}"/>
    <cellStyle name="Normal 2 2 4 2 2 6 5 2" xfId="23012" xr:uid="{00000000-0005-0000-0000-0000E4590000}"/>
    <cellStyle name="Normal 2 2 4 2 2 6 5 3" xfId="23013" xr:uid="{00000000-0005-0000-0000-0000E5590000}"/>
    <cellStyle name="Normal 2 2 4 2 2 6 5 4" xfId="23014" xr:uid="{00000000-0005-0000-0000-0000E6590000}"/>
    <cellStyle name="Normal 2 2 4 2 2 6 5 5" xfId="23015" xr:uid="{00000000-0005-0000-0000-0000E7590000}"/>
    <cellStyle name="Normal 2 2 4 2 2 6 5 6" xfId="23016" xr:uid="{00000000-0005-0000-0000-0000E8590000}"/>
    <cellStyle name="Normal 2 2 4 2 2 6 5 7" xfId="23017" xr:uid="{00000000-0005-0000-0000-0000E9590000}"/>
    <cellStyle name="Normal 2 2 4 2 2 6 5 8" xfId="23018" xr:uid="{00000000-0005-0000-0000-0000EA590000}"/>
    <cellStyle name="Normal 2 2 4 2 2 6 5 9" xfId="23019" xr:uid="{00000000-0005-0000-0000-0000EB590000}"/>
    <cellStyle name="Normal 2 2 4 2 2 6 6" xfId="23020" xr:uid="{00000000-0005-0000-0000-0000EC590000}"/>
    <cellStyle name="Normal 2 2 4 2 2 6 7" xfId="23021" xr:uid="{00000000-0005-0000-0000-0000ED590000}"/>
    <cellStyle name="Normal 2 2 4 2 2 6 8" xfId="23022" xr:uid="{00000000-0005-0000-0000-0000EE590000}"/>
    <cellStyle name="Normal 2 2 4 2 2 6 9" xfId="23023" xr:uid="{00000000-0005-0000-0000-0000EF590000}"/>
    <cellStyle name="Normal 2 2 4 2 2 7" xfId="23024" xr:uid="{00000000-0005-0000-0000-0000F0590000}"/>
    <cellStyle name="Normal 2 2 4 2 2 7 10" xfId="23025" xr:uid="{00000000-0005-0000-0000-0000F1590000}"/>
    <cellStyle name="Normal 2 2 4 2 2 7 11" xfId="23026" xr:uid="{00000000-0005-0000-0000-0000F2590000}"/>
    <cellStyle name="Normal 2 2 4 2 2 7 12" xfId="23027" xr:uid="{00000000-0005-0000-0000-0000F3590000}"/>
    <cellStyle name="Normal 2 2 4 2 2 7 13" xfId="23028" xr:uid="{00000000-0005-0000-0000-0000F4590000}"/>
    <cellStyle name="Normal 2 2 4 2 2 7 14" xfId="23029" xr:uid="{00000000-0005-0000-0000-0000F5590000}"/>
    <cellStyle name="Normal 2 2 4 2 2 7 2" xfId="23030" xr:uid="{00000000-0005-0000-0000-0000F6590000}"/>
    <cellStyle name="Normal 2 2 4 2 2 7 2 10" xfId="23031" xr:uid="{00000000-0005-0000-0000-0000F7590000}"/>
    <cellStyle name="Normal 2 2 4 2 2 7 2 2" xfId="23032" xr:uid="{00000000-0005-0000-0000-0000F8590000}"/>
    <cellStyle name="Normal 2 2 4 2 2 7 2 3" xfId="23033" xr:uid="{00000000-0005-0000-0000-0000F9590000}"/>
    <cellStyle name="Normal 2 2 4 2 2 7 2 4" xfId="23034" xr:uid="{00000000-0005-0000-0000-0000FA590000}"/>
    <cellStyle name="Normal 2 2 4 2 2 7 2 5" xfId="23035" xr:uid="{00000000-0005-0000-0000-0000FB590000}"/>
    <cellStyle name="Normal 2 2 4 2 2 7 2 6" xfId="23036" xr:uid="{00000000-0005-0000-0000-0000FC590000}"/>
    <cellStyle name="Normal 2 2 4 2 2 7 2 7" xfId="23037" xr:uid="{00000000-0005-0000-0000-0000FD590000}"/>
    <cellStyle name="Normal 2 2 4 2 2 7 2 8" xfId="23038" xr:uid="{00000000-0005-0000-0000-0000FE590000}"/>
    <cellStyle name="Normal 2 2 4 2 2 7 2 9" xfId="23039" xr:uid="{00000000-0005-0000-0000-0000FF590000}"/>
    <cellStyle name="Normal 2 2 4 2 2 7 3" xfId="23040" xr:uid="{00000000-0005-0000-0000-0000005A0000}"/>
    <cellStyle name="Normal 2 2 4 2 2 7 3 10" xfId="23041" xr:uid="{00000000-0005-0000-0000-0000015A0000}"/>
    <cellStyle name="Normal 2 2 4 2 2 7 3 2" xfId="23042" xr:uid="{00000000-0005-0000-0000-0000025A0000}"/>
    <cellStyle name="Normal 2 2 4 2 2 7 3 3" xfId="23043" xr:uid="{00000000-0005-0000-0000-0000035A0000}"/>
    <cellStyle name="Normal 2 2 4 2 2 7 3 4" xfId="23044" xr:uid="{00000000-0005-0000-0000-0000045A0000}"/>
    <cellStyle name="Normal 2 2 4 2 2 7 3 5" xfId="23045" xr:uid="{00000000-0005-0000-0000-0000055A0000}"/>
    <cellStyle name="Normal 2 2 4 2 2 7 3 6" xfId="23046" xr:uid="{00000000-0005-0000-0000-0000065A0000}"/>
    <cellStyle name="Normal 2 2 4 2 2 7 3 7" xfId="23047" xr:uid="{00000000-0005-0000-0000-0000075A0000}"/>
    <cellStyle name="Normal 2 2 4 2 2 7 3 8" xfId="23048" xr:uid="{00000000-0005-0000-0000-0000085A0000}"/>
    <cellStyle name="Normal 2 2 4 2 2 7 3 9" xfId="23049" xr:uid="{00000000-0005-0000-0000-0000095A0000}"/>
    <cellStyle name="Normal 2 2 4 2 2 7 4" xfId="23050" xr:uid="{00000000-0005-0000-0000-00000A5A0000}"/>
    <cellStyle name="Normal 2 2 4 2 2 7 4 10" xfId="23051" xr:uid="{00000000-0005-0000-0000-00000B5A0000}"/>
    <cellStyle name="Normal 2 2 4 2 2 7 4 2" xfId="23052" xr:uid="{00000000-0005-0000-0000-00000C5A0000}"/>
    <cellStyle name="Normal 2 2 4 2 2 7 4 3" xfId="23053" xr:uid="{00000000-0005-0000-0000-00000D5A0000}"/>
    <cellStyle name="Normal 2 2 4 2 2 7 4 4" xfId="23054" xr:uid="{00000000-0005-0000-0000-00000E5A0000}"/>
    <cellStyle name="Normal 2 2 4 2 2 7 4 5" xfId="23055" xr:uid="{00000000-0005-0000-0000-00000F5A0000}"/>
    <cellStyle name="Normal 2 2 4 2 2 7 4 6" xfId="23056" xr:uid="{00000000-0005-0000-0000-0000105A0000}"/>
    <cellStyle name="Normal 2 2 4 2 2 7 4 7" xfId="23057" xr:uid="{00000000-0005-0000-0000-0000115A0000}"/>
    <cellStyle name="Normal 2 2 4 2 2 7 4 8" xfId="23058" xr:uid="{00000000-0005-0000-0000-0000125A0000}"/>
    <cellStyle name="Normal 2 2 4 2 2 7 4 9" xfId="23059" xr:uid="{00000000-0005-0000-0000-0000135A0000}"/>
    <cellStyle name="Normal 2 2 4 2 2 7 5" xfId="23060" xr:uid="{00000000-0005-0000-0000-0000145A0000}"/>
    <cellStyle name="Normal 2 2 4 2 2 7 5 10" xfId="23061" xr:uid="{00000000-0005-0000-0000-0000155A0000}"/>
    <cellStyle name="Normal 2 2 4 2 2 7 5 2" xfId="23062" xr:uid="{00000000-0005-0000-0000-0000165A0000}"/>
    <cellStyle name="Normal 2 2 4 2 2 7 5 3" xfId="23063" xr:uid="{00000000-0005-0000-0000-0000175A0000}"/>
    <cellStyle name="Normal 2 2 4 2 2 7 5 4" xfId="23064" xr:uid="{00000000-0005-0000-0000-0000185A0000}"/>
    <cellStyle name="Normal 2 2 4 2 2 7 5 5" xfId="23065" xr:uid="{00000000-0005-0000-0000-0000195A0000}"/>
    <cellStyle name="Normal 2 2 4 2 2 7 5 6" xfId="23066" xr:uid="{00000000-0005-0000-0000-00001A5A0000}"/>
    <cellStyle name="Normal 2 2 4 2 2 7 5 7" xfId="23067" xr:uid="{00000000-0005-0000-0000-00001B5A0000}"/>
    <cellStyle name="Normal 2 2 4 2 2 7 5 8" xfId="23068" xr:uid="{00000000-0005-0000-0000-00001C5A0000}"/>
    <cellStyle name="Normal 2 2 4 2 2 7 5 9" xfId="23069" xr:uid="{00000000-0005-0000-0000-00001D5A0000}"/>
    <cellStyle name="Normal 2 2 4 2 2 7 6" xfId="23070" xr:uid="{00000000-0005-0000-0000-00001E5A0000}"/>
    <cellStyle name="Normal 2 2 4 2 2 7 7" xfId="23071" xr:uid="{00000000-0005-0000-0000-00001F5A0000}"/>
    <cellStyle name="Normal 2 2 4 2 2 7 8" xfId="23072" xr:uid="{00000000-0005-0000-0000-0000205A0000}"/>
    <cellStyle name="Normal 2 2 4 2 2 7 9" xfId="23073" xr:uid="{00000000-0005-0000-0000-0000215A0000}"/>
    <cellStyle name="Normal 2 2 4 2 2 8" xfId="23074" xr:uid="{00000000-0005-0000-0000-0000225A0000}"/>
    <cellStyle name="Normal 2 2 4 2 2 8 10" xfId="23075" xr:uid="{00000000-0005-0000-0000-0000235A0000}"/>
    <cellStyle name="Normal 2 2 4 2 2 8 11" xfId="23076" xr:uid="{00000000-0005-0000-0000-0000245A0000}"/>
    <cellStyle name="Normal 2 2 4 2 2 8 12" xfId="23077" xr:uid="{00000000-0005-0000-0000-0000255A0000}"/>
    <cellStyle name="Normal 2 2 4 2 2 8 13" xfId="23078" xr:uid="{00000000-0005-0000-0000-0000265A0000}"/>
    <cellStyle name="Normal 2 2 4 2 2 8 14" xfId="23079" xr:uid="{00000000-0005-0000-0000-0000275A0000}"/>
    <cellStyle name="Normal 2 2 4 2 2 8 2" xfId="23080" xr:uid="{00000000-0005-0000-0000-0000285A0000}"/>
    <cellStyle name="Normal 2 2 4 2 2 8 2 10" xfId="23081" xr:uid="{00000000-0005-0000-0000-0000295A0000}"/>
    <cellStyle name="Normal 2 2 4 2 2 8 2 2" xfId="23082" xr:uid="{00000000-0005-0000-0000-00002A5A0000}"/>
    <cellStyle name="Normal 2 2 4 2 2 8 2 3" xfId="23083" xr:uid="{00000000-0005-0000-0000-00002B5A0000}"/>
    <cellStyle name="Normal 2 2 4 2 2 8 2 4" xfId="23084" xr:uid="{00000000-0005-0000-0000-00002C5A0000}"/>
    <cellStyle name="Normal 2 2 4 2 2 8 2 5" xfId="23085" xr:uid="{00000000-0005-0000-0000-00002D5A0000}"/>
    <cellStyle name="Normal 2 2 4 2 2 8 2 6" xfId="23086" xr:uid="{00000000-0005-0000-0000-00002E5A0000}"/>
    <cellStyle name="Normal 2 2 4 2 2 8 2 7" xfId="23087" xr:uid="{00000000-0005-0000-0000-00002F5A0000}"/>
    <cellStyle name="Normal 2 2 4 2 2 8 2 8" xfId="23088" xr:uid="{00000000-0005-0000-0000-0000305A0000}"/>
    <cellStyle name="Normal 2 2 4 2 2 8 2 9" xfId="23089" xr:uid="{00000000-0005-0000-0000-0000315A0000}"/>
    <cellStyle name="Normal 2 2 4 2 2 8 3" xfId="23090" xr:uid="{00000000-0005-0000-0000-0000325A0000}"/>
    <cellStyle name="Normal 2 2 4 2 2 8 3 10" xfId="23091" xr:uid="{00000000-0005-0000-0000-0000335A0000}"/>
    <cellStyle name="Normal 2 2 4 2 2 8 3 2" xfId="23092" xr:uid="{00000000-0005-0000-0000-0000345A0000}"/>
    <cellStyle name="Normal 2 2 4 2 2 8 3 3" xfId="23093" xr:uid="{00000000-0005-0000-0000-0000355A0000}"/>
    <cellStyle name="Normal 2 2 4 2 2 8 3 4" xfId="23094" xr:uid="{00000000-0005-0000-0000-0000365A0000}"/>
    <cellStyle name="Normal 2 2 4 2 2 8 3 5" xfId="23095" xr:uid="{00000000-0005-0000-0000-0000375A0000}"/>
    <cellStyle name="Normal 2 2 4 2 2 8 3 6" xfId="23096" xr:uid="{00000000-0005-0000-0000-0000385A0000}"/>
    <cellStyle name="Normal 2 2 4 2 2 8 3 7" xfId="23097" xr:uid="{00000000-0005-0000-0000-0000395A0000}"/>
    <cellStyle name="Normal 2 2 4 2 2 8 3 8" xfId="23098" xr:uid="{00000000-0005-0000-0000-00003A5A0000}"/>
    <cellStyle name="Normal 2 2 4 2 2 8 3 9" xfId="23099" xr:uid="{00000000-0005-0000-0000-00003B5A0000}"/>
    <cellStyle name="Normal 2 2 4 2 2 8 4" xfId="23100" xr:uid="{00000000-0005-0000-0000-00003C5A0000}"/>
    <cellStyle name="Normal 2 2 4 2 2 8 4 10" xfId="23101" xr:uid="{00000000-0005-0000-0000-00003D5A0000}"/>
    <cellStyle name="Normal 2 2 4 2 2 8 4 2" xfId="23102" xr:uid="{00000000-0005-0000-0000-00003E5A0000}"/>
    <cellStyle name="Normal 2 2 4 2 2 8 4 3" xfId="23103" xr:uid="{00000000-0005-0000-0000-00003F5A0000}"/>
    <cellStyle name="Normal 2 2 4 2 2 8 4 4" xfId="23104" xr:uid="{00000000-0005-0000-0000-0000405A0000}"/>
    <cellStyle name="Normal 2 2 4 2 2 8 4 5" xfId="23105" xr:uid="{00000000-0005-0000-0000-0000415A0000}"/>
    <cellStyle name="Normal 2 2 4 2 2 8 4 6" xfId="23106" xr:uid="{00000000-0005-0000-0000-0000425A0000}"/>
    <cellStyle name="Normal 2 2 4 2 2 8 4 7" xfId="23107" xr:uid="{00000000-0005-0000-0000-0000435A0000}"/>
    <cellStyle name="Normal 2 2 4 2 2 8 4 8" xfId="23108" xr:uid="{00000000-0005-0000-0000-0000445A0000}"/>
    <cellStyle name="Normal 2 2 4 2 2 8 4 9" xfId="23109" xr:uid="{00000000-0005-0000-0000-0000455A0000}"/>
    <cellStyle name="Normal 2 2 4 2 2 8 5" xfId="23110" xr:uid="{00000000-0005-0000-0000-0000465A0000}"/>
    <cellStyle name="Normal 2 2 4 2 2 8 5 10" xfId="23111" xr:uid="{00000000-0005-0000-0000-0000475A0000}"/>
    <cellStyle name="Normal 2 2 4 2 2 8 5 2" xfId="23112" xr:uid="{00000000-0005-0000-0000-0000485A0000}"/>
    <cellStyle name="Normal 2 2 4 2 2 8 5 3" xfId="23113" xr:uid="{00000000-0005-0000-0000-0000495A0000}"/>
    <cellStyle name="Normal 2 2 4 2 2 8 5 4" xfId="23114" xr:uid="{00000000-0005-0000-0000-00004A5A0000}"/>
    <cellStyle name="Normal 2 2 4 2 2 8 5 5" xfId="23115" xr:uid="{00000000-0005-0000-0000-00004B5A0000}"/>
    <cellStyle name="Normal 2 2 4 2 2 8 5 6" xfId="23116" xr:uid="{00000000-0005-0000-0000-00004C5A0000}"/>
    <cellStyle name="Normal 2 2 4 2 2 8 5 7" xfId="23117" xr:uid="{00000000-0005-0000-0000-00004D5A0000}"/>
    <cellStyle name="Normal 2 2 4 2 2 8 5 8" xfId="23118" xr:uid="{00000000-0005-0000-0000-00004E5A0000}"/>
    <cellStyle name="Normal 2 2 4 2 2 8 5 9" xfId="23119" xr:uid="{00000000-0005-0000-0000-00004F5A0000}"/>
    <cellStyle name="Normal 2 2 4 2 2 8 6" xfId="23120" xr:uid="{00000000-0005-0000-0000-0000505A0000}"/>
    <cellStyle name="Normal 2 2 4 2 2 8 7" xfId="23121" xr:uid="{00000000-0005-0000-0000-0000515A0000}"/>
    <cellStyle name="Normal 2 2 4 2 2 8 8" xfId="23122" xr:uid="{00000000-0005-0000-0000-0000525A0000}"/>
    <cellStyle name="Normal 2 2 4 2 2 8 9" xfId="23123" xr:uid="{00000000-0005-0000-0000-0000535A0000}"/>
    <cellStyle name="Normal 2 2 4 2 2 9" xfId="23124" xr:uid="{00000000-0005-0000-0000-0000545A0000}"/>
    <cellStyle name="Normal 2 2 4 2 2 9 10" xfId="23125" xr:uid="{00000000-0005-0000-0000-0000555A0000}"/>
    <cellStyle name="Normal 2 2 4 2 2 9 11" xfId="23126" xr:uid="{00000000-0005-0000-0000-0000565A0000}"/>
    <cellStyle name="Normal 2 2 4 2 2 9 12" xfId="23127" xr:uid="{00000000-0005-0000-0000-0000575A0000}"/>
    <cellStyle name="Normal 2 2 4 2 2 9 13" xfId="23128" xr:uid="{00000000-0005-0000-0000-0000585A0000}"/>
    <cellStyle name="Normal 2 2 4 2 2 9 14" xfId="23129" xr:uid="{00000000-0005-0000-0000-0000595A0000}"/>
    <cellStyle name="Normal 2 2 4 2 2 9 2" xfId="23130" xr:uid="{00000000-0005-0000-0000-00005A5A0000}"/>
    <cellStyle name="Normal 2 2 4 2 2 9 2 10" xfId="23131" xr:uid="{00000000-0005-0000-0000-00005B5A0000}"/>
    <cellStyle name="Normal 2 2 4 2 2 9 2 2" xfId="23132" xr:uid="{00000000-0005-0000-0000-00005C5A0000}"/>
    <cellStyle name="Normal 2 2 4 2 2 9 2 3" xfId="23133" xr:uid="{00000000-0005-0000-0000-00005D5A0000}"/>
    <cellStyle name="Normal 2 2 4 2 2 9 2 4" xfId="23134" xr:uid="{00000000-0005-0000-0000-00005E5A0000}"/>
    <cellStyle name="Normal 2 2 4 2 2 9 2 5" xfId="23135" xr:uid="{00000000-0005-0000-0000-00005F5A0000}"/>
    <cellStyle name="Normal 2 2 4 2 2 9 2 6" xfId="23136" xr:uid="{00000000-0005-0000-0000-0000605A0000}"/>
    <cellStyle name="Normal 2 2 4 2 2 9 2 7" xfId="23137" xr:uid="{00000000-0005-0000-0000-0000615A0000}"/>
    <cellStyle name="Normal 2 2 4 2 2 9 2 8" xfId="23138" xr:uid="{00000000-0005-0000-0000-0000625A0000}"/>
    <cellStyle name="Normal 2 2 4 2 2 9 2 9" xfId="23139" xr:uid="{00000000-0005-0000-0000-0000635A0000}"/>
    <cellStyle name="Normal 2 2 4 2 2 9 3" xfId="23140" xr:uid="{00000000-0005-0000-0000-0000645A0000}"/>
    <cellStyle name="Normal 2 2 4 2 2 9 3 10" xfId="23141" xr:uid="{00000000-0005-0000-0000-0000655A0000}"/>
    <cellStyle name="Normal 2 2 4 2 2 9 3 2" xfId="23142" xr:uid="{00000000-0005-0000-0000-0000665A0000}"/>
    <cellStyle name="Normal 2 2 4 2 2 9 3 3" xfId="23143" xr:uid="{00000000-0005-0000-0000-0000675A0000}"/>
    <cellStyle name="Normal 2 2 4 2 2 9 3 4" xfId="23144" xr:uid="{00000000-0005-0000-0000-0000685A0000}"/>
    <cellStyle name="Normal 2 2 4 2 2 9 3 5" xfId="23145" xr:uid="{00000000-0005-0000-0000-0000695A0000}"/>
    <cellStyle name="Normal 2 2 4 2 2 9 3 6" xfId="23146" xr:uid="{00000000-0005-0000-0000-00006A5A0000}"/>
    <cellStyle name="Normal 2 2 4 2 2 9 3 7" xfId="23147" xr:uid="{00000000-0005-0000-0000-00006B5A0000}"/>
    <cellStyle name="Normal 2 2 4 2 2 9 3 8" xfId="23148" xr:uid="{00000000-0005-0000-0000-00006C5A0000}"/>
    <cellStyle name="Normal 2 2 4 2 2 9 3 9" xfId="23149" xr:uid="{00000000-0005-0000-0000-00006D5A0000}"/>
    <cellStyle name="Normal 2 2 4 2 2 9 4" xfId="23150" xr:uid="{00000000-0005-0000-0000-00006E5A0000}"/>
    <cellStyle name="Normal 2 2 4 2 2 9 4 10" xfId="23151" xr:uid="{00000000-0005-0000-0000-00006F5A0000}"/>
    <cellStyle name="Normal 2 2 4 2 2 9 4 2" xfId="23152" xr:uid="{00000000-0005-0000-0000-0000705A0000}"/>
    <cellStyle name="Normal 2 2 4 2 2 9 4 3" xfId="23153" xr:uid="{00000000-0005-0000-0000-0000715A0000}"/>
    <cellStyle name="Normal 2 2 4 2 2 9 4 4" xfId="23154" xr:uid="{00000000-0005-0000-0000-0000725A0000}"/>
    <cellStyle name="Normal 2 2 4 2 2 9 4 5" xfId="23155" xr:uid="{00000000-0005-0000-0000-0000735A0000}"/>
    <cellStyle name="Normal 2 2 4 2 2 9 4 6" xfId="23156" xr:uid="{00000000-0005-0000-0000-0000745A0000}"/>
    <cellStyle name="Normal 2 2 4 2 2 9 4 7" xfId="23157" xr:uid="{00000000-0005-0000-0000-0000755A0000}"/>
    <cellStyle name="Normal 2 2 4 2 2 9 4 8" xfId="23158" xr:uid="{00000000-0005-0000-0000-0000765A0000}"/>
    <cellStyle name="Normal 2 2 4 2 2 9 4 9" xfId="23159" xr:uid="{00000000-0005-0000-0000-0000775A0000}"/>
    <cellStyle name="Normal 2 2 4 2 2 9 5" xfId="23160" xr:uid="{00000000-0005-0000-0000-0000785A0000}"/>
    <cellStyle name="Normal 2 2 4 2 2 9 5 10" xfId="23161" xr:uid="{00000000-0005-0000-0000-0000795A0000}"/>
    <cellStyle name="Normal 2 2 4 2 2 9 5 2" xfId="23162" xr:uid="{00000000-0005-0000-0000-00007A5A0000}"/>
    <cellStyle name="Normal 2 2 4 2 2 9 5 3" xfId="23163" xr:uid="{00000000-0005-0000-0000-00007B5A0000}"/>
    <cellStyle name="Normal 2 2 4 2 2 9 5 4" xfId="23164" xr:uid="{00000000-0005-0000-0000-00007C5A0000}"/>
    <cellStyle name="Normal 2 2 4 2 2 9 5 5" xfId="23165" xr:uid="{00000000-0005-0000-0000-00007D5A0000}"/>
    <cellStyle name="Normal 2 2 4 2 2 9 5 6" xfId="23166" xr:uid="{00000000-0005-0000-0000-00007E5A0000}"/>
    <cellStyle name="Normal 2 2 4 2 2 9 5 7" xfId="23167" xr:uid="{00000000-0005-0000-0000-00007F5A0000}"/>
    <cellStyle name="Normal 2 2 4 2 2 9 5 8" xfId="23168" xr:uid="{00000000-0005-0000-0000-0000805A0000}"/>
    <cellStyle name="Normal 2 2 4 2 2 9 5 9" xfId="23169" xr:uid="{00000000-0005-0000-0000-0000815A0000}"/>
    <cellStyle name="Normal 2 2 4 2 2 9 6" xfId="23170" xr:uid="{00000000-0005-0000-0000-0000825A0000}"/>
    <cellStyle name="Normal 2 2 4 2 2 9 7" xfId="23171" xr:uid="{00000000-0005-0000-0000-0000835A0000}"/>
    <cellStyle name="Normal 2 2 4 2 2 9 8" xfId="23172" xr:uid="{00000000-0005-0000-0000-0000845A0000}"/>
    <cellStyle name="Normal 2 2 4 2 2 9 9" xfId="23173" xr:uid="{00000000-0005-0000-0000-0000855A0000}"/>
    <cellStyle name="Normal 2 2 4 2 20" xfId="23174" xr:uid="{00000000-0005-0000-0000-0000865A0000}"/>
    <cellStyle name="Normal 2 2 4 2 21" xfId="23175" xr:uid="{00000000-0005-0000-0000-0000875A0000}"/>
    <cellStyle name="Normal 2 2 4 2 21 10" xfId="23176" xr:uid="{00000000-0005-0000-0000-0000885A0000}"/>
    <cellStyle name="Normal 2 2 4 2 21 2" xfId="23177" xr:uid="{00000000-0005-0000-0000-0000895A0000}"/>
    <cellStyle name="Normal 2 2 4 2 21 3" xfId="23178" xr:uid="{00000000-0005-0000-0000-00008A5A0000}"/>
    <cellStyle name="Normal 2 2 4 2 21 4" xfId="23179" xr:uid="{00000000-0005-0000-0000-00008B5A0000}"/>
    <cellStyle name="Normal 2 2 4 2 21 5" xfId="23180" xr:uid="{00000000-0005-0000-0000-00008C5A0000}"/>
    <cellStyle name="Normal 2 2 4 2 21 6" xfId="23181" xr:uid="{00000000-0005-0000-0000-00008D5A0000}"/>
    <cellStyle name="Normal 2 2 4 2 21 7" xfId="23182" xr:uid="{00000000-0005-0000-0000-00008E5A0000}"/>
    <cellStyle name="Normal 2 2 4 2 21 8" xfId="23183" xr:uid="{00000000-0005-0000-0000-00008F5A0000}"/>
    <cellStyle name="Normal 2 2 4 2 21 9" xfId="23184" xr:uid="{00000000-0005-0000-0000-0000905A0000}"/>
    <cellStyle name="Normal 2 2 4 2 22" xfId="23185" xr:uid="{00000000-0005-0000-0000-0000915A0000}"/>
    <cellStyle name="Normal 2 2 4 2 22 10" xfId="23186" xr:uid="{00000000-0005-0000-0000-0000925A0000}"/>
    <cellStyle name="Normal 2 2 4 2 22 2" xfId="23187" xr:uid="{00000000-0005-0000-0000-0000935A0000}"/>
    <cellStyle name="Normal 2 2 4 2 22 3" xfId="23188" xr:uid="{00000000-0005-0000-0000-0000945A0000}"/>
    <cellStyle name="Normal 2 2 4 2 22 4" xfId="23189" xr:uid="{00000000-0005-0000-0000-0000955A0000}"/>
    <cellStyle name="Normal 2 2 4 2 22 5" xfId="23190" xr:uid="{00000000-0005-0000-0000-0000965A0000}"/>
    <cellStyle name="Normal 2 2 4 2 22 6" xfId="23191" xr:uid="{00000000-0005-0000-0000-0000975A0000}"/>
    <cellStyle name="Normal 2 2 4 2 22 7" xfId="23192" xr:uid="{00000000-0005-0000-0000-0000985A0000}"/>
    <cellStyle name="Normal 2 2 4 2 22 8" xfId="23193" xr:uid="{00000000-0005-0000-0000-0000995A0000}"/>
    <cellStyle name="Normal 2 2 4 2 22 9" xfId="23194" xr:uid="{00000000-0005-0000-0000-00009A5A0000}"/>
    <cellStyle name="Normal 2 2 4 2 23" xfId="23195" xr:uid="{00000000-0005-0000-0000-00009B5A0000}"/>
    <cellStyle name="Normal 2 2 4 2 23 10" xfId="23196" xr:uid="{00000000-0005-0000-0000-00009C5A0000}"/>
    <cellStyle name="Normal 2 2 4 2 23 2" xfId="23197" xr:uid="{00000000-0005-0000-0000-00009D5A0000}"/>
    <cellStyle name="Normal 2 2 4 2 23 3" xfId="23198" xr:uid="{00000000-0005-0000-0000-00009E5A0000}"/>
    <cellStyle name="Normal 2 2 4 2 23 4" xfId="23199" xr:uid="{00000000-0005-0000-0000-00009F5A0000}"/>
    <cellStyle name="Normal 2 2 4 2 23 5" xfId="23200" xr:uid="{00000000-0005-0000-0000-0000A05A0000}"/>
    <cellStyle name="Normal 2 2 4 2 23 6" xfId="23201" xr:uid="{00000000-0005-0000-0000-0000A15A0000}"/>
    <cellStyle name="Normal 2 2 4 2 23 7" xfId="23202" xr:uid="{00000000-0005-0000-0000-0000A25A0000}"/>
    <cellStyle name="Normal 2 2 4 2 23 8" xfId="23203" xr:uid="{00000000-0005-0000-0000-0000A35A0000}"/>
    <cellStyle name="Normal 2 2 4 2 23 9" xfId="23204" xr:uid="{00000000-0005-0000-0000-0000A45A0000}"/>
    <cellStyle name="Normal 2 2 4 2 24" xfId="23205" xr:uid="{00000000-0005-0000-0000-0000A55A0000}"/>
    <cellStyle name="Normal 2 2 4 2 24 10" xfId="23206" xr:uid="{00000000-0005-0000-0000-0000A65A0000}"/>
    <cellStyle name="Normal 2 2 4 2 24 2" xfId="23207" xr:uid="{00000000-0005-0000-0000-0000A75A0000}"/>
    <cellStyle name="Normal 2 2 4 2 24 3" xfId="23208" xr:uid="{00000000-0005-0000-0000-0000A85A0000}"/>
    <cellStyle name="Normal 2 2 4 2 24 4" xfId="23209" xr:uid="{00000000-0005-0000-0000-0000A95A0000}"/>
    <cellStyle name="Normal 2 2 4 2 24 5" xfId="23210" xr:uid="{00000000-0005-0000-0000-0000AA5A0000}"/>
    <cellStyle name="Normal 2 2 4 2 24 6" xfId="23211" xr:uid="{00000000-0005-0000-0000-0000AB5A0000}"/>
    <cellStyle name="Normal 2 2 4 2 24 7" xfId="23212" xr:uid="{00000000-0005-0000-0000-0000AC5A0000}"/>
    <cellStyle name="Normal 2 2 4 2 24 8" xfId="23213" xr:uid="{00000000-0005-0000-0000-0000AD5A0000}"/>
    <cellStyle name="Normal 2 2 4 2 24 9" xfId="23214" xr:uid="{00000000-0005-0000-0000-0000AE5A0000}"/>
    <cellStyle name="Normal 2 2 4 2 25" xfId="23215" xr:uid="{00000000-0005-0000-0000-0000AF5A0000}"/>
    <cellStyle name="Normal 2 2 4 2 26" xfId="23216" xr:uid="{00000000-0005-0000-0000-0000B05A0000}"/>
    <cellStyle name="Normal 2 2 4 2 27" xfId="23217" xr:uid="{00000000-0005-0000-0000-0000B15A0000}"/>
    <cellStyle name="Normal 2 2 4 2 28" xfId="23218" xr:uid="{00000000-0005-0000-0000-0000B25A0000}"/>
    <cellStyle name="Normal 2 2 4 2 29" xfId="23219" xr:uid="{00000000-0005-0000-0000-0000B35A0000}"/>
    <cellStyle name="Normal 2 2 4 2 3" xfId="23220" xr:uid="{00000000-0005-0000-0000-0000B45A0000}"/>
    <cellStyle name="Normal 2 2 4 2 30" xfId="23221" xr:uid="{00000000-0005-0000-0000-0000B55A0000}"/>
    <cellStyle name="Normal 2 2 4 2 31" xfId="23222" xr:uid="{00000000-0005-0000-0000-0000B65A0000}"/>
    <cellStyle name="Normal 2 2 4 2 32" xfId="23223" xr:uid="{00000000-0005-0000-0000-0000B75A0000}"/>
    <cellStyle name="Normal 2 2 4 2 33" xfId="23224" xr:uid="{00000000-0005-0000-0000-0000B85A0000}"/>
    <cellStyle name="Normal 2 2 4 2 4" xfId="23225" xr:uid="{00000000-0005-0000-0000-0000B95A0000}"/>
    <cellStyle name="Normal 2 2 4 2 5" xfId="23226" xr:uid="{00000000-0005-0000-0000-0000BA5A0000}"/>
    <cellStyle name="Normal 2 2 4 2 6" xfId="23227" xr:uid="{00000000-0005-0000-0000-0000BB5A0000}"/>
    <cellStyle name="Normal 2 2 4 2 7" xfId="23228" xr:uid="{00000000-0005-0000-0000-0000BC5A0000}"/>
    <cellStyle name="Normal 2 2 4 2 8" xfId="23229" xr:uid="{00000000-0005-0000-0000-0000BD5A0000}"/>
    <cellStyle name="Normal 2 2 4 2 9" xfId="23230" xr:uid="{00000000-0005-0000-0000-0000BE5A0000}"/>
    <cellStyle name="Normal 2 2 4 20" xfId="23231" xr:uid="{00000000-0005-0000-0000-0000BF5A0000}"/>
    <cellStyle name="Normal 2 2 4 20 10" xfId="23232" xr:uid="{00000000-0005-0000-0000-0000C05A0000}"/>
    <cellStyle name="Normal 2 2 4 20 11" xfId="23233" xr:uid="{00000000-0005-0000-0000-0000C15A0000}"/>
    <cellStyle name="Normal 2 2 4 20 12" xfId="23234" xr:uid="{00000000-0005-0000-0000-0000C25A0000}"/>
    <cellStyle name="Normal 2 2 4 20 13" xfId="23235" xr:uid="{00000000-0005-0000-0000-0000C35A0000}"/>
    <cellStyle name="Normal 2 2 4 20 14" xfId="23236" xr:uid="{00000000-0005-0000-0000-0000C45A0000}"/>
    <cellStyle name="Normal 2 2 4 20 2" xfId="23237" xr:uid="{00000000-0005-0000-0000-0000C55A0000}"/>
    <cellStyle name="Normal 2 2 4 20 2 10" xfId="23238" xr:uid="{00000000-0005-0000-0000-0000C65A0000}"/>
    <cellStyle name="Normal 2 2 4 20 2 2" xfId="23239" xr:uid="{00000000-0005-0000-0000-0000C75A0000}"/>
    <cellStyle name="Normal 2 2 4 20 2 3" xfId="23240" xr:uid="{00000000-0005-0000-0000-0000C85A0000}"/>
    <cellStyle name="Normal 2 2 4 20 2 4" xfId="23241" xr:uid="{00000000-0005-0000-0000-0000C95A0000}"/>
    <cellStyle name="Normal 2 2 4 20 2 5" xfId="23242" xr:uid="{00000000-0005-0000-0000-0000CA5A0000}"/>
    <cellStyle name="Normal 2 2 4 20 2 6" xfId="23243" xr:uid="{00000000-0005-0000-0000-0000CB5A0000}"/>
    <cellStyle name="Normal 2 2 4 20 2 7" xfId="23244" xr:uid="{00000000-0005-0000-0000-0000CC5A0000}"/>
    <cellStyle name="Normal 2 2 4 20 2 8" xfId="23245" xr:uid="{00000000-0005-0000-0000-0000CD5A0000}"/>
    <cellStyle name="Normal 2 2 4 20 2 9" xfId="23246" xr:uid="{00000000-0005-0000-0000-0000CE5A0000}"/>
    <cellStyle name="Normal 2 2 4 20 3" xfId="23247" xr:uid="{00000000-0005-0000-0000-0000CF5A0000}"/>
    <cellStyle name="Normal 2 2 4 20 3 10" xfId="23248" xr:uid="{00000000-0005-0000-0000-0000D05A0000}"/>
    <cellStyle name="Normal 2 2 4 20 3 2" xfId="23249" xr:uid="{00000000-0005-0000-0000-0000D15A0000}"/>
    <cellStyle name="Normal 2 2 4 20 3 3" xfId="23250" xr:uid="{00000000-0005-0000-0000-0000D25A0000}"/>
    <cellStyle name="Normal 2 2 4 20 3 4" xfId="23251" xr:uid="{00000000-0005-0000-0000-0000D35A0000}"/>
    <cellStyle name="Normal 2 2 4 20 3 5" xfId="23252" xr:uid="{00000000-0005-0000-0000-0000D45A0000}"/>
    <cellStyle name="Normal 2 2 4 20 3 6" xfId="23253" xr:uid="{00000000-0005-0000-0000-0000D55A0000}"/>
    <cellStyle name="Normal 2 2 4 20 3 7" xfId="23254" xr:uid="{00000000-0005-0000-0000-0000D65A0000}"/>
    <cellStyle name="Normal 2 2 4 20 3 8" xfId="23255" xr:uid="{00000000-0005-0000-0000-0000D75A0000}"/>
    <cellStyle name="Normal 2 2 4 20 3 9" xfId="23256" xr:uid="{00000000-0005-0000-0000-0000D85A0000}"/>
    <cellStyle name="Normal 2 2 4 20 4" xfId="23257" xr:uid="{00000000-0005-0000-0000-0000D95A0000}"/>
    <cellStyle name="Normal 2 2 4 20 4 10" xfId="23258" xr:uid="{00000000-0005-0000-0000-0000DA5A0000}"/>
    <cellStyle name="Normal 2 2 4 20 4 2" xfId="23259" xr:uid="{00000000-0005-0000-0000-0000DB5A0000}"/>
    <cellStyle name="Normal 2 2 4 20 4 3" xfId="23260" xr:uid="{00000000-0005-0000-0000-0000DC5A0000}"/>
    <cellStyle name="Normal 2 2 4 20 4 4" xfId="23261" xr:uid="{00000000-0005-0000-0000-0000DD5A0000}"/>
    <cellStyle name="Normal 2 2 4 20 4 5" xfId="23262" xr:uid="{00000000-0005-0000-0000-0000DE5A0000}"/>
    <cellStyle name="Normal 2 2 4 20 4 6" xfId="23263" xr:uid="{00000000-0005-0000-0000-0000DF5A0000}"/>
    <cellStyle name="Normal 2 2 4 20 4 7" xfId="23264" xr:uid="{00000000-0005-0000-0000-0000E05A0000}"/>
    <cellStyle name="Normal 2 2 4 20 4 8" xfId="23265" xr:uid="{00000000-0005-0000-0000-0000E15A0000}"/>
    <cellStyle name="Normal 2 2 4 20 4 9" xfId="23266" xr:uid="{00000000-0005-0000-0000-0000E25A0000}"/>
    <cellStyle name="Normal 2 2 4 20 5" xfId="23267" xr:uid="{00000000-0005-0000-0000-0000E35A0000}"/>
    <cellStyle name="Normal 2 2 4 20 5 10" xfId="23268" xr:uid="{00000000-0005-0000-0000-0000E45A0000}"/>
    <cellStyle name="Normal 2 2 4 20 5 2" xfId="23269" xr:uid="{00000000-0005-0000-0000-0000E55A0000}"/>
    <cellStyle name="Normal 2 2 4 20 5 3" xfId="23270" xr:uid="{00000000-0005-0000-0000-0000E65A0000}"/>
    <cellStyle name="Normal 2 2 4 20 5 4" xfId="23271" xr:uid="{00000000-0005-0000-0000-0000E75A0000}"/>
    <cellStyle name="Normal 2 2 4 20 5 5" xfId="23272" xr:uid="{00000000-0005-0000-0000-0000E85A0000}"/>
    <cellStyle name="Normal 2 2 4 20 5 6" xfId="23273" xr:uid="{00000000-0005-0000-0000-0000E95A0000}"/>
    <cellStyle name="Normal 2 2 4 20 5 7" xfId="23274" xr:uid="{00000000-0005-0000-0000-0000EA5A0000}"/>
    <cellStyle name="Normal 2 2 4 20 5 8" xfId="23275" xr:uid="{00000000-0005-0000-0000-0000EB5A0000}"/>
    <cellStyle name="Normal 2 2 4 20 5 9" xfId="23276" xr:uid="{00000000-0005-0000-0000-0000EC5A0000}"/>
    <cellStyle name="Normal 2 2 4 20 6" xfId="23277" xr:uid="{00000000-0005-0000-0000-0000ED5A0000}"/>
    <cellStyle name="Normal 2 2 4 20 7" xfId="23278" xr:uid="{00000000-0005-0000-0000-0000EE5A0000}"/>
    <cellStyle name="Normal 2 2 4 20 8" xfId="23279" xr:uid="{00000000-0005-0000-0000-0000EF5A0000}"/>
    <cellStyle name="Normal 2 2 4 20 9" xfId="23280" xr:uid="{00000000-0005-0000-0000-0000F05A0000}"/>
    <cellStyle name="Normal 2 2 4 21" xfId="23281" xr:uid="{00000000-0005-0000-0000-0000F15A0000}"/>
    <cellStyle name="Normal 2 2 4 21 10" xfId="23282" xr:uid="{00000000-0005-0000-0000-0000F25A0000}"/>
    <cellStyle name="Normal 2 2 4 21 11" xfId="23283" xr:uid="{00000000-0005-0000-0000-0000F35A0000}"/>
    <cellStyle name="Normal 2 2 4 21 12" xfId="23284" xr:uid="{00000000-0005-0000-0000-0000F45A0000}"/>
    <cellStyle name="Normal 2 2 4 21 13" xfId="23285" xr:uid="{00000000-0005-0000-0000-0000F55A0000}"/>
    <cellStyle name="Normal 2 2 4 21 14" xfId="23286" xr:uid="{00000000-0005-0000-0000-0000F65A0000}"/>
    <cellStyle name="Normal 2 2 4 21 2" xfId="23287" xr:uid="{00000000-0005-0000-0000-0000F75A0000}"/>
    <cellStyle name="Normal 2 2 4 21 2 10" xfId="23288" xr:uid="{00000000-0005-0000-0000-0000F85A0000}"/>
    <cellStyle name="Normal 2 2 4 21 2 2" xfId="23289" xr:uid="{00000000-0005-0000-0000-0000F95A0000}"/>
    <cellStyle name="Normal 2 2 4 21 2 3" xfId="23290" xr:uid="{00000000-0005-0000-0000-0000FA5A0000}"/>
    <cellStyle name="Normal 2 2 4 21 2 4" xfId="23291" xr:uid="{00000000-0005-0000-0000-0000FB5A0000}"/>
    <cellStyle name="Normal 2 2 4 21 2 5" xfId="23292" xr:uid="{00000000-0005-0000-0000-0000FC5A0000}"/>
    <cellStyle name="Normal 2 2 4 21 2 6" xfId="23293" xr:uid="{00000000-0005-0000-0000-0000FD5A0000}"/>
    <cellStyle name="Normal 2 2 4 21 2 7" xfId="23294" xr:uid="{00000000-0005-0000-0000-0000FE5A0000}"/>
    <cellStyle name="Normal 2 2 4 21 2 8" xfId="23295" xr:uid="{00000000-0005-0000-0000-0000FF5A0000}"/>
    <cellStyle name="Normal 2 2 4 21 2 9" xfId="23296" xr:uid="{00000000-0005-0000-0000-0000005B0000}"/>
    <cellStyle name="Normal 2 2 4 21 3" xfId="23297" xr:uid="{00000000-0005-0000-0000-0000015B0000}"/>
    <cellStyle name="Normal 2 2 4 21 3 10" xfId="23298" xr:uid="{00000000-0005-0000-0000-0000025B0000}"/>
    <cellStyle name="Normal 2 2 4 21 3 2" xfId="23299" xr:uid="{00000000-0005-0000-0000-0000035B0000}"/>
    <cellStyle name="Normal 2 2 4 21 3 3" xfId="23300" xr:uid="{00000000-0005-0000-0000-0000045B0000}"/>
    <cellStyle name="Normal 2 2 4 21 3 4" xfId="23301" xr:uid="{00000000-0005-0000-0000-0000055B0000}"/>
    <cellStyle name="Normal 2 2 4 21 3 5" xfId="23302" xr:uid="{00000000-0005-0000-0000-0000065B0000}"/>
    <cellStyle name="Normal 2 2 4 21 3 6" xfId="23303" xr:uid="{00000000-0005-0000-0000-0000075B0000}"/>
    <cellStyle name="Normal 2 2 4 21 3 7" xfId="23304" xr:uid="{00000000-0005-0000-0000-0000085B0000}"/>
    <cellStyle name="Normal 2 2 4 21 3 8" xfId="23305" xr:uid="{00000000-0005-0000-0000-0000095B0000}"/>
    <cellStyle name="Normal 2 2 4 21 3 9" xfId="23306" xr:uid="{00000000-0005-0000-0000-00000A5B0000}"/>
    <cellStyle name="Normal 2 2 4 21 4" xfId="23307" xr:uid="{00000000-0005-0000-0000-00000B5B0000}"/>
    <cellStyle name="Normal 2 2 4 21 4 10" xfId="23308" xr:uid="{00000000-0005-0000-0000-00000C5B0000}"/>
    <cellStyle name="Normal 2 2 4 21 4 2" xfId="23309" xr:uid="{00000000-0005-0000-0000-00000D5B0000}"/>
    <cellStyle name="Normal 2 2 4 21 4 3" xfId="23310" xr:uid="{00000000-0005-0000-0000-00000E5B0000}"/>
    <cellStyle name="Normal 2 2 4 21 4 4" xfId="23311" xr:uid="{00000000-0005-0000-0000-00000F5B0000}"/>
    <cellStyle name="Normal 2 2 4 21 4 5" xfId="23312" xr:uid="{00000000-0005-0000-0000-0000105B0000}"/>
    <cellStyle name="Normal 2 2 4 21 4 6" xfId="23313" xr:uid="{00000000-0005-0000-0000-0000115B0000}"/>
    <cellStyle name="Normal 2 2 4 21 4 7" xfId="23314" xr:uid="{00000000-0005-0000-0000-0000125B0000}"/>
    <cellStyle name="Normal 2 2 4 21 4 8" xfId="23315" xr:uid="{00000000-0005-0000-0000-0000135B0000}"/>
    <cellStyle name="Normal 2 2 4 21 4 9" xfId="23316" xr:uid="{00000000-0005-0000-0000-0000145B0000}"/>
    <cellStyle name="Normal 2 2 4 21 5" xfId="23317" xr:uid="{00000000-0005-0000-0000-0000155B0000}"/>
    <cellStyle name="Normal 2 2 4 21 5 10" xfId="23318" xr:uid="{00000000-0005-0000-0000-0000165B0000}"/>
    <cellStyle name="Normal 2 2 4 21 5 2" xfId="23319" xr:uid="{00000000-0005-0000-0000-0000175B0000}"/>
    <cellStyle name="Normal 2 2 4 21 5 3" xfId="23320" xr:uid="{00000000-0005-0000-0000-0000185B0000}"/>
    <cellStyle name="Normal 2 2 4 21 5 4" xfId="23321" xr:uid="{00000000-0005-0000-0000-0000195B0000}"/>
    <cellStyle name="Normal 2 2 4 21 5 5" xfId="23322" xr:uid="{00000000-0005-0000-0000-00001A5B0000}"/>
    <cellStyle name="Normal 2 2 4 21 5 6" xfId="23323" xr:uid="{00000000-0005-0000-0000-00001B5B0000}"/>
    <cellStyle name="Normal 2 2 4 21 5 7" xfId="23324" xr:uid="{00000000-0005-0000-0000-00001C5B0000}"/>
    <cellStyle name="Normal 2 2 4 21 5 8" xfId="23325" xr:uid="{00000000-0005-0000-0000-00001D5B0000}"/>
    <cellStyle name="Normal 2 2 4 21 5 9" xfId="23326" xr:uid="{00000000-0005-0000-0000-00001E5B0000}"/>
    <cellStyle name="Normal 2 2 4 21 6" xfId="23327" xr:uid="{00000000-0005-0000-0000-00001F5B0000}"/>
    <cellStyle name="Normal 2 2 4 21 7" xfId="23328" xr:uid="{00000000-0005-0000-0000-0000205B0000}"/>
    <cellStyle name="Normal 2 2 4 21 8" xfId="23329" xr:uid="{00000000-0005-0000-0000-0000215B0000}"/>
    <cellStyle name="Normal 2 2 4 21 9" xfId="23330" xr:uid="{00000000-0005-0000-0000-0000225B0000}"/>
    <cellStyle name="Normal 2 2 4 22" xfId="23331" xr:uid="{00000000-0005-0000-0000-0000235B0000}"/>
    <cellStyle name="Normal 2 2 4 22 10" xfId="23332" xr:uid="{00000000-0005-0000-0000-0000245B0000}"/>
    <cellStyle name="Normal 2 2 4 22 11" xfId="23333" xr:uid="{00000000-0005-0000-0000-0000255B0000}"/>
    <cellStyle name="Normal 2 2 4 22 12" xfId="23334" xr:uid="{00000000-0005-0000-0000-0000265B0000}"/>
    <cellStyle name="Normal 2 2 4 22 13" xfId="23335" xr:uid="{00000000-0005-0000-0000-0000275B0000}"/>
    <cellStyle name="Normal 2 2 4 22 14" xfId="23336" xr:uid="{00000000-0005-0000-0000-0000285B0000}"/>
    <cellStyle name="Normal 2 2 4 22 2" xfId="23337" xr:uid="{00000000-0005-0000-0000-0000295B0000}"/>
    <cellStyle name="Normal 2 2 4 22 2 10" xfId="23338" xr:uid="{00000000-0005-0000-0000-00002A5B0000}"/>
    <cellStyle name="Normal 2 2 4 22 2 2" xfId="23339" xr:uid="{00000000-0005-0000-0000-00002B5B0000}"/>
    <cellStyle name="Normal 2 2 4 22 2 3" xfId="23340" xr:uid="{00000000-0005-0000-0000-00002C5B0000}"/>
    <cellStyle name="Normal 2 2 4 22 2 4" xfId="23341" xr:uid="{00000000-0005-0000-0000-00002D5B0000}"/>
    <cellStyle name="Normal 2 2 4 22 2 5" xfId="23342" xr:uid="{00000000-0005-0000-0000-00002E5B0000}"/>
    <cellStyle name="Normal 2 2 4 22 2 6" xfId="23343" xr:uid="{00000000-0005-0000-0000-00002F5B0000}"/>
    <cellStyle name="Normal 2 2 4 22 2 7" xfId="23344" xr:uid="{00000000-0005-0000-0000-0000305B0000}"/>
    <cellStyle name="Normal 2 2 4 22 2 8" xfId="23345" xr:uid="{00000000-0005-0000-0000-0000315B0000}"/>
    <cellStyle name="Normal 2 2 4 22 2 9" xfId="23346" xr:uid="{00000000-0005-0000-0000-0000325B0000}"/>
    <cellStyle name="Normal 2 2 4 22 3" xfId="23347" xr:uid="{00000000-0005-0000-0000-0000335B0000}"/>
    <cellStyle name="Normal 2 2 4 22 3 10" xfId="23348" xr:uid="{00000000-0005-0000-0000-0000345B0000}"/>
    <cellStyle name="Normal 2 2 4 22 3 2" xfId="23349" xr:uid="{00000000-0005-0000-0000-0000355B0000}"/>
    <cellStyle name="Normal 2 2 4 22 3 3" xfId="23350" xr:uid="{00000000-0005-0000-0000-0000365B0000}"/>
    <cellStyle name="Normal 2 2 4 22 3 4" xfId="23351" xr:uid="{00000000-0005-0000-0000-0000375B0000}"/>
    <cellStyle name="Normal 2 2 4 22 3 5" xfId="23352" xr:uid="{00000000-0005-0000-0000-0000385B0000}"/>
    <cellStyle name="Normal 2 2 4 22 3 6" xfId="23353" xr:uid="{00000000-0005-0000-0000-0000395B0000}"/>
    <cellStyle name="Normal 2 2 4 22 3 7" xfId="23354" xr:uid="{00000000-0005-0000-0000-00003A5B0000}"/>
    <cellStyle name="Normal 2 2 4 22 3 8" xfId="23355" xr:uid="{00000000-0005-0000-0000-00003B5B0000}"/>
    <cellStyle name="Normal 2 2 4 22 3 9" xfId="23356" xr:uid="{00000000-0005-0000-0000-00003C5B0000}"/>
    <cellStyle name="Normal 2 2 4 22 4" xfId="23357" xr:uid="{00000000-0005-0000-0000-00003D5B0000}"/>
    <cellStyle name="Normal 2 2 4 22 4 10" xfId="23358" xr:uid="{00000000-0005-0000-0000-00003E5B0000}"/>
    <cellStyle name="Normal 2 2 4 22 4 2" xfId="23359" xr:uid="{00000000-0005-0000-0000-00003F5B0000}"/>
    <cellStyle name="Normal 2 2 4 22 4 3" xfId="23360" xr:uid="{00000000-0005-0000-0000-0000405B0000}"/>
    <cellStyle name="Normal 2 2 4 22 4 4" xfId="23361" xr:uid="{00000000-0005-0000-0000-0000415B0000}"/>
    <cellStyle name="Normal 2 2 4 22 4 5" xfId="23362" xr:uid="{00000000-0005-0000-0000-0000425B0000}"/>
    <cellStyle name="Normal 2 2 4 22 4 6" xfId="23363" xr:uid="{00000000-0005-0000-0000-0000435B0000}"/>
    <cellStyle name="Normal 2 2 4 22 4 7" xfId="23364" xr:uid="{00000000-0005-0000-0000-0000445B0000}"/>
    <cellStyle name="Normal 2 2 4 22 4 8" xfId="23365" xr:uid="{00000000-0005-0000-0000-0000455B0000}"/>
    <cellStyle name="Normal 2 2 4 22 4 9" xfId="23366" xr:uid="{00000000-0005-0000-0000-0000465B0000}"/>
    <cellStyle name="Normal 2 2 4 22 5" xfId="23367" xr:uid="{00000000-0005-0000-0000-0000475B0000}"/>
    <cellStyle name="Normal 2 2 4 22 5 10" xfId="23368" xr:uid="{00000000-0005-0000-0000-0000485B0000}"/>
    <cellStyle name="Normal 2 2 4 22 5 2" xfId="23369" xr:uid="{00000000-0005-0000-0000-0000495B0000}"/>
    <cellStyle name="Normal 2 2 4 22 5 3" xfId="23370" xr:uid="{00000000-0005-0000-0000-00004A5B0000}"/>
    <cellStyle name="Normal 2 2 4 22 5 4" xfId="23371" xr:uid="{00000000-0005-0000-0000-00004B5B0000}"/>
    <cellStyle name="Normal 2 2 4 22 5 5" xfId="23372" xr:uid="{00000000-0005-0000-0000-00004C5B0000}"/>
    <cellStyle name="Normal 2 2 4 22 5 6" xfId="23373" xr:uid="{00000000-0005-0000-0000-00004D5B0000}"/>
    <cellStyle name="Normal 2 2 4 22 5 7" xfId="23374" xr:uid="{00000000-0005-0000-0000-00004E5B0000}"/>
    <cellStyle name="Normal 2 2 4 22 5 8" xfId="23375" xr:uid="{00000000-0005-0000-0000-00004F5B0000}"/>
    <cellStyle name="Normal 2 2 4 22 5 9" xfId="23376" xr:uid="{00000000-0005-0000-0000-0000505B0000}"/>
    <cellStyle name="Normal 2 2 4 22 6" xfId="23377" xr:uid="{00000000-0005-0000-0000-0000515B0000}"/>
    <cellStyle name="Normal 2 2 4 22 7" xfId="23378" xr:uid="{00000000-0005-0000-0000-0000525B0000}"/>
    <cellStyle name="Normal 2 2 4 22 8" xfId="23379" xr:uid="{00000000-0005-0000-0000-0000535B0000}"/>
    <cellStyle name="Normal 2 2 4 22 9" xfId="23380" xr:uid="{00000000-0005-0000-0000-0000545B0000}"/>
    <cellStyle name="Normal 2 2 4 23" xfId="23381" xr:uid="{00000000-0005-0000-0000-0000555B0000}"/>
    <cellStyle name="Normal 2 2 4 23 10" xfId="23382" xr:uid="{00000000-0005-0000-0000-0000565B0000}"/>
    <cellStyle name="Normal 2 2 4 23 11" xfId="23383" xr:uid="{00000000-0005-0000-0000-0000575B0000}"/>
    <cellStyle name="Normal 2 2 4 23 12" xfId="23384" xr:uid="{00000000-0005-0000-0000-0000585B0000}"/>
    <cellStyle name="Normal 2 2 4 23 13" xfId="23385" xr:uid="{00000000-0005-0000-0000-0000595B0000}"/>
    <cellStyle name="Normal 2 2 4 23 14" xfId="23386" xr:uid="{00000000-0005-0000-0000-00005A5B0000}"/>
    <cellStyle name="Normal 2 2 4 23 2" xfId="23387" xr:uid="{00000000-0005-0000-0000-00005B5B0000}"/>
    <cellStyle name="Normal 2 2 4 23 2 10" xfId="23388" xr:uid="{00000000-0005-0000-0000-00005C5B0000}"/>
    <cellStyle name="Normal 2 2 4 23 2 2" xfId="23389" xr:uid="{00000000-0005-0000-0000-00005D5B0000}"/>
    <cellStyle name="Normal 2 2 4 23 2 3" xfId="23390" xr:uid="{00000000-0005-0000-0000-00005E5B0000}"/>
    <cellStyle name="Normal 2 2 4 23 2 4" xfId="23391" xr:uid="{00000000-0005-0000-0000-00005F5B0000}"/>
    <cellStyle name="Normal 2 2 4 23 2 5" xfId="23392" xr:uid="{00000000-0005-0000-0000-0000605B0000}"/>
    <cellStyle name="Normal 2 2 4 23 2 6" xfId="23393" xr:uid="{00000000-0005-0000-0000-0000615B0000}"/>
    <cellStyle name="Normal 2 2 4 23 2 7" xfId="23394" xr:uid="{00000000-0005-0000-0000-0000625B0000}"/>
    <cellStyle name="Normal 2 2 4 23 2 8" xfId="23395" xr:uid="{00000000-0005-0000-0000-0000635B0000}"/>
    <cellStyle name="Normal 2 2 4 23 2 9" xfId="23396" xr:uid="{00000000-0005-0000-0000-0000645B0000}"/>
    <cellStyle name="Normal 2 2 4 23 3" xfId="23397" xr:uid="{00000000-0005-0000-0000-0000655B0000}"/>
    <cellStyle name="Normal 2 2 4 23 3 10" xfId="23398" xr:uid="{00000000-0005-0000-0000-0000665B0000}"/>
    <cellStyle name="Normal 2 2 4 23 3 2" xfId="23399" xr:uid="{00000000-0005-0000-0000-0000675B0000}"/>
    <cellStyle name="Normal 2 2 4 23 3 3" xfId="23400" xr:uid="{00000000-0005-0000-0000-0000685B0000}"/>
    <cellStyle name="Normal 2 2 4 23 3 4" xfId="23401" xr:uid="{00000000-0005-0000-0000-0000695B0000}"/>
    <cellStyle name="Normal 2 2 4 23 3 5" xfId="23402" xr:uid="{00000000-0005-0000-0000-00006A5B0000}"/>
    <cellStyle name="Normal 2 2 4 23 3 6" xfId="23403" xr:uid="{00000000-0005-0000-0000-00006B5B0000}"/>
    <cellStyle name="Normal 2 2 4 23 3 7" xfId="23404" xr:uid="{00000000-0005-0000-0000-00006C5B0000}"/>
    <cellStyle name="Normal 2 2 4 23 3 8" xfId="23405" xr:uid="{00000000-0005-0000-0000-00006D5B0000}"/>
    <cellStyle name="Normal 2 2 4 23 3 9" xfId="23406" xr:uid="{00000000-0005-0000-0000-00006E5B0000}"/>
    <cellStyle name="Normal 2 2 4 23 4" xfId="23407" xr:uid="{00000000-0005-0000-0000-00006F5B0000}"/>
    <cellStyle name="Normal 2 2 4 23 4 10" xfId="23408" xr:uid="{00000000-0005-0000-0000-0000705B0000}"/>
    <cellStyle name="Normal 2 2 4 23 4 2" xfId="23409" xr:uid="{00000000-0005-0000-0000-0000715B0000}"/>
    <cellStyle name="Normal 2 2 4 23 4 3" xfId="23410" xr:uid="{00000000-0005-0000-0000-0000725B0000}"/>
    <cellStyle name="Normal 2 2 4 23 4 4" xfId="23411" xr:uid="{00000000-0005-0000-0000-0000735B0000}"/>
    <cellStyle name="Normal 2 2 4 23 4 5" xfId="23412" xr:uid="{00000000-0005-0000-0000-0000745B0000}"/>
    <cellStyle name="Normal 2 2 4 23 4 6" xfId="23413" xr:uid="{00000000-0005-0000-0000-0000755B0000}"/>
    <cellStyle name="Normal 2 2 4 23 4 7" xfId="23414" xr:uid="{00000000-0005-0000-0000-0000765B0000}"/>
    <cellStyle name="Normal 2 2 4 23 4 8" xfId="23415" xr:uid="{00000000-0005-0000-0000-0000775B0000}"/>
    <cellStyle name="Normal 2 2 4 23 4 9" xfId="23416" xr:uid="{00000000-0005-0000-0000-0000785B0000}"/>
    <cellStyle name="Normal 2 2 4 23 5" xfId="23417" xr:uid="{00000000-0005-0000-0000-0000795B0000}"/>
    <cellStyle name="Normal 2 2 4 23 5 10" xfId="23418" xr:uid="{00000000-0005-0000-0000-00007A5B0000}"/>
    <cellStyle name="Normal 2 2 4 23 5 2" xfId="23419" xr:uid="{00000000-0005-0000-0000-00007B5B0000}"/>
    <cellStyle name="Normal 2 2 4 23 5 3" xfId="23420" xr:uid="{00000000-0005-0000-0000-00007C5B0000}"/>
    <cellStyle name="Normal 2 2 4 23 5 4" xfId="23421" xr:uid="{00000000-0005-0000-0000-00007D5B0000}"/>
    <cellStyle name="Normal 2 2 4 23 5 5" xfId="23422" xr:uid="{00000000-0005-0000-0000-00007E5B0000}"/>
    <cellStyle name="Normal 2 2 4 23 5 6" xfId="23423" xr:uid="{00000000-0005-0000-0000-00007F5B0000}"/>
    <cellStyle name="Normal 2 2 4 23 5 7" xfId="23424" xr:uid="{00000000-0005-0000-0000-0000805B0000}"/>
    <cellStyle name="Normal 2 2 4 23 5 8" xfId="23425" xr:uid="{00000000-0005-0000-0000-0000815B0000}"/>
    <cellStyle name="Normal 2 2 4 23 5 9" xfId="23426" xr:uid="{00000000-0005-0000-0000-0000825B0000}"/>
    <cellStyle name="Normal 2 2 4 23 6" xfId="23427" xr:uid="{00000000-0005-0000-0000-0000835B0000}"/>
    <cellStyle name="Normal 2 2 4 23 7" xfId="23428" xr:uid="{00000000-0005-0000-0000-0000845B0000}"/>
    <cellStyle name="Normal 2 2 4 23 8" xfId="23429" xr:uid="{00000000-0005-0000-0000-0000855B0000}"/>
    <cellStyle name="Normal 2 2 4 23 9" xfId="23430" xr:uid="{00000000-0005-0000-0000-0000865B0000}"/>
    <cellStyle name="Normal 2 2 4 24" xfId="23431" xr:uid="{00000000-0005-0000-0000-0000875B0000}"/>
    <cellStyle name="Normal 2 2 4 24 10" xfId="23432" xr:uid="{00000000-0005-0000-0000-0000885B0000}"/>
    <cellStyle name="Normal 2 2 4 24 11" xfId="23433" xr:uid="{00000000-0005-0000-0000-0000895B0000}"/>
    <cellStyle name="Normal 2 2 4 24 12" xfId="23434" xr:uid="{00000000-0005-0000-0000-00008A5B0000}"/>
    <cellStyle name="Normal 2 2 4 24 13" xfId="23435" xr:uid="{00000000-0005-0000-0000-00008B5B0000}"/>
    <cellStyle name="Normal 2 2 4 24 14" xfId="23436" xr:uid="{00000000-0005-0000-0000-00008C5B0000}"/>
    <cellStyle name="Normal 2 2 4 24 2" xfId="23437" xr:uid="{00000000-0005-0000-0000-00008D5B0000}"/>
    <cellStyle name="Normal 2 2 4 24 2 10" xfId="23438" xr:uid="{00000000-0005-0000-0000-00008E5B0000}"/>
    <cellStyle name="Normal 2 2 4 24 2 2" xfId="23439" xr:uid="{00000000-0005-0000-0000-00008F5B0000}"/>
    <cellStyle name="Normal 2 2 4 24 2 3" xfId="23440" xr:uid="{00000000-0005-0000-0000-0000905B0000}"/>
    <cellStyle name="Normal 2 2 4 24 2 4" xfId="23441" xr:uid="{00000000-0005-0000-0000-0000915B0000}"/>
    <cellStyle name="Normal 2 2 4 24 2 5" xfId="23442" xr:uid="{00000000-0005-0000-0000-0000925B0000}"/>
    <cellStyle name="Normal 2 2 4 24 2 6" xfId="23443" xr:uid="{00000000-0005-0000-0000-0000935B0000}"/>
    <cellStyle name="Normal 2 2 4 24 2 7" xfId="23444" xr:uid="{00000000-0005-0000-0000-0000945B0000}"/>
    <cellStyle name="Normal 2 2 4 24 2 8" xfId="23445" xr:uid="{00000000-0005-0000-0000-0000955B0000}"/>
    <cellStyle name="Normal 2 2 4 24 2 9" xfId="23446" xr:uid="{00000000-0005-0000-0000-0000965B0000}"/>
    <cellStyle name="Normal 2 2 4 24 3" xfId="23447" xr:uid="{00000000-0005-0000-0000-0000975B0000}"/>
    <cellStyle name="Normal 2 2 4 24 3 10" xfId="23448" xr:uid="{00000000-0005-0000-0000-0000985B0000}"/>
    <cellStyle name="Normal 2 2 4 24 3 2" xfId="23449" xr:uid="{00000000-0005-0000-0000-0000995B0000}"/>
    <cellStyle name="Normal 2 2 4 24 3 3" xfId="23450" xr:uid="{00000000-0005-0000-0000-00009A5B0000}"/>
    <cellStyle name="Normal 2 2 4 24 3 4" xfId="23451" xr:uid="{00000000-0005-0000-0000-00009B5B0000}"/>
    <cellStyle name="Normal 2 2 4 24 3 5" xfId="23452" xr:uid="{00000000-0005-0000-0000-00009C5B0000}"/>
    <cellStyle name="Normal 2 2 4 24 3 6" xfId="23453" xr:uid="{00000000-0005-0000-0000-00009D5B0000}"/>
    <cellStyle name="Normal 2 2 4 24 3 7" xfId="23454" xr:uid="{00000000-0005-0000-0000-00009E5B0000}"/>
    <cellStyle name="Normal 2 2 4 24 3 8" xfId="23455" xr:uid="{00000000-0005-0000-0000-00009F5B0000}"/>
    <cellStyle name="Normal 2 2 4 24 3 9" xfId="23456" xr:uid="{00000000-0005-0000-0000-0000A05B0000}"/>
    <cellStyle name="Normal 2 2 4 24 4" xfId="23457" xr:uid="{00000000-0005-0000-0000-0000A15B0000}"/>
    <cellStyle name="Normal 2 2 4 24 4 10" xfId="23458" xr:uid="{00000000-0005-0000-0000-0000A25B0000}"/>
    <cellStyle name="Normal 2 2 4 24 4 2" xfId="23459" xr:uid="{00000000-0005-0000-0000-0000A35B0000}"/>
    <cellStyle name="Normal 2 2 4 24 4 3" xfId="23460" xr:uid="{00000000-0005-0000-0000-0000A45B0000}"/>
    <cellStyle name="Normal 2 2 4 24 4 4" xfId="23461" xr:uid="{00000000-0005-0000-0000-0000A55B0000}"/>
    <cellStyle name="Normal 2 2 4 24 4 5" xfId="23462" xr:uid="{00000000-0005-0000-0000-0000A65B0000}"/>
    <cellStyle name="Normal 2 2 4 24 4 6" xfId="23463" xr:uid="{00000000-0005-0000-0000-0000A75B0000}"/>
    <cellStyle name="Normal 2 2 4 24 4 7" xfId="23464" xr:uid="{00000000-0005-0000-0000-0000A85B0000}"/>
    <cellStyle name="Normal 2 2 4 24 4 8" xfId="23465" xr:uid="{00000000-0005-0000-0000-0000A95B0000}"/>
    <cellStyle name="Normal 2 2 4 24 4 9" xfId="23466" xr:uid="{00000000-0005-0000-0000-0000AA5B0000}"/>
    <cellStyle name="Normal 2 2 4 24 5" xfId="23467" xr:uid="{00000000-0005-0000-0000-0000AB5B0000}"/>
    <cellStyle name="Normal 2 2 4 24 5 10" xfId="23468" xr:uid="{00000000-0005-0000-0000-0000AC5B0000}"/>
    <cellStyle name="Normal 2 2 4 24 5 2" xfId="23469" xr:uid="{00000000-0005-0000-0000-0000AD5B0000}"/>
    <cellStyle name="Normal 2 2 4 24 5 3" xfId="23470" xr:uid="{00000000-0005-0000-0000-0000AE5B0000}"/>
    <cellStyle name="Normal 2 2 4 24 5 4" xfId="23471" xr:uid="{00000000-0005-0000-0000-0000AF5B0000}"/>
    <cellStyle name="Normal 2 2 4 24 5 5" xfId="23472" xr:uid="{00000000-0005-0000-0000-0000B05B0000}"/>
    <cellStyle name="Normal 2 2 4 24 5 6" xfId="23473" xr:uid="{00000000-0005-0000-0000-0000B15B0000}"/>
    <cellStyle name="Normal 2 2 4 24 5 7" xfId="23474" xr:uid="{00000000-0005-0000-0000-0000B25B0000}"/>
    <cellStyle name="Normal 2 2 4 24 5 8" xfId="23475" xr:uid="{00000000-0005-0000-0000-0000B35B0000}"/>
    <cellStyle name="Normal 2 2 4 24 5 9" xfId="23476" xr:uid="{00000000-0005-0000-0000-0000B45B0000}"/>
    <cellStyle name="Normal 2 2 4 24 6" xfId="23477" xr:uid="{00000000-0005-0000-0000-0000B55B0000}"/>
    <cellStyle name="Normal 2 2 4 24 7" xfId="23478" xr:uid="{00000000-0005-0000-0000-0000B65B0000}"/>
    <cellStyle name="Normal 2 2 4 24 8" xfId="23479" xr:uid="{00000000-0005-0000-0000-0000B75B0000}"/>
    <cellStyle name="Normal 2 2 4 24 9" xfId="23480" xr:uid="{00000000-0005-0000-0000-0000B85B0000}"/>
    <cellStyle name="Normal 2 2 4 25" xfId="23481" xr:uid="{00000000-0005-0000-0000-0000B95B0000}"/>
    <cellStyle name="Normal 2 2 4 25 10" xfId="23482" xr:uid="{00000000-0005-0000-0000-0000BA5B0000}"/>
    <cellStyle name="Normal 2 2 4 25 11" xfId="23483" xr:uid="{00000000-0005-0000-0000-0000BB5B0000}"/>
    <cellStyle name="Normal 2 2 4 25 12" xfId="23484" xr:uid="{00000000-0005-0000-0000-0000BC5B0000}"/>
    <cellStyle name="Normal 2 2 4 25 13" xfId="23485" xr:uid="{00000000-0005-0000-0000-0000BD5B0000}"/>
    <cellStyle name="Normal 2 2 4 25 14" xfId="23486" xr:uid="{00000000-0005-0000-0000-0000BE5B0000}"/>
    <cellStyle name="Normal 2 2 4 25 2" xfId="23487" xr:uid="{00000000-0005-0000-0000-0000BF5B0000}"/>
    <cellStyle name="Normal 2 2 4 25 2 10" xfId="23488" xr:uid="{00000000-0005-0000-0000-0000C05B0000}"/>
    <cellStyle name="Normal 2 2 4 25 2 2" xfId="23489" xr:uid="{00000000-0005-0000-0000-0000C15B0000}"/>
    <cellStyle name="Normal 2 2 4 25 2 3" xfId="23490" xr:uid="{00000000-0005-0000-0000-0000C25B0000}"/>
    <cellStyle name="Normal 2 2 4 25 2 4" xfId="23491" xr:uid="{00000000-0005-0000-0000-0000C35B0000}"/>
    <cellStyle name="Normal 2 2 4 25 2 5" xfId="23492" xr:uid="{00000000-0005-0000-0000-0000C45B0000}"/>
    <cellStyle name="Normal 2 2 4 25 2 6" xfId="23493" xr:uid="{00000000-0005-0000-0000-0000C55B0000}"/>
    <cellStyle name="Normal 2 2 4 25 2 7" xfId="23494" xr:uid="{00000000-0005-0000-0000-0000C65B0000}"/>
    <cellStyle name="Normal 2 2 4 25 2 8" xfId="23495" xr:uid="{00000000-0005-0000-0000-0000C75B0000}"/>
    <cellStyle name="Normal 2 2 4 25 2 9" xfId="23496" xr:uid="{00000000-0005-0000-0000-0000C85B0000}"/>
    <cellStyle name="Normal 2 2 4 25 3" xfId="23497" xr:uid="{00000000-0005-0000-0000-0000C95B0000}"/>
    <cellStyle name="Normal 2 2 4 25 3 10" xfId="23498" xr:uid="{00000000-0005-0000-0000-0000CA5B0000}"/>
    <cellStyle name="Normal 2 2 4 25 3 2" xfId="23499" xr:uid="{00000000-0005-0000-0000-0000CB5B0000}"/>
    <cellStyle name="Normal 2 2 4 25 3 3" xfId="23500" xr:uid="{00000000-0005-0000-0000-0000CC5B0000}"/>
    <cellStyle name="Normal 2 2 4 25 3 4" xfId="23501" xr:uid="{00000000-0005-0000-0000-0000CD5B0000}"/>
    <cellStyle name="Normal 2 2 4 25 3 5" xfId="23502" xr:uid="{00000000-0005-0000-0000-0000CE5B0000}"/>
    <cellStyle name="Normal 2 2 4 25 3 6" xfId="23503" xr:uid="{00000000-0005-0000-0000-0000CF5B0000}"/>
    <cellStyle name="Normal 2 2 4 25 3 7" xfId="23504" xr:uid="{00000000-0005-0000-0000-0000D05B0000}"/>
    <cellStyle name="Normal 2 2 4 25 3 8" xfId="23505" xr:uid="{00000000-0005-0000-0000-0000D15B0000}"/>
    <cellStyle name="Normal 2 2 4 25 3 9" xfId="23506" xr:uid="{00000000-0005-0000-0000-0000D25B0000}"/>
    <cellStyle name="Normal 2 2 4 25 4" xfId="23507" xr:uid="{00000000-0005-0000-0000-0000D35B0000}"/>
    <cellStyle name="Normal 2 2 4 25 4 10" xfId="23508" xr:uid="{00000000-0005-0000-0000-0000D45B0000}"/>
    <cellStyle name="Normal 2 2 4 25 4 2" xfId="23509" xr:uid="{00000000-0005-0000-0000-0000D55B0000}"/>
    <cellStyle name="Normal 2 2 4 25 4 3" xfId="23510" xr:uid="{00000000-0005-0000-0000-0000D65B0000}"/>
    <cellStyle name="Normal 2 2 4 25 4 4" xfId="23511" xr:uid="{00000000-0005-0000-0000-0000D75B0000}"/>
    <cellStyle name="Normal 2 2 4 25 4 5" xfId="23512" xr:uid="{00000000-0005-0000-0000-0000D85B0000}"/>
    <cellStyle name="Normal 2 2 4 25 4 6" xfId="23513" xr:uid="{00000000-0005-0000-0000-0000D95B0000}"/>
    <cellStyle name="Normal 2 2 4 25 4 7" xfId="23514" xr:uid="{00000000-0005-0000-0000-0000DA5B0000}"/>
    <cellStyle name="Normal 2 2 4 25 4 8" xfId="23515" xr:uid="{00000000-0005-0000-0000-0000DB5B0000}"/>
    <cellStyle name="Normal 2 2 4 25 4 9" xfId="23516" xr:uid="{00000000-0005-0000-0000-0000DC5B0000}"/>
    <cellStyle name="Normal 2 2 4 25 5" xfId="23517" xr:uid="{00000000-0005-0000-0000-0000DD5B0000}"/>
    <cellStyle name="Normal 2 2 4 25 5 10" xfId="23518" xr:uid="{00000000-0005-0000-0000-0000DE5B0000}"/>
    <cellStyle name="Normal 2 2 4 25 5 2" xfId="23519" xr:uid="{00000000-0005-0000-0000-0000DF5B0000}"/>
    <cellStyle name="Normal 2 2 4 25 5 3" xfId="23520" xr:uid="{00000000-0005-0000-0000-0000E05B0000}"/>
    <cellStyle name="Normal 2 2 4 25 5 4" xfId="23521" xr:uid="{00000000-0005-0000-0000-0000E15B0000}"/>
    <cellStyle name="Normal 2 2 4 25 5 5" xfId="23522" xr:uid="{00000000-0005-0000-0000-0000E25B0000}"/>
    <cellStyle name="Normal 2 2 4 25 5 6" xfId="23523" xr:uid="{00000000-0005-0000-0000-0000E35B0000}"/>
    <cellStyle name="Normal 2 2 4 25 5 7" xfId="23524" xr:uid="{00000000-0005-0000-0000-0000E45B0000}"/>
    <cellStyle name="Normal 2 2 4 25 5 8" xfId="23525" xr:uid="{00000000-0005-0000-0000-0000E55B0000}"/>
    <cellStyle name="Normal 2 2 4 25 5 9" xfId="23526" xr:uid="{00000000-0005-0000-0000-0000E65B0000}"/>
    <cellStyle name="Normal 2 2 4 25 6" xfId="23527" xr:uid="{00000000-0005-0000-0000-0000E75B0000}"/>
    <cellStyle name="Normal 2 2 4 25 7" xfId="23528" xr:uid="{00000000-0005-0000-0000-0000E85B0000}"/>
    <cellStyle name="Normal 2 2 4 25 8" xfId="23529" xr:uid="{00000000-0005-0000-0000-0000E95B0000}"/>
    <cellStyle name="Normal 2 2 4 25 9" xfId="23530" xr:uid="{00000000-0005-0000-0000-0000EA5B0000}"/>
    <cellStyle name="Normal 2 2 4 26" xfId="23531" xr:uid="{00000000-0005-0000-0000-0000EB5B0000}"/>
    <cellStyle name="Normal 2 2 4 26 10" xfId="23532" xr:uid="{00000000-0005-0000-0000-0000EC5B0000}"/>
    <cellStyle name="Normal 2 2 4 26 11" xfId="23533" xr:uid="{00000000-0005-0000-0000-0000ED5B0000}"/>
    <cellStyle name="Normal 2 2 4 26 12" xfId="23534" xr:uid="{00000000-0005-0000-0000-0000EE5B0000}"/>
    <cellStyle name="Normal 2 2 4 26 13" xfId="23535" xr:uid="{00000000-0005-0000-0000-0000EF5B0000}"/>
    <cellStyle name="Normal 2 2 4 26 14" xfId="23536" xr:uid="{00000000-0005-0000-0000-0000F05B0000}"/>
    <cellStyle name="Normal 2 2 4 26 2" xfId="23537" xr:uid="{00000000-0005-0000-0000-0000F15B0000}"/>
    <cellStyle name="Normal 2 2 4 26 2 10" xfId="23538" xr:uid="{00000000-0005-0000-0000-0000F25B0000}"/>
    <cellStyle name="Normal 2 2 4 26 2 2" xfId="23539" xr:uid="{00000000-0005-0000-0000-0000F35B0000}"/>
    <cellStyle name="Normal 2 2 4 26 2 3" xfId="23540" xr:uid="{00000000-0005-0000-0000-0000F45B0000}"/>
    <cellStyle name="Normal 2 2 4 26 2 4" xfId="23541" xr:uid="{00000000-0005-0000-0000-0000F55B0000}"/>
    <cellStyle name="Normal 2 2 4 26 2 5" xfId="23542" xr:uid="{00000000-0005-0000-0000-0000F65B0000}"/>
    <cellStyle name="Normal 2 2 4 26 2 6" xfId="23543" xr:uid="{00000000-0005-0000-0000-0000F75B0000}"/>
    <cellStyle name="Normal 2 2 4 26 2 7" xfId="23544" xr:uid="{00000000-0005-0000-0000-0000F85B0000}"/>
    <cellStyle name="Normal 2 2 4 26 2 8" xfId="23545" xr:uid="{00000000-0005-0000-0000-0000F95B0000}"/>
    <cellStyle name="Normal 2 2 4 26 2 9" xfId="23546" xr:uid="{00000000-0005-0000-0000-0000FA5B0000}"/>
    <cellStyle name="Normal 2 2 4 26 3" xfId="23547" xr:uid="{00000000-0005-0000-0000-0000FB5B0000}"/>
    <cellStyle name="Normal 2 2 4 26 3 10" xfId="23548" xr:uid="{00000000-0005-0000-0000-0000FC5B0000}"/>
    <cellStyle name="Normal 2 2 4 26 3 2" xfId="23549" xr:uid="{00000000-0005-0000-0000-0000FD5B0000}"/>
    <cellStyle name="Normal 2 2 4 26 3 3" xfId="23550" xr:uid="{00000000-0005-0000-0000-0000FE5B0000}"/>
    <cellStyle name="Normal 2 2 4 26 3 4" xfId="23551" xr:uid="{00000000-0005-0000-0000-0000FF5B0000}"/>
    <cellStyle name="Normal 2 2 4 26 3 5" xfId="23552" xr:uid="{00000000-0005-0000-0000-0000005C0000}"/>
    <cellStyle name="Normal 2 2 4 26 3 6" xfId="23553" xr:uid="{00000000-0005-0000-0000-0000015C0000}"/>
    <cellStyle name="Normal 2 2 4 26 3 7" xfId="23554" xr:uid="{00000000-0005-0000-0000-0000025C0000}"/>
    <cellStyle name="Normal 2 2 4 26 3 8" xfId="23555" xr:uid="{00000000-0005-0000-0000-0000035C0000}"/>
    <cellStyle name="Normal 2 2 4 26 3 9" xfId="23556" xr:uid="{00000000-0005-0000-0000-0000045C0000}"/>
    <cellStyle name="Normal 2 2 4 26 4" xfId="23557" xr:uid="{00000000-0005-0000-0000-0000055C0000}"/>
    <cellStyle name="Normal 2 2 4 26 4 10" xfId="23558" xr:uid="{00000000-0005-0000-0000-0000065C0000}"/>
    <cellStyle name="Normal 2 2 4 26 4 2" xfId="23559" xr:uid="{00000000-0005-0000-0000-0000075C0000}"/>
    <cellStyle name="Normal 2 2 4 26 4 3" xfId="23560" xr:uid="{00000000-0005-0000-0000-0000085C0000}"/>
    <cellStyle name="Normal 2 2 4 26 4 4" xfId="23561" xr:uid="{00000000-0005-0000-0000-0000095C0000}"/>
    <cellStyle name="Normal 2 2 4 26 4 5" xfId="23562" xr:uid="{00000000-0005-0000-0000-00000A5C0000}"/>
    <cellStyle name="Normal 2 2 4 26 4 6" xfId="23563" xr:uid="{00000000-0005-0000-0000-00000B5C0000}"/>
    <cellStyle name="Normal 2 2 4 26 4 7" xfId="23564" xr:uid="{00000000-0005-0000-0000-00000C5C0000}"/>
    <cellStyle name="Normal 2 2 4 26 4 8" xfId="23565" xr:uid="{00000000-0005-0000-0000-00000D5C0000}"/>
    <cellStyle name="Normal 2 2 4 26 4 9" xfId="23566" xr:uid="{00000000-0005-0000-0000-00000E5C0000}"/>
    <cellStyle name="Normal 2 2 4 26 5" xfId="23567" xr:uid="{00000000-0005-0000-0000-00000F5C0000}"/>
    <cellStyle name="Normal 2 2 4 26 5 10" xfId="23568" xr:uid="{00000000-0005-0000-0000-0000105C0000}"/>
    <cellStyle name="Normal 2 2 4 26 5 2" xfId="23569" xr:uid="{00000000-0005-0000-0000-0000115C0000}"/>
    <cellStyle name="Normal 2 2 4 26 5 3" xfId="23570" xr:uid="{00000000-0005-0000-0000-0000125C0000}"/>
    <cellStyle name="Normal 2 2 4 26 5 4" xfId="23571" xr:uid="{00000000-0005-0000-0000-0000135C0000}"/>
    <cellStyle name="Normal 2 2 4 26 5 5" xfId="23572" xr:uid="{00000000-0005-0000-0000-0000145C0000}"/>
    <cellStyle name="Normal 2 2 4 26 5 6" xfId="23573" xr:uid="{00000000-0005-0000-0000-0000155C0000}"/>
    <cellStyle name="Normal 2 2 4 26 5 7" xfId="23574" xr:uid="{00000000-0005-0000-0000-0000165C0000}"/>
    <cellStyle name="Normal 2 2 4 26 5 8" xfId="23575" xr:uid="{00000000-0005-0000-0000-0000175C0000}"/>
    <cellStyle name="Normal 2 2 4 26 5 9" xfId="23576" xr:uid="{00000000-0005-0000-0000-0000185C0000}"/>
    <cellStyle name="Normal 2 2 4 26 6" xfId="23577" xr:uid="{00000000-0005-0000-0000-0000195C0000}"/>
    <cellStyle name="Normal 2 2 4 26 7" xfId="23578" xr:uid="{00000000-0005-0000-0000-00001A5C0000}"/>
    <cellStyle name="Normal 2 2 4 26 8" xfId="23579" xr:uid="{00000000-0005-0000-0000-00001B5C0000}"/>
    <cellStyle name="Normal 2 2 4 26 9" xfId="23580" xr:uid="{00000000-0005-0000-0000-00001C5C0000}"/>
    <cellStyle name="Normal 2 2 4 27" xfId="23581" xr:uid="{00000000-0005-0000-0000-00001D5C0000}"/>
    <cellStyle name="Normal 2 2 4 27 10" xfId="23582" xr:uid="{00000000-0005-0000-0000-00001E5C0000}"/>
    <cellStyle name="Normal 2 2 4 27 11" xfId="23583" xr:uid="{00000000-0005-0000-0000-00001F5C0000}"/>
    <cellStyle name="Normal 2 2 4 27 12" xfId="23584" xr:uid="{00000000-0005-0000-0000-0000205C0000}"/>
    <cellStyle name="Normal 2 2 4 27 13" xfId="23585" xr:uid="{00000000-0005-0000-0000-0000215C0000}"/>
    <cellStyle name="Normal 2 2 4 27 14" xfId="23586" xr:uid="{00000000-0005-0000-0000-0000225C0000}"/>
    <cellStyle name="Normal 2 2 4 27 2" xfId="23587" xr:uid="{00000000-0005-0000-0000-0000235C0000}"/>
    <cellStyle name="Normal 2 2 4 27 2 10" xfId="23588" xr:uid="{00000000-0005-0000-0000-0000245C0000}"/>
    <cellStyle name="Normal 2 2 4 27 2 2" xfId="23589" xr:uid="{00000000-0005-0000-0000-0000255C0000}"/>
    <cellStyle name="Normal 2 2 4 27 2 3" xfId="23590" xr:uid="{00000000-0005-0000-0000-0000265C0000}"/>
    <cellStyle name="Normal 2 2 4 27 2 4" xfId="23591" xr:uid="{00000000-0005-0000-0000-0000275C0000}"/>
    <cellStyle name="Normal 2 2 4 27 2 5" xfId="23592" xr:uid="{00000000-0005-0000-0000-0000285C0000}"/>
    <cellStyle name="Normal 2 2 4 27 2 6" xfId="23593" xr:uid="{00000000-0005-0000-0000-0000295C0000}"/>
    <cellStyle name="Normal 2 2 4 27 2 7" xfId="23594" xr:uid="{00000000-0005-0000-0000-00002A5C0000}"/>
    <cellStyle name="Normal 2 2 4 27 2 8" xfId="23595" xr:uid="{00000000-0005-0000-0000-00002B5C0000}"/>
    <cellStyle name="Normal 2 2 4 27 2 9" xfId="23596" xr:uid="{00000000-0005-0000-0000-00002C5C0000}"/>
    <cellStyle name="Normal 2 2 4 27 3" xfId="23597" xr:uid="{00000000-0005-0000-0000-00002D5C0000}"/>
    <cellStyle name="Normal 2 2 4 27 3 10" xfId="23598" xr:uid="{00000000-0005-0000-0000-00002E5C0000}"/>
    <cellStyle name="Normal 2 2 4 27 3 2" xfId="23599" xr:uid="{00000000-0005-0000-0000-00002F5C0000}"/>
    <cellStyle name="Normal 2 2 4 27 3 3" xfId="23600" xr:uid="{00000000-0005-0000-0000-0000305C0000}"/>
    <cellStyle name="Normal 2 2 4 27 3 4" xfId="23601" xr:uid="{00000000-0005-0000-0000-0000315C0000}"/>
    <cellStyle name="Normal 2 2 4 27 3 5" xfId="23602" xr:uid="{00000000-0005-0000-0000-0000325C0000}"/>
    <cellStyle name="Normal 2 2 4 27 3 6" xfId="23603" xr:uid="{00000000-0005-0000-0000-0000335C0000}"/>
    <cellStyle name="Normal 2 2 4 27 3 7" xfId="23604" xr:uid="{00000000-0005-0000-0000-0000345C0000}"/>
    <cellStyle name="Normal 2 2 4 27 3 8" xfId="23605" xr:uid="{00000000-0005-0000-0000-0000355C0000}"/>
    <cellStyle name="Normal 2 2 4 27 3 9" xfId="23606" xr:uid="{00000000-0005-0000-0000-0000365C0000}"/>
    <cellStyle name="Normal 2 2 4 27 4" xfId="23607" xr:uid="{00000000-0005-0000-0000-0000375C0000}"/>
    <cellStyle name="Normal 2 2 4 27 4 10" xfId="23608" xr:uid="{00000000-0005-0000-0000-0000385C0000}"/>
    <cellStyle name="Normal 2 2 4 27 4 2" xfId="23609" xr:uid="{00000000-0005-0000-0000-0000395C0000}"/>
    <cellStyle name="Normal 2 2 4 27 4 3" xfId="23610" xr:uid="{00000000-0005-0000-0000-00003A5C0000}"/>
    <cellStyle name="Normal 2 2 4 27 4 4" xfId="23611" xr:uid="{00000000-0005-0000-0000-00003B5C0000}"/>
    <cellStyle name="Normal 2 2 4 27 4 5" xfId="23612" xr:uid="{00000000-0005-0000-0000-00003C5C0000}"/>
    <cellStyle name="Normal 2 2 4 27 4 6" xfId="23613" xr:uid="{00000000-0005-0000-0000-00003D5C0000}"/>
    <cellStyle name="Normal 2 2 4 27 4 7" xfId="23614" xr:uid="{00000000-0005-0000-0000-00003E5C0000}"/>
    <cellStyle name="Normal 2 2 4 27 4 8" xfId="23615" xr:uid="{00000000-0005-0000-0000-00003F5C0000}"/>
    <cellStyle name="Normal 2 2 4 27 4 9" xfId="23616" xr:uid="{00000000-0005-0000-0000-0000405C0000}"/>
    <cellStyle name="Normal 2 2 4 27 5" xfId="23617" xr:uid="{00000000-0005-0000-0000-0000415C0000}"/>
    <cellStyle name="Normal 2 2 4 27 5 10" xfId="23618" xr:uid="{00000000-0005-0000-0000-0000425C0000}"/>
    <cellStyle name="Normal 2 2 4 27 5 2" xfId="23619" xr:uid="{00000000-0005-0000-0000-0000435C0000}"/>
    <cellStyle name="Normal 2 2 4 27 5 3" xfId="23620" xr:uid="{00000000-0005-0000-0000-0000445C0000}"/>
    <cellStyle name="Normal 2 2 4 27 5 4" xfId="23621" xr:uid="{00000000-0005-0000-0000-0000455C0000}"/>
    <cellStyle name="Normal 2 2 4 27 5 5" xfId="23622" xr:uid="{00000000-0005-0000-0000-0000465C0000}"/>
    <cellStyle name="Normal 2 2 4 27 5 6" xfId="23623" xr:uid="{00000000-0005-0000-0000-0000475C0000}"/>
    <cellStyle name="Normal 2 2 4 27 5 7" xfId="23624" xr:uid="{00000000-0005-0000-0000-0000485C0000}"/>
    <cellStyle name="Normal 2 2 4 27 5 8" xfId="23625" xr:uid="{00000000-0005-0000-0000-0000495C0000}"/>
    <cellStyle name="Normal 2 2 4 27 5 9" xfId="23626" xr:uid="{00000000-0005-0000-0000-00004A5C0000}"/>
    <cellStyle name="Normal 2 2 4 27 6" xfId="23627" xr:uid="{00000000-0005-0000-0000-00004B5C0000}"/>
    <cellStyle name="Normal 2 2 4 27 7" xfId="23628" xr:uid="{00000000-0005-0000-0000-00004C5C0000}"/>
    <cellStyle name="Normal 2 2 4 27 8" xfId="23629" xr:uid="{00000000-0005-0000-0000-00004D5C0000}"/>
    <cellStyle name="Normal 2 2 4 27 9" xfId="23630" xr:uid="{00000000-0005-0000-0000-00004E5C0000}"/>
    <cellStyle name="Normal 2 2 4 28" xfId="23631" xr:uid="{00000000-0005-0000-0000-00004F5C0000}"/>
    <cellStyle name="Normal 2 2 4 28 10" xfId="23632" xr:uid="{00000000-0005-0000-0000-0000505C0000}"/>
    <cellStyle name="Normal 2 2 4 28 11" xfId="23633" xr:uid="{00000000-0005-0000-0000-0000515C0000}"/>
    <cellStyle name="Normal 2 2 4 28 12" xfId="23634" xr:uid="{00000000-0005-0000-0000-0000525C0000}"/>
    <cellStyle name="Normal 2 2 4 28 13" xfId="23635" xr:uid="{00000000-0005-0000-0000-0000535C0000}"/>
    <cellStyle name="Normal 2 2 4 28 14" xfId="23636" xr:uid="{00000000-0005-0000-0000-0000545C0000}"/>
    <cellStyle name="Normal 2 2 4 28 2" xfId="23637" xr:uid="{00000000-0005-0000-0000-0000555C0000}"/>
    <cellStyle name="Normal 2 2 4 28 2 10" xfId="23638" xr:uid="{00000000-0005-0000-0000-0000565C0000}"/>
    <cellStyle name="Normal 2 2 4 28 2 2" xfId="23639" xr:uid="{00000000-0005-0000-0000-0000575C0000}"/>
    <cellStyle name="Normal 2 2 4 28 2 3" xfId="23640" xr:uid="{00000000-0005-0000-0000-0000585C0000}"/>
    <cellStyle name="Normal 2 2 4 28 2 4" xfId="23641" xr:uid="{00000000-0005-0000-0000-0000595C0000}"/>
    <cellStyle name="Normal 2 2 4 28 2 5" xfId="23642" xr:uid="{00000000-0005-0000-0000-00005A5C0000}"/>
    <cellStyle name="Normal 2 2 4 28 2 6" xfId="23643" xr:uid="{00000000-0005-0000-0000-00005B5C0000}"/>
    <cellStyle name="Normal 2 2 4 28 2 7" xfId="23644" xr:uid="{00000000-0005-0000-0000-00005C5C0000}"/>
    <cellStyle name="Normal 2 2 4 28 2 8" xfId="23645" xr:uid="{00000000-0005-0000-0000-00005D5C0000}"/>
    <cellStyle name="Normal 2 2 4 28 2 9" xfId="23646" xr:uid="{00000000-0005-0000-0000-00005E5C0000}"/>
    <cellStyle name="Normal 2 2 4 28 3" xfId="23647" xr:uid="{00000000-0005-0000-0000-00005F5C0000}"/>
    <cellStyle name="Normal 2 2 4 28 3 10" xfId="23648" xr:uid="{00000000-0005-0000-0000-0000605C0000}"/>
    <cellStyle name="Normal 2 2 4 28 3 2" xfId="23649" xr:uid="{00000000-0005-0000-0000-0000615C0000}"/>
    <cellStyle name="Normal 2 2 4 28 3 3" xfId="23650" xr:uid="{00000000-0005-0000-0000-0000625C0000}"/>
    <cellStyle name="Normal 2 2 4 28 3 4" xfId="23651" xr:uid="{00000000-0005-0000-0000-0000635C0000}"/>
    <cellStyle name="Normal 2 2 4 28 3 5" xfId="23652" xr:uid="{00000000-0005-0000-0000-0000645C0000}"/>
    <cellStyle name="Normal 2 2 4 28 3 6" xfId="23653" xr:uid="{00000000-0005-0000-0000-0000655C0000}"/>
    <cellStyle name="Normal 2 2 4 28 3 7" xfId="23654" xr:uid="{00000000-0005-0000-0000-0000665C0000}"/>
    <cellStyle name="Normal 2 2 4 28 3 8" xfId="23655" xr:uid="{00000000-0005-0000-0000-0000675C0000}"/>
    <cellStyle name="Normal 2 2 4 28 3 9" xfId="23656" xr:uid="{00000000-0005-0000-0000-0000685C0000}"/>
    <cellStyle name="Normal 2 2 4 28 4" xfId="23657" xr:uid="{00000000-0005-0000-0000-0000695C0000}"/>
    <cellStyle name="Normal 2 2 4 28 4 10" xfId="23658" xr:uid="{00000000-0005-0000-0000-00006A5C0000}"/>
    <cellStyle name="Normal 2 2 4 28 4 2" xfId="23659" xr:uid="{00000000-0005-0000-0000-00006B5C0000}"/>
    <cellStyle name="Normal 2 2 4 28 4 3" xfId="23660" xr:uid="{00000000-0005-0000-0000-00006C5C0000}"/>
    <cellStyle name="Normal 2 2 4 28 4 4" xfId="23661" xr:uid="{00000000-0005-0000-0000-00006D5C0000}"/>
    <cellStyle name="Normal 2 2 4 28 4 5" xfId="23662" xr:uid="{00000000-0005-0000-0000-00006E5C0000}"/>
    <cellStyle name="Normal 2 2 4 28 4 6" xfId="23663" xr:uid="{00000000-0005-0000-0000-00006F5C0000}"/>
    <cellStyle name="Normal 2 2 4 28 4 7" xfId="23664" xr:uid="{00000000-0005-0000-0000-0000705C0000}"/>
    <cellStyle name="Normal 2 2 4 28 4 8" xfId="23665" xr:uid="{00000000-0005-0000-0000-0000715C0000}"/>
    <cellStyle name="Normal 2 2 4 28 4 9" xfId="23666" xr:uid="{00000000-0005-0000-0000-0000725C0000}"/>
    <cellStyle name="Normal 2 2 4 28 5" xfId="23667" xr:uid="{00000000-0005-0000-0000-0000735C0000}"/>
    <cellStyle name="Normal 2 2 4 28 5 10" xfId="23668" xr:uid="{00000000-0005-0000-0000-0000745C0000}"/>
    <cellStyle name="Normal 2 2 4 28 5 2" xfId="23669" xr:uid="{00000000-0005-0000-0000-0000755C0000}"/>
    <cellStyle name="Normal 2 2 4 28 5 3" xfId="23670" xr:uid="{00000000-0005-0000-0000-0000765C0000}"/>
    <cellStyle name="Normal 2 2 4 28 5 4" xfId="23671" xr:uid="{00000000-0005-0000-0000-0000775C0000}"/>
    <cellStyle name="Normal 2 2 4 28 5 5" xfId="23672" xr:uid="{00000000-0005-0000-0000-0000785C0000}"/>
    <cellStyle name="Normal 2 2 4 28 5 6" xfId="23673" xr:uid="{00000000-0005-0000-0000-0000795C0000}"/>
    <cellStyle name="Normal 2 2 4 28 5 7" xfId="23674" xr:uid="{00000000-0005-0000-0000-00007A5C0000}"/>
    <cellStyle name="Normal 2 2 4 28 5 8" xfId="23675" xr:uid="{00000000-0005-0000-0000-00007B5C0000}"/>
    <cellStyle name="Normal 2 2 4 28 5 9" xfId="23676" xr:uid="{00000000-0005-0000-0000-00007C5C0000}"/>
    <cellStyle name="Normal 2 2 4 28 6" xfId="23677" xr:uid="{00000000-0005-0000-0000-00007D5C0000}"/>
    <cellStyle name="Normal 2 2 4 28 7" xfId="23678" xr:uid="{00000000-0005-0000-0000-00007E5C0000}"/>
    <cellStyle name="Normal 2 2 4 28 8" xfId="23679" xr:uid="{00000000-0005-0000-0000-00007F5C0000}"/>
    <cellStyle name="Normal 2 2 4 28 9" xfId="23680" xr:uid="{00000000-0005-0000-0000-0000805C0000}"/>
    <cellStyle name="Normal 2 2 4 29" xfId="23681" xr:uid="{00000000-0005-0000-0000-0000815C0000}"/>
    <cellStyle name="Normal 2 2 4 29 10" xfId="23682" xr:uid="{00000000-0005-0000-0000-0000825C0000}"/>
    <cellStyle name="Normal 2 2 4 29 11" xfId="23683" xr:uid="{00000000-0005-0000-0000-0000835C0000}"/>
    <cellStyle name="Normal 2 2 4 29 12" xfId="23684" xr:uid="{00000000-0005-0000-0000-0000845C0000}"/>
    <cellStyle name="Normal 2 2 4 29 13" xfId="23685" xr:uid="{00000000-0005-0000-0000-0000855C0000}"/>
    <cellStyle name="Normal 2 2 4 29 14" xfId="23686" xr:uid="{00000000-0005-0000-0000-0000865C0000}"/>
    <cellStyle name="Normal 2 2 4 29 2" xfId="23687" xr:uid="{00000000-0005-0000-0000-0000875C0000}"/>
    <cellStyle name="Normal 2 2 4 29 2 10" xfId="23688" xr:uid="{00000000-0005-0000-0000-0000885C0000}"/>
    <cellStyle name="Normal 2 2 4 29 2 2" xfId="23689" xr:uid="{00000000-0005-0000-0000-0000895C0000}"/>
    <cellStyle name="Normal 2 2 4 29 2 3" xfId="23690" xr:uid="{00000000-0005-0000-0000-00008A5C0000}"/>
    <cellStyle name="Normal 2 2 4 29 2 4" xfId="23691" xr:uid="{00000000-0005-0000-0000-00008B5C0000}"/>
    <cellStyle name="Normal 2 2 4 29 2 5" xfId="23692" xr:uid="{00000000-0005-0000-0000-00008C5C0000}"/>
    <cellStyle name="Normal 2 2 4 29 2 6" xfId="23693" xr:uid="{00000000-0005-0000-0000-00008D5C0000}"/>
    <cellStyle name="Normal 2 2 4 29 2 7" xfId="23694" xr:uid="{00000000-0005-0000-0000-00008E5C0000}"/>
    <cellStyle name="Normal 2 2 4 29 2 8" xfId="23695" xr:uid="{00000000-0005-0000-0000-00008F5C0000}"/>
    <cellStyle name="Normal 2 2 4 29 2 9" xfId="23696" xr:uid="{00000000-0005-0000-0000-0000905C0000}"/>
    <cellStyle name="Normal 2 2 4 29 3" xfId="23697" xr:uid="{00000000-0005-0000-0000-0000915C0000}"/>
    <cellStyle name="Normal 2 2 4 29 3 10" xfId="23698" xr:uid="{00000000-0005-0000-0000-0000925C0000}"/>
    <cellStyle name="Normal 2 2 4 29 3 2" xfId="23699" xr:uid="{00000000-0005-0000-0000-0000935C0000}"/>
    <cellStyle name="Normal 2 2 4 29 3 3" xfId="23700" xr:uid="{00000000-0005-0000-0000-0000945C0000}"/>
    <cellStyle name="Normal 2 2 4 29 3 4" xfId="23701" xr:uid="{00000000-0005-0000-0000-0000955C0000}"/>
    <cellStyle name="Normal 2 2 4 29 3 5" xfId="23702" xr:uid="{00000000-0005-0000-0000-0000965C0000}"/>
    <cellStyle name="Normal 2 2 4 29 3 6" xfId="23703" xr:uid="{00000000-0005-0000-0000-0000975C0000}"/>
    <cellStyle name="Normal 2 2 4 29 3 7" xfId="23704" xr:uid="{00000000-0005-0000-0000-0000985C0000}"/>
    <cellStyle name="Normal 2 2 4 29 3 8" xfId="23705" xr:uid="{00000000-0005-0000-0000-0000995C0000}"/>
    <cellStyle name="Normal 2 2 4 29 3 9" xfId="23706" xr:uid="{00000000-0005-0000-0000-00009A5C0000}"/>
    <cellStyle name="Normal 2 2 4 29 4" xfId="23707" xr:uid="{00000000-0005-0000-0000-00009B5C0000}"/>
    <cellStyle name="Normal 2 2 4 29 4 10" xfId="23708" xr:uid="{00000000-0005-0000-0000-00009C5C0000}"/>
    <cellStyle name="Normal 2 2 4 29 4 2" xfId="23709" xr:uid="{00000000-0005-0000-0000-00009D5C0000}"/>
    <cellStyle name="Normal 2 2 4 29 4 3" xfId="23710" xr:uid="{00000000-0005-0000-0000-00009E5C0000}"/>
    <cellStyle name="Normal 2 2 4 29 4 4" xfId="23711" xr:uid="{00000000-0005-0000-0000-00009F5C0000}"/>
    <cellStyle name="Normal 2 2 4 29 4 5" xfId="23712" xr:uid="{00000000-0005-0000-0000-0000A05C0000}"/>
    <cellStyle name="Normal 2 2 4 29 4 6" xfId="23713" xr:uid="{00000000-0005-0000-0000-0000A15C0000}"/>
    <cellStyle name="Normal 2 2 4 29 4 7" xfId="23714" xr:uid="{00000000-0005-0000-0000-0000A25C0000}"/>
    <cellStyle name="Normal 2 2 4 29 4 8" xfId="23715" xr:uid="{00000000-0005-0000-0000-0000A35C0000}"/>
    <cellStyle name="Normal 2 2 4 29 4 9" xfId="23716" xr:uid="{00000000-0005-0000-0000-0000A45C0000}"/>
    <cellStyle name="Normal 2 2 4 29 5" xfId="23717" xr:uid="{00000000-0005-0000-0000-0000A55C0000}"/>
    <cellStyle name="Normal 2 2 4 29 5 10" xfId="23718" xr:uid="{00000000-0005-0000-0000-0000A65C0000}"/>
    <cellStyle name="Normal 2 2 4 29 5 2" xfId="23719" xr:uid="{00000000-0005-0000-0000-0000A75C0000}"/>
    <cellStyle name="Normal 2 2 4 29 5 3" xfId="23720" xr:uid="{00000000-0005-0000-0000-0000A85C0000}"/>
    <cellStyle name="Normal 2 2 4 29 5 4" xfId="23721" xr:uid="{00000000-0005-0000-0000-0000A95C0000}"/>
    <cellStyle name="Normal 2 2 4 29 5 5" xfId="23722" xr:uid="{00000000-0005-0000-0000-0000AA5C0000}"/>
    <cellStyle name="Normal 2 2 4 29 5 6" xfId="23723" xr:uid="{00000000-0005-0000-0000-0000AB5C0000}"/>
    <cellStyle name="Normal 2 2 4 29 5 7" xfId="23724" xr:uid="{00000000-0005-0000-0000-0000AC5C0000}"/>
    <cellStyle name="Normal 2 2 4 29 5 8" xfId="23725" xr:uid="{00000000-0005-0000-0000-0000AD5C0000}"/>
    <cellStyle name="Normal 2 2 4 29 5 9" xfId="23726" xr:uid="{00000000-0005-0000-0000-0000AE5C0000}"/>
    <cellStyle name="Normal 2 2 4 29 6" xfId="23727" xr:uid="{00000000-0005-0000-0000-0000AF5C0000}"/>
    <cellStyle name="Normal 2 2 4 29 7" xfId="23728" xr:uid="{00000000-0005-0000-0000-0000B05C0000}"/>
    <cellStyle name="Normal 2 2 4 29 8" xfId="23729" xr:uid="{00000000-0005-0000-0000-0000B15C0000}"/>
    <cellStyle name="Normal 2 2 4 29 9" xfId="23730" xr:uid="{00000000-0005-0000-0000-0000B25C0000}"/>
    <cellStyle name="Normal 2 2 4 3" xfId="23731" xr:uid="{00000000-0005-0000-0000-0000B35C0000}"/>
    <cellStyle name="Normal 2 2 4 3 10" xfId="23732" xr:uid="{00000000-0005-0000-0000-0000B45C0000}"/>
    <cellStyle name="Normal 2 2 4 3 11" xfId="23733" xr:uid="{00000000-0005-0000-0000-0000B55C0000}"/>
    <cellStyle name="Normal 2 2 4 3 12" xfId="23734" xr:uid="{00000000-0005-0000-0000-0000B65C0000}"/>
    <cellStyle name="Normal 2 2 4 3 13" xfId="23735" xr:uid="{00000000-0005-0000-0000-0000B75C0000}"/>
    <cellStyle name="Normal 2 2 4 3 14" xfId="23736" xr:uid="{00000000-0005-0000-0000-0000B85C0000}"/>
    <cellStyle name="Normal 2 2 4 3 2" xfId="23737" xr:uid="{00000000-0005-0000-0000-0000B95C0000}"/>
    <cellStyle name="Normal 2 2 4 3 2 10" xfId="23738" xr:uid="{00000000-0005-0000-0000-0000BA5C0000}"/>
    <cellStyle name="Normal 2 2 4 3 2 2" xfId="23739" xr:uid="{00000000-0005-0000-0000-0000BB5C0000}"/>
    <cellStyle name="Normal 2 2 4 3 2 3" xfId="23740" xr:uid="{00000000-0005-0000-0000-0000BC5C0000}"/>
    <cellStyle name="Normal 2 2 4 3 2 4" xfId="23741" xr:uid="{00000000-0005-0000-0000-0000BD5C0000}"/>
    <cellStyle name="Normal 2 2 4 3 2 5" xfId="23742" xr:uid="{00000000-0005-0000-0000-0000BE5C0000}"/>
    <cellStyle name="Normal 2 2 4 3 2 6" xfId="23743" xr:uid="{00000000-0005-0000-0000-0000BF5C0000}"/>
    <cellStyle name="Normal 2 2 4 3 2 7" xfId="23744" xr:uid="{00000000-0005-0000-0000-0000C05C0000}"/>
    <cellStyle name="Normal 2 2 4 3 2 8" xfId="23745" xr:uid="{00000000-0005-0000-0000-0000C15C0000}"/>
    <cellStyle name="Normal 2 2 4 3 2 9" xfId="23746" xr:uid="{00000000-0005-0000-0000-0000C25C0000}"/>
    <cellStyle name="Normal 2 2 4 3 3" xfId="23747" xr:uid="{00000000-0005-0000-0000-0000C35C0000}"/>
    <cellStyle name="Normal 2 2 4 3 3 10" xfId="23748" xr:uid="{00000000-0005-0000-0000-0000C45C0000}"/>
    <cellStyle name="Normal 2 2 4 3 3 2" xfId="23749" xr:uid="{00000000-0005-0000-0000-0000C55C0000}"/>
    <cellStyle name="Normal 2 2 4 3 3 3" xfId="23750" xr:uid="{00000000-0005-0000-0000-0000C65C0000}"/>
    <cellStyle name="Normal 2 2 4 3 3 4" xfId="23751" xr:uid="{00000000-0005-0000-0000-0000C75C0000}"/>
    <cellStyle name="Normal 2 2 4 3 3 5" xfId="23752" xr:uid="{00000000-0005-0000-0000-0000C85C0000}"/>
    <cellStyle name="Normal 2 2 4 3 3 6" xfId="23753" xr:uid="{00000000-0005-0000-0000-0000C95C0000}"/>
    <cellStyle name="Normal 2 2 4 3 3 7" xfId="23754" xr:uid="{00000000-0005-0000-0000-0000CA5C0000}"/>
    <cellStyle name="Normal 2 2 4 3 3 8" xfId="23755" xr:uid="{00000000-0005-0000-0000-0000CB5C0000}"/>
    <cellStyle name="Normal 2 2 4 3 3 9" xfId="23756" xr:uid="{00000000-0005-0000-0000-0000CC5C0000}"/>
    <cellStyle name="Normal 2 2 4 3 4" xfId="23757" xr:uid="{00000000-0005-0000-0000-0000CD5C0000}"/>
    <cellStyle name="Normal 2 2 4 3 4 10" xfId="23758" xr:uid="{00000000-0005-0000-0000-0000CE5C0000}"/>
    <cellStyle name="Normal 2 2 4 3 4 2" xfId="23759" xr:uid="{00000000-0005-0000-0000-0000CF5C0000}"/>
    <cellStyle name="Normal 2 2 4 3 4 3" xfId="23760" xr:uid="{00000000-0005-0000-0000-0000D05C0000}"/>
    <cellStyle name="Normal 2 2 4 3 4 4" xfId="23761" xr:uid="{00000000-0005-0000-0000-0000D15C0000}"/>
    <cellStyle name="Normal 2 2 4 3 4 5" xfId="23762" xr:uid="{00000000-0005-0000-0000-0000D25C0000}"/>
    <cellStyle name="Normal 2 2 4 3 4 6" xfId="23763" xr:uid="{00000000-0005-0000-0000-0000D35C0000}"/>
    <cellStyle name="Normal 2 2 4 3 4 7" xfId="23764" xr:uid="{00000000-0005-0000-0000-0000D45C0000}"/>
    <cellStyle name="Normal 2 2 4 3 4 8" xfId="23765" xr:uid="{00000000-0005-0000-0000-0000D55C0000}"/>
    <cellStyle name="Normal 2 2 4 3 4 9" xfId="23766" xr:uid="{00000000-0005-0000-0000-0000D65C0000}"/>
    <cellStyle name="Normal 2 2 4 3 5" xfId="23767" xr:uid="{00000000-0005-0000-0000-0000D75C0000}"/>
    <cellStyle name="Normal 2 2 4 3 5 10" xfId="23768" xr:uid="{00000000-0005-0000-0000-0000D85C0000}"/>
    <cellStyle name="Normal 2 2 4 3 5 2" xfId="23769" xr:uid="{00000000-0005-0000-0000-0000D95C0000}"/>
    <cellStyle name="Normal 2 2 4 3 5 3" xfId="23770" xr:uid="{00000000-0005-0000-0000-0000DA5C0000}"/>
    <cellStyle name="Normal 2 2 4 3 5 4" xfId="23771" xr:uid="{00000000-0005-0000-0000-0000DB5C0000}"/>
    <cellStyle name="Normal 2 2 4 3 5 5" xfId="23772" xr:uid="{00000000-0005-0000-0000-0000DC5C0000}"/>
    <cellStyle name="Normal 2 2 4 3 5 6" xfId="23773" xr:uid="{00000000-0005-0000-0000-0000DD5C0000}"/>
    <cellStyle name="Normal 2 2 4 3 5 7" xfId="23774" xr:uid="{00000000-0005-0000-0000-0000DE5C0000}"/>
    <cellStyle name="Normal 2 2 4 3 5 8" xfId="23775" xr:uid="{00000000-0005-0000-0000-0000DF5C0000}"/>
    <cellStyle name="Normal 2 2 4 3 5 9" xfId="23776" xr:uid="{00000000-0005-0000-0000-0000E05C0000}"/>
    <cellStyle name="Normal 2 2 4 3 6" xfId="23777" xr:uid="{00000000-0005-0000-0000-0000E15C0000}"/>
    <cellStyle name="Normal 2 2 4 3 7" xfId="23778" xr:uid="{00000000-0005-0000-0000-0000E25C0000}"/>
    <cellStyle name="Normal 2 2 4 3 8" xfId="23779" xr:uid="{00000000-0005-0000-0000-0000E35C0000}"/>
    <cellStyle name="Normal 2 2 4 3 9" xfId="23780" xr:uid="{00000000-0005-0000-0000-0000E45C0000}"/>
    <cellStyle name="Normal 2 2 4 30" xfId="23781" xr:uid="{00000000-0005-0000-0000-0000E55C0000}"/>
    <cellStyle name="Normal 2 2 4 30 10" xfId="23782" xr:uid="{00000000-0005-0000-0000-0000E65C0000}"/>
    <cellStyle name="Normal 2 2 4 30 11" xfId="23783" xr:uid="{00000000-0005-0000-0000-0000E75C0000}"/>
    <cellStyle name="Normal 2 2 4 30 12" xfId="23784" xr:uid="{00000000-0005-0000-0000-0000E85C0000}"/>
    <cellStyle name="Normal 2 2 4 30 13" xfId="23785" xr:uid="{00000000-0005-0000-0000-0000E95C0000}"/>
    <cellStyle name="Normal 2 2 4 30 14" xfId="23786" xr:uid="{00000000-0005-0000-0000-0000EA5C0000}"/>
    <cellStyle name="Normal 2 2 4 30 2" xfId="23787" xr:uid="{00000000-0005-0000-0000-0000EB5C0000}"/>
    <cellStyle name="Normal 2 2 4 30 2 10" xfId="23788" xr:uid="{00000000-0005-0000-0000-0000EC5C0000}"/>
    <cellStyle name="Normal 2 2 4 30 2 2" xfId="23789" xr:uid="{00000000-0005-0000-0000-0000ED5C0000}"/>
    <cellStyle name="Normal 2 2 4 30 2 3" xfId="23790" xr:uid="{00000000-0005-0000-0000-0000EE5C0000}"/>
    <cellStyle name="Normal 2 2 4 30 2 4" xfId="23791" xr:uid="{00000000-0005-0000-0000-0000EF5C0000}"/>
    <cellStyle name="Normal 2 2 4 30 2 5" xfId="23792" xr:uid="{00000000-0005-0000-0000-0000F05C0000}"/>
    <cellStyle name="Normal 2 2 4 30 2 6" xfId="23793" xr:uid="{00000000-0005-0000-0000-0000F15C0000}"/>
    <cellStyle name="Normal 2 2 4 30 2 7" xfId="23794" xr:uid="{00000000-0005-0000-0000-0000F25C0000}"/>
    <cellStyle name="Normal 2 2 4 30 2 8" xfId="23795" xr:uid="{00000000-0005-0000-0000-0000F35C0000}"/>
    <cellStyle name="Normal 2 2 4 30 2 9" xfId="23796" xr:uid="{00000000-0005-0000-0000-0000F45C0000}"/>
    <cellStyle name="Normal 2 2 4 30 3" xfId="23797" xr:uid="{00000000-0005-0000-0000-0000F55C0000}"/>
    <cellStyle name="Normal 2 2 4 30 3 10" xfId="23798" xr:uid="{00000000-0005-0000-0000-0000F65C0000}"/>
    <cellStyle name="Normal 2 2 4 30 3 2" xfId="23799" xr:uid="{00000000-0005-0000-0000-0000F75C0000}"/>
    <cellStyle name="Normal 2 2 4 30 3 3" xfId="23800" xr:uid="{00000000-0005-0000-0000-0000F85C0000}"/>
    <cellStyle name="Normal 2 2 4 30 3 4" xfId="23801" xr:uid="{00000000-0005-0000-0000-0000F95C0000}"/>
    <cellStyle name="Normal 2 2 4 30 3 5" xfId="23802" xr:uid="{00000000-0005-0000-0000-0000FA5C0000}"/>
    <cellStyle name="Normal 2 2 4 30 3 6" xfId="23803" xr:uid="{00000000-0005-0000-0000-0000FB5C0000}"/>
    <cellStyle name="Normal 2 2 4 30 3 7" xfId="23804" xr:uid="{00000000-0005-0000-0000-0000FC5C0000}"/>
    <cellStyle name="Normal 2 2 4 30 3 8" xfId="23805" xr:uid="{00000000-0005-0000-0000-0000FD5C0000}"/>
    <cellStyle name="Normal 2 2 4 30 3 9" xfId="23806" xr:uid="{00000000-0005-0000-0000-0000FE5C0000}"/>
    <cellStyle name="Normal 2 2 4 30 4" xfId="23807" xr:uid="{00000000-0005-0000-0000-0000FF5C0000}"/>
    <cellStyle name="Normal 2 2 4 30 4 10" xfId="23808" xr:uid="{00000000-0005-0000-0000-0000005D0000}"/>
    <cellStyle name="Normal 2 2 4 30 4 2" xfId="23809" xr:uid="{00000000-0005-0000-0000-0000015D0000}"/>
    <cellStyle name="Normal 2 2 4 30 4 3" xfId="23810" xr:uid="{00000000-0005-0000-0000-0000025D0000}"/>
    <cellStyle name="Normal 2 2 4 30 4 4" xfId="23811" xr:uid="{00000000-0005-0000-0000-0000035D0000}"/>
    <cellStyle name="Normal 2 2 4 30 4 5" xfId="23812" xr:uid="{00000000-0005-0000-0000-0000045D0000}"/>
    <cellStyle name="Normal 2 2 4 30 4 6" xfId="23813" xr:uid="{00000000-0005-0000-0000-0000055D0000}"/>
    <cellStyle name="Normal 2 2 4 30 4 7" xfId="23814" xr:uid="{00000000-0005-0000-0000-0000065D0000}"/>
    <cellStyle name="Normal 2 2 4 30 4 8" xfId="23815" xr:uid="{00000000-0005-0000-0000-0000075D0000}"/>
    <cellStyle name="Normal 2 2 4 30 4 9" xfId="23816" xr:uid="{00000000-0005-0000-0000-0000085D0000}"/>
    <cellStyle name="Normal 2 2 4 30 5" xfId="23817" xr:uid="{00000000-0005-0000-0000-0000095D0000}"/>
    <cellStyle name="Normal 2 2 4 30 5 10" xfId="23818" xr:uid="{00000000-0005-0000-0000-00000A5D0000}"/>
    <cellStyle name="Normal 2 2 4 30 5 2" xfId="23819" xr:uid="{00000000-0005-0000-0000-00000B5D0000}"/>
    <cellStyle name="Normal 2 2 4 30 5 3" xfId="23820" xr:uid="{00000000-0005-0000-0000-00000C5D0000}"/>
    <cellStyle name="Normal 2 2 4 30 5 4" xfId="23821" xr:uid="{00000000-0005-0000-0000-00000D5D0000}"/>
    <cellStyle name="Normal 2 2 4 30 5 5" xfId="23822" xr:uid="{00000000-0005-0000-0000-00000E5D0000}"/>
    <cellStyle name="Normal 2 2 4 30 5 6" xfId="23823" xr:uid="{00000000-0005-0000-0000-00000F5D0000}"/>
    <cellStyle name="Normal 2 2 4 30 5 7" xfId="23824" xr:uid="{00000000-0005-0000-0000-0000105D0000}"/>
    <cellStyle name="Normal 2 2 4 30 5 8" xfId="23825" xr:uid="{00000000-0005-0000-0000-0000115D0000}"/>
    <cellStyle name="Normal 2 2 4 30 5 9" xfId="23826" xr:uid="{00000000-0005-0000-0000-0000125D0000}"/>
    <cellStyle name="Normal 2 2 4 30 6" xfId="23827" xr:uid="{00000000-0005-0000-0000-0000135D0000}"/>
    <cellStyle name="Normal 2 2 4 30 7" xfId="23828" xr:uid="{00000000-0005-0000-0000-0000145D0000}"/>
    <cellStyle name="Normal 2 2 4 30 8" xfId="23829" xr:uid="{00000000-0005-0000-0000-0000155D0000}"/>
    <cellStyle name="Normal 2 2 4 30 9" xfId="23830" xr:uid="{00000000-0005-0000-0000-0000165D0000}"/>
    <cellStyle name="Normal 2 2 4 31" xfId="23831" xr:uid="{00000000-0005-0000-0000-0000175D0000}"/>
    <cellStyle name="Normal 2 2 4 31 10" xfId="23832" xr:uid="{00000000-0005-0000-0000-0000185D0000}"/>
    <cellStyle name="Normal 2 2 4 31 11" xfId="23833" xr:uid="{00000000-0005-0000-0000-0000195D0000}"/>
    <cellStyle name="Normal 2 2 4 31 12" xfId="23834" xr:uid="{00000000-0005-0000-0000-00001A5D0000}"/>
    <cellStyle name="Normal 2 2 4 31 13" xfId="23835" xr:uid="{00000000-0005-0000-0000-00001B5D0000}"/>
    <cellStyle name="Normal 2 2 4 31 14" xfId="23836" xr:uid="{00000000-0005-0000-0000-00001C5D0000}"/>
    <cellStyle name="Normal 2 2 4 31 2" xfId="23837" xr:uid="{00000000-0005-0000-0000-00001D5D0000}"/>
    <cellStyle name="Normal 2 2 4 31 2 10" xfId="23838" xr:uid="{00000000-0005-0000-0000-00001E5D0000}"/>
    <cellStyle name="Normal 2 2 4 31 2 2" xfId="23839" xr:uid="{00000000-0005-0000-0000-00001F5D0000}"/>
    <cellStyle name="Normal 2 2 4 31 2 3" xfId="23840" xr:uid="{00000000-0005-0000-0000-0000205D0000}"/>
    <cellStyle name="Normal 2 2 4 31 2 4" xfId="23841" xr:uid="{00000000-0005-0000-0000-0000215D0000}"/>
    <cellStyle name="Normal 2 2 4 31 2 5" xfId="23842" xr:uid="{00000000-0005-0000-0000-0000225D0000}"/>
    <cellStyle name="Normal 2 2 4 31 2 6" xfId="23843" xr:uid="{00000000-0005-0000-0000-0000235D0000}"/>
    <cellStyle name="Normal 2 2 4 31 2 7" xfId="23844" xr:uid="{00000000-0005-0000-0000-0000245D0000}"/>
    <cellStyle name="Normal 2 2 4 31 2 8" xfId="23845" xr:uid="{00000000-0005-0000-0000-0000255D0000}"/>
    <cellStyle name="Normal 2 2 4 31 2 9" xfId="23846" xr:uid="{00000000-0005-0000-0000-0000265D0000}"/>
    <cellStyle name="Normal 2 2 4 31 3" xfId="23847" xr:uid="{00000000-0005-0000-0000-0000275D0000}"/>
    <cellStyle name="Normal 2 2 4 31 3 10" xfId="23848" xr:uid="{00000000-0005-0000-0000-0000285D0000}"/>
    <cellStyle name="Normal 2 2 4 31 3 2" xfId="23849" xr:uid="{00000000-0005-0000-0000-0000295D0000}"/>
    <cellStyle name="Normal 2 2 4 31 3 3" xfId="23850" xr:uid="{00000000-0005-0000-0000-00002A5D0000}"/>
    <cellStyle name="Normal 2 2 4 31 3 4" xfId="23851" xr:uid="{00000000-0005-0000-0000-00002B5D0000}"/>
    <cellStyle name="Normal 2 2 4 31 3 5" xfId="23852" xr:uid="{00000000-0005-0000-0000-00002C5D0000}"/>
    <cellStyle name="Normal 2 2 4 31 3 6" xfId="23853" xr:uid="{00000000-0005-0000-0000-00002D5D0000}"/>
    <cellStyle name="Normal 2 2 4 31 3 7" xfId="23854" xr:uid="{00000000-0005-0000-0000-00002E5D0000}"/>
    <cellStyle name="Normal 2 2 4 31 3 8" xfId="23855" xr:uid="{00000000-0005-0000-0000-00002F5D0000}"/>
    <cellStyle name="Normal 2 2 4 31 3 9" xfId="23856" xr:uid="{00000000-0005-0000-0000-0000305D0000}"/>
    <cellStyle name="Normal 2 2 4 31 4" xfId="23857" xr:uid="{00000000-0005-0000-0000-0000315D0000}"/>
    <cellStyle name="Normal 2 2 4 31 4 10" xfId="23858" xr:uid="{00000000-0005-0000-0000-0000325D0000}"/>
    <cellStyle name="Normal 2 2 4 31 4 2" xfId="23859" xr:uid="{00000000-0005-0000-0000-0000335D0000}"/>
    <cellStyle name="Normal 2 2 4 31 4 3" xfId="23860" xr:uid="{00000000-0005-0000-0000-0000345D0000}"/>
    <cellStyle name="Normal 2 2 4 31 4 4" xfId="23861" xr:uid="{00000000-0005-0000-0000-0000355D0000}"/>
    <cellStyle name="Normal 2 2 4 31 4 5" xfId="23862" xr:uid="{00000000-0005-0000-0000-0000365D0000}"/>
    <cellStyle name="Normal 2 2 4 31 4 6" xfId="23863" xr:uid="{00000000-0005-0000-0000-0000375D0000}"/>
    <cellStyle name="Normal 2 2 4 31 4 7" xfId="23864" xr:uid="{00000000-0005-0000-0000-0000385D0000}"/>
    <cellStyle name="Normal 2 2 4 31 4 8" xfId="23865" xr:uid="{00000000-0005-0000-0000-0000395D0000}"/>
    <cellStyle name="Normal 2 2 4 31 4 9" xfId="23866" xr:uid="{00000000-0005-0000-0000-00003A5D0000}"/>
    <cellStyle name="Normal 2 2 4 31 5" xfId="23867" xr:uid="{00000000-0005-0000-0000-00003B5D0000}"/>
    <cellStyle name="Normal 2 2 4 31 5 10" xfId="23868" xr:uid="{00000000-0005-0000-0000-00003C5D0000}"/>
    <cellStyle name="Normal 2 2 4 31 5 2" xfId="23869" xr:uid="{00000000-0005-0000-0000-00003D5D0000}"/>
    <cellStyle name="Normal 2 2 4 31 5 3" xfId="23870" xr:uid="{00000000-0005-0000-0000-00003E5D0000}"/>
    <cellStyle name="Normal 2 2 4 31 5 4" xfId="23871" xr:uid="{00000000-0005-0000-0000-00003F5D0000}"/>
    <cellStyle name="Normal 2 2 4 31 5 5" xfId="23872" xr:uid="{00000000-0005-0000-0000-0000405D0000}"/>
    <cellStyle name="Normal 2 2 4 31 5 6" xfId="23873" xr:uid="{00000000-0005-0000-0000-0000415D0000}"/>
    <cellStyle name="Normal 2 2 4 31 5 7" xfId="23874" xr:uid="{00000000-0005-0000-0000-0000425D0000}"/>
    <cellStyle name="Normal 2 2 4 31 5 8" xfId="23875" xr:uid="{00000000-0005-0000-0000-0000435D0000}"/>
    <cellStyle name="Normal 2 2 4 31 5 9" xfId="23876" xr:uid="{00000000-0005-0000-0000-0000445D0000}"/>
    <cellStyle name="Normal 2 2 4 31 6" xfId="23877" xr:uid="{00000000-0005-0000-0000-0000455D0000}"/>
    <cellStyle name="Normal 2 2 4 31 7" xfId="23878" xr:uid="{00000000-0005-0000-0000-0000465D0000}"/>
    <cellStyle name="Normal 2 2 4 31 8" xfId="23879" xr:uid="{00000000-0005-0000-0000-0000475D0000}"/>
    <cellStyle name="Normal 2 2 4 31 9" xfId="23880" xr:uid="{00000000-0005-0000-0000-0000485D0000}"/>
    <cellStyle name="Normal 2 2 4 32" xfId="23881" xr:uid="{00000000-0005-0000-0000-0000495D0000}"/>
    <cellStyle name="Normal 2 2 4 32 10" xfId="23882" xr:uid="{00000000-0005-0000-0000-00004A5D0000}"/>
    <cellStyle name="Normal 2 2 4 32 11" xfId="23883" xr:uid="{00000000-0005-0000-0000-00004B5D0000}"/>
    <cellStyle name="Normal 2 2 4 32 12" xfId="23884" xr:uid="{00000000-0005-0000-0000-00004C5D0000}"/>
    <cellStyle name="Normal 2 2 4 32 13" xfId="23885" xr:uid="{00000000-0005-0000-0000-00004D5D0000}"/>
    <cellStyle name="Normal 2 2 4 32 14" xfId="23886" xr:uid="{00000000-0005-0000-0000-00004E5D0000}"/>
    <cellStyle name="Normal 2 2 4 32 2" xfId="23887" xr:uid="{00000000-0005-0000-0000-00004F5D0000}"/>
    <cellStyle name="Normal 2 2 4 32 2 10" xfId="23888" xr:uid="{00000000-0005-0000-0000-0000505D0000}"/>
    <cellStyle name="Normal 2 2 4 32 2 2" xfId="23889" xr:uid="{00000000-0005-0000-0000-0000515D0000}"/>
    <cellStyle name="Normal 2 2 4 32 2 3" xfId="23890" xr:uid="{00000000-0005-0000-0000-0000525D0000}"/>
    <cellStyle name="Normal 2 2 4 32 2 4" xfId="23891" xr:uid="{00000000-0005-0000-0000-0000535D0000}"/>
    <cellStyle name="Normal 2 2 4 32 2 5" xfId="23892" xr:uid="{00000000-0005-0000-0000-0000545D0000}"/>
    <cellStyle name="Normal 2 2 4 32 2 6" xfId="23893" xr:uid="{00000000-0005-0000-0000-0000555D0000}"/>
    <cellStyle name="Normal 2 2 4 32 2 7" xfId="23894" xr:uid="{00000000-0005-0000-0000-0000565D0000}"/>
    <cellStyle name="Normal 2 2 4 32 2 8" xfId="23895" xr:uid="{00000000-0005-0000-0000-0000575D0000}"/>
    <cellStyle name="Normal 2 2 4 32 2 9" xfId="23896" xr:uid="{00000000-0005-0000-0000-0000585D0000}"/>
    <cellStyle name="Normal 2 2 4 32 3" xfId="23897" xr:uid="{00000000-0005-0000-0000-0000595D0000}"/>
    <cellStyle name="Normal 2 2 4 32 3 10" xfId="23898" xr:uid="{00000000-0005-0000-0000-00005A5D0000}"/>
    <cellStyle name="Normal 2 2 4 32 3 2" xfId="23899" xr:uid="{00000000-0005-0000-0000-00005B5D0000}"/>
    <cellStyle name="Normal 2 2 4 32 3 3" xfId="23900" xr:uid="{00000000-0005-0000-0000-00005C5D0000}"/>
    <cellStyle name="Normal 2 2 4 32 3 4" xfId="23901" xr:uid="{00000000-0005-0000-0000-00005D5D0000}"/>
    <cellStyle name="Normal 2 2 4 32 3 5" xfId="23902" xr:uid="{00000000-0005-0000-0000-00005E5D0000}"/>
    <cellStyle name="Normal 2 2 4 32 3 6" xfId="23903" xr:uid="{00000000-0005-0000-0000-00005F5D0000}"/>
    <cellStyle name="Normal 2 2 4 32 3 7" xfId="23904" xr:uid="{00000000-0005-0000-0000-0000605D0000}"/>
    <cellStyle name="Normal 2 2 4 32 3 8" xfId="23905" xr:uid="{00000000-0005-0000-0000-0000615D0000}"/>
    <cellStyle name="Normal 2 2 4 32 3 9" xfId="23906" xr:uid="{00000000-0005-0000-0000-0000625D0000}"/>
    <cellStyle name="Normal 2 2 4 32 4" xfId="23907" xr:uid="{00000000-0005-0000-0000-0000635D0000}"/>
    <cellStyle name="Normal 2 2 4 32 4 10" xfId="23908" xr:uid="{00000000-0005-0000-0000-0000645D0000}"/>
    <cellStyle name="Normal 2 2 4 32 4 2" xfId="23909" xr:uid="{00000000-0005-0000-0000-0000655D0000}"/>
    <cellStyle name="Normal 2 2 4 32 4 3" xfId="23910" xr:uid="{00000000-0005-0000-0000-0000665D0000}"/>
    <cellStyle name="Normal 2 2 4 32 4 4" xfId="23911" xr:uid="{00000000-0005-0000-0000-0000675D0000}"/>
    <cellStyle name="Normal 2 2 4 32 4 5" xfId="23912" xr:uid="{00000000-0005-0000-0000-0000685D0000}"/>
    <cellStyle name="Normal 2 2 4 32 4 6" xfId="23913" xr:uid="{00000000-0005-0000-0000-0000695D0000}"/>
    <cellStyle name="Normal 2 2 4 32 4 7" xfId="23914" xr:uid="{00000000-0005-0000-0000-00006A5D0000}"/>
    <cellStyle name="Normal 2 2 4 32 4 8" xfId="23915" xr:uid="{00000000-0005-0000-0000-00006B5D0000}"/>
    <cellStyle name="Normal 2 2 4 32 4 9" xfId="23916" xr:uid="{00000000-0005-0000-0000-00006C5D0000}"/>
    <cellStyle name="Normal 2 2 4 32 5" xfId="23917" xr:uid="{00000000-0005-0000-0000-00006D5D0000}"/>
    <cellStyle name="Normal 2 2 4 32 5 10" xfId="23918" xr:uid="{00000000-0005-0000-0000-00006E5D0000}"/>
    <cellStyle name="Normal 2 2 4 32 5 2" xfId="23919" xr:uid="{00000000-0005-0000-0000-00006F5D0000}"/>
    <cellStyle name="Normal 2 2 4 32 5 3" xfId="23920" xr:uid="{00000000-0005-0000-0000-0000705D0000}"/>
    <cellStyle name="Normal 2 2 4 32 5 4" xfId="23921" xr:uid="{00000000-0005-0000-0000-0000715D0000}"/>
    <cellStyle name="Normal 2 2 4 32 5 5" xfId="23922" xr:uid="{00000000-0005-0000-0000-0000725D0000}"/>
    <cellStyle name="Normal 2 2 4 32 5 6" xfId="23923" xr:uid="{00000000-0005-0000-0000-0000735D0000}"/>
    <cellStyle name="Normal 2 2 4 32 5 7" xfId="23924" xr:uid="{00000000-0005-0000-0000-0000745D0000}"/>
    <cellStyle name="Normal 2 2 4 32 5 8" xfId="23925" xr:uid="{00000000-0005-0000-0000-0000755D0000}"/>
    <cellStyle name="Normal 2 2 4 32 5 9" xfId="23926" xr:uid="{00000000-0005-0000-0000-0000765D0000}"/>
    <cellStyle name="Normal 2 2 4 32 6" xfId="23927" xr:uid="{00000000-0005-0000-0000-0000775D0000}"/>
    <cellStyle name="Normal 2 2 4 32 7" xfId="23928" xr:uid="{00000000-0005-0000-0000-0000785D0000}"/>
    <cellStyle name="Normal 2 2 4 32 8" xfId="23929" xr:uid="{00000000-0005-0000-0000-0000795D0000}"/>
    <cellStyle name="Normal 2 2 4 32 9" xfId="23930" xr:uid="{00000000-0005-0000-0000-00007A5D0000}"/>
    <cellStyle name="Normal 2 2 4 33" xfId="23931" xr:uid="{00000000-0005-0000-0000-00007B5D0000}"/>
    <cellStyle name="Normal 2 2 4 33 10" xfId="23932" xr:uid="{00000000-0005-0000-0000-00007C5D0000}"/>
    <cellStyle name="Normal 2 2 4 33 11" xfId="23933" xr:uid="{00000000-0005-0000-0000-00007D5D0000}"/>
    <cellStyle name="Normal 2 2 4 33 12" xfId="23934" xr:uid="{00000000-0005-0000-0000-00007E5D0000}"/>
    <cellStyle name="Normal 2 2 4 33 13" xfId="23935" xr:uid="{00000000-0005-0000-0000-00007F5D0000}"/>
    <cellStyle name="Normal 2 2 4 33 14" xfId="23936" xr:uid="{00000000-0005-0000-0000-0000805D0000}"/>
    <cellStyle name="Normal 2 2 4 33 2" xfId="23937" xr:uid="{00000000-0005-0000-0000-0000815D0000}"/>
    <cellStyle name="Normal 2 2 4 33 2 10" xfId="23938" xr:uid="{00000000-0005-0000-0000-0000825D0000}"/>
    <cellStyle name="Normal 2 2 4 33 2 2" xfId="23939" xr:uid="{00000000-0005-0000-0000-0000835D0000}"/>
    <cellStyle name="Normal 2 2 4 33 2 3" xfId="23940" xr:uid="{00000000-0005-0000-0000-0000845D0000}"/>
    <cellStyle name="Normal 2 2 4 33 2 4" xfId="23941" xr:uid="{00000000-0005-0000-0000-0000855D0000}"/>
    <cellStyle name="Normal 2 2 4 33 2 5" xfId="23942" xr:uid="{00000000-0005-0000-0000-0000865D0000}"/>
    <cellStyle name="Normal 2 2 4 33 2 6" xfId="23943" xr:uid="{00000000-0005-0000-0000-0000875D0000}"/>
    <cellStyle name="Normal 2 2 4 33 2 7" xfId="23944" xr:uid="{00000000-0005-0000-0000-0000885D0000}"/>
    <cellStyle name="Normal 2 2 4 33 2 8" xfId="23945" xr:uid="{00000000-0005-0000-0000-0000895D0000}"/>
    <cellStyle name="Normal 2 2 4 33 2 9" xfId="23946" xr:uid="{00000000-0005-0000-0000-00008A5D0000}"/>
    <cellStyle name="Normal 2 2 4 33 3" xfId="23947" xr:uid="{00000000-0005-0000-0000-00008B5D0000}"/>
    <cellStyle name="Normal 2 2 4 33 3 10" xfId="23948" xr:uid="{00000000-0005-0000-0000-00008C5D0000}"/>
    <cellStyle name="Normal 2 2 4 33 3 2" xfId="23949" xr:uid="{00000000-0005-0000-0000-00008D5D0000}"/>
    <cellStyle name="Normal 2 2 4 33 3 3" xfId="23950" xr:uid="{00000000-0005-0000-0000-00008E5D0000}"/>
    <cellStyle name="Normal 2 2 4 33 3 4" xfId="23951" xr:uid="{00000000-0005-0000-0000-00008F5D0000}"/>
    <cellStyle name="Normal 2 2 4 33 3 5" xfId="23952" xr:uid="{00000000-0005-0000-0000-0000905D0000}"/>
    <cellStyle name="Normal 2 2 4 33 3 6" xfId="23953" xr:uid="{00000000-0005-0000-0000-0000915D0000}"/>
    <cellStyle name="Normal 2 2 4 33 3 7" xfId="23954" xr:uid="{00000000-0005-0000-0000-0000925D0000}"/>
    <cellStyle name="Normal 2 2 4 33 3 8" xfId="23955" xr:uid="{00000000-0005-0000-0000-0000935D0000}"/>
    <cellStyle name="Normal 2 2 4 33 3 9" xfId="23956" xr:uid="{00000000-0005-0000-0000-0000945D0000}"/>
    <cellStyle name="Normal 2 2 4 33 4" xfId="23957" xr:uid="{00000000-0005-0000-0000-0000955D0000}"/>
    <cellStyle name="Normal 2 2 4 33 4 10" xfId="23958" xr:uid="{00000000-0005-0000-0000-0000965D0000}"/>
    <cellStyle name="Normal 2 2 4 33 4 2" xfId="23959" xr:uid="{00000000-0005-0000-0000-0000975D0000}"/>
    <cellStyle name="Normal 2 2 4 33 4 3" xfId="23960" xr:uid="{00000000-0005-0000-0000-0000985D0000}"/>
    <cellStyle name="Normal 2 2 4 33 4 4" xfId="23961" xr:uid="{00000000-0005-0000-0000-0000995D0000}"/>
    <cellStyle name="Normal 2 2 4 33 4 5" xfId="23962" xr:uid="{00000000-0005-0000-0000-00009A5D0000}"/>
    <cellStyle name="Normal 2 2 4 33 4 6" xfId="23963" xr:uid="{00000000-0005-0000-0000-00009B5D0000}"/>
    <cellStyle name="Normal 2 2 4 33 4 7" xfId="23964" xr:uid="{00000000-0005-0000-0000-00009C5D0000}"/>
    <cellStyle name="Normal 2 2 4 33 4 8" xfId="23965" xr:uid="{00000000-0005-0000-0000-00009D5D0000}"/>
    <cellStyle name="Normal 2 2 4 33 4 9" xfId="23966" xr:uid="{00000000-0005-0000-0000-00009E5D0000}"/>
    <cellStyle name="Normal 2 2 4 33 5" xfId="23967" xr:uid="{00000000-0005-0000-0000-00009F5D0000}"/>
    <cellStyle name="Normal 2 2 4 33 5 10" xfId="23968" xr:uid="{00000000-0005-0000-0000-0000A05D0000}"/>
    <cellStyle name="Normal 2 2 4 33 5 2" xfId="23969" xr:uid="{00000000-0005-0000-0000-0000A15D0000}"/>
    <cellStyle name="Normal 2 2 4 33 5 3" xfId="23970" xr:uid="{00000000-0005-0000-0000-0000A25D0000}"/>
    <cellStyle name="Normal 2 2 4 33 5 4" xfId="23971" xr:uid="{00000000-0005-0000-0000-0000A35D0000}"/>
    <cellStyle name="Normal 2 2 4 33 5 5" xfId="23972" xr:uid="{00000000-0005-0000-0000-0000A45D0000}"/>
    <cellStyle name="Normal 2 2 4 33 5 6" xfId="23973" xr:uid="{00000000-0005-0000-0000-0000A55D0000}"/>
    <cellStyle name="Normal 2 2 4 33 5 7" xfId="23974" xr:uid="{00000000-0005-0000-0000-0000A65D0000}"/>
    <cellStyle name="Normal 2 2 4 33 5 8" xfId="23975" xr:uid="{00000000-0005-0000-0000-0000A75D0000}"/>
    <cellStyle name="Normal 2 2 4 33 5 9" xfId="23976" xr:uid="{00000000-0005-0000-0000-0000A85D0000}"/>
    <cellStyle name="Normal 2 2 4 33 6" xfId="23977" xr:uid="{00000000-0005-0000-0000-0000A95D0000}"/>
    <cellStyle name="Normal 2 2 4 33 7" xfId="23978" xr:uid="{00000000-0005-0000-0000-0000AA5D0000}"/>
    <cellStyle name="Normal 2 2 4 33 8" xfId="23979" xr:uid="{00000000-0005-0000-0000-0000AB5D0000}"/>
    <cellStyle name="Normal 2 2 4 33 9" xfId="23980" xr:uid="{00000000-0005-0000-0000-0000AC5D0000}"/>
    <cellStyle name="Normal 2 2 4 34" xfId="23981" xr:uid="{00000000-0005-0000-0000-0000AD5D0000}"/>
    <cellStyle name="Normal 2 2 4 35" xfId="23982" xr:uid="{00000000-0005-0000-0000-0000AE5D0000}"/>
    <cellStyle name="Normal 2 2 4 36" xfId="23983" xr:uid="{00000000-0005-0000-0000-0000AF5D0000}"/>
    <cellStyle name="Normal 2 2 4 4" xfId="23984" xr:uid="{00000000-0005-0000-0000-0000B05D0000}"/>
    <cellStyle name="Normal 2 2 4 4 10" xfId="23985" xr:uid="{00000000-0005-0000-0000-0000B15D0000}"/>
    <cellStyle name="Normal 2 2 4 4 11" xfId="23986" xr:uid="{00000000-0005-0000-0000-0000B25D0000}"/>
    <cellStyle name="Normal 2 2 4 4 12" xfId="23987" xr:uid="{00000000-0005-0000-0000-0000B35D0000}"/>
    <cellStyle name="Normal 2 2 4 4 13" xfId="23988" xr:uid="{00000000-0005-0000-0000-0000B45D0000}"/>
    <cellStyle name="Normal 2 2 4 4 14" xfId="23989" xr:uid="{00000000-0005-0000-0000-0000B55D0000}"/>
    <cellStyle name="Normal 2 2 4 4 2" xfId="23990" xr:uid="{00000000-0005-0000-0000-0000B65D0000}"/>
    <cellStyle name="Normal 2 2 4 4 2 10" xfId="23991" xr:uid="{00000000-0005-0000-0000-0000B75D0000}"/>
    <cellStyle name="Normal 2 2 4 4 2 2" xfId="23992" xr:uid="{00000000-0005-0000-0000-0000B85D0000}"/>
    <cellStyle name="Normal 2 2 4 4 2 3" xfId="23993" xr:uid="{00000000-0005-0000-0000-0000B95D0000}"/>
    <cellStyle name="Normal 2 2 4 4 2 4" xfId="23994" xr:uid="{00000000-0005-0000-0000-0000BA5D0000}"/>
    <cellStyle name="Normal 2 2 4 4 2 5" xfId="23995" xr:uid="{00000000-0005-0000-0000-0000BB5D0000}"/>
    <cellStyle name="Normal 2 2 4 4 2 6" xfId="23996" xr:uid="{00000000-0005-0000-0000-0000BC5D0000}"/>
    <cellStyle name="Normal 2 2 4 4 2 7" xfId="23997" xr:uid="{00000000-0005-0000-0000-0000BD5D0000}"/>
    <cellStyle name="Normal 2 2 4 4 2 8" xfId="23998" xr:uid="{00000000-0005-0000-0000-0000BE5D0000}"/>
    <cellStyle name="Normal 2 2 4 4 2 9" xfId="23999" xr:uid="{00000000-0005-0000-0000-0000BF5D0000}"/>
    <cellStyle name="Normal 2 2 4 4 3" xfId="24000" xr:uid="{00000000-0005-0000-0000-0000C05D0000}"/>
    <cellStyle name="Normal 2 2 4 4 3 10" xfId="24001" xr:uid="{00000000-0005-0000-0000-0000C15D0000}"/>
    <cellStyle name="Normal 2 2 4 4 3 2" xfId="24002" xr:uid="{00000000-0005-0000-0000-0000C25D0000}"/>
    <cellStyle name="Normal 2 2 4 4 3 3" xfId="24003" xr:uid="{00000000-0005-0000-0000-0000C35D0000}"/>
    <cellStyle name="Normal 2 2 4 4 3 4" xfId="24004" xr:uid="{00000000-0005-0000-0000-0000C45D0000}"/>
    <cellStyle name="Normal 2 2 4 4 3 5" xfId="24005" xr:uid="{00000000-0005-0000-0000-0000C55D0000}"/>
    <cellStyle name="Normal 2 2 4 4 3 6" xfId="24006" xr:uid="{00000000-0005-0000-0000-0000C65D0000}"/>
    <cellStyle name="Normal 2 2 4 4 3 7" xfId="24007" xr:uid="{00000000-0005-0000-0000-0000C75D0000}"/>
    <cellStyle name="Normal 2 2 4 4 3 8" xfId="24008" xr:uid="{00000000-0005-0000-0000-0000C85D0000}"/>
    <cellStyle name="Normal 2 2 4 4 3 9" xfId="24009" xr:uid="{00000000-0005-0000-0000-0000C95D0000}"/>
    <cellStyle name="Normal 2 2 4 4 4" xfId="24010" xr:uid="{00000000-0005-0000-0000-0000CA5D0000}"/>
    <cellStyle name="Normal 2 2 4 4 4 10" xfId="24011" xr:uid="{00000000-0005-0000-0000-0000CB5D0000}"/>
    <cellStyle name="Normal 2 2 4 4 4 2" xfId="24012" xr:uid="{00000000-0005-0000-0000-0000CC5D0000}"/>
    <cellStyle name="Normal 2 2 4 4 4 3" xfId="24013" xr:uid="{00000000-0005-0000-0000-0000CD5D0000}"/>
    <cellStyle name="Normal 2 2 4 4 4 4" xfId="24014" xr:uid="{00000000-0005-0000-0000-0000CE5D0000}"/>
    <cellStyle name="Normal 2 2 4 4 4 5" xfId="24015" xr:uid="{00000000-0005-0000-0000-0000CF5D0000}"/>
    <cellStyle name="Normal 2 2 4 4 4 6" xfId="24016" xr:uid="{00000000-0005-0000-0000-0000D05D0000}"/>
    <cellStyle name="Normal 2 2 4 4 4 7" xfId="24017" xr:uid="{00000000-0005-0000-0000-0000D15D0000}"/>
    <cellStyle name="Normal 2 2 4 4 4 8" xfId="24018" xr:uid="{00000000-0005-0000-0000-0000D25D0000}"/>
    <cellStyle name="Normal 2 2 4 4 4 9" xfId="24019" xr:uid="{00000000-0005-0000-0000-0000D35D0000}"/>
    <cellStyle name="Normal 2 2 4 4 5" xfId="24020" xr:uid="{00000000-0005-0000-0000-0000D45D0000}"/>
    <cellStyle name="Normal 2 2 4 4 5 10" xfId="24021" xr:uid="{00000000-0005-0000-0000-0000D55D0000}"/>
    <cellStyle name="Normal 2 2 4 4 5 2" xfId="24022" xr:uid="{00000000-0005-0000-0000-0000D65D0000}"/>
    <cellStyle name="Normal 2 2 4 4 5 3" xfId="24023" xr:uid="{00000000-0005-0000-0000-0000D75D0000}"/>
    <cellStyle name="Normal 2 2 4 4 5 4" xfId="24024" xr:uid="{00000000-0005-0000-0000-0000D85D0000}"/>
    <cellStyle name="Normal 2 2 4 4 5 5" xfId="24025" xr:uid="{00000000-0005-0000-0000-0000D95D0000}"/>
    <cellStyle name="Normal 2 2 4 4 5 6" xfId="24026" xr:uid="{00000000-0005-0000-0000-0000DA5D0000}"/>
    <cellStyle name="Normal 2 2 4 4 5 7" xfId="24027" xr:uid="{00000000-0005-0000-0000-0000DB5D0000}"/>
    <cellStyle name="Normal 2 2 4 4 5 8" xfId="24028" xr:uid="{00000000-0005-0000-0000-0000DC5D0000}"/>
    <cellStyle name="Normal 2 2 4 4 5 9" xfId="24029" xr:uid="{00000000-0005-0000-0000-0000DD5D0000}"/>
    <cellStyle name="Normal 2 2 4 4 6" xfId="24030" xr:uid="{00000000-0005-0000-0000-0000DE5D0000}"/>
    <cellStyle name="Normal 2 2 4 4 7" xfId="24031" xr:uid="{00000000-0005-0000-0000-0000DF5D0000}"/>
    <cellStyle name="Normal 2 2 4 4 8" xfId="24032" xr:uid="{00000000-0005-0000-0000-0000E05D0000}"/>
    <cellStyle name="Normal 2 2 4 4 9" xfId="24033" xr:uid="{00000000-0005-0000-0000-0000E15D0000}"/>
    <cellStyle name="Normal 2 2 4 5" xfId="24034" xr:uid="{00000000-0005-0000-0000-0000E25D0000}"/>
    <cellStyle name="Normal 2 2 4 5 10" xfId="24035" xr:uid="{00000000-0005-0000-0000-0000E35D0000}"/>
    <cellStyle name="Normal 2 2 4 5 11" xfId="24036" xr:uid="{00000000-0005-0000-0000-0000E45D0000}"/>
    <cellStyle name="Normal 2 2 4 5 12" xfId="24037" xr:uid="{00000000-0005-0000-0000-0000E55D0000}"/>
    <cellStyle name="Normal 2 2 4 5 13" xfId="24038" xr:uid="{00000000-0005-0000-0000-0000E65D0000}"/>
    <cellStyle name="Normal 2 2 4 5 14" xfId="24039" xr:uid="{00000000-0005-0000-0000-0000E75D0000}"/>
    <cellStyle name="Normal 2 2 4 5 2" xfId="24040" xr:uid="{00000000-0005-0000-0000-0000E85D0000}"/>
    <cellStyle name="Normal 2 2 4 5 2 10" xfId="24041" xr:uid="{00000000-0005-0000-0000-0000E95D0000}"/>
    <cellStyle name="Normal 2 2 4 5 2 2" xfId="24042" xr:uid="{00000000-0005-0000-0000-0000EA5D0000}"/>
    <cellStyle name="Normal 2 2 4 5 2 3" xfId="24043" xr:uid="{00000000-0005-0000-0000-0000EB5D0000}"/>
    <cellStyle name="Normal 2 2 4 5 2 4" xfId="24044" xr:uid="{00000000-0005-0000-0000-0000EC5D0000}"/>
    <cellStyle name="Normal 2 2 4 5 2 5" xfId="24045" xr:uid="{00000000-0005-0000-0000-0000ED5D0000}"/>
    <cellStyle name="Normal 2 2 4 5 2 6" xfId="24046" xr:uid="{00000000-0005-0000-0000-0000EE5D0000}"/>
    <cellStyle name="Normal 2 2 4 5 2 7" xfId="24047" xr:uid="{00000000-0005-0000-0000-0000EF5D0000}"/>
    <cellStyle name="Normal 2 2 4 5 2 8" xfId="24048" xr:uid="{00000000-0005-0000-0000-0000F05D0000}"/>
    <cellStyle name="Normal 2 2 4 5 2 9" xfId="24049" xr:uid="{00000000-0005-0000-0000-0000F15D0000}"/>
    <cellStyle name="Normal 2 2 4 5 3" xfId="24050" xr:uid="{00000000-0005-0000-0000-0000F25D0000}"/>
    <cellStyle name="Normal 2 2 4 5 3 10" xfId="24051" xr:uid="{00000000-0005-0000-0000-0000F35D0000}"/>
    <cellStyle name="Normal 2 2 4 5 3 2" xfId="24052" xr:uid="{00000000-0005-0000-0000-0000F45D0000}"/>
    <cellStyle name="Normal 2 2 4 5 3 3" xfId="24053" xr:uid="{00000000-0005-0000-0000-0000F55D0000}"/>
    <cellStyle name="Normal 2 2 4 5 3 4" xfId="24054" xr:uid="{00000000-0005-0000-0000-0000F65D0000}"/>
    <cellStyle name="Normal 2 2 4 5 3 5" xfId="24055" xr:uid="{00000000-0005-0000-0000-0000F75D0000}"/>
    <cellStyle name="Normal 2 2 4 5 3 6" xfId="24056" xr:uid="{00000000-0005-0000-0000-0000F85D0000}"/>
    <cellStyle name="Normal 2 2 4 5 3 7" xfId="24057" xr:uid="{00000000-0005-0000-0000-0000F95D0000}"/>
    <cellStyle name="Normal 2 2 4 5 3 8" xfId="24058" xr:uid="{00000000-0005-0000-0000-0000FA5D0000}"/>
    <cellStyle name="Normal 2 2 4 5 3 9" xfId="24059" xr:uid="{00000000-0005-0000-0000-0000FB5D0000}"/>
    <cellStyle name="Normal 2 2 4 5 4" xfId="24060" xr:uid="{00000000-0005-0000-0000-0000FC5D0000}"/>
    <cellStyle name="Normal 2 2 4 5 4 10" xfId="24061" xr:uid="{00000000-0005-0000-0000-0000FD5D0000}"/>
    <cellStyle name="Normal 2 2 4 5 4 2" xfId="24062" xr:uid="{00000000-0005-0000-0000-0000FE5D0000}"/>
    <cellStyle name="Normal 2 2 4 5 4 3" xfId="24063" xr:uid="{00000000-0005-0000-0000-0000FF5D0000}"/>
    <cellStyle name="Normal 2 2 4 5 4 4" xfId="24064" xr:uid="{00000000-0005-0000-0000-0000005E0000}"/>
    <cellStyle name="Normal 2 2 4 5 4 5" xfId="24065" xr:uid="{00000000-0005-0000-0000-0000015E0000}"/>
    <cellStyle name="Normal 2 2 4 5 4 6" xfId="24066" xr:uid="{00000000-0005-0000-0000-0000025E0000}"/>
    <cellStyle name="Normal 2 2 4 5 4 7" xfId="24067" xr:uid="{00000000-0005-0000-0000-0000035E0000}"/>
    <cellStyle name="Normal 2 2 4 5 4 8" xfId="24068" xr:uid="{00000000-0005-0000-0000-0000045E0000}"/>
    <cellStyle name="Normal 2 2 4 5 4 9" xfId="24069" xr:uid="{00000000-0005-0000-0000-0000055E0000}"/>
    <cellStyle name="Normal 2 2 4 5 5" xfId="24070" xr:uid="{00000000-0005-0000-0000-0000065E0000}"/>
    <cellStyle name="Normal 2 2 4 5 5 10" xfId="24071" xr:uid="{00000000-0005-0000-0000-0000075E0000}"/>
    <cellStyle name="Normal 2 2 4 5 5 2" xfId="24072" xr:uid="{00000000-0005-0000-0000-0000085E0000}"/>
    <cellStyle name="Normal 2 2 4 5 5 3" xfId="24073" xr:uid="{00000000-0005-0000-0000-0000095E0000}"/>
    <cellStyle name="Normal 2 2 4 5 5 4" xfId="24074" xr:uid="{00000000-0005-0000-0000-00000A5E0000}"/>
    <cellStyle name="Normal 2 2 4 5 5 5" xfId="24075" xr:uid="{00000000-0005-0000-0000-00000B5E0000}"/>
    <cellStyle name="Normal 2 2 4 5 5 6" xfId="24076" xr:uid="{00000000-0005-0000-0000-00000C5E0000}"/>
    <cellStyle name="Normal 2 2 4 5 5 7" xfId="24077" xr:uid="{00000000-0005-0000-0000-00000D5E0000}"/>
    <cellStyle name="Normal 2 2 4 5 5 8" xfId="24078" xr:uid="{00000000-0005-0000-0000-00000E5E0000}"/>
    <cellStyle name="Normal 2 2 4 5 5 9" xfId="24079" xr:uid="{00000000-0005-0000-0000-00000F5E0000}"/>
    <cellStyle name="Normal 2 2 4 5 6" xfId="24080" xr:uid="{00000000-0005-0000-0000-0000105E0000}"/>
    <cellStyle name="Normal 2 2 4 5 7" xfId="24081" xr:uid="{00000000-0005-0000-0000-0000115E0000}"/>
    <cellStyle name="Normal 2 2 4 5 8" xfId="24082" xr:uid="{00000000-0005-0000-0000-0000125E0000}"/>
    <cellStyle name="Normal 2 2 4 5 9" xfId="24083" xr:uid="{00000000-0005-0000-0000-0000135E0000}"/>
    <cellStyle name="Normal 2 2 4 6" xfId="24084" xr:uid="{00000000-0005-0000-0000-0000145E0000}"/>
    <cellStyle name="Normal 2 2 4 6 10" xfId="24085" xr:uid="{00000000-0005-0000-0000-0000155E0000}"/>
    <cellStyle name="Normal 2 2 4 6 11" xfId="24086" xr:uid="{00000000-0005-0000-0000-0000165E0000}"/>
    <cellStyle name="Normal 2 2 4 6 12" xfId="24087" xr:uid="{00000000-0005-0000-0000-0000175E0000}"/>
    <cellStyle name="Normal 2 2 4 6 13" xfId="24088" xr:uid="{00000000-0005-0000-0000-0000185E0000}"/>
    <cellStyle name="Normal 2 2 4 6 14" xfId="24089" xr:uid="{00000000-0005-0000-0000-0000195E0000}"/>
    <cellStyle name="Normal 2 2 4 6 2" xfId="24090" xr:uid="{00000000-0005-0000-0000-00001A5E0000}"/>
    <cellStyle name="Normal 2 2 4 6 2 10" xfId="24091" xr:uid="{00000000-0005-0000-0000-00001B5E0000}"/>
    <cellStyle name="Normal 2 2 4 6 2 2" xfId="24092" xr:uid="{00000000-0005-0000-0000-00001C5E0000}"/>
    <cellStyle name="Normal 2 2 4 6 2 3" xfId="24093" xr:uid="{00000000-0005-0000-0000-00001D5E0000}"/>
    <cellStyle name="Normal 2 2 4 6 2 4" xfId="24094" xr:uid="{00000000-0005-0000-0000-00001E5E0000}"/>
    <cellStyle name="Normal 2 2 4 6 2 5" xfId="24095" xr:uid="{00000000-0005-0000-0000-00001F5E0000}"/>
    <cellStyle name="Normal 2 2 4 6 2 6" xfId="24096" xr:uid="{00000000-0005-0000-0000-0000205E0000}"/>
    <cellStyle name="Normal 2 2 4 6 2 7" xfId="24097" xr:uid="{00000000-0005-0000-0000-0000215E0000}"/>
    <cellStyle name="Normal 2 2 4 6 2 8" xfId="24098" xr:uid="{00000000-0005-0000-0000-0000225E0000}"/>
    <cellStyle name="Normal 2 2 4 6 2 9" xfId="24099" xr:uid="{00000000-0005-0000-0000-0000235E0000}"/>
    <cellStyle name="Normal 2 2 4 6 3" xfId="24100" xr:uid="{00000000-0005-0000-0000-0000245E0000}"/>
    <cellStyle name="Normal 2 2 4 6 3 10" xfId="24101" xr:uid="{00000000-0005-0000-0000-0000255E0000}"/>
    <cellStyle name="Normal 2 2 4 6 3 2" xfId="24102" xr:uid="{00000000-0005-0000-0000-0000265E0000}"/>
    <cellStyle name="Normal 2 2 4 6 3 3" xfId="24103" xr:uid="{00000000-0005-0000-0000-0000275E0000}"/>
    <cellStyle name="Normal 2 2 4 6 3 4" xfId="24104" xr:uid="{00000000-0005-0000-0000-0000285E0000}"/>
    <cellStyle name="Normal 2 2 4 6 3 5" xfId="24105" xr:uid="{00000000-0005-0000-0000-0000295E0000}"/>
    <cellStyle name="Normal 2 2 4 6 3 6" xfId="24106" xr:uid="{00000000-0005-0000-0000-00002A5E0000}"/>
    <cellStyle name="Normal 2 2 4 6 3 7" xfId="24107" xr:uid="{00000000-0005-0000-0000-00002B5E0000}"/>
    <cellStyle name="Normal 2 2 4 6 3 8" xfId="24108" xr:uid="{00000000-0005-0000-0000-00002C5E0000}"/>
    <cellStyle name="Normal 2 2 4 6 3 9" xfId="24109" xr:uid="{00000000-0005-0000-0000-00002D5E0000}"/>
    <cellStyle name="Normal 2 2 4 6 4" xfId="24110" xr:uid="{00000000-0005-0000-0000-00002E5E0000}"/>
    <cellStyle name="Normal 2 2 4 6 4 10" xfId="24111" xr:uid="{00000000-0005-0000-0000-00002F5E0000}"/>
    <cellStyle name="Normal 2 2 4 6 4 2" xfId="24112" xr:uid="{00000000-0005-0000-0000-0000305E0000}"/>
    <cellStyle name="Normal 2 2 4 6 4 3" xfId="24113" xr:uid="{00000000-0005-0000-0000-0000315E0000}"/>
    <cellStyle name="Normal 2 2 4 6 4 4" xfId="24114" xr:uid="{00000000-0005-0000-0000-0000325E0000}"/>
    <cellStyle name="Normal 2 2 4 6 4 5" xfId="24115" xr:uid="{00000000-0005-0000-0000-0000335E0000}"/>
    <cellStyle name="Normal 2 2 4 6 4 6" xfId="24116" xr:uid="{00000000-0005-0000-0000-0000345E0000}"/>
    <cellStyle name="Normal 2 2 4 6 4 7" xfId="24117" xr:uid="{00000000-0005-0000-0000-0000355E0000}"/>
    <cellStyle name="Normal 2 2 4 6 4 8" xfId="24118" xr:uid="{00000000-0005-0000-0000-0000365E0000}"/>
    <cellStyle name="Normal 2 2 4 6 4 9" xfId="24119" xr:uid="{00000000-0005-0000-0000-0000375E0000}"/>
    <cellStyle name="Normal 2 2 4 6 5" xfId="24120" xr:uid="{00000000-0005-0000-0000-0000385E0000}"/>
    <cellStyle name="Normal 2 2 4 6 5 10" xfId="24121" xr:uid="{00000000-0005-0000-0000-0000395E0000}"/>
    <cellStyle name="Normal 2 2 4 6 5 2" xfId="24122" xr:uid="{00000000-0005-0000-0000-00003A5E0000}"/>
    <cellStyle name="Normal 2 2 4 6 5 3" xfId="24123" xr:uid="{00000000-0005-0000-0000-00003B5E0000}"/>
    <cellStyle name="Normal 2 2 4 6 5 4" xfId="24124" xr:uid="{00000000-0005-0000-0000-00003C5E0000}"/>
    <cellStyle name="Normal 2 2 4 6 5 5" xfId="24125" xr:uid="{00000000-0005-0000-0000-00003D5E0000}"/>
    <cellStyle name="Normal 2 2 4 6 5 6" xfId="24126" xr:uid="{00000000-0005-0000-0000-00003E5E0000}"/>
    <cellStyle name="Normal 2 2 4 6 5 7" xfId="24127" xr:uid="{00000000-0005-0000-0000-00003F5E0000}"/>
    <cellStyle name="Normal 2 2 4 6 5 8" xfId="24128" xr:uid="{00000000-0005-0000-0000-0000405E0000}"/>
    <cellStyle name="Normal 2 2 4 6 5 9" xfId="24129" xr:uid="{00000000-0005-0000-0000-0000415E0000}"/>
    <cellStyle name="Normal 2 2 4 6 6" xfId="24130" xr:uid="{00000000-0005-0000-0000-0000425E0000}"/>
    <cellStyle name="Normal 2 2 4 6 7" xfId="24131" xr:uid="{00000000-0005-0000-0000-0000435E0000}"/>
    <cellStyle name="Normal 2 2 4 6 8" xfId="24132" xr:uid="{00000000-0005-0000-0000-0000445E0000}"/>
    <cellStyle name="Normal 2 2 4 6 9" xfId="24133" xr:uid="{00000000-0005-0000-0000-0000455E0000}"/>
    <cellStyle name="Normal 2 2 4 7" xfId="24134" xr:uid="{00000000-0005-0000-0000-0000465E0000}"/>
    <cellStyle name="Normal 2 2 4 7 10" xfId="24135" xr:uid="{00000000-0005-0000-0000-0000475E0000}"/>
    <cellStyle name="Normal 2 2 4 7 11" xfId="24136" xr:uid="{00000000-0005-0000-0000-0000485E0000}"/>
    <cellStyle name="Normal 2 2 4 7 12" xfId="24137" xr:uid="{00000000-0005-0000-0000-0000495E0000}"/>
    <cellStyle name="Normal 2 2 4 7 13" xfId="24138" xr:uid="{00000000-0005-0000-0000-00004A5E0000}"/>
    <cellStyle name="Normal 2 2 4 7 14" xfId="24139" xr:uid="{00000000-0005-0000-0000-00004B5E0000}"/>
    <cellStyle name="Normal 2 2 4 7 2" xfId="24140" xr:uid="{00000000-0005-0000-0000-00004C5E0000}"/>
    <cellStyle name="Normal 2 2 4 7 2 10" xfId="24141" xr:uid="{00000000-0005-0000-0000-00004D5E0000}"/>
    <cellStyle name="Normal 2 2 4 7 2 2" xfId="24142" xr:uid="{00000000-0005-0000-0000-00004E5E0000}"/>
    <cellStyle name="Normal 2 2 4 7 2 3" xfId="24143" xr:uid="{00000000-0005-0000-0000-00004F5E0000}"/>
    <cellStyle name="Normal 2 2 4 7 2 4" xfId="24144" xr:uid="{00000000-0005-0000-0000-0000505E0000}"/>
    <cellStyle name="Normal 2 2 4 7 2 5" xfId="24145" xr:uid="{00000000-0005-0000-0000-0000515E0000}"/>
    <cellStyle name="Normal 2 2 4 7 2 6" xfId="24146" xr:uid="{00000000-0005-0000-0000-0000525E0000}"/>
    <cellStyle name="Normal 2 2 4 7 2 7" xfId="24147" xr:uid="{00000000-0005-0000-0000-0000535E0000}"/>
    <cellStyle name="Normal 2 2 4 7 2 8" xfId="24148" xr:uid="{00000000-0005-0000-0000-0000545E0000}"/>
    <cellStyle name="Normal 2 2 4 7 2 9" xfId="24149" xr:uid="{00000000-0005-0000-0000-0000555E0000}"/>
    <cellStyle name="Normal 2 2 4 7 3" xfId="24150" xr:uid="{00000000-0005-0000-0000-0000565E0000}"/>
    <cellStyle name="Normal 2 2 4 7 3 10" xfId="24151" xr:uid="{00000000-0005-0000-0000-0000575E0000}"/>
    <cellStyle name="Normal 2 2 4 7 3 2" xfId="24152" xr:uid="{00000000-0005-0000-0000-0000585E0000}"/>
    <cellStyle name="Normal 2 2 4 7 3 3" xfId="24153" xr:uid="{00000000-0005-0000-0000-0000595E0000}"/>
    <cellStyle name="Normal 2 2 4 7 3 4" xfId="24154" xr:uid="{00000000-0005-0000-0000-00005A5E0000}"/>
    <cellStyle name="Normal 2 2 4 7 3 5" xfId="24155" xr:uid="{00000000-0005-0000-0000-00005B5E0000}"/>
    <cellStyle name="Normal 2 2 4 7 3 6" xfId="24156" xr:uid="{00000000-0005-0000-0000-00005C5E0000}"/>
    <cellStyle name="Normal 2 2 4 7 3 7" xfId="24157" xr:uid="{00000000-0005-0000-0000-00005D5E0000}"/>
    <cellStyle name="Normal 2 2 4 7 3 8" xfId="24158" xr:uid="{00000000-0005-0000-0000-00005E5E0000}"/>
    <cellStyle name="Normal 2 2 4 7 3 9" xfId="24159" xr:uid="{00000000-0005-0000-0000-00005F5E0000}"/>
    <cellStyle name="Normal 2 2 4 7 4" xfId="24160" xr:uid="{00000000-0005-0000-0000-0000605E0000}"/>
    <cellStyle name="Normal 2 2 4 7 4 10" xfId="24161" xr:uid="{00000000-0005-0000-0000-0000615E0000}"/>
    <cellStyle name="Normal 2 2 4 7 4 2" xfId="24162" xr:uid="{00000000-0005-0000-0000-0000625E0000}"/>
    <cellStyle name="Normal 2 2 4 7 4 3" xfId="24163" xr:uid="{00000000-0005-0000-0000-0000635E0000}"/>
    <cellStyle name="Normal 2 2 4 7 4 4" xfId="24164" xr:uid="{00000000-0005-0000-0000-0000645E0000}"/>
    <cellStyle name="Normal 2 2 4 7 4 5" xfId="24165" xr:uid="{00000000-0005-0000-0000-0000655E0000}"/>
    <cellStyle name="Normal 2 2 4 7 4 6" xfId="24166" xr:uid="{00000000-0005-0000-0000-0000665E0000}"/>
    <cellStyle name="Normal 2 2 4 7 4 7" xfId="24167" xr:uid="{00000000-0005-0000-0000-0000675E0000}"/>
    <cellStyle name="Normal 2 2 4 7 4 8" xfId="24168" xr:uid="{00000000-0005-0000-0000-0000685E0000}"/>
    <cellStyle name="Normal 2 2 4 7 4 9" xfId="24169" xr:uid="{00000000-0005-0000-0000-0000695E0000}"/>
    <cellStyle name="Normal 2 2 4 7 5" xfId="24170" xr:uid="{00000000-0005-0000-0000-00006A5E0000}"/>
    <cellStyle name="Normal 2 2 4 7 5 10" xfId="24171" xr:uid="{00000000-0005-0000-0000-00006B5E0000}"/>
    <cellStyle name="Normal 2 2 4 7 5 2" xfId="24172" xr:uid="{00000000-0005-0000-0000-00006C5E0000}"/>
    <cellStyle name="Normal 2 2 4 7 5 3" xfId="24173" xr:uid="{00000000-0005-0000-0000-00006D5E0000}"/>
    <cellStyle name="Normal 2 2 4 7 5 4" xfId="24174" xr:uid="{00000000-0005-0000-0000-00006E5E0000}"/>
    <cellStyle name="Normal 2 2 4 7 5 5" xfId="24175" xr:uid="{00000000-0005-0000-0000-00006F5E0000}"/>
    <cellStyle name="Normal 2 2 4 7 5 6" xfId="24176" xr:uid="{00000000-0005-0000-0000-0000705E0000}"/>
    <cellStyle name="Normal 2 2 4 7 5 7" xfId="24177" xr:uid="{00000000-0005-0000-0000-0000715E0000}"/>
    <cellStyle name="Normal 2 2 4 7 5 8" xfId="24178" xr:uid="{00000000-0005-0000-0000-0000725E0000}"/>
    <cellStyle name="Normal 2 2 4 7 5 9" xfId="24179" xr:uid="{00000000-0005-0000-0000-0000735E0000}"/>
    <cellStyle name="Normal 2 2 4 7 6" xfId="24180" xr:uid="{00000000-0005-0000-0000-0000745E0000}"/>
    <cellStyle name="Normal 2 2 4 7 7" xfId="24181" xr:uid="{00000000-0005-0000-0000-0000755E0000}"/>
    <cellStyle name="Normal 2 2 4 7 8" xfId="24182" xr:uid="{00000000-0005-0000-0000-0000765E0000}"/>
    <cellStyle name="Normal 2 2 4 7 9" xfId="24183" xr:uid="{00000000-0005-0000-0000-0000775E0000}"/>
    <cellStyle name="Normal 2 2 4 8" xfId="24184" xr:uid="{00000000-0005-0000-0000-0000785E0000}"/>
    <cellStyle name="Normal 2 2 4 8 10" xfId="24185" xr:uid="{00000000-0005-0000-0000-0000795E0000}"/>
    <cellStyle name="Normal 2 2 4 8 11" xfId="24186" xr:uid="{00000000-0005-0000-0000-00007A5E0000}"/>
    <cellStyle name="Normal 2 2 4 8 12" xfId="24187" xr:uid="{00000000-0005-0000-0000-00007B5E0000}"/>
    <cellStyle name="Normal 2 2 4 8 13" xfId="24188" xr:uid="{00000000-0005-0000-0000-00007C5E0000}"/>
    <cellStyle name="Normal 2 2 4 8 14" xfId="24189" xr:uid="{00000000-0005-0000-0000-00007D5E0000}"/>
    <cellStyle name="Normal 2 2 4 8 2" xfId="24190" xr:uid="{00000000-0005-0000-0000-00007E5E0000}"/>
    <cellStyle name="Normal 2 2 4 8 2 10" xfId="24191" xr:uid="{00000000-0005-0000-0000-00007F5E0000}"/>
    <cellStyle name="Normal 2 2 4 8 2 2" xfId="24192" xr:uid="{00000000-0005-0000-0000-0000805E0000}"/>
    <cellStyle name="Normal 2 2 4 8 2 3" xfId="24193" xr:uid="{00000000-0005-0000-0000-0000815E0000}"/>
    <cellStyle name="Normal 2 2 4 8 2 4" xfId="24194" xr:uid="{00000000-0005-0000-0000-0000825E0000}"/>
    <cellStyle name="Normal 2 2 4 8 2 5" xfId="24195" xr:uid="{00000000-0005-0000-0000-0000835E0000}"/>
    <cellStyle name="Normal 2 2 4 8 2 6" xfId="24196" xr:uid="{00000000-0005-0000-0000-0000845E0000}"/>
    <cellStyle name="Normal 2 2 4 8 2 7" xfId="24197" xr:uid="{00000000-0005-0000-0000-0000855E0000}"/>
    <cellStyle name="Normal 2 2 4 8 2 8" xfId="24198" xr:uid="{00000000-0005-0000-0000-0000865E0000}"/>
    <cellStyle name="Normal 2 2 4 8 2 9" xfId="24199" xr:uid="{00000000-0005-0000-0000-0000875E0000}"/>
    <cellStyle name="Normal 2 2 4 8 3" xfId="24200" xr:uid="{00000000-0005-0000-0000-0000885E0000}"/>
    <cellStyle name="Normal 2 2 4 8 3 10" xfId="24201" xr:uid="{00000000-0005-0000-0000-0000895E0000}"/>
    <cellStyle name="Normal 2 2 4 8 3 2" xfId="24202" xr:uid="{00000000-0005-0000-0000-00008A5E0000}"/>
    <cellStyle name="Normal 2 2 4 8 3 3" xfId="24203" xr:uid="{00000000-0005-0000-0000-00008B5E0000}"/>
    <cellStyle name="Normal 2 2 4 8 3 4" xfId="24204" xr:uid="{00000000-0005-0000-0000-00008C5E0000}"/>
    <cellStyle name="Normal 2 2 4 8 3 5" xfId="24205" xr:uid="{00000000-0005-0000-0000-00008D5E0000}"/>
    <cellStyle name="Normal 2 2 4 8 3 6" xfId="24206" xr:uid="{00000000-0005-0000-0000-00008E5E0000}"/>
    <cellStyle name="Normal 2 2 4 8 3 7" xfId="24207" xr:uid="{00000000-0005-0000-0000-00008F5E0000}"/>
    <cellStyle name="Normal 2 2 4 8 3 8" xfId="24208" xr:uid="{00000000-0005-0000-0000-0000905E0000}"/>
    <cellStyle name="Normal 2 2 4 8 3 9" xfId="24209" xr:uid="{00000000-0005-0000-0000-0000915E0000}"/>
    <cellStyle name="Normal 2 2 4 8 4" xfId="24210" xr:uid="{00000000-0005-0000-0000-0000925E0000}"/>
    <cellStyle name="Normal 2 2 4 8 4 10" xfId="24211" xr:uid="{00000000-0005-0000-0000-0000935E0000}"/>
    <cellStyle name="Normal 2 2 4 8 4 2" xfId="24212" xr:uid="{00000000-0005-0000-0000-0000945E0000}"/>
    <cellStyle name="Normal 2 2 4 8 4 3" xfId="24213" xr:uid="{00000000-0005-0000-0000-0000955E0000}"/>
    <cellStyle name="Normal 2 2 4 8 4 4" xfId="24214" xr:uid="{00000000-0005-0000-0000-0000965E0000}"/>
    <cellStyle name="Normal 2 2 4 8 4 5" xfId="24215" xr:uid="{00000000-0005-0000-0000-0000975E0000}"/>
    <cellStyle name="Normal 2 2 4 8 4 6" xfId="24216" xr:uid="{00000000-0005-0000-0000-0000985E0000}"/>
    <cellStyle name="Normal 2 2 4 8 4 7" xfId="24217" xr:uid="{00000000-0005-0000-0000-0000995E0000}"/>
    <cellStyle name="Normal 2 2 4 8 4 8" xfId="24218" xr:uid="{00000000-0005-0000-0000-00009A5E0000}"/>
    <cellStyle name="Normal 2 2 4 8 4 9" xfId="24219" xr:uid="{00000000-0005-0000-0000-00009B5E0000}"/>
    <cellStyle name="Normal 2 2 4 8 5" xfId="24220" xr:uid="{00000000-0005-0000-0000-00009C5E0000}"/>
    <cellStyle name="Normal 2 2 4 8 5 10" xfId="24221" xr:uid="{00000000-0005-0000-0000-00009D5E0000}"/>
    <cellStyle name="Normal 2 2 4 8 5 2" xfId="24222" xr:uid="{00000000-0005-0000-0000-00009E5E0000}"/>
    <cellStyle name="Normal 2 2 4 8 5 3" xfId="24223" xr:uid="{00000000-0005-0000-0000-00009F5E0000}"/>
    <cellStyle name="Normal 2 2 4 8 5 4" xfId="24224" xr:uid="{00000000-0005-0000-0000-0000A05E0000}"/>
    <cellStyle name="Normal 2 2 4 8 5 5" xfId="24225" xr:uid="{00000000-0005-0000-0000-0000A15E0000}"/>
    <cellStyle name="Normal 2 2 4 8 5 6" xfId="24226" xr:uid="{00000000-0005-0000-0000-0000A25E0000}"/>
    <cellStyle name="Normal 2 2 4 8 5 7" xfId="24227" xr:uid="{00000000-0005-0000-0000-0000A35E0000}"/>
    <cellStyle name="Normal 2 2 4 8 5 8" xfId="24228" xr:uid="{00000000-0005-0000-0000-0000A45E0000}"/>
    <cellStyle name="Normal 2 2 4 8 5 9" xfId="24229" xr:uid="{00000000-0005-0000-0000-0000A55E0000}"/>
    <cellStyle name="Normal 2 2 4 8 6" xfId="24230" xr:uid="{00000000-0005-0000-0000-0000A65E0000}"/>
    <cellStyle name="Normal 2 2 4 8 7" xfId="24231" xr:uid="{00000000-0005-0000-0000-0000A75E0000}"/>
    <cellStyle name="Normal 2 2 4 8 8" xfId="24232" xr:uid="{00000000-0005-0000-0000-0000A85E0000}"/>
    <cellStyle name="Normal 2 2 4 8 9" xfId="24233" xr:uid="{00000000-0005-0000-0000-0000A95E0000}"/>
    <cellStyle name="Normal 2 2 4 9" xfId="24234" xr:uid="{00000000-0005-0000-0000-0000AA5E0000}"/>
    <cellStyle name="Normal 2 2 4 9 10" xfId="24235" xr:uid="{00000000-0005-0000-0000-0000AB5E0000}"/>
    <cellStyle name="Normal 2 2 4 9 11" xfId="24236" xr:uid="{00000000-0005-0000-0000-0000AC5E0000}"/>
    <cellStyle name="Normal 2 2 4 9 12" xfId="24237" xr:uid="{00000000-0005-0000-0000-0000AD5E0000}"/>
    <cellStyle name="Normal 2 2 4 9 13" xfId="24238" xr:uid="{00000000-0005-0000-0000-0000AE5E0000}"/>
    <cellStyle name="Normal 2 2 4 9 14" xfId="24239" xr:uid="{00000000-0005-0000-0000-0000AF5E0000}"/>
    <cellStyle name="Normal 2 2 4 9 2" xfId="24240" xr:uid="{00000000-0005-0000-0000-0000B05E0000}"/>
    <cellStyle name="Normal 2 2 4 9 2 10" xfId="24241" xr:uid="{00000000-0005-0000-0000-0000B15E0000}"/>
    <cellStyle name="Normal 2 2 4 9 2 2" xfId="24242" xr:uid="{00000000-0005-0000-0000-0000B25E0000}"/>
    <cellStyle name="Normal 2 2 4 9 2 3" xfId="24243" xr:uid="{00000000-0005-0000-0000-0000B35E0000}"/>
    <cellStyle name="Normal 2 2 4 9 2 4" xfId="24244" xr:uid="{00000000-0005-0000-0000-0000B45E0000}"/>
    <cellStyle name="Normal 2 2 4 9 2 5" xfId="24245" xr:uid="{00000000-0005-0000-0000-0000B55E0000}"/>
    <cellStyle name="Normal 2 2 4 9 2 6" xfId="24246" xr:uid="{00000000-0005-0000-0000-0000B65E0000}"/>
    <cellStyle name="Normal 2 2 4 9 2 7" xfId="24247" xr:uid="{00000000-0005-0000-0000-0000B75E0000}"/>
    <cellStyle name="Normal 2 2 4 9 2 8" xfId="24248" xr:uid="{00000000-0005-0000-0000-0000B85E0000}"/>
    <cellStyle name="Normal 2 2 4 9 2 9" xfId="24249" xr:uid="{00000000-0005-0000-0000-0000B95E0000}"/>
    <cellStyle name="Normal 2 2 4 9 3" xfId="24250" xr:uid="{00000000-0005-0000-0000-0000BA5E0000}"/>
    <cellStyle name="Normal 2 2 4 9 3 10" xfId="24251" xr:uid="{00000000-0005-0000-0000-0000BB5E0000}"/>
    <cellStyle name="Normal 2 2 4 9 3 2" xfId="24252" xr:uid="{00000000-0005-0000-0000-0000BC5E0000}"/>
    <cellStyle name="Normal 2 2 4 9 3 3" xfId="24253" xr:uid="{00000000-0005-0000-0000-0000BD5E0000}"/>
    <cellStyle name="Normal 2 2 4 9 3 4" xfId="24254" xr:uid="{00000000-0005-0000-0000-0000BE5E0000}"/>
    <cellStyle name="Normal 2 2 4 9 3 5" xfId="24255" xr:uid="{00000000-0005-0000-0000-0000BF5E0000}"/>
    <cellStyle name="Normal 2 2 4 9 3 6" xfId="24256" xr:uid="{00000000-0005-0000-0000-0000C05E0000}"/>
    <cellStyle name="Normal 2 2 4 9 3 7" xfId="24257" xr:uid="{00000000-0005-0000-0000-0000C15E0000}"/>
    <cellStyle name="Normal 2 2 4 9 3 8" xfId="24258" xr:uid="{00000000-0005-0000-0000-0000C25E0000}"/>
    <cellStyle name="Normal 2 2 4 9 3 9" xfId="24259" xr:uid="{00000000-0005-0000-0000-0000C35E0000}"/>
    <cellStyle name="Normal 2 2 4 9 4" xfId="24260" xr:uid="{00000000-0005-0000-0000-0000C45E0000}"/>
    <cellStyle name="Normal 2 2 4 9 4 10" xfId="24261" xr:uid="{00000000-0005-0000-0000-0000C55E0000}"/>
    <cellStyle name="Normal 2 2 4 9 4 2" xfId="24262" xr:uid="{00000000-0005-0000-0000-0000C65E0000}"/>
    <cellStyle name="Normal 2 2 4 9 4 3" xfId="24263" xr:uid="{00000000-0005-0000-0000-0000C75E0000}"/>
    <cellStyle name="Normal 2 2 4 9 4 4" xfId="24264" xr:uid="{00000000-0005-0000-0000-0000C85E0000}"/>
    <cellStyle name="Normal 2 2 4 9 4 5" xfId="24265" xr:uid="{00000000-0005-0000-0000-0000C95E0000}"/>
    <cellStyle name="Normal 2 2 4 9 4 6" xfId="24266" xr:uid="{00000000-0005-0000-0000-0000CA5E0000}"/>
    <cellStyle name="Normal 2 2 4 9 4 7" xfId="24267" xr:uid="{00000000-0005-0000-0000-0000CB5E0000}"/>
    <cellStyle name="Normal 2 2 4 9 4 8" xfId="24268" xr:uid="{00000000-0005-0000-0000-0000CC5E0000}"/>
    <cellStyle name="Normal 2 2 4 9 4 9" xfId="24269" xr:uid="{00000000-0005-0000-0000-0000CD5E0000}"/>
    <cellStyle name="Normal 2 2 4 9 5" xfId="24270" xr:uid="{00000000-0005-0000-0000-0000CE5E0000}"/>
    <cellStyle name="Normal 2 2 4 9 5 10" xfId="24271" xr:uid="{00000000-0005-0000-0000-0000CF5E0000}"/>
    <cellStyle name="Normal 2 2 4 9 5 2" xfId="24272" xr:uid="{00000000-0005-0000-0000-0000D05E0000}"/>
    <cellStyle name="Normal 2 2 4 9 5 3" xfId="24273" xr:uid="{00000000-0005-0000-0000-0000D15E0000}"/>
    <cellStyle name="Normal 2 2 4 9 5 4" xfId="24274" xr:uid="{00000000-0005-0000-0000-0000D25E0000}"/>
    <cellStyle name="Normal 2 2 4 9 5 5" xfId="24275" xr:uid="{00000000-0005-0000-0000-0000D35E0000}"/>
    <cellStyle name="Normal 2 2 4 9 5 6" xfId="24276" xr:uid="{00000000-0005-0000-0000-0000D45E0000}"/>
    <cellStyle name="Normal 2 2 4 9 5 7" xfId="24277" xr:uid="{00000000-0005-0000-0000-0000D55E0000}"/>
    <cellStyle name="Normal 2 2 4 9 5 8" xfId="24278" xr:uid="{00000000-0005-0000-0000-0000D65E0000}"/>
    <cellStyle name="Normal 2 2 4 9 5 9" xfId="24279" xr:uid="{00000000-0005-0000-0000-0000D75E0000}"/>
    <cellStyle name="Normal 2 2 4 9 6" xfId="24280" xr:uid="{00000000-0005-0000-0000-0000D85E0000}"/>
    <cellStyle name="Normal 2 2 4 9 7" xfId="24281" xr:uid="{00000000-0005-0000-0000-0000D95E0000}"/>
    <cellStyle name="Normal 2 2 4 9 8" xfId="24282" xr:uid="{00000000-0005-0000-0000-0000DA5E0000}"/>
    <cellStyle name="Normal 2 2 4 9 9" xfId="24283" xr:uid="{00000000-0005-0000-0000-0000DB5E0000}"/>
    <cellStyle name="Normal 2 2 40" xfId="24284" xr:uid="{00000000-0005-0000-0000-0000DC5E0000}"/>
    <cellStyle name="Normal 2 2 41" xfId="24285" xr:uid="{00000000-0005-0000-0000-0000DD5E0000}"/>
    <cellStyle name="Normal 2 2 41 10" xfId="24286" xr:uid="{00000000-0005-0000-0000-0000DE5E0000}"/>
    <cellStyle name="Normal 2 2 41 2" xfId="24287" xr:uid="{00000000-0005-0000-0000-0000DF5E0000}"/>
    <cellStyle name="Normal 2 2 41 3" xfId="24288" xr:uid="{00000000-0005-0000-0000-0000E05E0000}"/>
    <cellStyle name="Normal 2 2 41 4" xfId="24289" xr:uid="{00000000-0005-0000-0000-0000E15E0000}"/>
    <cellStyle name="Normal 2 2 41 5" xfId="24290" xr:uid="{00000000-0005-0000-0000-0000E25E0000}"/>
    <cellStyle name="Normal 2 2 41 6" xfId="24291" xr:uid="{00000000-0005-0000-0000-0000E35E0000}"/>
    <cellStyle name="Normal 2 2 41 7" xfId="24292" xr:uid="{00000000-0005-0000-0000-0000E45E0000}"/>
    <cellStyle name="Normal 2 2 41 8" xfId="24293" xr:uid="{00000000-0005-0000-0000-0000E55E0000}"/>
    <cellStyle name="Normal 2 2 41 9" xfId="24294" xr:uid="{00000000-0005-0000-0000-0000E65E0000}"/>
    <cellStyle name="Normal 2 2 42" xfId="24295" xr:uid="{00000000-0005-0000-0000-0000E75E0000}"/>
    <cellStyle name="Normal 2 2 43" xfId="24296" xr:uid="{00000000-0005-0000-0000-0000E85E0000}"/>
    <cellStyle name="Normal 2 2 44" xfId="24297" xr:uid="{00000000-0005-0000-0000-0000E95E0000}"/>
    <cellStyle name="Normal 2 2 45" xfId="24298" xr:uid="{00000000-0005-0000-0000-0000EA5E0000}"/>
    <cellStyle name="Normal 2 2 46" xfId="24299" xr:uid="{00000000-0005-0000-0000-0000EB5E0000}"/>
    <cellStyle name="Normal 2 2 47" xfId="24300" xr:uid="{00000000-0005-0000-0000-0000EC5E0000}"/>
    <cellStyle name="Normal 2 2 48" xfId="24301" xr:uid="{00000000-0005-0000-0000-0000ED5E0000}"/>
    <cellStyle name="Normal 2 2 49" xfId="24302" xr:uid="{00000000-0005-0000-0000-0000EE5E0000}"/>
    <cellStyle name="Normal 2 2 5" xfId="24303" xr:uid="{00000000-0005-0000-0000-0000EF5E0000}"/>
    <cellStyle name="Normal 2 2 5 10" xfId="24304" xr:uid="{00000000-0005-0000-0000-0000F05E0000}"/>
    <cellStyle name="Normal 2 2 5 10 10" xfId="24305" xr:uid="{00000000-0005-0000-0000-0000F15E0000}"/>
    <cellStyle name="Normal 2 2 5 10 11" xfId="24306" xr:uid="{00000000-0005-0000-0000-0000F25E0000}"/>
    <cellStyle name="Normal 2 2 5 10 12" xfId="24307" xr:uid="{00000000-0005-0000-0000-0000F35E0000}"/>
    <cellStyle name="Normal 2 2 5 10 13" xfId="24308" xr:uid="{00000000-0005-0000-0000-0000F45E0000}"/>
    <cellStyle name="Normal 2 2 5 10 14" xfId="24309" xr:uid="{00000000-0005-0000-0000-0000F55E0000}"/>
    <cellStyle name="Normal 2 2 5 10 2" xfId="24310" xr:uid="{00000000-0005-0000-0000-0000F65E0000}"/>
    <cellStyle name="Normal 2 2 5 10 2 10" xfId="24311" xr:uid="{00000000-0005-0000-0000-0000F75E0000}"/>
    <cellStyle name="Normal 2 2 5 10 2 2" xfId="24312" xr:uid="{00000000-0005-0000-0000-0000F85E0000}"/>
    <cellStyle name="Normal 2 2 5 10 2 3" xfId="24313" xr:uid="{00000000-0005-0000-0000-0000F95E0000}"/>
    <cellStyle name="Normal 2 2 5 10 2 4" xfId="24314" xr:uid="{00000000-0005-0000-0000-0000FA5E0000}"/>
    <cellStyle name="Normal 2 2 5 10 2 5" xfId="24315" xr:uid="{00000000-0005-0000-0000-0000FB5E0000}"/>
    <cellStyle name="Normal 2 2 5 10 2 6" xfId="24316" xr:uid="{00000000-0005-0000-0000-0000FC5E0000}"/>
    <cellStyle name="Normal 2 2 5 10 2 7" xfId="24317" xr:uid="{00000000-0005-0000-0000-0000FD5E0000}"/>
    <cellStyle name="Normal 2 2 5 10 2 8" xfId="24318" xr:uid="{00000000-0005-0000-0000-0000FE5E0000}"/>
    <cellStyle name="Normal 2 2 5 10 2 9" xfId="24319" xr:uid="{00000000-0005-0000-0000-0000FF5E0000}"/>
    <cellStyle name="Normal 2 2 5 10 3" xfId="24320" xr:uid="{00000000-0005-0000-0000-0000005F0000}"/>
    <cellStyle name="Normal 2 2 5 10 3 10" xfId="24321" xr:uid="{00000000-0005-0000-0000-0000015F0000}"/>
    <cellStyle name="Normal 2 2 5 10 3 2" xfId="24322" xr:uid="{00000000-0005-0000-0000-0000025F0000}"/>
    <cellStyle name="Normal 2 2 5 10 3 3" xfId="24323" xr:uid="{00000000-0005-0000-0000-0000035F0000}"/>
    <cellStyle name="Normal 2 2 5 10 3 4" xfId="24324" xr:uid="{00000000-0005-0000-0000-0000045F0000}"/>
    <cellStyle name="Normal 2 2 5 10 3 5" xfId="24325" xr:uid="{00000000-0005-0000-0000-0000055F0000}"/>
    <cellStyle name="Normal 2 2 5 10 3 6" xfId="24326" xr:uid="{00000000-0005-0000-0000-0000065F0000}"/>
    <cellStyle name="Normal 2 2 5 10 3 7" xfId="24327" xr:uid="{00000000-0005-0000-0000-0000075F0000}"/>
    <cellStyle name="Normal 2 2 5 10 3 8" xfId="24328" xr:uid="{00000000-0005-0000-0000-0000085F0000}"/>
    <cellStyle name="Normal 2 2 5 10 3 9" xfId="24329" xr:uid="{00000000-0005-0000-0000-0000095F0000}"/>
    <cellStyle name="Normal 2 2 5 10 4" xfId="24330" xr:uid="{00000000-0005-0000-0000-00000A5F0000}"/>
    <cellStyle name="Normal 2 2 5 10 4 10" xfId="24331" xr:uid="{00000000-0005-0000-0000-00000B5F0000}"/>
    <cellStyle name="Normal 2 2 5 10 4 2" xfId="24332" xr:uid="{00000000-0005-0000-0000-00000C5F0000}"/>
    <cellStyle name="Normal 2 2 5 10 4 3" xfId="24333" xr:uid="{00000000-0005-0000-0000-00000D5F0000}"/>
    <cellStyle name="Normal 2 2 5 10 4 4" xfId="24334" xr:uid="{00000000-0005-0000-0000-00000E5F0000}"/>
    <cellStyle name="Normal 2 2 5 10 4 5" xfId="24335" xr:uid="{00000000-0005-0000-0000-00000F5F0000}"/>
    <cellStyle name="Normal 2 2 5 10 4 6" xfId="24336" xr:uid="{00000000-0005-0000-0000-0000105F0000}"/>
    <cellStyle name="Normal 2 2 5 10 4 7" xfId="24337" xr:uid="{00000000-0005-0000-0000-0000115F0000}"/>
    <cellStyle name="Normal 2 2 5 10 4 8" xfId="24338" xr:uid="{00000000-0005-0000-0000-0000125F0000}"/>
    <cellStyle name="Normal 2 2 5 10 4 9" xfId="24339" xr:uid="{00000000-0005-0000-0000-0000135F0000}"/>
    <cellStyle name="Normal 2 2 5 10 5" xfId="24340" xr:uid="{00000000-0005-0000-0000-0000145F0000}"/>
    <cellStyle name="Normal 2 2 5 10 5 10" xfId="24341" xr:uid="{00000000-0005-0000-0000-0000155F0000}"/>
    <cellStyle name="Normal 2 2 5 10 5 2" xfId="24342" xr:uid="{00000000-0005-0000-0000-0000165F0000}"/>
    <cellStyle name="Normal 2 2 5 10 5 3" xfId="24343" xr:uid="{00000000-0005-0000-0000-0000175F0000}"/>
    <cellStyle name="Normal 2 2 5 10 5 4" xfId="24344" xr:uid="{00000000-0005-0000-0000-0000185F0000}"/>
    <cellStyle name="Normal 2 2 5 10 5 5" xfId="24345" xr:uid="{00000000-0005-0000-0000-0000195F0000}"/>
    <cellStyle name="Normal 2 2 5 10 5 6" xfId="24346" xr:uid="{00000000-0005-0000-0000-00001A5F0000}"/>
    <cellStyle name="Normal 2 2 5 10 5 7" xfId="24347" xr:uid="{00000000-0005-0000-0000-00001B5F0000}"/>
    <cellStyle name="Normal 2 2 5 10 5 8" xfId="24348" xr:uid="{00000000-0005-0000-0000-00001C5F0000}"/>
    <cellStyle name="Normal 2 2 5 10 5 9" xfId="24349" xr:uid="{00000000-0005-0000-0000-00001D5F0000}"/>
    <cellStyle name="Normal 2 2 5 10 6" xfId="24350" xr:uid="{00000000-0005-0000-0000-00001E5F0000}"/>
    <cellStyle name="Normal 2 2 5 10 7" xfId="24351" xr:uid="{00000000-0005-0000-0000-00001F5F0000}"/>
    <cellStyle name="Normal 2 2 5 10 8" xfId="24352" xr:uid="{00000000-0005-0000-0000-0000205F0000}"/>
    <cellStyle name="Normal 2 2 5 10 9" xfId="24353" xr:uid="{00000000-0005-0000-0000-0000215F0000}"/>
    <cellStyle name="Normal 2 2 5 11" xfId="24354" xr:uid="{00000000-0005-0000-0000-0000225F0000}"/>
    <cellStyle name="Normal 2 2 5 11 10" xfId="24355" xr:uid="{00000000-0005-0000-0000-0000235F0000}"/>
    <cellStyle name="Normal 2 2 5 11 11" xfId="24356" xr:uid="{00000000-0005-0000-0000-0000245F0000}"/>
    <cellStyle name="Normal 2 2 5 11 12" xfId="24357" xr:uid="{00000000-0005-0000-0000-0000255F0000}"/>
    <cellStyle name="Normal 2 2 5 11 13" xfId="24358" xr:uid="{00000000-0005-0000-0000-0000265F0000}"/>
    <cellStyle name="Normal 2 2 5 11 14" xfId="24359" xr:uid="{00000000-0005-0000-0000-0000275F0000}"/>
    <cellStyle name="Normal 2 2 5 11 2" xfId="24360" xr:uid="{00000000-0005-0000-0000-0000285F0000}"/>
    <cellStyle name="Normal 2 2 5 11 2 10" xfId="24361" xr:uid="{00000000-0005-0000-0000-0000295F0000}"/>
    <cellStyle name="Normal 2 2 5 11 2 2" xfId="24362" xr:uid="{00000000-0005-0000-0000-00002A5F0000}"/>
    <cellStyle name="Normal 2 2 5 11 2 3" xfId="24363" xr:uid="{00000000-0005-0000-0000-00002B5F0000}"/>
    <cellStyle name="Normal 2 2 5 11 2 4" xfId="24364" xr:uid="{00000000-0005-0000-0000-00002C5F0000}"/>
    <cellStyle name="Normal 2 2 5 11 2 5" xfId="24365" xr:uid="{00000000-0005-0000-0000-00002D5F0000}"/>
    <cellStyle name="Normal 2 2 5 11 2 6" xfId="24366" xr:uid="{00000000-0005-0000-0000-00002E5F0000}"/>
    <cellStyle name="Normal 2 2 5 11 2 7" xfId="24367" xr:uid="{00000000-0005-0000-0000-00002F5F0000}"/>
    <cellStyle name="Normal 2 2 5 11 2 8" xfId="24368" xr:uid="{00000000-0005-0000-0000-0000305F0000}"/>
    <cellStyle name="Normal 2 2 5 11 2 9" xfId="24369" xr:uid="{00000000-0005-0000-0000-0000315F0000}"/>
    <cellStyle name="Normal 2 2 5 11 3" xfId="24370" xr:uid="{00000000-0005-0000-0000-0000325F0000}"/>
    <cellStyle name="Normal 2 2 5 11 3 10" xfId="24371" xr:uid="{00000000-0005-0000-0000-0000335F0000}"/>
    <cellStyle name="Normal 2 2 5 11 3 2" xfId="24372" xr:uid="{00000000-0005-0000-0000-0000345F0000}"/>
    <cellStyle name="Normal 2 2 5 11 3 3" xfId="24373" xr:uid="{00000000-0005-0000-0000-0000355F0000}"/>
    <cellStyle name="Normal 2 2 5 11 3 4" xfId="24374" xr:uid="{00000000-0005-0000-0000-0000365F0000}"/>
    <cellStyle name="Normal 2 2 5 11 3 5" xfId="24375" xr:uid="{00000000-0005-0000-0000-0000375F0000}"/>
    <cellStyle name="Normal 2 2 5 11 3 6" xfId="24376" xr:uid="{00000000-0005-0000-0000-0000385F0000}"/>
    <cellStyle name="Normal 2 2 5 11 3 7" xfId="24377" xr:uid="{00000000-0005-0000-0000-0000395F0000}"/>
    <cellStyle name="Normal 2 2 5 11 3 8" xfId="24378" xr:uid="{00000000-0005-0000-0000-00003A5F0000}"/>
    <cellStyle name="Normal 2 2 5 11 3 9" xfId="24379" xr:uid="{00000000-0005-0000-0000-00003B5F0000}"/>
    <cellStyle name="Normal 2 2 5 11 4" xfId="24380" xr:uid="{00000000-0005-0000-0000-00003C5F0000}"/>
    <cellStyle name="Normal 2 2 5 11 4 10" xfId="24381" xr:uid="{00000000-0005-0000-0000-00003D5F0000}"/>
    <cellStyle name="Normal 2 2 5 11 4 2" xfId="24382" xr:uid="{00000000-0005-0000-0000-00003E5F0000}"/>
    <cellStyle name="Normal 2 2 5 11 4 3" xfId="24383" xr:uid="{00000000-0005-0000-0000-00003F5F0000}"/>
    <cellStyle name="Normal 2 2 5 11 4 4" xfId="24384" xr:uid="{00000000-0005-0000-0000-0000405F0000}"/>
    <cellStyle name="Normal 2 2 5 11 4 5" xfId="24385" xr:uid="{00000000-0005-0000-0000-0000415F0000}"/>
    <cellStyle name="Normal 2 2 5 11 4 6" xfId="24386" xr:uid="{00000000-0005-0000-0000-0000425F0000}"/>
    <cellStyle name="Normal 2 2 5 11 4 7" xfId="24387" xr:uid="{00000000-0005-0000-0000-0000435F0000}"/>
    <cellStyle name="Normal 2 2 5 11 4 8" xfId="24388" xr:uid="{00000000-0005-0000-0000-0000445F0000}"/>
    <cellStyle name="Normal 2 2 5 11 4 9" xfId="24389" xr:uid="{00000000-0005-0000-0000-0000455F0000}"/>
    <cellStyle name="Normal 2 2 5 11 5" xfId="24390" xr:uid="{00000000-0005-0000-0000-0000465F0000}"/>
    <cellStyle name="Normal 2 2 5 11 5 10" xfId="24391" xr:uid="{00000000-0005-0000-0000-0000475F0000}"/>
    <cellStyle name="Normal 2 2 5 11 5 2" xfId="24392" xr:uid="{00000000-0005-0000-0000-0000485F0000}"/>
    <cellStyle name="Normal 2 2 5 11 5 3" xfId="24393" xr:uid="{00000000-0005-0000-0000-0000495F0000}"/>
    <cellStyle name="Normal 2 2 5 11 5 4" xfId="24394" xr:uid="{00000000-0005-0000-0000-00004A5F0000}"/>
    <cellStyle name="Normal 2 2 5 11 5 5" xfId="24395" xr:uid="{00000000-0005-0000-0000-00004B5F0000}"/>
    <cellStyle name="Normal 2 2 5 11 5 6" xfId="24396" xr:uid="{00000000-0005-0000-0000-00004C5F0000}"/>
    <cellStyle name="Normal 2 2 5 11 5 7" xfId="24397" xr:uid="{00000000-0005-0000-0000-00004D5F0000}"/>
    <cellStyle name="Normal 2 2 5 11 5 8" xfId="24398" xr:uid="{00000000-0005-0000-0000-00004E5F0000}"/>
    <cellStyle name="Normal 2 2 5 11 5 9" xfId="24399" xr:uid="{00000000-0005-0000-0000-00004F5F0000}"/>
    <cellStyle name="Normal 2 2 5 11 6" xfId="24400" xr:uid="{00000000-0005-0000-0000-0000505F0000}"/>
    <cellStyle name="Normal 2 2 5 11 7" xfId="24401" xr:uid="{00000000-0005-0000-0000-0000515F0000}"/>
    <cellStyle name="Normal 2 2 5 11 8" xfId="24402" xr:uid="{00000000-0005-0000-0000-0000525F0000}"/>
    <cellStyle name="Normal 2 2 5 11 9" xfId="24403" xr:uid="{00000000-0005-0000-0000-0000535F0000}"/>
    <cellStyle name="Normal 2 2 5 12" xfId="24404" xr:uid="{00000000-0005-0000-0000-0000545F0000}"/>
    <cellStyle name="Normal 2 2 5 12 10" xfId="24405" xr:uid="{00000000-0005-0000-0000-0000555F0000}"/>
    <cellStyle name="Normal 2 2 5 12 11" xfId="24406" xr:uid="{00000000-0005-0000-0000-0000565F0000}"/>
    <cellStyle name="Normal 2 2 5 12 12" xfId="24407" xr:uid="{00000000-0005-0000-0000-0000575F0000}"/>
    <cellStyle name="Normal 2 2 5 12 13" xfId="24408" xr:uid="{00000000-0005-0000-0000-0000585F0000}"/>
    <cellStyle name="Normal 2 2 5 12 14" xfId="24409" xr:uid="{00000000-0005-0000-0000-0000595F0000}"/>
    <cellStyle name="Normal 2 2 5 12 2" xfId="24410" xr:uid="{00000000-0005-0000-0000-00005A5F0000}"/>
    <cellStyle name="Normal 2 2 5 12 2 10" xfId="24411" xr:uid="{00000000-0005-0000-0000-00005B5F0000}"/>
    <cellStyle name="Normal 2 2 5 12 2 2" xfId="24412" xr:uid="{00000000-0005-0000-0000-00005C5F0000}"/>
    <cellStyle name="Normal 2 2 5 12 2 3" xfId="24413" xr:uid="{00000000-0005-0000-0000-00005D5F0000}"/>
    <cellStyle name="Normal 2 2 5 12 2 4" xfId="24414" xr:uid="{00000000-0005-0000-0000-00005E5F0000}"/>
    <cellStyle name="Normal 2 2 5 12 2 5" xfId="24415" xr:uid="{00000000-0005-0000-0000-00005F5F0000}"/>
    <cellStyle name="Normal 2 2 5 12 2 6" xfId="24416" xr:uid="{00000000-0005-0000-0000-0000605F0000}"/>
    <cellStyle name="Normal 2 2 5 12 2 7" xfId="24417" xr:uid="{00000000-0005-0000-0000-0000615F0000}"/>
    <cellStyle name="Normal 2 2 5 12 2 8" xfId="24418" xr:uid="{00000000-0005-0000-0000-0000625F0000}"/>
    <cellStyle name="Normal 2 2 5 12 2 9" xfId="24419" xr:uid="{00000000-0005-0000-0000-0000635F0000}"/>
    <cellStyle name="Normal 2 2 5 12 3" xfId="24420" xr:uid="{00000000-0005-0000-0000-0000645F0000}"/>
    <cellStyle name="Normal 2 2 5 12 3 10" xfId="24421" xr:uid="{00000000-0005-0000-0000-0000655F0000}"/>
    <cellStyle name="Normal 2 2 5 12 3 2" xfId="24422" xr:uid="{00000000-0005-0000-0000-0000665F0000}"/>
    <cellStyle name="Normal 2 2 5 12 3 3" xfId="24423" xr:uid="{00000000-0005-0000-0000-0000675F0000}"/>
    <cellStyle name="Normal 2 2 5 12 3 4" xfId="24424" xr:uid="{00000000-0005-0000-0000-0000685F0000}"/>
    <cellStyle name="Normal 2 2 5 12 3 5" xfId="24425" xr:uid="{00000000-0005-0000-0000-0000695F0000}"/>
    <cellStyle name="Normal 2 2 5 12 3 6" xfId="24426" xr:uid="{00000000-0005-0000-0000-00006A5F0000}"/>
    <cellStyle name="Normal 2 2 5 12 3 7" xfId="24427" xr:uid="{00000000-0005-0000-0000-00006B5F0000}"/>
    <cellStyle name="Normal 2 2 5 12 3 8" xfId="24428" xr:uid="{00000000-0005-0000-0000-00006C5F0000}"/>
    <cellStyle name="Normal 2 2 5 12 3 9" xfId="24429" xr:uid="{00000000-0005-0000-0000-00006D5F0000}"/>
    <cellStyle name="Normal 2 2 5 12 4" xfId="24430" xr:uid="{00000000-0005-0000-0000-00006E5F0000}"/>
    <cellStyle name="Normal 2 2 5 12 4 10" xfId="24431" xr:uid="{00000000-0005-0000-0000-00006F5F0000}"/>
    <cellStyle name="Normal 2 2 5 12 4 2" xfId="24432" xr:uid="{00000000-0005-0000-0000-0000705F0000}"/>
    <cellStyle name="Normal 2 2 5 12 4 3" xfId="24433" xr:uid="{00000000-0005-0000-0000-0000715F0000}"/>
    <cellStyle name="Normal 2 2 5 12 4 4" xfId="24434" xr:uid="{00000000-0005-0000-0000-0000725F0000}"/>
    <cellStyle name="Normal 2 2 5 12 4 5" xfId="24435" xr:uid="{00000000-0005-0000-0000-0000735F0000}"/>
    <cellStyle name="Normal 2 2 5 12 4 6" xfId="24436" xr:uid="{00000000-0005-0000-0000-0000745F0000}"/>
    <cellStyle name="Normal 2 2 5 12 4 7" xfId="24437" xr:uid="{00000000-0005-0000-0000-0000755F0000}"/>
    <cellStyle name="Normal 2 2 5 12 4 8" xfId="24438" xr:uid="{00000000-0005-0000-0000-0000765F0000}"/>
    <cellStyle name="Normal 2 2 5 12 4 9" xfId="24439" xr:uid="{00000000-0005-0000-0000-0000775F0000}"/>
    <cellStyle name="Normal 2 2 5 12 5" xfId="24440" xr:uid="{00000000-0005-0000-0000-0000785F0000}"/>
    <cellStyle name="Normal 2 2 5 12 5 10" xfId="24441" xr:uid="{00000000-0005-0000-0000-0000795F0000}"/>
    <cellStyle name="Normal 2 2 5 12 5 2" xfId="24442" xr:uid="{00000000-0005-0000-0000-00007A5F0000}"/>
    <cellStyle name="Normal 2 2 5 12 5 3" xfId="24443" xr:uid="{00000000-0005-0000-0000-00007B5F0000}"/>
    <cellStyle name="Normal 2 2 5 12 5 4" xfId="24444" xr:uid="{00000000-0005-0000-0000-00007C5F0000}"/>
    <cellStyle name="Normal 2 2 5 12 5 5" xfId="24445" xr:uid="{00000000-0005-0000-0000-00007D5F0000}"/>
    <cellStyle name="Normal 2 2 5 12 5 6" xfId="24446" xr:uid="{00000000-0005-0000-0000-00007E5F0000}"/>
    <cellStyle name="Normal 2 2 5 12 5 7" xfId="24447" xr:uid="{00000000-0005-0000-0000-00007F5F0000}"/>
    <cellStyle name="Normal 2 2 5 12 5 8" xfId="24448" xr:uid="{00000000-0005-0000-0000-0000805F0000}"/>
    <cellStyle name="Normal 2 2 5 12 5 9" xfId="24449" xr:uid="{00000000-0005-0000-0000-0000815F0000}"/>
    <cellStyle name="Normal 2 2 5 12 6" xfId="24450" xr:uid="{00000000-0005-0000-0000-0000825F0000}"/>
    <cellStyle name="Normal 2 2 5 12 7" xfId="24451" xr:uid="{00000000-0005-0000-0000-0000835F0000}"/>
    <cellStyle name="Normal 2 2 5 12 8" xfId="24452" xr:uid="{00000000-0005-0000-0000-0000845F0000}"/>
    <cellStyle name="Normal 2 2 5 12 9" xfId="24453" xr:uid="{00000000-0005-0000-0000-0000855F0000}"/>
    <cellStyle name="Normal 2 2 5 13" xfId="24454" xr:uid="{00000000-0005-0000-0000-0000865F0000}"/>
    <cellStyle name="Normal 2 2 5 13 10" xfId="24455" xr:uid="{00000000-0005-0000-0000-0000875F0000}"/>
    <cellStyle name="Normal 2 2 5 13 11" xfId="24456" xr:uid="{00000000-0005-0000-0000-0000885F0000}"/>
    <cellStyle name="Normal 2 2 5 13 12" xfId="24457" xr:uid="{00000000-0005-0000-0000-0000895F0000}"/>
    <cellStyle name="Normal 2 2 5 13 13" xfId="24458" xr:uid="{00000000-0005-0000-0000-00008A5F0000}"/>
    <cellStyle name="Normal 2 2 5 13 14" xfId="24459" xr:uid="{00000000-0005-0000-0000-00008B5F0000}"/>
    <cellStyle name="Normal 2 2 5 13 2" xfId="24460" xr:uid="{00000000-0005-0000-0000-00008C5F0000}"/>
    <cellStyle name="Normal 2 2 5 13 2 10" xfId="24461" xr:uid="{00000000-0005-0000-0000-00008D5F0000}"/>
    <cellStyle name="Normal 2 2 5 13 2 2" xfId="24462" xr:uid="{00000000-0005-0000-0000-00008E5F0000}"/>
    <cellStyle name="Normal 2 2 5 13 2 3" xfId="24463" xr:uid="{00000000-0005-0000-0000-00008F5F0000}"/>
    <cellStyle name="Normal 2 2 5 13 2 4" xfId="24464" xr:uid="{00000000-0005-0000-0000-0000905F0000}"/>
    <cellStyle name="Normal 2 2 5 13 2 5" xfId="24465" xr:uid="{00000000-0005-0000-0000-0000915F0000}"/>
    <cellStyle name="Normal 2 2 5 13 2 6" xfId="24466" xr:uid="{00000000-0005-0000-0000-0000925F0000}"/>
    <cellStyle name="Normal 2 2 5 13 2 7" xfId="24467" xr:uid="{00000000-0005-0000-0000-0000935F0000}"/>
    <cellStyle name="Normal 2 2 5 13 2 8" xfId="24468" xr:uid="{00000000-0005-0000-0000-0000945F0000}"/>
    <cellStyle name="Normal 2 2 5 13 2 9" xfId="24469" xr:uid="{00000000-0005-0000-0000-0000955F0000}"/>
    <cellStyle name="Normal 2 2 5 13 3" xfId="24470" xr:uid="{00000000-0005-0000-0000-0000965F0000}"/>
    <cellStyle name="Normal 2 2 5 13 3 10" xfId="24471" xr:uid="{00000000-0005-0000-0000-0000975F0000}"/>
    <cellStyle name="Normal 2 2 5 13 3 2" xfId="24472" xr:uid="{00000000-0005-0000-0000-0000985F0000}"/>
    <cellStyle name="Normal 2 2 5 13 3 3" xfId="24473" xr:uid="{00000000-0005-0000-0000-0000995F0000}"/>
    <cellStyle name="Normal 2 2 5 13 3 4" xfId="24474" xr:uid="{00000000-0005-0000-0000-00009A5F0000}"/>
    <cellStyle name="Normal 2 2 5 13 3 5" xfId="24475" xr:uid="{00000000-0005-0000-0000-00009B5F0000}"/>
    <cellStyle name="Normal 2 2 5 13 3 6" xfId="24476" xr:uid="{00000000-0005-0000-0000-00009C5F0000}"/>
    <cellStyle name="Normal 2 2 5 13 3 7" xfId="24477" xr:uid="{00000000-0005-0000-0000-00009D5F0000}"/>
    <cellStyle name="Normal 2 2 5 13 3 8" xfId="24478" xr:uid="{00000000-0005-0000-0000-00009E5F0000}"/>
    <cellStyle name="Normal 2 2 5 13 3 9" xfId="24479" xr:uid="{00000000-0005-0000-0000-00009F5F0000}"/>
    <cellStyle name="Normal 2 2 5 13 4" xfId="24480" xr:uid="{00000000-0005-0000-0000-0000A05F0000}"/>
    <cellStyle name="Normal 2 2 5 13 4 10" xfId="24481" xr:uid="{00000000-0005-0000-0000-0000A15F0000}"/>
    <cellStyle name="Normal 2 2 5 13 4 2" xfId="24482" xr:uid="{00000000-0005-0000-0000-0000A25F0000}"/>
    <cellStyle name="Normal 2 2 5 13 4 3" xfId="24483" xr:uid="{00000000-0005-0000-0000-0000A35F0000}"/>
    <cellStyle name="Normal 2 2 5 13 4 4" xfId="24484" xr:uid="{00000000-0005-0000-0000-0000A45F0000}"/>
    <cellStyle name="Normal 2 2 5 13 4 5" xfId="24485" xr:uid="{00000000-0005-0000-0000-0000A55F0000}"/>
    <cellStyle name="Normal 2 2 5 13 4 6" xfId="24486" xr:uid="{00000000-0005-0000-0000-0000A65F0000}"/>
    <cellStyle name="Normal 2 2 5 13 4 7" xfId="24487" xr:uid="{00000000-0005-0000-0000-0000A75F0000}"/>
    <cellStyle name="Normal 2 2 5 13 4 8" xfId="24488" xr:uid="{00000000-0005-0000-0000-0000A85F0000}"/>
    <cellStyle name="Normal 2 2 5 13 4 9" xfId="24489" xr:uid="{00000000-0005-0000-0000-0000A95F0000}"/>
    <cellStyle name="Normal 2 2 5 13 5" xfId="24490" xr:uid="{00000000-0005-0000-0000-0000AA5F0000}"/>
    <cellStyle name="Normal 2 2 5 13 5 10" xfId="24491" xr:uid="{00000000-0005-0000-0000-0000AB5F0000}"/>
    <cellStyle name="Normal 2 2 5 13 5 2" xfId="24492" xr:uid="{00000000-0005-0000-0000-0000AC5F0000}"/>
    <cellStyle name="Normal 2 2 5 13 5 3" xfId="24493" xr:uid="{00000000-0005-0000-0000-0000AD5F0000}"/>
    <cellStyle name="Normal 2 2 5 13 5 4" xfId="24494" xr:uid="{00000000-0005-0000-0000-0000AE5F0000}"/>
    <cellStyle name="Normal 2 2 5 13 5 5" xfId="24495" xr:uid="{00000000-0005-0000-0000-0000AF5F0000}"/>
    <cellStyle name="Normal 2 2 5 13 5 6" xfId="24496" xr:uid="{00000000-0005-0000-0000-0000B05F0000}"/>
    <cellStyle name="Normal 2 2 5 13 5 7" xfId="24497" xr:uid="{00000000-0005-0000-0000-0000B15F0000}"/>
    <cellStyle name="Normal 2 2 5 13 5 8" xfId="24498" xr:uid="{00000000-0005-0000-0000-0000B25F0000}"/>
    <cellStyle name="Normal 2 2 5 13 5 9" xfId="24499" xr:uid="{00000000-0005-0000-0000-0000B35F0000}"/>
    <cellStyle name="Normal 2 2 5 13 6" xfId="24500" xr:uid="{00000000-0005-0000-0000-0000B45F0000}"/>
    <cellStyle name="Normal 2 2 5 13 7" xfId="24501" xr:uid="{00000000-0005-0000-0000-0000B55F0000}"/>
    <cellStyle name="Normal 2 2 5 13 8" xfId="24502" xr:uid="{00000000-0005-0000-0000-0000B65F0000}"/>
    <cellStyle name="Normal 2 2 5 13 9" xfId="24503" xr:uid="{00000000-0005-0000-0000-0000B75F0000}"/>
    <cellStyle name="Normal 2 2 5 14" xfId="24504" xr:uid="{00000000-0005-0000-0000-0000B85F0000}"/>
    <cellStyle name="Normal 2 2 5 14 10" xfId="24505" xr:uid="{00000000-0005-0000-0000-0000B95F0000}"/>
    <cellStyle name="Normal 2 2 5 14 11" xfId="24506" xr:uid="{00000000-0005-0000-0000-0000BA5F0000}"/>
    <cellStyle name="Normal 2 2 5 14 12" xfId="24507" xr:uid="{00000000-0005-0000-0000-0000BB5F0000}"/>
    <cellStyle name="Normal 2 2 5 14 13" xfId="24508" xr:uid="{00000000-0005-0000-0000-0000BC5F0000}"/>
    <cellStyle name="Normal 2 2 5 14 14" xfId="24509" xr:uid="{00000000-0005-0000-0000-0000BD5F0000}"/>
    <cellStyle name="Normal 2 2 5 14 2" xfId="24510" xr:uid="{00000000-0005-0000-0000-0000BE5F0000}"/>
    <cellStyle name="Normal 2 2 5 14 2 10" xfId="24511" xr:uid="{00000000-0005-0000-0000-0000BF5F0000}"/>
    <cellStyle name="Normal 2 2 5 14 2 2" xfId="24512" xr:uid="{00000000-0005-0000-0000-0000C05F0000}"/>
    <cellStyle name="Normal 2 2 5 14 2 3" xfId="24513" xr:uid="{00000000-0005-0000-0000-0000C15F0000}"/>
    <cellStyle name="Normal 2 2 5 14 2 4" xfId="24514" xr:uid="{00000000-0005-0000-0000-0000C25F0000}"/>
    <cellStyle name="Normal 2 2 5 14 2 5" xfId="24515" xr:uid="{00000000-0005-0000-0000-0000C35F0000}"/>
    <cellStyle name="Normal 2 2 5 14 2 6" xfId="24516" xr:uid="{00000000-0005-0000-0000-0000C45F0000}"/>
    <cellStyle name="Normal 2 2 5 14 2 7" xfId="24517" xr:uid="{00000000-0005-0000-0000-0000C55F0000}"/>
    <cellStyle name="Normal 2 2 5 14 2 8" xfId="24518" xr:uid="{00000000-0005-0000-0000-0000C65F0000}"/>
    <cellStyle name="Normal 2 2 5 14 2 9" xfId="24519" xr:uid="{00000000-0005-0000-0000-0000C75F0000}"/>
    <cellStyle name="Normal 2 2 5 14 3" xfId="24520" xr:uid="{00000000-0005-0000-0000-0000C85F0000}"/>
    <cellStyle name="Normal 2 2 5 14 3 10" xfId="24521" xr:uid="{00000000-0005-0000-0000-0000C95F0000}"/>
    <cellStyle name="Normal 2 2 5 14 3 2" xfId="24522" xr:uid="{00000000-0005-0000-0000-0000CA5F0000}"/>
    <cellStyle name="Normal 2 2 5 14 3 3" xfId="24523" xr:uid="{00000000-0005-0000-0000-0000CB5F0000}"/>
    <cellStyle name="Normal 2 2 5 14 3 4" xfId="24524" xr:uid="{00000000-0005-0000-0000-0000CC5F0000}"/>
    <cellStyle name="Normal 2 2 5 14 3 5" xfId="24525" xr:uid="{00000000-0005-0000-0000-0000CD5F0000}"/>
    <cellStyle name="Normal 2 2 5 14 3 6" xfId="24526" xr:uid="{00000000-0005-0000-0000-0000CE5F0000}"/>
    <cellStyle name="Normal 2 2 5 14 3 7" xfId="24527" xr:uid="{00000000-0005-0000-0000-0000CF5F0000}"/>
    <cellStyle name="Normal 2 2 5 14 3 8" xfId="24528" xr:uid="{00000000-0005-0000-0000-0000D05F0000}"/>
    <cellStyle name="Normal 2 2 5 14 3 9" xfId="24529" xr:uid="{00000000-0005-0000-0000-0000D15F0000}"/>
    <cellStyle name="Normal 2 2 5 14 4" xfId="24530" xr:uid="{00000000-0005-0000-0000-0000D25F0000}"/>
    <cellStyle name="Normal 2 2 5 14 4 10" xfId="24531" xr:uid="{00000000-0005-0000-0000-0000D35F0000}"/>
    <cellStyle name="Normal 2 2 5 14 4 2" xfId="24532" xr:uid="{00000000-0005-0000-0000-0000D45F0000}"/>
    <cellStyle name="Normal 2 2 5 14 4 3" xfId="24533" xr:uid="{00000000-0005-0000-0000-0000D55F0000}"/>
    <cellStyle name="Normal 2 2 5 14 4 4" xfId="24534" xr:uid="{00000000-0005-0000-0000-0000D65F0000}"/>
    <cellStyle name="Normal 2 2 5 14 4 5" xfId="24535" xr:uid="{00000000-0005-0000-0000-0000D75F0000}"/>
    <cellStyle name="Normal 2 2 5 14 4 6" xfId="24536" xr:uid="{00000000-0005-0000-0000-0000D85F0000}"/>
    <cellStyle name="Normal 2 2 5 14 4 7" xfId="24537" xr:uid="{00000000-0005-0000-0000-0000D95F0000}"/>
    <cellStyle name="Normal 2 2 5 14 4 8" xfId="24538" xr:uid="{00000000-0005-0000-0000-0000DA5F0000}"/>
    <cellStyle name="Normal 2 2 5 14 4 9" xfId="24539" xr:uid="{00000000-0005-0000-0000-0000DB5F0000}"/>
    <cellStyle name="Normal 2 2 5 14 5" xfId="24540" xr:uid="{00000000-0005-0000-0000-0000DC5F0000}"/>
    <cellStyle name="Normal 2 2 5 14 5 10" xfId="24541" xr:uid="{00000000-0005-0000-0000-0000DD5F0000}"/>
    <cellStyle name="Normal 2 2 5 14 5 2" xfId="24542" xr:uid="{00000000-0005-0000-0000-0000DE5F0000}"/>
    <cellStyle name="Normal 2 2 5 14 5 3" xfId="24543" xr:uid="{00000000-0005-0000-0000-0000DF5F0000}"/>
    <cellStyle name="Normal 2 2 5 14 5 4" xfId="24544" xr:uid="{00000000-0005-0000-0000-0000E05F0000}"/>
    <cellStyle name="Normal 2 2 5 14 5 5" xfId="24545" xr:uid="{00000000-0005-0000-0000-0000E15F0000}"/>
    <cellStyle name="Normal 2 2 5 14 5 6" xfId="24546" xr:uid="{00000000-0005-0000-0000-0000E25F0000}"/>
    <cellStyle name="Normal 2 2 5 14 5 7" xfId="24547" xr:uid="{00000000-0005-0000-0000-0000E35F0000}"/>
    <cellStyle name="Normal 2 2 5 14 5 8" xfId="24548" xr:uid="{00000000-0005-0000-0000-0000E45F0000}"/>
    <cellStyle name="Normal 2 2 5 14 5 9" xfId="24549" xr:uid="{00000000-0005-0000-0000-0000E55F0000}"/>
    <cellStyle name="Normal 2 2 5 14 6" xfId="24550" xr:uid="{00000000-0005-0000-0000-0000E65F0000}"/>
    <cellStyle name="Normal 2 2 5 14 7" xfId="24551" xr:uid="{00000000-0005-0000-0000-0000E75F0000}"/>
    <cellStyle name="Normal 2 2 5 14 8" xfId="24552" xr:uid="{00000000-0005-0000-0000-0000E85F0000}"/>
    <cellStyle name="Normal 2 2 5 14 9" xfId="24553" xr:uid="{00000000-0005-0000-0000-0000E95F0000}"/>
    <cellStyle name="Normal 2 2 5 15" xfId="24554" xr:uid="{00000000-0005-0000-0000-0000EA5F0000}"/>
    <cellStyle name="Normal 2 2 5 15 10" xfId="24555" xr:uid="{00000000-0005-0000-0000-0000EB5F0000}"/>
    <cellStyle name="Normal 2 2 5 15 11" xfId="24556" xr:uid="{00000000-0005-0000-0000-0000EC5F0000}"/>
    <cellStyle name="Normal 2 2 5 15 12" xfId="24557" xr:uid="{00000000-0005-0000-0000-0000ED5F0000}"/>
    <cellStyle name="Normal 2 2 5 15 13" xfId="24558" xr:uid="{00000000-0005-0000-0000-0000EE5F0000}"/>
    <cellStyle name="Normal 2 2 5 15 14" xfId="24559" xr:uid="{00000000-0005-0000-0000-0000EF5F0000}"/>
    <cellStyle name="Normal 2 2 5 15 2" xfId="24560" xr:uid="{00000000-0005-0000-0000-0000F05F0000}"/>
    <cellStyle name="Normal 2 2 5 15 2 10" xfId="24561" xr:uid="{00000000-0005-0000-0000-0000F15F0000}"/>
    <cellStyle name="Normal 2 2 5 15 2 2" xfId="24562" xr:uid="{00000000-0005-0000-0000-0000F25F0000}"/>
    <cellStyle name="Normal 2 2 5 15 2 3" xfId="24563" xr:uid="{00000000-0005-0000-0000-0000F35F0000}"/>
    <cellStyle name="Normal 2 2 5 15 2 4" xfId="24564" xr:uid="{00000000-0005-0000-0000-0000F45F0000}"/>
    <cellStyle name="Normal 2 2 5 15 2 5" xfId="24565" xr:uid="{00000000-0005-0000-0000-0000F55F0000}"/>
    <cellStyle name="Normal 2 2 5 15 2 6" xfId="24566" xr:uid="{00000000-0005-0000-0000-0000F65F0000}"/>
    <cellStyle name="Normal 2 2 5 15 2 7" xfId="24567" xr:uid="{00000000-0005-0000-0000-0000F75F0000}"/>
    <cellStyle name="Normal 2 2 5 15 2 8" xfId="24568" xr:uid="{00000000-0005-0000-0000-0000F85F0000}"/>
    <cellStyle name="Normal 2 2 5 15 2 9" xfId="24569" xr:uid="{00000000-0005-0000-0000-0000F95F0000}"/>
    <cellStyle name="Normal 2 2 5 15 3" xfId="24570" xr:uid="{00000000-0005-0000-0000-0000FA5F0000}"/>
    <cellStyle name="Normal 2 2 5 15 3 10" xfId="24571" xr:uid="{00000000-0005-0000-0000-0000FB5F0000}"/>
    <cellStyle name="Normal 2 2 5 15 3 2" xfId="24572" xr:uid="{00000000-0005-0000-0000-0000FC5F0000}"/>
    <cellStyle name="Normal 2 2 5 15 3 3" xfId="24573" xr:uid="{00000000-0005-0000-0000-0000FD5F0000}"/>
    <cellStyle name="Normal 2 2 5 15 3 4" xfId="24574" xr:uid="{00000000-0005-0000-0000-0000FE5F0000}"/>
    <cellStyle name="Normal 2 2 5 15 3 5" xfId="24575" xr:uid="{00000000-0005-0000-0000-0000FF5F0000}"/>
    <cellStyle name="Normal 2 2 5 15 3 6" xfId="24576" xr:uid="{00000000-0005-0000-0000-000000600000}"/>
    <cellStyle name="Normal 2 2 5 15 3 7" xfId="24577" xr:uid="{00000000-0005-0000-0000-000001600000}"/>
    <cellStyle name="Normal 2 2 5 15 3 8" xfId="24578" xr:uid="{00000000-0005-0000-0000-000002600000}"/>
    <cellStyle name="Normal 2 2 5 15 3 9" xfId="24579" xr:uid="{00000000-0005-0000-0000-000003600000}"/>
    <cellStyle name="Normal 2 2 5 15 4" xfId="24580" xr:uid="{00000000-0005-0000-0000-000004600000}"/>
    <cellStyle name="Normal 2 2 5 15 4 10" xfId="24581" xr:uid="{00000000-0005-0000-0000-000005600000}"/>
    <cellStyle name="Normal 2 2 5 15 4 2" xfId="24582" xr:uid="{00000000-0005-0000-0000-000006600000}"/>
    <cellStyle name="Normal 2 2 5 15 4 3" xfId="24583" xr:uid="{00000000-0005-0000-0000-000007600000}"/>
    <cellStyle name="Normal 2 2 5 15 4 4" xfId="24584" xr:uid="{00000000-0005-0000-0000-000008600000}"/>
    <cellStyle name="Normal 2 2 5 15 4 5" xfId="24585" xr:uid="{00000000-0005-0000-0000-000009600000}"/>
    <cellStyle name="Normal 2 2 5 15 4 6" xfId="24586" xr:uid="{00000000-0005-0000-0000-00000A600000}"/>
    <cellStyle name="Normal 2 2 5 15 4 7" xfId="24587" xr:uid="{00000000-0005-0000-0000-00000B600000}"/>
    <cellStyle name="Normal 2 2 5 15 4 8" xfId="24588" xr:uid="{00000000-0005-0000-0000-00000C600000}"/>
    <cellStyle name="Normal 2 2 5 15 4 9" xfId="24589" xr:uid="{00000000-0005-0000-0000-00000D600000}"/>
    <cellStyle name="Normal 2 2 5 15 5" xfId="24590" xr:uid="{00000000-0005-0000-0000-00000E600000}"/>
    <cellStyle name="Normal 2 2 5 15 5 10" xfId="24591" xr:uid="{00000000-0005-0000-0000-00000F600000}"/>
    <cellStyle name="Normal 2 2 5 15 5 2" xfId="24592" xr:uid="{00000000-0005-0000-0000-000010600000}"/>
    <cellStyle name="Normal 2 2 5 15 5 3" xfId="24593" xr:uid="{00000000-0005-0000-0000-000011600000}"/>
    <cellStyle name="Normal 2 2 5 15 5 4" xfId="24594" xr:uid="{00000000-0005-0000-0000-000012600000}"/>
    <cellStyle name="Normal 2 2 5 15 5 5" xfId="24595" xr:uid="{00000000-0005-0000-0000-000013600000}"/>
    <cellStyle name="Normal 2 2 5 15 5 6" xfId="24596" xr:uid="{00000000-0005-0000-0000-000014600000}"/>
    <cellStyle name="Normal 2 2 5 15 5 7" xfId="24597" xr:uid="{00000000-0005-0000-0000-000015600000}"/>
    <cellStyle name="Normal 2 2 5 15 5 8" xfId="24598" xr:uid="{00000000-0005-0000-0000-000016600000}"/>
    <cellStyle name="Normal 2 2 5 15 5 9" xfId="24599" xr:uid="{00000000-0005-0000-0000-000017600000}"/>
    <cellStyle name="Normal 2 2 5 15 6" xfId="24600" xr:uid="{00000000-0005-0000-0000-000018600000}"/>
    <cellStyle name="Normal 2 2 5 15 7" xfId="24601" xr:uid="{00000000-0005-0000-0000-000019600000}"/>
    <cellStyle name="Normal 2 2 5 15 8" xfId="24602" xr:uid="{00000000-0005-0000-0000-00001A600000}"/>
    <cellStyle name="Normal 2 2 5 15 9" xfId="24603" xr:uid="{00000000-0005-0000-0000-00001B600000}"/>
    <cellStyle name="Normal 2 2 5 16" xfId="24604" xr:uid="{00000000-0005-0000-0000-00001C600000}"/>
    <cellStyle name="Normal 2 2 5 16 10" xfId="24605" xr:uid="{00000000-0005-0000-0000-00001D600000}"/>
    <cellStyle name="Normal 2 2 5 16 11" xfId="24606" xr:uid="{00000000-0005-0000-0000-00001E600000}"/>
    <cellStyle name="Normal 2 2 5 16 12" xfId="24607" xr:uid="{00000000-0005-0000-0000-00001F600000}"/>
    <cellStyle name="Normal 2 2 5 16 13" xfId="24608" xr:uid="{00000000-0005-0000-0000-000020600000}"/>
    <cellStyle name="Normal 2 2 5 16 14" xfId="24609" xr:uid="{00000000-0005-0000-0000-000021600000}"/>
    <cellStyle name="Normal 2 2 5 16 2" xfId="24610" xr:uid="{00000000-0005-0000-0000-000022600000}"/>
    <cellStyle name="Normal 2 2 5 16 2 10" xfId="24611" xr:uid="{00000000-0005-0000-0000-000023600000}"/>
    <cellStyle name="Normal 2 2 5 16 2 2" xfId="24612" xr:uid="{00000000-0005-0000-0000-000024600000}"/>
    <cellStyle name="Normal 2 2 5 16 2 3" xfId="24613" xr:uid="{00000000-0005-0000-0000-000025600000}"/>
    <cellStyle name="Normal 2 2 5 16 2 4" xfId="24614" xr:uid="{00000000-0005-0000-0000-000026600000}"/>
    <cellStyle name="Normal 2 2 5 16 2 5" xfId="24615" xr:uid="{00000000-0005-0000-0000-000027600000}"/>
    <cellStyle name="Normal 2 2 5 16 2 6" xfId="24616" xr:uid="{00000000-0005-0000-0000-000028600000}"/>
    <cellStyle name="Normal 2 2 5 16 2 7" xfId="24617" xr:uid="{00000000-0005-0000-0000-000029600000}"/>
    <cellStyle name="Normal 2 2 5 16 2 8" xfId="24618" xr:uid="{00000000-0005-0000-0000-00002A600000}"/>
    <cellStyle name="Normal 2 2 5 16 2 9" xfId="24619" xr:uid="{00000000-0005-0000-0000-00002B600000}"/>
    <cellStyle name="Normal 2 2 5 16 3" xfId="24620" xr:uid="{00000000-0005-0000-0000-00002C600000}"/>
    <cellStyle name="Normal 2 2 5 16 3 10" xfId="24621" xr:uid="{00000000-0005-0000-0000-00002D600000}"/>
    <cellStyle name="Normal 2 2 5 16 3 2" xfId="24622" xr:uid="{00000000-0005-0000-0000-00002E600000}"/>
    <cellStyle name="Normal 2 2 5 16 3 3" xfId="24623" xr:uid="{00000000-0005-0000-0000-00002F600000}"/>
    <cellStyle name="Normal 2 2 5 16 3 4" xfId="24624" xr:uid="{00000000-0005-0000-0000-000030600000}"/>
    <cellStyle name="Normal 2 2 5 16 3 5" xfId="24625" xr:uid="{00000000-0005-0000-0000-000031600000}"/>
    <cellStyle name="Normal 2 2 5 16 3 6" xfId="24626" xr:uid="{00000000-0005-0000-0000-000032600000}"/>
    <cellStyle name="Normal 2 2 5 16 3 7" xfId="24627" xr:uid="{00000000-0005-0000-0000-000033600000}"/>
    <cellStyle name="Normal 2 2 5 16 3 8" xfId="24628" xr:uid="{00000000-0005-0000-0000-000034600000}"/>
    <cellStyle name="Normal 2 2 5 16 3 9" xfId="24629" xr:uid="{00000000-0005-0000-0000-000035600000}"/>
    <cellStyle name="Normal 2 2 5 16 4" xfId="24630" xr:uid="{00000000-0005-0000-0000-000036600000}"/>
    <cellStyle name="Normal 2 2 5 16 4 10" xfId="24631" xr:uid="{00000000-0005-0000-0000-000037600000}"/>
    <cellStyle name="Normal 2 2 5 16 4 2" xfId="24632" xr:uid="{00000000-0005-0000-0000-000038600000}"/>
    <cellStyle name="Normal 2 2 5 16 4 3" xfId="24633" xr:uid="{00000000-0005-0000-0000-000039600000}"/>
    <cellStyle name="Normal 2 2 5 16 4 4" xfId="24634" xr:uid="{00000000-0005-0000-0000-00003A600000}"/>
    <cellStyle name="Normal 2 2 5 16 4 5" xfId="24635" xr:uid="{00000000-0005-0000-0000-00003B600000}"/>
    <cellStyle name="Normal 2 2 5 16 4 6" xfId="24636" xr:uid="{00000000-0005-0000-0000-00003C600000}"/>
    <cellStyle name="Normal 2 2 5 16 4 7" xfId="24637" xr:uid="{00000000-0005-0000-0000-00003D600000}"/>
    <cellStyle name="Normal 2 2 5 16 4 8" xfId="24638" xr:uid="{00000000-0005-0000-0000-00003E600000}"/>
    <cellStyle name="Normal 2 2 5 16 4 9" xfId="24639" xr:uid="{00000000-0005-0000-0000-00003F600000}"/>
    <cellStyle name="Normal 2 2 5 16 5" xfId="24640" xr:uid="{00000000-0005-0000-0000-000040600000}"/>
    <cellStyle name="Normal 2 2 5 16 5 10" xfId="24641" xr:uid="{00000000-0005-0000-0000-000041600000}"/>
    <cellStyle name="Normal 2 2 5 16 5 2" xfId="24642" xr:uid="{00000000-0005-0000-0000-000042600000}"/>
    <cellStyle name="Normal 2 2 5 16 5 3" xfId="24643" xr:uid="{00000000-0005-0000-0000-000043600000}"/>
    <cellStyle name="Normal 2 2 5 16 5 4" xfId="24644" xr:uid="{00000000-0005-0000-0000-000044600000}"/>
    <cellStyle name="Normal 2 2 5 16 5 5" xfId="24645" xr:uid="{00000000-0005-0000-0000-000045600000}"/>
    <cellStyle name="Normal 2 2 5 16 5 6" xfId="24646" xr:uid="{00000000-0005-0000-0000-000046600000}"/>
    <cellStyle name="Normal 2 2 5 16 5 7" xfId="24647" xr:uid="{00000000-0005-0000-0000-000047600000}"/>
    <cellStyle name="Normal 2 2 5 16 5 8" xfId="24648" xr:uid="{00000000-0005-0000-0000-000048600000}"/>
    <cellStyle name="Normal 2 2 5 16 5 9" xfId="24649" xr:uid="{00000000-0005-0000-0000-000049600000}"/>
    <cellStyle name="Normal 2 2 5 16 6" xfId="24650" xr:uid="{00000000-0005-0000-0000-00004A600000}"/>
    <cellStyle name="Normal 2 2 5 16 7" xfId="24651" xr:uid="{00000000-0005-0000-0000-00004B600000}"/>
    <cellStyle name="Normal 2 2 5 16 8" xfId="24652" xr:uid="{00000000-0005-0000-0000-00004C600000}"/>
    <cellStyle name="Normal 2 2 5 16 9" xfId="24653" xr:uid="{00000000-0005-0000-0000-00004D600000}"/>
    <cellStyle name="Normal 2 2 5 17" xfId="24654" xr:uid="{00000000-0005-0000-0000-00004E600000}"/>
    <cellStyle name="Normal 2 2 5 17 10" xfId="24655" xr:uid="{00000000-0005-0000-0000-00004F600000}"/>
    <cellStyle name="Normal 2 2 5 17 11" xfId="24656" xr:uid="{00000000-0005-0000-0000-000050600000}"/>
    <cellStyle name="Normal 2 2 5 17 12" xfId="24657" xr:uid="{00000000-0005-0000-0000-000051600000}"/>
    <cellStyle name="Normal 2 2 5 17 13" xfId="24658" xr:uid="{00000000-0005-0000-0000-000052600000}"/>
    <cellStyle name="Normal 2 2 5 17 14" xfId="24659" xr:uid="{00000000-0005-0000-0000-000053600000}"/>
    <cellStyle name="Normal 2 2 5 17 2" xfId="24660" xr:uid="{00000000-0005-0000-0000-000054600000}"/>
    <cellStyle name="Normal 2 2 5 17 2 10" xfId="24661" xr:uid="{00000000-0005-0000-0000-000055600000}"/>
    <cellStyle name="Normal 2 2 5 17 2 2" xfId="24662" xr:uid="{00000000-0005-0000-0000-000056600000}"/>
    <cellStyle name="Normal 2 2 5 17 2 3" xfId="24663" xr:uid="{00000000-0005-0000-0000-000057600000}"/>
    <cellStyle name="Normal 2 2 5 17 2 4" xfId="24664" xr:uid="{00000000-0005-0000-0000-000058600000}"/>
    <cellStyle name="Normal 2 2 5 17 2 5" xfId="24665" xr:uid="{00000000-0005-0000-0000-000059600000}"/>
    <cellStyle name="Normal 2 2 5 17 2 6" xfId="24666" xr:uid="{00000000-0005-0000-0000-00005A600000}"/>
    <cellStyle name="Normal 2 2 5 17 2 7" xfId="24667" xr:uid="{00000000-0005-0000-0000-00005B600000}"/>
    <cellStyle name="Normal 2 2 5 17 2 8" xfId="24668" xr:uid="{00000000-0005-0000-0000-00005C600000}"/>
    <cellStyle name="Normal 2 2 5 17 2 9" xfId="24669" xr:uid="{00000000-0005-0000-0000-00005D600000}"/>
    <cellStyle name="Normal 2 2 5 17 3" xfId="24670" xr:uid="{00000000-0005-0000-0000-00005E600000}"/>
    <cellStyle name="Normal 2 2 5 17 3 10" xfId="24671" xr:uid="{00000000-0005-0000-0000-00005F600000}"/>
    <cellStyle name="Normal 2 2 5 17 3 2" xfId="24672" xr:uid="{00000000-0005-0000-0000-000060600000}"/>
    <cellStyle name="Normal 2 2 5 17 3 3" xfId="24673" xr:uid="{00000000-0005-0000-0000-000061600000}"/>
    <cellStyle name="Normal 2 2 5 17 3 4" xfId="24674" xr:uid="{00000000-0005-0000-0000-000062600000}"/>
    <cellStyle name="Normal 2 2 5 17 3 5" xfId="24675" xr:uid="{00000000-0005-0000-0000-000063600000}"/>
    <cellStyle name="Normal 2 2 5 17 3 6" xfId="24676" xr:uid="{00000000-0005-0000-0000-000064600000}"/>
    <cellStyle name="Normal 2 2 5 17 3 7" xfId="24677" xr:uid="{00000000-0005-0000-0000-000065600000}"/>
    <cellStyle name="Normal 2 2 5 17 3 8" xfId="24678" xr:uid="{00000000-0005-0000-0000-000066600000}"/>
    <cellStyle name="Normal 2 2 5 17 3 9" xfId="24679" xr:uid="{00000000-0005-0000-0000-000067600000}"/>
    <cellStyle name="Normal 2 2 5 17 4" xfId="24680" xr:uid="{00000000-0005-0000-0000-000068600000}"/>
    <cellStyle name="Normal 2 2 5 17 4 10" xfId="24681" xr:uid="{00000000-0005-0000-0000-000069600000}"/>
    <cellStyle name="Normal 2 2 5 17 4 2" xfId="24682" xr:uid="{00000000-0005-0000-0000-00006A600000}"/>
    <cellStyle name="Normal 2 2 5 17 4 3" xfId="24683" xr:uid="{00000000-0005-0000-0000-00006B600000}"/>
    <cellStyle name="Normal 2 2 5 17 4 4" xfId="24684" xr:uid="{00000000-0005-0000-0000-00006C600000}"/>
    <cellStyle name="Normal 2 2 5 17 4 5" xfId="24685" xr:uid="{00000000-0005-0000-0000-00006D600000}"/>
    <cellStyle name="Normal 2 2 5 17 4 6" xfId="24686" xr:uid="{00000000-0005-0000-0000-00006E600000}"/>
    <cellStyle name="Normal 2 2 5 17 4 7" xfId="24687" xr:uid="{00000000-0005-0000-0000-00006F600000}"/>
    <cellStyle name="Normal 2 2 5 17 4 8" xfId="24688" xr:uid="{00000000-0005-0000-0000-000070600000}"/>
    <cellStyle name="Normal 2 2 5 17 4 9" xfId="24689" xr:uid="{00000000-0005-0000-0000-000071600000}"/>
    <cellStyle name="Normal 2 2 5 17 5" xfId="24690" xr:uid="{00000000-0005-0000-0000-000072600000}"/>
    <cellStyle name="Normal 2 2 5 17 5 10" xfId="24691" xr:uid="{00000000-0005-0000-0000-000073600000}"/>
    <cellStyle name="Normal 2 2 5 17 5 2" xfId="24692" xr:uid="{00000000-0005-0000-0000-000074600000}"/>
    <cellStyle name="Normal 2 2 5 17 5 3" xfId="24693" xr:uid="{00000000-0005-0000-0000-000075600000}"/>
    <cellStyle name="Normal 2 2 5 17 5 4" xfId="24694" xr:uid="{00000000-0005-0000-0000-000076600000}"/>
    <cellStyle name="Normal 2 2 5 17 5 5" xfId="24695" xr:uid="{00000000-0005-0000-0000-000077600000}"/>
    <cellStyle name="Normal 2 2 5 17 5 6" xfId="24696" xr:uid="{00000000-0005-0000-0000-000078600000}"/>
    <cellStyle name="Normal 2 2 5 17 5 7" xfId="24697" xr:uid="{00000000-0005-0000-0000-000079600000}"/>
    <cellStyle name="Normal 2 2 5 17 5 8" xfId="24698" xr:uid="{00000000-0005-0000-0000-00007A600000}"/>
    <cellStyle name="Normal 2 2 5 17 5 9" xfId="24699" xr:uid="{00000000-0005-0000-0000-00007B600000}"/>
    <cellStyle name="Normal 2 2 5 17 6" xfId="24700" xr:uid="{00000000-0005-0000-0000-00007C600000}"/>
    <cellStyle name="Normal 2 2 5 17 7" xfId="24701" xr:uid="{00000000-0005-0000-0000-00007D600000}"/>
    <cellStyle name="Normal 2 2 5 17 8" xfId="24702" xr:uid="{00000000-0005-0000-0000-00007E600000}"/>
    <cellStyle name="Normal 2 2 5 17 9" xfId="24703" xr:uid="{00000000-0005-0000-0000-00007F600000}"/>
    <cellStyle name="Normal 2 2 5 18" xfId="24704" xr:uid="{00000000-0005-0000-0000-000080600000}"/>
    <cellStyle name="Normal 2 2 5 18 10" xfId="24705" xr:uid="{00000000-0005-0000-0000-000081600000}"/>
    <cellStyle name="Normal 2 2 5 18 11" xfId="24706" xr:uid="{00000000-0005-0000-0000-000082600000}"/>
    <cellStyle name="Normal 2 2 5 18 12" xfId="24707" xr:uid="{00000000-0005-0000-0000-000083600000}"/>
    <cellStyle name="Normal 2 2 5 18 13" xfId="24708" xr:uid="{00000000-0005-0000-0000-000084600000}"/>
    <cellStyle name="Normal 2 2 5 18 14" xfId="24709" xr:uid="{00000000-0005-0000-0000-000085600000}"/>
    <cellStyle name="Normal 2 2 5 18 2" xfId="24710" xr:uid="{00000000-0005-0000-0000-000086600000}"/>
    <cellStyle name="Normal 2 2 5 18 2 10" xfId="24711" xr:uid="{00000000-0005-0000-0000-000087600000}"/>
    <cellStyle name="Normal 2 2 5 18 2 2" xfId="24712" xr:uid="{00000000-0005-0000-0000-000088600000}"/>
    <cellStyle name="Normal 2 2 5 18 2 3" xfId="24713" xr:uid="{00000000-0005-0000-0000-000089600000}"/>
    <cellStyle name="Normal 2 2 5 18 2 4" xfId="24714" xr:uid="{00000000-0005-0000-0000-00008A600000}"/>
    <cellStyle name="Normal 2 2 5 18 2 5" xfId="24715" xr:uid="{00000000-0005-0000-0000-00008B600000}"/>
    <cellStyle name="Normal 2 2 5 18 2 6" xfId="24716" xr:uid="{00000000-0005-0000-0000-00008C600000}"/>
    <cellStyle name="Normal 2 2 5 18 2 7" xfId="24717" xr:uid="{00000000-0005-0000-0000-00008D600000}"/>
    <cellStyle name="Normal 2 2 5 18 2 8" xfId="24718" xr:uid="{00000000-0005-0000-0000-00008E600000}"/>
    <cellStyle name="Normal 2 2 5 18 2 9" xfId="24719" xr:uid="{00000000-0005-0000-0000-00008F600000}"/>
    <cellStyle name="Normal 2 2 5 18 3" xfId="24720" xr:uid="{00000000-0005-0000-0000-000090600000}"/>
    <cellStyle name="Normal 2 2 5 18 3 10" xfId="24721" xr:uid="{00000000-0005-0000-0000-000091600000}"/>
    <cellStyle name="Normal 2 2 5 18 3 2" xfId="24722" xr:uid="{00000000-0005-0000-0000-000092600000}"/>
    <cellStyle name="Normal 2 2 5 18 3 3" xfId="24723" xr:uid="{00000000-0005-0000-0000-000093600000}"/>
    <cellStyle name="Normal 2 2 5 18 3 4" xfId="24724" xr:uid="{00000000-0005-0000-0000-000094600000}"/>
    <cellStyle name="Normal 2 2 5 18 3 5" xfId="24725" xr:uid="{00000000-0005-0000-0000-000095600000}"/>
    <cellStyle name="Normal 2 2 5 18 3 6" xfId="24726" xr:uid="{00000000-0005-0000-0000-000096600000}"/>
    <cellStyle name="Normal 2 2 5 18 3 7" xfId="24727" xr:uid="{00000000-0005-0000-0000-000097600000}"/>
    <cellStyle name="Normal 2 2 5 18 3 8" xfId="24728" xr:uid="{00000000-0005-0000-0000-000098600000}"/>
    <cellStyle name="Normal 2 2 5 18 3 9" xfId="24729" xr:uid="{00000000-0005-0000-0000-000099600000}"/>
    <cellStyle name="Normal 2 2 5 18 4" xfId="24730" xr:uid="{00000000-0005-0000-0000-00009A600000}"/>
    <cellStyle name="Normal 2 2 5 18 4 10" xfId="24731" xr:uid="{00000000-0005-0000-0000-00009B600000}"/>
    <cellStyle name="Normal 2 2 5 18 4 2" xfId="24732" xr:uid="{00000000-0005-0000-0000-00009C600000}"/>
    <cellStyle name="Normal 2 2 5 18 4 3" xfId="24733" xr:uid="{00000000-0005-0000-0000-00009D600000}"/>
    <cellStyle name="Normal 2 2 5 18 4 4" xfId="24734" xr:uid="{00000000-0005-0000-0000-00009E600000}"/>
    <cellStyle name="Normal 2 2 5 18 4 5" xfId="24735" xr:uid="{00000000-0005-0000-0000-00009F600000}"/>
    <cellStyle name="Normal 2 2 5 18 4 6" xfId="24736" xr:uid="{00000000-0005-0000-0000-0000A0600000}"/>
    <cellStyle name="Normal 2 2 5 18 4 7" xfId="24737" xr:uid="{00000000-0005-0000-0000-0000A1600000}"/>
    <cellStyle name="Normal 2 2 5 18 4 8" xfId="24738" xr:uid="{00000000-0005-0000-0000-0000A2600000}"/>
    <cellStyle name="Normal 2 2 5 18 4 9" xfId="24739" xr:uid="{00000000-0005-0000-0000-0000A3600000}"/>
    <cellStyle name="Normal 2 2 5 18 5" xfId="24740" xr:uid="{00000000-0005-0000-0000-0000A4600000}"/>
    <cellStyle name="Normal 2 2 5 18 5 10" xfId="24741" xr:uid="{00000000-0005-0000-0000-0000A5600000}"/>
    <cellStyle name="Normal 2 2 5 18 5 2" xfId="24742" xr:uid="{00000000-0005-0000-0000-0000A6600000}"/>
    <cellStyle name="Normal 2 2 5 18 5 3" xfId="24743" xr:uid="{00000000-0005-0000-0000-0000A7600000}"/>
    <cellStyle name="Normal 2 2 5 18 5 4" xfId="24744" xr:uid="{00000000-0005-0000-0000-0000A8600000}"/>
    <cellStyle name="Normal 2 2 5 18 5 5" xfId="24745" xr:uid="{00000000-0005-0000-0000-0000A9600000}"/>
    <cellStyle name="Normal 2 2 5 18 5 6" xfId="24746" xr:uid="{00000000-0005-0000-0000-0000AA600000}"/>
    <cellStyle name="Normal 2 2 5 18 5 7" xfId="24747" xr:uid="{00000000-0005-0000-0000-0000AB600000}"/>
    <cellStyle name="Normal 2 2 5 18 5 8" xfId="24748" xr:uid="{00000000-0005-0000-0000-0000AC600000}"/>
    <cellStyle name="Normal 2 2 5 18 5 9" xfId="24749" xr:uid="{00000000-0005-0000-0000-0000AD600000}"/>
    <cellStyle name="Normal 2 2 5 18 6" xfId="24750" xr:uid="{00000000-0005-0000-0000-0000AE600000}"/>
    <cellStyle name="Normal 2 2 5 18 7" xfId="24751" xr:uid="{00000000-0005-0000-0000-0000AF600000}"/>
    <cellStyle name="Normal 2 2 5 18 8" xfId="24752" xr:uid="{00000000-0005-0000-0000-0000B0600000}"/>
    <cellStyle name="Normal 2 2 5 18 9" xfId="24753" xr:uid="{00000000-0005-0000-0000-0000B1600000}"/>
    <cellStyle name="Normal 2 2 5 19" xfId="24754" xr:uid="{00000000-0005-0000-0000-0000B2600000}"/>
    <cellStyle name="Normal 2 2 5 19 10" xfId="24755" xr:uid="{00000000-0005-0000-0000-0000B3600000}"/>
    <cellStyle name="Normal 2 2 5 19 11" xfId="24756" xr:uid="{00000000-0005-0000-0000-0000B4600000}"/>
    <cellStyle name="Normal 2 2 5 19 12" xfId="24757" xr:uid="{00000000-0005-0000-0000-0000B5600000}"/>
    <cellStyle name="Normal 2 2 5 19 13" xfId="24758" xr:uid="{00000000-0005-0000-0000-0000B6600000}"/>
    <cellStyle name="Normal 2 2 5 19 14" xfId="24759" xr:uid="{00000000-0005-0000-0000-0000B7600000}"/>
    <cellStyle name="Normal 2 2 5 19 2" xfId="24760" xr:uid="{00000000-0005-0000-0000-0000B8600000}"/>
    <cellStyle name="Normal 2 2 5 19 2 10" xfId="24761" xr:uid="{00000000-0005-0000-0000-0000B9600000}"/>
    <cellStyle name="Normal 2 2 5 19 2 2" xfId="24762" xr:uid="{00000000-0005-0000-0000-0000BA600000}"/>
    <cellStyle name="Normal 2 2 5 19 2 3" xfId="24763" xr:uid="{00000000-0005-0000-0000-0000BB600000}"/>
    <cellStyle name="Normal 2 2 5 19 2 4" xfId="24764" xr:uid="{00000000-0005-0000-0000-0000BC600000}"/>
    <cellStyle name="Normal 2 2 5 19 2 5" xfId="24765" xr:uid="{00000000-0005-0000-0000-0000BD600000}"/>
    <cellStyle name="Normal 2 2 5 19 2 6" xfId="24766" xr:uid="{00000000-0005-0000-0000-0000BE600000}"/>
    <cellStyle name="Normal 2 2 5 19 2 7" xfId="24767" xr:uid="{00000000-0005-0000-0000-0000BF600000}"/>
    <cellStyle name="Normal 2 2 5 19 2 8" xfId="24768" xr:uid="{00000000-0005-0000-0000-0000C0600000}"/>
    <cellStyle name="Normal 2 2 5 19 2 9" xfId="24769" xr:uid="{00000000-0005-0000-0000-0000C1600000}"/>
    <cellStyle name="Normal 2 2 5 19 3" xfId="24770" xr:uid="{00000000-0005-0000-0000-0000C2600000}"/>
    <cellStyle name="Normal 2 2 5 19 3 10" xfId="24771" xr:uid="{00000000-0005-0000-0000-0000C3600000}"/>
    <cellStyle name="Normal 2 2 5 19 3 2" xfId="24772" xr:uid="{00000000-0005-0000-0000-0000C4600000}"/>
    <cellStyle name="Normal 2 2 5 19 3 3" xfId="24773" xr:uid="{00000000-0005-0000-0000-0000C5600000}"/>
    <cellStyle name="Normal 2 2 5 19 3 4" xfId="24774" xr:uid="{00000000-0005-0000-0000-0000C6600000}"/>
    <cellStyle name="Normal 2 2 5 19 3 5" xfId="24775" xr:uid="{00000000-0005-0000-0000-0000C7600000}"/>
    <cellStyle name="Normal 2 2 5 19 3 6" xfId="24776" xr:uid="{00000000-0005-0000-0000-0000C8600000}"/>
    <cellStyle name="Normal 2 2 5 19 3 7" xfId="24777" xr:uid="{00000000-0005-0000-0000-0000C9600000}"/>
    <cellStyle name="Normal 2 2 5 19 3 8" xfId="24778" xr:uid="{00000000-0005-0000-0000-0000CA600000}"/>
    <cellStyle name="Normal 2 2 5 19 3 9" xfId="24779" xr:uid="{00000000-0005-0000-0000-0000CB600000}"/>
    <cellStyle name="Normal 2 2 5 19 4" xfId="24780" xr:uid="{00000000-0005-0000-0000-0000CC600000}"/>
    <cellStyle name="Normal 2 2 5 19 4 10" xfId="24781" xr:uid="{00000000-0005-0000-0000-0000CD600000}"/>
    <cellStyle name="Normal 2 2 5 19 4 2" xfId="24782" xr:uid="{00000000-0005-0000-0000-0000CE600000}"/>
    <cellStyle name="Normal 2 2 5 19 4 3" xfId="24783" xr:uid="{00000000-0005-0000-0000-0000CF600000}"/>
    <cellStyle name="Normal 2 2 5 19 4 4" xfId="24784" xr:uid="{00000000-0005-0000-0000-0000D0600000}"/>
    <cellStyle name="Normal 2 2 5 19 4 5" xfId="24785" xr:uid="{00000000-0005-0000-0000-0000D1600000}"/>
    <cellStyle name="Normal 2 2 5 19 4 6" xfId="24786" xr:uid="{00000000-0005-0000-0000-0000D2600000}"/>
    <cellStyle name="Normal 2 2 5 19 4 7" xfId="24787" xr:uid="{00000000-0005-0000-0000-0000D3600000}"/>
    <cellStyle name="Normal 2 2 5 19 4 8" xfId="24788" xr:uid="{00000000-0005-0000-0000-0000D4600000}"/>
    <cellStyle name="Normal 2 2 5 19 4 9" xfId="24789" xr:uid="{00000000-0005-0000-0000-0000D5600000}"/>
    <cellStyle name="Normal 2 2 5 19 5" xfId="24790" xr:uid="{00000000-0005-0000-0000-0000D6600000}"/>
    <cellStyle name="Normal 2 2 5 19 5 10" xfId="24791" xr:uid="{00000000-0005-0000-0000-0000D7600000}"/>
    <cellStyle name="Normal 2 2 5 19 5 2" xfId="24792" xr:uid="{00000000-0005-0000-0000-0000D8600000}"/>
    <cellStyle name="Normal 2 2 5 19 5 3" xfId="24793" xr:uid="{00000000-0005-0000-0000-0000D9600000}"/>
    <cellStyle name="Normal 2 2 5 19 5 4" xfId="24794" xr:uid="{00000000-0005-0000-0000-0000DA600000}"/>
    <cellStyle name="Normal 2 2 5 19 5 5" xfId="24795" xr:uid="{00000000-0005-0000-0000-0000DB600000}"/>
    <cellStyle name="Normal 2 2 5 19 5 6" xfId="24796" xr:uid="{00000000-0005-0000-0000-0000DC600000}"/>
    <cellStyle name="Normal 2 2 5 19 5 7" xfId="24797" xr:uid="{00000000-0005-0000-0000-0000DD600000}"/>
    <cellStyle name="Normal 2 2 5 19 5 8" xfId="24798" xr:uid="{00000000-0005-0000-0000-0000DE600000}"/>
    <cellStyle name="Normal 2 2 5 19 5 9" xfId="24799" xr:uid="{00000000-0005-0000-0000-0000DF600000}"/>
    <cellStyle name="Normal 2 2 5 19 6" xfId="24800" xr:uid="{00000000-0005-0000-0000-0000E0600000}"/>
    <cellStyle name="Normal 2 2 5 19 7" xfId="24801" xr:uid="{00000000-0005-0000-0000-0000E1600000}"/>
    <cellStyle name="Normal 2 2 5 19 8" xfId="24802" xr:uid="{00000000-0005-0000-0000-0000E2600000}"/>
    <cellStyle name="Normal 2 2 5 19 9" xfId="24803" xr:uid="{00000000-0005-0000-0000-0000E3600000}"/>
    <cellStyle name="Normal 2 2 5 2" xfId="24804" xr:uid="{00000000-0005-0000-0000-0000E4600000}"/>
    <cellStyle name="Normal 2 2 5 2 10" xfId="24805" xr:uid="{00000000-0005-0000-0000-0000E5600000}"/>
    <cellStyle name="Normal 2 2 5 2 11" xfId="24806" xr:uid="{00000000-0005-0000-0000-0000E6600000}"/>
    <cellStyle name="Normal 2 2 5 2 12" xfId="24807" xr:uid="{00000000-0005-0000-0000-0000E7600000}"/>
    <cellStyle name="Normal 2 2 5 2 13" xfId="24808" xr:uid="{00000000-0005-0000-0000-0000E8600000}"/>
    <cellStyle name="Normal 2 2 5 2 14" xfId="24809" xr:uid="{00000000-0005-0000-0000-0000E9600000}"/>
    <cellStyle name="Normal 2 2 5 2 15" xfId="24810" xr:uid="{00000000-0005-0000-0000-0000EA600000}"/>
    <cellStyle name="Normal 2 2 5 2 16" xfId="24811" xr:uid="{00000000-0005-0000-0000-0000EB600000}"/>
    <cellStyle name="Normal 2 2 5 2 17" xfId="24812" xr:uid="{00000000-0005-0000-0000-0000EC600000}"/>
    <cellStyle name="Normal 2 2 5 2 18" xfId="24813" xr:uid="{00000000-0005-0000-0000-0000ED600000}"/>
    <cellStyle name="Normal 2 2 5 2 19" xfId="24814" xr:uid="{00000000-0005-0000-0000-0000EE600000}"/>
    <cellStyle name="Normal 2 2 5 2 2" xfId="24815" xr:uid="{00000000-0005-0000-0000-0000EF600000}"/>
    <cellStyle name="Normal 2 2 5 2 20" xfId="24816" xr:uid="{00000000-0005-0000-0000-0000F0600000}"/>
    <cellStyle name="Normal 2 2 5 2 21" xfId="24817" xr:uid="{00000000-0005-0000-0000-0000F1600000}"/>
    <cellStyle name="Normal 2 2 5 2 21 10" xfId="24818" xr:uid="{00000000-0005-0000-0000-0000F2600000}"/>
    <cellStyle name="Normal 2 2 5 2 21 2" xfId="24819" xr:uid="{00000000-0005-0000-0000-0000F3600000}"/>
    <cellStyle name="Normal 2 2 5 2 21 3" xfId="24820" xr:uid="{00000000-0005-0000-0000-0000F4600000}"/>
    <cellStyle name="Normal 2 2 5 2 21 4" xfId="24821" xr:uid="{00000000-0005-0000-0000-0000F5600000}"/>
    <cellStyle name="Normal 2 2 5 2 21 5" xfId="24822" xr:uid="{00000000-0005-0000-0000-0000F6600000}"/>
    <cellStyle name="Normal 2 2 5 2 21 6" xfId="24823" xr:uid="{00000000-0005-0000-0000-0000F7600000}"/>
    <cellStyle name="Normal 2 2 5 2 21 7" xfId="24824" xr:uid="{00000000-0005-0000-0000-0000F8600000}"/>
    <cellStyle name="Normal 2 2 5 2 21 8" xfId="24825" xr:uid="{00000000-0005-0000-0000-0000F9600000}"/>
    <cellStyle name="Normal 2 2 5 2 21 9" xfId="24826" xr:uid="{00000000-0005-0000-0000-0000FA600000}"/>
    <cellStyle name="Normal 2 2 5 2 22" xfId="24827" xr:uid="{00000000-0005-0000-0000-0000FB600000}"/>
    <cellStyle name="Normal 2 2 5 2 22 10" xfId="24828" xr:uid="{00000000-0005-0000-0000-0000FC600000}"/>
    <cellStyle name="Normal 2 2 5 2 22 2" xfId="24829" xr:uid="{00000000-0005-0000-0000-0000FD600000}"/>
    <cellStyle name="Normal 2 2 5 2 22 3" xfId="24830" xr:uid="{00000000-0005-0000-0000-0000FE600000}"/>
    <cellStyle name="Normal 2 2 5 2 22 4" xfId="24831" xr:uid="{00000000-0005-0000-0000-0000FF600000}"/>
    <cellStyle name="Normal 2 2 5 2 22 5" xfId="24832" xr:uid="{00000000-0005-0000-0000-000000610000}"/>
    <cellStyle name="Normal 2 2 5 2 22 6" xfId="24833" xr:uid="{00000000-0005-0000-0000-000001610000}"/>
    <cellStyle name="Normal 2 2 5 2 22 7" xfId="24834" xr:uid="{00000000-0005-0000-0000-000002610000}"/>
    <cellStyle name="Normal 2 2 5 2 22 8" xfId="24835" xr:uid="{00000000-0005-0000-0000-000003610000}"/>
    <cellStyle name="Normal 2 2 5 2 22 9" xfId="24836" xr:uid="{00000000-0005-0000-0000-000004610000}"/>
    <cellStyle name="Normal 2 2 5 2 23" xfId="24837" xr:uid="{00000000-0005-0000-0000-000005610000}"/>
    <cellStyle name="Normal 2 2 5 2 23 10" xfId="24838" xr:uid="{00000000-0005-0000-0000-000006610000}"/>
    <cellStyle name="Normal 2 2 5 2 23 2" xfId="24839" xr:uid="{00000000-0005-0000-0000-000007610000}"/>
    <cellStyle name="Normal 2 2 5 2 23 3" xfId="24840" xr:uid="{00000000-0005-0000-0000-000008610000}"/>
    <cellStyle name="Normal 2 2 5 2 23 4" xfId="24841" xr:uid="{00000000-0005-0000-0000-000009610000}"/>
    <cellStyle name="Normal 2 2 5 2 23 5" xfId="24842" xr:uid="{00000000-0005-0000-0000-00000A610000}"/>
    <cellStyle name="Normal 2 2 5 2 23 6" xfId="24843" xr:uid="{00000000-0005-0000-0000-00000B610000}"/>
    <cellStyle name="Normal 2 2 5 2 23 7" xfId="24844" xr:uid="{00000000-0005-0000-0000-00000C610000}"/>
    <cellStyle name="Normal 2 2 5 2 23 8" xfId="24845" xr:uid="{00000000-0005-0000-0000-00000D610000}"/>
    <cellStyle name="Normal 2 2 5 2 23 9" xfId="24846" xr:uid="{00000000-0005-0000-0000-00000E610000}"/>
    <cellStyle name="Normal 2 2 5 2 24" xfId="24847" xr:uid="{00000000-0005-0000-0000-00000F610000}"/>
    <cellStyle name="Normal 2 2 5 2 24 10" xfId="24848" xr:uid="{00000000-0005-0000-0000-000010610000}"/>
    <cellStyle name="Normal 2 2 5 2 24 2" xfId="24849" xr:uid="{00000000-0005-0000-0000-000011610000}"/>
    <cellStyle name="Normal 2 2 5 2 24 3" xfId="24850" xr:uid="{00000000-0005-0000-0000-000012610000}"/>
    <cellStyle name="Normal 2 2 5 2 24 4" xfId="24851" xr:uid="{00000000-0005-0000-0000-000013610000}"/>
    <cellStyle name="Normal 2 2 5 2 24 5" xfId="24852" xr:uid="{00000000-0005-0000-0000-000014610000}"/>
    <cellStyle name="Normal 2 2 5 2 24 6" xfId="24853" xr:uid="{00000000-0005-0000-0000-000015610000}"/>
    <cellStyle name="Normal 2 2 5 2 24 7" xfId="24854" xr:uid="{00000000-0005-0000-0000-000016610000}"/>
    <cellStyle name="Normal 2 2 5 2 24 8" xfId="24855" xr:uid="{00000000-0005-0000-0000-000017610000}"/>
    <cellStyle name="Normal 2 2 5 2 24 9" xfId="24856" xr:uid="{00000000-0005-0000-0000-000018610000}"/>
    <cellStyle name="Normal 2 2 5 2 25" xfId="24857" xr:uid="{00000000-0005-0000-0000-000019610000}"/>
    <cellStyle name="Normal 2 2 5 2 26" xfId="24858" xr:uid="{00000000-0005-0000-0000-00001A610000}"/>
    <cellStyle name="Normal 2 2 5 2 27" xfId="24859" xr:uid="{00000000-0005-0000-0000-00001B610000}"/>
    <cellStyle name="Normal 2 2 5 2 28" xfId="24860" xr:uid="{00000000-0005-0000-0000-00001C610000}"/>
    <cellStyle name="Normal 2 2 5 2 29" xfId="24861" xr:uid="{00000000-0005-0000-0000-00001D610000}"/>
    <cellStyle name="Normal 2 2 5 2 3" xfId="24862" xr:uid="{00000000-0005-0000-0000-00001E610000}"/>
    <cellStyle name="Normal 2 2 5 2 30" xfId="24863" xr:uid="{00000000-0005-0000-0000-00001F610000}"/>
    <cellStyle name="Normal 2 2 5 2 31" xfId="24864" xr:uid="{00000000-0005-0000-0000-000020610000}"/>
    <cellStyle name="Normal 2 2 5 2 32" xfId="24865" xr:uid="{00000000-0005-0000-0000-000021610000}"/>
    <cellStyle name="Normal 2 2 5 2 33" xfId="24866" xr:uid="{00000000-0005-0000-0000-000022610000}"/>
    <cellStyle name="Normal 2 2 5 2 4" xfId="24867" xr:uid="{00000000-0005-0000-0000-000023610000}"/>
    <cellStyle name="Normal 2 2 5 2 5" xfId="24868" xr:uid="{00000000-0005-0000-0000-000024610000}"/>
    <cellStyle name="Normal 2 2 5 2 6" xfId="24869" xr:uid="{00000000-0005-0000-0000-000025610000}"/>
    <cellStyle name="Normal 2 2 5 2 7" xfId="24870" xr:uid="{00000000-0005-0000-0000-000026610000}"/>
    <cellStyle name="Normal 2 2 5 2 8" xfId="24871" xr:uid="{00000000-0005-0000-0000-000027610000}"/>
    <cellStyle name="Normal 2 2 5 2 9" xfId="24872" xr:uid="{00000000-0005-0000-0000-000028610000}"/>
    <cellStyle name="Normal 2 2 5 20" xfId="24873" xr:uid="{00000000-0005-0000-0000-000029610000}"/>
    <cellStyle name="Normal 2 2 5 20 10" xfId="24874" xr:uid="{00000000-0005-0000-0000-00002A610000}"/>
    <cellStyle name="Normal 2 2 5 20 11" xfId="24875" xr:uid="{00000000-0005-0000-0000-00002B610000}"/>
    <cellStyle name="Normal 2 2 5 20 12" xfId="24876" xr:uid="{00000000-0005-0000-0000-00002C610000}"/>
    <cellStyle name="Normal 2 2 5 20 13" xfId="24877" xr:uid="{00000000-0005-0000-0000-00002D610000}"/>
    <cellStyle name="Normal 2 2 5 20 14" xfId="24878" xr:uid="{00000000-0005-0000-0000-00002E610000}"/>
    <cellStyle name="Normal 2 2 5 20 2" xfId="24879" xr:uid="{00000000-0005-0000-0000-00002F610000}"/>
    <cellStyle name="Normal 2 2 5 20 2 10" xfId="24880" xr:uid="{00000000-0005-0000-0000-000030610000}"/>
    <cellStyle name="Normal 2 2 5 20 2 2" xfId="24881" xr:uid="{00000000-0005-0000-0000-000031610000}"/>
    <cellStyle name="Normal 2 2 5 20 2 3" xfId="24882" xr:uid="{00000000-0005-0000-0000-000032610000}"/>
    <cellStyle name="Normal 2 2 5 20 2 4" xfId="24883" xr:uid="{00000000-0005-0000-0000-000033610000}"/>
    <cellStyle name="Normal 2 2 5 20 2 5" xfId="24884" xr:uid="{00000000-0005-0000-0000-000034610000}"/>
    <cellStyle name="Normal 2 2 5 20 2 6" xfId="24885" xr:uid="{00000000-0005-0000-0000-000035610000}"/>
    <cellStyle name="Normal 2 2 5 20 2 7" xfId="24886" xr:uid="{00000000-0005-0000-0000-000036610000}"/>
    <cellStyle name="Normal 2 2 5 20 2 8" xfId="24887" xr:uid="{00000000-0005-0000-0000-000037610000}"/>
    <cellStyle name="Normal 2 2 5 20 2 9" xfId="24888" xr:uid="{00000000-0005-0000-0000-000038610000}"/>
    <cellStyle name="Normal 2 2 5 20 3" xfId="24889" xr:uid="{00000000-0005-0000-0000-000039610000}"/>
    <cellStyle name="Normal 2 2 5 20 3 10" xfId="24890" xr:uid="{00000000-0005-0000-0000-00003A610000}"/>
    <cellStyle name="Normal 2 2 5 20 3 2" xfId="24891" xr:uid="{00000000-0005-0000-0000-00003B610000}"/>
    <cellStyle name="Normal 2 2 5 20 3 3" xfId="24892" xr:uid="{00000000-0005-0000-0000-00003C610000}"/>
    <cellStyle name="Normal 2 2 5 20 3 4" xfId="24893" xr:uid="{00000000-0005-0000-0000-00003D610000}"/>
    <cellStyle name="Normal 2 2 5 20 3 5" xfId="24894" xr:uid="{00000000-0005-0000-0000-00003E610000}"/>
    <cellStyle name="Normal 2 2 5 20 3 6" xfId="24895" xr:uid="{00000000-0005-0000-0000-00003F610000}"/>
    <cellStyle name="Normal 2 2 5 20 3 7" xfId="24896" xr:uid="{00000000-0005-0000-0000-000040610000}"/>
    <cellStyle name="Normal 2 2 5 20 3 8" xfId="24897" xr:uid="{00000000-0005-0000-0000-000041610000}"/>
    <cellStyle name="Normal 2 2 5 20 3 9" xfId="24898" xr:uid="{00000000-0005-0000-0000-000042610000}"/>
    <cellStyle name="Normal 2 2 5 20 4" xfId="24899" xr:uid="{00000000-0005-0000-0000-000043610000}"/>
    <cellStyle name="Normal 2 2 5 20 4 10" xfId="24900" xr:uid="{00000000-0005-0000-0000-000044610000}"/>
    <cellStyle name="Normal 2 2 5 20 4 2" xfId="24901" xr:uid="{00000000-0005-0000-0000-000045610000}"/>
    <cellStyle name="Normal 2 2 5 20 4 3" xfId="24902" xr:uid="{00000000-0005-0000-0000-000046610000}"/>
    <cellStyle name="Normal 2 2 5 20 4 4" xfId="24903" xr:uid="{00000000-0005-0000-0000-000047610000}"/>
    <cellStyle name="Normal 2 2 5 20 4 5" xfId="24904" xr:uid="{00000000-0005-0000-0000-000048610000}"/>
    <cellStyle name="Normal 2 2 5 20 4 6" xfId="24905" xr:uid="{00000000-0005-0000-0000-000049610000}"/>
    <cellStyle name="Normal 2 2 5 20 4 7" xfId="24906" xr:uid="{00000000-0005-0000-0000-00004A610000}"/>
    <cellStyle name="Normal 2 2 5 20 4 8" xfId="24907" xr:uid="{00000000-0005-0000-0000-00004B610000}"/>
    <cellStyle name="Normal 2 2 5 20 4 9" xfId="24908" xr:uid="{00000000-0005-0000-0000-00004C610000}"/>
    <cellStyle name="Normal 2 2 5 20 5" xfId="24909" xr:uid="{00000000-0005-0000-0000-00004D610000}"/>
    <cellStyle name="Normal 2 2 5 20 5 10" xfId="24910" xr:uid="{00000000-0005-0000-0000-00004E610000}"/>
    <cellStyle name="Normal 2 2 5 20 5 2" xfId="24911" xr:uid="{00000000-0005-0000-0000-00004F610000}"/>
    <cellStyle name="Normal 2 2 5 20 5 3" xfId="24912" xr:uid="{00000000-0005-0000-0000-000050610000}"/>
    <cellStyle name="Normal 2 2 5 20 5 4" xfId="24913" xr:uid="{00000000-0005-0000-0000-000051610000}"/>
    <cellStyle name="Normal 2 2 5 20 5 5" xfId="24914" xr:uid="{00000000-0005-0000-0000-000052610000}"/>
    <cellStyle name="Normal 2 2 5 20 5 6" xfId="24915" xr:uid="{00000000-0005-0000-0000-000053610000}"/>
    <cellStyle name="Normal 2 2 5 20 5 7" xfId="24916" xr:uid="{00000000-0005-0000-0000-000054610000}"/>
    <cellStyle name="Normal 2 2 5 20 5 8" xfId="24917" xr:uid="{00000000-0005-0000-0000-000055610000}"/>
    <cellStyle name="Normal 2 2 5 20 5 9" xfId="24918" xr:uid="{00000000-0005-0000-0000-000056610000}"/>
    <cellStyle name="Normal 2 2 5 20 6" xfId="24919" xr:uid="{00000000-0005-0000-0000-000057610000}"/>
    <cellStyle name="Normal 2 2 5 20 7" xfId="24920" xr:uid="{00000000-0005-0000-0000-000058610000}"/>
    <cellStyle name="Normal 2 2 5 20 8" xfId="24921" xr:uid="{00000000-0005-0000-0000-000059610000}"/>
    <cellStyle name="Normal 2 2 5 20 9" xfId="24922" xr:uid="{00000000-0005-0000-0000-00005A610000}"/>
    <cellStyle name="Normal 2 2 5 21" xfId="24923" xr:uid="{00000000-0005-0000-0000-00005B610000}"/>
    <cellStyle name="Normal 2 2 5 22" xfId="24924" xr:uid="{00000000-0005-0000-0000-00005C610000}"/>
    <cellStyle name="Normal 2 2 5 23" xfId="24925" xr:uid="{00000000-0005-0000-0000-00005D610000}"/>
    <cellStyle name="Normal 2 2 5 3" xfId="24926" xr:uid="{00000000-0005-0000-0000-00005E610000}"/>
    <cellStyle name="Normal 2 2 5 3 10" xfId="24927" xr:uid="{00000000-0005-0000-0000-00005F610000}"/>
    <cellStyle name="Normal 2 2 5 3 11" xfId="24928" xr:uid="{00000000-0005-0000-0000-000060610000}"/>
    <cellStyle name="Normal 2 2 5 3 12" xfId="24929" xr:uid="{00000000-0005-0000-0000-000061610000}"/>
    <cellStyle name="Normal 2 2 5 3 13" xfId="24930" xr:uid="{00000000-0005-0000-0000-000062610000}"/>
    <cellStyle name="Normal 2 2 5 3 14" xfId="24931" xr:uid="{00000000-0005-0000-0000-000063610000}"/>
    <cellStyle name="Normal 2 2 5 3 2" xfId="24932" xr:uid="{00000000-0005-0000-0000-000064610000}"/>
    <cellStyle name="Normal 2 2 5 3 2 10" xfId="24933" xr:uid="{00000000-0005-0000-0000-000065610000}"/>
    <cellStyle name="Normal 2 2 5 3 2 2" xfId="24934" xr:uid="{00000000-0005-0000-0000-000066610000}"/>
    <cellStyle name="Normal 2 2 5 3 2 3" xfId="24935" xr:uid="{00000000-0005-0000-0000-000067610000}"/>
    <cellStyle name="Normal 2 2 5 3 2 4" xfId="24936" xr:uid="{00000000-0005-0000-0000-000068610000}"/>
    <cellStyle name="Normal 2 2 5 3 2 5" xfId="24937" xr:uid="{00000000-0005-0000-0000-000069610000}"/>
    <cellStyle name="Normal 2 2 5 3 2 6" xfId="24938" xr:uid="{00000000-0005-0000-0000-00006A610000}"/>
    <cellStyle name="Normal 2 2 5 3 2 7" xfId="24939" xr:uid="{00000000-0005-0000-0000-00006B610000}"/>
    <cellStyle name="Normal 2 2 5 3 2 8" xfId="24940" xr:uid="{00000000-0005-0000-0000-00006C610000}"/>
    <cellStyle name="Normal 2 2 5 3 2 9" xfId="24941" xr:uid="{00000000-0005-0000-0000-00006D610000}"/>
    <cellStyle name="Normal 2 2 5 3 3" xfId="24942" xr:uid="{00000000-0005-0000-0000-00006E610000}"/>
    <cellStyle name="Normal 2 2 5 3 3 10" xfId="24943" xr:uid="{00000000-0005-0000-0000-00006F610000}"/>
    <cellStyle name="Normal 2 2 5 3 3 2" xfId="24944" xr:uid="{00000000-0005-0000-0000-000070610000}"/>
    <cellStyle name="Normal 2 2 5 3 3 3" xfId="24945" xr:uid="{00000000-0005-0000-0000-000071610000}"/>
    <cellStyle name="Normal 2 2 5 3 3 4" xfId="24946" xr:uid="{00000000-0005-0000-0000-000072610000}"/>
    <cellStyle name="Normal 2 2 5 3 3 5" xfId="24947" xr:uid="{00000000-0005-0000-0000-000073610000}"/>
    <cellStyle name="Normal 2 2 5 3 3 6" xfId="24948" xr:uid="{00000000-0005-0000-0000-000074610000}"/>
    <cellStyle name="Normal 2 2 5 3 3 7" xfId="24949" xr:uid="{00000000-0005-0000-0000-000075610000}"/>
    <cellStyle name="Normal 2 2 5 3 3 8" xfId="24950" xr:uid="{00000000-0005-0000-0000-000076610000}"/>
    <cellStyle name="Normal 2 2 5 3 3 9" xfId="24951" xr:uid="{00000000-0005-0000-0000-000077610000}"/>
    <cellStyle name="Normal 2 2 5 3 4" xfId="24952" xr:uid="{00000000-0005-0000-0000-000078610000}"/>
    <cellStyle name="Normal 2 2 5 3 4 10" xfId="24953" xr:uid="{00000000-0005-0000-0000-000079610000}"/>
    <cellStyle name="Normal 2 2 5 3 4 2" xfId="24954" xr:uid="{00000000-0005-0000-0000-00007A610000}"/>
    <cellStyle name="Normal 2 2 5 3 4 3" xfId="24955" xr:uid="{00000000-0005-0000-0000-00007B610000}"/>
    <cellStyle name="Normal 2 2 5 3 4 4" xfId="24956" xr:uid="{00000000-0005-0000-0000-00007C610000}"/>
    <cellStyle name="Normal 2 2 5 3 4 5" xfId="24957" xr:uid="{00000000-0005-0000-0000-00007D610000}"/>
    <cellStyle name="Normal 2 2 5 3 4 6" xfId="24958" xr:uid="{00000000-0005-0000-0000-00007E610000}"/>
    <cellStyle name="Normal 2 2 5 3 4 7" xfId="24959" xr:uid="{00000000-0005-0000-0000-00007F610000}"/>
    <cellStyle name="Normal 2 2 5 3 4 8" xfId="24960" xr:uid="{00000000-0005-0000-0000-000080610000}"/>
    <cellStyle name="Normal 2 2 5 3 4 9" xfId="24961" xr:uid="{00000000-0005-0000-0000-000081610000}"/>
    <cellStyle name="Normal 2 2 5 3 5" xfId="24962" xr:uid="{00000000-0005-0000-0000-000082610000}"/>
    <cellStyle name="Normal 2 2 5 3 5 10" xfId="24963" xr:uid="{00000000-0005-0000-0000-000083610000}"/>
    <cellStyle name="Normal 2 2 5 3 5 2" xfId="24964" xr:uid="{00000000-0005-0000-0000-000084610000}"/>
    <cellStyle name="Normal 2 2 5 3 5 3" xfId="24965" xr:uid="{00000000-0005-0000-0000-000085610000}"/>
    <cellStyle name="Normal 2 2 5 3 5 4" xfId="24966" xr:uid="{00000000-0005-0000-0000-000086610000}"/>
    <cellStyle name="Normal 2 2 5 3 5 5" xfId="24967" xr:uid="{00000000-0005-0000-0000-000087610000}"/>
    <cellStyle name="Normal 2 2 5 3 5 6" xfId="24968" xr:uid="{00000000-0005-0000-0000-000088610000}"/>
    <cellStyle name="Normal 2 2 5 3 5 7" xfId="24969" xr:uid="{00000000-0005-0000-0000-000089610000}"/>
    <cellStyle name="Normal 2 2 5 3 5 8" xfId="24970" xr:uid="{00000000-0005-0000-0000-00008A610000}"/>
    <cellStyle name="Normal 2 2 5 3 5 9" xfId="24971" xr:uid="{00000000-0005-0000-0000-00008B610000}"/>
    <cellStyle name="Normal 2 2 5 3 6" xfId="24972" xr:uid="{00000000-0005-0000-0000-00008C610000}"/>
    <cellStyle name="Normal 2 2 5 3 7" xfId="24973" xr:uid="{00000000-0005-0000-0000-00008D610000}"/>
    <cellStyle name="Normal 2 2 5 3 8" xfId="24974" xr:uid="{00000000-0005-0000-0000-00008E610000}"/>
    <cellStyle name="Normal 2 2 5 3 9" xfId="24975" xr:uid="{00000000-0005-0000-0000-00008F610000}"/>
    <cellStyle name="Normal 2 2 5 4" xfId="24976" xr:uid="{00000000-0005-0000-0000-000090610000}"/>
    <cellStyle name="Normal 2 2 5 4 10" xfId="24977" xr:uid="{00000000-0005-0000-0000-000091610000}"/>
    <cellStyle name="Normal 2 2 5 4 11" xfId="24978" xr:uid="{00000000-0005-0000-0000-000092610000}"/>
    <cellStyle name="Normal 2 2 5 4 12" xfId="24979" xr:uid="{00000000-0005-0000-0000-000093610000}"/>
    <cellStyle name="Normal 2 2 5 4 13" xfId="24980" xr:uid="{00000000-0005-0000-0000-000094610000}"/>
    <cellStyle name="Normal 2 2 5 4 14" xfId="24981" xr:uid="{00000000-0005-0000-0000-000095610000}"/>
    <cellStyle name="Normal 2 2 5 4 2" xfId="24982" xr:uid="{00000000-0005-0000-0000-000096610000}"/>
    <cellStyle name="Normal 2 2 5 4 2 10" xfId="24983" xr:uid="{00000000-0005-0000-0000-000097610000}"/>
    <cellStyle name="Normal 2 2 5 4 2 2" xfId="24984" xr:uid="{00000000-0005-0000-0000-000098610000}"/>
    <cellStyle name="Normal 2 2 5 4 2 3" xfId="24985" xr:uid="{00000000-0005-0000-0000-000099610000}"/>
    <cellStyle name="Normal 2 2 5 4 2 4" xfId="24986" xr:uid="{00000000-0005-0000-0000-00009A610000}"/>
    <cellStyle name="Normal 2 2 5 4 2 5" xfId="24987" xr:uid="{00000000-0005-0000-0000-00009B610000}"/>
    <cellStyle name="Normal 2 2 5 4 2 6" xfId="24988" xr:uid="{00000000-0005-0000-0000-00009C610000}"/>
    <cellStyle name="Normal 2 2 5 4 2 7" xfId="24989" xr:uid="{00000000-0005-0000-0000-00009D610000}"/>
    <cellStyle name="Normal 2 2 5 4 2 8" xfId="24990" xr:uid="{00000000-0005-0000-0000-00009E610000}"/>
    <cellStyle name="Normal 2 2 5 4 2 9" xfId="24991" xr:uid="{00000000-0005-0000-0000-00009F610000}"/>
    <cellStyle name="Normal 2 2 5 4 3" xfId="24992" xr:uid="{00000000-0005-0000-0000-0000A0610000}"/>
    <cellStyle name="Normal 2 2 5 4 3 10" xfId="24993" xr:uid="{00000000-0005-0000-0000-0000A1610000}"/>
    <cellStyle name="Normal 2 2 5 4 3 2" xfId="24994" xr:uid="{00000000-0005-0000-0000-0000A2610000}"/>
    <cellStyle name="Normal 2 2 5 4 3 3" xfId="24995" xr:uid="{00000000-0005-0000-0000-0000A3610000}"/>
    <cellStyle name="Normal 2 2 5 4 3 4" xfId="24996" xr:uid="{00000000-0005-0000-0000-0000A4610000}"/>
    <cellStyle name="Normal 2 2 5 4 3 5" xfId="24997" xr:uid="{00000000-0005-0000-0000-0000A5610000}"/>
    <cellStyle name="Normal 2 2 5 4 3 6" xfId="24998" xr:uid="{00000000-0005-0000-0000-0000A6610000}"/>
    <cellStyle name="Normal 2 2 5 4 3 7" xfId="24999" xr:uid="{00000000-0005-0000-0000-0000A7610000}"/>
    <cellStyle name="Normal 2 2 5 4 3 8" xfId="25000" xr:uid="{00000000-0005-0000-0000-0000A8610000}"/>
    <cellStyle name="Normal 2 2 5 4 3 9" xfId="25001" xr:uid="{00000000-0005-0000-0000-0000A9610000}"/>
    <cellStyle name="Normal 2 2 5 4 4" xfId="25002" xr:uid="{00000000-0005-0000-0000-0000AA610000}"/>
    <cellStyle name="Normal 2 2 5 4 4 10" xfId="25003" xr:uid="{00000000-0005-0000-0000-0000AB610000}"/>
    <cellStyle name="Normal 2 2 5 4 4 2" xfId="25004" xr:uid="{00000000-0005-0000-0000-0000AC610000}"/>
    <cellStyle name="Normal 2 2 5 4 4 3" xfId="25005" xr:uid="{00000000-0005-0000-0000-0000AD610000}"/>
    <cellStyle name="Normal 2 2 5 4 4 4" xfId="25006" xr:uid="{00000000-0005-0000-0000-0000AE610000}"/>
    <cellStyle name="Normal 2 2 5 4 4 5" xfId="25007" xr:uid="{00000000-0005-0000-0000-0000AF610000}"/>
    <cellStyle name="Normal 2 2 5 4 4 6" xfId="25008" xr:uid="{00000000-0005-0000-0000-0000B0610000}"/>
    <cellStyle name="Normal 2 2 5 4 4 7" xfId="25009" xr:uid="{00000000-0005-0000-0000-0000B1610000}"/>
    <cellStyle name="Normal 2 2 5 4 4 8" xfId="25010" xr:uid="{00000000-0005-0000-0000-0000B2610000}"/>
    <cellStyle name="Normal 2 2 5 4 4 9" xfId="25011" xr:uid="{00000000-0005-0000-0000-0000B3610000}"/>
    <cellStyle name="Normal 2 2 5 4 5" xfId="25012" xr:uid="{00000000-0005-0000-0000-0000B4610000}"/>
    <cellStyle name="Normal 2 2 5 4 5 10" xfId="25013" xr:uid="{00000000-0005-0000-0000-0000B5610000}"/>
    <cellStyle name="Normal 2 2 5 4 5 2" xfId="25014" xr:uid="{00000000-0005-0000-0000-0000B6610000}"/>
    <cellStyle name="Normal 2 2 5 4 5 3" xfId="25015" xr:uid="{00000000-0005-0000-0000-0000B7610000}"/>
    <cellStyle name="Normal 2 2 5 4 5 4" xfId="25016" xr:uid="{00000000-0005-0000-0000-0000B8610000}"/>
    <cellStyle name="Normal 2 2 5 4 5 5" xfId="25017" xr:uid="{00000000-0005-0000-0000-0000B9610000}"/>
    <cellStyle name="Normal 2 2 5 4 5 6" xfId="25018" xr:uid="{00000000-0005-0000-0000-0000BA610000}"/>
    <cellStyle name="Normal 2 2 5 4 5 7" xfId="25019" xr:uid="{00000000-0005-0000-0000-0000BB610000}"/>
    <cellStyle name="Normal 2 2 5 4 5 8" xfId="25020" xr:uid="{00000000-0005-0000-0000-0000BC610000}"/>
    <cellStyle name="Normal 2 2 5 4 5 9" xfId="25021" xr:uid="{00000000-0005-0000-0000-0000BD610000}"/>
    <cellStyle name="Normal 2 2 5 4 6" xfId="25022" xr:uid="{00000000-0005-0000-0000-0000BE610000}"/>
    <cellStyle name="Normal 2 2 5 4 7" xfId="25023" xr:uid="{00000000-0005-0000-0000-0000BF610000}"/>
    <cellStyle name="Normal 2 2 5 4 8" xfId="25024" xr:uid="{00000000-0005-0000-0000-0000C0610000}"/>
    <cellStyle name="Normal 2 2 5 4 9" xfId="25025" xr:uid="{00000000-0005-0000-0000-0000C1610000}"/>
    <cellStyle name="Normal 2 2 5 5" xfId="25026" xr:uid="{00000000-0005-0000-0000-0000C2610000}"/>
    <cellStyle name="Normal 2 2 5 5 10" xfId="25027" xr:uid="{00000000-0005-0000-0000-0000C3610000}"/>
    <cellStyle name="Normal 2 2 5 5 11" xfId="25028" xr:uid="{00000000-0005-0000-0000-0000C4610000}"/>
    <cellStyle name="Normal 2 2 5 5 12" xfId="25029" xr:uid="{00000000-0005-0000-0000-0000C5610000}"/>
    <cellStyle name="Normal 2 2 5 5 13" xfId="25030" xr:uid="{00000000-0005-0000-0000-0000C6610000}"/>
    <cellStyle name="Normal 2 2 5 5 14" xfId="25031" xr:uid="{00000000-0005-0000-0000-0000C7610000}"/>
    <cellStyle name="Normal 2 2 5 5 2" xfId="25032" xr:uid="{00000000-0005-0000-0000-0000C8610000}"/>
    <cellStyle name="Normal 2 2 5 5 2 10" xfId="25033" xr:uid="{00000000-0005-0000-0000-0000C9610000}"/>
    <cellStyle name="Normal 2 2 5 5 2 2" xfId="25034" xr:uid="{00000000-0005-0000-0000-0000CA610000}"/>
    <cellStyle name="Normal 2 2 5 5 2 3" xfId="25035" xr:uid="{00000000-0005-0000-0000-0000CB610000}"/>
    <cellStyle name="Normal 2 2 5 5 2 4" xfId="25036" xr:uid="{00000000-0005-0000-0000-0000CC610000}"/>
    <cellStyle name="Normal 2 2 5 5 2 5" xfId="25037" xr:uid="{00000000-0005-0000-0000-0000CD610000}"/>
    <cellStyle name="Normal 2 2 5 5 2 6" xfId="25038" xr:uid="{00000000-0005-0000-0000-0000CE610000}"/>
    <cellStyle name="Normal 2 2 5 5 2 7" xfId="25039" xr:uid="{00000000-0005-0000-0000-0000CF610000}"/>
    <cellStyle name="Normal 2 2 5 5 2 8" xfId="25040" xr:uid="{00000000-0005-0000-0000-0000D0610000}"/>
    <cellStyle name="Normal 2 2 5 5 2 9" xfId="25041" xr:uid="{00000000-0005-0000-0000-0000D1610000}"/>
    <cellStyle name="Normal 2 2 5 5 3" xfId="25042" xr:uid="{00000000-0005-0000-0000-0000D2610000}"/>
    <cellStyle name="Normal 2 2 5 5 3 10" xfId="25043" xr:uid="{00000000-0005-0000-0000-0000D3610000}"/>
    <cellStyle name="Normal 2 2 5 5 3 2" xfId="25044" xr:uid="{00000000-0005-0000-0000-0000D4610000}"/>
    <cellStyle name="Normal 2 2 5 5 3 3" xfId="25045" xr:uid="{00000000-0005-0000-0000-0000D5610000}"/>
    <cellStyle name="Normal 2 2 5 5 3 4" xfId="25046" xr:uid="{00000000-0005-0000-0000-0000D6610000}"/>
    <cellStyle name="Normal 2 2 5 5 3 5" xfId="25047" xr:uid="{00000000-0005-0000-0000-0000D7610000}"/>
    <cellStyle name="Normal 2 2 5 5 3 6" xfId="25048" xr:uid="{00000000-0005-0000-0000-0000D8610000}"/>
    <cellStyle name="Normal 2 2 5 5 3 7" xfId="25049" xr:uid="{00000000-0005-0000-0000-0000D9610000}"/>
    <cellStyle name="Normal 2 2 5 5 3 8" xfId="25050" xr:uid="{00000000-0005-0000-0000-0000DA610000}"/>
    <cellStyle name="Normal 2 2 5 5 3 9" xfId="25051" xr:uid="{00000000-0005-0000-0000-0000DB610000}"/>
    <cellStyle name="Normal 2 2 5 5 4" xfId="25052" xr:uid="{00000000-0005-0000-0000-0000DC610000}"/>
    <cellStyle name="Normal 2 2 5 5 4 10" xfId="25053" xr:uid="{00000000-0005-0000-0000-0000DD610000}"/>
    <cellStyle name="Normal 2 2 5 5 4 2" xfId="25054" xr:uid="{00000000-0005-0000-0000-0000DE610000}"/>
    <cellStyle name="Normal 2 2 5 5 4 3" xfId="25055" xr:uid="{00000000-0005-0000-0000-0000DF610000}"/>
    <cellStyle name="Normal 2 2 5 5 4 4" xfId="25056" xr:uid="{00000000-0005-0000-0000-0000E0610000}"/>
    <cellStyle name="Normal 2 2 5 5 4 5" xfId="25057" xr:uid="{00000000-0005-0000-0000-0000E1610000}"/>
    <cellStyle name="Normal 2 2 5 5 4 6" xfId="25058" xr:uid="{00000000-0005-0000-0000-0000E2610000}"/>
    <cellStyle name="Normal 2 2 5 5 4 7" xfId="25059" xr:uid="{00000000-0005-0000-0000-0000E3610000}"/>
    <cellStyle name="Normal 2 2 5 5 4 8" xfId="25060" xr:uid="{00000000-0005-0000-0000-0000E4610000}"/>
    <cellStyle name="Normal 2 2 5 5 4 9" xfId="25061" xr:uid="{00000000-0005-0000-0000-0000E5610000}"/>
    <cellStyle name="Normal 2 2 5 5 5" xfId="25062" xr:uid="{00000000-0005-0000-0000-0000E6610000}"/>
    <cellStyle name="Normal 2 2 5 5 5 10" xfId="25063" xr:uid="{00000000-0005-0000-0000-0000E7610000}"/>
    <cellStyle name="Normal 2 2 5 5 5 2" xfId="25064" xr:uid="{00000000-0005-0000-0000-0000E8610000}"/>
    <cellStyle name="Normal 2 2 5 5 5 3" xfId="25065" xr:uid="{00000000-0005-0000-0000-0000E9610000}"/>
    <cellStyle name="Normal 2 2 5 5 5 4" xfId="25066" xr:uid="{00000000-0005-0000-0000-0000EA610000}"/>
    <cellStyle name="Normal 2 2 5 5 5 5" xfId="25067" xr:uid="{00000000-0005-0000-0000-0000EB610000}"/>
    <cellStyle name="Normal 2 2 5 5 5 6" xfId="25068" xr:uid="{00000000-0005-0000-0000-0000EC610000}"/>
    <cellStyle name="Normal 2 2 5 5 5 7" xfId="25069" xr:uid="{00000000-0005-0000-0000-0000ED610000}"/>
    <cellStyle name="Normal 2 2 5 5 5 8" xfId="25070" xr:uid="{00000000-0005-0000-0000-0000EE610000}"/>
    <cellStyle name="Normal 2 2 5 5 5 9" xfId="25071" xr:uid="{00000000-0005-0000-0000-0000EF610000}"/>
    <cellStyle name="Normal 2 2 5 5 6" xfId="25072" xr:uid="{00000000-0005-0000-0000-0000F0610000}"/>
    <cellStyle name="Normal 2 2 5 5 7" xfId="25073" xr:uid="{00000000-0005-0000-0000-0000F1610000}"/>
    <cellStyle name="Normal 2 2 5 5 8" xfId="25074" xr:uid="{00000000-0005-0000-0000-0000F2610000}"/>
    <cellStyle name="Normal 2 2 5 5 9" xfId="25075" xr:uid="{00000000-0005-0000-0000-0000F3610000}"/>
    <cellStyle name="Normal 2 2 5 6" xfId="25076" xr:uid="{00000000-0005-0000-0000-0000F4610000}"/>
    <cellStyle name="Normal 2 2 5 6 10" xfId="25077" xr:uid="{00000000-0005-0000-0000-0000F5610000}"/>
    <cellStyle name="Normal 2 2 5 6 11" xfId="25078" xr:uid="{00000000-0005-0000-0000-0000F6610000}"/>
    <cellStyle name="Normal 2 2 5 6 12" xfId="25079" xr:uid="{00000000-0005-0000-0000-0000F7610000}"/>
    <cellStyle name="Normal 2 2 5 6 13" xfId="25080" xr:uid="{00000000-0005-0000-0000-0000F8610000}"/>
    <cellStyle name="Normal 2 2 5 6 14" xfId="25081" xr:uid="{00000000-0005-0000-0000-0000F9610000}"/>
    <cellStyle name="Normal 2 2 5 6 2" xfId="25082" xr:uid="{00000000-0005-0000-0000-0000FA610000}"/>
    <cellStyle name="Normal 2 2 5 6 2 10" xfId="25083" xr:uid="{00000000-0005-0000-0000-0000FB610000}"/>
    <cellStyle name="Normal 2 2 5 6 2 2" xfId="25084" xr:uid="{00000000-0005-0000-0000-0000FC610000}"/>
    <cellStyle name="Normal 2 2 5 6 2 3" xfId="25085" xr:uid="{00000000-0005-0000-0000-0000FD610000}"/>
    <cellStyle name="Normal 2 2 5 6 2 4" xfId="25086" xr:uid="{00000000-0005-0000-0000-0000FE610000}"/>
    <cellStyle name="Normal 2 2 5 6 2 5" xfId="25087" xr:uid="{00000000-0005-0000-0000-0000FF610000}"/>
    <cellStyle name="Normal 2 2 5 6 2 6" xfId="25088" xr:uid="{00000000-0005-0000-0000-000000620000}"/>
    <cellStyle name="Normal 2 2 5 6 2 7" xfId="25089" xr:uid="{00000000-0005-0000-0000-000001620000}"/>
    <cellStyle name="Normal 2 2 5 6 2 8" xfId="25090" xr:uid="{00000000-0005-0000-0000-000002620000}"/>
    <cellStyle name="Normal 2 2 5 6 2 9" xfId="25091" xr:uid="{00000000-0005-0000-0000-000003620000}"/>
    <cellStyle name="Normal 2 2 5 6 3" xfId="25092" xr:uid="{00000000-0005-0000-0000-000004620000}"/>
    <cellStyle name="Normal 2 2 5 6 3 10" xfId="25093" xr:uid="{00000000-0005-0000-0000-000005620000}"/>
    <cellStyle name="Normal 2 2 5 6 3 2" xfId="25094" xr:uid="{00000000-0005-0000-0000-000006620000}"/>
    <cellStyle name="Normal 2 2 5 6 3 3" xfId="25095" xr:uid="{00000000-0005-0000-0000-000007620000}"/>
    <cellStyle name="Normal 2 2 5 6 3 4" xfId="25096" xr:uid="{00000000-0005-0000-0000-000008620000}"/>
    <cellStyle name="Normal 2 2 5 6 3 5" xfId="25097" xr:uid="{00000000-0005-0000-0000-000009620000}"/>
    <cellStyle name="Normal 2 2 5 6 3 6" xfId="25098" xr:uid="{00000000-0005-0000-0000-00000A620000}"/>
    <cellStyle name="Normal 2 2 5 6 3 7" xfId="25099" xr:uid="{00000000-0005-0000-0000-00000B620000}"/>
    <cellStyle name="Normal 2 2 5 6 3 8" xfId="25100" xr:uid="{00000000-0005-0000-0000-00000C620000}"/>
    <cellStyle name="Normal 2 2 5 6 3 9" xfId="25101" xr:uid="{00000000-0005-0000-0000-00000D620000}"/>
    <cellStyle name="Normal 2 2 5 6 4" xfId="25102" xr:uid="{00000000-0005-0000-0000-00000E620000}"/>
    <cellStyle name="Normal 2 2 5 6 4 10" xfId="25103" xr:uid="{00000000-0005-0000-0000-00000F620000}"/>
    <cellStyle name="Normal 2 2 5 6 4 2" xfId="25104" xr:uid="{00000000-0005-0000-0000-000010620000}"/>
    <cellStyle name="Normal 2 2 5 6 4 3" xfId="25105" xr:uid="{00000000-0005-0000-0000-000011620000}"/>
    <cellStyle name="Normal 2 2 5 6 4 4" xfId="25106" xr:uid="{00000000-0005-0000-0000-000012620000}"/>
    <cellStyle name="Normal 2 2 5 6 4 5" xfId="25107" xr:uid="{00000000-0005-0000-0000-000013620000}"/>
    <cellStyle name="Normal 2 2 5 6 4 6" xfId="25108" xr:uid="{00000000-0005-0000-0000-000014620000}"/>
    <cellStyle name="Normal 2 2 5 6 4 7" xfId="25109" xr:uid="{00000000-0005-0000-0000-000015620000}"/>
    <cellStyle name="Normal 2 2 5 6 4 8" xfId="25110" xr:uid="{00000000-0005-0000-0000-000016620000}"/>
    <cellStyle name="Normal 2 2 5 6 4 9" xfId="25111" xr:uid="{00000000-0005-0000-0000-000017620000}"/>
    <cellStyle name="Normal 2 2 5 6 5" xfId="25112" xr:uid="{00000000-0005-0000-0000-000018620000}"/>
    <cellStyle name="Normal 2 2 5 6 5 10" xfId="25113" xr:uid="{00000000-0005-0000-0000-000019620000}"/>
    <cellStyle name="Normal 2 2 5 6 5 2" xfId="25114" xr:uid="{00000000-0005-0000-0000-00001A620000}"/>
    <cellStyle name="Normal 2 2 5 6 5 3" xfId="25115" xr:uid="{00000000-0005-0000-0000-00001B620000}"/>
    <cellStyle name="Normal 2 2 5 6 5 4" xfId="25116" xr:uid="{00000000-0005-0000-0000-00001C620000}"/>
    <cellStyle name="Normal 2 2 5 6 5 5" xfId="25117" xr:uid="{00000000-0005-0000-0000-00001D620000}"/>
    <cellStyle name="Normal 2 2 5 6 5 6" xfId="25118" xr:uid="{00000000-0005-0000-0000-00001E620000}"/>
    <cellStyle name="Normal 2 2 5 6 5 7" xfId="25119" xr:uid="{00000000-0005-0000-0000-00001F620000}"/>
    <cellStyle name="Normal 2 2 5 6 5 8" xfId="25120" xr:uid="{00000000-0005-0000-0000-000020620000}"/>
    <cellStyle name="Normal 2 2 5 6 5 9" xfId="25121" xr:uid="{00000000-0005-0000-0000-000021620000}"/>
    <cellStyle name="Normal 2 2 5 6 6" xfId="25122" xr:uid="{00000000-0005-0000-0000-000022620000}"/>
    <cellStyle name="Normal 2 2 5 6 7" xfId="25123" xr:uid="{00000000-0005-0000-0000-000023620000}"/>
    <cellStyle name="Normal 2 2 5 6 8" xfId="25124" xr:uid="{00000000-0005-0000-0000-000024620000}"/>
    <cellStyle name="Normal 2 2 5 6 9" xfId="25125" xr:uid="{00000000-0005-0000-0000-000025620000}"/>
    <cellStyle name="Normal 2 2 5 7" xfId="25126" xr:uid="{00000000-0005-0000-0000-000026620000}"/>
    <cellStyle name="Normal 2 2 5 7 10" xfId="25127" xr:uid="{00000000-0005-0000-0000-000027620000}"/>
    <cellStyle name="Normal 2 2 5 7 11" xfId="25128" xr:uid="{00000000-0005-0000-0000-000028620000}"/>
    <cellStyle name="Normal 2 2 5 7 12" xfId="25129" xr:uid="{00000000-0005-0000-0000-000029620000}"/>
    <cellStyle name="Normal 2 2 5 7 13" xfId="25130" xr:uid="{00000000-0005-0000-0000-00002A620000}"/>
    <cellStyle name="Normal 2 2 5 7 14" xfId="25131" xr:uid="{00000000-0005-0000-0000-00002B620000}"/>
    <cellStyle name="Normal 2 2 5 7 2" xfId="25132" xr:uid="{00000000-0005-0000-0000-00002C620000}"/>
    <cellStyle name="Normal 2 2 5 7 2 10" xfId="25133" xr:uid="{00000000-0005-0000-0000-00002D620000}"/>
    <cellStyle name="Normal 2 2 5 7 2 2" xfId="25134" xr:uid="{00000000-0005-0000-0000-00002E620000}"/>
    <cellStyle name="Normal 2 2 5 7 2 3" xfId="25135" xr:uid="{00000000-0005-0000-0000-00002F620000}"/>
    <cellStyle name="Normal 2 2 5 7 2 4" xfId="25136" xr:uid="{00000000-0005-0000-0000-000030620000}"/>
    <cellStyle name="Normal 2 2 5 7 2 5" xfId="25137" xr:uid="{00000000-0005-0000-0000-000031620000}"/>
    <cellStyle name="Normal 2 2 5 7 2 6" xfId="25138" xr:uid="{00000000-0005-0000-0000-000032620000}"/>
    <cellStyle name="Normal 2 2 5 7 2 7" xfId="25139" xr:uid="{00000000-0005-0000-0000-000033620000}"/>
    <cellStyle name="Normal 2 2 5 7 2 8" xfId="25140" xr:uid="{00000000-0005-0000-0000-000034620000}"/>
    <cellStyle name="Normal 2 2 5 7 2 9" xfId="25141" xr:uid="{00000000-0005-0000-0000-000035620000}"/>
    <cellStyle name="Normal 2 2 5 7 3" xfId="25142" xr:uid="{00000000-0005-0000-0000-000036620000}"/>
    <cellStyle name="Normal 2 2 5 7 3 10" xfId="25143" xr:uid="{00000000-0005-0000-0000-000037620000}"/>
    <cellStyle name="Normal 2 2 5 7 3 2" xfId="25144" xr:uid="{00000000-0005-0000-0000-000038620000}"/>
    <cellStyle name="Normal 2 2 5 7 3 3" xfId="25145" xr:uid="{00000000-0005-0000-0000-000039620000}"/>
    <cellStyle name="Normal 2 2 5 7 3 4" xfId="25146" xr:uid="{00000000-0005-0000-0000-00003A620000}"/>
    <cellStyle name="Normal 2 2 5 7 3 5" xfId="25147" xr:uid="{00000000-0005-0000-0000-00003B620000}"/>
    <cellStyle name="Normal 2 2 5 7 3 6" xfId="25148" xr:uid="{00000000-0005-0000-0000-00003C620000}"/>
    <cellStyle name="Normal 2 2 5 7 3 7" xfId="25149" xr:uid="{00000000-0005-0000-0000-00003D620000}"/>
    <cellStyle name="Normal 2 2 5 7 3 8" xfId="25150" xr:uid="{00000000-0005-0000-0000-00003E620000}"/>
    <cellStyle name="Normal 2 2 5 7 3 9" xfId="25151" xr:uid="{00000000-0005-0000-0000-00003F620000}"/>
    <cellStyle name="Normal 2 2 5 7 4" xfId="25152" xr:uid="{00000000-0005-0000-0000-000040620000}"/>
    <cellStyle name="Normal 2 2 5 7 4 10" xfId="25153" xr:uid="{00000000-0005-0000-0000-000041620000}"/>
    <cellStyle name="Normal 2 2 5 7 4 2" xfId="25154" xr:uid="{00000000-0005-0000-0000-000042620000}"/>
    <cellStyle name="Normal 2 2 5 7 4 3" xfId="25155" xr:uid="{00000000-0005-0000-0000-000043620000}"/>
    <cellStyle name="Normal 2 2 5 7 4 4" xfId="25156" xr:uid="{00000000-0005-0000-0000-000044620000}"/>
    <cellStyle name="Normal 2 2 5 7 4 5" xfId="25157" xr:uid="{00000000-0005-0000-0000-000045620000}"/>
    <cellStyle name="Normal 2 2 5 7 4 6" xfId="25158" xr:uid="{00000000-0005-0000-0000-000046620000}"/>
    <cellStyle name="Normal 2 2 5 7 4 7" xfId="25159" xr:uid="{00000000-0005-0000-0000-000047620000}"/>
    <cellStyle name="Normal 2 2 5 7 4 8" xfId="25160" xr:uid="{00000000-0005-0000-0000-000048620000}"/>
    <cellStyle name="Normal 2 2 5 7 4 9" xfId="25161" xr:uid="{00000000-0005-0000-0000-000049620000}"/>
    <cellStyle name="Normal 2 2 5 7 5" xfId="25162" xr:uid="{00000000-0005-0000-0000-00004A620000}"/>
    <cellStyle name="Normal 2 2 5 7 5 10" xfId="25163" xr:uid="{00000000-0005-0000-0000-00004B620000}"/>
    <cellStyle name="Normal 2 2 5 7 5 2" xfId="25164" xr:uid="{00000000-0005-0000-0000-00004C620000}"/>
    <cellStyle name="Normal 2 2 5 7 5 3" xfId="25165" xr:uid="{00000000-0005-0000-0000-00004D620000}"/>
    <cellStyle name="Normal 2 2 5 7 5 4" xfId="25166" xr:uid="{00000000-0005-0000-0000-00004E620000}"/>
    <cellStyle name="Normal 2 2 5 7 5 5" xfId="25167" xr:uid="{00000000-0005-0000-0000-00004F620000}"/>
    <cellStyle name="Normal 2 2 5 7 5 6" xfId="25168" xr:uid="{00000000-0005-0000-0000-000050620000}"/>
    <cellStyle name="Normal 2 2 5 7 5 7" xfId="25169" xr:uid="{00000000-0005-0000-0000-000051620000}"/>
    <cellStyle name="Normal 2 2 5 7 5 8" xfId="25170" xr:uid="{00000000-0005-0000-0000-000052620000}"/>
    <cellStyle name="Normal 2 2 5 7 5 9" xfId="25171" xr:uid="{00000000-0005-0000-0000-000053620000}"/>
    <cellStyle name="Normal 2 2 5 7 6" xfId="25172" xr:uid="{00000000-0005-0000-0000-000054620000}"/>
    <cellStyle name="Normal 2 2 5 7 7" xfId="25173" xr:uid="{00000000-0005-0000-0000-000055620000}"/>
    <cellStyle name="Normal 2 2 5 7 8" xfId="25174" xr:uid="{00000000-0005-0000-0000-000056620000}"/>
    <cellStyle name="Normal 2 2 5 7 9" xfId="25175" xr:uid="{00000000-0005-0000-0000-000057620000}"/>
    <cellStyle name="Normal 2 2 5 8" xfId="25176" xr:uid="{00000000-0005-0000-0000-000058620000}"/>
    <cellStyle name="Normal 2 2 5 8 10" xfId="25177" xr:uid="{00000000-0005-0000-0000-000059620000}"/>
    <cellStyle name="Normal 2 2 5 8 11" xfId="25178" xr:uid="{00000000-0005-0000-0000-00005A620000}"/>
    <cellStyle name="Normal 2 2 5 8 12" xfId="25179" xr:uid="{00000000-0005-0000-0000-00005B620000}"/>
    <cellStyle name="Normal 2 2 5 8 13" xfId="25180" xr:uid="{00000000-0005-0000-0000-00005C620000}"/>
    <cellStyle name="Normal 2 2 5 8 14" xfId="25181" xr:uid="{00000000-0005-0000-0000-00005D620000}"/>
    <cellStyle name="Normal 2 2 5 8 2" xfId="25182" xr:uid="{00000000-0005-0000-0000-00005E620000}"/>
    <cellStyle name="Normal 2 2 5 8 2 10" xfId="25183" xr:uid="{00000000-0005-0000-0000-00005F620000}"/>
    <cellStyle name="Normal 2 2 5 8 2 2" xfId="25184" xr:uid="{00000000-0005-0000-0000-000060620000}"/>
    <cellStyle name="Normal 2 2 5 8 2 3" xfId="25185" xr:uid="{00000000-0005-0000-0000-000061620000}"/>
    <cellStyle name="Normal 2 2 5 8 2 4" xfId="25186" xr:uid="{00000000-0005-0000-0000-000062620000}"/>
    <cellStyle name="Normal 2 2 5 8 2 5" xfId="25187" xr:uid="{00000000-0005-0000-0000-000063620000}"/>
    <cellStyle name="Normal 2 2 5 8 2 6" xfId="25188" xr:uid="{00000000-0005-0000-0000-000064620000}"/>
    <cellStyle name="Normal 2 2 5 8 2 7" xfId="25189" xr:uid="{00000000-0005-0000-0000-000065620000}"/>
    <cellStyle name="Normal 2 2 5 8 2 8" xfId="25190" xr:uid="{00000000-0005-0000-0000-000066620000}"/>
    <cellStyle name="Normal 2 2 5 8 2 9" xfId="25191" xr:uid="{00000000-0005-0000-0000-000067620000}"/>
    <cellStyle name="Normal 2 2 5 8 3" xfId="25192" xr:uid="{00000000-0005-0000-0000-000068620000}"/>
    <cellStyle name="Normal 2 2 5 8 3 10" xfId="25193" xr:uid="{00000000-0005-0000-0000-000069620000}"/>
    <cellStyle name="Normal 2 2 5 8 3 2" xfId="25194" xr:uid="{00000000-0005-0000-0000-00006A620000}"/>
    <cellStyle name="Normal 2 2 5 8 3 3" xfId="25195" xr:uid="{00000000-0005-0000-0000-00006B620000}"/>
    <cellStyle name="Normal 2 2 5 8 3 4" xfId="25196" xr:uid="{00000000-0005-0000-0000-00006C620000}"/>
    <cellStyle name="Normal 2 2 5 8 3 5" xfId="25197" xr:uid="{00000000-0005-0000-0000-00006D620000}"/>
    <cellStyle name="Normal 2 2 5 8 3 6" xfId="25198" xr:uid="{00000000-0005-0000-0000-00006E620000}"/>
    <cellStyle name="Normal 2 2 5 8 3 7" xfId="25199" xr:uid="{00000000-0005-0000-0000-00006F620000}"/>
    <cellStyle name="Normal 2 2 5 8 3 8" xfId="25200" xr:uid="{00000000-0005-0000-0000-000070620000}"/>
    <cellStyle name="Normal 2 2 5 8 3 9" xfId="25201" xr:uid="{00000000-0005-0000-0000-000071620000}"/>
    <cellStyle name="Normal 2 2 5 8 4" xfId="25202" xr:uid="{00000000-0005-0000-0000-000072620000}"/>
    <cellStyle name="Normal 2 2 5 8 4 10" xfId="25203" xr:uid="{00000000-0005-0000-0000-000073620000}"/>
    <cellStyle name="Normal 2 2 5 8 4 2" xfId="25204" xr:uid="{00000000-0005-0000-0000-000074620000}"/>
    <cellStyle name="Normal 2 2 5 8 4 3" xfId="25205" xr:uid="{00000000-0005-0000-0000-000075620000}"/>
    <cellStyle name="Normal 2 2 5 8 4 4" xfId="25206" xr:uid="{00000000-0005-0000-0000-000076620000}"/>
    <cellStyle name="Normal 2 2 5 8 4 5" xfId="25207" xr:uid="{00000000-0005-0000-0000-000077620000}"/>
    <cellStyle name="Normal 2 2 5 8 4 6" xfId="25208" xr:uid="{00000000-0005-0000-0000-000078620000}"/>
    <cellStyle name="Normal 2 2 5 8 4 7" xfId="25209" xr:uid="{00000000-0005-0000-0000-000079620000}"/>
    <cellStyle name="Normal 2 2 5 8 4 8" xfId="25210" xr:uid="{00000000-0005-0000-0000-00007A620000}"/>
    <cellStyle name="Normal 2 2 5 8 4 9" xfId="25211" xr:uid="{00000000-0005-0000-0000-00007B620000}"/>
    <cellStyle name="Normal 2 2 5 8 5" xfId="25212" xr:uid="{00000000-0005-0000-0000-00007C620000}"/>
    <cellStyle name="Normal 2 2 5 8 5 10" xfId="25213" xr:uid="{00000000-0005-0000-0000-00007D620000}"/>
    <cellStyle name="Normal 2 2 5 8 5 2" xfId="25214" xr:uid="{00000000-0005-0000-0000-00007E620000}"/>
    <cellStyle name="Normal 2 2 5 8 5 3" xfId="25215" xr:uid="{00000000-0005-0000-0000-00007F620000}"/>
    <cellStyle name="Normal 2 2 5 8 5 4" xfId="25216" xr:uid="{00000000-0005-0000-0000-000080620000}"/>
    <cellStyle name="Normal 2 2 5 8 5 5" xfId="25217" xr:uid="{00000000-0005-0000-0000-000081620000}"/>
    <cellStyle name="Normal 2 2 5 8 5 6" xfId="25218" xr:uid="{00000000-0005-0000-0000-000082620000}"/>
    <cellStyle name="Normal 2 2 5 8 5 7" xfId="25219" xr:uid="{00000000-0005-0000-0000-000083620000}"/>
    <cellStyle name="Normal 2 2 5 8 5 8" xfId="25220" xr:uid="{00000000-0005-0000-0000-000084620000}"/>
    <cellStyle name="Normal 2 2 5 8 5 9" xfId="25221" xr:uid="{00000000-0005-0000-0000-000085620000}"/>
    <cellStyle name="Normal 2 2 5 8 6" xfId="25222" xr:uid="{00000000-0005-0000-0000-000086620000}"/>
    <cellStyle name="Normal 2 2 5 8 7" xfId="25223" xr:uid="{00000000-0005-0000-0000-000087620000}"/>
    <cellStyle name="Normal 2 2 5 8 8" xfId="25224" xr:uid="{00000000-0005-0000-0000-000088620000}"/>
    <cellStyle name="Normal 2 2 5 8 9" xfId="25225" xr:uid="{00000000-0005-0000-0000-000089620000}"/>
    <cellStyle name="Normal 2 2 5 9" xfId="25226" xr:uid="{00000000-0005-0000-0000-00008A620000}"/>
    <cellStyle name="Normal 2 2 5 9 10" xfId="25227" xr:uid="{00000000-0005-0000-0000-00008B620000}"/>
    <cellStyle name="Normal 2 2 5 9 11" xfId="25228" xr:uid="{00000000-0005-0000-0000-00008C620000}"/>
    <cellStyle name="Normal 2 2 5 9 12" xfId="25229" xr:uid="{00000000-0005-0000-0000-00008D620000}"/>
    <cellStyle name="Normal 2 2 5 9 13" xfId="25230" xr:uid="{00000000-0005-0000-0000-00008E620000}"/>
    <cellStyle name="Normal 2 2 5 9 14" xfId="25231" xr:uid="{00000000-0005-0000-0000-00008F620000}"/>
    <cellStyle name="Normal 2 2 5 9 2" xfId="25232" xr:uid="{00000000-0005-0000-0000-000090620000}"/>
    <cellStyle name="Normal 2 2 5 9 2 10" xfId="25233" xr:uid="{00000000-0005-0000-0000-000091620000}"/>
    <cellStyle name="Normal 2 2 5 9 2 2" xfId="25234" xr:uid="{00000000-0005-0000-0000-000092620000}"/>
    <cellStyle name="Normal 2 2 5 9 2 3" xfId="25235" xr:uid="{00000000-0005-0000-0000-000093620000}"/>
    <cellStyle name="Normal 2 2 5 9 2 4" xfId="25236" xr:uid="{00000000-0005-0000-0000-000094620000}"/>
    <cellStyle name="Normal 2 2 5 9 2 5" xfId="25237" xr:uid="{00000000-0005-0000-0000-000095620000}"/>
    <cellStyle name="Normal 2 2 5 9 2 6" xfId="25238" xr:uid="{00000000-0005-0000-0000-000096620000}"/>
    <cellStyle name="Normal 2 2 5 9 2 7" xfId="25239" xr:uid="{00000000-0005-0000-0000-000097620000}"/>
    <cellStyle name="Normal 2 2 5 9 2 8" xfId="25240" xr:uid="{00000000-0005-0000-0000-000098620000}"/>
    <cellStyle name="Normal 2 2 5 9 2 9" xfId="25241" xr:uid="{00000000-0005-0000-0000-000099620000}"/>
    <cellStyle name="Normal 2 2 5 9 3" xfId="25242" xr:uid="{00000000-0005-0000-0000-00009A620000}"/>
    <cellStyle name="Normal 2 2 5 9 3 10" xfId="25243" xr:uid="{00000000-0005-0000-0000-00009B620000}"/>
    <cellStyle name="Normal 2 2 5 9 3 2" xfId="25244" xr:uid="{00000000-0005-0000-0000-00009C620000}"/>
    <cellStyle name="Normal 2 2 5 9 3 3" xfId="25245" xr:uid="{00000000-0005-0000-0000-00009D620000}"/>
    <cellStyle name="Normal 2 2 5 9 3 4" xfId="25246" xr:uid="{00000000-0005-0000-0000-00009E620000}"/>
    <cellStyle name="Normal 2 2 5 9 3 5" xfId="25247" xr:uid="{00000000-0005-0000-0000-00009F620000}"/>
    <cellStyle name="Normal 2 2 5 9 3 6" xfId="25248" xr:uid="{00000000-0005-0000-0000-0000A0620000}"/>
    <cellStyle name="Normal 2 2 5 9 3 7" xfId="25249" xr:uid="{00000000-0005-0000-0000-0000A1620000}"/>
    <cellStyle name="Normal 2 2 5 9 3 8" xfId="25250" xr:uid="{00000000-0005-0000-0000-0000A2620000}"/>
    <cellStyle name="Normal 2 2 5 9 3 9" xfId="25251" xr:uid="{00000000-0005-0000-0000-0000A3620000}"/>
    <cellStyle name="Normal 2 2 5 9 4" xfId="25252" xr:uid="{00000000-0005-0000-0000-0000A4620000}"/>
    <cellStyle name="Normal 2 2 5 9 4 10" xfId="25253" xr:uid="{00000000-0005-0000-0000-0000A5620000}"/>
    <cellStyle name="Normal 2 2 5 9 4 2" xfId="25254" xr:uid="{00000000-0005-0000-0000-0000A6620000}"/>
    <cellStyle name="Normal 2 2 5 9 4 3" xfId="25255" xr:uid="{00000000-0005-0000-0000-0000A7620000}"/>
    <cellStyle name="Normal 2 2 5 9 4 4" xfId="25256" xr:uid="{00000000-0005-0000-0000-0000A8620000}"/>
    <cellStyle name="Normal 2 2 5 9 4 5" xfId="25257" xr:uid="{00000000-0005-0000-0000-0000A9620000}"/>
    <cellStyle name="Normal 2 2 5 9 4 6" xfId="25258" xr:uid="{00000000-0005-0000-0000-0000AA620000}"/>
    <cellStyle name="Normal 2 2 5 9 4 7" xfId="25259" xr:uid="{00000000-0005-0000-0000-0000AB620000}"/>
    <cellStyle name="Normal 2 2 5 9 4 8" xfId="25260" xr:uid="{00000000-0005-0000-0000-0000AC620000}"/>
    <cellStyle name="Normal 2 2 5 9 4 9" xfId="25261" xr:uid="{00000000-0005-0000-0000-0000AD620000}"/>
    <cellStyle name="Normal 2 2 5 9 5" xfId="25262" xr:uid="{00000000-0005-0000-0000-0000AE620000}"/>
    <cellStyle name="Normal 2 2 5 9 5 10" xfId="25263" xr:uid="{00000000-0005-0000-0000-0000AF620000}"/>
    <cellStyle name="Normal 2 2 5 9 5 2" xfId="25264" xr:uid="{00000000-0005-0000-0000-0000B0620000}"/>
    <cellStyle name="Normal 2 2 5 9 5 3" xfId="25265" xr:uid="{00000000-0005-0000-0000-0000B1620000}"/>
    <cellStyle name="Normal 2 2 5 9 5 4" xfId="25266" xr:uid="{00000000-0005-0000-0000-0000B2620000}"/>
    <cellStyle name="Normal 2 2 5 9 5 5" xfId="25267" xr:uid="{00000000-0005-0000-0000-0000B3620000}"/>
    <cellStyle name="Normal 2 2 5 9 5 6" xfId="25268" xr:uid="{00000000-0005-0000-0000-0000B4620000}"/>
    <cellStyle name="Normal 2 2 5 9 5 7" xfId="25269" xr:uid="{00000000-0005-0000-0000-0000B5620000}"/>
    <cellStyle name="Normal 2 2 5 9 5 8" xfId="25270" xr:uid="{00000000-0005-0000-0000-0000B6620000}"/>
    <cellStyle name="Normal 2 2 5 9 5 9" xfId="25271" xr:uid="{00000000-0005-0000-0000-0000B7620000}"/>
    <cellStyle name="Normal 2 2 5 9 6" xfId="25272" xr:uid="{00000000-0005-0000-0000-0000B8620000}"/>
    <cellStyle name="Normal 2 2 5 9 7" xfId="25273" xr:uid="{00000000-0005-0000-0000-0000B9620000}"/>
    <cellStyle name="Normal 2 2 5 9 8" xfId="25274" xr:uid="{00000000-0005-0000-0000-0000BA620000}"/>
    <cellStyle name="Normal 2 2 5 9 9" xfId="25275" xr:uid="{00000000-0005-0000-0000-0000BB620000}"/>
    <cellStyle name="Normal 2 2 50" xfId="25276" xr:uid="{00000000-0005-0000-0000-0000BC620000}"/>
    <cellStyle name="Normal 2 2 51" xfId="25277" xr:uid="{00000000-0005-0000-0000-0000BD620000}"/>
    <cellStyle name="Normal 2 2 52" xfId="25278" xr:uid="{00000000-0005-0000-0000-0000BE620000}"/>
    <cellStyle name="Normal 2 2 6" xfId="25279" xr:uid="{00000000-0005-0000-0000-0000BF620000}"/>
    <cellStyle name="Normal 2 2 6 2" xfId="25280" xr:uid="{00000000-0005-0000-0000-0000C0620000}"/>
    <cellStyle name="Normal 2 2 6 3" xfId="25281" xr:uid="{00000000-0005-0000-0000-0000C1620000}"/>
    <cellStyle name="Normal 2 2 7" xfId="25282" xr:uid="{00000000-0005-0000-0000-0000C2620000}"/>
    <cellStyle name="Normal 2 2 7 2" xfId="25283" xr:uid="{00000000-0005-0000-0000-0000C3620000}"/>
    <cellStyle name="Normal 2 2 7 3" xfId="25284" xr:uid="{00000000-0005-0000-0000-0000C4620000}"/>
    <cellStyle name="Normal 2 2 8" xfId="25285" xr:uid="{00000000-0005-0000-0000-0000C5620000}"/>
    <cellStyle name="Normal 2 2 8 2" xfId="25286" xr:uid="{00000000-0005-0000-0000-0000C6620000}"/>
    <cellStyle name="Normal 2 2 8 3" xfId="25287" xr:uid="{00000000-0005-0000-0000-0000C7620000}"/>
    <cellStyle name="Normal 2 2 9" xfId="25288" xr:uid="{00000000-0005-0000-0000-0000C8620000}"/>
    <cellStyle name="Normal 2 2 9 2" xfId="25289" xr:uid="{00000000-0005-0000-0000-0000C9620000}"/>
    <cellStyle name="Normal 2 2 9 3" xfId="25290" xr:uid="{00000000-0005-0000-0000-0000CA620000}"/>
    <cellStyle name="Normal 2 20" xfId="25291" xr:uid="{00000000-0005-0000-0000-0000CB620000}"/>
    <cellStyle name="Normal 2 20 2" xfId="25292" xr:uid="{00000000-0005-0000-0000-0000CC620000}"/>
    <cellStyle name="Normal 2 20 3" xfId="25293" xr:uid="{00000000-0005-0000-0000-0000CD620000}"/>
    <cellStyle name="Normal 2 21" xfId="25294" xr:uid="{00000000-0005-0000-0000-0000CE620000}"/>
    <cellStyle name="Normal 2 21 2" xfId="25295" xr:uid="{00000000-0005-0000-0000-0000CF620000}"/>
    <cellStyle name="Normal 2 21 3" xfId="25296" xr:uid="{00000000-0005-0000-0000-0000D0620000}"/>
    <cellStyle name="Normal 2 22" xfId="25297" xr:uid="{00000000-0005-0000-0000-0000D1620000}"/>
    <cellStyle name="Normal 2 22 2" xfId="25298" xr:uid="{00000000-0005-0000-0000-0000D2620000}"/>
    <cellStyle name="Normal 2 22 3" xfId="25299" xr:uid="{00000000-0005-0000-0000-0000D3620000}"/>
    <cellStyle name="Normal 2 23" xfId="25300" xr:uid="{00000000-0005-0000-0000-0000D4620000}"/>
    <cellStyle name="Normal 2 23 2" xfId="25301" xr:uid="{00000000-0005-0000-0000-0000D5620000}"/>
    <cellStyle name="Normal 2 23 2 2" xfId="25302" xr:uid="{00000000-0005-0000-0000-0000D6620000}"/>
    <cellStyle name="Normal 2 23 3" xfId="25303" xr:uid="{00000000-0005-0000-0000-0000D7620000}"/>
    <cellStyle name="Normal 2 24" xfId="25304" xr:uid="{00000000-0005-0000-0000-0000D8620000}"/>
    <cellStyle name="Normal 2 24 2" xfId="25305" xr:uid="{00000000-0005-0000-0000-0000D9620000}"/>
    <cellStyle name="Normal 2 24 3" xfId="25306" xr:uid="{00000000-0005-0000-0000-0000DA620000}"/>
    <cellStyle name="Normal 2 25" xfId="25307" xr:uid="{00000000-0005-0000-0000-0000DB620000}"/>
    <cellStyle name="Normal 2 25 2" xfId="25308" xr:uid="{00000000-0005-0000-0000-0000DC620000}"/>
    <cellStyle name="Normal 2 25 3" xfId="25309" xr:uid="{00000000-0005-0000-0000-0000DD620000}"/>
    <cellStyle name="Normal 2 26" xfId="25310" xr:uid="{00000000-0005-0000-0000-0000DE620000}"/>
    <cellStyle name="Normal 2 26 2" xfId="25311" xr:uid="{00000000-0005-0000-0000-0000DF620000}"/>
    <cellStyle name="Normal 2 26 3" xfId="25312" xr:uid="{00000000-0005-0000-0000-0000E0620000}"/>
    <cellStyle name="Normal 2 27" xfId="25313" xr:uid="{00000000-0005-0000-0000-0000E1620000}"/>
    <cellStyle name="Normal 2 27 2" xfId="25314" xr:uid="{00000000-0005-0000-0000-0000E2620000}"/>
    <cellStyle name="Normal 2 27 3" xfId="25315" xr:uid="{00000000-0005-0000-0000-0000E3620000}"/>
    <cellStyle name="Normal 2 28" xfId="25316" xr:uid="{00000000-0005-0000-0000-0000E4620000}"/>
    <cellStyle name="Normal 2 28 2" xfId="25317" xr:uid="{00000000-0005-0000-0000-0000E5620000}"/>
    <cellStyle name="Normal 2 28 3" xfId="25318" xr:uid="{00000000-0005-0000-0000-0000E6620000}"/>
    <cellStyle name="Normal 2 29" xfId="25319" xr:uid="{00000000-0005-0000-0000-0000E7620000}"/>
    <cellStyle name="Normal 2 29 2" xfId="25320" xr:uid="{00000000-0005-0000-0000-0000E8620000}"/>
    <cellStyle name="Normal 2 29 3" xfId="25321" xr:uid="{00000000-0005-0000-0000-0000E9620000}"/>
    <cellStyle name="Normal 2 3" xfId="25322" xr:uid="{00000000-0005-0000-0000-0000EA620000}"/>
    <cellStyle name="Normal 2 3 10" xfId="25323" xr:uid="{00000000-0005-0000-0000-0000EB620000}"/>
    <cellStyle name="Normal 2 3 10 10" xfId="25324" xr:uid="{00000000-0005-0000-0000-0000EC620000}"/>
    <cellStyle name="Normal 2 3 10 11" xfId="25325" xr:uid="{00000000-0005-0000-0000-0000ED620000}"/>
    <cellStyle name="Normal 2 3 10 12" xfId="25326" xr:uid="{00000000-0005-0000-0000-0000EE620000}"/>
    <cellStyle name="Normal 2 3 10 13" xfId="25327" xr:uid="{00000000-0005-0000-0000-0000EF620000}"/>
    <cellStyle name="Normal 2 3 10 14" xfId="25328" xr:uid="{00000000-0005-0000-0000-0000F0620000}"/>
    <cellStyle name="Normal 2 3 10 2" xfId="25329" xr:uid="{00000000-0005-0000-0000-0000F1620000}"/>
    <cellStyle name="Normal 2 3 10 2 10" xfId="25330" xr:uid="{00000000-0005-0000-0000-0000F2620000}"/>
    <cellStyle name="Normal 2 3 10 2 2" xfId="25331" xr:uid="{00000000-0005-0000-0000-0000F3620000}"/>
    <cellStyle name="Normal 2 3 10 2 3" xfId="25332" xr:uid="{00000000-0005-0000-0000-0000F4620000}"/>
    <cellStyle name="Normal 2 3 10 2 4" xfId="25333" xr:uid="{00000000-0005-0000-0000-0000F5620000}"/>
    <cellStyle name="Normal 2 3 10 2 5" xfId="25334" xr:uid="{00000000-0005-0000-0000-0000F6620000}"/>
    <cellStyle name="Normal 2 3 10 2 6" xfId="25335" xr:uid="{00000000-0005-0000-0000-0000F7620000}"/>
    <cellStyle name="Normal 2 3 10 2 7" xfId="25336" xr:uid="{00000000-0005-0000-0000-0000F8620000}"/>
    <cellStyle name="Normal 2 3 10 2 8" xfId="25337" xr:uid="{00000000-0005-0000-0000-0000F9620000}"/>
    <cellStyle name="Normal 2 3 10 2 9" xfId="25338" xr:uid="{00000000-0005-0000-0000-0000FA620000}"/>
    <cellStyle name="Normal 2 3 10 3" xfId="25339" xr:uid="{00000000-0005-0000-0000-0000FB620000}"/>
    <cellStyle name="Normal 2 3 10 3 10" xfId="25340" xr:uid="{00000000-0005-0000-0000-0000FC620000}"/>
    <cellStyle name="Normal 2 3 10 3 2" xfId="25341" xr:uid="{00000000-0005-0000-0000-0000FD620000}"/>
    <cellStyle name="Normal 2 3 10 3 3" xfId="25342" xr:uid="{00000000-0005-0000-0000-0000FE620000}"/>
    <cellStyle name="Normal 2 3 10 3 4" xfId="25343" xr:uid="{00000000-0005-0000-0000-0000FF620000}"/>
    <cellStyle name="Normal 2 3 10 3 5" xfId="25344" xr:uid="{00000000-0005-0000-0000-000000630000}"/>
    <cellStyle name="Normal 2 3 10 3 6" xfId="25345" xr:uid="{00000000-0005-0000-0000-000001630000}"/>
    <cellStyle name="Normal 2 3 10 3 7" xfId="25346" xr:uid="{00000000-0005-0000-0000-000002630000}"/>
    <cellStyle name="Normal 2 3 10 3 8" xfId="25347" xr:uid="{00000000-0005-0000-0000-000003630000}"/>
    <cellStyle name="Normal 2 3 10 3 9" xfId="25348" xr:uid="{00000000-0005-0000-0000-000004630000}"/>
    <cellStyle name="Normal 2 3 10 4" xfId="25349" xr:uid="{00000000-0005-0000-0000-000005630000}"/>
    <cellStyle name="Normal 2 3 10 4 10" xfId="25350" xr:uid="{00000000-0005-0000-0000-000006630000}"/>
    <cellStyle name="Normal 2 3 10 4 2" xfId="25351" xr:uid="{00000000-0005-0000-0000-000007630000}"/>
    <cellStyle name="Normal 2 3 10 4 3" xfId="25352" xr:uid="{00000000-0005-0000-0000-000008630000}"/>
    <cellStyle name="Normal 2 3 10 4 4" xfId="25353" xr:uid="{00000000-0005-0000-0000-000009630000}"/>
    <cellStyle name="Normal 2 3 10 4 5" xfId="25354" xr:uid="{00000000-0005-0000-0000-00000A630000}"/>
    <cellStyle name="Normal 2 3 10 4 6" xfId="25355" xr:uid="{00000000-0005-0000-0000-00000B630000}"/>
    <cellStyle name="Normal 2 3 10 4 7" xfId="25356" xr:uid="{00000000-0005-0000-0000-00000C630000}"/>
    <cellStyle name="Normal 2 3 10 4 8" xfId="25357" xr:uid="{00000000-0005-0000-0000-00000D630000}"/>
    <cellStyle name="Normal 2 3 10 4 9" xfId="25358" xr:uid="{00000000-0005-0000-0000-00000E630000}"/>
    <cellStyle name="Normal 2 3 10 5" xfId="25359" xr:uid="{00000000-0005-0000-0000-00000F630000}"/>
    <cellStyle name="Normal 2 3 10 5 10" xfId="25360" xr:uid="{00000000-0005-0000-0000-000010630000}"/>
    <cellStyle name="Normal 2 3 10 5 2" xfId="25361" xr:uid="{00000000-0005-0000-0000-000011630000}"/>
    <cellStyle name="Normal 2 3 10 5 3" xfId="25362" xr:uid="{00000000-0005-0000-0000-000012630000}"/>
    <cellStyle name="Normal 2 3 10 5 4" xfId="25363" xr:uid="{00000000-0005-0000-0000-000013630000}"/>
    <cellStyle name="Normal 2 3 10 5 5" xfId="25364" xr:uid="{00000000-0005-0000-0000-000014630000}"/>
    <cellStyle name="Normal 2 3 10 5 6" xfId="25365" xr:uid="{00000000-0005-0000-0000-000015630000}"/>
    <cellStyle name="Normal 2 3 10 5 7" xfId="25366" xr:uid="{00000000-0005-0000-0000-000016630000}"/>
    <cellStyle name="Normal 2 3 10 5 8" xfId="25367" xr:uid="{00000000-0005-0000-0000-000017630000}"/>
    <cellStyle name="Normal 2 3 10 5 9" xfId="25368" xr:uid="{00000000-0005-0000-0000-000018630000}"/>
    <cellStyle name="Normal 2 3 10 6" xfId="25369" xr:uid="{00000000-0005-0000-0000-000019630000}"/>
    <cellStyle name="Normal 2 3 10 7" xfId="25370" xr:uid="{00000000-0005-0000-0000-00001A630000}"/>
    <cellStyle name="Normal 2 3 10 8" xfId="25371" xr:uid="{00000000-0005-0000-0000-00001B630000}"/>
    <cellStyle name="Normal 2 3 10 9" xfId="25372" xr:uid="{00000000-0005-0000-0000-00001C630000}"/>
    <cellStyle name="Normal 2 3 11" xfId="25373" xr:uid="{00000000-0005-0000-0000-00001D630000}"/>
    <cellStyle name="Normal 2 3 11 10" xfId="25374" xr:uid="{00000000-0005-0000-0000-00001E630000}"/>
    <cellStyle name="Normal 2 3 11 11" xfId="25375" xr:uid="{00000000-0005-0000-0000-00001F630000}"/>
    <cellStyle name="Normal 2 3 11 12" xfId="25376" xr:uid="{00000000-0005-0000-0000-000020630000}"/>
    <cellStyle name="Normal 2 3 11 13" xfId="25377" xr:uid="{00000000-0005-0000-0000-000021630000}"/>
    <cellStyle name="Normal 2 3 11 14" xfId="25378" xr:uid="{00000000-0005-0000-0000-000022630000}"/>
    <cellStyle name="Normal 2 3 11 2" xfId="25379" xr:uid="{00000000-0005-0000-0000-000023630000}"/>
    <cellStyle name="Normal 2 3 11 2 10" xfId="25380" xr:uid="{00000000-0005-0000-0000-000024630000}"/>
    <cellStyle name="Normal 2 3 11 2 2" xfId="25381" xr:uid="{00000000-0005-0000-0000-000025630000}"/>
    <cellStyle name="Normal 2 3 11 2 3" xfId="25382" xr:uid="{00000000-0005-0000-0000-000026630000}"/>
    <cellStyle name="Normal 2 3 11 2 4" xfId="25383" xr:uid="{00000000-0005-0000-0000-000027630000}"/>
    <cellStyle name="Normal 2 3 11 2 5" xfId="25384" xr:uid="{00000000-0005-0000-0000-000028630000}"/>
    <cellStyle name="Normal 2 3 11 2 6" xfId="25385" xr:uid="{00000000-0005-0000-0000-000029630000}"/>
    <cellStyle name="Normal 2 3 11 2 7" xfId="25386" xr:uid="{00000000-0005-0000-0000-00002A630000}"/>
    <cellStyle name="Normal 2 3 11 2 8" xfId="25387" xr:uid="{00000000-0005-0000-0000-00002B630000}"/>
    <cellStyle name="Normal 2 3 11 2 9" xfId="25388" xr:uid="{00000000-0005-0000-0000-00002C630000}"/>
    <cellStyle name="Normal 2 3 11 3" xfId="25389" xr:uid="{00000000-0005-0000-0000-00002D630000}"/>
    <cellStyle name="Normal 2 3 11 3 10" xfId="25390" xr:uid="{00000000-0005-0000-0000-00002E630000}"/>
    <cellStyle name="Normal 2 3 11 3 2" xfId="25391" xr:uid="{00000000-0005-0000-0000-00002F630000}"/>
    <cellStyle name="Normal 2 3 11 3 3" xfId="25392" xr:uid="{00000000-0005-0000-0000-000030630000}"/>
    <cellStyle name="Normal 2 3 11 3 4" xfId="25393" xr:uid="{00000000-0005-0000-0000-000031630000}"/>
    <cellStyle name="Normal 2 3 11 3 5" xfId="25394" xr:uid="{00000000-0005-0000-0000-000032630000}"/>
    <cellStyle name="Normal 2 3 11 3 6" xfId="25395" xr:uid="{00000000-0005-0000-0000-000033630000}"/>
    <cellStyle name="Normal 2 3 11 3 7" xfId="25396" xr:uid="{00000000-0005-0000-0000-000034630000}"/>
    <cellStyle name="Normal 2 3 11 3 8" xfId="25397" xr:uid="{00000000-0005-0000-0000-000035630000}"/>
    <cellStyle name="Normal 2 3 11 3 9" xfId="25398" xr:uid="{00000000-0005-0000-0000-000036630000}"/>
    <cellStyle name="Normal 2 3 11 4" xfId="25399" xr:uid="{00000000-0005-0000-0000-000037630000}"/>
    <cellStyle name="Normal 2 3 11 4 10" xfId="25400" xr:uid="{00000000-0005-0000-0000-000038630000}"/>
    <cellStyle name="Normal 2 3 11 4 2" xfId="25401" xr:uid="{00000000-0005-0000-0000-000039630000}"/>
    <cellStyle name="Normal 2 3 11 4 3" xfId="25402" xr:uid="{00000000-0005-0000-0000-00003A630000}"/>
    <cellStyle name="Normal 2 3 11 4 4" xfId="25403" xr:uid="{00000000-0005-0000-0000-00003B630000}"/>
    <cellStyle name="Normal 2 3 11 4 5" xfId="25404" xr:uid="{00000000-0005-0000-0000-00003C630000}"/>
    <cellStyle name="Normal 2 3 11 4 6" xfId="25405" xr:uid="{00000000-0005-0000-0000-00003D630000}"/>
    <cellStyle name="Normal 2 3 11 4 7" xfId="25406" xr:uid="{00000000-0005-0000-0000-00003E630000}"/>
    <cellStyle name="Normal 2 3 11 4 8" xfId="25407" xr:uid="{00000000-0005-0000-0000-00003F630000}"/>
    <cellStyle name="Normal 2 3 11 4 9" xfId="25408" xr:uid="{00000000-0005-0000-0000-000040630000}"/>
    <cellStyle name="Normal 2 3 11 5" xfId="25409" xr:uid="{00000000-0005-0000-0000-000041630000}"/>
    <cellStyle name="Normal 2 3 11 5 10" xfId="25410" xr:uid="{00000000-0005-0000-0000-000042630000}"/>
    <cellStyle name="Normal 2 3 11 5 2" xfId="25411" xr:uid="{00000000-0005-0000-0000-000043630000}"/>
    <cellStyle name="Normal 2 3 11 5 3" xfId="25412" xr:uid="{00000000-0005-0000-0000-000044630000}"/>
    <cellStyle name="Normal 2 3 11 5 4" xfId="25413" xr:uid="{00000000-0005-0000-0000-000045630000}"/>
    <cellStyle name="Normal 2 3 11 5 5" xfId="25414" xr:uid="{00000000-0005-0000-0000-000046630000}"/>
    <cellStyle name="Normal 2 3 11 5 6" xfId="25415" xr:uid="{00000000-0005-0000-0000-000047630000}"/>
    <cellStyle name="Normal 2 3 11 5 7" xfId="25416" xr:uid="{00000000-0005-0000-0000-000048630000}"/>
    <cellStyle name="Normal 2 3 11 5 8" xfId="25417" xr:uid="{00000000-0005-0000-0000-000049630000}"/>
    <cellStyle name="Normal 2 3 11 5 9" xfId="25418" xr:uid="{00000000-0005-0000-0000-00004A630000}"/>
    <cellStyle name="Normal 2 3 11 6" xfId="25419" xr:uid="{00000000-0005-0000-0000-00004B630000}"/>
    <cellStyle name="Normal 2 3 11 7" xfId="25420" xr:uid="{00000000-0005-0000-0000-00004C630000}"/>
    <cellStyle name="Normal 2 3 11 8" xfId="25421" xr:uid="{00000000-0005-0000-0000-00004D630000}"/>
    <cellStyle name="Normal 2 3 11 9" xfId="25422" xr:uid="{00000000-0005-0000-0000-00004E630000}"/>
    <cellStyle name="Normal 2 3 12" xfId="25423" xr:uid="{00000000-0005-0000-0000-00004F630000}"/>
    <cellStyle name="Normal 2 3 12 10" xfId="25424" xr:uid="{00000000-0005-0000-0000-000050630000}"/>
    <cellStyle name="Normal 2 3 12 11" xfId="25425" xr:uid="{00000000-0005-0000-0000-000051630000}"/>
    <cellStyle name="Normal 2 3 12 12" xfId="25426" xr:uid="{00000000-0005-0000-0000-000052630000}"/>
    <cellStyle name="Normal 2 3 12 13" xfId="25427" xr:uid="{00000000-0005-0000-0000-000053630000}"/>
    <cellStyle name="Normal 2 3 12 14" xfId="25428" xr:uid="{00000000-0005-0000-0000-000054630000}"/>
    <cellStyle name="Normal 2 3 12 2" xfId="25429" xr:uid="{00000000-0005-0000-0000-000055630000}"/>
    <cellStyle name="Normal 2 3 12 2 10" xfId="25430" xr:uid="{00000000-0005-0000-0000-000056630000}"/>
    <cellStyle name="Normal 2 3 12 2 2" xfId="25431" xr:uid="{00000000-0005-0000-0000-000057630000}"/>
    <cellStyle name="Normal 2 3 12 2 3" xfId="25432" xr:uid="{00000000-0005-0000-0000-000058630000}"/>
    <cellStyle name="Normal 2 3 12 2 4" xfId="25433" xr:uid="{00000000-0005-0000-0000-000059630000}"/>
    <cellStyle name="Normal 2 3 12 2 5" xfId="25434" xr:uid="{00000000-0005-0000-0000-00005A630000}"/>
    <cellStyle name="Normal 2 3 12 2 6" xfId="25435" xr:uid="{00000000-0005-0000-0000-00005B630000}"/>
    <cellStyle name="Normal 2 3 12 2 7" xfId="25436" xr:uid="{00000000-0005-0000-0000-00005C630000}"/>
    <cellStyle name="Normal 2 3 12 2 8" xfId="25437" xr:uid="{00000000-0005-0000-0000-00005D630000}"/>
    <cellStyle name="Normal 2 3 12 2 9" xfId="25438" xr:uid="{00000000-0005-0000-0000-00005E630000}"/>
    <cellStyle name="Normal 2 3 12 3" xfId="25439" xr:uid="{00000000-0005-0000-0000-00005F630000}"/>
    <cellStyle name="Normal 2 3 12 3 10" xfId="25440" xr:uid="{00000000-0005-0000-0000-000060630000}"/>
    <cellStyle name="Normal 2 3 12 3 2" xfId="25441" xr:uid="{00000000-0005-0000-0000-000061630000}"/>
    <cellStyle name="Normal 2 3 12 3 3" xfId="25442" xr:uid="{00000000-0005-0000-0000-000062630000}"/>
    <cellStyle name="Normal 2 3 12 3 4" xfId="25443" xr:uid="{00000000-0005-0000-0000-000063630000}"/>
    <cellStyle name="Normal 2 3 12 3 5" xfId="25444" xr:uid="{00000000-0005-0000-0000-000064630000}"/>
    <cellStyle name="Normal 2 3 12 3 6" xfId="25445" xr:uid="{00000000-0005-0000-0000-000065630000}"/>
    <cellStyle name="Normal 2 3 12 3 7" xfId="25446" xr:uid="{00000000-0005-0000-0000-000066630000}"/>
    <cellStyle name="Normal 2 3 12 3 8" xfId="25447" xr:uid="{00000000-0005-0000-0000-000067630000}"/>
    <cellStyle name="Normal 2 3 12 3 9" xfId="25448" xr:uid="{00000000-0005-0000-0000-000068630000}"/>
    <cellStyle name="Normal 2 3 12 4" xfId="25449" xr:uid="{00000000-0005-0000-0000-000069630000}"/>
    <cellStyle name="Normal 2 3 12 4 10" xfId="25450" xr:uid="{00000000-0005-0000-0000-00006A630000}"/>
    <cellStyle name="Normal 2 3 12 4 2" xfId="25451" xr:uid="{00000000-0005-0000-0000-00006B630000}"/>
    <cellStyle name="Normal 2 3 12 4 3" xfId="25452" xr:uid="{00000000-0005-0000-0000-00006C630000}"/>
    <cellStyle name="Normal 2 3 12 4 4" xfId="25453" xr:uid="{00000000-0005-0000-0000-00006D630000}"/>
    <cellStyle name="Normal 2 3 12 4 5" xfId="25454" xr:uid="{00000000-0005-0000-0000-00006E630000}"/>
    <cellStyle name="Normal 2 3 12 4 6" xfId="25455" xr:uid="{00000000-0005-0000-0000-00006F630000}"/>
    <cellStyle name="Normal 2 3 12 4 7" xfId="25456" xr:uid="{00000000-0005-0000-0000-000070630000}"/>
    <cellStyle name="Normal 2 3 12 4 8" xfId="25457" xr:uid="{00000000-0005-0000-0000-000071630000}"/>
    <cellStyle name="Normal 2 3 12 4 9" xfId="25458" xr:uid="{00000000-0005-0000-0000-000072630000}"/>
    <cellStyle name="Normal 2 3 12 5" xfId="25459" xr:uid="{00000000-0005-0000-0000-000073630000}"/>
    <cellStyle name="Normal 2 3 12 5 10" xfId="25460" xr:uid="{00000000-0005-0000-0000-000074630000}"/>
    <cellStyle name="Normal 2 3 12 5 2" xfId="25461" xr:uid="{00000000-0005-0000-0000-000075630000}"/>
    <cellStyle name="Normal 2 3 12 5 3" xfId="25462" xr:uid="{00000000-0005-0000-0000-000076630000}"/>
    <cellStyle name="Normal 2 3 12 5 4" xfId="25463" xr:uid="{00000000-0005-0000-0000-000077630000}"/>
    <cellStyle name="Normal 2 3 12 5 5" xfId="25464" xr:uid="{00000000-0005-0000-0000-000078630000}"/>
    <cellStyle name="Normal 2 3 12 5 6" xfId="25465" xr:uid="{00000000-0005-0000-0000-000079630000}"/>
    <cellStyle name="Normal 2 3 12 5 7" xfId="25466" xr:uid="{00000000-0005-0000-0000-00007A630000}"/>
    <cellStyle name="Normal 2 3 12 5 8" xfId="25467" xr:uid="{00000000-0005-0000-0000-00007B630000}"/>
    <cellStyle name="Normal 2 3 12 5 9" xfId="25468" xr:uid="{00000000-0005-0000-0000-00007C630000}"/>
    <cellStyle name="Normal 2 3 12 6" xfId="25469" xr:uid="{00000000-0005-0000-0000-00007D630000}"/>
    <cellStyle name="Normal 2 3 12 7" xfId="25470" xr:uid="{00000000-0005-0000-0000-00007E630000}"/>
    <cellStyle name="Normal 2 3 12 8" xfId="25471" xr:uid="{00000000-0005-0000-0000-00007F630000}"/>
    <cellStyle name="Normal 2 3 12 9" xfId="25472" xr:uid="{00000000-0005-0000-0000-000080630000}"/>
    <cellStyle name="Normal 2 3 13" xfId="25473" xr:uid="{00000000-0005-0000-0000-000081630000}"/>
    <cellStyle name="Normal 2 3 13 10" xfId="25474" xr:uid="{00000000-0005-0000-0000-000082630000}"/>
    <cellStyle name="Normal 2 3 13 11" xfId="25475" xr:uid="{00000000-0005-0000-0000-000083630000}"/>
    <cellStyle name="Normal 2 3 13 12" xfId="25476" xr:uid="{00000000-0005-0000-0000-000084630000}"/>
    <cellStyle name="Normal 2 3 13 13" xfId="25477" xr:uid="{00000000-0005-0000-0000-000085630000}"/>
    <cellStyle name="Normal 2 3 13 14" xfId="25478" xr:uid="{00000000-0005-0000-0000-000086630000}"/>
    <cellStyle name="Normal 2 3 13 2" xfId="25479" xr:uid="{00000000-0005-0000-0000-000087630000}"/>
    <cellStyle name="Normal 2 3 13 2 10" xfId="25480" xr:uid="{00000000-0005-0000-0000-000088630000}"/>
    <cellStyle name="Normal 2 3 13 2 2" xfId="25481" xr:uid="{00000000-0005-0000-0000-000089630000}"/>
    <cellStyle name="Normal 2 3 13 2 3" xfId="25482" xr:uid="{00000000-0005-0000-0000-00008A630000}"/>
    <cellStyle name="Normal 2 3 13 2 4" xfId="25483" xr:uid="{00000000-0005-0000-0000-00008B630000}"/>
    <cellStyle name="Normal 2 3 13 2 5" xfId="25484" xr:uid="{00000000-0005-0000-0000-00008C630000}"/>
    <cellStyle name="Normal 2 3 13 2 6" xfId="25485" xr:uid="{00000000-0005-0000-0000-00008D630000}"/>
    <cellStyle name="Normal 2 3 13 2 7" xfId="25486" xr:uid="{00000000-0005-0000-0000-00008E630000}"/>
    <cellStyle name="Normal 2 3 13 2 8" xfId="25487" xr:uid="{00000000-0005-0000-0000-00008F630000}"/>
    <cellStyle name="Normal 2 3 13 2 9" xfId="25488" xr:uid="{00000000-0005-0000-0000-000090630000}"/>
    <cellStyle name="Normal 2 3 13 3" xfId="25489" xr:uid="{00000000-0005-0000-0000-000091630000}"/>
    <cellStyle name="Normal 2 3 13 3 10" xfId="25490" xr:uid="{00000000-0005-0000-0000-000092630000}"/>
    <cellStyle name="Normal 2 3 13 3 2" xfId="25491" xr:uid="{00000000-0005-0000-0000-000093630000}"/>
    <cellStyle name="Normal 2 3 13 3 3" xfId="25492" xr:uid="{00000000-0005-0000-0000-000094630000}"/>
    <cellStyle name="Normal 2 3 13 3 4" xfId="25493" xr:uid="{00000000-0005-0000-0000-000095630000}"/>
    <cellStyle name="Normal 2 3 13 3 5" xfId="25494" xr:uid="{00000000-0005-0000-0000-000096630000}"/>
    <cellStyle name="Normal 2 3 13 3 6" xfId="25495" xr:uid="{00000000-0005-0000-0000-000097630000}"/>
    <cellStyle name="Normal 2 3 13 3 7" xfId="25496" xr:uid="{00000000-0005-0000-0000-000098630000}"/>
    <cellStyle name="Normal 2 3 13 3 8" xfId="25497" xr:uid="{00000000-0005-0000-0000-000099630000}"/>
    <cellStyle name="Normal 2 3 13 3 9" xfId="25498" xr:uid="{00000000-0005-0000-0000-00009A630000}"/>
    <cellStyle name="Normal 2 3 13 4" xfId="25499" xr:uid="{00000000-0005-0000-0000-00009B630000}"/>
    <cellStyle name="Normal 2 3 13 4 10" xfId="25500" xr:uid="{00000000-0005-0000-0000-00009C630000}"/>
    <cellStyle name="Normal 2 3 13 4 2" xfId="25501" xr:uid="{00000000-0005-0000-0000-00009D630000}"/>
    <cellStyle name="Normal 2 3 13 4 3" xfId="25502" xr:uid="{00000000-0005-0000-0000-00009E630000}"/>
    <cellStyle name="Normal 2 3 13 4 4" xfId="25503" xr:uid="{00000000-0005-0000-0000-00009F630000}"/>
    <cellStyle name="Normal 2 3 13 4 5" xfId="25504" xr:uid="{00000000-0005-0000-0000-0000A0630000}"/>
    <cellStyle name="Normal 2 3 13 4 6" xfId="25505" xr:uid="{00000000-0005-0000-0000-0000A1630000}"/>
    <cellStyle name="Normal 2 3 13 4 7" xfId="25506" xr:uid="{00000000-0005-0000-0000-0000A2630000}"/>
    <cellStyle name="Normal 2 3 13 4 8" xfId="25507" xr:uid="{00000000-0005-0000-0000-0000A3630000}"/>
    <cellStyle name="Normal 2 3 13 4 9" xfId="25508" xr:uid="{00000000-0005-0000-0000-0000A4630000}"/>
    <cellStyle name="Normal 2 3 13 5" xfId="25509" xr:uid="{00000000-0005-0000-0000-0000A5630000}"/>
    <cellStyle name="Normal 2 3 13 5 10" xfId="25510" xr:uid="{00000000-0005-0000-0000-0000A6630000}"/>
    <cellStyle name="Normal 2 3 13 5 2" xfId="25511" xr:uid="{00000000-0005-0000-0000-0000A7630000}"/>
    <cellStyle name="Normal 2 3 13 5 3" xfId="25512" xr:uid="{00000000-0005-0000-0000-0000A8630000}"/>
    <cellStyle name="Normal 2 3 13 5 4" xfId="25513" xr:uid="{00000000-0005-0000-0000-0000A9630000}"/>
    <cellStyle name="Normal 2 3 13 5 5" xfId="25514" xr:uid="{00000000-0005-0000-0000-0000AA630000}"/>
    <cellStyle name="Normal 2 3 13 5 6" xfId="25515" xr:uid="{00000000-0005-0000-0000-0000AB630000}"/>
    <cellStyle name="Normal 2 3 13 5 7" xfId="25516" xr:uid="{00000000-0005-0000-0000-0000AC630000}"/>
    <cellStyle name="Normal 2 3 13 5 8" xfId="25517" xr:uid="{00000000-0005-0000-0000-0000AD630000}"/>
    <cellStyle name="Normal 2 3 13 5 9" xfId="25518" xr:uid="{00000000-0005-0000-0000-0000AE630000}"/>
    <cellStyle name="Normal 2 3 13 6" xfId="25519" xr:uid="{00000000-0005-0000-0000-0000AF630000}"/>
    <cellStyle name="Normal 2 3 13 7" xfId="25520" xr:uid="{00000000-0005-0000-0000-0000B0630000}"/>
    <cellStyle name="Normal 2 3 13 8" xfId="25521" xr:uid="{00000000-0005-0000-0000-0000B1630000}"/>
    <cellStyle name="Normal 2 3 13 9" xfId="25522" xr:uid="{00000000-0005-0000-0000-0000B2630000}"/>
    <cellStyle name="Normal 2 3 14" xfId="25523" xr:uid="{00000000-0005-0000-0000-0000B3630000}"/>
    <cellStyle name="Normal 2 3 14 10" xfId="25524" xr:uid="{00000000-0005-0000-0000-0000B4630000}"/>
    <cellStyle name="Normal 2 3 14 11" xfId="25525" xr:uid="{00000000-0005-0000-0000-0000B5630000}"/>
    <cellStyle name="Normal 2 3 14 12" xfId="25526" xr:uid="{00000000-0005-0000-0000-0000B6630000}"/>
    <cellStyle name="Normal 2 3 14 13" xfId="25527" xr:uid="{00000000-0005-0000-0000-0000B7630000}"/>
    <cellStyle name="Normal 2 3 14 14" xfId="25528" xr:uid="{00000000-0005-0000-0000-0000B8630000}"/>
    <cellStyle name="Normal 2 3 14 2" xfId="25529" xr:uid="{00000000-0005-0000-0000-0000B9630000}"/>
    <cellStyle name="Normal 2 3 14 2 10" xfId="25530" xr:uid="{00000000-0005-0000-0000-0000BA630000}"/>
    <cellStyle name="Normal 2 3 14 2 2" xfId="25531" xr:uid="{00000000-0005-0000-0000-0000BB630000}"/>
    <cellStyle name="Normal 2 3 14 2 3" xfId="25532" xr:uid="{00000000-0005-0000-0000-0000BC630000}"/>
    <cellStyle name="Normal 2 3 14 2 4" xfId="25533" xr:uid="{00000000-0005-0000-0000-0000BD630000}"/>
    <cellStyle name="Normal 2 3 14 2 5" xfId="25534" xr:uid="{00000000-0005-0000-0000-0000BE630000}"/>
    <cellStyle name="Normal 2 3 14 2 6" xfId="25535" xr:uid="{00000000-0005-0000-0000-0000BF630000}"/>
    <cellStyle name="Normal 2 3 14 2 7" xfId="25536" xr:uid="{00000000-0005-0000-0000-0000C0630000}"/>
    <cellStyle name="Normal 2 3 14 2 8" xfId="25537" xr:uid="{00000000-0005-0000-0000-0000C1630000}"/>
    <cellStyle name="Normal 2 3 14 2 9" xfId="25538" xr:uid="{00000000-0005-0000-0000-0000C2630000}"/>
    <cellStyle name="Normal 2 3 14 3" xfId="25539" xr:uid="{00000000-0005-0000-0000-0000C3630000}"/>
    <cellStyle name="Normal 2 3 14 3 10" xfId="25540" xr:uid="{00000000-0005-0000-0000-0000C4630000}"/>
    <cellStyle name="Normal 2 3 14 3 2" xfId="25541" xr:uid="{00000000-0005-0000-0000-0000C5630000}"/>
    <cellStyle name="Normal 2 3 14 3 3" xfId="25542" xr:uid="{00000000-0005-0000-0000-0000C6630000}"/>
    <cellStyle name="Normal 2 3 14 3 4" xfId="25543" xr:uid="{00000000-0005-0000-0000-0000C7630000}"/>
    <cellStyle name="Normal 2 3 14 3 5" xfId="25544" xr:uid="{00000000-0005-0000-0000-0000C8630000}"/>
    <cellStyle name="Normal 2 3 14 3 6" xfId="25545" xr:uid="{00000000-0005-0000-0000-0000C9630000}"/>
    <cellStyle name="Normal 2 3 14 3 7" xfId="25546" xr:uid="{00000000-0005-0000-0000-0000CA630000}"/>
    <cellStyle name="Normal 2 3 14 3 8" xfId="25547" xr:uid="{00000000-0005-0000-0000-0000CB630000}"/>
    <cellStyle name="Normal 2 3 14 3 9" xfId="25548" xr:uid="{00000000-0005-0000-0000-0000CC630000}"/>
    <cellStyle name="Normal 2 3 14 4" xfId="25549" xr:uid="{00000000-0005-0000-0000-0000CD630000}"/>
    <cellStyle name="Normal 2 3 14 4 10" xfId="25550" xr:uid="{00000000-0005-0000-0000-0000CE630000}"/>
    <cellStyle name="Normal 2 3 14 4 2" xfId="25551" xr:uid="{00000000-0005-0000-0000-0000CF630000}"/>
    <cellStyle name="Normal 2 3 14 4 3" xfId="25552" xr:uid="{00000000-0005-0000-0000-0000D0630000}"/>
    <cellStyle name="Normal 2 3 14 4 4" xfId="25553" xr:uid="{00000000-0005-0000-0000-0000D1630000}"/>
    <cellStyle name="Normal 2 3 14 4 5" xfId="25554" xr:uid="{00000000-0005-0000-0000-0000D2630000}"/>
    <cellStyle name="Normal 2 3 14 4 6" xfId="25555" xr:uid="{00000000-0005-0000-0000-0000D3630000}"/>
    <cellStyle name="Normal 2 3 14 4 7" xfId="25556" xr:uid="{00000000-0005-0000-0000-0000D4630000}"/>
    <cellStyle name="Normal 2 3 14 4 8" xfId="25557" xr:uid="{00000000-0005-0000-0000-0000D5630000}"/>
    <cellStyle name="Normal 2 3 14 4 9" xfId="25558" xr:uid="{00000000-0005-0000-0000-0000D6630000}"/>
    <cellStyle name="Normal 2 3 14 5" xfId="25559" xr:uid="{00000000-0005-0000-0000-0000D7630000}"/>
    <cellStyle name="Normal 2 3 14 5 10" xfId="25560" xr:uid="{00000000-0005-0000-0000-0000D8630000}"/>
    <cellStyle name="Normal 2 3 14 5 2" xfId="25561" xr:uid="{00000000-0005-0000-0000-0000D9630000}"/>
    <cellStyle name="Normal 2 3 14 5 3" xfId="25562" xr:uid="{00000000-0005-0000-0000-0000DA630000}"/>
    <cellStyle name="Normal 2 3 14 5 4" xfId="25563" xr:uid="{00000000-0005-0000-0000-0000DB630000}"/>
    <cellStyle name="Normal 2 3 14 5 5" xfId="25564" xr:uid="{00000000-0005-0000-0000-0000DC630000}"/>
    <cellStyle name="Normal 2 3 14 5 6" xfId="25565" xr:uid="{00000000-0005-0000-0000-0000DD630000}"/>
    <cellStyle name="Normal 2 3 14 5 7" xfId="25566" xr:uid="{00000000-0005-0000-0000-0000DE630000}"/>
    <cellStyle name="Normal 2 3 14 5 8" xfId="25567" xr:uid="{00000000-0005-0000-0000-0000DF630000}"/>
    <cellStyle name="Normal 2 3 14 5 9" xfId="25568" xr:uid="{00000000-0005-0000-0000-0000E0630000}"/>
    <cellStyle name="Normal 2 3 14 6" xfId="25569" xr:uid="{00000000-0005-0000-0000-0000E1630000}"/>
    <cellStyle name="Normal 2 3 14 7" xfId="25570" xr:uid="{00000000-0005-0000-0000-0000E2630000}"/>
    <cellStyle name="Normal 2 3 14 8" xfId="25571" xr:uid="{00000000-0005-0000-0000-0000E3630000}"/>
    <cellStyle name="Normal 2 3 14 9" xfId="25572" xr:uid="{00000000-0005-0000-0000-0000E4630000}"/>
    <cellStyle name="Normal 2 3 15" xfId="25573" xr:uid="{00000000-0005-0000-0000-0000E5630000}"/>
    <cellStyle name="Normal 2 3 15 10" xfId="25574" xr:uid="{00000000-0005-0000-0000-0000E6630000}"/>
    <cellStyle name="Normal 2 3 15 11" xfId="25575" xr:uid="{00000000-0005-0000-0000-0000E7630000}"/>
    <cellStyle name="Normal 2 3 15 12" xfId="25576" xr:uid="{00000000-0005-0000-0000-0000E8630000}"/>
    <cellStyle name="Normal 2 3 15 13" xfId="25577" xr:uid="{00000000-0005-0000-0000-0000E9630000}"/>
    <cellStyle name="Normal 2 3 15 14" xfId="25578" xr:uid="{00000000-0005-0000-0000-0000EA630000}"/>
    <cellStyle name="Normal 2 3 15 2" xfId="25579" xr:uid="{00000000-0005-0000-0000-0000EB630000}"/>
    <cellStyle name="Normal 2 3 15 2 10" xfId="25580" xr:uid="{00000000-0005-0000-0000-0000EC630000}"/>
    <cellStyle name="Normal 2 3 15 2 2" xfId="25581" xr:uid="{00000000-0005-0000-0000-0000ED630000}"/>
    <cellStyle name="Normal 2 3 15 2 3" xfId="25582" xr:uid="{00000000-0005-0000-0000-0000EE630000}"/>
    <cellStyle name="Normal 2 3 15 2 4" xfId="25583" xr:uid="{00000000-0005-0000-0000-0000EF630000}"/>
    <cellStyle name="Normal 2 3 15 2 5" xfId="25584" xr:uid="{00000000-0005-0000-0000-0000F0630000}"/>
    <cellStyle name="Normal 2 3 15 2 6" xfId="25585" xr:uid="{00000000-0005-0000-0000-0000F1630000}"/>
    <cellStyle name="Normal 2 3 15 2 7" xfId="25586" xr:uid="{00000000-0005-0000-0000-0000F2630000}"/>
    <cellStyle name="Normal 2 3 15 2 8" xfId="25587" xr:uid="{00000000-0005-0000-0000-0000F3630000}"/>
    <cellStyle name="Normal 2 3 15 2 9" xfId="25588" xr:uid="{00000000-0005-0000-0000-0000F4630000}"/>
    <cellStyle name="Normal 2 3 15 3" xfId="25589" xr:uid="{00000000-0005-0000-0000-0000F5630000}"/>
    <cellStyle name="Normal 2 3 15 3 10" xfId="25590" xr:uid="{00000000-0005-0000-0000-0000F6630000}"/>
    <cellStyle name="Normal 2 3 15 3 2" xfId="25591" xr:uid="{00000000-0005-0000-0000-0000F7630000}"/>
    <cellStyle name="Normal 2 3 15 3 3" xfId="25592" xr:uid="{00000000-0005-0000-0000-0000F8630000}"/>
    <cellStyle name="Normal 2 3 15 3 4" xfId="25593" xr:uid="{00000000-0005-0000-0000-0000F9630000}"/>
    <cellStyle name="Normal 2 3 15 3 5" xfId="25594" xr:uid="{00000000-0005-0000-0000-0000FA630000}"/>
    <cellStyle name="Normal 2 3 15 3 6" xfId="25595" xr:uid="{00000000-0005-0000-0000-0000FB630000}"/>
    <cellStyle name="Normal 2 3 15 3 7" xfId="25596" xr:uid="{00000000-0005-0000-0000-0000FC630000}"/>
    <cellStyle name="Normal 2 3 15 3 8" xfId="25597" xr:uid="{00000000-0005-0000-0000-0000FD630000}"/>
    <cellStyle name="Normal 2 3 15 3 9" xfId="25598" xr:uid="{00000000-0005-0000-0000-0000FE630000}"/>
    <cellStyle name="Normal 2 3 15 4" xfId="25599" xr:uid="{00000000-0005-0000-0000-0000FF630000}"/>
    <cellStyle name="Normal 2 3 15 4 10" xfId="25600" xr:uid="{00000000-0005-0000-0000-000000640000}"/>
    <cellStyle name="Normal 2 3 15 4 2" xfId="25601" xr:uid="{00000000-0005-0000-0000-000001640000}"/>
    <cellStyle name="Normal 2 3 15 4 3" xfId="25602" xr:uid="{00000000-0005-0000-0000-000002640000}"/>
    <cellStyle name="Normal 2 3 15 4 4" xfId="25603" xr:uid="{00000000-0005-0000-0000-000003640000}"/>
    <cellStyle name="Normal 2 3 15 4 5" xfId="25604" xr:uid="{00000000-0005-0000-0000-000004640000}"/>
    <cellStyle name="Normal 2 3 15 4 6" xfId="25605" xr:uid="{00000000-0005-0000-0000-000005640000}"/>
    <cellStyle name="Normal 2 3 15 4 7" xfId="25606" xr:uid="{00000000-0005-0000-0000-000006640000}"/>
    <cellStyle name="Normal 2 3 15 4 8" xfId="25607" xr:uid="{00000000-0005-0000-0000-000007640000}"/>
    <cellStyle name="Normal 2 3 15 4 9" xfId="25608" xr:uid="{00000000-0005-0000-0000-000008640000}"/>
    <cellStyle name="Normal 2 3 15 5" xfId="25609" xr:uid="{00000000-0005-0000-0000-000009640000}"/>
    <cellStyle name="Normal 2 3 15 5 10" xfId="25610" xr:uid="{00000000-0005-0000-0000-00000A640000}"/>
    <cellStyle name="Normal 2 3 15 5 2" xfId="25611" xr:uid="{00000000-0005-0000-0000-00000B640000}"/>
    <cellStyle name="Normal 2 3 15 5 3" xfId="25612" xr:uid="{00000000-0005-0000-0000-00000C640000}"/>
    <cellStyle name="Normal 2 3 15 5 4" xfId="25613" xr:uid="{00000000-0005-0000-0000-00000D640000}"/>
    <cellStyle name="Normal 2 3 15 5 5" xfId="25614" xr:uid="{00000000-0005-0000-0000-00000E640000}"/>
    <cellStyle name="Normal 2 3 15 5 6" xfId="25615" xr:uid="{00000000-0005-0000-0000-00000F640000}"/>
    <cellStyle name="Normal 2 3 15 5 7" xfId="25616" xr:uid="{00000000-0005-0000-0000-000010640000}"/>
    <cellStyle name="Normal 2 3 15 5 8" xfId="25617" xr:uid="{00000000-0005-0000-0000-000011640000}"/>
    <cellStyle name="Normal 2 3 15 5 9" xfId="25618" xr:uid="{00000000-0005-0000-0000-000012640000}"/>
    <cellStyle name="Normal 2 3 15 6" xfId="25619" xr:uid="{00000000-0005-0000-0000-000013640000}"/>
    <cellStyle name="Normal 2 3 15 7" xfId="25620" xr:uid="{00000000-0005-0000-0000-000014640000}"/>
    <cellStyle name="Normal 2 3 15 8" xfId="25621" xr:uid="{00000000-0005-0000-0000-000015640000}"/>
    <cellStyle name="Normal 2 3 15 9" xfId="25622" xr:uid="{00000000-0005-0000-0000-000016640000}"/>
    <cellStyle name="Normal 2 3 16" xfId="25623" xr:uid="{00000000-0005-0000-0000-000017640000}"/>
    <cellStyle name="Normal 2 3 16 10" xfId="25624" xr:uid="{00000000-0005-0000-0000-000018640000}"/>
    <cellStyle name="Normal 2 3 16 11" xfId="25625" xr:uid="{00000000-0005-0000-0000-000019640000}"/>
    <cellStyle name="Normal 2 3 16 12" xfId="25626" xr:uid="{00000000-0005-0000-0000-00001A640000}"/>
    <cellStyle name="Normal 2 3 16 13" xfId="25627" xr:uid="{00000000-0005-0000-0000-00001B640000}"/>
    <cellStyle name="Normal 2 3 16 14" xfId="25628" xr:uid="{00000000-0005-0000-0000-00001C640000}"/>
    <cellStyle name="Normal 2 3 16 2" xfId="25629" xr:uid="{00000000-0005-0000-0000-00001D640000}"/>
    <cellStyle name="Normal 2 3 16 2 10" xfId="25630" xr:uid="{00000000-0005-0000-0000-00001E640000}"/>
    <cellStyle name="Normal 2 3 16 2 2" xfId="25631" xr:uid="{00000000-0005-0000-0000-00001F640000}"/>
    <cellStyle name="Normal 2 3 16 2 3" xfId="25632" xr:uid="{00000000-0005-0000-0000-000020640000}"/>
    <cellStyle name="Normal 2 3 16 2 4" xfId="25633" xr:uid="{00000000-0005-0000-0000-000021640000}"/>
    <cellStyle name="Normal 2 3 16 2 5" xfId="25634" xr:uid="{00000000-0005-0000-0000-000022640000}"/>
    <cellStyle name="Normal 2 3 16 2 6" xfId="25635" xr:uid="{00000000-0005-0000-0000-000023640000}"/>
    <cellStyle name="Normal 2 3 16 2 7" xfId="25636" xr:uid="{00000000-0005-0000-0000-000024640000}"/>
    <cellStyle name="Normal 2 3 16 2 8" xfId="25637" xr:uid="{00000000-0005-0000-0000-000025640000}"/>
    <cellStyle name="Normal 2 3 16 2 9" xfId="25638" xr:uid="{00000000-0005-0000-0000-000026640000}"/>
    <cellStyle name="Normal 2 3 16 3" xfId="25639" xr:uid="{00000000-0005-0000-0000-000027640000}"/>
    <cellStyle name="Normal 2 3 16 3 10" xfId="25640" xr:uid="{00000000-0005-0000-0000-000028640000}"/>
    <cellStyle name="Normal 2 3 16 3 2" xfId="25641" xr:uid="{00000000-0005-0000-0000-000029640000}"/>
    <cellStyle name="Normal 2 3 16 3 3" xfId="25642" xr:uid="{00000000-0005-0000-0000-00002A640000}"/>
    <cellStyle name="Normal 2 3 16 3 4" xfId="25643" xr:uid="{00000000-0005-0000-0000-00002B640000}"/>
    <cellStyle name="Normal 2 3 16 3 5" xfId="25644" xr:uid="{00000000-0005-0000-0000-00002C640000}"/>
    <cellStyle name="Normal 2 3 16 3 6" xfId="25645" xr:uid="{00000000-0005-0000-0000-00002D640000}"/>
    <cellStyle name="Normal 2 3 16 3 7" xfId="25646" xr:uid="{00000000-0005-0000-0000-00002E640000}"/>
    <cellStyle name="Normal 2 3 16 3 8" xfId="25647" xr:uid="{00000000-0005-0000-0000-00002F640000}"/>
    <cellStyle name="Normal 2 3 16 3 9" xfId="25648" xr:uid="{00000000-0005-0000-0000-000030640000}"/>
    <cellStyle name="Normal 2 3 16 4" xfId="25649" xr:uid="{00000000-0005-0000-0000-000031640000}"/>
    <cellStyle name="Normal 2 3 16 4 10" xfId="25650" xr:uid="{00000000-0005-0000-0000-000032640000}"/>
    <cellStyle name="Normal 2 3 16 4 2" xfId="25651" xr:uid="{00000000-0005-0000-0000-000033640000}"/>
    <cellStyle name="Normal 2 3 16 4 3" xfId="25652" xr:uid="{00000000-0005-0000-0000-000034640000}"/>
    <cellStyle name="Normal 2 3 16 4 4" xfId="25653" xr:uid="{00000000-0005-0000-0000-000035640000}"/>
    <cellStyle name="Normal 2 3 16 4 5" xfId="25654" xr:uid="{00000000-0005-0000-0000-000036640000}"/>
    <cellStyle name="Normal 2 3 16 4 6" xfId="25655" xr:uid="{00000000-0005-0000-0000-000037640000}"/>
    <cellStyle name="Normal 2 3 16 4 7" xfId="25656" xr:uid="{00000000-0005-0000-0000-000038640000}"/>
    <cellStyle name="Normal 2 3 16 4 8" xfId="25657" xr:uid="{00000000-0005-0000-0000-000039640000}"/>
    <cellStyle name="Normal 2 3 16 4 9" xfId="25658" xr:uid="{00000000-0005-0000-0000-00003A640000}"/>
    <cellStyle name="Normal 2 3 16 5" xfId="25659" xr:uid="{00000000-0005-0000-0000-00003B640000}"/>
    <cellStyle name="Normal 2 3 16 5 10" xfId="25660" xr:uid="{00000000-0005-0000-0000-00003C640000}"/>
    <cellStyle name="Normal 2 3 16 5 2" xfId="25661" xr:uid="{00000000-0005-0000-0000-00003D640000}"/>
    <cellStyle name="Normal 2 3 16 5 3" xfId="25662" xr:uid="{00000000-0005-0000-0000-00003E640000}"/>
    <cellStyle name="Normal 2 3 16 5 4" xfId="25663" xr:uid="{00000000-0005-0000-0000-00003F640000}"/>
    <cellStyle name="Normal 2 3 16 5 5" xfId="25664" xr:uid="{00000000-0005-0000-0000-000040640000}"/>
    <cellStyle name="Normal 2 3 16 5 6" xfId="25665" xr:uid="{00000000-0005-0000-0000-000041640000}"/>
    <cellStyle name="Normal 2 3 16 5 7" xfId="25666" xr:uid="{00000000-0005-0000-0000-000042640000}"/>
    <cellStyle name="Normal 2 3 16 5 8" xfId="25667" xr:uid="{00000000-0005-0000-0000-000043640000}"/>
    <cellStyle name="Normal 2 3 16 5 9" xfId="25668" xr:uid="{00000000-0005-0000-0000-000044640000}"/>
    <cellStyle name="Normal 2 3 16 6" xfId="25669" xr:uid="{00000000-0005-0000-0000-000045640000}"/>
    <cellStyle name="Normal 2 3 16 7" xfId="25670" xr:uid="{00000000-0005-0000-0000-000046640000}"/>
    <cellStyle name="Normal 2 3 16 8" xfId="25671" xr:uid="{00000000-0005-0000-0000-000047640000}"/>
    <cellStyle name="Normal 2 3 16 9" xfId="25672" xr:uid="{00000000-0005-0000-0000-000048640000}"/>
    <cellStyle name="Normal 2 3 17" xfId="25673" xr:uid="{00000000-0005-0000-0000-000049640000}"/>
    <cellStyle name="Normal 2 3 17 10" xfId="25674" xr:uid="{00000000-0005-0000-0000-00004A640000}"/>
    <cellStyle name="Normal 2 3 17 11" xfId="25675" xr:uid="{00000000-0005-0000-0000-00004B640000}"/>
    <cellStyle name="Normal 2 3 17 12" xfId="25676" xr:uid="{00000000-0005-0000-0000-00004C640000}"/>
    <cellStyle name="Normal 2 3 17 13" xfId="25677" xr:uid="{00000000-0005-0000-0000-00004D640000}"/>
    <cellStyle name="Normal 2 3 17 14" xfId="25678" xr:uid="{00000000-0005-0000-0000-00004E640000}"/>
    <cellStyle name="Normal 2 3 17 2" xfId="25679" xr:uid="{00000000-0005-0000-0000-00004F640000}"/>
    <cellStyle name="Normal 2 3 17 2 10" xfId="25680" xr:uid="{00000000-0005-0000-0000-000050640000}"/>
    <cellStyle name="Normal 2 3 17 2 2" xfId="25681" xr:uid="{00000000-0005-0000-0000-000051640000}"/>
    <cellStyle name="Normal 2 3 17 2 3" xfId="25682" xr:uid="{00000000-0005-0000-0000-000052640000}"/>
    <cellStyle name="Normal 2 3 17 2 4" xfId="25683" xr:uid="{00000000-0005-0000-0000-000053640000}"/>
    <cellStyle name="Normal 2 3 17 2 5" xfId="25684" xr:uid="{00000000-0005-0000-0000-000054640000}"/>
    <cellStyle name="Normal 2 3 17 2 6" xfId="25685" xr:uid="{00000000-0005-0000-0000-000055640000}"/>
    <cellStyle name="Normal 2 3 17 2 7" xfId="25686" xr:uid="{00000000-0005-0000-0000-000056640000}"/>
    <cellStyle name="Normal 2 3 17 2 8" xfId="25687" xr:uid="{00000000-0005-0000-0000-000057640000}"/>
    <cellStyle name="Normal 2 3 17 2 9" xfId="25688" xr:uid="{00000000-0005-0000-0000-000058640000}"/>
    <cellStyle name="Normal 2 3 17 3" xfId="25689" xr:uid="{00000000-0005-0000-0000-000059640000}"/>
    <cellStyle name="Normal 2 3 17 3 10" xfId="25690" xr:uid="{00000000-0005-0000-0000-00005A640000}"/>
    <cellStyle name="Normal 2 3 17 3 2" xfId="25691" xr:uid="{00000000-0005-0000-0000-00005B640000}"/>
    <cellStyle name="Normal 2 3 17 3 3" xfId="25692" xr:uid="{00000000-0005-0000-0000-00005C640000}"/>
    <cellStyle name="Normal 2 3 17 3 4" xfId="25693" xr:uid="{00000000-0005-0000-0000-00005D640000}"/>
    <cellStyle name="Normal 2 3 17 3 5" xfId="25694" xr:uid="{00000000-0005-0000-0000-00005E640000}"/>
    <cellStyle name="Normal 2 3 17 3 6" xfId="25695" xr:uid="{00000000-0005-0000-0000-00005F640000}"/>
    <cellStyle name="Normal 2 3 17 3 7" xfId="25696" xr:uid="{00000000-0005-0000-0000-000060640000}"/>
    <cellStyle name="Normal 2 3 17 3 8" xfId="25697" xr:uid="{00000000-0005-0000-0000-000061640000}"/>
    <cellStyle name="Normal 2 3 17 3 9" xfId="25698" xr:uid="{00000000-0005-0000-0000-000062640000}"/>
    <cellStyle name="Normal 2 3 17 4" xfId="25699" xr:uid="{00000000-0005-0000-0000-000063640000}"/>
    <cellStyle name="Normal 2 3 17 4 10" xfId="25700" xr:uid="{00000000-0005-0000-0000-000064640000}"/>
    <cellStyle name="Normal 2 3 17 4 2" xfId="25701" xr:uid="{00000000-0005-0000-0000-000065640000}"/>
    <cellStyle name="Normal 2 3 17 4 3" xfId="25702" xr:uid="{00000000-0005-0000-0000-000066640000}"/>
    <cellStyle name="Normal 2 3 17 4 4" xfId="25703" xr:uid="{00000000-0005-0000-0000-000067640000}"/>
    <cellStyle name="Normal 2 3 17 4 5" xfId="25704" xr:uid="{00000000-0005-0000-0000-000068640000}"/>
    <cellStyle name="Normal 2 3 17 4 6" xfId="25705" xr:uid="{00000000-0005-0000-0000-000069640000}"/>
    <cellStyle name="Normal 2 3 17 4 7" xfId="25706" xr:uid="{00000000-0005-0000-0000-00006A640000}"/>
    <cellStyle name="Normal 2 3 17 4 8" xfId="25707" xr:uid="{00000000-0005-0000-0000-00006B640000}"/>
    <cellStyle name="Normal 2 3 17 4 9" xfId="25708" xr:uid="{00000000-0005-0000-0000-00006C640000}"/>
    <cellStyle name="Normal 2 3 17 5" xfId="25709" xr:uid="{00000000-0005-0000-0000-00006D640000}"/>
    <cellStyle name="Normal 2 3 17 5 10" xfId="25710" xr:uid="{00000000-0005-0000-0000-00006E640000}"/>
    <cellStyle name="Normal 2 3 17 5 2" xfId="25711" xr:uid="{00000000-0005-0000-0000-00006F640000}"/>
    <cellStyle name="Normal 2 3 17 5 3" xfId="25712" xr:uid="{00000000-0005-0000-0000-000070640000}"/>
    <cellStyle name="Normal 2 3 17 5 4" xfId="25713" xr:uid="{00000000-0005-0000-0000-000071640000}"/>
    <cellStyle name="Normal 2 3 17 5 5" xfId="25714" xr:uid="{00000000-0005-0000-0000-000072640000}"/>
    <cellStyle name="Normal 2 3 17 5 6" xfId="25715" xr:uid="{00000000-0005-0000-0000-000073640000}"/>
    <cellStyle name="Normal 2 3 17 5 7" xfId="25716" xr:uid="{00000000-0005-0000-0000-000074640000}"/>
    <cellStyle name="Normal 2 3 17 5 8" xfId="25717" xr:uid="{00000000-0005-0000-0000-000075640000}"/>
    <cellStyle name="Normal 2 3 17 5 9" xfId="25718" xr:uid="{00000000-0005-0000-0000-000076640000}"/>
    <cellStyle name="Normal 2 3 17 6" xfId="25719" xr:uid="{00000000-0005-0000-0000-000077640000}"/>
    <cellStyle name="Normal 2 3 17 7" xfId="25720" xr:uid="{00000000-0005-0000-0000-000078640000}"/>
    <cellStyle name="Normal 2 3 17 8" xfId="25721" xr:uid="{00000000-0005-0000-0000-000079640000}"/>
    <cellStyle name="Normal 2 3 17 9" xfId="25722" xr:uid="{00000000-0005-0000-0000-00007A640000}"/>
    <cellStyle name="Normal 2 3 18" xfId="25723" xr:uid="{00000000-0005-0000-0000-00007B640000}"/>
    <cellStyle name="Normal 2 3 18 10" xfId="25724" xr:uid="{00000000-0005-0000-0000-00007C640000}"/>
    <cellStyle name="Normal 2 3 18 11" xfId="25725" xr:uid="{00000000-0005-0000-0000-00007D640000}"/>
    <cellStyle name="Normal 2 3 18 12" xfId="25726" xr:uid="{00000000-0005-0000-0000-00007E640000}"/>
    <cellStyle name="Normal 2 3 18 13" xfId="25727" xr:uid="{00000000-0005-0000-0000-00007F640000}"/>
    <cellStyle name="Normal 2 3 18 14" xfId="25728" xr:uid="{00000000-0005-0000-0000-000080640000}"/>
    <cellStyle name="Normal 2 3 18 2" xfId="25729" xr:uid="{00000000-0005-0000-0000-000081640000}"/>
    <cellStyle name="Normal 2 3 18 2 10" xfId="25730" xr:uid="{00000000-0005-0000-0000-000082640000}"/>
    <cellStyle name="Normal 2 3 18 2 2" xfId="25731" xr:uid="{00000000-0005-0000-0000-000083640000}"/>
    <cellStyle name="Normal 2 3 18 2 3" xfId="25732" xr:uid="{00000000-0005-0000-0000-000084640000}"/>
    <cellStyle name="Normal 2 3 18 2 4" xfId="25733" xr:uid="{00000000-0005-0000-0000-000085640000}"/>
    <cellStyle name="Normal 2 3 18 2 5" xfId="25734" xr:uid="{00000000-0005-0000-0000-000086640000}"/>
    <cellStyle name="Normal 2 3 18 2 6" xfId="25735" xr:uid="{00000000-0005-0000-0000-000087640000}"/>
    <cellStyle name="Normal 2 3 18 2 7" xfId="25736" xr:uid="{00000000-0005-0000-0000-000088640000}"/>
    <cellStyle name="Normal 2 3 18 2 8" xfId="25737" xr:uid="{00000000-0005-0000-0000-000089640000}"/>
    <cellStyle name="Normal 2 3 18 2 9" xfId="25738" xr:uid="{00000000-0005-0000-0000-00008A640000}"/>
    <cellStyle name="Normal 2 3 18 3" xfId="25739" xr:uid="{00000000-0005-0000-0000-00008B640000}"/>
    <cellStyle name="Normal 2 3 18 3 10" xfId="25740" xr:uid="{00000000-0005-0000-0000-00008C640000}"/>
    <cellStyle name="Normal 2 3 18 3 2" xfId="25741" xr:uid="{00000000-0005-0000-0000-00008D640000}"/>
    <cellStyle name="Normal 2 3 18 3 3" xfId="25742" xr:uid="{00000000-0005-0000-0000-00008E640000}"/>
    <cellStyle name="Normal 2 3 18 3 4" xfId="25743" xr:uid="{00000000-0005-0000-0000-00008F640000}"/>
    <cellStyle name="Normal 2 3 18 3 5" xfId="25744" xr:uid="{00000000-0005-0000-0000-000090640000}"/>
    <cellStyle name="Normal 2 3 18 3 6" xfId="25745" xr:uid="{00000000-0005-0000-0000-000091640000}"/>
    <cellStyle name="Normal 2 3 18 3 7" xfId="25746" xr:uid="{00000000-0005-0000-0000-000092640000}"/>
    <cellStyle name="Normal 2 3 18 3 8" xfId="25747" xr:uid="{00000000-0005-0000-0000-000093640000}"/>
    <cellStyle name="Normal 2 3 18 3 9" xfId="25748" xr:uid="{00000000-0005-0000-0000-000094640000}"/>
    <cellStyle name="Normal 2 3 18 4" xfId="25749" xr:uid="{00000000-0005-0000-0000-000095640000}"/>
    <cellStyle name="Normal 2 3 18 4 10" xfId="25750" xr:uid="{00000000-0005-0000-0000-000096640000}"/>
    <cellStyle name="Normal 2 3 18 4 2" xfId="25751" xr:uid="{00000000-0005-0000-0000-000097640000}"/>
    <cellStyle name="Normal 2 3 18 4 3" xfId="25752" xr:uid="{00000000-0005-0000-0000-000098640000}"/>
    <cellStyle name="Normal 2 3 18 4 4" xfId="25753" xr:uid="{00000000-0005-0000-0000-000099640000}"/>
    <cellStyle name="Normal 2 3 18 4 5" xfId="25754" xr:uid="{00000000-0005-0000-0000-00009A640000}"/>
    <cellStyle name="Normal 2 3 18 4 6" xfId="25755" xr:uid="{00000000-0005-0000-0000-00009B640000}"/>
    <cellStyle name="Normal 2 3 18 4 7" xfId="25756" xr:uid="{00000000-0005-0000-0000-00009C640000}"/>
    <cellStyle name="Normal 2 3 18 4 8" xfId="25757" xr:uid="{00000000-0005-0000-0000-00009D640000}"/>
    <cellStyle name="Normal 2 3 18 4 9" xfId="25758" xr:uid="{00000000-0005-0000-0000-00009E640000}"/>
    <cellStyle name="Normal 2 3 18 5" xfId="25759" xr:uid="{00000000-0005-0000-0000-00009F640000}"/>
    <cellStyle name="Normal 2 3 18 5 10" xfId="25760" xr:uid="{00000000-0005-0000-0000-0000A0640000}"/>
    <cellStyle name="Normal 2 3 18 5 2" xfId="25761" xr:uid="{00000000-0005-0000-0000-0000A1640000}"/>
    <cellStyle name="Normal 2 3 18 5 3" xfId="25762" xr:uid="{00000000-0005-0000-0000-0000A2640000}"/>
    <cellStyle name="Normal 2 3 18 5 4" xfId="25763" xr:uid="{00000000-0005-0000-0000-0000A3640000}"/>
    <cellStyle name="Normal 2 3 18 5 5" xfId="25764" xr:uid="{00000000-0005-0000-0000-0000A4640000}"/>
    <cellStyle name="Normal 2 3 18 5 6" xfId="25765" xr:uid="{00000000-0005-0000-0000-0000A5640000}"/>
    <cellStyle name="Normal 2 3 18 5 7" xfId="25766" xr:uid="{00000000-0005-0000-0000-0000A6640000}"/>
    <cellStyle name="Normal 2 3 18 5 8" xfId="25767" xr:uid="{00000000-0005-0000-0000-0000A7640000}"/>
    <cellStyle name="Normal 2 3 18 5 9" xfId="25768" xr:uid="{00000000-0005-0000-0000-0000A8640000}"/>
    <cellStyle name="Normal 2 3 18 6" xfId="25769" xr:uid="{00000000-0005-0000-0000-0000A9640000}"/>
    <cellStyle name="Normal 2 3 18 7" xfId="25770" xr:uid="{00000000-0005-0000-0000-0000AA640000}"/>
    <cellStyle name="Normal 2 3 18 8" xfId="25771" xr:uid="{00000000-0005-0000-0000-0000AB640000}"/>
    <cellStyle name="Normal 2 3 18 9" xfId="25772" xr:uid="{00000000-0005-0000-0000-0000AC640000}"/>
    <cellStyle name="Normal 2 3 19" xfId="25773" xr:uid="{00000000-0005-0000-0000-0000AD640000}"/>
    <cellStyle name="Normal 2 3 19 10" xfId="25774" xr:uid="{00000000-0005-0000-0000-0000AE640000}"/>
    <cellStyle name="Normal 2 3 19 11" xfId="25775" xr:uid="{00000000-0005-0000-0000-0000AF640000}"/>
    <cellStyle name="Normal 2 3 19 12" xfId="25776" xr:uid="{00000000-0005-0000-0000-0000B0640000}"/>
    <cellStyle name="Normal 2 3 19 13" xfId="25777" xr:uid="{00000000-0005-0000-0000-0000B1640000}"/>
    <cellStyle name="Normal 2 3 19 14" xfId="25778" xr:uid="{00000000-0005-0000-0000-0000B2640000}"/>
    <cellStyle name="Normal 2 3 19 2" xfId="25779" xr:uid="{00000000-0005-0000-0000-0000B3640000}"/>
    <cellStyle name="Normal 2 3 19 2 10" xfId="25780" xr:uid="{00000000-0005-0000-0000-0000B4640000}"/>
    <cellStyle name="Normal 2 3 19 2 2" xfId="25781" xr:uid="{00000000-0005-0000-0000-0000B5640000}"/>
    <cellStyle name="Normal 2 3 19 2 3" xfId="25782" xr:uid="{00000000-0005-0000-0000-0000B6640000}"/>
    <cellStyle name="Normal 2 3 19 2 4" xfId="25783" xr:uid="{00000000-0005-0000-0000-0000B7640000}"/>
    <cellStyle name="Normal 2 3 19 2 5" xfId="25784" xr:uid="{00000000-0005-0000-0000-0000B8640000}"/>
    <cellStyle name="Normal 2 3 19 2 6" xfId="25785" xr:uid="{00000000-0005-0000-0000-0000B9640000}"/>
    <cellStyle name="Normal 2 3 19 2 7" xfId="25786" xr:uid="{00000000-0005-0000-0000-0000BA640000}"/>
    <cellStyle name="Normal 2 3 19 2 8" xfId="25787" xr:uid="{00000000-0005-0000-0000-0000BB640000}"/>
    <cellStyle name="Normal 2 3 19 2 9" xfId="25788" xr:uid="{00000000-0005-0000-0000-0000BC640000}"/>
    <cellStyle name="Normal 2 3 19 3" xfId="25789" xr:uid="{00000000-0005-0000-0000-0000BD640000}"/>
    <cellStyle name="Normal 2 3 19 3 10" xfId="25790" xr:uid="{00000000-0005-0000-0000-0000BE640000}"/>
    <cellStyle name="Normal 2 3 19 3 2" xfId="25791" xr:uid="{00000000-0005-0000-0000-0000BF640000}"/>
    <cellStyle name="Normal 2 3 19 3 3" xfId="25792" xr:uid="{00000000-0005-0000-0000-0000C0640000}"/>
    <cellStyle name="Normal 2 3 19 3 4" xfId="25793" xr:uid="{00000000-0005-0000-0000-0000C1640000}"/>
    <cellStyle name="Normal 2 3 19 3 5" xfId="25794" xr:uid="{00000000-0005-0000-0000-0000C2640000}"/>
    <cellStyle name="Normal 2 3 19 3 6" xfId="25795" xr:uid="{00000000-0005-0000-0000-0000C3640000}"/>
    <cellStyle name="Normal 2 3 19 3 7" xfId="25796" xr:uid="{00000000-0005-0000-0000-0000C4640000}"/>
    <cellStyle name="Normal 2 3 19 3 8" xfId="25797" xr:uid="{00000000-0005-0000-0000-0000C5640000}"/>
    <cellStyle name="Normal 2 3 19 3 9" xfId="25798" xr:uid="{00000000-0005-0000-0000-0000C6640000}"/>
    <cellStyle name="Normal 2 3 19 4" xfId="25799" xr:uid="{00000000-0005-0000-0000-0000C7640000}"/>
    <cellStyle name="Normal 2 3 19 4 10" xfId="25800" xr:uid="{00000000-0005-0000-0000-0000C8640000}"/>
    <cellStyle name="Normal 2 3 19 4 2" xfId="25801" xr:uid="{00000000-0005-0000-0000-0000C9640000}"/>
    <cellStyle name="Normal 2 3 19 4 3" xfId="25802" xr:uid="{00000000-0005-0000-0000-0000CA640000}"/>
    <cellStyle name="Normal 2 3 19 4 4" xfId="25803" xr:uid="{00000000-0005-0000-0000-0000CB640000}"/>
    <cellStyle name="Normal 2 3 19 4 5" xfId="25804" xr:uid="{00000000-0005-0000-0000-0000CC640000}"/>
    <cellStyle name="Normal 2 3 19 4 6" xfId="25805" xr:uid="{00000000-0005-0000-0000-0000CD640000}"/>
    <cellStyle name="Normal 2 3 19 4 7" xfId="25806" xr:uid="{00000000-0005-0000-0000-0000CE640000}"/>
    <cellStyle name="Normal 2 3 19 4 8" xfId="25807" xr:uid="{00000000-0005-0000-0000-0000CF640000}"/>
    <cellStyle name="Normal 2 3 19 4 9" xfId="25808" xr:uid="{00000000-0005-0000-0000-0000D0640000}"/>
    <cellStyle name="Normal 2 3 19 5" xfId="25809" xr:uid="{00000000-0005-0000-0000-0000D1640000}"/>
    <cellStyle name="Normal 2 3 19 5 10" xfId="25810" xr:uid="{00000000-0005-0000-0000-0000D2640000}"/>
    <cellStyle name="Normal 2 3 19 5 2" xfId="25811" xr:uid="{00000000-0005-0000-0000-0000D3640000}"/>
    <cellStyle name="Normal 2 3 19 5 3" xfId="25812" xr:uid="{00000000-0005-0000-0000-0000D4640000}"/>
    <cellStyle name="Normal 2 3 19 5 4" xfId="25813" xr:uid="{00000000-0005-0000-0000-0000D5640000}"/>
    <cellStyle name="Normal 2 3 19 5 5" xfId="25814" xr:uid="{00000000-0005-0000-0000-0000D6640000}"/>
    <cellStyle name="Normal 2 3 19 5 6" xfId="25815" xr:uid="{00000000-0005-0000-0000-0000D7640000}"/>
    <cellStyle name="Normal 2 3 19 5 7" xfId="25816" xr:uid="{00000000-0005-0000-0000-0000D8640000}"/>
    <cellStyle name="Normal 2 3 19 5 8" xfId="25817" xr:uid="{00000000-0005-0000-0000-0000D9640000}"/>
    <cellStyle name="Normal 2 3 19 5 9" xfId="25818" xr:uid="{00000000-0005-0000-0000-0000DA640000}"/>
    <cellStyle name="Normal 2 3 19 6" xfId="25819" xr:uid="{00000000-0005-0000-0000-0000DB640000}"/>
    <cellStyle name="Normal 2 3 19 7" xfId="25820" xr:uid="{00000000-0005-0000-0000-0000DC640000}"/>
    <cellStyle name="Normal 2 3 19 8" xfId="25821" xr:uid="{00000000-0005-0000-0000-0000DD640000}"/>
    <cellStyle name="Normal 2 3 19 9" xfId="25822" xr:uid="{00000000-0005-0000-0000-0000DE640000}"/>
    <cellStyle name="Normal 2 3 2" xfId="25823" xr:uid="{00000000-0005-0000-0000-0000DF640000}"/>
    <cellStyle name="Normal 2 3 2 10" xfId="25824" xr:uid="{00000000-0005-0000-0000-0000E0640000}"/>
    <cellStyle name="Normal 2 3 2 10 10" xfId="25825" xr:uid="{00000000-0005-0000-0000-0000E1640000}"/>
    <cellStyle name="Normal 2 3 2 10 11" xfId="25826" xr:uid="{00000000-0005-0000-0000-0000E2640000}"/>
    <cellStyle name="Normal 2 3 2 10 12" xfId="25827" xr:uid="{00000000-0005-0000-0000-0000E3640000}"/>
    <cellStyle name="Normal 2 3 2 10 13" xfId="25828" xr:uid="{00000000-0005-0000-0000-0000E4640000}"/>
    <cellStyle name="Normal 2 3 2 10 14" xfId="25829" xr:uid="{00000000-0005-0000-0000-0000E5640000}"/>
    <cellStyle name="Normal 2 3 2 10 2" xfId="25830" xr:uid="{00000000-0005-0000-0000-0000E6640000}"/>
    <cellStyle name="Normal 2 3 2 10 2 10" xfId="25831" xr:uid="{00000000-0005-0000-0000-0000E7640000}"/>
    <cellStyle name="Normal 2 3 2 10 2 2" xfId="25832" xr:uid="{00000000-0005-0000-0000-0000E8640000}"/>
    <cellStyle name="Normal 2 3 2 10 2 3" xfId="25833" xr:uid="{00000000-0005-0000-0000-0000E9640000}"/>
    <cellStyle name="Normal 2 3 2 10 2 4" xfId="25834" xr:uid="{00000000-0005-0000-0000-0000EA640000}"/>
    <cellStyle name="Normal 2 3 2 10 2 5" xfId="25835" xr:uid="{00000000-0005-0000-0000-0000EB640000}"/>
    <cellStyle name="Normal 2 3 2 10 2 6" xfId="25836" xr:uid="{00000000-0005-0000-0000-0000EC640000}"/>
    <cellStyle name="Normal 2 3 2 10 2 7" xfId="25837" xr:uid="{00000000-0005-0000-0000-0000ED640000}"/>
    <cellStyle name="Normal 2 3 2 10 2 8" xfId="25838" xr:uid="{00000000-0005-0000-0000-0000EE640000}"/>
    <cellStyle name="Normal 2 3 2 10 2 9" xfId="25839" xr:uid="{00000000-0005-0000-0000-0000EF640000}"/>
    <cellStyle name="Normal 2 3 2 10 3" xfId="25840" xr:uid="{00000000-0005-0000-0000-0000F0640000}"/>
    <cellStyle name="Normal 2 3 2 10 3 10" xfId="25841" xr:uid="{00000000-0005-0000-0000-0000F1640000}"/>
    <cellStyle name="Normal 2 3 2 10 3 2" xfId="25842" xr:uid="{00000000-0005-0000-0000-0000F2640000}"/>
    <cellStyle name="Normal 2 3 2 10 3 3" xfId="25843" xr:uid="{00000000-0005-0000-0000-0000F3640000}"/>
    <cellStyle name="Normal 2 3 2 10 3 4" xfId="25844" xr:uid="{00000000-0005-0000-0000-0000F4640000}"/>
    <cellStyle name="Normal 2 3 2 10 3 5" xfId="25845" xr:uid="{00000000-0005-0000-0000-0000F5640000}"/>
    <cellStyle name="Normal 2 3 2 10 3 6" xfId="25846" xr:uid="{00000000-0005-0000-0000-0000F6640000}"/>
    <cellStyle name="Normal 2 3 2 10 3 7" xfId="25847" xr:uid="{00000000-0005-0000-0000-0000F7640000}"/>
    <cellStyle name="Normal 2 3 2 10 3 8" xfId="25848" xr:uid="{00000000-0005-0000-0000-0000F8640000}"/>
    <cellStyle name="Normal 2 3 2 10 3 9" xfId="25849" xr:uid="{00000000-0005-0000-0000-0000F9640000}"/>
    <cellStyle name="Normal 2 3 2 10 4" xfId="25850" xr:uid="{00000000-0005-0000-0000-0000FA640000}"/>
    <cellStyle name="Normal 2 3 2 10 4 10" xfId="25851" xr:uid="{00000000-0005-0000-0000-0000FB640000}"/>
    <cellStyle name="Normal 2 3 2 10 4 2" xfId="25852" xr:uid="{00000000-0005-0000-0000-0000FC640000}"/>
    <cellStyle name="Normal 2 3 2 10 4 3" xfId="25853" xr:uid="{00000000-0005-0000-0000-0000FD640000}"/>
    <cellStyle name="Normal 2 3 2 10 4 4" xfId="25854" xr:uid="{00000000-0005-0000-0000-0000FE640000}"/>
    <cellStyle name="Normal 2 3 2 10 4 5" xfId="25855" xr:uid="{00000000-0005-0000-0000-0000FF640000}"/>
    <cellStyle name="Normal 2 3 2 10 4 6" xfId="25856" xr:uid="{00000000-0005-0000-0000-000000650000}"/>
    <cellStyle name="Normal 2 3 2 10 4 7" xfId="25857" xr:uid="{00000000-0005-0000-0000-000001650000}"/>
    <cellStyle name="Normal 2 3 2 10 4 8" xfId="25858" xr:uid="{00000000-0005-0000-0000-000002650000}"/>
    <cellStyle name="Normal 2 3 2 10 4 9" xfId="25859" xr:uid="{00000000-0005-0000-0000-000003650000}"/>
    <cellStyle name="Normal 2 3 2 10 5" xfId="25860" xr:uid="{00000000-0005-0000-0000-000004650000}"/>
    <cellStyle name="Normal 2 3 2 10 5 10" xfId="25861" xr:uid="{00000000-0005-0000-0000-000005650000}"/>
    <cellStyle name="Normal 2 3 2 10 5 2" xfId="25862" xr:uid="{00000000-0005-0000-0000-000006650000}"/>
    <cellStyle name="Normal 2 3 2 10 5 3" xfId="25863" xr:uid="{00000000-0005-0000-0000-000007650000}"/>
    <cellStyle name="Normal 2 3 2 10 5 4" xfId="25864" xr:uid="{00000000-0005-0000-0000-000008650000}"/>
    <cellStyle name="Normal 2 3 2 10 5 5" xfId="25865" xr:uid="{00000000-0005-0000-0000-000009650000}"/>
    <cellStyle name="Normal 2 3 2 10 5 6" xfId="25866" xr:uid="{00000000-0005-0000-0000-00000A650000}"/>
    <cellStyle name="Normal 2 3 2 10 5 7" xfId="25867" xr:uid="{00000000-0005-0000-0000-00000B650000}"/>
    <cellStyle name="Normal 2 3 2 10 5 8" xfId="25868" xr:uid="{00000000-0005-0000-0000-00000C650000}"/>
    <cellStyle name="Normal 2 3 2 10 5 9" xfId="25869" xr:uid="{00000000-0005-0000-0000-00000D650000}"/>
    <cellStyle name="Normal 2 3 2 10 6" xfId="25870" xr:uid="{00000000-0005-0000-0000-00000E650000}"/>
    <cellStyle name="Normal 2 3 2 10 7" xfId="25871" xr:uid="{00000000-0005-0000-0000-00000F650000}"/>
    <cellStyle name="Normal 2 3 2 10 8" xfId="25872" xr:uid="{00000000-0005-0000-0000-000010650000}"/>
    <cellStyle name="Normal 2 3 2 10 9" xfId="25873" xr:uid="{00000000-0005-0000-0000-000011650000}"/>
    <cellStyle name="Normal 2 3 2 11" xfId="25874" xr:uid="{00000000-0005-0000-0000-000012650000}"/>
    <cellStyle name="Normal 2 3 2 11 10" xfId="25875" xr:uid="{00000000-0005-0000-0000-000013650000}"/>
    <cellStyle name="Normal 2 3 2 11 11" xfId="25876" xr:uid="{00000000-0005-0000-0000-000014650000}"/>
    <cellStyle name="Normal 2 3 2 11 12" xfId="25877" xr:uid="{00000000-0005-0000-0000-000015650000}"/>
    <cellStyle name="Normal 2 3 2 11 13" xfId="25878" xr:uid="{00000000-0005-0000-0000-000016650000}"/>
    <cellStyle name="Normal 2 3 2 11 14" xfId="25879" xr:uid="{00000000-0005-0000-0000-000017650000}"/>
    <cellStyle name="Normal 2 3 2 11 2" xfId="25880" xr:uid="{00000000-0005-0000-0000-000018650000}"/>
    <cellStyle name="Normal 2 3 2 11 2 10" xfId="25881" xr:uid="{00000000-0005-0000-0000-000019650000}"/>
    <cellStyle name="Normal 2 3 2 11 2 2" xfId="25882" xr:uid="{00000000-0005-0000-0000-00001A650000}"/>
    <cellStyle name="Normal 2 3 2 11 2 3" xfId="25883" xr:uid="{00000000-0005-0000-0000-00001B650000}"/>
    <cellStyle name="Normal 2 3 2 11 2 4" xfId="25884" xr:uid="{00000000-0005-0000-0000-00001C650000}"/>
    <cellStyle name="Normal 2 3 2 11 2 5" xfId="25885" xr:uid="{00000000-0005-0000-0000-00001D650000}"/>
    <cellStyle name="Normal 2 3 2 11 2 6" xfId="25886" xr:uid="{00000000-0005-0000-0000-00001E650000}"/>
    <cellStyle name="Normal 2 3 2 11 2 7" xfId="25887" xr:uid="{00000000-0005-0000-0000-00001F650000}"/>
    <cellStyle name="Normal 2 3 2 11 2 8" xfId="25888" xr:uid="{00000000-0005-0000-0000-000020650000}"/>
    <cellStyle name="Normal 2 3 2 11 2 9" xfId="25889" xr:uid="{00000000-0005-0000-0000-000021650000}"/>
    <cellStyle name="Normal 2 3 2 11 3" xfId="25890" xr:uid="{00000000-0005-0000-0000-000022650000}"/>
    <cellStyle name="Normal 2 3 2 11 3 10" xfId="25891" xr:uid="{00000000-0005-0000-0000-000023650000}"/>
    <cellStyle name="Normal 2 3 2 11 3 2" xfId="25892" xr:uid="{00000000-0005-0000-0000-000024650000}"/>
    <cellStyle name="Normal 2 3 2 11 3 3" xfId="25893" xr:uid="{00000000-0005-0000-0000-000025650000}"/>
    <cellStyle name="Normal 2 3 2 11 3 4" xfId="25894" xr:uid="{00000000-0005-0000-0000-000026650000}"/>
    <cellStyle name="Normal 2 3 2 11 3 5" xfId="25895" xr:uid="{00000000-0005-0000-0000-000027650000}"/>
    <cellStyle name="Normal 2 3 2 11 3 6" xfId="25896" xr:uid="{00000000-0005-0000-0000-000028650000}"/>
    <cellStyle name="Normal 2 3 2 11 3 7" xfId="25897" xr:uid="{00000000-0005-0000-0000-000029650000}"/>
    <cellStyle name="Normal 2 3 2 11 3 8" xfId="25898" xr:uid="{00000000-0005-0000-0000-00002A650000}"/>
    <cellStyle name="Normal 2 3 2 11 3 9" xfId="25899" xr:uid="{00000000-0005-0000-0000-00002B650000}"/>
    <cellStyle name="Normal 2 3 2 11 4" xfId="25900" xr:uid="{00000000-0005-0000-0000-00002C650000}"/>
    <cellStyle name="Normal 2 3 2 11 4 10" xfId="25901" xr:uid="{00000000-0005-0000-0000-00002D650000}"/>
    <cellStyle name="Normal 2 3 2 11 4 2" xfId="25902" xr:uid="{00000000-0005-0000-0000-00002E650000}"/>
    <cellStyle name="Normal 2 3 2 11 4 3" xfId="25903" xr:uid="{00000000-0005-0000-0000-00002F650000}"/>
    <cellStyle name="Normal 2 3 2 11 4 4" xfId="25904" xr:uid="{00000000-0005-0000-0000-000030650000}"/>
    <cellStyle name="Normal 2 3 2 11 4 5" xfId="25905" xr:uid="{00000000-0005-0000-0000-000031650000}"/>
    <cellStyle name="Normal 2 3 2 11 4 6" xfId="25906" xr:uid="{00000000-0005-0000-0000-000032650000}"/>
    <cellStyle name="Normal 2 3 2 11 4 7" xfId="25907" xr:uid="{00000000-0005-0000-0000-000033650000}"/>
    <cellStyle name="Normal 2 3 2 11 4 8" xfId="25908" xr:uid="{00000000-0005-0000-0000-000034650000}"/>
    <cellStyle name="Normal 2 3 2 11 4 9" xfId="25909" xr:uid="{00000000-0005-0000-0000-000035650000}"/>
    <cellStyle name="Normal 2 3 2 11 5" xfId="25910" xr:uid="{00000000-0005-0000-0000-000036650000}"/>
    <cellStyle name="Normal 2 3 2 11 5 10" xfId="25911" xr:uid="{00000000-0005-0000-0000-000037650000}"/>
    <cellStyle name="Normal 2 3 2 11 5 2" xfId="25912" xr:uid="{00000000-0005-0000-0000-000038650000}"/>
    <cellStyle name="Normal 2 3 2 11 5 3" xfId="25913" xr:uid="{00000000-0005-0000-0000-000039650000}"/>
    <cellStyle name="Normal 2 3 2 11 5 4" xfId="25914" xr:uid="{00000000-0005-0000-0000-00003A650000}"/>
    <cellStyle name="Normal 2 3 2 11 5 5" xfId="25915" xr:uid="{00000000-0005-0000-0000-00003B650000}"/>
    <cellStyle name="Normal 2 3 2 11 5 6" xfId="25916" xr:uid="{00000000-0005-0000-0000-00003C650000}"/>
    <cellStyle name="Normal 2 3 2 11 5 7" xfId="25917" xr:uid="{00000000-0005-0000-0000-00003D650000}"/>
    <cellStyle name="Normal 2 3 2 11 5 8" xfId="25918" xr:uid="{00000000-0005-0000-0000-00003E650000}"/>
    <cellStyle name="Normal 2 3 2 11 5 9" xfId="25919" xr:uid="{00000000-0005-0000-0000-00003F650000}"/>
    <cellStyle name="Normal 2 3 2 11 6" xfId="25920" xr:uid="{00000000-0005-0000-0000-000040650000}"/>
    <cellStyle name="Normal 2 3 2 11 7" xfId="25921" xr:uid="{00000000-0005-0000-0000-000041650000}"/>
    <cellStyle name="Normal 2 3 2 11 8" xfId="25922" xr:uid="{00000000-0005-0000-0000-000042650000}"/>
    <cellStyle name="Normal 2 3 2 11 9" xfId="25923" xr:uid="{00000000-0005-0000-0000-000043650000}"/>
    <cellStyle name="Normal 2 3 2 12" xfId="25924" xr:uid="{00000000-0005-0000-0000-000044650000}"/>
    <cellStyle name="Normal 2 3 2 12 10" xfId="25925" xr:uid="{00000000-0005-0000-0000-000045650000}"/>
    <cellStyle name="Normal 2 3 2 12 11" xfId="25926" xr:uid="{00000000-0005-0000-0000-000046650000}"/>
    <cellStyle name="Normal 2 3 2 12 12" xfId="25927" xr:uid="{00000000-0005-0000-0000-000047650000}"/>
    <cellStyle name="Normal 2 3 2 12 13" xfId="25928" xr:uid="{00000000-0005-0000-0000-000048650000}"/>
    <cellStyle name="Normal 2 3 2 12 14" xfId="25929" xr:uid="{00000000-0005-0000-0000-000049650000}"/>
    <cellStyle name="Normal 2 3 2 12 2" xfId="25930" xr:uid="{00000000-0005-0000-0000-00004A650000}"/>
    <cellStyle name="Normal 2 3 2 12 2 10" xfId="25931" xr:uid="{00000000-0005-0000-0000-00004B650000}"/>
    <cellStyle name="Normal 2 3 2 12 2 2" xfId="25932" xr:uid="{00000000-0005-0000-0000-00004C650000}"/>
    <cellStyle name="Normal 2 3 2 12 2 3" xfId="25933" xr:uid="{00000000-0005-0000-0000-00004D650000}"/>
    <cellStyle name="Normal 2 3 2 12 2 4" xfId="25934" xr:uid="{00000000-0005-0000-0000-00004E650000}"/>
    <cellStyle name="Normal 2 3 2 12 2 5" xfId="25935" xr:uid="{00000000-0005-0000-0000-00004F650000}"/>
    <cellStyle name="Normal 2 3 2 12 2 6" xfId="25936" xr:uid="{00000000-0005-0000-0000-000050650000}"/>
    <cellStyle name="Normal 2 3 2 12 2 7" xfId="25937" xr:uid="{00000000-0005-0000-0000-000051650000}"/>
    <cellStyle name="Normal 2 3 2 12 2 8" xfId="25938" xr:uid="{00000000-0005-0000-0000-000052650000}"/>
    <cellStyle name="Normal 2 3 2 12 2 9" xfId="25939" xr:uid="{00000000-0005-0000-0000-000053650000}"/>
    <cellStyle name="Normal 2 3 2 12 3" xfId="25940" xr:uid="{00000000-0005-0000-0000-000054650000}"/>
    <cellStyle name="Normal 2 3 2 12 3 10" xfId="25941" xr:uid="{00000000-0005-0000-0000-000055650000}"/>
    <cellStyle name="Normal 2 3 2 12 3 2" xfId="25942" xr:uid="{00000000-0005-0000-0000-000056650000}"/>
    <cellStyle name="Normal 2 3 2 12 3 3" xfId="25943" xr:uid="{00000000-0005-0000-0000-000057650000}"/>
    <cellStyle name="Normal 2 3 2 12 3 4" xfId="25944" xr:uid="{00000000-0005-0000-0000-000058650000}"/>
    <cellStyle name="Normal 2 3 2 12 3 5" xfId="25945" xr:uid="{00000000-0005-0000-0000-000059650000}"/>
    <cellStyle name="Normal 2 3 2 12 3 6" xfId="25946" xr:uid="{00000000-0005-0000-0000-00005A650000}"/>
    <cellStyle name="Normal 2 3 2 12 3 7" xfId="25947" xr:uid="{00000000-0005-0000-0000-00005B650000}"/>
    <cellStyle name="Normal 2 3 2 12 3 8" xfId="25948" xr:uid="{00000000-0005-0000-0000-00005C650000}"/>
    <cellStyle name="Normal 2 3 2 12 3 9" xfId="25949" xr:uid="{00000000-0005-0000-0000-00005D650000}"/>
    <cellStyle name="Normal 2 3 2 12 4" xfId="25950" xr:uid="{00000000-0005-0000-0000-00005E650000}"/>
    <cellStyle name="Normal 2 3 2 12 4 10" xfId="25951" xr:uid="{00000000-0005-0000-0000-00005F650000}"/>
    <cellStyle name="Normal 2 3 2 12 4 2" xfId="25952" xr:uid="{00000000-0005-0000-0000-000060650000}"/>
    <cellStyle name="Normal 2 3 2 12 4 3" xfId="25953" xr:uid="{00000000-0005-0000-0000-000061650000}"/>
    <cellStyle name="Normal 2 3 2 12 4 4" xfId="25954" xr:uid="{00000000-0005-0000-0000-000062650000}"/>
    <cellStyle name="Normal 2 3 2 12 4 5" xfId="25955" xr:uid="{00000000-0005-0000-0000-000063650000}"/>
    <cellStyle name="Normal 2 3 2 12 4 6" xfId="25956" xr:uid="{00000000-0005-0000-0000-000064650000}"/>
    <cellStyle name="Normal 2 3 2 12 4 7" xfId="25957" xr:uid="{00000000-0005-0000-0000-000065650000}"/>
    <cellStyle name="Normal 2 3 2 12 4 8" xfId="25958" xr:uid="{00000000-0005-0000-0000-000066650000}"/>
    <cellStyle name="Normal 2 3 2 12 4 9" xfId="25959" xr:uid="{00000000-0005-0000-0000-000067650000}"/>
    <cellStyle name="Normal 2 3 2 12 5" xfId="25960" xr:uid="{00000000-0005-0000-0000-000068650000}"/>
    <cellStyle name="Normal 2 3 2 12 5 10" xfId="25961" xr:uid="{00000000-0005-0000-0000-000069650000}"/>
    <cellStyle name="Normal 2 3 2 12 5 2" xfId="25962" xr:uid="{00000000-0005-0000-0000-00006A650000}"/>
    <cellStyle name="Normal 2 3 2 12 5 3" xfId="25963" xr:uid="{00000000-0005-0000-0000-00006B650000}"/>
    <cellStyle name="Normal 2 3 2 12 5 4" xfId="25964" xr:uid="{00000000-0005-0000-0000-00006C650000}"/>
    <cellStyle name="Normal 2 3 2 12 5 5" xfId="25965" xr:uid="{00000000-0005-0000-0000-00006D650000}"/>
    <cellStyle name="Normal 2 3 2 12 5 6" xfId="25966" xr:uid="{00000000-0005-0000-0000-00006E650000}"/>
    <cellStyle name="Normal 2 3 2 12 5 7" xfId="25967" xr:uid="{00000000-0005-0000-0000-00006F650000}"/>
    <cellStyle name="Normal 2 3 2 12 5 8" xfId="25968" xr:uid="{00000000-0005-0000-0000-000070650000}"/>
    <cellStyle name="Normal 2 3 2 12 5 9" xfId="25969" xr:uid="{00000000-0005-0000-0000-000071650000}"/>
    <cellStyle name="Normal 2 3 2 12 6" xfId="25970" xr:uid="{00000000-0005-0000-0000-000072650000}"/>
    <cellStyle name="Normal 2 3 2 12 7" xfId="25971" xr:uid="{00000000-0005-0000-0000-000073650000}"/>
    <cellStyle name="Normal 2 3 2 12 8" xfId="25972" xr:uid="{00000000-0005-0000-0000-000074650000}"/>
    <cellStyle name="Normal 2 3 2 12 9" xfId="25973" xr:uid="{00000000-0005-0000-0000-000075650000}"/>
    <cellStyle name="Normal 2 3 2 13" xfId="25974" xr:uid="{00000000-0005-0000-0000-000076650000}"/>
    <cellStyle name="Normal 2 3 2 13 10" xfId="25975" xr:uid="{00000000-0005-0000-0000-000077650000}"/>
    <cellStyle name="Normal 2 3 2 13 11" xfId="25976" xr:uid="{00000000-0005-0000-0000-000078650000}"/>
    <cellStyle name="Normal 2 3 2 13 12" xfId="25977" xr:uid="{00000000-0005-0000-0000-000079650000}"/>
    <cellStyle name="Normal 2 3 2 13 13" xfId="25978" xr:uid="{00000000-0005-0000-0000-00007A650000}"/>
    <cellStyle name="Normal 2 3 2 13 14" xfId="25979" xr:uid="{00000000-0005-0000-0000-00007B650000}"/>
    <cellStyle name="Normal 2 3 2 13 2" xfId="25980" xr:uid="{00000000-0005-0000-0000-00007C650000}"/>
    <cellStyle name="Normal 2 3 2 13 2 10" xfId="25981" xr:uid="{00000000-0005-0000-0000-00007D650000}"/>
    <cellStyle name="Normal 2 3 2 13 2 2" xfId="25982" xr:uid="{00000000-0005-0000-0000-00007E650000}"/>
    <cellStyle name="Normal 2 3 2 13 2 3" xfId="25983" xr:uid="{00000000-0005-0000-0000-00007F650000}"/>
    <cellStyle name="Normal 2 3 2 13 2 4" xfId="25984" xr:uid="{00000000-0005-0000-0000-000080650000}"/>
    <cellStyle name="Normal 2 3 2 13 2 5" xfId="25985" xr:uid="{00000000-0005-0000-0000-000081650000}"/>
    <cellStyle name="Normal 2 3 2 13 2 6" xfId="25986" xr:uid="{00000000-0005-0000-0000-000082650000}"/>
    <cellStyle name="Normal 2 3 2 13 2 7" xfId="25987" xr:uid="{00000000-0005-0000-0000-000083650000}"/>
    <cellStyle name="Normal 2 3 2 13 2 8" xfId="25988" xr:uid="{00000000-0005-0000-0000-000084650000}"/>
    <cellStyle name="Normal 2 3 2 13 2 9" xfId="25989" xr:uid="{00000000-0005-0000-0000-000085650000}"/>
    <cellStyle name="Normal 2 3 2 13 3" xfId="25990" xr:uid="{00000000-0005-0000-0000-000086650000}"/>
    <cellStyle name="Normal 2 3 2 13 3 10" xfId="25991" xr:uid="{00000000-0005-0000-0000-000087650000}"/>
    <cellStyle name="Normal 2 3 2 13 3 2" xfId="25992" xr:uid="{00000000-0005-0000-0000-000088650000}"/>
    <cellStyle name="Normal 2 3 2 13 3 3" xfId="25993" xr:uid="{00000000-0005-0000-0000-000089650000}"/>
    <cellStyle name="Normal 2 3 2 13 3 4" xfId="25994" xr:uid="{00000000-0005-0000-0000-00008A650000}"/>
    <cellStyle name="Normal 2 3 2 13 3 5" xfId="25995" xr:uid="{00000000-0005-0000-0000-00008B650000}"/>
    <cellStyle name="Normal 2 3 2 13 3 6" xfId="25996" xr:uid="{00000000-0005-0000-0000-00008C650000}"/>
    <cellStyle name="Normal 2 3 2 13 3 7" xfId="25997" xr:uid="{00000000-0005-0000-0000-00008D650000}"/>
    <cellStyle name="Normal 2 3 2 13 3 8" xfId="25998" xr:uid="{00000000-0005-0000-0000-00008E650000}"/>
    <cellStyle name="Normal 2 3 2 13 3 9" xfId="25999" xr:uid="{00000000-0005-0000-0000-00008F650000}"/>
    <cellStyle name="Normal 2 3 2 13 4" xfId="26000" xr:uid="{00000000-0005-0000-0000-000090650000}"/>
    <cellStyle name="Normal 2 3 2 13 4 10" xfId="26001" xr:uid="{00000000-0005-0000-0000-000091650000}"/>
    <cellStyle name="Normal 2 3 2 13 4 2" xfId="26002" xr:uid="{00000000-0005-0000-0000-000092650000}"/>
    <cellStyle name="Normal 2 3 2 13 4 3" xfId="26003" xr:uid="{00000000-0005-0000-0000-000093650000}"/>
    <cellStyle name="Normal 2 3 2 13 4 4" xfId="26004" xr:uid="{00000000-0005-0000-0000-000094650000}"/>
    <cellStyle name="Normal 2 3 2 13 4 5" xfId="26005" xr:uid="{00000000-0005-0000-0000-000095650000}"/>
    <cellStyle name="Normal 2 3 2 13 4 6" xfId="26006" xr:uid="{00000000-0005-0000-0000-000096650000}"/>
    <cellStyle name="Normal 2 3 2 13 4 7" xfId="26007" xr:uid="{00000000-0005-0000-0000-000097650000}"/>
    <cellStyle name="Normal 2 3 2 13 4 8" xfId="26008" xr:uid="{00000000-0005-0000-0000-000098650000}"/>
    <cellStyle name="Normal 2 3 2 13 4 9" xfId="26009" xr:uid="{00000000-0005-0000-0000-000099650000}"/>
    <cellStyle name="Normal 2 3 2 13 5" xfId="26010" xr:uid="{00000000-0005-0000-0000-00009A650000}"/>
    <cellStyle name="Normal 2 3 2 13 5 10" xfId="26011" xr:uid="{00000000-0005-0000-0000-00009B650000}"/>
    <cellStyle name="Normal 2 3 2 13 5 2" xfId="26012" xr:uid="{00000000-0005-0000-0000-00009C650000}"/>
    <cellStyle name="Normal 2 3 2 13 5 3" xfId="26013" xr:uid="{00000000-0005-0000-0000-00009D650000}"/>
    <cellStyle name="Normal 2 3 2 13 5 4" xfId="26014" xr:uid="{00000000-0005-0000-0000-00009E650000}"/>
    <cellStyle name="Normal 2 3 2 13 5 5" xfId="26015" xr:uid="{00000000-0005-0000-0000-00009F650000}"/>
    <cellStyle name="Normal 2 3 2 13 5 6" xfId="26016" xr:uid="{00000000-0005-0000-0000-0000A0650000}"/>
    <cellStyle name="Normal 2 3 2 13 5 7" xfId="26017" xr:uid="{00000000-0005-0000-0000-0000A1650000}"/>
    <cellStyle name="Normal 2 3 2 13 5 8" xfId="26018" xr:uid="{00000000-0005-0000-0000-0000A2650000}"/>
    <cellStyle name="Normal 2 3 2 13 5 9" xfId="26019" xr:uid="{00000000-0005-0000-0000-0000A3650000}"/>
    <cellStyle name="Normal 2 3 2 13 6" xfId="26020" xr:uid="{00000000-0005-0000-0000-0000A4650000}"/>
    <cellStyle name="Normal 2 3 2 13 7" xfId="26021" xr:uid="{00000000-0005-0000-0000-0000A5650000}"/>
    <cellStyle name="Normal 2 3 2 13 8" xfId="26022" xr:uid="{00000000-0005-0000-0000-0000A6650000}"/>
    <cellStyle name="Normal 2 3 2 13 9" xfId="26023" xr:uid="{00000000-0005-0000-0000-0000A7650000}"/>
    <cellStyle name="Normal 2 3 2 14" xfId="26024" xr:uid="{00000000-0005-0000-0000-0000A8650000}"/>
    <cellStyle name="Normal 2 3 2 14 10" xfId="26025" xr:uid="{00000000-0005-0000-0000-0000A9650000}"/>
    <cellStyle name="Normal 2 3 2 14 11" xfId="26026" xr:uid="{00000000-0005-0000-0000-0000AA650000}"/>
    <cellStyle name="Normal 2 3 2 14 12" xfId="26027" xr:uid="{00000000-0005-0000-0000-0000AB650000}"/>
    <cellStyle name="Normal 2 3 2 14 13" xfId="26028" xr:uid="{00000000-0005-0000-0000-0000AC650000}"/>
    <cellStyle name="Normal 2 3 2 14 14" xfId="26029" xr:uid="{00000000-0005-0000-0000-0000AD650000}"/>
    <cellStyle name="Normal 2 3 2 14 2" xfId="26030" xr:uid="{00000000-0005-0000-0000-0000AE650000}"/>
    <cellStyle name="Normal 2 3 2 14 2 10" xfId="26031" xr:uid="{00000000-0005-0000-0000-0000AF650000}"/>
    <cellStyle name="Normal 2 3 2 14 2 2" xfId="26032" xr:uid="{00000000-0005-0000-0000-0000B0650000}"/>
    <cellStyle name="Normal 2 3 2 14 2 3" xfId="26033" xr:uid="{00000000-0005-0000-0000-0000B1650000}"/>
    <cellStyle name="Normal 2 3 2 14 2 4" xfId="26034" xr:uid="{00000000-0005-0000-0000-0000B2650000}"/>
    <cellStyle name="Normal 2 3 2 14 2 5" xfId="26035" xr:uid="{00000000-0005-0000-0000-0000B3650000}"/>
    <cellStyle name="Normal 2 3 2 14 2 6" xfId="26036" xr:uid="{00000000-0005-0000-0000-0000B4650000}"/>
    <cellStyle name="Normal 2 3 2 14 2 7" xfId="26037" xr:uid="{00000000-0005-0000-0000-0000B5650000}"/>
    <cellStyle name="Normal 2 3 2 14 2 8" xfId="26038" xr:uid="{00000000-0005-0000-0000-0000B6650000}"/>
    <cellStyle name="Normal 2 3 2 14 2 9" xfId="26039" xr:uid="{00000000-0005-0000-0000-0000B7650000}"/>
    <cellStyle name="Normal 2 3 2 14 3" xfId="26040" xr:uid="{00000000-0005-0000-0000-0000B8650000}"/>
    <cellStyle name="Normal 2 3 2 14 3 10" xfId="26041" xr:uid="{00000000-0005-0000-0000-0000B9650000}"/>
    <cellStyle name="Normal 2 3 2 14 3 2" xfId="26042" xr:uid="{00000000-0005-0000-0000-0000BA650000}"/>
    <cellStyle name="Normal 2 3 2 14 3 3" xfId="26043" xr:uid="{00000000-0005-0000-0000-0000BB650000}"/>
    <cellStyle name="Normal 2 3 2 14 3 4" xfId="26044" xr:uid="{00000000-0005-0000-0000-0000BC650000}"/>
    <cellStyle name="Normal 2 3 2 14 3 5" xfId="26045" xr:uid="{00000000-0005-0000-0000-0000BD650000}"/>
    <cellStyle name="Normal 2 3 2 14 3 6" xfId="26046" xr:uid="{00000000-0005-0000-0000-0000BE650000}"/>
    <cellStyle name="Normal 2 3 2 14 3 7" xfId="26047" xr:uid="{00000000-0005-0000-0000-0000BF650000}"/>
    <cellStyle name="Normal 2 3 2 14 3 8" xfId="26048" xr:uid="{00000000-0005-0000-0000-0000C0650000}"/>
    <cellStyle name="Normal 2 3 2 14 3 9" xfId="26049" xr:uid="{00000000-0005-0000-0000-0000C1650000}"/>
    <cellStyle name="Normal 2 3 2 14 4" xfId="26050" xr:uid="{00000000-0005-0000-0000-0000C2650000}"/>
    <cellStyle name="Normal 2 3 2 14 4 10" xfId="26051" xr:uid="{00000000-0005-0000-0000-0000C3650000}"/>
    <cellStyle name="Normal 2 3 2 14 4 2" xfId="26052" xr:uid="{00000000-0005-0000-0000-0000C4650000}"/>
    <cellStyle name="Normal 2 3 2 14 4 3" xfId="26053" xr:uid="{00000000-0005-0000-0000-0000C5650000}"/>
    <cellStyle name="Normal 2 3 2 14 4 4" xfId="26054" xr:uid="{00000000-0005-0000-0000-0000C6650000}"/>
    <cellStyle name="Normal 2 3 2 14 4 5" xfId="26055" xr:uid="{00000000-0005-0000-0000-0000C7650000}"/>
    <cellStyle name="Normal 2 3 2 14 4 6" xfId="26056" xr:uid="{00000000-0005-0000-0000-0000C8650000}"/>
    <cellStyle name="Normal 2 3 2 14 4 7" xfId="26057" xr:uid="{00000000-0005-0000-0000-0000C9650000}"/>
    <cellStyle name="Normal 2 3 2 14 4 8" xfId="26058" xr:uid="{00000000-0005-0000-0000-0000CA650000}"/>
    <cellStyle name="Normal 2 3 2 14 4 9" xfId="26059" xr:uid="{00000000-0005-0000-0000-0000CB650000}"/>
    <cellStyle name="Normal 2 3 2 14 5" xfId="26060" xr:uid="{00000000-0005-0000-0000-0000CC650000}"/>
    <cellStyle name="Normal 2 3 2 14 5 10" xfId="26061" xr:uid="{00000000-0005-0000-0000-0000CD650000}"/>
    <cellStyle name="Normal 2 3 2 14 5 2" xfId="26062" xr:uid="{00000000-0005-0000-0000-0000CE650000}"/>
    <cellStyle name="Normal 2 3 2 14 5 3" xfId="26063" xr:uid="{00000000-0005-0000-0000-0000CF650000}"/>
    <cellStyle name="Normal 2 3 2 14 5 4" xfId="26064" xr:uid="{00000000-0005-0000-0000-0000D0650000}"/>
    <cellStyle name="Normal 2 3 2 14 5 5" xfId="26065" xr:uid="{00000000-0005-0000-0000-0000D1650000}"/>
    <cellStyle name="Normal 2 3 2 14 5 6" xfId="26066" xr:uid="{00000000-0005-0000-0000-0000D2650000}"/>
    <cellStyle name="Normal 2 3 2 14 5 7" xfId="26067" xr:uid="{00000000-0005-0000-0000-0000D3650000}"/>
    <cellStyle name="Normal 2 3 2 14 5 8" xfId="26068" xr:uid="{00000000-0005-0000-0000-0000D4650000}"/>
    <cellStyle name="Normal 2 3 2 14 5 9" xfId="26069" xr:uid="{00000000-0005-0000-0000-0000D5650000}"/>
    <cellStyle name="Normal 2 3 2 14 6" xfId="26070" xr:uid="{00000000-0005-0000-0000-0000D6650000}"/>
    <cellStyle name="Normal 2 3 2 14 7" xfId="26071" xr:uid="{00000000-0005-0000-0000-0000D7650000}"/>
    <cellStyle name="Normal 2 3 2 14 8" xfId="26072" xr:uid="{00000000-0005-0000-0000-0000D8650000}"/>
    <cellStyle name="Normal 2 3 2 14 9" xfId="26073" xr:uid="{00000000-0005-0000-0000-0000D9650000}"/>
    <cellStyle name="Normal 2 3 2 15" xfId="26074" xr:uid="{00000000-0005-0000-0000-0000DA650000}"/>
    <cellStyle name="Normal 2 3 2 15 10" xfId="26075" xr:uid="{00000000-0005-0000-0000-0000DB650000}"/>
    <cellStyle name="Normal 2 3 2 15 11" xfId="26076" xr:uid="{00000000-0005-0000-0000-0000DC650000}"/>
    <cellStyle name="Normal 2 3 2 15 12" xfId="26077" xr:uid="{00000000-0005-0000-0000-0000DD650000}"/>
    <cellStyle name="Normal 2 3 2 15 13" xfId="26078" xr:uid="{00000000-0005-0000-0000-0000DE650000}"/>
    <cellStyle name="Normal 2 3 2 15 14" xfId="26079" xr:uid="{00000000-0005-0000-0000-0000DF650000}"/>
    <cellStyle name="Normal 2 3 2 15 2" xfId="26080" xr:uid="{00000000-0005-0000-0000-0000E0650000}"/>
    <cellStyle name="Normal 2 3 2 15 2 10" xfId="26081" xr:uid="{00000000-0005-0000-0000-0000E1650000}"/>
    <cellStyle name="Normal 2 3 2 15 2 2" xfId="26082" xr:uid="{00000000-0005-0000-0000-0000E2650000}"/>
    <cellStyle name="Normal 2 3 2 15 2 3" xfId="26083" xr:uid="{00000000-0005-0000-0000-0000E3650000}"/>
    <cellStyle name="Normal 2 3 2 15 2 4" xfId="26084" xr:uid="{00000000-0005-0000-0000-0000E4650000}"/>
    <cellStyle name="Normal 2 3 2 15 2 5" xfId="26085" xr:uid="{00000000-0005-0000-0000-0000E5650000}"/>
    <cellStyle name="Normal 2 3 2 15 2 6" xfId="26086" xr:uid="{00000000-0005-0000-0000-0000E6650000}"/>
    <cellStyle name="Normal 2 3 2 15 2 7" xfId="26087" xr:uid="{00000000-0005-0000-0000-0000E7650000}"/>
    <cellStyle name="Normal 2 3 2 15 2 8" xfId="26088" xr:uid="{00000000-0005-0000-0000-0000E8650000}"/>
    <cellStyle name="Normal 2 3 2 15 2 9" xfId="26089" xr:uid="{00000000-0005-0000-0000-0000E9650000}"/>
    <cellStyle name="Normal 2 3 2 15 3" xfId="26090" xr:uid="{00000000-0005-0000-0000-0000EA650000}"/>
    <cellStyle name="Normal 2 3 2 15 3 10" xfId="26091" xr:uid="{00000000-0005-0000-0000-0000EB650000}"/>
    <cellStyle name="Normal 2 3 2 15 3 2" xfId="26092" xr:uid="{00000000-0005-0000-0000-0000EC650000}"/>
    <cellStyle name="Normal 2 3 2 15 3 3" xfId="26093" xr:uid="{00000000-0005-0000-0000-0000ED650000}"/>
    <cellStyle name="Normal 2 3 2 15 3 4" xfId="26094" xr:uid="{00000000-0005-0000-0000-0000EE650000}"/>
    <cellStyle name="Normal 2 3 2 15 3 5" xfId="26095" xr:uid="{00000000-0005-0000-0000-0000EF650000}"/>
    <cellStyle name="Normal 2 3 2 15 3 6" xfId="26096" xr:uid="{00000000-0005-0000-0000-0000F0650000}"/>
    <cellStyle name="Normal 2 3 2 15 3 7" xfId="26097" xr:uid="{00000000-0005-0000-0000-0000F1650000}"/>
    <cellStyle name="Normal 2 3 2 15 3 8" xfId="26098" xr:uid="{00000000-0005-0000-0000-0000F2650000}"/>
    <cellStyle name="Normal 2 3 2 15 3 9" xfId="26099" xr:uid="{00000000-0005-0000-0000-0000F3650000}"/>
    <cellStyle name="Normal 2 3 2 15 4" xfId="26100" xr:uid="{00000000-0005-0000-0000-0000F4650000}"/>
    <cellStyle name="Normal 2 3 2 15 4 10" xfId="26101" xr:uid="{00000000-0005-0000-0000-0000F5650000}"/>
    <cellStyle name="Normal 2 3 2 15 4 2" xfId="26102" xr:uid="{00000000-0005-0000-0000-0000F6650000}"/>
    <cellStyle name="Normal 2 3 2 15 4 3" xfId="26103" xr:uid="{00000000-0005-0000-0000-0000F7650000}"/>
    <cellStyle name="Normal 2 3 2 15 4 4" xfId="26104" xr:uid="{00000000-0005-0000-0000-0000F8650000}"/>
    <cellStyle name="Normal 2 3 2 15 4 5" xfId="26105" xr:uid="{00000000-0005-0000-0000-0000F9650000}"/>
    <cellStyle name="Normal 2 3 2 15 4 6" xfId="26106" xr:uid="{00000000-0005-0000-0000-0000FA650000}"/>
    <cellStyle name="Normal 2 3 2 15 4 7" xfId="26107" xr:uid="{00000000-0005-0000-0000-0000FB650000}"/>
    <cellStyle name="Normal 2 3 2 15 4 8" xfId="26108" xr:uid="{00000000-0005-0000-0000-0000FC650000}"/>
    <cellStyle name="Normal 2 3 2 15 4 9" xfId="26109" xr:uid="{00000000-0005-0000-0000-0000FD650000}"/>
    <cellStyle name="Normal 2 3 2 15 5" xfId="26110" xr:uid="{00000000-0005-0000-0000-0000FE650000}"/>
    <cellStyle name="Normal 2 3 2 15 5 10" xfId="26111" xr:uid="{00000000-0005-0000-0000-0000FF650000}"/>
    <cellStyle name="Normal 2 3 2 15 5 2" xfId="26112" xr:uid="{00000000-0005-0000-0000-000000660000}"/>
    <cellStyle name="Normal 2 3 2 15 5 3" xfId="26113" xr:uid="{00000000-0005-0000-0000-000001660000}"/>
    <cellStyle name="Normal 2 3 2 15 5 4" xfId="26114" xr:uid="{00000000-0005-0000-0000-000002660000}"/>
    <cellStyle name="Normal 2 3 2 15 5 5" xfId="26115" xr:uid="{00000000-0005-0000-0000-000003660000}"/>
    <cellStyle name="Normal 2 3 2 15 5 6" xfId="26116" xr:uid="{00000000-0005-0000-0000-000004660000}"/>
    <cellStyle name="Normal 2 3 2 15 5 7" xfId="26117" xr:uid="{00000000-0005-0000-0000-000005660000}"/>
    <cellStyle name="Normal 2 3 2 15 5 8" xfId="26118" xr:uid="{00000000-0005-0000-0000-000006660000}"/>
    <cellStyle name="Normal 2 3 2 15 5 9" xfId="26119" xr:uid="{00000000-0005-0000-0000-000007660000}"/>
    <cellStyle name="Normal 2 3 2 15 6" xfId="26120" xr:uid="{00000000-0005-0000-0000-000008660000}"/>
    <cellStyle name="Normal 2 3 2 15 7" xfId="26121" xr:uid="{00000000-0005-0000-0000-000009660000}"/>
    <cellStyle name="Normal 2 3 2 15 8" xfId="26122" xr:uid="{00000000-0005-0000-0000-00000A660000}"/>
    <cellStyle name="Normal 2 3 2 15 9" xfId="26123" xr:uid="{00000000-0005-0000-0000-00000B660000}"/>
    <cellStyle name="Normal 2 3 2 16" xfId="26124" xr:uid="{00000000-0005-0000-0000-00000C660000}"/>
    <cellStyle name="Normal 2 3 2 16 10" xfId="26125" xr:uid="{00000000-0005-0000-0000-00000D660000}"/>
    <cellStyle name="Normal 2 3 2 16 11" xfId="26126" xr:uid="{00000000-0005-0000-0000-00000E660000}"/>
    <cellStyle name="Normal 2 3 2 16 12" xfId="26127" xr:uid="{00000000-0005-0000-0000-00000F660000}"/>
    <cellStyle name="Normal 2 3 2 16 13" xfId="26128" xr:uid="{00000000-0005-0000-0000-000010660000}"/>
    <cellStyle name="Normal 2 3 2 16 14" xfId="26129" xr:uid="{00000000-0005-0000-0000-000011660000}"/>
    <cellStyle name="Normal 2 3 2 16 2" xfId="26130" xr:uid="{00000000-0005-0000-0000-000012660000}"/>
    <cellStyle name="Normal 2 3 2 16 2 10" xfId="26131" xr:uid="{00000000-0005-0000-0000-000013660000}"/>
    <cellStyle name="Normal 2 3 2 16 2 2" xfId="26132" xr:uid="{00000000-0005-0000-0000-000014660000}"/>
    <cellStyle name="Normal 2 3 2 16 2 3" xfId="26133" xr:uid="{00000000-0005-0000-0000-000015660000}"/>
    <cellStyle name="Normal 2 3 2 16 2 4" xfId="26134" xr:uid="{00000000-0005-0000-0000-000016660000}"/>
    <cellStyle name="Normal 2 3 2 16 2 5" xfId="26135" xr:uid="{00000000-0005-0000-0000-000017660000}"/>
    <cellStyle name="Normal 2 3 2 16 2 6" xfId="26136" xr:uid="{00000000-0005-0000-0000-000018660000}"/>
    <cellStyle name="Normal 2 3 2 16 2 7" xfId="26137" xr:uid="{00000000-0005-0000-0000-000019660000}"/>
    <cellStyle name="Normal 2 3 2 16 2 8" xfId="26138" xr:uid="{00000000-0005-0000-0000-00001A660000}"/>
    <cellStyle name="Normal 2 3 2 16 2 9" xfId="26139" xr:uid="{00000000-0005-0000-0000-00001B660000}"/>
    <cellStyle name="Normal 2 3 2 16 3" xfId="26140" xr:uid="{00000000-0005-0000-0000-00001C660000}"/>
    <cellStyle name="Normal 2 3 2 16 3 10" xfId="26141" xr:uid="{00000000-0005-0000-0000-00001D660000}"/>
    <cellStyle name="Normal 2 3 2 16 3 2" xfId="26142" xr:uid="{00000000-0005-0000-0000-00001E660000}"/>
    <cellStyle name="Normal 2 3 2 16 3 3" xfId="26143" xr:uid="{00000000-0005-0000-0000-00001F660000}"/>
    <cellStyle name="Normal 2 3 2 16 3 4" xfId="26144" xr:uid="{00000000-0005-0000-0000-000020660000}"/>
    <cellStyle name="Normal 2 3 2 16 3 5" xfId="26145" xr:uid="{00000000-0005-0000-0000-000021660000}"/>
    <cellStyle name="Normal 2 3 2 16 3 6" xfId="26146" xr:uid="{00000000-0005-0000-0000-000022660000}"/>
    <cellStyle name="Normal 2 3 2 16 3 7" xfId="26147" xr:uid="{00000000-0005-0000-0000-000023660000}"/>
    <cellStyle name="Normal 2 3 2 16 3 8" xfId="26148" xr:uid="{00000000-0005-0000-0000-000024660000}"/>
    <cellStyle name="Normal 2 3 2 16 3 9" xfId="26149" xr:uid="{00000000-0005-0000-0000-000025660000}"/>
    <cellStyle name="Normal 2 3 2 16 4" xfId="26150" xr:uid="{00000000-0005-0000-0000-000026660000}"/>
    <cellStyle name="Normal 2 3 2 16 4 10" xfId="26151" xr:uid="{00000000-0005-0000-0000-000027660000}"/>
    <cellStyle name="Normal 2 3 2 16 4 2" xfId="26152" xr:uid="{00000000-0005-0000-0000-000028660000}"/>
    <cellStyle name="Normal 2 3 2 16 4 3" xfId="26153" xr:uid="{00000000-0005-0000-0000-000029660000}"/>
    <cellStyle name="Normal 2 3 2 16 4 4" xfId="26154" xr:uid="{00000000-0005-0000-0000-00002A660000}"/>
    <cellStyle name="Normal 2 3 2 16 4 5" xfId="26155" xr:uid="{00000000-0005-0000-0000-00002B660000}"/>
    <cellStyle name="Normal 2 3 2 16 4 6" xfId="26156" xr:uid="{00000000-0005-0000-0000-00002C660000}"/>
    <cellStyle name="Normal 2 3 2 16 4 7" xfId="26157" xr:uid="{00000000-0005-0000-0000-00002D660000}"/>
    <cellStyle name="Normal 2 3 2 16 4 8" xfId="26158" xr:uid="{00000000-0005-0000-0000-00002E660000}"/>
    <cellStyle name="Normal 2 3 2 16 4 9" xfId="26159" xr:uid="{00000000-0005-0000-0000-00002F660000}"/>
    <cellStyle name="Normal 2 3 2 16 5" xfId="26160" xr:uid="{00000000-0005-0000-0000-000030660000}"/>
    <cellStyle name="Normal 2 3 2 16 5 10" xfId="26161" xr:uid="{00000000-0005-0000-0000-000031660000}"/>
    <cellStyle name="Normal 2 3 2 16 5 2" xfId="26162" xr:uid="{00000000-0005-0000-0000-000032660000}"/>
    <cellStyle name="Normal 2 3 2 16 5 3" xfId="26163" xr:uid="{00000000-0005-0000-0000-000033660000}"/>
    <cellStyle name="Normal 2 3 2 16 5 4" xfId="26164" xr:uid="{00000000-0005-0000-0000-000034660000}"/>
    <cellStyle name="Normal 2 3 2 16 5 5" xfId="26165" xr:uid="{00000000-0005-0000-0000-000035660000}"/>
    <cellStyle name="Normal 2 3 2 16 5 6" xfId="26166" xr:uid="{00000000-0005-0000-0000-000036660000}"/>
    <cellStyle name="Normal 2 3 2 16 5 7" xfId="26167" xr:uid="{00000000-0005-0000-0000-000037660000}"/>
    <cellStyle name="Normal 2 3 2 16 5 8" xfId="26168" xr:uid="{00000000-0005-0000-0000-000038660000}"/>
    <cellStyle name="Normal 2 3 2 16 5 9" xfId="26169" xr:uid="{00000000-0005-0000-0000-000039660000}"/>
    <cellStyle name="Normal 2 3 2 16 6" xfId="26170" xr:uid="{00000000-0005-0000-0000-00003A660000}"/>
    <cellStyle name="Normal 2 3 2 16 7" xfId="26171" xr:uid="{00000000-0005-0000-0000-00003B660000}"/>
    <cellStyle name="Normal 2 3 2 16 8" xfId="26172" xr:uid="{00000000-0005-0000-0000-00003C660000}"/>
    <cellStyle name="Normal 2 3 2 16 9" xfId="26173" xr:uid="{00000000-0005-0000-0000-00003D660000}"/>
    <cellStyle name="Normal 2 3 2 17" xfId="26174" xr:uid="{00000000-0005-0000-0000-00003E660000}"/>
    <cellStyle name="Normal 2 3 2 17 10" xfId="26175" xr:uid="{00000000-0005-0000-0000-00003F660000}"/>
    <cellStyle name="Normal 2 3 2 17 11" xfId="26176" xr:uid="{00000000-0005-0000-0000-000040660000}"/>
    <cellStyle name="Normal 2 3 2 17 12" xfId="26177" xr:uid="{00000000-0005-0000-0000-000041660000}"/>
    <cellStyle name="Normal 2 3 2 17 13" xfId="26178" xr:uid="{00000000-0005-0000-0000-000042660000}"/>
    <cellStyle name="Normal 2 3 2 17 14" xfId="26179" xr:uid="{00000000-0005-0000-0000-000043660000}"/>
    <cellStyle name="Normal 2 3 2 17 2" xfId="26180" xr:uid="{00000000-0005-0000-0000-000044660000}"/>
    <cellStyle name="Normal 2 3 2 17 2 10" xfId="26181" xr:uid="{00000000-0005-0000-0000-000045660000}"/>
    <cellStyle name="Normal 2 3 2 17 2 2" xfId="26182" xr:uid="{00000000-0005-0000-0000-000046660000}"/>
    <cellStyle name="Normal 2 3 2 17 2 3" xfId="26183" xr:uid="{00000000-0005-0000-0000-000047660000}"/>
    <cellStyle name="Normal 2 3 2 17 2 4" xfId="26184" xr:uid="{00000000-0005-0000-0000-000048660000}"/>
    <cellStyle name="Normal 2 3 2 17 2 5" xfId="26185" xr:uid="{00000000-0005-0000-0000-000049660000}"/>
    <cellStyle name="Normal 2 3 2 17 2 6" xfId="26186" xr:uid="{00000000-0005-0000-0000-00004A660000}"/>
    <cellStyle name="Normal 2 3 2 17 2 7" xfId="26187" xr:uid="{00000000-0005-0000-0000-00004B660000}"/>
    <cellStyle name="Normal 2 3 2 17 2 8" xfId="26188" xr:uid="{00000000-0005-0000-0000-00004C660000}"/>
    <cellStyle name="Normal 2 3 2 17 2 9" xfId="26189" xr:uid="{00000000-0005-0000-0000-00004D660000}"/>
    <cellStyle name="Normal 2 3 2 17 3" xfId="26190" xr:uid="{00000000-0005-0000-0000-00004E660000}"/>
    <cellStyle name="Normal 2 3 2 17 3 10" xfId="26191" xr:uid="{00000000-0005-0000-0000-00004F660000}"/>
    <cellStyle name="Normal 2 3 2 17 3 2" xfId="26192" xr:uid="{00000000-0005-0000-0000-000050660000}"/>
    <cellStyle name="Normal 2 3 2 17 3 3" xfId="26193" xr:uid="{00000000-0005-0000-0000-000051660000}"/>
    <cellStyle name="Normal 2 3 2 17 3 4" xfId="26194" xr:uid="{00000000-0005-0000-0000-000052660000}"/>
    <cellStyle name="Normal 2 3 2 17 3 5" xfId="26195" xr:uid="{00000000-0005-0000-0000-000053660000}"/>
    <cellStyle name="Normal 2 3 2 17 3 6" xfId="26196" xr:uid="{00000000-0005-0000-0000-000054660000}"/>
    <cellStyle name="Normal 2 3 2 17 3 7" xfId="26197" xr:uid="{00000000-0005-0000-0000-000055660000}"/>
    <cellStyle name="Normal 2 3 2 17 3 8" xfId="26198" xr:uid="{00000000-0005-0000-0000-000056660000}"/>
    <cellStyle name="Normal 2 3 2 17 3 9" xfId="26199" xr:uid="{00000000-0005-0000-0000-000057660000}"/>
    <cellStyle name="Normal 2 3 2 17 4" xfId="26200" xr:uid="{00000000-0005-0000-0000-000058660000}"/>
    <cellStyle name="Normal 2 3 2 17 4 10" xfId="26201" xr:uid="{00000000-0005-0000-0000-000059660000}"/>
    <cellStyle name="Normal 2 3 2 17 4 2" xfId="26202" xr:uid="{00000000-0005-0000-0000-00005A660000}"/>
    <cellStyle name="Normal 2 3 2 17 4 3" xfId="26203" xr:uid="{00000000-0005-0000-0000-00005B660000}"/>
    <cellStyle name="Normal 2 3 2 17 4 4" xfId="26204" xr:uid="{00000000-0005-0000-0000-00005C660000}"/>
    <cellStyle name="Normal 2 3 2 17 4 5" xfId="26205" xr:uid="{00000000-0005-0000-0000-00005D660000}"/>
    <cellStyle name="Normal 2 3 2 17 4 6" xfId="26206" xr:uid="{00000000-0005-0000-0000-00005E660000}"/>
    <cellStyle name="Normal 2 3 2 17 4 7" xfId="26207" xr:uid="{00000000-0005-0000-0000-00005F660000}"/>
    <cellStyle name="Normal 2 3 2 17 4 8" xfId="26208" xr:uid="{00000000-0005-0000-0000-000060660000}"/>
    <cellStyle name="Normal 2 3 2 17 4 9" xfId="26209" xr:uid="{00000000-0005-0000-0000-000061660000}"/>
    <cellStyle name="Normal 2 3 2 17 5" xfId="26210" xr:uid="{00000000-0005-0000-0000-000062660000}"/>
    <cellStyle name="Normal 2 3 2 17 5 10" xfId="26211" xr:uid="{00000000-0005-0000-0000-000063660000}"/>
    <cellStyle name="Normal 2 3 2 17 5 2" xfId="26212" xr:uid="{00000000-0005-0000-0000-000064660000}"/>
    <cellStyle name="Normal 2 3 2 17 5 3" xfId="26213" xr:uid="{00000000-0005-0000-0000-000065660000}"/>
    <cellStyle name="Normal 2 3 2 17 5 4" xfId="26214" xr:uid="{00000000-0005-0000-0000-000066660000}"/>
    <cellStyle name="Normal 2 3 2 17 5 5" xfId="26215" xr:uid="{00000000-0005-0000-0000-000067660000}"/>
    <cellStyle name="Normal 2 3 2 17 5 6" xfId="26216" xr:uid="{00000000-0005-0000-0000-000068660000}"/>
    <cellStyle name="Normal 2 3 2 17 5 7" xfId="26217" xr:uid="{00000000-0005-0000-0000-000069660000}"/>
    <cellStyle name="Normal 2 3 2 17 5 8" xfId="26218" xr:uid="{00000000-0005-0000-0000-00006A660000}"/>
    <cellStyle name="Normal 2 3 2 17 5 9" xfId="26219" xr:uid="{00000000-0005-0000-0000-00006B660000}"/>
    <cellStyle name="Normal 2 3 2 17 6" xfId="26220" xr:uid="{00000000-0005-0000-0000-00006C660000}"/>
    <cellStyle name="Normal 2 3 2 17 7" xfId="26221" xr:uid="{00000000-0005-0000-0000-00006D660000}"/>
    <cellStyle name="Normal 2 3 2 17 8" xfId="26222" xr:uid="{00000000-0005-0000-0000-00006E660000}"/>
    <cellStyle name="Normal 2 3 2 17 9" xfId="26223" xr:uid="{00000000-0005-0000-0000-00006F660000}"/>
    <cellStyle name="Normal 2 3 2 18" xfId="26224" xr:uid="{00000000-0005-0000-0000-000070660000}"/>
    <cellStyle name="Normal 2 3 2 18 10" xfId="26225" xr:uid="{00000000-0005-0000-0000-000071660000}"/>
    <cellStyle name="Normal 2 3 2 18 11" xfId="26226" xr:uid="{00000000-0005-0000-0000-000072660000}"/>
    <cellStyle name="Normal 2 3 2 18 12" xfId="26227" xr:uid="{00000000-0005-0000-0000-000073660000}"/>
    <cellStyle name="Normal 2 3 2 18 13" xfId="26228" xr:uid="{00000000-0005-0000-0000-000074660000}"/>
    <cellStyle name="Normal 2 3 2 18 14" xfId="26229" xr:uid="{00000000-0005-0000-0000-000075660000}"/>
    <cellStyle name="Normal 2 3 2 18 2" xfId="26230" xr:uid="{00000000-0005-0000-0000-000076660000}"/>
    <cellStyle name="Normal 2 3 2 18 2 10" xfId="26231" xr:uid="{00000000-0005-0000-0000-000077660000}"/>
    <cellStyle name="Normal 2 3 2 18 2 2" xfId="26232" xr:uid="{00000000-0005-0000-0000-000078660000}"/>
    <cellStyle name="Normal 2 3 2 18 2 3" xfId="26233" xr:uid="{00000000-0005-0000-0000-000079660000}"/>
    <cellStyle name="Normal 2 3 2 18 2 4" xfId="26234" xr:uid="{00000000-0005-0000-0000-00007A660000}"/>
    <cellStyle name="Normal 2 3 2 18 2 5" xfId="26235" xr:uid="{00000000-0005-0000-0000-00007B660000}"/>
    <cellStyle name="Normal 2 3 2 18 2 6" xfId="26236" xr:uid="{00000000-0005-0000-0000-00007C660000}"/>
    <cellStyle name="Normal 2 3 2 18 2 7" xfId="26237" xr:uid="{00000000-0005-0000-0000-00007D660000}"/>
    <cellStyle name="Normal 2 3 2 18 2 8" xfId="26238" xr:uid="{00000000-0005-0000-0000-00007E660000}"/>
    <cellStyle name="Normal 2 3 2 18 2 9" xfId="26239" xr:uid="{00000000-0005-0000-0000-00007F660000}"/>
    <cellStyle name="Normal 2 3 2 18 3" xfId="26240" xr:uid="{00000000-0005-0000-0000-000080660000}"/>
    <cellStyle name="Normal 2 3 2 18 3 10" xfId="26241" xr:uid="{00000000-0005-0000-0000-000081660000}"/>
    <cellStyle name="Normal 2 3 2 18 3 2" xfId="26242" xr:uid="{00000000-0005-0000-0000-000082660000}"/>
    <cellStyle name="Normal 2 3 2 18 3 3" xfId="26243" xr:uid="{00000000-0005-0000-0000-000083660000}"/>
    <cellStyle name="Normal 2 3 2 18 3 4" xfId="26244" xr:uid="{00000000-0005-0000-0000-000084660000}"/>
    <cellStyle name="Normal 2 3 2 18 3 5" xfId="26245" xr:uid="{00000000-0005-0000-0000-000085660000}"/>
    <cellStyle name="Normal 2 3 2 18 3 6" xfId="26246" xr:uid="{00000000-0005-0000-0000-000086660000}"/>
    <cellStyle name="Normal 2 3 2 18 3 7" xfId="26247" xr:uid="{00000000-0005-0000-0000-000087660000}"/>
    <cellStyle name="Normal 2 3 2 18 3 8" xfId="26248" xr:uid="{00000000-0005-0000-0000-000088660000}"/>
    <cellStyle name="Normal 2 3 2 18 3 9" xfId="26249" xr:uid="{00000000-0005-0000-0000-000089660000}"/>
    <cellStyle name="Normal 2 3 2 18 4" xfId="26250" xr:uid="{00000000-0005-0000-0000-00008A660000}"/>
    <cellStyle name="Normal 2 3 2 18 4 10" xfId="26251" xr:uid="{00000000-0005-0000-0000-00008B660000}"/>
    <cellStyle name="Normal 2 3 2 18 4 2" xfId="26252" xr:uid="{00000000-0005-0000-0000-00008C660000}"/>
    <cellStyle name="Normal 2 3 2 18 4 3" xfId="26253" xr:uid="{00000000-0005-0000-0000-00008D660000}"/>
    <cellStyle name="Normal 2 3 2 18 4 4" xfId="26254" xr:uid="{00000000-0005-0000-0000-00008E660000}"/>
    <cellStyle name="Normal 2 3 2 18 4 5" xfId="26255" xr:uid="{00000000-0005-0000-0000-00008F660000}"/>
    <cellStyle name="Normal 2 3 2 18 4 6" xfId="26256" xr:uid="{00000000-0005-0000-0000-000090660000}"/>
    <cellStyle name="Normal 2 3 2 18 4 7" xfId="26257" xr:uid="{00000000-0005-0000-0000-000091660000}"/>
    <cellStyle name="Normal 2 3 2 18 4 8" xfId="26258" xr:uid="{00000000-0005-0000-0000-000092660000}"/>
    <cellStyle name="Normal 2 3 2 18 4 9" xfId="26259" xr:uid="{00000000-0005-0000-0000-000093660000}"/>
    <cellStyle name="Normal 2 3 2 18 5" xfId="26260" xr:uid="{00000000-0005-0000-0000-000094660000}"/>
    <cellStyle name="Normal 2 3 2 18 5 10" xfId="26261" xr:uid="{00000000-0005-0000-0000-000095660000}"/>
    <cellStyle name="Normal 2 3 2 18 5 2" xfId="26262" xr:uid="{00000000-0005-0000-0000-000096660000}"/>
    <cellStyle name="Normal 2 3 2 18 5 3" xfId="26263" xr:uid="{00000000-0005-0000-0000-000097660000}"/>
    <cellStyle name="Normal 2 3 2 18 5 4" xfId="26264" xr:uid="{00000000-0005-0000-0000-000098660000}"/>
    <cellStyle name="Normal 2 3 2 18 5 5" xfId="26265" xr:uid="{00000000-0005-0000-0000-000099660000}"/>
    <cellStyle name="Normal 2 3 2 18 5 6" xfId="26266" xr:uid="{00000000-0005-0000-0000-00009A660000}"/>
    <cellStyle name="Normal 2 3 2 18 5 7" xfId="26267" xr:uid="{00000000-0005-0000-0000-00009B660000}"/>
    <cellStyle name="Normal 2 3 2 18 5 8" xfId="26268" xr:uid="{00000000-0005-0000-0000-00009C660000}"/>
    <cellStyle name="Normal 2 3 2 18 5 9" xfId="26269" xr:uid="{00000000-0005-0000-0000-00009D660000}"/>
    <cellStyle name="Normal 2 3 2 18 6" xfId="26270" xr:uid="{00000000-0005-0000-0000-00009E660000}"/>
    <cellStyle name="Normal 2 3 2 18 7" xfId="26271" xr:uid="{00000000-0005-0000-0000-00009F660000}"/>
    <cellStyle name="Normal 2 3 2 18 8" xfId="26272" xr:uid="{00000000-0005-0000-0000-0000A0660000}"/>
    <cellStyle name="Normal 2 3 2 18 9" xfId="26273" xr:uid="{00000000-0005-0000-0000-0000A1660000}"/>
    <cellStyle name="Normal 2 3 2 19" xfId="26274" xr:uid="{00000000-0005-0000-0000-0000A2660000}"/>
    <cellStyle name="Normal 2 3 2 19 10" xfId="26275" xr:uid="{00000000-0005-0000-0000-0000A3660000}"/>
    <cellStyle name="Normal 2 3 2 19 11" xfId="26276" xr:uid="{00000000-0005-0000-0000-0000A4660000}"/>
    <cellStyle name="Normal 2 3 2 19 12" xfId="26277" xr:uid="{00000000-0005-0000-0000-0000A5660000}"/>
    <cellStyle name="Normal 2 3 2 19 13" xfId="26278" xr:uid="{00000000-0005-0000-0000-0000A6660000}"/>
    <cellStyle name="Normal 2 3 2 19 14" xfId="26279" xr:uid="{00000000-0005-0000-0000-0000A7660000}"/>
    <cellStyle name="Normal 2 3 2 19 2" xfId="26280" xr:uid="{00000000-0005-0000-0000-0000A8660000}"/>
    <cellStyle name="Normal 2 3 2 19 2 10" xfId="26281" xr:uid="{00000000-0005-0000-0000-0000A9660000}"/>
    <cellStyle name="Normal 2 3 2 19 2 2" xfId="26282" xr:uid="{00000000-0005-0000-0000-0000AA660000}"/>
    <cellStyle name="Normal 2 3 2 19 2 3" xfId="26283" xr:uid="{00000000-0005-0000-0000-0000AB660000}"/>
    <cellStyle name="Normal 2 3 2 19 2 4" xfId="26284" xr:uid="{00000000-0005-0000-0000-0000AC660000}"/>
    <cellStyle name="Normal 2 3 2 19 2 5" xfId="26285" xr:uid="{00000000-0005-0000-0000-0000AD660000}"/>
    <cellStyle name="Normal 2 3 2 19 2 6" xfId="26286" xr:uid="{00000000-0005-0000-0000-0000AE660000}"/>
    <cellStyle name="Normal 2 3 2 19 2 7" xfId="26287" xr:uid="{00000000-0005-0000-0000-0000AF660000}"/>
    <cellStyle name="Normal 2 3 2 19 2 8" xfId="26288" xr:uid="{00000000-0005-0000-0000-0000B0660000}"/>
    <cellStyle name="Normal 2 3 2 19 2 9" xfId="26289" xr:uid="{00000000-0005-0000-0000-0000B1660000}"/>
    <cellStyle name="Normal 2 3 2 19 3" xfId="26290" xr:uid="{00000000-0005-0000-0000-0000B2660000}"/>
    <cellStyle name="Normal 2 3 2 19 3 10" xfId="26291" xr:uid="{00000000-0005-0000-0000-0000B3660000}"/>
    <cellStyle name="Normal 2 3 2 19 3 2" xfId="26292" xr:uid="{00000000-0005-0000-0000-0000B4660000}"/>
    <cellStyle name="Normal 2 3 2 19 3 3" xfId="26293" xr:uid="{00000000-0005-0000-0000-0000B5660000}"/>
    <cellStyle name="Normal 2 3 2 19 3 4" xfId="26294" xr:uid="{00000000-0005-0000-0000-0000B6660000}"/>
    <cellStyle name="Normal 2 3 2 19 3 5" xfId="26295" xr:uid="{00000000-0005-0000-0000-0000B7660000}"/>
    <cellStyle name="Normal 2 3 2 19 3 6" xfId="26296" xr:uid="{00000000-0005-0000-0000-0000B8660000}"/>
    <cellStyle name="Normal 2 3 2 19 3 7" xfId="26297" xr:uid="{00000000-0005-0000-0000-0000B9660000}"/>
    <cellStyle name="Normal 2 3 2 19 3 8" xfId="26298" xr:uid="{00000000-0005-0000-0000-0000BA660000}"/>
    <cellStyle name="Normal 2 3 2 19 3 9" xfId="26299" xr:uid="{00000000-0005-0000-0000-0000BB660000}"/>
    <cellStyle name="Normal 2 3 2 19 4" xfId="26300" xr:uid="{00000000-0005-0000-0000-0000BC660000}"/>
    <cellStyle name="Normal 2 3 2 19 4 10" xfId="26301" xr:uid="{00000000-0005-0000-0000-0000BD660000}"/>
    <cellStyle name="Normal 2 3 2 19 4 2" xfId="26302" xr:uid="{00000000-0005-0000-0000-0000BE660000}"/>
    <cellStyle name="Normal 2 3 2 19 4 3" xfId="26303" xr:uid="{00000000-0005-0000-0000-0000BF660000}"/>
    <cellStyle name="Normal 2 3 2 19 4 4" xfId="26304" xr:uid="{00000000-0005-0000-0000-0000C0660000}"/>
    <cellStyle name="Normal 2 3 2 19 4 5" xfId="26305" xr:uid="{00000000-0005-0000-0000-0000C1660000}"/>
    <cellStyle name="Normal 2 3 2 19 4 6" xfId="26306" xr:uid="{00000000-0005-0000-0000-0000C2660000}"/>
    <cellStyle name="Normal 2 3 2 19 4 7" xfId="26307" xr:uid="{00000000-0005-0000-0000-0000C3660000}"/>
    <cellStyle name="Normal 2 3 2 19 4 8" xfId="26308" xr:uid="{00000000-0005-0000-0000-0000C4660000}"/>
    <cellStyle name="Normal 2 3 2 19 4 9" xfId="26309" xr:uid="{00000000-0005-0000-0000-0000C5660000}"/>
    <cellStyle name="Normal 2 3 2 19 5" xfId="26310" xr:uid="{00000000-0005-0000-0000-0000C6660000}"/>
    <cellStyle name="Normal 2 3 2 19 5 10" xfId="26311" xr:uid="{00000000-0005-0000-0000-0000C7660000}"/>
    <cellStyle name="Normal 2 3 2 19 5 2" xfId="26312" xr:uid="{00000000-0005-0000-0000-0000C8660000}"/>
    <cellStyle name="Normal 2 3 2 19 5 3" xfId="26313" xr:uid="{00000000-0005-0000-0000-0000C9660000}"/>
    <cellStyle name="Normal 2 3 2 19 5 4" xfId="26314" xr:uid="{00000000-0005-0000-0000-0000CA660000}"/>
    <cellStyle name="Normal 2 3 2 19 5 5" xfId="26315" xr:uid="{00000000-0005-0000-0000-0000CB660000}"/>
    <cellStyle name="Normal 2 3 2 19 5 6" xfId="26316" xr:uid="{00000000-0005-0000-0000-0000CC660000}"/>
    <cellStyle name="Normal 2 3 2 19 5 7" xfId="26317" xr:uid="{00000000-0005-0000-0000-0000CD660000}"/>
    <cellStyle name="Normal 2 3 2 19 5 8" xfId="26318" xr:uid="{00000000-0005-0000-0000-0000CE660000}"/>
    <cellStyle name="Normal 2 3 2 19 5 9" xfId="26319" xr:uid="{00000000-0005-0000-0000-0000CF660000}"/>
    <cellStyle name="Normal 2 3 2 19 6" xfId="26320" xr:uid="{00000000-0005-0000-0000-0000D0660000}"/>
    <cellStyle name="Normal 2 3 2 19 7" xfId="26321" xr:uid="{00000000-0005-0000-0000-0000D1660000}"/>
    <cellStyle name="Normal 2 3 2 19 8" xfId="26322" xr:uid="{00000000-0005-0000-0000-0000D2660000}"/>
    <cellStyle name="Normal 2 3 2 19 9" xfId="26323" xr:uid="{00000000-0005-0000-0000-0000D3660000}"/>
    <cellStyle name="Normal 2 3 2 2" xfId="26324" xr:uid="{00000000-0005-0000-0000-0000D4660000}"/>
    <cellStyle name="Normal 2 3 2 2 10" xfId="26325" xr:uid="{00000000-0005-0000-0000-0000D5660000}"/>
    <cellStyle name="Normal 2 3 2 2 11" xfId="26326" xr:uid="{00000000-0005-0000-0000-0000D6660000}"/>
    <cellStyle name="Normal 2 3 2 2 12" xfId="26327" xr:uid="{00000000-0005-0000-0000-0000D7660000}"/>
    <cellStyle name="Normal 2 3 2 2 13" xfId="26328" xr:uid="{00000000-0005-0000-0000-0000D8660000}"/>
    <cellStyle name="Normal 2 3 2 2 14" xfId="26329" xr:uid="{00000000-0005-0000-0000-0000D9660000}"/>
    <cellStyle name="Normal 2 3 2 2 15" xfId="26330" xr:uid="{00000000-0005-0000-0000-0000DA660000}"/>
    <cellStyle name="Normal 2 3 2 2 16" xfId="26331" xr:uid="{00000000-0005-0000-0000-0000DB660000}"/>
    <cellStyle name="Normal 2 3 2 2 2" xfId="26332" xr:uid="{00000000-0005-0000-0000-0000DC660000}"/>
    <cellStyle name="Normal 2 3 2 2 2 10" xfId="26333" xr:uid="{00000000-0005-0000-0000-0000DD660000}"/>
    <cellStyle name="Normal 2 3 2 2 2 11" xfId="26334" xr:uid="{00000000-0005-0000-0000-0000DE660000}"/>
    <cellStyle name="Normal 2 3 2 2 2 12" xfId="26335" xr:uid="{00000000-0005-0000-0000-0000DF660000}"/>
    <cellStyle name="Normal 2 3 2 2 2 2" xfId="26336" xr:uid="{00000000-0005-0000-0000-0000E0660000}"/>
    <cellStyle name="Normal 2 3 2 2 2 3" xfId="26337" xr:uid="{00000000-0005-0000-0000-0000E1660000}"/>
    <cellStyle name="Normal 2 3 2 2 2 4" xfId="26338" xr:uid="{00000000-0005-0000-0000-0000E2660000}"/>
    <cellStyle name="Normal 2 3 2 2 2 5" xfId="26339" xr:uid="{00000000-0005-0000-0000-0000E3660000}"/>
    <cellStyle name="Normal 2 3 2 2 2 6" xfId="26340" xr:uid="{00000000-0005-0000-0000-0000E4660000}"/>
    <cellStyle name="Normal 2 3 2 2 2 7" xfId="26341" xr:uid="{00000000-0005-0000-0000-0000E5660000}"/>
    <cellStyle name="Normal 2 3 2 2 2 8" xfId="26342" xr:uid="{00000000-0005-0000-0000-0000E6660000}"/>
    <cellStyle name="Normal 2 3 2 2 2 9" xfId="26343" xr:uid="{00000000-0005-0000-0000-0000E7660000}"/>
    <cellStyle name="Normal 2 3 2 2 3" xfId="26344" xr:uid="{00000000-0005-0000-0000-0000E8660000}"/>
    <cellStyle name="Normal 2 3 2 2 3 10" xfId="26345" xr:uid="{00000000-0005-0000-0000-0000E9660000}"/>
    <cellStyle name="Normal 2 3 2 2 3 2" xfId="26346" xr:uid="{00000000-0005-0000-0000-0000EA660000}"/>
    <cellStyle name="Normal 2 3 2 2 3 3" xfId="26347" xr:uid="{00000000-0005-0000-0000-0000EB660000}"/>
    <cellStyle name="Normal 2 3 2 2 3 4" xfId="26348" xr:uid="{00000000-0005-0000-0000-0000EC660000}"/>
    <cellStyle name="Normal 2 3 2 2 3 5" xfId="26349" xr:uid="{00000000-0005-0000-0000-0000ED660000}"/>
    <cellStyle name="Normal 2 3 2 2 3 6" xfId="26350" xr:uid="{00000000-0005-0000-0000-0000EE660000}"/>
    <cellStyle name="Normal 2 3 2 2 3 7" xfId="26351" xr:uid="{00000000-0005-0000-0000-0000EF660000}"/>
    <cellStyle name="Normal 2 3 2 2 3 8" xfId="26352" xr:uid="{00000000-0005-0000-0000-0000F0660000}"/>
    <cellStyle name="Normal 2 3 2 2 3 9" xfId="26353" xr:uid="{00000000-0005-0000-0000-0000F1660000}"/>
    <cellStyle name="Normal 2 3 2 2 4" xfId="26354" xr:uid="{00000000-0005-0000-0000-0000F2660000}"/>
    <cellStyle name="Normal 2 3 2 2 4 10" xfId="26355" xr:uid="{00000000-0005-0000-0000-0000F3660000}"/>
    <cellStyle name="Normal 2 3 2 2 4 2" xfId="26356" xr:uid="{00000000-0005-0000-0000-0000F4660000}"/>
    <cellStyle name="Normal 2 3 2 2 4 3" xfId="26357" xr:uid="{00000000-0005-0000-0000-0000F5660000}"/>
    <cellStyle name="Normal 2 3 2 2 4 4" xfId="26358" xr:uid="{00000000-0005-0000-0000-0000F6660000}"/>
    <cellStyle name="Normal 2 3 2 2 4 5" xfId="26359" xr:uid="{00000000-0005-0000-0000-0000F7660000}"/>
    <cellStyle name="Normal 2 3 2 2 4 6" xfId="26360" xr:uid="{00000000-0005-0000-0000-0000F8660000}"/>
    <cellStyle name="Normal 2 3 2 2 4 7" xfId="26361" xr:uid="{00000000-0005-0000-0000-0000F9660000}"/>
    <cellStyle name="Normal 2 3 2 2 4 8" xfId="26362" xr:uid="{00000000-0005-0000-0000-0000FA660000}"/>
    <cellStyle name="Normal 2 3 2 2 4 9" xfId="26363" xr:uid="{00000000-0005-0000-0000-0000FB660000}"/>
    <cellStyle name="Normal 2 3 2 2 5" xfId="26364" xr:uid="{00000000-0005-0000-0000-0000FC660000}"/>
    <cellStyle name="Normal 2 3 2 2 5 10" xfId="26365" xr:uid="{00000000-0005-0000-0000-0000FD660000}"/>
    <cellStyle name="Normal 2 3 2 2 5 2" xfId="26366" xr:uid="{00000000-0005-0000-0000-0000FE660000}"/>
    <cellStyle name="Normal 2 3 2 2 5 3" xfId="26367" xr:uid="{00000000-0005-0000-0000-0000FF660000}"/>
    <cellStyle name="Normal 2 3 2 2 5 4" xfId="26368" xr:uid="{00000000-0005-0000-0000-000000670000}"/>
    <cellStyle name="Normal 2 3 2 2 5 5" xfId="26369" xr:uid="{00000000-0005-0000-0000-000001670000}"/>
    <cellStyle name="Normal 2 3 2 2 5 6" xfId="26370" xr:uid="{00000000-0005-0000-0000-000002670000}"/>
    <cellStyle name="Normal 2 3 2 2 5 7" xfId="26371" xr:uid="{00000000-0005-0000-0000-000003670000}"/>
    <cellStyle name="Normal 2 3 2 2 5 8" xfId="26372" xr:uid="{00000000-0005-0000-0000-000004670000}"/>
    <cellStyle name="Normal 2 3 2 2 5 9" xfId="26373" xr:uid="{00000000-0005-0000-0000-000005670000}"/>
    <cellStyle name="Normal 2 3 2 2 6" xfId="26374" xr:uid="{00000000-0005-0000-0000-000006670000}"/>
    <cellStyle name="Normal 2 3 2 2 7" xfId="26375" xr:uid="{00000000-0005-0000-0000-000007670000}"/>
    <cellStyle name="Normal 2 3 2 2 8" xfId="26376" xr:uid="{00000000-0005-0000-0000-000008670000}"/>
    <cellStyle name="Normal 2 3 2 2 9" xfId="26377" xr:uid="{00000000-0005-0000-0000-000009670000}"/>
    <cellStyle name="Normal 2 3 2 20" xfId="26378" xr:uid="{00000000-0005-0000-0000-00000A670000}"/>
    <cellStyle name="Normal 2 3 2 20 10" xfId="26379" xr:uid="{00000000-0005-0000-0000-00000B670000}"/>
    <cellStyle name="Normal 2 3 2 20 11" xfId="26380" xr:uid="{00000000-0005-0000-0000-00000C670000}"/>
    <cellStyle name="Normal 2 3 2 20 12" xfId="26381" xr:uid="{00000000-0005-0000-0000-00000D670000}"/>
    <cellStyle name="Normal 2 3 2 20 13" xfId="26382" xr:uid="{00000000-0005-0000-0000-00000E670000}"/>
    <cellStyle name="Normal 2 3 2 20 14" xfId="26383" xr:uid="{00000000-0005-0000-0000-00000F670000}"/>
    <cellStyle name="Normal 2 3 2 20 2" xfId="26384" xr:uid="{00000000-0005-0000-0000-000010670000}"/>
    <cellStyle name="Normal 2 3 2 20 2 10" xfId="26385" xr:uid="{00000000-0005-0000-0000-000011670000}"/>
    <cellStyle name="Normal 2 3 2 20 2 2" xfId="26386" xr:uid="{00000000-0005-0000-0000-000012670000}"/>
    <cellStyle name="Normal 2 3 2 20 2 3" xfId="26387" xr:uid="{00000000-0005-0000-0000-000013670000}"/>
    <cellStyle name="Normal 2 3 2 20 2 4" xfId="26388" xr:uid="{00000000-0005-0000-0000-000014670000}"/>
    <cellStyle name="Normal 2 3 2 20 2 5" xfId="26389" xr:uid="{00000000-0005-0000-0000-000015670000}"/>
    <cellStyle name="Normal 2 3 2 20 2 6" xfId="26390" xr:uid="{00000000-0005-0000-0000-000016670000}"/>
    <cellStyle name="Normal 2 3 2 20 2 7" xfId="26391" xr:uid="{00000000-0005-0000-0000-000017670000}"/>
    <cellStyle name="Normal 2 3 2 20 2 8" xfId="26392" xr:uid="{00000000-0005-0000-0000-000018670000}"/>
    <cellStyle name="Normal 2 3 2 20 2 9" xfId="26393" xr:uid="{00000000-0005-0000-0000-000019670000}"/>
    <cellStyle name="Normal 2 3 2 20 3" xfId="26394" xr:uid="{00000000-0005-0000-0000-00001A670000}"/>
    <cellStyle name="Normal 2 3 2 20 3 10" xfId="26395" xr:uid="{00000000-0005-0000-0000-00001B670000}"/>
    <cellStyle name="Normal 2 3 2 20 3 2" xfId="26396" xr:uid="{00000000-0005-0000-0000-00001C670000}"/>
    <cellStyle name="Normal 2 3 2 20 3 3" xfId="26397" xr:uid="{00000000-0005-0000-0000-00001D670000}"/>
    <cellStyle name="Normal 2 3 2 20 3 4" xfId="26398" xr:uid="{00000000-0005-0000-0000-00001E670000}"/>
    <cellStyle name="Normal 2 3 2 20 3 5" xfId="26399" xr:uid="{00000000-0005-0000-0000-00001F670000}"/>
    <cellStyle name="Normal 2 3 2 20 3 6" xfId="26400" xr:uid="{00000000-0005-0000-0000-000020670000}"/>
    <cellStyle name="Normal 2 3 2 20 3 7" xfId="26401" xr:uid="{00000000-0005-0000-0000-000021670000}"/>
    <cellStyle name="Normal 2 3 2 20 3 8" xfId="26402" xr:uid="{00000000-0005-0000-0000-000022670000}"/>
    <cellStyle name="Normal 2 3 2 20 3 9" xfId="26403" xr:uid="{00000000-0005-0000-0000-000023670000}"/>
    <cellStyle name="Normal 2 3 2 20 4" xfId="26404" xr:uid="{00000000-0005-0000-0000-000024670000}"/>
    <cellStyle name="Normal 2 3 2 20 4 10" xfId="26405" xr:uid="{00000000-0005-0000-0000-000025670000}"/>
    <cellStyle name="Normal 2 3 2 20 4 2" xfId="26406" xr:uid="{00000000-0005-0000-0000-000026670000}"/>
    <cellStyle name="Normal 2 3 2 20 4 3" xfId="26407" xr:uid="{00000000-0005-0000-0000-000027670000}"/>
    <cellStyle name="Normal 2 3 2 20 4 4" xfId="26408" xr:uid="{00000000-0005-0000-0000-000028670000}"/>
    <cellStyle name="Normal 2 3 2 20 4 5" xfId="26409" xr:uid="{00000000-0005-0000-0000-000029670000}"/>
    <cellStyle name="Normal 2 3 2 20 4 6" xfId="26410" xr:uid="{00000000-0005-0000-0000-00002A670000}"/>
    <cellStyle name="Normal 2 3 2 20 4 7" xfId="26411" xr:uid="{00000000-0005-0000-0000-00002B670000}"/>
    <cellStyle name="Normal 2 3 2 20 4 8" xfId="26412" xr:uid="{00000000-0005-0000-0000-00002C670000}"/>
    <cellStyle name="Normal 2 3 2 20 4 9" xfId="26413" xr:uid="{00000000-0005-0000-0000-00002D670000}"/>
    <cellStyle name="Normal 2 3 2 20 5" xfId="26414" xr:uid="{00000000-0005-0000-0000-00002E670000}"/>
    <cellStyle name="Normal 2 3 2 20 5 10" xfId="26415" xr:uid="{00000000-0005-0000-0000-00002F670000}"/>
    <cellStyle name="Normal 2 3 2 20 5 2" xfId="26416" xr:uid="{00000000-0005-0000-0000-000030670000}"/>
    <cellStyle name="Normal 2 3 2 20 5 3" xfId="26417" xr:uid="{00000000-0005-0000-0000-000031670000}"/>
    <cellStyle name="Normal 2 3 2 20 5 4" xfId="26418" xr:uid="{00000000-0005-0000-0000-000032670000}"/>
    <cellStyle name="Normal 2 3 2 20 5 5" xfId="26419" xr:uid="{00000000-0005-0000-0000-000033670000}"/>
    <cellStyle name="Normal 2 3 2 20 5 6" xfId="26420" xr:uid="{00000000-0005-0000-0000-000034670000}"/>
    <cellStyle name="Normal 2 3 2 20 5 7" xfId="26421" xr:uid="{00000000-0005-0000-0000-000035670000}"/>
    <cellStyle name="Normal 2 3 2 20 5 8" xfId="26422" xr:uid="{00000000-0005-0000-0000-000036670000}"/>
    <cellStyle name="Normal 2 3 2 20 5 9" xfId="26423" xr:uid="{00000000-0005-0000-0000-000037670000}"/>
    <cellStyle name="Normal 2 3 2 20 6" xfId="26424" xr:uid="{00000000-0005-0000-0000-000038670000}"/>
    <cellStyle name="Normal 2 3 2 20 7" xfId="26425" xr:uid="{00000000-0005-0000-0000-000039670000}"/>
    <cellStyle name="Normal 2 3 2 20 8" xfId="26426" xr:uid="{00000000-0005-0000-0000-00003A670000}"/>
    <cellStyle name="Normal 2 3 2 20 9" xfId="26427" xr:uid="{00000000-0005-0000-0000-00003B670000}"/>
    <cellStyle name="Normal 2 3 2 21" xfId="26428" xr:uid="{00000000-0005-0000-0000-00003C670000}"/>
    <cellStyle name="Normal 2 3 2 21 10" xfId="26429" xr:uid="{00000000-0005-0000-0000-00003D670000}"/>
    <cellStyle name="Normal 2 3 2 21 11" xfId="26430" xr:uid="{00000000-0005-0000-0000-00003E670000}"/>
    <cellStyle name="Normal 2 3 2 21 12" xfId="26431" xr:uid="{00000000-0005-0000-0000-00003F670000}"/>
    <cellStyle name="Normal 2 3 2 21 13" xfId="26432" xr:uid="{00000000-0005-0000-0000-000040670000}"/>
    <cellStyle name="Normal 2 3 2 21 14" xfId="26433" xr:uid="{00000000-0005-0000-0000-000041670000}"/>
    <cellStyle name="Normal 2 3 2 21 2" xfId="26434" xr:uid="{00000000-0005-0000-0000-000042670000}"/>
    <cellStyle name="Normal 2 3 2 21 2 10" xfId="26435" xr:uid="{00000000-0005-0000-0000-000043670000}"/>
    <cellStyle name="Normal 2 3 2 21 2 2" xfId="26436" xr:uid="{00000000-0005-0000-0000-000044670000}"/>
    <cellStyle name="Normal 2 3 2 21 2 3" xfId="26437" xr:uid="{00000000-0005-0000-0000-000045670000}"/>
    <cellStyle name="Normal 2 3 2 21 2 4" xfId="26438" xr:uid="{00000000-0005-0000-0000-000046670000}"/>
    <cellStyle name="Normal 2 3 2 21 2 5" xfId="26439" xr:uid="{00000000-0005-0000-0000-000047670000}"/>
    <cellStyle name="Normal 2 3 2 21 2 6" xfId="26440" xr:uid="{00000000-0005-0000-0000-000048670000}"/>
    <cellStyle name="Normal 2 3 2 21 2 7" xfId="26441" xr:uid="{00000000-0005-0000-0000-000049670000}"/>
    <cellStyle name="Normal 2 3 2 21 2 8" xfId="26442" xr:uid="{00000000-0005-0000-0000-00004A670000}"/>
    <cellStyle name="Normal 2 3 2 21 2 9" xfId="26443" xr:uid="{00000000-0005-0000-0000-00004B670000}"/>
    <cellStyle name="Normal 2 3 2 21 3" xfId="26444" xr:uid="{00000000-0005-0000-0000-00004C670000}"/>
    <cellStyle name="Normal 2 3 2 21 3 10" xfId="26445" xr:uid="{00000000-0005-0000-0000-00004D670000}"/>
    <cellStyle name="Normal 2 3 2 21 3 2" xfId="26446" xr:uid="{00000000-0005-0000-0000-00004E670000}"/>
    <cellStyle name="Normal 2 3 2 21 3 3" xfId="26447" xr:uid="{00000000-0005-0000-0000-00004F670000}"/>
    <cellStyle name="Normal 2 3 2 21 3 4" xfId="26448" xr:uid="{00000000-0005-0000-0000-000050670000}"/>
    <cellStyle name="Normal 2 3 2 21 3 5" xfId="26449" xr:uid="{00000000-0005-0000-0000-000051670000}"/>
    <cellStyle name="Normal 2 3 2 21 3 6" xfId="26450" xr:uid="{00000000-0005-0000-0000-000052670000}"/>
    <cellStyle name="Normal 2 3 2 21 3 7" xfId="26451" xr:uid="{00000000-0005-0000-0000-000053670000}"/>
    <cellStyle name="Normal 2 3 2 21 3 8" xfId="26452" xr:uid="{00000000-0005-0000-0000-000054670000}"/>
    <cellStyle name="Normal 2 3 2 21 3 9" xfId="26453" xr:uid="{00000000-0005-0000-0000-000055670000}"/>
    <cellStyle name="Normal 2 3 2 21 4" xfId="26454" xr:uid="{00000000-0005-0000-0000-000056670000}"/>
    <cellStyle name="Normal 2 3 2 21 4 10" xfId="26455" xr:uid="{00000000-0005-0000-0000-000057670000}"/>
    <cellStyle name="Normal 2 3 2 21 4 2" xfId="26456" xr:uid="{00000000-0005-0000-0000-000058670000}"/>
    <cellStyle name="Normal 2 3 2 21 4 3" xfId="26457" xr:uid="{00000000-0005-0000-0000-000059670000}"/>
    <cellStyle name="Normal 2 3 2 21 4 4" xfId="26458" xr:uid="{00000000-0005-0000-0000-00005A670000}"/>
    <cellStyle name="Normal 2 3 2 21 4 5" xfId="26459" xr:uid="{00000000-0005-0000-0000-00005B670000}"/>
    <cellStyle name="Normal 2 3 2 21 4 6" xfId="26460" xr:uid="{00000000-0005-0000-0000-00005C670000}"/>
    <cellStyle name="Normal 2 3 2 21 4 7" xfId="26461" xr:uid="{00000000-0005-0000-0000-00005D670000}"/>
    <cellStyle name="Normal 2 3 2 21 4 8" xfId="26462" xr:uid="{00000000-0005-0000-0000-00005E670000}"/>
    <cellStyle name="Normal 2 3 2 21 4 9" xfId="26463" xr:uid="{00000000-0005-0000-0000-00005F670000}"/>
    <cellStyle name="Normal 2 3 2 21 5" xfId="26464" xr:uid="{00000000-0005-0000-0000-000060670000}"/>
    <cellStyle name="Normal 2 3 2 21 5 10" xfId="26465" xr:uid="{00000000-0005-0000-0000-000061670000}"/>
    <cellStyle name="Normal 2 3 2 21 5 2" xfId="26466" xr:uid="{00000000-0005-0000-0000-000062670000}"/>
    <cellStyle name="Normal 2 3 2 21 5 3" xfId="26467" xr:uid="{00000000-0005-0000-0000-000063670000}"/>
    <cellStyle name="Normal 2 3 2 21 5 4" xfId="26468" xr:uid="{00000000-0005-0000-0000-000064670000}"/>
    <cellStyle name="Normal 2 3 2 21 5 5" xfId="26469" xr:uid="{00000000-0005-0000-0000-000065670000}"/>
    <cellStyle name="Normal 2 3 2 21 5 6" xfId="26470" xr:uid="{00000000-0005-0000-0000-000066670000}"/>
    <cellStyle name="Normal 2 3 2 21 5 7" xfId="26471" xr:uid="{00000000-0005-0000-0000-000067670000}"/>
    <cellStyle name="Normal 2 3 2 21 5 8" xfId="26472" xr:uid="{00000000-0005-0000-0000-000068670000}"/>
    <cellStyle name="Normal 2 3 2 21 5 9" xfId="26473" xr:uid="{00000000-0005-0000-0000-000069670000}"/>
    <cellStyle name="Normal 2 3 2 21 6" xfId="26474" xr:uid="{00000000-0005-0000-0000-00006A670000}"/>
    <cellStyle name="Normal 2 3 2 21 7" xfId="26475" xr:uid="{00000000-0005-0000-0000-00006B670000}"/>
    <cellStyle name="Normal 2 3 2 21 8" xfId="26476" xr:uid="{00000000-0005-0000-0000-00006C670000}"/>
    <cellStyle name="Normal 2 3 2 21 9" xfId="26477" xr:uid="{00000000-0005-0000-0000-00006D670000}"/>
    <cellStyle name="Normal 2 3 2 22" xfId="26478" xr:uid="{00000000-0005-0000-0000-00006E670000}"/>
    <cellStyle name="Normal 2 3 2 22 10" xfId="26479" xr:uid="{00000000-0005-0000-0000-00006F670000}"/>
    <cellStyle name="Normal 2 3 2 22 11" xfId="26480" xr:uid="{00000000-0005-0000-0000-000070670000}"/>
    <cellStyle name="Normal 2 3 2 22 12" xfId="26481" xr:uid="{00000000-0005-0000-0000-000071670000}"/>
    <cellStyle name="Normal 2 3 2 22 13" xfId="26482" xr:uid="{00000000-0005-0000-0000-000072670000}"/>
    <cellStyle name="Normal 2 3 2 22 14" xfId="26483" xr:uid="{00000000-0005-0000-0000-000073670000}"/>
    <cellStyle name="Normal 2 3 2 22 2" xfId="26484" xr:uid="{00000000-0005-0000-0000-000074670000}"/>
    <cellStyle name="Normal 2 3 2 22 2 10" xfId="26485" xr:uid="{00000000-0005-0000-0000-000075670000}"/>
    <cellStyle name="Normal 2 3 2 22 2 2" xfId="26486" xr:uid="{00000000-0005-0000-0000-000076670000}"/>
    <cellStyle name="Normal 2 3 2 22 2 3" xfId="26487" xr:uid="{00000000-0005-0000-0000-000077670000}"/>
    <cellStyle name="Normal 2 3 2 22 2 4" xfId="26488" xr:uid="{00000000-0005-0000-0000-000078670000}"/>
    <cellStyle name="Normal 2 3 2 22 2 5" xfId="26489" xr:uid="{00000000-0005-0000-0000-000079670000}"/>
    <cellStyle name="Normal 2 3 2 22 2 6" xfId="26490" xr:uid="{00000000-0005-0000-0000-00007A670000}"/>
    <cellStyle name="Normal 2 3 2 22 2 7" xfId="26491" xr:uid="{00000000-0005-0000-0000-00007B670000}"/>
    <cellStyle name="Normal 2 3 2 22 2 8" xfId="26492" xr:uid="{00000000-0005-0000-0000-00007C670000}"/>
    <cellStyle name="Normal 2 3 2 22 2 9" xfId="26493" xr:uid="{00000000-0005-0000-0000-00007D670000}"/>
    <cellStyle name="Normal 2 3 2 22 3" xfId="26494" xr:uid="{00000000-0005-0000-0000-00007E670000}"/>
    <cellStyle name="Normal 2 3 2 22 3 10" xfId="26495" xr:uid="{00000000-0005-0000-0000-00007F670000}"/>
    <cellStyle name="Normal 2 3 2 22 3 2" xfId="26496" xr:uid="{00000000-0005-0000-0000-000080670000}"/>
    <cellStyle name="Normal 2 3 2 22 3 3" xfId="26497" xr:uid="{00000000-0005-0000-0000-000081670000}"/>
    <cellStyle name="Normal 2 3 2 22 3 4" xfId="26498" xr:uid="{00000000-0005-0000-0000-000082670000}"/>
    <cellStyle name="Normal 2 3 2 22 3 5" xfId="26499" xr:uid="{00000000-0005-0000-0000-000083670000}"/>
    <cellStyle name="Normal 2 3 2 22 3 6" xfId="26500" xr:uid="{00000000-0005-0000-0000-000084670000}"/>
    <cellStyle name="Normal 2 3 2 22 3 7" xfId="26501" xr:uid="{00000000-0005-0000-0000-000085670000}"/>
    <cellStyle name="Normal 2 3 2 22 3 8" xfId="26502" xr:uid="{00000000-0005-0000-0000-000086670000}"/>
    <cellStyle name="Normal 2 3 2 22 3 9" xfId="26503" xr:uid="{00000000-0005-0000-0000-000087670000}"/>
    <cellStyle name="Normal 2 3 2 22 4" xfId="26504" xr:uid="{00000000-0005-0000-0000-000088670000}"/>
    <cellStyle name="Normal 2 3 2 22 4 10" xfId="26505" xr:uid="{00000000-0005-0000-0000-000089670000}"/>
    <cellStyle name="Normal 2 3 2 22 4 2" xfId="26506" xr:uid="{00000000-0005-0000-0000-00008A670000}"/>
    <cellStyle name="Normal 2 3 2 22 4 3" xfId="26507" xr:uid="{00000000-0005-0000-0000-00008B670000}"/>
    <cellStyle name="Normal 2 3 2 22 4 4" xfId="26508" xr:uid="{00000000-0005-0000-0000-00008C670000}"/>
    <cellStyle name="Normal 2 3 2 22 4 5" xfId="26509" xr:uid="{00000000-0005-0000-0000-00008D670000}"/>
    <cellStyle name="Normal 2 3 2 22 4 6" xfId="26510" xr:uid="{00000000-0005-0000-0000-00008E670000}"/>
    <cellStyle name="Normal 2 3 2 22 4 7" xfId="26511" xr:uid="{00000000-0005-0000-0000-00008F670000}"/>
    <cellStyle name="Normal 2 3 2 22 4 8" xfId="26512" xr:uid="{00000000-0005-0000-0000-000090670000}"/>
    <cellStyle name="Normal 2 3 2 22 4 9" xfId="26513" xr:uid="{00000000-0005-0000-0000-000091670000}"/>
    <cellStyle name="Normal 2 3 2 22 5" xfId="26514" xr:uid="{00000000-0005-0000-0000-000092670000}"/>
    <cellStyle name="Normal 2 3 2 22 5 10" xfId="26515" xr:uid="{00000000-0005-0000-0000-000093670000}"/>
    <cellStyle name="Normal 2 3 2 22 5 2" xfId="26516" xr:uid="{00000000-0005-0000-0000-000094670000}"/>
    <cellStyle name="Normal 2 3 2 22 5 3" xfId="26517" xr:uid="{00000000-0005-0000-0000-000095670000}"/>
    <cellStyle name="Normal 2 3 2 22 5 4" xfId="26518" xr:uid="{00000000-0005-0000-0000-000096670000}"/>
    <cellStyle name="Normal 2 3 2 22 5 5" xfId="26519" xr:uid="{00000000-0005-0000-0000-000097670000}"/>
    <cellStyle name="Normal 2 3 2 22 5 6" xfId="26520" xr:uid="{00000000-0005-0000-0000-000098670000}"/>
    <cellStyle name="Normal 2 3 2 22 5 7" xfId="26521" xr:uid="{00000000-0005-0000-0000-000099670000}"/>
    <cellStyle name="Normal 2 3 2 22 5 8" xfId="26522" xr:uid="{00000000-0005-0000-0000-00009A670000}"/>
    <cellStyle name="Normal 2 3 2 22 5 9" xfId="26523" xr:uid="{00000000-0005-0000-0000-00009B670000}"/>
    <cellStyle name="Normal 2 3 2 22 6" xfId="26524" xr:uid="{00000000-0005-0000-0000-00009C670000}"/>
    <cellStyle name="Normal 2 3 2 22 7" xfId="26525" xr:uid="{00000000-0005-0000-0000-00009D670000}"/>
    <cellStyle name="Normal 2 3 2 22 8" xfId="26526" xr:uid="{00000000-0005-0000-0000-00009E670000}"/>
    <cellStyle name="Normal 2 3 2 22 9" xfId="26527" xr:uid="{00000000-0005-0000-0000-00009F670000}"/>
    <cellStyle name="Normal 2 3 2 23" xfId="26528" xr:uid="{00000000-0005-0000-0000-0000A0670000}"/>
    <cellStyle name="Normal 2 3 2 23 10" xfId="26529" xr:uid="{00000000-0005-0000-0000-0000A1670000}"/>
    <cellStyle name="Normal 2 3 2 23 11" xfId="26530" xr:uid="{00000000-0005-0000-0000-0000A2670000}"/>
    <cellStyle name="Normal 2 3 2 23 12" xfId="26531" xr:uid="{00000000-0005-0000-0000-0000A3670000}"/>
    <cellStyle name="Normal 2 3 2 23 13" xfId="26532" xr:uid="{00000000-0005-0000-0000-0000A4670000}"/>
    <cellStyle name="Normal 2 3 2 23 14" xfId="26533" xr:uid="{00000000-0005-0000-0000-0000A5670000}"/>
    <cellStyle name="Normal 2 3 2 23 2" xfId="26534" xr:uid="{00000000-0005-0000-0000-0000A6670000}"/>
    <cellStyle name="Normal 2 3 2 23 2 10" xfId="26535" xr:uid="{00000000-0005-0000-0000-0000A7670000}"/>
    <cellStyle name="Normal 2 3 2 23 2 2" xfId="26536" xr:uid="{00000000-0005-0000-0000-0000A8670000}"/>
    <cellStyle name="Normal 2 3 2 23 2 3" xfId="26537" xr:uid="{00000000-0005-0000-0000-0000A9670000}"/>
    <cellStyle name="Normal 2 3 2 23 2 4" xfId="26538" xr:uid="{00000000-0005-0000-0000-0000AA670000}"/>
    <cellStyle name="Normal 2 3 2 23 2 5" xfId="26539" xr:uid="{00000000-0005-0000-0000-0000AB670000}"/>
    <cellStyle name="Normal 2 3 2 23 2 6" xfId="26540" xr:uid="{00000000-0005-0000-0000-0000AC670000}"/>
    <cellStyle name="Normal 2 3 2 23 2 7" xfId="26541" xr:uid="{00000000-0005-0000-0000-0000AD670000}"/>
    <cellStyle name="Normal 2 3 2 23 2 8" xfId="26542" xr:uid="{00000000-0005-0000-0000-0000AE670000}"/>
    <cellStyle name="Normal 2 3 2 23 2 9" xfId="26543" xr:uid="{00000000-0005-0000-0000-0000AF670000}"/>
    <cellStyle name="Normal 2 3 2 23 3" xfId="26544" xr:uid="{00000000-0005-0000-0000-0000B0670000}"/>
    <cellStyle name="Normal 2 3 2 23 3 10" xfId="26545" xr:uid="{00000000-0005-0000-0000-0000B1670000}"/>
    <cellStyle name="Normal 2 3 2 23 3 2" xfId="26546" xr:uid="{00000000-0005-0000-0000-0000B2670000}"/>
    <cellStyle name="Normal 2 3 2 23 3 3" xfId="26547" xr:uid="{00000000-0005-0000-0000-0000B3670000}"/>
    <cellStyle name="Normal 2 3 2 23 3 4" xfId="26548" xr:uid="{00000000-0005-0000-0000-0000B4670000}"/>
    <cellStyle name="Normal 2 3 2 23 3 5" xfId="26549" xr:uid="{00000000-0005-0000-0000-0000B5670000}"/>
    <cellStyle name="Normal 2 3 2 23 3 6" xfId="26550" xr:uid="{00000000-0005-0000-0000-0000B6670000}"/>
    <cellStyle name="Normal 2 3 2 23 3 7" xfId="26551" xr:uid="{00000000-0005-0000-0000-0000B7670000}"/>
    <cellStyle name="Normal 2 3 2 23 3 8" xfId="26552" xr:uid="{00000000-0005-0000-0000-0000B8670000}"/>
    <cellStyle name="Normal 2 3 2 23 3 9" xfId="26553" xr:uid="{00000000-0005-0000-0000-0000B9670000}"/>
    <cellStyle name="Normal 2 3 2 23 4" xfId="26554" xr:uid="{00000000-0005-0000-0000-0000BA670000}"/>
    <cellStyle name="Normal 2 3 2 23 4 10" xfId="26555" xr:uid="{00000000-0005-0000-0000-0000BB670000}"/>
    <cellStyle name="Normal 2 3 2 23 4 2" xfId="26556" xr:uid="{00000000-0005-0000-0000-0000BC670000}"/>
    <cellStyle name="Normal 2 3 2 23 4 3" xfId="26557" xr:uid="{00000000-0005-0000-0000-0000BD670000}"/>
    <cellStyle name="Normal 2 3 2 23 4 4" xfId="26558" xr:uid="{00000000-0005-0000-0000-0000BE670000}"/>
    <cellStyle name="Normal 2 3 2 23 4 5" xfId="26559" xr:uid="{00000000-0005-0000-0000-0000BF670000}"/>
    <cellStyle name="Normal 2 3 2 23 4 6" xfId="26560" xr:uid="{00000000-0005-0000-0000-0000C0670000}"/>
    <cellStyle name="Normal 2 3 2 23 4 7" xfId="26561" xr:uid="{00000000-0005-0000-0000-0000C1670000}"/>
    <cellStyle name="Normal 2 3 2 23 4 8" xfId="26562" xr:uid="{00000000-0005-0000-0000-0000C2670000}"/>
    <cellStyle name="Normal 2 3 2 23 4 9" xfId="26563" xr:uid="{00000000-0005-0000-0000-0000C3670000}"/>
    <cellStyle name="Normal 2 3 2 23 5" xfId="26564" xr:uid="{00000000-0005-0000-0000-0000C4670000}"/>
    <cellStyle name="Normal 2 3 2 23 5 10" xfId="26565" xr:uid="{00000000-0005-0000-0000-0000C5670000}"/>
    <cellStyle name="Normal 2 3 2 23 5 2" xfId="26566" xr:uid="{00000000-0005-0000-0000-0000C6670000}"/>
    <cellStyle name="Normal 2 3 2 23 5 3" xfId="26567" xr:uid="{00000000-0005-0000-0000-0000C7670000}"/>
    <cellStyle name="Normal 2 3 2 23 5 4" xfId="26568" xr:uid="{00000000-0005-0000-0000-0000C8670000}"/>
    <cellStyle name="Normal 2 3 2 23 5 5" xfId="26569" xr:uid="{00000000-0005-0000-0000-0000C9670000}"/>
    <cellStyle name="Normal 2 3 2 23 5 6" xfId="26570" xr:uid="{00000000-0005-0000-0000-0000CA670000}"/>
    <cellStyle name="Normal 2 3 2 23 5 7" xfId="26571" xr:uid="{00000000-0005-0000-0000-0000CB670000}"/>
    <cellStyle name="Normal 2 3 2 23 5 8" xfId="26572" xr:uid="{00000000-0005-0000-0000-0000CC670000}"/>
    <cellStyle name="Normal 2 3 2 23 5 9" xfId="26573" xr:uid="{00000000-0005-0000-0000-0000CD670000}"/>
    <cellStyle name="Normal 2 3 2 23 6" xfId="26574" xr:uid="{00000000-0005-0000-0000-0000CE670000}"/>
    <cellStyle name="Normal 2 3 2 23 7" xfId="26575" xr:uid="{00000000-0005-0000-0000-0000CF670000}"/>
    <cellStyle name="Normal 2 3 2 23 8" xfId="26576" xr:uid="{00000000-0005-0000-0000-0000D0670000}"/>
    <cellStyle name="Normal 2 3 2 23 9" xfId="26577" xr:uid="{00000000-0005-0000-0000-0000D1670000}"/>
    <cellStyle name="Normal 2 3 2 24" xfId="26578" xr:uid="{00000000-0005-0000-0000-0000D2670000}"/>
    <cellStyle name="Normal 2 3 2 24 10" xfId="26579" xr:uid="{00000000-0005-0000-0000-0000D3670000}"/>
    <cellStyle name="Normal 2 3 2 24 11" xfId="26580" xr:uid="{00000000-0005-0000-0000-0000D4670000}"/>
    <cellStyle name="Normal 2 3 2 24 12" xfId="26581" xr:uid="{00000000-0005-0000-0000-0000D5670000}"/>
    <cellStyle name="Normal 2 3 2 24 13" xfId="26582" xr:uid="{00000000-0005-0000-0000-0000D6670000}"/>
    <cellStyle name="Normal 2 3 2 24 14" xfId="26583" xr:uid="{00000000-0005-0000-0000-0000D7670000}"/>
    <cellStyle name="Normal 2 3 2 24 2" xfId="26584" xr:uid="{00000000-0005-0000-0000-0000D8670000}"/>
    <cellStyle name="Normal 2 3 2 24 2 10" xfId="26585" xr:uid="{00000000-0005-0000-0000-0000D9670000}"/>
    <cellStyle name="Normal 2 3 2 24 2 2" xfId="26586" xr:uid="{00000000-0005-0000-0000-0000DA670000}"/>
    <cellStyle name="Normal 2 3 2 24 2 3" xfId="26587" xr:uid="{00000000-0005-0000-0000-0000DB670000}"/>
    <cellStyle name="Normal 2 3 2 24 2 4" xfId="26588" xr:uid="{00000000-0005-0000-0000-0000DC670000}"/>
    <cellStyle name="Normal 2 3 2 24 2 5" xfId="26589" xr:uid="{00000000-0005-0000-0000-0000DD670000}"/>
    <cellStyle name="Normal 2 3 2 24 2 6" xfId="26590" xr:uid="{00000000-0005-0000-0000-0000DE670000}"/>
    <cellStyle name="Normal 2 3 2 24 2 7" xfId="26591" xr:uid="{00000000-0005-0000-0000-0000DF670000}"/>
    <cellStyle name="Normal 2 3 2 24 2 8" xfId="26592" xr:uid="{00000000-0005-0000-0000-0000E0670000}"/>
    <cellStyle name="Normal 2 3 2 24 2 9" xfId="26593" xr:uid="{00000000-0005-0000-0000-0000E1670000}"/>
    <cellStyle name="Normal 2 3 2 24 3" xfId="26594" xr:uid="{00000000-0005-0000-0000-0000E2670000}"/>
    <cellStyle name="Normal 2 3 2 24 3 10" xfId="26595" xr:uid="{00000000-0005-0000-0000-0000E3670000}"/>
    <cellStyle name="Normal 2 3 2 24 3 2" xfId="26596" xr:uid="{00000000-0005-0000-0000-0000E4670000}"/>
    <cellStyle name="Normal 2 3 2 24 3 3" xfId="26597" xr:uid="{00000000-0005-0000-0000-0000E5670000}"/>
    <cellStyle name="Normal 2 3 2 24 3 4" xfId="26598" xr:uid="{00000000-0005-0000-0000-0000E6670000}"/>
    <cellStyle name="Normal 2 3 2 24 3 5" xfId="26599" xr:uid="{00000000-0005-0000-0000-0000E7670000}"/>
    <cellStyle name="Normal 2 3 2 24 3 6" xfId="26600" xr:uid="{00000000-0005-0000-0000-0000E8670000}"/>
    <cellStyle name="Normal 2 3 2 24 3 7" xfId="26601" xr:uid="{00000000-0005-0000-0000-0000E9670000}"/>
    <cellStyle name="Normal 2 3 2 24 3 8" xfId="26602" xr:uid="{00000000-0005-0000-0000-0000EA670000}"/>
    <cellStyle name="Normal 2 3 2 24 3 9" xfId="26603" xr:uid="{00000000-0005-0000-0000-0000EB670000}"/>
    <cellStyle name="Normal 2 3 2 24 4" xfId="26604" xr:uid="{00000000-0005-0000-0000-0000EC670000}"/>
    <cellStyle name="Normal 2 3 2 24 4 10" xfId="26605" xr:uid="{00000000-0005-0000-0000-0000ED670000}"/>
    <cellStyle name="Normal 2 3 2 24 4 2" xfId="26606" xr:uid="{00000000-0005-0000-0000-0000EE670000}"/>
    <cellStyle name="Normal 2 3 2 24 4 3" xfId="26607" xr:uid="{00000000-0005-0000-0000-0000EF670000}"/>
    <cellStyle name="Normal 2 3 2 24 4 4" xfId="26608" xr:uid="{00000000-0005-0000-0000-0000F0670000}"/>
    <cellStyle name="Normal 2 3 2 24 4 5" xfId="26609" xr:uid="{00000000-0005-0000-0000-0000F1670000}"/>
    <cellStyle name="Normal 2 3 2 24 4 6" xfId="26610" xr:uid="{00000000-0005-0000-0000-0000F2670000}"/>
    <cellStyle name="Normal 2 3 2 24 4 7" xfId="26611" xr:uid="{00000000-0005-0000-0000-0000F3670000}"/>
    <cellStyle name="Normal 2 3 2 24 4 8" xfId="26612" xr:uid="{00000000-0005-0000-0000-0000F4670000}"/>
    <cellStyle name="Normal 2 3 2 24 4 9" xfId="26613" xr:uid="{00000000-0005-0000-0000-0000F5670000}"/>
    <cellStyle name="Normal 2 3 2 24 5" xfId="26614" xr:uid="{00000000-0005-0000-0000-0000F6670000}"/>
    <cellStyle name="Normal 2 3 2 24 5 10" xfId="26615" xr:uid="{00000000-0005-0000-0000-0000F7670000}"/>
    <cellStyle name="Normal 2 3 2 24 5 2" xfId="26616" xr:uid="{00000000-0005-0000-0000-0000F8670000}"/>
    <cellStyle name="Normal 2 3 2 24 5 3" xfId="26617" xr:uid="{00000000-0005-0000-0000-0000F9670000}"/>
    <cellStyle name="Normal 2 3 2 24 5 4" xfId="26618" xr:uid="{00000000-0005-0000-0000-0000FA670000}"/>
    <cellStyle name="Normal 2 3 2 24 5 5" xfId="26619" xr:uid="{00000000-0005-0000-0000-0000FB670000}"/>
    <cellStyle name="Normal 2 3 2 24 5 6" xfId="26620" xr:uid="{00000000-0005-0000-0000-0000FC670000}"/>
    <cellStyle name="Normal 2 3 2 24 5 7" xfId="26621" xr:uid="{00000000-0005-0000-0000-0000FD670000}"/>
    <cellStyle name="Normal 2 3 2 24 5 8" xfId="26622" xr:uid="{00000000-0005-0000-0000-0000FE670000}"/>
    <cellStyle name="Normal 2 3 2 24 5 9" xfId="26623" xr:uid="{00000000-0005-0000-0000-0000FF670000}"/>
    <cellStyle name="Normal 2 3 2 24 6" xfId="26624" xr:uid="{00000000-0005-0000-0000-000000680000}"/>
    <cellStyle name="Normal 2 3 2 24 7" xfId="26625" xr:uid="{00000000-0005-0000-0000-000001680000}"/>
    <cellStyle name="Normal 2 3 2 24 8" xfId="26626" xr:uid="{00000000-0005-0000-0000-000002680000}"/>
    <cellStyle name="Normal 2 3 2 24 9" xfId="26627" xr:uid="{00000000-0005-0000-0000-000003680000}"/>
    <cellStyle name="Normal 2 3 2 25" xfId="26628" xr:uid="{00000000-0005-0000-0000-000004680000}"/>
    <cellStyle name="Normal 2 3 2 25 10" xfId="26629" xr:uid="{00000000-0005-0000-0000-000005680000}"/>
    <cellStyle name="Normal 2 3 2 25 11" xfId="26630" xr:uid="{00000000-0005-0000-0000-000006680000}"/>
    <cellStyle name="Normal 2 3 2 25 12" xfId="26631" xr:uid="{00000000-0005-0000-0000-000007680000}"/>
    <cellStyle name="Normal 2 3 2 25 13" xfId="26632" xr:uid="{00000000-0005-0000-0000-000008680000}"/>
    <cellStyle name="Normal 2 3 2 25 14" xfId="26633" xr:uid="{00000000-0005-0000-0000-000009680000}"/>
    <cellStyle name="Normal 2 3 2 25 2" xfId="26634" xr:uid="{00000000-0005-0000-0000-00000A680000}"/>
    <cellStyle name="Normal 2 3 2 25 2 10" xfId="26635" xr:uid="{00000000-0005-0000-0000-00000B680000}"/>
    <cellStyle name="Normal 2 3 2 25 2 2" xfId="26636" xr:uid="{00000000-0005-0000-0000-00000C680000}"/>
    <cellStyle name="Normal 2 3 2 25 2 3" xfId="26637" xr:uid="{00000000-0005-0000-0000-00000D680000}"/>
    <cellStyle name="Normal 2 3 2 25 2 4" xfId="26638" xr:uid="{00000000-0005-0000-0000-00000E680000}"/>
    <cellStyle name="Normal 2 3 2 25 2 5" xfId="26639" xr:uid="{00000000-0005-0000-0000-00000F680000}"/>
    <cellStyle name="Normal 2 3 2 25 2 6" xfId="26640" xr:uid="{00000000-0005-0000-0000-000010680000}"/>
    <cellStyle name="Normal 2 3 2 25 2 7" xfId="26641" xr:uid="{00000000-0005-0000-0000-000011680000}"/>
    <cellStyle name="Normal 2 3 2 25 2 8" xfId="26642" xr:uid="{00000000-0005-0000-0000-000012680000}"/>
    <cellStyle name="Normal 2 3 2 25 2 9" xfId="26643" xr:uid="{00000000-0005-0000-0000-000013680000}"/>
    <cellStyle name="Normal 2 3 2 25 3" xfId="26644" xr:uid="{00000000-0005-0000-0000-000014680000}"/>
    <cellStyle name="Normal 2 3 2 25 3 10" xfId="26645" xr:uid="{00000000-0005-0000-0000-000015680000}"/>
    <cellStyle name="Normal 2 3 2 25 3 2" xfId="26646" xr:uid="{00000000-0005-0000-0000-000016680000}"/>
    <cellStyle name="Normal 2 3 2 25 3 3" xfId="26647" xr:uid="{00000000-0005-0000-0000-000017680000}"/>
    <cellStyle name="Normal 2 3 2 25 3 4" xfId="26648" xr:uid="{00000000-0005-0000-0000-000018680000}"/>
    <cellStyle name="Normal 2 3 2 25 3 5" xfId="26649" xr:uid="{00000000-0005-0000-0000-000019680000}"/>
    <cellStyle name="Normal 2 3 2 25 3 6" xfId="26650" xr:uid="{00000000-0005-0000-0000-00001A680000}"/>
    <cellStyle name="Normal 2 3 2 25 3 7" xfId="26651" xr:uid="{00000000-0005-0000-0000-00001B680000}"/>
    <cellStyle name="Normal 2 3 2 25 3 8" xfId="26652" xr:uid="{00000000-0005-0000-0000-00001C680000}"/>
    <cellStyle name="Normal 2 3 2 25 3 9" xfId="26653" xr:uid="{00000000-0005-0000-0000-00001D680000}"/>
    <cellStyle name="Normal 2 3 2 25 4" xfId="26654" xr:uid="{00000000-0005-0000-0000-00001E680000}"/>
    <cellStyle name="Normal 2 3 2 25 4 10" xfId="26655" xr:uid="{00000000-0005-0000-0000-00001F680000}"/>
    <cellStyle name="Normal 2 3 2 25 4 2" xfId="26656" xr:uid="{00000000-0005-0000-0000-000020680000}"/>
    <cellStyle name="Normal 2 3 2 25 4 3" xfId="26657" xr:uid="{00000000-0005-0000-0000-000021680000}"/>
    <cellStyle name="Normal 2 3 2 25 4 4" xfId="26658" xr:uid="{00000000-0005-0000-0000-000022680000}"/>
    <cellStyle name="Normal 2 3 2 25 4 5" xfId="26659" xr:uid="{00000000-0005-0000-0000-000023680000}"/>
    <cellStyle name="Normal 2 3 2 25 4 6" xfId="26660" xr:uid="{00000000-0005-0000-0000-000024680000}"/>
    <cellStyle name="Normal 2 3 2 25 4 7" xfId="26661" xr:uid="{00000000-0005-0000-0000-000025680000}"/>
    <cellStyle name="Normal 2 3 2 25 4 8" xfId="26662" xr:uid="{00000000-0005-0000-0000-000026680000}"/>
    <cellStyle name="Normal 2 3 2 25 4 9" xfId="26663" xr:uid="{00000000-0005-0000-0000-000027680000}"/>
    <cellStyle name="Normal 2 3 2 25 5" xfId="26664" xr:uid="{00000000-0005-0000-0000-000028680000}"/>
    <cellStyle name="Normal 2 3 2 25 5 10" xfId="26665" xr:uid="{00000000-0005-0000-0000-000029680000}"/>
    <cellStyle name="Normal 2 3 2 25 5 2" xfId="26666" xr:uid="{00000000-0005-0000-0000-00002A680000}"/>
    <cellStyle name="Normal 2 3 2 25 5 3" xfId="26667" xr:uid="{00000000-0005-0000-0000-00002B680000}"/>
    <cellStyle name="Normal 2 3 2 25 5 4" xfId="26668" xr:uid="{00000000-0005-0000-0000-00002C680000}"/>
    <cellStyle name="Normal 2 3 2 25 5 5" xfId="26669" xr:uid="{00000000-0005-0000-0000-00002D680000}"/>
    <cellStyle name="Normal 2 3 2 25 5 6" xfId="26670" xr:uid="{00000000-0005-0000-0000-00002E680000}"/>
    <cellStyle name="Normal 2 3 2 25 5 7" xfId="26671" xr:uid="{00000000-0005-0000-0000-00002F680000}"/>
    <cellStyle name="Normal 2 3 2 25 5 8" xfId="26672" xr:uid="{00000000-0005-0000-0000-000030680000}"/>
    <cellStyle name="Normal 2 3 2 25 5 9" xfId="26673" xr:uid="{00000000-0005-0000-0000-000031680000}"/>
    <cellStyle name="Normal 2 3 2 25 6" xfId="26674" xr:uid="{00000000-0005-0000-0000-000032680000}"/>
    <cellStyle name="Normal 2 3 2 25 7" xfId="26675" xr:uid="{00000000-0005-0000-0000-000033680000}"/>
    <cellStyle name="Normal 2 3 2 25 8" xfId="26676" xr:uid="{00000000-0005-0000-0000-000034680000}"/>
    <cellStyle name="Normal 2 3 2 25 9" xfId="26677" xr:uid="{00000000-0005-0000-0000-000035680000}"/>
    <cellStyle name="Normal 2 3 2 26" xfId="26678" xr:uid="{00000000-0005-0000-0000-000036680000}"/>
    <cellStyle name="Normal 2 3 2 26 10" xfId="26679" xr:uid="{00000000-0005-0000-0000-000037680000}"/>
    <cellStyle name="Normal 2 3 2 26 11" xfId="26680" xr:uid="{00000000-0005-0000-0000-000038680000}"/>
    <cellStyle name="Normal 2 3 2 26 12" xfId="26681" xr:uid="{00000000-0005-0000-0000-000039680000}"/>
    <cellStyle name="Normal 2 3 2 26 13" xfId="26682" xr:uid="{00000000-0005-0000-0000-00003A680000}"/>
    <cellStyle name="Normal 2 3 2 26 14" xfId="26683" xr:uid="{00000000-0005-0000-0000-00003B680000}"/>
    <cellStyle name="Normal 2 3 2 26 2" xfId="26684" xr:uid="{00000000-0005-0000-0000-00003C680000}"/>
    <cellStyle name="Normal 2 3 2 26 2 10" xfId="26685" xr:uid="{00000000-0005-0000-0000-00003D680000}"/>
    <cellStyle name="Normal 2 3 2 26 2 2" xfId="26686" xr:uid="{00000000-0005-0000-0000-00003E680000}"/>
    <cellStyle name="Normal 2 3 2 26 2 3" xfId="26687" xr:uid="{00000000-0005-0000-0000-00003F680000}"/>
    <cellStyle name="Normal 2 3 2 26 2 4" xfId="26688" xr:uid="{00000000-0005-0000-0000-000040680000}"/>
    <cellStyle name="Normal 2 3 2 26 2 5" xfId="26689" xr:uid="{00000000-0005-0000-0000-000041680000}"/>
    <cellStyle name="Normal 2 3 2 26 2 6" xfId="26690" xr:uid="{00000000-0005-0000-0000-000042680000}"/>
    <cellStyle name="Normal 2 3 2 26 2 7" xfId="26691" xr:uid="{00000000-0005-0000-0000-000043680000}"/>
    <cellStyle name="Normal 2 3 2 26 2 8" xfId="26692" xr:uid="{00000000-0005-0000-0000-000044680000}"/>
    <cellStyle name="Normal 2 3 2 26 2 9" xfId="26693" xr:uid="{00000000-0005-0000-0000-000045680000}"/>
    <cellStyle name="Normal 2 3 2 26 3" xfId="26694" xr:uid="{00000000-0005-0000-0000-000046680000}"/>
    <cellStyle name="Normal 2 3 2 26 3 10" xfId="26695" xr:uid="{00000000-0005-0000-0000-000047680000}"/>
    <cellStyle name="Normal 2 3 2 26 3 2" xfId="26696" xr:uid="{00000000-0005-0000-0000-000048680000}"/>
    <cellStyle name="Normal 2 3 2 26 3 3" xfId="26697" xr:uid="{00000000-0005-0000-0000-000049680000}"/>
    <cellStyle name="Normal 2 3 2 26 3 4" xfId="26698" xr:uid="{00000000-0005-0000-0000-00004A680000}"/>
    <cellStyle name="Normal 2 3 2 26 3 5" xfId="26699" xr:uid="{00000000-0005-0000-0000-00004B680000}"/>
    <cellStyle name="Normal 2 3 2 26 3 6" xfId="26700" xr:uid="{00000000-0005-0000-0000-00004C680000}"/>
    <cellStyle name="Normal 2 3 2 26 3 7" xfId="26701" xr:uid="{00000000-0005-0000-0000-00004D680000}"/>
    <cellStyle name="Normal 2 3 2 26 3 8" xfId="26702" xr:uid="{00000000-0005-0000-0000-00004E680000}"/>
    <cellStyle name="Normal 2 3 2 26 3 9" xfId="26703" xr:uid="{00000000-0005-0000-0000-00004F680000}"/>
    <cellStyle name="Normal 2 3 2 26 4" xfId="26704" xr:uid="{00000000-0005-0000-0000-000050680000}"/>
    <cellStyle name="Normal 2 3 2 26 4 10" xfId="26705" xr:uid="{00000000-0005-0000-0000-000051680000}"/>
    <cellStyle name="Normal 2 3 2 26 4 2" xfId="26706" xr:uid="{00000000-0005-0000-0000-000052680000}"/>
    <cellStyle name="Normal 2 3 2 26 4 3" xfId="26707" xr:uid="{00000000-0005-0000-0000-000053680000}"/>
    <cellStyle name="Normal 2 3 2 26 4 4" xfId="26708" xr:uid="{00000000-0005-0000-0000-000054680000}"/>
    <cellStyle name="Normal 2 3 2 26 4 5" xfId="26709" xr:uid="{00000000-0005-0000-0000-000055680000}"/>
    <cellStyle name="Normal 2 3 2 26 4 6" xfId="26710" xr:uid="{00000000-0005-0000-0000-000056680000}"/>
    <cellStyle name="Normal 2 3 2 26 4 7" xfId="26711" xr:uid="{00000000-0005-0000-0000-000057680000}"/>
    <cellStyle name="Normal 2 3 2 26 4 8" xfId="26712" xr:uid="{00000000-0005-0000-0000-000058680000}"/>
    <cellStyle name="Normal 2 3 2 26 4 9" xfId="26713" xr:uid="{00000000-0005-0000-0000-000059680000}"/>
    <cellStyle name="Normal 2 3 2 26 5" xfId="26714" xr:uid="{00000000-0005-0000-0000-00005A680000}"/>
    <cellStyle name="Normal 2 3 2 26 5 10" xfId="26715" xr:uid="{00000000-0005-0000-0000-00005B680000}"/>
    <cellStyle name="Normal 2 3 2 26 5 2" xfId="26716" xr:uid="{00000000-0005-0000-0000-00005C680000}"/>
    <cellStyle name="Normal 2 3 2 26 5 3" xfId="26717" xr:uid="{00000000-0005-0000-0000-00005D680000}"/>
    <cellStyle name="Normal 2 3 2 26 5 4" xfId="26718" xr:uid="{00000000-0005-0000-0000-00005E680000}"/>
    <cellStyle name="Normal 2 3 2 26 5 5" xfId="26719" xr:uid="{00000000-0005-0000-0000-00005F680000}"/>
    <cellStyle name="Normal 2 3 2 26 5 6" xfId="26720" xr:uid="{00000000-0005-0000-0000-000060680000}"/>
    <cellStyle name="Normal 2 3 2 26 5 7" xfId="26721" xr:uid="{00000000-0005-0000-0000-000061680000}"/>
    <cellStyle name="Normal 2 3 2 26 5 8" xfId="26722" xr:uid="{00000000-0005-0000-0000-000062680000}"/>
    <cellStyle name="Normal 2 3 2 26 5 9" xfId="26723" xr:uid="{00000000-0005-0000-0000-000063680000}"/>
    <cellStyle name="Normal 2 3 2 26 6" xfId="26724" xr:uid="{00000000-0005-0000-0000-000064680000}"/>
    <cellStyle name="Normal 2 3 2 26 7" xfId="26725" xr:uid="{00000000-0005-0000-0000-000065680000}"/>
    <cellStyle name="Normal 2 3 2 26 8" xfId="26726" xr:uid="{00000000-0005-0000-0000-000066680000}"/>
    <cellStyle name="Normal 2 3 2 26 9" xfId="26727" xr:uid="{00000000-0005-0000-0000-000067680000}"/>
    <cellStyle name="Normal 2 3 2 27" xfId="26728" xr:uid="{00000000-0005-0000-0000-000068680000}"/>
    <cellStyle name="Normal 2 3 2 27 10" xfId="26729" xr:uid="{00000000-0005-0000-0000-000069680000}"/>
    <cellStyle name="Normal 2 3 2 27 11" xfId="26730" xr:uid="{00000000-0005-0000-0000-00006A680000}"/>
    <cellStyle name="Normal 2 3 2 27 12" xfId="26731" xr:uid="{00000000-0005-0000-0000-00006B680000}"/>
    <cellStyle name="Normal 2 3 2 27 13" xfId="26732" xr:uid="{00000000-0005-0000-0000-00006C680000}"/>
    <cellStyle name="Normal 2 3 2 27 14" xfId="26733" xr:uid="{00000000-0005-0000-0000-00006D680000}"/>
    <cellStyle name="Normal 2 3 2 27 2" xfId="26734" xr:uid="{00000000-0005-0000-0000-00006E680000}"/>
    <cellStyle name="Normal 2 3 2 27 2 10" xfId="26735" xr:uid="{00000000-0005-0000-0000-00006F680000}"/>
    <cellStyle name="Normal 2 3 2 27 2 2" xfId="26736" xr:uid="{00000000-0005-0000-0000-000070680000}"/>
    <cellStyle name="Normal 2 3 2 27 2 3" xfId="26737" xr:uid="{00000000-0005-0000-0000-000071680000}"/>
    <cellStyle name="Normal 2 3 2 27 2 4" xfId="26738" xr:uid="{00000000-0005-0000-0000-000072680000}"/>
    <cellStyle name="Normal 2 3 2 27 2 5" xfId="26739" xr:uid="{00000000-0005-0000-0000-000073680000}"/>
    <cellStyle name="Normal 2 3 2 27 2 6" xfId="26740" xr:uid="{00000000-0005-0000-0000-000074680000}"/>
    <cellStyle name="Normal 2 3 2 27 2 7" xfId="26741" xr:uid="{00000000-0005-0000-0000-000075680000}"/>
    <cellStyle name="Normal 2 3 2 27 2 8" xfId="26742" xr:uid="{00000000-0005-0000-0000-000076680000}"/>
    <cellStyle name="Normal 2 3 2 27 2 9" xfId="26743" xr:uid="{00000000-0005-0000-0000-000077680000}"/>
    <cellStyle name="Normal 2 3 2 27 3" xfId="26744" xr:uid="{00000000-0005-0000-0000-000078680000}"/>
    <cellStyle name="Normal 2 3 2 27 3 10" xfId="26745" xr:uid="{00000000-0005-0000-0000-000079680000}"/>
    <cellStyle name="Normal 2 3 2 27 3 2" xfId="26746" xr:uid="{00000000-0005-0000-0000-00007A680000}"/>
    <cellStyle name="Normal 2 3 2 27 3 3" xfId="26747" xr:uid="{00000000-0005-0000-0000-00007B680000}"/>
    <cellStyle name="Normal 2 3 2 27 3 4" xfId="26748" xr:uid="{00000000-0005-0000-0000-00007C680000}"/>
    <cellStyle name="Normal 2 3 2 27 3 5" xfId="26749" xr:uid="{00000000-0005-0000-0000-00007D680000}"/>
    <cellStyle name="Normal 2 3 2 27 3 6" xfId="26750" xr:uid="{00000000-0005-0000-0000-00007E680000}"/>
    <cellStyle name="Normal 2 3 2 27 3 7" xfId="26751" xr:uid="{00000000-0005-0000-0000-00007F680000}"/>
    <cellStyle name="Normal 2 3 2 27 3 8" xfId="26752" xr:uid="{00000000-0005-0000-0000-000080680000}"/>
    <cellStyle name="Normal 2 3 2 27 3 9" xfId="26753" xr:uid="{00000000-0005-0000-0000-000081680000}"/>
    <cellStyle name="Normal 2 3 2 27 4" xfId="26754" xr:uid="{00000000-0005-0000-0000-000082680000}"/>
    <cellStyle name="Normal 2 3 2 27 4 10" xfId="26755" xr:uid="{00000000-0005-0000-0000-000083680000}"/>
    <cellStyle name="Normal 2 3 2 27 4 2" xfId="26756" xr:uid="{00000000-0005-0000-0000-000084680000}"/>
    <cellStyle name="Normal 2 3 2 27 4 3" xfId="26757" xr:uid="{00000000-0005-0000-0000-000085680000}"/>
    <cellStyle name="Normal 2 3 2 27 4 4" xfId="26758" xr:uid="{00000000-0005-0000-0000-000086680000}"/>
    <cellStyle name="Normal 2 3 2 27 4 5" xfId="26759" xr:uid="{00000000-0005-0000-0000-000087680000}"/>
    <cellStyle name="Normal 2 3 2 27 4 6" xfId="26760" xr:uid="{00000000-0005-0000-0000-000088680000}"/>
    <cellStyle name="Normal 2 3 2 27 4 7" xfId="26761" xr:uid="{00000000-0005-0000-0000-000089680000}"/>
    <cellStyle name="Normal 2 3 2 27 4 8" xfId="26762" xr:uid="{00000000-0005-0000-0000-00008A680000}"/>
    <cellStyle name="Normal 2 3 2 27 4 9" xfId="26763" xr:uid="{00000000-0005-0000-0000-00008B680000}"/>
    <cellStyle name="Normal 2 3 2 27 5" xfId="26764" xr:uid="{00000000-0005-0000-0000-00008C680000}"/>
    <cellStyle name="Normal 2 3 2 27 5 10" xfId="26765" xr:uid="{00000000-0005-0000-0000-00008D680000}"/>
    <cellStyle name="Normal 2 3 2 27 5 2" xfId="26766" xr:uid="{00000000-0005-0000-0000-00008E680000}"/>
    <cellStyle name="Normal 2 3 2 27 5 3" xfId="26767" xr:uid="{00000000-0005-0000-0000-00008F680000}"/>
    <cellStyle name="Normal 2 3 2 27 5 4" xfId="26768" xr:uid="{00000000-0005-0000-0000-000090680000}"/>
    <cellStyle name="Normal 2 3 2 27 5 5" xfId="26769" xr:uid="{00000000-0005-0000-0000-000091680000}"/>
    <cellStyle name="Normal 2 3 2 27 5 6" xfId="26770" xr:uid="{00000000-0005-0000-0000-000092680000}"/>
    <cellStyle name="Normal 2 3 2 27 5 7" xfId="26771" xr:uid="{00000000-0005-0000-0000-000093680000}"/>
    <cellStyle name="Normal 2 3 2 27 5 8" xfId="26772" xr:uid="{00000000-0005-0000-0000-000094680000}"/>
    <cellStyle name="Normal 2 3 2 27 5 9" xfId="26773" xr:uid="{00000000-0005-0000-0000-000095680000}"/>
    <cellStyle name="Normal 2 3 2 27 6" xfId="26774" xr:uid="{00000000-0005-0000-0000-000096680000}"/>
    <cellStyle name="Normal 2 3 2 27 7" xfId="26775" xr:uid="{00000000-0005-0000-0000-000097680000}"/>
    <cellStyle name="Normal 2 3 2 27 8" xfId="26776" xr:uid="{00000000-0005-0000-0000-000098680000}"/>
    <cellStyle name="Normal 2 3 2 27 9" xfId="26777" xr:uid="{00000000-0005-0000-0000-000099680000}"/>
    <cellStyle name="Normal 2 3 2 28" xfId="26778" xr:uid="{00000000-0005-0000-0000-00009A680000}"/>
    <cellStyle name="Normal 2 3 2 28 10" xfId="26779" xr:uid="{00000000-0005-0000-0000-00009B680000}"/>
    <cellStyle name="Normal 2 3 2 28 11" xfId="26780" xr:uid="{00000000-0005-0000-0000-00009C680000}"/>
    <cellStyle name="Normal 2 3 2 28 12" xfId="26781" xr:uid="{00000000-0005-0000-0000-00009D680000}"/>
    <cellStyle name="Normal 2 3 2 28 13" xfId="26782" xr:uid="{00000000-0005-0000-0000-00009E680000}"/>
    <cellStyle name="Normal 2 3 2 28 14" xfId="26783" xr:uid="{00000000-0005-0000-0000-00009F680000}"/>
    <cellStyle name="Normal 2 3 2 28 2" xfId="26784" xr:uid="{00000000-0005-0000-0000-0000A0680000}"/>
    <cellStyle name="Normal 2 3 2 28 2 10" xfId="26785" xr:uid="{00000000-0005-0000-0000-0000A1680000}"/>
    <cellStyle name="Normal 2 3 2 28 2 2" xfId="26786" xr:uid="{00000000-0005-0000-0000-0000A2680000}"/>
    <cellStyle name="Normal 2 3 2 28 2 3" xfId="26787" xr:uid="{00000000-0005-0000-0000-0000A3680000}"/>
    <cellStyle name="Normal 2 3 2 28 2 4" xfId="26788" xr:uid="{00000000-0005-0000-0000-0000A4680000}"/>
    <cellStyle name="Normal 2 3 2 28 2 5" xfId="26789" xr:uid="{00000000-0005-0000-0000-0000A5680000}"/>
    <cellStyle name="Normal 2 3 2 28 2 6" xfId="26790" xr:uid="{00000000-0005-0000-0000-0000A6680000}"/>
    <cellStyle name="Normal 2 3 2 28 2 7" xfId="26791" xr:uid="{00000000-0005-0000-0000-0000A7680000}"/>
    <cellStyle name="Normal 2 3 2 28 2 8" xfId="26792" xr:uid="{00000000-0005-0000-0000-0000A8680000}"/>
    <cellStyle name="Normal 2 3 2 28 2 9" xfId="26793" xr:uid="{00000000-0005-0000-0000-0000A9680000}"/>
    <cellStyle name="Normal 2 3 2 28 3" xfId="26794" xr:uid="{00000000-0005-0000-0000-0000AA680000}"/>
    <cellStyle name="Normal 2 3 2 28 3 10" xfId="26795" xr:uid="{00000000-0005-0000-0000-0000AB680000}"/>
    <cellStyle name="Normal 2 3 2 28 3 2" xfId="26796" xr:uid="{00000000-0005-0000-0000-0000AC680000}"/>
    <cellStyle name="Normal 2 3 2 28 3 3" xfId="26797" xr:uid="{00000000-0005-0000-0000-0000AD680000}"/>
    <cellStyle name="Normal 2 3 2 28 3 4" xfId="26798" xr:uid="{00000000-0005-0000-0000-0000AE680000}"/>
    <cellStyle name="Normal 2 3 2 28 3 5" xfId="26799" xr:uid="{00000000-0005-0000-0000-0000AF680000}"/>
    <cellStyle name="Normal 2 3 2 28 3 6" xfId="26800" xr:uid="{00000000-0005-0000-0000-0000B0680000}"/>
    <cellStyle name="Normal 2 3 2 28 3 7" xfId="26801" xr:uid="{00000000-0005-0000-0000-0000B1680000}"/>
    <cellStyle name="Normal 2 3 2 28 3 8" xfId="26802" xr:uid="{00000000-0005-0000-0000-0000B2680000}"/>
    <cellStyle name="Normal 2 3 2 28 3 9" xfId="26803" xr:uid="{00000000-0005-0000-0000-0000B3680000}"/>
    <cellStyle name="Normal 2 3 2 28 4" xfId="26804" xr:uid="{00000000-0005-0000-0000-0000B4680000}"/>
    <cellStyle name="Normal 2 3 2 28 4 10" xfId="26805" xr:uid="{00000000-0005-0000-0000-0000B5680000}"/>
    <cellStyle name="Normal 2 3 2 28 4 2" xfId="26806" xr:uid="{00000000-0005-0000-0000-0000B6680000}"/>
    <cellStyle name="Normal 2 3 2 28 4 3" xfId="26807" xr:uid="{00000000-0005-0000-0000-0000B7680000}"/>
    <cellStyle name="Normal 2 3 2 28 4 4" xfId="26808" xr:uid="{00000000-0005-0000-0000-0000B8680000}"/>
    <cellStyle name="Normal 2 3 2 28 4 5" xfId="26809" xr:uid="{00000000-0005-0000-0000-0000B9680000}"/>
    <cellStyle name="Normal 2 3 2 28 4 6" xfId="26810" xr:uid="{00000000-0005-0000-0000-0000BA680000}"/>
    <cellStyle name="Normal 2 3 2 28 4 7" xfId="26811" xr:uid="{00000000-0005-0000-0000-0000BB680000}"/>
    <cellStyle name="Normal 2 3 2 28 4 8" xfId="26812" xr:uid="{00000000-0005-0000-0000-0000BC680000}"/>
    <cellStyle name="Normal 2 3 2 28 4 9" xfId="26813" xr:uid="{00000000-0005-0000-0000-0000BD680000}"/>
    <cellStyle name="Normal 2 3 2 28 5" xfId="26814" xr:uid="{00000000-0005-0000-0000-0000BE680000}"/>
    <cellStyle name="Normal 2 3 2 28 5 10" xfId="26815" xr:uid="{00000000-0005-0000-0000-0000BF680000}"/>
    <cellStyle name="Normal 2 3 2 28 5 2" xfId="26816" xr:uid="{00000000-0005-0000-0000-0000C0680000}"/>
    <cellStyle name="Normal 2 3 2 28 5 3" xfId="26817" xr:uid="{00000000-0005-0000-0000-0000C1680000}"/>
    <cellStyle name="Normal 2 3 2 28 5 4" xfId="26818" xr:uid="{00000000-0005-0000-0000-0000C2680000}"/>
    <cellStyle name="Normal 2 3 2 28 5 5" xfId="26819" xr:uid="{00000000-0005-0000-0000-0000C3680000}"/>
    <cellStyle name="Normal 2 3 2 28 5 6" xfId="26820" xr:uid="{00000000-0005-0000-0000-0000C4680000}"/>
    <cellStyle name="Normal 2 3 2 28 5 7" xfId="26821" xr:uid="{00000000-0005-0000-0000-0000C5680000}"/>
    <cellStyle name="Normal 2 3 2 28 5 8" xfId="26822" xr:uid="{00000000-0005-0000-0000-0000C6680000}"/>
    <cellStyle name="Normal 2 3 2 28 5 9" xfId="26823" xr:uid="{00000000-0005-0000-0000-0000C7680000}"/>
    <cellStyle name="Normal 2 3 2 28 6" xfId="26824" xr:uid="{00000000-0005-0000-0000-0000C8680000}"/>
    <cellStyle name="Normal 2 3 2 28 7" xfId="26825" xr:uid="{00000000-0005-0000-0000-0000C9680000}"/>
    <cellStyle name="Normal 2 3 2 28 8" xfId="26826" xr:uid="{00000000-0005-0000-0000-0000CA680000}"/>
    <cellStyle name="Normal 2 3 2 28 9" xfId="26827" xr:uid="{00000000-0005-0000-0000-0000CB680000}"/>
    <cellStyle name="Normal 2 3 2 29" xfId="26828" xr:uid="{00000000-0005-0000-0000-0000CC680000}"/>
    <cellStyle name="Normal 2 3 2 29 10" xfId="26829" xr:uid="{00000000-0005-0000-0000-0000CD680000}"/>
    <cellStyle name="Normal 2 3 2 29 11" xfId="26830" xr:uid="{00000000-0005-0000-0000-0000CE680000}"/>
    <cellStyle name="Normal 2 3 2 29 12" xfId="26831" xr:uid="{00000000-0005-0000-0000-0000CF680000}"/>
    <cellStyle name="Normal 2 3 2 29 13" xfId="26832" xr:uid="{00000000-0005-0000-0000-0000D0680000}"/>
    <cellStyle name="Normal 2 3 2 29 14" xfId="26833" xr:uid="{00000000-0005-0000-0000-0000D1680000}"/>
    <cellStyle name="Normal 2 3 2 29 2" xfId="26834" xr:uid="{00000000-0005-0000-0000-0000D2680000}"/>
    <cellStyle name="Normal 2 3 2 29 2 10" xfId="26835" xr:uid="{00000000-0005-0000-0000-0000D3680000}"/>
    <cellStyle name="Normal 2 3 2 29 2 2" xfId="26836" xr:uid="{00000000-0005-0000-0000-0000D4680000}"/>
    <cellStyle name="Normal 2 3 2 29 2 3" xfId="26837" xr:uid="{00000000-0005-0000-0000-0000D5680000}"/>
    <cellStyle name="Normal 2 3 2 29 2 4" xfId="26838" xr:uid="{00000000-0005-0000-0000-0000D6680000}"/>
    <cellStyle name="Normal 2 3 2 29 2 5" xfId="26839" xr:uid="{00000000-0005-0000-0000-0000D7680000}"/>
    <cellStyle name="Normal 2 3 2 29 2 6" xfId="26840" xr:uid="{00000000-0005-0000-0000-0000D8680000}"/>
    <cellStyle name="Normal 2 3 2 29 2 7" xfId="26841" xr:uid="{00000000-0005-0000-0000-0000D9680000}"/>
    <cellStyle name="Normal 2 3 2 29 2 8" xfId="26842" xr:uid="{00000000-0005-0000-0000-0000DA680000}"/>
    <cellStyle name="Normal 2 3 2 29 2 9" xfId="26843" xr:uid="{00000000-0005-0000-0000-0000DB680000}"/>
    <cellStyle name="Normal 2 3 2 29 3" xfId="26844" xr:uid="{00000000-0005-0000-0000-0000DC680000}"/>
    <cellStyle name="Normal 2 3 2 29 3 10" xfId="26845" xr:uid="{00000000-0005-0000-0000-0000DD680000}"/>
    <cellStyle name="Normal 2 3 2 29 3 2" xfId="26846" xr:uid="{00000000-0005-0000-0000-0000DE680000}"/>
    <cellStyle name="Normal 2 3 2 29 3 3" xfId="26847" xr:uid="{00000000-0005-0000-0000-0000DF680000}"/>
    <cellStyle name="Normal 2 3 2 29 3 4" xfId="26848" xr:uid="{00000000-0005-0000-0000-0000E0680000}"/>
    <cellStyle name="Normal 2 3 2 29 3 5" xfId="26849" xr:uid="{00000000-0005-0000-0000-0000E1680000}"/>
    <cellStyle name="Normal 2 3 2 29 3 6" xfId="26850" xr:uid="{00000000-0005-0000-0000-0000E2680000}"/>
    <cellStyle name="Normal 2 3 2 29 3 7" xfId="26851" xr:uid="{00000000-0005-0000-0000-0000E3680000}"/>
    <cellStyle name="Normal 2 3 2 29 3 8" xfId="26852" xr:uid="{00000000-0005-0000-0000-0000E4680000}"/>
    <cellStyle name="Normal 2 3 2 29 3 9" xfId="26853" xr:uid="{00000000-0005-0000-0000-0000E5680000}"/>
    <cellStyle name="Normal 2 3 2 29 4" xfId="26854" xr:uid="{00000000-0005-0000-0000-0000E6680000}"/>
    <cellStyle name="Normal 2 3 2 29 4 10" xfId="26855" xr:uid="{00000000-0005-0000-0000-0000E7680000}"/>
    <cellStyle name="Normal 2 3 2 29 4 2" xfId="26856" xr:uid="{00000000-0005-0000-0000-0000E8680000}"/>
    <cellStyle name="Normal 2 3 2 29 4 3" xfId="26857" xr:uid="{00000000-0005-0000-0000-0000E9680000}"/>
    <cellStyle name="Normal 2 3 2 29 4 4" xfId="26858" xr:uid="{00000000-0005-0000-0000-0000EA680000}"/>
    <cellStyle name="Normal 2 3 2 29 4 5" xfId="26859" xr:uid="{00000000-0005-0000-0000-0000EB680000}"/>
    <cellStyle name="Normal 2 3 2 29 4 6" xfId="26860" xr:uid="{00000000-0005-0000-0000-0000EC680000}"/>
    <cellStyle name="Normal 2 3 2 29 4 7" xfId="26861" xr:uid="{00000000-0005-0000-0000-0000ED680000}"/>
    <cellStyle name="Normal 2 3 2 29 4 8" xfId="26862" xr:uid="{00000000-0005-0000-0000-0000EE680000}"/>
    <cellStyle name="Normal 2 3 2 29 4 9" xfId="26863" xr:uid="{00000000-0005-0000-0000-0000EF680000}"/>
    <cellStyle name="Normal 2 3 2 29 5" xfId="26864" xr:uid="{00000000-0005-0000-0000-0000F0680000}"/>
    <cellStyle name="Normal 2 3 2 29 5 10" xfId="26865" xr:uid="{00000000-0005-0000-0000-0000F1680000}"/>
    <cellStyle name="Normal 2 3 2 29 5 2" xfId="26866" xr:uid="{00000000-0005-0000-0000-0000F2680000}"/>
    <cellStyle name="Normal 2 3 2 29 5 3" xfId="26867" xr:uid="{00000000-0005-0000-0000-0000F3680000}"/>
    <cellStyle name="Normal 2 3 2 29 5 4" xfId="26868" xr:uid="{00000000-0005-0000-0000-0000F4680000}"/>
    <cellStyle name="Normal 2 3 2 29 5 5" xfId="26869" xr:uid="{00000000-0005-0000-0000-0000F5680000}"/>
    <cellStyle name="Normal 2 3 2 29 5 6" xfId="26870" xr:uid="{00000000-0005-0000-0000-0000F6680000}"/>
    <cellStyle name="Normal 2 3 2 29 5 7" xfId="26871" xr:uid="{00000000-0005-0000-0000-0000F7680000}"/>
    <cellStyle name="Normal 2 3 2 29 5 8" xfId="26872" xr:uid="{00000000-0005-0000-0000-0000F8680000}"/>
    <cellStyle name="Normal 2 3 2 29 5 9" xfId="26873" xr:uid="{00000000-0005-0000-0000-0000F9680000}"/>
    <cellStyle name="Normal 2 3 2 29 6" xfId="26874" xr:uid="{00000000-0005-0000-0000-0000FA680000}"/>
    <cellStyle name="Normal 2 3 2 29 7" xfId="26875" xr:uid="{00000000-0005-0000-0000-0000FB680000}"/>
    <cellStyle name="Normal 2 3 2 29 8" xfId="26876" xr:uid="{00000000-0005-0000-0000-0000FC680000}"/>
    <cellStyle name="Normal 2 3 2 29 9" xfId="26877" xr:uid="{00000000-0005-0000-0000-0000FD680000}"/>
    <cellStyle name="Normal 2 3 2 3" xfId="26878" xr:uid="{00000000-0005-0000-0000-0000FE680000}"/>
    <cellStyle name="Normal 2 3 2 3 10" xfId="26879" xr:uid="{00000000-0005-0000-0000-0000FF680000}"/>
    <cellStyle name="Normal 2 3 2 3 11" xfId="26880" xr:uid="{00000000-0005-0000-0000-000000690000}"/>
    <cellStyle name="Normal 2 3 2 3 12" xfId="26881" xr:uid="{00000000-0005-0000-0000-000001690000}"/>
    <cellStyle name="Normal 2 3 2 3 13" xfId="26882" xr:uid="{00000000-0005-0000-0000-000002690000}"/>
    <cellStyle name="Normal 2 3 2 3 14" xfId="26883" xr:uid="{00000000-0005-0000-0000-000003690000}"/>
    <cellStyle name="Normal 2 3 2 3 15" xfId="26884" xr:uid="{00000000-0005-0000-0000-000004690000}"/>
    <cellStyle name="Normal 2 3 2 3 16" xfId="26885" xr:uid="{00000000-0005-0000-0000-000005690000}"/>
    <cellStyle name="Normal 2 3 2 3 2" xfId="26886" xr:uid="{00000000-0005-0000-0000-000006690000}"/>
    <cellStyle name="Normal 2 3 2 3 2 10" xfId="26887" xr:uid="{00000000-0005-0000-0000-000007690000}"/>
    <cellStyle name="Normal 2 3 2 3 2 2" xfId="26888" xr:uid="{00000000-0005-0000-0000-000008690000}"/>
    <cellStyle name="Normal 2 3 2 3 2 3" xfId="26889" xr:uid="{00000000-0005-0000-0000-000009690000}"/>
    <cellStyle name="Normal 2 3 2 3 2 4" xfId="26890" xr:uid="{00000000-0005-0000-0000-00000A690000}"/>
    <cellStyle name="Normal 2 3 2 3 2 5" xfId="26891" xr:uid="{00000000-0005-0000-0000-00000B690000}"/>
    <cellStyle name="Normal 2 3 2 3 2 6" xfId="26892" xr:uid="{00000000-0005-0000-0000-00000C690000}"/>
    <cellStyle name="Normal 2 3 2 3 2 7" xfId="26893" xr:uid="{00000000-0005-0000-0000-00000D690000}"/>
    <cellStyle name="Normal 2 3 2 3 2 8" xfId="26894" xr:uid="{00000000-0005-0000-0000-00000E690000}"/>
    <cellStyle name="Normal 2 3 2 3 2 9" xfId="26895" xr:uid="{00000000-0005-0000-0000-00000F690000}"/>
    <cellStyle name="Normal 2 3 2 3 3" xfId="26896" xr:uid="{00000000-0005-0000-0000-000010690000}"/>
    <cellStyle name="Normal 2 3 2 3 3 10" xfId="26897" xr:uid="{00000000-0005-0000-0000-000011690000}"/>
    <cellStyle name="Normal 2 3 2 3 3 2" xfId="26898" xr:uid="{00000000-0005-0000-0000-000012690000}"/>
    <cellStyle name="Normal 2 3 2 3 3 3" xfId="26899" xr:uid="{00000000-0005-0000-0000-000013690000}"/>
    <cellStyle name="Normal 2 3 2 3 3 4" xfId="26900" xr:uid="{00000000-0005-0000-0000-000014690000}"/>
    <cellStyle name="Normal 2 3 2 3 3 5" xfId="26901" xr:uid="{00000000-0005-0000-0000-000015690000}"/>
    <cellStyle name="Normal 2 3 2 3 3 6" xfId="26902" xr:uid="{00000000-0005-0000-0000-000016690000}"/>
    <cellStyle name="Normal 2 3 2 3 3 7" xfId="26903" xr:uid="{00000000-0005-0000-0000-000017690000}"/>
    <cellStyle name="Normal 2 3 2 3 3 8" xfId="26904" xr:uid="{00000000-0005-0000-0000-000018690000}"/>
    <cellStyle name="Normal 2 3 2 3 3 9" xfId="26905" xr:uid="{00000000-0005-0000-0000-000019690000}"/>
    <cellStyle name="Normal 2 3 2 3 4" xfId="26906" xr:uid="{00000000-0005-0000-0000-00001A690000}"/>
    <cellStyle name="Normal 2 3 2 3 4 10" xfId="26907" xr:uid="{00000000-0005-0000-0000-00001B690000}"/>
    <cellStyle name="Normal 2 3 2 3 4 2" xfId="26908" xr:uid="{00000000-0005-0000-0000-00001C690000}"/>
    <cellStyle name="Normal 2 3 2 3 4 3" xfId="26909" xr:uid="{00000000-0005-0000-0000-00001D690000}"/>
    <cellStyle name="Normal 2 3 2 3 4 4" xfId="26910" xr:uid="{00000000-0005-0000-0000-00001E690000}"/>
    <cellStyle name="Normal 2 3 2 3 4 5" xfId="26911" xr:uid="{00000000-0005-0000-0000-00001F690000}"/>
    <cellStyle name="Normal 2 3 2 3 4 6" xfId="26912" xr:uid="{00000000-0005-0000-0000-000020690000}"/>
    <cellStyle name="Normal 2 3 2 3 4 7" xfId="26913" xr:uid="{00000000-0005-0000-0000-000021690000}"/>
    <cellStyle name="Normal 2 3 2 3 4 8" xfId="26914" xr:uid="{00000000-0005-0000-0000-000022690000}"/>
    <cellStyle name="Normal 2 3 2 3 4 9" xfId="26915" xr:uid="{00000000-0005-0000-0000-000023690000}"/>
    <cellStyle name="Normal 2 3 2 3 5" xfId="26916" xr:uid="{00000000-0005-0000-0000-000024690000}"/>
    <cellStyle name="Normal 2 3 2 3 5 10" xfId="26917" xr:uid="{00000000-0005-0000-0000-000025690000}"/>
    <cellStyle name="Normal 2 3 2 3 5 2" xfId="26918" xr:uid="{00000000-0005-0000-0000-000026690000}"/>
    <cellStyle name="Normal 2 3 2 3 5 3" xfId="26919" xr:uid="{00000000-0005-0000-0000-000027690000}"/>
    <cellStyle name="Normal 2 3 2 3 5 4" xfId="26920" xr:uid="{00000000-0005-0000-0000-000028690000}"/>
    <cellStyle name="Normal 2 3 2 3 5 5" xfId="26921" xr:uid="{00000000-0005-0000-0000-000029690000}"/>
    <cellStyle name="Normal 2 3 2 3 5 6" xfId="26922" xr:uid="{00000000-0005-0000-0000-00002A690000}"/>
    <cellStyle name="Normal 2 3 2 3 5 7" xfId="26923" xr:uid="{00000000-0005-0000-0000-00002B690000}"/>
    <cellStyle name="Normal 2 3 2 3 5 8" xfId="26924" xr:uid="{00000000-0005-0000-0000-00002C690000}"/>
    <cellStyle name="Normal 2 3 2 3 5 9" xfId="26925" xr:uid="{00000000-0005-0000-0000-00002D690000}"/>
    <cellStyle name="Normal 2 3 2 3 6" xfId="26926" xr:uid="{00000000-0005-0000-0000-00002E690000}"/>
    <cellStyle name="Normal 2 3 2 3 7" xfId="26927" xr:uid="{00000000-0005-0000-0000-00002F690000}"/>
    <cellStyle name="Normal 2 3 2 3 8" xfId="26928" xr:uid="{00000000-0005-0000-0000-000030690000}"/>
    <cellStyle name="Normal 2 3 2 3 9" xfId="26929" xr:uid="{00000000-0005-0000-0000-000031690000}"/>
    <cellStyle name="Normal 2 3 2 30" xfId="26930" xr:uid="{00000000-0005-0000-0000-000032690000}"/>
    <cellStyle name="Normal 2 3 2 30 10" xfId="26931" xr:uid="{00000000-0005-0000-0000-000033690000}"/>
    <cellStyle name="Normal 2 3 2 30 11" xfId="26932" xr:uid="{00000000-0005-0000-0000-000034690000}"/>
    <cellStyle name="Normal 2 3 2 30 12" xfId="26933" xr:uid="{00000000-0005-0000-0000-000035690000}"/>
    <cellStyle name="Normal 2 3 2 30 13" xfId="26934" xr:uid="{00000000-0005-0000-0000-000036690000}"/>
    <cellStyle name="Normal 2 3 2 30 14" xfId="26935" xr:uid="{00000000-0005-0000-0000-000037690000}"/>
    <cellStyle name="Normal 2 3 2 30 2" xfId="26936" xr:uid="{00000000-0005-0000-0000-000038690000}"/>
    <cellStyle name="Normal 2 3 2 30 2 10" xfId="26937" xr:uid="{00000000-0005-0000-0000-000039690000}"/>
    <cellStyle name="Normal 2 3 2 30 2 2" xfId="26938" xr:uid="{00000000-0005-0000-0000-00003A690000}"/>
    <cellStyle name="Normal 2 3 2 30 2 3" xfId="26939" xr:uid="{00000000-0005-0000-0000-00003B690000}"/>
    <cellStyle name="Normal 2 3 2 30 2 4" xfId="26940" xr:uid="{00000000-0005-0000-0000-00003C690000}"/>
    <cellStyle name="Normal 2 3 2 30 2 5" xfId="26941" xr:uid="{00000000-0005-0000-0000-00003D690000}"/>
    <cellStyle name="Normal 2 3 2 30 2 6" xfId="26942" xr:uid="{00000000-0005-0000-0000-00003E690000}"/>
    <cellStyle name="Normal 2 3 2 30 2 7" xfId="26943" xr:uid="{00000000-0005-0000-0000-00003F690000}"/>
    <cellStyle name="Normal 2 3 2 30 2 8" xfId="26944" xr:uid="{00000000-0005-0000-0000-000040690000}"/>
    <cellStyle name="Normal 2 3 2 30 2 9" xfId="26945" xr:uid="{00000000-0005-0000-0000-000041690000}"/>
    <cellStyle name="Normal 2 3 2 30 3" xfId="26946" xr:uid="{00000000-0005-0000-0000-000042690000}"/>
    <cellStyle name="Normal 2 3 2 30 3 10" xfId="26947" xr:uid="{00000000-0005-0000-0000-000043690000}"/>
    <cellStyle name="Normal 2 3 2 30 3 2" xfId="26948" xr:uid="{00000000-0005-0000-0000-000044690000}"/>
    <cellStyle name="Normal 2 3 2 30 3 3" xfId="26949" xr:uid="{00000000-0005-0000-0000-000045690000}"/>
    <cellStyle name="Normal 2 3 2 30 3 4" xfId="26950" xr:uid="{00000000-0005-0000-0000-000046690000}"/>
    <cellStyle name="Normal 2 3 2 30 3 5" xfId="26951" xr:uid="{00000000-0005-0000-0000-000047690000}"/>
    <cellStyle name="Normal 2 3 2 30 3 6" xfId="26952" xr:uid="{00000000-0005-0000-0000-000048690000}"/>
    <cellStyle name="Normal 2 3 2 30 3 7" xfId="26953" xr:uid="{00000000-0005-0000-0000-000049690000}"/>
    <cellStyle name="Normal 2 3 2 30 3 8" xfId="26954" xr:uid="{00000000-0005-0000-0000-00004A690000}"/>
    <cellStyle name="Normal 2 3 2 30 3 9" xfId="26955" xr:uid="{00000000-0005-0000-0000-00004B690000}"/>
    <cellStyle name="Normal 2 3 2 30 4" xfId="26956" xr:uid="{00000000-0005-0000-0000-00004C690000}"/>
    <cellStyle name="Normal 2 3 2 30 4 10" xfId="26957" xr:uid="{00000000-0005-0000-0000-00004D690000}"/>
    <cellStyle name="Normal 2 3 2 30 4 2" xfId="26958" xr:uid="{00000000-0005-0000-0000-00004E690000}"/>
    <cellStyle name="Normal 2 3 2 30 4 3" xfId="26959" xr:uid="{00000000-0005-0000-0000-00004F690000}"/>
    <cellStyle name="Normal 2 3 2 30 4 4" xfId="26960" xr:uid="{00000000-0005-0000-0000-000050690000}"/>
    <cellStyle name="Normal 2 3 2 30 4 5" xfId="26961" xr:uid="{00000000-0005-0000-0000-000051690000}"/>
    <cellStyle name="Normal 2 3 2 30 4 6" xfId="26962" xr:uid="{00000000-0005-0000-0000-000052690000}"/>
    <cellStyle name="Normal 2 3 2 30 4 7" xfId="26963" xr:uid="{00000000-0005-0000-0000-000053690000}"/>
    <cellStyle name="Normal 2 3 2 30 4 8" xfId="26964" xr:uid="{00000000-0005-0000-0000-000054690000}"/>
    <cellStyle name="Normal 2 3 2 30 4 9" xfId="26965" xr:uid="{00000000-0005-0000-0000-000055690000}"/>
    <cellStyle name="Normal 2 3 2 30 5" xfId="26966" xr:uid="{00000000-0005-0000-0000-000056690000}"/>
    <cellStyle name="Normal 2 3 2 30 5 10" xfId="26967" xr:uid="{00000000-0005-0000-0000-000057690000}"/>
    <cellStyle name="Normal 2 3 2 30 5 2" xfId="26968" xr:uid="{00000000-0005-0000-0000-000058690000}"/>
    <cellStyle name="Normal 2 3 2 30 5 3" xfId="26969" xr:uid="{00000000-0005-0000-0000-000059690000}"/>
    <cellStyle name="Normal 2 3 2 30 5 4" xfId="26970" xr:uid="{00000000-0005-0000-0000-00005A690000}"/>
    <cellStyle name="Normal 2 3 2 30 5 5" xfId="26971" xr:uid="{00000000-0005-0000-0000-00005B690000}"/>
    <cellStyle name="Normal 2 3 2 30 5 6" xfId="26972" xr:uid="{00000000-0005-0000-0000-00005C690000}"/>
    <cellStyle name="Normal 2 3 2 30 5 7" xfId="26973" xr:uid="{00000000-0005-0000-0000-00005D690000}"/>
    <cellStyle name="Normal 2 3 2 30 5 8" xfId="26974" xr:uid="{00000000-0005-0000-0000-00005E690000}"/>
    <cellStyle name="Normal 2 3 2 30 5 9" xfId="26975" xr:uid="{00000000-0005-0000-0000-00005F690000}"/>
    <cellStyle name="Normal 2 3 2 30 6" xfId="26976" xr:uid="{00000000-0005-0000-0000-000060690000}"/>
    <cellStyle name="Normal 2 3 2 30 7" xfId="26977" xr:uid="{00000000-0005-0000-0000-000061690000}"/>
    <cellStyle name="Normal 2 3 2 30 8" xfId="26978" xr:uid="{00000000-0005-0000-0000-000062690000}"/>
    <cellStyle name="Normal 2 3 2 30 9" xfId="26979" xr:uid="{00000000-0005-0000-0000-000063690000}"/>
    <cellStyle name="Normal 2 3 2 31" xfId="26980" xr:uid="{00000000-0005-0000-0000-000064690000}"/>
    <cellStyle name="Normal 2 3 2 31 10" xfId="26981" xr:uid="{00000000-0005-0000-0000-000065690000}"/>
    <cellStyle name="Normal 2 3 2 31 11" xfId="26982" xr:uid="{00000000-0005-0000-0000-000066690000}"/>
    <cellStyle name="Normal 2 3 2 31 12" xfId="26983" xr:uid="{00000000-0005-0000-0000-000067690000}"/>
    <cellStyle name="Normal 2 3 2 31 13" xfId="26984" xr:uid="{00000000-0005-0000-0000-000068690000}"/>
    <cellStyle name="Normal 2 3 2 31 14" xfId="26985" xr:uid="{00000000-0005-0000-0000-000069690000}"/>
    <cellStyle name="Normal 2 3 2 31 2" xfId="26986" xr:uid="{00000000-0005-0000-0000-00006A690000}"/>
    <cellStyle name="Normal 2 3 2 31 2 10" xfId="26987" xr:uid="{00000000-0005-0000-0000-00006B690000}"/>
    <cellStyle name="Normal 2 3 2 31 2 2" xfId="26988" xr:uid="{00000000-0005-0000-0000-00006C690000}"/>
    <cellStyle name="Normal 2 3 2 31 2 3" xfId="26989" xr:uid="{00000000-0005-0000-0000-00006D690000}"/>
    <cellStyle name="Normal 2 3 2 31 2 4" xfId="26990" xr:uid="{00000000-0005-0000-0000-00006E690000}"/>
    <cellStyle name="Normal 2 3 2 31 2 5" xfId="26991" xr:uid="{00000000-0005-0000-0000-00006F690000}"/>
    <cellStyle name="Normal 2 3 2 31 2 6" xfId="26992" xr:uid="{00000000-0005-0000-0000-000070690000}"/>
    <cellStyle name="Normal 2 3 2 31 2 7" xfId="26993" xr:uid="{00000000-0005-0000-0000-000071690000}"/>
    <cellStyle name="Normal 2 3 2 31 2 8" xfId="26994" xr:uid="{00000000-0005-0000-0000-000072690000}"/>
    <cellStyle name="Normal 2 3 2 31 2 9" xfId="26995" xr:uid="{00000000-0005-0000-0000-000073690000}"/>
    <cellStyle name="Normal 2 3 2 31 3" xfId="26996" xr:uid="{00000000-0005-0000-0000-000074690000}"/>
    <cellStyle name="Normal 2 3 2 31 3 10" xfId="26997" xr:uid="{00000000-0005-0000-0000-000075690000}"/>
    <cellStyle name="Normal 2 3 2 31 3 2" xfId="26998" xr:uid="{00000000-0005-0000-0000-000076690000}"/>
    <cellStyle name="Normal 2 3 2 31 3 3" xfId="26999" xr:uid="{00000000-0005-0000-0000-000077690000}"/>
    <cellStyle name="Normal 2 3 2 31 3 4" xfId="27000" xr:uid="{00000000-0005-0000-0000-000078690000}"/>
    <cellStyle name="Normal 2 3 2 31 3 5" xfId="27001" xr:uid="{00000000-0005-0000-0000-000079690000}"/>
    <cellStyle name="Normal 2 3 2 31 3 6" xfId="27002" xr:uid="{00000000-0005-0000-0000-00007A690000}"/>
    <cellStyle name="Normal 2 3 2 31 3 7" xfId="27003" xr:uid="{00000000-0005-0000-0000-00007B690000}"/>
    <cellStyle name="Normal 2 3 2 31 3 8" xfId="27004" xr:uid="{00000000-0005-0000-0000-00007C690000}"/>
    <cellStyle name="Normal 2 3 2 31 3 9" xfId="27005" xr:uid="{00000000-0005-0000-0000-00007D690000}"/>
    <cellStyle name="Normal 2 3 2 31 4" xfId="27006" xr:uid="{00000000-0005-0000-0000-00007E690000}"/>
    <cellStyle name="Normal 2 3 2 31 4 10" xfId="27007" xr:uid="{00000000-0005-0000-0000-00007F690000}"/>
    <cellStyle name="Normal 2 3 2 31 4 2" xfId="27008" xr:uid="{00000000-0005-0000-0000-000080690000}"/>
    <cellStyle name="Normal 2 3 2 31 4 3" xfId="27009" xr:uid="{00000000-0005-0000-0000-000081690000}"/>
    <cellStyle name="Normal 2 3 2 31 4 4" xfId="27010" xr:uid="{00000000-0005-0000-0000-000082690000}"/>
    <cellStyle name="Normal 2 3 2 31 4 5" xfId="27011" xr:uid="{00000000-0005-0000-0000-000083690000}"/>
    <cellStyle name="Normal 2 3 2 31 4 6" xfId="27012" xr:uid="{00000000-0005-0000-0000-000084690000}"/>
    <cellStyle name="Normal 2 3 2 31 4 7" xfId="27013" xr:uid="{00000000-0005-0000-0000-000085690000}"/>
    <cellStyle name="Normal 2 3 2 31 4 8" xfId="27014" xr:uid="{00000000-0005-0000-0000-000086690000}"/>
    <cellStyle name="Normal 2 3 2 31 4 9" xfId="27015" xr:uid="{00000000-0005-0000-0000-000087690000}"/>
    <cellStyle name="Normal 2 3 2 31 5" xfId="27016" xr:uid="{00000000-0005-0000-0000-000088690000}"/>
    <cellStyle name="Normal 2 3 2 31 5 10" xfId="27017" xr:uid="{00000000-0005-0000-0000-000089690000}"/>
    <cellStyle name="Normal 2 3 2 31 5 2" xfId="27018" xr:uid="{00000000-0005-0000-0000-00008A690000}"/>
    <cellStyle name="Normal 2 3 2 31 5 3" xfId="27019" xr:uid="{00000000-0005-0000-0000-00008B690000}"/>
    <cellStyle name="Normal 2 3 2 31 5 4" xfId="27020" xr:uid="{00000000-0005-0000-0000-00008C690000}"/>
    <cellStyle name="Normal 2 3 2 31 5 5" xfId="27021" xr:uid="{00000000-0005-0000-0000-00008D690000}"/>
    <cellStyle name="Normal 2 3 2 31 5 6" xfId="27022" xr:uid="{00000000-0005-0000-0000-00008E690000}"/>
    <cellStyle name="Normal 2 3 2 31 5 7" xfId="27023" xr:uid="{00000000-0005-0000-0000-00008F690000}"/>
    <cellStyle name="Normal 2 3 2 31 5 8" xfId="27024" xr:uid="{00000000-0005-0000-0000-000090690000}"/>
    <cellStyle name="Normal 2 3 2 31 5 9" xfId="27025" xr:uid="{00000000-0005-0000-0000-000091690000}"/>
    <cellStyle name="Normal 2 3 2 31 6" xfId="27026" xr:uid="{00000000-0005-0000-0000-000092690000}"/>
    <cellStyle name="Normal 2 3 2 31 7" xfId="27027" xr:uid="{00000000-0005-0000-0000-000093690000}"/>
    <cellStyle name="Normal 2 3 2 31 8" xfId="27028" xr:uid="{00000000-0005-0000-0000-000094690000}"/>
    <cellStyle name="Normal 2 3 2 31 9" xfId="27029" xr:uid="{00000000-0005-0000-0000-000095690000}"/>
    <cellStyle name="Normal 2 3 2 32" xfId="27030" xr:uid="{00000000-0005-0000-0000-000096690000}"/>
    <cellStyle name="Normal 2 3 2 32 10" xfId="27031" xr:uid="{00000000-0005-0000-0000-000097690000}"/>
    <cellStyle name="Normal 2 3 2 32 11" xfId="27032" xr:uid="{00000000-0005-0000-0000-000098690000}"/>
    <cellStyle name="Normal 2 3 2 32 12" xfId="27033" xr:uid="{00000000-0005-0000-0000-000099690000}"/>
    <cellStyle name="Normal 2 3 2 32 13" xfId="27034" xr:uid="{00000000-0005-0000-0000-00009A690000}"/>
    <cellStyle name="Normal 2 3 2 32 14" xfId="27035" xr:uid="{00000000-0005-0000-0000-00009B690000}"/>
    <cellStyle name="Normal 2 3 2 32 2" xfId="27036" xr:uid="{00000000-0005-0000-0000-00009C690000}"/>
    <cellStyle name="Normal 2 3 2 32 2 10" xfId="27037" xr:uid="{00000000-0005-0000-0000-00009D690000}"/>
    <cellStyle name="Normal 2 3 2 32 2 2" xfId="27038" xr:uid="{00000000-0005-0000-0000-00009E690000}"/>
    <cellStyle name="Normal 2 3 2 32 2 3" xfId="27039" xr:uid="{00000000-0005-0000-0000-00009F690000}"/>
    <cellStyle name="Normal 2 3 2 32 2 4" xfId="27040" xr:uid="{00000000-0005-0000-0000-0000A0690000}"/>
    <cellStyle name="Normal 2 3 2 32 2 5" xfId="27041" xr:uid="{00000000-0005-0000-0000-0000A1690000}"/>
    <cellStyle name="Normal 2 3 2 32 2 6" xfId="27042" xr:uid="{00000000-0005-0000-0000-0000A2690000}"/>
    <cellStyle name="Normal 2 3 2 32 2 7" xfId="27043" xr:uid="{00000000-0005-0000-0000-0000A3690000}"/>
    <cellStyle name="Normal 2 3 2 32 2 8" xfId="27044" xr:uid="{00000000-0005-0000-0000-0000A4690000}"/>
    <cellStyle name="Normal 2 3 2 32 2 9" xfId="27045" xr:uid="{00000000-0005-0000-0000-0000A5690000}"/>
    <cellStyle name="Normal 2 3 2 32 3" xfId="27046" xr:uid="{00000000-0005-0000-0000-0000A6690000}"/>
    <cellStyle name="Normal 2 3 2 32 3 10" xfId="27047" xr:uid="{00000000-0005-0000-0000-0000A7690000}"/>
    <cellStyle name="Normal 2 3 2 32 3 2" xfId="27048" xr:uid="{00000000-0005-0000-0000-0000A8690000}"/>
    <cellStyle name="Normal 2 3 2 32 3 3" xfId="27049" xr:uid="{00000000-0005-0000-0000-0000A9690000}"/>
    <cellStyle name="Normal 2 3 2 32 3 4" xfId="27050" xr:uid="{00000000-0005-0000-0000-0000AA690000}"/>
    <cellStyle name="Normal 2 3 2 32 3 5" xfId="27051" xr:uid="{00000000-0005-0000-0000-0000AB690000}"/>
    <cellStyle name="Normal 2 3 2 32 3 6" xfId="27052" xr:uid="{00000000-0005-0000-0000-0000AC690000}"/>
    <cellStyle name="Normal 2 3 2 32 3 7" xfId="27053" xr:uid="{00000000-0005-0000-0000-0000AD690000}"/>
    <cellStyle name="Normal 2 3 2 32 3 8" xfId="27054" xr:uid="{00000000-0005-0000-0000-0000AE690000}"/>
    <cellStyle name="Normal 2 3 2 32 3 9" xfId="27055" xr:uid="{00000000-0005-0000-0000-0000AF690000}"/>
    <cellStyle name="Normal 2 3 2 32 4" xfId="27056" xr:uid="{00000000-0005-0000-0000-0000B0690000}"/>
    <cellStyle name="Normal 2 3 2 32 4 10" xfId="27057" xr:uid="{00000000-0005-0000-0000-0000B1690000}"/>
    <cellStyle name="Normal 2 3 2 32 4 2" xfId="27058" xr:uid="{00000000-0005-0000-0000-0000B2690000}"/>
    <cellStyle name="Normal 2 3 2 32 4 3" xfId="27059" xr:uid="{00000000-0005-0000-0000-0000B3690000}"/>
    <cellStyle name="Normal 2 3 2 32 4 4" xfId="27060" xr:uid="{00000000-0005-0000-0000-0000B4690000}"/>
    <cellStyle name="Normal 2 3 2 32 4 5" xfId="27061" xr:uid="{00000000-0005-0000-0000-0000B5690000}"/>
    <cellStyle name="Normal 2 3 2 32 4 6" xfId="27062" xr:uid="{00000000-0005-0000-0000-0000B6690000}"/>
    <cellStyle name="Normal 2 3 2 32 4 7" xfId="27063" xr:uid="{00000000-0005-0000-0000-0000B7690000}"/>
    <cellStyle name="Normal 2 3 2 32 4 8" xfId="27064" xr:uid="{00000000-0005-0000-0000-0000B8690000}"/>
    <cellStyle name="Normal 2 3 2 32 4 9" xfId="27065" xr:uid="{00000000-0005-0000-0000-0000B9690000}"/>
    <cellStyle name="Normal 2 3 2 32 5" xfId="27066" xr:uid="{00000000-0005-0000-0000-0000BA690000}"/>
    <cellStyle name="Normal 2 3 2 32 5 10" xfId="27067" xr:uid="{00000000-0005-0000-0000-0000BB690000}"/>
    <cellStyle name="Normal 2 3 2 32 5 2" xfId="27068" xr:uid="{00000000-0005-0000-0000-0000BC690000}"/>
    <cellStyle name="Normal 2 3 2 32 5 3" xfId="27069" xr:uid="{00000000-0005-0000-0000-0000BD690000}"/>
    <cellStyle name="Normal 2 3 2 32 5 4" xfId="27070" xr:uid="{00000000-0005-0000-0000-0000BE690000}"/>
    <cellStyle name="Normal 2 3 2 32 5 5" xfId="27071" xr:uid="{00000000-0005-0000-0000-0000BF690000}"/>
    <cellStyle name="Normal 2 3 2 32 5 6" xfId="27072" xr:uid="{00000000-0005-0000-0000-0000C0690000}"/>
    <cellStyle name="Normal 2 3 2 32 5 7" xfId="27073" xr:uid="{00000000-0005-0000-0000-0000C1690000}"/>
    <cellStyle name="Normal 2 3 2 32 5 8" xfId="27074" xr:uid="{00000000-0005-0000-0000-0000C2690000}"/>
    <cellStyle name="Normal 2 3 2 32 5 9" xfId="27075" xr:uid="{00000000-0005-0000-0000-0000C3690000}"/>
    <cellStyle name="Normal 2 3 2 32 6" xfId="27076" xr:uid="{00000000-0005-0000-0000-0000C4690000}"/>
    <cellStyle name="Normal 2 3 2 32 7" xfId="27077" xr:uid="{00000000-0005-0000-0000-0000C5690000}"/>
    <cellStyle name="Normal 2 3 2 32 8" xfId="27078" xr:uid="{00000000-0005-0000-0000-0000C6690000}"/>
    <cellStyle name="Normal 2 3 2 32 9" xfId="27079" xr:uid="{00000000-0005-0000-0000-0000C7690000}"/>
    <cellStyle name="Normal 2 3 2 33" xfId="27080" xr:uid="{00000000-0005-0000-0000-0000C8690000}"/>
    <cellStyle name="Normal 2 3 2 33 10" xfId="27081" xr:uid="{00000000-0005-0000-0000-0000C9690000}"/>
    <cellStyle name="Normal 2 3 2 33 11" xfId="27082" xr:uid="{00000000-0005-0000-0000-0000CA690000}"/>
    <cellStyle name="Normal 2 3 2 33 12" xfId="27083" xr:uid="{00000000-0005-0000-0000-0000CB690000}"/>
    <cellStyle name="Normal 2 3 2 33 13" xfId="27084" xr:uid="{00000000-0005-0000-0000-0000CC690000}"/>
    <cellStyle name="Normal 2 3 2 33 14" xfId="27085" xr:uid="{00000000-0005-0000-0000-0000CD690000}"/>
    <cellStyle name="Normal 2 3 2 33 2" xfId="27086" xr:uid="{00000000-0005-0000-0000-0000CE690000}"/>
    <cellStyle name="Normal 2 3 2 33 2 10" xfId="27087" xr:uid="{00000000-0005-0000-0000-0000CF690000}"/>
    <cellStyle name="Normal 2 3 2 33 2 2" xfId="27088" xr:uid="{00000000-0005-0000-0000-0000D0690000}"/>
    <cellStyle name="Normal 2 3 2 33 2 3" xfId="27089" xr:uid="{00000000-0005-0000-0000-0000D1690000}"/>
    <cellStyle name="Normal 2 3 2 33 2 4" xfId="27090" xr:uid="{00000000-0005-0000-0000-0000D2690000}"/>
    <cellStyle name="Normal 2 3 2 33 2 5" xfId="27091" xr:uid="{00000000-0005-0000-0000-0000D3690000}"/>
    <cellStyle name="Normal 2 3 2 33 2 6" xfId="27092" xr:uid="{00000000-0005-0000-0000-0000D4690000}"/>
    <cellStyle name="Normal 2 3 2 33 2 7" xfId="27093" xr:uid="{00000000-0005-0000-0000-0000D5690000}"/>
    <cellStyle name="Normal 2 3 2 33 2 8" xfId="27094" xr:uid="{00000000-0005-0000-0000-0000D6690000}"/>
    <cellStyle name="Normal 2 3 2 33 2 9" xfId="27095" xr:uid="{00000000-0005-0000-0000-0000D7690000}"/>
    <cellStyle name="Normal 2 3 2 33 3" xfId="27096" xr:uid="{00000000-0005-0000-0000-0000D8690000}"/>
    <cellStyle name="Normal 2 3 2 33 3 10" xfId="27097" xr:uid="{00000000-0005-0000-0000-0000D9690000}"/>
    <cellStyle name="Normal 2 3 2 33 3 2" xfId="27098" xr:uid="{00000000-0005-0000-0000-0000DA690000}"/>
    <cellStyle name="Normal 2 3 2 33 3 3" xfId="27099" xr:uid="{00000000-0005-0000-0000-0000DB690000}"/>
    <cellStyle name="Normal 2 3 2 33 3 4" xfId="27100" xr:uid="{00000000-0005-0000-0000-0000DC690000}"/>
    <cellStyle name="Normal 2 3 2 33 3 5" xfId="27101" xr:uid="{00000000-0005-0000-0000-0000DD690000}"/>
    <cellStyle name="Normal 2 3 2 33 3 6" xfId="27102" xr:uid="{00000000-0005-0000-0000-0000DE690000}"/>
    <cellStyle name="Normal 2 3 2 33 3 7" xfId="27103" xr:uid="{00000000-0005-0000-0000-0000DF690000}"/>
    <cellStyle name="Normal 2 3 2 33 3 8" xfId="27104" xr:uid="{00000000-0005-0000-0000-0000E0690000}"/>
    <cellStyle name="Normal 2 3 2 33 3 9" xfId="27105" xr:uid="{00000000-0005-0000-0000-0000E1690000}"/>
    <cellStyle name="Normal 2 3 2 33 4" xfId="27106" xr:uid="{00000000-0005-0000-0000-0000E2690000}"/>
    <cellStyle name="Normal 2 3 2 33 4 10" xfId="27107" xr:uid="{00000000-0005-0000-0000-0000E3690000}"/>
    <cellStyle name="Normal 2 3 2 33 4 2" xfId="27108" xr:uid="{00000000-0005-0000-0000-0000E4690000}"/>
    <cellStyle name="Normal 2 3 2 33 4 3" xfId="27109" xr:uid="{00000000-0005-0000-0000-0000E5690000}"/>
    <cellStyle name="Normal 2 3 2 33 4 4" xfId="27110" xr:uid="{00000000-0005-0000-0000-0000E6690000}"/>
    <cellStyle name="Normal 2 3 2 33 4 5" xfId="27111" xr:uid="{00000000-0005-0000-0000-0000E7690000}"/>
    <cellStyle name="Normal 2 3 2 33 4 6" xfId="27112" xr:uid="{00000000-0005-0000-0000-0000E8690000}"/>
    <cellStyle name="Normal 2 3 2 33 4 7" xfId="27113" xr:uid="{00000000-0005-0000-0000-0000E9690000}"/>
    <cellStyle name="Normal 2 3 2 33 4 8" xfId="27114" xr:uid="{00000000-0005-0000-0000-0000EA690000}"/>
    <cellStyle name="Normal 2 3 2 33 4 9" xfId="27115" xr:uid="{00000000-0005-0000-0000-0000EB690000}"/>
    <cellStyle name="Normal 2 3 2 33 5" xfId="27116" xr:uid="{00000000-0005-0000-0000-0000EC690000}"/>
    <cellStyle name="Normal 2 3 2 33 5 10" xfId="27117" xr:uid="{00000000-0005-0000-0000-0000ED690000}"/>
    <cellStyle name="Normal 2 3 2 33 5 2" xfId="27118" xr:uid="{00000000-0005-0000-0000-0000EE690000}"/>
    <cellStyle name="Normal 2 3 2 33 5 3" xfId="27119" xr:uid="{00000000-0005-0000-0000-0000EF690000}"/>
    <cellStyle name="Normal 2 3 2 33 5 4" xfId="27120" xr:uid="{00000000-0005-0000-0000-0000F0690000}"/>
    <cellStyle name="Normal 2 3 2 33 5 5" xfId="27121" xr:uid="{00000000-0005-0000-0000-0000F1690000}"/>
    <cellStyle name="Normal 2 3 2 33 5 6" xfId="27122" xr:uid="{00000000-0005-0000-0000-0000F2690000}"/>
    <cellStyle name="Normal 2 3 2 33 5 7" xfId="27123" xr:uid="{00000000-0005-0000-0000-0000F3690000}"/>
    <cellStyle name="Normal 2 3 2 33 5 8" xfId="27124" xr:uid="{00000000-0005-0000-0000-0000F4690000}"/>
    <cellStyle name="Normal 2 3 2 33 5 9" xfId="27125" xr:uid="{00000000-0005-0000-0000-0000F5690000}"/>
    <cellStyle name="Normal 2 3 2 33 6" xfId="27126" xr:uid="{00000000-0005-0000-0000-0000F6690000}"/>
    <cellStyle name="Normal 2 3 2 33 7" xfId="27127" xr:uid="{00000000-0005-0000-0000-0000F7690000}"/>
    <cellStyle name="Normal 2 3 2 33 8" xfId="27128" xr:uid="{00000000-0005-0000-0000-0000F8690000}"/>
    <cellStyle name="Normal 2 3 2 33 9" xfId="27129" xr:uid="{00000000-0005-0000-0000-0000F9690000}"/>
    <cellStyle name="Normal 2 3 2 34" xfId="27130" xr:uid="{00000000-0005-0000-0000-0000FA690000}"/>
    <cellStyle name="Normal 2 3 2 34 10" xfId="27131" xr:uid="{00000000-0005-0000-0000-0000FB690000}"/>
    <cellStyle name="Normal 2 3 2 34 2" xfId="27132" xr:uid="{00000000-0005-0000-0000-0000FC690000}"/>
    <cellStyle name="Normal 2 3 2 34 3" xfId="27133" xr:uid="{00000000-0005-0000-0000-0000FD690000}"/>
    <cellStyle name="Normal 2 3 2 34 4" xfId="27134" xr:uid="{00000000-0005-0000-0000-0000FE690000}"/>
    <cellStyle name="Normal 2 3 2 34 5" xfId="27135" xr:uid="{00000000-0005-0000-0000-0000FF690000}"/>
    <cellStyle name="Normal 2 3 2 34 6" xfId="27136" xr:uid="{00000000-0005-0000-0000-0000006A0000}"/>
    <cellStyle name="Normal 2 3 2 34 7" xfId="27137" xr:uid="{00000000-0005-0000-0000-0000016A0000}"/>
    <cellStyle name="Normal 2 3 2 34 8" xfId="27138" xr:uid="{00000000-0005-0000-0000-0000026A0000}"/>
    <cellStyle name="Normal 2 3 2 34 9" xfId="27139" xr:uid="{00000000-0005-0000-0000-0000036A0000}"/>
    <cellStyle name="Normal 2 3 2 35" xfId="27140" xr:uid="{00000000-0005-0000-0000-0000046A0000}"/>
    <cellStyle name="Normal 2 3 2 35 10" xfId="27141" xr:uid="{00000000-0005-0000-0000-0000056A0000}"/>
    <cellStyle name="Normal 2 3 2 35 2" xfId="27142" xr:uid="{00000000-0005-0000-0000-0000066A0000}"/>
    <cellStyle name="Normal 2 3 2 35 3" xfId="27143" xr:uid="{00000000-0005-0000-0000-0000076A0000}"/>
    <cellStyle name="Normal 2 3 2 35 4" xfId="27144" xr:uid="{00000000-0005-0000-0000-0000086A0000}"/>
    <cellStyle name="Normal 2 3 2 35 5" xfId="27145" xr:uid="{00000000-0005-0000-0000-0000096A0000}"/>
    <cellStyle name="Normal 2 3 2 35 6" xfId="27146" xr:uid="{00000000-0005-0000-0000-00000A6A0000}"/>
    <cellStyle name="Normal 2 3 2 35 7" xfId="27147" xr:uid="{00000000-0005-0000-0000-00000B6A0000}"/>
    <cellStyle name="Normal 2 3 2 35 8" xfId="27148" xr:uid="{00000000-0005-0000-0000-00000C6A0000}"/>
    <cellStyle name="Normal 2 3 2 35 9" xfId="27149" xr:uid="{00000000-0005-0000-0000-00000D6A0000}"/>
    <cellStyle name="Normal 2 3 2 36" xfId="27150" xr:uid="{00000000-0005-0000-0000-00000E6A0000}"/>
    <cellStyle name="Normal 2 3 2 36 10" xfId="27151" xr:uid="{00000000-0005-0000-0000-00000F6A0000}"/>
    <cellStyle name="Normal 2 3 2 36 2" xfId="27152" xr:uid="{00000000-0005-0000-0000-0000106A0000}"/>
    <cellStyle name="Normal 2 3 2 36 3" xfId="27153" xr:uid="{00000000-0005-0000-0000-0000116A0000}"/>
    <cellStyle name="Normal 2 3 2 36 4" xfId="27154" xr:uid="{00000000-0005-0000-0000-0000126A0000}"/>
    <cellStyle name="Normal 2 3 2 36 5" xfId="27155" xr:uid="{00000000-0005-0000-0000-0000136A0000}"/>
    <cellStyle name="Normal 2 3 2 36 6" xfId="27156" xr:uid="{00000000-0005-0000-0000-0000146A0000}"/>
    <cellStyle name="Normal 2 3 2 36 7" xfId="27157" xr:uid="{00000000-0005-0000-0000-0000156A0000}"/>
    <cellStyle name="Normal 2 3 2 36 8" xfId="27158" xr:uid="{00000000-0005-0000-0000-0000166A0000}"/>
    <cellStyle name="Normal 2 3 2 36 9" xfId="27159" xr:uid="{00000000-0005-0000-0000-0000176A0000}"/>
    <cellStyle name="Normal 2 3 2 37" xfId="27160" xr:uid="{00000000-0005-0000-0000-0000186A0000}"/>
    <cellStyle name="Normal 2 3 2 37 10" xfId="27161" xr:uid="{00000000-0005-0000-0000-0000196A0000}"/>
    <cellStyle name="Normal 2 3 2 37 2" xfId="27162" xr:uid="{00000000-0005-0000-0000-00001A6A0000}"/>
    <cellStyle name="Normal 2 3 2 37 3" xfId="27163" xr:uid="{00000000-0005-0000-0000-00001B6A0000}"/>
    <cellStyle name="Normal 2 3 2 37 4" xfId="27164" xr:uid="{00000000-0005-0000-0000-00001C6A0000}"/>
    <cellStyle name="Normal 2 3 2 37 5" xfId="27165" xr:uid="{00000000-0005-0000-0000-00001D6A0000}"/>
    <cellStyle name="Normal 2 3 2 37 6" xfId="27166" xr:uid="{00000000-0005-0000-0000-00001E6A0000}"/>
    <cellStyle name="Normal 2 3 2 37 7" xfId="27167" xr:uid="{00000000-0005-0000-0000-00001F6A0000}"/>
    <cellStyle name="Normal 2 3 2 37 8" xfId="27168" xr:uid="{00000000-0005-0000-0000-0000206A0000}"/>
    <cellStyle name="Normal 2 3 2 37 9" xfId="27169" xr:uid="{00000000-0005-0000-0000-0000216A0000}"/>
    <cellStyle name="Normal 2 3 2 38" xfId="27170" xr:uid="{00000000-0005-0000-0000-0000226A0000}"/>
    <cellStyle name="Normal 2 3 2 39" xfId="27171" xr:uid="{00000000-0005-0000-0000-0000236A0000}"/>
    <cellStyle name="Normal 2 3 2 4" xfId="27172" xr:uid="{00000000-0005-0000-0000-0000246A0000}"/>
    <cellStyle name="Normal 2 3 2 4 10" xfId="27173" xr:uid="{00000000-0005-0000-0000-0000256A0000}"/>
    <cellStyle name="Normal 2 3 2 4 11" xfId="27174" xr:uid="{00000000-0005-0000-0000-0000266A0000}"/>
    <cellStyle name="Normal 2 3 2 4 12" xfId="27175" xr:uid="{00000000-0005-0000-0000-0000276A0000}"/>
    <cellStyle name="Normal 2 3 2 4 13" xfId="27176" xr:uid="{00000000-0005-0000-0000-0000286A0000}"/>
    <cellStyle name="Normal 2 3 2 4 14" xfId="27177" xr:uid="{00000000-0005-0000-0000-0000296A0000}"/>
    <cellStyle name="Normal 2 3 2 4 2" xfId="27178" xr:uid="{00000000-0005-0000-0000-00002A6A0000}"/>
    <cellStyle name="Normal 2 3 2 4 2 10" xfId="27179" xr:uid="{00000000-0005-0000-0000-00002B6A0000}"/>
    <cellStyle name="Normal 2 3 2 4 2 2" xfId="27180" xr:uid="{00000000-0005-0000-0000-00002C6A0000}"/>
    <cellStyle name="Normal 2 3 2 4 2 3" xfId="27181" xr:uid="{00000000-0005-0000-0000-00002D6A0000}"/>
    <cellStyle name="Normal 2 3 2 4 2 4" xfId="27182" xr:uid="{00000000-0005-0000-0000-00002E6A0000}"/>
    <cellStyle name="Normal 2 3 2 4 2 5" xfId="27183" xr:uid="{00000000-0005-0000-0000-00002F6A0000}"/>
    <cellStyle name="Normal 2 3 2 4 2 6" xfId="27184" xr:uid="{00000000-0005-0000-0000-0000306A0000}"/>
    <cellStyle name="Normal 2 3 2 4 2 7" xfId="27185" xr:uid="{00000000-0005-0000-0000-0000316A0000}"/>
    <cellStyle name="Normal 2 3 2 4 2 8" xfId="27186" xr:uid="{00000000-0005-0000-0000-0000326A0000}"/>
    <cellStyle name="Normal 2 3 2 4 2 9" xfId="27187" xr:uid="{00000000-0005-0000-0000-0000336A0000}"/>
    <cellStyle name="Normal 2 3 2 4 3" xfId="27188" xr:uid="{00000000-0005-0000-0000-0000346A0000}"/>
    <cellStyle name="Normal 2 3 2 4 3 10" xfId="27189" xr:uid="{00000000-0005-0000-0000-0000356A0000}"/>
    <cellStyle name="Normal 2 3 2 4 3 2" xfId="27190" xr:uid="{00000000-0005-0000-0000-0000366A0000}"/>
    <cellStyle name="Normal 2 3 2 4 3 3" xfId="27191" xr:uid="{00000000-0005-0000-0000-0000376A0000}"/>
    <cellStyle name="Normal 2 3 2 4 3 4" xfId="27192" xr:uid="{00000000-0005-0000-0000-0000386A0000}"/>
    <cellStyle name="Normal 2 3 2 4 3 5" xfId="27193" xr:uid="{00000000-0005-0000-0000-0000396A0000}"/>
    <cellStyle name="Normal 2 3 2 4 3 6" xfId="27194" xr:uid="{00000000-0005-0000-0000-00003A6A0000}"/>
    <cellStyle name="Normal 2 3 2 4 3 7" xfId="27195" xr:uid="{00000000-0005-0000-0000-00003B6A0000}"/>
    <cellStyle name="Normal 2 3 2 4 3 8" xfId="27196" xr:uid="{00000000-0005-0000-0000-00003C6A0000}"/>
    <cellStyle name="Normal 2 3 2 4 3 9" xfId="27197" xr:uid="{00000000-0005-0000-0000-00003D6A0000}"/>
    <cellStyle name="Normal 2 3 2 4 4" xfId="27198" xr:uid="{00000000-0005-0000-0000-00003E6A0000}"/>
    <cellStyle name="Normal 2 3 2 4 4 10" xfId="27199" xr:uid="{00000000-0005-0000-0000-00003F6A0000}"/>
    <cellStyle name="Normal 2 3 2 4 4 2" xfId="27200" xr:uid="{00000000-0005-0000-0000-0000406A0000}"/>
    <cellStyle name="Normal 2 3 2 4 4 3" xfId="27201" xr:uid="{00000000-0005-0000-0000-0000416A0000}"/>
    <cellStyle name="Normal 2 3 2 4 4 4" xfId="27202" xr:uid="{00000000-0005-0000-0000-0000426A0000}"/>
    <cellStyle name="Normal 2 3 2 4 4 5" xfId="27203" xr:uid="{00000000-0005-0000-0000-0000436A0000}"/>
    <cellStyle name="Normal 2 3 2 4 4 6" xfId="27204" xr:uid="{00000000-0005-0000-0000-0000446A0000}"/>
    <cellStyle name="Normal 2 3 2 4 4 7" xfId="27205" xr:uid="{00000000-0005-0000-0000-0000456A0000}"/>
    <cellStyle name="Normal 2 3 2 4 4 8" xfId="27206" xr:uid="{00000000-0005-0000-0000-0000466A0000}"/>
    <cellStyle name="Normal 2 3 2 4 4 9" xfId="27207" xr:uid="{00000000-0005-0000-0000-0000476A0000}"/>
    <cellStyle name="Normal 2 3 2 4 5" xfId="27208" xr:uid="{00000000-0005-0000-0000-0000486A0000}"/>
    <cellStyle name="Normal 2 3 2 4 5 10" xfId="27209" xr:uid="{00000000-0005-0000-0000-0000496A0000}"/>
    <cellStyle name="Normal 2 3 2 4 5 2" xfId="27210" xr:uid="{00000000-0005-0000-0000-00004A6A0000}"/>
    <cellStyle name="Normal 2 3 2 4 5 3" xfId="27211" xr:uid="{00000000-0005-0000-0000-00004B6A0000}"/>
    <cellStyle name="Normal 2 3 2 4 5 4" xfId="27212" xr:uid="{00000000-0005-0000-0000-00004C6A0000}"/>
    <cellStyle name="Normal 2 3 2 4 5 5" xfId="27213" xr:uid="{00000000-0005-0000-0000-00004D6A0000}"/>
    <cellStyle name="Normal 2 3 2 4 5 6" xfId="27214" xr:uid="{00000000-0005-0000-0000-00004E6A0000}"/>
    <cellStyle name="Normal 2 3 2 4 5 7" xfId="27215" xr:uid="{00000000-0005-0000-0000-00004F6A0000}"/>
    <cellStyle name="Normal 2 3 2 4 5 8" xfId="27216" xr:uid="{00000000-0005-0000-0000-0000506A0000}"/>
    <cellStyle name="Normal 2 3 2 4 5 9" xfId="27217" xr:uid="{00000000-0005-0000-0000-0000516A0000}"/>
    <cellStyle name="Normal 2 3 2 4 6" xfId="27218" xr:uid="{00000000-0005-0000-0000-0000526A0000}"/>
    <cellStyle name="Normal 2 3 2 4 7" xfId="27219" xr:uid="{00000000-0005-0000-0000-0000536A0000}"/>
    <cellStyle name="Normal 2 3 2 4 8" xfId="27220" xr:uid="{00000000-0005-0000-0000-0000546A0000}"/>
    <cellStyle name="Normal 2 3 2 4 9" xfId="27221" xr:uid="{00000000-0005-0000-0000-0000556A0000}"/>
    <cellStyle name="Normal 2 3 2 40" xfId="27222" xr:uid="{00000000-0005-0000-0000-0000566A0000}"/>
    <cellStyle name="Normal 2 3 2 41" xfId="27223" xr:uid="{00000000-0005-0000-0000-0000576A0000}"/>
    <cellStyle name="Normal 2 3 2 42" xfId="27224" xr:uid="{00000000-0005-0000-0000-0000586A0000}"/>
    <cellStyle name="Normal 2 3 2 43" xfId="27225" xr:uid="{00000000-0005-0000-0000-0000596A0000}"/>
    <cellStyle name="Normal 2 3 2 44" xfId="27226" xr:uid="{00000000-0005-0000-0000-00005A6A0000}"/>
    <cellStyle name="Normal 2 3 2 45" xfId="27227" xr:uid="{00000000-0005-0000-0000-00005B6A0000}"/>
    <cellStyle name="Normal 2 3 2 46" xfId="27228" xr:uid="{00000000-0005-0000-0000-00005C6A0000}"/>
    <cellStyle name="Normal 2 3 2 47" xfId="27229" xr:uid="{00000000-0005-0000-0000-00005D6A0000}"/>
    <cellStyle name="Normal 2 3 2 48" xfId="27230" xr:uid="{00000000-0005-0000-0000-00005E6A0000}"/>
    <cellStyle name="Normal 2 3 2 5" xfId="27231" xr:uid="{00000000-0005-0000-0000-00005F6A0000}"/>
    <cellStyle name="Normal 2 3 2 5 10" xfId="27232" xr:uid="{00000000-0005-0000-0000-0000606A0000}"/>
    <cellStyle name="Normal 2 3 2 5 11" xfId="27233" xr:uid="{00000000-0005-0000-0000-0000616A0000}"/>
    <cellStyle name="Normal 2 3 2 5 12" xfId="27234" xr:uid="{00000000-0005-0000-0000-0000626A0000}"/>
    <cellStyle name="Normal 2 3 2 5 13" xfId="27235" xr:uid="{00000000-0005-0000-0000-0000636A0000}"/>
    <cellStyle name="Normal 2 3 2 5 14" xfId="27236" xr:uid="{00000000-0005-0000-0000-0000646A0000}"/>
    <cellStyle name="Normal 2 3 2 5 2" xfId="27237" xr:uid="{00000000-0005-0000-0000-0000656A0000}"/>
    <cellStyle name="Normal 2 3 2 5 2 10" xfId="27238" xr:uid="{00000000-0005-0000-0000-0000666A0000}"/>
    <cellStyle name="Normal 2 3 2 5 2 2" xfId="27239" xr:uid="{00000000-0005-0000-0000-0000676A0000}"/>
    <cellStyle name="Normal 2 3 2 5 2 3" xfId="27240" xr:uid="{00000000-0005-0000-0000-0000686A0000}"/>
    <cellStyle name="Normal 2 3 2 5 2 4" xfId="27241" xr:uid="{00000000-0005-0000-0000-0000696A0000}"/>
    <cellStyle name="Normal 2 3 2 5 2 5" xfId="27242" xr:uid="{00000000-0005-0000-0000-00006A6A0000}"/>
    <cellStyle name="Normal 2 3 2 5 2 6" xfId="27243" xr:uid="{00000000-0005-0000-0000-00006B6A0000}"/>
    <cellStyle name="Normal 2 3 2 5 2 7" xfId="27244" xr:uid="{00000000-0005-0000-0000-00006C6A0000}"/>
    <cellStyle name="Normal 2 3 2 5 2 8" xfId="27245" xr:uid="{00000000-0005-0000-0000-00006D6A0000}"/>
    <cellStyle name="Normal 2 3 2 5 2 9" xfId="27246" xr:uid="{00000000-0005-0000-0000-00006E6A0000}"/>
    <cellStyle name="Normal 2 3 2 5 3" xfId="27247" xr:uid="{00000000-0005-0000-0000-00006F6A0000}"/>
    <cellStyle name="Normal 2 3 2 5 3 10" xfId="27248" xr:uid="{00000000-0005-0000-0000-0000706A0000}"/>
    <cellStyle name="Normal 2 3 2 5 3 2" xfId="27249" xr:uid="{00000000-0005-0000-0000-0000716A0000}"/>
    <cellStyle name="Normal 2 3 2 5 3 3" xfId="27250" xr:uid="{00000000-0005-0000-0000-0000726A0000}"/>
    <cellStyle name="Normal 2 3 2 5 3 4" xfId="27251" xr:uid="{00000000-0005-0000-0000-0000736A0000}"/>
    <cellStyle name="Normal 2 3 2 5 3 5" xfId="27252" xr:uid="{00000000-0005-0000-0000-0000746A0000}"/>
    <cellStyle name="Normal 2 3 2 5 3 6" xfId="27253" xr:uid="{00000000-0005-0000-0000-0000756A0000}"/>
    <cellStyle name="Normal 2 3 2 5 3 7" xfId="27254" xr:uid="{00000000-0005-0000-0000-0000766A0000}"/>
    <cellStyle name="Normal 2 3 2 5 3 8" xfId="27255" xr:uid="{00000000-0005-0000-0000-0000776A0000}"/>
    <cellStyle name="Normal 2 3 2 5 3 9" xfId="27256" xr:uid="{00000000-0005-0000-0000-0000786A0000}"/>
    <cellStyle name="Normal 2 3 2 5 4" xfId="27257" xr:uid="{00000000-0005-0000-0000-0000796A0000}"/>
    <cellStyle name="Normal 2 3 2 5 4 10" xfId="27258" xr:uid="{00000000-0005-0000-0000-00007A6A0000}"/>
    <cellStyle name="Normal 2 3 2 5 4 2" xfId="27259" xr:uid="{00000000-0005-0000-0000-00007B6A0000}"/>
    <cellStyle name="Normal 2 3 2 5 4 3" xfId="27260" xr:uid="{00000000-0005-0000-0000-00007C6A0000}"/>
    <cellStyle name="Normal 2 3 2 5 4 4" xfId="27261" xr:uid="{00000000-0005-0000-0000-00007D6A0000}"/>
    <cellStyle name="Normal 2 3 2 5 4 5" xfId="27262" xr:uid="{00000000-0005-0000-0000-00007E6A0000}"/>
    <cellStyle name="Normal 2 3 2 5 4 6" xfId="27263" xr:uid="{00000000-0005-0000-0000-00007F6A0000}"/>
    <cellStyle name="Normal 2 3 2 5 4 7" xfId="27264" xr:uid="{00000000-0005-0000-0000-0000806A0000}"/>
    <cellStyle name="Normal 2 3 2 5 4 8" xfId="27265" xr:uid="{00000000-0005-0000-0000-0000816A0000}"/>
    <cellStyle name="Normal 2 3 2 5 4 9" xfId="27266" xr:uid="{00000000-0005-0000-0000-0000826A0000}"/>
    <cellStyle name="Normal 2 3 2 5 5" xfId="27267" xr:uid="{00000000-0005-0000-0000-0000836A0000}"/>
    <cellStyle name="Normal 2 3 2 5 5 10" xfId="27268" xr:uid="{00000000-0005-0000-0000-0000846A0000}"/>
    <cellStyle name="Normal 2 3 2 5 5 2" xfId="27269" xr:uid="{00000000-0005-0000-0000-0000856A0000}"/>
    <cellStyle name="Normal 2 3 2 5 5 3" xfId="27270" xr:uid="{00000000-0005-0000-0000-0000866A0000}"/>
    <cellStyle name="Normal 2 3 2 5 5 4" xfId="27271" xr:uid="{00000000-0005-0000-0000-0000876A0000}"/>
    <cellStyle name="Normal 2 3 2 5 5 5" xfId="27272" xr:uid="{00000000-0005-0000-0000-0000886A0000}"/>
    <cellStyle name="Normal 2 3 2 5 5 6" xfId="27273" xr:uid="{00000000-0005-0000-0000-0000896A0000}"/>
    <cellStyle name="Normal 2 3 2 5 5 7" xfId="27274" xr:uid="{00000000-0005-0000-0000-00008A6A0000}"/>
    <cellStyle name="Normal 2 3 2 5 5 8" xfId="27275" xr:uid="{00000000-0005-0000-0000-00008B6A0000}"/>
    <cellStyle name="Normal 2 3 2 5 5 9" xfId="27276" xr:uid="{00000000-0005-0000-0000-00008C6A0000}"/>
    <cellStyle name="Normal 2 3 2 5 6" xfId="27277" xr:uid="{00000000-0005-0000-0000-00008D6A0000}"/>
    <cellStyle name="Normal 2 3 2 5 7" xfId="27278" xr:uid="{00000000-0005-0000-0000-00008E6A0000}"/>
    <cellStyle name="Normal 2 3 2 5 8" xfId="27279" xr:uid="{00000000-0005-0000-0000-00008F6A0000}"/>
    <cellStyle name="Normal 2 3 2 5 9" xfId="27280" xr:uid="{00000000-0005-0000-0000-0000906A0000}"/>
    <cellStyle name="Normal 2 3 2 6" xfId="27281" xr:uid="{00000000-0005-0000-0000-0000916A0000}"/>
    <cellStyle name="Normal 2 3 2 6 10" xfId="27282" xr:uid="{00000000-0005-0000-0000-0000926A0000}"/>
    <cellStyle name="Normal 2 3 2 6 11" xfId="27283" xr:uid="{00000000-0005-0000-0000-0000936A0000}"/>
    <cellStyle name="Normal 2 3 2 6 12" xfId="27284" xr:uid="{00000000-0005-0000-0000-0000946A0000}"/>
    <cellStyle name="Normal 2 3 2 6 13" xfId="27285" xr:uid="{00000000-0005-0000-0000-0000956A0000}"/>
    <cellStyle name="Normal 2 3 2 6 14" xfId="27286" xr:uid="{00000000-0005-0000-0000-0000966A0000}"/>
    <cellStyle name="Normal 2 3 2 6 2" xfId="27287" xr:uid="{00000000-0005-0000-0000-0000976A0000}"/>
    <cellStyle name="Normal 2 3 2 6 2 10" xfId="27288" xr:uid="{00000000-0005-0000-0000-0000986A0000}"/>
    <cellStyle name="Normal 2 3 2 6 2 2" xfId="27289" xr:uid="{00000000-0005-0000-0000-0000996A0000}"/>
    <cellStyle name="Normal 2 3 2 6 2 3" xfId="27290" xr:uid="{00000000-0005-0000-0000-00009A6A0000}"/>
    <cellStyle name="Normal 2 3 2 6 2 4" xfId="27291" xr:uid="{00000000-0005-0000-0000-00009B6A0000}"/>
    <cellStyle name="Normal 2 3 2 6 2 5" xfId="27292" xr:uid="{00000000-0005-0000-0000-00009C6A0000}"/>
    <cellStyle name="Normal 2 3 2 6 2 6" xfId="27293" xr:uid="{00000000-0005-0000-0000-00009D6A0000}"/>
    <cellStyle name="Normal 2 3 2 6 2 7" xfId="27294" xr:uid="{00000000-0005-0000-0000-00009E6A0000}"/>
    <cellStyle name="Normal 2 3 2 6 2 8" xfId="27295" xr:uid="{00000000-0005-0000-0000-00009F6A0000}"/>
    <cellStyle name="Normal 2 3 2 6 2 9" xfId="27296" xr:uid="{00000000-0005-0000-0000-0000A06A0000}"/>
    <cellStyle name="Normal 2 3 2 6 3" xfId="27297" xr:uid="{00000000-0005-0000-0000-0000A16A0000}"/>
    <cellStyle name="Normal 2 3 2 6 3 10" xfId="27298" xr:uid="{00000000-0005-0000-0000-0000A26A0000}"/>
    <cellStyle name="Normal 2 3 2 6 3 2" xfId="27299" xr:uid="{00000000-0005-0000-0000-0000A36A0000}"/>
    <cellStyle name="Normal 2 3 2 6 3 3" xfId="27300" xr:uid="{00000000-0005-0000-0000-0000A46A0000}"/>
    <cellStyle name="Normal 2 3 2 6 3 4" xfId="27301" xr:uid="{00000000-0005-0000-0000-0000A56A0000}"/>
    <cellStyle name="Normal 2 3 2 6 3 5" xfId="27302" xr:uid="{00000000-0005-0000-0000-0000A66A0000}"/>
    <cellStyle name="Normal 2 3 2 6 3 6" xfId="27303" xr:uid="{00000000-0005-0000-0000-0000A76A0000}"/>
    <cellStyle name="Normal 2 3 2 6 3 7" xfId="27304" xr:uid="{00000000-0005-0000-0000-0000A86A0000}"/>
    <cellStyle name="Normal 2 3 2 6 3 8" xfId="27305" xr:uid="{00000000-0005-0000-0000-0000A96A0000}"/>
    <cellStyle name="Normal 2 3 2 6 3 9" xfId="27306" xr:uid="{00000000-0005-0000-0000-0000AA6A0000}"/>
    <cellStyle name="Normal 2 3 2 6 4" xfId="27307" xr:uid="{00000000-0005-0000-0000-0000AB6A0000}"/>
    <cellStyle name="Normal 2 3 2 6 4 10" xfId="27308" xr:uid="{00000000-0005-0000-0000-0000AC6A0000}"/>
    <cellStyle name="Normal 2 3 2 6 4 2" xfId="27309" xr:uid="{00000000-0005-0000-0000-0000AD6A0000}"/>
    <cellStyle name="Normal 2 3 2 6 4 3" xfId="27310" xr:uid="{00000000-0005-0000-0000-0000AE6A0000}"/>
    <cellStyle name="Normal 2 3 2 6 4 4" xfId="27311" xr:uid="{00000000-0005-0000-0000-0000AF6A0000}"/>
    <cellStyle name="Normal 2 3 2 6 4 5" xfId="27312" xr:uid="{00000000-0005-0000-0000-0000B06A0000}"/>
    <cellStyle name="Normal 2 3 2 6 4 6" xfId="27313" xr:uid="{00000000-0005-0000-0000-0000B16A0000}"/>
    <cellStyle name="Normal 2 3 2 6 4 7" xfId="27314" xr:uid="{00000000-0005-0000-0000-0000B26A0000}"/>
    <cellStyle name="Normal 2 3 2 6 4 8" xfId="27315" xr:uid="{00000000-0005-0000-0000-0000B36A0000}"/>
    <cellStyle name="Normal 2 3 2 6 4 9" xfId="27316" xr:uid="{00000000-0005-0000-0000-0000B46A0000}"/>
    <cellStyle name="Normal 2 3 2 6 5" xfId="27317" xr:uid="{00000000-0005-0000-0000-0000B56A0000}"/>
    <cellStyle name="Normal 2 3 2 6 5 10" xfId="27318" xr:uid="{00000000-0005-0000-0000-0000B66A0000}"/>
    <cellStyle name="Normal 2 3 2 6 5 2" xfId="27319" xr:uid="{00000000-0005-0000-0000-0000B76A0000}"/>
    <cellStyle name="Normal 2 3 2 6 5 3" xfId="27320" xr:uid="{00000000-0005-0000-0000-0000B86A0000}"/>
    <cellStyle name="Normal 2 3 2 6 5 4" xfId="27321" xr:uid="{00000000-0005-0000-0000-0000B96A0000}"/>
    <cellStyle name="Normal 2 3 2 6 5 5" xfId="27322" xr:uid="{00000000-0005-0000-0000-0000BA6A0000}"/>
    <cellStyle name="Normal 2 3 2 6 5 6" xfId="27323" xr:uid="{00000000-0005-0000-0000-0000BB6A0000}"/>
    <cellStyle name="Normal 2 3 2 6 5 7" xfId="27324" xr:uid="{00000000-0005-0000-0000-0000BC6A0000}"/>
    <cellStyle name="Normal 2 3 2 6 5 8" xfId="27325" xr:uid="{00000000-0005-0000-0000-0000BD6A0000}"/>
    <cellStyle name="Normal 2 3 2 6 5 9" xfId="27326" xr:uid="{00000000-0005-0000-0000-0000BE6A0000}"/>
    <cellStyle name="Normal 2 3 2 6 6" xfId="27327" xr:uid="{00000000-0005-0000-0000-0000BF6A0000}"/>
    <cellStyle name="Normal 2 3 2 6 7" xfId="27328" xr:uid="{00000000-0005-0000-0000-0000C06A0000}"/>
    <cellStyle name="Normal 2 3 2 6 8" xfId="27329" xr:uid="{00000000-0005-0000-0000-0000C16A0000}"/>
    <cellStyle name="Normal 2 3 2 6 9" xfId="27330" xr:uid="{00000000-0005-0000-0000-0000C26A0000}"/>
    <cellStyle name="Normal 2 3 2 7" xfId="27331" xr:uid="{00000000-0005-0000-0000-0000C36A0000}"/>
    <cellStyle name="Normal 2 3 2 7 10" xfId="27332" xr:uid="{00000000-0005-0000-0000-0000C46A0000}"/>
    <cellStyle name="Normal 2 3 2 7 11" xfId="27333" xr:uid="{00000000-0005-0000-0000-0000C56A0000}"/>
    <cellStyle name="Normal 2 3 2 7 12" xfId="27334" xr:uid="{00000000-0005-0000-0000-0000C66A0000}"/>
    <cellStyle name="Normal 2 3 2 7 13" xfId="27335" xr:uid="{00000000-0005-0000-0000-0000C76A0000}"/>
    <cellStyle name="Normal 2 3 2 7 14" xfId="27336" xr:uid="{00000000-0005-0000-0000-0000C86A0000}"/>
    <cellStyle name="Normal 2 3 2 7 2" xfId="27337" xr:uid="{00000000-0005-0000-0000-0000C96A0000}"/>
    <cellStyle name="Normal 2 3 2 7 2 10" xfId="27338" xr:uid="{00000000-0005-0000-0000-0000CA6A0000}"/>
    <cellStyle name="Normal 2 3 2 7 2 2" xfId="27339" xr:uid="{00000000-0005-0000-0000-0000CB6A0000}"/>
    <cellStyle name="Normal 2 3 2 7 2 3" xfId="27340" xr:uid="{00000000-0005-0000-0000-0000CC6A0000}"/>
    <cellStyle name="Normal 2 3 2 7 2 4" xfId="27341" xr:uid="{00000000-0005-0000-0000-0000CD6A0000}"/>
    <cellStyle name="Normal 2 3 2 7 2 5" xfId="27342" xr:uid="{00000000-0005-0000-0000-0000CE6A0000}"/>
    <cellStyle name="Normal 2 3 2 7 2 6" xfId="27343" xr:uid="{00000000-0005-0000-0000-0000CF6A0000}"/>
    <cellStyle name="Normal 2 3 2 7 2 7" xfId="27344" xr:uid="{00000000-0005-0000-0000-0000D06A0000}"/>
    <cellStyle name="Normal 2 3 2 7 2 8" xfId="27345" xr:uid="{00000000-0005-0000-0000-0000D16A0000}"/>
    <cellStyle name="Normal 2 3 2 7 2 9" xfId="27346" xr:uid="{00000000-0005-0000-0000-0000D26A0000}"/>
    <cellStyle name="Normal 2 3 2 7 3" xfId="27347" xr:uid="{00000000-0005-0000-0000-0000D36A0000}"/>
    <cellStyle name="Normal 2 3 2 7 3 10" xfId="27348" xr:uid="{00000000-0005-0000-0000-0000D46A0000}"/>
    <cellStyle name="Normal 2 3 2 7 3 2" xfId="27349" xr:uid="{00000000-0005-0000-0000-0000D56A0000}"/>
    <cellStyle name="Normal 2 3 2 7 3 3" xfId="27350" xr:uid="{00000000-0005-0000-0000-0000D66A0000}"/>
    <cellStyle name="Normal 2 3 2 7 3 4" xfId="27351" xr:uid="{00000000-0005-0000-0000-0000D76A0000}"/>
    <cellStyle name="Normal 2 3 2 7 3 5" xfId="27352" xr:uid="{00000000-0005-0000-0000-0000D86A0000}"/>
    <cellStyle name="Normal 2 3 2 7 3 6" xfId="27353" xr:uid="{00000000-0005-0000-0000-0000D96A0000}"/>
    <cellStyle name="Normal 2 3 2 7 3 7" xfId="27354" xr:uid="{00000000-0005-0000-0000-0000DA6A0000}"/>
    <cellStyle name="Normal 2 3 2 7 3 8" xfId="27355" xr:uid="{00000000-0005-0000-0000-0000DB6A0000}"/>
    <cellStyle name="Normal 2 3 2 7 3 9" xfId="27356" xr:uid="{00000000-0005-0000-0000-0000DC6A0000}"/>
    <cellStyle name="Normal 2 3 2 7 4" xfId="27357" xr:uid="{00000000-0005-0000-0000-0000DD6A0000}"/>
    <cellStyle name="Normal 2 3 2 7 4 10" xfId="27358" xr:uid="{00000000-0005-0000-0000-0000DE6A0000}"/>
    <cellStyle name="Normal 2 3 2 7 4 2" xfId="27359" xr:uid="{00000000-0005-0000-0000-0000DF6A0000}"/>
    <cellStyle name="Normal 2 3 2 7 4 3" xfId="27360" xr:uid="{00000000-0005-0000-0000-0000E06A0000}"/>
    <cellStyle name="Normal 2 3 2 7 4 4" xfId="27361" xr:uid="{00000000-0005-0000-0000-0000E16A0000}"/>
    <cellStyle name="Normal 2 3 2 7 4 5" xfId="27362" xr:uid="{00000000-0005-0000-0000-0000E26A0000}"/>
    <cellStyle name="Normal 2 3 2 7 4 6" xfId="27363" xr:uid="{00000000-0005-0000-0000-0000E36A0000}"/>
    <cellStyle name="Normal 2 3 2 7 4 7" xfId="27364" xr:uid="{00000000-0005-0000-0000-0000E46A0000}"/>
    <cellStyle name="Normal 2 3 2 7 4 8" xfId="27365" xr:uid="{00000000-0005-0000-0000-0000E56A0000}"/>
    <cellStyle name="Normal 2 3 2 7 4 9" xfId="27366" xr:uid="{00000000-0005-0000-0000-0000E66A0000}"/>
    <cellStyle name="Normal 2 3 2 7 5" xfId="27367" xr:uid="{00000000-0005-0000-0000-0000E76A0000}"/>
    <cellStyle name="Normal 2 3 2 7 5 10" xfId="27368" xr:uid="{00000000-0005-0000-0000-0000E86A0000}"/>
    <cellStyle name="Normal 2 3 2 7 5 2" xfId="27369" xr:uid="{00000000-0005-0000-0000-0000E96A0000}"/>
    <cellStyle name="Normal 2 3 2 7 5 3" xfId="27370" xr:uid="{00000000-0005-0000-0000-0000EA6A0000}"/>
    <cellStyle name="Normal 2 3 2 7 5 4" xfId="27371" xr:uid="{00000000-0005-0000-0000-0000EB6A0000}"/>
    <cellStyle name="Normal 2 3 2 7 5 5" xfId="27372" xr:uid="{00000000-0005-0000-0000-0000EC6A0000}"/>
    <cellStyle name="Normal 2 3 2 7 5 6" xfId="27373" xr:uid="{00000000-0005-0000-0000-0000ED6A0000}"/>
    <cellStyle name="Normal 2 3 2 7 5 7" xfId="27374" xr:uid="{00000000-0005-0000-0000-0000EE6A0000}"/>
    <cellStyle name="Normal 2 3 2 7 5 8" xfId="27375" xr:uid="{00000000-0005-0000-0000-0000EF6A0000}"/>
    <cellStyle name="Normal 2 3 2 7 5 9" xfId="27376" xr:uid="{00000000-0005-0000-0000-0000F06A0000}"/>
    <cellStyle name="Normal 2 3 2 7 6" xfId="27377" xr:uid="{00000000-0005-0000-0000-0000F16A0000}"/>
    <cellStyle name="Normal 2 3 2 7 7" xfId="27378" xr:uid="{00000000-0005-0000-0000-0000F26A0000}"/>
    <cellStyle name="Normal 2 3 2 7 8" xfId="27379" xr:uid="{00000000-0005-0000-0000-0000F36A0000}"/>
    <cellStyle name="Normal 2 3 2 7 9" xfId="27380" xr:uid="{00000000-0005-0000-0000-0000F46A0000}"/>
    <cellStyle name="Normal 2 3 2 8" xfId="27381" xr:uid="{00000000-0005-0000-0000-0000F56A0000}"/>
    <cellStyle name="Normal 2 3 2 8 10" xfId="27382" xr:uid="{00000000-0005-0000-0000-0000F66A0000}"/>
    <cellStyle name="Normal 2 3 2 8 11" xfId="27383" xr:uid="{00000000-0005-0000-0000-0000F76A0000}"/>
    <cellStyle name="Normal 2 3 2 8 12" xfId="27384" xr:uid="{00000000-0005-0000-0000-0000F86A0000}"/>
    <cellStyle name="Normal 2 3 2 8 13" xfId="27385" xr:uid="{00000000-0005-0000-0000-0000F96A0000}"/>
    <cellStyle name="Normal 2 3 2 8 14" xfId="27386" xr:uid="{00000000-0005-0000-0000-0000FA6A0000}"/>
    <cellStyle name="Normal 2 3 2 8 2" xfId="27387" xr:uid="{00000000-0005-0000-0000-0000FB6A0000}"/>
    <cellStyle name="Normal 2 3 2 8 2 10" xfId="27388" xr:uid="{00000000-0005-0000-0000-0000FC6A0000}"/>
    <cellStyle name="Normal 2 3 2 8 2 2" xfId="27389" xr:uid="{00000000-0005-0000-0000-0000FD6A0000}"/>
    <cellStyle name="Normal 2 3 2 8 2 3" xfId="27390" xr:uid="{00000000-0005-0000-0000-0000FE6A0000}"/>
    <cellStyle name="Normal 2 3 2 8 2 4" xfId="27391" xr:uid="{00000000-0005-0000-0000-0000FF6A0000}"/>
    <cellStyle name="Normal 2 3 2 8 2 5" xfId="27392" xr:uid="{00000000-0005-0000-0000-0000006B0000}"/>
    <cellStyle name="Normal 2 3 2 8 2 6" xfId="27393" xr:uid="{00000000-0005-0000-0000-0000016B0000}"/>
    <cellStyle name="Normal 2 3 2 8 2 7" xfId="27394" xr:uid="{00000000-0005-0000-0000-0000026B0000}"/>
    <cellStyle name="Normal 2 3 2 8 2 8" xfId="27395" xr:uid="{00000000-0005-0000-0000-0000036B0000}"/>
    <cellStyle name="Normal 2 3 2 8 2 9" xfId="27396" xr:uid="{00000000-0005-0000-0000-0000046B0000}"/>
    <cellStyle name="Normal 2 3 2 8 3" xfId="27397" xr:uid="{00000000-0005-0000-0000-0000056B0000}"/>
    <cellStyle name="Normal 2 3 2 8 3 10" xfId="27398" xr:uid="{00000000-0005-0000-0000-0000066B0000}"/>
    <cellStyle name="Normal 2 3 2 8 3 2" xfId="27399" xr:uid="{00000000-0005-0000-0000-0000076B0000}"/>
    <cellStyle name="Normal 2 3 2 8 3 3" xfId="27400" xr:uid="{00000000-0005-0000-0000-0000086B0000}"/>
    <cellStyle name="Normal 2 3 2 8 3 4" xfId="27401" xr:uid="{00000000-0005-0000-0000-0000096B0000}"/>
    <cellStyle name="Normal 2 3 2 8 3 5" xfId="27402" xr:uid="{00000000-0005-0000-0000-00000A6B0000}"/>
    <cellStyle name="Normal 2 3 2 8 3 6" xfId="27403" xr:uid="{00000000-0005-0000-0000-00000B6B0000}"/>
    <cellStyle name="Normal 2 3 2 8 3 7" xfId="27404" xr:uid="{00000000-0005-0000-0000-00000C6B0000}"/>
    <cellStyle name="Normal 2 3 2 8 3 8" xfId="27405" xr:uid="{00000000-0005-0000-0000-00000D6B0000}"/>
    <cellStyle name="Normal 2 3 2 8 3 9" xfId="27406" xr:uid="{00000000-0005-0000-0000-00000E6B0000}"/>
    <cellStyle name="Normal 2 3 2 8 4" xfId="27407" xr:uid="{00000000-0005-0000-0000-00000F6B0000}"/>
    <cellStyle name="Normal 2 3 2 8 4 10" xfId="27408" xr:uid="{00000000-0005-0000-0000-0000106B0000}"/>
    <cellStyle name="Normal 2 3 2 8 4 2" xfId="27409" xr:uid="{00000000-0005-0000-0000-0000116B0000}"/>
    <cellStyle name="Normal 2 3 2 8 4 3" xfId="27410" xr:uid="{00000000-0005-0000-0000-0000126B0000}"/>
    <cellStyle name="Normal 2 3 2 8 4 4" xfId="27411" xr:uid="{00000000-0005-0000-0000-0000136B0000}"/>
    <cellStyle name="Normal 2 3 2 8 4 5" xfId="27412" xr:uid="{00000000-0005-0000-0000-0000146B0000}"/>
    <cellStyle name="Normal 2 3 2 8 4 6" xfId="27413" xr:uid="{00000000-0005-0000-0000-0000156B0000}"/>
    <cellStyle name="Normal 2 3 2 8 4 7" xfId="27414" xr:uid="{00000000-0005-0000-0000-0000166B0000}"/>
    <cellStyle name="Normal 2 3 2 8 4 8" xfId="27415" xr:uid="{00000000-0005-0000-0000-0000176B0000}"/>
    <cellStyle name="Normal 2 3 2 8 4 9" xfId="27416" xr:uid="{00000000-0005-0000-0000-0000186B0000}"/>
    <cellStyle name="Normal 2 3 2 8 5" xfId="27417" xr:uid="{00000000-0005-0000-0000-0000196B0000}"/>
    <cellStyle name="Normal 2 3 2 8 5 10" xfId="27418" xr:uid="{00000000-0005-0000-0000-00001A6B0000}"/>
    <cellStyle name="Normal 2 3 2 8 5 2" xfId="27419" xr:uid="{00000000-0005-0000-0000-00001B6B0000}"/>
    <cellStyle name="Normal 2 3 2 8 5 3" xfId="27420" xr:uid="{00000000-0005-0000-0000-00001C6B0000}"/>
    <cellStyle name="Normal 2 3 2 8 5 4" xfId="27421" xr:uid="{00000000-0005-0000-0000-00001D6B0000}"/>
    <cellStyle name="Normal 2 3 2 8 5 5" xfId="27422" xr:uid="{00000000-0005-0000-0000-00001E6B0000}"/>
    <cellStyle name="Normal 2 3 2 8 5 6" xfId="27423" xr:uid="{00000000-0005-0000-0000-00001F6B0000}"/>
    <cellStyle name="Normal 2 3 2 8 5 7" xfId="27424" xr:uid="{00000000-0005-0000-0000-0000206B0000}"/>
    <cellStyle name="Normal 2 3 2 8 5 8" xfId="27425" xr:uid="{00000000-0005-0000-0000-0000216B0000}"/>
    <cellStyle name="Normal 2 3 2 8 5 9" xfId="27426" xr:uid="{00000000-0005-0000-0000-0000226B0000}"/>
    <cellStyle name="Normal 2 3 2 8 6" xfId="27427" xr:uid="{00000000-0005-0000-0000-0000236B0000}"/>
    <cellStyle name="Normal 2 3 2 8 7" xfId="27428" xr:uid="{00000000-0005-0000-0000-0000246B0000}"/>
    <cellStyle name="Normal 2 3 2 8 8" xfId="27429" xr:uid="{00000000-0005-0000-0000-0000256B0000}"/>
    <cellStyle name="Normal 2 3 2 8 9" xfId="27430" xr:uid="{00000000-0005-0000-0000-0000266B0000}"/>
    <cellStyle name="Normal 2 3 2 9" xfId="27431" xr:uid="{00000000-0005-0000-0000-0000276B0000}"/>
    <cellStyle name="Normal 2 3 2 9 10" xfId="27432" xr:uid="{00000000-0005-0000-0000-0000286B0000}"/>
    <cellStyle name="Normal 2 3 2 9 11" xfId="27433" xr:uid="{00000000-0005-0000-0000-0000296B0000}"/>
    <cellStyle name="Normal 2 3 2 9 12" xfId="27434" xr:uid="{00000000-0005-0000-0000-00002A6B0000}"/>
    <cellStyle name="Normal 2 3 2 9 13" xfId="27435" xr:uid="{00000000-0005-0000-0000-00002B6B0000}"/>
    <cellStyle name="Normal 2 3 2 9 14" xfId="27436" xr:uid="{00000000-0005-0000-0000-00002C6B0000}"/>
    <cellStyle name="Normal 2 3 2 9 2" xfId="27437" xr:uid="{00000000-0005-0000-0000-00002D6B0000}"/>
    <cellStyle name="Normal 2 3 2 9 2 10" xfId="27438" xr:uid="{00000000-0005-0000-0000-00002E6B0000}"/>
    <cellStyle name="Normal 2 3 2 9 2 2" xfId="27439" xr:uid="{00000000-0005-0000-0000-00002F6B0000}"/>
    <cellStyle name="Normal 2 3 2 9 2 3" xfId="27440" xr:uid="{00000000-0005-0000-0000-0000306B0000}"/>
    <cellStyle name="Normal 2 3 2 9 2 4" xfId="27441" xr:uid="{00000000-0005-0000-0000-0000316B0000}"/>
    <cellStyle name="Normal 2 3 2 9 2 5" xfId="27442" xr:uid="{00000000-0005-0000-0000-0000326B0000}"/>
    <cellStyle name="Normal 2 3 2 9 2 6" xfId="27443" xr:uid="{00000000-0005-0000-0000-0000336B0000}"/>
    <cellStyle name="Normal 2 3 2 9 2 7" xfId="27444" xr:uid="{00000000-0005-0000-0000-0000346B0000}"/>
    <cellStyle name="Normal 2 3 2 9 2 8" xfId="27445" xr:uid="{00000000-0005-0000-0000-0000356B0000}"/>
    <cellStyle name="Normal 2 3 2 9 2 9" xfId="27446" xr:uid="{00000000-0005-0000-0000-0000366B0000}"/>
    <cellStyle name="Normal 2 3 2 9 3" xfId="27447" xr:uid="{00000000-0005-0000-0000-0000376B0000}"/>
    <cellStyle name="Normal 2 3 2 9 3 10" xfId="27448" xr:uid="{00000000-0005-0000-0000-0000386B0000}"/>
    <cellStyle name="Normal 2 3 2 9 3 2" xfId="27449" xr:uid="{00000000-0005-0000-0000-0000396B0000}"/>
    <cellStyle name="Normal 2 3 2 9 3 3" xfId="27450" xr:uid="{00000000-0005-0000-0000-00003A6B0000}"/>
    <cellStyle name="Normal 2 3 2 9 3 4" xfId="27451" xr:uid="{00000000-0005-0000-0000-00003B6B0000}"/>
    <cellStyle name="Normal 2 3 2 9 3 5" xfId="27452" xr:uid="{00000000-0005-0000-0000-00003C6B0000}"/>
    <cellStyle name="Normal 2 3 2 9 3 6" xfId="27453" xr:uid="{00000000-0005-0000-0000-00003D6B0000}"/>
    <cellStyle name="Normal 2 3 2 9 3 7" xfId="27454" xr:uid="{00000000-0005-0000-0000-00003E6B0000}"/>
    <cellStyle name="Normal 2 3 2 9 3 8" xfId="27455" xr:uid="{00000000-0005-0000-0000-00003F6B0000}"/>
    <cellStyle name="Normal 2 3 2 9 3 9" xfId="27456" xr:uid="{00000000-0005-0000-0000-0000406B0000}"/>
    <cellStyle name="Normal 2 3 2 9 4" xfId="27457" xr:uid="{00000000-0005-0000-0000-0000416B0000}"/>
    <cellStyle name="Normal 2 3 2 9 4 10" xfId="27458" xr:uid="{00000000-0005-0000-0000-0000426B0000}"/>
    <cellStyle name="Normal 2 3 2 9 4 2" xfId="27459" xr:uid="{00000000-0005-0000-0000-0000436B0000}"/>
    <cellStyle name="Normal 2 3 2 9 4 3" xfId="27460" xr:uid="{00000000-0005-0000-0000-0000446B0000}"/>
    <cellStyle name="Normal 2 3 2 9 4 4" xfId="27461" xr:uid="{00000000-0005-0000-0000-0000456B0000}"/>
    <cellStyle name="Normal 2 3 2 9 4 5" xfId="27462" xr:uid="{00000000-0005-0000-0000-0000466B0000}"/>
    <cellStyle name="Normal 2 3 2 9 4 6" xfId="27463" xr:uid="{00000000-0005-0000-0000-0000476B0000}"/>
    <cellStyle name="Normal 2 3 2 9 4 7" xfId="27464" xr:uid="{00000000-0005-0000-0000-0000486B0000}"/>
    <cellStyle name="Normal 2 3 2 9 4 8" xfId="27465" xr:uid="{00000000-0005-0000-0000-0000496B0000}"/>
    <cellStyle name="Normal 2 3 2 9 4 9" xfId="27466" xr:uid="{00000000-0005-0000-0000-00004A6B0000}"/>
    <cellStyle name="Normal 2 3 2 9 5" xfId="27467" xr:uid="{00000000-0005-0000-0000-00004B6B0000}"/>
    <cellStyle name="Normal 2 3 2 9 5 10" xfId="27468" xr:uid="{00000000-0005-0000-0000-00004C6B0000}"/>
    <cellStyle name="Normal 2 3 2 9 5 2" xfId="27469" xr:uid="{00000000-0005-0000-0000-00004D6B0000}"/>
    <cellStyle name="Normal 2 3 2 9 5 3" xfId="27470" xr:uid="{00000000-0005-0000-0000-00004E6B0000}"/>
    <cellStyle name="Normal 2 3 2 9 5 4" xfId="27471" xr:uid="{00000000-0005-0000-0000-00004F6B0000}"/>
    <cellStyle name="Normal 2 3 2 9 5 5" xfId="27472" xr:uid="{00000000-0005-0000-0000-0000506B0000}"/>
    <cellStyle name="Normal 2 3 2 9 5 6" xfId="27473" xr:uid="{00000000-0005-0000-0000-0000516B0000}"/>
    <cellStyle name="Normal 2 3 2 9 5 7" xfId="27474" xr:uid="{00000000-0005-0000-0000-0000526B0000}"/>
    <cellStyle name="Normal 2 3 2 9 5 8" xfId="27475" xr:uid="{00000000-0005-0000-0000-0000536B0000}"/>
    <cellStyle name="Normal 2 3 2 9 5 9" xfId="27476" xr:uid="{00000000-0005-0000-0000-0000546B0000}"/>
    <cellStyle name="Normal 2 3 2 9 6" xfId="27477" xr:uid="{00000000-0005-0000-0000-0000556B0000}"/>
    <cellStyle name="Normal 2 3 2 9 7" xfId="27478" xr:uid="{00000000-0005-0000-0000-0000566B0000}"/>
    <cellStyle name="Normal 2 3 2 9 8" xfId="27479" xr:uid="{00000000-0005-0000-0000-0000576B0000}"/>
    <cellStyle name="Normal 2 3 2 9 9" xfId="27480" xr:uid="{00000000-0005-0000-0000-0000586B0000}"/>
    <cellStyle name="Normal 2 3 20" xfId="27481" xr:uid="{00000000-0005-0000-0000-0000596B0000}"/>
    <cellStyle name="Normal 2 3 20 10" xfId="27482" xr:uid="{00000000-0005-0000-0000-00005A6B0000}"/>
    <cellStyle name="Normal 2 3 20 11" xfId="27483" xr:uid="{00000000-0005-0000-0000-00005B6B0000}"/>
    <cellStyle name="Normal 2 3 20 12" xfId="27484" xr:uid="{00000000-0005-0000-0000-00005C6B0000}"/>
    <cellStyle name="Normal 2 3 20 13" xfId="27485" xr:uid="{00000000-0005-0000-0000-00005D6B0000}"/>
    <cellStyle name="Normal 2 3 20 14" xfId="27486" xr:uid="{00000000-0005-0000-0000-00005E6B0000}"/>
    <cellStyle name="Normal 2 3 20 2" xfId="27487" xr:uid="{00000000-0005-0000-0000-00005F6B0000}"/>
    <cellStyle name="Normal 2 3 20 2 10" xfId="27488" xr:uid="{00000000-0005-0000-0000-0000606B0000}"/>
    <cellStyle name="Normal 2 3 20 2 2" xfId="27489" xr:uid="{00000000-0005-0000-0000-0000616B0000}"/>
    <cellStyle name="Normal 2 3 20 2 3" xfId="27490" xr:uid="{00000000-0005-0000-0000-0000626B0000}"/>
    <cellStyle name="Normal 2 3 20 2 4" xfId="27491" xr:uid="{00000000-0005-0000-0000-0000636B0000}"/>
    <cellStyle name="Normal 2 3 20 2 5" xfId="27492" xr:uid="{00000000-0005-0000-0000-0000646B0000}"/>
    <cellStyle name="Normal 2 3 20 2 6" xfId="27493" xr:uid="{00000000-0005-0000-0000-0000656B0000}"/>
    <cellStyle name="Normal 2 3 20 2 7" xfId="27494" xr:uid="{00000000-0005-0000-0000-0000666B0000}"/>
    <cellStyle name="Normal 2 3 20 2 8" xfId="27495" xr:uid="{00000000-0005-0000-0000-0000676B0000}"/>
    <cellStyle name="Normal 2 3 20 2 9" xfId="27496" xr:uid="{00000000-0005-0000-0000-0000686B0000}"/>
    <cellStyle name="Normal 2 3 20 3" xfId="27497" xr:uid="{00000000-0005-0000-0000-0000696B0000}"/>
    <cellStyle name="Normal 2 3 20 3 10" xfId="27498" xr:uid="{00000000-0005-0000-0000-00006A6B0000}"/>
    <cellStyle name="Normal 2 3 20 3 2" xfId="27499" xr:uid="{00000000-0005-0000-0000-00006B6B0000}"/>
    <cellStyle name="Normal 2 3 20 3 3" xfId="27500" xr:uid="{00000000-0005-0000-0000-00006C6B0000}"/>
    <cellStyle name="Normal 2 3 20 3 4" xfId="27501" xr:uid="{00000000-0005-0000-0000-00006D6B0000}"/>
    <cellStyle name="Normal 2 3 20 3 5" xfId="27502" xr:uid="{00000000-0005-0000-0000-00006E6B0000}"/>
    <cellStyle name="Normal 2 3 20 3 6" xfId="27503" xr:uid="{00000000-0005-0000-0000-00006F6B0000}"/>
    <cellStyle name="Normal 2 3 20 3 7" xfId="27504" xr:uid="{00000000-0005-0000-0000-0000706B0000}"/>
    <cellStyle name="Normal 2 3 20 3 8" xfId="27505" xr:uid="{00000000-0005-0000-0000-0000716B0000}"/>
    <cellStyle name="Normal 2 3 20 3 9" xfId="27506" xr:uid="{00000000-0005-0000-0000-0000726B0000}"/>
    <cellStyle name="Normal 2 3 20 4" xfId="27507" xr:uid="{00000000-0005-0000-0000-0000736B0000}"/>
    <cellStyle name="Normal 2 3 20 4 10" xfId="27508" xr:uid="{00000000-0005-0000-0000-0000746B0000}"/>
    <cellStyle name="Normal 2 3 20 4 2" xfId="27509" xr:uid="{00000000-0005-0000-0000-0000756B0000}"/>
    <cellStyle name="Normal 2 3 20 4 3" xfId="27510" xr:uid="{00000000-0005-0000-0000-0000766B0000}"/>
    <cellStyle name="Normal 2 3 20 4 4" xfId="27511" xr:uid="{00000000-0005-0000-0000-0000776B0000}"/>
    <cellStyle name="Normal 2 3 20 4 5" xfId="27512" xr:uid="{00000000-0005-0000-0000-0000786B0000}"/>
    <cellStyle name="Normal 2 3 20 4 6" xfId="27513" xr:uid="{00000000-0005-0000-0000-0000796B0000}"/>
    <cellStyle name="Normal 2 3 20 4 7" xfId="27514" xr:uid="{00000000-0005-0000-0000-00007A6B0000}"/>
    <cellStyle name="Normal 2 3 20 4 8" xfId="27515" xr:uid="{00000000-0005-0000-0000-00007B6B0000}"/>
    <cellStyle name="Normal 2 3 20 4 9" xfId="27516" xr:uid="{00000000-0005-0000-0000-00007C6B0000}"/>
    <cellStyle name="Normal 2 3 20 5" xfId="27517" xr:uid="{00000000-0005-0000-0000-00007D6B0000}"/>
    <cellStyle name="Normal 2 3 20 5 10" xfId="27518" xr:uid="{00000000-0005-0000-0000-00007E6B0000}"/>
    <cellStyle name="Normal 2 3 20 5 2" xfId="27519" xr:uid="{00000000-0005-0000-0000-00007F6B0000}"/>
    <cellStyle name="Normal 2 3 20 5 3" xfId="27520" xr:uid="{00000000-0005-0000-0000-0000806B0000}"/>
    <cellStyle name="Normal 2 3 20 5 4" xfId="27521" xr:uid="{00000000-0005-0000-0000-0000816B0000}"/>
    <cellStyle name="Normal 2 3 20 5 5" xfId="27522" xr:uid="{00000000-0005-0000-0000-0000826B0000}"/>
    <cellStyle name="Normal 2 3 20 5 6" xfId="27523" xr:uid="{00000000-0005-0000-0000-0000836B0000}"/>
    <cellStyle name="Normal 2 3 20 5 7" xfId="27524" xr:uid="{00000000-0005-0000-0000-0000846B0000}"/>
    <cellStyle name="Normal 2 3 20 5 8" xfId="27525" xr:uid="{00000000-0005-0000-0000-0000856B0000}"/>
    <cellStyle name="Normal 2 3 20 5 9" xfId="27526" xr:uid="{00000000-0005-0000-0000-0000866B0000}"/>
    <cellStyle name="Normal 2 3 20 6" xfId="27527" xr:uid="{00000000-0005-0000-0000-0000876B0000}"/>
    <cellStyle name="Normal 2 3 20 7" xfId="27528" xr:uid="{00000000-0005-0000-0000-0000886B0000}"/>
    <cellStyle name="Normal 2 3 20 8" xfId="27529" xr:uid="{00000000-0005-0000-0000-0000896B0000}"/>
    <cellStyle name="Normal 2 3 20 9" xfId="27530" xr:uid="{00000000-0005-0000-0000-00008A6B0000}"/>
    <cellStyle name="Normal 2 3 21" xfId="27531" xr:uid="{00000000-0005-0000-0000-00008B6B0000}"/>
    <cellStyle name="Normal 2 3 21 10" xfId="27532" xr:uid="{00000000-0005-0000-0000-00008C6B0000}"/>
    <cellStyle name="Normal 2 3 21 11" xfId="27533" xr:uid="{00000000-0005-0000-0000-00008D6B0000}"/>
    <cellStyle name="Normal 2 3 21 12" xfId="27534" xr:uid="{00000000-0005-0000-0000-00008E6B0000}"/>
    <cellStyle name="Normal 2 3 21 13" xfId="27535" xr:uid="{00000000-0005-0000-0000-00008F6B0000}"/>
    <cellStyle name="Normal 2 3 21 14" xfId="27536" xr:uid="{00000000-0005-0000-0000-0000906B0000}"/>
    <cellStyle name="Normal 2 3 21 2" xfId="27537" xr:uid="{00000000-0005-0000-0000-0000916B0000}"/>
    <cellStyle name="Normal 2 3 21 2 10" xfId="27538" xr:uid="{00000000-0005-0000-0000-0000926B0000}"/>
    <cellStyle name="Normal 2 3 21 2 2" xfId="27539" xr:uid="{00000000-0005-0000-0000-0000936B0000}"/>
    <cellStyle name="Normal 2 3 21 2 3" xfId="27540" xr:uid="{00000000-0005-0000-0000-0000946B0000}"/>
    <cellStyle name="Normal 2 3 21 2 4" xfId="27541" xr:uid="{00000000-0005-0000-0000-0000956B0000}"/>
    <cellStyle name="Normal 2 3 21 2 5" xfId="27542" xr:uid="{00000000-0005-0000-0000-0000966B0000}"/>
    <cellStyle name="Normal 2 3 21 2 6" xfId="27543" xr:uid="{00000000-0005-0000-0000-0000976B0000}"/>
    <cellStyle name="Normal 2 3 21 2 7" xfId="27544" xr:uid="{00000000-0005-0000-0000-0000986B0000}"/>
    <cellStyle name="Normal 2 3 21 2 8" xfId="27545" xr:uid="{00000000-0005-0000-0000-0000996B0000}"/>
    <cellStyle name="Normal 2 3 21 2 9" xfId="27546" xr:uid="{00000000-0005-0000-0000-00009A6B0000}"/>
    <cellStyle name="Normal 2 3 21 3" xfId="27547" xr:uid="{00000000-0005-0000-0000-00009B6B0000}"/>
    <cellStyle name="Normal 2 3 21 3 10" xfId="27548" xr:uid="{00000000-0005-0000-0000-00009C6B0000}"/>
    <cellStyle name="Normal 2 3 21 3 2" xfId="27549" xr:uid="{00000000-0005-0000-0000-00009D6B0000}"/>
    <cellStyle name="Normal 2 3 21 3 3" xfId="27550" xr:uid="{00000000-0005-0000-0000-00009E6B0000}"/>
    <cellStyle name="Normal 2 3 21 3 4" xfId="27551" xr:uid="{00000000-0005-0000-0000-00009F6B0000}"/>
    <cellStyle name="Normal 2 3 21 3 5" xfId="27552" xr:uid="{00000000-0005-0000-0000-0000A06B0000}"/>
    <cellStyle name="Normal 2 3 21 3 6" xfId="27553" xr:uid="{00000000-0005-0000-0000-0000A16B0000}"/>
    <cellStyle name="Normal 2 3 21 3 7" xfId="27554" xr:uid="{00000000-0005-0000-0000-0000A26B0000}"/>
    <cellStyle name="Normal 2 3 21 3 8" xfId="27555" xr:uid="{00000000-0005-0000-0000-0000A36B0000}"/>
    <cellStyle name="Normal 2 3 21 3 9" xfId="27556" xr:uid="{00000000-0005-0000-0000-0000A46B0000}"/>
    <cellStyle name="Normal 2 3 21 4" xfId="27557" xr:uid="{00000000-0005-0000-0000-0000A56B0000}"/>
    <cellStyle name="Normal 2 3 21 4 10" xfId="27558" xr:uid="{00000000-0005-0000-0000-0000A66B0000}"/>
    <cellStyle name="Normal 2 3 21 4 2" xfId="27559" xr:uid="{00000000-0005-0000-0000-0000A76B0000}"/>
    <cellStyle name="Normal 2 3 21 4 3" xfId="27560" xr:uid="{00000000-0005-0000-0000-0000A86B0000}"/>
    <cellStyle name="Normal 2 3 21 4 4" xfId="27561" xr:uid="{00000000-0005-0000-0000-0000A96B0000}"/>
    <cellStyle name="Normal 2 3 21 4 5" xfId="27562" xr:uid="{00000000-0005-0000-0000-0000AA6B0000}"/>
    <cellStyle name="Normal 2 3 21 4 6" xfId="27563" xr:uid="{00000000-0005-0000-0000-0000AB6B0000}"/>
    <cellStyle name="Normal 2 3 21 4 7" xfId="27564" xr:uid="{00000000-0005-0000-0000-0000AC6B0000}"/>
    <cellStyle name="Normal 2 3 21 4 8" xfId="27565" xr:uid="{00000000-0005-0000-0000-0000AD6B0000}"/>
    <cellStyle name="Normal 2 3 21 4 9" xfId="27566" xr:uid="{00000000-0005-0000-0000-0000AE6B0000}"/>
    <cellStyle name="Normal 2 3 21 5" xfId="27567" xr:uid="{00000000-0005-0000-0000-0000AF6B0000}"/>
    <cellStyle name="Normal 2 3 21 5 10" xfId="27568" xr:uid="{00000000-0005-0000-0000-0000B06B0000}"/>
    <cellStyle name="Normal 2 3 21 5 2" xfId="27569" xr:uid="{00000000-0005-0000-0000-0000B16B0000}"/>
    <cellStyle name="Normal 2 3 21 5 3" xfId="27570" xr:uid="{00000000-0005-0000-0000-0000B26B0000}"/>
    <cellStyle name="Normal 2 3 21 5 4" xfId="27571" xr:uid="{00000000-0005-0000-0000-0000B36B0000}"/>
    <cellStyle name="Normal 2 3 21 5 5" xfId="27572" xr:uid="{00000000-0005-0000-0000-0000B46B0000}"/>
    <cellStyle name="Normal 2 3 21 5 6" xfId="27573" xr:uid="{00000000-0005-0000-0000-0000B56B0000}"/>
    <cellStyle name="Normal 2 3 21 5 7" xfId="27574" xr:uid="{00000000-0005-0000-0000-0000B66B0000}"/>
    <cellStyle name="Normal 2 3 21 5 8" xfId="27575" xr:uid="{00000000-0005-0000-0000-0000B76B0000}"/>
    <cellStyle name="Normal 2 3 21 5 9" xfId="27576" xr:uid="{00000000-0005-0000-0000-0000B86B0000}"/>
    <cellStyle name="Normal 2 3 21 6" xfId="27577" xr:uid="{00000000-0005-0000-0000-0000B96B0000}"/>
    <cellStyle name="Normal 2 3 21 7" xfId="27578" xr:uid="{00000000-0005-0000-0000-0000BA6B0000}"/>
    <cellStyle name="Normal 2 3 21 8" xfId="27579" xr:uid="{00000000-0005-0000-0000-0000BB6B0000}"/>
    <cellStyle name="Normal 2 3 21 9" xfId="27580" xr:uid="{00000000-0005-0000-0000-0000BC6B0000}"/>
    <cellStyle name="Normal 2 3 22" xfId="27581" xr:uid="{00000000-0005-0000-0000-0000BD6B0000}"/>
    <cellStyle name="Normal 2 3 22 10" xfId="27582" xr:uid="{00000000-0005-0000-0000-0000BE6B0000}"/>
    <cellStyle name="Normal 2 3 22 11" xfId="27583" xr:uid="{00000000-0005-0000-0000-0000BF6B0000}"/>
    <cellStyle name="Normal 2 3 22 12" xfId="27584" xr:uid="{00000000-0005-0000-0000-0000C06B0000}"/>
    <cellStyle name="Normal 2 3 22 13" xfId="27585" xr:uid="{00000000-0005-0000-0000-0000C16B0000}"/>
    <cellStyle name="Normal 2 3 22 14" xfId="27586" xr:uid="{00000000-0005-0000-0000-0000C26B0000}"/>
    <cellStyle name="Normal 2 3 22 2" xfId="27587" xr:uid="{00000000-0005-0000-0000-0000C36B0000}"/>
    <cellStyle name="Normal 2 3 22 2 10" xfId="27588" xr:uid="{00000000-0005-0000-0000-0000C46B0000}"/>
    <cellStyle name="Normal 2 3 22 2 2" xfId="27589" xr:uid="{00000000-0005-0000-0000-0000C56B0000}"/>
    <cellStyle name="Normal 2 3 22 2 3" xfId="27590" xr:uid="{00000000-0005-0000-0000-0000C66B0000}"/>
    <cellStyle name="Normal 2 3 22 2 4" xfId="27591" xr:uid="{00000000-0005-0000-0000-0000C76B0000}"/>
    <cellStyle name="Normal 2 3 22 2 5" xfId="27592" xr:uid="{00000000-0005-0000-0000-0000C86B0000}"/>
    <cellStyle name="Normal 2 3 22 2 6" xfId="27593" xr:uid="{00000000-0005-0000-0000-0000C96B0000}"/>
    <cellStyle name="Normal 2 3 22 2 7" xfId="27594" xr:uid="{00000000-0005-0000-0000-0000CA6B0000}"/>
    <cellStyle name="Normal 2 3 22 2 8" xfId="27595" xr:uid="{00000000-0005-0000-0000-0000CB6B0000}"/>
    <cellStyle name="Normal 2 3 22 2 9" xfId="27596" xr:uid="{00000000-0005-0000-0000-0000CC6B0000}"/>
    <cellStyle name="Normal 2 3 22 3" xfId="27597" xr:uid="{00000000-0005-0000-0000-0000CD6B0000}"/>
    <cellStyle name="Normal 2 3 22 3 10" xfId="27598" xr:uid="{00000000-0005-0000-0000-0000CE6B0000}"/>
    <cellStyle name="Normal 2 3 22 3 2" xfId="27599" xr:uid="{00000000-0005-0000-0000-0000CF6B0000}"/>
    <cellStyle name="Normal 2 3 22 3 3" xfId="27600" xr:uid="{00000000-0005-0000-0000-0000D06B0000}"/>
    <cellStyle name="Normal 2 3 22 3 4" xfId="27601" xr:uid="{00000000-0005-0000-0000-0000D16B0000}"/>
    <cellStyle name="Normal 2 3 22 3 5" xfId="27602" xr:uid="{00000000-0005-0000-0000-0000D26B0000}"/>
    <cellStyle name="Normal 2 3 22 3 6" xfId="27603" xr:uid="{00000000-0005-0000-0000-0000D36B0000}"/>
    <cellStyle name="Normal 2 3 22 3 7" xfId="27604" xr:uid="{00000000-0005-0000-0000-0000D46B0000}"/>
    <cellStyle name="Normal 2 3 22 3 8" xfId="27605" xr:uid="{00000000-0005-0000-0000-0000D56B0000}"/>
    <cellStyle name="Normal 2 3 22 3 9" xfId="27606" xr:uid="{00000000-0005-0000-0000-0000D66B0000}"/>
    <cellStyle name="Normal 2 3 22 4" xfId="27607" xr:uid="{00000000-0005-0000-0000-0000D76B0000}"/>
    <cellStyle name="Normal 2 3 22 4 10" xfId="27608" xr:uid="{00000000-0005-0000-0000-0000D86B0000}"/>
    <cellStyle name="Normal 2 3 22 4 2" xfId="27609" xr:uid="{00000000-0005-0000-0000-0000D96B0000}"/>
    <cellStyle name="Normal 2 3 22 4 3" xfId="27610" xr:uid="{00000000-0005-0000-0000-0000DA6B0000}"/>
    <cellStyle name="Normal 2 3 22 4 4" xfId="27611" xr:uid="{00000000-0005-0000-0000-0000DB6B0000}"/>
    <cellStyle name="Normal 2 3 22 4 5" xfId="27612" xr:uid="{00000000-0005-0000-0000-0000DC6B0000}"/>
    <cellStyle name="Normal 2 3 22 4 6" xfId="27613" xr:uid="{00000000-0005-0000-0000-0000DD6B0000}"/>
    <cellStyle name="Normal 2 3 22 4 7" xfId="27614" xr:uid="{00000000-0005-0000-0000-0000DE6B0000}"/>
    <cellStyle name="Normal 2 3 22 4 8" xfId="27615" xr:uid="{00000000-0005-0000-0000-0000DF6B0000}"/>
    <cellStyle name="Normal 2 3 22 4 9" xfId="27616" xr:uid="{00000000-0005-0000-0000-0000E06B0000}"/>
    <cellStyle name="Normal 2 3 22 5" xfId="27617" xr:uid="{00000000-0005-0000-0000-0000E16B0000}"/>
    <cellStyle name="Normal 2 3 22 5 10" xfId="27618" xr:uid="{00000000-0005-0000-0000-0000E26B0000}"/>
    <cellStyle name="Normal 2 3 22 5 2" xfId="27619" xr:uid="{00000000-0005-0000-0000-0000E36B0000}"/>
    <cellStyle name="Normal 2 3 22 5 3" xfId="27620" xr:uid="{00000000-0005-0000-0000-0000E46B0000}"/>
    <cellStyle name="Normal 2 3 22 5 4" xfId="27621" xr:uid="{00000000-0005-0000-0000-0000E56B0000}"/>
    <cellStyle name="Normal 2 3 22 5 5" xfId="27622" xr:uid="{00000000-0005-0000-0000-0000E66B0000}"/>
    <cellStyle name="Normal 2 3 22 5 6" xfId="27623" xr:uid="{00000000-0005-0000-0000-0000E76B0000}"/>
    <cellStyle name="Normal 2 3 22 5 7" xfId="27624" xr:uid="{00000000-0005-0000-0000-0000E86B0000}"/>
    <cellStyle name="Normal 2 3 22 5 8" xfId="27625" xr:uid="{00000000-0005-0000-0000-0000E96B0000}"/>
    <cellStyle name="Normal 2 3 22 5 9" xfId="27626" xr:uid="{00000000-0005-0000-0000-0000EA6B0000}"/>
    <cellStyle name="Normal 2 3 22 6" xfId="27627" xr:uid="{00000000-0005-0000-0000-0000EB6B0000}"/>
    <cellStyle name="Normal 2 3 22 7" xfId="27628" xr:uid="{00000000-0005-0000-0000-0000EC6B0000}"/>
    <cellStyle name="Normal 2 3 22 8" xfId="27629" xr:uid="{00000000-0005-0000-0000-0000ED6B0000}"/>
    <cellStyle name="Normal 2 3 22 9" xfId="27630" xr:uid="{00000000-0005-0000-0000-0000EE6B0000}"/>
    <cellStyle name="Normal 2 3 23" xfId="27631" xr:uid="{00000000-0005-0000-0000-0000EF6B0000}"/>
    <cellStyle name="Normal 2 3 23 10" xfId="27632" xr:uid="{00000000-0005-0000-0000-0000F06B0000}"/>
    <cellStyle name="Normal 2 3 23 11" xfId="27633" xr:uid="{00000000-0005-0000-0000-0000F16B0000}"/>
    <cellStyle name="Normal 2 3 23 12" xfId="27634" xr:uid="{00000000-0005-0000-0000-0000F26B0000}"/>
    <cellStyle name="Normal 2 3 23 13" xfId="27635" xr:uid="{00000000-0005-0000-0000-0000F36B0000}"/>
    <cellStyle name="Normal 2 3 23 14" xfId="27636" xr:uid="{00000000-0005-0000-0000-0000F46B0000}"/>
    <cellStyle name="Normal 2 3 23 2" xfId="27637" xr:uid="{00000000-0005-0000-0000-0000F56B0000}"/>
    <cellStyle name="Normal 2 3 23 2 10" xfId="27638" xr:uid="{00000000-0005-0000-0000-0000F66B0000}"/>
    <cellStyle name="Normal 2 3 23 2 2" xfId="27639" xr:uid="{00000000-0005-0000-0000-0000F76B0000}"/>
    <cellStyle name="Normal 2 3 23 2 3" xfId="27640" xr:uid="{00000000-0005-0000-0000-0000F86B0000}"/>
    <cellStyle name="Normal 2 3 23 2 4" xfId="27641" xr:uid="{00000000-0005-0000-0000-0000F96B0000}"/>
    <cellStyle name="Normal 2 3 23 2 5" xfId="27642" xr:uid="{00000000-0005-0000-0000-0000FA6B0000}"/>
    <cellStyle name="Normal 2 3 23 2 6" xfId="27643" xr:uid="{00000000-0005-0000-0000-0000FB6B0000}"/>
    <cellStyle name="Normal 2 3 23 2 7" xfId="27644" xr:uid="{00000000-0005-0000-0000-0000FC6B0000}"/>
    <cellStyle name="Normal 2 3 23 2 8" xfId="27645" xr:uid="{00000000-0005-0000-0000-0000FD6B0000}"/>
    <cellStyle name="Normal 2 3 23 2 9" xfId="27646" xr:uid="{00000000-0005-0000-0000-0000FE6B0000}"/>
    <cellStyle name="Normal 2 3 23 3" xfId="27647" xr:uid="{00000000-0005-0000-0000-0000FF6B0000}"/>
    <cellStyle name="Normal 2 3 23 3 10" xfId="27648" xr:uid="{00000000-0005-0000-0000-0000006C0000}"/>
    <cellStyle name="Normal 2 3 23 3 2" xfId="27649" xr:uid="{00000000-0005-0000-0000-0000016C0000}"/>
    <cellStyle name="Normal 2 3 23 3 3" xfId="27650" xr:uid="{00000000-0005-0000-0000-0000026C0000}"/>
    <cellStyle name="Normal 2 3 23 3 4" xfId="27651" xr:uid="{00000000-0005-0000-0000-0000036C0000}"/>
    <cellStyle name="Normal 2 3 23 3 5" xfId="27652" xr:uid="{00000000-0005-0000-0000-0000046C0000}"/>
    <cellStyle name="Normal 2 3 23 3 6" xfId="27653" xr:uid="{00000000-0005-0000-0000-0000056C0000}"/>
    <cellStyle name="Normal 2 3 23 3 7" xfId="27654" xr:uid="{00000000-0005-0000-0000-0000066C0000}"/>
    <cellStyle name="Normal 2 3 23 3 8" xfId="27655" xr:uid="{00000000-0005-0000-0000-0000076C0000}"/>
    <cellStyle name="Normal 2 3 23 3 9" xfId="27656" xr:uid="{00000000-0005-0000-0000-0000086C0000}"/>
    <cellStyle name="Normal 2 3 23 4" xfId="27657" xr:uid="{00000000-0005-0000-0000-0000096C0000}"/>
    <cellStyle name="Normal 2 3 23 4 10" xfId="27658" xr:uid="{00000000-0005-0000-0000-00000A6C0000}"/>
    <cellStyle name="Normal 2 3 23 4 2" xfId="27659" xr:uid="{00000000-0005-0000-0000-00000B6C0000}"/>
    <cellStyle name="Normal 2 3 23 4 3" xfId="27660" xr:uid="{00000000-0005-0000-0000-00000C6C0000}"/>
    <cellStyle name="Normal 2 3 23 4 4" xfId="27661" xr:uid="{00000000-0005-0000-0000-00000D6C0000}"/>
    <cellStyle name="Normal 2 3 23 4 5" xfId="27662" xr:uid="{00000000-0005-0000-0000-00000E6C0000}"/>
    <cellStyle name="Normal 2 3 23 4 6" xfId="27663" xr:uid="{00000000-0005-0000-0000-00000F6C0000}"/>
    <cellStyle name="Normal 2 3 23 4 7" xfId="27664" xr:uid="{00000000-0005-0000-0000-0000106C0000}"/>
    <cellStyle name="Normal 2 3 23 4 8" xfId="27665" xr:uid="{00000000-0005-0000-0000-0000116C0000}"/>
    <cellStyle name="Normal 2 3 23 4 9" xfId="27666" xr:uid="{00000000-0005-0000-0000-0000126C0000}"/>
    <cellStyle name="Normal 2 3 23 5" xfId="27667" xr:uid="{00000000-0005-0000-0000-0000136C0000}"/>
    <cellStyle name="Normal 2 3 23 5 10" xfId="27668" xr:uid="{00000000-0005-0000-0000-0000146C0000}"/>
    <cellStyle name="Normal 2 3 23 5 2" xfId="27669" xr:uid="{00000000-0005-0000-0000-0000156C0000}"/>
    <cellStyle name="Normal 2 3 23 5 3" xfId="27670" xr:uid="{00000000-0005-0000-0000-0000166C0000}"/>
    <cellStyle name="Normal 2 3 23 5 4" xfId="27671" xr:uid="{00000000-0005-0000-0000-0000176C0000}"/>
    <cellStyle name="Normal 2 3 23 5 5" xfId="27672" xr:uid="{00000000-0005-0000-0000-0000186C0000}"/>
    <cellStyle name="Normal 2 3 23 5 6" xfId="27673" xr:uid="{00000000-0005-0000-0000-0000196C0000}"/>
    <cellStyle name="Normal 2 3 23 5 7" xfId="27674" xr:uid="{00000000-0005-0000-0000-00001A6C0000}"/>
    <cellStyle name="Normal 2 3 23 5 8" xfId="27675" xr:uid="{00000000-0005-0000-0000-00001B6C0000}"/>
    <cellStyle name="Normal 2 3 23 5 9" xfId="27676" xr:uid="{00000000-0005-0000-0000-00001C6C0000}"/>
    <cellStyle name="Normal 2 3 23 6" xfId="27677" xr:uid="{00000000-0005-0000-0000-00001D6C0000}"/>
    <cellStyle name="Normal 2 3 23 7" xfId="27678" xr:uid="{00000000-0005-0000-0000-00001E6C0000}"/>
    <cellStyle name="Normal 2 3 23 8" xfId="27679" xr:uid="{00000000-0005-0000-0000-00001F6C0000}"/>
    <cellStyle name="Normal 2 3 23 9" xfId="27680" xr:uid="{00000000-0005-0000-0000-0000206C0000}"/>
    <cellStyle name="Normal 2 3 24" xfId="27681" xr:uid="{00000000-0005-0000-0000-0000216C0000}"/>
    <cellStyle name="Normal 2 3 24 10" xfId="27682" xr:uid="{00000000-0005-0000-0000-0000226C0000}"/>
    <cellStyle name="Normal 2 3 24 11" xfId="27683" xr:uid="{00000000-0005-0000-0000-0000236C0000}"/>
    <cellStyle name="Normal 2 3 24 12" xfId="27684" xr:uid="{00000000-0005-0000-0000-0000246C0000}"/>
    <cellStyle name="Normal 2 3 24 13" xfId="27685" xr:uid="{00000000-0005-0000-0000-0000256C0000}"/>
    <cellStyle name="Normal 2 3 24 14" xfId="27686" xr:uid="{00000000-0005-0000-0000-0000266C0000}"/>
    <cellStyle name="Normal 2 3 24 2" xfId="27687" xr:uid="{00000000-0005-0000-0000-0000276C0000}"/>
    <cellStyle name="Normal 2 3 24 2 10" xfId="27688" xr:uid="{00000000-0005-0000-0000-0000286C0000}"/>
    <cellStyle name="Normal 2 3 24 2 2" xfId="27689" xr:uid="{00000000-0005-0000-0000-0000296C0000}"/>
    <cellStyle name="Normal 2 3 24 2 3" xfId="27690" xr:uid="{00000000-0005-0000-0000-00002A6C0000}"/>
    <cellStyle name="Normal 2 3 24 2 4" xfId="27691" xr:uid="{00000000-0005-0000-0000-00002B6C0000}"/>
    <cellStyle name="Normal 2 3 24 2 5" xfId="27692" xr:uid="{00000000-0005-0000-0000-00002C6C0000}"/>
    <cellStyle name="Normal 2 3 24 2 6" xfId="27693" xr:uid="{00000000-0005-0000-0000-00002D6C0000}"/>
    <cellStyle name="Normal 2 3 24 2 7" xfId="27694" xr:uid="{00000000-0005-0000-0000-00002E6C0000}"/>
    <cellStyle name="Normal 2 3 24 2 8" xfId="27695" xr:uid="{00000000-0005-0000-0000-00002F6C0000}"/>
    <cellStyle name="Normal 2 3 24 2 9" xfId="27696" xr:uid="{00000000-0005-0000-0000-0000306C0000}"/>
    <cellStyle name="Normal 2 3 24 3" xfId="27697" xr:uid="{00000000-0005-0000-0000-0000316C0000}"/>
    <cellStyle name="Normal 2 3 24 3 10" xfId="27698" xr:uid="{00000000-0005-0000-0000-0000326C0000}"/>
    <cellStyle name="Normal 2 3 24 3 2" xfId="27699" xr:uid="{00000000-0005-0000-0000-0000336C0000}"/>
    <cellStyle name="Normal 2 3 24 3 3" xfId="27700" xr:uid="{00000000-0005-0000-0000-0000346C0000}"/>
    <cellStyle name="Normal 2 3 24 3 4" xfId="27701" xr:uid="{00000000-0005-0000-0000-0000356C0000}"/>
    <cellStyle name="Normal 2 3 24 3 5" xfId="27702" xr:uid="{00000000-0005-0000-0000-0000366C0000}"/>
    <cellStyle name="Normal 2 3 24 3 6" xfId="27703" xr:uid="{00000000-0005-0000-0000-0000376C0000}"/>
    <cellStyle name="Normal 2 3 24 3 7" xfId="27704" xr:uid="{00000000-0005-0000-0000-0000386C0000}"/>
    <cellStyle name="Normal 2 3 24 3 8" xfId="27705" xr:uid="{00000000-0005-0000-0000-0000396C0000}"/>
    <cellStyle name="Normal 2 3 24 3 9" xfId="27706" xr:uid="{00000000-0005-0000-0000-00003A6C0000}"/>
    <cellStyle name="Normal 2 3 24 4" xfId="27707" xr:uid="{00000000-0005-0000-0000-00003B6C0000}"/>
    <cellStyle name="Normal 2 3 24 4 10" xfId="27708" xr:uid="{00000000-0005-0000-0000-00003C6C0000}"/>
    <cellStyle name="Normal 2 3 24 4 2" xfId="27709" xr:uid="{00000000-0005-0000-0000-00003D6C0000}"/>
    <cellStyle name="Normal 2 3 24 4 3" xfId="27710" xr:uid="{00000000-0005-0000-0000-00003E6C0000}"/>
    <cellStyle name="Normal 2 3 24 4 4" xfId="27711" xr:uid="{00000000-0005-0000-0000-00003F6C0000}"/>
    <cellStyle name="Normal 2 3 24 4 5" xfId="27712" xr:uid="{00000000-0005-0000-0000-0000406C0000}"/>
    <cellStyle name="Normal 2 3 24 4 6" xfId="27713" xr:uid="{00000000-0005-0000-0000-0000416C0000}"/>
    <cellStyle name="Normal 2 3 24 4 7" xfId="27714" xr:uid="{00000000-0005-0000-0000-0000426C0000}"/>
    <cellStyle name="Normal 2 3 24 4 8" xfId="27715" xr:uid="{00000000-0005-0000-0000-0000436C0000}"/>
    <cellStyle name="Normal 2 3 24 4 9" xfId="27716" xr:uid="{00000000-0005-0000-0000-0000446C0000}"/>
    <cellStyle name="Normal 2 3 24 5" xfId="27717" xr:uid="{00000000-0005-0000-0000-0000456C0000}"/>
    <cellStyle name="Normal 2 3 24 5 10" xfId="27718" xr:uid="{00000000-0005-0000-0000-0000466C0000}"/>
    <cellStyle name="Normal 2 3 24 5 2" xfId="27719" xr:uid="{00000000-0005-0000-0000-0000476C0000}"/>
    <cellStyle name="Normal 2 3 24 5 3" xfId="27720" xr:uid="{00000000-0005-0000-0000-0000486C0000}"/>
    <cellStyle name="Normal 2 3 24 5 4" xfId="27721" xr:uid="{00000000-0005-0000-0000-0000496C0000}"/>
    <cellStyle name="Normal 2 3 24 5 5" xfId="27722" xr:uid="{00000000-0005-0000-0000-00004A6C0000}"/>
    <cellStyle name="Normal 2 3 24 5 6" xfId="27723" xr:uid="{00000000-0005-0000-0000-00004B6C0000}"/>
    <cellStyle name="Normal 2 3 24 5 7" xfId="27724" xr:uid="{00000000-0005-0000-0000-00004C6C0000}"/>
    <cellStyle name="Normal 2 3 24 5 8" xfId="27725" xr:uid="{00000000-0005-0000-0000-00004D6C0000}"/>
    <cellStyle name="Normal 2 3 24 5 9" xfId="27726" xr:uid="{00000000-0005-0000-0000-00004E6C0000}"/>
    <cellStyle name="Normal 2 3 24 6" xfId="27727" xr:uid="{00000000-0005-0000-0000-00004F6C0000}"/>
    <cellStyle name="Normal 2 3 24 7" xfId="27728" xr:uid="{00000000-0005-0000-0000-0000506C0000}"/>
    <cellStyle name="Normal 2 3 24 8" xfId="27729" xr:uid="{00000000-0005-0000-0000-0000516C0000}"/>
    <cellStyle name="Normal 2 3 24 9" xfId="27730" xr:uid="{00000000-0005-0000-0000-0000526C0000}"/>
    <cellStyle name="Normal 2 3 25" xfId="27731" xr:uid="{00000000-0005-0000-0000-0000536C0000}"/>
    <cellStyle name="Normal 2 3 25 10" xfId="27732" xr:uid="{00000000-0005-0000-0000-0000546C0000}"/>
    <cellStyle name="Normal 2 3 25 11" xfId="27733" xr:uid="{00000000-0005-0000-0000-0000556C0000}"/>
    <cellStyle name="Normal 2 3 25 12" xfId="27734" xr:uid="{00000000-0005-0000-0000-0000566C0000}"/>
    <cellStyle name="Normal 2 3 25 13" xfId="27735" xr:uid="{00000000-0005-0000-0000-0000576C0000}"/>
    <cellStyle name="Normal 2 3 25 14" xfId="27736" xr:uid="{00000000-0005-0000-0000-0000586C0000}"/>
    <cellStyle name="Normal 2 3 25 2" xfId="27737" xr:uid="{00000000-0005-0000-0000-0000596C0000}"/>
    <cellStyle name="Normal 2 3 25 2 10" xfId="27738" xr:uid="{00000000-0005-0000-0000-00005A6C0000}"/>
    <cellStyle name="Normal 2 3 25 2 2" xfId="27739" xr:uid="{00000000-0005-0000-0000-00005B6C0000}"/>
    <cellStyle name="Normal 2 3 25 2 3" xfId="27740" xr:uid="{00000000-0005-0000-0000-00005C6C0000}"/>
    <cellStyle name="Normal 2 3 25 2 4" xfId="27741" xr:uid="{00000000-0005-0000-0000-00005D6C0000}"/>
    <cellStyle name="Normal 2 3 25 2 5" xfId="27742" xr:uid="{00000000-0005-0000-0000-00005E6C0000}"/>
    <cellStyle name="Normal 2 3 25 2 6" xfId="27743" xr:uid="{00000000-0005-0000-0000-00005F6C0000}"/>
    <cellStyle name="Normal 2 3 25 2 7" xfId="27744" xr:uid="{00000000-0005-0000-0000-0000606C0000}"/>
    <cellStyle name="Normal 2 3 25 2 8" xfId="27745" xr:uid="{00000000-0005-0000-0000-0000616C0000}"/>
    <cellStyle name="Normal 2 3 25 2 9" xfId="27746" xr:uid="{00000000-0005-0000-0000-0000626C0000}"/>
    <cellStyle name="Normal 2 3 25 3" xfId="27747" xr:uid="{00000000-0005-0000-0000-0000636C0000}"/>
    <cellStyle name="Normal 2 3 25 3 10" xfId="27748" xr:uid="{00000000-0005-0000-0000-0000646C0000}"/>
    <cellStyle name="Normal 2 3 25 3 2" xfId="27749" xr:uid="{00000000-0005-0000-0000-0000656C0000}"/>
    <cellStyle name="Normal 2 3 25 3 3" xfId="27750" xr:uid="{00000000-0005-0000-0000-0000666C0000}"/>
    <cellStyle name="Normal 2 3 25 3 4" xfId="27751" xr:uid="{00000000-0005-0000-0000-0000676C0000}"/>
    <cellStyle name="Normal 2 3 25 3 5" xfId="27752" xr:uid="{00000000-0005-0000-0000-0000686C0000}"/>
    <cellStyle name="Normal 2 3 25 3 6" xfId="27753" xr:uid="{00000000-0005-0000-0000-0000696C0000}"/>
    <cellStyle name="Normal 2 3 25 3 7" xfId="27754" xr:uid="{00000000-0005-0000-0000-00006A6C0000}"/>
    <cellStyle name="Normal 2 3 25 3 8" xfId="27755" xr:uid="{00000000-0005-0000-0000-00006B6C0000}"/>
    <cellStyle name="Normal 2 3 25 3 9" xfId="27756" xr:uid="{00000000-0005-0000-0000-00006C6C0000}"/>
    <cellStyle name="Normal 2 3 25 4" xfId="27757" xr:uid="{00000000-0005-0000-0000-00006D6C0000}"/>
    <cellStyle name="Normal 2 3 25 4 10" xfId="27758" xr:uid="{00000000-0005-0000-0000-00006E6C0000}"/>
    <cellStyle name="Normal 2 3 25 4 2" xfId="27759" xr:uid="{00000000-0005-0000-0000-00006F6C0000}"/>
    <cellStyle name="Normal 2 3 25 4 3" xfId="27760" xr:uid="{00000000-0005-0000-0000-0000706C0000}"/>
    <cellStyle name="Normal 2 3 25 4 4" xfId="27761" xr:uid="{00000000-0005-0000-0000-0000716C0000}"/>
    <cellStyle name="Normal 2 3 25 4 5" xfId="27762" xr:uid="{00000000-0005-0000-0000-0000726C0000}"/>
    <cellStyle name="Normal 2 3 25 4 6" xfId="27763" xr:uid="{00000000-0005-0000-0000-0000736C0000}"/>
    <cellStyle name="Normal 2 3 25 4 7" xfId="27764" xr:uid="{00000000-0005-0000-0000-0000746C0000}"/>
    <cellStyle name="Normal 2 3 25 4 8" xfId="27765" xr:uid="{00000000-0005-0000-0000-0000756C0000}"/>
    <cellStyle name="Normal 2 3 25 4 9" xfId="27766" xr:uid="{00000000-0005-0000-0000-0000766C0000}"/>
    <cellStyle name="Normal 2 3 25 5" xfId="27767" xr:uid="{00000000-0005-0000-0000-0000776C0000}"/>
    <cellStyle name="Normal 2 3 25 5 10" xfId="27768" xr:uid="{00000000-0005-0000-0000-0000786C0000}"/>
    <cellStyle name="Normal 2 3 25 5 2" xfId="27769" xr:uid="{00000000-0005-0000-0000-0000796C0000}"/>
    <cellStyle name="Normal 2 3 25 5 3" xfId="27770" xr:uid="{00000000-0005-0000-0000-00007A6C0000}"/>
    <cellStyle name="Normal 2 3 25 5 4" xfId="27771" xr:uid="{00000000-0005-0000-0000-00007B6C0000}"/>
    <cellStyle name="Normal 2 3 25 5 5" xfId="27772" xr:uid="{00000000-0005-0000-0000-00007C6C0000}"/>
    <cellStyle name="Normal 2 3 25 5 6" xfId="27773" xr:uid="{00000000-0005-0000-0000-00007D6C0000}"/>
    <cellStyle name="Normal 2 3 25 5 7" xfId="27774" xr:uid="{00000000-0005-0000-0000-00007E6C0000}"/>
    <cellStyle name="Normal 2 3 25 5 8" xfId="27775" xr:uid="{00000000-0005-0000-0000-00007F6C0000}"/>
    <cellStyle name="Normal 2 3 25 5 9" xfId="27776" xr:uid="{00000000-0005-0000-0000-0000806C0000}"/>
    <cellStyle name="Normal 2 3 25 6" xfId="27777" xr:uid="{00000000-0005-0000-0000-0000816C0000}"/>
    <cellStyle name="Normal 2 3 25 7" xfId="27778" xr:uid="{00000000-0005-0000-0000-0000826C0000}"/>
    <cellStyle name="Normal 2 3 25 8" xfId="27779" xr:uid="{00000000-0005-0000-0000-0000836C0000}"/>
    <cellStyle name="Normal 2 3 25 9" xfId="27780" xr:uid="{00000000-0005-0000-0000-0000846C0000}"/>
    <cellStyle name="Normal 2 3 26" xfId="27781" xr:uid="{00000000-0005-0000-0000-0000856C0000}"/>
    <cellStyle name="Normal 2 3 26 10" xfId="27782" xr:uid="{00000000-0005-0000-0000-0000866C0000}"/>
    <cellStyle name="Normal 2 3 26 11" xfId="27783" xr:uid="{00000000-0005-0000-0000-0000876C0000}"/>
    <cellStyle name="Normal 2 3 26 12" xfId="27784" xr:uid="{00000000-0005-0000-0000-0000886C0000}"/>
    <cellStyle name="Normal 2 3 26 13" xfId="27785" xr:uid="{00000000-0005-0000-0000-0000896C0000}"/>
    <cellStyle name="Normal 2 3 26 14" xfId="27786" xr:uid="{00000000-0005-0000-0000-00008A6C0000}"/>
    <cellStyle name="Normal 2 3 26 2" xfId="27787" xr:uid="{00000000-0005-0000-0000-00008B6C0000}"/>
    <cellStyle name="Normal 2 3 26 2 10" xfId="27788" xr:uid="{00000000-0005-0000-0000-00008C6C0000}"/>
    <cellStyle name="Normal 2 3 26 2 2" xfId="27789" xr:uid="{00000000-0005-0000-0000-00008D6C0000}"/>
    <cellStyle name="Normal 2 3 26 2 3" xfId="27790" xr:uid="{00000000-0005-0000-0000-00008E6C0000}"/>
    <cellStyle name="Normal 2 3 26 2 4" xfId="27791" xr:uid="{00000000-0005-0000-0000-00008F6C0000}"/>
    <cellStyle name="Normal 2 3 26 2 5" xfId="27792" xr:uid="{00000000-0005-0000-0000-0000906C0000}"/>
    <cellStyle name="Normal 2 3 26 2 6" xfId="27793" xr:uid="{00000000-0005-0000-0000-0000916C0000}"/>
    <cellStyle name="Normal 2 3 26 2 7" xfId="27794" xr:uid="{00000000-0005-0000-0000-0000926C0000}"/>
    <cellStyle name="Normal 2 3 26 2 8" xfId="27795" xr:uid="{00000000-0005-0000-0000-0000936C0000}"/>
    <cellStyle name="Normal 2 3 26 2 9" xfId="27796" xr:uid="{00000000-0005-0000-0000-0000946C0000}"/>
    <cellStyle name="Normal 2 3 26 3" xfId="27797" xr:uid="{00000000-0005-0000-0000-0000956C0000}"/>
    <cellStyle name="Normal 2 3 26 3 10" xfId="27798" xr:uid="{00000000-0005-0000-0000-0000966C0000}"/>
    <cellStyle name="Normal 2 3 26 3 2" xfId="27799" xr:uid="{00000000-0005-0000-0000-0000976C0000}"/>
    <cellStyle name="Normal 2 3 26 3 3" xfId="27800" xr:uid="{00000000-0005-0000-0000-0000986C0000}"/>
    <cellStyle name="Normal 2 3 26 3 4" xfId="27801" xr:uid="{00000000-0005-0000-0000-0000996C0000}"/>
    <cellStyle name="Normal 2 3 26 3 5" xfId="27802" xr:uid="{00000000-0005-0000-0000-00009A6C0000}"/>
    <cellStyle name="Normal 2 3 26 3 6" xfId="27803" xr:uid="{00000000-0005-0000-0000-00009B6C0000}"/>
    <cellStyle name="Normal 2 3 26 3 7" xfId="27804" xr:uid="{00000000-0005-0000-0000-00009C6C0000}"/>
    <cellStyle name="Normal 2 3 26 3 8" xfId="27805" xr:uid="{00000000-0005-0000-0000-00009D6C0000}"/>
    <cellStyle name="Normal 2 3 26 3 9" xfId="27806" xr:uid="{00000000-0005-0000-0000-00009E6C0000}"/>
    <cellStyle name="Normal 2 3 26 4" xfId="27807" xr:uid="{00000000-0005-0000-0000-00009F6C0000}"/>
    <cellStyle name="Normal 2 3 26 4 10" xfId="27808" xr:uid="{00000000-0005-0000-0000-0000A06C0000}"/>
    <cellStyle name="Normal 2 3 26 4 2" xfId="27809" xr:uid="{00000000-0005-0000-0000-0000A16C0000}"/>
    <cellStyle name="Normal 2 3 26 4 3" xfId="27810" xr:uid="{00000000-0005-0000-0000-0000A26C0000}"/>
    <cellStyle name="Normal 2 3 26 4 4" xfId="27811" xr:uid="{00000000-0005-0000-0000-0000A36C0000}"/>
    <cellStyle name="Normal 2 3 26 4 5" xfId="27812" xr:uid="{00000000-0005-0000-0000-0000A46C0000}"/>
    <cellStyle name="Normal 2 3 26 4 6" xfId="27813" xr:uid="{00000000-0005-0000-0000-0000A56C0000}"/>
    <cellStyle name="Normal 2 3 26 4 7" xfId="27814" xr:uid="{00000000-0005-0000-0000-0000A66C0000}"/>
    <cellStyle name="Normal 2 3 26 4 8" xfId="27815" xr:uid="{00000000-0005-0000-0000-0000A76C0000}"/>
    <cellStyle name="Normal 2 3 26 4 9" xfId="27816" xr:uid="{00000000-0005-0000-0000-0000A86C0000}"/>
    <cellStyle name="Normal 2 3 26 5" xfId="27817" xr:uid="{00000000-0005-0000-0000-0000A96C0000}"/>
    <cellStyle name="Normal 2 3 26 5 10" xfId="27818" xr:uid="{00000000-0005-0000-0000-0000AA6C0000}"/>
    <cellStyle name="Normal 2 3 26 5 2" xfId="27819" xr:uid="{00000000-0005-0000-0000-0000AB6C0000}"/>
    <cellStyle name="Normal 2 3 26 5 3" xfId="27820" xr:uid="{00000000-0005-0000-0000-0000AC6C0000}"/>
    <cellStyle name="Normal 2 3 26 5 4" xfId="27821" xr:uid="{00000000-0005-0000-0000-0000AD6C0000}"/>
    <cellStyle name="Normal 2 3 26 5 5" xfId="27822" xr:uid="{00000000-0005-0000-0000-0000AE6C0000}"/>
    <cellStyle name="Normal 2 3 26 5 6" xfId="27823" xr:uid="{00000000-0005-0000-0000-0000AF6C0000}"/>
    <cellStyle name="Normal 2 3 26 5 7" xfId="27824" xr:uid="{00000000-0005-0000-0000-0000B06C0000}"/>
    <cellStyle name="Normal 2 3 26 5 8" xfId="27825" xr:uid="{00000000-0005-0000-0000-0000B16C0000}"/>
    <cellStyle name="Normal 2 3 26 5 9" xfId="27826" xr:uid="{00000000-0005-0000-0000-0000B26C0000}"/>
    <cellStyle name="Normal 2 3 26 6" xfId="27827" xr:uid="{00000000-0005-0000-0000-0000B36C0000}"/>
    <cellStyle name="Normal 2 3 26 7" xfId="27828" xr:uid="{00000000-0005-0000-0000-0000B46C0000}"/>
    <cellStyle name="Normal 2 3 26 8" xfId="27829" xr:uid="{00000000-0005-0000-0000-0000B56C0000}"/>
    <cellStyle name="Normal 2 3 26 9" xfId="27830" xr:uid="{00000000-0005-0000-0000-0000B66C0000}"/>
    <cellStyle name="Normal 2 3 27" xfId="27831" xr:uid="{00000000-0005-0000-0000-0000B76C0000}"/>
    <cellStyle name="Normal 2 3 27 10" xfId="27832" xr:uid="{00000000-0005-0000-0000-0000B86C0000}"/>
    <cellStyle name="Normal 2 3 27 11" xfId="27833" xr:uid="{00000000-0005-0000-0000-0000B96C0000}"/>
    <cellStyle name="Normal 2 3 27 12" xfId="27834" xr:uid="{00000000-0005-0000-0000-0000BA6C0000}"/>
    <cellStyle name="Normal 2 3 27 13" xfId="27835" xr:uid="{00000000-0005-0000-0000-0000BB6C0000}"/>
    <cellStyle name="Normal 2 3 27 14" xfId="27836" xr:uid="{00000000-0005-0000-0000-0000BC6C0000}"/>
    <cellStyle name="Normal 2 3 27 2" xfId="27837" xr:uid="{00000000-0005-0000-0000-0000BD6C0000}"/>
    <cellStyle name="Normal 2 3 27 2 10" xfId="27838" xr:uid="{00000000-0005-0000-0000-0000BE6C0000}"/>
    <cellStyle name="Normal 2 3 27 2 2" xfId="27839" xr:uid="{00000000-0005-0000-0000-0000BF6C0000}"/>
    <cellStyle name="Normal 2 3 27 2 3" xfId="27840" xr:uid="{00000000-0005-0000-0000-0000C06C0000}"/>
    <cellStyle name="Normal 2 3 27 2 4" xfId="27841" xr:uid="{00000000-0005-0000-0000-0000C16C0000}"/>
    <cellStyle name="Normal 2 3 27 2 5" xfId="27842" xr:uid="{00000000-0005-0000-0000-0000C26C0000}"/>
    <cellStyle name="Normal 2 3 27 2 6" xfId="27843" xr:uid="{00000000-0005-0000-0000-0000C36C0000}"/>
    <cellStyle name="Normal 2 3 27 2 7" xfId="27844" xr:uid="{00000000-0005-0000-0000-0000C46C0000}"/>
    <cellStyle name="Normal 2 3 27 2 8" xfId="27845" xr:uid="{00000000-0005-0000-0000-0000C56C0000}"/>
    <cellStyle name="Normal 2 3 27 2 9" xfId="27846" xr:uid="{00000000-0005-0000-0000-0000C66C0000}"/>
    <cellStyle name="Normal 2 3 27 3" xfId="27847" xr:uid="{00000000-0005-0000-0000-0000C76C0000}"/>
    <cellStyle name="Normal 2 3 27 3 10" xfId="27848" xr:uid="{00000000-0005-0000-0000-0000C86C0000}"/>
    <cellStyle name="Normal 2 3 27 3 2" xfId="27849" xr:uid="{00000000-0005-0000-0000-0000C96C0000}"/>
    <cellStyle name="Normal 2 3 27 3 3" xfId="27850" xr:uid="{00000000-0005-0000-0000-0000CA6C0000}"/>
    <cellStyle name="Normal 2 3 27 3 4" xfId="27851" xr:uid="{00000000-0005-0000-0000-0000CB6C0000}"/>
    <cellStyle name="Normal 2 3 27 3 5" xfId="27852" xr:uid="{00000000-0005-0000-0000-0000CC6C0000}"/>
    <cellStyle name="Normal 2 3 27 3 6" xfId="27853" xr:uid="{00000000-0005-0000-0000-0000CD6C0000}"/>
    <cellStyle name="Normal 2 3 27 3 7" xfId="27854" xr:uid="{00000000-0005-0000-0000-0000CE6C0000}"/>
    <cellStyle name="Normal 2 3 27 3 8" xfId="27855" xr:uid="{00000000-0005-0000-0000-0000CF6C0000}"/>
    <cellStyle name="Normal 2 3 27 3 9" xfId="27856" xr:uid="{00000000-0005-0000-0000-0000D06C0000}"/>
    <cellStyle name="Normal 2 3 27 4" xfId="27857" xr:uid="{00000000-0005-0000-0000-0000D16C0000}"/>
    <cellStyle name="Normal 2 3 27 4 10" xfId="27858" xr:uid="{00000000-0005-0000-0000-0000D26C0000}"/>
    <cellStyle name="Normal 2 3 27 4 2" xfId="27859" xr:uid="{00000000-0005-0000-0000-0000D36C0000}"/>
    <cellStyle name="Normal 2 3 27 4 3" xfId="27860" xr:uid="{00000000-0005-0000-0000-0000D46C0000}"/>
    <cellStyle name="Normal 2 3 27 4 4" xfId="27861" xr:uid="{00000000-0005-0000-0000-0000D56C0000}"/>
    <cellStyle name="Normal 2 3 27 4 5" xfId="27862" xr:uid="{00000000-0005-0000-0000-0000D66C0000}"/>
    <cellStyle name="Normal 2 3 27 4 6" xfId="27863" xr:uid="{00000000-0005-0000-0000-0000D76C0000}"/>
    <cellStyle name="Normal 2 3 27 4 7" xfId="27864" xr:uid="{00000000-0005-0000-0000-0000D86C0000}"/>
    <cellStyle name="Normal 2 3 27 4 8" xfId="27865" xr:uid="{00000000-0005-0000-0000-0000D96C0000}"/>
    <cellStyle name="Normal 2 3 27 4 9" xfId="27866" xr:uid="{00000000-0005-0000-0000-0000DA6C0000}"/>
    <cellStyle name="Normal 2 3 27 5" xfId="27867" xr:uid="{00000000-0005-0000-0000-0000DB6C0000}"/>
    <cellStyle name="Normal 2 3 27 5 10" xfId="27868" xr:uid="{00000000-0005-0000-0000-0000DC6C0000}"/>
    <cellStyle name="Normal 2 3 27 5 2" xfId="27869" xr:uid="{00000000-0005-0000-0000-0000DD6C0000}"/>
    <cellStyle name="Normal 2 3 27 5 3" xfId="27870" xr:uid="{00000000-0005-0000-0000-0000DE6C0000}"/>
    <cellStyle name="Normal 2 3 27 5 4" xfId="27871" xr:uid="{00000000-0005-0000-0000-0000DF6C0000}"/>
    <cellStyle name="Normal 2 3 27 5 5" xfId="27872" xr:uid="{00000000-0005-0000-0000-0000E06C0000}"/>
    <cellStyle name="Normal 2 3 27 5 6" xfId="27873" xr:uid="{00000000-0005-0000-0000-0000E16C0000}"/>
    <cellStyle name="Normal 2 3 27 5 7" xfId="27874" xr:uid="{00000000-0005-0000-0000-0000E26C0000}"/>
    <cellStyle name="Normal 2 3 27 5 8" xfId="27875" xr:uid="{00000000-0005-0000-0000-0000E36C0000}"/>
    <cellStyle name="Normal 2 3 27 5 9" xfId="27876" xr:uid="{00000000-0005-0000-0000-0000E46C0000}"/>
    <cellStyle name="Normal 2 3 27 6" xfId="27877" xr:uid="{00000000-0005-0000-0000-0000E56C0000}"/>
    <cellStyle name="Normal 2 3 27 7" xfId="27878" xr:uid="{00000000-0005-0000-0000-0000E66C0000}"/>
    <cellStyle name="Normal 2 3 27 8" xfId="27879" xr:uid="{00000000-0005-0000-0000-0000E76C0000}"/>
    <cellStyle name="Normal 2 3 27 9" xfId="27880" xr:uid="{00000000-0005-0000-0000-0000E86C0000}"/>
    <cellStyle name="Normal 2 3 28" xfId="27881" xr:uid="{00000000-0005-0000-0000-0000E96C0000}"/>
    <cellStyle name="Normal 2 3 28 10" xfId="27882" xr:uid="{00000000-0005-0000-0000-0000EA6C0000}"/>
    <cellStyle name="Normal 2 3 28 11" xfId="27883" xr:uid="{00000000-0005-0000-0000-0000EB6C0000}"/>
    <cellStyle name="Normal 2 3 28 12" xfId="27884" xr:uid="{00000000-0005-0000-0000-0000EC6C0000}"/>
    <cellStyle name="Normal 2 3 28 13" xfId="27885" xr:uid="{00000000-0005-0000-0000-0000ED6C0000}"/>
    <cellStyle name="Normal 2 3 28 14" xfId="27886" xr:uid="{00000000-0005-0000-0000-0000EE6C0000}"/>
    <cellStyle name="Normal 2 3 28 2" xfId="27887" xr:uid="{00000000-0005-0000-0000-0000EF6C0000}"/>
    <cellStyle name="Normal 2 3 28 2 10" xfId="27888" xr:uid="{00000000-0005-0000-0000-0000F06C0000}"/>
    <cellStyle name="Normal 2 3 28 2 2" xfId="27889" xr:uid="{00000000-0005-0000-0000-0000F16C0000}"/>
    <cellStyle name="Normal 2 3 28 2 3" xfId="27890" xr:uid="{00000000-0005-0000-0000-0000F26C0000}"/>
    <cellStyle name="Normal 2 3 28 2 4" xfId="27891" xr:uid="{00000000-0005-0000-0000-0000F36C0000}"/>
    <cellStyle name="Normal 2 3 28 2 5" xfId="27892" xr:uid="{00000000-0005-0000-0000-0000F46C0000}"/>
    <cellStyle name="Normal 2 3 28 2 6" xfId="27893" xr:uid="{00000000-0005-0000-0000-0000F56C0000}"/>
    <cellStyle name="Normal 2 3 28 2 7" xfId="27894" xr:uid="{00000000-0005-0000-0000-0000F66C0000}"/>
    <cellStyle name="Normal 2 3 28 2 8" xfId="27895" xr:uid="{00000000-0005-0000-0000-0000F76C0000}"/>
    <cellStyle name="Normal 2 3 28 2 9" xfId="27896" xr:uid="{00000000-0005-0000-0000-0000F86C0000}"/>
    <cellStyle name="Normal 2 3 28 3" xfId="27897" xr:uid="{00000000-0005-0000-0000-0000F96C0000}"/>
    <cellStyle name="Normal 2 3 28 3 10" xfId="27898" xr:uid="{00000000-0005-0000-0000-0000FA6C0000}"/>
    <cellStyle name="Normal 2 3 28 3 2" xfId="27899" xr:uid="{00000000-0005-0000-0000-0000FB6C0000}"/>
    <cellStyle name="Normal 2 3 28 3 3" xfId="27900" xr:uid="{00000000-0005-0000-0000-0000FC6C0000}"/>
    <cellStyle name="Normal 2 3 28 3 4" xfId="27901" xr:uid="{00000000-0005-0000-0000-0000FD6C0000}"/>
    <cellStyle name="Normal 2 3 28 3 5" xfId="27902" xr:uid="{00000000-0005-0000-0000-0000FE6C0000}"/>
    <cellStyle name="Normal 2 3 28 3 6" xfId="27903" xr:uid="{00000000-0005-0000-0000-0000FF6C0000}"/>
    <cellStyle name="Normal 2 3 28 3 7" xfId="27904" xr:uid="{00000000-0005-0000-0000-0000006D0000}"/>
    <cellStyle name="Normal 2 3 28 3 8" xfId="27905" xr:uid="{00000000-0005-0000-0000-0000016D0000}"/>
    <cellStyle name="Normal 2 3 28 3 9" xfId="27906" xr:uid="{00000000-0005-0000-0000-0000026D0000}"/>
    <cellStyle name="Normal 2 3 28 4" xfId="27907" xr:uid="{00000000-0005-0000-0000-0000036D0000}"/>
    <cellStyle name="Normal 2 3 28 4 10" xfId="27908" xr:uid="{00000000-0005-0000-0000-0000046D0000}"/>
    <cellStyle name="Normal 2 3 28 4 2" xfId="27909" xr:uid="{00000000-0005-0000-0000-0000056D0000}"/>
    <cellStyle name="Normal 2 3 28 4 3" xfId="27910" xr:uid="{00000000-0005-0000-0000-0000066D0000}"/>
    <cellStyle name="Normal 2 3 28 4 4" xfId="27911" xr:uid="{00000000-0005-0000-0000-0000076D0000}"/>
    <cellStyle name="Normal 2 3 28 4 5" xfId="27912" xr:uid="{00000000-0005-0000-0000-0000086D0000}"/>
    <cellStyle name="Normal 2 3 28 4 6" xfId="27913" xr:uid="{00000000-0005-0000-0000-0000096D0000}"/>
    <cellStyle name="Normal 2 3 28 4 7" xfId="27914" xr:uid="{00000000-0005-0000-0000-00000A6D0000}"/>
    <cellStyle name="Normal 2 3 28 4 8" xfId="27915" xr:uid="{00000000-0005-0000-0000-00000B6D0000}"/>
    <cellStyle name="Normal 2 3 28 4 9" xfId="27916" xr:uid="{00000000-0005-0000-0000-00000C6D0000}"/>
    <cellStyle name="Normal 2 3 28 5" xfId="27917" xr:uid="{00000000-0005-0000-0000-00000D6D0000}"/>
    <cellStyle name="Normal 2 3 28 5 10" xfId="27918" xr:uid="{00000000-0005-0000-0000-00000E6D0000}"/>
    <cellStyle name="Normal 2 3 28 5 2" xfId="27919" xr:uid="{00000000-0005-0000-0000-00000F6D0000}"/>
    <cellStyle name="Normal 2 3 28 5 3" xfId="27920" xr:uid="{00000000-0005-0000-0000-0000106D0000}"/>
    <cellStyle name="Normal 2 3 28 5 4" xfId="27921" xr:uid="{00000000-0005-0000-0000-0000116D0000}"/>
    <cellStyle name="Normal 2 3 28 5 5" xfId="27922" xr:uid="{00000000-0005-0000-0000-0000126D0000}"/>
    <cellStyle name="Normal 2 3 28 5 6" xfId="27923" xr:uid="{00000000-0005-0000-0000-0000136D0000}"/>
    <cellStyle name="Normal 2 3 28 5 7" xfId="27924" xr:uid="{00000000-0005-0000-0000-0000146D0000}"/>
    <cellStyle name="Normal 2 3 28 5 8" xfId="27925" xr:uid="{00000000-0005-0000-0000-0000156D0000}"/>
    <cellStyle name="Normal 2 3 28 5 9" xfId="27926" xr:uid="{00000000-0005-0000-0000-0000166D0000}"/>
    <cellStyle name="Normal 2 3 28 6" xfId="27927" xr:uid="{00000000-0005-0000-0000-0000176D0000}"/>
    <cellStyle name="Normal 2 3 28 7" xfId="27928" xr:uid="{00000000-0005-0000-0000-0000186D0000}"/>
    <cellStyle name="Normal 2 3 28 8" xfId="27929" xr:uid="{00000000-0005-0000-0000-0000196D0000}"/>
    <cellStyle name="Normal 2 3 28 9" xfId="27930" xr:uid="{00000000-0005-0000-0000-00001A6D0000}"/>
    <cellStyle name="Normal 2 3 29" xfId="27931" xr:uid="{00000000-0005-0000-0000-00001B6D0000}"/>
    <cellStyle name="Normal 2 3 29 10" xfId="27932" xr:uid="{00000000-0005-0000-0000-00001C6D0000}"/>
    <cellStyle name="Normal 2 3 29 11" xfId="27933" xr:uid="{00000000-0005-0000-0000-00001D6D0000}"/>
    <cellStyle name="Normal 2 3 29 12" xfId="27934" xr:uid="{00000000-0005-0000-0000-00001E6D0000}"/>
    <cellStyle name="Normal 2 3 29 13" xfId="27935" xr:uid="{00000000-0005-0000-0000-00001F6D0000}"/>
    <cellStyle name="Normal 2 3 29 14" xfId="27936" xr:uid="{00000000-0005-0000-0000-0000206D0000}"/>
    <cellStyle name="Normal 2 3 29 2" xfId="27937" xr:uid="{00000000-0005-0000-0000-0000216D0000}"/>
    <cellStyle name="Normal 2 3 29 2 10" xfId="27938" xr:uid="{00000000-0005-0000-0000-0000226D0000}"/>
    <cellStyle name="Normal 2 3 29 2 2" xfId="27939" xr:uid="{00000000-0005-0000-0000-0000236D0000}"/>
    <cellStyle name="Normal 2 3 29 2 3" xfId="27940" xr:uid="{00000000-0005-0000-0000-0000246D0000}"/>
    <cellStyle name="Normal 2 3 29 2 4" xfId="27941" xr:uid="{00000000-0005-0000-0000-0000256D0000}"/>
    <cellStyle name="Normal 2 3 29 2 5" xfId="27942" xr:uid="{00000000-0005-0000-0000-0000266D0000}"/>
    <cellStyle name="Normal 2 3 29 2 6" xfId="27943" xr:uid="{00000000-0005-0000-0000-0000276D0000}"/>
    <cellStyle name="Normal 2 3 29 2 7" xfId="27944" xr:uid="{00000000-0005-0000-0000-0000286D0000}"/>
    <cellStyle name="Normal 2 3 29 2 8" xfId="27945" xr:uid="{00000000-0005-0000-0000-0000296D0000}"/>
    <cellStyle name="Normal 2 3 29 2 9" xfId="27946" xr:uid="{00000000-0005-0000-0000-00002A6D0000}"/>
    <cellStyle name="Normal 2 3 29 3" xfId="27947" xr:uid="{00000000-0005-0000-0000-00002B6D0000}"/>
    <cellStyle name="Normal 2 3 29 3 10" xfId="27948" xr:uid="{00000000-0005-0000-0000-00002C6D0000}"/>
    <cellStyle name="Normal 2 3 29 3 2" xfId="27949" xr:uid="{00000000-0005-0000-0000-00002D6D0000}"/>
    <cellStyle name="Normal 2 3 29 3 3" xfId="27950" xr:uid="{00000000-0005-0000-0000-00002E6D0000}"/>
    <cellStyle name="Normal 2 3 29 3 4" xfId="27951" xr:uid="{00000000-0005-0000-0000-00002F6D0000}"/>
    <cellStyle name="Normal 2 3 29 3 5" xfId="27952" xr:uid="{00000000-0005-0000-0000-0000306D0000}"/>
    <cellStyle name="Normal 2 3 29 3 6" xfId="27953" xr:uid="{00000000-0005-0000-0000-0000316D0000}"/>
    <cellStyle name="Normal 2 3 29 3 7" xfId="27954" xr:uid="{00000000-0005-0000-0000-0000326D0000}"/>
    <cellStyle name="Normal 2 3 29 3 8" xfId="27955" xr:uid="{00000000-0005-0000-0000-0000336D0000}"/>
    <cellStyle name="Normal 2 3 29 3 9" xfId="27956" xr:uid="{00000000-0005-0000-0000-0000346D0000}"/>
    <cellStyle name="Normal 2 3 29 4" xfId="27957" xr:uid="{00000000-0005-0000-0000-0000356D0000}"/>
    <cellStyle name="Normal 2 3 29 4 10" xfId="27958" xr:uid="{00000000-0005-0000-0000-0000366D0000}"/>
    <cellStyle name="Normal 2 3 29 4 2" xfId="27959" xr:uid="{00000000-0005-0000-0000-0000376D0000}"/>
    <cellStyle name="Normal 2 3 29 4 3" xfId="27960" xr:uid="{00000000-0005-0000-0000-0000386D0000}"/>
    <cellStyle name="Normal 2 3 29 4 4" xfId="27961" xr:uid="{00000000-0005-0000-0000-0000396D0000}"/>
    <cellStyle name="Normal 2 3 29 4 5" xfId="27962" xr:uid="{00000000-0005-0000-0000-00003A6D0000}"/>
    <cellStyle name="Normal 2 3 29 4 6" xfId="27963" xr:uid="{00000000-0005-0000-0000-00003B6D0000}"/>
    <cellStyle name="Normal 2 3 29 4 7" xfId="27964" xr:uid="{00000000-0005-0000-0000-00003C6D0000}"/>
    <cellStyle name="Normal 2 3 29 4 8" xfId="27965" xr:uid="{00000000-0005-0000-0000-00003D6D0000}"/>
    <cellStyle name="Normal 2 3 29 4 9" xfId="27966" xr:uid="{00000000-0005-0000-0000-00003E6D0000}"/>
    <cellStyle name="Normal 2 3 29 5" xfId="27967" xr:uid="{00000000-0005-0000-0000-00003F6D0000}"/>
    <cellStyle name="Normal 2 3 29 5 10" xfId="27968" xr:uid="{00000000-0005-0000-0000-0000406D0000}"/>
    <cellStyle name="Normal 2 3 29 5 2" xfId="27969" xr:uid="{00000000-0005-0000-0000-0000416D0000}"/>
    <cellStyle name="Normal 2 3 29 5 3" xfId="27970" xr:uid="{00000000-0005-0000-0000-0000426D0000}"/>
    <cellStyle name="Normal 2 3 29 5 4" xfId="27971" xr:uid="{00000000-0005-0000-0000-0000436D0000}"/>
    <cellStyle name="Normal 2 3 29 5 5" xfId="27972" xr:uid="{00000000-0005-0000-0000-0000446D0000}"/>
    <cellStyle name="Normal 2 3 29 5 6" xfId="27973" xr:uid="{00000000-0005-0000-0000-0000456D0000}"/>
    <cellStyle name="Normal 2 3 29 5 7" xfId="27974" xr:uid="{00000000-0005-0000-0000-0000466D0000}"/>
    <cellStyle name="Normal 2 3 29 5 8" xfId="27975" xr:uid="{00000000-0005-0000-0000-0000476D0000}"/>
    <cellStyle name="Normal 2 3 29 5 9" xfId="27976" xr:uid="{00000000-0005-0000-0000-0000486D0000}"/>
    <cellStyle name="Normal 2 3 29 6" xfId="27977" xr:uid="{00000000-0005-0000-0000-0000496D0000}"/>
    <cellStyle name="Normal 2 3 29 7" xfId="27978" xr:uid="{00000000-0005-0000-0000-00004A6D0000}"/>
    <cellStyle name="Normal 2 3 29 8" xfId="27979" xr:uid="{00000000-0005-0000-0000-00004B6D0000}"/>
    <cellStyle name="Normal 2 3 29 9" xfId="27980" xr:uid="{00000000-0005-0000-0000-00004C6D0000}"/>
    <cellStyle name="Normal 2 3 3" xfId="27981" xr:uid="{00000000-0005-0000-0000-00004D6D0000}"/>
    <cellStyle name="Normal 2 3 3 10" xfId="27982" xr:uid="{00000000-0005-0000-0000-00004E6D0000}"/>
    <cellStyle name="Normal 2 3 3 11" xfId="27983" xr:uid="{00000000-0005-0000-0000-00004F6D0000}"/>
    <cellStyle name="Normal 2 3 3 12" xfId="27984" xr:uid="{00000000-0005-0000-0000-0000506D0000}"/>
    <cellStyle name="Normal 2 3 3 13" xfId="27985" xr:uid="{00000000-0005-0000-0000-0000516D0000}"/>
    <cellStyle name="Normal 2 3 3 14" xfId="27986" xr:uid="{00000000-0005-0000-0000-0000526D0000}"/>
    <cellStyle name="Normal 2 3 3 15" xfId="27987" xr:uid="{00000000-0005-0000-0000-0000536D0000}"/>
    <cellStyle name="Normal 2 3 3 16" xfId="27988" xr:uid="{00000000-0005-0000-0000-0000546D0000}"/>
    <cellStyle name="Normal 2 3 3 2" xfId="27989" xr:uid="{00000000-0005-0000-0000-0000556D0000}"/>
    <cellStyle name="Normal 2 3 3 2 10" xfId="27990" xr:uid="{00000000-0005-0000-0000-0000566D0000}"/>
    <cellStyle name="Normal 2 3 3 2 2" xfId="27991" xr:uid="{00000000-0005-0000-0000-0000576D0000}"/>
    <cellStyle name="Normal 2 3 3 2 3" xfId="27992" xr:uid="{00000000-0005-0000-0000-0000586D0000}"/>
    <cellStyle name="Normal 2 3 3 2 4" xfId="27993" xr:uid="{00000000-0005-0000-0000-0000596D0000}"/>
    <cellStyle name="Normal 2 3 3 2 5" xfId="27994" xr:uid="{00000000-0005-0000-0000-00005A6D0000}"/>
    <cellStyle name="Normal 2 3 3 2 6" xfId="27995" xr:uid="{00000000-0005-0000-0000-00005B6D0000}"/>
    <cellStyle name="Normal 2 3 3 2 7" xfId="27996" xr:uid="{00000000-0005-0000-0000-00005C6D0000}"/>
    <cellStyle name="Normal 2 3 3 2 8" xfId="27997" xr:uid="{00000000-0005-0000-0000-00005D6D0000}"/>
    <cellStyle name="Normal 2 3 3 2 9" xfId="27998" xr:uid="{00000000-0005-0000-0000-00005E6D0000}"/>
    <cellStyle name="Normal 2 3 3 3" xfId="27999" xr:uid="{00000000-0005-0000-0000-00005F6D0000}"/>
    <cellStyle name="Normal 2 3 3 3 10" xfId="28000" xr:uid="{00000000-0005-0000-0000-0000606D0000}"/>
    <cellStyle name="Normal 2 3 3 3 2" xfId="28001" xr:uid="{00000000-0005-0000-0000-0000616D0000}"/>
    <cellStyle name="Normal 2 3 3 3 3" xfId="28002" xr:uid="{00000000-0005-0000-0000-0000626D0000}"/>
    <cellStyle name="Normal 2 3 3 3 4" xfId="28003" xr:uid="{00000000-0005-0000-0000-0000636D0000}"/>
    <cellStyle name="Normal 2 3 3 3 5" xfId="28004" xr:uid="{00000000-0005-0000-0000-0000646D0000}"/>
    <cellStyle name="Normal 2 3 3 3 6" xfId="28005" xr:uid="{00000000-0005-0000-0000-0000656D0000}"/>
    <cellStyle name="Normal 2 3 3 3 7" xfId="28006" xr:uid="{00000000-0005-0000-0000-0000666D0000}"/>
    <cellStyle name="Normal 2 3 3 3 8" xfId="28007" xr:uid="{00000000-0005-0000-0000-0000676D0000}"/>
    <cellStyle name="Normal 2 3 3 3 9" xfId="28008" xr:uid="{00000000-0005-0000-0000-0000686D0000}"/>
    <cellStyle name="Normal 2 3 3 4" xfId="28009" xr:uid="{00000000-0005-0000-0000-0000696D0000}"/>
    <cellStyle name="Normal 2 3 3 4 10" xfId="28010" xr:uid="{00000000-0005-0000-0000-00006A6D0000}"/>
    <cellStyle name="Normal 2 3 3 4 2" xfId="28011" xr:uid="{00000000-0005-0000-0000-00006B6D0000}"/>
    <cellStyle name="Normal 2 3 3 4 3" xfId="28012" xr:uid="{00000000-0005-0000-0000-00006C6D0000}"/>
    <cellStyle name="Normal 2 3 3 4 4" xfId="28013" xr:uid="{00000000-0005-0000-0000-00006D6D0000}"/>
    <cellStyle name="Normal 2 3 3 4 5" xfId="28014" xr:uid="{00000000-0005-0000-0000-00006E6D0000}"/>
    <cellStyle name="Normal 2 3 3 4 6" xfId="28015" xr:uid="{00000000-0005-0000-0000-00006F6D0000}"/>
    <cellStyle name="Normal 2 3 3 4 7" xfId="28016" xr:uid="{00000000-0005-0000-0000-0000706D0000}"/>
    <cellStyle name="Normal 2 3 3 4 8" xfId="28017" xr:uid="{00000000-0005-0000-0000-0000716D0000}"/>
    <cellStyle name="Normal 2 3 3 4 9" xfId="28018" xr:uid="{00000000-0005-0000-0000-0000726D0000}"/>
    <cellStyle name="Normal 2 3 3 5" xfId="28019" xr:uid="{00000000-0005-0000-0000-0000736D0000}"/>
    <cellStyle name="Normal 2 3 3 5 10" xfId="28020" xr:uid="{00000000-0005-0000-0000-0000746D0000}"/>
    <cellStyle name="Normal 2 3 3 5 2" xfId="28021" xr:uid="{00000000-0005-0000-0000-0000756D0000}"/>
    <cellStyle name="Normal 2 3 3 5 3" xfId="28022" xr:uid="{00000000-0005-0000-0000-0000766D0000}"/>
    <cellStyle name="Normal 2 3 3 5 4" xfId="28023" xr:uid="{00000000-0005-0000-0000-0000776D0000}"/>
    <cellStyle name="Normal 2 3 3 5 5" xfId="28024" xr:uid="{00000000-0005-0000-0000-0000786D0000}"/>
    <cellStyle name="Normal 2 3 3 5 6" xfId="28025" xr:uid="{00000000-0005-0000-0000-0000796D0000}"/>
    <cellStyle name="Normal 2 3 3 5 7" xfId="28026" xr:uid="{00000000-0005-0000-0000-00007A6D0000}"/>
    <cellStyle name="Normal 2 3 3 5 8" xfId="28027" xr:uid="{00000000-0005-0000-0000-00007B6D0000}"/>
    <cellStyle name="Normal 2 3 3 5 9" xfId="28028" xr:uid="{00000000-0005-0000-0000-00007C6D0000}"/>
    <cellStyle name="Normal 2 3 3 6" xfId="28029" xr:uid="{00000000-0005-0000-0000-00007D6D0000}"/>
    <cellStyle name="Normal 2 3 3 7" xfId="28030" xr:uid="{00000000-0005-0000-0000-00007E6D0000}"/>
    <cellStyle name="Normal 2 3 3 8" xfId="28031" xr:uid="{00000000-0005-0000-0000-00007F6D0000}"/>
    <cellStyle name="Normal 2 3 3 9" xfId="28032" xr:uid="{00000000-0005-0000-0000-0000806D0000}"/>
    <cellStyle name="Normal 2 3 30" xfId="28033" xr:uid="{00000000-0005-0000-0000-0000816D0000}"/>
    <cellStyle name="Normal 2 3 30 10" xfId="28034" xr:uid="{00000000-0005-0000-0000-0000826D0000}"/>
    <cellStyle name="Normal 2 3 30 11" xfId="28035" xr:uid="{00000000-0005-0000-0000-0000836D0000}"/>
    <cellStyle name="Normal 2 3 30 12" xfId="28036" xr:uid="{00000000-0005-0000-0000-0000846D0000}"/>
    <cellStyle name="Normal 2 3 30 13" xfId="28037" xr:uid="{00000000-0005-0000-0000-0000856D0000}"/>
    <cellStyle name="Normal 2 3 30 14" xfId="28038" xr:uid="{00000000-0005-0000-0000-0000866D0000}"/>
    <cellStyle name="Normal 2 3 30 2" xfId="28039" xr:uid="{00000000-0005-0000-0000-0000876D0000}"/>
    <cellStyle name="Normal 2 3 30 2 10" xfId="28040" xr:uid="{00000000-0005-0000-0000-0000886D0000}"/>
    <cellStyle name="Normal 2 3 30 2 2" xfId="28041" xr:uid="{00000000-0005-0000-0000-0000896D0000}"/>
    <cellStyle name="Normal 2 3 30 2 3" xfId="28042" xr:uid="{00000000-0005-0000-0000-00008A6D0000}"/>
    <cellStyle name="Normal 2 3 30 2 4" xfId="28043" xr:uid="{00000000-0005-0000-0000-00008B6D0000}"/>
    <cellStyle name="Normal 2 3 30 2 5" xfId="28044" xr:uid="{00000000-0005-0000-0000-00008C6D0000}"/>
    <cellStyle name="Normal 2 3 30 2 6" xfId="28045" xr:uid="{00000000-0005-0000-0000-00008D6D0000}"/>
    <cellStyle name="Normal 2 3 30 2 7" xfId="28046" xr:uid="{00000000-0005-0000-0000-00008E6D0000}"/>
    <cellStyle name="Normal 2 3 30 2 8" xfId="28047" xr:uid="{00000000-0005-0000-0000-00008F6D0000}"/>
    <cellStyle name="Normal 2 3 30 2 9" xfId="28048" xr:uid="{00000000-0005-0000-0000-0000906D0000}"/>
    <cellStyle name="Normal 2 3 30 3" xfId="28049" xr:uid="{00000000-0005-0000-0000-0000916D0000}"/>
    <cellStyle name="Normal 2 3 30 3 10" xfId="28050" xr:uid="{00000000-0005-0000-0000-0000926D0000}"/>
    <cellStyle name="Normal 2 3 30 3 2" xfId="28051" xr:uid="{00000000-0005-0000-0000-0000936D0000}"/>
    <cellStyle name="Normal 2 3 30 3 3" xfId="28052" xr:uid="{00000000-0005-0000-0000-0000946D0000}"/>
    <cellStyle name="Normal 2 3 30 3 4" xfId="28053" xr:uid="{00000000-0005-0000-0000-0000956D0000}"/>
    <cellStyle name="Normal 2 3 30 3 5" xfId="28054" xr:uid="{00000000-0005-0000-0000-0000966D0000}"/>
    <cellStyle name="Normal 2 3 30 3 6" xfId="28055" xr:uid="{00000000-0005-0000-0000-0000976D0000}"/>
    <cellStyle name="Normal 2 3 30 3 7" xfId="28056" xr:uid="{00000000-0005-0000-0000-0000986D0000}"/>
    <cellStyle name="Normal 2 3 30 3 8" xfId="28057" xr:uid="{00000000-0005-0000-0000-0000996D0000}"/>
    <cellStyle name="Normal 2 3 30 3 9" xfId="28058" xr:uid="{00000000-0005-0000-0000-00009A6D0000}"/>
    <cellStyle name="Normal 2 3 30 4" xfId="28059" xr:uid="{00000000-0005-0000-0000-00009B6D0000}"/>
    <cellStyle name="Normal 2 3 30 4 10" xfId="28060" xr:uid="{00000000-0005-0000-0000-00009C6D0000}"/>
    <cellStyle name="Normal 2 3 30 4 2" xfId="28061" xr:uid="{00000000-0005-0000-0000-00009D6D0000}"/>
    <cellStyle name="Normal 2 3 30 4 3" xfId="28062" xr:uid="{00000000-0005-0000-0000-00009E6D0000}"/>
    <cellStyle name="Normal 2 3 30 4 4" xfId="28063" xr:uid="{00000000-0005-0000-0000-00009F6D0000}"/>
    <cellStyle name="Normal 2 3 30 4 5" xfId="28064" xr:uid="{00000000-0005-0000-0000-0000A06D0000}"/>
    <cellStyle name="Normal 2 3 30 4 6" xfId="28065" xr:uid="{00000000-0005-0000-0000-0000A16D0000}"/>
    <cellStyle name="Normal 2 3 30 4 7" xfId="28066" xr:uid="{00000000-0005-0000-0000-0000A26D0000}"/>
    <cellStyle name="Normal 2 3 30 4 8" xfId="28067" xr:uid="{00000000-0005-0000-0000-0000A36D0000}"/>
    <cellStyle name="Normal 2 3 30 4 9" xfId="28068" xr:uid="{00000000-0005-0000-0000-0000A46D0000}"/>
    <cellStyle name="Normal 2 3 30 5" xfId="28069" xr:uid="{00000000-0005-0000-0000-0000A56D0000}"/>
    <cellStyle name="Normal 2 3 30 5 10" xfId="28070" xr:uid="{00000000-0005-0000-0000-0000A66D0000}"/>
    <cellStyle name="Normal 2 3 30 5 2" xfId="28071" xr:uid="{00000000-0005-0000-0000-0000A76D0000}"/>
    <cellStyle name="Normal 2 3 30 5 3" xfId="28072" xr:uid="{00000000-0005-0000-0000-0000A86D0000}"/>
    <cellStyle name="Normal 2 3 30 5 4" xfId="28073" xr:uid="{00000000-0005-0000-0000-0000A96D0000}"/>
    <cellStyle name="Normal 2 3 30 5 5" xfId="28074" xr:uid="{00000000-0005-0000-0000-0000AA6D0000}"/>
    <cellStyle name="Normal 2 3 30 5 6" xfId="28075" xr:uid="{00000000-0005-0000-0000-0000AB6D0000}"/>
    <cellStyle name="Normal 2 3 30 5 7" xfId="28076" xr:uid="{00000000-0005-0000-0000-0000AC6D0000}"/>
    <cellStyle name="Normal 2 3 30 5 8" xfId="28077" xr:uid="{00000000-0005-0000-0000-0000AD6D0000}"/>
    <cellStyle name="Normal 2 3 30 5 9" xfId="28078" xr:uid="{00000000-0005-0000-0000-0000AE6D0000}"/>
    <cellStyle name="Normal 2 3 30 6" xfId="28079" xr:uid="{00000000-0005-0000-0000-0000AF6D0000}"/>
    <cellStyle name="Normal 2 3 30 7" xfId="28080" xr:uid="{00000000-0005-0000-0000-0000B06D0000}"/>
    <cellStyle name="Normal 2 3 30 8" xfId="28081" xr:uid="{00000000-0005-0000-0000-0000B16D0000}"/>
    <cellStyle name="Normal 2 3 30 9" xfId="28082" xr:uid="{00000000-0005-0000-0000-0000B26D0000}"/>
    <cellStyle name="Normal 2 3 31" xfId="28083" xr:uid="{00000000-0005-0000-0000-0000B36D0000}"/>
    <cellStyle name="Normal 2 3 31 10" xfId="28084" xr:uid="{00000000-0005-0000-0000-0000B46D0000}"/>
    <cellStyle name="Normal 2 3 31 11" xfId="28085" xr:uid="{00000000-0005-0000-0000-0000B56D0000}"/>
    <cellStyle name="Normal 2 3 31 12" xfId="28086" xr:uid="{00000000-0005-0000-0000-0000B66D0000}"/>
    <cellStyle name="Normal 2 3 31 13" xfId="28087" xr:uid="{00000000-0005-0000-0000-0000B76D0000}"/>
    <cellStyle name="Normal 2 3 31 14" xfId="28088" xr:uid="{00000000-0005-0000-0000-0000B86D0000}"/>
    <cellStyle name="Normal 2 3 31 2" xfId="28089" xr:uid="{00000000-0005-0000-0000-0000B96D0000}"/>
    <cellStyle name="Normal 2 3 31 2 10" xfId="28090" xr:uid="{00000000-0005-0000-0000-0000BA6D0000}"/>
    <cellStyle name="Normal 2 3 31 2 2" xfId="28091" xr:uid="{00000000-0005-0000-0000-0000BB6D0000}"/>
    <cellStyle name="Normal 2 3 31 2 3" xfId="28092" xr:uid="{00000000-0005-0000-0000-0000BC6D0000}"/>
    <cellStyle name="Normal 2 3 31 2 4" xfId="28093" xr:uid="{00000000-0005-0000-0000-0000BD6D0000}"/>
    <cellStyle name="Normal 2 3 31 2 5" xfId="28094" xr:uid="{00000000-0005-0000-0000-0000BE6D0000}"/>
    <cellStyle name="Normal 2 3 31 2 6" xfId="28095" xr:uid="{00000000-0005-0000-0000-0000BF6D0000}"/>
    <cellStyle name="Normal 2 3 31 2 7" xfId="28096" xr:uid="{00000000-0005-0000-0000-0000C06D0000}"/>
    <cellStyle name="Normal 2 3 31 2 8" xfId="28097" xr:uid="{00000000-0005-0000-0000-0000C16D0000}"/>
    <cellStyle name="Normal 2 3 31 2 9" xfId="28098" xr:uid="{00000000-0005-0000-0000-0000C26D0000}"/>
    <cellStyle name="Normal 2 3 31 3" xfId="28099" xr:uid="{00000000-0005-0000-0000-0000C36D0000}"/>
    <cellStyle name="Normal 2 3 31 3 10" xfId="28100" xr:uid="{00000000-0005-0000-0000-0000C46D0000}"/>
    <cellStyle name="Normal 2 3 31 3 2" xfId="28101" xr:uid="{00000000-0005-0000-0000-0000C56D0000}"/>
    <cellStyle name="Normal 2 3 31 3 3" xfId="28102" xr:uid="{00000000-0005-0000-0000-0000C66D0000}"/>
    <cellStyle name="Normal 2 3 31 3 4" xfId="28103" xr:uid="{00000000-0005-0000-0000-0000C76D0000}"/>
    <cellStyle name="Normal 2 3 31 3 5" xfId="28104" xr:uid="{00000000-0005-0000-0000-0000C86D0000}"/>
    <cellStyle name="Normal 2 3 31 3 6" xfId="28105" xr:uid="{00000000-0005-0000-0000-0000C96D0000}"/>
    <cellStyle name="Normal 2 3 31 3 7" xfId="28106" xr:uid="{00000000-0005-0000-0000-0000CA6D0000}"/>
    <cellStyle name="Normal 2 3 31 3 8" xfId="28107" xr:uid="{00000000-0005-0000-0000-0000CB6D0000}"/>
    <cellStyle name="Normal 2 3 31 3 9" xfId="28108" xr:uid="{00000000-0005-0000-0000-0000CC6D0000}"/>
    <cellStyle name="Normal 2 3 31 4" xfId="28109" xr:uid="{00000000-0005-0000-0000-0000CD6D0000}"/>
    <cellStyle name="Normal 2 3 31 4 10" xfId="28110" xr:uid="{00000000-0005-0000-0000-0000CE6D0000}"/>
    <cellStyle name="Normal 2 3 31 4 2" xfId="28111" xr:uid="{00000000-0005-0000-0000-0000CF6D0000}"/>
    <cellStyle name="Normal 2 3 31 4 3" xfId="28112" xr:uid="{00000000-0005-0000-0000-0000D06D0000}"/>
    <cellStyle name="Normal 2 3 31 4 4" xfId="28113" xr:uid="{00000000-0005-0000-0000-0000D16D0000}"/>
    <cellStyle name="Normal 2 3 31 4 5" xfId="28114" xr:uid="{00000000-0005-0000-0000-0000D26D0000}"/>
    <cellStyle name="Normal 2 3 31 4 6" xfId="28115" xr:uid="{00000000-0005-0000-0000-0000D36D0000}"/>
    <cellStyle name="Normal 2 3 31 4 7" xfId="28116" xr:uid="{00000000-0005-0000-0000-0000D46D0000}"/>
    <cellStyle name="Normal 2 3 31 4 8" xfId="28117" xr:uid="{00000000-0005-0000-0000-0000D56D0000}"/>
    <cellStyle name="Normal 2 3 31 4 9" xfId="28118" xr:uid="{00000000-0005-0000-0000-0000D66D0000}"/>
    <cellStyle name="Normal 2 3 31 5" xfId="28119" xr:uid="{00000000-0005-0000-0000-0000D76D0000}"/>
    <cellStyle name="Normal 2 3 31 5 10" xfId="28120" xr:uid="{00000000-0005-0000-0000-0000D86D0000}"/>
    <cellStyle name="Normal 2 3 31 5 2" xfId="28121" xr:uid="{00000000-0005-0000-0000-0000D96D0000}"/>
    <cellStyle name="Normal 2 3 31 5 3" xfId="28122" xr:uid="{00000000-0005-0000-0000-0000DA6D0000}"/>
    <cellStyle name="Normal 2 3 31 5 4" xfId="28123" xr:uid="{00000000-0005-0000-0000-0000DB6D0000}"/>
    <cellStyle name="Normal 2 3 31 5 5" xfId="28124" xr:uid="{00000000-0005-0000-0000-0000DC6D0000}"/>
    <cellStyle name="Normal 2 3 31 5 6" xfId="28125" xr:uid="{00000000-0005-0000-0000-0000DD6D0000}"/>
    <cellStyle name="Normal 2 3 31 5 7" xfId="28126" xr:uid="{00000000-0005-0000-0000-0000DE6D0000}"/>
    <cellStyle name="Normal 2 3 31 5 8" xfId="28127" xr:uid="{00000000-0005-0000-0000-0000DF6D0000}"/>
    <cellStyle name="Normal 2 3 31 5 9" xfId="28128" xr:uid="{00000000-0005-0000-0000-0000E06D0000}"/>
    <cellStyle name="Normal 2 3 31 6" xfId="28129" xr:uid="{00000000-0005-0000-0000-0000E16D0000}"/>
    <cellStyle name="Normal 2 3 31 7" xfId="28130" xr:uid="{00000000-0005-0000-0000-0000E26D0000}"/>
    <cellStyle name="Normal 2 3 31 8" xfId="28131" xr:uid="{00000000-0005-0000-0000-0000E36D0000}"/>
    <cellStyle name="Normal 2 3 31 9" xfId="28132" xr:uid="{00000000-0005-0000-0000-0000E46D0000}"/>
    <cellStyle name="Normal 2 3 32" xfId="28133" xr:uid="{00000000-0005-0000-0000-0000E56D0000}"/>
    <cellStyle name="Normal 2 3 32 10" xfId="28134" xr:uid="{00000000-0005-0000-0000-0000E66D0000}"/>
    <cellStyle name="Normal 2 3 32 11" xfId="28135" xr:uid="{00000000-0005-0000-0000-0000E76D0000}"/>
    <cellStyle name="Normal 2 3 32 12" xfId="28136" xr:uid="{00000000-0005-0000-0000-0000E86D0000}"/>
    <cellStyle name="Normal 2 3 32 13" xfId="28137" xr:uid="{00000000-0005-0000-0000-0000E96D0000}"/>
    <cellStyle name="Normal 2 3 32 14" xfId="28138" xr:uid="{00000000-0005-0000-0000-0000EA6D0000}"/>
    <cellStyle name="Normal 2 3 32 2" xfId="28139" xr:uid="{00000000-0005-0000-0000-0000EB6D0000}"/>
    <cellStyle name="Normal 2 3 32 2 10" xfId="28140" xr:uid="{00000000-0005-0000-0000-0000EC6D0000}"/>
    <cellStyle name="Normal 2 3 32 2 2" xfId="28141" xr:uid="{00000000-0005-0000-0000-0000ED6D0000}"/>
    <cellStyle name="Normal 2 3 32 2 3" xfId="28142" xr:uid="{00000000-0005-0000-0000-0000EE6D0000}"/>
    <cellStyle name="Normal 2 3 32 2 4" xfId="28143" xr:uid="{00000000-0005-0000-0000-0000EF6D0000}"/>
    <cellStyle name="Normal 2 3 32 2 5" xfId="28144" xr:uid="{00000000-0005-0000-0000-0000F06D0000}"/>
    <cellStyle name="Normal 2 3 32 2 6" xfId="28145" xr:uid="{00000000-0005-0000-0000-0000F16D0000}"/>
    <cellStyle name="Normal 2 3 32 2 7" xfId="28146" xr:uid="{00000000-0005-0000-0000-0000F26D0000}"/>
    <cellStyle name="Normal 2 3 32 2 8" xfId="28147" xr:uid="{00000000-0005-0000-0000-0000F36D0000}"/>
    <cellStyle name="Normal 2 3 32 2 9" xfId="28148" xr:uid="{00000000-0005-0000-0000-0000F46D0000}"/>
    <cellStyle name="Normal 2 3 32 3" xfId="28149" xr:uid="{00000000-0005-0000-0000-0000F56D0000}"/>
    <cellStyle name="Normal 2 3 32 3 10" xfId="28150" xr:uid="{00000000-0005-0000-0000-0000F66D0000}"/>
    <cellStyle name="Normal 2 3 32 3 2" xfId="28151" xr:uid="{00000000-0005-0000-0000-0000F76D0000}"/>
    <cellStyle name="Normal 2 3 32 3 3" xfId="28152" xr:uid="{00000000-0005-0000-0000-0000F86D0000}"/>
    <cellStyle name="Normal 2 3 32 3 4" xfId="28153" xr:uid="{00000000-0005-0000-0000-0000F96D0000}"/>
    <cellStyle name="Normal 2 3 32 3 5" xfId="28154" xr:uid="{00000000-0005-0000-0000-0000FA6D0000}"/>
    <cellStyle name="Normal 2 3 32 3 6" xfId="28155" xr:uid="{00000000-0005-0000-0000-0000FB6D0000}"/>
    <cellStyle name="Normal 2 3 32 3 7" xfId="28156" xr:uid="{00000000-0005-0000-0000-0000FC6D0000}"/>
    <cellStyle name="Normal 2 3 32 3 8" xfId="28157" xr:uid="{00000000-0005-0000-0000-0000FD6D0000}"/>
    <cellStyle name="Normal 2 3 32 3 9" xfId="28158" xr:uid="{00000000-0005-0000-0000-0000FE6D0000}"/>
    <cellStyle name="Normal 2 3 32 4" xfId="28159" xr:uid="{00000000-0005-0000-0000-0000FF6D0000}"/>
    <cellStyle name="Normal 2 3 32 4 10" xfId="28160" xr:uid="{00000000-0005-0000-0000-0000006E0000}"/>
    <cellStyle name="Normal 2 3 32 4 2" xfId="28161" xr:uid="{00000000-0005-0000-0000-0000016E0000}"/>
    <cellStyle name="Normal 2 3 32 4 3" xfId="28162" xr:uid="{00000000-0005-0000-0000-0000026E0000}"/>
    <cellStyle name="Normal 2 3 32 4 4" xfId="28163" xr:uid="{00000000-0005-0000-0000-0000036E0000}"/>
    <cellStyle name="Normal 2 3 32 4 5" xfId="28164" xr:uid="{00000000-0005-0000-0000-0000046E0000}"/>
    <cellStyle name="Normal 2 3 32 4 6" xfId="28165" xr:uid="{00000000-0005-0000-0000-0000056E0000}"/>
    <cellStyle name="Normal 2 3 32 4 7" xfId="28166" xr:uid="{00000000-0005-0000-0000-0000066E0000}"/>
    <cellStyle name="Normal 2 3 32 4 8" xfId="28167" xr:uid="{00000000-0005-0000-0000-0000076E0000}"/>
    <cellStyle name="Normal 2 3 32 4 9" xfId="28168" xr:uid="{00000000-0005-0000-0000-0000086E0000}"/>
    <cellStyle name="Normal 2 3 32 5" xfId="28169" xr:uid="{00000000-0005-0000-0000-0000096E0000}"/>
    <cellStyle name="Normal 2 3 32 5 10" xfId="28170" xr:uid="{00000000-0005-0000-0000-00000A6E0000}"/>
    <cellStyle name="Normal 2 3 32 5 2" xfId="28171" xr:uid="{00000000-0005-0000-0000-00000B6E0000}"/>
    <cellStyle name="Normal 2 3 32 5 3" xfId="28172" xr:uid="{00000000-0005-0000-0000-00000C6E0000}"/>
    <cellStyle name="Normal 2 3 32 5 4" xfId="28173" xr:uid="{00000000-0005-0000-0000-00000D6E0000}"/>
    <cellStyle name="Normal 2 3 32 5 5" xfId="28174" xr:uid="{00000000-0005-0000-0000-00000E6E0000}"/>
    <cellStyle name="Normal 2 3 32 5 6" xfId="28175" xr:uid="{00000000-0005-0000-0000-00000F6E0000}"/>
    <cellStyle name="Normal 2 3 32 5 7" xfId="28176" xr:uid="{00000000-0005-0000-0000-0000106E0000}"/>
    <cellStyle name="Normal 2 3 32 5 8" xfId="28177" xr:uid="{00000000-0005-0000-0000-0000116E0000}"/>
    <cellStyle name="Normal 2 3 32 5 9" xfId="28178" xr:uid="{00000000-0005-0000-0000-0000126E0000}"/>
    <cellStyle name="Normal 2 3 32 6" xfId="28179" xr:uid="{00000000-0005-0000-0000-0000136E0000}"/>
    <cellStyle name="Normal 2 3 32 7" xfId="28180" xr:uid="{00000000-0005-0000-0000-0000146E0000}"/>
    <cellStyle name="Normal 2 3 32 8" xfId="28181" xr:uid="{00000000-0005-0000-0000-0000156E0000}"/>
    <cellStyle name="Normal 2 3 32 9" xfId="28182" xr:uid="{00000000-0005-0000-0000-0000166E0000}"/>
    <cellStyle name="Normal 2 3 33" xfId="28183" xr:uid="{00000000-0005-0000-0000-0000176E0000}"/>
    <cellStyle name="Normal 2 3 33 10" xfId="28184" xr:uid="{00000000-0005-0000-0000-0000186E0000}"/>
    <cellStyle name="Normal 2 3 33 11" xfId="28185" xr:uid="{00000000-0005-0000-0000-0000196E0000}"/>
    <cellStyle name="Normal 2 3 33 12" xfId="28186" xr:uid="{00000000-0005-0000-0000-00001A6E0000}"/>
    <cellStyle name="Normal 2 3 33 13" xfId="28187" xr:uid="{00000000-0005-0000-0000-00001B6E0000}"/>
    <cellStyle name="Normal 2 3 33 14" xfId="28188" xr:uid="{00000000-0005-0000-0000-00001C6E0000}"/>
    <cellStyle name="Normal 2 3 33 2" xfId="28189" xr:uid="{00000000-0005-0000-0000-00001D6E0000}"/>
    <cellStyle name="Normal 2 3 33 2 10" xfId="28190" xr:uid="{00000000-0005-0000-0000-00001E6E0000}"/>
    <cellStyle name="Normal 2 3 33 2 2" xfId="28191" xr:uid="{00000000-0005-0000-0000-00001F6E0000}"/>
    <cellStyle name="Normal 2 3 33 2 3" xfId="28192" xr:uid="{00000000-0005-0000-0000-0000206E0000}"/>
    <cellStyle name="Normal 2 3 33 2 4" xfId="28193" xr:uid="{00000000-0005-0000-0000-0000216E0000}"/>
    <cellStyle name="Normal 2 3 33 2 5" xfId="28194" xr:uid="{00000000-0005-0000-0000-0000226E0000}"/>
    <cellStyle name="Normal 2 3 33 2 6" xfId="28195" xr:uid="{00000000-0005-0000-0000-0000236E0000}"/>
    <cellStyle name="Normal 2 3 33 2 7" xfId="28196" xr:uid="{00000000-0005-0000-0000-0000246E0000}"/>
    <cellStyle name="Normal 2 3 33 2 8" xfId="28197" xr:uid="{00000000-0005-0000-0000-0000256E0000}"/>
    <cellStyle name="Normal 2 3 33 2 9" xfId="28198" xr:uid="{00000000-0005-0000-0000-0000266E0000}"/>
    <cellStyle name="Normal 2 3 33 3" xfId="28199" xr:uid="{00000000-0005-0000-0000-0000276E0000}"/>
    <cellStyle name="Normal 2 3 33 3 10" xfId="28200" xr:uid="{00000000-0005-0000-0000-0000286E0000}"/>
    <cellStyle name="Normal 2 3 33 3 2" xfId="28201" xr:uid="{00000000-0005-0000-0000-0000296E0000}"/>
    <cellStyle name="Normal 2 3 33 3 3" xfId="28202" xr:uid="{00000000-0005-0000-0000-00002A6E0000}"/>
    <cellStyle name="Normal 2 3 33 3 4" xfId="28203" xr:uid="{00000000-0005-0000-0000-00002B6E0000}"/>
    <cellStyle name="Normal 2 3 33 3 5" xfId="28204" xr:uid="{00000000-0005-0000-0000-00002C6E0000}"/>
    <cellStyle name="Normal 2 3 33 3 6" xfId="28205" xr:uid="{00000000-0005-0000-0000-00002D6E0000}"/>
    <cellStyle name="Normal 2 3 33 3 7" xfId="28206" xr:uid="{00000000-0005-0000-0000-00002E6E0000}"/>
    <cellStyle name="Normal 2 3 33 3 8" xfId="28207" xr:uid="{00000000-0005-0000-0000-00002F6E0000}"/>
    <cellStyle name="Normal 2 3 33 3 9" xfId="28208" xr:uid="{00000000-0005-0000-0000-0000306E0000}"/>
    <cellStyle name="Normal 2 3 33 4" xfId="28209" xr:uid="{00000000-0005-0000-0000-0000316E0000}"/>
    <cellStyle name="Normal 2 3 33 4 10" xfId="28210" xr:uid="{00000000-0005-0000-0000-0000326E0000}"/>
    <cellStyle name="Normal 2 3 33 4 2" xfId="28211" xr:uid="{00000000-0005-0000-0000-0000336E0000}"/>
    <cellStyle name="Normal 2 3 33 4 3" xfId="28212" xr:uid="{00000000-0005-0000-0000-0000346E0000}"/>
    <cellStyle name="Normal 2 3 33 4 4" xfId="28213" xr:uid="{00000000-0005-0000-0000-0000356E0000}"/>
    <cellStyle name="Normal 2 3 33 4 5" xfId="28214" xr:uid="{00000000-0005-0000-0000-0000366E0000}"/>
    <cellStyle name="Normal 2 3 33 4 6" xfId="28215" xr:uid="{00000000-0005-0000-0000-0000376E0000}"/>
    <cellStyle name="Normal 2 3 33 4 7" xfId="28216" xr:uid="{00000000-0005-0000-0000-0000386E0000}"/>
    <cellStyle name="Normal 2 3 33 4 8" xfId="28217" xr:uid="{00000000-0005-0000-0000-0000396E0000}"/>
    <cellStyle name="Normal 2 3 33 4 9" xfId="28218" xr:uid="{00000000-0005-0000-0000-00003A6E0000}"/>
    <cellStyle name="Normal 2 3 33 5" xfId="28219" xr:uid="{00000000-0005-0000-0000-00003B6E0000}"/>
    <cellStyle name="Normal 2 3 33 5 10" xfId="28220" xr:uid="{00000000-0005-0000-0000-00003C6E0000}"/>
    <cellStyle name="Normal 2 3 33 5 2" xfId="28221" xr:uid="{00000000-0005-0000-0000-00003D6E0000}"/>
    <cellStyle name="Normal 2 3 33 5 3" xfId="28222" xr:uid="{00000000-0005-0000-0000-00003E6E0000}"/>
    <cellStyle name="Normal 2 3 33 5 4" xfId="28223" xr:uid="{00000000-0005-0000-0000-00003F6E0000}"/>
    <cellStyle name="Normal 2 3 33 5 5" xfId="28224" xr:uid="{00000000-0005-0000-0000-0000406E0000}"/>
    <cellStyle name="Normal 2 3 33 5 6" xfId="28225" xr:uid="{00000000-0005-0000-0000-0000416E0000}"/>
    <cellStyle name="Normal 2 3 33 5 7" xfId="28226" xr:uid="{00000000-0005-0000-0000-0000426E0000}"/>
    <cellStyle name="Normal 2 3 33 5 8" xfId="28227" xr:uid="{00000000-0005-0000-0000-0000436E0000}"/>
    <cellStyle name="Normal 2 3 33 5 9" xfId="28228" xr:uid="{00000000-0005-0000-0000-0000446E0000}"/>
    <cellStyle name="Normal 2 3 33 6" xfId="28229" xr:uid="{00000000-0005-0000-0000-0000456E0000}"/>
    <cellStyle name="Normal 2 3 33 7" xfId="28230" xr:uid="{00000000-0005-0000-0000-0000466E0000}"/>
    <cellStyle name="Normal 2 3 33 8" xfId="28231" xr:uid="{00000000-0005-0000-0000-0000476E0000}"/>
    <cellStyle name="Normal 2 3 33 9" xfId="28232" xr:uid="{00000000-0005-0000-0000-0000486E0000}"/>
    <cellStyle name="Normal 2 3 34" xfId="28233" xr:uid="{00000000-0005-0000-0000-0000496E0000}"/>
    <cellStyle name="Normal 2 3 34 10" xfId="28234" xr:uid="{00000000-0005-0000-0000-00004A6E0000}"/>
    <cellStyle name="Normal 2 3 34 11" xfId="28235" xr:uid="{00000000-0005-0000-0000-00004B6E0000}"/>
    <cellStyle name="Normal 2 3 34 12" xfId="28236" xr:uid="{00000000-0005-0000-0000-00004C6E0000}"/>
    <cellStyle name="Normal 2 3 34 13" xfId="28237" xr:uid="{00000000-0005-0000-0000-00004D6E0000}"/>
    <cellStyle name="Normal 2 3 34 14" xfId="28238" xr:uid="{00000000-0005-0000-0000-00004E6E0000}"/>
    <cellStyle name="Normal 2 3 34 2" xfId="28239" xr:uid="{00000000-0005-0000-0000-00004F6E0000}"/>
    <cellStyle name="Normal 2 3 34 2 10" xfId="28240" xr:uid="{00000000-0005-0000-0000-0000506E0000}"/>
    <cellStyle name="Normal 2 3 34 2 2" xfId="28241" xr:uid="{00000000-0005-0000-0000-0000516E0000}"/>
    <cellStyle name="Normal 2 3 34 2 3" xfId="28242" xr:uid="{00000000-0005-0000-0000-0000526E0000}"/>
    <cellStyle name="Normal 2 3 34 2 4" xfId="28243" xr:uid="{00000000-0005-0000-0000-0000536E0000}"/>
    <cellStyle name="Normal 2 3 34 2 5" xfId="28244" xr:uid="{00000000-0005-0000-0000-0000546E0000}"/>
    <cellStyle name="Normal 2 3 34 2 6" xfId="28245" xr:uid="{00000000-0005-0000-0000-0000556E0000}"/>
    <cellStyle name="Normal 2 3 34 2 7" xfId="28246" xr:uid="{00000000-0005-0000-0000-0000566E0000}"/>
    <cellStyle name="Normal 2 3 34 2 8" xfId="28247" xr:uid="{00000000-0005-0000-0000-0000576E0000}"/>
    <cellStyle name="Normal 2 3 34 2 9" xfId="28248" xr:uid="{00000000-0005-0000-0000-0000586E0000}"/>
    <cellStyle name="Normal 2 3 34 3" xfId="28249" xr:uid="{00000000-0005-0000-0000-0000596E0000}"/>
    <cellStyle name="Normal 2 3 34 3 10" xfId="28250" xr:uid="{00000000-0005-0000-0000-00005A6E0000}"/>
    <cellStyle name="Normal 2 3 34 3 2" xfId="28251" xr:uid="{00000000-0005-0000-0000-00005B6E0000}"/>
    <cellStyle name="Normal 2 3 34 3 3" xfId="28252" xr:uid="{00000000-0005-0000-0000-00005C6E0000}"/>
    <cellStyle name="Normal 2 3 34 3 4" xfId="28253" xr:uid="{00000000-0005-0000-0000-00005D6E0000}"/>
    <cellStyle name="Normal 2 3 34 3 5" xfId="28254" xr:uid="{00000000-0005-0000-0000-00005E6E0000}"/>
    <cellStyle name="Normal 2 3 34 3 6" xfId="28255" xr:uid="{00000000-0005-0000-0000-00005F6E0000}"/>
    <cellStyle name="Normal 2 3 34 3 7" xfId="28256" xr:uid="{00000000-0005-0000-0000-0000606E0000}"/>
    <cellStyle name="Normal 2 3 34 3 8" xfId="28257" xr:uid="{00000000-0005-0000-0000-0000616E0000}"/>
    <cellStyle name="Normal 2 3 34 3 9" xfId="28258" xr:uid="{00000000-0005-0000-0000-0000626E0000}"/>
    <cellStyle name="Normal 2 3 34 4" xfId="28259" xr:uid="{00000000-0005-0000-0000-0000636E0000}"/>
    <cellStyle name="Normal 2 3 34 4 10" xfId="28260" xr:uid="{00000000-0005-0000-0000-0000646E0000}"/>
    <cellStyle name="Normal 2 3 34 4 2" xfId="28261" xr:uid="{00000000-0005-0000-0000-0000656E0000}"/>
    <cellStyle name="Normal 2 3 34 4 3" xfId="28262" xr:uid="{00000000-0005-0000-0000-0000666E0000}"/>
    <cellStyle name="Normal 2 3 34 4 4" xfId="28263" xr:uid="{00000000-0005-0000-0000-0000676E0000}"/>
    <cellStyle name="Normal 2 3 34 4 5" xfId="28264" xr:uid="{00000000-0005-0000-0000-0000686E0000}"/>
    <cellStyle name="Normal 2 3 34 4 6" xfId="28265" xr:uid="{00000000-0005-0000-0000-0000696E0000}"/>
    <cellStyle name="Normal 2 3 34 4 7" xfId="28266" xr:uid="{00000000-0005-0000-0000-00006A6E0000}"/>
    <cellStyle name="Normal 2 3 34 4 8" xfId="28267" xr:uid="{00000000-0005-0000-0000-00006B6E0000}"/>
    <cellStyle name="Normal 2 3 34 4 9" xfId="28268" xr:uid="{00000000-0005-0000-0000-00006C6E0000}"/>
    <cellStyle name="Normal 2 3 34 5" xfId="28269" xr:uid="{00000000-0005-0000-0000-00006D6E0000}"/>
    <cellStyle name="Normal 2 3 34 5 10" xfId="28270" xr:uid="{00000000-0005-0000-0000-00006E6E0000}"/>
    <cellStyle name="Normal 2 3 34 5 2" xfId="28271" xr:uid="{00000000-0005-0000-0000-00006F6E0000}"/>
    <cellStyle name="Normal 2 3 34 5 3" xfId="28272" xr:uid="{00000000-0005-0000-0000-0000706E0000}"/>
    <cellStyle name="Normal 2 3 34 5 4" xfId="28273" xr:uid="{00000000-0005-0000-0000-0000716E0000}"/>
    <cellStyle name="Normal 2 3 34 5 5" xfId="28274" xr:uid="{00000000-0005-0000-0000-0000726E0000}"/>
    <cellStyle name="Normal 2 3 34 5 6" xfId="28275" xr:uid="{00000000-0005-0000-0000-0000736E0000}"/>
    <cellStyle name="Normal 2 3 34 5 7" xfId="28276" xr:uid="{00000000-0005-0000-0000-0000746E0000}"/>
    <cellStyle name="Normal 2 3 34 5 8" xfId="28277" xr:uid="{00000000-0005-0000-0000-0000756E0000}"/>
    <cellStyle name="Normal 2 3 34 5 9" xfId="28278" xr:uid="{00000000-0005-0000-0000-0000766E0000}"/>
    <cellStyle name="Normal 2 3 34 6" xfId="28279" xr:uid="{00000000-0005-0000-0000-0000776E0000}"/>
    <cellStyle name="Normal 2 3 34 7" xfId="28280" xr:uid="{00000000-0005-0000-0000-0000786E0000}"/>
    <cellStyle name="Normal 2 3 34 8" xfId="28281" xr:uid="{00000000-0005-0000-0000-0000796E0000}"/>
    <cellStyle name="Normal 2 3 34 9" xfId="28282" xr:uid="{00000000-0005-0000-0000-00007A6E0000}"/>
    <cellStyle name="Normal 2 3 35" xfId="28283" xr:uid="{00000000-0005-0000-0000-00007B6E0000}"/>
    <cellStyle name="Normal 2 3 35 10" xfId="28284" xr:uid="{00000000-0005-0000-0000-00007C6E0000}"/>
    <cellStyle name="Normal 2 3 35 2" xfId="28285" xr:uid="{00000000-0005-0000-0000-00007D6E0000}"/>
    <cellStyle name="Normal 2 3 35 3" xfId="28286" xr:uid="{00000000-0005-0000-0000-00007E6E0000}"/>
    <cellStyle name="Normal 2 3 35 4" xfId="28287" xr:uid="{00000000-0005-0000-0000-00007F6E0000}"/>
    <cellStyle name="Normal 2 3 35 5" xfId="28288" xr:uid="{00000000-0005-0000-0000-0000806E0000}"/>
    <cellStyle name="Normal 2 3 35 6" xfId="28289" xr:uid="{00000000-0005-0000-0000-0000816E0000}"/>
    <cellStyle name="Normal 2 3 35 7" xfId="28290" xr:uid="{00000000-0005-0000-0000-0000826E0000}"/>
    <cellStyle name="Normal 2 3 35 8" xfId="28291" xr:uid="{00000000-0005-0000-0000-0000836E0000}"/>
    <cellStyle name="Normal 2 3 35 9" xfId="28292" xr:uid="{00000000-0005-0000-0000-0000846E0000}"/>
    <cellStyle name="Normal 2 3 36" xfId="28293" xr:uid="{00000000-0005-0000-0000-0000856E0000}"/>
    <cellStyle name="Normal 2 3 36 10" xfId="28294" xr:uid="{00000000-0005-0000-0000-0000866E0000}"/>
    <cellStyle name="Normal 2 3 36 2" xfId="28295" xr:uid="{00000000-0005-0000-0000-0000876E0000}"/>
    <cellStyle name="Normal 2 3 36 3" xfId="28296" xr:uid="{00000000-0005-0000-0000-0000886E0000}"/>
    <cellStyle name="Normal 2 3 36 4" xfId="28297" xr:uid="{00000000-0005-0000-0000-0000896E0000}"/>
    <cellStyle name="Normal 2 3 36 5" xfId="28298" xr:uid="{00000000-0005-0000-0000-00008A6E0000}"/>
    <cellStyle name="Normal 2 3 36 6" xfId="28299" xr:uid="{00000000-0005-0000-0000-00008B6E0000}"/>
    <cellStyle name="Normal 2 3 36 7" xfId="28300" xr:uid="{00000000-0005-0000-0000-00008C6E0000}"/>
    <cellStyle name="Normal 2 3 36 8" xfId="28301" xr:uid="{00000000-0005-0000-0000-00008D6E0000}"/>
    <cellStyle name="Normal 2 3 36 9" xfId="28302" xr:uid="{00000000-0005-0000-0000-00008E6E0000}"/>
    <cellStyle name="Normal 2 3 37" xfId="28303" xr:uid="{00000000-0005-0000-0000-00008F6E0000}"/>
    <cellStyle name="Normal 2 3 37 10" xfId="28304" xr:uid="{00000000-0005-0000-0000-0000906E0000}"/>
    <cellStyle name="Normal 2 3 37 2" xfId="28305" xr:uid="{00000000-0005-0000-0000-0000916E0000}"/>
    <cellStyle name="Normal 2 3 37 3" xfId="28306" xr:uid="{00000000-0005-0000-0000-0000926E0000}"/>
    <cellStyle name="Normal 2 3 37 4" xfId="28307" xr:uid="{00000000-0005-0000-0000-0000936E0000}"/>
    <cellStyle name="Normal 2 3 37 5" xfId="28308" xr:uid="{00000000-0005-0000-0000-0000946E0000}"/>
    <cellStyle name="Normal 2 3 37 6" xfId="28309" xr:uid="{00000000-0005-0000-0000-0000956E0000}"/>
    <cellStyle name="Normal 2 3 37 7" xfId="28310" xr:uid="{00000000-0005-0000-0000-0000966E0000}"/>
    <cellStyle name="Normal 2 3 37 8" xfId="28311" xr:uid="{00000000-0005-0000-0000-0000976E0000}"/>
    <cellStyle name="Normal 2 3 37 9" xfId="28312" xr:uid="{00000000-0005-0000-0000-0000986E0000}"/>
    <cellStyle name="Normal 2 3 38" xfId="28313" xr:uid="{00000000-0005-0000-0000-0000996E0000}"/>
    <cellStyle name="Normal 2 3 38 10" xfId="28314" xr:uid="{00000000-0005-0000-0000-00009A6E0000}"/>
    <cellStyle name="Normal 2 3 38 2" xfId="28315" xr:uid="{00000000-0005-0000-0000-00009B6E0000}"/>
    <cellStyle name="Normal 2 3 38 3" xfId="28316" xr:uid="{00000000-0005-0000-0000-00009C6E0000}"/>
    <cellStyle name="Normal 2 3 38 4" xfId="28317" xr:uid="{00000000-0005-0000-0000-00009D6E0000}"/>
    <cellStyle name="Normal 2 3 38 5" xfId="28318" xr:uid="{00000000-0005-0000-0000-00009E6E0000}"/>
    <cellStyle name="Normal 2 3 38 6" xfId="28319" xr:uid="{00000000-0005-0000-0000-00009F6E0000}"/>
    <cellStyle name="Normal 2 3 38 7" xfId="28320" xr:uid="{00000000-0005-0000-0000-0000A06E0000}"/>
    <cellStyle name="Normal 2 3 38 8" xfId="28321" xr:uid="{00000000-0005-0000-0000-0000A16E0000}"/>
    <cellStyle name="Normal 2 3 38 9" xfId="28322" xr:uid="{00000000-0005-0000-0000-0000A26E0000}"/>
    <cellStyle name="Normal 2 3 39" xfId="28323" xr:uid="{00000000-0005-0000-0000-0000A36E0000}"/>
    <cellStyle name="Normal 2 3 4" xfId="28324" xr:uid="{00000000-0005-0000-0000-0000A46E0000}"/>
    <cellStyle name="Normal 2 3 4 10" xfId="28325" xr:uid="{00000000-0005-0000-0000-0000A56E0000}"/>
    <cellStyle name="Normal 2 3 4 11" xfId="28326" xr:uid="{00000000-0005-0000-0000-0000A66E0000}"/>
    <cellStyle name="Normal 2 3 4 12" xfId="28327" xr:uid="{00000000-0005-0000-0000-0000A76E0000}"/>
    <cellStyle name="Normal 2 3 4 13" xfId="28328" xr:uid="{00000000-0005-0000-0000-0000A86E0000}"/>
    <cellStyle name="Normal 2 3 4 14" xfId="28329" xr:uid="{00000000-0005-0000-0000-0000A96E0000}"/>
    <cellStyle name="Normal 2 3 4 15" xfId="28330" xr:uid="{00000000-0005-0000-0000-0000AA6E0000}"/>
    <cellStyle name="Normal 2 3 4 16" xfId="28331" xr:uid="{00000000-0005-0000-0000-0000AB6E0000}"/>
    <cellStyle name="Normal 2 3 4 2" xfId="28332" xr:uid="{00000000-0005-0000-0000-0000AC6E0000}"/>
    <cellStyle name="Normal 2 3 4 2 10" xfId="28333" xr:uid="{00000000-0005-0000-0000-0000AD6E0000}"/>
    <cellStyle name="Normal 2 3 4 2 2" xfId="28334" xr:uid="{00000000-0005-0000-0000-0000AE6E0000}"/>
    <cellStyle name="Normal 2 3 4 2 3" xfId="28335" xr:uid="{00000000-0005-0000-0000-0000AF6E0000}"/>
    <cellStyle name="Normal 2 3 4 2 4" xfId="28336" xr:uid="{00000000-0005-0000-0000-0000B06E0000}"/>
    <cellStyle name="Normal 2 3 4 2 5" xfId="28337" xr:uid="{00000000-0005-0000-0000-0000B16E0000}"/>
    <cellStyle name="Normal 2 3 4 2 6" xfId="28338" xr:uid="{00000000-0005-0000-0000-0000B26E0000}"/>
    <cellStyle name="Normal 2 3 4 2 7" xfId="28339" xr:uid="{00000000-0005-0000-0000-0000B36E0000}"/>
    <cellStyle name="Normal 2 3 4 2 8" xfId="28340" xr:uid="{00000000-0005-0000-0000-0000B46E0000}"/>
    <cellStyle name="Normal 2 3 4 2 9" xfId="28341" xr:uid="{00000000-0005-0000-0000-0000B56E0000}"/>
    <cellStyle name="Normal 2 3 4 3" xfId="28342" xr:uid="{00000000-0005-0000-0000-0000B66E0000}"/>
    <cellStyle name="Normal 2 3 4 3 10" xfId="28343" xr:uid="{00000000-0005-0000-0000-0000B76E0000}"/>
    <cellStyle name="Normal 2 3 4 3 2" xfId="28344" xr:uid="{00000000-0005-0000-0000-0000B86E0000}"/>
    <cellStyle name="Normal 2 3 4 3 3" xfId="28345" xr:uid="{00000000-0005-0000-0000-0000B96E0000}"/>
    <cellStyle name="Normal 2 3 4 3 4" xfId="28346" xr:uid="{00000000-0005-0000-0000-0000BA6E0000}"/>
    <cellStyle name="Normal 2 3 4 3 5" xfId="28347" xr:uid="{00000000-0005-0000-0000-0000BB6E0000}"/>
    <cellStyle name="Normal 2 3 4 3 6" xfId="28348" xr:uid="{00000000-0005-0000-0000-0000BC6E0000}"/>
    <cellStyle name="Normal 2 3 4 3 7" xfId="28349" xr:uid="{00000000-0005-0000-0000-0000BD6E0000}"/>
    <cellStyle name="Normal 2 3 4 3 8" xfId="28350" xr:uid="{00000000-0005-0000-0000-0000BE6E0000}"/>
    <cellStyle name="Normal 2 3 4 3 9" xfId="28351" xr:uid="{00000000-0005-0000-0000-0000BF6E0000}"/>
    <cellStyle name="Normal 2 3 4 4" xfId="28352" xr:uid="{00000000-0005-0000-0000-0000C06E0000}"/>
    <cellStyle name="Normal 2 3 4 4 10" xfId="28353" xr:uid="{00000000-0005-0000-0000-0000C16E0000}"/>
    <cellStyle name="Normal 2 3 4 4 2" xfId="28354" xr:uid="{00000000-0005-0000-0000-0000C26E0000}"/>
    <cellStyle name="Normal 2 3 4 4 3" xfId="28355" xr:uid="{00000000-0005-0000-0000-0000C36E0000}"/>
    <cellStyle name="Normal 2 3 4 4 4" xfId="28356" xr:uid="{00000000-0005-0000-0000-0000C46E0000}"/>
    <cellStyle name="Normal 2 3 4 4 5" xfId="28357" xr:uid="{00000000-0005-0000-0000-0000C56E0000}"/>
    <cellStyle name="Normal 2 3 4 4 6" xfId="28358" xr:uid="{00000000-0005-0000-0000-0000C66E0000}"/>
    <cellStyle name="Normal 2 3 4 4 7" xfId="28359" xr:uid="{00000000-0005-0000-0000-0000C76E0000}"/>
    <cellStyle name="Normal 2 3 4 4 8" xfId="28360" xr:uid="{00000000-0005-0000-0000-0000C86E0000}"/>
    <cellStyle name="Normal 2 3 4 4 9" xfId="28361" xr:uid="{00000000-0005-0000-0000-0000C96E0000}"/>
    <cellStyle name="Normal 2 3 4 5" xfId="28362" xr:uid="{00000000-0005-0000-0000-0000CA6E0000}"/>
    <cellStyle name="Normal 2 3 4 5 10" xfId="28363" xr:uid="{00000000-0005-0000-0000-0000CB6E0000}"/>
    <cellStyle name="Normal 2 3 4 5 2" xfId="28364" xr:uid="{00000000-0005-0000-0000-0000CC6E0000}"/>
    <cellStyle name="Normal 2 3 4 5 3" xfId="28365" xr:uid="{00000000-0005-0000-0000-0000CD6E0000}"/>
    <cellStyle name="Normal 2 3 4 5 4" xfId="28366" xr:uid="{00000000-0005-0000-0000-0000CE6E0000}"/>
    <cellStyle name="Normal 2 3 4 5 5" xfId="28367" xr:uid="{00000000-0005-0000-0000-0000CF6E0000}"/>
    <cellStyle name="Normal 2 3 4 5 6" xfId="28368" xr:uid="{00000000-0005-0000-0000-0000D06E0000}"/>
    <cellStyle name="Normal 2 3 4 5 7" xfId="28369" xr:uid="{00000000-0005-0000-0000-0000D16E0000}"/>
    <cellStyle name="Normal 2 3 4 5 8" xfId="28370" xr:uid="{00000000-0005-0000-0000-0000D26E0000}"/>
    <cellStyle name="Normal 2 3 4 5 9" xfId="28371" xr:uid="{00000000-0005-0000-0000-0000D36E0000}"/>
    <cellStyle name="Normal 2 3 4 6" xfId="28372" xr:uid="{00000000-0005-0000-0000-0000D46E0000}"/>
    <cellStyle name="Normal 2 3 4 7" xfId="28373" xr:uid="{00000000-0005-0000-0000-0000D56E0000}"/>
    <cellStyle name="Normal 2 3 4 8" xfId="28374" xr:uid="{00000000-0005-0000-0000-0000D66E0000}"/>
    <cellStyle name="Normal 2 3 4 9" xfId="28375" xr:uid="{00000000-0005-0000-0000-0000D76E0000}"/>
    <cellStyle name="Normal 2 3 40" xfId="28376" xr:uid="{00000000-0005-0000-0000-0000D86E0000}"/>
    <cellStyle name="Normal 2 3 41" xfId="28377" xr:uid="{00000000-0005-0000-0000-0000D96E0000}"/>
    <cellStyle name="Normal 2 3 42" xfId="28378" xr:uid="{00000000-0005-0000-0000-0000DA6E0000}"/>
    <cellStyle name="Normal 2 3 43" xfId="28379" xr:uid="{00000000-0005-0000-0000-0000DB6E0000}"/>
    <cellStyle name="Normal 2 3 44" xfId="28380" xr:uid="{00000000-0005-0000-0000-0000DC6E0000}"/>
    <cellStyle name="Normal 2 3 45" xfId="28381" xr:uid="{00000000-0005-0000-0000-0000DD6E0000}"/>
    <cellStyle name="Normal 2 3 46" xfId="28382" xr:uid="{00000000-0005-0000-0000-0000DE6E0000}"/>
    <cellStyle name="Normal 2 3 47" xfId="28383" xr:uid="{00000000-0005-0000-0000-0000DF6E0000}"/>
    <cellStyle name="Normal 2 3 48" xfId="28384" xr:uid="{00000000-0005-0000-0000-0000E06E0000}"/>
    <cellStyle name="Normal 2 3 49" xfId="28385" xr:uid="{00000000-0005-0000-0000-0000E16E0000}"/>
    <cellStyle name="Normal 2 3 5" xfId="28386" xr:uid="{00000000-0005-0000-0000-0000E26E0000}"/>
    <cellStyle name="Normal 2 3 5 10" xfId="28387" xr:uid="{00000000-0005-0000-0000-0000E36E0000}"/>
    <cellStyle name="Normal 2 3 5 11" xfId="28388" xr:uid="{00000000-0005-0000-0000-0000E46E0000}"/>
    <cellStyle name="Normal 2 3 5 12" xfId="28389" xr:uid="{00000000-0005-0000-0000-0000E56E0000}"/>
    <cellStyle name="Normal 2 3 5 13" xfId="28390" xr:uid="{00000000-0005-0000-0000-0000E66E0000}"/>
    <cellStyle name="Normal 2 3 5 14" xfId="28391" xr:uid="{00000000-0005-0000-0000-0000E76E0000}"/>
    <cellStyle name="Normal 2 3 5 15" xfId="28392" xr:uid="{00000000-0005-0000-0000-0000E86E0000}"/>
    <cellStyle name="Normal 2 3 5 16" xfId="28393" xr:uid="{00000000-0005-0000-0000-0000E96E0000}"/>
    <cellStyle name="Normal 2 3 5 2" xfId="28394" xr:uid="{00000000-0005-0000-0000-0000EA6E0000}"/>
    <cellStyle name="Normal 2 3 5 2 10" xfId="28395" xr:uid="{00000000-0005-0000-0000-0000EB6E0000}"/>
    <cellStyle name="Normal 2 3 5 2 11" xfId="28396" xr:uid="{00000000-0005-0000-0000-0000EC6E0000}"/>
    <cellStyle name="Normal 2 3 5 2 12" xfId="28397" xr:uid="{00000000-0005-0000-0000-0000ED6E0000}"/>
    <cellStyle name="Normal 2 3 5 2 2" xfId="28398" xr:uid="{00000000-0005-0000-0000-0000EE6E0000}"/>
    <cellStyle name="Normal 2 3 5 2 3" xfId="28399" xr:uid="{00000000-0005-0000-0000-0000EF6E0000}"/>
    <cellStyle name="Normal 2 3 5 2 4" xfId="28400" xr:uid="{00000000-0005-0000-0000-0000F06E0000}"/>
    <cellStyle name="Normal 2 3 5 2 5" xfId="28401" xr:uid="{00000000-0005-0000-0000-0000F16E0000}"/>
    <cellStyle name="Normal 2 3 5 2 6" xfId="28402" xr:uid="{00000000-0005-0000-0000-0000F26E0000}"/>
    <cellStyle name="Normal 2 3 5 2 7" xfId="28403" xr:uid="{00000000-0005-0000-0000-0000F36E0000}"/>
    <cellStyle name="Normal 2 3 5 2 8" xfId="28404" xr:uid="{00000000-0005-0000-0000-0000F46E0000}"/>
    <cellStyle name="Normal 2 3 5 2 9" xfId="28405" xr:uid="{00000000-0005-0000-0000-0000F56E0000}"/>
    <cellStyle name="Normal 2 3 5 3" xfId="28406" xr:uid="{00000000-0005-0000-0000-0000F66E0000}"/>
    <cellStyle name="Normal 2 3 5 3 10" xfId="28407" xr:uid="{00000000-0005-0000-0000-0000F76E0000}"/>
    <cellStyle name="Normal 2 3 5 3 2" xfId="28408" xr:uid="{00000000-0005-0000-0000-0000F86E0000}"/>
    <cellStyle name="Normal 2 3 5 3 3" xfId="28409" xr:uid="{00000000-0005-0000-0000-0000F96E0000}"/>
    <cellStyle name="Normal 2 3 5 3 4" xfId="28410" xr:uid="{00000000-0005-0000-0000-0000FA6E0000}"/>
    <cellStyle name="Normal 2 3 5 3 5" xfId="28411" xr:uid="{00000000-0005-0000-0000-0000FB6E0000}"/>
    <cellStyle name="Normal 2 3 5 3 6" xfId="28412" xr:uid="{00000000-0005-0000-0000-0000FC6E0000}"/>
    <cellStyle name="Normal 2 3 5 3 7" xfId="28413" xr:uid="{00000000-0005-0000-0000-0000FD6E0000}"/>
    <cellStyle name="Normal 2 3 5 3 8" xfId="28414" xr:uid="{00000000-0005-0000-0000-0000FE6E0000}"/>
    <cellStyle name="Normal 2 3 5 3 9" xfId="28415" xr:uid="{00000000-0005-0000-0000-0000FF6E0000}"/>
    <cellStyle name="Normal 2 3 5 4" xfId="28416" xr:uid="{00000000-0005-0000-0000-0000006F0000}"/>
    <cellStyle name="Normal 2 3 5 4 10" xfId="28417" xr:uid="{00000000-0005-0000-0000-0000016F0000}"/>
    <cellStyle name="Normal 2 3 5 4 2" xfId="28418" xr:uid="{00000000-0005-0000-0000-0000026F0000}"/>
    <cellStyle name="Normal 2 3 5 4 3" xfId="28419" xr:uid="{00000000-0005-0000-0000-0000036F0000}"/>
    <cellStyle name="Normal 2 3 5 4 4" xfId="28420" xr:uid="{00000000-0005-0000-0000-0000046F0000}"/>
    <cellStyle name="Normal 2 3 5 4 5" xfId="28421" xr:uid="{00000000-0005-0000-0000-0000056F0000}"/>
    <cellStyle name="Normal 2 3 5 4 6" xfId="28422" xr:uid="{00000000-0005-0000-0000-0000066F0000}"/>
    <cellStyle name="Normal 2 3 5 4 7" xfId="28423" xr:uid="{00000000-0005-0000-0000-0000076F0000}"/>
    <cellStyle name="Normal 2 3 5 4 8" xfId="28424" xr:uid="{00000000-0005-0000-0000-0000086F0000}"/>
    <cellStyle name="Normal 2 3 5 4 9" xfId="28425" xr:uid="{00000000-0005-0000-0000-0000096F0000}"/>
    <cellStyle name="Normal 2 3 5 5" xfId="28426" xr:uid="{00000000-0005-0000-0000-00000A6F0000}"/>
    <cellStyle name="Normal 2 3 5 5 10" xfId="28427" xr:uid="{00000000-0005-0000-0000-00000B6F0000}"/>
    <cellStyle name="Normal 2 3 5 5 2" xfId="28428" xr:uid="{00000000-0005-0000-0000-00000C6F0000}"/>
    <cellStyle name="Normal 2 3 5 5 3" xfId="28429" xr:uid="{00000000-0005-0000-0000-00000D6F0000}"/>
    <cellStyle name="Normal 2 3 5 5 4" xfId="28430" xr:uid="{00000000-0005-0000-0000-00000E6F0000}"/>
    <cellStyle name="Normal 2 3 5 5 5" xfId="28431" xr:uid="{00000000-0005-0000-0000-00000F6F0000}"/>
    <cellStyle name="Normal 2 3 5 5 6" xfId="28432" xr:uid="{00000000-0005-0000-0000-0000106F0000}"/>
    <cellStyle name="Normal 2 3 5 5 7" xfId="28433" xr:uid="{00000000-0005-0000-0000-0000116F0000}"/>
    <cellStyle name="Normal 2 3 5 5 8" xfId="28434" xr:uid="{00000000-0005-0000-0000-0000126F0000}"/>
    <cellStyle name="Normal 2 3 5 5 9" xfId="28435" xr:uid="{00000000-0005-0000-0000-0000136F0000}"/>
    <cellStyle name="Normal 2 3 5 6" xfId="28436" xr:uid="{00000000-0005-0000-0000-0000146F0000}"/>
    <cellStyle name="Normal 2 3 5 7" xfId="28437" xr:uid="{00000000-0005-0000-0000-0000156F0000}"/>
    <cellStyle name="Normal 2 3 5 8" xfId="28438" xr:uid="{00000000-0005-0000-0000-0000166F0000}"/>
    <cellStyle name="Normal 2 3 5 9" xfId="28439" xr:uid="{00000000-0005-0000-0000-0000176F0000}"/>
    <cellStyle name="Normal 2 3 6" xfId="28440" xr:uid="{00000000-0005-0000-0000-0000186F0000}"/>
    <cellStyle name="Normal 2 3 6 10" xfId="28441" xr:uid="{00000000-0005-0000-0000-0000196F0000}"/>
    <cellStyle name="Normal 2 3 6 11" xfId="28442" xr:uid="{00000000-0005-0000-0000-00001A6F0000}"/>
    <cellStyle name="Normal 2 3 6 12" xfId="28443" xr:uid="{00000000-0005-0000-0000-00001B6F0000}"/>
    <cellStyle name="Normal 2 3 6 13" xfId="28444" xr:uid="{00000000-0005-0000-0000-00001C6F0000}"/>
    <cellStyle name="Normal 2 3 6 14" xfId="28445" xr:uid="{00000000-0005-0000-0000-00001D6F0000}"/>
    <cellStyle name="Normal 2 3 6 2" xfId="28446" xr:uid="{00000000-0005-0000-0000-00001E6F0000}"/>
    <cellStyle name="Normal 2 3 6 2 10" xfId="28447" xr:uid="{00000000-0005-0000-0000-00001F6F0000}"/>
    <cellStyle name="Normal 2 3 6 2 2" xfId="28448" xr:uid="{00000000-0005-0000-0000-0000206F0000}"/>
    <cellStyle name="Normal 2 3 6 2 3" xfId="28449" xr:uid="{00000000-0005-0000-0000-0000216F0000}"/>
    <cellStyle name="Normal 2 3 6 2 4" xfId="28450" xr:uid="{00000000-0005-0000-0000-0000226F0000}"/>
    <cellStyle name="Normal 2 3 6 2 5" xfId="28451" xr:uid="{00000000-0005-0000-0000-0000236F0000}"/>
    <cellStyle name="Normal 2 3 6 2 6" xfId="28452" xr:uid="{00000000-0005-0000-0000-0000246F0000}"/>
    <cellStyle name="Normal 2 3 6 2 7" xfId="28453" xr:uid="{00000000-0005-0000-0000-0000256F0000}"/>
    <cellStyle name="Normal 2 3 6 2 8" xfId="28454" xr:uid="{00000000-0005-0000-0000-0000266F0000}"/>
    <cellStyle name="Normal 2 3 6 2 9" xfId="28455" xr:uid="{00000000-0005-0000-0000-0000276F0000}"/>
    <cellStyle name="Normal 2 3 6 3" xfId="28456" xr:uid="{00000000-0005-0000-0000-0000286F0000}"/>
    <cellStyle name="Normal 2 3 6 3 10" xfId="28457" xr:uid="{00000000-0005-0000-0000-0000296F0000}"/>
    <cellStyle name="Normal 2 3 6 3 2" xfId="28458" xr:uid="{00000000-0005-0000-0000-00002A6F0000}"/>
    <cellStyle name="Normal 2 3 6 3 3" xfId="28459" xr:uid="{00000000-0005-0000-0000-00002B6F0000}"/>
    <cellStyle name="Normal 2 3 6 3 4" xfId="28460" xr:uid="{00000000-0005-0000-0000-00002C6F0000}"/>
    <cellStyle name="Normal 2 3 6 3 5" xfId="28461" xr:uid="{00000000-0005-0000-0000-00002D6F0000}"/>
    <cellStyle name="Normal 2 3 6 3 6" xfId="28462" xr:uid="{00000000-0005-0000-0000-00002E6F0000}"/>
    <cellStyle name="Normal 2 3 6 3 7" xfId="28463" xr:uid="{00000000-0005-0000-0000-00002F6F0000}"/>
    <cellStyle name="Normal 2 3 6 3 8" xfId="28464" xr:uid="{00000000-0005-0000-0000-0000306F0000}"/>
    <cellStyle name="Normal 2 3 6 3 9" xfId="28465" xr:uid="{00000000-0005-0000-0000-0000316F0000}"/>
    <cellStyle name="Normal 2 3 6 4" xfId="28466" xr:uid="{00000000-0005-0000-0000-0000326F0000}"/>
    <cellStyle name="Normal 2 3 6 4 10" xfId="28467" xr:uid="{00000000-0005-0000-0000-0000336F0000}"/>
    <cellStyle name="Normal 2 3 6 4 2" xfId="28468" xr:uid="{00000000-0005-0000-0000-0000346F0000}"/>
    <cellStyle name="Normal 2 3 6 4 3" xfId="28469" xr:uid="{00000000-0005-0000-0000-0000356F0000}"/>
    <cellStyle name="Normal 2 3 6 4 4" xfId="28470" xr:uid="{00000000-0005-0000-0000-0000366F0000}"/>
    <cellStyle name="Normal 2 3 6 4 5" xfId="28471" xr:uid="{00000000-0005-0000-0000-0000376F0000}"/>
    <cellStyle name="Normal 2 3 6 4 6" xfId="28472" xr:uid="{00000000-0005-0000-0000-0000386F0000}"/>
    <cellStyle name="Normal 2 3 6 4 7" xfId="28473" xr:uid="{00000000-0005-0000-0000-0000396F0000}"/>
    <cellStyle name="Normal 2 3 6 4 8" xfId="28474" xr:uid="{00000000-0005-0000-0000-00003A6F0000}"/>
    <cellStyle name="Normal 2 3 6 4 9" xfId="28475" xr:uid="{00000000-0005-0000-0000-00003B6F0000}"/>
    <cellStyle name="Normal 2 3 6 5" xfId="28476" xr:uid="{00000000-0005-0000-0000-00003C6F0000}"/>
    <cellStyle name="Normal 2 3 6 5 10" xfId="28477" xr:uid="{00000000-0005-0000-0000-00003D6F0000}"/>
    <cellStyle name="Normal 2 3 6 5 2" xfId="28478" xr:uid="{00000000-0005-0000-0000-00003E6F0000}"/>
    <cellStyle name="Normal 2 3 6 5 3" xfId="28479" xr:uid="{00000000-0005-0000-0000-00003F6F0000}"/>
    <cellStyle name="Normal 2 3 6 5 4" xfId="28480" xr:uid="{00000000-0005-0000-0000-0000406F0000}"/>
    <cellStyle name="Normal 2 3 6 5 5" xfId="28481" xr:uid="{00000000-0005-0000-0000-0000416F0000}"/>
    <cellStyle name="Normal 2 3 6 5 6" xfId="28482" xr:uid="{00000000-0005-0000-0000-0000426F0000}"/>
    <cellStyle name="Normal 2 3 6 5 7" xfId="28483" xr:uid="{00000000-0005-0000-0000-0000436F0000}"/>
    <cellStyle name="Normal 2 3 6 5 8" xfId="28484" xr:uid="{00000000-0005-0000-0000-0000446F0000}"/>
    <cellStyle name="Normal 2 3 6 5 9" xfId="28485" xr:uid="{00000000-0005-0000-0000-0000456F0000}"/>
    <cellStyle name="Normal 2 3 6 6" xfId="28486" xr:uid="{00000000-0005-0000-0000-0000466F0000}"/>
    <cellStyle name="Normal 2 3 6 7" xfId="28487" xr:uid="{00000000-0005-0000-0000-0000476F0000}"/>
    <cellStyle name="Normal 2 3 6 8" xfId="28488" xr:uid="{00000000-0005-0000-0000-0000486F0000}"/>
    <cellStyle name="Normal 2 3 6 9" xfId="28489" xr:uid="{00000000-0005-0000-0000-0000496F0000}"/>
    <cellStyle name="Normal 2 3 7" xfId="28490" xr:uid="{00000000-0005-0000-0000-00004A6F0000}"/>
    <cellStyle name="Normal 2 3 7 10" xfId="28491" xr:uid="{00000000-0005-0000-0000-00004B6F0000}"/>
    <cellStyle name="Normal 2 3 7 11" xfId="28492" xr:uid="{00000000-0005-0000-0000-00004C6F0000}"/>
    <cellStyle name="Normal 2 3 7 12" xfId="28493" xr:uid="{00000000-0005-0000-0000-00004D6F0000}"/>
    <cellStyle name="Normal 2 3 7 13" xfId="28494" xr:uid="{00000000-0005-0000-0000-00004E6F0000}"/>
    <cellStyle name="Normal 2 3 7 14" xfId="28495" xr:uid="{00000000-0005-0000-0000-00004F6F0000}"/>
    <cellStyle name="Normal 2 3 7 2" xfId="28496" xr:uid="{00000000-0005-0000-0000-0000506F0000}"/>
    <cellStyle name="Normal 2 3 7 2 10" xfId="28497" xr:uid="{00000000-0005-0000-0000-0000516F0000}"/>
    <cellStyle name="Normal 2 3 7 2 2" xfId="28498" xr:uid="{00000000-0005-0000-0000-0000526F0000}"/>
    <cellStyle name="Normal 2 3 7 2 3" xfId="28499" xr:uid="{00000000-0005-0000-0000-0000536F0000}"/>
    <cellStyle name="Normal 2 3 7 2 4" xfId="28500" xr:uid="{00000000-0005-0000-0000-0000546F0000}"/>
    <cellStyle name="Normal 2 3 7 2 5" xfId="28501" xr:uid="{00000000-0005-0000-0000-0000556F0000}"/>
    <cellStyle name="Normal 2 3 7 2 6" xfId="28502" xr:uid="{00000000-0005-0000-0000-0000566F0000}"/>
    <cellStyle name="Normal 2 3 7 2 7" xfId="28503" xr:uid="{00000000-0005-0000-0000-0000576F0000}"/>
    <cellStyle name="Normal 2 3 7 2 8" xfId="28504" xr:uid="{00000000-0005-0000-0000-0000586F0000}"/>
    <cellStyle name="Normal 2 3 7 2 9" xfId="28505" xr:uid="{00000000-0005-0000-0000-0000596F0000}"/>
    <cellStyle name="Normal 2 3 7 3" xfId="28506" xr:uid="{00000000-0005-0000-0000-00005A6F0000}"/>
    <cellStyle name="Normal 2 3 7 3 10" xfId="28507" xr:uid="{00000000-0005-0000-0000-00005B6F0000}"/>
    <cellStyle name="Normal 2 3 7 3 2" xfId="28508" xr:uid="{00000000-0005-0000-0000-00005C6F0000}"/>
    <cellStyle name="Normal 2 3 7 3 3" xfId="28509" xr:uid="{00000000-0005-0000-0000-00005D6F0000}"/>
    <cellStyle name="Normal 2 3 7 3 4" xfId="28510" xr:uid="{00000000-0005-0000-0000-00005E6F0000}"/>
    <cellStyle name="Normal 2 3 7 3 5" xfId="28511" xr:uid="{00000000-0005-0000-0000-00005F6F0000}"/>
    <cellStyle name="Normal 2 3 7 3 6" xfId="28512" xr:uid="{00000000-0005-0000-0000-0000606F0000}"/>
    <cellStyle name="Normal 2 3 7 3 7" xfId="28513" xr:uid="{00000000-0005-0000-0000-0000616F0000}"/>
    <cellStyle name="Normal 2 3 7 3 8" xfId="28514" xr:uid="{00000000-0005-0000-0000-0000626F0000}"/>
    <cellStyle name="Normal 2 3 7 3 9" xfId="28515" xr:uid="{00000000-0005-0000-0000-0000636F0000}"/>
    <cellStyle name="Normal 2 3 7 4" xfId="28516" xr:uid="{00000000-0005-0000-0000-0000646F0000}"/>
    <cellStyle name="Normal 2 3 7 4 10" xfId="28517" xr:uid="{00000000-0005-0000-0000-0000656F0000}"/>
    <cellStyle name="Normal 2 3 7 4 2" xfId="28518" xr:uid="{00000000-0005-0000-0000-0000666F0000}"/>
    <cellStyle name="Normal 2 3 7 4 3" xfId="28519" xr:uid="{00000000-0005-0000-0000-0000676F0000}"/>
    <cellStyle name="Normal 2 3 7 4 4" xfId="28520" xr:uid="{00000000-0005-0000-0000-0000686F0000}"/>
    <cellStyle name="Normal 2 3 7 4 5" xfId="28521" xr:uid="{00000000-0005-0000-0000-0000696F0000}"/>
    <cellStyle name="Normal 2 3 7 4 6" xfId="28522" xr:uid="{00000000-0005-0000-0000-00006A6F0000}"/>
    <cellStyle name="Normal 2 3 7 4 7" xfId="28523" xr:uid="{00000000-0005-0000-0000-00006B6F0000}"/>
    <cellStyle name="Normal 2 3 7 4 8" xfId="28524" xr:uid="{00000000-0005-0000-0000-00006C6F0000}"/>
    <cellStyle name="Normal 2 3 7 4 9" xfId="28525" xr:uid="{00000000-0005-0000-0000-00006D6F0000}"/>
    <cellStyle name="Normal 2 3 7 5" xfId="28526" xr:uid="{00000000-0005-0000-0000-00006E6F0000}"/>
    <cellStyle name="Normal 2 3 7 5 10" xfId="28527" xr:uid="{00000000-0005-0000-0000-00006F6F0000}"/>
    <cellStyle name="Normal 2 3 7 5 2" xfId="28528" xr:uid="{00000000-0005-0000-0000-0000706F0000}"/>
    <cellStyle name="Normal 2 3 7 5 3" xfId="28529" xr:uid="{00000000-0005-0000-0000-0000716F0000}"/>
    <cellStyle name="Normal 2 3 7 5 4" xfId="28530" xr:uid="{00000000-0005-0000-0000-0000726F0000}"/>
    <cellStyle name="Normal 2 3 7 5 5" xfId="28531" xr:uid="{00000000-0005-0000-0000-0000736F0000}"/>
    <cellStyle name="Normal 2 3 7 5 6" xfId="28532" xr:uid="{00000000-0005-0000-0000-0000746F0000}"/>
    <cellStyle name="Normal 2 3 7 5 7" xfId="28533" xr:uid="{00000000-0005-0000-0000-0000756F0000}"/>
    <cellStyle name="Normal 2 3 7 5 8" xfId="28534" xr:uid="{00000000-0005-0000-0000-0000766F0000}"/>
    <cellStyle name="Normal 2 3 7 5 9" xfId="28535" xr:uid="{00000000-0005-0000-0000-0000776F0000}"/>
    <cellStyle name="Normal 2 3 7 6" xfId="28536" xr:uid="{00000000-0005-0000-0000-0000786F0000}"/>
    <cellStyle name="Normal 2 3 7 7" xfId="28537" xr:uid="{00000000-0005-0000-0000-0000796F0000}"/>
    <cellStyle name="Normal 2 3 7 8" xfId="28538" xr:uid="{00000000-0005-0000-0000-00007A6F0000}"/>
    <cellStyle name="Normal 2 3 7 9" xfId="28539" xr:uid="{00000000-0005-0000-0000-00007B6F0000}"/>
    <cellStyle name="Normal 2 3 8" xfId="28540" xr:uid="{00000000-0005-0000-0000-00007C6F0000}"/>
    <cellStyle name="Normal 2 3 8 10" xfId="28541" xr:uid="{00000000-0005-0000-0000-00007D6F0000}"/>
    <cellStyle name="Normal 2 3 8 11" xfId="28542" xr:uid="{00000000-0005-0000-0000-00007E6F0000}"/>
    <cellStyle name="Normal 2 3 8 12" xfId="28543" xr:uid="{00000000-0005-0000-0000-00007F6F0000}"/>
    <cellStyle name="Normal 2 3 8 13" xfId="28544" xr:uid="{00000000-0005-0000-0000-0000806F0000}"/>
    <cellStyle name="Normal 2 3 8 14" xfId="28545" xr:uid="{00000000-0005-0000-0000-0000816F0000}"/>
    <cellStyle name="Normal 2 3 8 2" xfId="28546" xr:uid="{00000000-0005-0000-0000-0000826F0000}"/>
    <cellStyle name="Normal 2 3 8 2 10" xfId="28547" xr:uid="{00000000-0005-0000-0000-0000836F0000}"/>
    <cellStyle name="Normal 2 3 8 2 2" xfId="28548" xr:uid="{00000000-0005-0000-0000-0000846F0000}"/>
    <cellStyle name="Normal 2 3 8 2 3" xfId="28549" xr:uid="{00000000-0005-0000-0000-0000856F0000}"/>
    <cellStyle name="Normal 2 3 8 2 4" xfId="28550" xr:uid="{00000000-0005-0000-0000-0000866F0000}"/>
    <cellStyle name="Normal 2 3 8 2 5" xfId="28551" xr:uid="{00000000-0005-0000-0000-0000876F0000}"/>
    <cellStyle name="Normal 2 3 8 2 6" xfId="28552" xr:uid="{00000000-0005-0000-0000-0000886F0000}"/>
    <cellStyle name="Normal 2 3 8 2 7" xfId="28553" xr:uid="{00000000-0005-0000-0000-0000896F0000}"/>
    <cellStyle name="Normal 2 3 8 2 8" xfId="28554" xr:uid="{00000000-0005-0000-0000-00008A6F0000}"/>
    <cellStyle name="Normal 2 3 8 2 9" xfId="28555" xr:uid="{00000000-0005-0000-0000-00008B6F0000}"/>
    <cellStyle name="Normal 2 3 8 3" xfId="28556" xr:uid="{00000000-0005-0000-0000-00008C6F0000}"/>
    <cellStyle name="Normal 2 3 8 3 10" xfId="28557" xr:uid="{00000000-0005-0000-0000-00008D6F0000}"/>
    <cellStyle name="Normal 2 3 8 3 2" xfId="28558" xr:uid="{00000000-0005-0000-0000-00008E6F0000}"/>
    <cellStyle name="Normal 2 3 8 3 3" xfId="28559" xr:uid="{00000000-0005-0000-0000-00008F6F0000}"/>
    <cellStyle name="Normal 2 3 8 3 4" xfId="28560" xr:uid="{00000000-0005-0000-0000-0000906F0000}"/>
    <cellStyle name="Normal 2 3 8 3 5" xfId="28561" xr:uid="{00000000-0005-0000-0000-0000916F0000}"/>
    <cellStyle name="Normal 2 3 8 3 6" xfId="28562" xr:uid="{00000000-0005-0000-0000-0000926F0000}"/>
    <cellStyle name="Normal 2 3 8 3 7" xfId="28563" xr:uid="{00000000-0005-0000-0000-0000936F0000}"/>
    <cellStyle name="Normal 2 3 8 3 8" xfId="28564" xr:uid="{00000000-0005-0000-0000-0000946F0000}"/>
    <cellStyle name="Normal 2 3 8 3 9" xfId="28565" xr:uid="{00000000-0005-0000-0000-0000956F0000}"/>
    <cellStyle name="Normal 2 3 8 4" xfId="28566" xr:uid="{00000000-0005-0000-0000-0000966F0000}"/>
    <cellStyle name="Normal 2 3 8 4 10" xfId="28567" xr:uid="{00000000-0005-0000-0000-0000976F0000}"/>
    <cellStyle name="Normal 2 3 8 4 2" xfId="28568" xr:uid="{00000000-0005-0000-0000-0000986F0000}"/>
    <cellStyle name="Normal 2 3 8 4 3" xfId="28569" xr:uid="{00000000-0005-0000-0000-0000996F0000}"/>
    <cellStyle name="Normal 2 3 8 4 4" xfId="28570" xr:uid="{00000000-0005-0000-0000-00009A6F0000}"/>
    <cellStyle name="Normal 2 3 8 4 5" xfId="28571" xr:uid="{00000000-0005-0000-0000-00009B6F0000}"/>
    <cellStyle name="Normal 2 3 8 4 6" xfId="28572" xr:uid="{00000000-0005-0000-0000-00009C6F0000}"/>
    <cellStyle name="Normal 2 3 8 4 7" xfId="28573" xr:uid="{00000000-0005-0000-0000-00009D6F0000}"/>
    <cellStyle name="Normal 2 3 8 4 8" xfId="28574" xr:uid="{00000000-0005-0000-0000-00009E6F0000}"/>
    <cellStyle name="Normal 2 3 8 4 9" xfId="28575" xr:uid="{00000000-0005-0000-0000-00009F6F0000}"/>
    <cellStyle name="Normal 2 3 8 5" xfId="28576" xr:uid="{00000000-0005-0000-0000-0000A06F0000}"/>
    <cellStyle name="Normal 2 3 8 5 10" xfId="28577" xr:uid="{00000000-0005-0000-0000-0000A16F0000}"/>
    <cellStyle name="Normal 2 3 8 5 2" xfId="28578" xr:uid="{00000000-0005-0000-0000-0000A26F0000}"/>
    <cellStyle name="Normal 2 3 8 5 3" xfId="28579" xr:uid="{00000000-0005-0000-0000-0000A36F0000}"/>
    <cellStyle name="Normal 2 3 8 5 4" xfId="28580" xr:uid="{00000000-0005-0000-0000-0000A46F0000}"/>
    <cellStyle name="Normal 2 3 8 5 5" xfId="28581" xr:uid="{00000000-0005-0000-0000-0000A56F0000}"/>
    <cellStyle name="Normal 2 3 8 5 6" xfId="28582" xr:uid="{00000000-0005-0000-0000-0000A66F0000}"/>
    <cellStyle name="Normal 2 3 8 5 7" xfId="28583" xr:uid="{00000000-0005-0000-0000-0000A76F0000}"/>
    <cellStyle name="Normal 2 3 8 5 8" xfId="28584" xr:uid="{00000000-0005-0000-0000-0000A86F0000}"/>
    <cellStyle name="Normal 2 3 8 5 9" xfId="28585" xr:uid="{00000000-0005-0000-0000-0000A96F0000}"/>
    <cellStyle name="Normal 2 3 8 6" xfId="28586" xr:uid="{00000000-0005-0000-0000-0000AA6F0000}"/>
    <cellStyle name="Normal 2 3 8 7" xfId="28587" xr:uid="{00000000-0005-0000-0000-0000AB6F0000}"/>
    <cellStyle name="Normal 2 3 8 8" xfId="28588" xr:uid="{00000000-0005-0000-0000-0000AC6F0000}"/>
    <cellStyle name="Normal 2 3 8 9" xfId="28589" xr:uid="{00000000-0005-0000-0000-0000AD6F0000}"/>
    <cellStyle name="Normal 2 3 9" xfId="28590" xr:uid="{00000000-0005-0000-0000-0000AE6F0000}"/>
    <cellStyle name="Normal 2 3 9 10" xfId="28591" xr:uid="{00000000-0005-0000-0000-0000AF6F0000}"/>
    <cellStyle name="Normal 2 3 9 11" xfId="28592" xr:uid="{00000000-0005-0000-0000-0000B06F0000}"/>
    <cellStyle name="Normal 2 3 9 12" xfId="28593" xr:uid="{00000000-0005-0000-0000-0000B16F0000}"/>
    <cellStyle name="Normal 2 3 9 13" xfId="28594" xr:uid="{00000000-0005-0000-0000-0000B26F0000}"/>
    <cellStyle name="Normal 2 3 9 14" xfId="28595" xr:uid="{00000000-0005-0000-0000-0000B36F0000}"/>
    <cellStyle name="Normal 2 3 9 2" xfId="28596" xr:uid="{00000000-0005-0000-0000-0000B46F0000}"/>
    <cellStyle name="Normal 2 3 9 2 10" xfId="28597" xr:uid="{00000000-0005-0000-0000-0000B56F0000}"/>
    <cellStyle name="Normal 2 3 9 2 2" xfId="28598" xr:uid="{00000000-0005-0000-0000-0000B66F0000}"/>
    <cellStyle name="Normal 2 3 9 2 3" xfId="28599" xr:uid="{00000000-0005-0000-0000-0000B76F0000}"/>
    <cellStyle name="Normal 2 3 9 2 4" xfId="28600" xr:uid="{00000000-0005-0000-0000-0000B86F0000}"/>
    <cellStyle name="Normal 2 3 9 2 5" xfId="28601" xr:uid="{00000000-0005-0000-0000-0000B96F0000}"/>
    <cellStyle name="Normal 2 3 9 2 6" xfId="28602" xr:uid="{00000000-0005-0000-0000-0000BA6F0000}"/>
    <cellStyle name="Normal 2 3 9 2 7" xfId="28603" xr:uid="{00000000-0005-0000-0000-0000BB6F0000}"/>
    <cellStyle name="Normal 2 3 9 2 8" xfId="28604" xr:uid="{00000000-0005-0000-0000-0000BC6F0000}"/>
    <cellStyle name="Normal 2 3 9 2 9" xfId="28605" xr:uid="{00000000-0005-0000-0000-0000BD6F0000}"/>
    <cellStyle name="Normal 2 3 9 3" xfId="28606" xr:uid="{00000000-0005-0000-0000-0000BE6F0000}"/>
    <cellStyle name="Normal 2 3 9 3 10" xfId="28607" xr:uid="{00000000-0005-0000-0000-0000BF6F0000}"/>
    <cellStyle name="Normal 2 3 9 3 2" xfId="28608" xr:uid="{00000000-0005-0000-0000-0000C06F0000}"/>
    <cellStyle name="Normal 2 3 9 3 3" xfId="28609" xr:uid="{00000000-0005-0000-0000-0000C16F0000}"/>
    <cellStyle name="Normal 2 3 9 3 4" xfId="28610" xr:uid="{00000000-0005-0000-0000-0000C26F0000}"/>
    <cellStyle name="Normal 2 3 9 3 5" xfId="28611" xr:uid="{00000000-0005-0000-0000-0000C36F0000}"/>
    <cellStyle name="Normal 2 3 9 3 6" xfId="28612" xr:uid="{00000000-0005-0000-0000-0000C46F0000}"/>
    <cellStyle name="Normal 2 3 9 3 7" xfId="28613" xr:uid="{00000000-0005-0000-0000-0000C56F0000}"/>
    <cellStyle name="Normal 2 3 9 3 8" xfId="28614" xr:uid="{00000000-0005-0000-0000-0000C66F0000}"/>
    <cellStyle name="Normal 2 3 9 3 9" xfId="28615" xr:uid="{00000000-0005-0000-0000-0000C76F0000}"/>
    <cellStyle name="Normal 2 3 9 4" xfId="28616" xr:uid="{00000000-0005-0000-0000-0000C86F0000}"/>
    <cellStyle name="Normal 2 3 9 4 10" xfId="28617" xr:uid="{00000000-0005-0000-0000-0000C96F0000}"/>
    <cellStyle name="Normal 2 3 9 4 2" xfId="28618" xr:uid="{00000000-0005-0000-0000-0000CA6F0000}"/>
    <cellStyle name="Normal 2 3 9 4 3" xfId="28619" xr:uid="{00000000-0005-0000-0000-0000CB6F0000}"/>
    <cellStyle name="Normal 2 3 9 4 4" xfId="28620" xr:uid="{00000000-0005-0000-0000-0000CC6F0000}"/>
    <cellStyle name="Normal 2 3 9 4 5" xfId="28621" xr:uid="{00000000-0005-0000-0000-0000CD6F0000}"/>
    <cellStyle name="Normal 2 3 9 4 6" xfId="28622" xr:uid="{00000000-0005-0000-0000-0000CE6F0000}"/>
    <cellStyle name="Normal 2 3 9 4 7" xfId="28623" xr:uid="{00000000-0005-0000-0000-0000CF6F0000}"/>
    <cellStyle name="Normal 2 3 9 4 8" xfId="28624" xr:uid="{00000000-0005-0000-0000-0000D06F0000}"/>
    <cellStyle name="Normal 2 3 9 4 9" xfId="28625" xr:uid="{00000000-0005-0000-0000-0000D16F0000}"/>
    <cellStyle name="Normal 2 3 9 5" xfId="28626" xr:uid="{00000000-0005-0000-0000-0000D26F0000}"/>
    <cellStyle name="Normal 2 3 9 5 10" xfId="28627" xr:uid="{00000000-0005-0000-0000-0000D36F0000}"/>
    <cellStyle name="Normal 2 3 9 5 2" xfId="28628" xr:uid="{00000000-0005-0000-0000-0000D46F0000}"/>
    <cellStyle name="Normal 2 3 9 5 3" xfId="28629" xr:uid="{00000000-0005-0000-0000-0000D56F0000}"/>
    <cellStyle name="Normal 2 3 9 5 4" xfId="28630" xr:uid="{00000000-0005-0000-0000-0000D66F0000}"/>
    <cellStyle name="Normal 2 3 9 5 5" xfId="28631" xr:uid="{00000000-0005-0000-0000-0000D76F0000}"/>
    <cellStyle name="Normal 2 3 9 5 6" xfId="28632" xr:uid="{00000000-0005-0000-0000-0000D86F0000}"/>
    <cellStyle name="Normal 2 3 9 5 7" xfId="28633" xr:uid="{00000000-0005-0000-0000-0000D96F0000}"/>
    <cellStyle name="Normal 2 3 9 5 8" xfId="28634" xr:uid="{00000000-0005-0000-0000-0000DA6F0000}"/>
    <cellStyle name="Normal 2 3 9 5 9" xfId="28635" xr:uid="{00000000-0005-0000-0000-0000DB6F0000}"/>
    <cellStyle name="Normal 2 3 9 6" xfId="28636" xr:uid="{00000000-0005-0000-0000-0000DC6F0000}"/>
    <cellStyle name="Normal 2 3 9 7" xfId="28637" xr:uid="{00000000-0005-0000-0000-0000DD6F0000}"/>
    <cellStyle name="Normal 2 3 9 8" xfId="28638" xr:uid="{00000000-0005-0000-0000-0000DE6F0000}"/>
    <cellStyle name="Normal 2 3 9 9" xfId="28639" xr:uid="{00000000-0005-0000-0000-0000DF6F0000}"/>
    <cellStyle name="Normal 2 30" xfId="28640" xr:uid="{00000000-0005-0000-0000-0000E06F0000}"/>
    <cellStyle name="Normal 2 30 2" xfId="28641" xr:uid="{00000000-0005-0000-0000-0000E16F0000}"/>
    <cellStyle name="Normal 2 30 3" xfId="28642" xr:uid="{00000000-0005-0000-0000-0000E26F0000}"/>
    <cellStyle name="Normal 2 31" xfId="28643" xr:uid="{00000000-0005-0000-0000-0000E36F0000}"/>
    <cellStyle name="Normal 2 31 2" xfId="28644" xr:uid="{00000000-0005-0000-0000-0000E46F0000}"/>
    <cellStyle name="Normal 2 31 2 2" xfId="28645" xr:uid="{00000000-0005-0000-0000-0000E56F0000}"/>
    <cellStyle name="Normal 2 31 3" xfId="28646" xr:uid="{00000000-0005-0000-0000-0000E66F0000}"/>
    <cellStyle name="Normal 2 32" xfId="28647" xr:uid="{00000000-0005-0000-0000-0000E76F0000}"/>
    <cellStyle name="Normal 2 32 2" xfId="28648" xr:uid="{00000000-0005-0000-0000-0000E86F0000}"/>
    <cellStyle name="Normal 2 32 2 2" xfId="28649" xr:uid="{00000000-0005-0000-0000-0000E96F0000}"/>
    <cellStyle name="Normal 2 32 3" xfId="28650" xr:uid="{00000000-0005-0000-0000-0000EA6F0000}"/>
    <cellStyle name="Normal 2 33" xfId="28651" xr:uid="{00000000-0005-0000-0000-0000EB6F0000}"/>
    <cellStyle name="Normal 2 33 2" xfId="28652" xr:uid="{00000000-0005-0000-0000-0000EC6F0000}"/>
    <cellStyle name="Normal 2 33 2 2" xfId="28653" xr:uid="{00000000-0005-0000-0000-0000ED6F0000}"/>
    <cellStyle name="Normal 2 33 2 2 2" xfId="28654" xr:uid="{00000000-0005-0000-0000-0000EE6F0000}"/>
    <cellStyle name="Normal 2 33 2 2 2 2" xfId="28655" xr:uid="{00000000-0005-0000-0000-0000EF6F0000}"/>
    <cellStyle name="Normal 2 33 2 3" xfId="28656" xr:uid="{00000000-0005-0000-0000-0000F06F0000}"/>
    <cellStyle name="Normal 2 33 2 4" xfId="28657" xr:uid="{00000000-0005-0000-0000-0000F16F0000}"/>
    <cellStyle name="Normal 2 33 3" xfId="28658" xr:uid="{00000000-0005-0000-0000-0000F26F0000}"/>
    <cellStyle name="Normal 2 33 3 2" xfId="28659" xr:uid="{00000000-0005-0000-0000-0000F36F0000}"/>
    <cellStyle name="Normal 2 33 3 3" xfId="28660" xr:uid="{00000000-0005-0000-0000-0000F46F0000}"/>
    <cellStyle name="Normal 2 33 4" xfId="28661" xr:uid="{00000000-0005-0000-0000-0000F56F0000}"/>
    <cellStyle name="Normal 2 34" xfId="28662" xr:uid="{00000000-0005-0000-0000-0000F66F0000}"/>
    <cellStyle name="Normal 2 34 2" xfId="28663" xr:uid="{00000000-0005-0000-0000-0000F76F0000}"/>
    <cellStyle name="Normal 2 34 2 2" xfId="28664" xr:uid="{00000000-0005-0000-0000-0000F86F0000}"/>
    <cellStyle name="Normal 2 34 3" xfId="28665" xr:uid="{00000000-0005-0000-0000-0000F96F0000}"/>
    <cellStyle name="Normal 2 35" xfId="28666" xr:uid="{00000000-0005-0000-0000-0000FA6F0000}"/>
    <cellStyle name="Normal 2 35 2" xfId="28667" xr:uid="{00000000-0005-0000-0000-0000FB6F0000}"/>
    <cellStyle name="Normal 2 35 2 2" xfId="28668" xr:uid="{00000000-0005-0000-0000-0000FC6F0000}"/>
    <cellStyle name="Normal 2 35 3" xfId="28669" xr:uid="{00000000-0005-0000-0000-0000FD6F0000}"/>
    <cellStyle name="Normal 2 36" xfId="28670" xr:uid="{00000000-0005-0000-0000-0000FE6F0000}"/>
    <cellStyle name="Normal 2 36 2" xfId="28671" xr:uid="{00000000-0005-0000-0000-0000FF6F0000}"/>
    <cellStyle name="Normal 2 36 2 2" xfId="28672" xr:uid="{00000000-0005-0000-0000-000000700000}"/>
    <cellStyle name="Normal 2 36 3" xfId="28673" xr:uid="{00000000-0005-0000-0000-000001700000}"/>
    <cellStyle name="Normal 2 37" xfId="28674" xr:uid="{00000000-0005-0000-0000-000002700000}"/>
    <cellStyle name="Normal 2 37 2" xfId="28675" xr:uid="{00000000-0005-0000-0000-000003700000}"/>
    <cellStyle name="Normal 2 37 3" xfId="28676" xr:uid="{00000000-0005-0000-0000-000004700000}"/>
    <cellStyle name="Normal 2 38" xfId="28677" xr:uid="{00000000-0005-0000-0000-000005700000}"/>
    <cellStyle name="Normal 2 38 2" xfId="28678" xr:uid="{00000000-0005-0000-0000-000006700000}"/>
    <cellStyle name="Normal 2 38 3" xfId="28679" xr:uid="{00000000-0005-0000-0000-000007700000}"/>
    <cellStyle name="Normal 2 39" xfId="28680" xr:uid="{00000000-0005-0000-0000-000008700000}"/>
    <cellStyle name="Normal 2 39 2" xfId="28681" xr:uid="{00000000-0005-0000-0000-000009700000}"/>
    <cellStyle name="Normal 2 39 3" xfId="28682" xr:uid="{00000000-0005-0000-0000-00000A700000}"/>
    <cellStyle name="Normal 2 4" xfId="18" xr:uid="{00000000-0005-0000-0000-000012000000}"/>
    <cellStyle name="Normal 2 4 10" xfId="28683" xr:uid="{00000000-0005-0000-0000-00000B700000}"/>
    <cellStyle name="Normal 2 4 11" xfId="28684" xr:uid="{00000000-0005-0000-0000-00000C700000}"/>
    <cellStyle name="Normal 2 4 12" xfId="28685" xr:uid="{00000000-0005-0000-0000-00000D700000}"/>
    <cellStyle name="Normal 2 4 13" xfId="28686" xr:uid="{00000000-0005-0000-0000-00000E700000}"/>
    <cellStyle name="Normal 2 4 14" xfId="28687" xr:uid="{00000000-0005-0000-0000-00000F700000}"/>
    <cellStyle name="Normal 2 4 15" xfId="28688" xr:uid="{00000000-0005-0000-0000-000010700000}"/>
    <cellStyle name="Normal 2 4 16" xfId="28689" xr:uid="{00000000-0005-0000-0000-000011700000}"/>
    <cellStyle name="Normal 2 4 17" xfId="28690" xr:uid="{00000000-0005-0000-0000-000012700000}"/>
    <cellStyle name="Normal 2 4 18" xfId="28691" xr:uid="{00000000-0005-0000-0000-000013700000}"/>
    <cellStyle name="Normal 2 4 19" xfId="28692" xr:uid="{00000000-0005-0000-0000-000014700000}"/>
    <cellStyle name="Normal 2 4 2" xfId="28693" xr:uid="{00000000-0005-0000-0000-000015700000}"/>
    <cellStyle name="Normal 2 4 2 10" xfId="28694" xr:uid="{00000000-0005-0000-0000-000016700000}"/>
    <cellStyle name="Normal 2 4 2 11" xfId="28695" xr:uid="{00000000-0005-0000-0000-000017700000}"/>
    <cellStyle name="Normal 2 4 2 12" xfId="28696" xr:uid="{00000000-0005-0000-0000-000018700000}"/>
    <cellStyle name="Normal 2 4 2 13" xfId="28697" xr:uid="{00000000-0005-0000-0000-000019700000}"/>
    <cellStyle name="Normal 2 4 2 14" xfId="28698" xr:uid="{00000000-0005-0000-0000-00001A700000}"/>
    <cellStyle name="Normal 2 4 2 15" xfId="28699" xr:uid="{00000000-0005-0000-0000-00001B700000}"/>
    <cellStyle name="Normal 2 4 2 16" xfId="28700" xr:uid="{00000000-0005-0000-0000-00001C700000}"/>
    <cellStyle name="Normal 2 4 2 17" xfId="28701" xr:uid="{00000000-0005-0000-0000-00001D700000}"/>
    <cellStyle name="Normal 2 4 2 18" xfId="28702" xr:uid="{00000000-0005-0000-0000-00001E700000}"/>
    <cellStyle name="Normal 2 4 2 18 2" xfId="28703" xr:uid="{00000000-0005-0000-0000-00001F700000}"/>
    <cellStyle name="Normal 2 4 2 18 2 2" xfId="28704" xr:uid="{00000000-0005-0000-0000-000020700000}"/>
    <cellStyle name="Normal 2 4 2 18 2 2 2" xfId="28705" xr:uid="{00000000-0005-0000-0000-000021700000}"/>
    <cellStyle name="Normal 2 4 2 18 2 2 2 2" xfId="28706" xr:uid="{00000000-0005-0000-0000-000022700000}"/>
    <cellStyle name="Normal 2 4 2 18 2 3" xfId="28707" xr:uid="{00000000-0005-0000-0000-000023700000}"/>
    <cellStyle name="Normal 2 4 2 18 3" xfId="28708" xr:uid="{00000000-0005-0000-0000-000024700000}"/>
    <cellStyle name="Normal 2 4 2 18 3 2" xfId="28709" xr:uid="{00000000-0005-0000-0000-000025700000}"/>
    <cellStyle name="Normal 2 4 2 19" xfId="28710" xr:uid="{00000000-0005-0000-0000-000026700000}"/>
    <cellStyle name="Normal 2 4 2 2" xfId="28711" xr:uid="{00000000-0005-0000-0000-000027700000}"/>
    <cellStyle name="Normal 2 4 2 2 2" xfId="28712" xr:uid="{00000000-0005-0000-0000-000028700000}"/>
    <cellStyle name="Normal 2 4 2 20" xfId="28713" xr:uid="{00000000-0005-0000-0000-000029700000}"/>
    <cellStyle name="Normal 2 4 2 3" xfId="28714" xr:uid="{00000000-0005-0000-0000-00002A700000}"/>
    <cellStyle name="Normal 2 4 2 4" xfId="28715" xr:uid="{00000000-0005-0000-0000-00002B700000}"/>
    <cellStyle name="Normal 2 4 2 5" xfId="28716" xr:uid="{00000000-0005-0000-0000-00002C700000}"/>
    <cellStyle name="Normal 2 4 2 6" xfId="28717" xr:uid="{00000000-0005-0000-0000-00002D700000}"/>
    <cellStyle name="Normal 2 4 2 7" xfId="28718" xr:uid="{00000000-0005-0000-0000-00002E700000}"/>
    <cellStyle name="Normal 2 4 2 8" xfId="28719" xr:uid="{00000000-0005-0000-0000-00002F700000}"/>
    <cellStyle name="Normal 2 4 2 9" xfId="28720" xr:uid="{00000000-0005-0000-0000-000030700000}"/>
    <cellStyle name="Normal 2 4 3" xfId="28721" xr:uid="{00000000-0005-0000-0000-000031700000}"/>
    <cellStyle name="Normal 2 4 3 2" xfId="28722" xr:uid="{00000000-0005-0000-0000-000032700000}"/>
    <cellStyle name="Normal 2 4 3 3" xfId="28723" xr:uid="{00000000-0005-0000-0000-000033700000}"/>
    <cellStyle name="Normal 2 4 4" xfId="28724" xr:uid="{00000000-0005-0000-0000-000034700000}"/>
    <cellStyle name="Normal 2 4 4 2" xfId="28725" xr:uid="{00000000-0005-0000-0000-000035700000}"/>
    <cellStyle name="Normal 2 4 4 3" xfId="28726" xr:uid="{00000000-0005-0000-0000-000036700000}"/>
    <cellStyle name="Normal 2 4 5" xfId="28727" xr:uid="{00000000-0005-0000-0000-000037700000}"/>
    <cellStyle name="Normal 2 4 5 2" xfId="28728" xr:uid="{00000000-0005-0000-0000-000038700000}"/>
    <cellStyle name="Normal 2 4 6" xfId="28729" xr:uid="{00000000-0005-0000-0000-000039700000}"/>
    <cellStyle name="Normal 2 4 6 2" xfId="28730" xr:uid="{00000000-0005-0000-0000-00003A700000}"/>
    <cellStyle name="Normal 2 4 7" xfId="28731" xr:uid="{00000000-0005-0000-0000-00003B700000}"/>
    <cellStyle name="Normal 2 4 8" xfId="28732" xr:uid="{00000000-0005-0000-0000-00003C700000}"/>
    <cellStyle name="Normal 2 4 9" xfId="28733" xr:uid="{00000000-0005-0000-0000-00003D700000}"/>
    <cellStyle name="Normal 2 40" xfId="28734" xr:uid="{00000000-0005-0000-0000-00003E700000}"/>
    <cellStyle name="Normal 2 40 2" xfId="28735" xr:uid="{00000000-0005-0000-0000-00003F700000}"/>
    <cellStyle name="Normal 2 40 3" xfId="28736" xr:uid="{00000000-0005-0000-0000-000040700000}"/>
    <cellStyle name="Normal 2 41" xfId="19" xr:uid="{00000000-0005-0000-0000-000013000000}"/>
    <cellStyle name="Normal 2 41 2" xfId="28737" xr:uid="{00000000-0005-0000-0000-000041700000}"/>
    <cellStyle name="Normal 2 41 2 2" xfId="28738" xr:uid="{00000000-0005-0000-0000-000042700000}"/>
    <cellStyle name="Normal 2 41 3" xfId="28739" xr:uid="{00000000-0005-0000-0000-000043700000}"/>
    <cellStyle name="Normal 2 41 4" xfId="28740" xr:uid="{00000000-0005-0000-0000-000044700000}"/>
    <cellStyle name="Normal 2 41 5" xfId="28741" xr:uid="{00000000-0005-0000-0000-000045700000}"/>
    <cellStyle name="Normal 2 41 6" xfId="28742" xr:uid="{00000000-0005-0000-0000-000046700000}"/>
    <cellStyle name="Normal 2 41 7" xfId="28743" xr:uid="{00000000-0005-0000-0000-000047700000}"/>
    <cellStyle name="Normal 2 41 8" xfId="28744" xr:uid="{00000000-0005-0000-0000-000048700000}"/>
    <cellStyle name="Normal 2 41 8 2" xfId="28745" xr:uid="{00000000-0005-0000-0000-000049700000}"/>
    <cellStyle name="Normal 2 41 9" xfId="28746" xr:uid="{00000000-0005-0000-0000-00004A700000}"/>
    <cellStyle name="Normal 2 42" xfId="28747" xr:uid="{00000000-0005-0000-0000-00004B700000}"/>
    <cellStyle name="Normal 2 42 2" xfId="28748" xr:uid="{00000000-0005-0000-0000-00004C700000}"/>
    <cellStyle name="Normal 2 42 3" xfId="28749" xr:uid="{00000000-0005-0000-0000-00004D700000}"/>
    <cellStyle name="Normal 2 42 4" xfId="28750" xr:uid="{00000000-0005-0000-0000-00004E700000}"/>
    <cellStyle name="Normal 2 42 5" xfId="28751" xr:uid="{00000000-0005-0000-0000-00004F700000}"/>
    <cellStyle name="Normal 2 42 6" xfId="28752" xr:uid="{00000000-0005-0000-0000-000050700000}"/>
    <cellStyle name="Normal 2 42 7" xfId="28753" xr:uid="{00000000-0005-0000-0000-000051700000}"/>
    <cellStyle name="Normal 2 42 8" xfId="28754" xr:uid="{00000000-0005-0000-0000-000052700000}"/>
    <cellStyle name="Normal 2 43" xfId="28755" xr:uid="{00000000-0005-0000-0000-000053700000}"/>
    <cellStyle name="Normal 2 43 2" xfId="28756" xr:uid="{00000000-0005-0000-0000-000054700000}"/>
    <cellStyle name="Normal 2 43 3" xfId="28757" xr:uid="{00000000-0005-0000-0000-000055700000}"/>
    <cellStyle name="Normal 2 44" xfId="28758" xr:uid="{00000000-0005-0000-0000-000056700000}"/>
    <cellStyle name="Normal 2 44 2" xfId="28759" xr:uid="{00000000-0005-0000-0000-000057700000}"/>
    <cellStyle name="Normal 2 44 3" xfId="28760" xr:uid="{00000000-0005-0000-0000-000058700000}"/>
    <cellStyle name="Normal 2 45" xfId="28761" xr:uid="{00000000-0005-0000-0000-000059700000}"/>
    <cellStyle name="Normal 2 45 2" xfId="28762" xr:uid="{00000000-0005-0000-0000-00005A700000}"/>
    <cellStyle name="Normal 2 45 3" xfId="28763" xr:uid="{00000000-0005-0000-0000-00005B700000}"/>
    <cellStyle name="Normal 2 46" xfId="28764" xr:uid="{00000000-0005-0000-0000-00005C700000}"/>
    <cellStyle name="Normal 2 46 2" xfId="28765" xr:uid="{00000000-0005-0000-0000-00005D700000}"/>
    <cellStyle name="Normal 2 46 3" xfId="28766" xr:uid="{00000000-0005-0000-0000-00005E700000}"/>
    <cellStyle name="Normal 2 47" xfId="28767" xr:uid="{00000000-0005-0000-0000-00005F700000}"/>
    <cellStyle name="Normal 2 47 2" xfId="28768" xr:uid="{00000000-0005-0000-0000-000060700000}"/>
    <cellStyle name="Normal 2 47 3" xfId="28769" xr:uid="{00000000-0005-0000-0000-000061700000}"/>
    <cellStyle name="Normal 2 48" xfId="28770" xr:uid="{00000000-0005-0000-0000-000062700000}"/>
    <cellStyle name="Normal 2 48 2" xfId="28771" xr:uid="{00000000-0005-0000-0000-000063700000}"/>
    <cellStyle name="Normal 2 48 3" xfId="28772" xr:uid="{00000000-0005-0000-0000-000064700000}"/>
    <cellStyle name="Normal 2 49" xfId="28773" xr:uid="{00000000-0005-0000-0000-000065700000}"/>
    <cellStyle name="Normal 2 49 2" xfId="28774" xr:uid="{00000000-0005-0000-0000-000066700000}"/>
    <cellStyle name="Normal 2 49 3" xfId="28775" xr:uid="{00000000-0005-0000-0000-000067700000}"/>
    <cellStyle name="Normal 2 5" xfId="28776" xr:uid="{00000000-0005-0000-0000-000068700000}"/>
    <cellStyle name="Normal 2 5 10" xfId="28777" xr:uid="{00000000-0005-0000-0000-000069700000}"/>
    <cellStyle name="Normal 2 5 11" xfId="28778" xr:uid="{00000000-0005-0000-0000-00006A700000}"/>
    <cellStyle name="Normal 2 5 12" xfId="28779" xr:uid="{00000000-0005-0000-0000-00006B700000}"/>
    <cellStyle name="Normal 2 5 13" xfId="28780" xr:uid="{00000000-0005-0000-0000-00006C700000}"/>
    <cellStyle name="Normal 2 5 14" xfId="28781" xr:uid="{00000000-0005-0000-0000-00006D700000}"/>
    <cellStyle name="Normal 2 5 15" xfId="28782" xr:uid="{00000000-0005-0000-0000-00006E700000}"/>
    <cellStyle name="Normal 2 5 16" xfId="28783" xr:uid="{00000000-0005-0000-0000-00006F700000}"/>
    <cellStyle name="Normal 2 5 17" xfId="28784" xr:uid="{00000000-0005-0000-0000-000070700000}"/>
    <cellStyle name="Normal 2 5 18" xfId="28785" xr:uid="{00000000-0005-0000-0000-000071700000}"/>
    <cellStyle name="Normal 2 5 19" xfId="28786" xr:uid="{00000000-0005-0000-0000-000072700000}"/>
    <cellStyle name="Normal 2 5 2" xfId="28787" xr:uid="{00000000-0005-0000-0000-000073700000}"/>
    <cellStyle name="Normal 2 5 2 10" xfId="28788" xr:uid="{00000000-0005-0000-0000-000074700000}"/>
    <cellStyle name="Normal 2 5 2 11" xfId="28789" xr:uid="{00000000-0005-0000-0000-000075700000}"/>
    <cellStyle name="Normal 2 5 2 12" xfId="28790" xr:uid="{00000000-0005-0000-0000-000076700000}"/>
    <cellStyle name="Normal 2 5 2 13" xfId="28791" xr:uid="{00000000-0005-0000-0000-000077700000}"/>
    <cellStyle name="Normal 2 5 2 14" xfId="28792" xr:uid="{00000000-0005-0000-0000-000078700000}"/>
    <cellStyle name="Normal 2 5 2 15" xfId="28793" xr:uid="{00000000-0005-0000-0000-000079700000}"/>
    <cellStyle name="Normal 2 5 2 16" xfId="28794" xr:uid="{00000000-0005-0000-0000-00007A700000}"/>
    <cellStyle name="Normal 2 5 2 17" xfId="28795" xr:uid="{00000000-0005-0000-0000-00007B700000}"/>
    <cellStyle name="Normal 2 5 2 18" xfId="28796" xr:uid="{00000000-0005-0000-0000-00007C700000}"/>
    <cellStyle name="Normal 2 5 2 19" xfId="28797" xr:uid="{00000000-0005-0000-0000-00007D700000}"/>
    <cellStyle name="Normal 2 5 2 2" xfId="28798" xr:uid="{00000000-0005-0000-0000-00007E700000}"/>
    <cellStyle name="Normal 2 5 2 2 10" xfId="28799" xr:uid="{00000000-0005-0000-0000-00007F700000}"/>
    <cellStyle name="Normal 2 5 2 2 11" xfId="28800" xr:uid="{00000000-0005-0000-0000-000080700000}"/>
    <cellStyle name="Normal 2 5 2 2 12" xfId="28801" xr:uid="{00000000-0005-0000-0000-000081700000}"/>
    <cellStyle name="Normal 2 5 2 2 13" xfId="28802" xr:uid="{00000000-0005-0000-0000-000082700000}"/>
    <cellStyle name="Normal 2 5 2 2 14" xfId="28803" xr:uid="{00000000-0005-0000-0000-000083700000}"/>
    <cellStyle name="Normal 2 5 2 2 15" xfId="28804" xr:uid="{00000000-0005-0000-0000-000084700000}"/>
    <cellStyle name="Normal 2 5 2 2 16" xfId="28805" xr:uid="{00000000-0005-0000-0000-000085700000}"/>
    <cellStyle name="Normal 2 5 2 2 17" xfId="28806" xr:uid="{00000000-0005-0000-0000-000086700000}"/>
    <cellStyle name="Normal 2 5 2 2 18" xfId="28807" xr:uid="{00000000-0005-0000-0000-000087700000}"/>
    <cellStyle name="Normal 2 5 2 2 19" xfId="28808" xr:uid="{00000000-0005-0000-0000-000088700000}"/>
    <cellStyle name="Normal 2 5 2 2 2" xfId="28809" xr:uid="{00000000-0005-0000-0000-000089700000}"/>
    <cellStyle name="Normal 2 5 2 2 20" xfId="28810" xr:uid="{00000000-0005-0000-0000-00008A700000}"/>
    <cellStyle name="Normal 2 5 2 2 3" xfId="28811" xr:uid="{00000000-0005-0000-0000-00008B700000}"/>
    <cellStyle name="Normal 2 5 2 2 4" xfId="28812" xr:uid="{00000000-0005-0000-0000-00008C700000}"/>
    <cellStyle name="Normal 2 5 2 2 5" xfId="28813" xr:uid="{00000000-0005-0000-0000-00008D700000}"/>
    <cellStyle name="Normal 2 5 2 2 6" xfId="28814" xr:uid="{00000000-0005-0000-0000-00008E700000}"/>
    <cellStyle name="Normal 2 5 2 2 7" xfId="28815" xr:uid="{00000000-0005-0000-0000-00008F700000}"/>
    <cellStyle name="Normal 2 5 2 2 8" xfId="28816" xr:uid="{00000000-0005-0000-0000-000090700000}"/>
    <cellStyle name="Normal 2 5 2 2 9" xfId="28817" xr:uid="{00000000-0005-0000-0000-000091700000}"/>
    <cellStyle name="Normal 2 5 2 20" xfId="28818" xr:uid="{00000000-0005-0000-0000-000092700000}"/>
    <cellStyle name="Normal 2 5 2 21" xfId="28819" xr:uid="{00000000-0005-0000-0000-000093700000}"/>
    <cellStyle name="Normal 2 5 2 22" xfId="28820" xr:uid="{00000000-0005-0000-0000-000094700000}"/>
    <cellStyle name="Normal 2 5 2 23" xfId="28821" xr:uid="{00000000-0005-0000-0000-000095700000}"/>
    <cellStyle name="Normal 2 5 2 3" xfId="28822" xr:uid="{00000000-0005-0000-0000-000096700000}"/>
    <cellStyle name="Normal 2 5 2 4" xfId="28823" xr:uid="{00000000-0005-0000-0000-000097700000}"/>
    <cellStyle name="Normal 2 5 2 5" xfId="28824" xr:uid="{00000000-0005-0000-0000-000098700000}"/>
    <cellStyle name="Normal 2 5 2 6" xfId="28825" xr:uid="{00000000-0005-0000-0000-000099700000}"/>
    <cellStyle name="Normal 2 5 2 7" xfId="28826" xr:uid="{00000000-0005-0000-0000-00009A700000}"/>
    <cellStyle name="Normal 2 5 2 8" xfId="28827" xr:uid="{00000000-0005-0000-0000-00009B700000}"/>
    <cellStyle name="Normal 2 5 2 9" xfId="28828" xr:uid="{00000000-0005-0000-0000-00009C700000}"/>
    <cellStyle name="Normal 2 5 20" xfId="28829" xr:uid="{00000000-0005-0000-0000-00009D700000}"/>
    <cellStyle name="Normal 2 5 21" xfId="28830" xr:uid="{00000000-0005-0000-0000-00009E700000}"/>
    <cellStyle name="Normal 2 5 22" xfId="28831" xr:uid="{00000000-0005-0000-0000-00009F700000}"/>
    <cellStyle name="Normal 2 5 23" xfId="28832" xr:uid="{00000000-0005-0000-0000-0000A0700000}"/>
    <cellStyle name="Normal 2 5 24" xfId="28833" xr:uid="{00000000-0005-0000-0000-0000A1700000}"/>
    <cellStyle name="Normal 2 5 25" xfId="28834" xr:uid="{00000000-0005-0000-0000-0000A2700000}"/>
    <cellStyle name="Normal 2 5 26" xfId="28835" xr:uid="{00000000-0005-0000-0000-0000A3700000}"/>
    <cellStyle name="Normal 2 5 27" xfId="28836" xr:uid="{00000000-0005-0000-0000-0000A4700000}"/>
    <cellStyle name="Normal 2 5 28" xfId="28837" xr:uid="{00000000-0005-0000-0000-0000A5700000}"/>
    <cellStyle name="Normal 2 5 29" xfId="28838" xr:uid="{00000000-0005-0000-0000-0000A6700000}"/>
    <cellStyle name="Normal 2 5 3" xfId="28839" xr:uid="{00000000-0005-0000-0000-0000A7700000}"/>
    <cellStyle name="Normal 2 5 3 2" xfId="28840" xr:uid="{00000000-0005-0000-0000-0000A8700000}"/>
    <cellStyle name="Normal 2 5 3 3" xfId="28841" xr:uid="{00000000-0005-0000-0000-0000A9700000}"/>
    <cellStyle name="Normal 2 5 3 4" xfId="28842" xr:uid="{00000000-0005-0000-0000-0000AA700000}"/>
    <cellStyle name="Normal 2 5 30" xfId="28843" xr:uid="{00000000-0005-0000-0000-0000AB700000}"/>
    <cellStyle name="Normal 2 5 31" xfId="28844" xr:uid="{00000000-0005-0000-0000-0000AC700000}"/>
    <cellStyle name="Normal 2 5 32" xfId="28845" xr:uid="{00000000-0005-0000-0000-0000AD700000}"/>
    <cellStyle name="Normal 2 5 33" xfId="28846" xr:uid="{00000000-0005-0000-0000-0000AE700000}"/>
    <cellStyle name="Normal 2 5 34" xfId="28847" xr:uid="{00000000-0005-0000-0000-0000AF700000}"/>
    <cellStyle name="Normal 2 5 35" xfId="28848" xr:uid="{00000000-0005-0000-0000-0000B0700000}"/>
    <cellStyle name="Normal 2 5 4" xfId="28849" xr:uid="{00000000-0005-0000-0000-0000B1700000}"/>
    <cellStyle name="Normal 2 5 4 2" xfId="28850" xr:uid="{00000000-0005-0000-0000-0000B2700000}"/>
    <cellStyle name="Normal 2 5 5" xfId="28851" xr:uid="{00000000-0005-0000-0000-0000B3700000}"/>
    <cellStyle name="Normal 2 5 5 2" xfId="28852" xr:uid="{00000000-0005-0000-0000-0000B4700000}"/>
    <cellStyle name="Normal 2 5 6" xfId="28853" xr:uid="{00000000-0005-0000-0000-0000B5700000}"/>
    <cellStyle name="Normal 2 5 6 2" xfId="28854" xr:uid="{00000000-0005-0000-0000-0000B6700000}"/>
    <cellStyle name="Normal 2 5 7" xfId="28855" xr:uid="{00000000-0005-0000-0000-0000B7700000}"/>
    <cellStyle name="Normal 2 5 7 2" xfId="28856" xr:uid="{00000000-0005-0000-0000-0000B8700000}"/>
    <cellStyle name="Normal 2 5 8" xfId="28857" xr:uid="{00000000-0005-0000-0000-0000B9700000}"/>
    <cellStyle name="Normal 2 5 9" xfId="28858" xr:uid="{00000000-0005-0000-0000-0000BA700000}"/>
    <cellStyle name="Normal 2 50" xfId="28859" xr:uid="{00000000-0005-0000-0000-0000BB700000}"/>
    <cellStyle name="Normal 2 50 2" xfId="28860" xr:uid="{00000000-0005-0000-0000-0000BC700000}"/>
    <cellStyle name="Normal 2 50 3" xfId="28861" xr:uid="{00000000-0005-0000-0000-0000BD700000}"/>
    <cellStyle name="Normal 2 51" xfId="28862" xr:uid="{00000000-0005-0000-0000-0000BE700000}"/>
    <cellStyle name="Normal 2 51 2" xfId="28863" xr:uid="{00000000-0005-0000-0000-0000BF700000}"/>
    <cellStyle name="Normal 2 51 3" xfId="28864" xr:uid="{00000000-0005-0000-0000-0000C0700000}"/>
    <cellStyle name="Normal 2 51 4" xfId="28865" xr:uid="{00000000-0005-0000-0000-0000C1700000}"/>
    <cellStyle name="Normal 2 51 5" xfId="28866" xr:uid="{00000000-0005-0000-0000-0000C2700000}"/>
    <cellStyle name="Normal 2 52" xfId="28867" xr:uid="{00000000-0005-0000-0000-0000C3700000}"/>
    <cellStyle name="Normal 2 52 2" xfId="28868" xr:uid="{00000000-0005-0000-0000-0000C4700000}"/>
    <cellStyle name="Normal 2 52 3" xfId="28869" xr:uid="{00000000-0005-0000-0000-0000C5700000}"/>
    <cellStyle name="Normal 2 52 4" xfId="28870" xr:uid="{00000000-0005-0000-0000-0000C6700000}"/>
    <cellStyle name="Normal 2 52 5" xfId="28871" xr:uid="{00000000-0005-0000-0000-0000C7700000}"/>
    <cellStyle name="Normal 2 53" xfId="28872" xr:uid="{00000000-0005-0000-0000-0000C8700000}"/>
    <cellStyle name="Normal 2 53 2" xfId="28873" xr:uid="{00000000-0005-0000-0000-0000C9700000}"/>
    <cellStyle name="Normal 2 53 3" xfId="28874" xr:uid="{00000000-0005-0000-0000-0000CA700000}"/>
    <cellStyle name="Normal 2 53 4" xfId="28875" xr:uid="{00000000-0005-0000-0000-0000CB700000}"/>
    <cellStyle name="Normal 2 53 5" xfId="28876" xr:uid="{00000000-0005-0000-0000-0000CC700000}"/>
    <cellStyle name="Normal 2 54" xfId="28877" xr:uid="{00000000-0005-0000-0000-0000CD700000}"/>
    <cellStyle name="Normal 2 54 2" xfId="28878" xr:uid="{00000000-0005-0000-0000-0000CE700000}"/>
    <cellStyle name="Normal 2 54 3" xfId="28879" xr:uid="{00000000-0005-0000-0000-0000CF700000}"/>
    <cellStyle name="Normal 2 54 4" xfId="28880" xr:uid="{00000000-0005-0000-0000-0000D0700000}"/>
    <cellStyle name="Normal 2 54 5" xfId="28881" xr:uid="{00000000-0005-0000-0000-0000D1700000}"/>
    <cellStyle name="Normal 2 55" xfId="28882" xr:uid="{00000000-0005-0000-0000-0000D2700000}"/>
    <cellStyle name="Normal 2 55 2" xfId="28883" xr:uid="{00000000-0005-0000-0000-0000D3700000}"/>
    <cellStyle name="Normal 2 55 3" xfId="28884" xr:uid="{00000000-0005-0000-0000-0000D4700000}"/>
    <cellStyle name="Normal 2 55 4" xfId="28885" xr:uid="{00000000-0005-0000-0000-0000D5700000}"/>
    <cellStyle name="Normal 2 55 5" xfId="28886" xr:uid="{00000000-0005-0000-0000-0000D6700000}"/>
    <cellStyle name="Normal 2 56" xfId="28887" xr:uid="{00000000-0005-0000-0000-0000D7700000}"/>
    <cellStyle name="Normal 2 56 2" xfId="28888" xr:uid="{00000000-0005-0000-0000-0000D8700000}"/>
    <cellStyle name="Normal 2 56 3" xfId="28889" xr:uid="{00000000-0005-0000-0000-0000D9700000}"/>
    <cellStyle name="Normal 2 56 4" xfId="28890" xr:uid="{00000000-0005-0000-0000-0000DA700000}"/>
    <cellStyle name="Normal 2 56 5" xfId="28891" xr:uid="{00000000-0005-0000-0000-0000DB700000}"/>
    <cellStyle name="Normal 2 57" xfId="28892" xr:uid="{00000000-0005-0000-0000-0000DC700000}"/>
    <cellStyle name="Normal 2 57 2" xfId="28893" xr:uid="{00000000-0005-0000-0000-0000DD700000}"/>
    <cellStyle name="Normal 2 57 3" xfId="28894" xr:uid="{00000000-0005-0000-0000-0000DE700000}"/>
    <cellStyle name="Normal 2 57 4" xfId="28895" xr:uid="{00000000-0005-0000-0000-0000DF700000}"/>
    <cellStyle name="Normal 2 57 5" xfId="28896" xr:uid="{00000000-0005-0000-0000-0000E0700000}"/>
    <cellStyle name="Normal 2 58" xfId="28897" xr:uid="{00000000-0005-0000-0000-0000E1700000}"/>
    <cellStyle name="Normal 2 58 2" xfId="28898" xr:uid="{00000000-0005-0000-0000-0000E2700000}"/>
    <cellStyle name="Normal 2 58 3" xfId="28899" xr:uid="{00000000-0005-0000-0000-0000E3700000}"/>
    <cellStyle name="Normal 2 58 4" xfId="28900" xr:uid="{00000000-0005-0000-0000-0000E4700000}"/>
    <cellStyle name="Normal 2 58 5" xfId="28901" xr:uid="{00000000-0005-0000-0000-0000E5700000}"/>
    <cellStyle name="Normal 2 59" xfId="28902" xr:uid="{00000000-0005-0000-0000-0000E6700000}"/>
    <cellStyle name="Normal 2 59 2" xfId="28903" xr:uid="{00000000-0005-0000-0000-0000E7700000}"/>
    <cellStyle name="Normal 2 59 3" xfId="28904" xr:uid="{00000000-0005-0000-0000-0000E8700000}"/>
    <cellStyle name="Normal 2 59 4" xfId="28905" xr:uid="{00000000-0005-0000-0000-0000E9700000}"/>
    <cellStyle name="Normal 2 59 5" xfId="28906" xr:uid="{00000000-0005-0000-0000-0000EA700000}"/>
    <cellStyle name="Normal 2 6" xfId="28907" xr:uid="{00000000-0005-0000-0000-0000EB700000}"/>
    <cellStyle name="Normal 2 6 10" xfId="28908" xr:uid="{00000000-0005-0000-0000-0000EC700000}"/>
    <cellStyle name="Normal 2 6 11" xfId="28909" xr:uid="{00000000-0005-0000-0000-0000ED700000}"/>
    <cellStyle name="Normal 2 6 12" xfId="28910" xr:uid="{00000000-0005-0000-0000-0000EE700000}"/>
    <cellStyle name="Normal 2 6 13" xfId="28911" xr:uid="{00000000-0005-0000-0000-0000EF700000}"/>
    <cellStyle name="Normal 2 6 14" xfId="28912" xr:uid="{00000000-0005-0000-0000-0000F0700000}"/>
    <cellStyle name="Normal 2 6 15" xfId="28913" xr:uid="{00000000-0005-0000-0000-0000F1700000}"/>
    <cellStyle name="Normal 2 6 16" xfId="28914" xr:uid="{00000000-0005-0000-0000-0000F2700000}"/>
    <cellStyle name="Normal 2 6 17" xfId="28915" xr:uid="{00000000-0005-0000-0000-0000F3700000}"/>
    <cellStyle name="Normal 2 6 18" xfId="28916" xr:uid="{00000000-0005-0000-0000-0000F4700000}"/>
    <cellStyle name="Normal 2 6 19" xfId="28917" xr:uid="{00000000-0005-0000-0000-0000F5700000}"/>
    <cellStyle name="Normal 2 6 2" xfId="28918" xr:uid="{00000000-0005-0000-0000-0000F6700000}"/>
    <cellStyle name="Normal 2 6 2 10" xfId="28919" xr:uid="{00000000-0005-0000-0000-0000F7700000}"/>
    <cellStyle name="Normal 2 6 2 11" xfId="28920" xr:uid="{00000000-0005-0000-0000-0000F8700000}"/>
    <cellStyle name="Normal 2 6 2 12" xfId="28921" xr:uid="{00000000-0005-0000-0000-0000F9700000}"/>
    <cellStyle name="Normal 2 6 2 13" xfId="28922" xr:uid="{00000000-0005-0000-0000-0000FA700000}"/>
    <cellStyle name="Normal 2 6 2 14" xfId="28923" xr:uid="{00000000-0005-0000-0000-0000FB700000}"/>
    <cellStyle name="Normal 2 6 2 15" xfId="28924" xr:uid="{00000000-0005-0000-0000-0000FC700000}"/>
    <cellStyle name="Normal 2 6 2 16" xfId="28925" xr:uid="{00000000-0005-0000-0000-0000FD700000}"/>
    <cellStyle name="Normal 2 6 2 17" xfId="28926" xr:uid="{00000000-0005-0000-0000-0000FE700000}"/>
    <cellStyle name="Normal 2 6 2 18" xfId="28927" xr:uid="{00000000-0005-0000-0000-0000FF700000}"/>
    <cellStyle name="Normal 2 6 2 19" xfId="28928" xr:uid="{00000000-0005-0000-0000-000000710000}"/>
    <cellStyle name="Normal 2 6 2 2" xfId="28929" xr:uid="{00000000-0005-0000-0000-000001710000}"/>
    <cellStyle name="Normal 2 6 2 20" xfId="28930" xr:uid="{00000000-0005-0000-0000-000002710000}"/>
    <cellStyle name="Normal 2 6 2 21" xfId="28931" xr:uid="{00000000-0005-0000-0000-000003710000}"/>
    <cellStyle name="Normal 2 6 2 3" xfId="28932" xr:uid="{00000000-0005-0000-0000-000004710000}"/>
    <cellStyle name="Normal 2 6 2 4" xfId="28933" xr:uid="{00000000-0005-0000-0000-000005710000}"/>
    <cellStyle name="Normal 2 6 2 5" xfId="28934" xr:uid="{00000000-0005-0000-0000-000006710000}"/>
    <cellStyle name="Normal 2 6 2 6" xfId="28935" xr:uid="{00000000-0005-0000-0000-000007710000}"/>
    <cellStyle name="Normal 2 6 2 7" xfId="28936" xr:uid="{00000000-0005-0000-0000-000008710000}"/>
    <cellStyle name="Normal 2 6 2 8" xfId="28937" xr:uid="{00000000-0005-0000-0000-000009710000}"/>
    <cellStyle name="Normal 2 6 2 9" xfId="28938" xr:uid="{00000000-0005-0000-0000-00000A710000}"/>
    <cellStyle name="Normal 2 6 20" xfId="28939" xr:uid="{00000000-0005-0000-0000-00000B710000}"/>
    <cellStyle name="Normal 2 6 21" xfId="28940" xr:uid="{00000000-0005-0000-0000-00000C710000}"/>
    <cellStyle name="Normal 2 6 22" xfId="28941" xr:uid="{00000000-0005-0000-0000-00000D710000}"/>
    <cellStyle name="Normal 2 6 3" xfId="28942" xr:uid="{00000000-0005-0000-0000-00000E710000}"/>
    <cellStyle name="Normal 2 6 4" xfId="28943" xr:uid="{00000000-0005-0000-0000-00000F710000}"/>
    <cellStyle name="Normal 2 6 5" xfId="28944" xr:uid="{00000000-0005-0000-0000-000010710000}"/>
    <cellStyle name="Normal 2 6 6" xfId="28945" xr:uid="{00000000-0005-0000-0000-000011710000}"/>
    <cellStyle name="Normal 2 6 7" xfId="28946" xr:uid="{00000000-0005-0000-0000-000012710000}"/>
    <cellStyle name="Normal 2 6 8" xfId="28947" xr:uid="{00000000-0005-0000-0000-000013710000}"/>
    <cellStyle name="Normal 2 6 9" xfId="28948" xr:uid="{00000000-0005-0000-0000-000014710000}"/>
    <cellStyle name="Normal 2 60" xfId="28949" xr:uid="{00000000-0005-0000-0000-000015710000}"/>
    <cellStyle name="Normal 2 60 2" xfId="28950" xr:uid="{00000000-0005-0000-0000-000016710000}"/>
    <cellStyle name="Normal 2 60 3" xfId="28951" xr:uid="{00000000-0005-0000-0000-000017710000}"/>
    <cellStyle name="Normal 2 61" xfId="28952" xr:uid="{00000000-0005-0000-0000-000018710000}"/>
    <cellStyle name="Normal 2 61 2" xfId="28953" xr:uid="{00000000-0005-0000-0000-000019710000}"/>
    <cellStyle name="Normal 2 61 3" xfId="28954" xr:uid="{00000000-0005-0000-0000-00001A710000}"/>
    <cellStyle name="Normal 2 62" xfId="28955" xr:uid="{00000000-0005-0000-0000-00001B710000}"/>
    <cellStyle name="Normal 2 62 2" xfId="28956" xr:uid="{00000000-0005-0000-0000-00001C710000}"/>
    <cellStyle name="Normal 2 62 3" xfId="28957" xr:uid="{00000000-0005-0000-0000-00001D710000}"/>
    <cellStyle name="Normal 2 63" xfId="28958" xr:uid="{00000000-0005-0000-0000-00001E710000}"/>
    <cellStyle name="Normal 2 63 2" xfId="28959" xr:uid="{00000000-0005-0000-0000-00001F710000}"/>
    <cellStyle name="Normal 2 63 3" xfId="28960" xr:uid="{00000000-0005-0000-0000-000020710000}"/>
    <cellStyle name="Normal 2 64" xfId="28961" xr:uid="{00000000-0005-0000-0000-000021710000}"/>
    <cellStyle name="Normal 2 64 2" xfId="28962" xr:uid="{00000000-0005-0000-0000-000022710000}"/>
    <cellStyle name="Normal 2 64 3" xfId="28963" xr:uid="{00000000-0005-0000-0000-000023710000}"/>
    <cellStyle name="Normal 2 65" xfId="28964" xr:uid="{00000000-0005-0000-0000-000024710000}"/>
    <cellStyle name="Normal 2 65 2" xfId="28965" xr:uid="{00000000-0005-0000-0000-000025710000}"/>
    <cellStyle name="Normal 2 65 3" xfId="28966" xr:uid="{00000000-0005-0000-0000-000026710000}"/>
    <cellStyle name="Normal 2 66" xfId="28967" xr:uid="{00000000-0005-0000-0000-000027710000}"/>
    <cellStyle name="Normal 2 66 2" xfId="28968" xr:uid="{00000000-0005-0000-0000-000028710000}"/>
    <cellStyle name="Normal 2 66 3" xfId="28969" xr:uid="{00000000-0005-0000-0000-000029710000}"/>
    <cellStyle name="Normal 2 67" xfId="28970" xr:uid="{00000000-0005-0000-0000-00002A710000}"/>
    <cellStyle name="Normal 2 67 2" xfId="28971" xr:uid="{00000000-0005-0000-0000-00002B710000}"/>
    <cellStyle name="Normal 2 67 3" xfId="28972" xr:uid="{00000000-0005-0000-0000-00002C710000}"/>
    <cellStyle name="Normal 2 68" xfId="28973" xr:uid="{00000000-0005-0000-0000-00002D710000}"/>
    <cellStyle name="Normal 2 68 2" xfId="28974" xr:uid="{00000000-0005-0000-0000-00002E710000}"/>
    <cellStyle name="Normal 2 68 3" xfId="28975" xr:uid="{00000000-0005-0000-0000-00002F710000}"/>
    <cellStyle name="Normal 2 69" xfId="28976" xr:uid="{00000000-0005-0000-0000-000030710000}"/>
    <cellStyle name="Normal 2 69 2" xfId="28977" xr:uid="{00000000-0005-0000-0000-000031710000}"/>
    <cellStyle name="Normal 2 69 3" xfId="28978" xr:uid="{00000000-0005-0000-0000-000032710000}"/>
    <cellStyle name="Normal 2 7" xfId="28979" xr:uid="{00000000-0005-0000-0000-000033710000}"/>
    <cellStyle name="Normal 2 7 2" xfId="28980" xr:uid="{00000000-0005-0000-0000-000034710000}"/>
    <cellStyle name="Normal 2 7 3" xfId="28981" xr:uid="{00000000-0005-0000-0000-000035710000}"/>
    <cellStyle name="Normal 2 70" xfId="28982" xr:uid="{00000000-0005-0000-0000-000036710000}"/>
    <cellStyle name="Normal 2 70 2" xfId="28983" xr:uid="{00000000-0005-0000-0000-000037710000}"/>
    <cellStyle name="Normal 2 70 3" xfId="28984" xr:uid="{00000000-0005-0000-0000-000038710000}"/>
    <cellStyle name="Normal 2 71" xfId="28985" xr:uid="{00000000-0005-0000-0000-000039710000}"/>
    <cellStyle name="Normal 2 71 2" xfId="28986" xr:uid="{00000000-0005-0000-0000-00003A710000}"/>
    <cellStyle name="Normal 2 71 3" xfId="28987" xr:uid="{00000000-0005-0000-0000-00003B710000}"/>
    <cellStyle name="Normal 2 72" xfId="28988" xr:uid="{00000000-0005-0000-0000-00003C710000}"/>
    <cellStyle name="Normal 2 72 2" xfId="28989" xr:uid="{00000000-0005-0000-0000-00003D710000}"/>
    <cellStyle name="Normal 2 72 3" xfId="28990" xr:uid="{00000000-0005-0000-0000-00003E710000}"/>
    <cellStyle name="Normal 2 73" xfId="28991" xr:uid="{00000000-0005-0000-0000-00003F710000}"/>
    <cellStyle name="Normal 2 73 2" xfId="28992" xr:uid="{00000000-0005-0000-0000-000040710000}"/>
    <cellStyle name="Normal 2 73 3" xfId="28993" xr:uid="{00000000-0005-0000-0000-000041710000}"/>
    <cellStyle name="Normal 2 74" xfId="28994" xr:uid="{00000000-0005-0000-0000-000042710000}"/>
    <cellStyle name="Normal 2 74 2" xfId="28995" xr:uid="{00000000-0005-0000-0000-000043710000}"/>
    <cellStyle name="Normal 2 74 3" xfId="28996" xr:uid="{00000000-0005-0000-0000-000044710000}"/>
    <cellStyle name="Normal 2 75" xfId="28997" xr:uid="{00000000-0005-0000-0000-000045710000}"/>
    <cellStyle name="Normal 2 76" xfId="28998" xr:uid="{00000000-0005-0000-0000-000046710000}"/>
    <cellStyle name="Normal 2 77" xfId="28999" xr:uid="{00000000-0005-0000-0000-000047710000}"/>
    <cellStyle name="Normal 2 78" xfId="29000" xr:uid="{00000000-0005-0000-0000-000048710000}"/>
    <cellStyle name="Normal 2 79" xfId="29001" xr:uid="{00000000-0005-0000-0000-000049710000}"/>
    <cellStyle name="Normal 2 8" xfId="29002" xr:uid="{00000000-0005-0000-0000-00004A710000}"/>
    <cellStyle name="Normal 2 8 2" xfId="29003" xr:uid="{00000000-0005-0000-0000-00004B710000}"/>
    <cellStyle name="Normal 2 8 3" xfId="29004" xr:uid="{00000000-0005-0000-0000-00004C710000}"/>
    <cellStyle name="Normal 2 80" xfId="29005" xr:uid="{00000000-0005-0000-0000-00004D710000}"/>
    <cellStyle name="Normal 2 81" xfId="29006" xr:uid="{00000000-0005-0000-0000-00004E710000}"/>
    <cellStyle name="Normal 2 82" xfId="29007" xr:uid="{00000000-0005-0000-0000-00004F710000}"/>
    <cellStyle name="Normal 2 82 2" xfId="29008" xr:uid="{00000000-0005-0000-0000-000050710000}"/>
    <cellStyle name="Normal 2 82 2 2" xfId="29009" xr:uid="{00000000-0005-0000-0000-000051710000}"/>
    <cellStyle name="Normal 2 82 2 3" xfId="29010" xr:uid="{00000000-0005-0000-0000-000052710000}"/>
    <cellStyle name="Normal 2 82 3" xfId="29011" xr:uid="{00000000-0005-0000-0000-000053710000}"/>
    <cellStyle name="Normal 2 82 4" xfId="29012" xr:uid="{00000000-0005-0000-0000-000054710000}"/>
    <cellStyle name="Normal 2 83" xfId="29013" xr:uid="{00000000-0005-0000-0000-000055710000}"/>
    <cellStyle name="Normal 2 83 2" xfId="29014" xr:uid="{00000000-0005-0000-0000-000056710000}"/>
    <cellStyle name="Normal 2 84" xfId="29015" xr:uid="{00000000-0005-0000-0000-000057710000}"/>
    <cellStyle name="Normal 2 84 2" xfId="29016" xr:uid="{00000000-0005-0000-0000-000058710000}"/>
    <cellStyle name="Normal 2 85" xfId="29017" xr:uid="{00000000-0005-0000-0000-000059710000}"/>
    <cellStyle name="Normal 2 85 2" xfId="29018" xr:uid="{00000000-0005-0000-0000-00005A710000}"/>
    <cellStyle name="Normal 2 85 2 2" xfId="29019" xr:uid="{00000000-0005-0000-0000-00005B710000}"/>
    <cellStyle name="Normal 2 85 3" xfId="29020" xr:uid="{00000000-0005-0000-0000-00005C710000}"/>
    <cellStyle name="Normal 2 85 4" xfId="29021" xr:uid="{00000000-0005-0000-0000-00005D710000}"/>
    <cellStyle name="Normal 2 85 5" xfId="29022" xr:uid="{00000000-0005-0000-0000-00005E710000}"/>
    <cellStyle name="Normal 2 86" xfId="29023" xr:uid="{00000000-0005-0000-0000-00005F710000}"/>
    <cellStyle name="Normal 2 86 2" xfId="29024" xr:uid="{00000000-0005-0000-0000-000060710000}"/>
    <cellStyle name="Normal 2 86 2 2" xfId="29025" xr:uid="{00000000-0005-0000-0000-000061710000}"/>
    <cellStyle name="Normal 2 86 3" xfId="29026" xr:uid="{00000000-0005-0000-0000-000062710000}"/>
    <cellStyle name="Normal 2 87" xfId="29027" xr:uid="{00000000-0005-0000-0000-000063710000}"/>
    <cellStyle name="Normal 2 87 2" xfId="29028" xr:uid="{00000000-0005-0000-0000-000064710000}"/>
    <cellStyle name="Normal 2 87 3" xfId="29029" xr:uid="{00000000-0005-0000-0000-000065710000}"/>
    <cellStyle name="Normal 2 87 4" xfId="29030" xr:uid="{00000000-0005-0000-0000-000066710000}"/>
    <cellStyle name="Normal 2 87 5" xfId="29031" xr:uid="{00000000-0005-0000-0000-000067710000}"/>
    <cellStyle name="Normal 2 88" xfId="29032" xr:uid="{00000000-0005-0000-0000-000068710000}"/>
    <cellStyle name="Normal 2 88 2" xfId="29033" xr:uid="{00000000-0005-0000-0000-000069710000}"/>
    <cellStyle name="Normal 2 88 3" xfId="29034" xr:uid="{00000000-0005-0000-0000-00006A710000}"/>
    <cellStyle name="Normal 2 88 4" xfId="29035" xr:uid="{00000000-0005-0000-0000-00006B710000}"/>
    <cellStyle name="Normal 2 88 5" xfId="29036" xr:uid="{00000000-0005-0000-0000-00006C710000}"/>
    <cellStyle name="Normal 2 89" xfId="29037" xr:uid="{00000000-0005-0000-0000-00006D710000}"/>
    <cellStyle name="Normal 2 89 2" xfId="29038" xr:uid="{00000000-0005-0000-0000-00006E710000}"/>
    <cellStyle name="Normal 2 9" xfId="29039" xr:uid="{00000000-0005-0000-0000-00006F710000}"/>
    <cellStyle name="Normal 2 9 2" xfId="29040" xr:uid="{00000000-0005-0000-0000-000070710000}"/>
    <cellStyle name="Normal 2 9 3" xfId="29041" xr:uid="{00000000-0005-0000-0000-000071710000}"/>
    <cellStyle name="Normal 2 9 4" xfId="29042" xr:uid="{00000000-0005-0000-0000-000072710000}"/>
    <cellStyle name="Normal 2 9 5" xfId="29043" xr:uid="{00000000-0005-0000-0000-000073710000}"/>
    <cellStyle name="Normal 2 9_Enlaces" xfId="29044" xr:uid="{00000000-0005-0000-0000-000074710000}"/>
    <cellStyle name="Normal 2 90" xfId="29045" xr:uid="{00000000-0005-0000-0000-000075710000}"/>
    <cellStyle name="Normal 2 90 2" xfId="29046" xr:uid="{00000000-0005-0000-0000-000076710000}"/>
    <cellStyle name="Normal 2 91" xfId="29047" xr:uid="{00000000-0005-0000-0000-000077710000}"/>
    <cellStyle name="Normal 2 91 2" xfId="29048" xr:uid="{00000000-0005-0000-0000-000078710000}"/>
    <cellStyle name="Normal 2 92" xfId="29049" xr:uid="{00000000-0005-0000-0000-000079710000}"/>
    <cellStyle name="Normal 2 92 2" xfId="29050" xr:uid="{00000000-0005-0000-0000-00007A710000}"/>
    <cellStyle name="Normal 2 93" xfId="29051" xr:uid="{00000000-0005-0000-0000-00007B710000}"/>
    <cellStyle name="Normal 2 93 2" xfId="29052" xr:uid="{00000000-0005-0000-0000-00007C710000}"/>
    <cellStyle name="Normal 2 94" xfId="29053" xr:uid="{00000000-0005-0000-0000-00007D710000}"/>
    <cellStyle name="Normal 2 94 2" xfId="29054" xr:uid="{00000000-0005-0000-0000-00007E710000}"/>
    <cellStyle name="Normal 2 95" xfId="29055" xr:uid="{00000000-0005-0000-0000-00007F710000}"/>
    <cellStyle name="Normal 2 95 2" xfId="29056" xr:uid="{00000000-0005-0000-0000-000080710000}"/>
    <cellStyle name="Normal 2 96" xfId="29057" xr:uid="{00000000-0005-0000-0000-000081710000}"/>
    <cellStyle name="Normal 2 96 2" xfId="29058" xr:uid="{00000000-0005-0000-0000-000082710000}"/>
    <cellStyle name="Normal 2 97" xfId="29059" xr:uid="{00000000-0005-0000-0000-000083710000}"/>
    <cellStyle name="Normal 2 97 2" xfId="29060" xr:uid="{00000000-0005-0000-0000-000084710000}"/>
    <cellStyle name="Normal 2 98" xfId="29061" xr:uid="{00000000-0005-0000-0000-000085710000}"/>
    <cellStyle name="Normal 2 98 2" xfId="29062" xr:uid="{00000000-0005-0000-0000-000086710000}"/>
    <cellStyle name="Normal 2 99" xfId="29063" xr:uid="{00000000-0005-0000-0000-000087710000}"/>
    <cellStyle name="Normal 2 99 2" xfId="29064" xr:uid="{00000000-0005-0000-0000-000088710000}"/>
    <cellStyle name="Normal 20" xfId="29065" xr:uid="{00000000-0005-0000-0000-000089710000}"/>
    <cellStyle name="Normal 20 10" xfId="29066" xr:uid="{00000000-0005-0000-0000-00008A710000}"/>
    <cellStyle name="Normal 20 11" xfId="29067" xr:uid="{00000000-0005-0000-0000-00008B710000}"/>
    <cellStyle name="Normal 20 12" xfId="29068" xr:uid="{00000000-0005-0000-0000-00008C710000}"/>
    <cellStyle name="Normal 20 13" xfId="29069" xr:uid="{00000000-0005-0000-0000-00008D710000}"/>
    <cellStyle name="Normal 20 14" xfId="29070" xr:uid="{00000000-0005-0000-0000-00008E710000}"/>
    <cellStyle name="Normal 20 15" xfId="29071" xr:uid="{00000000-0005-0000-0000-00008F710000}"/>
    <cellStyle name="Normal 20 16" xfId="29072" xr:uid="{00000000-0005-0000-0000-000090710000}"/>
    <cellStyle name="Normal 20 17" xfId="29073" xr:uid="{00000000-0005-0000-0000-000091710000}"/>
    <cellStyle name="Normal 20 18" xfId="29074" xr:uid="{00000000-0005-0000-0000-000092710000}"/>
    <cellStyle name="Normal 20 19" xfId="29075" xr:uid="{00000000-0005-0000-0000-000093710000}"/>
    <cellStyle name="Normal 20 2" xfId="29076" xr:uid="{00000000-0005-0000-0000-000094710000}"/>
    <cellStyle name="Normal 20 2 2" xfId="29077" xr:uid="{00000000-0005-0000-0000-000095710000}"/>
    <cellStyle name="Normal 20 2 3" xfId="29078" xr:uid="{00000000-0005-0000-0000-000096710000}"/>
    <cellStyle name="Normal 20 2 4" xfId="29079" xr:uid="{00000000-0005-0000-0000-000097710000}"/>
    <cellStyle name="Normal 20 20" xfId="29080" xr:uid="{00000000-0005-0000-0000-000098710000}"/>
    <cellStyle name="Normal 20 21" xfId="29081" xr:uid="{00000000-0005-0000-0000-000099710000}"/>
    <cellStyle name="Normal 20 22" xfId="29082" xr:uid="{00000000-0005-0000-0000-00009A710000}"/>
    <cellStyle name="Normal 20 23" xfId="29083" xr:uid="{00000000-0005-0000-0000-00009B710000}"/>
    <cellStyle name="Normal 20 24" xfId="29084" xr:uid="{00000000-0005-0000-0000-00009C710000}"/>
    <cellStyle name="Normal 20 25" xfId="29085" xr:uid="{00000000-0005-0000-0000-00009D710000}"/>
    <cellStyle name="Normal 20 26" xfId="29086" xr:uid="{00000000-0005-0000-0000-00009E710000}"/>
    <cellStyle name="Normal 20 3" xfId="29087" xr:uid="{00000000-0005-0000-0000-00009F710000}"/>
    <cellStyle name="Normal 20 4" xfId="29088" xr:uid="{00000000-0005-0000-0000-0000A0710000}"/>
    <cellStyle name="Normal 20 5" xfId="29089" xr:uid="{00000000-0005-0000-0000-0000A1710000}"/>
    <cellStyle name="Normal 20 6" xfId="29090" xr:uid="{00000000-0005-0000-0000-0000A2710000}"/>
    <cellStyle name="Normal 20 7" xfId="29091" xr:uid="{00000000-0005-0000-0000-0000A3710000}"/>
    <cellStyle name="Normal 20 8" xfId="29092" xr:uid="{00000000-0005-0000-0000-0000A4710000}"/>
    <cellStyle name="Normal 20 9" xfId="29093" xr:uid="{00000000-0005-0000-0000-0000A5710000}"/>
    <cellStyle name="Normal 21" xfId="29094" xr:uid="{00000000-0005-0000-0000-0000A6710000}"/>
    <cellStyle name="Normal 21 10" xfId="29095" xr:uid="{00000000-0005-0000-0000-0000A7710000}"/>
    <cellStyle name="Normal 21 11" xfId="29096" xr:uid="{00000000-0005-0000-0000-0000A8710000}"/>
    <cellStyle name="Normal 21 12" xfId="29097" xr:uid="{00000000-0005-0000-0000-0000A9710000}"/>
    <cellStyle name="Normal 21 13" xfId="29098" xr:uid="{00000000-0005-0000-0000-0000AA710000}"/>
    <cellStyle name="Normal 21 14" xfId="29099" xr:uid="{00000000-0005-0000-0000-0000AB710000}"/>
    <cellStyle name="Normal 21 15" xfId="29100" xr:uid="{00000000-0005-0000-0000-0000AC710000}"/>
    <cellStyle name="Normal 21 16" xfId="29101" xr:uid="{00000000-0005-0000-0000-0000AD710000}"/>
    <cellStyle name="Normal 21 17" xfId="29102" xr:uid="{00000000-0005-0000-0000-0000AE710000}"/>
    <cellStyle name="Normal 21 18" xfId="29103" xr:uid="{00000000-0005-0000-0000-0000AF710000}"/>
    <cellStyle name="Normal 21 19" xfId="29104" xr:uid="{00000000-0005-0000-0000-0000B0710000}"/>
    <cellStyle name="Normal 21 2" xfId="29105" xr:uid="{00000000-0005-0000-0000-0000B1710000}"/>
    <cellStyle name="Normal 21 2 2" xfId="29106" xr:uid="{00000000-0005-0000-0000-0000B2710000}"/>
    <cellStyle name="Normal 21 2 3" xfId="29107" xr:uid="{00000000-0005-0000-0000-0000B3710000}"/>
    <cellStyle name="Normal 21 20" xfId="29108" xr:uid="{00000000-0005-0000-0000-0000B4710000}"/>
    <cellStyle name="Normal 21 21" xfId="29109" xr:uid="{00000000-0005-0000-0000-0000B5710000}"/>
    <cellStyle name="Normal 21 22" xfId="29110" xr:uid="{00000000-0005-0000-0000-0000B6710000}"/>
    <cellStyle name="Normal 21 23" xfId="29111" xr:uid="{00000000-0005-0000-0000-0000B7710000}"/>
    <cellStyle name="Normal 21 24" xfId="29112" xr:uid="{00000000-0005-0000-0000-0000B8710000}"/>
    <cellStyle name="Normal 21 25" xfId="29113" xr:uid="{00000000-0005-0000-0000-0000B9710000}"/>
    <cellStyle name="Normal 21 26" xfId="29114" xr:uid="{00000000-0005-0000-0000-0000BA710000}"/>
    <cellStyle name="Normal 21 3" xfId="29115" xr:uid="{00000000-0005-0000-0000-0000BB710000}"/>
    <cellStyle name="Normal 21 3 2" xfId="29116" xr:uid="{00000000-0005-0000-0000-0000BC710000}"/>
    <cellStyle name="Normal 21 3 3" xfId="29117" xr:uid="{00000000-0005-0000-0000-0000BD710000}"/>
    <cellStyle name="Normal 21 4" xfId="29118" xr:uid="{00000000-0005-0000-0000-0000BE710000}"/>
    <cellStyle name="Normal 21 5" xfId="29119" xr:uid="{00000000-0005-0000-0000-0000BF710000}"/>
    <cellStyle name="Normal 21 6" xfId="29120" xr:uid="{00000000-0005-0000-0000-0000C0710000}"/>
    <cellStyle name="Normal 21 7" xfId="29121" xr:uid="{00000000-0005-0000-0000-0000C1710000}"/>
    <cellStyle name="Normal 21 8" xfId="29122" xr:uid="{00000000-0005-0000-0000-0000C2710000}"/>
    <cellStyle name="Normal 21 9" xfId="29123" xr:uid="{00000000-0005-0000-0000-0000C3710000}"/>
    <cellStyle name="Normal 22" xfId="29124" xr:uid="{00000000-0005-0000-0000-0000C4710000}"/>
    <cellStyle name="Normal 22 10" xfId="29125" xr:uid="{00000000-0005-0000-0000-0000C5710000}"/>
    <cellStyle name="Normal 22 11" xfId="29126" xr:uid="{00000000-0005-0000-0000-0000C6710000}"/>
    <cellStyle name="Normal 22 12" xfId="29127" xr:uid="{00000000-0005-0000-0000-0000C7710000}"/>
    <cellStyle name="Normal 22 13" xfId="29128" xr:uid="{00000000-0005-0000-0000-0000C8710000}"/>
    <cellStyle name="Normal 22 14" xfId="29129" xr:uid="{00000000-0005-0000-0000-0000C9710000}"/>
    <cellStyle name="Normal 22 15" xfId="29130" xr:uid="{00000000-0005-0000-0000-0000CA710000}"/>
    <cellStyle name="Normal 22 16" xfId="29131" xr:uid="{00000000-0005-0000-0000-0000CB710000}"/>
    <cellStyle name="Normal 22 17" xfId="29132" xr:uid="{00000000-0005-0000-0000-0000CC710000}"/>
    <cellStyle name="Normal 22 18" xfId="29133" xr:uid="{00000000-0005-0000-0000-0000CD710000}"/>
    <cellStyle name="Normal 22 19" xfId="29134" xr:uid="{00000000-0005-0000-0000-0000CE710000}"/>
    <cellStyle name="Normal 22 2" xfId="29135" xr:uid="{00000000-0005-0000-0000-0000CF710000}"/>
    <cellStyle name="Normal 22 2 2" xfId="29136" xr:uid="{00000000-0005-0000-0000-0000D0710000}"/>
    <cellStyle name="Normal 22 2 3" xfId="29137" xr:uid="{00000000-0005-0000-0000-0000D1710000}"/>
    <cellStyle name="Normal 22 20" xfId="29138" xr:uid="{00000000-0005-0000-0000-0000D2710000}"/>
    <cellStyle name="Normal 22 21" xfId="29139" xr:uid="{00000000-0005-0000-0000-0000D3710000}"/>
    <cellStyle name="Normal 22 22" xfId="29140" xr:uid="{00000000-0005-0000-0000-0000D4710000}"/>
    <cellStyle name="Normal 22 23" xfId="29141" xr:uid="{00000000-0005-0000-0000-0000D5710000}"/>
    <cellStyle name="Normal 22 24" xfId="29142" xr:uid="{00000000-0005-0000-0000-0000D6710000}"/>
    <cellStyle name="Normal 22 25" xfId="29143" xr:uid="{00000000-0005-0000-0000-0000D7710000}"/>
    <cellStyle name="Normal 22 26" xfId="29144" xr:uid="{00000000-0005-0000-0000-0000D8710000}"/>
    <cellStyle name="Normal 22 3" xfId="29145" xr:uid="{00000000-0005-0000-0000-0000D9710000}"/>
    <cellStyle name="Normal 22 3 2" xfId="29146" xr:uid="{00000000-0005-0000-0000-0000DA710000}"/>
    <cellStyle name="Normal 22 3 3" xfId="29147" xr:uid="{00000000-0005-0000-0000-0000DB710000}"/>
    <cellStyle name="Normal 22 3 4" xfId="29148" xr:uid="{00000000-0005-0000-0000-0000DC710000}"/>
    <cellStyle name="Normal 22 3 5" xfId="29149" xr:uid="{00000000-0005-0000-0000-0000DD710000}"/>
    <cellStyle name="Normal 22 4" xfId="29150" xr:uid="{00000000-0005-0000-0000-0000DE710000}"/>
    <cellStyle name="Normal 22 5" xfId="29151" xr:uid="{00000000-0005-0000-0000-0000DF710000}"/>
    <cellStyle name="Normal 22 6" xfId="29152" xr:uid="{00000000-0005-0000-0000-0000E0710000}"/>
    <cellStyle name="Normal 22 7" xfId="29153" xr:uid="{00000000-0005-0000-0000-0000E1710000}"/>
    <cellStyle name="Normal 22 8" xfId="29154" xr:uid="{00000000-0005-0000-0000-0000E2710000}"/>
    <cellStyle name="Normal 22 9" xfId="29155" xr:uid="{00000000-0005-0000-0000-0000E3710000}"/>
    <cellStyle name="Normal 23" xfId="29156" xr:uid="{00000000-0005-0000-0000-0000E4710000}"/>
    <cellStyle name="Normal 23 10" xfId="29157" xr:uid="{00000000-0005-0000-0000-0000E5710000}"/>
    <cellStyle name="Normal 23 11" xfId="29158" xr:uid="{00000000-0005-0000-0000-0000E6710000}"/>
    <cellStyle name="Normal 23 12" xfId="29159" xr:uid="{00000000-0005-0000-0000-0000E7710000}"/>
    <cellStyle name="Normal 23 13" xfId="29160" xr:uid="{00000000-0005-0000-0000-0000E8710000}"/>
    <cellStyle name="Normal 23 14" xfId="29161" xr:uid="{00000000-0005-0000-0000-0000E9710000}"/>
    <cellStyle name="Normal 23 15" xfId="29162" xr:uid="{00000000-0005-0000-0000-0000EA710000}"/>
    <cellStyle name="Normal 23 16" xfId="29163" xr:uid="{00000000-0005-0000-0000-0000EB710000}"/>
    <cellStyle name="Normal 23 17" xfId="29164" xr:uid="{00000000-0005-0000-0000-0000EC710000}"/>
    <cellStyle name="Normal 23 18" xfId="29165" xr:uid="{00000000-0005-0000-0000-0000ED710000}"/>
    <cellStyle name="Normal 23 19" xfId="29166" xr:uid="{00000000-0005-0000-0000-0000EE710000}"/>
    <cellStyle name="Normal 23 2" xfId="29167" xr:uid="{00000000-0005-0000-0000-0000EF710000}"/>
    <cellStyle name="Normal 23 2 2" xfId="29168" xr:uid="{00000000-0005-0000-0000-0000F0710000}"/>
    <cellStyle name="Normal 23 2 3" xfId="29169" xr:uid="{00000000-0005-0000-0000-0000F1710000}"/>
    <cellStyle name="Normal 23 20" xfId="29170" xr:uid="{00000000-0005-0000-0000-0000F2710000}"/>
    <cellStyle name="Normal 23 21" xfId="29171" xr:uid="{00000000-0005-0000-0000-0000F3710000}"/>
    <cellStyle name="Normal 23 22" xfId="29172" xr:uid="{00000000-0005-0000-0000-0000F4710000}"/>
    <cellStyle name="Normal 23 23" xfId="29173" xr:uid="{00000000-0005-0000-0000-0000F5710000}"/>
    <cellStyle name="Normal 23 24" xfId="29174" xr:uid="{00000000-0005-0000-0000-0000F6710000}"/>
    <cellStyle name="Normal 23 25" xfId="29175" xr:uid="{00000000-0005-0000-0000-0000F7710000}"/>
    <cellStyle name="Normal 23 26" xfId="29176" xr:uid="{00000000-0005-0000-0000-0000F8710000}"/>
    <cellStyle name="Normal 23 3" xfId="29177" xr:uid="{00000000-0005-0000-0000-0000F9710000}"/>
    <cellStyle name="Normal 23 3 2" xfId="29178" xr:uid="{00000000-0005-0000-0000-0000FA710000}"/>
    <cellStyle name="Normal 23 3 3" xfId="29179" xr:uid="{00000000-0005-0000-0000-0000FB710000}"/>
    <cellStyle name="Normal 23 3 4" xfId="29180" xr:uid="{00000000-0005-0000-0000-0000FC710000}"/>
    <cellStyle name="Normal 23 3 5" xfId="29181" xr:uid="{00000000-0005-0000-0000-0000FD710000}"/>
    <cellStyle name="Normal 23 4" xfId="29182" xr:uid="{00000000-0005-0000-0000-0000FE710000}"/>
    <cellStyle name="Normal 23 5" xfId="29183" xr:uid="{00000000-0005-0000-0000-0000FF710000}"/>
    <cellStyle name="Normal 23 6" xfId="29184" xr:uid="{00000000-0005-0000-0000-000000720000}"/>
    <cellStyle name="Normal 23 7" xfId="29185" xr:uid="{00000000-0005-0000-0000-000001720000}"/>
    <cellStyle name="Normal 23 8" xfId="29186" xr:uid="{00000000-0005-0000-0000-000002720000}"/>
    <cellStyle name="Normal 23 9" xfId="29187" xr:uid="{00000000-0005-0000-0000-000003720000}"/>
    <cellStyle name="Normal 24" xfId="29188" xr:uid="{00000000-0005-0000-0000-000004720000}"/>
    <cellStyle name="Normal 24 10" xfId="29189" xr:uid="{00000000-0005-0000-0000-000005720000}"/>
    <cellStyle name="Normal 24 11" xfId="29190" xr:uid="{00000000-0005-0000-0000-000006720000}"/>
    <cellStyle name="Normal 24 12" xfId="29191" xr:uid="{00000000-0005-0000-0000-000007720000}"/>
    <cellStyle name="Normal 24 13" xfId="29192" xr:uid="{00000000-0005-0000-0000-000008720000}"/>
    <cellStyle name="Normal 24 14" xfId="29193" xr:uid="{00000000-0005-0000-0000-000009720000}"/>
    <cellStyle name="Normal 24 15" xfId="29194" xr:uid="{00000000-0005-0000-0000-00000A720000}"/>
    <cellStyle name="Normal 24 16" xfId="29195" xr:uid="{00000000-0005-0000-0000-00000B720000}"/>
    <cellStyle name="Normal 24 17" xfId="29196" xr:uid="{00000000-0005-0000-0000-00000C720000}"/>
    <cellStyle name="Normal 24 18" xfId="29197" xr:uid="{00000000-0005-0000-0000-00000D720000}"/>
    <cellStyle name="Normal 24 19" xfId="29198" xr:uid="{00000000-0005-0000-0000-00000E720000}"/>
    <cellStyle name="Normal 24 2" xfId="29199" xr:uid="{00000000-0005-0000-0000-00000F720000}"/>
    <cellStyle name="Normal 24 20" xfId="29200" xr:uid="{00000000-0005-0000-0000-000010720000}"/>
    <cellStyle name="Normal 24 21" xfId="29201" xr:uid="{00000000-0005-0000-0000-000011720000}"/>
    <cellStyle name="Normal 24 22" xfId="29202" xr:uid="{00000000-0005-0000-0000-000012720000}"/>
    <cellStyle name="Normal 24 23" xfId="29203" xr:uid="{00000000-0005-0000-0000-000013720000}"/>
    <cellStyle name="Normal 24 24" xfId="29204" xr:uid="{00000000-0005-0000-0000-000014720000}"/>
    <cellStyle name="Normal 24 25" xfId="29205" xr:uid="{00000000-0005-0000-0000-000015720000}"/>
    <cellStyle name="Normal 24 26" xfId="29206" xr:uid="{00000000-0005-0000-0000-000016720000}"/>
    <cellStyle name="Normal 24 27" xfId="29207" xr:uid="{00000000-0005-0000-0000-000017720000}"/>
    <cellStyle name="Normal 24 3" xfId="29208" xr:uid="{00000000-0005-0000-0000-000018720000}"/>
    <cellStyle name="Normal 24 4" xfId="29209" xr:uid="{00000000-0005-0000-0000-000019720000}"/>
    <cellStyle name="Normal 24 5" xfId="29210" xr:uid="{00000000-0005-0000-0000-00001A720000}"/>
    <cellStyle name="Normal 24 6" xfId="29211" xr:uid="{00000000-0005-0000-0000-00001B720000}"/>
    <cellStyle name="Normal 24 7" xfId="29212" xr:uid="{00000000-0005-0000-0000-00001C720000}"/>
    <cellStyle name="Normal 24 8" xfId="29213" xr:uid="{00000000-0005-0000-0000-00001D720000}"/>
    <cellStyle name="Normal 24 9" xfId="29214" xr:uid="{00000000-0005-0000-0000-00001E720000}"/>
    <cellStyle name="Normal 25" xfId="29215" xr:uid="{00000000-0005-0000-0000-00001F720000}"/>
    <cellStyle name="Normal 25 10" xfId="29216" xr:uid="{00000000-0005-0000-0000-000020720000}"/>
    <cellStyle name="Normal 25 11" xfId="29217" xr:uid="{00000000-0005-0000-0000-000021720000}"/>
    <cellStyle name="Normal 25 12" xfId="29218" xr:uid="{00000000-0005-0000-0000-000022720000}"/>
    <cellStyle name="Normal 25 13" xfId="29219" xr:uid="{00000000-0005-0000-0000-000023720000}"/>
    <cellStyle name="Normal 25 14" xfId="29220" xr:uid="{00000000-0005-0000-0000-000024720000}"/>
    <cellStyle name="Normal 25 15" xfId="29221" xr:uid="{00000000-0005-0000-0000-000025720000}"/>
    <cellStyle name="Normal 25 16" xfId="29222" xr:uid="{00000000-0005-0000-0000-000026720000}"/>
    <cellStyle name="Normal 25 17" xfId="29223" xr:uid="{00000000-0005-0000-0000-000027720000}"/>
    <cellStyle name="Normal 25 18" xfId="29224" xr:uid="{00000000-0005-0000-0000-000028720000}"/>
    <cellStyle name="Normal 25 19" xfId="29225" xr:uid="{00000000-0005-0000-0000-000029720000}"/>
    <cellStyle name="Normal 25 2" xfId="29226" xr:uid="{00000000-0005-0000-0000-00002A720000}"/>
    <cellStyle name="Normal 25 20" xfId="29227" xr:uid="{00000000-0005-0000-0000-00002B720000}"/>
    <cellStyle name="Normal 25 21" xfId="29228" xr:uid="{00000000-0005-0000-0000-00002C720000}"/>
    <cellStyle name="Normal 25 22" xfId="29229" xr:uid="{00000000-0005-0000-0000-00002D720000}"/>
    <cellStyle name="Normal 25 23" xfId="29230" xr:uid="{00000000-0005-0000-0000-00002E720000}"/>
    <cellStyle name="Normal 25 24" xfId="29231" xr:uid="{00000000-0005-0000-0000-00002F720000}"/>
    <cellStyle name="Normal 25 25" xfId="29232" xr:uid="{00000000-0005-0000-0000-000030720000}"/>
    <cellStyle name="Normal 25 3" xfId="29233" xr:uid="{00000000-0005-0000-0000-000031720000}"/>
    <cellStyle name="Normal 25 4" xfId="29234" xr:uid="{00000000-0005-0000-0000-000032720000}"/>
    <cellStyle name="Normal 25 5" xfId="29235" xr:uid="{00000000-0005-0000-0000-000033720000}"/>
    <cellStyle name="Normal 25 6" xfId="29236" xr:uid="{00000000-0005-0000-0000-000034720000}"/>
    <cellStyle name="Normal 25 7" xfId="29237" xr:uid="{00000000-0005-0000-0000-000035720000}"/>
    <cellStyle name="Normal 25 8" xfId="29238" xr:uid="{00000000-0005-0000-0000-000036720000}"/>
    <cellStyle name="Normal 25 9" xfId="29239" xr:uid="{00000000-0005-0000-0000-000037720000}"/>
    <cellStyle name="Normal 26" xfId="29240" xr:uid="{00000000-0005-0000-0000-000038720000}"/>
    <cellStyle name="Normal 26 10" xfId="29241" xr:uid="{00000000-0005-0000-0000-000039720000}"/>
    <cellStyle name="Normal 26 11" xfId="29242" xr:uid="{00000000-0005-0000-0000-00003A720000}"/>
    <cellStyle name="Normal 26 12" xfId="29243" xr:uid="{00000000-0005-0000-0000-00003B720000}"/>
    <cellStyle name="Normal 26 13" xfId="29244" xr:uid="{00000000-0005-0000-0000-00003C720000}"/>
    <cellStyle name="Normal 26 14" xfId="29245" xr:uid="{00000000-0005-0000-0000-00003D720000}"/>
    <cellStyle name="Normal 26 15" xfId="29246" xr:uid="{00000000-0005-0000-0000-00003E720000}"/>
    <cellStyle name="Normal 26 16" xfId="29247" xr:uid="{00000000-0005-0000-0000-00003F720000}"/>
    <cellStyle name="Normal 26 17" xfId="29248" xr:uid="{00000000-0005-0000-0000-000040720000}"/>
    <cellStyle name="Normal 26 18" xfId="29249" xr:uid="{00000000-0005-0000-0000-000041720000}"/>
    <cellStyle name="Normal 26 19" xfId="29250" xr:uid="{00000000-0005-0000-0000-000042720000}"/>
    <cellStyle name="Normal 26 2" xfId="29251" xr:uid="{00000000-0005-0000-0000-000043720000}"/>
    <cellStyle name="Normal 26 20" xfId="29252" xr:uid="{00000000-0005-0000-0000-000044720000}"/>
    <cellStyle name="Normal 26 21" xfId="29253" xr:uid="{00000000-0005-0000-0000-000045720000}"/>
    <cellStyle name="Normal 26 22" xfId="29254" xr:uid="{00000000-0005-0000-0000-000046720000}"/>
    <cellStyle name="Normal 26 23" xfId="29255" xr:uid="{00000000-0005-0000-0000-000047720000}"/>
    <cellStyle name="Normal 26 24" xfId="29256" xr:uid="{00000000-0005-0000-0000-000048720000}"/>
    <cellStyle name="Normal 26 25" xfId="29257" xr:uid="{00000000-0005-0000-0000-000049720000}"/>
    <cellStyle name="Normal 26 3" xfId="29258" xr:uid="{00000000-0005-0000-0000-00004A720000}"/>
    <cellStyle name="Normal 26 4" xfId="29259" xr:uid="{00000000-0005-0000-0000-00004B720000}"/>
    <cellStyle name="Normal 26 5" xfId="29260" xr:uid="{00000000-0005-0000-0000-00004C720000}"/>
    <cellStyle name="Normal 26 6" xfId="29261" xr:uid="{00000000-0005-0000-0000-00004D720000}"/>
    <cellStyle name="Normal 26 7" xfId="29262" xr:uid="{00000000-0005-0000-0000-00004E720000}"/>
    <cellStyle name="Normal 26 8" xfId="29263" xr:uid="{00000000-0005-0000-0000-00004F720000}"/>
    <cellStyle name="Normal 26 9" xfId="29264" xr:uid="{00000000-0005-0000-0000-000050720000}"/>
    <cellStyle name="Normal 27" xfId="29265" xr:uid="{00000000-0005-0000-0000-000051720000}"/>
    <cellStyle name="Normal 27 2" xfId="29266" xr:uid="{00000000-0005-0000-0000-000052720000}"/>
    <cellStyle name="Normal 28" xfId="29267" xr:uid="{00000000-0005-0000-0000-000053720000}"/>
    <cellStyle name="Normal 28 10" xfId="29268" xr:uid="{00000000-0005-0000-0000-000054720000}"/>
    <cellStyle name="Normal 28 11" xfId="29269" xr:uid="{00000000-0005-0000-0000-000055720000}"/>
    <cellStyle name="Normal 28 12" xfId="29270" xr:uid="{00000000-0005-0000-0000-000056720000}"/>
    <cellStyle name="Normal 28 13" xfId="29271" xr:uid="{00000000-0005-0000-0000-000057720000}"/>
    <cellStyle name="Normal 28 14" xfId="29272" xr:uid="{00000000-0005-0000-0000-000058720000}"/>
    <cellStyle name="Normal 28 15" xfId="29273" xr:uid="{00000000-0005-0000-0000-000059720000}"/>
    <cellStyle name="Normal 28 16" xfId="29274" xr:uid="{00000000-0005-0000-0000-00005A720000}"/>
    <cellStyle name="Normal 28 17" xfId="29275" xr:uid="{00000000-0005-0000-0000-00005B720000}"/>
    <cellStyle name="Normal 28 18" xfId="29276" xr:uid="{00000000-0005-0000-0000-00005C720000}"/>
    <cellStyle name="Normal 28 19" xfId="29277" xr:uid="{00000000-0005-0000-0000-00005D720000}"/>
    <cellStyle name="Normal 28 2" xfId="29278" xr:uid="{00000000-0005-0000-0000-00005E720000}"/>
    <cellStyle name="Normal 28 2 2" xfId="29279" xr:uid="{00000000-0005-0000-0000-00005F720000}"/>
    <cellStyle name="Normal 28 2 3" xfId="29280" xr:uid="{00000000-0005-0000-0000-000060720000}"/>
    <cellStyle name="Normal 28 20" xfId="29281" xr:uid="{00000000-0005-0000-0000-000061720000}"/>
    <cellStyle name="Normal 28 21" xfId="29282" xr:uid="{00000000-0005-0000-0000-000062720000}"/>
    <cellStyle name="Normal 28 22" xfId="29283" xr:uid="{00000000-0005-0000-0000-000063720000}"/>
    <cellStyle name="Normal 28 23" xfId="29284" xr:uid="{00000000-0005-0000-0000-000064720000}"/>
    <cellStyle name="Normal 28 24" xfId="29285" xr:uid="{00000000-0005-0000-0000-000065720000}"/>
    <cellStyle name="Normal 28 25" xfId="29286" xr:uid="{00000000-0005-0000-0000-000066720000}"/>
    <cellStyle name="Normal 28 26" xfId="29287" xr:uid="{00000000-0005-0000-0000-000067720000}"/>
    <cellStyle name="Normal 28 3" xfId="29288" xr:uid="{00000000-0005-0000-0000-000068720000}"/>
    <cellStyle name="Normal 28 3 2" xfId="29289" xr:uid="{00000000-0005-0000-0000-000069720000}"/>
    <cellStyle name="Normal 28 3 3" xfId="29290" xr:uid="{00000000-0005-0000-0000-00006A720000}"/>
    <cellStyle name="Normal 28 4" xfId="29291" xr:uid="{00000000-0005-0000-0000-00006B720000}"/>
    <cellStyle name="Normal 28 5" xfId="29292" xr:uid="{00000000-0005-0000-0000-00006C720000}"/>
    <cellStyle name="Normal 28 6" xfId="29293" xr:uid="{00000000-0005-0000-0000-00006D720000}"/>
    <cellStyle name="Normal 28 7" xfId="29294" xr:uid="{00000000-0005-0000-0000-00006E720000}"/>
    <cellStyle name="Normal 28 8" xfId="29295" xr:uid="{00000000-0005-0000-0000-00006F720000}"/>
    <cellStyle name="Normal 28 9" xfId="29296" xr:uid="{00000000-0005-0000-0000-000070720000}"/>
    <cellStyle name="Normal 29" xfId="29297" xr:uid="{00000000-0005-0000-0000-000071720000}"/>
    <cellStyle name="Normal 29 10" xfId="29298" xr:uid="{00000000-0005-0000-0000-000072720000}"/>
    <cellStyle name="Normal 29 11" xfId="29299" xr:uid="{00000000-0005-0000-0000-000073720000}"/>
    <cellStyle name="Normal 29 12" xfId="29300" xr:uid="{00000000-0005-0000-0000-000074720000}"/>
    <cellStyle name="Normal 29 13" xfId="29301" xr:uid="{00000000-0005-0000-0000-000075720000}"/>
    <cellStyle name="Normal 29 14" xfId="29302" xr:uid="{00000000-0005-0000-0000-000076720000}"/>
    <cellStyle name="Normal 29 15" xfId="29303" xr:uid="{00000000-0005-0000-0000-000077720000}"/>
    <cellStyle name="Normal 29 16" xfId="29304" xr:uid="{00000000-0005-0000-0000-000078720000}"/>
    <cellStyle name="Normal 29 17" xfId="29305" xr:uid="{00000000-0005-0000-0000-000079720000}"/>
    <cellStyle name="Normal 29 18" xfId="29306" xr:uid="{00000000-0005-0000-0000-00007A720000}"/>
    <cellStyle name="Normal 29 19" xfId="29307" xr:uid="{00000000-0005-0000-0000-00007B720000}"/>
    <cellStyle name="Normal 29 2" xfId="29308" xr:uid="{00000000-0005-0000-0000-00007C720000}"/>
    <cellStyle name="Normal 29 2 2" xfId="29309" xr:uid="{00000000-0005-0000-0000-00007D720000}"/>
    <cellStyle name="Normal 29 2 3" xfId="29310" xr:uid="{00000000-0005-0000-0000-00007E720000}"/>
    <cellStyle name="Normal 29 20" xfId="29311" xr:uid="{00000000-0005-0000-0000-00007F720000}"/>
    <cellStyle name="Normal 29 21" xfId="29312" xr:uid="{00000000-0005-0000-0000-000080720000}"/>
    <cellStyle name="Normal 29 22" xfId="29313" xr:uid="{00000000-0005-0000-0000-000081720000}"/>
    <cellStyle name="Normal 29 23" xfId="29314" xr:uid="{00000000-0005-0000-0000-000082720000}"/>
    <cellStyle name="Normal 29 24" xfId="29315" xr:uid="{00000000-0005-0000-0000-000083720000}"/>
    <cellStyle name="Normal 29 25" xfId="29316" xr:uid="{00000000-0005-0000-0000-000084720000}"/>
    <cellStyle name="Normal 29 26" xfId="29317" xr:uid="{00000000-0005-0000-0000-000085720000}"/>
    <cellStyle name="Normal 29 3" xfId="29318" xr:uid="{00000000-0005-0000-0000-000086720000}"/>
    <cellStyle name="Normal 29 3 2" xfId="29319" xr:uid="{00000000-0005-0000-0000-000087720000}"/>
    <cellStyle name="Normal 29 3 3" xfId="29320" xr:uid="{00000000-0005-0000-0000-000088720000}"/>
    <cellStyle name="Normal 29 4" xfId="29321" xr:uid="{00000000-0005-0000-0000-000089720000}"/>
    <cellStyle name="Normal 29 5" xfId="29322" xr:uid="{00000000-0005-0000-0000-00008A720000}"/>
    <cellStyle name="Normal 29 6" xfId="29323" xr:uid="{00000000-0005-0000-0000-00008B720000}"/>
    <cellStyle name="Normal 29 7" xfId="29324" xr:uid="{00000000-0005-0000-0000-00008C720000}"/>
    <cellStyle name="Normal 29 8" xfId="29325" xr:uid="{00000000-0005-0000-0000-00008D720000}"/>
    <cellStyle name="Normal 29 9" xfId="29326" xr:uid="{00000000-0005-0000-0000-00008E720000}"/>
    <cellStyle name="Normal 3" xfId="20" xr:uid="{00000000-0005-0000-0000-000014000000}"/>
    <cellStyle name="Normal 3 10" xfId="29327" xr:uid="{00000000-0005-0000-0000-00008F720000}"/>
    <cellStyle name="Normal 3 10 2" xfId="29328" xr:uid="{00000000-0005-0000-0000-000090720000}"/>
    <cellStyle name="Normal 3 10 3" xfId="29329" xr:uid="{00000000-0005-0000-0000-000091720000}"/>
    <cellStyle name="Normal 3 10 4" xfId="29330" xr:uid="{00000000-0005-0000-0000-000092720000}"/>
    <cellStyle name="Normal 3 10 5" xfId="29331" xr:uid="{00000000-0005-0000-0000-000093720000}"/>
    <cellStyle name="Normal 3 10 6" xfId="29332" xr:uid="{00000000-0005-0000-0000-000094720000}"/>
    <cellStyle name="Normal 3 10_Enlaces" xfId="29333" xr:uid="{00000000-0005-0000-0000-000095720000}"/>
    <cellStyle name="Normal 3 100" xfId="29334" xr:uid="{00000000-0005-0000-0000-000096720000}"/>
    <cellStyle name="Normal 3 100 2" xfId="29335" xr:uid="{00000000-0005-0000-0000-000097720000}"/>
    <cellStyle name="Normal 3 100 3" xfId="29336" xr:uid="{00000000-0005-0000-0000-000098720000}"/>
    <cellStyle name="Normal 3 101" xfId="29337" xr:uid="{00000000-0005-0000-0000-000099720000}"/>
    <cellStyle name="Normal 3 101 2" xfId="29338" xr:uid="{00000000-0005-0000-0000-00009A720000}"/>
    <cellStyle name="Normal 3 101 3" xfId="29339" xr:uid="{00000000-0005-0000-0000-00009B720000}"/>
    <cellStyle name="Normal 3 102" xfId="29340" xr:uid="{00000000-0005-0000-0000-00009C720000}"/>
    <cellStyle name="Normal 3 102 2" xfId="29341" xr:uid="{00000000-0005-0000-0000-00009D720000}"/>
    <cellStyle name="Normal 3 102 3" xfId="29342" xr:uid="{00000000-0005-0000-0000-00009E720000}"/>
    <cellStyle name="Normal 3 103" xfId="29343" xr:uid="{00000000-0005-0000-0000-00009F720000}"/>
    <cellStyle name="Normal 3 103 2" xfId="29344" xr:uid="{00000000-0005-0000-0000-0000A0720000}"/>
    <cellStyle name="Normal 3 103 3" xfId="29345" xr:uid="{00000000-0005-0000-0000-0000A1720000}"/>
    <cellStyle name="Normal 3 104" xfId="29346" xr:uid="{00000000-0005-0000-0000-0000A2720000}"/>
    <cellStyle name="Normal 3 104 2" xfId="29347" xr:uid="{00000000-0005-0000-0000-0000A3720000}"/>
    <cellStyle name="Normal 3 104 3" xfId="29348" xr:uid="{00000000-0005-0000-0000-0000A4720000}"/>
    <cellStyle name="Normal 3 105" xfId="29349" xr:uid="{00000000-0005-0000-0000-0000A5720000}"/>
    <cellStyle name="Normal 3 105 2" xfId="29350" xr:uid="{00000000-0005-0000-0000-0000A6720000}"/>
    <cellStyle name="Normal 3 105 3" xfId="29351" xr:uid="{00000000-0005-0000-0000-0000A7720000}"/>
    <cellStyle name="Normal 3 106" xfId="29352" xr:uid="{00000000-0005-0000-0000-0000A8720000}"/>
    <cellStyle name="Normal 3 106 2" xfId="29353" xr:uid="{00000000-0005-0000-0000-0000A9720000}"/>
    <cellStyle name="Normal 3 106 3" xfId="29354" xr:uid="{00000000-0005-0000-0000-0000AA720000}"/>
    <cellStyle name="Normal 3 107" xfId="29355" xr:uid="{00000000-0005-0000-0000-0000AB720000}"/>
    <cellStyle name="Normal 3 107 2" xfId="29356" xr:uid="{00000000-0005-0000-0000-0000AC720000}"/>
    <cellStyle name="Normal 3 107 3" xfId="29357" xr:uid="{00000000-0005-0000-0000-0000AD720000}"/>
    <cellStyle name="Normal 3 108" xfId="29358" xr:uid="{00000000-0005-0000-0000-0000AE720000}"/>
    <cellStyle name="Normal 3 108 2" xfId="29359" xr:uid="{00000000-0005-0000-0000-0000AF720000}"/>
    <cellStyle name="Normal 3 108 3" xfId="29360" xr:uid="{00000000-0005-0000-0000-0000B0720000}"/>
    <cellStyle name="Normal 3 109" xfId="29361" xr:uid="{00000000-0005-0000-0000-0000B1720000}"/>
    <cellStyle name="Normal 3 109 2" xfId="29362" xr:uid="{00000000-0005-0000-0000-0000B2720000}"/>
    <cellStyle name="Normal 3 109 3" xfId="29363" xr:uid="{00000000-0005-0000-0000-0000B3720000}"/>
    <cellStyle name="Normal 3 11" xfId="29364" xr:uid="{00000000-0005-0000-0000-0000B4720000}"/>
    <cellStyle name="Normal 3 11 2" xfId="29365" xr:uid="{00000000-0005-0000-0000-0000B5720000}"/>
    <cellStyle name="Normal 3 11 3" xfId="29366" xr:uid="{00000000-0005-0000-0000-0000B6720000}"/>
    <cellStyle name="Normal 3 11 4" xfId="29367" xr:uid="{00000000-0005-0000-0000-0000B7720000}"/>
    <cellStyle name="Normal 3 11_Enlaces" xfId="29368" xr:uid="{00000000-0005-0000-0000-0000B8720000}"/>
    <cellStyle name="Normal 3 110" xfId="29369" xr:uid="{00000000-0005-0000-0000-0000B9720000}"/>
    <cellStyle name="Normal 3 110 2" xfId="29370" xr:uid="{00000000-0005-0000-0000-0000BA720000}"/>
    <cellStyle name="Normal 3 110 3" xfId="29371" xr:uid="{00000000-0005-0000-0000-0000BB720000}"/>
    <cellStyle name="Normal 3 111" xfId="29372" xr:uid="{00000000-0005-0000-0000-0000BC720000}"/>
    <cellStyle name="Normal 3 111 2" xfId="29373" xr:uid="{00000000-0005-0000-0000-0000BD720000}"/>
    <cellStyle name="Normal 3 111 3" xfId="29374" xr:uid="{00000000-0005-0000-0000-0000BE720000}"/>
    <cellStyle name="Normal 3 112" xfId="29375" xr:uid="{00000000-0005-0000-0000-0000BF720000}"/>
    <cellStyle name="Normal 3 112 2" xfId="29376" xr:uid="{00000000-0005-0000-0000-0000C0720000}"/>
    <cellStyle name="Normal 3 112 3" xfId="29377" xr:uid="{00000000-0005-0000-0000-0000C1720000}"/>
    <cellStyle name="Normal 3 113" xfId="29378" xr:uid="{00000000-0005-0000-0000-0000C2720000}"/>
    <cellStyle name="Normal 3 113 2" xfId="29379" xr:uid="{00000000-0005-0000-0000-0000C3720000}"/>
    <cellStyle name="Normal 3 113 3" xfId="29380" xr:uid="{00000000-0005-0000-0000-0000C4720000}"/>
    <cellStyle name="Normal 3 114" xfId="29381" xr:uid="{00000000-0005-0000-0000-0000C5720000}"/>
    <cellStyle name="Normal 3 114 2" xfId="29382" xr:uid="{00000000-0005-0000-0000-0000C6720000}"/>
    <cellStyle name="Normal 3 114 3" xfId="29383" xr:uid="{00000000-0005-0000-0000-0000C7720000}"/>
    <cellStyle name="Normal 3 115" xfId="29384" xr:uid="{00000000-0005-0000-0000-0000C8720000}"/>
    <cellStyle name="Normal 3 115 2" xfId="29385" xr:uid="{00000000-0005-0000-0000-0000C9720000}"/>
    <cellStyle name="Normal 3 115 3" xfId="29386" xr:uid="{00000000-0005-0000-0000-0000CA720000}"/>
    <cellStyle name="Normal 3 116" xfId="29387" xr:uid="{00000000-0005-0000-0000-0000CB720000}"/>
    <cellStyle name="Normal 3 116 2" xfId="29388" xr:uid="{00000000-0005-0000-0000-0000CC720000}"/>
    <cellStyle name="Normal 3 116 3" xfId="29389" xr:uid="{00000000-0005-0000-0000-0000CD720000}"/>
    <cellStyle name="Normal 3 117" xfId="29390" xr:uid="{00000000-0005-0000-0000-0000CE720000}"/>
    <cellStyle name="Normal 3 117 2" xfId="29391" xr:uid="{00000000-0005-0000-0000-0000CF720000}"/>
    <cellStyle name="Normal 3 117 3" xfId="29392" xr:uid="{00000000-0005-0000-0000-0000D0720000}"/>
    <cellStyle name="Normal 3 118" xfId="29393" xr:uid="{00000000-0005-0000-0000-0000D1720000}"/>
    <cellStyle name="Normal 3 118 2" xfId="29394" xr:uid="{00000000-0005-0000-0000-0000D2720000}"/>
    <cellStyle name="Normal 3 118 3" xfId="29395" xr:uid="{00000000-0005-0000-0000-0000D3720000}"/>
    <cellStyle name="Normal 3 119" xfId="29396" xr:uid="{00000000-0005-0000-0000-0000D4720000}"/>
    <cellStyle name="Normal 3 119 2" xfId="29397" xr:uid="{00000000-0005-0000-0000-0000D5720000}"/>
    <cellStyle name="Normal 3 119 3" xfId="29398" xr:uid="{00000000-0005-0000-0000-0000D6720000}"/>
    <cellStyle name="Normal 3 12" xfId="29399" xr:uid="{00000000-0005-0000-0000-0000D7720000}"/>
    <cellStyle name="Normal 3 12 2" xfId="29400" xr:uid="{00000000-0005-0000-0000-0000D8720000}"/>
    <cellStyle name="Normal 3 12 3" xfId="29401" xr:uid="{00000000-0005-0000-0000-0000D9720000}"/>
    <cellStyle name="Normal 3 12_Enlaces" xfId="29402" xr:uid="{00000000-0005-0000-0000-0000DA720000}"/>
    <cellStyle name="Normal 3 120" xfId="29403" xr:uid="{00000000-0005-0000-0000-0000DB720000}"/>
    <cellStyle name="Normal 3 120 2" xfId="29404" xr:uid="{00000000-0005-0000-0000-0000DC720000}"/>
    <cellStyle name="Normal 3 120 3" xfId="29405" xr:uid="{00000000-0005-0000-0000-0000DD720000}"/>
    <cellStyle name="Normal 3 121" xfId="29406" xr:uid="{00000000-0005-0000-0000-0000DE720000}"/>
    <cellStyle name="Normal 3 121 2" xfId="29407" xr:uid="{00000000-0005-0000-0000-0000DF720000}"/>
    <cellStyle name="Normal 3 121 3" xfId="29408" xr:uid="{00000000-0005-0000-0000-0000E0720000}"/>
    <cellStyle name="Normal 3 122" xfId="29409" xr:uid="{00000000-0005-0000-0000-0000E1720000}"/>
    <cellStyle name="Normal 3 122 2" xfId="29410" xr:uid="{00000000-0005-0000-0000-0000E2720000}"/>
    <cellStyle name="Normal 3 122 3" xfId="29411" xr:uid="{00000000-0005-0000-0000-0000E3720000}"/>
    <cellStyle name="Normal 3 123" xfId="29412" xr:uid="{00000000-0005-0000-0000-0000E4720000}"/>
    <cellStyle name="Normal 3 123 2" xfId="29413" xr:uid="{00000000-0005-0000-0000-0000E5720000}"/>
    <cellStyle name="Normal 3 123 3" xfId="29414" xr:uid="{00000000-0005-0000-0000-0000E6720000}"/>
    <cellStyle name="Normal 3 124" xfId="29415" xr:uid="{00000000-0005-0000-0000-0000E7720000}"/>
    <cellStyle name="Normal 3 125" xfId="29416" xr:uid="{00000000-0005-0000-0000-0000E8720000}"/>
    <cellStyle name="Normal 3 126" xfId="29417" xr:uid="{00000000-0005-0000-0000-0000E9720000}"/>
    <cellStyle name="Normal 3 127" xfId="29418" xr:uid="{00000000-0005-0000-0000-0000EA720000}"/>
    <cellStyle name="Normal 3 128" xfId="29419" xr:uid="{00000000-0005-0000-0000-0000EB720000}"/>
    <cellStyle name="Normal 3 129" xfId="29420" xr:uid="{00000000-0005-0000-0000-0000EC720000}"/>
    <cellStyle name="Normal 3 13" xfId="29421" xr:uid="{00000000-0005-0000-0000-0000ED720000}"/>
    <cellStyle name="Normal 3 13 2" xfId="29422" xr:uid="{00000000-0005-0000-0000-0000EE720000}"/>
    <cellStyle name="Normal 3 13 3" xfId="29423" xr:uid="{00000000-0005-0000-0000-0000EF720000}"/>
    <cellStyle name="Normal 3 13_Enlaces" xfId="29424" xr:uid="{00000000-0005-0000-0000-0000F0720000}"/>
    <cellStyle name="Normal 3 130" xfId="29425" xr:uid="{00000000-0005-0000-0000-0000F1720000}"/>
    <cellStyle name="Normal 3 131" xfId="29426" xr:uid="{00000000-0005-0000-0000-0000F2720000}"/>
    <cellStyle name="Normal 3 131 2" xfId="29427" xr:uid="{00000000-0005-0000-0000-0000F3720000}"/>
    <cellStyle name="Normal 3 132" xfId="29428" xr:uid="{00000000-0005-0000-0000-0000F4720000}"/>
    <cellStyle name="Normal 3 132 2" xfId="29429" xr:uid="{00000000-0005-0000-0000-0000F5720000}"/>
    <cellStyle name="Normal 3 133" xfId="29430" xr:uid="{00000000-0005-0000-0000-0000F6720000}"/>
    <cellStyle name="Normal 3 133 2" xfId="29431" xr:uid="{00000000-0005-0000-0000-0000F7720000}"/>
    <cellStyle name="Normal 3 134" xfId="29432" xr:uid="{00000000-0005-0000-0000-0000F8720000}"/>
    <cellStyle name="Normal 3 134 2" xfId="29433" xr:uid="{00000000-0005-0000-0000-0000F9720000}"/>
    <cellStyle name="Normal 3 135" xfId="29434" xr:uid="{00000000-0005-0000-0000-0000FA720000}"/>
    <cellStyle name="Normal 3 135 2" xfId="29435" xr:uid="{00000000-0005-0000-0000-0000FB720000}"/>
    <cellStyle name="Normal 3 136" xfId="29436" xr:uid="{00000000-0005-0000-0000-0000FC720000}"/>
    <cellStyle name="Normal 3 136 2" xfId="29437" xr:uid="{00000000-0005-0000-0000-0000FD720000}"/>
    <cellStyle name="Normal 3 137" xfId="29438" xr:uid="{00000000-0005-0000-0000-0000FE720000}"/>
    <cellStyle name="Normal 3 137 2" xfId="29439" xr:uid="{00000000-0005-0000-0000-0000FF720000}"/>
    <cellStyle name="Normal 3 138" xfId="29440" xr:uid="{00000000-0005-0000-0000-000000730000}"/>
    <cellStyle name="Normal 3 138 2" xfId="29441" xr:uid="{00000000-0005-0000-0000-000001730000}"/>
    <cellStyle name="Normal 3 139" xfId="29442" xr:uid="{00000000-0005-0000-0000-000002730000}"/>
    <cellStyle name="Normal 3 139 2" xfId="29443" xr:uid="{00000000-0005-0000-0000-000003730000}"/>
    <cellStyle name="Normal 3 14" xfId="29444" xr:uid="{00000000-0005-0000-0000-000004730000}"/>
    <cellStyle name="Normal 3 14 2" xfId="29445" xr:uid="{00000000-0005-0000-0000-000005730000}"/>
    <cellStyle name="Normal 3 14 3" xfId="29446" xr:uid="{00000000-0005-0000-0000-000006730000}"/>
    <cellStyle name="Normal 3 14_Enlaces" xfId="29447" xr:uid="{00000000-0005-0000-0000-000007730000}"/>
    <cellStyle name="Normal 3 140" xfId="29448" xr:uid="{00000000-0005-0000-0000-000008730000}"/>
    <cellStyle name="Normal 3 140 2" xfId="29449" xr:uid="{00000000-0005-0000-0000-000009730000}"/>
    <cellStyle name="Normal 3 141" xfId="29450" xr:uid="{00000000-0005-0000-0000-00000A730000}"/>
    <cellStyle name="Normal 3 141 2" xfId="29451" xr:uid="{00000000-0005-0000-0000-00000B730000}"/>
    <cellStyle name="Normal 3 142" xfId="29452" xr:uid="{00000000-0005-0000-0000-00000C730000}"/>
    <cellStyle name="Normal 3 143" xfId="29453" xr:uid="{00000000-0005-0000-0000-00000D730000}"/>
    <cellStyle name="Normal 3 143 2" xfId="29454" xr:uid="{00000000-0005-0000-0000-00000E730000}"/>
    <cellStyle name="Normal 3 144" xfId="29455" xr:uid="{00000000-0005-0000-0000-00000F730000}"/>
    <cellStyle name="Normal 3 145" xfId="29456" xr:uid="{00000000-0005-0000-0000-000010730000}"/>
    <cellStyle name="Normal 3 15" xfId="29457" xr:uid="{00000000-0005-0000-0000-000011730000}"/>
    <cellStyle name="Normal 3 15 2" xfId="29458" xr:uid="{00000000-0005-0000-0000-000012730000}"/>
    <cellStyle name="Normal 3 15 3" xfId="29459" xr:uid="{00000000-0005-0000-0000-000013730000}"/>
    <cellStyle name="Normal 3 15_Enlaces" xfId="29460" xr:uid="{00000000-0005-0000-0000-000014730000}"/>
    <cellStyle name="Normal 3 16" xfId="29461" xr:uid="{00000000-0005-0000-0000-000015730000}"/>
    <cellStyle name="Normal 3 16 2" xfId="29462" xr:uid="{00000000-0005-0000-0000-000016730000}"/>
    <cellStyle name="Normal 3 16 3" xfId="29463" xr:uid="{00000000-0005-0000-0000-000017730000}"/>
    <cellStyle name="Normal 3 16_Enlaces" xfId="29464" xr:uid="{00000000-0005-0000-0000-000018730000}"/>
    <cellStyle name="Normal 3 17" xfId="29465" xr:uid="{00000000-0005-0000-0000-000019730000}"/>
    <cellStyle name="Normal 3 17 2" xfId="29466" xr:uid="{00000000-0005-0000-0000-00001A730000}"/>
    <cellStyle name="Normal 3 17 3" xfId="29467" xr:uid="{00000000-0005-0000-0000-00001B730000}"/>
    <cellStyle name="Normal 3 17_Enlaces" xfId="29468" xr:uid="{00000000-0005-0000-0000-00001C730000}"/>
    <cellStyle name="Normal 3 18" xfId="29469" xr:uid="{00000000-0005-0000-0000-00001D730000}"/>
    <cellStyle name="Normal 3 18 2" xfId="29470" xr:uid="{00000000-0005-0000-0000-00001E730000}"/>
    <cellStyle name="Normal 3 18 3" xfId="29471" xr:uid="{00000000-0005-0000-0000-00001F730000}"/>
    <cellStyle name="Normal 3 18_Enlaces" xfId="29472" xr:uid="{00000000-0005-0000-0000-000020730000}"/>
    <cellStyle name="Normal 3 19" xfId="29473" xr:uid="{00000000-0005-0000-0000-000021730000}"/>
    <cellStyle name="Normal 3 19 2" xfId="29474" xr:uid="{00000000-0005-0000-0000-000022730000}"/>
    <cellStyle name="Normal 3 19 3" xfId="29475" xr:uid="{00000000-0005-0000-0000-000023730000}"/>
    <cellStyle name="Normal 3 19_Enlaces" xfId="29476" xr:uid="{00000000-0005-0000-0000-000024730000}"/>
    <cellStyle name="Normal 3 2" xfId="29477" xr:uid="{00000000-0005-0000-0000-000025730000}"/>
    <cellStyle name="Normal 3 2 10" xfId="29478" xr:uid="{00000000-0005-0000-0000-000026730000}"/>
    <cellStyle name="Normal 3 2 10 2" xfId="29479" xr:uid="{00000000-0005-0000-0000-000027730000}"/>
    <cellStyle name="Normal 3 2 10 3" xfId="29480" xr:uid="{00000000-0005-0000-0000-000028730000}"/>
    <cellStyle name="Normal 3 2 11" xfId="29481" xr:uid="{00000000-0005-0000-0000-000029730000}"/>
    <cellStyle name="Normal 3 2 11 2" xfId="29482" xr:uid="{00000000-0005-0000-0000-00002A730000}"/>
    <cellStyle name="Normal 3 2 12" xfId="29483" xr:uid="{00000000-0005-0000-0000-00002B730000}"/>
    <cellStyle name="Normal 3 2 12 2" xfId="29484" xr:uid="{00000000-0005-0000-0000-00002C730000}"/>
    <cellStyle name="Normal 3 2 13" xfId="29485" xr:uid="{00000000-0005-0000-0000-00002D730000}"/>
    <cellStyle name="Normal 3 2 13 2" xfId="29486" xr:uid="{00000000-0005-0000-0000-00002E730000}"/>
    <cellStyle name="Normal 3 2 14" xfId="29487" xr:uid="{00000000-0005-0000-0000-00002F730000}"/>
    <cellStyle name="Normal 3 2 14 2" xfId="29488" xr:uid="{00000000-0005-0000-0000-000030730000}"/>
    <cellStyle name="Normal 3 2 15" xfId="29489" xr:uid="{00000000-0005-0000-0000-000031730000}"/>
    <cellStyle name="Normal 3 2 15 2" xfId="29490" xr:uid="{00000000-0005-0000-0000-000032730000}"/>
    <cellStyle name="Normal 3 2 16" xfId="29491" xr:uid="{00000000-0005-0000-0000-000033730000}"/>
    <cellStyle name="Normal 3 2 16 2" xfId="29492" xr:uid="{00000000-0005-0000-0000-000034730000}"/>
    <cellStyle name="Normal 3 2 17" xfId="29493" xr:uid="{00000000-0005-0000-0000-000035730000}"/>
    <cellStyle name="Normal 3 2 17 2" xfId="29494" xr:uid="{00000000-0005-0000-0000-000036730000}"/>
    <cellStyle name="Normal 3 2 18" xfId="29495" xr:uid="{00000000-0005-0000-0000-000037730000}"/>
    <cellStyle name="Normal 3 2 18 2" xfId="29496" xr:uid="{00000000-0005-0000-0000-000038730000}"/>
    <cellStyle name="Normal 3 2 19" xfId="29497" xr:uid="{00000000-0005-0000-0000-000039730000}"/>
    <cellStyle name="Normal 3 2 19 2" xfId="29498" xr:uid="{00000000-0005-0000-0000-00003A730000}"/>
    <cellStyle name="Normal 3 2 2" xfId="29499" xr:uid="{00000000-0005-0000-0000-00003B730000}"/>
    <cellStyle name="Normal 3 2 2 2" xfId="29500" xr:uid="{00000000-0005-0000-0000-00003C730000}"/>
    <cellStyle name="Normal 3 2 2 2 2" xfId="29501" xr:uid="{00000000-0005-0000-0000-00003D730000}"/>
    <cellStyle name="Normal 3 2 20" xfId="29502" xr:uid="{00000000-0005-0000-0000-00003E730000}"/>
    <cellStyle name="Normal 3 2 20 2" xfId="29503" xr:uid="{00000000-0005-0000-0000-00003F730000}"/>
    <cellStyle name="Normal 3 2 21" xfId="29504" xr:uid="{00000000-0005-0000-0000-000040730000}"/>
    <cellStyle name="Normal 3 2 21 2" xfId="29505" xr:uid="{00000000-0005-0000-0000-000041730000}"/>
    <cellStyle name="Normal 3 2 22" xfId="29506" xr:uid="{00000000-0005-0000-0000-000042730000}"/>
    <cellStyle name="Normal 3 2 22 2" xfId="29507" xr:uid="{00000000-0005-0000-0000-000043730000}"/>
    <cellStyle name="Normal 3 2 23" xfId="29508" xr:uid="{00000000-0005-0000-0000-000044730000}"/>
    <cellStyle name="Normal 3 2 23 2" xfId="29509" xr:uid="{00000000-0005-0000-0000-000045730000}"/>
    <cellStyle name="Normal 3 2 24" xfId="29510" xr:uid="{00000000-0005-0000-0000-000046730000}"/>
    <cellStyle name="Normal 3 2 24 2" xfId="29511" xr:uid="{00000000-0005-0000-0000-000047730000}"/>
    <cellStyle name="Normal 3 2 25" xfId="29512" xr:uid="{00000000-0005-0000-0000-000048730000}"/>
    <cellStyle name="Normal 3 2 25 2" xfId="29513" xr:uid="{00000000-0005-0000-0000-000049730000}"/>
    <cellStyle name="Normal 3 2 26" xfId="29514" xr:uid="{00000000-0005-0000-0000-00004A730000}"/>
    <cellStyle name="Normal 3 2 27" xfId="29515" xr:uid="{00000000-0005-0000-0000-00004B730000}"/>
    <cellStyle name="Normal 3 2 28" xfId="29516" xr:uid="{00000000-0005-0000-0000-00004C730000}"/>
    <cellStyle name="Normal 3 2 29" xfId="29517" xr:uid="{00000000-0005-0000-0000-00004D730000}"/>
    <cellStyle name="Normal 3 2 3" xfId="29518" xr:uid="{00000000-0005-0000-0000-00004E730000}"/>
    <cellStyle name="Normal 3 2 3 2" xfId="29519" xr:uid="{00000000-0005-0000-0000-00004F730000}"/>
    <cellStyle name="Normal 3 2 3 3" xfId="29520" xr:uid="{00000000-0005-0000-0000-000050730000}"/>
    <cellStyle name="Normal 3 2 30" xfId="29521" xr:uid="{00000000-0005-0000-0000-000051730000}"/>
    <cellStyle name="Normal 3 2 31" xfId="29522" xr:uid="{00000000-0005-0000-0000-000052730000}"/>
    <cellStyle name="Normal 3 2 32" xfId="29523" xr:uid="{00000000-0005-0000-0000-000053730000}"/>
    <cellStyle name="Normal 3 2 33" xfId="29524" xr:uid="{00000000-0005-0000-0000-000054730000}"/>
    <cellStyle name="Normal 3 2 34" xfId="29525" xr:uid="{00000000-0005-0000-0000-000055730000}"/>
    <cellStyle name="Normal 3 2 35" xfId="29526" xr:uid="{00000000-0005-0000-0000-000056730000}"/>
    <cellStyle name="Normal 3 2 36" xfId="29527" xr:uid="{00000000-0005-0000-0000-000057730000}"/>
    <cellStyle name="Normal 3 2 37" xfId="29528" xr:uid="{00000000-0005-0000-0000-000058730000}"/>
    <cellStyle name="Normal 3 2 38" xfId="29529" xr:uid="{00000000-0005-0000-0000-000059730000}"/>
    <cellStyle name="Normal 3 2 39" xfId="29530" xr:uid="{00000000-0005-0000-0000-00005A730000}"/>
    <cellStyle name="Normal 3 2 4" xfId="29531" xr:uid="{00000000-0005-0000-0000-00005B730000}"/>
    <cellStyle name="Normal 3 2 4 2" xfId="29532" xr:uid="{00000000-0005-0000-0000-00005C730000}"/>
    <cellStyle name="Normal 3 2 4 3" xfId="29533" xr:uid="{00000000-0005-0000-0000-00005D730000}"/>
    <cellStyle name="Normal 3 2 40" xfId="29534" xr:uid="{00000000-0005-0000-0000-00005E730000}"/>
    <cellStyle name="Normal 3 2 41" xfId="29535" xr:uid="{00000000-0005-0000-0000-00005F730000}"/>
    <cellStyle name="Normal 3 2 42" xfId="29536" xr:uid="{00000000-0005-0000-0000-000060730000}"/>
    <cellStyle name="Normal 3 2 43" xfId="29537" xr:uid="{00000000-0005-0000-0000-000061730000}"/>
    <cellStyle name="Normal 3 2 44" xfId="29538" xr:uid="{00000000-0005-0000-0000-000062730000}"/>
    <cellStyle name="Normal 3 2 45" xfId="29539" xr:uid="{00000000-0005-0000-0000-000063730000}"/>
    <cellStyle name="Normal 3 2 46" xfId="29540" xr:uid="{00000000-0005-0000-0000-000064730000}"/>
    <cellStyle name="Normal 3 2 47" xfId="29541" xr:uid="{00000000-0005-0000-0000-000065730000}"/>
    <cellStyle name="Normal 3 2 48" xfId="29542" xr:uid="{00000000-0005-0000-0000-000066730000}"/>
    <cellStyle name="Normal 3 2 49" xfId="29543" xr:uid="{00000000-0005-0000-0000-000067730000}"/>
    <cellStyle name="Normal 3 2 5" xfId="29544" xr:uid="{00000000-0005-0000-0000-000068730000}"/>
    <cellStyle name="Normal 3 2 5 2" xfId="29545" xr:uid="{00000000-0005-0000-0000-000069730000}"/>
    <cellStyle name="Normal 3 2 5 3" xfId="29546" xr:uid="{00000000-0005-0000-0000-00006A730000}"/>
    <cellStyle name="Normal 3 2 50" xfId="29547" xr:uid="{00000000-0005-0000-0000-00006B730000}"/>
    <cellStyle name="Normal 3 2 51" xfId="29548" xr:uid="{00000000-0005-0000-0000-00006C730000}"/>
    <cellStyle name="Normal 3 2 52" xfId="29549" xr:uid="{00000000-0005-0000-0000-00006D730000}"/>
    <cellStyle name="Normal 3 2 53" xfId="29550" xr:uid="{00000000-0005-0000-0000-00006E730000}"/>
    <cellStyle name="Normal 3 2 54" xfId="29551" xr:uid="{00000000-0005-0000-0000-00006F730000}"/>
    <cellStyle name="Normal 3 2 55" xfId="29552" xr:uid="{00000000-0005-0000-0000-000070730000}"/>
    <cellStyle name="Normal 3 2 56" xfId="29553" xr:uid="{00000000-0005-0000-0000-000071730000}"/>
    <cellStyle name="Normal 3 2 57" xfId="29554" xr:uid="{00000000-0005-0000-0000-000072730000}"/>
    <cellStyle name="Normal 3 2 58" xfId="29555" xr:uid="{00000000-0005-0000-0000-000073730000}"/>
    <cellStyle name="Normal 3 2 59" xfId="29556" xr:uid="{00000000-0005-0000-0000-000074730000}"/>
    <cellStyle name="Normal 3 2 6" xfId="29557" xr:uid="{00000000-0005-0000-0000-000075730000}"/>
    <cellStyle name="Normal 3 2 6 2" xfId="29558" xr:uid="{00000000-0005-0000-0000-000076730000}"/>
    <cellStyle name="Normal 3 2 6 3" xfId="29559" xr:uid="{00000000-0005-0000-0000-000077730000}"/>
    <cellStyle name="Normal 3 2 60" xfId="29560" xr:uid="{00000000-0005-0000-0000-000078730000}"/>
    <cellStyle name="Normal 3 2 61" xfId="29561" xr:uid="{00000000-0005-0000-0000-000079730000}"/>
    <cellStyle name="Normal 3 2 62" xfId="29562" xr:uid="{00000000-0005-0000-0000-00007A730000}"/>
    <cellStyle name="Normal 3 2 63" xfId="29563" xr:uid="{00000000-0005-0000-0000-00007B730000}"/>
    <cellStyle name="Normal 3 2 64" xfId="29564" xr:uid="{00000000-0005-0000-0000-00007C730000}"/>
    <cellStyle name="Normal 3 2 65" xfId="29565" xr:uid="{00000000-0005-0000-0000-00007D730000}"/>
    <cellStyle name="Normal 3 2 66" xfId="29566" xr:uid="{00000000-0005-0000-0000-00007E730000}"/>
    <cellStyle name="Normal 3 2 67" xfId="29567" xr:uid="{00000000-0005-0000-0000-00007F730000}"/>
    <cellStyle name="Normal 3 2 68" xfId="29568" xr:uid="{00000000-0005-0000-0000-000080730000}"/>
    <cellStyle name="Normal 3 2 69" xfId="29569" xr:uid="{00000000-0005-0000-0000-000081730000}"/>
    <cellStyle name="Normal 3 2 7" xfId="29570" xr:uid="{00000000-0005-0000-0000-000082730000}"/>
    <cellStyle name="Normal 3 2 7 2" xfId="29571" xr:uid="{00000000-0005-0000-0000-000083730000}"/>
    <cellStyle name="Normal 3 2 7 3" xfId="29572" xr:uid="{00000000-0005-0000-0000-000084730000}"/>
    <cellStyle name="Normal 3 2 70" xfId="29573" xr:uid="{00000000-0005-0000-0000-000085730000}"/>
    <cellStyle name="Normal 3 2 71" xfId="29574" xr:uid="{00000000-0005-0000-0000-000086730000}"/>
    <cellStyle name="Normal 3 2 72" xfId="29575" xr:uid="{00000000-0005-0000-0000-000087730000}"/>
    <cellStyle name="Normal 3 2 73" xfId="29576" xr:uid="{00000000-0005-0000-0000-000088730000}"/>
    <cellStyle name="Normal 3 2 74" xfId="29577" xr:uid="{00000000-0005-0000-0000-000089730000}"/>
    <cellStyle name="Normal 3 2 75" xfId="29578" xr:uid="{00000000-0005-0000-0000-00008A730000}"/>
    <cellStyle name="Normal 3 2 76" xfId="29579" xr:uid="{00000000-0005-0000-0000-00008B730000}"/>
    <cellStyle name="Normal 3 2 77" xfId="29580" xr:uid="{00000000-0005-0000-0000-00008C730000}"/>
    <cellStyle name="Normal 3 2 78" xfId="29581" xr:uid="{00000000-0005-0000-0000-00008D730000}"/>
    <cellStyle name="Normal 3 2 79" xfId="29582" xr:uid="{00000000-0005-0000-0000-00008E730000}"/>
    <cellStyle name="Normal 3 2 8" xfId="29583" xr:uid="{00000000-0005-0000-0000-00008F730000}"/>
    <cellStyle name="Normal 3 2 8 2" xfId="29584" xr:uid="{00000000-0005-0000-0000-000090730000}"/>
    <cellStyle name="Normal 3 2 8 3" xfId="29585" xr:uid="{00000000-0005-0000-0000-000091730000}"/>
    <cellStyle name="Normal 3 2 80" xfId="29586" xr:uid="{00000000-0005-0000-0000-000092730000}"/>
    <cellStyle name="Normal 3 2 81" xfId="29587" xr:uid="{00000000-0005-0000-0000-000093730000}"/>
    <cellStyle name="Normal 3 2 82" xfId="29588" xr:uid="{00000000-0005-0000-0000-000094730000}"/>
    <cellStyle name="Normal 3 2 83" xfId="29589" xr:uid="{00000000-0005-0000-0000-000095730000}"/>
    <cellStyle name="Normal 3 2 84" xfId="29590" xr:uid="{00000000-0005-0000-0000-000096730000}"/>
    <cellStyle name="Normal 3 2 85" xfId="29591" xr:uid="{00000000-0005-0000-0000-000097730000}"/>
    <cellStyle name="Normal 3 2 86" xfId="29592" xr:uid="{00000000-0005-0000-0000-000098730000}"/>
    <cellStyle name="Normal 3 2 87" xfId="29593" xr:uid="{00000000-0005-0000-0000-000099730000}"/>
    <cellStyle name="Normal 3 2 88" xfId="29594" xr:uid="{00000000-0005-0000-0000-00009A730000}"/>
    <cellStyle name="Normal 3 2 89" xfId="29595" xr:uid="{00000000-0005-0000-0000-00009B730000}"/>
    <cellStyle name="Normal 3 2 9" xfId="29596" xr:uid="{00000000-0005-0000-0000-00009C730000}"/>
    <cellStyle name="Normal 3 2 9 2" xfId="29597" xr:uid="{00000000-0005-0000-0000-00009D730000}"/>
    <cellStyle name="Normal 3 2 9 3" xfId="29598" xr:uid="{00000000-0005-0000-0000-00009E730000}"/>
    <cellStyle name="Normal 3 2 90" xfId="29599" xr:uid="{00000000-0005-0000-0000-00009F730000}"/>
    <cellStyle name="Normal 3 2 91" xfId="29600" xr:uid="{00000000-0005-0000-0000-0000A0730000}"/>
    <cellStyle name="Normal 3 2 92" xfId="29601" xr:uid="{00000000-0005-0000-0000-0000A1730000}"/>
    <cellStyle name="Normal 3 2 93" xfId="29602" xr:uid="{00000000-0005-0000-0000-0000A2730000}"/>
    <cellStyle name="Normal 3 2 94" xfId="29603" xr:uid="{00000000-0005-0000-0000-0000A3730000}"/>
    <cellStyle name="Normal 3 2_Xa Parametrización de Usuarios" xfId="29604" xr:uid="{00000000-0005-0000-0000-0000A4730000}"/>
    <cellStyle name="Normal 3 20" xfId="29605" xr:uid="{00000000-0005-0000-0000-0000A5730000}"/>
    <cellStyle name="Normal 3 20 2" xfId="29606" xr:uid="{00000000-0005-0000-0000-0000A6730000}"/>
    <cellStyle name="Normal 3 20 3" xfId="29607" xr:uid="{00000000-0005-0000-0000-0000A7730000}"/>
    <cellStyle name="Normal 3 20_Enlaces" xfId="29608" xr:uid="{00000000-0005-0000-0000-0000A8730000}"/>
    <cellStyle name="Normal 3 21" xfId="29609" xr:uid="{00000000-0005-0000-0000-0000A9730000}"/>
    <cellStyle name="Normal 3 21 2" xfId="29610" xr:uid="{00000000-0005-0000-0000-0000AA730000}"/>
    <cellStyle name="Normal 3 21_Enlaces" xfId="29611" xr:uid="{00000000-0005-0000-0000-0000AB730000}"/>
    <cellStyle name="Normal 3 22" xfId="29612" xr:uid="{00000000-0005-0000-0000-0000AC730000}"/>
    <cellStyle name="Normal 3 22 2" xfId="29613" xr:uid="{00000000-0005-0000-0000-0000AD730000}"/>
    <cellStyle name="Normal 3 22_Enlaces" xfId="29614" xr:uid="{00000000-0005-0000-0000-0000AE730000}"/>
    <cellStyle name="Normal 3 23" xfId="29615" xr:uid="{00000000-0005-0000-0000-0000AF730000}"/>
    <cellStyle name="Normal 3 23 2" xfId="29616" xr:uid="{00000000-0005-0000-0000-0000B0730000}"/>
    <cellStyle name="Normal 3 23_Enlaces" xfId="29617" xr:uid="{00000000-0005-0000-0000-0000B1730000}"/>
    <cellStyle name="Normal 3 24" xfId="29618" xr:uid="{00000000-0005-0000-0000-0000B2730000}"/>
    <cellStyle name="Normal 3 24 2" xfId="29619" xr:uid="{00000000-0005-0000-0000-0000B3730000}"/>
    <cellStyle name="Normal 3 24_Enlaces" xfId="29620" xr:uid="{00000000-0005-0000-0000-0000B4730000}"/>
    <cellStyle name="Normal 3 25" xfId="29621" xr:uid="{00000000-0005-0000-0000-0000B5730000}"/>
    <cellStyle name="Normal 3 25 2" xfId="29622" xr:uid="{00000000-0005-0000-0000-0000B6730000}"/>
    <cellStyle name="Normal 3 25_Enlaces" xfId="29623" xr:uid="{00000000-0005-0000-0000-0000B7730000}"/>
    <cellStyle name="Normal 3 26" xfId="29624" xr:uid="{00000000-0005-0000-0000-0000B8730000}"/>
    <cellStyle name="Normal 3 26 2" xfId="29625" xr:uid="{00000000-0005-0000-0000-0000B9730000}"/>
    <cellStyle name="Normal 3 26_Enlaces" xfId="29626" xr:uid="{00000000-0005-0000-0000-0000BA730000}"/>
    <cellStyle name="Normal 3 27" xfId="29627" xr:uid="{00000000-0005-0000-0000-0000BB730000}"/>
    <cellStyle name="Normal 3 27 2" xfId="29628" xr:uid="{00000000-0005-0000-0000-0000BC730000}"/>
    <cellStyle name="Normal 3 27_Enlaces" xfId="29629" xr:uid="{00000000-0005-0000-0000-0000BD730000}"/>
    <cellStyle name="Normal 3 28" xfId="29630" xr:uid="{00000000-0005-0000-0000-0000BE730000}"/>
    <cellStyle name="Normal 3 29" xfId="29631" xr:uid="{00000000-0005-0000-0000-0000BF730000}"/>
    <cellStyle name="Normal 3 3" xfId="29632" xr:uid="{00000000-0005-0000-0000-0000C0730000}"/>
    <cellStyle name="Normal 3 3 10" xfId="29633" xr:uid="{00000000-0005-0000-0000-0000C1730000}"/>
    <cellStyle name="Normal 3 3 11" xfId="29634" xr:uid="{00000000-0005-0000-0000-0000C2730000}"/>
    <cellStyle name="Normal 3 3 12" xfId="29635" xr:uid="{00000000-0005-0000-0000-0000C3730000}"/>
    <cellStyle name="Normal 3 3 13" xfId="29636" xr:uid="{00000000-0005-0000-0000-0000C4730000}"/>
    <cellStyle name="Normal 3 3 14" xfId="29637" xr:uid="{00000000-0005-0000-0000-0000C5730000}"/>
    <cellStyle name="Normal 3 3 15" xfId="29638" xr:uid="{00000000-0005-0000-0000-0000C6730000}"/>
    <cellStyle name="Normal 3 3 16" xfId="29639" xr:uid="{00000000-0005-0000-0000-0000C7730000}"/>
    <cellStyle name="Normal 3 3 17" xfId="29640" xr:uid="{00000000-0005-0000-0000-0000C8730000}"/>
    <cellStyle name="Normal 3 3 18" xfId="29641" xr:uid="{00000000-0005-0000-0000-0000C9730000}"/>
    <cellStyle name="Normal 3 3 19" xfId="29642" xr:uid="{00000000-0005-0000-0000-0000CA730000}"/>
    <cellStyle name="Normal 3 3 2" xfId="29643" xr:uid="{00000000-0005-0000-0000-0000CB730000}"/>
    <cellStyle name="Normal 3 3 2 2" xfId="29644" xr:uid="{00000000-0005-0000-0000-0000CC730000}"/>
    <cellStyle name="Normal 3 3 2 3" xfId="29645" xr:uid="{00000000-0005-0000-0000-0000CD730000}"/>
    <cellStyle name="Normal 3 3 20" xfId="29646" xr:uid="{00000000-0005-0000-0000-0000CE730000}"/>
    <cellStyle name="Normal 3 3 21" xfId="29647" xr:uid="{00000000-0005-0000-0000-0000CF730000}"/>
    <cellStyle name="Normal 3 3 22" xfId="29648" xr:uid="{00000000-0005-0000-0000-0000D0730000}"/>
    <cellStyle name="Normal 3 3 23" xfId="29649" xr:uid="{00000000-0005-0000-0000-0000D1730000}"/>
    <cellStyle name="Normal 3 3 24" xfId="29650" xr:uid="{00000000-0005-0000-0000-0000D2730000}"/>
    <cellStyle name="Normal 3 3 25" xfId="29651" xr:uid="{00000000-0005-0000-0000-0000D3730000}"/>
    <cellStyle name="Normal 3 3 26" xfId="29652" xr:uid="{00000000-0005-0000-0000-0000D4730000}"/>
    <cellStyle name="Normal 3 3 27" xfId="29653" xr:uid="{00000000-0005-0000-0000-0000D5730000}"/>
    <cellStyle name="Normal 3 3 28" xfId="29654" xr:uid="{00000000-0005-0000-0000-0000D6730000}"/>
    <cellStyle name="Normal 3 3 29" xfId="29655" xr:uid="{00000000-0005-0000-0000-0000D7730000}"/>
    <cellStyle name="Normal 3 3 3" xfId="29656" xr:uid="{00000000-0005-0000-0000-0000D8730000}"/>
    <cellStyle name="Normal 3 3 30" xfId="29657" xr:uid="{00000000-0005-0000-0000-0000D9730000}"/>
    <cellStyle name="Normal 3 3 4" xfId="29658" xr:uid="{00000000-0005-0000-0000-0000DA730000}"/>
    <cellStyle name="Normal 3 3 5" xfId="29659" xr:uid="{00000000-0005-0000-0000-0000DB730000}"/>
    <cellStyle name="Normal 3 3 6" xfId="29660" xr:uid="{00000000-0005-0000-0000-0000DC730000}"/>
    <cellStyle name="Normal 3 3 7" xfId="29661" xr:uid="{00000000-0005-0000-0000-0000DD730000}"/>
    <cellStyle name="Normal 3 3 8" xfId="29662" xr:uid="{00000000-0005-0000-0000-0000DE730000}"/>
    <cellStyle name="Normal 3 3 9" xfId="29663" xr:uid="{00000000-0005-0000-0000-0000DF730000}"/>
    <cellStyle name="Normal 3 3_Enlaces" xfId="29664" xr:uid="{00000000-0005-0000-0000-0000E0730000}"/>
    <cellStyle name="Normal 3 30" xfId="29665" xr:uid="{00000000-0005-0000-0000-0000E1730000}"/>
    <cellStyle name="Normal 3 31" xfId="29666" xr:uid="{00000000-0005-0000-0000-0000E2730000}"/>
    <cellStyle name="Normal 3 32" xfId="29667" xr:uid="{00000000-0005-0000-0000-0000E3730000}"/>
    <cellStyle name="Normal 3 33" xfId="29668" xr:uid="{00000000-0005-0000-0000-0000E4730000}"/>
    <cellStyle name="Normal 3 34" xfId="29669" xr:uid="{00000000-0005-0000-0000-0000E5730000}"/>
    <cellStyle name="Normal 3 35" xfId="29670" xr:uid="{00000000-0005-0000-0000-0000E6730000}"/>
    <cellStyle name="Normal 3 36" xfId="29671" xr:uid="{00000000-0005-0000-0000-0000E7730000}"/>
    <cellStyle name="Normal 3 37" xfId="29672" xr:uid="{00000000-0005-0000-0000-0000E8730000}"/>
    <cellStyle name="Normal 3 38" xfId="29673" xr:uid="{00000000-0005-0000-0000-0000E9730000}"/>
    <cellStyle name="Normal 3 39" xfId="29674" xr:uid="{00000000-0005-0000-0000-0000EA730000}"/>
    <cellStyle name="Normal 3 4" xfId="29675" xr:uid="{00000000-0005-0000-0000-0000EB730000}"/>
    <cellStyle name="Normal 3 4 10" xfId="29676" xr:uid="{00000000-0005-0000-0000-0000EC730000}"/>
    <cellStyle name="Normal 3 4 11" xfId="29677" xr:uid="{00000000-0005-0000-0000-0000ED730000}"/>
    <cellStyle name="Normal 3 4 12" xfId="29678" xr:uid="{00000000-0005-0000-0000-0000EE730000}"/>
    <cellStyle name="Normal 3 4 13" xfId="29679" xr:uid="{00000000-0005-0000-0000-0000EF730000}"/>
    <cellStyle name="Normal 3 4 14" xfId="29680" xr:uid="{00000000-0005-0000-0000-0000F0730000}"/>
    <cellStyle name="Normal 3 4 15" xfId="29681" xr:uid="{00000000-0005-0000-0000-0000F1730000}"/>
    <cellStyle name="Normal 3 4 16" xfId="29682" xr:uid="{00000000-0005-0000-0000-0000F2730000}"/>
    <cellStyle name="Normal 3 4 17" xfId="29683" xr:uid="{00000000-0005-0000-0000-0000F3730000}"/>
    <cellStyle name="Normal 3 4 18" xfId="29684" xr:uid="{00000000-0005-0000-0000-0000F4730000}"/>
    <cellStyle name="Normal 3 4 19" xfId="29685" xr:uid="{00000000-0005-0000-0000-0000F5730000}"/>
    <cellStyle name="Normal 3 4 2" xfId="29686" xr:uid="{00000000-0005-0000-0000-0000F6730000}"/>
    <cellStyle name="Normal 3 4 2 2" xfId="29687" xr:uid="{00000000-0005-0000-0000-0000F7730000}"/>
    <cellStyle name="Normal 3 4 20" xfId="29688" xr:uid="{00000000-0005-0000-0000-0000F8730000}"/>
    <cellStyle name="Normal 3 4 21" xfId="29689" xr:uid="{00000000-0005-0000-0000-0000F9730000}"/>
    <cellStyle name="Normal 3 4 22" xfId="29690" xr:uid="{00000000-0005-0000-0000-0000FA730000}"/>
    <cellStyle name="Normal 3 4 23" xfId="29691" xr:uid="{00000000-0005-0000-0000-0000FB730000}"/>
    <cellStyle name="Normal 3 4 24" xfId="29692" xr:uid="{00000000-0005-0000-0000-0000FC730000}"/>
    <cellStyle name="Normal 3 4 24 2" xfId="29693" xr:uid="{00000000-0005-0000-0000-0000FD730000}"/>
    <cellStyle name="Normal 3 4 3" xfId="29694" xr:uid="{00000000-0005-0000-0000-0000FE730000}"/>
    <cellStyle name="Normal 3 4 4" xfId="29695" xr:uid="{00000000-0005-0000-0000-0000FF730000}"/>
    <cellStyle name="Normal 3 4 5" xfId="29696" xr:uid="{00000000-0005-0000-0000-000000740000}"/>
    <cellStyle name="Normal 3 4 6" xfId="29697" xr:uid="{00000000-0005-0000-0000-000001740000}"/>
    <cellStyle name="Normal 3 4 7" xfId="29698" xr:uid="{00000000-0005-0000-0000-000002740000}"/>
    <cellStyle name="Normal 3 4 8" xfId="29699" xr:uid="{00000000-0005-0000-0000-000003740000}"/>
    <cellStyle name="Normal 3 4 9" xfId="29700" xr:uid="{00000000-0005-0000-0000-000004740000}"/>
    <cellStyle name="Normal 3 4_Enlaces" xfId="29701" xr:uid="{00000000-0005-0000-0000-000005740000}"/>
    <cellStyle name="Normal 3 40" xfId="29702" xr:uid="{00000000-0005-0000-0000-000006740000}"/>
    <cellStyle name="Normal 3 41" xfId="29703" xr:uid="{00000000-0005-0000-0000-000007740000}"/>
    <cellStyle name="Normal 3 42" xfId="29704" xr:uid="{00000000-0005-0000-0000-000008740000}"/>
    <cellStyle name="Normal 3 43" xfId="29705" xr:uid="{00000000-0005-0000-0000-000009740000}"/>
    <cellStyle name="Normal 3 44" xfId="29706" xr:uid="{00000000-0005-0000-0000-00000A740000}"/>
    <cellStyle name="Normal 3 45" xfId="29707" xr:uid="{00000000-0005-0000-0000-00000B740000}"/>
    <cellStyle name="Normal 3 46" xfId="29708" xr:uid="{00000000-0005-0000-0000-00000C740000}"/>
    <cellStyle name="Normal 3 47" xfId="29709" xr:uid="{00000000-0005-0000-0000-00000D740000}"/>
    <cellStyle name="Normal 3 48" xfId="29710" xr:uid="{00000000-0005-0000-0000-00000E740000}"/>
    <cellStyle name="Normal 3 49" xfId="29711" xr:uid="{00000000-0005-0000-0000-00000F740000}"/>
    <cellStyle name="Normal 3 5" xfId="29712" xr:uid="{00000000-0005-0000-0000-000010740000}"/>
    <cellStyle name="Normal 3 5 2" xfId="29713" xr:uid="{00000000-0005-0000-0000-000011740000}"/>
    <cellStyle name="Normal 3 5 3" xfId="29714" xr:uid="{00000000-0005-0000-0000-000012740000}"/>
    <cellStyle name="Normal 3 5 4" xfId="29715" xr:uid="{00000000-0005-0000-0000-000013740000}"/>
    <cellStyle name="Normal 3 5_Enlaces" xfId="29716" xr:uid="{00000000-0005-0000-0000-000014740000}"/>
    <cellStyle name="Normal 3 50" xfId="29717" xr:uid="{00000000-0005-0000-0000-000015740000}"/>
    <cellStyle name="Normal 3 51" xfId="29718" xr:uid="{00000000-0005-0000-0000-000016740000}"/>
    <cellStyle name="Normal 3 52" xfId="29719" xr:uid="{00000000-0005-0000-0000-000017740000}"/>
    <cellStyle name="Normal 3 53" xfId="29720" xr:uid="{00000000-0005-0000-0000-000018740000}"/>
    <cellStyle name="Normal 3 54" xfId="29721" xr:uid="{00000000-0005-0000-0000-000019740000}"/>
    <cellStyle name="Normal 3 55" xfId="29722" xr:uid="{00000000-0005-0000-0000-00001A740000}"/>
    <cellStyle name="Normal 3 56" xfId="29723" xr:uid="{00000000-0005-0000-0000-00001B740000}"/>
    <cellStyle name="Normal 3 57" xfId="29724" xr:uid="{00000000-0005-0000-0000-00001C740000}"/>
    <cellStyle name="Normal 3 58" xfId="29725" xr:uid="{00000000-0005-0000-0000-00001D740000}"/>
    <cellStyle name="Normal 3 59" xfId="29726" xr:uid="{00000000-0005-0000-0000-00001E740000}"/>
    <cellStyle name="Normal 3 6" xfId="29727" xr:uid="{00000000-0005-0000-0000-00001F740000}"/>
    <cellStyle name="Normal 3 6 2" xfId="29728" xr:uid="{00000000-0005-0000-0000-000020740000}"/>
    <cellStyle name="Normal 3 6 3" xfId="29729" xr:uid="{00000000-0005-0000-0000-000021740000}"/>
    <cellStyle name="Normal 3 6 4" xfId="29730" xr:uid="{00000000-0005-0000-0000-000022740000}"/>
    <cellStyle name="Normal 3 6_Enlaces" xfId="29731" xr:uid="{00000000-0005-0000-0000-000023740000}"/>
    <cellStyle name="Normal 3 60" xfId="29732" xr:uid="{00000000-0005-0000-0000-000024740000}"/>
    <cellStyle name="Normal 3 61" xfId="29733" xr:uid="{00000000-0005-0000-0000-000025740000}"/>
    <cellStyle name="Normal 3 62" xfId="29734" xr:uid="{00000000-0005-0000-0000-000026740000}"/>
    <cellStyle name="Normal 3 63" xfId="29735" xr:uid="{00000000-0005-0000-0000-000027740000}"/>
    <cellStyle name="Normal 3 64" xfId="29736" xr:uid="{00000000-0005-0000-0000-000028740000}"/>
    <cellStyle name="Normal 3 65" xfId="29737" xr:uid="{00000000-0005-0000-0000-000029740000}"/>
    <cellStyle name="Normal 3 66" xfId="29738" xr:uid="{00000000-0005-0000-0000-00002A740000}"/>
    <cellStyle name="Normal 3 67" xfId="29739" xr:uid="{00000000-0005-0000-0000-00002B740000}"/>
    <cellStyle name="Normal 3 68" xfId="29740" xr:uid="{00000000-0005-0000-0000-00002C740000}"/>
    <cellStyle name="Normal 3 69" xfId="29741" xr:uid="{00000000-0005-0000-0000-00002D740000}"/>
    <cellStyle name="Normal 3 7" xfId="29742" xr:uid="{00000000-0005-0000-0000-00002E740000}"/>
    <cellStyle name="Normal 3 7 2" xfId="29743" xr:uid="{00000000-0005-0000-0000-00002F740000}"/>
    <cellStyle name="Normal 3 7 3" xfId="29744" xr:uid="{00000000-0005-0000-0000-000030740000}"/>
    <cellStyle name="Normal 3 7 4" xfId="29745" xr:uid="{00000000-0005-0000-0000-000031740000}"/>
    <cellStyle name="Normal 3 7_Enlaces" xfId="29746" xr:uid="{00000000-0005-0000-0000-000032740000}"/>
    <cellStyle name="Normal 3 70" xfId="29747" xr:uid="{00000000-0005-0000-0000-000033740000}"/>
    <cellStyle name="Normal 3 71" xfId="29748" xr:uid="{00000000-0005-0000-0000-000034740000}"/>
    <cellStyle name="Normal 3 72" xfId="29749" xr:uid="{00000000-0005-0000-0000-000035740000}"/>
    <cellStyle name="Normal 3 73" xfId="29750" xr:uid="{00000000-0005-0000-0000-000036740000}"/>
    <cellStyle name="Normal 3 74" xfId="29751" xr:uid="{00000000-0005-0000-0000-000037740000}"/>
    <cellStyle name="Normal 3 75" xfId="29752" xr:uid="{00000000-0005-0000-0000-000038740000}"/>
    <cellStyle name="Normal 3 76" xfId="29753" xr:uid="{00000000-0005-0000-0000-000039740000}"/>
    <cellStyle name="Normal 3 77" xfId="29754" xr:uid="{00000000-0005-0000-0000-00003A740000}"/>
    <cellStyle name="Normal 3 78" xfId="29755" xr:uid="{00000000-0005-0000-0000-00003B740000}"/>
    <cellStyle name="Normal 3 79" xfId="29756" xr:uid="{00000000-0005-0000-0000-00003C740000}"/>
    <cellStyle name="Normal 3 8" xfId="29757" xr:uid="{00000000-0005-0000-0000-00003D740000}"/>
    <cellStyle name="Normal 3 8 2" xfId="29758" xr:uid="{00000000-0005-0000-0000-00003E740000}"/>
    <cellStyle name="Normal 3 8 3" xfId="29759" xr:uid="{00000000-0005-0000-0000-00003F740000}"/>
    <cellStyle name="Normal 3 8 4" xfId="29760" xr:uid="{00000000-0005-0000-0000-000040740000}"/>
    <cellStyle name="Normal 3 8_Enlaces" xfId="29761" xr:uid="{00000000-0005-0000-0000-000041740000}"/>
    <cellStyle name="Normal 3 80" xfId="29762" xr:uid="{00000000-0005-0000-0000-000042740000}"/>
    <cellStyle name="Normal 3 81" xfId="29763" xr:uid="{00000000-0005-0000-0000-000043740000}"/>
    <cellStyle name="Normal 3 82" xfId="29764" xr:uid="{00000000-0005-0000-0000-000044740000}"/>
    <cellStyle name="Normal 3 83" xfId="29765" xr:uid="{00000000-0005-0000-0000-000045740000}"/>
    <cellStyle name="Normal 3 84" xfId="29766" xr:uid="{00000000-0005-0000-0000-000046740000}"/>
    <cellStyle name="Normal 3 85" xfId="29767" xr:uid="{00000000-0005-0000-0000-000047740000}"/>
    <cellStyle name="Normal 3 86" xfId="29768" xr:uid="{00000000-0005-0000-0000-000048740000}"/>
    <cellStyle name="Normal 3 87" xfId="29769" xr:uid="{00000000-0005-0000-0000-000049740000}"/>
    <cellStyle name="Normal 3 88" xfId="29770" xr:uid="{00000000-0005-0000-0000-00004A740000}"/>
    <cellStyle name="Normal 3 89" xfId="29771" xr:uid="{00000000-0005-0000-0000-00004B740000}"/>
    <cellStyle name="Normal 3 9" xfId="29772" xr:uid="{00000000-0005-0000-0000-00004C740000}"/>
    <cellStyle name="Normal 3 9 2" xfId="29773" xr:uid="{00000000-0005-0000-0000-00004D740000}"/>
    <cellStyle name="Normal 3 9 3" xfId="29774" xr:uid="{00000000-0005-0000-0000-00004E740000}"/>
    <cellStyle name="Normal 3 9 4" xfId="29775" xr:uid="{00000000-0005-0000-0000-00004F740000}"/>
    <cellStyle name="Normal 3 9_Enlaces" xfId="29776" xr:uid="{00000000-0005-0000-0000-000050740000}"/>
    <cellStyle name="Normal 3 90" xfId="29777" xr:uid="{00000000-0005-0000-0000-000051740000}"/>
    <cellStyle name="Normal 3 91" xfId="29778" xr:uid="{00000000-0005-0000-0000-000052740000}"/>
    <cellStyle name="Normal 3 92" xfId="29779" xr:uid="{00000000-0005-0000-0000-000053740000}"/>
    <cellStyle name="Normal 3 93" xfId="29780" xr:uid="{00000000-0005-0000-0000-000054740000}"/>
    <cellStyle name="Normal 3 94" xfId="29781" xr:uid="{00000000-0005-0000-0000-000055740000}"/>
    <cellStyle name="Normal 3 95" xfId="29782" xr:uid="{00000000-0005-0000-0000-000056740000}"/>
    <cellStyle name="Normal 3 96" xfId="29783" xr:uid="{00000000-0005-0000-0000-000057740000}"/>
    <cellStyle name="Normal 3 97" xfId="29784" xr:uid="{00000000-0005-0000-0000-000058740000}"/>
    <cellStyle name="Normal 3 98" xfId="29785" xr:uid="{00000000-0005-0000-0000-000059740000}"/>
    <cellStyle name="Normal 3 98 2" xfId="29786" xr:uid="{00000000-0005-0000-0000-00005A740000}"/>
    <cellStyle name="Normal 3 98 3" xfId="29787" xr:uid="{00000000-0005-0000-0000-00005B740000}"/>
    <cellStyle name="Normal 3 98 4" xfId="29788" xr:uid="{00000000-0005-0000-0000-00005C740000}"/>
    <cellStyle name="Normal 3 98 5" xfId="29789" xr:uid="{00000000-0005-0000-0000-00005D740000}"/>
    <cellStyle name="Normal 3 98 6" xfId="29790" xr:uid="{00000000-0005-0000-0000-00005E740000}"/>
    <cellStyle name="Normal 3 99" xfId="29791" xr:uid="{00000000-0005-0000-0000-00005F740000}"/>
    <cellStyle name="Normal 3 99 2" xfId="29792" xr:uid="{00000000-0005-0000-0000-000060740000}"/>
    <cellStyle name="Normal 3 99 3" xfId="29793" xr:uid="{00000000-0005-0000-0000-000061740000}"/>
    <cellStyle name="Normal 3 99 4" xfId="29794" xr:uid="{00000000-0005-0000-0000-000062740000}"/>
    <cellStyle name="Normal 3 99 5" xfId="29795" xr:uid="{00000000-0005-0000-0000-000063740000}"/>
    <cellStyle name="Normal 3 99 6" xfId="29796" xr:uid="{00000000-0005-0000-0000-000064740000}"/>
    <cellStyle name="Normal 3_Enlaces" xfId="29797" xr:uid="{00000000-0005-0000-0000-000065740000}"/>
    <cellStyle name="Normal 30" xfId="29798" xr:uid="{00000000-0005-0000-0000-000066740000}"/>
    <cellStyle name="Normal 30 10" xfId="29799" xr:uid="{00000000-0005-0000-0000-000067740000}"/>
    <cellStyle name="Normal 30 11" xfId="29800" xr:uid="{00000000-0005-0000-0000-000068740000}"/>
    <cellStyle name="Normal 30 12" xfId="29801" xr:uid="{00000000-0005-0000-0000-000069740000}"/>
    <cellStyle name="Normal 30 13" xfId="29802" xr:uid="{00000000-0005-0000-0000-00006A740000}"/>
    <cellStyle name="Normal 30 14" xfId="29803" xr:uid="{00000000-0005-0000-0000-00006B740000}"/>
    <cellStyle name="Normal 30 15" xfId="29804" xr:uid="{00000000-0005-0000-0000-00006C740000}"/>
    <cellStyle name="Normal 30 16" xfId="29805" xr:uid="{00000000-0005-0000-0000-00006D740000}"/>
    <cellStyle name="Normal 30 17" xfId="29806" xr:uid="{00000000-0005-0000-0000-00006E740000}"/>
    <cellStyle name="Normal 30 18" xfId="29807" xr:uid="{00000000-0005-0000-0000-00006F740000}"/>
    <cellStyle name="Normal 30 19" xfId="29808" xr:uid="{00000000-0005-0000-0000-000070740000}"/>
    <cellStyle name="Normal 30 2" xfId="29809" xr:uid="{00000000-0005-0000-0000-000071740000}"/>
    <cellStyle name="Normal 30 2 2" xfId="29810" xr:uid="{00000000-0005-0000-0000-000072740000}"/>
    <cellStyle name="Normal 30 2 3" xfId="29811" xr:uid="{00000000-0005-0000-0000-000073740000}"/>
    <cellStyle name="Normal 30 20" xfId="29812" xr:uid="{00000000-0005-0000-0000-000074740000}"/>
    <cellStyle name="Normal 30 21" xfId="29813" xr:uid="{00000000-0005-0000-0000-000075740000}"/>
    <cellStyle name="Normal 30 22" xfId="29814" xr:uid="{00000000-0005-0000-0000-000076740000}"/>
    <cellStyle name="Normal 30 23" xfId="29815" xr:uid="{00000000-0005-0000-0000-000077740000}"/>
    <cellStyle name="Normal 30 24" xfId="29816" xr:uid="{00000000-0005-0000-0000-000078740000}"/>
    <cellStyle name="Normal 30 25" xfId="29817" xr:uid="{00000000-0005-0000-0000-000079740000}"/>
    <cellStyle name="Normal 30 26" xfId="29818" xr:uid="{00000000-0005-0000-0000-00007A740000}"/>
    <cellStyle name="Normal 30 3" xfId="29819" xr:uid="{00000000-0005-0000-0000-00007B740000}"/>
    <cellStyle name="Normal 30 3 2" xfId="29820" xr:uid="{00000000-0005-0000-0000-00007C740000}"/>
    <cellStyle name="Normal 30 3 3" xfId="29821" xr:uid="{00000000-0005-0000-0000-00007D740000}"/>
    <cellStyle name="Normal 30 3 4" xfId="29822" xr:uid="{00000000-0005-0000-0000-00007E740000}"/>
    <cellStyle name="Normal 30 3 5" xfId="29823" xr:uid="{00000000-0005-0000-0000-00007F740000}"/>
    <cellStyle name="Normal 30 4" xfId="29824" xr:uid="{00000000-0005-0000-0000-000080740000}"/>
    <cellStyle name="Normal 30 5" xfId="29825" xr:uid="{00000000-0005-0000-0000-000081740000}"/>
    <cellStyle name="Normal 30 6" xfId="29826" xr:uid="{00000000-0005-0000-0000-000082740000}"/>
    <cellStyle name="Normal 30 7" xfId="29827" xr:uid="{00000000-0005-0000-0000-000083740000}"/>
    <cellStyle name="Normal 30 8" xfId="29828" xr:uid="{00000000-0005-0000-0000-000084740000}"/>
    <cellStyle name="Normal 30 9" xfId="29829" xr:uid="{00000000-0005-0000-0000-000085740000}"/>
    <cellStyle name="Normal 31" xfId="29830" xr:uid="{00000000-0005-0000-0000-000086740000}"/>
    <cellStyle name="Normal 31 10" xfId="29831" xr:uid="{00000000-0005-0000-0000-000087740000}"/>
    <cellStyle name="Normal 31 11" xfId="29832" xr:uid="{00000000-0005-0000-0000-000088740000}"/>
    <cellStyle name="Normal 31 12" xfId="29833" xr:uid="{00000000-0005-0000-0000-000089740000}"/>
    <cellStyle name="Normal 31 13" xfId="29834" xr:uid="{00000000-0005-0000-0000-00008A740000}"/>
    <cellStyle name="Normal 31 14" xfId="29835" xr:uid="{00000000-0005-0000-0000-00008B740000}"/>
    <cellStyle name="Normal 31 15" xfId="29836" xr:uid="{00000000-0005-0000-0000-00008C740000}"/>
    <cellStyle name="Normal 31 16" xfId="29837" xr:uid="{00000000-0005-0000-0000-00008D740000}"/>
    <cellStyle name="Normal 31 17" xfId="29838" xr:uid="{00000000-0005-0000-0000-00008E740000}"/>
    <cellStyle name="Normal 31 18" xfId="29839" xr:uid="{00000000-0005-0000-0000-00008F740000}"/>
    <cellStyle name="Normal 31 19" xfId="29840" xr:uid="{00000000-0005-0000-0000-000090740000}"/>
    <cellStyle name="Normal 31 2" xfId="29841" xr:uid="{00000000-0005-0000-0000-000091740000}"/>
    <cellStyle name="Normal 31 2 2" xfId="29842" xr:uid="{00000000-0005-0000-0000-000092740000}"/>
    <cellStyle name="Normal 31 2 3" xfId="29843" xr:uid="{00000000-0005-0000-0000-000093740000}"/>
    <cellStyle name="Normal 31 20" xfId="29844" xr:uid="{00000000-0005-0000-0000-000094740000}"/>
    <cellStyle name="Normal 31 21" xfId="29845" xr:uid="{00000000-0005-0000-0000-000095740000}"/>
    <cellStyle name="Normal 31 22" xfId="29846" xr:uid="{00000000-0005-0000-0000-000096740000}"/>
    <cellStyle name="Normal 31 23" xfId="29847" xr:uid="{00000000-0005-0000-0000-000097740000}"/>
    <cellStyle name="Normal 31 24" xfId="29848" xr:uid="{00000000-0005-0000-0000-000098740000}"/>
    <cellStyle name="Normal 31 25" xfId="29849" xr:uid="{00000000-0005-0000-0000-000099740000}"/>
    <cellStyle name="Normal 31 26" xfId="29850" xr:uid="{00000000-0005-0000-0000-00009A740000}"/>
    <cellStyle name="Normal 31 3" xfId="29851" xr:uid="{00000000-0005-0000-0000-00009B740000}"/>
    <cellStyle name="Normal 31 3 2" xfId="29852" xr:uid="{00000000-0005-0000-0000-00009C740000}"/>
    <cellStyle name="Normal 31 3 3" xfId="29853" xr:uid="{00000000-0005-0000-0000-00009D740000}"/>
    <cellStyle name="Normal 31 4" xfId="29854" xr:uid="{00000000-0005-0000-0000-00009E740000}"/>
    <cellStyle name="Normal 31 5" xfId="29855" xr:uid="{00000000-0005-0000-0000-00009F740000}"/>
    <cellStyle name="Normal 31 6" xfId="29856" xr:uid="{00000000-0005-0000-0000-0000A0740000}"/>
    <cellStyle name="Normal 31 7" xfId="29857" xr:uid="{00000000-0005-0000-0000-0000A1740000}"/>
    <cellStyle name="Normal 31 8" xfId="29858" xr:uid="{00000000-0005-0000-0000-0000A2740000}"/>
    <cellStyle name="Normal 31 9" xfId="29859" xr:uid="{00000000-0005-0000-0000-0000A3740000}"/>
    <cellStyle name="Normal 32" xfId="29860" xr:uid="{00000000-0005-0000-0000-0000A4740000}"/>
    <cellStyle name="Normal 32 2" xfId="29861" xr:uid="{00000000-0005-0000-0000-0000A5740000}"/>
    <cellStyle name="Normal 32 3" xfId="29862" xr:uid="{00000000-0005-0000-0000-0000A6740000}"/>
    <cellStyle name="Normal 32 4" xfId="29863" xr:uid="{00000000-0005-0000-0000-0000A7740000}"/>
    <cellStyle name="Normal 32 5" xfId="29864" xr:uid="{00000000-0005-0000-0000-0000A8740000}"/>
    <cellStyle name="Normal 33" xfId="29865" xr:uid="{00000000-0005-0000-0000-0000A9740000}"/>
    <cellStyle name="Normal 33 2" xfId="29866" xr:uid="{00000000-0005-0000-0000-0000AA740000}"/>
    <cellStyle name="Normal 33 3" xfId="29867" xr:uid="{00000000-0005-0000-0000-0000AB740000}"/>
    <cellStyle name="Normal 33 4" xfId="29868" xr:uid="{00000000-0005-0000-0000-0000AC740000}"/>
    <cellStyle name="Normal 33 5" xfId="29869" xr:uid="{00000000-0005-0000-0000-0000AD740000}"/>
    <cellStyle name="Normal 34" xfId="29870" xr:uid="{00000000-0005-0000-0000-0000AE740000}"/>
    <cellStyle name="Normal 34 10" xfId="29871" xr:uid="{00000000-0005-0000-0000-0000AF740000}"/>
    <cellStyle name="Normal 34 11" xfId="29872" xr:uid="{00000000-0005-0000-0000-0000B0740000}"/>
    <cellStyle name="Normal 34 12" xfId="29873" xr:uid="{00000000-0005-0000-0000-0000B1740000}"/>
    <cellStyle name="Normal 34 13" xfId="29874" xr:uid="{00000000-0005-0000-0000-0000B2740000}"/>
    <cellStyle name="Normal 34 14" xfId="29875" xr:uid="{00000000-0005-0000-0000-0000B3740000}"/>
    <cellStyle name="Normal 34 15" xfId="29876" xr:uid="{00000000-0005-0000-0000-0000B4740000}"/>
    <cellStyle name="Normal 34 16" xfId="29877" xr:uid="{00000000-0005-0000-0000-0000B5740000}"/>
    <cellStyle name="Normal 34 17" xfId="29878" xr:uid="{00000000-0005-0000-0000-0000B6740000}"/>
    <cellStyle name="Normal 34 18" xfId="29879" xr:uid="{00000000-0005-0000-0000-0000B7740000}"/>
    <cellStyle name="Normal 34 19" xfId="29880" xr:uid="{00000000-0005-0000-0000-0000B8740000}"/>
    <cellStyle name="Normal 34 2" xfId="29881" xr:uid="{00000000-0005-0000-0000-0000B9740000}"/>
    <cellStyle name="Normal 34 2 2" xfId="29882" xr:uid="{00000000-0005-0000-0000-0000BA740000}"/>
    <cellStyle name="Normal 34 2 3" xfId="29883" xr:uid="{00000000-0005-0000-0000-0000BB740000}"/>
    <cellStyle name="Normal 34 20" xfId="29884" xr:uid="{00000000-0005-0000-0000-0000BC740000}"/>
    <cellStyle name="Normal 34 21" xfId="29885" xr:uid="{00000000-0005-0000-0000-0000BD740000}"/>
    <cellStyle name="Normal 34 22" xfId="29886" xr:uid="{00000000-0005-0000-0000-0000BE740000}"/>
    <cellStyle name="Normal 34 23" xfId="29887" xr:uid="{00000000-0005-0000-0000-0000BF740000}"/>
    <cellStyle name="Normal 34 24" xfId="29888" xr:uid="{00000000-0005-0000-0000-0000C0740000}"/>
    <cellStyle name="Normal 34 25" xfId="29889" xr:uid="{00000000-0005-0000-0000-0000C1740000}"/>
    <cellStyle name="Normal 34 26" xfId="29890" xr:uid="{00000000-0005-0000-0000-0000C2740000}"/>
    <cellStyle name="Normal 34 3" xfId="29891" xr:uid="{00000000-0005-0000-0000-0000C3740000}"/>
    <cellStyle name="Normal 34 3 2" xfId="29892" xr:uid="{00000000-0005-0000-0000-0000C4740000}"/>
    <cellStyle name="Normal 34 3 3" xfId="29893" xr:uid="{00000000-0005-0000-0000-0000C5740000}"/>
    <cellStyle name="Normal 34 3 4" xfId="29894" xr:uid="{00000000-0005-0000-0000-0000C6740000}"/>
    <cellStyle name="Normal 34 3 5" xfId="29895" xr:uid="{00000000-0005-0000-0000-0000C7740000}"/>
    <cellStyle name="Normal 34 4" xfId="29896" xr:uid="{00000000-0005-0000-0000-0000C8740000}"/>
    <cellStyle name="Normal 34 5" xfId="29897" xr:uid="{00000000-0005-0000-0000-0000C9740000}"/>
    <cellStyle name="Normal 34 6" xfId="29898" xr:uid="{00000000-0005-0000-0000-0000CA740000}"/>
    <cellStyle name="Normal 34 7" xfId="29899" xr:uid="{00000000-0005-0000-0000-0000CB740000}"/>
    <cellStyle name="Normal 34 8" xfId="29900" xr:uid="{00000000-0005-0000-0000-0000CC740000}"/>
    <cellStyle name="Normal 34 9" xfId="29901" xr:uid="{00000000-0005-0000-0000-0000CD740000}"/>
    <cellStyle name="Normal 35" xfId="29902" xr:uid="{00000000-0005-0000-0000-0000CE740000}"/>
    <cellStyle name="Normal 35 10" xfId="29903" xr:uid="{00000000-0005-0000-0000-0000CF740000}"/>
    <cellStyle name="Normal 35 11" xfId="29904" xr:uid="{00000000-0005-0000-0000-0000D0740000}"/>
    <cellStyle name="Normal 35 12" xfId="29905" xr:uid="{00000000-0005-0000-0000-0000D1740000}"/>
    <cellStyle name="Normal 35 13" xfId="29906" xr:uid="{00000000-0005-0000-0000-0000D2740000}"/>
    <cellStyle name="Normal 35 14" xfId="29907" xr:uid="{00000000-0005-0000-0000-0000D3740000}"/>
    <cellStyle name="Normal 35 15" xfId="29908" xr:uid="{00000000-0005-0000-0000-0000D4740000}"/>
    <cellStyle name="Normal 35 16" xfId="29909" xr:uid="{00000000-0005-0000-0000-0000D5740000}"/>
    <cellStyle name="Normal 35 17" xfId="29910" xr:uid="{00000000-0005-0000-0000-0000D6740000}"/>
    <cellStyle name="Normal 35 18" xfId="29911" xr:uid="{00000000-0005-0000-0000-0000D7740000}"/>
    <cellStyle name="Normal 35 19" xfId="29912" xr:uid="{00000000-0005-0000-0000-0000D8740000}"/>
    <cellStyle name="Normal 35 2" xfId="29913" xr:uid="{00000000-0005-0000-0000-0000D9740000}"/>
    <cellStyle name="Normal 35 2 2" xfId="29914" xr:uid="{00000000-0005-0000-0000-0000DA740000}"/>
    <cellStyle name="Normal 35 2 3" xfId="29915" xr:uid="{00000000-0005-0000-0000-0000DB740000}"/>
    <cellStyle name="Normal 35 20" xfId="29916" xr:uid="{00000000-0005-0000-0000-0000DC740000}"/>
    <cellStyle name="Normal 35 21" xfId="29917" xr:uid="{00000000-0005-0000-0000-0000DD740000}"/>
    <cellStyle name="Normal 35 22" xfId="29918" xr:uid="{00000000-0005-0000-0000-0000DE740000}"/>
    <cellStyle name="Normal 35 23" xfId="29919" xr:uid="{00000000-0005-0000-0000-0000DF740000}"/>
    <cellStyle name="Normal 35 24" xfId="29920" xr:uid="{00000000-0005-0000-0000-0000E0740000}"/>
    <cellStyle name="Normal 35 25" xfId="29921" xr:uid="{00000000-0005-0000-0000-0000E1740000}"/>
    <cellStyle name="Normal 35 3" xfId="29922" xr:uid="{00000000-0005-0000-0000-0000E2740000}"/>
    <cellStyle name="Normal 35 3 2" xfId="29923" xr:uid="{00000000-0005-0000-0000-0000E3740000}"/>
    <cellStyle name="Normal 35 3 3" xfId="29924" xr:uid="{00000000-0005-0000-0000-0000E4740000}"/>
    <cellStyle name="Normal 35 3 4" xfId="29925" xr:uid="{00000000-0005-0000-0000-0000E5740000}"/>
    <cellStyle name="Normal 35 3 5" xfId="29926" xr:uid="{00000000-0005-0000-0000-0000E6740000}"/>
    <cellStyle name="Normal 35 4" xfId="29927" xr:uid="{00000000-0005-0000-0000-0000E7740000}"/>
    <cellStyle name="Normal 35 5" xfId="29928" xr:uid="{00000000-0005-0000-0000-0000E8740000}"/>
    <cellStyle name="Normal 35 6" xfId="29929" xr:uid="{00000000-0005-0000-0000-0000E9740000}"/>
    <cellStyle name="Normal 35 7" xfId="29930" xr:uid="{00000000-0005-0000-0000-0000EA740000}"/>
    <cellStyle name="Normal 35 8" xfId="29931" xr:uid="{00000000-0005-0000-0000-0000EB740000}"/>
    <cellStyle name="Normal 35 9" xfId="29932" xr:uid="{00000000-0005-0000-0000-0000EC740000}"/>
    <cellStyle name="Normal 36" xfId="29933" xr:uid="{00000000-0005-0000-0000-0000ED740000}"/>
    <cellStyle name="Normal 36 2" xfId="29934" xr:uid="{00000000-0005-0000-0000-0000EE740000}"/>
    <cellStyle name="Normal 36 3" xfId="29935" xr:uid="{00000000-0005-0000-0000-0000EF740000}"/>
    <cellStyle name="Normal 36 4" xfId="29936" xr:uid="{00000000-0005-0000-0000-0000F0740000}"/>
    <cellStyle name="Normal 37" xfId="29937" xr:uid="{00000000-0005-0000-0000-0000F1740000}"/>
    <cellStyle name="Normal 37 10" xfId="29938" xr:uid="{00000000-0005-0000-0000-0000F2740000}"/>
    <cellStyle name="Normal 37 11" xfId="29939" xr:uid="{00000000-0005-0000-0000-0000F3740000}"/>
    <cellStyle name="Normal 37 12" xfId="29940" xr:uid="{00000000-0005-0000-0000-0000F4740000}"/>
    <cellStyle name="Normal 37 13" xfId="29941" xr:uid="{00000000-0005-0000-0000-0000F5740000}"/>
    <cellStyle name="Normal 37 14" xfId="29942" xr:uid="{00000000-0005-0000-0000-0000F6740000}"/>
    <cellStyle name="Normal 37 15" xfId="29943" xr:uid="{00000000-0005-0000-0000-0000F7740000}"/>
    <cellStyle name="Normal 37 16" xfId="29944" xr:uid="{00000000-0005-0000-0000-0000F8740000}"/>
    <cellStyle name="Normal 37 17" xfId="29945" xr:uid="{00000000-0005-0000-0000-0000F9740000}"/>
    <cellStyle name="Normal 37 18" xfId="29946" xr:uid="{00000000-0005-0000-0000-0000FA740000}"/>
    <cellStyle name="Normal 37 19" xfId="29947" xr:uid="{00000000-0005-0000-0000-0000FB740000}"/>
    <cellStyle name="Normal 37 2" xfId="29948" xr:uid="{00000000-0005-0000-0000-0000FC740000}"/>
    <cellStyle name="Normal 37 2 2" xfId="29949" xr:uid="{00000000-0005-0000-0000-0000FD740000}"/>
    <cellStyle name="Normal 37 20" xfId="29950" xr:uid="{00000000-0005-0000-0000-0000FE740000}"/>
    <cellStyle name="Normal 37 21" xfId="29951" xr:uid="{00000000-0005-0000-0000-0000FF740000}"/>
    <cellStyle name="Normal 37 22" xfId="29952" xr:uid="{00000000-0005-0000-0000-000000750000}"/>
    <cellStyle name="Normal 37 23" xfId="29953" xr:uid="{00000000-0005-0000-0000-000001750000}"/>
    <cellStyle name="Normal 37 24" xfId="29954" xr:uid="{00000000-0005-0000-0000-000002750000}"/>
    <cellStyle name="Normal 37 25" xfId="29955" xr:uid="{00000000-0005-0000-0000-000003750000}"/>
    <cellStyle name="Normal 37 26" xfId="29956" xr:uid="{00000000-0005-0000-0000-000004750000}"/>
    <cellStyle name="Normal 37 3" xfId="29957" xr:uid="{00000000-0005-0000-0000-000005750000}"/>
    <cellStyle name="Normal 37 3 2" xfId="29958" xr:uid="{00000000-0005-0000-0000-000006750000}"/>
    <cellStyle name="Normal 37 4" xfId="29959" xr:uid="{00000000-0005-0000-0000-000007750000}"/>
    <cellStyle name="Normal 37 4 2" xfId="29960" xr:uid="{00000000-0005-0000-0000-000008750000}"/>
    <cellStyle name="Normal 37 5" xfId="29961" xr:uid="{00000000-0005-0000-0000-000009750000}"/>
    <cellStyle name="Normal 37 5 2" xfId="29962" xr:uid="{00000000-0005-0000-0000-00000A750000}"/>
    <cellStyle name="Normal 37 6" xfId="29963" xr:uid="{00000000-0005-0000-0000-00000B750000}"/>
    <cellStyle name="Normal 37 7" xfId="29964" xr:uid="{00000000-0005-0000-0000-00000C750000}"/>
    <cellStyle name="Normal 37 8" xfId="29965" xr:uid="{00000000-0005-0000-0000-00000D750000}"/>
    <cellStyle name="Normal 37 9" xfId="29966" xr:uid="{00000000-0005-0000-0000-00000E750000}"/>
    <cellStyle name="Normal 38" xfId="29967" xr:uid="{00000000-0005-0000-0000-00000F750000}"/>
    <cellStyle name="Normal 38 10" xfId="29968" xr:uid="{00000000-0005-0000-0000-000010750000}"/>
    <cellStyle name="Normal 38 11" xfId="29969" xr:uid="{00000000-0005-0000-0000-000011750000}"/>
    <cellStyle name="Normal 38 12" xfId="29970" xr:uid="{00000000-0005-0000-0000-000012750000}"/>
    <cellStyle name="Normal 38 13" xfId="29971" xr:uid="{00000000-0005-0000-0000-000013750000}"/>
    <cellStyle name="Normal 38 14" xfId="29972" xr:uid="{00000000-0005-0000-0000-000014750000}"/>
    <cellStyle name="Normal 38 15" xfId="29973" xr:uid="{00000000-0005-0000-0000-000015750000}"/>
    <cellStyle name="Normal 38 16" xfId="29974" xr:uid="{00000000-0005-0000-0000-000016750000}"/>
    <cellStyle name="Normal 38 17" xfId="29975" xr:uid="{00000000-0005-0000-0000-000017750000}"/>
    <cellStyle name="Normal 38 18" xfId="29976" xr:uid="{00000000-0005-0000-0000-000018750000}"/>
    <cellStyle name="Normal 38 19" xfId="29977" xr:uid="{00000000-0005-0000-0000-000019750000}"/>
    <cellStyle name="Normal 38 2" xfId="29978" xr:uid="{00000000-0005-0000-0000-00001A750000}"/>
    <cellStyle name="Normal 38 2 2" xfId="29979" xr:uid="{00000000-0005-0000-0000-00001B750000}"/>
    <cellStyle name="Normal 38 20" xfId="29980" xr:uid="{00000000-0005-0000-0000-00001C750000}"/>
    <cellStyle name="Normal 38 21" xfId="29981" xr:uid="{00000000-0005-0000-0000-00001D750000}"/>
    <cellStyle name="Normal 38 22" xfId="29982" xr:uid="{00000000-0005-0000-0000-00001E750000}"/>
    <cellStyle name="Normal 38 23" xfId="29983" xr:uid="{00000000-0005-0000-0000-00001F750000}"/>
    <cellStyle name="Normal 38 24" xfId="29984" xr:uid="{00000000-0005-0000-0000-000020750000}"/>
    <cellStyle name="Normal 38 25" xfId="29985" xr:uid="{00000000-0005-0000-0000-000021750000}"/>
    <cellStyle name="Normal 38 26" xfId="29986" xr:uid="{00000000-0005-0000-0000-000022750000}"/>
    <cellStyle name="Normal 38 3" xfId="29987" xr:uid="{00000000-0005-0000-0000-000023750000}"/>
    <cellStyle name="Normal 38 3 2" xfId="29988" xr:uid="{00000000-0005-0000-0000-000024750000}"/>
    <cellStyle name="Normal 38 4" xfId="29989" xr:uid="{00000000-0005-0000-0000-000025750000}"/>
    <cellStyle name="Normal 38 4 2" xfId="29990" xr:uid="{00000000-0005-0000-0000-000026750000}"/>
    <cellStyle name="Normal 38 5" xfId="29991" xr:uid="{00000000-0005-0000-0000-000027750000}"/>
    <cellStyle name="Normal 38 5 2" xfId="29992" xr:uid="{00000000-0005-0000-0000-000028750000}"/>
    <cellStyle name="Normal 38 6" xfId="29993" xr:uid="{00000000-0005-0000-0000-000029750000}"/>
    <cellStyle name="Normal 38 7" xfId="29994" xr:uid="{00000000-0005-0000-0000-00002A750000}"/>
    <cellStyle name="Normal 38 8" xfId="29995" xr:uid="{00000000-0005-0000-0000-00002B750000}"/>
    <cellStyle name="Normal 38 9" xfId="29996" xr:uid="{00000000-0005-0000-0000-00002C750000}"/>
    <cellStyle name="Normal 39" xfId="29997" xr:uid="{00000000-0005-0000-0000-00002D750000}"/>
    <cellStyle name="Normal 39 10" xfId="29998" xr:uid="{00000000-0005-0000-0000-00002E750000}"/>
    <cellStyle name="Normal 39 11" xfId="29999" xr:uid="{00000000-0005-0000-0000-00002F750000}"/>
    <cellStyle name="Normal 39 12" xfId="30000" xr:uid="{00000000-0005-0000-0000-000030750000}"/>
    <cellStyle name="Normal 39 13" xfId="30001" xr:uid="{00000000-0005-0000-0000-000031750000}"/>
    <cellStyle name="Normal 39 14" xfId="30002" xr:uid="{00000000-0005-0000-0000-000032750000}"/>
    <cellStyle name="Normal 39 15" xfId="30003" xr:uid="{00000000-0005-0000-0000-000033750000}"/>
    <cellStyle name="Normal 39 16" xfId="30004" xr:uid="{00000000-0005-0000-0000-000034750000}"/>
    <cellStyle name="Normal 39 17" xfId="30005" xr:uid="{00000000-0005-0000-0000-000035750000}"/>
    <cellStyle name="Normal 39 18" xfId="30006" xr:uid="{00000000-0005-0000-0000-000036750000}"/>
    <cellStyle name="Normal 39 19" xfId="30007" xr:uid="{00000000-0005-0000-0000-000037750000}"/>
    <cellStyle name="Normal 39 2" xfId="30008" xr:uid="{00000000-0005-0000-0000-000038750000}"/>
    <cellStyle name="Normal 39 2 2" xfId="30009" xr:uid="{00000000-0005-0000-0000-000039750000}"/>
    <cellStyle name="Normal 39 20" xfId="30010" xr:uid="{00000000-0005-0000-0000-00003A750000}"/>
    <cellStyle name="Normal 39 21" xfId="30011" xr:uid="{00000000-0005-0000-0000-00003B750000}"/>
    <cellStyle name="Normal 39 22" xfId="30012" xr:uid="{00000000-0005-0000-0000-00003C750000}"/>
    <cellStyle name="Normal 39 23" xfId="30013" xr:uid="{00000000-0005-0000-0000-00003D750000}"/>
    <cellStyle name="Normal 39 24" xfId="30014" xr:uid="{00000000-0005-0000-0000-00003E750000}"/>
    <cellStyle name="Normal 39 25" xfId="30015" xr:uid="{00000000-0005-0000-0000-00003F750000}"/>
    <cellStyle name="Normal 39 26" xfId="30016" xr:uid="{00000000-0005-0000-0000-000040750000}"/>
    <cellStyle name="Normal 39 3" xfId="30017" xr:uid="{00000000-0005-0000-0000-000041750000}"/>
    <cellStyle name="Normal 39 3 2" xfId="30018" xr:uid="{00000000-0005-0000-0000-000042750000}"/>
    <cellStyle name="Normal 39 4" xfId="30019" xr:uid="{00000000-0005-0000-0000-000043750000}"/>
    <cellStyle name="Normal 39 4 2" xfId="30020" xr:uid="{00000000-0005-0000-0000-000044750000}"/>
    <cellStyle name="Normal 39 5" xfId="30021" xr:uid="{00000000-0005-0000-0000-000045750000}"/>
    <cellStyle name="Normal 39 5 2" xfId="30022" xr:uid="{00000000-0005-0000-0000-000046750000}"/>
    <cellStyle name="Normal 39 6" xfId="30023" xr:uid="{00000000-0005-0000-0000-000047750000}"/>
    <cellStyle name="Normal 39 7" xfId="30024" xr:uid="{00000000-0005-0000-0000-000048750000}"/>
    <cellStyle name="Normal 39 8" xfId="30025" xr:uid="{00000000-0005-0000-0000-000049750000}"/>
    <cellStyle name="Normal 39 9" xfId="30026" xr:uid="{00000000-0005-0000-0000-00004A750000}"/>
    <cellStyle name="Normal 4" xfId="21" xr:uid="{00000000-0005-0000-0000-000015000000}"/>
    <cellStyle name="Normal 4 10" xfId="30027" xr:uid="{00000000-0005-0000-0000-00004B750000}"/>
    <cellStyle name="Normal 4 10 2" xfId="30028" xr:uid="{00000000-0005-0000-0000-00004C750000}"/>
    <cellStyle name="Normal 4 10 3" xfId="30029" xr:uid="{00000000-0005-0000-0000-00004D750000}"/>
    <cellStyle name="Normal 4 10 4" xfId="30030" xr:uid="{00000000-0005-0000-0000-00004E750000}"/>
    <cellStyle name="Normal 4 10 5" xfId="30031" xr:uid="{00000000-0005-0000-0000-00004F750000}"/>
    <cellStyle name="Normal 4 10_Enlaces" xfId="30032" xr:uid="{00000000-0005-0000-0000-000050750000}"/>
    <cellStyle name="Normal 4 100" xfId="30033" xr:uid="{00000000-0005-0000-0000-000051750000}"/>
    <cellStyle name="Normal 4 100 2" xfId="30034" xr:uid="{00000000-0005-0000-0000-000052750000}"/>
    <cellStyle name="Normal 4 100 3" xfId="30035" xr:uid="{00000000-0005-0000-0000-000053750000}"/>
    <cellStyle name="Normal 4 101" xfId="30036" xr:uid="{00000000-0005-0000-0000-000054750000}"/>
    <cellStyle name="Normal 4 101 2" xfId="30037" xr:uid="{00000000-0005-0000-0000-000055750000}"/>
    <cellStyle name="Normal 4 101 3" xfId="30038" xr:uid="{00000000-0005-0000-0000-000056750000}"/>
    <cellStyle name="Normal 4 102" xfId="30039" xr:uid="{00000000-0005-0000-0000-000057750000}"/>
    <cellStyle name="Normal 4 102 2" xfId="30040" xr:uid="{00000000-0005-0000-0000-000058750000}"/>
    <cellStyle name="Normal 4 102 3" xfId="30041" xr:uid="{00000000-0005-0000-0000-000059750000}"/>
    <cellStyle name="Normal 4 103" xfId="30042" xr:uid="{00000000-0005-0000-0000-00005A750000}"/>
    <cellStyle name="Normal 4 103 2" xfId="30043" xr:uid="{00000000-0005-0000-0000-00005B750000}"/>
    <cellStyle name="Normal 4 103 3" xfId="30044" xr:uid="{00000000-0005-0000-0000-00005C750000}"/>
    <cellStyle name="Normal 4 104" xfId="30045" xr:uid="{00000000-0005-0000-0000-00005D750000}"/>
    <cellStyle name="Normal 4 104 2" xfId="30046" xr:uid="{00000000-0005-0000-0000-00005E750000}"/>
    <cellStyle name="Normal 4 104 3" xfId="30047" xr:uid="{00000000-0005-0000-0000-00005F750000}"/>
    <cellStyle name="Normal 4 105" xfId="30048" xr:uid="{00000000-0005-0000-0000-000060750000}"/>
    <cellStyle name="Normal 4 105 2" xfId="30049" xr:uid="{00000000-0005-0000-0000-000061750000}"/>
    <cellStyle name="Normal 4 105 3" xfId="30050" xr:uid="{00000000-0005-0000-0000-000062750000}"/>
    <cellStyle name="Normal 4 106" xfId="30051" xr:uid="{00000000-0005-0000-0000-000063750000}"/>
    <cellStyle name="Normal 4 106 2" xfId="30052" xr:uid="{00000000-0005-0000-0000-000064750000}"/>
    <cellStyle name="Normal 4 106 3" xfId="30053" xr:uid="{00000000-0005-0000-0000-000065750000}"/>
    <cellStyle name="Normal 4 107" xfId="30054" xr:uid="{00000000-0005-0000-0000-000066750000}"/>
    <cellStyle name="Normal 4 107 2" xfId="30055" xr:uid="{00000000-0005-0000-0000-000067750000}"/>
    <cellStyle name="Normal 4 107 3" xfId="30056" xr:uid="{00000000-0005-0000-0000-000068750000}"/>
    <cellStyle name="Normal 4 108" xfId="30057" xr:uid="{00000000-0005-0000-0000-000069750000}"/>
    <cellStyle name="Normal 4 108 2" xfId="30058" xr:uid="{00000000-0005-0000-0000-00006A750000}"/>
    <cellStyle name="Normal 4 108 3" xfId="30059" xr:uid="{00000000-0005-0000-0000-00006B750000}"/>
    <cellStyle name="Normal 4 109" xfId="30060" xr:uid="{00000000-0005-0000-0000-00006C750000}"/>
    <cellStyle name="Normal 4 109 2" xfId="30061" xr:uid="{00000000-0005-0000-0000-00006D750000}"/>
    <cellStyle name="Normal 4 109 3" xfId="30062" xr:uid="{00000000-0005-0000-0000-00006E750000}"/>
    <cellStyle name="Normal 4 11" xfId="30063" xr:uid="{00000000-0005-0000-0000-00006F750000}"/>
    <cellStyle name="Normal 4 11 2" xfId="30064" xr:uid="{00000000-0005-0000-0000-000070750000}"/>
    <cellStyle name="Normal 4 11 3" xfId="30065" xr:uid="{00000000-0005-0000-0000-000071750000}"/>
    <cellStyle name="Normal 4 11 4" xfId="30066" xr:uid="{00000000-0005-0000-0000-000072750000}"/>
    <cellStyle name="Normal 4 11 5" xfId="30067" xr:uid="{00000000-0005-0000-0000-000073750000}"/>
    <cellStyle name="Normal 4 11_Enlaces" xfId="30068" xr:uid="{00000000-0005-0000-0000-000074750000}"/>
    <cellStyle name="Normal 4 110" xfId="30069" xr:uid="{00000000-0005-0000-0000-000075750000}"/>
    <cellStyle name="Normal 4 110 2" xfId="30070" xr:uid="{00000000-0005-0000-0000-000076750000}"/>
    <cellStyle name="Normal 4 110 3" xfId="30071" xr:uid="{00000000-0005-0000-0000-000077750000}"/>
    <cellStyle name="Normal 4 111" xfId="30072" xr:uid="{00000000-0005-0000-0000-000078750000}"/>
    <cellStyle name="Normal 4 111 2" xfId="30073" xr:uid="{00000000-0005-0000-0000-000079750000}"/>
    <cellStyle name="Normal 4 111 3" xfId="30074" xr:uid="{00000000-0005-0000-0000-00007A750000}"/>
    <cellStyle name="Normal 4 112" xfId="30075" xr:uid="{00000000-0005-0000-0000-00007B750000}"/>
    <cellStyle name="Normal 4 112 2" xfId="30076" xr:uid="{00000000-0005-0000-0000-00007C750000}"/>
    <cellStyle name="Normal 4 112 3" xfId="30077" xr:uid="{00000000-0005-0000-0000-00007D750000}"/>
    <cellStyle name="Normal 4 113" xfId="30078" xr:uid="{00000000-0005-0000-0000-00007E750000}"/>
    <cellStyle name="Normal 4 113 2" xfId="30079" xr:uid="{00000000-0005-0000-0000-00007F750000}"/>
    <cellStyle name="Normal 4 113 3" xfId="30080" xr:uid="{00000000-0005-0000-0000-000080750000}"/>
    <cellStyle name="Normal 4 114" xfId="30081" xr:uid="{00000000-0005-0000-0000-000081750000}"/>
    <cellStyle name="Normal 4 114 2" xfId="30082" xr:uid="{00000000-0005-0000-0000-000082750000}"/>
    <cellStyle name="Normal 4 114 3" xfId="30083" xr:uid="{00000000-0005-0000-0000-000083750000}"/>
    <cellStyle name="Normal 4 115" xfId="30084" xr:uid="{00000000-0005-0000-0000-000084750000}"/>
    <cellStyle name="Normal 4 115 2" xfId="30085" xr:uid="{00000000-0005-0000-0000-000085750000}"/>
    <cellStyle name="Normal 4 115 3" xfId="30086" xr:uid="{00000000-0005-0000-0000-000086750000}"/>
    <cellStyle name="Normal 4 116" xfId="30087" xr:uid="{00000000-0005-0000-0000-000087750000}"/>
    <cellStyle name="Normal 4 116 2" xfId="30088" xr:uid="{00000000-0005-0000-0000-000088750000}"/>
    <cellStyle name="Normal 4 116 3" xfId="30089" xr:uid="{00000000-0005-0000-0000-000089750000}"/>
    <cellStyle name="Normal 4 117" xfId="30090" xr:uid="{00000000-0005-0000-0000-00008A750000}"/>
    <cellStyle name="Normal 4 117 2" xfId="30091" xr:uid="{00000000-0005-0000-0000-00008B750000}"/>
    <cellStyle name="Normal 4 117 3" xfId="30092" xr:uid="{00000000-0005-0000-0000-00008C750000}"/>
    <cellStyle name="Normal 4 118" xfId="30093" xr:uid="{00000000-0005-0000-0000-00008D750000}"/>
    <cellStyle name="Normal 4 118 2" xfId="30094" xr:uid="{00000000-0005-0000-0000-00008E750000}"/>
    <cellStyle name="Normal 4 118 3" xfId="30095" xr:uid="{00000000-0005-0000-0000-00008F750000}"/>
    <cellStyle name="Normal 4 119" xfId="30096" xr:uid="{00000000-0005-0000-0000-000090750000}"/>
    <cellStyle name="Normal 4 119 2" xfId="30097" xr:uid="{00000000-0005-0000-0000-000091750000}"/>
    <cellStyle name="Normal 4 119 3" xfId="30098" xr:uid="{00000000-0005-0000-0000-000092750000}"/>
    <cellStyle name="Normal 4 12" xfId="30099" xr:uid="{00000000-0005-0000-0000-000093750000}"/>
    <cellStyle name="Normal 4 12 2" xfId="30100" xr:uid="{00000000-0005-0000-0000-000094750000}"/>
    <cellStyle name="Normal 4 12 3" xfId="30101" xr:uid="{00000000-0005-0000-0000-000095750000}"/>
    <cellStyle name="Normal 4 12 4" xfId="30102" xr:uid="{00000000-0005-0000-0000-000096750000}"/>
    <cellStyle name="Normal 4 12 5" xfId="30103" xr:uid="{00000000-0005-0000-0000-000097750000}"/>
    <cellStyle name="Normal 4 12_Enlaces" xfId="30104" xr:uid="{00000000-0005-0000-0000-000098750000}"/>
    <cellStyle name="Normal 4 120" xfId="30105" xr:uid="{00000000-0005-0000-0000-000099750000}"/>
    <cellStyle name="Normal 4 120 2" xfId="30106" xr:uid="{00000000-0005-0000-0000-00009A750000}"/>
    <cellStyle name="Normal 4 120 3" xfId="30107" xr:uid="{00000000-0005-0000-0000-00009B750000}"/>
    <cellStyle name="Normal 4 121" xfId="30108" xr:uid="{00000000-0005-0000-0000-00009C750000}"/>
    <cellStyle name="Normal 4 121 2" xfId="30109" xr:uid="{00000000-0005-0000-0000-00009D750000}"/>
    <cellStyle name="Normal 4 121 3" xfId="30110" xr:uid="{00000000-0005-0000-0000-00009E750000}"/>
    <cellStyle name="Normal 4 122" xfId="30111" xr:uid="{00000000-0005-0000-0000-00009F750000}"/>
    <cellStyle name="Normal 4 122 2" xfId="30112" xr:uid="{00000000-0005-0000-0000-0000A0750000}"/>
    <cellStyle name="Normal 4 122 3" xfId="30113" xr:uid="{00000000-0005-0000-0000-0000A1750000}"/>
    <cellStyle name="Normal 4 123" xfId="30114" xr:uid="{00000000-0005-0000-0000-0000A2750000}"/>
    <cellStyle name="Normal 4 123 2" xfId="30115" xr:uid="{00000000-0005-0000-0000-0000A3750000}"/>
    <cellStyle name="Normal 4 123 3" xfId="30116" xr:uid="{00000000-0005-0000-0000-0000A4750000}"/>
    <cellStyle name="Normal 4 124" xfId="30117" xr:uid="{00000000-0005-0000-0000-0000A5750000}"/>
    <cellStyle name="Normal 4 125" xfId="30118" xr:uid="{00000000-0005-0000-0000-0000A6750000}"/>
    <cellStyle name="Normal 4 126" xfId="30119" xr:uid="{00000000-0005-0000-0000-0000A7750000}"/>
    <cellStyle name="Normal 4 127" xfId="30120" xr:uid="{00000000-0005-0000-0000-0000A8750000}"/>
    <cellStyle name="Normal 4 128" xfId="30121" xr:uid="{00000000-0005-0000-0000-0000A9750000}"/>
    <cellStyle name="Normal 4 129" xfId="30122" xr:uid="{00000000-0005-0000-0000-0000AA750000}"/>
    <cellStyle name="Normal 4 13" xfId="30123" xr:uid="{00000000-0005-0000-0000-0000AB750000}"/>
    <cellStyle name="Normal 4 13 2" xfId="30124" xr:uid="{00000000-0005-0000-0000-0000AC750000}"/>
    <cellStyle name="Normal 4 13 3" xfId="30125" xr:uid="{00000000-0005-0000-0000-0000AD750000}"/>
    <cellStyle name="Normal 4 13 4" xfId="30126" xr:uid="{00000000-0005-0000-0000-0000AE750000}"/>
    <cellStyle name="Normal 4 13 5" xfId="30127" xr:uid="{00000000-0005-0000-0000-0000AF750000}"/>
    <cellStyle name="Normal 4 13_Enlaces" xfId="30128" xr:uid="{00000000-0005-0000-0000-0000B0750000}"/>
    <cellStyle name="Normal 4 130" xfId="30129" xr:uid="{00000000-0005-0000-0000-0000B1750000}"/>
    <cellStyle name="Normal 4 131" xfId="30130" xr:uid="{00000000-0005-0000-0000-0000B2750000}"/>
    <cellStyle name="Normal 4 131 2" xfId="30131" xr:uid="{00000000-0005-0000-0000-0000B3750000}"/>
    <cellStyle name="Normal 4 132" xfId="30132" xr:uid="{00000000-0005-0000-0000-0000B4750000}"/>
    <cellStyle name="Normal 4 132 2" xfId="30133" xr:uid="{00000000-0005-0000-0000-0000B5750000}"/>
    <cellStyle name="Normal 4 133" xfId="30134" xr:uid="{00000000-0005-0000-0000-0000B6750000}"/>
    <cellStyle name="Normal 4 133 2" xfId="30135" xr:uid="{00000000-0005-0000-0000-0000B7750000}"/>
    <cellStyle name="Normal 4 134" xfId="30136" xr:uid="{00000000-0005-0000-0000-0000B8750000}"/>
    <cellStyle name="Normal 4 134 2" xfId="30137" xr:uid="{00000000-0005-0000-0000-0000B9750000}"/>
    <cellStyle name="Normal 4 135" xfId="30138" xr:uid="{00000000-0005-0000-0000-0000BA750000}"/>
    <cellStyle name="Normal 4 135 2" xfId="30139" xr:uid="{00000000-0005-0000-0000-0000BB750000}"/>
    <cellStyle name="Normal 4 136" xfId="30140" xr:uid="{00000000-0005-0000-0000-0000BC750000}"/>
    <cellStyle name="Normal 4 136 2" xfId="30141" xr:uid="{00000000-0005-0000-0000-0000BD750000}"/>
    <cellStyle name="Normal 4 137" xfId="30142" xr:uid="{00000000-0005-0000-0000-0000BE750000}"/>
    <cellStyle name="Normal 4 137 2" xfId="30143" xr:uid="{00000000-0005-0000-0000-0000BF750000}"/>
    <cellStyle name="Normal 4 138" xfId="30144" xr:uid="{00000000-0005-0000-0000-0000C0750000}"/>
    <cellStyle name="Normal 4 138 2" xfId="30145" xr:uid="{00000000-0005-0000-0000-0000C1750000}"/>
    <cellStyle name="Normal 4 139" xfId="30146" xr:uid="{00000000-0005-0000-0000-0000C2750000}"/>
    <cellStyle name="Normal 4 139 2" xfId="30147" xr:uid="{00000000-0005-0000-0000-0000C3750000}"/>
    <cellStyle name="Normal 4 14" xfId="30148" xr:uid="{00000000-0005-0000-0000-0000C4750000}"/>
    <cellStyle name="Normal 4 14 2" xfId="30149" xr:uid="{00000000-0005-0000-0000-0000C5750000}"/>
    <cellStyle name="Normal 4 14 3" xfId="30150" xr:uid="{00000000-0005-0000-0000-0000C6750000}"/>
    <cellStyle name="Normal 4 14 4" xfId="30151" xr:uid="{00000000-0005-0000-0000-0000C7750000}"/>
    <cellStyle name="Normal 4 14 5" xfId="30152" xr:uid="{00000000-0005-0000-0000-0000C8750000}"/>
    <cellStyle name="Normal 4 14_Enlaces" xfId="30153" xr:uid="{00000000-0005-0000-0000-0000C9750000}"/>
    <cellStyle name="Normal 4 140" xfId="30154" xr:uid="{00000000-0005-0000-0000-0000CA750000}"/>
    <cellStyle name="Normal 4 140 2" xfId="30155" xr:uid="{00000000-0005-0000-0000-0000CB750000}"/>
    <cellStyle name="Normal 4 141" xfId="30156" xr:uid="{00000000-0005-0000-0000-0000CC750000}"/>
    <cellStyle name="Normal 4 141 2" xfId="30157" xr:uid="{00000000-0005-0000-0000-0000CD750000}"/>
    <cellStyle name="Normal 4 142" xfId="30158" xr:uid="{00000000-0005-0000-0000-0000CE750000}"/>
    <cellStyle name="Normal 4 142 2" xfId="30159" xr:uid="{00000000-0005-0000-0000-0000CF750000}"/>
    <cellStyle name="Normal 4 143" xfId="30160" xr:uid="{00000000-0005-0000-0000-0000D0750000}"/>
    <cellStyle name="Normal 4 143 2" xfId="30161" xr:uid="{00000000-0005-0000-0000-0000D1750000}"/>
    <cellStyle name="Normal 4 144" xfId="30162" xr:uid="{00000000-0005-0000-0000-0000D2750000}"/>
    <cellStyle name="Normal 4 144 2" xfId="30163" xr:uid="{00000000-0005-0000-0000-0000D3750000}"/>
    <cellStyle name="Normal 4 145" xfId="30164" xr:uid="{00000000-0005-0000-0000-0000D4750000}"/>
    <cellStyle name="Normal 4 145 2" xfId="30165" xr:uid="{00000000-0005-0000-0000-0000D5750000}"/>
    <cellStyle name="Normal 4 146" xfId="30166" xr:uid="{00000000-0005-0000-0000-0000D6750000}"/>
    <cellStyle name="Normal 4 146 2" xfId="30167" xr:uid="{00000000-0005-0000-0000-0000D7750000}"/>
    <cellStyle name="Normal 4 147" xfId="30168" xr:uid="{00000000-0005-0000-0000-0000D8750000}"/>
    <cellStyle name="Normal 4 147 2" xfId="30169" xr:uid="{00000000-0005-0000-0000-0000D9750000}"/>
    <cellStyle name="Normal 4 148" xfId="30170" xr:uid="{00000000-0005-0000-0000-0000DA750000}"/>
    <cellStyle name="Normal 4 148 2" xfId="30171" xr:uid="{00000000-0005-0000-0000-0000DB750000}"/>
    <cellStyle name="Normal 4 148 3" xfId="30172" xr:uid="{00000000-0005-0000-0000-0000DC750000}"/>
    <cellStyle name="Normal 4 149" xfId="30173" xr:uid="{00000000-0005-0000-0000-0000DD750000}"/>
    <cellStyle name="Normal 4 149 2" xfId="30174" xr:uid="{00000000-0005-0000-0000-0000DE750000}"/>
    <cellStyle name="Normal 4 149 3" xfId="30175" xr:uid="{00000000-0005-0000-0000-0000DF750000}"/>
    <cellStyle name="Normal 4 15" xfId="30176" xr:uid="{00000000-0005-0000-0000-0000E0750000}"/>
    <cellStyle name="Normal 4 15 2" xfId="30177" xr:uid="{00000000-0005-0000-0000-0000E1750000}"/>
    <cellStyle name="Normal 4 15 3" xfId="30178" xr:uid="{00000000-0005-0000-0000-0000E2750000}"/>
    <cellStyle name="Normal 4 15 4" xfId="30179" xr:uid="{00000000-0005-0000-0000-0000E3750000}"/>
    <cellStyle name="Normal 4 15 5" xfId="30180" xr:uid="{00000000-0005-0000-0000-0000E4750000}"/>
    <cellStyle name="Normal 4 15_Enlaces" xfId="30181" xr:uid="{00000000-0005-0000-0000-0000E5750000}"/>
    <cellStyle name="Normal 4 150" xfId="30182" xr:uid="{00000000-0005-0000-0000-0000E6750000}"/>
    <cellStyle name="Normal 4 150 2" xfId="30183" xr:uid="{00000000-0005-0000-0000-0000E7750000}"/>
    <cellStyle name="Normal 4 150 3" xfId="30184" xr:uid="{00000000-0005-0000-0000-0000E8750000}"/>
    <cellStyle name="Normal 4 151" xfId="30185" xr:uid="{00000000-0005-0000-0000-0000E9750000}"/>
    <cellStyle name="Normal 4 151 2" xfId="30186" xr:uid="{00000000-0005-0000-0000-0000EA750000}"/>
    <cellStyle name="Normal 4 151 3" xfId="30187" xr:uid="{00000000-0005-0000-0000-0000EB750000}"/>
    <cellStyle name="Normal 4 152" xfId="30188" xr:uid="{00000000-0005-0000-0000-0000EC750000}"/>
    <cellStyle name="Normal 4 152 2" xfId="30189" xr:uid="{00000000-0005-0000-0000-0000ED750000}"/>
    <cellStyle name="Normal 4 152 3" xfId="30190" xr:uid="{00000000-0005-0000-0000-0000EE750000}"/>
    <cellStyle name="Normal 4 153" xfId="30191" xr:uid="{00000000-0005-0000-0000-0000EF750000}"/>
    <cellStyle name="Normal 4 153 2" xfId="30192" xr:uid="{00000000-0005-0000-0000-0000F0750000}"/>
    <cellStyle name="Normal 4 154" xfId="30193" xr:uid="{00000000-0005-0000-0000-0000F1750000}"/>
    <cellStyle name="Normal 4 155" xfId="30194" xr:uid="{00000000-0005-0000-0000-0000F2750000}"/>
    <cellStyle name="Normal 4 156" xfId="30195" xr:uid="{00000000-0005-0000-0000-0000F3750000}"/>
    <cellStyle name="Normal 4 157" xfId="30196" xr:uid="{00000000-0005-0000-0000-0000F4750000}"/>
    <cellStyle name="Normal 4 158" xfId="30197" xr:uid="{00000000-0005-0000-0000-0000F5750000}"/>
    <cellStyle name="Normal 4 159" xfId="30198" xr:uid="{00000000-0005-0000-0000-0000F6750000}"/>
    <cellStyle name="Normal 4 16" xfId="30199" xr:uid="{00000000-0005-0000-0000-0000F7750000}"/>
    <cellStyle name="Normal 4 16 2" xfId="30200" xr:uid="{00000000-0005-0000-0000-0000F8750000}"/>
    <cellStyle name="Normal 4 16 3" xfId="30201" xr:uid="{00000000-0005-0000-0000-0000F9750000}"/>
    <cellStyle name="Normal 4 16 4" xfId="30202" xr:uid="{00000000-0005-0000-0000-0000FA750000}"/>
    <cellStyle name="Normal 4 16 5" xfId="30203" xr:uid="{00000000-0005-0000-0000-0000FB750000}"/>
    <cellStyle name="Normal 4 16_Enlaces" xfId="30204" xr:uid="{00000000-0005-0000-0000-0000FC750000}"/>
    <cellStyle name="Normal 4 160" xfId="30205" xr:uid="{00000000-0005-0000-0000-0000FD750000}"/>
    <cellStyle name="Normal 4 161" xfId="30206" xr:uid="{00000000-0005-0000-0000-0000FE750000}"/>
    <cellStyle name="Normal 4 162" xfId="30207" xr:uid="{00000000-0005-0000-0000-0000FF750000}"/>
    <cellStyle name="Normal 4 163" xfId="30208" xr:uid="{00000000-0005-0000-0000-000000760000}"/>
    <cellStyle name="Normal 4 164" xfId="30209" xr:uid="{00000000-0005-0000-0000-000001760000}"/>
    <cellStyle name="Normal 4 165" xfId="30210" xr:uid="{00000000-0005-0000-0000-000002760000}"/>
    <cellStyle name="Normal 4 166" xfId="30211" xr:uid="{00000000-0005-0000-0000-000003760000}"/>
    <cellStyle name="Normal 4 167" xfId="30212" xr:uid="{00000000-0005-0000-0000-000004760000}"/>
    <cellStyle name="Normal 4 168" xfId="30213" xr:uid="{00000000-0005-0000-0000-000005760000}"/>
    <cellStyle name="Normal 4 169" xfId="30214" xr:uid="{00000000-0005-0000-0000-000006760000}"/>
    <cellStyle name="Normal 4 17" xfId="30215" xr:uid="{00000000-0005-0000-0000-000007760000}"/>
    <cellStyle name="Normal 4 17 2" xfId="30216" xr:uid="{00000000-0005-0000-0000-000008760000}"/>
    <cellStyle name="Normal 4 17 3" xfId="30217" xr:uid="{00000000-0005-0000-0000-000009760000}"/>
    <cellStyle name="Normal 4 17 4" xfId="30218" xr:uid="{00000000-0005-0000-0000-00000A760000}"/>
    <cellStyle name="Normal 4 17 5" xfId="30219" xr:uid="{00000000-0005-0000-0000-00000B760000}"/>
    <cellStyle name="Normal 4 17_Enlaces" xfId="30220" xr:uid="{00000000-0005-0000-0000-00000C760000}"/>
    <cellStyle name="Normal 4 170" xfId="30221" xr:uid="{00000000-0005-0000-0000-00000D760000}"/>
    <cellStyle name="Normal 4 171" xfId="30222" xr:uid="{00000000-0005-0000-0000-00000E760000}"/>
    <cellStyle name="Normal 4 18" xfId="30223" xr:uid="{00000000-0005-0000-0000-00000F760000}"/>
    <cellStyle name="Normal 4 18 2" xfId="30224" xr:uid="{00000000-0005-0000-0000-000010760000}"/>
    <cellStyle name="Normal 4 18 3" xfId="30225" xr:uid="{00000000-0005-0000-0000-000011760000}"/>
    <cellStyle name="Normal 4 18 4" xfId="30226" xr:uid="{00000000-0005-0000-0000-000012760000}"/>
    <cellStyle name="Normal 4 18 5" xfId="30227" xr:uid="{00000000-0005-0000-0000-000013760000}"/>
    <cellStyle name="Normal 4 18_Enlaces" xfId="30228" xr:uid="{00000000-0005-0000-0000-000014760000}"/>
    <cellStyle name="Normal 4 19" xfId="30229" xr:uid="{00000000-0005-0000-0000-000015760000}"/>
    <cellStyle name="Normal 4 19 2" xfId="30230" xr:uid="{00000000-0005-0000-0000-000016760000}"/>
    <cellStyle name="Normal 4 19 3" xfId="30231" xr:uid="{00000000-0005-0000-0000-000017760000}"/>
    <cellStyle name="Normal 4 19 4" xfId="30232" xr:uid="{00000000-0005-0000-0000-000018760000}"/>
    <cellStyle name="Normal 4 19 5" xfId="30233" xr:uid="{00000000-0005-0000-0000-000019760000}"/>
    <cellStyle name="Normal 4 19_Enlaces" xfId="30234" xr:uid="{00000000-0005-0000-0000-00001A760000}"/>
    <cellStyle name="Normal 4 2" xfId="30235" xr:uid="{00000000-0005-0000-0000-00001B760000}"/>
    <cellStyle name="Normal 4 2 10" xfId="30236" xr:uid="{00000000-0005-0000-0000-00001C760000}"/>
    <cellStyle name="Normal 4 2 10 2" xfId="30237" xr:uid="{00000000-0005-0000-0000-00001D760000}"/>
    <cellStyle name="Normal 4 2 11" xfId="30238" xr:uid="{00000000-0005-0000-0000-00001E760000}"/>
    <cellStyle name="Normal 4 2 11 2" xfId="30239" xr:uid="{00000000-0005-0000-0000-00001F760000}"/>
    <cellStyle name="Normal 4 2 12" xfId="30240" xr:uid="{00000000-0005-0000-0000-000020760000}"/>
    <cellStyle name="Normal 4 2 12 2" xfId="30241" xr:uid="{00000000-0005-0000-0000-000021760000}"/>
    <cellStyle name="Normal 4 2 13" xfId="30242" xr:uid="{00000000-0005-0000-0000-000022760000}"/>
    <cellStyle name="Normal 4 2 13 2" xfId="30243" xr:uid="{00000000-0005-0000-0000-000023760000}"/>
    <cellStyle name="Normal 4 2 14" xfId="30244" xr:uid="{00000000-0005-0000-0000-000024760000}"/>
    <cellStyle name="Normal 4 2 14 2" xfId="30245" xr:uid="{00000000-0005-0000-0000-000025760000}"/>
    <cellStyle name="Normal 4 2 15" xfId="30246" xr:uid="{00000000-0005-0000-0000-000026760000}"/>
    <cellStyle name="Normal 4 2 15 2" xfId="30247" xr:uid="{00000000-0005-0000-0000-000027760000}"/>
    <cellStyle name="Normal 4 2 16" xfId="30248" xr:uid="{00000000-0005-0000-0000-000028760000}"/>
    <cellStyle name="Normal 4 2 16 2" xfId="30249" xr:uid="{00000000-0005-0000-0000-000029760000}"/>
    <cellStyle name="Normal 4 2 17" xfId="30250" xr:uid="{00000000-0005-0000-0000-00002A760000}"/>
    <cellStyle name="Normal 4 2 17 2" xfId="30251" xr:uid="{00000000-0005-0000-0000-00002B760000}"/>
    <cellStyle name="Normal 4 2 18" xfId="30252" xr:uid="{00000000-0005-0000-0000-00002C760000}"/>
    <cellStyle name="Normal 4 2 18 2" xfId="30253" xr:uid="{00000000-0005-0000-0000-00002D760000}"/>
    <cellStyle name="Normal 4 2 19" xfId="30254" xr:uid="{00000000-0005-0000-0000-00002E760000}"/>
    <cellStyle name="Normal 4 2 19 2" xfId="30255" xr:uid="{00000000-0005-0000-0000-00002F760000}"/>
    <cellStyle name="Normal 4 2 2" xfId="30256" xr:uid="{00000000-0005-0000-0000-000030760000}"/>
    <cellStyle name="Normal 4 2 2 2" xfId="30257" xr:uid="{00000000-0005-0000-0000-000031760000}"/>
    <cellStyle name="Normal 4 2 20" xfId="30258" xr:uid="{00000000-0005-0000-0000-000032760000}"/>
    <cellStyle name="Normal 4 2 20 2" xfId="30259" xr:uid="{00000000-0005-0000-0000-000033760000}"/>
    <cellStyle name="Normal 4 2 21" xfId="30260" xr:uid="{00000000-0005-0000-0000-000034760000}"/>
    <cellStyle name="Normal 4 2 21 2" xfId="30261" xr:uid="{00000000-0005-0000-0000-000035760000}"/>
    <cellStyle name="Normal 4 2 22" xfId="30262" xr:uid="{00000000-0005-0000-0000-000036760000}"/>
    <cellStyle name="Normal 4 2 22 2" xfId="30263" xr:uid="{00000000-0005-0000-0000-000037760000}"/>
    <cellStyle name="Normal 4 2 23" xfId="30264" xr:uid="{00000000-0005-0000-0000-000038760000}"/>
    <cellStyle name="Normal 4 2 23 2" xfId="30265" xr:uid="{00000000-0005-0000-0000-000039760000}"/>
    <cellStyle name="Normal 4 2 24" xfId="30266" xr:uid="{00000000-0005-0000-0000-00003A760000}"/>
    <cellStyle name="Normal 4 2 25" xfId="30267" xr:uid="{00000000-0005-0000-0000-00003B760000}"/>
    <cellStyle name="Normal 4 2 26" xfId="30268" xr:uid="{00000000-0005-0000-0000-00003C760000}"/>
    <cellStyle name="Normal 4 2 27" xfId="30269" xr:uid="{00000000-0005-0000-0000-00003D760000}"/>
    <cellStyle name="Normal 4 2 28" xfId="30270" xr:uid="{00000000-0005-0000-0000-00003E760000}"/>
    <cellStyle name="Normal 4 2 29" xfId="30271" xr:uid="{00000000-0005-0000-0000-00003F760000}"/>
    <cellStyle name="Normal 4 2 3" xfId="30272" xr:uid="{00000000-0005-0000-0000-000040760000}"/>
    <cellStyle name="Normal 4 2 3 2" xfId="30273" xr:uid="{00000000-0005-0000-0000-000041760000}"/>
    <cellStyle name="Normal 4 2 30" xfId="30274" xr:uid="{00000000-0005-0000-0000-000042760000}"/>
    <cellStyle name="Normal 4 2 31" xfId="30275" xr:uid="{00000000-0005-0000-0000-000043760000}"/>
    <cellStyle name="Normal 4 2 32" xfId="30276" xr:uid="{00000000-0005-0000-0000-000044760000}"/>
    <cellStyle name="Normal 4 2 33" xfId="30277" xr:uid="{00000000-0005-0000-0000-000045760000}"/>
    <cellStyle name="Normal 4 2 34" xfId="30278" xr:uid="{00000000-0005-0000-0000-000046760000}"/>
    <cellStyle name="Normal 4 2 35" xfId="30279" xr:uid="{00000000-0005-0000-0000-000047760000}"/>
    <cellStyle name="Normal 4 2 36" xfId="30280" xr:uid="{00000000-0005-0000-0000-000048760000}"/>
    <cellStyle name="Normal 4 2 37" xfId="30281" xr:uid="{00000000-0005-0000-0000-000049760000}"/>
    <cellStyle name="Normal 4 2 38" xfId="30282" xr:uid="{00000000-0005-0000-0000-00004A760000}"/>
    <cellStyle name="Normal 4 2 39" xfId="30283" xr:uid="{00000000-0005-0000-0000-00004B760000}"/>
    <cellStyle name="Normal 4 2 4" xfId="30284" xr:uid="{00000000-0005-0000-0000-00004C760000}"/>
    <cellStyle name="Normal 4 2 4 2" xfId="30285" xr:uid="{00000000-0005-0000-0000-00004D760000}"/>
    <cellStyle name="Normal 4 2 40" xfId="30286" xr:uid="{00000000-0005-0000-0000-00004E760000}"/>
    <cellStyle name="Normal 4 2 41" xfId="30287" xr:uid="{00000000-0005-0000-0000-00004F760000}"/>
    <cellStyle name="Normal 4 2 42" xfId="30288" xr:uid="{00000000-0005-0000-0000-000050760000}"/>
    <cellStyle name="Normal 4 2 43" xfId="30289" xr:uid="{00000000-0005-0000-0000-000051760000}"/>
    <cellStyle name="Normal 4 2 44" xfId="30290" xr:uid="{00000000-0005-0000-0000-000052760000}"/>
    <cellStyle name="Normal 4 2 45" xfId="30291" xr:uid="{00000000-0005-0000-0000-000053760000}"/>
    <cellStyle name="Normal 4 2 46" xfId="30292" xr:uid="{00000000-0005-0000-0000-000054760000}"/>
    <cellStyle name="Normal 4 2 47" xfId="30293" xr:uid="{00000000-0005-0000-0000-000055760000}"/>
    <cellStyle name="Normal 4 2 48" xfId="30294" xr:uid="{00000000-0005-0000-0000-000056760000}"/>
    <cellStyle name="Normal 4 2 49" xfId="30295" xr:uid="{00000000-0005-0000-0000-000057760000}"/>
    <cellStyle name="Normal 4 2 5" xfId="30296" xr:uid="{00000000-0005-0000-0000-000058760000}"/>
    <cellStyle name="Normal 4 2 5 2" xfId="30297" xr:uid="{00000000-0005-0000-0000-000059760000}"/>
    <cellStyle name="Normal 4 2 50" xfId="30298" xr:uid="{00000000-0005-0000-0000-00005A760000}"/>
    <cellStyle name="Normal 4 2 51" xfId="30299" xr:uid="{00000000-0005-0000-0000-00005B760000}"/>
    <cellStyle name="Normal 4 2 52" xfId="30300" xr:uid="{00000000-0005-0000-0000-00005C760000}"/>
    <cellStyle name="Normal 4 2 53" xfId="30301" xr:uid="{00000000-0005-0000-0000-00005D760000}"/>
    <cellStyle name="Normal 4 2 54" xfId="30302" xr:uid="{00000000-0005-0000-0000-00005E760000}"/>
    <cellStyle name="Normal 4 2 55" xfId="30303" xr:uid="{00000000-0005-0000-0000-00005F760000}"/>
    <cellStyle name="Normal 4 2 56" xfId="30304" xr:uid="{00000000-0005-0000-0000-000060760000}"/>
    <cellStyle name="Normal 4 2 57" xfId="30305" xr:uid="{00000000-0005-0000-0000-000061760000}"/>
    <cellStyle name="Normal 4 2 58" xfId="30306" xr:uid="{00000000-0005-0000-0000-000062760000}"/>
    <cellStyle name="Normal 4 2 59" xfId="30307" xr:uid="{00000000-0005-0000-0000-000063760000}"/>
    <cellStyle name="Normal 4 2 6" xfId="30308" xr:uid="{00000000-0005-0000-0000-000064760000}"/>
    <cellStyle name="Normal 4 2 6 2" xfId="30309" xr:uid="{00000000-0005-0000-0000-000065760000}"/>
    <cellStyle name="Normal 4 2 60" xfId="30310" xr:uid="{00000000-0005-0000-0000-000066760000}"/>
    <cellStyle name="Normal 4 2 61" xfId="30311" xr:uid="{00000000-0005-0000-0000-000067760000}"/>
    <cellStyle name="Normal 4 2 62" xfId="30312" xr:uid="{00000000-0005-0000-0000-000068760000}"/>
    <cellStyle name="Normal 4 2 63" xfId="30313" xr:uid="{00000000-0005-0000-0000-000069760000}"/>
    <cellStyle name="Normal 4 2 64" xfId="30314" xr:uid="{00000000-0005-0000-0000-00006A760000}"/>
    <cellStyle name="Normal 4 2 65" xfId="30315" xr:uid="{00000000-0005-0000-0000-00006B760000}"/>
    <cellStyle name="Normal 4 2 66" xfId="30316" xr:uid="{00000000-0005-0000-0000-00006C760000}"/>
    <cellStyle name="Normal 4 2 67" xfId="30317" xr:uid="{00000000-0005-0000-0000-00006D760000}"/>
    <cellStyle name="Normal 4 2 68" xfId="30318" xr:uid="{00000000-0005-0000-0000-00006E760000}"/>
    <cellStyle name="Normal 4 2 69" xfId="30319" xr:uid="{00000000-0005-0000-0000-00006F760000}"/>
    <cellStyle name="Normal 4 2 7" xfId="30320" xr:uid="{00000000-0005-0000-0000-000070760000}"/>
    <cellStyle name="Normal 4 2 7 2" xfId="30321" xr:uid="{00000000-0005-0000-0000-000071760000}"/>
    <cellStyle name="Normal 4 2 70" xfId="30322" xr:uid="{00000000-0005-0000-0000-000072760000}"/>
    <cellStyle name="Normal 4 2 71" xfId="30323" xr:uid="{00000000-0005-0000-0000-000073760000}"/>
    <cellStyle name="Normal 4 2 72" xfId="30324" xr:uid="{00000000-0005-0000-0000-000074760000}"/>
    <cellStyle name="Normal 4 2 73" xfId="30325" xr:uid="{00000000-0005-0000-0000-000075760000}"/>
    <cellStyle name="Normal 4 2 74" xfId="30326" xr:uid="{00000000-0005-0000-0000-000076760000}"/>
    <cellStyle name="Normal 4 2 75" xfId="30327" xr:uid="{00000000-0005-0000-0000-000077760000}"/>
    <cellStyle name="Normal 4 2 76" xfId="30328" xr:uid="{00000000-0005-0000-0000-000078760000}"/>
    <cellStyle name="Normal 4 2 77" xfId="30329" xr:uid="{00000000-0005-0000-0000-000079760000}"/>
    <cellStyle name="Normal 4 2 78" xfId="30330" xr:uid="{00000000-0005-0000-0000-00007A760000}"/>
    <cellStyle name="Normal 4 2 79" xfId="30331" xr:uid="{00000000-0005-0000-0000-00007B760000}"/>
    <cellStyle name="Normal 4 2 8" xfId="30332" xr:uid="{00000000-0005-0000-0000-00007C760000}"/>
    <cellStyle name="Normal 4 2 8 2" xfId="30333" xr:uid="{00000000-0005-0000-0000-00007D760000}"/>
    <cellStyle name="Normal 4 2 80" xfId="30334" xr:uid="{00000000-0005-0000-0000-00007E760000}"/>
    <cellStyle name="Normal 4 2 81" xfId="30335" xr:uid="{00000000-0005-0000-0000-00007F760000}"/>
    <cellStyle name="Normal 4 2 82" xfId="30336" xr:uid="{00000000-0005-0000-0000-000080760000}"/>
    <cellStyle name="Normal 4 2 83" xfId="30337" xr:uid="{00000000-0005-0000-0000-000081760000}"/>
    <cellStyle name="Normal 4 2 84" xfId="30338" xr:uid="{00000000-0005-0000-0000-000082760000}"/>
    <cellStyle name="Normal 4 2 85" xfId="30339" xr:uid="{00000000-0005-0000-0000-000083760000}"/>
    <cellStyle name="Normal 4 2 86" xfId="30340" xr:uid="{00000000-0005-0000-0000-000084760000}"/>
    <cellStyle name="Normal 4 2 87" xfId="30341" xr:uid="{00000000-0005-0000-0000-000085760000}"/>
    <cellStyle name="Normal 4 2 87 2" xfId="30342" xr:uid="{00000000-0005-0000-0000-000086760000}"/>
    <cellStyle name="Normal 4 2 9" xfId="30343" xr:uid="{00000000-0005-0000-0000-000087760000}"/>
    <cellStyle name="Normal 4 2 9 2" xfId="30344" xr:uid="{00000000-0005-0000-0000-000088760000}"/>
    <cellStyle name="Normal 4 2_Xa Parametrización de Usuarios" xfId="30345" xr:uid="{00000000-0005-0000-0000-000089760000}"/>
    <cellStyle name="Normal 4 20" xfId="30346" xr:uid="{00000000-0005-0000-0000-00008A760000}"/>
    <cellStyle name="Normal 4 20 2" xfId="30347" xr:uid="{00000000-0005-0000-0000-00008B760000}"/>
    <cellStyle name="Normal 4 20 3" xfId="30348" xr:uid="{00000000-0005-0000-0000-00008C760000}"/>
    <cellStyle name="Normal 4 20 4" xfId="30349" xr:uid="{00000000-0005-0000-0000-00008D760000}"/>
    <cellStyle name="Normal 4 20_Enlaces" xfId="30350" xr:uid="{00000000-0005-0000-0000-00008E760000}"/>
    <cellStyle name="Normal 4 21" xfId="30351" xr:uid="{00000000-0005-0000-0000-00008F760000}"/>
    <cellStyle name="Normal 4 21 2" xfId="30352" xr:uid="{00000000-0005-0000-0000-000090760000}"/>
    <cellStyle name="Normal 4 21 3" xfId="30353" xr:uid="{00000000-0005-0000-0000-000091760000}"/>
    <cellStyle name="Normal 4 21 4" xfId="30354" xr:uid="{00000000-0005-0000-0000-000092760000}"/>
    <cellStyle name="Normal 4 21_Enlaces" xfId="30355" xr:uid="{00000000-0005-0000-0000-000093760000}"/>
    <cellStyle name="Normal 4 22" xfId="30356" xr:uid="{00000000-0005-0000-0000-000094760000}"/>
    <cellStyle name="Normal 4 22 2" xfId="30357" xr:uid="{00000000-0005-0000-0000-000095760000}"/>
    <cellStyle name="Normal 4 22 3" xfId="30358" xr:uid="{00000000-0005-0000-0000-000096760000}"/>
    <cellStyle name="Normal 4 22 4" xfId="30359" xr:uid="{00000000-0005-0000-0000-000097760000}"/>
    <cellStyle name="Normal 4 22_Enlaces" xfId="30360" xr:uid="{00000000-0005-0000-0000-000098760000}"/>
    <cellStyle name="Normal 4 23" xfId="30361" xr:uid="{00000000-0005-0000-0000-000099760000}"/>
    <cellStyle name="Normal 4 23 2" xfId="30362" xr:uid="{00000000-0005-0000-0000-00009A760000}"/>
    <cellStyle name="Normal 4 23 3" xfId="30363" xr:uid="{00000000-0005-0000-0000-00009B760000}"/>
    <cellStyle name="Normal 4 23 4" xfId="30364" xr:uid="{00000000-0005-0000-0000-00009C760000}"/>
    <cellStyle name="Normal 4 23_Enlaces" xfId="30365" xr:uid="{00000000-0005-0000-0000-00009D760000}"/>
    <cellStyle name="Normal 4 24" xfId="30366" xr:uid="{00000000-0005-0000-0000-00009E760000}"/>
    <cellStyle name="Normal 4 24 2" xfId="30367" xr:uid="{00000000-0005-0000-0000-00009F760000}"/>
    <cellStyle name="Normal 4 24 3" xfId="30368" xr:uid="{00000000-0005-0000-0000-0000A0760000}"/>
    <cellStyle name="Normal 4 24 4" xfId="30369" xr:uid="{00000000-0005-0000-0000-0000A1760000}"/>
    <cellStyle name="Normal 4 24_Enlaces" xfId="30370" xr:uid="{00000000-0005-0000-0000-0000A2760000}"/>
    <cellStyle name="Normal 4 25" xfId="30371" xr:uid="{00000000-0005-0000-0000-0000A3760000}"/>
    <cellStyle name="Normal 4 25 2" xfId="30372" xr:uid="{00000000-0005-0000-0000-0000A4760000}"/>
    <cellStyle name="Normal 4 25 3" xfId="30373" xr:uid="{00000000-0005-0000-0000-0000A5760000}"/>
    <cellStyle name="Normal 4 25 4" xfId="30374" xr:uid="{00000000-0005-0000-0000-0000A6760000}"/>
    <cellStyle name="Normal 4 25_Enlaces" xfId="30375" xr:uid="{00000000-0005-0000-0000-0000A7760000}"/>
    <cellStyle name="Normal 4 26" xfId="30376" xr:uid="{00000000-0005-0000-0000-0000A8760000}"/>
    <cellStyle name="Normal 4 26 2" xfId="30377" xr:uid="{00000000-0005-0000-0000-0000A9760000}"/>
    <cellStyle name="Normal 4 26 3" xfId="30378" xr:uid="{00000000-0005-0000-0000-0000AA760000}"/>
    <cellStyle name="Normal 4 26 4" xfId="30379" xr:uid="{00000000-0005-0000-0000-0000AB760000}"/>
    <cellStyle name="Normal 4 26_Enlaces" xfId="30380" xr:uid="{00000000-0005-0000-0000-0000AC760000}"/>
    <cellStyle name="Normal 4 27" xfId="30381" xr:uid="{00000000-0005-0000-0000-0000AD760000}"/>
    <cellStyle name="Normal 4 27 2" xfId="30382" xr:uid="{00000000-0005-0000-0000-0000AE760000}"/>
    <cellStyle name="Normal 4 27 3" xfId="30383" xr:uid="{00000000-0005-0000-0000-0000AF760000}"/>
    <cellStyle name="Normal 4 28" xfId="30384" xr:uid="{00000000-0005-0000-0000-0000B0760000}"/>
    <cellStyle name="Normal 4 28 2" xfId="30385" xr:uid="{00000000-0005-0000-0000-0000B1760000}"/>
    <cellStyle name="Normal 4 28 3" xfId="30386" xr:uid="{00000000-0005-0000-0000-0000B2760000}"/>
    <cellStyle name="Normal 4 29" xfId="30387" xr:uid="{00000000-0005-0000-0000-0000B3760000}"/>
    <cellStyle name="Normal 4 29 2" xfId="30388" xr:uid="{00000000-0005-0000-0000-0000B4760000}"/>
    <cellStyle name="Normal 4 29 3" xfId="30389" xr:uid="{00000000-0005-0000-0000-0000B5760000}"/>
    <cellStyle name="Normal 4 3" xfId="30390" xr:uid="{00000000-0005-0000-0000-0000B6760000}"/>
    <cellStyle name="Normal 4 3 10" xfId="30391" xr:uid="{00000000-0005-0000-0000-0000B7760000}"/>
    <cellStyle name="Normal 4 3 11" xfId="30392" xr:uid="{00000000-0005-0000-0000-0000B8760000}"/>
    <cellStyle name="Normal 4 3 12" xfId="30393" xr:uid="{00000000-0005-0000-0000-0000B9760000}"/>
    <cellStyle name="Normal 4 3 13" xfId="30394" xr:uid="{00000000-0005-0000-0000-0000BA760000}"/>
    <cellStyle name="Normal 4 3 14" xfId="30395" xr:uid="{00000000-0005-0000-0000-0000BB760000}"/>
    <cellStyle name="Normal 4 3 15" xfId="30396" xr:uid="{00000000-0005-0000-0000-0000BC760000}"/>
    <cellStyle name="Normal 4 3 16" xfId="30397" xr:uid="{00000000-0005-0000-0000-0000BD760000}"/>
    <cellStyle name="Normal 4 3 17" xfId="30398" xr:uid="{00000000-0005-0000-0000-0000BE760000}"/>
    <cellStyle name="Normal 4 3 18" xfId="30399" xr:uid="{00000000-0005-0000-0000-0000BF760000}"/>
    <cellStyle name="Normal 4 3 19" xfId="30400" xr:uid="{00000000-0005-0000-0000-0000C0760000}"/>
    <cellStyle name="Normal 4 3 2" xfId="30401" xr:uid="{00000000-0005-0000-0000-0000C1760000}"/>
    <cellStyle name="Normal 4 3 2 2" xfId="30402" xr:uid="{00000000-0005-0000-0000-0000C2760000}"/>
    <cellStyle name="Normal 4 3 20" xfId="30403" xr:uid="{00000000-0005-0000-0000-0000C3760000}"/>
    <cellStyle name="Normal 4 3 21" xfId="30404" xr:uid="{00000000-0005-0000-0000-0000C4760000}"/>
    <cellStyle name="Normal 4 3 22" xfId="30405" xr:uid="{00000000-0005-0000-0000-0000C5760000}"/>
    <cellStyle name="Normal 4 3 23" xfId="30406" xr:uid="{00000000-0005-0000-0000-0000C6760000}"/>
    <cellStyle name="Normal 4 3 24" xfId="30407" xr:uid="{00000000-0005-0000-0000-0000C7760000}"/>
    <cellStyle name="Normal 4 3 25" xfId="30408" xr:uid="{00000000-0005-0000-0000-0000C8760000}"/>
    <cellStyle name="Normal 4 3 26" xfId="30409" xr:uid="{00000000-0005-0000-0000-0000C9760000}"/>
    <cellStyle name="Normal 4 3 27" xfId="30410" xr:uid="{00000000-0005-0000-0000-0000CA760000}"/>
    <cellStyle name="Normal 4 3 28" xfId="30411" xr:uid="{00000000-0005-0000-0000-0000CB760000}"/>
    <cellStyle name="Normal 4 3 29" xfId="30412" xr:uid="{00000000-0005-0000-0000-0000CC760000}"/>
    <cellStyle name="Normal 4 3 3" xfId="30413" xr:uid="{00000000-0005-0000-0000-0000CD760000}"/>
    <cellStyle name="Normal 4 3 30" xfId="30414" xr:uid="{00000000-0005-0000-0000-0000CE760000}"/>
    <cellStyle name="Normal 4 3 31" xfId="30415" xr:uid="{00000000-0005-0000-0000-0000CF760000}"/>
    <cellStyle name="Normal 4 3 32" xfId="30416" xr:uid="{00000000-0005-0000-0000-0000D0760000}"/>
    <cellStyle name="Normal 4 3 33" xfId="30417" xr:uid="{00000000-0005-0000-0000-0000D1760000}"/>
    <cellStyle name="Normal 4 3 34" xfId="30418" xr:uid="{00000000-0005-0000-0000-0000D2760000}"/>
    <cellStyle name="Normal 4 3 4" xfId="30419" xr:uid="{00000000-0005-0000-0000-0000D3760000}"/>
    <cellStyle name="Normal 4 3 5" xfId="30420" xr:uid="{00000000-0005-0000-0000-0000D4760000}"/>
    <cellStyle name="Normal 4 3 6" xfId="30421" xr:uid="{00000000-0005-0000-0000-0000D5760000}"/>
    <cellStyle name="Normal 4 3 7" xfId="30422" xr:uid="{00000000-0005-0000-0000-0000D6760000}"/>
    <cellStyle name="Normal 4 3 8" xfId="30423" xr:uid="{00000000-0005-0000-0000-0000D7760000}"/>
    <cellStyle name="Normal 4 3 9" xfId="30424" xr:uid="{00000000-0005-0000-0000-0000D8760000}"/>
    <cellStyle name="Normal 4 3_Enlaces" xfId="30425" xr:uid="{00000000-0005-0000-0000-0000D9760000}"/>
    <cellStyle name="Normal 4 30" xfId="30426" xr:uid="{00000000-0005-0000-0000-0000DA760000}"/>
    <cellStyle name="Normal 4 30 2" xfId="30427" xr:uid="{00000000-0005-0000-0000-0000DB760000}"/>
    <cellStyle name="Normal 4 30 3" xfId="30428" xr:uid="{00000000-0005-0000-0000-0000DC760000}"/>
    <cellStyle name="Normal 4 31" xfId="30429" xr:uid="{00000000-0005-0000-0000-0000DD760000}"/>
    <cellStyle name="Normal 4 31 2" xfId="30430" xr:uid="{00000000-0005-0000-0000-0000DE760000}"/>
    <cellStyle name="Normal 4 31 3" xfId="30431" xr:uid="{00000000-0005-0000-0000-0000DF760000}"/>
    <cellStyle name="Normal 4 32" xfId="30432" xr:uid="{00000000-0005-0000-0000-0000E0760000}"/>
    <cellStyle name="Normal 4 32 2" xfId="30433" xr:uid="{00000000-0005-0000-0000-0000E1760000}"/>
    <cellStyle name="Normal 4 32 3" xfId="30434" xr:uid="{00000000-0005-0000-0000-0000E2760000}"/>
    <cellStyle name="Normal 4 33" xfId="30435" xr:uid="{00000000-0005-0000-0000-0000E3760000}"/>
    <cellStyle name="Normal 4 33 2" xfId="30436" xr:uid="{00000000-0005-0000-0000-0000E4760000}"/>
    <cellStyle name="Normal 4 33 3" xfId="30437" xr:uid="{00000000-0005-0000-0000-0000E5760000}"/>
    <cellStyle name="Normal 4 34" xfId="30438" xr:uid="{00000000-0005-0000-0000-0000E6760000}"/>
    <cellStyle name="Normal 4 34 2" xfId="30439" xr:uid="{00000000-0005-0000-0000-0000E7760000}"/>
    <cellStyle name="Normal 4 34 3" xfId="30440" xr:uid="{00000000-0005-0000-0000-0000E8760000}"/>
    <cellStyle name="Normal 4 35" xfId="30441" xr:uid="{00000000-0005-0000-0000-0000E9760000}"/>
    <cellStyle name="Normal 4 35 2" xfId="30442" xr:uid="{00000000-0005-0000-0000-0000EA760000}"/>
    <cellStyle name="Normal 4 35 3" xfId="30443" xr:uid="{00000000-0005-0000-0000-0000EB760000}"/>
    <cellStyle name="Normal 4 36" xfId="30444" xr:uid="{00000000-0005-0000-0000-0000EC760000}"/>
    <cellStyle name="Normal 4 36 2" xfId="30445" xr:uid="{00000000-0005-0000-0000-0000ED760000}"/>
    <cellStyle name="Normal 4 36 3" xfId="30446" xr:uid="{00000000-0005-0000-0000-0000EE760000}"/>
    <cellStyle name="Normal 4 37" xfId="30447" xr:uid="{00000000-0005-0000-0000-0000EF760000}"/>
    <cellStyle name="Normal 4 37 2" xfId="30448" xr:uid="{00000000-0005-0000-0000-0000F0760000}"/>
    <cellStyle name="Normal 4 37 3" xfId="30449" xr:uid="{00000000-0005-0000-0000-0000F1760000}"/>
    <cellStyle name="Normal 4 38" xfId="30450" xr:uid="{00000000-0005-0000-0000-0000F2760000}"/>
    <cellStyle name="Normal 4 38 2" xfId="30451" xr:uid="{00000000-0005-0000-0000-0000F3760000}"/>
    <cellStyle name="Normal 4 38 3" xfId="30452" xr:uid="{00000000-0005-0000-0000-0000F4760000}"/>
    <cellStyle name="Normal 4 39" xfId="30453" xr:uid="{00000000-0005-0000-0000-0000F5760000}"/>
    <cellStyle name="Normal 4 39 2" xfId="30454" xr:uid="{00000000-0005-0000-0000-0000F6760000}"/>
    <cellStyle name="Normal 4 39 3" xfId="30455" xr:uid="{00000000-0005-0000-0000-0000F7760000}"/>
    <cellStyle name="Normal 4 4" xfId="30456" xr:uid="{00000000-0005-0000-0000-0000F8760000}"/>
    <cellStyle name="Normal 4 4 2" xfId="30457" xr:uid="{00000000-0005-0000-0000-0000F9760000}"/>
    <cellStyle name="Normal 4 4 3" xfId="30458" xr:uid="{00000000-0005-0000-0000-0000FA760000}"/>
    <cellStyle name="Normal 4 4 4" xfId="30459" xr:uid="{00000000-0005-0000-0000-0000FB760000}"/>
    <cellStyle name="Normal 4 4 5" xfId="30460" xr:uid="{00000000-0005-0000-0000-0000FC760000}"/>
    <cellStyle name="Normal 4 4_Enlaces" xfId="30461" xr:uid="{00000000-0005-0000-0000-0000FD760000}"/>
    <cellStyle name="Normal 4 40" xfId="30462" xr:uid="{00000000-0005-0000-0000-0000FE760000}"/>
    <cellStyle name="Normal 4 40 2" xfId="30463" xr:uid="{00000000-0005-0000-0000-0000FF760000}"/>
    <cellStyle name="Normal 4 40 3" xfId="30464" xr:uid="{00000000-0005-0000-0000-000000770000}"/>
    <cellStyle name="Normal 4 41" xfId="30465" xr:uid="{00000000-0005-0000-0000-000001770000}"/>
    <cellStyle name="Normal 4 41 2" xfId="30466" xr:uid="{00000000-0005-0000-0000-000002770000}"/>
    <cellStyle name="Normal 4 41 3" xfId="30467" xr:uid="{00000000-0005-0000-0000-000003770000}"/>
    <cellStyle name="Normal 4 42" xfId="30468" xr:uid="{00000000-0005-0000-0000-000004770000}"/>
    <cellStyle name="Normal 4 42 2" xfId="30469" xr:uid="{00000000-0005-0000-0000-000005770000}"/>
    <cellStyle name="Normal 4 42 3" xfId="30470" xr:uid="{00000000-0005-0000-0000-000006770000}"/>
    <cellStyle name="Normal 4 43" xfId="30471" xr:uid="{00000000-0005-0000-0000-000007770000}"/>
    <cellStyle name="Normal 4 43 2" xfId="30472" xr:uid="{00000000-0005-0000-0000-000008770000}"/>
    <cellStyle name="Normal 4 43 3" xfId="30473" xr:uid="{00000000-0005-0000-0000-000009770000}"/>
    <cellStyle name="Normal 4 44" xfId="30474" xr:uid="{00000000-0005-0000-0000-00000A770000}"/>
    <cellStyle name="Normal 4 44 2" xfId="30475" xr:uid="{00000000-0005-0000-0000-00000B770000}"/>
    <cellStyle name="Normal 4 44 3" xfId="30476" xr:uid="{00000000-0005-0000-0000-00000C770000}"/>
    <cellStyle name="Normal 4 45" xfId="30477" xr:uid="{00000000-0005-0000-0000-00000D770000}"/>
    <cellStyle name="Normal 4 45 2" xfId="30478" xr:uid="{00000000-0005-0000-0000-00000E770000}"/>
    <cellStyle name="Normal 4 45 3" xfId="30479" xr:uid="{00000000-0005-0000-0000-00000F770000}"/>
    <cellStyle name="Normal 4 46" xfId="30480" xr:uid="{00000000-0005-0000-0000-000010770000}"/>
    <cellStyle name="Normal 4 46 2" xfId="30481" xr:uid="{00000000-0005-0000-0000-000011770000}"/>
    <cellStyle name="Normal 4 46 3" xfId="30482" xr:uid="{00000000-0005-0000-0000-000012770000}"/>
    <cellStyle name="Normal 4 47" xfId="30483" xr:uid="{00000000-0005-0000-0000-000013770000}"/>
    <cellStyle name="Normal 4 48" xfId="30484" xr:uid="{00000000-0005-0000-0000-000014770000}"/>
    <cellStyle name="Normal 4 49" xfId="30485" xr:uid="{00000000-0005-0000-0000-000015770000}"/>
    <cellStyle name="Normal 4 5" xfId="30486" xr:uid="{00000000-0005-0000-0000-000016770000}"/>
    <cellStyle name="Normal 4 5 2" xfId="30487" xr:uid="{00000000-0005-0000-0000-000017770000}"/>
    <cellStyle name="Normal 4 5 3" xfId="30488" xr:uid="{00000000-0005-0000-0000-000018770000}"/>
    <cellStyle name="Normal 4 5 4" xfId="30489" xr:uid="{00000000-0005-0000-0000-000019770000}"/>
    <cellStyle name="Normal 4 5 5" xfId="30490" xr:uid="{00000000-0005-0000-0000-00001A770000}"/>
    <cellStyle name="Normal 4 5_Enlaces" xfId="30491" xr:uid="{00000000-0005-0000-0000-00001B770000}"/>
    <cellStyle name="Normal 4 50" xfId="30492" xr:uid="{00000000-0005-0000-0000-00001C770000}"/>
    <cellStyle name="Normal 4 51" xfId="30493" xr:uid="{00000000-0005-0000-0000-00001D770000}"/>
    <cellStyle name="Normal 4 52" xfId="30494" xr:uid="{00000000-0005-0000-0000-00001E770000}"/>
    <cellStyle name="Normal 4 53" xfId="30495" xr:uid="{00000000-0005-0000-0000-00001F770000}"/>
    <cellStyle name="Normal 4 54" xfId="30496" xr:uid="{00000000-0005-0000-0000-000020770000}"/>
    <cellStyle name="Normal 4 55" xfId="30497" xr:uid="{00000000-0005-0000-0000-000021770000}"/>
    <cellStyle name="Normal 4 56" xfId="30498" xr:uid="{00000000-0005-0000-0000-000022770000}"/>
    <cellStyle name="Normal 4 57" xfId="30499" xr:uid="{00000000-0005-0000-0000-000023770000}"/>
    <cellStyle name="Normal 4 58" xfId="30500" xr:uid="{00000000-0005-0000-0000-000024770000}"/>
    <cellStyle name="Normal 4 59" xfId="30501" xr:uid="{00000000-0005-0000-0000-000025770000}"/>
    <cellStyle name="Normal 4 6" xfId="30502" xr:uid="{00000000-0005-0000-0000-000026770000}"/>
    <cellStyle name="Normal 4 6 2" xfId="30503" xr:uid="{00000000-0005-0000-0000-000027770000}"/>
    <cellStyle name="Normal 4 6 3" xfId="30504" xr:uid="{00000000-0005-0000-0000-000028770000}"/>
    <cellStyle name="Normal 4 6 4" xfId="30505" xr:uid="{00000000-0005-0000-0000-000029770000}"/>
    <cellStyle name="Normal 4 6 5" xfId="30506" xr:uid="{00000000-0005-0000-0000-00002A770000}"/>
    <cellStyle name="Normal 4 6_Enlaces" xfId="30507" xr:uid="{00000000-0005-0000-0000-00002B770000}"/>
    <cellStyle name="Normal 4 60" xfId="30508" xr:uid="{00000000-0005-0000-0000-00002C770000}"/>
    <cellStyle name="Normal 4 61" xfId="30509" xr:uid="{00000000-0005-0000-0000-00002D770000}"/>
    <cellStyle name="Normal 4 62" xfId="30510" xr:uid="{00000000-0005-0000-0000-00002E770000}"/>
    <cellStyle name="Normal 4 63" xfId="30511" xr:uid="{00000000-0005-0000-0000-00002F770000}"/>
    <cellStyle name="Normal 4 64" xfId="30512" xr:uid="{00000000-0005-0000-0000-000030770000}"/>
    <cellStyle name="Normal 4 65" xfId="30513" xr:uid="{00000000-0005-0000-0000-000031770000}"/>
    <cellStyle name="Normal 4 66" xfId="30514" xr:uid="{00000000-0005-0000-0000-000032770000}"/>
    <cellStyle name="Normal 4 67" xfId="30515" xr:uid="{00000000-0005-0000-0000-000033770000}"/>
    <cellStyle name="Normal 4 68" xfId="30516" xr:uid="{00000000-0005-0000-0000-000034770000}"/>
    <cellStyle name="Normal 4 69" xfId="30517" xr:uid="{00000000-0005-0000-0000-000035770000}"/>
    <cellStyle name="Normal 4 7" xfId="30518" xr:uid="{00000000-0005-0000-0000-000036770000}"/>
    <cellStyle name="Normal 4 7 2" xfId="30519" xr:uid="{00000000-0005-0000-0000-000037770000}"/>
    <cellStyle name="Normal 4 7 3" xfId="30520" xr:uid="{00000000-0005-0000-0000-000038770000}"/>
    <cellStyle name="Normal 4 7 4" xfId="30521" xr:uid="{00000000-0005-0000-0000-000039770000}"/>
    <cellStyle name="Normal 4 7 5" xfId="30522" xr:uid="{00000000-0005-0000-0000-00003A770000}"/>
    <cellStyle name="Normal 4 7_Enlaces" xfId="30523" xr:uid="{00000000-0005-0000-0000-00003B770000}"/>
    <cellStyle name="Normal 4 70" xfId="30524" xr:uid="{00000000-0005-0000-0000-00003C770000}"/>
    <cellStyle name="Normal 4 71" xfId="30525" xr:uid="{00000000-0005-0000-0000-00003D770000}"/>
    <cellStyle name="Normal 4 72" xfId="30526" xr:uid="{00000000-0005-0000-0000-00003E770000}"/>
    <cellStyle name="Normal 4 73" xfId="30527" xr:uid="{00000000-0005-0000-0000-00003F770000}"/>
    <cellStyle name="Normal 4 74" xfId="30528" xr:uid="{00000000-0005-0000-0000-000040770000}"/>
    <cellStyle name="Normal 4 75" xfId="30529" xr:uid="{00000000-0005-0000-0000-000041770000}"/>
    <cellStyle name="Normal 4 76" xfId="30530" xr:uid="{00000000-0005-0000-0000-000042770000}"/>
    <cellStyle name="Normal 4 77" xfId="30531" xr:uid="{00000000-0005-0000-0000-000043770000}"/>
    <cellStyle name="Normal 4 78" xfId="30532" xr:uid="{00000000-0005-0000-0000-000044770000}"/>
    <cellStyle name="Normal 4 79" xfId="30533" xr:uid="{00000000-0005-0000-0000-000045770000}"/>
    <cellStyle name="Normal 4 8" xfId="30534" xr:uid="{00000000-0005-0000-0000-000046770000}"/>
    <cellStyle name="Normal 4 8 2" xfId="30535" xr:uid="{00000000-0005-0000-0000-000047770000}"/>
    <cellStyle name="Normal 4 8 3" xfId="30536" xr:uid="{00000000-0005-0000-0000-000048770000}"/>
    <cellStyle name="Normal 4 8 4" xfId="30537" xr:uid="{00000000-0005-0000-0000-000049770000}"/>
    <cellStyle name="Normal 4 8 5" xfId="30538" xr:uid="{00000000-0005-0000-0000-00004A770000}"/>
    <cellStyle name="Normal 4 8_Enlaces" xfId="30539" xr:uid="{00000000-0005-0000-0000-00004B770000}"/>
    <cellStyle name="Normal 4 80" xfId="30540" xr:uid="{00000000-0005-0000-0000-00004C770000}"/>
    <cellStyle name="Normal 4 81" xfId="30541" xr:uid="{00000000-0005-0000-0000-00004D770000}"/>
    <cellStyle name="Normal 4 82" xfId="30542" xr:uid="{00000000-0005-0000-0000-00004E770000}"/>
    <cellStyle name="Normal 4 83" xfId="30543" xr:uid="{00000000-0005-0000-0000-00004F770000}"/>
    <cellStyle name="Normal 4 84" xfId="30544" xr:uid="{00000000-0005-0000-0000-000050770000}"/>
    <cellStyle name="Normal 4 85" xfId="30545" xr:uid="{00000000-0005-0000-0000-000051770000}"/>
    <cellStyle name="Normal 4 86" xfId="30546" xr:uid="{00000000-0005-0000-0000-000052770000}"/>
    <cellStyle name="Normal 4 87" xfId="30547" xr:uid="{00000000-0005-0000-0000-000053770000}"/>
    <cellStyle name="Normal 4 88" xfId="30548" xr:uid="{00000000-0005-0000-0000-000054770000}"/>
    <cellStyle name="Normal 4 89" xfId="30549" xr:uid="{00000000-0005-0000-0000-000055770000}"/>
    <cellStyle name="Normal 4 9" xfId="30550" xr:uid="{00000000-0005-0000-0000-000056770000}"/>
    <cellStyle name="Normal 4 9 2" xfId="30551" xr:uid="{00000000-0005-0000-0000-000057770000}"/>
    <cellStyle name="Normal 4 9 3" xfId="30552" xr:uid="{00000000-0005-0000-0000-000058770000}"/>
    <cellStyle name="Normal 4 9 4" xfId="30553" xr:uid="{00000000-0005-0000-0000-000059770000}"/>
    <cellStyle name="Normal 4 9 5" xfId="30554" xr:uid="{00000000-0005-0000-0000-00005A770000}"/>
    <cellStyle name="Normal 4 9_Enlaces" xfId="30555" xr:uid="{00000000-0005-0000-0000-00005B770000}"/>
    <cellStyle name="Normal 4 90" xfId="30556" xr:uid="{00000000-0005-0000-0000-00005C770000}"/>
    <cellStyle name="Normal 4 91" xfId="30557" xr:uid="{00000000-0005-0000-0000-00005D770000}"/>
    <cellStyle name="Normal 4 92" xfId="30558" xr:uid="{00000000-0005-0000-0000-00005E770000}"/>
    <cellStyle name="Normal 4 93" xfId="30559" xr:uid="{00000000-0005-0000-0000-00005F770000}"/>
    <cellStyle name="Normal 4 94" xfId="30560" xr:uid="{00000000-0005-0000-0000-000060770000}"/>
    <cellStyle name="Normal 4 95" xfId="30561" xr:uid="{00000000-0005-0000-0000-000061770000}"/>
    <cellStyle name="Normal 4 96" xfId="30562" xr:uid="{00000000-0005-0000-0000-000062770000}"/>
    <cellStyle name="Normal 4 97" xfId="30563" xr:uid="{00000000-0005-0000-0000-000063770000}"/>
    <cellStyle name="Normal 4 98" xfId="30564" xr:uid="{00000000-0005-0000-0000-000064770000}"/>
    <cellStyle name="Normal 4 98 2" xfId="30565" xr:uid="{00000000-0005-0000-0000-000065770000}"/>
    <cellStyle name="Normal 4 98 3" xfId="30566" xr:uid="{00000000-0005-0000-0000-000066770000}"/>
    <cellStyle name="Normal 4 98 4" xfId="30567" xr:uid="{00000000-0005-0000-0000-000067770000}"/>
    <cellStyle name="Normal 4 98 5" xfId="30568" xr:uid="{00000000-0005-0000-0000-000068770000}"/>
    <cellStyle name="Normal 4 98 6" xfId="30569" xr:uid="{00000000-0005-0000-0000-000069770000}"/>
    <cellStyle name="Normal 4 99" xfId="30570" xr:uid="{00000000-0005-0000-0000-00006A770000}"/>
    <cellStyle name="Normal 4 99 2" xfId="30571" xr:uid="{00000000-0005-0000-0000-00006B770000}"/>
    <cellStyle name="Normal 4 99 3" xfId="30572" xr:uid="{00000000-0005-0000-0000-00006C770000}"/>
    <cellStyle name="Normal 4 99 4" xfId="30573" xr:uid="{00000000-0005-0000-0000-00006D770000}"/>
    <cellStyle name="Normal 4 99 5" xfId="30574" xr:uid="{00000000-0005-0000-0000-00006E770000}"/>
    <cellStyle name="Normal 4 99 6" xfId="30575" xr:uid="{00000000-0005-0000-0000-00006F770000}"/>
    <cellStyle name="Normal 4_Enlaces" xfId="30576" xr:uid="{00000000-0005-0000-0000-000070770000}"/>
    <cellStyle name="Normal 40" xfId="30577" xr:uid="{00000000-0005-0000-0000-000071770000}"/>
    <cellStyle name="Normal 40 10" xfId="30578" xr:uid="{00000000-0005-0000-0000-000072770000}"/>
    <cellStyle name="Normal 40 11" xfId="30579" xr:uid="{00000000-0005-0000-0000-000073770000}"/>
    <cellStyle name="Normal 40 12" xfId="30580" xr:uid="{00000000-0005-0000-0000-000074770000}"/>
    <cellStyle name="Normal 40 13" xfId="30581" xr:uid="{00000000-0005-0000-0000-000075770000}"/>
    <cellStyle name="Normal 40 14" xfId="30582" xr:uid="{00000000-0005-0000-0000-000076770000}"/>
    <cellStyle name="Normal 40 15" xfId="30583" xr:uid="{00000000-0005-0000-0000-000077770000}"/>
    <cellStyle name="Normal 40 16" xfId="30584" xr:uid="{00000000-0005-0000-0000-000078770000}"/>
    <cellStyle name="Normal 40 17" xfId="30585" xr:uid="{00000000-0005-0000-0000-000079770000}"/>
    <cellStyle name="Normal 40 18" xfId="30586" xr:uid="{00000000-0005-0000-0000-00007A770000}"/>
    <cellStyle name="Normal 40 19" xfId="30587" xr:uid="{00000000-0005-0000-0000-00007B770000}"/>
    <cellStyle name="Normal 40 2" xfId="30588" xr:uid="{00000000-0005-0000-0000-00007C770000}"/>
    <cellStyle name="Normal 40 2 2" xfId="30589" xr:uid="{00000000-0005-0000-0000-00007D770000}"/>
    <cellStyle name="Normal 40 20" xfId="30590" xr:uid="{00000000-0005-0000-0000-00007E770000}"/>
    <cellStyle name="Normal 40 21" xfId="30591" xr:uid="{00000000-0005-0000-0000-00007F770000}"/>
    <cellStyle name="Normal 40 22" xfId="30592" xr:uid="{00000000-0005-0000-0000-000080770000}"/>
    <cellStyle name="Normal 40 23" xfId="30593" xr:uid="{00000000-0005-0000-0000-000081770000}"/>
    <cellStyle name="Normal 40 24" xfId="30594" xr:uid="{00000000-0005-0000-0000-000082770000}"/>
    <cellStyle name="Normal 40 25" xfId="30595" xr:uid="{00000000-0005-0000-0000-000083770000}"/>
    <cellStyle name="Normal 40 26" xfId="30596" xr:uid="{00000000-0005-0000-0000-000084770000}"/>
    <cellStyle name="Normal 40 3" xfId="30597" xr:uid="{00000000-0005-0000-0000-000085770000}"/>
    <cellStyle name="Normal 40 3 2" xfId="30598" xr:uid="{00000000-0005-0000-0000-000086770000}"/>
    <cellStyle name="Normal 40 4" xfId="30599" xr:uid="{00000000-0005-0000-0000-000087770000}"/>
    <cellStyle name="Normal 40 4 2" xfId="30600" xr:uid="{00000000-0005-0000-0000-000088770000}"/>
    <cellStyle name="Normal 40 5" xfId="30601" xr:uid="{00000000-0005-0000-0000-000089770000}"/>
    <cellStyle name="Normal 40 5 2" xfId="30602" xr:uid="{00000000-0005-0000-0000-00008A770000}"/>
    <cellStyle name="Normal 40 6" xfId="30603" xr:uid="{00000000-0005-0000-0000-00008B770000}"/>
    <cellStyle name="Normal 40 7" xfId="30604" xr:uid="{00000000-0005-0000-0000-00008C770000}"/>
    <cellStyle name="Normal 40 8" xfId="30605" xr:uid="{00000000-0005-0000-0000-00008D770000}"/>
    <cellStyle name="Normal 40 9" xfId="30606" xr:uid="{00000000-0005-0000-0000-00008E770000}"/>
    <cellStyle name="Normal 41" xfId="30607" xr:uid="{00000000-0005-0000-0000-00008F770000}"/>
    <cellStyle name="Normal 41 10" xfId="30608" xr:uid="{00000000-0005-0000-0000-000090770000}"/>
    <cellStyle name="Normal 41 11" xfId="30609" xr:uid="{00000000-0005-0000-0000-000091770000}"/>
    <cellStyle name="Normal 41 12" xfId="30610" xr:uid="{00000000-0005-0000-0000-000092770000}"/>
    <cellStyle name="Normal 41 13" xfId="30611" xr:uid="{00000000-0005-0000-0000-000093770000}"/>
    <cellStyle name="Normal 41 14" xfId="30612" xr:uid="{00000000-0005-0000-0000-000094770000}"/>
    <cellStyle name="Normal 41 15" xfId="30613" xr:uid="{00000000-0005-0000-0000-000095770000}"/>
    <cellStyle name="Normal 41 16" xfId="30614" xr:uid="{00000000-0005-0000-0000-000096770000}"/>
    <cellStyle name="Normal 41 17" xfId="30615" xr:uid="{00000000-0005-0000-0000-000097770000}"/>
    <cellStyle name="Normal 41 18" xfId="30616" xr:uid="{00000000-0005-0000-0000-000098770000}"/>
    <cellStyle name="Normal 41 19" xfId="30617" xr:uid="{00000000-0005-0000-0000-000099770000}"/>
    <cellStyle name="Normal 41 2" xfId="30618" xr:uid="{00000000-0005-0000-0000-00009A770000}"/>
    <cellStyle name="Normal 41 2 2" xfId="30619" xr:uid="{00000000-0005-0000-0000-00009B770000}"/>
    <cellStyle name="Normal 41 20" xfId="30620" xr:uid="{00000000-0005-0000-0000-00009C770000}"/>
    <cellStyle name="Normal 41 21" xfId="30621" xr:uid="{00000000-0005-0000-0000-00009D770000}"/>
    <cellStyle name="Normal 41 22" xfId="30622" xr:uid="{00000000-0005-0000-0000-00009E770000}"/>
    <cellStyle name="Normal 41 23" xfId="30623" xr:uid="{00000000-0005-0000-0000-00009F770000}"/>
    <cellStyle name="Normal 41 24" xfId="30624" xr:uid="{00000000-0005-0000-0000-0000A0770000}"/>
    <cellStyle name="Normal 41 25" xfId="30625" xr:uid="{00000000-0005-0000-0000-0000A1770000}"/>
    <cellStyle name="Normal 41 26" xfId="30626" xr:uid="{00000000-0005-0000-0000-0000A2770000}"/>
    <cellStyle name="Normal 41 3" xfId="30627" xr:uid="{00000000-0005-0000-0000-0000A3770000}"/>
    <cellStyle name="Normal 41 3 2" xfId="30628" xr:uid="{00000000-0005-0000-0000-0000A4770000}"/>
    <cellStyle name="Normal 41 4" xfId="30629" xr:uid="{00000000-0005-0000-0000-0000A5770000}"/>
    <cellStyle name="Normal 41 4 2" xfId="30630" xr:uid="{00000000-0005-0000-0000-0000A6770000}"/>
    <cellStyle name="Normal 41 5" xfId="30631" xr:uid="{00000000-0005-0000-0000-0000A7770000}"/>
    <cellStyle name="Normal 41 5 2" xfId="30632" xr:uid="{00000000-0005-0000-0000-0000A8770000}"/>
    <cellStyle name="Normal 41 6" xfId="30633" xr:uid="{00000000-0005-0000-0000-0000A9770000}"/>
    <cellStyle name="Normal 41 7" xfId="30634" xr:uid="{00000000-0005-0000-0000-0000AA770000}"/>
    <cellStyle name="Normal 41 8" xfId="30635" xr:uid="{00000000-0005-0000-0000-0000AB770000}"/>
    <cellStyle name="Normal 41 9" xfId="30636" xr:uid="{00000000-0005-0000-0000-0000AC770000}"/>
    <cellStyle name="Normal 42" xfId="30637" xr:uid="{00000000-0005-0000-0000-0000AD770000}"/>
    <cellStyle name="Normal 43" xfId="30638" xr:uid="{00000000-0005-0000-0000-0000AE770000}"/>
    <cellStyle name="Normal 43 10" xfId="30639" xr:uid="{00000000-0005-0000-0000-0000AF770000}"/>
    <cellStyle name="Normal 43 11" xfId="30640" xr:uid="{00000000-0005-0000-0000-0000B0770000}"/>
    <cellStyle name="Normal 43 12" xfId="30641" xr:uid="{00000000-0005-0000-0000-0000B1770000}"/>
    <cellStyle name="Normal 43 13" xfId="30642" xr:uid="{00000000-0005-0000-0000-0000B2770000}"/>
    <cellStyle name="Normal 43 14" xfId="30643" xr:uid="{00000000-0005-0000-0000-0000B3770000}"/>
    <cellStyle name="Normal 43 15" xfId="30644" xr:uid="{00000000-0005-0000-0000-0000B4770000}"/>
    <cellStyle name="Normal 43 16" xfId="30645" xr:uid="{00000000-0005-0000-0000-0000B5770000}"/>
    <cellStyle name="Normal 43 17" xfId="30646" xr:uid="{00000000-0005-0000-0000-0000B6770000}"/>
    <cellStyle name="Normal 43 18" xfId="30647" xr:uid="{00000000-0005-0000-0000-0000B7770000}"/>
    <cellStyle name="Normal 43 19" xfId="30648" xr:uid="{00000000-0005-0000-0000-0000B8770000}"/>
    <cellStyle name="Normal 43 2" xfId="30649" xr:uid="{00000000-0005-0000-0000-0000B9770000}"/>
    <cellStyle name="Normal 43 2 2" xfId="30650" xr:uid="{00000000-0005-0000-0000-0000BA770000}"/>
    <cellStyle name="Normal 43 20" xfId="30651" xr:uid="{00000000-0005-0000-0000-0000BB770000}"/>
    <cellStyle name="Normal 43 21" xfId="30652" xr:uid="{00000000-0005-0000-0000-0000BC770000}"/>
    <cellStyle name="Normal 43 22" xfId="30653" xr:uid="{00000000-0005-0000-0000-0000BD770000}"/>
    <cellStyle name="Normal 43 23" xfId="30654" xr:uid="{00000000-0005-0000-0000-0000BE770000}"/>
    <cellStyle name="Normal 43 24" xfId="30655" xr:uid="{00000000-0005-0000-0000-0000BF770000}"/>
    <cellStyle name="Normal 43 25" xfId="30656" xr:uid="{00000000-0005-0000-0000-0000C0770000}"/>
    <cellStyle name="Normal 43 26" xfId="30657" xr:uid="{00000000-0005-0000-0000-0000C1770000}"/>
    <cellStyle name="Normal 43 27" xfId="30658" xr:uid="{00000000-0005-0000-0000-0000C2770000}"/>
    <cellStyle name="Normal 43 28" xfId="30659" xr:uid="{00000000-0005-0000-0000-0000C3770000}"/>
    <cellStyle name="Normal 43 3" xfId="30660" xr:uid="{00000000-0005-0000-0000-0000C4770000}"/>
    <cellStyle name="Normal 43 3 2" xfId="30661" xr:uid="{00000000-0005-0000-0000-0000C5770000}"/>
    <cellStyle name="Normal 43 4" xfId="30662" xr:uid="{00000000-0005-0000-0000-0000C6770000}"/>
    <cellStyle name="Normal 43 4 2" xfId="30663" xr:uid="{00000000-0005-0000-0000-0000C7770000}"/>
    <cellStyle name="Normal 43 5" xfId="30664" xr:uid="{00000000-0005-0000-0000-0000C8770000}"/>
    <cellStyle name="Normal 43 5 2" xfId="30665" xr:uid="{00000000-0005-0000-0000-0000C9770000}"/>
    <cellStyle name="Normal 43 6" xfId="30666" xr:uid="{00000000-0005-0000-0000-0000CA770000}"/>
    <cellStyle name="Normal 43 7" xfId="30667" xr:uid="{00000000-0005-0000-0000-0000CB770000}"/>
    <cellStyle name="Normal 43 8" xfId="30668" xr:uid="{00000000-0005-0000-0000-0000CC770000}"/>
    <cellStyle name="Normal 43 9" xfId="30669" xr:uid="{00000000-0005-0000-0000-0000CD770000}"/>
    <cellStyle name="Normal 44" xfId="30670" xr:uid="{00000000-0005-0000-0000-0000CE770000}"/>
    <cellStyle name="Normal 44 10" xfId="30671" xr:uid="{00000000-0005-0000-0000-0000CF770000}"/>
    <cellStyle name="Normal 44 11" xfId="30672" xr:uid="{00000000-0005-0000-0000-0000D0770000}"/>
    <cellStyle name="Normal 44 12" xfId="30673" xr:uid="{00000000-0005-0000-0000-0000D1770000}"/>
    <cellStyle name="Normal 44 13" xfId="30674" xr:uid="{00000000-0005-0000-0000-0000D2770000}"/>
    <cellStyle name="Normal 44 14" xfId="30675" xr:uid="{00000000-0005-0000-0000-0000D3770000}"/>
    <cellStyle name="Normal 44 15" xfId="30676" xr:uid="{00000000-0005-0000-0000-0000D4770000}"/>
    <cellStyle name="Normal 44 16" xfId="30677" xr:uid="{00000000-0005-0000-0000-0000D5770000}"/>
    <cellStyle name="Normal 44 17" xfId="30678" xr:uid="{00000000-0005-0000-0000-0000D6770000}"/>
    <cellStyle name="Normal 44 18" xfId="30679" xr:uid="{00000000-0005-0000-0000-0000D7770000}"/>
    <cellStyle name="Normal 44 19" xfId="30680" xr:uid="{00000000-0005-0000-0000-0000D8770000}"/>
    <cellStyle name="Normal 44 2" xfId="30681" xr:uid="{00000000-0005-0000-0000-0000D9770000}"/>
    <cellStyle name="Normal 44 2 2" xfId="30682" xr:uid="{00000000-0005-0000-0000-0000DA770000}"/>
    <cellStyle name="Normal 44 20" xfId="30683" xr:uid="{00000000-0005-0000-0000-0000DB770000}"/>
    <cellStyle name="Normal 44 21" xfId="30684" xr:uid="{00000000-0005-0000-0000-0000DC770000}"/>
    <cellStyle name="Normal 44 22" xfId="30685" xr:uid="{00000000-0005-0000-0000-0000DD770000}"/>
    <cellStyle name="Normal 44 23" xfId="30686" xr:uid="{00000000-0005-0000-0000-0000DE770000}"/>
    <cellStyle name="Normal 44 24" xfId="30687" xr:uid="{00000000-0005-0000-0000-0000DF770000}"/>
    <cellStyle name="Normal 44 25" xfId="30688" xr:uid="{00000000-0005-0000-0000-0000E0770000}"/>
    <cellStyle name="Normal 44 26" xfId="30689" xr:uid="{00000000-0005-0000-0000-0000E1770000}"/>
    <cellStyle name="Normal 44 3" xfId="30690" xr:uid="{00000000-0005-0000-0000-0000E2770000}"/>
    <cellStyle name="Normal 44 3 2" xfId="30691" xr:uid="{00000000-0005-0000-0000-0000E3770000}"/>
    <cellStyle name="Normal 44 4" xfId="30692" xr:uid="{00000000-0005-0000-0000-0000E4770000}"/>
    <cellStyle name="Normal 44 4 2" xfId="30693" xr:uid="{00000000-0005-0000-0000-0000E5770000}"/>
    <cellStyle name="Normal 44 5" xfId="30694" xr:uid="{00000000-0005-0000-0000-0000E6770000}"/>
    <cellStyle name="Normal 44 5 2" xfId="30695" xr:uid="{00000000-0005-0000-0000-0000E7770000}"/>
    <cellStyle name="Normal 44 6" xfId="30696" xr:uid="{00000000-0005-0000-0000-0000E8770000}"/>
    <cellStyle name="Normal 44 7" xfId="30697" xr:uid="{00000000-0005-0000-0000-0000E9770000}"/>
    <cellStyle name="Normal 44 8" xfId="30698" xr:uid="{00000000-0005-0000-0000-0000EA770000}"/>
    <cellStyle name="Normal 44 9" xfId="30699" xr:uid="{00000000-0005-0000-0000-0000EB770000}"/>
    <cellStyle name="Normal 45" xfId="30700" xr:uid="{00000000-0005-0000-0000-0000EC770000}"/>
    <cellStyle name="Normal 46" xfId="30701" xr:uid="{00000000-0005-0000-0000-0000ED770000}"/>
    <cellStyle name="Normal 47" xfId="30702" xr:uid="{00000000-0005-0000-0000-0000EE770000}"/>
    <cellStyle name="Normal 48" xfId="30703" xr:uid="{00000000-0005-0000-0000-0000EF770000}"/>
    <cellStyle name="Normal 49" xfId="30704" xr:uid="{00000000-0005-0000-0000-0000F0770000}"/>
    <cellStyle name="Normal 49 10" xfId="30705" xr:uid="{00000000-0005-0000-0000-0000F1770000}"/>
    <cellStyle name="Normal 49 11" xfId="30706" xr:uid="{00000000-0005-0000-0000-0000F2770000}"/>
    <cellStyle name="Normal 49 12" xfId="30707" xr:uid="{00000000-0005-0000-0000-0000F3770000}"/>
    <cellStyle name="Normal 49 13" xfId="30708" xr:uid="{00000000-0005-0000-0000-0000F4770000}"/>
    <cellStyle name="Normal 49 14" xfId="30709" xr:uid="{00000000-0005-0000-0000-0000F5770000}"/>
    <cellStyle name="Normal 49 15" xfId="30710" xr:uid="{00000000-0005-0000-0000-0000F6770000}"/>
    <cellStyle name="Normal 49 16" xfId="30711" xr:uid="{00000000-0005-0000-0000-0000F7770000}"/>
    <cellStyle name="Normal 49 17" xfId="30712" xr:uid="{00000000-0005-0000-0000-0000F8770000}"/>
    <cellStyle name="Normal 49 18" xfId="30713" xr:uid="{00000000-0005-0000-0000-0000F9770000}"/>
    <cellStyle name="Normal 49 19" xfId="30714" xr:uid="{00000000-0005-0000-0000-0000FA770000}"/>
    <cellStyle name="Normal 49 2" xfId="30715" xr:uid="{00000000-0005-0000-0000-0000FB770000}"/>
    <cellStyle name="Normal 49 2 2" xfId="30716" xr:uid="{00000000-0005-0000-0000-0000FC770000}"/>
    <cellStyle name="Normal 49 20" xfId="30717" xr:uid="{00000000-0005-0000-0000-0000FD770000}"/>
    <cellStyle name="Normal 49 21" xfId="30718" xr:uid="{00000000-0005-0000-0000-0000FE770000}"/>
    <cellStyle name="Normal 49 22" xfId="30719" xr:uid="{00000000-0005-0000-0000-0000FF770000}"/>
    <cellStyle name="Normal 49 23" xfId="30720" xr:uid="{00000000-0005-0000-0000-000000780000}"/>
    <cellStyle name="Normal 49 24" xfId="30721" xr:uid="{00000000-0005-0000-0000-000001780000}"/>
    <cellStyle name="Normal 49 25" xfId="30722" xr:uid="{00000000-0005-0000-0000-000002780000}"/>
    <cellStyle name="Normal 49 26" xfId="30723" xr:uid="{00000000-0005-0000-0000-000003780000}"/>
    <cellStyle name="Normal 49 3" xfId="30724" xr:uid="{00000000-0005-0000-0000-000004780000}"/>
    <cellStyle name="Normal 49 3 2" xfId="30725" xr:uid="{00000000-0005-0000-0000-000005780000}"/>
    <cellStyle name="Normal 49 4" xfId="30726" xr:uid="{00000000-0005-0000-0000-000006780000}"/>
    <cellStyle name="Normal 49 4 2" xfId="30727" xr:uid="{00000000-0005-0000-0000-000007780000}"/>
    <cellStyle name="Normal 49 5" xfId="30728" xr:uid="{00000000-0005-0000-0000-000008780000}"/>
    <cellStyle name="Normal 49 5 2" xfId="30729" xr:uid="{00000000-0005-0000-0000-000009780000}"/>
    <cellStyle name="Normal 49 6" xfId="30730" xr:uid="{00000000-0005-0000-0000-00000A780000}"/>
    <cellStyle name="Normal 49 7" xfId="30731" xr:uid="{00000000-0005-0000-0000-00000B780000}"/>
    <cellStyle name="Normal 49 8" xfId="30732" xr:uid="{00000000-0005-0000-0000-00000C780000}"/>
    <cellStyle name="Normal 49 9" xfId="30733" xr:uid="{00000000-0005-0000-0000-00000D780000}"/>
    <cellStyle name="Normal 5" xfId="2" xr:uid="{00000000-0005-0000-0000-000002000000}"/>
    <cellStyle name="Normal 5 10" xfId="30734" xr:uid="{00000000-0005-0000-0000-00000E780000}"/>
    <cellStyle name="Normal 5 10 10" xfId="30735" xr:uid="{00000000-0005-0000-0000-00000F780000}"/>
    <cellStyle name="Normal 5 10 10 10" xfId="30736" xr:uid="{00000000-0005-0000-0000-000010780000}"/>
    <cellStyle name="Normal 5 10 10 11" xfId="30737" xr:uid="{00000000-0005-0000-0000-000011780000}"/>
    <cellStyle name="Normal 5 10 10 12" xfId="30738" xr:uid="{00000000-0005-0000-0000-000012780000}"/>
    <cellStyle name="Normal 5 10 10 13" xfId="30739" xr:uid="{00000000-0005-0000-0000-000013780000}"/>
    <cellStyle name="Normal 5 10 10 14" xfId="30740" xr:uid="{00000000-0005-0000-0000-000014780000}"/>
    <cellStyle name="Normal 5 10 10 2" xfId="30741" xr:uid="{00000000-0005-0000-0000-000015780000}"/>
    <cellStyle name="Normal 5 10 10 2 10" xfId="30742" xr:uid="{00000000-0005-0000-0000-000016780000}"/>
    <cellStyle name="Normal 5 10 10 2 2" xfId="30743" xr:uid="{00000000-0005-0000-0000-000017780000}"/>
    <cellStyle name="Normal 5 10 10 2 3" xfId="30744" xr:uid="{00000000-0005-0000-0000-000018780000}"/>
    <cellStyle name="Normal 5 10 10 2 4" xfId="30745" xr:uid="{00000000-0005-0000-0000-000019780000}"/>
    <cellStyle name="Normal 5 10 10 2 5" xfId="30746" xr:uid="{00000000-0005-0000-0000-00001A780000}"/>
    <cellStyle name="Normal 5 10 10 2 6" xfId="30747" xr:uid="{00000000-0005-0000-0000-00001B780000}"/>
    <cellStyle name="Normal 5 10 10 2 7" xfId="30748" xr:uid="{00000000-0005-0000-0000-00001C780000}"/>
    <cellStyle name="Normal 5 10 10 2 8" xfId="30749" xr:uid="{00000000-0005-0000-0000-00001D780000}"/>
    <cellStyle name="Normal 5 10 10 2 9" xfId="30750" xr:uid="{00000000-0005-0000-0000-00001E780000}"/>
    <cellStyle name="Normal 5 10 10 3" xfId="30751" xr:uid="{00000000-0005-0000-0000-00001F780000}"/>
    <cellStyle name="Normal 5 10 10 3 10" xfId="30752" xr:uid="{00000000-0005-0000-0000-000020780000}"/>
    <cellStyle name="Normal 5 10 10 3 2" xfId="30753" xr:uid="{00000000-0005-0000-0000-000021780000}"/>
    <cellStyle name="Normal 5 10 10 3 3" xfId="30754" xr:uid="{00000000-0005-0000-0000-000022780000}"/>
    <cellStyle name="Normal 5 10 10 3 4" xfId="30755" xr:uid="{00000000-0005-0000-0000-000023780000}"/>
    <cellStyle name="Normal 5 10 10 3 5" xfId="30756" xr:uid="{00000000-0005-0000-0000-000024780000}"/>
    <cellStyle name="Normal 5 10 10 3 6" xfId="30757" xr:uid="{00000000-0005-0000-0000-000025780000}"/>
    <cellStyle name="Normal 5 10 10 3 7" xfId="30758" xr:uid="{00000000-0005-0000-0000-000026780000}"/>
    <cellStyle name="Normal 5 10 10 3 8" xfId="30759" xr:uid="{00000000-0005-0000-0000-000027780000}"/>
    <cellStyle name="Normal 5 10 10 3 9" xfId="30760" xr:uid="{00000000-0005-0000-0000-000028780000}"/>
    <cellStyle name="Normal 5 10 10 4" xfId="30761" xr:uid="{00000000-0005-0000-0000-000029780000}"/>
    <cellStyle name="Normal 5 10 10 4 10" xfId="30762" xr:uid="{00000000-0005-0000-0000-00002A780000}"/>
    <cellStyle name="Normal 5 10 10 4 2" xfId="30763" xr:uid="{00000000-0005-0000-0000-00002B780000}"/>
    <cellStyle name="Normal 5 10 10 4 3" xfId="30764" xr:uid="{00000000-0005-0000-0000-00002C780000}"/>
    <cellStyle name="Normal 5 10 10 4 4" xfId="30765" xr:uid="{00000000-0005-0000-0000-00002D780000}"/>
    <cellStyle name="Normal 5 10 10 4 5" xfId="30766" xr:uid="{00000000-0005-0000-0000-00002E780000}"/>
    <cellStyle name="Normal 5 10 10 4 6" xfId="30767" xr:uid="{00000000-0005-0000-0000-00002F780000}"/>
    <cellStyle name="Normal 5 10 10 4 7" xfId="30768" xr:uid="{00000000-0005-0000-0000-000030780000}"/>
    <cellStyle name="Normal 5 10 10 4 8" xfId="30769" xr:uid="{00000000-0005-0000-0000-000031780000}"/>
    <cellStyle name="Normal 5 10 10 4 9" xfId="30770" xr:uid="{00000000-0005-0000-0000-000032780000}"/>
    <cellStyle name="Normal 5 10 10 5" xfId="30771" xr:uid="{00000000-0005-0000-0000-000033780000}"/>
    <cellStyle name="Normal 5 10 10 5 10" xfId="30772" xr:uid="{00000000-0005-0000-0000-000034780000}"/>
    <cellStyle name="Normal 5 10 10 5 2" xfId="30773" xr:uid="{00000000-0005-0000-0000-000035780000}"/>
    <cellStyle name="Normal 5 10 10 5 3" xfId="30774" xr:uid="{00000000-0005-0000-0000-000036780000}"/>
    <cellStyle name="Normal 5 10 10 5 4" xfId="30775" xr:uid="{00000000-0005-0000-0000-000037780000}"/>
    <cellStyle name="Normal 5 10 10 5 5" xfId="30776" xr:uid="{00000000-0005-0000-0000-000038780000}"/>
    <cellStyle name="Normal 5 10 10 5 6" xfId="30777" xr:uid="{00000000-0005-0000-0000-000039780000}"/>
    <cellStyle name="Normal 5 10 10 5 7" xfId="30778" xr:uid="{00000000-0005-0000-0000-00003A780000}"/>
    <cellStyle name="Normal 5 10 10 5 8" xfId="30779" xr:uid="{00000000-0005-0000-0000-00003B780000}"/>
    <cellStyle name="Normal 5 10 10 5 9" xfId="30780" xr:uid="{00000000-0005-0000-0000-00003C780000}"/>
    <cellStyle name="Normal 5 10 10 6" xfId="30781" xr:uid="{00000000-0005-0000-0000-00003D780000}"/>
    <cellStyle name="Normal 5 10 10 7" xfId="30782" xr:uid="{00000000-0005-0000-0000-00003E780000}"/>
    <cellStyle name="Normal 5 10 10 8" xfId="30783" xr:uid="{00000000-0005-0000-0000-00003F780000}"/>
    <cellStyle name="Normal 5 10 10 9" xfId="30784" xr:uid="{00000000-0005-0000-0000-000040780000}"/>
    <cellStyle name="Normal 5 10 11" xfId="30785" xr:uid="{00000000-0005-0000-0000-000041780000}"/>
    <cellStyle name="Normal 5 10 11 10" xfId="30786" xr:uid="{00000000-0005-0000-0000-000042780000}"/>
    <cellStyle name="Normal 5 10 11 11" xfId="30787" xr:uid="{00000000-0005-0000-0000-000043780000}"/>
    <cellStyle name="Normal 5 10 11 12" xfId="30788" xr:uid="{00000000-0005-0000-0000-000044780000}"/>
    <cellStyle name="Normal 5 10 11 13" xfId="30789" xr:uid="{00000000-0005-0000-0000-000045780000}"/>
    <cellStyle name="Normal 5 10 11 14" xfId="30790" xr:uid="{00000000-0005-0000-0000-000046780000}"/>
    <cellStyle name="Normal 5 10 11 2" xfId="30791" xr:uid="{00000000-0005-0000-0000-000047780000}"/>
    <cellStyle name="Normal 5 10 11 2 10" xfId="30792" xr:uid="{00000000-0005-0000-0000-000048780000}"/>
    <cellStyle name="Normal 5 10 11 2 2" xfId="30793" xr:uid="{00000000-0005-0000-0000-000049780000}"/>
    <cellStyle name="Normal 5 10 11 2 3" xfId="30794" xr:uid="{00000000-0005-0000-0000-00004A780000}"/>
    <cellStyle name="Normal 5 10 11 2 4" xfId="30795" xr:uid="{00000000-0005-0000-0000-00004B780000}"/>
    <cellStyle name="Normal 5 10 11 2 5" xfId="30796" xr:uid="{00000000-0005-0000-0000-00004C780000}"/>
    <cellStyle name="Normal 5 10 11 2 6" xfId="30797" xr:uid="{00000000-0005-0000-0000-00004D780000}"/>
    <cellStyle name="Normal 5 10 11 2 7" xfId="30798" xr:uid="{00000000-0005-0000-0000-00004E780000}"/>
    <cellStyle name="Normal 5 10 11 2 8" xfId="30799" xr:uid="{00000000-0005-0000-0000-00004F780000}"/>
    <cellStyle name="Normal 5 10 11 2 9" xfId="30800" xr:uid="{00000000-0005-0000-0000-000050780000}"/>
    <cellStyle name="Normal 5 10 11 3" xfId="30801" xr:uid="{00000000-0005-0000-0000-000051780000}"/>
    <cellStyle name="Normal 5 10 11 3 10" xfId="30802" xr:uid="{00000000-0005-0000-0000-000052780000}"/>
    <cellStyle name="Normal 5 10 11 3 2" xfId="30803" xr:uid="{00000000-0005-0000-0000-000053780000}"/>
    <cellStyle name="Normal 5 10 11 3 3" xfId="30804" xr:uid="{00000000-0005-0000-0000-000054780000}"/>
    <cellStyle name="Normal 5 10 11 3 4" xfId="30805" xr:uid="{00000000-0005-0000-0000-000055780000}"/>
    <cellStyle name="Normal 5 10 11 3 5" xfId="30806" xr:uid="{00000000-0005-0000-0000-000056780000}"/>
    <cellStyle name="Normal 5 10 11 3 6" xfId="30807" xr:uid="{00000000-0005-0000-0000-000057780000}"/>
    <cellStyle name="Normal 5 10 11 3 7" xfId="30808" xr:uid="{00000000-0005-0000-0000-000058780000}"/>
    <cellStyle name="Normal 5 10 11 3 8" xfId="30809" xr:uid="{00000000-0005-0000-0000-000059780000}"/>
    <cellStyle name="Normal 5 10 11 3 9" xfId="30810" xr:uid="{00000000-0005-0000-0000-00005A780000}"/>
    <cellStyle name="Normal 5 10 11 4" xfId="30811" xr:uid="{00000000-0005-0000-0000-00005B780000}"/>
    <cellStyle name="Normal 5 10 11 4 10" xfId="30812" xr:uid="{00000000-0005-0000-0000-00005C780000}"/>
    <cellStyle name="Normal 5 10 11 4 2" xfId="30813" xr:uid="{00000000-0005-0000-0000-00005D780000}"/>
    <cellStyle name="Normal 5 10 11 4 3" xfId="30814" xr:uid="{00000000-0005-0000-0000-00005E780000}"/>
    <cellStyle name="Normal 5 10 11 4 4" xfId="30815" xr:uid="{00000000-0005-0000-0000-00005F780000}"/>
    <cellStyle name="Normal 5 10 11 4 5" xfId="30816" xr:uid="{00000000-0005-0000-0000-000060780000}"/>
    <cellStyle name="Normal 5 10 11 4 6" xfId="30817" xr:uid="{00000000-0005-0000-0000-000061780000}"/>
    <cellStyle name="Normal 5 10 11 4 7" xfId="30818" xr:uid="{00000000-0005-0000-0000-000062780000}"/>
    <cellStyle name="Normal 5 10 11 4 8" xfId="30819" xr:uid="{00000000-0005-0000-0000-000063780000}"/>
    <cellStyle name="Normal 5 10 11 4 9" xfId="30820" xr:uid="{00000000-0005-0000-0000-000064780000}"/>
    <cellStyle name="Normal 5 10 11 5" xfId="30821" xr:uid="{00000000-0005-0000-0000-000065780000}"/>
    <cellStyle name="Normal 5 10 11 5 10" xfId="30822" xr:uid="{00000000-0005-0000-0000-000066780000}"/>
    <cellStyle name="Normal 5 10 11 5 2" xfId="30823" xr:uid="{00000000-0005-0000-0000-000067780000}"/>
    <cellStyle name="Normal 5 10 11 5 3" xfId="30824" xr:uid="{00000000-0005-0000-0000-000068780000}"/>
    <cellStyle name="Normal 5 10 11 5 4" xfId="30825" xr:uid="{00000000-0005-0000-0000-000069780000}"/>
    <cellStyle name="Normal 5 10 11 5 5" xfId="30826" xr:uid="{00000000-0005-0000-0000-00006A780000}"/>
    <cellStyle name="Normal 5 10 11 5 6" xfId="30827" xr:uid="{00000000-0005-0000-0000-00006B780000}"/>
    <cellStyle name="Normal 5 10 11 5 7" xfId="30828" xr:uid="{00000000-0005-0000-0000-00006C780000}"/>
    <cellStyle name="Normal 5 10 11 5 8" xfId="30829" xr:uid="{00000000-0005-0000-0000-00006D780000}"/>
    <cellStyle name="Normal 5 10 11 5 9" xfId="30830" xr:uid="{00000000-0005-0000-0000-00006E780000}"/>
    <cellStyle name="Normal 5 10 11 6" xfId="30831" xr:uid="{00000000-0005-0000-0000-00006F780000}"/>
    <cellStyle name="Normal 5 10 11 7" xfId="30832" xr:uid="{00000000-0005-0000-0000-000070780000}"/>
    <cellStyle name="Normal 5 10 11 8" xfId="30833" xr:uid="{00000000-0005-0000-0000-000071780000}"/>
    <cellStyle name="Normal 5 10 11 9" xfId="30834" xr:uid="{00000000-0005-0000-0000-000072780000}"/>
    <cellStyle name="Normal 5 10 12" xfId="30835" xr:uid="{00000000-0005-0000-0000-000073780000}"/>
    <cellStyle name="Normal 5 10 12 10" xfId="30836" xr:uid="{00000000-0005-0000-0000-000074780000}"/>
    <cellStyle name="Normal 5 10 12 11" xfId="30837" xr:uid="{00000000-0005-0000-0000-000075780000}"/>
    <cellStyle name="Normal 5 10 12 12" xfId="30838" xr:uid="{00000000-0005-0000-0000-000076780000}"/>
    <cellStyle name="Normal 5 10 12 13" xfId="30839" xr:uid="{00000000-0005-0000-0000-000077780000}"/>
    <cellStyle name="Normal 5 10 12 14" xfId="30840" xr:uid="{00000000-0005-0000-0000-000078780000}"/>
    <cellStyle name="Normal 5 10 12 2" xfId="30841" xr:uid="{00000000-0005-0000-0000-000079780000}"/>
    <cellStyle name="Normal 5 10 12 2 10" xfId="30842" xr:uid="{00000000-0005-0000-0000-00007A780000}"/>
    <cellStyle name="Normal 5 10 12 2 2" xfId="30843" xr:uid="{00000000-0005-0000-0000-00007B780000}"/>
    <cellStyle name="Normal 5 10 12 2 3" xfId="30844" xr:uid="{00000000-0005-0000-0000-00007C780000}"/>
    <cellStyle name="Normal 5 10 12 2 4" xfId="30845" xr:uid="{00000000-0005-0000-0000-00007D780000}"/>
    <cellStyle name="Normal 5 10 12 2 5" xfId="30846" xr:uid="{00000000-0005-0000-0000-00007E780000}"/>
    <cellStyle name="Normal 5 10 12 2 6" xfId="30847" xr:uid="{00000000-0005-0000-0000-00007F780000}"/>
    <cellStyle name="Normal 5 10 12 2 7" xfId="30848" xr:uid="{00000000-0005-0000-0000-000080780000}"/>
    <cellStyle name="Normal 5 10 12 2 8" xfId="30849" xr:uid="{00000000-0005-0000-0000-000081780000}"/>
    <cellStyle name="Normal 5 10 12 2 9" xfId="30850" xr:uid="{00000000-0005-0000-0000-000082780000}"/>
    <cellStyle name="Normal 5 10 12 3" xfId="30851" xr:uid="{00000000-0005-0000-0000-000083780000}"/>
    <cellStyle name="Normal 5 10 12 3 10" xfId="30852" xr:uid="{00000000-0005-0000-0000-000084780000}"/>
    <cellStyle name="Normal 5 10 12 3 2" xfId="30853" xr:uid="{00000000-0005-0000-0000-000085780000}"/>
    <cellStyle name="Normal 5 10 12 3 3" xfId="30854" xr:uid="{00000000-0005-0000-0000-000086780000}"/>
    <cellStyle name="Normal 5 10 12 3 4" xfId="30855" xr:uid="{00000000-0005-0000-0000-000087780000}"/>
    <cellStyle name="Normal 5 10 12 3 5" xfId="30856" xr:uid="{00000000-0005-0000-0000-000088780000}"/>
    <cellStyle name="Normal 5 10 12 3 6" xfId="30857" xr:uid="{00000000-0005-0000-0000-000089780000}"/>
    <cellStyle name="Normal 5 10 12 3 7" xfId="30858" xr:uid="{00000000-0005-0000-0000-00008A780000}"/>
    <cellStyle name="Normal 5 10 12 3 8" xfId="30859" xr:uid="{00000000-0005-0000-0000-00008B780000}"/>
    <cellStyle name="Normal 5 10 12 3 9" xfId="30860" xr:uid="{00000000-0005-0000-0000-00008C780000}"/>
    <cellStyle name="Normal 5 10 12 4" xfId="30861" xr:uid="{00000000-0005-0000-0000-00008D780000}"/>
    <cellStyle name="Normal 5 10 12 4 10" xfId="30862" xr:uid="{00000000-0005-0000-0000-00008E780000}"/>
    <cellStyle name="Normal 5 10 12 4 2" xfId="30863" xr:uid="{00000000-0005-0000-0000-00008F780000}"/>
    <cellStyle name="Normal 5 10 12 4 3" xfId="30864" xr:uid="{00000000-0005-0000-0000-000090780000}"/>
    <cellStyle name="Normal 5 10 12 4 4" xfId="30865" xr:uid="{00000000-0005-0000-0000-000091780000}"/>
    <cellStyle name="Normal 5 10 12 4 5" xfId="30866" xr:uid="{00000000-0005-0000-0000-000092780000}"/>
    <cellStyle name="Normal 5 10 12 4 6" xfId="30867" xr:uid="{00000000-0005-0000-0000-000093780000}"/>
    <cellStyle name="Normal 5 10 12 4 7" xfId="30868" xr:uid="{00000000-0005-0000-0000-000094780000}"/>
    <cellStyle name="Normal 5 10 12 4 8" xfId="30869" xr:uid="{00000000-0005-0000-0000-000095780000}"/>
    <cellStyle name="Normal 5 10 12 4 9" xfId="30870" xr:uid="{00000000-0005-0000-0000-000096780000}"/>
    <cellStyle name="Normal 5 10 12 5" xfId="30871" xr:uid="{00000000-0005-0000-0000-000097780000}"/>
    <cellStyle name="Normal 5 10 12 5 10" xfId="30872" xr:uid="{00000000-0005-0000-0000-000098780000}"/>
    <cellStyle name="Normal 5 10 12 5 2" xfId="30873" xr:uid="{00000000-0005-0000-0000-000099780000}"/>
    <cellStyle name="Normal 5 10 12 5 3" xfId="30874" xr:uid="{00000000-0005-0000-0000-00009A780000}"/>
    <cellStyle name="Normal 5 10 12 5 4" xfId="30875" xr:uid="{00000000-0005-0000-0000-00009B780000}"/>
    <cellStyle name="Normal 5 10 12 5 5" xfId="30876" xr:uid="{00000000-0005-0000-0000-00009C780000}"/>
    <cellStyle name="Normal 5 10 12 5 6" xfId="30877" xr:uid="{00000000-0005-0000-0000-00009D780000}"/>
    <cellStyle name="Normal 5 10 12 5 7" xfId="30878" xr:uid="{00000000-0005-0000-0000-00009E780000}"/>
    <cellStyle name="Normal 5 10 12 5 8" xfId="30879" xr:uid="{00000000-0005-0000-0000-00009F780000}"/>
    <cellStyle name="Normal 5 10 12 5 9" xfId="30880" xr:uid="{00000000-0005-0000-0000-0000A0780000}"/>
    <cellStyle name="Normal 5 10 12 6" xfId="30881" xr:uid="{00000000-0005-0000-0000-0000A1780000}"/>
    <cellStyle name="Normal 5 10 12 7" xfId="30882" xr:uid="{00000000-0005-0000-0000-0000A2780000}"/>
    <cellStyle name="Normal 5 10 12 8" xfId="30883" xr:uid="{00000000-0005-0000-0000-0000A3780000}"/>
    <cellStyle name="Normal 5 10 12 9" xfId="30884" xr:uid="{00000000-0005-0000-0000-0000A4780000}"/>
    <cellStyle name="Normal 5 10 13" xfId="30885" xr:uid="{00000000-0005-0000-0000-0000A5780000}"/>
    <cellStyle name="Normal 5 10 13 10" xfId="30886" xr:uid="{00000000-0005-0000-0000-0000A6780000}"/>
    <cellStyle name="Normal 5 10 13 11" xfId="30887" xr:uid="{00000000-0005-0000-0000-0000A7780000}"/>
    <cellStyle name="Normal 5 10 13 12" xfId="30888" xr:uid="{00000000-0005-0000-0000-0000A8780000}"/>
    <cellStyle name="Normal 5 10 13 13" xfId="30889" xr:uid="{00000000-0005-0000-0000-0000A9780000}"/>
    <cellStyle name="Normal 5 10 13 14" xfId="30890" xr:uid="{00000000-0005-0000-0000-0000AA780000}"/>
    <cellStyle name="Normal 5 10 13 2" xfId="30891" xr:uid="{00000000-0005-0000-0000-0000AB780000}"/>
    <cellStyle name="Normal 5 10 13 2 10" xfId="30892" xr:uid="{00000000-0005-0000-0000-0000AC780000}"/>
    <cellStyle name="Normal 5 10 13 2 2" xfId="30893" xr:uid="{00000000-0005-0000-0000-0000AD780000}"/>
    <cellStyle name="Normal 5 10 13 2 3" xfId="30894" xr:uid="{00000000-0005-0000-0000-0000AE780000}"/>
    <cellStyle name="Normal 5 10 13 2 4" xfId="30895" xr:uid="{00000000-0005-0000-0000-0000AF780000}"/>
    <cellStyle name="Normal 5 10 13 2 5" xfId="30896" xr:uid="{00000000-0005-0000-0000-0000B0780000}"/>
    <cellStyle name="Normal 5 10 13 2 6" xfId="30897" xr:uid="{00000000-0005-0000-0000-0000B1780000}"/>
    <cellStyle name="Normal 5 10 13 2 7" xfId="30898" xr:uid="{00000000-0005-0000-0000-0000B2780000}"/>
    <cellStyle name="Normal 5 10 13 2 8" xfId="30899" xr:uid="{00000000-0005-0000-0000-0000B3780000}"/>
    <cellStyle name="Normal 5 10 13 2 9" xfId="30900" xr:uid="{00000000-0005-0000-0000-0000B4780000}"/>
    <cellStyle name="Normal 5 10 13 3" xfId="30901" xr:uid="{00000000-0005-0000-0000-0000B5780000}"/>
    <cellStyle name="Normal 5 10 13 3 10" xfId="30902" xr:uid="{00000000-0005-0000-0000-0000B6780000}"/>
    <cellStyle name="Normal 5 10 13 3 2" xfId="30903" xr:uid="{00000000-0005-0000-0000-0000B7780000}"/>
    <cellStyle name="Normal 5 10 13 3 3" xfId="30904" xr:uid="{00000000-0005-0000-0000-0000B8780000}"/>
    <cellStyle name="Normal 5 10 13 3 4" xfId="30905" xr:uid="{00000000-0005-0000-0000-0000B9780000}"/>
    <cellStyle name="Normal 5 10 13 3 5" xfId="30906" xr:uid="{00000000-0005-0000-0000-0000BA780000}"/>
    <cellStyle name="Normal 5 10 13 3 6" xfId="30907" xr:uid="{00000000-0005-0000-0000-0000BB780000}"/>
    <cellStyle name="Normal 5 10 13 3 7" xfId="30908" xr:uid="{00000000-0005-0000-0000-0000BC780000}"/>
    <cellStyle name="Normal 5 10 13 3 8" xfId="30909" xr:uid="{00000000-0005-0000-0000-0000BD780000}"/>
    <cellStyle name="Normal 5 10 13 3 9" xfId="30910" xr:uid="{00000000-0005-0000-0000-0000BE780000}"/>
    <cellStyle name="Normal 5 10 13 4" xfId="30911" xr:uid="{00000000-0005-0000-0000-0000BF780000}"/>
    <cellStyle name="Normal 5 10 13 4 10" xfId="30912" xr:uid="{00000000-0005-0000-0000-0000C0780000}"/>
    <cellStyle name="Normal 5 10 13 4 2" xfId="30913" xr:uid="{00000000-0005-0000-0000-0000C1780000}"/>
    <cellStyle name="Normal 5 10 13 4 3" xfId="30914" xr:uid="{00000000-0005-0000-0000-0000C2780000}"/>
    <cellStyle name="Normal 5 10 13 4 4" xfId="30915" xr:uid="{00000000-0005-0000-0000-0000C3780000}"/>
    <cellStyle name="Normal 5 10 13 4 5" xfId="30916" xr:uid="{00000000-0005-0000-0000-0000C4780000}"/>
    <cellStyle name="Normal 5 10 13 4 6" xfId="30917" xr:uid="{00000000-0005-0000-0000-0000C5780000}"/>
    <cellStyle name="Normal 5 10 13 4 7" xfId="30918" xr:uid="{00000000-0005-0000-0000-0000C6780000}"/>
    <cellStyle name="Normal 5 10 13 4 8" xfId="30919" xr:uid="{00000000-0005-0000-0000-0000C7780000}"/>
    <cellStyle name="Normal 5 10 13 4 9" xfId="30920" xr:uid="{00000000-0005-0000-0000-0000C8780000}"/>
    <cellStyle name="Normal 5 10 13 5" xfId="30921" xr:uid="{00000000-0005-0000-0000-0000C9780000}"/>
    <cellStyle name="Normal 5 10 13 5 10" xfId="30922" xr:uid="{00000000-0005-0000-0000-0000CA780000}"/>
    <cellStyle name="Normal 5 10 13 5 2" xfId="30923" xr:uid="{00000000-0005-0000-0000-0000CB780000}"/>
    <cellStyle name="Normal 5 10 13 5 3" xfId="30924" xr:uid="{00000000-0005-0000-0000-0000CC780000}"/>
    <cellStyle name="Normal 5 10 13 5 4" xfId="30925" xr:uid="{00000000-0005-0000-0000-0000CD780000}"/>
    <cellStyle name="Normal 5 10 13 5 5" xfId="30926" xr:uid="{00000000-0005-0000-0000-0000CE780000}"/>
    <cellStyle name="Normal 5 10 13 5 6" xfId="30927" xr:uid="{00000000-0005-0000-0000-0000CF780000}"/>
    <cellStyle name="Normal 5 10 13 5 7" xfId="30928" xr:uid="{00000000-0005-0000-0000-0000D0780000}"/>
    <cellStyle name="Normal 5 10 13 5 8" xfId="30929" xr:uid="{00000000-0005-0000-0000-0000D1780000}"/>
    <cellStyle name="Normal 5 10 13 5 9" xfId="30930" xr:uid="{00000000-0005-0000-0000-0000D2780000}"/>
    <cellStyle name="Normal 5 10 13 6" xfId="30931" xr:uid="{00000000-0005-0000-0000-0000D3780000}"/>
    <cellStyle name="Normal 5 10 13 7" xfId="30932" xr:uid="{00000000-0005-0000-0000-0000D4780000}"/>
    <cellStyle name="Normal 5 10 13 8" xfId="30933" xr:uid="{00000000-0005-0000-0000-0000D5780000}"/>
    <cellStyle name="Normal 5 10 13 9" xfId="30934" xr:uid="{00000000-0005-0000-0000-0000D6780000}"/>
    <cellStyle name="Normal 5 10 14" xfId="30935" xr:uid="{00000000-0005-0000-0000-0000D7780000}"/>
    <cellStyle name="Normal 5 10 14 10" xfId="30936" xr:uid="{00000000-0005-0000-0000-0000D8780000}"/>
    <cellStyle name="Normal 5 10 14 11" xfId="30937" xr:uid="{00000000-0005-0000-0000-0000D9780000}"/>
    <cellStyle name="Normal 5 10 14 12" xfId="30938" xr:uid="{00000000-0005-0000-0000-0000DA780000}"/>
    <cellStyle name="Normal 5 10 14 13" xfId="30939" xr:uid="{00000000-0005-0000-0000-0000DB780000}"/>
    <cellStyle name="Normal 5 10 14 14" xfId="30940" xr:uid="{00000000-0005-0000-0000-0000DC780000}"/>
    <cellStyle name="Normal 5 10 14 2" xfId="30941" xr:uid="{00000000-0005-0000-0000-0000DD780000}"/>
    <cellStyle name="Normal 5 10 14 2 10" xfId="30942" xr:uid="{00000000-0005-0000-0000-0000DE780000}"/>
    <cellStyle name="Normal 5 10 14 2 2" xfId="30943" xr:uid="{00000000-0005-0000-0000-0000DF780000}"/>
    <cellStyle name="Normal 5 10 14 2 3" xfId="30944" xr:uid="{00000000-0005-0000-0000-0000E0780000}"/>
    <cellStyle name="Normal 5 10 14 2 4" xfId="30945" xr:uid="{00000000-0005-0000-0000-0000E1780000}"/>
    <cellStyle name="Normal 5 10 14 2 5" xfId="30946" xr:uid="{00000000-0005-0000-0000-0000E2780000}"/>
    <cellStyle name="Normal 5 10 14 2 6" xfId="30947" xr:uid="{00000000-0005-0000-0000-0000E3780000}"/>
    <cellStyle name="Normal 5 10 14 2 7" xfId="30948" xr:uid="{00000000-0005-0000-0000-0000E4780000}"/>
    <cellStyle name="Normal 5 10 14 2 8" xfId="30949" xr:uid="{00000000-0005-0000-0000-0000E5780000}"/>
    <cellStyle name="Normal 5 10 14 2 9" xfId="30950" xr:uid="{00000000-0005-0000-0000-0000E6780000}"/>
    <cellStyle name="Normal 5 10 14 3" xfId="30951" xr:uid="{00000000-0005-0000-0000-0000E7780000}"/>
    <cellStyle name="Normal 5 10 14 3 10" xfId="30952" xr:uid="{00000000-0005-0000-0000-0000E8780000}"/>
    <cellStyle name="Normal 5 10 14 3 2" xfId="30953" xr:uid="{00000000-0005-0000-0000-0000E9780000}"/>
    <cellStyle name="Normal 5 10 14 3 3" xfId="30954" xr:uid="{00000000-0005-0000-0000-0000EA780000}"/>
    <cellStyle name="Normal 5 10 14 3 4" xfId="30955" xr:uid="{00000000-0005-0000-0000-0000EB780000}"/>
    <cellStyle name="Normal 5 10 14 3 5" xfId="30956" xr:uid="{00000000-0005-0000-0000-0000EC780000}"/>
    <cellStyle name="Normal 5 10 14 3 6" xfId="30957" xr:uid="{00000000-0005-0000-0000-0000ED780000}"/>
    <cellStyle name="Normal 5 10 14 3 7" xfId="30958" xr:uid="{00000000-0005-0000-0000-0000EE780000}"/>
    <cellStyle name="Normal 5 10 14 3 8" xfId="30959" xr:uid="{00000000-0005-0000-0000-0000EF780000}"/>
    <cellStyle name="Normal 5 10 14 3 9" xfId="30960" xr:uid="{00000000-0005-0000-0000-0000F0780000}"/>
    <cellStyle name="Normal 5 10 14 4" xfId="30961" xr:uid="{00000000-0005-0000-0000-0000F1780000}"/>
    <cellStyle name="Normal 5 10 14 4 10" xfId="30962" xr:uid="{00000000-0005-0000-0000-0000F2780000}"/>
    <cellStyle name="Normal 5 10 14 4 2" xfId="30963" xr:uid="{00000000-0005-0000-0000-0000F3780000}"/>
    <cellStyle name="Normal 5 10 14 4 3" xfId="30964" xr:uid="{00000000-0005-0000-0000-0000F4780000}"/>
    <cellStyle name="Normal 5 10 14 4 4" xfId="30965" xr:uid="{00000000-0005-0000-0000-0000F5780000}"/>
    <cellStyle name="Normal 5 10 14 4 5" xfId="30966" xr:uid="{00000000-0005-0000-0000-0000F6780000}"/>
    <cellStyle name="Normal 5 10 14 4 6" xfId="30967" xr:uid="{00000000-0005-0000-0000-0000F7780000}"/>
    <cellStyle name="Normal 5 10 14 4 7" xfId="30968" xr:uid="{00000000-0005-0000-0000-0000F8780000}"/>
    <cellStyle name="Normal 5 10 14 4 8" xfId="30969" xr:uid="{00000000-0005-0000-0000-0000F9780000}"/>
    <cellStyle name="Normal 5 10 14 4 9" xfId="30970" xr:uid="{00000000-0005-0000-0000-0000FA780000}"/>
    <cellStyle name="Normal 5 10 14 5" xfId="30971" xr:uid="{00000000-0005-0000-0000-0000FB780000}"/>
    <cellStyle name="Normal 5 10 14 5 10" xfId="30972" xr:uid="{00000000-0005-0000-0000-0000FC780000}"/>
    <cellStyle name="Normal 5 10 14 5 2" xfId="30973" xr:uid="{00000000-0005-0000-0000-0000FD780000}"/>
    <cellStyle name="Normal 5 10 14 5 3" xfId="30974" xr:uid="{00000000-0005-0000-0000-0000FE780000}"/>
    <cellStyle name="Normal 5 10 14 5 4" xfId="30975" xr:uid="{00000000-0005-0000-0000-0000FF780000}"/>
    <cellStyle name="Normal 5 10 14 5 5" xfId="30976" xr:uid="{00000000-0005-0000-0000-000000790000}"/>
    <cellStyle name="Normal 5 10 14 5 6" xfId="30977" xr:uid="{00000000-0005-0000-0000-000001790000}"/>
    <cellStyle name="Normal 5 10 14 5 7" xfId="30978" xr:uid="{00000000-0005-0000-0000-000002790000}"/>
    <cellStyle name="Normal 5 10 14 5 8" xfId="30979" xr:uid="{00000000-0005-0000-0000-000003790000}"/>
    <cellStyle name="Normal 5 10 14 5 9" xfId="30980" xr:uid="{00000000-0005-0000-0000-000004790000}"/>
    <cellStyle name="Normal 5 10 14 6" xfId="30981" xr:uid="{00000000-0005-0000-0000-000005790000}"/>
    <cellStyle name="Normal 5 10 14 7" xfId="30982" xr:uid="{00000000-0005-0000-0000-000006790000}"/>
    <cellStyle name="Normal 5 10 14 8" xfId="30983" xr:uid="{00000000-0005-0000-0000-000007790000}"/>
    <cellStyle name="Normal 5 10 14 9" xfId="30984" xr:uid="{00000000-0005-0000-0000-000008790000}"/>
    <cellStyle name="Normal 5 10 15" xfId="30985" xr:uid="{00000000-0005-0000-0000-000009790000}"/>
    <cellStyle name="Normal 5 10 15 10" xfId="30986" xr:uid="{00000000-0005-0000-0000-00000A790000}"/>
    <cellStyle name="Normal 5 10 15 11" xfId="30987" xr:uid="{00000000-0005-0000-0000-00000B790000}"/>
    <cellStyle name="Normal 5 10 15 12" xfId="30988" xr:uid="{00000000-0005-0000-0000-00000C790000}"/>
    <cellStyle name="Normal 5 10 15 13" xfId="30989" xr:uid="{00000000-0005-0000-0000-00000D790000}"/>
    <cellStyle name="Normal 5 10 15 14" xfId="30990" xr:uid="{00000000-0005-0000-0000-00000E790000}"/>
    <cellStyle name="Normal 5 10 15 2" xfId="30991" xr:uid="{00000000-0005-0000-0000-00000F790000}"/>
    <cellStyle name="Normal 5 10 15 2 10" xfId="30992" xr:uid="{00000000-0005-0000-0000-000010790000}"/>
    <cellStyle name="Normal 5 10 15 2 2" xfId="30993" xr:uid="{00000000-0005-0000-0000-000011790000}"/>
    <cellStyle name="Normal 5 10 15 2 3" xfId="30994" xr:uid="{00000000-0005-0000-0000-000012790000}"/>
    <cellStyle name="Normal 5 10 15 2 4" xfId="30995" xr:uid="{00000000-0005-0000-0000-000013790000}"/>
    <cellStyle name="Normal 5 10 15 2 5" xfId="30996" xr:uid="{00000000-0005-0000-0000-000014790000}"/>
    <cellStyle name="Normal 5 10 15 2 6" xfId="30997" xr:uid="{00000000-0005-0000-0000-000015790000}"/>
    <cellStyle name="Normal 5 10 15 2 7" xfId="30998" xr:uid="{00000000-0005-0000-0000-000016790000}"/>
    <cellStyle name="Normal 5 10 15 2 8" xfId="30999" xr:uid="{00000000-0005-0000-0000-000017790000}"/>
    <cellStyle name="Normal 5 10 15 2 9" xfId="31000" xr:uid="{00000000-0005-0000-0000-000018790000}"/>
    <cellStyle name="Normal 5 10 15 3" xfId="31001" xr:uid="{00000000-0005-0000-0000-000019790000}"/>
    <cellStyle name="Normal 5 10 15 3 10" xfId="31002" xr:uid="{00000000-0005-0000-0000-00001A790000}"/>
    <cellStyle name="Normal 5 10 15 3 2" xfId="31003" xr:uid="{00000000-0005-0000-0000-00001B790000}"/>
    <cellStyle name="Normal 5 10 15 3 3" xfId="31004" xr:uid="{00000000-0005-0000-0000-00001C790000}"/>
    <cellStyle name="Normal 5 10 15 3 4" xfId="31005" xr:uid="{00000000-0005-0000-0000-00001D790000}"/>
    <cellStyle name="Normal 5 10 15 3 5" xfId="31006" xr:uid="{00000000-0005-0000-0000-00001E790000}"/>
    <cellStyle name="Normal 5 10 15 3 6" xfId="31007" xr:uid="{00000000-0005-0000-0000-00001F790000}"/>
    <cellStyle name="Normal 5 10 15 3 7" xfId="31008" xr:uid="{00000000-0005-0000-0000-000020790000}"/>
    <cellStyle name="Normal 5 10 15 3 8" xfId="31009" xr:uid="{00000000-0005-0000-0000-000021790000}"/>
    <cellStyle name="Normal 5 10 15 3 9" xfId="31010" xr:uid="{00000000-0005-0000-0000-000022790000}"/>
    <cellStyle name="Normal 5 10 15 4" xfId="31011" xr:uid="{00000000-0005-0000-0000-000023790000}"/>
    <cellStyle name="Normal 5 10 15 4 10" xfId="31012" xr:uid="{00000000-0005-0000-0000-000024790000}"/>
    <cellStyle name="Normal 5 10 15 4 2" xfId="31013" xr:uid="{00000000-0005-0000-0000-000025790000}"/>
    <cellStyle name="Normal 5 10 15 4 3" xfId="31014" xr:uid="{00000000-0005-0000-0000-000026790000}"/>
    <cellStyle name="Normal 5 10 15 4 4" xfId="31015" xr:uid="{00000000-0005-0000-0000-000027790000}"/>
    <cellStyle name="Normal 5 10 15 4 5" xfId="31016" xr:uid="{00000000-0005-0000-0000-000028790000}"/>
    <cellStyle name="Normal 5 10 15 4 6" xfId="31017" xr:uid="{00000000-0005-0000-0000-000029790000}"/>
    <cellStyle name="Normal 5 10 15 4 7" xfId="31018" xr:uid="{00000000-0005-0000-0000-00002A790000}"/>
    <cellStyle name="Normal 5 10 15 4 8" xfId="31019" xr:uid="{00000000-0005-0000-0000-00002B790000}"/>
    <cellStyle name="Normal 5 10 15 4 9" xfId="31020" xr:uid="{00000000-0005-0000-0000-00002C790000}"/>
    <cellStyle name="Normal 5 10 15 5" xfId="31021" xr:uid="{00000000-0005-0000-0000-00002D790000}"/>
    <cellStyle name="Normal 5 10 15 5 10" xfId="31022" xr:uid="{00000000-0005-0000-0000-00002E790000}"/>
    <cellStyle name="Normal 5 10 15 5 2" xfId="31023" xr:uid="{00000000-0005-0000-0000-00002F790000}"/>
    <cellStyle name="Normal 5 10 15 5 3" xfId="31024" xr:uid="{00000000-0005-0000-0000-000030790000}"/>
    <cellStyle name="Normal 5 10 15 5 4" xfId="31025" xr:uid="{00000000-0005-0000-0000-000031790000}"/>
    <cellStyle name="Normal 5 10 15 5 5" xfId="31026" xr:uid="{00000000-0005-0000-0000-000032790000}"/>
    <cellStyle name="Normal 5 10 15 5 6" xfId="31027" xr:uid="{00000000-0005-0000-0000-000033790000}"/>
    <cellStyle name="Normal 5 10 15 5 7" xfId="31028" xr:uid="{00000000-0005-0000-0000-000034790000}"/>
    <cellStyle name="Normal 5 10 15 5 8" xfId="31029" xr:uid="{00000000-0005-0000-0000-000035790000}"/>
    <cellStyle name="Normal 5 10 15 5 9" xfId="31030" xr:uid="{00000000-0005-0000-0000-000036790000}"/>
    <cellStyle name="Normal 5 10 15 6" xfId="31031" xr:uid="{00000000-0005-0000-0000-000037790000}"/>
    <cellStyle name="Normal 5 10 15 7" xfId="31032" xr:uid="{00000000-0005-0000-0000-000038790000}"/>
    <cellStyle name="Normal 5 10 15 8" xfId="31033" xr:uid="{00000000-0005-0000-0000-000039790000}"/>
    <cellStyle name="Normal 5 10 15 9" xfId="31034" xr:uid="{00000000-0005-0000-0000-00003A790000}"/>
    <cellStyle name="Normal 5 10 16" xfId="31035" xr:uid="{00000000-0005-0000-0000-00003B790000}"/>
    <cellStyle name="Normal 5 10 16 10" xfId="31036" xr:uid="{00000000-0005-0000-0000-00003C790000}"/>
    <cellStyle name="Normal 5 10 16 11" xfId="31037" xr:uid="{00000000-0005-0000-0000-00003D790000}"/>
    <cellStyle name="Normal 5 10 16 12" xfId="31038" xr:uid="{00000000-0005-0000-0000-00003E790000}"/>
    <cellStyle name="Normal 5 10 16 13" xfId="31039" xr:uid="{00000000-0005-0000-0000-00003F790000}"/>
    <cellStyle name="Normal 5 10 16 14" xfId="31040" xr:uid="{00000000-0005-0000-0000-000040790000}"/>
    <cellStyle name="Normal 5 10 16 2" xfId="31041" xr:uid="{00000000-0005-0000-0000-000041790000}"/>
    <cellStyle name="Normal 5 10 16 2 10" xfId="31042" xr:uid="{00000000-0005-0000-0000-000042790000}"/>
    <cellStyle name="Normal 5 10 16 2 2" xfId="31043" xr:uid="{00000000-0005-0000-0000-000043790000}"/>
    <cellStyle name="Normal 5 10 16 2 3" xfId="31044" xr:uid="{00000000-0005-0000-0000-000044790000}"/>
    <cellStyle name="Normal 5 10 16 2 4" xfId="31045" xr:uid="{00000000-0005-0000-0000-000045790000}"/>
    <cellStyle name="Normal 5 10 16 2 5" xfId="31046" xr:uid="{00000000-0005-0000-0000-000046790000}"/>
    <cellStyle name="Normal 5 10 16 2 6" xfId="31047" xr:uid="{00000000-0005-0000-0000-000047790000}"/>
    <cellStyle name="Normal 5 10 16 2 7" xfId="31048" xr:uid="{00000000-0005-0000-0000-000048790000}"/>
    <cellStyle name="Normal 5 10 16 2 8" xfId="31049" xr:uid="{00000000-0005-0000-0000-000049790000}"/>
    <cellStyle name="Normal 5 10 16 2 9" xfId="31050" xr:uid="{00000000-0005-0000-0000-00004A790000}"/>
    <cellStyle name="Normal 5 10 16 3" xfId="31051" xr:uid="{00000000-0005-0000-0000-00004B790000}"/>
    <cellStyle name="Normal 5 10 16 3 10" xfId="31052" xr:uid="{00000000-0005-0000-0000-00004C790000}"/>
    <cellStyle name="Normal 5 10 16 3 2" xfId="31053" xr:uid="{00000000-0005-0000-0000-00004D790000}"/>
    <cellStyle name="Normal 5 10 16 3 3" xfId="31054" xr:uid="{00000000-0005-0000-0000-00004E790000}"/>
    <cellStyle name="Normal 5 10 16 3 4" xfId="31055" xr:uid="{00000000-0005-0000-0000-00004F790000}"/>
    <cellStyle name="Normal 5 10 16 3 5" xfId="31056" xr:uid="{00000000-0005-0000-0000-000050790000}"/>
    <cellStyle name="Normal 5 10 16 3 6" xfId="31057" xr:uid="{00000000-0005-0000-0000-000051790000}"/>
    <cellStyle name="Normal 5 10 16 3 7" xfId="31058" xr:uid="{00000000-0005-0000-0000-000052790000}"/>
    <cellStyle name="Normal 5 10 16 3 8" xfId="31059" xr:uid="{00000000-0005-0000-0000-000053790000}"/>
    <cellStyle name="Normal 5 10 16 3 9" xfId="31060" xr:uid="{00000000-0005-0000-0000-000054790000}"/>
    <cellStyle name="Normal 5 10 16 4" xfId="31061" xr:uid="{00000000-0005-0000-0000-000055790000}"/>
    <cellStyle name="Normal 5 10 16 4 10" xfId="31062" xr:uid="{00000000-0005-0000-0000-000056790000}"/>
    <cellStyle name="Normal 5 10 16 4 2" xfId="31063" xr:uid="{00000000-0005-0000-0000-000057790000}"/>
    <cellStyle name="Normal 5 10 16 4 3" xfId="31064" xr:uid="{00000000-0005-0000-0000-000058790000}"/>
    <cellStyle name="Normal 5 10 16 4 4" xfId="31065" xr:uid="{00000000-0005-0000-0000-000059790000}"/>
    <cellStyle name="Normal 5 10 16 4 5" xfId="31066" xr:uid="{00000000-0005-0000-0000-00005A790000}"/>
    <cellStyle name="Normal 5 10 16 4 6" xfId="31067" xr:uid="{00000000-0005-0000-0000-00005B790000}"/>
    <cellStyle name="Normal 5 10 16 4 7" xfId="31068" xr:uid="{00000000-0005-0000-0000-00005C790000}"/>
    <cellStyle name="Normal 5 10 16 4 8" xfId="31069" xr:uid="{00000000-0005-0000-0000-00005D790000}"/>
    <cellStyle name="Normal 5 10 16 4 9" xfId="31070" xr:uid="{00000000-0005-0000-0000-00005E790000}"/>
    <cellStyle name="Normal 5 10 16 5" xfId="31071" xr:uid="{00000000-0005-0000-0000-00005F790000}"/>
    <cellStyle name="Normal 5 10 16 5 10" xfId="31072" xr:uid="{00000000-0005-0000-0000-000060790000}"/>
    <cellStyle name="Normal 5 10 16 5 2" xfId="31073" xr:uid="{00000000-0005-0000-0000-000061790000}"/>
    <cellStyle name="Normal 5 10 16 5 3" xfId="31074" xr:uid="{00000000-0005-0000-0000-000062790000}"/>
    <cellStyle name="Normal 5 10 16 5 4" xfId="31075" xr:uid="{00000000-0005-0000-0000-000063790000}"/>
    <cellStyle name="Normal 5 10 16 5 5" xfId="31076" xr:uid="{00000000-0005-0000-0000-000064790000}"/>
    <cellStyle name="Normal 5 10 16 5 6" xfId="31077" xr:uid="{00000000-0005-0000-0000-000065790000}"/>
    <cellStyle name="Normal 5 10 16 5 7" xfId="31078" xr:uid="{00000000-0005-0000-0000-000066790000}"/>
    <cellStyle name="Normal 5 10 16 5 8" xfId="31079" xr:uid="{00000000-0005-0000-0000-000067790000}"/>
    <cellStyle name="Normal 5 10 16 5 9" xfId="31080" xr:uid="{00000000-0005-0000-0000-000068790000}"/>
    <cellStyle name="Normal 5 10 16 6" xfId="31081" xr:uid="{00000000-0005-0000-0000-000069790000}"/>
    <cellStyle name="Normal 5 10 16 7" xfId="31082" xr:uid="{00000000-0005-0000-0000-00006A790000}"/>
    <cellStyle name="Normal 5 10 16 8" xfId="31083" xr:uid="{00000000-0005-0000-0000-00006B790000}"/>
    <cellStyle name="Normal 5 10 16 9" xfId="31084" xr:uid="{00000000-0005-0000-0000-00006C790000}"/>
    <cellStyle name="Normal 5 10 17" xfId="31085" xr:uid="{00000000-0005-0000-0000-00006D790000}"/>
    <cellStyle name="Normal 5 10 17 10" xfId="31086" xr:uid="{00000000-0005-0000-0000-00006E790000}"/>
    <cellStyle name="Normal 5 10 17 11" xfId="31087" xr:uid="{00000000-0005-0000-0000-00006F790000}"/>
    <cellStyle name="Normal 5 10 17 12" xfId="31088" xr:uid="{00000000-0005-0000-0000-000070790000}"/>
    <cellStyle name="Normal 5 10 17 13" xfId="31089" xr:uid="{00000000-0005-0000-0000-000071790000}"/>
    <cellStyle name="Normal 5 10 17 14" xfId="31090" xr:uid="{00000000-0005-0000-0000-000072790000}"/>
    <cellStyle name="Normal 5 10 17 2" xfId="31091" xr:uid="{00000000-0005-0000-0000-000073790000}"/>
    <cellStyle name="Normal 5 10 17 2 10" xfId="31092" xr:uid="{00000000-0005-0000-0000-000074790000}"/>
    <cellStyle name="Normal 5 10 17 2 2" xfId="31093" xr:uid="{00000000-0005-0000-0000-000075790000}"/>
    <cellStyle name="Normal 5 10 17 2 3" xfId="31094" xr:uid="{00000000-0005-0000-0000-000076790000}"/>
    <cellStyle name="Normal 5 10 17 2 4" xfId="31095" xr:uid="{00000000-0005-0000-0000-000077790000}"/>
    <cellStyle name="Normal 5 10 17 2 5" xfId="31096" xr:uid="{00000000-0005-0000-0000-000078790000}"/>
    <cellStyle name="Normal 5 10 17 2 6" xfId="31097" xr:uid="{00000000-0005-0000-0000-000079790000}"/>
    <cellStyle name="Normal 5 10 17 2 7" xfId="31098" xr:uid="{00000000-0005-0000-0000-00007A790000}"/>
    <cellStyle name="Normal 5 10 17 2 8" xfId="31099" xr:uid="{00000000-0005-0000-0000-00007B790000}"/>
    <cellStyle name="Normal 5 10 17 2 9" xfId="31100" xr:uid="{00000000-0005-0000-0000-00007C790000}"/>
    <cellStyle name="Normal 5 10 17 3" xfId="31101" xr:uid="{00000000-0005-0000-0000-00007D790000}"/>
    <cellStyle name="Normal 5 10 17 3 10" xfId="31102" xr:uid="{00000000-0005-0000-0000-00007E790000}"/>
    <cellStyle name="Normal 5 10 17 3 2" xfId="31103" xr:uid="{00000000-0005-0000-0000-00007F790000}"/>
    <cellStyle name="Normal 5 10 17 3 3" xfId="31104" xr:uid="{00000000-0005-0000-0000-000080790000}"/>
    <cellStyle name="Normal 5 10 17 3 4" xfId="31105" xr:uid="{00000000-0005-0000-0000-000081790000}"/>
    <cellStyle name="Normal 5 10 17 3 5" xfId="31106" xr:uid="{00000000-0005-0000-0000-000082790000}"/>
    <cellStyle name="Normal 5 10 17 3 6" xfId="31107" xr:uid="{00000000-0005-0000-0000-000083790000}"/>
    <cellStyle name="Normal 5 10 17 3 7" xfId="31108" xr:uid="{00000000-0005-0000-0000-000084790000}"/>
    <cellStyle name="Normal 5 10 17 3 8" xfId="31109" xr:uid="{00000000-0005-0000-0000-000085790000}"/>
    <cellStyle name="Normal 5 10 17 3 9" xfId="31110" xr:uid="{00000000-0005-0000-0000-000086790000}"/>
    <cellStyle name="Normal 5 10 17 4" xfId="31111" xr:uid="{00000000-0005-0000-0000-000087790000}"/>
    <cellStyle name="Normal 5 10 17 4 10" xfId="31112" xr:uid="{00000000-0005-0000-0000-000088790000}"/>
    <cellStyle name="Normal 5 10 17 4 2" xfId="31113" xr:uid="{00000000-0005-0000-0000-000089790000}"/>
    <cellStyle name="Normal 5 10 17 4 3" xfId="31114" xr:uid="{00000000-0005-0000-0000-00008A790000}"/>
    <cellStyle name="Normal 5 10 17 4 4" xfId="31115" xr:uid="{00000000-0005-0000-0000-00008B790000}"/>
    <cellStyle name="Normal 5 10 17 4 5" xfId="31116" xr:uid="{00000000-0005-0000-0000-00008C790000}"/>
    <cellStyle name="Normal 5 10 17 4 6" xfId="31117" xr:uid="{00000000-0005-0000-0000-00008D790000}"/>
    <cellStyle name="Normal 5 10 17 4 7" xfId="31118" xr:uid="{00000000-0005-0000-0000-00008E790000}"/>
    <cellStyle name="Normal 5 10 17 4 8" xfId="31119" xr:uid="{00000000-0005-0000-0000-00008F790000}"/>
    <cellStyle name="Normal 5 10 17 4 9" xfId="31120" xr:uid="{00000000-0005-0000-0000-000090790000}"/>
    <cellStyle name="Normal 5 10 17 5" xfId="31121" xr:uid="{00000000-0005-0000-0000-000091790000}"/>
    <cellStyle name="Normal 5 10 17 5 10" xfId="31122" xr:uid="{00000000-0005-0000-0000-000092790000}"/>
    <cellStyle name="Normal 5 10 17 5 2" xfId="31123" xr:uid="{00000000-0005-0000-0000-000093790000}"/>
    <cellStyle name="Normal 5 10 17 5 3" xfId="31124" xr:uid="{00000000-0005-0000-0000-000094790000}"/>
    <cellStyle name="Normal 5 10 17 5 4" xfId="31125" xr:uid="{00000000-0005-0000-0000-000095790000}"/>
    <cellStyle name="Normal 5 10 17 5 5" xfId="31126" xr:uid="{00000000-0005-0000-0000-000096790000}"/>
    <cellStyle name="Normal 5 10 17 5 6" xfId="31127" xr:uid="{00000000-0005-0000-0000-000097790000}"/>
    <cellStyle name="Normal 5 10 17 5 7" xfId="31128" xr:uid="{00000000-0005-0000-0000-000098790000}"/>
    <cellStyle name="Normal 5 10 17 5 8" xfId="31129" xr:uid="{00000000-0005-0000-0000-000099790000}"/>
    <cellStyle name="Normal 5 10 17 5 9" xfId="31130" xr:uid="{00000000-0005-0000-0000-00009A790000}"/>
    <cellStyle name="Normal 5 10 17 6" xfId="31131" xr:uid="{00000000-0005-0000-0000-00009B790000}"/>
    <cellStyle name="Normal 5 10 17 7" xfId="31132" xr:uid="{00000000-0005-0000-0000-00009C790000}"/>
    <cellStyle name="Normal 5 10 17 8" xfId="31133" xr:uid="{00000000-0005-0000-0000-00009D790000}"/>
    <cellStyle name="Normal 5 10 17 9" xfId="31134" xr:uid="{00000000-0005-0000-0000-00009E790000}"/>
    <cellStyle name="Normal 5 10 18" xfId="31135" xr:uid="{00000000-0005-0000-0000-00009F790000}"/>
    <cellStyle name="Normal 5 10 18 10" xfId="31136" xr:uid="{00000000-0005-0000-0000-0000A0790000}"/>
    <cellStyle name="Normal 5 10 18 11" xfId="31137" xr:uid="{00000000-0005-0000-0000-0000A1790000}"/>
    <cellStyle name="Normal 5 10 18 12" xfId="31138" xr:uid="{00000000-0005-0000-0000-0000A2790000}"/>
    <cellStyle name="Normal 5 10 18 13" xfId="31139" xr:uid="{00000000-0005-0000-0000-0000A3790000}"/>
    <cellStyle name="Normal 5 10 18 14" xfId="31140" xr:uid="{00000000-0005-0000-0000-0000A4790000}"/>
    <cellStyle name="Normal 5 10 18 2" xfId="31141" xr:uid="{00000000-0005-0000-0000-0000A5790000}"/>
    <cellStyle name="Normal 5 10 18 2 10" xfId="31142" xr:uid="{00000000-0005-0000-0000-0000A6790000}"/>
    <cellStyle name="Normal 5 10 18 2 2" xfId="31143" xr:uid="{00000000-0005-0000-0000-0000A7790000}"/>
    <cellStyle name="Normal 5 10 18 2 3" xfId="31144" xr:uid="{00000000-0005-0000-0000-0000A8790000}"/>
    <cellStyle name="Normal 5 10 18 2 4" xfId="31145" xr:uid="{00000000-0005-0000-0000-0000A9790000}"/>
    <cellStyle name="Normal 5 10 18 2 5" xfId="31146" xr:uid="{00000000-0005-0000-0000-0000AA790000}"/>
    <cellStyle name="Normal 5 10 18 2 6" xfId="31147" xr:uid="{00000000-0005-0000-0000-0000AB790000}"/>
    <cellStyle name="Normal 5 10 18 2 7" xfId="31148" xr:uid="{00000000-0005-0000-0000-0000AC790000}"/>
    <cellStyle name="Normal 5 10 18 2 8" xfId="31149" xr:uid="{00000000-0005-0000-0000-0000AD790000}"/>
    <cellStyle name="Normal 5 10 18 2 9" xfId="31150" xr:uid="{00000000-0005-0000-0000-0000AE790000}"/>
    <cellStyle name="Normal 5 10 18 3" xfId="31151" xr:uid="{00000000-0005-0000-0000-0000AF790000}"/>
    <cellStyle name="Normal 5 10 18 3 10" xfId="31152" xr:uid="{00000000-0005-0000-0000-0000B0790000}"/>
    <cellStyle name="Normal 5 10 18 3 2" xfId="31153" xr:uid="{00000000-0005-0000-0000-0000B1790000}"/>
    <cellStyle name="Normal 5 10 18 3 3" xfId="31154" xr:uid="{00000000-0005-0000-0000-0000B2790000}"/>
    <cellStyle name="Normal 5 10 18 3 4" xfId="31155" xr:uid="{00000000-0005-0000-0000-0000B3790000}"/>
    <cellStyle name="Normal 5 10 18 3 5" xfId="31156" xr:uid="{00000000-0005-0000-0000-0000B4790000}"/>
    <cellStyle name="Normal 5 10 18 3 6" xfId="31157" xr:uid="{00000000-0005-0000-0000-0000B5790000}"/>
    <cellStyle name="Normal 5 10 18 3 7" xfId="31158" xr:uid="{00000000-0005-0000-0000-0000B6790000}"/>
    <cellStyle name="Normal 5 10 18 3 8" xfId="31159" xr:uid="{00000000-0005-0000-0000-0000B7790000}"/>
    <cellStyle name="Normal 5 10 18 3 9" xfId="31160" xr:uid="{00000000-0005-0000-0000-0000B8790000}"/>
    <cellStyle name="Normal 5 10 18 4" xfId="31161" xr:uid="{00000000-0005-0000-0000-0000B9790000}"/>
    <cellStyle name="Normal 5 10 18 4 10" xfId="31162" xr:uid="{00000000-0005-0000-0000-0000BA790000}"/>
    <cellStyle name="Normal 5 10 18 4 2" xfId="31163" xr:uid="{00000000-0005-0000-0000-0000BB790000}"/>
    <cellStyle name="Normal 5 10 18 4 3" xfId="31164" xr:uid="{00000000-0005-0000-0000-0000BC790000}"/>
    <cellStyle name="Normal 5 10 18 4 4" xfId="31165" xr:uid="{00000000-0005-0000-0000-0000BD790000}"/>
    <cellStyle name="Normal 5 10 18 4 5" xfId="31166" xr:uid="{00000000-0005-0000-0000-0000BE790000}"/>
    <cellStyle name="Normal 5 10 18 4 6" xfId="31167" xr:uid="{00000000-0005-0000-0000-0000BF790000}"/>
    <cellStyle name="Normal 5 10 18 4 7" xfId="31168" xr:uid="{00000000-0005-0000-0000-0000C0790000}"/>
    <cellStyle name="Normal 5 10 18 4 8" xfId="31169" xr:uid="{00000000-0005-0000-0000-0000C1790000}"/>
    <cellStyle name="Normal 5 10 18 4 9" xfId="31170" xr:uid="{00000000-0005-0000-0000-0000C2790000}"/>
    <cellStyle name="Normal 5 10 18 5" xfId="31171" xr:uid="{00000000-0005-0000-0000-0000C3790000}"/>
    <cellStyle name="Normal 5 10 18 5 10" xfId="31172" xr:uid="{00000000-0005-0000-0000-0000C4790000}"/>
    <cellStyle name="Normal 5 10 18 5 2" xfId="31173" xr:uid="{00000000-0005-0000-0000-0000C5790000}"/>
    <cellStyle name="Normal 5 10 18 5 3" xfId="31174" xr:uid="{00000000-0005-0000-0000-0000C6790000}"/>
    <cellStyle name="Normal 5 10 18 5 4" xfId="31175" xr:uid="{00000000-0005-0000-0000-0000C7790000}"/>
    <cellStyle name="Normal 5 10 18 5 5" xfId="31176" xr:uid="{00000000-0005-0000-0000-0000C8790000}"/>
    <cellStyle name="Normal 5 10 18 5 6" xfId="31177" xr:uid="{00000000-0005-0000-0000-0000C9790000}"/>
    <cellStyle name="Normal 5 10 18 5 7" xfId="31178" xr:uid="{00000000-0005-0000-0000-0000CA790000}"/>
    <cellStyle name="Normal 5 10 18 5 8" xfId="31179" xr:uid="{00000000-0005-0000-0000-0000CB790000}"/>
    <cellStyle name="Normal 5 10 18 5 9" xfId="31180" xr:uid="{00000000-0005-0000-0000-0000CC790000}"/>
    <cellStyle name="Normal 5 10 18 6" xfId="31181" xr:uid="{00000000-0005-0000-0000-0000CD790000}"/>
    <cellStyle name="Normal 5 10 18 7" xfId="31182" xr:uid="{00000000-0005-0000-0000-0000CE790000}"/>
    <cellStyle name="Normal 5 10 18 8" xfId="31183" xr:uid="{00000000-0005-0000-0000-0000CF790000}"/>
    <cellStyle name="Normal 5 10 18 9" xfId="31184" xr:uid="{00000000-0005-0000-0000-0000D0790000}"/>
    <cellStyle name="Normal 5 10 19" xfId="31185" xr:uid="{00000000-0005-0000-0000-0000D1790000}"/>
    <cellStyle name="Normal 5 10 19 10" xfId="31186" xr:uid="{00000000-0005-0000-0000-0000D2790000}"/>
    <cellStyle name="Normal 5 10 19 11" xfId="31187" xr:uid="{00000000-0005-0000-0000-0000D3790000}"/>
    <cellStyle name="Normal 5 10 19 12" xfId="31188" xr:uid="{00000000-0005-0000-0000-0000D4790000}"/>
    <cellStyle name="Normal 5 10 19 13" xfId="31189" xr:uid="{00000000-0005-0000-0000-0000D5790000}"/>
    <cellStyle name="Normal 5 10 19 14" xfId="31190" xr:uid="{00000000-0005-0000-0000-0000D6790000}"/>
    <cellStyle name="Normal 5 10 19 2" xfId="31191" xr:uid="{00000000-0005-0000-0000-0000D7790000}"/>
    <cellStyle name="Normal 5 10 19 2 10" xfId="31192" xr:uid="{00000000-0005-0000-0000-0000D8790000}"/>
    <cellStyle name="Normal 5 10 19 2 2" xfId="31193" xr:uid="{00000000-0005-0000-0000-0000D9790000}"/>
    <cellStyle name="Normal 5 10 19 2 3" xfId="31194" xr:uid="{00000000-0005-0000-0000-0000DA790000}"/>
    <cellStyle name="Normal 5 10 19 2 4" xfId="31195" xr:uid="{00000000-0005-0000-0000-0000DB790000}"/>
    <cellStyle name="Normal 5 10 19 2 5" xfId="31196" xr:uid="{00000000-0005-0000-0000-0000DC790000}"/>
    <cellStyle name="Normal 5 10 19 2 6" xfId="31197" xr:uid="{00000000-0005-0000-0000-0000DD790000}"/>
    <cellStyle name="Normal 5 10 19 2 7" xfId="31198" xr:uid="{00000000-0005-0000-0000-0000DE790000}"/>
    <cellStyle name="Normal 5 10 19 2 8" xfId="31199" xr:uid="{00000000-0005-0000-0000-0000DF790000}"/>
    <cellStyle name="Normal 5 10 19 2 9" xfId="31200" xr:uid="{00000000-0005-0000-0000-0000E0790000}"/>
    <cellStyle name="Normal 5 10 19 3" xfId="31201" xr:uid="{00000000-0005-0000-0000-0000E1790000}"/>
    <cellStyle name="Normal 5 10 19 3 10" xfId="31202" xr:uid="{00000000-0005-0000-0000-0000E2790000}"/>
    <cellStyle name="Normal 5 10 19 3 2" xfId="31203" xr:uid="{00000000-0005-0000-0000-0000E3790000}"/>
    <cellStyle name="Normal 5 10 19 3 3" xfId="31204" xr:uid="{00000000-0005-0000-0000-0000E4790000}"/>
    <cellStyle name="Normal 5 10 19 3 4" xfId="31205" xr:uid="{00000000-0005-0000-0000-0000E5790000}"/>
    <cellStyle name="Normal 5 10 19 3 5" xfId="31206" xr:uid="{00000000-0005-0000-0000-0000E6790000}"/>
    <cellStyle name="Normal 5 10 19 3 6" xfId="31207" xr:uid="{00000000-0005-0000-0000-0000E7790000}"/>
    <cellStyle name="Normal 5 10 19 3 7" xfId="31208" xr:uid="{00000000-0005-0000-0000-0000E8790000}"/>
    <cellStyle name="Normal 5 10 19 3 8" xfId="31209" xr:uid="{00000000-0005-0000-0000-0000E9790000}"/>
    <cellStyle name="Normal 5 10 19 3 9" xfId="31210" xr:uid="{00000000-0005-0000-0000-0000EA790000}"/>
    <cellStyle name="Normal 5 10 19 4" xfId="31211" xr:uid="{00000000-0005-0000-0000-0000EB790000}"/>
    <cellStyle name="Normal 5 10 19 4 10" xfId="31212" xr:uid="{00000000-0005-0000-0000-0000EC790000}"/>
    <cellStyle name="Normal 5 10 19 4 2" xfId="31213" xr:uid="{00000000-0005-0000-0000-0000ED790000}"/>
    <cellStyle name="Normal 5 10 19 4 3" xfId="31214" xr:uid="{00000000-0005-0000-0000-0000EE790000}"/>
    <cellStyle name="Normal 5 10 19 4 4" xfId="31215" xr:uid="{00000000-0005-0000-0000-0000EF790000}"/>
    <cellStyle name="Normal 5 10 19 4 5" xfId="31216" xr:uid="{00000000-0005-0000-0000-0000F0790000}"/>
    <cellStyle name="Normal 5 10 19 4 6" xfId="31217" xr:uid="{00000000-0005-0000-0000-0000F1790000}"/>
    <cellStyle name="Normal 5 10 19 4 7" xfId="31218" xr:uid="{00000000-0005-0000-0000-0000F2790000}"/>
    <cellStyle name="Normal 5 10 19 4 8" xfId="31219" xr:uid="{00000000-0005-0000-0000-0000F3790000}"/>
    <cellStyle name="Normal 5 10 19 4 9" xfId="31220" xr:uid="{00000000-0005-0000-0000-0000F4790000}"/>
    <cellStyle name="Normal 5 10 19 5" xfId="31221" xr:uid="{00000000-0005-0000-0000-0000F5790000}"/>
    <cellStyle name="Normal 5 10 19 5 10" xfId="31222" xr:uid="{00000000-0005-0000-0000-0000F6790000}"/>
    <cellStyle name="Normal 5 10 19 5 2" xfId="31223" xr:uid="{00000000-0005-0000-0000-0000F7790000}"/>
    <cellStyle name="Normal 5 10 19 5 3" xfId="31224" xr:uid="{00000000-0005-0000-0000-0000F8790000}"/>
    <cellStyle name="Normal 5 10 19 5 4" xfId="31225" xr:uid="{00000000-0005-0000-0000-0000F9790000}"/>
    <cellStyle name="Normal 5 10 19 5 5" xfId="31226" xr:uid="{00000000-0005-0000-0000-0000FA790000}"/>
    <cellStyle name="Normal 5 10 19 5 6" xfId="31227" xr:uid="{00000000-0005-0000-0000-0000FB790000}"/>
    <cellStyle name="Normal 5 10 19 5 7" xfId="31228" xr:uid="{00000000-0005-0000-0000-0000FC790000}"/>
    <cellStyle name="Normal 5 10 19 5 8" xfId="31229" xr:uid="{00000000-0005-0000-0000-0000FD790000}"/>
    <cellStyle name="Normal 5 10 19 5 9" xfId="31230" xr:uid="{00000000-0005-0000-0000-0000FE790000}"/>
    <cellStyle name="Normal 5 10 19 6" xfId="31231" xr:uid="{00000000-0005-0000-0000-0000FF790000}"/>
    <cellStyle name="Normal 5 10 19 7" xfId="31232" xr:uid="{00000000-0005-0000-0000-0000007A0000}"/>
    <cellStyle name="Normal 5 10 19 8" xfId="31233" xr:uid="{00000000-0005-0000-0000-0000017A0000}"/>
    <cellStyle name="Normal 5 10 19 9" xfId="31234" xr:uid="{00000000-0005-0000-0000-0000027A0000}"/>
    <cellStyle name="Normal 5 10 2" xfId="31235" xr:uid="{00000000-0005-0000-0000-0000037A0000}"/>
    <cellStyle name="Normal 5 10 2 10" xfId="31236" xr:uid="{00000000-0005-0000-0000-0000047A0000}"/>
    <cellStyle name="Normal 5 10 2 10 10" xfId="31237" xr:uid="{00000000-0005-0000-0000-0000057A0000}"/>
    <cellStyle name="Normal 5 10 2 10 11" xfId="31238" xr:uid="{00000000-0005-0000-0000-0000067A0000}"/>
    <cellStyle name="Normal 5 10 2 10 12" xfId="31239" xr:uid="{00000000-0005-0000-0000-0000077A0000}"/>
    <cellStyle name="Normal 5 10 2 10 13" xfId="31240" xr:uid="{00000000-0005-0000-0000-0000087A0000}"/>
    <cellStyle name="Normal 5 10 2 10 14" xfId="31241" xr:uid="{00000000-0005-0000-0000-0000097A0000}"/>
    <cellStyle name="Normal 5 10 2 10 2" xfId="31242" xr:uid="{00000000-0005-0000-0000-00000A7A0000}"/>
    <cellStyle name="Normal 5 10 2 10 2 10" xfId="31243" xr:uid="{00000000-0005-0000-0000-00000B7A0000}"/>
    <cellStyle name="Normal 5 10 2 10 2 2" xfId="31244" xr:uid="{00000000-0005-0000-0000-00000C7A0000}"/>
    <cellStyle name="Normal 5 10 2 10 2 3" xfId="31245" xr:uid="{00000000-0005-0000-0000-00000D7A0000}"/>
    <cellStyle name="Normal 5 10 2 10 2 4" xfId="31246" xr:uid="{00000000-0005-0000-0000-00000E7A0000}"/>
    <cellStyle name="Normal 5 10 2 10 2 5" xfId="31247" xr:uid="{00000000-0005-0000-0000-00000F7A0000}"/>
    <cellStyle name="Normal 5 10 2 10 2 6" xfId="31248" xr:uid="{00000000-0005-0000-0000-0000107A0000}"/>
    <cellStyle name="Normal 5 10 2 10 2 7" xfId="31249" xr:uid="{00000000-0005-0000-0000-0000117A0000}"/>
    <cellStyle name="Normal 5 10 2 10 2 8" xfId="31250" xr:uid="{00000000-0005-0000-0000-0000127A0000}"/>
    <cellStyle name="Normal 5 10 2 10 2 9" xfId="31251" xr:uid="{00000000-0005-0000-0000-0000137A0000}"/>
    <cellStyle name="Normal 5 10 2 10 3" xfId="31252" xr:uid="{00000000-0005-0000-0000-0000147A0000}"/>
    <cellStyle name="Normal 5 10 2 10 3 10" xfId="31253" xr:uid="{00000000-0005-0000-0000-0000157A0000}"/>
    <cellStyle name="Normal 5 10 2 10 3 2" xfId="31254" xr:uid="{00000000-0005-0000-0000-0000167A0000}"/>
    <cellStyle name="Normal 5 10 2 10 3 3" xfId="31255" xr:uid="{00000000-0005-0000-0000-0000177A0000}"/>
    <cellStyle name="Normal 5 10 2 10 3 4" xfId="31256" xr:uid="{00000000-0005-0000-0000-0000187A0000}"/>
    <cellStyle name="Normal 5 10 2 10 3 5" xfId="31257" xr:uid="{00000000-0005-0000-0000-0000197A0000}"/>
    <cellStyle name="Normal 5 10 2 10 3 6" xfId="31258" xr:uid="{00000000-0005-0000-0000-00001A7A0000}"/>
    <cellStyle name="Normal 5 10 2 10 3 7" xfId="31259" xr:uid="{00000000-0005-0000-0000-00001B7A0000}"/>
    <cellStyle name="Normal 5 10 2 10 3 8" xfId="31260" xr:uid="{00000000-0005-0000-0000-00001C7A0000}"/>
    <cellStyle name="Normal 5 10 2 10 3 9" xfId="31261" xr:uid="{00000000-0005-0000-0000-00001D7A0000}"/>
    <cellStyle name="Normal 5 10 2 10 4" xfId="31262" xr:uid="{00000000-0005-0000-0000-00001E7A0000}"/>
    <cellStyle name="Normal 5 10 2 10 4 10" xfId="31263" xr:uid="{00000000-0005-0000-0000-00001F7A0000}"/>
    <cellStyle name="Normal 5 10 2 10 4 2" xfId="31264" xr:uid="{00000000-0005-0000-0000-0000207A0000}"/>
    <cellStyle name="Normal 5 10 2 10 4 3" xfId="31265" xr:uid="{00000000-0005-0000-0000-0000217A0000}"/>
    <cellStyle name="Normal 5 10 2 10 4 4" xfId="31266" xr:uid="{00000000-0005-0000-0000-0000227A0000}"/>
    <cellStyle name="Normal 5 10 2 10 4 5" xfId="31267" xr:uid="{00000000-0005-0000-0000-0000237A0000}"/>
    <cellStyle name="Normal 5 10 2 10 4 6" xfId="31268" xr:uid="{00000000-0005-0000-0000-0000247A0000}"/>
    <cellStyle name="Normal 5 10 2 10 4 7" xfId="31269" xr:uid="{00000000-0005-0000-0000-0000257A0000}"/>
    <cellStyle name="Normal 5 10 2 10 4 8" xfId="31270" xr:uid="{00000000-0005-0000-0000-0000267A0000}"/>
    <cellStyle name="Normal 5 10 2 10 4 9" xfId="31271" xr:uid="{00000000-0005-0000-0000-0000277A0000}"/>
    <cellStyle name="Normal 5 10 2 10 5" xfId="31272" xr:uid="{00000000-0005-0000-0000-0000287A0000}"/>
    <cellStyle name="Normal 5 10 2 10 5 10" xfId="31273" xr:uid="{00000000-0005-0000-0000-0000297A0000}"/>
    <cellStyle name="Normal 5 10 2 10 5 2" xfId="31274" xr:uid="{00000000-0005-0000-0000-00002A7A0000}"/>
    <cellStyle name="Normal 5 10 2 10 5 3" xfId="31275" xr:uid="{00000000-0005-0000-0000-00002B7A0000}"/>
    <cellStyle name="Normal 5 10 2 10 5 4" xfId="31276" xr:uid="{00000000-0005-0000-0000-00002C7A0000}"/>
    <cellStyle name="Normal 5 10 2 10 5 5" xfId="31277" xr:uid="{00000000-0005-0000-0000-00002D7A0000}"/>
    <cellStyle name="Normal 5 10 2 10 5 6" xfId="31278" xr:uid="{00000000-0005-0000-0000-00002E7A0000}"/>
    <cellStyle name="Normal 5 10 2 10 5 7" xfId="31279" xr:uid="{00000000-0005-0000-0000-00002F7A0000}"/>
    <cellStyle name="Normal 5 10 2 10 5 8" xfId="31280" xr:uid="{00000000-0005-0000-0000-0000307A0000}"/>
    <cellStyle name="Normal 5 10 2 10 5 9" xfId="31281" xr:uid="{00000000-0005-0000-0000-0000317A0000}"/>
    <cellStyle name="Normal 5 10 2 10 6" xfId="31282" xr:uid="{00000000-0005-0000-0000-0000327A0000}"/>
    <cellStyle name="Normal 5 10 2 10 7" xfId="31283" xr:uid="{00000000-0005-0000-0000-0000337A0000}"/>
    <cellStyle name="Normal 5 10 2 10 8" xfId="31284" xr:uid="{00000000-0005-0000-0000-0000347A0000}"/>
    <cellStyle name="Normal 5 10 2 10 9" xfId="31285" xr:uid="{00000000-0005-0000-0000-0000357A0000}"/>
    <cellStyle name="Normal 5 10 2 11" xfId="31286" xr:uid="{00000000-0005-0000-0000-0000367A0000}"/>
    <cellStyle name="Normal 5 10 2 11 10" xfId="31287" xr:uid="{00000000-0005-0000-0000-0000377A0000}"/>
    <cellStyle name="Normal 5 10 2 11 11" xfId="31288" xr:uid="{00000000-0005-0000-0000-0000387A0000}"/>
    <cellStyle name="Normal 5 10 2 11 12" xfId="31289" xr:uid="{00000000-0005-0000-0000-0000397A0000}"/>
    <cellStyle name="Normal 5 10 2 11 13" xfId="31290" xr:uid="{00000000-0005-0000-0000-00003A7A0000}"/>
    <cellStyle name="Normal 5 10 2 11 14" xfId="31291" xr:uid="{00000000-0005-0000-0000-00003B7A0000}"/>
    <cellStyle name="Normal 5 10 2 11 2" xfId="31292" xr:uid="{00000000-0005-0000-0000-00003C7A0000}"/>
    <cellStyle name="Normal 5 10 2 11 2 10" xfId="31293" xr:uid="{00000000-0005-0000-0000-00003D7A0000}"/>
    <cellStyle name="Normal 5 10 2 11 2 2" xfId="31294" xr:uid="{00000000-0005-0000-0000-00003E7A0000}"/>
    <cellStyle name="Normal 5 10 2 11 2 3" xfId="31295" xr:uid="{00000000-0005-0000-0000-00003F7A0000}"/>
    <cellStyle name="Normal 5 10 2 11 2 4" xfId="31296" xr:uid="{00000000-0005-0000-0000-0000407A0000}"/>
    <cellStyle name="Normal 5 10 2 11 2 5" xfId="31297" xr:uid="{00000000-0005-0000-0000-0000417A0000}"/>
    <cellStyle name="Normal 5 10 2 11 2 6" xfId="31298" xr:uid="{00000000-0005-0000-0000-0000427A0000}"/>
    <cellStyle name="Normal 5 10 2 11 2 7" xfId="31299" xr:uid="{00000000-0005-0000-0000-0000437A0000}"/>
    <cellStyle name="Normal 5 10 2 11 2 8" xfId="31300" xr:uid="{00000000-0005-0000-0000-0000447A0000}"/>
    <cellStyle name="Normal 5 10 2 11 2 9" xfId="31301" xr:uid="{00000000-0005-0000-0000-0000457A0000}"/>
    <cellStyle name="Normal 5 10 2 11 3" xfId="31302" xr:uid="{00000000-0005-0000-0000-0000467A0000}"/>
    <cellStyle name="Normal 5 10 2 11 3 10" xfId="31303" xr:uid="{00000000-0005-0000-0000-0000477A0000}"/>
    <cellStyle name="Normal 5 10 2 11 3 2" xfId="31304" xr:uid="{00000000-0005-0000-0000-0000487A0000}"/>
    <cellStyle name="Normal 5 10 2 11 3 3" xfId="31305" xr:uid="{00000000-0005-0000-0000-0000497A0000}"/>
    <cellStyle name="Normal 5 10 2 11 3 4" xfId="31306" xr:uid="{00000000-0005-0000-0000-00004A7A0000}"/>
    <cellStyle name="Normal 5 10 2 11 3 5" xfId="31307" xr:uid="{00000000-0005-0000-0000-00004B7A0000}"/>
    <cellStyle name="Normal 5 10 2 11 3 6" xfId="31308" xr:uid="{00000000-0005-0000-0000-00004C7A0000}"/>
    <cellStyle name="Normal 5 10 2 11 3 7" xfId="31309" xr:uid="{00000000-0005-0000-0000-00004D7A0000}"/>
    <cellStyle name="Normal 5 10 2 11 3 8" xfId="31310" xr:uid="{00000000-0005-0000-0000-00004E7A0000}"/>
    <cellStyle name="Normal 5 10 2 11 3 9" xfId="31311" xr:uid="{00000000-0005-0000-0000-00004F7A0000}"/>
    <cellStyle name="Normal 5 10 2 11 4" xfId="31312" xr:uid="{00000000-0005-0000-0000-0000507A0000}"/>
    <cellStyle name="Normal 5 10 2 11 4 10" xfId="31313" xr:uid="{00000000-0005-0000-0000-0000517A0000}"/>
    <cellStyle name="Normal 5 10 2 11 4 2" xfId="31314" xr:uid="{00000000-0005-0000-0000-0000527A0000}"/>
    <cellStyle name="Normal 5 10 2 11 4 3" xfId="31315" xr:uid="{00000000-0005-0000-0000-0000537A0000}"/>
    <cellStyle name="Normal 5 10 2 11 4 4" xfId="31316" xr:uid="{00000000-0005-0000-0000-0000547A0000}"/>
    <cellStyle name="Normal 5 10 2 11 4 5" xfId="31317" xr:uid="{00000000-0005-0000-0000-0000557A0000}"/>
    <cellStyle name="Normal 5 10 2 11 4 6" xfId="31318" xr:uid="{00000000-0005-0000-0000-0000567A0000}"/>
    <cellStyle name="Normal 5 10 2 11 4 7" xfId="31319" xr:uid="{00000000-0005-0000-0000-0000577A0000}"/>
    <cellStyle name="Normal 5 10 2 11 4 8" xfId="31320" xr:uid="{00000000-0005-0000-0000-0000587A0000}"/>
    <cellStyle name="Normal 5 10 2 11 4 9" xfId="31321" xr:uid="{00000000-0005-0000-0000-0000597A0000}"/>
    <cellStyle name="Normal 5 10 2 11 5" xfId="31322" xr:uid="{00000000-0005-0000-0000-00005A7A0000}"/>
    <cellStyle name="Normal 5 10 2 11 5 10" xfId="31323" xr:uid="{00000000-0005-0000-0000-00005B7A0000}"/>
    <cellStyle name="Normal 5 10 2 11 5 2" xfId="31324" xr:uid="{00000000-0005-0000-0000-00005C7A0000}"/>
    <cellStyle name="Normal 5 10 2 11 5 3" xfId="31325" xr:uid="{00000000-0005-0000-0000-00005D7A0000}"/>
    <cellStyle name="Normal 5 10 2 11 5 4" xfId="31326" xr:uid="{00000000-0005-0000-0000-00005E7A0000}"/>
    <cellStyle name="Normal 5 10 2 11 5 5" xfId="31327" xr:uid="{00000000-0005-0000-0000-00005F7A0000}"/>
    <cellStyle name="Normal 5 10 2 11 5 6" xfId="31328" xr:uid="{00000000-0005-0000-0000-0000607A0000}"/>
    <cellStyle name="Normal 5 10 2 11 5 7" xfId="31329" xr:uid="{00000000-0005-0000-0000-0000617A0000}"/>
    <cellStyle name="Normal 5 10 2 11 5 8" xfId="31330" xr:uid="{00000000-0005-0000-0000-0000627A0000}"/>
    <cellStyle name="Normal 5 10 2 11 5 9" xfId="31331" xr:uid="{00000000-0005-0000-0000-0000637A0000}"/>
    <cellStyle name="Normal 5 10 2 11 6" xfId="31332" xr:uid="{00000000-0005-0000-0000-0000647A0000}"/>
    <cellStyle name="Normal 5 10 2 11 7" xfId="31333" xr:uid="{00000000-0005-0000-0000-0000657A0000}"/>
    <cellStyle name="Normal 5 10 2 11 8" xfId="31334" xr:uid="{00000000-0005-0000-0000-0000667A0000}"/>
    <cellStyle name="Normal 5 10 2 11 9" xfId="31335" xr:uid="{00000000-0005-0000-0000-0000677A0000}"/>
    <cellStyle name="Normal 5 10 2 12" xfId="31336" xr:uid="{00000000-0005-0000-0000-0000687A0000}"/>
    <cellStyle name="Normal 5 10 2 12 10" xfId="31337" xr:uid="{00000000-0005-0000-0000-0000697A0000}"/>
    <cellStyle name="Normal 5 10 2 12 11" xfId="31338" xr:uid="{00000000-0005-0000-0000-00006A7A0000}"/>
    <cellStyle name="Normal 5 10 2 12 12" xfId="31339" xr:uid="{00000000-0005-0000-0000-00006B7A0000}"/>
    <cellStyle name="Normal 5 10 2 12 13" xfId="31340" xr:uid="{00000000-0005-0000-0000-00006C7A0000}"/>
    <cellStyle name="Normal 5 10 2 12 14" xfId="31341" xr:uid="{00000000-0005-0000-0000-00006D7A0000}"/>
    <cellStyle name="Normal 5 10 2 12 2" xfId="31342" xr:uid="{00000000-0005-0000-0000-00006E7A0000}"/>
    <cellStyle name="Normal 5 10 2 12 2 10" xfId="31343" xr:uid="{00000000-0005-0000-0000-00006F7A0000}"/>
    <cellStyle name="Normal 5 10 2 12 2 2" xfId="31344" xr:uid="{00000000-0005-0000-0000-0000707A0000}"/>
    <cellStyle name="Normal 5 10 2 12 2 3" xfId="31345" xr:uid="{00000000-0005-0000-0000-0000717A0000}"/>
    <cellStyle name="Normal 5 10 2 12 2 4" xfId="31346" xr:uid="{00000000-0005-0000-0000-0000727A0000}"/>
    <cellStyle name="Normal 5 10 2 12 2 5" xfId="31347" xr:uid="{00000000-0005-0000-0000-0000737A0000}"/>
    <cellStyle name="Normal 5 10 2 12 2 6" xfId="31348" xr:uid="{00000000-0005-0000-0000-0000747A0000}"/>
    <cellStyle name="Normal 5 10 2 12 2 7" xfId="31349" xr:uid="{00000000-0005-0000-0000-0000757A0000}"/>
    <cellStyle name="Normal 5 10 2 12 2 8" xfId="31350" xr:uid="{00000000-0005-0000-0000-0000767A0000}"/>
    <cellStyle name="Normal 5 10 2 12 2 9" xfId="31351" xr:uid="{00000000-0005-0000-0000-0000777A0000}"/>
    <cellStyle name="Normal 5 10 2 12 3" xfId="31352" xr:uid="{00000000-0005-0000-0000-0000787A0000}"/>
    <cellStyle name="Normal 5 10 2 12 3 10" xfId="31353" xr:uid="{00000000-0005-0000-0000-0000797A0000}"/>
    <cellStyle name="Normal 5 10 2 12 3 2" xfId="31354" xr:uid="{00000000-0005-0000-0000-00007A7A0000}"/>
    <cellStyle name="Normal 5 10 2 12 3 3" xfId="31355" xr:uid="{00000000-0005-0000-0000-00007B7A0000}"/>
    <cellStyle name="Normal 5 10 2 12 3 4" xfId="31356" xr:uid="{00000000-0005-0000-0000-00007C7A0000}"/>
    <cellStyle name="Normal 5 10 2 12 3 5" xfId="31357" xr:uid="{00000000-0005-0000-0000-00007D7A0000}"/>
    <cellStyle name="Normal 5 10 2 12 3 6" xfId="31358" xr:uid="{00000000-0005-0000-0000-00007E7A0000}"/>
    <cellStyle name="Normal 5 10 2 12 3 7" xfId="31359" xr:uid="{00000000-0005-0000-0000-00007F7A0000}"/>
    <cellStyle name="Normal 5 10 2 12 3 8" xfId="31360" xr:uid="{00000000-0005-0000-0000-0000807A0000}"/>
    <cellStyle name="Normal 5 10 2 12 3 9" xfId="31361" xr:uid="{00000000-0005-0000-0000-0000817A0000}"/>
    <cellStyle name="Normal 5 10 2 12 4" xfId="31362" xr:uid="{00000000-0005-0000-0000-0000827A0000}"/>
    <cellStyle name="Normal 5 10 2 12 4 10" xfId="31363" xr:uid="{00000000-0005-0000-0000-0000837A0000}"/>
    <cellStyle name="Normal 5 10 2 12 4 2" xfId="31364" xr:uid="{00000000-0005-0000-0000-0000847A0000}"/>
    <cellStyle name="Normal 5 10 2 12 4 3" xfId="31365" xr:uid="{00000000-0005-0000-0000-0000857A0000}"/>
    <cellStyle name="Normal 5 10 2 12 4 4" xfId="31366" xr:uid="{00000000-0005-0000-0000-0000867A0000}"/>
    <cellStyle name="Normal 5 10 2 12 4 5" xfId="31367" xr:uid="{00000000-0005-0000-0000-0000877A0000}"/>
    <cellStyle name="Normal 5 10 2 12 4 6" xfId="31368" xr:uid="{00000000-0005-0000-0000-0000887A0000}"/>
    <cellStyle name="Normal 5 10 2 12 4 7" xfId="31369" xr:uid="{00000000-0005-0000-0000-0000897A0000}"/>
    <cellStyle name="Normal 5 10 2 12 4 8" xfId="31370" xr:uid="{00000000-0005-0000-0000-00008A7A0000}"/>
    <cellStyle name="Normal 5 10 2 12 4 9" xfId="31371" xr:uid="{00000000-0005-0000-0000-00008B7A0000}"/>
    <cellStyle name="Normal 5 10 2 12 5" xfId="31372" xr:uid="{00000000-0005-0000-0000-00008C7A0000}"/>
    <cellStyle name="Normal 5 10 2 12 5 10" xfId="31373" xr:uid="{00000000-0005-0000-0000-00008D7A0000}"/>
    <cellStyle name="Normal 5 10 2 12 5 2" xfId="31374" xr:uid="{00000000-0005-0000-0000-00008E7A0000}"/>
    <cellStyle name="Normal 5 10 2 12 5 3" xfId="31375" xr:uid="{00000000-0005-0000-0000-00008F7A0000}"/>
    <cellStyle name="Normal 5 10 2 12 5 4" xfId="31376" xr:uid="{00000000-0005-0000-0000-0000907A0000}"/>
    <cellStyle name="Normal 5 10 2 12 5 5" xfId="31377" xr:uid="{00000000-0005-0000-0000-0000917A0000}"/>
    <cellStyle name="Normal 5 10 2 12 5 6" xfId="31378" xr:uid="{00000000-0005-0000-0000-0000927A0000}"/>
    <cellStyle name="Normal 5 10 2 12 5 7" xfId="31379" xr:uid="{00000000-0005-0000-0000-0000937A0000}"/>
    <cellStyle name="Normal 5 10 2 12 5 8" xfId="31380" xr:uid="{00000000-0005-0000-0000-0000947A0000}"/>
    <cellStyle name="Normal 5 10 2 12 5 9" xfId="31381" xr:uid="{00000000-0005-0000-0000-0000957A0000}"/>
    <cellStyle name="Normal 5 10 2 12 6" xfId="31382" xr:uid="{00000000-0005-0000-0000-0000967A0000}"/>
    <cellStyle name="Normal 5 10 2 12 7" xfId="31383" xr:uid="{00000000-0005-0000-0000-0000977A0000}"/>
    <cellStyle name="Normal 5 10 2 12 8" xfId="31384" xr:uid="{00000000-0005-0000-0000-0000987A0000}"/>
    <cellStyle name="Normal 5 10 2 12 9" xfId="31385" xr:uid="{00000000-0005-0000-0000-0000997A0000}"/>
    <cellStyle name="Normal 5 10 2 13" xfId="31386" xr:uid="{00000000-0005-0000-0000-00009A7A0000}"/>
    <cellStyle name="Normal 5 10 2 13 10" xfId="31387" xr:uid="{00000000-0005-0000-0000-00009B7A0000}"/>
    <cellStyle name="Normal 5 10 2 13 11" xfId="31388" xr:uid="{00000000-0005-0000-0000-00009C7A0000}"/>
    <cellStyle name="Normal 5 10 2 13 12" xfId="31389" xr:uid="{00000000-0005-0000-0000-00009D7A0000}"/>
    <cellStyle name="Normal 5 10 2 13 13" xfId="31390" xr:uid="{00000000-0005-0000-0000-00009E7A0000}"/>
    <cellStyle name="Normal 5 10 2 13 14" xfId="31391" xr:uid="{00000000-0005-0000-0000-00009F7A0000}"/>
    <cellStyle name="Normal 5 10 2 13 2" xfId="31392" xr:uid="{00000000-0005-0000-0000-0000A07A0000}"/>
    <cellStyle name="Normal 5 10 2 13 2 10" xfId="31393" xr:uid="{00000000-0005-0000-0000-0000A17A0000}"/>
    <cellStyle name="Normal 5 10 2 13 2 2" xfId="31394" xr:uid="{00000000-0005-0000-0000-0000A27A0000}"/>
    <cellStyle name="Normal 5 10 2 13 2 3" xfId="31395" xr:uid="{00000000-0005-0000-0000-0000A37A0000}"/>
    <cellStyle name="Normal 5 10 2 13 2 4" xfId="31396" xr:uid="{00000000-0005-0000-0000-0000A47A0000}"/>
    <cellStyle name="Normal 5 10 2 13 2 5" xfId="31397" xr:uid="{00000000-0005-0000-0000-0000A57A0000}"/>
    <cellStyle name="Normal 5 10 2 13 2 6" xfId="31398" xr:uid="{00000000-0005-0000-0000-0000A67A0000}"/>
    <cellStyle name="Normal 5 10 2 13 2 7" xfId="31399" xr:uid="{00000000-0005-0000-0000-0000A77A0000}"/>
    <cellStyle name="Normal 5 10 2 13 2 8" xfId="31400" xr:uid="{00000000-0005-0000-0000-0000A87A0000}"/>
    <cellStyle name="Normal 5 10 2 13 2 9" xfId="31401" xr:uid="{00000000-0005-0000-0000-0000A97A0000}"/>
    <cellStyle name="Normal 5 10 2 13 3" xfId="31402" xr:uid="{00000000-0005-0000-0000-0000AA7A0000}"/>
    <cellStyle name="Normal 5 10 2 13 3 10" xfId="31403" xr:uid="{00000000-0005-0000-0000-0000AB7A0000}"/>
    <cellStyle name="Normal 5 10 2 13 3 2" xfId="31404" xr:uid="{00000000-0005-0000-0000-0000AC7A0000}"/>
    <cellStyle name="Normal 5 10 2 13 3 3" xfId="31405" xr:uid="{00000000-0005-0000-0000-0000AD7A0000}"/>
    <cellStyle name="Normal 5 10 2 13 3 4" xfId="31406" xr:uid="{00000000-0005-0000-0000-0000AE7A0000}"/>
    <cellStyle name="Normal 5 10 2 13 3 5" xfId="31407" xr:uid="{00000000-0005-0000-0000-0000AF7A0000}"/>
    <cellStyle name="Normal 5 10 2 13 3 6" xfId="31408" xr:uid="{00000000-0005-0000-0000-0000B07A0000}"/>
    <cellStyle name="Normal 5 10 2 13 3 7" xfId="31409" xr:uid="{00000000-0005-0000-0000-0000B17A0000}"/>
    <cellStyle name="Normal 5 10 2 13 3 8" xfId="31410" xr:uid="{00000000-0005-0000-0000-0000B27A0000}"/>
    <cellStyle name="Normal 5 10 2 13 3 9" xfId="31411" xr:uid="{00000000-0005-0000-0000-0000B37A0000}"/>
    <cellStyle name="Normal 5 10 2 13 4" xfId="31412" xr:uid="{00000000-0005-0000-0000-0000B47A0000}"/>
    <cellStyle name="Normal 5 10 2 13 4 10" xfId="31413" xr:uid="{00000000-0005-0000-0000-0000B57A0000}"/>
    <cellStyle name="Normal 5 10 2 13 4 2" xfId="31414" xr:uid="{00000000-0005-0000-0000-0000B67A0000}"/>
    <cellStyle name="Normal 5 10 2 13 4 3" xfId="31415" xr:uid="{00000000-0005-0000-0000-0000B77A0000}"/>
    <cellStyle name="Normal 5 10 2 13 4 4" xfId="31416" xr:uid="{00000000-0005-0000-0000-0000B87A0000}"/>
    <cellStyle name="Normal 5 10 2 13 4 5" xfId="31417" xr:uid="{00000000-0005-0000-0000-0000B97A0000}"/>
    <cellStyle name="Normal 5 10 2 13 4 6" xfId="31418" xr:uid="{00000000-0005-0000-0000-0000BA7A0000}"/>
    <cellStyle name="Normal 5 10 2 13 4 7" xfId="31419" xr:uid="{00000000-0005-0000-0000-0000BB7A0000}"/>
    <cellStyle name="Normal 5 10 2 13 4 8" xfId="31420" xr:uid="{00000000-0005-0000-0000-0000BC7A0000}"/>
    <cellStyle name="Normal 5 10 2 13 4 9" xfId="31421" xr:uid="{00000000-0005-0000-0000-0000BD7A0000}"/>
    <cellStyle name="Normal 5 10 2 13 5" xfId="31422" xr:uid="{00000000-0005-0000-0000-0000BE7A0000}"/>
    <cellStyle name="Normal 5 10 2 13 5 10" xfId="31423" xr:uid="{00000000-0005-0000-0000-0000BF7A0000}"/>
    <cellStyle name="Normal 5 10 2 13 5 2" xfId="31424" xr:uid="{00000000-0005-0000-0000-0000C07A0000}"/>
    <cellStyle name="Normal 5 10 2 13 5 3" xfId="31425" xr:uid="{00000000-0005-0000-0000-0000C17A0000}"/>
    <cellStyle name="Normal 5 10 2 13 5 4" xfId="31426" xr:uid="{00000000-0005-0000-0000-0000C27A0000}"/>
    <cellStyle name="Normal 5 10 2 13 5 5" xfId="31427" xr:uid="{00000000-0005-0000-0000-0000C37A0000}"/>
    <cellStyle name="Normal 5 10 2 13 5 6" xfId="31428" xr:uid="{00000000-0005-0000-0000-0000C47A0000}"/>
    <cellStyle name="Normal 5 10 2 13 5 7" xfId="31429" xr:uid="{00000000-0005-0000-0000-0000C57A0000}"/>
    <cellStyle name="Normal 5 10 2 13 5 8" xfId="31430" xr:uid="{00000000-0005-0000-0000-0000C67A0000}"/>
    <cellStyle name="Normal 5 10 2 13 5 9" xfId="31431" xr:uid="{00000000-0005-0000-0000-0000C77A0000}"/>
    <cellStyle name="Normal 5 10 2 13 6" xfId="31432" xr:uid="{00000000-0005-0000-0000-0000C87A0000}"/>
    <cellStyle name="Normal 5 10 2 13 7" xfId="31433" xr:uid="{00000000-0005-0000-0000-0000C97A0000}"/>
    <cellStyle name="Normal 5 10 2 13 8" xfId="31434" xr:uid="{00000000-0005-0000-0000-0000CA7A0000}"/>
    <cellStyle name="Normal 5 10 2 13 9" xfId="31435" xr:uid="{00000000-0005-0000-0000-0000CB7A0000}"/>
    <cellStyle name="Normal 5 10 2 14" xfId="31436" xr:uid="{00000000-0005-0000-0000-0000CC7A0000}"/>
    <cellStyle name="Normal 5 10 2 14 10" xfId="31437" xr:uid="{00000000-0005-0000-0000-0000CD7A0000}"/>
    <cellStyle name="Normal 5 10 2 14 11" xfId="31438" xr:uid="{00000000-0005-0000-0000-0000CE7A0000}"/>
    <cellStyle name="Normal 5 10 2 14 12" xfId="31439" xr:uid="{00000000-0005-0000-0000-0000CF7A0000}"/>
    <cellStyle name="Normal 5 10 2 14 13" xfId="31440" xr:uid="{00000000-0005-0000-0000-0000D07A0000}"/>
    <cellStyle name="Normal 5 10 2 14 14" xfId="31441" xr:uid="{00000000-0005-0000-0000-0000D17A0000}"/>
    <cellStyle name="Normal 5 10 2 14 2" xfId="31442" xr:uid="{00000000-0005-0000-0000-0000D27A0000}"/>
    <cellStyle name="Normal 5 10 2 14 2 10" xfId="31443" xr:uid="{00000000-0005-0000-0000-0000D37A0000}"/>
    <cellStyle name="Normal 5 10 2 14 2 2" xfId="31444" xr:uid="{00000000-0005-0000-0000-0000D47A0000}"/>
    <cellStyle name="Normal 5 10 2 14 2 3" xfId="31445" xr:uid="{00000000-0005-0000-0000-0000D57A0000}"/>
    <cellStyle name="Normal 5 10 2 14 2 4" xfId="31446" xr:uid="{00000000-0005-0000-0000-0000D67A0000}"/>
    <cellStyle name="Normal 5 10 2 14 2 5" xfId="31447" xr:uid="{00000000-0005-0000-0000-0000D77A0000}"/>
    <cellStyle name="Normal 5 10 2 14 2 6" xfId="31448" xr:uid="{00000000-0005-0000-0000-0000D87A0000}"/>
    <cellStyle name="Normal 5 10 2 14 2 7" xfId="31449" xr:uid="{00000000-0005-0000-0000-0000D97A0000}"/>
    <cellStyle name="Normal 5 10 2 14 2 8" xfId="31450" xr:uid="{00000000-0005-0000-0000-0000DA7A0000}"/>
    <cellStyle name="Normal 5 10 2 14 2 9" xfId="31451" xr:uid="{00000000-0005-0000-0000-0000DB7A0000}"/>
    <cellStyle name="Normal 5 10 2 14 3" xfId="31452" xr:uid="{00000000-0005-0000-0000-0000DC7A0000}"/>
    <cellStyle name="Normal 5 10 2 14 3 10" xfId="31453" xr:uid="{00000000-0005-0000-0000-0000DD7A0000}"/>
    <cellStyle name="Normal 5 10 2 14 3 2" xfId="31454" xr:uid="{00000000-0005-0000-0000-0000DE7A0000}"/>
    <cellStyle name="Normal 5 10 2 14 3 3" xfId="31455" xr:uid="{00000000-0005-0000-0000-0000DF7A0000}"/>
    <cellStyle name="Normal 5 10 2 14 3 4" xfId="31456" xr:uid="{00000000-0005-0000-0000-0000E07A0000}"/>
    <cellStyle name="Normal 5 10 2 14 3 5" xfId="31457" xr:uid="{00000000-0005-0000-0000-0000E17A0000}"/>
    <cellStyle name="Normal 5 10 2 14 3 6" xfId="31458" xr:uid="{00000000-0005-0000-0000-0000E27A0000}"/>
    <cellStyle name="Normal 5 10 2 14 3 7" xfId="31459" xr:uid="{00000000-0005-0000-0000-0000E37A0000}"/>
    <cellStyle name="Normal 5 10 2 14 3 8" xfId="31460" xr:uid="{00000000-0005-0000-0000-0000E47A0000}"/>
    <cellStyle name="Normal 5 10 2 14 3 9" xfId="31461" xr:uid="{00000000-0005-0000-0000-0000E57A0000}"/>
    <cellStyle name="Normal 5 10 2 14 4" xfId="31462" xr:uid="{00000000-0005-0000-0000-0000E67A0000}"/>
    <cellStyle name="Normal 5 10 2 14 4 10" xfId="31463" xr:uid="{00000000-0005-0000-0000-0000E77A0000}"/>
    <cellStyle name="Normal 5 10 2 14 4 2" xfId="31464" xr:uid="{00000000-0005-0000-0000-0000E87A0000}"/>
    <cellStyle name="Normal 5 10 2 14 4 3" xfId="31465" xr:uid="{00000000-0005-0000-0000-0000E97A0000}"/>
    <cellStyle name="Normal 5 10 2 14 4 4" xfId="31466" xr:uid="{00000000-0005-0000-0000-0000EA7A0000}"/>
    <cellStyle name="Normal 5 10 2 14 4 5" xfId="31467" xr:uid="{00000000-0005-0000-0000-0000EB7A0000}"/>
    <cellStyle name="Normal 5 10 2 14 4 6" xfId="31468" xr:uid="{00000000-0005-0000-0000-0000EC7A0000}"/>
    <cellStyle name="Normal 5 10 2 14 4 7" xfId="31469" xr:uid="{00000000-0005-0000-0000-0000ED7A0000}"/>
    <cellStyle name="Normal 5 10 2 14 4 8" xfId="31470" xr:uid="{00000000-0005-0000-0000-0000EE7A0000}"/>
    <cellStyle name="Normal 5 10 2 14 4 9" xfId="31471" xr:uid="{00000000-0005-0000-0000-0000EF7A0000}"/>
    <cellStyle name="Normal 5 10 2 14 5" xfId="31472" xr:uid="{00000000-0005-0000-0000-0000F07A0000}"/>
    <cellStyle name="Normal 5 10 2 14 5 10" xfId="31473" xr:uid="{00000000-0005-0000-0000-0000F17A0000}"/>
    <cellStyle name="Normal 5 10 2 14 5 2" xfId="31474" xr:uid="{00000000-0005-0000-0000-0000F27A0000}"/>
    <cellStyle name="Normal 5 10 2 14 5 3" xfId="31475" xr:uid="{00000000-0005-0000-0000-0000F37A0000}"/>
    <cellStyle name="Normal 5 10 2 14 5 4" xfId="31476" xr:uid="{00000000-0005-0000-0000-0000F47A0000}"/>
    <cellStyle name="Normal 5 10 2 14 5 5" xfId="31477" xr:uid="{00000000-0005-0000-0000-0000F57A0000}"/>
    <cellStyle name="Normal 5 10 2 14 5 6" xfId="31478" xr:uid="{00000000-0005-0000-0000-0000F67A0000}"/>
    <cellStyle name="Normal 5 10 2 14 5 7" xfId="31479" xr:uid="{00000000-0005-0000-0000-0000F77A0000}"/>
    <cellStyle name="Normal 5 10 2 14 5 8" xfId="31480" xr:uid="{00000000-0005-0000-0000-0000F87A0000}"/>
    <cellStyle name="Normal 5 10 2 14 5 9" xfId="31481" xr:uid="{00000000-0005-0000-0000-0000F97A0000}"/>
    <cellStyle name="Normal 5 10 2 14 6" xfId="31482" xr:uid="{00000000-0005-0000-0000-0000FA7A0000}"/>
    <cellStyle name="Normal 5 10 2 14 7" xfId="31483" xr:uid="{00000000-0005-0000-0000-0000FB7A0000}"/>
    <cellStyle name="Normal 5 10 2 14 8" xfId="31484" xr:uid="{00000000-0005-0000-0000-0000FC7A0000}"/>
    <cellStyle name="Normal 5 10 2 14 9" xfId="31485" xr:uid="{00000000-0005-0000-0000-0000FD7A0000}"/>
    <cellStyle name="Normal 5 10 2 15" xfId="31486" xr:uid="{00000000-0005-0000-0000-0000FE7A0000}"/>
    <cellStyle name="Normal 5 10 2 15 10" xfId="31487" xr:uid="{00000000-0005-0000-0000-0000FF7A0000}"/>
    <cellStyle name="Normal 5 10 2 15 11" xfId="31488" xr:uid="{00000000-0005-0000-0000-0000007B0000}"/>
    <cellStyle name="Normal 5 10 2 15 12" xfId="31489" xr:uid="{00000000-0005-0000-0000-0000017B0000}"/>
    <cellStyle name="Normal 5 10 2 15 13" xfId="31490" xr:uid="{00000000-0005-0000-0000-0000027B0000}"/>
    <cellStyle name="Normal 5 10 2 15 14" xfId="31491" xr:uid="{00000000-0005-0000-0000-0000037B0000}"/>
    <cellStyle name="Normal 5 10 2 15 2" xfId="31492" xr:uid="{00000000-0005-0000-0000-0000047B0000}"/>
    <cellStyle name="Normal 5 10 2 15 2 10" xfId="31493" xr:uid="{00000000-0005-0000-0000-0000057B0000}"/>
    <cellStyle name="Normal 5 10 2 15 2 2" xfId="31494" xr:uid="{00000000-0005-0000-0000-0000067B0000}"/>
    <cellStyle name="Normal 5 10 2 15 2 3" xfId="31495" xr:uid="{00000000-0005-0000-0000-0000077B0000}"/>
    <cellStyle name="Normal 5 10 2 15 2 4" xfId="31496" xr:uid="{00000000-0005-0000-0000-0000087B0000}"/>
    <cellStyle name="Normal 5 10 2 15 2 5" xfId="31497" xr:uid="{00000000-0005-0000-0000-0000097B0000}"/>
    <cellStyle name="Normal 5 10 2 15 2 6" xfId="31498" xr:uid="{00000000-0005-0000-0000-00000A7B0000}"/>
    <cellStyle name="Normal 5 10 2 15 2 7" xfId="31499" xr:uid="{00000000-0005-0000-0000-00000B7B0000}"/>
    <cellStyle name="Normal 5 10 2 15 2 8" xfId="31500" xr:uid="{00000000-0005-0000-0000-00000C7B0000}"/>
    <cellStyle name="Normal 5 10 2 15 2 9" xfId="31501" xr:uid="{00000000-0005-0000-0000-00000D7B0000}"/>
    <cellStyle name="Normal 5 10 2 15 3" xfId="31502" xr:uid="{00000000-0005-0000-0000-00000E7B0000}"/>
    <cellStyle name="Normal 5 10 2 15 3 10" xfId="31503" xr:uid="{00000000-0005-0000-0000-00000F7B0000}"/>
    <cellStyle name="Normal 5 10 2 15 3 2" xfId="31504" xr:uid="{00000000-0005-0000-0000-0000107B0000}"/>
    <cellStyle name="Normal 5 10 2 15 3 3" xfId="31505" xr:uid="{00000000-0005-0000-0000-0000117B0000}"/>
    <cellStyle name="Normal 5 10 2 15 3 4" xfId="31506" xr:uid="{00000000-0005-0000-0000-0000127B0000}"/>
    <cellStyle name="Normal 5 10 2 15 3 5" xfId="31507" xr:uid="{00000000-0005-0000-0000-0000137B0000}"/>
    <cellStyle name="Normal 5 10 2 15 3 6" xfId="31508" xr:uid="{00000000-0005-0000-0000-0000147B0000}"/>
    <cellStyle name="Normal 5 10 2 15 3 7" xfId="31509" xr:uid="{00000000-0005-0000-0000-0000157B0000}"/>
    <cellStyle name="Normal 5 10 2 15 3 8" xfId="31510" xr:uid="{00000000-0005-0000-0000-0000167B0000}"/>
    <cellStyle name="Normal 5 10 2 15 3 9" xfId="31511" xr:uid="{00000000-0005-0000-0000-0000177B0000}"/>
    <cellStyle name="Normal 5 10 2 15 4" xfId="31512" xr:uid="{00000000-0005-0000-0000-0000187B0000}"/>
    <cellStyle name="Normal 5 10 2 15 4 10" xfId="31513" xr:uid="{00000000-0005-0000-0000-0000197B0000}"/>
    <cellStyle name="Normal 5 10 2 15 4 2" xfId="31514" xr:uid="{00000000-0005-0000-0000-00001A7B0000}"/>
    <cellStyle name="Normal 5 10 2 15 4 3" xfId="31515" xr:uid="{00000000-0005-0000-0000-00001B7B0000}"/>
    <cellStyle name="Normal 5 10 2 15 4 4" xfId="31516" xr:uid="{00000000-0005-0000-0000-00001C7B0000}"/>
    <cellStyle name="Normal 5 10 2 15 4 5" xfId="31517" xr:uid="{00000000-0005-0000-0000-00001D7B0000}"/>
    <cellStyle name="Normal 5 10 2 15 4 6" xfId="31518" xr:uid="{00000000-0005-0000-0000-00001E7B0000}"/>
    <cellStyle name="Normal 5 10 2 15 4 7" xfId="31519" xr:uid="{00000000-0005-0000-0000-00001F7B0000}"/>
    <cellStyle name="Normal 5 10 2 15 4 8" xfId="31520" xr:uid="{00000000-0005-0000-0000-0000207B0000}"/>
    <cellStyle name="Normal 5 10 2 15 4 9" xfId="31521" xr:uid="{00000000-0005-0000-0000-0000217B0000}"/>
    <cellStyle name="Normal 5 10 2 15 5" xfId="31522" xr:uid="{00000000-0005-0000-0000-0000227B0000}"/>
    <cellStyle name="Normal 5 10 2 15 5 10" xfId="31523" xr:uid="{00000000-0005-0000-0000-0000237B0000}"/>
    <cellStyle name="Normal 5 10 2 15 5 2" xfId="31524" xr:uid="{00000000-0005-0000-0000-0000247B0000}"/>
    <cellStyle name="Normal 5 10 2 15 5 3" xfId="31525" xr:uid="{00000000-0005-0000-0000-0000257B0000}"/>
    <cellStyle name="Normal 5 10 2 15 5 4" xfId="31526" xr:uid="{00000000-0005-0000-0000-0000267B0000}"/>
    <cellStyle name="Normal 5 10 2 15 5 5" xfId="31527" xr:uid="{00000000-0005-0000-0000-0000277B0000}"/>
    <cellStyle name="Normal 5 10 2 15 5 6" xfId="31528" xr:uid="{00000000-0005-0000-0000-0000287B0000}"/>
    <cellStyle name="Normal 5 10 2 15 5 7" xfId="31529" xr:uid="{00000000-0005-0000-0000-0000297B0000}"/>
    <cellStyle name="Normal 5 10 2 15 5 8" xfId="31530" xr:uid="{00000000-0005-0000-0000-00002A7B0000}"/>
    <cellStyle name="Normal 5 10 2 15 5 9" xfId="31531" xr:uid="{00000000-0005-0000-0000-00002B7B0000}"/>
    <cellStyle name="Normal 5 10 2 15 6" xfId="31532" xr:uid="{00000000-0005-0000-0000-00002C7B0000}"/>
    <cellStyle name="Normal 5 10 2 15 7" xfId="31533" xr:uid="{00000000-0005-0000-0000-00002D7B0000}"/>
    <cellStyle name="Normal 5 10 2 15 8" xfId="31534" xr:uid="{00000000-0005-0000-0000-00002E7B0000}"/>
    <cellStyle name="Normal 5 10 2 15 9" xfId="31535" xr:uid="{00000000-0005-0000-0000-00002F7B0000}"/>
    <cellStyle name="Normal 5 10 2 16" xfId="31536" xr:uid="{00000000-0005-0000-0000-0000307B0000}"/>
    <cellStyle name="Normal 5 10 2 16 10" xfId="31537" xr:uid="{00000000-0005-0000-0000-0000317B0000}"/>
    <cellStyle name="Normal 5 10 2 16 11" xfId="31538" xr:uid="{00000000-0005-0000-0000-0000327B0000}"/>
    <cellStyle name="Normal 5 10 2 16 12" xfId="31539" xr:uid="{00000000-0005-0000-0000-0000337B0000}"/>
    <cellStyle name="Normal 5 10 2 16 13" xfId="31540" xr:uid="{00000000-0005-0000-0000-0000347B0000}"/>
    <cellStyle name="Normal 5 10 2 16 14" xfId="31541" xr:uid="{00000000-0005-0000-0000-0000357B0000}"/>
    <cellStyle name="Normal 5 10 2 16 2" xfId="31542" xr:uid="{00000000-0005-0000-0000-0000367B0000}"/>
    <cellStyle name="Normal 5 10 2 16 2 10" xfId="31543" xr:uid="{00000000-0005-0000-0000-0000377B0000}"/>
    <cellStyle name="Normal 5 10 2 16 2 2" xfId="31544" xr:uid="{00000000-0005-0000-0000-0000387B0000}"/>
    <cellStyle name="Normal 5 10 2 16 2 3" xfId="31545" xr:uid="{00000000-0005-0000-0000-0000397B0000}"/>
    <cellStyle name="Normal 5 10 2 16 2 4" xfId="31546" xr:uid="{00000000-0005-0000-0000-00003A7B0000}"/>
    <cellStyle name="Normal 5 10 2 16 2 5" xfId="31547" xr:uid="{00000000-0005-0000-0000-00003B7B0000}"/>
    <cellStyle name="Normal 5 10 2 16 2 6" xfId="31548" xr:uid="{00000000-0005-0000-0000-00003C7B0000}"/>
    <cellStyle name="Normal 5 10 2 16 2 7" xfId="31549" xr:uid="{00000000-0005-0000-0000-00003D7B0000}"/>
    <cellStyle name="Normal 5 10 2 16 2 8" xfId="31550" xr:uid="{00000000-0005-0000-0000-00003E7B0000}"/>
    <cellStyle name="Normal 5 10 2 16 2 9" xfId="31551" xr:uid="{00000000-0005-0000-0000-00003F7B0000}"/>
    <cellStyle name="Normal 5 10 2 16 3" xfId="31552" xr:uid="{00000000-0005-0000-0000-0000407B0000}"/>
    <cellStyle name="Normal 5 10 2 16 3 10" xfId="31553" xr:uid="{00000000-0005-0000-0000-0000417B0000}"/>
    <cellStyle name="Normal 5 10 2 16 3 2" xfId="31554" xr:uid="{00000000-0005-0000-0000-0000427B0000}"/>
    <cellStyle name="Normal 5 10 2 16 3 3" xfId="31555" xr:uid="{00000000-0005-0000-0000-0000437B0000}"/>
    <cellStyle name="Normal 5 10 2 16 3 4" xfId="31556" xr:uid="{00000000-0005-0000-0000-0000447B0000}"/>
    <cellStyle name="Normal 5 10 2 16 3 5" xfId="31557" xr:uid="{00000000-0005-0000-0000-0000457B0000}"/>
    <cellStyle name="Normal 5 10 2 16 3 6" xfId="31558" xr:uid="{00000000-0005-0000-0000-0000467B0000}"/>
    <cellStyle name="Normal 5 10 2 16 3 7" xfId="31559" xr:uid="{00000000-0005-0000-0000-0000477B0000}"/>
    <cellStyle name="Normal 5 10 2 16 3 8" xfId="31560" xr:uid="{00000000-0005-0000-0000-0000487B0000}"/>
    <cellStyle name="Normal 5 10 2 16 3 9" xfId="31561" xr:uid="{00000000-0005-0000-0000-0000497B0000}"/>
    <cellStyle name="Normal 5 10 2 16 4" xfId="31562" xr:uid="{00000000-0005-0000-0000-00004A7B0000}"/>
    <cellStyle name="Normal 5 10 2 16 4 10" xfId="31563" xr:uid="{00000000-0005-0000-0000-00004B7B0000}"/>
    <cellStyle name="Normal 5 10 2 16 4 2" xfId="31564" xr:uid="{00000000-0005-0000-0000-00004C7B0000}"/>
    <cellStyle name="Normal 5 10 2 16 4 3" xfId="31565" xr:uid="{00000000-0005-0000-0000-00004D7B0000}"/>
    <cellStyle name="Normal 5 10 2 16 4 4" xfId="31566" xr:uid="{00000000-0005-0000-0000-00004E7B0000}"/>
    <cellStyle name="Normal 5 10 2 16 4 5" xfId="31567" xr:uid="{00000000-0005-0000-0000-00004F7B0000}"/>
    <cellStyle name="Normal 5 10 2 16 4 6" xfId="31568" xr:uid="{00000000-0005-0000-0000-0000507B0000}"/>
    <cellStyle name="Normal 5 10 2 16 4 7" xfId="31569" xr:uid="{00000000-0005-0000-0000-0000517B0000}"/>
    <cellStyle name="Normal 5 10 2 16 4 8" xfId="31570" xr:uid="{00000000-0005-0000-0000-0000527B0000}"/>
    <cellStyle name="Normal 5 10 2 16 4 9" xfId="31571" xr:uid="{00000000-0005-0000-0000-0000537B0000}"/>
    <cellStyle name="Normal 5 10 2 16 5" xfId="31572" xr:uid="{00000000-0005-0000-0000-0000547B0000}"/>
    <cellStyle name="Normal 5 10 2 16 5 10" xfId="31573" xr:uid="{00000000-0005-0000-0000-0000557B0000}"/>
    <cellStyle name="Normal 5 10 2 16 5 2" xfId="31574" xr:uid="{00000000-0005-0000-0000-0000567B0000}"/>
    <cellStyle name="Normal 5 10 2 16 5 3" xfId="31575" xr:uid="{00000000-0005-0000-0000-0000577B0000}"/>
    <cellStyle name="Normal 5 10 2 16 5 4" xfId="31576" xr:uid="{00000000-0005-0000-0000-0000587B0000}"/>
    <cellStyle name="Normal 5 10 2 16 5 5" xfId="31577" xr:uid="{00000000-0005-0000-0000-0000597B0000}"/>
    <cellStyle name="Normal 5 10 2 16 5 6" xfId="31578" xr:uid="{00000000-0005-0000-0000-00005A7B0000}"/>
    <cellStyle name="Normal 5 10 2 16 5 7" xfId="31579" xr:uid="{00000000-0005-0000-0000-00005B7B0000}"/>
    <cellStyle name="Normal 5 10 2 16 5 8" xfId="31580" xr:uid="{00000000-0005-0000-0000-00005C7B0000}"/>
    <cellStyle name="Normal 5 10 2 16 5 9" xfId="31581" xr:uid="{00000000-0005-0000-0000-00005D7B0000}"/>
    <cellStyle name="Normal 5 10 2 16 6" xfId="31582" xr:uid="{00000000-0005-0000-0000-00005E7B0000}"/>
    <cellStyle name="Normal 5 10 2 16 7" xfId="31583" xr:uid="{00000000-0005-0000-0000-00005F7B0000}"/>
    <cellStyle name="Normal 5 10 2 16 8" xfId="31584" xr:uid="{00000000-0005-0000-0000-0000607B0000}"/>
    <cellStyle name="Normal 5 10 2 16 9" xfId="31585" xr:uid="{00000000-0005-0000-0000-0000617B0000}"/>
    <cellStyle name="Normal 5 10 2 17" xfId="31586" xr:uid="{00000000-0005-0000-0000-0000627B0000}"/>
    <cellStyle name="Normal 5 10 2 17 10" xfId="31587" xr:uid="{00000000-0005-0000-0000-0000637B0000}"/>
    <cellStyle name="Normal 5 10 2 17 11" xfId="31588" xr:uid="{00000000-0005-0000-0000-0000647B0000}"/>
    <cellStyle name="Normal 5 10 2 17 12" xfId="31589" xr:uid="{00000000-0005-0000-0000-0000657B0000}"/>
    <cellStyle name="Normal 5 10 2 17 13" xfId="31590" xr:uid="{00000000-0005-0000-0000-0000667B0000}"/>
    <cellStyle name="Normal 5 10 2 17 14" xfId="31591" xr:uid="{00000000-0005-0000-0000-0000677B0000}"/>
    <cellStyle name="Normal 5 10 2 17 2" xfId="31592" xr:uid="{00000000-0005-0000-0000-0000687B0000}"/>
    <cellStyle name="Normal 5 10 2 17 2 10" xfId="31593" xr:uid="{00000000-0005-0000-0000-0000697B0000}"/>
    <cellStyle name="Normal 5 10 2 17 2 2" xfId="31594" xr:uid="{00000000-0005-0000-0000-00006A7B0000}"/>
    <cellStyle name="Normal 5 10 2 17 2 3" xfId="31595" xr:uid="{00000000-0005-0000-0000-00006B7B0000}"/>
    <cellStyle name="Normal 5 10 2 17 2 4" xfId="31596" xr:uid="{00000000-0005-0000-0000-00006C7B0000}"/>
    <cellStyle name="Normal 5 10 2 17 2 5" xfId="31597" xr:uid="{00000000-0005-0000-0000-00006D7B0000}"/>
    <cellStyle name="Normal 5 10 2 17 2 6" xfId="31598" xr:uid="{00000000-0005-0000-0000-00006E7B0000}"/>
    <cellStyle name="Normal 5 10 2 17 2 7" xfId="31599" xr:uid="{00000000-0005-0000-0000-00006F7B0000}"/>
    <cellStyle name="Normal 5 10 2 17 2 8" xfId="31600" xr:uid="{00000000-0005-0000-0000-0000707B0000}"/>
    <cellStyle name="Normal 5 10 2 17 2 9" xfId="31601" xr:uid="{00000000-0005-0000-0000-0000717B0000}"/>
    <cellStyle name="Normal 5 10 2 17 3" xfId="31602" xr:uid="{00000000-0005-0000-0000-0000727B0000}"/>
    <cellStyle name="Normal 5 10 2 17 3 10" xfId="31603" xr:uid="{00000000-0005-0000-0000-0000737B0000}"/>
    <cellStyle name="Normal 5 10 2 17 3 2" xfId="31604" xr:uid="{00000000-0005-0000-0000-0000747B0000}"/>
    <cellStyle name="Normal 5 10 2 17 3 3" xfId="31605" xr:uid="{00000000-0005-0000-0000-0000757B0000}"/>
    <cellStyle name="Normal 5 10 2 17 3 4" xfId="31606" xr:uid="{00000000-0005-0000-0000-0000767B0000}"/>
    <cellStyle name="Normal 5 10 2 17 3 5" xfId="31607" xr:uid="{00000000-0005-0000-0000-0000777B0000}"/>
    <cellStyle name="Normal 5 10 2 17 3 6" xfId="31608" xr:uid="{00000000-0005-0000-0000-0000787B0000}"/>
    <cellStyle name="Normal 5 10 2 17 3 7" xfId="31609" xr:uid="{00000000-0005-0000-0000-0000797B0000}"/>
    <cellStyle name="Normal 5 10 2 17 3 8" xfId="31610" xr:uid="{00000000-0005-0000-0000-00007A7B0000}"/>
    <cellStyle name="Normal 5 10 2 17 3 9" xfId="31611" xr:uid="{00000000-0005-0000-0000-00007B7B0000}"/>
    <cellStyle name="Normal 5 10 2 17 4" xfId="31612" xr:uid="{00000000-0005-0000-0000-00007C7B0000}"/>
    <cellStyle name="Normal 5 10 2 17 4 10" xfId="31613" xr:uid="{00000000-0005-0000-0000-00007D7B0000}"/>
    <cellStyle name="Normal 5 10 2 17 4 2" xfId="31614" xr:uid="{00000000-0005-0000-0000-00007E7B0000}"/>
    <cellStyle name="Normal 5 10 2 17 4 3" xfId="31615" xr:uid="{00000000-0005-0000-0000-00007F7B0000}"/>
    <cellStyle name="Normal 5 10 2 17 4 4" xfId="31616" xr:uid="{00000000-0005-0000-0000-0000807B0000}"/>
    <cellStyle name="Normal 5 10 2 17 4 5" xfId="31617" xr:uid="{00000000-0005-0000-0000-0000817B0000}"/>
    <cellStyle name="Normal 5 10 2 17 4 6" xfId="31618" xr:uid="{00000000-0005-0000-0000-0000827B0000}"/>
    <cellStyle name="Normal 5 10 2 17 4 7" xfId="31619" xr:uid="{00000000-0005-0000-0000-0000837B0000}"/>
    <cellStyle name="Normal 5 10 2 17 4 8" xfId="31620" xr:uid="{00000000-0005-0000-0000-0000847B0000}"/>
    <cellStyle name="Normal 5 10 2 17 4 9" xfId="31621" xr:uid="{00000000-0005-0000-0000-0000857B0000}"/>
    <cellStyle name="Normal 5 10 2 17 5" xfId="31622" xr:uid="{00000000-0005-0000-0000-0000867B0000}"/>
    <cellStyle name="Normal 5 10 2 17 5 10" xfId="31623" xr:uid="{00000000-0005-0000-0000-0000877B0000}"/>
    <cellStyle name="Normal 5 10 2 17 5 2" xfId="31624" xr:uid="{00000000-0005-0000-0000-0000887B0000}"/>
    <cellStyle name="Normal 5 10 2 17 5 3" xfId="31625" xr:uid="{00000000-0005-0000-0000-0000897B0000}"/>
    <cellStyle name="Normal 5 10 2 17 5 4" xfId="31626" xr:uid="{00000000-0005-0000-0000-00008A7B0000}"/>
    <cellStyle name="Normal 5 10 2 17 5 5" xfId="31627" xr:uid="{00000000-0005-0000-0000-00008B7B0000}"/>
    <cellStyle name="Normal 5 10 2 17 5 6" xfId="31628" xr:uid="{00000000-0005-0000-0000-00008C7B0000}"/>
    <cellStyle name="Normal 5 10 2 17 5 7" xfId="31629" xr:uid="{00000000-0005-0000-0000-00008D7B0000}"/>
    <cellStyle name="Normal 5 10 2 17 5 8" xfId="31630" xr:uid="{00000000-0005-0000-0000-00008E7B0000}"/>
    <cellStyle name="Normal 5 10 2 17 5 9" xfId="31631" xr:uid="{00000000-0005-0000-0000-00008F7B0000}"/>
    <cellStyle name="Normal 5 10 2 17 6" xfId="31632" xr:uid="{00000000-0005-0000-0000-0000907B0000}"/>
    <cellStyle name="Normal 5 10 2 17 7" xfId="31633" xr:uid="{00000000-0005-0000-0000-0000917B0000}"/>
    <cellStyle name="Normal 5 10 2 17 8" xfId="31634" xr:uid="{00000000-0005-0000-0000-0000927B0000}"/>
    <cellStyle name="Normal 5 10 2 17 9" xfId="31635" xr:uid="{00000000-0005-0000-0000-0000937B0000}"/>
    <cellStyle name="Normal 5 10 2 18" xfId="31636" xr:uid="{00000000-0005-0000-0000-0000947B0000}"/>
    <cellStyle name="Normal 5 10 2 18 10" xfId="31637" xr:uid="{00000000-0005-0000-0000-0000957B0000}"/>
    <cellStyle name="Normal 5 10 2 18 11" xfId="31638" xr:uid="{00000000-0005-0000-0000-0000967B0000}"/>
    <cellStyle name="Normal 5 10 2 18 12" xfId="31639" xr:uid="{00000000-0005-0000-0000-0000977B0000}"/>
    <cellStyle name="Normal 5 10 2 18 13" xfId="31640" xr:uid="{00000000-0005-0000-0000-0000987B0000}"/>
    <cellStyle name="Normal 5 10 2 18 14" xfId="31641" xr:uid="{00000000-0005-0000-0000-0000997B0000}"/>
    <cellStyle name="Normal 5 10 2 18 2" xfId="31642" xr:uid="{00000000-0005-0000-0000-00009A7B0000}"/>
    <cellStyle name="Normal 5 10 2 18 2 10" xfId="31643" xr:uid="{00000000-0005-0000-0000-00009B7B0000}"/>
    <cellStyle name="Normal 5 10 2 18 2 2" xfId="31644" xr:uid="{00000000-0005-0000-0000-00009C7B0000}"/>
    <cellStyle name="Normal 5 10 2 18 2 3" xfId="31645" xr:uid="{00000000-0005-0000-0000-00009D7B0000}"/>
    <cellStyle name="Normal 5 10 2 18 2 4" xfId="31646" xr:uid="{00000000-0005-0000-0000-00009E7B0000}"/>
    <cellStyle name="Normal 5 10 2 18 2 5" xfId="31647" xr:uid="{00000000-0005-0000-0000-00009F7B0000}"/>
    <cellStyle name="Normal 5 10 2 18 2 6" xfId="31648" xr:uid="{00000000-0005-0000-0000-0000A07B0000}"/>
    <cellStyle name="Normal 5 10 2 18 2 7" xfId="31649" xr:uid="{00000000-0005-0000-0000-0000A17B0000}"/>
    <cellStyle name="Normal 5 10 2 18 2 8" xfId="31650" xr:uid="{00000000-0005-0000-0000-0000A27B0000}"/>
    <cellStyle name="Normal 5 10 2 18 2 9" xfId="31651" xr:uid="{00000000-0005-0000-0000-0000A37B0000}"/>
    <cellStyle name="Normal 5 10 2 18 3" xfId="31652" xr:uid="{00000000-0005-0000-0000-0000A47B0000}"/>
    <cellStyle name="Normal 5 10 2 18 3 10" xfId="31653" xr:uid="{00000000-0005-0000-0000-0000A57B0000}"/>
    <cellStyle name="Normal 5 10 2 18 3 2" xfId="31654" xr:uid="{00000000-0005-0000-0000-0000A67B0000}"/>
    <cellStyle name="Normal 5 10 2 18 3 3" xfId="31655" xr:uid="{00000000-0005-0000-0000-0000A77B0000}"/>
    <cellStyle name="Normal 5 10 2 18 3 4" xfId="31656" xr:uid="{00000000-0005-0000-0000-0000A87B0000}"/>
    <cellStyle name="Normal 5 10 2 18 3 5" xfId="31657" xr:uid="{00000000-0005-0000-0000-0000A97B0000}"/>
    <cellStyle name="Normal 5 10 2 18 3 6" xfId="31658" xr:uid="{00000000-0005-0000-0000-0000AA7B0000}"/>
    <cellStyle name="Normal 5 10 2 18 3 7" xfId="31659" xr:uid="{00000000-0005-0000-0000-0000AB7B0000}"/>
    <cellStyle name="Normal 5 10 2 18 3 8" xfId="31660" xr:uid="{00000000-0005-0000-0000-0000AC7B0000}"/>
    <cellStyle name="Normal 5 10 2 18 3 9" xfId="31661" xr:uid="{00000000-0005-0000-0000-0000AD7B0000}"/>
    <cellStyle name="Normal 5 10 2 18 4" xfId="31662" xr:uid="{00000000-0005-0000-0000-0000AE7B0000}"/>
    <cellStyle name="Normal 5 10 2 18 4 10" xfId="31663" xr:uid="{00000000-0005-0000-0000-0000AF7B0000}"/>
    <cellStyle name="Normal 5 10 2 18 4 2" xfId="31664" xr:uid="{00000000-0005-0000-0000-0000B07B0000}"/>
    <cellStyle name="Normal 5 10 2 18 4 3" xfId="31665" xr:uid="{00000000-0005-0000-0000-0000B17B0000}"/>
    <cellStyle name="Normal 5 10 2 18 4 4" xfId="31666" xr:uid="{00000000-0005-0000-0000-0000B27B0000}"/>
    <cellStyle name="Normal 5 10 2 18 4 5" xfId="31667" xr:uid="{00000000-0005-0000-0000-0000B37B0000}"/>
    <cellStyle name="Normal 5 10 2 18 4 6" xfId="31668" xr:uid="{00000000-0005-0000-0000-0000B47B0000}"/>
    <cellStyle name="Normal 5 10 2 18 4 7" xfId="31669" xr:uid="{00000000-0005-0000-0000-0000B57B0000}"/>
    <cellStyle name="Normal 5 10 2 18 4 8" xfId="31670" xr:uid="{00000000-0005-0000-0000-0000B67B0000}"/>
    <cellStyle name="Normal 5 10 2 18 4 9" xfId="31671" xr:uid="{00000000-0005-0000-0000-0000B77B0000}"/>
    <cellStyle name="Normal 5 10 2 18 5" xfId="31672" xr:uid="{00000000-0005-0000-0000-0000B87B0000}"/>
    <cellStyle name="Normal 5 10 2 18 5 10" xfId="31673" xr:uid="{00000000-0005-0000-0000-0000B97B0000}"/>
    <cellStyle name="Normal 5 10 2 18 5 2" xfId="31674" xr:uid="{00000000-0005-0000-0000-0000BA7B0000}"/>
    <cellStyle name="Normal 5 10 2 18 5 3" xfId="31675" xr:uid="{00000000-0005-0000-0000-0000BB7B0000}"/>
    <cellStyle name="Normal 5 10 2 18 5 4" xfId="31676" xr:uid="{00000000-0005-0000-0000-0000BC7B0000}"/>
    <cellStyle name="Normal 5 10 2 18 5 5" xfId="31677" xr:uid="{00000000-0005-0000-0000-0000BD7B0000}"/>
    <cellStyle name="Normal 5 10 2 18 5 6" xfId="31678" xr:uid="{00000000-0005-0000-0000-0000BE7B0000}"/>
    <cellStyle name="Normal 5 10 2 18 5 7" xfId="31679" xr:uid="{00000000-0005-0000-0000-0000BF7B0000}"/>
    <cellStyle name="Normal 5 10 2 18 5 8" xfId="31680" xr:uid="{00000000-0005-0000-0000-0000C07B0000}"/>
    <cellStyle name="Normal 5 10 2 18 5 9" xfId="31681" xr:uid="{00000000-0005-0000-0000-0000C17B0000}"/>
    <cellStyle name="Normal 5 10 2 18 6" xfId="31682" xr:uid="{00000000-0005-0000-0000-0000C27B0000}"/>
    <cellStyle name="Normal 5 10 2 18 7" xfId="31683" xr:uid="{00000000-0005-0000-0000-0000C37B0000}"/>
    <cellStyle name="Normal 5 10 2 18 8" xfId="31684" xr:uid="{00000000-0005-0000-0000-0000C47B0000}"/>
    <cellStyle name="Normal 5 10 2 18 9" xfId="31685" xr:uid="{00000000-0005-0000-0000-0000C57B0000}"/>
    <cellStyle name="Normal 5 10 2 19" xfId="31686" xr:uid="{00000000-0005-0000-0000-0000C67B0000}"/>
    <cellStyle name="Normal 5 10 2 19 10" xfId="31687" xr:uid="{00000000-0005-0000-0000-0000C77B0000}"/>
    <cellStyle name="Normal 5 10 2 19 11" xfId="31688" xr:uid="{00000000-0005-0000-0000-0000C87B0000}"/>
    <cellStyle name="Normal 5 10 2 19 12" xfId="31689" xr:uid="{00000000-0005-0000-0000-0000C97B0000}"/>
    <cellStyle name="Normal 5 10 2 19 13" xfId="31690" xr:uid="{00000000-0005-0000-0000-0000CA7B0000}"/>
    <cellStyle name="Normal 5 10 2 19 14" xfId="31691" xr:uid="{00000000-0005-0000-0000-0000CB7B0000}"/>
    <cellStyle name="Normal 5 10 2 19 2" xfId="31692" xr:uid="{00000000-0005-0000-0000-0000CC7B0000}"/>
    <cellStyle name="Normal 5 10 2 19 2 10" xfId="31693" xr:uid="{00000000-0005-0000-0000-0000CD7B0000}"/>
    <cellStyle name="Normal 5 10 2 19 2 2" xfId="31694" xr:uid="{00000000-0005-0000-0000-0000CE7B0000}"/>
    <cellStyle name="Normal 5 10 2 19 2 3" xfId="31695" xr:uid="{00000000-0005-0000-0000-0000CF7B0000}"/>
    <cellStyle name="Normal 5 10 2 19 2 4" xfId="31696" xr:uid="{00000000-0005-0000-0000-0000D07B0000}"/>
    <cellStyle name="Normal 5 10 2 19 2 5" xfId="31697" xr:uid="{00000000-0005-0000-0000-0000D17B0000}"/>
    <cellStyle name="Normal 5 10 2 19 2 6" xfId="31698" xr:uid="{00000000-0005-0000-0000-0000D27B0000}"/>
    <cellStyle name="Normal 5 10 2 19 2 7" xfId="31699" xr:uid="{00000000-0005-0000-0000-0000D37B0000}"/>
    <cellStyle name="Normal 5 10 2 19 2 8" xfId="31700" xr:uid="{00000000-0005-0000-0000-0000D47B0000}"/>
    <cellStyle name="Normal 5 10 2 19 2 9" xfId="31701" xr:uid="{00000000-0005-0000-0000-0000D57B0000}"/>
    <cellStyle name="Normal 5 10 2 19 3" xfId="31702" xr:uid="{00000000-0005-0000-0000-0000D67B0000}"/>
    <cellStyle name="Normal 5 10 2 19 3 10" xfId="31703" xr:uid="{00000000-0005-0000-0000-0000D77B0000}"/>
    <cellStyle name="Normal 5 10 2 19 3 2" xfId="31704" xr:uid="{00000000-0005-0000-0000-0000D87B0000}"/>
    <cellStyle name="Normal 5 10 2 19 3 3" xfId="31705" xr:uid="{00000000-0005-0000-0000-0000D97B0000}"/>
    <cellStyle name="Normal 5 10 2 19 3 4" xfId="31706" xr:uid="{00000000-0005-0000-0000-0000DA7B0000}"/>
    <cellStyle name="Normal 5 10 2 19 3 5" xfId="31707" xr:uid="{00000000-0005-0000-0000-0000DB7B0000}"/>
    <cellStyle name="Normal 5 10 2 19 3 6" xfId="31708" xr:uid="{00000000-0005-0000-0000-0000DC7B0000}"/>
    <cellStyle name="Normal 5 10 2 19 3 7" xfId="31709" xr:uid="{00000000-0005-0000-0000-0000DD7B0000}"/>
    <cellStyle name="Normal 5 10 2 19 3 8" xfId="31710" xr:uid="{00000000-0005-0000-0000-0000DE7B0000}"/>
    <cellStyle name="Normal 5 10 2 19 3 9" xfId="31711" xr:uid="{00000000-0005-0000-0000-0000DF7B0000}"/>
    <cellStyle name="Normal 5 10 2 19 4" xfId="31712" xr:uid="{00000000-0005-0000-0000-0000E07B0000}"/>
    <cellStyle name="Normal 5 10 2 19 4 10" xfId="31713" xr:uid="{00000000-0005-0000-0000-0000E17B0000}"/>
    <cellStyle name="Normal 5 10 2 19 4 2" xfId="31714" xr:uid="{00000000-0005-0000-0000-0000E27B0000}"/>
    <cellStyle name="Normal 5 10 2 19 4 3" xfId="31715" xr:uid="{00000000-0005-0000-0000-0000E37B0000}"/>
    <cellStyle name="Normal 5 10 2 19 4 4" xfId="31716" xr:uid="{00000000-0005-0000-0000-0000E47B0000}"/>
    <cellStyle name="Normal 5 10 2 19 4 5" xfId="31717" xr:uid="{00000000-0005-0000-0000-0000E57B0000}"/>
    <cellStyle name="Normal 5 10 2 19 4 6" xfId="31718" xr:uid="{00000000-0005-0000-0000-0000E67B0000}"/>
    <cellStyle name="Normal 5 10 2 19 4 7" xfId="31719" xr:uid="{00000000-0005-0000-0000-0000E77B0000}"/>
    <cellStyle name="Normal 5 10 2 19 4 8" xfId="31720" xr:uid="{00000000-0005-0000-0000-0000E87B0000}"/>
    <cellStyle name="Normal 5 10 2 19 4 9" xfId="31721" xr:uid="{00000000-0005-0000-0000-0000E97B0000}"/>
    <cellStyle name="Normal 5 10 2 19 5" xfId="31722" xr:uid="{00000000-0005-0000-0000-0000EA7B0000}"/>
    <cellStyle name="Normal 5 10 2 19 5 10" xfId="31723" xr:uid="{00000000-0005-0000-0000-0000EB7B0000}"/>
    <cellStyle name="Normal 5 10 2 19 5 2" xfId="31724" xr:uid="{00000000-0005-0000-0000-0000EC7B0000}"/>
    <cellStyle name="Normal 5 10 2 19 5 3" xfId="31725" xr:uid="{00000000-0005-0000-0000-0000ED7B0000}"/>
    <cellStyle name="Normal 5 10 2 19 5 4" xfId="31726" xr:uid="{00000000-0005-0000-0000-0000EE7B0000}"/>
    <cellStyle name="Normal 5 10 2 19 5 5" xfId="31727" xr:uid="{00000000-0005-0000-0000-0000EF7B0000}"/>
    <cellStyle name="Normal 5 10 2 19 5 6" xfId="31728" xr:uid="{00000000-0005-0000-0000-0000F07B0000}"/>
    <cellStyle name="Normal 5 10 2 19 5 7" xfId="31729" xr:uid="{00000000-0005-0000-0000-0000F17B0000}"/>
    <cellStyle name="Normal 5 10 2 19 5 8" xfId="31730" xr:uid="{00000000-0005-0000-0000-0000F27B0000}"/>
    <cellStyle name="Normal 5 10 2 19 5 9" xfId="31731" xr:uid="{00000000-0005-0000-0000-0000F37B0000}"/>
    <cellStyle name="Normal 5 10 2 19 6" xfId="31732" xr:uid="{00000000-0005-0000-0000-0000F47B0000}"/>
    <cellStyle name="Normal 5 10 2 19 7" xfId="31733" xr:uid="{00000000-0005-0000-0000-0000F57B0000}"/>
    <cellStyle name="Normal 5 10 2 19 8" xfId="31734" xr:uid="{00000000-0005-0000-0000-0000F67B0000}"/>
    <cellStyle name="Normal 5 10 2 19 9" xfId="31735" xr:uid="{00000000-0005-0000-0000-0000F77B0000}"/>
    <cellStyle name="Normal 5 10 2 2" xfId="31736" xr:uid="{00000000-0005-0000-0000-0000F87B0000}"/>
    <cellStyle name="Normal 5 10 2 2 10" xfId="31737" xr:uid="{00000000-0005-0000-0000-0000F97B0000}"/>
    <cellStyle name="Normal 5 10 2 2 11" xfId="31738" xr:uid="{00000000-0005-0000-0000-0000FA7B0000}"/>
    <cellStyle name="Normal 5 10 2 2 12" xfId="31739" xr:uid="{00000000-0005-0000-0000-0000FB7B0000}"/>
    <cellStyle name="Normal 5 10 2 2 13" xfId="31740" xr:uid="{00000000-0005-0000-0000-0000FC7B0000}"/>
    <cellStyle name="Normal 5 10 2 2 14" xfId="31741" xr:uid="{00000000-0005-0000-0000-0000FD7B0000}"/>
    <cellStyle name="Normal 5 10 2 2 15" xfId="31742" xr:uid="{00000000-0005-0000-0000-0000FE7B0000}"/>
    <cellStyle name="Normal 5 10 2 2 16" xfId="31743" xr:uid="{00000000-0005-0000-0000-0000FF7B0000}"/>
    <cellStyle name="Normal 5 10 2 2 2" xfId="31744" xr:uid="{00000000-0005-0000-0000-0000007C0000}"/>
    <cellStyle name="Normal 5 10 2 2 2 10" xfId="31745" xr:uid="{00000000-0005-0000-0000-0000017C0000}"/>
    <cellStyle name="Normal 5 10 2 2 2 2" xfId="31746" xr:uid="{00000000-0005-0000-0000-0000027C0000}"/>
    <cellStyle name="Normal 5 10 2 2 2 3" xfId="31747" xr:uid="{00000000-0005-0000-0000-0000037C0000}"/>
    <cellStyle name="Normal 5 10 2 2 2 4" xfId="31748" xr:uid="{00000000-0005-0000-0000-0000047C0000}"/>
    <cellStyle name="Normal 5 10 2 2 2 5" xfId="31749" xr:uid="{00000000-0005-0000-0000-0000057C0000}"/>
    <cellStyle name="Normal 5 10 2 2 2 6" xfId="31750" xr:uid="{00000000-0005-0000-0000-0000067C0000}"/>
    <cellStyle name="Normal 5 10 2 2 2 7" xfId="31751" xr:uid="{00000000-0005-0000-0000-0000077C0000}"/>
    <cellStyle name="Normal 5 10 2 2 2 8" xfId="31752" xr:uid="{00000000-0005-0000-0000-0000087C0000}"/>
    <cellStyle name="Normal 5 10 2 2 2 9" xfId="31753" xr:uid="{00000000-0005-0000-0000-0000097C0000}"/>
    <cellStyle name="Normal 5 10 2 2 3" xfId="31754" xr:uid="{00000000-0005-0000-0000-00000A7C0000}"/>
    <cellStyle name="Normal 5 10 2 2 3 10" xfId="31755" xr:uid="{00000000-0005-0000-0000-00000B7C0000}"/>
    <cellStyle name="Normal 5 10 2 2 3 2" xfId="31756" xr:uid="{00000000-0005-0000-0000-00000C7C0000}"/>
    <cellStyle name="Normal 5 10 2 2 3 3" xfId="31757" xr:uid="{00000000-0005-0000-0000-00000D7C0000}"/>
    <cellStyle name="Normal 5 10 2 2 3 4" xfId="31758" xr:uid="{00000000-0005-0000-0000-00000E7C0000}"/>
    <cellStyle name="Normal 5 10 2 2 3 5" xfId="31759" xr:uid="{00000000-0005-0000-0000-00000F7C0000}"/>
    <cellStyle name="Normal 5 10 2 2 3 6" xfId="31760" xr:uid="{00000000-0005-0000-0000-0000107C0000}"/>
    <cellStyle name="Normal 5 10 2 2 3 7" xfId="31761" xr:uid="{00000000-0005-0000-0000-0000117C0000}"/>
    <cellStyle name="Normal 5 10 2 2 3 8" xfId="31762" xr:uid="{00000000-0005-0000-0000-0000127C0000}"/>
    <cellStyle name="Normal 5 10 2 2 3 9" xfId="31763" xr:uid="{00000000-0005-0000-0000-0000137C0000}"/>
    <cellStyle name="Normal 5 10 2 2 4" xfId="31764" xr:uid="{00000000-0005-0000-0000-0000147C0000}"/>
    <cellStyle name="Normal 5 10 2 2 4 10" xfId="31765" xr:uid="{00000000-0005-0000-0000-0000157C0000}"/>
    <cellStyle name="Normal 5 10 2 2 4 2" xfId="31766" xr:uid="{00000000-0005-0000-0000-0000167C0000}"/>
    <cellStyle name="Normal 5 10 2 2 4 3" xfId="31767" xr:uid="{00000000-0005-0000-0000-0000177C0000}"/>
    <cellStyle name="Normal 5 10 2 2 4 4" xfId="31768" xr:uid="{00000000-0005-0000-0000-0000187C0000}"/>
    <cellStyle name="Normal 5 10 2 2 4 5" xfId="31769" xr:uid="{00000000-0005-0000-0000-0000197C0000}"/>
    <cellStyle name="Normal 5 10 2 2 4 6" xfId="31770" xr:uid="{00000000-0005-0000-0000-00001A7C0000}"/>
    <cellStyle name="Normal 5 10 2 2 4 7" xfId="31771" xr:uid="{00000000-0005-0000-0000-00001B7C0000}"/>
    <cellStyle name="Normal 5 10 2 2 4 8" xfId="31772" xr:uid="{00000000-0005-0000-0000-00001C7C0000}"/>
    <cellStyle name="Normal 5 10 2 2 4 9" xfId="31773" xr:uid="{00000000-0005-0000-0000-00001D7C0000}"/>
    <cellStyle name="Normal 5 10 2 2 5" xfId="31774" xr:uid="{00000000-0005-0000-0000-00001E7C0000}"/>
    <cellStyle name="Normal 5 10 2 2 5 10" xfId="31775" xr:uid="{00000000-0005-0000-0000-00001F7C0000}"/>
    <cellStyle name="Normal 5 10 2 2 5 2" xfId="31776" xr:uid="{00000000-0005-0000-0000-0000207C0000}"/>
    <cellStyle name="Normal 5 10 2 2 5 3" xfId="31777" xr:uid="{00000000-0005-0000-0000-0000217C0000}"/>
    <cellStyle name="Normal 5 10 2 2 5 4" xfId="31778" xr:uid="{00000000-0005-0000-0000-0000227C0000}"/>
    <cellStyle name="Normal 5 10 2 2 5 5" xfId="31779" xr:uid="{00000000-0005-0000-0000-0000237C0000}"/>
    <cellStyle name="Normal 5 10 2 2 5 6" xfId="31780" xr:uid="{00000000-0005-0000-0000-0000247C0000}"/>
    <cellStyle name="Normal 5 10 2 2 5 7" xfId="31781" xr:uid="{00000000-0005-0000-0000-0000257C0000}"/>
    <cellStyle name="Normal 5 10 2 2 5 8" xfId="31782" xr:uid="{00000000-0005-0000-0000-0000267C0000}"/>
    <cellStyle name="Normal 5 10 2 2 5 9" xfId="31783" xr:uid="{00000000-0005-0000-0000-0000277C0000}"/>
    <cellStyle name="Normal 5 10 2 2 6" xfId="31784" xr:uid="{00000000-0005-0000-0000-0000287C0000}"/>
    <cellStyle name="Normal 5 10 2 2 7" xfId="31785" xr:uid="{00000000-0005-0000-0000-0000297C0000}"/>
    <cellStyle name="Normal 5 10 2 2 8" xfId="31786" xr:uid="{00000000-0005-0000-0000-00002A7C0000}"/>
    <cellStyle name="Normal 5 10 2 2 9" xfId="31787" xr:uid="{00000000-0005-0000-0000-00002B7C0000}"/>
    <cellStyle name="Normal 5 10 2 20" xfId="31788" xr:uid="{00000000-0005-0000-0000-00002C7C0000}"/>
    <cellStyle name="Normal 5 10 2 20 10" xfId="31789" xr:uid="{00000000-0005-0000-0000-00002D7C0000}"/>
    <cellStyle name="Normal 5 10 2 20 11" xfId="31790" xr:uid="{00000000-0005-0000-0000-00002E7C0000}"/>
    <cellStyle name="Normal 5 10 2 20 12" xfId="31791" xr:uid="{00000000-0005-0000-0000-00002F7C0000}"/>
    <cellStyle name="Normal 5 10 2 20 13" xfId="31792" xr:uid="{00000000-0005-0000-0000-0000307C0000}"/>
    <cellStyle name="Normal 5 10 2 20 14" xfId="31793" xr:uid="{00000000-0005-0000-0000-0000317C0000}"/>
    <cellStyle name="Normal 5 10 2 20 2" xfId="31794" xr:uid="{00000000-0005-0000-0000-0000327C0000}"/>
    <cellStyle name="Normal 5 10 2 20 2 10" xfId="31795" xr:uid="{00000000-0005-0000-0000-0000337C0000}"/>
    <cellStyle name="Normal 5 10 2 20 2 2" xfId="31796" xr:uid="{00000000-0005-0000-0000-0000347C0000}"/>
    <cellStyle name="Normal 5 10 2 20 2 3" xfId="31797" xr:uid="{00000000-0005-0000-0000-0000357C0000}"/>
    <cellStyle name="Normal 5 10 2 20 2 4" xfId="31798" xr:uid="{00000000-0005-0000-0000-0000367C0000}"/>
    <cellStyle name="Normal 5 10 2 20 2 5" xfId="31799" xr:uid="{00000000-0005-0000-0000-0000377C0000}"/>
    <cellStyle name="Normal 5 10 2 20 2 6" xfId="31800" xr:uid="{00000000-0005-0000-0000-0000387C0000}"/>
    <cellStyle name="Normal 5 10 2 20 2 7" xfId="31801" xr:uid="{00000000-0005-0000-0000-0000397C0000}"/>
    <cellStyle name="Normal 5 10 2 20 2 8" xfId="31802" xr:uid="{00000000-0005-0000-0000-00003A7C0000}"/>
    <cellStyle name="Normal 5 10 2 20 2 9" xfId="31803" xr:uid="{00000000-0005-0000-0000-00003B7C0000}"/>
    <cellStyle name="Normal 5 10 2 20 3" xfId="31804" xr:uid="{00000000-0005-0000-0000-00003C7C0000}"/>
    <cellStyle name="Normal 5 10 2 20 3 10" xfId="31805" xr:uid="{00000000-0005-0000-0000-00003D7C0000}"/>
    <cellStyle name="Normal 5 10 2 20 3 2" xfId="31806" xr:uid="{00000000-0005-0000-0000-00003E7C0000}"/>
    <cellStyle name="Normal 5 10 2 20 3 3" xfId="31807" xr:uid="{00000000-0005-0000-0000-00003F7C0000}"/>
    <cellStyle name="Normal 5 10 2 20 3 4" xfId="31808" xr:uid="{00000000-0005-0000-0000-0000407C0000}"/>
    <cellStyle name="Normal 5 10 2 20 3 5" xfId="31809" xr:uid="{00000000-0005-0000-0000-0000417C0000}"/>
    <cellStyle name="Normal 5 10 2 20 3 6" xfId="31810" xr:uid="{00000000-0005-0000-0000-0000427C0000}"/>
    <cellStyle name="Normal 5 10 2 20 3 7" xfId="31811" xr:uid="{00000000-0005-0000-0000-0000437C0000}"/>
    <cellStyle name="Normal 5 10 2 20 3 8" xfId="31812" xr:uid="{00000000-0005-0000-0000-0000447C0000}"/>
    <cellStyle name="Normal 5 10 2 20 3 9" xfId="31813" xr:uid="{00000000-0005-0000-0000-0000457C0000}"/>
    <cellStyle name="Normal 5 10 2 20 4" xfId="31814" xr:uid="{00000000-0005-0000-0000-0000467C0000}"/>
    <cellStyle name="Normal 5 10 2 20 4 10" xfId="31815" xr:uid="{00000000-0005-0000-0000-0000477C0000}"/>
    <cellStyle name="Normal 5 10 2 20 4 2" xfId="31816" xr:uid="{00000000-0005-0000-0000-0000487C0000}"/>
    <cellStyle name="Normal 5 10 2 20 4 3" xfId="31817" xr:uid="{00000000-0005-0000-0000-0000497C0000}"/>
    <cellStyle name="Normal 5 10 2 20 4 4" xfId="31818" xr:uid="{00000000-0005-0000-0000-00004A7C0000}"/>
    <cellStyle name="Normal 5 10 2 20 4 5" xfId="31819" xr:uid="{00000000-0005-0000-0000-00004B7C0000}"/>
    <cellStyle name="Normal 5 10 2 20 4 6" xfId="31820" xr:uid="{00000000-0005-0000-0000-00004C7C0000}"/>
    <cellStyle name="Normal 5 10 2 20 4 7" xfId="31821" xr:uid="{00000000-0005-0000-0000-00004D7C0000}"/>
    <cellStyle name="Normal 5 10 2 20 4 8" xfId="31822" xr:uid="{00000000-0005-0000-0000-00004E7C0000}"/>
    <cellStyle name="Normal 5 10 2 20 4 9" xfId="31823" xr:uid="{00000000-0005-0000-0000-00004F7C0000}"/>
    <cellStyle name="Normal 5 10 2 20 5" xfId="31824" xr:uid="{00000000-0005-0000-0000-0000507C0000}"/>
    <cellStyle name="Normal 5 10 2 20 5 10" xfId="31825" xr:uid="{00000000-0005-0000-0000-0000517C0000}"/>
    <cellStyle name="Normal 5 10 2 20 5 2" xfId="31826" xr:uid="{00000000-0005-0000-0000-0000527C0000}"/>
    <cellStyle name="Normal 5 10 2 20 5 3" xfId="31827" xr:uid="{00000000-0005-0000-0000-0000537C0000}"/>
    <cellStyle name="Normal 5 10 2 20 5 4" xfId="31828" xr:uid="{00000000-0005-0000-0000-0000547C0000}"/>
    <cellStyle name="Normal 5 10 2 20 5 5" xfId="31829" xr:uid="{00000000-0005-0000-0000-0000557C0000}"/>
    <cellStyle name="Normal 5 10 2 20 5 6" xfId="31830" xr:uid="{00000000-0005-0000-0000-0000567C0000}"/>
    <cellStyle name="Normal 5 10 2 20 5 7" xfId="31831" xr:uid="{00000000-0005-0000-0000-0000577C0000}"/>
    <cellStyle name="Normal 5 10 2 20 5 8" xfId="31832" xr:uid="{00000000-0005-0000-0000-0000587C0000}"/>
    <cellStyle name="Normal 5 10 2 20 5 9" xfId="31833" xr:uid="{00000000-0005-0000-0000-0000597C0000}"/>
    <cellStyle name="Normal 5 10 2 20 6" xfId="31834" xr:uid="{00000000-0005-0000-0000-00005A7C0000}"/>
    <cellStyle name="Normal 5 10 2 20 7" xfId="31835" xr:uid="{00000000-0005-0000-0000-00005B7C0000}"/>
    <cellStyle name="Normal 5 10 2 20 8" xfId="31836" xr:uid="{00000000-0005-0000-0000-00005C7C0000}"/>
    <cellStyle name="Normal 5 10 2 20 9" xfId="31837" xr:uid="{00000000-0005-0000-0000-00005D7C0000}"/>
    <cellStyle name="Normal 5 10 2 21" xfId="31838" xr:uid="{00000000-0005-0000-0000-00005E7C0000}"/>
    <cellStyle name="Normal 5 10 2 21 10" xfId="31839" xr:uid="{00000000-0005-0000-0000-00005F7C0000}"/>
    <cellStyle name="Normal 5 10 2 21 11" xfId="31840" xr:uid="{00000000-0005-0000-0000-0000607C0000}"/>
    <cellStyle name="Normal 5 10 2 21 12" xfId="31841" xr:uid="{00000000-0005-0000-0000-0000617C0000}"/>
    <cellStyle name="Normal 5 10 2 21 13" xfId="31842" xr:uid="{00000000-0005-0000-0000-0000627C0000}"/>
    <cellStyle name="Normal 5 10 2 21 14" xfId="31843" xr:uid="{00000000-0005-0000-0000-0000637C0000}"/>
    <cellStyle name="Normal 5 10 2 21 2" xfId="31844" xr:uid="{00000000-0005-0000-0000-0000647C0000}"/>
    <cellStyle name="Normal 5 10 2 21 2 10" xfId="31845" xr:uid="{00000000-0005-0000-0000-0000657C0000}"/>
    <cellStyle name="Normal 5 10 2 21 2 2" xfId="31846" xr:uid="{00000000-0005-0000-0000-0000667C0000}"/>
    <cellStyle name="Normal 5 10 2 21 2 3" xfId="31847" xr:uid="{00000000-0005-0000-0000-0000677C0000}"/>
    <cellStyle name="Normal 5 10 2 21 2 4" xfId="31848" xr:uid="{00000000-0005-0000-0000-0000687C0000}"/>
    <cellStyle name="Normal 5 10 2 21 2 5" xfId="31849" xr:uid="{00000000-0005-0000-0000-0000697C0000}"/>
    <cellStyle name="Normal 5 10 2 21 2 6" xfId="31850" xr:uid="{00000000-0005-0000-0000-00006A7C0000}"/>
    <cellStyle name="Normal 5 10 2 21 2 7" xfId="31851" xr:uid="{00000000-0005-0000-0000-00006B7C0000}"/>
    <cellStyle name="Normal 5 10 2 21 2 8" xfId="31852" xr:uid="{00000000-0005-0000-0000-00006C7C0000}"/>
    <cellStyle name="Normal 5 10 2 21 2 9" xfId="31853" xr:uid="{00000000-0005-0000-0000-00006D7C0000}"/>
    <cellStyle name="Normal 5 10 2 21 3" xfId="31854" xr:uid="{00000000-0005-0000-0000-00006E7C0000}"/>
    <cellStyle name="Normal 5 10 2 21 3 10" xfId="31855" xr:uid="{00000000-0005-0000-0000-00006F7C0000}"/>
    <cellStyle name="Normal 5 10 2 21 3 2" xfId="31856" xr:uid="{00000000-0005-0000-0000-0000707C0000}"/>
    <cellStyle name="Normal 5 10 2 21 3 3" xfId="31857" xr:uid="{00000000-0005-0000-0000-0000717C0000}"/>
    <cellStyle name="Normal 5 10 2 21 3 4" xfId="31858" xr:uid="{00000000-0005-0000-0000-0000727C0000}"/>
    <cellStyle name="Normal 5 10 2 21 3 5" xfId="31859" xr:uid="{00000000-0005-0000-0000-0000737C0000}"/>
    <cellStyle name="Normal 5 10 2 21 3 6" xfId="31860" xr:uid="{00000000-0005-0000-0000-0000747C0000}"/>
    <cellStyle name="Normal 5 10 2 21 3 7" xfId="31861" xr:uid="{00000000-0005-0000-0000-0000757C0000}"/>
    <cellStyle name="Normal 5 10 2 21 3 8" xfId="31862" xr:uid="{00000000-0005-0000-0000-0000767C0000}"/>
    <cellStyle name="Normal 5 10 2 21 3 9" xfId="31863" xr:uid="{00000000-0005-0000-0000-0000777C0000}"/>
    <cellStyle name="Normal 5 10 2 21 4" xfId="31864" xr:uid="{00000000-0005-0000-0000-0000787C0000}"/>
    <cellStyle name="Normal 5 10 2 21 4 10" xfId="31865" xr:uid="{00000000-0005-0000-0000-0000797C0000}"/>
    <cellStyle name="Normal 5 10 2 21 4 2" xfId="31866" xr:uid="{00000000-0005-0000-0000-00007A7C0000}"/>
    <cellStyle name="Normal 5 10 2 21 4 3" xfId="31867" xr:uid="{00000000-0005-0000-0000-00007B7C0000}"/>
    <cellStyle name="Normal 5 10 2 21 4 4" xfId="31868" xr:uid="{00000000-0005-0000-0000-00007C7C0000}"/>
    <cellStyle name="Normal 5 10 2 21 4 5" xfId="31869" xr:uid="{00000000-0005-0000-0000-00007D7C0000}"/>
    <cellStyle name="Normal 5 10 2 21 4 6" xfId="31870" xr:uid="{00000000-0005-0000-0000-00007E7C0000}"/>
    <cellStyle name="Normal 5 10 2 21 4 7" xfId="31871" xr:uid="{00000000-0005-0000-0000-00007F7C0000}"/>
    <cellStyle name="Normal 5 10 2 21 4 8" xfId="31872" xr:uid="{00000000-0005-0000-0000-0000807C0000}"/>
    <cellStyle name="Normal 5 10 2 21 4 9" xfId="31873" xr:uid="{00000000-0005-0000-0000-0000817C0000}"/>
    <cellStyle name="Normal 5 10 2 21 5" xfId="31874" xr:uid="{00000000-0005-0000-0000-0000827C0000}"/>
    <cellStyle name="Normal 5 10 2 21 5 10" xfId="31875" xr:uid="{00000000-0005-0000-0000-0000837C0000}"/>
    <cellStyle name="Normal 5 10 2 21 5 2" xfId="31876" xr:uid="{00000000-0005-0000-0000-0000847C0000}"/>
    <cellStyle name="Normal 5 10 2 21 5 3" xfId="31877" xr:uid="{00000000-0005-0000-0000-0000857C0000}"/>
    <cellStyle name="Normal 5 10 2 21 5 4" xfId="31878" xr:uid="{00000000-0005-0000-0000-0000867C0000}"/>
    <cellStyle name="Normal 5 10 2 21 5 5" xfId="31879" xr:uid="{00000000-0005-0000-0000-0000877C0000}"/>
    <cellStyle name="Normal 5 10 2 21 5 6" xfId="31880" xr:uid="{00000000-0005-0000-0000-0000887C0000}"/>
    <cellStyle name="Normal 5 10 2 21 5 7" xfId="31881" xr:uid="{00000000-0005-0000-0000-0000897C0000}"/>
    <cellStyle name="Normal 5 10 2 21 5 8" xfId="31882" xr:uid="{00000000-0005-0000-0000-00008A7C0000}"/>
    <cellStyle name="Normal 5 10 2 21 5 9" xfId="31883" xr:uid="{00000000-0005-0000-0000-00008B7C0000}"/>
    <cellStyle name="Normal 5 10 2 21 6" xfId="31884" xr:uid="{00000000-0005-0000-0000-00008C7C0000}"/>
    <cellStyle name="Normal 5 10 2 21 7" xfId="31885" xr:uid="{00000000-0005-0000-0000-00008D7C0000}"/>
    <cellStyle name="Normal 5 10 2 21 8" xfId="31886" xr:uid="{00000000-0005-0000-0000-00008E7C0000}"/>
    <cellStyle name="Normal 5 10 2 21 9" xfId="31887" xr:uid="{00000000-0005-0000-0000-00008F7C0000}"/>
    <cellStyle name="Normal 5 10 2 22" xfId="31888" xr:uid="{00000000-0005-0000-0000-0000907C0000}"/>
    <cellStyle name="Normal 5 10 2 22 10" xfId="31889" xr:uid="{00000000-0005-0000-0000-0000917C0000}"/>
    <cellStyle name="Normal 5 10 2 22 11" xfId="31890" xr:uid="{00000000-0005-0000-0000-0000927C0000}"/>
    <cellStyle name="Normal 5 10 2 22 12" xfId="31891" xr:uid="{00000000-0005-0000-0000-0000937C0000}"/>
    <cellStyle name="Normal 5 10 2 22 13" xfId="31892" xr:uid="{00000000-0005-0000-0000-0000947C0000}"/>
    <cellStyle name="Normal 5 10 2 22 14" xfId="31893" xr:uid="{00000000-0005-0000-0000-0000957C0000}"/>
    <cellStyle name="Normal 5 10 2 22 2" xfId="31894" xr:uid="{00000000-0005-0000-0000-0000967C0000}"/>
    <cellStyle name="Normal 5 10 2 22 2 10" xfId="31895" xr:uid="{00000000-0005-0000-0000-0000977C0000}"/>
    <cellStyle name="Normal 5 10 2 22 2 2" xfId="31896" xr:uid="{00000000-0005-0000-0000-0000987C0000}"/>
    <cellStyle name="Normal 5 10 2 22 2 3" xfId="31897" xr:uid="{00000000-0005-0000-0000-0000997C0000}"/>
    <cellStyle name="Normal 5 10 2 22 2 4" xfId="31898" xr:uid="{00000000-0005-0000-0000-00009A7C0000}"/>
    <cellStyle name="Normal 5 10 2 22 2 5" xfId="31899" xr:uid="{00000000-0005-0000-0000-00009B7C0000}"/>
    <cellStyle name="Normal 5 10 2 22 2 6" xfId="31900" xr:uid="{00000000-0005-0000-0000-00009C7C0000}"/>
    <cellStyle name="Normal 5 10 2 22 2 7" xfId="31901" xr:uid="{00000000-0005-0000-0000-00009D7C0000}"/>
    <cellStyle name="Normal 5 10 2 22 2 8" xfId="31902" xr:uid="{00000000-0005-0000-0000-00009E7C0000}"/>
    <cellStyle name="Normal 5 10 2 22 2 9" xfId="31903" xr:uid="{00000000-0005-0000-0000-00009F7C0000}"/>
    <cellStyle name="Normal 5 10 2 22 3" xfId="31904" xr:uid="{00000000-0005-0000-0000-0000A07C0000}"/>
    <cellStyle name="Normal 5 10 2 22 3 10" xfId="31905" xr:uid="{00000000-0005-0000-0000-0000A17C0000}"/>
    <cellStyle name="Normal 5 10 2 22 3 2" xfId="31906" xr:uid="{00000000-0005-0000-0000-0000A27C0000}"/>
    <cellStyle name="Normal 5 10 2 22 3 3" xfId="31907" xr:uid="{00000000-0005-0000-0000-0000A37C0000}"/>
    <cellStyle name="Normal 5 10 2 22 3 4" xfId="31908" xr:uid="{00000000-0005-0000-0000-0000A47C0000}"/>
    <cellStyle name="Normal 5 10 2 22 3 5" xfId="31909" xr:uid="{00000000-0005-0000-0000-0000A57C0000}"/>
    <cellStyle name="Normal 5 10 2 22 3 6" xfId="31910" xr:uid="{00000000-0005-0000-0000-0000A67C0000}"/>
    <cellStyle name="Normal 5 10 2 22 3 7" xfId="31911" xr:uid="{00000000-0005-0000-0000-0000A77C0000}"/>
    <cellStyle name="Normal 5 10 2 22 3 8" xfId="31912" xr:uid="{00000000-0005-0000-0000-0000A87C0000}"/>
    <cellStyle name="Normal 5 10 2 22 3 9" xfId="31913" xr:uid="{00000000-0005-0000-0000-0000A97C0000}"/>
    <cellStyle name="Normal 5 10 2 22 4" xfId="31914" xr:uid="{00000000-0005-0000-0000-0000AA7C0000}"/>
    <cellStyle name="Normal 5 10 2 22 4 10" xfId="31915" xr:uid="{00000000-0005-0000-0000-0000AB7C0000}"/>
    <cellStyle name="Normal 5 10 2 22 4 2" xfId="31916" xr:uid="{00000000-0005-0000-0000-0000AC7C0000}"/>
    <cellStyle name="Normal 5 10 2 22 4 3" xfId="31917" xr:uid="{00000000-0005-0000-0000-0000AD7C0000}"/>
    <cellStyle name="Normal 5 10 2 22 4 4" xfId="31918" xr:uid="{00000000-0005-0000-0000-0000AE7C0000}"/>
    <cellStyle name="Normal 5 10 2 22 4 5" xfId="31919" xr:uid="{00000000-0005-0000-0000-0000AF7C0000}"/>
    <cellStyle name="Normal 5 10 2 22 4 6" xfId="31920" xr:uid="{00000000-0005-0000-0000-0000B07C0000}"/>
    <cellStyle name="Normal 5 10 2 22 4 7" xfId="31921" xr:uid="{00000000-0005-0000-0000-0000B17C0000}"/>
    <cellStyle name="Normal 5 10 2 22 4 8" xfId="31922" xr:uid="{00000000-0005-0000-0000-0000B27C0000}"/>
    <cellStyle name="Normal 5 10 2 22 4 9" xfId="31923" xr:uid="{00000000-0005-0000-0000-0000B37C0000}"/>
    <cellStyle name="Normal 5 10 2 22 5" xfId="31924" xr:uid="{00000000-0005-0000-0000-0000B47C0000}"/>
    <cellStyle name="Normal 5 10 2 22 5 10" xfId="31925" xr:uid="{00000000-0005-0000-0000-0000B57C0000}"/>
    <cellStyle name="Normal 5 10 2 22 5 2" xfId="31926" xr:uid="{00000000-0005-0000-0000-0000B67C0000}"/>
    <cellStyle name="Normal 5 10 2 22 5 3" xfId="31927" xr:uid="{00000000-0005-0000-0000-0000B77C0000}"/>
    <cellStyle name="Normal 5 10 2 22 5 4" xfId="31928" xr:uid="{00000000-0005-0000-0000-0000B87C0000}"/>
    <cellStyle name="Normal 5 10 2 22 5 5" xfId="31929" xr:uid="{00000000-0005-0000-0000-0000B97C0000}"/>
    <cellStyle name="Normal 5 10 2 22 5 6" xfId="31930" xr:uid="{00000000-0005-0000-0000-0000BA7C0000}"/>
    <cellStyle name="Normal 5 10 2 22 5 7" xfId="31931" xr:uid="{00000000-0005-0000-0000-0000BB7C0000}"/>
    <cellStyle name="Normal 5 10 2 22 5 8" xfId="31932" xr:uid="{00000000-0005-0000-0000-0000BC7C0000}"/>
    <cellStyle name="Normal 5 10 2 22 5 9" xfId="31933" xr:uid="{00000000-0005-0000-0000-0000BD7C0000}"/>
    <cellStyle name="Normal 5 10 2 22 6" xfId="31934" xr:uid="{00000000-0005-0000-0000-0000BE7C0000}"/>
    <cellStyle name="Normal 5 10 2 22 7" xfId="31935" xr:uid="{00000000-0005-0000-0000-0000BF7C0000}"/>
    <cellStyle name="Normal 5 10 2 22 8" xfId="31936" xr:uid="{00000000-0005-0000-0000-0000C07C0000}"/>
    <cellStyle name="Normal 5 10 2 22 9" xfId="31937" xr:uid="{00000000-0005-0000-0000-0000C17C0000}"/>
    <cellStyle name="Normal 5 10 2 23" xfId="31938" xr:uid="{00000000-0005-0000-0000-0000C27C0000}"/>
    <cellStyle name="Normal 5 10 2 23 10" xfId="31939" xr:uid="{00000000-0005-0000-0000-0000C37C0000}"/>
    <cellStyle name="Normal 5 10 2 23 11" xfId="31940" xr:uid="{00000000-0005-0000-0000-0000C47C0000}"/>
    <cellStyle name="Normal 5 10 2 23 12" xfId="31941" xr:uid="{00000000-0005-0000-0000-0000C57C0000}"/>
    <cellStyle name="Normal 5 10 2 23 13" xfId="31942" xr:uid="{00000000-0005-0000-0000-0000C67C0000}"/>
    <cellStyle name="Normal 5 10 2 23 14" xfId="31943" xr:uid="{00000000-0005-0000-0000-0000C77C0000}"/>
    <cellStyle name="Normal 5 10 2 23 2" xfId="31944" xr:uid="{00000000-0005-0000-0000-0000C87C0000}"/>
    <cellStyle name="Normal 5 10 2 23 2 10" xfId="31945" xr:uid="{00000000-0005-0000-0000-0000C97C0000}"/>
    <cellStyle name="Normal 5 10 2 23 2 2" xfId="31946" xr:uid="{00000000-0005-0000-0000-0000CA7C0000}"/>
    <cellStyle name="Normal 5 10 2 23 2 3" xfId="31947" xr:uid="{00000000-0005-0000-0000-0000CB7C0000}"/>
    <cellStyle name="Normal 5 10 2 23 2 4" xfId="31948" xr:uid="{00000000-0005-0000-0000-0000CC7C0000}"/>
    <cellStyle name="Normal 5 10 2 23 2 5" xfId="31949" xr:uid="{00000000-0005-0000-0000-0000CD7C0000}"/>
    <cellStyle name="Normal 5 10 2 23 2 6" xfId="31950" xr:uid="{00000000-0005-0000-0000-0000CE7C0000}"/>
    <cellStyle name="Normal 5 10 2 23 2 7" xfId="31951" xr:uid="{00000000-0005-0000-0000-0000CF7C0000}"/>
    <cellStyle name="Normal 5 10 2 23 2 8" xfId="31952" xr:uid="{00000000-0005-0000-0000-0000D07C0000}"/>
    <cellStyle name="Normal 5 10 2 23 2 9" xfId="31953" xr:uid="{00000000-0005-0000-0000-0000D17C0000}"/>
    <cellStyle name="Normal 5 10 2 23 3" xfId="31954" xr:uid="{00000000-0005-0000-0000-0000D27C0000}"/>
    <cellStyle name="Normal 5 10 2 23 3 10" xfId="31955" xr:uid="{00000000-0005-0000-0000-0000D37C0000}"/>
    <cellStyle name="Normal 5 10 2 23 3 2" xfId="31956" xr:uid="{00000000-0005-0000-0000-0000D47C0000}"/>
    <cellStyle name="Normal 5 10 2 23 3 3" xfId="31957" xr:uid="{00000000-0005-0000-0000-0000D57C0000}"/>
    <cellStyle name="Normal 5 10 2 23 3 4" xfId="31958" xr:uid="{00000000-0005-0000-0000-0000D67C0000}"/>
    <cellStyle name="Normal 5 10 2 23 3 5" xfId="31959" xr:uid="{00000000-0005-0000-0000-0000D77C0000}"/>
    <cellStyle name="Normal 5 10 2 23 3 6" xfId="31960" xr:uid="{00000000-0005-0000-0000-0000D87C0000}"/>
    <cellStyle name="Normal 5 10 2 23 3 7" xfId="31961" xr:uid="{00000000-0005-0000-0000-0000D97C0000}"/>
    <cellStyle name="Normal 5 10 2 23 3 8" xfId="31962" xr:uid="{00000000-0005-0000-0000-0000DA7C0000}"/>
    <cellStyle name="Normal 5 10 2 23 3 9" xfId="31963" xr:uid="{00000000-0005-0000-0000-0000DB7C0000}"/>
    <cellStyle name="Normal 5 10 2 23 4" xfId="31964" xr:uid="{00000000-0005-0000-0000-0000DC7C0000}"/>
    <cellStyle name="Normal 5 10 2 23 4 10" xfId="31965" xr:uid="{00000000-0005-0000-0000-0000DD7C0000}"/>
    <cellStyle name="Normal 5 10 2 23 4 2" xfId="31966" xr:uid="{00000000-0005-0000-0000-0000DE7C0000}"/>
    <cellStyle name="Normal 5 10 2 23 4 3" xfId="31967" xr:uid="{00000000-0005-0000-0000-0000DF7C0000}"/>
    <cellStyle name="Normal 5 10 2 23 4 4" xfId="31968" xr:uid="{00000000-0005-0000-0000-0000E07C0000}"/>
    <cellStyle name="Normal 5 10 2 23 4 5" xfId="31969" xr:uid="{00000000-0005-0000-0000-0000E17C0000}"/>
    <cellStyle name="Normal 5 10 2 23 4 6" xfId="31970" xr:uid="{00000000-0005-0000-0000-0000E27C0000}"/>
    <cellStyle name="Normal 5 10 2 23 4 7" xfId="31971" xr:uid="{00000000-0005-0000-0000-0000E37C0000}"/>
    <cellStyle name="Normal 5 10 2 23 4 8" xfId="31972" xr:uid="{00000000-0005-0000-0000-0000E47C0000}"/>
    <cellStyle name="Normal 5 10 2 23 4 9" xfId="31973" xr:uid="{00000000-0005-0000-0000-0000E57C0000}"/>
    <cellStyle name="Normal 5 10 2 23 5" xfId="31974" xr:uid="{00000000-0005-0000-0000-0000E67C0000}"/>
    <cellStyle name="Normal 5 10 2 23 5 10" xfId="31975" xr:uid="{00000000-0005-0000-0000-0000E77C0000}"/>
    <cellStyle name="Normal 5 10 2 23 5 2" xfId="31976" xr:uid="{00000000-0005-0000-0000-0000E87C0000}"/>
    <cellStyle name="Normal 5 10 2 23 5 3" xfId="31977" xr:uid="{00000000-0005-0000-0000-0000E97C0000}"/>
    <cellStyle name="Normal 5 10 2 23 5 4" xfId="31978" xr:uid="{00000000-0005-0000-0000-0000EA7C0000}"/>
    <cellStyle name="Normal 5 10 2 23 5 5" xfId="31979" xr:uid="{00000000-0005-0000-0000-0000EB7C0000}"/>
    <cellStyle name="Normal 5 10 2 23 5 6" xfId="31980" xr:uid="{00000000-0005-0000-0000-0000EC7C0000}"/>
    <cellStyle name="Normal 5 10 2 23 5 7" xfId="31981" xr:uid="{00000000-0005-0000-0000-0000ED7C0000}"/>
    <cellStyle name="Normal 5 10 2 23 5 8" xfId="31982" xr:uid="{00000000-0005-0000-0000-0000EE7C0000}"/>
    <cellStyle name="Normal 5 10 2 23 5 9" xfId="31983" xr:uid="{00000000-0005-0000-0000-0000EF7C0000}"/>
    <cellStyle name="Normal 5 10 2 23 6" xfId="31984" xr:uid="{00000000-0005-0000-0000-0000F07C0000}"/>
    <cellStyle name="Normal 5 10 2 23 7" xfId="31985" xr:uid="{00000000-0005-0000-0000-0000F17C0000}"/>
    <cellStyle name="Normal 5 10 2 23 8" xfId="31986" xr:uid="{00000000-0005-0000-0000-0000F27C0000}"/>
    <cellStyle name="Normal 5 10 2 23 9" xfId="31987" xr:uid="{00000000-0005-0000-0000-0000F37C0000}"/>
    <cellStyle name="Normal 5 10 2 24" xfId="31988" xr:uid="{00000000-0005-0000-0000-0000F47C0000}"/>
    <cellStyle name="Normal 5 10 2 24 10" xfId="31989" xr:uid="{00000000-0005-0000-0000-0000F57C0000}"/>
    <cellStyle name="Normal 5 10 2 24 11" xfId="31990" xr:uid="{00000000-0005-0000-0000-0000F67C0000}"/>
    <cellStyle name="Normal 5 10 2 24 12" xfId="31991" xr:uid="{00000000-0005-0000-0000-0000F77C0000}"/>
    <cellStyle name="Normal 5 10 2 24 13" xfId="31992" xr:uid="{00000000-0005-0000-0000-0000F87C0000}"/>
    <cellStyle name="Normal 5 10 2 24 14" xfId="31993" xr:uid="{00000000-0005-0000-0000-0000F97C0000}"/>
    <cellStyle name="Normal 5 10 2 24 2" xfId="31994" xr:uid="{00000000-0005-0000-0000-0000FA7C0000}"/>
    <cellStyle name="Normal 5 10 2 24 2 10" xfId="31995" xr:uid="{00000000-0005-0000-0000-0000FB7C0000}"/>
    <cellStyle name="Normal 5 10 2 24 2 2" xfId="31996" xr:uid="{00000000-0005-0000-0000-0000FC7C0000}"/>
    <cellStyle name="Normal 5 10 2 24 2 3" xfId="31997" xr:uid="{00000000-0005-0000-0000-0000FD7C0000}"/>
    <cellStyle name="Normal 5 10 2 24 2 4" xfId="31998" xr:uid="{00000000-0005-0000-0000-0000FE7C0000}"/>
    <cellStyle name="Normal 5 10 2 24 2 5" xfId="31999" xr:uid="{00000000-0005-0000-0000-0000FF7C0000}"/>
    <cellStyle name="Normal 5 10 2 24 2 6" xfId="32000" xr:uid="{00000000-0005-0000-0000-0000007D0000}"/>
    <cellStyle name="Normal 5 10 2 24 2 7" xfId="32001" xr:uid="{00000000-0005-0000-0000-0000017D0000}"/>
    <cellStyle name="Normal 5 10 2 24 2 8" xfId="32002" xr:uid="{00000000-0005-0000-0000-0000027D0000}"/>
    <cellStyle name="Normal 5 10 2 24 2 9" xfId="32003" xr:uid="{00000000-0005-0000-0000-0000037D0000}"/>
    <cellStyle name="Normal 5 10 2 24 3" xfId="32004" xr:uid="{00000000-0005-0000-0000-0000047D0000}"/>
    <cellStyle name="Normal 5 10 2 24 3 10" xfId="32005" xr:uid="{00000000-0005-0000-0000-0000057D0000}"/>
    <cellStyle name="Normal 5 10 2 24 3 2" xfId="32006" xr:uid="{00000000-0005-0000-0000-0000067D0000}"/>
    <cellStyle name="Normal 5 10 2 24 3 3" xfId="32007" xr:uid="{00000000-0005-0000-0000-0000077D0000}"/>
    <cellStyle name="Normal 5 10 2 24 3 4" xfId="32008" xr:uid="{00000000-0005-0000-0000-0000087D0000}"/>
    <cellStyle name="Normal 5 10 2 24 3 5" xfId="32009" xr:uid="{00000000-0005-0000-0000-0000097D0000}"/>
    <cellStyle name="Normal 5 10 2 24 3 6" xfId="32010" xr:uid="{00000000-0005-0000-0000-00000A7D0000}"/>
    <cellStyle name="Normal 5 10 2 24 3 7" xfId="32011" xr:uid="{00000000-0005-0000-0000-00000B7D0000}"/>
    <cellStyle name="Normal 5 10 2 24 3 8" xfId="32012" xr:uid="{00000000-0005-0000-0000-00000C7D0000}"/>
    <cellStyle name="Normal 5 10 2 24 3 9" xfId="32013" xr:uid="{00000000-0005-0000-0000-00000D7D0000}"/>
    <cellStyle name="Normal 5 10 2 24 4" xfId="32014" xr:uid="{00000000-0005-0000-0000-00000E7D0000}"/>
    <cellStyle name="Normal 5 10 2 24 4 10" xfId="32015" xr:uid="{00000000-0005-0000-0000-00000F7D0000}"/>
    <cellStyle name="Normal 5 10 2 24 4 2" xfId="32016" xr:uid="{00000000-0005-0000-0000-0000107D0000}"/>
    <cellStyle name="Normal 5 10 2 24 4 3" xfId="32017" xr:uid="{00000000-0005-0000-0000-0000117D0000}"/>
    <cellStyle name="Normal 5 10 2 24 4 4" xfId="32018" xr:uid="{00000000-0005-0000-0000-0000127D0000}"/>
    <cellStyle name="Normal 5 10 2 24 4 5" xfId="32019" xr:uid="{00000000-0005-0000-0000-0000137D0000}"/>
    <cellStyle name="Normal 5 10 2 24 4 6" xfId="32020" xr:uid="{00000000-0005-0000-0000-0000147D0000}"/>
    <cellStyle name="Normal 5 10 2 24 4 7" xfId="32021" xr:uid="{00000000-0005-0000-0000-0000157D0000}"/>
    <cellStyle name="Normal 5 10 2 24 4 8" xfId="32022" xr:uid="{00000000-0005-0000-0000-0000167D0000}"/>
    <cellStyle name="Normal 5 10 2 24 4 9" xfId="32023" xr:uid="{00000000-0005-0000-0000-0000177D0000}"/>
    <cellStyle name="Normal 5 10 2 24 5" xfId="32024" xr:uid="{00000000-0005-0000-0000-0000187D0000}"/>
    <cellStyle name="Normal 5 10 2 24 5 10" xfId="32025" xr:uid="{00000000-0005-0000-0000-0000197D0000}"/>
    <cellStyle name="Normal 5 10 2 24 5 2" xfId="32026" xr:uid="{00000000-0005-0000-0000-00001A7D0000}"/>
    <cellStyle name="Normal 5 10 2 24 5 3" xfId="32027" xr:uid="{00000000-0005-0000-0000-00001B7D0000}"/>
    <cellStyle name="Normal 5 10 2 24 5 4" xfId="32028" xr:uid="{00000000-0005-0000-0000-00001C7D0000}"/>
    <cellStyle name="Normal 5 10 2 24 5 5" xfId="32029" xr:uid="{00000000-0005-0000-0000-00001D7D0000}"/>
    <cellStyle name="Normal 5 10 2 24 5 6" xfId="32030" xr:uid="{00000000-0005-0000-0000-00001E7D0000}"/>
    <cellStyle name="Normal 5 10 2 24 5 7" xfId="32031" xr:uid="{00000000-0005-0000-0000-00001F7D0000}"/>
    <cellStyle name="Normal 5 10 2 24 5 8" xfId="32032" xr:uid="{00000000-0005-0000-0000-0000207D0000}"/>
    <cellStyle name="Normal 5 10 2 24 5 9" xfId="32033" xr:uid="{00000000-0005-0000-0000-0000217D0000}"/>
    <cellStyle name="Normal 5 10 2 24 6" xfId="32034" xr:uid="{00000000-0005-0000-0000-0000227D0000}"/>
    <cellStyle name="Normal 5 10 2 24 7" xfId="32035" xr:uid="{00000000-0005-0000-0000-0000237D0000}"/>
    <cellStyle name="Normal 5 10 2 24 8" xfId="32036" xr:uid="{00000000-0005-0000-0000-0000247D0000}"/>
    <cellStyle name="Normal 5 10 2 24 9" xfId="32037" xr:uid="{00000000-0005-0000-0000-0000257D0000}"/>
    <cellStyle name="Normal 5 10 2 25" xfId="32038" xr:uid="{00000000-0005-0000-0000-0000267D0000}"/>
    <cellStyle name="Normal 5 10 2 25 10" xfId="32039" xr:uid="{00000000-0005-0000-0000-0000277D0000}"/>
    <cellStyle name="Normal 5 10 2 25 11" xfId="32040" xr:uid="{00000000-0005-0000-0000-0000287D0000}"/>
    <cellStyle name="Normal 5 10 2 25 12" xfId="32041" xr:uid="{00000000-0005-0000-0000-0000297D0000}"/>
    <cellStyle name="Normal 5 10 2 25 13" xfId="32042" xr:uid="{00000000-0005-0000-0000-00002A7D0000}"/>
    <cellStyle name="Normal 5 10 2 25 14" xfId="32043" xr:uid="{00000000-0005-0000-0000-00002B7D0000}"/>
    <cellStyle name="Normal 5 10 2 25 2" xfId="32044" xr:uid="{00000000-0005-0000-0000-00002C7D0000}"/>
    <cellStyle name="Normal 5 10 2 25 2 10" xfId="32045" xr:uid="{00000000-0005-0000-0000-00002D7D0000}"/>
    <cellStyle name="Normal 5 10 2 25 2 2" xfId="32046" xr:uid="{00000000-0005-0000-0000-00002E7D0000}"/>
    <cellStyle name="Normal 5 10 2 25 2 3" xfId="32047" xr:uid="{00000000-0005-0000-0000-00002F7D0000}"/>
    <cellStyle name="Normal 5 10 2 25 2 4" xfId="32048" xr:uid="{00000000-0005-0000-0000-0000307D0000}"/>
    <cellStyle name="Normal 5 10 2 25 2 5" xfId="32049" xr:uid="{00000000-0005-0000-0000-0000317D0000}"/>
    <cellStyle name="Normal 5 10 2 25 2 6" xfId="32050" xr:uid="{00000000-0005-0000-0000-0000327D0000}"/>
    <cellStyle name="Normal 5 10 2 25 2 7" xfId="32051" xr:uid="{00000000-0005-0000-0000-0000337D0000}"/>
    <cellStyle name="Normal 5 10 2 25 2 8" xfId="32052" xr:uid="{00000000-0005-0000-0000-0000347D0000}"/>
    <cellStyle name="Normal 5 10 2 25 2 9" xfId="32053" xr:uid="{00000000-0005-0000-0000-0000357D0000}"/>
    <cellStyle name="Normal 5 10 2 25 3" xfId="32054" xr:uid="{00000000-0005-0000-0000-0000367D0000}"/>
    <cellStyle name="Normal 5 10 2 25 3 10" xfId="32055" xr:uid="{00000000-0005-0000-0000-0000377D0000}"/>
    <cellStyle name="Normal 5 10 2 25 3 2" xfId="32056" xr:uid="{00000000-0005-0000-0000-0000387D0000}"/>
    <cellStyle name="Normal 5 10 2 25 3 3" xfId="32057" xr:uid="{00000000-0005-0000-0000-0000397D0000}"/>
    <cellStyle name="Normal 5 10 2 25 3 4" xfId="32058" xr:uid="{00000000-0005-0000-0000-00003A7D0000}"/>
    <cellStyle name="Normal 5 10 2 25 3 5" xfId="32059" xr:uid="{00000000-0005-0000-0000-00003B7D0000}"/>
    <cellStyle name="Normal 5 10 2 25 3 6" xfId="32060" xr:uid="{00000000-0005-0000-0000-00003C7D0000}"/>
    <cellStyle name="Normal 5 10 2 25 3 7" xfId="32061" xr:uid="{00000000-0005-0000-0000-00003D7D0000}"/>
    <cellStyle name="Normal 5 10 2 25 3 8" xfId="32062" xr:uid="{00000000-0005-0000-0000-00003E7D0000}"/>
    <cellStyle name="Normal 5 10 2 25 3 9" xfId="32063" xr:uid="{00000000-0005-0000-0000-00003F7D0000}"/>
    <cellStyle name="Normal 5 10 2 25 4" xfId="32064" xr:uid="{00000000-0005-0000-0000-0000407D0000}"/>
    <cellStyle name="Normal 5 10 2 25 4 10" xfId="32065" xr:uid="{00000000-0005-0000-0000-0000417D0000}"/>
    <cellStyle name="Normal 5 10 2 25 4 2" xfId="32066" xr:uid="{00000000-0005-0000-0000-0000427D0000}"/>
    <cellStyle name="Normal 5 10 2 25 4 3" xfId="32067" xr:uid="{00000000-0005-0000-0000-0000437D0000}"/>
    <cellStyle name="Normal 5 10 2 25 4 4" xfId="32068" xr:uid="{00000000-0005-0000-0000-0000447D0000}"/>
    <cellStyle name="Normal 5 10 2 25 4 5" xfId="32069" xr:uid="{00000000-0005-0000-0000-0000457D0000}"/>
    <cellStyle name="Normal 5 10 2 25 4 6" xfId="32070" xr:uid="{00000000-0005-0000-0000-0000467D0000}"/>
    <cellStyle name="Normal 5 10 2 25 4 7" xfId="32071" xr:uid="{00000000-0005-0000-0000-0000477D0000}"/>
    <cellStyle name="Normal 5 10 2 25 4 8" xfId="32072" xr:uid="{00000000-0005-0000-0000-0000487D0000}"/>
    <cellStyle name="Normal 5 10 2 25 4 9" xfId="32073" xr:uid="{00000000-0005-0000-0000-0000497D0000}"/>
    <cellStyle name="Normal 5 10 2 25 5" xfId="32074" xr:uid="{00000000-0005-0000-0000-00004A7D0000}"/>
    <cellStyle name="Normal 5 10 2 25 5 10" xfId="32075" xr:uid="{00000000-0005-0000-0000-00004B7D0000}"/>
    <cellStyle name="Normal 5 10 2 25 5 2" xfId="32076" xr:uid="{00000000-0005-0000-0000-00004C7D0000}"/>
    <cellStyle name="Normal 5 10 2 25 5 3" xfId="32077" xr:uid="{00000000-0005-0000-0000-00004D7D0000}"/>
    <cellStyle name="Normal 5 10 2 25 5 4" xfId="32078" xr:uid="{00000000-0005-0000-0000-00004E7D0000}"/>
    <cellStyle name="Normal 5 10 2 25 5 5" xfId="32079" xr:uid="{00000000-0005-0000-0000-00004F7D0000}"/>
    <cellStyle name="Normal 5 10 2 25 5 6" xfId="32080" xr:uid="{00000000-0005-0000-0000-0000507D0000}"/>
    <cellStyle name="Normal 5 10 2 25 5 7" xfId="32081" xr:uid="{00000000-0005-0000-0000-0000517D0000}"/>
    <cellStyle name="Normal 5 10 2 25 5 8" xfId="32082" xr:uid="{00000000-0005-0000-0000-0000527D0000}"/>
    <cellStyle name="Normal 5 10 2 25 5 9" xfId="32083" xr:uid="{00000000-0005-0000-0000-0000537D0000}"/>
    <cellStyle name="Normal 5 10 2 25 6" xfId="32084" xr:uid="{00000000-0005-0000-0000-0000547D0000}"/>
    <cellStyle name="Normal 5 10 2 25 7" xfId="32085" xr:uid="{00000000-0005-0000-0000-0000557D0000}"/>
    <cellStyle name="Normal 5 10 2 25 8" xfId="32086" xr:uid="{00000000-0005-0000-0000-0000567D0000}"/>
    <cellStyle name="Normal 5 10 2 25 9" xfId="32087" xr:uid="{00000000-0005-0000-0000-0000577D0000}"/>
    <cellStyle name="Normal 5 10 2 26" xfId="32088" xr:uid="{00000000-0005-0000-0000-0000587D0000}"/>
    <cellStyle name="Normal 5 10 2 26 10" xfId="32089" xr:uid="{00000000-0005-0000-0000-0000597D0000}"/>
    <cellStyle name="Normal 5 10 2 26 11" xfId="32090" xr:uid="{00000000-0005-0000-0000-00005A7D0000}"/>
    <cellStyle name="Normal 5 10 2 26 12" xfId="32091" xr:uid="{00000000-0005-0000-0000-00005B7D0000}"/>
    <cellStyle name="Normal 5 10 2 26 13" xfId="32092" xr:uid="{00000000-0005-0000-0000-00005C7D0000}"/>
    <cellStyle name="Normal 5 10 2 26 14" xfId="32093" xr:uid="{00000000-0005-0000-0000-00005D7D0000}"/>
    <cellStyle name="Normal 5 10 2 26 2" xfId="32094" xr:uid="{00000000-0005-0000-0000-00005E7D0000}"/>
    <cellStyle name="Normal 5 10 2 26 2 10" xfId="32095" xr:uid="{00000000-0005-0000-0000-00005F7D0000}"/>
    <cellStyle name="Normal 5 10 2 26 2 2" xfId="32096" xr:uid="{00000000-0005-0000-0000-0000607D0000}"/>
    <cellStyle name="Normal 5 10 2 26 2 3" xfId="32097" xr:uid="{00000000-0005-0000-0000-0000617D0000}"/>
    <cellStyle name="Normal 5 10 2 26 2 4" xfId="32098" xr:uid="{00000000-0005-0000-0000-0000627D0000}"/>
    <cellStyle name="Normal 5 10 2 26 2 5" xfId="32099" xr:uid="{00000000-0005-0000-0000-0000637D0000}"/>
    <cellStyle name="Normal 5 10 2 26 2 6" xfId="32100" xr:uid="{00000000-0005-0000-0000-0000647D0000}"/>
    <cellStyle name="Normal 5 10 2 26 2 7" xfId="32101" xr:uid="{00000000-0005-0000-0000-0000657D0000}"/>
    <cellStyle name="Normal 5 10 2 26 2 8" xfId="32102" xr:uid="{00000000-0005-0000-0000-0000667D0000}"/>
    <cellStyle name="Normal 5 10 2 26 2 9" xfId="32103" xr:uid="{00000000-0005-0000-0000-0000677D0000}"/>
    <cellStyle name="Normal 5 10 2 26 3" xfId="32104" xr:uid="{00000000-0005-0000-0000-0000687D0000}"/>
    <cellStyle name="Normal 5 10 2 26 3 10" xfId="32105" xr:uid="{00000000-0005-0000-0000-0000697D0000}"/>
    <cellStyle name="Normal 5 10 2 26 3 2" xfId="32106" xr:uid="{00000000-0005-0000-0000-00006A7D0000}"/>
    <cellStyle name="Normal 5 10 2 26 3 3" xfId="32107" xr:uid="{00000000-0005-0000-0000-00006B7D0000}"/>
    <cellStyle name="Normal 5 10 2 26 3 4" xfId="32108" xr:uid="{00000000-0005-0000-0000-00006C7D0000}"/>
    <cellStyle name="Normal 5 10 2 26 3 5" xfId="32109" xr:uid="{00000000-0005-0000-0000-00006D7D0000}"/>
    <cellStyle name="Normal 5 10 2 26 3 6" xfId="32110" xr:uid="{00000000-0005-0000-0000-00006E7D0000}"/>
    <cellStyle name="Normal 5 10 2 26 3 7" xfId="32111" xr:uid="{00000000-0005-0000-0000-00006F7D0000}"/>
    <cellStyle name="Normal 5 10 2 26 3 8" xfId="32112" xr:uid="{00000000-0005-0000-0000-0000707D0000}"/>
    <cellStyle name="Normal 5 10 2 26 3 9" xfId="32113" xr:uid="{00000000-0005-0000-0000-0000717D0000}"/>
    <cellStyle name="Normal 5 10 2 26 4" xfId="32114" xr:uid="{00000000-0005-0000-0000-0000727D0000}"/>
    <cellStyle name="Normal 5 10 2 26 4 10" xfId="32115" xr:uid="{00000000-0005-0000-0000-0000737D0000}"/>
    <cellStyle name="Normal 5 10 2 26 4 2" xfId="32116" xr:uid="{00000000-0005-0000-0000-0000747D0000}"/>
    <cellStyle name="Normal 5 10 2 26 4 3" xfId="32117" xr:uid="{00000000-0005-0000-0000-0000757D0000}"/>
    <cellStyle name="Normal 5 10 2 26 4 4" xfId="32118" xr:uid="{00000000-0005-0000-0000-0000767D0000}"/>
    <cellStyle name="Normal 5 10 2 26 4 5" xfId="32119" xr:uid="{00000000-0005-0000-0000-0000777D0000}"/>
    <cellStyle name="Normal 5 10 2 26 4 6" xfId="32120" xr:uid="{00000000-0005-0000-0000-0000787D0000}"/>
    <cellStyle name="Normal 5 10 2 26 4 7" xfId="32121" xr:uid="{00000000-0005-0000-0000-0000797D0000}"/>
    <cellStyle name="Normal 5 10 2 26 4 8" xfId="32122" xr:uid="{00000000-0005-0000-0000-00007A7D0000}"/>
    <cellStyle name="Normal 5 10 2 26 4 9" xfId="32123" xr:uid="{00000000-0005-0000-0000-00007B7D0000}"/>
    <cellStyle name="Normal 5 10 2 26 5" xfId="32124" xr:uid="{00000000-0005-0000-0000-00007C7D0000}"/>
    <cellStyle name="Normal 5 10 2 26 5 10" xfId="32125" xr:uid="{00000000-0005-0000-0000-00007D7D0000}"/>
    <cellStyle name="Normal 5 10 2 26 5 2" xfId="32126" xr:uid="{00000000-0005-0000-0000-00007E7D0000}"/>
    <cellStyle name="Normal 5 10 2 26 5 3" xfId="32127" xr:uid="{00000000-0005-0000-0000-00007F7D0000}"/>
    <cellStyle name="Normal 5 10 2 26 5 4" xfId="32128" xr:uid="{00000000-0005-0000-0000-0000807D0000}"/>
    <cellStyle name="Normal 5 10 2 26 5 5" xfId="32129" xr:uid="{00000000-0005-0000-0000-0000817D0000}"/>
    <cellStyle name="Normal 5 10 2 26 5 6" xfId="32130" xr:uid="{00000000-0005-0000-0000-0000827D0000}"/>
    <cellStyle name="Normal 5 10 2 26 5 7" xfId="32131" xr:uid="{00000000-0005-0000-0000-0000837D0000}"/>
    <cellStyle name="Normal 5 10 2 26 5 8" xfId="32132" xr:uid="{00000000-0005-0000-0000-0000847D0000}"/>
    <cellStyle name="Normal 5 10 2 26 5 9" xfId="32133" xr:uid="{00000000-0005-0000-0000-0000857D0000}"/>
    <cellStyle name="Normal 5 10 2 26 6" xfId="32134" xr:uid="{00000000-0005-0000-0000-0000867D0000}"/>
    <cellStyle name="Normal 5 10 2 26 7" xfId="32135" xr:uid="{00000000-0005-0000-0000-0000877D0000}"/>
    <cellStyle name="Normal 5 10 2 26 8" xfId="32136" xr:uid="{00000000-0005-0000-0000-0000887D0000}"/>
    <cellStyle name="Normal 5 10 2 26 9" xfId="32137" xr:uid="{00000000-0005-0000-0000-0000897D0000}"/>
    <cellStyle name="Normal 5 10 2 27" xfId="32138" xr:uid="{00000000-0005-0000-0000-00008A7D0000}"/>
    <cellStyle name="Normal 5 10 2 27 10" xfId="32139" xr:uid="{00000000-0005-0000-0000-00008B7D0000}"/>
    <cellStyle name="Normal 5 10 2 27 11" xfId="32140" xr:uid="{00000000-0005-0000-0000-00008C7D0000}"/>
    <cellStyle name="Normal 5 10 2 27 12" xfId="32141" xr:uid="{00000000-0005-0000-0000-00008D7D0000}"/>
    <cellStyle name="Normal 5 10 2 27 13" xfId="32142" xr:uid="{00000000-0005-0000-0000-00008E7D0000}"/>
    <cellStyle name="Normal 5 10 2 27 14" xfId="32143" xr:uid="{00000000-0005-0000-0000-00008F7D0000}"/>
    <cellStyle name="Normal 5 10 2 27 2" xfId="32144" xr:uid="{00000000-0005-0000-0000-0000907D0000}"/>
    <cellStyle name="Normal 5 10 2 27 2 10" xfId="32145" xr:uid="{00000000-0005-0000-0000-0000917D0000}"/>
    <cellStyle name="Normal 5 10 2 27 2 2" xfId="32146" xr:uid="{00000000-0005-0000-0000-0000927D0000}"/>
    <cellStyle name="Normal 5 10 2 27 2 3" xfId="32147" xr:uid="{00000000-0005-0000-0000-0000937D0000}"/>
    <cellStyle name="Normal 5 10 2 27 2 4" xfId="32148" xr:uid="{00000000-0005-0000-0000-0000947D0000}"/>
    <cellStyle name="Normal 5 10 2 27 2 5" xfId="32149" xr:uid="{00000000-0005-0000-0000-0000957D0000}"/>
    <cellStyle name="Normal 5 10 2 27 2 6" xfId="32150" xr:uid="{00000000-0005-0000-0000-0000967D0000}"/>
    <cellStyle name="Normal 5 10 2 27 2 7" xfId="32151" xr:uid="{00000000-0005-0000-0000-0000977D0000}"/>
    <cellStyle name="Normal 5 10 2 27 2 8" xfId="32152" xr:uid="{00000000-0005-0000-0000-0000987D0000}"/>
    <cellStyle name="Normal 5 10 2 27 2 9" xfId="32153" xr:uid="{00000000-0005-0000-0000-0000997D0000}"/>
    <cellStyle name="Normal 5 10 2 27 3" xfId="32154" xr:uid="{00000000-0005-0000-0000-00009A7D0000}"/>
    <cellStyle name="Normal 5 10 2 27 3 10" xfId="32155" xr:uid="{00000000-0005-0000-0000-00009B7D0000}"/>
    <cellStyle name="Normal 5 10 2 27 3 2" xfId="32156" xr:uid="{00000000-0005-0000-0000-00009C7D0000}"/>
    <cellStyle name="Normal 5 10 2 27 3 3" xfId="32157" xr:uid="{00000000-0005-0000-0000-00009D7D0000}"/>
    <cellStyle name="Normal 5 10 2 27 3 4" xfId="32158" xr:uid="{00000000-0005-0000-0000-00009E7D0000}"/>
    <cellStyle name="Normal 5 10 2 27 3 5" xfId="32159" xr:uid="{00000000-0005-0000-0000-00009F7D0000}"/>
    <cellStyle name="Normal 5 10 2 27 3 6" xfId="32160" xr:uid="{00000000-0005-0000-0000-0000A07D0000}"/>
    <cellStyle name="Normal 5 10 2 27 3 7" xfId="32161" xr:uid="{00000000-0005-0000-0000-0000A17D0000}"/>
    <cellStyle name="Normal 5 10 2 27 3 8" xfId="32162" xr:uid="{00000000-0005-0000-0000-0000A27D0000}"/>
    <cellStyle name="Normal 5 10 2 27 3 9" xfId="32163" xr:uid="{00000000-0005-0000-0000-0000A37D0000}"/>
    <cellStyle name="Normal 5 10 2 27 4" xfId="32164" xr:uid="{00000000-0005-0000-0000-0000A47D0000}"/>
    <cellStyle name="Normal 5 10 2 27 4 10" xfId="32165" xr:uid="{00000000-0005-0000-0000-0000A57D0000}"/>
    <cellStyle name="Normal 5 10 2 27 4 2" xfId="32166" xr:uid="{00000000-0005-0000-0000-0000A67D0000}"/>
    <cellStyle name="Normal 5 10 2 27 4 3" xfId="32167" xr:uid="{00000000-0005-0000-0000-0000A77D0000}"/>
    <cellStyle name="Normal 5 10 2 27 4 4" xfId="32168" xr:uid="{00000000-0005-0000-0000-0000A87D0000}"/>
    <cellStyle name="Normal 5 10 2 27 4 5" xfId="32169" xr:uid="{00000000-0005-0000-0000-0000A97D0000}"/>
    <cellStyle name="Normal 5 10 2 27 4 6" xfId="32170" xr:uid="{00000000-0005-0000-0000-0000AA7D0000}"/>
    <cellStyle name="Normal 5 10 2 27 4 7" xfId="32171" xr:uid="{00000000-0005-0000-0000-0000AB7D0000}"/>
    <cellStyle name="Normal 5 10 2 27 4 8" xfId="32172" xr:uid="{00000000-0005-0000-0000-0000AC7D0000}"/>
    <cellStyle name="Normal 5 10 2 27 4 9" xfId="32173" xr:uid="{00000000-0005-0000-0000-0000AD7D0000}"/>
    <cellStyle name="Normal 5 10 2 27 5" xfId="32174" xr:uid="{00000000-0005-0000-0000-0000AE7D0000}"/>
    <cellStyle name="Normal 5 10 2 27 5 10" xfId="32175" xr:uid="{00000000-0005-0000-0000-0000AF7D0000}"/>
    <cellStyle name="Normal 5 10 2 27 5 2" xfId="32176" xr:uid="{00000000-0005-0000-0000-0000B07D0000}"/>
    <cellStyle name="Normal 5 10 2 27 5 3" xfId="32177" xr:uid="{00000000-0005-0000-0000-0000B17D0000}"/>
    <cellStyle name="Normal 5 10 2 27 5 4" xfId="32178" xr:uid="{00000000-0005-0000-0000-0000B27D0000}"/>
    <cellStyle name="Normal 5 10 2 27 5 5" xfId="32179" xr:uid="{00000000-0005-0000-0000-0000B37D0000}"/>
    <cellStyle name="Normal 5 10 2 27 5 6" xfId="32180" xr:uid="{00000000-0005-0000-0000-0000B47D0000}"/>
    <cellStyle name="Normal 5 10 2 27 5 7" xfId="32181" xr:uid="{00000000-0005-0000-0000-0000B57D0000}"/>
    <cellStyle name="Normal 5 10 2 27 5 8" xfId="32182" xr:uid="{00000000-0005-0000-0000-0000B67D0000}"/>
    <cellStyle name="Normal 5 10 2 27 5 9" xfId="32183" xr:uid="{00000000-0005-0000-0000-0000B77D0000}"/>
    <cellStyle name="Normal 5 10 2 27 6" xfId="32184" xr:uid="{00000000-0005-0000-0000-0000B87D0000}"/>
    <cellStyle name="Normal 5 10 2 27 7" xfId="32185" xr:uid="{00000000-0005-0000-0000-0000B97D0000}"/>
    <cellStyle name="Normal 5 10 2 27 8" xfId="32186" xr:uid="{00000000-0005-0000-0000-0000BA7D0000}"/>
    <cellStyle name="Normal 5 10 2 27 9" xfId="32187" xr:uid="{00000000-0005-0000-0000-0000BB7D0000}"/>
    <cellStyle name="Normal 5 10 2 28" xfId="32188" xr:uid="{00000000-0005-0000-0000-0000BC7D0000}"/>
    <cellStyle name="Normal 5 10 2 28 10" xfId="32189" xr:uid="{00000000-0005-0000-0000-0000BD7D0000}"/>
    <cellStyle name="Normal 5 10 2 28 11" xfId="32190" xr:uid="{00000000-0005-0000-0000-0000BE7D0000}"/>
    <cellStyle name="Normal 5 10 2 28 12" xfId="32191" xr:uid="{00000000-0005-0000-0000-0000BF7D0000}"/>
    <cellStyle name="Normal 5 10 2 28 13" xfId="32192" xr:uid="{00000000-0005-0000-0000-0000C07D0000}"/>
    <cellStyle name="Normal 5 10 2 28 14" xfId="32193" xr:uid="{00000000-0005-0000-0000-0000C17D0000}"/>
    <cellStyle name="Normal 5 10 2 28 2" xfId="32194" xr:uid="{00000000-0005-0000-0000-0000C27D0000}"/>
    <cellStyle name="Normal 5 10 2 28 2 10" xfId="32195" xr:uid="{00000000-0005-0000-0000-0000C37D0000}"/>
    <cellStyle name="Normal 5 10 2 28 2 2" xfId="32196" xr:uid="{00000000-0005-0000-0000-0000C47D0000}"/>
    <cellStyle name="Normal 5 10 2 28 2 3" xfId="32197" xr:uid="{00000000-0005-0000-0000-0000C57D0000}"/>
    <cellStyle name="Normal 5 10 2 28 2 4" xfId="32198" xr:uid="{00000000-0005-0000-0000-0000C67D0000}"/>
    <cellStyle name="Normal 5 10 2 28 2 5" xfId="32199" xr:uid="{00000000-0005-0000-0000-0000C77D0000}"/>
    <cellStyle name="Normal 5 10 2 28 2 6" xfId="32200" xr:uid="{00000000-0005-0000-0000-0000C87D0000}"/>
    <cellStyle name="Normal 5 10 2 28 2 7" xfId="32201" xr:uid="{00000000-0005-0000-0000-0000C97D0000}"/>
    <cellStyle name="Normal 5 10 2 28 2 8" xfId="32202" xr:uid="{00000000-0005-0000-0000-0000CA7D0000}"/>
    <cellStyle name="Normal 5 10 2 28 2 9" xfId="32203" xr:uid="{00000000-0005-0000-0000-0000CB7D0000}"/>
    <cellStyle name="Normal 5 10 2 28 3" xfId="32204" xr:uid="{00000000-0005-0000-0000-0000CC7D0000}"/>
    <cellStyle name="Normal 5 10 2 28 3 10" xfId="32205" xr:uid="{00000000-0005-0000-0000-0000CD7D0000}"/>
    <cellStyle name="Normal 5 10 2 28 3 2" xfId="32206" xr:uid="{00000000-0005-0000-0000-0000CE7D0000}"/>
    <cellStyle name="Normal 5 10 2 28 3 3" xfId="32207" xr:uid="{00000000-0005-0000-0000-0000CF7D0000}"/>
    <cellStyle name="Normal 5 10 2 28 3 4" xfId="32208" xr:uid="{00000000-0005-0000-0000-0000D07D0000}"/>
    <cellStyle name="Normal 5 10 2 28 3 5" xfId="32209" xr:uid="{00000000-0005-0000-0000-0000D17D0000}"/>
    <cellStyle name="Normal 5 10 2 28 3 6" xfId="32210" xr:uid="{00000000-0005-0000-0000-0000D27D0000}"/>
    <cellStyle name="Normal 5 10 2 28 3 7" xfId="32211" xr:uid="{00000000-0005-0000-0000-0000D37D0000}"/>
    <cellStyle name="Normal 5 10 2 28 3 8" xfId="32212" xr:uid="{00000000-0005-0000-0000-0000D47D0000}"/>
    <cellStyle name="Normal 5 10 2 28 3 9" xfId="32213" xr:uid="{00000000-0005-0000-0000-0000D57D0000}"/>
    <cellStyle name="Normal 5 10 2 28 4" xfId="32214" xr:uid="{00000000-0005-0000-0000-0000D67D0000}"/>
    <cellStyle name="Normal 5 10 2 28 4 10" xfId="32215" xr:uid="{00000000-0005-0000-0000-0000D77D0000}"/>
    <cellStyle name="Normal 5 10 2 28 4 2" xfId="32216" xr:uid="{00000000-0005-0000-0000-0000D87D0000}"/>
    <cellStyle name="Normal 5 10 2 28 4 3" xfId="32217" xr:uid="{00000000-0005-0000-0000-0000D97D0000}"/>
    <cellStyle name="Normal 5 10 2 28 4 4" xfId="32218" xr:uid="{00000000-0005-0000-0000-0000DA7D0000}"/>
    <cellStyle name="Normal 5 10 2 28 4 5" xfId="32219" xr:uid="{00000000-0005-0000-0000-0000DB7D0000}"/>
    <cellStyle name="Normal 5 10 2 28 4 6" xfId="32220" xr:uid="{00000000-0005-0000-0000-0000DC7D0000}"/>
    <cellStyle name="Normal 5 10 2 28 4 7" xfId="32221" xr:uid="{00000000-0005-0000-0000-0000DD7D0000}"/>
    <cellStyle name="Normal 5 10 2 28 4 8" xfId="32222" xr:uid="{00000000-0005-0000-0000-0000DE7D0000}"/>
    <cellStyle name="Normal 5 10 2 28 4 9" xfId="32223" xr:uid="{00000000-0005-0000-0000-0000DF7D0000}"/>
    <cellStyle name="Normal 5 10 2 28 5" xfId="32224" xr:uid="{00000000-0005-0000-0000-0000E07D0000}"/>
    <cellStyle name="Normal 5 10 2 28 5 10" xfId="32225" xr:uid="{00000000-0005-0000-0000-0000E17D0000}"/>
    <cellStyle name="Normal 5 10 2 28 5 2" xfId="32226" xr:uid="{00000000-0005-0000-0000-0000E27D0000}"/>
    <cellStyle name="Normal 5 10 2 28 5 3" xfId="32227" xr:uid="{00000000-0005-0000-0000-0000E37D0000}"/>
    <cellStyle name="Normal 5 10 2 28 5 4" xfId="32228" xr:uid="{00000000-0005-0000-0000-0000E47D0000}"/>
    <cellStyle name="Normal 5 10 2 28 5 5" xfId="32229" xr:uid="{00000000-0005-0000-0000-0000E57D0000}"/>
    <cellStyle name="Normal 5 10 2 28 5 6" xfId="32230" xr:uid="{00000000-0005-0000-0000-0000E67D0000}"/>
    <cellStyle name="Normal 5 10 2 28 5 7" xfId="32231" xr:uid="{00000000-0005-0000-0000-0000E77D0000}"/>
    <cellStyle name="Normal 5 10 2 28 5 8" xfId="32232" xr:uid="{00000000-0005-0000-0000-0000E87D0000}"/>
    <cellStyle name="Normal 5 10 2 28 5 9" xfId="32233" xr:uid="{00000000-0005-0000-0000-0000E97D0000}"/>
    <cellStyle name="Normal 5 10 2 28 6" xfId="32234" xr:uid="{00000000-0005-0000-0000-0000EA7D0000}"/>
    <cellStyle name="Normal 5 10 2 28 7" xfId="32235" xr:uid="{00000000-0005-0000-0000-0000EB7D0000}"/>
    <cellStyle name="Normal 5 10 2 28 8" xfId="32236" xr:uid="{00000000-0005-0000-0000-0000EC7D0000}"/>
    <cellStyle name="Normal 5 10 2 28 9" xfId="32237" xr:uid="{00000000-0005-0000-0000-0000ED7D0000}"/>
    <cellStyle name="Normal 5 10 2 29" xfId="32238" xr:uid="{00000000-0005-0000-0000-0000EE7D0000}"/>
    <cellStyle name="Normal 5 10 2 29 10" xfId="32239" xr:uid="{00000000-0005-0000-0000-0000EF7D0000}"/>
    <cellStyle name="Normal 5 10 2 29 11" xfId="32240" xr:uid="{00000000-0005-0000-0000-0000F07D0000}"/>
    <cellStyle name="Normal 5 10 2 29 12" xfId="32241" xr:uid="{00000000-0005-0000-0000-0000F17D0000}"/>
    <cellStyle name="Normal 5 10 2 29 13" xfId="32242" xr:uid="{00000000-0005-0000-0000-0000F27D0000}"/>
    <cellStyle name="Normal 5 10 2 29 14" xfId="32243" xr:uid="{00000000-0005-0000-0000-0000F37D0000}"/>
    <cellStyle name="Normal 5 10 2 29 2" xfId="32244" xr:uid="{00000000-0005-0000-0000-0000F47D0000}"/>
    <cellStyle name="Normal 5 10 2 29 2 10" xfId="32245" xr:uid="{00000000-0005-0000-0000-0000F57D0000}"/>
    <cellStyle name="Normal 5 10 2 29 2 2" xfId="32246" xr:uid="{00000000-0005-0000-0000-0000F67D0000}"/>
    <cellStyle name="Normal 5 10 2 29 2 3" xfId="32247" xr:uid="{00000000-0005-0000-0000-0000F77D0000}"/>
    <cellStyle name="Normal 5 10 2 29 2 4" xfId="32248" xr:uid="{00000000-0005-0000-0000-0000F87D0000}"/>
    <cellStyle name="Normal 5 10 2 29 2 5" xfId="32249" xr:uid="{00000000-0005-0000-0000-0000F97D0000}"/>
    <cellStyle name="Normal 5 10 2 29 2 6" xfId="32250" xr:uid="{00000000-0005-0000-0000-0000FA7D0000}"/>
    <cellStyle name="Normal 5 10 2 29 2 7" xfId="32251" xr:uid="{00000000-0005-0000-0000-0000FB7D0000}"/>
    <cellStyle name="Normal 5 10 2 29 2 8" xfId="32252" xr:uid="{00000000-0005-0000-0000-0000FC7D0000}"/>
    <cellStyle name="Normal 5 10 2 29 2 9" xfId="32253" xr:uid="{00000000-0005-0000-0000-0000FD7D0000}"/>
    <cellStyle name="Normal 5 10 2 29 3" xfId="32254" xr:uid="{00000000-0005-0000-0000-0000FE7D0000}"/>
    <cellStyle name="Normal 5 10 2 29 3 10" xfId="32255" xr:uid="{00000000-0005-0000-0000-0000FF7D0000}"/>
    <cellStyle name="Normal 5 10 2 29 3 2" xfId="32256" xr:uid="{00000000-0005-0000-0000-0000007E0000}"/>
    <cellStyle name="Normal 5 10 2 29 3 3" xfId="32257" xr:uid="{00000000-0005-0000-0000-0000017E0000}"/>
    <cellStyle name="Normal 5 10 2 29 3 4" xfId="32258" xr:uid="{00000000-0005-0000-0000-0000027E0000}"/>
    <cellStyle name="Normal 5 10 2 29 3 5" xfId="32259" xr:uid="{00000000-0005-0000-0000-0000037E0000}"/>
    <cellStyle name="Normal 5 10 2 29 3 6" xfId="32260" xr:uid="{00000000-0005-0000-0000-0000047E0000}"/>
    <cellStyle name="Normal 5 10 2 29 3 7" xfId="32261" xr:uid="{00000000-0005-0000-0000-0000057E0000}"/>
    <cellStyle name="Normal 5 10 2 29 3 8" xfId="32262" xr:uid="{00000000-0005-0000-0000-0000067E0000}"/>
    <cellStyle name="Normal 5 10 2 29 3 9" xfId="32263" xr:uid="{00000000-0005-0000-0000-0000077E0000}"/>
    <cellStyle name="Normal 5 10 2 29 4" xfId="32264" xr:uid="{00000000-0005-0000-0000-0000087E0000}"/>
    <cellStyle name="Normal 5 10 2 29 4 10" xfId="32265" xr:uid="{00000000-0005-0000-0000-0000097E0000}"/>
    <cellStyle name="Normal 5 10 2 29 4 2" xfId="32266" xr:uid="{00000000-0005-0000-0000-00000A7E0000}"/>
    <cellStyle name="Normal 5 10 2 29 4 3" xfId="32267" xr:uid="{00000000-0005-0000-0000-00000B7E0000}"/>
    <cellStyle name="Normal 5 10 2 29 4 4" xfId="32268" xr:uid="{00000000-0005-0000-0000-00000C7E0000}"/>
    <cellStyle name="Normal 5 10 2 29 4 5" xfId="32269" xr:uid="{00000000-0005-0000-0000-00000D7E0000}"/>
    <cellStyle name="Normal 5 10 2 29 4 6" xfId="32270" xr:uid="{00000000-0005-0000-0000-00000E7E0000}"/>
    <cellStyle name="Normal 5 10 2 29 4 7" xfId="32271" xr:uid="{00000000-0005-0000-0000-00000F7E0000}"/>
    <cellStyle name="Normal 5 10 2 29 4 8" xfId="32272" xr:uid="{00000000-0005-0000-0000-0000107E0000}"/>
    <cellStyle name="Normal 5 10 2 29 4 9" xfId="32273" xr:uid="{00000000-0005-0000-0000-0000117E0000}"/>
    <cellStyle name="Normal 5 10 2 29 5" xfId="32274" xr:uid="{00000000-0005-0000-0000-0000127E0000}"/>
    <cellStyle name="Normal 5 10 2 29 5 10" xfId="32275" xr:uid="{00000000-0005-0000-0000-0000137E0000}"/>
    <cellStyle name="Normal 5 10 2 29 5 2" xfId="32276" xr:uid="{00000000-0005-0000-0000-0000147E0000}"/>
    <cellStyle name="Normal 5 10 2 29 5 3" xfId="32277" xr:uid="{00000000-0005-0000-0000-0000157E0000}"/>
    <cellStyle name="Normal 5 10 2 29 5 4" xfId="32278" xr:uid="{00000000-0005-0000-0000-0000167E0000}"/>
    <cellStyle name="Normal 5 10 2 29 5 5" xfId="32279" xr:uid="{00000000-0005-0000-0000-0000177E0000}"/>
    <cellStyle name="Normal 5 10 2 29 5 6" xfId="32280" xr:uid="{00000000-0005-0000-0000-0000187E0000}"/>
    <cellStyle name="Normal 5 10 2 29 5 7" xfId="32281" xr:uid="{00000000-0005-0000-0000-0000197E0000}"/>
    <cellStyle name="Normal 5 10 2 29 5 8" xfId="32282" xr:uid="{00000000-0005-0000-0000-00001A7E0000}"/>
    <cellStyle name="Normal 5 10 2 29 5 9" xfId="32283" xr:uid="{00000000-0005-0000-0000-00001B7E0000}"/>
    <cellStyle name="Normal 5 10 2 29 6" xfId="32284" xr:uid="{00000000-0005-0000-0000-00001C7E0000}"/>
    <cellStyle name="Normal 5 10 2 29 7" xfId="32285" xr:uid="{00000000-0005-0000-0000-00001D7E0000}"/>
    <cellStyle name="Normal 5 10 2 29 8" xfId="32286" xr:uid="{00000000-0005-0000-0000-00001E7E0000}"/>
    <cellStyle name="Normal 5 10 2 29 9" xfId="32287" xr:uid="{00000000-0005-0000-0000-00001F7E0000}"/>
    <cellStyle name="Normal 5 10 2 3" xfId="32288" xr:uid="{00000000-0005-0000-0000-0000207E0000}"/>
    <cellStyle name="Normal 5 10 2 3 10" xfId="32289" xr:uid="{00000000-0005-0000-0000-0000217E0000}"/>
    <cellStyle name="Normal 5 10 2 3 11" xfId="32290" xr:uid="{00000000-0005-0000-0000-0000227E0000}"/>
    <cellStyle name="Normal 5 10 2 3 12" xfId="32291" xr:uid="{00000000-0005-0000-0000-0000237E0000}"/>
    <cellStyle name="Normal 5 10 2 3 13" xfId="32292" xr:uid="{00000000-0005-0000-0000-0000247E0000}"/>
    <cellStyle name="Normal 5 10 2 3 14" xfId="32293" xr:uid="{00000000-0005-0000-0000-0000257E0000}"/>
    <cellStyle name="Normal 5 10 2 3 2" xfId="32294" xr:uid="{00000000-0005-0000-0000-0000267E0000}"/>
    <cellStyle name="Normal 5 10 2 3 2 10" xfId="32295" xr:uid="{00000000-0005-0000-0000-0000277E0000}"/>
    <cellStyle name="Normal 5 10 2 3 2 2" xfId="32296" xr:uid="{00000000-0005-0000-0000-0000287E0000}"/>
    <cellStyle name="Normal 5 10 2 3 2 3" xfId="32297" xr:uid="{00000000-0005-0000-0000-0000297E0000}"/>
    <cellStyle name="Normal 5 10 2 3 2 4" xfId="32298" xr:uid="{00000000-0005-0000-0000-00002A7E0000}"/>
    <cellStyle name="Normal 5 10 2 3 2 5" xfId="32299" xr:uid="{00000000-0005-0000-0000-00002B7E0000}"/>
    <cellStyle name="Normal 5 10 2 3 2 6" xfId="32300" xr:uid="{00000000-0005-0000-0000-00002C7E0000}"/>
    <cellStyle name="Normal 5 10 2 3 2 7" xfId="32301" xr:uid="{00000000-0005-0000-0000-00002D7E0000}"/>
    <cellStyle name="Normal 5 10 2 3 2 8" xfId="32302" xr:uid="{00000000-0005-0000-0000-00002E7E0000}"/>
    <cellStyle name="Normal 5 10 2 3 2 9" xfId="32303" xr:uid="{00000000-0005-0000-0000-00002F7E0000}"/>
    <cellStyle name="Normal 5 10 2 3 3" xfId="32304" xr:uid="{00000000-0005-0000-0000-0000307E0000}"/>
    <cellStyle name="Normal 5 10 2 3 3 10" xfId="32305" xr:uid="{00000000-0005-0000-0000-0000317E0000}"/>
    <cellStyle name="Normal 5 10 2 3 3 2" xfId="32306" xr:uid="{00000000-0005-0000-0000-0000327E0000}"/>
    <cellStyle name="Normal 5 10 2 3 3 3" xfId="32307" xr:uid="{00000000-0005-0000-0000-0000337E0000}"/>
    <cellStyle name="Normal 5 10 2 3 3 4" xfId="32308" xr:uid="{00000000-0005-0000-0000-0000347E0000}"/>
    <cellStyle name="Normal 5 10 2 3 3 5" xfId="32309" xr:uid="{00000000-0005-0000-0000-0000357E0000}"/>
    <cellStyle name="Normal 5 10 2 3 3 6" xfId="32310" xr:uid="{00000000-0005-0000-0000-0000367E0000}"/>
    <cellStyle name="Normal 5 10 2 3 3 7" xfId="32311" xr:uid="{00000000-0005-0000-0000-0000377E0000}"/>
    <cellStyle name="Normal 5 10 2 3 3 8" xfId="32312" xr:uid="{00000000-0005-0000-0000-0000387E0000}"/>
    <cellStyle name="Normal 5 10 2 3 3 9" xfId="32313" xr:uid="{00000000-0005-0000-0000-0000397E0000}"/>
    <cellStyle name="Normal 5 10 2 3 4" xfId="32314" xr:uid="{00000000-0005-0000-0000-00003A7E0000}"/>
    <cellStyle name="Normal 5 10 2 3 4 10" xfId="32315" xr:uid="{00000000-0005-0000-0000-00003B7E0000}"/>
    <cellStyle name="Normal 5 10 2 3 4 2" xfId="32316" xr:uid="{00000000-0005-0000-0000-00003C7E0000}"/>
    <cellStyle name="Normal 5 10 2 3 4 3" xfId="32317" xr:uid="{00000000-0005-0000-0000-00003D7E0000}"/>
    <cellStyle name="Normal 5 10 2 3 4 4" xfId="32318" xr:uid="{00000000-0005-0000-0000-00003E7E0000}"/>
    <cellStyle name="Normal 5 10 2 3 4 5" xfId="32319" xr:uid="{00000000-0005-0000-0000-00003F7E0000}"/>
    <cellStyle name="Normal 5 10 2 3 4 6" xfId="32320" xr:uid="{00000000-0005-0000-0000-0000407E0000}"/>
    <cellStyle name="Normal 5 10 2 3 4 7" xfId="32321" xr:uid="{00000000-0005-0000-0000-0000417E0000}"/>
    <cellStyle name="Normal 5 10 2 3 4 8" xfId="32322" xr:uid="{00000000-0005-0000-0000-0000427E0000}"/>
    <cellStyle name="Normal 5 10 2 3 4 9" xfId="32323" xr:uid="{00000000-0005-0000-0000-0000437E0000}"/>
    <cellStyle name="Normal 5 10 2 3 5" xfId="32324" xr:uid="{00000000-0005-0000-0000-0000447E0000}"/>
    <cellStyle name="Normal 5 10 2 3 5 10" xfId="32325" xr:uid="{00000000-0005-0000-0000-0000457E0000}"/>
    <cellStyle name="Normal 5 10 2 3 5 2" xfId="32326" xr:uid="{00000000-0005-0000-0000-0000467E0000}"/>
    <cellStyle name="Normal 5 10 2 3 5 3" xfId="32327" xr:uid="{00000000-0005-0000-0000-0000477E0000}"/>
    <cellStyle name="Normal 5 10 2 3 5 4" xfId="32328" xr:uid="{00000000-0005-0000-0000-0000487E0000}"/>
    <cellStyle name="Normal 5 10 2 3 5 5" xfId="32329" xr:uid="{00000000-0005-0000-0000-0000497E0000}"/>
    <cellStyle name="Normal 5 10 2 3 5 6" xfId="32330" xr:uid="{00000000-0005-0000-0000-00004A7E0000}"/>
    <cellStyle name="Normal 5 10 2 3 5 7" xfId="32331" xr:uid="{00000000-0005-0000-0000-00004B7E0000}"/>
    <cellStyle name="Normal 5 10 2 3 5 8" xfId="32332" xr:uid="{00000000-0005-0000-0000-00004C7E0000}"/>
    <cellStyle name="Normal 5 10 2 3 5 9" xfId="32333" xr:uid="{00000000-0005-0000-0000-00004D7E0000}"/>
    <cellStyle name="Normal 5 10 2 3 6" xfId="32334" xr:uid="{00000000-0005-0000-0000-00004E7E0000}"/>
    <cellStyle name="Normal 5 10 2 3 7" xfId="32335" xr:uid="{00000000-0005-0000-0000-00004F7E0000}"/>
    <cellStyle name="Normal 5 10 2 3 8" xfId="32336" xr:uid="{00000000-0005-0000-0000-0000507E0000}"/>
    <cellStyle name="Normal 5 10 2 3 9" xfId="32337" xr:uid="{00000000-0005-0000-0000-0000517E0000}"/>
    <cellStyle name="Normal 5 10 2 30" xfId="32338" xr:uid="{00000000-0005-0000-0000-0000527E0000}"/>
    <cellStyle name="Normal 5 10 2 30 10" xfId="32339" xr:uid="{00000000-0005-0000-0000-0000537E0000}"/>
    <cellStyle name="Normal 5 10 2 30 11" xfId="32340" xr:uid="{00000000-0005-0000-0000-0000547E0000}"/>
    <cellStyle name="Normal 5 10 2 30 12" xfId="32341" xr:uid="{00000000-0005-0000-0000-0000557E0000}"/>
    <cellStyle name="Normal 5 10 2 30 13" xfId="32342" xr:uid="{00000000-0005-0000-0000-0000567E0000}"/>
    <cellStyle name="Normal 5 10 2 30 14" xfId="32343" xr:uid="{00000000-0005-0000-0000-0000577E0000}"/>
    <cellStyle name="Normal 5 10 2 30 2" xfId="32344" xr:uid="{00000000-0005-0000-0000-0000587E0000}"/>
    <cellStyle name="Normal 5 10 2 30 2 10" xfId="32345" xr:uid="{00000000-0005-0000-0000-0000597E0000}"/>
    <cellStyle name="Normal 5 10 2 30 2 2" xfId="32346" xr:uid="{00000000-0005-0000-0000-00005A7E0000}"/>
    <cellStyle name="Normal 5 10 2 30 2 3" xfId="32347" xr:uid="{00000000-0005-0000-0000-00005B7E0000}"/>
    <cellStyle name="Normal 5 10 2 30 2 4" xfId="32348" xr:uid="{00000000-0005-0000-0000-00005C7E0000}"/>
    <cellStyle name="Normal 5 10 2 30 2 5" xfId="32349" xr:uid="{00000000-0005-0000-0000-00005D7E0000}"/>
    <cellStyle name="Normal 5 10 2 30 2 6" xfId="32350" xr:uid="{00000000-0005-0000-0000-00005E7E0000}"/>
    <cellStyle name="Normal 5 10 2 30 2 7" xfId="32351" xr:uid="{00000000-0005-0000-0000-00005F7E0000}"/>
    <cellStyle name="Normal 5 10 2 30 2 8" xfId="32352" xr:uid="{00000000-0005-0000-0000-0000607E0000}"/>
    <cellStyle name="Normal 5 10 2 30 2 9" xfId="32353" xr:uid="{00000000-0005-0000-0000-0000617E0000}"/>
    <cellStyle name="Normal 5 10 2 30 3" xfId="32354" xr:uid="{00000000-0005-0000-0000-0000627E0000}"/>
    <cellStyle name="Normal 5 10 2 30 3 10" xfId="32355" xr:uid="{00000000-0005-0000-0000-0000637E0000}"/>
    <cellStyle name="Normal 5 10 2 30 3 2" xfId="32356" xr:uid="{00000000-0005-0000-0000-0000647E0000}"/>
    <cellStyle name="Normal 5 10 2 30 3 3" xfId="32357" xr:uid="{00000000-0005-0000-0000-0000657E0000}"/>
    <cellStyle name="Normal 5 10 2 30 3 4" xfId="32358" xr:uid="{00000000-0005-0000-0000-0000667E0000}"/>
    <cellStyle name="Normal 5 10 2 30 3 5" xfId="32359" xr:uid="{00000000-0005-0000-0000-0000677E0000}"/>
    <cellStyle name="Normal 5 10 2 30 3 6" xfId="32360" xr:uid="{00000000-0005-0000-0000-0000687E0000}"/>
    <cellStyle name="Normal 5 10 2 30 3 7" xfId="32361" xr:uid="{00000000-0005-0000-0000-0000697E0000}"/>
    <cellStyle name="Normal 5 10 2 30 3 8" xfId="32362" xr:uid="{00000000-0005-0000-0000-00006A7E0000}"/>
    <cellStyle name="Normal 5 10 2 30 3 9" xfId="32363" xr:uid="{00000000-0005-0000-0000-00006B7E0000}"/>
    <cellStyle name="Normal 5 10 2 30 4" xfId="32364" xr:uid="{00000000-0005-0000-0000-00006C7E0000}"/>
    <cellStyle name="Normal 5 10 2 30 4 10" xfId="32365" xr:uid="{00000000-0005-0000-0000-00006D7E0000}"/>
    <cellStyle name="Normal 5 10 2 30 4 2" xfId="32366" xr:uid="{00000000-0005-0000-0000-00006E7E0000}"/>
    <cellStyle name="Normal 5 10 2 30 4 3" xfId="32367" xr:uid="{00000000-0005-0000-0000-00006F7E0000}"/>
    <cellStyle name="Normal 5 10 2 30 4 4" xfId="32368" xr:uid="{00000000-0005-0000-0000-0000707E0000}"/>
    <cellStyle name="Normal 5 10 2 30 4 5" xfId="32369" xr:uid="{00000000-0005-0000-0000-0000717E0000}"/>
    <cellStyle name="Normal 5 10 2 30 4 6" xfId="32370" xr:uid="{00000000-0005-0000-0000-0000727E0000}"/>
    <cellStyle name="Normal 5 10 2 30 4 7" xfId="32371" xr:uid="{00000000-0005-0000-0000-0000737E0000}"/>
    <cellStyle name="Normal 5 10 2 30 4 8" xfId="32372" xr:uid="{00000000-0005-0000-0000-0000747E0000}"/>
    <cellStyle name="Normal 5 10 2 30 4 9" xfId="32373" xr:uid="{00000000-0005-0000-0000-0000757E0000}"/>
    <cellStyle name="Normal 5 10 2 30 5" xfId="32374" xr:uid="{00000000-0005-0000-0000-0000767E0000}"/>
    <cellStyle name="Normal 5 10 2 30 5 10" xfId="32375" xr:uid="{00000000-0005-0000-0000-0000777E0000}"/>
    <cellStyle name="Normal 5 10 2 30 5 2" xfId="32376" xr:uid="{00000000-0005-0000-0000-0000787E0000}"/>
    <cellStyle name="Normal 5 10 2 30 5 3" xfId="32377" xr:uid="{00000000-0005-0000-0000-0000797E0000}"/>
    <cellStyle name="Normal 5 10 2 30 5 4" xfId="32378" xr:uid="{00000000-0005-0000-0000-00007A7E0000}"/>
    <cellStyle name="Normal 5 10 2 30 5 5" xfId="32379" xr:uid="{00000000-0005-0000-0000-00007B7E0000}"/>
    <cellStyle name="Normal 5 10 2 30 5 6" xfId="32380" xr:uid="{00000000-0005-0000-0000-00007C7E0000}"/>
    <cellStyle name="Normal 5 10 2 30 5 7" xfId="32381" xr:uid="{00000000-0005-0000-0000-00007D7E0000}"/>
    <cellStyle name="Normal 5 10 2 30 5 8" xfId="32382" xr:uid="{00000000-0005-0000-0000-00007E7E0000}"/>
    <cellStyle name="Normal 5 10 2 30 5 9" xfId="32383" xr:uid="{00000000-0005-0000-0000-00007F7E0000}"/>
    <cellStyle name="Normal 5 10 2 30 6" xfId="32384" xr:uid="{00000000-0005-0000-0000-0000807E0000}"/>
    <cellStyle name="Normal 5 10 2 30 7" xfId="32385" xr:uid="{00000000-0005-0000-0000-0000817E0000}"/>
    <cellStyle name="Normal 5 10 2 30 8" xfId="32386" xr:uid="{00000000-0005-0000-0000-0000827E0000}"/>
    <cellStyle name="Normal 5 10 2 30 9" xfId="32387" xr:uid="{00000000-0005-0000-0000-0000837E0000}"/>
    <cellStyle name="Normal 5 10 2 31" xfId="32388" xr:uid="{00000000-0005-0000-0000-0000847E0000}"/>
    <cellStyle name="Normal 5 10 2 31 10" xfId="32389" xr:uid="{00000000-0005-0000-0000-0000857E0000}"/>
    <cellStyle name="Normal 5 10 2 31 11" xfId="32390" xr:uid="{00000000-0005-0000-0000-0000867E0000}"/>
    <cellStyle name="Normal 5 10 2 31 12" xfId="32391" xr:uid="{00000000-0005-0000-0000-0000877E0000}"/>
    <cellStyle name="Normal 5 10 2 31 13" xfId="32392" xr:uid="{00000000-0005-0000-0000-0000887E0000}"/>
    <cellStyle name="Normal 5 10 2 31 14" xfId="32393" xr:uid="{00000000-0005-0000-0000-0000897E0000}"/>
    <cellStyle name="Normal 5 10 2 31 2" xfId="32394" xr:uid="{00000000-0005-0000-0000-00008A7E0000}"/>
    <cellStyle name="Normal 5 10 2 31 2 10" xfId="32395" xr:uid="{00000000-0005-0000-0000-00008B7E0000}"/>
    <cellStyle name="Normal 5 10 2 31 2 2" xfId="32396" xr:uid="{00000000-0005-0000-0000-00008C7E0000}"/>
    <cellStyle name="Normal 5 10 2 31 2 3" xfId="32397" xr:uid="{00000000-0005-0000-0000-00008D7E0000}"/>
    <cellStyle name="Normal 5 10 2 31 2 4" xfId="32398" xr:uid="{00000000-0005-0000-0000-00008E7E0000}"/>
    <cellStyle name="Normal 5 10 2 31 2 5" xfId="32399" xr:uid="{00000000-0005-0000-0000-00008F7E0000}"/>
    <cellStyle name="Normal 5 10 2 31 2 6" xfId="32400" xr:uid="{00000000-0005-0000-0000-0000907E0000}"/>
    <cellStyle name="Normal 5 10 2 31 2 7" xfId="32401" xr:uid="{00000000-0005-0000-0000-0000917E0000}"/>
    <cellStyle name="Normal 5 10 2 31 2 8" xfId="32402" xr:uid="{00000000-0005-0000-0000-0000927E0000}"/>
    <cellStyle name="Normal 5 10 2 31 2 9" xfId="32403" xr:uid="{00000000-0005-0000-0000-0000937E0000}"/>
    <cellStyle name="Normal 5 10 2 31 3" xfId="32404" xr:uid="{00000000-0005-0000-0000-0000947E0000}"/>
    <cellStyle name="Normal 5 10 2 31 3 10" xfId="32405" xr:uid="{00000000-0005-0000-0000-0000957E0000}"/>
    <cellStyle name="Normal 5 10 2 31 3 2" xfId="32406" xr:uid="{00000000-0005-0000-0000-0000967E0000}"/>
    <cellStyle name="Normal 5 10 2 31 3 3" xfId="32407" xr:uid="{00000000-0005-0000-0000-0000977E0000}"/>
    <cellStyle name="Normal 5 10 2 31 3 4" xfId="32408" xr:uid="{00000000-0005-0000-0000-0000987E0000}"/>
    <cellStyle name="Normal 5 10 2 31 3 5" xfId="32409" xr:uid="{00000000-0005-0000-0000-0000997E0000}"/>
    <cellStyle name="Normal 5 10 2 31 3 6" xfId="32410" xr:uid="{00000000-0005-0000-0000-00009A7E0000}"/>
    <cellStyle name="Normal 5 10 2 31 3 7" xfId="32411" xr:uid="{00000000-0005-0000-0000-00009B7E0000}"/>
    <cellStyle name="Normal 5 10 2 31 3 8" xfId="32412" xr:uid="{00000000-0005-0000-0000-00009C7E0000}"/>
    <cellStyle name="Normal 5 10 2 31 3 9" xfId="32413" xr:uid="{00000000-0005-0000-0000-00009D7E0000}"/>
    <cellStyle name="Normal 5 10 2 31 4" xfId="32414" xr:uid="{00000000-0005-0000-0000-00009E7E0000}"/>
    <cellStyle name="Normal 5 10 2 31 4 10" xfId="32415" xr:uid="{00000000-0005-0000-0000-00009F7E0000}"/>
    <cellStyle name="Normal 5 10 2 31 4 2" xfId="32416" xr:uid="{00000000-0005-0000-0000-0000A07E0000}"/>
    <cellStyle name="Normal 5 10 2 31 4 3" xfId="32417" xr:uid="{00000000-0005-0000-0000-0000A17E0000}"/>
    <cellStyle name="Normal 5 10 2 31 4 4" xfId="32418" xr:uid="{00000000-0005-0000-0000-0000A27E0000}"/>
    <cellStyle name="Normal 5 10 2 31 4 5" xfId="32419" xr:uid="{00000000-0005-0000-0000-0000A37E0000}"/>
    <cellStyle name="Normal 5 10 2 31 4 6" xfId="32420" xr:uid="{00000000-0005-0000-0000-0000A47E0000}"/>
    <cellStyle name="Normal 5 10 2 31 4 7" xfId="32421" xr:uid="{00000000-0005-0000-0000-0000A57E0000}"/>
    <cellStyle name="Normal 5 10 2 31 4 8" xfId="32422" xr:uid="{00000000-0005-0000-0000-0000A67E0000}"/>
    <cellStyle name="Normal 5 10 2 31 4 9" xfId="32423" xr:uid="{00000000-0005-0000-0000-0000A77E0000}"/>
    <cellStyle name="Normal 5 10 2 31 5" xfId="32424" xr:uid="{00000000-0005-0000-0000-0000A87E0000}"/>
    <cellStyle name="Normal 5 10 2 31 5 10" xfId="32425" xr:uid="{00000000-0005-0000-0000-0000A97E0000}"/>
    <cellStyle name="Normal 5 10 2 31 5 2" xfId="32426" xr:uid="{00000000-0005-0000-0000-0000AA7E0000}"/>
    <cellStyle name="Normal 5 10 2 31 5 3" xfId="32427" xr:uid="{00000000-0005-0000-0000-0000AB7E0000}"/>
    <cellStyle name="Normal 5 10 2 31 5 4" xfId="32428" xr:uid="{00000000-0005-0000-0000-0000AC7E0000}"/>
    <cellStyle name="Normal 5 10 2 31 5 5" xfId="32429" xr:uid="{00000000-0005-0000-0000-0000AD7E0000}"/>
    <cellStyle name="Normal 5 10 2 31 5 6" xfId="32430" xr:uid="{00000000-0005-0000-0000-0000AE7E0000}"/>
    <cellStyle name="Normal 5 10 2 31 5 7" xfId="32431" xr:uid="{00000000-0005-0000-0000-0000AF7E0000}"/>
    <cellStyle name="Normal 5 10 2 31 5 8" xfId="32432" xr:uid="{00000000-0005-0000-0000-0000B07E0000}"/>
    <cellStyle name="Normal 5 10 2 31 5 9" xfId="32433" xr:uid="{00000000-0005-0000-0000-0000B17E0000}"/>
    <cellStyle name="Normal 5 10 2 31 6" xfId="32434" xr:uid="{00000000-0005-0000-0000-0000B27E0000}"/>
    <cellStyle name="Normal 5 10 2 31 7" xfId="32435" xr:uid="{00000000-0005-0000-0000-0000B37E0000}"/>
    <cellStyle name="Normal 5 10 2 31 8" xfId="32436" xr:uid="{00000000-0005-0000-0000-0000B47E0000}"/>
    <cellStyle name="Normal 5 10 2 31 9" xfId="32437" xr:uid="{00000000-0005-0000-0000-0000B57E0000}"/>
    <cellStyle name="Normal 5 10 2 32" xfId="32438" xr:uid="{00000000-0005-0000-0000-0000B67E0000}"/>
    <cellStyle name="Normal 5 10 2 32 10" xfId="32439" xr:uid="{00000000-0005-0000-0000-0000B77E0000}"/>
    <cellStyle name="Normal 5 10 2 32 11" xfId="32440" xr:uid="{00000000-0005-0000-0000-0000B87E0000}"/>
    <cellStyle name="Normal 5 10 2 32 12" xfId="32441" xr:uid="{00000000-0005-0000-0000-0000B97E0000}"/>
    <cellStyle name="Normal 5 10 2 32 13" xfId="32442" xr:uid="{00000000-0005-0000-0000-0000BA7E0000}"/>
    <cellStyle name="Normal 5 10 2 32 14" xfId="32443" xr:uid="{00000000-0005-0000-0000-0000BB7E0000}"/>
    <cellStyle name="Normal 5 10 2 32 2" xfId="32444" xr:uid="{00000000-0005-0000-0000-0000BC7E0000}"/>
    <cellStyle name="Normal 5 10 2 32 2 10" xfId="32445" xr:uid="{00000000-0005-0000-0000-0000BD7E0000}"/>
    <cellStyle name="Normal 5 10 2 32 2 2" xfId="32446" xr:uid="{00000000-0005-0000-0000-0000BE7E0000}"/>
    <cellStyle name="Normal 5 10 2 32 2 3" xfId="32447" xr:uid="{00000000-0005-0000-0000-0000BF7E0000}"/>
    <cellStyle name="Normal 5 10 2 32 2 4" xfId="32448" xr:uid="{00000000-0005-0000-0000-0000C07E0000}"/>
    <cellStyle name="Normal 5 10 2 32 2 5" xfId="32449" xr:uid="{00000000-0005-0000-0000-0000C17E0000}"/>
    <cellStyle name="Normal 5 10 2 32 2 6" xfId="32450" xr:uid="{00000000-0005-0000-0000-0000C27E0000}"/>
    <cellStyle name="Normal 5 10 2 32 2 7" xfId="32451" xr:uid="{00000000-0005-0000-0000-0000C37E0000}"/>
    <cellStyle name="Normal 5 10 2 32 2 8" xfId="32452" xr:uid="{00000000-0005-0000-0000-0000C47E0000}"/>
    <cellStyle name="Normal 5 10 2 32 2 9" xfId="32453" xr:uid="{00000000-0005-0000-0000-0000C57E0000}"/>
    <cellStyle name="Normal 5 10 2 32 3" xfId="32454" xr:uid="{00000000-0005-0000-0000-0000C67E0000}"/>
    <cellStyle name="Normal 5 10 2 32 3 10" xfId="32455" xr:uid="{00000000-0005-0000-0000-0000C77E0000}"/>
    <cellStyle name="Normal 5 10 2 32 3 2" xfId="32456" xr:uid="{00000000-0005-0000-0000-0000C87E0000}"/>
    <cellStyle name="Normal 5 10 2 32 3 3" xfId="32457" xr:uid="{00000000-0005-0000-0000-0000C97E0000}"/>
    <cellStyle name="Normal 5 10 2 32 3 4" xfId="32458" xr:uid="{00000000-0005-0000-0000-0000CA7E0000}"/>
    <cellStyle name="Normal 5 10 2 32 3 5" xfId="32459" xr:uid="{00000000-0005-0000-0000-0000CB7E0000}"/>
    <cellStyle name="Normal 5 10 2 32 3 6" xfId="32460" xr:uid="{00000000-0005-0000-0000-0000CC7E0000}"/>
    <cellStyle name="Normal 5 10 2 32 3 7" xfId="32461" xr:uid="{00000000-0005-0000-0000-0000CD7E0000}"/>
    <cellStyle name="Normal 5 10 2 32 3 8" xfId="32462" xr:uid="{00000000-0005-0000-0000-0000CE7E0000}"/>
    <cellStyle name="Normal 5 10 2 32 3 9" xfId="32463" xr:uid="{00000000-0005-0000-0000-0000CF7E0000}"/>
    <cellStyle name="Normal 5 10 2 32 4" xfId="32464" xr:uid="{00000000-0005-0000-0000-0000D07E0000}"/>
    <cellStyle name="Normal 5 10 2 32 4 10" xfId="32465" xr:uid="{00000000-0005-0000-0000-0000D17E0000}"/>
    <cellStyle name="Normal 5 10 2 32 4 2" xfId="32466" xr:uid="{00000000-0005-0000-0000-0000D27E0000}"/>
    <cellStyle name="Normal 5 10 2 32 4 3" xfId="32467" xr:uid="{00000000-0005-0000-0000-0000D37E0000}"/>
    <cellStyle name="Normal 5 10 2 32 4 4" xfId="32468" xr:uid="{00000000-0005-0000-0000-0000D47E0000}"/>
    <cellStyle name="Normal 5 10 2 32 4 5" xfId="32469" xr:uid="{00000000-0005-0000-0000-0000D57E0000}"/>
    <cellStyle name="Normal 5 10 2 32 4 6" xfId="32470" xr:uid="{00000000-0005-0000-0000-0000D67E0000}"/>
    <cellStyle name="Normal 5 10 2 32 4 7" xfId="32471" xr:uid="{00000000-0005-0000-0000-0000D77E0000}"/>
    <cellStyle name="Normal 5 10 2 32 4 8" xfId="32472" xr:uid="{00000000-0005-0000-0000-0000D87E0000}"/>
    <cellStyle name="Normal 5 10 2 32 4 9" xfId="32473" xr:uid="{00000000-0005-0000-0000-0000D97E0000}"/>
    <cellStyle name="Normal 5 10 2 32 5" xfId="32474" xr:uid="{00000000-0005-0000-0000-0000DA7E0000}"/>
    <cellStyle name="Normal 5 10 2 32 5 10" xfId="32475" xr:uid="{00000000-0005-0000-0000-0000DB7E0000}"/>
    <cellStyle name="Normal 5 10 2 32 5 2" xfId="32476" xr:uid="{00000000-0005-0000-0000-0000DC7E0000}"/>
    <cellStyle name="Normal 5 10 2 32 5 3" xfId="32477" xr:uid="{00000000-0005-0000-0000-0000DD7E0000}"/>
    <cellStyle name="Normal 5 10 2 32 5 4" xfId="32478" xr:uid="{00000000-0005-0000-0000-0000DE7E0000}"/>
    <cellStyle name="Normal 5 10 2 32 5 5" xfId="32479" xr:uid="{00000000-0005-0000-0000-0000DF7E0000}"/>
    <cellStyle name="Normal 5 10 2 32 5 6" xfId="32480" xr:uid="{00000000-0005-0000-0000-0000E07E0000}"/>
    <cellStyle name="Normal 5 10 2 32 5 7" xfId="32481" xr:uid="{00000000-0005-0000-0000-0000E17E0000}"/>
    <cellStyle name="Normal 5 10 2 32 5 8" xfId="32482" xr:uid="{00000000-0005-0000-0000-0000E27E0000}"/>
    <cellStyle name="Normal 5 10 2 32 5 9" xfId="32483" xr:uid="{00000000-0005-0000-0000-0000E37E0000}"/>
    <cellStyle name="Normal 5 10 2 32 6" xfId="32484" xr:uid="{00000000-0005-0000-0000-0000E47E0000}"/>
    <cellStyle name="Normal 5 10 2 32 7" xfId="32485" xr:uid="{00000000-0005-0000-0000-0000E57E0000}"/>
    <cellStyle name="Normal 5 10 2 32 8" xfId="32486" xr:uid="{00000000-0005-0000-0000-0000E67E0000}"/>
    <cellStyle name="Normal 5 10 2 32 9" xfId="32487" xr:uid="{00000000-0005-0000-0000-0000E77E0000}"/>
    <cellStyle name="Normal 5 10 2 33" xfId="32488" xr:uid="{00000000-0005-0000-0000-0000E87E0000}"/>
    <cellStyle name="Normal 5 10 2 33 10" xfId="32489" xr:uid="{00000000-0005-0000-0000-0000E97E0000}"/>
    <cellStyle name="Normal 5 10 2 33 11" xfId="32490" xr:uid="{00000000-0005-0000-0000-0000EA7E0000}"/>
    <cellStyle name="Normal 5 10 2 33 12" xfId="32491" xr:uid="{00000000-0005-0000-0000-0000EB7E0000}"/>
    <cellStyle name="Normal 5 10 2 33 13" xfId="32492" xr:uid="{00000000-0005-0000-0000-0000EC7E0000}"/>
    <cellStyle name="Normal 5 10 2 33 14" xfId="32493" xr:uid="{00000000-0005-0000-0000-0000ED7E0000}"/>
    <cellStyle name="Normal 5 10 2 33 2" xfId="32494" xr:uid="{00000000-0005-0000-0000-0000EE7E0000}"/>
    <cellStyle name="Normal 5 10 2 33 2 10" xfId="32495" xr:uid="{00000000-0005-0000-0000-0000EF7E0000}"/>
    <cellStyle name="Normal 5 10 2 33 2 2" xfId="32496" xr:uid="{00000000-0005-0000-0000-0000F07E0000}"/>
    <cellStyle name="Normal 5 10 2 33 2 3" xfId="32497" xr:uid="{00000000-0005-0000-0000-0000F17E0000}"/>
    <cellStyle name="Normal 5 10 2 33 2 4" xfId="32498" xr:uid="{00000000-0005-0000-0000-0000F27E0000}"/>
    <cellStyle name="Normal 5 10 2 33 2 5" xfId="32499" xr:uid="{00000000-0005-0000-0000-0000F37E0000}"/>
    <cellStyle name="Normal 5 10 2 33 2 6" xfId="32500" xr:uid="{00000000-0005-0000-0000-0000F47E0000}"/>
    <cellStyle name="Normal 5 10 2 33 2 7" xfId="32501" xr:uid="{00000000-0005-0000-0000-0000F57E0000}"/>
    <cellStyle name="Normal 5 10 2 33 2 8" xfId="32502" xr:uid="{00000000-0005-0000-0000-0000F67E0000}"/>
    <cellStyle name="Normal 5 10 2 33 2 9" xfId="32503" xr:uid="{00000000-0005-0000-0000-0000F77E0000}"/>
    <cellStyle name="Normal 5 10 2 33 3" xfId="32504" xr:uid="{00000000-0005-0000-0000-0000F87E0000}"/>
    <cellStyle name="Normal 5 10 2 33 3 10" xfId="32505" xr:uid="{00000000-0005-0000-0000-0000F97E0000}"/>
    <cellStyle name="Normal 5 10 2 33 3 2" xfId="32506" xr:uid="{00000000-0005-0000-0000-0000FA7E0000}"/>
    <cellStyle name="Normal 5 10 2 33 3 3" xfId="32507" xr:uid="{00000000-0005-0000-0000-0000FB7E0000}"/>
    <cellStyle name="Normal 5 10 2 33 3 4" xfId="32508" xr:uid="{00000000-0005-0000-0000-0000FC7E0000}"/>
    <cellStyle name="Normal 5 10 2 33 3 5" xfId="32509" xr:uid="{00000000-0005-0000-0000-0000FD7E0000}"/>
    <cellStyle name="Normal 5 10 2 33 3 6" xfId="32510" xr:uid="{00000000-0005-0000-0000-0000FE7E0000}"/>
    <cellStyle name="Normal 5 10 2 33 3 7" xfId="32511" xr:uid="{00000000-0005-0000-0000-0000FF7E0000}"/>
    <cellStyle name="Normal 5 10 2 33 3 8" xfId="32512" xr:uid="{00000000-0005-0000-0000-0000007F0000}"/>
    <cellStyle name="Normal 5 10 2 33 3 9" xfId="32513" xr:uid="{00000000-0005-0000-0000-0000017F0000}"/>
    <cellStyle name="Normal 5 10 2 33 4" xfId="32514" xr:uid="{00000000-0005-0000-0000-0000027F0000}"/>
    <cellStyle name="Normal 5 10 2 33 4 10" xfId="32515" xr:uid="{00000000-0005-0000-0000-0000037F0000}"/>
    <cellStyle name="Normal 5 10 2 33 4 2" xfId="32516" xr:uid="{00000000-0005-0000-0000-0000047F0000}"/>
    <cellStyle name="Normal 5 10 2 33 4 3" xfId="32517" xr:uid="{00000000-0005-0000-0000-0000057F0000}"/>
    <cellStyle name="Normal 5 10 2 33 4 4" xfId="32518" xr:uid="{00000000-0005-0000-0000-0000067F0000}"/>
    <cellStyle name="Normal 5 10 2 33 4 5" xfId="32519" xr:uid="{00000000-0005-0000-0000-0000077F0000}"/>
    <cellStyle name="Normal 5 10 2 33 4 6" xfId="32520" xr:uid="{00000000-0005-0000-0000-0000087F0000}"/>
    <cellStyle name="Normal 5 10 2 33 4 7" xfId="32521" xr:uid="{00000000-0005-0000-0000-0000097F0000}"/>
    <cellStyle name="Normal 5 10 2 33 4 8" xfId="32522" xr:uid="{00000000-0005-0000-0000-00000A7F0000}"/>
    <cellStyle name="Normal 5 10 2 33 4 9" xfId="32523" xr:uid="{00000000-0005-0000-0000-00000B7F0000}"/>
    <cellStyle name="Normal 5 10 2 33 5" xfId="32524" xr:uid="{00000000-0005-0000-0000-00000C7F0000}"/>
    <cellStyle name="Normal 5 10 2 33 5 10" xfId="32525" xr:uid="{00000000-0005-0000-0000-00000D7F0000}"/>
    <cellStyle name="Normal 5 10 2 33 5 2" xfId="32526" xr:uid="{00000000-0005-0000-0000-00000E7F0000}"/>
    <cellStyle name="Normal 5 10 2 33 5 3" xfId="32527" xr:uid="{00000000-0005-0000-0000-00000F7F0000}"/>
    <cellStyle name="Normal 5 10 2 33 5 4" xfId="32528" xr:uid="{00000000-0005-0000-0000-0000107F0000}"/>
    <cellStyle name="Normal 5 10 2 33 5 5" xfId="32529" xr:uid="{00000000-0005-0000-0000-0000117F0000}"/>
    <cellStyle name="Normal 5 10 2 33 5 6" xfId="32530" xr:uid="{00000000-0005-0000-0000-0000127F0000}"/>
    <cellStyle name="Normal 5 10 2 33 5 7" xfId="32531" xr:uid="{00000000-0005-0000-0000-0000137F0000}"/>
    <cellStyle name="Normal 5 10 2 33 5 8" xfId="32532" xr:uid="{00000000-0005-0000-0000-0000147F0000}"/>
    <cellStyle name="Normal 5 10 2 33 5 9" xfId="32533" xr:uid="{00000000-0005-0000-0000-0000157F0000}"/>
    <cellStyle name="Normal 5 10 2 33 6" xfId="32534" xr:uid="{00000000-0005-0000-0000-0000167F0000}"/>
    <cellStyle name="Normal 5 10 2 33 7" xfId="32535" xr:uid="{00000000-0005-0000-0000-0000177F0000}"/>
    <cellStyle name="Normal 5 10 2 33 8" xfId="32536" xr:uid="{00000000-0005-0000-0000-0000187F0000}"/>
    <cellStyle name="Normal 5 10 2 33 9" xfId="32537" xr:uid="{00000000-0005-0000-0000-0000197F0000}"/>
    <cellStyle name="Normal 5 10 2 34" xfId="32538" xr:uid="{00000000-0005-0000-0000-00001A7F0000}"/>
    <cellStyle name="Normal 5 10 2 34 10" xfId="32539" xr:uid="{00000000-0005-0000-0000-00001B7F0000}"/>
    <cellStyle name="Normal 5 10 2 34 2" xfId="32540" xr:uid="{00000000-0005-0000-0000-00001C7F0000}"/>
    <cellStyle name="Normal 5 10 2 34 3" xfId="32541" xr:uid="{00000000-0005-0000-0000-00001D7F0000}"/>
    <cellStyle name="Normal 5 10 2 34 4" xfId="32542" xr:uid="{00000000-0005-0000-0000-00001E7F0000}"/>
    <cellStyle name="Normal 5 10 2 34 5" xfId="32543" xr:uid="{00000000-0005-0000-0000-00001F7F0000}"/>
    <cellStyle name="Normal 5 10 2 34 6" xfId="32544" xr:uid="{00000000-0005-0000-0000-0000207F0000}"/>
    <cellStyle name="Normal 5 10 2 34 7" xfId="32545" xr:uid="{00000000-0005-0000-0000-0000217F0000}"/>
    <cellStyle name="Normal 5 10 2 34 8" xfId="32546" xr:uid="{00000000-0005-0000-0000-0000227F0000}"/>
    <cellStyle name="Normal 5 10 2 34 9" xfId="32547" xr:uid="{00000000-0005-0000-0000-0000237F0000}"/>
    <cellStyle name="Normal 5 10 2 35" xfId="32548" xr:uid="{00000000-0005-0000-0000-0000247F0000}"/>
    <cellStyle name="Normal 5 10 2 35 10" xfId="32549" xr:uid="{00000000-0005-0000-0000-0000257F0000}"/>
    <cellStyle name="Normal 5 10 2 35 2" xfId="32550" xr:uid="{00000000-0005-0000-0000-0000267F0000}"/>
    <cellStyle name="Normal 5 10 2 35 3" xfId="32551" xr:uid="{00000000-0005-0000-0000-0000277F0000}"/>
    <cellStyle name="Normal 5 10 2 35 4" xfId="32552" xr:uid="{00000000-0005-0000-0000-0000287F0000}"/>
    <cellStyle name="Normal 5 10 2 35 5" xfId="32553" xr:uid="{00000000-0005-0000-0000-0000297F0000}"/>
    <cellStyle name="Normal 5 10 2 35 6" xfId="32554" xr:uid="{00000000-0005-0000-0000-00002A7F0000}"/>
    <cellStyle name="Normal 5 10 2 35 7" xfId="32555" xr:uid="{00000000-0005-0000-0000-00002B7F0000}"/>
    <cellStyle name="Normal 5 10 2 35 8" xfId="32556" xr:uid="{00000000-0005-0000-0000-00002C7F0000}"/>
    <cellStyle name="Normal 5 10 2 35 9" xfId="32557" xr:uid="{00000000-0005-0000-0000-00002D7F0000}"/>
    <cellStyle name="Normal 5 10 2 36" xfId="32558" xr:uid="{00000000-0005-0000-0000-00002E7F0000}"/>
    <cellStyle name="Normal 5 10 2 36 10" xfId="32559" xr:uid="{00000000-0005-0000-0000-00002F7F0000}"/>
    <cellStyle name="Normal 5 10 2 36 2" xfId="32560" xr:uid="{00000000-0005-0000-0000-0000307F0000}"/>
    <cellStyle name="Normal 5 10 2 36 3" xfId="32561" xr:uid="{00000000-0005-0000-0000-0000317F0000}"/>
    <cellStyle name="Normal 5 10 2 36 4" xfId="32562" xr:uid="{00000000-0005-0000-0000-0000327F0000}"/>
    <cellStyle name="Normal 5 10 2 36 5" xfId="32563" xr:uid="{00000000-0005-0000-0000-0000337F0000}"/>
    <cellStyle name="Normal 5 10 2 36 6" xfId="32564" xr:uid="{00000000-0005-0000-0000-0000347F0000}"/>
    <cellStyle name="Normal 5 10 2 36 7" xfId="32565" xr:uid="{00000000-0005-0000-0000-0000357F0000}"/>
    <cellStyle name="Normal 5 10 2 36 8" xfId="32566" xr:uid="{00000000-0005-0000-0000-0000367F0000}"/>
    <cellStyle name="Normal 5 10 2 36 9" xfId="32567" xr:uid="{00000000-0005-0000-0000-0000377F0000}"/>
    <cellStyle name="Normal 5 10 2 37" xfId="32568" xr:uid="{00000000-0005-0000-0000-0000387F0000}"/>
    <cellStyle name="Normal 5 10 2 37 10" xfId="32569" xr:uid="{00000000-0005-0000-0000-0000397F0000}"/>
    <cellStyle name="Normal 5 10 2 37 2" xfId="32570" xr:uid="{00000000-0005-0000-0000-00003A7F0000}"/>
    <cellStyle name="Normal 5 10 2 37 3" xfId="32571" xr:uid="{00000000-0005-0000-0000-00003B7F0000}"/>
    <cellStyle name="Normal 5 10 2 37 4" xfId="32572" xr:uid="{00000000-0005-0000-0000-00003C7F0000}"/>
    <cellStyle name="Normal 5 10 2 37 5" xfId="32573" xr:uid="{00000000-0005-0000-0000-00003D7F0000}"/>
    <cellStyle name="Normal 5 10 2 37 6" xfId="32574" xr:uid="{00000000-0005-0000-0000-00003E7F0000}"/>
    <cellStyle name="Normal 5 10 2 37 7" xfId="32575" xr:uid="{00000000-0005-0000-0000-00003F7F0000}"/>
    <cellStyle name="Normal 5 10 2 37 8" xfId="32576" xr:uid="{00000000-0005-0000-0000-0000407F0000}"/>
    <cellStyle name="Normal 5 10 2 37 9" xfId="32577" xr:uid="{00000000-0005-0000-0000-0000417F0000}"/>
    <cellStyle name="Normal 5 10 2 38" xfId="32578" xr:uid="{00000000-0005-0000-0000-0000427F0000}"/>
    <cellStyle name="Normal 5 10 2 39" xfId="32579" xr:uid="{00000000-0005-0000-0000-0000437F0000}"/>
    <cellStyle name="Normal 5 10 2 4" xfId="32580" xr:uid="{00000000-0005-0000-0000-0000447F0000}"/>
    <cellStyle name="Normal 5 10 2 4 10" xfId="32581" xr:uid="{00000000-0005-0000-0000-0000457F0000}"/>
    <cellStyle name="Normal 5 10 2 4 11" xfId="32582" xr:uid="{00000000-0005-0000-0000-0000467F0000}"/>
    <cellStyle name="Normal 5 10 2 4 12" xfId="32583" xr:uid="{00000000-0005-0000-0000-0000477F0000}"/>
    <cellStyle name="Normal 5 10 2 4 13" xfId="32584" xr:uid="{00000000-0005-0000-0000-0000487F0000}"/>
    <cellStyle name="Normal 5 10 2 4 14" xfId="32585" xr:uid="{00000000-0005-0000-0000-0000497F0000}"/>
    <cellStyle name="Normal 5 10 2 4 2" xfId="32586" xr:uid="{00000000-0005-0000-0000-00004A7F0000}"/>
    <cellStyle name="Normal 5 10 2 4 2 10" xfId="32587" xr:uid="{00000000-0005-0000-0000-00004B7F0000}"/>
    <cellStyle name="Normal 5 10 2 4 2 2" xfId="32588" xr:uid="{00000000-0005-0000-0000-00004C7F0000}"/>
    <cellStyle name="Normal 5 10 2 4 2 3" xfId="32589" xr:uid="{00000000-0005-0000-0000-00004D7F0000}"/>
    <cellStyle name="Normal 5 10 2 4 2 4" xfId="32590" xr:uid="{00000000-0005-0000-0000-00004E7F0000}"/>
    <cellStyle name="Normal 5 10 2 4 2 5" xfId="32591" xr:uid="{00000000-0005-0000-0000-00004F7F0000}"/>
    <cellStyle name="Normal 5 10 2 4 2 6" xfId="32592" xr:uid="{00000000-0005-0000-0000-0000507F0000}"/>
    <cellStyle name="Normal 5 10 2 4 2 7" xfId="32593" xr:uid="{00000000-0005-0000-0000-0000517F0000}"/>
    <cellStyle name="Normal 5 10 2 4 2 8" xfId="32594" xr:uid="{00000000-0005-0000-0000-0000527F0000}"/>
    <cellStyle name="Normal 5 10 2 4 2 9" xfId="32595" xr:uid="{00000000-0005-0000-0000-0000537F0000}"/>
    <cellStyle name="Normal 5 10 2 4 3" xfId="32596" xr:uid="{00000000-0005-0000-0000-0000547F0000}"/>
    <cellStyle name="Normal 5 10 2 4 3 10" xfId="32597" xr:uid="{00000000-0005-0000-0000-0000557F0000}"/>
    <cellStyle name="Normal 5 10 2 4 3 2" xfId="32598" xr:uid="{00000000-0005-0000-0000-0000567F0000}"/>
    <cellStyle name="Normal 5 10 2 4 3 3" xfId="32599" xr:uid="{00000000-0005-0000-0000-0000577F0000}"/>
    <cellStyle name="Normal 5 10 2 4 3 4" xfId="32600" xr:uid="{00000000-0005-0000-0000-0000587F0000}"/>
    <cellStyle name="Normal 5 10 2 4 3 5" xfId="32601" xr:uid="{00000000-0005-0000-0000-0000597F0000}"/>
    <cellStyle name="Normal 5 10 2 4 3 6" xfId="32602" xr:uid="{00000000-0005-0000-0000-00005A7F0000}"/>
    <cellStyle name="Normal 5 10 2 4 3 7" xfId="32603" xr:uid="{00000000-0005-0000-0000-00005B7F0000}"/>
    <cellStyle name="Normal 5 10 2 4 3 8" xfId="32604" xr:uid="{00000000-0005-0000-0000-00005C7F0000}"/>
    <cellStyle name="Normal 5 10 2 4 3 9" xfId="32605" xr:uid="{00000000-0005-0000-0000-00005D7F0000}"/>
    <cellStyle name="Normal 5 10 2 4 4" xfId="32606" xr:uid="{00000000-0005-0000-0000-00005E7F0000}"/>
    <cellStyle name="Normal 5 10 2 4 4 10" xfId="32607" xr:uid="{00000000-0005-0000-0000-00005F7F0000}"/>
    <cellStyle name="Normal 5 10 2 4 4 2" xfId="32608" xr:uid="{00000000-0005-0000-0000-0000607F0000}"/>
    <cellStyle name="Normal 5 10 2 4 4 3" xfId="32609" xr:uid="{00000000-0005-0000-0000-0000617F0000}"/>
    <cellStyle name="Normal 5 10 2 4 4 4" xfId="32610" xr:uid="{00000000-0005-0000-0000-0000627F0000}"/>
    <cellStyle name="Normal 5 10 2 4 4 5" xfId="32611" xr:uid="{00000000-0005-0000-0000-0000637F0000}"/>
    <cellStyle name="Normal 5 10 2 4 4 6" xfId="32612" xr:uid="{00000000-0005-0000-0000-0000647F0000}"/>
    <cellStyle name="Normal 5 10 2 4 4 7" xfId="32613" xr:uid="{00000000-0005-0000-0000-0000657F0000}"/>
    <cellStyle name="Normal 5 10 2 4 4 8" xfId="32614" xr:uid="{00000000-0005-0000-0000-0000667F0000}"/>
    <cellStyle name="Normal 5 10 2 4 4 9" xfId="32615" xr:uid="{00000000-0005-0000-0000-0000677F0000}"/>
    <cellStyle name="Normal 5 10 2 4 5" xfId="32616" xr:uid="{00000000-0005-0000-0000-0000687F0000}"/>
    <cellStyle name="Normal 5 10 2 4 5 10" xfId="32617" xr:uid="{00000000-0005-0000-0000-0000697F0000}"/>
    <cellStyle name="Normal 5 10 2 4 5 2" xfId="32618" xr:uid="{00000000-0005-0000-0000-00006A7F0000}"/>
    <cellStyle name="Normal 5 10 2 4 5 3" xfId="32619" xr:uid="{00000000-0005-0000-0000-00006B7F0000}"/>
    <cellStyle name="Normal 5 10 2 4 5 4" xfId="32620" xr:uid="{00000000-0005-0000-0000-00006C7F0000}"/>
    <cellStyle name="Normal 5 10 2 4 5 5" xfId="32621" xr:uid="{00000000-0005-0000-0000-00006D7F0000}"/>
    <cellStyle name="Normal 5 10 2 4 5 6" xfId="32622" xr:uid="{00000000-0005-0000-0000-00006E7F0000}"/>
    <cellStyle name="Normal 5 10 2 4 5 7" xfId="32623" xr:uid="{00000000-0005-0000-0000-00006F7F0000}"/>
    <cellStyle name="Normal 5 10 2 4 5 8" xfId="32624" xr:uid="{00000000-0005-0000-0000-0000707F0000}"/>
    <cellStyle name="Normal 5 10 2 4 5 9" xfId="32625" xr:uid="{00000000-0005-0000-0000-0000717F0000}"/>
    <cellStyle name="Normal 5 10 2 4 6" xfId="32626" xr:uid="{00000000-0005-0000-0000-0000727F0000}"/>
    <cellStyle name="Normal 5 10 2 4 7" xfId="32627" xr:uid="{00000000-0005-0000-0000-0000737F0000}"/>
    <cellStyle name="Normal 5 10 2 4 8" xfId="32628" xr:uid="{00000000-0005-0000-0000-0000747F0000}"/>
    <cellStyle name="Normal 5 10 2 4 9" xfId="32629" xr:uid="{00000000-0005-0000-0000-0000757F0000}"/>
    <cellStyle name="Normal 5 10 2 40" xfId="32630" xr:uid="{00000000-0005-0000-0000-0000767F0000}"/>
    <cellStyle name="Normal 5 10 2 41" xfId="32631" xr:uid="{00000000-0005-0000-0000-0000777F0000}"/>
    <cellStyle name="Normal 5 10 2 42" xfId="32632" xr:uid="{00000000-0005-0000-0000-0000787F0000}"/>
    <cellStyle name="Normal 5 10 2 43" xfId="32633" xr:uid="{00000000-0005-0000-0000-0000797F0000}"/>
    <cellStyle name="Normal 5 10 2 44" xfId="32634" xr:uid="{00000000-0005-0000-0000-00007A7F0000}"/>
    <cellStyle name="Normal 5 10 2 45" xfId="32635" xr:uid="{00000000-0005-0000-0000-00007B7F0000}"/>
    <cellStyle name="Normal 5 10 2 46" xfId="32636" xr:uid="{00000000-0005-0000-0000-00007C7F0000}"/>
    <cellStyle name="Normal 5 10 2 47" xfId="32637" xr:uid="{00000000-0005-0000-0000-00007D7F0000}"/>
    <cellStyle name="Normal 5 10 2 48" xfId="32638" xr:uid="{00000000-0005-0000-0000-00007E7F0000}"/>
    <cellStyle name="Normal 5 10 2 5" xfId="32639" xr:uid="{00000000-0005-0000-0000-00007F7F0000}"/>
    <cellStyle name="Normal 5 10 2 5 10" xfId="32640" xr:uid="{00000000-0005-0000-0000-0000807F0000}"/>
    <cellStyle name="Normal 5 10 2 5 11" xfId="32641" xr:uid="{00000000-0005-0000-0000-0000817F0000}"/>
    <cellStyle name="Normal 5 10 2 5 12" xfId="32642" xr:uid="{00000000-0005-0000-0000-0000827F0000}"/>
    <cellStyle name="Normal 5 10 2 5 13" xfId="32643" xr:uid="{00000000-0005-0000-0000-0000837F0000}"/>
    <cellStyle name="Normal 5 10 2 5 14" xfId="32644" xr:uid="{00000000-0005-0000-0000-0000847F0000}"/>
    <cellStyle name="Normal 5 10 2 5 2" xfId="32645" xr:uid="{00000000-0005-0000-0000-0000857F0000}"/>
    <cellStyle name="Normal 5 10 2 5 2 10" xfId="32646" xr:uid="{00000000-0005-0000-0000-0000867F0000}"/>
    <cellStyle name="Normal 5 10 2 5 2 2" xfId="32647" xr:uid="{00000000-0005-0000-0000-0000877F0000}"/>
    <cellStyle name="Normal 5 10 2 5 2 3" xfId="32648" xr:uid="{00000000-0005-0000-0000-0000887F0000}"/>
    <cellStyle name="Normal 5 10 2 5 2 4" xfId="32649" xr:uid="{00000000-0005-0000-0000-0000897F0000}"/>
    <cellStyle name="Normal 5 10 2 5 2 5" xfId="32650" xr:uid="{00000000-0005-0000-0000-00008A7F0000}"/>
    <cellStyle name="Normal 5 10 2 5 2 6" xfId="32651" xr:uid="{00000000-0005-0000-0000-00008B7F0000}"/>
    <cellStyle name="Normal 5 10 2 5 2 7" xfId="32652" xr:uid="{00000000-0005-0000-0000-00008C7F0000}"/>
    <cellStyle name="Normal 5 10 2 5 2 8" xfId="32653" xr:uid="{00000000-0005-0000-0000-00008D7F0000}"/>
    <cellStyle name="Normal 5 10 2 5 2 9" xfId="32654" xr:uid="{00000000-0005-0000-0000-00008E7F0000}"/>
    <cellStyle name="Normal 5 10 2 5 3" xfId="32655" xr:uid="{00000000-0005-0000-0000-00008F7F0000}"/>
    <cellStyle name="Normal 5 10 2 5 3 10" xfId="32656" xr:uid="{00000000-0005-0000-0000-0000907F0000}"/>
    <cellStyle name="Normal 5 10 2 5 3 2" xfId="32657" xr:uid="{00000000-0005-0000-0000-0000917F0000}"/>
    <cellStyle name="Normal 5 10 2 5 3 3" xfId="32658" xr:uid="{00000000-0005-0000-0000-0000927F0000}"/>
    <cellStyle name="Normal 5 10 2 5 3 4" xfId="32659" xr:uid="{00000000-0005-0000-0000-0000937F0000}"/>
    <cellStyle name="Normal 5 10 2 5 3 5" xfId="32660" xr:uid="{00000000-0005-0000-0000-0000947F0000}"/>
    <cellStyle name="Normal 5 10 2 5 3 6" xfId="32661" xr:uid="{00000000-0005-0000-0000-0000957F0000}"/>
    <cellStyle name="Normal 5 10 2 5 3 7" xfId="32662" xr:uid="{00000000-0005-0000-0000-0000967F0000}"/>
    <cellStyle name="Normal 5 10 2 5 3 8" xfId="32663" xr:uid="{00000000-0005-0000-0000-0000977F0000}"/>
    <cellStyle name="Normal 5 10 2 5 3 9" xfId="32664" xr:uid="{00000000-0005-0000-0000-0000987F0000}"/>
    <cellStyle name="Normal 5 10 2 5 4" xfId="32665" xr:uid="{00000000-0005-0000-0000-0000997F0000}"/>
    <cellStyle name="Normal 5 10 2 5 4 10" xfId="32666" xr:uid="{00000000-0005-0000-0000-00009A7F0000}"/>
    <cellStyle name="Normal 5 10 2 5 4 2" xfId="32667" xr:uid="{00000000-0005-0000-0000-00009B7F0000}"/>
    <cellStyle name="Normal 5 10 2 5 4 3" xfId="32668" xr:uid="{00000000-0005-0000-0000-00009C7F0000}"/>
    <cellStyle name="Normal 5 10 2 5 4 4" xfId="32669" xr:uid="{00000000-0005-0000-0000-00009D7F0000}"/>
    <cellStyle name="Normal 5 10 2 5 4 5" xfId="32670" xr:uid="{00000000-0005-0000-0000-00009E7F0000}"/>
    <cellStyle name="Normal 5 10 2 5 4 6" xfId="32671" xr:uid="{00000000-0005-0000-0000-00009F7F0000}"/>
    <cellStyle name="Normal 5 10 2 5 4 7" xfId="32672" xr:uid="{00000000-0005-0000-0000-0000A07F0000}"/>
    <cellStyle name="Normal 5 10 2 5 4 8" xfId="32673" xr:uid="{00000000-0005-0000-0000-0000A17F0000}"/>
    <cellStyle name="Normal 5 10 2 5 4 9" xfId="32674" xr:uid="{00000000-0005-0000-0000-0000A27F0000}"/>
    <cellStyle name="Normal 5 10 2 5 5" xfId="32675" xr:uid="{00000000-0005-0000-0000-0000A37F0000}"/>
    <cellStyle name="Normal 5 10 2 5 5 10" xfId="32676" xr:uid="{00000000-0005-0000-0000-0000A47F0000}"/>
    <cellStyle name="Normal 5 10 2 5 5 2" xfId="32677" xr:uid="{00000000-0005-0000-0000-0000A57F0000}"/>
    <cellStyle name="Normal 5 10 2 5 5 3" xfId="32678" xr:uid="{00000000-0005-0000-0000-0000A67F0000}"/>
    <cellStyle name="Normal 5 10 2 5 5 4" xfId="32679" xr:uid="{00000000-0005-0000-0000-0000A77F0000}"/>
    <cellStyle name="Normal 5 10 2 5 5 5" xfId="32680" xr:uid="{00000000-0005-0000-0000-0000A87F0000}"/>
    <cellStyle name="Normal 5 10 2 5 5 6" xfId="32681" xr:uid="{00000000-0005-0000-0000-0000A97F0000}"/>
    <cellStyle name="Normal 5 10 2 5 5 7" xfId="32682" xr:uid="{00000000-0005-0000-0000-0000AA7F0000}"/>
    <cellStyle name="Normal 5 10 2 5 5 8" xfId="32683" xr:uid="{00000000-0005-0000-0000-0000AB7F0000}"/>
    <cellStyle name="Normal 5 10 2 5 5 9" xfId="32684" xr:uid="{00000000-0005-0000-0000-0000AC7F0000}"/>
    <cellStyle name="Normal 5 10 2 5 6" xfId="32685" xr:uid="{00000000-0005-0000-0000-0000AD7F0000}"/>
    <cellStyle name="Normal 5 10 2 5 7" xfId="32686" xr:uid="{00000000-0005-0000-0000-0000AE7F0000}"/>
    <cellStyle name="Normal 5 10 2 5 8" xfId="32687" xr:uid="{00000000-0005-0000-0000-0000AF7F0000}"/>
    <cellStyle name="Normal 5 10 2 5 9" xfId="32688" xr:uid="{00000000-0005-0000-0000-0000B07F0000}"/>
    <cellStyle name="Normal 5 10 2 6" xfId="32689" xr:uid="{00000000-0005-0000-0000-0000B17F0000}"/>
    <cellStyle name="Normal 5 10 2 6 10" xfId="32690" xr:uid="{00000000-0005-0000-0000-0000B27F0000}"/>
    <cellStyle name="Normal 5 10 2 6 11" xfId="32691" xr:uid="{00000000-0005-0000-0000-0000B37F0000}"/>
    <cellStyle name="Normal 5 10 2 6 12" xfId="32692" xr:uid="{00000000-0005-0000-0000-0000B47F0000}"/>
    <cellStyle name="Normal 5 10 2 6 13" xfId="32693" xr:uid="{00000000-0005-0000-0000-0000B57F0000}"/>
    <cellStyle name="Normal 5 10 2 6 14" xfId="32694" xr:uid="{00000000-0005-0000-0000-0000B67F0000}"/>
    <cellStyle name="Normal 5 10 2 6 2" xfId="32695" xr:uid="{00000000-0005-0000-0000-0000B77F0000}"/>
    <cellStyle name="Normal 5 10 2 6 2 10" xfId="32696" xr:uid="{00000000-0005-0000-0000-0000B87F0000}"/>
    <cellStyle name="Normal 5 10 2 6 2 2" xfId="32697" xr:uid="{00000000-0005-0000-0000-0000B97F0000}"/>
    <cellStyle name="Normal 5 10 2 6 2 3" xfId="32698" xr:uid="{00000000-0005-0000-0000-0000BA7F0000}"/>
    <cellStyle name="Normal 5 10 2 6 2 4" xfId="32699" xr:uid="{00000000-0005-0000-0000-0000BB7F0000}"/>
    <cellStyle name="Normal 5 10 2 6 2 5" xfId="32700" xr:uid="{00000000-0005-0000-0000-0000BC7F0000}"/>
    <cellStyle name="Normal 5 10 2 6 2 6" xfId="32701" xr:uid="{00000000-0005-0000-0000-0000BD7F0000}"/>
    <cellStyle name="Normal 5 10 2 6 2 7" xfId="32702" xr:uid="{00000000-0005-0000-0000-0000BE7F0000}"/>
    <cellStyle name="Normal 5 10 2 6 2 8" xfId="32703" xr:uid="{00000000-0005-0000-0000-0000BF7F0000}"/>
    <cellStyle name="Normal 5 10 2 6 2 9" xfId="32704" xr:uid="{00000000-0005-0000-0000-0000C07F0000}"/>
    <cellStyle name="Normal 5 10 2 6 3" xfId="32705" xr:uid="{00000000-0005-0000-0000-0000C17F0000}"/>
    <cellStyle name="Normal 5 10 2 6 3 10" xfId="32706" xr:uid="{00000000-0005-0000-0000-0000C27F0000}"/>
    <cellStyle name="Normal 5 10 2 6 3 2" xfId="32707" xr:uid="{00000000-0005-0000-0000-0000C37F0000}"/>
    <cellStyle name="Normal 5 10 2 6 3 3" xfId="32708" xr:uid="{00000000-0005-0000-0000-0000C47F0000}"/>
    <cellStyle name="Normal 5 10 2 6 3 4" xfId="32709" xr:uid="{00000000-0005-0000-0000-0000C57F0000}"/>
    <cellStyle name="Normal 5 10 2 6 3 5" xfId="32710" xr:uid="{00000000-0005-0000-0000-0000C67F0000}"/>
    <cellStyle name="Normal 5 10 2 6 3 6" xfId="32711" xr:uid="{00000000-0005-0000-0000-0000C77F0000}"/>
    <cellStyle name="Normal 5 10 2 6 3 7" xfId="32712" xr:uid="{00000000-0005-0000-0000-0000C87F0000}"/>
    <cellStyle name="Normal 5 10 2 6 3 8" xfId="32713" xr:uid="{00000000-0005-0000-0000-0000C97F0000}"/>
    <cellStyle name="Normal 5 10 2 6 3 9" xfId="32714" xr:uid="{00000000-0005-0000-0000-0000CA7F0000}"/>
    <cellStyle name="Normal 5 10 2 6 4" xfId="32715" xr:uid="{00000000-0005-0000-0000-0000CB7F0000}"/>
    <cellStyle name="Normal 5 10 2 6 4 10" xfId="32716" xr:uid="{00000000-0005-0000-0000-0000CC7F0000}"/>
    <cellStyle name="Normal 5 10 2 6 4 2" xfId="32717" xr:uid="{00000000-0005-0000-0000-0000CD7F0000}"/>
    <cellStyle name="Normal 5 10 2 6 4 3" xfId="32718" xr:uid="{00000000-0005-0000-0000-0000CE7F0000}"/>
    <cellStyle name="Normal 5 10 2 6 4 4" xfId="32719" xr:uid="{00000000-0005-0000-0000-0000CF7F0000}"/>
    <cellStyle name="Normal 5 10 2 6 4 5" xfId="32720" xr:uid="{00000000-0005-0000-0000-0000D07F0000}"/>
    <cellStyle name="Normal 5 10 2 6 4 6" xfId="32721" xr:uid="{00000000-0005-0000-0000-0000D17F0000}"/>
    <cellStyle name="Normal 5 10 2 6 4 7" xfId="32722" xr:uid="{00000000-0005-0000-0000-0000D27F0000}"/>
    <cellStyle name="Normal 5 10 2 6 4 8" xfId="32723" xr:uid="{00000000-0005-0000-0000-0000D37F0000}"/>
    <cellStyle name="Normal 5 10 2 6 4 9" xfId="32724" xr:uid="{00000000-0005-0000-0000-0000D47F0000}"/>
    <cellStyle name="Normal 5 10 2 6 5" xfId="32725" xr:uid="{00000000-0005-0000-0000-0000D57F0000}"/>
    <cellStyle name="Normal 5 10 2 6 5 10" xfId="32726" xr:uid="{00000000-0005-0000-0000-0000D67F0000}"/>
    <cellStyle name="Normal 5 10 2 6 5 2" xfId="32727" xr:uid="{00000000-0005-0000-0000-0000D77F0000}"/>
    <cellStyle name="Normal 5 10 2 6 5 3" xfId="32728" xr:uid="{00000000-0005-0000-0000-0000D87F0000}"/>
    <cellStyle name="Normal 5 10 2 6 5 4" xfId="32729" xr:uid="{00000000-0005-0000-0000-0000D97F0000}"/>
    <cellStyle name="Normal 5 10 2 6 5 5" xfId="32730" xr:uid="{00000000-0005-0000-0000-0000DA7F0000}"/>
    <cellStyle name="Normal 5 10 2 6 5 6" xfId="32731" xr:uid="{00000000-0005-0000-0000-0000DB7F0000}"/>
    <cellStyle name="Normal 5 10 2 6 5 7" xfId="32732" xr:uid="{00000000-0005-0000-0000-0000DC7F0000}"/>
    <cellStyle name="Normal 5 10 2 6 5 8" xfId="32733" xr:uid="{00000000-0005-0000-0000-0000DD7F0000}"/>
    <cellStyle name="Normal 5 10 2 6 5 9" xfId="32734" xr:uid="{00000000-0005-0000-0000-0000DE7F0000}"/>
    <cellStyle name="Normal 5 10 2 6 6" xfId="32735" xr:uid="{00000000-0005-0000-0000-0000DF7F0000}"/>
    <cellStyle name="Normal 5 10 2 6 7" xfId="32736" xr:uid="{00000000-0005-0000-0000-0000E07F0000}"/>
    <cellStyle name="Normal 5 10 2 6 8" xfId="32737" xr:uid="{00000000-0005-0000-0000-0000E17F0000}"/>
    <cellStyle name="Normal 5 10 2 6 9" xfId="32738" xr:uid="{00000000-0005-0000-0000-0000E27F0000}"/>
    <cellStyle name="Normal 5 10 2 7" xfId="32739" xr:uid="{00000000-0005-0000-0000-0000E37F0000}"/>
    <cellStyle name="Normal 5 10 2 7 10" xfId="32740" xr:uid="{00000000-0005-0000-0000-0000E47F0000}"/>
    <cellStyle name="Normal 5 10 2 7 11" xfId="32741" xr:uid="{00000000-0005-0000-0000-0000E57F0000}"/>
    <cellStyle name="Normal 5 10 2 7 12" xfId="32742" xr:uid="{00000000-0005-0000-0000-0000E67F0000}"/>
    <cellStyle name="Normal 5 10 2 7 13" xfId="32743" xr:uid="{00000000-0005-0000-0000-0000E77F0000}"/>
    <cellStyle name="Normal 5 10 2 7 14" xfId="32744" xr:uid="{00000000-0005-0000-0000-0000E87F0000}"/>
    <cellStyle name="Normal 5 10 2 7 2" xfId="32745" xr:uid="{00000000-0005-0000-0000-0000E97F0000}"/>
    <cellStyle name="Normal 5 10 2 7 2 10" xfId="32746" xr:uid="{00000000-0005-0000-0000-0000EA7F0000}"/>
    <cellStyle name="Normal 5 10 2 7 2 2" xfId="32747" xr:uid="{00000000-0005-0000-0000-0000EB7F0000}"/>
    <cellStyle name="Normal 5 10 2 7 2 3" xfId="32748" xr:uid="{00000000-0005-0000-0000-0000EC7F0000}"/>
    <cellStyle name="Normal 5 10 2 7 2 4" xfId="32749" xr:uid="{00000000-0005-0000-0000-0000ED7F0000}"/>
    <cellStyle name="Normal 5 10 2 7 2 5" xfId="32750" xr:uid="{00000000-0005-0000-0000-0000EE7F0000}"/>
    <cellStyle name="Normal 5 10 2 7 2 6" xfId="32751" xr:uid="{00000000-0005-0000-0000-0000EF7F0000}"/>
    <cellStyle name="Normal 5 10 2 7 2 7" xfId="32752" xr:uid="{00000000-0005-0000-0000-0000F07F0000}"/>
    <cellStyle name="Normal 5 10 2 7 2 8" xfId="32753" xr:uid="{00000000-0005-0000-0000-0000F17F0000}"/>
    <cellStyle name="Normal 5 10 2 7 2 9" xfId="32754" xr:uid="{00000000-0005-0000-0000-0000F27F0000}"/>
    <cellStyle name="Normal 5 10 2 7 3" xfId="32755" xr:uid="{00000000-0005-0000-0000-0000F37F0000}"/>
    <cellStyle name="Normal 5 10 2 7 3 10" xfId="32756" xr:uid="{00000000-0005-0000-0000-0000F47F0000}"/>
    <cellStyle name="Normal 5 10 2 7 3 2" xfId="32757" xr:uid="{00000000-0005-0000-0000-0000F57F0000}"/>
    <cellStyle name="Normal 5 10 2 7 3 3" xfId="32758" xr:uid="{00000000-0005-0000-0000-0000F67F0000}"/>
    <cellStyle name="Normal 5 10 2 7 3 4" xfId="32759" xr:uid="{00000000-0005-0000-0000-0000F77F0000}"/>
    <cellStyle name="Normal 5 10 2 7 3 5" xfId="32760" xr:uid="{00000000-0005-0000-0000-0000F87F0000}"/>
    <cellStyle name="Normal 5 10 2 7 3 6" xfId="32761" xr:uid="{00000000-0005-0000-0000-0000F97F0000}"/>
    <cellStyle name="Normal 5 10 2 7 3 7" xfId="32762" xr:uid="{00000000-0005-0000-0000-0000FA7F0000}"/>
    <cellStyle name="Normal 5 10 2 7 3 8" xfId="32763" xr:uid="{00000000-0005-0000-0000-0000FB7F0000}"/>
    <cellStyle name="Normal 5 10 2 7 3 9" xfId="32764" xr:uid="{00000000-0005-0000-0000-0000FC7F0000}"/>
    <cellStyle name="Normal 5 10 2 7 4" xfId="32765" xr:uid="{00000000-0005-0000-0000-0000FD7F0000}"/>
    <cellStyle name="Normal 5 10 2 7 4 10" xfId="32766" xr:uid="{00000000-0005-0000-0000-0000FE7F0000}"/>
    <cellStyle name="Normal 5 10 2 7 4 2" xfId="32767" xr:uid="{00000000-0005-0000-0000-0000FF7F0000}"/>
    <cellStyle name="Normal 5 10 2 7 4 3" xfId="32768" xr:uid="{00000000-0005-0000-0000-000000800000}"/>
    <cellStyle name="Normal 5 10 2 7 4 4" xfId="32769" xr:uid="{00000000-0005-0000-0000-000001800000}"/>
    <cellStyle name="Normal 5 10 2 7 4 5" xfId="32770" xr:uid="{00000000-0005-0000-0000-000002800000}"/>
    <cellStyle name="Normal 5 10 2 7 4 6" xfId="32771" xr:uid="{00000000-0005-0000-0000-000003800000}"/>
    <cellStyle name="Normal 5 10 2 7 4 7" xfId="32772" xr:uid="{00000000-0005-0000-0000-000004800000}"/>
    <cellStyle name="Normal 5 10 2 7 4 8" xfId="32773" xr:uid="{00000000-0005-0000-0000-000005800000}"/>
    <cellStyle name="Normal 5 10 2 7 4 9" xfId="32774" xr:uid="{00000000-0005-0000-0000-000006800000}"/>
    <cellStyle name="Normal 5 10 2 7 5" xfId="32775" xr:uid="{00000000-0005-0000-0000-000007800000}"/>
    <cellStyle name="Normal 5 10 2 7 5 10" xfId="32776" xr:uid="{00000000-0005-0000-0000-000008800000}"/>
    <cellStyle name="Normal 5 10 2 7 5 2" xfId="32777" xr:uid="{00000000-0005-0000-0000-000009800000}"/>
    <cellStyle name="Normal 5 10 2 7 5 3" xfId="32778" xr:uid="{00000000-0005-0000-0000-00000A800000}"/>
    <cellStyle name="Normal 5 10 2 7 5 4" xfId="32779" xr:uid="{00000000-0005-0000-0000-00000B800000}"/>
    <cellStyle name="Normal 5 10 2 7 5 5" xfId="32780" xr:uid="{00000000-0005-0000-0000-00000C800000}"/>
    <cellStyle name="Normal 5 10 2 7 5 6" xfId="32781" xr:uid="{00000000-0005-0000-0000-00000D800000}"/>
    <cellStyle name="Normal 5 10 2 7 5 7" xfId="32782" xr:uid="{00000000-0005-0000-0000-00000E800000}"/>
    <cellStyle name="Normal 5 10 2 7 5 8" xfId="32783" xr:uid="{00000000-0005-0000-0000-00000F800000}"/>
    <cellStyle name="Normal 5 10 2 7 5 9" xfId="32784" xr:uid="{00000000-0005-0000-0000-000010800000}"/>
    <cellStyle name="Normal 5 10 2 7 6" xfId="32785" xr:uid="{00000000-0005-0000-0000-000011800000}"/>
    <cellStyle name="Normal 5 10 2 7 7" xfId="32786" xr:uid="{00000000-0005-0000-0000-000012800000}"/>
    <cellStyle name="Normal 5 10 2 7 8" xfId="32787" xr:uid="{00000000-0005-0000-0000-000013800000}"/>
    <cellStyle name="Normal 5 10 2 7 9" xfId="32788" xr:uid="{00000000-0005-0000-0000-000014800000}"/>
    <cellStyle name="Normal 5 10 2 8" xfId="32789" xr:uid="{00000000-0005-0000-0000-000015800000}"/>
    <cellStyle name="Normal 5 10 2 8 10" xfId="32790" xr:uid="{00000000-0005-0000-0000-000016800000}"/>
    <cellStyle name="Normal 5 10 2 8 11" xfId="32791" xr:uid="{00000000-0005-0000-0000-000017800000}"/>
    <cellStyle name="Normal 5 10 2 8 12" xfId="32792" xr:uid="{00000000-0005-0000-0000-000018800000}"/>
    <cellStyle name="Normal 5 10 2 8 13" xfId="32793" xr:uid="{00000000-0005-0000-0000-000019800000}"/>
    <cellStyle name="Normal 5 10 2 8 14" xfId="32794" xr:uid="{00000000-0005-0000-0000-00001A800000}"/>
    <cellStyle name="Normal 5 10 2 8 2" xfId="32795" xr:uid="{00000000-0005-0000-0000-00001B800000}"/>
    <cellStyle name="Normal 5 10 2 8 2 10" xfId="32796" xr:uid="{00000000-0005-0000-0000-00001C800000}"/>
    <cellStyle name="Normal 5 10 2 8 2 2" xfId="32797" xr:uid="{00000000-0005-0000-0000-00001D800000}"/>
    <cellStyle name="Normal 5 10 2 8 2 3" xfId="32798" xr:uid="{00000000-0005-0000-0000-00001E800000}"/>
    <cellStyle name="Normal 5 10 2 8 2 4" xfId="32799" xr:uid="{00000000-0005-0000-0000-00001F800000}"/>
    <cellStyle name="Normal 5 10 2 8 2 5" xfId="32800" xr:uid="{00000000-0005-0000-0000-000020800000}"/>
    <cellStyle name="Normal 5 10 2 8 2 6" xfId="32801" xr:uid="{00000000-0005-0000-0000-000021800000}"/>
    <cellStyle name="Normal 5 10 2 8 2 7" xfId="32802" xr:uid="{00000000-0005-0000-0000-000022800000}"/>
    <cellStyle name="Normal 5 10 2 8 2 8" xfId="32803" xr:uid="{00000000-0005-0000-0000-000023800000}"/>
    <cellStyle name="Normal 5 10 2 8 2 9" xfId="32804" xr:uid="{00000000-0005-0000-0000-000024800000}"/>
    <cellStyle name="Normal 5 10 2 8 3" xfId="32805" xr:uid="{00000000-0005-0000-0000-000025800000}"/>
    <cellStyle name="Normal 5 10 2 8 3 10" xfId="32806" xr:uid="{00000000-0005-0000-0000-000026800000}"/>
    <cellStyle name="Normal 5 10 2 8 3 2" xfId="32807" xr:uid="{00000000-0005-0000-0000-000027800000}"/>
    <cellStyle name="Normal 5 10 2 8 3 3" xfId="32808" xr:uid="{00000000-0005-0000-0000-000028800000}"/>
    <cellStyle name="Normal 5 10 2 8 3 4" xfId="32809" xr:uid="{00000000-0005-0000-0000-000029800000}"/>
    <cellStyle name="Normal 5 10 2 8 3 5" xfId="32810" xr:uid="{00000000-0005-0000-0000-00002A800000}"/>
    <cellStyle name="Normal 5 10 2 8 3 6" xfId="32811" xr:uid="{00000000-0005-0000-0000-00002B800000}"/>
    <cellStyle name="Normal 5 10 2 8 3 7" xfId="32812" xr:uid="{00000000-0005-0000-0000-00002C800000}"/>
    <cellStyle name="Normal 5 10 2 8 3 8" xfId="32813" xr:uid="{00000000-0005-0000-0000-00002D800000}"/>
    <cellStyle name="Normal 5 10 2 8 3 9" xfId="32814" xr:uid="{00000000-0005-0000-0000-00002E800000}"/>
    <cellStyle name="Normal 5 10 2 8 4" xfId="32815" xr:uid="{00000000-0005-0000-0000-00002F800000}"/>
    <cellStyle name="Normal 5 10 2 8 4 10" xfId="32816" xr:uid="{00000000-0005-0000-0000-000030800000}"/>
    <cellStyle name="Normal 5 10 2 8 4 2" xfId="32817" xr:uid="{00000000-0005-0000-0000-000031800000}"/>
    <cellStyle name="Normal 5 10 2 8 4 3" xfId="32818" xr:uid="{00000000-0005-0000-0000-000032800000}"/>
    <cellStyle name="Normal 5 10 2 8 4 4" xfId="32819" xr:uid="{00000000-0005-0000-0000-000033800000}"/>
    <cellStyle name="Normal 5 10 2 8 4 5" xfId="32820" xr:uid="{00000000-0005-0000-0000-000034800000}"/>
    <cellStyle name="Normal 5 10 2 8 4 6" xfId="32821" xr:uid="{00000000-0005-0000-0000-000035800000}"/>
    <cellStyle name="Normal 5 10 2 8 4 7" xfId="32822" xr:uid="{00000000-0005-0000-0000-000036800000}"/>
    <cellStyle name="Normal 5 10 2 8 4 8" xfId="32823" xr:uid="{00000000-0005-0000-0000-000037800000}"/>
    <cellStyle name="Normal 5 10 2 8 4 9" xfId="32824" xr:uid="{00000000-0005-0000-0000-000038800000}"/>
    <cellStyle name="Normal 5 10 2 8 5" xfId="32825" xr:uid="{00000000-0005-0000-0000-000039800000}"/>
    <cellStyle name="Normal 5 10 2 8 5 10" xfId="32826" xr:uid="{00000000-0005-0000-0000-00003A800000}"/>
    <cellStyle name="Normal 5 10 2 8 5 2" xfId="32827" xr:uid="{00000000-0005-0000-0000-00003B800000}"/>
    <cellStyle name="Normal 5 10 2 8 5 3" xfId="32828" xr:uid="{00000000-0005-0000-0000-00003C800000}"/>
    <cellStyle name="Normal 5 10 2 8 5 4" xfId="32829" xr:uid="{00000000-0005-0000-0000-00003D800000}"/>
    <cellStyle name="Normal 5 10 2 8 5 5" xfId="32830" xr:uid="{00000000-0005-0000-0000-00003E800000}"/>
    <cellStyle name="Normal 5 10 2 8 5 6" xfId="32831" xr:uid="{00000000-0005-0000-0000-00003F800000}"/>
    <cellStyle name="Normal 5 10 2 8 5 7" xfId="32832" xr:uid="{00000000-0005-0000-0000-000040800000}"/>
    <cellStyle name="Normal 5 10 2 8 5 8" xfId="32833" xr:uid="{00000000-0005-0000-0000-000041800000}"/>
    <cellStyle name="Normal 5 10 2 8 5 9" xfId="32834" xr:uid="{00000000-0005-0000-0000-000042800000}"/>
    <cellStyle name="Normal 5 10 2 8 6" xfId="32835" xr:uid="{00000000-0005-0000-0000-000043800000}"/>
    <cellStyle name="Normal 5 10 2 8 7" xfId="32836" xr:uid="{00000000-0005-0000-0000-000044800000}"/>
    <cellStyle name="Normal 5 10 2 8 8" xfId="32837" xr:uid="{00000000-0005-0000-0000-000045800000}"/>
    <cellStyle name="Normal 5 10 2 8 9" xfId="32838" xr:uid="{00000000-0005-0000-0000-000046800000}"/>
    <cellStyle name="Normal 5 10 2 9" xfId="32839" xr:uid="{00000000-0005-0000-0000-000047800000}"/>
    <cellStyle name="Normal 5 10 2 9 10" xfId="32840" xr:uid="{00000000-0005-0000-0000-000048800000}"/>
    <cellStyle name="Normal 5 10 2 9 11" xfId="32841" xr:uid="{00000000-0005-0000-0000-000049800000}"/>
    <cellStyle name="Normal 5 10 2 9 12" xfId="32842" xr:uid="{00000000-0005-0000-0000-00004A800000}"/>
    <cellStyle name="Normal 5 10 2 9 13" xfId="32843" xr:uid="{00000000-0005-0000-0000-00004B800000}"/>
    <cellStyle name="Normal 5 10 2 9 14" xfId="32844" xr:uid="{00000000-0005-0000-0000-00004C800000}"/>
    <cellStyle name="Normal 5 10 2 9 2" xfId="32845" xr:uid="{00000000-0005-0000-0000-00004D800000}"/>
    <cellStyle name="Normal 5 10 2 9 2 10" xfId="32846" xr:uid="{00000000-0005-0000-0000-00004E800000}"/>
    <cellStyle name="Normal 5 10 2 9 2 2" xfId="32847" xr:uid="{00000000-0005-0000-0000-00004F800000}"/>
    <cellStyle name="Normal 5 10 2 9 2 3" xfId="32848" xr:uid="{00000000-0005-0000-0000-000050800000}"/>
    <cellStyle name="Normal 5 10 2 9 2 4" xfId="32849" xr:uid="{00000000-0005-0000-0000-000051800000}"/>
    <cellStyle name="Normal 5 10 2 9 2 5" xfId="32850" xr:uid="{00000000-0005-0000-0000-000052800000}"/>
    <cellStyle name="Normal 5 10 2 9 2 6" xfId="32851" xr:uid="{00000000-0005-0000-0000-000053800000}"/>
    <cellStyle name="Normal 5 10 2 9 2 7" xfId="32852" xr:uid="{00000000-0005-0000-0000-000054800000}"/>
    <cellStyle name="Normal 5 10 2 9 2 8" xfId="32853" xr:uid="{00000000-0005-0000-0000-000055800000}"/>
    <cellStyle name="Normal 5 10 2 9 2 9" xfId="32854" xr:uid="{00000000-0005-0000-0000-000056800000}"/>
    <cellStyle name="Normal 5 10 2 9 3" xfId="32855" xr:uid="{00000000-0005-0000-0000-000057800000}"/>
    <cellStyle name="Normal 5 10 2 9 3 10" xfId="32856" xr:uid="{00000000-0005-0000-0000-000058800000}"/>
    <cellStyle name="Normal 5 10 2 9 3 2" xfId="32857" xr:uid="{00000000-0005-0000-0000-000059800000}"/>
    <cellStyle name="Normal 5 10 2 9 3 3" xfId="32858" xr:uid="{00000000-0005-0000-0000-00005A800000}"/>
    <cellStyle name="Normal 5 10 2 9 3 4" xfId="32859" xr:uid="{00000000-0005-0000-0000-00005B800000}"/>
    <cellStyle name="Normal 5 10 2 9 3 5" xfId="32860" xr:uid="{00000000-0005-0000-0000-00005C800000}"/>
    <cellStyle name="Normal 5 10 2 9 3 6" xfId="32861" xr:uid="{00000000-0005-0000-0000-00005D800000}"/>
    <cellStyle name="Normal 5 10 2 9 3 7" xfId="32862" xr:uid="{00000000-0005-0000-0000-00005E800000}"/>
    <cellStyle name="Normal 5 10 2 9 3 8" xfId="32863" xr:uid="{00000000-0005-0000-0000-00005F800000}"/>
    <cellStyle name="Normal 5 10 2 9 3 9" xfId="32864" xr:uid="{00000000-0005-0000-0000-000060800000}"/>
    <cellStyle name="Normal 5 10 2 9 4" xfId="32865" xr:uid="{00000000-0005-0000-0000-000061800000}"/>
    <cellStyle name="Normal 5 10 2 9 4 10" xfId="32866" xr:uid="{00000000-0005-0000-0000-000062800000}"/>
    <cellStyle name="Normal 5 10 2 9 4 2" xfId="32867" xr:uid="{00000000-0005-0000-0000-000063800000}"/>
    <cellStyle name="Normal 5 10 2 9 4 3" xfId="32868" xr:uid="{00000000-0005-0000-0000-000064800000}"/>
    <cellStyle name="Normal 5 10 2 9 4 4" xfId="32869" xr:uid="{00000000-0005-0000-0000-000065800000}"/>
    <cellStyle name="Normal 5 10 2 9 4 5" xfId="32870" xr:uid="{00000000-0005-0000-0000-000066800000}"/>
    <cellStyle name="Normal 5 10 2 9 4 6" xfId="32871" xr:uid="{00000000-0005-0000-0000-000067800000}"/>
    <cellStyle name="Normal 5 10 2 9 4 7" xfId="32872" xr:uid="{00000000-0005-0000-0000-000068800000}"/>
    <cellStyle name="Normal 5 10 2 9 4 8" xfId="32873" xr:uid="{00000000-0005-0000-0000-000069800000}"/>
    <cellStyle name="Normal 5 10 2 9 4 9" xfId="32874" xr:uid="{00000000-0005-0000-0000-00006A800000}"/>
    <cellStyle name="Normal 5 10 2 9 5" xfId="32875" xr:uid="{00000000-0005-0000-0000-00006B800000}"/>
    <cellStyle name="Normal 5 10 2 9 5 10" xfId="32876" xr:uid="{00000000-0005-0000-0000-00006C800000}"/>
    <cellStyle name="Normal 5 10 2 9 5 2" xfId="32877" xr:uid="{00000000-0005-0000-0000-00006D800000}"/>
    <cellStyle name="Normal 5 10 2 9 5 3" xfId="32878" xr:uid="{00000000-0005-0000-0000-00006E800000}"/>
    <cellStyle name="Normal 5 10 2 9 5 4" xfId="32879" xr:uid="{00000000-0005-0000-0000-00006F800000}"/>
    <cellStyle name="Normal 5 10 2 9 5 5" xfId="32880" xr:uid="{00000000-0005-0000-0000-000070800000}"/>
    <cellStyle name="Normal 5 10 2 9 5 6" xfId="32881" xr:uid="{00000000-0005-0000-0000-000071800000}"/>
    <cellStyle name="Normal 5 10 2 9 5 7" xfId="32882" xr:uid="{00000000-0005-0000-0000-000072800000}"/>
    <cellStyle name="Normal 5 10 2 9 5 8" xfId="32883" xr:uid="{00000000-0005-0000-0000-000073800000}"/>
    <cellStyle name="Normal 5 10 2 9 5 9" xfId="32884" xr:uid="{00000000-0005-0000-0000-000074800000}"/>
    <cellStyle name="Normal 5 10 2 9 6" xfId="32885" xr:uid="{00000000-0005-0000-0000-000075800000}"/>
    <cellStyle name="Normal 5 10 2 9 7" xfId="32886" xr:uid="{00000000-0005-0000-0000-000076800000}"/>
    <cellStyle name="Normal 5 10 2 9 8" xfId="32887" xr:uid="{00000000-0005-0000-0000-000077800000}"/>
    <cellStyle name="Normal 5 10 2 9 9" xfId="32888" xr:uid="{00000000-0005-0000-0000-000078800000}"/>
    <cellStyle name="Normal 5 10 20" xfId="32889" xr:uid="{00000000-0005-0000-0000-000079800000}"/>
    <cellStyle name="Normal 5 10 20 10" xfId="32890" xr:uid="{00000000-0005-0000-0000-00007A800000}"/>
    <cellStyle name="Normal 5 10 20 11" xfId="32891" xr:uid="{00000000-0005-0000-0000-00007B800000}"/>
    <cellStyle name="Normal 5 10 20 12" xfId="32892" xr:uid="{00000000-0005-0000-0000-00007C800000}"/>
    <cellStyle name="Normal 5 10 20 13" xfId="32893" xr:uid="{00000000-0005-0000-0000-00007D800000}"/>
    <cellStyle name="Normal 5 10 20 14" xfId="32894" xr:uid="{00000000-0005-0000-0000-00007E800000}"/>
    <cellStyle name="Normal 5 10 20 2" xfId="32895" xr:uid="{00000000-0005-0000-0000-00007F800000}"/>
    <cellStyle name="Normal 5 10 20 2 10" xfId="32896" xr:uid="{00000000-0005-0000-0000-000080800000}"/>
    <cellStyle name="Normal 5 10 20 2 2" xfId="32897" xr:uid="{00000000-0005-0000-0000-000081800000}"/>
    <cellStyle name="Normal 5 10 20 2 3" xfId="32898" xr:uid="{00000000-0005-0000-0000-000082800000}"/>
    <cellStyle name="Normal 5 10 20 2 4" xfId="32899" xr:uid="{00000000-0005-0000-0000-000083800000}"/>
    <cellStyle name="Normal 5 10 20 2 5" xfId="32900" xr:uid="{00000000-0005-0000-0000-000084800000}"/>
    <cellStyle name="Normal 5 10 20 2 6" xfId="32901" xr:uid="{00000000-0005-0000-0000-000085800000}"/>
    <cellStyle name="Normal 5 10 20 2 7" xfId="32902" xr:uid="{00000000-0005-0000-0000-000086800000}"/>
    <cellStyle name="Normal 5 10 20 2 8" xfId="32903" xr:uid="{00000000-0005-0000-0000-000087800000}"/>
    <cellStyle name="Normal 5 10 20 2 9" xfId="32904" xr:uid="{00000000-0005-0000-0000-000088800000}"/>
    <cellStyle name="Normal 5 10 20 3" xfId="32905" xr:uid="{00000000-0005-0000-0000-000089800000}"/>
    <cellStyle name="Normal 5 10 20 3 10" xfId="32906" xr:uid="{00000000-0005-0000-0000-00008A800000}"/>
    <cellStyle name="Normal 5 10 20 3 2" xfId="32907" xr:uid="{00000000-0005-0000-0000-00008B800000}"/>
    <cellStyle name="Normal 5 10 20 3 3" xfId="32908" xr:uid="{00000000-0005-0000-0000-00008C800000}"/>
    <cellStyle name="Normal 5 10 20 3 4" xfId="32909" xr:uid="{00000000-0005-0000-0000-00008D800000}"/>
    <cellStyle name="Normal 5 10 20 3 5" xfId="32910" xr:uid="{00000000-0005-0000-0000-00008E800000}"/>
    <cellStyle name="Normal 5 10 20 3 6" xfId="32911" xr:uid="{00000000-0005-0000-0000-00008F800000}"/>
    <cellStyle name="Normal 5 10 20 3 7" xfId="32912" xr:uid="{00000000-0005-0000-0000-000090800000}"/>
    <cellStyle name="Normal 5 10 20 3 8" xfId="32913" xr:uid="{00000000-0005-0000-0000-000091800000}"/>
    <cellStyle name="Normal 5 10 20 3 9" xfId="32914" xr:uid="{00000000-0005-0000-0000-000092800000}"/>
    <cellStyle name="Normal 5 10 20 4" xfId="32915" xr:uid="{00000000-0005-0000-0000-000093800000}"/>
    <cellStyle name="Normal 5 10 20 4 10" xfId="32916" xr:uid="{00000000-0005-0000-0000-000094800000}"/>
    <cellStyle name="Normal 5 10 20 4 2" xfId="32917" xr:uid="{00000000-0005-0000-0000-000095800000}"/>
    <cellStyle name="Normal 5 10 20 4 3" xfId="32918" xr:uid="{00000000-0005-0000-0000-000096800000}"/>
    <cellStyle name="Normal 5 10 20 4 4" xfId="32919" xr:uid="{00000000-0005-0000-0000-000097800000}"/>
    <cellStyle name="Normal 5 10 20 4 5" xfId="32920" xr:uid="{00000000-0005-0000-0000-000098800000}"/>
    <cellStyle name="Normal 5 10 20 4 6" xfId="32921" xr:uid="{00000000-0005-0000-0000-000099800000}"/>
    <cellStyle name="Normal 5 10 20 4 7" xfId="32922" xr:uid="{00000000-0005-0000-0000-00009A800000}"/>
    <cellStyle name="Normal 5 10 20 4 8" xfId="32923" xr:uid="{00000000-0005-0000-0000-00009B800000}"/>
    <cellStyle name="Normal 5 10 20 4 9" xfId="32924" xr:uid="{00000000-0005-0000-0000-00009C800000}"/>
    <cellStyle name="Normal 5 10 20 5" xfId="32925" xr:uid="{00000000-0005-0000-0000-00009D800000}"/>
    <cellStyle name="Normal 5 10 20 5 10" xfId="32926" xr:uid="{00000000-0005-0000-0000-00009E800000}"/>
    <cellStyle name="Normal 5 10 20 5 2" xfId="32927" xr:uid="{00000000-0005-0000-0000-00009F800000}"/>
    <cellStyle name="Normal 5 10 20 5 3" xfId="32928" xr:uid="{00000000-0005-0000-0000-0000A0800000}"/>
    <cellStyle name="Normal 5 10 20 5 4" xfId="32929" xr:uid="{00000000-0005-0000-0000-0000A1800000}"/>
    <cellStyle name="Normal 5 10 20 5 5" xfId="32930" xr:uid="{00000000-0005-0000-0000-0000A2800000}"/>
    <cellStyle name="Normal 5 10 20 5 6" xfId="32931" xr:uid="{00000000-0005-0000-0000-0000A3800000}"/>
    <cellStyle name="Normal 5 10 20 5 7" xfId="32932" xr:uid="{00000000-0005-0000-0000-0000A4800000}"/>
    <cellStyle name="Normal 5 10 20 5 8" xfId="32933" xr:uid="{00000000-0005-0000-0000-0000A5800000}"/>
    <cellStyle name="Normal 5 10 20 5 9" xfId="32934" xr:uid="{00000000-0005-0000-0000-0000A6800000}"/>
    <cellStyle name="Normal 5 10 20 6" xfId="32935" xr:uid="{00000000-0005-0000-0000-0000A7800000}"/>
    <cellStyle name="Normal 5 10 20 7" xfId="32936" xr:uid="{00000000-0005-0000-0000-0000A8800000}"/>
    <cellStyle name="Normal 5 10 20 8" xfId="32937" xr:uid="{00000000-0005-0000-0000-0000A9800000}"/>
    <cellStyle name="Normal 5 10 20 9" xfId="32938" xr:uid="{00000000-0005-0000-0000-0000AA800000}"/>
    <cellStyle name="Normal 5 10 21" xfId="32939" xr:uid="{00000000-0005-0000-0000-0000AB800000}"/>
    <cellStyle name="Normal 5 10 21 10" xfId="32940" xr:uid="{00000000-0005-0000-0000-0000AC800000}"/>
    <cellStyle name="Normal 5 10 21 11" xfId="32941" xr:uid="{00000000-0005-0000-0000-0000AD800000}"/>
    <cellStyle name="Normal 5 10 21 12" xfId="32942" xr:uid="{00000000-0005-0000-0000-0000AE800000}"/>
    <cellStyle name="Normal 5 10 21 13" xfId="32943" xr:uid="{00000000-0005-0000-0000-0000AF800000}"/>
    <cellStyle name="Normal 5 10 21 14" xfId="32944" xr:uid="{00000000-0005-0000-0000-0000B0800000}"/>
    <cellStyle name="Normal 5 10 21 2" xfId="32945" xr:uid="{00000000-0005-0000-0000-0000B1800000}"/>
    <cellStyle name="Normal 5 10 21 2 10" xfId="32946" xr:uid="{00000000-0005-0000-0000-0000B2800000}"/>
    <cellStyle name="Normal 5 10 21 2 2" xfId="32947" xr:uid="{00000000-0005-0000-0000-0000B3800000}"/>
    <cellStyle name="Normal 5 10 21 2 3" xfId="32948" xr:uid="{00000000-0005-0000-0000-0000B4800000}"/>
    <cellStyle name="Normal 5 10 21 2 4" xfId="32949" xr:uid="{00000000-0005-0000-0000-0000B5800000}"/>
    <cellStyle name="Normal 5 10 21 2 5" xfId="32950" xr:uid="{00000000-0005-0000-0000-0000B6800000}"/>
    <cellStyle name="Normal 5 10 21 2 6" xfId="32951" xr:uid="{00000000-0005-0000-0000-0000B7800000}"/>
    <cellStyle name="Normal 5 10 21 2 7" xfId="32952" xr:uid="{00000000-0005-0000-0000-0000B8800000}"/>
    <cellStyle name="Normal 5 10 21 2 8" xfId="32953" xr:uid="{00000000-0005-0000-0000-0000B9800000}"/>
    <cellStyle name="Normal 5 10 21 2 9" xfId="32954" xr:uid="{00000000-0005-0000-0000-0000BA800000}"/>
    <cellStyle name="Normal 5 10 21 3" xfId="32955" xr:uid="{00000000-0005-0000-0000-0000BB800000}"/>
    <cellStyle name="Normal 5 10 21 3 10" xfId="32956" xr:uid="{00000000-0005-0000-0000-0000BC800000}"/>
    <cellStyle name="Normal 5 10 21 3 2" xfId="32957" xr:uid="{00000000-0005-0000-0000-0000BD800000}"/>
    <cellStyle name="Normal 5 10 21 3 3" xfId="32958" xr:uid="{00000000-0005-0000-0000-0000BE800000}"/>
    <cellStyle name="Normal 5 10 21 3 4" xfId="32959" xr:uid="{00000000-0005-0000-0000-0000BF800000}"/>
    <cellStyle name="Normal 5 10 21 3 5" xfId="32960" xr:uid="{00000000-0005-0000-0000-0000C0800000}"/>
    <cellStyle name="Normal 5 10 21 3 6" xfId="32961" xr:uid="{00000000-0005-0000-0000-0000C1800000}"/>
    <cellStyle name="Normal 5 10 21 3 7" xfId="32962" xr:uid="{00000000-0005-0000-0000-0000C2800000}"/>
    <cellStyle name="Normal 5 10 21 3 8" xfId="32963" xr:uid="{00000000-0005-0000-0000-0000C3800000}"/>
    <cellStyle name="Normal 5 10 21 3 9" xfId="32964" xr:uid="{00000000-0005-0000-0000-0000C4800000}"/>
    <cellStyle name="Normal 5 10 21 4" xfId="32965" xr:uid="{00000000-0005-0000-0000-0000C5800000}"/>
    <cellStyle name="Normal 5 10 21 4 10" xfId="32966" xr:uid="{00000000-0005-0000-0000-0000C6800000}"/>
    <cellStyle name="Normal 5 10 21 4 2" xfId="32967" xr:uid="{00000000-0005-0000-0000-0000C7800000}"/>
    <cellStyle name="Normal 5 10 21 4 3" xfId="32968" xr:uid="{00000000-0005-0000-0000-0000C8800000}"/>
    <cellStyle name="Normal 5 10 21 4 4" xfId="32969" xr:uid="{00000000-0005-0000-0000-0000C9800000}"/>
    <cellStyle name="Normal 5 10 21 4 5" xfId="32970" xr:uid="{00000000-0005-0000-0000-0000CA800000}"/>
    <cellStyle name="Normal 5 10 21 4 6" xfId="32971" xr:uid="{00000000-0005-0000-0000-0000CB800000}"/>
    <cellStyle name="Normal 5 10 21 4 7" xfId="32972" xr:uid="{00000000-0005-0000-0000-0000CC800000}"/>
    <cellStyle name="Normal 5 10 21 4 8" xfId="32973" xr:uid="{00000000-0005-0000-0000-0000CD800000}"/>
    <cellStyle name="Normal 5 10 21 4 9" xfId="32974" xr:uid="{00000000-0005-0000-0000-0000CE800000}"/>
    <cellStyle name="Normal 5 10 21 5" xfId="32975" xr:uid="{00000000-0005-0000-0000-0000CF800000}"/>
    <cellStyle name="Normal 5 10 21 5 10" xfId="32976" xr:uid="{00000000-0005-0000-0000-0000D0800000}"/>
    <cellStyle name="Normal 5 10 21 5 2" xfId="32977" xr:uid="{00000000-0005-0000-0000-0000D1800000}"/>
    <cellStyle name="Normal 5 10 21 5 3" xfId="32978" xr:uid="{00000000-0005-0000-0000-0000D2800000}"/>
    <cellStyle name="Normal 5 10 21 5 4" xfId="32979" xr:uid="{00000000-0005-0000-0000-0000D3800000}"/>
    <cellStyle name="Normal 5 10 21 5 5" xfId="32980" xr:uid="{00000000-0005-0000-0000-0000D4800000}"/>
    <cellStyle name="Normal 5 10 21 5 6" xfId="32981" xr:uid="{00000000-0005-0000-0000-0000D5800000}"/>
    <cellStyle name="Normal 5 10 21 5 7" xfId="32982" xr:uid="{00000000-0005-0000-0000-0000D6800000}"/>
    <cellStyle name="Normal 5 10 21 5 8" xfId="32983" xr:uid="{00000000-0005-0000-0000-0000D7800000}"/>
    <cellStyle name="Normal 5 10 21 5 9" xfId="32984" xr:uid="{00000000-0005-0000-0000-0000D8800000}"/>
    <cellStyle name="Normal 5 10 21 6" xfId="32985" xr:uid="{00000000-0005-0000-0000-0000D9800000}"/>
    <cellStyle name="Normal 5 10 21 7" xfId="32986" xr:uid="{00000000-0005-0000-0000-0000DA800000}"/>
    <cellStyle name="Normal 5 10 21 8" xfId="32987" xr:uid="{00000000-0005-0000-0000-0000DB800000}"/>
    <cellStyle name="Normal 5 10 21 9" xfId="32988" xr:uid="{00000000-0005-0000-0000-0000DC800000}"/>
    <cellStyle name="Normal 5 10 22" xfId="32989" xr:uid="{00000000-0005-0000-0000-0000DD800000}"/>
    <cellStyle name="Normal 5 10 22 10" xfId="32990" xr:uid="{00000000-0005-0000-0000-0000DE800000}"/>
    <cellStyle name="Normal 5 10 22 11" xfId="32991" xr:uid="{00000000-0005-0000-0000-0000DF800000}"/>
    <cellStyle name="Normal 5 10 22 12" xfId="32992" xr:uid="{00000000-0005-0000-0000-0000E0800000}"/>
    <cellStyle name="Normal 5 10 22 13" xfId="32993" xr:uid="{00000000-0005-0000-0000-0000E1800000}"/>
    <cellStyle name="Normal 5 10 22 14" xfId="32994" xr:uid="{00000000-0005-0000-0000-0000E2800000}"/>
    <cellStyle name="Normal 5 10 22 2" xfId="32995" xr:uid="{00000000-0005-0000-0000-0000E3800000}"/>
    <cellStyle name="Normal 5 10 22 2 10" xfId="32996" xr:uid="{00000000-0005-0000-0000-0000E4800000}"/>
    <cellStyle name="Normal 5 10 22 2 2" xfId="32997" xr:uid="{00000000-0005-0000-0000-0000E5800000}"/>
    <cellStyle name="Normal 5 10 22 2 3" xfId="32998" xr:uid="{00000000-0005-0000-0000-0000E6800000}"/>
    <cellStyle name="Normal 5 10 22 2 4" xfId="32999" xr:uid="{00000000-0005-0000-0000-0000E7800000}"/>
    <cellStyle name="Normal 5 10 22 2 5" xfId="33000" xr:uid="{00000000-0005-0000-0000-0000E8800000}"/>
    <cellStyle name="Normal 5 10 22 2 6" xfId="33001" xr:uid="{00000000-0005-0000-0000-0000E9800000}"/>
    <cellStyle name="Normal 5 10 22 2 7" xfId="33002" xr:uid="{00000000-0005-0000-0000-0000EA800000}"/>
    <cellStyle name="Normal 5 10 22 2 8" xfId="33003" xr:uid="{00000000-0005-0000-0000-0000EB800000}"/>
    <cellStyle name="Normal 5 10 22 2 9" xfId="33004" xr:uid="{00000000-0005-0000-0000-0000EC800000}"/>
    <cellStyle name="Normal 5 10 22 3" xfId="33005" xr:uid="{00000000-0005-0000-0000-0000ED800000}"/>
    <cellStyle name="Normal 5 10 22 3 10" xfId="33006" xr:uid="{00000000-0005-0000-0000-0000EE800000}"/>
    <cellStyle name="Normal 5 10 22 3 2" xfId="33007" xr:uid="{00000000-0005-0000-0000-0000EF800000}"/>
    <cellStyle name="Normal 5 10 22 3 3" xfId="33008" xr:uid="{00000000-0005-0000-0000-0000F0800000}"/>
    <cellStyle name="Normal 5 10 22 3 4" xfId="33009" xr:uid="{00000000-0005-0000-0000-0000F1800000}"/>
    <cellStyle name="Normal 5 10 22 3 5" xfId="33010" xr:uid="{00000000-0005-0000-0000-0000F2800000}"/>
    <cellStyle name="Normal 5 10 22 3 6" xfId="33011" xr:uid="{00000000-0005-0000-0000-0000F3800000}"/>
    <cellStyle name="Normal 5 10 22 3 7" xfId="33012" xr:uid="{00000000-0005-0000-0000-0000F4800000}"/>
    <cellStyle name="Normal 5 10 22 3 8" xfId="33013" xr:uid="{00000000-0005-0000-0000-0000F5800000}"/>
    <cellStyle name="Normal 5 10 22 3 9" xfId="33014" xr:uid="{00000000-0005-0000-0000-0000F6800000}"/>
    <cellStyle name="Normal 5 10 22 4" xfId="33015" xr:uid="{00000000-0005-0000-0000-0000F7800000}"/>
    <cellStyle name="Normal 5 10 22 4 10" xfId="33016" xr:uid="{00000000-0005-0000-0000-0000F8800000}"/>
    <cellStyle name="Normal 5 10 22 4 2" xfId="33017" xr:uid="{00000000-0005-0000-0000-0000F9800000}"/>
    <cellStyle name="Normal 5 10 22 4 3" xfId="33018" xr:uid="{00000000-0005-0000-0000-0000FA800000}"/>
    <cellStyle name="Normal 5 10 22 4 4" xfId="33019" xr:uid="{00000000-0005-0000-0000-0000FB800000}"/>
    <cellStyle name="Normal 5 10 22 4 5" xfId="33020" xr:uid="{00000000-0005-0000-0000-0000FC800000}"/>
    <cellStyle name="Normal 5 10 22 4 6" xfId="33021" xr:uid="{00000000-0005-0000-0000-0000FD800000}"/>
    <cellStyle name="Normal 5 10 22 4 7" xfId="33022" xr:uid="{00000000-0005-0000-0000-0000FE800000}"/>
    <cellStyle name="Normal 5 10 22 4 8" xfId="33023" xr:uid="{00000000-0005-0000-0000-0000FF800000}"/>
    <cellStyle name="Normal 5 10 22 4 9" xfId="33024" xr:uid="{00000000-0005-0000-0000-000000810000}"/>
    <cellStyle name="Normal 5 10 22 5" xfId="33025" xr:uid="{00000000-0005-0000-0000-000001810000}"/>
    <cellStyle name="Normal 5 10 22 5 10" xfId="33026" xr:uid="{00000000-0005-0000-0000-000002810000}"/>
    <cellStyle name="Normal 5 10 22 5 2" xfId="33027" xr:uid="{00000000-0005-0000-0000-000003810000}"/>
    <cellStyle name="Normal 5 10 22 5 3" xfId="33028" xr:uid="{00000000-0005-0000-0000-000004810000}"/>
    <cellStyle name="Normal 5 10 22 5 4" xfId="33029" xr:uid="{00000000-0005-0000-0000-000005810000}"/>
    <cellStyle name="Normal 5 10 22 5 5" xfId="33030" xr:uid="{00000000-0005-0000-0000-000006810000}"/>
    <cellStyle name="Normal 5 10 22 5 6" xfId="33031" xr:uid="{00000000-0005-0000-0000-000007810000}"/>
    <cellStyle name="Normal 5 10 22 5 7" xfId="33032" xr:uid="{00000000-0005-0000-0000-000008810000}"/>
    <cellStyle name="Normal 5 10 22 5 8" xfId="33033" xr:uid="{00000000-0005-0000-0000-000009810000}"/>
    <cellStyle name="Normal 5 10 22 5 9" xfId="33034" xr:uid="{00000000-0005-0000-0000-00000A810000}"/>
    <cellStyle name="Normal 5 10 22 6" xfId="33035" xr:uid="{00000000-0005-0000-0000-00000B810000}"/>
    <cellStyle name="Normal 5 10 22 7" xfId="33036" xr:uid="{00000000-0005-0000-0000-00000C810000}"/>
    <cellStyle name="Normal 5 10 22 8" xfId="33037" xr:uid="{00000000-0005-0000-0000-00000D810000}"/>
    <cellStyle name="Normal 5 10 22 9" xfId="33038" xr:uid="{00000000-0005-0000-0000-00000E810000}"/>
    <cellStyle name="Normal 5 10 23" xfId="33039" xr:uid="{00000000-0005-0000-0000-00000F810000}"/>
    <cellStyle name="Normal 5 10 23 10" xfId="33040" xr:uid="{00000000-0005-0000-0000-000010810000}"/>
    <cellStyle name="Normal 5 10 23 11" xfId="33041" xr:uid="{00000000-0005-0000-0000-000011810000}"/>
    <cellStyle name="Normal 5 10 23 12" xfId="33042" xr:uid="{00000000-0005-0000-0000-000012810000}"/>
    <cellStyle name="Normal 5 10 23 13" xfId="33043" xr:uid="{00000000-0005-0000-0000-000013810000}"/>
    <cellStyle name="Normal 5 10 23 14" xfId="33044" xr:uid="{00000000-0005-0000-0000-000014810000}"/>
    <cellStyle name="Normal 5 10 23 2" xfId="33045" xr:uid="{00000000-0005-0000-0000-000015810000}"/>
    <cellStyle name="Normal 5 10 23 2 10" xfId="33046" xr:uid="{00000000-0005-0000-0000-000016810000}"/>
    <cellStyle name="Normal 5 10 23 2 2" xfId="33047" xr:uid="{00000000-0005-0000-0000-000017810000}"/>
    <cellStyle name="Normal 5 10 23 2 3" xfId="33048" xr:uid="{00000000-0005-0000-0000-000018810000}"/>
    <cellStyle name="Normal 5 10 23 2 4" xfId="33049" xr:uid="{00000000-0005-0000-0000-000019810000}"/>
    <cellStyle name="Normal 5 10 23 2 5" xfId="33050" xr:uid="{00000000-0005-0000-0000-00001A810000}"/>
    <cellStyle name="Normal 5 10 23 2 6" xfId="33051" xr:uid="{00000000-0005-0000-0000-00001B810000}"/>
    <cellStyle name="Normal 5 10 23 2 7" xfId="33052" xr:uid="{00000000-0005-0000-0000-00001C810000}"/>
    <cellStyle name="Normal 5 10 23 2 8" xfId="33053" xr:uid="{00000000-0005-0000-0000-00001D810000}"/>
    <cellStyle name="Normal 5 10 23 2 9" xfId="33054" xr:uid="{00000000-0005-0000-0000-00001E810000}"/>
    <cellStyle name="Normal 5 10 23 3" xfId="33055" xr:uid="{00000000-0005-0000-0000-00001F810000}"/>
    <cellStyle name="Normal 5 10 23 3 10" xfId="33056" xr:uid="{00000000-0005-0000-0000-000020810000}"/>
    <cellStyle name="Normal 5 10 23 3 2" xfId="33057" xr:uid="{00000000-0005-0000-0000-000021810000}"/>
    <cellStyle name="Normal 5 10 23 3 3" xfId="33058" xr:uid="{00000000-0005-0000-0000-000022810000}"/>
    <cellStyle name="Normal 5 10 23 3 4" xfId="33059" xr:uid="{00000000-0005-0000-0000-000023810000}"/>
    <cellStyle name="Normal 5 10 23 3 5" xfId="33060" xr:uid="{00000000-0005-0000-0000-000024810000}"/>
    <cellStyle name="Normal 5 10 23 3 6" xfId="33061" xr:uid="{00000000-0005-0000-0000-000025810000}"/>
    <cellStyle name="Normal 5 10 23 3 7" xfId="33062" xr:uid="{00000000-0005-0000-0000-000026810000}"/>
    <cellStyle name="Normal 5 10 23 3 8" xfId="33063" xr:uid="{00000000-0005-0000-0000-000027810000}"/>
    <cellStyle name="Normal 5 10 23 3 9" xfId="33064" xr:uid="{00000000-0005-0000-0000-000028810000}"/>
    <cellStyle name="Normal 5 10 23 4" xfId="33065" xr:uid="{00000000-0005-0000-0000-000029810000}"/>
    <cellStyle name="Normal 5 10 23 4 10" xfId="33066" xr:uid="{00000000-0005-0000-0000-00002A810000}"/>
    <cellStyle name="Normal 5 10 23 4 2" xfId="33067" xr:uid="{00000000-0005-0000-0000-00002B810000}"/>
    <cellStyle name="Normal 5 10 23 4 3" xfId="33068" xr:uid="{00000000-0005-0000-0000-00002C810000}"/>
    <cellStyle name="Normal 5 10 23 4 4" xfId="33069" xr:uid="{00000000-0005-0000-0000-00002D810000}"/>
    <cellStyle name="Normal 5 10 23 4 5" xfId="33070" xr:uid="{00000000-0005-0000-0000-00002E810000}"/>
    <cellStyle name="Normal 5 10 23 4 6" xfId="33071" xr:uid="{00000000-0005-0000-0000-00002F810000}"/>
    <cellStyle name="Normal 5 10 23 4 7" xfId="33072" xr:uid="{00000000-0005-0000-0000-000030810000}"/>
    <cellStyle name="Normal 5 10 23 4 8" xfId="33073" xr:uid="{00000000-0005-0000-0000-000031810000}"/>
    <cellStyle name="Normal 5 10 23 4 9" xfId="33074" xr:uid="{00000000-0005-0000-0000-000032810000}"/>
    <cellStyle name="Normal 5 10 23 5" xfId="33075" xr:uid="{00000000-0005-0000-0000-000033810000}"/>
    <cellStyle name="Normal 5 10 23 5 10" xfId="33076" xr:uid="{00000000-0005-0000-0000-000034810000}"/>
    <cellStyle name="Normal 5 10 23 5 2" xfId="33077" xr:uid="{00000000-0005-0000-0000-000035810000}"/>
    <cellStyle name="Normal 5 10 23 5 3" xfId="33078" xr:uid="{00000000-0005-0000-0000-000036810000}"/>
    <cellStyle name="Normal 5 10 23 5 4" xfId="33079" xr:uid="{00000000-0005-0000-0000-000037810000}"/>
    <cellStyle name="Normal 5 10 23 5 5" xfId="33080" xr:uid="{00000000-0005-0000-0000-000038810000}"/>
    <cellStyle name="Normal 5 10 23 5 6" xfId="33081" xr:uid="{00000000-0005-0000-0000-000039810000}"/>
    <cellStyle name="Normal 5 10 23 5 7" xfId="33082" xr:uid="{00000000-0005-0000-0000-00003A810000}"/>
    <cellStyle name="Normal 5 10 23 5 8" xfId="33083" xr:uid="{00000000-0005-0000-0000-00003B810000}"/>
    <cellStyle name="Normal 5 10 23 5 9" xfId="33084" xr:uid="{00000000-0005-0000-0000-00003C810000}"/>
    <cellStyle name="Normal 5 10 23 6" xfId="33085" xr:uid="{00000000-0005-0000-0000-00003D810000}"/>
    <cellStyle name="Normal 5 10 23 7" xfId="33086" xr:uid="{00000000-0005-0000-0000-00003E810000}"/>
    <cellStyle name="Normal 5 10 23 8" xfId="33087" xr:uid="{00000000-0005-0000-0000-00003F810000}"/>
    <cellStyle name="Normal 5 10 23 9" xfId="33088" xr:uid="{00000000-0005-0000-0000-000040810000}"/>
    <cellStyle name="Normal 5 10 24" xfId="33089" xr:uid="{00000000-0005-0000-0000-000041810000}"/>
    <cellStyle name="Normal 5 10 24 10" xfId="33090" xr:uid="{00000000-0005-0000-0000-000042810000}"/>
    <cellStyle name="Normal 5 10 24 11" xfId="33091" xr:uid="{00000000-0005-0000-0000-000043810000}"/>
    <cellStyle name="Normal 5 10 24 12" xfId="33092" xr:uid="{00000000-0005-0000-0000-000044810000}"/>
    <cellStyle name="Normal 5 10 24 13" xfId="33093" xr:uid="{00000000-0005-0000-0000-000045810000}"/>
    <cellStyle name="Normal 5 10 24 14" xfId="33094" xr:uid="{00000000-0005-0000-0000-000046810000}"/>
    <cellStyle name="Normal 5 10 24 2" xfId="33095" xr:uid="{00000000-0005-0000-0000-000047810000}"/>
    <cellStyle name="Normal 5 10 24 2 10" xfId="33096" xr:uid="{00000000-0005-0000-0000-000048810000}"/>
    <cellStyle name="Normal 5 10 24 2 2" xfId="33097" xr:uid="{00000000-0005-0000-0000-000049810000}"/>
    <cellStyle name="Normal 5 10 24 2 3" xfId="33098" xr:uid="{00000000-0005-0000-0000-00004A810000}"/>
    <cellStyle name="Normal 5 10 24 2 4" xfId="33099" xr:uid="{00000000-0005-0000-0000-00004B810000}"/>
    <cellStyle name="Normal 5 10 24 2 5" xfId="33100" xr:uid="{00000000-0005-0000-0000-00004C810000}"/>
    <cellStyle name="Normal 5 10 24 2 6" xfId="33101" xr:uid="{00000000-0005-0000-0000-00004D810000}"/>
    <cellStyle name="Normal 5 10 24 2 7" xfId="33102" xr:uid="{00000000-0005-0000-0000-00004E810000}"/>
    <cellStyle name="Normal 5 10 24 2 8" xfId="33103" xr:uid="{00000000-0005-0000-0000-00004F810000}"/>
    <cellStyle name="Normal 5 10 24 2 9" xfId="33104" xr:uid="{00000000-0005-0000-0000-000050810000}"/>
    <cellStyle name="Normal 5 10 24 3" xfId="33105" xr:uid="{00000000-0005-0000-0000-000051810000}"/>
    <cellStyle name="Normal 5 10 24 3 10" xfId="33106" xr:uid="{00000000-0005-0000-0000-000052810000}"/>
    <cellStyle name="Normal 5 10 24 3 2" xfId="33107" xr:uid="{00000000-0005-0000-0000-000053810000}"/>
    <cellStyle name="Normal 5 10 24 3 3" xfId="33108" xr:uid="{00000000-0005-0000-0000-000054810000}"/>
    <cellStyle name="Normal 5 10 24 3 4" xfId="33109" xr:uid="{00000000-0005-0000-0000-000055810000}"/>
    <cellStyle name="Normal 5 10 24 3 5" xfId="33110" xr:uid="{00000000-0005-0000-0000-000056810000}"/>
    <cellStyle name="Normal 5 10 24 3 6" xfId="33111" xr:uid="{00000000-0005-0000-0000-000057810000}"/>
    <cellStyle name="Normal 5 10 24 3 7" xfId="33112" xr:uid="{00000000-0005-0000-0000-000058810000}"/>
    <cellStyle name="Normal 5 10 24 3 8" xfId="33113" xr:uid="{00000000-0005-0000-0000-000059810000}"/>
    <cellStyle name="Normal 5 10 24 3 9" xfId="33114" xr:uid="{00000000-0005-0000-0000-00005A810000}"/>
    <cellStyle name="Normal 5 10 24 4" xfId="33115" xr:uid="{00000000-0005-0000-0000-00005B810000}"/>
    <cellStyle name="Normal 5 10 24 4 10" xfId="33116" xr:uid="{00000000-0005-0000-0000-00005C810000}"/>
    <cellStyle name="Normal 5 10 24 4 2" xfId="33117" xr:uid="{00000000-0005-0000-0000-00005D810000}"/>
    <cellStyle name="Normal 5 10 24 4 3" xfId="33118" xr:uid="{00000000-0005-0000-0000-00005E810000}"/>
    <cellStyle name="Normal 5 10 24 4 4" xfId="33119" xr:uid="{00000000-0005-0000-0000-00005F810000}"/>
    <cellStyle name="Normal 5 10 24 4 5" xfId="33120" xr:uid="{00000000-0005-0000-0000-000060810000}"/>
    <cellStyle name="Normal 5 10 24 4 6" xfId="33121" xr:uid="{00000000-0005-0000-0000-000061810000}"/>
    <cellStyle name="Normal 5 10 24 4 7" xfId="33122" xr:uid="{00000000-0005-0000-0000-000062810000}"/>
    <cellStyle name="Normal 5 10 24 4 8" xfId="33123" xr:uid="{00000000-0005-0000-0000-000063810000}"/>
    <cellStyle name="Normal 5 10 24 4 9" xfId="33124" xr:uid="{00000000-0005-0000-0000-000064810000}"/>
    <cellStyle name="Normal 5 10 24 5" xfId="33125" xr:uid="{00000000-0005-0000-0000-000065810000}"/>
    <cellStyle name="Normal 5 10 24 5 10" xfId="33126" xr:uid="{00000000-0005-0000-0000-000066810000}"/>
    <cellStyle name="Normal 5 10 24 5 2" xfId="33127" xr:uid="{00000000-0005-0000-0000-000067810000}"/>
    <cellStyle name="Normal 5 10 24 5 3" xfId="33128" xr:uid="{00000000-0005-0000-0000-000068810000}"/>
    <cellStyle name="Normal 5 10 24 5 4" xfId="33129" xr:uid="{00000000-0005-0000-0000-000069810000}"/>
    <cellStyle name="Normal 5 10 24 5 5" xfId="33130" xr:uid="{00000000-0005-0000-0000-00006A810000}"/>
    <cellStyle name="Normal 5 10 24 5 6" xfId="33131" xr:uid="{00000000-0005-0000-0000-00006B810000}"/>
    <cellStyle name="Normal 5 10 24 5 7" xfId="33132" xr:uid="{00000000-0005-0000-0000-00006C810000}"/>
    <cellStyle name="Normal 5 10 24 5 8" xfId="33133" xr:uid="{00000000-0005-0000-0000-00006D810000}"/>
    <cellStyle name="Normal 5 10 24 5 9" xfId="33134" xr:uid="{00000000-0005-0000-0000-00006E810000}"/>
    <cellStyle name="Normal 5 10 24 6" xfId="33135" xr:uid="{00000000-0005-0000-0000-00006F810000}"/>
    <cellStyle name="Normal 5 10 24 7" xfId="33136" xr:uid="{00000000-0005-0000-0000-000070810000}"/>
    <cellStyle name="Normal 5 10 24 8" xfId="33137" xr:uid="{00000000-0005-0000-0000-000071810000}"/>
    <cellStyle name="Normal 5 10 24 9" xfId="33138" xr:uid="{00000000-0005-0000-0000-000072810000}"/>
    <cellStyle name="Normal 5 10 25" xfId="33139" xr:uid="{00000000-0005-0000-0000-000073810000}"/>
    <cellStyle name="Normal 5 10 25 10" xfId="33140" xr:uid="{00000000-0005-0000-0000-000074810000}"/>
    <cellStyle name="Normal 5 10 25 11" xfId="33141" xr:uid="{00000000-0005-0000-0000-000075810000}"/>
    <cellStyle name="Normal 5 10 25 12" xfId="33142" xr:uid="{00000000-0005-0000-0000-000076810000}"/>
    <cellStyle name="Normal 5 10 25 13" xfId="33143" xr:uid="{00000000-0005-0000-0000-000077810000}"/>
    <cellStyle name="Normal 5 10 25 14" xfId="33144" xr:uid="{00000000-0005-0000-0000-000078810000}"/>
    <cellStyle name="Normal 5 10 25 2" xfId="33145" xr:uid="{00000000-0005-0000-0000-000079810000}"/>
    <cellStyle name="Normal 5 10 25 2 10" xfId="33146" xr:uid="{00000000-0005-0000-0000-00007A810000}"/>
    <cellStyle name="Normal 5 10 25 2 2" xfId="33147" xr:uid="{00000000-0005-0000-0000-00007B810000}"/>
    <cellStyle name="Normal 5 10 25 2 3" xfId="33148" xr:uid="{00000000-0005-0000-0000-00007C810000}"/>
    <cellStyle name="Normal 5 10 25 2 4" xfId="33149" xr:uid="{00000000-0005-0000-0000-00007D810000}"/>
    <cellStyle name="Normal 5 10 25 2 5" xfId="33150" xr:uid="{00000000-0005-0000-0000-00007E810000}"/>
    <cellStyle name="Normal 5 10 25 2 6" xfId="33151" xr:uid="{00000000-0005-0000-0000-00007F810000}"/>
    <cellStyle name="Normal 5 10 25 2 7" xfId="33152" xr:uid="{00000000-0005-0000-0000-000080810000}"/>
    <cellStyle name="Normal 5 10 25 2 8" xfId="33153" xr:uid="{00000000-0005-0000-0000-000081810000}"/>
    <cellStyle name="Normal 5 10 25 2 9" xfId="33154" xr:uid="{00000000-0005-0000-0000-000082810000}"/>
    <cellStyle name="Normal 5 10 25 3" xfId="33155" xr:uid="{00000000-0005-0000-0000-000083810000}"/>
    <cellStyle name="Normal 5 10 25 3 10" xfId="33156" xr:uid="{00000000-0005-0000-0000-000084810000}"/>
    <cellStyle name="Normal 5 10 25 3 2" xfId="33157" xr:uid="{00000000-0005-0000-0000-000085810000}"/>
    <cellStyle name="Normal 5 10 25 3 3" xfId="33158" xr:uid="{00000000-0005-0000-0000-000086810000}"/>
    <cellStyle name="Normal 5 10 25 3 4" xfId="33159" xr:uid="{00000000-0005-0000-0000-000087810000}"/>
    <cellStyle name="Normal 5 10 25 3 5" xfId="33160" xr:uid="{00000000-0005-0000-0000-000088810000}"/>
    <cellStyle name="Normal 5 10 25 3 6" xfId="33161" xr:uid="{00000000-0005-0000-0000-000089810000}"/>
    <cellStyle name="Normal 5 10 25 3 7" xfId="33162" xr:uid="{00000000-0005-0000-0000-00008A810000}"/>
    <cellStyle name="Normal 5 10 25 3 8" xfId="33163" xr:uid="{00000000-0005-0000-0000-00008B810000}"/>
    <cellStyle name="Normal 5 10 25 3 9" xfId="33164" xr:uid="{00000000-0005-0000-0000-00008C810000}"/>
    <cellStyle name="Normal 5 10 25 4" xfId="33165" xr:uid="{00000000-0005-0000-0000-00008D810000}"/>
    <cellStyle name="Normal 5 10 25 4 10" xfId="33166" xr:uid="{00000000-0005-0000-0000-00008E810000}"/>
    <cellStyle name="Normal 5 10 25 4 2" xfId="33167" xr:uid="{00000000-0005-0000-0000-00008F810000}"/>
    <cellStyle name="Normal 5 10 25 4 3" xfId="33168" xr:uid="{00000000-0005-0000-0000-000090810000}"/>
    <cellStyle name="Normal 5 10 25 4 4" xfId="33169" xr:uid="{00000000-0005-0000-0000-000091810000}"/>
    <cellStyle name="Normal 5 10 25 4 5" xfId="33170" xr:uid="{00000000-0005-0000-0000-000092810000}"/>
    <cellStyle name="Normal 5 10 25 4 6" xfId="33171" xr:uid="{00000000-0005-0000-0000-000093810000}"/>
    <cellStyle name="Normal 5 10 25 4 7" xfId="33172" xr:uid="{00000000-0005-0000-0000-000094810000}"/>
    <cellStyle name="Normal 5 10 25 4 8" xfId="33173" xr:uid="{00000000-0005-0000-0000-000095810000}"/>
    <cellStyle name="Normal 5 10 25 4 9" xfId="33174" xr:uid="{00000000-0005-0000-0000-000096810000}"/>
    <cellStyle name="Normal 5 10 25 5" xfId="33175" xr:uid="{00000000-0005-0000-0000-000097810000}"/>
    <cellStyle name="Normal 5 10 25 5 10" xfId="33176" xr:uid="{00000000-0005-0000-0000-000098810000}"/>
    <cellStyle name="Normal 5 10 25 5 2" xfId="33177" xr:uid="{00000000-0005-0000-0000-000099810000}"/>
    <cellStyle name="Normal 5 10 25 5 3" xfId="33178" xr:uid="{00000000-0005-0000-0000-00009A810000}"/>
    <cellStyle name="Normal 5 10 25 5 4" xfId="33179" xr:uid="{00000000-0005-0000-0000-00009B810000}"/>
    <cellStyle name="Normal 5 10 25 5 5" xfId="33180" xr:uid="{00000000-0005-0000-0000-00009C810000}"/>
    <cellStyle name="Normal 5 10 25 5 6" xfId="33181" xr:uid="{00000000-0005-0000-0000-00009D810000}"/>
    <cellStyle name="Normal 5 10 25 5 7" xfId="33182" xr:uid="{00000000-0005-0000-0000-00009E810000}"/>
    <cellStyle name="Normal 5 10 25 5 8" xfId="33183" xr:uid="{00000000-0005-0000-0000-00009F810000}"/>
    <cellStyle name="Normal 5 10 25 5 9" xfId="33184" xr:uid="{00000000-0005-0000-0000-0000A0810000}"/>
    <cellStyle name="Normal 5 10 25 6" xfId="33185" xr:uid="{00000000-0005-0000-0000-0000A1810000}"/>
    <cellStyle name="Normal 5 10 25 7" xfId="33186" xr:uid="{00000000-0005-0000-0000-0000A2810000}"/>
    <cellStyle name="Normal 5 10 25 8" xfId="33187" xr:uid="{00000000-0005-0000-0000-0000A3810000}"/>
    <cellStyle name="Normal 5 10 25 9" xfId="33188" xr:uid="{00000000-0005-0000-0000-0000A4810000}"/>
    <cellStyle name="Normal 5 10 26" xfId="33189" xr:uid="{00000000-0005-0000-0000-0000A5810000}"/>
    <cellStyle name="Normal 5 10 26 10" xfId="33190" xr:uid="{00000000-0005-0000-0000-0000A6810000}"/>
    <cellStyle name="Normal 5 10 26 11" xfId="33191" xr:uid="{00000000-0005-0000-0000-0000A7810000}"/>
    <cellStyle name="Normal 5 10 26 12" xfId="33192" xr:uid="{00000000-0005-0000-0000-0000A8810000}"/>
    <cellStyle name="Normal 5 10 26 13" xfId="33193" xr:uid="{00000000-0005-0000-0000-0000A9810000}"/>
    <cellStyle name="Normal 5 10 26 14" xfId="33194" xr:uid="{00000000-0005-0000-0000-0000AA810000}"/>
    <cellStyle name="Normal 5 10 26 2" xfId="33195" xr:uid="{00000000-0005-0000-0000-0000AB810000}"/>
    <cellStyle name="Normal 5 10 26 2 10" xfId="33196" xr:uid="{00000000-0005-0000-0000-0000AC810000}"/>
    <cellStyle name="Normal 5 10 26 2 2" xfId="33197" xr:uid="{00000000-0005-0000-0000-0000AD810000}"/>
    <cellStyle name="Normal 5 10 26 2 3" xfId="33198" xr:uid="{00000000-0005-0000-0000-0000AE810000}"/>
    <cellStyle name="Normal 5 10 26 2 4" xfId="33199" xr:uid="{00000000-0005-0000-0000-0000AF810000}"/>
    <cellStyle name="Normal 5 10 26 2 5" xfId="33200" xr:uid="{00000000-0005-0000-0000-0000B0810000}"/>
    <cellStyle name="Normal 5 10 26 2 6" xfId="33201" xr:uid="{00000000-0005-0000-0000-0000B1810000}"/>
    <cellStyle name="Normal 5 10 26 2 7" xfId="33202" xr:uid="{00000000-0005-0000-0000-0000B2810000}"/>
    <cellStyle name="Normal 5 10 26 2 8" xfId="33203" xr:uid="{00000000-0005-0000-0000-0000B3810000}"/>
    <cellStyle name="Normal 5 10 26 2 9" xfId="33204" xr:uid="{00000000-0005-0000-0000-0000B4810000}"/>
    <cellStyle name="Normal 5 10 26 3" xfId="33205" xr:uid="{00000000-0005-0000-0000-0000B5810000}"/>
    <cellStyle name="Normal 5 10 26 3 10" xfId="33206" xr:uid="{00000000-0005-0000-0000-0000B6810000}"/>
    <cellStyle name="Normal 5 10 26 3 2" xfId="33207" xr:uid="{00000000-0005-0000-0000-0000B7810000}"/>
    <cellStyle name="Normal 5 10 26 3 3" xfId="33208" xr:uid="{00000000-0005-0000-0000-0000B8810000}"/>
    <cellStyle name="Normal 5 10 26 3 4" xfId="33209" xr:uid="{00000000-0005-0000-0000-0000B9810000}"/>
    <cellStyle name="Normal 5 10 26 3 5" xfId="33210" xr:uid="{00000000-0005-0000-0000-0000BA810000}"/>
    <cellStyle name="Normal 5 10 26 3 6" xfId="33211" xr:uid="{00000000-0005-0000-0000-0000BB810000}"/>
    <cellStyle name="Normal 5 10 26 3 7" xfId="33212" xr:uid="{00000000-0005-0000-0000-0000BC810000}"/>
    <cellStyle name="Normal 5 10 26 3 8" xfId="33213" xr:uid="{00000000-0005-0000-0000-0000BD810000}"/>
    <cellStyle name="Normal 5 10 26 3 9" xfId="33214" xr:uid="{00000000-0005-0000-0000-0000BE810000}"/>
    <cellStyle name="Normal 5 10 26 4" xfId="33215" xr:uid="{00000000-0005-0000-0000-0000BF810000}"/>
    <cellStyle name="Normal 5 10 26 4 10" xfId="33216" xr:uid="{00000000-0005-0000-0000-0000C0810000}"/>
    <cellStyle name="Normal 5 10 26 4 2" xfId="33217" xr:uid="{00000000-0005-0000-0000-0000C1810000}"/>
    <cellStyle name="Normal 5 10 26 4 3" xfId="33218" xr:uid="{00000000-0005-0000-0000-0000C2810000}"/>
    <cellStyle name="Normal 5 10 26 4 4" xfId="33219" xr:uid="{00000000-0005-0000-0000-0000C3810000}"/>
    <cellStyle name="Normal 5 10 26 4 5" xfId="33220" xr:uid="{00000000-0005-0000-0000-0000C4810000}"/>
    <cellStyle name="Normal 5 10 26 4 6" xfId="33221" xr:uid="{00000000-0005-0000-0000-0000C5810000}"/>
    <cellStyle name="Normal 5 10 26 4 7" xfId="33222" xr:uid="{00000000-0005-0000-0000-0000C6810000}"/>
    <cellStyle name="Normal 5 10 26 4 8" xfId="33223" xr:uid="{00000000-0005-0000-0000-0000C7810000}"/>
    <cellStyle name="Normal 5 10 26 4 9" xfId="33224" xr:uid="{00000000-0005-0000-0000-0000C8810000}"/>
    <cellStyle name="Normal 5 10 26 5" xfId="33225" xr:uid="{00000000-0005-0000-0000-0000C9810000}"/>
    <cellStyle name="Normal 5 10 26 5 10" xfId="33226" xr:uid="{00000000-0005-0000-0000-0000CA810000}"/>
    <cellStyle name="Normal 5 10 26 5 2" xfId="33227" xr:uid="{00000000-0005-0000-0000-0000CB810000}"/>
    <cellStyle name="Normal 5 10 26 5 3" xfId="33228" xr:uid="{00000000-0005-0000-0000-0000CC810000}"/>
    <cellStyle name="Normal 5 10 26 5 4" xfId="33229" xr:uid="{00000000-0005-0000-0000-0000CD810000}"/>
    <cellStyle name="Normal 5 10 26 5 5" xfId="33230" xr:uid="{00000000-0005-0000-0000-0000CE810000}"/>
    <cellStyle name="Normal 5 10 26 5 6" xfId="33231" xr:uid="{00000000-0005-0000-0000-0000CF810000}"/>
    <cellStyle name="Normal 5 10 26 5 7" xfId="33232" xr:uid="{00000000-0005-0000-0000-0000D0810000}"/>
    <cellStyle name="Normal 5 10 26 5 8" xfId="33233" xr:uid="{00000000-0005-0000-0000-0000D1810000}"/>
    <cellStyle name="Normal 5 10 26 5 9" xfId="33234" xr:uid="{00000000-0005-0000-0000-0000D2810000}"/>
    <cellStyle name="Normal 5 10 26 6" xfId="33235" xr:uid="{00000000-0005-0000-0000-0000D3810000}"/>
    <cellStyle name="Normal 5 10 26 7" xfId="33236" xr:uid="{00000000-0005-0000-0000-0000D4810000}"/>
    <cellStyle name="Normal 5 10 26 8" xfId="33237" xr:uid="{00000000-0005-0000-0000-0000D5810000}"/>
    <cellStyle name="Normal 5 10 26 9" xfId="33238" xr:uid="{00000000-0005-0000-0000-0000D6810000}"/>
    <cellStyle name="Normal 5 10 27" xfId="33239" xr:uid="{00000000-0005-0000-0000-0000D7810000}"/>
    <cellStyle name="Normal 5 10 27 10" xfId="33240" xr:uid="{00000000-0005-0000-0000-0000D8810000}"/>
    <cellStyle name="Normal 5 10 27 11" xfId="33241" xr:uid="{00000000-0005-0000-0000-0000D9810000}"/>
    <cellStyle name="Normal 5 10 27 12" xfId="33242" xr:uid="{00000000-0005-0000-0000-0000DA810000}"/>
    <cellStyle name="Normal 5 10 27 13" xfId="33243" xr:uid="{00000000-0005-0000-0000-0000DB810000}"/>
    <cellStyle name="Normal 5 10 27 14" xfId="33244" xr:uid="{00000000-0005-0000-0000-0000DC810000}"/>
    <cellStyle name="Normal 5 10 27 2" xfId="33245" xr:uid="{00000000-0005-0000-0000-0000DD810000}"/>
    <cellStyle name="Normal 5 10 27 2 10" xfId="33246" xr:uid="{00000000-0005-0000-0000-0000DE810000}"/>
    <cellStyle name="Normal 5 10 27 2 2" xfId="33247" xr:uid="{00000000-0005-0000-0000-0000DF810000}"/>
    <cellStyle name="Normal 5 10 27 2 3" xfId="33248" xr:uid="{00000000-0005-0000-0000-0000E0810000}"/>
    <cellStyle name="Normal 5 10 27 2 4" xfId="33249" xr:uid="{00000000-0005-0000-0000-0000E1810000}"/>
    <cellStyle name="Normal 5 10 27 2 5" xfId="33250" xr:uid="{00000000-0005-0000-0000-0000E2810000}"/>
    <cellStyle name="Normal 5 10 27 2 6" xfId="33251" xr:uid="{00000000-0005-0000-0000-0000E3810000}"/>
    <cellStyle name="Normal 5 10 27 2 7" xfId="33252" xr:uid="{00000000-0005-0000-0000-0000E4810000}"/>
    <cellStyle name="Normal 5 10 27 2 8" xfId="33253" xr:uid="{00000000-0005-0000-0000-0000E5810000}"/>
    <cellStyle name="Normal 5 10 27 2 9" xfId="33254" xr:uid="{00000000-0005-0000-0000-0000E6810000}"/>
    <cellStyle name="Normal 5 10 27 3" xfId="33255" xr:uid="{00000000-0005-0000-0000-0000E7810000}"/>
    <cellStyle name="Normal 5 10 27 3 10" xfId="33256" xr:uid="{00000000-0005-0000-0000-0000E8810000}"/>
    <cellStyle name="Normal 5 10 27 3 2" xfId="33257" xr:uid="{00000000-0005-0000-0000-0000E9810000}"/>
    <cellStyle name="Normal 5 10 27 3 3" xfId="33258" xr:uid="{00000000-0005-0000-0000-0000EA810000}"/>
    <cellStyle name="Normal 5 10 27 3 4" xfId="33259" xr:uid="{00000000-0005-0000-0000-0000EB810000}"/>
    <cellStyle name="Normal 5 10 27 3 5" xfId="33260" xr:uid="{00000000-0005-0000-0000-0000EC810000}"/>
    <cellStyle name="Normal 5 10 27 3 6" xfId="33261" xr:uid="{00000000-0005-0000-0000-0000ED810000}"/>
    <cellStyle name="Normal 5 10 27 3 7" xfId="33262" xr:uid="{00000000-0005-0000-0000-0000EE810000}"/>
    <cellStyle name="Normal 5 10 27 3 8" xfId="33263" xr:uid="{00000000-0005-0000-0000-0000EF810000}"/>
    <cellStyle name="Normal 5 10 27 3 9" xfId="33264" xr:uid="{00000000-0005-0000-0000-0000F0810000}"/>
    <cellStyle name="Normal 5 10 27 4" xfId="33265" xr:uid="{00000000-0005-0000-0000-0000F1810000}"/>
    <cellStyle name="Normal 5 10 27 4 10" xfId="33266" xr:uid="{00000000-0005-0000-0000-0000F2810000}"/>
    <cellStyle name="Normal 5 10 27 4 2" xfId="33267" xr:uid="{00000000-0005-0000-0000-0000F3810000}"/>
    <cellStyle name="Normal 5 10 27 4 3" xfId="33268" xr:uid="{00000000-0005-0000-0000-0000F4810000}"/>
    <cellStyle name="Normal 5 10 27 4 4" xfId="33269" xr:uid="{00000000-0005-0000-0000-0000F5810000}"/>
    <cellStyle name="Normal 5 10 27 4 5" xfId="33270" xr:uid="{00000000-0005-0000-0000-0000F6810000}"/>
    <cellStyle name="Normal 5 10 27 4 6" xfId="33271" xr:uid="{00000000-0005-0000-0000-0000F7810000}"/>
    <cellStyle name="Normal 5 10 27 4 7" xfId="33272" xr:uid="{00000000-0005-0000-0000-0000F8810000}"/>
    <cellStyle name="Normal 5 10 27 4 8" xfId="33273" xr:uid="{00000000-0005-0000-0000-0000F9810000}"/>
    <cellStyle name="Normal 5 10 27 4 9" xfId="33274" xr:uid="{00000000-0005-0000-0000-0000FA810000}"/>
    <cellStyle name="Normal 5 10 27 5" xfId="33275" xr:uid="{00000000-0005-0000-0000-0000FB810000}"/>
    <cellStyle name="Normal 5 10 27 5 10" xfId="33276" xr:uid="{00000000-0005-0000-0000-0000FC810000}"/>
    <cellStyle name="Normal 5 10 27 5 2" xfId="33277" xr:uid="{00000000-0005-0000-0000-0000FD810000}"/>
    <cellStyle name="Normal 5 10 27 5 3" xfId="33278" xr:uid="{00000000-0005-0000-0000-0000FE810000}"/>
    <cellStyle name="Normal 5 10 27 5 4" xfId="33279" xr:uid="{00000000-0005-0000-0000-0000FF810000}"/>
    <cellStyle name="Normal 5 10 27 5 5" xfId="33280" xr:uid="{00000000-0005-0000-0000-000000820000}"/>
    <cellStyle name="Normal 5 10 27 5 6" xfId="33281" xr:uid="{00000000-0005-0000-0000-000001820000}"/>
    <cellStyle name="Normal 5 10 27 5 7" xfId="33282" xr:uid="{00000000-0005-0000-0000-000002820000}"/>
    <cellStyle name="Normal 5 10 27 5 8" xfId="33283" xr:uid="{00000000-0005-0000-0000-000003820000}"/>
    <cellStyle name="Normal 5 10 27 5 9" xfId="33284" xr:uid="{00000000-0005-0000-0000-000004820000}"/>
    <cellStyle name="Normal 5 10 27 6" xfId="33285" xr:uid="{00000000-0005-0000-0000-000005820000}"/>
    <cellStyle name="Normal 5 10 27 7" xfId="33286" xr:uid="{00000000-0005-0000-0000-000006820000}"/>
    <cellStyle name="Normal 5 10 27 8" xfId="33287" xr:uid="{00000000-0005-0000-0000-000007820000}"/>
    <cellStyle name="Normal 5 10 27 9" xfId="33288" xr:uid="{00000000-0005-0000-0000-000008820000}"/>
    <cellStyle name="Normal 5 10 28" xfId="33289" xr:uid="{00000000-0005-0000-0000-000009820000}"/>
    <cellStyle name="Normal 5 10 28 10" xfId="33290" xr:uid="{00000000-0005-0000-0000-00000A820000}"/>
    <cellStyle name="Normal 5 10 28 11" xfId="33291" xr:uid="{00000000-0005-0000-0000-00000B820000}"/>
    <cellStyle name="Normal 5 10 28 12" xfId="33292" xr:uid="{00000000-0005-0000-0000-00000C820000}"/>
    <cellStyle name="Normal 5 10 28 13" xfId="33293" xr:uid="{00000000-0005-0000-0000-00000D820000}"/>
    <cellStyle name="Normal 5 10 28 14" xfId="33294" xr:uid="{00000000-0005-0000-0000-00000E820000}"/>
    <cellStyle name="Normal 5 10 28 2" xfId="33295" xr:uid="{00000000-0005-0000-0000-00000F820000}"/>
    <cellStyle name="Normal 5 10 28 2 10" xfId="33296" xr:uid="{00000000-0005-0000-0000-000010820000}"/>
    <cellStyle name="Normal 5 10 28 2 2" xfId="33297" xr:uid="{00000000-0005-0000-0000-000011820000}"/>
    <cellStyle name="Normal 5 10 28 2 3" xfId="33298" xr:uid="{00000000-0005-0000-0000-000012820000}"/>
    <cellStyle name="Normal 5 10 28 2 4" xfId="33299" xr:uid="{00000000-0005-0000-0000-000013820000}"/>
    <cellStyle name="Normal 5 10 28 2 5" xfId="33300" xr:uid="{00000000-0005-0000-0000-000014820000}"/>
    <cellStyle name="Normal 5 10 28 2 6" xfId="33301" xr:uid="{00000000-0005-0000-0000-000015820000}"/>
    <cellStyle name="Normal 5 10 28 2 7" xfId="33302" xr:uid="{00000000-0005-0000-0000-000016820000}"/>
    <cellStyle name="Normal 5 10 28 2 8" xfId="33303" xr:uid="{00000000-0005-0000-0000-000017820000}"/>
    <cellStyle name="Normal 5 10 28 2 9" xfId="33304" xr:uid="{00000000-0005-0000-0000-000018820000}"/>
    <cellStyle name="Normal 5 10 28 3" xfId="33305" xr:uid="{00000000-0005-0000-0000-000019820000}"/>
    <cellStyle name="Normal 5 10 28 3 10" xfId="33306" xr:uid="{00000000-0005-0000-0000-00001A820000}"/>
    <cellStyle name="Normal 5 10 28 3 2" xfId="33307" xr:uid="{00000000-0005-0000-0000-00001B820000}"/>
    <cellStyle name="Normal 5 10 28 3 3" xfId="33308" xr:uid="{00000000-0005-0000-0000-00001C820000}"/>
    <cellStyle name="Normal 5 10 28 3 4" xfId="33309" xr:uid="{00000000-0005-0000-0000-00001D820000}"/>
    <cellStyle name="Normal 5 10 28 3 5" xfId="33310" xr:uid="{00000000-0005-0000-0000-00001E820000}"/>
    <cellStyle name="Normal 5 10 28 3 6" xfId="33311" xr:uid="{00000000-0005-0000-0000-00001F820000}"/>
    <cellStyle name="Normal 5 10 28 3 7" xfId="33312" xr:uid="{00000000-0005-0000-0000-000020820000}"/>
    <cellStyle name="Normal 5 10 28 3 8" xfId="33313" xr:uid="{00000000-0005-0000-0000-000021820000}"/>
    <cellStyle name="Normal 5 10 28 3 9" xfId="33314" xr:uid="{00000000-0005-0000-0000-000022820000}"/>
    <cellStyle name="Normal 5 10 28 4" xfId="33315" xr:uid="{00000000-0005-0000-0000-000023820000}"/>
    <cellStyle name="Normal 5 10 28 4 10" xfId="33316" xr:uid="{00000000-0005-0000-0000-000024820000}"/>
    <cellStyle name="Normal 5 10 28 4 2" xfId="33317" xr:uid="{00000000-0005-0000-0000-000025820000}"/>
    <cellStyle name="Normal 5 10 28 4 3" xfId="33318" xr:uid="{00000000-0005-0000-0000-000026820000}"/>
    <cellStyle name="Normal 5 10 28 4 4" xfId="33319" xr:uid="{00000000-0005-0000-0000-000027820000}"/>
    <cellStyle name="Normal 5 10 28 4 5" xfId="33320" xr:uid="{00000000-0005-0000-0000-000028820000}"/>
    <cellStyle name="Normal 5 10 28 4 6" xfId="33321" xr:uid="{00000000-0005-0000-0000-000029820000}"/>
    <cellStyle name="Normal 5 10 28 4 7" xfId="33322" xr:uid="{00000000-0005-0000-0000-00002A820000}"/>
    <cellStyle name="Normal 5 10 28 4 8" xfId="33323" xr:uid="{00000000-0005-0000-0000-00002B820000}"/>
    <cellStyle name="Normal 5 10 28 4 9" xfId="33324" xr:uid="{00000000-0005-0000-0000-00002C820000}"/>
    <cellStyle name="Normal 5 10 28 5" xfId="33325" xr:uid="{00000000-0005-0000-0000-00002D820000}"/>
    <cellStyle name="Normal 5 10 28 5 10" xfId="33326" xr:uid="{00000000-0005-0000-0000-00002E820000}"/>
    <cellStyle name="Normal 5 10 28 5 2" xfId="33327" xr:uid="{00000000-0005-0000-0000-00002F820000}"/>
    <cellStyle name="Normal 5 10 28 5 3" xfId="33328" xr:uid="{00000000-0005-0000-0000-000030820000}"/>
    <cellStyle name="Normal 5 10 28 5 4" xfId="33329" xr:uid="{00000000-0005-0000-0000-000031820000}"/>
    <cellStyle name="Normal 5 10 28 5 5" xfId="33330" xr:uid="{00000000-0005-0000-0000-000032820000}"/>
    <cellStyle name="Normal 5 10 28 5 6" xfId="33331" xr:uid="{00000000-0005-0000-0000-000033820000}"/>
    <cellStyle name="Normal 5 10 28 5 7" xfId="33332" xr:uid="{00000000-0005-0000-0000-000034820000}"/>
    <cellStyle name="Normal 5 10 28 5 8" xfId="33333" xr:uid="{00000000-0005-0000-0000-000035820000}"/>
    <cellStyle name="Normal 5 10 28 5 9" xfId="33334" xr:uid="{00000000-0005-0000-0000-000036820000}"/>
    <cellStyle name="Normal 5 10 28 6" xfId="33335" xr:uid="{00000000-0005-0000-0000-000037820000}"/>
    <cellStyle name="Normal 5 10 28 7" xfId="33336" xr:uid="{00000000-0005-0000-0000-000038820000}"/>
    <cellStyle name="Normal 5 10 28 8" xfId="33337" xr:uid="{00000000-0005-0000-0000-000039820000}"/>
    <cellStyle name="Normal 5 10 28 9" xfId="33338" xr:uid="{00000000-0005-0000-0000-00003A820000}"/>
    <cellStyle name="Normal 5 10 29" xfId="33339" xr:uid="{00000000-0005-0000-0000-00003B820000}"/>
    <cellStyle name="Normal 5 10 29 10" xfId="33340" xr:uid="{00000000-0005-0000-0000-00003C820000}"/>
    <cellStyle name="Normal 5 10 29 11" xfId="33341" xr:uid="{00000000-0005-0000-0000-00003D820000}"/>
    <cellStyle name="Normal 5 10 29 12" xfId="33342" xr:uid="{00000000-0005-0000-0000-00003E820000}"/>
    <cellStyle name="Normal 5 10 29 13" xfId="33343" xr:uid="{00000000-0005-0000-0000-00003F820000}"/>
    <cellStyle name="Normal 5 10 29 14" xfId="33344" xr:uid="{00000000-0005-0000-0000-000040820000}"/>
    <cellStyle name="Normal 5 10 29 2" xfId="33345" xr:uid="{00000000-0005-0000-0000-000041820000}"/>
    <cellStyle name="Normal 5 10 29 2 10" xfId="33346" xr:uid="{00000000-0005-0000-0000-000042820000}"/>
    <cellStyle name="Normal 5 10 29 2 2" xfId="33347" xr:uid="{00000000-0005-0000-0000-000043820000}"/>
    <cellStyle name="Normal 5 10 29 2 3" xfId="33348" xr:uid="{00000000-0005-0000-0000-000044820000}"/>
    <cellStyle name="Normal 5 10 29 2 4" xfId="33349" xr:uid="{00000000-0005-0000-0000-000045820000}"/>
    <cellStyle name="Normal 5 10 29 2 5" xfId="33350" xr:uid="{00000000-0005-0000-0000-000046820000}"/>
    <cellStyle name="Normal 5 10 29 2 6" xfId="33351" xr:uid="{00000000-0005-0000-0000-000047820000}"/>
    <cellStyle name="Normal 5 10 29 2 7" xfId="33352" xr:uid="{00000000-0005-0000-0000-000048820000}"/>
    <cellStyle name="Normal 5 10 29 2 8" xfId="33353" xr:uid="{00000000-0005-0000-0000-000049820000}"/>
    <cellStyle name="Normal 5 10 29 2 9" xfId="33354" xr:uid="{00000000-0005-0000-0000-00004A820000}"/>
    <cellStyle name="Normal 5 10 29 3" xfId="33355" xr:uid="{00000000-0005-0000-0000-00004B820000}"/>
    <cellStyle name="Normal 5 10 29 3 10" xfId="33356" xr:uid="{00000000-0005-0000-0000-00004C820000}"/>
    <cellStyle name="Normal 5 10 29 3 2" xfId="33357" xr:uid="{00000000-0005-0000-0000-00004D820000}"/>
    <cellStyle name="Normal 5 10 29 3 3" xfId="33358" xr:uid="{00000000-0005-0000-0000-00004E820000}"/>
    <cellStyle name="Normal 5 10 29 3 4" xfId="33359" xr:uid="{00000000-0005-0000-0000-00004F820000}"/>
    <cellStyle name="Normal 5 10 29 3 5" xfId="33360" xr:uid="{00000000-0005-0000-0000-000050820000}"/>
    <cellStyle name="Normal 5 10 29 3 6" xfId="33361" xr:uid="{00000000-0005-0000-0000-000051820000}"/>
    <cellStyle name="Normal 5 10 29 3 7" xfId="33362" xr:uid="{00000000-0005-0000-0000-000052820000}"/>
    <cellStyle name="Normal 5 10 29 3 8" xfId="33363" xr:uid="{00000000-0005-0000-0000-000053820000}"/>
    <cellStyle name="Normal 5 10 29 3 9" xfId="33364" xr:uid="{00000000-0005-0000-0000-000054820000}"/>
    <cellStyle name="Normal 5 10 29 4" xfId="33365" xr:uid="{00000000-0005-0000-0000-000055820000}"/>
    <cellStyle name="Normal 5 10 29 4 10" xfId="33366" xr:uid="{00000000-0005-0000-0000-000056820000}"/>
    <cellStyle name="Normal 5 10 29 4 2" xfId="33367" xr:uid="{00000000-0005-0000-0000-000057820000}"/>
    <cellStyle name="Normal 5 10 29 4 3" xfId="33368" xr:uid="{00000000-0005-0000-0000-000058820000}"/>
    <cellStyle name="Normal 5 10 29 4 4" xfId="33369" xr:uid="{00000000-0005-0000-0000-000059820000}"/>
    <cellStyle name="Normal 5 10 29 4 5" xfId="33370" xr:uid="{00000000-0005-0000-0000-00005A820000}"/>
    <cellStyle name="Normal 5 10 29 4 6" xfId="33371" xr:uid="{00000000-0005-0000-0000-00005B820000}"/>
    <cellStyle name="Normal 5 10 29 4 7" xfId="33372" xr:uid="{00000000-0005-0000-0000-00005C820000}"/>
    <cellStyle name="Normal 5 10 29 4 8" xfId="33373" xr:uid="{00000000-0005-0000-0000-00005D820000}"/>
    <cellStyle name="Normal 5 10 29 4 9" xfId="33374" xr:uid="{00000000-0005-0000-0000-00005E820000}"/>
    <cellStyle name="Normal 5 10 29 5" xfId="33375" xr:uid="{00000000-0005-0000-0000-00005F820000}"/>
    <cellStyle name="Normal 5 10 29 5 10" xfId="33376" xr:uid="{00000000-0005-0000-0000-000060820000}"/>
    <cellStyle name="Normal 5 10 29 5 2" xfId="33377" xr:uid="{00000000-0005-0000-0000-000061820000}"/>
    <cellStyle name="Normal 5 10 29 5 3" xfId="33378" xr:uid="{00000000-0005-0000-0000-000062820000}"/>
    <cellStyle name="Normal 5 10 29 5 4" xfId="33379" xr:uid="{00000000-0005-0000-0000-000063820000}"/>
    <cellStyle name="Normal 5 10 29 5 5" xfId="33380" xr:uid="{00000000-0005-0000-0000-000064820000}"/>
    <cellStyle name="Normal 5 10 29 5 6" xfId="33381" xr:uid="{00000000-0005-0000-0000-000065820000}"/>
    <cellStyle name="Normal 5 10 29 5 7" xfId="33382" xr:uid="{00000000-0005-0000-0000-000066820000}"/>
    <cellStyle name="Normal 5 10 29 5 8" xfId="33383" xr:uid="{00000000-0005-0000-0000-000067820000}"/>
    <cellStyle name="Normal 5 10 29 5 9" xfId="33384" xr:uid="{00000000-0005-0000-0000-000068820000}"/>
    <cellStyle name="Normal 5 10 29 6" xfId="33385" xr:uid="{00000000-0005-0000-0000-000069820000}"/>
    <cellStyle name="Normal 5 10 29 7" xfId="33386" xr:uid="{00000000-0005-0000-0000-00006A820000}"/>
    <cellStyle name="Normal 5 10 29 8" xfId="33387" xr:uid="{00000000-0005-0000-0000-00006B820000}"/>
    <cellStyle name="Normal 5 10 29 9" xfId="33388" xr:uid="{00000000-0005-0000-0000-00006C820000}"/>
    <cellStyle name="Normal 5 10 3" xfId="33389" xr:uid="{00000000-0005-0000-0000-00006D820000}"/>
    <cellStyle name="Normal 5 10 3 10" xfId="33390" xr:uid="{00000000-0005-0000-0000-00006E820000}"/>
    <cellStyle name="Normal 5 10 3 11" xfId="33391" xr:uid="{00000000-0005-0000-0000-00006F820000}"/>
    <cellStyle name="Normal 5 10 3 12" xfId="33392" xr:uid="{00000000-0005-0000-0000-000070820000}"/>
    <cellStyle name="Normal 5 10 3 13" xfId="33393" xr:uid="{00000000-0005-0000-0000-000071820000}"/>
    <cellStyle name="Normal 5 10 3 14" xfId="33394" xr:uid="{00000000-0005-0000-0000-000072820000}"/>
    <cellStyle name="Normal 5 10 3 2" xfId="33395" xr:uid="{00000000-0005-0000-0000-000073820000}"/>
    <cellStyle name="Normal 5 10 3 2 10" xfId="33396" xr:uid="{00000000-0005-0000-0000-000074820000}"/>
    <cellStyle name="Normal 5 10 3 2 2" xfId="33397" xr:uid="{00000000-0005-0000-0000-000075820000}"/>
    <cellStyle name="Normal 5 10 3 2 3" xfId="33398" xr:uid="{00000000-0005-0000-0000-000076820000}"/>
    <cellStyle name="Normal 5 10 3 2 4" xfId="33399" xr:uid="{00000000-0005-0000-0000-000077820000}"/>
    <cellStyle name="Normal 5 10 3 2 5" xfId="33400" xr:uid="{00000000-0005-0000-0000-000078820000}"/>
    <cellStyle name="Normal 5 10 3 2 6" xfId="33401" xr:uid="{00000000-0005-0000-0000-000079820000}"/>
    <cellStyle name="Normal 5 10 3 2 7" xfId="33402" xr:uid="{00000000-0005-0000-0000-00007A820000}"/>
    <cellStyle name="Normal 5 10 3 2 8" xfId="33403" xr:uid="{00000000-0005-0000-0000-00007B820000}"/>
    <cellStyle name="Normal 5 10 3 2 9" xfId="33404" xr:uid="{00000000-0005-0000-0000-00007C820000}"/>
    <cellStyle name="Normal 5 10 3 3" xfId="33405" xr:uid="{00000000-0005-0000-0000-00007D820000}"/>
    <cellStyle name="Normal 5 10 3 3 10" xfId="33406" xr:uid="{00000000-0005-0000-0000-00007E820000}"/>
    <cellStyle name="Normal 5 10 3 3 2" xfId="33407" xr:uid="{00000000-0005-0000-0000-00007F820000}"/>
    <cellStyle name="Normal 5 10 3 3 3" xfId="33408" xr:uid="{00000000-0005-0000-0000-000080820000}"/>
    <cellStyle name="Normal 5 10 3 3 4" xfId="33409" xr:uid="{00000000-0005-0000-0000-000081820000}"/>
    <cellStyle name="Normal 5 10 3 3 5" xfId="33410" xr:uid="{00000000-0005-0000-0000-000082820000}"/>
    <cellStyle name="Normal 5 10 3 3 6" xfId="33411" xr:uid="{00000000-0005-0000-0000-000083820000}"/>
    <cellStyle name="Normal 5 10 3 3 7" xfId="33412" xr:uid="{00000000-0005-0000-0000-000084820000}"/>
    <cellStyle name="Normal 5 10 3 3 8" xfId="33413" xr:uid="{00000000-0005-0000-0000-000085820000}"/>
    <cellStyle name="Normal 5 10 3 3 9" xfId="33414" xr:uid="{00000000-0005-0000-0000-000086820000}"/>
    <cellStyle name="Normal 5 10 3 4" xfId="33415" xr:uid="{00000000-0005-0000-0000-000087820000}"/>
    <cellStyle name="Normal 5 10 3 4 10" xfId="33416" xr:uid="{00000000-0005-0000-0000-000088820000}"/>
    <cellStyle name="Normal 5 10 3 4 2" xfId="33417" xr:uid="{00000000-0005-0000-0000-000089820000}"/>
    <cellStyle name="Normal 5 10 3 4 3" xfId="33418" xr:uid="{00000000-0005-0000-0000-00008A820000}"/>
    <cellStyle name="Normal 5 10 3 4 4" xfId="33419" xr:uid="{00000000-0005-0000-0000-00008B820000}"/>
    <cellStyle name="Normal 5 10 3 4 5" xfId="33420" xr:uid="{00000000-0005-0000-0000-00008C820000}"/>
    <cellStyle name="Normal 5 10 3 4 6" xfId="33421" xr:uid="{00000000-0005-0000-0000-00008D820000}"/>
    <cellStyle name="Normal 5 10 3 4 7" xfId="33422" xr:uid="{00000000-0005-0000-0000-00008E820000}"/>
    <cellStyle name="Normal 5 10 3 4 8" xfId="33423" xr:uid="{00000000-0005-0000-0000-00008F820000}"/>
    <cellStyle name="Normal 5 10 3 4 9" xfId="33424" xr:uid="{00000000-0005-0000-0000-000090820000}"/>
    <cellStyle name="Normal 5 10 3 5" xfId="33425" xr:uid="{00000000-0005-0000-0000-000091820000}"/>
    <cellStyle name="Normal 5 10 3 5 10" xfId="33426" xr:uid="{00000000-0005-0000-0000-000092820000}"/>
    <cellStyle name="Normal 5 10 3 5 2" xfId="33427" xr:uid="{00000000-0005-0000-0000-000093820000}"/>
    <cellStyle name="Normal 5 10 3 5 3" xfId="33428" xr:uid="{00000000-0005-0000-0000-000094820000}"/>
    <cellStyle name="Normal 5 10 3 5 4" xfId="33429" xr:uid="{00000000-0005-0000-0000-000095820000}"/>
    <cellStyle name="Normal 5 10 3 5 5" xfId="33430" xr:uid="{00000000-0005-0000-0000-000096820000}"/>
    <cellStyle name="Normal 5 10 3 5 6" xfId="33431" xr:uid="{00000000-0005-0000-0000-000097820000}"/>
    <cellStyle name="Normal 5 10 3 5 7" xfId="33432" xr:uid="{00000000-0005-0000-0000-000098820000}"/>
    <cellStyle name="Normal 5 10 3 5 8" xfId="33433" xr:uid="{00000000-0005-0000-0000-000099820000}"/>
    <cellStyle name="Normal 5 10 3 5 9" xfId="33434" xr:uid="{00000000-0005-0000-0000-00009A820000}"/>
    <cellStyle name="Normal 5 10 3 6" xfId="33435" xr:uid="{00000000-0005-0000-0000-00009B820000}"/>
    <cellStyle name="Normal 5 10 3 7" xfId="33436" xr:uid="{00000000-0005-0000-0000-00009C820000}"/>
    <cellStyle name="Normal 5 10 3 8" xfId="33437" xr:uid="{00000000-0005-0000-0000-00009D820000}"/>
    <cellStyle name="Normal 5 10 3 9" xfId="33438" xr:uid="{00000000-0005-0000-0000-00009E820000}"/>
    <cellStyle name="Normal 5 10 30" xfId="33439" xr:uid="{00000000-0005-0000-0000-00009F820000}"/>
    <cellStyle name="Normal 5 10 30 10" xfId="33440" xr:uid="{00000000-0005-0000-0000-0000A0820000}"/>
    <cellStyle name="Normal 5 10 30 11" xfId="33441" xr:uid="{00000000-0005-0000-0000-0000A1820000}"/>
    <cellStyle name="Normal 5 10 30 12" xfId="33442" xr:uid="{00000000-0005-0000-0000-0000A2820000}"/>
    <cellStyle name="Normal 5 10 30 13" xfId="33443" xr:uid="{00000000-0005-0000-0000-0000A3820000}"/>
    <cellStyle name="Normal 5 10 30 14" xfId="33444" xr:uid="{00000000-0005-0000-0000-0000A4820000}"/>
    <cellStyle name="Normal 5 10 30 2" xfId="33445" xr:uid="{00000000-0005-0000-0000-0000A5820000}"/>
    <cellStyle name="Normal 5 10 30 2 10" xfId="33446" xr:uid="{00000000-0005-0000-0000-0000A6820000}"/>
    <cellStyle name="Normal 5 10 30 2 2" xfId="33447" xr:uid="{00000000-0005-0000-0000-0000A7820000}"/>
    <cellStyle name="Normal 5 10 30 2 3" xfId="33448" xr:uid="{00000000-0005-0000-0000-0000A8820000}"/>
    <cellStyle name="Normal 5 10 30 2 4" xfId="33449" xr:uid="{00000000-0005-0000-0000-0000A9820000}"/>
    <cellStyle name="Normal 5 10 30 2 5" xfId="33450" xr:uid="{00000000-0005-0000-0000-0000AA820000}"/>
    <cellStyle name="Normal 5 10 30 2 6" xfId="33451" xr:uid="{00000000-0005-0000-0000-0000AB820000}"/>
    <cellStyle name="Normal 5 10 30 2 7" xfId="33452" xr:uid="{00000000-0005-0000-0000-0000AC820000}"/>
    <cellStyle name="Normal 5 10 30 2 8" xfId="33453" xr:uid="{00000000-0005-0000-0000-0000AD820000}"/>
    <cellStyle name="Normal 5 10 30 2 9" xfId="33454" xr:uid="{00000000-0005-0000-0000-0000AE820000}"/>
    <cellStyle name="Normal 5 10 30 3" xfId="33455" xr:uid="{00000000-0005-0000-0000-0000AF820000}"/>
    <cellStyle name="Normal 5 10 30 3 10" xfId="33456" xr:uid="{00000000-0005-0000-0000-0000B0820000}"/>
    <cellStyle name="Normal 5 10 30 3 2" xfId="33457" xr:uid="{00000000-0005-0000-0000-0000B1820000}"/>
    <cellStyle name="Normal 5 10 30 3 3" xfId="33458" xr:uid="{00000000-0005-0000-0000-0000B2820000}"/>
    <cellStyle name="Normal 5 10 30 3 4" xfId="33459" xr:uid="{00000000-0005-0000-0000-0000B3820000}"/>
    <cellStyle name="Normal 5 10 30 3 5" xfId="33460" xr:uid="{00000000-0005-0000-0000-0000B4820000}"/>
    <cellStyle name="Normal 5 10 30 3 6" xfId="33461" xr:uid="{00000000-0005-0000-0000-0000B5820000}"/>
    <cellStyle name="Normal 5 10 30 3 7" xfId="33462" xr:uid="{00000000-0005-0000-0000-0000B6820000}"/>
    <cellStyle name="Normal 5 10 30 3 8" xfId="33463" xr:uid="{00000000-0005-0000-0000-0000B7820000}"/>
    <cellStyle name="Normal 5 10 30 3 9" xfId="33464" xr:uid="{00000000-0005-0000-0000-0000B8820000}"/>
    <cellStyle name="Normal 5 10 30 4" xfId="33465" xr:uid="{00000000-0005-0000-0000-0000B9820000}"/>
    <cellStyle name="Normal 5 10 30 4 10" xfId="33466" xr:uid="{00000000-0005-0000-0000-0000BA820000}"/>
    <cellStyle name="Normal 5 10 30 4 2" xfId="33467" xr:uid="{00000000-0005-0000-0000-0000BB820000}"/>
    <cellStyle name="Normal 5 10 30 4 3" xfId="33468" xr:uid="{00000000-0005-0000-0000-0000BC820000}"/>
    <cellStyle name="Normal 5 10 30 4 4" xfId="33469" xr:uid="{00000000-0005-0000-0000-0000BD820000}"/>
    <cellStyle name="Normal 5 10 30 4 5" xfId="33470" xr:uid="{00000000-0005-0000-0000-0000BE820000}"/>
    <cellStyle name="Normal 5 10 30 4 6" xfId="33471" xr:uid="{00000000-0005-0000-0000-0000BF820000}"/>
    <cellStyle name="Normal 5 10 30 4 7" xfId="33472" xr:uid="{00000000-0005-0000-0000-0000C0820000}"/>
    <cellStyle name="Normal 5 10 30 4 8" xfId="33473" xr:uid="{00000000-0005-0000-0000-0000C1820000}"/>
    <cellStyle name="Normal 5 10 30 4 9" xfId="33474" xr:uid="{00000000-0005-0000-0000-0000C2820000}"/>
    <cellStyle name="Normal 5 10 30 5" xfId="33475" xr:uid="{00000000-0005-0000-0000-0000C3820000}"/>
    <cellStyle name="Normal 5 10 30 5 10" xfId="33476" xr:uid="{00000000-0005-0000-0000-0000C4820000}"/>
    <cellStyle name="Normal 5 10 30 5 2" xfId="33477" xr:uid="{00000000-0005-0000-0000-0000C5820000}"/>
    <cellStyle name="Normal 5 10 30 5 3" xfId="33478" xr:uid="{00000000-0005-0000-0000-0000C6820000}"/>
    <cellStyle name="Normal 5 10 30 5 4" xfId="33479" xr:uid="{00000000-0005-0000-0000-0000C7820000}"/>
    <cellStyle name="Normal 5 10 30 5 5" xfId="33480" xr:uid="{00000000-0005-0000-0000-0000C8820000}"/>
    <cellStyle name="Normal 5 10 30 5 6" xfId="33481" xr:uid="{00000000-0005-0000-0000-0000C9820000}"/>
    <cellStyle name="Normal 5 10 30 5 7" xfId="33482" xr:uid="{00000000-0005-0000-0000-0000CA820000}"/>
    <cellStyle name="Normal 5 10 30 5 8" xfId="33483" xr:uid="{00000000-0005-0000-0000-0000CB820000}"/>
    <cellStyle name="Normal 5 10 30 5 9" xfId="33484" xr:uid="{00000000-0005-0000-0000-0000CC820000}"/>
    <cellStyle name="Normal 5 10 30 6" xfId="33485" xr:uid="{00000000-0005-0000-0000-0000CD820000}"/>
    <cellStyle name="Normal 5 10 30 7" xfId="33486" xr:uid="{00000000-0005-0000-0000-0000CE820000}"/>
    <cellStyle name="Normal 5 10 30 8" xfId="33487" xr:uid="{00000000-0005-0000-0000-0000CF820000}"/>
    <cellStyle name="Normal 5 10 30 9" xfId="33488" xr:uid="{00000000-0005-0000-0000-0000D0820000}"/>
    <cellStyle name="Normal 5 10 31" xfId="33489" xr:uid="{00000000-0005-0000-0000-0000D1820000}"/>
    <cellStyle name="Normal 5 10 31 10" xfId="33490" xr:uid="{00000000-0005-0000-0000-0000D2820000}"/>
    <cellStyle name="Normal 5 10 31 11" xfId="33491" xr:uid="{00000000-0005-0000-0000-0000D3820000}"/>
    <cellStyle name="Normal 5 10 31 12" xfId="33492" xr:uid="{00000000-0005-0000-0000-0000D4820000}"/>
    <cellStyle name="Normal 5 10 31 13" xfId="33493" xr:uid="{00000000-0005-0000-0000-0000D5820000}"/>
    <cellStyle name="Normal 5 10 31 14" xfId="33494" xr:uid="{00000000-0005-0000-0000-0000D6820000}"/>
    <cellStyle name="Normal 5 10 31 2" xfId="33495" xr:uid="{00000000-0005-0000-0000-0000D7820000}"/>
    <cellStyle name="Normal 5 10 31 2 10" xfId="33496" xr:uid="{00000000-0005-0000-0000-0000D8820000}"/>
    <cellStyle name="Normal 5 10 31 2 2" xfId="33497" xr:uid="{00000000-0005-0000-0000-0000D9820000}"/>
    <cellStyle name="Normal 5 10 31 2 3" xfId="33498" xr:uid="{00000000-0005-0000-0000-0000DA820000}"/>
    <cellStyle name="Normal 5 10 31 2 4" xfId="33499" xr:uid="{00000000-0005-0000-0000-0000DB820000}"/>
    <cellStyle name="Normal 5 10 31 2 5" xfId="33500" xr:uid="{00000000-0005-0000-0000-0000DC820000}"/>
    <cellStyle name="Normal 5 10 31 2 6" xfId="33501" xr:uid="{00000000-0005-0000-0000-0000DD820000}"/>
    <cellStyle name="Normal 5 10 31 2 7" xfId="33502" xr:uid="{00000000-0005-0000-0000-0000DE820000}"/>
    <cellStyle name="Normal 5 10 31 2 8" xfId="33503" xr:uid="{00000000-0005-0000-0000-0000DF820000}"/>
    <cellStyle name="Normal 5 10 31 2 9" xfId="33504" xr:uid="{00000000-0005-0000-0000-0000E0820000}"/>
    <cellStyle name="Normal 5 10 31 3" xfId="33505" xr:uid="{00000000-0005-0000-0000-0000E1820000}"/>
    <cellStyle name="Normal 5 10 31 3 10" xfId="33506" xr:uid="{00000000-0005-0000-0000-0000E2820000}"/>
    <cellStyle name="Normal 5 10 31 3 2" xfId="33507" xr:uid="{00000000-0005-0000-0000-0000E3820000}"/>
    <cellStyle name="Normal 5 10 31 3 3" xfId="33508" xr:uid="{00000000-0005-0000-0000-0000E4820000}"/>
    <cellStyle name="Normal 5 10 31 3 4" xfId="33509" xr:uid="{00000000-0005-0000-0000-0000E5820000}"/>
    <cellStyle name="Normal 5 10 31 3 5" xfId="33510" xr:uid="{00000000-0005-0000-0000-0000E6820000}"/>
    <cellStyle name="Normal 5 10 31 3 6" xfId="33511" xr:uid="{00000000-0005-0000-0000-0000E7820000}"/>
    <cellStyle name="Normal 5 10 31 3 7" xfId="33512" xr:uid="{00000000-0005-0000-0000-0000E8820000}"/>
    <cellStyle name="Normal 5 10 31 3 8" xfId="33513" xr:uid="{00000000-0005-0000-0000-0000E9820000}"/>
    <cellStyle name="Normal 5 10 31 3 9" xfId="33514" xr:uid="{00000000-0005-0000-0000-0000EA820000}"/>
    <cellStyle name="Normal 5 10 31 4" xfId="33515" xr:uid="{00000000-0005-0000-0000-0000EB820000}"/>
    <cellStyle name="Normal 5 10 31 4 10" xfId="33516" xr:uid="{00000000-0005-0000-0000-0000EC820000}"/>
    <cellStyle name="Normal 5 10 31 4 2" xfId="33517" xr:uid="{00000000-0005-0000-0000-0000ED820000}"/>
    <cellStyle name="Normal 5 10 31 4 3" xfId="33518" xr:uid="{00000000-0005-0000-0000-0000EE820000}"/>
    <cellStyle name="Normal 5 10 31 4 4" xfId="33519" xr:uid="{00000000-0005-0000-0000-0000EF820000}"/>
    <cellStyle name="Normal 5 10 31 4 5" xfId="33520" xr:uid="{00000000-0005-0000-0000-0000F0820000}"/>
    <cellStyle name="Normal 5 10 31 4 6" xfId="33521" xr:uid="{00000000-0005-0000-0000-0000F1820000}"/>
    <cellStyle name="Normal 5 10 31 4 7" xfId="33522" xr:uid="{00000000-0005-0000-0000-0000F2820000}"/>
    <cellStyle name="Normal 5 10 31 4 8" xfId="33523" xr:uid="{00000000-0005-0000-0000-0000F3820000}"/>
    <cellStyle name="Normal 5 10 31 4 9" xfId="33524" xr:uid="{00000000-0005-0000-0000-0000F4820000}"/>
    <cellStyle name="Normal 5 10 31 5" xfId="33525" xr:uid="{00000000-0005-0000-0000-0000F5820000}"/>
    <cellStyle name="Normal 5 10 31 5 10" xfId="33526" xr:uid="{00000000-0005-0000-0000-0000F6820000}"/>
    <cellStyle name="Normal 5 10 31 5 2" xfId="33527" xr:uid="{00000000-0005-0000-0000-0000F7820000}"/>
    <cellStyle name="Normal 5 10 31 5 3" xfId="33528" xr:uid="{00000000-0005-0000-0000-0000F8820000}"/>
    <cellStyle name="Normal 5 10 31 5 4" xfId="33529" xr:uid="{00000000-0005-0000-0000-0000F9820000}"/>
    <cellStyle name="Normal 5 10 31 5 5" xfId="33530" xr:uid="{00000000-0005-0000-0000-0000FA820000}"/>
    <cellStyle name="Normal 5 10 31 5 6" xfId="33531" xr:uid="{00000000-0005-0000-0000-0000FB820000}"/>
    <cellStyle name="Normal 5 10 31 5 7" xfId="33532" xr:uid="{00000000-0005-0000-0000-0000FC820000}"/>
    <cellStyle name="Normal 5 10 31 5 8" xfId="33533" xr:uid="{00000000-0005-0000-0000-0000FD820000}"/>
    <cellStyle name="Normal 5 10 31 5 9" xfId="33534" xr:uid="{00000000-0005-0000-0000-0000FE820000}"/>
    <cellStyle name="Normal 5 10 31 6" xfId="33535" xr:uid="{00000000-0005-0000-0000-0000FF820000}"/>
    <cellStyle name="Normal 5 10 31 7" xfId="33536" xr:uid="{00000000-0005-0000-0000-000000830000}"/>
    <cellStyle name="Normal 5 10 31 8" xfId="33537" xr:uid="{00000000-0005-0000-0000-000001830000}"/>
    <cellStyle name="Normal 5 10 31 9" xfId="33538" xr:uid="{00000000-0005-0000-0000-000002830000}"/>
    <cellStyle name="Normal 5 10 32" xfId="33539" xr:uid="{00000000-0005-0000-0000-000003830000}"/>
    <cellStyle name="Normal 5 10 32 10" xfId="33540" xr:uid="{00000000-0005-0000-0000-000004830000}"/>
    <cellStyle name="Normal 5 10 32 11" xfId="33541" xr:uid="{00000000-0005-0000-0000-000005830000}"/>
    <cellStyle name="Normal 5 10 32 12" xfId="33542" xr:uid="{00000000-0005-0000-0000-000006830000}"/>
    <cellStyle name="Normal 5 10 32 13" xfId="33543" xr:uid="{00000000-0005-0000-0000-000007830000}"/>
    <cellStyle name="Normal 5 10 32 14" xfId="33544" xr:uid="{00000000-0005-0000-0000-000008830000}"/>
    <cellStyle name="Normal 5 10 32 2" xfId="33545" xr:uid="{00000000-0005-0000-0000-000009830000}"/>
    <cellStyle name="Normal 5 10 32 2 10" xfId="33546" xr:uid="{00000000-0005-0000-0000-00000A830000}"/>
    <cellStyle name="Normal 5 10 32 2 2" xfId="33547" xr:uid="{00000000-0005-0000-0000-00000B830000}"/>
    <cellStyle name="Normal 5 10 32 2 3" xfId="33548" xr:uid="{00000000-0005-0000-0000-00000C830000}"/>
    <cellStyle name="Normal 5 10 32 2 4" xfId="33549" xr:uid="{00000000-0005-0000-0000-00000D830000}"/>
    <cellStyle name="Normal 5 10 32 2 5" xfId="33550" xr:uid="{00000000-0005-0000-0000-00000E830000}"/>
    <cellStyle name="Normal 5 10 32 2 6" xfId="33551" xr:uid="{00000000-0005-0000-0000-00000F830000}"/>
    <cellStyle name="Normal 5 10 32 2 7" xfId="33552" xr:uid="{00000000-0005-0000-0000-000010830000}"/>
    <cellStyle name="Normal 5 10 32 2 8" xfId="33553" xr:uid="{00000000-0005-0000-0000-000011830000}"/>
    <cellStyle name="Normal 5 10 32 2 9" xfId="33554" xr:uid="{00000000-0005-0000-0000-000012830000}"/>
    <cellStyle name="Normal 5 10 32 3" xfId="33555" xr:uid="{00000000-0005-0000-0000-000013830000}"/>
    <cellStyle name="Normal 5 10 32 3 10" xfId="33556" xr:uid="{00000000-0005-0000-0000-000014830000}"/>
    <cellStyle name="Normal 5 10 32 3 2" xfId="33557" xr:uid="{00000000-0005-0000-0000-000015830000}"/>
    <cellStyle name="Normal 5 10 32 3 3" xfId="33558" xr:uid="{00000000-0005-0000-0000-000016830000}"/>
    <cellStyle name="Normal 5 10 32 3 4" xfId="33559" xr:uid="{00000000-0005-0000-0000-000017830000}"/>
    <cellStyle name="Normal 5 10 32 3 5" xfId="33560" xr:uid="{00000000-0005-0000-0000-000018830000}"/>
    <cellStyle name="Normal 5 10 32 3 6" xfId="33561" xr:uid="{00000000-0005-0000-0000-000019830000}"/>
    <cellStyle name="Normal 5 10 32 3 7" xfId="33562" xr:uid="{00000000-0005-0000-0000-00001A830000}"/>
    <cellStyle name="Normal 5 10 32 3 8" xfId="33563" xr:uid="{00000000-0005-0000-0000-00001B830000}"/>
    <cellStyle name="Normal 5 10 32 3 9" xfId="33564" xr:uid="{00000000-0005-0000-0000-00001C830000}"/>
    <cellStyle name="Normal 5 10 32 4" xfId="33565" xr:uid="{00000000-0005-0000-0000-00001D830000}"/>
    <cellStyle name="Normal 5 10 32 4 10" xfId="33566" xr:uid="{00000000-0005-0000-0000-00001E830000}"/>
    <cellStyle name="Normal 5 10 32 4 2" xfId="33567" xr:uid="{00000000-0005-0000-0000-00001F830000}"/>
    <cellStyle name="Normal 5 10 32 4 3" xfId="33568" xr:uid="{00000000-0005-0000-0000-000020830000}"/>
    <cellStyle name="Normal 5 10 32 4 4" xfId="33569" xr:uid="{00000000-0005-0000-0000-000021830000}"/>
    <cellStyle name="Normal 5 10 32 4 5" xfId="33570" xr:uid="{00000000-0005-0000-0000-000022830000}"/>
    <cellStyle name="Normal 5 10 32 4 6" xfId="33571" xr:uid="{00000000-0005-0000-0000-000023830000}"/>
    <cellStyle name="Normal 5 10 32 4 7" xfId="33572" xr:uid="{00000000-0005-0000-0000-000024830000}"/>
    <cellStyle name="Normal 5 10 32 4 8" xfId="33573" xr:uid="{00000000-0005-0000-0000-000025830000}"/>
    <cellStyle name="Normal 5 10 32 4 9" xfId="33574" xr:uid="{00000000-0005-0000-0000-000026830000}"/>
    <cellStyle name="Normal 5 10 32 5" xfId="33575" xr:uid="{00000000-0005-0000-0000-000027830000}"/>
    <cellStyle name="Normal 5 10 32 5 10" xfId="33576" xr:uid="{00000000-0005-0000-0000-000028830000}"/>
    <cellStyle name="Normal 5 10 32 5 2" xfId="33577" xr:uid="{00000000-0005-0000-0000-000029830000}"/>
    <cellStyle name="Normal 5 10 32 5 3" xfId="33578" xr:uid="{00000000-0005-0000-0000-00002A830000}"/>
    <cellStyle name="Normal 5 10 32 5 4" xfId="33579" xr:uid="{00000000-0005-0000-0000-00002B830000}"/>
    <cellStyle name="Normal 5 10 32 5 5" xfId="33580" xr:uid="{00000000-0005-0000-0000-00002C830000}"/>
    <cellStyle name="Normal 5 10 32 5 6" xfId="33581" xr:uid="{00000000-0005-0000-0000-00002D830000}"/>
    <cellStyle name="Normal 5 10 32 5 7" xfId="33582" xr:uid="{00000000-0005-0000-0000-00002E830000}"/>
    <cellStyle name="Normal 5 10 32 5 8" xfId="33583" xr:uid="{00000000-0005-0000-0000-00002F830000}"/>
    <cellStyle name="Normal 5 10 32 5 9" xfId="33584" xr:uid="{00000000-0005-0000-0000-000030830000}"/>
    <cellStyle name="Normal 5 10 32 6" xfId="33585" xr:uid="{00000000-0005-0000-0000-000031830000}"/>
    <cellStyle name="Normal 5 10 32 7" xfId="33586" xr:uid="{00000000-0005-0000-0000-000032830000}"/>
    <cellStyle name="Normal 5 10 32 8" xfId="33587" xr:uid="{00000000-0005-0000-0000-000033830000}"/>
    <cellStyle name="Normal 5 10 32 9" xfId="33588" xr:uid="{00000000-0005-0000-0000-000034830000}"/>
    <cellStyle name="Normal 5 10 33" xfId="33589" xr:uid="{00000000-0005-0000-0000-000035830000}"/>
    <cellStyle name="Normal 5 10 33 10" xfId="33590" xr:uid="{00000000-0005-0000-0000-000036830000}"/>
    <cellStyle name="Normal 5 10 33 11" xfId="33591" xr:uid="{00000000-0005-0000-0000-000037830000}"/>
    <cellStyle name="Normal 5 10 33 12" xfId="33592" xr:uid="{00000000-0005-0000-0000-000038830000}"/>
    <cellStyle name="Normal 5 10 33 13" xfId="33593" xr:uid="{00000000-0005-0000-0000-000039830000}"/>
    <cellStyle name="Normal 5 10 33 14" xfId="33594" xr:uid="{00000000-0005-0000-0000-00003A830000}"/>
    <cellStyle name="Normal 5 10 33 2" xfId="33595" xr:uid="{00000000-0005-0000-0000-00003B830000}"/>
    <cellStyle name="Normal 5 10 33 2 10" xfId="33596" xr:uid="{00000000-0005-0000-0000-00003C830000}"/>
    <cellStyle name="Normal 5 10 33 2 2" xfId="33597" xr:uid="{00000000-0005-0000-0000-00003D830000}"/>
    <cellStyle name="Normal 5 10 33 2 3" xfId="33598" xr:uid="{00000000-0005-0000-0000-00003E830000}"/>
    <cellStyle name="Normal 5 10 33 2 4" xfId="33599" xr:uid="{00000000-0005-0000-0000-00003F830000}"/>
    <cellStyle name="Normal 5 10 33 2 5" xfId="33600" xr:uid="{00000000-0005-0000-0000-000040830000}"/>
    <cellStyle name="Normal 5 10 33 2 6" xfId="33601" xr:uid="{00000000-0005-0000-0000-000041830000}"/>
    <cellStyle name="Normal 5 10 33 2 7" xfId="33602" xr:uid="{00000000-0005-0000-0000-000042830000}"/>
    <cellStyle name="Normal 5 10 33 2 8" xfId="33603" xr:uid="{00000000-0005-0000-0000-000043830000}"/>
    <cellStyle name="Normal 5 10 33 2 9" xfId="33604" xr:uid="{00000000-0005-0000-0000-000044830000}"/>
    <cellStyle name="Normal 5 10 33 3" xfId="33605" xr:uid="{00000000-0005-0000-0000-000045830000}"/>
    <cellStyle name="Normal 5 10 33 3 10" xfId="33606" xr:uid="{00000000-0005-0000-0000-000046830000}"/>
    <cellStyle name="Normal 5 10 33 3 2" xfId="33607" xr:uid="{00000000-0005-0000-0000-000047830000}"/>
    <cellStyle name="Normal 5 10 33 3 3" xfId="33608" xr:uid="{00000000-0005-0000-0000-000048830000}"/>
    <cellStyle name="Normal 5 10 33 3 4" xfId="33609" xr:uid="{00000000-0005-0000-0000-000049830000}"/>
    <cellStyle name="Normal 5 10 33 3 5" xfId="33610" xr:uid="{00000000-0005-0000-0000-00004A830000}"/>
    <cellStyle name="Normal 5 10 33 3 6" xfId="33611" xr:uid="{00000000-0005-0000-0000-00004B830000}"/>
    <cellStyle name="Normal 5 10 33 3 7" xfId="33612" xr:uid="{00000000-0005-0000-0000-00004C830000}"/>
    <cellStyle name="Normal 5 10 33 3 8" xfId="33613" xr:uid="{00000000-0005-0000-0000-00004D830000}"/>
    <cellStyle name="Normal 5 10 33 3 9" xfId="33614" xr:uid="{00000000-0005-0000-0000-00004E830000}"/>
    <cellStyle name="Normal 5 10 33 4" xfId="33615" xr:uid="{00000000-0005-0000-0000-00004F830000}"/>
    <cellStyle name="Normal 5 10 33 4 10" xfId="33616" xr:uid="{00000000-0005-0000-0000-000050830000}"/>
    <cellStyle name="Normal 5 10 33 4 2" xfId="33617" xr:uid="{00000000-0005-0000-0000-000051830000}"/>
    <cellStyle name="Normal 5 10 33 4 3" xfId="33618" xr:uid="{00000000-0005-0000-0000-000052830000}"/>
    <cellStyle name="Normal 5 10 33 4 4" xfId="33619" xr:uid="{00000000-0005-0000-0000-000053830000}"/>
    <cellStyle name="Normal 5 10 33 4 5" xfId="33620" xr:uid="{00000000-0005-0000-0000-000054830000}"/>
    <cellStyle name="Normal 5 10 33 4 6" xfId="33621" xr:uid="{00000000-0005-0000-0000-000055830000}"/>
    <cellStyle name="Normal 5 10 33 4 7" xfId="33622" xr:uid="{00000000-0005-0000-0000-000056830000}"/>
    <cellStyle name="Normal 5 10 33 4 8" xfId="33623" xr:uid="{00000000-0005-0000-0000-000057830000}"/>
    <cellStyle name="Normal 5 10 33 4 9" xfId="33624" xr:uid="{00000000-0005-0000-0000-000058830000}"/>
    <cellStyle name="Normal 5 10 33 5" xfId="33625" xr:uid="{00000000-0005-0000-0000-000059830000}"/>
    <cellStyle name="Normal 5 10 33 5 10" xfId="33626" xr:uid="{00000000-0005-0000-0000-00005A830000}"/>
    <cellStyle name="Normal 5 10 33 5 2" xfId="33627" xr:uid="{00000000-0005-0000-0000-00005B830000}"/>
    <cellStyle name="Normal 5 10 33 5 3" xfId="33628" xr:uid="{00000000-0005-0000-0000-00005C830000}"/>
    <cellStyle name="Normal 5 10 33 5 4" xfId="33629" xr:uid="{00000000-0005-0000-0000-00005D830000}"/>
    <cellStyle name="Normal 5 10 33 5 5" xfId="33630" xr:uid="{00000000-0005-0000-0000-00005E830000}"/>
    <cellStyle name="Normal 5 10 33 5 6" xfId="33631" xr:uid="{00000000-0005-0000-0000-00005F830000}"/>
    <cellStyle name="Normal 5 10 33 5 7" xfId="33632" xr:uid="{00000000-0005-0000-0000-000060830000}"/>
    <cellStyle name="Normal 5 10 33 5 8" xfId="33633" xr:uid="{00000000-0005-0000-0000-000061830000}"/>
    <cellStyle name="Normal 5 10 33 5 9" xfId="33634" xr:uid="{00000000-0005-0000-0000-000062830000}"/>
    <cellStyle name="Normal 5 10 33 6" xfId="33635" xr:uid="{00000000-0005-0000-0000-000063830000}"/>
    <cellStyle name="Normal 5 10 33 7" xfId="33636" xr:uid="{00000000-0005-0000-0000-000064830000}"/>
    <cellStyle name="Normal 5 10 33 8" xfId="33637" xr:uid="{00000000-0005-0000-0000-000065830000}"/>
    <cellStyle name="Normal 5 10 33 9" xfId="33638" xr:uid="{00000000-0005-0000-0000-000066830000}"/>
    <cellStyle name="Normal 5 10 34" xfId="33639" xr:uid="{00000000-0005-0000-0000-000067830000}"/>
    <cellStyle name="Normal 5 10 34 10" xfId="33640" xr:uid="{00000000-0005-0000-0000-000068830000}"/>
    <cellStyle name="Normal 5 10 34 11" xfId="33641" xr:uid="{00000000-0005-0000-0000-000069830000}"/>
    <cellStyle name="Normal 5 10 34 12" xfId="33642" xr:uid="{00000000-0005-0000-0000-00006A830000}"/>
    <cellStyle name="Normal 5 10 34 13" xfId="33643" xr:uid="{00000000-0005-0000-0000-00006B830000}"/>
    <cellStyle name="Normal 5 10 34 14" xfId="33644" xr:uid="{00000000-0005-0000-0000-00006C830000}"/>
    <cellStyle name="Normal 5 10 34 2" xfId="33645" xr:uid="{00000000-0005-0000-0000-00006D830000}"/>
    <cellStyle name="Normal 5 10 34 2 10" xfId="33646" xr:uid="{00000000-0005-0000-0000-00006E830000}"/>
    <cellStyle name="Normal 5 10 34 2 2" xfId="33647" xr:uid="{00000000-0005-0000-0000-00006F830000}"/>
    <cellStyle name="Normal 5 10 34 2 3" xfId="33648" xr:uid="{00000000-0005-0000-0000-000070830000}"/>
    <cellStyle name="Normal 5 10 34 2 4" xfId="33649" xr:uid="{00000000-0005-0000-0000-000071830000}"/>
    <cellStyle name="Normal 5 10 34 2 5" xfId="33650" xr:uid="{00000000-0005-0000-0000-000072830000}"/>
    <cellStyle name="Normal 5 10 34 2 6" xfId="33651" xr:uid="{00000000-0005-0000-0000-000073830000}"/>
    <cellStyle name="Normal 5 10 34 2 7" xfId="33652" xr:uid="{00000000-0005-0000-0000-000074830000}"/>
    <cellStyle name="Normal 5 10 34 2 8" xfId="33653" xr:uid="{00000000-0005-0000-0000-000075830000}"/>
    <cellStyle name="Normal 5 10 34 2 9" xfId="33654" xr:uid="{00000000-0005-0000-0000-000076830000}"/>
    <cellStyle name="Normal 5 10 34 3" xfId="33655" xr:uid="{00000000-0005-0000-0000-000077830000}"/>
    <cellStyle name="Normal 5 10 34 3 10" xfId="33656" xr:uid="{00000000-0005-0000-0000-000078830000}"/>
    <cellStyle name="Normal 5 10 34 3 2" xfId="33657" xr:uid="{00000000-0005-0000-0000-000079830000}"/>
    <cellStyle name="Normal 5 10 34 3 3" xfId="33658" xr:uid="{00000000-0005-0000-0000-00007A830000}"/>
    <cellStyle name="Normal 5 10 34 3 4" xfId="33659" xr:uid="{00000000-0005-0000-0000-00007B830000}"/>
    <cellStyle name="Normal 5 10 34 3 5" xfId="33660" xr:uid="{00000000-0005-0000-0000-00007C830000}"/>
    <cellStyle name="Normal 5 10 34 3 6" xfId="33661" xr:uid="{00000000-0005-0000-0000-00007D830000}"/>
    <cellStyle name="Normal 5 10 34 3 7" xfId="33662" xr:uid="{00000000-0005-0000-0000-00007E830000}"/>
    <cellStyle name="Normal 5 10 34 3 8" xfId="33663" xr:uid="{00000000-0005-0000-0000-00007F830000}"/>
    <cellStyle name="Normal 5 10 34 3 9" xfId="33664" xr:uid="{00000000-0005-0000-0000-000080830000}"/>
    <cellStyle name="Normal 5 10 34 4" xfId="33665" xr:uid="{00000000-0005-0000-0000-000081830000}"/>
    <cellStyle name="Normal 5 10 34 4 10" xfId="33666" xr:uid="{00000000-0005-0000-0000-000082830000}"/>
    <cellStyle name="Normal 5 10 34 4 2" xfId="33667" xr:uid="{00000000-0005-0000-0000-000083830000}"/>
    <cellStyle name="Normal 5 10 34 4 3" xfId="33668" xr:uid="{00000000-0005-0000-0000-000084830000}"/>
    <cellStyle name="Normal 5 10 34 4 4" xfId="33669" xr:uid="{00000000-0005-0000-0000-000085830000}"/>
    <cellStyle name="Normal 5 10 34 4 5" xfId="33670" xr:uid="{00000000-0005-0000-0000-000086830000}"/>
    <cellStyle name="Normal 5 10 34 4 6" xfId="33671" xr:uid="{00000000-0005-0000-0000-000087830000}"/>
    <cellStyle name="Normal 5 10 34 4 7" xfId="33672" xr:uid="{00000000-0005-0000-0000-000088830000}"/>
    <cellStyle name="Normal 5 10 34 4 8" xfId="33673" xr:uid="{00000000-0005-0000-0000-000089830000}"/>
    <cellStyle name="Normal 5 10 34 4 9" xfId="33674" xr:uid="{00000000-0005-0000-0000-00008A830000}"/>
    <cellStyle name="Normal 5 10 34 5" xfId="33675" xr:uid="{00000000-0005-0000-0000-00008B830000}"/>
    <cellStyle name="Normal 5 10 34 5 10" xfId="33676" xr:uid="{00000000-0005-0000-0000-00008C830000}"/>
    <cellStyle name="Normal 5 10 34 5 2" xfId="33677" xr:uid="{00000000-0005-0000-0000-00008D830000}"/>
    <cellStyle name="Normal 5 10 34 5 3" xfId="33678" xr:uid="{00000000-0005-0000-0000-00008E830000}"/>
    <cellStyle name="Normal 5 10 34 5 4" xfId="33679" xr:uid="{00000000-0005-0000-0000-00008F830000}"/>
    <cellStyle name="Normal 5 10 34 5 5" xfId="33680" xr:uid="{00000000-0005-0000-0000-000090830000}"/>
    <cellStyle name="Normal 5 10 34 5 6" xfId="33681" xr:uid="{00000000-0005-0000-0000-000091830000}"/>
    <cellStyle name="Normal 5 10 34 5 7" xfId="33682" xr:uid="{00000000-0005-0000-0000-000092830000}"/>
    <cellStyle name="Normal 5 10 34 5 8" xfId="33683" xr:uid="{00000000-0005-0000-0000-000093830000}"/>
    <cellStyle name="Normal 5 10 34 5 9" xfId="33684" xr:uid="{00000000-0005-0000-0000-000094830000}"/>
    <cellStyle name="Normal 5 10 34 6" xfId="33685" xr:uid="{00000000-0005-0000-0000-000095830000}"/>
    <cellStyle name="Normal 5 10 34 7" xfId="33686" xr:uid="{00000000-0005-0000-0000-000096830000}"/>
    <cellStyle name="Normal 5 10 34 8" xfId="33687" xr:uid="{00000000-0005-0000-0000-000097830000}"/>
    <cellStyle name="Normal 5 10 34 9" xfId="33688" xr:uid="{00000000-0005-0000-0000-000098830000}"/>
    <cellStyle name="Normal 5 10 35" xfId="33689" xr:uid="{00000000-0005-0000-0000-000099830000}"/>
    <cellStyle name="Normal 5 10 35 10" xfId="33690" xr:uid="{00000000-0005-0000-0000-00009A830000}"/>
    <cellStyle name="Normal 5 10 35 2" xfId="33691" xr:uid="{00000000-0005-0000-0000-00009B830000}"/>
    <cellStyle name="Normal 5 10 35 3" xfId="33692" xr:uid="{00000000-0005-0000-0000-00009C830000}"/>
    <cellStyle name="Normal 5 10 35 4" xfId="33693" xr:uid="{00000000-0005-0000-0000-00009D830000}"/>
    <cellStyle name="Normal 5 10 35 5" xfId="33694" xr:uid="{00000000-0005-0000-0000-00009E830000}"/>
    <cellStyle name="Normal 5 10 35 6" xfId="33695" xr:uid="{00000000-0005-0000-0000-00009F830000}"/>
    <cellStyle name="Normal 5 10 35 7" xfId="33696" xr:uid="{00000000-0005-0000-0000-0000A0830000}"/>
    <cellStyle name="Normal 5 10 35 8" xfId="33697" xr:uid="{00000000-0005-0000-0000-0000A1830000}"/>
    <cellStyle name="Normal 5 10 35 9" xfId="33698" xr:uid="{00000000-0005-0000-0000-0000A2830000}"/>
    <cellStyle name="Normal 5 10 36" xfId="33699" xr:uid="{00000000-0005-0000-0000-0000A3830000}"/>
    <cellStyle name="Normal 5 10 36 10" xfId="33700" xr:uid="{00000000-0005-0000-0000-0000A4830000}"/>
    <cellStyle name="Normal 5 10 36 2" xfId="33701" xr:uid="{00000000-0005-0000-0000-0000A5830000}"/>
    <cellStyle name="Normal 5 10 36 3" xfId="33702" xr:uid="{00000000-0005-0000-0000-0000A6830000}"/>
    <cellStyle name="Normal 5 10 36 4" xfId="33703" xr:uid="{00000000-0005-0000-0000-0000A7830000}"/>
    <cellStyle name="Normal 5 10 36 5" xfId="33704" xr:uid="{00000000-0005-0000-0000-0000A8830000}"/>
    <cellStyle name="Normal 5 10 36 6" xfId="33705" xr:uid="{00000000-0005-0000-0000-0000A9830000}"/>
    <cellStyle name="Normal 5 10 36 7" xfId="33706" xr:uid="{00000000-0005-0000-0000-0000AA830000}"/>
    <cellStyle name="Normal 5 10 36 8" xfId="33707" xr:uid="{00000000-0005-0000-0000-0000AB830000}"/>
    <cellStyle name="Normal 5 10 36 9" xfId="33708" xr:uid="{00000000-0005-0000-0000-0000AC830000}"/>
    <cellStyle name="Normal 5 10 37" xfId="33709" xr:uid="{00000000-0005-0000-0000-0000AD830000}"/>
    <cellStyle name="Normal 5 10 37 10" xfId="33710" xr:uid="{00000000-0005-0000-0000-0000AE830000}"/>
    <cellStyle name="Normal 5 10 37 2" xfId="33711" xr:uid="{00000000-0005-0000-0000-0000AF830000}"/>
    <cellStyle name="Normal 5 10 37 3" xfId="33712" xr:uid="{00000000-0005-0000-0000-0000B0830000}"/>
    <cellStyle name="Normal 5 10 37 4" xfId="33713" xr:uid="{00000000-0005-0000-0000-0000B1830000}"/>
    <cellStyle name="Normal 5 10 37 5" xfId="33714" xr:uid="{00000000-0005-0000-0000-0000B2830000}"/>
    <cellStyle name="Normal 5 10 37 6" xfId="33715" xr:uid="{00000000-0005-0000-0000-0000B3830000}"/>
    <cellStyle name="Normal 5 10 37 7" xfId="33716" xr:uid="{00000000-0005-0000-0000-0000B4830000}"/>
    <cellStyle name="Normal 5 10 37 8" xfId="33717" xr:uid="{00000000-0005-0000-0000-0000B5830000}"/>
    <cellStyle name="Normal 5 10 37 9" xfId="33718" xr:uid="{00000000-0005-0000-0000-0000B6830000}"/>
    <cellStyle name="Normal 5 10 38" xfId="33719" xr:uid="{00000000-0005-0000-0000-0000B7830000}"/>
    <cellStyle name="Normal 5 10 38 10" xfId="33720" xr:uid="{00000000-0005-0000-0000-0000B8830000}"/>
    <cellStyle name="Normal 5 10 38 2" xfId="33721" xr:uid="{00000000-0005-0000-0000-0000B9830000}"/>
    <cellStyle name="Normal 5 10 38 3" xfId="33722" xr:uid="{00000000-0005-0000-0000-0000BA830000}"/>
    <cellStyle name="Normal 5 10 38 4" xfId="33723" xr:uid="{00000000-0005-0000-0000-0000BB830000}"/>
    <cellStyle name="Normal 5 10 38 5" xfId="33724" xr:uid="{00000000-0005-0000-0000-0000BC830000}"/>
    <cellStyle name="Normal 5 10 38 6" xfId="33725" xr:uid="{00000000-0005-0000-0000-0000BD830000}"/>
    <cellStyle name="Normal 5 10 38 7" xfId="33726" xr:uid="{00000000-0005-0000-0000-0000BE830000}"/>
    <cellStyle name="Normal 5 10 38 8" xfId="33727" xr:uid="{00000000-0005-0000-0000-0000BF830000}"/>
    <cellStyle name="Normal 5 10 38 9" xfId="33728" xr:uid="{00000000-0005-0000-0000-0000C0830000}"/>
    <cellStyle name="Normal 5 10 39" xfId="33729" xr:uid="{00000000-0005-0000-0000-0000C1830000}"/>
    <cellStyle name="Normal 5 10 4" xfId="33730" xr:uid="{00000000-0005-0000-0000-0000C2830000}"/>
    <cellStyle name="Normal 5 10 4 10" xfId="33731" xr:uid="{00000000-0005-0000-0000-0000C3830000}"/>
    <cellStyle name="Normal 5 10 4 11" xfId="33732" xr:uid="{00000000-0005-0000-0000-0000C4830000}"/>
    <cellStyle name="Normal 5 10 4 12" xfId="33733" xr:uid="{00000000-0005-0000-0000-0000C5830000}"/>
    <cellStyle name="Normal 5 10 4 13" xfId="33734" xr:uid="{00000000-0005-0000-0000-0000C6830000}"/>
    <cellStyle name="Normal 5 10 4 14" xfId="33735" xr:uid="{00000000-0005-0000-0000-0000C7830000}"/>
    <cellStyle name="Normal 5 10 4 2" xfId="33736" xr:uid="{00000000-0005-0000-0000-0000C8830000}"/>
    <cellStyle name="Normal 5 10 4 2 10" xfId="33737" xr:uid="{00000000-0005-0000-0000-0000C9830000}"/>
    <cellStyle name="Normal 5 10 4 2 2" xfId="33738" xr:uid="{00000000-0005-0000-0000-0000CA830000}"/>
    <cellStyle name="Normal 5 10 4 2 3" xfId="33739" xr:uid="{00000000-0005-0000-0000-0000CB830000}"/>
    <cellStyle name="Normal 5 10 4 2 4" xfId="33740" xr:uid="{00000000-0005-0000-0000-0000CC830000}"/>
    <cellStyle name="Normal 5 10 4 2 5" xfId="33741" xr:uid="{00000000-0005-0000-0000-0000CD830000}"/>
    <cellStyle name="Normal 5 10 4 2 6" xfId="33742" xr:uid="{00000000-0005-0000-0000-0000CE830000}"/>
    <cellStyle name="Normal 5 10 4 2 7" xfId="33743" xr:uid="{00000000-0005-0000-0000-0000CF830000}"/>
    <cellStyle name="Normal 5 10 4 2 8" xfId="33744" xr:uid="{00000000-0005-0000-0000-0000D0830000}"/>
    <cellStyle name="Normal 5 10 4 2 9" xfId="33745" xr:uid="{00000000-0005-0000-0000-0000D1830000}"/>
    <cellStyle name="Normal 5 10 4 3" xfId="33746" xr:uid="{00000000-0005-0000-0000-0000D2830000}"/>
    <cellStyle name="Normal 5 10 4 3 10" xfId="33747" xr:uid="{00000000-0005-0000-0000-0000D3830000}"/>
    <cellStyle name="Normal 5 10 4 3 2" xfId="33748" xr:uid="{00000000-0005-0000-0000-0000D4830000}"/>
    <cellStyle name="Normal 5 10 4 3 3" xfId="33749" xr:uid="{00000000-0005-0000-0000-0000D5830000}"/>
    <cellStyle name="Normal 5 10 4 3 4" xfId="33750" xr:uid="{00000000-0005-0000-0000-0000D6830000}"/>
    <cellStyle name="Normal 5 10 4 3 5" xfId="33751" xr:uid="{00000000-0005-0000-0000-0000D7830000}"/>
    <cellStyle name="Normal 5 10 4 3 6" xfId="33752" xr:uid="{00000000-0005-0000-0000-0000D8830000}"/>
    <cellStyle name="Normal 5 10 4 3 7" xfId="33753" xr:uid="{00000000-0005-0000-0000-0000D9830000}"/>
    <cellStyle name="Normal 5 10 4 3 8" xfId="33754" xr:uid="{00000000-0005-0000-0000-0000DA830000}"/>
    <cellStyle name="Normal 5 10 4 3 9" xfId="33755" xr:uid="{00000000-0005-0000-0000-0000DB830000}"/>
    <cellStyle name="Normal 5 10 4 4" xfId="33756" xr:uid="{00000000-0005-0000-0000-0000DC830000}"/>
    <cellStyle name="Normal 5 10 4 4 10" xfId="33757" xr:uid="{00000000-0005-0000-0000-0000DD830000}"/>
    <cellStyle name="Normal 5 10 4 4 2" xfId="33758" xr:uid="{00000000-0005-0000-0000-0000DE830000}"/>
    <cellStyle name="Normal 5 10 4 4 3" xfId="33759" xr:uid="{00000000-0005-0000-0000-0000DF830000}"/>
    <cellStyle name="Normal 5 10 4 4 4" xfId="33760" xr:uid="{00000000-0005-0000-0000-0000E0830000}"/>
    <cellStyle name="Normal 5 10 4 4 5" xfId="33761" xr:uid="{00000000-0005-0000-0000-0000E1830000}"/>
    <cellStyle name="Normal 5 10 4 4 6" xfId="33762" xr:uid="{00000000-0005-0000-0000-0000E2830000}"/>
    <cellStyle name="Normal 5 10 4 4 7" xfId="33763" xr:uid="{00000000-0005-0000-0000-0000E3830000}"/>
    <cellStyle name="Normal 5 10 4 4 8" xfId="33764" xr:uid="{00000000-0005-0000-0000-0000E4830000}"/>
    <cellStyle name="Normal 5 10 4 4 9" xfId="33765" xr:uid="{00000000-0005-0000-0000-0000E5830000}"/>
    <cellStyle name="Normal 5 10 4 5" xfId="33766" xr:uid="{00000000-0005-0000-0000-0000E6830000}"/>
    <cellStyle name="Normal 5 10 4 5 10" xfId="33767" xr:uid="{00000000-0005-0000-0000-0000E7830000}"/>
    <cellStyle name="Normal 5 10 4 5 2" xfId="33768" xr:uid="{00000000-0005-0000-0000-0000E8830000}"/>
    <cellStyle name="Normal 5 10 4 5 3" xfId="33769" xr:uid="{00000000-0005-0000-0000-0000E9830000}"/>
    <cellStyle name="Normal 5 10 4 5 4" xfId="33770" xr:uid="{00000000-0005-0000-0000-0000EA830000}"/>
    <cellStyle name="Normal 5 10 4 5 5" xfId="33771" xr:uid="{00000000-0005-0000-0000-0000EB830000}"/>
    <cellStyle name="Normal 5 10 4 5 6" xfId="33772" xr:uid="{00000000-0005-0000-0000-0000EC830000}"/>
    <cellStyle name="Normal 5 10 4 5 7" xfId="33773" xr:uid="{00000000-0005-0000-0000-0000ED830000}"/>
    <cellStyle name="Normal 5 10 4 5 8" xfId="33774" xr:uid="{00000000-0005-0000-0000-0000EE830000}"/>
    <cellStyle name="Normal 5 10 4 5 9" xfId="33775" xr:uid="{00000000-0005-0000-0000-0000EF830000}"/>
    <cellStyle name="Normal 5 10 4 6" xfId="33776" xr:uid="{00000000-0005-0000-0000-0000F0830000}"/>
    <cellStyle name="Normal 5 10 4 7" xfId="33777" xr:uid="{00000000-0005-0000-0000-0000F1830000}"/>
    <cellStyle name="Normal 5 10 4 8" xfId="33778" xr:uid="{00000000-0005-0000-0000-0000F2830000}"/>
    <cellStyle name="Normal 5 10 4 9" xfId="33779" xr:uid="{00000000-0005-0000-0000-0000F3830000}"/>
    <cellStyle name="Normal 5 10 40" xfId="33780" xr:uid="{00000000-0005-0000-0000-0000F4830000}"/>
    <cellStyle name="Normal 5 10 41" xfId="33781" xr:uid="{00000000-0005-0000-0000-0000F5830000}"/>
    <cellStyle name="Normal 5 10 42" xfId="33782" xr:uid="{00000000-0005-0000-0000-0000F6830000}"/>
    <cellStyle name="Normal 5 10 43" xfId="33783" xr:uid="{00000000-0005-0000-0000-0000F7830000}"/>
    <cellStyle name="Normal 5 10 44" xfId="33784" xr:uid="{00000000-0005-0000-0000-0000F8830000}"/>
    <cellStyle name="Normal 5 10 45" xfId="33785" xr:uid="{00000000-0005-0000-0000-0000F9830000}"/>
    <cellStyle name="Normal 5 10 46" xfId="33786" xr:uid="{00000000-0005-0000-0000-0000FA830000}"/>
    <cellStyle name="Normal 5 10 47" xfId="33787" xr:uid="{00000000-0005-0000-0000-0000FB830000}"/>
    <cellStyle name="Normal 5 10 48" xfId="33788" xr:uid="{00000000-0005-0000-0000-0000FC830000}"/>
    <cellStyle name="Normal 5 10 49" xfId="33789" xr:uid="{00000000-0005-0000-0000-0000FD830000}"/>
    <cellStyle name="Normal 5 10 5" xfId="33790" xr:uid="{00000000-0005-0000-0000-0000FE830000}"/>
    <cellStyle name="Normal 5 10 5 10" xfId="33791" xr:uid="{00000000-0005-0000-0000-0000FF830000}"/>
    <cellStyle name="Normal 5 10 5 11" xfId="33792" xr:uid="{00000000-0005-0000-0000-000000840000}"/>
    <cellStyle name="Normal 5 10 5 12" xfId="33793" xr:uid="{00000000-0005-0000-0000-000001840000}"/>
    <cellStyle name="Normal 5 10 5 13" xfId="33794" xr:uid="{00000000-0005-0000-0000-000002840000}"/>
    <cellStyle name="Normal 5 10 5 14" xfId="33795" xr:uid="{00000000-0005-0000-0000-000003840000}"/>
    <cellStyle name="Normal 5 10 5 2" xfId="33796" xr:uid="{00000000-0005-0000-0000-000004840000}"/>
    <cellStyle name="Normal 5 10 5 2 10" xfId="33797" xr:uid="{00000000-0005-0000-0000-000005840000}"/>
    <cellStyle name="Normal 5 10 5 2 2" xfId="33798" xr:uid="{00000000-0005-0000-0000-000006840000}"/>
    <cellStyle name="Normal 5 10 5 2 3" xfId="33799" xr:uid="{00000000-0005-0000-0000-000007840000}"/>
    <cellStyle name="Normal 5 10 5 2 4" xfId="33800" xr:uid="{00000000-0005-0000-0000-000008840000}"/>
    <cellStyle name="Normal 5 10 5 2 5" xfId="33801" xr:uid="{00000000-0005-0000-0000-000009840000}"/>
    <cellStyle name="Normal 5 10 5 2 6" xfId="33802" xr:uid="{00000000-0005-0000-0000-00000A840000}"/>
    <cellStyle name="Normal 5 10 5 2 7" xfId="33803" xr:uid="{00000000-0005-0000-0000-00000B840000}"/>
    <cellStyle name="Normal 5 10 5 2 8" xfId="33804" xr:uid="{00000000-0005-0000-0000-00000C840000}"/>
    <cellStyle name="Normal 5 10 5 2 9" xfId="33805" xr:uid="{00000000-0005-0000-0000-00000D840000}"/>
    <cellStyle name="Normal 5 10 5 3" xfId="33806" xr:uid="{00000000-0005-0000-0000-00000E840000}"/>
    <cellStyle name="Normal 5 10 5 3 10" xfId="33807" xr:uid="{00000000-0005-0000-0000-00000F840000}"/>
    <cellStyle name="Normal 5 10 5 3 2" xfId="33808" xr:uid="{00000000-0005-0000-0000-000010840000}"/>
    <cellStyle name="Normal 5 10 5 3 3" xfId="33809" xr:uid="{00000000-0005-0000-0000-000011840000}"/>
    <cellStyle name="Normal 5 10 5 3 4" xfId="33810" xr:uid="{00000000-0005-0000-0000-000012840000}"/>
    <cellStyle name="Normal 5 10 5 3 5" xfId="33811" xr:uid="{00000000-0005-0000-0000-000013840000}"/>
    <cellStyle name="Normal 5 10 5 3 6" xfId="33812" xr:uid="{00000000-0005-0000-0000-000014840000}"/>
    <cellStyle name="Normal 5 10 5 3 7" xfId="33813" xr:uid="{00000000-0005-0000-0000-000015840000}"/>
    <cellStyle name="Normal 5 10 5 3 8" xfId="33814" xr:uid="{00000000-0005-0000-0000-000016840000}"/>
    <cellStyle name="Normal 5 10 5 3 9" xfId="33815" xr:uid="{00000000-0005-0000-0000-000017840000}"/>
    <cellStyle name="Normal 5 10 5 4" xfId="33816" xr:uid="{00000000-0005-0000-0000-000018840000}"/>
    <cellStyle name="Normal 5 10 5 4 10" xfId="33817" xr:uid="{00000000-0005-0000-0000-000019840000}"/>
    <cellStyle name="Normal 5 10 5 4 2" xfId="33818" xr:uid="{00000000-0005-0000-0000-00001A840000}"/>
    <cellStyle name="Normal 5 10 5 4 3" xfId="33819" xr:uid="{00000000-0005-0000-0000-00001B840000}"/>
    <cellStyle name="Normal 5 10 5 4 4" xfId="33820" xr:uid="{00000000-0005-0000-0000-00001C840000}"/>
    <cellStyle name="Normal 5 10 5 4 5" xfId="33821" xr:uid="{00000000-0005-0000-0000-00001D840000}"/>
    <cellStyle name="Normal 5 10 5 4 6" xfId="33822" xr:uid="{00000000-0005-0000-0000-00001E840000}"/>
    <cellStyle name="Normal 5 10 5 4 7" xfId="33823" xr:uid="{00000000-0005-0000-0000-00001F840000}"/>
    <cellStyle name="Normal 5 10 5 4 8" xfId="33824" xr:uid="{00000000-0005-0000-0000-000020840000}"/>
    <cellStyle name="Normal 5 10 5 4 9" xfId="33825" xr:uid="{00000000-0005-0000-0000-000021840000}"/>
    <cellStyle name="Normal 5 10 5 5" xfId="33826" xr:uid="{00000000-0005-0000-0000-000022840000}"/>
    <cellStyle name="Normal 5 10 5 5 10" xfId="33827" xr:uid="{00000000-0005-0000-0000-000023840000}"/>
    <cellStyle name="Normal 5 10 5 5 2" xfId="33828" xr:uid="{00000000-0005-0000-0000-000024840000}"/>
    <cellStyle name="Normal 5 10 5 5 3" xfId="33829" xr:uid="{00000000-0005-0000-0000-000025840000}"/>
    <cellStyle name="Normal 5 10 5 5 4" xfId="33830" xr:uid="{00000000-0005-0000-0000-000026840000}"/>
    <cellStyle name="Normal 5 10 5 5 5" xfId="33831" xr:uid="{00000000-0005-0000-0000-000027840000}"/>
    <cellStyle name="Normal 5 10 5 5 6" xfId="33832" xr:uid="{00000000-0005-0000-0000-000028840000}"/>
    <cellStyle name="Normal 5 10 5 5 7" xfId="33833" xr:uid="{00000000-0005-0000-0000-000029840000}"/>
    <cellStyle name="Normal 5 10 5 5 8" xfId="33834" xr:uid="{00000000-0005-0000-0000-00002A840000}"/>
    <cellStyle name="Normal 5 10 5 5 9" xfId="33835" xr:uid="{00000000-0005-0000-0000-00002B840000}"/>
    <cellStyle name="Normal 5 10 5 6" xfId="33836" xr:uid="{00000000-0005-0000-0000-00002C840000}"/>
    <cellStyle name="Normal 5 10 5 7" xfId="33837" xr:uid="{00000000-0005-0000-0000-00002D840000}"/>
    <cellStyle name="Normal 5 10 5 8" xfId="33838" xr:uid="{00000000-0005-0000-0000-00002E840000}"/>
    <cellStyle name="Normal 5 10 5 9" xfId="33839" xr:uid="{00000000-0005-0000-0000-00002F840000}"/>
    <cellStyle name="Normal 5 10 6" xfId="33840" xr:uid="{00000000-0005-0000-0000-000030840000}"/>
    <cellStyle name="Normal 5 10 6 10" xfId="33841" xr:uid="{00000000-0005-0000-0000-000031840000}"/>
    <cellStyle name="Normal 5 10 6 11" xfId="33842" xr:uid="{00000000-0005-0000-0000-000032840000}"/>
    <cellStyle name="Normal 5 10 6 12" xfId="33843" xr:uid="{00000000-0005-0000-0000-000033840000}"/>
    <cellStyle name="Normal 5 10 6 13" xfId="33844" xr:uid="{00000000-0005-0000-0000-000034840000}"/>
    <cellStyle name="Normal 5 10 6 14" xfId="33845" xr:uid="{00000000-0005-0000-0000-000035840000}"/>
    <cellStyle name="Normal 5 10 6 2" xfId="33846" xr:uid="{00000000-0005-0000-0000-000036840000}"/>
    <cellStyle name="Normal 5 10 6 2 10" xfId="33847" xr:uid="{00000000-0005-0000-0000-000037840000}"/>
    <cellStyle name="Normal 5 10 6 2 2" xfId="33848" xr:uid="{00000000-0005-0000-0000-000038840000}"/>
    <cellStyle name="Normal 5 10 6 2 3" xfId="33849" xr:uid="{00000000-0005-0000-0000-000039840000}"/>
    <cellStyle name="Normal 5 10 6 2 4" xfId="33850" xr:uid="{00000000-0005-0000-0000-00003A840000}"/>
    <cellStyle name="Normal 5 10 6 2 5" xfId="33851" xr:uid="{00000000-0005-0000-0000-00003B840000}"/>
    <cellStyle name="Normal 5 10 6 2 6" xfId="33852" xr:uid="{00000000-0005-0000-0000-00003C840000}"/>
    <cellStyle name="Normal 5 10 6 2 7" xfId="33853" xr:uid="{00000000-0005-0000-0000-00003D840000}"/>
    <cellStyle name="Normal 5 10 6 2 8" xfId="33854" xr:uid="{00000000-0005-0000-0000-00003E840000}"/>
    <cellStyle name="Normal 5 10 6 2 9" xfId="33855" xr:uid="{00000000-0005-0000-0000-00003F840000}"/>
    <cellStyle name="Normal 5 10 6 3" xfId="33856" xr:uid="{00000000-0005-0000-0000-000040840000}"/>
    <cellStyle name="Normal 5 10 6 3 10" xfId="33857" xr:uid="{00000000-0005-0000-0000-000041840000}"/>
    <cellStyle name="Normal 5 10 6 3 2" xfId="33858" xr:uid="{00000000-0005-0000-0000-000042840000}"/>
    <cellStyle name="Normal 5 10 6 3 3" xfId="33859" xr:uid="{00000000-0005-0000-0000-000043840000}"/>
    <cellStyle name="Normal 5 10 6 3 4" xfId="33860" xr:uid="{00000000-0005-0000-0000-000044840000}"/>
    <cellStyle name="Normal 5 10 6 3 5" xfId="33861" xr:uid="{00000000-0005-0000-0000-000045840000}"/>
    <cellStyle name="Normal 5 10 6 3 6" xfId="33862" xr:uid="{00000000-0005-0000-0000-000046840000}"/>
    <cellStyle name="Normal 5 10 6 3 7" xfId="33863" xr:uid="{00000000-0005-0000-0000-000047840000}"/>
    <cellStyle name="Normal 5 10 6 3 8" xfId="33864" xr:uid="{00000000-0005-0000-0000-000048840000}"/>
    <cellStyle name="Normal 5 10 6 3 9" xfId="33865" xr:uid="{00000000-0005-0000-0000-000049840000}"/>
    <cellStyle name="Normal 5 10 6 4" xfId="33866" xr:uid="{00000000-0005-0000-0000-00004A840000}"/>
    <cellStyle name="Normal 5 10 6 4 10" xfId="33867" xr:uid="{00000000-0005-0000-0000-00004B840000}"/>
    <cellStyle name="Normal 5 10 6 4 2" xfId="33868" xr:uid="{00000000-0005-0000-0000-00004C840000}"/>
    <cellStyle name="Normal 5 10 6 4 3" xfId="33869" xr:uid="{00000000-0005-0000-0000-00004D840000}"/>
    <cellStyle name="Normal 5 10 6 4 4" xfId="33870" xr:uid="{00000000-0005-0000-0000-00004E840000}"/>
    <cellStyle name="Normal 5 10 6 4 5" xfId="33871" xr:uid="{00000000-0005-0000-0000-00004F840000}"/>
    <cellStyle name="Normal 5 10 6 4 6" xfId="33872" xr:uid="{00000000-0005-0000-0000-000050840000}"/>
    <cellStyle name="Normal 5 10 6 4 7" xfId="33873" xr:uid="{00000000-0005-0000-0000-000051840000}"/>
    <cellStyle name="Normal 5 10 6 4 8" xfId="33874" xr:uid="{00000000-0005-0000-0000-000052840000}"/>
    <cellStyle name="Normal 5 10 6 4 9" xfId="33875" xr:uid="{00000000-0005-0000-0000-000053840000}"/>
    <cellStyle name="Normal 5 10 6 5" xfId="33876" xr:uid="{00000000-0005-0000-0000-000054840000}"/>
    <cellStyle name="Normal 5 10 6 5 10" xfId="33877" xr:uid="{00000000-0005-0000-0000-000055840000}"/>
    <cellStyle name="Normal 5 10 6 5 2" xfId="33878" xr:uid="{00000000-0005-0000-0000-000056840000}"/>
    <cellStyle name="Normal 5 10 6 5 3" xfId="33879" xr:uid="{00000000-0005-0000-0000-000057840000}"/>
    <cellStyle name="Normal 5 10 6 5 4" xfId="33880" xr:uid="{00000000-0005-0000-0000-000058840000}"/>
    <cellStyle name="Normal 5 10 6 5 5" xfId="33881" xr:uid="{00000000-0005-0000-0000-000059840000}"/>
    <cellStyle name="Normal 5 10 6 5 6" xfId="33882" xr:uid="{00000000-0005-0000-0000-00005A840000}"/>
    <cellStyle name="Normal 5 10 6 5 7" xfId="33883" xr:uid="{00000000-0005-0000-0000-00005B840000}"/>
    <cellStyle name="Normal 5 10 6 5 8" xfId="33884" xr:uid="{00000000-0005-0000-0000-00005C840000}"/>
    <cellStyle name="Normal 5 10 6 5 9" xfId="33885" xr:uid="{00000000-0005-0000-0000-00005D840000}"/>
    <cellStyle name="Normal 5 10 6 6" xfId="33886" xr:uid="{00000000-0005-0000-0000-00005E840000}"/>
    <cellStyle name="Normal 5 10 6 7" xfId="33887" xr:uid="{00000000-0005-0000-0000-00005F840000}"/>
    <cellStyle name="Normal 5 10 6 8" xfId="33888" xr:uid="{00000000-0005-0000-0000-000060840000}"/>
    <cellStyle name="Normal 5 10 6 9" xfId="33889" xr:uid="{00000000-0005-0000-0000-000061840000}"/>
    <cellStyle name="Normal 5 10 7" xfId="33890" xr:uid="{00000000-0005-0000-0000-000062840000}"/>
    <cellStyle name="Normal 5 10 7 10" xfId="33891" xr:uid="{00000000-0005-0000-0000-000063840000}"/>
    <cellStyle name="Normal 5 10 7 11" xfId="33892" xr:uid="{00000000-0005-0000-0000-000064840000}"/>
    <cellStyle name="Normal 5 10 7 12" xfId="33893" xr:uid="{00000000-0005-0000-0000-000065840000}"/>
    <cellStyle name="Normal 5 10 7 13" xfId="33894" xr:uid="{00000000-0005-0000-0000-000066840000}"/>
    <cellStyle name="Normal 5 10 7 14" xfId="33895" xr:uid="{00000000-0005-0000-0000-000067840000}"/>
    <cellStyle name="Normal 5 10 7 2" xfId="33896" xr:uid="{00000000-0005-0000-0000-000068840000}"/>
    <cellStyle name="Normal 5 10 7 2 10" xfId="33897" xr:uid="{00000000-0005-0000-0000-000069840000}"/>
    <cellStyle name="Normal 5 10 7 2 2" xfId="33898" xr:uid="{00000000-0005-0000-0000-00006A840000}"/>
    <cellStyle name="Normal 5 10 7 2 3" xfId="33899" xr:uid="{00000000-0005-0000-0000-00006B840000}"/>
    <cellStyle name="Normal 5 10 7 2 4" xfId="33900" xr:uid="{00000000-0005-0000-0000-00006C840000}"/>
    <cellStyle name="Normal 5 10 7 2 5" xfId="33901" xr:uid="{00000000-0005-0000-0000-00006D840000}"/>
    <cellStyle name="Normal 5 10 7 2 6" xfId="33902" xr:uid="{00000000-0005-0000-0000-00006E840000}"/>
    <cellStyle name="Normal 5 10 7 2 7" xfId="33903" xr:uid="{00000000-0005-0000-0000-00006F840000}"/>
    <cellStyle name="Normal 5 10 7 2 8" xfId="33904" xr:uid="{00000000-0005-0000-0000-000070840000}"/>
    <cellStyle name="Normal 5 10 7 2 9" xfId="33905" xr:uid="{00000000-0005-0000-0000-000071840000}"/>
    <cellStyle name="Normal 5 10 7 3" xfId="33906" xr:uid="{00000000-0005-0000-0000-000072840000}"/>
    <cellStyle name="Normal 5 10 7 3 10" xfId="33907" xr:uid="{00000000-0005-0000-0000-000073840000}"/>
    <cellStyle name="Normal 5 10 7 3 2" xfId="33908" xr:uid="{00000000-0005-0000-0000-000074840000}"/>
    <cellStyle name="Normal 5 10 7 3 3" xfId="33909" xr:uid="{00000000-0005-0000-0000-000075840000}"/>
    <cellStyle name="Normal 5 10 7 3 4" xfId="33910" xr:uid="{00000000-0005-0000-0000-000076840000}"/>
    <cellStyle name="Normal 5 10 7 3 5" xfId="33911" xr:uid="{00000000-0005-0000-0000-000077840000}"/>
    <cellStyle name="Normal 5 10 7 3 6" xfId="33912" xr:uid="{00000000-0005-0000-0000-000078840000}"/>
    <cellStyle name="Normal 5 10 7 3 7" xfId="33913" xr:uid="{00000000-0005-0000-0000-000079840000}"/>
    <cellStyle name="Normal 5 10 7 3 8" xfId="33914" xr:uid="{00000000-0005-0000-0000-00007A840000}"/>
    <cellStyle name="Normal 5 10 7 3 9" xfId="33915" xr:uid="{00000000-0005-0000-0000-00007B840000}"/>
    <cellStyle name="Normal 5 10 7 4" xfId="33916" xr:uid="{00000000-0005-0000-0000-00007C840000}"/>
    <cellStyle name="Normal 5 10 7 4 10" xfId="33917" xr:uid="{00000000-0005-0000-0000-00007D840000}"/>
    <cellStyle name="Normal 5 10 7 4 2" xfId="33918" xr:uid="{00000000-0005-0000-0000-00007E840000}"/>
    <cellStyle name="Normal 5 10 7 4 3" xfId="33919" xr:uid="{00000000-0005-0000-0000-00007F840000}"/>
    <cellStyle name="Normal 5 10 7 4 4" xfId="33920" xr:uid="{00000000-0005-0000-0000-000080840000}"/>
    <cellStyle name="Normal 5 10 7 4 5" xfId="33921" xr:uid="{00000000-0005-0000-0000-000081840000}"/>
    <cellStyle name="Normal 5 10 7 4 6" xfId="33922" xr:uid="{00000000-0005-0000-0000-000082840000}"/>
    <cellStyle name="Normal 5 10 7 4 7" xfId="33923" xr:uid="{00000000-0005-0000-0000-000083840000}"/>
    <cellStyle name="Normal 5 10 7 4 8" xfId="33924" xr:uid="{00000000-0005-0000-0000-000084840000}"/>
    <cellStyle name="Normal 5 10 7 4 9" xfId="33925" xr:uid="{00000000-0005-0000-0000-000085840000}"/>
    <cellStyle name="Normal 5 10 7 5" xfId="33926" xr:uid="{00000000-0005-0000-0000-000086840000}"/>
    <cellStyle name="Normal 5 10 7 5 10" xfId="33927" xr:uid="{00000000-0005-0000-0000-000087840000}"/>
    <cellStyle name="Normal 5 10 7 5 2" xfId="33928" xr:uid="{00000000-0005-0000-0000-000088840000}"/>
    <cellStyle name="Normal 5 10 7 5 3" xfId="33929" xr:uid="{00000000-0005-0000-0000-000089840000}"/>
    <cellStyle name="Normal 5 10 7 5 4" xfId="33930" xr:uid="{00000000-0005-0000-0000-00008A840000}"/>
    <cellStyle name="Normal 5 10 7 5 5" xfId="33931" xr:uid="{00000000-0005-0000-0000-00008B840000}"/>
    <cellStyle name="Normal 5 10 7 5 6" xfId="33932" xr:uid="{00000000-0005-0000-0000-00008C840000}"/>
    <cellStyle name="Normal 5 10 7 5 7" xfId="33933" xr:uid="{00000000-0005-0000-0000-00008D840000}"/>
    <cellStyle name="Normal 5 10 7 5 8" xfId="33934" xr:uid="{00000000-0005-0000-0000-00008E840000}"/>
    <cellStyle name="Normal 5 10 7 5 9" xfId="33935" xr:uid="{00000000-0005-0000-0000-00008F840000}"/>
    <cellStyle name="Normal 5 10 7 6" xfId="33936" xr:uid="{00000000-0005-0000-0000-000090840000}"/>
    <cellStyle name="Normal 5 10 7 7" xfId="33937" xr:uid="{00000000-0005-0000-0000-000091840000}"/>
    <cellStyle name="Normal 5 10 7 8" xfId="33938" xr:uid="{00000000-0005-0000-0000-000092840000}"/>
    <cellStyle name="Normal 5 10 7 9" xfId="33939" xr:uid="{00000000-0005-0000-0000-000093840000}"/>
    <cellStyle name="Normal 5 10 8" xfId="33940" xr:uid="{00000000-0005-0000-0000-000094840000}"/>
    <cellStyle name="Normal 5 10 8 10" xfId="33941" xr:uid="{00000000-0005-0000-0000-000095840000}"/>
    <cellStyle name="Normal 5 10 8 11" xfId="33942" xr:uid="{00000000-0005-0000-0000-000096840000}"/>
    <cellStyle name="Normal 5 10 8 12" xfId="33943" xr:uid="{00000000-0005-0000-0000-000097840000}"/>
    <cellStyle name="Normal 5 10 8 13" xfId="33944" xr:uid="{00000000-0005-0000-0000-000098840000}"/>
    <cellStyle name="Normal 5 10 8 14" xfId="33945" xr:uid="{00000000-0005-0000-0000-000099840000}"/>
    <cellStyle name="Normal 5 10 8 2" xfId="33946" xr:uid="{00000000-0005-0000-0000-00009A840000}"/>
    <cellStyle name="Normal 5 10 8 2 10" xfId="33947" xr:uid="{00000000-0005-0000-0000-00009B840000}"/>
    <cellStyle name="Normal 5 10 8 2 2" xfId="33948" xr:uid="{00000000-0005-0000-0000-00009C840000}"/>
    <cellStyle name="Normal 5 10 8 2 3" xfId="33949" xr:uid="{00000000-0005-0000-0000-00009D840000}"/>
    <cellStyle name="Normal 5 10 8 2 4" xfId="33950" xr:uid="{00000000-0005-0000-0000-00009E840000}"/>
    <cellStyle name="Normal 5 10 8 2 5" xfId="33951" xr:uid="{00000000-0005-0000-0000-00009F840000}"/>
    <cellStyle name="Normal 5 10 8 2 6" xfId="33952" xr:uid="{00000000-0005-0000-0000-0000A0840000}"/>
    <cellStyle name="Normal 5 10 8 2 7" xfId="33953" xr:uid="{00000000-0005-0000-0000-0000A1840000}"/>
    <cellStyle name="Normal 5 10 8 2 8" xfId="33954" xr:uid="{00000000-0005-0000-0000-0000A2840000}"/>
    <cellStyle name="Normal 5 10 8 2 9" xfId="33955" xr:uid="{00000000-0005-0000-0000-0000A3840000}"/>
    <cellStyle name="Normal 5 10 8 3" xfId="33956" xr:uid="{00000000-0005-0000-0000-0000A4840000}"/>
    <cellStyle name="Normal 5 10 8 3 10" xfId="33957" xr:uid="{00000000-0005-0000-0000-0000A5840000}"/>
    <cellStyle name="Normal 5 10 8 3 2" xfId="33958" xr:uid="{00000000-0005-0000-0000-0000A6840000}"/>
    <cellStyle name="Normal 5 10 8 3 3" xfId="33959" xr:uid="{00000000-0005-0000-0000-0000A7840000}"/>
    <cellStyle name="Normal 5 10 8 3 4" xfId="33960" xr:uid="{00000000-0005-0000-0000-0000A8840000}"/>
    <cellStyle name="Normal 5 10 8 3 5" xfId="33961" xr:uid="{00000000-0005-0000-0000-0000A9840000}"/>
    <cellStyle name="Normal 5 10 8 3 6" xfId="33962" xr:uid="{00000000-0005-0000-0000-0000AA840000}"/>
    <cellStyle name="Normal 5 10 8 3 7" xfId="33963" xr:uid="{00000000-0005-0000-0000-0000AB840000}"/>
    <cellStyle name="Normal 5 10 8 3 8" xfId="33964" xr:uid="{00000000-0005-0000-0000-0000AC840000}"/>
    <cellStyle name="Normal 5 10 8 3 9" xfId="33965" xr:uid="{00000000-0005-0000-0000-0000AD840000}"/>
    <cellStyle name="Normal 5 10 8 4" xfId="33966" xr:uid="{00000000-0005-0000-0000-0000AE840000}"/>
    <cellStyle name="Normal 5 10 8 4 10" xfId="33967" xr:uid="{00000000-0005-0000-0000-0000AF840000}"/>
    <cellStyle name="Normal 5 10 8 4 2" xfId="33968" xr:uid="{00000000-0005-0000-0000-0000B0840000}"/>
    <cellStyle name="Normal 5 10 8 4 3" xfId="33969" xr:uid="{00000000-0005-0000-0000-0000B1840000}"/>
    <cellStyle name="Normal 5 10 8 4 4" xfId="33970" xr:uid="{00000000-0005-0000-0000-0000B2840000}"/>
    <cellStyle name="Normal 5 10 8 4 5" xfId="33971" xr:uid="{00000000-0005-0000-0000-0000B3840000}"/>
    <cellStyle name="Normal 5 10 8 4 6" xfId="33972" xr:uid="{00000000-0005-0000-0000-0000B4840000}"/>
    <cellStyle name="Normal 5 10 8 4 7" xfId="33973" xr:uid="{00000000-0005-0000-0000-0000B5840000}"/>
    <cellStyle name="Normal 5 10 8 4 8" xfId="33974" xr:uid="{00000000-0005-0000-0000-0000B6840000}"/>
    <cellStyle name="Normal 5 10 8 4 9" xfId="33975" xr:uid="{00000000-0005-0000-0000-0000B7840000}"/>
    <cellStyle name="Normal 5 10 8 5" xfId="33976" xr:uid="{00000000-0005-0000-0000-0000B8840000}"/>
    <cellStyle name="Normal 5 10 8 5 10" xfId="33977" xr:uid="{00000000-0005-0000-0000-0000B9840000}"/>
    <cellStyle name="Normal 5 10 8 5 2" xfId="33978" xr:uid="{00000000-0005-0000-0000-0000BA840000}"/>
    <cellStyle name="Normal 5 10 8 5 3" xfId="33979" xr:uid="{00000000-0005-0000-0000-0000BB840000}"/>
    <cellStyle name="Normal 5 10 8 5 4" xfId="33980" xr:uid="{00000000-0005-0000-0000-0000BC840000}"/>
    <cellStyle name="Normal 5 10 8 5 5" xfId="33981" xr:uid="{00000000-0005-0000-0000-0000BD840000}"/>
    <cellStyle name="Normal 5 10 8 5 6" xfId="33982" xr:uid="{00000000-0005-0000-0000-0000BE840000}"/>
    <cellStyle name="Normal 5 10 8 5 7" xfId="33983" xr:uid="{00000000-0005-0000-0000-0000BF840000}"/>
    <cellStyle name="Normal 5 10 8 5 8" xfId="33984" xr:uid="{00000000-0005-0000-0000-0000C0840000}"/>
    <cellStyle name="Normal 5 10 8 5 9" xfId="33985" xr:uid="{00000000-0005-0000-0000-0000C1840000}"/>
    <cellStyle name="Normal 5 10 8 6" xfId="33986" xr:uid="{00000000-0005-0000-0000-0000C2840000}"/>
    <cellStyle name="Normal 5 10 8 7" xfId="33987" xr:uid="{00000000-0005-0000-0000-0000C3840000}"/>
    <cellStyle name="Normal 5 10 8 8" xfId="33988" xr:uid="{00000000-0005-0000-0000-0000C4840000}"/>
    <cellStyle name="Normal 5 10 8 9" xfId="33989" xr:uid="{00000000-0005-0000-0000-0000C5840000}"/>
    <cellStyle name="Normal 5 10 9" xfId="33990" xr:uid="{00000000-0005-0000-0000-0000C6840000}"/>
    <cellStyle name="Normal 5 10 9 10" xfId="33991" xr:uid="{00000000-0005-0000-0000-0000C7840000}"/>
    <cellStyle name="Normal 5 10 9 11" xfId="33992" xr:uid="{00000000-0005-0000-0000-0000C8840000}"/>
    <cellStyle name="Normal 5 10 9 12" xfId="33993" xr:uid="{00000000-0005-0000-0000-0000C9840000}"/>
    <cellStyle name="Normal 5 10 9 13" xfId="33994" xr:uid="{00000000-0005-0000-0000-0000CA840000}"/>
    <cellStyle name="Normal 5 10 9 14" xfId="33995" xr:uid="{00000000-0005-0000-0000-0000CB840000}"/>
    <cellStyle name="Normal 5 10 9 2" xfId="33996" xr:uid="{00000000-0005-0000-0000-0000CC840000}"/>
    <cellStyle name="Normal 5 10 9 2 10" xfId="33997" xr:uid="{00000000-0005-0000-0000-0000CD840000}"/>
    <cellStyle name="Normal 5 10 9 2 2" xfId="33998" xr:uid="{00000000-0005-0000-0000-0000CE840000}"/>
    <cellStyle name="Normal 5 10 9 2 3" xfId="33999" xr:uid="{00000000-0005-0000-0000-0000CF840000}"/>
    <cellStyle name="Normal 5 10 9 2 4" xfId="34000" xr:uid="{00000000-0005-0000-0000-0000D0840000}"/>
    <cellStyle name="Normal 5 10 9 2 5" xfId="34001" xr:uid="{00000000-0005-0000-0000-0000D1840000}"/>
    <cellStyle name="Normal 5 10 9 2 6" xfId="34002" xr:uid="{00000000-0005-0000-0000-0000D2840000}"/>
    <cellStyle name="Normal 5 10 9 2 7" xfId="34003" xr:uid="{00000000-0005-0000-0000-0000D3840000}"/>
    <cellStyle name="Normal 5 10 9 2 8" xfId="34004" xr:uid="{00000000-0005-0000-0000-0000D4840000}"/>
    <cellStyle name="Normal 5 10 9 2 9" xfId="34005" xr:uid="{00000000-0005-0000-0000-0000D5840000}"/>
    <cellStyle name="Normal 5 10 9 3" xfId="34006" xr:uid="{00000000-0005-0000-0000-0000D6840000}"/>
    <cellStyle name="Normal 5 10 9 3 10" xfId="34007" xr:uid="{00000000-0005-0000-0000-0000D7840000}"/>
    <cellStyle name="Normal 5 10 9 3 2" xfId="34008" xr:uid="{00000000-0005-0000-0000-0000D8840000}"/>
    <cellStyle name="Normal 5 10 9 3 3" xfId="34009" xr:uid="{00000000-0005-0000-0000-0000D9840000}"/>
    <cellStyle name="Normal 5 10 9 3 4" xfId="34010" xr:uid="{00000000-0005-0000-0000-0000DA840000}"/>
    <cellStyle name="Normal 5 10 9 3 5" xfId="34011" xr:uid="{00000000-0005-0000-0000-0000DB840000}"/>
    <cellStyle name="Normal 5 10 9 3 6" xfId="34012" xr:uid="{00000000-0005-0000-0000-0000DC840000}"/>
    <cellStyle name="Normal 5 10 9 3 7" xfId="34013" xr:uid="{00000000-0005-0000-0000-0000DD840000}"/>
    <cellStyle name="Normal 5 10 9 3 8" xfId="34014" xr:uid="{00000000-0005-0000-0000-0000DE840000}"/>
    <cellStyle name="Normal 5 10 9 3 9" xfId="34015" xr:uid="{00000000-0005-0000-0000-0000DF840000}"/>
    <cellStyle name="Normal 5 10 9 4" xfId="34016" xr:uid="{00000000-0005-0000-0000-0000E0840000}"/>
    <cellStyle name="Normal 5 10 9 4 10" xfId="34017" xr:uid="{00000000-0005-0000-0000-0000E1840000}"/>
    <cellStyle name="Normal 5 10 9 4 2" xfId="34018" xr:uid="{00000000-0005-0000-0000-0000E2840000}"/>
    <cellStyle name="Normal 5 10 9 4 3" xfId="34019" xr:uid="{00000000-0005-0000-0000-0000E3840000}"/>
    <cellStyle name="Normal 5 10 9 4 4" xfId="34020" xr:uid="{00000000-0005-0000-0000-0000E4840000}"/>
    <cellStyle name="Normal 5 10 9 4 5" xfId="34021" xr:uid="{00000000-0005-0000-0000-0000E5840000}"/>
    <cellStyle name="Normal 5 10 9 4 6" xfId="34022" xr:uid="{00000000-0005-0000-0000-0000E6840000}"/>
    <cellStyle name="Normal 5 10 9 4 7" xfId="34023" xr:uid="{00000000-0005-0000-0000-0000E7840000}"/>
    <cellStyle name="Normal 5 10 9 4 8" xfId="34024" xr:uid="{00000000-0005-0000-0000-0000E8840000}"/>
    <cellStyle name="Normal 5 10 9 4 9" xfId="34025" xr:uid="{00000000-0005-0000-0000-0000E9840000}"/>
    <cellStyle name="Normal 5 10 9 5" xfId="34026" xr:uid="{00000000-0005-0000-0000-0000EA840000}"/>
    <cellStyle name="Normal 5 10 9 5 10" xfId="34027" xr:uid="{00000000-0005-0000-0000-0000EB840000}"/>
    <cellStyle name="Normal 5 10 9 5 2" xfId="34028" xr:uid="{00000000-0005-0000-0000-0000EC840000}"/>
    <cellStyle name="Normal 5 10 9 5 3" xfId="34029" xr:uid="{00000000-0005-0000-0000-0000ED840000}"/>
    <cellStyle name="Normal 5 10 9 5 4" xfId="34030" xr:uid="{00000000-0005-0000-0000-0000EE840000}"/>
    <cellStyle name="Normal 5 10 9 5 5" xfId="34031" xr:uid="{00000000-0005-0000-0000-0000EF840000}"/>
    <cellStyle name="Normal 5 10 9 5 6" xfId="34032" xr:uid="{00000000-0005-0000-0000-0000F0840000}"/>
    <cellStyle name="Normal 5 10 9 5 7" xfId="34033" xr:uid="{00000000-0005-0000-0000-0000F1840000}"/>
    <cellStyle name="Normal 5 10 9 5 8" xfId="34034" xr:uid="{00000000-0005-0000-0000-0000F2840000}"/>
    <cellStyle name="Normal 5 10 9 5 9" xfId="34035" xr:uid="{00000000-0005-0000-0000-0000F3840000}"/>
    <cellStyle name="Normal 5 10 9 6" xfId="34036" xr:uid="{00000000-0005-0000-0000-0000F4840000}"/>
    <cellStyle name="Normal 5 10 9 7" xfId="34037" xr:uid="{00000000-0005-0000-0000-0000F5840000}"/>
    <cellStyle name="Normal 5 10 9 8" xfId="34038" xr:uid="{00000000-0005-0000-0000-0000F6840000}"/>
    <cellStyle name="Normal 5 10 9 9" xfId="34039" xr:uid="{00000000-0005-0000-0000-0000F7840000}"/>
    <cellStyle name="Normal 5 11" xfId="34040" xr:uid="{00000000-0005-0000-0000-0000F8840000}"/>
    <cellStyle name="Normal 5 11 2" xfId="34041" xr:uid="{00000000-0005-0000-0000-0000F9840000}"/>
    <cellStyle name="Normal 5 11 2 2" xfId="34042" xr:uid="{00000000-0005-0000-0000-0000FA840000}"/>
    <cellStyle name="Normal 5 11 3" xfId="34043" xr:uid="{00000000-0005-0000-0000-0000FB840000}"/>
    <cellStyle name="Normal 5 11 4" xfId="34044" xr:uid="{00000000-0005-0000-0000-0000FC840000}"/>
    <cellStyle name="Normal 5 12" xfId="34045" xr:uid="{00000000-0005-0000-0000-0000FD840000}"/>
    <cellStyle name="Normal 5 12 2" xfId="34046" xr:uid="{00000000-0005-0000-0000-0000FE840000}"/>
    <cellStyle name="Normal 5 12 2 2" xfId="34047" xr:uid="{00000000-0005-0000-0000-0000FF840000}"/>
    <cellStyle name="Normal 5 12 3" xfId="34048" xr:uid="{00000000-0005-0000-0000-000000850000}"/>
    <cellStyle name="Normal 5 12 4" xfId="34049" xr:uid="{00000000-0005-0000-0000-000001850000}"/>
    <cellStyle name="Normal 5 13" xfId="34050" xr:uid="{00000000-0005-0000-0000-000002850000}"/>
    <cellStyle name="Normal 5 13 2" xfId="34051" xr:uid="{00000000-0005-0000-0000-000003850000}"/>
    <cellStyle name="Normal 5 13 2 2" xfId="34052" xr:uid="{00000000-0005-0000-0000-000004850000}"/>
    <cellStyle name="Normal 5 13 3" xfId="34053" xr:uid="{00000000-0005-0000-0000-000005850000}"/>
    <cellStyle name="Normal 5 13 4" xfId="34054" xr:uid="{00000000-0005-0000-0000-000006850000}"/>
    <cellStyle name="Normal 5 14" xfId="34055" xr:uid="{00000000-0005-0000-0000-000007850000}"/>
    <cellStyle name="Normal 5 14 2" xfId="34056" xr:uid="{00000000-0005-0000-0000-000008850000}"/>
    <cellStyle name="Normal 5 14 2 2" xfId="34057" xr:uid="{00000000-0005-0000-0000-000009850000}"/>
    <cellStyle name="Normal 5 14 3" xfId="34058" xr:uid="{00000000-0005-0000-0000-00000A850000}"/>
    <cellStyle name="Normal 5 14 4" xfId="34059" xr:uid="{00000000-0005-0000-0000-00000B850000}"/>
    <cellStyle name="Normal 5 15" xfId="34060" xr:uid="{00000000-0005-0000-0000-00000C850000}"/>
    <cellStyle name="Normal 5 15 2" xfId="34061" xr:uid="{00000000-0005-0000-0000-00000D850000}"/>
    <cellStyle name="Normal 5 15 2 2" xfId="34062" xr:uid="{00000000-0005-0000-0000-00000E850000}"/>
    <cellStyle name="Normal 5 15 3" xfId="34063" xr:uid="{00000000-0005-0000-0000-00000F850000}"/>
    <cellStyle name="Normal 5 15 4" xfId="34064" xr:uid="{00000000-0005-0000-0000-000010850000}"/>
    <cellStyle name="Normal 5 16" xfId="34065" xr:uid="{00000000-0005-0000-0000-000011850000}"/>
    <cellStyle name="Normal 5 16 2" xfId="34066" xr:uid="{00000000-0005-0000-0000-000012850000}"/>
    <cellStyle name="Normal 5 16 2 2" xfId="34067" xr:uid="{00000000-0005-0000-0000-000013850000}"/>
    <cellStyle name="Normal 5 16 3" xfId="34068" xr:uid="{00000000-0005-0000-0000-000014850000}"/>
    <cellStyle name="Normal 5 16 4" xfId="34069" xr:uid="{00000000-0005-0000-0000-000015850000}"/>
    <cellStyle name="Normal 5 17" xfId="34070" xr:uid="{00000000-0005-0000-0000-000016850000}"/>
    <cellStyle name="Normal 5 17 10" xfId="34071" xr:uid="{00000000-0005-0000-0000-000017850000}"/>
    <cellStyle name="Normal 5 17 10 10" xfId="34072" xr:uid="{00000000-0005-0000-0000-000018850000}"/>
    <cellStyle name="Normal 5 17 10 11" xfId="34073" xr:uid="{00000000-0005-0000-0000-000019850000}"/>
    <cellStyle name="Normal 5 17 10 12" xfId="34074" xr:uid="{00000000-0005-0000-0000-00001A850000}"/>
    <cellStyle name="Normal 5 17 10 13" xfId="34075" xr:uid="{00000000-0005-0000-0000-00001B850000}"/>
    <cellStyle name="Normal 5 17 10 14" xfId="34076" xr:uid="{00000000-0005-0000-0000-00001C850000}"/>
    <cellStyle name="Normal 5 17 10 2" xfId="34077" xr:uid="{00000000-0005-0000-0000-00001D850000}"/>
    <cellStyle name="Normal 5 17 10 2 10" xfId="34078" xr:uid="{00000000-0005-0000-0000-00001E850000}"/>
    <cellStyle name="Normal 5 17 10 2 2" xfId="34079" xr:uid="{00000000-0005-0000-0000-00001F850000}"/>
    <cellStyle name="Normal 5 17 10 2 3" xfId="34080" xr:uid="{00000000-0005-0000-0000-000020850000}"/>
    <cellStyle name="Normal 5 17 10 2 4" xfId="34081" xr:uid="{00000000-0005-0000-0000-000021850000}"/>
    <cellStyle name="Normal 5 17 10 2 5" xfId="34082" xr:uid="{00000000-0005-0000-0000-000022850000}"/>
    <cellStyle name="Normal 5 17 10 2 6" xfId="34083" xr:uid="{00000000-0005-0000-0000-000023850000}"/>
    <cellStyle name="Normal 5 17 10 2 7" xfId="34084" xr:uid="{00000000-0005-0000-0000-000024850000}"/>
    <cellStyle name="Normal 5 17 10 2 8" xfId="34085" xr:uid="{00000000-0005-0000-0000-000025850000}"/>
    <cellStyle name="Normal 5 17 10 2 9" xfId="34086" xr:uid="{00000000-0005-0000-0000-000026850000}"/>
    <cellStyle name="Normal 5 17 10 3" xfId="34087" xr:uid="{00000000-0005-0000-0000-000027850000}"/>
    <cellStyle name="Normal 5 17 10 3 10" xfId="34088" xr:uid="{00000000-0005-0000-0000-000028850000}"/>
    <cellStyle name="Normal 5 17 10 3 2" xfId="34089" xr:uid="{00000000-0005-0000-0000-000029850000}"/>
    <cellStyle name="Normal 5 17 10 3 3" xfId="34090" xr:uid="{00000000-0005-0000-0000-00002A850000}"/>
    <cellStyle name="Normal 5 17 10 3 4" xfId="34091" xr:uid="{00000000-0005-0000-0000-00002B850000}"/>
    <cellStyle name="Normal 5 17 10 3 5" xfId="34092" xr:uid="{00000000-0005-0000-0000-00002C850000}"/>
    <cellStyle name="Normal 5 17 10 3 6" xfId="34093" xr:uid="{00000000-0005-0000-0000-00002D850000}"/>
    <cellStyle name="Normal 5 17 10 3 7" xfId="34094" xr:uid="{00000000-0005-0000-0000-00002E850000}"/>
    <cellStyle name="Normal 5 17 10 3 8" xfId="34095" xr:uid="{00000000-0005-0000-0000-00002F850000}"/>
    <cellStyle name="Normal 5 17 10 3 9" xfId="34096" xr:uid="{00000000-0005-0000-0000-000030850000}"/>
    <cellStyle name="Normal 5 17 10 4" xfId="34097" xr:uid="{00000000-0005-0000-0000-000031850000}"/>
    <cellStyle name="Normal 5 17 10 4 10" xfId="34098" xr:uid="{00000000-0005-0000-0000-000032850000}"/>
    <cellStyle name="Normal 5 17 10 4 2" xfId="34099" xr:uid="{00000000-0005-0000-0000-000033850000}"/>
    <cellStyle name="Normal 5 17 10 4 3" xfId="34100" xr:uid="{00000000-0005-0000-0000-000034850000}"/>
    <cellStyle name="Normal 5 17 10 4 4" xfId="34101" xr:uid="{00000000-0005-0000-0000-000035850000}"/>
    <cellStyle name="Normal 5 17 10 4 5" xfId="34102" xr:uid="{00000000-0005-0000-0000-000036850000}"/>
    <cellStyle name="Normal 5 17 10 4 6" xfId="34103" xr:uid="{00000000-0005-0000-0000-000037850000}"/>
    <cellStyle name="Normal 5 17 10 4 7" xfId="34104" xr:uid="{00000000-0005-0000-0000-000038850000}"/>
    <cellStyle name="Normal 5 17 10 4 8" xfId="34105" xr:uid="{00000000-0005-0000-0000-000039850000}"/>
    <cellStyle name="Normal 5 17 10 4 9" xfId="34106" xr:uid="{00000000-0005-0000-0000-00003A850000}"/>
    <cellStyle name="Normal 5 17 10 5" xfId="34107" xr:uid="{00000000-0005-0000-0000-00003B850000}"/>
    <cellStyle name="Normal 5 17 10 5 10" xfId="34108" xr:uid="{00000000-0005-0000-0000-00003C850000}"/>
    <cellStyle name="Normal 5 17 10 5 2" xfId="34109" xr:uid="{00000000-0005-0000-0000-00003D850000}"/>
    <cellStyle name="Normal 5 17 10 5 3" xfId="34110" xr:uid="{00000000-0005-0000-0000-00003E850000}"/>
    <cellStyle name="Normal 5 17 10 5 4" xfId="34111" xr:uid="{00000000-0005-0000-0000-00003F850000}"/>
    <cellStyle name="Normal 5 17 10 5 5" xfId="34112" xr:uid="{00000000-0005-0000-0000-000040850000}"/>
    <cellStyle name="Normal 5 17 10 5 6" xfId="34113" xr:uid="{00000000-0005-0000-0000-000041850000}"/>
    <cellStyle name="Normal 5 17 10 5 7" xfId="34114" xr:uid="{00000000-0005-0000-0000-000042850000}"/>
    <cellStyle name="Normal 5 17 10 5 8" xfId="34115" xr:uid="{00000000-0005-0000-0000-000043850000}"/>
    <cellStyle name="Normal 5 17 10 5 9" xfId="34116" xr:uid="{00000000-0005-0000-0000-000044850000}"/>
    <cellStyle name="Normal 5 17 10 6" xfId="34117" xr:uid="{00000000-0005-0000-0000-000045850000}"/>
    <cellStyle name="Normal 5 17 10 7" xfId="34118" xr:uid="{00000000-0005-0000-0000-000046850000}"/>
    <cellStyle name="Normal 5 17 10 8" xfId="34119" xr:uid="{00000000-0005-0000-0000-000047850000}"/>
    <cellStyle name="Normal 5 17 10 9" xfId="34120" xr:uid="{00000000-0005-0000-0000-000048850000}"/>
    <cellStyle name="Normal 5 17 11" xfId="34121" xr:uid="{00000000-0005-0000-0000-000049850000}"/>
    <cellStyle name="Normal 5 17 11 10" xfId="34122" xr:uid="{00000000-0005-0000-0000-00004A850000}"/>
    <cellStyle name="Normal 5 17 11 11" xfId="34123" xr:uid="{00000000-0005-0000-0000-00004B850000}"/>
    <cellStyle name="Normal 5 17 11 12" xfId="34124" xr:uid="{00000000-0005-0000-0000-00004C850000}"/>
    <cellStyle name="Normal 5 17 11 13" xfId="34125" xr:uid="{00000000-0005-0000-0000-00004D850000}"/>
    <cellStyle name="Normal 5 17 11 14" xfId="34126" xr:uid="{00000000-0005-0000-0000-00004E850000}"/>
    <cellStyle name="Normal 5 17 11 2" xfId="34127" xr:uid="{00000000-0005-0000-0000-00004F850000}"/>
    <cellStyle name="Normal 5 17 11 2 10" xfId="34128" xr:uid="{00000000-0005-0000-0000-000050850000}"/>
    <cellStyle name="Normal 5 17 11 2 2" xfId="34129" xr:uid="{00000000-0005-0000-0000-000051850000}"/>
    <cellStyle name="Normal 5 17 11 2 3" xfId="34130" xr:uid="{00000000-0005-0000-0000-000052850000}"/>
    <cellStyle name="Normal 5 17 11 2 4" xfId="34131" xr:uid="{00000000-0005-0000-0000-000053850000}"/>
    <cellStyle name="Normal 5 17 11 2 5" xfId="34132" xr:uid="{00000000-0005-0000-0000-000054850000}"/>
    <cellStyle name="Normal 5 17 11 2 6" xfId="34133" xr:uid="{00000000-0005-0000-0000-000055850000}"/>
    <cellStyle name="Normal 5 17 11 2 7" xfId="34134" xr:uid="{00000000-0005-0000-0000-000056850000}"/>
    <cellStyle name="Normal 5 17 11 2 8" xfId="34135" xr:uid="{00000000-0005-0000-0000-000057850000}"/>
    <cellStyle name="Normal 5 17 11 2 9" xfId="34136" xr:uid="{00000000-0005-0000-0000-000058850000}"/>
    <cellStyle name="Normal 5 17 11 3" xfId="34137" xr:uid="{00000000-0005-0000-0000-000059850000}"/>
    <cellStyle name="Normal 5 17 11 3 10" xfId="34138" xr:uid="{00000000-0005-0000-0000-00005A850000}"/>
    <cellStyle name="Normal 5 17 11 3 2" xfId="34139" xr:uid="{00000000-0005-0000-0000-00005B850000}"/>
    <cellStyle name="Normal 5 17 11 3 3" xfId="34140" xr:uid="{00000000-0005-0000-0000-00005C850000}"/>
    <cellStyle name="Normal 5 17 11 3 4" xfId="34141" xr:uid="{00000000-0005-0000-0000-00005D850000}"/>
    <cellStyle name="Normal 5 17 11 3 5" xfId="34142" xr:uid="{00000000-0005-0000-0000-00005E850000}"/>
    <cellStyle name="Normal 5 17 11 3 6" xfId="34143" xr:uid="{00000000-0005-0000-0000-00005F850000}"/>
    <cellStyle name="Normal 5 17 11 3 7" xfId="34144" xr:uid="{00000000-0005-0000-0000-000060850000}"/>
    <cellStyle name="Normal 5 17 11 3 8" xfId="34145" xr:uid="{00000000-0005-0000-0000-000061850000}"/>
    <cellStyle name="Normal 5 17 11 3 9" xfId="34146" xr:uid="{00000000-0005-0000-0000-000062850000}"/>
    <cellStyle name="Normal 5 17 11 4" xfId="34147" xr:uid="{00000000-0005-0000-0000-000063850000}"/>
    <cellStyle name="Normal 5 17 11 4 10" xfId="34148" xr:uid="{00000000-0005-0000-0000-000064850000}"/>
    <cellStyle name="Normal 5 17 11 4 2" xfId="34149" xr:uid="{00000000-0005-0000-0000-000065850000}"/>
    <cellStyle name="Normal 5 17 11 4 3" xfId="34150" xr:uid="{00000000-0005-0000-0000-000066850000}"/>
    <cellStyle name="Normal 5 17 11 4 4" xfId="34151" xr:uid="{00000000-0005-0000-0000-000067850000}"/>
    <cellStyle name="Normal 5 17 11 4 5" xfId="34152" xr:uid="{00000000-0005-0000-0000-000068850000}"/>
    <cellStyle name="Normal 5 17 11 4 6" xfId="34153" xr:uid="{00000000-0005-0000-0000-000069850000}"/>
    <cellStyle name="Normal 5 17 11 4 7" xfId="34154" xr:uid="{00000000-0005-0000-0000-00006A850000}"/>
    <cellStyle name="Normal 5 17 11 4 8" xfId="34155" xr:uid="{00000000-0005-0000-0000-00006B850000}"/>
    <cellStyle name="Normal 5 17 11 4 9" xfId="34156" xr:uid="{00000000-0005-0000-0000-00006C850000}"/>
    <cellStyle name="Normal 5 17 11 5" xfId="34157" xr:uid="{00000000-0005-0000-0000-00006D850000}"/>
    <cellStyle name="Normal 5 17 11 5 10" xfId="34158" xr:uid="{00000000-0005-0000-0000-00006E850000}"/>
    <cellStyle name="Normal 5 17 11 5 2" xfId="34159" xr:uid="{00000000-0005-0000-0000-00006F850000}"/>
    <cellStyle name="Normal 5 17 11 5 3" xfId="34160" xr:uid="{00000000-0005-0000-0000-000070850000}"/>
    <cellStyle name="Normal 5 17 11 5 4" xfId="34161" xr:uid="{00000000-0005-0000-0000-000071850000}"/>
    <cellStyle name="Normal 5 17 11 5 5" xfId="34162" xr:uid="{00000000-0005-0000-0000-000072850000}"/>
    <cellStyle name="Normal 5 17 11 5 6" xfId="34163" xr:uid="{00000000-0005-0000-0000-000073850000}"/>
    <cellStyle name="Normal 5 17 11 5 7" xfId="34164" xr:uid="{00000000-0005-0000-0000-000074850000}"/>
    <cellStyle name="Normal 5 17 11 5 8" xfId="34165" xr:uid="{00000000-0005-0000-0000-000075850000}"/>
    <cellStyle name="Normal 5 17 11 5 9" xfId="34166" xr:uid="{00000000-0005-0000-0000-000076850000}"/>
    <cellStyle name="Normal 5 17 11 6" xfId="34167" xr:uid="{00000000-0005-0000-0000-000077850000}"/>
    <cellStyle name="Normal 5 17 11 7" xfId="34168" xr:uid="{00000000-0005-0000-0000-000078850000}"/>
    <cellStyle name="Normal 5 17 11 8" xfId="34169" xr:uid="{00000000-0005-0000-0000-000079850000}"/>
    <cellStyle name="Normal 5 17 11 9" xfId="34170" xr:uid="{00000000-0005-0000-0000-00007A850000}"/>
    <cellStyle name="Normal 5 17 12" xfId="34171" xr:uid="{00000000-0005-0000-0000-00007B850000}"/>
    <cellStyle name="Normal 5 17 12 10" xfId="34172" xr:uid="{00000000-0005-0000-0000-00007C850000}"/>
    <cellStyle name="Normal 5 17 12 11" xfId="34173" xr:uid="{00000000-0005-0000-0000-00007D850000}"/>
    <cellStyle name="Normal 5 17 12 12" xfId="34174" xr:uid="{00000000-0005-0000-0000-00007E850000}"/>
    <cellStyle name="Normal 5 17 12 13" xfId="34175" xr:uid="{00000000-0005-0000-0000-00007F850000}"/>
    <cellStyle name="Normal 5 17 12 14" xfId="34176" xr:uid="{00000000-0005-0000-0000-000080850000}"/>
    <cellStyle name="Normal 5 17 12 2" xfId="34177" xr:uid="{00000000-0005-0000-0000-000081850000}"/>
    <cellStyle name="Normal 5 17 12 2 10" xfId="34178" xr:uid="{00000000-0005-0000-0000-000082850000}"/>
    <cellStyle name="Normal 5 17 12 2 2" xfId="34179" xr:uid="{00000000-0005-0000-0000-000083850000}"/>
    <cellStyle name="Normal 5 17 12 2 3" xfId="34180" xr:uid="{00000000-0005-0000-0000-000084850000}"/>
    <cellStyle name="Normal 5 17 12 2 4" xfId="34181" xr:uid="{00000000-0005-0000-0000-000085850000}"/>
    <cellStyle name="Normal 5 17 12 2 5" xfId="34182" xr:uid="{00000000-0005-0000-0000-000086850000}"/>
    <cellStyle name="Normal 5 17 12 2 6" xfId="34183" xr:uid="{00000000-0005-0000-0000-000087850000}"/>
    <cellStyle name="Normal 5 17 12 2 7" xfId="34184" xr:uid="{00000000-0005-0000-0000-000088850000}"/>
    <cellStyle name="Normal 5 17 12 2 8" xfId="34185" xr:uid="{00000000-0005-0000-0000-000089850000}"/>
    <cellStyle name="Normal 5 17 12 2 9" xfId="34186" xr:uid="{00000000-0005-0000-0000-00008A850000}"/>
    <cellStyle name="Normal 5 17 12 3" xfId="34187" xr:uid="{00000000-0005-0000-0000-00008B850000}"/>
    <cellStyle name="Normal 5 17 12 3 10" xfId="34188" xr:uid="{00000000-0005-0000-0000-00008C850000}"/>
    <cellStyle name="Normal 5 17 12 3 2" xfId="34189" xr:uid="{00000000-0005-0000-0000-00008D850000}"/>
    <cellStyle name="Normal 5 17 12 3 3" xfId="34190" xr:uid="{00000000-0005-0000-0000-00008E850000}"/>
    <cellStyle name="Normal 5 17 12 3 4" xfId="34191" xr:uid="{00000000-0005-0000-0000-00008F850000}"/>
    <cellStyle name="Normal 5 17 12 3 5" xfId="34192" xr:uid="{00000000-0005-0000-0000-000090850000}"/>
    <cellStyle name="Normal 5 17 12 3 6" xfId="34193" xr:uid="{00000000-0005-0000-0000-000091850000}"/>
    <cellStyle name="Normal 5 17 12 3 7" xfId="34194" xr:uid="{00000000-0005-0000-0000-000092850000}"/>
    <cellStyle name="Normal 5 17 12 3 8" xfId="34195" xr:uid="{00000000-0005-0000-0000-000093850000}"/>
    <cellStyle name="Normal 5 17 12 3 9" xfId="34196" xr:uid="{00000000-0005-0000-0000-000094850000}"/>
    <cellStyle name="Normal 5 17 12 4" xfId="34197" xr:uid="{00000000-0005-0000-0000-000095850000}"/>
    <cellStyle name="Normal 5 17 12 4 10" xfId="34198" xr:uid="{00000000-0005-0000-0000-000096850000}"/>
    <cellStyle name="Normal 5 17 12 4 2" xfId="34199" xr:uid="{00000000-0005-0000-0000-000097850000}"/>
    <cellStyle name="Normal 5 17 12 4 3" xfId="34200" xr:uid="{00000000-0005-0000-0000-000098850000}"/>
    <cellStyle name="Normal 5 17 12 4 4" xfId="34201" xr:uid="{00000000-0005-0000-0000-000099850000}"/>
    <cellStyle name="Normal 5 17 12 4 5" xfId="34202" xr:uid="{00000000-0005-0000-0000-00009A850000}"/>
    <cellStyle name="Normal 5 17 12 4 6" xfId="34203" xr:uid="{00000000-0005-0000-0000-00009B850000}"/>
    <cellStyle name="Normal 5 17 12 4 7" xfId="34204" xr:uid="{00000000-0005-0000-0000-00009C850000}"/>
    <cellStyle name="Normal 5 17 12 4 8" xfId="34205" xr:uid="{00000000-0005-0000-0000-00009D850000}"/>
    <cellStyle name="Normal 5 17 12 4 9" xfId="34206" xr:uid="{00000000-0005-0000-0000-00009E850000}"/>
    <cellStyle name="Normal 5 17 12 5" xfId="34207" xr:uid="{00000000-0005-0000-0000-00009F850000}"/>
    <cellStyle name="Normal 5 17 12 5 10" xfId="34208" xr:uid="{00000000-0005-0000-0000-0000A0850000}"/>
    <cellStyle name="Normal 5 17 12 5 2" xfId="34209" xr:uid="{00000000-0005-0000-0000-0000A1850000}"/>
    <cellStyle name="Normal 5 17 12 5 3" xfId="34210" xr:uid="{00000000-0005-0000-0000-0000A2850000}"/>
    <cellStyle name="Normal 5 17 12 5 4" xfId="34211" xr:uid="{00000000-0005-0000-0000-0000A3850000}"/>
    <cellStyle name="Normal 5 17 12 5 5" xfId="34212" xr:uid="{00000000-0005-0000-0000-0000A4850000}"/>
    <cellStyle name="Normal 5 17 12 5 6" xfId="34213" xr:uid="{00000000-0005-0000-0000-0000A5850000}"/>
    <cellStyle name="Normal 5 17 12 5 7" xfId="34214" xr:uid="{00000000-0005-0000-0000-0000A6850000}"/>
    <cellStyle name="Normal 5 17 12 5 8" xfId="34215" xr:uid="{00000000-0005-0000-0000-0000A7850000}"/>
    <cellStyle name="Normal 5 17 12 5 9" xfId="34216" xr:uid="{00000000-0005-0000-0000-0000A8850000}"/>
    <cellStyle name="Normal 5 17 12 6" xfId="34217" xr:uid="{00000000-0005-0000-0000-0000A9850000}"/>
    <cellStyle name="Normal 5 17 12 7" xfId="34218" xr:uid="{00000000-0005-0000-0000-0000AA850000}"/>
    <cellStyle name="Normal 5 17 12 8" xfId="34219" xr:uid="{00000000-0005-0000-0000-0000AB850000}"/>
    <cellStyle name="Normal 5 17 12 9" xfId="34220" xr:uid="{00000000-0005-0000-0000-0000AC850000}"/>
    <cellStyle name="Normal 5 17 13" xfId="34221" xr:uid="{00000000-0005-0000-0000-0000AD850000}"/>
    <cellStyle name="Normal 5 17 13 10" xfId="34222" xr:uid="{00000000-0005-0000-0000-0000AE850000}"/>
    <cellStyle name="Normal 5 17 13 11" xfId="34223" xr:uid="{00000000-0005-0000-0000-0000AF850000}"/>
    <cellStyle name="Normal 5 17 13 12" xfId="34224" xr:uid="{00000000-0005-0000-0000-0000B0850000}"/>
    <cellStyle name="Normal 5 17 13 13" xfId="34225" xr:uid="{00000000-0005-0000-0000-0000B1850000}"/>
    <cellStyle name="Normal 5 17 13 14" xfId="34226" xr:uid="{00000000-0005-0000-0000-0000B2850000}"/>
    <cellStyle name="Normal 5 17 13 2" xfId="34227" xr:uid="{00000000-0005-0000-0000-0000B3850000}"/>
    <cellStyle name="Normal 5 17 13 2 10" xfId="34228" xr:uid="{00000000-0005-0000-0000-0000B4850000}"/>
    <cellStyle name="Normal 5 17 13 2 2" xfId="34229" xr:uid="{00000000-0005-0000-0000-0000B5850000}"/>
    <cellStyle name="Normal 5 17 13 2 3" xfId="34230" xr:uid="{00000000-0005-0000-0000-0000B6850000}"/>
    <cellStyle name="Normal 5 17 13 2 4" xfId="34231" xr:uid="{00000000-0005-0000-0000-0000B7850000}"/>
    <cellStyle name="Normal 5 17 13 2 5" xfId="34232" xr:uid="{00000000-0005-0000-0000-0000B8850000}"/>
    <cellStyle name="Normal 5 17 13 2 6" xfId="34233" xr:uid="{00000000-0005-0000-0000-0000B9850000}"/>
    <cellStyle name="Normal 5 17 13 2 7" xfId="34234" xr:uid="{00000000-0005-0000-0000-0000BA850000}"/>
    <cellStyle name="Normal 5 17 13 2 8" xfId="34235" xr:uid="{00000000-0005-0000-0000-0000BB850000}"/>
    <cellStyle name="Normal 5 17 13 2 9" xfId="34236" xr:uid="{00000000-0005-0000-0000-0000BC850000}"/>
    <cellStyle name="Normal 5 17 13 3" xfId="34237" xr:uid="{00000000-0005-0000-0000-0000BD850000}"/>
    <cellStyle name="Normal 5 17 13 3 10" xfId="34238" xr:uid="{00000000-0005-0000-0000-0000BE850000}"/>
    <cellStyle name="Normal 5 17 13 3 2" xfId="34239" xr:uid="{00000000-0005-0000-0000-0000BF850000}"/>
    <cellStyle name="Normal 5 17 13 3 3" xfId="34240" xr:uid="{00000000-0005-0000-0000-0000C0850000}"/>
    <cellStyle name="Normal 5 17 13 3 4" xfId="34241" xr:uid="{00000000-0005-0000-0000-0000C1850000}"/>
    <cellStyle name="Normal 5 17 13 3 5" xfId="34242" xr:uid="{00000000-0005-0000-0000-0000C2850000}"/>
    <cellStyle name="Normal 5 17 13 3 6" xfId="34243" xr:uid="{00000000-0005-0000-0000-0000C3850000}"/>
    <cellStyle name="Normal 5 17 13 3 7" xfId="34244" xr:uid="{00000000-0005-0000-0000-0000C4850000}"/>
    <cellStyle name="Normal 5 17 13 3 8" xfId="34245" xr:uid="{00000000-0005-0000-0000-0000C5850000}"/>
    <cellStyle name="Normal 5 17 13 3 9" xfId="34246" xr:uid="{00000000-0005-0000-0000-0000C6850000}"/>
    <cellStyle name="Normal 5 17 13 4" xfId="34247" xr:uid="{00000000-0005-0000-0000-0000C7850000}"/>
    <cellStyle name="Normal 5 17 13 4 10" xfId="34248" xr:uid="{00000000-0005-0000-0000-0000C8850000}"/>
    <cellStyle name="Normal 5 17 13 4 2" xfId="34249" xr:uid="{00000000-0005-0000-0000-0000C9850000}"/>
    <cellStyle name="Normal 5 17 13 4 3" xfId="34250" xr:uid="{00000000-0005-0000-0000-0000CA850000}"/>
    <cellStyle name="Normal 5 17 13 4 4" xfId="34251" xr:uid="{00000000-0005-0000-0000-0000CB850000}"/>
    <cellStyle name="Normal 5 17 13 4 5" xfId="34252" xr:uid="{00000000-0005-0000-0000-0000CC850000}"/>
    <cellStyle name="Normal 5 17 13 4 6" xfId="34253" xr:uid="{00000000-0005-0000-0000-0000CD850000}"/>
    <cellStyle name="Normal 5 17 13 4 7" xfId="34254" xr:uid="{00000000-0005-0000-0000-0000CE850000}"/>
    <cellStyle name="Normal 5 17 13 4 8" xfId="34255" xr:uid="{00000000-0005-0000-0000-0000CF850000}"/>
    <cellStyle name="Normal 5 17 13 4 9" xfId="34256" xr:uid="{00000000-0005-0000-0000-0000D0850000}"/>
    <cellStyle name="Normal 5 17 13 5" xfId="34257" xr:uid="{00000000-0005-0000-0000-0000D1850000}"/>
    <cellStyle name="Normal 5 17 13 5 10" xfId="34258" xr:uid="{00000000-0005-0000-0000-0000D2850000}"/>
    <cellStyle name="Normal 5 17 13 5 2" xfId="34259" xr:uid="{00000000-0005-0000-0000-0000D3850000}"/>
    <cellStyle name="Normal 5 17 13 5 3" xfId="34260" xr:uid="{00000000-0005-0000-0000-0000D4850000}"/>
    <cellStyle name="Normal 5 17 13 5 4" xfId="34261" xr:uid="{00000000-0005-0000-0000-0000D5850000}"/>
    <cellStyle name="Normal 5 17 13 5 5" xfId="34262" xr:uid="{00000000-0005-0000-0000-0000D6850000}"/>
    <cellStyle name="Normal 5 17 13 5 6" xfId="34263" xr:uid="{00000000-0005-0000-0000-0000D7850000}"/>
    <cellStyle name="Normal 5 17 13 5 7" xfId="34264" xr:uid="{00000000-0005-0000-0000-0000D8850000}"/>
    <cellStyle name="Normal 5 17 13 5 8" xfId="34265" xr:uid="{00000000-0005-0000-0000-0000D9850000}"/>
    <cellStyle name="Normal 5 17 13 5 9" xfId="34266" xr:uid="{00000000-0005-0000-0000-0000DA850000}"/>
    <cellStyle name="Normal 5 17 13 6" xfId="34267" xr:uid="{00000000-0005-0000-0000-0000DB850000}"/>
    <cellStyle name="Normal 5 17 13 7" xfId="34268" xr:uid="{00000000-0005-0000-0000-0000DC850000}"/>
    <cellStyle name="Normal 5 17 13 8" xfId="34269" xr:uid="{00000000-0005-0000-0000-0000DD850000}"/>
    <cellStyle name="Normal 5 17 13 9" xfId="34270" xr:uid="{00000000-0005-0000-0000-0000DE850000}"/>
    <cellStyle name="Normal 5 17 14" xfId="34271" xr:uid="{00000000-0005-0000-0000-0000DF850000}"/>
    <cellStyle name="Normal 5 17 14 10" xfId="34272" xr:uid="{00000000-0005-0000-0000-0000E0850000}"/>
    <cellStyle name="Normal 5 17 14 11" xfId="34273" xr:uid="{00000000-0005-0000-0000-0000E1850000}"/>
    <cellStyle name="Normal 5 17 14 12" xfId="34274" xr:uid="{00000000-0005-0000-0000-0000E2850000}"/>
    <cellStyle name="Normal 5 17 14 13" xfId="34275" xr:uid="{00000000-0005-0000-0000-0000E3850000}"/>
    <cellStyle name="Normal 5 17 14 14" xfId="34276" xr:uid="{00000000-0005-0000-0000-0000E4850000}"/>
    <cellStyle name="Normal 5 17 14 2" xfId="34277" xr:uid="{00000000-0005-0000-0000-0000E5850000}"/>
    <cellStyle name="Normal 5 17 14 2 10" xfId="34278" xr:uid="{00000000-0005-0000-0000-0000E6850000}"/>
    <cellStyle name="Normal 5 17 14 2 2" xfId="34279" xr:uid="{00000000-0005-0000-0000-0000E7850000}"/>
    <cellStyle name="Normal 5 17 14 2 3" xfId="34280" xr:uid="{00000000-0005-0000-0000-0000E8850000}"/>
    <cellStyle name="Normal 5 17 14 2 4" xfId="34281" xr:uid="{00000000-0005-0000-0000-0000E9850000}"/>
    <cellStyle name="Normal 5 17 14 2 5" xfId="34282" xr:uid="{00000000-0005-0000-0000-0000EA850000}"/>
    <cellStyle name="Normal 5 17 14 2 6" xfId="34283" xr:uid="{00000000-0005-0000-0000-0000EB850000}"/>
    <cellStyle name="Normal 5 17 14 2 7" xfId="34284" xr:uid="{00000000-0005-0000-0000-0000EC850000}"/>
    <cellStyle name="Normal 5 17 14 2 8" xfId="34285" xr:uid="{00000000-0005-0000-0000-0000ED850000}"/>
    <cellStyle name="Normal 5 17 14 2 9" xfId="34286" xr:uid="{00000000-0005-0000-0000-0000EE850000}"/>
    <cellStyle name="Normal 5 17 14 3" xfId="34287" xr:uid="{00000000-0005-0000-0000-0000EF850000}"/>
    <cellStyle name="Normal 5 17 14 3 10" xfId="34288" xr:uid="{00000000-0005-0000-0000-0000F0850000}"/>
    <cellStyle name="Normal 5 17 14 3 2" xfId="34289" xr:uid="{00000000-0005-0000-0000-0000F1850000}"/>
    <cellStyle name="Normal 5 17 14 3 3" xfId="34290" xr:uid="{00000000-0005-0000-0000-0000F2850000}"/>
    <cellStyle name="Normal 5 17 14 3 4" xfId="34291" xr:uid="{00000000-0005-0000-0000-0000F3850000}"/>
    <cellStyle name="Normal 5 17 14 3 5" xfId="34292" xr:uid="{00000000-0005-0000-0000-0000F4850000}"/>
    <cellStyle name="Normal 5 17 14 3 6" xfId="34293" xr:uid="{00000000-0005-0000-0000-0000F5850000}"/>
    <cellStyle name="Normal 5 17 14 3 7" xfId="34294" xr:uid="{00000000-0005-0000-0000-0000F6850000}"/>
    <cellStyle name="Normal 5 17 14 3 8" xfId="34295" xr:uid="{00000000-0005-0000-0000-0000F7850000}"/>
    <cellStyle name="Normal 5 17 14 3 9" xfId="34296" xr:uid="{00000000-0005-0000-0000-0000F8850000}"/>
    <cellStyle name="Normal 5 17 14 4" xfId="34297" xr:uid="{00000000-0005-0000-0000-0000F9850000}"/>
    <cellStyle name="Normal 5 17 14 4 10" xfId="34298" xr:uid="{00000000-0005-0000-0000-0000FA850000}"/>
    <cellStyle name="Normal 5 17 14 4 2" xfId="34299" xr:uid="{00000000-0005-0000-0000-0000FB850000}"/>
    <cellStyle name="Normal 5 17 14 4 3" xfId="34300" xr:uid="{00000000-0005-0000-0000-0000FC850000}"/>
    <cellStyle name="Normal 5 17 14 4 4" xfId="34301" xr:uid="{00000000-0005-0000-0000-0000FD850000}"/>
    <cellStyle name="Normal 5 17 14 4 5" xfId="34302" xr:uid="{00000000-0005-0000-0000-0000FE850000}"/>
    <cellStyle name="Normal 5 17 14 4 6" xfId="34303" xr:uid="{00000000-0005-0000-0000-0000FF850000}"/>
    <cellStyle name="Normal 5 17 14 4 7" xfId="34304" xr:uid="{00000000-0005-0000-0000-000000860000}"/>
    <cellStyle name="Normal 5 17 14 4 8" xfId="34305" xr:uid="{00000000-0005-0000-0000-000001860000}"/>
    <cellStyle name="Normal 5 17 14 4 9" xfId="34306" xr:uid="{00000000-0005-0000-0000-000002860000}"/>
    <cellStyle name="Normal 5 17 14 5" xfId="34307" xr:uid="{00000000-0005-0000-0000-000003860000}"/>
    <cellStyle name="Normal 5 17 14 5 10" xfId="34308" xr:uid="{00000000-0005-0000-0000-000004860000}"/>
    <cellStyle name="Normal 5 17 14 5 2" xfId="34309" xr:uid="{00000000-0005-0000-0000-000005860000}"/>
    <cellStyle name="Normal 5 17 14 5 3" xfId="34310" xr:uid="{00000000-0005-0000-0000-000006860000}"/>
    <cellStyle name="Normal 5 17 14 5 4" xfId="34311" xr:uid="{00000000-0005-0000-0000-000007860000}"/>
    <cellStyle name="Normal 5 17 14 5 5" xfId="34312" xr:uid="{00000000-0005-0000-0000-000008860000}"/>
    <cellStyle name="Normal 5 17 14 5 6" xfId="34313" xr:uid="{00000000-0005-0000-0000-000009860000}"/>
    <cellStyle name="Normal 5 17 14 5 7" xfId="34314" xr:uid="{00000000-0005-0000-0000-00000A860000}"/>
    <cellStyle name="Normal 5 17 14 5 8" xfId="34315" xr:uid="{00000000-0005-0000-0000-00000B860000}"/>
    <cellStyle name="Normal 5 17 14 5 9" xfId="34316" xr:uid="{00000000-0005-0000-0000-00000C860000}"/>
    <cellStyle name="Normal 5 17 14 6" xfId="34317" xr:uid="{00000000-0005-0000-0000-00000D860000}"/>
    <cellStyle name="Normal 5 17 14 7" xfId="34318" xr:uid="{00000000-0005-0000-0000-00000E860000}"/>
    <cellStyle name="Normal 5 17 14 8" xfId="34319" xr:uid="{00000000-0005-0000-0000-00000F860000}"/>
    <cellStyle name="Normal 5 17 14 9" xfId="34320" xr:uid="{00000000-0005-0000-0000-000010860000}"/>
    <cellStyle name="Normal 5 17 15" xfId="34321" xr:uid="{00000000-0005-0000-0000-000011860000}"/>
    <cellStyle name="Normal 5 17 15 10" xfId="34322" xr:uid="{00000000-0005-0000-0000-000012860000}"/>
    <cellStyle name="Normal 5 17 15 11" xfId="34323" xr:uid="{00000000-0005-0000-0000-000013860000}"/>
    <cellStyle name="Normal 5 17 15 12" xfId="34324" xr:uid="{00000000-0005-0000-0000-000014860000}"/>
    <cellStyle name="Normal 5 17 15 13" xfId="34325" xr:uid="{00000000-0005-0000-0000-000015860000}"/>
    <cellStyle name="Normal 5 17 15 14" xfId="34326" xr:uid="{00000000-0005-0000-0000-000016860000}"/>
    <cellStyle name="Normal 5 17 15 2" xfId="34327" xr:uid="{00000000-0005-0000-0000-000017860000}"/>
    <cellStyle name="Normal 5 17 15 2 10" xfId="34328" xr:uid="{00000000-0005-0000-0000-000018860000}"/>
    <cellStyle name="Normal 5 17 15 2 2" xfId="34329" xr:uid="{00000000-0005-0000-0000-000019860000}"/>
    <cellStyle name="Normal 5 17 15 2 3" xfId="34330" xr:uid="{00000000-0005-0000-0000-00001A860000}"/>
    <cellStyle name="Normal 5 17 15 2 4" xfId="34331" xr:uid="{00000000-0005-0000-0000-00001B860000}"/>
    <cellStyle name="Normal 5 17 15 2 5" xfId="34332" xr:uid="{00000000-0005-0000-0000-00001C860000}"/>
    <cellStyle name="Normal 5 17 15 2 6" xfId="34333" xr:uid="{00000000-0005-0000-0000-00001D860000}"/>
    <cellStyle name="Normal 5 17 15 2 7" xfId="34334" xr:uid="{00000000-0005-0000-0000-00001E860000}"/>
    <cellStyle name="Normal 5 17 15 2 8" xfId="34335" xr:uid="{00000000-0005-0000-0000-00001F860000}"/>
    <cellStyle name="Normal 5 17 15 2 9" xfId="34336" xr:uid="{00000000-0005-0000-0000-000020860000}"/>
    <cellStyle name="Normal 5 17 15 3" xfId="34337" xr:uid="{00000000-0005-0000-0000-000021860000}"/>
    <cellStyle name="Normal 5 17 15 3 10" xfId="34338" xr:uid="{00000000-0005-0000-0000-000022860000}"/>
    <cellStyle name="Normal 5 17 15 3 2" xfId="34339" xr:uid="{00000000-0005-0000-0000-000023860000}"/>
    <cellStyle name="Normal 5 17 15 3 3" xfId="34340" xr:uid="{00000000-0005-0000-0000-000024860000}"/>
    <cellStyle name="Normal 5 17 15 3 4" xfId="34341" xr:uid="{00000000-0005-0000-0000-000025860000}"/>
    <cellStyle name="Normal 5 17 15 3 5" xfId="34342" xr:uid="{00000000-0005-0000-0000-000026860000}"/>
    <cellStyle name="Normal 5 17 15 3 6" xfId="34343" xr:uid="{00000000-0005-0000-0000-000027860000}"/>
    <cellStyle name="Normal 5 17 15 3 7" xfId="34344" xr:uid="{00000000-0005-0000-0000-000028860000}"/>
    <cellStyle name="Normal 5 17 15 3 8" xfId="34345" xr:uid="{00000000-0005-0000-0000-000029860000}"/>
    <cellStyle name="Normal 5 17 15 3 9" xfId="34346" xr:uid="{00000000-0005-0000-0000-00002A860000}"/>
    <cellStyle name="Normal 5 17 15 4" xfId="34347" xr:uid="{00000000-0005-0000-0000-00002B860000}"/>
    <cellStyle name="Normal 5 17 15 4 10" xfId="34348" xr:uid="{00000000-0005-0000-0000-00002C860000}"/>
    <cellStyle name="Normal 5 17 15 4 2" xfId="34349" xr:uid="{00000000-0005-0000-0000-00002D860000}"/>
    <cellStyle name="Normal 5 17 15 4 3" xfId="34350" xr:uid="{00000000-0005-0000-0000-00002E860000}"/>
    <cellStyle name="Normal 5 17 15 4 4" xfId="34351" xr:uid="{00000000-0005-0000-0000-00002F860000}"/>
    <cellStyle name="Normal 5 17 15 4 5" xfId="34352" xr:uid="{00000000-0005-0000-0000-000030860000}"/>
    <cellStyle name="Normal 5 17 15 4 6" xfId="34353" xr:uid="{00000000-0005-0000-0000-000031860000}"/>
    <cellStyle name="Normal 5 17 15 4 7" xfId="34354" xr:uid="{00000000-0005-0000-0000-000032860000}"/>
    <cellStyle name="Normal 5 17 15 4 8" xfId="34355" xr:uid="{00000000-0005-0000-0000-000033860000}"/>
    <cellStyle name="Normal 5 17 15 4 9" xfId="34356" xr:uid="{00000000-0005-0000-0000-000034860000}"/>
    <cellStyle name="Normal 5 17 15 5" xfId="34357" xr:uid="{00000000-0005-0000-0000-000035860000}"/>
    <cellStyle name="Normal 5 17 15 5 10" xfId="34358" xr:uid="{00000000-0005-0000-0000-000036860000}"/>
    <cellStyle name="Normal 5 17 15 5 2" xfId="34359" xr:uid="{00000000-0005-0000-0000-000037860000}"/>
    <cellStyle name="Normal 5 17 15 5 3" xfId="34360" xr:uid="{00000000-0005-0000-0000-000038860000}"/>
    <cellStyle name="Normal 5 17 15 5 4" xfId="34361" xr:uid="{00000000-0005-0000-0000-000039860000}"/>
    <cellStyle name="Normal 5 17 15 5 5" xfId="34362" xr:uid="{00000000-0005-0000-0000-00003A860000}"/>
    <cellStyle name="Normal 5 17 15 5 6" xfId="34363" xr:uid="{00000000-0005-0000-0000-00003B860000}"/>
    <cellStyle name="Normal 5 17 15 5 7" xfId="34364" xr:uid="{00000000-0005-0000-0000-00003C860000}"/>
    <cellStyle name="Normal 5 17 15 5 8" xfId="34365" xr:uid="{00000000-0005-0000-0000-00003D860000}"/>
    <cellStyle name="Normal 5 17 15 5 9" xfId="34366" xr:uid="{00000000-0005-0000-0000-00003E860000}"/>
    <cellStyle name="Normal 5 17 15 6" xfId="34367" xr:uid="{00000000-0005-0000-0000-00003F860000}"/>
    <cellStyle name="Normal 5 17 15 7" xfId="34368" xr:uid="{00000000-0005-0000-0000-000040860000}"/>
    <cellStyle name="Normal 5 17 15 8" xfId="34369" xr:uid="{00000000-0005-0000-0000-000041860000}"/>
    <cellStyle name="Normal 5 17 15 9" xfId="34370" xr:uid="{00000000-0005-0000-0000-000042860000}"/>
    <cellStyle name="Normal 5 17 16" xfId="34371" xr:uid="{00000000-0005-0000-0000-000043860000}"/>
    <cellStyle name="Normal 5 17 16 10" xfId="34372" xr:uid="{00000000-0005-0000-0000-000044860000}"/>
    <cellStyle name="Normal 5 17 16 11" xfId="34373" xr:uid="{00000000-0005-0000-0000-000045860000}"/>
    <cellStyle name="Normal 5 17 16 12" xfId="34374" xr:uid="{00000000-0005-0000-0000-000046860000}"/>
    <cellStyle name="Normal 5 17 16 13" xfId="34375" xr:uid="{00000000-0005-0000-0000-000047860000}"/>
    <cellStyle name="Normal 5 17 16 14" xfId="34376" xr:uid="{00000000-0005-0000-0000-000048860000}"/>
    <cellStyle name="Normal 5 17 16 2" xfId="34377" xr:uid="{00000000-0005-0000-0000-000049860000}"/>
    <cellStyle name="Normal 5 17 16 2 10" xfId="34378" xr:uid="{00000000-0005-0000-0000-00004A860000}"/>
    <cellStyle name="Normal 5 17 16 2 2" xfId="34379" xr:uid="{00000000-0005-0000-0000-00004B860000}"/>
    <cellStyle name="Normal 5 17 16 2 3" xfId="34380" xr:uid="{00000000-0005-0000-0000-00004C860000}"/>
    <cellStyle name="Normal 5 17 16 2 4" xfId="34381" xr:uid="{00000000-0005-0000-0000-00004D860000}"/>
    <cellStyle name="Normal 5 17 16 2 5" xfId="34382" xr:uid="{00000000-0005-0000-0000-00004E860000}"/>
    <cellStyle name="Normal 5 17 16 2 6" xfId="34383" xr:uid="{00000000-0005-0000-0000-00004F860000}"/>
    <cellStyle name="Normal 5 17 16 2 7" xfId="34384" xr:uid="{00000000-0005-0000-0000-000050860000}"/>
    <cellStyle name="Normal 5 17 16 2 8" xfId="34385" xr:uid="{00000000-0005-0000-0000-000051860000}"/>
    <cellStyle name="Normal 5 17 16 2 9" xfId="34386" xr:uid="{00000000-0005-0000-0000-000052860000}"/>
    <cellStyle name="Normal 5 17 16 3" xfId="34387" xr:uid="{00000000-0005-0000-0000-000053860000}"/>
    <cellStyle name="Normal 5 17 16 3 10" xfId="34388" xr:uid="{00000000-0005-0000-0000-000054860000}"/>
    <cellStyle name="Normal 5 17 16 3 2" xfId="34389" xr:uid="{00000000-0005-0000-0000-000055860000}"/>
    <cellStyle name="Normal 5 17 16 3 3" xfId="34390" xr:uid="{00000000-0005-0000-0000-000056860000}"/>
    <cellStyle name="Normal 5 17 16 3 4" xfId="34391" xr:uid="{00000000-0005-0000-0000-000057860000}"/>
    <cellStyle name="Normal 5 17 16 3 5" xfId="34392" xr:uid="{00000000-0005-0000-0000-000058860000}"/>
    <cellStyle name="Normal 5 17 16 3 6" xfId="34393" xr:uid="{00000000-0005-0000-0000-000059860000}"/>
    <cellStyle name="Normal 5 17 16 3 7" xfId="34394" xr:uid="{00000000-0005-0000-0000-00005A860000}"/>
    <cellStyle name="Normal 5 17 16 3 8" xfId="34395" xr:uid="{00000000-0005-0000-0000-00005B860000}"/>
    <cellStyle name="Normal 5 17 16 3 9" xfId="34396" xr:uid="{00000000-0005-0000-0000-00005C860000}"/>
    <cellStyle name="Normal 5 17 16 4" xfId="34397" xr:uid="{00000000-0005-0000-0000-00005D860000}"/>
    <cellStyle name="Normal 5 17 16 4 10" xfId="34398" xr:uid="{00000000-0005-0000-0000-00005E860000}"/>
    <cellStyle name="Normal 5 17 16 4 2" xfId="34399" xr:uid="{00000000-0005-0000-0000-00005F860000}"/>
    <cellStyle name="Normal 5 17 16 4 3" xfId="34400" xr:uid="{00000000-0005-0000-0000-000060860000}"/>
    <cellStyle name="Normal 5 17 16 4 4" xfId="34401" xr:uid="{00000000-0005-0000-0000-000061860000}"/>
    <cellStyle name="Normal 5 17 16 4 5" xfId="34402" xr:uid="{00000000-0005-0000-0000-000062860000}"/>
    <cellStyle name="Normal 5 17 16 4 6" xfId="34403" xr:uid="{00000000-0005-0000-0000-000063860000}"/>
    <cellStyle name="Normal 5 17 16 4 7" xfId="34404" xr:uid="{00000000-0005-0000-0000-000064860000}"/>
    <cellStyle name="Normal 5 17 16 4 8" xfId="34405" xr:uid="{00000000-0005-0000-0000-000065860000}"/>
    <cellStyle name="Normal 5 17 16 4 9" xfId="34406" xr:uid="{00000000-0005-0000-0000-000066860000}"/>
    <cellStyle name="Normal 5 17 16 5" xfId="34407" xr:uid="{00000000-0005-0000-0000-000067860000}"/>
    <cellStyle name="Normal 5 17 16 5 10" xfId="34408" xr:uid="{00000000-0005-0000-0000-000068860000}"/>
    <cellStyle name="Normal 5 17 16 5 2" xfId="34409" xr:uid="{00000000-0005-0000-0000-000069860000}"/>
    <cellStyle name="Normal 5 17 16 5 3" xfId="34410" xr:uid="{00000000-0005-0000-0000-00006A860000}"/>
    <cellStyle name="Normal 5 17 16 5 4" xfId="34411" xr:uid="{00000000-0005-0000-0000-00006B860000}"/>
    <cellStyle name="Normal 5 17 16 5 5" xfId="34412" xr:uid="{00000000-0005-0000-0000-00006C860000}"/>
    <cellStyle name="Normal 5 17 16 5 6" xfId="34413" xr:uid="{00000000-0005-0000-0000-00006D860000}"/>
    <cellStyle name="Normal 5 17 16 5 7" xfId="34414" xr:uid="{00000000-0005-0000-0000-00006E860000}"/>
    <cellStyle name="Normal 5 17 16 5 8" xfId="34415" xr:uid="{00000000-0005-0000-0000-00006F860000}"/>
    <cellStyle name="Normal 5 17 16 5 9" xfId="34416" xr:uid="{00000000-0005-0000-0000-000070860000}"/>
    <cellStyle name="Normal 5 17 16 6" xfId="34417" xr:uid="{00000000-0005-0000-0000-000071860000}"/>
    <cellStyle name="Normal 5 17 16 7" xfId="34418" xr:uid="{00000000-0005-0000-0000-000072860000}"/>
    <cellStyle name="Normal 5 17 16 8" xfId="34419" xr:uid="{00000000-0005-0000-0000-000073860000}"/>
    <cellStyle name="Normal 5 17 16 9" xfId="34420" xr:uid="{00000000-0005-0000-0000-000074860000}"/>
    <cellStyle name="Normal 5 17 17" xfId="34421" xr:uid="{00000000-0005-0000-0000-000075860000}"/>
    <cellStyle name="Normal 5 17 17 10" xfId="34422" xr:uid="{00000000-0005-0000-0000-000076860000}"/>
    <cellStyle name="Normal 5 17 17 11" xfId="34423" xr:uid="{00000000-0005-0000-0000-000077860000}"/>
    <cellStyle name="Normal 5 17 17 12" xfId="34424" xr:uid="{00000000-0005-0000-0000-000078860000}"/>
    <cellStyle name="Normal 5 17 17 13" xfId="34425" xr:uid="{00000000-0005-0000-0000-000079860000}"/>
    <cellStyle name="Normal 5 17 17 14" xfId="34426" xr:uid="{00000000-0005-0000-0000-00007A860000}"/>
    <cellStyle name="Normal 5 17 17 2" xfId="34427" xr:uid="{00000000-0005-0000-0000-00007B860000}"/>
    <cellStyle name="Normal 5 17 17 2 10" xfId="34428" xr:uid="{00000000-0005-0000-0000-00007C860000}"/>
    <cellStyle name="Normal 5 17 17 2 2" xfId="34429" xr:uid="{00000000-0005-0000-0000-00007D860000}"/>
    <cellStyle name="Normal 5 17 17 2 3" xfId="34430" xr:uid="{00000000-0005-0000-0000-00007E860000}"/>
    <cellStyle name="Normal 5 17 17 2 4" xfId="34431" xr:uid="{00000000-0005-0000-0000-00007F860000}"/>
    <cellStyle name="Normal 5 17 17 2 5" xfId="34432" xr:uid="{00000000-0005-0000-0000-000080860000}"/>
    <cellStyle name="Normal 5 17 17 2 6" xfId="34433" xr:uid="{00000000-0005-0000-0000-000081860000}"/>
    <cellStyle name="Normal 5 17 17 2 7" xfId="34434" xr:uid="{00000000-0005-0000-0000-000082860000}"/>
    <cellStyle name="Normal 5 17 17 2 8" xfId="34435" xr:uid="{00000000-0005-0000-0000-000083860000}"/>
    <cellStyle name="Normal 5 17 17 2 9" xfId="34436" xr:uid="{00000000-0005-0000-0000-000084860000}"/>
    <cellStyle name="Normal 5 17 17 3" xfId="34437" xr:uid="{00000000-0005-0000-0000-000085860000}"/>
    <cellStyle name="Normal 5 17 17 3 10" xfId="34438" xr:uid="{00000000-0005-0000-0000-000086860000}"/>
    <cellStyle name="Normal 5 17 17 3 2" xfId="34439" xr:uid="{00000000-0005-0000-0000-000087860000}"/>
    <cellStyle name="Normal 5 17 17 3 3" xfId="34440" xr:uid="{00000000-0005-0000-0000-000088860000}"/>
    <cellStyle name="Normal 5 17 17 3 4" xfId="34441" xr:uid="{00000000-0005-0000-0000-000089860000}"/>
    <cellStyle name="Normal 5 17 17 3 5" xfId="34442" xr:uid="{00000000-0005-0000-0000-00008A860000}"/>
    <cellStyle name="Normal 5 17 17 3 6" xfId="34443" xr:uid="{00000000-0005-0000-0000-00008B860000}"/>
    <cellStyle name="Normal 5 17 17 3 7" xfId="34444" xr:uid="{00000000-0005-0000-0000-00008C860000}"/>
    <cellStyle name="Normal 5 17 17 3 8" xfId="34445" xr:uid="{00000000-0005-0000-0000-00008D860000}"/>
    <cellStyle name="Normal 5 17 17 3 9" xfId="34446" xr:uid="{00000000-0005-0000-0000-00008E860000}"/>
    <cellStyle name="Normal 5 17 17 4" xfId="34447" xr:uid="{00000000-0005-0000-0000-00008F860000}"/>
    <cellStyle name="Normal 5 17 17 4 10" xfId="34448" xr:uid="{00000000-0005-0000-0000-000090860000}"/>
    <cellStyle name="Normal 5 17 17 4 2" xfId="34449" xr:uid="{00000000-0005-0000-0000-000091860000}"/>
    <cellStyle name="Normal 5 17 17 4 3" xfId="34450" xr:uid="{00000000-0005-0000-0000-000092860000}"/>
    <cellStyle name="Normal 5 17 17 4 4" xfId="34451" xr:uid="{00000000-0005-0000-0000-000093860000}"/>
    <cellStyle name="Normal 5 17 17 4 5" xfId="34452" xr:uid="{00000000-0005-0000-0000-000094860000}"/>
    <cellStyle name="Normal 5 17 17 4 6" xfId="34453" xr:uid="{00000000-0005-0000-0000-000095860000}"/>
    <cellStyle name="Normal 5 17 17 4 7" xfId="34454" xr:uid="{00000000-0005-0000-0000-000096860000}"/>
    <cellStyle name="Normal 5 17 17 4 8" xfId="34455" xr:uid="{00000000-0005-0000-0000-000097860000}"/>
    <cellStyle name="Normal 5 17 17 4 9" xfId="34456" xr:uid="{00000000-0005-0000-0000-000098860000}"/>
    <cellStyle name="Normal 5 17 17 5" xfId="34457" xr:uid="{00000000-0005-0000-0000-000099860000}"/>
    <cellStyle name="Normal 5 17 17 5 10" xfId="34458" xr:uid="{00000000-0005-0000-0000-00009A860000}"/>
    <cellStyle name="Normal 5 17 17 5 2" xfId="34459" xr:uid="{00000000-0005-0000-0000-00009B860000}"/>
    <cellStyle name="Normal 5 17 17 5 3" xfId="34460" xr:uid="{00000000-0005-0000-0000-00009C860000}"/>
    <cellStyle name="Normal 5 17 17 5 4" xfId="34461" xr:uid="{00000000-0005-0000-0000-00009D860000}"/>
    <cellStyle name="Normal 5 17 17 5 5" xfId="34462" xr:uid="{00000000-0005-0000-0000-00009E860000}"/>
    <cellStyle name="Normal 5 17 17 5 6" xfId="34463" xr:uid="{00000000-0005-0000-0000-00009F860000}"/>
    <cellStyle name="Normal 5 17 17 5 7" xfId="34464" xr:uid="{00000000-0005-0000-0000-0000A0860000}"/>
    <cellStyle name="Normal 5 17 17 5 8" xfId="34465" xr:uid="{00000000-0005-0000-0000-0000A1860000}"/>
    <cellStyle name="Normal 5 17 17 5 9" xfId="34466" xr:uid="{00000000-0005-0000-0000-0000A2860000}"/>
    <cellStyle name="Normal 5 17 17 6" xfId="34467" xr:uid="{00000000-0005-0000-0000-0000A3860000}"/>
    <cellStyle name="Normal 5 17 17 7" xfId="34468" xr:uid="{00000000-0005-0000-0000-0000A4860000}"/>
    <cellStyle name="Normal 5 17 17 8" xfId="34469" xr:uid="{00000000-0005-0000-0000-0000A5860000}"/>
    <cellStyle name="Normal 5 17 17 9" xfId="34470" xr:uid="{00000000-0005-0000-0000-0000A6860000}"/>
    <cellStyle name="Normal 5 17 18" xfId="34471" xr:uid="{00000000-0005-0000-0000-0000A7860000}"/>
    <cellStyle name="Normal 5 17 18 10" xfId="34472" xr:uid="{00000000-0005-0000-0000-0000A8860000}"/>
    <cellStyle name="Normal 5 17 18 11" xfId="34473" xr:uid="{00000000-0005-0000-0000-0000A9860000}"/>
    <cellStyle name="Normal 5 17 18 12" xfId="34474" xr:uid="{00000000-0005-0000-0000-0000AA860000}"/>
    <cellStyle name="Normal 5 17 18 13" xfId="34475" xr:uid="{00000000-0005-0000-0000-0000AB860000}"/>
    <cellStyle name="Normal 5 17 18 14" xfId="34476" xr:uid="{00000000-0005-0000-0000-0000AC860000}"/>
    <cellStyle name="Normal 5 17 18 2" xfId="34477" xr:uid="{00000000-0005-0000-0000-0000AD860000}"/>
    <cellStyle name="Normal 5 17 18 2 10" xfId="34478" xr:uid="{00000000-0005-0000-0000-0000AE860000}"/>
    <cellStyle name="Normal 5 17 18 2 2" xfId="34479" xr:uid="{00000000-0005-0000-0000-0000AF860000}"/>
    <cellStyle name="Normal 5 17 18 2 3" xfId="34480" xr:uid="{00000000-0005-0000-0000-0000B0860000}"/>
    <cellStyle name="Normal 5 17 18 2 4" xfId="34481" xr:uid="{00000000-0005-0000-0000-0000B1860000}"/>
    <cellStyle name="Normal 5 17 18 2 5" xfId="34482" xr:uid="{00000000-0005-0000-0000-0000B2860000}"/>
    <cellStyle name="Normal 5 17 18 2 6" xfId="34483" xr:uid="{00000000-0005-0000-0000-0000B3860000}"/>
    <cellStyle name="Normal 5 17 18 2 7" xfId="34484" xr:uid="{00000000-0005-0000-0000-0000B4860000}"/>
    <cellStyle name="Normal 5 17 18 2 8" xfId="34485" xr:uid="{00000000-0005-0000-0000-0000B5860000}"/>
    <cellStyle name="Normal 5 17 18 2 9" xfId="34486" xr:uid="{00000000-0005-0000-0000-0000B6860000}"/>
    <cellStyle name="Normal 5 17 18 3" xfId="34487" xr:uid="{00000000-0005-0000-0000-0000B7860000}"/>
    <cellStyle name="Normal 5 17 18 3 10" xfId="34488" xr:uid="{00000000-0005-0000-0000-0000B8860000}"/>
    <cellStyle name="Normal 5 17 18 3 2" xfId="34489" xr:uid="{00000000-0005-0000-0000-0000B9860000}"/>
    <cellStyle name="Normal 5 17 18 3 3" xfId="34490" xr:uid="{00000000-0005-0000-0000-0000BA860000}"/>
    <cellStyle name="Normal 5 17 18 3 4" xfId="34491" xr:uid="{00000000-0005-0000-0000-0000BB860000}"/>
    <cellStyle name="Normal 5 17 18 3 5" xfId="34492" xr:uid="{00000000-0005-0000-0000-0000BC860000}"/>
    <cellStyle name="Normal 5 17 18 3 6" xfId="34493" xr:uid="{00000000-0005-0000-0000-0000BD860000}"/>
    <cellStyle name="Normal 5 17 18 3 7" xfId="34494" xr:uid="{00000000-0005-0000-0000-0000BE860000}"/>
    <cellStyle name="Normal 5 17 18 3 8" xfId="34495" xr:uid="{00000000-0005-0000-0000-0000BF860000}"/>
    <cellStyle name="Normal 5 17 18 3 9" xfId="34496" xr:uid="{00000000-0005-0000-0000-0000C0860000}"/>
    <cellStyle name="Normal 5 17 18 4" xfId="34497" xr:uid="{00000000-0005-0000-0000-0000C1860000}"/>
    <cellStyle name="Normal 5 17 18 4 10" xfId="34498" xr:uid="{00000000-0005-0000-0000-0000C2860000}"/>
    <cellStyle name="Normal 5 17 18 4 2" xfId="34499" xr:uid="{00000000-0005-0000-0000-0000C3860000}"/>
    <cellStyle name="Normal 5 17 18 4 3" xfId="34500" xr:uid="{00000000-0005-0000-0000-0000C4860000}"/>
    <cellStyle name="Normal 5 17 18 4 4" xfId="34501" xr:uid="{00000000-0005-0000-0000-0000C5860000}"/>
    <cellStyle name="Normal 5 17 18 4 5" xfId="34502" xr:uid="{00000000-0005-0000-0000-0000C6860000}"/>
    <cellStyle name="Normal 5 17 18 4 6" xfId="34503" xr:uid="{00000000-0005-0000-0000-0000C7860000}"/>
    <cellStyle name="Normal 5 17 18 4 7" xfId="34504" xr:uid="{00000000-0005-0000-0000-0000C8860000}"/>
    <cellStyle name="Normal 5 17 18 4 8" xfId="34505" xr:uid="{00000000-0005-0000-0000-0000C9860000}"/>
    <cellStyle name="Normal 5 17 18 4 9" xfId="34506" xr:uid="{00000000-0005-0000-0000-0000CA860000}"/>
    <cellStyle name="Normal 5 17 18 5" xfId="34507" xr:uid="{00000000-0005-0000-0000-0000CB860000}"/>
    <cellStyle name="Normal 5 17 18 5 10" xfId="34508" xr:uid="{00000000-0005-0000-0000-0000CC860000}"/>
    <cellStyle name="Normal 5 17 18 5 2" xfId="34509" xr:uid="{00000000-0005-0000-0000-0000CD860000}"/>
    <cellStyle name="Normal 5 17 18 5 3" xfId="34510" xr:uid="{00000000-0005-0000-0000-0000CE860000}"/>
    <cellStyle name="Normal 5 17 18 5 4" xfId="34511" xr:uid="{00000000-0005-0000-0000-0000CF860000}"/>
    <cellStyle name="Normal 5 17 18 5 5" xfId="34512" xr:uid="{00000000-0005-0000-0000-0000D0860000}"/>
    <cellStyle name="Normal 5 17 18 5 6" xfId="34513" xr:uid="{00000000-0005-0000-0000-0000D1860000}"/>
    <cellStyle name="Normal 5 17 18 5 7" xfId="34514" xr:uid="{00000000-0005-0000-0000-0000D2860000}"/>
    <cellStyle name="Normal 5 17 18 5 8" xfId="34515" xr:uid="{00000000-0005-0000-0000-0000D3860000}"/>
    <cellStyle name="Normal 5 17 18 5 9" xfId="34516" xr:uid="{00000000-0005-0000-0000-0000D4860000}"/>
    <cellStyle name="Normal 5 17 18 6" xfId="34517" xr:uid="{00000000-0005-0000-0000-0000D5860000}"/>
    <cellStyle name="Normal 5 17 18 7" xfId="34518" xr:uid="{00000000-0005-0000-0000-0000D6860000}"/>
    <cellStyle name="Normal 5 17 18 8" xfId="34519" xr:uid="{00000000-0005-0000-0000-0000D7860000}"/>
    <cellStyle name="Normal 5 17 18 9" xfId="34520" xr:uid="{00000000-0005-0000-0000-0000D8860000}"/>
    <cellStyle name="Normal 5 17 19" xfId="34521" xr:uid="{00000000-0005-0000-0000-0000D9860000}"/>
    <cellStyle name="Normal 5 17 19 10" xfId="34522" xr:uid="{00000000-0005-0000-0000-0000DA860000}"/>
    <cellStyle name="Normal 5 17 19 11" xfId="34523" xr:uid="{00000000-0005-0000-0000-0000DB860000}"/>
    <cellStyle name="Normal 5 17 19 12" xfId="34524" xr:uid="{00000000-0005-0000-0000-0000DC860000}"/>
    <cellStyle name="Normal 5 17 19 13" xfId="34525" xr:uid="{00000000-0005-0000-0000-0000DD860000}"/>
    <cellStyle name="Normal 5 17 19 14" xfId="34526" xr:uid="{00000000-0005-0000-0000-0000DE860000}"/>
    <cellStyle name="Normal 5 17 19 2" xfId="34527" xr:uid="{00000000-0005-0000-0000-0000DF860000}"/>
    <cellStyle name="Normal 5 17 19 2 10" xfId="34528" xr:uid="{00000000-0005-0000-0000-0000E0860000}"/>
    <cellStyle name="Normal 5 17 19 2 2" xfId="34529" xr:uid="{00000000-0005-0000-0000-0000E1860000}"/>
    <cellStyle name="Normal 5 17 19 2 3" xfId="34530" xr:uid="{00000000-0005-0000-0000-0000E2860000}"/>
    <cellStyle name="Normal 5 17 19 2 4" xfId="34531" xr:uid="{00000000-0005-0000-0000-0000E3860000}"/>
    <cellStyle name="Normal 5 17 19 2 5" xfId="34532" xr:uid="{00000000-0005-0000-0000-0000E4860000}"/>
    <cellStyle name="Normal 5 17 19 2 6" xfId="34533" xr:uid="{00000000-0005-0000-0000-0000E5860000}"/>
    <cellStyle name="Normal 5 17 19 2 7" xfId="34534" xr:uid="{00000000-0005-0000-0000-0000E6860000}"/>
    <cellStyle name="Normal 5 17 19 2 8" xfId="34535" xr:uid="{00000000-0005-0000-0000-0000E7860000}"/>
    <cellStyle name="Normal 5 17 19 2 9" xfId="34536" xr:uid="{00000000-0005-0000-0000-0000E8860000}"/>
    <cellStyle name="Normal 5 17 19 3" xfId="34537" xr:uid="{00000000-0005-0000-0000-0000E9860000}"/>
    <cellStyle name="Normal 5 17 19 3 10" xfId="34538" xr:uid="{00000000-0005-0000-0000-0000EA860000}"/>
    <cellStyle name="Normal 5 17 19 3 2" xfId="34539" xr:uid="{00000000-0005-0000-0000-0000EB860000}"/>
    <cellStyle name="Normal 5 17 19 3 3" xfId="34540" xr:uid="{00000000-0005-0000-0000-0000EC860000}"/>
    <cellStyle name="Normal 5 17 19 3 4" xfId="34541" xr:uid="{00000000-0005-0000-0000-0000ED860000}"/>
    <cellStyle name="Normal 5 17 19 3 5" xfId="34542" xr:uid="{00000000-0005-0000-0000-0000EE860000}"/>
    <cellStyle name="Normal 5 17 19 3 6" xfId="34543" xr:uid="{00000000-0005-0000-0000-0000EF860000}"/>
    <cellStyle name="Normal 5 17 19 3 7" xfId="34544" xr:uid="{00000000-0005-0000-0000-0000F0860000}"/>
    <cellStyle name="Normal 5 17 19 3 8" xfId="34545" xr:uid="{00000000-0005-0000-0000-0000F1860000}"/>
    <cellStyle name="Normal 5 17 19 3 9" xfId="34546" xr:uid="{00000000-0005-0000-0000-0000F2860000}"/>
    <cellStyle name="Normal 5 17 19 4" xfId="34547" xr:uid="{00000000-0005-0000-0000-0000F3860000}"/>
    <cellStyle name="Normal 5 17 19 4 10" xfId="34548" xr:uid="{00000000-0005-0000-0000-0000F4860000}"/>
    <cellStyle name="Normal 5 17 19 4 2" xfId="34549" xr:uid="{00000000-0005-0000-0000-0000F5860000}"/>
    <cellStyle name="Normal 5 17 19 4 3" xfId="34550" xr:uid="{00000000-0005-0000-0000-0000F6860000}"/>
    <cellStyle name="Normal 5 17 19 4 4" xfId="34551" xr:uid="{00000000-0005-0000-0000-0000F7860000}"/>
    <cellStyle name="Normal 5 17 19 4 5" xfId="34552" xr:uid="{00000000-0005-0000-0000-0000F8860000}"/>
    <cellStyle name="Normal 5 17 19 4 6" xfId="34553" xr:uid="{00000000-0005-0000-0000-0000F9860000}"/>
    <cellStyle name="Normal 5 17 19 4 7" xfId="34554" xr:uid="{00000000-0005-0000-0000-0000FA860000}"/>
    <cellStyle name="Normal 5 17 19 4 8" xfId="34555" xr:uid="{00000000-0005-0000-0000-0000FB860000}"/>
    <cellStyle name="Normal 5 17 19 4 9" xfId="34556" xr:uid="{00000000-0005-0000-0000-0000FC860000}"/>
    <cellStyle name="Normal 5 17 19 5" xfId="34557" xr:uid="{00000000-0005-0000-0000-0000FD860000}"/>
    <cellStyle name="Normal 5 17 19 5 10" xfId="34558" xr:uid="{00000000-0005-0000-0000-0000FE860000}"/>
    <cellStyle name="Normal 5 17 19 5 2" xfId="34559" xr:uid="{00000000-0005-0000-0000-0000FF860000}"/>
    <cellStyle name="Normal 5 17 19 5 3" xfId="34560" xr:uid="{00000000-0005-0000-0000-000000870000}"/>
    <cellStyle name="Normal 5 17 19 5 4" xfId="34561" xr:uid="{00000000-0005-0000-0000-000001870000}"/>
    <cellStyle name="Normal 5 17 19 5 5" xfId="34562" xr:uid="{00000000-0005-0000-0000-000002870000}"/>
    <cellStyle name="Normal 5 17 19 5 6" xfId="34563" xr:uid="{00000000-0005-0000-0000-000003870000}"/>
    <cellStyle name="Normal 5 17 19 5 7" xfId="34564" xr:uid="{00000000-0005-0000-0000-000004870000}"/>
    <cellStyle name="Normal 5 17 19 5 8" xfId="34565" xr:uid="{00000000-0005-0000-0000-000005870000}"/>
    <cellStyle name="Normal 5 17 19 5 9" xfId="34566" xr:uid="{00000000-0005-0000-0000-000006870000}"/>
    <cellStyle name="Normal 5 17 19 6" xfId="34567" xr:uid="{00000000-0005-0000-0000-000007870000}"/>
    <cellStyle name="Normal 5 17 19 7" xfId="34568" xr:uid="{00000000-0005-0000-0000-000008870000}"/>
    <cellStyle name="Normal 5 17 19 8" xfId="34569" xr:uid="{00000000-0005-0000-0000-000009870000}"/>
    <cellStyle name="Normal 5 17 19 9" xfId="34570" xr:uid="{00000000-0005-0000-0000-00000A870000}"/>
    <cellStyle name="Normal 5 17 2" xfId="34571" xr:uid="{00000000-0005-0000-0000-00000B870000}"/>
    <cellStyle name="Normal 5 17 2 10" xfId="34572" xr:uid="{00000000-0005-0000-0000-00000C870000}"/>
    <cellStyle name="Normal 5 17 2 10 10" xfId="34573" xr:uid="{00000000-0005-0000-0000-00000D870000}"/>
    <cellStyle name="Normal 5 17 2 10 11" xfId="34574" xr:uid="{00000000-0005-0000-0000-00000E870000}"/>
    <cellStyle name="Normal 5 17 2 10 12" xfId="34575" xr:uid="{00000000-0005-0000-0000-00000F870000}"/>
    <cellStyle name="Normal 5 17 2 10 13" xfId="34576" xr:uid="{00000000-0005-0000-0000-000010870000}"/>
    <cellStyle name="Normal 5 17 2 10 14" xfId="34577" xr:uid="{00000000-0005-0000-0000-000011870000}"/>
    <cellStyle name="Normal 5 17 2 10 2" xfId="34578" xr:uid="{00000000-0005-0000-0000-000012870000}"/>
    <cellStyle name="Normal 5 17 2 10 2 10" xfId="34579" xr:uid="{00000000-0005-0000-0000-000013870000}"/>
    <cellStyle name="Normal 5 17 2 10 2 2" xfId="34580" xr:uid="{00000000-0005-0000-0000-000014870000}"/>
    <cellStyle name="Normal 5 17 2 10 2 3" xfId="34581" xr:uid="{00000000-0005-0000-0000-000015870000}"/>
    <cellStyle name="Normal 5 17 2 10 2 4" xfId="34582" xr:uid="{00000000-0005-0000-0000-000016870000}"/>
    <cellStyle name="Normal 5 17 2 10 2 5" xfId="34583" xr:uid="{00000000-0005-0000-0000-000017870000}"/>
    <cellStyle name="Normal 5 17 2 10 2 6" xfId="34584" xr:uid="{00000000-0005-0000-0000-000018870000}"/>
    <cellStyle name="Normal 5 17 2 10 2 7" xfId="34585" xr:uid="{00000000-0005-0000-0000-000019870000}"/>
    <cellStyle name="Normal 5 17 2 10 2 8" xfId="34586" xr:uid="{00000000-0005-0000-0000-00001A870000}"/>
    <cellStyle name="Normal 5 17 2 10 2 9" xfId="34587" xr:uid="{00000000-0005-0000-0000-00001B870000}"/>
    <cellStyle name="Normal 5 17 2 10 3" xfId="34588" xr:uid="{00000000-0005-0000-0000-00001C870000}"/>
    <cellStyle name="Normal 5 17 2 10 3 10" xfId="34589" xr:uid="{00000000-0005-0000-0000-00001D870000}"/>
    <cellStyle name="Normal 5 17 2 10 3 2" xfId="34590" xr:uid="{00000000-0005-0000-0000-00001E870000}"/>
    <cellStyle name="Normal 5 17 2 10 3 3" xfId="34591" xr:uid="{00000000-0005-0000-0000-00001F870000}"/>
    <cellStyle name="Normal 5 17 2 10 3 4" xfId="34592" xr:uid="{00000000-0005-0000-0000-000020870000}"/>
    <cellStyle name="Normal 5 17 2 10 3 5" xfId="34593" xr:uid="{00000000-0005-0000-0000-000021870000}"/>
    <cellStyle name="Normal 5 17 2 10 3 6" xfId="34594" xr:uid="{00000000-0005-0000-0000-000022870000}"/>
    <cellStyle name="Normal 5 17 2 10 3 7" xfId="34595" xr:uid="{00000000-0005-0000-0000-000023870000}"/>
    <cellStyle name="Normal 5 17 2 10 3 8" xfId="34596" xr:uid="{00000000-0005-0000-0000-000024870000}"/>
    <cellStyle name="Normal 5 17 2 10 3 9" xfId="34597" xr:uid="{00000000-0005-0000-0000-000025870000}"/>
    <cellStyle name="Normal 5 17 2 10 4" xfId="34598" xr:uid="{00000000-0005-0000-0000-000026870000}"/>
    <cellStyle name="Normal 5 17 2 10 4 10" xfId="34599" xr:uid="{00000000-0005-0000-0000-000027870000}"/>
    <cellStyle name="Normal 5 17 2 10 4 2" xfId="34600" xr:uid="{00000000-0005-0000-0000-000028870000}"/>
    <cellStyle name="Normal 5 17 2 10 4 3" xfId="34601" xr:uid="{00000000-0005-0000-0000-000029870000}"/>
    <cellStyle name="Normal 5 17 2 10 4 4" xfId="34602" xr:uid="{00000000-0005-0000-0000-00002A870000}"/>
    <cellStyle name="Normal 5 17 2 10 4 5" xfId="34603" xr:uid="{00000000-0005-0000-0000-00002B870000}"/>
    <cellStyle name="Normal 5 17 2 10 4 6" xfId="34604" xr:uid="{00000000-0005-0000-0000-00002C870000}"/>
    <cellStyle name="Normal 5 17 2 10 4 7" xfId="34605" xr:uid="{00000000-0005-0000-0000-00002D870000}"/>
    <cellStyle name="Normal 5 17 2 10 4 8" xfId="34606" xr:uid="{00000000-0005-0000-0000-00002E870000}"/>
    <cellStyle name="Normal 5 17 2 10 4 9" xfId="34607" xr:uid="{00000000-0005-0000-0000-00002F870000}"/>
    <cellStyle name="Normal 5 17 2 10 5" xfId="34608" xr:uid="{00000000-0005-0000-0000-000030870000}"/>
    <cellStyle name="Normal 5 17 2 10 5 10" xfId="34609" xr:uid="{00000000-0005-0000-0000-000031870000}"/>
    <cellStyle name="Normal 5 17 2 10 5 2" xfId="34610" xr:uid="{00000000-0005-0000-0000-000032870000}"/>
    <cellStyle name="Normal 5 17 2 10 5 3" xfId="34611" xr:uid="{00000000-0005-0000-0000-000033870000}"/>
    <cellStyle name="Normal 5 17 2 10 5 4" xfId="34612" xr:uid="{00000000-0005-0000-0000-000034870000}"/>
    <cellStyle name="Normal 5 17 2 10 5 5" xfId="34613" xr:uid="{00000000-0005-0000-0000-000035870000}"/>
    <cellStyle name="Normal 5 17 2 10 5 6" xfId="34614" xr:uid="{00000000-0005-0000-0000-000036870000}"/>
    <cellStyle name="Normal 5 17 2 10 5 7" xfId="34615" xr:uid="{00000000-0005-0000-0000-000037870000}"/>
    <cellStyle name="Normal 5 17 2 10 5 8" xfId="34616" xr:uid="{00000000-0005-0000-0000-000038870000}"/>
    <cellStyle name="Normal 5 17 2 10 5 9" xfId="34617" xr:uid="{00000000-0005-0000-0000-000039870000}"/>
    <cellStyle name="Normal 5 17 2 10 6" xfId="34618" xr:uid="{00000000-0005-0000-0000-00003A870000}"/>
    <cellStyle name="Normal 5 17 2 10 7" xfId="34619" xr:uid="{00000000-0005-0000-0000-00003B870000}"/>
    <cellStyle name="Normal 5 17 2 10 8" xfId="34620" xr:uid="{00000000-0005-0000-0000-00003C870000}"/>
    <cellStyle name="Normal 5 17 2 10 9" xfId="34621" xr:uid="{00000000-0005-0000-0000-00003D870000}"/>
    <cellStyle name="Normal 5 17 2 11" xfId="34622" xr:uid="{00000000-0005-0000-0000-00003E870000}"/>
    <cellStyle name="Normal 5 17 2 11 10" xfId="34623" xr:uid="{00000000-0005-0000-0000-00003F870000}"/>
    <cellStyle name="Normal 5 17 2 11 11" xfId="34624" xr:uid="{00000000-0005-0000-0000-000040870000}"/>
    <cellStyle name="Normal 5 17 2 11 12" xfId="34625" xr:uid="{00000000-0005-0000-0000-000041870000}"/>
    <cellStyle name="Normal 5 17 2 11 13" xfId="34626" xr:uid="{00000000-0005-0000-0000-000042870000}"/>
    <cellStyle name="Normal 5 17 2 11 14" xfId="34627" xr:uid="{00000000-0005-0000-0000-000043870000}"/>
    <cellStyle name="Normal 5 17 2 11 2" xfId="34628" xr:uid="{00000000-0005-0000-0000-000044870000}"/>
    <cellStyle name="Normal 5 17 2 11 2 10" xfId="34629" xr:uid="{00000000-0005-0000-0000-000045870000}"/>
    <cellStyle name="Normal 5 17 2 11 2 2" xfId="34630" xr:uid="{00000000-0005-0000-0000-000046870000}"/>
    <cellStyle name="Normal 5 17 2 11 2 3" xfId="34631" xr:uid="{00000000-0005-0000-0000-000047870000}"/>
    <cellStyle name="Normal 5 17 2 11 2 4" xfId="34632" xr:uid="{00000000-0005-0000-0000-000048870000}"/>
    <cellStyle name="Normal 5 17 2 11 2 5" xfId="34633" xr:uid="{00000000-0005-0000-0000-000049870000}"/>
    <cellStyle name="Normal 5 17 2 11 2 6" xfId="34634" xr:uid="{00000000-0005-0000-0000-00004A870000}"/>
    <cellStyle name="Normal 5 17 2 11 2 7" xfId="34635" xr:uid="{00000000-0005-0000-0000-00004B870000}"/>
    <cellStyle name="Normal 5 17 2 11 2 8" xfId="34636" xr:uid="{00000000-0005-0000-0000-00004C870000}"/>
    <cellStyle name="Normal 5 17 2 11 2 9" xfId="34637" xr:uid="{00000000-0005-0000-0000-00004D870000}"/>
    <cellStyle name="Normal 5 17 2 11 3" xfId="34638" xr:uid="{00000000-0005-0000-0000-00004E870000}"/>
    <cellStyle name="Normal 5 17 2 11 3 10" xfId="34639" xr:uid="{00000000-0005-0000-0000-00004F870000}"/>
    <cellStyle name="Normal 5 17 2 11 3 2" xfId="34640" xr:uid="{00000000-0005-0000-0000-000050870000}"/>
    <cellStyle name="Normal 5 17 2 11 3 3" xfId="34641" xr:uid="{00000000-0005-0000-0000-000051870000}"/>
    <cellStyle name="Normal 5 17 2 11 3 4" xfId="34642" xr:uid="{00000000-0005-0000-0000-000052870000}"/>
    <cellStyle name="Normal 5 17 2 11 3 5" xfId="34643" xr:uid="{00000000-0005-0000-0000-000053870000}"/>
    <cellStyle name="Normal 5 17 2 11 3 6" xfId="34644" xr:uid="{00000000-0005-0000-0000-000054870000}"/>
    <cellStyle name="Normal 5 17 2 11 3 7" xfId="34645" xr:uid="{00000000-0005-0000-0000-000055870000}"/>
    <cellStyle name="Normal 5 17 2 11 3 8" xfId="34646" xr:uid="{00000000-0005-0000-0000-000056870000}"/>
    <cellStyle name="Normal 5 17 2 11 3 9" xfId="34647" xr:uid="{00000000-0005-0000-0000-000057870000}"/>
    <cellStyle name="Normal 5 17 2 11 4" xfId="34648" xr:uid="{00000000-0005-0000-0000-000058870000}"/>
    <cellStyle name="Normal 5 17 2 11 4 10" xfId="34649" xr:uid="{00000000-0005-0000-0000-000059870000}"/>
    <cellStyle name="Normal 5 17 2 11 4 2" xfId="34650" xr:uid="{00000000-0005-0000-0000-00005A870000}"/>
    <cellStyle name="Normal 5 17 2 11 4 3" xfId="34651" xr:uid="{00000000-0005-0000-0000-00005B870000}"/>
    <cellStyle name="Normal 5 17 2 11 4 4" xfId="34652" xr:uid="{00000000-0005-0000-0000-00005C870000}"/>
    <cellStyle name="Normal 5 17 2 11 4 5" xfId="34653" xr:uid="{00000000-0005-0000-0000-00005D870000}"/>
    <cellStyle name="Normal 5 17 2 11 4 6" xfId="34654" xr:uid="{00000000-0005-0000-0000-00005E870000}"/>
    <cellStyle name="Normal 5 17 2 11 4 7" xfId="34655" xr:uid="{00000000-0005-0000-0000-00005F870000}"/>
    <cellStyle name="Normal 5 17 2 11 4 8" xfId="34656" xr:uid="{00000000-0005-0000-0000-000060870000}"/>
    <cellStyle name="Normal 5 17 2 11 4 9" xfId="34657" xr:uid="{00000000-0005-0000-0000-000061870000}"/>
    <cellStyle name="Normal 5 17 2 11 5" xfId="34658" xr:uid="{00000000-0005-0000-0000-000062870000}"/>
    <cellStyle name="Normal 5 17 2 11 5 10" xfId="34659" xr:uid="{00000000-0005-0000-0000-000063870000}"/>
    <cellStyle name="Normal 5 17 2 11 5 2" xfId="34660" xr:uid="{00000000-0005-0000-0000-000064870000}"/>
    <cellStyle name="Normal 5 17 2 11 5 3" xfId="34661" xr:uid="{00000000-0005-0000-0000-000065870000}"/>
    <cellStyle name="Normal 5 17 2 11 5 4" xfId="34662" xr:uid="{00000000-0005-0000-0000-000066870000}"/>
    <cellStyle name="Normal 5 17 2 11 5 5" xfId="34663" xr:uid="{00000000-0005-0000-0000-000067870000}"/>
    <cellStyle name="Normal 5 17 2 11 5 6" xfId="34664" xr:uid="{00000000-0005-0000-0000-000068870000}"/>
    <cellStyle name="Normal 5 17 2 11 5 7" xfId="34665" xr:uid="{00000000-0005-0000-0000-000069870000}"/>
    <cellStyle name="Normal 5 17 2 11 5 8" xfId="34666" xr:uid="{00000000-0005-0000-0000-00006A870000}"/>
    <cellStyle name="Normal 5 17 2 11 5 9" xfId="34667" xr:uid="{00000000-0005-0000-0000-00006B870000}"/>
    <cellStyle name="Normal 5 17 2 11 6" xfId="34668" xr:uid="{00000000-0005-0000-0000-00006C870000}"/>
    <cellStyle name="Normal 5 17 2 11 7" xfId="34669" xr:uid="{00000000-0005-0000-0000-00006D870000}"/>
    <cellStyle name="Normal 5 17 2 11 8" xfId="34670" xr:uid="{00000000-0005-0000-0000-00006E870000}"/>
    <cellStyle name="Normal 5 17 2 11 9" xfId="34671" xr:uid="{00000000-0005-0000-0000-00006F870000}"/>
    <cellStyle name="Normal 5 17 2 12" xfId="34672" xr:uid="{00000000-0005-0000-0000-000070870000}"/>
    <cellStyle name="Normal 5 17 2 12 10" xfId="34673" xr:uid="{00000000-0005-0000-0000-000071870000}"/>
    <cellStyle name="Normal 5 17 2 12 11" xfId="34674" xr:uid="{00000000-0005-0000-0000-000072870000}"/>
    <cellStyle name="Normal 5 17 2 12 12" xfId="34675" xr:uid="{00000000-0005-0000-0000-000073870000}"/>
    <cellStyle name="Normal 5 17 2 12 13" xfId="34676" xr:uid="{00000000-0005-0000-0000-000074870000}"/>
    <cellStyle name="Normal 5 17 2 12 14" xfId="34677" xr:uid="{00000000-0005-0000-0000-000075870000}"/>
    <cellStyle name="Normal 5 17 2 12 2" xfId="34678" xr:uid="{00000000-0005-0000-0000-000076870000}"/>
    <cellStyle name="Normal 5 17 2 12 2 10" xfId="34679" xr:uid="{00000000-0005-0000-0000-000077870000}"/>
    <cellStyle name="Normal 5 17 2 12 2 2" xfId="34680" xr:uid="{00000000-0005-0000-0000-000078870000}"/>
    <cellStyle name="Normal 5 17 2 12 2 3" xfId="34681" xr:uid="{00000000-0005-0000-0000-000079870000}"/>
    <cellStyle name="Normal 5 17 2 12 2 4" xfId="34682" xr:uid="{00000000-0005-0000-0000-00007A870000}"/>
    <cellStyle name="Normal 5 17 2 12 2 5" xfId="34683" xr:uid="{00000000-0005-0000-0000-00007B870000}"/>
    <cellStyle name="Normal 5 17 2 12 2 6" xfId="34684" xr:uid="{00000000-0005-0000-0000-00007C870000}"/>
    <cellStyle name="Normal 5 17 2 12 2 7" xfId="34685" xr:uid="{00000000-0005-0000-0000-00007D870000}"/>
    <cellStyle name="Normal 5 17 2 12 2 8" xfId="34686" xr:uid="{00000000-0005-0000-0000-00007E870000}"/>
    <cellStyle name="Normal 5 17 2 12 2 9" xfId="34687" xr:uid="{00000000-0005-0000-0000-00007F870000}"/>
    <cellStyle name="Normal 5 17 2 12 3" xfId="34688" xr:uid="{00000000-0005-0000-0000-000080870000}"/>
    <cellStyle name="Normal 5 17 2 12 3 10" xfId="34689" xr:uid="{00000000-0005-0000-0000-000081870000}"/>
    <cellStyle name="Normal 5 17 2 12 3 2" xfId="34690" xr:uid="{00000000-0005-0000-0000-000082870000}"/>
    <cellStyle name="Normal 5 17 2 12 3 3" xfId="34691" xr:uid="{00000000-0005-0000-0000-000083870000}"/>
    <cellStyle name="Normal 5 17 2 12 3 4" xfId="34692" xr:uid="{00000000-0005-0000-0000-000084870000}"/>
    <cellStyle name="Normal 5 17 2 12 3 5" xfId="34693" xr:uid="{00000000-0005-0000-0000-000085870000}"/>
    <cellStyle name="Normal 5 17 2 12 3 6" xfId="34694" xr:uid="{00000000-0005-0000-0000-000086870000}"/>
    <cellStyle name="Normal 5 17 2 12 3 7" xfId="34695" xr:uid="{00000000-0005-0000-0000-000087870000}"/>
    <cellStyle name="Normal 5 17 2 12 3 8" xfId="34696" xr:uid="{00000000-0005-0000-0000-000088870000}"/>
    <cellStyle name="Normal 5 17 2 12 3 9" xfId="34697" xr:uid="{00000000-0005-0000-0000-000089870000}"/>
    <cellStyle name="Normal 5 17 2 12 4" xfId="34698" xr:uid="{00000000-0005-0000-0000-00008A870000}"/>
    <cellStyle name="Normal 5 17 2 12 4 10" xfId="34699" xr:uid="{00000000-0005-0000-0000-00008B870000}"/>
    <cellStyle name="Normal 5 17 2 12 4 2" xfId="34700" xr:uid="{00000000-0005-0000-0000-00008C870000}"/>
    <cellStyle name="Normal 5 17 2 12 4 3" xfId="34701" xr:uid="{00000000-0005-0000-0000-00008D870000}"/>
    <cellStyle name="Normal 5 17 2 12 4 4" xfId="34702" xr:uid="{00000000-0005-0000-0000-00008E870000}"/>
    <cellStyle name="Normal 5 17 2 12 4 5" xfId="34703" xr:uid="{00000000-0005-0000-0000-00008F870000}"/>
    <cellStyle name="Normal 5 17 2 12 4 6" xfId="34704" xr:uid="{00000000-0005-0000-0000-000090870000}"/>
    <cellStyle name="Normal 5 17 2 12 4 7" xfId="34705" xr:uid="{00000000-0005-0000-0000-000091870000}"/>
    <cellStyle name="Normal 5 17 2 12 4 8" xfId="34706" xr:uid="{00000000-0005-0000-0000-000092870000}"/>
    <cellStyle name="Normal 5 17 2 12 4 9" xfId="34707" xr:uid="{00000000-0005-0000-0000-000093870000}"/>
    <cellStyle name="Normal 5 17 2 12 5" xfId="34708" xr:uid="{00000000-0005-0000-0000-000094870000}"/>
    <cellStyle name="Normal 5 17 2 12 5 10" xfId="34709" xr:uid="{00000000-0005-0000-0000-000095870000}"/>
    <cellStyle name="Normal 5 17 2 12 5 2" xfId="34710" xr:uid="{00000000-0005-0000-0000-000096870000}"/>
    <cellStyle name="Normal 5 17 2 12 5 3" xfId="34711" xr:uid="{00000000-0005-0000-0000-000097870000}"/>
    <cellStyle name="Normal 5 17 2 12 5 4" xfId="34712" xr:uid="{00000000-0005-0000-0000-000098870000}"/>
    <cellStyle name="Normal 5 17 2 12 5 5" xfId="34713" xr:uid="{00000000-0005-0000-0000-000099870000}"/>
    <cellStyle name="Normal 5 17 2 12 5 6" xfId="34714" xr:uid="{00000000-0005-0000-0000-00009A870000}"/>
    <cellStyle name="Normal 5 17 2 12 5 7" xfId="34715" xr:uid="{00000000-0005-0000-0000-00009B870000}"/>
    <cellStyle name="Normal 5 17 2 12 5 8" xfId="34716" xr:uid="{00000000-0005-0000-0000-00009C870000}"/>
    <cellStyle name="Normal 5 17 2 12 5 9" xfId="34717" xr:uid="{00000000-0005-0000-0000-00009D870000}"/>
    <cellStyle name="Normal 5 17 2 12 6" xfId="34718" xr:uid="{00000000-0005-0000-0000-00009E870000}"/>
    <cellStyle name="Normal 5 17 2 12 7" xfId="34719" xr:uid="{00000000-0005-0000-0000-00009F870000}"/>
    <cellStyle name="Normal 5 17 2 12 8" xfId="34720" xr:uid="{00000000-0005-0000-0000-0000A0870000}"/>
    <cellStyle name="Normal 5 17 2 12 9" xfId="34721" xr:uid="{00000000-0005-0000-0000-0000A1870000}"/>
    <cellStyle name="Normal 5 17 2 13" xfId="34722" xr:uid="{00000000-0005-0000-0000-0000A2870000}"/>
    <cellStyle name="Normal 5 17 2 13 10" xfId="34723" xr:uid="{00000000-0005-0000-0000-0000A3870000}"/>
    <cellStyle name="Normal 5 17 2 13 11" xfId="34724" xr:uid="{00000000-0005-0000-0000-0000A4870000}"/>
    <cellStyle name="Normal 5 17 2 13 12" xfId="34725" xr:uid="{00000000-0005-0000-0000-0000A5870000}"/>
    <cellStyle name="Normal 5 17 2 13 13" xfId="34726" xr:uid="{00000000-0005-0000-0000-0000A6870000}"/>
    <cellStyle name="Normal 5 17 2 13 14" xfId="34727" xr:uid="{00000000-0005-0000-0000-0000A7870000}"/>
    <cellStyle name="Normal 5 17 2 13 2" xfId="34728" xr:uid="{00000000-0005-0000-0000-0000A8870000}"/>
    <cellStyle name="Normal 5 17 2 13 2 10" xfId="34729" xr:uid="{00000000-0005-0000-0000-0000A9870000}"/>
    <cellStyle name="Normal 5 17 2 13 2 2" xfId="34730" xr:uid="{00000000-0005-0000-0000-0000AA870000}"/>
    <cellStyle name="Normal 5 17 2 13 2 3" xfId="34731" xr:uid="{00000000-0005-0000-0000-0000AB870000}"/>
    <cellStyle name="Normal 5 17 2 13 2 4" xfId="34732" xr:uid="{00000000-0005-0000-0000-0000AC870000}"/>
    <cellStyle name="Normal 5 17 2 13 2 5" xfId="34733" xr:uid="{00000000-0005-0000-0000-0000AD870000}"/>
    <cellStyle name="Normal 5 17 2 13 2 6" xfId="34734" xr:uid="{00000000-0005-0000-0000-0000AE870000}"/>
    <cellStyle name="Normal 5 17 2 13 2 7" xfId="34735" xr:uid="{00000000-0005-0000-0000-0000AF870000}"/>
    <cellStyle name="Normal 5 17 2 13 2 8" xfId="34736" xr:uid="{00000000-0005-0000-0000-0000B0870000}"/>
    <cellStyle name="Normal 5 17 2 13 2 9" xfId="34737" xr:uid="{00000000-0005-0000-0000-0000B1870000}"/>
    <cellStyle name="Normal 5 17 2 13 3" xfId="34738" xr:uid="{00000000-0005-0000-0000-0000B2870000}"/>
    <cellStyle name="Normal 5 17 2 13 3 10" xfId="34739" xr:uid="{00000000-0005-0000-0000-0000B3870000}"/>
    <cellStyle name="Normal 5 17 2 13 3 2" xfId="34740" xr:uid="{00000000-0005-0000-0000-0000B4870000}"/>
    <cellStyle name="Normal 5 17 2 13 3 3" xfId="34741" xr:uid="{00000000-0005-0000-0000-0000B5870000}"/>
    <cellStyle name="Normal 5 17 2 13 3 4" xfId="34742" xr:uid="{00000000-0005-0000-0000-0000B6870000}"/>
    <cellStyle name="Normal 5 17 2 13 3 5" xfId="34743" xr:uid="{00000000-0005-0000-0000-0000B7870000}"/>
    <cellStyle name="Normal 5 17 2 13 3 6" xfId="34744" xr:uid="{00000000-0005-0000-0000-0000B8870000}"/>
    <cellStyle name="Normal 5 17 2 13 3 7" xfId="34745" xr:uid="{00000000-0005-0000-0000-0000B9870000}"/>
    <cellStyle name="Normal 5 17 2 13 3 8" xfId="34746" xr:uid="{00000000-0005-0000-0000-0000BA870000}"/>
    <cellStyle name="Normal 5 17 2 13 3 9" xfId="34747" xr:uid="{00000000-0005-0000-0000-0000BB870000}"/>
    <cellStyle name="Normal 5 17 2 13 4" xfId="34748" xr:uid="{00000000-0005-0000-0000-0000BC870000}"/>
    <cellStyle name="Normal 5 17 2 13 4 10" xfId="34749" xr:uid="{00000000-0005-0000-0000-0000BD870000}"/>
    <cellStyle name="Normal 5 17 2 13 4 2" xfId="34750" xr:uid="{00000000-0005-0000-0000-0000BE870000}"/>
    <cellStyle name="Normal 5 17 2 13 4 3" xfId="34751" xr:uid="{00000000-0005-0000-0000-0000BF870000}"/>
    <cellStyle name="Normal 5 17 2 13 4 4" xfId="34752" xr:uid="{00000000-0005-0000-0000-0000C0870000}"/>
    <cellStyle name="Normal 5 17 2 13 4 5" xfId="34753" xr:uid="{00000000-0005-0000-0000-0000C1870000}"/>
    <cellStyle name="Normal 5 17 2 13 4 6" xfId="34754" xr:uid="{00000000-0005-0000-0000-0000C2870000}"/>
    <cellStyle name="Normal 5 17 2 13 4 7" xfId="34755" xr:uid="{00000000-0005-0000-0000-0000C3870000}"/>
    <cellStyle name="Normal 5 17 2 13 4 8" xfId="34756" xr:uid="{00000000-0005-0000-0000-0000C4870000}"/>
    <cellStyle name="Normal 5 17 2 13 4 9" xfId="34757" xr:uid="{00000000-0005-0000-0000-0000C5870000}"/>
    <cellStyle name="Normal 5 17 2 13 5" xfId="34758" xr:uid="{00000000-0005-0000-0000-0000C6870000}"/>
    <cellStyle name="Normal 5 17 2 13 5 10" xfId="34759" xr:uid="{00000000-0005-0000-0000-0000C7870000}"/>
    <cellStyle name="Normal 5 17 2 13 5 2" xfId="34760" xr:uid="{00000000-0005-0000-0000-0000C8870000}"/>
    <cellStyle name="Normal 5 17 2 13 5 3" xfId="34761" xr:uid="{00000000-0005-0000-0000-0000C9870000}"/>
    <cellStyle name="Normal 5 17 2 13 5 4" xfId="34762" xr:uid="{00000000-0005-0000-0000-0000CA870000}"/>
    <cellStyle name="Normal 5 17 2 13 5 5" xfId="34763" xr:uid="{00000000-0005-0000-0000-0000CB870000}"/>
    <cellStyle name="Normal 5 17 2 13 5 6" xfId="34764" xr:uid="{00000000-0005-0000-0000-0000CC870000}"/>
    <cellStyle name="Normal 5 17 2 13 5 7" xfId="34765" xr:uid="{00000000-0005-0000-0000-0000CD870000}"/>
    <cellStyle name="Normal 5 17 2 13 5 8" xfId="34766" xr:uid="{00000000-0005-0000-0000-0000CE870000}"/>
    <cellStyle name="Normal 5 17 2 13 5 9" xfId="34767" xr:uid="{00000000-0005-0000-0000-0000CF870000}"/>
    <cellStyle name="Normal 5 17 2 13 6" xfId="34768" xr:uid="{00000000-0005-0000-0000-0000D0870000}"/>
    <cellStyle name="Normal 5 17 2 13 7" xfId="34769" xr:uid="{00000000-0005-0000-0000-0000D1870000}"/>
    <cellStyle name="Normal 5 17 2 13 8" xfId="34770" xr:uid="{00000000-0005-0000-0000-0000D2870000}"/>
    <cellStyle name="Normal 5 17 2 13 9" xfId="34771" xr:uid="{00000000-0005-0000-0000-0000D3870000}"/>
    <cellStyle name="Normal 5 17 2 14" xfId="34772" xr:uid="{00000000-0005-0000-0000-0000D4870000}"/>
    <cellStyle name="Normal 5 17 2 14 10" xfId="34773" xr:uid="{00000000-0005-0000-0000-0000D5870000}"/>
    <cellStyle name="Normal 5 17 2 14 11" xfId="34774" xr:uid="{00000000-0005-0000-0000-0000D6870000}"/>
    <cellStyle name="Normal 5 17 2 14 12" xfId="34775" xr:uid="{00000000-0005-0000-0000-0000D7870000}"/>
    <cellStyle name="Normal 5 17 2 14 13" xfId="34776" xr:uid="{00000000-0005-0000-0000-0000D8870000}"/>
    <cellStyle name="Normal 5 17 2 14 14" xfId="34777" xr:uid="{00000000-0005-0000-0000-0000D9870000}"/>
    <cellStyle name="Normal 5 17 2 14 2" xfId="34778" xr:uid="{00000000-0005-0000-0000-0000DA870000}"/>
    <cellStyle name="Normal 5 17 2 14 2 10" xfId="34779" xr:uid="{00000000-0005-0000-0000-0000DB870000}"/>
    <cellStyle name="Normal 5 17 2 14 2 2" xfId="34780" xr:uid="{00000000-0005-0000-0000-0000DC870000}"/>
    <cellStyle name="Normal 5 17 2 14 2 3" xfId="34781" xr:uid="{00000000-0005-0000-0000-0000DD870000}"/>
    <cellStyle name="Normal 5 17 2 14 2 4" xfId="34782" xr:uid="{00000000-0005-0000-0000-0000DE870000}"/>
    <cellStyle name="Normal 5 17 2 14 2 5" xfId="34783" xr:uid="{00000000-0005-0000-0000-0000DF870000}"/>
    <cellStyle name="Normal 5 17 2 14 2 6" xfId="34784" xr:uid="{00000000-0005-0000-0000-0000E0870000}"/>
    <cellStyle name="Normal 5 17 2 14 2 7" xfId="34785" xr:uid="{00000000-0005-0000-0000-0000E1870000}"/>
    <cellStyle name="Normal 5 17 2 14 2 8" xfId="34786" xr:uid="{00000000-0005-0000-0000-0000E2870000}"/>
    <cellStyle name="Normal 5 17 2 14 2 9" xfId="34787" xr:uid="{00000000-0005-0000-0000-0000E3870000}"/>
    <cellStyle name="Normal 5 17 2 14 3" xfId="34788" xr:uid="{00000000-0005-0000-0000-0000E4870000}"/>
    <cellStyle name="Normal 5 17 2 14 3 10" xfId="34789" xr:uid="{00000000-0005-0000-0000-0000E5870000}"/>
    <cellStyle name="Normal 5 17 2 14 3 2" xfId="34790" xr:uid="{00000000-0005-0000-0000-0000E6870000}"/>
    <cellStyle name="Normal 5 17 2 14 3 3" xfId="34791" xr:uid="{00000000-0005-0000-0000-0000E7870000}"/>
    <cellStyle name="Normal 5 17 2 14 3 4" xfId="34792" xr:uid="{00000000-0005-0000-0000-0000E8870000}"/>
    <cellStyle name="Normal 5 17 2 14 3 5" xfId="34793" xr:uid="{00000000-0005-0000-0000-0000E9870000}"/>
    <cellStyle name="Normal 5 17 2 14 3 6" xfId="34794" xr:uid="{00000000-0005-0000-0000-0000EA870000}"/>
    <cellStyle name="Normal 5 17 2 14 3 7" xfId="34795" xr:uid="{00000000-0005-0000-0000-0000EB870000}"/>
    <cellStyle name="Normal 5 17 2 14 3 8" xfId="34796" xr:uid="{00000000-0005-0000-0000-0000EC870000}"/>
    <cellStyle name="Normal 5 17 2 14 3 9" xfId="34797" xr:uid="{00000000-0005-0000-0000-0000ED870000}"/>
    <cellStyle name="Normal 5 17 2 14 4" xfId="34798" xr:uid="{00000000-0005-0000-0000-0000EE870000}"/>
    <cellStyle name="Normal 5 17 2 14 4 10" xfId="34799" xr:uid="{00000000-0005-0000-0000-0000EF870000}"/>
    <cellStyle name="Normal 5 17 2 14 4 2" xfId="34800" xr:uid="{00000000-0005-0000-0000-0000F0870000}"/>
    <cellStyle name="Normal 5 17 2 14 4 3" xfId="34801" xr:uid="{00000000-0005-0000-0000-0000F1870000}"/>
    <cellStyle name="Normal 5 17 2 14 4 4" xfId="34802" xr:uid="{00000000-0005-0000-0000-0000F2870000}"/>
    <cellStyle name="Normal 5 17 2 14 4 5" xfId="34803" xr:uid="{00000000-0005-0000-0000-0000F3870000}"/>
    <cellStyle name="Normal 5 17 2 14 4 6" xfId="34804" xr:uid="{00000000-0005-0000-0000-0000F4870000}"/>
    <cellStyle name="Normal 5 17 2 14 4 7" xfId="34805" xr:uid="{00000000-0005-0000-0000-0000F5870000}"/>
    <cellStyle name="Normal 5 17 2 14 4 8" xfId="34806" xr:uid="{00000000-0005-0000-0000-0000F6870000}"/>
    <cellStyle name="Normal 5 17 2 14 4 9" xfId="34807" xr:uid="{00000000-0005-0000-0000-0000F7870000}"/>
    <cellStyle name="Normal 5 17 2 14 5" xfId="34808" xr:uid="{00000000-0005-0000-0000-0000F8870000}"/>
    <cellStyle name="Normal 5 17 2 14 5 10" xfId="34809" xr:uid="{00000000-0005-0000-0000-0000F9870000}"/>
    <cellStyle name="Normal 5 17 2 14 5 2" xfId="34810" xr:uid="{00000000-0005-0000-0000-0000FA870000}"/>
    <cellStyle name="Normal 5 17 2 14 5 3" xfId="34811" xr:uid="{00000000-0005-0000-0000-0000FB870000}"/>
    <cellStyle name="Normal 5 17 2 14 5 4" xfId="34812" xr:uid="{00000000-0005-0000-0000-0000FC870000}"/>
    <cellStyle name="Normal 5 17 2 14 5 5" xfId="34813" xr:uid="{00000000-0005-0000-0000-0000FD870000}"/>
    <cellStyle name="Normal 5 17 2 14 5 6" xfId="34814" xr:uid="{00000000-0005-0000-0000-0000FE870000}"/>
    <cellStyle name="Normal 5 17 2 14 5 7" xfId="34815" xr:uid="{00000000-0005-0000-0000-0000FF870000}"/>
    <cellStyle name="Normal 5 17 2 14 5 8" xfId="34816" xr:uid="{00000000-0005-0000-0000-000000880000}"/>
    <cellStyle name="Normal 5 17 2 14 5 9" xfId="34817" xr:uid="{00000000-0005-0000-0000-000001880000}"/>
    <cellStyle name="Normal 5 17 2 14 6" xfId="34818" xr:uid="{00000000-0005-0000-0000-000002880000}"/>
    <cellStyle name="Normal 5 17 2 14 7" xfId="34819" xr:uid="{00000000-0005-0000-0000-000003880000}"/>
    <cellStyle name="Normal 5 17 2 14 8" xfId="34820" xr:uid="{00000000-0005-0000-0000-000004880000}"/>
    <cellStyle name="Normal 5 17 2 14 9" xfId="34821" xr:uid="{00000000-0005-0000-0000-000005880000}"/>
    <cellStyle name="Normal 5 17 2 15" xfId="34822" xr:uid="{00000000-0005-0000-0000-000006880000}"/>
    <cellStyle name="Normal 5 17 2 15 10" xfId="34823" xr:uid="{00000000-0005-0000-0000-000007880000}"/>
    <cellStyle name="Normal 5 17 2 15 11" xfId="34824" xr:uid="{00000000-0005-0000-0000-000008880000}"/>
    <cellStyle name="Normal 5 17 2 15 12" xfId="34825" xr:uid="{00000000-0005-0000-0000-000009880000}"/>
    <cellStyle name="Normal 5 17 2 15 13" xfId="34826" xr:uid="{00000000-0005-0000-0000-00000A880000}"/>
    <cellStyle name="Normal 5 17 2 15 14" xfId="34827" xr:uid="{00000000-0005-0000-0000-00000B880000}"/>
    <cellStyle name="Normal 5 17 2 15 2" xfId="34828" xr:uid="{00000000-0005-0000-0000-00000C880000}"/>
    <cellStyle name="Normal 5 17 2 15 2 10" xfId="34829" xr:uid="{00000000-0005-0000-0000-00000D880000}"/>
    <cellStyle name="Normal 5 17 2 15 2 2" xfId="34830" xr:uid="{00000000-0005-0000-0000-00000E880000}"/>
    <cellStyle name="Normal 5 17 2 15 2 3" xfId="34831" xr:uid="{00000000-0005-0000-0000-00000F880000}"/>
    <cellStyle name="Normal 5 17 2 15 2 4" xfId="34832" xr:uid="{00000000-0005-0000-0000-000010880000}"/>
    <cellStyle name="Normal 5 17 2 15 2 5" xfId="34833" xr:uid="{00000000-0005-0000-0000-000011880000}"/>
    <cellStyle name="Normal 5 17 2 15 2 6" xfId="34834" xr:uid="{00000000-0005-0000-0000-000012880000}"/>
    <cellStyle name="Normal 5 17 2 15 2 7" xfId="34835" xr:uid="{00000000-0005-0000-0000-000013880000}"/>
    <cellStyle name="Normal 5 17 2 15 2 8" xfId="34836" xr:uid="{00000000-0005-0000-0000-000014880000}"/>
    <cellStyle name="Normal 5 17 2 15 2 9" xfId="34837" xr:uid="{00000000-0005-0000-0000-000015880000}"/>
    <cellStyle name="Normal 5 17 2 15 3" xfId="34838" xr:uid="{00000000-0005-0000-0000-000016880000}"/>
    <cellStyle name="Normal 5 17 2 15 3 10" xfId="34839" xr:uid="{00000000-0005-0000-0000-000017880000}"/>
    <cellStyle name="Normal 5 17 2 15 3 2" xfId="34840" xr:uid="{00000000-0005-0000-0000-000018880000}"/>
    <cellStyle name="Normal 5 17 2 15 3 3" xfId="34841" xr:uid="{00000000-0005-0000-0000-000019880000}"/>
    <cellStyle name="Normal 5 17 2 15 3 4" xfId="34842" xr:uid="{00000000-0005-0000-0000-00001A880000}"/>
    <cellStyle name="Normal 5 17 2 15 3 5" xfId="34843" xr:uid="{00000000-0005-0000-0000-00001B880000}"/>
    <cellStyle name="Normal 5 17 2 15 3 6" xfId="34844" xr:uid="{00000000-0005-0000-0000-00001C880000}"/>
    <cellStyle name="Normal 5 17 2 15 3 7" xfId="34845" xr:uid="{00000000-0005-0000-0000-00001D880000}"/>
    <cellStyle name="Normal 5 17 2 15 3 8" xfId="34846" xr:uid="{00000000-0005-0000-0000-00001E880000}"/>
    <cellStyle name="Normal 5 17 2 15 3 9" xfId="34847" xr:uid="{00000000-0005-0000-0000-00001F880000}"/>
    <cellStyle name="Normal 5 17 2 15 4" xfId="34848" xr:uid="{00000000-0005-0000-0000-000020880000}"/>
    <cellStyle name="Normal 5 17 2 15 4 10" xfId="34849" xr:uid="{00000000-0005-0000-0000-000021880000}"/>
    <cellStyle name="Normal 5 17 2 15 4 2" xfId="34850" xr:uid="{00000000-0005-0000-0000-000022880000}"/>
    <cellStyle name="Normal 5 17 2 15 4 3" xfId="34851" xr:uid="{00000000-0005-0000-0000-000023880000}"/>
    <cellStyle name="Normal 5 17 2 15 4 4" xfId="34852" xr:uid="{00000000-0005-0000-0000-000024880000}"/>
    <cellStyle name="Normal 5 17 2 15 4 5" xfId="34853" xr:uid="{00000000-0005-0000-0000-000025880000}"/>
    <cellStyle name="Normal 5 17 2 15 4 6" xfId="34854" xr:uid="{00000000-0005-0000-0000-000026880000}"/>
    <cellStyle name="Normal 5 17 2 15 4 7" xfId="34855" xr:uid="{00000000-0005-0000-0000-000027880000}"/>
    <cellStyle name="Normal 5 17 2 15 4 8" xfId="34856" xr:uid="{00000000-0005-0000-0000-000028880000}"/>
    <cellStyle name="Normal 5 17 2 15 4 9" xfId="34857" xr:uid="{00000000-0005-0000-0000-000029880000}"/>
    <cellStyle name="Normal 5 17 2 15 5" xfId="34858" xr:uid="{00000000-0005-0000-0000-00002A880000}"/>
    <cellStyle name="Normal 5 17 2 15 5 10" xfId="34859" xr:uid="{00000000-0005-0000-0000-00002B880000}"/>
    <cellStyle name="Normal 5 17 2 15 5 2" xfId="34860" xr:uid="{00000000-0005-0000-0000-00002C880000}"/>
    <cellStyle name="Normal 5 17 2 15 5 3" xfId="34861" xr:uid="{00000000-0005-0000-0000-00002D880000}"/>
    <cellStyle name="Normal 5 17 2 15 5 4" xfId="34862" xr:uid="{00000000-0005-0000-0000-00002E880000}"/>
    <cellStyle name="Normal 5 17 2 15 5 5" xfId="34863" xr:uid="{00000000-0005-0000-0000-00002F880000}"/>
    <cellStyle name="Normal 5 17 2 15 5 6" xfId="34864" xr:uid="{00000000-0005-0000-0000-000030880000}"/>
    <cellStyle name="Normal 5 17 2 15 5 7" xfId="34865" xr:uid="{00000000-0005-0000-0000-000031880000}"/>
    <cellStyle name="Normal 5 17 2 15 5 8" xfId="34866" xr:uid="{00000000-0005-0000-0000-000032880000}"/>
    <cellStyle name="Normal 5 17 2 15 5 9" xfId="34867" xr:uid="{00000000-0005-0000-0000-000033880000}"/>
    <cellStyle name="Normal 5 17 2 15 6" xfId="34868" xr:uid="{00000000-0005-0000-0000-000034880000}"/>
    <cellStyle name="Normal 5 17 2 15 7" xfId="34869" xr:uid="{00000000-0005-0000-0000-000035880000}"/>
    <cellStyle name="Normal 5 17 2 15 8" xfId="34870" xr:uid="{00000000-0005-0000-0000-000036880000}"/>
    <cellStyle name="Normal 5 17 2 15 9" xfId="34871" xr:uid="{00000000-0005-0000-0000-000037880000}"/>
    <cellStyle name="Normal 5 17 2 16" xfId="34872" xr:uid="{00000000-0005-0000-0000-000038880000}"/>
    <cellStyle name="Normal 5 17 2 16 10" xfId="34873" xr:uid="{00000000-0005-0000-0000-000039880000}"/>
    <cellStyle name="Normal 5 17 2 16 11" xfId="34874" xr:uid="{00000000-0005-0000-0000-00003A880000}"/>
    <cellStyle name="Normal 5 17 2 16 12" xfId="34875" xr:uid="{00000000-0005-0000-0000-00003B880000}"/>
    <cellStyle name="Normal 5 17 2 16 13" xfId="34876" xr:uid="{00000000-0005-0000-0000-00003C880000}"/>
    <cellStyle name="Normal 5 17 2 16 14" xfId="34877" xr:uid="{00000000-0005-0000-0000-00003D880000}"/>
    <cellStyle name="Normal 5 17 2 16 2" xfId="34878" xr:uid="{00000000-0005-0000-0000-00003E880000}"/>
    <cellStyle name="Normal 5 17 2 16 2 10" xfId="34879" xr:uid="{00000000-0005-0000-0000-00003F880000}"/>
    <cellStyle name="Normal 5 17 2 16 2 2" xfId="34880" xr:uid="{00000000-0005-0000-0000-000040880000}"/>
    <cellStyle name="Normal 5 17 2 16 2 3" xfId="34881" xr:uid="{00000000-0005-0000-0000-000041880000}"/>
    <cellStyle name="Normal 5 17 2 16 2 4" xfId="34882" xr:uid="{00000000-0005-0000-0000-000042880000}"/>
    <cellStyle name="Normal 5 17 2 16 2 5" xfId="34883" xr:uid="{00000000-0005-0000-0000-000043880000}"/>
    <cellStyle name="Normal 5 17 2 16 2 6" xfId="34884" xr:uid="{00000000-0005-0000-0000-000044880000}"/>
    <cellStyle name="Normal 5 17 2 16 2 7" xfId="34885" xr:uid="{00000000-0005-0000-0000-000045880000}"/>
    <cellStyle name="Normal 5 17 2 16 2 8" xfId="34886" xr:uid="{00000000-0005-0000-0000-000046880000}"/>
    <cellStyle name="Normal 5 17 2 16 2 9" xfId="34887" xr:uid="{00000000-0005-0000-0000-000047880000}"/>
    <cellStyle name="Normal 5 17 2 16 3" xfId="34888" xr:uid="{00000000-0005-0000-0000-000048880000}"/>
    <cellStyle name="Normal 5 17 2 16 3 10" xfId="34889" xr:uid="{00000000-0005-0000-0000-000049880000}"/>
    <cellStyle name="Normal 5 17 2 16 3 2" xfId="34890" xr:uid="{00000000-0005-0000-0000-00004A880000}"/>
    <cellStyle name="Normal 5 17 2 16 3 3" xfId="34891" xr:uid="{00000000-0005-0000-0000-00004B880000}"/>
    <cellStyle name="Normal 5 17 2 16 3 4" xfId="34892" xr:uid="{00000000-0005-0000-0000-00004C880000}"/>
    <cellStyle name="Normal 5 17 2 16 3 5" xfId="34893" xr:uid="{00000000-0005-0000-0000-00004D880000}"/>
    <cellStyle name="Normal 5 17 2 16 3 6" xfId="34894" xr:uid="{00000000-0005-0000-0000-00004E880000}"/>
    <cellStyle name="Normal 5 17 2 16 3 7" xfId="34895" xr:uid="{00000000-0005-0000-0000-00004F880000}"/>
    <cellStyle name="Normal 5 17 2 16 3 8" xfId="34896" xr:uid="{00000000-0005-0000-0000-000050880000}"/>
    <cellStyle name="Normal 5 17 2 16 3 9" xfId="34897" xr:uid="{00000000-0005-0000-0000-000051880000}"/>
    <cellStyle name="Normal 5 17 2 16 4" xfId="34898" xr:uid="{00000000-0005-0000-0000-000052880000}"/>
    <cellStyle name="Normal 5 17 2 16 4 10" xfId="34899" xr:uid="{00000000-0005-0000-0000-000053880000}"/>
    <cellStyle name="Normal 5 17 2 16 4 2" xfId="34900" xr:uid="{00000000-0005-0000-0000-000054880000}"/>
    <cellStyle name="Normal 5 17 2 16 4 3" xfId="34901" xr:uid="{00000000-0005-0000-0000-000055880000}"/>
    <cellStyle name="Normal 5 17 2 16 4 4" xfId="34902" xr:uid="{00000000-0005-0000-0000-000056880000}"/>
    <cellStyle name="Normal 5 17 2 16 4 5" xfId="34903" xr:uid="{00000000-0005-0000-0000-000057880000}"/>
    <cellStyle name="Normal 5 17 2 16 4 6" xfId="34904" xr:uid="{00000000-0005-0000-0000-000058880000}"/>
    <cellStyle name="Normal 5 17 2 16 4 7" xfId="34905" xr:uid="{00000000-0005-0000-0000-000059880000}"/>
    <cellStyle name="Normal 5 17 2 16 4 8" xfId="34906" xr:uid="{00000000-0005-0000-0000-00005A880000}"/>
    <cellStyle name="Normal 5 17 2 16 4 9" xfId="34907" xr:uid="{00000000-0005-0000-0000-00005B880000}"/>
    <cellStyle name="Normal 5 17 2 16 5" xfId="34908" xr:uid="{00000000-0005-0000-0000-00005C880000}"/>
    <cellStyle name="Normal 5 17 2 16 5 10" xfId="34909" xr:uid="{00000000-0005-0000-0000-00005D880000}"/>
    <cellStyle name="Normal 5 17 2 16 5 2" xfId="34910" xr:uid="{00000000-0005-0000-0000-00005E880000}"/>
    <cellStyle name="Normal 5 17 2 16 5 3" xfId="34911" xr:uid="{00000000-0005-0000-0000-00005F880000}"/>
    <cellStyle name="Normal 5 17 2 16 5 4" xfId="34912" xr:uid="{00000000-0005-0000-0000-000060880000}"/>
    <cellStyle name="Normal 5 17 2 16 5 5" xfId="34913" xr:uid="{00000000-0005-0000-0000-000061880000}"/>
    <cellStyle name="Normal 5 17 2 16 5 6" xfId="34914" xr:uid="{00000000-0005-0000-0000-000062880000}"/>
    <cellStyle name="Normal 5 17 2 16 5 7" xfId="34915" xr:uid="{00000000-0005-0000-0000-000063880000}"/>
    <cellStyle name="Normal 5 17 2 16 5 8" xfId="34916" xr:uid="{00000000-0005-0000-0000-000064880000}"/>
    <cellStyle name="Normal 5 17 2 16 5 9" xfId="34917" xr:uid="{00000000-0005-0000-0000-000065880000}"/>
    <cellStyle name="Normal 5 17 2 16 6" xfId="34918" xr:uid="{00000000-0005-0000-0000-000066880000}"/>
    <cellStyle name="Normal 5 17 2 16 7" xfId="34919" xr:uid="{00000000-0005-0000-0000-000067880000}"/>
    <cellStyle name="Normal 5 17 2 16 8" xfId="34920" xr:uid="{00000000-0005-0000-0000-000068880000}"/>
    <cellStyle name="Normal 5 17 2 16 9" xfId="34921" xr:uid="{00000000-0005-0000-0000-000069880000}"/>
    <cellStyle name="Normal 5 17 2 17" xfId="34922" xr:uid="{00000000-0005-0000-0000-00006A880000}"/>
    <cellStyle name="Normal 5 17 2 17 10" xfId="34923" xr:uid="{00000000-0005-0000-0000-00006B880000}"/>
    <cellStyle name="Normal 5 17 2 17 11" xfId="34924" xr:uid="{00000000-0005-0000-0000-00006C880000}"/>
    <cellStyle name="Normal 5 17 2 17 12" xfId="34925" xr:uid="{00000000-0005-0000-0000-00006D880000}"/>
    <cellStyle name="Normal 5 17 2 17 13" xfId="34926" xr:uid="{00000000-0005-0000-0000-00006E880000}"/>
    <cellStyle name="Normal 5 17 2 17 14" xfId="34927" xr:uid="{00000000-0005-0000-0000-00006F880000}"/>
    <cellStyle name="Normal 5 17 2 17 2" xfId="34928" xr:uid="{00000000-0005-0000-0000-000070880000}"/>
    <cellStyle name="Normal 5 17 2 17 2 10" xfId="34929" xr:uid="{00000000-0005-0000-0000-000071880000}"/>
    <cellStyle name="Normal 5 17 2 17 2 2" xfId="34930" xr:uid="{00000000-0005-0000-0000-000072880000}"/>
    <cellStyle name="Normal 5 17 2 17 2 3" xfId="34931" xr:uid="{00000000-0005-0000-0000-000073880000}"/>
    <cellStyle name="Normal 5 17 2 17 2 4" xfId="34932" xr:uid="{00000000-0005-0000-0000-000074880000}"/>
    <cellStyle name="Normal 5 17 2 17 2 5" xfId="34933" xr:uid="{00000000-0005-0000-0000-000075880000}"/>
    <cellStyle name="Normal 5 17 2 17 2 6" xfId="34934" xr:uid="{00000000-0005-0000-0000-000076880000}"/>
    <cellStyle name="Normal 5 17 2 17 2 7" xfId="34935" xr:uid="{00000000-0005-0000-0000-000077880000}"/>
    <cellStyle name="Normal 5 17 2 17 2 8" xfId="34936" xr:uid="{00000000-0005-0000-0000-000078880000}"/>
    <cellStyle name="Normal 5 17 2 17 2 9" xfId="34937" xr:uid="{00000000-0005-0000-0000-000079880000}"/>
    <cellStyle name="Normal 5 17 2 17 3" xfId="34938" xr:uid="{00000000-0005-0000-0000-00007A880000}"/>
    <cellStyle name="Normal 5 17 2 17 3 10" xfId="34939" xr:uid="{00000000-0005-0000-0000-00007B880000}"/>
    <cellStyle name="Normal 5 17 2 17 3 2" xfId="34940" xr:uid="{00000000-0005-0000-0000-00007C880000}"/>
    <cellStyle name="Normal 5 17 2 17 3 3" xfId="34941" xr:uid="{00000000-0005-0000-0000-00007D880000}"/>
    <cellStyle name="Normal 5 17 2 17 3 4" xfId="34942" xr:uid="{00000000-0005-0000-0000-00007E880000}"/>
    <cellStyle name="Normal 5 17 2 17 3 5" xfId="34943" xr:uid="{00000000-0005-0000-0000-00007F880000}"/>
    <cellStyle name="Normal 5 17 2 17 3 6" xfId="34944" xr:uid="{00000000-0005-0000-0000-000080880000}"/>
    <cellStyle name="Normal 5 17 2 17 3 7" xfId="34945" xr:uid="{00000000-0005-0000-0000-000081880000}"/>
    <cellStyle name="Normal 5 17 2 17 3 8" xfId="34946" xr:uid="{00000000-0005-0000-0000-000082880000}"/>
    <cellStyle name="Normal 5 17 2 17 3 9" xfId="34947" xr:uid="{00000000-0005-0000-0000-000083880000}"/>
    <cellStyle name="Normal 5 17 2 17 4" xfId="34948" xr:uid="{00000000-0005-0000-0000-000084880000}"/>
    <cellStyle name="Normal 5 17 2 17 4 10" xfId="34949" xr:uid="{00000000-0005-0000-0000-000085880000}"/>
    <cellStyle name="Normal 5 17 2 17 4 2" xfId="34950" xr:uid="{00000000-0005-0000-0000-000086880000}"/>
    <cellStyle name="Normal 5 17 2 17 4 3" xfId="34951" xr:uid="{00000000-0005-0000-0000-000087880000}"/>
    <cellStyle name="Normal 5 17 2 17 4 4" xfId="34952" xr:uid="{00000000-0005-0000-0000-000088880000}"/>
    <cellStyle name="Normal 5 17 2 17 4 5" xfId="34953" xr:uid="{00000000-0005-0000-0000-000089880000}"/>
    <cellStyle name="Normal 5 17 2 17 4 6" xfId="34954" xr:uid="{00000000-0005-0000-0000-00008A880000}"/>
    <cellStyle name="Normal 5 17 2 17 4 7" xfId="34955" xr:uid="{00000000-0005-0000-0000-00008B880000}"/>
    <cellStyle name="Normal 5 17 2 17 4 8" xfId="34956" xr:uid="{00000000-0005-0000-0000-00008C880000}"/>
    <cellStyle name="Normal 5 17 2 17 4 9" xfId="34957" xr:uid="{00000000-0005-0000-0000-00008D880000}"/>
    <cellStyle name="Normal 5 17 2 17 5" xfId="34958" xr:uid="{00000000-0005-0000-0000-00008E880000}"/>
    <cellStyle name="Normal 5 17 2 17 5 10" xfId="34959" xr:uid="{00000000-0005-0000-0000-00008F880000}"/>
    <cellStyle name="Normal 5 17 2 17 5 2" xfId="34960" xr:uid="{00000000-0005-0000-0000-000090880000}"/>
    <cellStyle name="Normal 5 17 2 17 5 3" xfId="34961" xr:uid="{00000000-0005-0000-0000-000091880000}"/>
    <cellStyle name="Normal 5 17 2 17 5 4" xfId="34962" xr:uid="{00000000-0005-0000-0000-000092880000}"/>
    <cellStyle name="Normal 5 17 2 17 5 5" xfId="34963" xr:uid="{00000000-0005-0000-0000-000093880000}"/>
    <cellStyle name="Normal 5 17 2 17 5 6" xfId="34964" xr:uid="{00000000-0005-0000-0000-000094880000}"/>
    <cellStyle name="Normal 5 17 2 17 5 7" xfId="34965" xr:uid="{00000000-0005-0000-0000-000095880000}"/>
    <cellStyle name="Normal 5 17 2 17 5 8" xfId="34966" xr:uid="{00000000-0005-0000-0000-000096880000}"/>
    <cellStyle name="Normal 5 17 2 17 5 9" xfId="34967" xr:uid="{00000000-0005-0000-0000-000097880000}"/>
    <cellStyle name="Normal 5 17 2 17 6" xfId="34968" xr:uid="{00000000-0005-0000-0000-000098880000}"/>
    <cellStyle name="Normal 5 17 2 17 7" xfId="34969" xr:uid="{00000000-0005-0000-0000-000099880000}"/>
    <cellStyle name="Normal 5 17 2 17 8" xfId="34970" xr:uid="{00000000-0005-0000-0000-00009A880000}"/>
    <cellStyle name="Normal 5 17 2 17 9" xfId="34971" xr:uid="{00000000-0005-0000-0000-00009B880000}"/>
    <cellStyle name="Normal 5 17 2 18" xfId="34972" xr:uid="{00000000-0005-0000-0000-00009C880000}"/>
    <cellStyle name="Normal 5 17 2 18 10" xfId="34973" xr:uid="{00000000-0005-0000-0000-00009D880000}"/>
    <cellStyle name="Normal 5 17 2 18 11" xfId="34974" xr:uid="{00000000-0005-0000-0000-00009E880000}"/>
    <cellStyle name="Normal 5 17 2 18 12" xfId="34975" xr:uid="{00000000-0005-0000-0000-00009F880000}"/>
    <cellStyle name="Normal 5 17 2 18 13" xfId="34976" xr:uid="{00000000-0005-0000-0000-0000A0880000}"/>
    <cellStyle name="Normal 5 17 2 18 14" xfId="34977" xr:uid="{00000000-0005-0000-0000-0000A1880000}"/>
    <cellStyle name="Normal 5 17 2 18 2" xfId="34978" xr:uid="{00000000-0005-0000-0000-0000A2880000}"/>
    <cellStyle name="Normal 5 17 2 18 2 10" xfId="34979" xr:uid="{00000000-0005-0000-0000-0000A3880000}"/>
    <cellStyle name="Normal 5 17 2 18 2 2" xfId="34980" xr:uid="{00000000-0005-0000-0000-0000A4880000}"/>
    <cellStyle name="Normal 5 17 2 18 2 3" xfId="34981" xr:uid="{00000000-0005-0000-0000-0000A5880000}"/>
    <cellStyle name="Normal 5 17 2 18 2 4" xfId="34982" xr:uid="{00000000-0005-0000-0000-0000A6880000}"/>
    <cellStyle name="Normal 5 17 2 18 2 5" xfId="34983" xr:uid="{00000000-0005-0000-0000-0000A7880000}"/>
    <cellStyle name="Normal 5 17 2 18 2 6" xfId="34984" xr:uid="{00000000-0005-0000-0000-0000A8880000}"/>
    <cellStyle name="Normal 5 17 2 18 2 7" xfId="34985" xr:uid="{00000000-0005-0000-0000-0000A9880000}"/>
    <cellStyle name="Normal 5 17 2 18 2 8" xfId="34986" xr:uid="{00000000-0005-0000-0000-0000AA880000}"/>
    <cellStyle name="Normal 5 17 2 18 2 9" xfId="34987" xr:uid="{00000000-0005-0000-0000-0000AB880000}"/>
    <cellStyle name="Normal 5 17 2 18 3" xfId="34988" xr:uid="{00000000-0005-0000-0000-0000AC880000}"/>
    <cellStyle name="Normal 5 17 2 18 3 10" xfId="34989" xr:uid="{00000000-0005-0000-0000-0000AD880000}"/>
    <cellStyle name="Normal 5 17 2 18 3 2" xfId="34990" xr:uid="{00000000-0005-0000-0000-0000AE880000}"/>
    <cellStyle name="Normal 5 17 2 18 3 3" xfId="34991" xr:uid="{00000000-0005-0000-0000-0000AF880000}"/>
    <cellStyle name="Normal 5 17 2 18 3 4" xfId="34992" xr:uid="{00000000-0005-0000-0000-0000B0880000}"/>
    <cellStyle name="Normal 5 17 2 18 3 5" xfId="34993" xr:uid="{00000000-0005-0000-0000-0000B1880000}"/>
    <cellStyle name="Normal 5 17 2 18 3 6" xfId="34994" xr:uid="{00000000-0005-0000-0000-0000B2880000}"/>
    <cellStyle name="Normal 5 17 2 18 3 7" xfId="34995" xr:uid="{00000000-0005-0000-0000-0000B3880000}"/>
    <cellStyle name="Normal 5 17 2 18 3 8" xfId="34996" xr:uid="{00000000-0005-0000-0000-0000B4880000}"/>
    <cellStyle name="Normal 5 17 2 18 3 9" xfId="34997" xr:uid="{00000000-0005-0000-0000-0000B5880000}"/>
    <cellStyle name="Normal 5 17 2 18 4" xfId="34998" xr:uid="{00000000-0005-0000-0000-0000B6880000}"/>
    <cellStyle name="Normal 5 17 2 18 4 10" xfId="34999" xr:uid="{00000000-0005-0000-0000-0000B7880000}"/>
    <cellStyle name="Normal 5 17 2 18 4 2" xfId="35000" xr:uid="{00000000-0005-0000-0000-0000B8880000}"/>
    <cellStyle name="Normal 5 17 2 18 4 3" xfId="35001" xr:uid="{00000000-0005-0000-0000-0000B9880000}"/>
    <cellStyle name="Normal 5 17 2 18 4 4" xfId="35002" xr:uid="{00000000-0005-0000-0000-0000BA880000}"/>
    <cellStyle name="Normal 5 17 2 18 4 5" xfId="35003" xr:uid="{00000000-0005-0000-0000-0000BB880000}"/>
    <cellStyle name="Normal 5 17 2 18 4 6" xfId="35004" xr:uid="{00000000-0005-0000-0000-0000BC880000}"/>
    <cellStyle name="Normal 5 17 2 18 4 7" xfId="35005" xr:uid="{00000000-0005-0000-0000-0000BD880000}"/>
    <cellStyle name="Normal 5 17 2 18 4 8" xfId="35006" xr:uid="{00000000-0005-0000-0000-0000BE880000}"/>
    <cellStyle name="Normal 5 17 2 18 4 9" xfId="35007" xr:uid="{00000000-0005-0000-0000-0000BF880000}"/>
    <cellStyle name="Normal 5 17 2 18 5" xfId="35008" xr:uid="{00000000-0005-0000-0000-0000C0880000}"/>
    <cellStyle name="Normal 5 17 2 18 5 10" xfId="35009" xr:uid="{00000000-0005-0000-0000-0000C1880000}"/>
    <cellStyle name="Normal 5 17 2 18 5 2" xfId="35010" xr:uid="{00000000-0005-0000-0000-0000C2880000}"/>
    <cellStyle name="Normal 5 17 2 18 5 3" xfId="35011" xr:uid="{00000000-0005-0000-0000-0000C3880000}"/>
    <cellStyle name="Normal 5 17 2 18 5 4" xfId="35012" xr:uid="{00000000-0005-0000-0000-0000C4880000}"/>
    <cellStyle name="Normal 5 17 2 18 5 5" xfId="35013" xr:uid="{00000000-0005-0000-0000-0000C5880000}"/>
    <cellStyle name="Normal 5 17 2 18 5 6" xfId="35014" xr:uid="{00000000-0005-0000-0000-0000C6880000}"/>
    <cellStyle name="Normal 5 17 2 18 5 7" xfId="35015" xr:uid="{00000000-0005-0000-0000-0000C7880000}"/>
    <cellStyle name="Normal 5 17 2 18 5 8" xfId="35016" xr:uid="{00000000-0005-0000-0000-0000C8880000}"/>
    <cellStyle name="Normal 5 17 2 18 5 9" xfId="35017" xr:uid="{00000000-0005-0000-0000-0000C9880000}"/>
    <cellStyle name="Normal 5 17 2 18 6" xfId="35018" xr:uid="{00000000-0005-0000-0000-0000CA880000}"/>
    <cellStyle name="Normal 5 17 2 18 7" xfId="35019" xr:uid="{00000000-0005-0000-0000-0000CB880000}"/>
    <cellStyle name="Normal 5 17 2 18 8" xfId="35020" xr:uid="{00000000-0005-0000-0000-0000CC880000}"/>
    <cellStyle name="Normal 5 17 2 18 9" xfId="35021" xr:uid="{00000000-0005-0000-0000-0000CD880000}"/>
    <cellStyle name="Normal 5 17 2 19" xfId="35022" xr:uid="{00000000-0005-0000-0000-0000CE880000}"/>
    <cellStyle name="Normal 5 17 2 19 10" xfId="35023" xr:uid="{00000000-0005-0000-0000-0000CF880000}"/>
    <cellStyle name="Normal 5 17 2 19 11" xfId="35024" xr:uid="{00000000-0005-0000-0000-0000D0880000}"/>
    <cellStyle name="Normal 5 17 2 19 12" xfId="35025" xr:uid="{00000000-0005-0000-0000-0000D1880000}"/>
    <cellStyle name="Normal 5 17 2 19 13" xfId="35026" xr:uid="{00000000-0005-0000-0000-0000D2880000}"/>
    <cellStyle name="Normal 5 17 2 19 14" xfId="35027" xr:uid="{00000000-0005-0000-0000-0000D3880000}"/>
    <cellStyle name="Normal 5 17 2 19 2" xfId="35028" xr:uid="{00000000-0005-0000-0000-0000D4880000}"/>
    <cellStyle name="Normal 5 17 2 19 2 10" xfId="35029" xr:uid="{00000000-0005-0000-0000-0000D5880000}"/>
    <cellStyle name="Normal 5 17 2 19 2 2" xfId="35030" xr:uid="{00000000-0005-0000-0000-0000D6880000}"/>
    <cellStyle name="Normal 5 17 2 19 2 3" xfId="35031" xr:uid="{00000000-0005-0000-0000-0000D7880000}"/>
    <cellStyle name="Normal 5 17 2 19 2 4" xfId="35032" xr:uid="{00000000-0005-0000-0000-0000D8880000}"/>
    <cellStyle name="Normal 5 17 2 19 2 5" xfId="35033" xr:uid="{00000000-0005-0000-0000-0000D9880000}"/>
    <cellStyle name="Normal 5 17 2 19 2 6" xfId="35034" xr:uid="{00000000-0005-0000-0000-0000DA880000}"/>
    <cellStyle name="Normal 5 17 2 19 2 7" xfId="35035" xr:uid="{00000000-0005-0000-0000-0000DB880000}"/>
    <cellStyle name="Normal 5 17 2 19 2 8" xfId="35036" xr:uid="{00000000-0005-0000-0000-0000DC880000}"/>
    <cellStyle name="Normal 5 17 2 19 2 9" xfId="35037" xr:uid="{00000000-0005-0000-0000-0000DD880000}"/>
    <cellStyle name="Normal 5 17 2 19 3" xfId="35038" xr:uid="{00000000-0005-0000-0000-0000DE880000}"/>
    <cellStyle name="Normal 5 17 2 19 3 10" xfId="35039" xr:uid="{00000000-0005-0000-0000-0000DF880000}"/>
    <cellStyle name="Normal 5 17 2 19 3 2" xfId="35040" xr:uid="{00000000-0005-0000-0000-0000E0880000}"/>
    <cellStyle name="Normal 5 17 2 19 3 3" xfId="35041" xr:uid="{00000000-0005-0000-0000-0000E1880000}"/>
    <cellStyle name="Normal 5 17 2 19 3 4" xfId="35042" xr:uid="{00000000-0005-0000-0000-0000E2880000}"/>
    <cellStyle name="Normal 5 17 2 19 3 5" xfId="35043" xr:uid="{00000000-0005-0000-0000-0000E3880000}"/>
    <cellStyle name="Normal 5 17 2 19 3 6" xfId="35044" xr:uid="{00000000-0005-0000-0000-0000E4880000}"/>
    <cellStyle name="Normal 5 17 2 19 3 7" xfId="35045" xr:uid="{00000000-0005-0000-0000-0000E5880000}"/>
    <cellStyle name="Normal 5 17 2 19 3 8" xfId="35046" xr:uid="{00000000-0005-0000-0000-0000E6880000}"/>
    <cellStyle name="Normal 5 17 2 19 3 9" xfId="35047" xr:uid="{00000000-0005-0000-0000-0000E7880000}"/>
    <cellStyle name="Normal 5 17 2 19 4" xfId="35048" xr:uid="{00000000-0005-0000-0000-0000E8880000}"/>
    <cellStyle name="Normal 5 17 2 19 4 10" xfId="35049" xr:uid="{00000000-0005-0000-0000-0000E9880000}"/>
    <cellStyle name="Normal 5 17 2 19 4 2" xfId="35050" xr:uid="{00000000-0005-0000-0000-0000EA880000}"/>
    <cellStyle name="Normal 5 17 2 19 4 3" xfId="35051" xr:uid="{00000000-0005-0000-0000-0000EB880000}"/>
    <cellStyle name="Normal 5 17 2 19 4 4" xfId="35052" xr:uid="{00000000-0005-0000-0000-0000EC880000}"/>
    <cellStyle name="Normal 5 17 2 19 4 5" xfId="35053" xr:uid="{00000000-0005-0000-0000-0000ED880000}"/>
    <cellStyle name="Normal 5 17 2 19 4 6" xfId="35054" xr:uid="{00000000-0005-0000-0000-0000EE880000}"/>
    <cellStyle name="Normal 5 17 2 19 4 7" xfId="35055" xr:uid="{00000000-0005-0000-0000-0000EF880000}"/>
    <cellStyle name="Normal 5 17 2 19 4 8" xfId="35056" xr:uid="{00000000-0005-0000-0000-0000F0880000}"/>
    <cellStyle name="Normal 5 17 2 19 4 9" xfId="35057" xr:uid="{00000000-0005-0000-0000-0000F1880000}"/>
    <cellStyle name="Normal 5 17 2 19 5" xfId="35058" xr:uid="{00000000-0005-0000-0000-0000F2880000}"/>
    <cellStyle name="Normal 5 17 2 19 5 10" xfId="35059" xr:uid="{00000000-0005-0000-0000-0000F3880000}"/>
    <cellStyle name="Normal 5 17 2 19 5 2" xfId="35060" xr:uid="{00000000-0005-0000-0000-0000F4880000}"/>
    <cellStyle name="Normal 5 17 2 19 5 3" xfId="35061" xr:uid="{00000000-0005-0000-0000-0000F5880000}"/>
    <cellStyle name="Normal 5 17 2 19 5 4" xfId="35062" xr:uid="{00000000-0005-0000-0000-0000F6880000}"/>
    <cellStyle name="Normal 5 17 2 19 5 5" xfId="35063" xr:uid="{00000000-0005-0000-0000-0000F7880000}"/>
    <cellStyle name="Normal 5 17 2 19 5 6" xfId="35064" xr:uid="{00000000-0005-0000-0000-0000F8880000}"/>
    <cellStyle name="Normal 5 17 2 19 5 7" xfId="35065" xr:uid="{00000000-0005-0000-0000-0000F9880000}"/>
    <cellStyle name="Normal 5 17 2 19 5 8" xfId="35066" xr:uid="{00000000-0005-0000-0000-0000FA880000}"/>
    <cellStyle name="Normal 5 17 2 19 5 9" xfId="35067" xr:uid="{00000000-0005-0000-0000-0000FB880000}"/>
    <cellStyle name="Normal 5 17 2 19 6" xfId="35068" xr:uid="{00000000-0005-0000-0000-0000FC880000}"/>
    <cellStyle name="Normal 5 17 2 19 7" xfId="35069" xr:uid="{00000000-0005-0000-0000-0000FD880000}"/>
    <cellStyle name="Normal 5 17 2 19 8" xfId="35070" xr:uid="{00000000-0005-0000-0000-0000FE880000}"/>
    <cellStyle name="Normal 5 17 2 19 9" xfId="35071" xr:uid="{00000000-0005-0000-0000-0000FF880000}"/>
    <cellStyle name="Normal 5 17 2 2" xfId="35072" xr:uid="{00000000-0005-0000-0000-000000890000}"/>
    <cellStyle name="Normal 5 17 2 2 10" xfId="35073" xr:uid="{00000000-0005-0000-0000-000001890000}"/>
    <cellStyle name="Normal 5 17 2 2 11" xfId="35074" xr:uid="{00000000-0005-0000-0000-000002890000}"/>
    <cellStyle name="Normal 5 17 2 2 12" xfId="35075" xr:uid="{00000000-0005-0000-0000-000003890000}"/>
    <cellStyle name="Normal 5 17 2 2 13" xfId="35076" xr:uid="{00000000-0005-0000-0000-000004890000}"/>
    <cellStyle name="Normal 5 17 2 2 14" xfId="35077" xr:uid="{00000000-0005-0000-0000-000005890000}"/>
    <cellStyle name="Normal 5 17 2 2 15" xfId="35078" xr:uid="{00000000-0005-0000-0000-000006890000}"/>
    <cellStyle name="Normal 5 17 2 2 16" xfId="35079" xr:uid="{00000000-0005-0000-0000-000007890000}"/>
    <cellStyle name="Normal 5 17 2 2 2" xfId="35080" xr:uid="{00000000-0005-0000-0000-000008890000}"/>
    <cellStyle name="Normal 5 17 2 2 2 10" xfId="35081" xr:uid="{00000000-0005-0000-0000-000009890000}"/>
    <cellStyle name="Normal 5 17 2 2 2 2" xfId="35082" xr:uid="{00000000-0005-0000-0000-00000A890000}"/>
    <cellStyle name="Normal 5 17 2 2 2 3" xfId="35083" xr:uid="{00000000-0005-0000-0000-00000B890000}"/>
    <cellStyle name="Normal 5 17 2 2 2 4" xfId="35084" xr:uid="{00000000-0005-0000-0000-00000C890000}"/>
    <cellStyle name="Normal 5 17 2 2 2 5" xfId="35085" xr:uid="{00000000-0005-0000-0000-00000D890000}"/>
    <cellStyle name="Normal 5 17 2 2 2 6" xfId="35086" xr:uid="{00000000-0005-0000-0000-00000E890000}"/>
    <cellStyle name="Normal 5 17 2 2 2 7" xfId="35087" xr:uid="{00000000-0005-0000-0000-00000F890000}"/>
    <cellStyle name="Normal 5 17 2 2 2 8" xfId="35088" xr:uid="{00000000-0005-0000-0000-000010890000}"/>
    <cellStyle name="Normal 5 17 2 2 2 9" xfId="35089" xr:uid="{00000000-0005-0000-0000-000011890000}"/>
    <cellStyle name="Normal 5 17 2 2 3" xfId="35090" xr:uid="{00000000-0005-0000-0000-000012890000}"/>
    <cellStyle name="Normal 5 17 2 2 3 10" xfId="35091" xr:uid="{00000000-0005-0000-0000-000013890000}"/>
    <cellStyle name="Normal 5 17 2 2 3 2" xfId="35092" xr:uid="{00000000-0005-0000-0000-000014890000}"/>
    <cellStyle name="Normal 5 17 2 2 3 3" xfId="35093" xr:uid="{00000000-0005-0000-0000-000015890000}"/>
    <cellStyle name="Normal 5 17 2 2 3 4" xfId="35094" xr:uid="{00000000-0005-0000-0000-000016890000}"/>
    <cellStyle name="Normal 5 17 2 2 3 5" xfId="35095" xr:uid="{00000000-0005-0000-0000-000017890000}"/>
    <cellStyle name="Normal 5 17 2 2 3 6" xfId="35096" xr:uid="{00000000-0005-0000-0000-000018890000}"/>
    <cellStyle name="Normal 5 17 2 2 3 7" xfId="35097" xr:uid="{00000000-0005-0000-0000-000019890000}"/>
    <cellStyle name="Normal 5 17 2 2 3 8" xfId="35098" xr:uid="{00000000-0005-0000-0000-00001A890000}"/>
    <cellStyle name="Normal 5 17 2 2 3 9" xfId="35099" xr:uid="{00000000-0005-0000-0000-00001B890000}"/>
    <cellStyle name="Normal 5 17 2 2 4" xfId="35100" xr:uid="{00000000-0005-0000-0000-00001C890000}"/>
    <cellStyle name="Normal 5 17 2 2 4 10" xfId="35101" xr:uid="{00000000-0005-0000-0000-00001D890000}"/>
    <cellStyle name="Normal 5 17 2 2 4 2" xfId="35102" xr:uid="{00000000-0005-0000-0000-00001E890000}"/>
    <cellStyle name="Normal 5 17 2 2 4 3" xfId="35103" xr:uid="{00000000-0005-0000-0000-00001F890000}"/>
    <cellStyle name="Normal 5 17 2 2 4 4" xfId="35104" xr:uid="{00000000-0005-0000-0000-000020890000}"/>
    <cellStyle name="Normal 5 17 2 2 4 5" xfId="35105" xr:uid="{00000000-0005-0000-0000-000021890000}"/>
    <cellStyle name="Normal 5 17 2 2 4 6" xfId="35106" xr:uid="{00000000-0005-0000-0000-000022890000}"/>
    <cellStyle name="Normal 5 17 2 2 4 7" xfId="35107" xr:uid="{00000000-0005-0000-0000-000023890000}"/>
    <cellStyle name="Normal 5 17 2 2 4 8" xfId="35108" xr:uid="{00000000-0005-0000-0000-000024890000}"/>
    <cellStyle name="Normal 5 17 2 2 4 9" xfId="35109" xr:uid="{00000000-0005-0000-0000-000025890000}"/>
    <cellStyle name="Normal 5 17 2 2 5" xfId="35110" xr:uid="{00000000-0005-0000-0000-000026890000}"/>
    <cellStyle name="Normal 5 17 2 2 5 10" xfId="35111" xr:uid="{00000000-0005-0000-0000-000027890000}"/>
    <cellStyle name="Normal 5 17 2 2 5 2" xfId="35112" xr:uid="{00000000-0005-0000-0000-000028890000}"/>
    <cellStyle name="Normal 5 17 2 2 5 3" xfId="35113" xr:uid="{00000000-0005-0000-0000-000029890000}"/>
    <cellStyle name="Normal 5 17 2 2 5 4" xfId="35114" xr:uid="{00000000-0005-0000-0000-00002A890000}"/>
    <cellStyle name="Normal 5 17 2 2 5 5" xfId="35115" xr:uid="{00000000-0005-0000-0000-00002B890000}"/>
    <cellStyle name="Normal 5 17 2 2 5 6" xfId="35116" xr:uid="{00000000-0005-0000-0000-00002C890000}"/>
    <cellStyle name="Normal 5 17 2 2 5 7" xfId="35117" xr:uid="{00000000-0005-0000-0000-00002D890000}"/>
    <cellStyle name="Normal 5 17 2 2 5 8" xfId="35118" xr:uid="{00000000-0005-0000-0000-00002E890000}"/>
    <cellStyle name="Normal 5 17 2 2 5 9" xfId="35119" xr:uid="{00000000-0005-0000-0000-00002F890000}"/>
    <cellStyle name="Normal 5 17 2 2 6" xfId="35120" xr:uid="{00000000-0005-0000-0000-000030890000}"/>
    <cellStyle name="Normal 5 17 2 2 7" xfId="35121" xr:uid="{00000000-0005-0000-0000-000031890000}"/>
    <cellStyle name="Normal 5 17 2 2 8" xfId="35122" xr:uid="{00000000-0005-0000-0000-000032890000}"/>
    <cellStyle name="Normal 5 17 2 2 9" xfId="35123" xr:uid="{00000000-0005-0000-0000-000033890000}"/>
    <cellStyle name="Normal 5 17 2 20" xfId="35124" xr:uid="{00000000-0005-0000-0000-000034890000}"/>
    <cellStyle name="Normal 5 17 2 20 10" xfId="35125" xr:uid="{00000000-0005-0000-0000-000035890000}"/>
    <cellStyle name="Normal 5 17 2 20 11" xfId="35126" xr:uid="{00000000-0005-0000-0000-000036890000}"/>
    <cellStyle name="Normal 5 17 2 20 12" xfId="35127" xr:uid="{00000000-0005-0000-0000-000037890000}"/>
    <cellStyle name="Normal 5 17 2 20 13" xfId="35128" xr:uid="{00000000-0005-0000-0000-000038890000}"/>
    <cellStyle name="Normal 5 17 2 20 14" xfId="35129" xr:uid="{00000000-0005-0000-0000-000039890000}"/>
    <cellStyle name="Normal 5 17 2 20 2" xfId="35130" xr:uid="{00000000-0005-0000-0000-00003A890000}"/>
    <cellStyle name="Normal 5 17 2 20 2 10" xfId="35131" xr:uid="{00000000-0005-0000-0000-00003B890000}"/>
    <cellStyle name="Normal 5 17 2 20 2 2" xfId="35132" xr:uid="{00000000-0005-0000-0000-00003C890000}"/>
    <cellStyle name="Normal 5 17 2 20 2 3" xfId="35133" xr:uid="{00000000-0005-0000-0000-00003D890000}"/>
    <cellStyle name="Normal 5 17 2 20 2 4" xfId="35134" xr:uid="{00000000-0005-0000-0000-00003E890000}"/>
    <cellStyle name="Normal 5 17 2 20 2 5" xfId="35135" xr:uid="{00000000-0005-0000-0000-00003F890000}"/>
    <cellStyle name="Normal 5 17 2 20 2 6" xfId="35136" xr:uid="{00000000-0005-0000-0000-000040890000}"/>
    <cellStyle name="Normal 5 17 2 20 2 7" xfId="35137" xr:uid="{00000000-0005-0000-0000-000041890000}"/>
    <cellStyle name="Normal 5 17 2 20 2 8" xfId="35138" xr:uid="{00000000-0005-0000-0000-000042890000}"/>
    <cellStyle name="Normal 5 17 2 20 2 9" xfId="35139" xr:uid="{00000000-0005-0000-0000-000043890000}"/>
    <cellStyle name="Normal 5 17 2 20 3" xfId="35140" xr:uid="{00000000-0005-0000-0000-000044890000}"/>
    <cellStyle name="Normal 5 17 2 20 3 10" xfId="35141" xr:uid="{00000000-0005-0000-0000-000045890000}"/>
    <cellStyle name="Normal 5 17 2 20 3 2" xfId="35142" xr:uid="{00000000-0005-0000-0000-000046890000}"/>
    <cellStyle name="Normal 5 17 2 20 3 3" xfId="35143" xr:uid="{00000000-0005-0000-0000-000047890000}"/>
    <cellStyle name="Normal 5 17 2 20 3 4" xfId="35144" xr:uid="{00000000-0005-0000-0000-000048890000}"/>
    <cellStyle name="Normal 5 17 2 20 3 5" xfId="35145" xr:uid="{00000000-0005-0000-0000-000049890000}"/>
    <cellStyle name="Normal 5 17 2 20 3 6" xfId="35146" xr:uid="{00000000-0005-0000-0000-00004A890000}"/>
    <cellStyle name="Normal 5 17 2 20 3 7" xfId="35147" xr:uid="{00000000-0005-0000-0000-00004B890000}"/>
    <cellStyle name="Normal 5 17 2 20 3 8" xfId="35148" xr:uid="{00000000-0005-0000-0000-00004C890000}"/>
    <cellStyle name="Normal 5 17 2 20 3 9" xfId="35149" xr:uid="{00000000-0005-0000-0000-00004D890000}"/>
    <cellStyle name="Normal 5 17 2 20 4" xfId="35150" xr:uid="{00000000-0005-0000-0000-00004E890000}"/>
    <cellStyle name="Normal 5 17 2 20 4 10" xfId="35151" xr:uid="{00000000-0005-0000-0000-00004F890000}"/>
    <cellStyle name="Normal 5 17 2 20 4 2" xfId="35152" xr:uid="{00000000-0005-0000-0000-000050890000}"/>
    <cellStyle name="Normal 5 17 2 20 4 3" xfId="35153" xr:uid="{00000000-0005-0000-0000-000051890000}"/>
    <cellStyle name="Normal 5 17 2 20 4 4" xfId="35154" xr:uid="{00000000-0005-0000-0000-000052890000}"/>
    <cellStyle name="Normal 5 17 2 20 4 5" xfId="35155" xr:uid="{00000000-0005-0000-0000-000053890000}"/>
    <cellStyle name="Normal 5 17 2 20 4 6" xfId="35156" xr:uid="{00000000-0005-0000-0000-000054890000}"/>
    <cellStyle name="Normal 5 17 2 20 4 7" xfId="35157" xr:uid="{00000000-0005-0000-0000-000055890000}"/>
    <cellStyle name="Normal 5 17 2 20 4 8" xfId="35158" xr:uid="{00000000-0005-0000-0000-000056890000}"/>
    <cellStyle name="Normal 5 17 2 20 4 9" xfId="35159" xr:uid="{00000000-0005-0000-0000-000057890000}"/>
    <cellStyle name="Normal 5 17 2 20 5" xfId="35160" xr:uid="{00000000-0005-0000-0000-000058890000}"/>
    <cellStyle name="Normal 5 17 2 20 5 10" xfId="35161" xr:uid="{00000000-0005-0000-0000-000059890000}"/>
    <cellStyle name="Normal 5 17 2 20 5 2" xfId="35162" xr:uid="{00000000-0005-0000-0000-00005A890000}"/>
    <cellStyle name="Normal 5 17 2 20 5 3" xfId="35163" xr:uid="{00000000-0005-0000-0000-00005B890000}"/>
    <cellStyle name="Normal 5 17 2 20 5 4" xfId="35164" xr:uid="{00000000-0005-0000-0000-00005C890000}"/>
    <cellStyle name="Normal 5 17 2 20 5 5" xfId="35165" xr:uid="{00000000-0005-0000-0000-00005D890000}"/>
    <cellStyle name="Normal 5 17 2 20 5 6" xfId="35166" xr:uid="{00000000-0005-0000-0000-00005E890000}"/>
    <cellStyle name="Normal 5 17 2 20 5 7" xfId="35167" xr:uid="{00000000-0005-0000-0000-00005F890000}"/>
    <cellStyle name="Normal 5 17 2 20 5 8" xfId="35168" xr:uid="{00000000-0005-0000-0000-000060890000}"/>
    <cellStyle name="Normal 5 17 2 20 5 9" xfId="35169" xr:uid="{00000000-0005-0000-0000-000061890000}"/>
    <cellStyle name="Normal 5 17 2 20 6" xfId="35170" xr:uid="{00000000-0005-0000-0000-000062890000}"/>
    <cellStyle name="Normal 5 17 2 20 7" xfId="35171" xr:uid="{00000000-0005-0000-0000-000063890000}"/>
    <cellStyle name="Normal 5 17 2 20 8" xfId="35172" xr:uid="{00000000-0005-0000-0000-000064890000}"/>
    <cellStyle name="Normal 5 17 2 20 9" xfId="35173" xr:uid="{00000000-0005-0000-0000-000065890000}"/>
    <cellStyle name="Normal 5 17 2 21" xfId="35174" xr:uid="{00000000-0005-0000-0000-000066890000}"/>
    <cellStyle name="Normal 5 17 2 21 10" xfId="35175" xr:uid="{00000000-0005-0000-0000-000067890000}"/>
    <cellStyle name="Normal 5 17 2 21 11" xfId="35176" xr:uid="{00000000-0005-0000-0000-000068890000}"/>
    <cellStyle name="Normal 5 17 2 21 12" xfId="35177" xr:uid="{00000000-0005-0000-0000-000069890000}"/>
    <cellStyle name="Normal 5 17 2 21 13" xfId="35178" xr:uid="{00000000-0005-0000-0000-00006A890000}"/>
    <cellStyle name="Normal 5 17 2 21 14" xfId="35179" xr:uid="{00000000-0005-0000-0000-00006B890000}"/>
    <cellStyle name="Normal 5 17 2 21 2" xfId="35180" xr:uid="{00000000-0005-0000-0000-00006C890000}"/>
    <cellStyle name="Normal 5 17 2 21 2 10" xfId="35181" xr:uid="{00000000-0005-0000-0000-00006D890000}"/>
    <cellStyle name="Normal 5 17 2 21 2 2" xfId="35182" xr:uid="{00000000-0005-0000-0000-00006E890000}"/>
    <cellStyle name="Normal 5 17 2 21 2 3" xfId="35183" xr:uid="{00000000-0005-0000-0000-00006F890000}"/>
    <cellStyle name="Normal 5 17 2 21 2 4" xfId="35184" xr:uid="{00000000-0005-0000-0000-000070890000}"/>
    <cellStyle name="Normal 5 17 2 21 2 5" xfId="35185" xr:uid="{00000000-0005-0000-0000-000071890000}"/>
    <cellStyle name="Normal 5 17 2 21 2 6" xfId="35186" xr:uid="{00000000-0005-0000-0000-000072890000}"/>
    <cellStyle name="Normal 5 17 2 21 2 7" xfId="35187" xr:uid="{00000000-0005-0000-0000-000073890000}"/>
    <cellStyle name="Normal 5 17 2 21 2 8" xfId="35188" xr:uid="{00000000-0005-0000-0000-000074890000}"/>
    <cellStyle name="Normal 5 17 2 21 2 9" xfId="35189" xr:uid="{00000000-0005-0000-0000-000075890000}"/>
    <cellStyle name="Normal 5 17 2 21 3" xfId="35190" xr:uid="{00000000-0005-0000-0000-000076890000}"/>
    <cellStyle name="Normal 5 17 2 21 3 10" xfId="35191" xr:uid="{00000000-0005-0000-0000-000077890000}"/>
    <cellStyle name="Normal 5 17 2 21 3 2" xfId="35192" xr:uid="{00000000-0005-0000-0000-000078890000}"/>
    <cellStyle name="Normal 5 17 2 21 3 3" xfId="35193" xr:uid="{00000000-0005-0000-0000-000079890000}"/>
    <cellStyle name="Normal 5 17 2 21 3 4" xfId="35194" xr:uid="{00000000-0005-0000-0000-00007A890000}"/>
    <cellStyle name="Normal 5 17 2 21 3 5" xfId="35195" xr:uid="{00000000-0005-0000-0000-00007B890000}"/>
    <cellStyle name="Normal 5 17 2 21 3 6" xfId="35196" xr:uid="{00000000-0005-0000-0000-00007C890000}"/>
    <cellStyle name="Normal 5 17 2 21 3 7" xfId="35197" xr:uid="{00000000-0005-0000-0000-00007D890000}"/>
    <cellStyle name="Normal 5 17 2 21 3 8" xfId="35198" xr:uid="{00000000-0005-0000-0000-00007E890000}"/>
    <cellStyle name="Normal 5 17 2 21 3 9" xfId="35199" xr:uid="{00000000-0005-0000-0000-00007F890000}"/>
    <cellStyle name="Normal 5 17 2 21 4" xfId="35200" xr:uid="{00000000-0005-0000-0000-000080890000}"/>
    <cellStyle name="Normal 5 17 2 21 4 10" xfId="35201" xr:uid="{00000000-0005-0000-0000-000081890000}"/>
    <cellStyle name="Normal 5 17 2 21 4 2" xfId="35202" xr:uid="{00000000-0005-0000-0000-000082890000}"/>
    <cellStyle name="Normal 5 17 2 21 4 3" xfId="35203" xr:uid="{00000000-0005-0000-0000-000083890000}"/>
    <cellStyle name="Normal 5 17 2 21 4 4" xfId="35204" xr:uid="{00000000-0005-0000-0000-000084890000}"/>
    <cellStyle name="Normal 5 17 2 21 4 5" xfId="35205" xr:uid="{00000000-0005-0000-0000-000085890000}"/>
    <cellStyle name="Normal 5 17 2 21 4 6" xfId="35206" xr:uid="{00000000-0005-0000-0000-000086890000}"/>
    <cellStyle name="Normal 5 17 2 21 4 7" xfId="35207" xr:uid="{00000000-0005-0000-0000-000087890000}"/>
    <cellStyle name="Normal 5 17 2 21 4 8" xfId="35208" xr:uid="{00000000-0005-0000-0000-000088890000}"/>
    <cellStyle name="Normal 5 17 2 21 4 9" xfId="35209" xr:uid="{00000000-0005-0000-0000-000089890000}"/>
    <cellStyle name="Normal 5 17 2 21 5" xfId="35210" xr:uid="{00000000-0005-0000-0000-00008A890000}"/>
    <cellStyle name="Normal 5 17 2 21 5 10" xfId="35211" xr:uid="{00000000-0005-0000-0000-00008B890000}"/>
    <cellStyle name="Normal 5 17 2 21 5 2" xfId="35212" xr:uid="{00000000-0005-0000-0000-00008C890000}"/>
    <cellStyle name="Normal 5 17 2 21 5 3" xfId="35213" xr:uid="{00000000-0005-0000-0000-00008D890000}"/>
    <cellStyle name="Normal 5 17 2 21 5 4" xfId="35214" xr:uid="{00000000-0005-0000-0000-00008E890000}"/>
    <cellStyle name="Normal 5 17 2 21 5 5" xfId="35215" xr:uid="{00000000-0005-0000-0000-00008F890000}"/>
    <cellStyle name="Normal 5 17 2 21 5 6" xfId="35216" xr:uid="{00000000-0005-0000-0000-000090890000}"/>
    <cellStyle name="Normal 5 17 2 21 5 7" xfId="35217" xr:uid="{00000000-0005-0000-0000-000091890000}"/>
    <cellStyle name="Normal 5 17 2 21 5 8" xfId="35218" xr:uid="{00000000-0005-0000-0000-000092890000}"/>
    <cellStyle name="Normal 5 17 2 21 5 9" xfId="35219" xr:uid="{00000000-0005-0000-0000-000093890000}"/>
    <cellStyle name="Normal 5 17 2 21 6" xfId="35220" xr:uid="{00000000-0005-0000-0000-000094890000}"/>
    <cellStyle name="Normal 5 17 2 21 7" xfId="35221" xr:uid="{00000000-0005-0000-0000-000095890000}"/>
    <cellStyle name="Normal 5 17 2 21 8" xfId="35222" xr:uid="{00000000-0005-0000-0000-000096890000}"/>
    <cellStyle name="Normal 5 17 2 21 9" xfId="35223" xr:uid="{00000000-0005-0000-0000-000097890000}"/>
    <cellStyle name="Normal 5 17 2 22" xfId="35224" xr:uid="{00000000-0005-0000-0000-000098890000}"/>
    <cellStyle name="Normal 5 17 2 22 10" xfId="35225" xr:uid="{00000000-0005-0000-0000-000099890000}"/>
    <cellStyle name="Normal 5 17 2 22 11" xfId="35226" xr:uid="{00000000-0005-0000-0000-00009A890000}"/>
    <cellStyle name="Normal 5 17 2 22 12" xfId="35227" xr:uid="{00000000-0005-0000-0000-00009B890000}"/>
    <cellStyle name="Normal 5 17 2 22 13" xfId="35228" xr:uid="{00000000-0005-0000-0000-00009C890000}"/>
    <cellStyle name="Normal 5 17 2 22 14" xfId="35229" xr:uid="{00000000-0005-0000-0000-00009D890000}"/>
    <cellStyle name="Normal 5 17 2 22 2" xfId="35230" xr:uid="{00000000-0005-0000-0000-00009E890000}"/>
    <cellStyle name="Normal 5 17 2 22 2 10" xfId="35231" xr:uid="{00000000-0005-0000-0000-00009F890000}"/>
    <cellStyle name="Normal 5 17 2 22 2 2" xfId="35232" xr:uid="{00000000-0005-0000-0000-0000A0890000}"/>
    <cellStyle name="Normal 5 17 2 22 2 3" xfId="35233" xr:uid="{00000000-0005-0000-0000-0000A1890000}"/>
    <cellStyle name="Normal 5 17 2 22 2 4" xfId="35234" xr:uid="{00000000-0005-0000-0000-0000A2890000}"/>
    <cellStyle name="Normal 5 17 2 22 2 5" xfId="35235" xr:uid="{00000000-0005-0000-0000-0000A3890000}"/>
    <cellStyle name="Normal 5 17 2 22 2 6" xfId="35236" xr:uid="{00000000-0005-0000-0000-0000A4890000}"/>
    <cellStyle name="Normal 5 17 2 22 2 7" xfId="35237" xr:uid="{00000000-0005-0000-0000-0000A5890000}"/>
    <cellStyle name="Normal 5 17 2 22 2 8" xfId="35238" xr:uid="{00000000-0005-0000-0000-0000A6890000}"/>
    <cellStyle name="Normal 5 17 2 22 2 9" xfId="35239" xr:uid="{00000000-0005-0000-0000-0000A7890000}"/>
    <cellStyle name="Normal 5 17 2 22 3" xfId="35240" xr:uid="{00000000-0005-0000-0000-0000A8890000}"/>
    <cellStyle name="Normal 5 17 2 22 3 10" xfId="35241" xr:uid="{00000000-0005-0000-0000-0000A9890000}"/>
    <cellStyle name="Normal 5 17 2 22 3 2" xfId="35242" xr:uid="{00000000-0005-0000-0000-0000AA890000}"/>
    <cellStyle name="Normal 5 17 2 22 3 3" xfId="35243" xr:uid="{00000000-0005-0000-0000-0000AB890000}"/>
    <cellStyle name="Normal 5 17 2 22 3 4" xfId="35244" xr:uid="{00000000-0005-0000-0000-0000AC890000}"/>
    <cellStyle name="Normal 5 17 2 22 3 5" xfId="35245" xr:uid="{00000000-0005-0000-0000-0000AD890000}"/>
    <cellStyle name="Normal 5 17 2 22 3 6" xfId="35246" xr:uid="{00000000-0005-0000-0000-0000AE890000}"/>
    <cellStyle name="Normal 5 17 2 22 3 7" xfId="35247" xr:uid="{00000000-0005-0000-0000-0000AF890000}"/>
    <cellStyle name="Normal 5 17 2 22 3 8" xfId="35248" xr:uid="{00000000-0005-0000-0000-0000B0890000}"/>
    <cellStyle name="Normal 5 17 2 22 3 9" xfId="35249" xr:uid="{00000000-0005-0000-0000-0000B1890000}"/>
    <cellStyle name="Normal 5 17 2 22 4" xfId="35250" xr:uid="{00000000-0005-0000-0000-0000B2890000}"/>
    <cellStyle name="Normal 5 17 2 22 4 10" xfId="35251" xr:uid="{00000000-0005-0000-0000-0000B3890000}"/>
    <cellStyle name="Normal 5 17 2 22 4 2" xfId="35252" xr:uid="{00000000-0005-0000-0000-0000B4890000}"/>
    <cellStyle name="Normal 5 17 2 22 4 3" xfId="35253" xr:uid="{00000000-0005-0000-0000-0000B5890000}"/>
    <cellStyle name="Normal 5 17 2 22 4 4" xfId="35254" xr:uid="{00000000-0005-0000-0000-0000B6890000}"/>
    <cellStyle name="Normal 5 17 2 22 4 5" xfId="35255" xr:uid="{00000000-0005-0000-0000-0000B7890000}"/>
    <cellStyle name="Normal 5 17 2 22 4 6" xfId="35256" xr:uid="{00000000-0005-0000-0000-0000B8890000}"/>
    <cellStyle name="Normal 5 17 2 22 4 7" xfId="35257" xr:uid="{00000000-0005-0000-0000-0000B9890000}"/>
    <cellStyle name="Normal 5 17 2 22 4 8" xfId="35258" xr:uid="{00000000-0005-0000-0000-0000BA890000}"/>
    <cellStyle name="Normal 5 17 2 22 4 9" xfId="35259" xr:uid="{00000000-0005-0000-0000-0000BB890000}"/>
    <cellStyle name="Normal 5 17 2 22 5" xfId="35260" xr:uid="{00000000-0005-0000-0000-0000BC890000}"/>
    <cellStyle name="Normal 5 17 2 22 5 10" xfId="35261" xr:uid="{00000000-0005-0000-0000-0000BD890000}"/>
    <cellStyle name="Normal 5 17 2 22 5 2" xfId="35262" xr:uid="{00000000-0005-0000-0000-0000BE890000}"/>
    <cellStyle name="Normal 5 17 2 22 5 3" xfId="35263" xr:uid="{00000000-0005-0000-0000-0000BF890000}"/>
    <cellStyle name="Normal 5 17 2 22 5 4" xfId="35264" xr:uid="{00000000-0005-0000-0000-0000C0890000}"/>
    <cellStyle name="Normal 5 17 2 22 5 5" xfId="35265" xr:uid="{00000000-0005-0000-0000-0000C1890000}"/>
    <cellStyle name="Normal 5 17 2 22 5 6" xfId="35266" xr:uid="{00000000-0005-0000-0000-0000C2890000}"/>
    <cellStyle name="Normal 5 17 2 22 5 7" xfId="35267" xr:uid="{00000000-0005-0000-0000-0000C3890000}"/>
    <cellStyle name="Normal 5 17 2 22 5 8" xfId="35268" xr:uid="{00000000-0005-0000-0000-0000C4890000}"/>
    <cellStyle name="Normal 5 17 2 22 5 9" xfId="35269" xr:uid="{00000000-0005-0000-0000-0000C5890000}"/>
    <cellStyle name="Normal 5 17 2 22 6" xfId="35270" xr:uid="{00000000-0005-0000-0000-0000C6890000}"/>
    <cellStyle name="Normal 5 17 2 22 7" xfId="35271" xr:uid="{00000000-0005-0000-0000-0000C7890000}"/>
    <cellStyle name="Normal 5 17 2 22 8" xfId="35272" xr:uid="{00000000-0005-0000-0000-0000C8890000}"/>
    <cellStyle name="Normal 5 17 2 22 9" xfId="35273" xr:uid="{00000000-0005-0000-0000-0000C9890000}"/>
    <cellStyle name="Normal 5 17 2 23" xfId="35274" xr:uid="{00000000-0005-0000-0000-0000CA890000}"/>
    <cellStyle name="Normal 5 17 2 23 10" xfId="35275" xr:uid="{00000000-0005-0000-0000-0000CB890000}"/>
    <cellStyle name="Normal 5 17 2 23 11" xfId="35276" xr:uid="{00000000-0005-0000-0000-0000CC890000}"/>
    <cellStyle name="Normal 5 17 2 23 12" xfId="35277" xr:uid="{00000000-0005-0000-0000-0000CD890000}"/>
    <cellStyle name="Normal 5 17 2 23 13" xfId="35278" xr:uid="{00000000-0005-0000-0000-0000CE890000}"/>
    <cellStyle name="Normal 5 17 2 23 14" xfId="35279" xr:uid="{00000000-0005-0000-0000-0000CF890000}"/>
    <cellStyle name="Normal 5 17 2 23 2" xfId="35280" xr:uid="{00000000-0005-0000-0000-0000D0890000}"/>
    <cellStyle name="Normal 5 17 2 23 2 10" xfId="35281" xr:uid="{00000000-0005-0000-0000-0000D1890000}"/>
    <cellStyle name="Normal 5 17 2 23 2 2" xfId="35282" xr:uid="{00000000-0005-0000-0000-0000D2890000}"/>
    <cellStyle name="Normal 5 17 2 23 2 3" xfId="35283" xr:uid="{00000000-0005-0000-0000-0000D3890000}"/>
    <cellStyle name="Normal 5 17 2 23 2 4" xfId="35284" xr:uid="{00000000-0005-0000-0000-0000D4890000}"/>
    <cellStyle name="Normal 5 17 2 23 2 5" xfId="35285" xr:uid="{00000000-0005-0000-0000-0000D5890000}"/>
    <cellStyle name="Normal 5 17 2 23 2 6" xfId="35286" xr:uid="{00000000-0005-0000-0000-0000D6890000}"/>
    <cellStyle name="Normal 5 17 2 23 2 7" xfId="35287" xr:uid="{00000000-0005-0000-0000-0000D7890000}"/>
    <cellStyle name="Normal 5 17 2 23 2 8" xfId="35288" xr:uid="{00000000-0005-0000-0000-0000D8890000}"/>
    <cellStyle name="Normal 5 17 2 23 2 9" xfId="35289" xr:uid="{00000000-0005-0000-0000-0000D9890000}"/>
    <cellStyle name="Normal 5 17 2 23 3" xfId="35290" xr:uid="{00000000-0005-0000-0000-0000DA890000}"/>
    <cellStyle name="Normal 5 17 2 23 3 10" xfId="35291" xr:uid="{00000000-0005-0000-0000-0000DB890000}"/>
    <cellStyle name="Normal 5 17 2 23 3 2" xfId="35292" xr:uid="{00000000-0005-0000-0000-0000DC890000}"/>
    <cellStyle name="Normal 5 17 2 23 3 3" xfId="35293" xr:uid="{00000000-0005-0000-0000-0000DD890000}"/>
    <cellStyle name="Normal 5 17 2 23 3 4" xfId="35294" xr:uid="{00000000-0005-0000-0000-0000DE890000}"/>
    <cellStyle name="Normal 5 17 2 23 3 5" xfId="35295" xr:uid="{00000000-0005-0000-0000-0000DF890000}"/>
    <cellStyle name="Normal 5 17 2 23 3 6" xfId="35296" xr:uid="{00000000-0005-0000-0000-0000E0890000}"/>
    <cellStyle name="Normal 5 17 2 23 3 7" xfId="35297" xr:uid="{00000000-0005-0000-0000-0000E1890000}"/>
    <cellStyle name="Normal 5 17 2 23 3 8" xfId="35298" xr:uid="{00000000-0005-0000-0000-0000E2890000}"/>
    <cellStyle name="Normal 5 17 2 23 3 9" xfId="35299" xr:uid="{00000000-0005-0000-0000-0000E3890000}"/>
    <cellStyle name="Normal 5 17 2 23 4" xfId="35300" xr:uid="{00000000-0005-0000-0000-0000E4890000}"/>
    <cellStyle name="Normal 5 17 2 23 4 10" xfId="35301" xr:uid="{00000000-0005-0000-0000-0000E5890000}"/>
    <cellStyle name="Normal 5 17 2 23 4 2" xfId="35302" xr:uid="{00000000-0005-0000-0000-0000E6890000}"/>
    <cellStyle name="Normal 5 17 2 23 4 3" xfId="35303" xr:uid="{00000000-0005-0000-0000-0000E7890000}"/>
    <cellStyle name="Normal 5 17 2 23 4 4" xfId="35304" xr:uid="{00000000-0005-0000-0000-0000E8890000}"/>
    <cellStyle name="Normal 5 17 2 23 4 5" xfId="35305" xr:uid="{00000000-0005-0000-0000-0000E9890000}"/>
    <cellStyle name="Normal 5 17 2 23 4 6" xfId="35306" xr:uid="{00000000-0005-0000-0000-0000EA890000}"/>
    <cellStyle name="Normal 5 17 2 23 4 7" xfId="35307" xr:uid="{00000000-0005-0000-0000-0000EB890000}"/>
    <cellStyle name="Normal 5 17 2 23 4 8" xfId="35308" xr:uid="{00000000-0005-0000-0000-0000EC890000}"/>
    <cellStyle name="Normal 5 17 2 23 4 9" xfId="35309" xr:uid="{00000000-0005-0000-0000-0000ED890000}"/>
    <cellStyle name="Normal 5 17 2 23 5" xfId="35310" xr:uid="{00000000-0005-0000-0000-0000EE890000}"/>
    <cellStyle name="Normal 5 17 2 23 5 10" xfId="35311" xr:uid="{00000000-0005-0000-0000-0000EF890000}"/>
    <cellStyle name="Normal 5 17 2 23 5 2" xfId="35312" xr:uid="{00000000-0005-0000-0000-0000F0890000}"/>
    <cellStyle name="Normal 5 17 2 23 5 3" xfId="35313" xr:uid="{00000000-0005-0000-0000-0000F1890000}"/>
    <cellStyle name="Normal 5 17 2 23 5 4" xfId="35314" xr:uid="{00000000-0005-0000-0000-0000F2890000}"/>
    <cellStyle name="Normal 5 17 2 23 5 5" xfId="35315" xr:uid="{00000000-0005-0000-0000-0000F3890000}"/>
    <cellStyle name="Normal 5 17 2 23 5 6" xfId="35316" xr:uid="{00000000-0005-0000-0000-0000F4890000}"/>
    <cellStyle name="Normal 5 17 2 23 5 7" xfId="35317" xr:uid="{00000000-0005-0000-0000-0000F5890000}"/>
    <cellStyle name="Normal 5 17 2 23 5 8" xfId="35318" xr:uid="{00000000-0005-0000-0000-0000F6890000}"/>
    <cellStyle name="Normal 5 17 2 23 5 9" xfId="35319" xr:uid="{00000000-0005-0000-0000-0000F7890000}"/>
    <cellStyle name="Normal 5 17 2 23 6" xfId="35320" xr:uid="{00000000-0005-0000-0000-0000F8890000}"/>
    <cellStyle name="Normal 5 17 2 23 7" xfId="35321" xr:uid="{00000000-0005-0000-0000-0000F9890000}"/>
    <cellStyle name="Normal 5 17 2 23 8" xfId="35322" xr:uid="{00000000-0005-0000-0000-0000FA890000}"/>
    <cellStyle name="Normal 5 17 2 23 9" xfId="35323" xr:uid="{00000000-0005-0000-0000-0000FB890000}"/>
    <cellStyle name="Normal 5 17 2 24" xfId="35324" xr:uid="{00000000-0005-0000-0000-0000FC890000}"/>
    <cellStyle name="Normal 5 17 2 24 10" xfId="35325" xr:uid="{00000000-0005-0000-0000-0000FD890000}"/>
    <cellStyle name="Normal 5 17 2 24 11" xfId="35326" xr:uid="{00000000-0005-0000-0000-0000FE890000}"/>
    <cellStyle name="Normal 5 17 2 24 12" xfId="35327" xr:uid="{00000000-0005-0000-0000-0000FF890000}"/>
    <cellStyle name="Normal 5 17 2 24 13" xfId="35328" xr:uid="{00000000-0005-0000-0000-0000008A0000}"/>
    <cellStyle name="Normal 5 17 2 24 14" xfId="35329" xr:uid="{00000000-0005-0000-0000-0000018A0000}"/>
    <cellStyle name="Normal 5 17 2 24 2" xfId="35330" xr:uid="{00000000-0005-0000-0000-0000028A0000}"/>
    <cellStyle name="Normal 5 17 2 24 2 10" xfId="35331" xr:uid="{00000000-0005-0000-0000-0000038A0000}"/>
    <cellStyle name="Normal 5 17 2 24 2 2" xfId="35332" xr:uid="{00000000-0005-0000-0000-0000048A0000}"/>
    <cellStyle name="Normal 5 17 2 24 2 3" xfId="35333" xr:uid="{00000000-0005-0000-0000-0000058A0000}"/>
    <cellStyle name="Normal 5 17 2 24 2 4" xfId="35334" xr:uid="{00000000-0005-0000-0000-0000068A0000}"/>
    <cellStyle name="Normal 5 17 2 24 2 5" xfId="35335" xr:uid="{00000000-0005-0000-0000-0000078A0000}"/>
    <cellStyle name="Normal 5 17 2 24 2 6" xfId="35336" xr:uid="{00000000-0005-0000-0000-0000088A0000}"/>
    <cellStyle name="Normal 5 17 2 24 2 7" xfId="35337" xr:uid="{00000000-0005-0000-0000-0000098A0000}"/>
    <cellStyle name="Normal 5 17 2 24 2 8" xfId="35338" xr:uid="{00000000-0005-0000-0000-00000A8A0000}"/>
    <cellStyle name="Normal 5 17 2 24 2 9" xfId="35339" xr:uid="{00000000-0005-0000-0000-00000B8A0000}"/>
    <cellStyle name="Normal 5 17 2 24 3" xfId="35340" xr:uid="{00000000-0005-0000-0000-00000C8A0000}"/>
    <cellStyle name="Normal 5 17 2 24 3 10" xfId="35341" xr:uid="{00000000-0005-0000-0000-00000D8A0000}"/>
    <cellStyle name="Normal 5 17 2 24 3 2" xfId="35342" xr:uid="{00000000-0005-0000-0000-00000E8A0000}"/>
    <cellStyle name="Normal 5 17 2 24 3 3" xfId="35343" xr:uid="{00000000-0005-0000-0000-00000F8A0000}"/>
    <cellStyle name="Normal 5 17 2 24 3 4" xfId="35344" xr:uid="{00000000-0005-0000-0000-0000108A0000}"/>
    <cellStyle name="Normal 5 17 2 24 3 5" xfId="35345" xr:uid="{00000000-0005-0000-0000-0000118A0000}"/>
    <cellStyle name="Normal 5 17 2 24 3 6" xfId="35346" xr:uid="{00000000-0005-0000-0000-0000128A0000}"/>
    <cellStyle name="Normal 5 17 2 24 3 7" xfId="35347" xr:uid="{00000000-0005-0000-0000-0000138A0000}"/>
    <cellStyle name="Normal 5 17 2 24 3 8" xfId="35348" xr:uid="{00000000-0005-0000-0000-0000148A0000}"/>
    <cellStyle name="Normal 5 17 2 24 3 9" xfId="35349" xr:uid="{00000000-0005-0000-0000-0000158A0000}"/>
    <cellStyle name="Normal 5 17 2 24 4" xfId="35350" xr:uid="{00000000-0005-0000-0000-0000168A0000}"/>
    <cellStyle name="Normal 5 17 2 24 4 10" xfId="35351" xr:uid="{00000000-0005-0000-0000-0000178A0000}"/>
    <cellStyle name="Normal 5 17 2 24 4 2" xfId="35352" xr:uid="{00000000-0005-0000-0000-0000188A0000}"/>
    <cellStyle name="Normal 5 17 2 24 4 3" xfId="35353" xr:uid="{00000000-0005-0000-0000-0000198A0000}"/>
    <cellStyle name="Normal 5 17 2 24 4 4" xfId="35354" xr:uid="{00000000-0005-0000-0000-00001A8A0000}"/>
    <cellStyle name="Normal 5 17 2 24 4 5" xfId="35355" xr:uid="{00000000-0005-0000-0000-00001B8A0000}"/>
    <cellStyle name="Normal 5 17 2 24 4 6" xfId="35356" xr:uid="{00000000-0005-0000-0000-00001C8A0000}"/>
    <cellStyle name="Normal 5 17 2 24 4 7" xfId="35357" xr:uid="{00000000-0005-0000-0000-00001D8A0000}"/>
    <cellStyle name="Normal 5 17 2 24 4 8" xfId="35358" xr:uid="{00000000-0005-0000-0000-00001E8A0000}"/>
    <cellStyle name="Normal 5 17 2 24 4 9" xfId="35359" xr:uid="{00000000-0005-0000-0000-00001F8A0000}"/>
    <cellStyle name="Normal 5 17 2 24 5" xfId="35360" xr:uid="{00000000-0005-0000-0000-0000208A0000}"/>
    <cellStyle name="Normal 5 17 2 24 5 10" xfId="35361" xr:uid="{00000000-0005-0000-0000-0000218A0000}"/>
    <cellStyle name="Normal 5 17 2 24 5 2" xfId="35362" xr:uid="{00000000-0005-0000-0000-0000228A0000}"/>
    <cellStyle name="Normal 5 17 2 24 5 3" xfId="35363" xr:uid="{00000000-0005-0000-0000-0000238A0000}"/>
    <cellStyle name="Normal 5 17 2 24 5 4" xfId="35364" xr:uid="{00000000-0005-0000-0000-0000248A0000}"/>
    <cellStyle name="Normal 5 17 2 24 5 5" xfId="35365" xr:uid="{00000000-0005-0000-0000-0000258A0000}"/>
    <cellStyle name="Normal 5 17 2 24 5 6" xfId="35366" xr:uid="{00000000-0005-0000-0000-0000268A0000}"/>
    <cellStyle name="Normal 5 17 2 24 5 7" xfId="35367" xr:uid="{00000000-0005-0000-0000-0000278A0000}"/>
    <cellStyle name="Normal 5 17 2 24 5 8" xfId="35368" xr:uid="{00000000-0005-0000-0000-0000288A0000}"/>
    <cellStyle name="Normal 5 17 2 24 5 9" xfId="35369" xr:uid="{00000000-0005-0000-0000-0000298A0000}"/>
    <cellStyle name="Normal 5 17 2 24 6" xfId="35370" xr:uid="{00000000-0005-0000-0000-00002A8A0000}"/>
    <cellStyle name="Normal 5 17 2 24 7" xfId="35371" xr:uid="{00000000-0005-0000-0000-00002B8A0000}"/>
    <cellStyle name="Normal 5 17 2 24 8" xfId="35372" xr:uid="{00000000-0005-0000-0000-00002C8A0000}"/>
    <cellStyle name="Normal 5 17 2 24 9" xfId="35373" xr:uid="{00000000-0005-0000-0000-00002D8A0000}"/>
    <cellStyle name="Normal 5 17 2 25" xfId="35374" xr:uid="{00000000-0005-0000-0000-00002E8A0000}"/>
    <cellStyle name="Normal 5 17 2 25 10" xfId="35375" xr:uid="{00000000-0005-0000-0000-00002F8A0000}"/>
    <cellStyle name="Normal 5 17 2 25 11" xfId="35376" xr:uid="{00000000-0005-0000-0000-0000308A0000}"/>
    <cellStyle name="Normal 5 17 2 25 12" xfId="35377" xr:uid="{00000000-0005-0000-0000-0000318A0000}"/>
    <cellStyle name="Normal 5 17 2 25 13" xfId="35378" xr:uid="{00000000-0005-0000-0000-0000328A0000}"/>
    <cellStyle name="Normal 5 17 2 25 14" xfId="35379" xr:uid="{00000000-0005-0000-0000-0000338A0000}"/>
    <cellStyle name="Normal 5 17 2 25 2" xfId="35380" xr:uid="{00000000-0005-0000-0000-0000348A0000}"/>
    <cellStyle name="Normal 5 17 2 25 2 10" xfId="35381" xr:uid="{00000000-0005-0000-0000-0000358A0000}"/>
    <cellStyle name="Normal 5 17 2 25 2 2" xfId="35382" xr:uid="{00000000-0005-0000-0000-0000368A0000}"/>
    <cellStyle name="Normal 5 17 2 25 2 3" xfId="35383" xr:uid="{00000000-0005-0000-0000-0000378A0000}"/>
    <cellStyle name="Normal 5 17 2 25 2 4" xfId="35384" xr:uid="{00000000-0005-0000-0000-0000388A0000}"/>
    <cellStyle name="Normal 5 17 2 25 2 5" xfId="35385" xr:uid="{00000000-0005-0000-0000-0000398A0000}"/>
    <cellStyle name="Normal 5 17 2 25 2 6" xfId="35386" xr:uid="{00000000-0005-0000-0000-00003A8A0000}"/>
    <cellStyle name="Normal 5 17 2 25 2 7" xfId="35387" xr:uid="{00000000-0005-0000-0000-00003B8A0000}"/>
    <cellStyle name="Normal 5 17 2 25 2 8" xfId="35388" xr:uid="{00000000-0005-0000-0000-00003C8A0000}"/>
    <cellStyle name="Normal 5 17 2 25 2 9" xfId="35389" xr:uid="{00000000-0005-0000-0000-00003D8A0000}"/>
    <cellStyle name="Normal 5 17 2 25 3" xfId="35390" xr:uid="{00000000-0005-0000-0000-00003E8A0000}"/>
    <cellStyle name="Normal 5 17 2 25 3 10" xfId="35391" xr:uid="{00000000-0005-0000-0000-00003F8A0000}"/>
    <cellStyle name="Normal 5 17 2 25 3 2" xfId="35392" xr:uid="{00000000-0005-0000-0000-0000408A0000}"/>
    <cellStyle name="Normal 5 17 2 25 3 3" xfId="35393" xr:uid="{00000000-0005-0000-0000-0000418A0000}"/>
    <cellStyle name="Normal 5 17 2 25 3 4" xfId="35394" xr:uid="{00000000-0005-0000-0000-0000428A0000}"/>
    <cellStyle name="Normal 5 17 2 25 3 5" xfId="35395" xr:uid="{00000000-0005-0000-0000-0000438A0000}"/>
    <cellStyle name="Normal 5 17 2 25 3 6" xfId="35396" xr:uid="{00000000-0005-0000-0000-0000448A0000}"/>
    <cellStyle name="Normal 5 17 2 25 3 7" xfId="35397" xr:uid="{00000000-0005-0000-0000-0000458A0000}"/>
    <cellStyle name="Normal 5 17 2 25 3 8" xfId="35398" xr:uid="{00000000-0005-0000-0000-0000468A0000}"/>
    <cellStyle name="Normal 5 17 2 25 3 9" xfId="35399" xr:uid="{00000000-0005-0000-0000-0000478A0000}"/>
    <cellStyle name="Normal 5 17 2 25 4" xfId="35400" xr:uid="{00000000-0005-0000-0000-0000488A0000}"/>
    <cellStyle name="Normal 5 17 2 25 4 10" xfId="35401" xr:uid="{00000000-0005-0000-0000-0000498A0000}"/>
    <cellStyle name="Normal 5 17 2 25 4 2" xfId="35402" xr:uid="{00000000-0005-0000-0000-00004A8A0000}"/>
    <cellStyle name="Normal 5 17 2 25 4 3" xfId="35403" xr:uid="{00000000-0005-0000-0000-00004B8A0000}"/>
    <cellStyle name="Normal 5 17 2 25 4 4" xfId="35404" xr:uid="{00000000-0005-0000-0000-00004C8A0000}"/>
    <cellStyle name="Normal 5 17 2 25 4 5" xfId="35405" xr:uid="{00000000-0005-0000-0000-00004D8A0000}"/>
    <cellStyle name="Normal 5 17 2 25 4 6" xfId="35406" xr:uid="{00000000-0005-0000-0000-00004E8A0000}"/>
    <cellStyle name="Normal 5 17 2 25 4 7" xfId="35407" xr:uid="{00000000-0005-0000-0000-00004F8A0000}"/>
    <cellStyle name="Normal 5 17 2 25 4 8" xfId="35408" xr:uid="{00000000-0005-0000-0000-0000508A0000}"/>
    <cellStyle name="Normal 5 17 2 25 4 9" xfId="35409" xr:uid="{00000000-0005-0000-0000-0000518A0000}"/>
    <cellStyle name="Normal 5 17 2 25 5" xfId="35410" xr:uid="{00000000-0005-0000-0000-0000528A0000}"/>
    <cellStyle name="Normal 5 17 2 25 5 10" xfId="35411" xr:uid="{00000000-0005-0000-0000-0000538A0000}"/>
    <cellStyle name="Normal 5 17 2 25 5 2" xfId="35412" xr:uid="{00000000-0005-0000-0000-0000548A0000}"/>
    <cellStyle name="Normal 5 17 2 25 5 3" xfId="35413" xr:uid="{00000000-0005-0000-0000-0000558A0000}"/>
    <cellStyle name="Normal 5 17 2 25 5 4" xfId="35414" xr:uid="{00000000-0005-0000-0000-0000568A0000}"/>
    <cellStyle name="Normal 5 17 2 25 5 5" xfId="35415" xr:uid="{00000000-0005-0000-0000-0000578A0000}"/>
    <cellStyle name="Normal 5 17 2 25 5 6" xfId="35416" xr:uid="{00000000-0005-0000-0000-0000588A0000}"/>
    <cellStyle name="Normal 5 17 2 25 5 7" xfId="35417" xr:uid="{00000000-0005-0000-0000-0000598A0000}"/>
    <cellStyle name="Normal 5 17 2 25 5 8" xfId="35418" xr:uid="{00000000-0005-0000-0000-00005A8A0000}"/>
    <cellStyle name="Normal 5 17 2 25 5 9" xfId="35419" xr:uid="{00000000-0005-0000-0000-00005B8A0000}"/>
    <cellStyle name="Normal 5 17 2 25 6" xfId="35420" xr:uid="{00000000-0005-0000-0000-00005C8A0000}"/>
    <cellStyle name="Normal 5 17 2 25 7" xfId="35421" xr:uid="{00000000-0005-0000-0000-00005D8A0000}"/>
    <cellStyle name="Normal 5 17 2 25 8" xfId="35422" xr:uid="{00000000-0005-0000-0000-00005E8A0000}"/>
    <cellStyle name="Normal 5 17 2 25 9" xfId="35423" xr:uid="{00000000-0005-0000-0000-00005F8A0000}"/>
    <cellStyle name="Normal 5 17 2 26" xfId="35424" xr:uid="{00000000-0005-0000-0000-0000608A0000}"/>
    <cellStyle name="Normal 5 17 2 26 10" xfId="35425" xr:uid="{00000000-0005-0000-0000-0000618A0000}"/>
    <cellStyle name="Normal 5 17 2 26 11" xfId="35426" xr:uid="{00000000-0005-0000-0000-0000628A0000}"/>
    <cellStyle name="Normal 5 17 2 26 12" xfId="35427" xr:uid="{00000000-0005-0000-0000-0000638A0000}"/>
    <cellStyle name="Normal 5 17 2 26 13" xfId="35428" xr:uid="{00000000-0005-0000-0000-0000648A0000}"/>
    <cellStyle name="Normal 5 17 2 26 14" xfId="35429" xr:uid="{00000000-0005-0000-0000-0000658A0000}"/>
    <cellStyle name="Normal 5 17 2 26 2" xfId="35430" xr:uid="{00000000-0005-0000-0000-0000668A0000}"/>
    <cellStyle name="Normal 5 17 2 26 2 10" xfId="35431" xr:uid="{00000000-0005-0000-0000-0000678A0000}"/>
    <cellStyle name="Normal 5 17 2 26 2 2" xfId="35432" xr:uid="{00000000-0005-0000-0000-0000688A0000}"/>
    <cellStyle name="Normal 5 17 2 26 2 3" xfId="35433" xr:uid="{00000000-0005-0000-0000-0000698A0000}"/>
    <cellStyle name="Normal 5 17 2 26 2 4" xfId="35434" xr:uid="{00000000-0005-0000-0000-00006A8A0000}"/>
    <cellStyle name="Normal 5 17 2 26 2 5" xfId="35435" xr:uid="{00000000-0005-0000-0000-00006B8A0000}"/>
    <cellStyle name="Normal 5 17 2 26 2 6" xfId="35436" xr:uid="{00000000-0005-0000-0000-00006C8A0000}"/>
    <cellStyle name="Normal 5 17 2 26 2 7" xfId="35437" xr:uid="{00000000-0005-0000-0000-00006D8A0000}"/>
    <cellStyle name="Normal 5 17 2 26 2 8" xfId="35438" xr:uid="{00000000-0005-0000-0000-00006E8A0000}"/>
    <cellStyle name="Normal 5 17 2 26 2 9" xfId="35439" xr:uid="{00000000-0005-0000-0000-00006F8A0000}"/>
    <cellStyle name="Normal 5 17 2 26 3" xfId="35440" xr:uid="{00000000-0005-0000-0000-0000708A0000}"/>
    <cellStyle name="Normal 5 17 2 26 3 10" xfId="35441" xr:uid="{00000000-0005-0000-0000-0000718A0000}"/>
    <cellStyle name="Normal 5 17 2 26 3 2" xfId="35442" xr:uid="{00000000-0005-0000-0000-0000728A0000}"/>
    <cellStyle name="Normal 5 17 2 26 3 3" xfId="35443" xr:uid="{00000000-0005-0000-0000-0000738A0000}"/>
    <cellStyle name="Normal 5 17 2 26 3 4" xfId="35444" xr:uid="{00000000-0005-0000-0000-0000748A0000}"/>
    <cellStyle name="Normal 5 17 2 26 3 5" xfId="35445" xr:uid="{00000000-0005-0000-0000-0000758A0000}"/>
    <cellStyle name="Normal 5 17 2 26 3 6" xfId="35446" xr:uid="{00000000-0005-0000-0000-0000768A0000}"/>
    <cellStyle name="Normal 5 17 2 26 3 7" xfId="35447" xr:uid="{00000000-0005-0000-0000-0000778A0000}"/>
    <cellStyle name="Normal 5 17 2 26 3 8" xfId="35448" xr:uid="{00000000-0005-0000-0000-0000788A0000}"/>
    <cellStyle name="Normal 5 17 2 26 3 9" xfId="35449" xr:uid="{00000000-0005-0000-0000-0000798A0000}"/>
    <cellStyle name="Normal 5 17 2 26 4" xfId="35450" xr:uid="{00000000-0005-0000-0000-00007A8A0000}"/>
    <cellStyle name="Normal 5 17 2 26 4 10" xfId="35451" xr:uid="{00000000-0005-0000-0000-00007B8A0000}"/>
    <cellStyle name="Normal 5 17 2 26 4 2" xfId="35452" xr:uid="{00000000-0005-0000-0000-00007C8A0000}"/>
    <cellStyle name="Normal 5 17 2 26 4 3" xfId="35453" xr:uid="{00000000-0005-0000-0000-00007D8A0000}"/>
    <cellStyle name="Normal 5 17 2 26 4 4" xfId="35454" xr:uid="{00000000-0005-0000-0000-00007E8A0000}"/>
    <cellStyle name="Normal 5 17 2 26 4 5" xfId="35455" xr:uid="{00000000-0005-0000-0000-00007F8A0000}"/>
    <cellStyle name="Normal 5 17 2 26 4 6" xfId="35456" xr:uid="{00000000-0005-0000-0000-0000808A0000}"/>
    <cellStyle name="Normal 5 17 2 26 4 7" xfId="35457" xr:uid="{00000000-0005-0000-0000-0000818A0000}"/>
    <cellStyle name="Normal 5 17 2 26 4 8" xfId="35458" xr:uid="{00000000-0005-0000-0000-0000828A0000}"/>
    <cellStyle name="Normal 5 17 2 26 4 9" xfId="35459" xr:uid="{00000000-0005-0000-0000-0000838A0000}"/>
    <cellStyle name="Normal 5 17 2 26 5" xfId="35460" xr:uid="{00000000-0005-0000-0000-0000848A0000}"/>
    <cellStyle name="Normal 5 17 2 26 5 10" xfId="35461" xr:uid="{00000000-0005-0000-0000-0000858A0000}"/>
    <cellStyle name="Normal 5 17 2 26 5 2" xfId="35462" xr:uid="{00000000-0005-0000-0000-0000868A0000}"/>
    <cellStyle name="Normal 5 17 2 26 5 3" xfId="35463" xr:uid="{00000000-0005-0000-0000-0000878A0000}"/>
    <cellStyle name="Normal 5 17 2 26 5 4" xfId="35464" xr:uid="{00000000-0005-0000-0000-0000888A0000}"/>
    <cellStyle name="Normal 5 17 2 26 5 5" xfId="35465" xr:uid="{00000000-0005-0000-0000-0000898A0000}"/>
    <cellStyle name="Normal 5 17 2 26 5 6" xfId="35466" xr:uid="{00000000-0005-0000-0000-00008A8A0000}"/>
    <cellStyle name="Normal 5 17 2 26 5 7" xfId="35467" xr:uid="{00000000-0005-0000-0000-00008B8A0000}"/>
    <cellStyle name="Normal 5 17 2 26 5 8" xfId="35468" xr:uid="{00000000-0005-0000-0000-00008C8A0000}"/>
    <cellStyle name="Normal 5 17 2 26 5 9" xfId="35469" xr:uid="{00000000-0005-0000-0000-00008D8A0000}"/>
    <cellStyle name="Normal 5 17 2 26 6" xfId="35470" xr:uid="{00000000-0005-0000-0000-00008E8A0000}"/>
    <cellStyle name="Normal 5 17 2 26 7" xfId="35471" xr:uid="{00000000-0005-0000-0000-00008F8A0000}"/>
    <cellStyle name="Normal 5 17 2 26 8" xfId="35472" xr:uid="{00000000-0005-0000-0000-0000908A0000}"/>
    <cellStyle name="Normal 5 17 2 26 9" xfId="35473" xr:uid="{00000000-0005-0000-0000-0000918A0000}"/>
    <cellStyle name="Normal 5 17 2 27" xfId="35474" xr:uid="{00000000-0005-0000-0000-0000928A0000}"/>
    <cellStyle name="Normal 5 17 2 27 10" xfId="35475" xr:uid="{00000000-0005-0000-0000-0000938A0000}"/>
    <cellStyle name="Normal 5 17 2 27 11" xfId="35476" xr:uid="{00000000-0005-0000-0000-0000948A0000}"/>
    <cellStyle name="Normal 5 17 2 27 12" xfId="35477" xr:uid="{00000000-0005-0000-0000-0000958A0000}"/>
    <cellStyle name="Normal 5 17 2 27 13" xfId="35478" xr:uid="{00000000-0005-0000-0000-0000968A0000}"/>
    <cellStyle name="Normal 5 17 2 27 14" xfId="35479" xr:uid="{00000000-0005-0000-0000-0000978A0000}"/>
    <cellStyle name="Normal 5 17 2 27 2" xfId="35480" xr:uid="{00000000-0005-0000-0000-0000988A0000}"/>
    <cellStyle name="Normal 5 17 2 27 2 10" xfId="35481" xr:uid="{00000000-0005-0000-0000-0000998A0000}"/>
    <cellStyle name="Normal 5 17 2 27 2 2" xfId="35482" xr:uid="{00000000-0005-0000-0000-00009A8A0000}"/>
    <cellStyle name="Normal 5 17 2 27 2 3" xfId="35483" xr:uid="{00000000-0005-0000-0000-00009B8A0000}"/>
    <cellStyle name="Normal 5 17 2 27 2 4" xfId="35484" xr:uid="{00000000-0005-0000-0000-00009C8A0000}"/>
    <cellStyle name="Normal 5 17 2 27 2 5" xfId="35485" xr:uid="{00000000-0005-0000-0000-00009D8A0000}"/>
    <cellStyle name="Normal 5 17 2 27 2 6" xfId="35486" xr:uid="{00000000-0005-0000-0000-00009E8A0000}"/>
    <cellStyle name="Normal 5 17 2 27 2 7" xfId="35487" xr:uid="{00000000-0005-0000-0000-00009F8A0000}"/>
    <cellStyle name="Normal 5 17 2 27 2 8" xfId="35488" xr:uid="{00000000-0005-0000-0000-0000A08A0000}"/>
    <cellStyle name="Normal 5 17 2 27 2 9" xfId="35489" xr:uid="{00000000-0005-0000-0000-0000A18A0000}"/>
    <cellStyle name="Normal 5 17 2 27 3" xfId="35490" xr:uid="{00000000-0005-0000-0000-0000A28A0000}"/>
    <cellStyle name="Normal 5 17 2 27 3 10" xfId="35491" xr:uid="{00000000-0005-0000-0000-0000A38A0000}"/>
    <cellStyle name="Normal 5 17 2 27 3 2" xfId="35492" xr:uid="{00000000-0005-0000-0000-0000A48A0000}"/>
    <cellStyle name="Normal 5 17 2 27 3 3" xfId="35493" xr:uid="{00000000-0005-0000-0000-0000A58A0000}"/>
    <cellStyle name="Normal 5 17 2 27 3 4" xfId="35494" xr:uid="{00000000-0005-0000-0000-0000A68A0000}"/>
    <cellStyle name="Normal 5 17 2 27 3 5" xfId="35495" xr:uid="{00000000-0005-0000-0000-0000A78A0000}"/>
    <cellStyle name="Normal 5 17 2 27 3 6" xfId="35496" xr:uid="{00000000-0005-0000-0000-0000A88A0000}"/>
    <cellStyle name="Normal 5 17 2 27 3 7" xfId="35497" xr:uid="{00000000-0005-0000-0000-0000A98A0000}"/>
    <cellStyle name="Normal 5 17 2 27 3 8" xfId="35498" xr:uid="{00000000-0005-0000-0000-0000AA8A0000}"/>
    <cellStyle name="Normal 5 17 2 27 3 9" xfId="35499" xr:uid="{00000000-0005-0000-0000-0000AB8A0000}"/>
    <cellStyle name="Normal 5 17 2 27 4" xfId="35500" xr:uid="{00000000-0005-0000-0000-0000AC8A0000}"/>
    <cellStyle name="Normal 5 17 2 27 4 10" xfId="35501" xr:uid="{00000000-0005-0000-0000-0000AD8A0000}"/>
    <cellStyle name="Normal 5 17 2 27 4 2" xfId="35502" xr:uid="{00000000-0005-0000-0000-0000AE8A0000}"/>
    <cellStyle name="Normal 5 17 2 27 4 3" xfId="35503" xr:uid="{00000000-0005-0000-0000-0000AF8A0000}"/>
    <cellStyle name="Normal 5 17 2 27 4 4" xfId="35504" xr:uid="{00000000-0005-0000-0000-0000B08A0000}"/>
    <cellStyle name="Normal 5 17 2 27 4 5" xfId="35505" xr:uid="{00000000-0005-0000-0000-0000B18A0000}"/>
    <cellStyle name="Normal 5 17 2 27 4 6" xfId="35506" xr:uid="{00000000-0005-0000-0000-0000B28A0000}"/>
    <cellStyle name="Normal 5 17 2 27 4 7" xfId="35507" xr:uid="{00000000-0005-0000-0000-0000B38A0000}"/>
    <cellStyle name="Normal 5 17 2 27 4 8" xfId="35508" xr:uid="{00000000-0005-0000-0000-0000B48A0000}"/>
    <cellStyle name="Normal 5 17 2 27 4 9" xfId="35509" xr:uid="{00000000-0005-0000-0000-0000B58A0000}"/>
    <cellStyle name="Normal 5 17 2 27 5" xfId="35510" xr:uid="{00000000-0005-0000-0000-0000B68A0000}"/>
    <cellStyle name="Normal 5 17 2 27 5 10" xfId="35511" xr:uid="{00000000-0005-0000-0000-0000B78A0000}"/>
    <cellStyle name="Normal 5 17 2 27 5 2" xfId="35512" xr:uid="{00000000-0005-0000-0000-0000B88A0000}"/>
    <cellStyle name="Normal 5 17 2 27 5 3" xfId="35513" xr:uid="{00000000-0005-0000-0000-0000B98A0000}"/>
    <cellStyle name="Normal 5 17 2 27 5 4" xfId="35514" xr:uid="{00000000-0005-0000-0000-0000BA8A0000}"/>
    <cellStyle name="Normal 5 17 2 27 5 5" xfId="35515" xr:uid="{00000000-0005-0000-0000-0000BB8A0000}"/>
    <cellStyle name="Normal 5 17 2 27 5 6" xfId="35516" xr:uid="{00000000-0005-0000-0000-0000BC8A0000}"/>
    <cellStyle name="Normal 5 17 2 27 5 7" xfId="35517" xr:uid="{00000000-0005-0000-0000-0000BD8A0000}"/>
    <cellStyle name="Normal 5 17 2 27 5 8" xfId="35518" xr:uid="{00000000-0005-0000-0000-0000BE8A0000}"/>
    <cellStyle name="Normal 5 17 2 27 5 9" xfId="35519" xr:uid="{00000000-0005-0000-0000-0000BF8A0000}"/>
    <cellStyle name="Normal 5 17 2 27 6" xfId="35520" xr:uid="{00000000-0005-0000-0000-0000C08A0000}"/>
    <cellStyle name="Normal 5 17 2 27 7" xfId="35521" xr:uid="{00000000-0005-0000-0000-0000C18A0000}"/>
    <cellStyle name="Normal 5 17 2 27 8" xfId="35522" xr:uid="{00000000-0005-0000-0000-0000C28A0000}"/>
    <cellStyle name="Normal 5 17 2 27 9" xfId="35523" xr:uid="{00000000-0005-0000-0000-0000C38A0000}"/>
    <cellStyle name="Normal 5 17 2 28" xfId="35524" xr:uid="{00000000-0005-0000-0000-0000C48A0000}"/>
    <cellStyle name="Normal 5 17 2 28 10" xfId="35525" xr:uid="{00000000-0005-0000-0000-0000C58A0000}"/>
    <cellStyle name="Normal 5 17 2 28 11" xfId="35526" xr:uid="{00000000-0005-0000-0000-0000C68A0000}"/>
    <cellStyle name="Normal 5 17 2 28 12" xfId="35527" xr:uid="{00000000-0005-0000-0000-0000C78A0000}"/>
    <cellStyle name="Normal 5 17 2 28 13" xfId="35528" xr:uid="{00000000-0005-0000-0000-0000C88A0000}"/>
    <cellStyle name="Normal 5 17 2 28 14" xfId="35529" xr:uid="{00000000-0005-0000-0000-0000C98A0000}"/>
    <cellStyle name="Normal 5 17 2 28 2" xfId="35530" xr:uid="{00000000-0005-0000-0000-0000CA8A0000}"/>
    <cellStyle name="Normal 5 17 2 28 2 10" xfId="35531" xr:uid="{00000000-0005-0000-0000-0000CB8A0000}"/>
    <cellStyle name="Normal 5 17 2 28 2 2" xfId="35532" xr:uid="{00000000-0005-0000-0000-0000CC8A0000}"/>
    <cellStyle name="Normal 5 17 2 28 2 3" xfId="35533" xr:uid="{00000000-0005-0000-0000-0000CD8A0000}"/>
    <cellStyle name="Normal 5 17 2 28 2 4" xfId="35534" xr:uid="{00000000-0005-0000-0000-0000CE8A0000}"/>
    <cellStyle name="Normal 5 17 2 28 2 5" xfId="35535" xr:uid="{00000000-0005-0000-0000-0000CF8A0000}"/>
    <cellStyle name="Normal 5 17 2 28 2 6" xfId="35536" xr:uid="{00000000-0005-0000-0000-0000D08A0000}"/>
    <cellStyle name="Normal 5 17 2 28 2 7" xfId="35537" xr:uid="{00000000-0005-0000-0000-0000D18A0000}"/>
    <cellStyle name="Normal 5 17 2 28 2 8" xfId="35538" xr:uid="{00000000-0005-0000-0000-0000D28A0000}"/>
    <cellStyle name="Normal 5 17 2 28 2 9" xfId="35539" xr:uid="{00000000-0005-0000-0000-0000D38A0000}"/>
    <cellStyle name="Normal 5 17 2 28 3" xfId="35540" xr:uid="{00000000-0005-0000-0000-0000D48A0000}"/>
    <cellStyle name="Normal 5 17 2 28 3 10" xfId="35541" xr:uid="{00000000-0005-0000-0000-0000D58A0000}"/>
    <cellStyle name="Normal 5 17 2 28 3 2" xfId="35542" xr:uid="{00000000-0005-0000-0000-0000D68A0000}"/>
    <cellStyle name="Normal 5 17 2 28 3 3" xfId="35543" xr:uid="{00000000-0005-0000-0000-0000D78A0000}"/>
    <cellStyle name="Normal 5 17 2 28 3 4" xfId="35544" xr:uid="{00000000-0005-0000-0000-0000D88A0000}"/>
    <cellStyle name="Normal 5 17 2 28 3 5" xfId="35545" xr:uid="{00000000-0005-0000-0000-0000D98A0000}"/>
    <cellStyle name="Normal 5 17 2 28 3 6" xfId="35546" xr:uid="{00000000-0005-0000-0000-0000DA8A0000}"/>
    <cellStyle name="Normal 5 17 2 28 3 7" xfId="35547" xr:uid="{00000000-0005-0000-0000-0000DB8A0000}"/>
    <cellStyle name="Normal 5 17 2 28 3 8" xfId="35548" xr:uid="{00000000-0005-0000-0000-0000DC8A0000}"/>
    <cellStyle name="Normal 5 17 2 28 3 9" xfId="35549" xr:uid="{00000000-0005-0000-0000-0000DD8A0000}"/>
    <cellStyle name="Normal 5 17 2 28 4" xfId="35550" xr:uid="{00000000-0005-0000-0000-0000DE8A0000}"/>
    <cellStyle name="Normal 5 17 2 28 4 10" xfId="35551" xr:uid="{00000000-0005-0000-0000-0000DF8A0000}"/>
    <cellStyle name="Normal 5 17 2 28 4 2" xfId="35552" xr:uid="{00000000-0005-0000-0000-0000E08A0000}"/>
    <cellStyle name="Normal 5 17 2 28 4 3" xfId="35553" xr:uid="{00000000-0005-0000-0000-0000E18A0000}"/>
    <cellStyle name="Normal 5 17 2 28 4 4" xfId="35554" xr:uid="{00000000-0005-0000-0000-0000E28A0000}"/>
    <cellStyle name="Normal 5 17 2 28 4 5" xfId="35555" xr:uid="{00000000-0005-0000-0000-0000E38A0000}"/>
    <cellStyle name="Normal 5 17 2 28 4 6" xfId="35556" xr:uid="{00000000-0005-0000-0000-0000E48A0000}"/>
    <cellStyle name="Normal 5 17 2 28 4 7" xfId="35557" xr:uid="{00000000-0005-0000-0000-0000E58A0000}"/>
    <cellStyle name="Normal 5 17 2 28 4 8" xfId="35558" xr:uid="{00000000-0005-0000-0000-0000E68A0000}"/>
    <cellStyle name="Normal 5 17 2 28 4 9" xfId="35559" xr:uid="{00000000-0005-0000-0000-0000E78A0000}"/>
    <cellStyle name="Normal 5 17 2 28 5" xfId="35560" xr:uid="{00000000-0005-0000-0000-0000E88A0000}"/>
    <cellStyle name="Normal 5 17 2 28 5 10" xfId="35561" xr:uid="{00000000-0005-0000-0000-0000E98A0000}"/>
    <cellStyle name="Normal 5 17 2 28 5 2" xfId="35562" xr:uid="{00000000-0005-0000-0000-0000EA8A0000}"/>
    <cellStyle name="Normal 5 17 2 28 5 3" xfId="35563" xr:uid="{00000000-0005-0000-0000-0000EB8A0000}"/>
    <cellStyle name="Normal 5 17 2 28 5 4" xfId="35564" xr:uid="{00000000-0005-0000-0000-0000EC8A0000}"/>
    <cellStyle name="Normal 5 17 2 28 5 5" xfId="35565" xr:uid="{00000000-0005-0000-0000-0000ED8A0000}"/>
    <cellStyle name="Normal 5 17 2 28 5 6" xfId="35566" xr:uid="{00000000-0005-0000-0000-0000EE8A0000}"/>
    <cellStyle name="Normal 5 17 2 28 5 7" xfId="35567" xr:uid="{00000000-0005-0000-0000-0000EF8A0000}"/>
    <cellStyle name="Normal 5 17 2 28 5 8" xfId="35568" xr:uid="{00000000-0005-0000-0000-0000F08A0000}"/>
    <cellStyle name="Normal 5 17 2 28 5 9" xfId="35569" xr:uid="{00000000-0005-0000-0000-0000F18A0000}"/>
    <cellStyle name="Normal 5 17 2 28 6" xfId="35570" xr:uid="{00000000-0005-0000-0000-0000F28A0000}"/>
    <cellStyle name="Normal 5 17 2 28 7" xfId="35571" xr:uid="{00000000-0005-0000-0000-0000F38A0000}"/>
    <cellStyle name="Normal 5 17 2 28 8" xfId="35572" xr:uid="{00000000-0005-0000-0000-0000F48A0000}"/>
    <cellStyle name="Normal 5 17 2 28 9" xfId="35573" xr:uid="{00000000-0005-0000-0000-0000F58A0000}"/>
    <cellStyle name="Normal 5 17 2 29" xfId="35574" xr:uid="{00000000-0005-0000-0000-0000F68A0000}"/>
    <cellStyle name="Normal 5 17 2 29 10" xfId="35575" xr:uid="{00000000-0005-0000-0000-0000F78A0000}"/>
    <cellStyle name="Normal 5 17 2 29 11" xfId="35576" xr:uid="{00000000-0005-0000-0000-0000F88A0000}"/>
    <cellStyle name="Normal 5 17 2 29 12" xfId="35577" xr:uid="{00000000-0005-0000-0000-0000F98A0000}"/>
    <cellStyle name="Normal 5 17 2 29 13" xfId="35578" xr:uid="{00000000-0005-0000-0000-0000FA8A0000}"/>
    <cellStyle name="Normal 5 17 2 29 14" xfId="35579" xr:uid="{00000000-0005-0000-0000-0000FB8A0000}"/>
    <cellStyle name="Normal 5 17 2 29 2" xfId="35580" xr:uid="{00000000-0005-0000-0000-0000FC8A0000}"/>
    <cellStyle name="Normal 5 17 2 29 2 10" xfId="35581" xr:uid="{00000000-0005-0000-0000-0000FD8A0000}"/>
    <cellStyle name="Normal 5 17 2 29 2 2" xfId="35582" xr:uid="{00000000-0005-0000-0000-0000FE8A0000}"/>
    <cellStyle name="Normal 5 17 2 29 2 3" xfId="35583" xr:uid="{00000000-0005-0000-0000-0000FF8A0000}"/>
    <cellStyle name="Normal 5 17 2 29 2 4" xfId="35584" xr:uid="{00000000-0005-0000-0000-0000008B0000}"/>
    <cellStyle name="Normal 5 17 2 29 2 5" xfId="35585" xr:uid="{00000000-0005-0000-0000-0000018B0000}"/>
    <cellStyle name="Normal 5 17 2 29 2 6" xfId="35586" xr:uid="{00000000-0005-0000-0000-0000028B0000}"/>
    <cellStyle name="Normal 5 17 2 29 2 7" xfId="35587" xr:uid="{00000000-0005-0000-0000-0000038B0000}"/>
    <cellStyle name="Normal 5 17 2 29 2 8" xfId="35588" xr:uid="{00000000-0005-0000-0000-0000048B0000}"/>
    <cellStyle name="Normal 5 17 2 29 2 9" xfId="35589" xr:uid="{00000000-0005-0000-0000-0000058B0000}"/>
    <cellStyle name="Normal 5 17 2 29 3" xfId="35590" xr:uid="{00000000-0005-0000-0000-0000068B0000}"/>
    <cellStyle name="Normal 5 17 2 29 3 10" xfId="35591" xr:uid="{00000000-0005-0000-0000-0000078B0000}"/>
    <cellStyle name="Normal 5 17 2 29 3 2" xfId="35592" xr:uid="{00000000-0005-0000-0000-0000088B0000}"/>
    <cellStyle name="Normal 5 17 2 29 3 3" xfId="35593" xr:uid="{00000000-0005-0000-0000-0000098B0000}"/>
    <cellStyle name="Normal 5 17 2 29 3 4" xfId="35594" xr:uid="{00000000-0005-0000-0000-00000A8B0000}"/>
    <cellStyle name="Normal 5 17 2 29 3 5" xfId="35595" xr:uid="{00000000-0005-0000-0000-00000B8B0000}"/>
    <cellStyle name="Normal 5 17 2 29 3 6" xfId="35596" xr:uid="{00000000-0005-0000-0000-00000C8B0000}"/>
    <cellStyle name="Normal 5 17 2 29 3 7" xfId="35597" xr:uid="{00000000-0005-0000-0000-00000D8B0000}"/>
    <cellStyle name="Normal 5 17 2 29 3 8" xfId="35598" xr:uid="{00000000-0005-0000-0000-00000E8B0000}"/>
    <cellStyle name="Normal 5 17 2 29 3 9" xfId="35599" xr:uid="{00000000-0005-0000-0000-00000F8B0000}"/>
    <cellStyle name="Normal 5 17 2 29 4" xfId="35600" xr:uid="{00000000-0005-0000-0000-0000108B0000}"/>
    <cellStyle name="Normal 5 17 2 29 4 10" xfId="35601" xr:uid="{00000000-0005-0000-0000-0000118B0000}"/>
    <cellStyle name="Normal 5 17 2 29 4 2" xfId="35602" xr:uid="{00000000-0005-0000-0000-0000128B0000}"/>
    <cellStyle name="Normal 5 17 2 29 4 3" xfId="35603" xr:uid="{00000000-0005-0000-0000-0000138B0000}"/>
    <cellStyle name="Normal 5 17 2 29 4 4" xfId="35604" xr:uid="{00000000-0005-0000-0000-0000148B0000}"/>
    <cellStyle name="Normal 5 17 2 29 4 5" xfId="35605" xr:uid="{00000000-0005-0000-0000-0000158B0000}"/>
    <cellStyle name="Normal 5 17 2 29 4 6" xfId="35606" xr:uid="{00000000-0005-0000-0000-0000168B0000}"/>
    <cellStyle name="Normal 5 17 2 29 4 7" xfId="35607" xr:uid="{00000000-0005-0000-0000-0000178B0000}"/>
    <cellStyle name="Normal 5 17 2 29 4 8" xfId="35608" xr:uid="{00000000-0005-0000-0000-0000188B0000}"/>
    <cellStyle name="Normal 5 17 2 29 4 9" xfId="35609" xr:uid="{00000000-0005-0000-0000-0000198B0000}"/>
    <cellStyle name="Normal 5 17 2 29 5" xfId="35610" xr:uid="{00000000-0005-0000-0000-00001A8B0000}"/>
    <cellStyle name="Normal 5 17 2 29 5 10" xfId="35611" xr:uid="{00000000-0005-0000-0000-00001B8B0000}"/>
    <cellStyle name="Normal 5 17 2 29 5 2" xfId="35612" xr:uid="{00000000-0005-0000-0000-00001C8B0000}"/>
    <cellStyle name="Normal 5 17 2 29 5 3" xfId="35613" xr:uid="{00000000-0005-0000-0000-00001D8B0000}"/>
    <cellStyle name="Normal 5 17 2 29 5 4" xfId="35614" xr:uid="{00000000-0005-0000-0000-00001E8B0000}"/>
    <cellStyle name="Normal 5 17 2 29 5 5" xfId="35615" xr:uid="{00000000-0005-0000-0000-00001F8B0000}"/>
    <cellStyle name="Normal 5 17 2 29 5 6" xfId="35616" xr:uid="{00000000-0005-0000-0000-0000208B0000}"/>
    <cellStyle name="Normal 5 17 2 29 5 7" xfId="35617" xr:uid="{00000000-0005-0000-0000-0000218B0000}"/>
    <cellStyle name="Normal 5 17 2 29 5 8" xfId="35618" xr:uid="{00000000-0005-0000-0000-0000228B0000}"/>
    <cellStyle name="Normal 5 17 2 29 5 9" xfId="35619" xr:uid="{00000000-0005-0000-0000-0000238B0000}"/>
    <cellStyle name="Normal 5 17 2 29 6" xfId="35620" xr:uid="{00000000-0005-0000-0000-0000248B0000}"/>
    <cellStyle name="Normal 5 17 2 29 7" xfId="35621" xr:uid="{00000000-0005-0000-0000-0000258B0000}"/>
    <cellStyle name="Normal 5 17 2 29 8" xfId="35622" xr:uid="{00000000-0005-0000-0000-0000268B0000}"/>
    <cellStyle name="Normal 5 17 2 29 9" xfId="35623" xr:uid="{00000000-0005-0000-0000-0000278B0000}"/>
    <cellStyle name="Normal 5 17 2 3" xfId="35624" xr:uid="{00000000-0005-0000-0000-0000288B0000}"/>
    <cellStyle name="Normal 5 17 2 3 10" xfId="35625" xr:uid="{00000000-0005-0000-0000-0000298B0000}"/>
    <cellStyle name="Normal 5 17 2 3 11" xfId="35626" xr:uid="{00000000-0005-0000-0000-00002A8B0000}"/>
    <cellStyle name="Normal 5 17 2 3 12" xfId="35627" xr:uid="{00000000-0005-0000-0000-00002B8B0000}"/>
    <cellStyle name="Normal 5 17 2 3 13" xfId="35628" xr:uid="{00000000-0005-0000-0000-00002C8B0000}"/>
    <cellStyle name="Normal 5 17 2 3 14" xfId="35629" xr:uid="{00000000-0005-0000-0000-00002D8B0000}"/>
    <cellStyle name="Normal 5 17 2 3 2" xfId="35630" xr:uid="{00000000-0005-0000-0000-00002E8B0000}"/>
    <cellStyle name="Normal 5 17 2 3 2 10" xfId="35631" xr:uid="{00000000-0005-0000-0000-00002F8B0000}"/>
    <cellStyle name="Normal 5 17 2 3 2 2" xfId="35632" xr:uid="{00000000-0005-0000-0000-0000308B0000}"/>
    <cellStyle name="Normal 5 17 2 3 2 3" xfId="35633" xr:uid="{00000000-0005-0000-0000-0000318B0000}"/>
    <cellStyle name="Normal 5 17 2 3 2 4" xfId="35634" xr:uid="{00000000-0005-0000-0000-0000328B0000}"/>
    <cellStyle name="Normal 5 17 2 3 2 5" xfId="35635" xr:uid="{00000000-0005-0000-0000-0000338B0000}"/>
    <cellStyle name="Normal 5 17 2 3 2 6" xfId="35636" xr:uid="{00000000-0005-0000-0000-0000348B0000}"/>
    <cellStyle name="Normal 5 17 2 3 2 7" xfId="35637" xr:uid="{00000000-0005-0000-0000-0000358B0000}"/>
    <cellStyle name="Normal 5 17 2 3 2 8" xfId="35638" xr:uid="{00000000-0005-0000-0000-0000368B0000}"/>
    <cellStyle name="Normal 5 17 2 3 2 9" xfId="35639" xr:uid="{00000000-0005-0000-0000-0000378B0000}"/>
    <cellStyle name="Normal 5 17 2 3 3" xfId="35640" xr:uid="{00000000-0005-0000-0000-0000388B0000}"/>
    <cellStyle name="Normal 5 17 2 3 3 10" xfId="35641" xr:uid="{00000000-0005-0000-0000-0000398B0000}"/>
    <cellStyle name="Normal 5 17 2 3 3 2" xfId="35642" xr:uid="{00000000-0005-0000-0000-00003A8B0000}"/>
    <cellStyle name="Normal 5 17 2 3 3 3" xfId="35643" xr:uid="{00000000-0005-0000-0000-00003B8B0000}"/>
    <cellStyle name="Normal 5 17 2 3 3 4" xfId="35644" xr:uid="{00000000-0005-0000-0000-00003C8B0000}"/>
    <cellStyle name="Normal 5 17 2 3 3 5" xfId="35645" xr:uid="{00000000-0005-0000-0000-00003D8B0000}"/>
    <cellStyle name="Normal 5 17 2 3 3 6" xfId="35646" xr:uid="{00000000-0005-0000-0000-00003E8B0000}"/>
    <cellStyle name="Normal 5 17 2 3 3 7" xfId="35647" xr:uid="{00000000-0005-0000-0000-00003F8B0000}"/>
    <cellStyle name="Normal 5 17 2 3 3 8" xfId="35648" xr:uid="{00000000-0005-0000-0000-0000408B0000}"/>
    <cellStyle name="Normal 5 17 2 3 3 9" xfId="35649" xr:uid="{00000000-0005-0000-0000-0000418B0000}"/>
    <cellStyle name="Normal 5 17 2 3 4" xfId="35650" xr:uid="{00000000-0005-0000-0000-0000428B0000}"/>
    <cellStyle name="Normal 5 17 2 3 4 10" xfId="35651" xr:uid="{00000000-0005-0000-0000-0000438B0000}"/>
    <cellStyle name="Normal 5 17 2 3 4 2" xfId="35652" xr:uid="{00000000-0005-0000-0000-0000448B0000}"/>
    <cellStyle name="Normal 5 17 2 3 4 3" xfId="35653" xr:uid="{00000000-0005-0000-0000-0000458B0000}"/>
    <cellStyle name="Normal 5 17 2 3 4 4" xfId="35654" xr:uid="{00000000-0005-0000-0000-0000468B0000}"/>
    <cellStyle name="Normal 5 17 2 3 4 5" xfId="35655" xr:uid="{00000000-0005-0000-0000-0000478B0000}"/>
    <cellStyle name="Normal 5 17 2 3 4 6" xfId="35656" xr:uid="{00000000-0005-0000-0000-0000488B0000}"/>
    <cellStyle name="Normal 5 17 2 3 4 7" xfId="35657" xr:uid="{00000000-0005-0000-0000-0000498B0000}"/>
    <cellStyle name="Normal 5 17 2 3 4 8" xfId="35658" xr:uid="{00000000-0005-0000-0000-00004A8B0000}"/>
    <cellStyle name="Normal 5 17 2 3 4 9" xfId="35659" xr:uid="{00000000-0005-0000-0000-00004B8B0000}"/>
    <cellStyle name="Normal 5 17 2 3 5" xfId="35660" xr:uid="{00000000-0005-0000-0000-00004C8B0000}"/>
    <cellStyle name="Normal 5 17 2 3 5 10" xfId="35661" xr:uid="{00000000-0005-0000-0000-00004D8B0000}"/>
    <cellStyle name="Normal 5 17 2 3 5 2" xfId="35662" xr:uid="{00000000-0005-0000-0000-00004E8B0000}"/>
    <cellStyle name="Normal 5 17 2 3 5 3" xfId="35663" xr:uid="{00000000-0005-0000-0000-00004F8B0000}"/>
    <cellStyle name="Normal 5 17 2 3 5 4" xfId="35664" xr:uid="{00000000-0005-0000-0000-0000508B0000}"/>
    <cellStyle name="Normal 5 17 2 3 5 5" xfId="35665" xr:uid="{00000000-0005-0000-0000-0000518B0000}"/>
    <cellStyle name="Normal 5 17 2 3 5 6" xfId="35666" xr:uid="{00000000-0005-0000-0000-0000528B0000}"/>
    <cellStyle name="Normal 5 17 2 3 5 7" xfId="35667" xr:uid="{00000000-0005-0000-0000-0000538B0000}"/>
    <cellStyle name="Normal 5 17 2 3 5 8" xfId="35668" xr:uid="{00000000-0005-0000-0000-0000548B0000}"/>
    <cellStyle name="Normal 5 17 2 3 5 9" xfId="35669" xr:uid="{00000000-0005-0000-0000-0000558B0000}"/>
    <cellStyle name="Normal 5 17 2 3 6" xfId="35670" xr:uid="{00000000-0005-0000-0000-0000568B0000}"/>
    <cellStyle name="Normal 5 17 2 3 7" xfId="35671" xr:uid="{00000000-0005-0000-0000-0000578B0000}"/>
    <cellStyle name="Normal 5 17 2 3 8" xfId="35672" xr:uid="{00000000-0005-0000-0000-0000588B0000}"/>
    <cellStyle name="Normal 5 17 2 3 9" xfId="35673" xr:uid="{00000000-0005-0000-0000-0000598B0000}"/>
    <cellStyle name="Normal 5 17 2 30" xfId="35674" xr:uid="{00000000-0005-0000-0000-00005A8B0000}"/>
    <cellStyle name="Normal 5 17 2 30 10" xfId="35675" xr:uid="{00000000-0005-0000-0000-00005B8B0000}"/>
    <cellStyle name="Normal 5 17 2 30 11" xfId="35676" xr:uid="{00000000-0005-0000-0000-00005C8B0000}"/>
    <cellStyle name="Normal 5 17 2 30 12" xfId="35677" xr:uid="{00000000-0005-0000-0000-00005D8B0000}"/>
    <cellStyle name="Normal 5 17 2 30 13" xfId="35678" xr:uid="{00000000-0005-0000-0000-00005E8B0000}"/>
    <cellStyle name="Normal 5 17 2 30 14" xfId="35679" xr:uid="{00000000-0005-0000-0000-00005F8B0000}"/>
    <cellStyle name="Normal 5 17 2 30 2" xfId="35680" xr:uid="{00000000-0005-0000-0000-0000608B0000}"/>
    <cellStyle name="Normal 5 17 2 30 2 10" xfId="35681" xr:uid="{00000000-0005-0000-0000-0000618B0000}"/>
    <cellStyle name="Normal 5 17 2 30 2 2" xfId="35682" xr:uid="{00000000-0005-0000-0000-0000628B0000}"/>
    <cellStyle name="Normal 5 17 2 30 2 3" xfId="35683" xr:uid="{00000000-0005-0000-0000-0000638B0000}"/>
    <cellStyle name="Normal 5 17 2 30 2 4" xfId="35684" xr:uid="{00000000-0005-0000-0000-0000648B0000}"/>
    <cellStyle name="Normal 5 17 2 30 2 5" xfId="35685" xr:uid="{00000000-0005-0000-0000-0000658B0000}"/>
    <cellStyle name="Normal 5 17 2 30 2 6" xfId="35686" xr:uid="{00000000-0005-0000-0000-0000668B0000}"/>
    <cellStyle name="Normal 5 17 2 30 2 7" xfId="35687" xr:uid="{00000000-0005-0000-0000-0000678B0000}"/>
    <cellStyle name="Normal 5 17 2 30 2 8" xfId="35688" xr:uid="{00000000-0005-0000-0000-0000688B0000}"/>
    <cellStyle name="Normal 5 17 2 30 2 9" xfId="35689" xr:uid="{00000000-0005-0000-0000-0000698B0000}"/>
    <cellStyle name="Normal 5 17 2 30 3" xfId="35690" xr:uid="{00000000-0005-0000-0000-00006A8B0000}"/>
    <cellStyle name="Normal 5 17 2 30 3 10" xfId="35691" xr:uid="{00000000-0005-0000-0000-00006B8B0000}"/>
    <cellStyle name="Normal 5 17 2 30 3 2" xfId="35692" xr:uid="{00000000-0005-0000-0000-00006C8B0000}"/>
    <cellStyle name="Normal 5 17 2 30 3 3" xfId="35693" xr:uid="{00000000-0005-0000-0000-00006D8B0000}"/>
    <cellStyle name="Normal 5 17 2 30 3 4" xfId="35694" xr:uid="{00000000-0005-0000-0000-00006E8B0000}"/>
    <cellStyle name="Normal 5 17 2 30 3 5" xfId="35695" xr:uid="{00000000-0005-0000-0000-00006F8B0000}"/>
    <cellStyle name="Normal 5 17 2 30 3 6" xfId="35696" xr:uid="{00000000-0005-0000-0000-0000708B0000}"/>
    <cellStyle name="Normal 5 17 2 30 3 7" xfId="35697" xr:uid="{00000000-0005-0000-0000-0000718B0000}"/>
    <cellStyle name="Normal 5 17 2 30 3 8" xfId="35698" xr:uid="{00000000-0005-0000-0000-0000728B0000}"/>
    <cellStyle name="Normal 5 17 2 30 3 9" xfId="35699" xr:uid="{00000000-0005-0000-0000-0000738B0000}"/>
    <cellStyle name="Normal 5 17 2 30 4" xfId="35700" xr:uid="{00000000-0005-0000-0000-0000748B0000}"/>
    <cellStyle name="Normal 5 17 2 30 4 10" xfId="35701" xr:uid="{00000000-0005-0000-0000-0000758B0000}"/>
    <cellStyle name="Normal 5 17 2 30 4 2" xfId="35702" xr:uid="{00000000-0005-0000-0000-0000768B0000}"/>
    <cellStyle name="Normal 5 17 2 30 4 3" xfId="35703" xr:uid="{00000000-0005-0000-0000-0000778B0000}"/>
    <cellStyle name="Normal 5 17 2 30 4 4" xfId="35704" xr:uid="{00000000-0005-0000-0000-0000788B0000}"/>
    <cellStyle name="Normal 5 17 2 30 4 5" xfId="35705" xr:uid="{00000000-0005-0000-0000-0000798B0000}"/>
    <cellStyle name="Normal 5 17 2 30 4 6" xfId="35706" xr:uid="{00000000-0005-0000-0000-00007A8B0000}"/>
    <cellStyle name="Normal 5 17 2 30 4 7" xfId="35707" xr:uid="{00000000-0005-0000-0000-00007B8B0000}"/>
    <cellStyle name="Normal 5 17 2 30 4 8" xfId="35708" xr:uid="{00000000-0005-0000-0000-00007C8B0000}"/>
    <cellStyle name="Normal 5 17 2 30 4 9" xfId="35709" xr:uid="{00000000-0005-0000-0000-00007D8B0000}"/>
    <cellStyle name="Normal 5 17 2 30 5" xfId="35710" xr:uid="{00000000-0005-0000-0000-00007E8B0000}"/>
    <cellStyle name="Normal 5 17 2 30 5 10" xfId="35711" xr:uid="{00000000-0005-0000-0000-00007F8B0000}"/>
    <cellStyle name="Normal 5 17 2 30 5 2" xfId="35712" xr:uid="{00000000-0005-0000-0000-0000808B0000}"/>
    <cellStyle name="Normal 5 17 2 30 5 3" xfId="35713" xr:uid="{00000000-0005-0000-0000-0000818B0000}"/>
    <cellStyle name="Normal 5 17 2 30 5 4" xfId="35714" xr:uid="{00000000-0005-0000-0000-0000828B0000}"/>
    <cellStyle name="Normal 5 17 2 30 5 5" xfId="35715" xr:uid="{00000000-0005-0000-0000-0000838B0000}"/>
    <cellStyle name="Normal 5 17 2 30 5 6" xfId="35716" xr:uid="{00000000-0005-0000-0000-0000848B0000}"/>
    <cellStyle name="Normal 5 17 2 30 5 7" xfId="35717" xr:uid="{00000000-0005-0000-0000-0000858B0000}"/>
    <cellStyle name="Normal 5 17 2 30 5 8" xfId="35718" xr:uid="{00000000-0005-0000-0000-0000868B0000}"/>
    <cellStyle name="Normal 5 17 2 30 5 9" xfId="35719" xr:uid="{00000000-0005-0000-0000-0000878B0000}"/>
    <cellStyle name="Normal 5 17 2 30 6" xfId="35720" xr:uid="{00000000-0005-0000-0000-0000888B0000}"/>
    <cellStyle name="Normal 5 17 2 30 7" xfId="35721" xr:uid="{00000000-0005-0000-0000-0000898B0000}"/>
    <cellStyle name="Normal 5 17 2 30 8" xfId="35722" xr:uid="{00000000-0005-0000-0000-00008A8B0000}"/>
    <cellStyle name="Normal 5 17 2 30 9" xfId="35723" xr:uid="{00000000-0005-0000-0000-00008B8B0000}"/>
    <cellStyle name="Normal 5 17 2 31" xfId="35724" xr:uid="{00000000-0005-0000-0000-00008C8B0000}"/>
    <cellStyle name="Normal 5 17 2 31 10" xfId="35725" xr:uid="{00000000-0005-0000-0000-00008D8B0000}"/>
    <cellStyle name="Normal 5 17 2 31 11" xfId="35726" xr:uid="{00000000-0005-0000-0000-00008E8B0000}"/>
    <cellStyle name="Normal 5 17 2 31 12" xfId="35727" xr:uid="{00000000-0005-0000-0000-00008F8B0000}"/>
    <cellStyle name="Normal 5 17 2 31 13" xfId="35728" xr:uid="{00000000-0005-0000-0000-0000908B0000}"/>
    <cellStyle name="Normal 5 17 2 31 14" xfId="35729" xr:uid="{00000000-0005-0000-0000-0000918B0000}"/>
    <cellStyle name="Normal 5 17 2 31 2" xfId="35730" xr:uid="{00000000-0005-0000-0000-0000928B0000}"/>
    <cellStyle name="Normal 5 17 2 31 2 10" xfId="35731" xr:uid="{00000000-0005-0000-0000-0000938B0000}"/>
    <cellStyle name="Normal 5 17 2 31 2 2" xfId="35732" xr:uid="{00000000-0005-0000-0000-0000948B0000}"/>
    <cellStyle name="Normal 5 17 2 31 2 3" xfId="35733" xr:uid="{00000000-0005-0000-0000-0000958B0000}"/>
    <cellStyle name="Normal 5 17 2 31 2 4" xfId="35734" xr:uid="{00000000-0005-0000-0000-0000968B0000}"/>
    <cellStyle name="Normal 5 17 2 31 2 5" xfId="35735" xr:uid="{00000000-0005-0000-0000-0000978B0000}"/>
    <cellStyle name="Normal 5 17 2 31 2 6" xfId="35736" xr:uid="{00000000-0005-0000-0000-0000988B0000}"/>
    <cellStyle name="Normal 5 17 2 31 2 7" xfId="35737" xr:uid="{00000000-0005-0000-0000-0000998B0000}"/>
    <cellStyle name="Normal 5 17 2 31 2 8" xfId="35738" xr:uid="{00000000-0005-0000-0000-00009A8B0000}"/>
    <cellStyle name="Normal 5 17 2 31 2 9" xfId="35739" xr:uid="{00000000-0005-0000-0000-00009B8B0000}"/>
    <cellStyle name="Normal 5 17 2 31 3" xfId="35740" xr:uid="{00000000-0005-0000-0000-00009C8B0000}"/>
    <cellStyle name="Normal 5 17 2 31 3 10" xfId="35741" xr:uid="{00000000-0005-0000-0000-00009D8B0000}"/>
    <cellStyle name="Normal 5 17 2 31 3 2" xfId="35742" xr:uid="{00000000-0005-0000-0000-00009E8B0000}"/>
    <cellStyle name="Normal 5 17 2 31 3 3" xfId="35743" xr:uid="{00000000-0005-0000-0000-00009F8B0000}"/>
    <cellStyle name="Normal 5 17 2 31 3 4" xfId="35744" xr:uid="{00000000-0005-0000-0000-0000A08B0000}"/>
    <cellStyle name="Normal 5 17 2 31 3 5" xfId="35745" xr:uid="{00000000-0005-0000-0000-0000A18B0000}"/>
    <cellStyle name="Normal 5 17 2 31 3 6" xfId="35746" xr:uid="{00000000-0005-0000-0000-0000A28B0000}"/>
    <cellStyle name="Normal 5 17 2 31 3 7" xfId="35747" xr:uid="{00000000-0005-0000-0000-0000A38B0000}"/>
    <cellStyle name="Normal 5 17 2 31 3 8" xfId="35748" xr:uid="{00000000-0005-0000-0000-0000A48B0000}"/>
    <cellStyle name="Normal 5 17 2 31 3 9" xfId="35749" xr:uid="{00000000-0005-0000-0000-0000A58B0000}"/>
    <cellStyle name="Normal 5 17 2 31 4" xfId="35750" xr:uid="{00000000-0005-0000-0000-0000A68B0000}"/>
    <cellStyle name="Normal 5 17 2 31 4 10" xfId="35751" xr:uid="{00000000-0005-0000-0000-0000A78B0000}"/>
    <cellStyle name="Normal 5 17 2 31 4 2" xfId="35752" xr:uid="{00000000-0005-0000-0000-0000A88B0000}"/>
    <cellStyle name="Normal 5 17 2 31 4 3" xfId="35753" xr:uid="{00000000-0005-0000-0000-0000A98B0000}"/>
    <cellStyle name="Normal 5 17 2 31 4 4" xfId="35754" xr:uid="{00000000-0005-0000-0000-0000AA8B0000}"/>
    <cellStyle name="Normal 5 17 2 31 4 5" xfId="35755" xr:uid="{00000000-0005-0000-0000-0000AB8B0000}"/>
    <cellStyle name="Normal 5 17 2 31 4 6" xfId="35756" xr:uid="{00000000-0005-0000-0000-0000AC8B0000}"/>
    <cellStyle name="Normal 5 17 2 31 4 7" xfId="35757" xr:uid="{00000000-0005-0000-0000-0000AD8B0000}"/>
    <cellStyle name="Normal 5 17 2 31 4 8" xfId="35758" xr:uid="{00000000-0005-0000-0000-0000AE8B0000}"/>
    <cellStyle name="Normal 5 17 2 31 4 9" xfId="35759" xr:uid="{00000000-0005-0000-0000-0000AF8B0000}"/>
    <cellStyle name="Normal 5 17 2 31 5" xfId="35760" xr:uid="{00000000-0005-0000-0000-0000B08B0000}"/>
    <cellStyle name="Normal 5 17 2 31 5 10" xfId="35761" xr:uid="{00000000-0005-0000-0000-0000B18B0000}"/>
    <cellStyle name="Normal 5 17 2 31 5 2" xfId="35762" xr:uid="{00000000-0005-0000-0000-0000B28B0000}"/>
    <cellStyle name="Normal 5 17 2 31 5 3" xfId="35763" xr:uid="{00000000-0005-0000-0000-0000B38B0000}"/>
    <cellStyle name="Normal 5 17 2 31 5 4" xfId="35764" xr:uid="{00000000-0005-0000-0000-0000B48B0000}"/>
    <cellStyle name="Normal 5 17 2 31 5 5" xfId="35765" xr:uid="{00000000-0005-0000-0000-0000B58B0000}"/>
    <cellStyle name="Normal 5 17 2 31 5 6" xfId="35766" xr:uid="{00000000-0005-0000-0000-0000B68B0000}"/>
    <cellStyle name="Normal 5 17 2 31 5 7" xfId="35767" xr:uid="{00000000-0005-0000-0000-0000B78B0000}"/>
    <cellStyle name="Normal 5 17 2 31 5 8" xfId="35768" xr:uid="{00000000-0005-0000-0000-0000B88B0000}"/>
    <cellStyle name="Normal 5 17 2 31 5 9" xfId="35769" xr:uid="{00000000-0005-0000-0000-0000B98B0000}"/>
    <cellStyle name="Normal 5 17 2 31 6" xfId="35770" xr:uid="{00000000-0005-0000-0000-0000BA8B0000}"/>
    <cellStyle name="Normal 5 17 2 31 7" xfId="35771" xr:uid="{00000000-0005-0000-0000-0000BB8B0000}"/>
    <cellStyle name="Normal 5 17 2 31 8" xfId="35772" xr:uid="{00000000-0005-0000-0000-0000BC8B0000}"/>
    <cellStyle name="Normal 5 17 2 31 9" xfId="35773" xr:uid="{00000000-0005-0000-0000-0000BD8B0000}"/>
    <cellStyle name="Normal 5 17 2 32" xfId="35774" xr:uid="{00000000-0005-0000-0000-0000BE8B0000}"/>
    <cellStyle name="Normal 5 17 2 32 10" xfId="35775" xr:uid="{00000000-0005-0000-0000-0000BF8B0000}"/>
    <cellStyle name="Normal 5 17 2 32 11" xfId="35776" xr:uid="{00000000-0005-0000-0000-0000C08B0000}"/>
    <cellStyle name="Normal 5 17 2 32 12" xfId="35777" xr:uid="{00000000-0005-0000-0000-0000C18B0000}"/>
    <cellStyle name="Normal 5 17 2 32 13" xfId="35778" xr:uid="{00000000-0005-0000-0000-0000C28B0000}"/>
    <cellStyle name="Normal 5 17 2 32 14" xfId="35779" xr:uid="{00000000-0005-0000-0000-0000C38B0000}"/>
    <cellStyle name="Normal 5 17 2 32 2" xfId="35780" xr:uid="{00000000-0005-0000-0000-0000C48B0000}"/>
    <cellStyle name="Normal 5 17 2 32 2 10" xfId="35781" xr:uid="{00000000-0005-0000-0000-0000C58B0000}"/>
    <cellStyle name="Normal 5 17 2 32 2 2" xfId="35782" xr:uid="{00000000-0005-0000-0000-0000C68B0000}"/>
    <cellStyle name="Normal 5 17 2 32 2 3" xfId="35783" xr:uid="{00000000-0005-0000-0000-0000C78B0000}"/>
    <cellStyle name="Normal 5 17 2 32 2 4" xfId="35784" xr:uid="{00000000-0005-0000-0000-0000C88B0000}"/>
    <cellStyle name="Normal 5 17 2 32 2 5" xfId="35785" xr:uid="{00000000-0005-0000-0000-0000C98B0000}"/>
    <cellStyle name="Normal 5 17 2 32 2 6" xfId="35786" xr:uid="{00000000-0005-0000-0000-0000CA8B0000}"/>
    <cellStyle name="Normal 5 17 2 32 2 7" xfId="35787" xr:uid="{00000000-0005-0000-0000-0000CB8B0000}"/>
    <cellStyle name="Normal 5 17 2 32 2 8" xfId="35788" xr:uid="{00000000-0005-0000-0000-0000CC8B0000}"/>
    <cellStyle name="Normal 5 17 2 32 2 9" xfId="35789" xr:uid="{00000000-0005-0000-0000-0000CD8B0000}"/>
    <cellStyle name="Normal 5 17 2 32 3" xfId="35790" xr:uid="{00000000-0005-0000-0000-0000CE8B0000}"/>
    <cellStyle name="Normal 5 17 2 32 3 10" xfId="35791" xr:uid="{00000000-0005-0000-0000-0000CF8B0000}"/>
    <cellStyle name="Normal 5 17 2 32 3 2" xfId="35792" xr:uid="{00000000-0005-0000-0000-0000D08B0000}"/>
    <cellStyle name="Normal 5 17 2 32 3 3" xfId="35793" xr:uid="{00000000-0005-0000-0000-0000D18B0000}"/>
    <cellStyle name="Normal 5 17 2 32 3 4" xfId="35794" xr:uid="{00000000-0005-0000-0000-0000D28B0000}"/>
    <cellStyle name="Normal 5 17 2 32 3 5" xfId="35795" xr:uid="{00000000-0005-0000-0000-0000D38B0000}"/>
    <cellStyle name="Normal 5 17 2 32 3 6" xfId="35796" xr:uid="{00000000-0005-0000-0000-0000D48B0000}"/>
    <cellStyle name="Normal 5 17 2 32 3 7" xfId="35797" xr:uid="{00000000-0005-0000-0000-0000D58B0000}"/>
    <cellStyle name="Normal 5 17 2 32 3 8" xfId="35798" xr:uid="{00000000-0005-0000-0000-0000D68B0000}"/>
    <cellStyle name="Normal 5 17 2 32 3 9" xfId="35799" xr:uid="{00000000-0005-0000-0000-0000D78B0000}"/>
    <cellStyle name="Normal 5 17 2 32 4" xfId="35800" xr:uid="{00000000-0005-0000-0000-0000D88B0000}"/>
    <cellStyle name="Normal 5 17 2 32 4 10" xfId="35801" xr:uid="{00000000-0005-0000-0000-0000D98B0000}"/>
    <cellStyle name="Normal 5 17 2 32 4 2" xfId="35802" xr:uid="{00000000-0005-0000-0000-0000DA8B0000}"/>
    <cellStyle name="Normal 5 17 2 32 4 3" xfId="35803" xr:uid="{00000000-0005-0000-0000-0000DB8B0000}"/>
    <cellStyle name="Normal 5 17 2 32 4 4" xfId="35804" xr:uid="{00000000-0005-0000-0000-0000DC8B0000}"/>
    <cellStyle name="Normal 5 17 2 32 4 5" xfId="35805" xr:uid="{00000000-0005-0000-0000-0000DD8B0000}"/>
    <cellStyle name="Normal 5 17 2 32 4 6" xfId="35806" xr:uid="{00000000-0005-0000-0000-0000DE8B0000}"/>
    <cellStyle name="Normal 5 17 2 32 4 7" xfId="35807" xr:uid="{00000000-0005-0000-0000-0000DF8B0000}"/>
    <cellStyle name="Normal 5 17 2 32 4 8" xfId="35808" xr:uid="{00000000-0005-0000-0000-0000E08B0000}"/>
    <cellStyle name="Normal 5 17 2 32 4 9" xfId="35809" xr:uid="{00000000-0005-0000-0000-0000E18B0000}"/>
    <cellStyle name="Normal 5 17 2 32 5" xfId="35810" xr:uid="{00000000-0005-0000-0000-0000E28B0000}"/>
    <cellStyle name="Normal 5 17 2 32 5 10" xfId="35811" xr:uid="{00000000-0005-0000-0000-0000E38B0000}"/>
    <cellStyle name="Normal 5 17 2 32 5 2" xfId="35812" xr:uid="{00000000-0005-0000-0000-0000E48B0000}"/>
    <cellStyle name="Normal 5 17 2 32 5 3" xfId="35813" xr:uid="{00000000-0005-0000-0000-0000E58B0000}"/>
    <cellStyle name="Normal 5 17 2 32 5 4" xfId="35814" xr:uid="{00000000-0005-0000-0000-0000E68B0000}"/>
    <cellStyle name="Normal 5 17 2 32 5 5" xfId="35815" xr:uid="{00000000-0005-0000-0000-0000E78B0000}"/>
    <cellStyle name="Normal 5 17 2 32 5 6" xfId="35816" xr:uid="{00000000-0005-0000-0000-0000E88B0000}"/>
    <cellStyle name="Normal 5 17 2 32 5 7" xfId="35817" xr:uid="{00000000-0005-0000-0000-0000E98B0000}"/>
    <cellStyle name="Normal 5 17 2 32 5 8" xfId="35818" xr:uid="{00000000-0005-0000-0000-0000EA8B0000}"/>
    <cellStyle name="Normal 5 17 2 32 5 9" xfId="35819" xr:uid="{00000000-0005-0000-0000-0000EB8B0000}"/>
    <cellStyle name="Normal 5 17 2 32 6" xfId="35820" xr:uid="{00000000-0005-0000-0000-0000EC8B0000}"/>
    <cellStyle name="Normal 5 17 2 32 7" xfId="35821" xr:uid="{00000000-0005-0000-0000-0000ED8B0000}"/>
    <cellStyle name="Normal 5 17 2 32 8" xfId="35822" xr:uid="{00000000-0005-0000-0000-0000EE8B0000}"/>
    <cellStyle name="Normal 5 17 2 32 9" xfId="35823" xr:uid="{00000000-0005-0000-0000-0000EF8B0000}"/>
    <cellStyle name="Normal 5 17 2 33" xfId="35824" xr:uid="{00000000-0005-0000-0000-0000F08B0000}"/>
    <cellStyle name="Normal 5 17 2 33 10" xfId="35825" xr:uid="{00000000-0005-0000-0000-0000F18B0000}"/>
    <cellStyle name="Normal 5 17 2 33 11" xfId="35826" xr:uid="{00000000-0005-0000-0000-0000F28B0000}"/>
    <cellStyle name="Normal 5 17 2 33 12" xfId="35827" xr:uid="{00000000-0005-0000-0000-0000F38B0000}"/>
    <cellStyle name="Normal 5 17 2 33 13" xfId="35828" xr:uid="{00000000-0005-0000-0000-0000F48B0000}"/>
    <cellStyle name="Normal 5 17 2 33 14" xfId="35829" xr:uid="{00000000-0005-0000-0000-0000F58B0000}"/>
    <cellStyle name="Normal 5 17 2 33 2" xfId="35830" xr:uid="{00000000-0005-0000-0000-0000F68B0000}"/>
    <cellStyle name="Normal 5 17 2 33 2 10" xfId="35831" xr:uid="{00000000-0005-0000-0000-0000F78B0000}"/>
    <cellStyle name="Normal 5 17 2 33 2 2" xfId="35832" xr:uid="{00000000-0005-0000-0000-0000F88B0000}"/>
    <cellStyle name="Normal 5 17 2 33 2 3" xfId="35833" xr:uid="{00000000-0005-0000-0000-0000F98B0000}"/>
    <cellStyle name="Normal 5 17 2 33 2 4" xfId="35834" xr:uid="{00000000-0005-0000-0000-0000FA8B0000}"/>
    <cellStyle name="Normal 5 17 2 33 2 5" xfId="35835" xr:uid="{00000000-0005-0000-0000-0000FB8B0000}"/>
    <cellStyle name="Normal 5 17 2 33 2 6" xfId="35836" xr:uid="{00000000-0005-0000-0000-0000FC8B0000}"/>
    <cellStyle name="Normal 5 17 2 33 2 7" xfId="35837" xr:uid="{00000000-0005-0000-0000-0000FD8B0000}"/>
    <cellStyle name="Normal 5 17 2 33 2 8" xfId="35838" xr:uid="{00000000-0005-0000-0000-0000FE8B0000}"/>
    <cellStyle name="Normal 5 17 2 33 2 9" xfId="35839" xr:uid="{00000000-0005-0000-0000-0000FF8B0000}"/>
    <cellStyle name="Normal 5 17 2 33 3" xfId="35840" xr:uid="{00000000-0005-0000-0000-0000008C0000}"/>
    <cellStyle name="Normal 5 17 2 33 3 10" xfId="35841" xr:uid="{00000000-0005-0000-0000-0000018C0000}"/>
    <cellStyle name="Normal 5 17 2 33 3 2" xfId="35842" xr:uid="{00000000-0005-0000-0000-0000028C0000}"/>
    <cellStyle name="Normal 5 17 2 33 3 3" xfId="35843" xr:uid="{00000000-0005-0000-0000-0000038C0000}"/>
    <cellStyle name="Normal 5 17 2 33 3 4" xfId="35844" xr:uid="{00000000-0005-0000-0000-0000048C0000}"/>
    <cellStyle name="Normal 5 17 2 33 3 5" xfId="35845" xr:uid="{00000000-0005-0000-0000-0000058C0000}"/>
    <cellStyle name="Normal 5 17 2 33 3 6" xfId="35846" xr:uid="{00000000-0005-0000-0000-0000068C0000}"/>
    <cellStyle name="Normal 5 17 2 33 3 7" xfId="35847" xr:uid="{00000000-0005-0000-0000-0000078C0000}"/>
    <cellStyle name="Normal 5 17 2 33 3 8" xfId="35848" xr:uid="{00000000-0005-0000-0000-0000088C0000}"/>
    <cellStyle name="Normal 5 17 2 33 3 9" xfId="35849" xr:uid="{00000000-0005-0000-0000-0000098C0000}"/>
    <cellStyle name="Normal 5 17 2 33 4" xfId="35850" xr:uid="{00000000-0005-0000-0000-00000A8C0000}"/>
    <cellStyle name="Normal 5 17 2 33 4 10" xfId="35851" xr:uid="{00000000-0005-0000-0000-00000B8C0000}"/>
    <cellStyle name="Normal 5 17 2 33 4 2" xfId="35852" xr:uid="{00000000-0005-0000-0000-00000C8C0000}"/>
    <cellStyle name="Normal 5 17 2 33 4 3" xfId="35853" xr:uid="{00000000-0005-0000-0000-00000D8C0000}"/>
    <cellStyle name="Normal 5 17 2 33 4 4" xfId="35854" xr:uid="{00000000-0005-0000-0000-00000E8C0000}"/>
    <cellStyle name="Normal 5 17 2 33 4 5" xfId="35855" xr:uid="{00000000-0005-0000-0000-00000F8C0000}"/>
    <cellStyle name="Normal 5 17 2 33 4 6" xfId="35856" xr:uid="{00000000-0005-0000-0000-0000108C0000}"/>
    <cellStyle name="Normal 5 17 2 33 4 7" xfId="35857" xr:uid="{00000000-0005-0000-0000-0000118C0000}"/>
    <cellStyle name="Normal 5 17 2 33 4 8" xfId="35858" xr:uid="{00000000-0005-0000-0000-0000128C0000}"/>
    <cellStyle name="Normal 5 17 2 33 4 9" xfId="35859" xr:uid="{00000000-0005-0000-0000-0000138C0000}"/>
    <cellStyle name="Normal 5 17 2 33 5" xfId="35860" xr:uid="{00000000-0005-0000-0000-0000148C0000}"/>
    <cellStyle name="Normal 5 17 2 33 5 10" xfId="35861" xr:uid="{00000000-0005-0000-0000-0000158C0000}"/>
    <cellStyle name="Normal 5 17 2 33 5 2" xfId="35862" xr:uid="{00000000-0005-0000-0000-0000168C0000}"/>
    <cellStyle name="Normal 5 17 2 33 5 3" xfId="35863" xr:uid="{00000000-0005-0000-0000-0000178C0000}"/>
    <cellStyle name="Normal 5 17 2 33 5 4" xfId="35864" xr:uid="{00000000-0005-0000-0000-0000188C0000}"/>
    <cellStyle name="Normal 5 17 2 33 5 5" xfId="35865" xr:uid="{00000000-0005-0000-0000-0000198C0000}"/>
    <cellStyle name="Normal 5 17 2 33 5 6" xfId="35866" xr:uid="{00000000-0005-0000-0000-00001A8C0000}"/>
    <cellStyle name="Normal 5 17 2 33 5 7" xfId="35867" xr:uid="{00000000-0005-0000-0000-00001B8C0000}"/>
    <cellStyle name="Normal 5 17 2 33 5 8" xfId="35868" xr:uid="{00000000-0005-0000-0000-00001C8C0000}"/>
    <cellStyle name="Normal 5 17 2 33 5 9" xfId="35869" xr:uid="{00000000-0005-0000-0000-00001D8C0000}"/>
    <cellStyle name="Normal 5 17 2 33 6" xfId="35870" xr:uid="{00000000-0005-0000-0000-00001E8C0000}"/>
    <cellStyle name="Normal 5 17 2 33 7" xfId="35871" xr:uid="{00000000-0005-0000-0000-00001F8C0000}"/>
    <cellStyle name="Normal 5 17 2 33 8" xfId="35872" xr:uid="{00000000-0005-0000-0000-0000208C0000}"/>
    <cellStyle name="Normal 5 17 2 33 9" xfId="35873" xr:uid="{00000000-0005-0000-0000-0000218C0000}"/>
    <cellStyle name="Normal 5 17 2 34" xfId="35874" xr:uid="{00000000-0005-0000-0000-0000228C0000}"/>
    <cellStyle name="Normal 5 17 2 34 10" xfId="35875" xr:uid="{00000000-0005-0000-0000-0000238C0000}"/>
    <cellStyle name="Normal 5 17 2 34 2" xfId="35876" xr:uid="{00000000-0005-0000-0000-0000248C0000}"/>
    <cellStyle name="Normal 5 17 2 34 3" xfId="35877" xr:uid="{00000000-0005-0000-0000-0000258C0000}"/>
    <cellStyle name="Normal 5 17 2 34 4" xfId="35878" xr:uid="{00000000-0005-0000-0000-0000268C0000}"/>
    <cellStyle name="Normal 5 17 2 34 5" xfId="35879" xr:uid="{00000000-0005-0000-0000-0000278C0000}"/>
    <cellStyle name="Normal 5 17 2 34 6" xfId="35880" xr:uid="{00000000-0005-0000-0000-0000288C0000}"/>
    <cellStyle name="Normal 5 17 2 34 7" xfId="35881" xr:uid="{00000000-0005-0000-0000-0000298C0000}"/>
    <cellStyle name="Normal 5 17 2 34 8" xfId="35882" xr:uid="{00000000-0005-0000-0000-00002A8C0000}"/>
    <cellStyle name="Normal 5 17 2 34 9" xfId="35883" xr:uid="{00000000-0005-0000-0000-00002B8C0000}"/>
    <cellStyle name="Normal 5 17 2 35" xfId="35884" xr:uid="{00000000-0005-0000-0000-00002C8C0000}"/>
    <cellStyle name="Normal 5 17 2 35 10" xfId="35885" xr:uid="{00000000-0005-0000-0000-00002D8C0000}"/>
    <cellStyle name="Normal 5 17 2 35 2" xfId="35886" xr:uid="{00000000-0005-0000-0000-00002E8C0000}"/>
    <cellStyle name="Normal 5 17 2 35 3" xfId="35887" xr:uid="{00000000-0005-0000-0000-00002F8C0000}"/>
    <cellStyle name="Normal 5 17 2 35 4" xfId="35888" xr:uid="{00000000-0005-0000-0000-0000308C0000}"/>
    <cellStyle name="Normal 5 17 2 35 5" xfId="35889" xr:uid="{00000000-0005-0000-0000-0000318C0000}"/>
    <cellStyle name="Normal 5 17 2 35 6" xfId="35890" xr:uid="{00000000-0005-0000-0000-0000328C0000}"/>
    <cellStyle name="Normal 5 17 2 35 7" xfId="35891" xr:uid="{00000000-0005-0000-0000-0000338C0000}"/>
    <cellStyle name="Normal 5 17 2 35 8" xfId="35892" xr:uid="{00000000-0005-0000-0000-0000348C0000}"/>
    <cellStyle name="Normal 5 17 2 35 9" xfId="35893" xr:uid="{00000000-0005-0000-0000-0000358C0000}"/>
    <cellStyle name="Normal 5 17 2 36" xfId="35894" xr:uid="{00000000-0005-0000-0000-0000368C0000}"/>
    <cellStyle name="Normal 5 17 2 36 10" xfId="35895" xr:uid="{00000000-0005-0000-0000-0000378C0000}"/>
    <cellStyle name="Normal 5 17 2 36 2" xfId="35896" xr:uid="{00000000-0005-0000-0000-0000388C0000}"/>
    <cellStyle name="Normal 5 17 2 36 3" xfId="35897" xr:uid="{00000000-0005-0000-0000-0000398C0000}"/>
    <cellStyle name="Normal 5 17 2 36 4" xfId="35898" xr:uid="{00000000-0005-0000-0000-00003A8C0000}"/>
    <cellStyle name="Normal 5 17 2 36 5" xfId="35899" xr:uid="{00000000-0005-0000-0000-00003B8C0000}"/>
    <cellStyle name="Normal 5 17 2 36 6" xfId="35900" xr:uid="{00000000-0005-0000-0000-00003C8C0000}"/>
    <cellStyle name="Normal 5 17 2 36 7" xfId="35901" xr:uid="{00000000-0005-0000-0000-00003D8C0000}"/>
    <cellStyle name="Normal 5 17 2 36 8" xfId="35902" xr:uid="{00000000-0005-0000-0000-00003E8C0000}"/>
    <cellStyle name="Normal 5 17 2 36 9" xfId="35903" xr:uid="{00000000-0005-0000-0000-00003F8C0000}"/>
    <cellStyle name="Normal 5 17 2 37" xfId="35904" xr:uid="{00000000-0005-0000-0000-0000408C0000}"/>
    <cellStyle name="Normal 5 17 2 37 10" xfId="35905" xr:uid="{00000000-0005-0000-0000-0000418C0000}"/>
    <cellStyle name="Normal 5 17 2 37 2" xfId="35906" xr:uid="{00000000-0005-0000-0000-0000428C0000}"/>
    <cellStyle name="Normal 5 17 2 37 3" xfId="35907" xr:uid="{00000000-0005-0000-0000-0000438C0000}"/>
    <cellStyle name="Normal 5 17 2 37 4" xfId="35908" xr:uid="{00000000-0005-0000-0000-0000448C0000}"/>
    <cellStyle name="Normal 5 17 2 37 5" xfId="35909" xr:uid="{00000000-0005-0000-0000-0000458C0000}"/>
    <cellStyle name="Normal 5 17 2 37 6" xfId="35910" xr:uid="{00000000-0005-0000-0000-0000468C0000}"/>
    <cellStyle name="Normal 5 17 2 37 7" xfId="35911" xr:uid="{00000000-0005-0000-0000-0000478C0000}"/>
    <cellStyle name="Normal 5 17 2 37 8" xfId="35912" xr:uid="{00000000-0005-0000-0000-0000488C0000}"/>
    <cellStyle name="Normal 5 17 2 37 9" xfId="35913" xr:uid="{00000000-0005-0000-0000-0000498C0000}"/>
    <cellStyle name="Normal 5 17 2 38" xfId="35914" xr:uid="{00000000-0005-0000-0000-00004A8C0000}"/>
    <cellStyle name="Normal 5 17 2 39" xfId="35915" xr:uid="{00000000-0005-0000-0000-00004B8C0000}"/>
    <cellStyle name="Normal 5 17 2 4" xfId="35916" xr:uid="{00000000-0005-0000-0000-00004C8C0000}"/>
    <cellStyle name="Normal 5 17 2 4 10" xfId="35917" xr:uid="{00000000-0005-0000-0000-00004D8C0000}"/>
    <cellStyle name="Normal 5 17 2 4 11" xfId="35918" xr:uid="{00000000-0005-0000-0000-00004E8C0000}"/>
    <cellStyle name="Normal 5 17 2 4 12" xfId="35919" xr:uid="{00000000-0005-0000-0000-00004F8C0000}"/>
    <cellStyle name="Normal 5 17 2 4 13" xfId="35920" xr:uid="{00000000-0005-0000-0000-0000508C0000}"/>
    <cellStyle name="Normal 5 17 2 4 14" xfId="35921" xr:uid="{00000000-0005-0000-0000-0000518C0000}"/>
    <cellStyle name="Normal 5 17 2 4 2" xfId="35922" xr:uid="{00000000-0005-0000-0000-0000528C0000}"/>
    <cellStyle name="Normal 5 17 2 4 2 10" xfId="35923" xr:uid="{00000000-0005-0000-0000-0000538C0000}"/>
    <cellStyle name="Normal 5 17 2 4 2 2" xfId="35924" xr:uid="{00000000-0005-0000-0000-0000548C0000}"/>
    <cellStyle name="Normal 5 17 2 4 2 3" xfId="35925" xr:uid="{00000000-0005-0000-0000-0000558C0000}"/>
    <cellStyle name="Normal 5 17 2 4 2 4" xfId="35926" xr:uid="{00000000-0005-0000-0000-0000568C0000}"/>
    <cellStyle name="Normal 5 17 2 4 2 5" xfId="35927" xr:uid="{00000000-0005-0000-0000-0000578C0000}"/>
    <cellStyle name="Normal 5 17 2 4 2 6" xfId="35928" xr:uid="{00000000-0005-0000-0000-0000588C0000}"/>
    <cellStyle name="Normal 5 17 2 4 2 7" xfId="35929" xr:uid="{00000000-0005-0000-0000-0000598C0000}"/>
    <cellStyle name="Normal 5 17 2 4 2 8" xfId="35930" xr:uid="{00000000-0005-0000-0000-00005A8C0000}"/>
    <cellStyle name="Normal 5 17 2 4 2 9" xfId="35931" xr:uid="{00000000-0005-0000-0000-00005B8C0000}"/>
    <cellStyle name="Normal 5 17 2 4 3" xfId="35932" xr:uid="{00000000-0005-0000-0000-00005C8C0000}"/>
    <cellStyle name="Normal 5 17 2 4 3 10" xfId="35933" xr:uid="{00000000-0005-0000-0000-00005D8C0000}"/>
    <cellStyle name="Normal 5 17 2 4 3 2" xfId="35934" xr:uid="{00000000-0005-0000-0000-00005E8C0000}"/>
    <cellStyle name="Normal 5 17 2 4 3 3" xfId="35935" xr:uid="{00000000-0005-0000-0000-00005F8C0000}"/>
    <cellStyle name="Normal 5 17 2 4 3 4" xfId="35936" xr:uid="{00000000-0005-0000-0000-0000608C0000}"/>
    <cellStyle name="Normal 5 17 2 4 3 5" xfId="35937" xr:uid="{00000000-0005-0000-0000-0000618C0000}"/>
    <cellStyle name="Normal 5 17 2 4 3 6" xfId="35938" xr:uid="{00000000-0005-0000-0000-0000628C0000}"/>
    <cellStyle name="Normal 5 17 2 4 3 7" xfId="35939" xr:uid="{00000000-0005-0000-0000-0000638C0000}"/>
    <cellStyle name="Normal 5 17 2 4 3 8" xfId="35940" xr:uid="{00000000-0005-0000-0000-0000648C0000}"/>
    <cellStyle name="Normal 5 17 2 4 3 9" xfId="35941" xr:uid="{00000000-0005-0000-0000-0000658C0000}"/>
    <cellStyle name="Normal 5 17 2 4 4" xfId="35942" xr:uid="{00000000-0005-0000-0000-0000668C0000}"/>
    <cellStyle name="Normal 5 17 2 4 4 10" xfId="35943" xr:uid="{00000000-0005-0000-0000-0000678C0000}"/>
    <cellStyle name="Normal 5 17 2 4 4 2" xfId="35944" xr:uid="{00000000-0005-0000-0000-0000688C0000}"/>
    <cellStyle name="Normal 5 17 2 4 4 3" xfId="35945" xr:uid="{00000000-0005-0000-0000-0000698C0000}"/>
    <cellStyle name="Normal 5 17 2 4 4 4" xfId="35946" xr:uid="{00000000-0005-0000-0000-00006A8C0000}"/>
    <cellStyle name="Normal 5 17 2 4 4 5" xfId="35947" xr:uid="{00000000-0005-0000-0000-00006B8C0000}"/>
    <cellStyle name="Normal 5 17 2 4 4 6" xfId="35948" xr:uid="{00000000-0005-0000-0000-00006C8C0000}"/>
    <cellStyle name="Normal 5 17 2 4 4 7" xfId="35949" xr:uid="{00000000-0005-0000-0000-00006D8C0000}"/>
    <cellStyle name="Normal 5 17 2 4 4 8" xfId="35950" xr:uid="{00000000-0005-0000-0000-00006E8C0000}"/>
    <cellStyle name="Normal 5 17 2 4 4 9" xfId="35951" xr:uid="{00000000-0005-0000-0000-00006F8C0000}"/>
    <cellStyle name="Normal 5 17 2 4 5" xfId="35952" xr:uid="{00000000-0005-0000-0000-0000708C0000}"/>
    <cellStyle name="Normal 5 17 2 4 5 10" xfId="35953" xr:uid="{00000000-0005-0000-0000-0000718C0000}"/>
    <cellStyle name="Normal 5 17 2 4 5 2" xfId="35954" xr:uid="{00000000-0005-0000-0000-0000728C0000}"/>
    <cellStyle name="Normal 5 17 2 4 5 3" xfId="35955" xr:uid="{00000000-0005-0000-0000-0000738C0000}"/>
    <cellStyle name="Normal 5 17 2 4 5 4" xfId="35956" xr:uid="{00000000-0005-0000-0000-0000748C0000}"/>
    <cellStyle name="Normal 5 17 2 4 5 5" xfId="35957" xr:uid="{00000000-0005-0000-0000-0000758C0000}"/>
    <cellStyle name="Normal 5 17 2 4 5 6" xfId="35958" xr:uid="{00000000-0005-0000-0000-0000768C0000}"/>
    <cellStyle name="Normal 5 17 2 4 5 7" xfId="35959" xr:uid="{00000000-0005-0000-0000-0000778C0000}"/>
    <cellStyle name="Normal 5 17 2 4 5 8" xfId="35960" xr:uid="{00000000-0005-0000-0000-0000788C0000}"/>
    <cellStyle name="Normal 5 17 2 4 5 9" xfId="35961" xr:uid="{00000000-0005-0000-0000-0000798C0000}"/>
    <cellStyle name="Normal 5 17 2 4 6" xfId="35962" xr:uid="{00000000-0005-0000-0000-00007A8C0000}"/>
    <cellStyle name="Normal 5 17 2 4 7" xfId="35963" xr:uid="{00000000-0005-0000-0000-00007B8C0000}"/>
    <cellStyle name="Normal 5 17 2 4 8" xfId="35964" xr:uid="{00000000-0005-0000-0000-00007C8C0000}"/>
    <cellStyle name="Normal 5 17 2 4 9" xfId="35965" xr:uid="{00000000-0005-0000-0000-00007D8C0000}"/>
    <cellStyle name="Normal 5 17 2 40" xfId="35966" xr:uid="{00000000-0005-0000-0000-00007E8C0000}"/>
    <cellStyle name="Normal 5 17 2 41" xfId="35967" xr:uid="{00000000-0005-0000-0000-00007F8C0000}"/>
    <cellStyle name="Normal 5 17 2 42" xfId="35968" xr:uid="{00000000-0005-0000-0000-0000808C0000}"/>
    <cellStyle name="Normal 5 17 2 43" xfId="35969" xr:uid="{00000000-0005-0000-0000-0000818C0000}"/>
    <cellStyle name="Normal 5 17 2 44" xfId="35970" xr:uid="{00000000-0005-0000-0000-0000828C0000}"/>
    <cellStyle name="Normal 5 17 2 45" xfId="35971" xr:uid="{00000000-0005-0000-0000-0000838C0000}"/>
    <cellStyle name="Normal 5 17 2 46" xfId="35972" xr:uid="{00000000-0005-0000-0000-0000848C0000}"/>
    <cellStyle name="Normal 5 17 2 47" xfId="35973" xr:uid="{00000000-0005-0000-0000-0000858C0000}"/>
    <cellStyle name="Normal 5 17 2 48" xfId="35974" xr:uid="{00000000-0005-0000-0000-0000868C0000}"/>
    <cellStyle name="Normal 5 17 2 5" xfId="35975" xr:uid="{00000000-0005-0000-0000-0000878C0000}"/>
    <cellStyle name="Normal 5 17 2 5 10" xfId="35976" xr:uid="{00000000-0005-0000-0000-0000888C0000}"/>
    <cellStyle name="Normal 5 17 2 5 11" xfId="35977" xr:uid="{00000000-0005-0000-0000-0000898C0000}"/>
    <cellStyle name="Normal 5 17 2 5 12" xfId="35978" xr:uid="{00000000-0005-0000-0000-00008A8C0000}"/>
    <cellStyle name="Normal 5 17 2 5 13" xfId="35979" xr:uid="{00000000-0005-0000-0000-00008B8C0000}"/>
    <cellStyle name="Normal 5 17 2 5 14" xfId="35980" xr:uid="{00000000-0005-0000-0000-00008C8C0000}"/>
    <cellStyle name="Normal 5 17 2 5 2" xfId="35981" xr:uid="{00000000-0005-0000-0000-00008D8C0000}"/>
    <cellStyle name="Normal 5 17 2 5 2 10" xfId="35982" xr:uid="{00000000-0005-0000-0000-00008E8C0000}"/>
    <cellStyle name="Normal 5 17 2 5 2 2" xfId="35983" xr:uid="{00000000-0005-0000-0000-00008F8C0000}"/>
    <cellStyle name="Normal 5 17 2 5 2 3" xfId="35984" xr:uid="{00000000-0005-0000-0000-0000908C0000}"/>
    <cellStyle name="Normal 5 17 2 5 2 4" xfId="35985" xr:uid="{00000000-0005-0000-0000-0000918C0000}"/>
    <cellStyle name="Normal 5 17 2 5 2 5" xfId="35986" xr:uid="{00000000-0005-0000-0000-0000928C0000}"/>
    <cellStyle name="Normal 5 17 2 5 2 6" xfId="35987" xr:uid="{00000000-0005-0000-0000-0000938C0000}"/>
    <cellStyle name="Normal 5 17 2 5 2 7" xfId="35988" xr:uid="{00000000-0005-0000-0000-0000948C0000}"/>
    <cellStyle name="Normal 5 17 2 5 2 8" xfId="35989" xr:uid="{00000000-0005-0000-0000-0000958C0000}"/>
    <cellStyle name="Normal 5 17 2 5 2 9" xfId="35990" xr:uid="{00000000-0005-0000-0000-0000968C0000}"/>
    <cellStyle name="Normal 5 17 2 5 3" xfId="35991" xr:uid="{00000000-0005-0000-0000-0000978C0000}"/>
    <cellStyle name="Normal 5 17 2 5 3 10" xfId="35992" xr:uid="{00000000-0005-0000-0000-0000988C0000}"/>
    <cellStyle name="Normal 5 17 2 5 3 2" xfId="35993" xr:uid="{00000000-0005-0000-0000-0000998C0000}"/>
    <cellStyle name="Normal 5 17 2 5 3 3" xfId="35994" xr:uid="{00000000-0005-0000-0000-00009A8C0000}"/>
    <cellStyle name="Normal 5 17 2 5 3 4" xfId="35995" xr:uid="{00000000-0005-0000-0000-00009B8C0000}"/>
    <cellStyle name="Normal 5 17 2 5 3 5" xfId="35996" xr:uid="{00000000-0005-0000-0000-00009C8C0000}"/>
    <cellStyle name="Normal 5 17 2 5 3 6" xfId="35997" xr:uid="{00000000-0005-0000-0000-00009D8C0000}"/>
    <cellStyle name="Normal 5 17 2 5 3 7" xfId="35998" xr:uid="{00000000-0005-0000-0000-00009E8C0000}"/>
    <cellStyle name="Normal 5 17 2 5 3 8" xfId="35999" xr:uid="{00000000-0005-0000-0000-00009F8C0000}"/>
    <cellStyle name="Normal 5 17 2 5 3 9" xfId="36000" xr:uid="{00000000-0005-0000-0000-0000A08C0000}"/>
    <cellStyle name="Normal 5 17 2 5 4" xfId="36001" xr:uid="{00000000-0005-0000-0000-0000A18C0000}"/>
    <cellStyle name="Normal 5 17 2 5 4 10" xfId="36002" xr:uid="{00000000-0005-0000-0000-0000A28C0000}"/>
    <cellStyle name="Normal 5 17 2 5 4 2" xfId="36003" xr:uid="{00000000-0005-0000-0000-0000A38C0000}"/>
    <cellStyle name="Normal 5 17 2 5 4 3" xfId="36004" xr:uid="{00000000-0005-0000-0000-0000A48C0000}"/>
    <cellStyle name="Normal 5 17 2 5 4 4" xfId="36005" xr:uid="{00000000-0005-0000-0000-0000A58C0000}"/>
    <cellStyle name="Normal 5 17 2 5 4 5" xfId="36006" xr:uid="{00000000-0005-0000-0000-0000A68C0000}"/>
    <cellStyle name="Normal 5 17 2 5 4 6" xfId="36007" xr:uid="{00000000-0005-0000-0000-0000A78C0000}"/>
    <cellStyle name="Normal 5 17 2 5 4 7" xfId="36008" xr:uid="{00000000-0005-0000-0000-0000A88C0000}"/>
    <cellStyle name="Normal 5 17 2 5 4 8" xfId="36009" xr:uid="{00000000-0005-0000-0000-0000A98C0000}"/>
    <cellStyle name="Normal 5 17 2 5 4 9" xfId="36010" xr:uid="{00000000-0005-0000-0000-0000AA8C0000}"/>
    <cellStyle name="Normal 5 17 2 5 5" xfId="36011" xr:uid="{00000000-0005-0000-0000-0000AB8C0000}"/>
    <cellStyle name="Normal 5 17 2 5 5 10" xfId="36012" xr:uid="{00000000-0005-0000-0000-0000AC8C0000}"/>
    <cellStyle name="Normal 5 17 2 5 5 2" xfId="36013" xr:uid="{00000000-0005-0000-0000-0000AD8C0000}"/>
    <cellStyle name="Normal 5 17 2 5 5 3" xfId="36014" xr:uid="{00000000-0005-0000-0000-0000AE8C0000}"/>
    <cellStyle name="Normal 5 17 2 5 5 4" xfId="36015" xr:uid="{00000000-0005-0000-0000-0000AF8C0000}"/>
    <cellStyle name="Normal 5 17 2 5 5 5" xfId="36016" xr:uid="{00000000-0005-0000-0000-0000B08C0000}"/>
    <cellStyle name="Normal 5 17 2 5 5 6" xfId="36017" xr:uid="{00000000-0005-0000-0000-0000B18C0000}"/>
    <cellStyle name="Normal 5 17 2 5 5 7" xfId="36018" xr:uid="{00000000-0005-0000-0000-0000B28C0000}"/>
    <cellStyle name="Normal 5 17 2 5 5 8" xfId="36019" xr:uid="{00000000-0005-0000-0000-0000B38C0000}"/>
    <cellStyle name="Normal 5 17 2 5 5 9" xfId="36020" xr:uid="{00000000-0005-0000-0000-0000B48C0000}"/>
    <cellStyle name="Normal 5 17 2 5 6" xfId="36021" xr:uid="{00000000-0005-0000-0000-0000B58C0000}"/>
    <cellStyle name="Normal 5 17 2 5 7" xfId="36022" xr:uid="{00000000-0005-0000-0000-0000B68C0000}"/>
    <cellStyle name="Normal 5 17 2 5 8" xfId="36023" xr:uid="{00000000-0005-0000-0000-0000B78C0000}"/>
    <cellStyle name="Normal 5 17 2 5 9" xfId="36024" xr:uid="{00000000-0005-0000-0000-0000B88C0000}"/>
    <cellStyle name="Normal 5 17 2 6" xfId="36025" xr:uid="{00000000-0005-0000-0000-0000B98C0000}"/>
    <cellStyle name="Normal 5 17 2 6 10" xfId="36026" xr:uid="{00000000-0005-0000-0000-0000BA8C0000}"/>
    <cellStyle name="Normal 5 17 2 6 11" xfId="36027" xr:uid="{00000000-0005-0000-0000-0000BB8C0000}"/>
    <cellStyle name="Normal 5 17 2 6 12" xfId="36028" xr:uid="{00000000-0005-0000-0000-0000BC8C0000}"/>
    <cellStyle name="Normal 5 17 2 6 13" xfId="36029" xr:uid="{00000000-0005-0000-0000-0000BD8C0000}"/>
    <cellStyle name="Normal 5 17 2 6 14" xfId="36030" xr:uid="{00000000-0005-0000-0000-0000BE8C0000}"/>
    <cellStyle name="Normal 5 17 2 6 2" xfId="36031" xr:uid="{00000000-0005-0000-0000-0000BF8C0000}"/>
    <cellStyle name="Normal 5 17 2 6 2 10" xfId="36032" xr:uid="{00000000-0005-0000-0000-0000C08C0000}"/>
    <cellStyle name="Normal 5 17 2 6 2 2" xfId="36033" xr:uid="{00000000-0005-0000-0000-0000C18C0000}"/>
    <cellStyle name="Normal 5 17 2 6 2 3" xfId="36034" xr:uid="{00000000-0005-0000-0000-0000C28C0000}"/>
    <cellStyle name="Normal 5 17 2 6 2 4" xfId="36035" xr:uid="{00000000-0005-0000-0000-0000C38C0000}"/>
    <cellStyle name="Normal 5 17 2 6 2 5" xfId="36036" xr:uid="{00000000-0005-0000-0000-0000C48C0000}"/>
    <cellStyle name="Normal 5 17 2 6 2 6" xfId="36037" xr:uid="{00000000-0005-0000-0000-0000C58C0000}"/>
    <cellStyle name="Normal 5 17 2 6 2 7" xfId="36038" xr:uid="{00000000-0005-0000-0000-0000C68C0000}"/>
    <cellStyle name="Normal 5 17 2 6 2 8" xfId="36039" xr:uid="{00000000-0005-0000-0000-0000C78C0000}"/>
    <cellStyle name="Normal 5 17 2 6 2 9" xfId="36040" xr:uid="{00000000-0005-0000-0000-0000C88C0000}"/>
    <cellStyle name="Normal 5 17 2 6 3" xfId="36041" xr:uid="{00000000-0005-0000-0000-0000C98C0000}"/>
    <cellStyle name="Normal 5 17 2 6 3 10" xfId="36042" xr:uid="{00000000-0005-0000-0000-0000CA8C0000}"/>
    <cellStyle name="Normal 5 17 2 6 3 2" xfId="36043" xr:uid="{00000000-0005-0000-0000-0000CB8C0000}"/>
    <cellStyle name="Normal 5 17 2 6 3 3" xfId="36044" xr:uid="{00000000-0005-0000-0000-0000CC8C0000}"/>
    <cellStyle name="Normal 5 17 2 6 3 4" xfId="36045" xr:uid="{00000000-0005-0000-0000-0000CD8C0000}"/>
    <cellStyle name="Normal 5 17 2 6 3 5" xfId="36046" xr:uid="{00000000-0005-0000-0000-0000CE8C0000}"/>
    <cellStyle name="Normal 5 17 2 6 3 6" xfId="36047" xr:uid="{00000000-0005-0000-0000-0000CF8C0000}"/>
    <cellStyle name="Normal 5 17 2 6 3 7" xfId="36048" xr:uid="{00000000-0005-0000-0000-0000D08C0000}"/>
    <cellStyle name="Normal 5 17 2 6 3 8" xfId="36049" xr:uid="{00000000-0005-0000-0000-0000D18C0000}"/>
    <cellStyle name="Normal 5 17 2 6 3 9" xfId="36050" xr:uid="{00000000-0005-0000-0000-0000D28C0000}"/>
    <cellStyle name="Normal 5 17 2 6 4" xfId="36051" xr:uid="{00000000-0005-0000-0000-0000D38C0000}"/>
    <cellStyle name="Normal 5 17 2 6 4 10" xfId="36052" xr:uid="{00000000-0005-0000-0000-0000D48C0000}"/>
    <cellStyle name="Normal 5 17 2 6 4 2" xfId="36053" xr:uid="{00000000-0005-0000-0000-0000D58C0000}"/>
    <cellStyle name="Normal 5 17 2 6 4 3" xfId="36054" xr:uid="{00000000-0005-0000-0000-0000D68C0000}"/>
    <cellStyle name="Normal 5 17 2 6 4 4" xfId="36055" xr:uid="{00000000-0005-0000-0000-0000D78C0000}"/>
    <cellStyle name="Normal 5 17 2 6 4 5" xfId="36056" xr:uid="{00000000-0005-0000-0000-0000D88C0000}"/>
    <cellStyle name="Normal 5 17 2 6 4 6" xfId="36057" xr:uid="{00000000-0005-0000-0000-0000D98C0000}"/>
    <cellStyle name="Normal 5 17 2 6 4 7" xfId="36058" xr:uid="{00000000-0005-0000-0000-0000DA8C0000}"/>
    <cellStyle name="Normal 5 17 2 6 4 8" xfId="36059" xr:uid="{00000000-0005-0000-0000-0000DB8C0000}"/>
    <cellStyle name="Normal 5 17 2 6 4 9" xfId="36060" xr:uid="{00000000-0005-0000-0000-0000DC8C0000}"/>
    <cellStyle name="Normal 5 17 2 6 5" xfId="36061" xr:uid="{00000000-0005-0000-0000-0000DD8C0000}"/>
    <cellStyle name="Normal 5 17 2 6 5 10" xfId="36062" xr:uid="{00000000-0005-0000-0000-0000DE8C0000}"/>
    <cellStyle name="Normal 5 17 2 6 5 2" xfId="36063" xr:uid="{00000000-0005-0000-0000-0000DF8C0000}"/>
    <cellStyle name="Normal 5 17 2 6 5 3" xfId="36064" xr:uid="{00000000-0005-0000-0000-0000E08C0000}"/>
    <cellStyle name="Normal 5 17 2 6 5 4" xfId="36065" xr:uid="{00000000-0005-0000-0000-0000E18C0000}"/>
    <cellStyle name="Normal 5 17 2 6 5 5" xfId="36066" xr:uid="{00000000-0005-0000-0000-0000E28C0000}"/>
    <cellStyle name="Normal 5 17 2 6 5 6" xfId="36067" xr:uid="{00000000-0005-0000-0000-0000E38C0000}"/>
    <cellStyle name="Normal 5 17 2 6 5 7" xfId="36068" xr:uid="{00000000-0005-0000-0000-0000E48C0000}"/>
    <cellStyle name="Normal 5 17 2 6 5 8" xfId="36069" xr:uid="{00000000-0005-0000-0000-0000E58C0000}"/>
    <cellStyle name="Normal 5 17 2 6 5 9" xfId="36070" xr:uid="{00000000-0005-0000-0000-0000E68C0000}"/>
    <cellStyle name="Normal 5 17 2 6 6" xfId="36071" xr:uid="{00000000-0005-0000-0000-0000E78C0000}"/>
    <cellStyle name="Normal 5 17 2 6 7" xfId="36072" xr:uid="{00000000-0005-0000-0000-0000E88C0000}"/>
    <cellStyle name="Normal 5 17 2 6 8" xfId="36073" xr:uid="{00000000-0005-0000-0000-0000E98C0000}"/>
    <cellStyle name="Normal 5 17 2 6 9" xfId="36074" xr:uid="{00000000-0005-0000-0000-0000EA8C0000}"/>
    <cellStyle name="Normal 5 17 2 7" xfId="36075" xr:uid="{00000000-0005-0000-0000-0000EB8C0000}"/>
    <cellStyle name="Normal 5 17 2 7 10" xfId="36076" xr:uid="{00000000-0005-0000-0000-0000EC8C0000}"/>
    <cellStyle name="Normal 5 17 2 7 11" xfId="36077" xr:uid="{00000000-0005-0000-0000-0000ED8C0000}"/>
    <cellStyle name="Normal 5 17 2 7 12" xfId="36078" xr:uid="{00000000-0005-0000-0000-0000EE8C0000}"/>
    <cellStyle name="Normal 5 17 2 7 13" xfId="36079" xr:uid="{00000000-0005-0000-0000-0000EF8C0000}"/>
    <cellStyle name="Normal 5 17 2 7 14" xfId="36080" xr:uid="{00000000-0005-0000-0000-0000F08C0000}"/>
    <cellStyle name="Normal 5 17 2 7 2" xfId="36081" xr:uid="{00000000-0005-0000-0000-0000F18C0000}"/>
    <cellStyle name="Normal 5 17 2 7 2 10" xfId="36082" xr:uid="{00000000-0005-0000-0000-0000F28C0000}"/>
    <cellStyle name="Normal 5 17 2 7 2 2" xfId="36083" xr:uid="{00000000-0005-0000-0000-0000F38C0000}"/>
    <cellStyle name="Normal 5 17 2 7 2 3" xfId="36084" xr:uid="{00000000-0005-0000-0000-0000F48C0000}"/>
    <cellStyle name="Normal 5 17 2 7 2 4" xfId="36085" xr:uid="{00000000-0005-0000-0000-0000F58C0000}"/>
    <cellStyle name="Normal 5 17 2 7 2 5" xfId="36086" xr:uid="{00000000-0005-0000-0000-0000F68C0000}"/>
    <cellStyle name="Normal 5 17 2 7 2 6" xfId="36087" xr:uid="{00000000-0005-0000-0000-0000F78C0000}"/>
    <cellStyle name="Normal 5 17 2 7 2 7" xfId="36088" xr:uid="{00000000-0005-0000-0000-0000F88C0000}"/>
    <cellStyle name="Normal 5 17 2 7 2 8" xfId="36089" xr:uid="{00000000-0005-0000-0000-0000F98C0000}"/>
    <cellStyle name="Normal 5 17 2 7 2 9" xfId="36090" xr:uid="{00000000-0005-0000-0000-0000FA8C0000}"/>
    <cellStyle name="Normal 5 17 2 7 3" xfId="36091" xr:uid="{00000000-0005-0000-0000-0000FB8C0000}"/>
    <cellStyle name="Normal 5 17 2 7 3 10" xfId="36092" xr:uid="{00000000-0005-0000-0000-0000FC8C0000}"/>
    <cellStyle name="Normal 5 17 2 7 3 2" xfId="36093" xr:uid="{00000000-0005-0000-0000-0000FD8C0000}"/>
    <cellStyle name="Normal 5 17 2 7 3 3" xfId="36094" xr:uid="{00000000-0005-0000-0000-0000FE8C0000}"/>
    <cellStyle name="Normal 5 17 2 7 3 4" xfId="36095" xr:uid="{00000000-0005-0000-0000-0000FF8C0000}"/>
    <cellStyle name="Normal 5 17 2 7 3 5" xfId="36096" xr:uid="{00000000-0005-0000-0000-0000008D0000}"/>
    <cellStyle name="Normal 5 17 2 7 3 6" xfId="36097" xr:uid="{00000000-0005-0000-0000-0000018D0000}"/>
    <cellStyle name="Normal 5 17 2 7 3 7" xfId="36098" xr:uid="{00000000-0005-0000-0000-0000028D0000}"/>
    <cellStyle name="Normal 5 17 2 7 3 8" xfId="36099" xr:uid="{00000000-0005-0000-0000-0000038D0000}"/>
    <cellStyle name="Normal 5 17 2 7 3 9" xfId="36100" xr:uid="{00000000-0005-0000-0000-0000048D0000}"/>
    <cellStyle name="Normal 5 17 2 7 4" xfId="36101" xr:uid="{00000000-0005-0000-0000-0000058D0000}"/>
    <cellStyle name="Normal 5 17 2 7 4 10" xfId="36102" xr:uid="{00000000-0005-0000-0000-0000068D0000}"/>
    <cellStyle name="Normal 5 17 2 7 4 2" xfId="36103" xr:uid="{00000000-0005-0000-0000-0000078D0000}"/>
    <cellStyle name="Normal 5 17 2 7 4 3" xfId="36104" xr:uid="{00000000-0005-0000-0000-0000088D0000}"/>
    <cellStyle name="Normal 5 17 2 7 4 4" xfId="36105" xr:uid="{00000000-0005-0000-0000-0000098D0000}"/>
    <cellStyle name="Normal 5 17 2 7 4 5" xfId="36106" xr:uid="{00000000-0005-0000-0000-00000A8D0000}"/>
    <cellStyle name="Normal 5 17 2 7 4 6" xfId="36107" xr:uid="{00000000-0005-0000-0000-00000B8D0000}"/>
    <cellStyle name="Normal 5 17 2 7 4 7" xfId="36108" xr:uid="{00000000-0005-0000-0000-00000C8D0000}"/>
    <cellStyle name="Normal 5 17 2 7 4 8" xfId="36109" xr:uid="{00000000-0005-0000-0000-00000D8D0000}"/>
    <cellStyle name="Normal 5 17 2 7 4 9" xfId="36110" xr:uid="{00000000-0005-0000-0000-00000E8D0000}"/>
    <cellStyle name="Normal 5 17 2 7 5" xfId="36111" xr:uid="{00000000-0005-0000-0000-00000F8D0000}"/>
    <cellStyle name="Normal 5 17 2 7 5 10" xfId="36112" xr:uid="{00000000-0005-0000-0000-0000108D0000}"/>
    <cellStyle name="Normal 5 17 2 7 5 2" xfId="36113" xr:uid="{00000000-0005-0000-0000-0000118D0000}"/>
    <cellStyle name="Normal 5 17 2 7 5 3" xfId="36114" xr:uid="{00000000-0005-0000-0000-0000128D0000}"/>
    <cellStyle name="Normal 5 17 2 7 5 4" xfId="36115" xr:uid="{00000000-0005-0000-0000-0000138D0000}"/>
    <cellStyle name="Normal 5 17 2 7 5 5" xfId="36116" xr:uid="{00000000-0005-0000-0000-0000148D0000}"/>
    <cellStyle name="Normal 5 17 2 7 5 6" xfId="36117" xr:uid="{00000000-0005-0000-0000-0000158D0000}"/>
    <cellStyle name="Normal 5 17 2 7 5 7" xfId="36118" xr:uid="{00000000-0005-0000-0000-0000168D0000}"/>
    <cellStyle name="Normal 5 17 2 7 5 8" xfId="36119" xr:uid="{00000000-0005-0000-0000-0000178D0000}"/>
    <cellStyle name="Normal 5 17 2 7 5 9" xfId="36120" xr:uid="{00000000-0005-0000-0000-0000188D0000}"/>
    <cellStyle name="Normal 5 17 2 7 6" xfId="36121" xr:uid="{00000000-0005-0000-0000-0000198D0000}"/>
    <cellStyle name="Normal 5 17 2 7 7" xfId="36122" xr:uid="{00000000-0005-0000-0000-00001A8D0000}"/>
    <cellStyle name="Normal 5 17 2 7 8" xfId="36123" xr:uid="{00000000-0005-0000-0000-00001B8D0000}"/>
    <cellStyle name="Normal 5 17 2 7 9" xfId="36124" xr:uid="{00000000-0005-0000-0000-00001C8D0000}"/>
    <cellStyle name="Normal 5 17 2 8" xfId="36125" xr:uid="{00000000-0005-0000-0000-00001D8D0000}"/>
    <cellStyle name="Normal 5 17 2 8 10" xfId="36126" xr:uid="{00000000-0005-0000-0000-00001E8D0000}"/>
    <cellStyle name="Normal 5 17 2 8 11" xfId="36127" xr:uid="{00000000-0005-0000-0000-00001F8D0000}"/>
    <cellStyle name="Normal 5 17 2 8 12" xfId="36128" xr:uid="{00000000-0005-0000-0000-0000208D0000}"/>
    <cellStyle name="Normal 5 17 2 8 13" xfId="36129" xr:uid="{00000000-0005-0000-0000-0000218D0000}"/>
    <cellStyle name="Normal 5 17 2 8 14" xfId="36130" xr:uid="{00000000-0005-0000-0000-0000228D0000}"/>
    <cellStyle name="Normal 5 17 2 8 2" xfId="36131" xr:uid="{00000000-0005-0000-0000-0000238D0000}"/>
    <cellStyle name="Normal 5 17 2 8 2 10" xfId="36132" xr:uid="{00000000-0005-0000-0000-0000248D0000}"/>
    <cellStyle name="Normal 5 17 2 8 2 2" xfId="36133" xr:uid="{00000000-0005-0000-0000-0000258D0000}"/>
    <cellStyle name="Normal 5 17 2 8 2 3" xfId="36134" xr:uid="{00000000-0005-0000-0000-0000268D0000}"/>
    <cellStyle name="Normal 5 17 2 8 2 4" xfId="36135" xr:uid="{00000000-0005-0000-0000-0000278D0000}"/>
    <cellStyle name="Normal 5 17 2 8 2 5" xfId="36136" xr:uid="{00000000-0005-0000-0000-0000288D0000}"/>
    <cellStyle name="Normal 5 17 2 8 2 6" xfId="36137" xr:uid="{00000000-0005-0000-0000-0000298D0000}"/>
    <cellStyle name="Normal 5 17 2 8 2 7" xfId="36138" xr:uid="{00000000-0005-0000-0000-00002A8D0000}"/>
    <cellStyle name="Normal 5 17 2 8 2 8" xfId="36139" xr:uid="{00000000-0005-0000-0000-00002B8D0000}"/>
    <cellStyle name="Normal 5 17 2 8 2 9" xfId="36140" xr:uid="{00000000-0005-0000-0000-00002C8D0000}"/>
    <cellStyle name="Normal 5 17 2 8 3" xfId="36141" xr:uid="{00000000-0005-0000-0000-00002D8D0000}"/>
    <cellStyle name="Normal 5 17 2 8 3 10" xfId="36142" xr:uid="{00000000-0005-0000-0000-00002E8D0000}"/>
    <cellStyle name="Normal 5 17 2 8 3 2" xfId="36143" xr:uid="{00000000-0005-0000-0000-00002F8D0000}"/>
    <cellStyle name="Normal 5 17 2 8 3 3" xfId="36144" xr:uid="{00000000-0005-0000-0000-0000308D0000}"/>
    <cellStyle name="Normal 5 17 2 8 3 4" xfId="36145" xr:uid="{00000000-0005-0000-0000-0000318D0000}"/>
    <cellStyle name="Normal 5 17 2 8 3 5" xfId="36146" xr:uid="{00000000-0005-0000-0000-0000328D0000}"/>
    <cellStyle name="Normal 5 17 2 8 3 6" xfId="36147" xr:uid="{00000000-0005-0000-0000-0000338D0000}"/>
    <cellStyle name="Normal 5 17 2 8 3 7" xfId="36148" xr:uid="{00000000-0005-0000-0000-0000348D0000}"/>
    <cellStyle name="Normal 5 17 2 8 3 8" xfId="36149" xr:uid="{00000000-0005-0000-0000-0000358D0000}"/>
    <cellStyle name="Normal 5 17 2 8 3 9" xfId="36150" xr:uid="{00000000-0005-0000-0000-0000368D0000}"/>
    <cellStyle name="Normal 5 17 2 8 4" xfId="36151" xr:uid="{00000000-0005-0000-0000-0000378D0000}"/>
    <cellStyle name="Normal 5 17 2 8 4 10" xfId="36152" xr:uid="{00000000-0005-0000-0000-0000388D0000}"/>
    <cellStyle name="Normal 5 17 2 8 4 2" xfId="36153" xr:uid="{00000000-0005-0000-0000-0000398D0000}"/>
    <cellStyle name="Normal 5 17 2 8 4 3" xfId="36154" xr:uid="{00000000-0005-0000-0000-00003A8D0000}"/>
    <cellStyle name="Normal 5 17 2 8 4 4" xfId="36155" xr:uid="{00000000-0005-0000-0000-00003B8D0000}"/>
    <cellStyle name="Normal 5 17 2 8 4 5" xfId="36156" xr:uid="{00000000-0005-0000-0000-00003C8D0000}"/>
    <cellStyle name="Normal 5 17 2 8 4 6" xfId="36157" xr:uid="{00000000-0005-0000-0000-00003D8D0000}"/>
    <cellStyle name="Normal 5 17 2 8 4 7" xfId="36158" xr:uid="{00000000-0005-0000-0000-00003E8D0000}"/>
    <cellStyle name="Normal 5 17 2 8 4 8" xfId="36159" xr:uid="{00000000-0005-0000-0000-00003F8D0000}"/>
    <cellStyle name="Normal 5 17 2 8 4 9" xfId="36160" xr:uid="{00000000-0005-0000-0000-0000408D0000}"/>
    <cellStyle name="Normal 5 17 2 8 5" xfId="36161" xr:uid="{00000000-0005-0000-0000-0000418D0000}"/>
    <cellStyle name="Normal 5 17 2 8 5 10" xfId="36162" xr:uid="{00000000-0005-0000-0000-0000428D0000}"/>
    <cellStyle name="Normal 5 17 2 8 5 2" xfId="36163" xr:uid="{00000000-0005-0000-0000-0000438D0000}"/>
    <cellStyle name="Normal 5 17 2 8 5 3" xfId="36164" xr:uid="{00000000-0005-0000-0000-0000448D0000}"/>
    <cellStyle name="Normal 5 17 2 8 5 4" xfId="36165" xr:uid="{00000000-0005-0000-0000-0000458D0000}"/>
    <cellStyle name="Normal 5 17 2 8 5 5" xfId="36166" xr:uid="{00000000-0005-0000-0000-0000468D0000}"/>
    <cellStyle name="Normal 5 17 2 8 5 6" xfId="36167" xr:uid="{00000000-0005-0000-0000-0000478D0000}"/>
    <cellStyle name="Normal 5 17 2 8 5 7" xfId="36168" xr:uid="{00000000-0005-0000-0000-0000488D0000}"/>
    <cellStyle name="Normal 5 17 2 8 5 8" xfId="36169" xr:uid="{00000000-0005-0000-0000-0000498D0000}"/>
    <cellStyle name="Normal 5 17 2 8 5 9" xfId="36170" xr:uid="{00000000-0005-0000-0000-00004A8D0000}"/>
    <cellStyle name="Normal 5 17 2 8 6" xfId="36171" xr:uid="{00000000-0005-0000-0000-00004B8D0000}"/>
    <cellStyle name="Normal 5 17 2 8 7" xfId="36172" xr:uid="{00000000-0005-0000-0000-00004C8D0000}"/>
    <cellStyle name="Normal 5 17 2 8 8" xfId="36173" xr:uid="{00000000-0005-0000-0000-00004D8D0000}"/>
    <cellStyle name="Normal 5 17 2 8 9" xfId="36174" xr:uid="{00000000-0005-0000-0000-00004E8D0000}"/>
    <cellStyle name="Normal 5 17 2 9" xfId="36175" xr:uid="{00000000-0005-0000-0000-00004F8D0000}"/>
    <cellStyle name="Normal 5 17 2 9 10" xfId="36176" xr:uid="{00000000-0005-0000-0000-0000508D0000}"/>
    <cellStyle name="Normal 5 17 2 9 11" xfId="36177" xr:uid="{00000000-0005-0000-0000-0000518D0000}"/>
    <cellStyle name="Normal 5 17 2 9 12" xfId="36178" xr:uid="{00000000-0005-0000-0000-0000528D0000}"/>
    <cellStyle name="Normal 5 17 2 9 13" xfId="36179" xr:uid="{00000000-0005-0000-0000-0000538D0000}"/>
    <cellStyle name="Normal 5 17 2 9 14" xfId="36180" xr:uid="{00000000-0005-0000-0000-0000548D0000}"/>
    <cellStyle name="Normal 5 17 2 9 2" xfId="36181" xr:uid="{00000000-0005-0000-0000-0000558D0000}"/>
    <cellStyle name="Normal 5 17 2 9 2 10" xfId="36182" xr:uid="{00000000-0005-0000-0000-0000568D0000}"/>
    <cellStyle name="Normal 5 17 2 9 2 2" xfId="36183" xr:uid="{00000000-0005-0000-0000-0000578D0000}"/>
    <cellStyle name="Normal 5 17 2 9 2 3" xfId="36184" xr:uid="{00000000-0005-0000-0000-0000588D0000}"/>
    <cellStyle name="Normal 5 17 2 9 2 4" xfId="36185" xr:uid="{00000000-0005-0000-0000-0000598D0000}"/>
    <cellStyle name="Normal 5 17 2 9 2 5" xfId="36186" xr:uid="{00000000-0005-0000-0000-00005A8D0000}"/>
    <cellStyle name="Normal 5 17 2 9 2 6" xfId="36187" xr:uid="{00000000-0005-0000-0000-00005B8D0000}"/>
    <cellStyle name="Normal 5 17 2 9 2 7" xfId="36188" xr:uid="{00000000-0005-0000-0000-00005C8D0000}"/>
    <cellStyle name="Normal 5 17 2 9 2 8" xfId="36189" xr:uid="{00000000-0005-0000-0000-00005D8D0000}"/>
    <cellStyle name="Normal 5 17 2 9 2 9" xfId="36190" xr:uid="{00000000-0005-0000-0000-00005E8D0000}"/>
    <cellStyle name="Normal 5 17 2 9 3" xfId="36191" xr:uid="{00000000-0005-0000-0000-00005F8D0000}"/>
    <cellStyle name="Normal 5 17 2 9 3 10" xfId="36192" xr:uid="{00000000-0005-0000-0000-0000608D0000}"/>
    <cellStyle name="Normal 5 17 2 9 3 2" xfId="36193" xr:uid="{00000000-0005-0000-0000-0000618D0000}"/>
    <cellStyle name="Normal 5 17 2 9 3 3" xfId="36194" xr:uid="{00000000-0005-0000-0000-0000628D0000}"/>
    <cellStyle name="Normal 5 17 2 9 3 4" xfId="36195" xr:uid="{00000000-0005-0000-0000-0000638D0000}"/>
    <cellStyle name="Normal 5 17 2 9 3 5" xfId="36196" xr:uid="{00000000-0005-0000-0000-0000648D0000}"/>
    <cellStyle name="Normal 5 17 2 9 3 6" xfId="36197" xr:uid="{00000000-0005-0000-0000-0000658D0000}"/>
    <cellStyle name="Normal 5 17 2 9 3 7" xfId="36198" xr:uid="{00000000-0005-0000-0000-0000668D0000}"/>
    <cellStyle name="Normal 5 17 2 9 3 8" xfId="36199" xr:uid="{00000000-0005-0000-0000-0000678D0000}"/>
    <cellStyle name="Normal 5 17 2 9 3 9" xfId="36200" xr:uid="{00000000-0005-0000-0000-0000688D0000}"/>
    <cellStyle name="Normal 5 17 2 9 4" xfId="36201" xr:uid="{00000000-0005-0000-0000-0000698D0000}"/>
    <cellStyle name="Normal 5 17 2 9 4 10" xfId="36202" xr:uid="{00000000-0005-0000-0000-00006A8D0000}"/>
    <cellStyle name="Normal 5 17 2 9 4 2" xfId="36203" xr:uid="{00000000-0005-0000-0000-00006B8D0000}"/>
    <cellStyle name="Normal 5 17 2 9 4 3" xfId="36204" xr:uid="{00000000-0005-0000-0000-00006C8D0000}"/>
    <cellStyle name="Normal 5 17 2 9 4 4" xfId="36205" xr:uid="{00000000-0005-0000-0000-00006D8D0000}"/>
    <cellStyle name="Normal 5 17 2 9 4 5" xfId="36206" xr:uid="{00000000-0005-0000-0000-00006E8D0000}"/>
    <cellStyle name="Normal 5 17 2 9 4 6" xfId="36207" xr:uid="{00000000-0005-0000-0000-00006F8D0000}"/>
    <cellStyle name="Normal 5 17 2 9 4 7" xfId="36208" xr:uid="{00000000-0005-0000-0000-0000708D0000}"/>
    <cellStyle name="Normal 5 17 2 9 4 8" xfId="36209" xr:uid="{00000000-0005-0000-0000-0000718D0000}"/>
    <cellStyle name="Normal 5 17 2 9 4 9" xfId="36210" xr:uid="{00000000-0005-0000-0000-0000728D0000}"/>
    <cellStyle name="Normal 5 17 2 9 5" xfId="36211" xr:uid="{00000000-0005-0000-0000-0000738D0000}"/>
    <cellStyle name="Normal 5 17 2 9 5 10" xfId="36212" xr:uid="{00000000-0005-0000-0000-0000748D0000}"/>
    <cellStyle name="Normal 5 17 2 9 5 2" xfId="36213" xr:uid="{00000000-0005-0000-0000-0000758D0000}"/>
    <cellStyle name="Normal 5 17 2 9 5 3" xfId="36214" xr:uid="{00000000-0005-0000-0000-0000768D0000}"/>
    <cellStyle name="Normal 5 17 2 9 5 4" xfId="36215" xr:uid="{00000000-0005-0000-0000-0000778D0000}"/>
    <cellStyle name="Normal 5 17 2 9 5 5" xfId="36216" xr:uid="{00000000-0005-0000-0000-0000788D0000}"/>
    <cellStyle name="Normal 5 17 2 9 5 6" xfId="36217" xr:uid="{00000000-0005-0000-0000-0000798D0000}"/>
    <cellStyle name="Normal 5 17 2 9 5 7" xfId="36218" xr:uid="{00000000-0005-0000-0000-00007A8D0000}"/>
    <cellStyle name="Normal 5 17 2 9 5 8" xfId="36219" xr:uid="{00000000-0005-0000-0000-00007B8D0000}"/>
    <cellStyle name="Normal 5 17 2 9 5 9" xfId="36220" xr:uid="{00000000-0005-0000-0000-00007C8D0000}"/>
    <cellStyle name="Normal 5 17 2 9 6" xfId="36221" xr:uid="{00000000-0005-0000-0000-00007D8D0000}"/>
    <cellStyle name="Normal 5 17 2 9 7" xfId="36222" xr:uid="{00000000-0005-0000-0000-00007E8D0000}"/>
    <cellStyle name="Normal 5 17 2 9 8" xfId="36223" xr:uid="{00000000-0005-0000-0000-00007F8D0000}"/>
    <cellStyle name="Normal 5 17 2 9 9" xfId="36224" xr:uid="{00000000-0005-0000-0000-0000808D0000}"/>
    <cellStyle name="Normal 5 17 20" xfId="36225" xr:uid="{00000000-0005-0000-0000-0000818D0000}"/>
    <cellStyle name="Normal 5 17 20 10" xfId="36226" xr:uid="{00000000-0005-0000-0000-0000828D0000}"/>
    <cellStyle name="Normal 5 17 20 11" xfId="36227" xr:uid="{00000000-0005-0000-0000-0000838D0000}"/>
    <cellStyle name="Normal 5 17 20 12" xfId="36228" xr:uid="{00000000-0005-0000-0000-0000848D0000}"/>
    <cellStyle name="Normal 5 17 20 13" xfId="36229" xr:uid="{00000000-0005-0000-0000-0000858D0000}"/>
    <cellStyle name="Normal 5 17 20 14" xfId="36230" xr:uid="{00000000-0005-0000-0000-0000868D0000}"/>
    <cellStyle name="Normal 5 17 20 2" xfId="36231" xr:uid="{00000000-0005-0000-0000-0000878D0000}"/>
    <cellStyle name="Normal 5 17 20 2 10" xfId="36232" xr:uid="{00000000-0005-0000-0000-0000888D0000}"/>
    <cellStyle name="Normal 5 17 20 2 2" xfId="36233" xr:uid="{00000000-0005-0000-0000-0000898D0000}"/>
    <cellStyle name="Normal 5 17 20 2 3" xfId="36234" xr:uid="{00000000-0005-0000-0000-00008A8D0000}"/>
    <cellStyle name="Normal 5 17 20 2 4" xfId="36235" xr:uid="{00000000-0005-0000-0000-00008B8D0000}"/>
    <cellStyle name="Normal 5 17 20 2 5" xfId="36236" xr:uid="{00000000-0005-0000-0000-00008C8D0000}"/>
    <cellStyle name="Normal 5 17 20 2 6" xfId="36237" xr:uid="{00000000-0005-0000-0000-00008D8D0000}"/>
    <cellStyle name="Normal 5 17 20 2 7" xfId="36238" xr:uid="{00000000-0005-0000-0000-00008E8D0000}"/>
    <cellStyle name="Normal 5 17 20 2 8" xfId="36239" xr:uid="{00000000-0005-0000-0000-00008F8D0000}"/>
    <cellStyle name="Normal 5 17 20 2 9" xfId="36240" xr:uid="{00000000-0005-0000-0000-0000908D0000}"/>
    <cellStyle name="Normal 5 17 20 3" xfId="36241" xr:uid="{00000000-0005-0000-0000-0000918D0000}"/>
    <cellStyle name="Normal 5 17 20 3 10" xfId="36242" xr:uid="{00000000-0005-0000-0000-0000928D0000}"/>
    <cellStyle name="Normal 5 17 20 3 2" xfId="36243" xr:uid="{00000000-0005-0000-0000-0000938D0000}"/>
    <cellStyle name="Normal 5 17 20 3 3" xfId="36244" xr:uid="{00000000-0005-0000-0000-0000948D0000}"/>
    <cellStyle name="Normal 5 17 20 3 4" xfId="36245" xr:uid="{00000000-0005-0000-0000-0000958D0000}"/>
    <cellStyle name="Normal 5 17 20 3 5" xfId="36246" xr:uid="{00000000-0005-0000-0000-0000968D0000}"/>
    <cellStyle name="Normal 5 17 20 3 6" xfId="36247" xr:uid="{00000000-0005-0000-0000-0000978D0000}"/>
    <cellStyle name="Normal 5 17 20 3 7" xfId="36248" xr:uid="{00000000-0005-0000-0000-0000988D0000}"/>
    <cellStyle name="Normal 5 17 20 3 8" xfId="36249" xr:uid="{00000000-0005-0000-0000-0000998D0000}"/>
    <cellStyle name="Normal 5 17 20 3 9" xfId="36250" xr:uid="{00000000-0005-0000-0000-00009A8D0000}"/>
    <cellStyle name="Normal 5 17 20 4" xfId="36251" xr:uid="{00000000-0005-0000-0000-00009B8D0000}"/>
    <cellStyle name="Normal 5 17 20 4 10" xfId="36252" xr:uid="{00000000-0005-0000-0000-00009C8D0000}"/>
    <cellStyle name="Normal 5 17 20 4 2" xfId="36253" xr:uid="{00000000-0005-0000-0000-00009D8D0000}"/>
    <cellStyle name="Normal 5 17 20 4 3" xfId="36254" xr:uid="{00000000-0005-0000-0000-00009E8D0000}"/>
    <cellStyle name="Normal 5 17 20 4 4" xfId="36255" xr:uid="{00000000-0005-0000-0000-00009F8D0000}"/>
    <cellStyle name="Normal 5 17 20 4 5" xfId="36256" xr:uid="{00000000-0005-0000-0000-0000A08D0000}"/>
    <cellStyle name="Normal 5 17 20 4 6" xfId="36257" xr:uid="{00000000-0005-0000-0000-0000A18D0000}"/>
    <cellStyle name="Normal 5 17 20 4 7" xfId="36258" xr:uid="{00000000-0005-0000-0000-0000A28D0000}"/>
    <cellStyle name="Normal 5 17 20 4 8" xfId="36259" xr:uid="{00000000-0005-0000-0000-0000A38D0000}"/>
    <cellStyle name="Normal 5 17 20 4 9" xfId="36260" xr:uid="{00000000-0005-0000-0000-0000A48D0000}"/>
    <cellStyle name="Normal 5 17 20 5" xfId="36261" xr:uid="{00000000-0005-0000-0000-0000A58D0000}"/>
    <cellStyle name="Normal 5 17 20 5 10" xfId="36262" xr:uid="{00000000-0005-0000-0000-0000A68D0000}"/>
    <cellStyle name="Normal 5 17 20 5 2" xfId="36263" xr:uid="{00000000-0005-0000-0000-0000A78D0000}"/>
    <cellStyle name="Normal 5 17 20 5 3" xfId="36264" xr:uid="{00000000-0005-0000-0000-0000A88D0000}"/>
    <cellStyle name="Normal 5 17 20 5 4" xfId="36265" xr:uid="{00000000-0005-0000-0000-0000A98D0000}"/>
    <cellStyle name="Normal 5 17 20 5 5" xfId="36266" xr:uid="{00000000-0005-0000-0000-0000AA8D0000}"/>
    <cellStyle name="Normal 5 17 20 5 6" xfId="36267" xr:uid="{00000000-0005-0000-0000-0000AB8D0000}"/>
    <cellStyle name="Normal 5 17 20 5 7" xfId="36268" xr:uid="{00000000-0005-0000-0000-0000AC8D0000}"/>
    <cellStyle name="Normal 5 17 20 5 8" xfId="36269" xr:uid="{00000000-0005-0000-0000-0000AD8D0000}"/>
    <cellStyle name="Normal 5 17 20 5 9" xfId="36270" xr:uid="{00000000-0005-0000-0000-0000AE8D0000}"/>
    <cellStyle name="Normal 5 17 20 6" xfId="36271" xr:uid="{00000000-0005-0000-0000-0000AF8D0000}"/>
    <cellStyle name="Normal 5 17 20 7" xfId="36272" xr:uid="{00000000-0005-0000-0000-0000B08D0000}"/>
    <cellStyle name="Normal 5 17 20 8" xfId="36273" xr:uid="{00000000-0005-0000-0000-0000B18D0000}"/>
    <cellStyle name="Normal 5 17 20 9" xfId="36274" xr:uid="{00000000-0005-0000-0000-0000B28D0000}"/>
    <cellStyle name="Normal 5 17 21" xfId="36275" xr:uid="{00000000-0005-0000-0000-0000B38D0000}"/>
    <cellStyle name="Normal 5 17 21 10" xfId="36276" xr:uid="{00000000-0005-0000-0000-0000B48D0000}"/>
    <cellStyle name="Normal 5 17 21 11" xfId="36277" xr:uid="{00000000-0005-0000-0000-0000B58D0000}"/>
    <cellStyle name="Normal 5 17 21 12" xfId="36278" xr:uid="{00000000-0005-0000-0000-0000B68D0000}"/>
    <cellStyle name="Normal 5 17 21 13" xfId="36279" xr:uid="{00000000-0005-0000-0000-0000B78D0000}"/>
    <cellStyle name="Normal 5 17 21 14" xfId="36280" xr:uid="{00000000-0005-0000-0000-0000B88D0000}"/>
    <cellStyle name="Normal 5 17 21 2" xfId="36281" xr:uid="{00000000-0005-0000-0000-0000B98D0000}"/>
    <cellStyle name="Normal 5 17 21 2 10" xfId="36282" xr:uid="{00000000-0005-0000-0000-0000BA8D0000}"/>
    <cellStyle name="Normal 5 17 21 2 2" xfId="36283" xr:uid="{00000000-0005-0000-0000-0000BB8D0000}"/>
    <cellStyle name="Normal 5 17 21 2 3" xfId="36284" xr:uid="{00000000-0005-0000-0000-0000BC8D0000}"/>
    <cellStyle name="Normal 5 17 21 2 4" xfId="36285" xr:uid="{00000000-0005-0000-0000-0000BD8D0000}"/>
    <cellStyle name="Normal 5 17 21 2 5" xfId="36286" xr:uid="{00000000-0005-0000-0000-0000BE8D0000}"/>
    <cellStyle name="Normal 5 17 21 2 6" xfId="36287" xr:uid="{00000000-0005-0000-0000-0000BF8D0000}"/>
    <cellStyle name="Normal 5 17 21 2 7" xfId="36288" xr:uid="{00000000-0005-0000-0000-0000C08D0000}"/>
    <cellStyle name="Normal 5 17 21 2 8" xfId="36289" xr:uid="{00000000-0005-0000-0000-0000C18D0000}"/>
    <cellStyle name="Normal 5 17 21 2 9" xfId="36290" xr:uid="{00000000-0005-0000-0000-0000C28D0000}"/>
    <cellStyle name="Normal 5 17 21 3" xfId="36291" xr:uid="{00000000-0005-0000-0000-0000C38D0000}"/>
    <cellStyle name="Normal 5 17 21 3 10" xfId="36292" xr:uid="{00000000-0005-0000-0000-0000C48D0000}"/>
    <cellStyle name="Normal 5 17 21 3 2" xfId="36293" xr:uid="{00000000-0005-0000-0000-0000C58D0000}"/>
    <cellStyle name="Normal 5 17 21 3 3" xfId="36294" xr:uid="{00000000-0005-0000-0000-0000C68D0000}"/>
    <cellStyle name="Normal 5 17 21 3 4" xfId="36295" xr:uid="{00000000-0005-0000-0000-0000C78D0000}"/>
    <cellStyle name="Normal 5 17 21 3 5" xfId="36296" xr:uid="{00000000-0005-0000-0000-0000C88D0000}"/>
    <cellStyle name="Normal 5 17 21 3 6" xfId="36297" xr:uid="{00000000-0005-0000-0000-0000C98D0000}"/>
    <cellStyle name="Normal 5 17 21 3 7" xfId="36298" xr:uid="{00000000-0005-0000-0000-0000CA8D0000}"/>
    <cellStyle name="Normal 5 17 21 3 8" xfId="36299" xr:uid="{00000000-0005-0000-0000-0000CB8D0000}"/>
    <cellStyle name="Normal 5 17 21 3 9" xfId="36300" xr:uid="{00000000-0005-0000-0000-0000CC8D0000}"/>
    <cellStyle name="Normal 5 17 21 4" xfId="36301" xr:uid="{00000000-0005-0000-0000-0000CD8D0000}"/>
    <cellStyle name="Normal 5 17 21 4 10" xfId="36302" xr:uid="{00000000-0005-0000-0000-0000CE8D0000}"/>
    <cellStyle name="Normal 5 17 21 4 2" xfId="36303" xr:uid="{00000000-0005-0000-0000-0000CF8D0000}"/>
    <cellStyle name="Normal 5 17 21 4 3" xfId="36304" xr:uid="{00000000-0005-0000-0000-0000D08D0000}"/>
    <cellStyle name="Normal 5 17 21 4 4" xfId="36305" xr:uid="{00000000-0005-0000-0000-0000D18D0000}"/>
    <cellStyle name="Normal 5 17 21 4 5" xfId="36306" xr:uid="{00000000-0005-0000-0000-0000D28D0000}"/>
    <cellStyle name="Normal 5 17 21 4 6" xfId="36307" xr:uid="{00000000-0005-0000-0000-0000D38D0000}"/>
    <cellStyle name="Normal 5 17 21 4 7" xfId="36308" xr:uid="{00000000-0005-0000-0000-0000D48D0000}"/>
    <cellStyle name="Normal 5 17 21 4 8" xfId="36309" xr:uid="{00000000-0005-0000-0000-0000D58D0000}"/>
    <cellStyle name="Normal 5 17 21 4 9" xfId="36310" xr:uid="{00000000-0005-0000-0000-0000D68D0000}"/>
    <cellStyle name="Normal 5 17 21 5" xfId="36311" xr:uid="{00000000-0005-0000-0000-0000D78D0000}"/>
    <cellStyle name="Normal 5 17 21 5 10" xfId="36312" xr:uid="{00000000-0005-0000-0000-0000D88D0000}"/>
    <cellStyle name="Normal 5 17 21 5 2" xfId="36313" xr:uid="{00000000-0005-0000-0000-0000D98D0000}"/>
    <cellStyle name="Normal 5 17 21 5 3" xfId="36314" xr:uid="{00000000-0005-0000-0000-0000DA8D0000}"/>
    <cellStyle name="Normal 5 17 21 5 4" xfId="36315" xr:uid="{00000000-0005-0000-0000-0000DB8D0000}"/>
    <cellStyle name="Normal 5 17 21 5 5" xfId="36316" xr:uid="{00000000-0005-0000-0000-0000DC8D0000}"/>
    <cellStyle name="Normal 5 17 21 5 6" xfId="36317" xr:uid="{00000000-0005-0000-0000-0000DD8D0000}"/>
    <cellStyle name="Normal 5 17 21 5 7" xfId="36318" xr:uid="{00000000-0005-0000-0000-0000DE8D0000}"/>
    <cellStyle name="Normal 5 17 21 5 8" xfId="36319" xr:uid="{00000000-0005-0000-0000-0000DF8D0000}"/>
    <cellStyle name="Normal 5 17 21 5 9" xfId="36320" xr:uid="{00000000-0005-0000-0000-0000E08D0000}"/>
    <cellStyle name="Normal 5 17 21 6" xfId="36321" xr:uid="{00000000-0005-0000-0000-0000E18D0000}"/>
    <cellStyle name="Normal 5 17 21 7" xfId="36322" xr:uid="{00000000-0005-0000-0000-0000E28D0000}"/>
    <cellStyle name="Normal 5 17 21 8" xfId="36323" xr:uid="{00000000-0005-0000-0000-0000E38D0000}"/>
    <cellStyle name="Normal 5 17 21 9" xfId="36324" xr:uid="{00000000-0005-0000-0000-0000E48D0000}"/>
    <cellStyle name="Normal 5 17 22" xfId="36325" xr:uid="{00000000-0005-0000-0000-0000E58D0000}"/>
    <cellStyle name="Normal 5 17 22 10" xfId="36326" xr:uid="{00000000-0005-0000-0000-0000E68D0000}"/>
    <cellStyle name="Normal 5 17 22 11" xfId="36327" xr:uid="{00000000-0005-0000-0000-0000E78D0000}"/>
    <cellStyle name="Normal 5 17 22 12" xfId="36328" xr:uid="{00000000-0005-0000-0000-0000E88D0000}"/>
    <cellStyle name="Normal 5 17 22 13" xfId="36329" xr:uid="{00000000-0005-0000-0000-0000E98D0000}"/>
    <cellStyle name="Normal 5 17 22 14" xfId="36330" xr:uid="{00000000-0005-0000-0000-0000EA8D0000}"/>
    <cellStyle name="Normal 5 17 22 2" xfId="36331" xr:uid="{00000000-0005-0000-0000-0000EB8D0000}"/>
    <cellStyle name="Normal 5 17 22 2 10" xfId="36332" xr:uid="{00000000-0005-0000-0000-0000EC8D0000}"/>
    <cellStyle name="Normal 5 17 22 2 2" xfId="36333" xr:uid="{00000000-0005-0000-0000-0000ED8D0000}"/>
    <cellStyle name="Normal 5 17 22 2 3" xfId="36334" xr:uid="{00000000-0005-0000-0000-0000EE8D0000}"/>
    <cellStyle name="Normal 5 17 22 2 4" xfId="36335" xr:uid="{00000000-0005-0000-0000-0000EF8D0000}"/>
    <cellStyle name="Normal 5 17 22 2 5" xfId="36336" xr:uid="{00000000-0005-0000-0000-0000F08D0000}"/>
    <cellStyle name="Normal 5 17 22 2 6" xfId="36337" xr:uid="{00000000-0005-0000-0000-0000F18D0000}"/>
    <cellStyle name="Normal 5 17 22 2 7" xfId="36338" xr:uid="{00000000-0005-0000-0000-0000F28D0000}"/>
    <cellStyle name="Normal 5 17 22 2 8" xfId="36339" xr:uid="{00000000-0005-0000-0000-0000F38D0000}"/>
    <cellStyle name="Normal 5 17 22 2 9" xfId="36340" xr:uid="{00000000-0005-0000-0000-0000F48D0000}"/>
    <cellStyle name="Normal 5 17 22 3" xfId="36341" xr:uid="{00000000-0005-0000-0000-0000F58D0000}"/>
    <cellStyle name="Normal 5 17 22 3 10" xfId="36342" xr:uid="{00000000-0005-0000-0000-0000F68D0000}"/>
    <cellStyle name="Normal 5 17 22 3 2" xfId="36343" xr:uid="{00000000-0005-0000-0000-0000F78D0000}"/>
    <cellStyle name="Normal 5 17 22 3 3" xfId="36344" xr:uid="{00000000-0005-0000-0000-0000F88D0000}"/>
    <cellStyle name="Normal 5 17 22 3 4" xfId="36345" xr:uid="{00000000-0005-0000-0000-0000F98D0000}"/>
    <cellStyle name="Normal 5 17 22 3 5" xfId="36346" xr:uid="{00000000-0005-0000-0000-0000FA8D0000}"/>
    <cellStyle name="Normal 5 17 22 3 6" xfId="36347" xr:uid="{00000000-0005-0000-0000-0000FB8D0000}"/>
    <cellStyle name="Normal 5 17 22 3 7" xfId="36348" xr:uid="{00000000-0005-0000-0000-0000FC8D0000}"/>
    <cellStyle name="Normal 5 17 22 3 8" xfId="36349" xr:uid="{00000000-0005-0000-0000-0000FD8D0000}"/>
    <cellStyle name="Normal 5 17 22 3 9" xfId="36350" xr:uid="{00000000-0005-0000-0000-0000FE8D0000}"/>
    <cellStyle name="Normal 5 17 22 4" xfId="36351" xr:uid="{00000000-0005-0000-0000-0000FF8D0000}"/>
    <cellStyle name="Normal 5 17 22 4 10" xfId="36352" xr:uid="{00000000-0005-0000-0000-0000008E0000}"/>
    <cellStyle name="Normal 5 17 22 4 2" xfId="36353" xr:uid="{00000000-0005-0000-0000-0000018E0000}"/>
    <cellStyle name="Normal 5 17 22 4 3" xfId="36354" xr:uid="{00000000-0005-0000-0000-0000028E0000}"/>
    <cellStyle name="Normal 5 17 22 4 4" xfId="36355" xr:uid="{00000000-0005-0000-0000-0000038E0000}"/>
    <cellStyle name="Normal 5 17 22 4 5" xfId="36356" xr:uid="{00000000-0005-0000-0000-0000048E0000}"/>
    <cellStyle name="Normal 5 17 22 4 6" xfId="36357" xr:uid="{00000000-0005-0000-0000-0000058E0000}"/>
    <cellStyle name="Normal 5 17 22 4 7" xfId="36358" xr:uid="{00000000-0005-0000-0000-0000068E0000}"/>
    <cellStyle name="Normal 5 17 22 4 8" xfId="36359" xr:uid="{00000000-0005-0000-0000-0000078E0000}"/>
    <cellStyle name="Normal 5 17 22 4 9" xfId="36360" xr:uid="{00000000-0005-0000-0000-0000088E0000}"/>
    <cellStyle name="Normal 5 17 22 5" xfId="36361" xr:uid="{00000000-0005-0000-0000-0000098E0000}"/>
    <cellStyle name="Normal 5 17 22 5 10" xfId="36362" xr:uid="{00000000-0005-0000-0000-00000A8E0000}"/>
    <cellStyle name="Normal 5 17 22 5 2" xfId="36363" xr:uid="{00000000-0005-0000-0000-00000B8E0000}"/>
    <cellStyle name="Normal 5 17 22 5 3" xfId="36364" xr:uid="{00000000-0005-0000-0000-00000C8E0000}"/>
    <cellStyle name="Normal 5 17 22 5 4" xfId="36365" xr:uid="{00000000-0005-0000-0000-00000D8E0000}"/>
    <cellStyle name="Normal 5 17 22 5 5" xfId="36366" xr:uid="{00000000-0005-0000-0000-00000E8E0000}"/>
    <cellStyle name="Normal 5 17 22 5 6" xfId="36367" xr:uid="{00000000-0005-0000-0000-00000F8E0000}"/>
    <cellStyle name="Normal 5 17 22 5 7" xfId="36368" xr:uid="{00000000-0005-0000-0000-0000108E0000}"/>
    <cellStyle name="Normal 5 17 22 5 8" xfId="36369" xr:uid="{00000000-0005-0000-0000-0000118E0000}"/>
    <cellStyle name="Normal 5 17 22 5 9" xfId="36370" xr:uid="{00000000-0005-0000-0000-0000128E0000}"/>
    <cellStyle name="Normal 5 17 22 6" xfId="36371" xr:uid="{00000000-0005-0000-0000-0000138E0000}"/>
    <cellStyle name="Normal 5 17 22 7" xfId="36372" xr:uid="{00000000-0005-0000-0000-0000148E0000}"/>
    <cellStyle name="Normal 5 17 22 8" xfId="36373" xr:uid="{00000000-0005-0000-0000-0000158E0000}"/>
    <cellStyle name="Normal 5 17 22 9" xfId="36374" xr:uid="{00000000-0005-0000-0000-0000168E0000}"/>
    <cellStyle name="Normal 5 17 23" xfId="36375" xr:uid="{00000000-0005-0000-0000-0000178E0000}"/>
    <cellStyle name="Normal 5 17 23 10" xfId="36376" xr:uid="{00000000-0005-0000-0000-0000188E0000}"/>
    <cellStyle name="Normal 5 17 23 11" xfId="36377" xr:uid="{00000000-0005-0000-0000-0000198E0000}"/>
    <cellStyle name="Normal 5 17 23 12" xfId="36378" xr:uid="{00000000-0005-0000-0000-00001A8E0000}"/>
    <cellStyle name="Normal 5 17 23 13" xfId="36379" xr:uid="{00000000-0005-0000-0000-00001B8E0000}"/>
    <cellStyle name="Normal 5 17 23 14" xfId="36380" xr:uid="{00000000-0005-0000-0000-00001C8E0000}"/>
    <cellStyle name="Normal 5 17 23 2" xfId="36381" xr:uid="{00000000-0005-0000-0000-00001D8E0000}"/>
    <cellStyle name="Normal 5 17 23 2 10" xfId="36382" xr:uid="{00000000-0005-0000-0000-00001E8E0000}"/>
    <cellStyle name="Normal 5 17 23 2 2" xfId="36383" xr:uid="{00000000-0005-0000-0000-00001F8E0000}"/>
    <cellStyle name="Normal 5 17 23 2 3" xfId="36384" xr:uid="{00000000-0005-0000-0000-0000208E0000}"/>
    <cellStyle name="Normal 5 17 23 2 4" xfId="36385" xr:uid="{00000000-0005-0000-0000-0000218E0000}"/>
    <cellStyle name="Normal 5 17 23 2 5" xfId="36386" xr:uid="{00000000-0005-0000-0000-0000228E0000}"/>
    <cellStyle name="Normal 5 17 23 2 6" xfId="36387" xr:uid="{00000000-0005-0000-0000-0000238E0000}"/>
    <cellStyle name="Normal 5 17 23 2 7" xfId="36388" xr:uid="{00000000-0005-0000-0000-0000248E0000}"/>
    <cellStyle name="Normal 5 17 23 2 8" xfId="36389" xr:uid="{00000000-0005-0000-0000-0000258E0000}"/>
    <cellStyle name="Normal 5 17 23 2 9" xfId="36390" xr:uid="{00000000-0005-0000-0000-0000268E0000}"/>
    <cellStyle name="Normal 5 17 23 3" xfId="36391" xr:uid="{00000000-0005-0000-0000-0000278E0000}"/>
    <cellStyle name="Normal 5 17 23 3 10" xfId="36392" xr:uid="{00000000-0005-0000-0000-0000288E0000}"/>
    <cellStyle name="Normal 5 17 23 3 2" xfId="36393" xr:uid="{00000000-0005-0000-0000-0000298E0000}"/>
    <cellStyle name="Normal 5 17 23 3 3" xfId="36394" xr:uid="{00000000-0005-0000-0000-00002A8E0000}"/>
    <cellStyle name="Normal 5 17 23 3 4" xfId="36395" xr:uid="{00000000-0005-0000-0000-00002B8E0000}"/>
    <cellStyle name="Normal 5 17 23 3 5" xfId="36396" xr:uid="{00000000-0005-0000-0000-00002C8E0000}"/>
    <cellStyle name="Normal 5 17 23 3 6" xfId="36397" xr:uid="{00000000-0005-0000-0000-00002D8E0000}"/>
    <cellStyle name="Normal 5 17 23 3 7" xfId="36398" xr:uid="{00000000-0005-0000-0000-00002E8E0000}"/>
    <cellStyle name="Normal 5 17 23 3 8" xfId="36399" xr:uid="{00000000-0005-0000-0000-00002F8E0000}"/>
    <cellStyle name="Normal 5 17 23 3 9" xfId="36400" xr:uid="{00000000-0005-0000-0000-0000308E0000}"/>
    <cellStyle name="Normal 5 17 23 4" xfId="36401" xr:uid="{00000000-0005-0000-0000-0000318E0000}"/>
    <cellStyle name="Normal 5 17 23 4 10" xfId="36402" xr:uid="{00000000-0005-0000-0000-0000328E0000}"/>
    <cellStyle name="Normal 5 17 23 4 2" xfId="36403" xr:uid="{00000000-0005-0000-0000-0000338E0000}"/>
    <cellStyle name="Normal 5 17 23 4 3" xfId="36404" xr:uid="{00000000-0005-0000-0000-0000348E0000}"/>
    <cellStyle name="Normal 5 17 23 4 4" xfId="36405" xr:uid="{00000000-0005-0000-0000-0000358E0000}"/>
    <cellStyle name="Normal 5 17 23 4 5" xfId="36406" xr:uid="{00000000-0005-0000-0000-0000368E0000}"/>
    <cellStyle name="Normal 5 17 23 4 6" xfId="36407" xr:uid="{00000000-0005-0000-0000-0000378E0000}"/>
    <cellStyle name="Normal 5 17 23 4 7" xfId="36408" xr:uid="{00000000-0005-0000-0000-0000388E0000}"/>
    <cellStyle name="Normal 5 17 23 4 8" xfId="36409" xr:uid="{00000000-0005-0000-0000-0000398E0000}"/>
    <cellStyle name="Normal 5 17 23 4 9" xfId="36410" xr:uid="{00000000-0005-0000-0000-00003A8E0000}"/>
    <cellStyle name="Normal 5 17 23 5" xfId="36411" xr:uid="{00000000-0005-0000-0000-00003B8E0000}"/>
    <cellStyle name="Normal 5 17 23 5 10" xfId="36412" xr:uid="{00000000-0005-0000-0000-00003C8E0000}"/>
    <cellStyle name="Normal 5 17 23 5 2" xfId="36413" xr:uid="{00000000-0005-0000-0000-00003D8E0000}"/>
    <cellStyle name="Normal 5 17 23 5 3" xfId="36414" xr:uid="{00000000-0005-0000-0000-00003E8E0000}"/>
    <cellStyle name="Normal 5 17 23 5 4" xfId="36415" xr:uid="{00000000-0005-0000-0000-00003F8E0000}"/>
    <cellStyle name="Normal 5 17 23 5 5" xfId="36416" xr:uid="{00000000-0005-0000-0000-0000408E0000}"/>
    <cellStyle name="Normal 5 17 23 5 6" xfId="36417" xr:uid="{00000000-0005-0000-0000-0000418E0000}"/>
    <cellStyle name="Normal 5 17 23 5 7" xfId="36418" xr:uid="{00000000-0005-0000-0000-0000428E0000}"/>
    <cellStyle name="Normal 5 17 23 5 8" xfId="36419" xr:uid="{00000000-0005-0000-0000-0000438E0000}"/>
    <cellStyle name="Normal 5 17 23 5 9" xfId="36420" xr:uid="{00000000-0005-0000-0000-0000448E0000}"/>
    <cellStyle name="Normal 5 17 23 6" xfId="36421" xr:uid="{00000000-0005-0000-0000-0000458E0000}"/>
    <cellStyle name="Normal 5 17 23 7" xfId="36422" xr:uid="{00000000-0005-0000-0000-0000468E0000}"/>
    <cellStyle name="Normal 5 17 23 8" xfId="36423" xr:uid="{00000000-0005-0000-0000-0000478E0000}"/>
    <cellStyle name="Normal 5 17 23 9" xfId="36424" xr:uid="{00000000-0005-0000-0000-0000488E0000}"/>
    <cellStyle name="Normal 5 17 24" xfId="36425" xr:uid="{00000000-0005-0000-0000-0000498E0000}"/>
    <cellStyle name="Normal 5 17 24 10" xfId="36426" xr:uid="{00000000-0005-0000-0000-00004A8E0000}"/>
    <cellStyle name="Normal 5 17 24 11" xfId="36427" xr:uid="{00000000-0005-0000-0000-00004B8E0000}"/>
    <cellStyle name="Normal 5 17 24 12" xfId="36428" xr:uid="{00000000-0005-0000-0000-00004C8E0000}"/>
    <cellStyle name="Normal 5 17 24 13" xfId="36429" xr:uid="{00000000-0005-0000-0000-00004D8E0000}"/>
    <cellStyle name="Normal 5 17 24 14" xfId="36430" xr:uid="{00000000-0005-0000-0000-00004E8E0000}"/>
    <cellStyle name="Normal 5 17 24 2" xfId="36431" xr:uid="{00000000-0005-0000-0000-00004F8E0000}"/>
    <cellStyle name="Normal 5 17 24 2 10" xfId="36432" xr:uid="{00000000-0005-0000-0000-0000508E0000}"/>
    <cellStyle name="Normal 5 17 24 2 2" xfId="36433" xr:uid="{00000000-0005-0000-0000-0000518E0000}"/>
    <cellStyle name="Normal 5 17 24 2 3" xfId="36434" xr:uid="{00000000-0005-0000-0000-0000528E0000}"/>
    <cellStyle name="Normal 5 17 24 2 4" xfId="36435" xr:uid="{00000000-0005-0000-0000-0000538E0000}"/>
    <cellStyle name="Normal 5 17 24 2 5" xfId="36436" xr:uid="{00000000-0005-0000-0000-0000548E0000}"/>
    <cellStyle name="Normal 5 17 24 2 6" xfId="36437" xr:uid="{00000000-0005-0000-0000-0000558E0000}"/>
    <cellStyle name="Normal 5 17 24 2 7" xfId="36438" xr:uid="{00000000-0005-0000-0000-0000568E0000}"/>
    <cellStyle name="Normal 5 17 24 2 8" xfId="36439" xr:uid="{00000000-0005-0000-0000-0000578E0000}"/>
    <cellStyle name="Normal 5 17 24 2 9" xfId="36440" xr:uid="{00000000-0005-0000-0000-0000588E0000}"/>
    <cellStyle name="Normal 5 17 24 3" xfId="36441" xr:uid="{00000000-0005-0000-0000-0000598E0000}"/>
    <cellStyle name="Normal 5 17 24 3 10" xfId="36442" xr:uid="{00000000-0005-0000-0000-00005A8E0000}"/>
    <cellStyle name="Normal 5 17 24 3 2" xfId="36443" xr:uid="{00000000-0005-0000-0000-00005B8E0000}"/>
    <cellStyle name="Normal 5 17 24 3 3" xfId="36444" xr:uid="{00000000-0005-0000-0000-00005C8E0000}"/>
    <cellStyle name="Normal 5 17 24 3 4" xfId="36445" xr:uid="{00000000-0005-0000-0000-00005D8E0000}"/>
    <cellStyle name="Normal 5 17 24 3 5" xfId="36446" xr:uid="{00000000-0005-0000-0000-00005E8E0000}"/>
    <cellStyle name="Normal 5 17 24 3 6" xfId="36447" xr:uid="{00000000-0005-0000-0000-00005F8E0000}"/>
    <cellStyle name="Normal 5 17 24 3 7" xfId="36448" xr:uid="{00000000-0005-0000-0000-0000608E0000}"/>
    <cellStyle name="Normal 5 17 24 3 8" xfId="36449" xr:uid="{00000000-0005-0000-0000-0000618E0000}"/>
    <cellStyle name="Normal 5 17 24 3 9" xfId="36450" xr:uid="{00000000-0005-0000-0000-0000628E0000}"/>
    <cellStyle name="Normal 5 17 24 4" xfId="36451" xr:uid="{00000000-0005-0000-0000-0000638E0000}"/>
    <cellStyle name="Normal 5 17 24 4 10" xfId="36452" xr:uid="{00000000-0005-0000-0000-0000648E0000}"/>
    <cellStyle name="Normal 5 17 24 4 2" xfId="36453" xr:uid="{00000000-0005-0000-0000-0000658E0000}"/>
    <cellStyle name="Normal 5 17 24 4 3" xfId="36454" xr:uid="{00000000-0005-0000-0000-0000668E0000}"/>
    <cellStyle name="Normal 5 17 24 4 4" xfId="36455" xr:uid="{00000000-0005-0000-0000-0000678E0000}"/>
    <cellStyle name="Normal 5 17 24 4 5" xfId="36456" xr:uid="{00000000-0005-0000-0000-0000688E0000}"/>
    <cellStyle name="Normal 5 17 24 4 6" xfId="36457" xr:uid="{00000000-0005-0000-0000-0000698E0000}"/>
    <cellStyle name="Normal 5 17 24 4 7" xfId="36458" xr:uid="{00000000-0005-0000-0000-00006A8E0000}"/>
    <cellStyle name="Normal 5 17 24 4 8" xfId="36459" xr:uid="{00000000-0005-0000-0000-00006B8E0000}"/>
    <cellStyle name="Normal 5 17 24 4 9" xfId="36460" xr:uid="{00000000-0005-0000-0000-00006C8E0000}"/>
    <cellStyle name="Normal 5 17 24 5" xfId="36461" xr:uid="{00000000-0005-0000-0000-00006D8E0000}"/>
    <cellStyle name="Normal 5 17 24 5 10" xfId="36462" xr:uid="{00000000-0005-0000-0000-00006E8E0000}"/>
    <cellStyle name="Normal 5 17 24 5 2" xfId="36463" xr:uid="{00000000-0005-0000-0000-00006F8E0000}"/>
    <cellStyle name="Normal 5 17 24 5 3" xfId="36464" xr:uid="{00000000-0005-0000-0000-0000708E0000}"/>
    <cellStyle name="Normal 5 17 24 5 4" xfId="36465" xr:uid="{00000000-0005-0000-0000-0000718E0000}"/>
    <cellStyle name="Normal 5 17 24 5 5" xfId="36466" xr:uid="{00000000-0005-0000-0000-0000728E0000}"/>
    <cellStyle name="Normal 5 17 24 5 6" xfId="36467" xr:uid="{00000000-0005-0000-0000-0000738E0000}"/>
    <cellStyle name="Normal 5 17 24 5 7" xfId="36468" xr:uid="{00000000-0005-0000-0000-0000748E0000}"/>
    <cellStyle name="Normal 5 17 24 5 8" xfId="36469" xr:uid="{00000000-0005-0000-0000-0000758E0000}"/>
    <cellStyle name="Normal 5 17 24 5 9" xfId="36470" xr:uid="{00000000-0005-0000-0000-0000768E0000}"/>
    <cellStyle name="Normal 5 17 24 6" xfId="36471" xr:uid="{00000000-0005-0000-0000-0000778E0000}"/>
    <cellStyle name="Normal 5 17 24 7" xfId="36472" xr:uid="{00000000-0005-0000-0000-0000788E0000}"/>
    <cellStyle name="Normal 5 17 24 8" xfId="36473" xr:uid="{00000000-0005-0000-0000-0000798E0000}"/>
    <cellStyle name="Normal 5 17 24 9" xfId="36474" xr:uid="{00000000-0005-0000-0000-00007A8E0000}"/>
    <cellStyle name="Normal 5 17 25" xfId="36475" xr:uid="{00000000-0005-0000-0000-00007B8E0000}"/>
    <cellStyle name="Normal 5 17 25 10" xfId="36476" xr:uid="{00000000-0005-0000-0000-00007C8E0000}"/>
    <cellStyle name="Normal 5 17 25 11" xfId="36477" xr:uid="{00000000-0005-0000-0000-00007D8E0000}"/>
    <cellStyle name="Normal 5 17 25 12" xfId="36478" xr:uid="{00000000-0005-0000-0000-00007E8E0000}"/>
    <cellStyle name="Normal 5 17 25 13" xfId="36479" xr:uid="{00000000-0005-0000-0000-00007F8E0000}"/>
    <cellStyle name="Normal 5 17 25 14" xfId="36480" xr:uid="{00000000-0005-0000-0000-0000808E0000}"/>
    <cellStyle name="Normal 5 17 25 2" xfId="36481" xr:uid="{00000000-0005-0000-0000-0000818E0000}"/>
    <cellStyle name="Normal 5 17 25 2 10" xfId="36482" xr:uid="{00000000-0005-0000-0000-0000828E0000}"/>
    <cellStyle name="Normal 5 17 25 2 2" xfId="36483" xr:uid="{00000000-0005-0000-0000-0000838E0000}"/>
    <cellStyle name="Normal 5 17 25 2 3" xfId="36484" xr:uid="{00000000-0005-0000-0000-0000848E0000}"/>
    <cellStyle name="Normal 5 17 25 2 4" xfId="36485" xr:uid="{00000000-0005-0000-0000-0000858E0000}"/>
    <cellStyle name="Normal 5 17 25 2 5" xfId="36486" xr:uid="{00000000-0005-0000-0000-0000868E0000}"/>
    <cellStyle name="Normal 5 17 25 2 6" xfId="36487" xr:uid="{00000000-0005-0000-0000-0000878E0000}"/>
    <cellStyle name="Normal 5 17 25 2 7" xfId="36488" xr:uid="{00000000-0005-0000-0000-0000888E0000}"/>
    <cellStyle name="Normal 5 17 25 2 8" xfId="36489" xr:uid="{00000000-0005-0000-0000-0000898E0000}"/>
    <cellStyle name="Normal 5 17 25 2 9" xfId="36490" xr:uid="{00000000-0005-0000-0000-00008A8E0000}"/>
    <cellStyle name="Normal 5 17 25 3" xfId="36491" xr:uid="{00000000-0005-0000-0000-00008B8E0000}"/>
    <cellStyle name="Normal 5 17 25 3 10" xfId="36492" xr:uid="{00000000-0005-0000-0000-00008C8E0000}"/>
    <cellStyle name="Normal 5 17 25 3 2" xfId="36493" xr:uid="{00000000-0005-0000-0000-00008D8E0000}"/>
    <cellStyle name="Normal 5 17 25 3 3" xfId="36494" xr:uid="{00000000-0005-0000-0000-00008E8E0000}"/>
    <cellStyle name="Normal 5 17 25 3 4" xfId="36495" xr:uid="{00000000-0005-0000-0000-00008F8E0000}"/>
    <cellStyle name="Normal 5 17 25 3 5" xfId="36496" xr:uid="{00000000-0005-0000-0000-0000908E0000}"/>
    <cellStyle name="Normal 5 17 25 3 6" xfId="36497" xr:uid="{00000000-0005-0000-0000-0000918E0000}"/>
    <cellStyle name="Normal 5 17 25 3 7" xfId="36498" xr:uid="{00000000-0005-0000-0000-0000928E0000}"/>
    <cellStyle name="Normal 5 17 25 3 8" xfId="36499" xr:uid="{00000000-0005-0000-0000-0000938E0000}"/>
    <cellStyle name="Normal 5 17 25 3 9" xfId="36500" xr:uid="{00000000-0005-0000-0000-0000948E0000}"/>
    <cellStyle name="Normal 5 17 25 4" xfId="36501" xr:uid="{00000000-0005-0000-0000-0000958E0000}"/>
    <cellStyle name="Normal 5 17 25 4 10" xfId="36502" xr:uid="{00000000-0005-0000-0000-0000968E0000}"/>
    <cellStyle name="Normal 5 17 25 4 2" xfId="36503" xr:uid="{00000000-0005-0000-0000-0000978E0000}"/>
    <cellStyle name="Normal 5 17 25 4 3" xfId="36504" xr:uid="{00000000-0005-0000-0000-0000988E0000}"/>
    <cellStyle name="Normal 5 17 25 4 4" xfId="36505" xr:uid="{00000000-0005-0000-0000-0000998E0000}"/>
    <cellStyle name="Normal 5 17 25 4 5" xfId="36506" xr:uid="{00000000-0005-0000-0000-00009A8E0000}"/>
    <cellStyle name="Normal 5 17 25 4 6" xfId="36507" xr:uid="{00000000-0005-0000-0000-00009B8E0000}"/>
    <cellStyle name="Normal 5 17 25 4 7" xfId="36508" xr:uid="{00000000-0005-0000-0000-00009C8E0000}"/>
    <cellStyle name="Normal 5 17 25 4 8" xfId="36509" xr:uid="{00000000-0005-0000-0000-00009D8E0000}"/>
    <cellStyle name="Normal 5 17 25 4 9" xfId="36510" xr:uid="{00000000-0005-0000-0000-00009E8E0000}"/>
    <cellStyle name="Normal 5 17 25 5" xfId="36511" xr:uid="{00000000-0005-0000-0000-00009F8E0000}"/>
    <cellStyle name="Normal 5 17 25 5 10" xfId="36512" xr:uid="{00000000-0005-0000-0000-0000A08E0000}"/>
    <cellStyle name="Normal 5 17 25 5 2" xfId="36513" xr:uid="{00000000-0005-0000-0000-0000A18E0000}"/>
    <cellStyle name="Normal 5 17 25 5 3" xfId="36514" xr:uid="{00000000-0005-0000-0000-0000A28E0000}"/>
    <cellStyle name="Normal 5 17 25 5 4" xfId="36515" xr:uid="{00000000-0005-0000-0000-0000A38E0000}"/>
    <cellStyle name="Normal 5 17 25 5 5" xfId="36516" xr:uid="{00000000-0005-0000-0000-0000A48E0000}"/>
    <cellStyle name="Normal 5 17 25 5 6" xfId="36517" xr:uid="{00000000-0005-0000-0000-0000A58E0000}"/>
    <cellStyle name="Normal 5 17 25 5 7" xfId="36518" xr:uid="{00000000-0005-0000-0000-0000A68E0000}"/>
    <cellStyle name="Normal 5 17 25 5 8" xfId="36519" xr:uid="{00000000-0005-0000-0000-0000A78E0000}"/>
    <cellStyle name="Normal 5 17 25 5 9" xfId="36520" xr:uid="{00000000-0005-0000-0000-0000A88E0000}"/>
    <cellStyle name="Normal 5 17 25 6" xfId="36521" xr:uid="{00000000-0005-0000-0000-0000A98E0000}"/>
    <cellStyle name="Normal 5 17 25 7" xfId="36522" xr:uid="{00000000-0005-0000-0000-0000AA8E0000}"/>
    <cellStyle name="Normal 5 17 25 8" xfId="36523" xr:uid="{00000000-0005-0000-0000-0000AB8E0000}"/>
    <cellStyle name="Normal 5 17 25 9" xfId="36524" xr:uid="{00000000-0005-0000-0000-0000AC8E0000}"/>
    <cellStyle name="Normal 5 17 26" xfId="36525" xr:uid="{00000000-0005-0000-0000-0000AD8E0000}"/>
    <cellStyle name="Normal 5 17 26 10" xfId="36526" xr:uid="{00000000-0005-0000-0000-0000AE8E0000}"/>
    <cellStyle name="Normal 5 17 26 11" xfId="36527" xr:uid="{00000000-0005-0000-0000-0000AF8E0000}"/>
    <cellStyle name="Normal 5 17 26 12" xfId="36528" xr:uid="{00000000-0005-0000-0000-0000B08E0000}"/>
    <cellStyle name="Normal 5 17 26 13" xfId="36529" xr:uid="{00000000-0005-0000-0000-0000B18E0000}"/>
    <cellStyle name="Normal 5 17 26 14" xfId="36530" xr:uid="{00000000-0005-0000-0000-0000B28E0000}"/>
    <cellStyle name="Normal 5 17 26 2" xfId="36531" xr:uid="{00000000-0005-0000-0000-0000B38E0000}"/>
    <cellStyle name="Normal 5 17 26 2 10" xfId="36532" xr:uid="{00000000-0005-0000-0000-0000B48E0000}"/>
    <cellStyle name="Normal 5 17 26 2 2" xfId="36533" xr:uid="{00000000-0005-0000-0000-0000B58E0000}"/>
    <cellStyle name="Normal 5 17 26 2 3" xfId="36534" xr:uid="{00000000-0005-0000-0000-0000B68E0000}"/>
    <cellStyle name="Normal 5 17 26 2 4" xfId="36535" xr:uid="{00000000-0005-0000-0000-0000B78E0000}"/>
    <cellStyle name="Normal 5 17 26 2 5" xfId="36536" xr:uid="{00000000-0005-0000-0000-0000B88E0000}"/>
    <cellStyle name="Normal 5 17 26 2 6" xfId="36537" xr:uid="{00000000-0005-0000-0000-0000B98E0000}"/>
    <cellStyle name="Normal 5 17 26 2 7" xfId="36538" xr:uid="{00000000-0005-0000-0000-0000BA8E0000}"/>
    <cellStyle name="Normal 5 17 26 2 8" xfId="36539" xr:uid="{00000000-0005-0000-0000-0000BB8E0000}"/>
    <cellStyle name="Normal 5 17 26 2 9" xfId="36540" xr:uid="{00000000-0005-0000-0000-0000BC8E0000}"/>
    <cellStyle name="Normal 5 17 26 3" xfId="36541" xr:uid="{00000000-0005-0000-0000-0000BD8E0000}"/>
    <cellStyle name="Normal 5 17 26 3 10" xfId="36542" xr:uid="{00000000-0005-0000-0000-0000BE8E0000}"/>
    <cellStyle name="Normal 5 17 26 3 2" xfId="36543" xr:uid="{00000000-0005-0000-0000-0000BF8E0000}"/>
    <cellStyle name="Normal 5 17 26 3 3" xfId="36544" xr:uid="{00000000-0005-0000-0000-0000C08E0000}"/>
    <cellStyle name="Normal 5 17 26 3 4" xfId="36545" xr:uid="{00000000-0005-0000-0000-0000C18E0000}"/>
    <cellStyle name="Normal 5 17 26 3 5" xfId="36546" xr:uid="{00000000-0005-0000-0000-0000C28E0000}"/>
    <cellStyle name="Normal 5 17 26 3 6" xfId="36547" xr:uid="{00000000-0005-0000-0000-0000C38E0000}"/>
    <cellStyle name="Normal 5 17 26 3 7" xfId="36548" xr:uid="{00000000-0005-0000-0000-0000C48E0000}"/>
    <cellStyle name="Normal 5 17 26 3 8" xfId="36549" xr:uid="{00000000-0005-0000-0000-0000C58E0000}"/>
    <cellStyle name="Normal 5 17 26 3 9" xfId="36550" xr:uid="{00000000-0005-0000-0000-0000C68E0000}"/>
    <cellStyle name="Normal 5 17 26 4" xfId="36551" xr:uid="{00000000-0005-0000-0000-0000C78E0000}"/>
    <cellStyle name="Normal 5 17 26 4 10" xfId="36552" xr:uid="{00000000-0005-0000-0000-0000C88E0000}"/>
    <cellStyle name="Normal 5 17 26 4 2" xfId="36553" xr:uid="{00000000-0005-0000-0000-0000C98E0000}"/>
    <cellStyle name="Normal 5 17 26 4 3" xfId="36554" xr:uid="{00000000-0005-0000-0000-0000CA8E0000}"/>
    <cellStyle name="Normal 5 17 26 4 4" xfId="36555" xr:uid="{00000000-0005-0000-0000-0000CB8E0000}"/>
    <cellStyle name="Normal 5 17 26 4 5" xfId="36556" xr:uid="{00000000-0005-0000-0000-0000CC8E0000}"/>
    <cellStyle name="Normal 5 17 26 4 6" xfId="36557" xr:uid="{00000000-0005-0000-0000-0000CD8E0000}"/>
    <cellStyle name="Normal 5 17 26 4 7" xfId="36558" xr:uid="{00000000-0005-0000-0000-0000CE8E0000}"/>
    <cellStyle name="Normal 5 17 26 4 8" xfId="36559" xr:uid="{00000000-0005-0000-0000-0000CF8E0000}"/>
    <cellStyle name="Normal 5 17 26 4 9" xfId="36560" xr:uid="{00000000-0005-0000-0000-0000D08E0000}"/>
    <cellStyle name="Normal 5 17 26 5" xfId="36561" xr:uid="{00000000-0005-0000-0000-0000D18E0000}"/>
    <cellStyle name="Normal 5 17 26 5 10" xfId="36562" xr:uid="{00000000-0005-0000-0000-0000D28E0000}"/>
    <cellStyle name="Normal 5 17 26 5 2" xfId="36563" xr:uid="{00000000-0005-0000-0000-0000D38E0000}"/>
    <cellStyle name="Normal 5 17 26 5 3" xfId="36564" xr:uid="{00000000-0005-0000-0000-0000D48E0000}"/>
    <cellStyle name="Normal 5 17 26 5 4" xfId="36565" xr:uid="{00000000-0005-0000-0000-0000D58E0000}"/>
    <cellStyle name="Normal 5 17 26 5 5" xfId="36566" xr:uid="{00000000-0005-0000-0000-0000D68E0000}"/>
    <cellStyle name="Normal 5 17 26 5 6" xfId="36567" xr:uid="{00000000-0005-0000-0000-0000D78E0000}"/>
    <cellStyle name="Normal 5 17 26 5 7" xfId="36568" xr:uid="{00000000-0005-0000-0000-0000D88E0000}"/>
    <cellStyle name="Normal 5 17 26 5 8" xfId="36569" xr:uid="{00000000-0005-0000-0000-0000D98E0000}"/>
    <cellStyle name="Normal 5 17 26 5 9" xfId="36570" xr:uid="{00000000-0005-0000-0000-0000DA8E0000}"/>
    <cellStyle name="Normal 5 17 26 6" xfId="36571" xr:uid="{00000000-0005-0000-0000-0000DB8E0000}"/>
    <cellStyle name="Normal 5 17 26 7" xfId="36572" xr:uid="{00000000-0005-0000-0000-0000DC8E0000}"/>
    <cellStyle name="Normal 5 17 26 8" xfId="36573" xr:uid="{00000000-0005-0000-0000-0000DD8E0000}"/>
    <cellStyle name="Normal 5 17 26 9" xfId="36574" xr:uid="{00000000-0005-0000-0000-0000DE8E0000}"/>
    <cellStyle name="Normal 5 17 27" xfId="36575" xr:uid="{00000000-0005-0000-0000-0000DF8E0000}"/>
    <cellStyle name="Normal 5 17 27 10" xfId="36576" xr:uid="{00000000-0005-0000-0000-0000E08E0000}"/>
    <cellStyle name="Normal 5 17 27 11" xfId="36577" xr:uid="{00000000-0005-0000-0000-0000E18E0000}"/>
    <cellStyle name="Normal 5 17 27 12" xfId="36578" xr:uid="{00000000-0005-0000-0000-0000E28E0000}"/>
    <cellStyle name="Normal 5 17 27 13" xfId="36579" xr:uid="{00000000-0005-0000-0000-0000E38E0000}"/>
    <cellStyle name="Normal 5 17 27 14" xfId="36580" xr:uid="{00000000-0005-0000-0000-0000E48E0000}"/>
    <cellStyle name="Normal 5 17 27 2" xfId="36581" xr:uid="{00000000-0005-0000-0000-0000E58E0000}"/>
    <cellStyle name="Normal 5 17 27 2 10" xfId="36582" xr:uid="{00000000-0005-0000-0000-0000E68E0000}"/>
    <cellStyle name="Normal 5 17 27 2 2" xfId="36583" xr:uid="{00000000-0005-0000-0000-0000E78E0000}"/>
    <cellStyle name="Normal 5 17 27 2 3" xfId="36584" xr:uid="{00000000-0005-0000-0000-0000E88E0000}"/>
    <cellStyle name="Normal 5 17 27 2 4" xfId="36585" xr:uid="{00000000-0005-0000-0000-0000E98E0000}"/>
    <cellStyle name="Normal 5 17 27 2 5" xfId="36586" xr:uid="{00000000-0005-0000-0000-0000EA8E0000}"/>
    <cellStyle name="Normal 5 17 27 2 6" xfId="36587" xr:uid="{00000000-0005-0000-0000-0000EB8E0000}"/>
    <cellStyle name="Normal 5 17 27 2 7" xfId="36588" xr:uid="{00000000-0005-0000-0000-0000EC8E0000}"/>
    <cellStyle name="Normal 5 17 27 2 8" xfId="36589" xr:uid="{00000000-0005-0000-0000-0000ED8E0000}"/>
    <cellStyle name="Normal 5 17 27 2 9" xfId="36590" xr:uid="{00000000-0005-0000-0000-0000EE8E0000}"/>
    <cellStyle name="Normal 5 17 27 3" xfId="36591" xr:uid="{00000000-0005-0000-0000-0000EF8E0000}"/>
    <cellStyle name="Normal 5 17 27 3 10" xfId="36592" xr:uid="{00000000-0005-0000-0000-0000F08E0000}"/>
    <cellStyle name="Normal 5 17 27 3 2" xfId="36593" xr:uid="{00000000-0005-0000-0000-0000F18E0000}"/>
    <cellStyle name="Normal 5 17 27 3 3" xfId="36594" xr:uid="{00000000-0005-0000-0000-0000F28E0000}"/>
    <cellStyle name="Normal 5 17 27 3 4" xfId="36595" xr:uid="{00000000-0005-0000-0000-0000F38E0000}"/>
    <cellStyle name="Normal 5 17 27 3 5" xfId="36596" xr:uid="{00000000-0005-0000-0000-0000F48E0000}"/>
    <cellStyle name="Normal 5 17 27 3 6" xfId="36597" xr:uid="{00000000-0005-0000-0000-0000F58E0000}"/>
    <cellStyle name="Normal 5 17 27 3 7" xfId="36598" xr:uid="{00000000-0005-0000-0000-0000F68E0000}"/>
    <cellStyle name="Normal 5 17 27 3 8" xfId="36599" xr:uid="{00000000-0005-0000-0000-0000F78E0000}"/>
    <cellStyle name="Normal 5 17 27 3 9" xfId="36600" xr:uid="{00000000-0005-0000-0000-0000F88E0000}"/>
    <cellStyle name="Normal 5 17 27 4" xfId="36601" xr:uid="{00000000-0005-0000-0000-0000F98E0000}"/>
    <cellStyle name="Normal 5 17 27 4 10" xfId="36602" xr:uid="{00000000-0005-0000-0000-0000FA8E0000}"/>
    <cellStyle name="Normal 5 17 27 4 2" xfId="36603" xr:uid="{00000000-0005-0000-0000-0000FB8E0000}"/>
    <cellStyle name="Normal 5 17 27 4 3" xfId="36604" xr:uid="{00000000-0005-0000-0000-0000FC8E0000}"/>
    <cellStyle name="Normal 5 17 27 4 4" xfId="36605" xr:uid="{00000000-0005-0000-0000-0000FD8E0000}"/>
    <cellStyle name="Normal 5 17 27 4 5" xfId="36606" xr:uid="{00000000-0005-0000-0000-0000FE8E0000}"/>
    <cellStyle name="Normal 5 17 27 4 6" xfId="36607" xr:uid="{00000000-0005-0000-0000-0000FF8E0000}"/>
    <cellStyle name="Normal 5 17 27 4 7" xfId="36608" xr:uid="{00000000-0005-0000-0000-0000008F0000}"/>
    <cellStyle name="Normal 5 17 27 4 8" xfId="36609" xr:uid="{00000000-0005-0000-0000-0000018F0000}"/>
    <cellStyle name="Normal 5 17 27 4 9" xfId="36610" xr:uid="{00000000-0005-0000-0000-0000028F0000}"/>
    <cellStyle name="Normal 5 17 27 5" xfId="36611" xr:uid="{00000000-0005-0000-0000-0000038F0000}"/>
    <cellStyle name="Normal 5 17 27 5 10" xfId="36612" xr:uid="{00000000-0005-0000-0000-0000048F0000}"/>
    <cellStyle name="Normal 5 17 27 5 2" xfId="36613" xr:uid="{00000000-0005-0000-0000-0000058F0000}"/>
    <cellStyle name="Normal 5 17 27 5 3" xfId="36614" xr:uid="{00000000-0005-0000-0000-0000068F0000}"/>
    <cellStyle name="Normal 5 17 27 5 4" xfId="36615" xr:uid="{00000000-0005-0000-0000-0000078F0000}"/>
    <cellStyle name="Normal 5 17 27 5 5" xfId="36616" xr:uid="{00000000-0005-0000-0000-0000088F0000}"/>
    <cellStyle name="Normal 5 17 27 5 6" xfId="36617" xr:uid="{00000000-0005-0000-0000-0000098F0000}"/>
    <cellStyle name="Normal 5 17 27 5 7" xfId="36618" xr:uid="{00000000-0005-0000-0000-00000A8F0000}"/>
    <cellStyle name="Normal 5 17 27 5 8" xfId="36619" xr:uid="{00000000-0005-0000-0000-00000B8F0000}"/>
    <cellStyle name="Normal 5 17 27 5 9" xfId="36620" xr:uid="{00000000-0005-0000-0000-00000C8F0000}"/>
    <cellStyle name="Normal 5 17 27 6" xfId="36621" xr:uid="{00000000-0005-0000-0000-00000D8F0000}"/>
    <cellStyle name="Normal 5 17 27 7" xfId="36622" xr:uid="{00000000-0005-0000-0000-00000E8F0000}"/>
    <cellStyle name="Normal 5 17 27 8" xfId="36623" xr:uid="{00000000-0005-0000-0000-00000F8F0000}"/>
    <cellStyle name="Normal 5 17 27 9" xfId="36624" xr:uid="{00000000-0005-0000-0000-0000108F0000}"/>
    <cellStyle name="Normal 5 17 28" xfId="36625" xr:uid="{00000000-0005-0000-0000-0000118F0000}"/>
    <cellStyle name="Normal 5 17 28 10" xfId="36626" xr:uid="{00000000-0005-0000-0000-0000128F0000}"/>
    <cellStyle name="Normal 5 17 28 11" xfId="36627" xr:uid="{00000000-0005-0000-0000-0000138F0000}"/>
    <cellStyle name="Normal 5 17 28 12" xfId="36628" xr:uid="{00000000-0005-0000-0000-0000148F0000}"/>
    <cellStyle name="Normal 5 17 28 13" xfId="36629" xr:uid="{00000000-0005-0000-0000-0000158F0000}"/>
    <cellStyle name="Normal 5 17 28 14" xfId="36630" xr:uid="{00000000-0005-0000-0000-0000168F0000}"/>
    <cellStyle name="Normal 5 17 28 2" xfId="36631" xr:uid="{00000000-0005-0000-0000-0000178F0000}"/>
    <cellStyle name="Normal 5 17 28 2 10" xfId="36632" xr:uid="{00000000-0005-0000-0000-0000188F0000}"/>
    <cellStyle name="Normal 5 17 28 2 2" xfId="36633" xr:uid="{00000000-0005-0000-0000-0000198F0000}"/>
    <cellStyle name="Normal 5 17 28 2 3" xfId="36634" xr:uid="{00000000-0005-0000-0000-00001A8F0000}"/>
    <cellStyle name="Normal 5 17 28 2 4" xfId="36635" xr:uid="{00000000-0005-0000-0000-00001B8F0000}"/>
    <cellStyle name="Normal 5 17 28 2 5" xfId="36636" xr:uid="{00000000-0005-0000-0000-00001C8F0000}"/>
    <cellStyle name="Normal 5 17 28 2 6" xfId="36637" xr:uid="{00000000-0005-0000-0000-00001D8F0000}"/>
    <cellStyle name="Normal 5 17 28 2 7" xfId="36638" xr:uid="{00000000-0005-0000-0000-00001E8F0000}"/>
    <cellStyle name="Normal 5 17 28 2 8" xfId="36639" xr:uid="{00000000-0005-0000-0000-00001F8F0000}"/>
    <cellStyle name="Normal 5 17 28 2 9" xfId="36640" xr:uid="{00000000-0005-0000-0000-0000208F0000}"/>
    <cellStyle name="Normal 5 17 28 3" xfId="36641" xr:uid="{00000000-0005-0000-0000-0000218F0000}"/>
    <cellStyle name="Normal 5 17 28 3 10" xfId="36642" xr:uid="{00000000-0005-0000-0000-0000228F0000}"/>
    <cellStyle name="Normal 5 17 28 3 2" xfId="36643" xr:uid="{00000000-0005-0000-0000-0000238F0000}"/>
    <cellStyle name="Normal 5 17 28 3 3" xfId="36644" xr:uid="{00000000-0005-0000-0000-0000248F0000}"/>
    <cellStyle name="Normal 5 17 28 3 4" xfId="36645" xr:uid="{00000000-0005-0000-0000-0000258F0000}"/>
    <cellStyle name="Normal 5 17 28 3 5" xfId="36646" xr:uid="{00000000-0005-0000-0000-0000268F0000}"/>
    <cellStyle name="Normal 5 17 28 3 6" xfId="36647" xr:uid="{00000000-0005-0000-0000-0000278F0000}"/>
    <cellStyle name="Normal 5 17 28 3 7" xfId="36648" xr:uid="{00000000-0005-0000-0000-0000288F0000}"/>
    <cellStyle name="Normal 5 17 28 3 8" xfId="36649" xr:uid="{00000000-0005-0000-0000-0000298F0000}"/>
    <cellStyle name="Normal 5 17 28 3 9" xfId="36650" xr:uid="{00000000-0005-0000-0000-00002A8F0000}"/>
    <cellStyle name="Normal 5 17 28 4" xfId="36651" xr:uid="{00000000-0005-0000-0000-00002B8F0000}"/>
    <cellStyle name="Normal 5 17 28 4 10" xfId="36652" xr:uid="{00000000-0005-0000-0000-00002C8F0000}"/>
    <cellStyle name="Normal 5 17 28 4 2" xfId="36653" xr:uid="{00000000-0005-0000-0000-00002D8F0000}"/>
    <cellStyle name="Normal 5 17 28 4 3" xfId="36654" xr:uid="{00000000-0005-0000-0000-00002E8F0000}"/>
    <cellStyle name="Normal 5 17 28 4 4" xfId="36655" xr:uid="{00000000-0005-0000-0000-00002F8F0000}"/>
    <cellStyle name="Normal 5 17 28 4 5" xfId="36656" xr:uid="{00000000-0005-0000-0000-0000308F0000}"/>
    <cellStyle name="Normal 5 17 28 4 6" xfId="36657" xr:uid="{00000000-0005-0000-0000-0000318F0000}"/>
    <cellStyle name="Normal 5 17 28 4 7" xfId="36658" xr:uid="{00000000-0005-0000-0000-0000328F0000}"/>
    <cellStyle name="Normal 5 17 28 4 8" xfId="36659" xr:uid="{00000000-0005-0000-0000-0000338F0000}"/>
    <cellStyle name="Normal 5 17 28 4 9" xfId="36660" xr:uid="{00000000-0005-0000-0000-0000348F0000}"/>
    <cellStyle name="Normal 5 17 28 5" xfId="36661" xr:uid="{00000000-0005-0000-0000-0000358F0000}"/>
    <cellStyle name="Normal 5 17 28 5 10" xfId="36662" xr:uid="{00000000-0005-0000-0000-0000368F0000}"/>
    <cellStyle name="Normal 5 17 28 5 2" xfId="36663" xr:uid="{00000000-0005-0000-0000-0000378F0000}"/>
    <cellStyle name="Normal 5 17 28 5 3" xfId="36664" xr:uid="{00000000-0005-0000-0000-0000388F0000}"/>
    <cellStyle name="Normal 5 17 28 5 4" xfId="36665" xr:uid="{00000000-0005-0000-0000-0000398F0000}"/>
    <cellStyle name="Normal 5 17 28 5 5" xfId="36666" xr:uid="{00000000-0005-0000-0000-00003A8F0000}"/>
    <cellStyle name="Normal 5 17 28 5 6" xfId="36667" xr:uid="{00000000-0005-0000-0000-00003B8F0000}"/>
    <cellStyle name="Normal 5 17 28 5 7" xfId="36668" xr:uid="{00000000-0005-0000-0000-00003C8F0000}"/>
    <cellStyle name="Normal 5 17 28 5 8" xfId="36669" xr:uid="{00000000-0005-0000-0000-00003D8F0000}"/>
    <cellStyle name="Normal 5 17 28 5 9" xfId="36670" xr:uid="{00000000-0005-0000-0000-00003E8F0000}"/>
    <cellStyle name="Normal 5 17 28 6" xfId="36671" xr:uid="{00000000-0005-0000-0000-00003F8F0000}"/>
    <cellStyle name="Normal 5 17 28 7" xfId="36672" xr:uid="{00000000-0005-0000-0000-0000408F0000}"/>
    <cellStyle name="Normal 5 17 28 8" xfId="36673" xr:uid="{00000000-0005-0000-0000-0000418F0000}"/>
    <cellStyle name="Normal 5 17 28 9" xfId="36674" xr:uid="{00000000-0005-0000-0000-0000428F0000}"/>
    <cellStyle name="Normal 5 17 29" xfId="36675" xr:uid="{00000000-0005-0000-0000-0000438F0000}"/>
    <cellStyle name="Normal 5 17 29 10" xfId="36676" xr:uid="{00000000-0005-0000-0000-0000448F0000}"/>
    <cellStyle name="Normal 5 17 29 11" xfId="36677" xr:uid="{00000000-0005-0000-0000-0000458F0000}"/>
    <cellStyle name="Normal 5 17 29 12" xfId="36678" xr:uid="{00000000-0005-0000-0000-0000468F0000}"/>
    <cellStyle name="Normal 5 17 29 13" xfId="36679" xr:uid="{00000000-0005-0000-0000-0000478F0000}"/>
    <cellStyle name="Normal 5 17 29 14" xfId="36680" xr:uid="{00000000-0005-0000-0000-0000488F0000}"/>
    <cellStyle name="Normal 5 17 29 2" xfId="36681" xr:uid="{00000000-0005-0000-0000-0000498F0000}"/>
    <cellStyle name="Normal 5 17 29 2 10" xfId="36682" xr:uid="{00000000-0005-0000-0000-00004A8F0000}"/>
    <cellStyle name="Normal 5 17 29 2 2" xfId="36683" xr:uid="{00000000-0005-0000-0000-00004B8F0000}"/>
    <cellStyle name="Normal 5 17 29 2 3" xfId="36684" xr:uid="{00000000-0005-0000-0000-00004C8F0000}"/>
    <cellStyle name="Normal 5 17 29 2 4" xfId="36685" xr:uid="{00000000-0005-0000-0000-00004D8F0000}"/>
    <cellStyle name="Normal 5 17 29 2 5" xfId="36686" xr:uid="{00000000-0005-0000-0000-00004E8F0000}"/>
    <cellStyle name="Normal 5 17 29 2 6" xfId="36687" xr:uid="{00000000-0005-0000-0000-00004F8F0000}"/>
    <cellStyle name="Normal 5 17 29 2 7" xfId="36688" xr:uid="{00000000-0005-0000-0000-0000508F0000}"/>
    <cellStyle name="Normal 5 17 29 2 8" xfId="36689" xr:uid="{00000000-0005-0000-0000-0000518F0000}"/>
    <cellStyle name="Normal 5 17 29 2 9" xfId="36690" xr:uid="{00000000-0005-0000-0000-0000528F0000}"/>
    <cellStyle name="Normal 5 17 29 3" xfId="36691" xr:uid="{00000000-0005-0000-0000-0000538F0000}"/>
    <cellStyle name="Normal 5 17 29 3 10" xfId="36692" xr:uid="{00000000-0005-0000-0000-0000548F0000}"/>
    <cellStyle name="Normal 5 17 29 3 2" xfId="36693" xr:uid="{00000000-0005-0000-0000-0000558F0000}"/>
    <cellStyle name="Normal 5 17 29 3 3" xfId="36694" xr:uid="{00000000-0005-0000-0000-0000568F0000}"/>
    <cellStyle name="Normal 5 17 29 3 4" xfId="36695" xr:uid="{00000000-0005-0000-0000-0000578F0000}"/>
    <cellStyle name="Normal 5 17 29 3 5" xfId="36696" xr:uid="{00000000-0005-0000-0000-0000588F0000}"/>
    <cellStyle name="Normal 5 17 29 3 6" xfId="36697" xr:uid="{00000000-0005-0000-0000-0000598F0000}"/>
    <cellStyle name="Normal 5 17 29 3 7" xfId="36698" xr:uid="{00000000-0005-0000-0000-00005A8F0000}"/>
    <cellStyle name="Normal 5 17 29 3 8" xfId="36699" xr:uid="{00000000-0005-0000-0000-00005B8F0000}"/>
    <cellStyle name="Normal 5 17 29 3 9" xfId="36700" xr:uid="{00000000-0005-0000-0000-00005C8F0000}"/>
    <cellStyle name="Normal 5 17 29 4" xfId="36701" xr:uid="{00000000-0005-0000-0000-00005D8F0000}"/>
    <cellStyle name="Normal 5 17 29 4 10" xfId="36702" xr:uid="{00000000-0005-0000-0000-00005E8F0000}"/>
    <cellStyle name="Normal 5 17 29 4 2" xfId="36703" xr:uid="{00000000-0005-0000-0000-00005F8F0000}"/>
    <cellStyle name="Normal 5 17 29 4 3" xfId="36704" xr:uid="{00000000-0005-0000-0000-0000608F0000}"/>
    <cellStyle name="Normal 5 17 29 4 4" xfId="36705" xr:uid="{00000000-0005-0000-0000-0000618F0000}"/>
    <cellStyle name="Normal 5 17 29 4 5" xfId="36706" xr:uid="{00000000-0005-0000-0000-0000628F0000}"/>
    <cellStyle name="Normal 5 17 29 4 6" xfId="36707" xr:uid="{00000000-0005-0000-0000-0000638F0000}"/>
    <cellStyle name="Normal 5 17 29 4 7" xfId="36708" xr:uid="{00000000-0005-0000-0000-0000648F0000}"/>
    <cellStyle name="Normal 5 17 29 4 8" xfId="36709" xr:uid="{00000000-0005-0000-0000-0000658F0000}"/>
    <cellStyle name="Normal 5 17 29 4 9" xfId="36710" xr:uid="{00000000-0005-0000-0000-0000668F0000}"/>
    <cellStyle name="Normal 5 17 29 5" xfId="36711" xr:uid="{00000000-0005-0000-0000-0000678F0000}"/>
    <cellStyle name="Normal 5 17 29 5 10" xfId="36712" xr:uid="{00000000-0005-0000-0000-0000688F0000}"/>
    <cellStyle name="Normal 5 17 29 5 2" xfId="36713" xr:uid="{00000000-0005-0000-0000-0000698F0000}"/>
    <cellStyle name="Normal 5 17 29 5 3" xfId="36714" xr:uid="{00000000-0005-0000-0000-00006A8F0000}"/>
    <cellStyle name="Normal 5 17 29 5 4" xfId="36715" xr:uid="{00000000-0005-0000-0000-00006B8F0000}"/>
    <cellStyle name="Normal 5 17 29 5 5" xfId="36716" xr:uid="{00000000-0005-0000-0000-00006C8F0000}"/>
    <cellStyle name="Normal 5 17 29 5 6" xfId="36717" xr:uid="{00000000-0005-0000-0000-00006D8F0000}"/>
    <cellStyle name="Normal 5 17 29 5 7" xfId="36718" xr:uid="{00000000-0005-0000-0000-00006E8F0000}"/>
    <cellStyle name="Normal 5 17 29 5 8" xfId="36719" xr:uid="{00000000-0005-0000-0000-00006F8F0000}"/>
    <cellStyle name="Normal 5 17 29 5 9" xfId="36720" xr:uid="{00000000-0005-0000-0000-0000708F0000}"/>
    <cellStyle name="Normal 5 17 29 6" xfId="36721" xr:uid="{00000000-0005-0000-0000-0000718F0000}"/>
    <cellStyle name="Normal 5 17 29 7" xfId="36722" xr:uid="{00000000-0005-0000-0000-0000728F0000}"/>
    <cellStyle name="Normal 5 17 29 8" xfId="36723" xr:uid="{00000000-0005-0000-0000-0000738F0000}"/>
    <cellStyle name="Normal 5 17 29 9" xfId="36724" xr:uid="{00000000-0005-0000-0000-0000748F0000}"/>
    <cellStyle name="Normal 5 17 3" xfId="36725" xr:uid="{00000000-0005-0000-0000-0000758F0000}"/>
    <cellStyle name="Normal 5 17 3 10" xfId="36726" xr:uid="{00000000-0005-0000-0000-0000768F0000}"/>
    <cellStyle name="Normal 5 17 3 11" xfId="36727" xr:uid="{00000000-0005-0000-0000-0000778F0000}"/>
    <cellStyle name="Normal 5 17 3 12" xfId="36728" xr:uid="{00000000-0005-0000-0000-0000788F0000}"/>
    <cellStyle name="Normal 5 17 3 13" xfId="36729" xr:uid="{00000000-0005-0000-0000-0000798F0000}"/>
    <cellStyle name="Normal 5 17 3 14" xfId="36730" xr:uid="{00000000-0005-0000-0000-00007A8F0000}"/>
    <cellStyle name="Normal 5 17 3 2" xfId="36731" xr:uid="{00000000-0005-0000-0000-00007B8F0000}"/>
    <cellStyle name="Normal 5 17 3 2 10" xfId="36732" xr:uid="{00000000-0005-0000-0000-00007C8F0000}"/>
    <cellStyle name="Normal 5 17 3 2 2" xfId="36733" xr:uid="{00000000-0005-0000-0000-00007D8F0000}"/>
    <cellStyle name="Normal 5 17 3 2 3" xfId="36734" xr:uid="{00000000-0005-0000-0000-00007E8F0000}"/>
    <cellStyle name="Normal 5 17 3 2 4" xfId="36735" xr:uid="{00000000-0005-0000-0000-00007F8F0000}"/>
    <cellStyle name="Normal 5 17 3 2 5" xfId="36736" xr:uid="{00000000-0005-0000-0000-0000808F0000}"/>
    <cellStyle name="Normal 5 17 3 2 6" xfId="36737" xr:uid="{00000000-0005-0000-0000-0000818F0000}"/>
    <cellStyle name="Normal 5 17 3 2 7" xfId="36738" xr:uid="{00000000-0005-0000-0000-0000828F0000}"/>
    <cellStyle name="Normal 5 17 3 2 8" xfId="36739" xr:uid="{00000000-0005-0000-0000-0000838F0000}"/>
    <cellStyle name="Normal 5 17 3 2 9" xfId="36740" xr:uid="{00000000-0005-0000-0000-0000848F0000}"/>
    <cellStyle name="Normal 5 17 3 3" xfId="36741" xr:uid="{00000000-0005-0000-0000-0000858F0000}"/>
    <cellStyle name="Normal 5 17 3 3 10" xfId="36742" xr:uid="{00000000-0005-0000-0000-0000868F0000}"/>
    <cellStyle name="Normal 5 17 3 3 2" xfId="36743" xr:uid="{00000000-0005-0000-0000-0000878F0000}"/>
    <cellStyle name="Normal 5 17 3 3 3" xfId="36744" xr:uid="{00000000-0005-0000-0000-0000888F0000}"/>
    <cellStyle name="Normal 5 17 3 3 4" xfId="36745" xr:uid="{00000000-0005-0000-0000-0000898F0000}"/>
    <cellStyle name="Normal 5 17 3 3 5" xfId="36746" xr:uid="{00000000-0005-0000-0000-00008A8F0000}"/>
    <cellStyle name="Normal 5 17 3 3 6" xfId="36747" xr:uid="{00000000-0005-0000-0000-00008B8F0000}"/>
    <cellStyle name="Normal 5 17 3 3 7" xfId="36748" xr:uid="{00000000-0005-0000-0000-00008C8F0000}"/>
    <cellStyle name="Normal 5 17 3 3 8" xfId="36749" xr:uid="{00000000-0005-0000-0000-00008D8F0000}"/>
    <cellStyle name="Normal 5 17 3 3 9" xfId="36750" xr:uid="{00000000-0005-0000-0000-00008E8F0000}"/>
    <cellStyle name="Normal 5 17 3 4" xfId="36751" xr:uid="{00000000-0005-0000-0000-00008F8F0000}"/>
    <cellStyle name="Normal 5 17 3 4 10" xfId="36752" xr:uid="{00000000-0005-0000-0000-0000908F0000}"/>
    <cellStyle name="Normal 5 17 3 4 2" xfId="36753" xr:uid="{00000000-0005-0000-0000-0000918F0000}"/>
    <cellStyle name="Normal 5 17 3 4 3" xfId="36754" xr:uid="{00000000-0005-0000-0000-0000928F0000}"/>
    <cellStyle name="Normal 5 17 3 4 4" xfId="36755" xr:uid="{00000000-0005-0000-0000-0000938F0000}"/>
    <cellStyle name="Normal 5 17 3 4 5" xfId="36756" xr:uid="{00000000-0005-0000-0000-0000948F0000}"/>
    <cellStyle name="Normal 5 17 3 4 6" xfId="36757" xr:uid="{00000000-0005-0000-0000-0000958F0000}"/>
    <cellStyle name="Normal 5 17 3 4 7" xfId="36758" xr:uid="{00000000-0005-0000-0000-0000968F0000}"/>
    <cellStyle name="Normal 5 17 3 4 8" xfId="36759" xr:uid="{00000000-0005-0000-0000-0000978F0000}"/>
    <cellStyle name="Normal 5 17 3 4 9" xfId="36760" xr:uid="{00000000-0005-0000-0000-0000988F0000}"/>
    <cellStyle name="Normal 5 17 3 5" xfId="36761" xr:uid="{00000000-0005-0000-0000-0000998F0000}"/>
    <cellStyle name="Normal 5 17 3 5 10" xfId="36762" xr:uid="{00000000-0005-0000-0000-00009A8F0000}"/>
    <cellStyle name="Normal 5 17 3 5 2" xfId="36763" xr:uid="{00000000-0005-0000-0000-00009B8F0000}"/>
    <cellStyle name="Normal 5 17 3 5 3" xfId="36764" xr:uid="{00000000-0005-0000-0000-00009C8F0000}"/>
    <cellStyle name="Normal 5 17 3 5 4" xfId="36765" xr:uid="{00000000-0005-0000-0000-00009D8F0000}"/>
    <cellStyle name="Normal 5 17 3 5 5" xfId="36766" xr:uid="{00000000-0005-0000-0000-00009E8F0000}"/>
    <cellStyle name="Normal 5 17 3 5 6" xfId="36767" xr:uid="{00000000-0005-0000-0000-00009F8F0000}"/>
    <cellStyle name="Normal 5 17 3 5 7" xfId="36768" xr:uid="{00000000-0005-0000-0000-0000A08F0000}"/>
    <cellStyle name="Normal 5 17 3 5 8" xfId="36769" xr:uid="{00000000-0005-0000-0000-0000A18F0000}"/>
    <cellStyle name="Normal 5 17 3 5 9" xfId="36770" xr:uid="{00000000-0005-0000-0000-0000A28F0000}"/>
    <cellStyle name="Normal 5 17 3 6" xfId="36771" xr:uid="{00000000-0005-0000-0000-0000A38F0000}"/>
    <cellStyle name="Normal 5 17 3 7" xfId="36772" xr:uid="{00000000-0005-0000-0000-0000A48F0000}"/>
    <cellStyle name="Normal 5 17 3 8" xfId="36773" xr:uid="{00000000-0005-0000-0000-0000A58F0000}"/>
    <cellStyle name="Normal 5 17 3 9" xfId="36774" xr:uid="{00000000-0005-0000-0000-0000A68F0000}"/>
    <cellStyle name="Normal 5 17 30" xfId="36775" xr:uid="{00000000-0005-0000-0000-0000A78F0000}"/>
    <cellStyle name="Normal 5 17 30 10" xfId="36776" xr:uid="{00000000-0005-0000-0000-0000A88F0000}"/>
    <cellStyle name="Normal 5 17 30 11" xfId="36777" xr:uid="{00000000-0005-0000-0000-0000A98F0000}"/>
    <cellStyle name="Normal 5 17 30 12" xfId="36778" xr:uid="{00000000-0005-0000-0000-0000AA8F0000}"/>
    <cellStyle name="Normal 5 17 30 13" xfId="36779" xr:uid="{00000000-0005-0000-0000-0000AB8F0000}"/>
    <cellStyle name="Normal 5 17 30 14" xfId="36780" xr:uid="{00000000-0005-0000-0000-0000AC8F0000}"/>
    <cellStyle name="Normal 5 17 30 2" xfId="36781" xr:uid="{00000000-0005-0000-0000-0000AD8F0000}"/>
    <cellStyle name="Normal 5 17 30 2 10" xfId="36782" xr:uid="{00000000-0005-0000-0000-0000AE8F0000}"/>
    <cellStyle name="Normal 5 17 30 2 2" xfId="36783" xr:uid="{00000000-0005-0000-0000-0000AF8F0000}"/>
    <cellStyle name="Normal 5 17 30 2 3" xfId="36784" xr:uid="{00000000-0005-0000-0000-0000B08F0000}"/>
    <cellStyle name="Normal 5 17 30 2 4" xfId="36785" xr:uid="{00000000-0005-0000-0000-0000B18F0000}"/>
    <cellStyle name="Normal 5 17 30 2 5" xfId="36786" xr:uid="{00000000-0005-0000-0000-0000B28F0000}"/>
    <cellStyle name="Normal 5 17 30 2 6" xfId="36787" xr:uid="{00000000-0005-0000-0000-0000B38F0000}"/>
    <cellStyle name="Normal 5 17 30 2 7" xfId="36788" xr:uid="{00000000-0005-0000-0000-0000B48F0000}"/>
    <cellStyle name="Normal 5 17 30 2 8" xfId="36789" xr:uid="{00000000-0005-0000-0000-0000B58F0000}"/>
    <cellStyle name="Normal 5 17 30 2 9" xfId="36790" xr:uid="{00000000-0005-0000-0000-0000B68F0000}"/>
    <cellStyle name="Normal 5 17 30 3" xfId="36791" xr:uid="{00000000-0005-0000-0000-0000B78F0000}"/>
    <cellStyle name="Normal 5 17 30 3 10" xfId="36792" xr:uid="{00000000-0005-0000-0000-0000B88F0000}"/>
    <cellStyle name="Normal 5 17 30 3 2" xfId="36793" xr:uid="{00000000-0005-0000-0000-0000B98F0000}"/>
    <cellStyle name="Normal 5 17 30 3 3" xfId="36794" xr:uid="{00000000-0005-0000-0000-0000BA8F0000}"/>
    <cellStyle name="Normal 5 17 30 3 4" xfId="36795" xr:uid="{00000000-0005-0000-0000-0000BB8F0000}"/>
    <cellStyle name="Normal 5 17 30 3 5" xfId="36796" xr:uid="{00000000-0005-0000-0000-0000BC8F0000}"/>
    <cellStyle name="Normal 5 17 30 3 6" xfId="36797" xr:uid="{00000000-0005-0000-0000-0000BD8F0000}"/>
    <cellStyle name="Normal 5 17 30 3 7" xfId="36798" xr:uid="{00000000-0005-0000-0000-0000BE8F0000}"/>
    <cellStyle name="Normal 5 17 30 3 8" xfId="36799" xr:uid="{00000000-0005-0000-0000-0000BF8F0000}"/>
    <cellStyle name="Normal 5 17 30 3 9" xfId="36800" xr:uid="{00000000-0005-0000-0000-0000C08F0000}"/>
    <cellStyle name="Normal 5 17 30 4" xfId="36801" xr:uid="{00000000-0005-0000-0000-0000C18F0000}"/>
    <cellStyle name="Normal 5 17 30 4 10" xfId="36802" xr:uid="{00000000-0005-0000-0000-0000C28F0000}"/>
    <cellStyle name="Normal 5 17 30 4 2" xfId="36803" xr:uid="{00000000-0005-0000-0000-0000C38F0000}"/>
    <cellStyle name="Normal 5 17 30 4 3" xfId="36804" xr:uid="{00000000-0005-0000-0000-0000C48F0000}"/>
    <cellStyle name="Normal 5 17 30 4 4" xfId="36805" xr:uid="{00000000-0005-0000-0000-0000C58F0000}"/>
    <cellStyle name="Normal 5 17 30 4 5" xfId="36806" xr:uid="{00000000-0005-0000-0000-0000C68F0000}"/>
    <cellStyle name="Normal 5 17 30 4 6" xfId="36807" xr:uid="{00000000-0005-0000-0000-0000C78F0000}"/>
    <cellStyle name="Normal 5 17 30 4 7" xfId="36808" xr:uid="{00000000-0005-0000-0000-0000C88F0000}"/>
    <cellStyle name="Normal 5 17 30 4 8" xfId="36809" xr:uid="{00000000-0005-0000-0000-0000C98F0000}"/>
    <cellStyle name="Normal 5 17 30 4 9" xfId="36810" xr:uid="{00000000-0005-0000-0000-0000CA8F0000}"/>
    <cellStyle name="Normal 5 17 30 5" xfId="36811" xr:uid="{00000000-0005-0000-0000-0000CB8F0000}"/>
    <cellStyle name="Normal 5 17 30 5 10" xfId="36812" xr:uid="{00000000-0005-0000-0000-0000CC8F0000}"/>
    <cellStyle name="Normal 5 17 30 5 2" xfId="36813" xr:uid="{00000000-0005-0000-0000-0000CD8F0000}"/>
    <cellStyle name="Normal 5 17 30 5 3" xfId="36814" xr:uid="{00000000-0005-0000-0000-0000CE8F0000}"/>
    <cellStyle name="Normal 5 17 30 5 4" xfId="36815" xr:uid="{00000000-0005-0000-0000-0000CF8F0000}"/>
    <cellStyle name="Normal 5 17 30 5 5" xfId="36816" xr:uid="{00000000-0005-0000-0000-0000D08F0000}"/>
    <cellStyle name="Normal 5 17 30 5 6" xfId="36817" xr:uid="{00000000-0005-0000-0000-0000D18F0000}"/>
    <cellStyle name="Normal 5 17 30 5 7" xfId="36818" xr:uid="{00000000-0005-0000-0000-0000D28F0000}"/>
    <cellStyle name="Normal 5 17 30 5 8" xfId="36819" xr:uid="{00000000-0005-0000-0000-0000D38F0000}"/>
    <cellStyle name="Normal 5 17 30 5 9" xfId="36820" xr:uid="{00000000-0005-0000-0000-0000D48F0000}"/>
    <cellStyle name="Normal 5 17 30 6" xfId="36821" xr:uid="{00000000-0005-0000-0000-0000D58F0000}"/>
    <cellStyle name="Normal 5 17 30 7" xfId="36822" xr:uid="{00000000-0005-0000-0000-0000D68F0000}"/>
    <cellStyle name="Normal 5 17 30 8" xfId="36823" xr:uid="{00000000-0005-0000-0000-0000D78F0000}"/>
    <cellStyle name="Normal 5 17 30 9" xfId="36824" xr:uid="{00000000-0005-0000-0000-0000D88F0000}"/>
    <cellStyle name="Normal 5 17 31" xfId="36825" xr:uid="{00000000-0005-0000-0000-0000D98F0000}"/>
    <cellStyle name="Normal 5 17 31 10" xfId="36826" xr:uid="{00000000-0005-0000-0000-0000DA8F0000}"/>
    <cellStyle name="Normal 5 17 31 11" xfId="36827" xr:uid="{00000000-0005-0000-0000-0000DB8F0000}"/>
    <cellStyle name="Normal 5 17 31 12" xfId="36828" xr:uid="{00000000-0005-0000-0000-0000DC8F0000}"/>
    <cellStyle name="Normal 5 17 31 13" xfId="36829" xr:uid="{00000000-0005-0000-0000-0000DD8F0000}"/>
    <cellStyle name="Normal 5 17 31 14" xfId="36830" xr:uid="{00000000-0005-0000-0000-0000DE8F0000}"/>
    <cellStyle name="Normal 5 17 31 2" xfId="36831" xr:uid="{00000000-0005-0000-0000-0000DF8F0000}"/>
    <cellStyle name="Normal 5 17 31 2 10" xfId="36832" xr:uid="{00000000-0005-0000-0000-0000E08F0000}"/>
    <cellStyle name="Normal 5 17 31 2 2" xfId="36833" xr:uid="{00000000-0005-0000-0000-0000E18F0000}"/>
    <cellStyle name="Normal 5 17 31 2 3" xfId="36834" xr:uid="{00000000-0005-0000-0000-0000E28F0000}"/>
    <cellStyle name="Normal 5 17 31 2 4" xfId="36835" xr:uid="{00000000-0005-0000-0000-0000E38F0000}"/>
    <cellStyle name="Normal 5 17 31 2 5" xfId="36836" xr:uid="{00000000-0005-0000-0000-0000E48F0000}"/>
    <cellStyle name="Normal 5 17 31 2 6" xfId="36837" xr:uid="{00000000-0005-0000-0000-0000E58F0000}"/>
    <cellStyle name="Normal 5 17 31 2 7" xfId="36838" xr:uid="{00000000-0005-0000-0000-0000E68F0000}"/>
    <cellStyle name="Normal 5 17 31 2 8" xfId="36839" xr:uid="{00000000-0005-0000-0000-0000E78F0000}"/>
    <cellStyle name="Normal 5 17 31 2 9" xfId="36840" xr:uid="{00000000-0005-0000-0000-0000E88F0000}"/>
    <cellStyle name="Normal 5 17 31 3" xfId="36841" xr:uid="{00000000-0005-0000-0000-0000E98F0000}"/>
    <cellStyle name="Normal 5 17 31 3 10" xfId="36842" xr:uid="{00000000-0005-0000-0000-0000EA8F0000}"/>
    <cellStyle name="Normal 5 17 31 3 2" xfId="36843" xr:uid="{00000000-0005-0000-0000-0000EB8F0000}"/>
    <cellStyle name="Normal 5 17 31 3 3" xfId="36844" xr:uid="{00000000-0005-0000-0000-0000EC8F0000}"/>
    <cellStyle name="Normal 5 17 31 3 4" xfId="36845" xr:uid="{00000000-0005-0000-0000-0000ED8F0000}"/>
    <cellStyle name="Normal 5 17 31 3 5" xfId="36846" xr:uid="{00000000-0005-0000-0000-0000EE8F0000}"/>
    <cellStyle name="Normal 5 17 31 3 6" xfId="36847" xr:uid="{00000000-0005-0000-0000-0000EF8F0000}"/>
    <cellStyle name="Normal 5 17 31 3 7" xfId="36848" xr:uid="{00000000-0005-0000-0000-0000F08F0000}"/>
    <cellStyle name="Normal 5 17 31 3 8" xfId="36849" xr:uid="{00000000-0005-0000-0000-0000F18F0000}"/>
    <cellStyle name="Normal 5 17 31 3 9" xfId="36850" xr:uid="{00000000-0005-0000-0000-0000F28F0000}"/>
    <cellStyle name="Normal 5 17 31 4" xfId="36851" xr:uid="{00000000-0005-0000-0000-0000F38F0000}"/>
    <cellStyle name="Normal 5 17 31 4 10" xfId="36852" xr:uid="{00000000-0005-0000-0000-0000F48F0000}"/>
    <cellStyle name="Normal 5 17 31 4 2" xfId="36853" xr:uid="{00000000-0005-0000-0000-0000F58F0000}"/>
    <cellStyle name="Normal 5 17 31 4 3" xfId="36854" xr:uid="{00000000-0005-0000-0000-0000F68F0000}"/>
    <cellStyle name="Normal 5 17 31 4 4" xfId="36855" xr:uid="{00000000-0005-0000-0000-0000F78F0000}"/>
    <cellStyle name="Normal 5 17 31 4 5" xfId="36856" xr:uid="{00000000-0005-0000-0000-0000F88F0000}"/>
    <cellStyle name="Normal 5 17 31 4 6" xfId="36857" xr:uid="{00000000-0005-0000-0000-0000F98F0000}"/>
    <cellStyle name="Normal 5 17 31 4 7" xfId="36858" xr:uid="{00000000-0005-0000-0000-0000FA8F0000}"/>
    <cellStyle name="Normal 5 17 31 4 8" xfId="36859" xr:uid="{00000000-0005-0000-0000-0000FB8F0000}"/>
    <cellStyle name="Normal 5 17 31 4 9" xfId="36860" xr:uid="{00000000-0005-0000-0000-0000FC8F0000}"/>
    <cellStyle name="Normal 5 17 31 5" xfId="36861" xr:uid="{00000000-0005-0000-0000-0000FD8F0000}"/>
    <cellStyle name="Normal 5 17 31 5 10" xfId="36862" xr:uid="{00000000-0005-0000-0000-0000FE8F0000}"/>
    <cellStyle name="Normal 5 17 31 5 2" xfId="36863" xr:uid="{00000000-0005-0000-0000-0000FF8F0000}"/>
    <cellStyle name="Normal 5 17 31 5 3" xfId="36864" xr:uid="{00000000-0005-0000-0000-000000900000}"/>
    <cellStyle name="Normal 5 17 31 5 4" xfId="36865" xr:uid="{00000000-0005-0000-0000-000001900000}"/>
    <cellStyle name="Normal 5 17 31 5 5" xfId="36866" xr:uid="{00000000-0005-0000-0000-000002900000}"/>
    <cellStyle name="Normal 5 17 31 5 6" xfId="36867" xr:uid="{00000000-0005-0000-0000-000003900000}"/>
    <cellStyle name="Normal 5 17 31 5 7" xfId="36868" xr:uid="{00000000-0005-0000-0000-000004900000}"/>
    <cellStyle name="Normal 5 17 31 5 8" xfId="36869" xr:uid="{00000000-0005-0000-0000-000005900000}"/>
    <cellStyle name="Normal 5 17 31 5 9" xfId="36870" xr:uid="{00000000-0005-0000-0000-000006900000}"/>
    <cellStyle name="Normal 5 17 31 6" xfId="36871" xr:uid="{00000000-0005-0000-0000-000007900000}"/>
    <cellStyle name="Normal 5 17 31 7" xfId="36872" xr:uid="{00000000-0005-0000-0000-000008900000}"/>
    <cellStyle name="Normal 5 17 31 8" xfId="36873" xr:uid="{00000000-0005-0000-0000-000009900000}"/>
    <cellStyle name="Normal 5 17 31 9" xfId="36874" xr:uid="{00000000-0005-0000-0000-00000A900000}"/>
    <cellStyle name="Normal 5 17 32" xfId="36875" xr:uid="{00000000-0005-0000-0000-00000B900000}"/>
    <cellStyle name="Normal 5 17 32 10" xfId="36876" xr:uid="{00000000-0005-0000-0000-00000C900000}"/>
    <cellStyle name="Normal 5 17 32 11" xfId="36877" xr:uid="{00000000-0005-0000-0000-00000D900000}"/>
    <cellStyle name="Normal 5 17 32 12" xfId="36878" xr:uid="{00000000-0005-0000-0000-00000E900000}"/>
    <cellStyle name="Normal 5 17 32 13" xfId="36879" xr:uid="{00000000-0005-0000-0000-00000F900000}"/>
    <cellStyle name="Normal 5 17 32 14" xfId="36880" xr:uid="{00000000-0005-0000-0000-000010900000}"/>
    <cellStyle name="Normal 5 17 32 2" xfId="36881" xr:uid="{00000000-0005-0000-0000-000011900000}"/>
    <cellStyle name="Normal 5 17 32 2 10" xfId="36882" xr:uid="{00000000-0005-0000-0000-000012900000}"/>
    <cellStyle name="Normal 5 17 32 2 2" xfId="36883" xr:uid="{00000000-0005-0000-0000-000013900000}"/>
    <cellStyle name="Normal 5 17 32 2 3" xfId="36884" xr:uid="{00000000-0005-0000-0000-000014900000}"/>
    <cellStyle name="Normal 5 17 32 2 4" xfId="36885" xr:uid="{00000000-0005-0000-0000-000015900000}"/>
    <cellStyle name="Normal 5 17 32 2 5" xfId="36886" xr:uid="{00000000-0005-0000-0000-000016900000}"/>
    <cellStyle name="Normal 5 17 32 2 6" xfId="36887" xr:uid="{00000000-0005-0000-0000-000017900000}"/>
    <cellStyle name="Normal 5 17 32 2 7" xfId="36888" xr:uid="{00000000-0005-0000-0000-000018900000}"/>
    <cellStyle name="Normal 5 17 32 2 8" xfId="36889" xr:uid="{00000000-0005-0000-0000-000019900000}"/>
    <cellStyle name="Normal 5 17 32 2 9" xfId="36890" xr:uid="{00000000-0005-0000-0000-00001A900000}"/>
    <cellStyle name="Normal 5 17 32 3" xfId="36891" xr:uid="{00000000-0005-0000-0000-00001B900000}"/>
    <cellStyle name="Normal 5 17 32 3 10" xfId="36892" xr:uid="{00000000-0005-0000-0000-00001C900000}"/>
    <cellStyle name="Normal 5 17 32 3 2" xfId="36893" xr:uid="{00000000-0005-0000-0000-00001D900000}"/>
    <cellStyle name="Normal 5 17 32 3 3" xfId="36894" xr:uid="{00000000-0005-0000-0000-00001E900000}"/>
    <cellStyle name="Normal 5 17 32 3 4" xfId="36895" xr:uid="{00000000-0005-0000-0000-00001F900000}"/>
    <cellStyle name="Normal 5 17 32 3 5" xfId="36896" xr:uid="{00000000-0005-0000-0000-000020900000}"/>
    <cellStyle name="Normal 5 17 32 3 6" xfId="36897" xr:uid="{00000000-0005-0000-0000-000021900000}"/>
    <cellStyle name="Normal 5 17 32 3 7" xfId="36898" xr:uid="{00000000-0005-0000-0000-000022900000}"/>
    <cellStyle name="Normal 5 17 32 3 8" xfId="36899" xr:uid="{00000000-0005-0000-0000-000023900000}"/>
    <cellStyle name="Normal 5 17 32 3 9" xfId="36900" xr:uid="{00000000-0005-0000-0000-000024900000}"/>
    <cellStyle name="Normal 5 17 32 4" xfId="36901" xr:uid="{00000000-0005-0000-0000-000025900000}"/>
    <cellStyle name="Normal 5 17 32 4 10" xfId="36902" xr:uid="{00000000-0005-0000-0000-000026900000}"/>
    <cellStyle name="Normal 5 17 32 4 2" xfId="36903" xr:uid="{00000000-0005-0000-0000-000027900000}"/>
    <cellStyle name="Normal 5 17 32 4 3" xfId="36904" xr:uid="{00000000-0005-0000-0000-000028900000}"/>
    <cellStyle name="Normal 5 17 32 4 4" xfId="36905" xr:uid="{00000000-0005-0000-0000-000029900000}"/>
    <cellStyle name="Normal 5 17 32 4 5" xfId="36906" xr:uid="{00000000-0005-0000-0000-00002A900000}"/>
    <cellStyle name="Normal 5 17 32 4 6" xfId="36907" xr:uid="{00000000-0005-0000-0000-00002B900000}"/>
    <cellStyle name="Normal 5 17 32 4 7" xfId="36908" xr:uid="{00000000-0005-0000-0000-00002C900000}"/>
    <cellStyle name="Normal 5 17 32 4 8" xfId="36909" xr:uid="{00000000-0005-0000-0000-00002D900000}"/>
    <cellStyle name="Normal 5 17 32 4 9" xfId="36910" xr:uid="{00000000-0005-0000-0000-00002E900000}"/>
    <cellStyle name="Normal 5 17 32 5" xfId="36911" xr:uid="{00000000-0005-0000-0000-00002F900000}"/>
    <cellStyle name="Normal 5 17 32 5 10" xfId="36912" xr:uid="{00000000-0005-0000-0000-000030900000}"/>
    <cellStyle name="Normal 5 17 32 5 2" xfId="36913" xr:uid="{00000000-0005-0000-0000-000031900000}"/>
    <cellStyle name="Normal 5 17 32 5 3" xfId="36914" xr:uid="{00000000-0005-0000-0000-000032900000}"/>
    <cellStyle name="Normal 5 17 32 5 4" xfId="36915" xr:uid="{00000000-0005-0000-0000-000033900000}"/>
    <cellStyle name="Normal 5 17 32 5 5" xfId="36916" xr:uid="{00000000-0005-0000-0000-000034900000}"/>
    <cellStyle name="Normal 5 17 32 5 6" xfId="36917" xr:uid="{00000000-0005-0000-0000-000035900000}"/>
    <cellStyle name="Normal 5 17 32 5 7" xfId="36918" xr:uid="{00000000-0005-0000-0000-000036900000}"/>
    <cellStyle name="Normal 5 17 32 5 8" xfId="36919" xr:uid="{00000000-0005-0000-0000-000037900000}"/>
    <cellStyle name="Normal 5 17 32 5 9" xfId="36920" xr:uid="{00000000-0005-0000-0000-000038900000}"/>
    <cellStyle name="Normal 5 17 32 6" xfId="36921" xr:uid="{00000000-0005-0000-0000-000039900000}"/>
    <cellStyle name="Normal 5 17 32 7" xfId="36922" xr:uid="{00000000-0005-0000-0000-00003A900000}"/>
    <cellStyle name="Normal 5 17 32 8" xfId="36923" xr:uid="{00000000-0005-0000-0000-00003B900000}"/>
    <cellStyle name="Normal 5 17 32 9" xfId="36924" xr:uid="{00000000-0005-0000-0000-00003C900000}"/>
    <cellStyle name="Normal 5 17 33" xfId="36925" xr:uid="{00000000-0005-0000-0000-00003D900000}"/>
    <cellStyle name="Normal 5 17 33 10" xfId="36926" xr:uid="{00000000-0005-0000-0000-00003E900000}"/>
    <cellStyle name="Normal 5 17 33 11" xfId="36927" xr:uid="{00000000-0005-0000-0000-00003F900000}"/>
    <cellStyle name="Normal 5 17 33 12" xfId="36928" xr:uid="{00000000-0005-0000-0000-000040900000}"/>
    <cellStyle name="Normal 5 17 33 13" xfId="36929" xr:uid="{00000000-0005-0000-0000-000041900000}"/>
    <cellStyle name="Normal 5 17 33 14" xfId="36930" xr:uid="{00000000-0005-0000-0000-000042900000}"/>
    <cellStyle name="Normal 5 17 33 2" xfId="36931" xr:uid="{00000000-0005-0000-0000-000043900000}"/>
    <cellStyle name="Normal 5 17 33 2 10" xfId="36932" xr:uid="{00000000-0005-0000-0000-000044900000}"/>
    <cellStyle name="Normal 5 17 33 2 2" xfId="36933" xr:uid="{00000000-0005-0000-0000-000045900000}"/>
    <cellStyle name="Normal 5 17 33 2 3" xfId="36934" xr:uid="{00000000-0005-0000-0000-000046900000}"/>
    <cellStyle name="Normal 5 17 33 2 4" xfId="36935" xr:uid="{00000000-0005-0000-0000-000047900000}"/>
    <cellStyle name="Normal 5 17 33 2 5" xfId="36936" xr:uid="{00000000-0005-0000-0000-000048900000}"/>
    <cellStyle name="Normal 5 17 33 2 6" xfId="36937" xr:uid="{00000000-0005-0000-0000-000049900000}"/>
    <cellStyle name="Normal 5 17 33 2 7" xfId="36938" xr:uid="{00000000-0005-0000-0000-00004A900000}"/>
    <cellStyle name="Normal 5 17 33 2 8" xfId="36939" xr:uid="{00000000-0005-0000-0000-00004B900000}"/>
    <cellStyle name="Normal 5 17 33 2 9" xfId="36940" xr:uid="{00000000-0005-0000-0000-00004C900000}"/>
    <cellStyle name="Normal 5 17 33 3" xfId="36941" xr:uid="{00000000-0005-0000-0000-00004D900000}"/>
    <cellStyle name="Normal 5 17 33 3 10" xfId="36942" xr:uid="{00000000-0005-0000-0000-00004E900000}"/>
    <cellStyle name="Normal 5 17 33 3 2" xfId="36943" xr:uid="{00000000-0005-0000-0000-00004F900000}"/>
    <cellStyle name="Normal 5 17 33 3 3" xfId="36944" xr:uid="{00000000-0005-0000-0000-000050900000}"/>
    <cellStyle name="Normal 5 17 33 3 4" xfId="36945" xr:uid="{00000000-0005-0000-0000-000051900000}"/>
    <cellStyle name="Normal 5 17 33 3 5" xfId="36946" xr:uid="{00000000-0005-0000-0000-000052900000}"/>
    <cellStyle name="Normal 5 17 33 3 6" xfId="36947" xr:uid="{00000000-0005-0000-0000-000053900000}"/>
    <cellStyle name="Normal 5 17 33 3 7" xfId="36948" xr:uid="{00000000-0005-0000-0000-000054900000}"/>
    <cellStyle name="Normal 5 17 33 3 8" xfId="36949" xr:uid="{00000000-0005-0000-0000-000055900000}"/>
    <cellStyle name="Normal 5 17 33 3 9" xfId="36950" xr:uid="{00000000-0005-0000-0000-000056900000}"/>
    <cellStyle name="Normal 5 17 33 4" xfId="36951" xr:uid="{00000000-0005-0000-0000-000057900000}"/>
    <cellStyle name="Normal 5 17 33 4 10" xfId="36952" xr:uid="{00000000-0005-0000-0000-000058900000}"/>
    <cellStyle name="Normal 5 17 33 4 2" xfId="36953" xr:uid="{00000000-0005-0000-0000-000059900000}"/>
    <cellStyle name="Normal 5 17 33 4 3" xfId="36954" xr:uid="{00000000-0005-0000-0000-00005A900000}"/>
    <cellStyle name="Normal 5 17 33 4 4" xfId="36955" xr:uid="{00000000-0005-0000-0000-00005B900000}"/>
    <cellStyle name="Normal 5 17 33 4 5" xfId="36956" xr:uid="{00000000-0005-0000-0000-00005C900000}"/>
    <cellStyle name="Normal 5 17 33 4 6" xfId="36957" xr:uid="{00000000-0005-0000-0000-00005D900000}"/>
    <cellStyle name="Normal 5 17 33 4 7" xfId="36958" xr:uid="{00000000-0005-0000-0000-00005E900000}"/>
    <cellStyle name="Normal 5 17 33 4 8" xfId="36959" xr:uid="{00000000-0005-0000-0000-00005F900000}"/>
    <cellStyle name="Normal 5 17 33 4 9" xfId="36960" xr:uid="{00000000-0005-0000-0000-000060900000}"/>
    <cellStyle name="Normal 5 17 33 5" xfId="36961" xr:uid="{00000000-0005-0000-0000-000061900000}"/>
    <cellStyle name="Normal 5 17 33 5 10" xfId="36962" xr:uid="{00000000-0005-0000-0000-000062900000}"/>
    <cellStyle name="Normal 5 17 33 5 2" xfId="36963" xr:uid="{00000000-0005-0000-0000-000063900000}"/>
    <cellStyle name="Normal 5 17 33 5 3" xfId="36964" xr:uid="{00000000-0005-0000-0000-000064900000}"/>
    <cellStyle name="Normal 5 17 33 5 4" xfId="36965" xr:uid="{00000000-0005-0000-0000-000065900000}"/>
    <cellStyle name="Normal 5 17 33 5 5" xfId="36966" xr:uid="{00000000-0005-0000-0000-000066900000}"/>
    <cellStyle name="Normal 5 17 33 5 6" xfId="36967" xr:uid="{00000000-0005-0000-0000-000067900000}"/>
    <cellStyle name="Normal 5 17 33 5 7" xfId="36968" xr:uid="{00000000-0005-0000-0000-000068900000}"/>
    <cellStyle name="Normal 5 17 33 5 8" xfId="36969" xr:uid="{00000000-0005-0000-0000-000069900000}"/>
    <cellStyle name="Normal 5 17 33 5 9" xfId="36970" xr:uid="{00000000-0005-0000-0000-00006A900000}"/>
    <cellStyle name="Normal 5 17 33 6" xfId="36971" xr:uid="{00000000-0005-0000-0000-00006B900000}"/>
    <cellStyle name="Normal 5 17 33 7" xfId="36972" xr:uid="{00000000-0005-0000-0000-00006C900000}"/>
    <cellStyle name="Normal 5 17 33 8" xfId="36973" xr:uid="{00000000-0005-0000-0000-00006D900000}"/>
    <cellStyle name="Normal 5 17 33 9" xfId="36974" xr:uid="{00000000-0005-0000-0000-00006E900000}"/>
    <cellStyle name="Normal 5 17 34" xfId="36975" xr:uid="{00000000-0005-0000-0000-00006F900000}"/>
    <cellStyle name="Normal 5 17 34 10" xfId="36976" xr:uid="{00000000-0005-0000-0000-000070900000}"/>
    <cellStyle name="Normal 5 17 34 11" xfId="36977" xr:uid="{00000000-0005-0000-0000-000071900000}"/>
    <cellStyle name="Normal 5 17 34 12" xfId="36978" xr:uid="{00000000-0005-0000-0000-000072900000}"/>
    <cellStyle name="Normal 5 17 34 13" xfId="36979" xr:uid="{00000000-0005-0000-0000-000073900000}"/>
    <cellStyle name="Normal 5 17 34 14" xfId="36980" xr:uid="{00000000-0005-0000-0000-000074900000}"/>
    <cellStyle name="Normal 5 17 34 2" xfId="36981" xr:uid="{00000000-0005-0000-0000-000075900000}"/>
    <cellStyle name="Normal 5 17 34 2 10" xfId="36982" xr:uid="{00000000-0005-0000-0000-000076900000}"/>
    <cellStyle name="Normal 5 17 34 2 2" xfId="36983" xr:uid="{00000000-0005-0000-0000-000077900000}"/>
    <cellStyle name="Normal 5 17 34 2 3" xfId="36984" xr:uid="{00000000-0005-0000-0000-000078900000}"/>
    <cellStyle name="Normal 5 17 34 2 4" xfId="36985" xr:uid="{00000000-0005-0000-0000-000079900000}"/>
    <cellStyle name="Normal 5 17 34 2 5" xfId="36986" xr:uid="{00000000-0005-0000-0000-00007A900000}"/>
    <cellStyle name="Normal 5 17 34 2 6" xfId="36987" xr:uid="{00000000-0005-0000-0000-00007B900000}"/>
    <cellStyle name="Normal 5 17 34 2 7" xfId="36988" xr:uid="{00000000-0005-0000-0000-00007C900000}"/>
    <cellStyle name="Normal 5 17 34 2 8" xfId="36989" xr:uid="{00000000-0005-0000-0000-00007D900000}"/>
    <cellStyle name="Normal 5 17 34 2 9" xfId="36990" xr:uid="{00000000-0005-0000-0000-00007E900000}"/>
    <cellStyle name="Normal 5 17 34 3" xfId="36991" xr:uid="{00000000-0005-0000-0000-00007F900000}"/>
    <cellStyle name="Normal 5 17 34 3 10" xfId="36992" xr:uid="{00000000-0005-0000-0000-000080900000}"/>
    <cellStyle name="Normal 5 17 34 3 2" xfId="36993" xr:uid="{00000000-0005-0000-0000-000081900000}"/>
    <cellStyle name="Normal 5 17 34 3 3" xfId="36994" xr:uid="{00000000-0005-0000-0000-000082900000}"/>
    <cellStyle name="Normal 5 17 34 3 4" xfId="36995" xr:uid="{00000000-0005-0000-0000-000083900000}"/>
    <cellStyle name="Normal 5 17 34 3 5" xfId="36996" xr:uid="{00000000-0005-0000-0000-000084900000}"/>
    <cellStyle name="Normal 5 17 34 3 6" xfId="36997" xr:uid="{00000000-0005-0000-0000-000085900000}"/>
    <cellStyle name="Normal 5 17 34 3 7" xfId="36998" xr:uid="{00000000-0005-0000-0000-000086900000}"/>
    <cellStyle name="Normal 5 17 34 3 8" xfId="36999" xr:uid="{00000000-0005-0000-0000-000087900000}"/>
    <cellStyle name="Normal 5 17 34 3 9" xfId="37000" xr:uid="{00000000-0005-0000-0000-000088900000}"/>
    <cellStyle name="Normal 5 17 34 4" xfId="37001" xr:uid="{00000000-0005-0000-0000-000089900000}"/>
    <cellStyle name="Normal 5 17 34 4 10" xfId="37002" xr:uid="{00000000-0005-0000-0000-00008A900000}"/>
    <cellStyle name="Normal 5 17 34 4 2" xfId="37003" xr:uid="{00000000-0005-0000-0000-00008B900000}"/>
    <cellStyle name="Normal 5 17 34 4 3" xfId="37004" xr:uid="{00000000-0005-0000-0000-00008C900000}"/>
    <cellStyle name="Normal 5 17 34 4 4" xfId="37005" xr:uid="{00000000-0005-0000-0000-00008D900000}"/>
    <cellStyle name="Normal 5 17 34 4 5" xfId="37006" xr:uid="{00000000-0005-0000-0000-00008E900000}"/>
    <cellStyle name="Normal 5 17 34 4 6" xfId="37007" xr:uid="{00000000-0005-0000-0000-00008F900000}"/>
    <cellStyle name="Normal 5 17 34 4 7" xfId="37008" xr:uid="{00000000-0005-0000-0000-000090900000}"/>
    <cellStyle name="Normal 5 17 34 4 8" xfId="37009" xr:uid="{00000000-0005-0000-0000-000091900000}"/>
    <cellStyle name="Normal 5 17 34 4 9" xfId="37010" xr:uid="{00000000-0005-0000-0000-000092900000}"/>
    <cellStyle name="Normal 5 17 34 5" xfId="37011" xr:uid="{00000000-0005-0000-0000-000093900000}"/>
    <cellStyle name="Normal 5 17 34 5 10" xfId="37012" xr:uid="{00000000-0005-0000-0000-000094900000}"/>
    <cellStyle name="Normal 5 17 34 5 2" xfId="37013" xr:uid="{00000000-0005-0000-0000-000095900000}"/>
    <cellStyle name="Normal 5 17 34 5 3" xfId="37014" xr:uid="{00000000-0005-0000-0000-000096900000}"/>
    <cellStyle name="Normal 5 17 34 5 4" xfId="37015" xr:uid="{00000000-0005-0000-0000-000097900000}"/>
    <cellStyle name="Normal 5 17 34 5 5" xfId="37016" xr:uid="{00000000-0005-0000-0000-000098900000}"/>
    <cellStyle name="Normal 5 17 34 5 6" xfId="37017" xr:uid="{00000000-0005-0000-0000-000099900000}"/>
    <cellStyle name="Normal 5 17 34 5 7" xfId="37018" xr:uid="{00000000-0005-0000-0000-00009A900000}"/>
    <cellStyle name="Normal 5 17 34 5 8" xfId="37019" xr:uid="{00000000-0005-0000-0000-00009B900000}"/>
    <cellStyle name="Normal 5 17 34 5 9" xfId="37020" xr:uid="{00000000-0005-0000-0000-00009C900000}"/>
    <cellStyle name="Normal 5 17 34 6" xfId="37021" xr:uid="{00000000-0005-0000-0000-00009D900000}"/>
    <cellStyle name="Normal 5 17 34 7" xfId="37022" xr:uid="{00000000-0005-0000-0000-00009E900000}"/>
    <cellStyle name="Normal 5 17 34 8" xfId="37023" xr:uid="{00000000-0005-0000-0000-00009F900000}"/>
    <cellStyle name="Normal 5 17 34 9" xfId="37024" xr:uid="{00000000-0005-0000-0000-0000A0900000}"/>
    <cellStyle name="Normal 5 17 35" xfId="37025" xr:uid="{00000000-0005-0000-0000-0000A1900000}"/>
    <cellStyle name="Normal 5 17 35 10" xfId="37026" xr:uid="{00000000-0005-0000-0000-0000A2900000}"/>
    <cellStyle name="Normal 5 17 35 2" xfId="37027" xr:uid="{00000000-0005-0000-0000-0000A3900000}"/>
    <cellStyle name="Normal 5 17 35 3" xfId="37028" xr:uid="{00000000-0005-0000-0000-0000A4900000}"/>
    <cellStyle name="Normal 5 17 35 4" xfId="37029" xr:uid="{00000000-0005-0000-0000-0000A5900000}"/>
    <cellStyle name="Normal 5 17 35 5" xfId="37030" xr:uid="{00000000-0005-0000-0000-0000A6900000}"/>
    <cellStyle name="Normal 5 17 35 6" xfId="37031" xr:uid="{00000000-0005-0000-0000-0000A7900000}"/>
    <cellStyle name="Normal 5 17 35 7" xfId="37032" xr:uid="{00000000-0005-0000-0000-0000A8900000}"/>
    <cellStyle name="Normal 5 17 35 8" xfId="37033" xr:uid="{00000000-0005-0000-0000-0000A9900000}"/>
    <cellStyle name="Normal 5 17 35 9" xfId="37034" xr:uid="{00000000-0005-0000-0000-0000AA900000}"/>
    <cellStyle name="Normal 5 17 36" xfId="37035" xr:uid="{00000000-0005-0000-0000-0000AB900000}"/>
    <cellStyle name="Normal 5 17 36 10" xfId="37036" xr:uid="{00000000-0005-0000-0000-0000AC900000}"/>
    <cellStyle name="Normal 5 17 36 2" xfId="37037" xr:uid="{00000000-0005-0000-0000-0000AD900000}"/>
    <cellStyle name="Normal 5 17 36 3" xfId="37038" xr:uid="{00000000-0005-0000-0000-0000AE900000}"/>
    <cellStyle name="Normal 5 17 36 4" xfId="37039" xr:uid="{00000000-0005-0000-0000-0000AF900000}"/>
    <cellStyle name="Normal 5 17 36 5" xfId="37040" xr:uid="{00000000-0005-0000-0000-0000B0900000}"/>
    <cellStyle name="Normal 5 17 36 6" xfId="37041" xr:uid="{00000000-0005-0000-0000-0000B1900000}"/>
    <cellStyle name="Normal 5 17 36 7" xfId="37042" xr:uid="{00000000-0005-0000-0000-0000B2900000}"/>
    <cellStyle name="Normal 5 17 36 8" xfId="37043" xr:uid="{00000000-0005-0000-0000-0000B3900000}"/>
    <cellStyle name="Normal 5 17 36 9" xfId="37044" xr:uid="{00000000-0005-0000-0000-0000B4900000}"/>
    <cellStyle name="Normal 5 17 37" xfId="37045" xr:uid="{00000000-0005-0000-0000-0000B5900000}"/>
    <cellStyle name="Normal 5 17 37 10" xfId="37046" xr:uid="{00000000-0005-0000-0000-0000B6900000}"/>
    <cellStyle name="Normal 5 17 37 2" xfId="37047" xr:uid="{00000000-0005-0000-0000-0000B7900000}"/>
    <cellStyle name="Normal 5 17 37 3" xfId="37048" xr:uid="{00000000-0005-0000-0000-0000B8900000}"/>
    <cellStyle name="Normal 5 17 37 4" xfId="37049" xr:uid="{00000000-0005-0000-0000-0000B9900000}"/>
    <cellStyle name="Normal 5 17 37 5" xfId="37050" xr:uid="{00000000-0005-0000-0000-0000BA900000}"/>
    <cellStyle name="Normal 5 17 37 6" xfId="37051" xr:uid="{00000000-0005-0000-0000-0000BB900000}"/>
    <cellStyle name="Normal 5 17 37 7" xfId="37052" xr:uid="{00000000-0005-0000-0000-0000BC900000}"/>
    <cellStyle name="Normal 5 17 37 8" xfId="37053" xr:uid="{00000000-0005-0000-0000-0000BD900000}"/>
    <cellStyle name="Normal 5 17 37 9" xfId="37054" xr:uid="{00000000-0005-0000-0000-0000BE900000}"/>
    <cellStyle name="Normal 5 17 38" xfId="37055" xr:uid="{00000000-0005-0000-0000-0000BF900000}"/>
    <cellStyle name="Normal 5 17 38 10" xfId="37056" xr:uid="{00000000-0005-0000-0000-0000C0900000}"/>
    <cellStyle name="Normal 5 17 38 2" xfId="37057" xr:uid="{00000000-0005-0000-0000-0000C1900000}"/>
    <cellStyle name="Normal 5 17 38 3" xfId="37058" xr:uid="{00000000-0005-0000-0000-0000C2900000}"/>
    <cellStyle name="Normal 5 17 38 4" xfId="37059" xr:uid="{00000000-0005-0000-0000-0000C3900000}"/>
    <cellStyle name="Normal 5 17 38 5" xfId="37060" xr:uid="{00000000-0005-0000-0000-0000C4900000}"/>
    <cellStyle name="Normal 5 17 38 6" xfId="37061" xr:uid="{00000000-0005-0000-0000-0000C5900000}"/>
    <cellStyle name="Normal 5 17 38 7" xfId="37062" xr:uid="{00000000-0005-0000-0000-0000C6900000}"/>
    <cellStyle name="Normal 5 17 38 8" xfId="37063" xr:uid="{00000000-0005-0000-0000-0000C7900000}"/>
    <cellStyle name="Normal 5 17 38 9" xfId="37064" xr:uid="{00000000-0005-0000-0000-0000C8900000}"/>
    <cellStyle name="Normal 5 17 39" xfId="37065" xr:uid="{00000000-0005-0000-0000-0000C9900000}"/>
    <cellStyle name="Normal 5 17 4" xfId="37066" xr:uid="{00000000-0005-0000-0000-0000CA900000}"/>
    <cellStyle name="Normal 5 17 4 10" xfId="37067" xr:uid="{00000000-0005-0000-0000-0000CB900000}"/>
    <cellStyle name="Normal 5 17 4 11" xfId="37068" xr:uid="{00000000-0005-0000-0000-0000CC900000}"/>
    <cellStyle name="Normal 5 17 4 12" xfId="37069" xr:uid="{00000000-0005-0000-0000-0000CD900000}"/>
    <cellStyle name="Normal 5 17 4 13" xfId="37070" xr:uid="{00000000-0005-0000-0000-0000CE900000}"/>
    <cellStyle name="Normal 5 17 4 14" xfId="37071" xr:uid="{00000000-0005-0000-0000-0000CF900000}"/>
    <cellStyle name="Normal 5 17 4 2" xfId="37072" xr:uid="{00000000-0005-0000-0000-0000D0900000}"/>
    <cellStyle name="Normal 5 17 4 2 10" xfId="37073" xr:uid="{00000000-0005-0000-0000-0000D1900000}"/>
    <cellStyle name="Normal 5 17 4 2 2" xfId="37074" xr:uid="{00000000-0005-0000-0000-0000D2900000}"/>
    <cellStyle name="Normal 5 17 4 2 3" xfId="37075" xr:uid="{00000000-0005-0000-0000-0000D3900000}"/>
    <cellStyle name="Normal 5 17 4 2 4" xfId="37076" xr:uid="{00000000-0005-0000-0000-0000D4900000}"/>
    <cellStyle name="Normal 5 17 4 2 5" xfId="37077" xr:uid="{00000000-0005-0000-0000-0000D5900000}"/>
    <cellStyle name="Normal 5 17 4 2 6" xfId="37078" xr:uid="{00000000-0005-0000-0000-0000D6900000}"/>
    <cellStyle name="Normal 5 17 4 2 7" xfId="37079" xr:uid="{00000000-0005-0000-0000-0000D7900000}"/>
    <cellStyle name="Normal 5 17 4 2 8" xfId="37080" xr:uid="{00000000-0005-0000-0000-0000D8900000}"/>
    <cellStyle name="Normal 5 17 4 2 9" xfId="37081" xr:uid="{00000000-0005-0000-0000-0000D9900000}"/>
    <cellStyle name="Normal 5 17 4 3" xfId="37082" xr:uid="{00000000-0005-0000-0000-0000DA900000}"/>
    <cellStyle name="Normal 5 17 4 3 10" xfId="37083" xr:uid="{00000000-0005-0000-0000-0000DB900000}"/>
    <cellStyle name="Normal 5 17 4 3 2" xfId="37084" xr:uid="{00000000-0005-0000-0000-0000DC900000}"/>
    <cellStyle name="Normal 5 17 4 3 3" xfId="37085" xr:uid="{00000000-0005-0000-0000-0000DD900000}"/>
    <cellStyle name="Normal 5 17 4 3 4" xfId="37086" xr:uid="{00000000-0005-0000-0000-0000DE900000}"/>
    <cellStyle name="Normal 5 17 4 3 5" xfId="37087" xr:uid="{00000000-0005-0000-0000-0000DF900000}"/>
    <cellStyle name="Normal 5 17 4 3 6" xfId="37088" xr:uid="{00000000-0005-0000-0000-0000E0900000}"/>
    <cellStyle name="Normal 5 17 4 3 7" xfId="37089" xr:uid="{00000000-0005-0000-0000-0000E1900000}"/>
    <cellStyle name="Normal 5 17 4 3 8" xfId="37090" xr:uid="{00000000-0005-0000-0000-0000E2900000}"/>
    <cellStyle name="Normal 5 17 4 3 9" xfId="37091" xr:uid="{00000000-0005-0000-0000-0000E3900000}"/>
    <cellStyle name="Normal 5 17 4 4" xfId="37092" xr:uid="{00000000-0005-0000-0000-0000E4900000}"/>
    <cellStyle name="Normal 5 17 4 4 10" xfId="37093" xr:uid="{00000000-0005-0000-0000-0000E5900000}"/>
    <cellStyle name="Normal 5 17 4 4 2" xfId="37094" xr:uid="{00000000-0005-0000-0000-0000E6900000}"/>
    <cellStyle name="Normal 5 17 4 4 3" xfId="37095" xr:uid="{00000000-0005-0000-0000-0000E7900000}"/>
    <cellStyle name="Normal 5 17 4 4 4" xfId="37096" xr:uid="{00000000-0005-0000-0000-0000E8900000}"/>
    <cellStyle name="Normal 5 17 4 4 5" xfId="37097" xr:uid="{00000000-0005-0000-0000-0000E9900000}"/>
    <cellStyle name="Normal 5 17 4 4 6" xfId="37098" xr:uid="{00000000-0005-0000-0000-0000EA900000}"/>
    <cellStyle name="Normal 5 17 4 4 7" xfId="37099" xr:uid="{00000000-0005-0000-0000-0000EB900000}"/>
    <cellStyle name="Normal 5 17 4 4 8" xfId="37100" xr:uid="{00000000-0005-0000-0000-0000EC900000}"/>
    <cellStyle name="Normal 5 17 4 4 9" xfId="37101" xr:uid="{00000000-0005-0000-0000-0000ED900000}"/>
    <cellStyle name="Normal 5 17 4 5" xfId="37102" xr:uid="{00000000-0005-0000-0000-0000EE900000}"/>
    <cellStyle name="Normal 5 17 4 5 10" xfId="37103" xr:uid="{00000000-0005-0000-0000-0000EF900000}"/>
    <cellStyle name="Normal 5 17 4 5 2" xfId="37104" xr:uid="{00000000-0005-0000-0000-0000F0900000}"/>
    <cellStyle name="Normal 5 17 4 5 3" xfId="37105" xr:uid="{00000000-0005-0000-0000-0000F1900000}"/>
    <cellStyle name="Normal 5 17 4 5 4" xfId="37106" xr:uid="{00000000-0005-0000-0000-0000F2900000}"/>
    <cellStyle name="Normal 5 17 4 5 5" xfId="37107" xr:uid="{00000000-0005-0000-0000-0000F3900000}"/>
    <cellStyle name="Normal 5 17 4 5 6" xfId="37108" xr:uid="{00000000-0005-0000-0000-0000F4900000}"/>
    <cellStyle name="Normal 5 17 4 5 7" xfId="37109" xr:uid="{00000000-0005-0000-0000-0000F5900000}"/>
    <cellStyle name="Normal 5 17 4 5 8" xfId="37110" xr:uid="{00000000-0005-0000-0000-0000F6900000}"/>
    <cellStyle name="Normal 5 17 4 5 9" xfId="37111" xr:uid="{00000000-0005-0000-0000-0000F7900000}"/>
    <cellStyle name="Normal 5 17 4 6" xfId="37112" xr:uid="{00000000-0005-0000-0000-0000F8900000}"/>
    <cellStyle name="Normal 5 17 4 7" xfId="37113" xr:uid="{00000000-0005-0000-0000-0000F9900000}"/>
    <cellStyle name="Normal 5 17 4 8" xfId="37114" xr:uid="{00000000-0005-0000-0000-0000FA900000}"/>
    <cellStyle name="Normal 5 17 4 9" xfId="37115" xr:uid="{00000000-0005-0000-0000-0000FB900000}"/>
    <cellStyle name="Normal 5 17 40" xfId="37116" xr:uid="{00000000-0005-0000-0000-0000FC900000}"/>
    <cellStyle name="Normal 5 17 41" xfId="37117" xr:uid="{00000000-0005-0000-0000-0000FD900000}"/>
    <cellStyle name="Normal 5 17 42" xfId="37118" xr:uid="{00000000-0005-0000-0000-0000FE900000}"/>
    <cellStyle name="Normal 5 17 43" xfId="37119" xr:uid="{00000000-0005-0000-0000-0000FF900000}"/>
    <cellStyle name="Normal 5 17 44" xfId="37120" xr:uid="{00000000-0005-0000-0000-000000910000}"/>
    <cellStyle name="Normal 5 17 45" xfId="37121" xr:uid="{00000000-0005-0000-0000-000001910000}"/>
    <cellStyle name="Normal 5 17 46" xfId="37122" xr:uid="{00000000-0005-0000-0000-000002910000}"/>
    <cellStyle name="Normal 5 17 47" xfId="37123" xr:uid="{00000000-0005-0000-0000-000003910000}"/>
    <cellStyle name="Normal 5 17 48" xfId="37124" xr:uid="{00000000-0005-0000-0000-000004910000}"/>
    <cellStyle name="Normal 5 17 49" xfId="37125" xr:uid="{00000000-0005-0000-0000-000005910000}"/>
    <cellStyle name="Normal 5 17 5" xfId="37126" xr:uid="{00000000-0005-0000-0000-000006910000}"/>
    <cellStyle name="Normal 5 17 5 10" xfId="37127" xr:uid="{00000000-0005-0000-0000-000007910000}"/>
    <cellStyle name="Normal 5 17 5 11" xfId="37128" xr:uid="{00000000-0005-0000-0000-000008910000}"/>
    <cellStyle name="Normal 5 17 5 12" xfId="37129" xr:uid="{00000000-0005-0000-0000-000009910000}"/>
    <cellStyle name="Normal 5 17 5 13" xfId="37130" xr:uid="{00000000-0005-0000-0000-00000A910000}"/>
    <cellStyle name="Normal 5 17 5 14" xfId="37131" xr:uid="{00000000-0005-0000-0000-00000B910000}"/>
    <cellStyle name="Normal 5 17 5 2" xfId="37132" xr:uid="{00000000-0005-0000-0000-00000C910000}"/>
    <cellStyle name="Normal 5 17 5 2 10" xfId="37133" xr:uid="{00000000-0005-0000-0000-00000D910000}"/>
    <cellStyle name="Normal 5 17 5 2 2" xfId="37134" xr:uid="{00000000-0005-0000-0000-00000E910000}"/>
    <cellStyle name="Normal 5 17 5 2 3" xfId="37135" xr:uid="{00000000-0005-0000-0000-00000F910000}"/>
    <cellStyle name="Normal 5 17 5 2 4" xfId="37136" xr:uid="{00000000-0005-0000-0000-000010910000}"/>
    <cellStyle name="Normal 5 17 5 2 5" xfId="37137" xr:uid="{00000000-0005-0000-0000-000011910000}"/>
    <cellStyle name="Normal 5 17 5 2 6" xfId="37138" xr:uid="{00000000-0005-0000-0000-000012910000}"/>
    <cellStyle name="Normal 5 17 5 2 7" xfId="37139" xr:uid="{00000000-0005-0000-0000-000013910000}"/>
    <cellStyle name="Normal 5 17 5 2 8" xfId="37140" xr:uid="{00000000-0005-0000-0000-000014910000}"/>
    <cellStyle name="Normal 5 17 5 2 9" xfId="37141" xr:uid="{00000000-0005-0000-0000-000015910000}"/>
    <cellStyle name="Normal 5 17 5 3" xfId="37142" xr:uid="{00000000-0005-0000-0000-000016910000}"/>
    <cellStyle name="Normal 5 17 5 3 10" xfId="37143" xr:uid="{00000000-0005-0000-0000-000017910000}"/>
    <cellStyle name="Normal 5 17 5 3 2" xfId="37144" xr:uid="{00000000-0005-0000-0000-000018910000}"/>
    <cellStyle name="Normal 5 17 5 3 3" xfId="37145" xr:uid="{00000000-0005-0000-0000-000019910000}"/>
    <cellStyle name="Normal 5 17 5 3 4" xfId="37146" xr:uid="{00000000-0005-0000-0000-00001A910000}"/>
    <cellStyle name="Normal 5 17 5 3 5" xfId="37147" xr:uid="{00000000-0005-0000-0000-00001B910000}"/>
    <cellStyle name="Normal 5 17 5 3 6" xfId="37148" xr:uid="{00000000-0005-0000-0000-00001C910000}"/>
    <cellStyle name="Normal 5 17 5 3 7" xfId="37149" xr:uid="{00000000-0005-0000-0000-00001D910000}"/>
    <cellStyle name="Normal 5 17 5 3 8" xfId="37150" xr:uid="{00000000-0005-0000-0000-00001E910000}"/>
    <cellStyle name="Normal 5 17 5 3 9" xfId="37151" xr:uid="{00000000-0005-0000-0000-00001F910000}"/>
    <cellStyle name="Normal 5 17 5 4" xfId="37152" xr:uid="{00000000-0005-0000-0000-000020910000}"/>
    <cellStyle name="Normal 5 17 5 4 10" xfId="37153" xr:uid="{00000000-0005-0000-0000-000021910000}"/>
    <cellStyle name="Normal 5 17 5 4 2" xfId="37154" xr:uid="{00000000-0005-0000-0000-000022910000}"/>
    <cellStyle name="Normal 5 17 5 4 3" xfId="37155" xr:uid="{00000000-0005-0000-0000-000023910000}"/>
    <cellStyle name="Normal 5 17 5 4 4" xfId="37156" xr:uid="{00000000-0005-0000-0000-000024910000}"/>
    <cellStyle name="Normal 5 17 5 4 5" xfId="37157" xr:uid="{00000000-0005-0000-0000-000025910000}"/>
    <cellStyle name="Normal 5 17 5 4 6" xfId="37158" xr:uid="{00000000-0005-0000-0000-000026910000}"/>
    <cellStyle name="Normal 5 17 5 4 7" xfId="37159" xr:uid="{00000000-0005-0000-0000-000027910000}"/>
    <cellStyle name="Normal 5 17 5 4 8" xfId="37160" xr:uid="{00000000-0005-0000-0000-000028910000}"/>
    <cellStyle name="Normal 5 17 5 4 9" xfId="37161" xr:uid="{00000000-0005-0000-0000-000029910000}"/>
    <cellStyle name="Normal 5 17 5 5" xfId="37162" xr:uid="{00000000-0005-0000-0000-00002A910000}"/>
    <cellStyle name="Normal 5 17 5 5 10" xfId="37163" xr:uid="{00000000-0005-0000-0000-00002B910000}"/>
    <cellStyle name="Normal 5 17 5 5 2" xfId="37164" xr:uid="{00000000-0005-0000-0000-00002C910000}"/>
    <cellStyle name="Normal 5 17 5 5 3" xfId="37165" xr:uid="{00000000-0005-0000-0000-00002D910000}"/>
    <cellStyle name="Normal 5 17 5 5 4" xfId="37166" xr:uid="{00000000-0005-0000-0000-00002E910000}"/>
    <cellStyle name="Normal 5 17 5 5 5" xfId="37167" xr:uid="{00000000-0005-0000-0000-00002F910000}"/>
    <cellStyle name="Normal 5 17 5 5 6" xfId="37168" xr:uid="{00000000-0005-0000-0000-000030910000}"/>
    <cellStyle name="Normal 5 17 5 5 7" xfId="37169" xr:uid="{00000000-0005-0000-0000-000031910000}"/>
    <cellStyle name="Normal 5 17 5 5 8" xfId="37170" xr:uid="{00000000-0005-0000-0000-000032910000}"/>
    <cellStyle name="Normal 5 17 5 5 9" xfId="37171" xr:uid="{00000000-0005-0000-0000-000033910000}"/>
    <cellStyle name="Normal 5 17 5 6" xfId="37172" xr:uid="{00000000-0005-0000-0000-000034910000}"/>
    <cellStyle name="Normal 5 17 5 7" xfId="37173" xr:uid="{00000000-0005-0000-0000-000035910000}"/>
    <cellStyle name="Normal 5 17 5 8" xfId="37174" xr:uid="{00000000-0005-0000-0000-000036910000}"/>
    <cellStyle name="Normal 5 17 5 9" xfId="37175" xr:uid="{00000000-0005-0000-0000-000037910000}"/>
    <cellStyle name="Normal 5 17 6" xfId="37176" xr:uid="{00000000-0005-0000-0000-000038910000}"/>
    <cellStyle name="Normal 5 17 6 10" xfId="37177" xr:uid="{00000000-0005-0000-0000-000039910000}"/>
    <cellStyle name="Normal 5 17 6 11" xfId="37178" xr:uid="{00000000-0005-0000-0000-00003A910000}"/>
    <cellStyle name="Normal 5 17 6 12" xfId="37179" xr:uid="{00000000-0005-0000-0000-00003B910000}"/>
    <cellStyle name="Normal 5 17 6 13" xfId="37180" xr:uid="{00000000-0005-0000-0000-00003C910000}"/>
    <cellStyle name="Normal 5 17 6 14" xfId="37181" xr:uid="{00000000-0005-0000-0000-00003D910000}"/>
    <cellStyle name="Normal 5 17 6 2" xfId="37182" xr:uid="{00000000-0005-0000-0000-00003E910000}"/>
    <cellStyle name="Normal 5 17 6 2 10" xfId="37183" xr:uid="{00000000-0005-0000-0000-00003F910000}"/>
    <cellStyle name="Normal 5 17 6 2 2" xfId="37184" xr:uid="{00000000-0005-0000-0000-000040910000}"/>
    <cellStyle name="Normal 5 17 6 2 3" xfId="37185" xr:uid="{00000000-0005-0000-0000-000041910000}"/>
    <cellStyle name="Normal 5 17 6 2 4" xfId="37186" xr:uid="{00000000-0005-0000-0000-000042910000}"/>
    <cellStyle name="Normal 5 17 6 2 5" xfId="37187" xr:uid="{00000000-0005-0000-0000-000043910000}"/>
    <cellStyle name="Normal 5 17 6 2 6" xfId="37188" xr:uid="{00000000-0005-0000-0000-000044910000}"/>
    <cellStyle name="Normal 5 17 6 2 7" xfId="37189" xr:uid="{00000000-0005-0000-0000-000045910000}"/>
    <cellStyle name="Normal 5 17 6 2 8" xfId="37190" xr:uid="{00000000-0005-0000-0000-000046910000}"/>
    <cellStyle name="Normal 5 17 6 2 9" xfId="37191" xr:uid="{00000000-0005-0000-0000-000047910000}"/>
    <cellStyle name="Normal 5 17 6 3" xfId="37192" xr:uid="{00000000-0005-0000-0000-000048910000}"/>
    <cellStyle name="Normal 5 17 6 3 10" xfId="37193" xr:uid="{00000000-0005-0000-0000-000049910000}"/>
    <cellStyle name="Normal 5 17 6 3 2" xfId="37194" xr:uid="{00000000-0005-0000-0000-00004A910000}"/>
    <cellStyle name="Normal 5 17 6 3 3" xfId="37195" xr:uid="{00000000-0005-0000-0000-00004B910000}"/>
    <cellStyle name="Normal 5 17 6 3 4" xfId="37196" xr:uid="{00000000-0005-0000-0000-00004C910000}"/>
    <cellStyle name="Normal 5 17 6 3 5" xfId="37197" xr:uid="{00000000-0005-0000-0000-00004D910000}"/>
    <cellStyle name="Normal 5 17 6 3 6" xfId="37198" xr:uid="{00000000-0005-0000-0000-00004E910000}"/>
    <cellStyle name="Normal 5 17 6 3 7" xfId="37199" xr:uid="{00000000-0005-0000-0000-00004F910000}"/>
    <cellStyle name="Normal 5 17 6 3 8" xfId="37200" xr:uid="{00000000-0005-0000-0000-000050910000}"/>
    <cellStyle name="Normal 5 17 6 3 9" xfId="37201" xr:uid="{00000000-0005-0000-0000-000051910000}"/>
    <cellStyle name="Normal 5 17 6 4" xfId="37202" xr:uid="{00000000-0005-0000-0000-000052910000}"/>
    <cellStyle name="Normal 5 17 6 4 10" xfId="37203" xr:uid="{00000000-0005-0000-0000-000053910000}"/>
    <cellStyle name="Normal 5 17 6 4 2" xfId="37204" xr:uid="{00000000-0005-0000-0000-000054910000}"/>
    <cellStyle name="Normal 5 17 6 4 3" xfId="37205" xr:uid="{00000000-0005-0000-0000-000055910000}"/>
    <cellStyle name="Normal 5 17 6 4 4" xfId="37206" xr:uid="{00000000-0005-0000-0000-000056910000}"/>
    <cellStyle name="Normal 5 17 6 4 5" xfId="37207" xr:uid="{00000000-0005-0000-0000-000057910000}"/>
    <cellStyle name="Normal 5 17 6 4 6" xfId="37208" xr:uid="{00000000-0005-0000-0000-000058910000}"/>
    <cellStyle name="Normal 5 17 6 4 7" xfId="37209" xr:uid="{00000000-0005-0000-0000-000059910000}"/>
    <cellStyle name="Normal 5 17 6 4 8" xfId="37210" xr:uid="{00000000-0005-0000-0000-00005A910000}"/>
    <cellStyle name="Normal 5 17 6 4 9" xfId="37211" xr:uid="{00000000-0005-0000-0000-00005B910000}"/>
    <cellStyle name="Normal 5 17 6 5" xfId="37212" xr:uid="{00000000-0005-0000-0000-00005C910000}"/>
    <cellStyle name="Normal 5 17 6 5 10" xfId="37213" xr:uid="{00000000-0005-0000-0000-00005D910000}"/>
    <cellStyle name="Normal 5 17 6 5 2" xfId="37214" xr:uid="{00000000-0005-0000-0000-00005E910000}"/>
    <cellStyle name="Normal 5 17 6 5 3" xfId="37215" xr:uid="{00000000-0005-0000-0000-00005F910000}"/>
    <cellStyle name="Normal 5 17 6 5 4" xfId="37216" xr:uid="{00000000-0005-0000-0000-000060910000}"/>
    <cellStyle name="Normal 5 17 6 5 5" xfId="37217" xr:uid="{00000000-0005-0000-0000-000061910000}"/>
    <cellStyle name="Normal 5 17 6 5 6" xfId="37218" xr:uid="{00000000-0005-0000-0000-000062910000}"/>
    <cellStyle name="Normal 5 17 6 5 7" xfId="37219" xr:uid="{00000000-0005-0000-0000-000063910000}"/>
    <cellStyle name="Normal 5 17 6 5 8" xfId="37220" xr:uid="{00000000-0005-0000-0000-000064910000}"/>
    <cellStyle name="Normal 5 17 6 5 9" xfId="37221" xr:uid="{00000000-0005-0000-0000-000065910000}"/>
    <cellStyle name="Normal 5 17 6 6" xfId="37222" xr:uid="{00000000-0005-0000-0000-000066910000}"/>
    <cellStyle name="Normal 5 17 6 7" xfId="37223" xr:uid="{00000000-0005-0000-0000-000067910000}"/>
    <cellStyle name="Normal 5 17 6 8" xfId="37224" xr:uid="{00000000-0005-0000-0000-000068910000}"/>
    <cellStyle name="Normal 5 17 6 9" xfId="37225" xr:uid="{00000000-0005-0000-0000-000069910000}"/>
    <cellStyle name="Normal 5 17 7" xfId="37226" xr:uid="{00000000-0005-0000-0000-00006A910000}"/>
    <cellStyle name="Normal 5 17 7 10" xfId="37227" xr:uid="{00000000-0005-0000-0000-00006B910000}"/>
    <cellStyle name="Normal 5 17 7 11" xfId="37228" xr:uid="{00000000-0005-0000-0000-00006C910000}"/>
    <cellStyle name="Normal 5 17 7 12" xfId="37229" xr:uid="{00000000-0005-0000-0000-00006D910000}"/>
    <cellStyle name="Normal 5 17 7 13" xfId="37230" xr:uid="{00000000-0005-0000-0000-00006E910000}"/>
    <cellStyle name="Normal 5 17 7 14" xfId="37231" xr:uid="{00000000-0005-0000-0000-00006F910000}"/>
    <cellStyle name="Normal 5 17 7 2" xfId="37232" xr:uid="{00000000-0005-0000-0000-000070910000}"/>
    <cellStyle name="Normal 5 17 7 2 10" xfId="37233" xr:uid="{00000000-0005-0000-0000-000071910000}"/>
    <cellStyle name="Normal 5 17 7 2 2" xfId="37234" xr:uid="{00000000-0005-0000-0000-000072910000}"/>
    <cellStyle name="Normal 5 17 7 2 3" xfId="37235" xr:uid="{00000000-0005-0000-0000-000073910000}"/>
    <cellStyle name="Normal 5 17 7 2 4" xfId="37236" xr:uid="{00000000-0005-0000-0000-000074910000}"/>
    <cellStyle name="Normal 5 17 7 2 5" xfId="37237" xr:uid="{00000000-0005-0000-0000-000075910000}"/>
    <cellStyle name="Normal 5 17 7 2 6" xfId="37238" xr:uid="{00000000-0005-0000-0000-000076910000}"/>
    <cellStyle name="Normal 5 17 7 2 7" xfId="37239" xr:uid="{00000000-0005-0000-0000-000077910000}"/>
    <cellStyle name="Normal 5 17 7 2 8" xfId="37240" xr:uid="{00000000-0005-0000-0000-000078910000}"/>
    <cellStyle name="Normal 5 17 7 2 9" xfId="37241" xr:uid="{00000000-0005-0000-0000-000079910000}"/>
    <cellStyle name="Normal 5 17 7 3" xfId="37242" xr:uid="{00000000-0005-0000-0000-00007A910000}"/>
    <cellStyle name="Normal 5 17 7 3 10" xfId="37243" xr:uid="{00000000-0005-0000-0000-00007B910000}"/>
    <cellStyle name="Normal 5 17 7 3 2" xfId="37244" xr:uid="{00000000-0005-0000-0000-00007C910000}"/>
    <cellStyle name="Normal 5 17 7 3 3" xfId="37245" xr:uid="{00000000-0005-0000-0000-00007D910000}"/>
    <cellStyle name="Normal 5 17 7 3 4" xfId="37246" xr:uid="{00000000-0005-0000-0000-00007E910000}"/>
    <cellStyle name="Normal 5 17 7 3 5" xfId="37247" xr:uid="{00000000-0005-0000-0000-00007F910000}"/>
    <cellStyle name="Normal 5 17 7 3 6" xfId="37248" xr:uid="{00000000-0005-0000-0000-000080910000}"/>
    <cellStyle name="Normal 5 17 7 3 7" xfId="37249" xr:uid="{00000000-0005-0000-0000-000081910000}"/>
    <cellStyle name="Normal 5 17 7 3 8" xfId="37250" xr:uid="{00000000-0005-0000-0000-000082910000}"/>
    <cellStyle name="Normal 5 17 7 3 9" xfId="37251" xr:uid="{00000000-0005-0000-0000-000083910000}"/>
    <cellStyle name="Normal 5 17 7 4" xfId="37252" xr:uid="{00000000-0005-0000-0000-000084910000}"/>
    <cellStyle name="Normal 5 17 7 4 10" xfId="37253" xr:uid="{00000000-0005-0000-0000-000085910000}"/>
    <cellStyle name="Normal 5 17 7 4 2" xfId="37254" xr:uid="{00000000-0005-0000-0000-000086910000}"/>
    <cellStyle name="Normal 5 17 7 4 3" xfId="37255" xr:uid="{00000000-0005-0000-0000-000087910000}"/>
    <cellStyle name="Normal 5 17 7 4 4" xfId="37256" xr:uid="{00000000-0005-0000-0000-000088910000}"/>
    <cellStyle name="Normal 5 17 7 4 5" xfId="37257" xr:uid="{00000000-0005-0000-0000-000089910000}"/>
    <cellStyle name="Normal 5 17 7 4 6" xfId="37258" xr:uid="{00000000-0005-0000-0000-00008A910000}"/>
    <cellStyle name="Normal 5 17 7 4 7" xfId="37259" xr:uid="{00000000-0005-0000-0000-00008B910000}"/>
    <cellStyle name="Normal 5 17 7 4 8" xfId="37260" xr:uid="{00000000-0005-0000-0000-00008C910000}"/>
    <cellStyle name="Normal 5 17 7 4 9" xfId="37261" xr:uid="{00000000-0005-0000-0000-00008D910000}"/>
    <cellStyle name="Normal 5 17 7 5" xfId="37262" xr:uid="{00000000-0005-0000-0000-00008E910000}"/>
    <cellStyle name="Normal 5 17 7 5 10" xfId="37263" xr:uid="{00000000-0005-0000-0000-00008F910000}"/>
    <cellStyle name="Normal 5 17 7 5 2" xfId="37264" xr:uid="{00000000-0005-0000-0000-000090910000}"/>
    <cellStyle name="Normal 5 17 7 5 3" xfId="37265" xr:uid="{00000000-0005-0000-0000-000091910000}"/>
    <cellStyle name="Normal 5 17 7 5 4" xfId="37266" xr:uid="{00000000-0005-0000-0000-000092910000}"/>
    <cellStyle name="Normal 5 17 7 5 5" xfId="37267" xr:uid="{00000000-0005-0000-0000-000093910000}"/>
    <cellStyle name="Normal 5 17 7 5 6" xfId="37268" xr:uid="{00000000-0005-0000-0000-000094910000}"/>
    <cellStyle name="Normal 5 17 7 5 7" xfId="37269" xr:uid="{00000000-0005-0000-0000-000095910000}"/>
    <cellStyle name="Normal 5 17 7 5 8" xfId="37270" xr:uid="{00000000-0005-0000-0000-000096910000}"/>
    <cellStyle name="Normal 5 17 7 5 9" xfId="37271" xr:uid="{00000000-0005-0000-0000-000097910000}"/>
    <cellStyle name="Normal 5 17 7 6" xfId="37272" xr:uid="{00000000-0005-0000-0000-000098910000}"/>
    <cellStyle name="Normal 5 17 7 7" xfId="37273" xr:uid="{00000000-0005-0000-0000-000099910000}"/>
    <cellStyle name="Normal 5 17 7 8" xfId="37274" xr:uid="{00000000-0005-0000-0000-00009A910000}"/>
    <cellStyle name="Normal 5 17 7 9" xfId="37275" xr:uid="{00000000-0005-0000-0000-00009B910000}"/>
    <cellStyle name="Normal 5 17 8" xfId="37276" xr:uid="{00000000-0005-0000-0000-00009C910000}"/>
    <cellStyle name="Normal 5 17 8 10" xfId="37277" xr:uid="{00000000-0005-0000-0000-00009D910000}"/>
    <cellStyle name="Normal 5 17 8 11" xfId="37278" xr:uid="{00000000-0005-0000-0000-00009E910000}"/>
    <cellStyle name="Normal 5 17 8 12" xfId="37279" xr:uid="{00000000-0005-0000-0000-00009F910000}"/>
    <cellStyle name="Normal 5 17 8 13" xfId="37280" xr:uid="{00000000-0005-0000-0000-0000A0910000}"/>
    <cellStyle name="Normal 5 17 8 14" xfId="37281" xr:uid="{00000000-0005-0000-0000-0000A1910000}"/>
    <cellStyle name="Normal 5 17 8 2" xfId="37282" xr:uid="{00000000-0005-0000-0000-0000A2910000}"/>
    <cellStyle name="Normal 5 17 8 2 10" xfId="37283" xr:uid="{00000000-0005-0000-0000-0000A3910000}"/>
    <cellStyle name="Normal 5 17 8 2 2" xfId="37284" xr:uid="{00000000-0005-0000-0000-0000A4910000}"/>
    <cellStyle name="Normal 5 17 8 2 3" xfId="37285" xr:uid="{00000000-0005-0000-0000-0000A5910000}"/>
    <cellStyle name="Normal 5 17 8 2 4" xfId="37286" xr:uid="{00000000-0005-0000-0000-0000A6910000}"/>
    <cellStyle name="Normal 5 17 8 2 5" xfId="37287" xr:uid="{00000000-0005-0000-0000-0000A7910000}"/>
    <cellStyle name="Normal 5 17 8 2 6" xfId="37288" xr:uid="{00000000-0005-0000-0000-0000A8910000}"/>
    <cellStyle name="Normal 5 17 8 2 7" xfId="37289" xr:uid="{00000000-0005-0000-0000-0000A9910000}"/>
    <cellStyle name="Normal 5 17 8 2 8" xfId="37290" xr:uid="{00000000-0005-0000-0000-0000AA910000}"/>
    <cellStyle name="Normal 5 17 8 2 9" xfId="37291" xr:uid="{00000000-0005-0000-0000-0000AB910000}"/>
    <cellStyle name="Normal 5 17 8 3" xfId="37292" xr:uid="{00000000-0005-0000-0000-0000AC910000}"/>
    <cellStyle name="Normal 5 17 8 3 10" xfId="37293" xr:uid="{00000000-0005-0000-0000-0000AD910000}"/>
    <cellStyle name="Normal 5 17 8 3 2" xfId="37294" xr:uid="{00000000-0005-0000-0000-0000AE910000}"/>
    <cellStyle name="Normal 5 17 8 3 3" xfId="37295" xr:uid="{00000000-0005-0000-0000-0000AF910000}"/>
    <cellStyle name="Normal 5 17 8 3 4" xfId="37296" xr:uid="{00000000-0005-0000-0000-0000B0910000}"/>
    <cellStyle name="Normal 5 17 8 3 5" xfId="37297" xr:uid="{00000000-0005-0000-0000-0000B1910000}"/>
    <cellStyle name="Normal 5 17 8 3 6" xfId="37298" xr:uid="{00000000-0005-0000-0000-0000B2910000}"/>
    <cellStyle name="Normal 5 17 8 3 7" xfId="37299" xr:uid="{00000000-0005-0000-0000-0000B3910000}"/>
    <cellStyle name="Normal 5 17 8 3 8" xfId="37300" xr:uid="{00000000-0005-0000-0000-0000B4910000}"/>
    <cellStyle name="Normal 5 17 8 3 9" xfId="37301" xr:uid="{00000000-0005-0000-0000-0000B5910000}"/>
    <cellStyle name="Normal 5 17 8 4" xfId="37302" xr:uid="{00000000-0005-0000-0000-0000B6910000}"/>
    <cellStyle name="Normal 5 17 8 4 10" xfId="37303" xr:uid="{00000000-0005-0000-0000-0000B7910000}"/>
    <cellStyle name="Normal 5 17 8 4 2" xfId="37304" xr:uid="{00000000-0005-0000-0000-0000B8910000}"/>
    <cellStyle name="Normal 5 17 8 4 3" xfId="37305" xr:uid="{00000000-0005-0000-0000-0000B9910000}"/>
    <cellStyle name="Normal 5 17 8 4 4" xfId="37306" xr:uid="{00000000-0005-0000-0000-0000BA910000}"/>
    <cellStyle name="Normal 5 17 8 4 5" xfId="37307" xr:uid="{00000000-0005-0000-0000-0000BB910000}"/>
    <cellStyle name="Normal 5 17 8 4 6" xfId="37308" xr:uid="{00000000-0005-0000-0000-0000BC910000}"/>
    <cellStyle name="Normal 5 17 8 4 7" xfId="37309" xr:uid="{00000000-0005-0000-0000-0000BD910000}"/>
    <cellStyle name="Normal 5 17 8 4 8" xfId="37310" xr:uid="{00000000-0005-0000-0000-0000BE910000}"/>
    <cellStyle name="Normal 5 17 8 4 9" xfId="37311" xr:uid="{00000000-0005-0000-0000-0000BF910000}"/>
    <cellStyle name="Normal 5 17 8 5" xfId="37312" xr:uid="{00000000-0005-0000-0000-0000C0910000}"/>
    <cellStyle name="Normal 5 17 8 5 10" xfId="37313" xr:uid="{00000000-0005-0000-0000-0000C1910000}"/>
    <cellStyle name="Normal 5 17 8 5 2" xfId="37314" xr:uid="{00000000-0005-0000-0000-0000C2910000}"/>
    <cellStyle name="Normal 5 17 8 5 3" xfId="37315" xr:uid="{00000000-0005-0000-0000-0000C3910000}"/>
    <cellStyle name="Normal 5 17 8 5 4" xfId="37316" xr:uid="{00000000-0005-0000-0000-0000C4910000}"/>
    <cellStyle name="Normal 5 17 8 5 5" xfId="37317" xr:uid="{00000000-0005-0000-0000-0000C5910000}"/>
    <cellStyle name="Normal 5 17 8 5 6" xfId="37318" xr:uid="{00000000-0005-0000-0000-0000C6910000}"/>
    <cellStyle name="Normal 5 17 8 5 7" xfId="37319" xr:uid="{00000000-0005-0000-0000-0000C7910000}"/>
    <cellStyle name="Normal 5 17 8 5 8" xfId="37320" xr:uid="{00000000-0005-0000-0000-0000C8910000}"/>
    <cellStyle name="Normal 5 17 8 5 9" xfId="37321" xr:uid="{00000000-0005-0000-0000-0000C9910000}"/>
    <cellStyle name="Normal 5 17 8 6" xfId="37322" xr:uid="{00000000-0005-0000-0000-0000CA910000}"/>
    <cellStyle name="Normal 5 17 8 7" xfId="37323" xr:uid="{00000000-0005-0000-0000-0000CB910000}"/>
    <cellStyle name="Normal 5 17 8 8" xfId="37324" xr:uid="{00000000-0005-0000-0000-0000CC910000}"/>
    <cellStyle name="Normal 5 17 8 9" xfId="37325" xr:uid="{00000000-0005-0000-0000-0000CD910000}"/>
    <cellStyle name="Normal 5 17 9" xfId="37326" xr:uid="{00000000-0005-0000-0000-0000CE910000}"/>
    <cellStyle name="Normal 5 17 9 10" xfId="37327" xr:uid="{00000000-0005-0000-0000-0000CF910000}"/>
    <cellStyle name="Normal 5 17 9 11" xfId="37328" xr:uid="{00000000-0005-0000-0000-0000D0910000}"/>
    <cellStyle name="Normal 5 17 9 12" xfId="37329" xr:uid="{00000000-0005-0000-0000-0000D1910000}"/>
    <cellStyle name="Normal 5 17 9 13" xfId="37330" xr:uid="{00000000-0005-0000-0000-0000D2910000}"/>
    <cellStyle name="Normal 5 17 9 14" xfId="37331" xr:uid="{00000000-0005-0000-0000-0000D3910000}"/>
    <cellStyle name="Normal 5 17 9 2" xfId="37332" xr:uid="{00000000-0005-0000-0000-0000D4910000}"/>
    <cellStyle name="Normal 5 17 9 2 10" xfId="37333" xr:uid="{00000000-0005-0000-0000-0000D5910000}"/>
    <cellStyle name="Normal 5 17 9 2 2" xfId="37334" xr:uid="{00000000-0005-0000-0000-0000D6910000}"/>
    <cellStyle name="Normal 5 17 9 2 3" xfId="37335" xr:uid="{00000000-0005-0000-0000-0000D7910000}"/>
    <cellStyle name="Normal 5 17 9 2 4" xfId="37336" xr:uid="{00000000-0005-0000-0000-0000D8910000}"/>
    <cellStyle name="Normal 5 17 9 2 5" xfId="37337" xr:uid="{00000000-0005-0000-0000-0000D9910000}"/>
    <cellStyle name="Normal 5 17 9 2 6" xfId="37338" xr:uid="{00000000-0005-0000-0000-0000DA910000}"/>
    <cellStyle name="Normal 5 17 9 2 7" xfId="37339" xr:uid="{00000000-0005-0000-0000-0000DB910000}"/>
    <cellStyle name="Normal 5 17 9 2 8" xfId="37340" xr:uid="{00000000-0005-0000-0000-0000DC910000}"/>
    <cellStyle name="Normal 5 17 9 2 9" xfId="37341" xr:uid="{00000000-0005-0000-0000-0000DD910000}"/>
    <cellStyle name="Normal 5 17 9 3" xfId="37342" xr:uid="{00000000-0005-0000-0000-0000DE910000}"/>
    <cellStyle name="Normal 5 17 9 3 10" xfId="37343" xr:uid="{00000000-0005-0000-0000-0000DF910000}"/>
    <cellStyle name="Normal 5 17 9 3 2" xfId="37344" xr:uid="{00000000-0005-0000-0000-0000E0910000}"/>
    <cellStyle name="Normal 5 17 9 3 3" xfId="37345" xr:uid="{00000000-0005-0000-0000-0000E1910000}"/>
    <cellStyle name="Normal 5 17 9 3 4" xfId="37346" xr:uid="{00000000-0005-0000-0000-0000E2910000}"/>
    <cellStyle name="Normal 5 17 9 3 5" xfId="37347" xr:uid="{00000000-0005-0000-0000-0000E3910000}"/>
    <cellStyle name="Normal 5 17 9 3 6" xfId="37348" xr:uid="{00000000-0005-0000-0000-0000E4910000}"/>
    <cellStyle name="Normal 5 17 9 3 7" xfId="37349" xr:uid="{00000000-0005-0000-0000-0000E5910000}"/>
    <cellStyle name="Normal 5 17 9 3 8" xfId="37350" xr:uid="{00000000-0005-0000-0000-0000E6910000}"/>
    <cellStyle name="Normal 5 17 9 3 9" xfId="37351" xr:uid="{00000000-0005-0000-0000-0000E7910000}"/>
    <cellStyle name="Normal 5 17 9 4" xfId="37352" xr:uid="{00000000-0005-0000-0000-0000E8910000}"/>
    <cellStyle name="Normal 5 17 9 4 10" xfId="37353" xr:uid="{00000000-0005-0000-0000-0000E9910000}"/>
    <cellStyle name="Normal 5 17 9 4 2" xfId="37354" xr:uid="{00000000-0005-0000-0000-0000EA910000}"/>
    <cellStyle name="Normal 5 17 9 4 3" xfId="37355" xr:uid="{00000000-0005-0000-0000-0000EB910000}"/>
    <cellStyle name="Normal 5 17 9 4 4" xfId="37356" xr:uid="{00000000-0005-0000-0000-0000EC910000}"/>
    <cellStyle name="Normal 5 17 9 4 5" xfId="37357" xr:uid="{00000000-0005-0000-0000-0000ED910000}"/>
    <cellStyle name="Normal 5 17 9 4 6" xfId="37358" xr:uid="{00000000-0005-0000-0000-0000EE910000}"/>
    <cellStyle name="Normal 5 17 9 4 7" xfId="37359" xr:uid="{00000000-0005-0000-0000-0000EF910000}"/>
    <cellStyle name="Normal 5 17 9 4 8" xfId="37360" xr:uid="{00000000-0005-0000-0000-0000F0910000}"/>
    <cellStyle name="Normal 5 17 9 4 9" xfId="37361" xr:uid="{00000000-0005-0000-0000-0000F1910000}"/>
    <cellStyle name="Normal 5 17 9 5" xfId="37362" xr:uid="{00000000-0005-0000-0000-0000F2910000}"/>
    <cellStyle name="Normal 5 17 9 5 10" xfId="37363" xr:uid="{00000000-0005-0000-0000-0000F3910000}"/>
    <cellStyle name="Normal 5 17 9 5 2" xfId="37364" xr:uid="{00000000-0005-0000-0000-0000F4910000}"/>
    <cellStyle name="Normal 5 17 9 5 3" xfId="37365" xr:uid="{00000000-0005-0000-0000-0000F5910000}"/>
    <cellStyle name="Normal 5 17 9 5 4" xfId="37366" xr:uid="{00000000-0005-0000-0000-0000F6910000}"/>
    <cellStyle name="Normal 5 17 9 5 5" xfId="37367" xr:uid="{00000000-0005-0000-0000-0000F7910000}"/>
    <cellStyle name="Normal 5 17 9 5 6" xfId="37368" xr:uid="{00000000-0005-0000-0000-0000F8910000}"/>
    <cellStyle name="Normal 5 17 9 5 7" xfId="37369" xr:uid="{00000000-0005-0000-0000-0000F9910000}"/>
    <cellStyle name="Normal 5 17 9 5 8" xfId="37370" xr:uid="{00000000-0005-0000-0000-0000FA910000}"/>
    <cellStyle name="Normal 5 17 9 5 9" xfId="37371" xr:uid="{00000000-0005-0000-0000-0000FB910000}"/>
    <cellStyle name="Normal 5 17 9 6" xfId="37372" xr:uid="{00000000-0005-0000-0000-0000FC910000}"/>
    <cellStyle name="Normal 5 17 9 7" xfId="37373" xr:uid="{00000000-0005-0000-0000-0000FD910000}"/>
    <cellStyle name="Normal 5 17 9 8" xfId="37374" xr:uid="{00000000-0005-0000-0000-0000FE910000}"/>
    <cellStyle name="Normal 5 17 9 9" xfId="37375" xr:uid="{00000000-0005-0000-0000-0000FF910000}"/>
    <cellStyle name="Normal 5 18" xfId="37376" xr:uid="{00000000-0005-0000-0000-000000920000}"/>
    <cellStyle name="Normal 5 18 2" xfId="37377" xr:uid="{00000000-0005-0000-0000-000001920000}"/>
    <cellStyle name="Normal 5 18 2 2" xfId="37378" xr:uid="{00000000-0005-0000-0000-000002920000}"/>
    <cellStyle name="Normal 5 18 3" xfId="37379" xr:uid="{00000000-0005-0000-0000-000003920000}"/>
    <cellStyle name="Normal 5 18 4" xfId="37380" xr:uid="{00000000-0005-0000-0000-000004920000}"/>
    <cellStyle name="Normal 5 19" xfId="37381" xr:uid="{00000000-0005-0000-0000-000005920000}"/>
    <cellStyle name="Normal 5 19 2" xfId="37382" xr:uid="{00000000-0005-0000-0000-000006920000}"/>
    <cellStyle name="Normal 5 19 2 2" xfId="37383" xr:uid="{00000000-0005-0000-0000-000007920000}"/>
    <cellStyle name="Normal 5 19 3" xfId="37384" xr:uid="{00000000-0005-0000-0000-000008920000}"/>
    <cellStyle name="Normal 5 19 4" xfId="37385" xr:uid="{00000000-0005-0000-0000-000009920000}"/>
    <cellStyle name="Normal 5 2" xfId="37386" xr:uid="{00000000-0005-0000-0000-00000A920000}"/>
    <cellStyle name="Normal 5 2 10" xfId="37387" xr:uid="{00000000-0005-0000-0000-00000B920000}"/>
    <cellStyle name="Normal 5 2 11" xfId="37388" xr:uid="{00000000-0005-0000-0000-00000C920000}"/>
    <cellStyle name="Normal 5 2 12" xfId="37389" xr:uid="{00000000-0005-0000-0000-00000D920000}"/>
    <cellStyle name="Normal 5 2 13" xfId="37390" xr:uid="{00000000-0005-0000-0000-00000E920000}"/>
    <cellStyle name="Normal 5 2 14" xfId="37391" xr:uid="{00000000-0005-0000-0000-00000F920000}"/>
    <cellStyle name="Normal 5 2 15" xfId="37392" xr:uid="{00000000-0005-0000-0000-000010920000}"/>
    <cellStyle name="Normal 5 2 16" xfId="37393" xr:uid="{00000000-0005-0000-0000-000011920000}"/>
    <cellStyle name="Normal 5 2 17" xfId="37394" xr:uid="{00000000-0005-0000-0000-000012920000}"/>
    <cellStyle name="Normal 5 2 18" xfId="37395" xr:uid="{00000000-0005-0000-0000-000013920000}"/>
    <cellStyle name="Normal 5 2 19" xfId="37396" xr:uid="{00000000-0005-0000-0000-000014920000}"/>
    <cellStyle name="Normal 5 2 2" xfId="37397" xr:uid="{00000000-0005-0000-0000-000015920000}"/>
    <cellStyle name="Normal 5 2 2 2" xfId="37398" xr:uid="{00000000-0005-0000-0000-000016920000}"/>
    <cellStyle name="Normal 5 2 2 2 2" xfId="37399" xr:uid="{00000000-0005-0000-0000-000017920000}"/>
    <cellStyle name="Normal 5 2 20" xfId="37400" xr:uid="{00000000-0005-0000-0000-000018920000}"/>
    <cellStyle name="Normal 5 2 21" xfId="37401" xr:uid="{00000000-0005-0000-0000-000019920000}"/>
    <cellStyle name="Normal 5 2 22" xfId="37402" xr:uid="{00000000-0005-0000-0000-00001A920000}"/>
    <cellStyle name="Normal 5 2 23" xfId="37403" xr:uid="{00000000-0005-0000-0000-00001B920000}"/>
    <cellStyle name="Normal 5 2 24" xfId="37404" xr:uid="{00000000-0005-0000-0000-00001C920000}"/>
    <cellStyle name="Normal 5 2 25" xfId="37405" xr:uid="{00000000-0005-0000-0000-00001D920000}"/>
    <cellStyle name="Normal 5 2 26" xfId="37406" xr:uid="{00000000-0005-0000-0000-00001E920000}"/>
    <cellStyle name="Normal 5 2 27" xfId="37407" xr:uid="{00000000-0005-0000-0000-00001F920000}"/>
    <cellStyle name="Normal 5 2 28" xfId="37408" xr:uid="{00000000-0005-0000-0000-000020920000}"/>
    <cellStyle name="Normal 5 2 29" xfId="37409" xr:uid="{00000000-0005-0000-0000-000021920000}"/>
    <cellStyle name="Normal 5 2 3" xfId="37410" xr:uid="{00000000-0005-0000-0000-000022920000}"/>
    <cellStyle name="Normal 5 2 30" xfId="37411" xr:uid="{00000000-0005-0000-0000-000023920000}"/>
    <cellStyle name="Normal 5 2 31" xfId="37412" xr:uid="{00000000-0005-0000-0000-000024920000}"/>
    <cellStyle name="Normal 5 2 32" xfId="37413" xr:uid="{00000000-0005-0000-0000-000025920000}"/>
    <cellStyle name="Normal 5 2 33" xfId="37414" xr:uid="{00000000-0005-0000-0000-000026920000}"/>
    <cellStyle name="Normal 5 2 34" xfId="37415" xr:uid="{00000000-0005-0000-0000-000027920000}"/>
    <cellStyle name="Normal 5 2 35" xfId="37416" xr:uid="{00000000-0005-0000-0000-000028920000}"/>
    <cellStyle name="Normal 5 2 36" xfId="37417" xr:uid="{00000000-0005-0000-0000-000029920000}"/>
    <cellStyle name="Normal 5 2 37" xfId="37418" xr:uid="{00000000-0005-0000-0000-00002A920000}"/>
    <cellStyle name="Normal 5 2 38" xfId="37419" xr:uid="{00000000-0005-0000-0000-00002B920000}"/>
    <cellStyle name="Normal 5 2 39" xfId="37420" xr:uid="{00000000-0005-0000-0000-00002C920000}"/>
    <cellStyle name="Normal 5 2 4" xfId="37421" xr:uid="{00000000-0005-0000-0000-00002D920000}"/>
    <cellStyle name="Normal 5 2 40" xfId="37422" xr:uid="{00000000-0005-0000-0000-00002E920000}"/>
    <cellStyle name="Normal 5 2 41" xfId="37423" xr:uid="{00000000-0005-0000-0000-00002F920000}"/>
    <cellStyle name="Normal 5 2 42" xfId="37424" xr:uid="{00000000-0005-0000-0000-000030920000}"/>
    <cellStyle name="Normal 5 2 43" xfId="37425" xr:uid="{00000000-0005-0000-0000-000031920000}"/>
    <cellStyle name="Normal 5 2 44" xfId="37426" xr:uid="{00000000-0005-0000-0000-000032920000}"/>
    <cellStyle name="Normal 5 2 45" xfId="37427" xr:uid="{00000000-0005-0000-0000-000033920000}"/>
    <cellStyle name="Normal 5 2 46" xfId="37428" xr:uid="{00000000-0005-0000-0000-000034920000}"/>
    <cellStyle name="Normal 5 2 47" xfId="37429" xr:uid="{00000000-0005-0000-0000-000035920000}"/>
    <cellStyle name="Normal 5 2 48" xfId="37430" xr:uid="{00000000-0005-0000-0000-000036920000}"/>
    <cellStyle name="Normal 5 2 49" xfId="37431" xr:uid="{00000000-0005-0000-0000-000037920000}"/>
    <cellStyle name="Normal 5 2 5" xfId="37432" xr:uid="{00000000-0005-0000-0000-000038920000}"/>
    <cellStyle name="Normal 5 2 50" xfId="37433" xr:uid="{00000000-0005-0000-0000-000039920000}"/>
    <cellStyle name="Normal 5 2 51" xfId="37434" xr:uid="{00000000-0005-0000-0000-00003A920000}"/>
    <cellStyle name="Normal 5 2 52" xfId="37435" xr:uid="{00000000-0005-0000-0000-00003B920000}"/>
    <cellStyle name="Normal 5 2 53" xfId="37436" xr:uid="{00000000-0005-0000-0000-00003C920000}"/>
    <cellStyle name="Normal 5 2 54" xfId="37437" xr:uid="{00000000-0005-0000-0000-00003D920000}"/>
    <cellStyle name="Normal 5 2 55" xfId="37438" xr:uid="{00000000-0005-0000-0000-00003E920000}"/>
    <cellStyle name="Normal 5 2 56" xfId="37439" xr:uid="{00000000-0005-0000-0000-00003F920000}"/>
    <cellStyle name="Normal 5 2 57" xfId="37440" xr:uid="{00000000-0005-0000-0000-000040920000}"/>
    <cellStyle name="Normal 5 2 58" xfId="37441" xr:uid="{00000000-0005-0000-0000-000041920000}"/>
    <cellStyle name="Normal 5 2 59" xfId="37442" xr:uid="{00000000-0005-0000-0000-000042920000}"/>
    <cellStyle name="Normal 5 2 6" xfId="37443" xr:uid="{00000000-0005-0000-0000-000043920000}"/>
    <cellStyle name="Normal 5 2 60" xfId="37444" xr:uid="{00000000-0005-0000-0000-000044920000}"/>
    <cellStyle name="Normal 5 2 61" xfId="37445" xr:uid="{00000000-0005-0000-0000-000045920000}"/>
    <cellStyle name="Normal 5 2 62" xfId="37446" xr:uid="{00000000-0005-0000-0000-000046920000}"/>
    <cellStyle name="Normal 5 2 63" xfId="37447" xr:uid="{00000000-0005-0000-0000-000047920000}"/>
    <cellStyle name="Normal 5 2 64" xfId="37448" xr:uid="{00000000-0005-0000-0000-000048920000}"/>
    <cellStyle name="Normal 5 2 65" xfId="37449" xr:uid="{00000000-0005-0000-0000-000049920000}"/>
    <cellStyle name="Normal 5 2 66" xfId="37450" xr:uid="{00000000-0005-0000-0000-00004A920000}"/>
    <cellStyle name="Normal 5 2 67" xfId="37451" xr:uid="{00000000-0005-0000-0000-00004B920000}"/>
    <cellStyle name="Normal 5 2 68" xfId="37452" xr:uid="{00000000-0005-0000-0000-00004C920000}"/>
    <cellStyle name="Normal 5 2 69" xfId="37453" xr:uid="{00000000-0005-0000-0000-00004D920000}"/>
    <cellStyle name="Normal 5 2 7" xfId="37454" xr:uid="{00000000-0005-0000-0000-00004E920000}"/>
    <cellStyle name="Normal 5 2 70" xfId="37455" xr:uid="{00000000-0005-0000-0000-00004F920000}"/>
    <cellStyle name="Normal 5 2 71" xfId="37456" xr:uid="{00000000-0005-0000-0000-000050920000}"/>
    <cellStyle name="Normal 5 2 72" xfId="37457" xr:uid="{00000000-0005-0000-0000-000051920000}"/>
    <cellStyle name="Normal 5 2 73" xfId="37458" xr:uid="{00000000-0005-0000-0000-000052920000}"/>
    <cellStyle name="Normal 5 2 74" xfId="37459" xr:uid="{00000000-0005-0000-0000-000053920000}"/>
    <cellStyle name="Normal 5 2 75" xfId="37460" xr:uid="{00000000-0005-0000-0000-000054920000}"/>
    <cellStyle name="Normal 5 2 76" xfId="37461" xr:uid="{00000000-0005-0000-0000-000055920000}"/>
    <cellStyle name="Normal 5 2 77" xfId="37462" xr:uid="{00000000-0005-0000-0000-000056920000}"/>
    <cellStyle name="Normal 5 2 78" xfId="37463" xr:uid="{00000000-0005-0000-0000-000057920000}"/>
    <cellStyle name="Normal 5 2 79" xfId="37464" xr:uid="{00000000-0005-0000-0000-000058920000}"/>
    <cellStyle name="Normal 5 2 8" xfId="37465" xr:uid="{00000000-0005-0000-0000-000059920000}"/>
    <cellStyle name="Normal 5 2 80" xfId="37466" xr:uid="{00000000-0005-0000-0000-00005A920000}"/>
    <cellStyle name="Normal 5 2 81" xfId="37467" xr:uid="{00000000-0005-0000-0000-00005B920000}"/>
    <cellStyle name="Normal 5 2 82" xfId="37468" xr:uid="{00000000-0005-0000-0000-00005C920000}"/>
    <cellStyle name="Normal 5 2 9" xfId="37469" xr:uid="{00000000-0005-0000-0000-00005D920000}"/>
    <cellStyle name="Normal 5 2_Enlaces" xfId="37470" xr:uid="{00000000-0005-0000-0000-00005E920000}"/>
    <cellStyle name="Normal 5 20" xfId="37471" xr:uid="{00000000-0005-0000-0000-00005F920000}"/>
    <cellStyle name="Normal 5 20 2" xfId="37472" xr:uid="{00000000-0005-0000-0000-000060920000}"/>
    <cellStyle name="Normal 5 20 2 2" xfId="37473" xr:uid="{00000000-0005-0000-0000-000061920000}"/>
    <cellStyle name="Normal 5 20 3" xfId="37474" xr:uid="{00000000-0005-0000-0000-000062920000}"/>
    <cellStyle name="Normal 5 20 4" xfId="37475" xr:uid="{00000000-0005-0000-0000-000063920000}"/>
    <cellStyle name="Normal 5 21" xfId="37476" xr:uid="{00000000-0005-0000-0000-000064920000}"/>
    <cellStyle name="Normal 5 21 2" xfId="37477" xr:uid="{00000000-0005-0000-0000-000065920000}"/>
    <cellStyle name="Normal 5 21 2 2" xfId="37478" xr:uid="{00000000-0005-0000-0000-000066920000}"/>
    <cellStyle name="Normal 5 21 3" xfId="37479" xr:uid="{00000000-0005-0000-0000-000067920000}"/>
    <cellStyle name="Normal 5 21 4" xfId="37480" xr:uid="{00000000-0005-0000-0000-000068920000}"/>
    <cellStyle name="Normal 5 22" xfId="37481" xr:uid="{00000000-0005-0000-0000-000069920000}"/>
    <cellStyle name="Normal 5 22 2" xfId="37482" xr:uid="{00000000-0005-0000-0000-00006A920000}"/>
    <cellStyle name="Normal 5 22 3" xfId="37483" xr:uid="{00000000-0005-0000-0000-00006B920000}"/>
    <cellStyle name="Normal 5 23" xfId="37484" xr:uid="{00000000-0005-0000-0000-00006C920000}"/>
    <cellStyle name="Normal 5 24" xfId="37485" xr:uid="{00000000-0005-0000-0000-00006D920000}"/>
    <cellStyle name="Normal 5 25" xfId="37486" xr:uid="{00000000-0005-0000-0000-00006E920000}"/>
    <cellStyle name="Normal 5 26" xfId="37487" xr:uid="{00000000-0005-0000-0000-00006F920000}"/>
    <cellStyle name="Normal 5 27" xfId="37488" xr:uid="{00000000-0005-0000-0000-000070920000}"/>
    <cellStyle name="Normal 5 28" xfId="37489" xr:uid="{00000000-0005-0000-0000-000071920000}"/>
    <cellStyle name="Normal 5 29" xfId="37490" xr:uid="{00000000-0005-0000-0000-000072920000}"/>
    <cellStyle name="Normal 5 3" xfId="37491" xr:uid="{00000000-0005-0000-0000-000073920000}"/>
    <cellStyle name="Normal 5 3 10" xfId="37492" xr:uid="{00000000-0005-0000-0000-000074920000}"/>
    <cellStyle name="Normal 5 3 11" xfId="37493" xr:uid="{00000000-0005-0000-0000-000075920000}"/>
    <cellStyle name="Normal 5 3 12" xfId="37494" xr:uid="{00000000-0005-0000-0000-000076920000}"/>
    <cellStyle name="Normal 5 3 2" xfId="37495" xr:uid="{00000000-0005-0000-0000-000077920000}"/>
    <cellStyle name="Normal 5 3 3" xfId="37496" xr:uid="{00000000-0005-0000-0000-000078920000}"/>
    <cellStyle name="Normal 5 3 4" xfId="37497" xr:uid="{00000000-0005-0000-0000-000079920000}"/>
    <cellStyle name="Normal 5 3 4 2" xfId="37498" xr:uid="{00000000-0005-0000-0000-00007A920000}"/>
    <cellStyle name="Normal 5 3 4 2 2" xfId="37499" xr:uid="{00000000-0005-0000-0000-00007B920000}"/>
    <cellStyle name="Normal 5 3 4 3" xfId="37500" xr:uid="{00000000-0005-0000-0000-00007C920000}"/>
    <cellStyle name="Normal 5 3 5" xfId="37501" xr:uid="{00000000-0005-0000-0000-00007D920000}"/>
    <cellStyle name="Normal 5 3 6" xfId="37502" xr:uid="{00000000-0005-0000-0000-00007E920000}"/>
    <cellStyle name="Normal 5 3 7" xfId="37503" xr:uid="{00000000-0005-0000-0000-00007F920000}"/>
    <cellStyle name="Normal 5 3 7 2" xfId="37504" xr:uid="{00000000-0005-0000-0000-000080920000}"/>
    <cellStyle name="Normal 5 3 8" xfId="37505" xr:uid="{00000000-0005-0000-0000-000081920000}"/>
    <cellStyle name="Normal 5 3 9" xfId="37506" xr:uid="{00000000-0005-0000-0000-000082920000}"/>
    <cellStyle name="Normal 5 3_Implem" xfId="37507" xr:uid="{00000000-0005-0000-0000-000083920000}"/>
    <cellStyle name="Normal 5 30" xfId="37508" xr:uid="{00000000-0005-0000-0000-000084920000}"/>
    <cellStyle name="Normal 5 31" xfId="37509" xr:uid="{00000000-0005-0000-0000-000085920000}"/>
    <cellStyle name="Normal 5 32" xfId="37510" xr:uid="{00000000-0005-0000-0000-000086920000}"/>
    <cellStyle name="Normal 5 33" xfId="37511" xr:uid="{00000000-0005-0000-0000-000087920000}"/>
    <cellStyle name="Normal 5 34" xfId="37512" xr:uid="{00000000-0005-0000-0000-000088920000}"/>
    <cellStyle name="Normal 5 35" xfId="37513" xr:uid="{00000000-0005-0000-0000-000089920000}"/>
    <cellStyle name="Normal 5 36" xfId="37514" xr:uid="{00000000-0005-0000-0000-00008A920000}"/>
    <cellStyle name="Normal 5 37" xfId="37515" xr:uid="{00000000-0005-0000-0000-00008B920000}"/>
    <cellStyle name="Normal 5 38" xfId="37516" xr:uid="{00000000-0005-0000-0000-00008C920000}"/>
    <cellStyle name="Normal 5 39" xfId="37517" xr:uid="{00000000-0005-0000-0000-00008D920000}"/>
    <cellStyle name="Normal 5 4" xfId="37518" xr:uid="{00000000-0005-0000-0000-00008E920000}"/>
    <cellStyle name="Normal 5 4 2" xfId="37519" xr:uid="{00000000-0005-0000-0000-00008F920000}"/>
    <cellStyle name="Normal 5 4 2 2" xfId="37520" xr:uid="{00000000-0005-0000-0000-000090920000}"/>
    <cellStyle name="Normal 5 4 3" xfId="37521" xr:uid="{00000000-0005-0000-0000-000091920000}"/>
    <cellStyle name="Normal 5 4 4" xfId="37522" xr:uid="{00000000-0005-0000-0000-000092920000}"/>
    <cellStyle name="Normal 5 40" xfId="37523" xr:uid="{00000000-0005-0000-0000-000093920000}"/>
    <cellStyle name="Normal 5 41" xfId="37524" xr:uid="{00000000-0005-0000-0000-000094920000}"/>
    <cellStyle name="Normal 5 42" xfId="37525" xr:uid="{00000000-0005-0000-0000-000095920000}"/>
    <cellStyle name="Normal 5 43" xfId="37526" xr:uid="{00000000-0005-0000-0000-000096920000}"/>
    <cellStyle name="Normal 5 44" xfId="37527" xr:uid="{00000000-0005-0000-0000-000097920000}"/>
    <cellStyle name="Normal 5 45" xfId="37528" xr:uid="{00000000-0005-0000-0000-000098920000}"/>
    <cellStyle name="Normal 5 46" xfId="37529" xr:uid="{00000000-0005-0000-0000-000099920000}"/>
    <cellStyle name="Normal 5 47" xfId="37530" xr:uid="{00000000-0005-0000-0000-00009A920000}"/>
    <cellStyle name="Normal 5 48" xfId="37531" xr:uid="{00000000-0005-0000-0000-00009B920000}"/>
    <cellStyle name="Normal 5 49" xfId="37532" xr:uid="{00000000-0005-0000-0000-00009C920000}"/>
    <cellStyle name="Normal 5 5" xfId="37533" xr:uid="{00000000-0005-0000-0000-00009D920000}"/>
    <cellStyle name="Normal 5 5 2" xfId="37534" xr:uid="{00000000-0005-0000-0000-00009E920000}"/>
    <cellStyle name="Normal 5 5 2 2" xfId="37535" xr:uid="{00000000-0005-0000-0000-00009F920000}"/>
    <cellStyle name="Normal 5 5 3" xfId="37536" xr:uid="{00000000-0005-0000-0000-0000A0920000}"/>
    <cellStyle name="Normal 5 5 4" xfId="37537" xr:uid="{00000000-0005-0000-0000-0000A1920000}"/>
    <cellStyle name="Normal 5 50" xfId="37538" xr:uid="{00000000-0005-0000-0000-0000A2920000}"/>
    <cellStyle name="Normal 5 51" xfId="37539" xr:uid="{00000000-0005-0000-0000-0000A3920000}"/>
    <cellStyle name="Normal 5 52" xfId="37540" xr:uid="{00000000-0005-0000-0000-0000A4920000}"/>
    <cellStyle name="Normal 5 53" xfId="37541" xr:uid="{00000000-0005-0000-0000-0000A5920000}"/>
    <cellStyle name="Normal 5 54" xfId="37542" xr:uid="{00000000-0005-0000-0000-0000A6920000}"/>
    <cellStyle name="Normal 5 55" xfId="37543" xr:uid="{00000000-0005-0000-0000-0000A7920000}"/>
    <cellStyle name="Normal 5 56" xfId="37544" xr:uid="{00000000-0005-0000-0000-0000A8920000}"/>
    <cellStyle name="Normal 5 57" xfId="37545" xr:uid="{00000000-0005-0000-0000-0000A9920000}"/>
    <cellStyle name="Normal 5 58" xfId="37546" xr:uid="{00000000-0005-0000-0000-0000AA920000}"/>
    <cellStyle name="Normal 5 59" xfId="37547" xr:uid="{00000000-0005-0000-0000-0000AB920000}"/>
    <cellStyle name="Normal 5 6" xfId="37548" xr:uid="{00000000-0005-0000-0000-0000AC920000}"/>
    <cellStyle name="Normal 5 6 2" xfId="37549" xr:uid="{00000000-0005-0000-0000-0000AD920000}"/>
    <cellStyle name="Normal 5 6 2 2" xfId="37550" xr:uid="{00000000-0005-0000-0000-0000AE920000}"/>
    <cellStyle name="Normal 5 6 3" xfId="37551" xr:uid="{00000000-0005-0000-0000-0000AF920000}"/>
    <cellStyle name="Normal 5 6 4" xfId="37552" xr:uid="{00000000-0005-0000-0000-0000B0920000}"/>
    <cellStyle name="Normal 5 60" xfId="37553" xr:uid="{00000000-0005-0000-0000-0000B1920000}"/>
    <cellStyle name="Normal 5 7" xfId="37554" xr:uid="{00000000-0005-0000-0000-0000B2920000}"/>
    <cellStyle name="Normal 5 7 2" xfId="37555" xr:uid="{00000000-0005-0000-0000-0000B3920000}"/>
    <cellStyle name="Normal 5 7 2 2" xfId="37556" xr:uid="{00000000-0005-0000-0000-0000B4920000}"/>
    <cellStyle name="Normal 5 7 3" xfId="37557" xr:uid="{00000000-0005-0000-0000-0000B5920000}"/>
    <cellStyle name="Normal 5 7 4" xfId="37558" xr:uid="{00000000-0005-0000-0000-0000B6920000}"/>
    <cellStyle name="Normal 5 8" xfId="37559" xr:uid="{00000000-0005-0000-0000-0000B7920000}"/>
    <cellStyle name="Normal 5 8 2" xfId="37560" xr:uid="{00000000-0005-0000-0000-0000B8920000}"/>
    <cellStyle name="Normal 5 8 2 2" xfId="37561" xr:uid="{00000000-0005-0000-0000-0000B9920000}"/>
    <cellStyle name="Normal 5 8 3" xfId="37562" xr:uid="{00000000-0005-0000-0000-0000BA920000}"/>
    <cellStyle name="Normal 5 8 4" xfId="37563" xr:uid="{00000000-0005-0000-0000-0000BB920000}"/>
    <cellStyle name="Normal 5 9" xfId="37564" xr:uid="{00000000-0005-0000-0000-0000BC920000}"/>
    <cellStyle name="Normal 5 9 2" xfId="37565" xr:uid="{00000000-0005-0000-0000-0000BD920000}"/>
    <cellStyle name="Normal 5 9 2 2" xfId="37566" xr:uid="{00000000-0005-0000-0000-0000BE920000}"/>
    <cellStyle name="Normal 5 9 3" xfId="37567" xr:uid="{00000000-0005-0000-0000-0000BF920000}"/>
    <cellStyle name="Normal 5 9 4" xfId="37568" xr:uid="{00000000-0005-0000-0000-0000C0920000}"/>
    <cellStyle name="Normal 50" xfId="37569" xr:uid="{00000000-0005-0000-0000-0000C1920000}"/>
    <cellStyle name="Normal 50 10" xfId="37570" xr:uid="{00000000-0005-0000-0000-0000C2920000}"/>
    <cellStyle name="Normal 50 11" xfId="37571" xr:uid="{00000000-0005-0000-0000-0000C3920000}"/>
    <cellStyle name="Normal 50 12" xfId="37572" xr:uid="{00000000-0005-0000-0000-0000C4920000}"/>
    <cellStyle name="Normal 50 13" xfId="37573" xr:uid="{00000000-0005-0000-0000-0000C5920000}"/>
    <cellStyle name="Normal 50 14" xfId="37574" xr:uid="{00000000-0005-0000-0000-0000C6920000}"/>
    <cellStyle name="Normal 50 15" xfId="37575" xr:uid="{00000000-0005-0000-0000-0000C7920000}"/>
    <cellStyle name="Normal 50 16" xfId="37576" xr:uid="{00000000-0005-0000-0000-0000C8920000}"/>
    <cellStyle name="Normal 50 17" xfId="37577" xr:uid="{00000000-0005-0000-0000-0000C9920000}"/>
    <cellStyle name="Normal 50 18" xfId="37578" xr:uid="{00000000-0005-0000-0000-0000CA920000}"/>
    <cellStyle name="Normal 50 19" xfId="37579" xr:uid="{00000000-0005-0000-0000-0000CB920000}"/>
    <cellStyle name="Normal 50 2" xfId="37580" xr:uid="{00000000-0005-0000-0000-0000CC920000}"/>
    <cellStyle name="Normal 50 2 2" xfId="37581" xr:uid="{00000000-0005-0000-0000-0000CD920000}"/>
    <cellStyle name="Normal 50 20" xfId="37582" xr:uid="{00000000-0005-0000-0000-0000CE920000}"/>
    <cellStyle name="Normal 50 21" xfId="37583" xr:uid="{00000000-0005-0000-0000-0000CF920000}"/>
    <cellStyle name="Normal 50 22" xfId="37584" xr:uid="{00000000-0005-0000-0000-0000D0920000}"/>
    <cellStyle name="Normal 50 23" xfId="37585" xr:uid="{00000000-0005-0000-0000-0000D1920000}"/>
    <cellStyle name="Normal 50 24" xfId="37586" xr:uid="{00000000-0005-0000-0000-0000D2920000}"/>
    <cellStyle name="Normal 50 25" xfId="37587" xr:uid="{00000000-0005-0000-0000-0000D3920000}"/>
    <cellStyle name="Normal 50 26" xfId="37588" xr:uid="{00000000-0005-0000-0000-0000D4920000}"/>
    <cellStyle name="Normal 50 3" xfId="37589" xr:uid="{00000000-0005-0000-0000-0000D5920000}"/>
    <cellStyle name="Normal 50 3 2" xfId="37590" xr:uid="{00000000-0005-0000-0000-0000D6920000}"/>
    <cellStyle name="Normal 50 4" xfId="37591" xr:uid="{00000000-0005-0000-0000-0000D7920000}"/>
    <cellStyle name="Normal 50 4 2" xfId="37592" xr:uid="{00000000-0005-0000-0000-0000D8920000}"/>
    <cellStyle name="Normal 50 5" xfId="37593" xr:uid="{00000000-0005-0000-0000-0000D9920000}"/>
    <cellStyle name="Normal 50 5 2" xfId="37594" xr:uid="{00000000-0005-0000-0000-0000DA920000}"/>
    <cellStyle name="Normal 50 6" xfId="37595" xr:uid="{00000000-0005-0000-0000-0000DB920000}"/>
    <cellStyle name="Normal 50 7" xfId="37596" xr:uid="{00000000-0005-0000-0000-0000DC920000}"/>
    <cellStyle name="Normal 50 8" xfId="37597" xr:uid="{00000000-0005-0000-0000-0000DD920000}"/>
    <cellStyle name="Normal 50 9" xfId="37598" xr:uid="{00000000-0005-0000-0000-0000DE920000}"/>
    <cellStyle name="Normal 51" xfId="37599" xr:uid="{00000000-0005-0000-0000-0000DF920000}"/>
    <cellStyle name="Normal 52" xfId="37600" xr:uid="{00000000-0005-0000-0000-0000E0920000}"/>
    <cellStyle name="Normal 53" xfId="37601" xr:uid="{00000000-0005-0000-0000-0000E1920000}"/>
    <cellStyle name="Normal 54" xfId="37602" xr:uid="{00000000-0005-0000-0000-0000E2920000}"/>
    <cellStyle name="Normal 55" xfId="37603" xr:uid="{00000000-0005-0000-0000-0000E3920000}"/>
    <cellStyle name="Normal 56" xfId="37604" xr:uid="{00000000-0005-0000-0000-0000E4920000}"/>
    <cellStyle name="Normal 57" xfId="37605" xr:uid="{00000000-0005-0000-0000-0000E5920000}"/>
    <cellStyle name="Normal 58" xfId="37606" xr:uid="{00000000-0005-0000-0000-0000E6920000}"/>
    <cellStyle name="Normal 59" xfId="37607" xr:uid="{00000000-0005-0000-0000-0000E7920000}"/>
    <cellStyle name="Normal 6" xfId="37608" xr:uid="{00000000-0005-0000-0000-0000E8920000}"/>
    <cellStyle name="Normal 6 10" xfId="37609" xr:uid="{00000000-0005-0000-0000-0000E9920000}"/>
    <cellStyle name="Normal 6 11" xfId="37610" xr:uid="{00000000-0005-0000-0000-0000EA920000}"/>
    <cellStyle name="Normal 6 12" xfId="37611" xr:uid="{00000000-0005-0000-0000-0000EB920000}"/>
    <cellStyle name="Normal 6 13" xfId="37612" xr:uid="{00000000-0005-0000-0000-0000EC920000}"/>
    <cellStyle name="Normal 6 14" xfId="37613" xr:uid="{00000000-0005-0000-0000-0000ED920000}"/>
    <cellStyle name="Normal 6 15" xfId="37614" xr:uid="{00000000-0005-0000-0000-0000EE920000}"/>
    <cellStyle name="Normal 6 16" xfId="37615" xr:uid="{00000000-0005-0000-0000-0000EF920000}"/>
    <cellStyle name="Normal 6 17" xfId="37616" xr:uid="{00000000-0005-0000-0000-0000F0920000}"/>
    <cellStyle name="Normal 6 18" xfId="37617" xr:uid="{00000000-0005-0000-0000-0000F1920000}"/>
    <cellStyle name="Normal 6 19" xfId="37618" xr:uid="{00000000-0005-0000-0000-0000F2920000}"/>
    <cellStyle name="Normal 6 2" xfId="37619" xr:uid="{00000000-0005-0000-0000-0000F3920000}"/>
    <cellStyle name="Normal 6 2 10" xfId="37620" xr:uid="{00000000-0005-0000-0000-0000F4920000}"/>
    <cellStyle name="Normal 6 2 11" xfId="37621" xr:uid="{00000000-0005-0000-0000-0000F5920000}"/>
    <cellStyle name="Normal 6 2 12" xfId="37622" xr:uid="{00000000-0005-0000-0000-0000F6920000}"/>
    <cellStyle name="Normal 6 2 13" xfId="37623" xr:uid="{00000000-0005-0000-0000-0000F7920000}"/>
    <cellStyle name="Normal 6 2 14" xfId="37624" xr:uid="{00000000-0005-0000-0000-0000F8920000}"/>
    <cellStyle name="Normal 6 2 15" xfId="37625" xr:uid="{00000000-0005-0000-0000-0000F9920000}"/>
    <cellStyle name="Normal 6 2 16" xfId="37626" xr:uid="{00000000-0005-0000-0000-0000FA920000}"/>
    <cellStyle name="Normal 6 2 17" xfId="37627" xr:uid="{00000000-0005-0000-0000-0000FB920000}"/>
    <cellStyle name="Normal 6 2 18" xfId="37628" xr:uid="{00000000-0005-0000-0000-0000FC920000}"/>
    <cellStyle name="Normal 6 2 19" xfId="37629" xr:uid="{00000000-0005-0000-0000-0000FD920000}"/>
    <cellStyle name="Normal 6 2 2" xfId="37630" xr:uid="{00000000-0005-0000-0000-0000FE920000}"/>
    <cellStyle name="Normal 6 2 20" xfId="37631" xr:uid="{00000000-0005-0000-0000-0000FF920000}"/>
    <cellStyle name="Normal 6 2 21" xfId="37632" xr:uid="{00000000-0005-0000-0000-000000930000}"/>
    <cellStyle name="Normal 6 2 22" xfId="37633" xr:uid="{00000000-0005-0000-0000-000001930000}"/>
    <cellStyle name="Normal 6 2 23" xfId="37634" xr:uid="{00000000-0005-0000-0000-000002930000}"/>
    <cellStyle name="Normal 6 2 24" xfId="37635" xr:uid="{00000000-0005-0000-0000-000003930000}"/>
    <cellStyle name="Normal 6 2 25" xfId="37636" xr:uid="{00000000-0005-0000-0000-000004930000}"/>
    <cellStyle name="Normal 6 2 26" xfId="37637" xr:uid="{00000000-0005-0000-0000-000005930000}"/>
    <cellStyle name="Normal 6 2 27" xfId="37638" xr:uid="{00000000-0005-0000-0000-000006930000}"/>
    <cellStyle name="Normal 6 2 28" xfId="37639" xr:uid="{00000000-0005-0000-0000-000007930000}"/>
    <cellStyle name="Normal 6 2 29" xfId="37640" xr:uid="{00000000-0005-0000-0000-000008930000}"/>
    <cellStyle name="Normal 6 2 3" xfId="37641" xr:uid="{00000000-0005-0000-0000-000009930000}"/>
    <cellStyle name="Normal 6 2 30" xfId="37642" xr:uid="{00000000-0005-0000-0000-00000A930000}"/>
    <cellStyle name="Normal 6 2 31" xfId="37643" xr:uid="{00000000-0005-0000-0000-00000B930000}"/>
    <cellStyle name="Normal 6 2 32" xfId="37644" xr:uid="{00000000-0005-0000-0000-00000C930000}"/>
    <cellStyle name="Normal 6 2 33" xfId="37645" xr:uid="{00000000-0005-0000-0000-00000D930000}"/>
    <cellStyle name="Normal 6 2 34" xfId="37646" xr:uid="{00000000-0005-0000-0000-00000E930000}"/>
    <cellStyle name="Normal 6 2 35" xfId="37647" xr:uid="{00000000-0005-0000-0000-00000F930000}"/>
    <cellStyle name="Normal 6 2 36" xfId="37648" xr:uid="{00000000-0005-0000-0000-000010930000}"/>
    <cellStyle name="Normal 6 2 37" xfId="37649" xr:uid="{00000000-0005-0000-0000-000011930000}"/>
    <cellStyle name="Normal 6 2 38" xfId="37650" xr:uid="{00000000-0005-0000-0000-000012930000}"/>
    <cellStyle name="Normal 6 2 39" xfId="37651" xr:uid="{00000000-0005-0000-0000-000013930000}"/>
    <cellStyle name="Normal 6 2 4" xfId="37652" xr:uid="{00000000-0005-0000-0000-000014930000}"/>
    <cellStyle name="Normal 6 2 40" xfId="37653" xr:uid="{00000000-0005-0000-0000-000015930000}"/>
    <cellStyle name="Normal 6 2 41" xfId="37654" xr:uid="{00000000-0005-0000-0000-000016930000}"/>
    <cellStyle name="Normal 6 2 42" xfId="37655" xr:uid="{00000000-0005-0000-0000-000017930000}"/>
    <cellStyle name="Normal 6 2 43" xfId="37656" xr:uid="{00000000-0005-0000-0000-000018930000}"/>
    <cellStyle name="Normal 6 2 44" xfId="37657" xr:uid="{00000000-0005-0000-0000-000019930000}"/>
    <cellStyle name="Normal 6 2 45" xfId="37658" xr:uid="{00000000-0005-0000-0000-00001A930000}"/>
    <cellStyle name="Normal 6 2 46" xfId="37659" xr:uid="{00000000-0005-0000-0000-00001B930000}"/>
    <cellStyle name="Normal 6 2 47" xfId="37660" xr:uid="{00000000-0005-0000-0000-00001C930000}"/>
    <cellStyle name="Normal 6 2 48" xfId="37661" xr:uid="{00000000-0005-0000-0000-00001D930000}"/>
    <cellStyle name="Normal 6 2 49" xfId="37662" xr:uid="{00000000-0005-0000-0000-00001E930000}"/>
    <cellStyle name="Normal 6 2 5" xfId="37663" xr:uid="{00000000-0005-0000-0000-00001F930000}"/>
    <cellStyle name="Normal 6 2 50" xfId="37664" xr:uid="{00000000-0005-0000-0000-000020930000}"/>
    <cellStyle name="Normal 6 2 51" xfId="37665" xr:uid="{00000000-0005-0000-0000-000021930000}"/>
    <cellStyle name="Normal 6 2 52" xfId="37666" xr:uid="{00000000-0005-0000-0000-000022930000}"/>
    <cellStyle name="Normal 6 2 53" xfId="37667" xr:uid="{00000000-0005-0000-0000-000023930000}"/>
    <cellStyle name="Normal 6 2 54" xfId="37668" xr:uid="{00000000-0005-0000-0000-000024930000}"/>
    <cellStyle name="Normal 6 2 55" xfId="37669" xr:uid="{00000000-0005-0000-0000-000025930000}"/>
    <cellStyle name="Normal 6 2 56" xfId="37670" xr:uid="{00000000-0005-0000-0000-000026930000}"/>
    <cellStyle name="Normal 6 2 57" xfId="37671" xr:uid="{00000000-0005-0000-0000-000027930000}"/>
    <cellStyle name="Normal 6 2 58" xfId="37672" xr:uid="{00000000-0005-0000-0000-000028930000}"/>
    <cellStyle name="Normal 6 2 59" xfId="37673" xr:uid="{00000000-0005-0000-0000-000029930000}"/>
    <cellStyle name="Normal 6 2 6" xfId="37674" xr:uid="{00000000-0005-0000-0000-00002A930000}"/>
    <cellStyle name="Normal 6 2 60" xfId="37675" xr:uid="{00000000-0005-0000-0000-00002B930000}"/>
    <cellStyle name="Normal 6 2 61" xfId="37676" xr:uid="{00000000-0005-0000-0000-00002C930000}"/>
    <cellStyle name="Normal 6 2 62" xfId="37677" xr:uid="{00000000-0005-0000-0000-00002D930000}"/>
    <cellStyle name="Normal 6 2 63" xfId="37678" xr:uid="{00000000-0005-0000-0000-00002E930000}"/>
    <cellStyle name="Normal 6 2 64" xfId="37679" xr:uid="{00000000-0005-0000-0000-00002F930000}"/>
    <cellStyle name="Normal 6 2 65" xfId="37680" xr:uid="{00000000-0005-0000-0000-000030930000}"/>
    <cellStyle name="Normal 6 2 66" xfId="37681" xr:uid="{00000000-0005-0000-0000-000031930000}"/>
    <cellStyle name="Normal 6 2 67" xfId="37682" xr:uid="{00000000-0005-0000-0000-000032930000}"/>
    <cellStyle name="Normal 6 2 68" xfId="37683" xr:uid="{00000000-0005-0000-0000-000033930000}"/>
    <cellStyle name="Normal 6 2 69" xfId="37684" xr:uid="{00000000-0005-0000-0000-000034930000}"/>
    <cellStyle name="Normal 6 2 7" xfId="37685" xr:uid="{00000000-0005-0000-0000-000035930000}"/>
    <cellStyle name="Normal 6 2 70" xfId="37686" xr:uid="{00000000-0005-0000-0000-000036930000}"/>
    <cellStyle name="Normal 6 2 71" xfId="37687" xr:uid="{00000000-0005-0000-0000-000037930000}"/>
    <cellStyle name="Normal 6 2 72" xfId="37688" xr:uid="{00000000-0005-0000-0000-000038930000}"/>
    <cellStyle name="Normal 6 2 73" xfId="37689" xr:uid="{00000000-0005-0000-0000-000039930000}"/>
    <cellStyle name="Normal 6 2 74" xfId="37690" xr:uid="{00000000-0005-0000-0000-00003A930000}"/>
    <cellStyle name="Normal 6 2 75" xfId="37691" xr:uid="{00000000-0005-0000-0000-00003B930000}"/>
    <cellStyle name="Normal 6 2 76" xfId="37692" xr:uid="{00000000-0005-0000-0000-00003C930000}"/>
    <cellStyle name="Normal 6 2 77" xfId="37693" xr:uid="{00000000-0005-0000-0000-00003D930000}"/>
    <cellStyle name="Normal 6 2 78" xfId="37694" xr:uid="{00000000-0005-0000-0000-00003E930000}"/>
    <cellStyle name="Normal 6 2 79" xfId="37695" xr:uid="{00000000-0005-0000-0000-00003F930000}"/>
    <cellStyle name="Normal 6 2 8" xfId="37696" xr:uid="{00000000-0005-0000-0000-000040930000}"/>
    <cellStyle name="Normal 6 2 80" xfId="37697" xr:uid="{00000000-0005-0000-0000-000041930000}"/>
    <cellStyle name="Normal 6 2 81" xfId="37698" xr:uid="{00000000-0005-0000-0000-000042930000}"/>
    <cellStyle name="Normal 6 2 82" xfId="37699" xr:uid="{00000000-0005-0000-0000-000043930000}"/>
    <cellStyle name="Normal 6 2 83" xfId="37700" xr:uid="{00000000-0005-0000-0000-000044930000}"/>
    <cellStyle name="Normal 6 2 84" xfId="37701" xr:uid="{00000000-0005-0000-0000-000045930000}"/>
    <cellStyle name="Normal 6 2 85" xfId="37702" xr:uid="{00000000-0005-0000-0000-000046930000}"/>
    <cellStyle name="Normal 6 2 86" xfId="37703" xr:uid="{00000000-0005-0000-0000-000047930000}"/>
    <cellStyle name="Normal 6 2 9" xfId="37704" xr:uid="{00000000-0005-0000-0000-000048930000}"/>
    <cellStyle name="Normal 6 2_Xa Parametrización de Usuarios" xfId="37705" xr:uid="{00000000-0005-0000-0000-000049930000}"/>
    <cellStyle name="Normal 6 20" xfId="37706" xr:uid="{00000000-0005-0000-0000-00004A930000}"/>
    <cellStyle name="Normal 6 21" xfId="37707" xr:uid="{00000000-0005-0000-0000-00004B930000}"/>
    <cellStyle name="Normal 6 22" xfId="37708" xr:uid="{00000000-0005-0000-0000-00004C930000}"/>
    <cellStyle name="Normal 6 23" xfId="37709" xr:uid="{00000000-0005-0000-0000-00004D930000}"/>
    <cellStyle name="Normal 6 24" xfId="37710" xr:uid="{00000000-0005-0000-0000-00004E930000}"/>
    <cellStyle name="Normal 6 25" xfId="37711" xr:uid="{00000000-0005-0000-0000-00004F930000}"/>
    <cellStyle name="Normal 6 26" xfId="37712" xr:uid="{00000000-0005-0000-0000-000050930000}"/>
    <cellStyle name="Normal 6 27" xfId="37713" xr:uid="{00000000-0005-0000-0000-000051930000}"/>
    <cellStyle name="Normal 6 28" xfId="37714" xr:uid="{00000000-0005-0000-0000-000052930000}"/>
    <cellStyle name="Normal 6 29" xfId="37715" xr:uid="{00000000-0005-0000-0000-000053930000}"/>
    <cellStyle name="Normal 6 3" xfId="37716" xr:uid="{00000000-0005-0000-0000-000054930000}"/>
    <cellStyle name="Normal 6 3 10" xfId="37717" xr:uid="{00000000-0005-0000-0000-000055930000}"/>
    <cellStyle name="Normal 6 3 11" xfId="37718" xr:uid="{00000000-0005-0000-0000-000056930000}"/>
    <cellStyle name="Normal 6 3 12" xfId="37719" xr:uid="{00000000-0005-0000-0000-000057930000}"/>
    <cellStyle name="Normal 6 3 2" xfId="37720" xr:uid="{00000000-0005-0000-0000-000058930000}"/>
    <cellStyle name="Normal 6 3 3" xfId="37721" xr:uid="{00000000-0005-0000-0000-000059930000}"/>
    <cellStyle name="Normal 6 3 4" xfId="37722" xr:uid="{00000000-0005-0000-0000-00005A930000}"/>
    <cellStyle name="Normal 6 3 5" xfId="37723" xr:uid="{00000000-0005-0000-0000-00005B930000}"/>
    <cellStyle name="Normal 6 3 6" xfId="37724" xr:uid="{00000000-0005-0000-0000-00005C930000}"/>
    <cellStyle name="Normal 6 3 7" xfId="37725" xr:uid="{00000000-0005-0000-0000-00005D930000}"/>
    <cellStyle name="Normal 6 3 8" xfId="37726" xr:uid="{00000000-0005-0000-0000-00005E930000}"/>
    <cellStyle name="Normal 6 3 9" xfId="37727" xr:uid="{00000000-0005-0000-0000-00005F930000}"/>
    <cellStyle name="Normal 6 3_Xa Parametrización de Usuarios" xfId="37728" xr:uid="{00000000-0005-0000-0000-000060930000}"/>
    <cellStyle name="Normal 6 4" xfId="37729" xr:uid="{00000000-0005-0000-0000-000061930000}"/>
    <cellStyle name="Normal 6 5" xfId="37730" xr:uid="{00000000-0005-0000-0000-000062930000}"/>
    <cellStyle name="Normal 6 6" xfId="37731" xr:uid="{00000000-0005-0000-0000-000063930000}"/>
    <cellStyle name="Normal 6 7" xfId="37732" xr:uid="{00000000-0005-0000-0000-000064930000}"/>
    <cellStyle name="Normal 6 8" xfId="37733" xr:uid="{00000000-0005-0000-0000-000065930000}"/>
    <cellStyle name="Normal 6 9" xfId="37734" xr:uid="{00000000-0005-0000-0000-000066930000}"/>
    <cellStyle name="Normal 60" xfId="37735" xr:uid="{00000000-0005-0000-0000-000067930000}"/>
    <cellStyle name="Normal 61" xfId="37736" xr:uid="{00000000-0005-0000-0000-000068930000}"/>
    <cellStyle name="Normal 61 2" xfId="37737" xr:uid="{00000000-0005-0000-0000-000069930000}"/>
    <cellStyle name="Normal 61 2 2" xfId="37738" xr:uid="{00000000-0005-0000-0000-00006A930000}"/>
    <cellStyle name="Normal 61 2 3" xfId="37739" xr:uid="{00000000-0005-0000-0000-00006B930000}"/>
    <cellStyle name="Normal 61 3" xfId="37740" xr:uid="{00000000-0005-0000-0000-00006C930000}"/>
    <cellStyle name="Normal 62" xfId="37741" xr:uid="{00000000-0005-0000-0000-00006D930000}"/>
    <cellStyle name="Normal 62 2" xfId="37742" xr:uid="{00000000-0005-0000-0000-00006E930000}"/>
    <cellStyle name="Normal 62 3" xfId="37743" xr:uid="{00000000-0005-0000-0000-00006F930000}"/>
    <cellStyle name="Normal 63" xfId="37744" xr:uid="{00000000-0005-0000-0000-000070930000}"/>
    <cellStyle name="Normal 63 2" xfId="37745" xr:uid="{00000000-0005-0000-0000-000071930000}"/>
    <cellStyle name="Normal 63 3" xfId="37746" xr:uid="{00000000-0005-0000-0000-000072930000}"/>
    <cellStyle name="Normal 63 4" xfId="37747" xr:uid="{00000000-0005-0000-0000-000073930000}"/>
    <cellStyle name="Normal 64" xfId="37748" xr:uid="{00000000-0005-0000-0000-000074930000}"/>
    <cellStyle name="Normal 64 2" xfId="37749" xr:uid="{00000000-0005-0000-0000-000075930000}"/>
    <cellStyle name="Normal 64 3" xfId="37750" xr:uid="{00000000-0005-0000-0000-000076930000}"/>
    <cellStyle name="Normal 64 4" xfId="37751" xr:uid="{00000000-0005-0000-0000-000077930000}"/>
    <cellStyle name="Normal 65" xfId="37752" xr:uid="{00000000-0005-0000-0000-000078930000}"/>
    <cellStyle name="Normal 65 2" xfId="37753" xr:uid="{00000000-0005-0000-0000-000079930000}"/>
    <cellStyle name="Normal 65 3" xfId="37754" xr:uid="{00000000-0005-0000-0000-00007A930000}"/>
    <cellStyle name="Normal 66" xfId="37755" xr:uid="{00000000-0005-0000-0000-00007B930000}"/>
    <cellStyle name="Normal 66 2" xfId="37756" xr:uid="{00000000-0005-0000-0000-00007C930000}"/>
    <cellStyle name="Normal 66 3" xfId="37757" xr:uid="{00000000-0005-0000-0000-00007D930000}"/>
    <cellStyle name="Normal 67" xfId="37758" xr:uid="{00000000-0005-0000-0000-00007E930000}"/>
    <cellStyle name="Normal 67 2" xfId="37759" xr:uid="{00000000-0005-0000-0000-00007F930000}"/>
    <cellStyle name="Normal 68" xfId="37760" xr:uid="{00000000-0005-0000-0000-000080930000}"/>
    <cellStyle name="Normal 68 2" xfId="37761" xr:uid="{00000000-0005-0000-0000-000081930000}"/>
    <cellStyle name="Normal 69" xfId="37762" xr:uid="{00000000-0005-0000-0000-000082930000}"/>
    <cellStyle name="Normal 69 2" xfId="37763" xr:uid="{00000000-0005-0000-0000-000083930000}"/>
    <cellStyle name="Normal 69 3" xfId="37764" xr:uid="{00000000-0005-0000-0000-000084930000}"/>
    <cellStyle name="Normal 7" xfId="1" xr:uid="{00000000-0005-0000-0000-000001000000}"/>
    <cellStyle name="Normal 7 10" xfId="37765" xr:uid="{00000000-0005-0000-0000-000085930000}"/>
    <cellStyle name="Normal 7 11" xfId="37766" xr:uid="{00000000-0005-0000-0000-000086930000}"/>
    <cellStyle name="Normal 7 12" xfId="37767" xr:uid="{00000000-0005-0000-0000-000087930000}"/>
    <cellStyle name="Normal 7 13" xfId="37768" xr:uid="{00000000-0005-0000-0000-000088930000}"/>
    <cellStyle name="Normal 7 14" xfId="37769" xr:uid="{00000000-0005-0000-0000-000089930000}"/>
    <cellStyle name="Normal 7 15" xfId="37770" xr:uid="{00000000-0005-0000-0000-00008A930000}"/>
    <cellStyle name="Normal 7 16" xfId="37771" xr:uid="{00000000-0005-0000-0000-00008B930000}"/>
    <cellStyle name="Normal 7 17" xfId="37772" xr:uid="{00000000-0005-0000-0000-00008C930000}"/>
    <cellStyle name="Normal 7 18" xfId="37773" xr:uid="{00000000-0005-0000-0000-00008D930000}"/>
    <cellStyle name="Normal 7 19" xfId="37774" xr:uid="{00000000-0005-0000-0000-00008E930000}"/>
    <cellStyle name="Normal 7 2" xfId="22" xr:uid="{00000000-0005-0000-0000-000016000000}"/>
    <cellStyle name="Normal 7 2 10" xfId="37775" xr:uid="{00000000-0005-0000-0000-00008F930000}"/>
    <cellStyle name="Normal 7 2 11" xfId="37776" xr:uid="{00000000-0005-0000-0000-000090930000}"/>
    <cellStyle name="Normal 7 2 12" xfId="37777" xr:uid="{00000000-0005-0000-0000-000091930000}"/>
    <cellStyle name="Normal 7 2 13" xfId="37778" xr:uid="{00000000-0005-0000-0000-000092930000}"/>
    <cellStyle name="Normal 7 2 14" xfId="37779" xr:uid="{00000000-0005-0000-0000-000093930000}"/>
    <cellStyle name="Normal 7 2 15" xfId="37780" xr:uid="{00000000-0005-0000-0000-000094930000}"/>
    <cellStyle name="Normal 7 2 16" xfId="37781" xr:uid="{00000000-0005-0000-0000-000095930000}"/>
    <cellStyle name="Normal 7 2 17" xfId="37782" xr:uid="{00000000-0005-0000-0000-000096930000}"/>
    <cellStyle name="Normal 7 2 18" xfId="37783" xr:uid="{00000000-0005-0000-0000-000097930000}"/>
    <cellStyle name="Normal 7 2 19" xfId="37784" xr:uid="{00000000-0005-0000-0000-000098930000}"/>
    <cellStyle name="Normal 7 2 2" xfId="37785" xr:uid="{00000000-0005-0000-0000-000099930000}"/>
    <cellStyle name="Normal 7 2 2 2" xfId="37786" xr:uid="{00000000-0005-0000-0000-00009A930000}"/>
    <cellStyle name="Normal 7 2 2 2 2" xfId="37787" xr:uid="{00000000-0005-0000-0000-00009B930000}"/>
    <cellStyle name="Normal 7 2 20" xfId="37788" xr:uid="{00000000-0005-0000-0000-00009C930000}"/>
    <cellStyle name="Normal 7 2 21" xfId="37789" xr:uid="{00000000-0005-0000-0000-00009D930000}"/>
    <cellStyle name="Normal 7 2 22" xfId="37790" xr:uid="{00000000-0005-0000-0000-00009E930000}"/>
    <cellStyle name="Normal 7 2 23" xfId="37791" xr:uid="{00000000-0005-0000-0000-00009F930000}"/>
    <cellStyle name="Normal 7 2 24" xfId="37792" xr:uid="{00000000-0005-0000-0000-0000A0930000}"/>
    <cellStyle name="Normal 7 2 25" xfId="37793" xr:uid="{00000000-0005-0000-0000-0000A1930000}"/>
    <cellStyle name="Normal 7 2 26" xfId="37794" xr:uid="{00000000-0005-0000-0000-0000A2930000}"/>
    <cellStyle name="Normal 7 2 27" xfId="37795" xr:uid="{00000000-0005-0000-0000-0000A3930000}"/>
    <cellStyle name="Normal 7 2 28" xfId="37796" xr:uid="{00000000-0005-0000-0000-0000A4930000}"/>
    <cellStyle name="Normal 7 2 29" xfId="37797" xr:uid="{00000000-0005-0000-0000-0000A5930000}"/>
    <cellStyle name="Normal 7 2 3" xfId="37798" xr:uid="{00000000-0005-0000-0000-0000A6930000}"/>
    <cellStyle name="Normal 7 2 30" xfId="37799" xr:uid="{00000000-0005-0000-0000-0000A7930000}"/>
    <cellStyle name="Normal 7 2 31" xfId="37800" xr:uid="{00000000-0005-0000-0000-0000A8930000}"/>
    <cellStyle name="Normal 7 2 32" xfId="37801" xr:uid="{00000000-0005-0000-0000-0000A9930000}"/>
    <cellStyle name="Normal 7 2 33" xfId="37802" xr:uid="{00000000-0005-0000-0000-0000AA930000}"/>
    <cellStyle name="Normal 7 2 34" xfId="37803" xr:uid="{00000000-0005-0000-0000-0000AB930000}"/>
    <cellStyle name="Normal 7 2 35" xfId="37804" xr:uid="{00000000-0005-0000-0000-0000AC930000}"/>
    <cellStyle name="Normal 7 2 36" xfId="37805" xr:uid="{00000000-0005-0000-0000-0000AD930000}"/>
    <cellStyle name="Normal 7 2 37" xfId="37806" xr:uid="{00000000-0005-0000-0000-0000AE930000}"/>
    <cellStyle name="Normal 7 2 38" xfId="37807" xr:uid="{00000000-0005-0000-0000-0000AF930000}"/>
    <cellStyle name="Normal 7 2 39" xfId="37808" xr:uid="{00000000-0005-0000-0000-0000B0930000}"/>
    <cellStyle name="Normal 7 2 4" xfId="37809" xr:uid="{00000000-0005-0000-0000-0000B1930000}"/>
    <cellStyle name="Normal 7 2 40" xfId="37810" xr:uid="{00000000-0005-0000-0000-0000B2930000}"/>
    <cellStyle name="Normal 7 2 41" xfId="37811" xr:uid="{00000000-0005-0000-0000-0000B3930000}"/>
    <cellStyle name="Normal 7 2 42" xfId="37812" xr:uid="{00000000-0005-0000-0000-0000B4930000}"/>
    <cellStyle name="Normal 7 2 43" xfId="37813" xr:uid="{00000000-0005-0000-0000-0000B5930000}"/>
    <cellStyle name="Normal 7 2 44" xfId="37814" xr:uid="{00000000-0005-0000-0000-0000B6930000}"/>
    <cellStyle name="Normal 7 2 45" xfId="37815" xr:uid="{00000000-0005-0000-0000-0000B7930000}"/>
    <cellStyle name="Normal 7 2 46" xfId="37816" xr:uid="{00000000-0005-0000-0000-0000B8930000}"/>
    <cellStyle name="Normal 7 2 47" xfId="37817" xr:uid="{00000000-0005-0000-0000-0000B9930000}"/>
    <cellStyle name="Normal 7 2 48" xfId="37818" xr:uid="{00000000-0005-0000-0000-0000BA930000}"/>
    <cellStyle name="Normal 7 2 49" xfId="37819" xr:uid="{00000000-0005-0000-0000-0000BB930000}"/>
    <cellStyle name="Normal 7 2 5" xfId="37820" xr:uid="{00000000-0005-0000-0000-0000BC930000}"/>
    <cellStyle name="Normal 7 2 50" xfId="37821" xr:uid="{00000000-0005-0000-0000-0000BD930000}"/>
    <cellStyle name="Normal 7 2 51" xfId="37822" xr:uid="{00000000-0005-0000-0000-0000BE930000}"/>
    <cellStyle name="Normal 7 2 52" xfId="37823" xr:uid="{00000000-0005-0000-0000-0000BF930000}"/>
    <cellStyle name="Normal 7 2 53" xfId="37824" xr:uid="{00000000-0005-0000-0000-0000C0930000}"/>
    <cellStyle name="Normal 7 2 54" xfId="37825" xr:uid="{00000000-0005-0000-0000-0000C1930000}"/>
    <cellStyle name="Normal 7 2 55" xfId="37826" xr:uid="{00000000-0005-0000-0000-0000C2930000}"/>
    <cellStyle name="Normal 7 2 56" xfId="37827" xr:uid="{00000000-0005-0000-0000-0000C3930000}"/>
    <cellStyle name="Normal 7 2 57" xfId="37828" xr:uid="{00000000-0005-0000-0000-0000C4930000}"/>
    <cellStyle name="Normal 7 2 58" xfId="37829" xr:uid="{00000000-0005-0000-0000-0000C5930000}"/>
    <cellStyle name="Normal 7 2 59" xfId="37830" xr:uid="{00000000-0005-0000-0000-0000C6930000}"/>
    <cellStyle name="Normal 7 2 6" xfId="37831" xr:uid="{00000000-0005-0000-0000-0000C7930000}"/>
    <cellStyle name="Normal 7 2 60" xfId="37832" xr:uid="{00000000-0005-0000-0000-0000C8930000}"/>
    <cellStyle name="Normal 7 2 61" xfId="37833" xr:uid="{00000000-0005-0000-0000-0000C9930000}"/>
    <cellStyle name="Normal 7 2 62" xfId="37834" xr:uid="{00000000-0005-0000-0000-0000CA930000}"/>
    <cellStyle name="Normal 7 2 63" xfId="37835" xr:uid="{00000000-0005-0000-0000-0000CB930000}"/>
    <cellStyle name="Normal 7 2 64" xfId="37836" xr:uid="{00000000-0005-0000-0000-0000CC930000}"/>
    <cellStyle name="Normal 7 2 65" xfId="37837" xr:uid="{00000000-0005-0000-0000-0000CD930000}"/>
    <cellStyle name="Normal 7 2 66" xfId="37838" xr:uid="{00000000-0005-0000-0000-0000CE930000}"/>
    <cellStyle name="Normal 7 2 67" xfId="37839" xr:uid="{00000000-0005-0000-0000-0000CF930000}"/>
    <cellStyle name="Normal 7 2 68" xfId="37840" xr:uid="{00000000-0005-0000-0000-0000D0930000}"/>
    <cellStyle name="Normal 7 2 69" xfId="37841" xr:uid="{00000000-0005-0000-0000-0000D1930000}"/>
    <cellStyle name="Normal 7 2 7" xfId="37842" xr:uid="{00000000-0005-0000-0000-0000D2930000}"/>
    <cellStyle name="Normal 7 2 70" xfId="37843" xr:uid="{00000000-0005-0000-0000-0000D3930000}"/>
    <cellStyle name="Normal 7 2 71" xfId="37844" xr:uid="{00000000-0005-0000-0000-0000D4930000}"/>
    <cellStyle name="Normal 7 2 72" xfId="37845" xr:uid="{00000000-0005-0000-0000-0000D5930000}"/>
    <cellStyle name="Normal 7 2 73" xfId="37846" xr:uid="{00000000-0005-0000-0000-0000D6930000}"/>
    <cellStyle name="Normal 7 2 74" xfId="37847" xr:uid="{00000000-0005-0000-0000-0000D7930000}"/>
    <cellStyle name="Normal 7 2 75" xfId="37848" xr:uid="{00000000-0005-0000-0000-0000D8930000}"/>
    <cellStyle name="Normal 7 2 76" xfId="37849" xr:uid="{00000000-0005-0000-0000-0000D9930000}"/>
    <cellStyle name="Normal 7 2 77" xfId="37850" xr:uid="{00000000-0005-0000-0000-0000DA930000}"/>
    <cellStyle name="Normal 7 2 78" xfId="37851" xr:uid="{00000000-0005-0000-0000-0000DB930000}"/>
    <cellStyle name="Normal 7 2 79" xfId="37852" xr:uid="{00000000-0005-0000-0000-0000DC930000}"/>
    <cellStyle name="Normal 7 2 8" xfId="37853" xr:uid="{00000000-0005-0000-0000-0000DD930000}"/>
    <cellStyle name="Normal 7 2 80" xfId="37854" xr:uid="{00000000-0005-0000-0000-0000DE930000}"/>
    <cellStyle name="Normal 7 2 81" xfId="37855" xr:uid="{00000000-0005-0000-0000-0000DF930000}"/>
    <cellStyle name="Normal 7 2 9" xfId="37856" xr:uid="{00000000-0005-0000-0000-0000E0930000}"/>
    <cellStyle name="Normal 7 2_Enlaces" xfId="37857" xr:uid="{00000000-0005-0000-0000-0000E1930000}"/>
    <cellStyle name="Normal 7 20" xfId="37858" xr:uid="{00000000-0005-0000-0000-0000E2930000}"/>
    <cellStyle name="Normal 7 21" xfId="37859" xr:uid="{00000000-0005-0000-0000-0000E3930000}"/>
    <cellStyle name="Normal 7 22" xfId="37860" xr:uid="{00000000-0005-0000-0000-0000E4930000}"/>
    <cellStyle name="Normal 7 23" xfId="37861" xr:uid="{00000000-0005-0000-0000-0000E5930000}"/>
    <cellStyle name="Normal 7 24" xfId="37862" xr:uid="{00000000-0005-0000-0000-0000E6930000}"/>
    <cellStyle name="Normal 7 25" xfId="37863" xr:uid="{00000000-0005-0000-0000-0000E7930000}"/>
    <cellStyle name="Normal 7 26" xfId="37864" xr:uid="{00000000-0005-0000-0000-0000E8930000}"/>
    <cellStyle name="Normal 7 27" xfId="37865" xr:uid="{00000000-0005-0000-0000-0000E9930000}"/>
    <cellStyle name="Normal 7 28" xfId="37866" xr:uid="{00000000-0005-0000-0000-0000EA930000}"/>
    <cellStyle name="Normal 7 29" xfId="37867" xr:uid="{00000000-0005-0000-0000-0000EB930000}"/>
    <cellStyle name="Normal 7 3" xfId="37868" xr:uid="{00000000-0005-0000-0000-0000EC930000}"/>
    <cellStyle name="Normal 7 3 2" xfId="37869" xr:uid="{00000000-0005-0000-0000-0000ED930000}"/>
    <cellStyle name="Normal 7 3 3" xfId="37870" xr:uid="{00000000-0005-0000-0000-0000EE930000}"/>
    <cellStyle name="Normal 7 3 4" xfId="37871" xr:uid="{00000000-0005-0000-0000-0000EF930000}"/>
    <cellStyle name="Normal 7 3 4 2" xfId="37872" xr:uid="{00000000-0005-0000-0000-0000F0930000}"/>
    <cellStyle name="Normal 7 3 4 2 2" xfId="37873" xr:uid="{00000000-0005-0000-0000-0000F1930000}"/>
    <cellStyle name="Normal 7 3 4 3" xfId="37874" xr:uid="{00000000-0005-0000-0000-0000F2930000}"/>
    <cellStyle name="Normal 7 3 5" xfId="37875" xr:uid="{00000000-0005-0000-0000-0000F3930000}"/>
    <cellStyle name="Normal 7 3 6" xfId="37876" xr:uid="{00000000-0005-0000-0000-0000F4930000}"/>
    <cellStyle name="Normal 7 3 7" xfId="37877" xr:uid="{00000000-0005-0000-0000-0000F5930000}"/>
    <cellStyle name="Normal 7 3 7 2" xfId="37878" xr:uid="{00000000-0005-0000-0000-0000F6930000}"/>
    <cellStyle name="Normal 7 3_Implem" xfId="37879" xr:uid="{00000000-0005-0000-0000-0000F7930000}"/>
    <cellStyle name="Normal 7 30" xfId="37880" xr:uid="{00000000-0005-0000-0000-0000F8930000}"/>
    <cellStyle name="Normal 7 30 2" xfId="37881" xr:uid="{00000000-0005-0000-0000-0000F9930000}"/>
    <cellStyle name="Normal 7 31" xfId="37882" xr:uid="{00000000-0005-0000-0000-0000FA930000}"/>
    <cellStyle name="Normal 7 32" xfId="37883" xr:uid="{00000000-0005-0000-0000-0000FB930000}"/>
    <cellStyle name="Normal 7 33" xfId="37884" xr:uid="{00000000-0005-0000-0000-0000FC930000}"/>
    <cellStyle name="Normal 7 34" xfId="37885" xr:uid="{00000000-0005-0000-0000-0000FD930000}"/>
    <cellStyle name="Normal 7 35" xfId="37886" xr:uid="{00000000-0005-0000-0000-0000FE930000}"/>
    <cellStyle name="Normal 7 36" xfId="37887" xr:uid="{00000000-0005-0000-0000-0000FF930000}"/>
    <cellStyle name="Normal 7 37" xfId="37888" xr:uid="{00000000-0005-0000-0000-000000940000}"/>
    <cellStyle name="Normal 7 38" xfId="37889" xr:uid="{00000000-0005-0000-0000-000001940000}"/>
    <cellStyle name="Normal 7 39" xfId="37890" xr:uid="{00000000-0005-0000-0000-000002940000}"/>
    <cellStyle name="Normal 7 4" xfId="37891" xr:uid="{00000000-0005-0000-0000-000003940000}"/>
    <cellStyle name="Normal 7 40" xfId="37892" xr:uid="{00000000-0005-0000-0000-000004940000}"/>
    <cellStyle name="Normal 7 41" xfId="37893" xr:uid="{00000000-0005-0000-0000-000005940000}"/>
    <cellStyle name="Normal 7 42" xfId="37894" xr:uid="{00000000-0005-0000-0000-000006940000}"/>
    <cellStyle name="Normal 7 43" xfId="37895" xr:uid="{00000000-0005-0000-0000-000007940000}"/>
    <cellStyle name="Normal 7 44" xfId="37896" xr:uid="{00000000-0005-0000-0000-000008940000}"/>
    <cellStyle name="Normal 7 45" xfId="37897" xr:uid="{00000000-0005-0000-0000-000009940000}"/>
    <cellStyle name="Normal 7 46" xfId="37898" xr:uid="{00000000-0005-0000-0000-00000A940000}"/>
    <cellStyle name="Normal 7 5" xfId="37899" xr:uid="{00000000-0005-0000-0000-00000B940000}"/>
    <cellStyle name="Normal 7 6" xfId="37900" xr:uid="{00000000-0005-0000-0000-00000C940000}"/>
    <cellStyle name="Normal 7 7" xfId="37901" xr:uid="{00000000-0005-0000-0000-00000D940000}"/>
    <cellStyle name="Normal 7 8" xfId="37902" xr:uid="{00000000-0005-0000-0000-00000E940000}"/>
    <cellStyle name="Normal 7 9" xfId="37903" xr:uid="{00000000-0005-0000-0000-00000F940000}"/>
    <cellStyle name="Normal 70" xfId="37904" xr:uid="{00000000-0005-0000-0000-000010940000}"/>
    <cellStyle name="Normal 70 2" xfId="37905" xr:uid="{00000000-0005-0000-0000-000011940000}"/>
    <cellStyle name="Normal 71" xfId="37906" xr:uid="{00000000-0005-0000-0000-000012940000}"/>
    <cellStyle name="Normal 71 2" xfId="37907" xr:uid="{00000000-0005-0000-0000-000013940000}"/>
    <cellStyle name="Normal 72" xfId="37908" xr:uid="{00000000-0005-0000-0000-000014940000}"/>
    <cellStyle name="Normal 72 2" xfId="37909" xr:uid="{00000000-0005-0000-0000-000015940000}"/>
    <cellStyle name="Normal 72 3" xfId="37910" xr:uid="{00000000-0005-0000-0000-000016940000}"/>
    <cellStyle name="Normal 73" xfId="37911" xr:uid="{00000000-0005-0000-0000-000017940000}"/>
    <cellStyle name="Normal 73 2" xfId="37912" xr:uid="{00000000-0005-0000-0000-000018940000}"/>
    <cellStyle name="Normal 74" xfId="37913" xr:uid="{00000000-0005-0000-0000-000019940000}"/>
    <cellStyle name="Normal 74 2" xfId="37914" xr:uid="{00000000-0005-0000-0000-00001A940000}"/>
    <cellStyle name="Normal 75" xfId="37915" xr:uid="{00000000-0005-0000-0000-00001B940000}"/>
    <cellStyle name="Normal 75 2" xfId="37916" xr:uid="{00000000-0005-0000-0000-00001C940000}"/>
    <cellStyle name="Normal 75 3" xfId="37917" xr:uid="{00000000-0005-0000-0000-00001D940000}"/>
    <cellStyle name="Normal 76" xfId="37918" xr:uid="{00000000-0005-0000-0000-00001E940000}"/>
    <cellStyle name="Normal 76 2" xfId="37919" xr:uid="{00000000-0005-0000-0000-00001F940000}"/>
    <cellStyle name="Normal 76 3" xfId="37920" xr:uid="{00000000-0005-0000-0000-000020940000}"/>
    <cellStyle name="Normal 77" xfId="37921" xr:uid="{00000000-0005-0000-0000-000021940000}"/>
    <cellStyle name="Normal 77 2" xfId="37922" xr:uid="{00000000-0005-0000-0000-000022940000}"/>
    <cellStyle name="Normal 77 3" xfId="37923" xr:uid="{00000000-0005-0000-0000-000023940000}"/>
    <cellStyle name="Normal 78" xfId="37924" xr:uid="{00000000-0005-0000-0000-000024940000}"/>
    <cellStyle name="Normal 78 2" xfId="37925" xr:uid="{00000000-0005-0000-0000-000025940000}"/>
    <cellStyle name="Normal 79" xfId="37926" xr:uid="{00000000-0005-0000-0000-000026940000}"/>
    <cellStyle name="Normal 79 2" xfId="37927" xr:uid="{00000000-0005-0000-0000-000027940000}"/>
    <cellStyle name="Normal 8" xfId="23" xr:uid="{00000000-0005-0000-0000-000017000000}"/>
    <cellStyle name="Normal 8 2" xfId="37928" xr:uid="{00000000-0005-0000-0000-000028940000}"/>
    <cellStyle name="Normal 8 2 2" xfId="37929" xr:uid="{00000000-0005-0000-0000-000029940000}"/>
    <cellStyle name="Normal 8 2 2 2" xfId="37930" xr:uid="{00000000-0005-0000-0000-00002A940000}"/>
    <cellStyle name="Normal 8 2 3" xfId="37931" xr:uid="{00000000-0005-0000-0000-00002B940000}"/>
    <cellStyle name="Normal 8 2 3 2" xfId="37932" xr:uid="{00000000-0005-0000-0000-00002C940000}"/>
    <cellStyle name="Normal 8 3" xfId="37933" xr:uid="{00000000-0005-0000-0000-00002D940000}"/>
    <cellStyle name="Normal 8 4" xfId="37934" xr:uid="{00000000-0005-0000-0000-00002E940000}"/>
    <cellStyle name="Normal 8 5" xfId="37935" xr:uid="{00000000-0005-0000-0000-00002F940000}"/>
    <cellStyle name="Normal 8 6" xfId="37936" xr:uid="{00000000-0005-0000-0000-000030940000}"/>
    <cellStyle name="Normal 8 7" xfId="37937" xr:uid="{00000000-0005-0000-0000-000031940000}"/>
    <cellStyle name="Normal 8 8" xfId="37938" xr:uid="{00000000-0005-0000-0000-000032940000}"/>
    <cellStyle name="Normal 8 8 2" xfId="37939" xr:uid="{00000000-0005-0000-0000-000033940000}"/>
    <cellStyle name="Normal 80" xfId="37940" xr:uid="{00000000-0005-0000-0000-000034940000}"/>
    <cellStyle name="Normal 80 2" xfId="37941" xr:uid="{00000000-0005-0000-0000-000035940000}"/>
    <cellStyle name="Normal 80 3" xfId="37942" xr:uid="{00000000-0005-0000-0000-000036940000}"/>
    <cellStyle name="Normal 81" xfId="24" xr:uid="{00000000-0005-0000-0000-000018000000}"/>
    <cellStyle name="Normal 81 2" xfId="37943" xr:uid="{00000000-0005-0000-0000-000037940000}"/>
    <cellStyle name="Normal 82" xfId="37944" xr:uid="{00000000-0005-0000-0000-000038940000}"/>
    <cellStyle name="Normal 82 2" xfId="37945" xr:uid="{00000000-0005-0000-0000-000039940000}"/>
    <cellStyle name="Normal 83" xfId="37946" xr:uid="{00000000-0005-0000-0000-00003A940000}"/>
    <cellStyle name="Normal 83 2" xfId="37947" xr:uid="{00000000-0005-0000-0000-00003B940000}"/>
    <cellStyle name="Normal 83 3" xfId="37948" xr:uid="{00000000-0005-0000-0000-00003C940000}"/>
    <cellStyle name="Normal 84" xfId="37949" xr:uid="{00000000-0005-0000-0000-00003D940000}"/>
    <cellStyle name="Normal 84 2" xfId="37950" xr:uid="{00000000-0005-0000-0000-00003E940000}"/>
    <cellStyle name="Normal 85" xfId="37951" xr:uid="{00000000-0005-0000-0000-00003F940000}"/>
    <cellStyle name="Normal 85 2" xfId="37952" xr:uid="{00000000-0005-0000-0000-000040940000}"/>
    <cellStyle name="Normal 85 3" xfId="37953" xr:uid="{00000000-0005-0000-0000-000041940000}"/>
    <cellStyle name="Normal 86" xfId="37954" xr:uid="{00000000-0005-0000-0000-000042940000}"/>
    <cellStyle name="Normal 86 2" xfId="37955" xr:uid="{00000000-0005-0000-0000-000043940000}"/>
    <cellStyle name="Normal 86 3" xfId="37956" xr:uid="{00000000-0005-0000-0000-000044940000}"/>
    <cellStyle name="Normal 87" xfId="37957" xr:uid="{00000000-0005-0000-0000-000045940000}"/>
    <cellStyle name="Normal 87 2" xfId="37958" xr:uid="{00000000-0005-0000-0000-000046940000}"/>
    <cellStyle name="Normal 88" xfId="37959" xr:uid="{00000000-0005-0000-0000-000047940000}"/>
    <cellStyle name="Normal 88 2" xfId="37960" xr:uid="{00000000-0005-0000-0000-000048940000}"/>
    <cellStyle name="Normal 88 3" xfId="37961" xr:uid="{00000000-0005-0000-0000-000049940000}"/>
    <cellStyle name="Normal 89" xfId="37962" xr:uid="{00000000-0005-0000-0000-00004A940000}"/>
    <cellStyle name="Normal 89 2" xfId="37963" xr:uid="{00000000-0005-0000-0000-00004B940000}"/>
    <cellStyle name="Normal 9" xfId="37964" xr:uid="{00000000-0005-0000-0000-00004C940000}"/>
    <cellStyle name="Normal 9 10" xfId="37965" xr:uid="{00000000-0005-0000-0000-00004D940000}"/>
    <cellStyle name="Normal 9 11" xfId="37966" xr:uid="{00000000-0005-0000-0000-00004E940000}"/>
    <cellStyle name="Normal 9 12" xfId="37967" xr:uid="{00000000-0005-0000-0000-00004F940000}"/>
    <cellStyle name="Normal 9 13" xfId="37968" xr:uid="{00000000-0005-0000-0000-000050940000}"/>
    <cellStyle name="Normal 9 14" xfId="37969" xr:uid="{00000000-0005-0000-0000-000051940000}"/>
    <cellStyle name="Normal 9 15" xfId="37970" xr:uid="{00000000-0005-0000-0000-000052940000}"/>
    <cellStyle name="Normal 9 16" xfId="37971" xr:uid="{00000000-0005-0000-0000-000053940000}"/>
    <cellStyle name="Normal 9 17" xfId="37972" xr:uid="{00000000-0005-0000-0000-000054940000}"/>
    <cellStyle name="Normal 9 18" xfId="37973" xr:uid="{00000000-0005-0000-0000-000055940000}"/>
    <cellStyle name="Normal 9 19" xfId="37974" xr:uid="{00000000-0005-0000-0000-000056940000}"/>
    <cellStyle name="Normal 9 2" xfId="37975" xr:uid="{00000000-0005-0000-0000-000057940000}"/>
    <cellStyle name="Normal 9 2 10" xfId="37976" xr:uid="{00000000-0005-0000-0000-000058940000}"/>
    <cellStyle name="Normal 9 2 11" xfId="37977" xr:uid="{00000000-0005-0000-0000-000059940000}"/>
    <cellStyle name="Normal 9 2 12" xfId="37978" xr:uid="{00000000-0005-0000-0000-00005A940000}"/>
    <cellStyle name="Normal 9 2 13" xfId="37979" xr:uid="{00000000-0005-0000-0000-00005B940000}"/>
    <cellStyle name="Normal 9 2 14" xfId="37980" xr:uid="{00000000-0005-0000-0000-00005C940000}"/>
    <cellStyle name="Normal 9 2 15" xfId="37981" xr:uid="{00000000-0005-0000-0000-00005D940000}"/>
    <cellStyle name="Normal 9 2 16" xfId="37982" xr:uid="{00000000-0005-0000-0000-00005E940000}"/>
    <cellStyle name="Normal 9 2 17" xfId="37983" xr:uid="{00000000-0005-0000-0000-00005F940000}"/>
    <cellStyle name="Normal 9 2 18" xfId="37984" xr:uid="{00000000-0005-0000-0000-000060940000}"/>
    <cellStyle name="Normal 9 2 19" xfId="37985" xr:uid="{00000000-0005-0000-0000-000061940000}"/>
    <cellStyle name="Normal 9 2 2" xfId="37986" xr:uid="{00000000-0005-0000-0000-000062940000}"/>
    <cellStyle name="Normal 9 2 2 2" xfId="37987" xr:uid="{00000000-0005-0000-0000-000063940000}"/>
    <cellStyle name="Normal 9 2 2 2 2" xfId="37988" xr:uid="{00000000-0005-0000-0000-000064940000}"/>
    <cellStyle name="Normal 9 2 20" xfId="37989" xr:uid="{00000000-0005-0000-0000-000065940000}"/>
    <cellStyle name="Normal 9 2 21" xfId="37990" xr:uid="{00000000-0005-0000-0000-000066940000}"/>
    <cellStyle name="Normal 9 2 22" xfId="37991" xr:uid="{00000000-0005-0000-0000-000067940000}"/>
    <cellStyle name="Normal 9 2 23" xfId="37992" xr:uid="{00000000-0005-0000-0000-000068940000}"/>
    <cellStyle name="Normal 9 2 24" xfId="37993" xr:uid="{00000000-0005-0000-0000-000069940000}"/>
    <cellStyle name="Normal 9 2 25" xfId="37994" xr:uid="{00000000-0005-0000-0000-00006A940000}"/>
    <cellStyle name="Normal 9 2 26" xfId="37995" xr:uid="{00000000-0005-0000-0000-00006B940000}"/>
    <cellStyle name="Normal 9 2 27" xfId="37996" xr:uid="{00000000-0005-0000-0000-00006C940000}"/>
    <cellStyle name="Normal 9 2 28" xfId="37997" xr:uid="{00000000-0005-0000-0000-00006D940000}"/>
    <cellStyle name="Normal 9 2 29" xfId="37998" xr:uid="{00000000-0005-0000-0000-00006E940000}"/>
    <cellStyle name="Normal 9 2 3" xfId="37999" xr:uid="{00000000-0005-0000-0000-00006F940000}"/>
    <cellStyle name="Normal 9 2 30" xfId="38000" xr:uid="{00000000-0005-0000-0000-000070940000}"/>
    <cellStyle name="Normal 9 2 31" xfId="38001" xr:uid="{00000000-0005-0000-0000-000071940000}"/>
    <cellStyle name="Normal 9 2 32" xfId="38002" xr:uid="{00000000-0005-0000-0000-000072940000}"/>
    <cellStyle name="Normal 9 2 33" xfId="38003" xr:uid="{00000000-0005-0000-0000-000073940000}"/>
    <cellStyle name="Normal 9 2 34" xfId="38004" xr:uid="{00000000-0005-0000-0000-000074940000}"/>
    <cellStyle name="Normal 9 2 35" xfId="38005" xr:uid="{00000000-0005-0000-0000-000075940000}"/>
    <cellStyle name="Normal 9 2 36" xfId="38006" xr:uid="{00000000-0005-0000-0000-000076940000}"/>
    <cellStyle name="Normal 9 2 37" xfId="38007" xr:uid="{00000000-0005-0000-0000-000077940000}"/>
    <cellStyle name="Normal 9 2 38" xfId="38008" xr:uid="{00000000-0005-0000-0000-000078940000}"/>
    <cellStyle name="Normal 9 2 39" xfId="38009" xr:uid="{00000000-0005-0000-0000-000079940000}"/>
    <cellStyle name="Normal 9 2 4" xfId="38010" xr:uid="{00000000-0005-0000-0000-00007A940000}"/>
    <cellStyle name="Normal 9 2 40" xfId="38011" xr:uid="{00000000-0005-0000-0000-00007B940000}"/>
    <cellStyle name="Normal 9 2 41" xfId="38012" xr:uid="{00000000-0005-0000-0000-00007C940000}"/>
    <cellStyle name="Normal 9 2 42" xfId="38013" xr:uid="{00000000-0005-0000-0000-00007D940000}"/>
    <cellStyle name="Normal 9 2 43" xfId="38014" xr:uid="{00000000-0005-0000-0000-00007E940000}"/>
    <cellStyle name="Normal 9 2 44" xfId="38015" xr:uid="{00000000-0005-0000-0000-00007F940000}"/>
    <cellStyle name="Normal 9 2 45" xfId="38016" xr:uid="{00000000-0005-0000-0000-000080940000}"/>
    <cellStyle name="Normal 9 2 46" xfId="38017" xr:uid="{00000000-0005-0000-0000-000081940000}"/>
    <cellStyle name="Normal 9 2 47" xfId="38018" xr:uid="{00000000-0005-0000-0000-000082940000}"/>
    <cellStyle name="Normal 9 2 48" xfId="38019" xr:uid="{00000000-0005-0000-0000-000083940000}"/>
    <cellStyle name="Normal 9 2 49" xfId="38020" xr:uid="{00000000-0005-0000-0000-000084940000}"/>
    <cellStyle name="Normal 9 2 5" xfId="38021" xr:uid="{00000000-0005-0000-0000-000085940000}"/>
    <cellStyle name="Normal 9 2 50" xfId="38022" xr:uid="{00000000-0005-0000-0000-000086940000}"/>
    <cellStyle name="Normal 9 2 51" xfId="38023" xr:uid="{00000000-0005-0000-0000-000087940000}"/>
    <cellStyle name="Normal 9 2 52" xfId="38024" xr:uid="{00000000-0005-0000-0000-000088940000}"/>
    <cellStyle name="Normal 9 2 53" xfId="38025" xr:uid="{00000000-0005-0000-0000-000089940000}"/>
    <cellStyle name="Normal 9 2 54" xfId="38026" xr:uid="{00000000-0005-0000-0000-00008A940000}"/>
    <cellStyle name="Normal 9 2 55" xfId="38027" xr:uid="{00000000-0005-0000-0000-00008B940000}"/>
    <cellStyle name="Normal 9 2 56" xfId="38028" xr:uid="{00000000-0005-0000-0000-00008C940000}"/>
    <cellStyle name="Normal 9 2 57" xfId="38029" xr:uid="{00000000-0005-0000-0000-00008D940000}"/>
    <cellStyle name="Normal 9 2 58" xfId="38030" xr:uid="{00000000-0005-0000-0000-00008E940000}"/>
    <cellStyle name="Normal 9 2 59" xfId="38031" xr:uid="{00000000-0005-0000-0000-00008F940000}"/>
    <cellStyle name="Normal 9 2 6" xfId="38032" xr:uid="{00000000-0005-0000-0000-000090940000}"/>
    <cellStyle name="Normal 9 2 60" xfId="38033" xr:uid="{00000000-0005-0000-0000-000091940000}"/>
    <cellStyle name="Normal 9 2 61" xfId="38034" xr:uid="{00000000-0005-0000-0000-000092940000}"/>
    <cellStyle name="Normal 9 2 62" xfId="38035" xr:uid="{00000000-0005-0000-0000-000093940000}"/>
    <cellStyle name="Normal 9 2 63" xfId="38036" xr:uid="{00000000-0005-0000-0000-000094940000}"/>
    <cellStyle name="Normal 9 2 64" xfId="38037" xr:uid="{00000000-0005-0000-0000-000095940000}"/>
    <cellStyle name="Normal 9 2 65" xfId="38038" xr:uid="{00000000-0005-0000-0000-000096940000}"/>
    <cellStyle name="Normal 9 2 66" xfId="38039" xr:uid="{00000000-0005-0000-0000-000097940000}"/>
    <cellStyle name="Normal 9 2 67" xfId="38040" xr:uid="{00000000-0005-0000-0000-000098940000}"/>
    <cellStyle name="Normal 9 2 68" xfId="38041" xr:uid="{00000000-0005-0000-0000-000099940000}"/>
    <cellStyle name="Normal 9 2 69" xfId="38042" xr:uid="{00000000-0005-0000-0000-00009A940000}"/>
    <cellStyle name="Normal 9 2 7" xfId="38043" xr:uid="{00000000-0005-0000-0000-00009B940000}"/>
    <cellStyle name="Normal 9 2 70" xfId="38044" xr:uid="{00000000-0005-0000-0000-00009C940000}"/>
    <cellStyle name="Normal 9 2 71" xfId="38045" xr:uid="{00000000-0005-0000-0000-00009D940000}"/>
    <cellStyle name="Normal 9 2 72" xfId="38046" xr:uid="{00000000-0005-0000-0000-00009E940000}"/>
    <cellStyle name="Normal 9 2 73" xfId="38047" xr:uid="{00000000-0005-0000-0000-00009F940000}"/>
    <cellStyle name="Normal 9 2 74" xfId="38048" xr:uid="{00000000-0005-0000-0000-0000A0940000}"/>
    <cellStyle name="Normal 9 2 75" xfId="38049" xr:uid="{00000000-0005-0000-0000-0000A1940000}"/>
    <cellStyle name="Normal 9 2 76" xfId="38050" xr:uid="{00000000-0005-0000-0000-0000A2940000}"/>
    <cellStyle name="Normal 9 2 77" xfId="38051" xr:uid="{00000000-0005-0000-0000-0000A3940000}"/>
    <cellStyle name="Normal 9 2 78" xfId="38052" xr:uid="{00000000-0005-0000-0000-0000A4940000}"/>
    <cellStyle name="Normal 9 2 79" xfId="38053" xr:uid="{00000000-0005-0000-0000-0000A5940000}"/>
    <cellStyle name="Normal 9 2 8" xfId="38054" xr:uid="{00000000-0005-0000-0000-0000A6940000}"/>
    <cellStyle name="Normal 9 2 9" xfId="38055" xr:uid="{00000000-0005-0000-0000-0000A7940000}"/>
    <cellStyle name="Normal 9 2_Enlaces" xfId="38056" xr:uid="{00000000-0005-0000-0000-0000A8940000}"/>
    <cellStyle name="Normal 9 20" xfId="38057" xr:uid="{00000000-0005-0000-0000-0000A9940000}"/>
    <cellStyle name="Normal 9 20 2" xfId="38058" xr:uid="{00000000-0005-0000-0000-0000AA940000}"/>
    <cellStyle name="Normal 9 20 2 2" xfId="38059" xr:uid="{00000000-0005-0000-0000-0000AB940000}"/>
    <cellStyle name="Normal 9 20 2 3" xfId="38060" xr:uid="{00000000-0005-0000-0000-0000AC940000}"/>
    <cellStyle name="Normal 9 20 3" xfId="38061" xr:uid="{00000000-0005-0000-0000-0000AD940000}"/>
    <cellStyle name="Normal 9 20 4" xfId="38062" xr:uid="{00000000-0005-0000-0000-0000AE940000}"/>
    <cellStyle name="Normal 9 21" xfId="38063" xr:uid="{00000000-0005-0000-0000-0000AF940000}"/>
    <cellStyle name="Normal 9 21 2" xfId="38064" xr:uid="{00000000-0005-0000-0000-0000B0940000}"/>
    <cellStyle name="Normal 9 21 2 2" xfId="38065" xr:uid="{00000000-0005-0000-0000-0000B1940000}"/>
    <cellStyle name="Normal 9 21 2 3" xfId="38066" xr:uid="{00000000-0005-0000-0000-0000B2940000}"/>
    <cellStyle name="Normal 9 21 3" xfId="38067" xr:uid="{00000000-0005-0000-0000-0000B3940000}"/>
    <cellStyle name="Normal 9 21 4" xfId="38068" xr:uid="{00000000-0005-0000-0000-0000B4940000}"/>
    <cellStyle name="Normal 9 22" xfId="38069" xr:uid="{00000000-0005-0000-0000-0000B5940000}"/>
    <cellStyle name="Normal 9 22 2" xfId="38070" xr:uid="{00000000-0005-0000-0000-0000B6940000}"/>
    <cellStyle name="Normal 9 22 2 2" xfId="38071" xr:uid="{00000000-0005-0000-0000-0000B7940000}"/>
    <cellStyle name="Normal 9 22 2 3" xfId="38072" xr:uid="{00000000-0005-0000-0000-0000B8940000}"/>
    <cellStyle name="Normal 9 22 3" xfId="38073" xr:uid="{00000000-0005-0000-0000-0000B9940000}"/>
    <cellStyle name="Normal 9 22 4" xfId="38074" xr:uid="{00000000-0005-0000-0000-0000BA940000}"/>
    <cellStyle name="Normal 9 23" xfId="38075" xr:uid="{00000000-0005-0000-0000-0000BB940000}"/>
    <cellStyle name="Normal 9 23 2" xfId="38076" xr:uid="{00000000-0005-0000-0000-0000BC940000}"/>
    <cellStyle name="Normal 9 23 2 2" xfId="38077" xr:uid="{00000000-0005-0000-0000-0000BD940000}"/>
    <cellStyle name="Normal 9 23 2 3" xfId="38078" xr:uid="{00000000-0005-0000-0000-0000BE940000}"/>
    <cellStyle name="Normal 9 23 3" xfId="38079" xr:uid="{00000000-0005-0000-0000-0000BF940000}"/>
    <cellStyle name="Normal 9 23 4" xfId="38080" xr:uid="{00000000-0005-0000-0000-0000C0940000}"/>
    <cellStyle name="Normal 9 24" xfId="38081" xr:uid="{00000000-0005-0000-0000-0000C1940000}"/>
    <cellStyle name="Normal 9 24 2" xfId="38082" xr:uid="{00000000-0005-0000-0000-0000C2940000}"/>
    <cellStyle name="Normal 9 24 2 2" xfId="38083" xr:uid="{00000000-0005-0000-0000-0000C3940000}"/>
    <cellStyle name="Normal 9 24 2 3" xfId="38084" xr:uid="{00000000-0005-0000-0000-0000C4940000}"/>
    <cellStyle name="Normal 9 24 3" xfId="38085" xr:uid="{00000000-0005-0000-0000-0000C5940000}"/>
    <cellStyle name="Normal 9 24 4" xfId="38086" xr:uid="{00000000-0005-0000-0000-0000C6940000}"/>
    <cellStyle name="Normal 9 25" xfId="38087" xr:uid="{00000000-0005-0000-0000-0000C7940000}"/>
    <cellStyle name="Normal 9 25 2" xfId="38088" xr:uid="{00000000-0005-0000-0000-0000C8940000}"/>
    <cellStyle name="Normal 9 25 2 2" xfId="38089" xr:uid="{00000000-0005-0000-0000-0000C9940000}"/>
    <cellStyle name="Normal 9 25 2 3" xfId="38090" xr:uid="{00000000-0005-0000-0000-0000CA940000}"/>
    <cellStyle name="Normal 9 25 3" xfId="38091" xr:uid="{00000000-0005-0000-0000-0000CB940000}"/>
    <cellStyle name="Normal 9 25 4" xfId="38092" xr:uid="{00000000-0005-0000-0000-0000CC940000}"/>
    <cellStyle name="Normal 9 26" xfId="38093" xr:uid="{00000000-0005-0000-0000-0000CD940000}"/>
    <cellStyle name="Normal 9 26 2" xfId="38094" xr:uid="{00000000-0005-0000-0000-0000CE940000}"/>
    <cellStyle name="Normal 9 26 2 2" xfId="38095" xr:uid="{00000000-0005-0000-0000-0000CF940000}"/>
    <cellStyle name="Normal 9 26 2 3" xfId="38096" xr:uid="{00000000-0005-0000-0000-0000D0940000}"/>
    <cellStyle name="Normal 9 26 3" xfId="38097" xr:uid="{00000000-0005-0000-0000-0000D1940000}"/>
    <cellStyle name="Normal 9 26 4" xfId="38098" xr:uid="{00000000-0005-0000-0000-0000D2940000}"/>
    <cellStyle name="Normal 9 27" xfId="38099" xr:uid="{00000000-0005-0000-0000-0000D3940000}"/>
    <cellStyle name="Normal 9 27 2" xfId="38100" xr:uid="{00000000-0005-0000-0000-0000D4940000}"/>
    <cellStyle name="Normal 9 27 2 2" xfId="38101" xr:uid="{00000000-0005-0000-0000-0000D5940000}"/>
    <cellStyle name="Normal 9 27 2 3" xfId="38102" xr:uid="{00000000-0005-0000-0000-0000D6940000}"/>
    <cellStyle name="Normal 9 27 3" xfId="38103" xr:uid="{00000000-0005-0000-0000-0000D7940000}"/>
    <cellStyle name="Normal 9 27 4" xfId="38104" xr:uid="{00000000-0005-0000-0000-0000D8940000}"/>
    <cellStyle name="Normal 9 28" xfId="38105" xr:uid="{00000000-0005-0000-0000-0000D9940000}"/>
    <cellStyle name="Normal 9 28 2" xfId="38106" xr:uid="{00000000-0005-0000-0000-0000DA940000}"/>
    <cellStyle name="Normal 9 28 2 2" xfId="38107" xr:uid="{00000000-0005-0000-0000-0000DB940000}"/>
    <cellStyle name="Normal 9 28 2 3" xfId="38108" xr:uid="{00000000-0005-0000-0000-0000DC940000}"/>
    <cellStyle name="Normal 9 28 3" xfId="38109" xr:uid="{00000000-0005-0000-0000-0000DD940000}"/>
    <cellStyle name="Normal 9 28 4" xfId="38110" xr:uid="{00000000-0005-0000-0000-0000DE940000}"/>
    <cellStyle name="Normal 9 29" xfId="38111" xr:uid="{00000000-0005-0000-0000-0000DF940000}"/>
    <cellStyle name="Normal 9 29 2" xfId="38112" xr:uid="{00000000-0005-0000-0000-0000E0940000}"/>
    <cellStyle name="Normal 9 29 2 2" xfId="38113" xr:uid="{00000000-0005-0000-0000-0000E1940000}"/>
    <cellStyle name="Normal 9 29 2 3" xfId="38114" xr:uid="{00000000-0005-0000-0000-0000E2940000}"/>
    <cellStyle name="Normal 9 29 3" xfId="38115" xr:uid="{00000000-0005-0000-0000-0000E3940000}"/>
    <cellStyle name="Normal 9 29 4" xfId="38116" xr:uid="{00000000-0005-0000-0000-0000E4940000}"/>
    <cellStyle name="Normal 9 3" xfId="38117" xr:uid="{00000000-0005-0000-0000-0000E5940000}"/>
    <cellStyle name="Normal 9 3 2" xfId="38118" xr:uid="{00000000-0005-0000-0000-0000E6940000}"/>
    <cellStyle name="Normal 9 3 2 2" xfId="38119" xr:uid="{00000000-0005-0000-0000-0000E7940000}"/>
    <cellStyle name="Normal 9 3 2 2 2" xfId="38120" xr:uid="{00000000-0005-0000-0000-0000E8940000}"/>
    <cellStyle name="Normal 9 3 2 2 3" xfId="38121" xr:uid="{00000000-0005-0000-0000-0000E9940000}"/>
    <cellStyle name="Normal 9 3 2 3" xfId="38122" xr:uid="{00000000-0005-0000-0000-0000EA940000}"/>
    <cellStyle name="Normal 9 3 2 4" xfId="38123" xr:uid="{00000000-0005-0000-0000-0000EB940000}"/>
    <cellStyle name="Normal 9 3 3" xfId="38124" xr:uid="{00000000-0005-0000-0000-0000EC940000}"/>
    <cellStyle name="Normal 9 3 3 2" xfId="38125" xr:uid="{00000000-0005-0000-0000-0000ED940000}"/>
    <cellStyle name="Normal 9 3 3 2 2" xfId="38126" xr:uid="{00000000-0005-0000-0000-0000EE940000}"/>
    <cellStyle name="Normal 9 3 3 2 3" xfId="38127" xr:uid="{00000000-0005-0000-0000-0000EF940000}"/>
    <cellStyle name="Normal 9 3 3 3" xfId="38128" xr:uid="{00000000-0005-0000-0000-0000F0940000}"/>
    <cellStyle name="Normal 9 3 3 4" xfId="38129" xr:uid="{00000000-0005-0000-0000-0000F1940000}"/>
    <cellStyle name="Normal 9 3 4" xfId="38130" xr:uid="{00000000-0005-0000-0000-0000F2940000}"/>
    <cellStyle name="Normal 9 3 4 2" xfId="38131" xr:uid="{00000000-0005-0000-0000-0000F3940000}"/>
    <cellStyle name="Normal 9 3 4 2 2" xfId="38132" xr:uid="{00000000-0005-0000-0000-0000F4940000}"/>
    <cellStyle name="Normal 9 3 4 2 2 2" xfId="38133" xr:uid="{00000000-0005-0000-0000-0000F5940000}"/>
    <cellStyle name="Normal 9 3 4 2 2 2 2" xfId="38134" xr:uid="{00000000-0005-0000-0000-0000F6940000}"/>
    <cellStyle name="Normal 9 3 4 2 2 2 3" xfId="38135" xr:uid="{00000000-0005-0000-0000-0000F7940000}"/>
    <cellStyle name="Normal 9 3 4 2 2 3" xfId="38136" xr:uid="{00000000-0005-0000-0000-0000F8940000}"/>
    <cellStyle name="Normal 9 3 4 2 2 4" xfId="38137" xr:uid="{00000000-0005-0000-0000-0000F9940000}"/>
    <cellStyle name="Normal 9 3 4 3" xfId="38138" xr:uid="{00000000-0005-0000-0000-0000FA940000}"/>
    <cellStyle name="Normal 9 3 4 3 2" xfId="38139" xr:uid="{00000000-0005-0000-0000-0000FB940000}"/>
    <cellStyle name="Normal 9 3 4 3 2 2" xfId="38140" xr:uid="{00000000-0005-0000-0000-0000FC940000}"/>
    <cellStyle name="Normal 9 3 4 3 2 3" xfId="38141" xr:uid="{00000000-0005-0000-0000-0000FD940000}"/>
    <cellStyle name="Normal 9 3 4 3 3" xfId="38142" xr:uid="{00000000-0005-0000-0000-0000FE940000}"/>
    <cellStyle name="Normal 9 3 4 3 4" xfId="38143" xr:uid="{00000000-0005-0000-0000-0000FF940000}"/>
    <cellStyle name="Normal 9 3 4 4" xfId="38144" xr:uid="{00000000-0005-0000-0000-000000950000}"/>
    <cellStyle name="Normal 9 3 4 4 2" xfId="38145" xr:uid="{00000000-0005-0000-0000-000001950000}"/>
    <cellStyle name="Normal 9 3 4 4 3" xfId="38146" xr:uid="{00000000-0005-0000-0000-000002950000}"/>
    <cellStyle name="Normal 9 3 4 5" xfId="38147" xr:uid="{00000000-0005-0000-0000-000003950000}"/>
    <cellStyle name="Normal 9 3 5" xfId="38148" xr:uid="{00000000-0005-0000-0000-000004950000}"/>
    <cellStyle name="Normal 9 3 5 2" xfId="38149" xr:uid="{00000000-0005-0000-0000-000005950000}"/>
    <cellStyle name="Normal 9 3 5 2 2" xfId="38150" xr:uid="{00000000-0005-0000-0000-000006950000}"/>
    <cellStyle name="Normal 9 3 5 2 3" xfId="38151" xr:uid="{00000000-0005-0000-0000-000007950000}"/>
    <cellStyle name="Normal 9 3 5 3" xfId="38152" xr:uid="{00000000-0005-0000-0000-000008950000}"/>
    <cellStyle name="Normal 9 3 5 4" xfId="38153" xr:uid="{00000000-0005-0000-0000-000009950000}"/>
    <cellStyle name="Normal 9 3 6" xfId="38154" xr:uid="{00000000-0005-0000-0000-00000A950000}"/>
    <cellStyle name="Normal 9 3 6 2" xfId="38155" xr:uid="{00000000-0005-0000-0000-00000B950000}"/>
    <cellStyle name="Normal 9 3 6 2 2" xfId="38156" xr:uid="{00000000-0005-0000-0000-00000C950000}"/>
    <cellStyle name="Normal 9 3 6 2 3" xfId="38157" xr:uid="{00000000-0005-0000-0000-00000D950000}"/>
    <cellStyle name="Normal 9 3 6 3" xfId="38158" xr:uid="{00000000-0005-0000-0000-00000E950000}"/>
    <cellStyle name="Normal 9 3 6 4" xfId="38159" xr:uid="{00000000-0005-0000-0000-00000F950000}"/>
    <cellStyle name="Normal 9 3 7" xfId="38160" xr:uid="{00000000-0005-0000-0000-000010950000}"/>
    <cellStyle name="Normal 9 3 7 2" xfId="38161" xr:uid="{00000000-0005-0000-0000-000011950000}"/>
    <cellStyle name="Normal 9 3 7 3" xfId="38162" xr:uid="{00000000-0005-0000-0000-000012950000}"/>
    <cellStyle name="Normal 9 3 7 3 2" xfId="38163" xr:uid="{00000000-0005-0000-0000-000013950000}"/>
    <cellStyle name="Normal 9 3 7 3 3" xfId="38164" xr:uid="{00000000-0005-0000-0000-000014950000}"/>
    <cellStyle name="Normal 9 3 7 4" xfId="38165" xr:uid="{00000000-0005-0000-0000-000015950000}"/>
    <cellStyle name="Normal 9 3 8" xfId="38166" xr:uid="{00000000-0005-0000-0000-000016950000}"/>
    <cellStyle name="Normal 9 3 9" xfId="38167" xr:uid="{00000000-0005-0000-0000-000017950000}"/>
    <cellStyle name="Normal 9 3 9 2" xfId="38168" xr:uid="{00000000-0005-0000-0000-000018950000}"/>
    <cellStyle name="Normal 9 3 9 2 2" xfId="38169" xr:uid="{00000000-0005-0000-0000-000019950000}"/>
    <cellStyle name="Normal 9 3 9 2 3" xfId="38170" xr:uid="{00000000-0005-0000-0000-00001A950000}"/>
    <cellStyle name="Normal 9 3 9 3" xfId="38171" xr:uid="{00000000-0005-0000-0000-00001B950000}"/>
    <cellStyle name="Normal 9 3 9 4" xfId="38172" xr:uid="{00000000-0005-0000-0000-00001C950000}"/>
    <cellStyle name="Normal 9 3_Implem" xfId="38173" xr:uid="{00000000-0005-0000-0000-00001D950000}"/>
    <cellStyle name="Normal 9 4" xfId="38174" xr:uid="{00000000-0005-0000-0000-00001E950000}"/>
    <cellStyle name="Normal 9 4 2" xfId="38175" xr:uid="{00000000-0005-0000-0000-00001F950000}"/>
    <cellStyle name="Normal 9 4 2 2" xfId="38176" xr:uid="{00000000-0005-0000-0000-000020950000}"/>
    <cellStyle name="Normal 9 4 2 3" xfId="38177" xr:uid="{00000000-0005-0000-0000-000021950000}"/>
    <cellStyle name="Normal 9 4 3" xfId="38178" xr:uid="{00000000-0005-0000-0000-000022950000}"/>
    <cellStyle name="Normal 9 4 4" xfId="38179" xr:uid="{00000000-0005-0000-0000-000023950000}"/>
    <cellStyle name="Normal 9 5" xfId="38180" xr:uid="{00000000-0005-0000-0000-000024950000}"/>
    <cellStyle name="Normal 9 5 2" xfId="38181" xr:uid="{00000000-0005-0000-0000-000025950000}"/>
    <cellStyle name="Normal 9 5 2 2" xfId="38182" xr:uid="{00000000-0005-0000-0000-000026950000}"/>
    <cellStyle name="Normal 9 5 2 3" xfId="38183" xr:uid="{00000000-0005-0000-0000-000027950000}"/>
    <cellStyle name="Normal 9 5 3" xfId="38184" xr:uid="{00000000-0005-0000-0000-000028950000}"/>
    <cellStyle name="Normal 9 5 4" xfId="38185" xr:uid="{00000000-0005-0000-0000-000029950000}"/>
    <cellStyle name="Normal 9 6" xfId="38186" xr:uid="{00000000-0005-0000-0000-00002A950000}"/>
    <cellStyle name="Normal 9 6 2" xfId="38187" xr:uid="{00000000-0005-0000-0000-00002B950000}"/>
    <cellStyle name="Normal 9 6 2 2" xfId="38188" xr:uid="{00000000-0005-0000-0000-00002C950000}"/>
    <cellStyle name="Normal 9 6 2 3" xfId="38189" xr:uid="{00000000-0005-0000-0000-00002D950000}"/>
    <cellStyle name="Normal 9 6 3" xfId="38190" xr:uid="{00000000-0005-0000-0000-00002E950000}"/>
    <cellStyle name="Normal 9 6 4" xfId="38191" xr:uid="{00000000-0005-0000-0000-00002F950000}"/>
    <cellStyle name="Normal 9 7" xfId="38192" xr:uid="{00000000-0005-0000-0000-000030950000}"/>
    <cellStyle name="Normal 9 7 2" xfId="38193" xr:uid="{00000000-0005-0000-0000-000031950000}"/>
    <cellStyle name="Normal 9 7 2 2" xfId="38194" xr:uid="{00000000-0005-0000-0000-000032950000}"/>
    <cellStyle name="Normal 9 7 2 3" xfId="38195" xr:uid="{00000000-0005-0000-0000-000033950000}"/>
    <cellStyle name="Normal 9 7 3" xfId="38196" xr:uid="{00000000-0005-0000-0000-000034950000}"/>
    <cellStyle name="Normal 9 7 4" xfId="38197" xr:uid="{00000000-0005-0000-0000-000035950000}"/>
    <cellStyle name="Normal 9 8" xfId="38198" xr:uid="{00000000-0005-0000-0000-000036950000}"/>
    <cellStyle name="Normal 9 8 2" xfId="38199" xr:uid="{00000000-0005-0000-0000-000037950000}"/>
    <cellStyle name="Normal 9 8 2 2" xfId="38200" xr:uid="{00000000-0005-0000-0000-000038950000}"/>
    <cellStyle name="Normal 9 8 2 3" xfId="38201" xr:uid="{00000000-0005-0000-0000-000039950000}"/>
    <cellStyle name="Normal 9 8 3" xfId="38202" xr:uid="{00000000-0005-0000-0000-00003A950000}"/>
    <cellStyle name="Normal 9 8 4" xfId="38203" xr:uid="{00000000-0005-0000-0000-00003B950000}"/>
    <cellStyle name="Normal 9 9" xfId="38204" xr:uid="{00000000-0005-0000-0000-00003C950000}"/>
    <cellStyle name="Normal 9 9 2" xfId="38205" xr:uid="{00000000-0005-0000-0000-00003D950000}"/>
    <cellStyle name="Normal 9 9 2 2" xfId="38206" xr:uid="{00000000-0005-0000-0000-00003E950000}"/>
    <cellStyle name="Normal 9 9 2 3" xfId="38207" xr:uid="{00000000-0005-0000-0000-00003F950000}"/>
    <cellStyle name="Normal 9 9 3" xfId="38208" xr:uid="{00000000-0005-0000-0000-000040950000}"/>
    <cellStyle name="Normal 9 9 4" xfId="38209" xr:uid="{00000000-0005-0000-0000-000041950000}"/>
    <cellStyle name="Normal 90" xfId="38210" xr:uid="{00000000-0005-0000-0000-000042950000}"/>
    <cellStyle name="Normal 90 2" xfId="38211" xr:uid="{00000000-0005-0000-0000-000043950000}"/>
    <cellStyle name="Normal 90 2 2" xfId="38212" xr:uid="{00000000-0005-0000-0000-000044950000}"/>
    <cellStyle name="Normal 90 2 2 2" xfId="38213" xr:uid="{00000000-0005-0000-0000-000045950000}"/>
    <cellStyle name="Normal 90 2 2 3" xfId="38214" xr:uid="{00000000-0005-0000-0000-000046950000}"/>
    <cellStyle name="Normal 90 2 3" xfId="38215" xr:uid="{00000000-0005-0000-0000-000047950000}"/>
    <cellStyle name="Normal 90 2 4" xfId="38216" xr:uid="{00000000-0005-0000-0000-000048950000}"/>
    <cellStyle name="Normal 90 3" xfId="38217" xr:uid="{00000000-0005-0000-0000-000049950000}"/>
    <cellStyle name="Normal 90 3 2" xfId="38218" xr:uid="{00000000-0005-0000-0000-00004A950000}"/>
    <cellStyle name="Normal 90 3 3" xfId="38219" xr:uid="{00000000-0005-0000-0000-00004B950000}"/>
    <cellStyle name="Normal 90 4" xfId="38220" xr:uid="{00000000-0005-0000-0000-00004C950000}"/>
    <cellStyle name="Normal 90 5" xfId="38221" xr:uid="{00000000-0005-0000-0000-00004D950000}"/>
    <cellStyle name="Normal 91" xfId="38222" xr:uid="{00000000-0005-0000-0000-00004E950000}"/>
    <cellStyle name="Normal 91 2" xfId="38223" xr:uid="{00000000-0005-0000-0000-00004F950000}"/>
    <cellStyle name="Normal 91 2 2" xfId="38224" xr:uid="{00000000-0005-0000-0000-000050950000}"/>
    <cellStyle name="Normal 91 2 2 2" xfId="38225" xr:uid="{00000000-0005-0000-0000-000051950000}"/>
    <cellStyle name="Normal 91 2 2 3" xfId="38226" xr:uid="{00000000-0005-0000-0000-000052950000}"/>
    <cellStyle name="Normal 91 2 3" xfId="38227" xr:uid="{00000000-0005-0000-0000-000053950000}"/>
    <cellStyle name="Normal 91 2 4" xfId="38228" xr:uid="{00000000-0005-0000-0000-000054950000}"/>
    <cellStyle name="Normal 91 3" xfId="38229" xr:uid="{00000000-0005-0000-0000-000055950000}"/>
    <cellStyle name="Normal 91 3 2" xfId="38230" xr:uid="{00000000-0005-0000-0000-000056950000}"/>
    <cellStyle name="Normal 91 3 3" xfId="38231" xr:uid="{00000000-0005-0000-0000-000057950000}"/>
    <cellStyle name="Normal 91 4" xfId="38232" xr:uid="{00000000-0005-0000-0000-000058950000}"/>
    <cellStyle name="Normal 91 5" xfId="38233" xr:uid="{00000000-0005-0000-0000-000059950000}"/>
    <cellStyle name="Normal 92" xfId="38234" xr:uid="{00000000-0005-0000-0000-00005A950000}"/>
    <cellStyle name="Normal 92 2" xfId="38235" xr:uid="{00000000-0005-0000-0000-00005B950000}"/>
    <cellStyle name="Normal 92 2 2" xfId="38236" xr:uid="{00000000-0005-0000-0000-00005C950000}"/>
    <cellStyle name="Normal 92 2 2 2" xfId="38237" xr:uid="{00000000-0005-0000-0000-00005D950000}"/>
    <cellStyle name="Normal 92 2 2 3" xfId="38238" xr:uid="{00000000-0005-0000-0000-00005E950000}"/>
    <cellStyle name="Normal 92 2 3" xfId="38239" xr:uid="{00000000-0005-0000-0000-00005F950000}"/>
    <cellStyle name="Normal 92 2 4" xfId="38240" xr:uid="{00000000-0005-0000-0000-000060950000}"/>
    <cellStyle name="Normal 92 3" xfId="38241" xr:uid="{00000000-0005-0000-0000-000061950000}"/>
    <cellStyle name="Normal 92 3 2" xfId="38242" xr:uid="{00000000-0005-0000-0000-000062950000}"/>
    <cellStyle name="Normal 92 3 3" xfId="38243" xr:uid="{00000000-0005-0000-0000-000063950000}"/>
    <cellStyle name="Normal 92 4" xfId="38244" xr:uid="{00000000-0005-0000-0000-000064950000}"/>
    <cellStyle name="Normal 92 5" xfId="38245" xr:uid="{00000000-0005-0000-0000-000065950000}"/>
    <cellStyle name="Normal 92 6" xfId="38246" xr:uid="{00000000-0005-0000-0000-000066950000}"/>
    <cellStyle name="Normal 93" xfId="38247" xr:uid="{00000000-0005-0000-0000-000067950000}"/>
    <cellStyle name="Normal 93 2" xfId="38248" xr:uid="{00000000-0005-0000-0000-000068950000}"/>
    <cellStyle name="Normal 93 2 2" xfId="38249" xr:uid="{00000000-0005-0000-0000-000069950000}"/>
    <cellStyle name="Normal 93 2 2 2" xfId="38250" xr:uid="{00000000-0005-0000-0000-00006A950000}"/>
    <cellStyle name="Normal 93 2 2 3" xfId="38251" xr:uid="{00000000-0005-0000-0000-00006B950000}"/>
    <cellStyle name="Normal 93 2 3" xfId="38252" xr:uid="{00000000-0005-0000-0000-00006C950000}"/>
    <cellStyle name="Normal 93 2 4" xfId="38253" xr:uid="{00000000-0005-0000-0000-00006D950000}"/>
    <cellStyle name="Normal 93 3" xfId="38254" xr:uid="{00000000-0005-0000-0000-00006E950000}"/>
    <cellStyle name="Normal 93 3 2" xfId="38255" xr:uid="{00000000-0005-0000-0000-00006F950000}"/>
    <cellStyle name="Normal 93 3 3" xfId="38256" xr:uid="{00000000-0005-0000-0000-000070950000}"/>
    <cellStyle name="Normal 93 4" xfId="38257" xr:uid="{00000000-0005-0000-0000-000071950000}"/>
    <cellStyle name="Normal 93 5" xfId="38258" xr:uid="{00000000-0005-0000-0000-000072950000}"/>
    <cellStyle name="Normal 93 6" xfId="38259" xr:uid="{00000000-0005-0000-0000-000073950000}"/>
    <cellStyle name="Normal 94" xfId="38260" xr:uid="{00000000-0005-0000-0000-000074950000}"/>
    <cellStyle name="Normal 94 2" xfId="38261" xr:uid="{00000000-0005-0000-0000-000075950000}"/>
    <cellStyle name="Normal 94 2 2" xfId="38262" xr:uid="{00000000-0005-0000-0000-000076950000}"/>
    <cellStyle name="Normal 94 2 2 2" xfId="38263" xr:uid="{00000000-0005-0000-0000-000077950000}"/>
    <cellStyle name="Normal 94 2 2 3" xfId="38264" xr:uid="{00000000-0005-0000-0000-000078950000}"/>
    <cellStyle name="Normal 94 2 3" xfId="38265" xr:uid="{00000000-0005-0000-0000-000079950000}"/>
    <cellStyle name="Normal 94 2 4" xfId="38266" xr:uid="{00000000-0005-0000-0000-00007A950000}"/>
    <cellStyle name="Normal 94 3" xfId="38267" xr:uid="{00000000-0005-0000-0000-00007B950000}"/>
    <cellStyle name="Normal 94 3 2" xfId="38268" xr:uid="{00000000-0005-0000-0000-00007C950000}"/>
    <cellStyle name="Normal 94 3 3" xfId="38269" xr:uid="{00000000-0005-0000-0000-00007D950000}"/>
    <cellStyle name="Normal 94 4" xfId="38270" xr:uid="{00000000-0005-0000-0000-00007E950000}"/>
    <cellStyle name="Normal 94 5" xfId="38271" xr:uid="{00000000-0005-0000-0000-00007F950000}"/>
    <cellStyle name="Normal 94 6" xfId="38272" xr:uid="{00000000-0005-0000-0000-000080950000}"/>
    <cellStyle name="Normal 95" xfId="38273" xr:uid="{00000000-0005-0000-0000-000081950000}"/>
    <cellStyle name="Normal 95 2" xfId="38274" xr:uid="{00000000-0005-0000-0000-000082950000}"/>
    <cellStyle name="Normal 95 2 2" xfId="38275" xr:uid="{00000000-0005-0000-0000-000083950000}"/>
    <cellStyle name="Normal 95 2 2 2" xfId="38276" xr:uid="{00000000-0005-0000-0000-000084950000}"/>
    <cellStyle name="Normal 95 2 2 3" xfId="38277" xr:uid="{00000000-0005-0000-0000-000085950000}"/>
    <cellStyle name="Normal 95 2 3" xfId="38278" xr:uid="{00000000-0005-0000-0000-000086950000}"/>
    <cellStyle name="Normal 95 2 4" xfId="38279" xr:uid="{00000000-0005-0000-0000-000087950000}"/>
    <cellStyle name="Normal 95 3" xfId="38280" xr:uid="{00000000-0005-0000-0000-000088950000}"/>
    <cellStyle name="Normal 95 3 2" xfId="38281" xr:uid="{00000000-0005-0000-0000-000089950000}"/>
    <cellStyle name="Normal 95 3 3" xfId="38282" xr:uid="{00000000-0005-0000-0000-00008A950000}"/>
    <cellStyle name="Normal 95 4" xfId="38283" xr:uid="{00000000-0005-0000-0000-00008B950000}"/>
    <cellStyle name="Normal 95 5" xfId="38284" xr:uid="{00000000-0005-0000-0000-00008C950000}"/>
    <cellStyle name="Normal 96" xfId="38285" xr:uid="{00000000-0005-0000-0000-00008D950000}"/>
    <cellStyle name="Normal 96 2" xfId="38286" xr:uid="{00000000-0005-0000-0000-00008E950000}"/>
    <cellStyle name="Normal 96 2 2" xfId="38287" xr:uid="{00000000-0005-0000-0000-00008F950000}"/>
    <cellStyle name="Normal 96 2 2 2" xfId="38288" xr:uid="{00000000-0005-0000-0000-000090950000}"/>
    <cellStyle name="Normal 96 2 2 3" xfId="38289" xr:uid="{00000000-0005-0000-0000-000091950000}"/>
    <cellStyle name="Normal 96 2 3" xfId="38290" xr:uid="{00000000-0005-0000-0000-000092950000}"/>
    <cellStyle name="Normal 96 2 4" xfId="38291" xr:uid="{00000000-0005-0000-0000-000093950000}"/>
    <cellStyle name="Normal 96 3" xfId="38292" xr:uid="{00000000-0005-0000-0000-000094950000}"/>
    <cellStyle name="Normal 96 3 2" xfId="38293" xr:uid="{00000000-0005-0000-0000-000095950000}"/>
    <cellStyle name="Normal 96 3 3" xfId="38294" xr:uid="{00000000-0005-0000-0000-000096950000}"/>
    <cellStyle name="Normal 96 4" xfId="38295" xr:uid="{00000000-0005-0000-0000-000097950000}"/>
    <cellStyle name="Normal 96 5" xfId="38296" xr:uid="{00000000-0005-0000-0000-000098950000}"/>
    <cellStyle name="Normal 96 6" xfId="38297" xr:uid="{00000000-0005-0000-0000-000099950000}"/>
    <cellStyle name="Normal 97" xfId="38298" xr:uid="{00000000-0005-0000-0000-00009A950000}"/>
    <cellStyle name="Normal 97 2" xfId="38299" xr:uid="{00000000-0005-0000-0000-00009B950000}"/>
    <cellStyle name="Normal 97 2 2" xfId="38300" xr:uid="{00000000-0005-0000-0000-00009C950000}"/>
    <cellStyle name="Normal 97 2 2 2" xfId="38301" xr:uid="{00000000-0005-0000-0000-00009D950000}"/>
    <cellStyle name="Normal 97 2 2 3" xfId="38302" xr:uid="{00000000-0005-0000-0000-00009E950000}"/>
    <cellStyle name="Normal 97 2 3" xfId="38303" xr:uid="{00000000-0005-0000-0000-00009F950000}"/>
    <cellStyle name="Normal 97 2 4" xfId="38304" xr:uid="{00000000-0005-0000-0000-0000A0950000}"/>
    <cellStyle name="Normal 97 3" xfId="38305" xr:uid="{00000000-0005-0000-0000-0000A1950000}"/>
    <cellStyle name="Normal 97 3 2" xfId="38306" xr:uid="{00000000-0005-0000-0000-0000A2950000}"/>
    <cellStyle name="Normal 97 3 3" xfId="38307" xr:uid="{00000000-0005-0000-0000-0000A3950000}"/>
    <cellStyle name="Normal 97 4" xfId="38308" xr:uid="{00000000-0005-0000-0000-0000A4950000}"/>
    <cellStyle name="Normal 97 5" xfId="38309" xr:uid="{00000000-0005-0000-0000-0000A5950000}"/>
    <cellStyle name="Normal 98" xfId="38310" xr:uid="{00000000-0005-0000-0000-0000A6950000}"/>
    <cellStyle name="Normal 98 2" xfId="38311" xr:uid="{00000000-0005-0000-0000-0000A7950000}"/>
    <cellStyle name="Normal 98 2 2" xfId="38312" xr:uid="{00000000-0005-0000-0000-0000A8950000}"/>
    <cellStyle name="Normal 98 2 2 2" xfId="38313" xr:uid="{00000000-0005-0000-0000-0000A9950000}"/>
    <cellStyle name="Normal 98 2 2 3" xfId="38314" xr:uid="{00000000-0005-0000-0000-0000AA950000}"/>
    <cellStyle name="Normal 98 2 3" xfId="38315" xr:uid="{00000000-0005-0000-0000-0000AB950000}"/>
    <cellStyle name="Normal 98 2 4" xfId="38316" xr:uid="{00000000-0005-0000-0000-0000AC950000}"/>
    <cellStyle name="Normal 98 3" xfId="38317" xr:uid="{00000000-0005-0000-0000-0000AD950000}"/>
    <cellStyle name="Normal 98 3 2" xfId="38318" xr:uid="{00000000-0005-0000-0000-0000AE950000}"/>
    <cellStyle name="Normal 98 3 3" xfId="38319" xr:uid="{00000000-0005-0000-0000-0000AF950000}"/>
    <cellStyle name="Normal 98 4" xfId="38320" xr:uid="{00000000-0005-0000-0000-0000B0950000}"/>
    <cellStyle name="Normal 98 5" xfId="38321" xr:uid="{00000000-0005-0000-0000-0000B1950000}"/>
    <cellStyle name="Normal 99" xfId="38322" xr:uid="{00000000-0005-0000-0000-0000B2950000}"/>
    <cellStyle name="Normal 99 2" xfId="38323" xr:uid="{00000000-0005-0000-0000-0000B3950000}"/>
    <cellStyle name="Normal 99 2 2" xfId="38324" xr:uid="{00000000-0005-0000-0000-0000B4950000}"/>
    <cellStyle name="Normal 99 2 2 2" xfId="38325" xr:uid="{00000000-0005-0000-0000-0000B5950000}"/>
    <cellStyle name="Normal 99 2 2 3" xfId="38326" xr:uid="{00000000-0005-0000-0000-0000B6950000}"/>
    <cellStyle name="Normal 99 2 3" xfId="38327" xr:uid="{00000000-0005-0000-0000-0000B7950000}"/>
    <cellStyle name="Normal 99 2 4" xfId="38328" xr:uid="{00000000-0005-0000-0000-0000B8950000}"/>
    <cellStyle name="Normal 99 3" xfId="38329" xr:uid="{00000000-0005-0000-0000-0000B9950000}"/>
    <cellStyle name="Normal 99 3 2" xfId="38330" xr:uid="{00000000-0005-0000-0000-0000BA950000}"/>
    <cellStyle name="Normal 99 3 3" xfId="38331" xr:uid="{00000000-0005-0000-0000-0000BB950000}"/>
    <cellStyle name="Normal 99 4" xfId="38332" xr:uid="{00000000-0005-0000-0000-0000BC950000}"/>
    <cellStyle name="Normal 99 5" xfId="38333" xr:uid="{00000000-0005-0000-0000-0000BD950000}"/>
    <cellStyle name="Normal 99 6" xfId="38334" xr:uid="{00000000-0005-0000-0000-0000BE950000}"/>
    <cellStyle name="Notas 10" xfId="38335" xr:uid="{00000000-0005-0000-0000-0000BF950000}"/>
    <cellStyle name="Notas 2" xfId="38336" xr:uid="{00000000-0005-0000-0000-0000C0950000}"/>
    <cellStyle name="Notas 2 2" xfId="38337" xr:uid="{00000000-0005-0000-0000-0000C1950000}"/>
    <cellStyle name="Notas 2 2 2" xfId="38338" xr:uid="{00000000-0005-0000-0000-0000C2950000}"/>
    <cellStyle name="Notas 2 2 2 2" xfId="38339" xr:uid="{00000000-0005-0000-0000-0000C3950000}"/>
    <cellStyle name="Notas 2 2 2 2 2" xfId="38340" xr:uid="{00000000-0005-0000-0000-0000C4950000}"/>
    <cellStyle name="Notas 2 2 2 2 2 2" xfId="38341" xr:uid="{00000000-0005-0000-0000-0000C5950000}"/>
    <cellStyle name="Notas 2 2 2 2 2 2 2" xfId="38342" xr:uid="{00000000-0005-0000-0000-0000C6950000}"/>
    <cellStyle name="Notas 2 2 2 2 2 2 3" xfId="38343" xr:uid="{00000000-0005-0000-0000-0000C7950000}"/>
    <cellStyle name="Notas 2 2 2 2 2 3" xfId="38344" xr:uid="{00000000-0005-0000-0000-0000C8950000}"/>
    <cellStyle name="Notas 2 2 2 2 2 4" xfId="38345" xr:uid="{00000000-0005-0000-0000-0000C9950000}"/>
    <cellStyle name="Notas 2 2 2 2 3" xfId="38346" xr:uid="{00000000-0005-0000-0000-0000CA950000}"/>
    <cellStyle name="Notas 2 2 2 2 3 2" xfId="38347" xr:uid="{00000000-0005-0000-0000-0000CB950000}"/>
    <cellStyle name="Notas 2 2 2 2 3 3" xfId="38348" xr:uid="{00000000-0005-0000-0000-0000CC950000}"/>
    <cellStyle name="Notas 2 2 2 2 4" xfId="38349" xr:uid="{00000000-0005-0000-0000-0000CD950000}"/>
    <cellStyle name="Notas 2 2 2 2 5" xfId="38350" xr:uid="{00000000-0005-0000-0000-0000CE950000}"/>
    <cellStyle name="Notas 2 2 2 3" xfId="38351" xr:uid="{00000000-0005-0000-0000-0000CF950000}"/>
    <cellStyle name="Notas 2 2 2 3 2" xfId="38352" xr:uid="{00000000-0005-0000-0000-0000D0950000}"/>
    <cellStyle name="Notas 2 2 2 3 3" xfId="38353" xr:uid="{00000000-0005-0000-0000-0000D1950000}"/>
    <cellStyle name="Notas 2 2 2 4" xfId="38354" xr:uid="{00000000-0005-0000-0000-0000D2950000}"/>
    <cellStyle name="Notas 2 2 2 5" xfId="38355" xr:uid="{00000000-0005-0000-0000-0000D3950000}"/>
    <cellStyle name="Notas 2 2 3" xfId="38356" xr:uid="{00000000-0005-0000-0000-0000D4950000}"/>
    <cellStyle name="Notas 2 2 3 2" xfId="38357" xr:uid="{00000000-0005-0000-0000-0000D5950000}"/>
    <cellStyle name="Notas 2 2 3 2 2" xfId="38358" xr:uid="{00000000-0005-0000-0000-0000D6950000}"/>
    <cellStyle name="Notas 2 2 3 2 3" xfId="38359" xr:uid="{00000000-0005-0000-0000-0000D7950000}"/>
    <cellStyle name="Notas 2 2 3 3" xfId="38360" xr:uid="{00000000-0005-0000-0000-0000D8950000}"/>
    <cellStyle name="Notas 2 2 3 4" xfId="38361" xr:uid="{00000000-0005-0000-0000-0000D9950000}"/>
    <cellStyle name="Notas 2 2 4" xfId="38362" xr:uid="{00000000-0005-0000-0000-0000DA950000}"/>
    <cellStyle name="Notas 2 2 4 2" xfId="38363" xr:uid="{00000000-0005-0000-0000-0000DB950000}"/>
    <cellStyle name="Notas 2 2 4 2 2" xfId="38364" xr:uid="{00000000-0005-0000-0000-0000DC950000}"/>
    <cellStyle name="Notas 2 2 4 2 3" xfId="38365" xr:uid="{00000000-0005-0000-0000-0000DD950000}"/>
    <cellStyle name="Notas 2 2 4 3" xfId="38366" xr:uid="{00000000-0005-0000-0000-0000DE950000}"/>
    <cellStyle name="Notas 2 2 4 4" xfId="38367" xr:uid="{00000000-0005-0000-0000-0000DF950000}"/>
    <cellStyle name="Notas 2 2 5" xfId="38368" xr:uid="{00000000-0005-0000-0000-0000E0950000}"/>
    <cellStyle name="Notas 2 2 5 2" xfId="38369" xr:uid="{00000000-0005-0000-0000-0000E1950000}"/>
    <cellStyle name="Notas 2 2 5 3" xfId="38370" xr:uid="{00000000-0005-0000-0000-0000E2950000}"/>
    <cellStyle name="Notas 2 2 6" xfId="38371" xr:uid="{00000000-0005-0000-0000-0000E3950000}"/>
    <cellStyle name="Notas 2 2 7" xfId="38372" xr:uid="{00000000-0005-0000-0000-0000E4950000}"/>
    <cellStyle name="Notas 2 3" xfId="38373" xr:uid="{00000000-0005-0000-0000-0000E5950000}"/>
    <cellStyle name="Notas 2 3 2" xfId="38374" xr:uid="{00000000-0005-0000-0000-0000E6950000}"/>
    <cellStyle name="Notas 2 3 2 2" xfId="38375" xr:uid="{00000000-0005-0000-0000-0000E7950000}"/>
    <cellStyle name="Notas 2 3 2 3" xfId="38376" xr:uid="{00000000-0005-0000-0000-0000E8950000}"/>
    <cellStyle name="Notas 2 3 3" xfId="38377" xr:uid="{00000000-0005-0000-0000-0000E9950000}"/>
    <cellStyle name="Notas 2 3 4" xfId="38378" xr:uid="{00000000-0005-0000-0000-0000EA950000}"/>
    <cellStyle name="Notas 2 4" xfId="38379" xr:uid="{00000000-0005-0000-0000-0000EB950000}"/>
    <cellStyle name="Notas 2 4 2" xfId="38380" xr:uid="{00000000-0005-0000-0000-0000EC950000}"/>
    <cellStyle name="Notas 2 4 2 2" xfId="38381" xr:uid="{00000000-0005-0000-0000-0000ED950000}"/>
    <cellStyle name="Notas 2 4 2 3" xfId="38382" xr:uid="{00000000-0005-0000-0000-0000EE950000}"/>
    <cellStyle name="Notas 2 4 3" xfId="38383" xr:uid="{00000000-0005-0000-0000-0000EF950000}"/>
    <cellStyle name="Notas 2 4 4" xfId="38384" xr:uid="{00000000-0005-0000-0000-0000F0950000}"/>
    <cellStyle name="Notas 2 5" xfId="38385" xr:uid="{00000000-0005-0000-0000-0000F1950000}"/>
    <cellStyle name="Notas 2 5 2" xfId="38386" xr:uid="{00000000-0005-0000-0000-0000F2950000}"/>
    <cellStyle name="Notas 2 5 2 2" xfId="38387" xr:uid="{00000000-0005-0000-0000-0000F3950000}"/>
    <cellStyle name="Notas 2 5 2 3" xfId="38388" xr:uid="{00000000-0005-0000-0000-0000F4950000}"/>
    <cellStyle name="Notas 2 5 3" xfId="38389" xr:uid="{00000000-0005-0000-0000-0000F5950000}"/>
    <cellStyle name="Notas 2 5 4" xfId="38390" xr:uid="{00000000-0005-0000-0000-0000F6950000}"/>
    <cellStyle name="Notas 2 6" xfId="38391" xr:uid="{00000000-0005-0000-0000-0000F7950000}"/>
    <cellStyle name="Notas 2 6 2" xfId="38392" xr:uid="{00000000-0005-0000-0000-0000F8950000}"/>
    <cellStyle name="Notas 2 6 3" xfId="38393" xr:uid="{00000000-0005-0000-0000-0000F9950000}"/>
    <cellStyle name="Notas 2 7" xfId="38394" xr:uid="{00000000-0005-0000-0000-0000FA950000}"/>
    <cellStyle name="Notas 2 8" xfId="38395" xr:uid="{00000000-0005-0000-0000-0000FB950000}"/>
    <cellStyle name="Notas 3" xfId="38396" xr:uid="{00000000-0005-0000-0000-0000FC950000}"/>
    <cellStyle name="Notas 3 2" xfId="38397" xr:uid="{00000000-0005-0000-0000-0000FD950000}"/>
    <cellStyle name="Notas 3 2 2" xfId="38398" xr:uid="{00000000-0005-0000-0000-0000FE950000}"/>
    <cellStyle name="Notas 3 2 2 2" xfId="38399" xr:uid="{00000000-0005-0000-0000-0000FF950000}"/>
    <cellStyle name="Notas 3 2 2 3" xfId="38400" xr:uid="{00000000-0005-0000-0000-000000960000}"/>
    <cellStyle name="Notas 3 2 3" xfId="38401" xr:uid="{00000000-0005-0000-0000-000001960000}"/>
    <cellStyle name="Notas 3 2 4" xfId="38402" xr:uid="{00000000-0005-0000-0000-000002960000}"/>
    <cellStyle name="Notas 3 2 5" xfId="38403" xr:uid="{00000000-0005-0000-0000-000003960000}"/>
    <cellStyle name="Notas 3 3" xfId="38404" xr:uid="{00000000-0005-0000-0000-000004960000}"/>
    <cellStyle name="Notas 3 3 2" xfId="38405" xr:uid="{00000000-0005-0000-0000-000005960000}"/>
    <cellStyle name="Notas 3 3 3" xfId="38406" xr:uid="{00000000-0005-0000-0000-000006960000}"/>
    <cellStyle name="Notas 3 4" xfId="38407" xr:uid="{00000000-0005-0000-0000-000007960000}"/>
    <cellStyle name="Notas 3 5" xfId="38408" xr:uid="{00000000-0005-0000-0000-000008960000}"/>
    <cellStyle name="Notas 4" xfId="38409" xr:uid="{00000000-0005-0000-0000-000009960000}"/>
    <cellStyle name="Notas 4 2" xfId="38410" xr:uid="{00000000-0005-0000-0000-00000A960000}"/>
    <cellStyle name="Notas 4 2 2" xfId="38411" xr:uid="{00000000-0005-0000-0000-00000B960000}"/>
    <cellStyle name="Notas 4 2 3" xfId="38412" xr:uid="{00000000-0005-0000-0000-00000C960000}"/>
    <cellStyle name="Notas 4 3" xfId="38413" xr:uid="{00000000-0005-0000-0000-00000D960000}"/>
    <cellStyle name="Notas 4 4" xfId="38414" xr:uid="{00000000-0005-0000-0000-00000E960000}"/>
    <cellStyle name="Notas 5" xfId="38415" xr:uid="{00000000-0005-0000-0000-00000F960000}"/>
    <cellStyle name="Notas 5 2" xfId="38416" xr:uid="{00000000-0005-0000-0000-000010960000}"/>
    <cellStyle name="Notas 5 2 2" xfId="38417" xr:uid="{00000000-0005-0000-0000-000011960000}"/>
    <cellStyle name="Notas 5 2 3" xfId="38418" xr:uid="{00000000-0005-0000-0000-000012960000}"/>
    <cellStyle name="Notas 5 3" xfId="38419" xr:uid="{00000000-0005-0000-0000-000013960000}"/>
    <cellStyle name="Notas 5 4" xfId="38420" xr:uid="{00000000-0005-0000-0000-000014960000}"/>
    <cellStyle name="Notas 6" xfId="38421" xr:uid="{00000000-0005-0000-0000-000015960000}"/>
    <cellStyle name="Notas 6 2" xfId="38422" xr:uid="{00000000-0005-0000-0000-000016960000}"/>
    <cellStyle name="Notas 6 2 2" xfId="38423" xr:uid="{00000000-0005-0000-0000-000017960000}"/>
    <cellStyle name="Notas 6 2 3" xfId="38424" xr:uid="{00000000-0005-0000-0000-000018960000}"/>
    <cellStyle name="Notas 6 3" xfId="38425" xr:uid="{00000000-0005-0000-0000-000019960000}"/>
    <cellStyle name="Notas 6 4" xfId="38426" xr:uid="{00000000-0005-0000-0000-00001A960000}"/>
    <cellStyle name="Notas 7" xfId="38427" xr:uid="{00000000-0005-0000-0000-00001B960000}"/>
    <cellStyle name="Notas 7 2" xfId="38428" xr:uid="{00000000-0005-0000-0000-00001C960000}"/>
    <cellStyle name="Notas 7 2 2" xfId="38429" xr:uid="{00000000-0005-0000-0000-00001D960000}"/>
    <cellStyle name="Notas 7 2 3" xfId="38430" xr:uid="{00000000-0005-0000-0000-00001E960000}"/>
    <cellStyle name="Notas 7 3" xfId="38431" xr:uid="{00000000-0005-0000-0000-00001F960000}"/>
    <cellStyle name="Notas 7 4" xfId="38432" xr:uid="{00000000-0005-0000-0000-000020960000}"/>
    <cellStyle name="Notas 8" xfId="38433" xr:uid="{00000000-0005-0000-0000-000021960000}"/>
    <cellStyle name="Notas 8 2" xfId="38434" xr:uid="{00000000-0005-0000-0000-000022960000}"/>
    <cellStyle name="Notas 8 2 2" xfId="38435" xr:uid="{00000000-0005-0000-0000-000023960000}"/>
    <cellStyle name="Notas 8 2 3" xfId="38436" xr:uid="{00000000-0005-0000-0000-000024960000}"/>
    <cellStyle name="Notas 8 3" xfId="38437" xr:uid="{00000000-0005-0000-0000-000025960000}"/>
    <cellStyle name="Notas 8 4" xfId="38438" xr:uid="{00000000-0005-0000-0000-000026960000}"/>
    <cellStyle name="Notas 9" xfId="38439" xr:uid="{00000000-0005-0000-0000-000027960000}"/>
    <cellStyle name="Notas 9 2" xfId="38440" xr:uid="{00000000-0005-0000-0000-000028960000}"/>
    <cellStyle name="Notas 9 2 2" xfId="38441" xr:uid="{00000000-0005-0000-0000-000029960000}"/>
    <cellStyle name="Notas 9 2 3" xfId="38442" xr:uid="{00000000-0005-0000-0000-00002A960000}"/>
    <cellStyle name="Notas 9 3" xfId="38443" xr:uid="{00000000-0005-0000-0000-00002B960000}"/>
    <cellStyle name="Notas 9 4" xfId="38444" xr:uid="{00000000-0005-0000-0000-00002C960000}"/>
    <cellStyle name="Note" xfId="38445" xr:uid="{00000000-0005-0000-0000-00002D960000}"/>
    <cellStyle name="Note 10" xfId="38446" xr:uid="{00000000-0005-0000-0000-00002E960000}"/>
    <cellStyle name="Note 11" xfId="38447" xr:uid="{00000000-0005-0000-0000-00002F960000}"/>
    <cellStyle name="Note 2" xfId="38448" xr:uid="{00000000-0005-0000-0000-000030960000}"/>
    <cellStyle name="Note 2 2" xfId="38449" xr:uid="{00000000-0005-0000-0000-000031960000}"/>
    <cellStyle name="Note 2 2 2" xfId="38450" xr:uid="{00000000-0005-0000-0000-000032960000}"/>
    <cellStyle name="Note 2 2 2 2" xfId="38451" xr:uid="{00000000-0005-0000-0000-000033960000}"/>
    <cellStyle name="Note 2 2 2 3" xfId="38452" xr:uid="{00000000-0005-0000-0000-000034960000}"/>
    <cellStyle name="Note 2 2 3" xfId="38453" xr:uid="{00000000-0005-0000-0000-000035960000}"/>
    <cellStyle name="Note 2 2 4" xfId="38454" xr:uid="{00000000-0005-0000-0000-000036960000}"/>
    <cellStyle name="Note 2 3" xfId="38455" xr:uid="{00000000-0005-0000-0000-000037960000}"/>
    <cellStyle name="Note 2 3 2" xfId="38456" xr:uid="{00000000-0005-0000-0000-000038960000}"/>
    <cellStyle name="Note 2 3 2 2" xfId="38457" xr:uid="{00000000-0005-0000-0000-000039960000}"/>
    <cellStyle name="Note 2 3 2 3" xfId="38458" xr:uid="{00000000-0005-0000-0000-00003A960000}"/>
    <cellStyle name="Note 2 3 3" xfId="38459" xr:uid="{00000000-0005-0000-0000-00003B960000}"/>
    <cellStyle name="Note 2 3 4" xfId="38460" xr:uid="{00000000-0005-0000-0000-00003C960000}"/>
    <cellStyle name="Note 2 4" xfId="38461" xr:uid="{00000000-0005-0000-0000-00003D960000}"/>
    <cellStyle name="Note 2 4 2" xfId="38462" xr:uid="{00000000-0005-0000-0000-00003E960000}"/>
    <cellStyle name="Note 2 4 2 2" xfId="38463" xr:uid="{00000000-0005-0000-0000-00003F960000}"/>
    <cellStyle name="Note 2 4 2 3" xfId="38464" xr:uid="{00000000-0005-0000-0000-000040960000}"/>
    <cellStyle name="Note 2 4 3" xfId="38465" xr:uid="{00000000-0005-0000-0000-000041960000}"/>
    <cellStyle name="Note 2 4 4" xfId="38466" xr:uid="{00000000-0005-0000-0000-000042960000}"/>
    <cellStyle name="Note 2 5" xfId="38467" xr:uid="{00000000-0005-0000-0000-000043960000}"/>
    <cellStyle name="Note 2 5 2" xfId="38468" xr:uid="{00000000-0005-0000-0000-000044960000}"/>
    <cellStyle name="Note 2 5 3" xfId="38469" xr:uid="{00000000-0005-0000-0000-000045960000}"/>
    <cellStyle name="Note 2 6" xfId="38470" xr:uid="{00000000-0005-0000-0000-000046960000}"/>
    <cellStyle name="Note 2 7" xfId="38471" xr:uid="{00000000-0005-0000-0000-000047960000}"/>
    <cellStyle name="Note 3" xfId="38472" xr:uid="{00000000-0005-0000-0000-000048960000}"/>
    <cellStyle name="Note 3 2" xfId="38473" xr:uid="{00000000-0005-0000-0000-000049960000}"/>
    <cellStyle name="Note 3 2 2" xfId="38474" xr:uid="{00000000-0005-0000-0000-00004A960000}"/>
    <cellStyle name="Note 3 2 2 2" xfId="38475" xr:uid="{00000000-0005-0000-0000-00004B960000}"/>
    <cellStyle name="Note 3 2 2 3" xfId="38476" xr:uid="{00000000-0005-0000-0000-00004C960000}"/>
    <cellStyle name="Note 3 2 3" xfId="38477" xr:uid="{00000000-0005-0000-0000-00004D960000}"/>
    <cellStyle name="Note 3 2 4" xfId="38478" xr:uid="{00000000-0005-0000-0000-00004E960000}"/>
    <cellStyle name="Note 3 3" xfId="38479" xr:uid="{00000000-0005-0000-0000-00004F960000}"/>
    <cellStyle name="Note 3 3 2" xfId="38480" xr:uid="{00000000-0005-0000-0000-000050960000}"/>
    <cellStyle name="Note 3 3 2 2" xfId="38481" xr:uid="{00000000-0005-0000-0000-000051960000}"/>
    <cellStyle name="Note 3 3 2 3" xfId="38482" xr:uid="{00000000-0005-0000-0000-000052960000}"/>
    <cellStyle name="Note 3 3 3" xfId="38483" xr:uid="{00000000-0005-0000-0000-000053960000}"/>
    <cellStyle name="Note 3 3 4" xfId="38484" xr:uid="{00000000-0005-0000-0000-000054960000}"/>
    <cellStyle name="Note 3 4" xfId="38485" xr:uid="{00000000-0005-0000-0000-000055960000}"/>
    <cellStyle name="Note 3 4 2" xfId="38486" xr:uid="{00000000-0005-0000-0000-000056960000}"/>
    <cellStyle name="Note 3 4 2 2" xfId="38487" xr:uid="{00000000-0005-0000-0000-000057960000}"/>
    <cellStyle name="Note 3 4 2 3" xfId="38488" xr:uid="{00000000-0005-0000-0000-000058960000}"/>
    <cellStyle name="Note 3 4 3" xfId="38489" xr:uid="{00000000-0005-0000-0000-000059960000}"/>
    <cellStyle name="Note 3 4 4" xfId="38490" xr:uid="{00000000-0005-0000-0000-00005A960000}"/>
    <cellStyle name="Note 3 5" xfId="38491" xr:uid="{00000000-0005-0000-0000-00005B960000}"/>
    <cellStyle name="Note 3 5 2" xfId="38492" xr:uid="{00000000-0005-0000-0000-00005C960000}"/>
    <cellStyle name="Note 3 5 3" xfId="38493" xr:uid="{00000000-0005-0000-0000-00005D960000}"/>
    <cellStyle name="Note 3 6" xfId="38494" xr:uid="{00000000-0005-0000-0000-00005E960000}"/>
    <cellStyle name="Note 3 7" xfId="38495" xr:uid="{00000000-0005-0000-0000-00005F960000}"/>
    <cellStyle name="Note 4" xfId="38496" xr:uid="{00000000-0005-0000-0000-000060960000}"/>
    <cellStyle name="Note 4 2" xfId="38497" xr:uid="{00000000-0005-0000-0000-000061960000}"/>
    <cellStyle name="Note 4 2 2" xfId="38498" xr:uid="{00000000-0005-0000-0000-000062960000}"/>
    <cellStyle name="Note 4 2 2 2" xfId="38499" xr:uid="{00000000-0005-0000-0000-000063960000}"/>
    <cellStyle name="Note 4 2 2 3" xfId="38500" xr:uid="{00000000-0005-0000-0000-000064960000}"/>
    <cellStyle name="Note 4 2 3" xfId="38501" xr:uid="{00000000-0005-0000-0000-000065960000}"/>
    <cellStyle name="Note 4 2 4" xfId="38502" xr:uid="{00000000-0005-0000-0000-000066960000}"/>
    <cellStyle name="Note 4 3" xfId="38503" xr:uid="{00000000-0005-0000-0000-000067960000}"/>
    <cellStyle name="Note 4 3 2" xfId="38504" xr:uid="{00000000-0005-0000-0000-000068960000}"/>
    <cellStyle name="Note 4 3 2 2" xfId="38505" xr:uid="{00000000-0005-0000-0000-000069960000}"/>
    <cellStyle name="Note 4 3 2 3" xfId="38506" xr:uid="{00000000-0005-0000-0000-00006A960000}"/>
    <cellStyle name="Note 4 3 3" xfId="38507" xr:uid="{00000000-0005-0000-0000-00006B960000}"/>
    <cellStyle name="Note 4 3 4" xfId="38508" xr:uid="{00000000-0005-0000-0000-00006C960000}"/>
    <cellStyle name="Note 4 4" xfId="38509" xr:uid="{00000000-0005-0000-0000-00006D960000}"/>
    <cellStyle name="Note 4 4 2" xfId="38510" xr:uid="{00000000-0005-0000-0000-00006E960000}"/>
    <cellStyle name="Note 4 4 2 2" xfId="38511" xr:uid="{00000000-0005-0000-0000-00006F960000}"/>
    <cellStyle name="Note 4 4 2 3" xfId="38512" xr:uid="{00000000-0005-0000-0000-000070960000}"/>
    <cellStyle name="Note 4 4 3" xfId="38513" xr:uid="{00000000-0005-0000-0000-000071960000}"/>
    <cellStyle name="Note 4 4 4" xfId="38514" xr:uid="{00000000-0005-0000-0000-000072960000}"/>
    <cellStyle name="Note 4 5" xfId="38515" xr:uid="{00000000-0005-0000-0000-000073960000}"/>
    <cellStyle name="Note 4 5 2" xfId="38516" xr:uid="{00000000-0005-0000-0000-000074960000}"/>
    <cellStyle name="Note 4 5 3" xfId="38517" xr:uid="{00000000-0005-0000-0000-000075960000}"/>
    <cellStyle name="Note 4 6" xfId="38518" xr:uid="{00000000-0005-0000-0000-000076960000}"/>
    <cellStyle name="Note 4 7" xfId="38519" xr:uid="{00000000-0005-0000-0000-000077960000}"/>
    <cellStyle name="Note 5" xfId="38520" xr:uid="{00000000-0005-0000-0000-000078960000}"/>
    <cellStyle name="Note 5 2" xfId="38521" xr:uid="{00000000-0005-0000-0000-000079960000}"/>
    <cellStyle name="Note 5 2 2" xfId="38522" xr:uid="{00000000-0005-0000-0000-00007A960000}"/>
    <cellStyle name="Note 5 2 2 2" xfId="38523" xr:uid="{00000000-0005-0000-0000-00007B960000}"/>
    <cellStyle name="Note 5 2 2 3" xfId="38524" xr:uid="{00000000-0005-0000-0000-00007C960000}"/>
    <cellStyle name="Note 5 2 3" xfId="38525" xr:uid="{00000000-0005-0000-0000-00007D960000}"/>
    <cellStyle name="Note 5 2 4" xfId="38526" xr:uid="{00000000-0005-0000-0000-00007E960000}"/>
    <cellStyle name="Note 5 3" xfId="38527" xr:uid="{00000000-0005-0000-0000-00007F960000}"/>
    <cellStyle name="Note 5 3 2" xfId="38528" xr:uid="{00000000-0005-0000-0000-000080960000}"/>
    <cellStyle name="Note 5 3 2 2" xfId="38529" xr:uid="{00000000-0005-0000-0000-000081960000}"/>
    <cellStyle name="Note 5 3 2 3" xfId="38530" xr:uid="{00000000-0005-0000-0000-000082960000}"/>
    <cellStyle name="Note 5 3 3" xfId="38531" xr:uid="{00000000-0005-0000-0000-000083960000}"/>
    <cellStyle name="Note 5 3 4" xfId="38532" xr:uid="{00000000-0005-0000-0000-000084960000}"/>
    <cellStyle name="Note 5 4" xfId="38533" xr:uid="{00000000-0005-0000-0000-000085960000}"/>
    <cellStyle name="Note 5 4 2" xfId="38534" xr:uid="{00000000-0005-0000-0000-000086960000}"/>
    <cellStyle name="Note 5 4 2 2" xfId="38535" xr:uid="{00000000-0005-0000-0000-000087960000}"/>
    <cellStyle name="Note 5 4 2 3" xfId="38536" xr:uid="{00000000-0005-0000-0000-000088960000}"/>
    <cellStyle name="Note 5 4 3" xfId="38537" xr:uid="{00000000-0005-0000-0000-000089960000}"/>
    <cellStyle name="Note 5 4 4" xfId="38538" xr:uid="{00000000-0005-0000-0000-00008A960000}"/>
    <cellStyle name="Note 5 5" xfId="38539" xr:uid="{00000000-0005-0000-0000-00008B960000}"/>
    <cellStyle name="Note 5 5 2" xfId="38540" xr:uid="{00000000-0005-0000-0000-00008C960000}"/>
    <cellStyle name="Note 5 5 3" xfId="38541" xr:uid="{00000000-0005-0000-0000-00008D960000}"/>
    <cellStyle name="Note 5 6" xfId="38542" xr:uid="{00000000-0005-0000-0000-00008E960000}"/>
    <cellStyle name="Note 5 7" xfId="38543" xr:uid="{00000000-0005-0000-0000-00008F960000}"/>
    <cellStyle name="Note 6" xfId="38544" xr:uid="{00000000-0005-0000-0000-000090960000}"/>
    <cellStyle name="Note 6 2" xfId="38545" xr:uid="{00000000-0005-0000-0000-000091960000}"/>
    <cellStyle name="Note 6 2 2" xfId="38546" xr:uid="{00000000-0005-0000-0000-000092960000}"/>
    <cellStyle name="Note 6 2 3" xfId="38547" xr:uid="{00000000-0005-0000-0000-000093960000}"/>
    <cellStyle name="Note 6 3" xfId="38548" xr:uid="{00000000-0005-0000-0000-000094960000}"/>
    <cellStyle name="Note 6 4" xfId="38549" xr:uid="{00000000-0005-0000-0000-000095960000}"/>
    <cellStyle name="Note 7" xfId="38550" xr:uid="{00000000-0005-0000-0000-000096960000}"/>
    <cellStyle name="Note 7 2" xfId="38551" xr:uid="{00000000-0005-0000-0000-000097960000}"/>
    <cellStyle name="Note 7 2 2" xfId="38552" xr:uid="{00000000-0005-0000-0000-000098960000}"/>
    <cellStyle name="Note 7 2 3" xfId="38553" xr:uid="{00000000-0005-0000-0000-000099960000}"/>
    <cellStyle name="Note 7 3" xfId="38554" xr:uid="{00000000-0005-0000-0000-00009A960000}"/>
    <cellStyle name="Note 7 4" xfId="38555" xr:uid="{00000000-0005-0000-0000-00009B960000}"/>
    <cellStyle name="Note 8" xfId="38556" xr:uid="{00000000-0005-0000-0000-00009C960000}"/>
    <cellStyle name="Note 8 2" xfId="38557" xr:uid="{00000000-0005-0000-0000-00009D960000}"/>
    <cellStyle name="Note 8 2 2" xfId="38558" xr:uid="{00000000-0005-0000-0000-00009E960000}"/>
    <cellStyle name="Note 8 2 3" xfId="38559" xr:uid="{00000000-0005-0000-0000-00009F960000}"/>
    <cellStyle name="Note 8 3" xfId="38560" xr:uid="{00000000-0005-0000-0000-0000A0960000}"/>
    <cellStyle name="Note 8 4" xfId="38561" xr:uid="{00000000-0005-0000-0000-0000A1960000}"/>
    <cellStyle name="Note 9" xfId="38562" xr:uid="{00000000-0005-0000-0000-0000A2960000}"/>
    <cellStyle name="Note 9 2" xfId="38563" xr:uid="{00000000-0005-0000-0000-0000A3960000}"/>
    <cellStyle name="Note 9 3" xfId="38564" xr:uid="{00000000-0005-0000-0000-0000A4960000}"/>
    <cellStyle name="Output" xfId="38565" xr:uid="{00000000-0005-0000-0000-0000A5960000}"/>
    <cellStyle name="Output 2" xfId="38566" xr:uid="{00000000-0005-0000-0000-0000A6960000}"/>
    <cellStyle name="Output 2 2" xfId="38567" xr:uid="{00000000-0005-0000-0000-0000A7960000}"/>
    <cellStyle name="Output 2 2 2" xfId="38568" xr:uid="{00000000-0005-0000-0000-0000A8960000}"/>
    <cellStyle name="Output 2 2 3" xfId="38569" xr:uid="{00000000-0005-0000-0000-0000A9960000}"/>
    <cellStyle name="Output 2 3" xfId="38570" xr:uid="{00000000-0005-0000-0000-0000AA960000}"/>
    <cellStyle name="Output 2 4" xfId="38571" xr:uid="{00000000-0005-0000-0000-0000AB960000}"/>
    <cellStyle name="Output 3" xfId="38572" xr:uid="{00000000-0005-0000-0000-0000AC960000}"/>
    <cellStyle name="Output 3 2" xfId="38573" xr:uid="{00000000-0005-0000-0000-0000AD960000}"/>
    <cellStyle name="Output 3 2 2" xfId="38574" xr:uid="{00000000-0005-0000-0000-0000AE960000}"/>
    <cellStyle name="Output 3 2 3" xfId="38575" xr:uid="{00000000-0005-0000-0000-0000AF960000}"/>
    <cellStyle name="Output 3 3" xfId="38576" xr:uid="{00000000-0005-0000-0000-0000B0960000}"/>
    <cellStyle name="Output 3 4" xfId="38577" xr:uid="{00000000-0005-0000-0000-0000B1960000}"/>
    <cellStyle name="Output 4" xfId="38578" xr:uid="{00000000-0005-0000-0000-0000B2960000}"/>
    <cellStyle name="Output 4 2" xfId="38579" xr:uid="{00000000-0005-0000-0000-0000B3960000}"/>
    <cellStyle name="Output 4 2 2" xfId="38580" xr:uid="{00000000-0005-0000-0000-0000B4960000}"/>
    <cellStyle name="Output 4 2 3" xfId="38581" xr:uid="{00000000-0005-0000-0000-0000B5960000}"/>
    <cellStyle name="Output 4 3" xfId="38582" xr:uid="{00000000-0005-0000-0000-0000B6960000}"/>
    <cellStyle name="Output 4 4" xfId="38583" xr:uid="{00000000-0005-0000-0000-0000B7960000}"/>
    <cellStyle name="Output 5" xfId="38584" xr:uid="{00000000-0005-0000-0000-0000B8960000}"/>
    <cellStyle name="Output 5 2" xfId="38585" xr:uid="{00000000-0005-0000-0000-0000B9960000}"/>
    <cellStyle name="Output 5 2 2" xfId="38586" xr:uid="{00000000-0005-0000-0000-0000BA960000}"/>
    <cellStyle name="Output 5 2 3" xfId="38587" xr:uid="{00000000-0005-0000-0000-0000BB960000}"/>
    <cellStyle name="Output 5 3" xfId="38588" xr:uid="{00000000-0005-0000-0000-0000BC960000}"/>
    <cellStyle name="Output 5 4" xfId="38589" xr:uid="{00000000-0005-0000-0000-0000BD960000}"/>
    <cellStyle name="Output 6" xfId="38590" xr:uid="{00000000-0005-0000-0000-0000BE960000}"/>
    <cellStyle name="Output 6 2" xfId="38591" xr:uid="{00000000-0005-0000-0000-0000BF960000}"/>
    <cellStyle name="Output 6 3" xfId="38592" xr:uid="{00000000-0005-0000-0000-0000C0960000}"/>
    <cellStyle name="Output 7" xfId="38593" xr:uid="{00000000-0005-0000-0000-0000C1960000}"/>
    <cellStyle name="Output 8" xfId="38594" xr:uid="{00000000-0005-0000-0000-0000C2960000}"/>
    <cellStyle name="Porcentaje 2" xfId="38595" xr:uid="{00000000-0005-0000-0000-0000C3960000}"/>
    <cellStyle name="Porcentual 2" xfId="38596" xr:uid="{00000000-0005-0000-0000-0000C4960000}"/>
    <cellStyle name="Porcentual 2 2" xfId="38597" xr:uid="{00000000-0005-0000-0000-0000C5960000}"/>
    <cellStyle name="Porcentual 2 2 2" xfId="38598" xr:uid="{00000000-0005-0000-0000-0000C6960000}"/>
    <cellStyle name="Porcentual 2 2 2 2" xfId="38599" xr:uid="{00000000-0005-0000-0000-0000C7960000}"/>
    <cellStyle name="Porcentual 2 2 2 3" xfId="38600" xr:uid="{00000000-0005-0000-0000-0000C8960000}"/>
    <cellStyle name="Porcentual 2 2 3" xfId="38601" xr:uid="{00000000-0005-0000-0000-0000C9960000}"/>
    <cellStyle name="Porcentual 2 2 4" xfId="38602" xr:uid="{00000000-0005-0000-0000-0000CA960000}"/>
    <cellStyle name="Porcentual 2 3" xfId="38603" xr:uid="{00000000-0005-0000-0000-0000CB960000}"/>
    <cellStyle name="Porcentual 2 3 2" xfId="38604" xr:uid="{00000000-0005-0000-0000-0000CC960000}"/>
    <cellStyle name="Porcentual 2 3 2 2" xfId="38605" xr:uid="{00000000-0005-0000-0000-0000CD960000}"/>
    <cellStyle name="Porcentual 2 3 2 3" xfId="38606" xr:uid="{00000000-0005-0000-0000-0000CE960000}"/>
    <cellStyle name="Porcentual 2 3 3" xfId="38607" xr:uid="{00000000-0005-0000-0000-0000CF960000}"/>
    <cellStyle name="Porcentual 2 3 4" xfId="38608" xr:uid="{00000000-0005-0000-0000-0000D0960000}"/>
    <cellStyle name="Porcentual 2 4" xfId="38609" xr:uid="{00000000-0005-0000-0000-0000D1960000}"/>
    <cellStyle name="Porcentual 2 4 2" xfId="38610" xr:uid="{00000000-0005-0000-0000-0000D2960000}"/>
    <cellStyle name="Porcentual 2 4 2 2" xfId="38611" xr:uid="{00000000-0005-0000-0000-0000D3960000}"/>
    <cellStyle name="Porcentual 2 4 2 3" xfId="38612" xr:uid="{00000000-0005-0000-0000-0000D4960000}"/>
    <cellStyle name="Porcentual 2 4 3" xfId="38613" xr:uid="{00000000-0005-0000-0000-0000D5960000}"/>
    <cellStyle name="Porcentual 2 4 4" xfId="38614" xr:uid="{00000000-0005-0000-0000-0000D6960000}"/>
    <cellStyle name="Porcentual 2 5" xfId="38615" xr:uid="{00000000-0005-0000-0000-0000D7960000}"/>
    <cellStyle name="Porcentual 2 5 2" xfId="38616" xr:uid="{00000000-0005-0000-0000-0000D8960000}"/>
    <cellStyle name="Porcentual 2 5 2 2" xfId="38617" xr:uid="{00000000-0005-0000-0000-0000D9960000}"/>
    <cellStyle name="Porcentual 2 5 2 3" xfId="38618" xr:uid="{00000000-0005-0000-0000-0000DA960000}"/>
    <cellStyle name="Porcentual 2 5 3" xfId="38619" xr:uid="{00000000-0005-0000-0000-0000DB960000}"/>
    <cellStyle name="Porcentual 2 5 4" xfId="38620" xr:uid="{00000000-0005-0000-0000-0000DC960000}"/>
    <cellStyle name="Salida 10" xfId="38621" xr:uid="{00000000-0005-0000-0000-0000DD960000}"/>
    <cellStyle name="Salida 11" xfId="38622" xr:uid="{00000000-0005-0000-0000-0000DE960000}"/>
    <cellStyle name="Salida 2" xfId="38623" xr:uid="{00000000-0005-0000-0000-0000DF960000}"/>
    <cellStyle name="Salida 2 2" xfId="38624" xr:uid="{00000000-0005-0000-0000-0000E0960000}"/>
    <cellStyle name="Salida 2 2 2" xfId="38625" xr:uid="{00000000-0005-0000-0000-0000E1960000}"/>
    <cellStyle name="Salida 2 2 3" xfId="38626" xr:uid="{00000000-0005-0000-0000-0000E2960000}"/>
    <cellStyle name="Salida 2 2 4" xfId="38627" xr:uid="{00000000-0005-0000-0000-0000E3960000}"/>
    <cellStyle name="Salida 2 3" xfId="38628" xr:uid="{00000000-0005-0000-0000-0000E4960000}"/>
    <cellStyle name="Salida 2 4" xfId="38629" xr:uid="{00000000-0005-0000-0000-0000E5960000}"/>
    <cellStyle name="Salida 3" xfId="38630" xr:uid="{00000000-0005-0000-0000-0000E6960000}"/>
    <cellStyle name="Salida 3 2" xfId="38631" xr:uid="{00000000-0005-0000-0000-0000E7960000}"/>
    <cellStyle name="Salida 3 2 2" xfId="38632" xr:uid="{00000000-0005-0000-0000-0000E8960000}"/>
    <cellStyle name="Salida 3 2 3" xfId="38633" xr:uid="{00000000-0005-0000-0000-0000E9960000}"/>
    <cellStyle name="Salida 3 3" xfId="38634" xr:uid="{00000000-0005-0000-0000-0000EA960000}"/>
    <cellStyle name="Salida 3 4" xfId="38635" xr:uid="{00000000-0005-0000-0000-0000EB960000}"/>
    <cellStyle name="Salida 4" xfId="38636" xr:uid="{00000000-0005-0000-0000-0000EC960000}"/>
    <cellStyle name="Salida 4 2" xfId="38637" xr:uid="{00000000-0005-0000-0000-0000ED960000}"/>
    <cellStyle name="Salida 4 2 2" xfId="38638" xr:uid="{00000000-0005-0000-0000-0000EE960000}"/>
    <cellStyle name="Salida 4 2 3" xfId="38639" xr:uid="{00000000-0005-0000-0000-0000EF960000}"/>
    <cellStyle name="Salida 4 3" xfId="38640" xr:uid="{00000000-0005-0000-0000-0000F0960000}"/>
    <cellStyle name="Salida 4 4" xfId="38641" xr:uid="{00000000-0005-0000-0000-0000F1960000}"/>
    <cellStyle name="Salida 5" xfId="38642" xr:uid="{00000000-0005-0000-0000-0000F2960000}"/>
    <cellStyle name="Salida 5 2" xfId="38643" xr:uid="{00000000-0005-0000-0000-0000F3960000}"/>
    <cellStyle name="Salida 5 2 2" xfId="38644" xr:uid="{00000000-0005-0000-0000-0000F4960000}"/>
    <cellStyle name="Salida 5 2 3" xfId="38645" xr:uid="{00000000-0005-0000-0000-0000F5960000}"/>
    <cellStyle name="Salida 5 3" xfId="38646" xr:uid="{00000000-0005-0000-0000-0000F6960000}"/>
    <cellStyle name="Salida 5 4" xfId="38647" xr:uid="{00000000-0005-0000-0000-0000F7960000}"/>
    <cellStyle name="Salida 6" xfId="38648" xr:uid="{00000000-0005-0000-0000-0000F8960000}"/>
    <cellStyle name="Salida 6 2" xfId="38649" xr:uid="{00000000-0005-0000-0000-0000F9960000}"/>
    <cellStyle name="Salida 6 2 2" xfId="38650" xr:uid="{00000000-0005-0000-0000-0000FA960000}"/>
    <cellStyle name="Salida 6 2 3" xfId="38651" xr:uid="{00000000-0005-0000-0000-0000FB960000}"/>
    <cellStyle name="Salida 6 3" xfId="38652" xr:uid="{00000000-0005-0000-0000-0000FC960000}"/>
    <cellStyle name="Salida 6 4" xfId="38653" xr:uid="{00000000-0005-0000-0000-0000FD960000}"/>
    <cellStyle name="Salida 7" xfId="38654" xr:uid="{00000000-0005-0000-0000-0000FE960000}"/>
    <cellStyle name="Salida 7 2" xfId="38655" xr:uid="{00000000-0005-0000-0000-0000FF960000}"/>
    <cellStyle name="Salida 7 2 2" xfId="38656" xr:uid="{00000000-0005-0000-0000-000000970000}"/>
    <cellStyle name="Salida 7 2 3" xfId="38657" xr:uid="{00000000-0005-0000-0000-000001970000}"/>
    <cellStyle name="Salida 7 3" xfId="38658" xr:uid="{00000000-0005-0000-0000-000002970000}"/>
    <cellStyle name="Salida 7 4" xfId="38659" xr:uid="{00000000-0005-0000-0000-000003970000}"/>
    <cellStyle name="Salida 8" xfId="38660" xr:uid="{00000000-0005-0000-0000-000004970000}"/>
    <cellStyle name="Salida 8 2" xfId="38661" xr:uid="{00000000-0005-0000-0000-000005970000}"/>
    <cellStyle name="Salida 8 2 2" xfId="38662" xr:uid="{00000000-0005-0000-0000-000006970000}"/>
    <cellStyle name="Salida 8 2 3" xfId="38663" xr:uid="{00000000-0005-0000-0000-000007970000}"/>
    <cellStyle name="Salida 8 3" xfId="38664" xr:uid="{00000000-0005-0000-0000-000008970000}"/>
    <cellStyle name="Salida 8 4" xfId="38665" xr:uid="{00000000-0005-0000-0000-000009970000}"/>
    <cellStyle name="Salida 9" xfId="38666" xr:uid="{00000000-0005-0000-0000-00000A970000}"/>
    <cellStyle name="Salida 9 2" xfId="38667" xr:uid="{00000000-0005-0000-0000-00000B970000}"/>
    <cellStyle name="Salida 9 3" xfId="38668" xr:uid="{00000000-0005-0000-0000-00000C970000}"/>
    <cellStyle name="TableStyleLight1" xfId="38669" xr:uid="{00000000-0005-0000-0000-00000D970000}"/>
    <cellStyle name="TableStyleLight1 2" xfId="38670" xr:uid="{00000000-0005-0000-0000-00000E970000}"/>
    <cellStyle name="TableStyleLight1 2 2" xfId="38671" xr:uid="{00000000-0005-0000-0000-00000F970000}"/>
    <cellStyle name="TableStyleLight1 2 3" xfId="38672" xr:uid="{00000000-0005-0000-0000-000010970000}"/>
    <cellStyle name="TableStyleLight1 3" xfId="38673" xr:uid="{00000000-0005-0000-0000-000011970000}"/>
    <cellStyle name="TableStyleLight1 4" xfId="38674" xr:uid="{00000000-0005-0000-0000-000012970000}"/>
    <cellStyle name="Texto de advertencia 10" xfId="38675" xr:uid="{00000000-0005-0000-0000-000013970000}"/>
    <cellStyle name="Texto de advertencia 10 2" xfId="38676" xr:uid="{00000000-0005-0000-0000-000014970000}"/>
    <cellStyle name="Texto de advertencia 10 3" xfId="38677" xr:uid="{00000000-0005-0000-0000-000015970000}"/>
    <cellStyle name="Texto de advertencia 11" xfId="38678" xr:uid="{00000000-0005-0000-0000-000016970000}"/>
    <cellStyle name="Texto de advertencia 12" xfId="38679" xr:uid="{00000000-0005-0000-0000-000017970000}"/>
    <cellStyle name="Texto de advertencia 2" xfId="38680" xr:uid="{00000000-0005-0000-0000-000018970000}"/>
    <cellStyle name="Texto de advertencia 2 2" xfId="38681" xr:uid="{00000000-0005-0000-0000-000019970000}"/>
    <cellStyle name="Texto de advertencia 2 2 2" xfId="38682" xr:uid="{00000000-0005-0000-0000-00001A970000}"/>
    <cellStyle name="Texto de advertencia 2 2 2 2" xfId="38683" xr:uid="{00000000-0005-0000-0000-00001B970000}"/>
    <cellStyle name="Texto de advertencia 2 2 2 2 2" xfId="38684" xr:uid="{00000000-0005-0000-0000-00001C970000}"/>
    <cellStyle name="Texto de advertencia 2 2 2 2 2 2" xfId="38685" xr:uid="{00000000-0005-0000-0000-00001D970000}"/>
    <cellStyle name="Texto de advertencia 2 2 2 2 2 2 2" xfId="38686" xr:uid="{00000000-0005-0000-0000-00001E970000}"/>
    <cellStyle name="Texto de advertencia 2 2 2 2 2 2 3" xfId="38687" xr:uid="{00000000-0005-0000-0000-00001F970000}"/>
    <cellStyle name="Texto de advertencia 2 2 2 2 2 3" xfId="38688" xr:uid="{00000000-0005-0000-0000-000020970000}"/>
    <cellStyle name="Texto de advertencia 2 2 2 2 2 4" xfId="38689" xr:uid="{00000000-0005-0000-0000-000021970000}"/>
    <cellStyle name="Texto de advertencia 2 2 2 2 3" xfId="38690" xr:uid="{00000000-0005-0000-0000-000022970000}"/>
    <cellStyle name="Texto de advertencia 2 2 2 2 3 2" xfId="38691" xr:uid="{00000000-0005-0000-0000-000023970000}"/>
    <cellStyle name="Texto de advertencia 2 2 2 2 3 3" xfId="38692" xr:uid="{00000000-0005-0000-0000-000024970000}"/>
    <cellStyle name="Texto de advertencia 2 2 2 2 4" xfId="38693" xr:uid="{00000000-0005-0000-0000-000025970000}"/>
    <cellStyle name="Texto de advertencia 2 2 2 2 5" xfId="38694" xr:uid="{00000000-0005-0000-0000-000026970000}"/>
    <cellStyle name="Texto de advertencia 2 2 2 3" xfId="38695" xr:uid="{00000000-0005-0000-0000-000027970000}"/>
    <cellStyle name="Texto de advertencia 2 2 2 3 2" xfId="38696" xr:uid="{00000000-0005-0000-0000-000028970000}"/>
    <cellStyle name="Texto de advertencia 2 2 2 3 3" xfId="38697" xr:uid="{00000000-0005-0000-0000-000029970000}"/>
    <cellStyle name="Texto de advertencia 2 2 2 4" xfId="38698" xr:uid="{00000000-0005-0000-0000-00002A970000}"/>
    <cellStyle name="Texto de advertencia 2 2 2 5" xfId="38699" xr:uid="{00000000-0005-0000-0000-00002B970000}"/>
    <cellStyle name="Texto de advertencia 2 2 3" xfId="38700" xr:uid="{00000000-0005-0000-0000-00002C970000}"/>
    <cellStyle name="Texto de advertencia 2 2 3 2" xfId="38701" xr:uid="{00000000-0005-0000-0000-00002D970000}"/>
    <cellStyle name="Texto de advertencia 2 2 3 2 2" xfId="38702" xr:uid="{00000000-0005-0000-0000-00002E970000}"/>
    <cellStyle name="Texto de advertencia 2 2 3 2 3" xfId="38703" xr:uid="{00000000-0005-0000-0000-00002F970000}"/>
    <cellStyle name="Texto de advertencia 2 2 3 3" xfId="38704" xr:uid="{00000000-0005-0000-0000-000030970000}"/>
    <cellStyle name="Texto de advertencia 2 2 3 4" xfId="38705" xr:uid="{00000000-0005-0000-0000-000031970000}"/>
    <cellStyle name="Texto de advertencia 2 2 4" xfId="38706" xr:uid="{00000000-0005-0000-0000-000032970000}"/>
    <cellStyle name="Texto de advertencia 2 2 4 2" xfId="38707" xr:uid="{00000000-0005-0000-0000-000033970000}"/>
    <cellStyle name="Texto de advertencia 2 2 4 2 2" xfId="38708" xr:uid="{00000000-0005-0000-0000-000034970000}"/>
    <cellStyle name="Texto de advertencia 2 2 4 2 3" xfId="38709" xr:uid="{00000000-0005-0000-0000-000035970000}"/>
    <cellStyle name="Texto de advertencia 2 2 4 3" xfId="38710" xr:uid="{00000000-0005-0000-0000-000036970000}"/>
    <cellStyle name="Texto de advertencia 2 2 4 4" xfId="38711" xr:uid="{00000000-0005-0000-0000-000037970000}"/>
    <cellStyle name="Texto de advertencia 2 2 5" xfId="38712" xr:uid="{00000000-0005-0000-0000-000038970000}"/>
    <cellStyle name="Texto de advertencia 2 2 5 2" xfId="38713" xr:uid="{00000000-0005-0000-0000-000039970000}"/>
    <cellStyle name="Texto de advertencia 2 2 5 3" xfId="38714" xr:uid="{00000000-0005-0000-0000-00003A970000}"/>
    <cellStyle name="Texto de advertencia 2 2 6" xfId="38715" xr:uid="{00000000-0005-0000-0000-00003B970000}"/>
    <cellStyle name="Texto de advertencia 2 2 7" xfId="38716" xr:uid="{00000000-0005-0000-0000-00003C970000}"/>
    <cellStyle name="Texto de advertencia 2 3" xfId="38717" xr:uid="{00000000-0005-0000-0000-00003D970000}"/>
    <cellStyle name="Texto de advertencia 2 3 2" xfId="38718" xr:uid="{00000000-0005-0000-0000-00003E970000}"/>
    <cellStyle name="Texto de advertencia 2 3 2 2" xfId="38719" xr:uid="{00000000-0005-0000-0000-00003F970000}"/>
    <cellStyle name="Texto de advertencia 2 3 2 3" xfId="38720" xr:uid="{00000000-0005-0000-0000-000040970000}"/>
    <cellStyle name="Texto de advertencia 2 3 3" xfId="38721" xr:uid="{00000000-0005-0000-0000-000041970000}"/>
    <cellStyle name="Texto de advertencia 2 3 4" xfId="38722" xr:uid="{00000000-0005-0000-0000-000042970000}"/>
    <cellStyle name="Texto de advertencia 2 4" xfId="38723" xr:uid="{00000000-0005-0000-0000-000043970000}"/>
    <cellStyle name="Texto de advertencia 2 4 2" xfId="38724" xr:uid="{00000000-0005-0000-0000-000044970000}"/>
    <cellStyle name="Texto de advertencia 2 4 2 2" xfId="38725" xr:uid="{00000000-0005-0000-0000-000045970000}"/>
    <cellStyle name="Texto de advertencia 2 4 2 3" xfId="38726" xr:uid="{00000000-0005-0000-0000-000046970000}"/>
    <cellStyle name="Texto de advertencia 2 4 3" xfId="38727" xr:uid="{00000000-0005-0000-0000-000047970000}"/>
    <cellStyle name="Texto de advertencia 2 4 4" xfId="38728" xr:uid="{00000000-0005-0000-0000-000048970000}"/>
    <cellStyle name="Texto de advertencia 2 5" xfId="38729" xr:uid="{00000000-0005-0000-0000-000049970000}"/>
    <cellStyle name="Texto de advertencia 2 5 2" xfId="38730" xr:uid="{00000000-0005-0000-0000-00004A970000}"/>
    <cellStyle name="Texto de advertencia 2 5 3" xfId="38731" xr:uid="{00000000-0005-0000-0000-00004B970000}"/>
    <cellStyle name="Texto de advertencia 2 6" xfId="38732" xr:uid="{00000000-0005-0000-0000-00004C970000}"/>
    <cellStyle name="Texto de advertencia 2 7" xfId="38733" xr:uid="{00000000-0005-0000-0000-00004D970000}"/>
    <cellStyle name="Texto de advertencia 3" xfId="38734" xr:uid="{00000000-0005-0000-0000-00004E970000}"/>
    <cellStyle name="Texto de advertencia 3 2" xfId="38735" xr:uid="{00000000-0005-0000-0000-00004F970000}"/>
    <cellStyle name="Texto de advertencia 3 2 2" xfId="38736" xr:uid="{00000000-0005-0000-0000-000050970000}"/>
    <cellStyle name="Texto de advertencia 3 2 3" xfId="38737" xr:uid="{00000000-0005-0000-0000-000051970000}"/>
    <cellStyle name="Texto de advertencia 3 3" xfId="38738" xr:uid="{00000000-0005-0000-0000-000052970000}"/>
    <cellStyle name="Texto de advertencia 3 4" xfId="38739" xr:uid="{00000000-0005-0000-0000-000053970000}"/>
    <cellStyle name="Texto de advertencia 4" xfId="38740" xr:uid="{00000000-0005-0000-0000-000054970000}"/>
    <cellStyle name="Texto de advertencia 4 2" xfId="38741" xr:uid="{00000000-0005-0000-0000-000055970000}"/>
    <cellStyle name="Texto de advertencia 4 2 2" xfId="38742" xr:uid="{00000000-0005-0000-0000-000056970000}"/>
    <cellStyle name="Texto de advertencia 4 2 3" xfId="38743" xr:uid="{00000000-0005-0000-0000-000057970000}"/>
    <cellStyle name="Texto de advertencia 4 3" xfId="38744" xr:uid="{00000000-0005-0000-0000-000058970000}"/>
    <cellStyle name="Texto de advertencia 4 4" xfId="38745" xr:uid="{00000000-0005-0000-0000-000059970000}"/>
    <cellStyle name="Texto de advertencia 5" xfId="38746" xr:uid="{00000000-0005-0000-0000-00005A970000}"/>
    <cellStyle name="Texto de advertencia 5 2" xfId="38747" xr:uid="{00000000-0005-0000-0000-00005B970000}"/>
    <cellStyle name="Texto de advertencia 5 2 2" xfId="38748" xr:uid="{00000000-0005-0000-0000-00005C970000}"/>
    <cellStyle name="Texto de advertencia 5 2 3" xfId="38749" xr:uid="{00000000-0005-0000-0000-00005D970000}"/>
    <cellStyle name="Texto de advertencia 5 3" xfId="38750" xr:uid="{00000000-0005-0000-0000-00005E970000}"/>
    <cellStyle name="Texto de advertencia 5 4" xfId="38751" xr:uid="{00000000-0005-0000-0000-00005F970000}"/>
    <cellStyle name="Texto de advertencia 6" xfId="38752" xr:uid="{00000000-0005-0000-0000-000060970000}"/>
    <cellStyle name="Texto de advertencia 6 2" xfId="38753" xr:uid="{00000000-0005-0000-0000-000061970000}"/>
    <cellStyle name="Texto de advertencia 6 2 2" xfId="38754" xr:uid="{00000000-0005-0000-0000-000062970000}"/>
    <cellStyle name="Texto de advertencia 6 2 3" xfId="38755" xr:uid="{00000000-0005-0000-0000-000063970000}"/>
    <cellStyle name="Texto de advertencia 6 3" xfId="38756" xr:uid="{00000000-0005-0000-0000-000064970000}"/>
    <cellStyle name="Texto de advertencia 6 4" xfId="38757" xr:uid="{00000000-0005-0000-0000-000065970000}"/>
    <cellStyle name="Texto de advertencia 7" xfId="38758" xr:uid="{00000000-0005-0000-0000-000066970000}"/>
    <cellStyle name="Texto de advertencia 7 2" xfId="38759" xr:uid="{00000000-0005-0000-0000-000067970000}"/>
    <cellStyle name="Texto de advertencia 7 2 2" xfId="38760" xr:uid="{00000000-0005-0000-0000-000068970000}"/>
    <cellStyle name="Texto de advertencia 7 2 3" xfId="38761" xr:uid="{00000000-0005-0000-0000-000069970000}"/>
    <cellStyle name="Texto de advertencia 7 3" xfId="38762" xr:uid="{00000000-0005-0000-0000-00006A970000}"/>
    <cellStyle name="Texto de advertencia 7 4" xfId="38763" xr:uid="{00000000-0005-0000-0000-00006B970000}"/>
    <cellStyle name="Texto de advertencia 8" xfId="38764" xr:uid="{00000000-0005-0000-0000-00006C970000}"/>
    <cellStyle name="Texto de advertencia 8 2" xfId="38765" xr:uid="{00000000-0005-0000-0000-00006D970000}"/>
    <cellStyle name="Texto de advertencia 8 2 2" xfId="38766" xr:uid="{00000000-0005-0000-0000-00006E970000}"/>
    <cellStyle name="Texto de advertencia 8 2 3" xfId="38767" xr:uid="{00000000-0005-0000-0000-00006F970000}"/>
    <cellStyle name="Texto de advertencia 8 3" xfId="38768" xr:uid="{00000000-0005-0000-0000-000070970000}"/>
    <cellStyle name="Texto de advertencia 8 4" xfId="38769" xr:uid="{00000000-0005-0000-0000-000071970000}"/>
    <cellStyle name="Texto de advertencia 9" xfId="38770" xr:uid="{00000000-0005-0000-0000-000072970000}"/>
    <cellStyle name="Texto de advertencia 9 2" xfId="38771" xr:uid="{00000000-0005-0000-0000-000073970000}"/>
    <cellStyle name="Texto de advertencia 9 2 2" xfId="38772" xr:uid="{00000000-0005-0000-0000-000074970000}"/>
    <cellStyle name="Texto de advertencia 9 2 3" xfId="38773" xr:uid="{00000000-0005-0000-0000-000075970000}"/>
    <cellStyle name="Texto de advertencia 9 3" xfId="38774" xr:uid="{00000000-0005-0000-0000-000076970000}"/>
    <cellStyle name="Texto de advertencia 9 4" xfId="38775" xr:uid="{00000000-0005-0000-0000-000077970000}"/>
    <cellStyle name="Texto explicativo 10" xfId="38776" xr:uid="{00000000-0005-0000-0000-000078970000}"/>
    <cellStyle name="Texto explicativo 11" xfId="38777" xr:uid="{00000000-0005-0000-0000-000079970000}"/>
    <cellStyle name="Texto explicativo 2" xfId="38778" xr:uid="{00000000-0005-0000-0000-00007A970000}"/>
    <cellStyle name="Texto explicativo 2 2" xfId="38779" xr:uid="{00000000-0005-0000-0000-00007B970000}"/>
    <cellStyle name="Texto explicativo 2 2 2" xfId="38780" xr:uid="{00000000-0005-0000-0000-00007C970000}"/>
    <cellStyle name="Texto explicativo 2 2 3" xfId="38781" xr:uid="{00000000-0005-0000-0000-00007D970000}"/>
    <cellStyle name="Texto explicativo 2 2 4" xfId="38782" xr:uid="{00000000-0005-0000-0000-00007E970000}"/>
    <cellStyle name="Texto explicativo 2 3" xfId="38783" xr:uid="{00000000-0005-0000-0000-00007F970000}"/>
    <cellStyle name="Texto explicativo 2 4" xfId="38784" xr:uid="{00000000-0005-0000-0000-000080970000}"/>
    <cellStyle name="Texto explicativo 3" xfId="38785" xr:uid="{00000000-0005-0000-0000-000081970000}"/>
    <cellStyle name="Texto explicativo 3 2" xfId="38786" xr:uid="{00000000-0005-0000-0000-000082970000}"/>
    <cellStyle name="Texto explicativo 3 2 2" xfId="38787" xr:uid="{00000000-0005-0000-0000-000083970000}"/>
    <cellStyle name="Texto explicativo 3 2 3" xfId="38788" xr:uid="{00000000-0005-0000-0000-000084970000}"/>
    <cellStyle name="Texto explicativo 3 3" xfId="38789" xr:uid="{00000000-0005-0000-0000-000085970000}"/>
    <cellStyle name="Texto explicativo 3 4" xfId="38790" xr:uid="{00000000-0005-0000-0000-000086970000}"/>
    <cellStyle name="Texto explicativo 4" xfId="38791" xr:uid="{00000000-0005-0000-0000-000087970000}"/>
    <cellStyle name="Texto explicativo 4 2" xfId="38792" xr:uid="{00000000-0005-0000-0000-000088970000}"/>
    <cellStyle name="Texto explicativo 4 2 2" xfId="38793" xr:uid="{00000000-0005-0000-0000-000089970000}"/>
    <cellStyle name="Texto explicativo 4 2 3" xfId="38794" xr:uid="{00000000-0005-0000-0000-00008A970000}"/>
    <cellStyle name="Texto explicativo 4 3" xfId="38795" xr:uid="{00000000-0005-0000-0000-00008B970000}"/>
    <cellStyle name="Texto explicativo 4 4" xfId="38796" xr:uid="{00000000-0005-0000-0000-00008C970000}"/>
    <cellStyle name="Texto explicativo 5" xfId="38797" xr:uid="{00000000-0005-0000-0000-00008D970000}"/>
    <cellStyle name="Texto explicativo 5 2" xfId="38798" xr:uid="{00000000-0005-0000-0000-00008E970000}"/>
    <cellStyle name="Texto explicativo 5 2 2" xfId="38799" xr:uid="{00000000-0005-0000-0000-00008F970000}"/>
    <cellStyle name="Texto explicativo 5 2 3" xfId="38800" xr:uid="{00000000-0005-0000-0000-000090970000}"/>
    <cellStyle name="Texto explicativo 5 3" xfId="38801" xr:uid="{00000000-0005-0000-0000-000091970000}"/>
    <cellStyle name="Texto explicativo 5 4" xfId="38802" xr:uid="{00000000-0005-0000-0000-000092970000}"/>
    <cellStyle name="Texto explicativo 6" xfId="38803" xr:uid="{00000000-0005-0000-0000-000093970000}"/>
    <cellStyle name="Texto explicativo 6 2" xfId="38804" xr:uid="{00000000-0005-0000-0000-000094970000}"/>
    <cellStyle name="Texto explicativo 6 2 2" xfId="38805" xr:uid="{00000000-0005-0000-0000-000095970000}"/>
    <cellStyle name="Texto explicativo 6 2 3" xfId="38806" xr:uid="{00000000-0005-0000-0000-000096970000}"/>
    <cellStyle name="Texto explicativo 6 3" xfId="38807" xr:uid="{00000000-0005-0000-0000-000097970000}"/>
    <cellStyle name="Texto explicativo 6 4" xfId="38808" xr:uid="{00000000-0005-0000-0000-000098970000}"/>
    <cellStyle name="Texto explicativo 7" xfId="38809" xr:uid="{00000000-0005-0000-0000-000099970000}"/>
    <cellStyle name="Texto explicativo 7 2" xfId="38810" xr:uid="{00000000-0005-0000-0000-00009A970000}"/>
    <cellStyle name="Texto explicativo 7 2 2" xfId="38811" xr:uid="{00000000-0005-0000-0000-00009B970000}"/>
    <cellStyle name="Texto explicativo 7 2 3" xfId="38812" xr:uid="{00000000-0005-0000-0000-00009C970000}"/>
    <cellStyle name="Texto explicativo 7 3" xfId="38813" xr:uid="{00000000-0005-0000-0000-00009D970000}"/>
    <cellStyle name="Texto explicativo 7 4" xfId="38814" xr:uid="{00000000-0005-0000-0000-00009E970000}"/>
    <cellStyle name="Texto explicativo 8" xfId="38815" xr:uid="{00000000-0005-0000-0000-00009F970000}"/>
    <cellStyle name="Texto explicativo 8 2" xfId="38816" xr:uid="{00000000-0005-0000-0000-0000A0970000}"/>
    <cellStyle name="Texto explicativo 8 2 2" xfId="38817" xr:uid="{00000000-0005-0000-0000-0000A1970000}"/>
    <cellStyle name="Texto explicativo 8 2 3" xfId="38818" xr:uid="{00000000-0005-0000-0000-0000A2970000}"/>
    <cellStyle name="Texto explicativo 8 3" xfId="38819" xr:uid="{00000000-0005-0000-0000-0000A3970000}"/>
    <cellStyle name="Texto explicativo 8 4" xfId="38820" xr:uid="{00000000-0005-0000-0000-0000A4970000}"/>
    <cellStyle name="Texto explicativo 9" xfId="38821" xr:uid="{00000000-0005-0000-0000-0000A5970000}"/>
    <cellStyle name="Texto explicativo 9 2" xfId="38822" xr:uid="{00000000-0005-0000-0000-0000A6970000}"/>
    <cellStyle name="Texto explicativo 9 3" xfId="38823" xr:uid="{00000000-0005-0000-0000-0000A7970000}"/>
    <cellStyle name="Title" xfId="38824" xr:uid="{00000000-0005-0000-0000-0000A8970000}"/>
    <cellStyle name="Title 2" xfId="38825" xr:uid="{00000000-0005-0000-0000-0000A9970000}"/>
    <cellStyle name="Title 2 2" xfId="38826" xr:uid="{00000000-0005-0000-0000-0000AA970000}"/>
    <cellStyle name="Title 2 2 2" xfId="38827" xr:uid="{00000000-0005-0000-0000-0000AB970000}"/>
    <cellStyle name="Title 2 2 3" xfId="38828" xr:uid="{00000000-0005-0000-0000-0000AC970000}"/>
    <cellStyle name="Title 2 3" xfId="38829" xr:uid="{00000000-0005-0000-0000-0000AD970000}"/>
    <cellStyle name="Title 2 4" xfId="38830" xr:uid="{00000000-0005-0000-0000-0000AE970000}"/>
    <cellStyle name="Title 3" xfId="38831" xr:uid="{00000000-0005-0000-0000-0000AF970000}"/>
    <cellStyle name="Title 3 2" xfId="38832" xr:uid="{00000000-0005-0000-0000-0000B0970000}"/>
    <cellStyle name="Title 3 2 2" xfId="38833" xr:uid="{00000000-0005-0000-0000-0000B1970000}"/>
    <cellStyle name="Title 3 2 3" xfId="38834" xr:uid="{00000000-0005-0000-0000-0000B2970000}"/>
    <cellStyle name="Title 3 3" xfId="38835" xr:uid="{00000000-0005-0000-0000-0000B3970000}"/>
    <cellStyle name="Title 3 4" xfId="38836" xr:uid="{00000000-0005-0000-0000-0000B4970000}"/>
    <cellStyle name="Title 4" xfId="38837" xr:uid="{00000000-0005-0000-0000-0000B5970000}"/>
    <cellStyle name="Title 4 2" xfId="38838" xr:uid="{00000000-0005-0000-0000-0000B6970000}"/>
    <cellStyle name="Title 4 2 2" xfId="38839" xr:uid="{00000000-0005-0000-0000-0000B7970000}"/>
    <cellStyle name="Title 4 2 3" xfId="38840" xr:uid="{00000000-0005-0000-0000-0000B8970000}"/>
    <cellStyle name="Title 4 3" xfId="38841" xr:uid="{00000000-0005-0000-0000-0000B9970000}"/>
    <cellStyle name="Title 4 4" xfId="38842" xr:uid="{00000000-0005-0000-0000-0000BA970000}"/>
    <cellStyle name="Title 5" xfId="38843" xr:uid="{00000000-0005-0000-0000-0000BB970000}"/>
    <cellStyle name="Title 5 2" xfId="38844" xr:uid="{00000000-0005-0000-0000-0000BC970000}"/>
    <cellStyle name="Title 5 2 2" xfId="38845" xr:uid="{00000000-0005-0000-0000-0000BD970000}"/>
    <cellStyle name="Title 5 2 3" xfId="38846" xr:uid="{00000000-0005-0000-0000-0000BE970000}"/>
    <cellStyle name="Title 5 3" xfId="38847" xr:uid="{00000000-0005-0000-0000-0000BF970000}"/>
    <cellStyle name="Title 5 4" xfId="38848" xr:uid="{00000000-0005-0000-0000-0000C0970000}"/>
    <cellStyle name="Title 6" xfId="38849" xr:uid="{00000000-0005-0000-0000-0000C1970000}"/>
    <cellStyle name="Title 6 2" xfId="38850" xr:uid="{00000000-0005-0000-0000-0000C2970000}"/>
    <cellStyle name="Title 6 3" xfId="38851" xr:uid="{00000000-0005-0000-0000-0000C3970000}"/>
    <cellStyle name="Title 7" xfId="38852" xr:uid="{00000000-0005-0000-0000-0000C4970000}"/>
    <cellStyle name="Title 8" xfId="38853" xr:uid="{00000000-0005-0000-0000-0000C5970000}"/>
    <cellStyle name="Título 1 10" xfId="38854" xr:uid="{00000000-0005-0000-0000-0000C6970000}"/>
    <cellStyle name="Título 1 11" xfId="38855" xr:uid="{00000000-0005-0000-0000-0000C7970000}"/>
    <cellStyle name="Título 1 2" xfId="38856" xr:uid="{00000000-0005-0000-0000-0000C8970000}"/>
    <cellStyle name="Título 1 2 2" xfId="38857" xr:uid="{00000000-0005-0000-0000-0000C9970000}"/>
    <cellStyle name="Título 1 2 2 2" xfId="38858" xr:uid="{00000000-0005-0000-0000-0000CA970000}"/>
    <cellStyle name="Título 1 2 2 3" xfId="38859" xr:uid="{00000000-0005-0000-0000-0000CB970000}"/>
    <cellStyle name="Título 1 2 3" xfId="38860" xr:uid="{00000000-0005-0000-0000-0000CC970000}"/>
    <cellStyle name="Título 1 2 4" xfId="38861" xr:uid="{00000000-0005-0000-0000-0000CD970000}"/>
    <cellStyle name="Título 1 3" xfId="38862" xr:uid="{00000000-0005-0000-0000-0000CE970000}"/>
    <cellStyle name="Título 1 3 2" xfId="38863" xr:uid="{00000000-0005-0000-0000-0000CF970000}"/>
    <cellStyle name="Título 1 3 2 2" xfId="38864" xr:uid="{00000000-0005-0000-0000-0000D0970000}"/>
    <cellStyle name="Título 1 3 2 3" xfId="38865" xr:uid="{00000000-0005-0000-0000-0000D1970000}"/>
    <cellStyle name="Título 1 3 3" xfId="38866" xr:uid="{00000000-0005-0000-0000-0000D2970000}"/>
    <cellStyle name="Título 1 3 4" xfId="38867" xr:uid="{00000000-0005-0000-0000-0000D3970000}"/>
    <cellStyle name="Título 1 4" xfId="38868" xr:uid="{00000000-0005-0000-0000-0000D4970000}"/>
    <cellStyle name="Título 1 4 2" xfId="38869" xr:uid="{00000000-0005-0000-0000-0000D5970000}"/>
    <cellStyle name="Título 1 4 2 2" xfId="38870" xr:uid="{00000000-0005-0000-0000-0000D6970000}"/>
    <cellStyle name="Título 1 4 2 3" xfId="38871" xr:uid="{00000000-0005-0000-0000-0000D7970000}"/>
    <cellStyle name="Título 1 4 3" xfId="38872" xr:uid="{00000000-0005-0000-0000-0000D8970000}"/>
    <cellStyle name="Título 1 4 4" xfId="38873" xr:uid="{00000000-0005-0000-0000-0000D9970000}"/>
    <cellStyle name="Título 1 5" xfId="38874" xr:uid="{00000000-0005-0000-0000-0000DA970000}"/>
    <cellStyle name="Título 1 5 2" xfId="38875" xr:uid="{00000000-0005-0000-0000-0000DB970000}"/>
    <cellStyle name="Título 1 5 2 2" xfId="38876" xr:uid="{00000000-0005-0000-0000-0000DC970000}"/>
    <cellStyle name="Título 1 5 2 3" xfId="38877" xr:uid="{00000000-0005-0000-0000-0000DD970000}"/>
    <cellStyle name="Título 1 5 3" xfId="38878" xr:uid="{00000000-0005-0000-0000-0000DE970000}"/>
    <cellStyle name="Título 1 5 4" xfId="38879" xr:uid="{00000000-0005-0000-0000-0000DF970000}"/>
    <cellStyle name="Título 1 6" xfId="38880" xr:uid="{00000000-0005-0000-0000-0000E0970000}"/>
    <cellStyle name="Título 1 6 2" xfId="38881" xr:uid="{00000000-0005-0000-0000-0000E1970000}"/>
    <cellStyle name="Título 1 6 2 2" xfId="38882" xr:uid="{00000000-0005-0000-0000-0000E2970000}"/>
    <cellStyle name="Título 1 6 2 3" xfId="38883" xr:uid="{00000000-0005-0000-0000-0000E3970000}"/>
    <cellStyle name="Título 1 6 3" xfId="38884" xr:uid="{00000000-0005-0000-0000-0000E4970000}"/>
    <cellStyle name="Título 1 6 4" xfId="38885" xr:uid="{00000000-0005-0000-0000-0000E5970000}"/>
    <cellStyle name="Título 1 7" xfId="38886" xr:uid="{00000000-0005-0000-0000-0000E6970000}"/>
    <cellStyle name="Título 1 7 2" xfId="38887" xr:uid="{00000000-0005-0000-0000-0000E7970000}"/>
    <cellStyle name="Título 1 7 2 2" xfId="38888" xr:uid="{00000000-0005-0000-0000-0000E8970000}"/>
    <cellStyle name="Título 1 7 2 3" xfId="38889" xr:uid="{00000000-0005-0000-0000-0000E9970000}"/>
    <cellStyle name="Título 1 7 3" xfId="38890" xr:uid="{00000000-0005-0000-0000-0000EA970000}"/>
    <cellStyle name="Título 1 7 4" xfId="38891" xr:uid="{00000000-0005-0000-0000-0000EB970000}"/>
    <cellStyle name="Título 1 8" xfId="38892" xr:uid="{00000000-0005-0000-0000-0000EC970000}"/>
    <cellStyle name="Título 1 8 2" xfId="38893" xr:uid="{00000000-0005-0000-0000-0000ED970000}"/>
    <cellStyle name="Título 1 8 2 2" xfId="38894" xr:uid="{00000000-0005-0000-0000-0000EE970000}"/>
    <cellStyle name="Título 1 8 2 3" xfId="38895" xr:uid="{00000000-0005-0000-0000-0000EF970000}"/>
    <cellStyle name="Título 1 8 3" xfId="38896" xr:uid="{00000000-0005-0000-0000-0000F0970000}"/>
    <cellStyle name="Título 1 8 4" xfId="38897" xr:uid="{00000000-0005-0000-0000-0000F1970000}"/>
    <cellStyle name="Título 1 9" xfId="38898" xr:uid="{00000000-0005-0000-0000-0000F2970000}"/>
    <cellStyle name="Título 1 9 2" xfId="38899" xr:uid="{00000000-0005-0000-0000-0000F3970000}"/>
    <cellStyle name="Título 1 9 3" xfId="38900" xr:uid="{00000000-0005-0000-0000-0000F4970000}"/>
    <cellStyle name="Título 10" xfId="38901" xr:uid="{00000000-0005-0000-0000-0000F5970000}"/>
    <cellStyle name="Título 10 2" xfId="38902" xr:uid="{00000000-0005-0000-0000-0000F6970000}"/>
    <cellStyle name="Título 10 2 2" xfId="38903" xr:uid="{00000000-0005-0000-0000-0000F7970000}"/>
    <cellStyle name="Título 10 2 3" xfId="38904" xr:uid="{00000000-0005-0000-0000-0000F8970000}"/>
    <cellStyle name="Título 10 3" xfId="38905" xr:uid="{00000000-0005-0000-0000-0000F9970000}"/>
    <cellStyle name="Título 10 4" xfId="38906" xr:uid="{00000000-0005-0000-0000-0000FA970000}"/>
    <cellStyle name="Título 11" xfId="38907" xr:uid="{00000000-0005-0000-0000-0000FB970000}"/>
    <cellStyle name="Título 11 2" xfId="38908" xr:uid="{00000000-0005-0000-0000-0000FC970000}"/>
    <cellStyle name="Título 11 3" xfId="38909" xr:uid="{00000000-0005-0000-0000-0000FD970000}"/>
    <cellStyle name="Título 12" xfId="38910" xr:uid="{00000000-0005-0000-0000-0000FE970000}"/>
    <cellStyle name="Título 13" xfId="38911" xr:uid="{00000000-0005-0000-0000-0000FF970000}"/>
    <cellStyle name="Título 2 10" xfId="38912" xr:uid="{00000000-0005-0000-0000-000000980000}"/>
    <cellStyle name="Título 2 11" xfId="38913" xr:uid="{00000000-0005-0000-0000-000001980000}"/>
    <cellStyle name="Título 2 2" xfId="38914" xr:uid="{00000000-0005-0000-0000-000002980000}"/>
    <cellStyle name="Título 2 2 2" xfId="38915" xr:uid="{00000000-0005-0000-0000-000003980000}"/>
    <cellStyle name="Título 2 2 2 2" xfId="38916" xr:uid="{00000000-0005-0000-0000-000004980000}"/>
    <cellStyle name="Título 2 2 2 3" xfId="38917" xr:uid="{00000000-0005-0000-0000-000005980000}"/>
    <cellStyle name="Título 2 2 2 4" xfId="38918" xr:uid="{00000000-0005-0000-0000-000006980000}"/>
    <cellStyle name="Título 2 2 3" xfId="38919" xr:uid="{00000000-0005-0000-0000-000007980000}"/>
    <cellStyle name="Título 2 2 4" xfId="38920" xr:uid="{00000000-0005-0000-0000-000008980000}"/>
    <cellStyle name="Título 2 3" xfId="38921" xr:uid="{00000000-0005-0000-0000-000009980000}"/>
    <cellStyle name="Título 2 3 2" xfId="38922" xr:uid="{00000000-0005-0000-0000-00000A980000}"/>
    <cellStyle name="Título 2 3 2 2" xfId="38923" xr:uid="{00000000-0005-0000-0000-00000B980000}"/>
    <cellStyle name="Título 2 3 2 3" xfId="38924" xr:uid="{00000000-0005-0000-0000-00000C980000}"/>
    <cellStyle name="Título 2 3 3" xfId="38925" xr:uid="{00000000-0005-0000-0000-00000D980000}"/>
    <cellStyle name="Título 2 3 4" xfId="38926" xr:uid="{00000000-0005-0000-0000-00000E980000}"/>
    <cellStyle name="Título 2 4" xfId="38927" xr:uid="{00000000-0005-0000-0000-00000F980000}"/>
    <cellStyle name="Título 2 4 2" xfId="38928" xr:uid="{00000000-0005-0000-0000-000010980000}"/>
    <cellStyle name="Título 2 4 2 2" xfId="38929" xr:uid="{00000000-0005-0000-0000-000011980000}"/>
    <cellStyle name="Título 2 4 2 3" xfId="38930" xr:uid="{00000000-0005-0000-0000-000012980000}"/>
    <cellStyle name="Título 2 4 3" xfId="38931" xr:uid="{00000000-0005-0000-0000-000013980000}"/>
    <cellStyle name="Título 2 4 4" xfId="38932" xr:uid="{00000000-0005-0000-0000-000014980000}"/>
    <cellStyle name="Título 2 5" xfId="38933" xr:uid="{00000000-0005-0000-0000-000015980000}"/>
    <cellStyle name="Título 2 5 2" xfId="38934" xr:uid="{00000000-0005-0000-0000-000016980000}"/>
    <cellStyle name="Título 2 5 2 2" xfId="38935" xr:uid="{00000000-0005-0000-0000-000017980000}"/>
    <cellStyle name="Título 2 5 2 3" xfId="38936" xr:uid="{00000000-0005-0000-0000-000018980000}"/>
    <cellStyle name="Título 2 5 3" xfId="38937" xr:uid="{00000000-0005-0000-0000-000019980000}"/>
    <cellStyle name="Título 2 5 4" xfId="38938" xr:uid="{00000000-0005-0000-0000-00001A980000}"/>
    <cellStyle name="Título 2 6" xfId="38939" xr:uid="{00000000-0005-0000-0000-00001B980000}"/>
    <cellStyle name="Título 2 6 2" xfId="38940" xr:uid="{00000000-0005-0000-0000-00001C980000}"/>
    <cellStyle name="Título 2 6 2 2" xfId="38941" xr:uid="{00000000-0005-0000-0000-00001D980000}"/>
    <cellStyle name="Título 2 6 2 3" xfId="38942" xr:uid="{00000000-0005-0000-0000-00001E980000}"/>
    <cellStyle name="Título 2 6 3" xfId="38943" xr:uid="{00000000-0005-0000-0000-00001F980000}"/>
    <cellStyle name="Título 2 6 4" xfId="38944" xr:uid="{00000000-0005-0000-0000-000020980000}"/>
    <cellStyle name="Título 2 7" xfId="38945" xr:uid="{00000000-0005-0000-0000-000021980000}"/>
    <cellStyle name="Título 2 7 2" xfId="38946" xr:uid="{00000000-0005-0000-0000-000022980000}"/>
    <cellStyle name="Título 2 7 2 2" xfId="38947" xr:uid="{00000000-0005-0000-0000-000023980000}"/>
    <cellStyle name="Título 2 7 2 3" xfId="38948" xr:uid="{00000000-0005-0000-0000-000024980000}"/>
    <cellStyle name="Título 2 7 3" xfId="38949" xr:uid="{00000000-0005-0000-0000-000025980000}"/>
    <cellStyle name="Título 2 7 4" xfId="38950" xr:uid="{00000000-0005-0000-0000-000026980000}"/>
    <cellStyle name="Título 2 8" xfId="38951" xr:uid="{00000000-0005-0000-0000-000027980000}"/>
    <cellStyle name="Título 2 8 2" xfId="38952" xr:uid="{00000000-0005-0000-0000-000028980000}"/>
    <cellStyle name="Título 2 8 2 2" xfId="38953" xr:uid="{00000000-0005-0000-0000-000029980000}"/>
    <cellStyle name="Título 2 8 2 3" xfId="38954" xr:uid="{00000000-0005-0000-0000-00002A980000}"/>
    <cellStyle name="Título 2 8 3" xfId="38955" xr:uid="{00000000-0005-0000-0000-00002B980000}"/>
    <cellStyle name="Título 2 8 4" xfId="38956" xr:uid="{00000000-0005-0000-0000-00002C980000}"/>
    <cellStyle name="Título 2 9" xfId="38957" xr:uid="{00000000-0005-0000-0000-00002D980000}"/>
    <cellStyle name="Título 2 9 2" xfId="38958" xr:uid="{00000000-0005-0000-0000-00002E980000}"/>
    <cellStyle name="Título 2 9 3" xfId="38959" xr:uid="{00000000-0005-0000-0000-00002F980000}"/>
    <cellStyle name="Título 3 10" xfId="38960" xr:uid="{00000000-0005-0000-0000-000030980000}"/>
    <cellStyle name="Título 3 11" xfId="38961" xr:uid="{00000000-0005-0000-0000-000031980000}"/>
    <cellStyle name="Título 3 2" xfId="38962" xr:uid="{00000000-0005-0000-0000-000032980000}"/>
    <cellStyle name="Título 3 2 2" xfId="38963" xr:uid="{00000000-0005-0000-0000-000033980000}"/>
    <cellStyle name="Título 3 2 2 2" xfId="38964" xr:uid="{00000000-0005-0000-0000-000034980000}"/>
    <cellStyle name="Título 3 2 2 3" xfId="38965" xr:uid="{00000000-0005-0000-0000-000035980000}"/>
    <cellStyle name="Título 3 2 2 4" xfId="38966" xr:uid="{00000000-0005-0000-0000-000036980000}"/>
    <cellStyle name="Título 3 2 3" xfId="38967" xr:uid="{00000000-0005-0000-0000-000037980000}"/>
    <cellStyle name="Título 3 2 4" xfId="38968" xr:uid="{00000000-0005-0000-0000-000038980000}"/>
    <cellStyle name="Título 3 3" xfId="38969" xr:uid="{00000000-0005-0000-0000-000039980000}"/>
    <cellStyle name="Título 3 3 2" xfId="38970" xr:uid="{00000000-0005-0000-0000-00003A980000}"/>
    <cellStyle name="Título 3 3 2 2" xfId="38971" xr:uid="{00000000-0005-0000-0000-00003B980000}"/>
    <cellStyle name="Título 3 3 2 3" xfId="38972" xr:uid="{00000000-0005-0000-0000-00003C980000}"/>
    <cellStyle name="Título 3 3 3" xfId="38973" xr:uid="{00000000-0005-0000-0000-00003D980000}"/>
    <cellStyle name="Título 3 3 4" xfId="38974" xr:uid="{00000000-0005-0000-0000-00003E980000}"/>
    <cellStyle name="Título 3 4" xfId="38975" xr:uid="{00000000-0005-0000-0000-00003F980000}"/>
    <cellStyle name="Título 3 4 2" xfId="38976" xr:uid="{00000000-0005-0000-0000-000040980000}"/>
    <cellStyle name="Título 3 4 2 2" xfId="38977" xr:uid="{00000000-0005-0000-0000-000041980000}"/>
    <cellStyle name="Título 3 4 2 3" xfId="38978" xr:uid="{00000000-0005-0000-0000-000042980000}"/>
    <cellStyle name="Título 3 4 3" xfId="38979" xr:uid="{00000000-0005-0000-0000-000043980000}"/>
    <cellStyle name="Título 3 4 4" xfId="38980" xr:uid="{00000000-0005-0000-0000-000044980000}"/>
    <cellStyle name="Título 3 5" xfId="38981" xr:uid="{00000000-0005-0000-0000-000045980000}"/>
    <cellStyle name="Título 3 5 2" xfId="38982" xr:uid="{00000000-0005-0000-0000-000046980000}"/>
    <cellStyle name="Título 3 5 2 2" xfId="38983" xr:uid="{00000000-0005-0000-0000-000047980000}"/>
    <cellStyle name="Título 3 5 2 3" xfId="38984" xr:uid="{00000000-0005-0000-0000-000048980000}"/>
    <cellStyle name="Título 3 5 3" xfId="38985" xr:uid="{00000000-0005-0000-0000-000049980000}"/>
    <cellStyle name="Título 3 5 4" xfId="38986" xr:uid="{00000000-0005-0000-0000-00004A980000}"/>
    <cellStyle name="Título 3 6" xfId="38987" xr:uid="{00000000-0005-0000-0000-00004B980000}"/>
    <cellStyle name="Título 3 6 2" xfId="38988" xr:uid="{00000000-0005-0000-0000-00004C980000}"/>
    <cellStyle name="Título 3 6 2 2" xfId="38989" xr:uid="{00000000-0005-0000-0000-00004D980000}"/>
    <cellStyle name="Título 3 6 2 3" xfId="38990" xr:uid="{00000000-0005-0000-0000-00004E980000}"/>
    <cellStyle name="Título 3 6 3" xfId="38991" xr:uid="{00000000-0005-0000-0000-00004F980000}"/>
    <cellStyle name="Título 3 6 4" xfId="38992" xr:uid="{00000000-0005-0000-0000-000050980000}"/>
    <cellStyle name="Título 3 7" xfId="38993" xr:uid="{00000000-0005-0000-0000-000051980000}"/>
    <cellStyle name="Título 3 7 2" xfId="38994" xr:uid="{00000000-0005-0000-0000-000052980000}"/>
    <cellStyle name="Título 3 7 2 2" xfId="38995" xr:uid="{00000000-0005-0000-0000-000053980000}"/>
    <cellStyle name="Título 3 7 2 3" xfId="38996" xr:uid="{00000000-0005-0000-0000-000054980000}"/>
    <cellStyle name="Título 3 7 3" xfId="38997" xr:uid="{00000000-0005-0000-0000-000055980000}"/>
    <cellStyle name="Título 3 7 4" xfId="38998" xr:uid="{00000000-0005-0000-0000-000056980000}"/>
    <cellStyle name="Título 3 8" xfId="38999" xr:uid="{00000000-0005-0000-0000-000057980000}"/>
    <cellStyle name="Título 3 8 2" xfId="39000" xr:uid="{00000000-0005-0000-0000-000058980000}"/>
    <cellStyle name="Título 3 8 2 2" xfId="39001" xr:uid="{00000000-0005-0000-0000-000059980000}"/>
    <cellStyle name="Título 3 8 2 3" xfId="39002" xr:uid="{00000000-0005-0000-0000-00005A980000}"/>
    <cellStyle name="Título 3 8 3" xfId="39003" xr:uid="{00000000-0005-0000-0000-00005B980000}"/>
    <cellStyle name="Título 3 8 4" xfId="39004" xr:uid="{00000000-0005-0000-0000-00005C980000}"/>
    <cellStyle name="Título 3 9" xfId="39005" xr:uid="{00000000-0005-0000-0000-00005D980000}"/>
    <cellStyle name="Título 3 9 2" xfId="39006" xr:uid="{00000000-0005-0000-0000-00005E980000}"/>
    <cellStyle name="Título 3 9 3" xfId="39007" xr:uid="{00000000-0005-0000-0000-00005F980000}"/>
    <cellStyle name="Título 4" xfId="39008" xr:uid="{00000000-0005-0000-0000-000060980000}"/>
    <cellStyle name="Título 4 2" xfId="39009" xr:uid="{00000000-0005-0000-0000-000061980000}"/>
    <cellStyle name="Título 4 2 2" xfId="39010" xr:uid="{00000000-0005-0000-0000-000062980000}"/>
    <cellStyle name="Título 4 2 3" xfId="39011" xr:uid="{00000000-0005-0000-0000-000063980000}"/>
    <cellStyle name="Título 4 2 4" xfId="39012" xr:uid="{00000000-0005-0000-0000-000064980000}"/>
    <cellStyle name="Título 4 3" xfId="39013" xr:uid="{00000000-0005-0000-0000-000065980000}"/>
    <cellStyle name="Título 4 4" xfId="39014" xr:uid="{00000000-0005-0000-0000-000066980000}"/>
    <cellStyle name="Título 5" xfId="39015" xr:uid="{00000000-0005-0000-0000-000067980000}"/>
    <cellStyle name="Título 5 2" xfId="39016" xr:uid="{00000000-0005-0000-0000-000068980000}"/>
    <cellStyle name="Título 5 2 2" xfId="39017" xr:uid="{00000000-0005-0000-0000-000069980000}"/>
    <cellStyle name="Título 5 2 3" xfId="39018" xr:uid="{00000000-0005-0000-0000-00006A980000}"/>
    <cellStyle name="Título 5 2 4" xfId="39019" xr:uid="{00000000-0005-0000-0000-00006B980000}"/>
    <cellStyle name="Título 5 3" xfId="39020" xr:uid="{00000000-0005-0000-0000-00006C980000}"/>
    <cellStyle name="Título 5 4" xfId="39021" xr:uid="{00000000-0005-0000-0000-00006D980000}"/>
    <cellStyle name="Título 6" xfId="39022" xr:uid="{00000000-0005-0000-0000-00006E980000}"/>
    <cellStyle name="Título 6 2" xfId="39023" xr:uid="{00000000-0005-0000-0000-00006F980000}"/>
    <cellStyle name="Título 6 2 2" xfId="39024" xr:uid="{00000000-0005-0000-0000-000070980000}"/>
    <cellStyle name="Título 6 2 3" xfId="39025" xr:uid="{00000000-0005-0000-0000-000071980000}"/>
    <cellStyle name="Título 6 3" xfId="39026" xr:uid="{00000000-0005-0000-0000-000072980000}"/>
    <cellStyle name="Título 6 4" xfId="39027" xr:uid="{00000000-0005-0000-0000-000073980000}"/>
    <cellStyle name="Título 7" xfId="39028" xr:uid="{00000000-0005-0000-0000-000074980000}"/>
    <cellStyle name="Título 7 2" xfId="39029" xr:uid="{00000000-0005-0000-0000-000075980000}"/>
    <cellStyle name="Título 7 2 2" xfId="39030" xr:uid="{00000000-0005-0000-0000-000076980000}"/>
    <cellStyle name="Título 7 2 3" xfId="39031" xr:uid="{00000000-0005-0000-0000-000077980000}"/>
    <cellStyle name="Título 7 3" xfId="39032" xr:uid="{00000000-0005-0000-0000-000078980000}"/>
    <cellStyle name="Título 7 4" xfId="39033" xr:uid="{00000000-0005-0000-0000-000079980000}"/>
    <cellStyle name="Título 8" xfId="39034" xr:uid="{00000000-0005-0000-0000-00007A980000}"/>
    <cellStyle name="Título 8 2" xfId="39035" xr:uid="{00000000-0005-0000-0000-00007B980000}"/>
    <cellStyle name="Título 8 2 2" xfId="39036" xr:uid="{00000000-0005-0000-0000-00007C980000}"/>
    <cellStyle name="Título 8 2 3" xfId="39037" xr:uid="{00000000-0005-0000-0000-00007D980000}"/>
    <cellStyle name="Título 8 3" xfId="39038" xr:uid="{00000000-0005-0000-0000-00007E980000}"/>
    <cellStyle name="Título 8 4" xfId="39039" xr:uid="{00000000-0005-0000-0000-00007F980000}"/>
    <cellStyle name="Título 9" xfId="39040" xr:uid="{00000000-0005-0000-0000-000080980000}"/>
    <cellStyle name="Título 9 2" xfId="39041" xr:uid="{00000000-0005-0000-0000-000081980000}"/>
    <cellStyle name="Título 9 2 2" xfId="39042" xr:uid="{00000000-0005-0000-0000-000082980000}"/>
    <cellStyle name="Título 9 2 3" xfId="39043" xr:uid="{00000000-0005-0000-0000-000083980000}"/>
    <cellStyle name="Título 9 3" xfId="39044" xr:uid="{00000000-0005-0000-0000-000084980000}"/>
    <cellStyle name="Título 9 4" xfId="39045" xr:uid="{00000000-0005-0000-0000-000085980000}"/>
    <cellStyle name="Total 2" xfId="39046" xr:uid="{00000000-0005-0000-0000-000086980000}"/>
    <cellStyle name="Total 2 2" xfId="39047" xr:uid="{00000000-0005-0000-0000-000087980000}"/>
    <cellStyle name="Total 2 2 2" xfId="39048" xr:uid="{00000000-0005-0000-0000-000088980000}"/>
    <cellStyle name="Total 2 2 3" xfId="39049" xr:uid="{00000000-0005-0000-0000-000089980000}"/>
    <cellStyle name="Total 2 3" xfId="39050" xr:uid="{00000000-0005-0000-0000-00008A980000}"/>
    <cellStyle name="Total 2 4" xfId="39051" xr:uid="{00000000-0005-0000-0000-00008B980000}"/>
    <cellStyle name="Total 3" xfId="39052" xr:uid="{00000000-0005-0000-0000-00008C980000}"/>
    <cellStyle name="Total 3 2" xfId="39053" xr:uid="{00000000-0005-0000-0000-00008D980000}"/>
    <cellStyle name="Total 3 2 2" xfId="39054" xr:uid="{00000000-0005-0000-0000-00008E980000}"/>
    <cellStyle name="Total 3 2 3" xfId="39055" xr:uid="{00000000-0005-0000-0000-00008F980000}"/>
    <cellStyle name="Total 3 3" xfId="39056" xr:uid="{00000000-0005-0000-0000-000090980000}"/>
    <cellStyle name="Total 3 4" xfId="39057" xr:uid="{00000000-0005-0000-0000-000091980000}"/>
    <cellStyle name="Total 4" xfId="39058" xr:uid="{00000000-0005-0000-0000-000092980000}"/>
    <cellStyle name="Total 4 2" xfId="39059" xr:uid="{00000000-0005-0000-0000-000093980000}"/>
    <cellStyle name="Total 4 2 2" xfId="39060" xr:uid="{00000000-0005-0000-0000-000094980000}"/>
    <cellStyle name="Total 4 2 3" xfId="39061" xr:uid="{00000000-0005-0000-0000-000095980000}"/>
    <cellStyle name="Total 4 3" xfId="39062" xr:uid="{00000000-0005-0000-0000-000096980000}"/>
    <cellStyle name="Total 4 4" xfId="39063" xr:uid="{00000000-0005-0000-0000-000097980000}"/>
    <cellStyle name="Total 5" xfId="39064" xr:uid="{00000000-0005-0000-0000-000098980000}"/>
    <cellStyle name="Total 5 2" xfId="39065" xr:uid="{00000000-0005-0000-0000-000099980000}"/>
    <cellStyle name="Total 5 3" xfId="39066" xr:uid="{00000000-0005-0000-0000-00009A980000}"/>
    <cellStyle name="Total 6" xfId="39067" xr:uid="{00000000-0005-0000-0000-00009B980000}"/>
    <cellStyle name="Total 7" xfId="39068" xr:uid="{00000000-0005-0000-0000-00009C980000}"/>
    <cellStyle name="Warning Text" xfId="39069" xr:uid="{00000000-0005-0000-0000-00009D980000}"/>
    <cellStyle name="Warning Text 2" xfId="39070" xr:uid="{00000000-0005-0000-0000-00009E980000}"/>
    <cellStyle name="Warning Text 2 2" xfId="39071" xr:uid="{00000000-0005-0000-0000-00009F980000}"/>
    <cellStyle name="Warning Text 2 2 2" xfId="39072" xr:uid="{00000000-0005-0000-0000-0000A0980000}"/>
    <cellStyle name="Warning Text 2 2 3" xfId="39073" xr:uid="{00000000-0005-0000-0000-0000A1980000}"/>
    <cellStyle name="Warning Text 2 3" xfId="39074" xr:uid="{00000000-0005-0000-0000-0000A2980000}"/>
    <cellStyle name="Warning Text 2 4" xfId="39075" xr:uid="{00000000-0005-0000-0000-0000A3980000}"/>
    <cellStyle name="Warning Text 3" xfId="39076" xr:uid="{00000000-0005-0000-0000-0000A4980000}"/>
    <cellStyle name="Warning Text 3 2" xfId="39077" xr:uid="{00000000-0005-0000-0000-0000A5980000}"/>
    <cellStyle name="Warning Text 3 2 2" xfId="39078" xr:uid="{00000000-0005-0000-0000-0000A6980000}"/>
    <cellStyle name="Warning Text 3 2 3" xfId="39079" xr:uid="{00000000-0005-0000-0000-0000A7980000}"/>
    <cellStyle name="Warning Text 3 3" xfId="39080" xr:uid="{00000000-0005-0000-0000-0000A8980000}"/>
    <cellStyle name="Warning Text 3 4" xfId="39081" xr:uid="{00000000-0005-0000-0000-0000A9980000}"/>
    <cellStyle name="Warning Text 4" xfId="39082" xr:uid="{00000000-0005-0000-0000-0000AA980000}"/>
    <cellStyle name="Warning Text 4 2" xfId="39083" xr:uid="{00000000-0005-0000-0000-0000AB980000}"/>
    <cellStyle name="Warning Text 4 2 2" xfId="39084" xr:uid="{00000000-0005-0000-0000-0000AC980000}"/>
    <cellStyle name="Warning Text 4 2 3" xfId="39085" xr:uid="{00000000-0005-0000-0000-0000AD980000}"/>
    <cellStyle name="Warning Text 4 3" xfId="39086" xr:uid="{00000000-0005-0000-0000-0000AE980000}"/>
    <cellStyle name="Warning Text 4 4" xfId="39087" xr:uid="{00000000-0005-0000-0000-0000AF980000}"/>
    <cellStyle name="Warning Text 5" xfId="39088" xr:uid="{00000000-0005-0000-0000-0000B0980000}"/>
    <cellStyle name="Warning Text 5 2" xfId="39089" xr:uid="{00000000-0005-0000-0000-0000B1980000}"/>
    <cellStyle name="Warning Text 5 2 2" xfId="39090" xr:uid="{00000000-0005-0000-0000-0000B2980000}"/>
    <cellStyle name="Warning Text 5 2 3" xfId="39091" xr:uid="{00000000-0005-0000-0000-0000B3980000}"/>
    <cellStyle name="Warning Text 5 3" xfId="39092" xr:uid="{00000000-0005-0000-0000-0000B4980000}"/>
    <cellStyle name="Warning Text 5 4" xfId="39093" xr:uid="{00000000-0005-0000-0000-0000B5980000}"/>
    <cellStyle name="Warning Text 6" xfId="39094" xr:uid="{00000000-0005-0000-0000-0000B6980000}"/>
    <cellStyle name="Warning Text 6 2" xfId="39095" xr:uid="{00000000-0005-0000-0000-0000B7980000}"/>
    <cellStyle name="Warning Text 6 3" xfId="39096" xr:uid="{00000000-0005-0000-0000-0000B8980000}"/>
    <cellStyle name="Warning Text 7" xfId="39097" xr:uid="{00000000-0005-0000-0000-0000B9980000}"/>
    <cellStyle name="Warning Text 8" xfId="39098" xr:uid="{00000000-0005-0000-0000-0000BA980000}"/>
    <cellStyle name="好" xfId="39099" xr:uid="{00000000-0005-0000-0000-0000BB980000}"/>
    <cellStyle name="差" xfId="39100" xr:uid="{00000000-0005-0000-0000-0000BC980000}"/>
    <cellStyle name="强调文字颜色 1" xfId="39101" xr:uid="{00000000-0005-0000-0000-0000BD980000}"/>
    <cellStyle name="强调文字颜色 2" xfId="39102" xr:uid="{00000000-0005-0000-0000-0000BE980000}"/>
    <cellStyle name="强调文字颜色 3" xfId="39103" xr:uid="{00000000-0005-0000-0000-0000BF980000}"/>
    <cellStyle name="强调文字颜色 4" xfId="39104" xr:uid="{00000000-0005-0000-0000-0000C0980000}"/>
    <cellStyle name="强调文字颜色 5" xfId="39105" xr:uid="{00000000-0005-0000-0000-0000C1980000}"/>
    <cellStyle name="强调文字颜色 6" xfId="39106" xr:uid="{00000000-0005-0000-0000-0000C2980000}"/>
    <cellStyle name="标题" xfId="39107" xr:uid="{00000000-0005-0000-0000-0000C3980000}"/>
    <cellStyle name="标题 1" xfId="39108" xr:uid="{00000000-0005-0000-0000-0000C4980000}"/>
    <cellStyle name="标题 2" xfId="39109" xr:uid="{00000000-0005-0000-0000-0000C5980000}"/>
    <cellStyle name="标题 3" xfId="39110" xr:uid="{00000000-0005-0000-0000-0000C6980000}"/>
    <cellStyle name="标题 4" xfId="39111" xr:uid="{00000000-0005-0000-0000-0000C7980000}"/>
    <cellStyle name="检查单元格" xfId="39112" xr:uid="{00000000-0005-0000-0000-0000C8980000}"/>
    <cellStyle name="汇总" xfId="39113" xr:uid="{00000000-0005-0000-0000-0000C9980000}"/>
    <cellStyle name="注释" xfId="39114" xr:uid="{00000000-0005-0000-0000-0000CA980000}"/>
    <cellStyle name="解释性文本" xfId="39115" xr:uid="{00000000-0005-0000-0000-0000CB980000}"/>
    <cellStyle name="警告文本" xfId="39116" xr:uid="{00000000-0005-0000-0000-0000CC980000}"/>
    <cellStyle name="计算" xfId="39117" xr:uid="{00000000-0005-0000-0000-0000CD980000}"/>
    <cellStyle name="输入" xfId="39118" xr:uid="{00000000-0005-0000-0000-0000CE980000}"/>
    <cellStyle name="输出" xfId="39119" xr:uid="{00000000-0005-0000-0000-0000CF980000}"/>
    <cellStyle name="适中" xfId="39120" xr:uid="{00000000-0005-0000-0000-0000D0980000}"/>
    <cellStyle name="链接单元格" xfId="39121" xr:uid="{00000000-0005-0000-0000-0000D198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 Type="http://schemas.openxmlformats.org/officeDocument/2006/relationships/worksheet" Target="worksheets/sheet3.xml"/><Relationship Id="rId21" Type="http://schemas.openxmlformats.org/officeDocument/2006/relationships/externalLink" Target="externalLinks/externalLink17.xml"/><Relationship Id="rId34" Type="http://schemas.openxmlformats.org/officeDocument/2006/relationships/customXml" Target="../customXml/item2.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lineacomunicacionesco.sharepoint.com/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ENTREGA%20GERENCIA%20PROYECTO%20BANCO\FACTURACION\AGOSTO\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ineacomunicacionesco.sharepoint.com/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lineacomunicacionesco.sharepoint.com/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Users\Usuario\Desktop\COORDINACI&#211;N%20NOROCCIDENTE\Operacion\INFORME%20DE%20GESTION%20ESTADO%20DIARIO\MATRIZ%20INFORME%20DE%20GESTION%20JULIO\Matriz%20Formato%20Estado%20Diario%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lineacomunicacionesco.sharepoint.com/ENTREGA%20GERENCIA%20PROYECTO%20BANCO/FACTURACION/AGOSTO/JESSICA/Matriz%20Formato%20Estado%20Diario%20Zonas%20Remotas%20Juli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lineacomunicacionesco.sharepoint.com/BANCA/COORDINACION%20ZONA%20NOROCCIDENTE/ESTADO%20DIARIO/Estado%20Diario%20Diciembre/Copia%20de%20Matriz%20Formato%20Estado%20Diario%20DICIEMBRE.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FACTURACI&#211;N%202022/OCTUBRE/DATA%20V2/Informe%20Gestion%20CB%20BANCOLOMBIA%202022%20-%20ORDENES%20DE%20CAMBIO%20(1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Marzo%202021%20(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lineacomunicacionesco.sharepoint.com/Users/lini.hernandez/Downloads/Informe%20Gestion%20de%20Incidentes%20Bancolombia%20Marzo%202021%20(66).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oogle%20Drive/Linea%20Comunicaciones/CB%20Proyecto%20Incidentes/2016/Agosto/31%20ago/Informe%20Gesti&#243;n%20Incidentes%20CB%20Bancolombia,%20con%20corte%2031%20agosto.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lineacomunicacionesco.sharepoint.com/Users/adriana.galvis/Downloads/Informe%20Gestion%20Ordenes%20de%20cambio%20CB%20Bancolombia%20Noviembre%2001-%20(1).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ANALISTA%20APERTURAS%202016\CRECIMIENTO%20Y%20MIGRACIO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Mauricio/Documents/LINEA%20COMUNICACIONES/Informes/Matriz%20Formato%20Estado%20Diario%20%20Costa%20New%201.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Informe%20Gestion%20Ordenes%20de%20cambio%20CB%20Bancolombia%20Marzo%202021%20(3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NTREGA%20GERENCIA%20PROYECTO%20BANCO/FACTURACION/2016/FEBRERO%202016/JESSICA/Matriz%20Formato%20Estado%20Diario%20Zonas%20Remotas%20Julio.xls"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https://lineacomunicacionesco.sharepoint.com/sites/OperacinBanca/Shared%20Documents/GERENCIA%20DE%20OPERACIONES%20REDEBAN/FACTURACION/2025/OCTUBRE/Liquidacion%20CB%20Capacitaciones%20-%20Servicios%20Octubre%20V1.xlsx" TargetMode="External"/><Relationship Id="rId1" Type="http://schemas.openxmlformats.org/officeDocument/2006/relationships/externalLinkPath" Target="https://lineacomunicacionesco.sharepoint.com/sites/OperacinBanca/Shared%20Documents/GERENCIA%20DE%20OPERACIONES%20REDEBAN/FACTURACION/2025/OCTUBRE/Liquidacion%20CB%20Capacitaciones%20-%20Servicios%20Octubre%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row r="1">
          <cell r="B1" t="str">
            <v>Cerrado</v>
          </cell>
        </row>
        <row r="2">
          <cell r="BB2" t="str">
            <v>CAD</v>
          </cell>
        </row>
        <row r="3">
          <cell r="BB3" t="str">
            <v>DMA Barranquilla</v>
          </cell>
        </row>
        <row r="4">
          <cell r="BB4" t="str">
            <v>DMA Bogotá</v>
          </cell>
        </row>
        <row r="5">
          <cell r="BB5" t="str">
            <v xml:space="preserve">DMA Bucaramanga </v>
          </cell>
        </row>
        <row r="6">
          <cell r="BB6" t="str">
            <v>DMA Cali</v>
          </cell>
        </row>
        <row r="7">
          <cell r="BB7" t="str">
            <v>DMA Cartagena</v>
          </cell>
        </row>
        <row r="8">
          <cell r="BB8" t="str">
            <v>DMA Manizales</v>
          </cell>
        </row>
        <row r="9">
          <cell r="BB9" t="str">
            <v>DMA Medellin</v>
          </cell>
        </row>
        <row r="10">
          <cell r="BB10" t="str">
            <v xml:space="preserve">DMA MONTERIA </v>
          </cell>
        </row>
        <row r="11">
          <cell r="BB11" t="str">
            <v>DMA Pasto</v>
          </cell>
        </row>
        <row r="12">
          <cell r="BB12" t="str">
            <v>DMA Valledupar</v>
          </cell>
        </row>
        <row r="13">
          <cell r="BB13" t="str">
            <v>DMA Villavicencio</v>
          </cell>
        </row>
        <row r="14">
          <cell r="BB14" t="str">
            <v>ETB</v>
          </cell>
        </row>
        <row r="15">
          <cell r="BB15" t="str">
            <v>Línea de Comunicaciones</v>
          </cell>
        </row>
        <row r="16">
          <cell r="BB16" t="str">
            <v>Servicios para los clientes</v>
          </cell>
        </row>
        <row r="17">
          <cell r="BB17" t="str">
            <v>UNE</v>
          </cell>
        </row>
      </sheetData>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row r="1">
          <cell r="U1" t="str">
            <v>Capacitación</v>
          </cell>
          <cell r="AO1" t="str">
            <v>Bancolombia</v>
          </cell>
          <cell r="AP1" t="str">
            <v>Red</v>
          </cell>
          <cell r="AQ1" t="str">
            <v>LíneaComunicaciones</v>
          </cell>
          <cell r="AR1" t="str">
            <v>NoAplica</v>
          </cell>
        </row>
      </sheetData>
      <sheetData sheetId="6"/>
      <sheetData sheetId="7"/>
      <sheetData sheetId="8"/>
      <sheetData sheetId="9"/>
      <sheetData sheetId="1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139">
          <cell r="A1139" t="str">
            <v>AMAZONAS</v>
          </cell>
        </row>
        <row r="1140">
          <cell r="A1140" t="str">
            <v>ANTIOQUIA</v>
          </cell>
        </row>
        <row r="1141">
          <cell r="A1141" t="str">
            <v>ARAUCA</v>
          </cell>
        </row>
        <row r="1142">
          <cell r="A1142" t="str">
            <v>ATLANTICO</v>
          </cell>
        </row>
        <row r="1143">
          <cell r="A1143" t="str">
            <v>BOGOTA</v>
          </cell>
        </row>
        <row r="1144">
          <cell r="A1144" t="str">
            <v>BOLIVAR</v>
          </cell>
        </row>
        <row r="1145">
          <cell r="A1145" t="str">
            <v>BOYACA</v>
          </cell>
        </row>
        <row r="1146">
          <cell r="A1146" t="str">
            <v>CALDAS</v>
          </cell>
        </row>
        <row r="1147">
          <cell r="A1147" t="str">
            <v>CAQUETA</v>
          </cell>
        </row>
        <row r="1148">
          <cell r="A1148" t="str">
            <v>CASANARE</v>
          </cell>
        </row>
        <row r="1149">
          <cell r="A1149" t="str">
            <v>CAUCA</v>
          </cell>
        </row>
        <row r="1150">
          <cell r="A1150" t="str">
            <v>CESAR</v>
          </cell>
        </row>
        <row r="1151">
          <cell r="A1151" t="str">
            <v>CHOCO</v>
          </cell>
        </row>
        <row r="1152">
          <cell r="A1152" t="str">
            <v>CORDOBA</v>
          </cell>
        </row>
        <row r="1153">
          <cell r="A1153" t="str">
            <v>CUNDINAMARCA</v>
          </cell>
        </row>
        <row r="1154">
          <cell r="A1154" t="str">
            <v>GUAINIA</v>
          </cell>
        </row>
        <row r="1155">
          <cell r="A1155" t="str">
            <v>GUAJIRA</v>
          </cell>
        </row>
        <row r="1156">
          <cell r="A1156" t="str">
            <v>GUAVIARE</v>
          </cell>
        </row>
        <row r="1157">
          <cell r="A1157" t="str">
            <v>HUILA</v>
          </cell>
        </row>
        <row r="1158">
          <cell r="A1158" t="str">
            <v>MAGDALENA</v>
          </cell>
        </row>
        <row r="1159">
          <cell r="A1159" t="str">
            <v>META</v>
          </cell>
        </row>
        <row r="1160">
          <cell r="A1160" t="str">
            <v>NORTE_SANTANDER</v>
          </cell>
        </row>
        <row r="1161">
          <cell r="A1161" t="str">
            <v>NARIÑO</v>
          </cell>
        </row>
        <row r="1162">
          <cell r="A1162" t="str">
            <v>PUTUMAYO</v>
          </cell>
        </row>
        <row r="1163">
          <cell r="A1163" t="str">
            <v>QUINDIO</v>
          </cell>
        </row>
        <row r="1164">
          <cell r="A1164" t="str">
            <v>RISARALDA</v>
          </cell>
        </row>
        <row r="1165">
          <cell r="A1165" t="str">
            <v>SAN_ANDRES_PROV</v>
          </cell>
        </row>
        <row r="1166">
          <cell r="A1166" t="str">
            <v>SANTANDER</v>
          </cell>
        </row>
        <row r="1167">
          <cell r="A1167" t="str">
            <v>SUCRE</v>
          </cell>
        </row>
        <row r="1168">
          <cell r="A1168" t="str">
            <v>TOLIMA</v>
          </cell>
        </row>
        <row r="1169">
          <cell r="A1169" t="str">
            <v>VALLE</v>
          </cell>
        </row>
        <row r="1170">
          <cell r="A1170" t="str">
            <v>VAUPES</v>
          </cell>
        </row>
        <row r="1171">
          <cell r="A1171" t="str">
            <v>VICHADA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3"/>
      <sheetName val="Hoja2"/>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sheetName val="Cerrados Abril"/>
      <sheetName val="Cerrados Mayo"/>
      <sheetName val="OC Abiertas"/>
      <sheetName val="OC AVAL"/>
      <sheetName val="Cierres"/>
      <sheetName val="Cierres AVAL"/>
      <sheetName val="Rollos RBM"/>
      <sheetName val="Cerrados Marzo"/>
      <sheetName val="TIPOLOGÍAS REALES"/>
      <sheetName val="Listas desplegables"/>
      <sheetName val="Migraciones"/>
      <sheetName val="MEGA LINE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CITACIONES "/>
      <sheetName val="BASE FACTURACION 2025"/>
      <sheetName val="Tabla dinámica"/>
      <sheetName val="CAPACITACIONES APERTURAS"/>
      <sheetName val="CAPACITACION OC "/>
      <sheetName val="CENTRO DE COSTOS"/>
    </sheetNames>
    <sheetDataSet>
      <sheetData sheetId="0" refreshError="1"/>
      <sheetData sheetId="1" refreshError="1"/>
      <sheetData sheetId="2" refreshError="1"/>
      <sheetData sheetId="3" refreshError="1"/>
      <sheetData sheetId="4" refreshError="1">
        <row r="1">
          <cell r="A1" t="str">
            <v>Ciudad Sede</v>
          </cell>
        </row>
        <row r="3">
          <cell r="AW3">
            <v>0</v>
          </cell>
        </row>
      </sheetData>
      <sheetData sheetId="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L18"/>
  <sheetViews>
    <sheetView workbookViewId="0">
      <selection activeCell="F4" sqref="F4"/>
    </sheetView>
  </sheetViews>
  <sheetFormatPr baseColWidth="10" defaultColWidth="11.44140625" defaultRowHeight="14.4"/>
  <cols>
    <col min="1" max="1" width="18.33203125" style="1" customWidth="1"/>
    <col min="2" max="2" width="18.5546875" style="1" bestFit="1" customWidth="1"/>
    <col min="3" max="3" width="21" style="1" customWidth="1"/>
    <col min="4" max="4" width="18.109375" style="1" bestFit="1" customWidth="1"/>
    <col min="5" max="5" width="23.109375" style="1" customWidth="1"/>
    <col min="6" max="6" width="11.88671875" style="1" bestFit="1" customWidth="1"/>
    <col min="7" max="7" width="3.88671875" style="1" customWidth="1"/>
    <col min="8" max="8" width="17.5546875" style="1" customWidth="1"/>
    <col min="9" max="9" width="12" style="1" bestFit="1" customWidth="1"/>
    <col min="10" max="11" width="20.6640625" style="1" customWidth="1"/>
  </cols>
  <sheetData>
    <row r="1" spans="1:12">
      <c r="A1" s="39" t="s">
        <v>0</v>
      </c>
      <c r="B1" s="37"/>
      <c r="C1" s="37"/>
      <c r="D1" s="37"/>
      <c r="E1" s="37"/>
      <c r="F1" s="38"/>
      <c r="H1" s="6" t="s">
        <v>1</v>
      </c>
    </row>
    <row r="2" spans="1:12" ht="63.75" customHeight="1">
      <c r="A2" s="5" t="s">
        <v>2</v>
      </c>
      <c r="B2" s="5" t="s">
        <v>3</v>
      </c>
      <c r="C2" s="5" t="s">
        <v>4</v>
      </c>
      <c r="D2" s="5" t="s">
        <v>5</v>
      </c>
      <c r="E2" s="5" t="s">
        <v>6</v>
      </c>
      <c r="F2" s="6" t="s">
        <v>7</v>
      </c>
      <c r="H2" s="16">
        <v>5.1999999999999998E-2</v>
      </c>
    </row>
    <row r="3" spans="1:12">
      <c r="A3" s="17" t="s">
        <v>8</v>
      </c>
      <c r="B3" s="17" t="s">
        <v>9</v>
      </c>
      <c r="C3" s="18">
        <f>116583.13*(1+$H$2)</f>
        <v>122645.45276000001</v>
      </c>
      <c r="D3" s="18">
        <f>186397.63*(1+$H$2)</f>
        <v>196090.30676000001</v>
      </c>
      <c r="E3" s="18">
        <f>36031.04*(1+$H$2)</f>
        <v>37904.65408</v>
      </c>
      <c r="F3" s="18">
        <f>61943.61*(1+$H$2)</f>
        <v>65164.677720000007</v>
      </c>
      <c r="H3" s="2"/>
      <c r="I3" s="2"/>
      <c r="J3" s="2"/>
      <c r="K3" s="2"/>
    </row>
    <row r="4" spans="1:12">
      <c r="A4" s="17" t="s">
        <v>10</v>
      </c>
      <c r="B4" s="17" t="s">
        <v>11</v>
      </c>
      <c r="C4" s="18">
        <f>116583.13*(1+$H$2)</f>
        <v>122645.45276000001</v>
      </c>
      <c r="D4" s="18">
        <f>239830.52*(1+$H$2)</f>
        <v>252301.70704000001</v>
      </c>
      <c r="E4" s="18">
        <f>36031.04*(1+$H$2)</f>
        <v>37904.65408</v>
      </c>
      <c r="F4" s="18">
        <f>61943.61*(1+$H$2)</f>
        <v>65164.677720000007</v>
      </c>
      <c r="H4" s="2"/>
      <c r="I4" s="2"/>
      <c r="J4" s="2"/>
      <c r="K4" s="2"/>
    </row>
    <row r="5" spans="1:12">
      <c r="A5" s="17" t="s">
        <v>12</v>
      </c>
      <c r="B5" s="17" t="s">
        <v>13</v>
      </c>
      <c r="C5" s="18">
        <f>116583.13*(1+$H$2)</f>
        <v>122645.45276000001</v>
      </c>
      <c r="D5" s="18">
        <f>385797.87*(1+$H$2)</f>
        <v>405859.35924000002</v>
      </c>
      <c r="E5" s="18">
        <f>36031.04*(1+$H$2)</f>
        <v>37904.65408</v>
      </c>
      <c r="F5" s="18">
        <f>61943.61*(1+$H$2)</f>
        <v>65164.677720000007</v>
      </c>
      <c r="H5" s="2"/>
      <c r="I5" s="2"/>
      <c r="J5" s="2"/>
      <c r="K5" s="2"/>
    </row>
    <row r="6" spans="1:12">
      <c r="A6" s="17" t="s">
        <v>14</v>
      </c>
      <c r="B6" s="17" t="s">
        <v>15</v>
      </c>
      <c r="C6" s="18">
        <f>116583.13*(1+$H$2)</f>
        <v>122645.45276000001</v>
      </c>
      <c r="D6" s="18">
        <f>579581.34*(1+$H$2)</f>
        <v>609719.56967999996</v>
      </c>
      <c r="E6" s="18">
        <f>36031.04*(1+$H$2)</f>
        <v>37904.65408</v>
      </c>
      <c r="F6" s="18">
        <f>61943.61*(1+$H$2)</f>
        <v>65164.677720000007</v>
      </c>
      <c r="H6" s="2"/>
      <c r="I6" s="2"/>
      <c r="J6" s="2"/>
      <c r="K6" s="2"/>
    </row>
    <row r="7" spans="1:12">
      <c r="A7" s="17" t="s">
        <v>16</v>
      </c>
      <c r="B7" s="17" t="s">
        <v>17</v>
      </c>
      <c r="C7" s="18">
        <f>116583.13*(1+$H$2)</f>
        <v>122645.45276000001</v>
      </c>
      <c r="D7" s="18">
        <f>579581.34*(1+$H$2)</f>
        <v>609719.56967999996</v>
      </c>
      <c r="E7" s="18">
        <f>36031.04*(1+$H$2)</f>
        <v>37904.65408</v>
      </c>
      <c r="F7" s="18">
        <f>61943.61*(1+$H$2)</f>
        <v>65164.677720000007</v>
      </c>
      <c r="H7" s="2"/>
      <c r="I7" s="2"/>
      <c r="J7" s="2"/>
      <c r="K7" s="2"/>
    </row>
    <row r="8" spans="1:12">
      <c r="A8" s="40" t="s">
        <v>18</v>
      </c>
      <c r="B8" s="37"/>
      <c r="C8" s="37"/>
      <c r="D8" s="37"/>
      <c r="E8" s="37"/>
      <c r="F8" s="38"/>
    </row>
    <row r="9" spans="1:12">
      <c r="A9" s="40" t="s">
        <v>19</v>
      </c>
      <c r="B9" s="37"/>
      <c r="C9" s="37"/>
      <c r="D9" s="37"/>
      <c r="E9" s="37"/>
      <c r="F9" s="38"/>
    </row>
    <row r="11" spans="1:12">
      <c r="A11" s="41" t="s">
        <v>20</v>
      </c>
      <c r="B11" s="37"/>
      <c r="C11" s="37"/>
      <c r="D11" s="38"/>
      <c r="E11" s="11"/>
      <c r="F11" s="11"/>
    </row>
    <row r="12" spans="1:12">
      <c r="A12" s="7" t="s">
        <v>2</v>
      </c>
      <c r="B12" s="7" t="s">
        <v>3</v>
      </c>
      <c r="C12" s="7" t="s">
        <v>21</v>
      </c>
      <c r="D12" s="7" t="s">
        <v>22</v>
      </c>
    </row>
    <row r="13" spans="1:12">
      <c r="A13" s="8" t="s">
        <v>8</v>
      </c>
      <c r="B13" s="8" t="s">
        <v>9</v>
      </c>
      <c r="C13" s="19">
        <f>62700.07*(1+$H$2)</f>
        <v>65960.473639999997</v>
      </c>
      <c r="D13" s="19">
        <f>42357.4*(1+$H$2)</f>
        <v>44559.984800000006</v>
      </c>
      <c r="E13" s="2"/>
      <c r="F13" s="2"/>
      <c r="H13" s="2"/>
      <c r="I13" s="2"/>
      <c r="J13" s="2"/>
      <c r="K13" s="2"/>
      <c r="L13" s="2"/>
    </row>
    <row r="14" spans="1:12">
      <c r="A14" s="8" t="s">
        <v>10</v>
      </c>
      <c r="B14" s="8" t="s">
        <v>11</v>
      </c>
      <c r="C14" s="19">
        <f>155716.31*(1+$H$2)</f>
        <v>163813.55812</v>
      </c>
      <c r="D14" s="19">
        <f>127766.53*(1+$H$2)</f>
        <v>134410.38956000001</v>
      </c>
      <c r="E14" s="2"/>
      <c r="F14" s="2"/>
      <c r="H14" s="2"/>
      <c r="I14" s="2"/>
      <c r="J14" s="2"/>
      <c r="K14" s="2"/>
      <c r="L14" s="2"/>
    </row>
    <row r="15" spans="1:12">
      <c r="A15" s="8" t="s">
        <v>12</v>
      </c>
      <c r="B15" s="8" t="s">
        <v>13</v>
      </c>
      <c r="C15" s="19">
        <f>262099.22*(1+$H$2)</f>
        <v>275728.37943999999</v>
      </c>
      <c r="D15" s="19">
        <f>211886.19*(1+$H$2)</f>
        <v>222904.27188000001</v>
      </c>
      <c r="E15" s="2"/>
      <c r="F15" s="2"/>
      <c r="H15" s="2"/>
      <c r="I15" s="2"/>
      <c r="J15" s="2"/>
      <c r="K15" s="2"/>
      <c r="L15" s="2"/>
    </row>
    <row r="16" spans="1:12" ht="15" customHeight="1">
      <c r="A16" s="8" t="s">
        <v>14</v>
      </c>
      <c r="B16" s="8" t="s">
        <v>15</v>
      </c>
      <c r="C16" s="19">
        <f>455883.78*(1+$H$2)</f>
        <v>479589.73656000005</v>
      </c>
      <c r="D16" s="19">
        <f>441833.68*(1+$H$2)</f>
        <v>464809.03136000002</v>
      </c>
      <c r="E16" s="2"/>
      <c r="F16" s="2"/>
      <c r="H16" s="2"/>
      <c r="I16" s="2"/>
      <c r="J16" s="2"/>
      <c r="K16" s="2"/>
      <c r="L16" s="2"/>
    </row>
    <row r="17" spans="1:12" ht="27" customHeight="1">
      <c r="A17" s="8" t="s">
        <v>23</v>
      </c>
      <c r="B17" s="8" t="s">
        <v>24</v>
      </c>
      <c r="C17" s="19">
        <f>455883.78*(1+$H$2)</f>
        <v>479589.73656000005</v>
      </c>
      <c r="D17" s="19">
        <f>441833.68*(1+$H$2)</f>
        <v>464809.03136000002</v>
      </c>
      <c r="E17" s="2"/>
      <c r="F17" s="2"/>
      <c r="H17" s="2"/>
      <c r="I17" s="2"/>
      <c r="J17" s="2"/>
      <c r="K17" s="2"/>
      <c r="L17" s="2"/>
    </row>
    <row r="18" spans="1:12" s="10" customFormat="1" ht="24" customHeight="1">
      <c r="A18" s="36" t="s">
        <v>25</v>
      </c>
      <c r="B18" s="37"/>
      <c r="C18" s="37"/>
      <c r="D18" s="38"/>
      <c r="E18" s="9"/>
    </row>
  </sheetData>
  <mergeCells count="5">
    <mergeCell ref="A18:D18"/>
    <mergeCell ref="A1:F1"/>
    <mergeCell ref="A9:F9"/>
    <mergeCell ref="A8:F8"/>
    <mergeCell ref="A11:D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election activeCell="D10" sqref="D10"/>
    </sheetView>
  </sheetViews>
  <sheetFormatPr baseColWidth="10" defaultColWidth="11.44140625" defaultRowHeight="14.4"/>
  <cols>
    <col min="1" max="1" width="15.33203125" style="4" bestFit="1" customWidth="1"/>
    <col min="2" max="2" width="18.33203125" style="4" bestFit="1" customWidth="1"/>
    <col min="3" max="3" width="30.33203125" style="4" bestFit="1" customWidth="1"/>
    <col min="4" max="4" width="34.109375" style="4" bestFit="1" customWidth="1"/>
    <col min="5" max="5" width="11.44140625" style="4" customWidth="1"/>
    <col min="6" max="16384" width="11.44140625" style="4"/>
  </cols>
  <sheetData>
    <row r="1" spans="1:4">
      <c r="A1" s="3" t="s">
        <v>26</v>
      </c>
      <c r="B1" s="3" t="s">
        <v>27</v>
      </c>
      <c r="C1" s="3" t="s">
        <v>28</v>
      </c>
      <c r="D1" s="3" t="s">
        <v>29</v>
      </c>
    </row>
    <row r="2" spans="1:4">
      <c r="A2" s="12" t="s">
        <v>30</v>
      </c>
      <c r="B2" s="13" t="s">
        <v>31</v>
      </c>
      <c r="C2" s="13" t="s">
        <v>32</v>
      </c>
      <c r="D2" s="13" t="s">
        <v>33</v>
      </c>
    </row>
    <row r="3" spans="1:4">
      <c r="A3" s="14" t="s">
        <v>34</v>
      </c>
      <c r="B3" s="15" t="s">
        <v>35</v>
      </c>
      <c r="C3" s="15" t="s">
        <v>36</v>
      </c>
      <c r="D3" s="15" t="s">
        <v>37</v>
      </c>
    </row>
    <row r="4" spans="1:4">
      <c r="A4" s="14" t="s">
        <v>38</v>
      </c>
      <c r="B4" s="15" t="s">
        <v>39</v>
      </c>
      <c r="C4" s="15" t="s">
        <v>40</v>
      </c>
      <c r="D4" s="15" t="s">
        <v>41</v>
      </c>
    </row>
    <row r="5" spans="1:4">
      <c r="A5" s="14" t="s">
        <v>42</v>
      </c>
      <c r="B5" s="15" t="s">
        <v>43</v>
      </c>
      <c r="C5" s="15" t="s">
        <v>44</v>
      </c>
      <c r="D5" s="15" t="s">
        <v>45</v>
      </c>
    </row>
    <row r="6" spans="1:4">
      <c r="A6" s="14" t="s">
        <v>46</v>
      </c>
      <c r="B6" s="15" t="s">
        <v>47</v>
      </c>
      <c r="C6" s="15" t="s">
        <v>48</v>
      </c>
      <c r="D6" s="15" t="s">
        <v>49</v>
      </c>
    </row>
    <row r="7" spans="1:4">
      <c r="A7" s="14" t="s">
        <v>50</v>
      </c>
      <c r="B7" s="15" t="s">
        <v>35</v>
      </c>
      <c r="C7" s="15" t="s">
        <v>36</v>
      </c>
      <c r="D7" s="15" t="s">
        <v>37</v>
      </c>
    </row>
    <row r="8" spans="1:4">
      <c r="A8" s="14" t="s">
        <v>51</v>
      </c>
      <c r="B8" s="15" t="s">
        <v>43</v>
      </c>
      <c r="C8" s="15" t="s">
        <v>44</v>
      </c>
      <c r="D8" s="15" t="s">
        <v>45</v>
      </c>
    </row>
    <row r="9" spans="1:4">
      <c r="A9" s="14" t="s">
        <v>52</v>
      </c>
      <c r="B9" s="15" t="s">
        <v>53</v>
      </c>
      <c r="C9" s="15" t="s">
        <v>54</v>
      </c>
      <c r="D9" s="15" t="s">
        <v>55</v>
      </c>
    </row>
    <row r="10" spans="1:4">
      <c r="A10" s="14" t="s">
        <v>56</v>
      </c>
      <c r="B10" s="15" t="s">
        <v>53</v>
      </c>
      <c r="C10" s="15" t="s">
        <v>54</v>
      </c>
      <c r="D10" s="15" t="s">
        <v>55</v>
      </c>
    </row>
    <row r="11" spans="1:4">
      <c r="A11" s="14" t="s">
        <v>57</v>
      </c>
      <c r="B11" s="15" t="s">
        <v>58</v>
      </c>
      <c r="C11" s="15" t="s">
        <v>59</v>
      </c>
      <c r="D11" s="15" t="s">
        <v>49</v>
      </c>
    </row>
    <row r="12" spans="1:4">
      <c r="A12" s="14" t="s">
        <v>60</v>
      </c>
      <c r="B12" s="15" t="s">
        <v>31</v>
      </c>
      <c r="C12" s="15" t="s">
        <v>32</v>
      </c>
      <c r="D12" s="15" t="s">
        <v>33</v>
      </c>
    </row>
    <row r="13" spans="1:4">
      <c r="A13" s="14" t="s">
        <v>61</v>
      </c>
      <c r="B13" s="15" t="s">
        <v>35</v>
      </c>
      <c r="C13" s="15" t="s">
        <v>36</v>
      </c>
      <c r="D13" s="15" t="s">
        <v>37</v>
      </c>
    </row>
    <row r="14" spans="1:4">
      <c r="A14" s="14" t="s">
        <v>62</v>
      </c>
      <c r="B14" s="15" t="s">
        <v>53</v>
      </c>
      <c r="C14" s="15" t="s">
        <v>54</v>
      </c>
      <c r="D14" s="15" t="s">
        <v>55</v>
      </c>
    </row>
    <row r="15" spans="1:4">
      <c r="A15" s="14" t="s">
        <v>63</v>
      </c>
      <c r="B15" s="15" t="s">
        <v>47</v>
      </c>
      <c r="C15" s="15" t="s">
        <v>48</v>
      </c>
      <c r="D15" s="15" t="s">
        <v>49</v>
      </c>
    </row>
    <row r="16" spans="1:4">
      <c r="A16" s="14" t="s">
        <v>64</v>
      </c>
      <c r="B16" s="15" t="s">
        <v>58</v>
      </c>
      <c r="C16" s="15" t="s">
        <v>59</v>
      </c>
      <c r="D16" s="15" t="s">
        <v>49</v>
      </c>
    </row>
    <row r="17" spans="1:4">
      <c r="A17" s="14" t="s">
        <v>65</v>
      </c>
      <c r="B17" s="15" t="s">
        <v>47</v>
      </c>
      <c r="C17" s="15" t="s">
        <v>48</v>
      </c>
      <c r="D17" s="15" t="s">
        <v>49</v>
      </c>
    </row>
    <row r="18" spans="1:4">
      <c r="A18" s="14" t="s">
        <v>66</v>
      </c>
      <c r="B18" s="15" t="s">
        <v>35</v>
      </c>
      <c r="C18" s="15" t="s">
        <v>36</v>
      </c>
      <c r="D18" s="15" t="s">
        <v>37</v>
      </c>
    </row>
    <row r="19" spans="1:4">
      <c r="A19" s="14" t="s">
        <v>67</v>
      </c>
      <c r="B19" s="15" t="s">
        <v>35</v>
      </c>
      <c r="C19" s="15" t="s">
        <v>36</v>
      </c>
      <c r="D19" s="15" t="s">
        <v>37</v>
      </c>
    </row>
    <row r="20" spans="1:4">
      <c r="A20" s="14" t="s">
        <v>68</v>
      </c>
      <c r="B20" s="15" t="s">
        <v>43</v>
      </c>
      <c r="C20" s="15" t="s">
        <v>44</v>
      </c>
      <c r="D20" s="15" t="s">
        <v>45</v>
      </c>
    </row>
    <row r="21" spans="1:4">
      <c r="A21" s="14" t="s">
        <v>69</v>
      </c>
      <c r="B21" s="15" t="s">
        <v>35</v>
      </c>
      <c r="C21" s="15" t="s">
        <v>36</v>
      </c>
      <c r="D21" s="15" t="s">
        <v>37</v>
      </c>
    </row>
    <row r="22" spans="1:4">
      <c r="A22" s="14" t="s">
        <v>70</v>
      </c>
      <c r="B22" s="15" t="s">
        <v>53</v>
      </c>
      <c r="C22" s="15" t="s">
        <v>54</v>
      </c>
      <c r="D22" s="15" t="s">
        <v>55</v>
      </c>
    </row>
    <row r="23" spans="1:4">
      <c r="A23" s="14" t="s">
        <v>71</v>
      </c>
      <c r="B23" s="15" t="s">
        <v>53</v>
      </c>
      <c r="C23" s="15" t="s">
        <v>54</v>
      </c>
      <c r="D23" s="15" t="s">
        <v>55</v>
      </c>
    </row>
  </sheetData>
  <autoFilter ref="A1:D23"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68"/>
  <sheetViews>
    <sheetView topLeftCell="Z148" workbookViewId="0">
      <selection activeCell="AB169" sqref="AB169"/>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1" customWidth="1"/>
    <col min="8" max="8" width="39" customWidth="1"/>
    <col min="9" max="9" width="20" customWidth="1"/>
    <col min="10" max="10" width="24" customWidth="1"/>
    <col min="11" max="11" width="32" customWidth="1"/>
    <col min="12" max="12" width="10" customWidth="1"/>
    <col min="13" max="13" width="31" customWidth="1"/>
    <col min="14" max="14" width="21" customWidth="1"/>
    <col min="15" max="15" width="28" customWidth="1"/>
    <col min="16" max="16" width="11" customWidth="1"/>
    <col min="17" max="17" width="15" customWidth="1"/>
    <col min="18" max="18" width="33" customWidth="1"/>
    <col min="19" max="19" width="50" customWidth="1"/>
    <col min="20" max="20" width="19" customWidth="1"/>
    <col min="21" max="21" width="22" customWidth="1"/>
    <col min="22" max="22" width="14" customWidth="1"/>
    <col min="23" max="23" width="18" customWidth="1"/>
    <col min="24" max="24" width="42" customWidth="1"/>
    <col min="25" max="25" width="23" customWidth="1"/>
    <col min="26" max="26" width="25" customWidth="1"/>
    <col min="27" max="27" width="34" style="24" customWidth="1"/>
    <col min="28" max="28" width="13" style="24" customWidth="1"/>
  </cols>
  <sheetData>
    <row r="1" spans="1:28" ht="28.8">
      <c r="A1" s="20" t="s">
        <v>72</v>
      </c>
      <c r="B1" s="20" t="s">
        <v>73</v>
      </c>
      <c r="C1" s="20" t="s">
        <v>74</v>
      </c>
      <c r="D1" s="20" t="s">
        <v>75</v>
      </c>
      <c r="E1" s="20" t="s">
        <v>76</v>
      </c>
      <c r="F1" s="20" t="s">
        <v>77</v>
      </c>
      <c r="G1" s="20" t="s">
        <v>78</v>
      </c>
      <c r="H1" s="20" t="s">
        <v>79</v>
      </c>
      <c r="I1" s="20" t="s">
        <v>80</v>
      </c>
      <c r="J1" s="20" t="s">
        <v>26</v>
      </c>
      <c r="K1" s="20" t="s">
        <v>81</v>
      </c>
      <c r="L1" s="20" t="s">
        <v>82</v>
      </c>
      <c r="M1" s="20" t="s">
        <v>83</v>
      </c>
      <c r="N1" s="20" t="s">
        <v>84</v>
      </c>
      <c r="O1" s="20" t="s">
        <v>85</v>
      </c>
      <c r="P1" s="20" t="s">
        <v>86</v>
      </c>
      <c r="Q1" s="20" t="s">
        <v>87</v>
      </c>
      <c r="R1" s="20" t="s">
        <v>88</v>
      </c>
      <c r="S1" s="20" t="s">
        <v>89</v>
      </c>
      <c r="T1" s="20" t="s">
        <v>90</v>
      </c>
      <c r="U1" s="20" t="s">
        <v>91</v>
      </c>
      <c r="V1" s="20" t="s">
        <v>92</v>
      </c>
      <c r="W1" s="20" t="s">
        <v>93</v>
      </c>
      <c r="X1" s="20" t="s">
        <v>94</v>
      </c>
      <c r="Y1" s="20" t="s">
        <v>95</v>
      </c>
      <c r="Z1" s="20" t="s">
        <v>96</v>
      </c>
      <c r="AA1" s="23" t="s">
        <v>97</v>
      </c>
      <c r="AB1" s="23" t="s">
        <v>98</v>
      </c>
    </row>
    <row r="2" spans="1:28">
      <c r="A2" t="s">
        <v>63</v>
      </c>
      <c r="B2" t="s">
        <v>99</v>
      </c>
      <c r="C2" t="s">
        <v>47</v>
      </c>
      <c r="D2" t="s">
        <v>100</v>
      </c>
      <c r="E2" t="s">
        <v>101</v>
      </c>
      <c r="F2" t="s">
        <v>102</v>
      </c>
      <c r="G2" t="s">
        <v>103</v>
      </c>
      <c r="H2" t="s">
        <v>104</v>
      </c>
      <c r="I2" t="s">
        <v>105</v>
      </c>
      <c r="J2" t="s">
        <v>106</v>
      </c>
      <c r="K2" t="s">
        <v>107</v>
      </c>
      <c r="L2" t="s">
        <v>108</v>
      </c>
      <c r="M2" t="s">
        <v>109</v>
      </c>
      <c r="N2" s="21">
        <v>45924.522916666669</v>
      </c>
      <c r="O2" s="21">
        <v>45931.705960648149</v>
      </c>
      <c r="P2" t="s">
        <v>110</v>
      </c>
      <c r="Q2" t="s">
        <v>111</v>
      </c>
      <c r="R2" t="s">
        <v>112</v>
      </c>
      <c r="S2" t="s">
        <v>113</v>
      </c>
      <c r="T2" t="s">
        <v>114</v>
      </c>
      <c r="U2" t="s">
        <v>115</v>
      </c>
      <c r="V2" t="s">
        <v>116</v>
      </c>
      <c r="W2" t="s">
        <v>117</v>
      </c>
      <c r="X2" t="s">
        <v>118</v>
      </c>
      <c r="Y2" s="22">
        <v>1</v>
      </c>
      <c r="Z2" s="22">
        <v>0</v>
      </c>
      <c r="AA2" s="24">
        <v>122645</v>
      </c>
      <c r="AB2" s="24">
        <v>122645</v>
      </c>
    </row>
    <row r="3" spans="1:28">
      <c r="A3" t="s">
        <v>63</v>
      </c>
      <c r="B3" t="s">
        <v>99</v>
      </c>
      <c r="C3" t="s">
        <v>47</v>
      </c>
      <c r="D3" t="s">
        <v>119</v>
      </c>
      <c r="E3" t="s">
        <v>120</v>
      </c>
      <c r="F3" t="s">
        <v>121</v>
      </c>
      <c r="G3" t="s">
        <v>103</v>
      </c>
      <c r="H3" t="s">
        <v>104</v>
      </c>
      <c r="I3" t="s">
        <v>105</v>
      </c>
      <c r="J3" t="s">
        <v>122</v>
      </c>
      <c r="K3" t="s">
        <v>123</v>
      </c>
      <c r="L3" t="s">
        <v>108</v>
      </c>
      <c r="M3" t="s">
        <v>124</v>
      </c>
      <c r="N3" s="21">
        <v>45924.619444444441</v>
      </c>
      <c r="O3" s="21">
        <v>45931.733287037037</v>
      </c>
      <c r="P3" t="s">
        <v>110</v>
      </c>
      <c r="Q3" t="s">
        <v>111</v>
      </c>
      <c r="R3" t="s">
        <v>112</v>
      </c>
      <c r="S3" t="s">
        <v>125</v>
      </c>
      <c r="T3" t="s">
        <v>114</v>
      </c>
      <c r="U3" t="s">
        <v>126</v>
      </c>
      <c r="V3" t="s">
        <v>116</v>
      </c>
      <c r="W3" t="s">
        <v>117</v>
      </c>
      <c r="X3" t="s">
        <v>127</v>
      </c>
      <c r="Y3" s="22">
        <v>1</v>
      </c>
      <c r="Z3" s="22">
        <v>0</v>
      </c>
      <c r="AA3" s="24">
        <v>122645</v>
      </c>
      <c r="AB3" s="24">
        <v>122645</v>
      </c>
    </row>
    <row r="4" spans="1:28">
      <c r="A4" t="s">
        <v>63</v>
      </c>
      <c r="B4" t="s">
        <v>99</v>
      </c>
      <c r="C4" t="s">
        <v>47</v>
      </c>
      <c r="D4" t="s">
        <v>119</v>
      </c>
      <c r="E4" t="s">
        <v>128</v>
      </c>
      <c r="F4" t="s">
        <v>129</v>
      </c>
      <c r="G4" t="s">
        <v>103</v>
      </c>
      <c r="H4" t="s">
        <v>104</v>
      </c>
      <c r="I4" t="s">
        <v>105</v>
      </c>
      <c r="J4" t="s">
        <v>122</v>
      </c>
      <c r="K4" t="s">
        <v>130</v>
      </c>
      <c r="L4" t="s">
        <v>108</v>
      </c>
      <c r="M4" t="s">
        <v>131</v>
      </c>
      <c r="N4" s="21">
        <v>45924.618750000001</v>
      </c>
      <c r="O4" s="21">
        <v>45932.633101851847</v>
      </c>
      <c r="P4" t="s">
        <v>110</v>
      </c>
      <c r="Q4" t="s">
        <v>111</v>
      </c>
      <c r="R4" t="s">
        <v>112</v>
      </c>
      <c r="S4" t="s">
        <v>132</v>
      </c>
      <c r="T4" t="s">
        <v>114</v>
      </c>
      <c r="U4" t="s">
        <v>133</v>
      </c>
      <c r="V4" t="s">
        <v>116</v>
      </c>
      <c r="W4" t="s">
        <v>117</v>
      </c>
      <c r="X4" t="s">
        <v>127</v>
      </c>
      <c r="Y4" s="22">
        <v>1</v>
      </c>
      <c r="Z4" s="22">
        <v>0</v>
      </c>
      <c r="AA4" s="24">
        <v>122645</v>
      </c>
      <c r="AB4" s="24">
        <v>122645</v>
      </c>
    </row>
    <row r="5" spans="1:28">
      <c r="A5" t="s">
        <v>63</v>
      </c>
      <c r="B5" t="s">
        <v>99</v>
      </c>
      <c r="C5" t="s">
        <v>47</v>
      </c>
      <c r="D5" t="s">
        <v>134</v>
      </c>
      <c r="E5" t="s">
        <v>135</v>
      </c>
      <c r="F5" t="s">
        <v>136</v>
      </c>
      <c r="G5" t="s">
        <v>103</v>
      </c>
      <c r="H5" t="s">
        <v>104</v>
      </c>
      <c r="I5" t="s">
        <v>105</v>
      </c>
      <c r="J5" t="s">
        <v>137</v>
      </c>
      <c r="K5" t="s">
        <v>138</v>
      </c>
      <c r="L5" t="s">
        <v>108</v>
      </c>
      <c r="M5" t="s">
        <v>139</v>
      </c>
      <c r="N5" s="21">
        <v>45924.522916666669</v>
      </c>
      <c r="O5" s="21">
        <v>45931.45857638889</v>
      </c>
      <c r="P5" t="s">
        <v>110</v>
      </c>
      <c r="Q5" t="s">
        <v>111</v>
      </c>
      <c r="R5" t="s">
        <v>112</v>
      </c>
      <c r="S5" t="s">
        <v>140</v>
      </c>
      <c r="T5" t="s">
        <v>114</v>
      </c>
      <c r="U5" t="s">
        <v>141</v>
      </c>
      <c r="V5" t="s">
        <v>116</v>
      </c>
      <c r="W5" t="s">
        <v>117</v>
      </c>
      <c r="X5" t="s">
        <v>118</v>
      </c>
      <c r="Y5" s="22">
        <v>1</v>
      </c>
      <c r="Z5" s="22">
        <v>0</v>
      </c>
      <c r="AA5" s="24">
        <v>122645</v>
      </c>
      <c r="AB5" s="24">
        <v>122645</v>
      </c>
    </row>
    <row r="6" spans="1:28">
      <c r="A6" t="s">
        <v>62</v>
      </c>
      <c r="B6" t="s">
        <v>145</v>
      </c>
      <c r="C6" t="s">
        <v>53</v>
      </c>
      <c r="D6" t="s">
        <v>146</v>
      </c>
      <c r="E6" t="s">
        <v>147</v>
      </c>
      <c r="F6" t="s">
        <v>148</v>
      </c>
      <c r="G6" t="s">
        <v>103</v>
      </c>
      <c r="H6" t="s">
        <v>104</v>
      </c>
      <c r="I6" t="s">
        <v>149</v>
      </c>
      <c r="J6" t="s">
        <v>52</v>
      </c>
      <c r="K6" t="s">
        <v>150</v>
      </c>
      <c r="L6" t="s">
        <v>108</v>
      </c>
      <c r="M6" t="s">
        <v>151</v>
      </c>
      <c r="N6" s="21">
        <v>45929.795138888891</v>
      </c>
      <c r="O6" s="21">
        <v>45931.47797453704</v>
      </c>
      <c r="P6" t="s">
        <v>110</v>
      </c>
      <c r="Q6" t="s">
        <v>111</v>
      </c>
      <c r="R6" t="s">
        <v>112</v>
      </c>
      <c r="S6" t="s">
        <v>152</v>
      </c>
      <c r="T6" t="s">
        <v>114</v>
      </c>
      <c r="U6" t="s">
        <v>153</v>
      </c>
      <c r="V6" t="s">
        <v>116</v>
      </c>
      <c r="W6" t="s">
        <v>117</v>
      </c>
      <c r="X6" t="s">
        <v>154</v>
      </c>
      <c r="Y6" s="22">
        <v>1</v>
      </c>
      <c r="Z6" s="22">
        <v>0</v>
      </c>
      <c r="AA6" s="24">
        <v>122645</v>
      </c>
      <c r="AB6" s="24">
        <v>122645</v>
      </c>
    </row>
    <row r="7" spans="1:28">
      <c r="A7" t="s">
        <v>62</v>
      </c>
      <c r="B7" t="s">
        <v>145</v>
      </c>
      <c r="C7" t="s">
        <v>53</v>
      </c>
      <c r="D7" t="s">
        <v>155</v>
      </c>
      <c r="E7" t="s">
        <v>156</v>
      </c>
      <c r="F7" t="s">
        <v>157</v>
      </c>
      <c r="G7" t="s">
        <v>103</v>
      </c>
      <c r="H7" t="s">
        <v>104</v>
      </c>
      <c r="I7" t="s">
        <v>149</v>
      </c>
      <c r="J7" t="s">
        <v>158</v>
      </c>
      <c r="K7" t="s">
        <v>159</v>
      </c>
      <c r="L7" t="s">
        <v>108</v>
      </c>
      <c r="M7" t="s">
        <v>160</v>
      </c>
      <c r="N7" s="21">
        <v>45929.795138888891</v>
      </c>
      <c r="O7" s="21">
        <v>45933.487233796302</v>
      </c>
      <c r="P7" t="s">
        <v>110</v>
      </c>
      <c r="Q7" t="s">
        <v>111</v>
      </c>
      <c r="R7" t="s">
        <v>112</v>
      </c>
      <c r="S7" t="s">
        <v>161</v>
      </c>
      <c r="T7" t="s">
        <v>114</v>
      </c>
      <c r="U7" t="s">
        <v>162</v>
      </c>
      <c r="V7" t="s">
        <v>163</v>
      </c>
      <c r="W7" t="s">
        <v>117</v>
      </c>
      <c r="X7" t="s">
        <v>154</v>
      </c>
      <c r="Y7" s="22">
        <v>1</v>
      </c>
      <c r="Z7" s="22">
        <v>0</v>
      </c>
      <c r="AA7" s="24">
        <v>122645</v>
      </c>
      <c r="AB7" s="24">
        <v>122645</v>
      </c>
    </row>
    <row r="8" spans="1:28">
      <c r="A8" t="s">
        <v>63</v>
      </c>
      <c r="B8" t="s">
        <v>99</v>
      </c>
      <c r="C8" t="s">
        <v>47</v>
      </c>
      <c r="D8" t="s">
        <v>164</v>
      </c>
      <c r="E8" t="s">
        <v>165</v>
      </c>
      <c r="F8" t="s">
        <v>166</v>
      </c>
      <c r="G8" t="s">
        <v>103</v>
      </c>
      <c r="H8" t="s">
        <v>104</v>
      </c>
      <c r="I8" t="s">
        <v>167</v>
      </c>
      <c r="J8" t="s">
        <v>168</v>
      </c>
      <c r="K8" t="s">
        <v>169</v>
      </c>
      <c r="L8" t="s">
        <v>108</v>
      </c>
      <c r="M8" t="s">
        <v>170</v>
      </c>
      <c r="N8" s="21">
        <v>45929.693749999999</v>
      </c>
      <c r="O8" s="21">
        <v>45931.654861111107</v>
      </c>
      <c r="P8" t="s">
        <v>110</v>
      </c>
      <c r="Q8" t="s">
        <v>111</v>
      </c>
      <c r="R8" t="s">
        <v>112</v>
      </c>
      <c r="S8" t="s">
        <v>171</v>
      </c>
      <c r="T8" t="s">
        <v>114</v>
      </c>
      <c r="U8" t="s">
        <v>172</v>
      </c>
      <c r="V8" t="s">
        <v>173</v>
      </c>
      <c r="W8" t="s">
        <v>117</v>
      </c>
      <c r="X8" t="s">
        <v>174</v>
      </c>
      <c r="Y8" s="22">
        <v>1</v>
      </c>
      <c r="Z8" s="22">
        <v>0</v>
      </c>
      <c r="AA8" s="24">
        <v>122645</v>
      </c>
      <c r="AB8" s="24">
        <v>122645</v>
      </c>
    </row>
    <row r="9" spans="1:28">
      <c r="A9" t="s">
        <v>51</v>
      </c>
      <c r="B9" t="s">
        <v>175</v>
      </c>
      <c r="C9" t="s">
        <v>43</v>
      </c>
      <c r="D9" t="s">
        <v>176</v>
      </c>
      <c r="E9" t="s">
        <v>177</v>
      </c>
      <c r="F9" t="s">
        <v>178</v>
      </c>
      <c r="G9" t="s">
        <v>103</v>
      </c>
      <c r="H9" t="s">
        <v>104</v>
      </c>
      <c r="I9" t="s">
        <v>179</v>
      </c>
      <c r="J9" t="s">
        <v>180</v>
      </c>
      <c r="K9" t="s">
        <v>181</v>
      </c>
      <c r="L9" t="s">
        <v>108</v>
      </c>
      <c r="M9" t="s">
        <v>182</v>
      </c>
      <c r="N9" s="21">
        <v>45929.289583333331</v>
      </c>
      <c r="O9" s="21">
        <v>45932.680219907408</v>
      </c>
      <c r="P9" t="s">
        <v>110</v>
      </c>
      <c r="Q9" t="s">
        <v>111</v>
      </c>
      <c r="R9" t="s">
        <v>112</v>
      </c>
      <c r="S9" t="s">
        <v>183</v>
      </c>
      <c r="T9" t="s">
        <v>114</v>
      </c>
      <c r="U9" t="s">
        <v>184</v>
      </c>
      <c r="V9" t="s">
        <v>116</v>
      </c>
      <c r="W9" t="s">
        <v>117</v>
      </c>
      <c r="X9" t="s">
        <v>185</v>
      </c>
      <c r="Y9" s="22">
        <v>1</v>
      </c>
      <c r="Z9" s="22">
        <v>0</v>
      </c>
      <c r="AA9" s="24">
        <v>122645</v>
      </c>
      <c r="AB9" s="24">
        <v>122645</v>
      </c>
    </row>
    <row r="10" spans="1:28">
      <c r="A10" t="s">
        <v>51</v>
      </c>
      <c r="B10" t="s">
        <v>175</v>
      </c>
      <c r="C10" t="s">
        <v>43</v>
      </c>
      <c r="D10" t="s">
        <v>186</v>
      </c>
      <c r="E10" t="s">
        <v>187</v>
      </c>
      <c r="F10" t="s">
        <v>188</v>
      </c>
      <c r="G10" t="s">
        <v>103</v>
      </c>
      <c r="H10" t="s">
        <v>104</v>
      </c>
      <c r="I10" t="s">
        <v>179</v>
      </c>
      <c r="J10" t="s">
        <v>189</v>
      </c>
      <c r="K10" t="s">
        <v>190</v>
      </c>
      <c r="L10" t="s">
        <v>108</v>
      </c>
      <c r="M10" t="s">
        <v>191</v>
      </c>
      <c r="N10" s="21">
        <v>45929.289583333331</v>
      </c>
      <c r="O10" s="21">
        <v>45933.478391203702</v>
      </c>
      <c r="P10" t="s">
        <v>110</v>
      </c>
      <c r="Q10" t="s">
        <v>111</v>
      </c>
      <c r="R10" t="s">
        <v>112</v>
      </c>
      <c r="S10" t="s">
        <v>192</v>
      </c>
      <c r="T10" t="s">
        <v>114</v>
      </c>
      <c r="U10" t="s">
        <v>193</v>
      </c>
      <c r="V10" t="s">
        <v>116</v>
      </c>
      <c r="W10" t="s">
        <v>117</v>
      </c>
      <c r="X10" t="s">
        <v>185</v>
      </c>
      <c r="Y10" s="22">
        <v>1</v>
      </c>
      <c r="Z10" s="22">
        <v>0</v>
      </c>
      <c r="AA10" s="24">
        <v>122645</v>
      </c>
      <c r="AB10" s="24">
        <v>122645</v>
      </c>
    </row>
    <row r="11" spans="1:28">
      <c r="A11" t="s">
        <v>63</v>
      </c>
      <c r="B11" t="s">
        <v>99</v>
      </c>
      <c r="C11" t="s">
        <v>47</v>
      </c>
      <c r="D11" t="s">
        <v>119</v>
      </c>
      <c r="E11" t="s">
        <v>194</v>
      </c>
      <c r="F11" t="s">
        <v>195</v>
      </c>
      <c r="G11" t="s">
        <v>103</v>
      </c>
      <c r="H11" t="s">
        <v>104</v>
      </c>
      <c r="I11" t="s">
        <v>105</v>
      </c>
      <c r="J11" t="s">
        <v>122</v>
      </c>
      <c r="K11" t="s">
        <v>196</v>
      </c>
      <c r="L11" t="s">
        <v>108</v>
      </c>
      <c r="M11" t="s">
        <v>197</v>
      </c>
      <c r="N11" s="21">
        <v>45929.618055555547</v>
      </c>
      <c r="O11" s="21">
        <v>45932.379791666674</v>
      </c>
      <c r="P11" t="s">
        <v>110</v>
      </c>
      <c r="Q11" t="s">
        <v>111</v>
      </c>
      <c r="R11" t="s">
        <v>112</v>
      </c>
      <c r="S11" t="s">
        <v>198</v>
      </c>
      <c r="T11" t="s">
        <v>114</v>
      </c>
      <c r="U11" t="s">
        <v>199</v>
      </c>
      <c r="V11" t="s">
        <v>116</v>
      </c>
      <c r="W11" t="s">
        <v>117</v>
      </c>
      <c r="X11" t="s">
        <v>127</v>
      </c>
      <c r="Y11" s="22">
        <v>1</v>
      </c>
      <c r="Z11" s="22">
        <v>0</v>
      </c>
      <c r="AA11" s="24">
        <v>122645</v>
      </c>
      <c r="AB11" s="24">
        <v>122645</v>
      </c>
    </row>
    <row r="12" spans="1:28">
      <c r="A12" t="s">
        <v>60</v>
      </c>
      <c r="B12" t="s">
        <v>200</v>
      </c>
      <c r="C12" t="s">
        <v>31</v>
      </c>
      <c r="D12" t="s">
        <v>201</v>
      </c>
      <c r="E12" t="s">
        <v>202</v>
      </c>
      <c r="F12" t="s">
        <v>203</v>
      </c>
      <c r="G12" t="s">
        <v>103</v>
      </c>
      <c r="H12" t="s">
        <v>104</v>
      </c>
      <c r="I12" t="s">
        <v>204</v>
      </c>
      <c r="J12" t="s">
        <v>60</v>
      </c>
      <c r="K12" t="s">
        <v>205</v>
      </c>
      <c r="L12" t="s">
        <v>108</v>
      </c>
      <c r="M12" t="s">
        <v>206</v>
      </c>
      <c r="N12" s="21">
        <v>45931.706250000003</v>
      </c>
      <c r="O12" s="21">
        <v>45933.516967592594</v>
      </c>
      <c r="P12" t="s">
        <v>110</v>
      </c>
      <c r="Q12" t="s">
        <v>111</v>
      </c>
      <c r="R12" t="s">
        <v>112</v>
      </c>
      <c r="S12" t="s">
        <v>207</v>
      </c>
      <c r="T12" t="s">
        <v>114</v>
      </c>
      <c r="U12" t="s">
        <v>208</v>
      </c>
      <c r="V12" t="s">
        <v>144</v>
      </c>
      <c r="W12" t="s">
        <v>117</v>
      </c>
      <c r="X12" t="s">
        <v>209</v>
      </c>
      <c r="Y12" s="22">
        <v>1</v>
      </c>
      <c r="Z12" s="22">
        <v>0</v>
      </c>
      <c r="AA12" s="24">
        <v>122645</v>
      </c>
      <c r="AB12" s="24">
        <v>122645</v>
      </c>
    </row>
    <row r="13" spans="1:28">
      <c r="A13" t="s">
        <v>60</v>
      </c>
      <c r="B13" t="s">
        <v>200</v>
      </c>
      <c r="C13" t="s">
        <v>31</v>
      </c>
      <c r="D13" t="s">
        <v>201</v>
      </c>
      <c r="E13" t="s">
        <v>210</v>
      </c>
      <c r="F13" t="s">
        <v>211</v>
      </c>
      <c r="G13" t="s">
        <v>103</v>
      </c>
      <c r="H13" t="s">
        <v>104</v>
      </c>
      <c r="I13" t="s">
        <v>204</v>
      </c>
      <c r="J13" t="s">
        <v>60</v>
      </c>
      <c r="K13" t="s">
        <v>212</v>
      </c>
      <c r="L13" t="s">
        <v>108</v>
      </c>
      <c r="M13" t="s">
        <v>213</v>
      </c>
      <c r="N13" s="21">
        <v>45931.706250000003</v>
      </c>
      <c r="O13" s="21">
        <v>45933.707187499997</v>
      </c>
      <c r="P13" t="s">
        <v>110</v>
      </c>
      <c r="Q13" t="s">
        <v>111</v>
      </c>
      <c r="R13" t="s">
        <v>112</v>
      </c>
      <c r="S13" t="s">
        <v>207</v>
      </c>
      <c r="T13" t="s">
        <v>114</v>
      </c>
      <c r="U13" t="s">
        <v>214</v>
      </c>
      <c r="V13" t="s">
        <v>144</v>
      </c>
      <c r="W13" t="s">
        <v>117</v>
      </c>
      <c r="X13" t="s">
        <v>209</v>
      </c>
      <c r="Y13" s="22">
        <v>1</v>
      </c>
      <c r="Z13" s="22">
        <v>0</v>
      </c>
      <c r="AA13" s="24">
        <v>122645</v>
      </c>
      <c r="AB13" s="24">
        <v>122645</v>
      </c>
    </row>
    <row r="14" spans="1:28">
      <c r="A14" t="s">
        <v>60</v>
      </c>
      <c r="B14" t="s">
        <v>200</v>
      </c>
      <c r="C14" t="s">
        <v>31</v>
      </c>
      <c r="D14" t="s">
        <v>215</v>
      </c>
      <c r="E14" t="s">
        <v>216</v>
      </c>
      <c r="F14" t="s">
        <v>217</v>
      </c>
      <c r="G14" t="s">
        <v>103</v>
      </c>
      <c r="H14" t="s">
        <v>104</v>
      </c>
      <c r="I14" t="s">
        <v>204</v>
      </c>
      <c r="J14" t="s">
        <v>218</v>
      </c>
      <c r="K14" t="s">
        <v>219</v>
      </c>
      <c r="L14" t="s">
        <v>108</v>
      </c>
      <c r="M14" t="s">
        <v>220</v>
      </c>
      <c r="N14" s="21">
        <v>45931.706250000003</v>
      </c>
      <c r="O14" s="21">
        <v>45933.599224537043</v>
      </c>
      <c r="P14" t="s">
        <v>110</v>
      </c>
      <c r="Q14" t="s">
        <v>111</v>
      </c>
      <c r="R14" t="s">
        <v>112</v>
      </c>
      <c r="S14" t="s">
        <v>221</v>
      </c>
      <c r="T14" t="s">
        <v>114</v>
      </c>
      <c r="U14" t="s">
        <v>222</v>
      </c>
      <c r="V14" t="s">
        <v>144</v>
      </c>
      <c r="W14" t="s">
        <v>117</v>
      </c>
      <c r="X14" t="s">
        <v>223</v>
      </c>
      <c r="Y14" s="22">
        <v>1</v>
      </c>
      <c r="Z14" s="22">
        <v>0</v>
      </c>
      <c r="AA14" s="24">
        <v>122645</v>
      </c>
      <c r="AB14" s="24">
        <v>122645</v>
      </c>
    </row>
    <row r="15" spans="1:28">
      <c r="A15" t="s">
        <v>30</v>
      </c>
      <c r="B15" t="s">
        <v>200</v>
      </c>
      <c r="C15" t="s">
        <v>31</v>
      </c>
      <c r="D15" t="s">
        <v>224</v>
      </c>
      <c r="E15" t="s">
        <v>225</v>
      </c>
      <c r="F15" t="s">
        <v>226</v>
      </c>
      <c r="G15" t="s">
        <v>103</v>
      </c>
      <c r="H15" t="s">
        <v>104</v>
      </c>
      <c r="I15" t="s">
        <v>204</v>
      </c>
      <c r="J15" t="s">
        <v>227</v>
      </c>
      <c r="K15" t="s">
        <v>228</v>
      </c>
      <c r="L15" t="s">
        <v>108</v>
      </c>
      <c r="M15" t="s">
        <v>229</v>
      </c>
      <c r="N15" s="21">
        <v>45931.706250000003</v>
      </c>
      <c r="O15" s="21">
        <v>45932.656701388893</v>
      </c>
      <c r="P15" t="s">
        <v>110</v>
      </c>
      <c r="Q15" t="s">
        <v>111</v>
      </c>
      <c r="R15" t="s">
        <v>112</v>
      </c>
      <c r="S15" t="s">
        <v>230</v>
      </c>
      <c r="T15" t="s">
        <v>114</v>
      </c>
      <c r="U15" t="s">
        <v>231</v>
      </c>
      <c r="V15" t="s">
        <v>232</v>
      </c>
      <c r="W15" t="s">
        <v>117</v>
      </c>
      <c r="X15" t="s">
        <v>233</v>
      </c>
      <c r="Y15" s="22">
        <v>1</v>
      </c>
      <c r="Z15" s="22">
        <v>0</v>
      </c>
      <c r="AA15" s="24">
        <v>122645</v>
      </c>
      <c r="AB15" s="24">
        <v>122645</v>
      </c>
    </row>
    <row r="16" spans="1:28">
      <c r="A16" t="s">
        <v>60</v>
      </c>
      <c r="B16" t="s">
        <v>200</v>
      </c>
      <c r="C16" t="s">
        <v>31</v>
      </c>
      <c r="D16" t="s">
        <v>234</v>
      </c>
      <c r="E16" t="s">
        <v>235</v>
      </c>
      <c r="F16" t="s">
        <v>236</v>
      </c>
      <c r="G16" t="s">
        <v>103</v>
      </c>
      <c r="H16" t="s">
        <v>104</v>
      </c>
      <c r="I16" t="s">
        <v>204</v>
      </c>
      <c r="J16" t="s">
        <v>237</v>
      </c>
      <c r="K16" t="s">
        <v>238</v>
      </c>
      <c r="L16" t="s">
        <v>108</v>
      </c>
      <c r="M16" t="s">
        <v>239</v>
      </c>
      <c r="N16" s="21">
        <v>45931.706944444442</v>
      </c>
      <c r="O16" s="21">
        <v>45936.609722222223</v>
      </c>
      <c r="P16" t="s">
        <v>110</v>
      </c>
      <c r="Q16" t="s">
        <v>111</v>
      </c>
      <c r="R16" t="s">
        <v>240</v>
      </c>
      <c r="S16" t="s">
        <v>241</v>
      </c>
      <c r="T16" t="s">
        <v>114</v>
      </c>
      <c r="U16" t="s">
        <v>242</v>
      </c>
      <c r="V16" t="s">
        <v>144</v>
      </c>
      <c r="W16" t="s">
        <v>117</v>
      </c>
      <c r="X16" t="s">
        <v>243</v>
      </c>
      <c r="Y16" s="22">
        <v>1</v>
      </c>
      <c r="Z16" s="22">
        <v>0</v>
      </c>
      <c r="AA16" s="24">
        <v>122645</v>
      </c>
      <c r="AB16" s="24">
        <v>122645</v>
      </c>
    </row>
    <row r="17" spans="1:28">
      <c r="A17" t="s">
        <v>60</v>
      </c>
      <c r="B17" t="s">
        <v>200</v>
      </c>
      <c r="C17" t="s">
        <v>31</v>
      </c>
      <c r="D17" t="s">
        <v>244</v>
      </c>
      <c r="E17" t="s">
        <v>245</v>
      </c>
      <c r="F17" t="s">
        <v>246</v>
      </c>
      <c r="G17" t="s">
        <v>103</v>
      </c>
      <c r="H17" t="s">
        <v>104</v>
      </c>
      <c r="I17" t="s">
        <v>204</v>
      </c>
      <c r="J17" t="s">
        <v>247</v>
      </c>
      <c r="K17" t="s">
        <v>248</v>
      </c>
      <c r="L17" t="s">
        <v>108</v>
      </c>
      <c r="M17" t="s">
        <v>249</v>
      </c>
      <c r="N17" s="21">
        <v>45931.706944444442</v>
      </c>
      <c r="O17" s="21">
        <v>45933.672627314823</v>
      </c>
      <c r="P17" t="s">
        <v>110</v>
      </c>
      <c r="Q17" t="s">
        <v>111</v>
      </c>
      <c r="R17" t="s">
        <v>112</v>
      </c>
      <c r="S17" t="s">
        <v>250</v>
      </c>
      <c r="T17" t="s">
        <v>114</v>
      </c>
      <c r="U17" t="s">
        <v>251</v>
      </c>
      <c r="V17" t="s">
        <v>116</v>
      </c>
      <c r="W17" t="s">
        <v>117</v>
      </c>
      <c r="X17" t="s">
        <v>252</v>
      </c>
      <c r="Y17" s="22">
        <v>1</v>
      </c>
      <c r="Z17" s="22">
        <v>0</v>
      </c>
      <c r="AA17" s="24">
        <v>122645</v>
      </c>
      <c r="AB17" s="24">
        <v>122645</v>
      </c>
    </row>
    <row r="18" spans="1:28">
      <c r="A18" t="s">
        <v>60</v>
      </c>
      <c r="B18" t="s">
        <v>200</v>
      </c>
      <c r="C18" t="s">
        <v>31</v>
      </c>
      <c r="D18" t="s">
        <v>253</v>
      </c>
      <c r="E18" t="s">
        <v>254</v>
      </c>
      <c r="F18" t="s">
        <v>255</v>
      </c>
      <c r="G18" t="s">
        <v>103</v>
      </c>
      <c r="H18" t="s">
        <v>104</v>
      </c>
      <c r="I18" t="s">
        <v>204</v>
      </c>
      <c r="J18" t="s">
        <v>256</v>
      </c>
      <c r="K18" t="s">
        <v>257</v>
      </c>
      <c r="L18" t="s">
        <v>108</v>
      </c>
      <c r="M18" t="s">
        <v>258</v>
      </c>
      <c r="N18" s="21">
        <v>45931.706250000003</v>
      </c>
      <c r="O18" s="21">
        <v>45933.582905092589</v>
      </c>
      <c r="P18" t="s">
        <v>110</v>
      </c>
      <c r="Q18" t="s">
        <v>111</v>
      </c>
      <c r="R18" t="s">
        <v>112</v>
      </c>
      <c r="S18" t="s">
        <v>259</v>
      </c>
      <c r="T18" t="s">
        <v>114</v>
      </c>
      <c r="U18" t="s">
        <v>260</v>
      </c>
      <c r="V18" t="s">
        <v>173</v>
      </c>
      <c r="W18" t="s">
        <v>117</v>
      </c>
      <c r="X18" t="s">
        <v>261</v>
      </c>
      <c r="Y18" s="22">
        <v>1</v>
      </c>
      <c r="Z18" s="22">
        <v>0</v>
      </c>
      <c r="AA18" s="24">
        <v>122645</v>
      </c>
      <c r="AB18" s="24">
        <v>122645</v>
      </c>
    </row>
    <row r="19" spans="1:28">
      <c r="A19" t="s">
        <v>60</v>
      </c>
      <c r="B19" t="s">
        <v>200</v>
      </c>
      <c r="C19" t="s">
        <v>31</v>
      </c>
      <c r="D19" t="s">
        <v>262</v>
      </c>
      <c r="E19" t="s">
        <v>263</v>
      </c>
      <c r="F19" t="s">
        <v>264</v>
      </c>
      <c r="G19" t="s">
        <v>103</v>
      </c>
      <c r="H19" t="s">
        <v>104</v>
      </c>
      <c r="I19" t="s">
        <v>265</v>
      </c>
      <c r="J19" t="s">
        <v>266</v>
      </c>
      <c r="K19" t="s">
        <v>267</v>
      </c>
      <c r="L19" t="s">
        <v>108</v>
      </c>
      <c r="M19" t="s">
        <v>268</v>
      </c>
      <c r="N19" s="21">
        <v>45931.706250000003</v>
      </c>
      <c r="O19" s="21">
        <v>45932.674699074072</v>
      </c>
      <c r="P19" t="s">
        <v>110</v>
      </c>
      <c r="Q19" t="s">
        <v>111</v>
      </c>
      <c r="R19" t="s">
        <v>112</v>
      </c>
      <c r="S19" t="s">
        <v>269</v>
      </c>
      <c r="T19" t="s">
        <v>114</v>
      </c>
      <c r="U19" t="s">
        <v>270</v>
      </c>
      <c r="V19" t="s">
        <v>116</v>
      </c>
      <c r="W19" t="s">
        <v>117</v>
      </c>
      <c r="X19" t="s">
        <v>271</v>
      </c>
      <c r="Y19" s="22">
        <v>1</v>
      </c>
      <c r="Z19" s="22">
        <v>0</v>
      </c>
      <c r="AA19" s="24">
        <v>122645</v>
      </c>
      <c r="AB19" s="24">
        <v>122645</v>
      </c>
    </row>
    <row r="20" spans="1:28">
      <c r="A20" t="s">
        <v>57</v>
      </c>
      <c r="B20" t="s">
        <v>99</v>
      </c>
      <c r="C20" t="s">
        <v>58</v>
      </c>
      <c r="D20" t="s">
        <v>272</v>
      </c>
      <c r="E20" t="s">
        <v>273</v>
      </c>
      <c r="F20" t="s">
        <v>274</v>
      </c>
      <c r="G20" t="s">
        <v>103</v>
      </c>
      <c r="H20" t="s">
        <v>104</v>
      </c>
      <c r="I20" t="s">
        <v>275</v>
      </c>
      <c r="J20" t="s">
        <v>276</v>
      </c>
      <c r="K20" t="s">
        <v>277</v>
      </c>
      <c r="L20" t="s">
        <v>108</v>
      </c>
      <c r="M20" t="s">
        <v>278</v>
      </c>
      <c r="N20" s="21">
        <v>45931.706250000003</v>
      </c>
      <c r="O20" s="21">
        <v>45932.612372685187</v>
      </c>
      <c r="P20" t="s">
        <v>110</v>
      </c>
      <c r="Q20" t="s">
        <v>111</v>
      </c>
      <c r="R20" t="s">
        <v>112</v>
      </c>
      <c r="S20" t="s">
        <v>279</v>
      </c>
      <c r="T20" t="s">
        <v>114</v>
      </c>
      <c r="U20" t="s">
        <v>280</v>
      </c>
      <c r="V20" t="s">
        <v>232</v>
      </c>
      <c r="W20" t="s">
        <v>117</v>
      </c>
      <c r="X20" t="s">
        <v>281</v>
      </c>
      <c r="Y20" s="22">
        <v>1</v>
      </c>
      <c r="Z20" s="22">
        <v>0</v>
      </c>
      <c r="AA20" s="24">
        <v>122645</v>
      </c>
      <c r="AB20" s="24">
        <v>122645</v>
      </c>
    </row>
    <row r="21" spans="1:28">
      <c r="A21" t="s">
        <v>42</v>
      </c>
      <c r="B21" t="s">
        <v>175</v>
      </c>
      <c r="C21" t="s">
        <v>43</v>
      </c>
      <c r="D21" t="s">
        <v>282</v>
      </c>
      <c r="E21" t="s">
        <v>283</v>
      </c>
      <c r="F21" t="s">
        <v>284</v>
      </c>
      <c r="G21" t="s">
        <v>103</v>
      </c>
      <c r="H21" t="s">
        <v>104</v>
      </c>
      <c r="I21" t="s">
        <v>285</v>
      </c>
      <c r="J21" t="s">
        <v>286</v>
      </c>
      <c r="K21" t="s">
        <v>287</v>
      </c>
      <c r="L21" t="s">
        <v>108</v>
      </c>
      <c r="M21" t="s">
        <v>288</v>
      </c>
      <c r="N21" s="21">
        <v>45931.703472222223</v>
      </c>
      <c r="O21" s="21">
        <v>45932.736493055563</v>
      </c>
      <c r="P21" t="s">
        <v>110</v>
      </c>
      <c r="Q21" t="s">
        <v>111</v>
      </c>
      <c r="R21" t="s">
        <v>112</v>
      </c>
      <c r="S21" t="s">
        <v>289</v>
      </c>
      <c r="T21" t="s">
        <v>114</v>
      </c>
      <c r="U21" t="s">
        <v>290</v>
      </c>
      <c r="V21" t="s">
        <v>173</v>
      </c>
      <c r="W21" t="s">
        <v>117</v>
      </c>
      <c r="X21" t="s">
        <v>291</v>
      </c>
      <c r="Y21" s="22">
        <v>1</v>
      </c>
      <c r="Z21" s="22">
        <v>0</v>
      </c>
      <c r="AA21" s="24">
        <v>122645</v>
      </c>
      <c r="AB21" s="24">
        <v>122645</v>
      </c>
    </row>
    <row r="22" spans="1:28">
      <c r="A22" t="s">
        <v>61</v>
      </c>
      <c r="B22" t="s">
        <v>142</v>
      </c>
      <c r="C22" t="s">
        <v>35</v>
      </c>
      <c r="D22" t="s">
        <v>292</v>
      </c>
      <c r="E22" t="s">
        <v>293</v>
      </c>
      <c r="F22" t="s">
        <v>294</v>
      </c>
      <c r="G22" t="s">
        <v>103</v>
      </c>
      <c r="H22" t="s">
        <v>104</v>
      </c>
      <c r="I22" t="s">
        <v>295</v>
      </c>
      <c r="J22" t="s">
        <v>61</v>
      </c>
      <c r="K22" t="s">
        <v>296</v>
      </c>
      <c r="L22" t="s">
        <v>108</v>
      </c>
      <c r="M22" t="s">
        <v>297</v>
      </c>
      <c r="N22" s="21">
        <v>45931.612500000003</v>
      </c>
      <c r="O22" s="21">
        <v>45932.599293981482</v>
      </c>
      <c r="P22" t="s">
        <v>110</v>
      </c>
      <c r="Q22" t="s">
        <v>111</v>
      </c>
      <c r="R22" t="s">
        <v>112</v>
      </c>
      <c r="S22" t="s">
        <v>298</v>
      </c>
      <c r="T22" t="s">
        <v>114</v>
      </c>
      <c r="U22" t="s">
        <v>299</v>
      </c>
      <c r="V22" t="s">
        <v>144</v>
      </c>
      <c r="W22" t="s">
        <v>117</v>
      </c>
      <c r="X22" t="s">
        <v>300</v>
      </c>
      <c r="Y22" s="22">
        <v>1</v>
      </c>
      <c r="Z22" s="22">
        <v>0</v>
      </c>
      <c r="AA22" s="24">
        <v>122645</v>
      </c>
      <c r="AB22" s="24">
        <v>122645</v>
      </c>
    </row>
    <row r="23" spans="1:28">
      <c r="A23" t="s">
        <v>61</v>
      </c>
      <c r="B23" t="s">
        <v>142</v>
      </c>
      <c r="C23" t="s">
        <v>35</v>
      </c>
      <c r="D23" t="s">
        <v>301</v>
      </c>
      <c r="E23" t="s">
        <v>302</v>
      </c>
      <c r="F23" t="s">
        <v>303</v>
      </c>
      <c r="G23" t="s">
        <v>103</v>
      </c>
      <c r="H23" t="s">
        <v>104</v>
      </c>
      <c r="I23" t="s">
        <v>295</v>
      </c>
      <c r="J23" t="s">
        <v>304</v>
      </c>
      <c r="K23" t="s">
        <v>305</v>
      </c>
      <c r="L23" t="s">
        <v>108</v>
      </c>
      <c r="M23" t="s">
        <v>306</v>
      </c>
      <c r="N23" s="21">
        <v>45931.612500000003</v>
      </c>
      <c r="O23" s="21">
        <v>45933.555601851847</v>
      </c>
      <c r="P23" t="s">
        <v>110</v>
      </c>
      <c r="Q23" t="s">
        <v>111</v>
      </c>
      <c r="R23" t="s">
        <v>112</v>
      </c>
      <c r="S23" t="s">
        <v>307</v>
      </c>
      <c r="T23" t="s">
        <v>114</v>
      </c>
      <c r="U23" t="s">
        <v>308</v>
      </c>
      <c r="V23" t="s">
        <v>232</v>
      </c>
      <c r="W23" t="s">
        <v>117</v>
      </c>
      <c r="X23" t="s">
        <v>300</v>
      </c>
      <c r="Y23" s="22">
        <v>1</v>
      </c>
      <c r="Z23" s="22">
        <v>0</v>
      </c>
      <c r="AA23" s="24">
        <v>122645</v>
      </c>
      <c r="AB23" s="24">
        <v>122645</v>
      </c>
    </row>
    <row r="24" spans="1:28">
      <c r="A24" t="s">
        <v>63</v>
      </c>
      <c r="B24" t="s">
        <v>99</v>
      </c>
      <c r="C24" t="s">
        <v>47</v>
      </c>
      <c r="D24" t="s">
        <v>309</v>
      </c>
      <c r="E24" t="s">
        <v>310</v>
      </c>
      <c r="F24" t="s">
        <v>311</v>
      </c>
      <c r="G24" t="s">
        <v>103</v>
      </c>
      <c r="H24" t="s">
        <v>104</v>
      </c>
      <c r="I24" t="s">
        <v>167</v>
      </c>
      <c r="J24" t="s">
        <v>312</v>
      </c>
      <c r="K24" t="s">
        <v>313</v>
      </c>
      <c r="L24" t="s">
        <v>108</v>
      </c>
      <c r="M24" t="s">
        <v>314</v>
      </c>
      <c r="N24" s="21">
        <v>45931.643750000003</v>
      </c>
      <c r="O24" s="21">
        <v>45933.608194444438</v>
      </c>
      <c r="P24" t="s">
        <v>110</v>
      </c>
      <c r="Q24" t="s">
        <v>111</v>
      </c>
      <c r="R24" t="s">
        <v>112</v>
      </c>
      <c r="S24" t="s">
        <v>315</v>
      </c>
      <c r="T24" t="s">
        <v>114</v>
      </c>
      <c r="U24" t="s">
        <v>316</v>
      </c>
      <c r="V24" t="s">
        <v>173</v>
      </c>
      <c r="W24" t="s">
        <v>117</v>
      </c>
      <c r="X24" t="s">
        <v>174</v>
      </c>
      <c r="Y24" s="22">
        <v>1</v>
      </c>
      <c r="Z24" s="22">
        <v>0</v>
      </c>
      <c r="AA24" s="24">
        <v>122645</v>
      </c>
      <c r="AB24" s="24">
        <v>122645</v>
      </c>
    </row>
    <row r="25" spans="1:28">
      <c r="A25" t="s">
        <v>42</v>
      </c>
      <c r="B25" t="s">
        <v>175</v>
      </c>
      <c r="C25" t="s">
        <v>43</v>
      </c>
      <c r="D25" t="s">
        <v>317</v>
      </c>
      <c r="E25" t="s">
        <v>318</v>
      </c>
      <c r="F25" t="s">
        <v>319</v>
      </c>
      <c r="G25" t="s">
        <v>103</v>
      </c>
      <c r="H25" t="s">
        <v>104</v>
      </c>
      <c r="I25" t="s">
        <v>320</v>
      </c>
      <c r="J25" t="s">
        <v>42</v>
      </c>
      <c r="K25" t="s">
        <v>321</v>
      </c>
      <c r="L25" t="s">
        <v>108</v>
      </c>
      <c r="M25" t="s">
        <v>322</v>
      </c>
      <c r="N25" s="21">
        <v>45931.703472222223</v>
      </c>
      <c r="O25" s="21">
        <v>45932.550416666672</v>
      </c>
      <c r="P25" t="s">
        <v>110</v>
      </c>
      <c r="Q25" t="s">
        <v>111</v>
      </c>
      <c r="R25" t="s">
        <v>112</v>
      </c>
      <c r="S25" t="s">
        <v>323</v>
      </c>
      <c r="T25" t="s">
        <v>114</v>
      </c>
      <c r="U25" t="s">
        <v>324</v>
      </c>
      <c r="V25" t="s">
        <v>144</v>
      </c>
      <c r="W25" t="s">
        <v>117</v>
      </c>
      <c r="X25" t="s">
        <v>325</v>
      </c>
      <c r="Y25" s="22">
        <v>1</v>
      </c>
      <c r="Z25" s="22">
        <v>0</v>
      </c>
      <c r="AA25" s="24">
        <v>122645</v>
      </c>
      <c r="AB25" s="24">
        <v>122645</v>
      </c>
    </row>
    <row r="26" spans="1:28">
      <c r="A26" t="s">
        <v>42</v>
      </c>
      <c r="B26" t="s">
        <v>175</v>
      </c>
      <c r="C26" t="s">
        <v>43</v>
      </c>
      <c r="D26" t="s">
        <v>326</v>
      </c>
      <c r="E26" t="s">
        <v>327</v>
      </c>
      <c r="F26" t="s">
        <v>328</v>
      </c>
      <c r="G26" t="s">
        <v>103</v>
      </c>
      <c r="H26" t="s">
        <v>104</v>
      </c>
      <c r="I26" t="s">
        <v>320</v>
      </c>
      <c r="J26" t="s">
        <v>329</v>
      </c>
      <c r="K26" t="s">
        <v>330</v>
      </c>
      <c r="L26" t="s">
        <v>108</v>
      </c>
      <c r="M26" t="s">
        <v>331</v>
      </c>
      <c r="N26" s="21">
        <v>45931.703472222223</v>
      </c>
      <c r="O26" s="21">
        <v>45932.472800925927</v>
      </c>
      <c r="P26" t="s">
        <v>110</v>
      </c>
      <c r="Q26" t="s">
        <v>111</v>
      </c>
      <c r="R26" t="s">
        <v>112</v>
      </c>
      <c r="S26" t="s">
        <v>332</v>
      </c>
      <c r="T26" t="s">
        <v>114</v>
      </c>
      <c r="U26" t="s">
        <v>333</v>
      </c>
      <c r="V26" t="s">
        <v>144</v>
      </c>
      <c r="W26" t="s">
        <v>117</v>
      </c>
      <c r="X26" t="s">
        <v>334</v>
      </c>
      <c r="Y26" s="22">
        <v>1</v>
      </c>
      <c r="Z26" s="22">
        <v>0</v>
      </c>
      <c r="AA26" s="24">
        <v>122645</v>
      </c>
      <c r="AB26" s="24">
        <v>122645</v>
      </c>
    </row>
    <row r="27" spans="1:28">
      <c r="A27" t="s">
        <v>46</v>
      </c>
      <c r="B27" t="s">
        <v>99</v>
      </c>
      <c r="C27" t="s">
        <v>47</v>
      </c>
      <c r="D27" t="s">
        <v>335</v>
      </c>
      <c r="E27" t="s">
        <v>336</v>
      </c>
      <c r="F27" t="s">
        <v>337</v>
      </c>
      <c r="G27" t="s">
        <v>103</v>
      </c>
      <c r="H27" t="s">
        <v>104</v>
      </c>
      <c r="I27" t="s">
        <v>338</v>
      </c>
      <c r="J27" t="s">
        <v>46</v>
      </c>
      <c r="K27" t="s">
        <v>339</v>
      </c>
      <c r="L27" t="s">
        <v>108</v>
      </c>
      <c r="M27" t="s">
        <v>340</v>
      </c>
      <c r="N27" s="21">
        <v>45931.727777777778</v>
      </c>
      <c r="O27" s="21">
        <v>45932.531099537038</v>
      </c>
      <c r="P27" t="s">
        <v>110</v>
      </c>
      <c r="Q27" t="s">
        <v>111</v>
      </c>
      <c r="R27" t="s">
        <v>112</v>
      </c>
      <c r="S27" t="s">
        <v>341</v>
      </c>
      <c r="T27" t="s">
        <v>114</v>
      </c>
      <c r="U27" t="s">
        <v>342</v>
      </c>
      <c r="V27" t="s">
        <v>144</v>
      </c>
      <c r="W27" t="s">
        <v>117</v>
      </c>
      <c r="X27" t="s">
        <v>343</v>
      </c>
      <c r="Y27" s="22">
        <v>1</v>
      </c>
      <c r="Z27" s="22">
        <v>0</v>
      </c>
      <c r="AA27" s="24">
        <v>122645</v>
      </c>
      <c r="AB27" s="24">
        <v>122645</v>
      </c>
    </row>
    <row r="28" spans="1:28">
      <c r="A28" t="s">
        <v>46</v>
      </c>
      <c r="B28" t="s">
        <v>99</v>
      </c>
      <c r="C28" t="s">
        <v>47</v>
      </c>
      <c r="D28" t="s">
        <v>335</v>
      </c>
      <c r="E28" t="s">
        <v>344</v>
      </c>
      <c r="F28" t="s">
        <v>345</v>
      </c>
      <c r="G28" t="s">
        <v>103</v>
      </c>
      <c r="H28" t="s">
        <v>104</v>
      </c>
      <c r="I28" t="s">
        <v>338</v>
      </c>
      <c r="J28" t="s">
        <v>46</v>
      </c>
      <c r="K28" t="s">
        <v>346</v>
      </c>
      <c r="L28" t="s">
        <v>108</v>
      </c>
      <c r="M28" t="s">
        <v>347</v>
      </c>
      <c r="N28" s="21">
        <v>45931.743055555547</v>
      </c>
      <c r="O28" s="21">
        <v>45933.730104166672</v>
      </c>
      <c r="P28" t="s">
        <v>110</v>
      </c>
      <c r="Q28" t="s">
        <v>111</v>
      </c>
      <c r="R28" t="s">
        <v>112</v>
      </c>
      <c r="S28" t="s">
        <v>348</v>
      </c>
      <c r="T28" t="s">
        <v>114</v>
      </c>
      <c r="U28" t="s">
        <v>349</v>
      </c>
      <c r="V28" t="s">
        <v>144</v>
      </c>
      <c r="W28" t="s">
        <v>117</v>
      </c>
      <c r="X28" t="s">
        <v>350</v>
      </c>
      <c r="Y28" s="22">
        <v>1</v>
      </c>
      <c r="Z28" s="22">
        <v>0</v>
      </c>
      <c r="AA28" s="24">
        <v>122645</v>
      </c>
      <c r="AB28" s="24">
        <v>122645</v>
      </c>
    </row>
    <row r="29" spans="1:28">
      <c r="A29" t="s">
        <v>46</v>
      </c>
      <c r="B29" t="s">
        <v>99</v>
      </c>
      <c r="C29" t="s">
        <v>47</v>
      </c>
      <c r="D29" t="s">
        <v>335</v>
      </c>
      <c r="E29" t="s">
        <v>351</v>
      </c>
      <c r="F29" t="s">
        <v>352</v>
      </c>
      <c r="G29" t="s">
        <v>103</v>
      </c>
      <c r="H29" t="s">
        <v>104</v>
      </c>
      <c r="I29" t="s">
        <v>338</v>
      </c>
      <c r="J29" t="s">
        <v>46</v>
      </c>
      <c r="K29" t="s">
        <v>353</v>
      </c>
      <c r="L29" t="s">
        <v>108</v>
      </c>
      <c r="M29" t="s">
        <v>354</v>
      </c>
      <c r="N29" s="21">
        <v>45931.738194444442</v>
      </c>
      <c r="O29" s="21">
        <v>45932.565671296303</v>
      </c>
      <c r="P29" t="s">
        <v>110</v>
      </c>
      <c r="Q29" t="s">
        <v>111</v>
      </c>
      <c r="R29" t="s">
        <v>112</v>
      </c>
      <c r="S29" t="s">
        <v>355</v>
      </c>
      <c r="T29" t="s">
        <v>114</v>
      </c>
      <c r="U29" t="s">
        <v>356</v>
      </c>
      <c r="V29" t="s">
        <v>144</v>
      </c>
      <c r="W29" t="s">
        <v>117</v>
      </c>
      <c r="X29" t="s">
        <v>357</v>
      </c>
      <c r="Y29" s="22">
        <v>1</v>
      </c>
      <c r="Z29" s="22">
        <v>0</v>
      </c>
      <c r="AA29" s="24">
        <v>122645</v>
      </c>
      <c r="AB29" s="24">
        <v>122645</v>
      </c>
    </row>
    <row r="30" spans="1:28">
      <c r="A30" t="s">
        <v>46</v>
      </c>
      <c r="B30" t="s">
        <v>99</v>
      </c>
      <c r="C30" t="s">
        <v>47</v>
      </c>
      <c r="D30" t="s">
        <v>335</v>
      </c>
      <c r="E30" t="s">
        <v>358</v>
      </c>
      <c r="F30" t="s">
        <v>359</v>
      </c>
      <c r="G30" t="s">
        <v>103</v>
      </c>
      <c r="H30" t="s">
        <v>104</v>
      </c>
      <c r="I30" t="s">
        <v>338</v>
      </c>
      <c r="J30" t="s">
        <v>46</v>
      </c>
      <c r="K30" t="s">
        <v>360</v>
      </c>
      <c r="L30" t="s">
        <v>108</v>
      </c>
      <c r="M30" t="s">
        <v>361</v>
      </c>
      <c r="N30" s="21">
        <v>45931.748611111107</v>
      </c>
      <c r="O30" s="21">
        <v>45933.669907407413</v>
      </c>
      <c r="P30" t="s">
        <v>110</v>
      </c>
      <c r="Q30" t="s">
        <v>111</v>
      </c>
      <c r="R30" t="s">
        <v>112</v>
      </c>
      <c r="S30" t="s">
        <v>362</v>
      </c>
      <c r="T30" t="s">
        <v>114</v>
      </c>
      <c r="U30" t="s">
        <v>363</v>
      </c>
      <c r="V30" t="s">
        <v>144</v>
      </c>
      <c r="W30" t="s">
        <v>117</v>
      </c>
      <c r="X30" t="s">
        <v>343</v>
      </c>
      <c r="Y30" s="22">
        <v>1</v>
      </c>
      <c r="Z30" s="22">
        <v>0</v>
      </c>
      <c r="AA30" s="24">
        <v>122645</v>
      </c>
      <c r="AB30" s="24">
        <v>122645</v>
      </c>
    </row>
    <row r="31" spans="1:28">
      <c r="A31" t="s">
        <v>46</v>
      </c>
      <c r="B31" t="s">
        <v>99</v>
      </c>
      <c r="C31" t="s">
        <v>47</v>
      </c>
      <c r="D31" t="s">
        <v>335</v>
      </c>
      <c r="E31" t="s">
        <v>364</v>
      </c>
      <c r="F31" t="s">
        <v>365</v>
      </c>
      <c r="G31" t="s">
        <v>103</v>
      </c>
      <c r="H31" t="s">
        <v>104</v>
      </c>
      <c r="I31" t="s">
        <v>338</v>
      </c>
      <c r="J31" t="s">
        <v>46</v>
      </c>
      <c r="K31" t="s">
        <v>366</v>
      </c>
      <c r="L31" t="s">
        <v>108</v>
      </c>
      <c r="M31" t="s">
        <v>367</v>
      </c>
      <c r="N31" s="21">
        <v>45931.743750000001</v>
      </c>
      <c r="O31" s="21">
        <v>45933.551261574074</v>
      </c>
      <c r="P31" t="s">
        <v>110</v>
      </c>
      <c r="Q31" t="s">
        <v>111</v>
      </c>
      <c r="R31" t="s">
        <v>112</v>
      </c>
      <c r="S31" t="s">
        <v>368</v>
      </c>
      <c r="T31" t="s">
        <v>114</v>
      </c>
      <c r="U31" t="s">
        <v>369</v>
      </c>
      <c r="V31" t="s">
        <v>144</v>
      </c>
      <c r="W31" t="s">
        <v>117</v>
      </c>
      <c r="X31" t="s">
        <v>350</v>
      </c>
      <c r="Y31" s="22">
        <v>1</v>
      </c>
      <c r="Z31" s="22">
        <v>0</v>
      </c>
      <c r="AA31" s="24">
        <v>122645</v>
      </c>
      <c r="AB31" s="24">
        <v>122645</v>
      </c>
    </row>
    <row r="32" spans="1:28">
      <c r="A32" t="s">
        <v>46</v>
      </c>
      <c r="B32" t="s">
        <v>99</v>
      </c>
      <c r="C32" t="s">
        <v>47</v>
      </c>
      <c r="D32" t="s">
        <v>370</v>
      </c>
      <c r="E32" t="s">
        <v>371</v>
      </c>
      <c r="F32" t="s">
        <v>372</v>
      </c>
      <c r="G32" t="s">
        <v>103</v>
      </c>
      <c r="H32" t="s">
        <v>104</v>
      </c>
      <c r="I32" t="s">
        <v>338</v>
      </c>
      <c r="J32" t="s">
        <v>373</v>
      </c>
      <c r="K32" t="s">
        <v>374</v>
      </c>
      <c r="L32" t="s">
        <v>108</v>
      </c>
      <c r="M32" t="s">
        <v>375</v>
      </c>
      <c r="N32" s="21">
        <v>45931.722916666673</v>
      </c>
      <c r="O32" s="21">
        <v>45932.588541666657</v>
      </c>
      <c r="P32" t="s">
        <v>110</v>
      </c>
      <c r="Q32" t="s">
        <v>111</v>
      </c>
      <c r="R32" t="s">
        <v>112</v>
      </c>
      <c r="S32" t="s">
        <v>376</v>
      </c>
      <c r="T32" t="s">
        <v>114</v>
      </c>
      <c r="U32" t="s">
        <v>377</v>
      </c>
      <c r="V32" t="s">
        <v>144</v>
      </c>
      <c r="W32" t="s">
        <v>117</v>
      </c>
      <c r="X32" t="s">
        <v>378</v>
      </c>
      <c r="Y32" s="22">
        <v>1</v>
      </c>
      <c r="Z32" s="22">
        <v>0</v>
      </c>
      <c r="AA32" s="24">
        <v>122645</v>
      </c>
      <c r="AB32" s="24">
        <v>122645</v>
      </c>
    </row>
    <row r="33" spans="1:28">
      <c r="A33" t="s">
        <v>63</v>
      </c>
      <c r="B33" t="s">
        <v>99</v>
      </c>
      <c r="C33" t="s">
        <v>47</v>
      </c>
      <c r="D33" t="s">
        <v>379</v>
      </c>
      <c r="E33" t="s">
        <v>380</v>
      </c>
      <c r="F33" t="s">
        <v>381</v>
      </c>
      <c r="G33" t="s">
        <v>103</v>
      </c>
      <c r="H33" t="s">
        <v>104</v>
      </c>
      <c r="I33" t="s">
        <v>105</v>
      </c>
      <c r="J33" t="s">
        <v>382</v>
      </c>
      <c r="K33" t="s">
        <v>383</v>
      </c>
      <c r="L33" t="s">
        <v>108</v>
      </c>
      <c r="M33" t="s">
        <v>384</v>
      </c>
      <c r="N33" s="21">
        <v>45931.838194444441</v>
      </c>
      <c r="O33" s="21">
        <v>45945.68582175926</v>
      </c>
      <c r="P33" t="s">
        <v>110</v>
      </c>
      <c r="Q33" t="s">
        <v>111</v>
      </c>
      <c r="R33" t="s">
        <v>112</v>
      </c>
      <c r="S33" t="s">
        <v>385</v>
      </c>
      <c r="T33" t="s">
        <v>114</v>
      </c>
      <c r="U33" t="s">
        <v>386</v>
      </c>
      <c r="V33" t="s">
        <v>116</v>
      </c>
      <c r="W33" t="s">
        <v>117</v>
      </c>
      <c r="X33" t="s">
        <v>118</v>
      </c>
      <c r="Y33" s="22">
        <v>1</v>
      </c>
      <c r="Z33" s="22">
        <v>0</v>
      </c>
      <c r="AA33" s="24">
        <v>122645</v>
      </c>
      <c r="AB33" s="24">
        <v>122645</v>
      </c>
    </row>
    <row r="34" spans="1:28">
      <c r="A34" t="s">
        <v>30</v>
      </c>
      <c r="B34" t="s">
        <v>200</v>
      </c>
      <c r="C34" t="s">
        <v>31</v>
      </c>
      <c r="D34" t="s">
        <v>387</v>
      </c>
      <c r="E34" t="s">
        <v>388</v>
      </c>
      <c r="F34" t="s">
        <v>389</v>
      </c>
      <c r="G34" t="s">
        <v>103</v>
      </c>
      <c r="H34" t="s">
        <v>104</v>
      </c>
      <c r="I34" t="s">
        <v>204</v>
      </c>
      <c r="J34" t="s">
        <v>30</v>
      </c>
      <c r="K34" t="s">
        <v>390</v>
      </c>
      <c r="L34" t="s">
        <v>108</v>
      </c>
      <c r="M34" t="s">
        <v>391</v>
      </c>
      <c r="N34" s="21">
        <v>45931.706250000003</v>
      </c>
      <c r="O34" s="21">
        <v>45932.721655092602</v>
      </c>
      <c r="P34" t="s">
        <v>110</v>
      </c>
      <c r="Q34" t="s">
        <v>111</v>
      </c>
      <c r="R34" t="s">
        <v>112</v>
      </c>
      <c r="S34" t="s">
        <v>392</v>
      </c>
      <c r="T34" t="s">
        <v>114</v>
      </c>
      <c r="U34" t="s">
        <v>393</v>
      </c>
      <c r="V34" t="s">
        <v>144</v>
      </c>
      <c r="W34" t="s">
        <v>117</v>
      </c>
      <c r="X34" t="s">
        <v>394</v>
      </c>
      <c r="Y34" s="22">
        <v>1</v>
      </c>
      <c r="Z34" s="22">
        <v>0</v>
      </c>
      <c r="AA34" s="24">
        <v>122645</v>
      </c>
      <c r="AB34" s="24">
        <v>122645</v>
      </c>
    </row>
    <row r="35" spans="1:28">
      <c r="A35" t="s">
        <v>42</v>
      </c>
      <c r="B35" t="s">
        <v>175</v>
      </c>
      <c r="C35" t="s">
        <v>43</v>
      </c>
      <c r="D35" t="s">
        <v>317</v>
      </c>
      <c r="E35" t="s">
        <v>395</v>
      </c>
      <c r="F35" t="s">
        <v>396</v>
      </c>
      <c r="G35" t="s">
        <v>103</v>
      </c>
      <c r="H35" t="s">
        <v>104</v>
      </c>
      <c r="I35" t="s">
        <v>320</v>
      </c>
      <c r="J35" t="s">
        <v>42</v>
      </c>
      <c r="K35" t="s">
        <v>397</v>
      </c>
      <c r="L35" t="s">
        <v>108</v>
      </c>
      <c r="M35" t="s">
        <v>398</v>
      </c>
      <c r="N35" s="21">
        <v>45931.703472222223</v>
      </c>
      <c r="O35" s="21">
        <v>45932.455520833333</v>
      </c>
      <c r="P35" t="s">
        <v>110</v>
      </c>
      <c r="Q35" t="s">
        <v>111</v>
      </c>
      <c r="R35" t="s">
        <v>112</v>
      </c>
      <c r="S35" t="s">
        <v>399</v>
      </c>
      <c r="T35" t="s">
        <v>114</v>
      </c>
      <c r="U35" t="s">
        <v>400</v>
      </c>
      <c r="V35" t="s">
        <v>144</v>
      </c>
      <c r="W35" t="s">
        <v>117</v>
      </c>
      <c r="X35" t="s">
        <v>401</v>
      </c>
      <c r="Y35" s="22">
        <v>1</v>
      </c>
      <c r="Z35" s="22">
        <v>0</v>
      </c>
      <c r="AA35" s="24">
        <v>122645</v>
      </c>
      <c r="AB35" s="24">
        <v>122645</v>
      </c>
    </row>
    <row r="36" spans="1:28">
      <c r="A36" t="s">
        <v>60</v>
      </c>
      <c r="B36" t="s">
        <v>200</v>
      </c>
      <c r="C36" t="s">
        <v>31</v>
      </c>
      <c r="D36" t="s">
        <v>201</v>
      </c>
      <c r="E36" t="s">
        <v>402</v>
      </c>
      <c r="F36" t="s">
        <v>403</v>
      </c>
      <c r="G36" t="s">
        <v>103</v>
      </c>
      <c r="H36" t="s">
        <v>104</v>
      </c>
      <c r="I36" t="s">
        <v>204</v>
      </c>
      <c r="J36" t="s">
        <v>60</v>
      </c>
      <c r="K36" t="s">
        <v>404</v>
      </c>
      <c r="L36" t="s">
        <v>108</v>
      </c>
      <c r="M36" t="s">
        <v>405</v>
      </c>
      <c r="N36" s="21">
        <v>45936.676388888889</v>
      </c>
      <c r="O36" s="21">
        <v>45938.517361111109</v>
      </c>
      <c r="P36" t="s">
        <v>110</v>
      </c>
      <c r="Q36" t="s">
        <v>406</v>
      </c>
      <c r="R36" t="s">
        <v>112</v>
      </c>
      <c r="S36" t="s">
        <v>407</v>
      </c>
      <c r="T36" t="s">
        <v>114</v>
      </c>
      <c r="U36" t="s">
        <v>408</v>
      </c>
      <c r="V36" t="s">
        <v>144</v>
      </c>
      <c r="W36" t="s">
        <v>117</v>
      </c>
      <c r="X36" t="s">
        <v>409</v>
      </c>
      <c r="Y36" s="22">
        <v>1</v>
      </c>
      <c r="Z36" s="22">
        <v>0</v>
      </c>
      <c r="AA36" s="24">
        <v>122645</v>
      </c>
      <c r="AB36" s="24">
        <v>122645</v>
      </c>
    </row>
    <row r="37" spans="1:28">
      <c r="A37" t="s">
        <v>60</v>
      </c>
      <c r="B37" t="s">
        <v>200</v>
      </c>
      <c r="C37" t="s">
        <v>31</v>
      </c>
      <c r="D37" t="s">
        <v>201</v>
      </c>
      <c r="E37" t="s">
        <v>410</v>
      </c>
      <c r="F37" t="s">
        <v>411</v>
      </c>
      <c r="G37" t="s">
        <v>103</v>
      </c>
      <c r="H37" t="s">
        <v>104</v>
      </c>
      <c r="I37" t="s">
        <v>204</v>
      </c>
      <c r="J37" t="s">
        <v>60</v>
      </c>
      <c r="K37" t="s">
        <v>412</v>
      </c>
      <c r="L37" t="s">
        <v>108</v>
      </c>
      <c r="M37" t="s">
        <v>413</v>
      </c>
      <c r="N37" s="21">
        <v>45936.676388888889</v>
      </c>
      <c r="O37" s="21">
        <v>45938.675000000003</v>
      </c>
      <c r="P37" t="s">
        <v>110</v>
      </c>
      <c r="Q37" t="s">
        <v>406</v>
      </c>
      <c r="R37" t="s">
        <v>112</v>
      </c>
      <c r="S37" t="s">
        <v>414</v>
      </c>
      <c r="T37" t="s">
        <v>114</v>
      </c>
      <c r="U37" t="s">
        <v>415</v>
      </c>
      <c r="V37" t="s">
        <v>144</v>
      </c>
      <c r="W37" t="s">
        <v>117</v>
      </c>
      <c r="X37" t="s">
        <v>243</v>
      </c>
      <c r="Y37" s="22">
        <v>1</v>
      </c>
      <c r="Z37" s="22">
        <v>0</v>
      </c>
      <c r="AA37" s="24">
        <v>122645</v>
      </c>
      <c r="AB37" s="24">
        <v>122645</v>
      </c>
    </row>
    <row r="38" spans="1:28">
      <c r="A38" t="s">
        <v>60</v>
      </c>
      <c r="B38" t="s">
        <v>200</v>
      </c>
      <c r="C38" t="s">
        <v>31</v>
      </c>
      <c r="D38" t="s">
        <v>201</v>
      </c>
      <c r="E38" t="s">
        <v>416</v>
      </c>
      <c r="F38" t="s">
        <v>417</v>
      </c>
      <c r="G38" t="s">
        <v>103</v>
      </c>
      <c r="H38" t="s">
        <v>104</v>
      </c>
      <c r="I38" t="s">
        <v>204</v>
      </c>
      <c r="J38" t="s">
        <v>60</v>
      </c>
      <c r="K38" t="s">
        <v>418</v>
      </c>
      <c r="L38" t="s">
        <v>108</v>
      </c>
      <c r="M38" t="s">
        <v>419</v>
      </c>
      <c r="N38" s="21">
        <v>45936.676388888889</v>
      </c>
      <c r="O38" s="21">
        <v>45938.65347222222</v>
      </c>
      <c r="P38" t="s">
        <v>110</v>
      </c>
      <c r="Q38" t="s">
        <v>406</v>
      </c>
      <c r="R38" t="s">
        <v>112</v>
      </c>
      <c r="S38" t="s">
        <v>420</v>
      </c>
      <c r="T38" t="s">
        <v>114</v>
      </c>
      <c r="U38" t="s">
        <v>421</v>
      </c>
      <c r="V38" t="s">
        <v>144</v>
      </c>
      <c r="W38" t="s">
        <v>117</v>
      </c>
      <c r="X38" t="s">
        <v>409</v>
      </c>
      <c r="Y38" s="22">
        <v>1</v>
      </c>
      <c r="Z38" s="22">
        <v>0</v>
      </c>
      <c r="AA38" s="24">
        <v>122645</v>
      </c>
      <c r="AB38" s="24">
        <v>122645</v>
      </c>
    </row>
    <row r="39" spans="1:28">
      <c r="A39" t="s">
        <v>60</v>
      </c>
      <c r="B39" t="s">
        <v>200</v>
      </c>
      <c r="C39" t="s">
        <v>31</v>
      </c>
      <c r="D39" t="s">
        <v>215</v>
      </c>
      <c r="E39" t="s">
        <v>422</v>
      </c>
      <c r="F39" t="s">
        <v>423</v>
      </c>
      <c r="G39" t="s">
        <v>103</v>
      </c>
      <c r="H39" t="s">
        <v>104</v>
      </c>
      <c r="I39" t="s">
        <v>204</v>
      </c>
      <c r="J39" t="s">
        <v>218</v>
      </c>
      <c r="K39" t="s">
        <v>424</v>
      </c>
      <c r="L39" t="s">
        <v>108</v>
      </c>
      <c r="M39" t="s">
        <v>425</v>
      </c>
      <c r="N39" s="21">
        <v>45936.676388888889</v>
      </c>
      <c r="O39" s="21">
        <v>45938.550694444442</v>
      </c>
      <c r="P39" t="s">
        <v>110</v>
      </c>
      <c r="Q39" t="s">
        <v>406</v>
      </c>
      <c r="R39" t="s">
        <v>112</v>
      </c>
      <c r="S39" t="s">
        <v>426</v>
      </c>
      <c r="T39" t="s">
        <v>114</v>
      </c>
      <c r="U39" t="s">
        <v>427</v>
      </c>
      <c r="V39" t="s">
        <v>144</v>
      </c>
      <c r="W39" t="s">
        <v>117</v>
      </c>
      <c r="X39" t="s">
        <v>243</v>
      </c>
      <c r="Y39" s="22">
        <v>1</v>
      </c>
      <c r="Z39" s="22">
        <v>0</v>
      </c>
      <c r="AA39" s="24">
        <v>122645</v>
      </c>
      <c r="AB39" s="24">
        <v>122645</v>
      </c>
    </row>
    <row r="40" spans="1:28">
      <c r="A40" t="s">
        <v>34</v>
      </c>
      <c r="B40" t="s">
        <v>142</v>
      </c>
      <c r="C40" t="s">
        <v>35</v>
      </c>
      <c r="D40" t="s">
        <v>428</v>
      </c>
      <c r="E40" t="s">
        <v>429</v>
      </c>
      <c r="F40" t="s">
        <v>430</v>
      </c>
      <c r="G40" t="s">
        <v>103</v>
      </c>
      <c r="H40" t="s">
        <v>104</v>
      </c>
      <c r="I40" t="s">
        <v>431</v>
      </c>
      <c r="J40" t="s">
        <v>34</v>
      </c>
      <c r="K40" t="s">
        <v>432</v>
      </c>
      <c r="L40" t="s">
        <v>108</v>
      </c>
      <c r="M40" t="s">
        <v>433</v>
      </c>
      <c r="N40" s="21">
        <v>45936.588888888888</v>
      </c>
      <c r="O40" s="21">
        <v>45937.533333333333</v>
      </c>
      <c r="P40" t="s">
        <v>110</v>
      </c>
      <c r="Q40" t="s">
        <v>406</v>
      </c>
      <c r="R40" t="s">
        <v>112</v>
      </c>
      <c r="S40" t="s">
        <v>434</v>
      </c>
      <c r="T40" t="s">
        <v>114</v>
      </c>
      <c r="U40" t="s">
        <v>435</v>
      </c>
      <c r="V40" t="s">
        <v>144</v>
      </c>
      <c r="W40" t="s">
        <v>117</v>
      </c>
      <c r="X40" t="s">
        <v>436</v>
      </c>
      <c r="Y40" s="22">
        <v>1</v>
      </c>
      <c r="Z40" s="22">
        <v>0</v>
      </c>
      <c r="AA40" s="24">
        <v>122645</v>
      </c>
      <c r="AB40" s="24">
        <v>122645</v>
      </c>
    </row>
    <row r="41" spans="1:28">
      <c r="A41" t="s">
        <v>34</v>
      </c>
      <c r="B41" t="s">
        <v>142</v>
      </c>
      <c r="C41" t="s">
        <v>35</v>
      </c>
      <c r="D41" t="s">
        <v>437</v>
      </c>
      <c r="E41" t="s">
        <v>438</v>
      </c>
      <c r="F41" t="s">
        <v>439</v>
      </c>
      <c r="G41" t="s">
        <v>103</v>
      </c>
      <c r="H41" t="s">
        <v>104</v>
      </c>
      <c r="I41" t="s">
        <v>431</v>
      </c>
      <c r="J41" t="s">
        <v>440</v>
      </c>
      <c r="K41" t="s">
        <v>441</v>
      </c>
      <c r="L41" t="s">
        <v>108</v>
      </c>
      <c r="M41" t="s">
        <v>442</v>
      </c>
      <c r="N41" s="21">
        <v>45936.588888888888</v>
      </c>
      <c r="O41" s="21">
        <v>45937.656944444447</v>
      </c>
      <c r="P41" t="s">
        <v>110</v>
      </c>
      <c r="Q41" t="s">
        <v>406</v>
      </c>
      <c r="R41" t="s">
        <v>112</v>
      </c>
      <c r="S41" t="s">
        <v>434</v>
      </c>
      <c r="T41" t="s">
        <v>114</v>
      </c>
      <c r="U41" t="s">
        <v>443</v>
      </c>
      <c r="V41" t="s">
        <v>144</v>
      </c>
      <c r="W41" t="s">
        <v>117</v>
      </c>
      <c r="X41" t="s">
        <v>436</v>
      </c>
      <c r="Y41" s="22">
        <v>1</v>
      </c>
      <c r="Z41" s="22">
        <v>0</v>
      </c>
      <c r="AA41" s="24">
        <v>122645</v>
      </c>
      <c r="AB41" s="24">
        <v>122645</v>
      </c>
    </row>
    <row r="42" spans="1:28">
      <c r="A42" t="s">
        <v>38</v>
      </c>
      <c r="B42" t="s">
        <v>444</v>
      </c>
      <c r="C42" t="s">
        <v>39</v>
      </c>
      <c r="D42" t="s">
        <v>445</v>
      </c>
      <c r="E42" t="s">
        <v>446</v>
      </c>
      <c r="F42" t="s">
        <v>447</v>
      </c>
      <c r="G42" t="s">
        <v>103</v>
      </c>
      <c r="H42" t="s">
        <v>104</v>
      </c>
      <c r="I42" t="s">
        <v>444</v>
      </c>
      <c r="J42" t="s">
        <v>448</v>
      </c>
      <c r="K42" t="s">
        <v>449</v>
      </c>
      <c r="L42" t="s">
        <v>108</v>
      </c>
      <c r="M42" t="s">
        <v>450</v>
      </c>
      <c r="N42" s="21">
        <v>45936.86041666667</v>
      </c>
      <c r="O42" s="21">
        <v>45938.584027777782</v>
      </c>
      <c r="P42" t="s">
        <v>110</v>
      </c>
      <c r="Q42" t="s">
        <v>406</v>
      </c>
      <c r="R42" t="s">
        <v>112</v>
      </c>
      <c r="S42" t="s">
        <v>451</v>
      </c>
      <c r="T42" t="s">
        <v>114</v>
      </c>
      <c r="U42" t="s">
        <v>452</v>
      </c>
      <c r="V42" t="s">
        <v>232</v>
      </c>
      <c r="W42" t="s">
        <v>117</v>
      </c>
      <c r="X42" t="s">
        <v>453</v>
      </c>
      <c r="Y42" s="22">
        <v>1</v>
      </c>
      <c r="Z42" s="22">
        <v>0</v>
      </c>
      <c r="AA42" s="24">
        <v>122645</v>
      </c>
      <c r="AB42" s="24">
        <v>122645</v>
      </c>
    </row>
    <row r="43" spans="1:28">
      <c r="A43" t="s">
        <v>62</v>
      </c>
      <c r="B43" t="s">
        <v>145</v>
      </c>
      <c r="C43" t="s">
        <v>53</v>
      </c>
      <c r="D43" t="s">
        <v>454</v>
      </c>
      <c r="E43" t="s">
        <v>455</v>
      </c>
      <c r="F43" t="s">
        <v>456</v>
      </c>
      <c r="G43" t="s">
        <v>103</v>
      </c>
      <c r="H43" t="s">
        <v>104</v>
      </c>
      <c r="I43" t="s">
        <v>457</v>
      </c>
      <c r="J43" t="s">
        <v>62</v>
      </c>
      <c r="K43" t="s">
        <v>458</v>
      </c>
      <c r="L43" t="s">
        <v>108</v>
      </c>
      <c r="M43" t="s">
        <v>459</v>
      </c>
      <c r="N43" s="21">
        <v>45936.677083333343</v>
      </c>
      <c r="O43" s="21">
        <v>45938.523611111108</v>
      </c>
      <c r="P43" t="s">
        <v>110</v>
      </c>
      <c r="Q43" t="s">
        <v>406</v>
      </c>
      <c r="R43" t="s">
        <v>112</v>
      </c>
      <c r="S43" t="s">
        <v>460</v>
      </c>
      <c r="T43" t="s">
        <v>114</v>
      </c>
      <c r="U43" t="s">
        <v>461</v>
      </c>
      <c r="V43" t="s">
        <v>144</v>
      </c>
      <c r="W43" t="s">
        <v>117</v>
      </c>
      <c r="X43" t="s">
        <v>462</v>
      </c>
      <c r="Y43" s="22">
        <v>1</v>
      </c>
      <c r="Z43" s="22">
        <v>0</v>
      </c>
      <c r="AA43" s="24">
        <v>122645</v>
      </c>
      <c r="AB43" s="24">
        <v>122645</v>
      </c>
    </row>
    <row r="44" spans="1:28">
      <c r="A44" t="s">
        <v>62</v>
      </c>
      <c r="B44" t="s">
        <v>145</v>
      </c>
      <c r="C44" t="s">
        <v>53</v>
      </c>
      <c r="D44" t="s">
        <v>454</v>
      </c>
      <c r="E44" t="s">
        <v>463</v>
      </c>
      <c r="F44" t="s">
        <v>464</v>
      </c>
      <c r="G44" t="s">
        <v>103</v>
      </c>
      <c r="H44" t="s">
        <v>104</v>
      </c>
      <c r="I44" t="s">
        <v>457</v>
      </c>
      <c r="J44" t="s">
        <v>62</v>
      </c>
      <c r="K44" t="s">
        <v>465</v>
      </c>
      <c r="L44" t="s">
        <v>108</v>
      </c>
      <c r="M44" t="s">
        <v>466</v>
      </c>
      <c r="N44" s="21">
        <v>45936.677083333343</v>
      </c>
      <c r="O44" s="21">
        <v>45938.290277777778</v>
      </c>
      <c r="P44" t="s">
        <v>110</v>
      </c>
      <c r="Q44" t="s">
        <v>406</v>
      </c>
      <c r="R44" t="s">
        <v>112</v>
      </c>
      <c r="S44" t="s">
        <v>467</v>
      </c>
      <c r="T44" t="s">
        <v>114</v>
      </c>
      <c r="U44" t="s">
        <v>468</v>
      </c>
      <c r="V44" t="s">
        <v>144</v>
      </c>
      <c r="W44" t="s">
        <v>117</v>
      </c>
      <c r="X44" t="s">
        <v>462</v>
      </c>
      <c r="Y44" s="22">
        <v>1</v>
      </c>
      <c r="Z44" s="22">
        <v>0</v>
      </c>
      <c r="AA44" s="24">
        <v>122645</v>
      </c>
      <c r="AB44" s="24">
        <v>122645</v>
      </c>
    </row>
    <row r="45" spans="1:28">
      <c r="A45" t="s">
        <v>63</v>
      </c>
      <c r="B45" t="s">
        <v>99</v>
      </c>
      <c r="C45" t="s">
        <v>47</v>
      </c>
      <c r="D45" t="s">
        <v>469</v>
      </c>
      <c r="E45" t="s">
        <v>470</v>
      </c>
      <c r="F45" t="s">
        <v>471</v>
      </c>
      <c r="G45" t="s">
        <v>103</v>
      </c>
      <c r="H45" t="s">
        <v>104</v>
      </c>
      <c r="I45" t="s">
        <v>167</v>
      </c>
      <c r="J45" t="s">
        <v>63</v>
      </c>
      <c r="K45" t="s">
        <v>472</v>
      </c>
      <c r="L45" t="s">
        <v>108</v>
      </c>
      <c r="M45" t="s">
        <v>473</v>
      </c>
      <c r="N45" s="21">
        <v>45936.746527777781</v>
      </c>
      <c r="O45" s="21">
        <v>45938.531944444447</v>
      </c>
      <c r="P45" t="s">
        <v>110</v>
      </c>
      <c r="Q45" t="s">
        <v>406</v>
      </c>
      <c r="R45" t="s">
        <v>112</v>
      </c>
      <c r="S45" t="s">
        <v>474</v>
      </c>
      <c r="T45" t="s">
        <v>114</v>
      </c>
      <c r="U45" t="s">
        <v>475</v>
      </c>
      <c r="V45" t="s">
        <v>144</v>
      </c>
      <c r="W45" t="s">
        <v>117</v>
      </c>
      <c r="X45" t="s">
        <v>118</v>
      </c>
      <c r="Y45" s="22">
        <v>1</v>
      </c>
      <c r="Z45" s="22">
        <v>0</v>
      </c>
      <c r="AA45" s="24">
        <v>122645</v>
      </c>
      <c r="AB45" s="24">
        <v>122645</v>
      </c>
    </row>
    <row r="46" spans="1:28">
      <c r="A46" t="s">
        <v>46</v>
      </c>
      <c r="B46" t="s">
        <v>99</v>
      </c>
      <c r="C46" t="s">
        <v>47</v>
      </c>
      <c r="D46" t="s">
        <v>335</v>
      </c>
      <c r="E46" t="s">
        <v>476</v>
      </c>
      <c r="F46" t="s">
        <v>477</v>
      </c>
      <c r="G46" t="s">
        <v>103</v>
      </c>
      <c r="H46" t="s">
        <v>104</v>
      </c>
      <c r="I46" t="s">
        <v>338</v>
      </c>
      <c r="J46" t="s">
        <v>46</v>
      </c>
      <c r="K46" t="s">
        <v>478</v>
      </c>
      <c r="L46" t="s">
        <v>108</v>
      </c>
      <c r="M46" t="s">
        <v>479</v>
      </c>
      <c r="N46" s="21">
        <v>45936.759722222218</v>
      </c>
      <c r="O46" s="21">
        <v>45937.60833333333</v>
      </c>
      <c r="P46" t="s">
        <v>110</v>
      </c>
      <c r="Q46" t="s">
        <v>406</v>
      </c>
      <c r="R46" t="s">
        <v>112</v>
      </c>
      <c r="S46" t="s">
        <v>480</v>
      </c>
      <c r="T46" t="s">
        <v>114</v>
      </c>
      <c r="U46" t="s">
        <v>481</v>
      </c>
      <c r="V46" t="s">
        <v>144</v>
      </c>
      <c r="W46" t="s">
        <v>117</v>
      </c>
      <c r="X46" t="s">
        <v>357</v>
      </c>
      <c r="Y46" s="22">
        <v>1</v>
      </c>
      <c r="Z46" s="22">
        <v>0</v>
      </c>
      <c r="AA46" s="24">
        <v>122645</v>
      </c>
      <c r="AB46" s="24">
        <v>122645</v>
      </c>
    </row>
    <row r="47" spans="1:28">
      <c r="A47" t="s">
        <v>46</v>
      </c>
      <c r="B47" t="s">
        <v>99</v>
      </c>
      <c r="C47" t="s">
        <v>47</v>
      </c>
      <c r="D47" t="s">
        <v>335</v>
      </c>
      <c r="E47" t="s">
        <v>482</v>
      </c>
      <c r="F47" t="s">
        <v>483</v>
      </c>
      <c r="G47" t="s">
        <v>103</v>
      </c>
      <c r="H47" t="s">
        <v>104</v>
      </c>
      <c r="I47" t="s">
        <v>338</v>
      </c>
      <c r="J47" t="s">
        <v>46</v>
      </c>
      <c r="K47" t="s">
        <v>484</v>
      </c>
      <c r="L47" t="s">
        <v>108</v>
      </c>
      <c r="M47" t="s">
        <v>485</v>
      </c>
      <c r="N47" s="21">
        <v>45936.727777777778</v>
      </c>
      <c r="O47" s="21">
        <v>45937.541666666657</v>
      </c>
      <c r="P47" t="s">
        <v>110</v>
      </c>
      <c r="Q47" t="s">
        <v>406</v>
      </c>
      <c r="R47" t="s">
        <v>112</v>
      </c>
      <c r="S47" t="s">
        <v>486</v>
      </c>
      <c r="T47" t="s">
        <v>114</v>
      </c>
      <c r="U47" t="s">
        <v>487</v>
      </c>
      <c r="V47" t="s">
        <v>144</v>
      </c>
      <c r="W47" t="s">
        <v>117</v>
      </c>
      <c r="X47" t="s">
        <v>343</v>
      </c>
      <c r="Y47" s="22">
        <v>1</v>
      </c>
      <c r="Z47" s="22">
        <v>0</v>
      </c>
      <c r="AA47" s="24">
        <v>122645</v>
      </c>
      <c r="AB47" s="24">
        <v>122645</v>
      </c>
    </row>
    <row r="48" spans="1:28">
      <c r="A48" t="s">
        <v>46</v>
      </c>
      <c r="B48" t="s">
        <v>99</v>
      </c>
      <c r="C48" t="s">
        <v>47</v>
      </c>
      <c r="D48" t="s">
        <v>488</v>
      </c>
      <c r="E48" t="s">
        <v>489</v>
      </c>
      <c r="F48" t="s">
        <v>490</v>
      </c>
      <c r="G48" t="s">
        <v>103</v>
      </c>
      <c r="H48" t="s">
        <v>104</v>
      </c>
      <c r="I48" t="s">
        <v>338</v>
      </c>
      <c r="J48" t="s">
        <v>491</v>
      </c>
      <c r="K48" t="s">
        <v>492</v>
      </c>
      <c r="L48" t="s">
        <v>108</v>
      </c>
      <c r="M48" t="s">
        <v>493</v>
      </c>
      <c r="N48" s="21">
        <v>45936.763194444437</v>
      </c>
      <c r="O48" s="21">
        <v>45939.277777777781</v>
      </c>
      <c r="P48" t="s">
        <v>110</v>
      </c>
      <c r="Q48" t="s">
        <v>406</v>
      </c>
      <c r="R48" t="s">
        <v>112</v>
      </c>
      <c r="S48" t="s">
        <v>494</v>
      </c>
      <c r="T48" t="s">
        <v>114</v>
      </c>
      <c r="U48" t="s">
        <v>495</v>
      </c>
      <c r="V48" t="s">
        <v>232</v>
      </c>
      <c r="W48" t="s">
        <v>117</v>
      </c>
      <c r="X48" t="s">
        <v>496</v>
      </c>
      <c r="Y48" s="22">
        <v>1</v>
      </c>
      <c r="Z48" s="22">
        <v>0</v>
      </c>
      <c r="AA48" s="24">
        <v>122645</v>
      </c>
      <c r="AB48" s="24">
        <v>122645</v>
      </c>
    </row>
    <row r="49" spans="1:28">
      <c r="A49" t="s">
        <v>38</v>
      </c>
      <c r="B49" t="s">
        <v>444</v>
      </c>
      <c r="C49" t="s">
        <v>39</v>
      </c>
      <c r="D49" t="s">
        <v>497</v>
      </c>
      <c r="E49" t="s">
        <v>498</v>
      </c>
      <c r="F49" t="s">
        <v>499</v>
      </c>
      <c r="G49" t="s">
        <v>103</v>
      </c>
      <c r="H49" t="s">
        <v>104</v>
      </c>
      <c r="I49" t="s">
        <v>444</v>
      </c>
      <c r="J49" t="s">
        <v>38</v>
      </c>
      <c r="K49" t="s">
        <v>500</v>
      </c>
      <c r="L49" t="s">
        <v>108</v>
      </c>
      <c r="M49" t="s">
        <v>501</v>
      </c>
      <c r="N49" s="21">
        <v>45936.878472222219</v>
      </c>
      <c r="O49" s="21">
        <v>45938.740972222222</v>
      </c>
      <c r="P49" t="s">
        <v>110</v>
      </c>
      <c r="Q49" t="s">
        <v>406</v>
      </c>
      <c r="R49" t="s">
        <v>112</v>
      </c>
      <c r="S49" t="s">
        <v>502</v>
      </c>
      <c r="T49" t="s">
        <v>114</v>
      </c>
      <c r="U49" t="s">
        <v>503</v>
      </c>
      <c r="V49" t="s">
        <v>144</v>
      </c>
      <c r="W49" t="s">
        <v>117</v>
      </c>
      <c r="X49" t="s">
        <v>504</v>
      </c>
      <c r="Y49" s="22">
        <v>1</v>
      </c>
      <c r="Z49" s="22">
        <v>0</v>
      </c>
      <c r="AA49" s="24">
        <v>122645</v>
      </c>
      <c r="AB49" s="24">
        <v>122645</v>
      </c>
    </row>
    <row r="50" spans="1:28">
      <c r="A50" t="s">
        <v>38</v>
      </c>
      <c r="B50" t="s">
        <v>444</v>
      </c>
      <c r="C50" t="s">
        <v>39</v>
      </c>
      <c r="D50" t="s">
        <v>497</v>
      </c>
      <c r="E50" t="s">
        <v>505</v>
      </c>
      <c r="F50" t="s">
        <v>506</v>
      </c>
      <c r="G50" t="s">
        <v>103</v>
      </c>
      <c r="H50" t="s">
        <v>104</v>
      </c>
      <c r="I50" t="s">
        <v>444</v>
      </c>
      <c r="J50" t="s">
        <v>38</v>
      </c>
      <c r="K50" t="s">
        <v>507</v>
      </c>
      <c r="L50" t="s">
        <v>108</v>
      </c>
      <c r="M50" t="s">
        <v>508</v>
      </c>
      <c r="N50" s="21">
        <v>45936.878472222219</v>
      </c>
      <c r="O50" s="21">
        <v>45938.67083333333</v>
      </c>
      <c r="P50" t="s">
        <v>110</v>
      </c>
      <c r="Q50" t="s">
        <v>406</v>
      </c>
      <c r="R50" t="s">
        <v>112</v>
      </c>
      <c r="S50" t="s">
        <v>509</v>
      </c>
      <c r="T50" t="s">
        <v>114</v>
      </c>
      <c r="U50" t="s">
        <v>510</v>
      </c>
      <c r="V50" t="s">
        <v>144</v>
      </c>
      <c r="W50" t="s">
        <v>117</v>
      </c>
      <c r="X50" t="s">
        <v>511</v>
      </c>
      <c r="Y50" s="22">
        <v>1</v>
      </c>
      <c r="Z50" s="22">
        <v>0</v>
      </c>
      <c r="AA50" s="24">
        <v>122645</v>
      </c>
      <c r="AB50" s="24">
        <v>122645</v>
      </c>
    </row>
    <row r="51" spans="1:28">
      <c r="A51" t="s">
        <v>38</v>
      </c>
      <c r="B51" t="s">
        <v>444</v>
      </c>
      <c r="C51" t="s">
        <v>39</v>
      </c>
      <c r="D51" t="s">
        <v>497</v>
      </c>
      <c r="E51" t="s">
        <v>512</v>
      </c>
      <c r="F51" t="s">
        <v>513</v>
      </c>
      <c r="G51" t="s">
        <v>103</v>
      </c>
      <c r="H51" t="s">
        <v>104</v>
      </c>
      <c r="I51" t="s">
        <v>444</v>
      </c>
      <c r="J51" t="s">
        <v>38</v>
      </c>
      <c r="K51" t="s">
        <v>514</v>
      </c>
      <c r="L51" t="s">
        <v>108</v>
      </c>
      <c r="M51" t="s">
        <v>515</v>
      </c>
      <c r="N51" s="21">
        <v>45936.878472222219</v>
      </c>
      <c r="O51" s="21">
        <v>45938.537499999999</v>
      </c>
      <c r="P51" t="s">
        <v>110</v>
      </c>
      <c r="Q51" t="s">
        <v>406</v>
      </c>
      <c r="R51" t="s">
        <v>112</v>
      </c>
      <c r="S51" t="s">
        <v>516</v>
      </c>
      <c r="T51" t="s">
        <v>114</v>
      </c>
      <c r="U51" t="s">
        <v>517</v>
      </c>
      <c r="V51" t="s">
        <v>144</v>
      </c>
      <c r="W51" t="s">
        <v>117</v>
      </c>
      <c r="X51" t="s">
        <v>511</v>
      </c>
      <c r="Y51" s="22">
        <v>1</v>
      </c>
      <c r="Z51" s="22">
        <v>0</v>
      </c>
      <c r="AA51" s="24">
        <v>122645</v>
      </c>
      <c r="AB51" s="24">
        <v>122645</v>
      </c>
    </row>
    <row r="52" spans="1:28">
      <c r="A52" t="s">
        <v>38</v>
      </c>
      <c r="B52" t="s">
        <v>444</v>
      </c>
      <c r="C52" t="s">
        <v>39</v>
      </c>
      <c r="D52" t="s">
        <v>497</v>
      </c>
      <c r="E52" t="s">
        <v>518</v>
      </c>
      <c r="F52" t="s">
        <v>519</v>
      </c>
      <c r="G52" t="s">
        <v>103</v>
      </c>
      <c r="H52" t="s">
        <v>104</v>
      </c>
      <c r="I52" t="s">
        <v>444</v>
      </c>
      <c r="J52" t="s">
        <v>38</v>
      </c>
      <c r="K52" t="s">
        <v>520</v>
      </c>
      <c r="L52" t="s">
        <v>108</v>
      </c>
      <c r="M52" t="s">
        <v>521</v>
      </c>
      <c r="N52" s="21">
        <v>45936.71875</v>
      </c>
      <c r="O52" s="21">
        <v>45937.666666666657</v>
      </c>
      <c r="P52" t="s">
        <v>110</v>
      </c>
      <c r="Q52" t="s">
        <v>406</v>
      </c>
      <c r="R52" t="s">
        <v>112</v>
      </c>
      <c r="S52" t="s">
        <v>522</v>
      </c>
      <c r="T52" t="s">
        <v>114</v>
      </c>
      <c r="U52" t="s">
        <v>523</v>
      </c>
      <c r="V52" t="s">
        <v>144</v>
      </c>
      <c r="W52" t="s">
        <v>117</v>
      </c>
      <c r="X52" t="s">
        <v>524</v>
      </c>
      <c r="Y52" s="22">
        <v>1</v>
      </c>
      <c r="Z52" s="22">
        <v>0</v>
      </c>
      <c r="AA52" s="24">
        <v>122645</v>
      </c>
      <c r="AB52" s="24">
        <v>122645</v>
      </c>
    </row>
    <row r="53" spans="1:28">
      <c r="A53" t="s">
        <v>38</v>
      </c>
      <c r="B53" t="s">
        <v>444</v>
      </c>
      <c r="C53" t="s">
        <v>39</v>
      </c>
      <c r="D53" t="s">
        <v>497</v>
      </c>
      <c r="E53" t="s">
        <v>525</v>
      </c>
      <c r="F53" t="s">
        <v>526</v>
      </c>
      <c r="G53" t="s">
        <v>103</v>
      </c>
      <c r="H53" t="s">
        <v>104</v>
      </c>
      <c r="I53" t="s">
        <v>444</v>
      </c>
      <c r="J53" t="s">
        <v>38</v>
      </c>
      <c r="K53" t="s">
        <v>527</v>
      </c>
      <c r="L53" t="s">
        <v>108</v>
      </c>
      <c r="M53" t="s">
        <v>528</v>
      </c>
      <c r="N53" s="21">
        <v>45936.71875</v>
      </c>
      <c r="O53" s="21">
        <v>45937.649305555547</v>
      </c>
      <c r="P53" t="s">
        <v>110</v>
      </c>
      <c r="Q53" t="s">
        <v>406</v>
      </c>
      <c r="R53" t="s">
        <v>112</v>
      </c>
      <c r="S53" t="s">
        <v>529</v>
      </c>
      <c r="T53" t="s">
        <v>114</v>
      </c>
      <c r="U53" t="s">
        <v>530</v>
      </c>
      <c r="V53" t="s">
        <v>144</v>
      </c>
      <c r="W53" t="s">
        <v>117</v>
      </c>
      <c r="X53" t="s">
        <v>531</v>
      </c>
      <c r="Y53" s="22">
        <v>1</v>
      </c>
      <c r="Z53" s="22">
        <v>0</v>
      </c>
      <c r="AA53" s="24">
        <v>122645</v>
      </c>
      <c r="AB53" s="24">
        <v>122645</v>
      </c>
    </row>
    <row r="54" spans="1:28">
      <c r="A54" t="s">
        <v>38</v>
      </c>
      <c r="B54" t="s">
        <v>444</v>
      </c>
      <c r="C54" t="s">
        <v>39</v>
      </c>
      <c r="D54" t="s">
        <v>497</v>
      </c>
      <c r="E54" t="s">
        <v>532</v>
      </c>
      <c r="F54" t="s">
        <v>533</v>
      </c>
      <c r="G54" t="s">
        <v>103</v>
      </c>
      <c r="H54" t="s">
        <v>534</v>
      </c>
      <c r="I54" t="s">
        <v>444</v>
      </c>
      <c r="J54" t="s">
        <v>38</v>
      </c>
      <c r="K54" t="s">
        <v>535</v>
      </c>
      <c r="L54" t="s">
        <v>108</v>
      </c>
      <c r="M54" t="s">
        <v>536</v>
      </c>
      <c r="N54" s="21">
        <v>45936.71875</v>
      </c>
      <c r="O54" s="21">
        <v>45938.295138888891</v>
      </c>
      <c r="P54" t="s">
        <v>110</v>
      </c>
      <c r="Q54" t="s">
        <v>406</v>
      </c>
      <c r="R54" t="s">
        <v>112</v>
      </c>
      <c r="S54" t="s">
        <v>537</v>
      </c>
      <c r="T54" t="s">
        <v>114</v>
      </c>
      <c r="U54" t="s">
        <v>538</v>
      </c>
      <c r="V54" t="s">
        <v>144</v>
      </c>
      <c r="W54" t="s">
        <v>117</v>
      </c>
      <c r="X54" t="s">
        <v>453</v>
      </c>
      <c r="Y54" s="22">
        <v>1</v>
      </c>
      <c r="Z54" s="22">
        <v>0</v>
      </c>
      <c r="AA54" s="24">
        <v>122645</v>
      </c>
      <c r="AB54" s="24">
        <v>122645</v>
      </c>
    </row>
    <row r="55" spans="1:28">
      <c r="A55" t="s">
        <v>60</v>
      </c>
      <c r="B55" t="s">
        <v>200</v>
      </c>
      <c r="C55" t="s">
        <v>31</v>
      </c>
      <c r="D55" t="s">
        <v>201</v>
      </c>
      <c r="E55" t="s">
        <v>539</v>
      </c>
      <c r="F55" t="s">
        <v>540</v>
      </c>
      <c r="G55" t="s">
        <v>103</v>
      </c>
      <c r="H55" t="s">
        <v>104</v>
      </c>
      <c r="I55" t="s">
        <v>204</v>
      </c>
      <c r="J55" t="s">
        <v>60</v>
      </c>
      <c r="K55" t="s">
        <v>541</v>
      </c>
      <c r="L55" t="s">
        <v>108</v>
      </c>
      <c r="M55" t="s">
        <v>542</v>
      </c>
      <c r="N55" s="21">
        <v>45938.600694444453</v>
      </c>
      <c r="O55" s="21">
        <v>45939.559027777781</v>
      </c>
      <c r="P55" t="s">
        <v>110</v>
      </c>
      <c r="Q55" t="s">
        <v>111</v>
      </c>
      <c r="R55" t="s">
        <v>112</v>
      </c>
      <c r="S55" t="s">
        <v>543</v>
      </c>
      <c r="T55" t="s">
        <v>114</v>
      </c>
      <c r="U55" t="s">
        <v>544</v>
      </c>
      <c r="V55" t="s">
        <v>144</v>
      </c>
      <c r="W55" t="s">
        <v>117</v>
      </c>
      <c r="X55" t="s">
        <v>545</v>
      </c>
      <c r="Y55" s="22">
        <v>1</v>
      </c>
      <c r="Z55" s="22">
        <v>0</v>
      </c>
      <c r="AA55" s="24">
        <v>122645</v>
      </c>
      <c r="AB55" s="24">
        <v>122645</v>
      </c>
    </row>
    <row r="56" spans="1:28">
      <c r="A56" t="s">
        <v>60</v>
      </c>
      <c r="B56" t="s">
        <v>200</v>
      </c>
      <c r="C56" t="s">
        <v>31</v>
      </c>
      <c r="D56" t="s">
        <v>201</v>
      </c>
      <c r="E56" t="s">
        <v>546</v>
      </c>
      <c r="F56" t="s">
        <v>547</v>
      </c>
      <c r="G56" t="s">
        <v>103</v>
      </c>
      <c r="H56" t="s">
        <v>104</v>
      </c>
      <c r="I56" t="s">
        <v>204</v>
      </c>
      <c r="J56" t="s">
        <v>60</v>
      </c>
      <c r="K56" t="s">
        <v>548</v>
      </c>
      <c r="L56" t="s">
        <v>108</v>
      </c>
      <c r="M56" t="s">
        <v>549</v>
      </c>
      <c r="N56" s="21">
        <v>45938.600694444453</v>
      </c>
      <c r="O56" s="21">
        <v>45939.638888888891</v>
      </c>
      <c r="P56" t="s">
        <v>110</v>
      </c>
      <c r="Q56" t="s">
        <v>111</v>
      </c>
      <c r="R56" t="s">
        <v>112</v>
      </c>
      <c r="S56" t="s">
        <v>550</v>
      </c>
      <c r="T56" t="s">
        <v>114</v>
      </c>
      <c r="U56" t="s">
        <v>551</v>
      </c>
      <c r="V56" t="s">
        <v>144</v>
      </c>
      <c r="W56" t="s">
        <v>117</v>
      </c>
      <c r="X56" t="s">
        <v>243</v>
      </c>
      <c r="Y56" s="22">
        <v>1</v>
      </c>
      <c r="Z56" s="22">
        <v>0</v>
      </c>
      <c r="AA56" s="24">
        <v>122645</v>
      </c>
      <c r="AB56" s="24">
        <v>122645</v>
      </c>
    </row>
    <row r="57" spans="1:28">
      <c r="A57" t="s">
        <v>60</v>
      </c>
      <c r="B57" t="s">
        <v>200</v>
      </c>
      <c r="C57" t="s">
        <v>31</v>
      </c>
      <c r="D57" t="s">
        <v>552</v>
      </c>
      <c r="E57" t="s">
        <v>553</v>
      </c>
      <c r="F57" t="s">
        <v>554</v>
      </c>
      <c r="G57" t="s">
        <v>103</v>
      </c>
      <c r="H57" t="s">
        <v>104</v>
      </c>
      <c r="I57" t="s">
        <v>204</v>
      </c>
      <c r="J57" t="s">
        <v>555</v>
      </c>
      <c r="K57" t="s">
        <v>556</v>
      </c>
      <c r="L57" t="s">
        <v>108</v>
      </c>
      <c r="M57" t="s">
        <v>557</v>
      </c>
      <c r="N57" s="21">
        <v>45938.600694444453</v>
      </c>
      <c r="O57" s="21">
        <v>45939.481944444437</v>
      </c>
      <c r="P57" t="s">
        <v>110</v>
      </c>
      <c r="Q57" t="s">
        <v>111</v>
      </c>
      <c r="R57" t="s">
        <v>112</v>
      </c>
      <c r="S57" t="s">
        <v>550</v>
      </c>
      <c r="T57" t="s">
        <v>114</v>
      </c>
      <c r="U57" t="s">
        <v>558</v>
      </c>
      <c r="V57" t="s">
        <v>144</v>
      </c>
      <c r="W57" t="s">
        <v>117</v>
      </c>
      <c r="X57" t="s">
        <v>243</v>
      </c>
      <c r="Y57" s="22">
        <v>1</v>
      </c>
      <c r="Z57" s="22">
        <v>0</v>
      </c>
      <c r="AA57" s="24">
        <v>122645</v>
      </c>
      <c r="AB57" s="24">
        <v>122645</v>
      </c>
    </row>
    <row r="58" spans="1:28">
      <c r="A58" t="s">
        <v>68</v>
      </c>
      <c r="B58" t="s">
        <v>175</v>
      </c>
      <c r="C58" t="s">
        <v>43</v>
      </c>
      <c r="D58" t="s">
        <v>559</v>
      </c>
      <c r="E58" t="s">
        <v>560</v>
      </c>
      <c r="F58" t="s">
        <v>561</v>
      </c>
      <c r="G58" t="s">
        <v>103</v>
      </c>
      <c r="H58" t="s">
        <v>104</v>
      </c>
      <c r="I58" t="s">
        <v>265</v>
      </c>
      <c r="J58" t="s">
        <v>562</v>
      </c>
      <c r="K58" t="s">
        <v>563</v>
      </c>
      <c r="L58" t="s">
        <v>108</v>
      </c>
      <c r="M58" t="s">
        <v>564</v>
      </c>
      <c r="N58" s="21">
        <v>45938.648611111108</v>
      </c>
      <c r="O58" s="21">
        <v>45939.561805555553</v>
      </c>
      <c r="P58" t="s">
        <v>110</v>
      </c>
      <c r="Q58" t="s">
        <v>111</v>
      </c>
      <c r="R58" t="s">
        <v>112</v>
      </c>
      <c r="S58" t="s">
        <v>565</v>
      </c>
      <c r="T58" t="s">
        <v>114</v>
      </c>
      <c r="U58" t="s">
        <v>566</v>
      </c>
      <c r="V58" t="s">
        <v>232</v>
      </c>
      <c r="W58" t="s">
        <v>117</v>
      </c>
      <c r="X58" t="s">
        <v>567</v>
      </c>
      <c r="Y58" s="22">
        <v>1</v>
      </c>
      <c r="Z58" s="22">
        <v>0</v>
      </c>
      <c r="AA58" s="24">
        <v>122645</v>
      </c>
      <c r="AB58" s="24">
        <v>122645</v>
      </c>
    </row>
    <row r="59" spans="1:28">
      <c r="A59" t="s">
        <v>62</v>
      </c>
      <c r="B59" t="s">
        <v>145</v>
      </c>
      <c r="C59" t="s">
        <v>53</v>
      </c>
      <c r="D59" t="s">
        <v>454</v>
      </c>
      <c r="E59" t="s">
        <v>568</v>
      </c>
      <c r="F59" t="s">
        <v>569</v>
      </c>
      <c r="G59" t="s">
        <v>103</v>
      </c>
      <c r="H59" t="s">
        <v>104</v>
      </c>
      <c r="I59" t="s">
        <v>457</v>
      </c>
      <c r="J59" t="s">
        <v>62</v>
      </c>
      <c r="K59" t="s">
        <v>570</v>
      </c>
      <c r="L59" t="s">
        <v>108</v>
      </c>
      <c r="M59" t="s">
        <v>571</v>
      </c>
      <c r="N59" s="21">
        <v>45938.82916666667</v>
      </c>
      <c r="O59" s="21">
        <v>45940.643055555563</v>
      </c>
      <c r="P59" t="s">
        <v>110</v>
      </c>
      <c r="Q59" t="s">
        <v>111</v>
      </c>
      <c r="R59" t="s">
        <v>112</v>
      </c>
      <c r="S59" t="s">
        <v>572</v>
      </c>
      <c r="T59" t="s">
        <v>114</v>
      </c>
      <c r="U59" t="s">
        <v>573</v>
      </c>
      <c r="V59" t="s">
        <v>144</v>
      </c>
      <c r="W59" t="s">
        <v>117</v>
      </c>
      <c r="X59" t="s">
        <v>462</v>
      </c>
      <c r="Y59" s="22">
        <v>1</v>
      </c>
      <c r="Z59" s="22">
        <v>0</v>
      </c>
      <c r="AA59" s="24">
        <v>122645</v>
      </c>
      <c r="AB59" s="24">
        <v>122645</v>
      </c>
    </row>
    <row r="60" spans="1:28">
      <c r="A60" t="s">
        <v>42</v>
      </c>
      <c r="B60" t="s">
        <v>175</v>
      </c>
      <c r="C60" t="s">
        <v>43</v>
      </c>
      <c r="D60" t="s">
        <v>574</v>
      </c>
      <c r="E60" t="s">
        <v>575</v>
      </c>
      <c r="F60" t="s">
        <v>576</v>
      </c>
      <c r="G60" t="s">
        <v>103</v>
      </c>
      <c r="H60" t="s">
        <v>104</v>
      </c>
      <c r="I60" t="s">
        <v>320</v>
      </c>
      <c r="J60" t="s">
        <v>577</v>
      </c>
      <c r="K60" t="s">
        <v>578</v>
      </c>
      <c r="L60" t="s">
        <v>108</v>
      </c>
      <c r="M60" t="s">
        <v>579</v>
      </c>
      <c r="N60" s="21">
        <v>45938.648611111108</v>
      </c>
      <c r="O60" s="21">
        <v>45939.59652777778</v>
      </c>
      <c r="P60" t="s">
        <v>110</v>
      </c>
      <c r="Q60" t="s">
        <v>111</v>
      </c>
      <c r="R60" t="s">
        <v>112</v>
      </c>
      <c r="S60" t="s">
        <v>580</v>
      </c>
      <c r="T60" t="s">
        <v>114</v>
      </c>
      <c r="U60" t="s">
        <v>581</v>
      </c>
      <c r="V60" t="s">
        <v>173</v>
      </c>
      <c r="W60" t="s">
        <v>117</v>
      </c>
      <c r="X60" t="s">
        <v>582</v>
      </c>
      <c r="Y60" s="22">
        <v>1</v>
      </c>
      <c r="Z60" s="22">
        <v>0</v>
      </c>
      <c r="AA60" s="24">
        <v>122645</v>
      </c>
      <c r="AB60" s="24">
        <v>122645</v>
      </c>
    </row>
    <row r="61" spans="1:28">
      <c r="A61" t="s">
        <v>60</v>
      </c>
      <c r="B61" t="s">
        <v>200</v>
      </c>
      <c r="C61" t="s">
        <v>31</v>
      </c>
      <c r="D61" t="s">
        <v>201</v>
      </c>
      <c r="E61" t="s">
        <v>583</v>
      </c>
      <c r="F61" t="s">
        <v>584</v>
      </c>
      <c r="G61" t="s">
        <v>103</v>
      </c>
      <c r="H61" t="s">
        <v>104</v>
      </c>
      <c r="I61" t="s">
        <v>204</v>
      </c>
      <c r="J61" t="s">
        <v>60</v>
      </c>
      <c r="K61" t="s">
        <v>585</v>
      </c>
      <c r="L61" t="s">
        <v>108</v>
      </c>
      <c r="M61" t="s">
        <v>586</v>
      </c>
      <c r="N61" s="21">
        <v>45940.496527777781</v>
      </c>
      <c r="O61" s="21">
        <v>45945.584027777782</v>
      </c>
      <c r="P61" t="s">
        <v>110</v>
      </c>
      <c r="Q61" t="s">
        <v>406</v>
      </c>
      <c r="R61" t="s">
        <v>112</v>
      </c>
      <c r="S61" t="s">
        <v>587</v>
      </c>
      <c r="T61" t="s">
        <v>114</v>
      </c>
      <c r="U61" t="s">
        <v>588</v>
      </c>
      <c r="V61" t="s">
        <v>144</v>
      </c>
      <c r="W61" t="s">
        <v>117</v>
      </c>
      <c r="X61" t="s">
        <v>243</v>
      </c>
      <c r="Y61" s="22">
        <v>1</v>
      </c>
      <c r="Z61" s="22">
        <v>0</v>
      </c>
      <c r="AA61" s="24">
        <v>122645</v>
      </c>
      <c r="AB61" s="24">
        <v>122645</v>
      </c>
    </row>
    <row r="62" spans="1:28">
      <c r="A62" t="s">
        <v>60</v>
      </c>
      <c r="B62" t="s">
        <v>200</v>
      </c>
      <c r="C62" t="s">
        <v>31</v>
      </c>
      <c r="D62" t="s">
        <v>201</v>
      </c>
      <c r="E62" t="s">
        <v>589</v>
      </c>
      <c r="F62" t="s">
        <v>590</v>
      </c>
      <c r="G62" t="s">
        <v>103</v>
      </c>
      <c r="H62" t="s">
        <v>104</v>
      </c>
      <c r="I62" t="s">
        <v>204</v>
      </c>
      <c r="J62" t="s">
        <v>60</v>
      </c>
      <c r="K62" t="s">
        <v>591</v>
      </c>
      <c r="L62" t="s">
        <v>108</v>
      </c>
      <c r="M62" t="s">
        <v>592</v>
      </c>
      <c r="N62" s="21">
        <v>45940.496527777781</v>
      </c>
      <c r="O62" s="21">
        <v>45945.673611111109</v>
      </c>
      <c r="P62" t="s">
        <v>110</v>
      </c>
      <c r="Q62" t="s">
        <v>406</v>
      </c>
      <c r="R62" t="s">
        <v>112</v>
      </c>
      <c r="S62" t="s">
        <v>587</v>
      </c>
      <c r="T62" t="s">
        <v>114</v>
      </c>
      <c r="U62" t="s">
        <v>593</v>
      </c>
      <c r="V62" t="s">
        <v>144</v>
      </c>
      <c r="W62" t="s">
        <v>117</v>
      </c>
      <c r="X62" t="s">
        <v>243</v>
      </c>
      <c r="Y62" s="22">
        <v>1</v>
      </c>
      <c r="Z62" s="22">
        <v>0</v>
      </c>
      <c r="AA62" s="24">
        <v>122645</v>
      </c>
      <c r="AB62" s="24">
        <v>122645</v>
      </c>
    </row>
    <row r="63" spans="1:28">
      <c r="A63" t="s">
        <v>60</v>
      </c>
      <c r="B63" t="s">
        <v>200</v>
      </c>
      <c r="C63" t="s">
        <v>31</v>
      </c>
      <c r="D63" t="s">
        <v>201</v>
      </c>
      <c r="E63" t="s">
        <v>594</v>
      </c>
      <c r="F63" t="s">
        <v>595</v>
      </c>
      <c r="G63" t="s">
        <v>103</v>
      </c>
      <c r="H63" t="s">
        <v>104</v>
      </c>
      <c r="I63" t="s">
        <v>204</v>
      </c>
      <c r="J63" t="s">
        <v>60</v>
      </c>
      <c r="K63" t="s">
        <v>596</v>
      </c>
      <c r="L63" t="s">
        <v>108</v>
      </c>
      <c r="M63" t="s">
        <v>597</v>
      </c>
      <c r="N63" s="21">
        <v>45940.49722222222</v>
      </c>
      <c r="O63" s="21">
        <v>45945.479166666657</v>
      </c>
      <c r="P63" t="s">
        <v>110</v>
      </c>
      <c r="Q63" t="s">
        <v>406</v>
      </c>
      <c r="R63" t="s">
        <v>112</v>
      </c>
      <c r="S63" t="s">
        <v>598</v>
      </c>
      <c r="T63" t="s">
        <v>114</v>
      </c>
      <c r="U63" t="s">
        <v>599</v>
      </c>
      <c r="V63" t="s">
        <v>144</v>
      </c>
      <c r="W63" t="s">
        <v>117</v>
      </c>
      <c r="X63" t="s">
        <v>600</v>
      </c>
      <c r="Y63" s="22">
        <v>1</v>
      </c>
      <c r="Z63" s="22">
        <v>0</v>
      </c>
      <c r="AA63" s="24">
        <v>122645</v>
      </c>
      <c r="AB63" s="24">
        <v>122645</v>
      </c>
    </row>
    <row r="64" spans="1:28">
      <c r="A64" t="s">
        <v>60</v>
      </c>
      <c r="B64" t="s">
        <v>200</v>
      </c>
      <c r="C64" t="s">
        <v>31</v>
      </c>
      <c r="D64" t="s">
        <v>201</v>
      </c>
      <c r="E64" t="s">
        <v>601</v>
      </c>
      <c r="F64" t="s">
        <v>602</v>
      </c>
      <c r="G64" t="s">
        <v>103</v>
      </c>
      <c r="H64" t="s">
        <v>104</v>
      </c>
      <c r="I64" t="s">
        <v>204</v>
      </c>
      <c r="J64" t="s">
        <v>60</v>
      </c>
      <c r="K64" t="s">
        <v>603</v>
      </c>
      <c r="L64" t="s">
        <v>108</v>
      </c>
      <c r="M64" t="s">
        <v>604</v>
      </c>
      <c r="N64" s="21">
        <v>45940.49722222222</v>
      </c>
      <c r="O64" s="21">
        <v>45945.668749999997</v>
      </c>
      <c r="P64" t="s">
        <v>110</v>
      </c>
      <c r="Q64" t="s">
        <v>406</v>
      </c>
      <c r="R64" t="s">
        <v>112</v>
      </c>
      <c r="S64" t="s">
        <v>605</v>
      </c>
      <c r="T64" t="s">
        <v>114</v>
      </c>
      <c r="U64" t="s">
        <v>606</v>
      </c>
      <c r="V64" t="s">
        <v>144</v>
      </c>
      <c r="W64" t="s">
        <v>117</v>
      </c>
      <c r="X64" t="s">
        <v>600</v>
      </c>
      <c r="Y64" s="22">
        <v>1</v>
      </c>
      <c r="Z64" s="22">
        <v>0</v>
      </c>
      <c r="AA64" s="24">
        <v>122645</v>
      </c>
      <c r="AB64" s="24">
        <v>122645</v>
      </c>
    </row>
    <row r="65" spans="1:28">
      <c r="A65" t="s">
        <v>60</v>
      </c>
      <c r="B65" t="s">
        <v>200</v>
      </c>
      <c r="C65" t="s">
        <v>31</v>
      </c>
      <c r="D65" t="s">
        <v>201</v>
      </c>
      <c r="E65" t="s">
        <v>607</v>
      </c>
      <c r="F65" t="s">
        <v>608</v>
      </c>
      <c r="G65" t="s">
        <v>103</v>
      </c>
      <c r="H65" t="s">
        <v>104</v>
      </c>
      <c r="I65" t="s">
        <v>204</v>
      </c>
      <c r="J65" t="s">
        <v>60</v>
      </c>
      <c r="K65" t="s">
        <v>609</v>
      </c>
      <c r="L65" t="s">
        <v>108</v>
      </c>
      <c r="M65" t="s">
        <v>610</v>
      </c>
      <c r="N65" s="21">
        <v>45940.49722222222</v>
      </c>
      <c r="O65" s="21">
        <v>45947.363194444442</v>
      </c>
      <c r="P65" t="s">
        <v>110</v>
      </c>
      <c r="Q65" t="s">
        <v>406</v>
      </c>
      <c r="R65" t="s">
        <v>112</v>
      </c>
      <c r="S65" t="s">
        <v>611</v>
      </c>
      <c r="T65" t="s">
        <v>114</v>
      </c>
      <c r="U65" t="s">
        <v>612</v>
      </c>
      <c r="V65" t="s">
        <v>144</v>
      </c>
      <c r="W65" t="s">
        <v>117</v>
      </c>
      <c r="X65" t="s">
        <v>545</v>
      </c>
      <c r="Y65" s="22">
        <v>1</v>
      </c>
      <c r="Z65" s="22">
        <v>0</v>
      </c>
      <c r="AA65" s="24">
        <v>122645</v>
      </c>
      <c r="AB65" s="24">
        <v>122645</v>
      </c>
    </row>
    <row r="66" spans="1:28">
      <c r="A66" t="s">
        <v>60</v>
      </c>
      <c r="B66" t="s">
        <v>200</v>
      </c>
      <c r="C66" t="s">
        <v>31</v>
      </c>
      <c r="D66" t="s">
        <v>613</v>
      </c>
      <c r="E66" t="s">
        <v>614</v>
      </c>
      <c r="F66" t="s">
        <v>615</v>
      </c>
      <c r="G66" t="s">
        <v>103</v>
      </c>
      <c r="H66" t="s">
        <v>104</v>
      </c>
      <c r="I66" t="s">
        <v>204</v>
      </c>
      <c r="J66" t="s">
        <v>616</v>
      </c>
      <c r="K66" t="s">
        <v>617</v>
      </c>
      <c r="L66" t="s">
        <v>108</v>
      </c>
      <c r="M66" t="s">
        <v>618</v>
      </c>
      <c r="N66" s="21">
        <v>45940.496527777781</v>
      </c>
      <c r="O66" s="21">
        <v>45944.605555555558</v>
      </c>
      <c r="P66" t="s">
        <v>110</v>
      </c>
      <c r="Q66" t="s">
        <v>406</v>
      </c>
      <c r="R66" t="s">
        <v>112</v>
      </c>
      <c r="S66" t="s">
        <v>619</v>
      </c>
      <c r="T66" t="s">
        <v>114</v>
      </c>
      <c r="U66" t="s">
        <v>620</v>
      </c>
      <c r="V66" t="s">
        <v>232</v>
      </c>
      <c r="W66" t="s">
        <v>117</v>
      </c>
      <c r="X66" t="s">
        <v>243</v>
      </c>
      <c r="Y66" s="22">
        <v>1</v>
      </c>
      <c r="Z66" s="22">
        <v>0</v>
      </c>
      <c r="AA66" s="24">
        <v>122645</v>
      </c>
      <c r="AB66" s="24">
        <v>122645</v>
      </c>
    </row>
    <row r="67" spans="1:28">
      <c r="A67" t="s">
        <v>60</v>
      </c>
      <c r="B67" t="s">
        <v>200</v>
      </c>
      <c r="C67" t="s">
        <v>31</v>
      </c>
      <c r="D67" t="s">
        <v>621</v>
      </c>
      <c r="E67" t="s">
        <v>622</v>
      </c>
      <c r="F67" t="s">
        <v>623</v>
      </c>
      <c r="G67" t="s">
        <v>103</v>
      </c>
      <c r="H67" t="s">
        <v>104</v>
      </c>
      <c r="I67" t="s">
        <v>204</v>
      </c>
      <c r="J67" t="s">
        <v>624</v>
      </c>
      <c r="K67" t="s">
        <v>625</v>
      </c>
      <c r="L67" t="s">
        <v>108</v>
      </c>
      <c r="M67" t="s">
        <v>626</v>
      </c>
      <c r="N67" s="21">
        <v>45940.496527777781</v>
      </c>
      <c r="O67" s="21">
        <v>45944.60833333333</v>
      </c>
      <c r="P67" t="s">
        <v>110</v>
      </c>
      <c r="Q67" t="s">
        <v>111</v>
      </c>
      <c r="R67" t="s">
        <v>112</v>
      </c>
      <c r="S67" t="s">
        <v>627</v>
      </c>
      <c r="T67" t="s">
        <v>114</v>
      </c>
      <c r="U67" t="s">
        <v>628</v>
      </c>
      <c r="V67" t="s">
        <v>232</v>
      </c>
      <c r="W67" t="s">
        <v>117</v>
      </c>
      <c r="X67" t="s">
        <v>600</v>
      </c>
      <c r="Y67" s="22">
        <v>1</v>
      </c>
      <c r="Z67" s="22">
        <v>0</v>
      </c>
      <c r="AA67" s="24">
        <v>122645</v>
      </c>
      <c r="AB67" s="24">
        <v>122645</v>
      </c>
    </row>
    <row r="68" spans="1:28">
      <c r="A68" t="s">
        <v>69</v>
      </c>
      <c r="B68" t="s">
        <v>142</v>
      </c>
      <c r="C68" t="s">
        <v>35</v>
      </c>
      <c r="D68" t="s">
        <v>629</v>
      </c>
      <c r="E68" t="s">
        <v>630</v>
      </c>
      <c r="F68" t="s">
        <v>631</v>
      </c>
      <c r="G68" t="s">
        <v>103</v>
      </c>
      <c r="H68" t="s">
        <v>104</v>
      </c>
      <c r="I68" t="s">
        <v>285</v>
      </c>
      <c r="J68" t="s">
        <v>69</v>
      </c>
      <c r="K68" t="s">
        <v>632</v>
      </c>
      <c r="L68" t="s">
        <v>108</v>
      </c>
      <c r="M68" t="s">
        <v>633</v>
      </c>
      <c r="N68" s="21">
        <v>45940.579861111109</v>
      </c>
      <c r="O68" s="21">
        <v>45945.29583333333</v>
      </c>
      <c r="P68" t="s">
        <v>110</v>
      </c>
      <c r="Q68" t="s">
        <v>406</v>
      </c>
      <c r="R68" t="s">
        <v>112</v>
      </c>
      <c r="S68" t="s">
        <v>634</v>
      </c>
      <c r="T68" t="s">
        <v>114</v>
      </c>
      <c r="U68" t="s">
        <v>635</v>
      </c>
      <c r="V68" t="s">
        <v>144</v>
      </c>
      <c r="W68" t="s">
        <v>117</v>
      </c>
      <c r="X68" t="s">
        <v>636</v>
      </c>
      <c r="Y68" s="22">
        <v>1</v>
      </c>
      <c r="Z68" s="22">
        <v>0</v>
      </c>
      <c r="AA68" s="24">
        <v>122645</v>
      </c>
      <c r="AB68" s="24">
        <v>122645</v>
      </c>
    </row>
    <row r="69" spans="1:28">
      <c r="A69" t="s">
        <v>38</v>
      </c>
      <c r="B69" t="s">
        <v>444</v>
      </c>
      <c r="C69" t="s">
        <v>39</v>
      </c>
      <c r="D69" t="s">
        <v>637</v>
      </c>
      <c r="E69" t="s">
        <v>638</v>
      </c>
      <c r="F69" t="s">
        <v>639</v>
      </c>
      <c r="G69" t="s">
        <v>103</v>
      </c>
      <c r="H69" t="s">
        <v>104</v>
      </c>
      <c r="I69" t="s">
        <v>444</v>
      </c>
      <c r="J69" t="s">
        <v>640</v>
      </c>
      <c r="K69" t="s">
        <v>641</v>
      </c>
      <c r="L69" t="s">
        <v>108</v>
      </c>
      <c r="M69" t="s">
        <v>642</v>
      </c>
      <c r="N69" s="21">
        <v>45940.690972222219</v>
      </c>
      <c r="O69" s="21">
        <v>45946.240277777782</v>
      </c>
      <c r="P69" t="s">
        <v>110</v>
      </c>
      <c r="Q69" t="s">
        <v>406</v>
      </c>
      <c r="R69" t="s">
        <v>112</v>
      </c>
      <c r="S69" t="s">
        <v>643</v>
      </c>
      <c r="T69" t="s">
        <v>114</v>
      </c>
      <c r="U69" t="s">
        <v>644</v>
      </c>
      <c r="V69" t="s">
        <v>232</v>
      </c>
      <c r="W69" t="s">
        <v>117</v>
      </c>
      <c r="X69" t="s">
        <v>645</v>
      </c>
      <c r="Y69" s="22">
        <v>1</v>
      </c>
      <c r="Z69" s="22">
        <v>0</v>
      </c>
      <c r="AA69" s="24">
        <v>122645</v>
      </c>
      <c r="AB69" s="24">
        <v>122645</v>
      </c>
    </row>
    <row r="70" spans="1:28">
      <c r="A70" t="s">
        <v>62</v>
      </c>
      <c r="B70" t="s">
        <v>145</v>
      </c>
      <c r="C70" t="s">
        <v>53</v>
      </c>
      <c r="D70" t="s">
        <v>646</v>
      </c>
      <c r="E70" t="s">
        <v>647</v>
      </c>
      <c r="F70" t="s">
        <v>648</v>
      </c>
      <c r="G70" t="s">
        <v>103</v>
      </c>
      <c r="H70" t="s">
        <v>104</v>
      </c>
      <c r="I70" t="s">
        <v>457</v>
      </c>
      <c r="J70" t="s">
        <v>649</v>
      </c>
      <c r="K70" t="s">
        <v>650</v>
      </c>
      <c r="L70" t="s">
        <v>108</v>
      </c>
      <c r="M70" t="s">
        <v>651</v>
      </c>
      <c r="N70" s="21">
        <v>45940.314583333333</v>
      </c>
      <c r="O70" s="21">
        <v>45944.613888888889</v>
      </c>
      <c r="P70" t="s">
        <v>110</v>
      </c>
      <c r="Q70" t="s">
        <v>406</v>
      </c>
      <c r="R70" t="s">
        <v>112</v>
      </c>
      <c r="S70" t="s">
        <v>652</v>
      </c>
      <c r="T70" t="s">
        <v>114</v>
      </c>
      <c r="U70" t="s">
        <v>653</v>
      </c>
      <c r="V70" t="s">
        <v>232</v>
      </c>
      <c r="W70" t="s">
        <v>117</v>
      </c>
      <c r="X70" t="s">
        <v>654</v>
      </c>
      <c r="Y70" s="22">
        <v>1</v>
      </c>
      <c r="Z70" s="22">
        <v>0</v>
      </c>
      <c r="AA70" s="24">
        <v>122645</v>
      </c>
      <c r="AB70" s="24">
        <v>122645</v>
      </c>
    </row>
    <row r="71" spans="1:28">
      <c r="A71" t="s">
        <v>70</v>
      </c>
      <c r="B71" t="s">
        <v>145</v>
      </c>
      <c r="C71" t="s">
        <v>53</v>
      </c>
      <c r="D71" t="s">
        <v>655</v>
      </c>
      <c r="E71" t="s">
        <v>656</v>
      </c>
      <c r="F71" t="s">
        <v>657</v>
      </c>
      <c r="G71" t="s">
        <v>103</v>
      </c>
      <c r="H71" t="s">
        <v>104</v>
      </c>
      <c r="I71" t="s">
        <v>658</v>
      </c>
      <c r="J71" t="s">
        <v>659</v>
      </c>
      <c r="K71" t="s">
        <v>660</v>
      </c>
      <c r="L71" t="s">
        <v>108</v>
      </c>
      <c r="M71" t="s">
        <v>661</v>
      </c>
      <c r="N71" s="21">
        <v>45940.314583333333</v>
      </c>
      <c r="O71" s="21">
        <v>45945.675694444442</v>
      </c>
      <c r="P71" t="s">
        <v>110</v>
      </c>
      <c r="Q71" t="s">
        <v>406</v>
      </c>
      <c r="R71" t="s">
        <v>112</v>
      </c>
      <c r="S71" t="s">
        <v>662</v>
      </c>
      <c r="T71" t="s">
        <v>114</v>
      </c>
      <c r="U71" t="s">
        <v>663</v>
      </c>
      <c r="V71" t="s">
        <v>173</v>
      </c>
      <c r="W71" t="s">
        <v>117</v>
      </c>
      <c r="X71" t="s">
        <v>664</v>
      </c>
      <c r="Y71" s="22">
        <v>1</v>
      </c>
      <c r="Z71" s="22">
        <v>0</v>
      </c>
      <c r="AA71" s="24">
        <v>122645</v>
      </c>
      <c r="AB71" s="24">
        <v>122645</v>
      </c>
    </row>
    <row r="72" spans="1:28">
      <c r="A72" t="s">
        <v>63</v>
      </c>
      <c r="B72" t="s">
        <v>99</v>
      </c>
      <c r="C72" t="s">
        <v>47</v>
      </c>
      <c r="D72" t="s">
        <v>469</v>
      </c>
      <c r="E72" t="s">
        <v>665</v>
      </c>
      <c r="F72" t="s">
        <v>666</v>
      </c>
      <c r="G72" t="s">
        <v>103</v>
      </c>
      <c r="H72" t="s">
        <v>104</v>
      </c>
      <c r="I72" t="s">
        <v>167</v>
      </c>
      <c r="J72" t="s">
        <v>63</v>
      </c>
      <c r="K72" t="s">
        <v>667</v>
      </c>
      <c r="L72" t="s">
        <v>108</v>
      </c>
      <c r="M72" t="s">
        <v>668</v>
      </c>
      <c r="N72" s="21">
        <v>45940.734027777777</v>
      </c>
      <c r="O72" s="21">
        <v>45946.54791666667</v>
      </c>
      <c r="P72" t="s">
        <v>110</v>
      </c>
      <c r="Q72" t="s">
        <v>406</v>
      </c>
      <c r="R72" t="s">
        <v>240</v>
      </c>
      <c r="S72" t="s">
        <v>669</v>
      </c>
      <c r="T72" t="s">
        <v>114</v>
      </c>
      <c r="U72" t="s">
        <v>670</v>
      </c>
      <c r="V72" t="s">
        <v>144</v>
      </c>
      <c r="W72" t="s">
        <v>117</v>
      </c>
      <c r="X72" t="s">
        <v>174</v>
      </c>
      <c r="Y72" s="22">
        <v>1</v>
      </c>
      <c r="Z72" s="22">
        <v>0</v>
      </c>
      <c r="AA72" s="24">
        <v>122645</v>
      </c>
      <c r="AB72" s="24">
        <v>122645</v>
      </c>
    </row>
    <row r="73" spans="1:28">
      <c r="A73" t="s">
        <v>63</v>
      </c>
      <c r="B73" t="s">
        <v>99</v>
      </c>
      <c r="C73" t="s">
        <v>47</v>
      </c>
      <c r="D73" t="s">
        <v>164</v>
      </c>
      <c r="E73" t="s">
        <v>671</v>
      </c>
      <c r="F73" t="s">
        <v>672</v>
      </c>
      <c r="G73" t="s">
        <v>103</v>
      </c>
      <c r="H73" t="s">
        <v>104</v>
      </c>
      <c r="I73" t="s">
        <v>167</v>
      </c>
      <c r="J73" t="s">
        <v>168</v>
      </c>
      <c r="K73" t="s">
        <v>673</v>
      </c>
      <c r="L73" t="s">
        <v>108</v>
      </c>
      <c r="M73" t="s">
        <v>674</v>
      </c>
      <c r="N73" s="21">
        <v>45940.85</v>
      </c>
      <c r="O73" s="21">
        <v>45945.29791666667</v>
      </c>
      <c r="P73" t="s">
        <v>110</v>
      </c>
      <c r="Q73" t="s">
        <v>111</v>
      </c>
      <c r="R73" t="s">
        <v>112</v>
      </c>
      <c r="S73" t="s">
        <v>675</v>
      </c>
      <c r="T73" t="s">
        <v>114</v>
      </c>
      <c r="U73" t="s">
        <v>676</v>
      </c>
      <c r="V73" t="s">
        <v>173</v>
      </c>
      <c r="W73" t="s">
        <v>117</v>
      </c>
      <c r="X73" t="s">
        <v>677</v>
      </c>
      <c r="Y73" s="22">
        <v>1</v>
      </c>
      <c r="Z73" s="22">
        <v>0</v>
      </c>
      <c r="AA73" s="24">
        <v>122645</v>
      </c>
      <c r="AB73" s="24">
        <v>122645</v>
      </c>
    </row>
    <row r="74" spans="1:28">
      <c r="A74" t="s">
        <v>42</v>
      </c>
      <c r="B74" t="s">
        <v>175</v>
      </c>
      <c r="C74" t="s">
        <v>43</v>
      </c>
      <c r="D74" t="s">
        <v>317</v>
      </c>
      <c r="E74" t="s">
        <v>678</v>
      </c>
      <c r="F74" t="s">
        <v>679</v>
      </c>
      <c r="G74" t="s">
        <v>103</v>
      </c>
      <c r="H74" t="s">
        <v>104</v>
      </c>
      <c r="I74" t="s">
        <v>320</v>
      </c>
      <c r="J74" t="s">
        <v>42</v>
      </c>
      <c r="K74" t="s">
        <v>680</v>
      </c>
      <c r="L74" t="s">
        <v>108</v>
      </c>
      <c r="M74" t="s">
        <v>681</v>
      </c>
      <c r="N74" s="21">
        <v>45940.441666666673</v>
      </c>
      <c r="O74" s="21">
        <v>45946.537499999999</v>
      </c>
      <c r="P74" t="s">
        <v>110</v>
      </c>
      <c r="Q74" t="s">
        <v>406</v>
      </c>
      <c r="R74" t="s">
        <v>112</v>
      </c>
      <c r="S74" t="s">
        <v>682</v>
      </c>
      <c r="T74" t="s">
        <v>114</v>
      </c>
      <c r="U74" t="s">
        <v>683</v>
      </c>
      <c r="V74" t="s">
        <v>144</v>
      </c>
      <c r="W74" t="s">
        <v>117</v>
      </c>
      <c r="X74" t="s">
        <v>684</v>
      </c>
      <c r="Y74" s="22">
        <v>1</v>
      </c>
      <c r="Z74" s="22">
        <v>0</v>
      </c>
      <c r="AA74" s="24">
        <v>122645</v>
      </c>
      <c r="AB74" s="24">
        <v>122645</v>
      </c>
    </row>
    <row r="75" spans="1:28">
      <c r="A75" t="s">
        <v>42</v>
      </c>
      <c r="B75" t="s">
        <v>175</v>
      </c>
      <c r="C75" t="s">
        <v>43</v>
      </c>
      <c r="D75" t="s">
        <v>326</v>
      </c>
      <c r="E75" t="s">
        <v>685</v>
      </c>
      <c r="F75" t="s">
        <v>686</v>
      </c>
      <c r="G75" t="s">
        <v>103</v>
      </c>
      <c r="H75" t="s">
        <v>104</v>
      </c>
      <c r="I75" t="s">
        <v>320</v>
      </c>
      <c r="J75" t="s">
        <v>329</v>
      </c>
      <c r="K75" t="s">
        <v>687</v>
      </c>
      <c r="L75" t="s">
        <v>108</v>
      </c>
      <c r="M75" t="s">
        <v>688</v>
      </c>
      <c r="N75" s="21">
        <v>45940.441666666673</v>
      </c>
      <c r="O75" s="21">
        <v>45946.618055555547</v>
      </c>
      <c r="P75" t="s">
        <v>110</v>
      </c>
      <c r="Q75" t="s">
        <v>406</v>
      </c>
      <c r="R75" t="s">
        <v>240</v>
      </c>
      <c r="S75" t="s">
        <v>689</v>
      </c>
      <c r="T75" t="s">
        <v>114</v>
      </c>
      <c r="U75" t="s">
        <v>690</v>
      </c>
      <c r="V75" t="s">
        <v>144</v>
      </c>
      <c r="W75" t="s">
        <v>117</v>
      </c>
      <c r="X75" t="s">
        <v>691</v>
      </c>
      <c r="Y75" s="22">
        <v>1</v>
      </c>
      <c r="Z75" s="22">
        <v>0</v>
      </c>
      <c r="AA75" s="24">
        <v>122645</v>
      </c>
      <c r="AB75" s="24">
        <v>122645</v>
      </c>
    </row>
    <row r="76" spans="1:28">
      <c r="A76" t="s">
        <v>67</v>
      </c>
      <c r="B76" t="s">
        <v>142</v>
      </c>
      <c r="C76" t="s">
        <v>35</v>
      </c>
      <c r="D76" t="s">
        <v>692</v>
      </c>
      <c r="E76" t="s">
        <v>693</v>
      </c>
      <c r="F76" t="s">
        <v>694</v>
      </c>
      <c r="G76" t="s">
        <v>103</v>
      </c>
      <c r="H76" t="s">
        <v>104</v>
      </c>
      <c r="I76" t="s">
        <v>695</v>
      </c>
      <c r="J76" t="s">
        <v>696</v>
      </c>
      <c r="K76" t="s">
        <v>697</v>
      </c>
      <c r="L76" t="s">
        <v>108</v>
      </c>
      <c r="M76" t="s">
        <v>698</v>
      </c>
      <c r="N76" s="21">
        <v>45940.581250000003</v>
      </c>
      <c r="O76" s="21">
        <v>45945.302777777782</v>
      </c>
      <c r="P76" t="s">
        <v>110</v>
      </c>
      <c r="Q76" t="s">
        <v>406</v>
      </c>
      <c r="R76" t="s">
        <v>112</v>
      </c>
      <c r="S76" t="s">
        <v>699</v>
      </c>
      <c r="T76" t="s">
        <v>114</v>
      </c>
      <c r="U76" t="s">
        <v>700</v>
      </c>
      <c r="V76" t="s">
        <v>232</v>
      </c>
      <c r="W76" t="s">
        <v>117</v>
      </c>
      <c r="X76" t="s">
        <v>701</v>
      </c>
      <c r="Y76" s="22">
        <v>1</v>
      </c>
      <c r="Z76" s="22">
        <v>0</v>
      </c>
      <c r="AA76" s="24">
        <v>122645</v>
      </c>
      <c r="AB76" s="24">
        <v>122645</v>
      </c>
    </row>
    <row r="77" spans="1:28">
      <c r="A77" t="s">
        <v>46</v>
      </c>
      <c r="B77" t="s">
        <v>99</v>
      </c>
      <c r="C77" t="s">
        <v>47</v>
      </c>
      <c r="D77" t="s">
        <v>335</v>
      </c>
      <c r="E77" t="s">
        <v>702</v>
      </c>
      <c r="F77" t="s">
        <v>703</v>
      </c>
      <c r="G77" t="s">
        <v>103</v>
      </c>
      <c r="H77" t="s">
        <v>104</v>
      </c>
      <c r="I77" t="s">
        <v>338</v>
      </c>
      <c r="J77" t="s">
        <v>46</v>
      </c>
      <c r="K77" t="s">
        <v>704</v>
      </c>
      <c r="L77" t="s">
        <v>108</v>
      </c>
      <c r="M77" t="s">
        <v>705</v>
      </c>
      <c r="N77" s="21">
        <v>45940.712500000001</v>
      </c>
      <c r="O77" s="21">
        <v>45946.248611111107</v>
      </c>
      <c r="P77" t="s">
        <v>110</v>
      </c>
      <c r="Q77" t="s">
        <v>406</v>
      </c>
      <c r="R77" t="s">
        <v>240</v>
      </c>
      <c r="S77" t="s">
        <v>706</v>
      </c>
      <c r="T77" t="s">
        <v>114</v>
      </c>
      <c r="U77" t="s">
        <v>707</v>
      </c>
      <c r="V77" t="s">
        <v>144</v>
      </c>
      <c r="W77" t="s">
        <v>117</v>
      </c>
      <c r="X77" t="s">
        <v>708</v>
      </c>
      <c r="Y77" s="22">
        <v>1</v>
      </c>
      <c r="Z77" s="22">
        <v>0</v>
      </c>
      <c r="AA77" s="24">
        <v>122645</v>
      </c>
      <c r="AB77" s="24">
        <v>122645</v>
      </c>
    </row>
    <row r="78" spans="1:28">
      <c r="A78" t="s">
        <v>71</v>
      </c>
      <c r="B78" t="s">
        <v>145</v>
      </c>
      <c r="C78" t="s">
        <v>53</v>
      </c>
      <c r="D78" t="s">
        <v>709</v>
      </c>
      <c r="E78" t="s">
        <v>710</v>
      </c>
      <c r="F78" t="s">
        <v>711</v>
      </c>
      <c r="G78" t="s">
        <v>103</v>
      </c>
      <c r="H78" t="s">
        <v>104</v>
      </c>
      <c r="I78" t="s">
        <v>712</v>
      </c>
      <c r="J78" t="s">
        <v>71</v>
      </c>
      <c r="K78" t="s">
        <v>713</v>
      </c>
      <c r="L78" t="s">
        <v>108</v>
      </c>
      <c r="M78" t="s">
        <v>714</v>
      </c>
      <c r="N78" s="21">
        <v>45940.314583333333</v>
      </c>
      <c r="O78" s="21">
        <v>45944.617361111108</v>
      </c>
      <c r="P78" t="s">
        <v>110</v>
      </c>
      <c r="Q78" t="s">
        <v>406</v>
      </c>
      <c r="R78" t="s">
        <v>112</v>
      </c>
      <c r="S78" t="s">
        <v>715</v>
      </c>
      <c r="T78" t="s">
        <v>114</v>
      </c>
      <c r="U78" t="s">
        <v>716</v>
      </c>
      <c r="V78" t="s">
        <v>144</v>
      </c>
      <c r="W78" t="s">
        <v>117</v>
      </c>
      <c r="X78" t="s">
        <v>717</v>
      </c>
      <c r="Y78" s="22">
        <v>1</v>
      </c>
      <c r="Z78" s="22">
        <v>0</v>
      </c>
      <c r="AA78" s="24">
        <v>122645</v>
      </c>
      <c r="AB78" s="24">
        <v>122645</v>
      </c>
    </row>
    <row r="79" spans="1:28">
      <c r="A79" t="s">
        <v>38</v>
      </c>
      <c r="B79" t="s">
        <v>444</v>
      </c>
      <c r="C79" t="s">
        <v>39</v>
      </c>
      <c r="D79" t="s">
        <v>497</v>
      </c>
      <c r="E79" t="s">
        <v>718</v>
      </c>
      <c r="F79" t="s">
        <v>719</v>
      </c>
      <c r="G79" t="s">
        <v>103</v>
      </c>
      <c r="H79" t="s">
        <v>104</v>
      </c>
      <c r="I79" t="s">
        <v>444</v>
      </c>
      <c r="J79" t="s">
        <v>38</v>
      </c>
      <c r="K79" t="s">
        <v>720</v>
      </c>
      <c r="L79" t="s">
        <v>108</v>
      </c>
      <c r="M79" t="s">
        <v>721</v>
      </c>
      <c r="N79" s="21">
        <v>45940.319444444453</v>
      </c>
      <c r="O79" s="21">
        <v>45946.244444444441</v>
      </c>
      <c r="P79" t="s">
        <v>110</v>
      </c>
      <c r="Q79" t="s">
        <v>406</v>
      </c>
      <c r="R79" t="s">
        <v>112</v>
      </c>
      <c r="S79" t="s">
        <v>722</v>
      </c>
      <c r="T79" t="s">
        <v>114</v>
      </c>
      <c r="U79" t="s">
        <v>723</v>
      </c>
      <c r="V79" t="s">
        <v>144</v>
      </c>
      <c r="W79" t="s">
        <v>117</v>
      </c>
      <c r="X79" t="s">
        <v>724</v>
      </c>
      <c r="Y79" s="22">
        <v>1</v>
      </c>
      <c r="Z79" s="22">
        <v>0</v>
      </c>
      <c r="AA79" s="24">
        <v>122645</v>
      </c>
      <c r="AB79" s="24">
        <v>122645</v>
      </c>
    </row>
    <row r="80" spans="1:28">
      <c r="A80" t="s">
        <v>46</v>
      </c>
      <c r="B80" t="s">
        <v>99</v>
      </c>
      <c r="C80" t="s">
        <v>47</v>
      </c>
      <c r="D80" t="s">
        <v>725</v>
      </c>
      <c r="E80" t="s">
        <v>726</v>
      </c>
      <c r="F80" t="s">
        <v>727</v>
      </c>
      <c r="G80" t="s">
        <v>103</v>
      </c>
      <c r="H80" t="s">
        <v>534</v>
      </c>
      <c r="I80" t="s">
        <v>728</v>
      </c>
      <c r="J80" t="s">
        <v>729</v>
      </c>
      <c r="K80" t="s">
        <v>730</v>
      </c>
      <c r="L80" t="s">
        <v>108</v>
      </c>
      <c r="M80" t="s">
        <v>731</v>
      </c>
      <c r="N80" s="21">
        <v>45946.706250000003</v>
      </c>
      <c r="O80" s="21">
        <v>45947.647523148153</v>
      </c>
      <c r="P80" t="s">
        <v>110</v>
      </c>
      <c r="Q80" t="s">
        <v>111</v>
      </c>
      <c r="R80" t="s">
        <v>112</v>
      </c>
      <c r="S80" t="s">
        <v>732</v>
      </c>
      <c r="T80" t="s">
        <v>114</v>
      </c>
      <c r="U80" t="s">
        <v>733</v>
      </c>
      <c r="V80" t="s">
        <v>232</v>
      </c>
      <c r="W80" t="s">
        <v>117</v>
      </c>
      <c r="X80" t="s">
        <v>734</v>
      </c>
      <c r="Y80" s="22">
        <v>1</v>
      </c>
      <c r="Z80" s="22">
        <v>0</v>
      </c>
      <c r="AA80" s="24">
        <v>122645</v>
      </c>
      <c r="AB80" s="24">
        <v>122645</v>
      </c>
    </row>
    <row r="81" spans="1:28">
      <c r="A81" t="s">
        <v>60</v>
      </c>
      <c r="B81" t="s">
        <v>200</v>
      </c>
      <c r="C81" t="s">
        <v>31</v>
      </c>
      <c r="D81" t="s">
        <v>201</v>
      </c>
      <c r="E81" t="s">
        <v>735</v>
      </c>
      <c r="F81" t="s">
        <v>736</v>
      </c>
      <c r="G81" t="s">
        <v>103</v>
      </c>
      <c r="H81" t="s">
        <v>104</v>
      </c>
      <c r="I81" t="s">
        <v>204</v>
      </c>
      <c r="J81" t="s">
        <v>60</v>
      </c>
      <c r="K81" t="s">
        <v>737</v>
      </c>
      <c r="L81" t="s">
        <v>108</v>
      </c>
      <c r="M81" t="s">
        <v>738</v>
      </c>
      <c r="N81" s="21">
        <v>45950.333333333343</v>
      </c>
      <c r="O81" s="21">
        <v>45952.513888888891</v>
      </c>
      <c r="P81" t="s">
        <v>110</v>
      </c>
      <c r="Q81" t="s">
        <v>406</v>
      </c>
      <c r="R81" t="s">
        <v>112</v>
      </c>
      <c r="S81" t="s">
        <v>739</v>
      </c>
      <c r="T81" t="s">
        <v>114</v>
      </c>
      <c r="U81" t="s">
        <v>740</v>
      </c>
      <c r="V81" t="s">
        <v>144</v>
      </c>
      <c r="W81" t="s">
        <v>117</v>
      </c>
      <c r="X81" t="s">
        <v>243</v>
      </c>
      <c r="Y81" s="22">
        <v>1</v>
      </c>
      <c r="Z81" s="22">
        <v>0</v>
      </c>
      <c r="AA81" s="24">
        <v>122645</v>
      </c>
      <c r="AB81" s="24">
        <v>122645</v>
      </c>
    </row>
    <row r="82" spans="1:28">
      <c r="A82" t="s">
        <v>60</v>
      </c>
      <c r="B82" t="s">
        <v>200</v>
      </c>
      <c r="C82" t="s">
        <v>31</v>
      </c>
      <c r="D82" t="s">
        <v>201</v>
      </c>
      <c r="E82" t="s">
        <v>741</v>
      </c>
      <c r="F82" t="s">
        <v>742</v>
      </c>
      <c r="G82" t="s">
        <v>103</v>
      </c>
      <c r="H82" t="s">
        <v>104</v>
      </c>
      <c r="I82" t="s">
        <v>204</v>
      </c>
      <c r="J82" t="s">
        <v>60</v>
      </c>
      <c r="K82" t="s">
        <v>743</v>
      </c>
      <c r="L82" t="s">
        <v>108</v>
      </c>
      <c r="M82" t="s">
        <v>744</v>
      </c>
      <c r="N82" s="21">
        <v>45950.333333333343</v>
      </c>
      <c r="O82" s="21">
        <v>45953.28402777778</v>
      </c>
      <c r="P82" t="s">
        <v>110</v>
      </c>
      <c r="Q82" t="s">
        <v>406</v>
      </c>
      <c r="R82" t="s">
        <v>112</v>
      </c>
      <c r="S82" t="s">
        <v>739</v>
      </c>
      <c r="T82" t="s">
        <v>114</v>
      </c>
      <c r="U82" t="s">
        <v>745</v>
      </c>
      <c r="V82" t="s">
        <v>144</v>
      </c>
      <c r="W82" t="s">
        <v>117</v>
      </c>
      <c r="X82" t="s">
        <v>243</v>
      </c>
      <c r="Y82" s="22">
        <v>1</v>
      </c>
      <c r="Z82" s="22">
        <v>0</v>
      </c>
      <c r="AA82" s="24">
        <v>122645</v>
      </c>
      <c r="AB82" s="24">
        <v>122645</v>
      </c>
    </row>
    <row r="83" spans="1:28">
      <c r="A83" t="s">
        <v>60</v>
      </c>
      <c r="B83" t="s">
        <v>200</v>
      </c>
      <c r="C83" t="s">
        <v>31</v>
      </c>
      <c r="D83" t="s">
        <v>746</v>
      </c>
      <c r="E83" t="s">
        <v>747</v>
      </c>
      <c r="F83" t="s">
        <v>748</v>
      </c>
      <c r="G83" t="s">
        <v>103</v>
      </c>
      <c r="H83" t="s">
        <v>104</v>
      </c>
      <c r="I83" t="s">
        <v>204</v>
      </c>
      <c r="J83" t="s">
        <v>275</v>
      </c>
      <c r="K83" t="s">
        <v>749</v>
      </c>
      <c r="L83" t="s">
        <v>108</v>
      </c>
      <c r="M83" t="s">
        <v>750</v>
      </c>
      <c r="N83" s="21">
        <v>45950.333333333343</v>
      </c>
      <c r="O83" s="21">
        <v>45952.520833333343</v>
      </c>
      <c r="P83" t="s">
        <v>110</v>
      </c>
      <c r="Q83" t="s">
        <v>406</v>
      </c>
      <c r="R83" t="s">
        <v>112</v>
      </c>
      <c r="S83" t="s">
        <v>751</v>
      </c>
      <c r="T83" t="s">
        <v>114</v>
      </c>
      <c r="U83" t="s">
        <v>752</v>
      </c>
      <c r="V83" t="s">
        <v>144</v>
      </c>
      <c r="W83" t="s">
        <v>117</v>
      </c>
      <c r="X83" t="s">
        <v>209</v>
      </c>
      <c r="Y83" s="22">
        <v>1</v>
      </c>
      <c r="Z83" s="22">
        <v>0</v>
      </c>
      <c r="AA83" s="24">
        <v>122645</v>
      </c>
      <c r="AB83" s="24">
        <v>122645</v>
      </c>
    </row>
    <row r="84" spans="1:28">
      <c r="A84" t="s">
        <v>60</v>
      </c>
      <c r="B84" t="s">
        <v>200</v>
      </c>
      <c r="C84" t="s">
        <v>31</v>
      </c>
      <c r="D84" t="s">
        <v>753</v>
      </c>
      <c r="E84" t="s">
        <v>754</v>
      </c>
      <c r="F84" t="s">
        <v>755</v>
      </c>
      <c r="G84" t="s">
        <v>103</v>
      </c>
      <c r="H84" t="s">
        <v>104</v>
      </c>
      <c r="I84" t="s">
        <v>204</v>
      </c>
      <c r="J84" t="s">
        <v>756</v>
      </c>
      <c r="K84" t="s">
        <v>757</v>
      </c>
      <c r="L84" t="s">
        <v>108</v>
      </c>
      <c r="M84" t="s">
        <v>758</v>
      </c>
      <c r="N84" s="21">
        <v>45950.333333333343</v>
      </c>
      <c r="O84" s="21">
        <v>45952.61041666667</v>
      </c>
      <c r="P84" t="s">
        <v>110</v>
      </c>
      <c r="Q84" t="s">
        <v>406</v>
      </c>
      <c r="R84" t="s">
        <v>112</v>
      </c>
      <c r="S84" t="s">
        <v>751</v>
      </c>
      <c r="T84" t="s">
        <v>114</v>
      </c>
      <c r="U84" t="s">
        <v>759</v>
      </c>
      <c r="V84" t="s">
        <v>144</v>
      </c>
      <c r="W84" t="s">
        <v>117</v>
      </c>
      <c r="X84" t="s">
        <v>209</v>
      </c>
      <c r="Y84" s="22">
        <v>1</v>
      </c>
      <c r="Z84" s="22">
        <v>0</v>
      </c>
      <c r="AA84" s="24">
        <v>122645</v>
      </c>
      <c r="AB84" s="24">
        <v>122645</v>
      </c>
    </row>
    <row r="85" spans="1:28">
      <c r="A85" t="s">
        <v>62</v>
      </c>
      <c r="B85" t="s">
        <v>145</v>
      </c>
      <c r="C85" t="s">
        <v>53</v>
      </c>
      <c r="D85" t="s">
        <v>454</v>
      </c>
      <c r="E85" t="s">
        <v>760</v>
      </c>
      <c r="F85" t="s">
        <v>761</v>
      </c>
      <c r="G85" t="s">
        <v>103</v>
      </c>
      <c r="H85" t="s">
        <v>104</v>
      </c>
      <c r="I85" t="s">
        <v>457</v>
      </c>
      <c r="J85" t="s">
        <v>62</v>
      </c>
      <c r="K85" t="s">
        <v>762</v>
      </c>
      <c r="L85" t="s">
        <v>108</v>
      </c>
      <c r="M85" t="s">
        <v>763</v>
      </c>
      <c r="N85" s="21">
        <v>45950.333333333343</v>
      </c>
      <c r="O85" s="21">
        <v>45952.274305555547</v>
      </c>
      <c r="P85" t="s">
        <v>110</v>
      </c>
      <c r="Q85" t="s">
        <v>406</v>
      </c>
      <c r="R85" t="s">
        <v>112</v>
      </c>
      <c r="S85" t="s">
        <v>764</v>
      </c>
      <c r="T85" t="s">
        <v>114</v>
      </c>
      <c r="U85" t="s">
        <v>765</v>
      </c>
      <c r="V85" t="s">
        <v>144</v>
      </c>
      <c r="W85" t="s">
        <v>117</v>
      </c>
      <c r="X85" t="s">
        <v>462</v>
      </c>
      <c r="Y85" s="22">
        <v>1</v>
      </c>
      <c r="Z85" s="22">
        <v>0</v>
      </c>
      <c r="AA85" s="24">
        <v>122645</v>
      </c>
      <c r="AB85" s="24">
        <v>122645</v>
      </c>
    </row>
    <row r="86" spans="1:28">
      <c r="A86" t="s">
        <v>63</v>
      </c>
      <c r="B86" t="s">
        <v>99</v>
      </c>
      <c r="C86" t="s">
        <v>47</v>
      </c>
      <c r="D86" t="s">
        <v>469</v>
      </c>
      <c r="E86" t="s">
        <v>766</v>
      </c>
      <c r="F86" t="s">
        <v>767</v>
      </c>
      <c r="G86" t="s">
        <v>103</v>
      </c>
      <c r="H86" t="s">
        <v>104</v>
      </c>
      <c r="I86" t="s">
        <v>167</v>
      </c>
      <c r="J86" t="s">
        <v>63</v>
      </c>
      <c r="K86" t="s">
        <v>768</v>
      </c>
      <c r="L86" t="s">
        <v>108</v>
      </c>
      <c r="M86" t="s">
        <v>769</v>
      </c>
      <c r="N86" s="21">
        <v>45950.333333333343</v>
      </c>
      <c r="O86" s="21">
        <v>45951.645138888889</v>
      </c>
      <c r="P86" t="s">
        <v>110</v>
      </c>
      <c r="Q86" t="s">
        <v>406</v>
      </c>
      <c r="R86" t="s">
        <v>112</v>
      </c>
      <c r="S86" t="s">
        <v>770</v>
      </c>
      <c r="T86" t="s">
        <v>114</v>
      </c>
      <c r="U86" t="s">
        <v>771</v>
      </c>
      <c r="V86" t="s">
        <v>144</v>
      </c>
      <c r="W86" t="s">
        <v>117</v>
      </c>
      <c r="X86" t="s">
        <v>174</v>
      </c>
      <c r="Y86" s="22">
        <v>1</v>
      </c>
      <c r="Z86" s="22">
        <v>0</v>
      </c>
      <c r="AA86" s="24">
        <v>122645</v>
      </c>
      <c r="AB86" s="24">
        <v>122645</v>
      </c>
    </row>
    <row r="87" spans="1:28">
      <c r="A87" t="s">
        <v>42</v>
      </c>
      <c r="B87" t="s">
        <v>175</v>
      </c>
      <c r="C87" t="s">
        <v>43</v>
      </c>
      <c r="D87" t="s">
        <v>317</v>
      </c>
      <c r="E87" t="s">
        <v>772</v>
      </c>
      <c r="F87" t="s">
        <v>773</v>
      </c>
      <c r="G87" t="s">
        <v>103</v>
      </c>
      <c r="H87" t="s">
        <v>104</v>
      </c>
      <c r="I87" t="s">
        <v>320</v>
      </c>
      <c r="J87" t="s">
        <v>42</v>
      </c>
      <c r="K87" t="s">
        <v>774</v>
      </c>
      <c r="L87" t="s">
        <v>108</v>
      </c>
      <c r="M87" t="s">
        <v>775</v>
      </c>
      <c r="N87" s="21">
        <v>45950.333333333343</v>
      </c>
      <c r="O87" s="21">
        <v>45951.550694444442</v>
      </c>
      <c r="P87" t="s">
        <v>110</v>
      </c>
      <c r="Q87" t="s">
        <v>406</v>
      </c>
      <c r="R87" t="s">
        <v>112</v>
      </c>
      <c r="S87" t="s">
        <v>776</v>
      </c>
      <c r="T87" t="s">
        <v>114</v>
      </c>
      <c r="U87" t="s">
        <v>777</v>
      </c>
      <c r="V87" t="s">
        <v>144</v>
      </c>
      <c r="W87" t="s">
        <v>117</v>
      </c>
      <c r="X87" t="s">
        <v>778</v>
      </c>
      <c r="Y87" s="22">
        <v>1</v>
      </c>
      <c r="Z87" s="22">
        <v>0</v>
      </c>
      <c r="AA87" s="24">
        <v>122645</v>
      </c>
      <c r="AB87" s="24">
        <v>122645</v>
      </c>
    </row>
    <row r="88" spans="1:28">
      <c r="A88" t="s">
        <v>42</v>
      </c>
      <c r="B88" t="s">
        <v>175</v>
      </c>
      <c r="C88" t="s">
        <v>43</v>
      </c>
      <c r="D88" t="s">
        <v>779</v>
      </c>
      <c r="E88" t="s">
        <v>780</v>
      </c>
      <c r="F88" t="s">
        <v>781</v>
      </c>
      <c r="G88" t="s">
        <v>103</v>
      </c>
      <c r="H88" t="s">
        <v>104</v>
      </c>
      <c r="I88" t="s">
        <v>320</v>
      </c>
      <c r="J88" t="s">
        <v>782</v>
      </c>
      <c r="K88" t="s">
        <v>783</v>
      </c>
      <c r="L88" t="s">
        <v>108</v>
      </c>
      <c r="M88" t="s">
        <v>784</v>
      </c>
      <c r="N88" s="21">
        <v>45950.333333333343</v>
      </c>
      <c r="O88" s="21">
        <v>45951.63958333333</v>
      </c>
      <c r="P88" t="s">
        <v>110</v>
      </c>
      <c r="Q88" t="s">
        <v>406</v>
      </c>
      <c r="R88" t="s">
        <v>112</v>
      </c>
      <c r="S88" t="s">
        <v>785</v>
      </c>
      <c r="T88" t="s">
        <v>114</v>
      </c>
      <c r="U88" t="s">
        <v>786</v>
      </c>
      <c r="V88" t="s">
        <v>232</v>
      </c>
      <c r="W88" t="s">
        <v>117</v>
      </c>
      <c r="X88" t="s">
        <v>582</v>
      </c>
      <c r="Y88" s="22">
        <v>1</v>
      </c>
      <c r="Z88" s="22">
        <v>0</v>
      </c>
      <c r="AA88" s="24">
        <v>122645</v>
      </c>
      <c r="AB88" s="24">
        <v>122645</v>
      </c>
    </row>
    <row r="89" spans="1:28">
      <c r="A89" t="s">
        <v>42</v>
      </c>
      <c r="B89" t="s">
        <v>175</v>
      </c>
      <c r="C89" t="s">
        <v>43</v>
      </c>
      <c r="D89" t="s">
        <v>787</v>
      </c>
      <c r="E89" t="s">
        <v>788</v>
      </c>
      <c r="F89" t="s">
        <v>789</v>
      </c>
      <c r="G89" t="s">
        <v>103</v>
      </c>
      <c r="H89" t="s">
        <v>104</v>
      </c>
      <c r="I89" t="s">
        <v>320</v>
      </c>
      <c r="J89" t="s">
        <v>790</v>
      </c>
      <c r="K89" t="s">
        <v>791</v>
      </c>
      <c r="L89" t="s">
        <v>108</v>
      </c>
      <c r="M89" t="s">
        <v>792</v>
      </c>
      <c r="N89" s="21">
        <v>45950.333333333343</v>
      </c>
      <c r="O89" s="21">
        <v>45952.275694444441</v>
      </c>
      <c r="P89" t="s">
        <v>110</v>
      </c>
      <c r="Q89" t="s">
        <v>406</v>
      </c>
      <c r="R89" t="s">
        <v>112</v>
      </c>
      <c r="S89" t="s">
        <v>793</v>
      </c>
      <c r="T89" t="s">
        <v>114</v>
      </c>
      <c r="U89" t="s">
        <v>794</v>
      </c>
      <c r="V89" t="s">
        <v>116</v>
      </c>
      <c r="W89" t="s">
        <v>117</v>
      </c>
      <c r="X89" t="s">
        <v>334</v>
      </c>
      <c r="Y89" s="22">
        <v>1</v>
      </c>
      <c r="Z89" s="22">
        <v>0</v>
      </c>
      <c r="AA89" s="24">
        <v>122645</v>
      </c>
      <c r="AB89" s="24">
        <v>122645</v>
      </c>
    </row>
    <row r="90" spans="1:28">
      <c r="A90" t="s">
        <v>46</v>
      </c>
      <c r="B90" t="s">
        <v>99</v>
      </c>
      <c r="C90" t="s">
        <v>47</v>
      </c>
      <c r="D90" t="s">
        <v>335</v>
      </c>
      <c r="E90" t="s">
        <v>795</v>
      </c>
      <c r="F90" t="s">
        <v>796</v>
      </c>
      <c r="G90" t="s">
        <v>103</v>
      </c>
      <c r="H90" t="s">
        <v>104</v>
      </c>
      <c r="I90" t="s">
        <v>338</v>
      </c>
      <c r="J90" t="s">
        <v>46</v>
      </c>
      <c r="K90" t="s">
        <v>797</v>
      </c>
      <c r="L90" t="s">
        <v>108</v>
      </c>
      <c r="M90" t="s">
        <v>798</v>
      </c>
      <c r="N90" s="21">
        <v>45950.333333333343</v>
      </c>
      <c r="O90" s="21">
        <v>45951.651388888888</v>
      </c>
      <c r="P90" t="s">
        <v>110</v>
      </c>
      <c r="Q90" t="s">
        <v>406</v>
      </c>
      <c r="R90" t="s">
        <v>112</v>
      </c>
      <c r="S90" t="s">
        <v>799</v>
      </c>
      <c r="T90" t="s">
        <v>114</v>
      </c>
      <c r="U90" t="s">
        <v>800</v>
      </c>
      <c r="V90" t="s">
        <v>144</v>
      </c>
      <c r="W90" t="s">
        <v>117</v>
      </c>
      <c r="X90" t="s">
        <v>496</v>
      </c>
      <c r="Y90" s="22">
        <v>1</v>
      </c>
      <c r="Z90" s="22">
        <v>0</v>
      </c>
      <c r="AA90" s="24">
        <v>122645</v>
      </c>
      <c r="AB90" s="24">
        <v>122645</v>
      </c>
    </row>
    <row r="91" spans="1:28">
      <c r="A91" t="s">
        <v>46</v>
      </c>
      <c r="B91" t="s">
        <v>99</v>
      </c>
      <c r="C91" t="s">
        <v>47</v>
      </c>
      <c r="D91" t="s">
        <v>801</v>
      </c>
      <c r="E91" t="s">
        <v>802</v>
      </c>
      <c r="F91" t="s">
        <v>803</v>
      </c>
      <c r="G91" t="s">
        <v>103</v>
      </c>
      <c r="H91" t="s">
        <v>104</v>
      </c>
      <c r="I91" t="s">
        <v>338</v>
      </c>
      <c r="J91" t="s">
        <v>804</v>
      </c>
      <c r="K91" t="s">
        <v>805</v>
      </c>
      <c r="L91" t="s">
        <v>108</v>
      </c>
      <c r="M91" t="s">
        <v>806</v>
      </c>
      <c r="N91" s="21">
        <v>45950.333333333343</v>
      </c>
      <c r="O91" s="21">
        <v>45951.655555555553</v>
      </c>
      <c r="P91" t="s">
        <v>110</v>
      </c>
      <c r="Q91" t="s">
        <v>406</v>
      </c>
      <c r="R91" t="s">
        <v>112</v>
      </c>
      <c r="S91" t="s">
        <v>807</v>
      </c>
      <c r="T91" t="s">
        <v>114</v>
      </c>
      <c r="U91" t="s">
        <v>808</v>
      </c>
      <c r="V91" t="s">
        <v>232</v>
      </c>
      <c r="W91" t="s">
        <v>117</v>
      </c>
      <c r="X91" t="s">
        <v>734</v>
      </c>
      <c r="Y91" s="22">
        <v>1</v>
      </c>
      <c r="Z91" s="22">
        <v>0</v>
      </c>
      <c r="AA91" s="24">
        <v>122645</v>
      </c>
      <c r="AB91" s="24">
        <v>122645</v>
      </c>
    </row>
    <row r="92" spans="1:28">
      <c r="A92" t="s">
        <v>71</v>
      </c>
      <c r="B92" t="s">
        <v>145</v>
      </c>
      <c r="C92" t="s">
        <v>53</v>
      </c>
      <c r="D92" t="s">
        <v>709</v>
      </c>
      <c r="E92" t="s">
        <v>809</v>
      </c>
      <c r="F92" t="s">
        <v>810</v>
      </c>
      <c r="G92" t="s">
        <v>103</v>
      </c>
      <c r="H92" t="s">
        <v>104</v>
      </c>
      <c r="I92" t="s">
        <v>712</v>
      </c>
      <c r="J92" t="s">
        <v>71</v>
      </c>
      <c r="K92" t="s">
        <v>811</v>
      </c>
      <c r="L92" t="s">
        <v>108</v>
      </c>
      <c r="M92" t="s">
        <v>812</v>
      </c>
      <c r="N92" s="21">
        <v>45950.333333333343</v>
      </c>
      <c r="O92" s="21">
        <v>45951.658333333333</v>
      </c>
      <c r="P92" t="s">
        <v>110</v>
      </c>
      <c r="Q92" t="s">
        <v>406</v>
      </c>
      <c r="R92" t="s">
        <v>112</v>
      </c>
      <c r="S92" t="s">
        <v>813</v>
      </c>
      <c r="T92" t="s">
        <v>114</v>
      </c>
      <c r="U92" t="s">
        <v>814</v>
      </c>
      <c r="V92" t="s">
        <v>144</v>
      </c>
      <c r="W92" t="s">
        <v>117</v>
      </c>
      <c r="X92" t="s">
        <v>717</v>
      </c>
      <c r="Y92" s="22">
        <v>1</v>
      </c>
      <c r="Z92" s="22">
        <v>0</v>
      </c>
      <c r="AA92" s="24">
        <v>122645</v>
      </c>
      <c r="AB92" s="24">
        <v>122645</v>
      </c>
    </row>
    <row r="93" spans="1:28">
      <c r="A93" t="s">
        <v>71</v>
      </c>
      <c r="B93" t="s">
        <v>145</v>
      </c>
      <c r="C93" t="s">
        <v>53</v>
      </c>
      <c r="D93" t="s">
        <v>815</v>
      </c>
      <c r="E93" t="s">
        <v>816</v>
      </c>
      <c r="F93" t="s">
        <v>817</v>
      </c>
      <c r="G93" t="s">
        <v>103</v>
      </c>
      <c r="H93" t="s">
        <v>104</v>
      </c>
      <c r="I93" t="s">
        <v>712</v>
      </c>
      <c r="J93" t="s">
        <v>818</v>
      </c>
      <c r="K93" t="s">
        <v>819</v>
      </c>
      <c r="L93" t="s">
        <v>108</v>
      </c>
      <c r="M93" t="s">
        <v>820</v>
      </c>
      <c r="N93" s="21">
        <v>45950.333333333343</v>
      </c>
      <c r="O93" s="21">
        <v>45952.527777777781</v>
      </c>
      <c r="P93" t="s">
        <v>110</v>
      </c>
      <c r="Q93" t="s">
        <v>406</v>
      </c>
      <c r="R93" t="s">
        <v>112</v>
      </c>
      <c r="S93" t="s">
        <v>821</v>
      </c>
      <c r="T93" t="s">
        <v>114</v>
      </c>
      <c r="U93" t="s">
        <v>822</v>
      </c>
      <c r="V93" t="s">
        <v>232</v>
      </c>
      <c r="W93" t="s">
        <v>117</v>
      </c>
      <c r="X93" t="s">
        <v>717</v>
      </c>
      <c r="Y93" s="22">
        <v>1</v>
      </c>
      <c r="Z93" s="22">
        <v>0</v>
      </c>
      <c r="AA93" s="24">
        <v>122645</v>
      </c>
      <c r="AB93" s="24">
        <v>122645</v>
      </c>
    </row>
    <row r="94" spans="1:28">
      <c r="A94" t="s">
        <v>38</v>
      </c>
      <c r="B94" t="s">
        <v>444</v>
      </c>
      <c r="C94" t="s">
        <v>39</v>
      </c>
      <c r="D94" t="s">
        <v>497</v>
      </c>
      <c r="E94" t="s">
        <v>823</v>
      </c>
      <c r="F94" t="s">
        <v>824</v>
      </c>
      <c r="G94" t="s">
        <v>103</v>
      </c>
      <c r="H94" t="s">
        <v>104</v>
      </c>
      <c r="I94" t="s">
        <v>444</v>
      </c>
      <c r="J94" t="s">
        <v>38</v>
      </c>
      <c r="K94" t="s">
        <v>825</v>
      </c>
      <c r="L94" t="s">
        <v>108</v>
      </c>
      <c r="M94" t="s">
        <v>826</v>
      </c>
      <c r="N94" s="21">
        <v>45950.333333333343</v>
      </c>
      <c r="O94" s="21">
        <v>45953.286805555559</v>
      </c>
      <c r="P94" t="s">
        <v>110</v>
      </c>
      <c r="Q94" t="s">
        <v>406</v>
      </c>
      <c r="R94" t="s">
        <v>240</v>
      </c>
      <c r="S94" t="s">
        <v>827</v>
      </c>
      <c r="T94" t="s">
        <v>114</v>
      </c>
      <c r="U94" t="s">
        <v>828</v>
      </c>
      <c r="V94" t="s">
        <v>144</v>
      </c>
      <c r="W94" t="s">
        <v>117</v>
      </c>
      <c r="X94" t="s">
        <v>829</v>
      </c>
      <c r="Y94" s="22">
        <v>1</v>
      </c>
      <c r="Z94" s="22">
        <v>0</v>
      </c>
      <c r="AA94" s="24">
        <v>122645</v>
      </c>
      <c r="AB94" s="24">
        <v>122645</v>
      </c>
    </row>
    <row r="95" spans="1:28">
      <c r="A95" t="s">
        <v>60</v>
      </c>
      <c r="B95" t="s">
        <v>200</v>
      </c>
      <c r="C95" t="s">
        <v>31</v>
      </c>
      <c r="D95" t="s">
        <v>201</v>
      </c>
      <c r="E95" t="s">
        <v>830</v>
      </c>
      <c r="F95" t="s">
        <v>831</v>
      </c>
      <c r="G95" t="s">
        <v>103</v>
      </c>
      <c r="H95" t="s">
        <v>104</v>
      </c>
      <c r="I95" t="s">
        <v>204</v>
      </c>
      <c r="J95" t="s">
        <v>60</v>
      </c>
      <c r="K95" t="s">
        <v>832</v>
      </c>
      <c r="L95" t="s">
        <v>108</v>
      </c>
      <c r="M95" t="s">
        <v>833</v>
      </c>
      <c r="N95" s="21">
        <v>45952.615277777782</v>
      </c>
      <c r="O95" s="21">
        <v>45954.537499999999</v>
      </c>
      <c r="P95" t="s">
        <v>110</v>
      </c>
      <c r="Q95" t="s">
        <v>406</v>
      </c>
      <c r="R95" t="s">
        <v>112</v>
      </c>
      <c r="S95" t="s">
        <v>834</v>
      </c>
      <c r="T95" t="s">
        <v>114</v>
      </c>
      <c r="U95" t="s">
        <v>835</v>
      </c>
      <c r="V95" t="s">
        <v>144</v>
      </c>
      <c r="W95" t="s">
        <v>117</v>
      </c>
      <c r="X95" t="s">
        <v>600</v>
      </c>
      <c r="Y95" s="22">
        <v>1</v>
      </c>
      <c r="Z95" s="22">
        <v>0</v>
      </c>
      <c r="AA95" s="24">
        <v>122645</v>
      </c>
      <c r="AB95" s="24">
        <v>122645</v>
      </c>
    </row>
    <row r="96" spans="1:28">
      <c r="A96" t="s">
        <v>60</v>
      </c>
      <c r="B96" t="s">
        <v>200</v>
      </c>
      <c r="C96" t="s">
        <v>31</v>
      </c>
      <c r="D96" t="s">
        <v>201</v>
      </c>
      <c r="E96" t="s">
        <v>836</v>
      </c>
      <c r="F96" t="s">
        <v>837</v>
      </c>
      <c r="G96" t="s">
        <v>103</v>
      </c>
      <c r="H96" t="s">
        <v>104</v>
      </c>
      <c r="I96" t="s">
        <v>204</v>
      </c>
      <c r="J96" t="s">
        <v>60</v>
      </c>
      <c r="K96" t="s">
        <v>838</v>
      </c>
      <c r="L96" t="s">
        <v>108</v>
      </c>
      <c r="M96" t="s">
        <v>839</v>
      </c>
      <c r="N96" s="21">
        <v>45952.615277777782</v>
      </c>
      <c r="O96" s="21">
        <v>45954.582638888889</v>
      </c>
      <c r="P96" t="s">
        <v>110</v>
      </c>
      <c r="Q96" t="s">
        <v>406</v>
      </c>
      <c r="R96" t="s">
        <v>112</v>
      </c>
      <c r="S96" t="s">
        <v>840</v>
      </c>
      <c r="T96" t="s">
        <v>114</v>
      </c>
      <c r="U96" t="s">
        <v>841</v>
      </c>
      <c r="V96" t="s">
        <v>144</v>
      </c>
      <c r="W96" t="s">
        <v>117</v>
      </c>
      <c r="X96" t="s">
        <v>545</v>
      </c>
      <c r="Y96" s="22">
        <v>1</v>
      </c>
      <c r="Z96" s="22">
        <v>0</v>
      </c>
      <c r="AA96" s="24">
        <v>122645</v>
      </c>
      <c r="AB96" s="24">
        <v>122645</v>
      </c>
    </row>
    <row r="97" spans="1:28">
      <c r="A97" t="s">
        <v>60</v>
      </c>
      <c r="B97" t="s">
        <v>200</v>
      </c>
      <c r="C97" t="s">
        <v>31</v>
      </c>
      <c r="D97" t="s">
        <v>201</v>
      </c>
      <c r="E97" t="s">
        <v>842</v>
      </c>
      <c r="F97" t="s">
        <v>843</v>
      </c>
      <c r="G97" t="s">
        <v>103</v>
      </c>
      <c r="H97" t="s">
        <v>104</v>
      </c>
      <c r="I97" t="s">
        <v>204</v>
      </c>
      <c r="J97" t="s">
        <v>60</v>
      </c>
      <c r="K97" t="s">
        <v>844</v>
      </c>
      <c r="L97" t="s">
        <v>108</v>
      </c>
      <c r="M97" t="s">
        <v>845</v>
      </c>
      <c r="N97" s="21">
        <v>45952.615972222222</v>
      </c>
      <c r="O97" s="21">
        <v>45954.7</v>
      </c>
      <c r="P97" t="s">
        <v>110</v>
      </c>
      <c r="Q97" t="s">
        <v>406</v>
      </c>
      <c r="R97" t="s">
        <v>112</v>
      </c>
      <c r="S97" t="s">
        <v>846</v>
      </c>
      <c r="T97" t="s">
        <v>114</v>
      </c>
      <c r="U97" t="s">
        <v>847</v>
      </c>
      <c r="V97" t="s">
        <v>144</v>
      </c>
      <c r="W97" t="s">
        <v>117</v>
      </c>
      <c r="X97" t="s">
        <v>243</v>
      </c>
      <c r="Y97" s="22">
        <v>1</v>
      </c>
      <c r="Z97" s="22">
        <v>0</v>
      </c>
      <c r="AA97" s="24">
        <v>122645</v>
      </c>
      <c r="AB97" s="24">
        <v>122645</v>
      </c>
    </row>
    <row r="98" spans="1:28">
      <c r="A98" t="s">
        <v>60</v>
      </c>
      <c r="B98" t="s">
        <v>200</v>
      </c>
      <c r="C98" t="s">
        <v>31</v>
      </c>
      <c r="D98" t="s">
        <v>201</v>
      </c>
      <c r="E98" t="s">
        <v>848</v>
      </c>
      <c r="F98" t="s">
        <v>849</v>
      </c>
      <c r="G98" t="s">
        <v>103</v>
      </c>
      <c r="H98" t="s">
        <v>104</v>
      </c>
      <c r="I98" t="s">
        <v>204</v>
      </c>
      <c r="J98" t="s">
        <v>60</v>
      </c>
      <c r="K98" t="s">
        <v>850</v>
      </c>
      <c r="L98" t="s">
        <v>108</v>
      </c>
      <c r="M98" t="s">
        <v>851</v>
      </c>
      <c r="N98" s="21">
        <v>45952.615277777782</v>
      </c>
      <c r="O98" s="21">
        <v>45955.42083333333</v>
      </c>
      <c r="P98" t="s">
        <v>110</v>
      </c>
      <c r="Q98" t="s">
        <v>406</v>
      </c>
      <c r="R98" t="s">
        <v>112</v>
      </c>
      <c r="S98" t="s">
        <v>852</v>
      </c>
      <c r="T98" t="s">
        <v>114</v>
      </c>
      <c r="U98" t="s">
        <v>853</v>
      </c>
      <c r="V98" t="s">
        <v>144</v>
      </c>
      <c r="W98" t="s">
        <v>117</v>
      </c>
      <c r="X98" t="s">
        <v>545</v>
      </c>
      <c r="Y98" s="22">
        <v>1</v>
      </c>
      <c r="Z98" s="22">
        <v>0</v>
      </c>
      <c r="AA98" s="24">
        <v>122645</v>
      </c>
      <c r="AB98" s="24">
        <v>122645</v>
      </c>
    </row>
    <row r="99" spans="1:28">
      <c r="A99" t="s">
        <v>60</v>
      </c>
      <c r="B99" t="s">
        <v>200</v>
      </c>
      <c r="C99" t="s">
        <v>31</v>
      </c>
      <c r="D99" t="s">
        <v>201</v>
      </c>
      <c r="E99" t="s">
        <v>854</v>
      </c>
      <c r="F99" t="s">
        <v>855</v>
      </c>
      <c r="G99" t="s">
        <v>103</v>
      </c>
      <c r="H99" t="s">
        <v>104</v>
      </c>
      <c r="I99" t="s">
        <v>204</v>
      </c>
      <c r="J99" t="s">
        <v>60</v>
      </c>
      <c r="K99" t="s">
        <v>856</v>
      </c>
      <c r="L99" t="s">
        <v>108</v>
      </c>
      <c r="M99" t="s">
        <v>857</v>
      </c>
      <c r="N99" s="21">
        <v>45952.615277777782</v>
      </c>
      <c r="O99" s="21">
        <v>45954.70208333333</v>
      </c>
      <c r="P99" t="s">
        <v>110</v>
      </c>
      <c r="Q99" t="s">
        <v>406</v>
      </c>
      <c r="R99" t="s">
        <v>112</v>
      </c>
      <c r="S99" t="s">
        <v>858</v>
      </c>
      <c r="T99" t="s">
        <v>114</v>
      </c>
      <c r="U99" t="s">
        <v>859</v>
      </c>
      <c r="V99" t="s">
        <v>144</v>
      </c>
      <c r="W99" t="s">
        <v>117</v>
      </c>
      <c r="X99" t="s">
        <v>600</v>
      </c>
      <c r="Y99" s="22">
        <v>1</v>
      </c>
      <c r="Z99" s="22">
        <v>0</v>
      </c>
      <c r="AA99" s="24">
        <v>122645</v>
      </c>
      <c r="AB99" s="24">
        <v>122645</v>
      </c>
    </row>
    <row r="100" spans="1:28">
      <c r="A100" t="s">
        <v>60</v>
      </c>
      <c r="B100" t="s">
        <v>200</v>
      </c>
      <c r="C100" t="s">
        <v>31</v>
      </c>
      <c r="D100" t="s">
        <v>860</v>
      </c>
      <c r="E100" t="s">
        <v>861</v>
      </c>
      <c r="F100" t="s">
        <v>862</v>
      </c>
      <c r="G100" t="s">
        <v>103</v>
      </c>
      <c r="H100" t="s">
        <v>104</v>
      </c>
      <c r="I100" t="s">
        <v>204</v>
      </c>
      <c r="J100" t="s">
        <v>863</v>
      </c>
      <c r="K100" t="s">
        <v>864</v>
      </c>
      <c r="L100" t="s">
        <v>108</v>
      </c>
      <c r="M100" t="s">
        <v>865</v>
      </c>
      <c r="N100" s="21">
        <v>45952.615277777782</v>
      </c>
      <c r="O100" s="21">
        <v>45953.682638888888</v>
      </c>
      <c r="P100" t="s">
        <v>110</v>
      </c>
      <c r="Q100" t="s">
        <v>406</v>
      </c>
      <c r="R100" t="s">
        <v>112</v>
      </c>
      <c r="S100" t="s">
        <v>866</v>
      </c>
      <c r="T100" t="s">
        <v>114</v>
      </c>
      <c r="U100" t="s">
        <v>867</v>
      </c>
      <c r="V100" t="s">
        <v>232</v>
      </c>
      <c r="W100" t="s">
        <v>117</v>
      </c>
      <c r="X100" t="s">
        <v>223</v>
      </c>
      <c r="Y100" s="22">
        <v>1</v>
      </c>
      <c r="Z100" s="22">
        <v>0</v>
      </c>
      <c r="AA100" s="24">
        <v>122645</v>
      </c>
      <c r="AB100" s="24">
        <v>122645</v>
      </c>
    </row>
    <row r="101" spans="1:28">
      <c r="A101" t="s">
        <v>30</v>
      </c>
      <c r="B101" t="s">
        <v>200</v>
      </c>
      <c r="C101" t="s">
        <v>31</v>
      </c>
      <c r="D101" t="s">
        <v>868</v>
      </c>
      <c r="E101" t="s">
        <v>869</v>
      </c>
      <c r="F101" t="s">
        <v>870</v>
      </c>
      <c r="G101" t="s">
        <v>103</v>
      </c>
      <c r="H101" t="s">
        <v>104</v>
      </c>
      <c r="I101" t="s">
        <v>204</v>
      </c>
      <c r="J101" t="s">
        <v>871</v>
      </c>
      <c r="K101" t="s">
        <v>872</v>
      </c>
      <c r="L101" t="s">
        <v>108</v>
      </c>
      <c r="M101" t="s">
        <v>873</v>
      </c>
      <c r="N101" s="21">
        <v>45952.615972222222</v>
      </c>
      <c r="O101" s="21">
        <v>45955.429166666669</v>
      </c>
      <c r="P101" t="s">
        <v>110</v>
      </c>
      <c r="Q101" t="s">
        <v>406</v>
      </c>
      <c r="R101" t="s">
        <v>112</v>
      </c>
      <c r="S101" t="s">
        <v>874</v>
      </c>
      <c r="T101" t="s">
        <v>114</v>
      </c>
      <c r="U101" t="s">
        <v>875</v>
      </c>
      <c r="V101" t="s">
        <v>232</v>
      </c>
      <c r="W101" t="s">
        <v>117</v>
      </c>
      <c r="X101" t="s">
        <v>394</v>
      </c>
      <c r="Y101" s="22">
        <v>1</v>
      </c>
      <c r="Z101" s="22">
        <v>0</v>
      </c>
      <c r="AA101" s="24">
        <v>122645</v>
      </c>
      <c r="AB101" s="24">
        <v>122645</v>
      </c>
    </row>
    <row r="102" spans="1:28">
      <c r="A102" t="s">
        <v>38</v>
      </c>
      <c r="B102" t="s">
        <v>444</v>
      </c>
      <c r="C102" t="s">
        <v>39</v>
      </c>
      <c r="D102" t="s">
        <v>876</v>
      </c>
      <c r="E102" t="s">
        <v>877</v>
      </c>
      <c r="F102" t="s">
        <v>878</v>
      </c>
      <c r="G102" t="s">
        <v>103</v>
      </c>
      <c r="H102" t="s">
        <v>104</v>
      </c>
      <c r="I102" t="s">
        <v>444</v>
      </c>
      <c r="J102" t="s">
        <v>879</v>
      </c>
      <c r="K102" t="s">
        <v>880</v>
      </c>
      <c r="L102" t="s">
        <v>108</v>
      </c>
      <c r="M102" t="s">
        <v>881</v>
      </c>
      <c r="N102" s="21">
        <v>45952.90625</v>
      </c>
      <c r="O102" s="21">
        <v>45959.667361111111</v>
      </c>
      <c r="P102" t="s">
        <v>110</v>
      </c>
      <c r="Q102" t="s">
        <v>406</v>
      </c>
      <c r="R102" t="s">
        <v>112</v>
      </c>
      <c r="S102" t="s">
        <v>882</v>
      </c>
      <c r="T102" t="s">
        <v>114</v>
      </c>
      <c r="U102" t="s">
        <v>883</v>
      </c>
      <c r="V102" t="s">
        <v>232</v>
      </c>
      <c r="W102" t="s">
        <v>117</v>
      </c>
      <c r="X102" t="s">
        <v>884</v>
      </c>
      <c r="Y102" s="22">
        <v>1</v>
      </c>
      <c r="Z102" s="22">
        <v>0</v>
      </c>
      <c r="AA102" s="24">
        <v>122645</v>
      </c>
      <c r="AB102" s="24">
        <v>122645</v>
      </c>
    </row>
    <row r="103" spans="1:28">
      <c r="A103" t="s">
        <v>56</v>
      </c>
      <c r="B103" t="s">
        <v>145</v>
      </c>
      <c r="C103" t="s">
        <v>53</v>
      </c>
      <c r="D103" t="s">
        <v>885</v>
      </c>
      <c r="E103" t="s">
        <v>886</v>
      </c>
      <c r="F103" t="s">
        <v>887</v>
      </c>
      <c r="G103" t="s">
        <v>103</v>
      </c>
      <c r="H103" t="s">
        <v>104</v>
      </c>
      <c r="I103" t="s">
        <v>888</v>
      </c>
      <c r="J103" t="s">
        <v>56</v>
      </c>
      <c r="K103" t="s">
        <v>889</v>
      </c>
      <c r="L103" t="s">
        <v>108</v>
      </c>
      <c r="M103" t="s">
        <v>890</v>
      </c>
      <c r="N103" s="21">
        <v>45952.806944444441</v>
      </c>
      <c r="O103" s="21">
        <v>45954.505555555559</v>
      </c>
      <c r="P103" t="s">
        <v>110</v>
      </c>
      <c r="Q103" t="s">
        <v>406</v>
      </c>
      <c r="R103" t="s">
        <v>112</v>
      </c>
      <c r="S103" t="s">
        <v>891</v>
      </c>
      <c r="T103" t="s">
        <v>114</v>
      </c>
      <c r="U103" t="s">
        <v>892</v>
      </c>
      <c r="V103" t="s">
        <v>144</v>
      </c>
      <c r="W103" t="s">
        <v>117</v>
      </c>
      <c r="X103" t="s">
        <v>893</v>
      </c>
      <c r="Y103" s="22">
        <v>1</v>
      </c>
      <c r="Z103" s="22">
        <v>0</v>
      </c>
      <c r="AA103" s="24">
        <v>122645</v>
      </c>
      <c r="AB103" s="24">
        <v>122645</v>
      </c>
    </row>
    <row r="104" spans="1:28">
      <c r="A104" t="s">
        <v>46</v>
      </c>
      <c r="B104" t="s">
        <v>99</v>
      </c>
      <c r="C104" t="s">
        <v>47</v>
      </c>
      <c r="D104" t="s">
        <v>335</v>
      </c>
      <c r="E104" t="s">
        <v>894</v>
      </c>
      <c r="F104" t="s">
        <v>895</v>
      </c>
      <c r="G104" t="s">
        <v>103</v>
      </c>
      <c r="H104" t="s">
        <v>104</v>
      </c>
      <c r="I104" t="s">
        <v>338</v>
      </c>
      <c r="J104" t="s">
        <v>46</v>
      </c>
      <c r="K104" t="s">
        <v>896</v>
      </c>
      <c r="L104" t="s">
        <v>108</v>
      </c>
      <c r="M104" t="s">
        <v>897</v>
      </c>
      <c r="N104" s="21">
        <v>45952.73541666667</v>
      </c>
      <c r="O104" s="21">
        <v>45954.539583333331</v>
      </c>
      <c r="P104" t="s">
        <v>110</v>
      </c>
      <c r="Q104" t="s">
        <v>406</v>
      </c>
      <c r="R104" t="s">
        <v>112</v>
      </c>
      <c r="S104" t="s">
        <v>898</v>
      </c>
      <c r="T104" t="s">
        <v>114</v>
      </c>
      <c r="U104" t="s">
        <v>899</v>
      </c>
      <c r="V104" t="s">
        <v>144</v>
      </c>
      <c r="W104" t="s">
        <v>117</v>
      </c>
      <c r="X104" t="s">
        <v>350</v>
      </c>
      <c r="Y104" s="22">
        <v>1</v>
      </c>
      <c r="Z104" s="22">
        <v>0</v>
      </c>
      <c r="AA104" s="24">
        <v>122645</v>
      </c>
      <c r="AB104" s="24">
        <v>122645</v>
      </c>
    </row>
    <row r="105" spans="1:28">
      <c r="A105" t="s">
        <v>46</v>
      </c>
      <c r="B105" t="s">
        <v>99</v>
      </c>
      <c r="C105" t="s">
        <v>47</v>
      </c>
      <c r="D105" t="s">
        <v>335</v>
      </c>
      <c r="E105" t="s">
        <v>900</v>
      </c>
      <c r="F105" t="s">
        <v>901</v>
      </c>
      <c r="G105" t="s">
        <v>103</v>
      </c>
      <c r="H105" t="s">
        <v>104</v>
      </c>
      <c r="I105" t="s">
        <v>338</v>
      </c>
      <c r="J105" t="s">
        <v>46</v>
      </c>
      <c r="K105" t="s">
        <v>902</v>
      </c>
      <c r="L105" t="s">
        <v>108</v>
      </c>
      <c r="M105" t="s">
        <v>903</v>
      </c>
      <c r="N105" s="21">
        <v>45952.715277777781</v>
      </c>
      <c r="O105" s="21">
        <v>45954.568749999999</v>
      </c>
      <c r="P105" t="s">
        <v>110</v>
      </c>
      <c r="Q105" t="s">
        <v>406</v>
      </c>
      <c r="R105" t="s">
        <v>112</v>
      </c>
      <c r="S105" t="s">
        <v>904</v>
      </c>
      <c r="T105" t="s">
        <v>114</v>
      </c>
      <c r="U105" t="s">
        <v>905</v>
      </c>
      <c r="V105" t="s">
        <v>144</v>
      </c>
      <c r="W105" t="s">
        <v>117</v>
      </c>
      <c r="X105" t="s">
        <v>343</v>
      </c>
      <c r="Y105" s="22">
        <v>1</v>
      </c>
      <c r="Z105" s="22">
        <v>0</v>
      </c>
      <c r="AA105" s="24">
        <v>122645</v>
      </c>
      <c r="AB105" s="24">
        <v>122645</v>
      </c>
    </row>
    <row r="106" spans="1:28">
      <c r="A106" t="s">
        <v>63</v>
      </c>
      <c r="B106" t="s">
        <v>99</v>
      </c>
      <c r="C106" t="s">
        <v>47</v>
      </c>
      <c r="D106" t="s">
        <v>119</v>
      </c>
      <c r="E106" t="s">
        <v>906</v>
      </c>
      <c r="F106" t="s">
        <v>907</v>
      </c>
      <c r="G106" t="s">
        <v>103</v>
      </c>
      <c r="H106" t="s">
        <v>104</v>
      </c>
      <c r="I106" t="s">
        <v>105</v>
      </c>
      <c r="J106" t="s">
        <v>122</v>
      </c>
      <c r="K106" t="s">
        <v>908</v>
      </c>
      <c r="L106" t="s">
        <v>108</v>
      </c>
      <c r="M106" t="s">
        <v>909</v>
      </c>
      <c r="N106" s="21">
        <v>45952.817361111112</v>
      </c>
      <c r="O106" s="21">
        <v>45958.603472222218</v>
      </c>
      <c r="P106" t="s">
        <v>110</v>
      </c>
      <c r="Q106" t="s">
        <v>406</v>
      </c>
      <c r="R106" t="s">
        <v>112</v>
      </c>
      <c r="S106" t="s">
        <v>910</v>
      </c>
      <c r="T106" t="s">
        <v>114</v>
      </c>
      <c r="U106" t="s">
        <v>911</v>
      </c>
      <c r="V106" t="s">
        <v>116</v>
      </c>
      <c r="W106" t="s">
        <v>117</v>
      </c>
      <c r="X106" t="s">
        <v>118</v>
      </c>
      <c r="Y106" s="22">
        <v>1</v>
      </c>
      <c r="Z106" s="22">
        <v>0</v>
      </c>
      <c r="AA106" s="24">
        <v>122645</v>
      </c>
      <c r="AB106" s="24">
        <v>122645</v>
      </c>
    </row>
    <row r="107" spans="1:28">
      <c r="A107" t="s">
        <v>60</v>
      </c>
      <c r="B107" t="s">
        <v>200</v>
      </c>
      <c r="C107" t="s">
        <v>31</v>
      </c>
      <c r="D107" t="s">
        <v>912</v>
      </c>
      <c r="E107" t="s">
        <v>913</v>
      </c>
      <c r="F107" t="s">
        <v>914</v>
      </c>
      <c r="G107" t="s">
        <v>103</v>
      </c>
      <c r="H107" t="s">
        <v>104</v>
      </c>
      <c r="I107" t="s">
        <v>204</v>
      </c>
      <c r="J107" t="s">
        <v>915</v>
      </c>
      <c r="K107" t="s">
        <v>916</v>
      </c>
      <c r="L107" t="s">
        <v>108</v>
      </c>
      <c r="M107" t="s">
        <v>917</v>
      </c>
      <c r="N107" s="21">
        <v>45952.615277777782</v>
      </c>
      <c r="O107" s="21">
        <v>45953.693055555559</v>
      </c>
      <c r="P107" t="s">
        <v>110</v>
      </c>
      <c r="Q107" t="s">
        <v>406</v>
      </c>
      <c r="R107" t="s">
        <v>112</v>
      </c>
      <c r="S107" t="s">
        <v>918</v>
      </c>
      <c r="T107" t="s">
        <v>114</v>
      </c>
      <c r="U107" t="s">
        <v>919</v>
      </c>
      <c r="V107" t="s">
        <v>173</v>
      </c>
      <c r="W107" t="s">
        <v>117</v>
      </c>
      <c r="X107" t="s">
        <v>233</v>
      </c>
      <c r="Y107" s="22">
        <v>1</v>
      </c>
      <c r="Z107" s="22">
        <v>0</v>
      </c>
      <c r="AA107" s="24">
        <v>122645</v>
      </c>
      <c r="AB107" s="24">
        <v>122645</v>
      </c>
    </row>
    <row r="108" spans="1:28">
      <c r="A108" t="s">
        <v>38</v>
      </c>
      <c r="B108" t="s">
        <v>444</v>
      </c>
      <c r="C108" t="s">
        <v>39</v>
      </c>
      <c r="D108" t="s">
        <v>497</v>
      </c>
      <c r="E108" t="s">
        <v>920</v>
      </c>
      <c r="F108" t="s">
        <v>921</v>
      </c>
      <c r="G108" t="s">
        <v>103</v>
      </c>
      <c r="H108" t="s">
        <v>104</v>
      </c>
      <c r="I108" t="s">
        <v>444</v>
      </c>
      <c r="J108" t="s">
        <v>38</v>
      </c>
      <c r="K108" t="s">
        <v>922</v>
      </c>
      <c r="L108" t="s">
        <v>108</v>
      </c>
      <c r="M108" t="s">
        <v>923</v>
      </c>
      <c r="N108" s="21">
        <v>45952.90625</v>
      </c>
      <c r="O108" s="21">
        <v>45959.681944444441</v>
      </c>
      <c r="P108" t="s">
        <v>110</v>
      </c>
      <c r="Q108" t="s">
        <v>406</v>
      </c>
      <c r="R108" t="s">
        <v>112</v>
      </c>
      <c r="S108" t="s">
        <v>924</v>
      </c>
      <c r="T108" t="s">
        <v>114</v>
      </c>
      <c r="U108" t="s">
        <v>925</v>
      </c>
      <c r="V108" t="s">
        <v>144</v>
      </c>
      <c r="W108" t="s">
        <v>117</v>
      </c>
      <c r="X108" t="s">
        <v>511</v>
      </c>
      <c r="Y108" s="22">
        <v>1</v>
      </c>
      <c r="Z108" s="22">
        <v>0</v>
      </c>
      <c r="AA108" s="24">
        <v>122645</v>
      </c>
      <c r="AB108" s="24">
        <v>122645</v>
      </c>
    </row>
    <row r="109" spans="1:28">
      <c r="A109" t="s">
        <v>38</v>
      </c>
      <c r="B109" t="s">
        <v>444</v>
      </c>
      <c r="C109" t="s">
        <v>39</v>
      </c>
      <c r="D109" t="s">
        <v>497</v>
      </c>
      <c r="E109" t="s">
        <v>926</v>
      </c>
      <c r="F109" t="s">
        <v>927</v>
      </c>
      <c r="G109" t="s">
        <v>103</v>
      </c>
      <c r="H109" t="s">
        <v>104</v>
      </c>
      <c r="I109" t="s">
        <v>444</v>
      </c>
      <c r="J109" t="s">
        <v>38</v>
      </c>
      <c r="K109" t="s">
        <v>928</v>
      </c>
      <c r="L109" t="s">
        <v>108</v>
      </c>
      <c r="M109" t="s">
        <v>929</v>
      </c>
      <c r="N109" s="21">
        <v>45952.90625</v>
      </c>
      <c r="O109" s="21">
        <v>45959.554166666669</v>
      </c>
      <c r="P109" t="s">
        <v>110</v>
      </c>
      <c r="Q109" t="s">
        <v>406</v>
      </c>
      <c r="R109" t="s">
        <v>112</v>
      </c>
      <c r="S109" t="s">
        <v>930</v>
      </c>
      <c r="T109" t="s">
        <v>114</v>
      </c>
      <c r="U109" t="s">
        <v>931</v>
      </c>
      <c r="V109" t="s">
        <v>144</v>
      </c>
      <c r="W109" t="s">
        <v>117</v>
      </c>
      <c r="X109" t="s">
        <v>645</v>
      </c>
      <c r="Y109" s="22">
        <v>1</v>
      </c>
      <c r="Z109" s="22">
        <v>0</v>
      </c>
      <c r="AA109" s="24">
        <v>122645</v>
      </c>
      <c r="AB109" s="24">
        <v>122645</v>
      </c>
    </row>
    <row r="110" spans="1:28">
      <c r="A110" t="s">
        <v>38</v>
      </c>
      <c r="B110" t="s">
        <v>444</v>
      </c>
      <c r="C110" t="s">
        <v>39</v>
      </c>
      <c r="D110" t="s">
        <v>497</v>
      </c>
      <c r="E110" t="s">
        <v>932</v>
      </c>
      <c r="F110" t="s">
        <v>933</v>
      </c>
      <c r="G110" t="s">
        <v>103</v>
      </c>
      <c r="H110" t="s">
        <v>104</v>
      </c>
      <c r="I110" t="s">
        <v>444</v>
      </c>
      <c r="J110" t="s">
        <v>38</v>
      </c>
      <c r="K110" t="s">
        <v>934</v>
      </c>
      <c r="L110" t="s">
        <v>108</v>
      </c>
      <c r="M110" t="s">
        <v>935</v>
      </c>
      <c r="N110" s="21">
        <v>45952.90625</v>
      </c>
      <c r="O110" s="21">
        <v>45955.44027777778</v>
      </c>
      <c r="P110" t="s">
        <v>110</v>
      </c>
      <c r="Q110" t="s">
        <v>406</v>
      </c>
      <c r="R110" t="s">
        <v>112</v>
      </c>
      <c r="S110" t="s">
        <v>936</v>
      </c>
      <c r="T110" t="s">
        <v>114</v>
      </c>
      <c r="U110" t="s">
        <v>937</v>
      </c>
      <c r="V110" t="s">
        <v>144</v>
      </c>
      <c r="W110" t="s">
        <v>117</v>
      </c>
      <c r="X110" t="s">
        <v>724</v>
      </c>
      <c r="Y110" s="22">
        <v>1</v>
      </c>
      <c r="Z110" s="22">
        <v>0</v>
      </c>
      <c r="AA110" s="24">
        <v>122645</v>
      </c>
      <c r="AB110" s="24">
        <v>122645</v>
      </c>
    </row>
    <row r="111" spans="1:28">
      <c r="A111" t="s">
        <v>38</v>
      </c>
      <c r="B111" t="s">
        <v>444</v>
      </c>
      <c r="C111" t="s">
        <v>39</v>
      </c>
      <c r="D111" t="s">
        <v>497</v>
      </c>
      <c r="E111" t="s">
        <v>938</v>
      </c>
      <c r="F111" t="s">
        <v>939</v>
      </c>
      <c r="G111" t="s">
        <v>103</v>
      </c>
      <c r="H111" t="s">
        <v>104</v>
      </c>
      <c r="I111" t="s">
        <v>444</v>
      </c>
      <c r="J111" t="s">
        <v>38</v>
      </c>
      <c r="K111" t="s">
        <v>940</v>
      </c>
      <c r="L111" t="s">
        <v>108</v>
      </c>
      <c r="M111" t="s">
        <v>941</v>
      </c>
      <c r="N111" s="21">
        <v>45952.90625</v>
      </c>
      <c r="O111" s="21">
        <v>45954.620138888888</v>
      </c>
      <c r="P111" t="s">
        <v>110</v>
      </c>
      <c r="Q111" t="s">
        <v>406</v>
      </c>
      <c r="R111" t="s">
        <v>112</v>
      </c>
      <c r="S111" t="s">
        <v>942</v>
      </c>
      <c r="T111" t="s">
        <v>114</v>
      </c>
      <c r="U111" t="s">
        <v>943</v>
      </c>
      <c r="V111" t="s">
        <v>144</v>
      </c>
      <c r="W111" t="s">
        <v>117</v>
      </c>
      <c r="X111" t="s">
        <v>531</v>
      </c>
      <c r="Y111" s="22">
        <v>1</v>
      </c>
      <c r="Z111" s="22">
        <v>0</v>
      </c>
      <c r="AA111" s="24">
        <v>122645</v>
      </c>
      <c r="AB111" s="24">
        <v>122645</v>
      </c>
    </row>
    <row r="112" spans="1:28">
      <c r="A112" t="s">
        <v>60</v>
      </c>
      <c r="B112" t="s">
        <v>200</v>
      </c>
      <c r="C112" t="s">
        <v>31</v>
      </c>
      <c r="D112" t="s">
        <v>201</v>
      </c>
      <c r="E112" t="s">
        <v>944</v>
      </c>
      <c r="F112" t="s">
        <v>945</v>
      </c>
      <c r="G112" t="s">
        <v>103</v>
      </c>
      <c r="H112" t="s">
        <v>104</v>
      </c>
      <c r="I112" t="s">
        <v>204</v>
      </c>
      <c r="J112" t="s">
        <v>60</v>
      </c>
      <c r="K112" t="s">
        <v>946</v>
      </c>
      <c r="L112" t="s">
        <v>108</v>
      </c>
      <c r="M112" t="s">
        <v>947</v>
      </c>
      <c r="N112" s="21">
        <v>45954.649305555547</v>
      </c>
      <c r="O112" s="21">
        <v>45958.673611111109</v>
      </c>
      <c r="P112" t="s">
        <v>110</v>
      </c>
      <c r="Q112" t="s">
        <v>406</v>
      </c>
      <c r="R112" t="s">
        <v>112</v>
      </c>
      <c r="S112" t="s">
        <v>948</v>
      </c>
      <c r="T112" t="s">
        <v>114</v>
      </c>
      <c r="U112" t="s">
        <v>949</v>
      </c>
      <c r="V112" t="s">
        <v>144</v>
      </c>
      <c r="W112" t="s">
        <v>117</v>
      </c>
      <c r="X112" t="s">
        <v>209</v>
      </c>
      <c r="Y112" s="22">
        <v>1</v>
      </c>
      <c r="Z112" s="22">
        <v>0</v>
      </c>
      <c r="AA112" s="24">
        <v>122645</v>
      </c>
      <c r="AB112" s="24">
        <v>122645</v>
      </c>
    </row>
    <row r="113" spans="1:28">
      <c r="A113" t="s">
        <v>60</v>
      </c>
      <c r="B113" t="s">
        <v>200</v>
      </c>
      <c r="C113" t="s">
        <v>31</v>
      </c>
      <c r="D113" t="s">
        <v>950</v>
      </c>
      <c r="E113" t="s">
        <v>951</v>
      </c>
      <c r="F113" t="s">
        <v>952</v>
      </c>
      <c r="G113" t="s">
        <v>103</v>
      </c>
      <c r="H113" t="s">
        <v>104</v>
      </c>
      <c r="I113" t="s">
        <v>204</v>
      </c>
      <c r="J113" t="s">
        <v>953</v>
      </c>
      <c r="K113" t="s">
        <v>954</v>
      </c>
      <c r="L113" t="s">
        <v>108</v>
      </c>
      <c r="M113" t="s">
        <v>955</v>
      </c>
      <c r="N113" s="21">
        <v>45954.649305555547</v>
      </c>
      <c r="O113" s="21">
        <v>45958.675694444442</v>
      </c>
      <c r="P113" t="s">
        <v>110</v>
      </c>
      <c r="Q113" t="s">
        <v>406</v>
      </c>
      <c r="R113" t="s">
        <v>112</v>
      </c>
      <c r="S113" t="s">
        <v>956</v>
      </c>
      <c r="T113" t="s">
        <v>114</v>
      </c>
      <c r="U113" t="s">
        <v>957</v>
      </c>
      <c r="V113" t="s">
        <v>232</v>
      </c>
      <c r="W113" t="s">
        <v>117</v>
      </c>
      <c r="X113" t="s">
        <v>271</v>
      </c>
      <c r="Y113" s="22">
        <v>1</v>
      </c>
      <c r="Z113" s="22">
        <v>0</v>
      </c>
      <c r="AA113" s="24">
        <v>122645</v>
      </c>
      <c r="AB113" s="24">
        <v>122645</v>
      </c>
    </row>
    <row r="114" spans="1:28">
      <c r="A114" t="s">
        <v>60</v>
      </c>
      <c r="B114" t="s">
        <v>200</v>
      </c>
      <c r="C114" t="s">
        <v>31</v>
      </c>
      <c r="D114" t="s">
        <v>958</v>
      </c>
      <c r="E114" t="s">
        <v>959</v>
      </c>
      <c r="F114" t="s">
        <v>960</v>
      </c>
      <c r="G114" t="s">
        <v>103</v>
      </c>
      <c r="H114" t="s">
        <v>104</v>
      </c>
      <c r="I114" t="s">
        <v>204</v>
      </c>
      <c r="J114" t="s">
        <v>961</v>
      </c>
      <c r="K114" t="s">
        <v>962</v>
      </c>
      <c r="L114" t="s">
        <v>108</v>
      </c>
      <c r="M114" t="s">
        <v>963</v>
      </c>
      <c r="N114" s="21">
        <v>45954.65</v>
      </c>
      <c r="O114" s="21">
        <v>45959.290972222218</v>
      </c>
      <c r="P114" t="s">
        <v>110</v>
      </c>
      <c r="Q114" t="s">
        <v>406</v>
      </c>
      <c r="R114" t="s">
        <v>112</v>
      </c>
      <c r="S114" t="s">
        <v>964</v>
      </c>
      <c r="T114" t="s">
        <v>114</v>
      </c>
      <c r="U114" t="s">
        <v>965</v>
      </c>
      <c r="V114" t="s">
        <v>173</v>
      </c>
      <c r="W114" t="s">
        <v>117</v>
      </c>
      <c r="X114" t="s">
        <v>600</v>
      </c>
      <c r="Y114" s="22">
        <v>1</v>
      </c>
      <c r="Z114" s="22">
        <v>0</v>
      </c>
      <c r="AA114" s="24">
        <v>122645</v>
      </c>
      <c r="AB114" s="24">
        <v>122645</v>
      </c>
    </row>
    <row r="115" spans="1:28">
      <c r="A115" t="s">
        <v>34</v>
      </c>
      <c r="B115" t="s">
        <v>142</v>
      </c>
      <c r="C115" t="s">
        <v>35</v>
      </c>
      <c r="D115" t="s">
        <v>437</v>
      </c>
      <c r="E115" t="s">
        <v>966</v>
      </c>
      <c r="F115" t="s">
        <v>967</v>
      </c>
      <c r="G115" t="s">
        <v>103</v>
      </c>
      <c r="H115" t="s">
        <v>104</v>
      </c>
      <c r="I115" t="s">
        <v>431</v>
      </c>
      <c r="J115" t="s">
        <v>440</v>
      </c>
      <c r="K115" t="s">
        <v>968</v>
      </c>
      <c r="L115" t="s">
        <v>108</v>
      </c>
      <c r="M115" t="s">
        <v>969</v>
      </c>
      <c r="N115" s="21">
        <v>45954.623611111107</v>
      </c>
      <c r="O115" s="21">
        <v>45957.634722222218</v>
      </c>
      <c r="P115" t="s">
        <v>110</v>
      </c>
      <c r="Q115" t="s">
        <v>406</v>
      </c>
      <c r="R115" t="s">
        <v>112</v>
      </c>
      <c r="S115" t="s">
        <v>970</v>
      </c>
      <c r="T115" t="s">
        <v>114</v>
      </c>
      <c r="U115" t="s">
        <v>971</v>
      </c>
      <c r="V115" t="s">
        <v>144</v>
      </c>
      <c r="W115" t="s">
        <v>117</v>
      </c>
      <c r="X115" t="s">
        <v>436</v>
      </c>
      <c r="Y115" s="22">
        <v>1</v>
      </c>
      <c r="Z115" s="22">
        <v>0</v>
      </c>
      <c r="AA115" s="24">
        <v>122645</v>
      </c>
      <c r="AB115" s="24">
        <v>122645</v>
      </c>
    </row>
    <row r="116" spans="1:28">
      <c r="A116" t="s">
        <v>68</v>
      </c>
      <c r="B116" t="s">
        <v>175</v>
      </c>
      <c r="C116" t="s">
        <v>43</v>
      </c>
      <c r="D116" t="s">
        <v>972</v>
      </c>
      <c r="E116" t="s">
        <v>973</v>
      </c>
      <c r="F116" t="s">
        <v>974</v>
      </c>
      <c r="G116" t="s">
        <v>103</v>
      </c>
      <c r="H116" t="s">
        <v>104</v>
      </c>
      <c r="I116" t="s">
        <v>265</v>
      </c>
      <c r="J116" t="s">
        <v>975</v>
      </c>
      <c r="K116" t="s">
        <v>976</v>
      </c>
      <c r="L116" t="s">
        <v>108</v>
      </c>
      <c r="M116" t="s">
        <v>977</v>
      </c>
      <c r="N116" s="21">
        <v>45954.710416666669</v>
      </c>
      <c r="O116" s="21">
        <v>45958.547222222223</v>
      </c>
      <c r="P116" t="s">
        <v>110</v>
      </c>
      <c r="Q116" t="s">
        <v>406</v>
      </c>
      <c r="R116" t="s">
        <v>112</v>
      </c>
      <c r="S116" t="s">
        <v>978</v>
      </c>
      <c r="T116" t="s">
        <v>114</v>
      </c>
      <c r="U116" t="s">
        <v>979</v>
      </c>
      <c r="V116" t="s">
        <v>232</v>
      </c>
      <c r="W116" t="s">
        <v>117</v>
      </c>
      <c r="X116" t="s">
        <v>567</v>
      </c>
      <c r="Y116" s="22">
        <v>1</v>
      </c>
      <c r="Z116" s="22">
        <v>0</v>
      </c>
      <c r="AA116" s="24">
        <v>122645</v>
      </c>
      <c r="AB116" s="24">
        <v>122645</v>
      </c>
    </row>
    <row r="117" spans="1:28">
      <c r="A117" t="s">
        <v>42</v>
      </c>
      <c r="B117" t="s">
        <v>175</v>
      </c>
      <c r="C117" t="s">
        <v>43</v>
      </c>
      <c r="D117" t="s">
        <v>980</v>
      </c>
      <c r="E117" t="s">
        <v>981</v>
      </c>
      <c r="F117" t="s">
        <v>982</v>
      </c>
      <c r="G117" t="s">
        <v>103</v>
      </c>
      <c r="H117" t="s">
        <v>104</v>
      </c>
      <c r="I117" t="s">
        <v>320</v>
      </c>
      <c r="J117" t="s">
        <v>983</v>
      </c>
      <c r="K117" t="s">
        <v>984</v>
      </c>
      <c r="L117" t="s">
        <v>108</v>
      </c>
      <c r="M117" t="s">
        <v>985</v>
      </c>
      <c r="N117" s="21">
        <v>45954.729166666657</v>
      </c>
      <c r="O117" s="21">
        <v>45958.495833333327</v>
      </c>
      <c r="P117" t="s">
        <v>110</v>
      </c>
      <c r="Q117" t="s">
        <v>406</v>
      </c>
      <c r="R117" t="s">
        <v>112</v>
      </c>
      <c r="S117" t="s">
        <v>986</v>
      </c>
      <c r="T117" t="s">
        <v>114</v>
      </c>
      <c r="U117" t="s">
        <v>987</v>
      </c>
      <c r="V117" t="s">
        <v>144</v>
      </c>
      <c r="W117" t="s">
        <v>117</v>
      </c>
      <c r="X117" t="s">
        <v>988</v>
      </c>
      <c r="Y117" s="22">
        <v>1</v>
      </c>
      <c r="Z117" s="22">
        <v>0</v>
      </c>
      <c r="AA117" s="24">
        <v>122645</v>
      </c>
      <c r="AB117" s="24">
        <v>122645</v>
      </c>
    </row>
    <row r="118" spans="1:28">
      <c r="A118" t="s">
        <v>42</v>
      </c>
      <c r="B118" t="s">
        <v>175</v>
      </c>
      <c r="C118" t="s">
        <v>43</v>
      </c>
      <c r="D118" t="s">
        <v>980</v>
      </c>
      <c r="E118" t="s">
        <v>989</v>
      </c>
      <c r="F118" t="s">
        <v>990</v>
      </c>
      <c r="G118" t="s">
        <v>103</v>
      </c>
      <c r="H118" t="s">
        <v>104</v>
      </c>
      <c r="I118" t="s">
        <v>320</v>
      </c>
      <c r="J118" t="s">
        <v>983</v>
      </c>
      <c r="K118" t="s">
        <v>991</v>
      </c>
      <c r="L118" t="s">
        <v>108</v>
      </c>
      <c r="M118" t="s">
        <v>992</v>
      </c>
      <c r="N118" s="21">
        <v>45954.729166666657</v>
      </c>
      <c r="O118" s="21">
        <v>45959.294444444437</v>
      </c>
      <c r="P118" t="s">
        <v>110</v>
      </c>
      <c r="Q118" t="s">
        <v>406</v>
      </c>
      <c r="R118" t="s">
        <v>112</v>
      </c>
      <c r="S118" t="s">
        <v>993</v>
      </c>
      <c r="T118" t="s">
        <v>114</v>
      </c>
      <c r="U118" t="s">
        <v>994</v>
      </c>
      <c r="V118" t="s">
        <v>144</v>
      </c>
      <c r="W118" t="s">
        <v>117</v>
      </c>
      <c r="X118" t="s">
        <v>988</v>
      </c>
      <c r="Y118" s="22">
        <v>1</v>
      </c>
      <c r="Z118" s="22">
        <v>0</v>
      </c>
      <c r="AA118" s="24">
        <v>122645</v>
      </c>
      <c r="AB118" s="24">
        <v>122645</v>
      </c>
    </row>
    <row r="119" spans="1:28">
      <c r="A119" t="s">
        <v>46</v>
      </c>
      <c r="B119" t="s">
        <v>99</v>
      </c>
      <c r="C119" t="s">
        <v>47</v>
      </c>
      <c r="D119" t="s">
        <v>335</v>
      </c>
      <c r="E119" t="s">
        <v>995</v>
      </c>
      <c r="F119" t="s">
        <v>996</v>
      </c>
      <c r="G119" t="s">
        <v>103</v>
      </c>
      <c r="H119" t="s">
        <v>104</v>
      </c>
      <c r="I119" t="s">
        <v>338</v>
      </c>
      <c r="J119" t="s">
        <v>46</v>
      </c>
      <c r="K119" t="s">
        <v>997</v>
      </c>
      <c r="L119" t="s">
        <v>108</v>
      </c>
      <c r="M119" t="s">
        <v>998</v>
      </c>
      <c r="N119" s="21">
        <v>45954.724999999999</v>
      </c>
      <c r="O119" s="21">
        <v>45959.297222222223</v>
      </c>
      <c r="P119" t="s">
        <v>110</v>
      </c>
      <c r="Q119" t="s">
        <v>406</v>
      </c>
      <c r="R119" t="s">
        <v>112</v>
      </c>
      <c r="S119" t="s">
        <v>999</v>
      </c>
      <c r="T119" t="s">
        <v>114</v>
      </c>
      <c r="U119" t="s">
        <v>1000</v>
      </c>
      <c r="V119" t="s">
        <v>144</v>
      </c>
      <c r="W119" t="s">
        <v>117</v>
      </c>
      <c r="X119" t="s">
        <v>734</v>
      </c>
      <c r="Y119" s="22">
        <v>1</v>
      </c>
      <c r="Z119" s="22">
        <v>0</v>
      </c>
      <c r="AA119" s="24">
        <v>122645</v>
      </c>
      <c r="AB119" s="24">
        <v>122645</v>
      </c>
    </row>
    <row r="120" spans="1:28">
      <c r="A120" t="s">
        <v>46</v>
      </c>
      <c r="B120" t="s">
        <v>99</v>
      </c>
      <c r="C120" t="s">
        <v>47</v>
      </c>
      <c r="D120" t="s">
        <v>335</v>
      </c>
      <c r="E120" t="s">
        <v>1001</v>
      </c>
      <c r="F120" t="s">
        <v>1002</v>
      </c>
      <c r="G120" t="s">
        <v>103</v>
      </c>
      <c r="H120" t="s">
        <v>104</v>
      </c>
      <c r="I120" t="s">
        <v>338</v>
      </c>
      <c r="J120" t="s">
        <v>46</v>
      </c>
      <c r="K120" t="s">
        <v>1003</v>
      </c>
      <c r="L120" t="s">
        <v>108</v>
      </c>
      <c r="M120" t="s">
        <v>1004</v>
      </c>
      <c r="N120" s="21">
        <v>45954.729166666657</v>
      </c>
      <c r="O120" s="21">
        <v>45958.569444444453</v>
      </c>
      <c r="P120" t="s">
        <v>110</v>
      </c>
      <c r="Q120" t="s">
        <v>406</v>
      </c>
      <c r="R120" t="s">
        <v>112</v>
      </c>
      <c r="S120" t="s">
        <v>1005</v>
      </c>
      <c r="T120" t="s">
        <v>114</v>
      </c>
      <c r="U120" t="s">
        <v>1006</v>
      </c>
      <c r="V120" t="s">
        <v>144</v>
      </c>
      <c r="W120" t="s">
        <v>117</v>
      </c>
      <c r="X120" t="s">
        <v>350</v>
      </c>
      <c r="Y120" s="22">
        <v>1</v>
      </c>
      <c r="Z120" s="22">
        <v>0</v>
      </c>
      <c r="AA120" s="24">
        <v>122645</v>
      </c>
      <c r="AB120" s="24">
        <v>122645</v>
      </c>
    </row>
    <row r="121" spans="1:28">
      <c r="A121" t="s">
        <v>46</v>
      </c>
      <c r="B121" t="s">
        <v>99</v>
      </c>
      <c r="C121" t="s">
        <v>47</v>
      </c>
      <c r="D121" t="s">
        <v>335</v>
      </c>
      <c r="E121" t="s">
        <v>1007</v>
      </c>
      <c r="F121" t="s">
        <v>1008</v>
      </c>
      <c r="G121" t="s">
        <v>103</v>
      </c>
      <c r="H121" t="s">
        <v>104</v>
      </c>
      <c r="I121" t="s">
        <v>338</v>
      </c>
      <c r="J121" t="s">
        <v>46</v>
      </c>
      <c r="K121" t="s">
        <v>1009</v>
      </c>
      <c r="L121" t="s">
        <v>108</v>
      </c>
      <c r="M121" t="s">
        <v>1010</v>
      </c>
      <c r="N121" s="21">
        <v>45954.724999999999</v>
      </c>
      <c r="O121" s="21">
        <v>45958.563888888893</v>
      </c>
      <c r="P121" t="s">
        <v>110</v>
      </c>
      <c r="Q121" t="s">
        <v>406</v>
      </c>
      <c r="R121" t="s">
        <v>112</v>
      </c>
      <c r="S121" t="s">
        <v>999</v>
      </c>
      <c r="T121" t="s">
        <v>114</v>
      </c>
      <c r="U121" t="s">
        <v>1011</v>
      </c>
      <c r="V121" t="s">
        <v>144</v>
      </c>
      <c r="W121" t="s">
        <v>117</v>
      </c>
      <c r="X121" t="s">
        <v>734</v>
      </c>
      <c r="Y121" s="22">
        <v>1</v>
      </c>
      <c r="Z121" s="22">
        <v>0</v>
      </c>
      <c r="AA121" s="24">
        <v>122645</v>
      </c>
      <c r="AB121" s="24">
        <v>122645</v>
      </c>
    </row>
    <row r="122" spans="1:28">
      <c r="A122" t="s">
        <v>46</v>
      </c>
      <c r="B122" t="s">
        <v>99</v>
      </c>
      <c r="C122" t="s">
        <v>47</v>
      </c>
      <c r="D122" t="s">
        <v>1012</v>
      </c>
      <c r="E122" t="s">
        <v>1013</v>
      </c>
      <c r="F122" t="s">
        <v>1014</v>
      </c>
      <c r="G122" t="s">
        <v>103</v>
      </c>
      <c r="H122" t="s">
        <v>104</v>
      </c>
      <c r="I122" t="s">
        <v>338</v>
      </c>
      <c r="J122" t="s">
        <v>1015</v>
      </c>
      <c r="K122" t="s">
        <v>1016</v>
      </c>
      <c r="L122" t="s">
        <v>108</v>
      </c>
      <c r="M122" t="s">
        <v>1017</v>
      </c>
      <c r="N122" s="21">
        <v>45954.722222222219</v>
      </c>
      <c r="O122" s="21">
        <v>45958.572916666657</v>
      </c>
      <c r="P122" t="s">
        <v>110</v>
      </c>
      <c r="Q122" t="s">
        <v>406</v>
      </c>
      <c r="R122" t="s">
        <v>112</v>
      </c>
      <c r="S122" t="s">
        <v>1018</v>
      </c>
      <c r="T122" t="s">
        <v>114</v>
      </c>
      <c r="U122" t="s">
        <v>1019</v>
      </c>
      <c r="V122" t="s">
        <v>232</v>
      </c>
      <c r="W122" t="s">
        <v>117</v>
      </c>
      <c r="X122" t="s">
        <v>496</v>
      </c>
      <c r="Y122" s="22">
        <v>1</v>
      </c>
      <c r="Z122" s="22">
        <v>0</v>
      </c>
      <c r="AA122" s="24">
        <v>122645</v>
      </c>
      <c r="AB122" s="24">
        <v>122645</v>
      </c>
    </row>
    <row r="123" spans="1:28">
      <c r="A123" t="s">
        <v>63</v>
      </c>
      <c r="B123" t="s">
        <v>99</v>
      </c>
      <c r="C123" t="s">
        <v>47</v>
      </c>
      <c r="D123" t="s">
        <v>1020</v>
      </c>
      <c r="E123" t="s">
        <v>1021</v>
      </c>
      <c r="F123" t="s">
        <v>1022</v>
      </c>
      <c r="G123" t="s">
        <v>103</v>
      </c>
      <c r="H123" t="s">
        <v>104</v>
      </c>
      <c r="I123" t="s">
        <v>105</v>
      </c>
      <c r="J123" t="s">
        <v>1023</v>
      </c>
      <c r="K123" t="s">
        <v>1024</v>
      </c>
      <c r="L123" t="s">
        <v>108</v>
      </c>
      <c r="M123" t="s">
        <v>1025</v>
      </c>
      <c r="N123" s="21">
        <v>45954.689583333333</v>
      </c>
      <c r="O123" s="21">
        <v>45958.635416666657</v>
      </c>
      <c r="P123" t="s">
        <v>110</v>
      </c>
      <c r="Q123" t="s">
        <v>406</v>
      </c>
      <c r="R123" t="s">
        <v>112</v>
      </c>
      <c r="S123" t="s">
        <v>1026</v>
      </c>
      <c r="T123" t="s">
        <v>114</v>
      </c>
      <c r="U123" t="s">
        <v>1027</v>
      </c>
      <c r="V123" t="s">
        <v>173</v>
      </c>
      <c r="W123" t="s">
        <v>117</v>
      </c>
      <c r="X123" t="s">
        <v>127</v>
      </c>
      <c r="Y123" s="22">
        <v>1</v>
      </c>
      <c r="Z123" s="22">
        <v>0</v>
      </c>
      <c r="AA123" s="24">
        <v>122645</v>
      </c>
      <c r="AB123" s="24">
        <v>122645</v>
      </c>
    </row>
    <row r="124" spans="1:28">
      <c r="A124" t="s">
        <v>38</v>
      </c>
      <c r="B124" t="s">
        <v>444</v>
      </c>
      <c r="C124" t="s">
        <v>39</v>
      </c>
      <c r="D124" t="s">
        <v>497</v>
      </c>
      <c r="E124" t="s">
        <v>1028</v>
      </c>
      <c r="F124" t="s">
        <v>1029</v>
      </c>
      <c r="G124" t="s">
        <v>103</v>
      </c>
      <c r="H124" t="s">
        <v>104</v>
      </c>
      <c r="I124" t="s">
        <v>444</v>
      </c>
      <c r="J124" t="s">
        <v>38</v>
      </c>
      <c r="K124" t="s">
        <v>1030</v>
      </c>
      <c r="L124" t="s">
        <v>108</v>
      </c>
      <c r="M124" t="s">
        <v>1031</v>
      </c>
      <c r="N124" s="21">
        <v>45954.333333333343</v>
      </c>
      <c r="O124" s="21">
        <v>45958.552777777782</v>
      </c>
      <c r="P124" t="s">
        <v>110</v>
      </c>
      <c r="Q124" t="s">
        <v>406</v>
      </c>
      <c r="R124" t="s">
        <v>112</v>
      </c>
      <c r="S124" t="s">
        <v>1032</v>
      </c>
      <c r="T124" t="s">
        <v>114</v>
      </c>
      <c r="U124" t="s">
        <v>1033</v>
      </c>
      <c r="V124" t="s">
        <v>144</v>
      </c>
      <c r="W124" t="s">
        <v>117</v>
      </c>
      <c r="X124" t="s">
        <v>1034</v>
      </c>
      <c r="Y124" s="22">
        <v>1</v>
      </c>
      <c r="Z124" s="22">
        <v>0</v>
      </c>
      <c r="AA124" s="24">
        <v>122645</v>
      </c>
      <c r="AB124" s="24">
        <v>122645</v>
      </c>
    </row>
    <row r="125" spans="1:28">
      <c r="A125" t="s">
        <v>38</v>
      </c>
      <c r="B125" t="s">
        <v>444</v>
      </c>
      <c r="C125" t="s">
        <v>39</v>
      </c>
      <c r="D125" t="s">
        <v>497</v>
      </c>
      <c r="E125" t="s">
        <v>1035</v>
      </c>
      <c r="F125" t="s">
        <v>1036</v>
      </c>
      <c r="G125" t="s">
        <v>103</v>
      </c>
      <c r="H125" t="s">
        <v>104</v>
      </c>
      <c r="I125" t="s">
        <v>444</v>
      </c>
      <c r="J125" t="s">
        <v>38</v>
      </c>
      <c r="K125" t="s">
        <v>1037</v>
      </c>
      <c r="L125" t="s">
        <v>108</v>
      </c>
      <c r="M125" t="s">
        <v>1038</v>
      </c>
      <c r="N125" s="21">
        <v>45954.378472222219</v>
      </c>
      <c r="O125" s="21">
        <v>45958.557638888888</v>
      </c>
      <c r="P125" t="s">
        <v>110</v>
      </c>
      <c r="Q125" t="s">
        <v>406</v>
      </c>
      <c r="R125" t="s">
        <v>112</v>
      </c>
      <c r="S125" t="s">
        <v>1039</v>
      </c>
      <c r="T125" t="s">
        <v>114</v>
      </c>
      <c r="U125" t="s">
        <v>1040</v>
      </c>
      <c r="V125" t="s">
        <v>144</v>
      </c>
      <c r="W125" t="s">
        <v>117</v>
      </c>
      <c r="X125" t="s">
        <v>531</v>
      </c>
      <c r="Y125" s="22">
        <v>1</v>
      </c>
      <c r="Z125" s="22">
        <v>0</v>
      </c>
      <c r="AA125" s="24">
        <v>122645</v>
      </c>
      <c r="AB125" s="24">
        <v>122645</v>
      </c>
    </row>
    <row r="126" spans="1:28">
      <c r="A126" t="s">
        <v>38</v>
      </c>
      <c r="B126" t="s">
        <v>444</v>
      </c>
      <c r="C126" t="s">
        <v>39</v>
      </c>
      <c r="D126" t="s">
        <v>497</v>
      </c>
      <c r="E126" t="s">
        <v>1041</v>
      </c>
      <c r="F126" t="s">
        <v>1042</v>
      </c>
      <c r="G126" t="s">
        <v>103</v>
      </c>
      <c r="H126" t="s">
        <v>104</v>
      </c>
      <c r="I126" t="s">
        <v>444</v>
      </c>
      <c r="J126" t="s">
        <v>38</v>
      </c>
      <c r="K126" t="s">
        <v>1043</v>
      </c>
      <c r="L126" t="s">
        <v>108</v>
      </c>
      <c r="M126" t="s">
        <v>1044</v>
      </c>
      <c r="N126" s="21">
        <v>45954.378472222219</v>
      </c>
      <c r="O126" s="21">
        <v>45958.580555555563</v>
      </c>
      <c r="P126" t="s">
        <v>110</v>
      </c>
      <c r="Q126" t="s">
        <v>406</v>
      </c>
      <c r="R126" t="s">
        <v>112</v>
      </c>
      <c r="S126" t="s">
        <v>1045</v>
      </c>
      <c r="T126" t="s">
        <v>114</v>
      </c>
      <c r="U126" t="s">
        <v>1046</v>
      </c>
      <c r="V126" t="s">
        <v>144</v>
      </c>
      <c r="W126" t="s">
        <v>117</v>
      </c>
      <c r="X126" t="s">
        <v>524</v>
      </c>
      <c r="Y126" s="22">
        <v>1</v>
      </c>
      <c r="Z126" s="22">
        <v>0</v>
      </c>
      <c r="AA126" s="24">
        <v>122645</v>
      </c>
      <c r="AB126" s="24">
        <v>122645</v>
      </c>
    </row>
    <row r="127" spans="1:28">
      <c r="A127" t="s">
        <v>60</v>
      </c>
      <c r="B127" t="s">
        <v>200</v>
      </c>
      <c r="C127" t="s">
        <v>31</v>
      </c>
      <c r="D127" t="s">
        <v>201</v>
      </c>
      <c r="E127" t="s">
        <v>1047</v>
      </c>
      <c r="F127" t="s">
        <v>1048</v>
      </c>
      <c r="G127" t="s">
        <v>103</v>
      </c>
      <c r="H127" t="s">
        <v>104</v>
      </c>
      <c r="I127" t="s">
        <v>204</v>
      </c>
      <c r="J127" t="s">
        <v>60</v>
      </c>
      <c r="K127" t="s">
        <v>1049</v>
      </c>
      <c r="L127" t="s">
        <v>108</v>
      </c>
      <c r="M127" t="s">
        <v>1050</v>
      </c>
      <c r="N127" s="21">
        <v>45959.881249999999</v>
      </c>
      <c r="O127" s="21">
        <v>45961.280555555553</v>
      </c>
      <c r="P127" t="s">
        <v>110</v>
      </c>
      <c r="Q127" t="s">
        <v>406</v>
      </c>
      <c r="R127" t="s">
        <v>112</v>
      </c>
      <c r="S127" t="s">
        <v>1051</v>
      </c>
      <c r="T127" t="s">
        <v>114</v>
      </c>
      <c r="U127" t="s">
        <v>1052</v>
      </c>
      <c r="V127" t="s">
        <v>144</v>
      </c>
      <c r="W127" t="s">
        <v>117</v>
      </c>
      <c r="X127" t="s">
        <v>243</v>
      </c>
      <c r="Y127" s="22">
        <v>1</v>
      </c>
      <c r="Z127" s="22">
        <v>0</v>
      </c>
      <c r="AA127" s="24">
        <v>122645</v>
      </c>
      <c r="AB127" s="24">
        <v>122645</v>
      </c>
    </row>
    <row r="128" spans="1:28">
      <c r="A128" t="s">
        <v>60</v>
      </c>
      <c r="B128" t="s">
        <v>200</v>
      </c>
      <c r="C128" t="s">
        <v>31</v>
      </c>
      <c r="D128" t="s">
        <v>201</v>
      </c>
      <c r="E128" t="s">
        <v>1053</v>
      </c>
      <c r="F128" t="s">
        <v>1054</v>
      </c>
      <c r="G128" t="s">
        <v>103</v>
      </c>
      <c r="H128" t="s">
        <v>104</v>
      </c>
      <c r="I128" t="s">
        <v>204</v>
      </c>
      <c r="J128" t="s">
        <v>60</v>
      </c>
      <c r="K128" t="s">
        <v>1055</v>
      </c>
      <c r="L128" t="s">
        <v>108</v>
      </c>
      <c r="M128" t="s">
        <v>1056</v>
      </c>
      <c r="N128" s="21">
        <v>45959.881249999999</v>
      </c>
      <c r="O128" s="21">
        <v>45961.282638888893</v>
      </c>
      <c r="P128" t="s">
        <v>110</v>
      </c>
      <c r="Q128" t="s">
        <v>406</v>
      </c>
      <c r="R128" t="s">
        <v>112</v>
      </c>
      <c r="S128" t="s">
        <v>1057</v>
      </c>
      <c r="T128" t="s">
        <v>114</v>
      </c>
      <c r="U128" t="s">
        <v>1058</v>
      </c>
      <c r="V128" t="s">
        <v>144</v>
      </c>
      <c r="W128" t="s">
        <v>117</v>
      </c>
      <c r="X128" t="s">
        <v>243</v>
      </c>
      <c r="Y128" s="22">
        <v>1</v>
      </c>
      <c r="Z128" s="22">
        <v>0</v>
      </c>
      <c r="AA128" s="24">
        <v>122645</v>
      </c>
      <c r="AB128" s="24">
        <v>122645</v>
      </c>
    </row>
    <row r="129" spans="1:28">
      <c r="A129" t="s">
        <v>60</v>
      </c>
      <c r="B129" t="s">
        <v>200</v>
      </c>
      <c r="C129" t="s">
        <v>31</v>
      </c>
      <c r="D129" t="s">
        <v>201</v>
      </c>
      <c r="E129" t="s">
        <v>1059</v>
      </c>
      <c r="F129" t="s">
        <v>1060</v>
      </c>
      <c r="G129" t="s">
        <v>103</v>
      </c>
      <c r="H129" t="s">
        <v>104</v>
      </c>
      <c r="I129" t="s">
        <v>204</v>
      </c>
      <c r="J129" t="s">
        <v>60</v>
      </c>
      <c r="K129" t="s">
        <v>1061</v>
      </c>
      <c r="L129" t="s">
        <v>108</v>
      </c>
      <c r="M129" t="s">
        <v>1062</v>
      </c>
      <c r="N129" s="21">
        <v>45959.881249999999</v>
      </c>
      <c r="O129" s="21">
        <v>45960.493055555547</v>
      </c>
      <c r="P129" t="s">
        <v>110</v>
      </c>
      <c r="Q129" t="s">
        <v>111</v>
      </c>
      <c r="R129" t="s">
        <v>112</v>
      </c>
      <c r="S129" t="s">
        <v>1063</v>
      </c>
      <c r="T129" t="s">
        <v>114</v>
      </c>
      <c r="U129" t="s">
        <v>1064</v>
      </c>
      <c r="V129" t="s">
        <v>144</v>
      </c>
      <c r="W129" t="s">
        <v>117</v>
      </c>
      <c r="X129" t="s">
        <v>600</v>
      </c>
      <c r="Y129" s="22">
        <v>1</v>
      </c>
      <c r="Z129" s="22">
        <v>0</v>
      </c>
      <c r="AA129" s="24">
        <v>122645</v>
      </c>
      <c r="AB129" s="24">
        <v>122645</v>
      </c>
    </row>
    <row r="130" spans="1:28">
      <c r="A130" t="s">
        <v>60</v>
      </c>
      <c r="B130" t="s">
        <v>200</v>
      </c>
      <c r="C130" t="s">
        <v>31</v>
      </c>
      <c r="D130" t="s">
        <v>201</v>
      </c>
      <c r="E130" t="s">
        <v>1065</v>
      </c>
      <c r="F130" t="s">
        <v>1066</v>
      </c>
      <c r="G130" t="s">
        <v>103</v>
      </c>
      <c r="H130" t="s">
        <v>104</v>
      </c>
      <c r="I130" t="s">
        <v>204</v>
      </c>
      <c r="J130" t="s">
        <v>60</v>
      </c>
      <c r="K130" t="s">
        <v>1067</v>
      </c>
      <c r="L130" t="s">
        <v>108</v>
      </c>
      <c r="M130" t="s">
        <v>1068</v>
      </c>
      <c r="N130" s="21">
        <v>45959.881249999999</v>
      </c>
      <c r="O130" s="21">
        <v>45960.640277777777</v>
      </c>
      <c r="P130" t="s">
        <v>110</v>
      </c>
      <c r="Q130" t="s">
        <v>111</v>
      </c>
      <c r="R130" t="s">
        <v>112</v>
      </c>
      <c r="S130" t="s">
        <v>1069</v>
      </c>
      <c r="T130" t="s">
        <v>114</v>
      </c>
      <c r="U130" t="s">
        <v>1070</v>
      </c>
      <c r="V130" t="s">
        <v>144</v>
      </c>
      <c r="W130" t="s">
        <v>117</v>
      </c>
      <c r="X130" t="s">
        <v>233</v>
      </c>
      <c r="Y130" s="22">
        <v>1</v>
      </c>
      <c r="Z130" s="22">
        <v>0</v>
      </c>
      <c r="AA130" s="24">
        <v>122645</v>
      </c>
      <c r="AB130" s="24">
        <v>122645</v>
      </c>
    </row>
    <row r="131" spans="1:28">
      <c r="A131" t="s">
        <v>60</v>
      </c>
      <c r="B131" t="s">
        <v>200</v>
      </c>
      <c r="C131" t="s">
        <v>31</v>
      </c>
      <c r="D131" t="s">
        <v>201</v>
      </c>
      <c r="E131" t="s">
        <v>1071</v>
      </c>
      <c r="F131" t="s">
        <v>1072</v>
      </c>
      <c r="G131" t="s">
        <v>103</v>
      </c>
      <c r="H131" t="s">
        <v>104</v>
      </c>
      <c r="I131" t="s">
        <v>204</v>
      </c>
      <c r="J131" t="s">
        <v>60</v>
      </c>
      <c r="K131" t="s">
        <v>1073</v>
      </c>
      <c r="L131" t="s">
        <v>108</v>
      </c>
      <c r="M131" t="s">
        <v>1074</v>
      </c>
      <c r="N131" s="21">
        <v>45959.881249999999</v>
      </c>
      <c r="O131" s="21">
        <v>45961.552083333343</v>
      </c>
      <c r="P131" t="s">
        <v>110</v>
      </c>
      <c r="Q131" t="s">
        <v>111</v>
      </c>
      <c r="R131" t="s">
        <v>112</v>
      </c>
      <c r="S131" t="s">
        <v>1075</v>
      </c>
      <c r="T131" t="s">
        <v>114</v>
      </c>
      <c r="U131" t="s">
        <v>1076</v>
      </c>
      <c r="V131" t="s">
        <v>144</v>
      </c>
      <c r="W131" t="s">
        <v>117</v>
      </c>
      <c r="X131" t="s">
        <v>233</v>
      </c>
      <c r="Y131" s="22">
        <v>1</v>
      </c>
      <c r="Z131" s="22">
        <v>0</v>
      </c>
      <c r="AA131" s="24">
        <v>122645</v>
      </c>
      <c r="AB131" s="24">
        <v>122645</v>
      </c>
    </row>
    <row r="132" spans="1:28">
      <c r="A132" t="s">
        <v>60</v>
      </c>
      <c r="B132" t="s">
        <v>200</v>
      </c>
      <c r="C132" t="s">
        <v>31</v>
      </c>
      <c r="D132" t="s">
        <v>201</v>
      </c>
      <c r="E132" t="s">
        <v>1077</v>
      </c>
      <c r="F132" t="s">
        <v>1078</v>
      </c>
      <c r="G132" t="s">
        <v>103</v>
      </c>
      <c r="H132" t="s">
        <v>104</v>
      </c>
      <c r="I132" t="s">
        <v>204</v>
      </c>
      <c r="J132" t="s">
        <v>60</v>
      </c>
      <c r="K132" t="s">
        <v>1079</v>
      </c>
      <c r="L132" t="s">
        <v>108</v>
      </c>
      <c r="M132" t="s">
        <v>1080</v>
      </c>
      <c r="N132" s="21">
        <v>45959.881249999999</v>
      </c>
      <c r="O132" s="21">
        <v>45960.529861111107</v>
      </c>
      <c r="P132" t="s">
        <v>110</v>
      </c>
      <c r="Q132" t="s">
        <v>111</v>
      </c>
      <c r="R132" t="s">
        <v>112</v>
      </c>
      <c r="S132" t="s">
        <v>1081</v>
      </c>
      <c r="T132" t="s">
        <v>114</v>
      </c>
      <c r="U132" t="s">
        <v>1082</v>
      </c>
      <c r="V132" t="s">
        <v>144</v>
      </c>
      <c r="W132" t="s">
        <v>117</v>
      </c>
      <c r="X132" t="s">
        <v>233</v>
      </c>
      <c r="Y132" s="22">
        <v>1</v>
      </c>
      <c r="Z132" s="22">
        <v>0</v>
      </c>
      <c r="AA132" s="24">
        <v>122645</v>
      </c>
      <c r="AB132" s="24">
        <v>122645</v>
      </c>
    </row>
    <row r="133" spans="1:28">
      <c r="A133" t="s">
        <v>60</v>
      </c>
      <c r="B133" t="s">
        <v>200</v>
      </c>
      <c r="C133" t="s">
        <v>31</v>
      </c>
      <c r="D133" t="s">
        <v>215</v>
      </c>
      <c r="E133" t="s">
        <v>1083</v>
      </c>
      <c r="F133" t="s">
        <v>1084</v>
      </c>
      <c r="G133" t="s">
        <v>103</v>
      </c>
      <c r="H133" t="s">
        <v>104</v>
      </c>
      <c r="I133" t="s">
        <v>204</v>
      </c>
      <c r="J133" t="s">
        <v>218</v>
      </c>
      <c r="K133" t="s">
        <v>1085</v>
      </c>
      <c r="L133" t="s">
        <v>108</v>
      </c>
      <c r="M133" t="s">
        <v>1086</v>
      </c>
      <c r="N133" s="21">
        <v>45959.881249999999</v>
      </c>
      <c r="O133" s="21">
        <v>45960.651388888888</v>
      </c>
      <c r="P133" t="s">
        <v>110</v>
      </c>
      <c r="Q133" t="s">
        <v>111</v>
      </c>
      <c r="R133" t="s">
        <v>112</v>
      </c>
      <c r="S133" t="s">
        <v>1087</v>
      </c>
      <c r="T133" t="s">
        <v>114</v>
      </c>
      <c r="U133" t="s">
        <v>1088</v>
      </c>
      <c r="V133" t="s">
        <v>144</v>
      </c>
      <c r="W133" t="s">
        <v>117</v>
      </c>
      <c r="X133" t="s">
        <v>223</v>
      </c>
      <c r="Y133" s="22">
        <v>1</v>
      </c>
      <c r="Z133" s="22">
        <v>0</v>
      </c>
      <c r="AA133" s="24">
        <v>122645</v>
      </c>
      <c r="AB133" s="24">
        <v>122645</v>
      </c>
    </row>
    <row r="134" spans="1:28">
      <c r="A134" t="s">
        <v>61</v>
      </c>
      <c r="B134" t="s">
        <v>142</v>
      </c>
      <c r="C134" t="s">
        <v>35</v>
      </c>
      <c r="D134" t="s">
        <v>1089</v>
      </c>
      <c r="E134" t="s">
        <v>1090</v>
      </c>
      <c r="F134" t="s">
        <v>1091</v>
      </c>
      <c r="G134" t="s">
        <v>103</v>
      </c>
      <c r="H134" t="s">
        <v>104</v>
      </c>
      <c r="I134" t="s">
        <v>204</v>
      </c>
      <c r="J134" t="s">
        <v>1092</v>
      </c>
      <c r="K134" t="s">
        <v>1093</v>
      </c>
      <c r="L134" t="s">
        <v>108</v>
      </c>
      <c r="M134" t="s">
        <v>1094</v>
      </c>
      <c r="N134" s="21">
        <v>45959.570138888892</v>
      </c>
      <c r="O134" s="21">
        <v>45961.553472222222</v>
      </c>
      <c r="P134" t="s">
        <v>110</v>
      </c>
      <c r="Q134" t="s">
        <v>111</v>
      </c>
      <c r="R134" t="s">
        <v>112</v>
      </c>
      <c r="S134" t="s">
        <v>1095</v>
      </c>
      <c r="T134" t="s">
        <v>114</v>
      </c>
      <c r="U134" t="s">
        <v>1096</v>
      </c>
      <c r="V134" t="s">
        <v>232</v>
      </c>
      <c r="W134" t="s">
        <v>117</v>
      </c>
      <c r="X134" t="s">
        <v>300</v>
      </c>
      <c r="Y134" s="22">
        <v>1</v>
      </c>
      <c r="Z134" s="22">
        <v>0</v>
      </c>
      <c r="AA134" s="24">
        <v>122645</v>
      </c>
      <c r="AB134" s="24">
        <v>122645</v>
      </c>
    </row>
    <row r="135" spans="1:28">
      <c r="A135" t="s">
        <v>60</v>
      </c>
      <c r="B135" t="s">
        <v>200</v>
      </c>
      <c r="C135" t="s">
        <v>31</v>
      </c>
      <c r="D135" t="s">
        <v>1097</v>
      </c>
      <c r="E135" t="s">
        <v>1098</v>
      </c>
      <c r="F135" t="s">
        <v>1099</v>
      </c>
      <c r="G135" t="s">
        <v>103</v>
      </c>
      <c r="H135" t="s">
        <v>104</v>
      </c>
      <c r="I135" t="s">
        <v>204</v>
      </c>
      <c r="J135" t="s">
        <v>1100</v>
      </c>
      <c r="K135" t="s">
        <v>1101</v>
      </c>
      <c r="L135" t="s">
        <v>108</v>
      </c>
      <c r="M135" t="s">
        <v>1102</v>
      </c>
      <c r="N135" s="21">
        <v>45959.881249999999</v>
      </c>
      <c r="O135" s="21">
        <v>45961.693749999999</v>
      </c>
      <c r="P135" t="s">
        <v>110</v>
      </c>
      <c r="Q135" t="s">
        <v>111</v>
      </c>
      <c r="R135" t="s">
        <v>112</v>
      </c>
      <c r="S135" t="s">
        <v>1103</v>
      </c>
      <c r="T135" t="s">
        <v>114</v>
      </c>
      <c r="U135" t="s">
        <v>1104</v>
      </c>
      <c r="V135" t="s">
        <v>144</v>
      </c>
      <c r="W135" t="s">
        <v>117</v>
      </c>
      <c r="X135" t="s">
        <v>233</v>
      </c>
      <c r="Y135" s="22">
        <v>1</v>
      </c>
      <c r="Z135" s="22">
        <v>0</v>
      </c>
      <c r="AA135" s="24">
        <v>122645</v>
      </c>
      <c r="AB135" s="24">
        <v>122645</v>
      </c>
    </row>
    <row r="136" spans="1:28">
      <c r="A136" t="s">
        <v>60</v>
      </c>
      <c r="B136" t="s">
        <v>200</v>
      </c>
      <c r="C136" t="s">
        <v>31</v>
      </c>
      <c r="D136" t="s">
        <v>1105</v>
      </c>
      <c r="E136" t="s">
        <v>1106</v>
      </c>
      <c r="F136" t="s">
        <v>1107</v>
      </c>
      <c r="G136" t="s">
        <v>103</v>
      </c>
      <c r="H136" t="s">
        <v>104</v>
      </c>
      <c r="I136" t="s">
        <v>204</v>
      </c>
      <c r="J136" t="s">
        <v>1108</v>
      </c>
      <c r="K136" t="s">
        <v>1109</v>
      </c>
      <c r="L136" t="s">
        <v>108</v>
      </c>
      <c r="M136" t="s">
        <v>1110</v>
      </c>
      <c r="N136" s="21">
        <v>45959.881249999999</v>
      </c>
      <c r="O136" s="21">
        <v>45961.589583333327</v>
      </c>
      <c r="P136" t="s">
        <v>110</v>
      </c>
      <c r="Q136" t="s">
        <v>111</v>
      </c>
      <c r="R136" t="s">
        <v>112</v>
      </c>
      <c r="S136" t="s">
        <v>1111</v>
      </c>
      <c r="T136" t="s">
        <v>114</v>
      </c>
      <c r="U136" t="s">
        <v>1112</v>
      </c>
      <c r="V136" t="s">
        <v>232</v>
      </c>
      <c r="W136" t="s">
        <v>117</v>
      </c>
      <c r="X136" t="s">
        <v>243</v>
      </c>
      <c r="Y136" s="22">
        <v>1</v>
      </c>
      <c r="Z136" s="22">
        <v>0</v>
      </c>
      <c r="AA136" s="24">
        <v>122645</v>
      </c>
      <c r="AB136" s="24">
        <v>122645</v>
      </c>
    </row>
    <row r="137" spans="1:28">
      <c r="A137" t="s">
        <v>60</v>
      </c>
      <c r="B137" t="s">
        <v>200</v>
      </c>
      <c r="C137" t="s">
        <v>31</v>
      </c>
      <c r="D137" t="s">
        <v>1113</v>
      </c>
      <c r="E137" t="s">
        <v>1114</v>
      </c>
      <c r="F137" t="s">
        <v>1115</v>
      </c>
      <c r="G137" t="s">
        <v>103</v>
      </c>
      <c r="H137" t="s">
        <v>104</v>
      </c>
      <c r="I137" t="s">
        <v>204</v>
      </c>
      <c r="J137" t="s">
        <v>1116</v>
      </c>
      <c r="K137" t="s">
        <v>1117</v>
      </c>
      <c r="L137" t="s">
        <v>108</v>
      </c>
      <c r="M137" t="s">
        <v>1118</v>
      </c>
      <c r="N137" s="21">
        <v>45959.881249999999</v>
      </c>
      <c r="O137" s="21">
        <v>45961.288194444453</v>
      </c>
      <c r="P137" t="s">
        <v>110</v>
      </c>
      <c r="Q137" t="s">
        <v>111</v>
      </c>
      <c r="R137" t="s">
        <v>112</v>
      </c>
      <c r="S137" t="s">
        <v>1119</v>
      </c>
      <c r="T137" t="s">
        <v>114</v>
      </c>
      <c r="U137" t="s">
        <v>1120</v>
      </c>
      <c r="V137" t="s">
        <v>116</v>
      </c>
      <c r="W137" t="s">
        <v>117</v>
      </c>
      <c r="X137" t="s">
        <v>209</v>
      </c>
      <c r="Y137" s="22">
        <v>1</v>
      </c>
      <c r="Z137" s="22">
        <v>0</v>
      </c>
      <c r="AA137" s="24">
        <v>122645</v>
      </c>
      <c r="AB137" s="24">
        <v>122645</v>
      </c>
    </row>
    <row r="138" spans="1:28">
      <c r="A138" t="s">
        <v>61</v>
      </c>
      <c r="B138" t="s">
        <v>142</v>
      </c>
      <c r="C138" t="s">
        <v>35</v>
      </c>
      <c r="D138" t="s">
        <v>1121</v>
      </c>
      <c r="E138" t="s">
        <v>1122</v>
      </c>
      <c r="F138" t="s">
        <v>1123</v>
      </c>
      <c r="G138" t="s">
        <v>103</v>
      </c>
      <c r="H138" t="s">
        <v>104</v>
      </c>
      <c r="I138" t="s">
        <v>204</v>
      </c>
      <c r="J138" t="s">
        <v>1124</v>
      </c>
      <c r="K138" t="s">
        <v>1125</v>
      </c>
      <c r="L138" t="s">
        <v>108</v>
      </c>
      <c r="M138" t="s">
        <v>1126</v>
      </c>
      <c r="N138" s="21">
        <v>45959.572222222218</v>
      </c>
      <c r="O138" s="21">
        <v>45961.591666666667</v>
      </c>
      <c r="P138" t="s">
        <v>110</v>
      </c>
      <c r="Q138" t="s">
        <v>111</v>
      </c>
      <c r="R138" t="s">
        <v>112</v>
      </c>
      <c r="S138" t="s">
        <v>1127</v>
      </c>
      <c r="T138" t="s">
        <v>114</v>
      </c>
      <c r="U138" t="s">
        <v>1128</v>
      </c>
      <c r="V138" t="s">
        <v>232</v>
      </c>
      <c r="W138" t="s">
        <v>117</v>
      </c>
      <c r="X138" t="s">
        <v>252</v>
      </c>
      <c r="Y138" s="22">
        <v>1</v>
      </c>
      <c r="Z138" s="22">
        <v>0</v>
      </c>
      <c r="AA138" s="24">
        <v>122645</v>
      </c>
      <c r="AB138" s="24">
        <v>122645</v>
      </c>
    </row>
    <row r="139" spans="1:28">
      <c r="A139" t="s">
        <v>60</v>
      </c>
      <c r="B139" t="s">
        <v>200</v>
      </c>
      <c r="C139" t="s">
        <v>31</v>
      </c>
      <c r="D139" t="s">
        <v>1129</v>
      </c>
      <c r="E139" t="s">
        <v>1130</v>
      </c>
      <c r="F139" t="s">
        <v>1131</v>
      </c>
      <c r="G139" t="s">
        <v>103</v>
      </c>
      <c r="H139" t="s">
        <v>104</v>
      </c>
      <c r="I139" t="s">
        <v>204</v>
      </c>
      <c r="J139" t="s">
        <v>1132</v>
      </c>
      <c r="K139" t="s">
        <v>1133</v>
      </c>
      <c r="L139" t="s">
        <v>108</v>
      </c>
      <c r="M139" t="s">
        <v>1134</v>
      </c>
      <c r="N139" s="21">
        <v>45959.881944444453</v>
      </c>
      <c r="O139" s="21">
        <v>45961.513888888891</v>
      </c>
      <c r="P139" t="s">
        <v>110</v>
      </c>
      <c r="Q139" t="s">
        <v>111</v>
      </c>
      <c r="R139" t="s">
        <v>112</v>
      </c>
      <c r="S139" t="s">
        <v>1135</v>
      </c>
      <c r="T139" t="s">
        <v>114</v>
      </c>
      <c r="U139" t="s">
        <v>1136</v>
      </c>
      <c r="V139" t="s">
        <v>116</v>
      </c>
      <c r="W139" t="s">
        <v>117</v>
      </c>
      <c r="X139" t="s">
        <v>209</v>
      </c>
      <c r="Y139" s="22">
        <v>1</v>
      </c>
      <c r="Z139" s="22">
        <v>0</v>
      </c>
      <c r="AA139" s="24">
        <v>122645</v>
      </c>
      <c r="AB139" s="24">
        <v>122645</v>
      </c>
    </row>
    <row r="140" spans="1:28">
      <c r="A140" t="s">
        <v>30</v>
      </c>
      <c r="B140" t="s">
        <v>200</v>
      </c>
      <c r="C140" t="s">
        <v>31</v>
      </c>
      <c r="D140" t="s">
        <v>1137</v>
      </c>
      <c r="E140" t="s">
        <v>1138</v>
      </c>
      <c r="F140" t="s">
        <v>1139</v>
      </c>
      <c r="G140" t="s">
        <v>103</v>
      </c>
      <c r="H140" t="s">
        <v>104</v>
      </c>
      <c r="I140" t="s">
        <v>204</v>
      </c>
      <c r="J140" t="s">
        <v>1140</v>
      </c>
      <c r="K140" t="s">
        <v>1141</v>
      </c>
      <c r="L140" t="s">
        <v>108</v>
      </c>
      <c r="M140" t="s">
        <v>1142</v>
      </c>
      <c r="N140" s="21">
        <v>45959.881944444453</v>
      </c>
      <c r="O140" s="21">
        <v>45961.662499999999</v>
      </c>
      <c r="P140" t="s">
        <v>110</v>
      </c>
      <c r="Q140" t="s">
        <v>111</v>
      </c>
      <c r="R140" t="s">
        <v>112</v>
      </c>
      <c r="S140" t="s">
        <v>1143</v>
      </c>
      <c r="T140" t="s">
        <v>114</v>
      </c>
      <c r="U140" t="s">
        <v>1144</v>
      </c>
      <c r="V140" t="s">
        <v>232</v>
      </c>
      <c r="W140" t="s">
        <v>117</v>
      </c>
      <c r="X140" t="s">
        <v>394</v>
      </c>
      <c r="Y140" s="22">
        <v>1</v>
      </c>
      <c r="Z140" s="22">
        <v>0</v>
      </c>
      <c r="AA140" s="24">
        <v>122645</v>
      </c>
      <c r="AB140" s="24">
        <v>122645</v>
      </c>
    </row>
    <row r="141" spans="1:28">
      <c r="A141" t="s">
        <v>60</v>
      </c>
      <c r="B141" t="s">
        <v>200</v>
      </c>
      <c r="C141" t="s">
        <v>31</v>
      </c>
      <c r="D141" t="s">
        <v>1145</v>
      </c>
      <c r="E141" t="s">
        <v>1146</v>
      </c>
      <c r="F141" t="s">
        <v>1147</v>
      </c>
      <c r="G141" t="s">
        <v>103</v>
      </c>
      <c r="H141" t="s">
        <v>104</v>
      </c>
      <c r="I141" t="s">
        <v>204</v>
      </c>
      <c r="J141" t="s">
        <v>1148</v>
      </c>
      <c r="K141" t="s">
        <v>1149</v>
      </c>
      <c r="L141" t="s">
        <v>108</v>
      </c>
      <c r="M141" t="s">
        <v>1150</v>
      </c>
      <c r="N141" s="21">
        <v>45959.881944444453</v>
      </c>
      <c r="O141" s="21">
        <v>45961.651388888888</v>
      </c>
      <c r="P141" t="s">
        <v>110</v>
      </c>
      <c r="Q141" t="s">
        <v>111</v>
      </c>
      <c r="R141" t="s">
        <v>112</v>
      </c>
      <c r="S141" t="s">
        <v>1151</v>
      </c>
      <c r="T141" t="s">
        <v>114</v>
      </c>
      <c r="U141" t="s">
        <v>1152</v>
      </c>
      <c r="V141" t="s">
        <v>173</v>
      </c>
      <c r="W141" t="s">
        <v>117</v>
      </c>
      <c r="X141" t="s">
        <v>600</v>
      </c>
      <c r="Y141" s="22">
        <v>1</v>
      </c>
      <c r="Z141" s="22">
        <v>0</v>
      </c>
      <c r="AA141" s="24">
        <v>122645</v>
      </c>
      <c r="AB141" s="24">
        <v>122645</v>
      </c>
    </row>
    <row r="142" spans="1:28">
      <c r="A142" t="s">
        <v>34</v>
      </c>
      <c r="B142" t="s">
        <v>142</v>
      </c>
      <c r="C142" t="s">
        <v>35</v>
      </c>
      <c r="D142" t="s">
        <v>437</v>
      </c>
      <c r="E142" t="s">
        <v>1153</v>
      </c>
      <c r="F142" t="s">
        <v>1154</v>
      </c>
      <c r="G142" t="s">
        <v>103</v>
      </c>
      <c r="H142" t="s">
        <v>104</v>
      </c>
      <c r="I142" t="s">
        <v>431</v>
      </c>
      <c r="J142" t="s">
        <v>440</v>
      </c>
      <c r="K142" t="s">
        <v>1155</v>
      </c>
      <c r="L142" t="s">
        <v>108</v>
      </c>
      <c r="M142" t="s">
        <v>1156</v>
      </c>
      <c r="N142" s="21">
        <v>45959.578472222223</v>
      </c>
      <c r="O142" s="21">
        <v>45960.643055555563</v>
      </c>
      <c r="P142" t="s">
        <v>110</v>
      </c>
      <c r="Q142" t="s">
        <v>111</v>
      </c>
      <c r="R142" t="s">
        <v>112</v>
      </c>
      <c r="S142" t="s">
        <v>1157</v>
      </c>
      <c r="T142" t="s">
        <v>114</v>
      </c>
      <c r="U142" t="s">
        <v>1158</v>
      </c>
      <c r="V142" t="s">
        <v>144</v>
      </c>
      <c r="W142" t="s">
        <v>117</v>
      </c>
      <c r="X142" t="s">
        <v>1159</v>
      </c>
      <c r="Y142" s="22">
        <v>1</v>
      </c>
      <c r="Z142" s="22">
        <v>0</v>
      </c>
      <c r="AA142" s="24">
        <v>122645</v>
      </c>
      <c r="AB142" s="24">
        <v>122645</v>
      </c>
    </row>
    <row r="143" spans="1:28">
      <c r="A143" t="s">
        <v>50</v>
      </c>
      <c r="B143" t="s">
        <v>142</v>
      </c>
      <c r="C143" t="s">
        <v>35</v>
      </c>
      <c r="D143" t="s">
        <v>1160</v>
      </c>
      <c r="E143" t="s">
        <v>1161</v>
      </c>
      <c r="F143" t="s">
        <v>1162</v>
      </c>
      <c r="G143" t="s">
        <v>103</v>
      </c>
      <c r="H143" t="s">
        <v>104</v>
      </c>
      <c r="I143" t="s">
        <v>143</v>
      </c>
      <c r="J143" t="s">
        <v>1163</v>
      </c>
      <c r="K143" t="s">
        <v>1164</v>
      </c>
      <c r="L143" t="s">
        <v>108</v>
      </c>
      <c r="M143" t="s">
        <v>1165</v>
      </c>
      <c r="N143" s="21">
        <v>45959.574305555558</v>
      </c>
      <c r="O143" s="21">
        <v>45960.579861111109</v>
      </c>
      <c r="P143" t="s">
        <v>110</v>
      </c>
      <c r="Q143" t="s">
        <v>111</v>
      </c>
      <c r="R143" t="s">
        <v>112</v>
      </c>
      <c r="S143" t="s">
        <v>1166</v>
      </c>
      <c r="T143" t="s">
        <v>114</v>
      </c>
      <c r="U143" t="s">
        <v>1167</v>
      </c>
      <c r="V143" t="s">
        <v>116</v>
      </c>
      <c r="W143" t="s">
        <v>117</v>
      </c>
      <c r="X143" t="s">
        <v>1168</v>
      </c>
      <c r="Y143" s="22">
        <v>1</v>
      </c>
      <c r="Z143" s="22">
        <v>0</v>
      </c>
      <c r="AA143" s="24">
        <v>122645</v>
      </c>
      <c r="AB143" s="24">
        <v>122645</v>
      </c>
    </row>
    <row r="144" spans="1:28">
      <c r="A144" t="s">
        <v>68</v>
      </c>
      <c r="B144" t="s">
        <v>175</v>
      </c>
      <c r="C144" t="s">
        <v>43</v>
      </c>
      <c r="D144" t="s">
        <v>1169</v>
      </c>
      <c r="E144" t="s">
        <v>1170</v>
      </c>
      <c r="F144" t="s">
        <v>1171</v>
      </c>
      <c r="G144" t="s">
        <v>103</v>
      </c>
      <c r="H144" t="s">
        <v>104</v>
      </c>
      <c r="I144" t="s">
        <v>265</v>
      </c>
      <c r="J144" t="s">
        <v>1172</v>
      </c>
      <c r="K144" t="s">
        <v>1173</v>
      </c>
      <c r="L144" t="s">
        <v>108</v>
      </c>
      <c r="M144" t="s">
        <v>1174</v>
      </c>
      <c r="N144" s="21">
        <v>45959.710416666669</v>
      </c>
      <c r="O144" s="21">
        <v>45960.59375</v>
      </c>
      <c r="P144" t="s">
        <v>110</v>
      </c>
      <c r="Q144" t="s">
        <v>111</v>
      </c>
      <c r="R144" t="s">
        <v>112</v>
      </c>
      <c r="S144" t="s">
        <v>1175</v>
      </c>
      <c r="T144" t="s">
        <v>114</v>
      </c>
      <c r="U144" t="s">
        <v>1176</v>
      </c>
      <c r="V144" t="s">
        <v>232</v>
      </c>
      <c r="W144" t="s">
        <v>117</v>
      </c>
      <c r="X144" t="s">
        <v>1177</v>
      </c>
      <c r="Y144" s="22">
        <v>1</v>
      </c>
      <c r="Z144" s="22">
        <v>0</v>
      </c>
      <c r="AA144" s="24">
        <v>122645</v>
      </c>
      <c r="AB144" s="24">
        <v>122645</v>
      </c>
    </row>
    <row r="145" spans="1:28">
      <c r="A145" t="s">
        <v>57</v>
      </c>
      <c r="B145" t="s">
        <v>99</v>
      </c>
      <c r="C145" t="s">
        <v>58</v>
      </c>
      <c r="D145" t="s">
        <v>1178</v>
      </c>
      <c r="E145" t="s">
        <v>1179</v>
      </c>
      <c r="F145" t="s">
        <v>1180</v>
      </c>
      <c r="G145" t="s">
        <v>103</v>
      </c>
      <c r="H145" t="s">
        <v>104</v>
      </c>
      <c r="I145" t="s">
        <v>275</v>
      </c>
      <c r="J145" t="s">
        <v>1181</v>
      </c>
      <c r="K145" t="s">
        <v>1182</v>
      </c>
      <c r="L145" t="s">
        <v>108</v>
      </c>
      <c r="M145" t="s">
        <v>1183</v>
      </c>
      <c r="N145" s="21">
        <v>45959.631249999999</v>
      </c>
      <c r="O145" s="21">
        <v>45960.649305555547</v>
      </c>
      <c r="P145" t="s">
        <v>110</v>
      </c>
      <c r="Q145" t="s">
        <v>111</v>
      </c>
      <c r="R145" t="s">
        <v>112</v>
      </c>
      <c r="S145" t="s">
        <v>1184</v>
      </c>
      <c r="T145" t="s">
        <v>114</v>
      </c>
      <c r="U145" t="s">
        <v>1185</v>
      </c>
      <c r="V145" t="s">
        <v>173</v>
      </c>
      <c r="W145" t="s">
        <v>117</v>
      </c>
      <c r="X145" t="s">
        <v>1186</v>
      </c>
      <c r="Y145" s="22">
        <v>1</v>
      </c>
      <c r="Z145" s="22">
        <v>0</v>
      </c>
      <c r="AA145" s="24">
        <v>122645</v>
      </c>
      <c r="AB145" s="24">
        <v>122645</v>
      </c>
    </row>
    <row r="146" spans="1:28">
      <c r="A146" t="s">
        <v>46</v>
      </c>
      <c r="B146" t="s">
        <v>99</v>
      </c>
      <c r="C146" t="s">
        <v>47</v>
      </c>
      <c r="D146" t="s">
        <v>1187</v>
      </c>
      <c r="E146" t="s">
        <v>1188</v>
      </c>
      <c r="F146" t="s">
        <v>1189</v>
      </c>
      <c r="G146" t="s">
        <v>103</v>
      </c>
      <c r="H146" t="s">
        <v>104</v>
      </c>
      <c r="I146" t="s">
        <v>728</v>
      </c>
      <c r="J146" t="s">
        <v>65</v>
      </c>
      <c r="K146" t="s">
        <v>1190</v>
      </c>
      <c r="L146" t="s">
        <v>108</v>
      </c>
      <c r="M146" t="s">
        <v>1191</v>
      </c>
      <c r="N146" s="21">
        <v>45959.679861111108</v>
      </c>
      <c r="O146" s="21">
        <v>45961.715277777781</v>
      </c>
      <c r="P146" t="s">
        <v>110</v>
      </c>
      <c r="Q146" t="s">
        <v>111</v>
      </c>
      <c r="R146" t="s">
        <v>112</v>
      </c>
      <c r="S146" t="s">
        <v>1192</v>
      </c>
      <c r="T146" t="s">
        <v>114</v>
      </c>
      <c r="U146" t="s">
        <v>1193</v>
      </c>
      <c r="V146" t="s">
        <v>173</v>
      </c>
      <c r="W146" t="s">
        <v>117</v>
      </c>
      <c r="X146" t="s">
        <v>1194</v>
      </c>
      <c r="Y146" s="22">
        <v>1</v>
      </c>
      <c r="Z146" s="22">
        <v>0</v>
      </c>
      <c r="AA146" s="24">
        <v>122645</v>
      </c>
      <c r="AB146" s="24">
        <v>122645</v>
      </c>
    </row>
    <row r="147" spans="1:28">
      <c r="A147" t="s">
        <v>46</v>
      </c>
      <c r="B147" t="s">
        <v>99</v>
      </c>
      <c r="C147" t="s">
        <v>47</v>
      </c>
      <c r="D147" t="s">
        <v>1187</v>
      </c>
      <c r="E147" t="s">
        <v>1195</v>
      </c>
      <c r="F147" t="s">
        <v>1196</v>
      </c>
      <c r="G147" t="s">
        <v>103</v>
      </c>
      <c r="H147" t="s">
        <v>104</v>
      </c>
      <c r="I147" t="s">
        <v>728</v>
      </c>
      <c r="J147" t="s">
        <v>65</v>
      </c>
      <c r="K147" t="s">
        <v>1197</v>
      </c>
      <c r="L147" t="s">
        <v>108</v>
      </c>
      <c r="M147" t="s">
        <v>1198</v>
      </c>
      <c r="N147" s="21">
        <v>45959.679861111108</v>
      </c>
      <c r="O147" s="21">
        <v>45961.517361111109</v>
      </c>
      <c r="P147" t="s">
        <v>110</v>
      </c>
      <c r="Q147" t="s">
        <v>111</v>
      </c>
      <c r="R147" t="s">
        <v>112</v>
      </c>
      <c r="S147" t="s">
        <v>1199</v>
      </c>
      <c r="T147" t="s">
        <v>114</v>
      </c>
      <c r="U147" t="s">
        <v>1200</v>
      </c>
      <c r="V147" t="s">
        <v>173</v>
      </c>
      <c r="W147" t="s">
        <v>117</v>
      </c>
      <c r="X147" t="s">
        <v>1194</v>
      </c>
      <c r="Y147" s="22">
        <v>1</v>
      </c>
      <c r="Z147" s="22">
        <v>0</v>
      </c>
      <c r="AA147" s="24">
        <v>122645</v>
      </c>
      <c r="AB147" s="24">
        <v>122645</v>
      </c>
    </row>
    <row r="148" spans="1:28">
      <c r="A148" t="s">
        <v>69</v>
      </c>
      <c r="B148" t="s">
        <v>142</v>
      </c>
      <c r="C148" t="s">
        <v>35</v>
      </c>
      <c r="D148" t="s">
        <v>1201</v>
      </c>
      <c r="E148" t="s">
        <v>1202</v>
      </c>
      <c r="F148" t="s">
        <v>1203</v>
      </c>
      <c r="G148" t="s">
        <v>103</v>
      </c>
      <c r="H148" t="s">
        <v>104</v>
      </c>
      <c r="I148" t="s">
        <v>285</v>
      </c>
      <c r="J148" t="s">
        <v>1204</v>
      </c>
      <c r="K148" t="s">
        <v>1205</v>
      </c>
      <c r="L148" t="s">
        <v>108</v>
      </c>
      <c r="M148" t="s">
        <v>1206</v>
      </c>
      <c r="N148" s="21">
        <v>45959.6875</v>
      </c>
      <c r="O148" s="21">
        <v>45960.677083333343</v>
      </c>
      <c r="P148" t="s">
        <v>110</v>
      </c>
      <c r="Q148" t="s">
        <v>111</v>
      </c>
      <c r="R148" t="s">
        <v>112</v>
      </c>
      <c r="S148" t="s">
        <v>1207</v>
      </c>
      <c r="T148" t="s">
        <v>114</v>
      </c>
      <c r="U148" t="s">
        <v>1208</v>
      </c>
      <c r="V148" t="s">
        <v>116</v>
      </c>
      <c r="W148" t="s">
        <v>117</v>
      </c>
      <c r="X148" t="s">
        <v>325</v>
      </c>
      <c r="Y148" s="22">
        <v>1</v>
      </c>
      <c r="Z148" s="22">
        <v>0</v>
      </c>
      <c r="AA148" s="24">
        <v>122645</v>
      </c>
      <c r="AB148" s="24">
        <v>122645</v>
      </c>
    </row>
    <row r="149" spans="1:28">
      <c r="A149" t="s">
        <v>61</v>
      </c>
      <c r="B149" t="s">
        <v>142</v>
      </c>
      <c r="C149" t="s">
        <v>35</v>
      </c>
      <c r="D149" t="s">
        <v>292</v>
      </c>
      <c r="E149" t="s">
        <v>1209</v>
      </c>
      <c r="F149" t="s">
        <v>1210</v>
      </c>
      <c r="G149" t="s">
        <v>103</v>
      </c>
      <c r="H149" t="s">
        <v>104</v>
      </c>
      <c r="I149" t="s">
        <v>295</v>
      </c>
      <c r="J149" t="s">
        <v>61</v>
      </c>
      <c r="K149" t="s">
        <v>1211</v>
      </c>
      <c r="L149" t="s">
        <v>108</v>
      </c>
      <c r="M149" t="s">
        <v>1212</v>
      </c>
      <c r="N149" s="21">
        <v>45959.570138888892</v>
      </c>
      <c r="O149" s="21">
        <v>45960.699305555558</v>
      </c>
      <c r="P149" t="s">
        <v>110</v>
      </c>
      <c r="Q149" t="s">
        <v>111</v>
      </c>
      <c r="R149" t="s">
        <v>112</v>
      </c>
      <c r="S149" t="s">
        <v>1213</v>
      </c>
      <c r="T149" t="s">
        <v>114</v>
      </c>
      <c r="U149" t="s">
        <v>1214</v>
      </c>
      <c r="V149" t="s">
        <v>144</v>
      </c>
      <c r="W149" t="s">
        <v>117</v>
      </c>
      <c r="X149" t="s">
        <v>300</v>
      </c>
      <c r="Y149" s="22">
        <v>1</v>
      </c>
      <c r="Z149" s="22">
        <v>0</v>
      </c>
      <c r="AA149" s="24">
        <v>122645</v>
      </c>
      <c r="AB149" s="24">
        <v>122645</v>
      </c>
    </row>
    <row r="150" spans="1:28">
      <c r="A150" t="s">
        <v>61</v>
      </c>
      <c r="B150" t="s">
        <v>142</v>
      </c>
      <c r="C150" t="s">
        <v>35</v>
      </c>
      <c r="D150" t="s">
        <v>1215</v>
      </c>
      <c r="E150" t="s">
        <v>1216</v>
      </c>
      <c r="F150" t="s">
        <v>1217</v>
      </c>
      <c r="G150" t="s">
        <v>103</v>
      </c>
      <c r="H150" t="s">
        <v>104</v>
      </c>
      <c r="I150" t="s">
        <v>295</v>
      </c>
      <c r="J150" t="s">
        <v>1218</v>
      </c>
      <c r="K150" t="s">
        <v>1219</v>
      </c>
      <c r="L150" t="s">
        <v>108</v>
      </c>
      <c r="M150" t="s">
        <v>1220</v>
      </c>
      <c r="N150" s="21">
        <v>45959.572222222218</v>
      </c>
      <c r="O150" s="21">
        <v>45960.647222222222</v>
      </c>
      <c r="P150" t="s">
        <v>110</v>
      </c>
      <c r="Q150" t="s">
        <v>111</v>
      </c>
      <c r="R150" t="s">
        <v>112</v>
      </c>
      <c r="S150" t="s">
        <v>1221</v>
      </c>
      <c r="T150" t="s">
        <v>114</v>
      </c>
      <c r="U150" t="s">
        <v>1222</v>
      </c>
      <c r="V150" t="s">
        <v>232</v>
      </c>
      <c r="W150" t="s">
        <v>117</v>
      </c>
      <c r="X150" t="s">
        <v>252</v>
      </c>
      <c r="Y150" s="22">
        <v>1</v>
      </c>
      <c r="Z150" s="22">
        <v>0</v>
      </c>
      <c r="AA150" s="24">
        <v>122645</v>
      </c>
      <c r="AB150" s="24">
        <v>122645</v>
      </c>
    </row>
    <row r="151" spans="1:28">
      <c r="A151" t="s">
        <v>66</v>
      </c>
      <c r="B151" t="s">
        <v>142</v>
      </c>
      <c r="C151" t="s">
        <v>35</v>
      </c>
      <c r="D151" t="s">
        <v>1223</v>
      </c>
      <c r="E151" t="s">
        <v>1224</v>
      </c>
      <c r="F151" t="s">
        <v>1225</v>
      </c>
      <c r="G151" t="s">
        <v>103</v>
      </c>
      <c r="H151" t="s">
        <v>104</v>
      </c>
      <c r="I151" t="s">
        <v>1226</v>
      </c>
      <c r="J151" t="s">
        <v>1227</v>
      </c>
      <c r="K151" t="s">
        <v>1228</v>
      </c>
      <c r="L151" t="s">
        <v>108</v>
      </c>
      <c r="M151" t="s">
        <v>1229</v>
      </c>
      <c r="N151" s="21">
        <v>45959.48333333333</v>
      </c>
      <c r="O151" s="21">
        <v>45961.478472222218</v>
      </c>
      <c r="P151" t="s">
        <v>110</v>
      </c>
      <c r="Q151" t="s">
        <v>111</v>
      </c>
      <c r="R151" t="s">
        <v>112</v>
      </c>
      <c r="S151" t="s">
        <v>1230</v>
      </c>
      <c r="T151" t="s">
        <v>114</v>
      </c>
      <c r="U151" t="s">
        <v>1231</v>
      </c>
      <c r="V151" t="s">
        <v>116</v>
      </c>
      <c r="W151" t="s">
        <v>117</v>
      </c>
      <c r="X151" t="s">
        <v>1232</v>
      </c>
      <c r="Y151" s="22">
        <v>1</v>
      </c>
      <c r="Z151" s="22">
        <v>0</v>
      </c>
      <c r="AA151" s="24">
        <v>122645</v>
      </c>
      <c r="AB151" s="24">
        <v>122645</v>
      </c>
    </row>
    <row r="152" spans="1:28">
      <c r="A152" t="s">
        <v>63</v>
      </c>
      <c r="B152" t="s">
        <v>99</v>
      </c>
      <c r="C152" t="s">
        <v>47</v>
      </c>
      <c r="D152" t="s">
        <v>469</v>
      </c>
      <c r="E152" t="s">
        <v>1233</v>
      </c>
      <c r="F152" t="s">
        <v>1234</v>
      </c>
      <c r="G152" t="s">
        <v>103</v>
      </c>
      <c r="H152" t="s">
        <v>104</v>
      </c>
      <c r="I152" t="s">
        <v>167</v>
      </c>
      <c r="J152" t="s">
        <v>63</v>
      </c>
      <c r="K152" t="s">
        <v>1235</v>
      </c>
      <c r="L152" t="s">
        <v>108</v>
      </c>
      <c r="M152" t="s">
        <v>1236</v>
      </c>
      <c r="N152" s="21">
        <v>45959.701388888891</v>
      </c>
      <c r="O152" s="21">
        <v>45960.495833333327</v>
      </c>
      <c r="P152" t="s">
        <v>110</v>
      </c>
      <c r="Q152" t="s">
        <v>111</v>
      </c>
      <c r="R152" t="s">
        <v>112</v>
      </c>
      <c r="S152" t="s">
        <v>1237</v>
      </c>
      <c r="T152" t="s">
        <v>114</v>
      </c>
      <c r="U152" t="s">
        <v>1238</v>
      </c>
      <c r="V152" t="s">
        <v>144</v>
      </c>
      <c r="W152" t="s">
        <v>117</v>
      </c>
      <c r="X152" t="s">
        <v>118</v>
      </c>
      <c r="Y152" s="22">
        <v>1</v>
      </c>
      <c r="Z152" s="22">
        <v>0</v>
      </c>
      <c r="AA152" s="24">
        <v>122645</v>
      </c>
      <c r="AB152" s="24">
        <v>122645</v>
      </c>
    </row>
    <row r="153" spans="1:28">
      <c r="A153" t="s">
        <v>63</v>
      </c>
      <c r="B153" t="s">
        <v>99</v>
      </c>
      <c r="C153" t="s">
        <v>47</v>
      </c>
      <c r="D153" t="s">
        <v>469</v>
      </c>
      <c r="E153" t="s">
        <v>1239</v>
      </c>
      <c r="F153" t="s">
        <v>1240</v>
      </c>
      <c r="G153" t="s">
        <v>103</v>
      </c>
      <c r="H153" t="s">
        <v>104</v>
      </c>
      <c r="I153" t="s">
        <v>167</v>
      </c>
      <c r="J153" t="s">
        <v>63</v>
      </c>
      <c r="K153" t="s">
        <v>1241</v>
      </c>
      <c r="L153" t="s">
        <v>108</v>
      </c>
      <c r="M153" t="s">
        <v>1242</v>
      </c>
      <c r="N153" s="21">
        <v>45959.70208333333</v>
      </c>
      <c r="O153" s="21">
        <v>45960.679166666669</v>
      </c>
      <c r="P153" t="s">
        <v>110</v>
      </c>
      <c r="Q153" t="s">
        <v>111</v>
      </c>
      <c r="R153" t="s">
        <v>112</v>
      </c>
      <c r="S153" t="s">
        <v>1237</v>
      </c>
      <c r="T153" t="s">
        <v>114</v>
      </c>
      <c r="U153" t="s">
        <v>1243</v>
      </c>
      <c r="V153" t="s">
        <v>144</v>
      </c>
      <c r="W153" t="s">
        <v>117</v>
      </c>
      <c r="X153" t="s">
        <v>118</v>
      </c>
      <c r="Y153" s="22">
        <v>1</v>
      </c>
      <c r="Z153" s="22">
        <v>0</v>
      </c>
      <c r="AA153" s="24">
        <v>122645</v>
      </c>
      <c r="AB153" s="24">
        <v>122645</v>
      </c>
    </row>
    <row r="154" spans="1:28">
      <c r="A154" t="s">
        <v>63</v>
      </c>
      <c r="B154" t="s">
        <v>99</v>
      </c>
      <c r="C154" t="s">
        <v>47</v>
      </c>
      <c r="D154" t="s">
        <v>469</v>
      </c>
      <c r="E154" t="s">
        <v>1244</v>
      </c>
      <c r="F154" t="s">
        <v>1245</v>
      </c>
      <c r="G154" t="s">
        <v>103</v>
      </c>
      <c r="H154" t="s">
        <v>104</v>
      </c>
      <c r="I154" t="s">
        <v>167</v>
      </c>
      <c r="J154" t="s">
        <v>63</v>
      </c>
      <c r="K154" t="s">
        <v>1246</v>
      </c>
      <c r="L154" t="s">
        <v>108</v>
      </c>
      <c r="M154" t="s">
        <v>1247</v>
      </c>
      <c r="N154" s="21">
        <v>45959.681944444441</v>
      </c>
      <c r="O154" s="21">
        <v>45961.700694444437</v>
      </c>
      <c r="P154" t="s">
        <v>110</v>
      </c>
      <c r="Q154" t="s">
        <v>111</v>
      </c>
      <c r="R154" t="s">
        <v>112</v>
      </c>
      <c r="S154" t="s">
        <v>1248</v>
      </c>
      <c r="T154" t="s">
        <v>114</v>
      </c>
      <c r="U154" t="s">
        <v>1249</v>
      </c>
      <c r="V154" t="s">
        <v>144</v>
      </c>
      <c r="W154" t="s">
        <v>117</v>
      </c>
      <c r="X154" t="s">
        <v>174</v>
      </c>
      <c r="Y154" s="22">
        <v>1</v>
      </c>
      <c r="Z154" s="22">
        <v>0</v>
      </c>
      <c r="AA154" s="24">
        <v>122645</v>
      </c>
      <c r="AB154" s="24">
        <v>122645</v>
      </c>
    </row>
    <row r="155" spans="1:28">
      <c r="A155" t="s">
        <v>63</v>
      </c>
      <c r="B155" t="s">
        <v>99</v>
      </c>
      <c r="C155" t="s">
        <v>47</v>
      </c>
      <c r="D155" t="s">
        <v>1250</v>
      </c>
      <c r="E155" t="s">
        <v>1251</v>
      </c>
      <c r="F155" t="s">
        <v>1252</v>
      </c>
      <c r="G155" t="s">
        <v>103</v>
      </c>
      <c r="H155" t="s">
        <v>104</v>
      </c>
      <c r="I155" t="s">
        <v>167</v>
      </c>
      <c r="J155" t="s">
        <v>1253</v>
      </c>
      <c r="K155" t="s">
        <v>1254</v>
      </c>
      <c r="L155" t="s">
        <v>108</v>
      </c>
      <c r="M155" t="s">
        <v>1255</v>
      </c>
      <c r="N155" s="21">
        <v>45959.698611111111</v>
      </c>
      <c r="O155" s="21">
        <v>45960.59652777778</v>
      </c>
      <c r="P155" t="s">
        <v>110</v>
      </c>
      <c r="Q155" t="s">
        <v>111</v>
      </c>
      <c r="R155" t="s">
        <v>112</v>
      </c>
      <c r="S155" t="s">
        <v>1256</v>
      </c>
      <c r="T155" t="s">
        <v>114</v>
      </c>
      <c r="U155" t="s">
        <v>1257</v>
      </c>
      <c r="V155" t="s">
        <v>232</v>
      </c>
      <c r="W155" t="s">
        <v>117</v>
      </c>
      <c r="X155" t="s">
        <v>174</v>
      </c>
      <c r="Y155" s="22">
        <v>1</v>
      </c>
      <c r="Z155" s="22">
        <v>0</v>
      </c>
      <c r="AA155" s="24">
        <v>122645</v>
      </c>
      <c r="AB155" s="24">
        <v>122645</v>
      </c>
    </row>
    <row r="156" spans="1:28">
      <c r="A156" t="s">
        <v>63</v>
      </c>
      <c r="B156" t="s">
        <v>99</v>
      </c>
      <c r="C156" t="s">
        <v>47</v>
      </c>
      <c r="D156" t="s">
        <v>1258</v>
      </c>
      <c r="E156" t="s">
        <v>1259</v>
      </c>
      <c r="F156" t="s">
        <v>1260</v>
      </c>
      <c r="G156" t="s">
        <v>103</v>
      </c>
      <c r="H156" t="s">
        <v>104</v>
      </c>
      <c r="I156" t="s">
        <v>167</v>
      </c>
      <c r="J156" t="s">
        <v>1261</v>
      </c>
      <c r="K156" t="s">
        <v>1262</v>
      </c>
      <c r="L156" t="s">
        <v>108</v>
      </c>
      <c r="M156" t="s">
        <v>1263</v>
      </c>
      <c r="N156" s="21">
        <v>45959.696527777778</v>
      </c>
      <c r="O156" s="21">
        <v>45960.654861111107</v>
      </c>
      <c r="P156" t="s">
        <v>110</v>
      </c>
      <c r="Q156" t="s">
        <v>111</v>
      </c>
      <c r="R156" t="s">
        <v>112</v>
      </c>
      <c r="S156" t="s">
        <v>1264</v>
      </c>
      <c r="T156" t="s">
        <v>114</v>
      </c>
      <c r="U156" t="s">
        <v>1265</v>
      </c>
      <c r="V156" t="s">
        <v>232</v>
      </c>
      <c r="W156" t="s">
        <v>117</v>
      </c>
      <c r="X156" t="s">
        <v>127</v>
      </c>
      <c r="Y156" s="22">
        <v>1</v>
      </c>
      <c r="Z156" s="22">
        <v>0</v>
      </c>
      <c r="AA156" s="24">
        <v>122645</v>
      </c>
      <c r="AB156" s="24">
        <v>122645</v>
      </c>
    </row>
    <row r="157" spans="1:28">
      <c r="A157" t="s">
        <v>63</v>
      </c>
      <c r="B157" t="s">
        <v>99</v>
      </c>
      <c r="C157" t="s">
        <v>47</v>
      </c>
      <c r="D157" t="s">
        <v>1266</v>
      </c>
      <c r="E157" t="s">
        <v>1267</v>
      </c>
      <c r="F157" t="s">
        <v>1268</v>
      </c>
      <c r="G157" t="s">
        <v>103</v>
      </c>
      <c r="H157" t="s">
        <v>104</v>
      </c>
      <c r="I157" t="s">
        <v>167</v>
      </c>
      <c r="J157" t="s">
        <v>1269</v>
      </c>
      <c r="K157" t="s">
        <v>1270</v>
      </c>
      <c r="L157" t="s">
        <v>108</v>
      </c>
      <c r="M157" t="s">
        <v>1271</v>
      </c>
      <c r="N157" s="21">
        <v>45959.69027777778</v>
      </c>
      <c r="O157" s="21">
        <v>45961.580555555563</v>
      </c>
      <c r="P157" t="s">
        <v>110</v>
      </c>
      <c r="Q157" t="s">
        <v>111</v>
      </c>
      <c r="R157" t="s">
        <v>112</v>
      </c>
      <c r="S157" t="s">
        <v>1272</v>
      </c>
      <c r="T157" t="s">
        <v>114</v>
      </c>
      <c r="U157" t="s">
        <v>1273</v>
      </c>
      <c r="V157" t="s">
        <v>232</v>
      </c>
      <c r="W157" t="s">
        <v>117</v>
      </c>
      <c r="X157" t="s">
        <v>127</v>
      </c>
      <c r="Y157" s="22">
        <v>1</v>
      </c>
      <c r="Z157" s="22">
        <v>0</v>
      </c>
      <c r="AA157" s="24">
        <v>122645</v>
      </c>
      <c r="AB157" s="24">
        <v>122645</v>
      </c>
    </row>
    <row r="158" spans="1:28">
      <c r="A158" t="s">
        <v>64</v>
      </c>
      <c r="B158" t="s">
        <v>99</v>
      </c>
      <c r="C158" t="s">
        <v>58</v>
      </c>
      <c r="D158" t="s">
        <v>1274</v>
      </c>
      <c r="E158" t="s">
        <v>1275</v>
      </c>
      <c r="F158" t="s">
        <v>1276</v>
      </c>
      <c r="G158" t="s">
        <v>103</v>
      </c>
      <c r="H158" t="s">
        <v>104</v>
      </c>
      <c r="I158" t="s">
        <v>1277</v>
      </c>
      <c r="J158" t="s">
        <v>64</v>
      </c>
      <c r="K158" t="s">
        <v>1278</v>
      </c>
      <c r="L158" t="s">
        <v>108</v>
      </c>
      <c r="M158" t="s">
        <v>1279</v>
      </c>
      <c r="N158" s="21">
        <v>45959.640277777777</v>
      </c>
      <c r="O158" s="21">
        <v>45960.531944444447</v>
      </c>
      <c r="P158" t="s">
        <v>110</v>
      </c>
      <c r="Q158" t="s">
        <v>111</v>
      </c>
      <c r="R158" t="s">
        <v>112</v>
      </c>
      <c r="S158" t="s">
        <v>1280</v>
      </c>
      <c r="T158" t="s">
        <v>114</v>
      </c>
      <c r="U158" t="s">
        <v>1281</v>
      </c>
      <c r="V158" t="s">
        <v>144</v>
      </c>
      <c r="W158" t="s">
        <v>117</v>
      </c>
      <c r="X158" t="s">
        <v>281</v>
      </c>
      <c r="Y158" s="22">
        <v>1</v>
      </c>
      <c r="Z158" s="22">
        <v>0</v>
      </c>
      <c r="AA158" s="24">
        <v>122645</v>
      </c>
      <c r="AB158" s="24">
        <v>122645</v>
      </c>
    </row>
    <row r="159" spans="1:28">
      <c r="A159" t="s">
        <v>56</v>
      </c>
      <c r="B159" t="s">
        <v>145</v>
      </c>
      <c r="C159" t="s">
        <v>53</v>
      </c>
      <c r="D159" t="s">
        <v>1282</v>
      </c>
      <c r="E159" t="s">
        <v>1283</v>
      </c>
      <c r="F159" t="s">
        <v>1284</v>
      </c>
      <c r="G159" t="s">
        <v>103</v>
      </c>
      <c r="H159" t="s">
        <v>104</v>
      </c>
      <c r="I159" t="s">
        <v>888</v>
      </c>
      <c r="J159" t="s">
        <v>1285</v>
      </c>
      <c r="K159" t="s">
        <v>1286</v>
      </c>
      <c r="L159" t="s">
        <v>108</v>
      </c>
      <c r="M159" t="s">
        <v>1287</v>
      </c>
      <c r="N159" s="21">
        <v>45959.97152777778</v>
      </c>
      <c r="O159" s="21">
        <v>45961.715277777781</v>
      </c>
      <c r="P159" t="s">
        <v>110</v>
      </c>
      <c r="Q159" t="s">
        <v>111</v>
      </c>
      <c r="R159" t="s">
        <v>112</v>
      </c>
      <c r="S159" t="s">
        <v>1288</v>
      </c>
      <c r="T159" t="s">
        <v>114</v>
      </c>
      <c r="U159" t="s">
        <v>1289</v>
      </c>
      <c r="V159" t="s">
        <v>173</v>
      </c>
      <c r="W159" t="s">
        <v>117</v>
      </c>
      <c r="X159" t="s">
        <v>1290</v>
      </c>
      <c r="Y159" s="22">
        <v>1</v>
      </c>
      <c r="Z159" s="22">
        <v>0</v>
      </c>
      <c r="AA159" s="24">
        <v>122645</v>
      </c>
      <c r="AB159" s="24">
        <v>122645</v>
      </c>
    </row>
    <row r="160" spans="1:28">
      <c r="A160" t="s">
        <v>46</v>
      </c>
      <c r="B160" t="s">
        <v>99</v>
      </c>
      <c r="C160" t="s">
        <v>47</v>
      </c>
      <c r="D160" t="s">
        <v>335</v>
      </c>
      <c r="E160" t="s">
        <v>1291</v>
      </c>
      <c r="F160" t="s">
        <v>1292</v>
      </c>
      <c r="G160" t="s">
        <v>103</v>
      </c>
      <c r="H160" t="s">
        <v>104</v>
      </c>
      <c r="I160" t="s">
        <v>338</v>
      </c>
      <c r="J160" t="s">
        <v>46</v>
      </c>
      <c r="K160" t="s">
        <v>1293</v>
      </c>
      <c r="L160" t="s">
        <v>108</v>
      </c>
      <c r="M160" t="s">
        <v>1294</v>
      </c>
      <c r="N160" s="21">
        <v>45959.724305555559</v>
      </c>
      <c r="O160" s="21">
        <v>45961.725694444453</v>
      </c>
      <c r="P160" t="s">
        <v>110</v>
      </c>
      <c r="Q160" t="s">
        <v>111</v>
      </c>
      <c r="R160" t="s">
        <v>112</v>
      </c>
      <c r="S160" t="s">
        <v>1295</v>
      </c>
      <c r="T160" t="s">
        <v>114</v>
      </c>
      <c r="U160" t="s">
        <v>1296</v>
      </c>
      <c r="V160" t="s">
        <v>144</v>
      </c>
      <c r="W160" t="s">
        <v>117</v>
      </c>
      <c r="X160" t="s">
        <v>350</v>
      </c>
      <c r="Y160" s="22">
        <v>1</v>
      </c>
      <c r="Z160" s="22">
        <v>0</v>
      </c>
      <c r="AA160" s="24">
        <v>122645</v>
      </c>
      <c r="AB160" s="24">
        <v>122645</v>
      </c>
    </row>
    <row r="161" spans="1:28">
      <c r="A161" t="s">
        <v>46</v>
      </c>
      <c r="B161" t="s">
        <v>99</v>
      </c>
      <c r="C161" t="s">
        <v>47</v>
      </c>
      <c r="D161" t="s">
        <v>335</v>
      </c>
      <c r="E161" t="s">
        <v>1297</v>
      </c>
      <c r="F161" t="s">
        <v>1298</v>
      </c>
      <c r="G161" t="s">
        <v>103</v>
      </c>
      <c r="H161" t="s">
        <v>104</v>
      </c>
      <c r="I161" t="s">
        <v>338</v>
      </c>
      <c r="J161" t="s">
        <v>46</v>
      </c>
      <c r="K161" t="s">
        <v>1299</v>
      </c>
      <c r="L161" t="s">
        <v>108</v>
      </c>
      <c r="M161" t="s">
        <v>1300</v>
      </c>
      <c r="N161" s="21">
        <v>45959.711111111108</v>
      </c>
      <c r="O161" s="21">
        <v>45960.53402777778</v>
      </c>
      <c r="P161" t="s">
        <v>110</v>
      </c>
      <c r="Q161" t="s">
        <v>111</v>
      </c>
      <c r="R161" t="s">
        <v>112</v>
      </c>
      <c r="S161" t="s">
        <v>1301</v>
      </c>
      <c r="T161" t="s">
        <v>114</v>
      </c>
      <c r="U161" t="s">
        <v>1302</v>
      </c>
      <c r="V161" t="s">
        <v>144</v>
      </c>
      <c r="W161" t="s">
        <v>117</v>
      </c>
      <c r="X161" t="s">
        <v>357</v>
      </c>
      <c r="Y161" s="22">
        <v>1</v>
      </c>
      <c r="Z161" s="22">
        <v>0</v>
      </c>
      <c r="AA161" s="24">
        <v>122645</v>
      </c>
      <c r="AB161" s="24">
        <v>122645</v>
      </c>
    </row>
    <row r="162" spans="1:28">
      <c r="A162" t="s">
        <v>64</v>
      </c>
      <c r="B162" t="s">
        <v>99</v>
      </c>
      <c r="C162" t="s">
        <v>58</v>
      </c>
      <c r="D162" t="s">
        <v>1303</v>
      </c>
      <c r="E162" t="s">
        <v>1304</v>
      </c>
      <c r="F162" t="s">
        <v>1305</v>
      </c>
      <c r="G162" t="s">
        <v>103</v>
      </c>
      <c r="H162" t="s">
        <v>104</v>
      </c>
      <c r="I162" t="s">
        <v>338</v>
      </c>
      <c r="J162" t="s">
        <v>143</v>
      </c>
      <c r="K162" t="s">
        <v>1306</v>
      </c>
      <c r="L162" t="s">
        <v>108</v>
      </c>
      <c r="M162" t="s">
        <v>1307</v>
      </c>
      <c r="N162" s="21">
        <v>45959.751388888893</v>
      </c>
      <c r="O162" s="21">
        <v>45961.715277777781</v>
      </c>
      <c r="P162" t="s">
        <v>110</v>
      </c>
      <c r="Q162" t="s">
        <v>111</v>
      </c>
      <c r="R162" t="s">
        <v>112</v>
      </c>
      <c r="S162" t="s">
        <v>1308</v>
      </c>
      <c r="T162" t="s">
        <v>114</v>
      </c>
      <c r="U162" t="s">
        <v>1309</v>
      </c>
      <c r="V162" t="s">
        <v>232</v>
      </c>
      <c r="W162" t="s">
        <v>117</v>
      </c>
      <c r="X162" t="s">
        <v>343</v>
      </c>
      <c r="Y162" s="22">
        <v>1</v>
      </c>
      <c r="Z162" s="22">
        <v>0</v>
      </c>
      <c r="AA162" s="24">
        <v>122645</v>
      </c>
      <c r="AB162" s="24">
        <v>122645</v>
      </c>
    </row>
    <row r="163" spans="1:28">
      <c r="A163" t="s">
        <v>46</v>
      </c>
      <c r="B163" t="s">
        <v>99</v>
      </c>
      <c r="C163" t="s">
        <v>47</v>
      </c>
      <c r="D163" t="s">
        <v>1310</v>
      </c>
      <c r="E163" t="s">
        <v>1311</v>
      </c>
      <c r="F163" t="s">
        <v>1312</v>
      </c>
      <c r="G163" t="s">
        <v>103</v>
      </c>
      <c r="H163" t="s">
        <v>104</v>
      </c>
      <c r="I163" t="s">
        <v>338</v>
      </c>
      <c r="J163" t="s">
        <v>1313</v>
      </c>
      <c r="K163" t="s">
        <v>1314</v>
      </c>
      <c r="L163" t="s">
        <v>108</v>
      </c>
      <c r="M163" t="s">
        <v>1315</v>
      </c>
      <c r="N163" s="21">
        <v>45959.669444444437</v>
      </c>
      <c r="O163" s="21">
        <v>45960.583333333343</v>
      </c>
      <c r="P163" t="s">
        <v>110</v>
      </c>
      <c r="Q163" t="s">
        <v>111</v>
      </c>
      <c r="R163" t="s">
        <v>112</v>
      </c>
      <c r="S163" t="s">
        <v>1316</v>
      </c>
      <c r="T163" t="s">
        <v>114</v>
      </c>
      <c r="U163" t="s">
        <v>1317</v>
      </c>
      <c r="V163" t="s">
        <v>232</v>
      </c>
      <c r="W163" t="s">
        <v>117</v>
      </c>
      <c r="X163" t="s">
        <v>343</v>
      </c>
      <c r="Y163" s="22">
        <v>1</v>
      </c>
      <c r="Z163" s="22">
        <v>0</v>
      </c>
      <c r="AA163" s="24">
        <v>122645</v>
      </c>
      <c r="AB163" s="24">
        <v>122645</v>
      </c>
    </row>
    <row r="164" spans="1:28">
      <c r="A164" t="s">
        <v>46</v>
      </c>
      <c r="B164" t="s">
        <v>99</v>
      </c>
      <c r="C164" t="s">
        <v>47</v>
      </c>
      <c r="D164" t="s">
        <v>1310</v>
      </c>
      <c r="E164" t="s">
        <v>1318</v>
      </c>
      <c r="F164" t="s">
        <v>1319</v>
      </c>
      <c r="G164" t="s">
        <v>103</v>
      </c>
      <c r="H164" t="s">
        <v>104</v>
      </c>
      <c r="I164" t="s">
        <v>338</v>
      </c>
      <c r="J164" t="s">
        <v>1313</v>
      </c>
      <c r="K164" t="s">
        <v>1320</v>
      </c>
      <c r="L164" t="s">
        <v>108</v>
      </c>
      <c r="M164" t="s">
        <v>1321</v>
      </c>
      <c r="N164" s="21">
        <v>45959.669444444437</v>
      </c>
      <c r="O164" s="21">
        <v>45961.292361111111</v>
      </c>
      <c r="P164" t="s">
        <v>110</v>
      </c>
      <c r="Q164" t="s">
        <v>111</v>
      </c>
      <c r="R164" t="s">
        <v>112</v>
      </c>
      <c r="S164" t="s">
        <v>1322</v>
      </c>
      <c r="T164" t="s">
        <v>114</v>
      </c>
      <c r="U164" t="s">
        <v>1323</v>
      </c>
      <c r="V164" t="s">
        <v>232</v>
      </c>
      <c r="W164" t="s">
        <v>117</v>
      </c>
      <c r="X164" t="s">
        <v>343</v>
      </c>
      <c r="Y164" s="22">
        <v>1</v>
      </c>
      <c r="Z164" s="22">
        <v>0</v>
      </c>
      <c r="AA164" s="24">
        <v>122645</v>
      </c>
      <c r="AB164" s="24">
        <v>122645</v>
      </c>
    </row>
    <row r="165" spans="1:28">
      <c r="A165" t="s">
        <v>46</v>
      </c>
      <c r="B165" t="s">
        <v>99</v>
      </c>
      <c r="C165" t="s">
        <v>47</v>
      </c>
      <c r="D165" t="s">
        <v>1012</v>
      </c>
      <c r="E165" t="s">
        <v>1324</v>
      </c>
      <c r="F165" t="s">
        <v>1325</v>
      </c>
      <c r="G165" t="s">
        <v>103</v>
      </c>
      <c r="H165" t="s">
        <v>104</v>
      </c>
      <c r="I165" t="s">
        <v>338</v>
      </c>
      <c r="J165" t="s">
        <v>1015</v>
      </c>
      <c r="K165" t="s">
        <v>1326</v>
      </c>
      <c r="L165" t="s">
        <v>108</v>
      </c>
      <c r="M165" t="s">
        <v>1327</v>
      </c>
      <c r="N165" s="21">
        <v>45959.711111111108</v>
      </c>
      <c r="O165" s="21">
        <v>45961.645138888889</v>
      </c>
      <c r="P165" t="s">
        <v>110</v>
      </c>
      <c r="Q165" t="s">
        <v>111</v>
      </c>
      <c r="R165" t="s">
        <v>112</v>
      </c>
      <c r="S165" t="s">
        <v>1328</v>
      </c>
      <c r="T165" t="s">
        <v>114</v>
      </c>
      <c r="U165" t="s">
        <v>1329</v>
      </c>
      <c r="V165" t="s">
        <v>232</v>
      </c>
      <c r="W165" t="s">
        <v>117</v>
      </c>
      <c r="X165" t="s">
        <v>496</v>
      </c>
      <c r="Y165" s="22">
        <v>1</v>
      </c>
      <c r="Z165" s="22">
        <v>0</v>
      </c>
      <c r="AA165" s="24">
        <v>122645</v>
      </c>
      <c r="AB165" s="24">
        <v>122645</v>
      </c>
    </row>
    <row r="166" spans="1:28">
      <c r="A166" t="s">
        <v>38</v>
      </c>
      <c r="B166" t="s">
        <v>444</v>
      </c>
      <c r="C166" t="s">
        <v>39</v>
      </c>
      <c r="D166" t="s">
        <v>497</v>
      </c>
      <c r="E166" t="s">
        <v>1330</v>
      </c>
      <c r="F166" t="s">
        <v>1331</v>
      </c>
      <c r="G166" t="s">
        <v>103</v>
      </c>
      <c r="H166" t="s">
        <v>104</v>
      </c>
      <c r="I166" t="s">
        <v>444</v>
      </c>
      <c r="J166" t="s">
        <v>38</v>
      </c>
      <c r="K166" t="s">
        <v>1332</v>
      </c>
      <c r="L166" t="s">
        <v>108</v>
      </c>
      <c r="M166" t="s">
        <v>1333</v>
      </c>
      <c r="N166" s="21">
        <v>45959.208333333343</v>
      </c>
      <c r="O166" s="21">
        <v>45960.468055555553</v>
      </c>
      <c r="P166" t="s">
        <v>110</v>
      </c>
      <c r="Q166" t="s">
        <v>111</v>
      </c>
      <c r="R166" t="s">
        <v>112</v>
      </c>
      <c r="S166" t="s">
        <v>1334</v>
      </c>
      <c r="T166" t="s">
        <v>114</v>
      </c>
      <c r="U166" t="s">
        <v>1335</v>
      </c>
      <c r="V166" t="s">
        <v>144</v>
      </c>
      <c r="W166" t="s">
        <v>117</v>
      </c>
      <c r="X166" t="s">
        <v>524</v>
      </c>
      <c r="Y166" s="22">
        <v>1</v>
      </c>
      <c r="Z166" s="22">
        <v>0</v>
      </c>
      <c r="AA166" s="24">
        <v>122645</v>
      </c>
      <c r="AB166" s="24">
        <v>122645</v>
      </c>
    </row>
    <row r="167" spans="1:28">
      <c r="A167" t="s">
        <v>38</v>
      </c>
      <c r="B167" t="s">
        <v>444</v>
      </c>
      <c r="C167" t="s">
        <v>39</v>
      </c>
      <c r="D167" t="s">
        <v>497</v>
      </c>
      <c r="E167" t="s">
        <v>1336</v>
      </c>
      <c r="F167" t="s">
        <v>1337</v>
      </c>
      <c r="G167" t="s">
        <v>103</v>
      </c>
      <c r="H167" t="s">
        <v>104</v>
      </c>
      <c r="I167" t="s">
        <v>444</v>
      </c>
      <c r="J167" t="s">
        <v>38</v>
      </c>
      <c r="K167" t="s">
        <v>1338</v>
      </c>
      <c r="L167" t="s">
        <v>108</v>
      </c>
      <c r="M167" t="s">
        <v>1339</v>
      </c>
      <c r="N167" s="21">
        <v>45959.541666666657</v>
      </c>
      <c r="O167" s="21">
        <v>45960.586111111108</v>
      </c>
      <c r="P167" t="s">
        <v>110</v>
      </c>
      <c r="Q167" t="s">
        <v>111</v>
      </c>
      <c r="R167" t="s">
        <v>112</v>
      </c>
      <c r="S167" t="s">
        <v>1340</v>
      </c>
      <c r="T167" t="s">
        <v>114</v>
      </c>
      <c r="U167" t="s">
        <v>1341</v>
      </c>
      <c r="V167" t="s">
        <v>144</v>
      </c>
      <c r="W167" t="s">
        <v>117</v>
      </c>
      <c r="X167" t="s">
        <v>524</v>
      </c>
      <c r="Y167" s="22">
        <v>1</v>
      </c>
      <c r="Z167" s="22">
        <v>0</v>
      </c>
      <c r="AA167" s="24">
        <v>122645</v>
      </c>
      <c r="AB167" s="24">
        <v>122645</v>
      </c>
    </row>
    <row r="168" spans="1:28">
      <c r="AB168" s="25">
        <f>SUM(AB2:AB167)</f>
        <v>20359070</v>
      </c>
    </row>
  </sheetData>
  <autoFilter ref="A1:AB167" xr:uid="{00000000-0009-0000-0000-000002000000}"/>
  <conditionalFormatting sqref="E1:E1048576">
    <cfRule type="duplicateValues" dxfId="0" priority="1"/>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FA8C4-BE52-4779-80DC-FF1A851464C5}">
  <dimension ref="A1:I4"/>
  <sheetViews>
    <sheetView tabSelected="1" workbookViewId="0">
      <selection activeCell="D8" sqref="D8"/>
    </sheetView>
  </sheetViews>
  <sheetFormatPr baseColWidth="10" defaultRowHeight="14.4"/>
  <cols>
    <col min="1" max="9" width="18.5546875" customWidth="1"/>
  </cols>
  <sheetData>
    <row r="1" spans="1:9" ht="15" thickBot="1">
      <c r="A1" s="26" t="s">
        <v>1342</v>
      </c>
      <c r="B1" s="27" t="s">
        <v>1343</v>
      </c>
      <c r="C1" s="27" t="s">
        <v>1344</v>
      </c>
      <c r="D1" s="27" t="s">
        <v>1345</v>
      </c>
      <c r="E1" s="27" t="s">
        <v>1346</v>
      </c>
      <c r="F1" s="27" t="s">
        <v>1347</v>
      </c>
      <c r="G1" s="27" t="s">
        <v>1348</v>
      </c>
      <c r="H1" s="27" t="s">
        <v>1349</v>
      </c>
      <c r="I1" s="27" t="s">
        <v>1350</v>
      </c>
    </row>
    <row r="2" spans="1:9" ht="15" thickBot="1">
      <c r="A2" s="28" t="s">
        <v>1351</v>
      </c>
      <c r="B2" s="29" t="s">
        <v>1352</v>
      </c>
      <c r="C2" s="29" t="s">
        <v>1353</v>
      </c>
      <c r="D2" s="29" t="s">
        <v>1354</v>
      </c>
      <c r="E2" s="29" t="s">
        <v>1355</v>
      </c>
      <c r="F2" s="30">
        <f>COUNTA(CAPACITACIONES_APERTURAS!A:A)-1</f>
        <v>166</v>
      </c>
      <c r="G2" s="31">
        <v>122645</v>
      </c>
      <c r="H2" s="31">
        <f>F2*G2</f>
        <v>20359070</v>
      </c>
      <c r="I2" s="31">
        <f>H2*1.19</f>
        <v>24227293.300000001</v>
      </c>
    </row>
    <row r="3" spans="1:9" ht="15" thickBot="1">
      <c r="A3" s="28" t="str">
        <f>A2</f>
        <v>OCTUBRE DE 2025</v>
      </c>
      <c r="B3" s="29" t="s">
        <v>1352</v>
      </c>
      <c r="C3" s="29" t="s">
        <v>1353</v>
      </c>
      <c r="D3" s="29" t="s">
        <v>1356</v>
      </c>
      <c r="E3" s="29" t="s">
        <v>1355</v>
      </c>
      <c r="F3" s="30">
        <v>0</v>
      </c>
      <c r="G3" s="31">
        <v>0</v>
      </c>
      <c r="H3" s="31">
        <f>'[24]CAPACITACION OC '!AW3</f>
        <v>0</v>
      </c>
      <c r="I3" s="31">
        <f t="shared" ref="I3" si="0">H3*1.19</f>
        <v>0</v>
      </c>
    </row>
    <row r="4" spans="1:9" ht="15" thickBot="1">
      <c r="A4" s="42" t="s">
        <v>1357</v>
      </c>
      <c r="B4" s="43"/>
      <c r="C4" s="43"/>
      <c r="D4" s="44"/>
      <c r="E4" s="32" t="s">
        <v>1357</v>
      </c>
      <c r="F4" s="33">
        <f>SUM(F2:F3)</f>
        <v>166</v>
      </c>
      <c r="G4" s="34"/>
      <c r="H4" s="35">
        <f>SUM(H2:H3)</f>
        <v>20359070</v>
      </c>
      <c r="I4" s="35">
        <f>SUM(I2:I3)</f>
        <v>24227293.300000001</v>
      </c>
    </row>
  </sheetData>
  <mergeCells count="1">
    <mergeCell ref="A4:D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0A8736163078B46BA45051ACB50C0B2" ma:contentTypeVersion="16" ma:contentTypeDescription="Crear nuevo documento." ma:contentTypeScope="" ma:versionID="3688f3dae372e14fc0065b8deaede2af">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6be92bc8077a6e15648bc8fb56071b5e"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b0c89e-4cf9-4131-8f93-e930e748987a" xsi:nil="true"/>
    <lcf76f155ced4ddcb4097134ff3c332f xmlns="45c089de-fbcb-4273-99e1-da05513ea3d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F6F3AAB-9BF5-4FD6-80E8-C594E6A1EE80}"/>
</file>

<file path=customXml/itemProps2.xml><?xml version="1.0" encoding="utf-8"?>
<ds:datastoreItem xmlns:ds="http://schemas.openxmlformats.org/officeDocument/2006/customXml" ds:itemID="{64232784-A250-4FDD-B4B8-71004CB63601}"/>
</file>

<file path=customXml/itemProps3.xml><?xml version="1.0" encoding="utf-8"?>
<ds:datastoreItem xmlns:ds="http://schemas.openxmlformats.org/officeDocument/2006/customXml" ds:itemID="{2FE8ABAB-9756-40BA-9F18-5BE42DA36E1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 FACTURACION 2025</vt:lpstr>
      <vt:lpstr>CENTRO DE COSTOS</vt:lpstr>
      <vt:lpstr>CAPACITACIONES_APERTURAS</vt:lpstr>
      <vt:lpstr>RESUMEN LIQUIDACIÓN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Lini Jhojana Hernandez Mora</cp:lastModifiedBy>
  <dcterms:created xsi:type="dcterms:W3CDTF">2014-05-14T15:22:20Z</dcterms:created>
  <dcterms:modified xsi:type="dcterms:W3CDTF">2025-11-05T07:27:32Z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