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OCTUBRE/LIQUIDACIONES REDEBAN/"/>
    </mc:Choice>
  </mc:AlternateContent>
  <xr:revisionPtr revIDLastSave="9" documentId="13_ncr:1_{10A41AB8-6B3D-49F0-88F8-5FF48373BA07}" xr6:coauthVersionLast="47" xr6:coauthVersionMax="47" xr10:uidLastSave="{9932DEED-B458-4002-B765-A6019A6DDD54}"/>
  <bookViews>
    <workbookView xWindow="-120" yWindow="-120" windowWidth="29040" windowHeight="15840" tabRatio="940" firstSheet="2" activeTab="2" xr2:uid="{00000000-000D-0000-FFFF-FFFF00000000}"/>
  </bookViews>
  <sheets>
    <sheet name="BASE DE LIQUIDACION 2025" sheetId="1" state="hidden" r:id="rId1"/>
    <sheet name="CENTRO DE COSTOS" sheetId="2" state="hidden" r:id="rId2"/>
    <sheet name="RESUMEN LIQUIDACIÓN" sheetId="5" r:id="rId3"/>
    <sheet name="PUBLICIDAD_APERTURAS" sheetId="3" r:id="rId4"/>
    <sheet name="PUBLICIDAD_OC" sheetId="4"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xlnm._FilterDatabase" localSheetId="1" hidden="1">'CENTRO DE COSTOS'!$A$1:$D$23</definedName>
    <definedName name="_xlnm._FilterDatabase" localSheetId="3" hidden="1">PUBLICIDAD_APERTURAS!$A$1:$AE$182</definedName>
    <definedName name="_xlnm._FilterDatabase" localSheetId="4" hidden="1">PUBLICIDAD_OC!$A$1:$AE$91</definedName>
    <definedName name="A" localSheetId="1">#REF!</definedName>
    <definedName name="A">#REF!</definedName>
    <definedName name="ACTIVIDAD" localSheetId="1">[1]Hoja2!$P$2:$P$30</definedName>
    <definedName name="Actividad">[2]Formulas!$H$2:$H$5000</definedName>
    <definedName name="Analistas">'[3]Listas Desplegables'!$T$2:$T$7</definedName>
    <definedName name="arearesponsable">'[4]Listas desplegables'!$BB$2:$BB$100</definedName>
    <definedName name="CCO">[5]Tecnicos!$A$2:$A$1000</definedName>
    <definedName name="Clientes" localSheetId="1">[6]Clientes!$A$2:$A$100</definedName>
    <definedName name="Clientes">[2]Clientes!$A$2:$A$100</definedName>
    <definedName name="COORDINADOR">[1]Hoja2!$D$2:$D$30</definedName>
    <definedName name="Coordinadores" localSheetId="1">[7]Coordinadores!$A$2:$A$1000</definedName>
    <definedName name="Coordinadores">[2]Coordinadores!$A$2:$A$1000</definedName>
    <definedName name="DOCUMENTADOR">[1]Hoja2!$A$2:$A$30</definedName>
    <definedName name="ES">[1]Hoja2!$K$2:$K$30</definedName>
    <definedName name="ESS">[1]Hoja2!$K$2:$K$30</definedName>
    <definedName name="Estado" localSheetId="1">[6]Formulas!$K$2:$K$5000</definedName>
    <definedName name="Estado">[2]Formulas!$K$2:$K$5000</definedName>
    <definedName name="ESTADOACTIVIDAD">[1]Hoja2!$M$2:$M$30</definedName>
    <definedName name="ESTADOS" localSheetId="1">'[8]Listas desplegables'!$B$1:$D$1</definedName>
    <definedName name="ESTADOS">'[9]Listas desplegables'!$B$1:$D$1</definedName>
    <definedName name="ESTADOSCIERRES">'[10]lista desplegable'!$CX$1:$DA$1</definedName>
    <definedName name="Facturacion">'[11]Listas desplegables'!$AO$1:$AR$1</definedName>
    <definedName name="FACTURACIÓN" localSheetId="1">'[8]Listas desplegables'!$Y$1:$AB$1</definedName>
    <definedName name="FACTURACIÓN">'[9]Listas desplegables'!$Y$1:$AB$1</definedName>
    <definedName name="falla">#REF!</definedName>
    <definedName name="Fallas" localSheetId="1">'[12]Listas desplegables'!$F$2:$L$2</definedName>
    <definedName name="Fallas">'[13]Listas desplegables'!$F$2:$L$2</definedName>
    <definedName name="Grupo_Falla" localSheetId="1">'[14]Listas Desplegables'!$CH$2:$CH$5</definedName>
    <definedName name="Grupo_Falla">'[15]Listas Desplegables'!$CH$2:$CH$5</definedName>
    <definedName name="inconservmanager" localSheetId="1">'[16]Listas desplegables'!$BC$2:$BC$100</definedName>
    <definedName name="inconservmanager">'[4]Listas desplegables'!$BC$2:$BC$100</definedName>
    <definedName name="INCUMPLIMIENTO" localSheetId="1">'[4]Listas desplegables'!$AK$1:$AN$1</definedName>
    <definedName name="INCUMPLIMIENTO">'[17]Listas desplegables'!$AT$1:$AX$1</definedName>
    <definedName name="LISTA" localSheetId="1">[18]Dptos!$A$1139:$A$1171</definedName>
    <definedName name="LISTA">[19]Dptos!$A$1139:$A$1171</definedName>
    <definedName name="LISTA2" localSheetId="1">#REF!</definedName>
    <definedName name="LISTA2">[20]Hoja3!$A$1:$A$26</definedName>
    <definedName name="LOLO">[21]Coordinadores!$A$2:$A$1000</definedName>
    <definedName name="solicitudes" localSheetId="1">'[11]Listas desplegables'!$U$1:$AF$1</definedName>
    <definedName name="solicitudes">'[11]Listas desplegables'!$U$1:$AF$1</definedName>
    <definedName name="Tecnicos" localSheetId="1">[6]Tecnicos!$A$2:$A$1000</definedName>
    <definedName name="Tecnicos">[2]Tecnicos!$A$2:$A$1000</definedName>
    <definedName name="Version" localSheetId="1">[22]Formulas!$I$2:$I$3</definedName>
    <definedName name="Version">[2]Formulas!$I$2:$I$3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5" l="1"/>
  <c r="AE91" i="4"/>
  <c r="G4" i="5" s="1"/>
  <c r="H4" i="5" s="1"/>
  <c r="F4" i="5"/>
  <c r="F3" i="5"/>
  <c r="L6" i="5"/>
  <c r="M5" i="5"/>
  <c r="N5" i="5" s="1"/>
  <c r="F5" i="5"/>
  <c r="M4" i="5"/>
  <c r="N4" i="5" s="1"/>
  <c r="A4" i="5"/>
  <c r="A5" i="5" s="1"/>
  <c r="M3" i="5"/>
  <c r="A1" i="5"/>
  <c r="F6" i="5" l="1"/>
  <c r="M6" i="5"/>
  <c r="N3" i="5"/>
  <c r="N6" i="5" s="1"/>
  <c r="G5" i="5" s="1"/>
  <c r="H5" i="5" s="1"/>
  <c r="AE183" i="3" l="1"/>
  <c r="L8" i="1"/>
  <c r="K8" i="1"/>
  <c r="J8" i="1"/>
  <c r="I8" i="1"/>
  <c r="L7" i="1"/>
  <c r="K7" i="1"/>
  <c r="J7" i="1"/>
  <c r="I7" i="1"/>
  <c r="L6" i="1"/>
  <c r="K6" i="1"/>
  <c r="J6" i="1"/>
  <c r="I6" i="1"/>
  <c r="L5" i="1"/>
  <c r="K5" i="1"/>
  <c r="J5" i="1"/>
  <c r="I5" i="1"/>
  <c r="L4" i="1"/>
  <c r="K4" i="1"/>
  <c r="J4" i="1"/>
  <c r="I4" i="1"/>
  <c r="E4" i="1"/>
  <c r="D4" i="1"/>
  <c r="C4" i="1"/>
  <c r="B4" i="1"/>
  <c r="E3" i="1"/>
  <c r="D3" i="1"/>
  <c r="C3" i="1"/>
  <c r="B3" i="1"/>
  <c r="H3" i="5" l="1"/>
  <c r="H6" i="5" s="1"/>
  <c r="G6" i="5"/>
</calcChain>
</file>

<file path=xl/sharedStrings.xml><?xml version="1.0" encoding="utf-8"?>
<sst xmlns="http://schemas.openxmlformats.org/spreadsheetml/2006/main" count="6226" uniqueCount="2004">
  <si>
    <t>TARIFAS AÑO 2025</t>
  </si>
  <si>
    <t>Incremento 2025</t>
  </si>
  <si>
    <t>TIPOLOGÍA</t>
  </si>
  <si>
    <t>Instalación de avisos internos</t>
  </si>
  <si>
    <t>Instalación de avisos EXTERNOS</t>
  </si>
  <si>
    <t>Transporte de señalización y aviso de 1,50m x 50 cm.</t>
  </si>
  <si>
    <t>Total Valor Actividad</t>
  </si>
  <si>
    <t>ORDENES DE CAMBIO</t>
  </si>
  <si>
    <t>TIPO I</t>
  </si>
  <si>
    <t xml:space="preserve">Tipificación </t>
  </si>
  <si>
    <t>Descripción</t>
  </si>
  <si>
    <t>Dia actividad</t>
  </si>
  <si>
    <t>Transporte</t>
  </si>
  <si>
    <t>Envio operador Logistico</t>
  </si>
  <si>
    <t>Gestión telefónica</t>
  </si>
  <si>
    <t>TIPO II - TIPO III - TIPO IV</t>
  </si>
  <si>
    <t>Tipo I</t>
  </si>
  <si>
    <t>Metropolitano</t>
  </si>
  <si>
    <t>Tipo II</t>
  </si>
  <si>
    <t>Hasta 3 horas</t>
  </si>
  <si>
    <t>Tipo III</t>
  </si>
  <si>
    <t>De 3 a 5 horas</t>
  </si>
  <si>
    <t>Tipo IV</t>
  </si>
  <si>
    <t>Más de 5 horas</t>
  </si>
  <si>
    <t>Destino Aereo*</t>
  </si>
  <si>
    <t>Viaje en Avión</t>
  </si>
  <si>
    <t>* donde se requiera transporte aéreo o fluvial se factura adicional a tarifa TIPO IV el valor del tiquete + el 12% de admon</t>
  </si>
  <si>
    <t>CIUDAD</t>
  </si>
  <si>
    <t>CENTRO_COSTO</t>
  </si>
  <si>
    <t>DESCRIPCION</t>
  </si>
  <si>
    <t>COORDINADOR</t>
  </si>
  <si>
    <t>APARTADO</t>
  </si>
  <si>
    <t>0004-0005</t>
  </si>
  <si>
    <t>Redeban Noroccidente (Medellín)</t>
  </si>
  <si>
    <t>JUAN SEBASTIÁN RÍOS CASTRILLÓN</t>
  </si>
  <si>
    <t>BARRANQUILLA</t>
  </si>
  <si>
    <t>0004-0001</t>
  </si>
  <si>
    <t>Redeban Costa (Barranqullla)</t>
  </si>
  <si>
    <t>JOSE MAURICIO HERNANDEZ ROJAS</t>
  </si>
  <si>
    <t>BOGOTA</t>
  </si>
  <si>
    <t>0004-0004</t>
  </si>
  <si>
    <t>Redeban Centro ( Bogotá)</t>
  </si>
  <si>
    <t>WILLIAM ASDRUBAL ROZO ROZO</t>
  </si>
  <si>
    <t>BUCARAMANGA</t>
  </si>
  <si>
    <t>0004-0008</t>
  </si>
  <si>
    <t>Redeban Santander</t>
  </si>
  <si>
    <t>MIGUEL JULIÁN HERNÁNDEZ GUARÍN</t>
  </si>
  <si>
    <t>CALI</t>
  </si>
  <si>
    <t>0004-0003</t>
  </si>
  <si>
    <t>Redeban Suroccidente (Cali)</t>
  </si>
  <si>
    <t>DIEGO FERNANDO HENAO CARDONA</t>
  </si>
  <si>
    <t>CARTAGENA</t>
  </si>
  <si>
    <t>CUCUTA</t>
  </si>
  <si>
    <t>FLORENCIA</t>
  </si>
  <si>
    <t>0004-0007</t>
  </si>
  <si>
    <t>Redeban Oriente (Otros)</t>
  </si>
  <si>
    <t>KEVIN ALEXIS CORZO BUSTOS</t>
  </si>
  <si>
    <t>IBAGUE</t>
  </si>
  <si>
    <t>MANIZALES</t>
  </si>
  <si>
    <t>0004-0002</t>
  </si>
  <si>
    <t>Redeban Eje Cafetero (Pereira)</t>
  </si>
  <si>
    <t>MEDELLIN</t>
  </si>
  <si>
    <t>MONTERIA</t>
  </si>
  <si>
    <t>NEIVA</t>
  </si>
  <si>
    <t>PASTO</t>
  </si>
  <si>
    <t>PEREIRA</t>
  </si>
  <si>
    <t>POPAYAN</t>
  </si>
  <si>
    <t>SANTA MARTA</t>
  </si>
  <si>
    <t>SINCELEJO</t>
  </si>
  <si>
    <t>TUNJA</t>
  </si>
  <si>
    <t>VALLEDUPAR</t>
  </si>
  <si>
    <t>VILLAVICENCIO</t>
  </si>
  <si>
    <t>YOPAL</t>
  </si>
  <si>
    <t>CIUDAD SEDE</t>
  </si>
  <si>
    <t>ZONA</t>
  </si>
  <si>
    <t>CENTRO DE COSTOS LINEACOM</t>
  </si>
  <si>
    <t>CODIGO DANE</t>
  </si>
  <si>
    <t>TA/CODIGO ACTIVIDAD</t>
  </si>
  <si>
    <t>CODIGO CB</t>
  </si>
  <si>
    <t>ACTIVIDAD</t>
  </si>
  <si>
    <t>TIPO DE APERTURA</t>
  </si>
  <si>
    <t>DEPARTAMENTO</t>
  </si>
  <si>
    <t xml:space="preserve">NOMBRE  DEL CB </t>
  </si>
  <si>
    <t>RED</t>
  </si>
  <si>
    <t>FO</t>
  </si>
  <si>
    <t>FECHA LISTA</t>
  </si>
  <si>
    <t>FECHA ULTIMA ACTUALIZACION</t>
  </si>
  <si>
    <t>FORMATO</t>
  </si>
  <si>
    <t>CADENA</t>
  </si>
  <si>
    <t>ESTADO</t>
  </si>
  <si>
    <t>OBSERVACIONES CLIENTE</t>
  </si>
  <si>
    <t>FORMA DE ATENCION</t>
  </si>
  <si>
    <t>TERMINAL(ES)</t>
  </si>
  <si>
    <t>TIPIFICACION</t>
  </si>
  <si>
    <t>TIPO DE TRAYECTO</t>
  </si>
  <si>
    <t xml:space="preserve">NOMBRE DEL TECNICO </t>
  </si>
  <si>
    <t>FLANGER, DISPLAY LEGAL, DISPLAY CARTA O TABLOIDE</t>
  </si>
  <si>
    <t xml:space="preserve">INSTALACION DE AVISOS EXTERNOS </t>
  </si>
  <si>
    <t>TRANSPORTE DE AVISO  POR INSTALACION O POR NO INSTALACION (IDA-REGRESO)</t>
  </si>
  <si>
    <t>VALOR FLANGER, SEPARADOR, STICKER, DISPLAY</t>
  </si>
  <si>
    <t xml:space="preserve">VALOR INSTALACIÓN DE AVISOS EXTERNOS </t>
  </si>
  <si>
    <t>VALOR TRANSPORTE DE AVISO</t>
  </si>
  <si>
    <t>VALOR TOTAL INSTALACION DE PUBLICIDAD</t>
  </si>
  <si>
    <t>SUROCCIDENTE Y EJE CAFETERO</t>
  </si>
  <si>
    <t>86320</t>
  </si>
  <si>
    <t>TA-25-1145855</t>
  </si>
  <si>
    <t>3007081670</t>
  </si>
  <si>
    <t>APERTURA</t>
  </si>
  <si>
    <t>CB CRECIMIENTO ALIANZA - NUEVO</t>
  </si>
  <si>
    <t>PUTUMAYO</t>
  </si>
  <si>
    <t>ORITO</t>
  </si>
  <si>
    <t>DISTRICOL BOUTIQUEMISANGELITOS</t>
  </si>
  <si>
    <t>REDEBAN</t>
  </si>
  <si>
    <t>FO-25-1577742</t>
  </si>
  <si>
    <t>AGREGADOR</t>
  </si>
  <si>
    <t>DISTRICOL</t>
  </si>
  <si>
    <t>EJECUTADO</t>
  </si>
  <si>
    <t>24/09/2025 24-09 PROGRAMACIÓN REALIZADA POR LA ALIANZA | 29/09/2025 SE ESPERA REALIZAR INSTALACIÓN EL MIÉRCOLES EN LA JORNADA DE LA TARDE YA QUE HAY VARIAS ACTIVIDADES EN LA ZONA | 01/10/2025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</si>
  <si>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VISITA TECNICA</t>
  </si>
  <si>
    <t>FWZZZ496</t>
  </si>
  <si>
    <t>TIPO IV</t>
  </si>
  <si>
    <t>TERRESTRE</t>
  </si>
  <si>
    <t>CASTILLO HERRERA ALEX RICARDO</t>
  </si>
  <si>
    <t>86568</t>
  </si>
  <si>
    <t>TA-25-1145861</t>
  </si>
  <si>
    <t>3007081675</t>
  </si>
  <si>
    <t>PUERTO ASIS</t>
  </si>
  <si>
    <t>DISTRICOL SOCCER LAGUNA</t>
  </si>
  <si>
    <t>FO-25-1577748</t>
  </si>
  <si>
    <t>24/09/2025 24-09 PROGRAMACIÓN REALIZADA POR LA ALIANZA | 30/09/2025 NO SE LOGRA LLEGAR AL DESTINO EL DIA DE HOY POR PROBLEMAS EN LAS VIAS, SE LLEGARA EL DIA DE MAÑANA PARA ATENCION DE ACTIVIDADES | 01/10/2025 SE VISITO EL COMERCIO PARA DAR APERTURA AL CB, SE INSTALA DATAFONO CON LECTORA BASE Y MAGIC BOX, SE INSTALA PUBLICIDAD Y SE ENTREGA ROLLOS, SE CAPACITA OK, PRUEBAS OK EXCEPTO RECAUDO POR NO TENER ELEMENTOS PARA HACERLA, SOMOS BANCOLOMBIA OK, CB OPERATIVO</t>
  </si>
  <si>
    <t>FWZZZ497</t>
  </si>
  <si>
    <t>GUERRERO RAMIREZ OSCAR DARIO</t>
  </si>
  <si>
    <t>TA-25-1145865</t>
  </si>
  <si>
    <t>3007081677</t>
  </si>
  <si>
    <t>DISTRICOL DROGUERIA SANTANA</t>
  </si>
  <si>
    <t>FO-25-1577752</t>
  </si>
  <si>
    <t>24/09/2025 24-09 PROGRAMACIÓN REALIZADA POR LA ALIANZA | 30/09/2025 NO SE LOGRA LLEGAR EL DIA DE HOY AL DESTINO POR PROBLEMAS EN LA VIA, SE LLEGARA AL SITIO EL DIA DE MAÑANA PARA ATENCION DE ACTIVIDADES
. | 02/10/2025 SE VISITO EL COMERCIO PARA DAR APERTURA AL CB, SE INSTALA DATAFONO CON LECTORA BASE Y MAGIC BOX, SE INSTALA PUBLICIDAD Y SE ENTREGA ROLLOS, SE CAPACITA OK, PRUEBAS OK EXCEPTO RECAUDO POR NO TENER ELEMENTOS PARA HACERLA, SOMOS BANCOLOMBIA OK, CB OPERATIVO</t>
  </si>
  <si>
    <t>FWZZZ498</t>
  </si>
  <si>
    <t>TA-25-1145877</t>
  </si>
  <si>
    <t>3007081676</t>
  </si>
  <si>
    <t>DISTRICOL FERRETERIA PRADO HC</t>
  </si>
  <si>
    <t>FO-25-1577758</t>
  </si>
  <si>
    <t>EJECUTADO/CANCELADO</t>
  </si>
  <si>
    <t>24/09/2025 24-09 PROGRAMACIÓN REALIZADA POR LA ALIANZA | 30/09/2025 NO SE OGRA LLEGAR EL DIA DE HOY A SITIO POR PROBLEMAS EN LAS VIAS , SE LLEGARA EL DIA DE MAÑANA PARA ATENCION DE ACTIVIDADES | 02/10/2025 SE VISITA EL COMERCIO PARA REVISAR APERTURA DEL CORRESPONSAL PERO NO ES POSIBLE POR DIRECCIÓN ERRADA, EN CÁMARA DE COMERCIO APARECE DIRECCIÓN CR 27 CL 22 BRR EL PRADO Y EL COMERCIO ESTÁ UBICADO EN DIRECCIÓN CRA 22 # 27 POR LO TANTO SE CANCELA LA INSTALACIÓN</t>
  </si>
  <si>
    <t>86757</t>
  </si>
  <si>
    <t>TA-25-1145899</t>
  </si>
  <si>
    <t>3007081680</t>
  </si>
  <si>
    <t>SAN MIGUEL</t>
  </si>
  <si>
    <t>DISTRICOL MI PAPALERIA MP</t>
  </si>
  <si>
    <t>FO-25-1577762</t>
  </si>
  <si>
    <t>24/09/2025 24-09 PROGRAMACIÓN REALIZADA POR LA ALIANZA | 29/09/2025 ACTIVIDAD SE REALIZARÁ EL DÍA MIÉRCOLES DEBIDO YA QUE EL TRAYECTO ES DE MÁS DE 9 HORAS DESDE LA CIUDAD DE PASTO | 01/10/2025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</si>
  <si>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FWZZZ500</t>
  </si>
  <si>
    <t>COSTA</t>
  </si>
  <si>
    <t>13001</t>
  </si>
  <si>
    <t>BOLIVAR</t>
  </si>
  <si>
    <t>REMOTAS</t>
  </si>
  <si>
    <t>18001</t>
  </si>
  <si>
    <t>TA-25-1157218</t>
  </si>
  <si>
    <t>3007081709</t>
  </si>
  <si>
    <t>CAQUETA</t>
  </si>
  <si>
    <t>DISTRICOL CILEA A&amp;V</t>
  </si>
  <si>
    <t>FO-25-1598630</t>
  </si>
  <si>
    <t>29/09/2025 29-09 PROGRAMACIÓN REALIZADA POR LA ALIANZA | 01/10/2025 SE REALIZA INSTALACIÓN DE DATAFONO LECTORA BASE FUENTE DE PODER CABLE DE RED SE ENTREGAN 40 ROLLOS RBM SE INSTALA AVISO EXTERIOR Y PUBLICIDAD SE CAPACITA EN CB Y SOMOS BANCOLOMBIA TIENE CREADO EL USUARIO SOMOS BANCOLOMBIA PRUEBAS CB OK SE DEJA OPERATIVO</t>
  </si>
  <si>
    <t>FYZZZ187</t>
  </si>
  <si>
    <t>BERMUDEZ SANCHEZ JOSE NEYBER</t>
  </si>
  <si>
    <t>18150</t>
  </si>
  <si>
    <t>TA-25-1157223</t>
  </si>
  <si>
    <t>3007081706</t>
  </si>
  <si>
    <t>CARTAGENA DEL CHAIRA</t>
  </si>
  <si>
    <t>DISTRICOL ANGELA’S BOUTIQUE</t>
  </si>
  <si>
    <t>FO-25-1598635</t>
  </si>
  <si>
    <t>29/09/2025 29-09 PROGRAMACIÓN REALIZADA POR LA ALIANZA | 03/10/2025 SE REALIZA INSTALACIÓN DE DATÁFONO LECTORA BASE FUENTE DE PODER CABLE DE RED SE ENTREGAN 40 ROLLOS RBM SE INSTALA AVISO EXTERIOR Y PUBLICIDAD SE CAPACITA EN CB Y SOMOS BANCOLOMBIA TIENE CREADO EL USUARIO SOMOS BANCOLOMBIA PRUEBAS CB OK SE DEJA OPERATIVO</t>
  </si>
  <si>
    <t>FYZZZ188</t>
  </si>
  <si>
    <t>TIPO V</t>
  </si>
  <si>
    <t>52227</t>
  </si>
  <si>
    <t>TA-25-1157227</t>
  </si>
  <si>
    <t>3007081708</t>
  </si>
  <si>
    <t>NARIÑO</t>
  </si>
  <si>
    <t>CUMBAL</t>
  </si>
  <si>
    <t>DISTRICOL MEGANET PANAN</t>
  </si>
  <si>
    <t>FO-25-1598652</t>
  </si>
  <si>
    <t>29/09/2025 29-09 PROGRAMACIÓN REALIZADA POR LA ALIANZA | 01/10/2025 SE REALIZÓ LA INSTALACIÓN DE EQUIPOS PUBLICIDAD Y ACCESORIOS PARA APERTURA CB BANCOLOMBIA SE DIO CAPACITACIÓN MANEJO DE DATÁFONO CB Y SOMOS BANCOLOMBIA SE EJECUTAN PRUEBAS TX EXITOSAS QUEDA OPERATIVO</t>
  </si>
  <si>
    <t>FYZZZ191</t>
  </si>
  <si>
    <t>TIPO III</t>
  </si>
  <si>
    <t>REMICIO AMADO JOHN HEBER</t>
  </si>
  <si>
    <t>SANTANDERES</t>
  </si>
  <si>
    <t>54498</t>
  </si>
  <si>
    <t>TA-25-1157229</t>
  </si>
  <si>
    <t>3007081710</t>
  </si>
  <si>
    <t>NORTE DE SANTANDER</t>
  </si>
  <si>
    <t>OCAÑA</t>
  </si>
  <si>
    <t>DISTRICOL MAXILIAM</t>
  </si>
  <si>
    <t>FO-25-1598662</t>
  </si>
  <si>
    <t>29/09/2025 29-09 PROGRAMACIÓN REALIZADA POR LA ALIANZA | 01/10/2025 SE COMUNICA CON LA CLIENTE SE PROGRAMA VISITA PARA MAÑANA POR DISPONIBILIDAD DEL CLIENTE, ZONA CATATUMBO. | 02/10/2025 SE VISITA COMERCIO, SE INSTALA DATAFONO, BASE, SCANNER, AVISO EXTERIOR, PUBLICIDAD DEL BANCO, SE CAPACITA PERSONAL, PRUEBAS Y CIERRES EXITOSO, CB OPERATIVO.</t>
  </si>
  <si>
    <t>FYZZZ193</t>
  </si>
  <si>
    <t>NARANJO AFANADOR RUBEN JESUS</t>
  </si>
  <si>
    <t>54800</t>
  </si>
  <si>
    <t>TA-25-1157231</t>
  </si>
  <si>
    <t>3007081714</t>
  </si>
  <si>
    <t>TEORAMA</t>
  </si>
  <si>
    <t>DISTRICOL FABRICAMUEBLESVALENT</t>
  </si>
  <si>
    <t>FO-25-1598665</t>
  </si>
  <si>
    <t>29/09/2025 29-09 PROGRAMACIÓN REALIZADA POR LA ALIANZA | 06/10/2025 SE REALIZA APERTURA EN SITIO ACORDADA CON EL CLIENTE EN OCAÑA, SE INSTALA BATAFONO, VERSION, SE REALIZAN PRUEBAS EXITOSA, SE CAPACITA CLIENTE, PUBLICIDAD, CB OPERATIVO.</t>
  </si>
  <si>
    <t>FYZZZ194</t>
  </si>
  <si>
    <t>PACHECO BUITRAGO JAVIER ALONSO</t>
  </si>
  <si>
    <t>76001</t>
  </si>
  <si>
    <t>TA-25-1157236</t>
  </si>
  <si>
    <t>3007081704</t>
  </si>
  <si>
    <t>VALLE DEL CAUCA</t>
  </si>
  <si>
    <t>DISTRICOL DISTRIB EL GRANJERO</t>
  </si>
  <si>
    <t>FO-25-1598686</t>
  </si>
  <si>
    <t>29/09/2025 29-09 PROGRAMACIÓN REALIZADA POR LA ALIANZA | 22/10/2025 SE LLAMA AL CLIENTE SE VÁLIDA LA INFORMACIÓN, DISPONIBILIDAD Y LUGAR DE LA DIRECCIÓN DE LA INSTALACIÓN, SE LLEGA AL COMERCIO SE EVIDENCIA PROXIMIDAD 30 MTS CON OTRO CORRESPONSAL 1 A 1 AL FRENTE CB 40569 BARRIO LA BUITRERA EL PORTENTO CALI, EL CASO SE ESCALA PARA CONSULTAR LA INSTALACIÓN DE AUTORIZACIÓN</t>
  </si>
  <si>
    <t>HERRERA MONAR GEOVANNY</t>
  </si>
  <si>
    <t>TA-25-1157240</t>
  </si>
  <si>
    <t>3007081713</t>
  </si>
  <si>
    <t>DISTRICOL FERRETERIA A/S S.A.S</t>
  </si>
  <si>
    <t>FO-25-1598692</t>
  </si>
  <si>
    <t>29/09/2025 29-09 PROGRAMACIÓN REALIZADA POR LA ALIANZA | 01/10/2025 NO SE HA PODIDO REALIZAR INSTALACIÓN DE PUBLICIDAD POR PROBLEMAS CLIMATICOS EN LA ZONA, LO CUAL RETRASO LA LABOR, Y EL COMERCIO CIERRA A LAS 17:30 HORAS, POR LO QUE NO SE PUEDE REALIZAR LA INSTALACIÓN EL DIA DE HOY | 02/10/2025 SE VISITO EL COMERCIO PARA DAR APERTURA AL CB, SE INSTALA DATAFONO CON LECTORA BASE Y MAGIC BOX, SE INSTALA PUBLICIDAD Y SE ENTREGA ROLLOS, SE CAPACITA OK, PRUEBAS OK EXCEPTO RECAUDO POR NO TENER ELEMENTOS PARA HACERLA, SOMOS BANCOLOMBIA OK, CB OPERATIVO</t>
  </si>
  <si>
    <t>FYZZZ198</t>
  </si>
  <si>
    <t>NOROCCIDENTE</t>
  </si>
  <si>
    <t>5001</t>
  </si>
  <si>
    <t>TA-25-1165173</t>
  </si>
  <si>
    <t>3007081741</t>
  </si>
  <si>
    <t>ANTIOQUIA</t>
  </si>
  <si>
    <t>DISTRICOL DROGUERIA EL VERGEL</t>
  </si>
  <si>
    <t>FO-25-1611123</t>
  </si>
  <si>
    <t>01/10/2025 01-10 PROGRAMACIÓN REALIZADA POR LA ALIANZA | 03/10/2025 SE INSTALAN EQUIPOS OK</t>
  </si>
  <si>
    <t>SUZZZ670</t>
  </si>
  <si>
    <t>QUINTERO SANCHEZ JUAN SEBASTIAN</t>
  </si>
  <si>
    <t>TA-25-1165175</t>
  </si>
  <si>
    <t>3007081742</t>
  </si>
  <si>
    <t>DISTRICOL TIGRE</t>
  </si>
  <si>
    <t>FO-25-1611126</t>
  </si>
  <si>
    <t>SUZZZ671</t>
  </si>
  <si>
    <t>5088</t>
  </si>
  <si>
    <t>TA-25-1165176</t>
  </si>
  <si>
    <t>3007081740</t>
  </si>
  <si>
    <t>BELLO</t>
  </si>
  <si>
    <t>DISTRICOL GRANERO BUEN MERCADO</t>
  </si>
  <si>
    <t>FO-25-1611132</t>
  </si>
  <si>
    <t>01/10/2025 01-10 PROGRAMACIÓN REALIZADA POR LA ALIANZA | 03/10/2025 SE HACE IMPLEMENTACION OK EQUIPOS OPERATIVOS PRUEBAS EXITOSAS SOMOS BANCOLOMBIA INACTIVO</t>
  </si>
  <si>
    <t>SUZZZ672</t>
  </si>
  <si>
    <t>DIAZ ZABALA FRANCIS DUBAN</t>
  </si>
  <si>
    <t>5172</t>
  </si>
  <si>
    <t>TA-25-1165177</t>
  </si>
  <si>
    <t>3007081727</t>
  </si>
  <si>
    <t>CHIGORODO</t>
  </si>
  <si>
    <t>DISTRICOL FERREACABADOS C&amp;H</t>
  </si>
  <si>
    <t>FO-25-1611136</t>
  </si>
  <si>
    <t>01/10/2025 01-10 PROGRAMACIÓN REALIZADA POR LA ALIANZA | 02/10/2025 SE INSTALA EQUIPO, RE REALIZA CAPACITACIÓN Y SE INSTALA PUBLICIDAD SE REALIZAN PRUEBAS EXITOSAS SERVICIO OPERATIVO</t>
  </si>
  <si>
    <t>SUZZZ673</t>
  </si>
  <si>
    <t>TIPO II</t>
  </si>
  <si>
    <t>ZAPATA LOPEZ EDWARD ASDRUBAL</t>
  </si>
  <si>
    <t>5360</t>
  </si>
  <si>
    <t>TA-25-1165179</t>
  </si>
  <si>
    <t>3007081728</t>
  </si>
  <si>
    <t>ITAGUI</t>
  </si>
  <si>
    <t>DISTRICOL RG</t>
  </si>
  <si>
    <t>FO-25-1624400 | FO-25-1611140</t>
  </si>
  <si>
    <t>EJECUTADO | EJECUTADO/CANCELADO</t>
  </si>
  <si>
    <t>06/10/2025 SE INSTALA CORRESPONSAL OK</t>
  </si>
  <si>
    <t>SUZZZ674</t>
  </si>
  <si>
    <t>RUA ALVAREZ RICHARD ANDRES</t>
  </si>
  <si>
    <t>5790</t>
  </si>
  <si>
    <t>TA-25-1165180</t>
  </si>
  <si>
    <t>3007081734</t>
  </si>
  <si>
    <t>TARAZA</t>
  </si>
  <si>
    <t>DISTRICOL GLAZZ COMPLEMENT</t>
  </si>
  <si>
    <t>FO-25-1611143</t>
  </si>
  <si>
    <t>01/10/2025 01-10 PROGRAMACIÓN REALIZADA POR LA ALIANZA | 03/10/2025 SE REALIZA INSTALACIÓN DE CORRESPONSAL BANCOLOMBIA PURO OK, PUBLICIDAD INSTALA VISIBLE AL PÚBLICO OK, EQUIPOS INSTALADOS OPERATIVOS OK, PRUEBAS DE TRANSACCIONES EXITOSAS OK, PERSONAL CAPACITADO OK, CLIENTE CB VALIDA SALDO EN CERO OK, SE DEJA CB INSTALADO OPERATIVO OK.</t>
  </si>
  <si>
    <t>SUZZZ675</t>
  </si>
  <si>
    <t>GONZALEZ FERRER JESUS ALEXANDER</t>
  </si>
  <si>
    <t>5887</t>
  </si>
  <si>
    <t>TA-25-1165182</t>
  </si>
  <si>
    <t>3007081744</t>
  </si>
  <si>
    <t>YARUMAL</t>
  </si>
  <si>
    <t>DISTRICOL HACRIVE</t>
  </si>
  <si>
    <t>FO-25-1611149</t>
  </si>
  <si>
    <t>01/10/2025 01-10 PROGRAMACIÓN REALIZADA POR LA ALIANZA | 03/10/2025 SE REALIZA DESPLAZAMIENTO AL CORREGIMIENTO EL CEDRO, MUNICIPIO DE YARUMAL, CON EL OBJETIVO DE INSTALAR EL CORRESPONSAL BANCOLOMBIA EN EL COMERCIO ASIGNADO. DEBIDO A LAS CONDICIONES GEOGRÁFICAS Y LA DIFICULTAD DE ACCESO, LA LLEGADA SE EFECTÚA APROXIMADAMENTE A LAS 5:30 P.M.
AL MOMENTO DE LA VISITA, EL USUARIO MANIFIESTA QUE, POR MOTIVOS DE HORARIO Y OPERATIVIDAD, PREFIERE REPROGRAMAR LA INSTALACIÓN PARA EL DÍA SIGUIENTE. ADICIONALMENTE, SE PRESENTA UNA INTERRUPCIÓN EN EL SERVICIO DE INTERNET, YA QUE LA TORRE DE CONEXIÓN SE ENCUENTRA APAGADA, LO QUE IMPOSIBILITA CUALQUIER TIPO DE CONFIGURACIÓN O PRUEBA TÉCNICA. SE ACUERDA REALIZAR EL PROCEDIMIENTO EN UNA NUEVA JORNADA, GARANTIZANDO CONDICIONES ÓPTIMAS PARA AMBAS PARTES. | 03/10/2025 SE LLEVÓ A CABO EXITOSAMENTE LA INSTALACIÓN DEL PUNTO DE CORRESPONSAL BANCOLOMBIA, CUMPLIENDO CON TODOS LOS REQUERIMIENTOS TÉCNICOS Y OPERATIVOS. EL PERSONAL FUE DEBIDAMENTE CAPACITADO EN EL USO DEL SISTEMA, PROTOCOLOS DE ATENCIÓN Y MANEJO DE TRANSACCIONES. SE REALIZARON PRUEBAS FUNCIONALES QUE VALIDARON EL CORRECTO DESEMPEÑO DEL EQUIPO Y LA CONECTIVIDAD. ASIMISMO, SE INSTALARON LOS AVISOS INFORMATIVOS Y PUBLICITARIOS CONFORME A LOS LINEAMIENTOS DE MARCA. CON TODOS LOS ELEMENTOS EN FUNCIONAMIENTO, EL CORRESPONSAL QUEDÓ OFICIALMENTE OPERATIVO Y LISTO PARA ATENDER AL PÚBLICO</t>
  </si>
  <si>
    <t>SUZZZ676</t>
  </si>
  <si>
    <t>MARTINEZ TOVAR OSCAR DAVID</t>
  </si>
  <si>
    <t>15572</t>
  </si>
  <si>
    <t>TA-25-1165183</t>
  </si>
  <si>
    <t>3007081743</t>
  </si>
  <si>
    <t>BOYACA</t>
  </si>
  <si>
    <t>PUERTO BOYACA</t>
  </si>
  <si>
    <t>DISTRICOL RAPITIENDA LA 30 N.O</t>
  </si>
  <si>
    <t>FO-25-1611152</t>
  </si>
  <si>
    <t>01/10/2025 01-10 PROGRAMACIÓN REALIZADA POR LA ALIANZA | 02/10/2025 SE INSTALA PUBLICIDAD Y EQUIPOS A PETICIÓN DEL USUARIO, SE DEJAN SERVICIOS FUNCIONANDO CORRECTAMENTE</t>
  </si>
  <si>
    <t>SUZZZ677</t>
  </si>
  <si>
    <t>BARRIENTOS HERNANDEZ CRISTIAN HORACIO</t>
  </si>
  <si>
    <t>17777</t>
  </si>
  <si>
    <t>TA-25-1165185</t>
  </si>
  <si>
    <t>3007081738</t>
  </si>
  <si>
    <t>CALDAS</t>
  </si>
  <si>
    <t>SUPIA</t>
  </si>
  <si>
    <t>DISTRICOL J&amp;L</t>
  </si>
  <si>
    <t>FO-25-1611159</t>
  </si>
  <si>
    <t>01/10/2025 01-10 PROGRAMACIÓN REALIZADA POR LA ALIANZA | 02/10/2025 SE INSTALA DATÁFONO, BASE, LECTORA, FLANGER, DISPLAY LEGAL, AVISO EXTERIOR Y SE ENTREGAN 40 ROLLOS, SE REALIZAN PRUEBAS OK.</t>
  </si>
  <si>
    <t>SUZZZ678</t>
  </si>
  <si>
    <t>FRANCO CAÑAVERAL YAMID RAUL</t>
  </si>
  <si>
    <t>19698</t>
  </si>
  <si>
    <t>TA-25-1165186</t>
  </si>
  <si>
    <t>3007081737</t>
  </si>
  <si>
    <t>CAUCA</t>
  </si>
  <si>
    <t>SANTANDER DE QUILICHAO</t>
  </si>
  <si>
    <t>DISTRICOL DANICELL PLUS</t>
  </si>
  <si>
    <t>FO-25-1611165</t>
  </si>
  <si>
    <t>01/10/2025 01-10 PROGRAMACIÓN REALIZADA POR LA ALIANZA | 02/10/2025 SE REALIZA VISITA TÉCNICA PERO AL MOMENTO DE INICIALIZAR EL EQUIPO ARROJA ERROR EN CONEXIÓN SE COMPRUEBAN CONEXIONES Y TODO OK, EL COMERCIO NO CUENTA CON INTERNET EN EL MOMENTO SE ESPERAN AL REDEDOR DE 30-40MIN PERO EL PROBLEMA NO ES SOLUCIONADO, EL CLIENTE VALIDA CON EL PROVEEDOR DE INTERNET PERO INDICA QUE NO TIENE FECHA DE SOLUCION.</t>
  </si>
  <si>
    <t>MONTERO MUESES GIAN CARLO</t>
  </si>
  <si>
    <t>20770</t>
  </si>
  <si>
    <t>TA-25-1165187</t>
  </si>
  <si>
    <t>3007081736</t>
  </si>
  <si>
    <t>CESAR</t>
  </si>
  <si>
    <t>SAN MARTIN</t>
  </si>
  <si>
    <t>DISTRICOL MISCELANIA ISAVIC</t>
  </si>
  <si>
    <t>FO-25-1611171</t>
  </si>
  <si>
    <t>01/10/2025 01-10 PROGRAMACIÓN REALIZADA POR LA ALIANZA | 02/10/2025 SE INSTALA , DATAFONO ,LECTOR , CABLESY FUENTE DE PODER , BASE , 40 ROLLOS , PUBLICIDAD COMPLETA, SE CAPACITA CLIENTE MANEJO CORRESPONSAL , CIERRES ,CUADRE DIARIO , COMPENSACIÓN ,MANEJO DATAFONO , PRUEBAS OK , PAGINA BANCOLOMBIA PRUEBAS , INSTALACION EXITOSA</t>
  </si>
  <si>
    <t>SUZZZ680</t>
  </si>
  <si>
    <t>GELVEZ MOGOLLON JOSE ELISEO</t>
  </si>
  <si>
    <t>23001</t>
  </si>
  <si>
    <t>TA-25-1165188</t>
  </si>
  <si>
    <t>3007081732</t>
  </si>
  <si>
    <t>CORDOBA</t>
  </si>
  <si>
    <t>DISTRICOL ALMACEN VETERINARIO</t>
  </si>
  <si>
    <t>FO-25-1611174</t>
  </si>
  <si>
    <t>01/10/2025 01-10 PROGRAMACIÓN REALIZADA POR LA ALIANZA | 02/10/2025 SE REALIZA APERTURA DE CB SE INSTALA, DATÁFONO DESK 2600 PLACA 1242492, LECTOR SYMBOL PLACA 1238310, AVISO EXTERIOR, FLANGGER, DISPLAY HORARIO, OTROS LUGARES, CUBRE CLAVES Y ACCESORIOS, SE REALIZAN PRUEBAS Y CAPACITACIÓN, SE DEJA CB LISTO PARA OPERACIONES.</t>
  </si>
  <si>
    <t>SUZZZ681</t>
  </si>
  <si>
    <t>CASSIANI PEREZ RAUL RAMIRO</t>
  </si>
  <si>
    <t>23350</t>
  </si>
  <si>
    <t>TA-25-1165191</t>
  </si>
  <si>
    <t>3007081730</t>
  </si>
  <si>
    <t>LA APARTADA</t>
  </si>
  <si>
    <t>DISTRICOL SIEMPRE BELLA COSMET</t>
  </si>
  <si>
    <t>FO-25-1611177</t>
  </si>
  <si>
    <t>01/10/2025 01-10 PROGRAMACIÓN REALIZADA POR LA ALIANZA | 03/10/2025 SE REALIZA APERTURA DE CB, SE INSTALA DATÁFONO PLACA 1221388, LECTORA SYMBOL PLACA 1238404, AVISO EXTERIOR, FLANGGER, DISPLAY HORARIO, MAGICBOX SERIALIZADO, CUBRE CLAVES Y ACCESORIOS, SE REALIZAN PRUEBAS Y CAPACITACIÓN, DEJANDO CB LISTOS PARA OPERACIONES.</t>
  </si>
  <si>
    <t>SUZZZ682</t>
  </si>
  <si>
    <t>41001</t>
  </si>
  <si>
    <t>TA-25-1165192</t>
  </si>
  <si>
    <t>3007081745</t>
  </si>
  <si>
    <t>HUILA</t>
  </si>
  <si>
    <t>Alkomprar Neiva # 2</t>
  </si>
  <si>
    <t>FO-25-1611180</t>
  </si>
  <si>
    <t>RETAILER</t>
  </si>
  <si>
    <t>ALKOMPRAR</t>
  </si>
  <si>
    <t>01/10/2025 1/10/2025 SE ESTABLECE COMUNICACIÓN CON LA SRA  NATALIA GARZON LA CUAL INDICA QUE LA INSTALACIÓN DE DEBE REALIZAR ENTRE EL 14 Y 17 DE OCTUBRE,  ADICIONAL LOS EQUIPOS DEBEN SER PUROS. SE ESCALA CASO E INDICAN PROGRAMAR PARA LA FECHA ACORDADA POR EL USUARIO | 15/10/2025 EN GESTIÓN CON NATALIA GARZÓN, ENCARGADA DE RECIBIR LA INSTALACIÓN DEL CB EN ALKOMPRAR NOS INDICA QUE NO NOS PUEDE RECIBIR EL DÍA DE HOY DEBIDO A QUE SE LES PRESENTO UNA NOVEDAD CON LOS PUNTOS DE CONEXIÓN . PIDE Y PORFAVOR SE REPROGRAME LA VISITA PARA EL LUNES 20 DE OCTUBRE . | 20/10/2025 SE REALIZA VISTA AL PUNTO, SE IMPLEMENTAN CON ÉXITO 4 EQUIPOS , CON BASE, Y LECTOR DE BARRAS , SE DEJAN 20 ROLLOS POR CADA EQUIPO.</t>
  </si>
  <si>
    <t>SUZZZ683 - SUZZZ717 - SUZZZ388 - SUZZZ716</t>
  </si>
  <si>
    <t>DEVIA REINOSO JUAN CARLOS</t>
  </si>
  <si>
    <t>52399</t>
  </si>
  <si>
    <t>TA-25-1165193</t>
  </si>
  <si>
    <t>3007081731</t>
  </si>
  <si>
    <t>LA UNION</t>
  </si>
  <si>
    <t>DISTRICOL DEP S&amp;M LA UNION</t>
  </si>
  <si>
    <t>FO-25-1611183</t>
  </si>
  <si>
    <t>01/10/2025 01-10 PROGRAMACIÓN REALIZADA POR LA ALIANZA | 03/10/2025 SE REALIZÓ LA INSTALACIÓN DE EQUIPOS PUBLICIDAD Y ACCESORIOS PARA APERTURA CB BANCOLOMBIA SE DIO CAPACITACIÓN MANEJO DE DATÁFONO CB Y SOMOS BANCOLOMBIA SE EJECUTAN PRUEBAS TX EXITOSAS QUEDA OPERATIVO</t>
  </si>
  <si>
    <t>SUZZZ684</t>
  </si>
  <si>
    <t>52687</t>
  </si>
  <si>
    <t>TA-25-1165197</t>
  </si>
  <si>
    <t>3007081735</t>
  </si>
  <si>
    <t>SAN LORENZO</t>
  </si>
  <si>
    <t>DISTRICOL PIPE CELL</t>
  </si>
  <si>
    <t>FO-25-1611190</t>
  </si>
  <si>
    <t>01/10/2025 01-10 PROGRAMACIÓN REALIZADA POR LA ALIANZA | 02/10/2025 NO SE PUEDE REALIZAR DESPLAZAMIENTO A SITIO POR FALTA DE TRANSPORTE Y CUPO, EL CUAL INFORMAN QUE SOLO SALE EN UNA JORNADA DEL MEDIO DÍA Y NO SE ENCUENTRA DISPONIBILIDAD EN HORARIO DE LA MAÑANA, SE LLAMÓ AL CLIENTE INFORMANDO QUE APENAS HAYA TRANSPORTE O CUPO A SITIO SE PROGRAMARÁ LA VISITA | 07/10/2025 SE VISITO E COMERCIO PARA INSTALAR CB NO ES POSIBIE POR DIRECCION ERRADA YA QUE EN SYTEX APARECE CR 3 MZ 10 LADO D CA 22 BRR CENTRO Y EN FACTURA DE SERVICIOS PUBLICOS APARECE CRA 3 M2 10 LADO D CASA 23 POR LO QUE SE CANCELA LA INSTALACION. TAMPOCO ES POSIBLE VALIDAR CON CAMARA DE COMERCIO PORQUE CUENTA CON UNA DIRECCIÓN DIFERENTE</t>
  </si>
  <si>
    <t>68001</t>
  </si>
  <si>
    <t>TA-25-1165198</t>
  </si>
  <si>
    <t>3007081719</t>
  </si>
  <si>
    <t>SANTANDER</t>
  </si>
  <si>
    <t>DISTRICOL INTERR LA NOVENA</t>
  </si>
  <si>
    <t>FO-25-1611196</t>
  </si>
  <si>
    <t>01/10/2025 01-10 PROGRAMACIÓN REALIZADA POR LA ALIANZA | 02/10/2025 SE INSTALA DATÁFONO, LECTOR DE BARRAS, PINPAD, MAGIBOX, BASE DATÁFONO, CUBRE CLAVE, 40 ROLLOS, SE INSTALA PUBLICIDAD, SE REALIZA PRUEBAS Y SE CAPACITA CORRESPONSAL. EXITOSA.</t>
  </si>
  <si>
    <t>SUZZZ686</t>
  </si>
  <si>
    <t>MARTINEZ FLOREZ DONIS ALBERTO</t>
  </si>
  <si>
    <t>68276</t>
  </si>
  <si>
    <t>TA-25-1165200</t>
  </si>
  <si>
    <t>3007081729</t>
  </si>
  <si>
    <t>FLORIDABLANCA</t>
  </si>
  <si>
    <t>DISTRICOL APOLO FLORIDA</t>
  </si>
  <si>
    <t>FO-25-1611202</t>
  </si>
  <si>
    <t>01/10/2025 01-10 PROGRAMACIÓN REALIZADA POR LA ALIANZA | 02/10/2025 INSTALACIÓN CAPACITACIÓN Y CONFIGURACIÓN DE TERMINAL, CAPACITACIÓN EN SOMOSBANCOLOMBIA</t>
  </si>
  <si>
    <t>SUZZZ688</t>
  </si>
  <si>
    <t>PEÑA DIAZ IVAN YESID</t>
  </si>
  <si>
    <t>TA-25-1165201</t>
  </si>
  <si>
    <t>3007081724</t>
  </si>
  <si>
    <t>DISTRICOL TODO EN UNO</t>
  </si>
  <si>
    <t>FO-25-1611208</t>
  </si>
  <si>
    <t>01/10/2025 01-10 PROGRAMACIÓN REALIZADA POR LA ALIANZA | 02/10/2025 SE INSTALA EQUIPO, LECTOR Y ACCESORIOS, LUEGO SE CAPACITA Y SE INSTALA PUBLICIDAD, PRUEBAS OK</t>
  </si>
  <si>
    <t>SUZZZ689</t>
  </si>
  <si>
    <t>PAREDES CASTILLO DIEGO</t>
  </si>
  <si>
    <t>TA-25-1165202</t>
  </si>
  <si>
    <t>3007081722</t>
  </si>
  <si>
    <t>DISTRICOL TESORO BOTANICO</t>
  </si>
  <si>
    <t>FO-25-1611212</t>
  </si>
  <si>
    <t>01/10/2025 01-10 PROGRAMACIÓN REALIZADA POR LA ALIANZA | 03/10/2025 SE LLAMA AL CLIENTE SE VALIDA DISPONIBILIDAD Y LUGAR DE INSTALACIÓN, SE INSTALA DATAFONO, LECTORA Y ACCESORIOS EN APERTURA CB BANCOLOMBIA PURO, PRUEBAS OK, TELECARGA TRNA</t>
  </si>
  <si>
    <t>SUZZZ690</t>
  </si>
  <si>
    <t>TA-25-1165203</t>
  </si>
  <si>
    <t>3007081725</t>
  </si>
  <si>
    <t>DISTRICOL MULTIEXPRESS</t>
  </si>
  <si>
    <t>FO-25-1611217</t>
  </si>
  <si>
    <t>01/10/2025 01-10 PROGRAMACIÓN REALIZADA POR LA ALIANZA | 02/10/2025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‎SE DEJAN 40 ROLLOS TÉRMICOS EN EL CB.
‎CB QUEDA OKEY.
CB NO CUENTA CON TARJETA PARA REALIZAR PRUEBAS DE RETIRO O CONSULTA DE SALDO.
LA CAPACITACION DE SOMOS BANCOLOMBIA SE REALIZO BAJO USUARIO DE LÍNEA COMUNICACIONES.</t>
  </si>
  <si>
    <t>SUZZZ691</t>
  </si>
  <si>
    <t>TORRES GARCIA JENDRY JOSE</t>
  </si>
  <si>
    <t>TA-25-1165205</t>
  </si>
  <si>
    <t>3007081721</t>
  </si>
  <si>
    <t>DISTRICOL GARDEN CITY BAKERY</t>
  </si>
  <si>
    <t>FO-25-1611221</t>
  </si>
  <si>
    <t>01/10/2025 01-10 PROGRAMACIÓN REALIZADA POR LA ALIANZA | 03/10/2025 SE INSTALA EQUIPO, LECTOR Y ACCESORIOS, LUEGO SE CAPACITA Y SE INSTALA PUBLICIDAD, PRUEBAS OK</t>
  </si>
  <si>
    <t>SUZZZ692</t>
  </si>
  <si>
    <t>TA-25-1165206</t>
  </si>
  <si>
    <t>3007081723</t>
  </si>
  <si>
    <t>DISTRICOL LAVAUTOS LA 61</t>
  </si>
  <si>
    <t>FO-25-1611225</t>
  </si>
  <si>
    <t>01/10/2025 01-10 PROGRAMACIÓN REALIZADA POR LA ALIANZA | 03/10/2025 SE LLAMA AL CLIENTE SE VALIDA DISPONIBILIDAD Y LUGAR DE INSTALACIÓN, SE VISITA EL COMERCIO INSTALÓ DATAFONO, LECTORA, ACCESORIOS EN APERTURA CB BANCOLOMBIA PURO, SE CAPACITA, PRUEBAS OK, TELECARGA TRNA</t>
  </si>
  <si>
    <t>SUZZZ693</t>
  </si>
  <si>
    <t>76520</t>
  </si>
  <si>
    <t>TA-25-1165207</t>
  </si>
  <si>
    <t>3007081733</t>
  </si>
  <si>
    <t>PALMIRA</t>
  </si>
  <si>
    <t>DISTRICOL DROG ECOFARMA 28</t>
  </si>
  <si>
    <t>FO-25-1611228</t>
  </si>
  <si>
    <t>01/10/2025 01-10 PROGRAMACIÓN REALIZADA POR LA ALIANZA | 02/10/2025 EN LA VISITA TÉCNICA SE REALIZÓ LA INSTALACIÓN DE EL DATÁFONO,CON SU RESPECTIVO MAGIC BOX 2600,SE INSTALA LA BASE SOPORTE DE DATÁFONO,SE INSTALA EL LECTOR DE CÓDIGO DE BARRAS,SE INSTALÓ EL SISTEMA OPERATIVO Y VERSIÓN 10.3N,SE REALIZÓ LA CONFIGURACIÓN E INICIALIZACIÓN OK, SE CREARON LOS USUARIOS,SE BRINDA LA CAPACITACIÓN,SE REALIZARON LAS PRUEBAS DEJANDO EVIDENCIA,ANGUNAS TRANSACCIONES COMO RETIRO CON TARJETA NO SE REALIZÓ LA PRUEBA YA QUE EL USUARIO NO CONTABA CON TARJETA DE BANCOLOMBIA,PERO LA CAPACITACIÓN FUE COMPLETA,SE IMPLEMENTARON LOS ROLLOS TERMICOS DE REDEBAN Y SE REALIZA LA INSTALACIÓN DE LA PUBLICIDAD,SE BRINDARON LAS LÍNEAS DE ATENCIÓN DE BANCOLOMBIA,EL SERVICIO QUEDÓ OPERATIVO SIN FALLAS Y SIN NOVEDAD.</t>
  </si>
  <si>
    <t>SUZZZ694</t>
  </si>
  <si>
    <t>SANCHEZ URREGO ROBINSON DAVID</t>
  </si>
  <si>
    <t>86865</t>
  </si>
  <si>
    <t>TA-25-1165208</t>
  </si>
  <si>
    <t>3007081739</t>
  </si>
  <si>
    <t>VALLE DEL GUAMUEZ</t>
  </si>
  <si>
    <t>DISTRICOL IMPOR SUR LA HORMIGA</t>
  </si>
  <si>
    <t>FO-25-1611233</t>
  </si>
  <si>
    <t>01/10/2025 01-10 PROGRAMACIÓN REALIZADA POR LA ALIANZA | 03/10/2025 NO SE REALIZA DESPLAZAMIENTO AL SITIO EL DIA DE HOY YA QUE LA CLIENTE NOS INFORMA QUE DEBE DESPLAZARSE A LA CIUDAD DE CALI CON URGENCIA, Y DEBEMOS VALIDAR DESPUES DEL PROXIMO JUEVES SI YA SE ENCUENTRA EN LA ZONA | 16/10/2025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</si>
  <si>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SUZZZ695</t>
  </si>
  <si>
    <t>5045</t>
  </si>
  <si>
    <t>TA-25-1165209</t>
  </si>
  <si>
    <t>3007081726</t>
  </si>
  <si>
    <t>DISTRICOL FERRETERIA SHADDAY</t>
  </si>
  <si>
    <t>FO-25-1611239</t>
  </si>
  <si>
    <t>01/10/2025 01-10 PROGRAMACIÓN REALIZADA POR LA ALIANZA | 02/10/2025 SE INSTALA DATAFONOS, LECTORA, MAGIBOX, BASE Y PUBLICIDAD, SE HACE CAPACITACIÓN DE MANEJO DE EQUIPO Y SOMOS BANCOLOMBIA, SE HACEN PRUEBAS DE RETIRO, CONSULTA DE SALDO Y CONSIGNACIÓN DEJANDO TODO FUNCIONANDO CORRECTAMENTE</t>
  </si>
  <si>
    <t>SUZZZ696</t>
  </si>
  <si>
    <t>SALDARRIAGA MIRANDA SANTIAGO</t>
  </si>
  <si>
    <t>CUNDINAMARCA</t>
  </si>
  <si>
    <t>11001</t>
  </si>
  <si>
    <t>TA-25-1165210</t>
  </si>
  <si>
    <t>3007081717</t>
  </si>
  <si>
    <t>DISTRICOL TODO A LA MANO</t>
  </si>
  <si>
    <t>FO-25-1611242</t>
  </si>
  <si>
    <t>01/10/2025 01-10 PROGRAMACIÓN REALIZADA POR LA ALIANZA | 02/10/2025 DURANTE LA IMPLEMENTACIÓN DE CORRESPONSAL BANCARIO AL LLEGAR SE EVIDENCIA QUE COMERCIO SU ACTIVIDAD ECONÓMICA ES DE JUEGOS DE AZAR Y APUESTAS LO CUAL, IMPIDE REALIZAR LA IMPLEMENTACIÓN DE CORRESPONSAL, SE REALIZA ESCALAMIENTO A LA ENTIDAD NOS ENCONTRAMOS A LA ESPERA DE RESPUESTA DE LA MISMA PARA REALIZAR CANCELACIÓN DE LA IMPLEMENTACIÓN O CONTINUAR CON LA MISMA SE BRINDA INFORMACIÓN A COMERCIO</t>
  </si>
  <si>
    <t>GALEANO SORIANO JUAN DAVID</t>
  </si>
  <si>
    <t>TA-25-1165214</t>
  </si>
  <si>
    <t>3007081718</t>
  </si>
  <si>
    <t>DISTRICOL TODO EN UNO SUBA</t>
  </si>
  <si>
    <t>FO-25-1611245</t>
  </si>
  <si>
    <t>01/10/2025 01-10 PROGRAMACIÓN REALIZADA POR LA ALIANZA | 02/10/2025 SE VISITA COMERCIO PARA REALIZAR LA INSTALACIÓN DEL CB BANCOLOMBIA RBM, SE EVIDENCIA QUE LA DIRECCIÓN DADA EN LA ORDEN ES (CR 103B #152-32) PERO ESTÁ DIRECCIÓN NO ES LA REAL YA QUE LA CORRECTA DONDE ESTÁ EL ESTABLECIMIENTO ES (CR 103B #152-35) EN LA ACERA DE EN FRENTE, LA CÁMARA Y COMERCIO SI TIENE LA DIRECCIÓN DE LA ORDEN PERO LA DIRECCIÓN DADA SE SITÚA EN EL PATIO DE DESCANSO DE UN COLEGIO, TAMBIÉN SE VÁLIDA Y EL ESTABLECIMIENTO CUENTA COMO ACTIVIDAD REALIZAR APUESTAS (LOTERÍA Y CHANCE) ALGO POR LO QUE NO ESTÁ PERMITIDO REALIZAR INSTALACIÓN EN DICHOS COMERCIOS, SE ESCALA AL COORDINADOR Y A RBM Y LUEGO DAN RESPUESTA DE NO INSTALAR, SE LE EXPLICA LA SITUACION AL CLIENTE Y ENTIENDE.</t>
  </si>
  <si>
    <t>VEGA MANRIQUE JONATAN MAURICIO</t>
  </si>
  <si>
    <t>TA-25-1165219</t>
  </si>
  <si>
    <t>3007081720</t>
  </si>
  <si>
    <t>DISTRICOL SEGUROS ATR</t>
  </si>
  <si>
    <t>FO-25-1611264</t>
  </si>
  <si>
    <t>01/10/2025 01-10 PROGRAMACIÓN REALIZADA POR LA ALIANZA | 02/10/2025 SE ESTABLECE CONTACTO TELEFÓNICO CON LA USUARIA QUIRN NOS CONFIRMA DATOS DE DIRECCIÓN OK Y PUNTO DE INTERNET PARA REALIZAR LA INSTALACIÓN | 02/10/2025 SE REALIZA INSTALACIÓN DE AVISO EXTERIOR, FLANGER, DISPLAY LEGAL,IDENTIFICADOR ,BASE, DATAFONO, LECTORA CAMBIO DE S.O Y VERSIÓN 10.3 CREACIÓN DE USUARIOS CAPACITACIÓN ADMINISTRATIVA OPERATIVA PRUEBAS OK SERVICIO OPERATIVO SIN INGRESO A SOMOS BANCOLOMBIA</t>
  </si>
  <si>
    <t>SUZZZ687</t>
  </si>
  <si>
    <t>REYES RAMIREZ DIEGO ALEXANDER</t>
  </si>
  <si>
    <t>TA-25-1180424</t>
  </si>
  <si>
    <t>3007081812</t>
  </si>
  <si>
    <t>PTM MEDELLIN CITYBOOM VILLA HE</t>
  </si>
  <si>
    <t>FO-25-1635305</t>
  </si>
  <si>
    <t>COMCARD - PTM</t>
  </si>
  <si>
    <t>06/10/2025 06-10 PROGRAMACIÓN REALIZADA POR LA ALIANZA | INSTALACIÓN PROGRAMADA PARA EL 2025-10-08 | 08/10/2025 SE REALIZA INSTALACIÓN EXITOSA SOLO SE LOGRA REALIZAR DEPOSITO RETIRO Y CONSULTA DE SALDO COMO PRUEBA TODO OK</t>
  </si>
  <si>
    <t>VRZZZ487</t>
  </si>
  <si>
    <t>ALVAREZ ARENAS VICTOR HUGO</t>
  </si>
  <si>
    <t>TA-25-1180426</t>
  </si>
  <si>
    <t>3007081813</t>
  </si>
  <si>
    <t>PTM MEDELLIN GRILLED BURGUER</t>
  </si>
  <si>
    <t>FO-25-1635311</t>
  </si>
  <si>
    <t>06/10/2025 06-10 PROGRAMACIÓN REALIZADA POR LA ALIANZA | INSTALACIÓN PROGRAMADA PARA EL 2025-10-08 | 08/10/2025 SE REALIZA INSTALACIÓN DE EQUIPO, SE REALIZA CAPACITACIÓN Y SE INSTALA PUBLICIDAD SE REALIZAN PRUEBAS EXISTOSAS</t>
  </si>
  <si>
    <t>VRZZZ488 -VRZZZ182</t>
  </si>
  <si>
    <t>TA-25-1180428</t>
  </si>
  <si>
    <t>3007081814</t>
  </si>
  <si>
    <t>PTM MEDELLIN GRANERO MARIA</t>
  </si>
  <si>
    <t>FO-25-1635318</t>
  </si>
  <si>
    <t>06/10/2025 06-10 PROGRAMACIÓN REALIZADA POR LA ALIANZA | INSTALACIÓN PROGRAMADA PARA EL 2025-10-08 | 08/10/2025 SE REALIZA INSTALACIÓN EXITOSA TODO OK SOLO SE LOGRA REALIZAR PRUEBAS DE RETIRO CONSIGNACIÓN Y CONSULTA SALDO</t>
  </si>
  <si>
    <t>VRZZZ489</t>
  </si>
  <si>
    <t>TA-25-1180430</t>
  </si>
  <si>
    <t>3007081811</t>
  </si>
  <si>
    <t>PTM BELLO MERCADO LA VICTORIA</t>
  </si>
  <si>
    <t>FO-25-1635322</t>
  </si>
  <si>
    <t>06/10/2025 06-10 PROGRAMACIÓN REALIZADA POR LA ALIANZA | INSTALACIÓN PROGRAMADA PARA EL 2025-10-08 | 08/10/2025 SE REALIZA INSPECCIÓN DE EQUIPO, SE REALIZA CAPACITACIÓN, SE INSTALA PÚBLICO  SERVICIO OPERATIVO</t>
  </si>
  <si>
    <t>VRZZZ187-VRZZZ490</t>
  </si>
  <si>
    <t>8001</t>
  </si>
  <si>
    <t>TA-25-1180431</t>
  </si>
  <si>
    <t>3007081797</t>
  </si>
  <si>
    <t>ATLANTICO</t>
  </si>
  <si>
    <t>PTM BARRANQUILLA MULTISERVICIO</t>
  </si>
  <si>
    <t>FO-25-1635327</t>
  </si>
  <si>
    <t>06/10/2025 06-10 PROGRAMACIÓN REALIZADA POR LA ALIANZA | INSTALACIÓN PROGRAMADA PARA EL 2025-10-07 | 07/10/2025 SE REALIZA VISITA AL COMERCIO PARA REALIZAR LA INSTALACIÓN DEL CORRESPONSAL BANCOLOMBIA EXITOSO SE CREAN USUARIOS SE CAPACITA AL CLIENTE SOBRE EL MANEJO DEL DATÁFONO SE REALIZAN PRUEBAS EXITOSAS Y EL CB QUEDA OPERATIVO</t>
  </si>
  <si>
    <t>VRZZZ491</t>
  </si>
  <si>
    <t>PEÑALOZA GUTIERREZ RAFAEL GUSTAVO</t>
  </si>
  <si>
    <t>8758</t>
  </si>
  <si>
    <t>TA-25-1180433</t>
  </si>
  <si>
    <t>3007081809</t>
  </si>
  <si>
    <t>SOLEDAD</t>
  </si>
  <si>
    <t>PTM SOLEDAD VARIEDADES 5 BOCAS</t>
  </si>
  <si>
    <t>FO-25-1635332</t>
  </si>
  <si>
    <t>VRZZZ492</t>
  </si>
  <si>
    <t>25290</t>
  </si>
  <si>
    <t>TA-25-1180434</t>
  </si>
  <si>
    <t>3007081805</t>
  </si>
  <si>
    <t>FUSAGASUGA</t>
  </si>
  <si>
    <t>PTM FUNSAGASUGA FERRESOLUCIONE</t>
  </si>
  <si>
    <t>FO-25-1635338</t>
  </si>
  <si>
    <t>06/10/2025 06-10 PROGRAMACIÓN REALIZADA POR LA ALIANZA | INSTALACIÓN PROGRAMADA PARA EL 2025-10-08 | 08/10/2025 SE REALIZA INSTALACIÓN COMPLETA DE CORRESPONSAL BANCARIO, SE INSTALA PUBLICIDAD EN LUGARES INDICADOS POR EL CLIENTE, SE REALIZA CAPACITACIÓN COMPLETA DE SOMOS Y USO DE MENÚ DE OPERADOR  A CLIENTE, SE CREAN USUARIOS DE CB INDICADOS POR EL CLIENTE, SE REALIZA PRUEBAS OK DE CB SE VALIDA SALDO DE CB ESTANDO OK A CONFORMIDAD DE CORRESPONSAL .</t>
  </si>
  <si>
    <t>VRZZZ493-VRZZZ202</t>
  </si>
  <si>
    <t>TA-25-1180436</t>
  </si>
  <si>
    <t>3007081806</t>
  </si>
  <si>
    <t>PTM NEIVA SERVICIOS PROFESIONA</t>
  </si>
  <si>
    <t>FO-25-1635341</t>
  </si>
  <si>
    <t>06/10/2025 06-10 PROGRAMACIÓN REALIZADA POR LA ALIANZA | INSTALACIÓN PROGRAMADA PARA EL 2025-10-08 | 08/10/2025 SE REALIZA APERTURA DE CB BANCOLOMBIA, SE INSTALA DATAFONO CON CUBRE CLAVE CON BASE Y ACCESORIOS, SE DA CAPACITACION AL CLIENTE, SE REALIZAN PRUEBAS DE TRANSACCIONES, TODAS EFECTIVAS, SE REALIZA EXAMEN PAGINA SOMOS BANCOLOMBIA, SE INSTALA PUBLICIDAD (AVISO EXTERIOR, FLANGER GIROS , DISPLAY HORARIO) Y SE ENTREGAN 40 ROLLOS RBM</t>
  </si>
  <si>
    <t>VRZZZ494 - VRZZZ199</t>
  </si>
  <si>
    <t>DIAZ VARGAS JONATHAN MIGUEL</t>
  </si>
  <si>
    <t>TA-25-1180437</t>
  </si>
  <si>
    <t>3007081807</t>
  </si>
  <si>
    <t>PTM NEIVA PAPELERIA FAMADA</t>
  </si>
  <si>
    <t>FO-25-1635355</t>
  </si>
  <si>
    <t>06/10/2025 06-10 PROGRAMACIÓN REALIZADA POR LA ALIANZA | INSTALACIÓN PROGRAMADA PARA EL 2025-10-07 | 07/10/2025 SE REALIZA APERTURA DE CB BANCOLOMBIA, SE EVIDENCIA QUE EL COMERCIO NO TIENE LETRERO CON NOMBRE DE COMERCIO PERO SE VERIFICA QUE SI CORRESPONDE CON ACTIVIDAD DECLARA EN CAMARA DE COMERCIO, SE INSTALA DATAFONO CON CUBRE CLAVE CON BASE Y ACCESORIOS, SE DA CAPACITACION AL CLIENTE, SE REALIZAN PRUEBAS DE TRANSACCIONES, TODAS EFECTIVAS, SE REALIZA EXAMEN PAGINA SOMOS BANCOLOMBIA, SE INSTALA PUBLICIDAD (AVISO EXTERIOR, FLANGER GIROS , DISPLAY HORARIO) Y SE ENTREGAN 40 ROLLOS RBM</t>
  </si>
  <si>
    <t>VRZZZ495 - VRZZZ200</t>
  </si>
  <si>
    <t>52001</t>
  </si>
  <si>
    <t>TA-25-1180439</t>
  </si>
  <si>
    <t>3007081808</t>
  </si>
  <si>
    <t>PTM PASTO DROGUERIA LA ERMITA</t>
  </si>
  <si>
    <t>FO-25-1635369</t>
  </si>
  <si>
    <t>06/10/2025 06-10 PROGRAMACIÓN REALIZADA POR LA ALIANZA | INSTALACIÓN PROGRAMADA PARA EL 2025-10-08 | 08/10/2025 SE REALIZA INSTALACIÓN DE CB. SE CAPACITA SOBRE SOMOS BANCOLOMBIA, MANEJO DE DATAFONO Y PARTE ADMINISTRATIVA. SE INSTALA AVISO EXTERIOR, FLANGER Y DISPLAY LEGAL CON INSERTO HORARIO, TARIFAS Y NÚMERO DE CB. SE ENTREGAN 40 ROLLOS. SE REALIZA PRUEBAS DE CB Y COMERCIO EXITOSAS. QUEDA OPERATIVO</t>
  </si>
  <si>
    <t>VRZZZ496 / VRZZZ204</t>
  </si>
  <si>
    <t>TA-25-1180441</t>
  </si>
  <si>
    <t>3007081804</t>
  </si>
  <si>
    <t>PTM CALI BABY BOO BOUTIQUE</t>
  </si>
  <si>
    <t>FO-25-1635372</t>
  </si>
  <si>
    <t>06/10/2025 06-10 PROGRAMACIÓN REALIZADA POR LA ALIANZA | INSTALACIÓN PROGRAMADA PARA EL 2025-10-07 | 07/10/2025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‎SE DEJAN 40 ROLLOS TÉRMICOS EN EL CB.
‎CB QUEDA OKEY.</t>
  </si>
  <si>
    <t>VRZZZ497 - 1000Z527</t>
  </si>
  <si>
    <t>TA-25-1180442</t>
  </si>
  <si>
    <t>3007081803</t>
  </si>
  <si>
    <t>PTM CALI TRANSPORTES E INVERSI</t>
  </si>
  <si>
    <t>FO-25-1635375</t>
  </si>
  <si>
    <t>06/10/2025 06-10 PROGRAMACIÓN REALIZADA POR LA ALIANZA | INSTALACIÓN PROGRAMADA PARA EL 2025-10-07 | 07/10/2025 SE INSTALA EQUIPO, LECTOR, PINPAD Y ACCESORIOS, LUEGO SE CAPACITA Y SE INSTALA PUBLICIDAD, PRUEBAS OK</t>
  </si>
  <si>
    <t>VRZZZ498</t>
  </si>
  <si>
    <t>76834</t>
  </si>
  <si>
    <t>TA-25-1180443</t>
  </si>
  <si>
    <t>3007081810</t>
  </si>
  <si>
    <t>TULUA</t>
  </si>
  <si>
    <t>PTM TULUA AROMAS Y SABORES TUL</t>
  </si>
  <si>
    <t>FO-25-1635379</t>
  </si>
  <si>
    <t>06/10/2025 06-10 PROGRAMACIÓN REALIZADA POR LA ALIANZA | INSTALACIÓN PROGRAMADA PARA EL 2025-10-08 | 08/10/2025 SE VISITA ESTABLECIMIENTO, SE REALIZA INSTALACIÓN CORRESPONSAL BANCOLOMBIA MIXTO. TRANSACCIONES DE PRUEBA EXITOSAS. SE INSTALA PUBLICADA COMPLETA</t>
  </si>
  <si>
    <t>VRZZZ499 - VRZZZ207</t>
  </si>
  <si>
    <t>BOLAÑOS TABORDA JORGE ENRIQUE</t>
  </si>
  <si>
    <t>TA-25-1180444</t>
  </si>
  <si>
    <t>3007081802</t>
  </si>
  <si>
    <t>PTM BOGOTA SUPERMERCADO Y CIGA</t>
  </si>
  <si>
    <t>FO-25-1635383</t>
  </si>
  <si>
    <t>06/10/2025 06-10 PROGRAMACIÓN REALIZADA POR LA ALIANZA | INSTALACIÓN PROGRAMADA PARA EL 2025-10-08 | 08/10/2025 SE REALIZA IMPLEMENTACIÓN CB BANCOLOMBIA SE INSTALA DATAFONO BASE FUENTE DATOS Y LECTORA SE CAPACITA CLIENTE ,SE INSTALA PUBLICIDAD Y SE REALIZAN PRUEBAS OK</t>
  </si>
  <si>
    <t>VRZZZ500</t>
  </si>
  <si>
    <t>GALINDO ROJAS LUIS FELIPE</t>
  </si>
  <si>
    <t>TA-25-1180446</t>
  </si>
  <si>
    <t>3007081799</t>
  </si>
  <si>
    <t>PTM BOGOTA GESISTECHNOLOGY</t>
  </si>
  <si>
    <t>FO-25-1635387</t>
  </si>
  <si>
    <t>06/10/2025 06-10 PROGRAMACIÓN REALIZADA POR LA ALIANZA | INSTALACIÓN PROGRAMADA PARA EL 2025-10-08 | 08/10/2025 DURANTE VISITA TECNICA SE REALIZA INSTALACIÓN DE CORRESPONSAL BANCARIO CON SOPORTÉ, LECTOR DE BARRAS, PINPAD Y DATAFONO, SE CREAN USUARIOS DE CB INDICADOS POR EL CLIENTE, SE REALIZA PRUEBAS OK DE CB. CIERRES</t>
  </si>
  <si>
    <t>VRZZZ501 - VRZZZ190</t>
  </si>
  <si>
    <t>ARIAS QUILINDO JULIAN</t>
  </si>
  <si>
    <t>TA-25-1180448</t>
  </si>
  <si>
    <t>3007081798</t>
  </si>
  <si>
    <t>PTM BOGOTA CENTRO DE SERVICIOS</t>
  </si>
  <si>
    <t>FO-25-1635390</t>
  </si>
  <si>
    <t>06/10/2025 06-10 PROGRAMACIÓN REALIZADA POR LA ALIANZA | INSTALACIÓN PROGRAMADA PARA EL 2025-10-08 | 08/10/2025 DURANTE VISITA TECNICA SE REALIZA INSTALACIÓN DE CORRESPONSAL BANCARIO CON SOPORTÉ, LECTOR DE BARRAS Y DATAFONO, SE CREAN USUARIOS DE CB INDICADOS POR EL CLIENTE, SE REALIZA PRUEBAS OK DE CB. CIERRES</t>
  </si>
  <si>
    <t>VRZZZ191</t>
  </si>
  <si>
    <t>TA-25-1180450</t>
  </si>
  <si>
    <t>3007081801</t>
  </si>
  <si>
    <t>BOGOTA PTM SUPERMERCADOS COLKC</t>
  </si>
  <si>
    <t>FO-25-1635396</t>
  </si>
  <si>
    <t>06/10/2025 06-10 PROGRAMACIÓN REALIZADA POR LA ALIANZA | INSTALACIÓN PROGRAMADA PARA EL 2025-10-07 | 07/10/2025 INSTALACIÓN DE CORRESPONSAL CAMBIO DE EQUIPO POR SERIAL MAL INDICA PAOLA DE RBM DEMORAS MÁS DE 1 HORAS Y MEDIA EN CAMBIO DE EQUIPO POR PARTE DE REDEBAN (MOLESTIA EN EL COMERCIO POR ESTE MOTIVO ) SE REALIZA CAPACITACIÓN A CLIENTE DE SOMOS BANCOLOMBIA CAPACITACIÓN IVA CAPACITACIÓN DATAFONO 
INSTALACIÓN DE PUBLICIDAD OK PAPELERÍA OK NO SE REALIZA COMPRA DE ADQUIRENCIA YA QUE NO SE CUENTA CON ESTA TARJETA NO SE REALIZAN PRUEBAS CB DE RETIRO NI CONSULTA DE SALDO YA QUE NO SE CUÁNTA TARJETA DE PRUEBA Y CB TAMPOCO TIENE TARJETA EN COMERCIO</t>
  </si>
  <si>
    <t>VRZZZ503 - VRZZZ192</t>
  </si>
  <si>
    <t>GOMEZ VEGA DAVID SNEYDER</t>
  </si>
  <si>
    <t>TA-25-1180451</t>
  </si>
  <si>
    <t>3007081800</t>
  </si>
  <si>
    <t>PTM BOGOTA PAGUE AQUI</t>
  </si>
  <si>
    <t>FO-25-1635399</t>
  </si>
  <si>
    <t>06/10/2025 06-10 PROGRAMACIÓN REALIZADA POR LA ALIANZA | INSTALACIÓN PROGRAMADA PARA EL 2025-10-07 | 07/10/2025 INSTALACIÓN BANCOLOMBIA CON PUBLICIDAD DATAFONO LECTORA ROLLOS BASE FUENTE DATOS SERVICIO OPERATIVO PRUEBAS OK TRNA RBM SE INSTALA CUBRE TECLADO, SE REALIZA CAMBIO DE EQUIPO PARA INSTALACIÓN DE PINPAD POR VIDRIO DE SEGURIDAD SOMOS BANCOLOMBIA HABILITADO PERO NO MUESTRA DATOS DE DEJA NOVEDAD SOLO SE REALIZA CONSULTA DE SALDO NO HAY COMO REALIZAR CONSIGNACIÓN Y RETIRO</t>
  </si>
  <si>
    <t>VRZZZ504 - VRZZZ193</t>
  </si>
  <si>
    <t>BUSTOS MORA DIEGO MANUEL</t>
  </si>
  <si>
    <t>TA-25-1180462</t>
  </si>
  <si>
    <t>3007081465</t>
  </si>
  <si>
    <t>CB CRECIMIENTO ALIANZA - OTRAS LISTAS</t>
  </si>
  <si>
    <t>PTM BOGOTA COMPUSCHOOL SS</t>
  </si>
  <si>
    <t>FO-25-1635424</t>
  </si>
  <si>
    <t>06/10/2025 06-10 PROGRAMACIÓN REALIZADA POR LA ALIANZA | INSTALACIÓN PROGRAMADA PARA EL 2025-10-07 | 07/10/2025 SE REALIZA INSTALACIÓN COMPLETA DE CORRESPONSAL BANCARIO, SE INSTALA PUBLICIDAD EN LUGARES INDICADOS POR EL CLIENTE, SE REALIZA CAPACITACIÓN COMPLETA DE SOMOS Y USO DE MENÚ DE OPERADOR  A CLIENTE, SE CREAN USUARIOS DE CB INDICADOS POR EL CLIENTE, SE REALIZA PRUEBAS OK DE CB SE VALIDA SALDO DE CB ESTANDO OK A CONFORMIDAD DE CORRESPONSAL .</t>
  </si>
  <si>
    <t>VRZZZ511-VRZZZ194</t>
  </si>
  <si>
    <t>TA-25-1188111</t>
  </si>
  <si>
    <t>3007081850</t>
  </si>
  <si>
    <t>DISTRICOL DROGUERÍA SANTA FARM</t>
  </si>
  <si>
    <t>FO-25-1646991</t>
  </si>
  <si>
    <t>08/10/2025 08-10 PROGRAMACIÓN REALIZADA POR LA ALIANZA | INSTALACIÓN PROGRAMADA PARA EL 2025-10-09 | 09/10/2025 INSTALACIÓN CB OK</t>
  </si>
  <si>
    <t>VSZZZ869</t>
  </si>
  <si>
    <t>BADEL ACUÑA LUIS ALBERTO</t>
  </si>
  <si>
    <t>TA-25-1188112</t>
  </si>
  <si>
    <t>3007081851</t>
  </si>
  <si>
    <t>DISTRICOL MERCADOS EL CONQUIST</t>
  </si>
  <si>
    <t>FO-25-1646995</t>
  </si>
  <si>
    <t>08/10/2025 08-10 PROGRAMACIÓN REALIZADA POR LA ALIANZA| INSTALACIÓN PROGRAMADA PARA EL 2025-10-09 | 09/10/2025 SE INSTALA CB EXITOSAMENTE</t>
  </si>
  <si>
    <t>VSZZZ870</t>
  </si>
  <si>
    <t>5266</t>
  </si>
  <si>
    <t>TA-25-1188113</t>
  </si>
  <si>
    <t>3007081849</t>
  </si>
  <si>
    <t>ENVIGADO</t>
  </si>
  <si>
    <t>DISTRICOL SEBASTIANA</t>
  </si>
  <si>
    <t>FO-25-1647004</t>
  </si>
  <si>
    <t>VSZZZ871</t>
  </si>
  <si>
    <t>15491</t>
  </si>
  <si>
    <t>TA-25-1188115</t>
  </si>
  <si>
    <t>3007081847</t>
  </si>
  <si>
    <t>NOBSA</t>
  </si>
  <si>
    <t>DISTRICOL FOTOC TINTA ARTESANA</t>
  </si>
  <si>
    <t>FO-25-1647009</t>
  </si>
  <si>
    <t>08/10/2025 08-10 PROGRAMACIÓN REALIZADA POR LA ALIANZA| INSTALACIÓN PROGRAMADA PARA EL 2025-10-09 | 08/10/2025 SE ESTABLECE COMUNICACIÓN CON LA SEÑOR CARLOS ANDRES HINCAPIE ESTEPA AL NÚMERO DE CONTACTO 3214649726 CLIENTE CONFIRMA TENER LA DISPONIBILIDAD PARA ATENDER LA VISITA EL DÍA DE MAÑANA 09/10/2025 CONFIRMA TENER EL PUNTO DE INTERNET CERCA A DONDE VA QUEDAR INSTALADO EL DATAFONO. | 09/10/2025 SE EJECUTA APERTURA BANCOLOMBIA RBM INSTALANDO EQUIPOS Y PUBLICIDAD PERSONAL CAPACITADO PRUEBAS OK CLIENTE CONFORME</t>
  </si>
  <si>
    <t>VSZZZ872</t>
  </si>
  <si>
    <t>RODRIGUEZ MURCIA YERSON IVAN</t>
  </si>
  <si>
    <t>TA-25-1188116</t>
  </si>
  <si>
    <t>3007081846</t>
  </si>
  <si>
    <t>DISTRICOL DROGUERIA FAMIPHARMA</t>
  </si>
  <si>
    <t>FO-25-1647013</t>
  </si>
  <si>
    <t>08/10/2025 08-10 PROGRAMACIÓN REALIZADA POR LA ALIANZA| INSTALACIÓN PROGRAMADA PARA EL 2025-10-10 | 10/10/2025 SE REALIZA APERTURA DE CB BANCOLOMBIA, SE INSTALA DATAFONO CON CUBRE CLAVE CON BASE Y ACCESORIOS, SE DA CAPACITACION AL CLIENTE, SE REALIZAN PRUEBAS DE TRANSACCIONES, TODAS EFECTIVAS, SE REALIZA EXAMEN PAGINA SOMOS BANCOLOMBIA, SE INSTALA PUBLICIDAD (AVISO EXTERIOR, FLANGER GIROS , DISPLAY HORARIO) Y SE ENTREGAN 40 ROLLOS RBM</t>
  </si>
  <si>
    <t>VSZZZ873</t>
  </si>
  <si>
    <t>68780</t>
  </si>
  <si>
    <t>TA-25-1188117</t>
  </si>
  <si>
    <t>3007081848</t>
  </si>
  <si>
    <t>SURATA</t>
  </si>
  <si>
    <t>DISTRICOL HERMANOS LEON</t>
  </si>
  <si>
    <t>FO-25-1647018</t>
  </si>
  <si>
    <t>08/10/2025 08-10 PROGRAMACIÓN REALIZADA POR LA ALIANZA| INSTALACIÓN PROGRAMADA PARA EL 2025-10-09 | 09/10/2025 NOS ENCONTRAMOS EN EL MUNICIPIO DE SURATÁ PARA LA IMPLEMENTACIÓN DEL PUNTO CB BANCOLOMBIA, SEGÚN LO ESTABLECIDO EN LA ORDEN CORRESPONDIENTE.
EL PUNTO FUE IDENTIFICADO SIGUIENDO LAS INDICACIONES DEL CLIENTE, QUIEN LO UBICÓ EN LA DIRECCIÓN CARRERA 3 #4-08, BARRIO CENTRO, CONFORME A LO INDICADO EN LA ORDEN DE TRABAJO. NO OBSTANTE, AL REALIZAR LA GEOLOCALIZACIÓN MEDIANTE GPS, SE EVIDENCIA QUE LA UBICACIÓN FÍSICA CORRESPONDE A LA CARRERA 5.
PROCEDIMOS A VALIDAR LA INFORMACIÓN CON LOS REGISTROS DE LA CÁMARA DE COMERCIO Y LOS RECIBOS PÚBLICOS DEL ESTABLECIMIENTO, LOS CUALES COINCIDEN CON LA DIRECCIÓN ESPECIFICADA EN LA ORDEN: CARRERA 3 #4-08, BRR. CENTRO.
EL CLIENTE NOS INFORMA QUE RECIENTEMENTE SE LLEVÓ A CABO UNA REESTRUCTURACIÓN DEL MUNICIPIO DEBIDO A UN PROCESO DE AMPLIACIÓN EN SU URBANIZACIÓN, RAZÓN POR LA CUAL SE SIGUEN UTILIZANDO LAS DIRECCIONES ANTERIORES COMO REFERENCIA LOCAL.
POR LO ANTERIOR, SOLICITAMOS SU CONFIRMACIÓN PARA PROCEDER CON LA IMPLEMENTACIÓN EN ESTA UBICACIÓN O, EN SU DEFECTO, LA CANCELACIÓN O REPROGRAMACIÓN DE LA ORDEN.
AL FINAL AUTORIZAN POR PARTE DE REDEBAN LA INSTALACIÓN DEL CB, COMO PREVIAMENTE SE HABIA ESCALADO EL CASO POR MOTIVOS DE LA DIRECCIÓN.
SE INSTALA AVISO EXTERIOR, FLANGED, DISPLAY DE HORARIOS, BASE, DATÁFONO, LECTOR DE BARRAS, PINPAD POR MODULO EN VIDRIO, CUBRE CLAVES, MÁGIC BOX, SE CREAN USUARIOS A GUSTOS DEL CLIENTE, CAPACITACIÓN GENERAL COMPLETA, SOMOS BANCOLOMBIA OK, PRUEBAS OK</t>
  </si>
  <si>
    <t>VSZZZ874</t>
  </si>
  <si>
    <t>GONZALEZ ESTUPIÑAN YEISON WALTER ANTONIO</t>
  </si>
  <si>
    <t>TA-25-1194763</t>
  </si>
  <si>
    <t>3007081867</t>
  </si>
  <si>
    <t>PTM MEDELLIN MERCATODO LA 33 N</t>
  </si>
  <si>
    <t>FO-25-1666931</t>
  </si>
  <si>
    <t>10/10/2025 9/10/2025 PROGRAMACIÓN REALIZADA POR LA ALIANZA| INSTALACIÓN PROGRAMADA PARA EL 2025-10-15 | 15/10/2025 SE INSTALA CB EXITOSAMENTE</t>
  </si>
  <si>
    <t>VWZZZ788 - VTZZZ874</t>
  </si>
  <si>
    <t>TA-25-1194764</t>
  </si>
  <si>
    <t>3007081865</t>
  </si>
  <si>
    <t>PTM MEDELLIN KRATOS URBAN</t>
  </si>
  <si>
    <t>FO-25-1666935</t>
  </si>
  <si>
    <t>VWZZZ789-VTZZZ875</t>
  </si>
  <si>
    <t>TA-25-1194769</t>
  </si>
  <si>
    <t>3007081868</t>
  </si>
  <si>
    <t>PTM MEDELLIN MINIMERCADO LA BO</t>
  </si>
  <si>
    <t>FO-25-1666941</t>
  </si>
  <si>
    <t>10/10/2025 9/10/2025 PROGRAMACIÓN REALIZADA POR LA ALIANZA| INSTALACIÓN PROGRAMADA PARA EL 2025-10-15 | 15/10/2025 INSTALACIÓN DE CB MIXTO OK PUBLICIDAD Y CAPACITACIÓN OK PRUEBAS OK NO TELECARGA CUBRE CLAVE OK</t>
  </si>
  <si>
    <t>VWZZZ790 VTZZZ876</t>
  </si>
  <si>
    <t>PAREJA ECHAVARRIA JHON DAVID</t>
  </si>
  <si>
    <t>TA-25-1194770</t>
  </si>
  <si>
    <t>3007081869</t>
  </si>
  <si>
    <t>PTM MEDELLIN PATITAS DE MICHU</t>
  </si>
  <si>
    <t>FO-25-1666945</t>
  </si>
  <si>
    <t>10/10/2025 9/10/2025 PROGRAMACIÓN REALIZADA POR LA ALIANZA| INSTALACIÓN PROGRAMADA PARA EL 2025-10-15 | 15/10/2025 INSTALACIÓN DE CB MIXTO OK PUBLICIDAD Y CAPACITACIÓN OK PRUEBAS OK NO TELECARGA NO CUBRE CLAVE SIN STOCK</t>
  </si>
  <si>
    <t>VWZZZ791 VTZZZ877</t>
  </si>
  <si>
    <t>TA-25-1194771</t>
  </si>
  <si>
    <t>3007081866</t>
  </si>
  <si>
    <t>PTM MEDELLIN AGPAPELVA PAPELER</t>
  </si>
  <si>
    <t>FO-25-1666951</t>
  </si>
  <si>
    <t>10/10/2025 9/10/2025 PROGRAMACIÓN REALIZADA POR LA ALIANZA| INSTALACIÓN PROGRAMADA PARA EL 2025-10-15 | 17/10/2025 INSTALACIÓN CB OK</t>
  </si>
  <si>
    <t>VWZZZ792-VTZZZ878</t>
  </si>
  <si>
    <t>5079</t>
  </si>
  <si>
    <t>TA-25-1194772</t>
  </si>
  <si>
    <t>3007081856</t>
  </si>
  <si>
    <t>BARBOSA</t>
  </si>
  <si>
    <t>PTM BARBOSA CELU SHOP Y MAS</t>
  </si>
  <si>
    <t>FO-25-1666955</t>
  </si>
  <si>
    <t>10/10/2025 9/10/2025 PROGRAMACIÓN REALIZADA POR LA ALIANZA| INSTALACIÓN PROGRAMADA PARA EL 2025-10-14 | 14/10/2025 SE INSTALA CB EXITOSAMENTE</t>
  </si>
  <si>
    <t>VWZZZ793-VTZZZ885</t>
  </si>
  <si>
    <t>5376</t>
  </si>
  <si>
    <t>TA-25-1194773</t>
  </si>
  <si>
    <t>3007081864</t>
  </si>
  <si>
    <t>LA CEJA</t>
  </si>
  <si>
    <t>DISTRICOL AUTOSERVICIO EL FUTU</t>
  </si>
  <si>
    <t>FO-25-1666959</t>
  </si>
  <si>
    <t>10/10/2025 9/10/2025 PROGRAMACIÓN REALIZADA POR LA ALIANZA| INSTALACIÓN PROGRAMADA PARA EL 2025-10-14 | 14/10/2025 INSTALACIÓN DE CB PURO OK PUBLICIDAD Y CAPACITACIÓN OK PRUEBAS OK NO TELECARGA CUBRE CLAVE OK</t>
  </si>
  <si>
    <t>VWZZZ794</t>
  </si>
  <si>
    <t>20001</t>
  </si>
  <si>
    <t>TA-25-1194774</t>
  </si>
  <si>
    <t>3007081863</t>
  </si>
  <si>
    <t>PTM VALLEDUPAR DISTRIBUIDORES</t>
  </si>
  <si>
    <t>FO-25-1666963</t>
  </si>
  <si>
    <t>10/10/2025 9/10/2025 PROGRAMACIÓN REALIZADA POR LA ALIANZA| INSTALACIÓN PROGRAMADA PARA EL 2025-10-14 | 14/10/2025 SE REALIZA IMPLEMENTACIÓN DE CB SE INSTALA EQUIPO Y SUS RESPECTIVOS ACCESORIOS,SE REALIZAN PRUEBAS QUEDANDO SERVICIO OPERÁTIVO AL 100 % PRUEBAS,SE INSTALA CON VERSIÓN 9.90 (SE EVIDENCIA CUBICULO  DE EFECTY ,AL IGUAL PUBLICIDAD OCULTA LA CUAL NOS ES POSIBLE EVIDENCIA QUE EXISTE EN SITIO FUNCIONANDO EFECTY ,CLIENTE SE LIMITA A DAR INFORMACIÓN DE LA PUBLICIDAD OCULTA Y NOS INDICA QUE NO TIENE FUNCIONANDO DICHA ENTIDAD)</t>
  </si>
  <si>
    <t>VWZZZ795 - VTZZZ901</t>
  </si>
  <si>
    <t>MAESTRE MENGUAL EDGAR ENRIQUE</t>
  </si>
  <si>
    <t>25899</t>
  </si>
  <si>
    <t>TA-25-1194776</t>
  </si>
  <si>
    <t>3007081871</t>
  </si>
  <si>
    <t>ZIPAQUIRA</t>
  </si>
  <si>
    <t>PTM ZIPAQUIRA DECORBALLOONS ST</t>
  </si>
  <si>
    <t>FO-25-1666966</t>
  </si>
  <si>
    <t>10/10/2025 9/10/2025 PROGRAMACIÓN REALIZADA POR LA ALIANZA| INSTALACIÓN PROGRAMADA PARA EL 2025-10-15 | 15/10/2025 SE REALIZA INSTALACIÓN COMPLETA DE CORRESPONSAL BANCARIO, SE INSTALA PUBLICIDAD EN LUGARES INDICADOS POR EL CLIENTE, SE REALIZA CAPACITACIÓN COMPLETA DE SOMOS Y USO DE MENÚ DE OPERADOR  A CLIENTE, SE CREAN USUARIOS DE CB INDICADOS POR EL CLIENTE, SE REALIZA PRUEBAS OK DE CB SE VALIDA SALDO DE CB ESTANDO OK A CONFORMIDAD DE CORRESPONSAL .</t>
  </si>
  <si>
    <t>VWZZZ796 - NRZZZ649</t>
  </si>
  <si>
    <t>LOZADA ROJAS CHRISTIAN ANDRES</t>
  </si>
  <si>
    <t>41020</t>
  </si>
  <si>
    <t>TA-25-1194777</t>
  </si>
  <si>
    <t>3007081852</t>
  </si>
  <si>
    <t>ALGECIRAS</t>
  </si>
  <si>
    <t>PTM ALGECIRAS TIENDA KELAIA</t>
  </si>
  <si>
    <t>FO-25-1666969</t>
  </si>
  <si>
    <t>10/10/2025 9/10/2025 PROGRAMACIÓN REALIZADA POR LA ALIANZA| INSTALACIÓN PROGRAMADA PARA EL 2025-10-14 | 14/10/2025 SE REALIZA VISITA AL PUNTO, SE IMPLEMENTA CON ÉXITO , BASE DATAFONO ,LECTORA , AVISO EXTERIOR, FLANGED,DISPLAY HORARIOS , SE REALIZA INSERTO OTROS LUGARES , SE CAPACITA CLIENTE SOBRE MANEJO CB DATÁFONO, PRUEBAS CB OK , SE DEJA EQUIPO CON VR 10.3 ,IMPLEMENTACIÓN EXITOSA .</t>
  </si>
  <si>
    <t>VWZZZ797</t>
  </si>
  <si>
    <t>41319</t>
  </si>
  <si>
    <t>TA-25-1194778</t>
  </si>
  <si>
    <t>3007081860</t>
  </si>
  <si>
    <t>GUADALUPE</t>
  </si>
  <si>
    <t>PTM GUADALUPE VARIEDADES ANDRE</t>
  </si>
  <si>
    <t>FO-25-1666972</t>
  </si>
  <si>
    <t>10/10/2025 9/10/2025 PROGRAMACIÓN REALIZADA POR LA ALIANZA| INSTALACIÓN PROGRAMADA PARA EL 2025-10-15 | 15/10/2025 SE REALIZA VISITA PARA IMPLEMENTAR CB PTM 81860, PERO SE EVIDENCIA QUE APROXIMADAMENTE 40 MTS HAY UN CB UNO A UNO INSTALADO (35020), SE ESCALA CASO A ENTIDAD DONDE FUE CANCELADA POR LA MISMA</t>
  </si>
  <si>
    <t>ANDRADE HERNANDEZ JUAN CARLOS</t>
  </si>
  <si>
    <t>50568</t>
  </si>
  <si>
    <t>TA-25-1194779</t>
  </si>
  <si>
    <t>3007081862</t>
  </si>
  <si>
    <t>META</t>
  </si>
  <si>
    <t>PUERTO GAITAN</t>
  </si>
  <si>
    <t>PTM PUERTO GAITAN DROGUERIA JA</t>
  </si>
  <si>
    <t>FO-25-1666976</t>
  </si>
  <si>
    <t>10/10/2025 9/10/2025 PROGRAMACIÓN REALIZADA POR LA ALIANZA| INSTALACIÓN PROGRAMADA PARA EL 2025-10-15 | 15/10/2025 SE REALIZA INSTALACIÓN DE DATAFONO, BASE PARA DATAFONO, LECTOR DE BARRAS, SE CREA USUARIOS, PRUEBAS DE TX OK, SE INSTALA MAGICBOX 2600, SE INSTALA CUBRE TECLADO, SE REALIZA CAPACITACIÓN DE SOMOS BANCOLOMBIA Y OPERATIVA DEL DATAFONO.</t>
  </si>
  <si>
    <t>VTZZZ904</t>
  </si>
  <si>
    <t>MURCIA HERNANDEZ HARVEY IGNACIO</t>
  </si>
  <si>
    <t>TA-25-1194785</t>
  </si>
  <si>
    <t>3007081861</t>
  </si>
  <si>
    <t>PTM PASTO R&amp;R STORE</t>
  </si>
  <si>
    <t>FO-25-1687223 | FO-25-1666979</t>
  </si>
  <si>
    <t>16/10/2025 SE REALIZÓ LA INSTALACIÓN DE EQUIPOS PUBLICIDAD Y ACCESORIOS PARA APERTURA CB BANCOLOMBIA SE DIO CAPACITACIÓN MANEJO DE DATÁFONO CB Y SOMOS BANCOLOMBIA SE EJECUTAN PRUEBAS TX EXITOSAS QUEDA OPERATIVO</t>
  </si>
  <si>
    <t>VWZZZ800 // VYZZZ068</t>
  </si>
  <si>
    <t>TA-25-1194792</t>
  </si>
  <si>
    <t>3007081857</t>
  </si>
  <si>
    <t>DISTRICOL MERCAHOGAR LLORENTE</t>
  </si>
  <si>
    <t>FO-25-1666983</t>
  </si>
  <si>
    <t>10/10/2025 9/10/2025 PROGRAMACIÓN REALIZADA POR LA ALIANZA| INSTALACIÓN PROGRAMADA PARA EL 2025-10-14 | 14/10/2025 SE REALIZA INSTALACIÓN DE DATAFONO CON BASE Y LECTORA COMPLETOS CONFIGURACIÓN OK PARÁMETROS OK Y SE REALIZAN PRUEBAS ÉXITOSAS DE TRANSACCIONES SE CAPACITA EN MANEJO DEL CB SE INSTALA PUBLICIDAD INTERIOR Y EXTERIOR OK SE ENTREGA 40 ROLLOS DE PAPELERÍA SOMOS BANCOLOMBIA OK. SE INSTALA CUBRETECLADO OK</t>
  </si>
  <si>
    <t>VWZZZ801</t>
  </si>
  <si>
    <t>PAZ MARTINEZ RICHARD HUMBERTO</t>
  </si>
  <si>
    <t>TA-25-1194793</t>
  </si>
  <si>
    <t>3007081854</t>
  </si>
  <si>
    <t>PTM BUCARAMANGA DROGUERIA FARM</t>
  </si>
  <si>
    <t>FO-25-1666987</t>
  </si>
  <si>
    <t>10/10/2025 9/10/2025 PROGRAMACIÓN REALIZADA POR LA ALIANZA| INSTALACIÓN PROGRAMADA PARA EL 2025-10-14 | 14/10/2025 EN COMUNICACIÓN CON EL SEÑOR JUAN DAVID CASTILLA AL NÚMERO DE CONTACTO 3173661909, COMENTA QUE DEBIDO A UN INCONVENIENTE PRESENTADO EN EL OPERADOR DEL INTERNET DE SU LOCAL NO NOS PUEDE RECIBIR EL DÍA DE HOY PARA REALIZAR LA IMPLEMENTACIÓN DEL CORRESPONSAL POR TAL MOTIVO COMENTA QUE DARÁ ALGUNA RESPUESTA EN HORAS DE LA TARDE PARA PODER VISITARLO EL DÍA DE MAÑANA MIÉRCOLES 15 DE OCTUBRE DEL PRESENTE AÑO | 15/10/2025 SE ESTABLECE COMUNICACIÓN CON EL SEÑOR JUAN DAVID AL NÚMERO 3173661909 QUIEN INFORMA QUE YA LE DIO SOLUCIÓN AL PROBLEMA DEL INTERNET,DESEA QUE SE VISITE EL DÍA DE MAÑANA A LAS 9 AM | 16/10/2025 SE HACE PRESENCIA EN COMERCIO SE REALIZA INSTALACIÓN DE UN DATÁFONO CON SU RESPECTIVO LECTOR DE BARRAS, FUENTE DE PODER Y BRAZO DE SOPORTE.
SE CAPACITA PERSONAL PARA EL MANEJO DEL POS,SE REALIZAN PRUEBAS CONSULTA DE SALDO, RETIRO Y DEPÓSITO OK</t>
  </si>
  <si>
    <t>VWZZZ802 - VYZZZ062</t>
  </si>
  <si>
    <t>BARRERA ORTEGA MARLON STWAR</t>
  </si>
  <si>
    <t>TA-25-1194794</t>
  </si>
  <si>
    <t>3007081858</t>
  </si>
  <si>
    <t>PTM FLORIDABLANCA TIENDA LA AN</t>
  </si>
  <si>
    <t>FO-25-1683636 | FO-25-1666991</t>
  </si>
  <si>
    <t>15/10/2025 LUEGO DE CONTESTACION EMITIDA POR LA RED NOS INDICAN QUE SE PROCEDERA CON UN CAMBIO DE TERMINALES SE PROCEDERA CON LA CULMINACIÓN DE LA ACTIVIDAD UNA VEZ INFORME LA RED SE ESTABLECE CONTACTO CON LA USUARIA  QUE A LA VEZ NOS INDICA QUE NOS PODRÁ ATENDER EL DÍA MAÑANA SIN NINGÚN PROBLEMA | 16/10/2025 SE REALIZA INSTALACIÓN DE AVISO EXTERIOR FLANGER DISPLAY LEGAL IDENTIFICADOR DE PUNTO BASE DATÁFONO LECTORA CAMBIO DE SISTEMA OPERATIVO INVERSION 9.90 CREACIÓN DE USUARIOS CAPACITACIÓN ADMINISTRATIVA OPERATIVA PRUEBAS OK SERVICIO OPERATIVO</t>
  </si>
  <si>
    <t>VYZZZ063	/	VWZZZ803</t>
  </si>
  <si>
    <t>ECHEVERRI ECHEVERRI EVELIN DANIELA</t>
  </si>
  <si>
    <t>70235</t>
  </si>
  <si>
    <t>TA-25-1194795</t>
  </si>
  <si>
    <t>3007081859</t>
  </si>
  <si>
    <t>SUCRE</t>
  </si>
  <si>
    <t>GALERAS</t>
  </si>
  <si>
    <t>PTM GALERAS VARIEDADES PUNTOMO</t>
  </si>
  <si>
    <t>FO-25-1666996</t>
  </si>
  <si>
    <t>10/10/2025 9/10/2025 PROGRAMACIÓN REALIZADA POR LA ALIANZA| INSTALACIÓN PROGRAMADA PARA EL 2025-10-14 | 14/10/2025 SE VISITA COMERCIO, SE VERIFICA INFORMACIÓN, SE REALIZA INSTALACIÓN CB BANCOLOMBIA, SE INSTALA DATAFONO, LECTOR, MAGIC BOX DESK/2600, FUENTE, CABLE DE RED, BASE, CUBRE CLAVE, PAPELERÍA, PUBLICIDAD Y CAPACITACIÓN, PRUEBAS TRX EXITOSA.</t>
  </si>
  <si>
    <t>VWZZZ804</t>
  </si>
  <si>
    <t>CACERES HERNANDEZ ANDRES</t>
  </si>
  <si>
    <t>TA-25-1194800</t>
  </si>
  <si>
    <t>3007081855</t>
  </si>
  <si>
    <t>PTM CALI PAPELERIA Y VARIEDADE</t>
  </si>
  <si>
    <t>FO-25-1686966 | FO-25-1667001</t>
  </si>
  <si>
    <t>15/10/2025 SE INSTALA DATÁFONO SE CAPACITA AL CLIENTE SE ENTREGAN ROLLOS SE HACEN PRUEBAS CB QUEDA FUNCIONANDO CORRECTAMENTE NO SE HACEN MÁS PRUEBAS YA QUE CLIENTE NO TENÍA TARJETA BANCOLOMBIA Y LA DEL TECNICO ESTABA BLOQUEADA</t>
  </si>
  <si>
    <t>VWZZZ805 - VYZZZ065</t>
  </si>
  <si>
    <t>CUERO RUIZ JHONNY</t>
  </si>
  <si>
    <t>85001</t>
  </si>
  <si>
    <t>TA-25-1194803</t>
  </si>
  <si>
    <t>3007081870</t>
  </si>
  <si>
    <t>CASANARE</t>
  </si>
  <si>
    <t>PTM YOPAL TIENDA JUANCHOS YOPA</t>
  </si>
  <si>
    <t>FO-25-1667004</t>
  </si>
  <si>
    <t>10/10/2025 9/10/2025 PROGRAMACIÓN REALIZADA POR LA ALIANZA| INSTALACIÓN PROGRAMADA PARA EL 2025-10-14 | 14/10/2025 SE VISITA COMERCIO, SE INSTALA DATÁFONO, LECTOR DE BARRAS BASE Y CUBRE TECLADO. PRUEBAS OK. OPERATIVO EL SERVICIO. SOMOS BANCOLOMBIA OK. SE CAPACITA CLIENTE OK. NO SE REALIZA PRUEBA DE TRANSFERENCIA NO SE CUENTA CON TARJETA</t>
  </si>
  <si>
    <t>VWZZZ806-VTZZZ899</t>
  </si>
  <si>
    <t>BERNAL ELAICA EDGAR ALEXIS</t>
  </si>
  <si>
    <t>TA-25-1194804</t>
  </si>
  <si>
    <t>3007081853</t>
  </si>
  <si>
    <t>PTM BOGOTA LA PAPELERIA LMJ</t>
  </si>
  <si>
    <t>FO-25-1667008</t>
  </si>
  <si>
    <t>10/10/2025 9/10/2025 PROGRAMACIÓN REALIZADA POR LA ALIANZA| INSTALACIÓN PROGRAMADA PARA EL 2025-10-15 | 15/10/2025 SE VISITA COMERCIO, SE INSTALA DATAFONO CON LECTOR, SE REALIZAN PRUEBAS DE TX, PRUEBAS OK SE INSTALA PUBLICIDAD OK</t>
  </si>
  <si>
    <t>VWZZZ807 - VYZZZ059</t>
  </si>
  <si>
    <t>ORTIZ YARA FRANKLYN ISRAEL</t>
  </si>
  <si>
    <t>TA-25-1213396</t>
  </si>
  <si>
    <t>FO-25-1692030</t>
  </si>
  <si>
    <t>16/10/2025 16-10 PROGRAMACIÓN REALIZADA POR LA ALIANZA| INSTALACIÓN PROGRAMADA PARA EL 2025-10-17 | 24/10/2025 SE REALIZA APERTURA DE CB BANCOLOMBIA PURO, SE INSTALA EQUIPO, ACCESORIOS Y PUBLICIDAD, SE REALIZAN PRUEBAS OK. SE ENTREGAN 40 ROLLOS</t>
  </si>
  <si>
    <t>SUZZZ380</t>
  </si>
  <si>
    <t>TA-25-1220616</t>
  </si>
  <si>
    <t>3007081887</t>
  </si>
  <si>
    <t>PTM MEDELLIN LOS VALLEJO</t>
  </si>
  <si>
    <t>FO-25-1706146</t>
  </si>
  <si>
    <t>20/10/2025 20-10 PROGRAMACIÓN REALIZADA POR LA ALIANZA| INSTALACIÓN PROGRAMADA PARA EL 2025-10-22 | 22/10/2025 SE INSTALA CB EXITOSAMENTE</t>
  </si>
  <si>
    <t>AE001924</t>
  </si>
  <si>
    <t>TA-25-1220617</t>
  </si>
  <si>
    <t>3007081886</t>
  </si>
  <si>
    <t>PTM MEDELLIN DROGUERIA LUZ Y V</t>
  </si>
  <si>
    <t>FO-25-1706145</t>
  </si>
  <si>
    <t>AE001925</t>
  </si>
  <si>
    <t>5129</t>
  </si>
  <si>
    <t>TA-25-1220618</t>
  </si>
  <si>
    <t>3007081876</t>
  </si>
  <si>
    <t>PTM CALDAS DAGO DROGUERIA</t>
  </si>
  <si>
    <t>FO-25-1706148</t>
  </si>
  <si>
    <t>20/10/2025 20-10 PROGRAMACIÓN REALIZADA POR LA ALIANZA| INSTALACIÓN PROGRAMADA PARA EL 2025-10-22 | 22/10/2025 SE INSTALAN EQUIPOS OK</t>
  </si>
  <si>
    <t>AE001926</t>
  </si>
  <si>
    <t>5380</t>
  </si>
  <si>
    <t>TA-25-1220619</t>
  </si>
  <si>
    <t>3007081885</t>
  </si>
  <si>
    <t>LA ESTRELLA</t>
  </si>
  <si>
    <t>PTM LA ESTRELLA MUNDO BEBE MAF</t>
  </si>
  <si>
    <t>FO-25-1706151</t>
  </si>
  <si>
    <t>AE001927</t>
  </si>
  <si>
    <t>TA-25-1220620</t>
  </si>
  <si>
    <t>3007081880</t>
  </si>
  <si>
    <t>PTM NEIVA MISCELANEA S&amp;C</t>
  </si>
  <si>
    <t>FO-25-1706156</t>
  </si>
  <si>
    <t>20/10/2025 20-10 PROGRAMACIÓN REALIZADA POR LA ALIANZA| INSTALACIÓN PROGRAMADA PARA EL 2025-10-21 | 21/10/2025 SE REALIZA APERTURA DE CB BANCOLOMBIA, SE INSTALA DATAFONO CON CUBRE CLAVE CON BASE Y ACCESORIOS, SE DA CAPACITACION AL CLIENTE, SE REALIZAN PRUEBAS DE TRANSACCIONES, TODAS EFECTIVAS, SE REALIZA EXAMEN PAGINA SOMOS BANCOLOMBIA, SE INSTALA PUBLICIDAD (AVISO EXTERIOR, FLANGER GIROS , DISPLAY HORARIO) Y SE ENTREGAN 40 ROLLOS RBM</t>
  </si>
  <si>
    <t>AE001929</t>
  </si>
  <si>
    <t>44090</t>
  </si>
  <si>
    <t>TA-25-1220622</t>
  </si>
  <si>
    <t>3007081877</t>
  </si>
  <si>
    <t>LA GUAJIRA</t>
  </si>
  <si>
    <t>DIBULLA</t>
  </si>
  <si>
    <t>PTM DIBULLA PAPELERIA Y VARIED</t>
  </si>
  <si>
    <t>FO-25-1706158</t>
  </si>
  <si>
    <t>20/10/2025 20-10 PROGRAMACIÓN REALIZADA POR LA ALIANZA| INSTALACIÓN PROGRAMADA PARA EL 2025-10-21 | 21/10/2025 SE REALIZA GESTIÓN TELEFÓNICA, EL USUARIO INFORMA QUE EN EL DÍA DE HOY EL MUNICIPIO NO CONTARÁ CON SERVICIO ELÉCTRICO YA QUE LA VAN A QUITAR DURANTE TODO EL DÍA, QUE SE REPROGRAME LA INSTALACIÓN PARA EL MIÉRCOLES 22 | 22/10/2025 NO SE PUEDE REALIZAR LA APERTURA POR DIRECCIÓN ERRADA YA QUE LA DIRECCIÓN EN EL SISTEMA APARECE DIFERENTE AL DEL PUNTO, SE ESCALA EL CASO CON EL COORDINADOR Y SE CANCELA LA INSTALACIÓN</t>
  </si>
  <si>
    <t>THOMAS  CAMPO SIGIFREDO SEGUNDO</t>
  </si>
  <si>
    <t>TA-25-1220624</t>
  </si>
  <si>
    <t>3007081881</t>
  </si>
  <si>
    <t>PTM PASTO MULTISERVICIOS Y SOL</t>
  </si>
  <si>
    <t>FO-25-1706162</t>
  </si>
  <si>
    <t>20/10/2025 20-10 PROGRAMACIÓN REALIZADA POR LA ALIANZA| INSTALACIÓN PROGRAMADA PARA EL 2025-10-21 | 21/10/2025 SE REALIZÓ LA INSTALACIÓN DE EQUIPOS PUBLICIDAD Y ACCESORIOS PARA APERTURA CB BANCOLOMBIA SE DIO CAPACITACIÓN MANEJO DE DATÁFONO CB Y SOMOS BANCOLOMBIA, ESTE ÚLTIMO NO ESTÁ ACTIVO POR CORREO DEL CLIENTE, SE EJECUTAN PRUEBAS TX EXITOSAS QUEDA OPERATIVO.</t>
  </si>
  <si>
    <t>AE001932</t>
  </si>
  <si>
    <t>TA-25-1220625</t>
  </si>
  <si>
    <t>3007081874</t>
  </si>
  <si>
    <t>PTM BUCARAMANGA PAPELERIA Y CA</t>
  </si>
  <si>
    <t>FO-25-1706167</t>
  </si>
  <si>
    <t>20/10/2025 20-10 PROGRAMACIÓN REALIZADA POR LA ALIANZA| INSTALACIÓN PROGRAMADA PARA EL 2025-10-21 | 21/10/2025 SE REALIZA APERTURA DE CB BANCOLOMBIA PURO SE INSTALA DATAFONO LECTOR DE BARRAS BASE DE DATÁFONO USUARIO CAPACITACIÓN PUBLICIDAD COMPLETA</t>
  </si>
  <si>
    <t>AE001933</t>
  </si>
  <si>
    <t>HERRERA LUQUE SAUL JAVIER</t>
  </si>
  <si>
    <t>68406</t>
  </si>
  <si>
    <t>TA-25-1220627</t>
  </si>
  <si>
    <t>3007081879</t>
  </si>
  <si>
    <t>LEBRIJA</t>
  </si>
  <si>
    <t>PTM LEBRIJA MINI MARTKET LEIDY</t>
  </si>
  <si>
    <t>FO-25-1706169</t>
  </si>
  <si>
    <t>20/10/2025 20-10 PROGRAMACIÓN REALIZADA POR LA ALIANZA| INSTALACIÓN PROGRAMADA PARA EL 2025-10-21 | 21/10/2025 SE REALIZA VISITA AL COMERCIO SE HACE APERTURA CORRESPONSAL BANCOLOMBIA PURO SE INSTALA AVISO, FLANGER, DISPLAY DE HORARIOS, DATÁFONO, LECTOR DE BARRAS, SE REALIZA CAPACITACIÓN GENERAL COMPLETA SE HACEN PRUEBAS, SOMOS BANCOLOMBIA CAÍDO NO LLEGA MENSAJE CON CÓDIGO DE VERIFICACIÓN AL CORREO DEL CLIENTE CLIENTE REALIZA LLAMADA A LA LÍNEA DE SERVICIO AL CLIENTE DONDE COMENTAN QUE HAY QUE ESPERAR APROXIMADAMENTE 36 HORAS PARA PODER SOLUCIONAR EL INCONVENIENTE CON EL PORTAL</t>
  </si>
  <si>
    <t>AE001934</t>
  </si>
  <si>
    <t>68575</t>
  </si>
  <si>
    <t>TA-25-1220628</t>
  </si>
  <si>
    <t>3007081883</t>
  </si>
  <si>
    <t>PUERTO WILCHES</t>
  </si>
  <si>
    <t>PTM PUERTO WILCHES LEIMATH' DA</t>
  </si>
  <si>
    <t>FO-25-1706173</t>
  </si>
  <si>
    <t>20/10/2025 20-10 PROGRAMACIÓN REALIZADA POR LA ALIANZA| INSTALACIÓN PROGRAMADA PARA EL 2025-10-21 | 21/10/2025 INSTALACIÓN CONFIGURACIÓN Y CAPACITACIÓN DE MANEJO DE TERMINAL E INGRESO A SOMOS BANCOLOMBIA</t>
  </si>
  <si>
    <t>AE001935</t>
  </si>
  <si>
    <t>TA-25-1220629</t>
  </si>
  <si>
    <t>3007081875</t>
  </si>
  <si>
    <t>PTM CALI GLOBALTECH CYBER</t>
  </si>
  <si>
    <t>FO-25-1706175</t>
  </si>
  <si>
    <t>20/10/2025 20-10 PROGRAMACIÓN REALIZADA POR LA ALIANZA| INSTALACIÓN PROGRAMADA PARA EL 2025-10-21 | 21/10/2025 SE VISITA ESTABLECIMIENTO, SE REALIZA INSTALACIÓN CORRESPONSAL BANCOLOMBIA PURO. TRANSACCIONES DE PRUEBA EXITOSAS. SE CAPACITA Y SE INSTALA PUBLICIDAD COMPLETA</t>
  </si>
  <si>
    <t>AE001936</t>
  </si>
  <si>
    <t>76318</t>
  </si>
  <si>
    <t>TA-25-1220630</t>
  </si>
  <si>
    <t>3007081878</t>
  </si>
  <si>
    <t>GUACARI</t>
  </si>
  <si>
    <t>PTM GUACARI PAPELERIA SANTA MA</t>
  </si>
  <si>
    <t>FO-25-1706177</t>
  </si>
  <si>
    <t>20/10/2025 20-10 PROGRAMACIÓN REALIZADA POR LA ALIANZA| INSTALACIÓN PROGRAMADA PARA EL 2025-10-21 | 21/10/2025 SE REALIZA APERTURA DE CB BANCOLOMBIA PURO, SE INSTALA EQUIPO, ACCESORIOS Y PUBLICIDAD, SE REALIZAN PRUEBAS OK. NO ES POSIBLE REALIZAR CAPACITACIÓN DE SOMOS BANCOLOMBIA DEBIDO A QUE AL CLIENTE NO LE LLEGA CÓDIGO DE VERIFICACIÓN Y EL USUARIO DE PRUEBA SE ENCUENTRA BLOQUEADO SE REALIZA CON EL DE PRUEBA . SE REALIZA ENTREGA DE 40 ROLLOS.</t>
  </si>
  <si>
    <t>AE001937</t>
  </si>
  <si>
    <t>TA-25-1220631</t>
  </si>
  <si>
    <t>3007081888</t>
  </si>
  <si>
    <t>PTM CASANARE 3/65</t>
  </si>
  <si>
    <t>FO-25-1706184</t>
  </si>
  <si>
    <t>20/10/2025 20-10 PROGRAMACIÓN REALIZADA POR LA ALIANZA| INSTALACIÓN PROGRAMADA PARA EL 2025-10-21 | 21/10/2025 SE VISITA COMERCIO, SE INSTALA DATÁFONO LECTOR BASE Y CUBRE TECLADO. PRUEBAS OK. OPERATIVO EL SERVICIO. SE CAPACITA CLIENTE. SOMOS BANCOLOMBIA OK.</t>
  </si>
  <si>
    <t>AE001938</t>
  </si>
  <si>
    <t>85010</t>
  </si>
  <si>
    <t>TA-25-1220632</t>
  </si>
  <si>
    <t>3007081872</t>
  </si>
  <si>
    <t>AGUAZUL</t>
  </si>
  <si>
    <t>PTM MARGINAL DE LA SELVA FRENT</t>
  </si>
  <si>
    <t>FO-25-1706186</t>
  </si>
  <si>
    <t>20/10/2025 20-10 PROGRAMACIÓN REALIZADA POR LA ALIANZA| INSTALACIÓN PROGRAMADA PARA EL 2025-10-22 | 22/10/2025 SE VISITA COMERCIO, SE INSTALA DATÁFONO LECTOR BASE Y CUBRE TECLADO. PRUEBAS OK. OPERATIVO EL SERVICIO. SOMOS BANCOLOMBIA OK. NO SE REALIZA PRUEBA DE TRANSFERENCIA NO SE CUENTA CON TARJETA.</t>
  </si>
  <si>
    <t>AE001939</t>
  </si>
  <si>
    <t>TA-25-1220633</t>
  </si>
  <si>
    <t>3007081873</t>
  </si>
  <si>
    <t>PTM BOGOTA FLAG MART</t>
  </si>
  <si>
    <t>FO-25-1716863 | FO-25-1706191</t>
  </si>
  <si>
    <t>22/10/2025 SE REALIZA LA INSTALACIÓN DEL CB PTM BOGOTA FLAG MARY, EL CLIENTE Y TÉCNICO NO MANEJAN TARJETA BANCOLOMBIA SE REALIZAN PRUEBAS ENVIANDO Y RETIRANDO POR NEQUI</t>
  </si>
  <si>
    <t>AE001940</t>
  </si>
  <si>
    <t>ALARCON AREVALO JOHAN STIVEN</t>
  </si>
  <si>
    <t>TA-25-1229137</t>
  </si>
  <si>
    <t>3007081949</t>
  </si>
  <si>
    <t>PTM MEDELLIN PAPELERIA CLIP AG</t>
  </si>
  <si>
    <t>FO-25-1718383</t>
  </si>
  <si>
    <t>22/10/2025 22-10 PROGRAMACIÓN REALIZADA POR LA ALIANZA| INSTALACIÓN PROGRAMADA PARA EL 2025-10-24 | 24/10/2025 INSTALACIÓN DE CB MIXTO OK PRUEBAS OK PUBLICIDAD Y CAPACITACIÓN CUBRE CLAVE OK NO TELECARGA</t>
  </si>
  <si>
    <t>AE003968 AE003237</t>
  </si>
  <si>
    <t>TA-25-1229143</t>
  </si>
  <si>
    <t>3007081947</t>
  </si>
  <si>
    <t>PTM MEDELLIN MERCADOS LA 80 PE</t>
  </si>
  <si>
    <t>FO-25-1718384</t>
  </si>
  <si>
    <t>22/10/2025 22-10 PROGRAMACIÓN REALIZADA POR LA ALIANZA| INSTALACIÓN PROGRAMADA PARA EL 2025-10-24 | 24/10/2025 INSTALACIÓN CB OK, SE CAPACITA AL USUARIO, PRUEBAS EXITOSAS, CB QUEDA OPERATIVO  . INSTALACIÓN DE PUBLICIDAD OK</t>
  </si>
  <si>
    <t>AE003969-AE003238</t>
  </si>
  <si>
    <t>TA-25-1229149</t>
  </si>
  <si>
    <t>3007081946</t>
  </si>
  <si>
    <t>PTM MEDELLIN ACELEROX</t>
  </si>
  <si>
    <t>FO-25-1718387</t>
  </si>
  <si>
    <t>22/10/2025 22-10 PROGRAMACIÓN REALIZADA POR LA ALIANZA| INSTALACIÓN PROGRAMADA PARA EL 2025-10-24 | 24/10/2025 SE INSTALA CB EXITOSAMENTE</t>
  </si>
  <si>
    <t>AE003970-AE003239</t>
  </si>
  <si>
    <t>TA-25-1229159</t>
  </si>
  <si>
    <t>3007081950</t>
  </si>
  <si>
    <t>PTM MEDELLIN SUEÑOS DE CARAMEL</t>
  </si>
  <si>
    <t>FO-25-1718391</t>
  </si>
  <si>
    <t>22/10/2025 22-10 PROGRAMACIÓN REALIZADA POR LA ALIANZA| INSTALACIÓN PROGRAMADA PARA EL 2025-10-24 | 24/10/2025 SE REALIZA INSTALACIÓN DE CORRESPONSAL, SE INSTALAN EQUIPOS CON PRUEBAS EXITOSAS, SE CAPACITA Y SE EVALÚA AL CLIENTE, SE INSTALA PUBLICIDAD COMPLETA, CB QUEDA OPERATIVO. USUARIO SOMOS BANCOLOMBIA ACTIVO</t>
  </si>
  <si>
    <t>AE003971-AE003240</t>
  </si>
  <si>
    <t>TA-25-1229161</t>
  </si>
  <si>
    <t>3007081948</t>
  </si>
  <si>
    <t>PTM MEDELLIN DROGUERIA TALITA</t>
  </si>
  <si>
    <t>FO-25-1718394</t>
  </si>
  <si>
    <t>22/10/2025 22-10 PROGRAMACIÓN REALIZADA POR LA ALIANZA| INSTALACIÓN PROGRAMADA PARA EL 2025-10-24 | 24/10/2025 INSTALACIÓN DE CB MIXTO OK PUBLICIDAD Y CAPACITACIÓN OK PRUEBAS SOLO CONSULTA DE SALDO NO HAY PARA OTRAS PRUEBAS CUBRE CLAVE OK NO TELECARGA</t>
  </si>
  <si>
    <t>AE003972 AE003241</t>
  </si>
  <si>
    <t>5282</t>
  </si>
  <si>
    <t>TA-25-1229165</t>
  </si>
  <si>
    <t>3007081941</t>
  </si>
  <si>
    <t>FREDONIA</t>
  </si>
  <si>
    <t>PTM CORREGIMIENTO LA MINA DEPO</t>
  </si>
  <si>
    <t>FO-25-1718397</t>
  </si>
  <si>
    <t>22/10/2025 22-10 PROGRAMACIÓN REALIZADA POR LA ALIANZA| INSTALACIÓN PROGRAMADA PARA EL 2025-10-23 | 23/10/2025 SE HACE IMPLEMENTACION OK EQUIPOS OPERATIVOS PRUEBAS EXITOSAS</t>
  </si>
  <si>
    <t>AE003973</t>
  </si>
  <si>
    <t>5480</t>
  </si>
  <si>
    <t>TA-25-1229167</t>
  </si>
  <si>
    <t>3007081943</t>
  </si>
  <si>
    <t>MUTATA</t>
  </si>
  <si>
    <t>PTM MUTATA DISTRIBUCIONES DIEZ</t>
  </si>
  <si>
    <t>FO-25-1718401</t>
  </si>
  <si>
    <t>22/10/2025 22-10 PROGRAMACIÓN REALIZADA POR LA ALIANZA| INSTALACIÓN PROGRAMADA PARA EL 2025-10-24 | 24/10/2025 SE INSTALA BASE DATAFONO, DATAFONO,LECTORA,MAGIBOX,PUBLICIDAD SE HACEN PRUEBAS DE CONSULTA DE SALDO, RETIRO,CONSIGNACIONES Y SE DEJA FUNCIONANDO CORRECTAMENTE</t>
  </si>
  <si>
    <t>AE003974-AE003275</t>
  </si>
  <si>
    <t>25843</t>
  </si>
  <si>
    <t>TA-25-1229177</t>
  </si>
  <si>
    <t>3007081945</t>
  </si>
  <si>
    <t>VILLA DE SAN DIEGO DE UBATE</t>
  </si>
  <si>
    <t>PTM VILLA DE SAN DIEGO PAPELER</t>
  </si>
  <si>
    <t>FO-25-1718410</t>
  </si>
  <si>
    <t>22/10/2025 22-10 PROGRAMACIÓN REALIZADA POR LA ALIANZA| INSTALACIÓN PROGRAMADA PARA EL 2025-10-24 | 24/10/2025 NO FUE POSIBLE REALIZAR APERTURA POR FALLAS EN LA RED | 29/10/2025 SE VISITA COMERCIO, SE INSTALA CB BANCOLOMBIA, SE CREAN USUARIOS DEL CLIENTE, SE REALIZAN PRUEBAS OK, SE BRINDA CAPACITACIÓN DE USO, SE INSTALA PUBLICIDAD COMPLETA.</t>
  </si>
  <si>
    <t>AE003384 - AE003975</t>
  </si>
  <si>
    <t>73001</t>
  </si>
  <si>
    <t>TA-25-1229178</t>
  </si>
  <si>
    <t>3007081942</t>
  </si>
  <si>
    <t>TOLIMA</t>
  </si>
  <si>
    <t>PTM IBAGUE FARMAPLUS DE LA GUA</t>
  </si>
  <si>
    <t>FO-25-1718414</t>
  </si>
  <si>
    <t>22/10/2025 22-10 PROGRAMACIÓN REALIZADA POR LA ALIANZA| INSTALACIÓN PROGRAMADA PARA EL 2025-10-24 | 24/10/2025 SE REALIZA INSTALACIÓN DE CB BANCOLOMBIA, SE CAPACITA A HEIDY DUSAN  SOBRE EL MANEJO DEL CB; SE INSTALA PUBLICIDAD INCLUIDO HORARIO Y OTROS LUGARES PRUEBAS OK SE INSTALA CUBRE CLAVE.</t>
  </si>
  <si>
    <t>AE003976-AE003308</t>
  </si>
  <si>
    <t>BARRAGAN TAFUR EDWIN ESTEBAN</t>
  </si>
  <si>
    <t>TA-25-1229179</t>
  </si>
  <si>
    <t>3007081937</t>
  </si>
  <si>
    <t>PTM CALI SKYNET 2.2</t>
  </si>
  <si>
    <t>FO-25-1718419</t>
  </si>
  <si>
    <t>22/10/2025 22-10 PROGRAMACIÓN REALIZADA POR LA ALIANZA| INSTALACIÓN PROGRAMADA PARA EL 2025-10-24 | 24/10/2025 SE CANCELA LA APERTURA POR DIRECCIÓN ERRADA, LA DIRECCIÓN CORRECTA ES CALLE 39A # 43 - 03 QUE ES OA DIRECCIÓN DE LA CAMARA Y COMERCIO Y LA DIRECCIÓN DE LA ORDEN ES KRA 39A # 43 - 03</t>
  </si>
  <si>
    <t>TA-25-1229180</t>
  </si>
  <si>
    <t>3007081938</t>
  </si>
  <si>
    <t>PTM CALI INTERLADO</t>
  </si>
  <si>
    <t>FO-25-1718422</t>
  </si>
  <si>
    <t>22/10/2025 22-10 PROGRAMACIÓN REALIZADA POR LA ALIANZA| INSTALACIÓN PROGRAMADA PARA EL 2025-10-24 | 24/10/2025 SE LLAMA AL CLIENTE VÁLIDO LA INSTALACIÓN DEL CB Y LA DISPONIBILIDAD, SE VISITA EL COMERCIO, SE INSTALA DATAFONO, LECTORA, PINPAD, MAGIC BOX EN APERTURA CB MIXTO BANCOLOMBIA, PRUEBAS OK, TELECARGA TRNA</t>
  </si>
  <si>
    <t>AE003978 - AE003364</t>
  </si>
  <si>
    <t>TA-25-1229181</t>
  </si>
  <si>
    <t>3007081939</t>
  </si>
  <si>
    <t>PTM CALI TIENDA ANIMAL MUNDO M</t>
  </si>
  <si>
    <t>FO-25-1718424</t>
  </si>
  <si>
    <t>22/10/2025 22-10 PROGRAMACIÓN REALIZADA POR LA ALIANZA| INSTALACIÓN PROGRAMADA PARA EL 2025-10-24 | 24/10/2025 SE INSTALA EQUIPO, LECTOR Y ACCESORIOS, LUEGO SE CAPACITA Y SE INSTALA PUBLICIDAD, PRUEBAS OK</t>
  </si>
  <si>
    <t>AE003979 - AE003365</t>
  </si>
  <si>
    <t>TA-25-1229183</t>
  </si>
  <si>
    <t>3007081944</t>
  </si>
  <si>
    <t>PTM PUERTO ASIS BOUTIQUE L&amp;J A</t>
  </si>
  <si>
    <t>FO-25-1718431</t>
  </si>
  <si>
    <t>22/10/2025 22-10 PROGRAMACIÓN REALIZADA POR LA ALIANZA| INSTALACIÓN PROGRAMADA PARA EL 2025-10-24 | 25/10/2025 DEBIDO A PROBLEMAS PARA DESPLAZAMIENTO HACIA PUTUMAYO DADO INCONVENIENTES EN LAS VIAS Y POR CAIDA DE ENTIDAD BANCARIA EN LA MAÑANA DEL VIERNES NO SE PUEDE VIAJAR HACIA  PUTUMAYO, SE ESTARA VIAJANDO LA PROXIMA SEMANA. | 27/10/2025 SE REALIZA COMUNICACIÓN TELEFÓNICA CON LA SEÑORA LILIANA Y SE LE INFORMA QUE MAÑANA EN LA JORNADA DE LA MAÑANA SE REALIZARÁ INSTALACIÓN YA QUE HOY ME ENCUENTRO REALIZANDO DESPLAZAMIENTO DESDE LA CIUDAD DE PASTO | 28/10/2025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</si>
  <si>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AE003980 - AE003296</t>
  </si>
  <si>
    <t>5034</t>
  </si>
  <si>
    <t>TA-25-1229184</t>
  </si>
  <si>
    <t>3007081940</t>
  </si>
  <si>
    <t>ANDES</t>
  </si>
  <si>
    <t>PTM ANDES MARANTO BELLEZA NATU</t>
  </si>
  <si>
    <t>FO-25-1718434</t>
  </si>
  <si>
    <t>22/10/2025 22-10 PROGRAMACIÓN REALIZADA POR LA ALIANZA| INSTALACIÓN PROGRAMADA PARA EL 2025-10-23 | 23/10/2025 SE REALIZA INSTALACIÓN DE EQUIPO, CAPACITACIÓN Y INSTALACIÓN DE PUBLICIDAD SE REALIZAN PRUEBAS EXITOSAS SERVICIO OPERATIVO OK</t>
  </si>
  <si>
    <t>AE003981</t>
  </si>
  <si>
    <t>TA-25-1229185</t>
  </si>
  <si>
    <t>3007081935</t>
  </si>
  <si>
    <t>PTM BOGOTA DROGUERIA ROSSI FAR</t>
  </si>
  <si>
    <t>FO-25-1718438</t>
  </si>
  <si>
    <t>22/10/2025 22-10 PROGRAMACIÓN REALIZADA POR LA ALIANZA| INSTALACIÓN PROGRAMADA PARA EL 2025-10-24 | 24/10/2025 NO SE PUEDE REALIZAR INSTALACIÓN YA QUE PRESENTA FALLA CON BANCOLOMBIA Y REDEBAN | 29/10/2025 DURANTE VISITA TECNICA SE REALIZA INSTALACIÓN DE CORRESPONSAL BANCARIO CON SOPORTÉ, LECTOR DE BARRAS Y DATAFONO, SE CREAN USUARIOS DE CB INDICADOS POR EL CLIENTE, SE REALIZA PRUEBAS OK DE CB. CIERRES</t>
  </si>
  <si>
    <t>AE003982 - AE003278</t>
  </si>
  <si>
    <t>TA-25-1229186</t>
  </si>
  <si>
    <t>3007081934</t>
  </si>
  <si>
    <t>PTM BOGOTA COMUNICACIONES C.A</t>
  </si>
  <si>
    <t>FO-25-1718440</t>
  </si>
  <si>
    <t>22/10/2025 22-10 PROGRAMACIÓN REALIZADA POR LA ALIANZA| INSTALACIÓN PROGRAMADA PARA EL 2025-10-24 | 24/10/2025 POR FALLA CON LA PLATAFORMA DEL BANCO Y CAIDA GENERAL NO SE ALCANZA A REALIZAR ACTIVIDAD SE HACE CONTACTO CON CLIENTE AL NÚMERO 3046600000 INDICANDO NOVEDAD Y ESTE PIDE QUE LE VUELVAN A CONTACTAR EL DÍA LUNES 27 PARA CONFIRMAR NUEVAMENTE | 29/10/2025 SE REALIZA INSTALACIÓN COMPLETA DE CORRESPONSAL BANCARIO, SE INSTALA PUBLICIDAD EN LUGARES INDICADOS POR EL CLIENTE, SE REALIZA CAPACITACIÓN COMPLETA DE SOMOS Y USO DE MENÚ DE OPERADOR  A CLIENTE, SE CREAN USUARIOS DE CB INDICADOS POR EL CLIENTE, SE REALIZA PRUEBAS OK DE CB SE VALIDA SALDO DE CB ESTANDO OK A CONFORMIDAD DE CORRESPONSAL, SOLO SE REALIZA PRUEBAS DE DEPOSITO YA QUE NO SE CUENTA CON TARJETA DE PRUEBAS.</t>
  </si>
  <si>
    <t>AE003983-AE003279</t>
  </si>
  <si>
    <t>TA-25-1229187</t>
  </si>
  <si>
    <t>3007081932</t>
  </si>
  <si>
    <t>PTM BOGOTA EL PINCEL DE LA BEL</t>
  </si>
  <si>
    <t>FO-25-1718444</t>
  </si>
  <si>
    <t>22/10/2025 22-10 PROGRAMACIÓN REALIZADA POR LA ALIANZA| INSTALACIÓN PROGRAMADA PARA EL 2025-10-24 | 24/10/2025 SE VISITA COMERCIO, SE INSTALA DATAFONO CON LECTORA Y BASE, SE ENTRGAN 40 ROLLOS RBM, SE DA CAPACITACIÓN, SE REALIZAN PRUEBAS , PRUEBAS DE TX OK</t>
  </si>
  <si>
    <t>AE003985 - AE003366</t>
  </si>
  <si>
    <t>TA-25-1229188</t>
  </si>
  <si>
    <t>3007081936</t>
  </si>
  <si>
    <t>PTM BOGOTA PAPELERIA ANDI</t>
  </si>
  <si>
    <t>FO-25-1718447</t>
  </si>
  <si>
    <t>22/10/2025 22-10 PROGRAMACIÓN REALIZADA POR LA ALIANZA| INSTALACIÓN PROGRAMADA PARA EL 2025-10-24 | 24/10/2025 INSTALACIÓN BANCOLOMBIA CON PUBLICIDAD DATAFONO LECTORA ROLLOS BASE FUENTE DATOS SERVICIO OPERATIVO PRUEBAS OK TRNA RBM SE INSTALA CUBRE TECLADO SOLO SE REALIZA CONSULTA DE SALDO NO SE TIENE COMO HACER RETIRO Y CONSIGNACIÓN</t>
  </si>
  <si>
    <t>AE003986 - AE003281</t>
  </si>
  <si>
    <t>TA-25-1237374</t>
  </si>
  <si>
    <t>3007081988</t>
  </si>
  <si>
    <t>PTM MEDELLIN MANUFACTURAS DE F</t>
  </si>
  <si>
    <t>FO-25-1730054</t>
  </si>
  <si>
    <t>24/10/2025 24-10 PROGRAMACIÓN REALIZADA POR LA ALIANZA| INSTALACIÓN PROGRAMADA PARA EL 2025-10-28 | 28/10/2025 SE INSTALAN EQUIPOS OK, SE REALIZA CAMBIO DE DATAFONO DEBIDO A IMPRESORA MALA, PRUEBAS OK</t>
  </si>
  <si>
    <t>CA000702 - AE004736</t>
  </si>
  <si>
    <t>5148</t>
  </si>
  <si>
    <t>TA-25-1237375</t>
  </si>
  <si>
    <t>3007081987</t>
  </si>
  <si>
    <t>EL CARMEN DE VIBORAL</t>
  </si>
  <si>
    <t>PTM VEREDA RIVERA EL CARMEN DE</t>
  </si>
  <si>
    <t>FO-25-1730055</t>
  </si>
  <si>
    <t>24/10/2025 24-10 PROGRAMACIÓN REALIZADA POR LA ALIANZA| INSTALACIÓN PROGRAMADA PARA EL 2025-10-28 | 28/10/2025 SE INSTALA PUBLICIDAD Y EQUIPOS A PETICIÓN DEL USUARIO, SE DEJAN SERVICIOS OK CAPACITACIÓN OK</t>
  </si>
  <si>
    <t>CA000703-AE004737</t>
  </si>
  <si>
    <t>5576</t>
  </si>
  <si>
    <t>TA-25-1237376</t>
  </si>
  <si>
    <t>3007081983</t>
  </si>
  <si>
    <t>PUEBLORRICO</t>
  </si>
  <si>
    <t>PTM PUEBLO RICO VARIEDADES L&amp;B</t>
  </si>
  <si>
    <t>FO-25-1730058</t>
  </si>
  <si>
    <t>24/10/2025 24-10 PROGRAMACIÓN REALIZADA POR LA ALIANZA| INSTALACIÓN PROGRAMADA PARA EL 2025-10-28 | 28/10/2025 INSTALACIÓN DE CB PURO OK PUBLICIDAD Y CAPACITACIÓN OK PRUEBAS SOLO CONSULTA DE SALDO CUBRE CLAVE OK NO TELECARGA</t>
  </si>
  <si>
    <t>CA000704</t>
  </si>
  <si>
    <t>TA-25-1237377</t>
  </si>
  <si>
    <t>3007081985</t>
  </si>
  <si>
    <t>PTM SOLEDAD MINI TIENDA JP 26</t>
  </si>
  <si>
    <t>FO-25-1730061</t>
  </si>
  <si>
    <t>24/10/2025 24-10 PROGRAMACIÓN REALIZADA POR LA ALIANZA| INSTALACIÓN PROGRAMADA PARA EL 2025-10-27 | 27/10/2025 SE REALIZA VISITA AL COMERCIO PARA REALIZAR LA INSTALACIÓN DEL CORRESPONSAL BANCOLOMBIA EXITOSO SE CREAN USUARIOS SE CAPACITA AL CLIENTE SOBRE EL MANEJO DEL DATÁFONO SE INSTALA VERSIÓN 9.90 SE REALIZAN PRUEBAS EXITOSAS Y EL CB QUEDA OPERATIVO.COMERCIO SIN AVISO PUBLICITARIO, SIN EMBARGO SI ES EL MISMO OBJETIVO COMERCIAL, LA DIRECCION COINCIDE Y LA CÁMARA DE COMERCIO TAMBIEN TIENE EL MISMO NOMBRE DE LISTA DE CHEQUEO.</t>
  </si>
  <si>
    <t>CA000705-CA000559</t>
  </si>
  <si>
    <t>15469</t>
  </si>
  <si>
    <t>TA-25-1237378</t>
  </si>
  <si>
    <t>3007081982</t>
  </si>
  <si>
    <t>MONIQUIRA</t>
  </si>
  <si>
    <t>PTM MONIQUIRA DISTRIGANOS RICA</t>
  </si>
  <si>
    <t>FO-25-1730064</t>
  </si>
  <si>
    <t>24/10/2025 24-10 PROGRAMACIÓN REALIZADA POR LA ALIANZA| INSTALACIÓN PROGRAMADA PARA EL 2025-10-27 | 27/10/2025 SE ESTABLECE COMUNICACIÓN CON LA SEÑORA LEIDY MARIANA CARVAJAL MORELO AL NÚMERO DE CONTACTO  3103598771 SE LE INDICA QUE POR TEMAS DE LOS DESPLAZAMIENTOS Y LA HORA ACTUAL NO ES POSIBLE EJECUTAR LA ACTIVIDAD EL DÍA DE HOY VA SER VISITADA EL DÍA DE MAÑANA EN HORAS AM CLIENTE CONFIRMA TENER LA DISPONIBILIDAD TOTAL PARA EL DÍA DE MAÑANA SE VÁLIDA DISTANCIA MODEM A DONDE VA QUEDAR INSTALADO EL DATÁFONO CLIENTE CONFIRMA QUE ESTÁ CERCA. | 28/10/2025 SE EJECUTA APERTURA BANCOLOMBIA EXITOSA INSTALANDO EQUIPOS Y PUBLICIDAD PERSONAL CAPACITADO PRUEBAS OK CLIENTE CONFORME</t>
  </si>
  <si>
    <t>CA000706</t>
  </si>
  <si>
    <t>68307</t>
  </si>
  <si>
    <t>TA-25-1237379</t>
  </si>
  <si>
    <t>3007081979</t>
  </si>
  <si>
    <t>GIRON</t>
  </si>
  <si>
    <t>PTM GIRON TIENDA EL MIRADOR DE</t>
  </si>
  <si>
    <t>FO-25-1730067</t>
  </si>
  <si>
    <t>24/10/2025 24-10 PROGRAMACIÓN REALIZADA POR LA ALIANZA| INSTALACIÓN PROGRAMADA PARA EL 2025-10-27 | 27/10/2025 EN COMUNICACIÓN CON EL SEÑOR GONZALO AL MOVIL 3172513082, SE CONFIRMA PUERTO DE RED Y ELÉCTRICO, SE CONFIRMA DISPONIBILIDAD DE ATENCIÓN PARA EL DÍA DE MAÑANA MARTES 28 DE OCTUBRE DESPUÉS DE LAS 8 AM, SE LE INFORMA QUE DEBIDO A UNA NOVEDAD CON LA RED SE REPROGRAMO LA INSTALACIÓN POR OPERATIVIDAD,CLIENTE CONFORME. | 28/10/2025 INSTALACIÓN DE CB BANCOLOMBIA MIXTO, INSTALACIÓN Y ADECUACIÓN DE DATAFONO LECTORA FUENTE CABLE PACTHCORD Y BASE FUENTE Y CUBRE CLAVE, INYECCION DE SO +VER 10.3N, CONFIGURACION CB OK, PRUEBAS OK, SE CAPACITA SOBRE LA WEB SOMOS BANCOLOMBIA, SE CAPACITA SOBRE RETIROS DEPÓSITOS RECUADOS TRASFERENCIAS SALDO Y SE EXPLICA SOBRE CIERRE Y CUADRE DIARIO.</t>
  </si>
  <si>
    <t>106ZZ080-CA000707</t>
  </si>
  <si>
    <t>SANTOS GONZALEZ JOHAN FABIAN</t>
  </si>
  <si>
    <t>TA-25-1237380</t>
  </si>
  <si>
    <t>3007081980</t>
  </si>
  <si>
    <t>PTM  GIRON MISCELANEA SANVA 2</t>
  </si>
  <si>
    <t>FO-25-1730070</t>
  </si>
  <si>
    <t>24/10/2025 24-10 PROGRAMACIÓN REALIZADA POR LA ALIANZA| INSTALACIÓN PROGRAMADA PARA EL 2025-10-28 | 28/10/2025 EN COMUNICACIÓN CON LA SEÑORA MARÍA AL MOVIL 3232369897, SE CONFIRMA DISPONIBILIDAD DE ATENCIÓN PARA EL DÍA DE HOY MARTES 28 D OCTUBRE DESPUÉS DE LAS 2PM,SE CONFIRMA SERVICIO ETHERNET Y ELÉCTRICO. | 28/10/2025 INSTALACIÓN DE CB BANCOLOMBIA MIXTO, INSTALACIÓN Y ADECUACIÓN DE DATAFONO LECTORA FUENTE CABLE PACTHCORD Y BASE FUENTE Y CUBRE CLAVE, INYECCION DE SO +VER 10.3N, CONFIGURACION CB OK, PRUEBAS OK, SE CAPACITA SOBRE LA WEB SOMOS BANCOLOMBIA, SE CAPACITA SOBRE RETIROS DEPÓSITOS RECUADOS TRASFERENCIAS SALDO Y SE EXPLICA SOBRE CIERRE Y CUADRE DIARIO. INSTALACIÓN DE AVISO EXTERIOR EN FACHADA INTERNA DEL CORRESPONSAL AUTORIZADO POR COORDINADOR. 
COMERCIO SIN AVISO PUBLICITARIO, SIN EMBARGO SI ES EL MISMO OBJETIVO COMERCIAL, LA DIRECCION COINCIDE Y LA CÁMARA DE COMERCIO TAMBIEN TIENE EL MISMO NOMBRE DE LISTA DE CHEQUEO.</t>
  </si>
  <si>
    <t>CA000708-106ZZ081</t>
  </si>
  <si>
    <t>TA-25-1237381</t>
  </si>
  <si>
    <t>3007081976</t>
  </si>
  <si>
    <t>PTM CALI CARNES  Y VERDURAS JR</t>
  </si>
  <si>
    <t>FO-25-1730076</t>
  </si>
  <si>
    <t>24/10/2025 24-10 PROGRAMACIÓN REALIZADA POR LA ALIANZA| INSTALACIÓN PROGRAMADA PARA EL 2025-10-28 | 28/10/2025 SE REALIZA APERTURA DE CB BANCOLOMBIA MIXTO, SE INSTALA EQUIPO, ACCESORIOS Y PUBLICIDAD, SE INICIALIZA TERMINAL DE COMERCIO Y SE HABILITA CB, SE REALIZAN PRUEBAS OK. CLIENTE NO CUENTA CON LOS MEDIOS PARA REALIZAR LAS DEMÁS PRUEBAS, SE ENTREGAN 40 ROLLOS.
COMERCIO SIN AVISO PUBLICITARIO, SIN EMBARGO SI ES EL MISMO OBJETIVO COMERCIAL, LA DIRECCION COINCIDE Y LA CÁMARA DE COMERCIO TAMBIEN TIENE EL MISMO NOMBRE DE LISTA DE CHEQUEO.</t>
  </si>
  <si>
    <t>CA000709 - CA000563</t>
  </si>
  <si>
    <t>TA-25-1237382</t>
  </si>
  <si>
    <t>3007081977</t>
  </si>
  <si>
    <t>PTM CALI VARIEDADES A&amp;C</t>
  </si>
  <si>
    <t>FO-25-1730081</t>
  </si>
  <si>
    <t>24/10/2025 24-10 PROGRAMACIÓN REALIZADA POR LA ALIANZA| INSTALACIÓN PROGRAMADA PARA EL 2025-10-28 | 28/10/2025 SE LLAMA AL CLIENTE SE VÁLIDA LA INSTALACIÓN DISPONIBILIDAD Y DIRECCIÓN, SEVISITA EL COMERCIO, SE INSTALA DATAFONO, LECTORA, PINPAD, MAGIC BOX EN APERTURA CB BANCOLOMBIA MIXTO, PRUEBAS OK, TELECARGA TRNA</t>
  </si>
  <si>
    <t>CA000710 - CA000564</t>
  </si>
  <si>
    <t>TA-25-1237383</t>
  </si>
  <si>
    <t>3007081978</t>
  </si>
  <si>
    <t>PTM CALI CENTRO DE SOLUCIONES</t>
  </si>
  <si>
    <t>FO-25-1730083</t>
  </si>
  <si>
    <t>CA000711 - CA000565</t>
  </si>
  <si>
    <t>76364</t>
  </si>
  <si>
    <t>TA-25-1237384</t>
  </si>
  <si>
    <t>3007081981</t>
  </si>
  <si>
    <t>JAMUNDI</t>
  </si>
  <si>
    <t>PTM JAMUNDI DISTRIBUCIONES LU</t>
  </si>
  <si>
    <t>FO-25-1730087</t>
  </si>
  <si>
    <t>24/10/2025 24-10 PROGRAMACIÓN REALIZADA POR LA ALIANZA| INSTALACIÓN PROGRAMADA PARA EL 2025-10-27 | 28/10/2025 SE VISITA ESTABLECIMIENTO, SE REALIZA INSTALACIÓN CORRESPONSAL BANCOLOMBIA MIXTO. TRANSACCIONES DE PRUEBA EXITOSAS. SE CAPACITA Y SE INSTALA PUBLICIDAD COMPLETA. 
COMERCIO SIN AVISO PUBLICITARIO, SIN EMBARGO SI ES EL MISMO OBJETIVO COMERCIAL, LA DIRECCION COINCIDE Y LA CÁMARA DE COMERCIO TAMBIEN TIENE EL MISMO NOMBRE DE LISTA DE CHEQUEO.</t>
  </si>
  <si>
    <t>CA000712 - CA000568</t>
  </si>
  <si>
    <t>86749</t>
  </si>
  <si>
    <t>TA-25-1237387</t>
  </si>
  <si>
    <t>3007081984</t>
  </si>
  <si>
    <t>SIBUNDOY</t>
  </si>
  <si>
    <t>PTM SIBUNDOY DROGUERIA FARMAVI</t>
  </si>
  <si>
    <t>FO-25-1730090</t>
  </si>
  <si>
    <t>24/10/2025 24-10 PROGRAMACIÓN REALIZADA POR LA ALIANZA| INSTALACIÓN PROGRAMADA PARA EL 2025-10-28 | 28/10/2025 SE VISITA EL COMERCIO PARA DAR APERTURA AL CORRESPONSAL, SE INSTALA DATÁFONO CON MAGIC BOX, LECTORA Y BASE, SE DEJA ROLLOS, SE INSTALA PUBLICIDAD, SE CAPACITA Y SE HACE PRUEBAS OK, SOMOS BANCOLOMBIA OK, CORRESPONSAL OPERATIVO, NO PRUEBAS DE PAGO DE FACTURAS POR NO TENER RECURSOS PARA REALIZARLA.</t>
  </si>
  <si>
    <t>CA000714, CA000572</t>
  </si>
  <si>
    <t>TA-25-1237388</t>
  </si>
  <si>
    <t>3007081973</t>
  </si>
  <si>
    <t>PTM BOGOTA PLASTICOS J&amp;E</t>
  </si>
  <si>
    <t>FO-25-1730094</t>
  </si>
  <si>
    <t>24/10/2025 24-10 PROGRAMACIÓN REALIZADA POR LA ALIANZA| INSTALACIÓN PROGRAMADA PARA EL 2025-10-28 | 28/10/2025 SE REALIZA INSTALACIÓN DE CB BANCOLOMBIA SIN NOVEDAD PRUEBA OK SE CREAN USUARIOS OK</t>
  </si>
  <si>
    <t>CA000715 - AE003280</t>
  </si>
  <si>
    <t>ORTIZ MARTINEZ STIVEN</t>
  </si>
  <si>
    <t>TA-25-1237389</t>
  </si>
  <si>
    <t>3007081974</t>
  </si>
  <si>
    <t>PTM BOGOTA VARIEDADES LOREN'SS</t>
  </si>
  <si>
    <t>FO-25-1730098</t>
  </si>
  <si>
    <t>24/10/2025 24-10 PROGRAMACIÓN REALIZADA POR LA ALIANZA| INSTALACIÓN PROGRAMADA PARA EL 2025-10-28 | 28/10/2025 INSTALACIÓN BANCOLOMBIA CON PUBLICIDAD DATAFONO LECTORA ROLLOS BASE FUENTE DATOS SERVICIO OPERATIVO PRUEBAS OK TRNA RBM SE INSTALA CUBRE TECLADO PRUEBAS SOLO CON CONSULTA DE SALDO NO HAY AS HERRAMIENTAS PARA HACER MAS TX
COMERCIO SIN AVISO PUBLICITARIO, SIN EMBARGO SI ES EL MISMO OBJETIVO COMERCIAL, LA DIRECCION COINCIDE Y LA CÁMARA DE COMERCIO TAMBIEN TIENE EL MISMO NOMBRE DE LISTA DE CHEQUEO.</t>
  </si>
  <si>
    <t>CA000716 - CA000536</t>
  </si>
  <si>
    <t>TA-25-1237390</t>
  </si>
  <si>
    <t>3007081975</t>
  </si>
  <si>
    <t>PTM BOGOTA DROGUERIA FARMAPLUS</t>
  </si>
  <si>
    <t>FO-25-1730102</t>
  </si>
  <si>
    <t>24/10/2025 24-10 PROGRAMACIÓN REALIZADA POR LA ALIANZA| INSTALACIÓN PROGRAMADA PARA EL 2025-10-28 | 28/10/2025 INSTALACIÓN DE CORRESPONSAL OK PRUEBA CONSIGNACIÓN OK NO SE REALIZA PRUEBAS DE RETIRO YA QUE CLIENTE NO CUENTA CON TARJETA DE PRUEBA NI PRUEBA DE ADQUIRENCIA POR MISMO MOTIVO</t>
  </si>
  <si>
    <t>CA000717 - CA000537</t>
  </si>
  <si>
    <t>TA-25-1247950</t>
  </si>
  <si>
    <t>3007082072</t>
  </si>
  <si>
    <t>PTM MEDELLIN EL PARCHESITO DEL</t>
  </si>
  <si>
    <t>FO-25-1751674</t>
  </si>
  <si>
    <t>29/10/2025 29-10 PROGRAMACIÓN REALIZADA POR LA ALIANZA| INSTALACIÓN PROGRAMADA PARA EL 2025-10-30 | 30/10/2025 SE INSTALA CB EXITOSAMENTE, COMERCIO SIN AVISO PUBLICITARIO, SIN EMBARGO SI ES EL MISMO OBJETIVO COMERCIAL, LA DIRECCION COINCIDE Y LA CÁMARA DE COMERCIO TAMBIEN TIENE EL MISMO NOMBRE DE LISTA DE CHEQUEO.</t>
  </si>
  <si>
    <t>CA002267 - CA000538</t>
  </si>
  <si>
    <t>TA-25-1247951</t>
  </si>
  <si>
    <t>3007082073</t>
  </si>
  <si>
    <t>PTM MEDELLIN DROGUERIA VIDA MA</t>
  </si>
  <si>
    <t>FO-25-1751675</t>
  </si>
  <si>
    <t>29/10/2025 29-10 PROGRAMACIÓN REALIZADA POR LA ALIANZA| INSTALACIÓN PROGRAMADA PARA EL 2025-10-30</t>
  </si>
  <si>
    <t>CA002268 - CA001922</t>
  </si>
  <si>
    <t>TA-25-1247952</t>
  </si>
  <si>
    <t>3007082074</t>
  </si>
  <si>
    <t>DISTRICOL DESECHABLES JYM</t>
  </si>
  <si>
    <t>FO-25-1751678</t>
  </si>
  <si>
    <t>29/10/2025 29-10 PROGRAMACIÓN REALIZADA POR LA ALIANZA| INSTALACIÓN PROGRAMADA PARA EL 2025-10-30 | 30/10/2025 INSTALACIÓN DE CB PURO OK PUBLICIDAD Y CAPACITACIÓN OK PRUEBAS SOLO CONSULTA DE SALDO NO HAY PARA MÁS CUBRE CLAVE OK NO TELECARGA</t>
  </si>
  <si>
    <t>CA002269</t>
  </si>
  <si>
    <t>TA-25-1247953</t>
  </si>
  <si>
    <t>3007082075</t>
  </si>
  <si>
    <t>DISTRICOL CELUACCESORIOS SANTA</t>
  </si>
  <si>
    <t>FO-25-1751683</t>
  </si>
  <si>
    <t>29/10/2025 29-10 PROGRAMACIÓN REALIZADA POR LA ALIANZA| INSTALACIÓN PROGRAMADA PARA EL 2025-10-30 | 30/10/2025 SE REALIZA INSTALACIÓN DE EQUIPO, CAPACITACIÓN Y INSTALACIÓN DE PUBLICIDAD SE REALIZAN PRUEBAS EXITOSAS SERVICIO OPERATIVO OK</t>
  </si>
  <si>
    <t>CA002270</t>
  </si>
  <si>
    <t>TA-25-1247954</t>
  </si>
  <si>
    <t>3007082076</t>
  </si>
  <si>
    <t>DISTRICOL CANO TIENDA</t>
  </si>
  <si>
    <t>FO-25-1751685</t>
  </si>
  <si>
    <t>29/10/2025 29-10 PROGRAMACIÓN REALIZADA POR LA ALIANZA| INSTALACIÓN PROGRAMADA PARA EL 2025-10-30 | 30/10/2025 VISITA FALLIDA SE LLEGA A LA DIRECCIÓN DADA Y NO SE ENCUENTRA EL COMERCIO INDICADO PARA LA INSTALACIÓN TAMPOCO CONOCEN LA PERSONA  Y NO CONTESTAN LLAMADAS NI WPP EN EL NÚMERO DE CONTACTO SE ESTÁ EN LA DIRECCIÓN Y LOCAL CORRECTO PERO NO SABEN NADA SOBRE LA INSTALACIÓN</t>
  </si>
  <si>
    <t>TA-25-1247955</t>
  </si>
  <si>
    <t>3007082077</t>
  </si>
  <si>
    <t>DISTRICOL CICANET</t>
  </si>
  <si>
    <t>FO-25-1751686</t>
  </si>
  <si>
    <t>29/10/2025 29-10 PROGRAMACIÓN REALIZADA POR LA ALIANZA| INSTALACIÓN PROGRAMADA PARA EL 2025-10-31 | 31/10/2025 SE REALIZA INSTALACIÓN DE EQUIPO, SE REALIZA CAPACITACIÓN SE INSTALA PUBLICIDAD SE REALIZAN PRUEBAS EXITOSAS SERVICIO OPERATIVO OK</t>
  </si>
  <si>
    <t>CA002272</t>
  </si>
  <si>
    <t>TA-25-1247956</t>
  </si>
  <si>
    <t>3007082078</t>
  </si>
  <si>
    <t>DISTRICOL TDA. MARIA AUXILIADO</t>
  </si>
  <si>
    <t>FO-25-1751689</t>
  </si>
  <si>
    <t>29/10/2025 29-10 PROGRAMACIÓN REALIZADA POR LA ALIANZA| INSTALACIÓN PROGRAMADA PARA EL 2025-10-30 | 30/10/2025 SE REALIZA INSTALACIÓN DE EQUIPO, SE REALIZA CAPACITACIÓN Y SE INSTALA PUBLICIDAD SE REALIZAN PRUEBAS EXITOSAS SERVICIO OPERATIVO OK</t>
  </si>
  <si>
    <t>CA002273</t>
  </si>
  <si>
    <t>TA-25-1247957</t>
  </si>
  <si>
    <t>3007082071</t>
  </si>
  <si>
    <t>DISTRICOL TU SALUD DROGUERIA</t>
  </si>
  <si>
    <t>FO-25-1751693</t>
  </si>
  <si>
    <t>29/10/2025 29-10 PROGRAMACIÓN REALIZADA POR LA ALIANZA| INSTALACIÓN PROGRAMADA PARA EL 2025-10-30 | 30/10/2025 SE HACE IMPLEMENTACION OK EQUIPOS OPERATIVOS PRUEBAS EXITOSAS SOMOS BANCOLOMBIA ACTIVO</t>
  </si>
  <si>
    <t>CA002274</t>
  </si>
  <si>
    <t>5154</t>
  </si>
  <si>
    <t>TA-25-1247958</t>
  </si>
  <si>
    <t>3007082033</t>
  </si>
  <si>
    <t>CAUCASIA</t>
  </si>
  <si>
    <t>DISTRICOL JC SUMINISTROS TECNO</t>
  </si>
  <si>
    <t>FO-25-1751699</t>
  </si>
  <si>
    <t>29/10/2025 29-10 PROGRAMACIÓN REALIZADA POR LA ALIANZA| INSTALACIÓN PROGRAMADA PARA EL 2025-10-31 | 31/10/2025 SE REALIZA APERTURA DE CB, SE INSTALA DATAFONO PLACA 1191580, LECTORA SYMBOL PLACA 953333, AVISO EXTERIOR, FLANGGER, DISPLAY HORARIO, CUBRE CLAVES Y ACCESORIOS, SE REALIZAN PRUEBAS Y CAPACITACIÓN DEJANDO CB LISTO PARA OPERACIONES.
NOTA: SE VERIFICA CUPO EN PLATAFORMA DE SOMOS.</t>
  </si>
  <si>
    <t>CA002275</t>
  </si>
  <si>
    <t>5308</t>
  </si>
  <si>
    <t>TA-25-1247959</t>
  </si>
  <si>
    <t>3007082034</t>
  </si>
  <si>
    <t>GIRARDOTA</t>
  </si>
  <si>
    <t>DISTRICOL PELUQUERÍA CANINA</t>
  </si>
  <si>
    <t>FO-25-1751703</t>
  </si>
  <si>
    <t>29/10/2025 29-10 PROGRAMACIÓN REALIZADA POR LA ALIANZA| INSTALACIÓN PROGRAMADA PARA EL 2025-10-31 | 31/10/2025 SE REALIZA INSTALACIÓN DE EQUIPO, SE REALIZA CAPACITACIÓN Y SE INSTALA PUBLICIDAD SE REALIZAN PRUEBAS EXITOSAS SERVICIO OPERATIVO OK 
COMERCIO SIN AVISO PUBLICITARIO, SIN EMBARGO SI ES EL MISMO OBJETIVO COMERCIAL, LA DIRECCION COINCIDE Y LA CÁMARA DE COMERCIO TAMBIEN TIENE EL MISMO NOMBRE DE LISTA DE CHEQUEO.</t>
  </si>
  <si>
    <t>CA002276</t>
  </si>
  <si>
    <t>5310</t>
  </si>
  <si>
    <t>TA-25-1247960</t>
  </si>
  <si>
    <t>3007082044</t>
  </si>
  <si>
    <t>GOMEZ PLATA</t>
  </si>
  <si>
    <t>DISTRICOL ZONA PLAY.NET</t>
  </si>
  <si>
    <t>FO-25-1751707</t>
  </si>
  <si>
    <t>29/10/2025 29-10 PROGRAMACIÓN REALIZADA POR LA ALIANZA| INSTALACIÓN PROGRAMADA PARA EL 2025-10-31 | 31/10/2025 SE INSTALA CB EXITOSAMENTE</t>
  </si>
  <si>
    <t>CA002277</t>
  </si>
  <si>
    <t>5604</t>
  </si>
  <si>
    <t>TA-25-1247961</t>
  </si>
  <si>
    <t>3007082054</t>
  </si>
  <si>
    <t>REMEDIOS</t>
  </si>
  <si>
    <t>DISTRICOL TECNOLOGIA NEXUS 1</t>
  </si>
  <si>
    <t>FO-25-1751710</t>
  </si>
  <si>
    <t>29/10/2025 29-10 PROGRAMACIÓN REALIZADA POR LA ALIANZA| INSTALACIÓN PROGRAMADA PARA EL 2025-10-30 | 30/10/2025 SE INSTALAN EQUIPOS OK</t>
  </si>
  <si>
    <t>CA002278</t>
  </si>
  <si>
    <t>5659</t>
  </si>
  <si>
    <t>TA-25-1247962</t>
  </si>
  <si>
    <t>3007082060</t>
  </si>
  <si>
    <t>SAN JUAN DE URABA</t>
  </si>
  <si>
    <t>DISTRICOL MISCELANEA  OFERTON</t>
  </si>
  <si>
    <t>FO-25-1751716</t>
  </si>
  <si>
    <t>29/10/2025 29-10 PROGRAMACIÓN REALIZADA POR LA ALIANZA| INSTALACIÓN PROGRAMADA PARA EL 2025-10-31 | 31/10/2025 SE REALIZA INSTALACIÓN DE CORRESPONSAL BANCOLOMBIA PURO OK, EQUIPOS INSTALADOS OPERATIVOS, PRUEBAS DE TRANSACCIÓNES EXITOSAS, SE CAPACITA PERSONAL EN EL USO OPERATIVO DEL EQUIPO OK, SOMOS BANCOLOMBIA OK, CLIENTE CB VALIDA SALDO EN CERO DESPUES DE LA INSTALACIÓN OK, CB SE DEJA OPERATIVO SIN NOVEDAD
COMERCIO SIN AVISO PUBLICITARIO, SIN EMBARGO SI ES EL MISMO OBJETIVO COMERCIAL, LA DIRECCION COINCIDE Y LA CÁMARA DE COMERCIO TAMBIEN TIENE EL MISMO NOMBRE DE LISTA DE CHEQUEO.</t>
  </si>
  <si>
    <t>CA002279</t>
  </si>
  <si>
    <t>5736</t>
  </si>
  <si>
    <t>SEGOVIA</t>
  </si>
  <si>
    <t>TA-25-1247965</t>
  </si>
  <si>
    <t>3007082062</t>
  </si>
  <si>
    <t>DISTRICOL DISTRIBUIDORA C&amp;G</t>
  </si>
  <si>
    <t>FO-25-1751722</t>
  </si>
  <si>
    <t>29/10/2025 29-10 PROGRAMACIÓN REALIZADA POR LA ALIANZA| INSTALACIÓN PROGRAMADA PARA EL 2025-10-31 | 31/10/2025 SE INSTALAN EQUIPOS OK, SE ESCALA CASO CON EDISON SAMBONY SE ESPERA RESPUESTA POR PARTE DE ENTIDAD</t>
  </si>
  <si>
    <t>CA002281</t>
  </si>
  <si>
    <t>5837</t>
  </si>
  <si>
    <t>TA-25-1247966</t>
  </si>
  <si>
    <t>3007082035</t>
  </si>
  <si>
    <t>TURBO</t>
  </si>
  <si>
    <t>DISTRICOL BLOQUERA YFERRETERIA</t>
  </si>
  <si>
    <t>FO-25-1751726</t>
  </si>
  <si>
    <t>29/10/2025 29-10 PROGRAMACIÓN REALIZADA POR LA ALIANZA| INSTALACIÓN PROGRAMADA PARA EL 2025-10-31 | 31/10/2025 SE INSTALA DATAFONO,MAGIBOX.LECTORA.BASE DATAFONO.PUBLICIDAD. SE DA CAPACITACION DE MANEJO DE EQUIPO Y PLATAFORMA SOMOS BANCOLOMBIA. SE HACEN PRUEBAS DE RETIRO,CONSULTA DE SALDO,CONSIGNACON, PRUEBA DE LECTORA Y SE DEJA TODO OK</t>
  </si>
  <si>
    <t>CA002282</t>
  </si>
  <si>
    <t>5856</t>
  </si>
  <si>
    <t>TA-25-1247967</t>
  </si>
  <si>
    <t>3007082065</t>
  </si>
  <si>
    <t>VALPARAISO</t>
  </si>
  <si>
    <t>DISTRICOL EL ENGANCHE</t>
  </si>
  <si>
    <t>FO-25-1751728</t>
  </si>
  <si>
    <t>29/10/2025 29-10 PROGRAMACIÓN REALIZADA POR LA ALIANZA| INSTALACIÓN PROGRAMADA PARA EL 2025-10-31 | 31/10/2025 INSTALACIÓN DE CB PURO OK PUBLICIDAD Y CAPACITACIÓN OK PRUEBAS SOLO CONSULTA DE SALDO NO HAY PARA MÁS CUBRE CLAVE OK NO TELECARGA</t>
  </si>
  <si>
    <t>CA002283</t>
  </si>
  <si>
    <t>TA-25-1247968</t>
  </si>
  <si>
    <t>3007082069</t>
  </si>
  <si>
    <t>DISTRICOL MIS 2 AMORES</t>
  </si>
  <si>
    <t>FO-25-1751731</t>
  </si>
  <si>
    <t>29/10/2025 29-10 PROGRAMACIÓN REALIZADA POR LA ALIANZA| INSTALACIÓN PROGRAMADA PARA EL 2025-10-30 | 30/10/2025 SE REALIZA VISITA TÉCNICA, SE INSTALA DATAFONO, LECTOR DE BARRAS Y SUS ACCESORIOS, SE INSTALA PUBLICIDAD DE BANCOLOMBIA,SE CAPACITA A LA PERSONA ENCARGADA DEL CB, SE REALIZAN PRUEBAS EXITOSAS, EQUIPO FUNCIONA CORRECTAMENTE, CB QUEDA OPERATIVO.
COMERCIO SIN AVISO PUBLICITARIO, SIN EMBARGO SI ES EL MISMO OBJETIVO COMERCIAL, LA DIRECCION COINCIDE Y LA CÁMARA DE COMERCIO TAMBIEN TIENE EL MISMO NOMBRE DE LISTA DE CHEQUEO.</t>
  </si>
  <si>
    <t>CA002284</t>
  </si>
  <si>
    <t>DE AGUAS MUÑOZ DAVID JOSE</t>
  </si>
  <si>
    <t>13430</t>
  </si>
  <si>
    <t>TA-25-1247969</t>
  </si>
  <si>
    <t>3007082045</t>
  </si>
  <si>
    <t>MAGANGUE</t>
  </si>
  <si>
    <t>DISTRICOL RESTAURANTE TERMINAL</t>
  </si>
  <si>
    <t>FO-25-1751734</t>
  </si>
  <si>
    <t>29/10/2025 29-10 PROGRAMACIÓN REALIZADA POR LA ALIANZA| INSTALACIÓN PROGRAMADA PARA EL 2025-10-30 | 30/10/2025 SE VISITA SITIO SE VERIFICA INFORMACIÓN SE REALIZA INSTALACIÓN DE DATÁFONO, ESCÁNER, MAGIC BOX, FUENTE PODER, CABLE DE RED, BASE SOPORTE, PAPELERIA, PUBLICIDAD, CAPACITACIÓN, PRUEBA TRX EXITOSAS.</t>
  </si>
  <si>
    <t>CA002285</t>
  </si>
  <si>
    <t>SANTOS GUZMAN CHRISTIAN FELIPE</t>
  </si>
  <si>
    <t>15759</t>
  </si>
  <si>
    <t>TA-25-1247971</t>
  </si>
  <si>
    <t>3007082068</t>
  </si>
  <si>
    <t>SOGAMOSO</t>
  </si>
  <si>
    <t>DISTRICOL SERVICIOS MR</t>
  </si>
  <si>
    <t>FO-25-1751736</t>
  </si>
  <si>
    <t>29/10/2025 29-10 PROGRAMACIÓN REALIZADA POR LA ALIANZA| INSTALACIÓN PROGRAMADA PARA EL 2025-10-30 | 30/10/2025 S E LOGRA COMUNICACION CON EL CLIENTE, CLIENTE CUENTA CON SERVICIO DE INTERNET Y CABLE, CLIENTE CONFIRMA PARA LAS 11AM. | 30/10/2025 SE REALZIA INSTALACION DE EQUIPOS Y PUBLICIDAD, SE CAPACITA AL CLIENTE Y SE HACEN PRUEBAS OK. NO SE REALIZAN TODAS LAS TX POR FALTA DE TARJETA</t>
  </si>
  <si>
    <t>CA002286</t>
  </si>
  <si>
    <t>SOLER HOYOS CRISTIAN LEONARDO</t>
  </si>
  <si>
    <t>17433</t>
  </si>
  <si>
    <t>TA-25-1247974</t>
  </si>
  <si>
    <t>3007082048</t>
  </si>
  <si>
    <t>MANZANARES</t>
  </si>
  <si>
    <t>DISTRICOL  INTERPLAY SARA MARI</t>
  </si>
  <si>
    <t>FO-25-1751739</t>
  </si>
  <si>
    <t>29/10/2025 29-10 PROGRAMACIÓN REALIZADA POR LA ALIANZA| INSTALACIÓN PROGRAMADA PARA EL 2025-10-30 | 30/10/2025 SE REALIZA INSTALACIÓN DE DATAFONO Y ACCESORIOS BASE LECTOR 40 ROLLOS Y PUBLICIDAD SE CAPACITA AL COMERCIO SE CREAN USUARIOS SE HACEN PRUEBAS DE CONSULTA DE SALDO SOLAMENTE YA QUE USUARIO NO CUENTA CON HERRAMIENTAS PARA REALIZAR RETIRO RECAUDO NI CONSIGNACIÓN SERVICIO OK</t>
  </si>
  <si>
    <t>CA002287</t>
  </si>
  <si>
    <t>AGUIRRE HENAO RAUL EDUARDO</t>
  </si>
  <si>
    <t>19001</t>
  </si>
  <si>
    <t>TA-25-1247975</t>
  </si>
  <si>
    <t>3007082058</t>
  </si>
  <si>
    <t>DISTRICOL FARMA OFER SAN JOSE</t>
  </si>
  <si>
    <t>FO-25-1751745</t>
  </si>
  <si>
    <t>29/10/2025 29-10 PROGRAMACIÓN REALIZADA POR LA ALIANZA| INSTALACIÓN PROGRAMADA PARA EL 2025-10-31 | 31/10/2025 SE INGRESA SE INSTALA  BASE FUENTE CABLE DE RED CUBRE CLAVE OK SE INSTALA SISTEMA OPERATIVO VERSION CREACION DE USUARIOS CAPACITACION AL CB SE HACEN PRUEBAS OK SE INSTALA AVISO EXTERIOR FLANGED DISPLAY LEGAL MARCACION DE CODIGO DEL PUNTO ENTREGA DE ROLLOS RBM TELECARGA DRNA</t>
  </si>
  <si>
    <t>CA002288</t>
  </si>
  <si>
    <t>GIMBUEL LASSO LUIS GERMAN</t>
  </si>
  <si>
    <t>TA-25-1247976</t>
  </si>
  <si>
    <t>3007082059</t>
  </si>
  <si>
    <t>DISTRICOL TECNO PRESTAMOS</t>
  </si>
  <si>
    <t>FO-25-1751746</t>
  </si>
  <si>
    <t>29/10/2025 29-10 PROGRAMACIÓN REALIZADA POR LA ALIANZA| INSTALACIÓN PROGRAMADA PARA EL 2025-10-31 | 31/10/2025 SE INGRESA SE INSTALA BASE FUENTE CABLE DE RED SE INSTALA SISTEMA OPERATIVO VERSION CAPACITACION AL CB COMO REFUERZO CO SULTA SALDO RECARGA DE NEQUI INFORMA YA RECORDO COMO SE MANEJA LA OARTE OPERATIVA YA QUE TRABAJO EN UN CORRESPONSAL CREACION DE USUARIOS CUBRE CLAVE PRUEBAS OK TELECARGA DRNA SE INSTALA AVISO EXTERIOR FLANGED DISPLAY LEGAL MAECACION CODIGO DEL PUNTO ENTREGA ROLLOS RBM</t>
  </si>
  <si>
    <t>CA002289</t>
  </si>
  <si>
    <t>20011</t>
  </si>
  <si>
    <t>TA-25-1247977</t>
  </si>
  <si>
    <t>3007082026</t>
  </si>
  <si>
    <t>AGUACHICA</t>
  </si>
  <si>
    <t>DISTRICOL EDS SAN ANDRES</t>
  </si>
  <si>
    <t>FO-25-1751749</t>
  </si>
  <si>
    <t>29/10/2025 29-10 PROGRAMACIÓN REALIZADA POR LA ALIANZA| INSTALACIÓN PROGRAMADA PARA EL 2025-10-30 | 30/10/2025 SE REALIZA INSTALACIÓN DE DATÁFONO, LECTOR DE BARRAS, MAGIBOX, PASCORD, BASE DE DATÁFONO, 40 ROLLOS, SE CAPACITA CORRESPONSAL, SOMOS BANCOLOMBIA, PRUEBAS Y LIMPIEZA DE EQUIPOS OK, SE INSTALA PUBLICIDAD, SE ENTREGA MANUAL OPERATIVO REDEBAN POR EL USUARIO DE PRUEBA.</t>
  </si>
  <si>
    <t>CA002290</t>
  </si>
  <si>
    <t>TA-25-1247978</t>
  </si>
  <si>
    <t>3007082047</t>
  </si>
  <si>
    <t>DISTRICOL COFFE MARK 3</t>
  </si>
  <si>
    <t>FO-25-1751754</t>
  </si>
  <si>
    <t>29/10/2025 29-10 PROGRAMACIÓN REALIZADA POR LA ALIANZA| INSTALACIÓN PROGRAMADA PARA EL 2025-10-30 | 30/10/2025 SE REALIZA VISITA TÉCNICA PARÁ APERTURA DE CB, SE INSTALA DATAFONO PLACA 1191429, LECTORA SYMBOL PLACA 519941, AVISO EXTERIOR, FLANGGER, DISPLAY HORARIO, OTROS LUGARES, CUBRE CLAVES Y ACCESORIOS, SE REALIZAN PRUEBAS Y CAPACITACIÓN DEJANDO CB LISTOS PARA OPERACIONES.
NOTA: EL CB QUEDA INTERNO EN EL COMERCIO EURO QUIEN AUTORIZA INSTALAR AVISO EXTERIOR PARA PUBLICIDAD DEL CB.</t>
  </si>
  <si>
    <t>CA002291</t>
  </si>
  <si>
    <t>23555</t>
  </si>
  <si>
    <t>TA-25-1247979</t>
  </si>
  <si>
    <t>3007082057</t>
  </si>
  <si>
    <t>PLANETA RICA</t>
  </si>
  <si>
    <t>DISTRICOL MISCELANEA Y ABARROT</t>
  </si>
  <si>
    <t>FO-25-1751756</t>
  </si>
  <si>
    <t>29/10/2025 29-10 PROGRAMACIÓN REALIZADA POR LA ALIANZA| INSTALACIÓN PROGRAMADA PARA EL 2025-10-30 | 30/10/2025 SE REALIZA INSTALACIÓN DE CORRESPONSAL BANCOLOMBIA PURO OK, EQUIPOS INSTALADOS OPERATIVOS, PRUEBAS DE TRANSACCIÓNES EXITOSAS, PERSONAL CAPACITADO EN EL USO OPERATIVO DEL DATÁFONO, SOMOS BANCOLOMBIA OK, SE CREAN USUARIOS OK, CLIENTE CB VALIDA SALDO EN CERO DESPUES DE LA INSTALACIÓN OK, CB SE DEJA OPERATIVO SIN NOVEDAD OK</t>
  </si>
  <si>
    <t>CA002292</t>
  </si>
  <si>
    <t>44430</t>
  </si>
  <si>
    <t>TA-25-1247981</t>
  </si>
  <si>
    <t>3007082046</t>
  </si>
  <si>
    <t>MAICAO</t>
  </si>
  <si>
    <t>DISTRICOL JHOJANCEL</t>
  </si>
  <si>
    <t>FO-25-1751763</t>
  </si>
  <si>
    <t>29/10/2025 29-10 PROGRAMACIÓN REALIZADA POR LA ALIANZA| INSTALACIÓN PROGRAMADA PARA EL 2025-10-31 | 31/10/2025 SE REALIZA APERTURA DE CB, SE INSTALA DATAFONO, LECTOR, PUBLICIDAD Y PINPAD YA QUE EL CLIENTE CUENTA CON VIDRIO DE SEGURIDAD Y FUE AUTORIDAZADO, SE ENTREGA 40 ROLLOS, SE BRINDA CAPACITACIÓN, SE REALIZAN PRUEBAS DE RETIRO, DEPÓSITO, TRANSFERENCIA, Y. ASI MISMO SE VALIDAN LAS DEMAS TRANSACCIONES, DEJANDO SERVICIO FUNCIONAL AL 100%, EL LOCAL LO TIENE RECIENTEMENTE EL CLIENTE POR ENDE LO ESTA REMODELANDO, YA QUE ANTES ERA OTRO NEGOCIO 
COMERCIO SIN AVISO PUBLICITARIO, SIN EMBARGO SI ES EL MISMO OBJETIVO COMERCIAL, LA DIRECCION COINCIDE Y LA CÁMARA DE COMERCIO TAMBIEN TIENE EL MISMO NOMBRE DE LISTA DE CHEQUEO.</t>
  </si>
  <si>
    <t>CA002294</t>
  </si>
  <si>
    <t>MONTES DIAZ JOHN FRED</t>
  </si>
  <si>
    <t>TA-25-1247982</t>
  </si>
  <si>
    <t>3007082050</t>
  </si>
  <si>
    <t>DISTRICOL BOMBAS Y PLAT PASTO</t>
  </si>
  <si>
    <t>FO-25-1751767</t>
  </si>
  <si>
    <t>29/10/2025 29-10 PROGRAMACIÓN REALIZADA POR LA ALIANZA| INSTALACIÓN PROGRAMADA PARA EL 2025-10-30 | 30/10/2025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</si>
  <si>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CA002295</t>
  </si>
  <si>
    <t>TA-25-1247983</t>
  </si>
  <si>
    <t>3007082051</t>
  </si>
  <si>
    <t>DISTRICOL AGE SEGUROS SYCO</t>
  </si>
  <si>
    <t>FO-25-1751771</t>
  </si>
  <si>
    <t>CA002296</t>
  </si>
  <si>
    <t>TA-25-1247984</t>
  </si>
  <si>
    <t>3007082052</t>
  </si>
  <si>
    <t>DISTRICOL AS SER TRANS ON LINE</t>
  </si>
  <si>
    <t>FO-25-1751773</t>
  </si>
  <si>
    <t>29/10/2025 29-10 PROGRAMACIÓN REALIZADA POR LA ALIANZA| INSTALACIÓN PROGRAMADA PARA EL 2025-10-31 | 31/10/2025 SE LLEGÓ AL PUNTO PARA EJECUTAR LA IMPLEMENTACIÓN DE CB BANCOLOMBIA POR PARTE DE LA ALIANZA DISTRICOL PERO SE ENCONTRÓ OTRO CORRESPONSAL A MENOS DE 50 M POR LO QUE SE ESCALÓ LA NOVEDAD A RBM Y BANCOLOMBIA NOTIFICANDO A LA HORA QUE LA IMPLEMENTACIÓN DEBE SER CANCELADA SE NOTIFICA AL CLIENTE EL MOTIVO POR EL CUAL NO SE HACE LA IMPLEMENTACIÓN, NO SE ENTREGA NINGÚN ELEMENTO POR ACTIVIDAD CANCELADA.</t>
  </si>
  <si>
    <t>TA-25-1247985</t>
  </si>
  <si>
    <t>3007082053</t>
  </si>
  <si>
    <t>DISTRICOL DROG RUMIFARMA</t>
  </si>
  <si>
    <t>FO-25-1751775</t>
  </si>
  <si>
    <t>29/10/2025 29-10 PROGRAMACIÓN REALIZADA POR LA ALIANZA| INSTALACIÓN PROGRAMADA PARA EL 2025-10-31 | 31/10/2025 SE REALIZÓ LA INSTALACIÓN DE EQUIPOS PUBLICIDAD Y ACCESORIOS PARA APERTURA CB BANCOLOMBIA SE DIO CAPACITACIÓN MANEJO DE DATÁFONO CB Y SOMOS BANCOLOMBIA SE EJECUTAN PRUEBAS TX EXITOSAS QUEDA OPERATIVO.</t>
  </si>
  <si>
    <t>CA002298</t>
  </si>
  <si>
    <t>52354</t>
  </si>
  <si>
    <t>TA-25-1247986</t>
  </si>
  <si>
    <t>3007082039</t>
  </si>
  <si>
    <t>IMUES</t>
  </si>
  <si>
    <t>DISTRICOL MARK DE LA ESTACION</t>
  </si>
  <si>
    <t>FO-25-1751778</t>
  </si>
  <si>
    <t>29/10/2025 29-10 PROGRAMACIÓN REALIZADA POR LA ALIANZA| INSTALACIÓN PROGRAMADA PARA EL 2025-10-30 | 30/10/2025 SE REALIZÓ LA INSTALACIÓN DE EQUIPOS PUBLICIDAD Y ACCESORIOS PARA APERTURA CB BANCOLOMBIA SE DIO CAPACITACIÓN MANEJO DE DATÁFONO CB Y SOMOS BANCOLOMBIA SE EJECUTAN PRUEBAS TX EXITOSAS QUEDA OPERATIVO</t>
  </si>
  <si>
    <t>CA002299</t>
  </si>
  <si>
    <t>52378</t>
  </si>
  <si>
    <t>TA-25-1247988</t>
  </si>
  <si>
    <t>3007082041</t>
  </si>
  <si>
    <t>LA CRUZ</t>
  </si>
  <si>
    <t>DISTRICOL MASCOTIENDA LA CRUZ</t>
  </si>
  <si>
    <t>FO-25-1751783</t>
  </si>
  <si>
    <t>29/10/2025 29-10 PROGRAMACIÓN REALIZADA POR LA ALIANZA| INSTALACIÓN PROGRAMADA PARA EL 2025-10-31 | 31/10/2025 SE VISITA CLIENTE EN UBICACIÓN INDICADA POR ELLA YA QUE EN ZONA NO HAY NOMENCLATURA. AL LLEGAR AL COMERCIO SE EVIDENCIA QUE EL NOMBRE DEL COMERCIO ES FARMACENTER LA HUMANIDAD 2 Y NO MASCOTIENDA LA CRUZ. SE SOLICITA CÁMARA DE COMERCIO Y EN ELLA EL NOMBRE ES MASCOTIENDA LA CRUZ Y LA DIRECCIÓN ES LA MISMA DEL CORREO ELECTRÓNICO. SE ESCALA A REDEBAN Y LA RESPUESTA ES QUE NO SE PROCEDA A INSTALAR YA QUE LA CÁMARA DE COMERCIO NO COINCIDE CON EL COMERCIO QUE SE VISITA. SE CANCELA INSTALACION PORQUE NOMBRE DE COMERCIO NO COINCIDE CON CAMARA DE COMERCIO</t>
  </si>
  <si>
    <t>52683</t>
  </si>
  <si>
    <t>TA-25-1247991</t>
  </si>
  <si>
    <t>3007082066</t>
  </si>
  <si>
    <t>SANDONA</t>
  </si>
  <si>
    <t>DISTRICOL JADE STORE SANDONA</t>
  </si>
  <si>
    <t>FO-25-1751790</t>
  </si>
  <si>
    <t>29/10/2025 29-10 PROGRAMACIÓN REALIZADA POR LA ALIANZA| INSTALACIÓN PROGRAMADA PARA EL 2025-10-30 | 30/10/2025 SE VISITA EL COMERCIO PARA APERTURA DEL CB, SE INSTALA DATÁFONO CON MAGIC BOX, CABLEADO, BASE Y LECTORA, SE DEJA ROLLOS, SE INSTALA PUBLICIDAD, SE HACE CAPACITACIÓN OK, SE HACE PRUEBAS OK, SOMOS BANCOLOMBIA OK, NO SE HACE PRUEBAS DE RECAUDO POR NO TENER RECURSOS PARA HACERLO, CB OPERATIVO 
COMERCIO SIN AVISO PUBLICITARIO, SIN EMBARGO SI ES EL MISMO OBJETIVO COMERCIAL, LA DIRECCION COINCIDE Y LA CÁMARA DE COMERCIO TAMBIEN TIENE EL MISMO NOMBRE DE LISTA DE CHEQUEO.</t>
  </si>
  <si>
    <t>CA002303</t>
  </si>
  <si>
    <t>TA-25-1247992</t>
  </si>
  <si>
    <t>3007082063</t>
  </si>
  <si>
    <t>DISTRICOL VIDNATURS-SPA</t>
  </si>
  <si>
    <t>FO-25-1751796</t>
  </si>
  <si>
    <t>29/10/2025 29-10 PROGRAMACIÓN REALIZADA POR LA ALIANZA| INSTALACIÓN PROGRAMADA PARA EL 2025-10-31 | 31/10/2025 SE VISITA EL COMERCIO PARA DAR APERTURA AL CB, SE INSTALA DATÁFONO CON LECTORA, MAGIC BOX, CABLEADO, BASE, SE INSTALA PUBLICIDAD, SE HACE PRUEBAS EXCEPTO DE RECAUDO POR NO TENER MEDIOS PARA HACERLA, SE CAPACITA OK, SOMOS BANCOLOMBIA OK, CB OPERATIVO</t>
  </si>
  <si>
    <t>CA002304</t>
  </si>
  <si>
    <t>66001</t>
  </si>
  <si>
    <t>TA-25-1247993</t>
  </si>
  <si>
    <t>3007082055</t>
  </si>
  <si>
    <t>RISARALDA</t>
  </si>
  <si>
    <t>DISTRICOL HUEVOS Y MAS SANTI</t>
  </si>
  <si>
    <t>FO-25-1751799</t>
  </si>
  <si>
    <t>29/10/2025 29-10 PROGRAMACIÓN REALIZADA POR LA ALIANZA| INSTALACIÓN PROGRAMADA PARA EL 2025-10-30 | 30/10/2025 SE INSTALA DATÁFONO RBM, BASE, LECTORA, FLANGER, DISPLAY LEGAL, AVISO EXTERIOR Y SE ENTREGAN 40 ROLLOS, SE REALIZAN PRUEBAS OK.
COMERCIO SIN AVISO PUBLICITARIO, SIN EMBARGO SI ES EL MISMO OBJETIVO COMERCIAL, LA DIRECCION COINCIDE Y LA CÁMARA DE COMERCIO TAMBIEN TIENE EL MISMO NOMBRE DE LISTA DE CHEQUEO.</t>
  </si>
  <si>
    <t>CA002305</t>
  </si>
  <si>
    <t>TA-25-1247994</t>
  </si>
  <si>
    <t>3007082056</t>
  </si>
  <si>
    <t>DISTRICOL PAPELERIA ALAN JU</t>
  </si>
  <si>
    <t>FO-25-1751801</t>
  </si>
  <si>
    <t>29/10/2025 29-10 PROGRAMACIÓN REALIZADA POR LA ALIANZA| INSTALACIÓN PROGRAMADA PARA EL 2025-10-30 | 30/10/2025 SE LLEGA AL PUNTO, SE EVIDENCIA QUE HAY OTRO CB UNO A UNO CERCA, SE ESCALA CON RBM EL CASO Y SE QUEDA A LA ESPERA DE UNA RESPUESTA.</t>
  </si>
  <si>
    <t>70708</t>
  </si>
  <si>
    <t>TA-25-1247995</t>
  </si>
  <si>
    <t>3007082064</t>
  </si>
  <si>
    <t>SAN MARCOS</t>
  </si>
  <si>
    <t>DISTRICOL DROGUERÍA FARMASUCRE</t>
  </si>
  <si>
    <t>FO-25-1751804</t>
  </si>
  <si>
    <t>29/10/2025 29-10 PROGRAMACIÓN REALIZADA POR LA ALIANZA| INSTALACIÓN PROGRAMADA PARA EL 2025-10-31 | 31/10/2025 SE VISITA COMERCIO PARA INSTALACIÓN DEL CB, PERO NO ES POSIBLE REALIZAR LA APERTURA YA QUE SE ESCALÓ EL CASO CON RBM, PUESTO QUE EL BARRIO NO CONCUERDA CON EL DE LA ORDEN DE SERVICIO, LA RESPUESTA DADA POR LA ENTIDAD ES CANCELAR LA IMPLEMENTACIÓN.</t>
  </si>
  <si>
    <t>73283</t>
  </si>
  <si>
    <t>TA-25-1247996</t>
  </si>
  <si>
    <t>3007082036</t>
  </si>
  <si>
    <t>FRESNO</t>
  </si>
  <si>
    <t>DISTRICOL PAPELERIA DEL NORTE</t>
  </si>
  <si>
    <t>FO-25-1751810</t>
  </si>
  <si>
    <t>29/10/2025 29-10 PROGRAMACIÓN REALIZADA POR LA ALIANZA| INSTALACIÓN PROGRAMADA PARA EL 2025-10-31 | 31/10/2025 SE INSTALA CB BANCOLOMBIA SIN NOVEDAD. SE CAPACITA A LA SEÑORA EDILSA VALENCIA, EN EL MANEJO DEL DATÁFONO Y SOMOS BANCOLOMBIA. SE HACEN LAS PRUEBAS DE TRANSACCIONES TODO OK. SE COLOCA AVISTÓ EXTERIOR EN LA PUERTA PARA PONER Y QUITAR, PORQUE EL DUEÑO DEL EDIFICIO NO DEJÓ COLOCAR EL AVISO EN EL COMERCIO ARRENDADO.</t>
  </si>
  <si>
    <t>CA002308</t>
  </si>
  <si>
    <t>VARGAS HERRERA JHON JAIRO</t>
  </si>
  <si>
    <t>TA-25-1247997</t>
  </si>
  <si>
    <t>3007082030</t>
  </si>
  <si>
    <t>DISTRICOL ARTIKA CALI</t>
  </si>
  <si>
    <t>FO-25-1751812</t>
  </si>
  <si>
    <t>29/10/2025 29-10 PROGRAMACIÓN REALIZADA POR LA ALIANZA| INSTALACIÓN PROGRAMADA PARA EL 2025-10-31 | 31/10/2025 SE LLAMA AL CLIENTE SE VÁLIDA LA INSTALACIÓN CB DISPONIBILIDAD Y DIRECCIÓN, SE VISITA EL COMERCIO SE INSTALA DATAFONO, LECTORA, ACCESORIOS EN APERTURA CB BANCOLOMBIA PURO, SE CAPACITA, PRUEBAS OK, TELECARGA TRNA</t>
  </si>
  <si>
    <t>CA002309</t>
  </si>
  <si>
    <t>TA-25-1247998</t>
  </si>
  <si>
    <t>3007082031</t>
  </si>
  <si>
    <t>DISTRICOL  SALUD Y BIENESTAR 2</t>
  </si>
  <si>
    <t>FO-25-1751817</t>
  </si>
  <si>
    <t>29/10/2025 29-10 PROGRAMACIÓN REALIZADA POR LA ALIANZA| INSTALACIÓN PROGRAMADA PARA EL 2025-10-30 | 30/10/2025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‎CB NO CUENTA CON TARJETA PARA REALIZAR CONSULTA DE SALDOS
‎SE DEJAN 40 ROLLOS TÉRMICOS EN EL CB.
‎CB QUEDA OKEY.</t>
  </si>
  <si>
    <t>CA002310</t>
  </si>
  <si>
    <t>76100</t>
  </si>
  <si>
    <t>TA-25-1247999</t>
  </si>
  <si>
    <t>3007082029</t>
  </si>
  <si>
    <t>DISTRICOL MULTIPAGOS EL TREBOL</t>
  </si>
  <si>
    <t>FO-25-1751818</t>
  </si>
  <si>
    <t>29/10/2025 29-10 PROGRAMACIÓN REALIZADA POR LA ALIANZA| INSTALACIÓN PROGRAMADA PARA EL 2025-10-31 | 31/10/2025 SE INSTALA EQUIPO, LECTOR Y ACCESORIOS, LUEGO SE CAPACITA Y SE INSTALA PUBLICIDAD, PRUEBAS OK</t>
  </si>
  <si>
    <t>CA002311</t>
  </si>
  <si>
    <t>76111</t>
  </si>
  <si>
    <t>TA-25-1248000</t>
  </si>
  <si>
    <t>3007082037</t>
  </si>
  <si>
    <t>GUADALAJARA DE BUGA</t>
  </si>
  <si>
    <t>DISTRICOL SEGUROS PLUSS</t>
  </si>
  <si>
    <t>FO-25-1751823</t>
  </si>
  <si>
    <t>29/10/2025 29-10 PROGRAMACIÓN REALIZADA POR LA ALIANZA| INSTALACIÓN PROGRAMADA PARA EL 2025-10-30 | 30/10/2025 SE INSTALA EQUIPO, LECTOR Y ACCESORIOS, APERTURA CB BANCOLOMBIA PURO, PRUEBAS OK</t>
  </si>
  <si>
    <t>CA002312</t>
  </si>
  <si>
    <t>TA-25-1248002</t>
  </si>
  <si>
    <t>3007082038</t>
  </si>
  <si>
    <t>DISTRICOL LA MILAGROSA EXPRESS</t>
  </si>
  <si>
    <t>FO-25-1751828</t>
  </si>
  <si>
    <t>29/10/2025 29-10 PROGRAMACIÓN REALIZADA POR LA ALIANZA| INSTALACIÓN PROGRAMADA PARA EL 2025-10-30 | 30/10/2025 SE INSTALA EQUIPO, LECTOR Y ACCESORIOS, LUEGO SE CAPACITA Y SE INSTALA PUBLICIDAD, PRUEBAS OK</t>
  </si>
  <si>
    <t>CA002313</t>
  </si>
  <si>
    <t>TA-25-1248003</t>
  </si>
  <si>
    <t>3007082040</t>
  </si>
  <si>
    <t>DISTRICOL LA PAPELERIA NET</t>
  </si>
  <si>
    <t>FO-25-1751831</t>
  </si>
  <si>
    <t>29/10/2025 29-10 PROGRAMACIÓN REALIZADA POR LA ALIANZA| INSTALACIÓN PROGRAMADA PARA EL 2025-10-31 | 31/10/2025 SE VISITA ESTABLECIMIENTO, SE REALIZA INSTALACIÓN CORRESPONSAL BANCOLOMBIA. TRANSACCIONES DE PRUEBA EXITOSAS. SE CAPACITA Y SE INSTALA PUBLICIDAD COMPLETA</t>
  </si>
  <si>
    <t>CA002314</t>
  </si>
  <si>
    <t>TA-25-1248009</t>
  </si>
  <si>
    <t>3007082027</t>
  </si>
  <si>
    <t>DISTRICOL MISELANEA MONTALLANT</t>
  </si>
  <si>
    <t>FO-25-1751847</t>
  </si>
  <si>
    <t>29/10/2025 29-10 PROGRAMACIÓN REALIZADA POR LA ALIANZA| INSTALACIÓN PROGRAMADA PARA EL 2025-10-30 | 30/10/2025 INSTALACIÓN DE CORRESPONSAL OK PRUEBA OK CAPACITACIÓN SOMOS BANCOLOMBIA OK CAPACITACIÓN IVA OK CAPACITACIÓN DATAFONO OK INSTALACIÓN DE PUBLICIDAD OK NO SE REALIZA PRUEBAS CON TARJETA YA QUE CLIENTE NO TIENE TARJETA DE PRUEBA 
COMERCIO SIN AVISO PUBLICITARIO, SIN EMBARGO SI ES EL MISMO OBJETIVO COMERCIAL, LA DIRECCION COINCIDE Y LA CÁMARA DE COMERCIO TAMBIEN TIENE EL MISMO NOMBRE DE LISTA DE CHEQUEO.</t>
  </si>
  <si>
    <t>CA002318</t>
  </si>
  <si>
    <t>TA-25-1248010</t>
  </si>
  <si>
    <t>3007082028</t>
  </si>
  <si>
    <t>DISTRICOL LUXUR</t>
  </si>
  <si>
    <t>FO-25-1751850</t>
  </si>
  <si>
    <t>29/10/2025 29-10 PROGRAMACIÓN REALIZADA POR LA ALIANZA| INSTALACIÓN PROGRAMADA PARA EL 2025-10-30 | 30/10/2025 INSTALACIÓN DE CORRESPONSAL OK PRUEBA OK CAPACITACIÓN SOMOS BANCOLOMBIA OK CAPACITACIÓN IVA OK CAPACITACIÓN DATAFONO OK NO SE REALIZAN PRUEBAS CON TARJETA YA QUE CLIENTE NO CUENTA CON TARJETA DE PRUEBA</t>
  </si>
  <si>
    <t>CA002319</t>
  </si>
  <si>
    <t>FECHA ASIGNACION A LINEA COMUNICACIONES</t>
  </si>
  <si>
    <t>FECHA CIERRE DEL TICKET (DD/MM/AAAA HH:MM)</t>
  </si>
  <si>
    <t>ACOMETIDA</t>
  </si>
  <si>
    <t>SOLICITUD</t>
  </si>
  <si>
    <t>CAUSAL ESTADO</t>
  </si>
  <si>
    <t>OBSERVACION</t>
  </si>
  <si>
    <t>DIAS DE VISITA</t>
  </si>
  <si>
    <t>TRANSPORTE AVISO EXTERIOR</t>
  </si>
  <si>
    <t>VALOR ACTIVIDAD</t>
  </si>
  <si>
    <t>25841</t>
  </si>
  <si>
    <t>2801777</t>
  </si>
  <si>
    <t>3007037164</t>
  </si>
  <si>
    <t>OC PUBLICIDAD</t>
  </si>
  <si>
    <t>UBAQUE</t>
  </si>
  <si>
    <t>BARRIO CENTRO UBAQUE 2</t>
  </si>
  <si>
    <t>FO-25-1591803</t>
  </si>
  <si>
    <t>PUBLICIDAD</t>
  </si>
  <si>
    <t>AVISO EXTERIOR</t>
  </si>
  <si>
    <t>CB UNO A UNO</t>
  </si>
  <si>
    <t>EJECUTADO EXITOSO</t>
  </si>
  <si>
    <t>28/09/2025 POR FAVOR, COMUNICARSE CON USUARIO PARA CONFIRMAR UBICACION, SOLICITUD Y PROGRAMAR VISITA TECNICA | 02/10/2025 SE REALIZA INSTALACIÓN DE AVISO EXTERIOR POR VANDALISMO NO SE MANIPULA TERMINAL</t>
  </si>
  <si>
    <t>2807308</t>
  </si>
  <si>
    <t>3007049275</t>
  </si>
  <si>
    <t>DISTRICOL TIENDA NUEVA VILLA</t>
  </si>
  <si>
    <t>FO-25-1597875</t>
  </si>
  <si>
    <t>29/09/2025 POR FAVOR, COMUNICARSE CON USUARIO PARA CONFIRMAR UBICACION, SOLICITUD Y PROGRAMAR VISITA TECNICA | 01/10/2025 SE VISITA COMERCIO SE REALIZA INSTALACIÓN DE AVISO EXTERIOR</t>
  </si>
  <si>
    <t>LOAIZA LOPEZ JHON FREDDY</t>
  </si>
  <si>
    <t>17380</t>
  </si>
  <si>
    <t>2807415</t>
  </si>
  <si>
    <t>3007046768</t>
  </si>
  <si>
    <t>LA DORADA</t>
  </si>
  <si>
    <t>PTM LA DORADA TIENDA MERCADITO</t>
  </si>
  <si>
    <t>FO-25-1597873</t>
  </si>
  <si>
    <t>29/09/2025 EN COMUNICACIÓN CON LA SEÑORA JENIFER JIMENEZ AL NÚMERO 3122428900 CONFIRMA SOLICITUD, DATOS CORRECTOS. SE ESCALA PARA VISITA | 03/10/2025 SE INSTALA AVISO EXTERIOR SIN PROBLEMA</t>
  </si>
  <si>
    <t>85139</t>
  </si>
  <si>
    <t>2811096</t>
  </si>
  <si>
    <t>3007048943</t>
  </si>
  <si>
    <t>MANI</t>
  </si>
  <si>
    <t>DISTRICOL COMUNICACIONES RED C</t>
  </si>
  <si>
    <t>FO-25-1602642</t>
  </si>
  <si>
    <t>30/09/2025 POR FAVOR, COMUNICARSE CON USUARIO PARA CONFIRMAR UBICACION, SOLICITUD Y PROGRAMAR VISITA TECNICA | 06/10/2025 SE VISITA COMERCIO, SE INSTALA AVISO EXTERIOR. NO SE REGISTRA FOTO DE TIRILLA, EN EL MOMENTO NO ESTA LA PERSONA ENCARGADA DEL CB. Y NO AUTORIZAN</t>
  </si>
  <si>
    <t>2814769</t>
  </si>
  <si>
    <t>3007079240</t>
  </si>
  <si>
    <t>DISTRICOL VARIEDADES NORLY</t>
  </si>
  <si>
    <t>FO-25-1604010</t>
  </si>
  <si>
    <t>30/09/2025 POR FAVOR, COMUNICARSE CON USUARIO PARA CONFIRMAR UBICACION, SOLICITUD Y PROGRAMAR VISITA TECNICA | 01/10/2025 SE INSTALA AVISO EXTERIOR POR DAÑO DEL ANTERIOR POR FUERTE VENDAVAL.</t>
  </si>
  <si>
    <t>2821609</t>
  </si>
  <si>
    <t>3007069969</t>
  </si>
  <si>
    <t>PTM PASTO  MOTO GEARS</t>
  </si>
  <si>
    <t>FO-25-1609554</t>
  </si>
  <si>
    <t>01/10/2025 POR FAVOR, COMUNICARSE CON USUARIO PARA CONFIRMAR UBICACION, SOLICITUD Y PROGRAMAR VISITA TECNICA | 04/10/2025 SE VISITA CB PARA REALIZAR INSTALACIÓN DE AVISO EXTERIOR. SE INSTALA AVISO EXTERIOR. CLIENTE INFORMA QUE CB FUNCIONA CORRECTAMENTE. NO SÉ MANIPULA DATAFONO</t>
  </si>
  <si>
    <t>20013</t>
  </si>
  <si>
    <t>2821714</t>
  </si>
  <si>
    <t>3007078147</t>
  </si>
  <si>
    <t>AGUSTIN CODAZZI</t>
  </si>
  <si>
    <t>BARRIO EL CARMEN AGUSTIN CODAZ</t>
  </si>
  <si>
    <t>FO-25-1609553</t>
  </si>
  <si>
    <t>01/10/2025 POR FAVOR, COMUNICARSE CON USUARIO PARA CONFIRMAR UBICACION, SOLICITUD Y PROGRAMAR VISITA TECNICA | 03/10/2025 SE VISITA CB Y SE LE HACE INSTALACIÓN DE AVISO EXTERIOR NUEVO YA QUE EL QUE TENÍA SE LO PARTIÓ UN FUERTE VIENTO</t>
  </si>
  <si>
    <t>BENITEZ CARVAJAL ALVARO JAVIER</t>
  </si>
  <si>
    <t>2822891</t>
  </si>
  <si>
    <t>3007071381</t>
  </si>
  <si>
    <t>BARRIO CENTRO SOGAMOSO 29</t>
  </si>
  <si>
    <t>FO-25-1611641</t>
  </si>
  <si>
    <t>EJECUTADO / CANCELADO</t>
  </si>
  <si>
    <t>PETICIÓN BANCOLOMBIA</t>
  </si>
  <si>
    <t>01/10/2025 POR FAVOR, COMUNICARSE CON USUARIO PARA CONFIRMAR UBICACION, SOLICITUD Y PROGRAMAR VISITA TECNICA | 03/10/2025 SE LLEGA A PUNTO, SE ENCUENTRA AVISO EXTERIOR INSTALADO, CLIENTE INDICA QUE ESE AVISO ELLA LO COMPRO APARTE, EL DEL CORRESPONSAL PROPIO DE ELLA CLIENTE INDICA QUE FUE HURTADO. CÓMO YA EXISTE AVISO EXTERIOR EN EL PUNTO SE LE INDICA AL CLIENTE QUE NO SE LE PUEDE INSTALAR UN SEGUNDO AVISO EXTERIOR INTERNO, CLIENTE NO ESTÁ CONFORME YA QUE POR TAMAÑO DE SÚPER MERCADO NECESITA AVISO EXTERIOR SECUNDARIO. NOTA: AVISO EXTERIOR QUE SE ENCUENTRA INSTALADO ES EL QUE PROVEE EL BANCO A LOS CORRESPONSALES.</t>
  </si>
  <si>
    <t>HERRERA GARZON JEYSON STEVENT</t>
  </si>
  <si>
    <t>2823290</t>
  </si>
  <si>
    <t>3007074965</t>
  </si>
  <si>
    <t>BARRIO BOQUERON IBAGUE 5</t>
  </si>
  <si>
    <t>FO-25-1611869</t>
  </si>
  <si>
    <t>CANCELADO</t>
  </si>
  <si>
    <t>OTRA RED</t>
  </si>
  <si>
    <t>01/10/2025 SE PROCEDE A CERRAR SOLICITUD YA QUE LA SOLICITUD DICE SER RBM PERO PERTENECE A OTRA RED, SE INFORMA VÍA WHATSAPP | 01/10/2025 SE PROCEDE A CERRAR SOLICITUD YA QUE LA SOLICITUD DICE SER RBM PERO PERTENECE A OTRA RED, SE INFORMA VÍA WHATSAPP | 01/10/2025 SE PROCEDE A CERRAR SOLICITUD YA QUE LA SOLICITUD DICE SER RBM PERO PERTENECE A OTRA RED, SE INFORMA VÍA WHATSAPP</t>
  </si>
  <si>
    <t>SOPORTE TELEFONICO</t>
  </si>
  <si>
    <t>TORO CARDONA ELIZABETH</t>
  </si>
  <si>
    <t>2824190</t>
  </si>
  <si>
    <t>3007075897</t>
  </si>
  <si>
    <t>BARRIO BOSTON CARTAGENA DE IND</t>
  </si>
  <si>
    <t>FO-25-1611980</t>
  </si>
  <si>
    <t>01/10/2025 POR FAVOR, COMUNICARSE CON USUARIO PARA CONFIRMAR UBICACION, SOLICITUD Y PROGRAMAR VISITA TECNICA | 04/10/2025 SE INSTALA AVISO EXTERIOR</t>
  </si>
  <si>
    <t>CANEDO HERRERA ALEXANDER</t>
  </si>
  <si>
    <t>2824243</t>
  </si>
  <si>
    <t>3007077458</t>
  </si>
  <si>
    <t>BARRIO CIUDADELA SIMON BOLIVAR</t>
  </si>
  <si>
    <t>FO-25-1611979</t>
  </si>
  <si>
    <t>01/10/2025 POR FAVOR, COMUNICARSE CON USUARIO PARA CONFIRMAR UBICACION, SOLICITUD Y PROGRAMAR VISITA TECNICA | 06/10/2025 SE REALIZA INSTALACIÓN DE AVISO EXTERIOR YA QUE EL ANTERIOR SE PARTIÓ POR VENDAVAL</t>
  </si>
  <si>
    <t>GUTIERREZ  CAMILO ANDRES</t>
  </si>
  <si>
    <t>15001</t>
  </si>
  <si>
    <t>2825471</t>
  </si>
  <si>
    <t>3007041529</t>
  </si>
  <si>
    <t>BARRIO LAS PENITAS TUNJA</t>
  </si>
  <si>
    <t>FO-25-1612749</t>
  </si>
  <si>
    <t>01/10/2025 POR FAVOR, COMUNICARSE CON USUARIO PARA CONFIRMAR UBICACION, SOLICITUD Y PROGRAMAR VISITA TECNICA, YA QUE SE INTENTÓ COMUNICACIÓN PERO NO HUBO RESPUESTA | 02/10/2025 SE EJECUTA INSTALACIÓN AVISO EXTERIOR NUEVO CLIENTE INDICA QUE EL OTRO SE ENCONTRABA MUY DETERIORADO EN UN REMODELACION QUÉ REALIZARON LO DESTRUYERON CLIENTE CONFORME</t>
  </si>
  <si>
    <t>5237</t>
  </si>
  <si>
    <t>2831185</t>
  </si>
  <si>
    <t>3007018129</t>
  </si>
  <si>
    <t>DON MATIAS</t>
  </si>
  <si>
    <t>ZONA INDUSTRIAL DON MATIAS</t>
  </si>
  <si>
    <t>FO-25-1617112</t>
  </si>
  <si>
    <t>02/10/2025 SE PROCEDE A CERRAR YA QUE EN VALIDACIÓN CON USUARIO, INFORMA PERTENER A WOMPI | 02/10/2025 SE PROCEDE A CERRAR YA QUE EN VALIDACIÓN CON USUARIO, INFORMA PERTENER A WOMPI | 02/10/2025 SE PROCEDE A CERRAR YA QUE EN VALIDACIÓN CON USUARIO, INFORMA PERTENER A WOMPI</t>
  </si>
  <si>
    <t>2831907</t>
  </si>
  <si>
    <t>3007017384</t>
  </si>
  <si>
    <t>BARRIO URB PIEDRA PINTADA IBAG</t>
  </si>
  <si>
    <t>FO-25-1618740</t>
  </si>
  <si>
    <t>02/10/2025 POR FAVOR, COMUNICARSE CON USUARIO PARA CONFIRMAR UBICACION, SOLICITUD Y PROGRAMAR VISITA TECNICA | 07/10/2025 SE INSTALA AVISO EXTERIOR SIN MARCO DE ALUMINIO POR CONSTANTES ROBOS.</t>
  </si>
  <si>
    <t>2833855</t>
  </si>
  <si>
    <t>3007080022</t>
  </si>
  <si>
    <t>BARRIO MACARENA PARTE BAJA IBAGUE</t>
  </si>
  <si>
    <t>FO-25-1620438</t>
  </si>
  <si>
    <t>UNO A UNO</t>
  </si>
  <si>
    <t>03/10/2025 SE PROCEDE A CERRAR YA QUE EN VALIDACIÓN CON USUARIO, INFORMA PERTENECER A WOMPI. SE LE INFORMA A USUARIA | 03/10/2025 SE PROCEDE A CERRAR YA QUE EN VALIDACIÓN CON USUARIO, INFORMA PERTENECER A WOMPI</t>
  </si>
  <si>
    <t>2834479</t>
  </si>
  <si>
    <t>3007077191</t>
  </si>
  <si>
    <t>DISTRICOL CARNICER  LA COSECHA</t>
  </si>
  <si>
    <t>FO-25-1620434</t>
  </si>
  <si>
    <t>03/10/2025 POR FAVOR, COMUNICARSE CON USUARIO PARA CONFIRMAR UBICACION, SOLICITUD Y PROGRAMAR VISITA TECNICA | 06/10/2025 SE REALIZA VISITA TÉCNICA AL CORRESPONSAL BANCOLOMBIA CON EL OBJETIVO DE INSTALAR UN NUEVO AVISO EXTERIOR. AL LLEGAR AL SITIO, EL USUARIO INFORMA QUE EL AVISO ANTERIOR FUE DESPRENDIDO POR EL VIENTO, QUEDANDO COMPLETAMENTE DESTRUIDO. SE PROCEDE A VERIFICAR LA SITUACIÓN Y SE CONFIRMA EL ESTADO DEL AVISO. ANTE ESTA CONDICIÓN, SE REALIZA LA INSTALACIÓN DE UN NUEVO AVISO EXTERIOR EN EL PUNTO INDICADO POR EL CLIENTE, GARANTIZANDO SU CORRECTA FIJACIÓN Y VISIBILIDAD.</t>
  </si>
  <si>
    <t>2834909</t>
  </si>
  <si>
    <t>3007072513</t>
  </si>
  <si>
    <t>BARRIO ESTACION IBAGUE  1</t>
  </si>
  <si>
    <t>FO-25-1620447</t>
  </si>
  <si>
    <t>03/10/2025 POR FAVOR, COMUNICARSE CON USUARIO PARA CONFIRMAR UBICACION, SOLICITUD Y PROGRAMAR VISITA TECNICA | 08/10/2025 SE REALIZA INSTALACIÓN DE AVISO EXTERIOR CON MARCO POR SOLICITUD DEL CLIENTE.</t>
  </si>
  <si>
    <t>50313</t>
  </si>
  <si>
    <t>2836192</t>
  </si>
  <si>
    <t>3007079637</t>
  </si>
  <si>
    <t>GRANADA</t>
  </si>
  <si>
    <t>BARRIO RICAUTE GRANADA 2</t>
  </si>
  <si>
    <t>FO-25-1626026</t>
  </si>
  <si>
    <t>03/10/2025 POR FAVOR, COMUNICARSE CON USUARIO PARA CONFIRMAR UBICACION, SOLICITUD Y PROGRAMAR VISITA TECNICA | 06/10/2025 SE INSTALA AVISO EXTERIOR YA QUE EL QUE TENIA DE CAYO Y SE ROMPIÓ</t>
  </si>
  <si>
    <t>PEDREROS CONTRERAS MICHAEL STEVENS</t>
  </si>
  <si>
    <t>2839318</t>
  </si>
  <si>
    <t>3007035362</t>
  </si>
  <si>
    <t>COMCARD B/MANGA ZORAIDA</t>
  </si>
  <si>
    <t>FO-25-1628843</t>
  </si>
  <si>
    <t>CANCELADO POR EL USUARIO</t>
  </si>
  <si>
    <t>04/10/2025 POR FAVOR, COMUNICARSE CON USUARIO PARA CONFIRMAR UBICACION, SOLICITUD Y PROGRAMAR VISITA TECNICA | 06/10/2025 SE ESTABLECE COMUNICACIÓN CON LA SEÑORA ZORAIDA AL NÚMERO 3014429249 PARA VALIDAR DIRECCIÓN INFORMA QUE ELLA SE EQUIVOCÓ HACIENDO LA SOLICITUD DEL AVISÓ EXTERIOR QUE ELLA CUENTA CON EL AVISO Y EN BUEN ESTADO POR LO QUE SE PROCEDE A CERRAR ORDEN DE TRABAJO</t>
  </si>
  <si>
    <t>54810</t>
  </si>
  <si>
    <t>2839408</t>
  </si>
  <si>
    <t>3007077708</t>
  </si>
  <si>
    <t>TIBU</t>
  </si>
  <si>
    <t>BARRIO CORRG CAMPO  DOS</t>
  </si>
  <si>
    <t>FO-25-1628841</t>
  </si>
  <si>
    <t>04/10/2025 POR FAVOR, COMUNICARSE CON USUARIO PARA CONFIRMAR UBICACION, SOLICITUD Y PROGRAMAR VISITA TECNICA | 10/10/2025 NO SE PUDO VISITAR CB PARA INSTALACION DE AVISO YA QUE EN LA ZONA HAY ALTERACIONES POR ORDEN PIUBLICO, SE ENVIA POR TRANSPORTADORA | 13/10/2025 SE REALIZA ENVÍO POR INTERRAPIDISIMO AUTORIZADO POR REDEBAN</t>
  </si>
  <si>
    <t>5579</t>
  </si>
  <si>
    <t>2839707</t>
  </si>
  <si>
    <t>3007060457</t>
  </si>
  <si>
    <t>PUERTO BERRIO</t>
  </si>
  <si>
    <t>BARRIO CENTRO PUERTO BERRIO 4</t>
  </si>
  <si>
    <t>FO-25-1629573</t>
  </si>
  <si>
    <t>04/10/2025 POR FAVOR, COMUNICARSE CON USUARIO PARA CONFIRMAR UBICACION, SOLICITUD Y PROGRAMAR VISITA TECNICA | 06/10/2025 INSTALACIÓN DE AVISO EXTERIOR OK</t>
  </si>
  <si>
    <t>2841468</t>
  </si>
  <si>
    <t>3007018137</t>
  </si>
  <si>
    <t>BARRIO COREGIMIENTO DE ARABIA</t>
  </si>
  <si>
    <t>FO-25-1633588</t>
  </si>
  <si>
    <t>06/10/2025 POR FAVOR, COMUNICARSE CON USUARIO PARA CONFIRMAR UBICACION, SOLICITUD Y PROGRAMAR VISITA TECNICA | 08/10/2025 SE INSTALA AVISO EXTERIOR</t>
  </si>
  <si>
    <t>2842799</t>
  </si>
  <si>
    <t>3007078553</t>
  </si>
  <si>
    <t>BARRIO MIRAFLORES 1 PASTO</t>
  </si>
  <si>
    <t>FO-25-1633594</t>
  </si>
  <si>
    <t>06/10/2025 POR FAVOR, COMUNICARSE CON USUARIO PARA CONFIRMAR UBICACION, SOLICITUD Y PROGRAMAR VISITA TECNICA | 07/10/2025 SE VERIFICÓ SOLICITUD PERO EL CLIENTE YA PERTENECE A LA RED DE WOMPI, Y A SU VEZ EL LETRERO O PUBLICIDAD DAÑADA ES EL FLANGED POR LO CUAL NO SE PUEDE ENTREGAR, SE LE INDICA AL CLIENTE QUE LAS PRÓXIMAS SOLICITUDES LO HAGA INFORMANDO QUE YA PERTENECE A WOMPI, NO SE MANIPULA CB SE ENCUENTRA OPERATIVO.</t>
  </si>
  <si>
    <t>2843771</t>
  </si>
  <si>
    <t>3007080273</t>
  </si>
  <si>
    <t>BARRIO CLARETH IBAGUE</t>
  </si>
  <si>
    <t>FO-25-1636202</t>
  </si>
  <si>
    <t>06/10/2025 POR FAVOR, COMUNICARSE CON USUARIO PARA CONFIRMAR UBICACION, SOLICITUD Y PROGRAMAR VISITA TECNICA | 07/10/2025 SE INSTALA AVISO EXTERIOR POR FUERTE TORMENTA QUE DAÑO EL ANTERIOR</t>
  </si>
  <si>
    <t>66170</t>
  </si>
  <si>
    <t>2845130</t>
  </si>
  <si>
    <t>3007078153</t>
  </si>
  <si>
    <t>DOSQUEBRADAS</t>
  </si>
  <si>
    <t>BARRIO LA AURORA DOSQUEBRADAS  1</t>
  </si>
  <si>
    <t>FO-25-1636190</t>
  </si>
  <si>
    <t>06/10/2025 POR FAVOR, COMUNICARSE CON USUARIO PARA CONFIRMAR UBICACION, SOLICITUD Y PROGRAMAR VISITA TECNICA | 10/10/2025 SE INSTALA AVISO EXTERIOR.</t>
  </si>
  <si>
    <t>2847650</t>
  </si>
  <si>
    <t>3007050116</t>
  </si>
  <si>
    <t>BARRIO EL OBRERO VALLEDUPAR 1</t>
  </si>
  <si>
    <t>FO-25-1637413</t>
  </si>
  <si>
    <t>06/10/2025 POR FAVOR, COMUNICARSE CON USUARIO PARA CONFIRMAR UBICACION, SOLICITUD Y PROGRAMAR VISITA TECNICA | 09/10/2025 SE REALIZA INSTALACIÓN DE AVISO EXTERIOR,SE USNTALA SIN BASE DE ALUMINIO YA QUE POR EL SECTOR EN HIRAS DE LA NOCHE FRECUENTAN HABITANTES DE CALLE Y SE ROBAN LA PUBLICIDAD</t>
  </si>
  <si>
    <t>2851917</t>
  </si>
  <si>
    <t>3007030288</t>
  </si>
  <si>
    <t>COMCARD MED SAO PAULO TECH</t>
  </si>
  <si>
    <t>FO-25-1642367</t>
  </si>
  <si>
    <t>07/10/2005 POR FAVOR, COMUNICARSE CON USUARIO PARA CONFIRMAR UBICACION, SOLICITUD Y PROGRAMAR VISITA TECNICA | 14/10/2025 SE REALIZA INSTALACIÓN DE AVISO EXTERIOR</t>
  </si>
  <si>
    <t>HERNANDEZ CHAVARRIA JUAN CAMILO</t>
  </si>
  <si>
    <t>13300</t>
  </si>
  <si>
    <t>2853254</t>
  </si>
  <si>
    <t>3007041899</t>
  </si>
  <si>
    <t>HATILLO DE LOBA</t>
  </si>
  <si>
    <t>BARRIO SECTOR EL CARMEN HATILL</t>
  </si>
  <si>
    <t>FO-25-1642714</t>
  </si>
  <si>
    <t>07/10/2025 POR FAVOR, COMUNICARSE CON USUARIO PARA CONFIRMAR UBICACION, SOLICITUD Y PROGRAMAR VISITA TECNICA | 18/10/2025 BUENAS TARDES SE VISITA CB Y SE LE HACE INSTALACIÓN DE AVISO EXTERIOR</t>
  </si>
  <si>
    <t>18247</t>
  </si>
  <si>
    <t>2857455</t>
  </si>
  <si>
    <t>3007037149</t>
  </si>
  <si>
    <t>EL DONCELLO</t>
  </si>
  <si>
    <t>BARRIO CENTRO EL DONCELLO</t>
  </si>
  <si>
    <t>FO-25-1646651</t>
  </si>
  <si>
    <t>08/10/2025 POR FAVOR, COMUNICARSE CON USUARIO PARA CONFIRMAR UBICACION, SOLICITUD Y PROGRAMAR VISITA TECNICA | 14/10/2025 SE REALIZA INSTALACIÓN DE AVISO EXTERIOR SIN NOVEDAD, SE INSTALA YA QUE EL CLIENTE MANIFESTA QUE EL ANTERIOR SE CAYÓ Y SE DAÑÓ.</t>
  </si>
  <si>
    <t>2857757</t>
  </si>
  <si>
    <t>3007081032</t>
  </si>
  <si>
    <t>PTM BELLO MISCELANEA SOLUCION</t>
  </si>
  <si>
    <t>FO-25-1646715</t>
  </si>
  <si>
    <t>08/10/2025 POR FAVOR, COMUNICARSE CON USUARIO PARA CONFIRMAR UBICACION, SOLICITUD Y PROGRAMAR VISITA TECNICA | 09/10/2025 SE REALIZA VISITA TÉCNICA PARA LLEVAR A CABO LA INSTALACIÓN DEL NUEVO AVISO EXTERIOR. DURANTE LA INSPECCIÓN, EL USUARIO INFORMA QUE EL AVISO ANTERIOR FUE AFECTADO POR EL ROBO DE SU MARCO. TRAS ESTE INCIDENTE, SE REALIZÓ UNA INSTALACIÓN PROVISIONAL QUE, DEBIDO A LA FALTA DE SOPORTE ADECUADO, TERMINÓ CAYÉNDOSE Y SUFRIENDO DAÑOS IRREPARABLES, SEGÚN LO EXPRESADO POR EL CLIENTE.EN ATENCIÓN A ESTA SITUACIÓN, SE PROCEDE A INSTALAR EL NUEVO AVISO EXTERIOR CONFORME A LAS INDICACIONES DEL USUARIO, ASEGURANDO UNA FIJACIÓN SEGURA Y ESTABLE QUE GARANTICE SU DURABILIDAD.</t>
  </si>
  <si>
    <t>2857982</t>
  </si>
  <si>
    <t>3007055907</t>
  </si>
  <si>
    <t>PTM DOSQUEBRADAS AUTOSERVICIO</t>
  </si>
  <si>
    <t>FO-25-1648306</t>
  </si>
  <si>
    <t>08/10/2025 POR FAVOR, COMUNICARSE CON USUARIO PARA CONFIRMAR UBICACION, SOLICITUD Y PROGRAMAR VISITA TECNICA | 10/10/2025 SE INSTALA AVISO EXTERIOR</t>
  </si>
  <si>
    <t>2859048</t>
  </si>
  <si>
    <t>3007080959</t>
  </si>
  <si>
    <t>BARRIO CENTRO PEREIRA 54</t>
  </si>
  <si>
    <t>FO-25-1648297</t>
  </si>
  <si>
    <t>08/10/2025 POR FAVOR, COMUNICARSE CON USUARIO PARA CONFIRMAR UBICACION, SOLICITUD Y PROGRAMAR VISITA TECNICA | 15/10/2025 SE INSTALA AVISO EXTERIOR</t>
  </si>
  <si>
    <t>2861732</t>
  </si>
  <si>
    <t>3007036162</t>
  </si>
  <si>
    <t>PTM BOGOTA VILLA INES</t>
  </si>
  <si>
    <t>FO-25-1651335</t>
  </si>
  <si>
    <t>09/10/2025 POR FAVOR, COMUNICARSE CON USUARIO PARA CONFIRMAR UBICACION, SOLICITUD Y PROGRAMAR VISITA TECNICA | 10/10/2025 INSTALACIÓN DE AVISO YA QUE SE LO ROBARON</t>
  </si>
  <si>
    <t>52560</t>
  </si>
  <si>
    <t>2863218</t>
  </si>
  <si>
    <t>3007040798</t>
  </si>
  <si>
    <t>POTOSI</t>
  </si>
  <si>
    <t>DISTRICOL PLANETA MOVIL POTOSI</t>
  </si>
  <si>
    <t>FO-25-1662509</t>
  </si>
  <si>
    <t>14/10/2025 POR FAVOR, COMUNICARSE CON USUARIO PARA CONFIRMAR UBICACION, SOLICITUD Y PROGRAMAR VISITA TECNICA | 16/10/2025 SE VISITA EL CB PARA INSTALAR AVISO EXTERIOR, SIN NOVEDAD, CB FUNCIONADO OK</t>
  </si>
  <si>
    <t>70215</t>
  </si>
  <si>
    <t>2864761</t>
  </si>
  <si>
    <t>3007026481</t>
  </si>
  <si>
    <t>COROZAL</t>
  </si>
  <si>
    <t>ARRIO SAN MIGUEL CENTRO   COR</t>
  </si>
  <si>
    <t>FO-25-1663285</t>
  </si>
  <si>
    <t>09/10/2025 POR FAVOR, COMUNICARSE CON USUARIO PARA CONFIRMAR UBICACION, SOLICITUD Y PROGRAMAR VISITA TECNICA | 10/10/2025 SE VISITA SITIO SE VERIFICA INFORMACIÓN SE REALIZA INSTALACIÓN DE AVISO EXTERIOR ÚNICAMENTE, NO SE MANIPULA EQUIPOS.</t>
  </si>
  <si>
    <t>2865207</t>
  </si>
  <si>
    <t>3007079615</t>
  </si>
  <si>
    <t>BARRIO SANTA LUCIA BOGOTA 11</t>
  </si>
  <si>
    <t>FO-25-1663280</t>
  </si>
  <si>
    <t>09/10/2025 POR FAVOR, COMUNICARSE CON USUARIO PARA CONFIRMAR UBICACION, SOLICITUD Y PROGRAMAR VISITA TECNICA | 16/10/2025 DURANTE LA VISITA TECNICA SE REALIZA INSTALACIÓN DE AVISO EXTERIOR CON CHAZOS A LA PARED EN LUGAR INDICADO POR COMERCIO A CONFORMIDAD DE CORRESPONSAL NO SE MANIPULA EQUIPOS  SIN NOVEDAD EN INSTALACIÓN</t>
  </si>
  <si>
    <t>2866593</t>
  </si>
  <si>
    <t>3007042937</t>
  </si>
  <si>
    <t>PTM FLORIDABLANCA MENSAJERIA L</t>
  </si>
  <si>
    <t>FO-25-1664605</t>
  </si>
  <si>
    <t>10/10/2025 POR FAVOR, COMUNICARSE CON USUARIO PARA CONFIRMAR UBICACION, SOLICITUD Y PROGRAMAR VISITA TECNICA | 14/10/2025 SE REALIZA INSTALACIÓN DE AVISO EXTERIOR NO SE MANIPULA TERMINAL</t>
  </si>
  <si>
    <t>54001</t>
  </si>
  <si>
    <t>2867016</t>
  </si>
  <si>
    <t>3007077958</t>
  </si>
  <si>
    <t>BARRIO SAN RAFAEL CUCUTA  5</t>
  </si>
  <si>
    <t>FO-25-1665914</t>
  </si>
  <si>
    <t>10/10/2025 POR FAVOR, COMUNICARSE CON USUARIO PARA CONFIRMAR UBICACION, SOLICITUD Y PROGRAMAR VISITA TECNICA | 15/10/2025 SE COMUNICA CON EL CLIENTE MARLON SAMPER AL #3126628081 INFORMA QUE HOY NO PUEDE RESIVIR LA VISITA YA QUE NO ABRIO, SE PROGRAMA VISITA PARA MAÑANA 16/10/25 | 16/10/2025 SE INSTALA AVISO EXTERIOR EXITOSO.</t>
  </si>
  <si>
    <t>2868474</t>
  </si>
  <si>
    <t>3007019695</t>
  </si>
  <si>
    <t>BARRIO LAS MARGARITAS ITAGUI</t>
  </si>
  <si>
    <t>FO-25-1665897</t>
  </si>
  <si>
    <t>10/10/2025 POR FAVOR, COMUNICARSE CON USUARIO PARA CONFIRMAR UBICACION, SOLICITUD Y PROGRAMAR VISITA TECNICA | 14/10/2025 SE REALIZA INSTALACIÓN DE AVISO EXTERIOR</t>
  </si>
  <si>
    <t>2868633</t>
  </si>
  <si>
    <t>3007039283</t>
  </si>
  <si>
    <t>BARRIO CONDOMINIO PARQUE REAL</t>
  </si>
  <si>
    <t>FO-25-1666192</t>
  </si>
  <si>
    <t>10/10/2025 POR FAVOR, COMUNICARSE CON USUARIO PARA CONFIRMAR UBICACION, SOLICITUD Y PROGRAMAR VISITA TECNICA | 14/10/2025 SE REALIZÓ VISITA AL COMERCIO Y SE HIZO LA INSTALACIÓN DE UN AVISO EXTERIOR TODO OK</t>
  </si>
  <si>
    <t>MORA VEGA JEAMPIER</t>
  </si>
  <si>
    <t>15740</t>
  </si>
  <si>
    <t>2868970</t>
  </si>
  <si>
    <t>3007010940</t>
  </si>
  <si>
    <t>SIACHOQUE</t>
  </si>
  <si>
    <t>SIACHOQUE - BOYACA</t>
  </si>
  <si>
    <t>FO-25-1666488</t>
  </si>
  <si>
    <t>10/10/2025 POR FAVOR, COMUNICARSE CON USUARIO PARA CONFIRMAR UBICACION, SOLICITUD Y PROGRAMAR VISITA TECNICA | 15/10/2025 COMUNICACIÓN CON LA SEÑORA FLOR ALBA AGUILAR AL NÚMERO DE TELÉFONO 3123869066 INDICA QUE SE ENCUENTRA EN CIUDAD DE TUNJA Y ATIENDE VISITA EL DIA DE MAÑANA | 16/10/2025 SE VISITA CB INSTALACION AVISO EXTERIOR</t>
  </si>
  <si>
    <t>GONZALEZ GONZALEZ MARIO ALBERTO</t>
  </si>
  <si>
    <t>2872564</t>
  </si>
  <si>
    <t>3007079902</t>
  </si>
  <si>
    <t>DISTRICOL MULTICENTER DEL CAFE</t>
  </si>
  <si>
    <t>FO-25-1674605</t>
  </si>
  <si>
    <t>11/10/2025 POR FAVOR, COMUNICARSE CON USUARIO PARA CONFIRMAR UBICACION, SOLICITUD Y PROGRAMAR VISITA TECNICA | 15/10/2025 SE INSTALA AVISO EXTERIOR.</t>
  </si>
  <si>
    <t>2875904</t>
  </si>
  <si>
    <t>3007060705</t>
  </si>
  <si>
    <t>DISTRICOL CORRESPONSAL LA 27</t>
  </si>
  <si>
    <t>FO-25-1680968</t>
  </si>
  <si>
    <t>14/10/2025 POR FAVOR, COMUNICARSE CON USUARIO PARA CONFIRMAR UBICACION, SOLICITUD Y PROGRAMAR VISITA TECNICA | 15/10/2025 SE INSTALA AVISO EXTERIOR SIN PROBLEMA</t>
  </si>
  <si>
    <t>2875980</t>
  </si>
  <si>
    <t>3007078137</t>
  </si>
  <si>
    <t>PTM PEREIRA PUNTOSERVIS PEREIR</t>
  </si>
  <si>
    <t>FO-25-1680967</t>
  </si>
  <si>
    <t>14/10/2025 POR FAVOR, COMUNICARSE CON USUARIO PARA CONFIRMAR UBICACION, SOLICITUD Y PROGRAMAR VISITA TECNICA | 16/10/2025 VISITAMOS COMERCIO REALIZAMOS INSTALACIÓN DE AVISO EXTERIOR YA QUE SE CAYÓ EL QUE TENIA Y SE DAÑO</t>
  </si>
  <si>
    <t>ARROYAVE CANO MANUEL GUILLERMO</t>
  </si>
  <si>
    <t>2878493</t>
  </si>
  <si>
    <t>3007078757</t>
  </si>
  <si>
    <t>DISTRICOL DROGUERIVARIEDAD21</t>
  </si>
  <si>
    <t>FO-25-1681888</t>
  </si>
  <si>
    <t>14/10/2025 POR FAVOR, COMUNICARSE CON USUARIO PARA CONFIRMAR UBICACION, SOLICITUD Y PROGRAMAR VISITA TECNICA | 15/10/2025 SE VISITA COMERCIO Y SE HACE INSTALACIÓN DE AVISÓ EXTERIOR YA QUE UNA TORMENTA SE LO PARTIÓ.</t>
  </si>
  <si>
    <t>2878571</t>
  </si>
  <si>
    <t>3007037708</t>
  </si>
  <si>
    <t>BARRIO PRIMAVERA ENVIGADO 2</t>
  </si>
  <si>
    <t>FO-25-1681892</t>
  </si>
  <si>
    <t>14/10/2025 POR FAVOR, COMUNICARSE CON USUARIO PARA CONFIRMAR UBICACION, SOLICITUD Y PROGRAMAR VISITA TECNICA | 16/10/2025 SE COMUNICA CON CLIENTE E INFORMA QUE NO NECESITA AVISO EXTERIOR SINO FLANGER Y ESTE NO SE FACILITA</t>
  </si>
  <si>
    <t>2879382</t>
  </si>
  <si>
    <t>3007055044</t>
  </si>
  <si>
    <t>BARRIO CENTRO PEREIRA 31</t>
  </si>
  <si>
    <t>FO-25-1681884</t>
  </si>
  <si>
    <t>14/10/2025 POR FAVOR, COMUNICARSE CON USUARIO PARA CONFIRMAR UBICACION, SOLICITUD Y PROGRAMAR VISITA TECNICA | 16/10/2025 VISITAMOS COMERCIO REALIZAMOS INSTALACIÓN DE AVISO EXTERIOR YA QUE EL QUE TENIA SE LO ROBARON.</t>
  </si>
  <si>
    <t>41298</t>
  </si>
  <si>
    <t>2882918</t>
  </si>
  <si>
    <t>3007053186</t>
  </si>
  <si>
    <t>GARZON</t>
  </si>
  <si>
    <t>BARRIO CENTRO GARZON 8</t>
  </si>
  <si>
    <t>FO-25-1685814</t>
  </si>
  <si>
    <t>15/10/2025 POR FAVOR, COMUNICARSE CON USUARIO PARA CONFIRMAR UBICACION, SOLICITUD Y PROGRAMAR VISITA TECNICA | 17/10/2025 SE LLEGA AL PUNTO , SE EVIDENCIA AVISO EXTERIOR INSTALADO, SE INGRESA AL COMERCIO CLIENTE INDICA QUE AVISO SE LO PRESTARON DE OTRO CORRESPONSAL , SE ESCALA LA NOVEDAD Y NO HAY AUTORIZACIÓN DE INSTALAR .</t>
  </si>
  <si>
    <t>18753</t>
  </si>
  <si>
    <t>2884667</t>
  </si>
  <si>
    <t>3007035694</t>
  </si>
  <si>
    <t>SAN VICENTE DEL CAGUAN</t>
  </si>
  <si>
    <t>DISTRICOL VETERINARIA LA TIEND</t>
  </si>
  <si>
    <t>FO-25-1686075</t>
  </si>
  <si>
    <t>15/10/2025 POR FAVOR, COMUNICARSE CON USUARIO PARA CONFIRMAR UBICACION, SOLICITUD Y PROGRAMAR VISITA TECNICA | 21/10/2025 SE REALIZA INSTALACIÓN DE AVISO EXTERIOR SIN NOVEDAD.</t>
  </si>
  <si>
    <t>TERRESTRE / AEREO</t>
  </si>
  <si>
    <t>50001</t>
  </si>
  <si>
    <t>2885647</t>
  </si>
  <si>
    <t>3007079685</t>
  </si>
  <si>
    <t>BARRIO JORDAN VILLAVICENCIO 12</t>
  </si>
  <si>
    <t>FO-25-1689071</t>
  </si>
  <si>
    <t>15/10/2025 POR FAVOR, COMUNICARSE CON USUARIO PARA CONFIRMAR UBICACION, SOLICITUD Y PROGRAMAR VISITA TECNICA | 16/10/2025 SE REALIZA INSTALACIÓN DE AVISO EXTERIOR OK SIN NOVEDAD</t>
  </si>
  <si>
    <t>CASTRILLON URREA LONDIER LEANDRO</t>
  </si>
  <si>
    <t>20400</t>
  </si>
  <si>
    <t>2885911</t>
  </si>
  <si>
    <t>3007040623</t>
  </si>
  <si>
    <t>LA JAGUA DE IBIRICO</t>
  </si>
  <si>
    <t>BARRIO CINCO DE MARZO LA JAGUA</t>
  </si>
  <si>
    <t>FO-25-1689069</t>
  </si>
  <si>
    <t>15/10/2025 POR FAVOR, COMUNICARSE CON USUARIO PARA CONFIRMAR UBICACION, SOLICITUD Y PROGRAMAR VISITA TECNICA | 22/10/2025 SE REALIZA INSTALACIÓN DE PUBLICIDAD YA QUE LA QUE TENIA SE LE PARTIÓ</t>
  </si>
  <si>
    <t>2890679</t>
  </si>
  <si>
    <t>3007069525</t>
  </si>
  <si>
    <t>DISTRICOL PAADERIA Y GUARD</t>
  </si>
  <si>
    <t>FO-25-1694897</t>
  </si>
  <si>
    <t>16/10/2025 POR FAVOR, COMUNICARSE CON USUARIO PARA CONFIRMAR UBICACION, SOLICITUD Y PROGRAMAR VISITA TECNICA | 22/10/2025 SE INSTALA AVISO EXTERIOR OK</t>
  </si>
  <si>
    <t>25312</t>
  </si>
  <si>
    <t>2891513</t>
  </si>
  <si>
    <t>3007018230</t>
  </si>
  <si>
    <t>CENTRO GRANADA</t>
  </si>
  <si>
    <t>FO-25-1694894</t>
  </si>
  <si>
    <t>16/10/2025 POR FAVOR, COMUNICARSE CON USUARIO PARA CONFIRMAR UBICACION, SOLICITUD Y PROGRAMAR VISITA TECNICA | 20/10/2025 SE REALIZA ENTREGA E INSTALACIÓN DE AVISO EXTERIOR SIN NOVEDAD NO SE MANIPULA DATAFONO</t>
  </si>
  <si>
    <t>2891737</t>
  </si>
  <si>
    <t>3007070581</t>
  </si>
  <si>
    <t>DISTRICOL ROSA DIVINA</t>
  </si>
  <si>
    <t>FO-25-1694892</t>
  </si>
  <si>
    <t>16/10/2025 POR FAVOR, COMUNICARSE CON USUARIO PARA CONFIRMAR UBICACION, SOLICITUD Y PROGRAMAR VISITA TECNICA | 20/10/2025 SE REALIZA INSTALACIÓN DE AVISO EXTERIOR YA QUE EL ANTERIOR SE DAÑÓ</t>
  </si>
  <si>
    <t>68385</t>
  </si>
  <si>
    <t>2891987</t>
  </si>
  <si>
    <t>3007080277</t>
  </si>
  <si>
    <t>LANDAZURI</t>
  </si>
  <si>
    <t>BARRIO EL CENTRO LANDAZURI</t>
  </si>
  <si>
    <t>FO-25-1694891</t>
  </si>
  <si>
    <t>16/10/2025 POR FAVOR, COMUNICARSE CON USUARIO PARA CONFIRMAR UBICACION, SOLICITUD Y PROGRAMAR VISITA TECNICA | 18/10/2025 SE VISITA CB INSTALACION AVISO EXTERIOR</t>
  </si>
  <si>
    <t>95001</t>
  </si>
  <si>
    <t>2893285</t>
  </si>
  <si>
    <t>3007057420</t>
  </si>
  <si>
    <t>GUAVIARE</t>
  </si>
  <si>
    <t>SAN JOSE DEL GUAVIARE</t>
  </si>
  <si>
    <t>BARRIO EL MODELO SAN JOSE DEL</t>
  </si>
  <si>
    <t>FO-25-1695508</t>
  </si>
  <si>
    <t>16/10/2025 POR FAVOR, COMUNICARSE CON USUARIO PARA CONFIRMAR UBICACION, SOLICITUD Y PROGRAMAR VISITA TECNICA | 18/10/2025 SE REALIZA CAMBIO DE AVISO EXTERIOR POR DAÑO, SE DEJA EL MARCO EXISTENTE, SE DEBE PERFORAR Y NO HAY SERVICIO DE ENERGÍA PARA UTILIZAR EL TALADRO, SE ENTREGA EL MARCO NUEVO AL CLIENTE.</t>
  </si>
  <si>
    <t>2894591</t>
  </si>
  <si>
    <t>3007068415</t>
  </si>
  <si>
    <t>PALMAR BOGOTA 1</t>
  </si>
  <si>
    <t>FO-25-1697844</t>
  </si>
  <si>
    <t>17/10/2025 POR FAVOR, COMUNICARSE CON USUARIO PARA CONFIRMAR UBICACION, SOLICITUD Y PROGRAMAR VISITA TECNICA | 18/10/2025 SE REALIZA VISITA DE CAMPO DONDE SE INSTALA AVISO DE ACUERDO A INDICACIONES DEL CLIENTE, NO SE MANIPULA EQUIPOS.</t>
  </si>
  <si>
    <t>2896915</t>
  </si>
  <si>
    <t>3007063246</t>
  </si>
  <si>
    <t>DISTRICOL ALMACEN YALI</t>
  </si>
  <si>
    <t>FO-25-1698983</t>
  </si>
  <si>
    <t>14/10/2025 POR FAVOR, COMUNICARSE CON USUARIO PARA CONFIRMAR UBICACION, SOLICITUD Y PROGRAMAR VISITA TECNICA | 18/10/2025 SE REALIZA INSTALACIÓN DE AVISO EXTERIOR PORQUE SE LO ROBARON, NO SE INTERVIENE EQUIPOS</t>
  </si>
  <si>
    <t>2897372</t>
  </si>
  <si>
    <t>3007053198</t>
  </si>
  <si>
    <t>BARRIO ESPERANZA VILLAVICENCIO</t>
  </si>
  <si>
    <t>FO-25-1698981</t>
  </si>
  <si>
    <t>14/10/2025 POR FAVOR, COMUNICARSE CON USUARIO PARA CONFIRMAR UBICACION, SOLICITUD Y PROGRAMAR VISITA TECNICA | 18/10/2025 SE REALIZA INSTALACION DE AVISO EXTERIOR</t>
  </si>
  <si>
    <t>25099</t>
  </si>
  <si>
    <t>2897572</t>
  </si>
  <si>
    <t>3007044595</t>
  </si>
  <si>
    <t>BOJACA</t>
  </si>
  <si>
    <t>BARRIO SANTA HELENA BOJACA</t>
  </si>
  <si>
    <t>FO-25-1699559</t>
  </si>
  <si>
    <t>17/10/2025 POR FAVOR, COMUNICARSE CON USUARIO PARA CONFIRMAR UBICACION, SOLICITUD Y PROGRAMAR VISITA TECNICA | 22/10/2025 INSTALACIÓN DE AVISO EXTERIOR OK NO SE MANIPULAN EQUIPOS</t>
  </si>
  <si>
    <t>HERNANDEZ NARANJO OSCAR EDUARDO</t>
  </si>
  <si>
    <t>2897717</t>
  </si>
  <si>
    <t>3007078231</t>
  </si>
  <si>
    <t>DISTRICOL RODAMIENTOS PRADO</t>
  </si>
  <si>
    <t>FO-25-1699557</t>
  </si>
  <si>
    <t>17/10/2025 POR FAVOR, COMUNICARSE CON USUARIO PARA CONFIRMAR UBICACION, SOLICITUD Y PROGRAMAR VISITA TECNICA | 18/10/2025 SE INSTALA AVISO EXTERIOR OK</t>
  </si>
  <si>
    <t>20710</t>
  </si>
  <si>
    <t>2898511</t>
  </si>
  <si>
    <t>3007026637</t>
  </si>
  <si>
    <t>SAN ALBERTO</t>
  </si>
  <si>
    <t>BARRIO CENTRO SAN ALBERTO CESA</t>
  </si>
  <si>
    <t>FO-25-1700352</t>
  </si>
  <si>
    <t>21/10/2025 SE HACE PRESENCIA EN COMERCIO SE REALIZA INSTALACIÓN DE UN AVISO EXTERIOR DEBIDO A QUE EL QUE ESTA EN EL COMERCIO SE PARTIÓ</t>
  </si>
  <si>
    <t>2899705</t>
  </si>
  <si>
    <t>3007062234</t>
  </si>
  <si>
    <t>PTM PAGOS YA MELENDEZ</t>
  </si>
  <si>
    <t>FO-25-1701684</t>
  </si>
  <si>
    <t>18/10/2025 POR FAVOR, COMUNICARSE CON USUARIO PARA CONFIRMAR UBICACION, SOLICITUD Y PROGRAMAR VISITA TECNICA | 22/10/2025 SE INSTALA PUBLICIDAD EXTERIOR</t>
  </si>
  <si>
    <t>VALENCIA GONZALEZ JOSE DANIEL</t>
  </si>
  <si>
    <t>2899996</t>
  </si>
  <si>
    <t>3007026843</t>
  </si>
  <si>
    <t>LA ESPERANZA SAN JOSE DEL GUAV</t>
  </si>
  <si>
    <t>FO-25-1704100</t>
  </si>
  <si>
    <t>19/10/2025 POR FAVOR, COMUNICARSE CON USUARIO PARA CONFIRMAR UBICACION, SOLICITUD Y PROGRAMAR VISITA TECNICA | 22/10/2025 SE REALIZA INSTALACION DE AVISO EXTERIOR</t>
  </si>
  <si>
    <t>2900880</t>
  </si>
  <si>
    <t>3007075076</t>
  </si>
  <si>
    <t>BARRIO MANZANARES NEIVA 2</t>
  </si>
  <si>
    <t>FO-25-1704283</t>
  </si>
  <si>
    <t>19/10/2025 POR FAVOR, COMUNICARSE CON USUARIO PARA CONFIRMAR UBICACION, SOLICITUD Y PROGRAMAR VISITA TECNICA | 22/10/2025 SE LLEGA A SITIO, SE REALIZA INSTALACIÓN DE AVISO EXTERIOR</t>
  </si>
  <si>
    <t>2906855</t>
  </si>
  <si>
    <t>3007080637</t>
  </si>
  <si>
    <t>BARRIO CAICEDO MEDELLIN 16</t>
  </si>
  <si>
    <t>FO-25-1707370</t>
  </si>
  <si>
    <t>20/10/2025 SE INTENTA COMUNICACIÓN AL NÚMERO 3226002672 PERO NO HAY CONTACTO,SE ESCALA AL COORDINADOR DE ZONA PARA VISITA | 23/10/2025 INSTALACIÓN DE AVISO EXTERIOR OK</t>
  </si>
  <si>
    <t>2909507</t>
  </si>
  <si>
    <t>3007065584</t>
  </si>
  <si>
    <t>DISTRICOL TECNOMAX VARIEDADES</t>
  </si>
  <si>
    <t>FO-25-1710722</t>
  </si>
  <si>
    <t>21/10/2025 EN COMUNICACIÓN CON LA SRA JESSICA GUERRERO AL NÚMERO 3112486823 NOS CONFIRMA LA SOLICITUD, DATOS CORRECTOS, SE ESCALA PARA VISITA | 27/10/2025 SE REALIZA INSTALACIÓN DE AVISO EXTERIOR YA QUE EL ANTERIOR SE CAYÓ Y SE DAÑÓ, AVISO INSTALADO SIN NOVEDAD.</t>
  </si>
  <si>
    <t>25599</t>
  </si>
  <si>
    <t>2910417</t>
  </si>
  <si>
    <t>3007069760</t>
  </si>
  <si>
    <t>APULO</t>
  </si>
  <si>
    <t>BARRIO CENTRO APULO 3</t>
  </si>
  <si>
    <t>FO-25-1710719</t>
  </si>
  <si>
    <t>21/10/2025 EN COMUNICACIÓN CON EL SR DAVID MARTINEZ AL NÚMERO 3023859985  NOS CONFIRMA LA SOLICITUD, DATOS CORRECTOS, SE ESCALA PARA VISITA | 22/10/2025 SE REALIZA INSTALACIÓN DE AVISO EXTERIOR EN LUGAR INDICADO POR COMERCIO NO SE MANIPULA EQUIPOS  SIN NOVEDAD EN INSTALACIÓN</t>
  </si>
  <si>
    <t>41676</t>
  </si>
  <si>
    <t>2912596</t>
  </si>
  <si>
    <t>3007030024</t>
  </si>
  <si>
    <t>SANTA MARIA</t>
  </si>
  <si>
    <t>CENTRO SANTA MARIA II HUILA</t>
  </si>
  <si>
    <t>FO-25-1711336</t>
  </si>
  <si>
    <t>21/10/2025 SE INTENTA COMUNICACIÓN AL NÚMERO 3157750856 PERO NO HAY CONTACTO | 21/10/2025 SE INTENTA COMUNICACIÓN AL NÚMERO 3157750856 PERO NO HAY CONTACTO | 21/10/2025 POR FAVOR COMUNICARSE CON USUARIO PARA CONFIRMAR UBICACION, SE ESCALA PARA VISITA TECNICA | 23/10/2025 SE LLEGA A SITIO, SE INSTALA AVISO EXTERIOR</t>
  </si>
  <si>
    <t>2913008</t>
  </si>
  <si>
    <t>3007074613</t>
  </si>
  <si>
    <t>PTM IBAGUE  C&amp;M COMERCIALIZADO</t>
  </si>
  <si>
    <t>FO-25-1711564</t>
  </si>
  <si>
    <t>21/10/2025 EN COMUNICACIÓN CON LA SRA  AIDE YURANY MORENO AL NÚMERO 3212324420  NOS CONFIRMA LA SOLICITUD, DATOS CORRECTOS, SE ESCALA PARA VISITA | 23/10/2025 SE REALIZA INSTALACIÓN DE AVISO EXTERIOR POR SOLICITUD DEL CLIENTE.</t>
  </si>
  <si>
    <t>2914738</t>
  </si>
  <si>
    <t>3007080372</t>
  </si>
  <si>
    <t>BARRIO RINCON DE PIEDRA PINTADA IBAGUE 1</t>
  </si>
  <si>
    <t>FO-25-1713220</t>
  </si>
  <si>
    <t>21/10/2025 POR FAVOR COMUNICARSE CON USUARIO PARA CONFIRMAR UBICACION, SE ESCALA PARA VISITA TECNICA | 23/10/2025 SE REALIZA INSTALACIÓN DE AVISO EXTERIOR SIN MARCO POR SOLICITUD DEL CLIENTE, FACHADA DE VIDRIO.</t>
  </si>
  <si>
    <t>52540</t>
  </si>
  <si>
    <t>2915624</t>
  </si>
  <si>
    <t>3007060986</t>
  </si>
  <si>
    <t>POLICARPA</t>
  </si>
  <si>
    <t>BARRIO VEREDA SANTA ROSA POLIC</t>
  </si>
  <si>
    <t>FO-25-1713916</t>
  </si>
  <si>
    <t>21/10/2025 EN COMUNICACIÓN CON LA ESPOSA DEL SR JUAN ARBEY CÓRDOBA FERNÁNDEZ  AL NÚMERO 3217521984 NOS CONFIRMA LA SOLICITUD, SE ESCALA PARA VISITA | 28/10/2025 SE REALIZA ESCALAMIENTO A REDEBAN YA QUE LA ZONA ES DE ALTO RIESGO Y NO SE PUEDE VISITAR POR ORDEN PÚBLICO EL CLIENTE NOS INFORMA REALIZAR EL ENVÍO DEL AVISO, SE LE ENVÍA AVISO Y EL CLIENTE VUELVE A PONERLO EN SU LUGAR</t>
  </si>
  <si>
    <t>HENAO CARDONA DIEGO FERNANDO</t>
  </si>
  <si>
    <t>2917387</t>
  </si>
  <si>
    <t>3007029925</t>
  </si>
  <si>
    <t>BARRIO RIVERA NORTE NEIVA</t>
  </si>
  <si>
    <t>FO-25-1716533</t>
  </si>
  <si>
    <t>22/10/2025 POR FAVOR COMUNICARSE CON USUARIO PARA CONFIRMAR UBICACION, SE ESCALA PARA VISITA | 22/10/2025 SE INSTALA AVISO EXTERIOR SIN NOVEDAD</t>
  </si>
  <si>
    <t>2921933</t>
  </si>
  <si>
    <t>3007071104</t>
  </si>
  <si>
    <t>DISTRICOL JUANES V.I.P</t>
  </si>
  <si>
    <t>FO-25-1720572</t>
  </si>
  <si>
    <t>22/10/2025 POR FAVOR, COMUNICARSE CON USUARIO PARA CONFIRMAR UBICACION, SOLICITUD Y PROGRAMAR VISITA TECNICA | 28/10/2025 SE LLEGA AL CB PERO CB SE ENCUENTRA CERRADO, SE REALIZA LLAMADA A LA CLIENTE QUIEN MANIFESTO NO ESTAR EN CARTAGENA DEL CHAIRA YA QUE POR MOTIVOS PERSONALES VIAJO A FLORENCIA, LA CLIENTE MANIFIESTA QUE TIENE UN HERMANO QUE PUEDE RECIBIRME PARA REALIZAR LA INSTALACIÓN POR FUERA DE LA CASA YA QUE EL NO TIENE ACCESO AL COMERCIO Y AL DATÁFONO, SE LE INDICA LA NOVEDAD AL COORDINADOR QUIEN REPORTA LA NOVEDAD A REDEBAN Y ELLOS AUTORIZAN LA INSTALACIÓN Y QUE NO SE INCLUYA EN EL FO LA TIRILLA DE PRUEBA YA QUE NO SE TIENE ACCESO AL COMERCIO PARA PODER GENERAR LA TIRILLA EN EL DATÁFONO, INSTALACIÓN EXITOSA DEL AVISO EXTERIOR.</t>
  </si>
  <si>
    <t>2924978</t>
  </si>
  <si>
    <t>3007080577</t>
  </si>
  <si>
    <t>BARRIO 12 DE OCTUBRE BOGOTA 2</t>
  </si>
  <si>
    <t>FO-25-1723369</t>
  </si>
  <si>
    <t>23/10/2025 POR FAVOR, COMUNICARSE CON USUARIO PARA CONFIRMAR UBICACION, SOLICITUD Y PROGRAMAR VISITA TECNICA | 24/10/2025 SE INSTALA AVISO EXTERIOR</t>
  </si>
  <si>
    <t>BARRAGAN LAGOS JUAN MANUEL</t>
  </si>
  <si>
    <t>2925381</t>
  </si>
  <si>
    <t>3007073902</t>
  </si>
  <si>
    <t>PTM PASTO  PAPELERIA DATHI</t>
  </si>
  <si>
    <t>FO-25-1723362</t>
  </si>
  <si>
    <t>23/10/2025 POR FAVOR, COMUNICARSE CON USUARIO PARA CONFIRMAR UBICACION, SOLICITUD Y PROGRAMAR VISITA TECNICA | 24/10/2025 SE REALIZA INSTALACIÓN DE AVISO EXTERIOR POR MOTIVO DE ROBO, INSTALACIÓN DE AVISO EXTERIOR OK</t>
  </si>
  <si>
    <t>2925650</t>
  </si>
  <si>
    <t>3007020926</t>
  </si>
  <si>
    <t>BARRIO CENTRO III AGUAZUL</t>
  </si>
  <si>
    <t>FO-25-1723551</t>
  </si>
  <si>
    <t>23/10/2025 POR FAVOR, COMUNICARSE CON USUARIO PARA CONFIRMAR UBICACION, SOLICITUD Y PROGRAMAR VISITA TECNICA | 24/10/2025 EN COMUNICACIÓN CON LA SEÑORA LEONELLY WBER AL NUMERO 3112306352, INDICA LA SOLICITUD ES PARA UN AVISO EXTERIOR ADICIONAL, SE LE INFORMA QUE POR POLÍTICAS DEL BANCO SOLO SE PUEDE TENER UN AVISO. INFORMA DESISTE DE LA SOLICITUD YA QUE CUENTA CON UN SEGUNDO AVISO INSTALADO.</t>
  </si>
  <si>
    <t>5490</t>
  </si>
  <si>
    <t>2926025</t>
  </si>
  <si>
    <t>3007038808</t>
  </si>
  <si>
    <t>NECOCLI</t>
  </si>
  <si>
    <t>PTM NECOCLI ANGELLY</t>
  </si>
  <si>
    <t>FO-25-1724792</t>
  </si>
  <si>
    <t>23/10/2025 POR FAVOR, COMUNICARSE CON USUARIO PARA CONFIRMAR UBICACION, SOLICITUD Y PROGRAMAR VISITA TECNICA | 27/10/2025 SE LLEGA AL SITIO, SE REALIZA LA INSTALACIÓN DEL AVISO EXTERIOR DONDE EL CLIENTE INDICA , CB OPERANDO CON NORMALIDAD</t>
  </si>
  <si>
    <t>ARRAZOLA HERNANDEZ NICOLAS AUGUSTO</t>
  </si>
  <si>
    <t>2930317</t>
  </si>
  <si>
    <t>3007016761</t>
  </si>
  <si>
    <t>MATERIALES EMO    VILLAVICENCI</t>
  </si>
  <si>
    <t>FO-25-1728787</t>
  </si>
  <si>
    <t>24/10/2025 POR FAVOR, COMUNICARSE CON USUARIO PARA CONFIRMAR UBICACION, SOLICITUD Y PROGRAMAR VISITA TECNICA | 24/10/2025 SE REALIZA VISITA AL CB POR SOLICITUD DE AVISO EXTERIOR, SE INSTALA AVISO SIN ALUMINIO POR DESICION DEL USUARIO YA QUE DICE QUE SE LO ROB AN SI LO DEJAMOS CON EL ALUMINIO, SE ESCALA EL CASO CON EL JEFE DE ZONA PARA REALIZAR LA INSTALACIÓN Y SE REALIZA LA INSTALACIÓN</t>
  </si>
  <si>
    <t>MOLINA CASTRO JAVIER ALBERTO</t>
  </si>
  <si>
    <t>68077</t>
  </si>
  <si>
    <t>2930959</t>
  </si>
  <si>
    <t>3007031806</t>
  </si>
  <si>
    <t>BARRIO JOSE ANTONIO GALAN BARB</t>
  </si>
  <si>
    <t>FO-25-1729370</t>
  </si>
  <si>
    <t>24/10/2025 POR FAVOR, COMUNICARSE CON USUARIO PARA CONFIRMAR UBICACION, SOLICITUD Y PROGRAMAR VISITA TECNICA | 25/10/2025 SE VISITA CB INSTALACION AVISO EXTERIOR</t>
  </si>
  <si>
    <t>2931624</t>
  </si>
  <si>
    <t>3007067715</t>
  </si>
  <si>
    <t>DISTRICOL DP PRIMAVERA EXPRESS</t>
  </si>
  <si>
    <t>FO-25-1730078</t>
  </si>
  <si>
    <t>24/10/2025 POR FAVOR, COMUNICARSE CON USUARIO PARA CONFIRMAR UBICACION, SOLICITUD Y PROGRAMAR VISITA TECNICA | 27/10/2025 SE REALIZA INSTALACIÓN DE AVISO EXTERIOR</t>
  </si>
  <si>
    <t>MICHELI LOPEZ MIGUEL ANGEL</t>
  </si>
  <si>
    <t>25473</t>
  </si>
  <si>
    <t>2931637</t>
  </si>
  <si>
    <t>3007079945</t>
  </si>
  <si>
    <t>MOSQUERA</t>
  </si>
  <si>
    <t>BARRIO EL POBLADO MOSQUERA 4</t>
  </si>
  <si>
    <t>FO-25-1730074</t>
  </si>
  <si>
    <t>24/10/2025 POR FAVOR, COMUNICARSE CON USUARIO PARA CONFIRMAR UBICACION, SOLICITUD Y PROGRAMAR VISITA TECNICA | 29/10/2025 INSTALACIÓN DE AVISO EXTERIOR ROBADO</t>
  </si>
  <si>
    <t>8832</t>
  </si>
  <si>
    <t>2932906</t>
  </si>
  <si>
    <t>3007060935</t>
  </si>
  <si>
    <t>TUBARA</t>
  </si>
  <si>
    <t>BARRIO CENTRO TUBARA 1</t>
  </si>
  <si>
    <t>FO-25-1731516</t>
  </si>
  <si>
    <t>24/10/2025 SE ESCALA PARA VISITA, POR FAVOR LLAMAR PARA CONFIRMAR UBICACIÓN | 27/10/2025 SE INSTALA AVISO EXTERIOR, EL QUE ESTABA SE DAÑO Y NO ESTABA EN SITIO</t>
  </si>
  <si>
    <t>DE AVILA SIADES ALBERTO ENRIQUE</t>
  </si>
  <si>
    <t>2934292</t>
  </si>
  <si>
    <t>3007010660</t>
  </si>
  <si>
    <t>SAN MARCOS II - SUCRE</t>
  </si>
  <si>
    <t>FO-25-1733074</t>
  </si>
  <si>
    <t>25/10/2025 POR FAVOR, COMUNICARSE CON USUARIO PARA CONFIRMAR UBICACION, SOLICITUD Y PROGRAMAR VISITA TECNICA | 31/10/2025 SE VISITA COMERCIO Y SE HACE INSTALACIÓN DE AVISÓ EXTERIOR YA QUE SE LO ROBARON.</t>
  </si>
  <si>
    <t>2939101</t>
  </si>
  <si>
    <t>3007058867</t>
  </si>
  <si>
    <t>BARRIO CENTRO AGUSITN CODAZZI</t>
  </si>
  <si>
    <t>FO-25-1739212</t>
  </si>
  <si>
    <t>27/10/2025 POR FAVOR, COMUNICARSE CON USUARIO PARA CONFIRMAR UBICACION, SOLICITUD Y PROGRAMAR VISITA TECNICA | 28/10/2025 BUENAS TARDES SE VISITA CB Y SE LE HACE INSTALACIÓN DE AVISO EXTERIOR</t>
  </si>
  <si>
    <t>2940358</t>
  </si>
  <si>
    <t>3007078581</t>
  </si>
  <si>
    <t>BARRIO SAN JOAQUIN MEDELLIN 4</t>
  </si>
  <si>
    <t>FO-25-1740074</t>
  </si>
  <si>
    <t>27/10/2025 POR FAVOR, COMUNICARSE CON USUARIO PARA CONFIRMAR UBICACION, SOLICITUD Y PROGRAMAR VISITA TECNICA | 29/10/2025 SE INSTALA NUEVO AVISO EXTERIOR YA QUE EL QUE HABÍA SE LO LLEVO UN VENDAVAL</t>
  </si>
  <si>
    <t>2940950</t>
  </si>
  <si>
    <t>3007081108</t>
  </si>
  <si>
    <t>BARRIO CENTRO BELLO 1</t>
  </si>
  <si>
    <t>FO-25-1741277</t>
  </si>
  <si>
    <t>27/10/2025 POR FAVOR, COMUNICARSE CON USUARIO PARA CONFIRMAR UBICACION, SOLICITUD Y PROGRAMAR VISITA TECNICA | 29/10/2025 SE REALIZA INSTALACIÓN DE AVISO EXTERIOR YA QUE EN ANTERIOR SE LO ROBARON</t>
  </si>
  <si>
    <t>19845</t>
  </si>
  <si>
    <t>2951726</t>
  </si>
  <si>
    <t>3007053599</t>
  </si>
  <si>
    <t>VILLA RICA</t>
  </si>
  <si>
    <t>PTM VILLA RICA PAPELERIA LICET</t>
  </si>
  <si>
    <t>FO-25-1751108</t>
  </si>
  <si>
    <t>29/10/2025 SE INTENTA COMUNICACIÓN EN VARIAS OCASIONES CON LA SEÑORA YENSY ZORAYA RIASCOS AL NUMERO 3016236727 PERO NO FUE POSIBLE, SE ESCALA PARA VALIDAR EN SITIO | 30/10/2025 SE REALIZA INSTALACIÓN DE UN AVISO EXTERIOR DEBIDO A QUE EL ANTERIOR SE CAYÓ Y SE PARTIO, NO SE INTERVIENE EQUIPOS</t>
  </si>
  <si>
    <t>2955237</t>
  </si>
  <si>
    <t>3007073290</t>
  </si>
  <si>
    <t>BARRIO LA YE LA JAGUA DE IBIRI</t>
  </si>
  <si>
    <t>FO-25-1754037</t>
  </si>
  <si>
    <t>29/10/2025 POR FAVOR, COMUNICARSE CON USUARIO PARA CONFIRMAR UBICACION, SOLICITUD Y PROGRAMAR VISITA TECNICA | 31/10/2025 SE REALIZA INSTALACIÓN DE AVISÓ EXTERIOR EN DIRECCIÓN DE CB</t>
  </si>
  <si>
    <t>FACTURACIÓN CORRESPONSALES BANCARIOS TIQUIETES AEREOS</t>
  </si>
  <si>
    <t>MES</t>
  </si>
  <si>
    <t>NIT Proveedor</t>
  </si>
  <si>
    <t>Nombre Proveedor (el proveedor ya debe estar creado para el Grupo Bancolombia)</t>
  </si>
  <si>
    <t>Concepto Facturación</t>
  </si>
  <si>
    <t>Público al que le instalo la publicidad</t>
  </si>
  <si>
    <t>No. personas impactadas</t>
  </si>
  <si>
    <t>Valor a Facturar sin IVA</t>
  </si>
  <si>
    <t>Valor a Facturar con IVA</t>
  </si>
  <si>
    <t>CONCEPTOS</t>
  </si>
  <si>
    <t>TRAYECTOS</t>
  </si>
  <si>
    <t>TOTAL</t>
  </si>
  <si>
    <t xml:space="preserve">% Administración </t>
  </si>
  <si>
    <t>OCTUBRE DE 2025</t>
  </si>
  <si>
    <t>811013990-5</t>
  </si>
  <si>
    <t>LINEA COMUNICACIONES S.A.S</t>
  </si>
  <si>
    <t>INSTALACION PUBLICIDAD APERTURAS CORRESPONSALES BANCARIOS</t>
  </si>
  <si>
    <t xml:space="preserve">OPERADOR DEL CORRESPONSAL BANCARIO </t>
  </si>
  <si>
    <t>ORDENES DE CAMBIO POR DEMANDA</t>
  </si>
  <si>
    <t>TRAYECTOS ESPECIALES OC</t>
  </si>
  <si>
    <t>TOTAL A FACTURAR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</si>
</sst>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 #,##0.00_-;\-&quot;$&quot;\ * #,##0.00_-;_-&quot;$&quot;\ * &quot;-&quot;??_-;_-@_-"/>
    <numFmt numFmtId="43" formatCode="_-* #,##0.00_-;\-* #,##0.00_-;_-* &quot;-&quot;??_-;_-@_-"/>
    <numFmt numFmtId="164" formatCode="_(&quot;$&quot;\ * #,##0.00_);_(&quot;$&quot;\ * \(#,##0.00\);_(&quot;$&quot;\ * &quot;-&quot;??_);_(@_)"/>
    <numFmt numFmtId="165" formatCode="_(&quot;$&quot;\ * #,##0_);_(&quot;$&quot;\ * \(#,##0\);_(&quot;$&quot;\ * &quot;-&quot;??_);_(@_)"/>
    <numFmt numFmtId="166" formatCode="&quot;$&quot;#,##0.00;\-&quot;$&quot;#,##0.00"/>
    <numFmt numFmtId="167" formatCode="dd/mm/yyyy"/>
    <numFmt numFmtId="168" formatCode="[$-409]d\-m\-yy\ h:mm\ AM/PM;@"/>
    <numFmt numFmtId="169" formatCode="_ &quot;$&quot;\ * #,##0_ ;_ &quot;$&quot;\ * \-#,##0_ ;_ &quot;$&quot;\ * &quot;-&quot;??_ ;_ @_ "/>
    <numFmt numFmtId="170" formatCode="[$-240A]dddd\,\ dd&quot; de &quot;mmmm&quot; de &quot;yyyy"/>
    <numFmt numFmtId="171" formatCode="_ * #,##0.00_ ;_ * \-#,##0.00_ ;_ * &quot;-&quot;??_ ;_ @_ "/>
    <numFmt numFmtId="172" formatCode="_-* #,##0.00\ _€_-;\-* #,##0.00\ _€_-;_-* &quot;-&quot;??\ _€_-;_-@_-"/>
    <numFmt numFmtId="173" formatCode="_-&quot;$&quot;* #,##0.00_-;\-&quot;$&quot;* #,##0.00_-;_-&quot;$&quot;* &quot;-&quot;??_-;_-@_-"/>
    <numFmt numFmtId="174" formatCode="_-&quot;$&quot;* #,##0_-;\-&quot;$&quot;* #,##0_-;_-&quot;$&quot;* &quot;-&quot;_-;_-@_-"/>
    <numFmt numFmtId="175" formatCode="_-&quot;$&quot;\ * #,##0_-;\-&quot;$&quot;\ * #,##0_-;_-&quot;$&quot;\ * &quot;-&quot;??_-;_-@_-"/>
    <numFmt numFmtId="176" formatCode="&quot;$&quot;\ #,##0"/>
    <numFmt numFmtId="177" formatCode="_-&quot;$&quot;* #,##0_-;\-&quot;$&quot;* #,##0_-;_-&quot;$&quot;* &quot;-&quot;??_-;_-@_-"/>
  </numFmts>
  <fonts count="18">
    <font>
      <sz val="11"/>
      <color theme="1"/>
      <name val="Calibri"/>
      <family val="2"/>
      <scheme val="minor"/>
    </font>
    <font>
      <sz val="11"/>
      <color theme="1"/>
      <name val="Calibri"/>
      <family val="2"/>
      <scheme val="minor"/>
    </font>
    <font>
      <sz val="10"/>
      <name val="Arial"/>
      <family val="2"/>
    </font>
    <font>
      <sz val="10"/>
      <color theme="1"/>
      <name val="Apex"/>
      <family val="2"/>
    </font>
    <font>
      <sz val="8"/>
      <color theme="1"/>
      <name val="Century Gothic"/>
      <family val="2"/>
    </font>
    <font>
      <sz val="11"/>
      <color indexed="8"/>
      <name val="Calibri"/>
      <family val="2"/>
    </font>
    <font>
      <sz val="10"/>
      <color rgb="FF000000"/>
      <name val="Arial"/>
      <family val="2"/>
    </font>
    <font>
      <u/>
      <sz val="11"/>
      <color theme="10"/>
      <name val="Calibri"/>
      <family val="2"/>
      <scheme val="minor"/>
    </font>
    <font>
      <sz val="12"/>
      <color theme="1"/>
      <name val="Trebuchet MS"/>
      <family val="2"/>
    </font>
    <font>
      <b/>
      <sz val="11"/>
      <color theme="1"/>
      <name val="Gelion Thin"/>
    </font>
    <font>
      <b/>
      <sz val="8"/>
      <name val="Gelion Thin"/>
    </font>
    <font>
      <sz val="8"/>
      <color rgb="FF000000"/>
      <name val="Gelion Thin"/>
    </font>
    <font>
      <sz val="8"/>
      <color theme="1"/>
      <name val="Gelion Thin"/>
    </font>
    <font>
      <sz val="11"/>
      <color rgb="FF000000"/>
      <name val="Gelion Thin"/>
    </font>
    <font>
      <b/>
      <sz val="11"/>
      <color rgb="FFFFFFFF"/>
      <name val="Calibri"/>
      <family val="2"/>
    </font>
    <font>
      <b/>
      <sz val="11"/>
      <name val="Gelion Thin"/>
    </font>
    <font>
      <sz val="8"/>
      <name val="Gelion Thin"/>
    </font>
    <font>
      <b/>
      <sz val="11"/>
      <color rgb="FF00B050"/>
      <name val="Calibri"/>
      <family val="2"/>
      <scheme val="minor"/>
    </font>
  </fonts>
  <fills count="6">
    <fill>
      <patternFill patternType="none"/>
    </fill>
    <fill>
      <patternFill patternType="gray125"/>
    </fill>
    <fill>
      <patternFill patternType="solid">
        <fgColor rgb="FF9B9B9A"/>
        <bgColor indexed="64"/>
      </patternFill>
    </fill>
    <fill>
      <patternFill patternType="solid">
        <fgColor rgb="FFB0F70A"/>
        <bgColor indexed="64"/>
      </patternFill>
    </fill>
    <fill>
      <patternFill patternType="solid">
        <fgColor theme="6" tint="0.79998168889431442"/>
        <bgColor indexed="64"/>
      </patternFill>
    </fill>
    <fill>
      <patternFill patternType="solid">
        <fgColor rgb="FF001D62"/>
        <bgColor rgb="FF001D62"/>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s>
  <cellStyleXfs count="85">
    <xf numFmtId="0" fontId="0" fillId="0" borderId="0"/>
    <xf numFmtId="164" fontId="1" fillId="0" borderId="0"/>
    <xf numFmtId="0" fontId="2" fillId="0" borderId="0"/>
    <xf numFmtId="164" fontId="1" fillId="0" borderId="0"/>
    <xf numFmtId="0" fontId="2" fillId="0" borderId="0"/>
    <xf numFmtId="164" fontId="2" fillId="0" borderId="0"/>
    <xf numFmtId="0" fontId="1" fillId="0" borderId="0"/>
    <xf numFmtId="164" fontId="2" fillId="0" borderId="0"/>
    <xf numFmtId="0" fontId="3" fillId="0" borderId="0"/>
    <xf numFmtId="0" fontId="1" fillId="0" borderId="0"/>
    <xf numFmtId="0" fontId="2" fillId="0" borderId="0"/>
    <xf numFmtId="0" fontId="2" fillId="0" borderId="0"/>
    <xf numFmtId="168" fontId="2" fillId="0" borderId="0"/>
    <xf numFmtId="169" fontId="2" fillId="0" borderId="0"/>
    <xf numFmtId="0" fontId="2" fillId="0" borderId="0"/>
    <xf numFmtId="0" fontId="2" fillId="0" borderId="0"/>
    <xf numFmtId="0" fontId="1" fillId="0" borderId="0"/>
    <xf numFmtId="0" fontId="2" fillId="0" borderId="0"/>
    <xf numFmtId="168" fontId="1" fillId="0" borderId="0"/>
    <xf numFmtId="0" fontId="5" fillId="0" borderId="0"/>
    <xf numFmtId="170" fontId="2" fillId="0" borderId="0"/>
    <xf numFmtId="168" fontId="1" fillId="0" borderId="0"/>
    <xf numFmtId="0" fontId="6" fillId="0" borderId="0"/>
    <xf numFmtId="0" fontId="6" fillId="0" borderId="0"/>
    <xf numFmtId="0" fontId="1" fillId="0" borderId="0"/>
    <xf numFmtId="0" fontId="1" fillId="0" borderId="0"/>
    <xf numFmtId="0" fontId="1" fillId="0" borderId="0"/>
    <xf numFmtId="43" fontId="1" fillId="0" borderId="0"/>
    <xf numFmtId="0" fontId="2" fillId="0" borderId="0"/>
    <xf numFmtId="171" fontId="2" fillId="0" borderId="0"/>
    <xf numFmtId="168" fontId="2" fillId="0" borderId="0"/>
    <xf numFmtId="0" fontId="1" fillId="0" borderId="0"/>
    <xf numFmtId="168" fontId="2" fillId="0" borderId="0"/>
    <xf numFmtId="0" fontId="2" fillId="0" borderId="0"/>
    <xf numFmtId="0" fontId="1" fillId="0" borderId="0"/>
    <xf numFmtId="0" fontId="1" fillId="0" borderId="0"/>
    <xf numFmtId="0" fontId="2" fillId="0" borderId="0"/>
    <xf numFmtId="43" fontId="2" fillId="0" borderId="0"/>
    <xf numFmtId="0" fontId="2" fillId="0" borderId="0"/>
    <xf numFmtId="0" fontId="3" fillId="0" borderId="0"/>
    <xf numFmtId="0" fontId="1" fillId="0" borderId="0"/>
    <xf numFmtId="168" fontId="1" fillId="0" borderId="0"/>
    <xf numFmtId="0" fontId="1" fillId="0" borderId="0"/>
    <xf numFmtId="0" fontId="1" fillId="0" borderId="0"/>
    <xf numFmtId="171" fontId="2" fillId="0" borderId="0"/>
    <xf numFmtId="0" fontId="1" fillId="0" borderId="0"/>
    <xf numFmtId="0" fontId="1" fillId="0" borderId="0"/>
    <xf numFmtId="0" fontId="1" fillId="0" borderId="0"/>
    <xf numFmtId="0" fontId="1" fillId="0" borderId="0"/>
    <xf numFmtId="0" fontId="7" fillId="0" borderId="0"/>
    <xf numFmtId="0" fontId="1" fillId="0" borderId="0"/>
    <xf numFmtId="43" fontId="1" fillId="0" borderId="0"/>
    <xf numFmtId="172" fontId="1" fillId="0" borderId="0"/>
    <xf numFmtId="173" fontId="3" fillId="0" borderId="0"/>
    <xf numFmtId="164" fontId="1" fillId="0" borderId="0"/>
    <xf numFmtId="168"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168" fontId="2" fillId="0" borderId="0"/>
    <xf numFmtId="171" fontId="2" fillId="0" borderId="0"/>
    <xf numFmtId="0" fontId="1" fillId="0" borderId="0"/>
    <xf numFmtId="174" fontId="2" fillId="0" borderId="0"/>
    <xf numFmtId="0" fontId="1" fillId="0" borderId="0"/>
    <xf numFmtId="0" fontId="1" fillId="0" borderId="0"/>
    <xf numFmtId="0" fontId="1" fillId="0" borderId="0"/>
    <xf numFmtId="173" fontId="1" fillId="0" borderId="0"/>
    <xf numFmtId="164" fontId="2" fillId="0" borderId="0"/>
    <xf numFmtId="164" fontId="1" fillId="0" borderId="0"/>
    <xf numFmtId="0" fontId="1" fillId="0" borderId="0"/>
    <xf numFmtId="173" fontId="1" fillId="0" borderId="0"/>
    <xf numFmtId="173" fontId="1" fillId="0" borderId="0"/>
    <xf numFmtId="0" fontId="1" fillId="0" borderId="0"/>
    <xf numFmtId="44" fontId="1" fillId="0" borderId="0" applyFont="0" applyFill="0" applyBorder="0" applyAlignment="0" applyProtection="0"/>
  </cellStyleXfs>
  <cellXfs count="58">
    <xf numFmtId="0" fontId="0" fillId="0" borderId="0" xfId="0"/>
    <xf numFmtId="0" fontId="4" fillId="0" borderId="0" xfId="0" applyFont="1"/>
    <xf numFmtId="0" fontId="12" fillId="0" borderId="0" xfId="0" applyFont="1"/>
    <xf numFmtId="164" fontId="12" fillId="0" borderId="1" xfId="3" applyFont="1" applyBorder="1" applyAlignment="1">
      <alignment vertical="center" wrapText="1"/>
    </xf>
    <xf numFmtId="0" fontId="11" fillId="0" borderId="1" xfId="0" applyFont="1" applyBorder="1" applyAlignment="1">
      <alignment vertical="center"/>
    </xf>
    <xf numFmtId="0" fontId="11" fillId="0" borderId="4" xfId="0" applyFont="1" applyBorder="1" applyAlignment="1">
      <alignment vertical="center"/>
    </xf>
    <xf numFmtId="165" fontId="12" fillId="0" borderId="0" xfId="0" applyNumberFormat="1" applyFont="1"/>
    <xf numFmtId="0" fontId="9" fillId="0" borderId="1" xfId="83" applyFont="1" applyBorder="1"/>
    <xf numFmtId="0" fontId="1" fillId="0" borderId="0" xfId="83"/>
    <xf numFmtId="0" fontId="10" fillId="2" borderId="1" xfId="0" applyFont="1" applyFill="1" applyBorder="1" applyAlignment="1">
      <alignment vertical="center" wrapText="1"/>
    </xf>
    <xf numFmtId="0" fontId="10" fillId="2" borderId="1" xfId="0" applyFont="1" applyFill="1" applyBorder="1" applyAlignment="1">
      <alignment horizontal="center" vertical="center" wrapText="1"/>
    </xf>
    <xf numFmtId="166" fontId="10" fillId="2" borderId="1" xfId="0" applyNumberFormat="1" applyFont="1" applyFill="1" applyBorder="1" applyAlignment="1">
      <alignment horizontal="left" vertical="center" wrapText="1"/>
    </xf>
    <xf numFmtId="0" fontId="13" fillId="0" borderId="1" xfId="0" applyFont="1" applyBorder="1"/>
    <xf numFmtId="0" fontId="13" fillId="0" borderId="5" xfId="0" applyFont="1" applyBorder="1"/>
    <xf numFmtId="0" fontId="13" fillId="0" borderId="3" xfId="0" applyFont="1" applyBorder="1"/>
    <xf numFmtId="0" fontId="13" fillId="0" borderId="7" xfId="0" applyFont="1" applyBorder="1"/>
    <xf numFmtId="10" fontId="4" fillId="3" borderId="0" xfId="0" applyNumberFormat="1" applyFont="1" applyFill="1" applyAlignment="1">
      <alignment horizontal="center"/>
    </xf>
    <xf numFmtId="165" fontId="12" fillId="4" borderId="1" xfId="3" applyNumberFormat="1" applyFont="1" applyFill="1" applyBorder="1" applyAlignment="1">
      <alignment horizontal="center" vertical="center"/>
    </xf>
    <xf numFmtId="165" fontId="12" fillId="4" borderId="2" xfId="3" applyNumberFormat="1" applyFont="1" applyFill="1" applyBorder="1" applyAlignment="1">
      <alignment horizontal="center" vertical="center"/>
    </xf>
    <xf numFmtId="165" fontId="12" fillId="4" borderId="1" xfId="3" applyNumberFormat="1" applyFont="1" applyFill="1" applyBorder="1" applyAlignment="1">
      <alignment vertical="center" wrapText="1"/>
    </xf>
    <xf numFmtId="165" fontId="12" fillId="4" borderId="1" xfId="3" applyNumberFormat="1" applyFont="1" applyFill="1" applyBorder="1" applyAlignment="1">
      <alignment horizontal="center"/>
    </xf>
    <xf numFmtId="0" fontId="14" fillId="5" borderId="0" xfId="0" applyFont="1" applyFill="1" applyAlignment="1">
      <alignment horizontal="center" vertical="center" wrapText="1"/>
    </xf>
    <xf numFmtId="167" fontId="0" fillId="0" borderId="0" xfId="0" applyNumberFormat="1"/>
    <xf numFmtId="1" fontId="0" fillId="0" borderId="0" xfId="0" applyNumberFormat="1"/>
    <xf numFmtId="0" fontId="10" fillId="2" borderId="1" xfId="0" applyFont="1" applyFill="1" applyBorder="1" applyAlignment="1">
      <alignment horizontal="center" vertical="center"/>
    </xf>
    <xf numFmtId="175" fontId="14" fillId="5" borderId="0" xfId="84" applyNumberFormat="1" applyFont="1" applyFill="1" applyAlignment="1">
      <alignment horizontal="center" vertical="center" wrapText="1"/>
    </xf>
    <xf numFmtId="175" fontId="0" fillId="0" borderId="0" xfId="84" applyNumberFormat="1" applyFont="1"/>
    <xf numFmtId="0" fontId="10" fillId="2" borderId="4" xfId="11" applyFont="1" applyFill="1" applyBorder="1" applyAlignment="1">
      <alignment horizontal="center"/>
    </xf>
    <xf numFmtId="176" fontId="10" fillId="2" borderId="4" xfId="11" applyNumberFormat="1" applyFont="1" applyFill="1" applyBorder="1" applyAlignment="1">
      <alignment horizontal="center" vertical="center"/>
    </xf>
    <xf numFmtId="17" fontId="11" fillId="0" borderId="1" xfId="0" applyNumberFormat="1" applyFont="1" applyBorder="1" applyAlignment="1">
      <alignment vertical="center"/>
    </xf>
    <xf numFmtId="0" fontId="11" fillId="0" borderId="1" xfId="0" applyFont="1" applyBorder="1" applyAlignment="1">
      <alignment horizontal="center" vertical="center"/>
    </xf>
    <xf numFmtId="177" fontId="11" fillId="0" borderId="1" xfId="0" applyNumberFormat="1" applyFont="1" applyBorder="1" applyAlignment="1">
      <alignment vertical="center"/>
    </xf>
    <xf numFmtId="177" fontId="0" fillId="0" borderId="0" xfId="0" applyNumberFormat="1"/>
    <xf numFmtId="0" fontId="16" fillId="0" borderId="1" xfId="0" applyFont="1" applyBorder="1" applyAlignment="1">
      <alignment horizontal="center" vertical="center"/>
    </xf>
    <xf numFmtId="177" fontId="16" fillId="0" borderId="1" xfId="84" applyNumberFormat="1" applyFont="1" applyBorder="1" applyAlignment="1">
      <alignment horizontal="center" vertical="center"/>
    </xf>
    <xf numFmtId="165" fontId="16" fillId="0" borderId="1" xfId="11" applyNumberFormat="1" applyFont="1" applyBorder="1" applyAlignment="1">
      <alignment vertical="center"/>
    </xf>
    <xf numFmtId="43" fontId="0" fillId="0" borderId="0" xfId="0" applyNumberFormat="1"/>
    <xf numFmtId="177" fontId="10" fillId="2" borderId="1" xfId="84" applyNumberFormat="1" applyFont="1" applyFill="1" applyBorder="1" applyAlignment="1">
      <alignment vertical="center" wrapText="1"/>
    </xf>
    <xf numFmtId="177" fontId="0" fillId="0" borderId="0" xfId="84" applyNumberFormat="1" applyFont="1"/>
    <xf numFmtId="176" fontId="10" fillId="2" borderId="10" xfId="11" applyNumberFormat="1" applyFont="1" applyFill="1" applyBorder="1" applyAlignment="1">
      <alignment horizontal="center" vertical="center"/>
    </xf>
    <xf numFmtId="176" fontId="10" fillId="2" borderId="7" xfId="11" applyNumberFormat="1" applyFont="1" applyFill="1" applyBorder="1" applyAlignment="1">
      <alignment horizontal="center" vertical="center"/>
    </xf>
    <xf numFmtId="176" fontId="10" fillId="2" borderId="3" xfId="11" applyNumberFormat="1" applyFont="1" applyFill="1" applyBorder="1" applyAlignment="1">
      <alignment horizontal="center" vertical="center"/>
    </xf>
    <xf numFmtId="175" fontId="17" fillId="0" borderId="0" xfId="84" applyNumberFormat="1" applyFont="1"/>
    <xf numFmtId="0" fontId="10" fillId="2" borderId="1" xfId="0" applyFont="1" applyFill="1" applyBorder="1" applyAlignment="1">
      <alignment horizontal="center"/>
    </xf>
    <xf numFmtId="0" fontId="0" fillId="0" borderId="6" xfId="0" applyBorder="1"/>
    <xf numFmtId="0" fontId="0" fillId="0" borderId="5" xfId="0" applyBorder="1"/>
    <xf numFmtId="0" fontId="11" fillId="0" borderId="1" xfId="0" applyFont="1" applyBorder="1" applyAlignment="1">
      <alignment horizontal="left" vertical="center" wrapText="1"/>
    </xf>
    <xf numFmtId="0" fontId="0" fillId="0" borderId="8" xfId="0" applyBorder="1"/>
    <xf numFmtId="0" fontId="0" fillId="0" borderId="9" xfId="0" applyBorder="1"/>
    <xf numFmtId="0" fontId="0" fillId="0" borderId="10" xfId="0" applyBorder="1"/>
    <xf numFmtId="0" fontId="0" fillId="0" borderId="11" xfId="0" applyBorder="1"/>
    <xf numFmtId="0" fontId="0" fillId="0" borderId="7" xfId="0" applyBorder="1"/>
    <xf numFmtId="0" fontId="10" fillId="2" borderId="1" xfId="0" applyFont="1" applyFill="1" applyBorder="1" applyAlignment="1">
      <alignment horizontal="center" vertical="center"/>
    </xf>
    <xf numFmtId="0" fontId="15" fillId="2" borderId="1" xfId="0" applyFont="1" applyFill="1" applyBorder="1" applyAlignment="1">
      <alignment horizontal="center" vertical="center"/>
    </xf>
    <xf numFmtId="0" fontId="10" fillId="2" borderId="2" xfId="11" applyFont="1" applyFill="1" applyBorder="1" applyAlignment="1">
      <alignment horizontal="center"/>
    </xf>
    <xf numFmtId="0" fontId="10" fillId="2" borderId="6" xfId="11" applyFont="1" applyFill="1" applyBorder="1" applyAlignment="1">
      <alignment horizontal="center"/>
    </xf>
    <xf numFmtId="0" fontId="10" fillId="2" borderId="5" xfId="11" applyFont="1" applyFill="1" applyBorder="1" applyAlignment="1">
      <alignment horizontal="center"/>
    </xf>
    <xf numFmtId="0" fontId="15" fillId="2" borderId="1" xfId="0" applyFont="1" applyFill="1" applyBorder="1" applyAlignment="1">
      <alignment horizontal="center"/>
    </xf>
  </cellXfs>
  <cellStyles count="85">
    <cellStyle name="Excel Built-in Normal" xfId="19" xr:uid="{00000000-0005-0000-0000-000013000000}"/>
    <cellStyle name="Hyperlink" xfId="49" xr:uid="{00000000-0005-0000-0000-000031000000}"/>
    <cellStyle name="Millares 2" xfId="27" xr:uid="{00000000-0005-0000-0000-00001B000000}"/>
    <cellStyle name="Millares 2 2" xfId="37" xr:uid="{00000000-0005-0000-0000-000025000000}"/>
    <cellStyle name="Millares 2 3" xfId="51" xr:uid="{00000000-0005-0000-0000-000033000000}"/>
    <cellStyle name="Millares 3" xfId="52" xr:uid="{00000000-0005-0000-0000-000034000000}"/>
    <cellStyle name="Moneda" xfId="84" builtinId="4"/>
    <cellStyle name="Moneda [0] 2" xfId="73" xr:uid="{00000000-0005-0000-0000-000049000000}"/>
    <cellStyle name="Moneda 2" xfId="5" xr:uid="{00000000-0005-0000-0000-000005000000}"/>
    <cellStyle name="Moneda 2 10" xfId="7" xr:uid="{00000000-0005-0000-0000-000007000000}"/>
    <cellStyle name="Moneda 2 10 2" xfId="78" xr:uid="{00000000-0005-0000-0000-00004E000000}"/>
    <cellStyle name="Moneda 2 2 2" xfId="1" xr:uid="{00000000-0005-0000-0000-000001000000}"/>
    <cellStyle name="Moneda 3" xfId="53" xr:uid="{00000000-0005-0000-0000-000035000000}"/>
    <cellStyle name="Moneda 3 7" xfId="82" xr:uid="{00000000-0005-0000-0000-000052000000}"/>
    <cellStyle name="Moneda 4" xfId="3" xr:uid="{00000000-0005-0000-0000-000003000000}"/>
    <cellStyle name="Moneda 4 2" xfId="54" xr:uid="{00000000-0005-0000-0000-000036000000}"/>
    <cellStyle name="Moneda 4 3" xfId="79" xr:uid="{00000000-0005-0000-0000-00004F000000}"/>
    <cellStyle name="Moneda 5" xfId="77" xr:uid="{00000000-0005-0000-0000-00004D000000}"/>
    <cellStyle name="Moneda 6" xfId="81" xr:uid="{00000000-0005-0000-0000-000051000000}"/>
    <cellStyle name="Normal" xfId="0" builtinId="0"/>
    <cellStyle name="Normal 10" xfId="39" xr:uid="{00000000-0005-0000-0000-000027000000}"/>
    <cellStyle name="Normal 10 2 10" xfId="21" xr:uid="{00000000-0005-0000-0000-000015000000}"/>
    <cellStyle name="Normal 10 2 10 2" xfId="55" xr:uid="{00000000-0005-0000-0000-000037000000}"/>
    <cellStyle name="Normal 10 2 10 3" xfId="41" xr:uid="{00000000-0005-0000-0000-000029000000}"/>
    <cellStyle name="Normal 10 2 10 50" xfId="31" xr:uid="{00000000-0005-0000-0000-00001F000000}"/>
    <cellStyle name="Normal 10 2 10 50 2" xfId="56" xr:uid="{00000000-0005-0000-0000-000038000000}"/>
    <cellStyle name="Normal 11" xfId="74" xr:uid="{00000000-0005-0000-0000-00004A000000}"/>
    <cellStyle name="Normal 12" xfId="75" xr:uid="{00000000-0005-0000-0000-00004B000000}"/>
    <cellStyle name="Normal 15" xfId="28" xr:uid="{00000000-0005-0000-0000-00001C000000}"/>
    <cellStyle name="Normal 17" xfId="29" xr:uid="{00000000-0005-0000-0000-00001D000000}"/>
    <cellStyle name="Normal 172" xfId="8" xr:uid="{00000000-0005-0000-0000-000008000000}"/>
    <cellStyle name="Normal 177" xfId="83" xr:uid="{00000000-0005-0000-0000-000053000000}"/>
    <cellStyle name="Normal 2" xfId="16" xr:uid="{00000000-0005-0000-0000-000010000000}"/>
    <cellStyle name="Normal 2 10" xfId="10" xr:uid="{00000000-0005-0000-0000-00000A000000}"/>
    <cellStyle name="Normal 2 10 2" xfId="11" xr:uid="{00000000-0005-0000-0000-00000B000000}"/>
    <cellStyle name="Normal 2 10 3" xfId="24" xr:uid="{00000000-0005-0000-0000-000018000000}"/>
    <cellStyle name="Normal 2 2" xfId="18" xr:uid="{00000000-0005-0000-0000-000012000000}"/>
    <cellStyle name="Normal 2 2 2" xfId="2" xr:uid="{00000000-0005-0000-0000-000002000000}"/>
    <cellStyle name="Normal 2 2 2 2" xfId="12" xr:uid="{00000000-0005-0000-0000-00000C000000}"/>
    <cellStyle name="Normal 2 2 2 2 2" xfId="32" xr:uid="{00000000-0005-0000-0000-000020000000}"/>
    <cellStyle name="Normal 2 2 2 2 3" xfId="57" xr:uid="{00000000-0005-0000-0000-000039000000}"/>
    <cellStyle name="Normal 2 2 2 2 6 2" xfId="6" xr:uid="{00000000-0005-0000-0000-000006000000}"/>
    <cellStyle name="Normal 2 2 2 2 6 2 2" xfId="76" xr:uid="{00000000-0005-0000-0000-00004C000000}"/>
    <cellStyle name="Normal 2 2 2 2 6 2 3" xfId="80" xr:uid="{00000000-0005-0000-0000-000050000000}"/>
    <cellStyle name="Normal 2 2 2 3" xfId="4" xr:uid="{00000000-0005-0000-0000-000004000000}"/>
    <cellStyle name="Normal 2 2 2 3 49" xfId="38" xr:uid="{00000000-0005-0000-0000-000026000000}"/>
    <cellStyle name="Normal 2 2 2 4" xfId="20" xr:uid="{00000000-0005-0000-0000-000014000000}"/>
    <cellStyle name="Normal 2 2 3" xfId="34" xr:uid="{00000000-0005-0000-0000-000022000000}"/>
    <cellStyle name="Normal 2 2 3 2" xfId="58" xr:uid="{00000000-0005-0000-0000-00003A000000}"/>
    <cellStyle name="Normal 2 2 4" xfId="25" xr:uid="{00000000-0005-0000-0000-000019000000}"/>
    <cellStyle name="Normal 2 2 4 2" xfId="59" xr:uid="{00000000-0005-0000-0000-00003B000000}"/>
    <cellStyle name="Normal 2 2 5" xfId="42" xr:uid="{00000000-0005-0000-0000-00002A000000}"/>
    <cellStyle name="Normal 2 2 52" xfId="60" xr:uid="{00000000-0005-0000-0000-00003C000000}"/>
    <cellStyle name="Normal 2 3" xfId="35" xr:uid="{00000000-0005-0000-0000-000023000000}"/>
    <cellStyle name="Normal 2 3 2" xfId="61" xr:uid="{00000000-0005-0000-0000-00003D000000}"/>
    <cellStyle name="Normal 2 4" xfId="22" xr:uid="{00000000-0005-0000-0000-000016000000}"/>
    <cellStyle name="Normal 2 4 2" xfId="62" xr:uid="{00000000-0005-0000-0000-00003E000000}"/>
    <cellStyle name="Normal 2 41" xfId="30" xr:uid="{00000000-0005-0000-0000-00001E000000}"/>
    <cellStyle name="Normal 2 5" xfId="40" xr:uid="{00000000-0005-0000-0000-000028000000}"/>
    <cellStyle name="Normal 3" xfId="23" xr:uid="{00000000-0005-0000-0000-000017000000}"/>
    <cellStyle name="Normal 3 2" xfId="63" xr:uid="{00000000-0005-0000-0000-00003F000000}"/>
    <cellStyle name="Normal 3 3" xfId="64" xr:uid="{00000000-0005-0000-0000-000040000000}"/>
    <cellStyle name="Normal 3 4" xfId="46" xr:uid="{00000000-0005-0000-0000-00002E000000}"/>
    <cellStyle name="Normal 4" xfId="26" xr:uid="{00000000-0005-0000-0000-00001A000000}"/>
    <cellStyle name="Normal 4 2" xfId="65" xr:uid="{00000000-0005-0000-0000-000041000000}"/>
    <cellStyle name="Normal 4 3" xfId="47" xr:uid="{00000000-0005-0000-0000-00002F000000}"/>
    <cellStyle name="Normal 5" xfId="9" xr:uid="{00000000-0005-0000-0000-000009000000}"/>
    <cellStyle name="Normal 5 10" xfId="43" xr:uid="{00000000-0005-0000-0000-00002B000000}"/>
    <cellStyle name="Normal 5 10 2" xfId="66" xr:uid="{00000000-0005-0000-0000-000042000000}"/>
    <cellStyle name="Normal 5 2" xfId="36" xr:uid="{00000000-0005-0000-0000-000024000000}"/>
    <cellStyle name="Normal 5 2 2" xfId="67" xr:uid="{00000000-0005-0000-0000-000043000000}"/>
    <cellStyle name="Normal 5 3" xfId="68" xr:uid="{00000000-0005-0000-0000-000044000000}"/>
    <cellStyle name="Normal 5 4" xfId="48" xr:uid="{00000000-0005-0000-0000-000030000000}"/>
    <cellStyle name="Normal 5 5" xfId="33" xr:uid="{00000000-0005-0000-0000-000021000000}"/>
    <cellStyle name="Normal 6" xfId="50" xr:uid="{00000000-0005-0000-0000-000032000000}"/>
    <cellStyle name="Normal 7" xfId="14" xr:uid="{00000000-0005-0000-0000-00000E000000}"/>
    <cellStyle name="Normal 7 10" xfId="69" xr:uid="{00000000-0005-0000-0000-000045000000}"/>
    <cellStyle name="Normal 7 2" xfId="17" xr:uid="{00000000-0005-0000-0000-000011000000}"/>
    <cellStyle name="Normal 7 4" xfId="70" xr:uid="{00000000-0005-0000-0000-000046000000}"/>
    <cellStyle name="Normal 8" xfId="13" xr:uid="{00000000-0005-0000-0000-00000D000000}"/>
    <cellStyle name="Normal 8 2" xfId="71" xr:uid="{00000000-0005-0000-0000-000047000000}"/>
    <cellStyle name="Normal 8 3" xfId="44" xr:uid="{00000000-0005-0000-0000-00002C000000}"/>
    <cellStyle name="Normal 81" xfId="15" xr:uid="{00000000-0005-0000-0000-00000F000000}"/>
    <cellStyle name="Normal 9" xfId="45" xr:uid="{00000000-0005-0000-0000-00002D000000}"/>
    <cellStyle name="Normal 9 2" xfId="72" xr:uid="{00000000-0005-0000-0000-000048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 Type="http://schemas.openxmlformats.org/officeDocument/2006/relationships/worksheet" Target="worksheets/sheet3.xml"/><Relationship Id="rId21" Type="http://schemas.openxmlformats.org/officeDocument/2006/relationships/externalLink" Target="externalLinks/externalLink16.xml"/><Relationship Id="rId34" Type="http://schemas.openxmlformats.org/officeDocument/2006/relationships/customXml" Target="../customXml/item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externalLink" Target="externalLinks/externalLink15.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theme" Target="theme/theme1.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sharedStrings" Target="sharedStrings.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dr:twoCellAnchor editAs="oneCell">
    <xdr:from>
      <xdr:col>12</xdr:col>
      <xdr:colOff>752475</xdr:colOff>
      <xdr:row>2</xdr:row>
      <xdr:rowOff>0</xdr:rowOff>
    </xdr:from>
    <xdr:to>
      <xdr:col>12</xdr:col>
      <xdr:colOff>758190</xdr:colOff>
      <xdr:row>2</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05B3CAAC-E62D-4100-B635-C69DBBCE3918}"/>
            </a:ext>
          </a:extLst>
        </xdr:cNvPr>
        <xdr:cNvSpPr/>
      </xdr:nvSpPr>
      <xdr:spPr bwMode="auto">
        <a:xfrm>
          <a:off x="10765155" y="36576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0</xdr:row>
      <xdr:rowOff>0</xdr:rowOff>
    </xdr:from>
    <xdr:to>
      <xdr:col>12</xdr:col>
      <xdr:colOff>758190</xdr:colOff>
      <xdr:row>0</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88C421EF-EB60-40EC-9B57-B6112112C261}"/>
            </a:ext>
          </a:extLst>
        </xdr:cNvPr>
        <xdr:cNvSpPr/>
      </xdr:nvSpPr>
      <xdr:spPr bwMode="auto">
        <a:xfrm>
          <a:off x="10765155" y="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lineacomunicacionesco.sharepoint.com/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lineacomunicacionesco.sharepoint.com/linea%20comunicaciones/ZONAS%20REMOTAS/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lineacomunicacionesco.sharepoint.com/Users/lini.hernandez/Downloads/Informe%20Gesti&#243;n%20Incidentes%20CB%20Bancolombia%20Julio%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lineacomunicacionesco.sharepoint.com/Users/Usuario/Desktop/COORDINACI&#211;N%20NOROCCIDENTE/Operacion/INFORME%20DE%20GESTION%20ESTADO%20DIARIO/MATRIZ%20INFORME%20DE%20GESTION%20JULIO/Matriz%20Formato%20Estado%20Diario%20(Jul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lineacomunicacionesco.sharepoint.com/ENTREGA%20GERENCIA%20PROYECTO%20BANCO/FACTURACION/AGOSTO/JESSICA/Matriz%20Formato%20Estado%20Diario%20Zonas%20Remotas%20Juli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lineacomunicacionesco.sharepoint.com/BANCA/COORDINACION%20ZONA%20NOROCCIDENTE/ESTADO%20DIARIO/Estado%20Diario%20Diciembre/Copia%20de%20Matriz%20Formato%20Estado%20Diario%20DICIEMBRE.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leja/Downloads/Informe%20Gesti&#243;n%20Incidentes%20CB%20Bancolombia%20V4%20(7).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tasdata01\Gerencia%20de%20Medios%20de%20Acceso%201\Aleja\Downloads\Informe%20Gesti&#243;n%20Incidentes%20CB%20Bancolombia%20V4%20(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lineacomunicacionesco.sharepoint.com/personal/lini_hernandez_lineacom_co/Documents/DESCARGAS%207%20DE%20JULIO/FACTURACI&#211;N%202022/OCTUBRE/DATA%20V2/Informe%20Gestion%20CB%20BANCOLOMBIA%202022%20-%20ORDENES%20DE%20CAMBIO%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12.xml.rels><?xml version="1.0" encoding="UTF-8" standalone="yes"?>
<Relationships xmlns="http://schemas.openxmlformats.org/package/2006/relationships"><Relationship Id="rId2" Type="http://schemas.microsoft.com/office/2019/04/relationships/externalLinkLongPath" Target="/Users/Lenovo/AppData/Local/Microsoft/Windows/Temporary%20Internet%20Files/Content.Outlook/I8UJS5CV/Informe%20Gesti&#243;n%20Incidentes%20CB%20Bancolombia%20con%20corte%20al%2030%20septiembre%202014.xlsx?0EF71056" TargetMode="External"/><Relationship Id="rId1" Type="http://schemas.openxmlformats.org/officeDocument/2006/relationships/externalLinkPath" Target="file:///\\0EF71056\Informe%20Gesti&#243;n%20Incidentes%20CB%20Bancolombia%20con%20corte%20al%2030%20septiembre%202014.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Y:\Users\Lenovo\AppData\Local\Microsoft\Windows\Temporary%20Internet%20Files\Content.Outlook\I8UJS5CV\Informe%20Gesti&#243;n%20Incidentes%20CB%20Bancolombia%20con%20corte%20al%2030%20septiembre%20201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lini.hernandez/Downloads/Informe%20Gesti&#243;n%20Incidentes%20CB%20Bancolombia%20Marzo%202021%20(1).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lineacomunicacionesco.sharepoint.com/Users/lini.hernandez/Downloads/Informe%20Gestion%20de%20Incidentes%20Bancolombia%20Marzo%202021%20(66).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oogle%20Drive/Linea%20Comunicaciones/CB%20Proyecto%20Incidentes/2016/Agosto/31%20ago/Informe%20Gesti&#243;n%20Incidentes%20CB%20Bancolombia,%20con%20corte%2031%20agosto.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lineacomunicacionesco.sharepoint.com/Users/adriana.galvis/Downloads/Informe%20Gestion%20Ordenes%20de%20cambio%20CB%20Bancolombia%20Noviembre%2001-%20(1).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Ucanales\GERENCIA%20CORRESPONSALES%20NO%20BANCARIOS\CARPETA%20COMPARTIDA%20CNB%20CON%20OTRAS%20AREAS\MACRO%20PROCESO%20SELECCION%20E%20IMPLEMENTACION%20CNB\Seleccion%20vinculacion%20y%20apertura%20de%20CN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lineacomunicacionesco.sharepoint.com/ANALISTA%20APERTURAS%202016/CRECIMIENTO%20Y%20MIGRACIO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Mauricio/Documents/LINEA%20COMUNICACIONES/Informes/Matriz%20Formato%20Estado%20Diario%20%20Costa%20New%201.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NTREGA%20GERENCIA%20PROYECTO%20BANCO/FACTURACION/2016/FEBRERO%202016/JESSICA/Matriz%20Formato%20Estado%20Diario%20Zonas%20Remotas%20Juli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Puntos"/>
      <sheetName val="Formulas"/>
      <sheetName val="CAPACIDAD"/>
      <sheetName val="PERSONAL"/>
      <sheetName val="EVALUAR"/>
      <sheetName val="Hoja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AVAL JUNIO"/>
      <sheetName val="Cerrados RBM JUNIO"/>
      <sheetName val="Cerrados CCO JUNIO"/>
      <sheetName val="Listas Desplegables"/>
      <sheetName val="TIPOLOGÍAS"/>
      <sheetName val="Abiertos CCO"/>
      <sheetName val="Abiertos AVAL"/>
      <sheetName val="Cerrados RBM JULIO"/>
      <sheetName val="Matriz1"/>
      <sheetName val="Cerrados AVAL JULIO"/>
      <sheetName val="Cambio de equipos"/>
      <sheetName val="Cerrados CCO JULIO"/>
      <sheetName val="Gestión de IM(ATH BBVA)"/>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row r="1">
          <cell r="B1" t="str">
            <v>Cerrado</v>
          </cell>
        </row>
        <row r="2">
          <cell r="BB2" t="str">
            <v>CAD</v>
          </cell>
        </row>
        <row r="3">
          <cell r="BB3" t="str">
            <v>DMA Barranquilla</v>
          </cell>
        </row>
        <row r="4">
          <cell r="BB4" t="str">
            <v>DMA Bogotá</v>
          </cell>
        </row>
        <row r="5">
          <cell r="BB5" t="str">
            <v xml:space="preserve">DMA Bucaramanga </v>
          </cell>
        </row>
        <row r="6">
          <cell r="BB6" t="str">
            <v>DMA Cali</v>
          </cell>
        </row>
        <row r="7">
          <cell r="BB7" t="str">
            <v>DMA Cartagena</v>
          </cell>
        </row>
        <row r="8">
          <cell r="BB8" t="str">
            <v>DMA Manizales</v>
          </cell>
        </row>
        <row r="9">
          <cell r="BB9" t="str">
            <v>DMA Medellin</v>
          </cell>
        </row>
        <row r="10">
          <cell r="BB10" t="str">
            <v xml:space="preserve">DMA MONTERIA </v>
          </cell>
        </row>
        <row r="11">
          <cell r="BB11" t="str">
            <v>DMA Pasto</v>
          </cell>
        </row>
        <row r="12">
          <cell r="BB12" t="str">
            <v>DMA Valledupar</v>
          </cell>
        </row>
        <row r="13">
          <cell r="BB13" t="str">
            <v>DMA Villavicencio</v>
          </cell>
        </row>
        <row r="14">
          <cell r="BB14" t="str">
            <v>ETB</v>
          </cell>
        </row>
        <row r="15">
          <cell r="BB15" t="str">
            <v>Línea de Comunicaciones</v>
          </cell>
        </row>
        <row r="16">
          <cell r="BB16" t="str">
            <v>Servicios para los clientes</v>
          </cell>
        </row>
        <row r="17">
          <cell r="BB17" t="str">
            <v>UNE</v>
          </cell>
        </row>
      </sheetData>
      <sheetData sheetId="4" refreshError="1"/>
      <sheetData sheetId="5"/>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row r="1">
          <cell r="U1" t="str">
            <v>Capacitación</v>
          </cell>
          <cell r="AO1" t="str">
            <v>Bancolombia</v>
          </cell>
          <cell r="AP1" t="str">
            <v>Red</v>
          </cell>
          <cell r="AQ1" t="str">
            <v>LíneaComunicaciones</v>
          </cell>
          <cell r="AR1" t="str">
            <v>NoAplica</v>
          </cell>
        </row>
      </sheetData>
      <sheetData sheetId="6"/>
      <sheetData sheetId="7"/>
      <sheetData sheetId="8"/>
      <sheetData sheetId="9"/>
      <sheetData sheetId="1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1"/>
      <sheetName val="Cerrados RBM Abril"/>
      <sheetName val="Cerrados RBM Mayo"/>
      <sheetName val="Cerrados AVAL Abril"/>
      <sheetName val="Cerrados CCO Abril"/>
      <sheetName val="Abiertos RBM"/>
      <sheetName val="Abiertos CCO"/>
      <sheetName val="Abiertos AVAL"/>
      <sheetName val="Cerrados CCO Mayo"/>
      <sheetName val="Gestión de IM(ATH BBVA)"/>
      <sheetName val="Cerrados AVAL Mayo"/>
      <sheetName val="PINPAD AGENTES CLARO"/>
      <sheetName val="Listas Desplegables"/>
      <sheetName val="TIPOLOGÍ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graciones cerrados Enero"/>
      <sheetName val="Matriz"/>
      <sheetName val="Migraciones"/>
      <sheetName val="Cerrados Enero"/>
      <sheetName val="OC Abiertas"/>
      <sheetName val="Cerrados Febrero"/>
      <sheetName val="Rollos RBM"/>
      <sheetName val="Cierres"/>
      <sheetName val="MEGA LINEA"/>
      <sheetName val="Cierres AVAL"/>
      <sheetName val="OC AVAL"/>
      <sheetName val="TIPOLOGÍAS REALES"/>
      <sheetName val="Listas despleg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139">
          <cell r="A1139" t="str">
            <v>AMAZONAS</v>
          </cell>
        </row>
        <row r="1140">
          <cell r="A1140" t="str">
            <v>ANTIOQUIA</v>
          </cell>
        </row>
        <row r="1141">
          <cell r="A1141" t="str">
            <v>ARAUCA</v>
          </cell>
        </row>
        <row r="1142">
          <cell r="A1142" t="str">
            <v>ATLANTICO</v>
          </cell>
        </row>
        <row r="1143">
          <cell r="A1143" t="str">
            <v>BOGOTA</v>
          </cell>
        </row>
        <row r="1144">
          <cell r="A1144" t="str">
            <v>BOLIVAR</v>
          </cell>
        </row>
        <row r="1145">
          <cell r="A1145" t="str">
            <v>BOYACA</v>
          </cell>
        </row>
        <row r="1146">
          <cell r="A1146" t="str">
            <v>CALDAS</v>
          </cell>
        </row>
        <row r="1147">
          <cell r="A1147" t="str">
            <v>CAQUETA</v>
          </cell>
        </row>
        <row r="1148">
          <cell r="A1148" t="str">
            <v>CASANARE</v>
          </cell>
        </row>
        <row r="1149">
          <cell r="A1149" t="str">
            <v>CAUCA</v>
          </cell>
        </row>
        <row r="1150">
          <cell r="A1150" t="str">
            <v>CESAR</v>
          </cell>
        </row>
        <row r="1151">
          <cell r="A1151" t="str">
            <v>CHOCO</v>
          </cell>
        </row>
        <row r="1152">
          <cell r="A1152" t="str">
            <v>CORDOBA</v>
          </cell>
        </row>
        <row r="1153">
          <cell r="A1153" t="str">
            <v>CUNDINAMARCA</v>
          </cell>
        </row>
        <row r="1154">
          <cell r="A1154" t="str">
            <v>GUAINIA</v>
          </cell>
        </row>
        <row r="1155">
          <cell r="A1155" t="str">
            <v>GUAJIRA</v>
          </cell>
        </row>
        <row r="1156">
          <cell r="A1156" t="str">
            <v>GUAVIARE</v>
          </cell>
        </row>
        <row r="1157">
          <cell r="A1157" t="str">
            <v>HUILA</v>
          </cell>
        </row>
        <row r="1158">
          <cell r="A1158" t="str">
            <v>MAGDALENA</v>
          </cell>
        </row>
        <row r="1159">
          <cell r="A1159" t="str">
            <v>META</v>
          </cell>
        </row>
        <row r="1160">
          <cell r="A1160" t="str">
            <v>NORTE_SANTANDER</v>
          </cell>
        </row>
        <row r="1161">
          <cell r="A1161" t="str">
            <v>NARIÑO</v>
          </cell>
        </row>
        <row r="1162">
          <cell r="A1162" t="str">
            <v>PUTUMAYO</v>
          </cell>
        </row>
        <row r="1163">
          <cell r="A1163" t="str">
            <v>QUINDIO</v>
          </cell>
        </row>
        <row r="1164">
          <cell r="A1164" t="str">
            <v>RISARALDA</v>
          </cell>
        </row>
        <row r="1165">
          <cell r="A1165" t="str">
            <v>SAN_ANDRES_PROV</v>
          </cell>
        </row>
        <row r="1166">
          <cell r="A1166" t="str">
            <v>SANTANDER</v>
          </cell>
        </row>
        <row r="1167">
          <cell r="A1167" t="str">
            <v>SUCRE</v>
          </cell>
        </row>
        <row r="1168">
          <cell r="A1168" t="str">
            <v>TOLIMA</v>
          </cell>
        </row>
        <row r="1169">
          <cell r="A1169" t="str">
            <v>VALLE</v>
          </cell>
        </row>
        <row r="1170">
          <cell r="A1170" t="str">
            <v>VAUPES</v>
          </cell>
        </row>
        <row r="1171">
          <cell r="A1171" t="str">
            <v>VICHADA</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ESTADO"/>
      <sheetName val="VALORES CB"/>
      <sheetName val="ACTIVID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3"/>
      <sheetName val="Hoja2"/>
    </sheetNames>
    <sheetDataSet>
      <sheetData sheetId="0" refreshError="1"/>
      <sheetData sheetId="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zoomScale="120" zoomScaleNormal="120" workbookViewId="0">
      <selection activeCell="A31" sqref="A31"/>
    </sheetView>
  </sheetViews>
  <sheetFormatPr baseColWidth="10" defaultColWidth="11.42578125" defaultRowHeight="13.5"/>
  <cols>
    <col min="1" max="1" width="17.5703125" style="2" bestFit="1" customWidth="1"/>
    <col min="2" max="2" width="16.5703125" style="2" customWidth="1"/>
    <col min="3" max="3" width="15.140625" style="2" customWidth="1"/>
    <col min="4" max="4" width="20.140625" style="2" customWidth="1"/>
    <col min="5" max="5" width="14.140625" style="2" customWidth="1"/>
    <col min="6" max="6" width="2" style="2" customWidth="1"/>
    <col min="7" max="7" width="12.7109375" style="2" bestFit="1" customWidth="1"/>
    <col min="8" max="11" width="11.42578125" style="2" customWidth="1"/>
    <col min="12" max="12" width="15" style="2" bestFit="1" customWidth="1"/>
    <col min="13" max="13" width="11.42578125" style="1" customWidth="1"/>
    <col min="14" max="16384" width="11.42578125" style="1"/>
  </cols>
  <sheetData>
    <row r="1" spans="1:14" ht="21" customHeight="1">
      <c r="A1" s="43" t="s">
        <v>0</v>
      </c>
      <c r="B1" s="44"/>
      <c r="C1" s="44"/>
      <c r="D1" s="44"/>
      <c r="E1" s="45"/>
      <c r="G1" s="43" t="s">
        <v>0</v>
      </c>
      <c r="H1" s="44"/>
      <c r="I1" s="44"/>
      <c r="J1" s="44"/>
      <c r="K1" s="44"/>
      <c r="L1" s="45"/>
      <c r="N1" s="10" t="s">
        <v>1</v>
      </c>
    </row>
    <row r="2" spans="1:14" ht="31.5" customHeight="1">
      <c r="A2" s="11" t="s">
        <v>2</v>
      </c>
      <c r="B2" s="10" t="s">
        <v>3</v>
      </c>
      <c r="C2" s="10" t="s">
        <v>4</v>
      </c>
      <c r="D2" s="10" t="s">
        <v>5</v>
      </c>
      <c r="E2" s="11" t="s">
        <v>6</v>
      </c>
      <c r="G2" s="52" t="s">
        <v>7</v>
      </c>
      <c r="H2" s="44"/>
      <c r="I2" s="44"/>
      <c r="J2" s="44"/>
      <c r="K2" s="44"/>
      <c r="L2" s="45"/>
      <c r="N2" s="16">
        <v>5.1999999999999998E-2</v>
      </c>
    </row>
    <row r="3" spans="1:14" ht="31.5" customHeight="1">
      <c r="A3" s="3" t="s">
        <v>8</v>
      </c>
      <c r="B3" s="17">
        <f>10695.08*(1+$N$2)</f>
        <v>11251.22416</v>
      </c>
      <c r="C3" s="18">
        <f>120073.31*(1+$N$2)</f>
        <v>126317.12212</v>
      </c>
      <c r="D3" s="18">
        <f>54574.12*(1+$N$2)</f>
        <v>57411.974240000003</v>
      </c>
      <c r="E3" s="19">
        <f>185342.51*(1+$N$2)</f>
        <v>194980.32052000001</v>
      </c>
      <c r="G3" s="9" t="s">
        <v>9</v>
      </c>
      <c r="H3" s="9" t="s">
        <v>10</v>
      </c>
      <c r="I3" s="9" t="s">
        <v>11</v>
      </c>
      <c r="J3" s="9" t="s">
        <v>12</v>
      </c>
      <c r="K3" s="9" t="s">
        <v>13</v>
      </c>
      <c r="L3" s="9" t="s">
        <v>14</v>
      </c>
    </row>
    <row r="4" spans="1:14">
      <c r="A4" s="3" t="s">
        <v>15</v>
      </c>
      <c r="B4" s="17">
        <f>10695.08*(1+$N$2)</f>
        <v>11251.22416</v>
      </c>
      <c r="C4" s="18">
        <f>120073.31*(1+$N$2)</f>
        <v>126317.12212</v>
      </c>
      <c r="D4" s="18">
        <f>105331.06*(1+$N$2)</f>
        <v>110808.27512000001</v>
      </c>
      <c r="E4" s="19">
        <f>236099.45*(1+$N$2)</f>
        <v>248376.62140000003</v>
      </c>
      <c r="G4" s="4" t="s">
        <v>16</v>
      </c>
      <c r="H4" s="4" t="s">
        <v>17</v>
      </c>
      <c r="I4" s="20">
        <f>91255.89*(1+$N$2)</f>
        <v>96001.196280000004</v>
      </c>
      <c r="J4" s="20">
        <f>54574.12*(1+$N$2)</f>
        <v>57411.974240000003</v>
      </c>
      <c r="K4" s="20">
        <f>53547.34*(1+$N$2)</f>
        <v>56331.801679999997</v>
      </c>
      <c r="L4" s="20">
        <f>36031.04*(1+$N$2)</f>
        <v>37904.65408</v>
      </c>
    </row>
    <row r="5" spans="1:14">
      <c r="G5" s="4" t="s">
        <v>18</v>
      </c>
      <c r="H5" s="4" t="s">
        <v>19</v>
      </c>
      <c r="I5" s="20">
        <f>221348.48*(1+$N$2)</f>
        <v>232858.60096000001</v>
      </c>
      <c r="J5" s="20">
        <f>105331.06*(1+$N$2)</f>
        <v>110808.27512000001</v>
      </c>
      <c r="K5" s="20">
        <f>53547.34*(1+$N$2)</f>
        <v>56331.801679999997</v>
      </c>
      <c r="L5" s="20">
        <f>36031.04*(1+$N$2)</f>
        <v>37904.65408</v>
      </c>
    </row>
    <row r="6" spans="1:14">
      <c r="G6" s="4" t="s">
        <v>20</v>
      </c>
      <c r="H6" s="4" t="s">
        <v>21</v>
      </c>
      <c r="I6" s="20">
        <f>327732.48*(1+$N$2)</f>
        <v>344774.56896</v>
      </c>
      <c r="J6" s="20">
        <f>105331.06*(1+$N$2)</f>
        <v>110808.27512000001</v>
      </c>
      <c r="K6" s="20">
        <f>53547.34*(1+$N$2)</f>
        <v>56331.801679999997</v>
      </c>
      <c r="L6" s="20">
        <f>36031.04*(1+$N$2)</f>
        <v>37904.65408</v>
      </c>
    </row>
    <row r="7" spans="1:14">
      <c r="B7" s="6"/>
      <c r="C7" s="6"/>
      <c r="D7" s="6"/>
      <c r="E7" s="6"/>
      <c r="G7" s="4" t="s">
        <v>22</v>
      </c>
      <c r="H7" s="4" t="s">
        <v>23</v>
      </c>
      <c r="I7" s="20">
        <f>521514.86*(1+$N$2)</f>
        <v>548633.63271999999</v>
      </c>
      <c r="J7" s="20">
        <f>105331.06*(1+$N$2)</f>
        <v>110808.27512000001</v>
      </c>
      <c r="K7" s="20">
        <f>53547.34*(1+$N$2)</f>
        <v>56331.801679999997</v>
      </c>
      <c r="L7" s="20">
        <f>36031.04*(1+$N$2)</f>
        <v>37904.65408</v>
      </c>
    </row>
    <row r="8" spans="1:14">
      <c r="D8" s="6"/>
      <c r="E8" s="6"/>
      <c r="G8" s="5" t="s">
        <v>24</v>
      </c>
      <c r="H8" s="5" t="s">
        <v>25</v>
      </c>
      <c r="I8" s="20">
        <f>521514.86*(1+$N$2)</f>
        <v>548633.63271999999</v>
      </c>
      <c r="J8" s="20">
        <f>105331.06*(1+$N$2)</f>
        <v>110808.27512000001</v>
      </c>
      <c r="K8" s="20">
        <f>53547.34*(1+$N$2)</f>
        <v>56331.801679999997</v>
      </c>
      <c r="L8" s="20">
        <f>36031.04*(1+$N$2)</f>
        <v>37904.65408</v>
      </c>
    </row>
    <row r="9" spans="1:14">
      <c r="G9" s="46" t="s">
        <v>26</v>
      </c>
      <c r="H9" s="47"/>
      <c r="I9" s="47"/>
      <c r="J9" s="47"/>
      <c r="K9" s="47"/>
      <c r="L9" s="48"/>
    </row>
    <row r="10" spans="1:14">
      <c r="B10" s="6"/>
      <c r="C10" s="6"/>
      <c r="D10" s="6"/>
      <c r="E10" s="6"/>
      <c r="G10" s="49"/>
      <c r="H10" s="50"/>
      <c r="I10" s="50"/>
      <c r="J10" s="50"/>
      <c r="K10" s="50"/>
      <c r="L10" s="51"/>
    </row>
    <row r="11" spans="1:14">
      <c r="B11" s="6"/>
      <c r="C11" s="6"/>
      <c r="D11" s="6"/>
      <c r="E11" s="6"/>
    </row>
    <row r="12" spans="1:14">
      <c r="I12" s="6"/>
      <c r="J12" s="6"/>
      <c r="K12" s="6"/>
      <c r="L12" s="6"/>
    </row>
    <row r="13" spans="1:14">
      <c r="I13" s="6"/>
      <c r="J13" s="6"/>
      <c r="K13" s="6"/>
      <c r="L13" s="6"/>
    </row>
    <row r="14" spans="1:14">
      <c r="I14" s="6"/>
      <c r="J14" s="6"/>
      <c r="K14" s="6"/>
      <c r="L14" s="6"/>
    </row>
    <row r="15" spans="1:14">
      <c r="I15" s="6"/>
      <c r="J15" s="6"/>
      <c r="K15" s="6"/>
      <c r="L15" s="6"/>
    </row>
    <row r="16" spans="1:14">
      <c r="C16" s="6"/>
      <c r="G16" s="6"/>
      <c r="I16" s="6"/>
      <c r="J16" s="6"/>
      <c r="K16" s="6"/>
      <c r="L16" s="6"/>
    </row>
    <row r="17" spans="7:12">
      <c r="G17" s="6"/>
      <c r="I17" s="6"/>
      <c r="J17" s="6"/>
      <c r="K17" s="6"/>
      <c r="L17" s="6"/>
    </row>
    <row r="18" spans="7:12">
      <c r="G18" s="6"/>
    </row>
    <row r="19" spans="7:12">
      <c r="G19" s="6"/>
    </row>
    <row r="20" spans="7:12">
      <c r="G20" s="6"/>
    </row>
    <row r="21" spans="7:12">
      <c r="G21" s="6"/>
    </row>
  </sheetData>
  <mergeCells count="4">
    <mergeCell ref="G1:L1"/>
    <mergeCell ref="G9:L10"/>
    <mergeCell ref="A1:E1"/>
    <mergeCell ref="G2:L2"/>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workbookViewId="0">
      <selection activeCell="A2" sqref="A2:D23"/>
    </sheetView>
  </sheetViews>
  <sheetFormatPr baseColWidth="10" defaultColWidth="11.42578125" defaultRowHeight="15"/>
  <cols>
    <col min="1" max="1" width="15.28515625" style="8" bestFit="1" customWidth="1"/>
    <col min="2" max="2" width="18.28515625" style="8" bestFit="1" customWidth="1"/>
    <col min="3" max="4" width="30.28515625" style="8" bestFit="1" customWidth="1"/>
    <col min="5" max="5" width="11.42578125" style="8" customWidth="1"/>
    <col min="6" max="16384" width="11.42578125" style="8"/>
  </cols>
  <sheetData>
    <row r="1" spans="1:4">
      <c r="A1" s="7" t="s">
        <v>27</v>
      </c>
      <c r="B1" s="7" t="s">
        <v>28</v>
      </c>
      <c r="C1" s="7" t="s">
        <v>29</v>
      </c>
      <c r="D1" s="7" t="s">
        <v>30</v>
      </c>
    </row>
    <row r="2" spans="1:4">
      <c r="A2" s="12" t="s">
        <v>31</v>
      </c>
      <c r="B2" s="13" t="s">
        <v>32</v>
      </c>
      <c r="C2" s="13" t="s">
        <v>33</v>
      </c>
      <c r="D2" s="13" t="s">
        <v>34</v>
      </c>
    </row>
    <row r="3" spans="1:4">
      <c r="A3" s="14" t="s">
        <v>35</v>
      </c>
      <c r="B3" s="15" t="s">
        <v>36</v>
      </c>
      <c r="C3" s="15" t="s">
        <v>37</v>
      </c>
      <c r="D3" s="15" t="s">
        <v>38</v>
      </c>
    </row>
    <row r="4" spans="1:4">
      <c r="A4" s="14" t="s">
        <v>39</v>
      </c>
      <c r="B4" s="15" t="s">
        <v>40</v>
      </c>
      <c r="C4" s="15" t="s">
        <v>41</v>
      </c>
      <c r="D4" s="15" t="s">
        <v>42</v>
      </c>
    </row>
    <row r="5" spans="1:4">
      <c r="A5" s="14" t="s">
        <v>43</v>
      </c>
      <c r="B5" s="15" t="s">
        <v>44</v>
      </c>
      <c r="C5" s="15" t="s">
        <v>45</v>
      </c>
      <c r="D5" s="15" t="s">
        <v>46</v>
      </c>
    </row>
    <row r="6" spans="1:4">
      <c r="A6" s="14" t="s">
        <v>47</v>
      </c>
      <c r="B6" s="15" t="s">
        <v>48</v>
      </c>
      <c r="C6" s="15" t="s">
        <v>49</v>
      </c>
      <c r="D6" s="15" t="s">
        <v>50</v>
      </c>
    </row>
    <row r="7" spans="1:4">
      <c r="A7" s="14" t="s">
        <v>51</v>
      </c>
      <c r="B7" s="15" t="s">
        <v>36</v>
      </c>
      <c r="C7" s="15" t="s">
        <v>37</v>
      </c>
      <c r="D7" s="15" t="s">
        <v>38</v>
      </c>
    </row>
    <row r="8" spans="1:4">
      <c r="A8" s="14" t="s">
        <v>52</v>
      </c>
      <c r="B8" s="15" t="s">
        <v>44</v>
      </c>
      <c r="C8" s="15" t="s">
        <v>45</v>
      </c>
      <c r="D8" s="15" t="s">
        <v>46</v>
      </c>
    </row>
    <row r="9" spans="1:4">
      <c r="A9" s="14" t="s">
        <v>53</v>
      </c>
      <c r="B9" s="15" t="s">
        <v>54</v>
      </c>
      <c r="C9" s="15" t="s">
        <v>55</v>
      </c>
      <c r="D9" s="15" t="s">
        <v>56</v>
      </c>
    </row>
    <row r="10" spans="1:4">
      <c r="A10" s="14" t="s">
        <v>57</v>
      </c>
      <c r="B10" s="15" t="s">
        <v>54</v>
      </c>
      <c r="C10" s="15" t="s">
        <v>55</v>
      </c>
      <c r="D10" s="15" t="s">
        <v>56</v>
      </c>
    </row>
    <row r="11" spans="1:4">
      <c r="A11" s="14" t="s">
        <v>58</v>
      </c>
      <c r="B11" s="15" t="s">
        <v>59</v>
      </c>
      <c r="C11" s="15" t="s">
        <v>60</v>
      </c>
      <c r="D11" s="15" t="s">
        <v>50</v>
      </c>
    </row>
    <row r="12" spans="1:4">
      <c r="A12" s="14" t="s">
        <v>61</v>
      </c>
      <c r="B12" s="15" t="s">
        <v>32</v>
      </c>
      <c r="C12" s="15" t="s">
        <v>33</v>
      </c>
      <c r="D12" s="15" t="s">
        <v>34</v>
      </c>
    </row>
    <row r="13" spans="1:4">
      <c r="A13" s="14" t="s">
        <v>62</v>
      </c>
      <c r="B13" s="15" t="s">
        <v>36</v>
      </c>
      <c r="C13" s="15" t="s">
        <v>37</v>
      </c>
      <c r="D13" s="15" t="s">
        <v>38</v>
      </c>
    </row>
    <row r="14" spans="1:4">
      <c r="A14" s="14" t="s">
        <v>63</v>
      </c>
      <c r="B14" s="15" t="s">
        <v>54</v>
      </c>
      <c r="C14" s="15" t="s">
        <v>55</v>
      </c>
      <c r="D14" s="15" t="s">
        <v>56</v>
      </c>
    </row>
    <row r="15" spans="1:4">
      <c r="A15" s="14" t="s">
        <v>64</v>
      </c>
      <c r="B15" s="15" t="s">
        <v>48</v>
      </c>
      <c r="C15" s="15" t="s">
        <v>49</v>
      </c>
      <c r="D15" s="15" t="s">
        <v>50</v>
      </c>
    </row>
    <row r="16" spans="1:4">
      <c r="A16" s="14" t="s">
        <v>65</v>
      </c>
      <c r="B16" s="15" t="s">
        <v>59</v>
      </c>
      <c r="C16" s="15" t="s">
        <v>60</v>
      </c>
      <c r="D16" s="15" t="s">
        <v>50</v>
      </c>
    </row>
    <row r="17" spans="1:4">
      <c r="A17" s="14" t="s">
        <v>66</v>
      </c>
      <c r="B17" s="15" t="s">
        <v>48</v>
      </c>
      <c r="C17" s="15" t="s">
        <v>49</v>
      </c>
      <c r="D17" s="15" t="s">
        <v>50</v>
      </c>
    </row>
    <row r="18" spans="1:4">
      <c r="A18" s="14" t="s">
        <v>67</v>
      </c>
      <c r="B18" s="15" t="s">
        <v>36</v>
      </c>
      <c r="C18" s="15" t="s">
        <v>37</v>
      </c>
      <c r="D18" s="15" t="s">
        <v>38</v>
      </c>
    </row>
    <row r="19" spans="1:4">
      <c r="A19" s="14" t="s">
        <v>68</v>
      </c>
      <c r="B19" s="15" t="s">
        <v>36</v>
      </c>
      <c r="C19" s="15" t="s">
        <v>37</v>
      </c>
      <c r="D19" s="15" t="s">
        <v>38</v>
      </c>
    </row>
    <row r="20" spans="1:4">
      <c r="A20" s="14" t="s">
        <v>69</v>
      </c>
      <c r="B20" s="15" t="s">
        <v>44</v>
      </c>
      <c r="C20" s="15" t="s">
        <v>45</v>
      </c>
      <c r="D20" s="15" t="s">
        <v>46</v>
      </c>
    </row>
    <row r="21" spans="1:4">
      <c r="A21" s="14" t="s">
        <v>70</v>
      </c>
      <c r="B21" s="15" t="s">
        <v>36</v>
      </c>
      <c r="C21" s="15" t="s">
        <v>37</v>
      </c>
      <c r="D21" s="15" t="s">
        <v>38</v>
      </c>
    </row>
    <row r="22" spans="1:4">
      <c r="A22" s="14" t="s">
        <v>71</v>
      </c>
      <c r="B22" s="15" t="s">
        <v>54</v>
      </c>
      <c r="C22" s="15" t="s">
        <v>55</v>
      </c>
      <c r="D22" s="15" t="s">
        <v>56</v>
      </c>
    </row>
    <row r="23" spans="1:4">
      <c r="A23" s="14" t="s">
        <v>72</v>
      </c>
      <c r="B23" s="15" t="s">
        <v>54</v>
      </c>
      <c r="C23" s="15" t="s">
        <v>55</v>
      </c>
      <c r="D23" s="15" t="s">
        <v>56</v>
      </c>
    </row>
  </sheetData>
  <autoFilter ref="A1:D23"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8A966-8258-4BF9-A592-CDEEEC519A4C}">
  <dimension ref="A1:N7"/>
  <sheetViews>
    <sheetView tabSelected="1" topLeftCell="D1" workbookViewId="0">
      <selection activeCell="H3" sqref="H3"/>
    </sheetView>
  </sheetViews>
  <sheetFormatPr baseColWidth="10" defaultRowHeight="15"/>
  <cols>
    <col min="1" max="1" width="13.42578125" bestFit="1" customWidth="1"/>
    <col min="3" max="3" width="66.7109375" bestFit="1" customWidth="1"/>
    <col min="4" max="4" width="49" bestFit="1" customWidth="1"/>
    <col min="5" max="5" width="31.5703125" bestFit="1" customWidth="1"/>
    <col min="6" max="6" width="21.28515625" bestFit="1" customWidth="1"/>
    <col min="7" max="7" width="19.5703125" bestFit="1" customWidth="1"/>
    <col min="8" max="8" width="20.28515625" bestFit="1" customWidth="1"/>
  </cols>
  <sheetData>
    <row r="1" spans="1:14">
      <c r="A1" s="53" t="str">
        <f>CONCATENATE("TOTAL GENERAL MES ",A3)</f>
        <v>TOTAL GENERAL MES OCTUBRE DE 2025</v>
      </c>
      <c r="B1" s="53"/>
      <c r="C1" s="53"/>
      <c r="D1" s="53"/>
      <c r="E1" s="53"/>
      <c r="F1" s="53"/>
      <c r="G1" s="53"/>
      <c r="H1" s="53"/>
      <c r="J1" s="54" t="s">
        <v>1983</v>
      </c>
      <c r="K1" s="55"/>
      <c r="L1" s="55"/>
      <c r="M1" s="55"/>
      <c r="N1" s="56"/>
    </row>
    <row r="2" spans="1:14">
      <c r="A2" s="24" t="s">
        <v>1984</v>
      </c>
      <c r="B2" s="24" t="s">
        <v>1985</v>
      </c>
      <c r="C2" s="24" t="s">
        <v>1986</v>
      </c>
      <c r="D2" s="24" t="s">
        <v>1987</v>
      </c>
      <c r="E2" s="24" t="s">
        <v>1988</v>
      </c>
      <c r="F2" s="24" t="s">
        <v>1989</v>
      </c>
      <c r="G2" s="24" t="s">
        <v>1990</v>
      </c>
      <c r="H2" s="24" t="s">
        <v>1991</v>
      </c>
      <c r="J2" s="27" t="s">
        <v>1992</v>
      </c>
      <c r="K2" s="27" t="s">
        <v>1993</v>
      </c>
      <c r="L2" s="27" t="s">
        <v>1994</v>
      </c>
      <c r="M2" s="27" t="s">
        <v>1995</v>
      </c>
      <c r="N2" s="28" t="s">
        <v>1994</v>
      </c>
    </row>
    <row r="3" spans="1:14">
      <c r="A3" s="29" t="s">
        <v>1996</v>
      </c>
      <c r="B3" s="4" t="s">
        <v>1997</v>
      </c>
      <c r="C3" s="4" t="s">
        <v>1998</v>
      </c>
      <c r="D3" s="4" t="s">
        <v>1999</v>
      </c>
      <c r="E3" s="4" t="s">
        <v>2000</v>
      </c>
      <c r="F3" s="30">
        <f>COUNTA(PUBLICIDAD_APERTURAS!A:A)-1</f>
        <v>181</v>
      </c>
      <c r="G3" s="31">
        <f>PUBLICIDAD_APERTURAS!AE183</f>
        <v>38938425</v>
      </c>
      <c r="H3" s="31">
        <f>G3*1.19</f>
        <v>46336725.75</v>
      </c>
      <c r="I3" s="32"/>
      <c r="J3" s="33"/>
      <c r="K3" s="33"/>
      <c r="L3" s="34"/>
      <c r="M3" s="35">
        <f t="shared" ref="M3:M5" si="0">L3*0.12</f>
        <v>0</v>
      </c>
      <c r="N3" s="35">
        <f t="shared" ref="N3:N5" si="1">L3+M3</f>
        <v>0</v>
      </c>
    </row>
    <row r="4" spans="1:14">
      <c r="A4" s="29" t="str">
        <f>A3</f>
        <v>OCTUBRE DE 2025</v>
      </c>
      <c r="B4" s="4" t="s">
        <v>1997</v>
      </c>
      <c r="C4" s="4" t="s">
        <v>1998</v>
      </c>
      <c r="D4" s="4" t="s">
        <v>2001</v>
      </c>
      <c r="E4" s="4" t="s">
        <v>2000</v>
      </c>
      <c r="F4" s="30">
        <f>COUNTA(PUBLICIDAD_OC!A:A)-1</f>
        <v>89</v>
      </c>
      <c r="G4" s="31">
        <f>PUBLICIDAD_OC!AE91</f>
        <v>23328989</v>
      </c>
      <c r="H4" s="31">
        <f>G4*1.19</f>
        <v>27761496.91</v>
      </c>
      <c r="I4" s="36"/>
      <c r="J4" s="33"/>
      <c r="K4" s="33"/>
      <c r="L4" s="34"/>
      <c r="M4" s="35">
        <f t="shared" si="0"/>
        <v>0</v>
      </c>
      <c r="N4" s="35">
        <f t="shared" si="1"/>
        <v>0</v>
      </c>
    </row>
    <row r="5" spans="1:14">
      <c r="A5" s="29" t="str">
        <f>A4</f>
        <v>OCTUBRE DE 2025</v>
      </c>
      <c r="B5" s="4" t="s">
        <v>1997</v>
      </c>
      <c r="C5" s="4" t="s">
        <v>1998</v>
      </c>
      <c r="D5" s="4" t="s">
        <v>2002</v>
      </c>
      <c r="E5" s="4" t="s">
        <v>2000</v>
      </c>
      <c r="F5" s="30">
        <f>COUNTA(J3:J18)-1</f>
        <v>0</v>
      </c>
      <c r="G5" s="31">
        <f>N6</f>
        <v>0</v>
      </c>
      <c r="H5" s="31">
        <f>G5*1.19</f>
        <v>0</v>
      </c>
      <c r="I5" s="36"/>
      <c r="J5" s="33"/>
      <c r="K5" s="33"/>
      <c r="L5" s="34"/>
      <c r="M5" s="35">
        <f t="shared" si="0"/>
        <v>0</v>
      </c>
      <c r="N5" s="35">
        <f t="shared" si="1"/>
        <v>0</v>
      </c>
    </row>
    <row r="6" spans="1:14">
      <c r="A6" s="57" t="s">
        <v>2003</v>
      </c>
      <c r="B6" s="57"/>
      <c r="C6" s="57"/>
      <c r="D6" s="57"/>
      <c r="E6" s="57"/>
      <c r="F6" s="10">
        <f>SUM(F3:F5)</f>
        <v>270</v>
      </c>
      <c r="G6" s="37">
        <f>SUM(G3:G5)</f>
        <v>62267414</v>
      </c>
      <c r="H6" s="37">
        <f>SUM(H3:H5)</f>
        <v>74098222.659999996</v>
      </c>
      <c r="J6" s="39" t="s">
        <v>1994</v>
      </c>
      <c r="K6" s="40"/>
      <c r="L6" s="41">
        <f>SUM(L3:L5)</f>
        <v>0</v>
      </c>
      <c r="M6" s="41">
        <f>SUM(M3:M5)</f>
        <v>0</v>
      </c>
      <c r="N6" s="41">
        <f>SUM(N3:N5)</f>
        <v>0</v>
      </c>
    </row>
    <row r="7" spans="1:14">
      <c r="G7" s="38"/>
      <c r="H7" s="38"/>
    </row>
  </sheetData>
  <mergeCells count="3">
    <mergeCell ref="A1:H1"/>
    <mergeCell ref="J1:N1"/>
    <mergeCell ref="A6:E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83"/>
  <sheetViews>
    <sheetView topLeftCell="S1" workbookViewId="0">
      <selection activeCell="AE183" sqref="AE183"/>
    </sheetView>
  </sheetViews>
  <sheetFormatPr baseColWidth="10" defaultColWidth="9.140625" defaultRowHeight="15"/>
  <cols>
    <col min="1" max="1" width="15" customWidth="1"/>
    <col min="2" max="2" width="29" customWidth="1"/>
    <col min="3" max="3" width="27" customWidth="1"/>
    <col min="4" max="4" width="13" customWidth="1"/>
    <col min="5" max="5" width="21" customWidth="1"/>
    <col min="6" max="6" width="12" customWidth="1"/>
    <col min="7" max="7" width="11" customWidth="1"/>
    <col min="8" max="8" width="39" customWidth="1"/>
    <col min="9" max="9" width="20" customWidth="1"/>
    <col min="10" max="10" width="24" customWidth="1"/>
    <col min="11" max="11" width="32" customWidth="1"/>
    <col min="12" max="12" width="10" customWidth="1"/>
    <col min="13" max="13" width="31" customWidth="1"/>
    <col min="14" max="14" width="21" customWidth="1"/>
    <col min="15" max="15" width="28" customWidth="1"/>
    <col min="16" max="16" width="11" customWidth="1"/>
    <col min="17" max="17" width="15" customWidth="1"/>
    <col min="18" max="18" width="33" customWidth="1"/>
    <col min="19" max="19" width="50" customWidth="1"/>
    <col min="20" max="20" width="19" customWidth="1"/>
    <col min="21" max="21" width="43" customWidth="1"/>
    <col min="22" max="22" width="14" customWidth="1"/>
    <col min="23" max="23" width="18" customWidth="1"/>
    <col min="24" max="24" width="42" customWidth="1"/>
    <col min="25" max="25" width="50" customWidth="1"/>
    <col min="26" max="26" width="33" customWidth="1"/>
    <col min="27" max="27" width="50" customWidth="1"/>
    <col min="28" max="28" width="44" customWidth="1"/>
    <col min="29" max="29" width="39" style="26" customWidth="1"/>
    <col min="30" max="30" width="27" style="26" customWidth="1"/>
    <col min="31" max="31" width="39" style="26" customWidth="1"/>
  </cols>
  <sheetData>
    <row r="1" spans="1:31" ht="30">
      <c r="A1" s="21" t="s">
        <v>73</v>
      </c>
      <c r="B1" s="21" t="s">
        <v>74</v>
      </c>
      <c r="C1" s="21" t="s">
        <v>75</v>
      </c>
      <c r="D1" s="21" t="s">
        <v>76</v>
      </c>
      <c r="E1" s="21" t="s">
        <v>77</v>
      </c>
      <c r="F1" s="21" t="s">
        <v>78</v>
      </c>
      <c r="G1" s="21" t="s">
        <v>79</v>
      </c>
      <c r="H1" s="21" t="s">
        <v>80</v>
      </c>
      <c r="I1" s="21" t="s">
        <v>81</v>
      </c>
      <c r="J1" s="21" t="s">
        <v>27</v>
      </c>
      <c r="K1" s="21" t="s">
        <v>82</v>
      </c>
      <c r="L1" s="21" t="s">
        <v>83</v>
      </c>
      <c r="M1" s="21" t="s">
        <v>84</v>
      </c>
      <c r="N1" s="21" t="s">
        <v>85</v>
      </c>
      <c r="O1" s="21" t="s">
        <v>86</v>
      </c>
      <c r="P1" s="21" t="s">
        <v>87</v>
      </c>
      <c r="Q1" s="21" t="s">
        <v>88</v>
      </c>
      <c r="R1" s="21" t="s">
        <v>89</v>
      </c>
      <c r="S1" s="21" t="s">
        <v>90</v>
      </c>
      <c r="T1" s="21" t="s">
        <v>91</v>
      </c>
      <c r="U1" s="21" t="s">
        <v>92</v>
      </c>
      <c r="V1" s="21" t="s">
        <v>93</v>
      </c>
      <c r="W1" s="21" t="s">
        <v>94</v>
      </c>
      <c r="X1" s="21" t="s">
        <v>95</v>
      </c>
      <c r="Y1" s="21" t="s">
        <v>96</v>
      </c>
      <c r="Z1" s="21" t="s">
        <v>97</v>
      </c>
      <c r="AA1" s="21" t="s">
        <v>98</v>
      </c>
      <c r="AB1" s="21" t="s">
        <v>99</v>
      </c>
      <c r="AC1" s="25" t="s">
        <v>100</v>
      </c>
      <c r="AD1" s="25" t="s">
        <v>101</v>
      </c>
      <c r="AE1" s="25" t="s">
        <v>102</v>
      </c>
    </row>
    <row r="2" spans="1:31">
      <c r="A2" t="s">
        <v>64</v>
      </c>
      <c r="B2" t="s">
        <v>103</v>
      </c>
      <c r="C2" t="s">
        <v>48</v>
      </c>
      <c r="D2" t="s">
        <v>104</v>
      </c>
      <c r="E2" t="s">
        <v>105</v>
      </c>
      <c r="F2" t="s">
        <v>106</v>
      </c>
      <c r="G2" t="s">
        <v>107</v>
      </c>
      <c r="H2" t="s">
        <v>108</v>
      </c>
      <c r="I2" t="s">
        <v>109</v>
      </c>
      <c r="J2" t="s">
        <v>110</v>
      </c>
      <c r="K2" t="s">
        <v>111</v>
      </c>
      <c r="L2" t="s">
        <v>112</v>
      </c>
      <c r="M2" t="s">
        <v>113</v>
      </c>
      <c r="N2" s="22">
        <v>45924.522916666669</v>
      </c>
      <c r="O2" s="22">
        <v>45931.705960648149</v>
      </c>
      <c r="P2" t="s">
        <v>114</v>
      </c>
      <c r="Q2" t="s">
        <v>115</v>
      </c>
      <c r="R2" t="s">
        <v>116</v>
      </c>
      <c r="S2" t="s">
        <v>117</v>
      </c>
      <c r="T2" t="s">
        <v>118</v>
      </c>
      <c r="U2" t="s">
        <v>119</v>
      </c>
      <c r="V2" t="s">
        <v>120</v>
      </c>
      <c r="W2" t="s">
        <v>121</v>
      </c>
      <c r="X2" t="s">
        <v>122</v>
      </c>
      <c r="Y2" s="23">
        <v>1</v>
      </c>
      <c r="Z2" s="23">
        <v>1</v>
      </c>
      <c r="AA2" s="23">
        <v>1</v>
      </c>
      <c r="AB2" s="23">
        <v>11251</v>
      </c>
      <c r="AC2" s="26">
        <v>126317</v>
      </c>
      <c r="AD2" s="26">
        <v>110808</v>
      </c>
      <c r="AE2" s="26">
        <v>248376</v>
      </c>
    </row>
    <row r="3" spans="1:31">
      <c r="A3" t="s">
        <v>64</v>
      </c>
      <c r="B3" t="s">
        <v>103</v>
      </c>
      <c r="C3" t="s">
        <v>48</v>
      </c>
      <c r="D3" t="s">
        <v>123</v>
      </c>
      <c r="E3" t="s">
        <v>124</v>
      </c>
      <c r="F3" t="s">
        <v>125</v>
      </c>
      <c r="G3" t="s">
        <v>107</v>
      </c>
      <c r="H3" t="s">
        <v>108</v>
      </c>
      <c r="I3" t="s">
        <v>109</v>
      </c>
      <c r="J3" t="s">
        <v>126</v>
      </c>
      <c r="K3" t="s">
        <v>127</v>
      </c>
      <c r="L3" t="s">
        <v>112</v>
      </c>
      <c r="M3" t="s">
        <v>128</v>
      </c>
      <c r="N3" s="22">
        <v>45924.619444444441</v>
      </c>
      <c r="O3" s="22">
        <v>45931.733287037037</v>
      </c>
      <c r="P3" t="s">
        <v>114</v>
      </c>
      <c r="Q3" t="s">
        <v>115</v>
      </c>
      <c r="R3" t="s">
        <v>116</v>
      </c>
      <c r="S3" t="s">
        <v>129</v>
      </c>
      <c r="T3" t="s">
        <v>118</v>
      </c>
      <c r="U3" t="s">
        <v>130</v>
      </c>
      <c r="V3" t="s">
        <v>120</v>
      </c>
      <c r="W3" t="s">
        <v>121</v>
      </c>
      <c r="X3" t="s">
        <v>131</v>
      </c>
      <c r="Y3" s="23">
        <v>1</v>
      </c>
      <c r="Z3" s="23">
        <v>1</v>
      </c>
      <c r="AA3" s="23">
        <v>1</v>
      </c>
      <c r="AB3" s="23">
        <v>11251</v>
      </c>
      <c r="AC3" s="26">
        <v>126317</v>
      </c>
      <c r="AD3" s="26">
        <v>110808</v>
      </c>
      <c r="AE3" s="26">
        <v>248376</v>
      </c>
    </row>
    <row r="4" spans="1:31">
      <c r="A4" t="s">
        <v>64</v>
      </c>
      <c r="B4" t="s">
        <v>103</v>
      </c>
      <c r="C4" t="s">
        <v>48</v>
      </c>
      <c r="D4" t="s">
        <v>123</v>
      </c>
      <c r="E4" t="s">
        <v>132</v>
      </c>
      <c r="F4" t="s">
        <v>133</v>
      </c>
      <c r="G4" t="s">
        <v>107</v>
      </c>
      <c r="H4" t="s">
        <v>108</v>
      </c>
      <c r="I4" t="s">
        <v>109</v>
      </c>
      <c r="J4" t="s">
        <v>126</v>
      </c>
      <c r="K4" t="s">
        <v>134</v>
      </c>
      <c r="L4" t="s">
        <v>112</v>
      </c>
      <c r="M4" t="s">
        <v>135</v>
      </c>
      <c r="N4" s="22">
        <v>45924.618750000001</v>
      </c>
      <c r="O4" s="22">
        <v>45932.633101851847</v>
      </c>
      <c r="P4" t="s">
        <v>114</v>
      </c>
      <c r="Q4" t="s">
        <v>115</v>
      </c>
      <c r="R4" t="s">
        <v>116</v>
      </c>
      <c r="S4" t="s">
        <v>136</v>
      </c>
      <c r="T4" t="s">
        <v>118</v>
      </c>
      <c r="U4" t="s">
        <v>137</v>
      </c>
      <c r="V4" t="s">
        <v>120</v>
      </c>
      <c r="W4" t="s">
        <v>121</v>
      </c>
      <c r="X4" t="s">
        <v>131</v>
      </c>
      <c r="Y4" s="23">
        <v>1</v>
      </c>
      <c r="Z4" s="23">
        <v>1</v>
      </c>
      <c r="AA4" s="23">
        <v>1</v>
      </c>
      <c r="AB4" s="23">
        <v>11251</v>
      </c>
      <c r="AC4" s="26">
        <v>126317</v>
      </c>
      <c r="AD4" s="26">
        <v>110808</v>
      </c>
      <c r="AE4" s="26">
        <v>248376</v>
      </c>
    </row>
    <row r="5" spans="1:31">
      <c r="A5" t="s">
        <v>64</v>
      </c>
      <c r="B5" t="s">
        <v>103</v>
      </c>
      <c r="C5" t="s">
        <v>48</v>
      </c>
      <c r="D5" t="s">
        <v>123</v>
      </c>
      <c r="E5" t="s">
        <v>138</v>
      </c>
      <c r="F5" t="s">
        <v>139</v>
      </c>
      <c r="G5" t="s">
        <v>107</v>
      </c>
      <c r="H5" t="s">
        <v>108</v>
      </c>
      <c r="I5" t="s">
        <v>109</v>
      </c>
      <c r="J5" t="s">
        <v>126</v>
      </c>
      <c r="K5" t="s">
        <v>140</v>
      </c>
      <c r="L5" t="s">
        <v>112</v>
      </c>
      <c r="M5" t="s">
        <v>141</v>
      </c>
      <c r="N5" s="22">
        <v>45924.619444444441</v>
      </c>
      <c r="O5" s="22">
        <v>45932.457326388889</v>
      </c>
      <c r="P5" t="s">
        <v>114</v>
      </c>
      <c r="Q5" t="s">
        <v>115</v>
      </c>
      <c r="R5" t="s">
        <v>142</v>
      </c>
      <c r="S5" t="s">
        <v>143</v>
      </c>
      <c r="T5" t="s">
        <v>118</v>
      </c>
      <c r="V5" t="s">
        <v>120</v>
      </c>
      <c r="W5" t="s">
        <v>121</v>
      </c>
      <c r="X5" t="s">
        <v>131</v>
      </c>
      <c r="Y5" s="23">
        <v>0</v>
      </c>
      <c r="Z5" s="23">
        <v>0</v>
      </c>
      <c r="AA5" s="23">
        <v>2</v>
      </c>
      <c r="AB5" s="23">
        <v>0</v>
      </c>
      <c r="AC5" s="26">
        <v>0</v>
      </c>
      <c r="AD5" s="26">
        <v>110808</v>
      </c>
      <c r="AE5" s="26">
        <v>221616</v>
      </c>
    </row>
    <row r="6" spans="1:31">
      <c r="A6" t="s">
        <v>64</v>
      </c>
      <c r="B6" t="s">
        <v>103</v>
      </c>
      <c r="C6" t="s">
        <v>48</v>
      </c>
      <c r="D6" t="s">
        <v>144</v>
      </c>
      <c r="E6" t="s">
        <v>145</v>
      </c>
      <c r="F6" t="s">
        <v>146</v>
      </c>
      <c r="G6" t="s">
        <v>107</v>
      </c>
      <c r="H6" t="s">
        <v>108</v>
      </c>
      <c r="I6" t="s">
        <v>109</v>
      </c>
      <c r="J6" t="s">
        <v>147</v>
      </c>
      <c r="K6" t="s">
        <v>148</v>
      </c>
      <c r="L6" t="s">
        <v>112</v>
      </c>
      <c r="M6" t="s">
        <v>149</v>
      </c>
      <c r="N6" s="22">
        <v>45924.522916666669</v>
      </c>
      <c r="O6" s="22">
        <v>45931.45857638889</v>
      </c>
      <c r="P6" t="s">
        <v>114</v>
      </c>
      <c r="Q6" t="s">
        <v>115</v>
      </c>
      <c r="R6" t="s">
        <v>116</v>
      </c>
      <c r="S6" t="s">
        <v>150</v>
      </c>
      <c r="T6" t="s">
        <v>118</v>
      </c>
      <c r="U6" t="s">
        <v>151</v>
      </c>
      <c r="V6" t="s">
        <v>120</v>
      </c>
      <c r="W6" t="s">
        <v>121</v>
      </c>
      <c r="X6" t="s">
        <v>122</v>
      </c>
      <c r="Y6" s="23">
        <v>1</v>
      </c>
      <c r="Z6" s="23">
        <v>1</v>
      </c>
      <c r="AA6" s="23">
        <v>1</v>
      </c>
      <c r="AB6" s="23">
        <v>11251</v>
      </c>
      <c r="AC6" s="26">
        <v>126317</v>
      </c>
      <c r="AD6" s="26">
        <v>110808</v>
      </c>
      <c r="AE6" s="26">
        <v>248376</v>
      </c>
    </row>
    <row r="7" spans="1:31">
      <c r="A7" t="s">
        <v>63</v>
      </c>
      <c r="B7" t="s">
        <v>155</v>
      </c>
      <c r="C7" t="s">
        <v>54</v>
      </c>
      <c r="D7" t="s">
        <v>156</v>
      </c>
      <c r="E7" t="s">
        <v>157</v>
      </c>
      <c r="F7" t="s">
        <v>158</v>
      </c>
      <c r="G7" t="s">
        <v>107</v>
      </c>
      <c r="H7" t="s">
        <v>108</v>
      </c>
      <c r="I7" t="s">
        <v>159</v>
      </c>
      <c r="J7" t="s">
        <v>53</v>
      </c>
      <c r="K7" t="s">
        <v>160</v>
      </c>
      <c r="L7" t="s">
        <v>112</v>
      </c>
      <c r="M7" t="s">
        <v>161</v>
      </c>
      <c r="N7" s="22">
        <v>45929.795138888891</v>
      </c>
      <c r="O7" s="22">
        <v>45931.47797453704</v>
      </c>
      <c r="P7" t="s">
        <v>114</v>
      </c>
      <c r="Q7" t="s">
        <v>115</v>
      </c>
      <c r="R7" t="s">
        <v>116</v>
      </c>
      <c r="S7" t="s">
        <v>162</v>
      </c>
      <c r="T7" t="s">
        <v>118</v>
      </c>
      <c r="U7" t="s">
        <v>163</v>
      </c>
      <c r="V7" t="s">
        <v>120</v>
      </c>
      <c r="W7" t="s">
        <v>121</v>
      </c>
      <c r="X7" t="s">
        <v>164</v>
      </c>
      <c r="Y7" s="23">
        <v>1</v>
      </c>
      <c r="Z7" s="23">
        <v>1</v>
      </c>
      <c r="AA7" s="23">
        <v>1</v>
      </c>
      <c r="AB7" s="23">
        <v>11251</v>
      </c>
      <c r="AC7" s="26">
        <v>126317</v>
      </c>
      <c r="AD7" s="26">
        <v>110808</v>
      </c>
      <c r="AE7" s="26">
        <v>248376</v>
      </c>
    </row>
    <row r="8" spans="1:31">
      <c r="A8" t="s">
        <v>63</v>
      </c>
      <c r="B8" t="s">
        <v>155</v>
      </c>
      <c r="C8" t="s">
        <v>54</v>
      </c>
      <c r="D8" t="s">
        <v>165</v>
      </c>
      <c r="E8" t="s">
        <v>166</v>
      </c>
      <c r="F8" t="s">
        <v>167</v>
      </c>
      <c r="G8" t="s">
        <v>107</v>
      </c>
      <c r="H8" t="s">
        <v>108</v>
      </c>
      <c r="I8" t="s">
        <v>159</v>
      </c>
      <c r="J8" t="s">
        <v>168</v>
      </c>
      <c r="K8" t="s">
        <v>169</v>
      </c>
      <c r="L8" t="s">
        <v>112</v>
      </c>
      <c r="M8" t="s">
        <v>170</v>
      </c>
      <c r="N8" s="22">
        <v>45929.795138888891</v>
      </c>
      <c r="O8" s="22">
        <v>45933.487233796302</v>
      </c>
      <c r="P8" t="s">
        <v>114</v>
      </c>
      <c r="Q8" t="s">
        <v>115</v>
      </c>
      <c r="R8" t="s">
        <v>116</v>
      </c>
      <c r="S8" t="s">
        <v>171</v>
      </c>
      <c r="T8" t="s">
        <v>118</v>
      </c>
      <c r="U8" t="s">
        <v>172</v>
      </c>
      <c r="V8" t="s">
        <v>173</v>
      </c>
      <c r="W8" t="s">
        <v>121</v>
      </c>
      <c r="X8" t="s">
        <v>164</v>
      </c>
      <c r="Y8" s="23">
        <v>1</v>
      </c>
      <c r="Z8" s="23">
        <v>1</v>
      </c>
      <c r="AA8" s="23">
        <v>1</v>
      </c>
      <c r="AB8" s="23">
        <v>11251</v>
      </c>
      <c r="AC8" s="26">
        <v>126317</v>
      </c>
      <c r="AD8" s="26">
        <v>110808</v>
      </c>
      <c r="AE8" s="26">
        <v>248376</v>
      </c>
    </row>
    <row r="9" spans="1:31">
      <c r="A9" t="s">
        <v>64</v>
      </c>
      <c r="B9" t="s">
        <v>103</v>
      </c>
      <c r="C9" t="s">
        <v>48</v>
      </c>
      <c r="D9" t="s">
        <v>174</v>
      </c>
      <c r="E9" t="s">
        <v>175</v>
      </c>
      <c r="F9" t="s">
        <v>176</v>
      </c>
      <c r="G9" t="s">
        <v>107</v>
      </c>
      <c r="H9" t="s">
        <v>108</v>
      </c>
      <c r="I9" t="s">
        <v>177</v>
      </c>
      <c r="J9" t="s">
        <v>178</v>
      </c>
      <c r="K9" t="s">
        <v>179</v>
      </c>
      <c r="L9" t="s">
        <v>112</v>
      </c>
      <c r="M9" t="s">
        <v>180</v>
      </c>
      <c r="N9" s="22">
        <v>45929.693749999999</v>
      </c>
      <c r="O9" s="22">
        <v>45931.654861111107</v>
      </c>
      <c r="P9" t="s">
        <v>114</v>
      </c>
      <c r="Q9" t="s">
        <v>115</v>
      </c>
      <c r="R9" t="s">
        <v>116</v>
      </c>
      <c r="S9" t="s">
        <v>181</v>
      </c>
      <c r="T9" t="s">
        <v>118</v>
      </c>
      <c r="U9" t="s">
        <v>182</v>
      </c>
      <c r="V9" t="s">
        <v>183</v>
      </c>
      <c r="W9" t="s">
        <v>121</v>
      </c>
      <c r="X9" t="s">
        <v>184</v>
      </c>
      <c r="Y9" s="23">
        <v>1</v>
      </c>
      <c r="Z9" s="23">
        <v>1</v>
      </c>
      <c r="AA9" s="23">
        <v>1</v>
      </c>
      <c r="AB9" s="23">
        <v>11251</v>
      </c>
      <c r="AC9" s="26">
        <v>126317</v>
      </c>
      <c r="AD9" s="26">
        <v>110808</v>
      </c>
      <c r="AE9" s="26">
        <v>248376</v>
      </c>
    </row>
    <row r="10" spans="1:31">
      <c r="A10" t="s">
        <v>52</v>
      </c>
      <c r="B10" t="s">
        <v>185</v>
      </c>
      <c r="C10" t="s">
        <v>44</v>
      </c>
      <c r="D10" t="s">
        <v>186</v>
      </c>
      <c r="E10" t="s">
        <v>187</v>
      </c>
      <c r="F10" t="s">
        <v>188</v>
      </c>
      <c r="G10" t="s">
        <v>107</v>
      </c>
      <c r="H10" t="s">
        <v>108</v>
      </c>
      <c r="I10" t="s">
        <v>189</v>
      </c>
      <c r="J10" t="s">
        <v>190</v>
      </c>
      <c r="K10" t="s">
        <v>191</v>
      </c>
      <c r="L10" t="s">
        <v>112</v>
      </c>
      <c r="M10" t="s">
        <v>192</v>
      </c>
      <c r="N10" s="22">
        <v>45929.289583333331</v>
      </c>
      <c r="O10" s="22">
        <v>45932.680219907408</v>
      </c>
      <c r="P10" t="s">
        <v>114</v>
      </c>
      <c r="Q10" t="s">
        <v>115</v>
      </c>
      <c r="R10" t="s">
        <v>116</v>
      </c>
      <c r="S10" t="s">
        <v>193</v>
      </c>
      <c r="T10" t="s">
        <v>118</v>
      </c>
      <c r="U10" t="s">
        <v>194</v>
      </c>
      <c r="V10" t="s">
        <v>120</v>
      </c>
      <c r="W10" t="s">
        <v>121</v>
      </c>
      <c r="X10" t="s">
        <v>195</v>
      </c>
      <c r="Y10" s="23">
        <v>1</v>
      </c>
      <c r="Z10" s="23">
        <v>1</v>
      </c>
      <c r="AA10" s="23">
        <v>1</v>
      </c>
      <c r="AB10" s="23">
        <v>11251</v>
      </c>
      <c r="AC10" s="26">
        <v>126317</v>
      </c>
      <c r="AD10" s="26">
        <v>110808</v>
      </c>
      <c r="AE10" s="26">
        <v>248376</v>
      </c>
    </row>
    <row r="11" spans="1:31">
      <c r="A11" t="s">
        <v>52</v>
      </c>
      <c r="B11" t="s">
        <v>185</v>
      </c>
      <c r="C11" t="s">
        <v>44</v>
      </c>
      <c r="D11" t="s">
        <v>196</v>
      </c>
      <c r="E11" t="s">
        <v>197</v>
      </c>
      <c r="F11" t="s">
        <v>198</v>
      </c>
      <c r="G11" t="s">
        <v>107</v>
      </c>
      <c r="H11" t="s">
        <v>108</v>
      </c>
      <c r="I11" t="s">
        <v>189</v>
      </c>
      <c r="J11" t="s">
        <v>199</v>
      </c>
      <c r="K11" t="s">
        <v>200</v>
      </c>
      <c r="L11" t="s">
        <v>112</v>
      </c>
      <c r="M11" t="s">
        <v>201</v>
      </c>
      <c r="N11" s="22">
        <v>45929.289583333331</v>
      </c>
      <c r="O11" s="22">
        <v>45933.478391203702</v>
      </c>
      <c r="P11" t="s">
        <v>114</v>
      </c>
      <c r="Q11" t="s">
        <v>115</v>
      </c>
      <c r="R11" t="s">
        <v>116</v>
      </c>
      <c r="S11" t="s">
        <v>202</v>
      </c>
      <c r="T11" t="s">
        <v>118</v>
      </c>
      <c r="U11" t="s">
        <v>203</v>
      </c>
      <c r="V11" t="s">
        <v>120</v>
      </c>
      <c r="W11" t="s">
        <v>121</v>
      </c>
      <c r="X11" t="s">
        <v>195</v>
      </c>
      <c r="Y11" s="23">
        <v>1</v>
      </c>
      <c r="Z11" s="23">
        <v>1</v>
      </c>
      <c r="AA11" s="23">
        <v>1</v>
      </c>
      <c r="AB11" s="23">
        <v>11251</v>
      </c>
      <c r="AC11" s="26">
        <v>126317</v>
      </c>
      <c r="AD11" s="26">
        <v>110808</v>
      </c>
      <c r="AE11" s="26">
        <v>248376</v>
      </c>
    </row>
    <row r="12" spans="1:31">
      <c r="A12" t="s">
        <v>47</v>
      </c>
      <c r="B12" t="s">
        <v>103</v>
      </c>
      <c r="C12" t="s">
        <v>48</v>
      </c>
      <c r="D12" t="s">
        <v>205</v>
      </c>
      <c r="E12" t="s">
        <v>206</v>
      </c>
      <c r="F12" t="s">
        <v>207</v>
      </c>
      <c r="G12" t="s">
        <v>107</v>
      </c>
      <c r="H12" t="s">
        <v>108</v>
      </c>
      <c r="I12" t="s">
        <v>208</v>
      </c>
      <c r="J12" t="s">
        <v>47</v>
      </c>
      <c r="K12" t="s">
        <v>209</v>
      </c>
      <c r="L12" t="s">
        <v>112</v>
      </c>
      <c r="M12" t="s">
        <v>210</v>
      </c>
      <c r="N12" s="22">
        <v>45929.696527777778</v>
      </c>
      <c r="O12" s="22">
        <v>45952.645636574067</v>
      </c>
      <c r="P12" t="s">
        <v>114</v>
      </c>
      <c r="Q12" t="s">
        <v>115</v>
      </c>
      <c r="R12" t="s">
        <v>142</v>
      </c>
      <c r="S12" t="s">
        <v>211</v>
      </c>
      <c r="T12" t="s">
        <v>118</v>
      </c>
      <c r="V12" t="s">
        <v>8</v>
      </c>
      <c r="W12" t="s">
        <v>121</v>
      </c>
      <c r="X12" t="s">
        <v>212</v>
      </c>
      <c r="Y12" s="23">
        <v>0</v>
      </c>
      <c r="Z12" s="23">
        <v>0</v>
      </c>
      <c r="AA12" s="23">
        <v>2</v>
      </c>
      <c r="AB12" s="23">
        <v>0</v>
      </c>
      <c r="AC12" s="26">
        <v>0</v>
      </c>
      <c r="AD12" s="26">
        <v>57415</v>
      </c>
      <c r="AE12" s="26">
        <v>114830</v>
      </c>
    </row>
    <row r="13" spans="1:31">
      <c r="A13" t="s">
        <v>64</v>
      </c>
      <c r="B13" t="s">
        <v>103</v>
      </c>
      <c r="C13" t="s">
        <v>48</v>
      </c>
      <c r="D13" t="s">
        <v>123</v>
      </c>
      <c r="E13" t="s">
        <v>213</v>
      </c>
      <c r="F13" t="s">
        <v>214</v>
      </c>
      <c r="G13" t="s">
        <v>107</v>
      </c>
      <c r="H13" t="s">
        <v>108</v>
      </c>
      <c r="I13" t="s">
        <v>109</v>
      </c>
      <c r="J13" t="s">
        <v>126</v>
      </c>
      <c r="K13" t="s">
        <v>215</v>
      </c>
      <c r="L13" t="s">
        <v>112</v>
      </c>
      <c r="M13" t="s">
        <v>216</v>
      </c>
      <c r="N13" s="22">
        <v>45929.618055555547</v>
      </c>
      <c r="O13" s="22">
        <v>45932.379791666674</v>
      </c>
      <c r="P13" t="s">
        <v>114</v>
      </c>
      <c r="Q13" t="s">
        <v>115</v>
      </c>
      <c r="R13" t="s">
        <v>116</v>
      </c>
      <c r="S13" t="s">
        <v>217</v>
      </c>
      <c r="T13" t="s">
        <v>118</v>
      </c>
      <c r="U13" t="s">
        <v>218</v>
      </c>
      <c r="V13" t="s">
        <v>120</v>
      </c>
      <c r="W13" t="s">
        <v>121</v>
      </c>
      <c r="X13" t="s">
        <v>131</v>
      </c>
      <c r="Y13" s="23">
        <v>1</v>
      </c>
      <c r="Z13" s="23">
        <v>1</v>
      </c>
      <c r="AA13" s="23">
        <v>1</v>
      </c>
      <c r="AB13" s="23">
        <v>11251</v>
      </c>
      <c r="AC13" s="26">
        <v>126317</v>
      </c>
      <c r="AD13" s="26">
        <v>110808</v>
      </c>
      <c r="AE13" s="26">
        <v>248376</v>
      </c>
    </row>
    <row r="14" spans="1:31">
      <c r="A14" t="s">
        <v>61</v>
      </c>
      <c r="B14" t="s">
        <v>219</v>
      </c>
      <c r="C14" t="s">
        <v>32</v>
      </c>
      <c r="D14" t="s">
        <v>220</v>
      </c>
      <c r="E14" t="s">
        <v>221</v>
      </c>
      <c r="F14" t="s">
        <v>222</v>
      </c>
      <c r="G14" t="s">
        <v>107</v>
      </c>
      <c r="H14" t="s">
        <v>108</v>
      </c>
      <c r="I14" t="s">
        <v>223</v>
      </c>
      <c r="J14" t="s">
        <v>61</v>
      </c>
      <c r="K14" t="s">
        <v>224</v>
      </c>
      <c r="L14" t="s">
        <v>112</v>
      </c>
      <c r="M14" t="s">
        <v>225</v>
      </c>
      <c r="N14" s="22">
        <v>45931.706250000003</v>
      </c>
      <c r="O14" s="22">
        <v>45933.516967592594</v>
      </c>
      <c r="P14" t="s">
        <v>114</v>
      </c>
      <c r="Q14" t="s">
        <v>115</v>
      </c>
      <c r="R14" t="s">
        <v>116</v>
      </c>
      <c r="S14" t="s">
        <v>226</v>
      </c>
      <c r="T14" t="s">
        <v>118</v>
      </c>
      <c r="U14" t="s">
        <v>227</v>
      </c>
      <c r="V14" t="s">
        <v>8</v>
      </c>
      <c r="W14" t="s">
        <v>121</v>
      </c>
      <c r="X14" t="s">
        <v>228</v>
      </c>
      <c r="Y14" s="23">
        <v>1</v>
      </c>
      <c r="Z14" s="23">
        <v>1</v>
      </c>
      <c r="AA14" s="23">
        <v>1</v>
      </c>
      <c r="AB14" s="23">
        <v>11251</v>
      </c>
      <c r="AC14" s="26">
        <v>126317</v>
      </c>
      <c r="AD14" s="26">
        <v>57415</v>
      </c>
      <c r="AE14" s="26">
        <v>194983</v>
      </c>
    </row>
    <row r="15" spans="1:31">
      <c r="A15" t="s">
        <v>61</v>
      </c>
      <c r="B15" t="s">
        <v>219</v>
      </c>
      <c r="C15" t="s">
        <v>32</v>
      </c>
      <c r="D15" t="s">
        <v>220</v>
      </c>
      <c r="E15" t="s">
        <v>229</v>
      </c>
      <c r="F15" t="s">
        <v>230</v>
      </c>
      <c r="G15" t="s">
        <v>107</v>
      </c>
      <c r="H15" t="s">
        <v>108</v>
      </c>
      <c r="I15" t="s">
        <v>223</v>
      </c>
      <c r="J15" t="s">
        <v>61</v>
      </c>
      <c r="K15" t="s">
        <v>231</v>
      </c>
      <c r="L15" t="s">
        <v>112</v>
      </c>
      <c r="M15" t="s">
        <v>232</v>
      </c>
      <c r="N15" s="22">
        <v>45931.706250000003</v>
      </c>
      <c r="O15" s="22">
        <v>45933.707187499997</v>
      </c>
      <c r="P15" t="s">
        <v>114</v>
      </c>
      <c r="Q15" t="s">
        <v>115</v>
      </c>
      <c r="R15" t="s">
        <v>116</v>
      </c>
      <c r="S15" t="s">
        <v>226</v>
      </c>
      <c r="T15" t="s">
        <v>118</v>
      </c>
      <c r="U15" t="s">
        <v>233</v>
      </c>
      <c r="V15" t="s">
        <v>8</v>
      </c>
      <c r="W15" t="s">
        <v>121</v>
      </c>
      <c r="X15" t="s">
        <v>228</v>
      </c>
      <c r="Y15" s="23">
        <v>1</v>
      </c>
      <c r="Z15" s="23">
        <v>1</v>
      </c>
      <c r="AA15" s="23">
        <v>1</v>
      </c>
      <c r="AB15" s="23">
        <v>11251</v>
      </c>
      <c r="AC15" s="26">
        <v>126317</v>
      </c>
      <c r="AD15" s="26">
        <v>57415</v>
      </c>
      <c r="AE15" s="26">
        <v>194983</v>
      </c>
    </row>
    <row r="16" spans="1:31">
      <c r="A16" t="s">
        <v>61</v>
      </c>
      <c r="B16" t="s">
        <v>219</v>
      </c>
      <c r="C16" t="s">
        <v>32</v>
      </c>
      <c r="D16" t="s">
        <v>234</v>
      </c>
      <c r="E16" t="s">
        <v>235</v>
      </c>
      <c r="F16" t="s">
        <v>236</v>
      </c>
      <c r="G16" t="s">
        <v>107</v>
      </c>
      <c r="H16" t="s">
        <v>108</v>
      </c>
      <c r="I16" t="s">
        <v>223</v>
      </c>
      <c r="J16" t="s">
        <v>237</v>
      </c>
      <c r="K16" t="s">
        <v>238</v>
      </c>
      <c r="L16" t="s">
        <v>112</v>
      </c>
      <c r="M16" t="s">
        <v>239</v>
      </c>
      <c r="N16" s="22">
        <v>45931.706250000003</v>
      </c>
      <c r="O16" s="22">
        <v>45933.599224537043</v>
      </c>
      <c r="P16" t="s">
        <v>114</v>
      </c>
      <c r="Q16" t="s">
        <v>115</v>
      </c>
      <c r="R16" t="s">
        <v>116</v>
      </c>
      <c r="S16" t="s">
        <v>240</v>
      </c>
      <c r="T16" t="s">
        <v>118</v>
      </c>
      <c r="U16" t="s">
        <v>241</v>
      </c>
      <c r="V16" t="s">
        <v>8</v>
      </c>
      <c r="W16" t="s">
        <v>121</v>
      </c>
      <c r="X16" t="s">
        <v>242</v>
      </c>
      <c r="Y16" s="23">
        <v>1</v>
      </c>
      <c r="Z16" s="23">
        <v>1</v>
      </c>
      <c r="AA16" s="23">
        <v>1</v>
      </c>
      <c r="AB16" s="23">
        <v>11251</v>
      </c>
      <c r="AC16" s="26">
        <v>126317</v>
      </c>
      <c r="AD16" s="26">
        <v>57415</v>
      </c>
      <c r="AE16" s="26">
        <v>194983</v>
      </c>
    </row>
    <row r="17" spans="1:31">
      <c r="A17" t="s">
        <v>31</v>
      </c>
      <c r="B17" t="s">
        <v>219</v>
      </c>
      <c r="C17" t="s">
        <v>32</v>
      </c>
      <c r="D17" t="s">
        <v>243</v>
      </c>
      <c r="E17" t="s">
        <v>244</v>
      </c>
      <c r="F17" t="s">
        <v>245</v>
      </c>
      <c r="G17" t="s">
        <v>107</v>
      </c>
      <c r="H17" t="s">
        <v>108</v>
      </c>
      <c r="I17" t="s">
        <v>223</v>
      </c>
      <c r="J17" t="s">
        <v>246</v>
      </c>
      <c r="K17" t="s">
        <v>247</v>
      </c>
      <c r="L17" t="s">
        <v>112</v>
      </c>
      <c r="M17" t="s">
        <v>248</v>
      </c>
      <c r="N17" s="22">
        <v>45931.706250000003</v>
      </c>
      <c r="O17" s="22">
        <v>45932.656701388893</v>
      </c>
      <c r="P17" t="s">
        <v>114</v>
      </c>
      <c r="Q17" t="s">
        <v>115</v>
      </c>
      <c r="R17" t="s">
        <v>116</v>
      </c>
      <c r="S17" t="s">
        <v>249</v>
      </c>
      <c r="T17" t="s">
        <v>118</v>
      </c>
      <c r="U17" t="s">
        <v>250</v>
      </c>
      <c r="V17" t="s">
        <v>251</v>
      </c>
      <c r="W17" t="s">
        <v>121</v>
      </c>
      <c r="X17" t="s">
        <v>252</v>
      </c>
      <c r="Y17" s="23">
        <v>1</v>
      </c>
      <c r="Z17" s="23">
        <v>1</v>
      </c>
      <c r="AA17" s="23">
        <v>1</v>
      </c>
      <c r="AB17" s="23">
        <v>11251</v>
      </c>
      <c r="AC17" s="26">
        <v>126317</v>
      </c>
      <c r="AD17" s="26">
        <v>110808</v>
      </c>
      <c r="AE17" s="26">
        <v>248376</v>
      </c>
    </row>
    <row r="18" spans="1:31">
      <c r="A18" t="s">
        <v>61</v>
      </c>
      <c r="B18" t="s">
        <v>219</v>
      </c>
      <c r="C18" t="s">
        <v>32</v>
      </c>
      <c r="D18" t="s">
        <v>253</v>
      </c>
      <c r="E18" t="s">
        <v>254</v>
      </c>
      <c r="F18" t="s">
        <v>255</v>
      </c>
      <c r="G18" t="s">
        <v>107</v>
      </c>
      <c r="H18" t="s">
        <v>108</v>
      </c>
      <c r="I18" t="s">
        <v>223</v>
      </c>
      <c r="J18" t="s">
        <v>256</v>
      </c>
      <c r="K18" t="s">
        <v>257</v>
      </c>
      <c r="L18" t="s">
        <v>112</v>
      </c>
      <c r="M18" t="s">
        <v>258</v>
      </c>
      <c r="N18" s="22">
        <v>45931.706944444442</v>
      </c>
      <c r="O18" s="22">
        <v>45936.609722222223</v>
      </c>
      <c r="P18" t="s">
        <v>114</v>
      </c>
      <c r="Q18" t="s">
        <v>115</v>
      </c>
      <c r="R18" t="s">
        <v>259</v>
      </c>
      <c r="S18" t="s">
        <v>260</v>
      </c>
      <c r="T18" t="s">
        <v>118</v>
      </c>
      <c r="U18" t="s">
        <v>261</v>
      </c>
      <c r="V18" t="s">
        <v>8</v>
      </c>
      <c r="W18" t="s">
        <v>121</v>
      </c>
      <c r="X18" t="s">
        <v>262</v>
      </c>
      <c r="Y18" s="23">
        <v>1</v>
      </c>
      <c r="Z18" s="23">
        <v>1</v>
      </c>
      <c r="AA18" s="23">
        <v>3</v>
      </c>
      <c r="AB18" s="23">
        <v>11251</v>
      </c>
      <c r="AC18" s="26">
        <v>126317</v>
      </c>
      <c r="AD18" s="26">
        <v>57415</v>
      </c>
      <c r="AE18" s="26">
        <v>309813</v>
      </c>
    </row>
    <row r="19" spans="1:31">
      <c r="A19" t="s">
        <v>61</v>
      </c>
      <c r="B19" t="s">
        <v>219</v>
      </c>
      <c r="C19" t="s">
        <v>32</v>
      </c>
      <c r="D19" t="s">
        <v>263</v>
      </c>
      <c r="E19" t="s">
        <v>264</v>
      </c>
      <c r="F19" t="s">
        <v>265</v>
      </c>
      <c r="G19" t="s">
        <v>107</v>
      </c>
      <c r="H19" t="s">
        <v>108</v>
      </c>
      <c r="I19" t="s">
        <v>223</v>
      </c>
      <c r="J19" t="s">
        <v>266</v>
      </c>
      <c r="K19" t="s">
        <v>267</v>
      </c>
      <c r="L19" t="s">
        <v>112</v>
      </c>
      <c r="M19" t="s">
        <v>268</v>
      </c>
      <c r="N19" s="22">
        <v>45931.706944444442</v>
      </c>
      <c r="O19" s="22">
        <v>45933.672627314823</v>
      </c>
      <c r="P19" t="s">
        <v>114</v>
      </c>
      <c r="Q19" t="s">
        <v>115</v>
      </c>
      <c r="R19" t="s">
        <v>116</v>
      </c>
      <c r="S19" t="s">
        <v>269</v>
      </c>
      <c r="T19" t="s">
        <v>118</v>
      </c>
      <c r="U19" t="s">
        <v>270</v>
      </c>
      <c r="V19" t="s">
        <v>120</v>
      </c>
      <c r="W19" t="s">
        <v>121</v>
      </c>
      <c r="X19" t="s">
        <v>271</v>
      </c>
      <c r="Y19" s="23">
        <v>1</v>
      </c>
      <c r="Z19" s="23">
        <v>1</v>
      </c>
      <c r="AA19" s="23">
        <v>1</v>
      </c>
      <c r="AB19" s="23">
        <v>11251</v>
      </c>
      <c r="AC19" s="26">
        <v>126317</v>
      </c>
      <c r="AD19" s="26">
        <v>110808</v>
      </c>
      <c r="AE19" s="26">
        <v>248376</v>
      </c>
    </row>
    <row r="20" spans="1:31">
      <c r="A20" t="s">
        <v>61</v>
      </c>
      <c r="B20" t="s">
        <v>219</v>
      </c>
      <c r="C20" t="s">
        <v>32</v>
      </c>
      <c r="D20" t="s">
        <v>272</v>
      </c>
      <c r="E20" t="s">
        <v>273</v>
      </c>
      <c r="F20" t="s">
        <v>274</v>
      </c>
      <c r="G20" t="s">
        <v>107</v>
      </c>
      <c r="H20" t="s">
        <v>108</v>
      </c>
      <c r="I20" t="s">
        <v>223</v>
      </c>
      <c r="J20" t="s">
        <v>275</v>
      </c>
      <c r="K20" t="s">
        <v>276</v>
      </c>
      <c r="L20" t="s">
        <v>112</v>
      </c>
      <c r="M20" t="s">
        <v>277</v>
      </c>
      <c r="N20" s="22">
        <v>45931.706250000003</v>
      </c>
      <c r="O20" s="22">
        <v>45933.582905092589</v>
      </c>
      <c r="P20" t="s">
        <v>114</v>
      </c>
      <c r="Q20" t="s">
        <v>115</v>
      </c>
      <c r="R20" t="s">
        <v>116</v>
      </c>
      <c r="S20" t="s">
        <v>278</v>
      </c>
      <c r="T20" t="s">
        <v>118</v>
      </c>
      <c r="U20" t="s">
        <v>279</v>
      </c>
      <c r="V20" t="s">
        <v>183</v>
      </c>
      <c r="W20" t="s">
        <v>121</v>
      </c>
      <c r="X20" t="s">
        <v>280</v>
      </c>
      <c r="Y20" s="23">
        <v>1</v>
      </c>
      <c r="Z20" s="23">
        <v>1</v>
      </c>
      <c r="AA20" s="23">
        <v>1</v>
      </c>
      <c r="AB20" s="23">
        <v>11251</v>
      </c>
      <c r="AC20" s="26">
        <v>126317</v>
      </c>
      <c r="AD20" s="26">
        <v>110808</v>
      </c>
      <c r="AE20" s="26">
        <v>248376</v>
      </c>
    </row>
    <row r="21" spans="1:31">
      <c r="A21" t="s">
        <v>61</v>
      </c>
      <c r="B21" t="s">
        <v>219</v>
      </c>
      <c r="C21" t="s">
        <v>32</v>
      </c>
      <c r="D21" t="s">
        <v>281</v>
      </c>
      <c r="E21" t="s">
        <v>282</v>
      </c>
      <c r="F21" t="s">
        <v>283</v>
      </c>
      <c r="G21" t="s">
        <v>107</v>
      </c>
      <c r="H21" t="s">
        <v>108</v>
      </c>
      <c r="I21" t="s">
        <v>284</v>
      </c>
      <c r="J21" t="s">
        <v>285</v>
      </c>
      <c r="K21" t="s">
        <v>286</v>
      </c>
      <c r="L21" t="s">
        <v>112</v>
      </c>
      <c r="M21" t="s">
        <v>287</v>
      </c>
      <c r="N21" s="22">
        <v>45931.706250000003</v>
      </c>
      <c r="O21" s="22">
        <v>45932.674699074072</v>
      </c>
      <c r="P21" t="s">
        <v>114</v>
      </c>
      <c r="Q21" t="s">
        <v>115</v>
      </c>
      <c r="R21" t="s">
        <v>116</v>
      </c>
      <c r="S21" t="s">
        <v>288</v>
      </c>
      <c r="T21" t="s">
        <v>118</v>
      </c>
      <c r="U21" t="s">
        <v>289</v>
      </c>
      <c r="V21" t="s">
        <v>120</v>
      </c>
      <c r="W21" t="s">
        <v>121</v>
      </c>
      <c r="X21" t="s">
        <v>290</v>
      </c>
      <c r="Y21" s="23">
        <v>1</v>
      </c>
      <c r="Z21" s="23">
        <v>1</v>
      </c>
      <c r="AA21" s="23">
        <v>1</v>
      </c>
      <c r="AB21" s="23">
        <v>11251</v>
      </c>
      <c r="AC21" s="26">
        <v>126317</v>
      </c>
      <c r="AD21" s="26">
        <v>110808</v>
      </c>
      <c r="AE21" s="26">
        <v>248376</v>
      </c>
    </row>
    <row r="22" spans="1:31">
      <c r="A22" t="s">
        <v>58</v>
      </c>
      <c r="B22" t="s">
        <v>103</v>
      </c>
      <c r="C22" t="s">
        <v>59</v>
      </c>
      <c r="D22" t="s">
        <v>291</v>
      </c>
      <c r="E22" t="s">
        <v>292</v>
      </c>
      <c r="F22" t="s">
        <v>293</v>
      </c>
      <c r="G22" t="s">
        <v>107</v>
      </c>
      <c r="H22" t="s">
        <v>108</v>
      </c>
      <c r="I22" t="s">
        <v>294</v>
      </c>
      <c r="J22" t="s">
        <v>295</v>
      </c>
      <c r="K22" t="s">
        <v>296</v>
      </c>
      <c r="L22" t="s">
        <v>112</v>
      </c>
      <c r="M22" t="s">
        <v>297</v>
      </c>
      <c r="N22" s="22">
        <v>45931.706250000003</v>
      </c>
      <c r="O22" s="22">
        <v>45932.612372685187</v>
      </c>
      <c r="P22" t="s">
        <v>114</v>
      </c>
      <c r="Q22" t="s">
        <v>115</v>
      </c>
      <c r="R22" t="s">
        <v>116</v>
      </c>
      <c r="S22" t="s">
        <v>298</v>
      </c>
      <c r="T22" t="s">
        <v>118</v>
      </c>
      <c r="U22" t="s">
        <v>299</v>
      </c>
      <c r="V22" t="s">
        <v>251</v>
      </c>
      <c r="W22" t="s">
        <v>121</v>
      </c>
      <c r="X22" t="s">
        <v>300</v>
      </c>
      <c r="Y22" s="23">
        <v>1</v>
      </c>
      <c r="Z22" s="23">
        <v>1</v>
      </c>
      <c r="AA22" s="23">
        <v>1</v>
      </c>
      <c r="AB22" s="23">
        <v>11251</v>
      </c>
      <c r="AC22" s="26">
        <v>126317</v>
      </c>
      <c r="AD22" s="26">
        <v>110808</v>
      </c>
      <c r="AE22" s="26">
        <v>248376</v>
      </c>
    </row>
    <row r="23" spans="1:31">
      <c r="A23" t="s">
        <v>47</v>
      </c>
      <c r="B23" t="s">
        <v>103</v>
      </c>
      <c r="C23" t="s">
        <v>48</v>
      </c>
      <c r="D23" t="s">
        <v>301</v>
      </c>
      <c r="E23" t="s">
        <v>302</v>
      </c>
      <c r="F23" t="s">
        <v>303</v>
      </c>
      <c r="G23" t="s">
        <v>107</v>
      </c>
      <c r="H23" t="s">
        <v>108</v>
      </c>
      <c r="I23" t="s">
        <v>304</v>
      </c>
      <c r="J23" t="s">
        <v>305</v>
      </c>
      <c r="K23" t="s">
        <v>306</v>
      </c>
      <c r="L23" t="s">
        <v>112</v>
      </c>
      <c r="M23" t="s">
        <v>307</v>
      </c>
      <c r="N23" s="22">
        <v>45931.740972222222</v>
      </c>
      <c r="O23" s="22">
        <v>45932.625335648147</v>
      </c>
      <c r="P23" t="s">
        <v>114</v>
      </c>
      <c r="Q23" t="s">
        <v>115</v>
      </c>
      <c r="R23" t="s">
        <v>142</v>
      </c>
      <c r="S23" t="s">
        <v>308</v>
      </c>
      <c r="T23" t="s">
        <v>118</v>
      </c>
      <c r="V23" t="s">
        <v>251</v>
      </c>
      <c r="W23" t="s">
        <v>121</v>
      </c>
      <c r="X23" t="s">
        <v>309</v>
      </c>
      <c r="Y23" s="23">
        <v>0</v>
      </c>
      <c r="Z23" s="23">
        <v>0</v>
      </c>
      <c r="AA23" s="23">
        <v>2</v>
      </c>
      <c r="AB23" s="23">
        <v>0</v>
      </c>
      <c r="AC23" s="26">
        <v>0</v>
      </c>
      <c r="AD23" s="26">
        <v>110808</v>
      </c>
      <c r="AE23" s="26">
        <v>221616</v>
      </c>
    </row>
    <row r="24" spans="1:31">
      <c r="A24" t="s">
        <v>43</v>
      </c>
      <c r="B24" t="s">
        <v>185</v>
      </c>
      <c r="C24" t="s">
        <v>44</v>
      </c>
      <c r="D24" t="s">
        <v>310</v>
      </c>
      <c r="E24" t="s">
        <v>311</v>
      </c>
      <c r="F24" t="s">
        <v>312</v>
      </c>
      <c r="G24" t="s">
        <v>107</v>
      </c>
      <c r="H24" t="s">
        <v>108</v>
      </c>
      <c r="I24" t="s">
        <v>313</v>
      </c>
      <c r="J24" t="s">
        <v>314</v>
      </c>
      <c r="K24" t="s">
        <v>315</v>
      </c>
      <c r="L24" t="s">
        <v>112</v>
      </c>
      <c r="M24" t="s">
        <v>316</v>
      </c>
      <c r="N24" s="22">
        <v>45931.703472222223</v>
      </c>
      <c r="O24" s="22">
        <v>45932.736493055563</v>
      </c>
      <c r="P24" t="s">
        <v>114</v>
      </c>
      <c r="Q24" t="s">
        <v>115</v>
      </c>
      <c r="R24" t="s">
        <v>116</v>
      </c>
      <c r="S24" t="s">
        <v>317</v>
      </c>
      <c r="T24" t="s">
        <v>118</v>
      </c>
      <c r="U24" t="s">
        <v>318</v>
      </c>
      <c r="V24" t="s">
        <v>183</v>
      </c>
      <c r="W24" t="s">
        <v>121</v>
      </c>
      <c r="X24" t="s">
        <v>319</v>
      </c>
      <c r="Y24" s="23">
        <v>1</v>
      </c>
      <c r="Z24" s="23">
        <v>1</v>
      </c>
      <c r="AA24" s="23">
        <v>1</v>
      </c>
      <c r="AB24" s="23">
        <v>11251</v>
      </c>
      <c r="AC24" s="26">
        <v>126317</v>
      </c>
      <c r="AD24" s="26">
        <v>110808</v>
      </c>
      <c r="AE24" s="26">
        <v>248376</v>
      </c>
    </row>
    <row r="25" spans="1:31">
      <c r="A25" t="s">
        <v>62</v>
      </c>
      <c r="B25" t="s">
        <v>152</v>
      </c>
      <c r="C25" t="s">
        <v>36</v>
      </c>
      <c r="D25" t="s">
        <v>320</v>
      </c>
      <c r="E25" t="s">
        <v>321</v>
      </c>
      <c r="F25" t="s">
        <v>322</v>
      </c>
      <c r="G25" t="s">
        <v>107</v>
      </c>
      <c r="H25" t="s">
        <v>108</v>
      </c>
      <c r="I25" t="s">
        <v>323</v>
      </c>
      <c r="J25" t="s">
        <v>62</v>
      </c>
      <c r="K25" t="s">
        <v>324</v>
      </c>
      <c r="L25" t="s">
        <v>112</v>
      </c>
      <c r="M25" t="s">
        <v>325</v>
      </c>
      <c r="N25" s="22">
        <v>45931.612500000003</v>
      </c>
      <c r="O25" s="22">
        <v>45932.599293981482</v>
      </c>
      <c r="P25" t="s">
        <v>114</v>
      </c>
      <c r="Q25" t="s">
        <v>115</v>
      </c>
      <c r="R25" t="s">
        <v>116</v>
      </c>
      <c r="S25" t="s">
        <v>326</v>
      </c>
      <c r="T25" t="s">
        <v>118</v>
      </c>
      <c r="U25" t="s">
        <v>327</v>
      </c>
      <c r="V25" t="s">
        <v>8</v>
      </c>
      <c r="W25" t="s">
        <v>121</v>
      </c>
      <c r="X25" t="s">
        <v>328</v>
      </c>
      <c r="Y25" s="23">
        <v>1</v>
      </c>
      <c r="Z25" s="23">
        <v>1</v>
      </c>
      <c r="AA25" s="23">
        <v>1</v>
      </c>
      <c r="AB25" s="23">
        <v>11251</v>
      </c>
      <c r="AC25" s="26">
        <v>126317</v>
      </c>
      <c r="AD25" s="26">
        <v>57415</v>
      </c>
      <c r="AE25" s="26">
        <v>194983</v>
      </c>
    </row>
    <row r="26" spans="1:31">
      <c r="A26" t="s">
        <v>62</v>
      </c>
      <c r="B26" t="s">
        <v>152</v>
      </c>
      <c r="C26" t="s">
        <v>36</v>
      </c>
      <c r="D26" t="s">
        <v>329</v>
      </c>
      <c r="E26" t="s">
        <v>330</v>
      </c>
      <c r="F26" t="s">
        <v>331</v>
      </c>
      <c r="G26" t="s">
        <v>107</v>
      </c>
      <c r="H26" t="s">
        <v>108</v>
      </c>
      <c r="I26" t="s">
        <v>323</v>
      </c>
      <c r="J26" t="s">
        <v>332</v>
      </c>
      <c r="K26" t="s">
        <v>333</v>
      </c>
      <c r="L26" t="s">
        <v>112</v>
      </c>
      <c r="M26" t="s">
        <v>334</v>
      </c>
      <c r="N26" s="22">
        <v>45931.612500000003</v>
      </c>
      <c r="O26" s="22">
        <v>45933.555601851847</v>
      </c>
      <c r="P26" t="s">
        <v>114</v>
      </c>
      <c r="Q26" t="s">
        <v>115</v>
      </c>
      <c r="R26" t="s">
        <v>116</v>
      </c>
      <c r="S26" t="s">
        <v>335</v>
      </c>
      <c r="T26" t="s">
        <v>118</v>
      </c>
      <c r="U26" t="s">
        <v>336</v>
      </c>
      <c r="V26" t="s">
        <v>251</v>
      </c>
      <c r="W26" t="s">
        <v>121</v>
      </c>
      <c r="X26" t="s">
        <v>328</v>
      </c>
      <c r="Y26" s="23">
        <v>1</v>
      </c>
      <c r="Z26" s="23">
        <v>1</v>
      </c>
      <c r="AA26" s="23">
        <v>1</v>
      </c>
      <c r="AB26" s="23">
        <v>11251</v>
      </c>
      <c r="AC26" s="26">
        <v>126317</v>
      </c>
      <c r="AD26" s="26">
        <v>110808</v>
      </c>
      <c r="AE26" s="26">
        <v>248376</v>
      </c>
    </row>
    <row r="27" spans="1:31">
      <c r="A27" t="s">
        <v>63</v>
      </c>
      <c r="B27" t="s">
        <v>155</v>
      </c>
      <c r="C27" t="s">
        <v>54</v>
      </c>
      <c r="D27" t="s">
        <v>337</v>
      </c>
      <c r="E27" t="s">
        <v>338</v>
      </c>
      <c r="F27" t="s">
        <v>339</v>
      </c>
      <c r="G27" t="s">
        <v>107</v>
      </c>
      <c r="H27" t="s">
        <v>108</v>
      </c>
      <c r="I27" t="s">
        <v>340</v>
      </c>
      <c r="J27" t="s">
        <v>63</v>
      </c>
      <c r="K27" t="s">
        <v>341</v>
      </c>
      <c r="L27" t="s">
        <v>112</v>
      </c>
      <c r="M27" t="s">
        <v>342</v>
      </c>
      <c r="N27" s="22">
        <v>45931.724305555559</v>
      </c>
      <c r="O27" s="22">
        <v>45950.725428240738</v>
      </c>
      <c r="P27" t="s">
        <v>343</v>
      </c>
      <c r="Q27" t="s">
        <v>344</v>
      </c>
      <c r="R27" t="s">
        <v>116</v>
      </c>
      <c r="S27" t="s">
        <v>345</v>
      </c>
      <c r="T27" t="s">
        <v>118</v>
      </c>
      <c r="U27" t="s">
        <v>346</v>
      </c>
      <c r="V27" t="s">
        <v>8</v>
      </c>
      <c r="W27" t="s">
        <v>121</v>
      </c>
      <c r="X27" t="s">
        <v>347</v>
      </c>
      <c r="Y27" s="23">
        <v>0</v>
      </c>
      <c r="Z27" s="23">
        <v>1</v>
      </c>
      <c r="AA27" s="23">
        <v>0</v>
      </c>
      <c r="AB27" s="23">
        <v>11251</v>
      </c>
      <c r="AC27" s="26">
        <v>0</v>
      </c>
      <c r="AD27" s="26">
        <v>0</v>
      </c>
      <c r="AE27" s="26">
        <v>11251</v>
      </c>
    </row>
    <row r="28" spans="1:31">
      <c r="A28" t="s">
        <v>64</v>
      </c>
      <c r="B28" t="s">
        <v>103</v>
      </c>
      <c r="C28" t="s">
        <v>48</v>
      </c>
      <c r="D28" t="s">
        <v>348</v>
      </c>
      <c r="E28" t="s">
        <v>349</v>
      </c>
      <c r="F28" t="s">
        <v>350</v>
      </c>
      <c r="G28" t="s">
        <v>107</v>
      </c>
      <c r="H28" t="s">
        <v>108</v>
      </c>
      <c r="I28" t="s">
        <v>177</v>
      </c>
      <c r="J28" t="s">
        <v>351</v>
      </c>
      <c r="K28" t="s">
        <v>352</v>
      </c>
      <c r="L28" t="s">
        <v>112</v>
      </c>
      <c r="M28" t="s">
        <v>353</v>
      </c>
      <c r="N28" s="22">
        <v>45931.643750000003</v>
      </c>
      <c r="O28" s="22">
        <v>45933.608194444438</v>
      </c>
      <c r="P28" t="s">
        <v>114</v>
      </c>
      <c r="Q28" t="s">
        <v>115</v>
      </c>
      <c r="R28" t="s">
        <v>116</v>
      </c>
      <c r="S28" t="s">
        <v>354</v>
      </c>
      <c r="T28" t="s">
        <v>118</v>
      </c>
      <c r="U28" t="s">
        <v>355</v>
      </c>
      <c r="V28" t="s">
        <v>183</v>
      </c>
      <c r="W28" t="s">
        <v>121</v>
      </c>
      <c r="X28" t="s">
        <v>184</v>
      </c>
      <c r="Y28" s="23">
        <v>1</v>
      </c>
      <c r="Z28" s="23">
        <v>1</v>
      </c>
      <c r="AA28" s="23">
        <v>1</v>
      </c>
      <c r="AB28" s="23">
        <v>11251</v>
      </c>
      <c r="AC28" s="26">
        <v>126317</v>
      </c>
      <c r="AD28" s="26">
        <v>110808</v>
      </c>
      <c r="AE28" s="26">
        <v>248376</v>
      </c>
    </row>
    <row r="29" spans="1:31">
      <c r="A29" t="s">
        <v>64</v>
      </c>
      <c r="B29" t="s">
        <v>103</v>
      </c>
      <c r="C29" t="s">
        <v>48</v>
      </c>
      <c r="D29" t="s">
        <v>356</v>
      </c>
      <c r="E29" t="s">
        <v>357</v>
      </c>
      <c r="F29" t="s">
        <v>358</v>
      </c>
      <c r="G29" t="s">
        <v>107</v>
      </c>
      <c r="H29" t="s">
        <v>108</v>
      </c>
      <c r="I29" t="s">
        <v>177</v>
      </c>
      <c r="J29" t="s">
        <v>359</v>
      </c>
      <c r="K29" t="s">
        <v>360</v>
      </c>
      <c r="L29" t="s">
        <v>112</v>
      </c>
      <c r="M29" t="s">
        <v>361</v>
      </c>
      <c r="N29" s="22">
        <v>45931.697916666657</v>
      </c>
      <c r="O29" s="22">
        <v>45937.376689814817</v>
      </c>
      <c r="P29" t="s">
        <v>114</v>
      </c>
      <c r="Q29" t="s">
        <v>115</v>
      </c>
      <c r="R29" t="s">
        <v>142</v>
      </c>
      <c r="S29" t="s">
        <v>362</v>
      </c>
      <c r="T29" t="s">
        <v>118</v>
      </c>
      <c r="V29" t="s">
        <v>251</v>
      </c>
      <c r="W29" t="s">
        <v>121</v>
      </c>
      <c r="X29" t="s">
        <v>131</v>
      </c>
      <c r="Y29" s="23">
        <v>0</v>
      </c>
      <c r="Z29" s="23">
        <v>0</v>
      </c>
      <c r="AA29" s="23">
        <v>2</v>
      </c>
      <c r="AB29" s="23">
        <v>0</v>
      </c>
      <c r="AC29" s="26">
        <v>0</v>
      </c>
      <c r="AD29" s="26">
        <v>110808</v>
      </c>
      <c r="AE29" s="26">
        <v>221616</v>
      </c>
    </row>
    <row r="30" spans="1:31">
      <c r="A30" t="s">
        <v>43</v>
      </c>
      <c r="B30" t="s">
        <v>185</v>
      </c>
      <c r="C30" t="s">
        <v>44</v>
      </c>
      <c r="D30" t="s">
        <v>363</v>
      </c>
      <c r="E30" t="s">
        <v>364</v>
      </c>
      <c r="F30" t="s">
        <v>365</v>
      </c>
      <c r="G30" t="s">
        <v>107</v>
      </c>
      <c r="H30" t="s">
        <v>108</v>
      </c>
      <c r="I30" t="s">
        <v>366</v>
      </c>
      <c r="J30" t="s">
        <v>43</v>
      </c>
      <c r="K30" t="s">
        <v>367</v>
      </c>
      <c r="L30" t="s">
        <v>112</v>
      </c>
      <c r="M30" t="s">
        <v>368</v>
      </c>
      <c r="N30" s="22">
        <v>45931.703472222223</v>
      </c>
      <c r="O30" s="22">
        <v>45932.550416666672</v>
      </c>
      <c r="P30" t="s">
        <v>114</v>
      </c>
      <c r="Q30" t="s">
        <v>115</v>
      </c>
      <c r="R30" t="s">
        <v>116</v>
      </c>
      <c r="S30" t="s">
        <v>369</v>
      </c>
      <c r="T30" t="s">
        <v>118</v>
      </c>
      <c r="U30" t="s">
        <v>370</v>
      </c>
      <c r="V30" t="s">
        <v>8</v>
      </c>
      <c r="W30" t="s">
        <v>121</v>
      </c>
      <c r="X30" t="s">
        <v>371</v>
      </c>
      <c r="Y30" s="23">
        <v>1</v>
      </c>
      <c r="Z30" s="23">
        <v>1</v>
      </c>
      <c r="AA30" s="23">
        <v>1</v>
      </c>
      <c r="AB30" s="23">
        <v>11251</v>
      </c>
      <c r="AC30" s="26">
        <v>126317</v>
      </c>
      <c r="AD30" s="26">
        <v>57415</v>
      </c>
      <c r="AE30" s="26">
        <v>194983</v>
      </c>
    </row>
    <row r="31" spans="1:31">
      <c r="A31" t="s">
        <v>43</v>
      </c>
      <c r="B31" t="s">
        <v>185</v>
      </c>
      <c r="C31" t="s">
        <v>44</v>
      </c>
      <c r="D31" t="s">
        <v>372</v>
      </c>
      <c r="E31" t="s">
        <v>373</v>
      </c>
      <c r="F31" t="s">
        <v>374</v>
      </c>
      <c r="G31" t="s">
        <v>107</v>
      </c>
      <c r="H31" t="s">
        <v>108</v>
      </c>
      <c r="I31" t="s">
        <v>366</v>
      </c>
      <c r="J31" t="s">
        <v>375</v>
      </c>
      <c r="K31" t="s">
        <v>376</v>
      </c>
      <c r="L31" t="s">
        <v>112</v>
      </c>
      <c r="M31" t="s">
        <v>377</v>
      </c>
      <c r="N31" s="22">
        <v>45931.703472222223</v>
      </c>
      <c r="O31" s="22">
        <v>45932.472800925927</v>
      </c>
      <c r="P31" t="s">
        <v>114</v>
      </c>
      <c r="Q31" t="s">
        <v>115</v>
      </c>
      <c r="R31" t="s">
        <v>116</v>
      </c>
      <c r="S31" t="s">
        <v>378</v>
      </c>
      <c r="T31" t="s">
        <v>118</v>
      </c>
      <c r="U31" t="s">
        <v>379</v>
      </c>
      <c r="V31" t="s">
        <v>8</v>
      </c>
      <c r="W31" t="s">
        <v>121</v>
      </c>
      <c r="X31" t="s">
        <v>380</v>
      </c>
      <c r="Y31" s="23">
        <v>1</v>
      </c>
      <c r="Z31" s="23">
        <v>1</v>
      </c>
      <c r="AA31" s="23">
        <v>1</v>
      </c>
      <c r="AB31" s="23">
        <v>11251</v>
      </c>
      <c r="AC31" s="26">
        <v>126317</v>
      </c>
      <c r="AD31" s="26">
        <v>57415</v>
      </c>
      <c r="AE31" s="26">
        <v>194983</v>
      </c>
    </row>
    <row r="32" spans="1:31">
      <c r="A32" t="s">
        <v>47</v>
      </c>
      <c r="B32" t="s">
        <v>103</v>
      </c>
      <c r="C32" t="s">
        <v>48</v>
      </c>
      <c r="D32" t="s">
        <v>205</v>
      </c>
      <c r="E32" t="s">
        <v>381</v>
      </c>
      <c r="F32" t="s">
        <v>382</v>
      </c>
      <c r="G32" t="s">
        <v>107</v>
      </c>
      <c r="H32" t="s">
        <v>108</v>
      </c>
      <c r="I32" t="s">
        <v>208</v>
      </c>
      <c r="J32" t="s">
        <v>47</v>
      </c>
      <c r="K32" t="s">
        <v>383</v>
      </c>
      <c r="L32" t="s">
        <v>112</v>
      </c>
      <c r="M32" t="s">
        <v>384</v>
      </c>
      <c r="N32" s="22">
        <v>45931.727777777778</v>
      </c>
      <c r="O32" s="22">
        <v>45932.531099537038</v>
      </c>
      <c r="P32" t="s">
        <v>114</v>
      </c>
      <c r="Q32" t="s">
        <v>115</v>
      </c>
      <c r="R32" t="s">
        <v>116</v>
      </c>
      <c r="S32" t="s">
        <v>385</v>
      </c>
      <c r="T32" t="s">
        <v>118</v>
      </c>
      <c r="U32" t="s">
        <v>386</v>
      </c>
      <c r="V32" t="s">
        <v>8</v>
      </c>
      <c r="W32" t="s">
        <v>121</v>
      </c>
      <c r="X32" t="s">
        <v>387</v>
      </c>
      <c r="Y32" s="23">
        <v>1</v>
      </c>
      <c r="Z32" s="23">
        <v>1</v>
      </c>
      <c r="AA32" s="23">
        <v>1</v>
      </c>
      <c r="AB32" s="23">
        <v>11251</v>
      </c>
      <c r="AC32" s="26">
        <v>126317</v>
      </c>
      <c r="AD32" s="26">
        <v>57415</v>
      </c>
      <c r="AE32" s="26">
        <v>194983</v>
      </c>
    </row>
    <row r="33" spans="1:31">
      <c r="A33" t="s">
        <v>47</v>
      </c>
      <c r="B33" t="s">
        <v>103</v>
      </c>
      <c r="C33" t="s">
        <v>48</v>
      </c>
      <c r="D33" t="s">
        <v>205</v>
      </c>
      <c r="E33" t="s">
        <v>388</v>
      </c>
      <c r="F33" t="s">
        <v>389</v>
      </c>
      <c r="G33" t="s">
        <v>107</v>
      </c>
      <c r="H33" t="s">
        <v>108</v>
      </c>
      <c r="I33" t="s">
        <v>208</v>
      </c>
      <c r="J33" t="s">
        <v>47</v>
      </c>
      <c r="K33" t="s">
        <v>390</v>
      </c>
      <c r="L33" t="s">
        <v>112</v>
      </c>
      <c r="M33" t="s">
        <v>391</v>
      </c>
      <c r="N33" s="22">
        <v>45931.743055555547</v>
      </c>
      <c r="O33" s="22">
        <v>45933.730104166672</v>
      </c>
      <c r="P33" t="s">
        <v>114</v>
      </c>
      <c r="Q33" t="s">
        <v>115</v>
      </c>
      <c r="R33" t="s">
        <v>116</v>
      </c>
      <c r="S33" t="s">
        <v>392</v>
      </c>
      <c r="T33" t="s">
        <v>118</v>
      </c>
      <c r="U33" t="s">
        <v>393</v>
      </c>
      <c r="V33" t="s">
        <v>8</v>
      </c>
      <c r="W33" t="s">
        <v>121</v>
      </c>
      <c r="X33" t="s">
        <v>212</v>
      </c>
      <c r="Y33" s="23">
        <v>1</v>
      </c>
      <c r="Z33" s="23">
        <v>1</v>
      </c>
      <c r="AA33" s="23">
        <v>1</v>
      </c>
      <c r="AB33" s="23">
        <v>11251</v>
      </c>
      <c r="AC33" s="26">
        <v>126317</v>
      </c>
      <c r="AD33" s="26">
        <v>57415</v>
      </c>
      <c r="AE33" s="26">
        <v>194983</v>
      </c>
    </row>
    <row r="34" spans="1:31">
      <c r="A34" t="s">
        <v>47</v>
      </c>
      <c r="B34" t="s">
        <v>103</v>
      </c>
      <c r="C34" t="s">
        <v>48</v>
      </c>
      <c r="D34" t="s">
        <v>205</v>
      </c>
      <c r="E34" t="s">
        <v>394</v>
      </c>
      <c r="F34" t="s">
        <v>395</v>
      </c>
      <c r="G34" t="s">
        <v>107</v>
      </c>
      <c r="H34" t="s">
        <v>108</v>
      </c>
      <c r="I34" t="s">
        <v>208</v>
      </c>
      <c r="J34" t="s">
        <v>47</v>
      </c>
      <c r="K34" t="s">
        <v>396</v>
      </c>
      <c r="L34" t="s">
        <v>112</v>
      </c>
      <c r="M34" t="s">
        <v>397</v>
      </c>
      <c r="N34" s="22">
        <v>45931.738194444442</v>
      </c>
      <c r="O34" s="22">
        <v>45932.565671296303</v>
      </c>
      <c r="P34" t="s">
        <v>114</v>
      </c>
      <c r="Q34" t="s">
        <v>115</v>
      </c>
      <c r="R34" t="s">
        <v>116</v>
      </c>
      <c r="S34" t="s">
        <v>398</v>
      </c>
      <c r="T34" t="s">
        <v>118</v>
      </c>
      <c r="U34" t="s">
        <v>399</v>
      </c>
      <c r="V34" t="s">
        <v>8</v>
      </c>
      <c r="W34" t="s">
        <v>121</v>
      </c>
      <c r="X34" t="s">
        <v>400</v>
      </c>
      <c r="Y34" s="23">
        <v>1</v>
      </c>
      <c r="Z34" s="23">
        <v>1</v>
      </c>
      <c r="AA34" s="23">
        <v>1</v>
      </c>
      <c r="AB34" s="23">
        <v>11251</v>
      </c>
      <c r="AC34" s="26">
        <v>126317</v>
      </c>
      <c r="AD34" s="26">
        <v>57415</v>
      </c>
      <c r="AE34" s="26">
        <v>194983</v>
      </c>
    </row>
    <row r="35" spans="1:31">
      <c r="A35" t="s">
        <v>47</v>
      </c>
      <c r="B35" t="s">
        <v>103</v>
      </c>
      <c r="C35" t="s">
        <v>48</v>
      </c>
      <c r="D35" t="s">
        <v>205</v>
      </c>
      <c r="E35" t="s">
        <v>401</v>
      </c>
      <c r="F35" t="s">
        <v>402</v>
      </c>
      <c r="G35" t="s">
        <v>107</v>
      </c>
      <c r="H35" t="s">
        <v>108</v>
      </c>
      <c r="I35" t="s">
        <v>208</v>
      </c>
      <c r="J35" t="s">
        <v>47</v>
      </c>
      <c r="K35" t="s">
        <v>403</v>
      </c>
      <c r="L35" t="s">
        <v>112</v>
      </c>
      <c r="M35" t="s">
        <v>404</v>
      </c>
      <c r="N35" s="22">
        <v>45931.748611111107</v>
      </c>
      <c r="O35" s="22">
        <v>45933.669907407413</v>
      </c>
      <c r="P35" t="s">
        <v>114</v>
      </c>
      <c r="Q35" t="s">
        <v>115</v>
      </c>
      <c r="R35" t="s">
        <v>116</v>
      </c>
      <c r="S35" t="s">
        <v>405</v>
      </c>
      <c r="T35" t="s">
        <v>118</v>
      </c>
      <c r="U35" t="s">
        <v>406</v>
      </c>
      <c r="V35" t="s">
        <v>8</v>
      </c>
      <c r="W35" t="s">
        <v>121</v>
      </c>
      <c r="X35" t="s">
        <v>387</v>
      </c>
      <c r="Y35" s="23">
        <v>1</v>
      </c>
      <c r="Z35" s="23">
        <v>1</v>
      </c>
      <c r="AA35" s="23">
        <v>1</v>
      </c>
      <c r="AB35" s="23">
        <v>11251</v>
      </c>
      <c r="AC35" s="26">
        <v>126317</v>
      </c>
      <c r="AD35" s="26">
        <v>57415</v>
      </c>
      <c r="AE35" s="26">
        <v>194983</v>
      </c>
    </row>
    <row r="36" spans="1:31">
      <c r="A36" t="s">
        <v>47</v>
      </c>
      <c r="B36" t="s">
        <v>103</v>
      </c>
      <c r="C36" t="s">
        <v>48</v>
      </c>
      <c r="D36" t="s">
        <v>205</v>
      </c>
      <c r="E36" t="s">
        <v>407</v>
      </c>
      <c r="F36" t="s">
        <v>408</v>
      </c>
      <c r="G36" t="s">
        <v>107</v>
      </c>
      <c r="H36" t="s">
        <v>108</v>
      </c>
      <c r="I36" t="s">
        <v>208</v>
      </c>
      <c r="J36" t="s">
        <v>47</v>
      </c>
      <c r="K36" t="s">
        <v>409</v>
      </c>
      <c r="L36" t="s">
        <v>112</v>
      </c>
      <c r="M36" t="s">
        <v>410</v>
      </c>
      <c r="N36" s="22">
        <v>45931.743750000001</v>
      </c>
      <c r="O36" s="22">
        <v>45933.551261574074</v>
      </c>
      <c r="P36" t="s">
        <v>114</v>
      </c>
      <c r="Q36" t="s">
        <v>115</v>
      </c>
      <c r="R36" t="s">
        <v>116</v>
      </c>
      <c r="S36" t="s">
        <v>411</v>
      </c>
      <c r="T36" t="s">
        <v>118</v>
      </c>
      <c r="U36" t="s">
        <v>412</v>
      </c>
      <c r="V36" t="s">
        <v>8</v>
      </c>
      <c r="W36" t="s">
        <v>121</v>
      </c>
      <c r="X36" t="s">
        <v>212</v>
      </c>
      <c r="Y36" s="23">
        <v>1</v>
      </c>
      <c r="Z36" s="23">
        <v>1</v>
      </c>
      <c r="AA36" s="23">
        <v>1</v>
      </c>
      <c r="AB36" s="23">
        <v>11251</v>
      </c>
      <c r="AC36" s="26">
        <v>126317</v>
      </c>
      <c r="AD36" s="26">
        <v>57415</v>
      </c>
      <c r="AE36" s="26">
        <v>194983</v>
      </c>
    </row>
    <row r="37" spans="1:31">
      <c r="A37" t="s">
        <v>47</v>
      </c>
      <c r="B37" t="s">
        <v>103</v>
      </c>
      <c r="C37" t="s">
        <v>48</v>
      </c>
      <c r="D37" t="s">
        <v>413</v>
      </c>
      <c r="E37" t="s">
        <v>414</v>
      </c>
      <c r="F37" t="s">
        <v>415</v>
      </c>
      <c r="G37" t="s">
        <v>107</v>
      </c>
      <c r="H37" t="s">
        <v>108</v>
      </c>
      <c r="I37" t="s">
        <v>208</v>
      </c>
      <c r="J37" t="s">
        <v>416</v>
      </c>
      <c r="K37" t="s">
        <v>417</v>
      </c>
      <c r="L37" t="s">
        <v>112</v>
      </c>
      <c r="M37" t="s">
        <v>418</v>
      </c>
      <c r="N37" s="22">
        <v>45931.722916666673</v>
      </c>
      <c r="O37" s="22">
        <v>45932.588541666657</v>
      </c>
      <c r="P37" t="s">
        <v>114</v>
      </c>
      <c r="Q37" t="s">
        <v>115</v>
      </c>
      <c r="R37" t="s">
        <v>116</v>
      </c>
      <c r="S37" t="s">
        <v>419</v>
      </c>
      <c r="T37" t="s">
        <v>118</v>
      </c>
      <c r="U37" t="s">
        <v>420</v>
      </c>
      <c r="V37" t="s">
        <v>8</v>
      </c>
      <c r="W37" t="s">
        <v>121</v>
      </c>
      <c r="X37" t="s">
        <v>421</v>
      </c>
      <c r="Y37" s="23">
        <v>1</v>
      </c>
      <c r="Z37" s="23">
        <v>1</v>
      </c>
      <c r="AA37" s="23">
        <v>1</v>
      </c>
      <c r="AB37" s="23">
        <v>11251</v>
      </c>
      <c r="AC37" s="26">
        <v>126317</v>
      </c>
      <c r="AD37" s="26">
        <v>57415</v>
      </c>
      <c r="AE37" s="26">
        <v>194983</v>
      </c>
    </row>
    <row r="38" spans="1:31">
      <c r="A38" t="s">
        <v>64</v>
      </c>
      <c r="B38" t="s">
        <v>103</v>
      </c>
      <c r="C38" t="s">
        <v>48</v>
      </c>
      <c r="D38" t="s">
        <v>422</v>
      </c>
      <c r="E38" t="s">
        <v>423</v>
      </c>
      <c r="F38" t="s">
        <v>424</v>
      </c>
      <c r="G38" t="s">
        <v>107</v>
      </c>
      <c r="H38" t="s">
        <v>108</v>
      </c>
      <c r="I38" t="s">
        <v>109</v>
      </c>
      <c r="J38" t="s">
        <v>425</v>
      </c>
      <c r="K38" t="s">
        <v>426</v>
      </c>
      <c r="L38" t="s">
        <v>112</v>
      </c>
      <c r="M38" t="s">
        <v>427</v>
      </c>
      <c r="N38" s="22">
        <v>45931.838194444441</v>
      </c>
      <c r="O38" s="22">
        <v>45945.68582175926</v>
      </c>
      <c r="P38" t="s">
        <v>114</v>
      </c>
      <c r="Q38" t="s">
        <v>115</v>
      </c>
      <c r="R38" t="s">
        <v>116</v>
      </c>
      <c r="S38" t="s">
        <v>428</v>
      </c>
      <c r="T38" t="s">
        <v>118</v>
      </c>
      <c r="U38" t="s">
        <v>429</v>
      </c>
      <c r="V38" t="s">
        <v>120</v>
      </c>
      <c r="W38" t="s">
        <v>121</v>
      </c>
      <c r="X38" t="s">
        <v>122</v>
      </c>
      <c r="Y38" s="23">
        <v>1</v>
      </c>
      <c r="Z38" s="23">
        <v>1</v>
      </c>
      <c r="AA38" s="23">
        <v>1</v>
      </c>
      <c r="AB38" s="23">
        <v>11251</v>
      </c>
      <c r="AC38" s="26">
        <v>126317</v>
      </c>
      <c r="AD38" s="26">
        <v>110808</v>
      </c>
      <c r="AE38" s="26">
        <v>248376</v>
      </c>
    </row>
    <row r="39" spans="1:31">
      <c r="A39" t="s">
        <v>31</v>
      </c>
      <c r="B39" t="s">
        <v>219</v>
      </c>
      <c r="C39" t="s">
        <v>32</v>
      </c>
      <c r="D39" t="s">
        <v>430</v>
      </c>
      <c r="E39" t="s">
        <v>431</v>
      </c>
      <c r="F39" t="s">
        <v>432</v>
      </c>
      <c r="G39" t="s">
        <v>107</v>
      </c>
      <c r="H39" t="s">
        <v>108</v>
      </c>
      <c r="I39" t="s">
        <v>223</v>
      </c>
      <c r="J39" t="s">
        <v>31</v>
      </c>
      <c r="K39" t="s">
        <v>433</v>
      </c>
      <c r="L39" t="s">
        <v>112</v>
      </c>
      <c r="M39" t="s">
        <v>434</v>
      </c>
      <c r="N39" s="22">
        <v>45931.706250000003</v>
      </c>
      <c r="O39" s="22">
        <v>45932.721655092602</v>
      </c>
      <c r="P39" t="s">
        <v>114</v>
      </c>
      <c r="Q39" t="s">
        <v>115</v>
      </c>
      <c r="R39" t="s">
        <v>116</v>
      </c>
      <c r="S39" t="s">
        <v>435</v>
      </c>
      <c r="T39" t="s">
        <v>118</v>
      </c>
      <c r="U39" t="s">
        <v>436</v>
      </c>
      <c r="V39" t="s">
        <v>8</v>
      </c>
      <c r="W39" t="s">
        <v>121</v>
      </c>
      <c r="X39" t="s">
        <v>437</v>
      </c>
      <c r="Y39" s="23">
        <v>1</v>
      </c>
      <c r="Z39" s="23">
        <v>1</v>
      </c>
      <c r="AA39" s="23">
        <v>1</v>
      </c>
      <c r="AB39" s="23">
        <v>11251</v>
      </c>
      <c r="AC39" s="26">
        <v>126317</v>
      </c>
      <c r="AD39" s="26">
        <v>57415</v>
      </c>
      <c r="AE39" s="26">
        <v>194983</v>
      </c>
    </row>
    <row r="40" spans="1:31">
      <c r="A40" t="s">
        <v>39</v>
      </c>
      <c r="B40" t="s">
        <v>438</v>
      </c>
      <c r="C40" t="s">
        <v>40</v>
      </c>
      <c r="D40" t="s">
        <v>439</v>
      </c>
      <c r="E40" t="s">
        <v>440</v>
      </c>
      <c r="F40" t="s">
        <v>441</v>
      </c>
      <c r="G40" t="s">
        <v>107</v>
      </c>
      <c r="H40" t="s">
        <v>108</v>
      </c>
      <c r="I40" t="s">
        <v>438</v>
      </c>
      <c r="J40" t="s">
        <v>39</v>
      </c>
      <c r="K40" t="s">
        <v>442</v>
      </c>
      <c r="L40" t="s">
        <v>112</v>
      </c>
      <c r="M40" t="s">
        <v>443</v>
      </c>
      <c r="N40" s="22">
        <v>45931.333333333343</v>
      </c>
      <c r="O40" s="22">
        <v>45932.517835648148</v>
      </c>
      <c r="P40" t="s">
        <v>114</v>
      </c>
      <c r="Q40" t="s">
        <v>115</v>
      </c>
      <c r="R40" t="s">
        <v>142</v>
      </c>
      <c r="S40" t="s">
        <v>444</v>
      </c>
      <c r="T40" t="s">
        <v>118</v>
      </c>
      <c r="V40" t="s">
        <v>8</v>
      </c>
      <c r="W40" t="s">
        <v>121</v>
      </c>
      <c r="X40" t="s">
        <v>445</v>
      </c>
      <c r="Y40" s="23">
        <v>0</v>
      </c>
      <c r="Z40" s="23">
        <v>0</v>
      </c>
      <c r="AA40" s="23">
        <v>2</v>
      </c>
      <c r="AB40" s="23">
        <v>0</v>
      </c>
      <c r="AC40" s="26">
        <v>0</v>
      </c>
      <c r="AD40" s="26">
        <v>57415</v>
      </c>
      <c r="AE40" s="26">
        <v>114830</v>
      </c>
    </row>
    <row r="41" spans="1:31">
      <c r="A41" t="s">
        <v>39</v>
      </c>
      <c r="B41" t="s">
        <v>438</v>
      </c>
      <c r="C41" t="s">
        <v>40</v>
      </c>
      <c r="D41" t="s">
        <v>439</v>
      </c>
      <c r="E41" t="s">
        <v>446</v>
      </c>
      <c r="F41" t="s">
        <v>447</v>
      </c>
      <c r="G41" t="s">
        <v>107</v>
      </c>
      <c r="H41" t="s">
        <v>108</v>
      </c>
      <c r="I41" t="s">
        <v>438</v>
      </c>
      <c r="J41" t="s">
        <v>39</v>
      </c>
      <c r="K41" t="s">
        <v>448</v>
      </c>
      <c r="L41" t="s">
        <v>112</v>
      </c>
      <c r="M41" t="s">
        <v>449</v>
      </c>
      <c r="N41" s="22">
        <v>45931.5</v>
      </c>
      <c r="O41" s="22">
        <v>45932.59238425926</v>
      </c>
      <c r="P41" t="s">
        <v>114</v>
      </c>
      <c r="Q41" t="s">
        <v>115</v>
      </c>
      <c r="R41" t="s">
        <v>142</v>
      </c>
      <c r="S41" t="s">
        <v>450</v>
      </c>
      <c r="T41" t="s">
        <v>118</v>
      </c>
      <c r="V41" t="s">
        <v>8</v>
      </c>
      <c r="W41" t="s">
        <v>121</v>
      </c>
      <c r="X41" t="s">
        <v>451</v>
      </c>
      <c r="Y41" s="23">
        <v>0</v>
      </c>
      <c r="Z41" s="23">
        <v>0</v>
      </c>
      <c r="AA41" s="23">
        <v>2</v>
      </c>
      <c r="AB41" s="23">
        <v>0</v>
      </c>
      <c r="AC41" s="26">
        <v>0</v>
      </c>
      <c r="AD41" s="26">
        <v>57415</v>
      </c>
      <c r="AE41" s="26">
        <v>114830</v>
      </c>
    </row>
    <row r="42" spans="1:31">
      <c r="A42" t="s">
        <v>43</v>
      </c>
      <c r="B42" t="s">
        <v>185</v>
      </c>
      <c r="C42" t="s">
        <v>44</v>
      </c>
      <c r="D42" t="s">
        <v>363</v>
      </c>
      <c r="E42" t="s">
        <v>452</v>
      </c>
      <c r="F42" t="s">
        <v>453</v>
      </c>
      <c r="G42" t="s">
        <v>107</v>
      </c>
      <c r="H42" t="s">
        <v>108</v>
      </c>
      <c r="I42" t="s">
        <v>366</v>
      </c>
      <c r="J42" t="s">
        <v>43</v>
      </c>
      <c r="K42" t="s">
        <v>454</v>
      </c>
      <c r="L42" t="s">
        <v>112</v>
      </c>
      <c r="M42" t="s">
        <v>455</v>
      </c>
      <c r="N42" s="22">
        <v>45931.703472222223</v>
      </c>
      <c r="O42" s="22">
        <v>45932.455520833333</v>
      </c>
      <c r="P42" t="s">
        <v>114</v>
      </c>
      <c r="Q42" t="s">
        <v>115</v>
      </c>
      <c r="R42" t="s">
        <v>116</v>
      </c>
      <c r="S42" t="s">
        <v>456</v>
      </c>
      <c r="T42" t="s">
        <v>118</v>
      </c>
      <c r="U42" t="s">
        <v>457</v>
      </c>
      <c r="V42" t="s">
        <v>8</v>
      </c>
      <c r="W42" t="s">
        <v>121</v>
      </c>
      <c r="X42" t="s">
        <v>458</v>
      </c>
      <c r="Y42" s="23">
        <v>1</v>
      </c>
      <c r="Z42" s="23">
        <v>1</v>
      </c>
      <c r="AA42" s="23">
        <v>1</v>
      </c>
      <c r="AB42" s="23">
        <v>11251</v>
      </c>
      <c r="AC42" s="26">
        <v>126317</v>
      </c>
      <c r="AD42" s="26">
        <v>57415</v>
      </c>
      <c r="AE42" s="26">
        <v>194983</v>
      </c>
    </row>
    <row r="43" spans="1:31">
      <c r="A43" t="s">
        <v>61</v>
      </c>
      <c r="B43" t="s">
        <v>219</v>
      </c>
      <c r="C43" t="s">
        <v>32</v>
      </c>
      <c r="D43" t="s">
        <v>220</v>
      </c>
      <c r="E43" t="s">
        <v>459</v>
      </c>
      <c r="F43" t="s">
        <v>460</v>
      </c>
      <c r="G43" t="s">
        <v>107</v>
      </c>
      <c r="H43" t="s">
        <v>108</v>
      </c>
      <c r="I43" t="s">
        <v>223</v>
      </c>
      <c r="J43" t="s">
        <v>61</v>
      </c>
      <c r="K43" t="s">
        <v>461</v>
      </c>
      <c r="L43" t="s">
        <v>112</v>
      </c>
      <c r="M43" t="s">
        <v>462</v>
      </c>
      <c r="N43" s="22">
        <v>45936.676388888889</v>
      </c>
      <c r="O43" s="22">
        <v>45938.517361111109</v>
      </c>
      <c r="P43" t="s">
        <v>114</v>
      </c>
      <c r="Q43" t="s">
        <v>463</v>
      </c>
      <c r="R43" t="s">
        <v>116</v>
      </c>
      <c r="S43" t="s">
        <v>464</v>
      </c>
      <c r="T43" t="s">
        <v>118</v>
      </c>
      <c r="U43" t="s">
        <v>465</v>
      </c>
      <c r="V43" t="s">
        <v>8</v>
      </c>
      <c r="W43" t="s">
        <v>121</v>
      </c>
      <c r="X43" t="s">
        <v>466</v>
      </c>
      <c r="Y43" s="23">
        <v>1</v>
      </c>
      <c r="Z43" s="23">
        <v>1</v>
      </c>
      <c r="AA43" s="23">
        <v>1</v>
      </c>
      <c r="AB43" s="23">
        <v>11251</v>
      </c>
      <c r="AC43" s="26">
        <v>126317</v>
      </c>
      <c r="AD43" s="26">
        <v>57415</v>
      </c>
      <c r="AE43" s="26">
        <v>194983</v>
      </c>
    </row>
    <row r="44" spans="1:31">
      <c r="A44" t="s">
        <v>61</v>
      </c>
      <c r="B44" t="s">
        <v>219</v>
      </c>
      <c r="C44" t="s">
        <v>32</v>
      </c>
      <c r="D44" t="s">
        <v>220</v>
      </c>
      <c r="E44" t="s">
        <v>467</v>
      </c>
      <c r="F44" t="s">
        <v>468</v>
      </c>
      <c r="G44" t="s">
        <v>107</v>
      </c>
      <c r="H44" t="s">
        <v>108</v>
      </c>
      <c r="I44" t="s">
        <v>223</v>
      </c>
      <c r="J44" t="s">
        <v>61</v>
      </c>
      <c r="K44" t="s">
        <v>469</v>
      </c>
      <c r="L44" t="s">
        <v>112</v>
      </c>
      <c r="M44" t="s">
        <v>470</v>
      </c>
      <c r="N44" s="22">
        <v>45936.676388888889</v>
      </c>
      <c r="O44" s="22">
        <v>45938.675000000003</v>
      </c>
      <c r="P44" t="s">
        <v>114</v>
      </c>
      <c r="Q44" t="s">
        <v>463</v>
      </c>
      <c r="R44" t="s">
        <v>116</v>
      </c>
      <c r="S44" t="s">
        <v>471</v>
      </c>
      <c r="T44" t="s">
        <v>118</v>
      </c>
      <c r="U44" t="s">
        <v>472</v>
      </c>
      <c r="V44" t="s">
        <v>8</v>
      </c>
      <c r="W44" t="s">
        <v>121</v>
      </c>
      <c r="X44" t="s">
        <v>262</v>
      </c>
      <c r="Y44" s="23">
        <v>1</v>
      </c>
      <c r="Z44" s="23">
        <v>1</v>
      </c>
      <c r="AA44" s="23">
        <v>1</v>
      </c>
      <c r="AB44" s="23">
        <v>11251</v>
      </c>
      <c r="AC44" s="26">
        <v>126317</v>
      </c>
      <c r="AD44" s="26">
        <v>57415</v>
      </c>
      <c r="AE44" s="26">
        <v>194983</v>
      </c>
    </row>
    <row r="45" spans="1:31">
      <c r="A45" t="s">
        <v>61</v>
      </c>
      <c r="B45" t="s">
        <v>219</v>
      </c>
      <c r="C45" t="s">
        <v>32</v>
      </c>
      <c r="D45" t="s">
        <v>220</v>
      </c>
      <c r="E45" t="s">
        <v>473</v>
      </c>
      <c r="F45" t="s">
        <v>474</v>
      </c>
      <c r="G45" t="s">
        <v>107</v>
      </c>
      <c r="H45" t="s">
        <v>108</v>
      </c>
      <c r="I45" t="s">
        <v>223</v>
      </c>
      <c r="J45" t="s">
        <v>61</v>
      </c>
      <c r="K45" t="s">
        <v>475</v>
      </c>
      <c r="L45" t="s">
        <v>112</v>
      </c>
      <c r="M45" t="s">
        <v>476</v>
      </c>
      <c r="N45" s="22">
        <v>45936.676388888889</v>
      </c>
      <c r="O45" s="22">
        <v>45938.65347222222</v>
      </c>
      <c r="P45" t="s">
        <v>114</v>
      </c>
      <c r="Q45" t="s">
        <v>463</v>
      </c>
      <c r="R45" t="s">
        <v>116</v>
      </c>
      <c r="S45" t="s">
        <v>477</v>
      </c>
      <c r="T45" t="s">
        <v>118</v>
      </c>
      <c r="U45" t="s">
        <v>478</v>
      </c>
      <c r="V45" t="s">
        <v>8</v>
      </c>
      <c r="W45" t="s">
        <v>121</v>
      </c>
      <c r="X45" t="s">
        <v>466</v>
      </c>
      <c r="Y45" s="23">
        <v>1</v>
      </c>
      <c r="Z45" s="23">
        <v>1</v>
      </c>
      <c r="AA45" s="23">
        <v>1</v>
      </c>
      <c r="AB45" s="23">
        <v>11251</v>
      </c>
      <c r="AC45" s="26">
        <v>126317</v>
      </c>
      <c r="AD45" s="26">
        <v>57415</v>
      </c>
      <c r="AE45" s="26">
        <v>194983</v>
      </c>
    </row>
    <row r="46" spans="1:31">
      <c r="A46" t="s">
        <v>61</v>
      </c>
      <c r="B46" t="s">
        <v>219</v>
      </c>
      <c r="C46" t="s">
        <v>32</v>
      </c>
      <c r="D46" t="s">
        <v>234</v>
      </c>
      <c r="E46" t="s">
        <v>479</v>
      </c>
      <c r="F46" t="s">
        <v>480</v>
      </c>
      <c r="G46" t="s">
        <v>107</v>
      </c>
      <c r="H46" t="s">
        <v>108</v>
      </c>
      <c r="I46" t="s">
        <v>223</v>
      </c>
      <c r="J46" t="s">
        <v>237</v>
      </c>
      <c r="K46" t="s">
        <v>481</v>
      </c>
      <c r="L46" t="s">
        <v>112</v>
      </c>
      <c r="M46" t="s">
        <v>482</v>
      </c>
      <c r="N46" s="22">
        <v>45936.676388888889</v>
      </c>
      <c r="O46" s="22">
        <v>45938.550694444442</v>
      </c>
      <c r="P46" t="s">
        <v>114</v>
      </c>
      <c r="Q46" t="s">
        <v>463</v>
      </c>
      <c r="R46" t="s">
        <v>116</v>
      </c>
      <c r="S46" t="s">
        <v>483</v>
      </c>
      <c r="T46" t="s">
        <v>118</v>
      </c>
      <c r="U46" t="s">
        <v>484</v>
      </c>
      <c r="V46" t="s">
        <v>8</v>
      </c>
      <c r="W46" t="s">
        <v>121</v>
      </c>
      <c r="X46" t="s">
        <v>262</v>
      </c>
      <c r="Y46" s="23">
        <v>1</v>
      </c>
      <c r="Z46" s="23">
        <v>1</v>
      </c>
      <c r="AA46" s="23">
        <v>1</v>
      </c>
      <c r="AB46" s="23">
        <v>11251</v>
      </c>
      <c r="AC46" s="26">
        <v>126317</v>
      </c>
      <c r="AD46" s="26">
        <v>57415</v>
      </c>
      <c r="AE46" s="26">
        <v>194983</v>
      </c>
    </row>
    <row r="47" spans="1:31">
      <c r="A47" t="s">
        <v>35</v>
      </c>
      <c r="B47" t="s">
        <v>152</v>
      </c>
      <c r="C47" t="s">
        <v>36</v>
      </c>
      <c r="D47" t="s">
        <v>485</v>
      </c>
      <c r="E47" t="s">
        <v>486</v>
      </c>
      <c r="F47" t="s">
        <v>487</v>
      </c>
      <c r="G47" t="s">
        <v>107</v>
      </c>
      <c r="H47" t="s">
        <v>108</v>
      </c>
      <c r="I47" t="s">
        <v>488</v>
      </c>
      <c r="J47" t="s">
        <v>35</v>
      </c>
      <c r="K47" t="s">
        <v>489</v>
      </c>
      <c r="L47" t="s">
        <v>112</v>
      </c>
      <c r="M47" t="s">
        <v>490</v>
      </c>
      <c r="N47" s="22">
        <v>45936.588888888888</v>
      </c>
      <c r="O47" s="22">
        <v>45937.533333333333</v>
      </c>
      <c r="P47" t="s">
        <v>114</v>
      </c>
      <c r="Q47" t="s">
        <v>463</v>
      </c>
      <c r="R47" t="s">
        <v>116</v>
      </c>
      <c r="S47" t="s">
        <v>491</v>
      </c>
      <c r="T47" t="s">
        <v>118</v>
      </c>
      <c r="U47" t="s">
        <v>492</v>
      </c>
      <c r="V47" t="s">
        <v>8</v>
      </c>
      <c r="W47" t="s">
        <v>121</v>
      </c>
      <c r="X47" t="s">
        <v>493</v>
      </c>
      <c r="Y47" s="23">
        <v>1</v>
      </c>
      <c r="Z47" s="23">
        <v>1</v>
      </c>
      <c r="AA47" s="23">
        <v>1</v>
      </c>
      <c r="AB47" s="23">
        <v>11251</v>
      </c>
      <c r="AC47" s="26">
        <v>126317</v>
      </c>
      <c r="AD47" s="26">
        <v>57415</v>
      </c>
      <c r="AE47" s="26">
        <v>194983</v>
      </c>
    </row>
    <row r="48" spans="1:31">
      <c r="A48" t="s">
        <v>35</v>
      </c>
      <c r="B48" t="s">
        <v>152</v>
      </c>
      <c r="C48" t="s">
        <v>36</v>
      </c>
      <c r="D48" t="s">
        <v>494</v>
      </c>
      <c r="E48" t="s">
        <v>495</v>
      </c>
      <c r="F48" t="s">
        <v>496</v>
      </c>
      <c r="G48" t="s">
        <v>107</v>
      </c>
      <c r="H48" t="s">
        <v>108</v>
      </c>
      <c r="I48" t="s">
        <v>488</v>
      </c>
      <c r="J48" t="s">
        <v>497</v>
      </c>
      <c r="K48" t="s">
        <v>498</v>
      </c>
      <c r="L48" t="s">
        <v>112</v>
      </c>
      <c r="M48" t="s">
        <v>499</v>
      </c>
      <c r="N48" s="22">
        <v>45936.588888888888</v>
      </c>
      <c r="O48" s="22">
        <v>45937.656944444447</v>
      </c>
      <c r="P48" t="s">
        <v>114</v>
      </c>
      <c r="Q48" t="s">
        <v>463</v>
      </c>
      <c r="R48" t="s">
        <v>116</v>
      </c>
      <c r="S48" t="s">
        <v>491</v>
      </c>
      <c r="T48" t="s">
        <v>118</v>
      </c>
      <c r="U48" t="s">
        <v>500</v>
      </c>
      <c r="V48" t="s">
        <v>8</v>
      </c>
      <c r="W48" t="s">
        <v>121</v>
      </c>
      <c r="X48" t="s">
        <v>493</v>
      </c>
      <c r="Y48" s="23">
        <v>1</v>
      </c>
      <c r="Z48" s="23">
        <v>1</v>
      </c>
      <c r="AA48" s="23">
        <v>1</v>
      </c>
      <c r="AB48" s="23">
        <v>11251</v>
      </c>
      <c r="AC48" s="26">
        <v>126317</v>
      </c>
      <c r="AD48" s="26">
        <v>57415</v>
      </c>
      <c r="AE48" s="26">
        <v>194983</v>
      </c>
    </row>
    <row r="49" spans="1:31">
      <c r="A49" t="s">
        <v>39</v>
      </c>
      <c r="B49" t="s">
        <v>438</v>
      </c>
      <c r="C49" t="s">
        <v>40</v>
      </c>
      <c r="D49" t="s">
        <v>501</v>
      </c>
      <c r="E49" t="s">
        <v>502</v>
      </c>
      <c r="F49" t="s">
        <v>503</v>
      </c>
      <c r="G49" t="s">
        <v>107</v>
      </c>
      <c r="H49" t="s">
        <v>108</v>
      </c>
      <c r="I49" t="s">
        <v>438</v>
      </c>
      <c r="J49" t="s">
        <v>504</v>
      </c>
      <c r="K49" t="s">
        <v>505</v>
      </c>
      <c r="L49" t="s">
        <v>112</v>
      </c>
      <c r="M49" t="s">
        <v>506</v>
      </c>
      <c r="N49" s="22">
        <v>45936.86041666667</v>
      </c>
      <c r="O49" s="22">
        <v>45938.584027777782</v>
      </c>
      <c r="P49" t="s">
        <v>114</v>
      </c>
      <c r="Q49" t="s">
        <v>463</v>
      </c>
      <c r="R49" t="s">
        <v>116</v>
      </c>
      <c r="S49" t="s">
        <v>507</v>
      </c>
      <c r="T49" t="s">
        <v>118</v>
      </c>
      <c r="U49" t="s">
        <v>508</v>
      </c>
      <c r="V49" t="s">
        <v>251</v>
      </c>
      <c r="W49" t="s">
        <v>121</v>
      </c>
      <c r="X49" t="s">
        <v>445</v>
      </c>
      <c r="Y49" s="23">
        <v>1</v>
      </c>
      <c r="Z49" s="23">
        <v>1</v>
      </c>
      <c r="AA49" s="23">
        <v>1</v>
      </c>
      <c r="AB49" s="23">
        <v>11251</v>
      </c>
      <c r="AC49" s="26">
        <v>126317</v>
      </c>
      <c r="AD49" s="26">
        <v>110808</v>
      </c>
      <c r="AE49" s="26">
        <v>248376</v>
      </c>
    </row>
    <row r="50" spans="1:31">
      <c r="A50" t="s">
        <v>63</v>
      </c>
      <c r="B50" t="s">
        <v>155</v>
      </c>
      <c r="C50" t="s">
        <v>54</v>
      </c>
      <c r="D50" t="s">
        <v>337</v>
      </c>
      <c r="E50" t="s">
        <v>509</v>
      </c>
      <c r="F50" t="s">
        <v>510</v>
      </c>
      <c r="G50" t="s">
        <v>107</v>
      </c>
      <c r="H50" t="s">
        <v>108</v>
      </c>
      <c r="I50" t="s">
        <v>340</v>
      </c>
      <c r="J50" t="s">
        <v>63</v>
      </c>
      <c r="K50" t="s">
        <v>511</v>
      </c>
      <c r="L50" t="s">
        <v>112</v>
      </c>
      <c r="M50" t="s">
        <v>512</v>
      </c>
      <c r="N50" s="22">
        <v>45936.677083333343</v>
      </c>
      <c r="O50" s="22">
        <v>45938.523611111108</v>
      </c>
      <c r="P50" t="s">
        <v>114</v>
      </c>
      <c r="Q50" t="s">
        <v>463</v>
      </c>
      <c r="R50" t="s">
        <v>116</v>
      </c>
      <c r="S50" t="s">
        <v>513</v>
      </c>
      <c r="T50" t="s">
        <v>118</v>
      </c>
      <c r="U50" t="s">
        <v>514</v>
      </c>
      <c r="V50" t="s">
        <v>8</v>
      </c>
      <c r="W50" t="s">
        <v>121</v>
      </c>
      <c r="X50" t="s">
        <v>515</v>
      </c>
      <c r="Y50" s="23">
        <v>1</v>
      </c>
      <c r="Z50" s="23">
        <v>1</v>
      </c>
      <c r="AA50" s="23">
        <v>1</v>
      </c>
      <c r="AB50" s="23">
        <v>11251</v>
      </c>
      <c r="AC50" s="26">
        <v>126317</v>
      </c>
      <c r="AD50" s="26">
        <v>57415</v>
      </c>
      <c r="AE50" s="26">
        <v>194983</v>
      </c>
    </row>
    <row r="51" spans="1:31">
      <c r="A51" t="s">
        <v>63</v>
      </c>
      <c r="B51" t="s">
        <v>155</v>
      </c>
      <c r="C51" t="s">
        <v>54</v>
      </c>
      <c r="D51" t="s">
        <v>337</v>
      </c>
      <c r="E51" t="s">
        <v>516</v>
      </c>
      <c r="F51" t="s">
        <v>517</v>
      </c>
      <c r="G51" t="s">
        <v>107</v>
      </c>
      <c r="H51" t="s">
        <v>108</v>
      </c>
      <c r="I51" t="s">
        <v>340</v>
      </c>
      <c r="J51" t="s">
        <v>63</v>
      </c>
      <c r="K51" t="s">
        <v>518</v>
      </c>
      <c r="L51" t="s">
        <v>112</v>
      </c>
      <c r="M51" t="s">
        <v>519</v>
      </c>
      <c r="N51" s="22">
        <v>45936.677083333343</v>
      </c>
      <c r="O51" s="22">
        <v>45938.290277777778</v>
      </c>
      <c r="P51" t="s">
        <v>114</v>
      </c>
      <c r="Q51" t="s">
        <v>463</v>
      </c>
      <c r="R51" t="s">
        <v>116</v>
      </c>
      <c r="S51" t="s">
        <v>520</v>
      </c>
      <c r="T51" t="s">
        <v>118</v>
      </c>
      <c r="U51" t="s">
        <v>521</v>
      </c>
      <c r="V51" t="s">
        <v>8</v>
      </c>
      <c r="W51" t="s">
        <v>121</v>
      </c>
      <c r="X51" t="s">
        <v>515</v>
      </c>
      <c r="Y51" s="23">
        <v>1</v>
      </c>
      <c r="Z51" s="23">
        <v>1</v>
      </c>
      <c r="AA51" s="23">
        <v>1</v>
      </c>
      <c r="AB51" s="23">
        <v>11251</v>
      </c>
      <c r="AC51" s="26">
        <v>126317</v>
      </c>
      <c r="AD51" s="26">
        <v>57415</v>
      </c>
      <c r="AE51" s="26">
        <v>194983</v>
      </c>
    </row>
    <row r="52" spans="1:31">
      <c r="A52" t="s">
        <v>64</v>
      </c>
      <c r="B52" t="s">
        <v>103</v>
      </c>
      <c r="C52" t="s">
        <v>48</v>
      </c>
      <c r="D52" t="s">
        <v>522</v>
      </c>
      <c r="E52" t="s">
        <v>523</v>
      </c>
      <c r="F52" t="s">
        <v>524</v>
      </c>
      <c r="G52" t="s">
        <v>107</v>
      </c>
      <c r="H52" t="s">
        <v>108</v>
      </c>
      <c r="I52" t="s">
        <v>177</v>
      </c>
      <c r="J52" t="s">
        <v>64</v>
      </c>
      <c r="K52" t="s">
        <v>525</v>
      </c>
      <c r="L52" t="s">
        <v>112</v>
      </c>
      <c r="M52" t="s">
        <v>526</v>
      </c>
      <c r="N52" s="22">
        <v>45936.746527777781</v>
      </c>
      <c r="O52" s="22">
        <v>45938.531944444447</v>
      </c>
      <c r="P52" t="s">
        <v>114</v>
      </c>
      <c r="Q52" t="s">
        <v>463</v>
      </c>
      <c r="R52" t="s">
        <v>116</v>
      </c>
      <c r="S52" t="s">
        <v>527</v>
      </c>
      <c r="T52" t="s">
        <v>118</v>
      </c>
      <c r="U52" t="s">
        <v>528</v>
      </c>
      <c r="V52" t="s">
        <v>8</v>
      </c>
      <c r="W52" t="s">
        <v>121</v>
      </c>
      <c r="X52" t="s">
        <v>122</v>
      </c>
      <c r="Y52" s="23">
        <v>1</v>
      </c>
      <c r="Z52" s="23">
        <v>1</v>
      </c>
      <c r="AA52" s="23">
        <v>1</v>
      </c>
      <c r="AB52" s="23">
        <v>11251</v>
      </c>
      <c r="AC52" s="26">
        <v>126317</v>
      </c>
      <c r="AD52" s="26">
        <v>57415</v>
      </c>
      <c r="AE52" s="26">
        <v>194983</v>
      </c>
    </row>
    <row r="53" spans="1:31">
      <c r="A53" t="s">
        <v>47</v>
      </c>
      <c r="B53" t="s">
        <v>103</v>
      </c>
      <c r="C53" t="s">
        <v>48</v>
      </c>
      <c r="D53" t="s">
        <v>205</v>
      </c>
      <c r="E53" t="s">
        <v>529</v>
      </c>
      <c r="F53" t="s">
        <v>530</v>
      </c>
      <c r="G53" t="s">
        <v>107</v>
      </c>
      <c r="H53" t="s">
        <v>108</v>
      </c>
      <c r="I53" t="s">
        <v>208</v>
      </c>
      <c r="J53" t="s">
        <v>47</v>
      </c>
      <c r="K53" t="s">
        <v>531</v>
      </c>
      <c r="L53" t="s">
        <v>112</v>
      </c>
      <c r="M53" t="s">
        <v>532</v>
      </c>
      <c r="N53" s="22">
        <v>45936.759722222218</v>
      </c>
      <c r="O53" s="22">
        <v>45937.60833333333</v>
      </c>
      <c r="P53" t="s">
        <v>114</v>
      </c>
      <c r="Q53" t="s">
        <v>463</v>
      </c>
      <c r="R53" t="s">
        <v>116</v>
      </c>
      <c r="S53" t="s">
        <v>533</v>
      </c>
      <c r="T53" t="s">
        <v>118</v>
      </c>
      <c r="U53" t="s">
        <v>534</v>
      </c>
      <c r="V53" t="s">
        <v>8</v>
      </c>
      <c r="W53" t="s">
        <v>121</v>
      </c>
      <c r="X53" t="s">
        <v>400</v>
      </c>
      <c r="Y53" s="23">
        <v>1</v>
      </c>
      <c r="Z53" s="23">
        <v>1</v>
      </c>
      <c r="AA53" s="23">
        <v>1</v>
      </c>
      <c r="AB53" s="23">
        <v>11251</v>
      </c>
      <c r="AC53" s="26">
        <v>126317</v>
      </c>
      <c r="AD53" s="26">
        <v>57415</v>
      </c>
      <c r="AE53" s="26">
        <v>194983</v>
      </c>
    </row>
    <row r="54" spans="1:31">
      <c r="A54" t="s">
        <v>47</v>
      </c>
      <c r="B54" t="s">
        <v>103</v>
      </c>
      <c r="C54" t="s">
        <v>48</v>
      </c>
      <c r="D54" t="s">
        <v>205</v>
      </c>
      <c r="E54" t="s">
        <v>535</v>
      </c>
      <c r="F54" t="s">
        <v>536</v>
      </c>
      <c r="G54" t="s">
        <v>107</v>
      </c>
      <c r="H54" t="s">
        <v>108</v>
      </c>
      <c r="I54" t="s">
        <v>208</v>
      </c>
      <c r="J54" t="s">
        <v>47</v>
      </c>
      <c r="K54" t="s">
        <v>537</v>
      </c>
      <c r="L54" t="s">
        <v>112</v>
      </c>
      <c r="M54" t="s">
        <v>538</v>
      </c>
      <c r="N54" s="22">
        <v>45936.727777777778</v>
      </c>
      <c r="O54" s="22">
        <v>45937.541666666657</v>
      </c>
      <c r="P54" t="s">
        <v>114</v>
      </c>
      <c r="Q54" t="s">
        <v>463</v>
      </c>
      <c r="R54" t="s">
        <v>116</v>
      </c>
      <c r="S54" t="s">
        <v>539</v>
      </c>
      <c r="T54" t="s">
        <v>118</v>
      </c>
      <c r="U54" t="s">
        <v>540</v>
      </c>
      <c r="V54" t="s">
        <v>8</v>
      </c>
      <c r="W54" t="s">
        <v>121</v>
      </c>
      <c r="X54" t="s">
        <v>387</v>
      </c>
      <c r="Y54" s="23">
        <v>1</v>
      </c>
      <c r="Z54" s="23">
        <v>1</v>
      </c>
      <c r="AA54" s="23">
        <v>1</v>
      </c>
      <c r="AB54" s="23">
        <v>11251</v>
      </c>
      <c r="AC54" s="26">
        <v>126317</v>
      </c>
      <c r="AD54" s="26">
        <v>57415</v>
      </c>
      <c r="AE54" s="26">
        <v>194983</v>
      </c>
    </row>
    <row r="55" spans="1:31">
      <c r="A55" t="s">
        <v>47</v>
      </c>
      <c r="B55" t="s">
        <v>103</v>
      </c>
      <c r="C55" t="s">
        <v>48</v>
      </c>
      <c r="D55" t="s">
        <v>541</v>
      </c>
      <c r="E55" t="s">
        <v>542</v>
      </c>
      <c r="F55" t="s">
        <v>543</v>
      </c>
      <c r="G55" t="s">
        <v>107</v>
      </c>
      <c r="H55" t="s">
        <v>108</v>
      </c>
      <c r="I55" t="s">
        <v>208</v>
      </c>
      <c r="J55" t="s">
        <v>544</v>
      </c>
      <c r="K55" t="s">
        <v>545</v>
      </c>
      <c r="L55" t="s">
        <v>112</v>
      </c>
      <c r="M55" t="s">
        <v>546</v>
      </c>
      <c r="N55" s="22">
        <v>45936.763194444437</v>
      </c>
      <c r="O55" s="22">
        <v>45939.277777777781</v>
      </c>
      <c r="P55" t="s">
        <v>114</v>
      </c>
      <c r="Q55" t="s">
        <v>463</v>
      </c>
      <c r="R55" t="s">
        <v>116</v>
      </c>
      <c r="S55" t="s">
        <v>547</v>
      </c>
      <c r="T55" t="s">
        <v>118</v>
      </c>
      <c r="U55" t="s">
        <v>548</v>
      </c>
      <c r="V55" t="s">
        <v>251</v>
      </c>
      <c r="W55" t="s">
        <v>121</v>
      </c>
      <c r="X55" t="s">
        <v>549</v>
      </c>
      <c r="Y55" s="23">
        <v>1</v>
      </c>
      <c r="Z55" s="23">
        <v>1</v>
      </c>
      <c r="AA55" s="23">
        <v>1</v>
      </c>
      <c r="AB55" s="23">
        <v>11251</v>
      </c>
      <c r="AC55" s="26">
        <v>126317</v>
      </c>
      <c r="AD55" s="26">
        <v>110808</v>
      </c>
      <c r="AE55" s="26">
        <v>248376</v>
      </c>
    </row>
    <row r="56" spans="1:31">
      <c r="A56" t="s">
        <v>39</v>
      </c>
      <c r="B56" t="s">
        <v>438</v>
      </c>
      <c r="C56" t="s">
        <v>40</v>
      </c>
      <c r="D56" t="s">
        <v>439</v>
      </c>
      <c r="E56" t="s">
        <v>550</v>
      </c>
      <c r="F56" t="s">
        <v>551</v>
      </c>
      <c r="G56" t="s">
        <v>107</v>
      </c>
      <c r="H56" t="s">
        <v>108</v>
      </c>
      <c r="I56" t="s">
        <v>438</v>
      </c>
      <c r="J56" t="s">
        <v>39</v>
      </c>
      <c r="K56" t="s">
        <v>552</v>
      </c>
      <c r="L56" t="s">
        <v>112</v>
      </c>
      <c r="M56" t="s">
        <v>553</v>
      </c>
      <c r="N56" s="22">
        <v>45936.878472222219</v>
      </c>
      <c r="O56" s="22">
        <v>45938.740972222222</v>
      </c>
      <c r="P56" t="s">
        <v>114</v>
      </c>
      <c r="Q56" t="s">
        <v>463</v>
      </c>
      <c r="R56" t="s">
        <v>116</v>
      </c>
      <c r="S56" t="s">
        <v>554</v>
      </c>
      <c r="T56" t="s">
        <v>118</v>
      </c>
      <c r="U56" t="s">
        <v>555</v>
      </c>
      <c r="V56" t="s">
        <v>8</v>
      </c>
      <c r="W56" t="s">
        <v>121</v>
      </c>
      <c r="X56" t="s">
        <v>556</v>
      </c>
      <c r="Y56" s="23">
        <v>1</v>
      </c>
      <c r="Z56" s="23">
        <v>1</v>
      </c>
      <c r="AA56" s="23">
        <v>1</v>
      </c>
      <c r="AB56" s="23">
        <v>11251</v>
      </c>
      <c r="AC56" s="26">
        <v>126317</v>
      </c>
      <c r="AD56" s="26">
        <v>57415</v>
      </c>
      <c r="AE56" s="26">
        <v>194983</v>
      </c>
    </row>
    <row r="57" spans="1:31">
      <c r="A57" t="s">
        <v>39</v>
      </c>
      <c r="B57" t="s">
        <v>438</v>
      </c>
      <c r="C57" t="s">
        <v>40</v>
      </c>
      <c r="D57" t="s">
        <v>439</v>
      </c>
      <c r="E57" t="s">
        <v>557</v>
      </c>
      <c r="F57" t="s">
        <v>558</v>
      </c>
      <c r="G57" t="s">
        <v>107</v>
      </c>
      <c r="H57" t="s">
        <v>108</v>
      </c>
      <c r="I57" t="s">
        <v>438</v>
      </c>
      <c r="J57" t="s">
        <v>39</v>
      </c>
      <c r="K57" t="s">
        <v>559</v>
      </c>
      <c r="L57" t="s">
        <v>112</v>
      </c>
      <c r="M57" t="s">
        <v>560</v>
      </c>
      <c r="N57" s="22">
        <v>45936.878472222219</v>
      </c>
      <c r="O57" s="22">
        <v>45938.67083333333</v>
      </c>
      <c r="P57" t="s">
        <v>114</v>
      </c>
      <c r="Q57" t="s">
        <v>463</v>
      </c>
      <c r="R57" t="s">
        <v>116</v>
      </c>
      <c r="S57" t="s">
        <v>561</v>
      </c>
      <c r="T57" t="s">
        <v>118</v>
      </c>
      <c r="U57" t="s">
        <v>562</v>
      </c>
      <c r="V57" t="s">
        <v>8</v>
      </c>
      <c r="W57" t="s">
        <v>121</v>
      </c>
      <c r="X57" t="s">
        <v>563</v>
      </c>
      <c r="Y57" s="23">
        <v>1</v>
      </c>
      <c r="Z57" s="23">
        <v>1</v>
      </c>
      <c r="AA57" s="23">
        <v>1</v>
      </c>
      <c r="AB57" s="23">
        <v>11251</v>
      </c>
      <c r="AC57" s="26">
        <v>126317</v>
      </c>
      <c r="AD57" s="26">
        <v>57415</v>
      </c>
      <c r="AE57" s="26">
        <v>194983</v>
      </c>
    </row>
    <row r="58" spans="1:31">
      <c r="A58" t="s">
        <v>39</v>
      </c>
      <c r="B58" t="s">
        <v>438</v>
      </c>
      <c r="C58" t="s">
        <v>40</v>
      </c>
      <c r="D58" t="s">
        <v>439</v>
      </c>
      <c r="E58" t="s">
        <v>564</v>
      </c>
      <c r="F58" t="s">
        <v>565</v>
      </c>
      <c r="G58" t="s">
        <v>107</v>
      </c>
      <c r="H58" t="s">
        <v>108</v>
      </c>
      <c r="I58" t="s">
        <v>438</v>
      </c>
      <c r="J58" t="s">
        <v>39</v>
      </c>
      <c r="K58" t="s">
        <v>566</v>
      </c>
      <c r="L58" t="s">
        <v>112</v>
      </c>
      <c r="M58" t="s">
        <v>567</v>
      </c>
      <c r="N58" s="22">
        <v>45936.878472222219</v>
      </c>
      <c r="O58" s="22">
        <v>45938.537499999999</v>
      </c>
      <c r="P58" t="s">
        <v>114</v>
      </c>
      <c r="Q58" t="s">
        <v>463</v>
      </c>
      <c r="R58" t="s">
        <v>116</v>
      </c>
      <c r="S58" t="s">
        <v>568</v>
      </c>
      <c r="T58" t="s">
        <v>118</v>
      </c>
      <c r="U58" t="s">
        <v>569</v>
      </c>
      <c r="V58" t="s">
        <v>8</v>
      </c>
      <c r="W58" t="s">
        <v>121</v>
      </c>
      <c r="X58" t="s">
        <v>563</v>
      </c>
      <c r="Y58" s="23">
        <v>1</v>
      </c>
      <c r="Z58" s="23">
        <v>1</v>
      </c>
      <c r="AA58" s="23">
        <v>1</v>
      </c>
      <c r="AB58" s="23">
        <v>11251</v>
      </c>
      <c r="AC58" s="26">
        <v>126317</v>
      </c>
      <c r="AD58" s="26">
        <v>57415</v>
      </c>
      <c r="AE58" s="26">
        <v>194983</v>
      </c>
    </row>
    <row r="59" spans="1:31">
      <c r="A59" t="s">
        <v>39</v>
      </c>
      <c r="B59" t="s">
        <v>438</v>
      </c>
      <c r="C59" t="s">
        <v>40</v>
      </c>
      <c r="D59" t="s">
        <v>439</v>
      </c>
      <c r="E59" t="s">
        <v>570</v>
      </c>
      <c r="F59" t="s">
        <v>571</v>
      </c>
      <c r="G59" t="s">
        <v>107</v>
      </c>
      <c r="H59" t="s">
        <v>108</v>
      </c>
      <c r="I59" t="s">
        <v>438</v>
      </c>
      <c r="J59" t="s">
        <v>39</v>
      </c>
      <c r="K59" t="s">
        <v>572</v>
      </c>
      <c r="L59" t="s">
        <v>112</v>
      </c>
      <c r="M59" t="s">
        <v>573</v>
      </c>
      <c r="N59" s="22">
        <v>45936.71875</v>
      </c>
      <c r="O59" s="22">
        <v>45937.666666666657</v>
      </c>
      <c r="P59" t="s">
        <v>114</v>
      </c>
      <c r="Q59" t="s">
        <v>463</v>
      </c>
      <c r="R59" t="s">
        <v>116</v>
      </c>
      <c r="S59" t="s">
        <v>574</v>
      </c>
      <c r="T59" t="s">
        <v>118</v>
      </c>
      <c r="U59" t="s">
        <v>575</v>
      </c>
      <c r="V59" t="s">
        <v>8</v>
      </c>
      <c r="W59" t="s">
        <v>121</v>
      </c>
      <c r="X59" t="s">
        <v>576</v>
      </c>
      <c r="Y59" s="23">
        <v>1</v>
      </c>
      <c r="Z59" s="23">
        <v>1</v>
      </c>
      <c r="AA59" s="23">
        <v>1</v>
      </c>
      <c r="AB59" s="23">
        <v>11251</v>
      </c>
      <c r="AC59" s="26">
        <v>126317</v>
      </c>
      <c r="AD59" s="26">
        <v>57415</v>
      </c>
      <c r="AE59" s="26">
        <v>194983</v>
      </c>
    </row>
    <row r="60" spans="1:31">
      <c r="A60" t="s">
        <v>39</v>
      </c>
      <c r="B60" t="s">
        <v>438</v>
      </c>
      <c r="C60" t="s">
        <v>40</v>
      </c>
      <c r="D60" t="s">
        <v>439</v>
      </c>
      <c r="E60" t="s">
        <v>577</v>
      </c>
      <c r="F60" t="s">
        <v>578</v>
      </c>
      <c r="G60" t="s">
        <v>107</v>
      </c>
      <c r="H60" t="s">
        <v>108</v>
      </c>
      <c r="I60" t="s">
        <v>438</v>
      </c>
      <c r="J60" t="s">
        <v>39</v>
      </c>
      <c r="K60" t="s">
        <v>579</v>
      </c>
      <c r="L60" t="s">
        <v>112</v>
      </c>
      <c r="M60" t="s">
        <v>580</v>
      </c>
      <c r="N60" s="22">
        <v>45936.71875</v>
      </c>
      <c r="O60" s="22">
        <v>45937.649305555547</v>
      </c>
      <c r="P60" t="s">
        <v>114</v>
      </c>
      <c r="Q60" t="s">
        <v>463</v>
      </c>
      <c r="R60" t="s">
        <v>116</v>
      </c>
      <c r="S60" t="s">
        <v>581</v>
      </c>
      <c r="T60" t="s">
        <v>118</v>
      </c>
      <c r="U60" t="s">
        <v>582</v>
      </c>
      <c r="V60" t="s">
        <v>8</v>
      </c>
      <c r="W60" t="s">
        <v>121</v>
      </c>
      <c r="X60" t="s">
        <v>583</v>
      </c>
      <c r="Y60" s="23">
        <v>1</v>
      </c>
      <c r="Z60" s="23">
        <v>1</v>
      </c>
      <c r="AA60" s="23">
        <v>1</v>
      </c>
      <c r="AB60" s="23">
        <v>11251</v>
      </c>
      <c r="AC60" s="26">
        <v>126317</v>
      </c>
      <c r="AD60" s="26">
        <v>57415</v>
      </c>
      <c r="AE60" s="26">
        <v>194983</v>
      </c>
    </row>
    <row r="61" spans="1:31">
      <c r="A61" t="s">
        <v>39</v>
      </c>
      <c r="B61" t="s">
        <v>438</v>
      </c>
      <c r="C61" t="s">
        <v>40</v>
      </c>
      <c r="D61" t="s">
        <v>439</v>
      </c>
      <c r="E61" t="s">
        <v>584</v>
      </c>
      <c r="F61" t="s">
        <v>585</v>
      </c>
      <c r="G61" t="s">
        <v>107</v>
      </c>
      <c r="H61" t="s">
        <v>586</v>
      </c>
      <c r="I61" t="s">
        <v>438</v>
      </c>
      <c r="J61" t="s">
        <v>39</v>
      </c>
      <c r="K61" t="s">
        <v>587</v>
      </c>
      <c r="L61" t="s">
        <v>112</v>
      </c>
      <c r="M61" t="s">
        <v>588</v>
      </c>
      <c r="N61" s="22">
        <v>45936.71875</v>
      </c>
      <c r="O61" s="22">
        <v>45938.295138888891</v>
      </c>
      <c r="P61" t="s">
        <v>114</v>
      </c>
      <c r="Q61" t="s">
        <v>463</v>
      </c>
      <c r="R61" t="s">
        <v>116</v>
      </c>
      <c r="S61" t="s">
        <v>589</v>
      </c>
      <c r="T61" t="s">
        <v>118</v>
      </c>
      <c r="U61" t="s">
        <v>590</v>
      </c>
      <c r="V61" t="s">
        <v>8</v>
      </c>
      <c r="W61" t="s">
        <v>121</v>
      </c>
      <c r="X61" t="s">
        <v>445</v>
      </c>
      <c r="Y61" s="23">
        <v>1</v>
      </c>
      <c r="Z61" s="23">
        <v>1</v>
      </c>
      <c r="AA61" s="23">
        <v>1</v>
      </c>
      <c r="AB61" s="23">
        <v>11251</v>
      </c>
      <c r="AC61" s="26">
        <v>126317</v>
      </c>
      <c r="AD61" s="26">
        <v>57415</v>
      </c>
      <c r="AE61" s="26">
        <v>194983</v>
      </c>
    </row>
    <row r="62" spans="1:31">
      <c r="A62" t="s">
        <v>61</v>
      </c>
      <c r="B62" t="s">
        <v>219</v>
      </c>
      <c r="C62" t="s">
        <v>32</v>
      </c>
      <c r="D62" t="s">
        <v>220</v>
      </c>
      <c r="E62" t="s">
        <v>591</v>
      </c>
      <c r="F62" t="s">
        <v>592</v>
      </c>
      <c r="G62" t="s">
        <v>107</v>
      </c>
      <c r="H62" t="s">
        <v>108</v>
      </c>
      <c r="I62" t="s">
        <v>223</v>
      </c>
      <c r="J62" t="s">
        <v>61</v>
      </c>
      <c r="K62" t="s">
        <v>593</v>
      </c>
      <c r="L62" t="s">
        <v>112</v>
      </c>
      <c r="M62" t="s">
        <v>594</v>
      </c>
      <c r="N62" s="22">
        <v>45938.600694444453</v>
      </c>
      <c r="O62" s="22">
        <v>45939.559027777781</v>
      </c>
      <c r="P62" t="s">
        <v>114</v>
      </c>
      <c r="Q62" t="s">
        <v>115</v>
      </c>
      <c r="R62" t="s">
        <v>116</v>
      </c>
      <c r="S62" t="s">
        <v>595</v>
      </c>
      <c r="T62" t="s">
        <v>118</v>
      </c>
      <c r="U62" t="s">
        <v>596</v>
      </c>
      <c r="V62" t="s">
        <v>8</v>
      </c>
      <c r="W62" t="s">
        <v>121</v>
      </c>
      <c r="X62" t="s">
        <v>597</v>
      </c>
      <c r="Y62" s="23">
        <v>1</v>
      </c>
      <c r="Z62" s="23">
        <v>1</v>
      </c>
      <c r="AA62" s="23">
        <v>1</v>
      </c>
      <c r="AB62" s="23">
        <v>11251</v>
      </c>
      <c r="AC62" s="26">
        <v>126317</v>
      </c>
      <c r="AD62" s="26">
        <v>57415</v>
      </c>
      <c r="AE62" s="26">
        <v>194983</v>
      </c>
    </row>
    <row r="63" spans="1:31">
      <c r="A63" t="s">
        <v>61</v>
      </c>
      <c r="B63" t="s">
        <v>219</v>
      </c>
      <c r="C63" t="s">
        <v>32</v>
      </c>
      <c r="D63" t="s">
        <v>220</v>
      </c>
      <c r="E63" t="s">
        <v>598</v>
      </c>
      <c r="F63" t="s">
        <v>599</v>
      </c>
      <c r="G63" t="s">
        <v>107</v>
      </c>
      <c r="H63" t="s">
        <v>108</v>
      </c>
      <c r="I63" t="s">
        <v>223</v>
      </c>
      <c r="J63" t="s">
        <v>61</v>
      </c>
      <c r="K63" t="s">
        <v>600</v>
      </c>
      <c r="L63" t="s">
        <v>112</v>
      </c>
      <c r="M63" t="s">
        <v>601</v>
      </c>
      <c r="N63" s="22">
        <v>45938.600694444453</v>
      </c>
      <c r="O63" s="22">
        <v>45939.638888888891</v>
      </c>
      <c r="P63" t="s">
        <v>114</v>
      </c>
      <c r="Q63" t="s">
        <v>115</v>
      </c>
      <c r="R63" t="s">
        <v>116</v>
      </c>
      <c r="S63" t="s">
        <v>602</v>
      </c>
      <c r="T63" t="s">
        <v>118</v>
      </c>
      <c r="U63" t="s">
        <v>603</v>
      </c>
      <c r="V63" t="s">
        <v>8</v>
      </c>
      <c r="W63" t="s">
        <v>121</v>
      </c>
      <c r="X63" t="s">
        <v>262</v>
      </c>
      <c r="Y63" s="23">
        <v>1</v>
      </c>
      <c r="Z63" s="23">
        <v>1</v>
      </c>
      <c r="AA63" s="23">
        <v>1</v>
      </c>
      <c r="AB63" s="23">
        <v>11251</v>
      </c>
      <c r="AC63" s="26">
        <v>126317</v>
      </c>
      <c r="AD63" s="26">
        <v>57415</v>
      </c>
      <c r="AE63" s="26">
        <v>194983</v>
      </c>
    </row>
    <row r="64" spans="1:31">
      <c r="A64" t="s">
        <v>61</v>
      </c>
      <c r="B64" t="s">
        <v>219</v>
      </c>
      <c r="C64" t="s">
        <v>32</v>
      </c>
      <c r="D64" t="s">
        <v>604</v>
      </c>
      <c r="E64" t="s">
        <v>605</v>
      </c>
      <c r="F64" t="s">
        <v>606</v>
      </c>
      <c r="G64" t="s">
        <v>107</v>
      </c>
      <c r="H64" t="s">
        <v>108</v>
      </c>
      <c r="I64" t="s">
        <v>223</v>
      </c>
      <c r="J64" t="s">
        <v>607</v>
      </c>
      <c r="K64" t="s">
        <v>608</v>
      </c>
      <c r="L64" t="s">
        <v>112</v>
      </c>
      <c r="M64" t="s">
        <v>609</v>
      </c>
      <c r="N64" s="22">
        <v>45938.600694444453</v>
      </c>
      <c r="O64" s="22">
        <v>45939.481944444437</v>
      </c>
      <c r="P64" t="s">
        <v>114</v>
      </c>
      <c r="Q64" t="s">
        <v>115</v>
      </c>
      <c r="R64" t="s">
        <v>116</v>
      </c>
      <c r="S64" t="s">
        <v>602</v>
      </c>
      <c r="T64" t="s">
        <v>118</v>
      </c>
      <c r="U64" t="s">
        <v>610</v>
      </c>
      <c r="V64" t="s">
        <v>8</v>
      </c>
      <c r="W64" t="s">
        <v>121</v>
      </c>
      <c r="X64" t="s">
        <v>262</v>
      </c>
      <c r="Y64" s="23">
        <v>1</v>
      </c>
      <c r="Z64" s="23">
        <v>1</v>
      </c>
      <c r="AA64" s="23">
        <v>1</v>
      </c>
      <c r="AB64" s="23">
        <v>11251</v>
      </c>
      <c r="AC64" s="26">
        <v>126317</v>
      </c>
      <c r="AD64" s="26">
        <v>57415</v>
      </c>
      <c r="AE64" s="26">
        <v>194983</v>
      </c>
    </row>
    <row r="65" spans="1:31">
      <c r="A65" t="s">
        <v>69</v>
      </c>
      <c r="B65" t="s">
        <v>185</v>
      </c>
      <c r="C65" t="s">
        <v>44</v>
      </c>
      <c r="D65" t="s">
        <v>611</v>
      </c>
      <c r="E65" t="s">
        <v>612</v>
      </c>
      <c r="F65" t="s">
        <v>613</v>
      </c>
      <c r="G65" t="s">
        <v>107</v>
      </c>
      <c r="H65" t="s">
        <v>108</v>
      </c>
      <c r="I65" t="s">
        <v>284</v>
      </c>
      <c r="J65" t="s">
        <v>614</v>
      </c>
      <c r="K65" t="s">
        <v>615</v>
      </c>
      <c r="L65" t="s">
        <v>112</v>
      </c>
      <c r="M65" t="s">
        <v>616</v>
      </c>
      <c r="N65" s="22">
        <v>45938.648611111108</v>
      </c>
      <c r="O65" s="22">
        <v>45939.561805555553</v>
      </c>
      <c r="P65" t="s">
        <v>114</v>
      </c>
      <c r="Q65" t="s">
        <v>115</v>
      </c>
      <c r="R65" t="s">
        <v>116</v>
      </c>
      <c r="S65" t="s">
        <v>617</v>
      </c>
      <c r="T65" t="s">
        <v>118</v>
      </c>
      <c r="U65" t="s">
        <v>618</v>
      </c>
      <c r="V65" t="s">
        <v>251</v>
      </c>
      <c r="W65" t="s">
        <v>121</v>
      </c>
      <c r="X65" t="s">
        <v>619</v>
      </c>
      <c r="Y65" s="23">
        <v>1</v>
      </c>
      <c r="Z65" s="23">
        <v>1</v>
      </c>
      <c r="AA65" s="23">
        <v>1</v>
      </c>
      <c r="AB65" s="23">
        <v>11251</v>
      </c>
      <c r="AC65" s="26">
        <v>126317</v>
      </c>
      <c r="AD65" s="26">
        <v>110808</v>
      </c>
      <c r="AE65" s="26">
        <v>248376</v>
      </c>
    </row>
    <row r="66" spans="1:31">
      <c r="A66" t="s">
        <v>63</v>
      </c>
      <c r="B66" t="s">
        <v>155</v>
      </c>
      <c r="C66" t="s">
        <v>54</v>
      </c>
      <c r="D66" t="s">
        <v>337</v>
      </c>
      <c r="E66" t="s">
        <v>620</v>
      </c>
      <c r="F66" t="s">
        <v>621</v>
      </c>
      <c r="G66" t="s">
        <v>107</v>
      </c>
      <c r="H66" t="s">
        <v>108</v>
      </c>
      <c r="I66" t="s">
        <v>340</v>
      </c>
      <c r="J66" t="s">
        <v>63</v>
      </c>
      <c r="K66" t="s">
        <v>622</v>
      </c>
      <c r="L66" t="s">
        <v>112</v>
      </c>
      <c r="M66" t="s">
        <v>623</v>
      </c>
      <c r="N66" s="22">
        <v>45938.82916666667</v>
      </c>
      <c r="O66" s="22">
        <v>45940.643055555563</v>
      </c>
      <c r="P66" t="s">
        <v>114</v>
      </c>
      <c r="Q66" t="s">
        <v>115</v>
      </c>
      <c r="R66" t="s">
        <v>116</v>
      </c>
      <c r="S66" t="s">
        <v>624</v>
      </c>
      <c r="T66" t="s">
        <v>118</v>
      </c>
      <c r="U66" t="s">
        <v>625</v>
      </c>
      <c r="V66" t="s">
        <v>8</v>
      </c>
      <c r="W66" t="s">
        <v>121</v>
      </c>
      <c r="X66" t="s">
        <v>515</v>
      </c>
      <c r="Y66" s="23">
        <v>1</v>
      </c>
      <c r="Z66" s="23">
        <v>1</v>
      </c>
      <c r="AA66" s="23">
        <v>1</v>
      </c>
      <c r="AB66" s="23">
        <v>11251</v>
      </c>
      <c r="AC66" s="26">
        <v>126317</v>
      </c>
      <c r="AD66" s="26">
        <v>57415</v>
      </c>
      <c r="AE66" s="26">
        <v>194983</v>
      </c>
    </row>
    <row r="67" spans="1:31">
      <c r="A67" t="s">
        <v>43</v>
      </c>
      <c r="B67" t="s">
        <v>185</v>
      </c>
      <c r="C67" t="s">
        <v>44</v>
      </c>
      <c r="D67" t="s">
        <v>626</v>
      </c>
      <c r="E67" t="s">
        <v>627</v>
      </c>
      <c r="F67" t="s">
        <v>628</v>
      </c>
      <c r="G67" t="s">
        <v>107</v>
      </c>
      <c r="H67" t="s">
        <v>108</v>
      </c>
      <c r="I67" t="s">
        <v>366</v>
      </c>
      <c r="J67" t="s">
        <v>629</v>
      </c>
      <c r="K67" t="s">
        <v>630</v>
      </c>
      <c r="L67" t="s">
        <v>112</v>
      </c>
      <c r="M67" t="s">
        <v>631</v>
      </c>
      <c r="N67" s="22">
        <v>45938.648611111108</v>
      </c>
      <c r="O67" s="22">
        <v>45939.59652777778</v>
      </c>
      <c r="P67" t="s">
        <v>114</v>
      </c>
      <c r="Q67" t="s">
        <v>115</v>
      </c>
      <c r="R67" t="s">
        <v>116</v>
      </c>
      <c r="S67" t="s">
        <v>632</v>
      </c>
      <c r="T67" t="s">
        <v>118</v>
      </c>
      <c r="U67" t="s">
        <v>633</v>
      </c>
      <c r="V67" t="s">
        <v>183</v>
      </c>
      <c r="W67" t="s">
        <v>121</v>
      </c>
      <c r="X67" t="s">
        <v>634</v>
      </c>
      <c r="Y67" s="23">
        <v>1</v>
      </c>
      <c r="Z67" s="23">
        <v>1</v>
      </c>
      <c r="AA67" s="23">
        <v>1</v>
      </c>
      <c r="AB67" s="23">
        <v>11251</v>
      </c>
      <c r="AC67" s="26">
        <v>126317</v>
      </c>
      <c r="AD67" s="26">
        <v>110808</v>
      </c>
      <c r="AE67" s="26">
        <v>248376</v>
      </c>
    </row>
    <row r="68" spans="1:31">
      <c r="A68" t="s">
        <v>61</v>
      </c>
      <c r="B68" t="s">
        <v>219</v>
      </c>
      <c r="C68" t="s">
        <v>32</v>
      </c>
      <c r="D68" t="s">
        <v>220</v>
      </c>
      <c r="E68" t="s">
        <v>635</v>
      </c>
      <c r="F68" t="s">
        <v>636</v>
      </c>
      <c r="G68" t="s">
        <v>107</v>
      </c>
      <c r="H68" t="s">
        <v>108</v>
      </c>
      <c r="I68" t="s">
        <v>223</v>
      </c>
      <c r="J68" t="s">
        <v>61</v>
      </c>
      <c r="K68" t="s">
        <v>637</v>
      </c>
      <c r="L68" t="s">
        <v>112</v>
      </c>
      <c r="M68" t="s">
        <v>638</v>
      </c>
      <c r="N68" s="22">
        <v>45940.496527777781</v>
      </c>
      <c r="O68" s="22">
        <v>45945.584027777782</v>
      </c>
      <c r="P68" t="s">
        <v>114</v>
      </c>
      <c r="Q68" t="s">
        <v>463</v>
      </c>
      <c r="R68" t="s">
        <v>116</v>
      </c>
      <c r="S68" t="s">
        <v>639</v>
      </c>
      <c r="T68" t="s">
        <v>118</v>
      </c>
      <c r="U68" t="s">
        <v>640</v>
      </c>
      <c r="V68" t="s">
        <v>8</v>
      </c>
      <c r="W68" t="s">
        <v>121</v>
      </c>
      <c r="X68" t="s">
        <v>262</v>
      </c>
      <c r="Y68" s="23">
        <v>1</v>
      </c>
      <c r="Z68" s="23">
        <v>1</v>
      </c>
      <c r="AA68" s="23">
        <v>1</v>
      </c>
      <c r="AB68" s="23">
        <v>11251</v>
      </c>
      <c r="AC68" s="26">
        <v>126317</v>
      </c>
      <c r="AD68" s="26">
        <v>57415</v>
      </c>
      <c r="AE68" s="26">
        <v>194983</v>
      </c>
    </row>
    <row r="69" spans="1:31">
      <c r="A69" t="s">
        <v>61</v>
      </c>
      <c r="B69" t="s">
        <v>219</v>
      </c>
      <c r="C69" t="s">
        <v>32</v>
      </c>
      <c r="D69" t="s">
        <v>220</v>
      </c>
      <c r="E69" t="s">
        <v>641</v>
      </c>
      <c r="F69" t="s">
        <v>642</v>
      </c>
      <c r="G69" t="s">
        <v>107</v>
      </c>
      <c r="H69" t="s">
        <v>108</v>
      </c>
      <c r="I69" t="s">
        <v>223</v>
      </c>
      <c r="J69" t="s">
        <v>61</v>
      </c>
      <c r="K69" t="s">
        <v>643</v>
      </c>
      <c r="L69" t="s">
        <v>112</v>
      </c>
      <c r="M69" t="s">
        <v>644</v>
      </c>
      <c r="N69" s="22">
        <v>45940.496527777781</v>
      </c>
      <c r="O69" s="22">
        <v>45945.673611111109</v>
      </c>
      <c r="P69" t="s">
        <v>114</v>
      </c>
      <c r="Q69" t="s">
        <v>463</v>
      </c>
      <c r="R69" t="s">
        <v>116</v>
      </c>
      <c r="S69" t="s">
        <v>639</v>
      </c>
      <c r="T69" t="s">
        <v>118</v>
      </c>
      <c r="U69" t="s">
        <v>645</v>
      </c>
      <c r="V69" t="s">
        <v>8</v>
      </c>
      <c r="W69" t="s">
        <v>121</v>
      </c>
      <c r="X69" t="s">
        <v>262</v>
      </c>
      <c r="Y69" s="23">
        <v>1</v>
      </c>
      <c r="Z69" s="23">
        <v>1</v>
      </c>
      <c r="AA69" s="23">
        <v>1</v>
      </c>
      <c r="AB69" s="23">
        <v>11251</v>
      </c>
      <c r="AC69" s="26">
        <v>126317</v>
      </c>
      <c r="AD69" s="26">
        <v>57415</v>
      </c>
      <c r="AE69" s="26">
        <v>194983</v>
      </c>
    </row>
    <row r="70" spans="1:31">
      <c r="A70" t="s">
        <v>61</v>
      </c>
      <c r="B70" t="s">
        <v>219</v>
      </c>
      <c r="C70" t="s">
        <v>32</v>
      </c>
      <c r="D70" t="s">
        <v>220</v>
      </c>
      <c r="E70" t="s">
        <v>646</v>
      </c>
      <c r="F70" t="s">
        <v>647</v>
      </c>
      <c r="G70" t="s">
        <v>107</v>
      </c>
      <c r="H70" t="s">
        <v>108</v>
      </c>
      <c r="I70" t="s">
        <v>223</v>
      </c>
      <c r="J70" t="s">
        <v>61</v>
      </c>
      <c r="K70" t="s">
        <v>648</v>
      </c>
      <c r="L70" t="s">
        <v>112</v>
      </c>
      <c r="M70" t="s">
        <v>649</v>
      </c>
      <c r="N70" s="22">
        <v>45940.49722222222</v>
      </c>
      <c r="O70" s="22">
        <v>45945.479166666657</v>
      </c>
      <c r="P70" t="s">
        <v>114</v>
      </c>
      <c r="Q70" t="s">
        <v>463</v>
      </c>
      <c r="R70" t="s">
        <v>116</v>
      </c>
      <c r="S70" t="s">
        <v>650</v>
      </c>
      <c r="T70" t="s">
        <v>118</v>
      </c>
      <c r="U70" t="s">
        <v>651</v>
      </c>
      <c r="V70" t="s">
        <v>8</v>
      </c>
      <c r="W70" t="s">
        <v>121</v>
      </c>
      <c r="X70" t="s">
        <v>652</v>
      </c>
      <c r="Y70" s="23">
        <v>1</v>
      </c>
      <c r="Z70" s="23">
        <v>1</v>
      </c>
      <c r="AA70" s="23">
        <v>1</v>
      </c>
      <c r="AB70" s="23">
        <v>11251</v>
      </c>
      <c r="AC70" s="26">
        <v>126317</v>
      </c>
      <c r="AD70" s="26">
        <v>57415</v>
      </c>
      <c r="AE70" s="26">
        <v>194983</v>
      </c>
    </row>
    <row r="71" spans="1:31">
      <c r="A71" t="s">
        <v>61</v>
      </c>
      <c r="B71" t="s">
        <v>219</v>
      </c>
      <c r="C71" t="s">
        <v>32</v>
      </c>
      <c r="D71" t="s">
        <v>220</v>
      </c>
      <c r="E71" t="s">
        <v>653</v>
      </c>
      <c r="F71" t="s">
        <v>654</v>
      </c>
      <c r="G71" t="s">
        <v>107</v>
      </c>
      <c r="H71" t="s">
        <v>108</v>
      </c>
      <c r="I71" t="s">
        <v>223</v>
      </c>
      <c r="J71" t="s">
        <v>61</v>
      </c>
      <c r="K71" t="s">
        <v>655</v>
      </c>
      <c r="L71" t="s">
        <v>112</v>
      </c>
      <c r="M71" t="s">
        <v>656</v>
      </c>
      <c r="N71" s="22">
        <v>45940.49722222222</v>
      </c>
      <c r="O71" s="22">
        <v>45945.668749999997</v>
      </c>
      <c r="P71" t="s">
        <v>114</v>
      </c>
      <c r="Q71" t="s">
        <v>463</v>
      </c>
      <c r="R71" t="s">
        <v>116</v>
      </c>
      <c r="S71" t="s">
        <v>657</v>
      </c>
      <c r="T71" t="s">
        <v>118</v>
      </c>
      <c r="U71" t="s">
        <v>658</v>
      </c>
      <c r="V71" t="s">
        <v>8</v>
      </c>
      <c r="W71" t="s">
        <v>121</v>
      </c>
      <c r="X71" t="s">
        <v>652</v>
      </c>
      <c r="Y71" s="23">
        <v>1</v>
      </c>
      <c r="Z71" s="23">
        <v>1</v>
      </c>
      <c r="AA71" s="23">
        <v>1</v>
      </c>
      <c r="AB71" s="23">
        <v>11251</v>
      </c>
      <c r="AC71" s="26">
        <v>126317</v>
      </c>
      <c r="AD71" s="26">
        <v>57415</v>
      </c>
      <c r="AE71" s="26">
        <v>194983</v>
      </c>
    </row>
    <row r="72" spans="1:31">
      <c r="A72" t="s">
        <v>61</v>
      </c>
      <c r="B72" t="s">
        <v>219</v>
      </c>
      <c r="C72" t="s">
        <v>32</v>
      </c>
      <c r="D72" t="s">
        <v>220</v>
      </c>
      <c r="E72" t="s">
        <v>659</v>
      </c>
      <c r="F72" t="s">
        <v>660</v>
      </c>
      <c r="G72" t="s">
        <v>107</v>
      </c>
      <c r="H72" t="s">
        <v>108</v>
      </c>
      <c r="I72" t="s">
        <v>223</v>
      </c>
      <c r="J72" t="s">
        <v>61</v>
      </c>
      <c r="K72" t="s">
        <v>661</v>
      </c>
      <c r="L72" t="s">
        <v>112</v>
      </c>
      <c r="M72" t="s">
        <v>662</v>
      </c>
      <c r="N72" s="22">
        <v>45940.49722222222</v>
      </c>
      <c r="O72" s="22">
        <v>45947.363194444442</v>
      </c>
      <c r="P72" t="s">
        <v>114</v>
      </c>
      <c r="Q72" t="s">
        <v>463</v>
      </c>
      <c r="R72" t="s">
        <v>116</v>
      </c>
      <c r="S72" t="s">
        <v>663</v>
      </c>
      <c r="T72" t="s">
        <v>118</v>
      </c>
      <c r="U72" t="s">
        <v>664</v>
      </c>
      <c r="V72" t="s">
        <v>8</v>
      </c>
      <c r="W72" t="s">
        <v>121</v>
      </c>
      <c r="X72" t="s">
        <v>597</v>
      </c>
      <c r="Y72" s="23">
        <v>1</v>
      </c>
      <c r="Z72" s="23">
        <v>1</v>
      </c>
      <c r="AA72" s="23">
        <v>1</v>
      </c>
      <c r="AB72" s="23">
        <v>11251</v>
      </c>
      <c r="AC72" s="26">
        <v>126317</v>
      </c>
      <c r="AD72" s="26">
        <v>57415</v>
      </c>
      <c r="AE72" s="26">
        <v>194983</v>
      </c>
    </row>
    <row r="73" spans="1:31">
      <c r="A73" t="s">
        <v>61</v>
      </c>
      <c r="B73" t="s">
        <v>219</v>
      </c>
      <c r="C73" t="s">
        <v>32</v>
      </c>
      <c r="D73" t="s">
        <v>665</v>
      </c>
      <c r="E73" t="s">
        <v>666</v>
      </c>
      <c r="F73" t="s">
        <v>667</v>
      </c>
      <c r="G73" t="s">
        <v>107</v>
      </c>
      <c r="H73" t="s">
        <v>108</v>
      </c>
      <c r="I73" t="s">
        <v>223</v>
      </c>
      <c r="J73" t="s">
        <v>668</v>
      </c>
      <c r="K73" t="s">
        <v>669</v>
      </c>
      <c r="L73" t="s">
        <v>112</v>
      </c>
      <c r="M73" t="s">
        <v>670</v>
      </c>
      <c r="N73" s="22">
        <v>45940.496527777781</v>
      </c>
      <c r="O73" s="22">
        <v>45944.605555555558</v>
      </c>
      <c r="P73" t="s">
        <v>114</v>
      </c>
      <c r="Q73" t="s">
        <v>463</v>
      </c>
      <c r="R73" t="s">
        <v>116</v>
      </c>
      <c r="S73" t="s">
        <v>671</v>
      </c>
      <c r="T73" t="s">
        <v>118</v>
      </c>
      <c r="U73" t="s">
        <v>672</v>
      </c>
      <c r="V73" t="s">
        <v>251</v>
      </c>
      <c r="W73" t="s">
        <v>121</v>
      </c>
      <c r="X73" t="s">
        <v>262</v>
      </c>
      <c r="Y73" s="23">
        <v>1</v>
      </c>
      <c r="Z73" s="23">
        <v>1</v>
      </c>
      <c r="AA73" s="23">
        <v>1</v>
      </c>
      <c r="AB73" s="23">
        <v>11251</v>
      </c>
      <c r="AC73" s="26">
        <v>126317</v>
      </c>
      <c r="AD73" s="26">
        <v>110808</v>
      </c>
      <c r="AE73" s="26">
        <v>248376</v>
      </c>
    </row>
    <row r="74" spans="1:31">
      <c r="A74" t="s">
        <v>61</v>
      </c>
      <c r="B74" t="s">
        <v>219</v>
      </c>
      <c r="C74" t="s">
        <v>32</v>
      </c>
      <c r="D74" t="s">
        <v>673</v>
      </c>
      <c r="E74" t="s">
        <v>674</v>
      </c>
      <c r="F74" t="s">
        <v>675</v>
      </c>
      <c r="G74" t="s">
        <v>107</v>
      </c>
      <c r="H74" t="s">
        <v>108</v>
      </c>
      <c r="I74" t="s">
        <v>223</v>
      </c>
      <c r="J74" t="s">
        <v>676</v>
      </c>
      <c r="K74" t="s">
        <v>677</v>
      </c>
      <c r="L74" t="s">
        <v>112</v>
      </c>
      <c r="M74" t="s">
        <v>678</v>
      </c>
      <c r="N74" s="22">
        <v>45940.496527777781</v>
      </c>
      <c r="O74" s="22">
        <v>45944.60833333333</v>
      </c>
      <c r="P74" t="s">
        <v>114</v>
      </c>
      <c r="Q74" t="s">
        <v>115</v>
      </c>
      <c r="R74" t="s">
        <v>116</v>
      </c>
      <c r="S74" t="s">
        <v>679</v>
      </c>
      <c r="T74" t="s">
        <v>118</v>
      </c>
      <c r="U74" t="s">
        <v>680</v>
      </c>
      <c r="V74" t="s">
        <v>251</v>
      </c>
      <c r="W74" t="s">
        <v>121</v>
      </c>
      <c r="X74" t="s">
        <v>652</v>
      </c>
      <c r="Y74" s="23">
        <v>1</v>
      </c>
      <c r="Z74" s="23">
        <v>1</v>
      </c>
      <c r="AA74" s="23">
        <v>1</v>
      </c>
      <c r="AB74" s="23">
        <v>11251</v>
      </c>
      <c r="AC74" s="26">
        <v>126317</v>
      </c>
      <c r="AD74" s="26">
        <v>110808</v>
      </c>
      <c r="AE74" s="26">
        <v>248376</v>
      </c>
    </row>
    <row r="75" spans="1:31">
      <c r="A75" t="s">
        <v>70</v>
      </c>
      <c r="B75" t="s">
        <v>152</v>
      </c>
      <c r="C75" t="s">
        <v>36</v>
      </c>
      <c r="D75" t="s">
        <v>681</v>
      </c>
      <c r="E75" t="s">
        <v>682</v>
      </c>
      <c r="F75" t="s">
        <v>683</v>
      </c>
      <c r="G75" t="s">
        <v>107</v>
      </c>
      <c r="H75" t="s">
        <v>108</v>
      </c>
      <c r="I75" t="s">
        <v>313</v>
      </c>
      <c r="J75" t="s">
        <v>70</v>
      </c>
      <c r="K75" t="s">
        <v>684</v>
      </c>
      <c r="L75" t="s">
        <v>112</v>
      </c>
      <c r="M75" t="s">
        <v>685</v>
      </c>
      <c r="N75" s="22">
        <v>45940.579861111109</v>
      </c>
      <c r="O75" s="22">
        <v>45945.29583333333</v>
      </c>
      <c r="P75" t="s">
        <v>114</v>
      </c>
      <c r="Q75" t="s">
        <v>463</v>
      </c>
      <c r="R75" t="s">
        <v>116</v>
      </c>
      <c r="S75" t="s">
        <v>686</v>
      </c>
      <c r="T75" t="s">
        <v>118</v>
      </c>
      <c r="U75" t="s">
        <v>687</v>
      </c>
      <c r="V75" t="s">
        <v>8</v>
      </c>
      <c r="W75" t="s">
        <v>121</v>
      </c>
      <c r="X75" t="s">
        <v>688</v>
      </c>
      <c r="Y75" s="23">
        <v>1</v>
      </c>
      <c r="Z75" s="23">
        <v>1</v>
      </c>
      <c r="AA75" s="23">
        <v>1</v>
      </c>
      <c r="AB75" s="23">
        <v>11251</v>
      </c>
      <c r="AC75" s="26">
        <v>126317</v>
      </c>
      <c r="AD75" s="26">
        <v>57415</v>
      </c>
      <c r="AE75" s="26">
        <v>194983</v>
      </c>
    </row>
    <row r="76" spans="1:31">
      <c r="A76" t="s">
        <v>39</v>
      </c>
      <c r="B76" t="s">
        <v>438</v>
      </c>
      <c r="C76" t="s">
        <v>40</v>
      </c>
      <c r="D76" t="s">
        <v>689</v>
      </c>
      <c r="E76" t="s">
        <v>690</v>
      </c>
      <c r="F76" t="s">
        <v>691</v>
      </c>
      <c r="G76" t="s">
        <v>107</v>
      </c>
      <c r="H76" t="s">
        <v>108</v>
      </c>
      <c r="I76" t="s">
        <v>438</v>
      </c>
      <c r="J76" t="s">
        <v>692</v>
      </c>
      <c r="K76" t="s">
        <v>693</v>
      </c>
      <c r="L76" t="s">
        <v>112</v>
      </c>
      <c r="M76" t="s">
        <v>694</v>
      </c>
      <c r="N76" s="22">
        <v>45940.690972222219</v>
      </c>
      <c r="O76" s="22">
        <v>45946.240277777782</v>
      </c>
      <c r="P76" t="s">
        <v>114</v>
      </c>
      <c r="Q76" t="s">
        <v>463</v>
      </c>
      <c r="R76" t="s">
        <v>116</v>
      </c>
      <c r="S76" t="s">
        <v>695</v>
      </c>
      <c r="T76" t="s">
        <v>118</v>
      </c>
      <c r="U76" t="s">
        <v>696</v>
      </c>
      <c r="V76" t="s">
        <v>251</v>
      </c>
      <c r="W76" t="s">
        <v>121</v>
      </c>
      <c r="X76" t="s">
        <v>697</v>
      </c>
      <c r="Y76" s="23">
        <v>1</v>
      </c>
      <c r="Z76" s="23">
        <v>1</v>
      </c>
      <c r="AA76" s="23">
        <v>1</v>
      </c>
      <c r="AB76" s="23">
        <v>11251</v>
      </c>
      <c r="AC76" s="26">
        <v>126317</v>
      </c>
      <c r="AD76" s="26">
        <v>110808</v>
      </c>
      <c r="AE76" s="26">
        <v>248376</v>
      </c>
    </row>
    <row r="77" spans="1:31">
      <c r="A77" t="s">
        <v>63</v>
      </c>
      <c r="B77" t="s">
        <v>155</v>
      </c>
      <c r="C77" t="s">
        <v>54</v>
      </c>
      <c r="D77" t="s">
        <v>698</v>
      </c>
      <c r="E77" t="s">
        <v>699</v>
      </c>
      <c r="F77" t="s">
        <v>700</v>
      </c>
      <c r="G77" t="s">
        <v>107</v>
      </c>
      <c r="H77" t="s">
        <v>108</v>
      </c>
      <c r="I77" t="s">
        <v>340</v>
      </c>
      <c r="J77" t="s">
        <v>701</v>
      </c>
      <c r="K77" t="s">
        <v>702</v>
      </c>
      <c r="L77" t="s">
        <v>112</v>
      </c>
      <c r="M77" t="s">
        <v>703</v>
      </c>
      <c r="N77" s="22">
        <v>45940.314583333333</v>
      </c>
      <c r="O77" s="22">
        <v>45944.613888888889</v>
      </c>
      <c r="P77" t="s">
        <v>114</v>
      </c>
      <c r="Q77" t="s">
        <v>463</v>
      </c>
      <c r="R77" t="s">
        <v>116</v>
      </c>
      <c r="S77" t="s">
        <v>704</v>
      </c>
      <c r="T77" t="s">
        <v>118</v>
      </c>
      <c r="U77" t="s">
        <v>705</v>
      </c>
      <c r="V77" t="s">
        <v>251</v>
      </c>
      <c r="W77" t="s">
        <v>121</v>
      </c>
      <c r="X77" t="s">
        <v>347</v>
      </c>
      <c r="Y77" s="23">
        <v>1</v>
      </c>
      <c r="Z77" s="23">
        <v>1</v>
      </c>
      <c r="AA77" s="23">
        <v>1</v>
      </c>
      <c r="AB77" s="23">
        <v>11251</v>
      </c>
      <c r="AC77" s="26">
        <v>126317</v>
      </c>
      <c r="AD77" s="26">
        <v>110808</v>
      </c>
      <c r="AE77" s="26">
        <v>248376</v>
      </c>
    </row>
    <row r="78" spans="1:31">
      <c r="A78" t="s">
        <v>63</v>
      </c>
      <c r="B78" t="s">
        <v>155</v>
      </c>
      <c r="C78" t="s">
        <v>54</v>
      </c>
      <c r="D78" t="s">
        <v>706</v>
      </c>
      <c r="E78" t="s">
        <v>707</v>
      </c>
      <c r="F78" t="s">
        <v>708</v>
      </c>
      <c r="G78" t="s">
        <v>107</v>
      </c>
      <c r="H78" t="s">
        <v>108</v>
      </c>
      <c r="I78" t="s">
        <v>340</v>
      </c>
      <c r="J78" t="s">
        <v>709</v>
      </c>
      <c r="K78" t="s">
        <v>710</v>
      </c>
      <c r="L78" t="s">
        <v>112</v>
      </c>
      <c r="M78" t="s">
        <v>711</v>
      </c>
      <c r="N78" s="22">
        <v>45940.314583333333</v>
      </c>
      <c r="O78" s="22">
        <v>45945.481944444437</v>
      </c>
      <c r="P78" t="s">
        <v>114</v>
      </c>
      <c r="Q78" t="s">
        <v>463</v>
      </c>
      <c r="R78" t="s">
        <v>142</v>
      </c>
      <c r="S78" t="s">
        <v>712</v>
      </c>
      <c r="T78" t="s">
        <v>118</v>
      </c>
      <c r="V78" t="s">
        <v>183</v>
      </c>
      <c r="W78" t="s">
        <v>121</v>
      </c>
      <c r="X78" t="s">
        <v>713</v>
      </c>
      <c r="Y78" s="23">
        <v>0</v>
      </c>
      <c r="Z78" s="23">
        <v>0</v>
      </c>
      <c r="AA78" s="23">
        <v>2</v>
      </c>
      <c r="AB78" s="23">
        <v>0</v>
      </c>
      <c r="AC78" s="26">
        <v>0</v>
      </c>
      <c r="AD78" s="26">
        <v>110808</v>
      </c>
      <c r="AE78" s="26">
        <v>221616</v>
      </c>
    </row>
    <row r="79" spans="1:31">
      <c r="A79" t="s">
        <v>71</v>
      </c>
      <c r="B79" t="s">
        <v>155</v>
      </c>
      <c r="C79" t="s">
        <v>54</v>
      </c>
      <c r="D79" t="s">
        <v>714</v>
      </c>
      <c r="E79" t="s">
        <v>715</v>
      </c>
      <c r="F79" t="s">
        <v>716</v>
      </c>
      <c r="G79" t="s">
        <v>107</v>
      </c>
      <c r="H79" t="s">
        <v>108</v>
      </c>
      <c r="I79" t="s">
        <v>717</v>
      </c>
      <c r="J79" t="s">
        <v>718</v>
      </c>
      <c r="K79" t="s">
        <v>719</v>
      </c>
      <c r="L79" t="s">
        <v>112</v>
      </c>
      <c r="M79" t="s">
        <v>720</v>
      </c>
      <c r="N79" s="22">
        <v>45940.314583333333</v>
      </c>
      <c r="O79" s="22">
        <v>45945.675694444442</v>
      </c>
      <c r="P79" t="s">
        <v>114</v>
      </c>
      <c r="Q79" t="s">
        <v>463</v>
      </c>
      <c r="R79" t="s">
        <v>116</v>
      </c>
      <c r="S79" t="s">
        <v>721</v>
      </c>
      <c r="T79" t="s">
        <v>118</v>
      </c>
      <c r="U79" t="s">
        <v>722</v>
      </c>
      <c r="V79" t="s">
        <v>183</v>
      </c>
      <c r="W79" t="s">
        <v>121</v>
      </c>
      <c r="X79" t="s">
        <v>723</v>
      </c>
      <c r="Y79" s="23">
        <v>1</v>
      </c>
      <c r="Z79" s="23">
        <v>1</v>
      </c>
      <c r="AA79" s="23">
        <v>1</v>
      </c>
      <c r="AB79" s="23">
        <v>11251</v>
      </c>
      <c r="AC79" s="26">
        <v>126317</v>
      </c>
      <c r="AD79" s="26">
        <v>110808</v>
      </c>
      <c r="AE79" s="26">
        <v>248376</v>
      </c>
    </row>
    <row r="80" spans="1:31">
      <c r="A80" t="s">
        <v>64</v>
      </c>
      <c r="B80" t="s">
        <v>103</v>
      </c>
      <c r="C80" t="s">
        <v>48</v>
      </c>
      <c r="D80" t="s">
        <v>522</v>
      </c>
      <c r="E80" t="s">
        <v>724</v>
      </c>
      <c r="F80" t="s">
        <v>725</v>
      </c>
      <c r="G80" t="s">
        <v>107</v>
      </c>
      <c r="H80" t="s">
        <v>108</v>
      </c>
      <c r="I80" t="s">
        <v>177</v>
      </c>
      <c r="J80" t="s">
        <v>64</v>
      </c>
      <c r="K80" t="s">
        <v>726</v>
      </c>
      <c r="L80" t="s">
        <v>112</v>
      </c>
      <c r="M80" t="s">
        <v>727</v>
      </c>
      <c r="N80" s="22">
        <v>45940.734027777777</v>
      </c>
      <c r="O80" s="22">
        <v>45946.54791666667</v>
      </c>
      <c r="P80" t="s">
        <v>114</v>
      </c>
      <c r="Q80" t="s">
        <v>463</v>
      </c>
      <c r="R80" t="s">
        <v>259</v>
      </c>
      <c r="S80" t="s">
        <v>728</v>
      </c>
      <c r="T80" t="s">
        <v>118</v>
      </c>
      <c r="U80" t="s">
        <v>729</v>
      </c>
      <c r="V80" t="s">
        <v>8</v>
      </c>
      <c r="W80" t="s">
        <v>121</v>
      </c>
      <c r="X80" t="s">
        <v>184</v>
      </c>
      <c r="Y80" s="23">
        <v>1</v>
      </c>
      <c r="Z80" s="23">
        <v>1</v>
      </c>
      <c r="AA80" s="23">
        <v>3</v>
      </c>
      <c r="AB80" s="23">
        <v>11251</v>
      </c>
      <c r="AC80" s="26">
        <v>126317</v>
      </c>
      <c r="AD80" s="26">
        <v>57415</v>
      </c>
      <c r="AE80" s="26">
        <v>309813</v>
      </c>
    </row>
    <row r="81" spans="1:31">
      <c r="A81" t="s">
        <v>64</v>
      </c>
      <c r="B81" t="s">
        <v>103</v>
      </c>
      <c r="C81" t="s">
        <v>48</v>
      </c>
      <c r="D81" t="s">
        <v>174</v>
      </c>
      <c r="E81" t="s">
        <v>730</v>
      </c>
      <c r="F81" t="s">
        <v>731</v>
      </c>
      <c r="G81" t="s">
        <v>107</v>
      </c>
      <c r="H81" t="s">
        <v>108</v>
      </c>
      <c r="I81" t="s">
        <v>177</v>
      </c>
      <c r="J81" t="s">
        <v>178</v>
      </c>
      <c r="K81" t="s">
        <v>732</v>
      </c>
      <c r="L81" t="s">
        <v>112</v>
      </c>
      <c r="M81" t="s">
        <v>733</v>
      </c>
      <c r="N81" s="22">
        <v>45940.85</v>
      </c>
      <c r="O81" s="22">
        <v>45945.29791666667</v>
      </c>
      <c r="P81" t="s">
        <v>114</v>
      </c>
      <c r="Q81" t="s">
        <v>115</v>
      </c>
      <c r="R81" t="s">
        <v>116</v>
      </c>
      <c r="S81" t="s">
        <v>734</v>
      </c>
      <c r="T81" t="s">
        <v>118</v>
      </c>
      <c r="U81" t="s">
        <v>735</v>
      </c>
      <c r="V81" t="s">
        <v>183</v>
      </c>
      <c r="W81" t="s">
        <v>121</v>
      </c>
      <c r="X81" t="s">
        <v>736</v>
      </c>
      <c r="Y81" s="23">
        <v>1</v>
      </c>
      <c r="Z81" s="23">
        <v>1</v>
      </c>
      <c r="AA81" s="23">
        <v>1</v>
      </c>
      <c r="AB81" s="23">
        <v>11251</v>
      </c>
      <c r="AC81" s="26">
        <v>126317</v>
      </c>
      <c r="AD81" s="26">
        <v>110808</v>
      </c>
      <c r="AE81" s="26">
        <v>248376</v>
      </c>
    </row>
    <row r="82" spans="1:31">
      <c r="A82" t="s">
        <v>43</v>
      </c>
      <c r="B82" t="s">
        <v>185</v>
      </c>
      <c r="C82" t="s">
        <v>44</v>
      </c>
      <c r="D82" t="s">
        <v>363</v>
      </c>
      <c r="E82" t="s">
        <v>737</v>
      </c>
      <c r="F82" t="s">
        <v>738</v>
      </c>
      <c r="G82" t="s">
        <v>107</v>
      </c>
      <c r="H82" t="s">
        <v>108</v>
      </c>
      <c r="I82" t="s">
        <v>366</v>
      </c>
      <c r="J82" t="s">
        <v>43</v>
      </c>
      <c r="K82" t="s">
        <v>739</v>
      </c>
      <c r="L82" t="s">
        <v>112</v>
      </c>
      <c r="M82" t="s">
        <v>740</v>
      </c>
      <c r="N82" s="22">
        <v>45940.441666666673</v>
      </c>
      <c r="O82" s="22">
        <v>45946.537499999999</v>
      </c>
      <c r="P82" t="s">
        <v>114</v>
      </c>
      <c r="Q82" t="s">
        <v>463</v>
      </c>
      <c r="R82" t="s">
        <v>116</v>
      </c>
      <c r="S82" t="s">
        <v>741</v>
      </c>
      <c r="T82" t="s">
        <v>118</v>
      </c>
      <c r="U82" t="s">
        <v>742</v>
      </c>
      <c r="V82" t="s">
        <v>8</v>
      </c>
      <c r="W82" t="s">
        <v>121</v>
      </c>
      <c r="X82" t="s">
        <v>743</v>
      </c>
      <c r="Y82" s="23">
        <v>1</v>
      </c>
      <c r="Z82" s="23">
        <v>1</v>
      </c>
      <c r="AA82" s="23">
        <v>1</v>
      </c>
      <c r="AB82" s="23">
        <v>11251</v>
      </c>
      <c r="AC82" s="26">
        <v>126317</v>
      </c>
      <c r="AD82" s="26">
        <v>57415</v>
      </c>
      <c r="AE82" s="26">
        <v>194983</v>
      </c>
    </row>
    <row r="83" spans="1:31">
      <c r="A83" t="s">
        <v>43</v>
      </c>
      <c r="B83" t="s">
        <v>185</v>
      </c>
      <c r="C83" t="s">
        <v>44</v>
      </c>
      <c r="D83" t="s">
        <v>372</v>
      </c>
      <c r="E83" t="s">
        <v>744</v>
      </c>
      <c r="F83" t="s">
        <v>745</v>
      </c>
      <c r="G83" t="s">
        <v>107</v>
      </c>
      <c r="H83" t="s">
        <v>108</v>
      </c>
      <c r="I83" t="s">
        <v>366</v>
      </c>
      <c r="J83" t="s">
        <v>375</v>
      </c>
      <c r="K83" t="s">
        <v>746</v>
      </c>
      <c r="L83" t="s">
        <v>112</v>
      </c>
      <c r="M83" t="s">
        <v>747</v>
      </c>
      <c r="N83" s="22">
        <v>45940.441666666673</v>
      </c>
      <c r="O83" s="22">
        <v>45946.618055555547</v>
      </c>
      <c r="P83" t="s">
        <v>114</v>
      </c>
      <c r="Q83" t="s">
        <v>463</v>
      </c>
      <c r="R83" t="s">
        <v>259</v>
      </c>
      <c r="S83" t="s">
        <v>748</v>
      </c>
      <c r="T83" t="s">
        <v>118</v>
      </c>
      <c r="U83" t="s">
        <v>749</v>
      </c>
      <c r="V83" t="s">
        <v>8</v>
      </c>
      <c r="W83" t="s">
        <v>121</v>
      </c>
      <c r="X83" t="s">
        <v>750</v>
      </c>
      <c r="Y83" s="23">
        <v>1</v>
      </c>
      <c r="Z83" s="23">
        <v>1</v>
      </c>
      <c r="AA83" s="23">
        <v>3</v>
      </c>
      <c r="AB83" s="23">
        <v>11251</v>
      </c>
      <c r="AC83" s="26">
        <v>126317</v>
      </c>
      <c r="AD83" s="26">
        <v>57415</v>
      </c>
      <c r="AE83" s="26">
        <v>309813</v>
      </c>
    </row>
    <row r="84" spans="1:31">
      <c r="A84" t="s">
        <v>68</v>
      </c>
      <c r="B84" t="s">
        <v>152</v>
      </c>
      <c r="C84" t="s">
        <v>36</v>
      </c>
      <c r="D84" t="s">
        <v>751</v>
      </c>
      <c r="E84" t="s">
        <v>752</v>
      </c>
      <c r="F84" t="s">
        <v>753</v>
      </c>
      <c r="G84" t="s">
        <v>107</v>
      </c>
      <c r="H84" t="s">
        <v>108</v>
      </c>
      <c r="I84" t="s">
        <v>754</v>
      </c>
      <c r="J84" t="s">
        <v>755</v>
      </c>
      <c r="K84" t="s">
        <v>756</v>
      </c>
      <c r="L84" t="s">
        <v>112</v>
      </c>
      <c r="M84" t="s">
        <v>757</v>
      </c>
      <c r="N84" s="22">
        <v>45940.581250000003</v>
      </c>
      <c r="O84" s="22">
        <v>45945.302777777782</v>
      </c>
      <c r="P84" t="s">
        <v>114</v>
      </c>
      <c r="Q84" t="s">
        <v>463</v>
      </c>
      <c r="R84" t="s">
        <v>116</v>
      </c>
      <c r="S84" t="s">
        <v>758</v>
      </c>
      <c r="T84" t="s">
        <v>118</v>
      </c>
      <c r="U84" t="s">
        <v>759</v>
      </c>
      <c r="V84" t="s">
        <v>251</v>
      </c>
      <c r="W84" t="s">
        <v>121</v>
      </c>
      <c r="X84" t="s">
        <v>760</v>
      </c>
      <c r="Y84" s="23">
        <v>1</v>
      </c>
      <c r="Z84" s="23">
        <v>1</v>
      </c>
      <c r="AA84" s="23">
        <v>1</v>
      </c>
      <c r="AB84" s="23">
        <v>11251</v>
      </c>
      <c r="AC84" s="26">
        <v>126317</v>
      </c>
      <c r="AD84" s="26">
        <v>110808</v>
      </c>
      <c r="AE84" s="26">
        <v>248376</v>
      </c>
    </row>
    <row r="85" spans="1:31">
      <c r="A85" t="s">
        <v>47</v>
      </c>
      <c r="B85" t="s">
        <v>103</v>
      </c>
      <c r="C85" t="s">
        <v>48</v>
      </c>
      <c r="D85" t="s">
        <v>205</v>
      </c>
      <c r="E85" t="s">
        <v>761</v>
      </c>
      <c r="F85" t="s">
        <v>762</v>
      </c>
      <c r="G85" t="s">
        <v>107</v>
      </c>
      <c r="H85" t="s">
        <v>108</v>
      </c>
      <c r="I85" t="s">
        <v>208</v>
      </c>
      <c r="J85" t="s">
        <v>47</v>
      </c>
      <c r="K85" t="s">
        <v>763</v>
      </c>
      <c r="L85" t="s">
        <v>112</v>
      </c>
      <c r="M85" t="s">
        <v>764</v>
      </c>
      <c r="N85" s="22">
        <v>45940.712500000001</v>
      </c>
      <c r="O85" s="22">
        <v>45946.248611111107</v>
      </c>
      <c r="P85" t="s">
        <v>114</v>
      </c>
      <c r="Q85" t="s">
        <v>463</v>
      </c>
      <c r="R85" t="s">
        <v>259</v>
      </c>
      <c r="S85" t="s">
        <v>765</v>
      </c>
      <c r="T85" t="s">
        <v>118</v>
      </c>
      <c r="U85" t="s">
        <v>766</v>
      </c>
      <c r="V85" t="s">
        <v>8</v>
      </c>
      <c r="W85" t="s">
        <v>121</v>
      </c>
      <c r="X85" t="s">
        <v>767</v>
      </c>
      <c r="Y85" s="23">
        <v>1</v>
      </c>
      <c r="Z85" s="23">
        <v>1</v>
      </c>
      <c r="AA85" s="23">
        <v>3</v>
      </c>
      <c r="AB85" s="23">
        <v>11251</v>
      </c>
      <c r="AC85" s="26">
        <v>126317</v>
      </c>
      <c r="AD85" s="26">
        <v>57415</v>
      </c>
      <c r="AE85" s="26">
        <v>309813</v>
      </c>
    </row>
    <row r="86" spans="1:31">
      <c r="A86" t="s">
        <v>72</v>
      </c>
      <c r="B86" t="s">
        <v>155</v>
      </c>
      <c r="C86" t="s">
        <v>54</v>
      </c>
      <c r="D86" t="s">
        <v>768</v>
      </c>
      <c r="E86" t="s">
        <v>769</v>
      </c>
      <c r="F86" t="s">
        <v>770</v>
      </c>
      <c r="G86" t="s">
        <v>107</v>
      </c>
      <c r="H86" t="s">
        <v>108</v>
      </c>
      <c r="I86" t="s">
        <v>771</v>
      </c>
      <c r="J86" t="s">
        <v>72</v>
      </c>
      <c r="K86" t="s">
        <v>772</v>
      </c>
      <c r="L86" t="s">
        <v>112</v>
      </c>
      <c r="M86" t="s">
        <v>773</v>
      </c>
      <c r="N86" s="22">
        <v>45940.314583333333</v>
      </c>
      <c r="O86" s="22">
        <v>45944.617361111108</v>
      </c>
      <c r="P86" t="s">
        <v>114</v>
      </c>
      <c r="Q86" t="s">
        <v>463</v>
      </c>
      <c r="R86" t="s">
        <v>116</v>
      </c>
      <c r="S86" t="s">
        <v>774</v>
      </c>
      <c r="T86" t="s">
        <v>118</v>
      </c>
      <c r="U86" t="s">
        <v>775</v>
      </c>
      <c r="V86" t="s">
        <v>8</v>
      </c>
      <c r="W86" t="s">
        <v>121</v>
      </c>
      <c r="X86" t="s">
        <v>776</v>
      </c>
      <c r="Y86" s="23">
        <v>1</v>
      </c>
      <c r="Z86" s="23">
        <v>1</v>
      </c>
      <c r="AA86" s="23">
        <v>1</v>
      </c>
      <c r="AB86" s="23">
        <v>11251</v>
      </c>
      <c r="AC86" s="26">
        <v>126317</v>
      </c>
      <c r="AD86" s="26">
        <v>57415</v>
      </c>
      <c r="AE86" s="26">
        <v>194983</v>
      </c>
    </row>
    <row r="87" spans="1:31">
      <c r="A87" t="s">
        <v>39</v>
      </c>
      <c r="B87" t="s">
        <v>438</v>
      </c>
      <c r="C87" t="s">
        <v>40</v>
      </c>
      <c r="D87" t="s">
        <v>439</v>
      </c>
      <c r="E87" t="s">
        <v>777</v>
      </c>
      <c r="F87" t="s">
        <v>778</v>
      </c>
      <c r="G87" t="s">
        <v>107</v>
      </c>
      <c r="H87" t="s">
        <v>108</v>
      </c>
      <c r="I87" t="s">
        <v>438</v>
      </c>
      <c r="J87" t="s">
        <v>39</v>
      </c>
      <c r="K87" t="s">
        <v>779</v>
      </c>
      <c r="L87" t="s">
        <v>112</v>
      </c>
      <c r="M87" t="s">
        <v>780</v>
      </c>
      <c r="N87" s="22">
        <v>45940.319444444453</v>
      </c>
      <c r="O87" s="22">
        <v>45946.244444444441</v>
      </c>
      <c r="P87" t="s">
        <v>114</v>
      </c>
      <c r="Q87" t="s">
        <v>463</v>
      </c>
      <c r="R87" t="s">
        <v>116</v>
      </c>
      <c r="S87" t="s">
        <v>781</v>
      </c>
      <c r="T87" t="s">
        <v>118</v>
      </c>
      <c r="U87" t="s">
        <v>782</v>
      </c>
      <c r="V87" t="s">
        <v>8</v>
      </c>
      <c r="W87" t="s">
        <v>121</v>
      </c>
      <c r="X87" t="s">
        <v>783</v>
      </c>
      <c r="Y87" s="23">
        <v>1</v>
      </c>
      <c r="Z87" s="23">
        <v>1</v>
      </c>
      <c r="AA87" s="23">
        <v>1</v>
      </c>
      <c r="AB87" s="23">
        <v>11251</v>
      </c>
      <c r="AC87" s="26">
        <v>126317</v>
      </c>
      <c r="AD87" s="26">
        <v>57415</v>
      </c>
      <c r="AE87" s="26">
        <v>194983</v>
      </c>
    </row>
    <row r="88" spans="1:31">
      <c r="A88" t="s">
        <v>47</v>
      </c>
      <c r="B88" t="s">
        <v>103</v>
      </c>
      <c r="C88" t="s">
        <v>48</v>
      </c>
      <c r="D88" t="s">
        <v>301</v>
      </c>
      <c r="E88" t="s">
        <v>784</v>
      </c>
      <c r="F88" t="s">
        <v>303</v>
      </c>
      <c r="G88" t="s">
        <v>107</v>
      </c>
      <c r="H88" t="s">
        <v>586</v>
      </c>
      <c r="I88" t="s">
        <v>304</v>
      </c>
      <c r="J88" t="s">
        <v>305</v>
      </c>
      <c r="K88" t="s">
        <v>306</v>
      </c>
      <c r="L88" t="s">
        <v>112</v>
      </c>
      <c r="M88" t="s">
        <v>785</v>
      </c>
      <c r="N88" s="22">
        <v>45946.706250000003</v>
      </c>
      <c r="O88" s="22">
        <v>45947.647523148153</v>
      </c>
      <c r="P88" t="s">
        <v>114</v>
      </c>
      <c r="Q88" t="s">
        <v>115</v>
      </c>
      <c r="R88" t="s">
        <v>116</v>
      </c>
      <c r="S88" t="s">
        <v>786</v>
      </c>
      <c r="T88" t="s">
        <v>118</v>
      </c>
      <c r="U88" t="s">
        <v>787</v>
      </c>
      <c r="V88" t="s">
        <v>251</v>
      </c>
      <c r="W88" t="s">
        <v>121</v>
      </c>
      <c r="X88" t="s">
        <v>309</v>
      </c>
      <c r="Y88" s="23">
        <v>1</v>
      </c>
      <c r="Z88" s="23">
        <v>1</v>
      </c>
      <c r="AA88" s="23">
        <v>1</v>
      </c>
      <c r="AB88" s="23">
        <v>11251</v>
      </c>
      <c r="AC88" s="26">
        <v>126317</v>
      </c>
      <c r="AD88" s="26">
        <v>110808</v>
      </c>
      <c r="AE88" s="26">
        <v>248376</v>
      </c>
    </row>
    <row r="89" spans="1:31">
      <c r="A89" t="s">
        <v>61</v>
      </c>
      <c r="B89" t="s">
        <v>219</v>
      </c>
      <c r="C89" t="s">
        <v>32</v>
      </c>
      <c r="D89" t="s">
        <v>220</v>
      </c>
      <c r="E89" t="s">
        <v>788</v>
      </c>
      <c r="F89" t="s">
        <v>789</v>
      </c>
      <c r="G89" t="s">
        <v>107</v>
      </c>
      <c r="H89" t="s">
        <v>108</v>
      </c>
      <c r="I89" t="s">
        <v>223</v>
      </c>
      <c r="J89" t="s">
        <v>61</v>
      </c>
      <c r="K89" t="s">
        <v>790</v>
      </c>
      <c r="L89" t="s">
        <v>112</v>
      </c>
      <c r="M89" t="s">
        <v>791</v>
      </c>
      <c r="N89" s="22">
        <v>45950.333333333343</v>
      </c>
      <c r="O89" s="22">
        <v>45952.513888888891</v>
      </c>
      <c r="P89" t="s">
        <v>114</v>
      </c>
      <c r="Q89" t="s">
        <v>463</v>
      </c>
      <c r="R89" t="s">
        <v>116</v>
      </c>
      <c r="S89" t="s">
        <v>792</v>
      </c>
      <c r="T89" t="s">
        <v>118</v>
      </c>
      <c r="U89" t="s">
        <v>793</v>
      </c>
      <c r="V89" t="s">
        <v>8</v>
      </c>
      <c r="W89" t="s">
        <v>121</v>
      </c>
      <c r="X89" t="s">
        <v>262</v>
      </c>
      <c r="Y89" s="23">
        <v>1</v>
      </c>
      <c r="Z89" s="23">
        <v>1</v>
      </c>
      <c r="AA89" s="23">
        <v>1</v>
      </c>
      <c r="AB89" s="23">
        <v>11251</v>
      </c>
      <c r="AC89" s="26">
        <v>126317</v>
      </c>
      <c r="AD89" s="26">
        <v>57415</v>
      </c>
      <c r="AE89" s="26">
        <v>194983</v>
      </c>
    </row>
    <row r="90" spans="1:31">
      <c r="A90" t="s">
        <v>61</v>
      </c>
      <c r="B90" t="s">
        <v>219</v>
      </c>
      <c r="C90" t="s">
        <v>32</v>
      </c>
      <c r="D90" t="s">
        <v>220</v>
      </c>
      <c r="E90" t="s">
        <v>794</v>
      </c>
      <c r="F90" t="s">
        <v>795</v>
      </c>
      <c r="G90" t="s">
        <v>107</v>
      </c>
      <c r="H90" t="s">
        <v>108</v>
      </c>
      <c r="I90" t="s">
        <v>223</v>
      </c>
      <c r="J90" t="s">
        <v>61</v>
      </c>
      <c r="K90" t="s">
        <v>796</v>
      </c>
      <c r="L90" t="s">
        <v>112</v>
      </c>
      <c r="M90" t="s">
        <v>797</v>
      </c>
      <c r="N90" s="22">
        <v>45950.333333333343</v>
      </c>
      <c r="O90" s="22">
        <v>45953.28402777778</v>
      </c>
      <c r="P90" t="s">
        <v>114</v>
      </c>
      <c r="Q90" t="s">
        <v>463</v>
      </c>
      <c r="R90" t="s">
        <v>116</v>
      </c>
      <c r="S90" t="s">
        <v>792</v>
      </c>
      <c r="T90" t="s">
        <v>118</v>
      </c>
      <c r="U90" t="s">
        <v>798</v>
      </c>
      <c r="V90" t="s">
        <v>8</v>
      </c>
      <c r="W90" t="s">
        <v>121</v>
      </c>
      <c r="X90" t="s">
        <v>262</v>
      </c>
      <c r="Y90" s="23">
        <v>1</v>
      </c>
      <c r="Z90" s="23">
        <v>1</v>
      </c>
      <c r="AA90" s="23">
        <v>1</v>
      </c>
      <c r="AB90" s="23">
        <v>11251</v>
      </c>
      <c r="AC90" s="26">
        <v>126317</v>
      </c>
      <c r="AD90" s="26">
        <v>57415</v>
      </c>
      <c r="AE90" s="26">
        <v>194983</v>
      </c>
    </row>
    <row r="91" spans="1:31">
      <c r="A91" t="s">
        <v>61</v>
      </c>
      <c r="B91" t="s">
        <v>219</v>
      </c>
      <c r="C91" t="s">
        <v>32</v>
      </c>
      <c r="D91" t="s">
        <v>799</v>
      </c>
      <c r="E91" t="s">
        <v>800</v>
      </c>
      <c r="F91" t="s">
        <v>801</v>
      </c>
      <c r="G91" t="s">
        <v>107</v>
      </c>
      <c r="H91" t="s">
        <v>108</v>
      </c>
      <c r="I91" t="s">
        <v>223</v>
      </c>
      <c r="J91" t="s">
        <v>294</v>
      </c>
      <c r="K91" t="s">
        <v>802</v>
      </c>
      <c r="L91" t="s">
        <v>112</v>
      </c>
      <c r="M91" t="s">
        <v>803</v>
      </c>
      <c r="N91" s="22">
        <v>45950.333333333343</v>
      </c>
      <c r="O91" s="22">
        <v>45952.520833333343</v>
      </c>
      <c r="P91" t="s">
        <v>114</v>
      </c>
      <c r="Q91" t="s">
        <v>463</v>
      </c>
      <c r="R91" t="s">
        <v>116</v>
      </c>
      <c r="S91" t="s">
        <v>804</v>
      </c>
      <c r="T91" t="s">
        <v>118</v>
      </c>
      <c r="U91" t="s">
        <v>805</v>
      </c>
      <c r="V91" t="s">
        <v>8</v>
      </c>
      <c r="W91" t="s">
        <v>121</v>
      </c>
      <c r="X91" t="s">
        <v>228</v>
      </c>
      <c r="Y91" s="23">
        <v>1</v>
      </c>
      <c r="Z91" s="23">
        <v>1</v>
      </c>
      <c r="AA91" s="23">
        <v>1</v>
      </c>
      <c r="AB91" s="23">
        <v>11251</v>
      </c>
      <c r="AC91" s="26">
        <v>126317</v>
      </c>
      <c r="AD91" s="26">
        <v>57415</v>
      </c>
      <c r="AE91" s="26">
        <v>194983</v>
      </c>
    </row>
    <row r="92" spans="1:31">
      <c r="A92" t="s">
        <v>61</v>
      </c>
      <c r="B92" t="s">
        <v>219</v>
      </c>
      <c r="C92" t="s">
        <v>32</v>
      </c>
      <c r="D92" t="s">
        <v>806</v>
      </c>
      <c r="E92" t="s">
        <v>807</v>
      </c>
      <c r="F92" t="s">
        <v>808</v>
      </c>
      <c r="G92" t="s">
        <v>107</v>
      </c>
      <c r="H92" t="s">
        <v>108</v>
      </c>
      <c r="I92" t="s">
        <v>223</v>
      </c>
      <c r="J92" t="s">
        <v>809</v>
      </c>
      <c r="K92" t="s">
        <v>810</v>
      </c>
      <c r="L92" t="s">
        <v>112</v>
      </c>
      <c r="M92" t="s">
        <v>811</v>
      </c>
      <c r="N92" s="22">
        <v>45950.333333333343</v>
      </c>
      <c r="O92" s="22">
        <v>45952.61041666667</v>
      </c>
      <c r="P92" t="s">
        <v>114</v>
      </c>
      <c r="Q92" t="s">
        <v>463</v>
      </c>
      <c r="R92" t="s">
        <v>116</v>
      </c>
      <c r="S92" t="s">
        <v>804</v>
      </c>
      <c r="T92" t="s">
        <v>118</v>
      </c>
      <c r="U92" t="s">
        <v>812</v>
      </c>
      <c r="V92" t="s">
        <v>8</v>
      </c>
      <c r="W92" t="s">
        <v>121</v>
      </c>
      <c r="X92" t="s">
        <v>228</v>
      </c>
      <c r="Y92" s="23">
        <v>1</v>
      </c>
      <c r="Z92" s="23">
        <v>1</v>
      </c>
      <c r="AA92" s="23">
        <v>1</v>
      </c>
      <c r="AB92" s="23">
        <v>11251</v>
      </c>
      <c r="AC92" s="26">
        <v>126317</v>
      </c>
      <c r="AD92" s="26">
        <v>57415</v>
      </c>
      <c r="AE92" s="26">
        <v>194983</v>
      </c>
    </row>
    <row r="93" spans="1:31">
      <c r="A93" t="s">
        <v>63</v>
      </c>
      <c r="B93" t="s">
        <v>155</v>
      </c>
      <c r="C93" t="s">
        <v>54</v>
      </c>
      <c r="D93" t="s">
        <v>337</v>
      </c>
      <c r="E93" t="s">
        <v>813</v>
      </c>
      <c r="F93" t="s">
        <v>814</v>
      </c>
      <c r="G93" t="s">
        <v>107</v>
      </c>
      <c r="H93" t="s">
        <v>108</v>
      </c>
      <c r="I93" t="s">
        <v>340</v>
      </c>
      <c r="J93" t="s">
        <v>63</v>
      </c>
      <c r="K93" t="s">
        <v>815</v>
      </c>
      <c r="L93" t="s">
        <v>112</v>
      </c>
      <c r="M93" t="s">
        <v>816</v>
      </c>
      <c r="N93" s="22">
        <v>45950.333333333343</v>
      </c>
      <c r="O93" s="22">
        <v>45952.274305555547</v>
      </c>
      <c r="P93" t="s">
        <v>114</v>
      </c>
      <c r="Q93" t="s">
        <v>463</v>
      </c>
      <c r="R93" t="s">
        <v>116</v>
      </c>
      <c r="S93" t="s">
        <v>817</v>
      </c>
      <c r="T93" t="s">
        <v>118</v>
      </c>
      <c r="U93" t="s">
        <v>818</v>
      </c>
      <c r="V93" t="s">
        <v>8</v>
      </c>
      <c r="W93" t="s">
        <v>121</v>
      </c>
      <c r="X93" t="s">
        <v>515</v>
      </c>
      <c r="Y93" s="23">
        <v>1</v>
      </c>
      <c r="Z93" s="23">
        <v>1</v>
      </c>
      <c r="AA93" s="23">
        <v>1</v>
      </c>
      <c r="AB93" s="23">
        <v>11251</v>
      </c>
      <c r="AC93" s="26">
        <v>126317</v>
      </c>
      <c r="AD93" s="26">
        <v>57415</v>
      </c>
      <c r="AE93" s="26">
        <v>194983</v>
      </c>
    </row>
    <row r="94" spans="1:31">
      <c r="A94" t="s">
        <v>67</v>
      </c>
      <c r="B94" t="s">
        <v>152</v>
      </c>
      <c r="C94" t="s">
        <v>36</v>
      </c>
      <c r="D94" t="s">
        <v>819</v>
      </c>
      <c r="E94" t="s">
        <v>820</v>
      </c>
      <c r="F94" t="s">
        <v>821</v>
      </c>
      <c r="G94" t="s">
        <v>107</v>
      </c>
      <c r="H94" t="s">
        <v>108</v>
      </c>
      <c r="I94" t="s">
        <v>822</v>
      </c>
      <c r="J94" t="s">
        <v>823</v>
      </c>
      <c r="K94" t="s">
        <v>824</v>
      </c>
      <c r="L94" t="s">
        <v>112</v>
      </c>
      <c r="M94" t="s">
        <v>825</v>
      </c>
      <c r="N94" s="22">
        <v>45950.333333333343</v>
      </c>
      <c r="O94" s="22">
        <v>45952.555555555547</v>
      </c>
      <c r="P94" t="s">
        <v>114</v>
      </c>
      <c r="Q94" t="s">
        <v>463</v>
      </c>
      <c r="R94" t="s">
        <v>142</v>
      </c>
      <c r="S94" t="s">
        <v>826</v>
      </c>
      <c r="T94" t="s">
        <v>118</v>
      </c>
      <c r="V94" t="s">
        <v>183</v>
      </c>
      <c r="W94" t="s">
        <v>121</v>
      </c>
      <c r="X94" t="s">
        <v>827</v>
      </c>
      <c r="Y94" s="23">
        <v>0</v>
      </c>
      <c r="Z94" s="23">
        <v>0</v>
      </c>
      <c r="AA94" s="23">
        <v>2</v>
      </c>
      <c r="AB94" s="23">
        <v>0</v>
      </c>
      <c r="AC94" s="26">
        <v>0</v>
      </c>
      <c r="AD94" s="26">
        <v>110808</v>
      </c>
      <c r="AE94" s="26">
        <v>221616</v>
      </c>
    </row>
    <row r="95" spans="1:31">
      <c r="A95" t="s">
        <v>64</v>
      </c>
      <c r="B95" t="s">
        <v>103</v>
      </c>
      <c r="C95" t="s">
        <v>48</v>
      </c>
      <c r="D95" t="s">
        <v>522</v>
      </c>
      <c r="E95" t="s">
        <v>828</v>
      </c>
      <c r="F95" t="s">
        <v>829</v>
      </c>
      <c r="G95" t="s">
        <v>107</v>
      </c>
      <c r="H95" t="s">
        <v>108</v>
      </c>
      <c r="I95" t="s">
        <v>177</v>
      </c>
      <c r="J95" t="s">
        <v>64</v>
      </c>
      <c r="K95" t="s">
        <v>830</v>
      </c>
      <c r="L95" t="s">
        <v>112</v>
      </c>
      <c r="M95" t="s">
        <v>831</v>
      </c>
      <c r="N95" s="22">
        <v>45950.333333333343</v>
      </c>
      <c r="O95" s="22">
        <v>45951.645138888889</v>
      </c>
      <c r="P95" t="s">
        <v>114</v>
      </c>
      <c r="Q95" t="s">
        <v>463</v>
      </c>
      <c r="R95" t="s">
        <v>116</v>
      </c>
      <c r="S95" t="s">
        <v>832</v>
      </c>
      <c r="T95" t="s">
        <v>118</v>
      </c>
      <c r="U95" t="s">
        <v>833</v>
      </c>
      <c r="V95" t="s">
        <v>8</v>
      </c>
      <c r="W95" t="s">
        <v>121</v>
      </c>
      <c r="X95" t="s">
        <v>184</v>
      </c>
      <c r="Y95" s="23">
        <v>1</v>
      </c>
      <c r="Z95" s="23">
        <v>1</v>
      </c>
      <c r="AA95" s="23">
        <v>1</v>
      </c>
      <c r="AB95" s="23">
        <v>11251</v>
      </c>
      <c r="AC95" s="26">
        <v>126317</v>
      </c>
      <c r="AD95" s="26">
        <v>57415</v>
      </c>
      <c r="AE95" s="26">
        <v>194983</v>
      </c>
    </row>
    <row r="96" spans="1:31">
      <c r="A96" t="s">
        <v>43</v>
      </c>
      <c r="B96" t="s">
        <v>185</v>
      </c>
      <c r="C96" t="s">
        <v>44</v>
      </c>
      <c r="D96" t="s">
        <v>363</v>
      </c>
      <c r="E96" t="s">
        <v>834</v>
      </c>
      <c r="F96" t="s">
        <v>835</v>
      </c>
      <c r="G96" t="s">
        <v>107</v>
      </c>
      <c r="H96" t="s">
        <v>108</v>
      </c>
      <c r="I96" t="s">
        <v>366</v>
      </c>
      <c r="J96" t="s">
        <v>43</v>
      </c>
      <c r="K96" t="s">
        <v>836</v>
      </c>
      <c r="L96" t="s">
        <v>112</v>
      </c>
      <c r="M96" t="s">
        <v>837</v>
      </c>
      <c r="N96" s="22">
        <v>45950.333333333343</v>
      </c>
      <c r="O96" s="22">
        <v>45951.550694444442</v>
      </c>
      <c r="P96" t="s">
        <v>114</v>
      </c>
      <c r="Q96" t="s">
        <v>463</v>
      </c>
      <c r="R96" t="s">
        <v>116</v>
      </c>
      <c r="S96" t="s">
        <v>838</v>
      </c>
      <c r="T96" t="s">
        <v>118</v>
      </c>
      <c r="U96" t="s">
        <v>839</v>
      </c>
      <c r="V96" t="s">
        <v>8</v>
      </c>
      <c r="W96" t="s">
        <v>121</v>
      </c>
      <c r="X96" t="s">
        <v>840</v>
      </c>
      <c r="Y96" s="23">
        <v>1</v>
      </c>
      <c r="Z96" s="23">
        <v>1</v>
      </c>
      <c r="AA96" s="23">
        <v>1</v>
      </c>
      <c r="AB96" s="23">
        <v>11251</v>
      </c>
      <c r="AC96" s="26">
        <v>126317</v>
      </c>
      <c r="AD96" s="26">
        <v>57415</v>
      </c>
      <c r="AE96" s="26">
        <v>194983</v>
      </c>
    </row>
    <row r="97" spans="1:31">
      <c r="A97" t="s">
        <v>43</v>
      </c>
      <c r="B97" t="s">
        <v>185</v>
      </c>
      <c r="C97" t="s">
        <v>44</v>
      </c>
      <c r="D97" t="s">
        <v>841</v>
      </c>
      <c r="E97" t="s">
        <v>842</v>
      </c>
      <c r="F97" t="s">
        <v>843</v>
      </c>
      <c r="G97" t="s">
        <v>107</v>
      </c>
      <c r="H97" t="s">
        <v>108</v>
      </c>
      <c r="I97" t="s">
        <v>366</v>
      </c>
      <c r="J97" t="s">
        <v>844</v>
      </c>
      <c r="K97" t="s">
        <v>845</v>
      </c>
      <c r="L97" t="s">
        <v>112</v>
      </c>
      <c r="M97" t="s">
        <v>846</v>
      </c>
      <c r="N97" s="22">
        <v>45950.333333333343</v>
      </c>
      <c r="O97" s="22">
        <v>45951.63958333333</v>
      </c>
      <c r="P97" t="s">
        <v>114</v>
      </c>
      <c r="Q97" t="s">
        <v>463</v>
      </c>
      <c r="R97" t="s">
        <v>116</v>
      </c>
      <c r="S97" t="s">
        <v>847</v>
      </c>
      <c r="T97" t="s">
        <v>118</v>
      </c>
      <c r="U97" t="s">
        <v>848</v>
      </c>
      <c r="V97" t="s">
        <v>251</v>
      </c>
      <c r="W97" t="s">
        <v>121</v>
      </c>
      <c r="X97" t="s">
        <v>634</v>
      </c>
      <c r="Y97" s="23">
        <v>1</v>
      </c>
      <c r="Z97" s="23">
        <v>1</v>
      </c>
      <c r="AA97" s="23">
        <v>1</v>
      </c>
      <c r="AB97" s="23">
        <v>11251</v>
      </c>
      <c r="AC97" s="26">
        <v>126317</v>
      </c>
      <c r="AD97" s="26">
        <v>110808</v>
      </c>
      <c r="AE97" s="26">
        <v>248376</v>
      </c>
    </row>
    <row r="98" spans="1:31">
      <c r="A98" t="s">
        <v>43</v>
      </c>
      <c r="B98" t="s">
        <v>185</v>
      </c>
      <c r="C98" t="s">
        <v>44</v>
      </c>
      <c r="D98" t="s">
        <v>849</v>
      </c>
      <c r="E98" t="s">
        <v>850</v>
      </c>
      <c r="F98" t="s">
        <v>851</v>
      </c>
      <c r="G98" t="s">
        <v>107</v>
      </c>
      <c r="H98" t="s">
        <v>108</v>
      </c>
      <c r="I98" t="s">
        <v>366</v>
      </c>
      <c r="J98" t="s">
        <v>852</v>
      </c>
      <c r="K98" t="s">
        <v>853</v>
      </c>
      <c r="L98" t="s">
        <v>112</v>
      </c>
      <c r="M98" t="s">
        <v>854</v>
      </c>
      <c r="N98" s="22">
        <v>45950.333333333343</v>
      </c>
      <c r="O98" s="22">
        <v>45952.275694444441</v>
      </c>
      <c r="P98" t="s">
        <v>114</v>
      </c>
      <c r="Q98" t="s">
        <v>463</v>
      </c>
      <c r="R98" t="s">
        <v>116</v>
      </c>
      <c r="S98" t="s">
        <v>855</v>
      </c>
      <c r="T98" t="s">
        <v>118</v>
      </c>
      <c r="U98" t="s">
        <v>856</v>
      </c>
      <c r="V98" t="s">
        <v>120</v>
      </c>
      <c r="W98" t="s">
        <v>121</v>
      </c>
      <c r="X98" t="s">
        <v>380</v>
      </c>
      <c r="Y98" s="23">
        <v>1</v>
      </c>
      <c r="Z98" s="23">
        <v>1</v>
      </c>
      <c r="AA98" s="23">
        <v>1</v>
      </c>
      <c r="AB98" s="23">
        <v>11251</v>
      </c>
      <c r="AC98" s="26">
        <v>126317</v>
      </c>
      <c r="AD98" s="26">
        <v>110808</v>
      </c>
      <c r="AE98" s="26">
        <v>248376</v>
      </c>
    </row>
    <row r="99" spans="1:31">
      <c r="A99" t="s">
        <v>47</v>
      </c>
      <c r="B99" t="s">
        <v>103</v>
      </c>
      <c r="C99" t="s">
        <v>48</v>
      </c>
      <c r="D99" t="s">
        <v>205</v>
      </c>
      <c r="E99" t="s">
        <v>857</v>
      </c>
      <c r="F99" t="s">
        <v>858</v>
      </c>
      <c r="G99" t="s">
        <v>107</v>
      </c>
      <c r="H99" t="s">
        <v>108</v>
      </c>
      <c r="I99" t="s">
        <v>208</v>
      </c>
      <c r="J99" t="s">
        <v>47</v>
      </c>
      <c r="K99" t="s">
        <v>859</v>
      </c>
      <c r="L99" t="s">
        <v>112</v>
      </c>
      <c r="M99" t="s">
        <v>860</v>
      </c>
      <c r="N99" s="22">
        <v>45950.333333333343</v>
      </c>
      <c r="O99" s="22">
        <v>45951.651388888888</v>
      </c>
      <c r="P99" t="s">
        <v>114</v>
      </c>
      <c r="Q99" t="s">
        <v>463</v>
      </c>
      <c r="R99" t="s">
        <v>116</v>
      </c>
      <c r="S99" t="s">
        <v>861</v>
      </c>
      <c r="T99" t="s">
        <v>118</v>
      </c>
      <c r="U99" t="s">
        <v>862</v>
      </c>
      <c r="V99" t="s">
        <v>8</v>
      </c>
      <c r="W99" t="s">
        <v>121</v>
      </c>
      <c r="X99" t="s">
        <v>549</v>
      </c>
      <c r="Y99" s="23">
        <v>1</v>
      </c>
      <c r="Z99" s="23">
        <v>1</v>
      </c>
      <c r="AA99" s="23">
        <v>1</v>
      </c>
      <c r="AB99" s="23">
        <v>11251</v>
      </c>
      <c r="AC99" s="26">
        <v>126317</v>
      </c>
      <c r="AD99" s="26">
        <v>57415</v>
      </c>
      <c r="AE99" s="26">
        <v>194983</v>
      </c>
    </row>
    <row r="100" spans="1:31">
      <c r="A100" t="s">
        <v>47</v>
      </c>
      <c r="B100" t="s">
        <v>103</v>
      </c>
      <c r="C100" t="s">
        <v>48</v>
      </c>
      <c r="D100" t="s">
        <v>863</v>
      </c>
      <c r="E100" t="s">
        <v>864</v>
      </c>
      <c r="F100" t="s">
        <v>865</v>
      </c>
      <c r="G100" t="s">
        <v>107</v>
      </c>
      <c r="H100" t="s">
        <v>108</v>
      </c>
      <c r="I100" t="s">
        <v>208</v>
      </c>
      <c r="J100" t="s">
        <v>866</v>
      </c>
      <c r="K100" t="s">
        <v>867</v>
      </c>
      <c r="L100" t="s">
        <v>112</v>
      </c>
      <c r="M100" t="s">
        <v>868</v>
      </c>
      <c r="N100" s="22">
        <v>45950.333333333343</v>
      </c>
      <c r="O100" s="22">
        <v>45951.655555555553</v>
      </c>
      <c r="P100" t="s">
        <v>114</v>
      </c>
      <c r="Q100" t="s">
        <v>463</v>
      </c>
      <c r="R100" t="s">
        <v>116</v>
      </c>
      <c r="S100" t="s">
        <v>869</v>
      </c>
      <c r="T100" t="s">
        <v>118</v>
      </c>
      <c r="U100" t="s">
        <v>870</v>
      </c>
      <c r="V100" t="s">
        <v>251</v>
      </c>
      <c r="W100" t="s">
        <v>121</v>
      </c>
      <c r="X100" t="s">
        <v>309</v>
      </c>
      <c r="Y100" s="23">
        <v>1</v>
      </c>
      <c r="Z100" s="23">
        <v>1</v>
      </c>
      <c r="AA100" s="23">
        <v>1</v>
      </c>
      <c r="AB100" s="23">
        <v>11251</v>
      </c>
      <c r="AC100" s="26">
        <v>126317</v>
      </c>
      <c r="AD100" s="26">
        <v>110808</v>
      </c>
      <c r="AE100" s="26">
        <v>248376</v>
      </c>
    </row>
    <row r="101" spans="1:31">
      <c r="A101" t="s">
        <v>72</v>
      </c>
      <c r="B101" t="s">
        <v>155</v>
      </c>
      <c r="C101" t="s">
        <v>54</v>
      </c>
      <c r="D101" t="s">
        <v>768</v>
      </c>
      <c r="E101" t="s">
        <v>871</v>
      </c>
      <c r="F101" t="s">
        <v>872</v>
      </c>
      <c r="G101" t="s">
        <v>107</v>
      </c>
      <c r="H101" t="s">
        <v>108</v>
      </c>
      <c r="I101" t="s">
        <v>771</v>
      </c>
      <c r="J101" t="s">
        <v>72</v>
      </c>
      <c r="K101" t="s">
        <v>873</v>
      </c>
      <c r="L101" t="s">
        <v>112</v>
      </c>
      <c r="M101" t="s">
        <v>874</v>
      </c>
      <c r="N101" s="22">
        <v>45950.333333333343</v>
      </c>
      <c r="O101" s="22">
        <v>45951.658333333333</v>
      </c>
      <c r="P101" t="s">
        <v>114</v>
      </c>
      <c r="Q101" t="s">
        <v>463</v>
      </c>
      <c r="R101" t="s">
        <v>116</v>
      </c>
      <c r="S101" t="s">
        <v>875</v>
      </c>
      <c r="T101" t="s">
        <v>118</v>
      </c>
      <c r="U101" t="s">
        <v>876</v>
      </c>
      <c r="V101" t="s">
        <v>8</v>
      </c>
      <c r="W101" t="s">
        <v>121</v>
      </c>
      <c r="X101" t="s">
        <v>776</v>
      </c>
      <c r="Y101" s="23">
        <v>1</v>
      </c>
      <c r="Z101" s="23">
        <v>1</v>
      </c>
      <c r="AA101" s="23">
        <v>1</v>
      </c>
      <c r="AB101" s="23">
        <v>11251</v>
      </c>
      <c r="AC101" s="26">
        <v>126317</v>
      </c>
      <c r="AD101" s="26">
        <v>57415</v>
      </c>
      <c r="AE101" s="26">
        <v>194983</v>
      </c>
    </row>
    <row r="102" spans="1:31">
      <c r="A102" t="s">
        <v>72</v>
      </c>
      <c r="B102" t="s">
        <v>155</v>
      </c>
      <c r="C102" t="s">
        <v>54</v>
      </c>
      <c r="D102" t="s">
        <v>877</v>
      </c>
      <c r="E102" t="s">
        <v>878</v>
      </c>
      <c r="F102" t="s">
        <v>879</v>
      </c>
      <c r="G102" t="s">
        <v>107</v>
      </c>
      <c r="H102" t="s">
        <v>108</v>
      </c>
      <c r="I102" t="s">
        <v>771</v>
      </c>
      <c r="J102" t="s">
        <v>880</v>
      </c>
      <c r="K102" t="s">
        <v>881</v>
      </c>
      <c r="L102" t="s">
        <v>112</v>
      </c>
      <c r="M102" t="s">
        <v>882</v>
      </c>
      <c r="N102" s="22">
        <v>45950.333333333343</v>
      </c>
      <c r="O102" s="22">
        <v>45952.527777777781</v>
      </c>
      <c r="P102" t="s">
        <v>114</v>
      </c>
      <c r="Q102" t="s">
        <v>463</v>
      </c>
      <c r="R102" t="s">
        <v>116</v>
      </c>
      <c r="S102" t="s">
        <v>883</v>
      </c>
      <c r="T102" t="s">
        <v>118</v>
      </c>
      <c r="U102" t="s">
        <v>884</v>
      </c>
      <c r="V102" t="s">
        <v>251</v>
      </c>
      <c r="W102" t="s">
        <v>121</v>
      </c>
      <c r="X102" t="s">
        <v>776</v>
      </c>
      <c r="Y102" s="23">
        <v>1</v>
      </c>
      <c r="Z102" s="23">
        <v>1</v>
      </c>
      <c r="AA102" s="23">
        <v>1</v>
      </c>
      <c r="AB102" s="23">
        <v>11251</v>
      </c>
      <c r="AC102" s="26">
        <v>126317</v>
      </c>
      <c r="AD102" s="26">
        <v>110808</v>
      </c>
      <c r="AE102" s="26">
        <v>248376</v>
      </c>
    </row>
    <row r="103" spans="1:31">
      <c r="A103" t="s">
        <v>39</v>
      </c>
      <c r="B103" t="s">
        <v>438</v>
      </c>
      <c r="C103" t="s">
        <v>40</v>
      </c>
      <c r="D103" t="s">
        <v>439</v>
      </c>
      <c r="E103" t="s">
        <v>885</v>
      </c>
      <c r="F103" t="s">
        <v>886</v>
      </c>
      <c r="G103" t="s">
        <v>107</v>
      </c>
      <c r="H103" t="s">
        <v>108</v>
      </c>
      <c r="I103" t="s">
        <v>438</v>
      </c>
      <c r="J103" t="s">
        <v>39</v>
      </c>
      <c r="K103" t="s">
        <v>887</v>
      </c>
      <c r="L103" t="s">
        <v>112</v>
      </c>
      <c r="M103" t="s">
        <v>888</v>
      </c>
      <c r="N103" s="22">
        <v>45950.333333333343</v>
      </c>
      <c r="O103" s="22">
        <v>45953.286805555559</v>
      </c>
      <c r="P103" t="s">
        <v>114</v>
      </c>
      <c r="Q103" t="s">
        <v>463</v>
      </c>
      <c r="R103" t="s">
        <v>259</v>
      </c>
      <c r="S103" t="s">
        <v>889</v>
      </c>
      <c r="T103" t="s">
        <v>118</v>
      </c>
      <c r="U103" t="s">
        <v>890</v>
      </c>
      <c r="V103" t="s">
        <v>8</v>
      </c>
      <c r="W103" t="s">
        <v>121</v>
      </c>
      <c r="X103" t="s">
        <v>891</v>
      </c>
      <c r="Y103" s="23">
        <v>1</v>
      </c>
      <c r="Z103" s="23">
        <v>1</v>
      </c>
      <c r="AA103" s="23">
        <v>3</v>
      </c>
      <c r="AB103" s="23">
        <v>11251</v>
      </c>
      <c r="AC103" s="26">
        <v>126317</v>
      </c>
      <c r="AD103" s="26">
        <v>57415</v>
      </c>
      <c r="AE103" s="26">
        <v>309813</v>
      </c>
    </row>
    <row r="104" spans="1:31">
      <c r="A104" t="s">
        <v>61</v>
      </c>
      <c r="B104" t="s">
        <v>219</v>
      </c>
      <c r="C104" t="s">
        <v>32</v>
      </c>
      <c r="D104" t="s">
        <v>220</v>
      </c>
      <c r="E104" t="s">
        <v>892</v>
      </c>
      <c r="F104" t="s">
        <v>893</v>
      </c>
      <c r="G104" t="s">
        <v>107</v>
      </c>
      <c r="H104" t="s">
        <v>108</v>
      </c>
      <c r="I104" t="s">
        <v>223</v>
      </c>
      <c r="J104" t="s">
        <v>61</v>
      </c>
      <c r="K104" t="s">
        <v>894</v>
      </c>
      <c r="L104" t="s">
        <v>112</v>
      </c>
      <c r="M104" t="s">
        <v>895</v>
      </c>
      <c r="N104" s="22">
        <v>45952.615277777782</v>
      </c>
      <c r="O104" s="22">
        <v>45954.537499999999</v>
      </c>
      <c r="P104" t="s">
        <v>114</v>
      </c>
      <c r="Q104" t="s">
        <v>463</v>
      </c>
      <c r="R104" t="s">
        <v>116</v>
      </c>
      <c r="S104" t="s">
        <v>896</v>
      </c>
      <c r="T104" t="s">
        <v>118</v>
      </c>
      <c r="U104" t="s">
        <v>897</v>
      </c>
      <c r="V104" t="s">
        <v>8</v>
      </c>
      <c r="W104" t="s">
        <v>121</v>
      </c>
      <c r="X104" t="s">
        <v>652</v>
      </c>
      <c r="Y104" s="23">
        <v>1</v>
      </c>
      <c r="Z104" s="23">
        <v>1</v>
      </c>
      <c r="AA104" s="23">
        <v>1</v>
      </c>
      <c r="AB104" s="23">
        <v>11251</v>
      </c>
      <c r="AC104" s="26">
        <v>126317</v>
      </c>
      <c r="AD104" s="26">
        <v>57415</v>
      </c>
      <c r="AE104" s="26">
        <v>194983</v>
      </c>
    </row>
    <row r="105" spans="1:31">
      <c r="A105" t="s">
        <v>61</v>
      </c>
      <c r="B105" t="s">
        <v>219</v>
      </c>
      <c r="C105" t="s">
        <v>32</v>
      </c>
      <c r="D105" t="s">
        <v>220</v>
      </c>
      <c r="E105" t="s">
        <v>898</v>
      </c>
      <c r="F105" t="s">
        <v>899</v>
      </c>
      <c r="G105" t="s">
        <v>107</v>
      </c>
      <c r="H105" t="s">
        <v>108</v>
      </c>
      <c r="I105" t="s">
        <v>223</v>
      </c>
      <c r="J105" t="s">
        <v>61</v>
      </c>
      <c r="K105" t="s">
        <v>900</v>
      </c>
      <c r="L105" t="s">
        <v>112</v>
      </c>
      <c r="M105" t="s">
        <v>901</v>
      </c>
      <c r="N105" s="22">
        <v>45952.615277777782</v>
      </c>
      <c r="O105" s="22">
        <v>45954.582638888889</v>
      </c>
      <c r="P105" t="s">
        <v>114</v>
      </c>
      <c r="Q105" t="s">
        <v>463</v>
      </c>
      <c r="R105" t="s">
        <v>116</v>
      </c>
      <c r="S105" t="s">
        <v>902</v>
      </c>
      <c r="T105" t="s">
        <v>118</v>
      </c>
      <c r="U105" t="s">
        <v>903</v>
      </c>
      <c r="V105" t="s">
        <v>8</v>
      </c>
      <c r="W105" t="s">
        <v>121</v>
      </c>
      <c r="X105" t="s">
        <v>597</v>
      </c>
      <c r="Y105" s="23">
        <v>1</v>
      </c>
      <c r="Z105" s="23">
        <v>1</v>
      </c>
      <c r="AA105" s="23">
        <v>1</v>
      </c>
      <c r="AB105" s="23">
        <v>11251</v>
      </c>
      <c r="AC105" s="26">
        <v>126317</v>
      </c>
      <c r="AD105" s="26">
        <v>57415</v>
      </c>
      <c r="AE105" s="26">
        <v>194983</v>
      </c>
    </row>
    <row r="106" spans="1:31">
      <c r="A106" t="s">
        <v>61</v>
      </c>
      <c r="B106" t="s">
        <v>219</v>
      </c>
      <c r="C106" t="s">
        <v>32</v>
      </c>
      <c r="D106" t="s">
        <v>220</v>
      </c>
      <c r="E106" t="s">
        <v>904</v>
      </c>
      <c r="F106" t="s">
        <v>905</v>
      </c>
      <c r="G106" t="s">
        <v>107</v>
      </c>
      <c r="H106" t="s">
        <v>108</v>
      </c>
      <c r="I106" t="s">
        <v>223</v>
      </c>
      <c r="J106" t="s">
        <v>61</v>
      </c>
      <c r="K106" t="s">
        <v>906</v>
      </c>
      <c r="L106" t="s">
        <v>112</v>
      </c>
      <c r="M106" t="s">
        <v>907</v>
      </c>
      <c r="N106" s="22">
        <v>45952.615972222222</v>
      </c>
      <c r="O106" s="22">
        <v>45954.7</v>
      </c>
      <c r="P106" t="s">
        <v>114</v>
      </c>
      <c r="Q106" t="s">
        <v>463</v>
      </c>
      <c r="R106" t="s">
        <v>116</v>
      </c>
      <c r="S106" t="s">
        <v>908</v>
      </c>
      <c r="T106" t="s">
        <v>118</v>
      </c>
      <c r="U106" t="s">
        <v>909</v>
      </c>
      <c r="V106" t="s">
        <v>8</v>
      </c>
      <c r="W106" t="s">
        <v>121</v>
      </c>
      <c r="X106" t="s">
        <v>262</v>
      </c>
      <c r="Y106" s="23">
        <v>1</v>
      </c>
      <c r="Z106" s="23">
        <v>1</v>
      </c>
      <c r="AA106" s="23">
        <v>1</v>
      </c>
      <c r="AB106" s="23">
        <v>11251</v>
      </c>
      <c r="AC106" s="26">
        <v>126317</v>
      </c>
      <c r="AD106" s="26">
        <v>57415</v>
      </c>
      <c r="AE106" s="26">
        <v>194983</v>
      </c>
    </row>
    <row r="107" spans="1:31">
      <c r="A107" t="s">
        <v>61</v>
      </c>
      <c r="B107" t="s">
        <v>219</v>
      </c>
      <c r="C107" t="s">
        <v>32</v>
      </c>
      <c r="D107" t="s">
        <v>220</v>
      </c>
      <c r="E107" t="s">
        <v>910</v>
      </c>
      <c r="F107" t="s">
        <v>911</v>
      </c>
      <c r="G107" t="s">
        <v>107</v>
      </c>
      <c r="H107" t="s">
        <v>108</v>
      </c>
      <c r="I107" t="s">
        <v>223</v>
      </c>
      <c r="J107" t="s">
        <v>61</v>
      </c>
      <c r="K107" t="s">
        <v>912</v>
      </c>
      <c r="L107" t="s">
        <v>112</v>
      </c>
      <c r="M107" t="s">
        <v>913</v>
      </c>
      <c r="N107" s="22">
        <v>45952.615277777782</v>
      </c>
      <c r="O107" s="22">
        <v>45955.42083333333</v>
      </c>
      <c r="P107" t="s">
        <v>114</v>
      </c>
      <c r="Q107" t="s">
        <v>463</v>
      </c>
      <c r="R107" t="s">
        <v>116</v>
      </c>
      <c r="S107" t="s">
        <v>914</v>
      </c>
      <c r="T107" t="s">
        <v>118</v>
      </c>
      <c r="U107" t="s">
        <v>915</v>
      </c>
      <c r="V107" t="s">
        <v>8</v>
      </c>
      <c r="W107" t="s">
        <v>121</v>
      </c>
      <c r="X107" t="s">
        <v>597</v>
      </c>
      <c r="Y107" s="23">
        <v>1</v>
      </c>
      <c r="Z107" s="23">
        <v>1</v>
      </c>
      <c r="AA107" s="23">
        <v>1</v>
      </c>
      <c r="AB107" s="23">
        <v>11251</v>
      </c>
      <c r="AC107" s="26">
        <v>126317</v>
      </c>
      <c r="AD107" s="26">
        <v>57415</v>
      </c>
      <c r="AE107" s="26">
        <v>194983</v>
      </c>
    </row>
    <row r="108" spans="1:31">
      <c r="A108" t="s">
        <v>61</v>
      </c>
      <c r="B108" t="s">
        <v>219</v>
      </c>
      <c r="C108" t="s">
        <v>32</v>
      </c>
      <c r="D108" t="s">
        <v>220</v>
      </c>
      <c r="E108" t="s">
        <v>916</v>
      </c>
      <c r="F108" t="s">
        <v>917</v>
      </c>
      <c r="G108" t="s">
        <v>107</v>
      </c>
      <c r="H108" t="s">
        <v>108</v>
      </c>
      <c r="I108" t="s">
        <v>223</v>
      </c>
      <c r="J108" t="s">
        <v>61</v>
      </c>
      <c r="K108" t="s">
        <v>918</v>
      </c>
      <c r="L108" t="s">
        <v>112</v>
      </c>
      <c r="M108" t="s">
        <v>919</v>
      </c>
      <c r="N108" s="22">
        <v>45952.615277777782</v>
      </c>
      <c r="O108" s="22">
        <v>45954.70208333333</v>
      </c>
      <c r="P108" t="s">
        <v>114</v>
      </c>
      <c r="Q108" t="s">
        <v>463</v>
      </c>
      <c r="R108" t="s">
        <v>116</v>
      </c>
      <c r="S108" t="s">
        <v>920</v>
      </c>
      <c r="T108" t="s">
        <v>118</v>
      </c>
      <c r="U108" t="s">
        <v>921</v>
      </c>
      <c r="V108" t="s">
        <v>8</v>
      </c>
      <c r="W108" t="s">
        <v>121</v>
      </c>
      <c r="X108" t="s">
        <v>652</v>
      </c>
      <c r="Y108" s="23">
        <v>1</v>
      </c>
      <c r="Z108" s="23">
        <v>1</v>
      </c>
      <c r="AA108" s="23">
        <v>1</v>
      </c>
      <c r="AB108" s="23">
        <v>11251</v>
      </c>
      <c r="AC108" s="26">
        <v>126317</v>
      </c>
      <c r="AD108" s="26">
        <v>57415</v>
      </c>
      <c r="AE108" s="26">
        <v>194983</v>
      </c>
    </row>
    <row r="109" spans="1:31">
      <c r="A109" t="s">
        <v>61</v>
      </c>
      <c r="B109" t="s">
        <v>219</v>
      </c>
      <c r="C109" t="s">
        <v>32</v>
      </c>
      <c r="D109" t="s">
        <v>922</v>
      </c>
      <c r="E109" t="s">
        <v>923</v>
      </c>
      <c r="F109" t="s">
        <v>924</v>
      </c>
      <c r="G109" t="s">
        <v>107</v>
      </c>
      <c r="H109" t="s">
        <v>108</v>
      </c>
      <c r="I109" t="s">
        <v>223</v>
      </c>
      <c r="J109" t="s">
        <v>925</v>
      </c>
      <c r="K109" t="s">
        <v>926</v>
      </c>
      <c r="L109" t="s">
        <v>112</v>
      </c>
      <c r="M109" t="s">
        <v>927</v>
      </c>
      <c r="N109" s="22">
        <v>45952.615277777782</v>
      </c>
      <c r="O109" s="22">
        <v>45953.682638888888</v>
      </c>
      <c r="P109" t="s">
        <v>114</v>
      </c>
      <c r="Q109" t="s">
        <v>463</v>
      </c>
      <c r="R109" t="s">
        <v>116</v>
      </c>
      <c r="S109" t="s">
        <v>928</v>
      </c>
      <c r="T109" t="s">
        <v>118</v>
      </c>
      <c r="U109" t="s">
        <v>929</v>
      </c>
      <c r="V109" t="s">
        <v>251</v>
      </c>
      <c r="W109" t="s">
        <v>121</v>
      </c>
      <c r="X109" t="s">
        <v>242</v>
      </c>
      <c r="Y109" s="23">
        <v>1</v>
      </c>
      <c r="Z109" s="23">
        <v>1</v>
      </c>
      <c r="AA109" s="23">
        <v>1</v>
      </c>
      <c r="AB109" s="23">
        <v>11251</v>
      </c>
      <c r="AC109" s="26">
        <v>126317</v>
      </c>
      <c r="AD109" s="26">
        <v>110808</v>
      </c>
      <c r="AE109" s="26">
        <v>248376</v>
      </c>
    </row>
    <row r="110" spans="1:31">
      <c r="A110" t="s">
        <v>31</v>
      </c>
      <c r="B110" t="s">
        <v>219</v>
      </c>
      <c r="C110" t="s">
        <v>32</v>
      </c>
      <c r="D110" t="s">
        <v>930</v>
      </c>
      <c r="E110" t="s">
        <v>931</v>
      </c>
      <c r="F110" t="s">
        <v>932</v>
      </c>
      <c r="G110" t="s">
        <v>107</v>
      </c>
      <c r="H110" t="s">
        <v>108</v>
      </c>
      <c r="I110" t="s">
        <v>223</v>
      </c>
      <c r="J110" t="s">
        <v>933</v>
      </c>
      <c r="K110" t="s">
        <v>934</v>
      </c>
      <c r="L110" t="s">
        <v>112</v>
      </c>
      <c r="M110" t="s">
        <v>935</v>
      </c>
      <c r="N110" s="22">
        <v>45952.615972222222</v>
      </c>
      <c r="O110" s="22">
        <v>45955.429166666669</v>
      </c>
      <c r="P110" t="s">
        <v>114</v>
      </c>
      <c r="Q110" t="s">
        <v>463</v>
      </c>
      <c r="R110" t="s">
        <v>116</v>
      </c>
      <c r="S110" t="s">
        <v>936</v>
      </c>
      <c r="T110" t="s">
        <v>118</v>
      </c>
      <c r="U110" t="s">
        <v>937</v>
      </c>
      <c r="V110" t="s">
        <v>251</v>
      </c>
      <c r="W110" t="s">
        <v>121</v>
      </c>
      <c r="X110" t="s">
        <v>437</v>
      </c>
      <c r="Y110" s="23">
        <v>1</v>
      </c>
      <c r="Z110" s="23">
        <v>1</v>
      </c>
      <c r="AA110" s="23">
        <v>1</v>
      </c>
      <c r="AB110" s="23">
        <v>11251</v>
      </c>
      <c r="AC110" s="26">
        <v>126317</v>
      </c>
      <c r="AD110" s="26">
        <v>110808</v>
      </c>
      <c r="AE110" s="26">
        <v>248376</v>
      </c>
    </row>
    <row r="111" spans="1:31">
      <c r="A111" t="s">
        <v>39</v>
      </c>
      <c r="B111" t="s">
        <v>438</v>
      </c>
      <c r="C111" t="s">
        <v>40</v>
      </c>
      <c r="D111" t="s">
        <v>938</v>
      </c>
      <c r="E111" t="s">
        <v>939</v>
      </c>
      <c r="F111" t="s">
        <v>940</v>
      </c>
      <c r="G111" t="s">
        <v>107</v>
      </c>
      <c r="H111" t="s">
        <v>108</v>
      </c>
      <c r="I111" t="s">
        <v>438</v>
      </c>
      <c r="J111" t="s">
        <v>941</v>
      </c>
      <c r="K111" t="s">
        <v>942</v>
      </c>
      <c r="L111" t="s">
        <v>112</v>
      </c>
      <c r="M111" t="s">
        <v>943</v>
      </c>
      <c r="N111" s="22">
        <v>45952.90625</v>
      </c>
      <c r="O111" s="22">
        <v>45959.667361111111</v>
      </c>
      <c r="P111" t="s">
        <v>114</v>
      </c>
      <c r="Q111" t="s">
        <v>463</v>
      </c>
      <c r="R111" t="s">
        <v>116</v>
      </c>
      <c r="S111" t="s">
        <v>944</v>
      </c>
      <c r="T111" t="s">
        <v>118</v>
      </c>
      <c r="U111" t="s">
        <v>945</v>
      </c>
      <c r="V111" t="s">
        <v>251</v>
      </c>
      <c r="W111" t="s">
        <v>121</v>
      </c>
      <c r="X111" t="s">
        <v>451</v>
      </c>
      <c r="Y111" s="23">
        <v>1</v>
      </c>
      <c r="Z111" s="23">
        <v>1</v>
      </c>
      <c r="AA111" s="23">
        <v>1</v>
      </c>
      <c r="AB111" s="23">
        <v>11251</v>
      </c>
      <c r="AC111" s="26">
        <v>126317</v>
      </c>
      <c r="AD111" s="26">
        <v>110808</v>
      </c>
      <c r="AE111" s="26">
        <v>248376</v>
      </c>
    </row>
    <row r="112" spans="1:31">
      <c r="A112" t="s">
        <v>57</v>
      </c>
      <c r="B112" t="s">
        <v>155</v>
      </c>
      <c r="C112" t="s">
        <v>54</v>
      </c>
      <c r="D112" t="s">
        <v>946</v>
      </c>
      <c r="E112" t="s">
        <v>947</v>
      </c>
      <c r="F112" t="s">
        <v>948</v>
      </c>
      <c r="G112" t="s">
        <v>107</v>
      </c>
      <c r="H112" t="s">
        <v>108</v>
      </c>
      <c r="I112" t="s">
        <v>949</v>
      </c>
      <c r="J112" t="s">
        <v>57</v>
      </c>
      <c r="K112" t="s">
        <v>950</v>
      </c>
      <c r="L112" t="s">
        <v>112</v>
      </c>
      <c r="M112" t="s">
        <v>951</v>
      </c>
      <c r="N112" s="22">
        <v>45952.806944444441</v>
      </c>
      <c r="O112" s="22">
        <v>45954.505555555559</v>
      </c>
      <c r="P112" t="s">
        <v>114</v>
      </c>
      <c r="Q112" t="s">
        <v>463</v>
      </c>
      <c r="R112" t="s">
        <v>116</v>
      </c>
      <c r="S112" t="s">
        <v>952</v>
      </c>
      <c r="T112" t="s">
        <v>118</v>
      </c>
      <c r="U112" t="s">
        <v>953</v>
      </c>
      <c r="V112" t="s">
        <v>8</v>
      </c>
      <c r="W112" t="s">
        <v>121</v>
      </c>
      <c r="X112" t="s">
        <v>954</v>
      </c>
      <c r="Y112" s="23">
        <v>1</v>
      </c>
      <c r="Z112" s="23">
        <v>1</v>
      </c>
      <c r="AA112" s="23">
        <v>1</v>
      </c>
      <c r="AB112" s="23">
        <v>11251</v>
      </c>
      <c r="AC112" s="26">
        <v>126317</v>
      </c>
      <c r="AD112" s="26">
        <v>57415</v>
      </c>
      <c r="AE112" s="26">
        <v>194983</v>
      </c>
    </row>
    <row r="113" spans="1:31">
      <c r="A113" t="s">
        <v>47</v>
      </c>
      <c r="B113" t="s">
        <v>103</v>
      </c>
      <c r="C113" t="s">
        <v>48</v>
      </c>
      <c r="D113" t="s">
        <v>205</v>
      </c>
      <c r="E113" t="s">
        <v>955</v>
      </c>
      <c r="F113" t="s">
        <v>956</v>
      </c>
      <c r="G113" t="s">
        <v>107</v>
      </c>
      <c r="H113" t="s">
        <v>108</v>
      </c>
      <c r="I113" t="s">
        <v>208</v>
      </c>
      <c r="J113" t="s">
        <v>47</v>
      </c>
      <c r="K113" t="s">
        <v>957</v>
      </c>
      <c r="L113" t="s">
        <v>112</v>
      </c>
      <c r="M113" t="s">
        <v>958</v>
      </c>
      <c r="N113" s="22">
        <v>45952.714583333327</v>
      </c>
      <c r="O113" s="22">
        <v>45954.646527777782</v>
      </c>
      <c r="P113" t="s">
        <v>114</v>
      </c>
      <c r="Q113" t="s">
        <v>463</v>
      </c>
      <c r="R113" t="s">
        <v>142</v>
      </c>
      <c r="S113" t="s">
        <v>959</v>
      </c>
      <c r="T113" t="s">
        <v>118</v>
      </c>
      <c r="V113" t="s">
        <v>8</v>
      </c>
      <c r="W113" t="s">
        <v>121</v>
      </c>
      <c r="X113" t="s">
        <v>387</v>
      </c>
      <c r="Y113" s="23">
        <v>0</v>
      </c>
      <c r="Z113" s="23">
        <v>0</v>
      </c>
      <c r="AA113" s="23">
        <v>2</v>
      </c>
      <c r="AB113" s="23">
        <v>0</v>
      </c>
      <c r="AC113" s="26">
        <v>0</v>
      </c>
      <c r="AD113" s="26">
        <v>57415</v>
      </c>
      <c r="AE113" s="26">
        <v>114830</v>
      </c>
    </row>
    <row r="114" spans="1:31">
      <c r="A114" t="s">
        <v>47</v>
      </c>
      <c r="B114" t="s">
        <v>103</v>
      </c>
      <c r="C114" t="s">
        <v>48</v>
      </c>
      <c r="D114" t="s">
        <v>205</v>
      </c>
      <c r="E114" t="s">
        <v>960</v>
      </c>
      <c r="F114" t="s">
        <v>961</v>
      </c>
      <c r="G114" t="s">
        <v>107</v>
      </c>
      <c r="H114" t="s">
        <v>108</v>
      </c>
      <c r="I114" t="s">
        <v>208</v>
      </c>
      <c r="J114" t="s">
        <v>47</v>
      </c>
      <c r="K114" t="s">
        <v>962</v>
      </c>
      <c r="L114" t="s">
        <v>112</v>
      </c>
      <c r="M114" t="s">
        <v>963</v>
      </c>
      <c r="N114" s="22">
        <v>45952.73541666667</v>
      </c>
      <c r="O114" s="22">
        <v>45954.539583333331</v>
      </c>
      <c r="P114" t="s">
        <v>114</v>
      </c>
      <c r="Q114" t="s">
        <v>463</v>
      </c>
      <c r="R114" t="s">
        <v>116</v>
      </c>
      <c r="S114" t="s">
        <v>964</v>
      </c>
      <c r="T114" t="s">
        <v>118</v>
      </c>
      <c r="U114" t="s">
        <v>965</v>
      </c>
      <c r="V114" t="s">
        <v>8</v>
      </c>
      <c r="W114" t="s">
        <v>121</v>
      </c>
      <c r="X114" t="s">
        <v>212</v>
      </c>
      <c r="Y114" s="23">
        <v>1</v>
      </c>
      <c r="Z114" s="23">
        <v>1</v>
      </c>
      <c r="AA114" s="23">
        <v>1</v>
      </c>
      <c r="AB114" s="23">
        <v>11251</v>
      </c>
      <c r="AC114" s="26">
        <v>126317</v>
      </c>
      <c r="AD114" s="26">
        <v>57415</v>
      </c>
      <c r="AE114" s="26">
        <v>194983</v>
      </c>
    </row>
    <row r="115" spans="1:31">
      <c r="A115" t="s">
        <v>47</v>
      </c>
      <c r="B115" t="s">
        <v>103</v>
      </c>
      <c r="C115" t="s">
        <v>48</v>
      </c>
      <c r="D115" t="s">
        <v>205</v>
      </c>
      <c r="E115" t="s">
        <v>966</v>
      </c>
      <c r="F115" t="s">
        <v>967</v>
      </c>
      <c r="G115" t="s">
        <v>107</v>
      </c>
      <c r="H115" t="s">
        <v>108</v>
      </c>
      <c r="I115" t="s">
        <v>208</v>
      </c>
      <c r="J115" t="s">
        <v>47</v>
      </c>
      <c r="K115" t="s">
        <v>968</v>
      </c>
      <c r="L115" t="s">
        <v>112</v>
      </c>
      <c r="M115" t="s">
        <v>969</v>
      </c>
      <c r="N115" s="22">
        <v>45952.715277777781</v>
      </c>
      <c r="O115" s="22">
        <v>45954.568749999999</v>
      </c>
      <c r="P115" t="s">
        <v>114</v>
      </c>
      <c r="Q115" t="s">
        <v>463</v>
      </c>
      <c r="R115" t="s">
        <v>116</v>
      </c>
      <c r="S115" t="s">
        <v>970</v>
      </c>
      <c r="T115" t="s">
        <v>118</v>
      </c>
      <c r="U115" t="s">
        <v>971</v>
      </c>
      <c r="V115" t="s">
        <v>8</v>
      </c>
      <c r="W115" t="s">
        <v>121</v>
      </c>
      <c r="X115" t="s">
        <v>387</v>
      </c>
      <c r="Y115" s="23">
        <v>1</v>
      </c>
      <c r="Z115" s="23">
        <v>1</v>
      </c>
      <c r="AA115" s="23">
        <v>1</v>
      </c>
      <c r="AB115" s="23">
        <v>11251</v>
      </c>
      <c r="AC115" s="26">
        <v>126317</v>
      </c>
      <c r="AD115" s="26">
        <v>57415</v>
      </c>
      <c r="AE115" s="26">
        <v>194983</v>
      </c>
    </row>
    <row r="116" spans="1:31">
      <c r="A116" t="s">
        <v>64</v>
      </c>
      <c r="B116" t="s">
        <v>103</v>
      </c>
      <c r="C116" t="s">
        <v>48</v>
      </c>
      <c r="D116" t="s">
        <v>123</v>
      </c>
      <c r="E116" t="s">
        <v>972</v>
      </c>
      <c r="F116" t="s">
        <v>973</v>
      </c>
      <c r="G116" t="s">
        <v>107</v>
      </c>
      <c r="H116" t="s">
        <v>108</v>
      </c>
      <c r="I116" t="s">
        <v>109</v>
      </c>
      <c r="J116" t="s">
        <v>126</v>
      </c>
      <c r="K116" t="s">
        <v>974</v>
      </c>
      <c r="L116" t="s">
        <v>112</v>
      </c>
      <c r="M116" t="s">
        <v>975</v>
      </c>
      <c r="N116" s="22">
        <v>45952.817361111112</v>
      </c>
      <c r="O116" s="22">
        <v>45958.603472222218</v>
      </c>
      <c r="P116" t="s">
        <v>114</v>
      </c>
      <c r="Q116" t="s">
        <v>463</v>
      </c>
      <c r="R116" t="s">
        <v>116</v>
      </c>
      <c r="S116" t="s">
        <v>976</v>
      </c>
      <c r="T116" t="s">
        <v>118</v>
      </c>
      <c r="U116" t="s">
        <v>977</v>
      </c>
      <c r="V116" t="s">
        <v>120</v>
      </c>
      <c r="W116" t="s">
        <v>121</v>
      </c>
      <c r="X116" t="s">
        <v>122</v>
      </c>
      <c r="Y116" s="23">
        <v>1</v>
      </c>
      <c r="Z116" s="23">
        <v>1</v>
      </c>
      <c r="AA116" s="23">
        <v>1</v>
      </c>
      <c r="AB116" s="23">
        <v>11251</v>
      </c>
      <c r="AC116" s="26">
        <v>126317</v>
      </c>
      <c r="AD116" s="26">
        <v>110808</v>
      </c>
      <c r="AE116" s="26">
        <v>248376</v>
      </c>
    </row>
    <row r="117" spans="1:31">
      <c r="A117" t="s">
        <v>61</v>
      </c>
      <c r="B117" t="s">
        <v>219</v>
      </c>
      <c r="C117" t="s">
        <v>32</v>
      </c>
      <c r="D117" t="s">
        <v>978</v>
      </c>
      <c r="E117" t="s">
        <v>979</v>
      </c>
      <c r="F117" t="s">
        <v>980</v>
      </c>
      <c r="G117" t="s">
        <v>107</v>
      </c>
      <c r="H117" t="s">
        <v>108</v>
      </c>
      <c r="I117" t="s">
        <v>223</v>
      </c>
      <c r="J117" t="s">
        <v>981</v>
      </c>
      <c r="K117" t="s">
        <v>982</v>
      </c>
      <c r="L117" t="s">
        <v>112</v>
      </c>
      <c r="M117" t="s">
        <v>983</v>
      </c>
      <c r="N117" s="22">
        <v>45952.615277777782</v>
      </c>
      <c r="O117" s="22">
        <v>45953.693055555559</v>
      </c>
      <c r="P117" t="s">
        <v>114</v>
      </c>
      <c r="Q117" t="s">
        <v>463</v>
      </c>
      <c r="R117" t="s">
        <v>116</v>
      </c>
      <c r="S117" t="s">
        <v>984</v>
      </c>
      <c r="T117" t="s">
        <v>118</v>
      </c>
      <c r="U117" t="s">
        <v>985</v>
      </c>
      <c r="V117" t="s">
        <v>183</v>
      </c>
      <c r="W117" t="s">
        <v>121</v>
      </c>
      <c r="X117" t="s">
        <v>252</v>
      </c>
      <c r="Y117" s="23">
        <v>1</v>
      </c>
      <c r="Z117" s="23">
        <v>1</v>
      </c>
      <c r="AA117" s="23">
        <v>1</v>
      </c>
      <c r="AB117" s="23">
        <v>11251</v>
      </c>
      <c r="AC117" s="26">
        <v>126317</v>
      </c>
      <c r="AD117" s="26">
        <v>110808</v>
      </c>
      <c r="AE117" s="26">
        <v>248376</v>
      </c>
    </row>
    <row r="118" spans="1:31">
      <c r="A118" t="s">
        <v>39</v>
      </c>
      <c r="B118" t="s">
        <v>438</v>
      </c>
      <c r="C118" t="s">
        <v>40</v>
      </c>
      <c r="D118" t="s">
        <v>439</v>
      </c>
      <c r="E118" t="s">
        <v>986</v>
      </c>
      <c r="F118" t="s">
        <v>987</v>
      </c>
      <c r="G118" t="s">
        <v>107</v>
      </c>
      <c r="H118" t="s">
        <v>108</v>
      </c>
      <c r="I118" t="s">
        <v>438</v>
      </c>
      <c r="J118" t="s">
        <v>39</v>
      </c>
      <c r="K118" t="s">
        <v>988</v>
      </c>
      <c r="L118" t="s">
        <v>112</v>
      </c>
      <c r="M118" t="s">
        <v>989</v>
      </c>
      <c r="N118" s="22">
        <v>45952.90625</v>
      </c>
      <c r="O118" s="22">
        <v>45959.681944444441</v>
      </c>
      <c r="P118" t="s">
        <v>114</v>
      </c>
      <c r="Q118" t="s">
        <v>463</v>
      </c>
      <c r="R118" t="s">
        <v>116</v>
      </c>
      <c r="S118" t="s">
        <v>990</v>
      </c>
      <c r="T118" t="s">
        <v>118</v>
      </c>
      <c r="U118" t="s">
        <v>991</v>
      </c>
      <c r="V118" t="s">
        <v>8</v>
      </c>
      <c r="W118" t="s">
        <v>121</v>
      </c>
      <c r="X118" t="s">
        <v>563</v>
      </c>
      <c r="Y118" s="23">
        <v>1</v>
      </c>
      <c r="Z118" s="23">
        <v>1</v>
      </c>
      <c r="AA118" s="23">
        <v>1</v>
      </c>
      <c r="AB118" s="23">
        <v>11251</v>
      </c>
      <c r="AC118" s="26">
        <v>126317</v>
      </c>
      <c r="AD118" s="26">
        <v>57415</v>
      </c>
      <c r="AE118" s="26">
        <v>194983</v>
      </c>
    </row>
    <row r="119" spans="1:31">
      <c r="A119" t="s">
        <v>39</v>
      </c>
      <c r="B119" t="s">
        <v>438</v>
      </c>
      <c r="C119" t="s">
        <v>40</v>
      </c>
      <c r="D119" t="s">
        <v>439</v>
      </c>
      <c r="E119" t="s">
        <v>992</v>
      </c>
      <c r="F119" t="s">
        <v>993</v>
      </c>
      <c r="G119" t="s">
        <v>107</v>
      </c>
      <c r="H119" t="s">
        <v>108</v>
      </c>
      <c r="I119" t="s">
        <v>438</v>
      </c>
      <c r="J119" t="s">
        <v>39</v>
      </c>
      <c r="K119" t="s">
        <v>994</v>
      </c>
      <c r="L119" t="s">
        <v>112</v>
      </c>
      <c r="M119" t="s">
        <v>995</v>
      </c>
      <c r="N119" s="22">
        <v>45952.90625</v>
      </c>
      <c r="O119" s="22">
        <v>45959.554166666669</v>
      </c>
      <c r="P119" t="s">
        <v>114</v>
      </c>
      <c r="Q119" t="s">
        <v>463</v>
      </c>
      <c r="R119" t="s">
        <v>116</v>
      </c>
      <c r="S119" t="s">
        <v>996</v>
      </c>
      <c r="T119" t="s">
        <v>118</v>
      </c>
      <c r="U119" t="s">
        <v>997</v>
      </c>
      <c r="V119" t="s">
        <v>8</v>
      </c>
      <c r="W119" t="s">
        <v>121</v>
      </c>
      <c r="X119" t="s">
        <v>697</v>
      </c>
      <c r="Y119" s="23">
        <v>1</v>
      </c>
      <c r="Z119" s="23">
        <v>1</v>
      </c>
      <c r="AA119" s="23">
        <v>1</v>
      </c>
      <c r="AB119" s="23">
        <v>11251</v>
      </c>
      <c r="AC119" s="26">
        <v>126317</v>
      </c>
      <c r="AD119" s="26">
        <v>57415</v>
      </c>
      <c r="AE119" s="26">
        <v>194983</v>
      </c>
    </row>
    <row r="120" spans="1:31">
      <c r="A120" t="s">
        <v>39</v>
      </c>
      <c r="B120" t="s">
        <v>438</v>
      </c>
      <c r="C120" t="s">
        <v>40</v>
      </c>
      <c r="D120" t="s">
        <v>439</v>
      </c>
      <c r="E120" t="s">
        <v>998</v>
      </c>
      <c r="F120" t="s">
        <v>999</v>
      </c>
      <c r="G120" t="s">
        <v>107</v>
      </c>
      <c r="H120" t="s">
        <v>108</v>
      </c>
      <c r="I120" t="s">
        <v>438</v>
      </c>
      <c r="J120" t="s">
        <v>39</v>
      </c>
      <c r="K120" t="s">
        <v>1000</v>
      </c>
      <c r="L120" t="s">
        <v>112</v>
      </c>
      <c r="M120" t="s">
        <v>1001</v>
      </c>
      <c r="N120" s="22">
        <v>45952.90625</v>
      </c>
      <c r="O120" s="22">
        <v>45955.44027777778</v>
      </c>
      <c r="P120" t="s">
        <v>114</v>
      </c>
      <c r="Q120" t="s">
        <v>463</v>
      </c>
      <c r="R120" t="s">
        <v>116</v>
      </c>
      <c r="S120" t="s">
        <v>1002</v>
      </c>
      <c r="T120" t="s">
        <v>118</v>
      </c>
      <c r="U120" t="s">
        <v>1003</v>
      </c>
      <c r="V120" t="s">
        <v>8</v>
      </c>
      <c r="W120" t="s">
        <v>121</v>
      </c>
      <c r="X120" t="s">
        <v>783</v>
      </c>
      <c r="Y120" s="23">
        <v>1</v>
      </c>
      <c r="Z120" s="23">
        <v>1</v>
      </c>
      <c r="AA120" s="23">
        <v>1</v>
      </c>
      <c r="AB120" s="23">
        <v>11251</v>
      </c>
      <c r="AC120" s="26">
        <v>126317</v>
      </c>
      <c r="AD120" s="26">
        <v>57415</v>
      </c>
      <c r="AE120" s="26">
        <v>194983</v>
      </c>
    </row>
    <row r="121" spans="1:31">
      <c r="A121" t="s">
        <v>39</v>
      </c>
      <c r="B121" t="s">
        <v>438</v>
      </c>
      <c r="C121" t="s">
        <v>40</v>
      </c>
      <c r="D121" t="s">
        <v>439</v>
      </c>
      <c r="E121" t="s">
        <v>1004</v>
      </c>
      <c r="F121" t="s">
        <v>1005</v>
      </c>
      <c r="G121" t="s">
        <v>107</v>
      </c>
      <c r="H121" t="s">
        <v>108</v>
      </c>
      <c r="I121" t="s">
        <v>438</v>
      </c>
      <c r="J121" t="s">
        <v>39</v>
      </c>
      <c r="K121" t="s">
        <v>1006</v>
      </c>
      <c r="L121" t="s">
        <v>112</v>
      </c>
      <c r="M121" t="s">
        <v>1007</v>
      </c>
      <c r="N121" s="22">
        <v>45952.90625</v>
      </c>
      <c r="O121" s="22">
        <v>45954.620138888888</v>
      </c>
      <c r="P121" t="s">
        <v>114</v>
      </c>
      <c r="Q121" t="s">
        <v>463</v>
      </c>
      <c r="R121" t="s">
        <v>116</v>
      </c>
      <c r="S121" t="s">
        <v>1008</v>
      </c>
      <c r="T121" t="s">
        <v>118</v>
      </c>
      <c r="U121" t="s">
        <v>1009</v>
      </c>
      <c r="V121" t="s">
        <v>8</v>
      </c>
      <c r="W121" t="s">
        <v>121</v>
      </c>
      <c r="X121" t="s">
        <v>583</v>
      </c>
      <c r="Y121" s="23">
        <v>1</v>
      </c>
      <c r="Z121" s="23">
        <v>1</v>
      </c>
      <c r="AA121" s="23">
        <v>1</v>
      </c>
      <c r="AB121" s="23">
        <v>11251</v>
      </c>
      <c r="AC121" s="26">
        <v>126317</v>
      </c>
      <c r="AD121" s="26">
        <v>57415</v>
      </c>
      <c r="AE121" s="26">
        <v>194983</v>
      </c>
    </row>
    <row r="122" spans="1:31">
      <c r="A122" t="s">
        <v>61</v>
      </c>
      <c r="B122" t="s">
        <v>219</v>
      </c>
      <c r="C122" t="s">
        <v>32</v>
      </c>
      <c r="D122" t="s">
        <v>220</v>
      </c>
      <c r="E122" t="s">
        <v>1010</v>
      </c>
      <c r="F122" t="s">
        <v>1011</v>
      </c>
      <c r="G122" t="s">
        <v>107</v>
      </c>
      <c r="H122" t="s">
        <v>108</v>
      </c>
      <c r="I122" t="s">
        <v>223</v>
      </c>
      <c r="J122" t="s">
        <v>61</v>
      </c>
      <c r="K122" t="s">
        <v>1012</v>
      </c>
      <c r="L122" t="s">
        <v>112</v>
      </c>
      <c r="M122" t="s">
        <v>1013</v>
      </c>
      <c r="N122" s="22">
        <v>45954.649305555547</v>
      </c>
      <c r="O122" s="22">
        <v>45958.673611111109</v>
      </c>
      <c r="P122" t="s">
        <v>114</v>
      </c>
      <c r="Q122" t="s">
        <v>463</v>
      </c>
      <c r="R122" t="s">
        <v>116</v>
      </c>
      <c r="S122" t="s">
        <v>1014</v>
      </c>
      <c r="T122" t="s">
        <v>118</v>
      </c>
      <c r="U122" t="s">
        <v>1015</v>
      </c>
      <c r="V122" t="s">
        <v>8</v>
      </c>
      <c r="W122" t="s">
        <v>121</v>
      </c>
      <c r="X122" t="s">
        <v>228</v>
      </c>
      <c r="Y122" s="23">
        <v>1</v>
      </c>
      <c r="Z122" s="23">
        <v>1</v>
      </c>
      <c r="AA122" s="23">
        <v>1</v>
      </c>
      <c r="AB122" s="23">
        <v>11251</v>
      </c>
      <c r="AC122" s="26">
        <v>126317</v>
      </c>
      <c r="AD122" s="26">
        <v>57415</v>
      </c>
      <c r="AE122" s="26">
        <v>194983</v>
      </c>
    </row>
    <row r="123" spans="1:31">
      <c r="A123" t="s">
        <v>61</v>
      </c>
      <c r="B123" t="s">
        <v>219</v>
      </c>
      <c r="C123" t="s">
        <v>32</v>
      </c>
      <c r="D123" t="s">
        <v>1016</v>
      </c>
      <c r="E123" t="s">
        <v>1017</v>
      </c>
      <c r="F123" t="s">
        <v>1018</v>
      </c>
      <c r="G123" t="s">
        <v>107</v>
      </c>
      <c r="H123" t="s">
        <v>108</v>
      </c>
      <c r="I123" t="s">
        <v>223</v>
      </c>
      <c r="J123" t="s">
        <v>1019</v>
      </c>
      <c r="K123" t="s">
        <v>1020</v>
      </c>
      <c r="L123" t="s">
        <v>112</v>
      </c>
      <c r="M123" t="s">
        <v>1021</v>
      </c>
      <c r="N123" s="22">
        <v>45954.649305555547</v>
      </c>
      <c r="O123" s="22">
        <v>45958.675694444442</v>
      </c>
      <c r="P123" t="s">
        <v>114</v>
      </c>
      <c r="Q123" t="s">
        <v>463</v>
      </c>
      <c r="R123" t="s">
        <v>116</v>
      </c>
      <c r="S123" t="s">
        <v>1022</v>
      </c>
      <c r="T123" t="s">
        <v>118</v>
      </c>
      <c r="U123" t="s">
        <v>1023</v>
      </c>
      <c r="V123" t="s">
        <v>251</v>
      </c>
      <c r="W123" t="s">
        <v>121</v>
      </c>
      <c r="X123" t="s">
        <v>290</v>
      </c>
      <c r="Y123" s="23">
        <v>1</v>
      </c>
      <c r="Z123" s="23">
        <v>1</v>
      </c>
      <c r="AA123" s="23">
        <v>1</v>
      </c>
      <c r="AB123" s="23">
        <v>11251</v>
      </c>
      <c r="AC123" s="26">
        <v>126317</v>
      </c>
      <c r="AD123" s="26">
        <v>110808</v>
      </c>
      <c r="AE123" s="26">
        <v>248376</v>
      </c>
    </row>
    <row r="124" spans="1:31">
      <c r="A124" t="s">
        <v>61</v>
      </c>
      <c r="B124" t="s">
        <v>219</v>
      </c>
      <c r="C124" t="s">
        <v>32</v>
      </c>
      <c r="D124" t="s">
        <v>1024</v>
      </c>
      <c r="E124" t="s">
        <v>1025</v>
      </c>
      <c r="F124" t="s">
        <v>1026</v>
      </c>
      <c r="G124" t="s">
        <v>107</v>
      </c>
      <c r="H124" t="s">
        <v>108</v>
      </c>
      <c r="I124" t="s">
        <v>223</v>
      </c>
      <c r="J124" t="s">
        <v>1027</v>
      </c>
      <c r="K124" t="s">
        <v>1028</v>
      </c>
      <c r="L124" t="s">
        <v>112</v>
      </c>
      <c r="M124" t="s">
        <v>1029</v>
      </c>
      <c r="N124" s="22">
        <v>45954.65</v>
      </c>
      <c r="O124" s="22">
        <v>45959.290972222218</v>
      </c>
      <c r="P124" t="s">
        <v>114</v>
      </c>
      <c r="Q124" t="s">
        <v>463</v>
      </c>
      <c r="R124" t="s">
        <v>116</v>
      </c>
      <c r="S124" t="s">
        <v>1030</v>
      </c>
      <c r="T124" t="s">
        <v>118</v>
      </c>
      <c r="U124" t="s">
        <v>1031</v>
      </c>
      <c r="V124" t="s">
        <v>183</v>
      </c>
      <c r="W124" t="s">
        <v>121</v>
      </c>
      <c r="X124" t="s">
        <v>652</v>
      </c>
      <c r="Y124" s="23">
        <v>1</v>
      </c>
      <c r="Z124" s="23">
        <v>1</v>
      </c>
      <c r="AA124" s="23">
        <v>1</v>
      </c>
      <c r="AB124" s="23">
        <v>11251</v>
      </c>
      <c r="AC124" s="26">
        <v>126317</v>
      </c>
      <c r="AD124" s="26">
        <v>110808</v>
      </c>
      <c r="AE124" s="26">
        <v>248376</v>
      </c>
    </row>
    <row r="125" spans="1:31">
      <c r="A125" t="s">
        <v>35</v>
      </c>
      <c r="B125" t="s">
        <v>152</v>
      </c>
      <c r="C125" t="s">
        <v>36</v>
      </c>
      <c r="D125" t="s">
        <v>494</v>
      </c>
      <c r="E125" t="s">
        <v>1032</v>
      </c>
      <c r="F125" t="s">
        <v>1033</v>
      </c>
      <c r="G125" t="s">
        <v>107</v>
      </c>
      <c r="H125" t="s">
        <v>108</v>
      </c>
      <c r="I125" t="s">
        <v>488</v>
      </c>
      <c r="J125" t="s">
        <v>497</v>
      </c>
      <c r="K125" t="s">
        <v>1034</v>
      </c>
      <c r="L125" t="s">
        <v>112</v>
      </c>
      <c r="M125" t="s">
        <v>1035</v>
      </c>
      <c r="N125" s="22">
        <v>45954.623611111107</v>
      </c>
      <c r="O125" s="22">
        <v>45957.634722222218</v>
      </c>
      <c r="P125" t="s">
        <v>114</v>
      </c>
      <c r="Q125" t="s">
        <v>463</v>
      </c>
      <c r="R125" t="s">
        <v>116</v>
      </c>
      <c r="S125" t="s">
        <v>1036</v>
      </c>
      <c r="T125" t="s">
        <v>118</v>
      </c>
      <c r="U125" t="s">
        <v>1037</v>
      </c>
      <c r="V125" t="s">
        <v>8</v>
      </c>
      <c r="W125" t="s">
        <v>121</v>
      </c>
      <c r="X125" t="s">
        <v>493</v>
      </c>
      <c r="Y125" s="23">
        <v>1</v>
      </c>
      <c r="Z125" s="23">
        <v>1</v>
      </c>
      <c r="AA125" s="23">
        <v>1</v>
      </c>
      <c r="AB125" s="23">
        <v>11251</v>
      </c>
      <c r="AC125" s="26">
        <v>126317</v>
      </c>
      <c r="AD125" s="26">
        <v>57415</v>
      </c>
      <c r="AE125" s="26">
        <v>194983</v>
      </c>
    </row>
    <row r="126" spans="1:31">
      <c r="A126" t="s">
        <v>69</v>
      </c>
      <c r="B126" t="s">
        <v>185</v>
      </c>
      <c r="C126" t="s">
        <v>44</v>
      </c>
      <c r="D126" t="s">
        <v>1038</v>
      </c>
      <c r="E126" t="s">
        <v>1039</v>
      </c>
      <c r="F126" t="s">
        <v>1040</v>
      </c>
      <c r="G126" t="s">
        <v>107</v>
      </c>
      <c r="H126" t="s">
        <v>108</v>
      </c>
      <c r="I126" t="s">
        <v>284</v>
      </c>
      <c r="J126" t="s">
        <v>1041</v>
      </c>
      <c r="K126" t="s">
        <v>1042</v>
      </c>
      <c r="L126" t="s">
        <v>112</v>
      </c>
      <c r="M126" t="s">
        <v>1043</v>
      </c>
      <c r="N126" s="22">
        <v>45954.710416666669</v>
      </c>
      <c r="O126" s="22">
        <v>45958.547222222223</v>
      </c>
      <c r="P126" t="s">
        <v>114</v>
      </c>
      <c r="Q126" t="s">
        <v>463</v>
      </c>
      <c r="R126" t="s">
        <v>116</v>
      </c>
      <c r="S126" t="s">
        <v>1044</v>
      </c>
      <c r="T126" t="s">
        <v>118</v>
      </c>
      <c r="U126" t="s">
        <v>1045</v>
      </c>
      <c r="V126" t="s">
        <v>251</v>
      </c>
      <c r="W126" t="s">
        <v>121</v>
      </c>
      <c r="X126" t="s">
        <v>619</v>
      </c>
      <c r="Y126" s="23">
        <v>1</v>
      </c>
      <c r="Z126" s="23">
        <v>1</v>
      </c>
      <c r="AA126" s="23">
        <v>1</v>
      </c>
      <c r="AB126" s="23">
        <v>11251</v>
      </c>
      <c r="AC126" s="26">
        <v>126317</v>
      </c>
      <c r="AD126" s="26">
        <v>110808</v>
      </c>
      <c r="AE126" s="26">
        <v>248376</v>
      </c>
    </row>
    <row r="127" spans="1:31">
      <c r="A127" t="s">
        <v>43</v>
      </c>
      <c r="B127" t="s">
        <v>185</v>
      </c>
      <c r="C127" t="s">
        <v>44</v>
      </c>
      <c r="D127" t="s">
        <v>1046</v>
      </c>
      <c r="E127" t="s">
        <v>1047</v>
      </c>
      <c r="F127" t="s">
        <v>1048</v>
      </c>
      <c r="G127" t="s">
        <v>107</v>
      </c>
      <c r="H127" t="s">
        <v>108</v>
      </c>
      <c r="I127" t="s">
        <v>366</v>
      </c>
      <c r="J127" t="s">
        <v>1049</v>
      </c>
      <c r="K127" t="s">
        <v>1050</v>
      </c>
      <c r="L127" t="s">
        <v>112</v>
      </c>
      <c r="M127" t="s">
        <v>1051</v>
      </c>
      <c r="N127" s="22">
        <v>45954.729166666657</v>
      </c>
      <c r="O127" s="22">
        <v>45958.495833333327</v>
      </c>
      <c r="P127" t="s">
        <v>114</v>
      </c>
      <c r="Q127" t="s">
        <v>463</v>
      </c>
      <c r="R127" t="s">
        <v>116</v>
      </c>
      <c r="S127" t="s">
        <v>1052</v>
      </c>
      <c r="T127" t="s">
        <v>118</v>
      </c>
      <c r="U127" t="s">
        <v>1053</v>
      </c>
      <c r="V127" t="s">
        <v>8</v>
      </c>
      <c r="W127" t="s">
        <v>121</v>
      </c>
      <c r="X127" t="s">
        <v>1054</v>
      </c>
      <c r="Y127" s="23">
        <v>1</v>
      </c>
      <c r="Z127" s="23">
        <v>1</v>
      </c>
      <c r="AA127" s="23">
        <v>1</v>
      </c>
      <c r="AB127" s="23">
        <v>11251</v>
      </c>
      <c r="AC127" s="26">
        <v>126317</v>
      </c>
      <c r="AD127" s="26">
        <v>57415</v>
      </c>
      <c r="AE127" s="26">
        <v>194983</v>
      </c>
    </row>
    <row r="128" spans="1:31">
      <c r="A128" t="s">
        <v>43</v>
      </c>
      <c r="B128" t="s">
        <v>185</v>
      </c>
      <c r="C128" t="s">
        <v>44</v>
      </c>
      <c r="D128" t="s">
        <v>1046</v>
      </c>
      <c r="E128" t="s">
        <v>1055</v>
      </c>
      <c r="F128" t="s">
        <v>1056</v>
      </c>
      <c r="G128" t="s">
        <v>107</v>
      </c>
      <c r="H128" t="s">
        <v>108</v>
      </c>
      <c r="I128" t="s">
        <v>366</v>
      </c>
      <c r="J128" t="s">
        <v>1049</v>
      </c>
      <c r="K128" t="s">
        <v>1057</v>
      </c>
      <c r="L128" t="s">
        <v>112</v>
      </c>
      <c r="M128" t="s">
        <v>1058</v>
      </c>
      <c r="N128" s="22">
        <v>45954.729166666657</v>
      </c>
      <c r="O128" s="22">
        <v>45959.294444444437</v>
      </c>
      <c r="P128" t="s">
        <v>114</v>
      </c>
      <c r="Q128" t="s">
        <v>463</v>
      </c>
      <c r="R128" t="s">
        <v>116</v>
      </c>
      <c r="S128" t="s">
        <v>1059</v>
      </c>
      <c r="T128" t="s">
        <v>118</v>
      </c>
      <c r="U128" t="s">
        <v>1060</v>
      </c>
      <c r="V128" t="s">
        <v>8</v>
      </c>
      <c r="W128" t="s">
        <v>121</v>
      </c>
      <c r="X128" t="s">
        <v>1054</v>
      </c>
      <c r="Y128" s="23">
        <v>1</v>
      </c>
      <c r="Z128" s="23">
        <v>1</v>
      </c>
      <c r="AA128" s="23">
        <v>1</v>
      </c>
      <c r="AB128" s="23">
        <v>11251</v>
      </c>
      <c r="AC128" s="26">
        <v>126317</v>
      </c>
      <c r="AD128" s="26">
        <v>57415</v>
      </c>
      <c r="AE128" s="26">
        <v>194983</v>
      </c>
    </row>
    <row r="129" spans="1:31">
      <c r="A129" t="s">
        <v>47</v>
      </c>
      <c r="B129" t="s">
        <v>103</v>
      </c>
      <c r="C129" t="s">
        <v>48</v>
      </c>
      <c r="D129" t="s">
        <v>205</v>
      </c>
      <c r="E129" t="s">
        <v>1061</v>
      </c>
      <c r="F129" t="s">
        <v>1062</v>
      </c>
      <c r="G129" t="s">
        <v>107</v>
      </c>
      <c r="H129" t="s">
        <v>108</v>
      </c>
      <c r="I129" t="s">
        <v>208</v>
      </c>
      <c r="J129" t="s">
        <v>47</v>
      </c>
      <c r="K129" t="s">
        <v>1063</v>
      </c>
      <c r="L129" t="s">
        <v>112</v>
      </c>
      <c r="M129" t="s">
        <v>1064</v>
      </c>
      <c r="N129" s="22">
        <v>45954.724999999999</v>
      </c>
      <c r="O129" s="22">
        <v>45959.297222222223</v>
      </c>
      <c r="P129" t="s">
        <v>114</v>
      </c>
      <c r="Q129" t="s">
        <v>463</v>
      </c>
      <c r="R129" t="s">
        <v>116</v>
      </c>
      <c r="S129" t="s">
        <v>1065</v>
      </c>
      <c r="T129" t="s">
        <v>118</v>
      </c>
      <c r="U129" t="s">
        <v>1066</v>
      </c>
      <c r="V129" t="s">
        <v>8</v>
      </c>
      <c r="W129" t="s">
        <v>121</v>
      </c>
      <c r="X129" t="s">
        <v>309</v>
      </c>
      <c r="Y129" s="23">
        <v>1</v>
      </c>
      <c r="Z129" s="23">
        <v>1</v>
      </c>
      <c r="AA129" s="23">
        <v>1</v>
      </c>
      <c r="AB129" s="23">
        <v>11251</v>
      </c>
      <c r="AC129" s="26">
        <v>126317</v>
      </c>
      <c r="AD129" s="26">
        <v>57415</v>
      </c>
      <c r="AE129" s="26">
        <v>194983</v>
      </c>
    </row>
    <row r="130" spans="1:31">
      <c r="A130" t="s">
        <v>47</v>
      </c>
      <c r="B130" t="s">
        <v>103</v>
      </c>
      <c r="C130" t="s">
        <v>48</v>
      </c>
      <c r="D130" t="s">
        <v>205</v>
      </c>
      <c r="E130" t="s">
        <v>1067</v>
      </c>
      <c r="F130" t="s">
        <v>1068</v>
      </c>
      <c r="G130" t="s">
        <v>107</v>
      </c>
      <c r="H130" t="s">
        <v>108</v>
      </c>
      <c r="I130" t="s">
        <v>208</v>
      </c>
      <c r="J130" t="s">
        <v>47</v>
      </c>
      <c r="K130" t="s">
        <v>1069</v>
      </c>
      <c r="L130" t="s">
        <v>112</v>
      </c>
      <c r="M130" t="s">
        <v>1070</v>
      </c>
      <c r="N130" s="22">
        <v>45954.729166666657</v>
      </c>
      <c r="O130" s="22">
        <v>45958.569444444453</v>
      </c>
      <c r="P130" t="s">
        <v>114</v>
      </c>
      <c r="Q130" t="s">
        <v>463</v>
      </c>
      <c r="R130" t="s">
        <v>116</v>
      </c>
      <c r="S130" t="s">
        <v>1071</v>
      </c>
      <c r="T130" t="s">
        <v>118</v>
      </c>
      <c r="U130" t="s">
        <v>1072</v>
      </c>
      <c r="V130" t="s">
        <v>8</v>
      </c>
      <c r="W130" t="s">
        <v>121</v>
      </c>
      <c r="X130" t="s">
        <v>212</v>
      </c>
      <c r="Y130" s="23">
        <v>1</v>
      </c>
      <c r="Z130" s="23">
        <v>1</v>
      </c>
      <c r="AA130" s="23">
        <v>1</v>
      </c>
      <c r="AB130" s="23">
        <v>11251</v>
      </c>
      <c r="AC130" s="26">
        <v>126317</v>
      </c>
      <c r="AD130" s="26">
        <v>57415</v>
      </c>
      <c r="AE130" s="26">
        <v>194983</v>
      </c>
    </row>
    <row r="131" spans="1:31">
      <c r="A131" t="s">
        <v>47</v>
      </c>
      <c r="B131" t="s">
        <v>103</v>
      </c>
      <c r="C131" t="s">
        <v>48</v>
      </c>
      <c r="D131" t="s">
        <v>205</v>
      </c>
      <c r="E131" t="s">
        <v>1073</v>
      </c>
      <c r="F131" t="s">
        <v>1074</v>
      </c>
      <c r="G131" t="s">
        <v>107</v>
      </c>
      <c r="H131" t="s">
        <v>108</v>
      </c>
      <c r="I131" t="s">
        <v>208</v>
      </c>
      <c r="J131" t="s">
        <v>47</v>
      </c>
      <c r="K131" t="s">
        <v>1075</v>
      </c>
      <c r="L131" t="s">
        <v>112</v>
      </c>
      <c r="M131" t="s">
        <v>1076</v>
      </c>
      <c r="N131" s="22">
        <v>45954.724999999999</v>
      </c>
      <c r="O131" s="22">
        <v>45958.563888888893</v>
      </c>
      <c r="P131" t="s">
        <v>114</v>
      </c>
      <c r="Q131" t="s">
        <v>463</v>
      </c>
      <c r="R131" t="s">
        <v>116</v>
      </c>
      <c r="S131" t="s">
        <v>1065</v>
      </c>
      <c r="T131" t="s">
        <v>118</v>
      </c>
      <c r="U131" t="s">
        <v>1077</v>
      </c>
      <c r="V131" t="s">
        <v>8</v>
      </c>
      <c r="W131" t="s">
        <v>121</v>
      </c>
      <c r="X131" t="s">
        <v>309</v>
      </c>
      <c r="Y131" s="23">
        <v>1</v>
      </c>
      <c r="Z131" s="23">
        <v>1</v>
      </c>
      <c r="AA131" s="23">
        <v>1</v>
      </c>
      <c r="AB131" s="23">
        <v>11251</v>
      </c>
      <c r="AC131" s="26">
        <v>126317</v>
      </c>
      <c r="AD131" s="26">
        <v>57415</v>
      </c>
      <c r="AE131" s="26">
        <v>194983</v>
      </c>
    </row>
    <row r="132" spans="1:31">
      <c r="A132" t="s">
        <v>47</v>
      </c>
      <c r="B132" t="s">
        <v>103</v>
      </c>
      <c r="C132" t="s">
        <v>48</v>
      </c>
      <c r="D132" t="s">
        <v>1078</v>
      </c>
      <c r="E132" t="s">
        <v>1079</v>
      </c>
      <c r="F132" t="s">
        <v>1080</v>
      </c>
      <c r="G132" t="s">
        <v>107</v>
      </c>
      <c r="H132" t="s">
        <v>108</v>
      </c>
      <c r="I132" t="s">
        <v>208</v>
      </c>
      <c r="J132" t="s">
        <v>1081</v>
      </c>
      <c r="K132" t="s">
        <v>1082</v>
      </c>
      <c r="L132" t="s">
        <v>112</v>
      </c>
      <c r="M132" t="s">
        <v>1083</v>
      </c>
      <c r="N132" s="22">
        <v>45954.722222222219</v>
      </c>
      <c r="O132" s="22">
        <v>45958.572916666657</v>
      </c>
      <c r="P132" t="s">
        <v>114</v>
      </c>
      <c r="Q132" t="s">
        <v>463</v>
      </c>
      <c r="R132" t="s">
        <v>116</v>
      </c>
      <c r="S132" t="s">
        <v>1084</v>
      </c>
      <c r="T132" t="s">
        <v>118</v>
      </c>
      <c r="U132" t="s">
        <v>1085</v>
      </c>
      <c r="V132" t="s">
        <v>251</v>
      </c>
      <c r="W132" t="s">
        <v>121</v>
      </c>
      <c r="X132" t="s">
        <v>549</v>
      </c>
      <c r="Y132" s="23">
        <v>1</v>
      </c>
      <c r="Z132" s="23">
        <v>1</v>
      </c>
      <c r="AA132" s="23">
        <v>1</v>
      </c>
      <c r="AB132" s="23">
        <v>11251</v>
      </c>
      <c r="AC132" s="26">
        <v>126317</v>
      </c>
      <c r="AD132" s="26">
        <v>110808</v>
      </c>
      <c r="AE132" s="26">
        <v>248376</v>
      </c>
    </row>
    <row r="133" spans="1:31">
      <c r="A133" t="s">
        <v>64</v>
      </c>
      <c r="B133" t="s">
        <v>103</v>
      </c>
      <c r="C133" t="s">
        <v>48</v>
      </c>
      <c r="D133" t="s">
        <v>1086</v>
      </c>
      <c r="E133" t="s">
        <v>1087</v>
      </c>
      <c r="F133" t="s">
        <v>1088</v>
      </c>
      <c r="G133" t="s">
        <v>107</v>
      </c>
      <c r="H133" t="s">
        <v>108</v>
      </c>
      <c r="I133" t="s">
        <v>109</v>
      </c>
      <c r="J133" t="s">
        <v>1089</v>
      </c>
      <c r="K133" t="s">
        <v>1090</v>
      </c>
      <c r="L133" t="s">
        <v>112</v>
      </c>
      <c r="M133" t="s">
        <v>1091</v>
      </c>
      <c r="N133" s="22">
        <v>45954.689583333333</v>
      </c>
      <c r="O133" s="22">
        <v>45958.635416666657</v>
      </c>
      <c r="P133" t="s">
        <v>114</v>
      </c>
      <c r="Q133" t="s">
        <v>463</v>
      </c>
      <c r="R133" t="s">
        <v>116</v>
      </c>
      <c r="S133" t="s">
        <v>1092</v>
      </c>
      <c r="T133" t="s">
        <v>118</v>
      </c>
      <c r="U133" t="s">
        <v>1093</v>
      </c>
      <c r="V133" t="s">
        <v>183</v>
      </c>
      <c r="W133" t="s">
        <v>121</v>
      </c>
      <c r="X133" t="s">
        <v>131</v>
      </c>
      <c r="Y133" s="23">
        <v>1</v>
      </c>
      <c r="Z133" s="23">
        <v>1</v>
      </c>
      <c r="AA133" s="23">
        <v>1</v>
      </c>
      <c r="AB133" s="23">
        <v>11251</v>
      </c>
      <c r="AC133" s="26">
        <v>126317</v>
      </c>
      <c r="AD133" s="26">
        <v>110808</v>
      </c>
      <c r="AE133" s="26">
        <v>248376</v>
      </c>
    </row>
    <row r="134" spans="1:31">
      <c r="A134" t="s">
        <v>39</v>
      </c>
      <c r="B134" t="s">
        <v>438</v>
      </c>
      <c r="C134" t="s">
        <v>40</v>
      </c>
      <c r="D134" t="s">
        <v>439</v>
      </c>
      <c r="E134" t="s">
        <v>1094</v>
      </c>
      <c r="F134" t="s">
        <v>1095</v>
      </c>
      <c r="G134" t="s">
        <v>107</v>
      </c>
      <c r="H134" t="s">
        <v>108</v>
      </c>
      <c r="I134" t="s">
        <v>438</v>
      </c>
      <c r="J134" t="s">
        <v>39</v>
      </c>
      <c r="K134" t="s">
        <v>1096</v>
      </c>
      <c r="L134" t="s">
        <v>112</v>
      </c>
      <c r="M134" t="s">
        <v>1097</v>
      </c>
      <c r="N134" s="22">
        <v>45954.333333333343</v>
      </c>
      <c r="O134" s="22">
        <v>45958.552777777782</v>
      </c>
      <c r="P134" t="s">
        <v>114</v>
      </c>
      <c r="Q134" t="s">
        <v>463</v>
      </c>
      <c r="R134" t="s">
        <v>116</v>
      </c>
      <c r="S134" t="s">
        <v>1098</v>
      </c>
      <c r="T134" t="s">
        <v>118</v>
      </c>
      <c r="U134" t="s">
        <v>1099</v>
      </c>
      <c r="V134" t="s">
        <v>8</v>
      </c>
      <c r="W134" t="s">
        <v>121</v>
      </c>
      <c r="X134" t="s">
        <v>1100</v>
      </c>
      <c r="Y134" s="23">
        <v>1</v>
      </c>
      <c r="Z134" s="23">
        <v>1</v>
      </c>
      <c r="AA134" s="23">
        <v>1</v>
      </c>
      <c r="AB134" s="23">
        <v>11251</v>
      </c>
      <c r="AC134" s="26">
        <v>126317</v>
      </c>
      <c r="AD134" s="26">
        <v>57415</v>
      </c>
      <c r="AE134" s="26">
        <v>194983</v>
      </c>
    </row>
    <row r="135" spans="1:31">
      <c r="A135" t="s">
        <v>39</v>
      </c>
      <c r="B135" t="s">
        <v>438</v>
      </c>
      <c r="C135" t="s">
        <v>40</v>
      </c>
      <c r="D135" t="s">
        <v>439</v>
      </c>
      <c r="E135" t="s">
        <v>1101</v>
      </c>
      <c r="F135" t="s">
        <v>1102</v>
      </c>
      <c r="G135" t="s">
        <v>107</v>
      </c>
      <c r="H135" t="s">
        <v>108</v>
      </c>
      <c r="I135" t="s">
        <v>438</v>
      </c>
      <c r="J135" t="s">
        <v>39</v>
      </c>
      <c r="K135" t="s">
        <v>1103</v>
      </c>
      <c r="L135" t="s">
        <v>112</v>
      </c>
      <c r="M135" t="s">
        <v>1104</v>
      </c>
      <c r="N135" s="22">
        <v>45954.378472222219</v>
      </c>
      <c r="O135" s="22">
        <v>45958.557638888888</v>
      </c>
      <c r="P135" t="s">
        <v>114</v>
      </c>
      <c r="Q135" t="s">
        <v>463</v>
      </c>
      <c r="R135" t="s">
        <v>116</v>
      </c>
      <c r="S135" t="s">
        <v>1105</v>
      </c>
      <c r="T135" t="s">
        <v>118</v>
      </c>
      <c r="U135" t="s">
        <v>1106</v>
      </c>
      <c r="V135" t="s">
        <v>8</v>
      </c>
      <c r="W135" t="s">
        <v>121</v>
      </c>
      <c r="X135" t="s">
        <v>583</v>
      </c>
      <c r="Y135" s="23">
        <v>1</v>
      </c>
      <c r="Z135" s="23">
        <v>1</v>
      </c>
      <c r="AA135" s="23">
        <v>1</v>
      </c>
      <c r="AB135" s="23">
        <v>11251</v>
      </c>
      <c r="AC135" s="26">
        <v>126317</v>
      </c>
      <c r="AD135" s="26">
        <v>57415</v>
      </c>
      <c r="AE135" s="26">
        <v>194983</v>
      </c>
    </row>
    <row r="136" spans="1:31">
      <c r="A136" t="s">
        <v>39</v>
      </c>
      <c r="B136" t="s">
        <v>438</v>
      </c>
      <c r="C136" t="s">
        <v>40</v>
      </c>
      <c r="D136" t="s">
        <v>439</v>
      </c>
      <c r="E136" t="s">
        <v>1107</v>
      </c>
      <c r="F136" t="s">
        <v>1108</v>
      </c>
      <c r="G136" t="s">
        <v>107</v>
      </c>
      <c r="H136" t="s">
        <v>108</v>
      </c>
      <c r="I136" t="s">
        <v>438</v>
      </c>
      <c r="J136" t="s">
        <v>39</v>
      </c>
      <c r="K136" t="s">
        <v>1109</v>
      </c>
      <c r="L136" t="s">
        <v>112</v>
      </c>
      <c r="M136" t="s">
        <v>1110</v>
      </c>
      <c r="N136" s="22">
        <v>45954.378472222219</v>
      </c>
      <c r="O136" s="22">
        <v>45958.580555555563</v>
      </c>
      <c r="P136" t="s">
        <v>114</v>
      </c>
      <c r="Q136" t="s">
        <v>463</v>
      </c>
      <c r="R136" t="s">
        <v>116</v>
      </c>
      <c r="S136" t="s">
        <v>1111</v>
      </c>
      <c r="T136" t="s">
        <v>118</v>
      </c>
      <c r="U136" t="s">
        <v>1112</v>
      </c>
      <c r="V136" t="s">
        <v>8</v>
      </c>
      <c r="W136" t="s">
        <v>121</v>
      </c>
      <c r="X136" t="s">
        <v>576</v>
      </c>
      <c r="Y136" s="23">
        <v>1</v>
      </c>
      <c r="Z136" s="23">
        <v>1</v>
      </c>
      <c r="AA136" s="23">
        <v>1</v>
      </c>
      <c r="AB136" s="23">
        <v>11251</v>
      </c>
      <c r="AC136" s="26">
        <v>126317</v>
      </c>
      <c r="AD136" s="26">
        <v>57415</v>
      </c>
      <c r="AE136" s="26">
        <v>194983</v>
      </c>
    </row>
    <row r="137" spans="1:31">
      <c r="A137" t="s">
        <v>61</v>
      </c>
      <c r="B137" t="s">
        <v>219</v>
      </c>
      <c r="C137" t="s">
        <v>32</v>
      </c>
      <c r="D137" t="s">
        <v>220</v>
      </c>
      <c r="E137" t="s">
        <v>1113</v>
      </c>
      <c r="F137" t="s">
        <v>1114</v>
      </c>
      <c r="G137" t="s">
        <v>107</v>
      </c>
      <c r="H137" t="s">
        <v>108</v>
      </c>
      <c r="I137" t="s">
        <v>223</v>
      </c>
      <c r="J137" t="s">
        <v>61</v>
      </c>
      <c r="K137" t="s">
        <v>1115</v>
      </c>
      <c r="L137" t="s">
        <v>112</v>
      </c>
      <c r="M137" t="s">
        <v>1116</v>
      </c>
      <c r="N137" s="22">
        <v>45959.881249999999</v>
      </c>
      <c r="O137" s="22">
        <v>45961.280555555553</v>
      </c>
      <c r="P137" t="s">
        <v>114</v>
      </c>
      <c r="Q137" t="s">
        <v>463</v>
      </c>
      <c r="R137" t="s">
        <v>116</v>
      </c>
      <c r="S137" t="s">
        <v>1117</v>
      </c>
      <c r="T137" t="s">
        <v>118</v>
      </c>
      <c r="U137" t="s">
        <v>1118</v>
      </c>
      <c r="V137" t="s">
        <v>8</v>
      </c>
      <c r="W137" t="s">
        <v>121</v>
      </c>
      <c r="X137" t="s">
        <v>262</v>
      </c>
      <c r="Y137" s="23">
        <v>1</v>
      </c>
      <c r="Z137" s="23">
        <v>1</v>
      </c>
      <c r="AA137" s="23">
        <v>1</v>
      </c>
      <c r="AB137" s="23">
        <v>11251</v>
      </c>
      <c r="AC137" s="26">
        <v>126317</v>
      </c>
      <c r="AD137" s="26">
        <v>57415</v>
      </c>
      <c r="AE137" s="26">
        <v>194983</v>
      </c>
    </row>
    <row r="138" spans="1:31">
      <c r="A138" t="s">
        <v>61</v>
      </c>
      <c r="B138" t="s">
        <v>219</v>
      </c>
      <c r="C138" t="s">
        <v>32</v>
      </c>
      <c r="D138" t="s">
        <v>220</v>
      </c>
      <c r="E138" t="s">
        <v>1119</v>
      </c>
      <c r="F138" t="s">
        <v>1120</v>
      </c>
      <c r="G138" t="s">
        <v>107</v>
      </c>
      <c r="H138" t="s">
        <v>108</v>
      </c>
      <c r="I138" t="s">
        <v>223</v>
      </c>
      <c r="J138" t="s">
        <v>61</v>
      </c>
      <c r="K138" t="s">
        <v>1121</v>
      </c>
      <c r="L138" t="s">
        <v>112</v>
      </c>
      <c r="M138" t="s">
        <v>1122</v>
      </c>
      <c r="N138" s="22">
        <v>45959.881249999999</v>
      </c>
      <c r="O138" s="22">
        <v>45961.282638888893</v>
      </c>
      <c r="P138" t="s">
        <v>114</v>
      </c>
      <c r="Q138" t="s">
        <v>463</v>
      </c>
      <c r="R138" t="s">
        <v>116</v>
      </c>
      <c r="S138" t="s">
        <v>1123</v>
      </c>
      <c r="T138" t="s">
        <v>118</v>
      </c>
      <c r="U138" t="s">
        <v>1124</v>
      </c>
      <c r="V138" t="s">
        <v>8</v>
      </c>
      <c r="W138" t="s">
        <v>121</v>
      </c>
      <c r="X138" t="s">
        <v>262</v>
      </c>
      <c r="Y138" s="23">
        <v>1</v>
      </c>
      <c r="Z138" s="23">
        <v>1</v>
      </c>
      <c r="AA138" s="23">
        <v>1</v>
      </c>
      <c r="AB138" s="23">
        <v>11251</v>
      </c>
      <c r="AC138" s="26">
        <v>126317</v>
      </c>
      <c r="AD138" s="26">
        <v>57415</v>
      </c>
      <c r="AE138" s="26">
        <v>194983</v>
      </c>
    </row>
    <row r="139" spans="1:31">
      <c r="A139" t="s">
        <v>61</v>
      </c>
      <c r="B139" t="s">
        <v>219</v>
      </c>
      <c r="C139" t="s">
        <v>32</v>
      </c>
      <c r="D139" t="s">
        <v>220</v>
      </c>
      <c r="E139" t="s">
        <v>1125</v>
      </c>
      <c r="F139" t="s">
        <v>1126</v>
      </c>
      <c r="G139" t="s">
        <v>107</v>
      </c>
      <c r="H139" t="s">
        <v>108</v>
      </c>
      <c r="I139" t="s">
        <v>223</v>
      </c>
      <c r="J139" t="s">
        <v>61</v>
      </c>
      <c r="K139" t="s">
        <v>1127</v>
      </c>
      <c r="L139" t="s">
        <v>112</v>
      </c>
      <c r="M139" t="s">
        <v>1128</v>
      </c>
      <c r="N139" s="22">
        <v>45959.881249999999</v>
      </c>
      <c r="O139" s="22">
        <v>45960.493055555547</v>
      </c>
      <c r="P139" t="s">
        <v>114</v>
      </c>
      <c r="Q139" t="s">
        <v>115</v>
      </c>
      <c r="R139" t="s">
        <v>116</v>
      </c>
      <c r="S139" t="s">
        <v>1129</v>
      </c>
      <c r="T139" t="s">
        <v>118</v>
      </c>
      <c r="U139" t="s">
        <v>1130</v>
      </c>
      <c r="V139" t="s">
        <v>8</v>
      </c>
      <c r="W139" t="s">
        <v>121</v>
      </c>
      <c r="X139" t="s">
        <v>652</v>
      </c>
      <c r="Y139" s="23">
        <v>1</v>
      </c>
      <c r="Z139" s="23">
        <v>1</v>
      </c>
      <c r="AA139" s="23">
        <v>1</v>
      </c>
      <c r="AB139" s="23">
        <v>11251</v>
      </c>
      <c r="AC139" s="26">
        <v>126317</v>
      </c>
      <c r="AD139" s="26">
        <v>57415</v>
      </c>
      <c r="AE139" s="26">
        <v>194983</v>
      </c>
    </row>
    <row r="140" spans="1:31">
      <c r="A140" t="s">
        <v>61</v>
      </c>
      <c r="B140" t="s">
        <v>219</v>
      </c>
      <c r="C140" t="s">
        <v>32</v>
      </c>
      <c r="D140" t="s">
        <v>220</v>
      </c>
      <c r="E140" t="s">
        <v>1131</v>
      </c>
      <c r="F140" t="s">
        <v>1132</v>
      </c>
      <c r="G140" t="s">
        <v>107</v>
      </c>
      <c r="H140" t="s">
        <v>108</v>
      </c>
      <c r="I140" t="s">
        <v>223</v>
      </c>
      <c r="J140" t="s">
        <v>61</v>
      </c>
      <c r="K140" t="s">
        <v>1133</v>
      </c>
      <c r="L140" t="s">
        <v>112</v>
      </c>
      <c r="M140" t="s">
        <v>1134</v>
      </c>
      <c r="N140" s="22">
        <v>45959.881249999999</v>
      </c>
      <c r="O140" s="22">
        <v>45960.640277777777</v>
      </c>
      <c r="P140" t="s">
        <v>114</v>
      </c>
      <c r="Q140" t="s">
        <v>115</v>
      </c>
      <c r="R140" t="s">
        <v>116</v>
      </c>
      <c r="S140" t="s">
        <v>1135</v>
      </c>
      <c r="T140" t="s">
        <v>118</v>
      </c>
      <c r="U140" t="s">
        <v>1136</v>
      </c>
      <c r="V140" t="s">
        <v>8</v>
      </c>
      <c r="W140" t="s">
        <v>121</v>
      </c>
      <c r="X140" t="s">
        <v>252</v>
      </c>
      <c r="Y140" s="23">
        <v>1</v>
      </c>
      <c r="Z140" s="23">
        <v>1</v>
      </c>
      <c r="AA140" s="23">
        <v>1</v>
      </c>
      <c r="AB140" s="23">
        <v>11251</v>
      </c>
      <c r="AC140" s="26">
        <v>126317</v>
      </c>
      <c r="AD140" s="26">
        <v>57415</v>
      </c>
      <c r="AE140" s="26">
        <v>194983</v>
      </c>
    </row>
    <row r="141" spans="1:31">
      <c r="A141" t="s">
        <v>61</v>
      </c>
      <c r="B141" t="s">
        <v>219</v>
      </c>
      <c r="C141" t="s">
        <v>32</v>
      </c>
      <c r="D141" t="s">
        <v>220</v>
      </c>
      <c r="E141" t="s">
        <v>1137</v>
      </c>
      <c r="F141" t="s">
        <v>1138</v>
      </c>
      <c r="G141" t="s">
        <v>107</v>
      </c>
      <c r="H141" t="s">
        <v>108</v>
      </c>
      <c r="I141" t="s">
        <v>223</v>
      </c>
      <c r="J141" t="s">
        <v>61</v>
      </c>
      <c r="K141" t="s">
        <v>1139</v>
      </c>
      <c r="L141" t="s">
        <v>112</v>
      </c>
      <c r="M141" t="s">
        <v>1140</v>
      </c>
      <c r="N141" s="22">
        <v>45959.881249999999</v>
      </c>
      <c r="O141" s="22">
        <v>45961.286805555559</v>
      </c>
      <c r="P141" t="s">
        <v>114</v>
      </c>
      <c r="Q141" t="s">
        <v>115</v>
      </c>
      <c r="R141" t="s">
        <v>142</v>
      </c>
      <c r="S141" t="s">
        <v>1141</v>
      </c>
      <c r="T141" t="s">
        <v>118</v>
      </c>
      <c r="V141" t="s">
        <v>8</v>
      </c>
      <c r="W141" t="s">
        <v>121</v>
      </c>
      <c r="X141" t="s">
        <v>652</v>
      </c>
      <c r="Y141" s="23">
        <v>0</v>
      </c>
      <c r="Z141" s="23">
        <v>0</v>
      </c>
      <c r="AA141" s="23">
        <v>2</v>
      </c>
      <c r="AB141" s="23">
        <v>0</v>
      </c>
      <c r="AC141" s="26">
        <v>0</v>
      </c>
      <c r="AD141" s="26">
        <v>57415</v>
      </c>
      <c r="AE141" s="26">
        <v>114830</v>
      </c>
    </row>
    <row r="142" spans="1:31">
      <c r="A142" t="s">
        <v>61</v>
      </c>
      <c r="B142" t="s">
        <v>219</v>
      </c>
      <c r="C142" t="s">
        <v>32</v>
      </c>
      <c r="D142" t="s">
        <v>220</v>
      </c>
      <c r="E142" t="s">
        <v>1142</v>
      </c>
      <c r="F142" t="s">
        <v>1143</v>
      </c>
      <c r="G142" t="s">
        <v>107</v>
      </c>
      <c r="H142" t="s">
        <v>108</v>
      </c>
      <c r="I142" t="s">
        <v>223</v>
      </c>
      <c r="J142" t="s">
        <v>61</v>
      </c>
      <c r="K142" t="s">
        <v>1144</v>
      </c>
      <c r="L142" t="s">
        <v>112</v>
      </c>
      <c r="M142" t="s">
        <v>1145</v>
      </c>
      <c r="N142" s="22">
        <v>45959.881249999999</v>
      </c>
      <c r="O142" s="22">
        <v>45961.552083333343</v>
      </c>
      <c r="P142" t="s">
        <v>114</v>
      </c>
      <c r="Q142" t="s">
        <v>115</v>
      </c>
      <c r="R142" t="s">
        <v>116</v>
      </c>
      <c r="S142" t="s">
        <v>1146</v>
      </c>
      <c r="T142" t="s">
        <v>118</v>
      </c>
      <c r="U142" t="s">
        <v>1147</v>
      </c>
      <c r="V142" t="s">
        <v>8</v>
      </c>
      <c r="W142" t="s">
        <v>121</v>
      </c>
      <c r="X142" t="s">
        <v>252</v>
      </c>
      <c r="Y142" s="23">
        <v>1</v>
      </c>
      <c r="Z142" s="23">
        <v>1</v>
      </c>
      <c r="AA142" s="23">
        <v>1</v>
      </c>
      <c r="AB142" s="23">
        <v>11251</v>
      </c>
      <c r="AC142" s="26">
        <v>126317</v>
      </c>
      <c r="AD142" s="26">
        <v>57415</v>
      </c>
      <c r="AE142" s="26">
        <v>194983</v>
      </c>
    </row>
    <row r="143" spans="1:31">
      <c r="A143" t="s">
        <v>61</v>
      </c>
      <c r="B143" t="s">
        <v>219</v>
      </c>
      <c r="C143" t="s">
        <v>32</v>
      </c>
      <c r="D143" t="s">
        <v>220</v>
      </c>
      <c r="E143" t="s">
        <v>1148</v>
      </c>
      <c r="F143" t="s">
        <v>1149</v>
      </c>
      <c r="G143" t="s">
        <v>107</v>
      </c>
      <c r="H143" t="s">
        <v>108</v>
      </c>
      <c r="I143" t="s">
        <v>223</v>
      </c>
      <c r="J143" t="s">
        <v>61</v>
      </c>
      <c r="K143" t="s">
        <v>1150</v>
      </c>
      <c r="L143" t="s">
        <v>112</v>
      </c>
      <c r="M143" t="s">
        <v>1151</v>
      </c>
      <c r="N143" s="22">
        <v>45959.881249999999</v>
      </c>
      <c r="O143" s="22">
        <v>45960.529861111107</v>
      </c>
      <c r="P143" t="s">
        <v>114</v>
      </c>
      <c r="Q143" t="s">
        <v>115</v>
      </c>
      <c r="R143" t="s">
        <v>116</v>
      </c>
      <c r="S143" t="s">
        <v>1152</v>
      </c>
      <c r="T143" t="s">
        <v>118</v>
      </c>
      <c r="U143" t="s">
        <v>1153</v>
      </c>
      <c r="V143" t="s">
        <v>8</v>
      </c>
      <c r="W143" t="s">
        <v>121</v>
      </c>
      <c r="X143" t="s">
        <v>252</v>
      </c>
      <c r="Y143" s="23">
        <v>1</v>
      </c>
      <c r="Z143" s="23">
        <v>1</v>
      </c>
      <c r="AA143" s="23">
        <v>1</v>
      </c>
      <c r="AB143" s="23">
        <v>11251</v>
      </c>
      <c r="AC143" s="26">
        <v>126317</v>
      </c>
      <c r="AD143" s="26">
        <v>57415</v>
      </c>
      <c r="AE143" s="26">
        <v>194983</v>
      </c>
    </row>
    <row r="144" spans="1:31">
      <c r="A144" t="s">
        <v>61</v>
      </c>
      <c r="B144" t="s">
        <v>219</v>
      </c>
      <c r="C144" t="s">
        <v>32</v>
      </c>
      <c r="D144" t="s">
        <v>234</v>
      </c>
      <c r="E144" t="s">
        <v>1154</v>
      </c>
      <c r="F144" t="s">
        <v>1155</v>
      </c>
      <c r="G144" t="s">
        <v>107</v>
      </c>
      <c r="H144" t="s">
        <v>108</v>
      </c>
      <c r="I144" t="s">
        <v>223</v>
      </c>
      <c r="J144" t="s">
        <v>237</v>
      </c>
      <c r="K144" t="s">
        <v>1156</v>
      </c>
      <c r="L144" t="s">
        <v>112</v>
      </c>
      <c r="M144" t="s">
        <v>1157</v>
      </c>
      <c r="N144" s="22">
        <v>45959.881249999999</v>
      </c>
      <c r="O144" s="22">
        <v>45960.651388888888</v>
      </c>
      <c r="P144" t="s">
        <v>114</v>
      </c>
      <c r="Q144" t="s">
        <v>115</v>
      </c>
      <c r="R144" t="s">
        <v>116</v>
      </c>
      <c r="S144" t="s">
        <v>1158</v>
      </c>
      <c r="T144" t="s">
        <v>118</v>
      </c>
      <c r="U144" t="s">
        <v>1159</v>
      </c>
      <c r="V144" t="s">
        <v>8</v>
      </c>
      <c r="W144" t="s">
        <v>121</v>
      </c>
      <c r="X144" t="s">
        <v>242</v>
      </c>
      <c r="Y144" s="23">
        <v>1</v>
      </c>
      <c r="Z144" s="23">
        <v>1</v>
      </c>
      <c r="AA144" s="23">
        <v>1</v>
      </c>
      <c r="AB144" s="23">
        <v>11251</v>
      </c>
      <c r="AC144" s="26">
        <v>126317</v>
      </c>
      <c r="AD144" s="26">
        <v>57415</v>
      </c>
      <c r="AE144" s="26">
        <v>194983</v>
      </c>
    </row>
    <row r="145" spans="1:31">
      <c r="A145" t="s">
        <v>62</v>
      </c>
      <c r="B145" t="s">
        <v>152</v>
      </c>
      <c r="C145" t="s">
        <v>36</v>
      </c>
      <c r="D145" t="s">
        <v>1160</v>
      </c>
      <c r="E145" t="s">
        <v>1161</v>
      </c>
      <c r="F145" t="s">
        <v>1162</v>
      </c>
      <c r="G145" t="s">
        <v>107</v>
      </c>
      <c r="H145" t="s">
        <v>108</v>
      </c>
      <c r="I145" t="s">
        <v>223</v>
      </c>
      <c r="J145" t="s">
        <v>1163</v>
      </c>
      <c r="K145" t="s">
        <v>1164</v>
      </c>
      <c r="L145" t="s">
        <v>112</v>
      </c>
      <c r="M145" t="s">
        <v>1165</v>
      </c>
      <c r="N145" s="22">
        <v>45959.570138888892</v>
      </c>
      <c r="O145" s="22">
        <v>45961.553472222222</v>
      </c>
      <c r="P145" t="s">
        <v>114</v>
      </c>
      <c r="Q145" t="s">
        <v>115</v>
      </c>
      <c r="R145" t="s">
        <v>116</v>
      </c>
      <c r="S145" t="s">
        <v>1166</v>
      </c>
      <c r="T145" t="s">
        <v>118</v>
      </c>
      <c r="U145" t="s">
        <v>1167</v>
      </c>
      <c r="V145" t="s">
        <v>251</v>
      </c>
      <c r="W145" t="s">
        <v>121</v>
      </c>
      <c r="X145" t="s">
        <v>328</v>
      </c>
      <c r="Y145" s="23">
        <v>1</v>
      </c>
      <c r="Z145" s="23">
        <v>1</v>
      </c>
      <c r="AA145" s="23">
        <v>1</v>
      </c>
      <c r="AB145" s="23">
        <v>11251</v>
      </c>
      <c r="AC145" s="26">
        <v>126317</v>
      </c>
      <c r="AD145" s="26">
        <v>110808</v>
      </c>
      <c r="AE145" s="26">
        <v>248376</v>
      </c>
    </row>
    <row r="146" spans="1:31">
      <c r="A146" t="s">
        <v>61</v>
      </c>
      <c r="B146" t="s">
        <v>219</v>
      </c>
      <c r="C146" t="s">
        <v>32</v>
      </c>
      <c r="D146" t="s">
        <v>1168</v>
      </c>
      <c r="E146" t="s">
        <v>1169</v>
      </c>
      <c r="F146" t="s">
        <v>1170</v>
      </c>
      <c r="G146" t="s">
        <v>107</v>
      </c>
      <c r="H146" t="s">
        <v>108</v>
      </c>
      <c r="I146" t="s">
        <v>223</v>
      </c>
      <c r="J146" t="s">
        <v>1171</v>
      </c>
      <c r="K146" t="s">
        <v>1172</v>
      </c>
      <c r="L146" t="s">
        <v>112</v>
      </c>
      <c r="M146" t="s">
        <v>1173</v>
      </c>
      <c r="N146" s="22">
        <v>45959.881249999999</v>
      </c>
      <c r="O146" s="22">
        <v>45961.693749999999</v>
      </c>
      <c r="P146" t="s">
        <v>114</v>
      </c>
      <c r="Q146" t="s">
        <v>115</v>
      </c>
      <c r="R146" t="s">
        <v>116</v>
      </c>
      <c r="S146" t="s">
        <v>1174</v>
      </c>
      <c r="T146" t="s">
        <v>118</v>
      </c>
      <c r="U146" t="s">
        <v>1175</v>
      </c>
      <c r="V146" t="s">
        <v>8</v>
      </c>
      <c r="W146" t="s">
        <v>121</v>
      </c>
      <c r="X146" t="s">
        <v>252</v>
      </c>
      <c r="Y146" s="23">
        <v>1</v>
      </c>
      <c r="Z146" s="23">
        <v>1</v>
      </c>
      <c r="AA146" s="23">
        <v>1</v>
      </c>
      <c r="AB146" s="23">
        <v>11251</v>
      </c>
      <c r="AC146" s="26">
        <v>126317</v>
      </c>
      <c r="AD146" s="26">
        <v>57415</v>
      </c>
      <c r="AE146" s="26">
        <v>194983</v>
      </c>
    </row>
    <row r="147" spans="1:31">
      <c r="A147" t="s">
        <v>61</v>
      </c>
      <c r="B147" t="s">
        <v>219</v>
      </c>
      <c r="C147" t="s">
        <v>32</v>
      </c>
      <c r="D147" t="s">
        <v>1176</v>
      </c>
      <c r="E147" t="s">
        <v>1177</v>
      </c>
      <c r="F147" t="s">
        <v>1178</v>
      </c>
      <c r="G147" t="s">
        <v>107</v>
      </c>
      <c r="H147" t="s">
        <v>108</v>
      </c>
      <c r="I147" t="s">
        <v>223</v>
      </c>
      <c r="J147" t="s">
        <v>1179</v>
      </c>
      <c r="K147" t="s">
        <v>1180</v>
      </c>
      <c r="L147" t="s">
        <v>112</v>
      </c>
      <c r="M147" t="s">
        <v>1181</v>
      </c>
      <c r="N147" s="22">
        <v>45959.881249999999</v>
      </c>
      <c r="O147" s="22">
        <v>45961.589583333327</v>
      </c>
      <c r="P147" t="s">
        <v>114</v>
      </c>
      <c r="Q147" t="s">
        <v>115</v>
      </c>
      <c r="R147" t="s">
        <v>116</v>
      </c>
      <c r="S147" t="s">
        <v>1182</v>
      </c>
      <c r="T147" t="s">
        <v>118</v>
      </c>
      <c r="U147" t="s">
        <v>1183</v>
      </c>
      <c r="V147" t="s">
        <v>251</v>
      </c>
      <c r="W147" t="s">
        <v>121</v>
      </c>
      <c r="X147" t="s">
        <v>262</v>
      </c>
      <c r="Y147" s="23">
        <v>1</v>
      </c>
      <c r="Z147" s="23">
        <v>1</v>
      </c>
      <c r="AA147" s="23">
        <v>1</v>
      </c>
      <c r="AB147" s="23">
        <v>11251</v>
      </c>
      <c r="AC147" s="26">
        <v>126317</v>
      </c>
      <c r="AD147" s="26">
        <v>110808</v>
      </c>
      <c r="AE147" s="26">
        <v>248376</v>
      </c>
    </row>
    <row r="148" spans="1:31">
      <c r="A148" t="s">
        <v>61</v>
      </c>
      <c r="B148" t="s">
        <v>219</v>
      </c>
      <c r="C148" t="s">
        <v>32</v>
      </c>
      <c r="D148" t="s">
        <v>1184</v>
      </c>
      <c r="E148" t="s">
        <v>1185</v>
      </c>
      <c r="F148" t="s">
        <v>1186</v>
      </c>
      <c r="G148" t="s">
        <v>107</v>
      </c>
      <c r="H148" t="s">
        <v>108</v>
      </c>
      <c r="I148" t="s">
        <v>223</v>
      </c>
      <c r="J148" t="s">
        <v>1187</v>
      </c>
      <c r="K148" t="s">
        <v>1188</v>
      </c>
      <c r="L148" t="s">
        <v>112</v>
      </c>
      <c r="M148" t="s">
        <v>1189</v>
      </c>
      <c r="N148" s="22">
        <v>45959.881249999999</v>
      </c>
      <c r="O148" s="22">
        <v>45961.288194444453</v>
      </c>
      <c r="P148" t="s">
        <v>114</v>
      </c>
      <c r="Q148" t="s">
        <v>115</v>
      </c>
      <c r="R148" t="s">
        <v>116</v>
      </c>
      <c r="S148" t="s">
        <v>1190</v>
      </c>
      <c r="T148" t="s">
        <v>118</v>
      </c>
      <c r="U148" t="s">
        <v>1191</v>
      </c>
      <c r="V148" t="s">
        <v>120</v>
      </c>
      <c r="W148" t="s">
        <v>121</v>
      </c>
      <c r="X148" t="s">
        <v>228</v>
      </c>
      <c r="Y148" s="23">
        <v>1</v>
      </c>
      <c r="Z148" s="23">
        <v>1</v>
      </c>
      <c r="AA148" s="23">
        <v>1</v>
      </c>
      <c r="AB148" s="23">
        <v>11251</v>
      </c>
      <c r="AC148" s="26">
        <v>126317</v>
      </c>
      <c r="AD148" s="26">
        <v>110808</v>
      </c>
      <c r="AE148" s="26">
        <v>248376</v>
      </c>
    </row>
    <row r="149" spans="1:31">
      <c r="A149" t="s">
        <v>62</v>
      </c>
      <c r="B149" t="s">
        <v>152</v>
      </c>
      <c r="C149" t="s">
        <v>36</v>
      </c>
      <c r="D149" t="s">
        <v>1192</v>
      </c>
      <c r="E149" t="s">
        <v>1193</v>
      </c>
      <c r="F149" t="s">
        <v>1194</v>
      </c>
      <c r="G149" t="s">
        <v>107</v>
      </c>
      <c r="H149" t="s">
        <v>108</v>
      </c>
      <c r="I149" t="s">
        <v>223</v>
      </c>
      <c r="J149" t="s">
        <v>1195</v>
      </c>
      <c r="K149" t="s">
        <v>1196</v>
      </c>
      <c r="L149" t="s">
        <v>112</v>
      </c>
      <c r="M149" t="s">
        <v>1197</v>
      </c>
      <c r="N149" s="22">
        <v>45959.572222222218</v>
      </c>
      <c r="O149" s="22">
        <v>45961.591666666667</v>
      </c>
      <c r="P149" t="s">
        <v>114</v>
      </c>
      <c r="Q149" t="s">
        <v>115</v>
      </c>
      <c r="R149" t="s">
        <v>116</v>
      </c>
      <c r="S149" t="s">
        <v>1198</v>
      </c>
      <c r="T149" t="s">
        <v>118</v>
      </c>
      <c r="U149" t="s">
        <v>1199</v>
      </c>
      <c r="V149" t="s">
        <v>251</v>
      </c>
      <c r="W149" t="s">
        <v>121</v>
      </c>
      <c r="X149" t="s">
        <v>271</v>
      </c>
      <c r="Y149" s="23">
        <v>1</v>
      </c>
      <c r="Z149" s="23">
        <v>1</v>
      </c>
      <c r="AA149" s="23">
        <v>1</v>
      </c>
      <c r="AB149" s="23">
        <v>11251</v>
      </c>
      <c r="AC149" s="26">
        <v>126317</v>
      </c>
      <c r="AD149" s="26">
        <v>110808</v>
      </c>
      <c r="AE149" s="26">
        <v>248376</v>
      </c>
    </row>
    <row r="150" spans="1:31">
      <c r="A150" t="s">
        <v>61</v>
      </c>
      <c r="B150" t="s">
        <v>219</v>
      </c>
      <c r="C150" t="s">
        <v>32</v>
      </c>
      <c r="D150" t="s">
        <v>1200</v>
      </c>
      <c r="E150" t="s">
        <v>1202</v>
      </c>
      <c r="F150" t="s">
        <v>1203</v>
      </c>
      <c r="G150" t="s">
        <v>107</v>
      </c>
      <c r="H150" t="s">
        <v>108</v>
      </c>
      <c r="I150" t="s">
        <v>223</v>
      </c>
      <c r="J150" t="s">
        <v>1201</v>
      </c>
      <c r="K150" t="s">
        <v>1204</v>
      </c>
      <c r="L150" t="s">
        <v>112</v>
      </c>
      <c r="M150" t="s">
        <v>1205</v>
      </c>
      <c r="N150" s="22">
        <v>45959.881944444453</v>
      </c>
      <c r="O150" s="22">
        <v>45961.513888888891</v>
      </c>
      <c r="P150" t="s">
        <v>114</v>
      </c>
      <c r="Q150" t="s">
        <v>115</v>
      </c>
      <c r="R150" t="s">
        <v>116</v>
      </c>
      <c r="S150" t="s">
        <v>1206</v>
      </c>
      <c r="T150" t="s">
        <v>118</v>
      </c>
      <c r="U150" t="s">
        <v>1207</v>
      </c>
      <c r="V150" t="s">
        <v>120</v>
      </c>
      <c r="W150" t="s">
        <v>121</v>
      </c>
      <c r="X150" t="s">
        <v>228</v>
      </c>
      <c r="Y150" s="23">
        <v>1</v>
      </c>
      <c r="Z150" s="23">
        <v>1</v>
      </c>
      <c r="AA150" s="23">
        <v>1</v>
      </c>
      <c r="AB150" s="23">
        <v>11251</v>
      </c>
      <c r="AC150" s="26">
        <v>126317</v>
      </c>
      <c r="AD150" s="26">
        <v>110808</v>
      </c>
      <c r="AE150" s="26">
        <v>248376</v>
      </c>
    </row>
    <row r="151" spans="1:31">
      <c r="A151" t="s">
        <v>31</v>
      </c>
      <c r="B151" t="s">
        <v>219</v>
      </c>
      <c r="C151" t="s">
        <v>32</v>
      </c>
      <c r="D151" t="s">
        <v>1208</v>
      </c>
      <c r="E151" t="s">
        <v>1209</v>
      </c>
      <c r="F151" t="s">
        <v>1210</v>
      </c>
      <c r="G151" t="s">
        <v>107</v>
      </c>
      <c r="H151" t="s">
        <v>108</v>
      </c>
      <c r="I151" t="s">
        <v>223</v>
      </c>
      <c r="J151" t="s">
        <v>1211</v>
      </c>
      <c r="K151" t="s">
        <v>1212</v>
      </c>
      <c r="L151" t="s">
        <v>112</v>
      </c>
      <c r="M151" t="s">
        <v>1213</v>
      </c>
      <c r="N151" s="22">
        <v>45959.881944444453</v>
      </c>
      <c r="O151" s="22">
        <v>45961.662499999999</v>
      </c>
      <c r="P151" t="s">
        <v>114</v>
      </c>
      <c r="Q151" t="s">
        <v>115</v>
      </c>
      <c r="R151" t="s">
        <v>116</v>
      </c>
      <c r="S151" t="s">
        <v>1214</v>
      </c>
      <c r="T151" t="s">
        <v>118</v>
      </c>
      <c r="U151" t="s">
        <v>1215</v>
      </c>
      <c r="V151" t="s">
        <v>251</v>
      </c>
      <c r="W151" t="s">
        <v>121</v>
      </c>
      <c r="X151" t="s">
        <v>437</v>
      </c>
      <c r="Y151" s="23">
        <v>1</v>
      </c>
      <c r="Z151" s="23">
        <v>1</v>
      </c>
      <c r="AA151" s="23">
        <v>1</v>
      </c>
      <c r="AB151" s="23">
        <v>11251</v>
      </c>
      <c r="AC151" s="26">
        <v>126317</v>
      </c>
      <c r="AD151" s="26">
        <v>110808</v>
      </c>
      <c r="AE151" s="26">
        <v>248376</v>
      </c>
    </row>
    <row r="152" spans="1:31">
      <c r="A152" t="s">
        <v>61</v>
      </c>
      <c r="B152" t="s">
        <v>219</v>
      </c>
      <c r="C152" t="s">
        <v>32</v>
      </c>
      <c r="D152" t="s">
        <v>1216</v>
      </c>
      <c r="E152" t="s">
        <v>1217</v>
      </c>
      <c r="F152" t="s">
        <v>1218</v>
      </c>
      <c r="G152" t="s">
        <v>107</v>
      </c>
      <c r="H152" t="s">
        <v>108</v>
      </c>
      <c r="I152" t="s">
        <v>223</v>
      </c>
      <c r="J152" t="s">
        <v>1219</v>
      </c>
      <c r="K152" t="s">
        <v>1220</v>
      </c>
      <c r="L152" t="s">
        <v>112</v>
      </c>
      <c r="M152" t="s">
        <v>1221</v>
      </c>
      <c r="N152" s="22">
        <v>45959.881944444453</v>
      </c>
      <c r="O152" s="22">
        <v>45961.651388888888</v>
      </c>
      <c r="P152" t="s">
        <v>114</v>
      </c>
      <c r="Q152" t="s">
        <v>115</v>
      </c>
      <c r="R152" t="s">
        <v>116</v>
      </c>
      <c r="S152" t="s">
        <v>1222</v>
      </c>
      <c r="T152" t="s">
        <v>118</v>
      </c>
      <c r="U152" t="s">
        <v>1223</v>
      </c>
      <c r="V152" t="s">
        <v>183</v>
      </c>
      <c r="W152" t="s">
        <v>121</v>
      </c>
      <c r="X152" t="s">
        <v>652</v>
      </c>
      <c r="Y152" s="23">
        <v>1</v>
      </c>
      <c r="Z152" s="23">
        <v>1</v>
      </c>
      <c r="AA152" s="23">
        <v>1</v>
      </c>
      <c r="AB152" s="23">
        <v>11251</v>
      </c>
      <c r="AC152" s="26">
        <v>126317</v>
      </c>
      <c r="AD152" s="26">
        <v>110808</v>
      </c>
      <c r="AE152" s="26">
        <v>248376</v>
      </c>
    </row>
    <row r="153" spans="1:31">
      <c r="A153" t="s">
        <v>35</v>
      </c>
      <c r="B153" t="s">
        <v>152</v>
      </c>
      <c r="C153" t="s">
        <v>36</v>
      </c>
      <c r="D153" t="s">
        <v>494</v>
      </c>
      <c r="E153" t="s">
        <v>1224</v>
      </c>
      <c r="F153" t="s">
        <v>1225</v>
      </c>
      <c r="G153" t="s">
        <v>107</v>
      </c>
      <c r="H153" t="s">
        <v>108</v>
      </c>
      <c r="I153" t="s">
        <v>488</v>
      </c>
      <c r="J153" t="s">
        <v>497</v>
      </c>
      <c r="K153" t="s">
        <v>1226</v>
      </c>
      <c r="L153" t="s">
        <v>112</v>
      </c>
      <c r="M153" t="s">
        <v>1227</v>
      </c>
      <c r="N153" s="22">
        <v>45959.578472222223</v>
      </c>
      <c r="O153" s="22">
        <v>45960.643055555563</v>
      </c>
      <c r="P153" t="s">
        <v>114</v>
      </c>
      <c r="Q153" t="s">
        <v>115</v>
      </c>
      <c r="R153" t="s">
        <v>116</v>
      </c>
      <c r="S153" t="s">
        <v>1228</v>
      </c>
      <c r="T153" t="s">
        <v>118</v>
      </c>
      <c r="U153" t="s">
        <v>1229</v>
      </c>
      <c r="V153" t="s">
        <v>8</v>
      </c>
      <c r="W153" t="s">
        <v>121</v>
      </c>
      <c r="X153" t="s">
        <v>1230</v>
      </c>
      <c r="Y153" s="23">
        <v>1</v>
      </c>
      <c r="Z153" s="23">
        <v>1</v>
      </c>
      <c r="AA153" s="23">
        <v>1</v>
      </c>
      <c r="AB153" s="23">
        <v>11251</v>
      </c>
      <c r="AC153" s="26">
        <v>126317</v>
      </c>
      <c r="AD153" s="26">
        <v>57415</v>
      </c>
      <c r="AE153" s="26">
        <v>194983</v>
      </c>
    </row>
    <row r="154" spans="1:31">
      <c r="A154" t="s">
        <v>51</v>
      </c>
      <c r="B154" t="s">
        <v>152</v>
      </c>
      <c r="C154" t="s">
        <v>36</v>
      </c>
      <c r="D154" t="s">
        <v>1231</v>
      </c>
      <c r="E154" t="s">
        <v>1232</v>
      </c>
      <c r="F154" t="s">
        <v>1233</v>
      </c>
      <c r="G154" t="s">
        <v>107</v>
      </c>
      <c r="H154" t="s">
        <v>108</v>
      </c>
      <c r="I154" t="s">
        <v>154</v>
      </c>
      <c r="J154" t="s">
        <v>1234</v>
      </c>
      <c r="K154" t="s">
        <v>1235</v>
      </c>
      <c r="L154" t="s">
        <v>112</v>
      </c>
      <c r="M154" t="s">
        <v>1236</v>
      </c>
      <c r="N154" s="22">
        <v>45959.574305555558</v>
      </c>
      <c r="O154" s="22">
        <v>45960.579861111109</v>
      </c>
      <c r="P154" t="s">
        <v>114</v>
      </c>
      <c r="Q154" t="s">
        <v>115</v>
      </c>
      <c r="R154" t="s">
        <v>116</v>
      </c>
      <c r="S154" t="s">
        <v>1237</v>
      </c>
      <c r="T154" t="s">
        <v>118</v>
      </c>
      <c r="U154" t="s">
        <v>1238</v>
      </c>
      <c r="V154" t="s">
        <v>120</v>
      </c>
      <c r="W154" t="s">
        <v>121</v>
      </c>
      <c r="X154" t="s">
        <v>1239</v>
      </c>
      <c r="Y154" s="23">
        <v>1</v>
      </c>
      <c r="Z154" s="23">
        <v>1</v>
      </c>
      <c r="AA154" s="23">
        <v>1</v>
      </c>
      <c r="AB154" s="23">
        <v>11251</v>
      </c>
      <c r="AC154" s="26">
        <v>126317</v>
      </c>
      <c r="AD154" s="26">
        <v>110808</v>
      </c>
      <c r="AE154" s="26">
        <v>248376</v>
      </c>
    </row>
    <row r="155" spans="1:31">
      <c r="A155" t="s">
        <v>69</v>
      </c>
      <c r="B155" t="s">
        <v>185</v>
      </c>
      <c r="C155" t="s">
        <v>44</v>
      </c>
      <c r="D155" t="s">
        <v>1240</v>
      </c>
      <c r="E155" t="s">
        <v>1241</v>
      </c>
      <c r="F155" t="s">
        <v>1242</v>
      </c>
      <c r="G155" t="s">
        <v>107</v>
      </c>
      <c r="H155" t="s">
        <v>108</v>
      </c>
      <c r="I155" t="s">
        <v>284</v>
      </c>
      <c r="J155" t="s">
        <v>1243</v>
      </c>
      <c r="K155" t="s">
        <v>1244</v>
      </c>
      <c r="L155" t="s">
        <v>112</v>
      </c>
      <c r="M155" t="s">
        <v>1245</v>
      </c>
      <c r="N155" s="22">
        <v>45959.710416666669</v>
      </c>
      <c r="O155" s="22">
        <v>45960.59375</v>
      </c>
      <c r="P155" t="s">
        <v>114</v>
      </c>
      <c r="Q155" t="s">
        <v>115</v>
      </c>
      <c r="R155" t="s">
        <v>116</v>
      </c>
      <c r="S155" t="s">
        <v>1246</v>
      </c>
      <c r="T155" t="s">
        <v>118</v>
      </c>
      <c r="U155" t="s">
        <v>1247</v>
      </c>
      <c r="V155" t="s">
        <v>251</v>
      </c>
      <c r="W155" t="s">
        <v>121</v>
      </c>
      <c r="X155" t="s">
        <v>1248</v>
      </c>
      <c r="Y155" s="23">
        <v>1</v>
      </c>
      <c r="Z155" s="23">
        <v>1</v>
      </c>
      <c r="AA155" s="23">
        <v>1</v>
      </c>
      <c r="AB155" s="23">
        <v>11251</v>
      </c>
      <c r="AC155" s="26">
        <v>126317</v>
      </c>
      <c r="AD155" s="26">
        <v>110808</v>
      </c>
      <c r="AE155" s="26">
        <v>248376</v>
      </c>
    </row>
    <row r="156" spans="1:31">
      <c r="A156" t="s">
        <v>58</v>
      </c>
      <c r="B156" t="s">
        <v>103</v>
      </c>
      <c r="C156" t="s">
        <v>59</v>
      </c>
      <c r="D156" t="s">
        <v>1249</v>
      </c>
      <c r="E156" t="s">
        <v>1250</v>
      </c>
      <c r="F156" t="s">
        <v>1251</v>
      </c>
      <c r="G156" t="s">
        <v>107</v>
      </c>
      <c r="H156" t="s">
        <v>108</v>
      </c>
      <c r="I156" t="s">
        <v>294</v>
      </c>
      <c r="J156" t="s">
        <v>1252</v>
      </c>
      <c r="K156" t="s">
        <v>1253</v>
      </c>
      <c r="L156" t="s">
        <v>112</v>
      </c>
      <c r="M156" t="s">
        <v>1254</v>
      </c>
      <c r="N156" s="22">
        <v>45959.631249999999</v>
      </c>
      <c r="O156" s="22">
        <v>45960.649305555547</v>
      </c>
      <c r="P156" t="s">
        <v>114</v>
      </c>
      <c r="Q156" t="s">
        <v>115</v>
      </c>
      <c r="R156" t="s">
        <v>116</v>
      </c>
      <c r="S156" t="s">
        <v>1255</v>
      </c>
      <c r="T156" t="s">
        <v>118</v>
      </c>
      <c r="U156" t="s">
        <v>1256</v>
      </c>
      <c r="V156" t="s">
        <v>183</v>
      </c>
      <c r="W156" t="s">
        <v>121</v>
      </c>
      <c r="X156" t="s">
        <v>1257</v>
      </c>
      <c r="Y156" s="23">
        <v>1</v>
      </c>
      <c r="Z156" s="23">
        <v>1</v>
      </c>
      <c r="AA156" s="23">
        <v>1</v>
      </c>
      <c r="AB156" s="23">
        <v>11251</v>
      </c>
      <c r="AC156" s="26">
        <v>126317</v>
      </c>
      <c r="AD156" s="26">
        <v>110808</v>
      </c>
      <c r="AE156" s="26">
        <v>248376</v>
      </c>
    </row>
    <row r="157" spans="1:31">
      <c r="A157" t="s">
        <v>47</v>
      </c>
      <c r="B157" t="s">
        <v>103</v>
      </c>
      <c r="C157" t="s">
        <v>48</v>
      </c>
      <c r="D157" t="s">
        <v>1258</v>
      </c>
      <c r="E157" t="s">
        <v>1259</v>
      </c>
      <c r="F157" t="s">
        <v>1260</v>
      </c>
      <c r="G157" t="s">
        <v>107</v>
      </c>
      <c r="H157" t="s">
        <v>108</v>
      </c>
      <c r="I157" t="s">
        <v>304</v>
      </c>
      <c r="J157" t="s">
        <v>66</v>
      </c>
      <c r="K157" t="s">
        <v>1261</v>
      </c>
      <c r="L157" t="s">
        <v>112</v>
      </c>
      <c r="M157" t="s">
        <v>1262</v>
      </c>
      <c r="N157" s="22">
        <v>45959.679861111108</v>
      </c>
      <c r="O157" s="22">
        <v>45961.715277777781</v>
      </c>
      <c r="P157" t="s">
        <v>114</v>
      </c>
      <c r="Q157" t="s">
        <v>115</v>
      </c>
      <c r="R157" t="s">
        <v>116</v>
      </c>
      <c r="S157" t="s">
        <v>1263</v>
      </c>
      <c r="T157" t="s">
        <v>118</v>
      </c>
      <c r="U157" t="s">
        <v>1264</v>
      </c>
      <c r="V157" t="s">
        <v>183</v>
      </c>
      <c r="W157" t="s">
        <v>121</v>
      </c>
      <c r="X157" t="s">
        <v>1265</v>
      </c>
      <c r="Y157" s="23">
        <v>1</v>
      </c>
      <c r="Z157" s="23">
        <v>1</v>
      </c>
      <c r="AA157" s="23">
        <v>1</v>
      </c>
      <c r="AB157" s="23">
        <v>11251</v>
      </c>
      <c r="AC157" s="26">
        <v>126317</v>
      </c>
      <c r="AD157" s="26">
        <v>110808</v>
      </c>
      <c r="AE157" s="26">
        <v>248376</v>
      </c>
    </row>
    <row r="158" spans="1:31">
      <c r="A158" t="s">
        <v>47</v>
      </c>
      <c r="B158" t="s">
        <v>103</v>
      </c>
      <c r="C158" t="s">
        <v>48</v>
      </c>
      <c r="D158" t="s">
        <v>1258</v>
      </c>
      <c r="E158" t="s">
        <v>1266</v>
      </c>
      <c r="F158" t="s">
        <v>1267</v>
      </c>
      <c r="G158" t="s">
        <v>107</v>
      </c>
      <c r="H158" t="s">
        <v>108</v>
      </c>
      <c r="I158" t="s">
        <v>304</v>
      </c>
      <c r="J158" t="s">
        <v>66</v>
      </c>
      <c r="K158" t="s">
        <v>1268</v>
      </c>
      <c r="L158" t="s">
        <v>112</v>
      </c>
      <c r="M158" t="s">
        <v>1269</v>
      </c>
      <c r="N158" s="22">
        <v>45959.679861111108</v>
      </c>
      <c r="O158" s="22">
        <v>45961.517361111109</v>
      </c>
      <c r="P158" t="s">
        <v>114</v>
      </c>
      <c r="Q158" t="s">
        <v>115</v>
      </c>
      <c r="R158" t="s">
        <v>116</v>
      </c>
      <c r="S158" t="s">
        <v>1270</v>
      </c>
      <c r="T158" t="s">
        <v>118</v>
      </c>
      <c r="U158" t="s">
        <v>1271</v>
      </c>
      <c r="V158" t="s">
        <v>183</v>
      </c>
      <c r="W158" t="s">
        <v>121</v>
      </c>
      <c r="X158" t="s">
        <v>1265</v>
      </c>
      <c r="Y158" s="23">
        <v>1</v>
      </c>
      <c r="Z158" s="23">
        <v>1</v>
      </c>
      <c r="AA158" s="23">
        <v>1</v>
      </c>
      <c r="AB158" s="23">
        <v>11251</v>
      </c>
      <c r="AC158" s="26">
        <v>126317</v>
      </c>
      <c r="AD158" s="26">
        <v>110808</v>
      </c>
      <c r="AE158" s="26">
        <v>248376</v>
      </c>
    </row>
    <row r="159" spans="1:31">
      <c r="A159" t="s">
        <v>70</v>
      </c>
      <c r="B159" t="s">
        <v>152</v>
      </c>
      <c r="C159" t="s">
        <v>36</v>
      </c>
      <c r="D159" t="s">
        <v>1272</v>
      </c>
      <c r="E159" t="s">
        <v>1273</v>
      </c>
      <c r="F159" t="s">
        <v>1274</v>
      </c>
      <c r="G159" t="s">
        <v>107</v>
      </c>
      <c r="H159" t="s">
        <v>108</v>
      </c>
      <c r="I159" t="s">
        <v>313</v>
      </c>
      <c r="J159" t="s">
        <v>1275</v>
      </c>
      <c r="K159" t="s">
        <v>1276</v>
      </c>
      <c r="L159" t="s">
        <v>112</v>
      </c>
      <c r="M159" t="s">
        <v>1277</v>
      </c>
      <c r="N159" s="22">
        <v>45959.6875</v>
      </c>
      <c r="O159" s="22">
        <v>45960.677083333343</v>
      </c>
      <c r="P159" t="s">
        <v>114</v>
      </c>
      <c r="Q159" t="s">
        <v>115</v>
      </c>
      <c r="R159" t="s">
        <v>116</v>
      </c>
      <c r="S159" t="s">
        <v>1278</v>
      </c>
      <c r="T159" t="s">
        <v>118</v>
      </c>
      <c r="U159" t="s">
        <v>1279</v>
      </c>
      <c r="V159" t="s">
        <v>120</v>
      </c>
      <c r="W159" t="s">
        <v>121</v>
      </c>
      <c r="X159" t="s">
        <v>371</v>
      </c>
      <c r="Y159" s="23">
        <v>1</v>
      </c>
      <c r="Z159" s="23">
        <v>1</v>
      </c>
      <c r="AA159" s="23">
        <v>1</v>
      </c>
      <c r="AB159" s="23">
        <v>11251</v>
      </c>
      <c r="AC159" s="26">
        <v>126317</v>
      </c>
      <c r="AD159" s="26">
        <v>110808</v>
      </c>
      <c r="AE159" s="26">
        <v>248376</v>
      </c>
    </row>
    <row r="160" spans="1:31">
      <c r="A160" t="s">
        <v>62</v>
      </c>
      <c r="B160" t="s">
        <v>152</v>
      </c>
      <c r="C160" t="s">
        <v>36</v>
      </c>
      <c r="D160" t="s">
        <v>320</v>
      </c>
      <c r="E160" t="s">
        <v>1280</v>
      </c>
      <c r="F160" t="s">
        <v>1281</v>
      </c>
      <c r="G160" t="s">
        <v>107</v>
      </c>
      <c r="H160" t="s">
        <v>108</v>
      </c>
      <c r="I160" t="s">
        <v>323</v>
      </c>
      <c r="J160" t="s">
        <v>62</v>
      </c>
      <c r="K160" t="s">
        <v>1282</v>
      </c>
      <c r="L160" t="s">
        <v>112</v>
      </c>
      <c r="M160" t="s">
        <v>1283</v>
      </c>
      <c r="N160" s="22">
        <v>45959.570138888892</v>
      </c>
      <c r="O160" s="22">
        <v>45960.699305555558</v>
      </c>
      <c r="P160" t="s">
        <v>114</v>
      </c>
      <c r="Q160" t="s">
        <v>115</v>
      </c>
      <c r="R160" t="s">
        <v>116</v>
      </c>
      <c r="S160" t="s">
        <v>1284</v>
      </c>
      <c r="T160" t="s">
        <v>118</v>
      </c>
      <c r="U160" t="s">
        <v>1285</v>
      </c>
      <c r="V160" t="s">
        <v>8</v>
      </c>
      <c r="W160" t="s">
        <v>121</v>
      </c>
      <c r="X160" t="s">
        <v>328</v>
      </c>
      <c r="Y160" s="23">
        <v>1</v>
      </c>
      <c r="Z160" s="23">
        <v>1</v>
      </c>
      <c r="AA160" s="23">
        <v>1</v>
      </c>
      <c r="AB160" s="23">
        <v>11251</v>
      </c>
      <c r="AC160" s="26">
        <v>126317</v>
      </c>
      <c r="AD160" s="26">
        <v>57415</v>
      </c>
      <c r="AE160" s="26">
        <v>194983</v>
      </c>
    </row>
    <row r="161" spans="1:31">
      <c r="A161" t="s">
        <v>62</v>
      </c>
      <c r="B161" t="s">
        <v>152</v>
      </c>
      <c r="C161" t="s">
        <v>36</v>
      </c>
      <c r="D161" t="s">
        <v>1286</v>
      </c>
      <c r="E161" t="s">
        <v>1287</v>
      </c>
      <c r="F161" t="s">
        <v>1288</v>
      </c>
      <c r="G161" t="s">
        <v>107</v>
      </c>
      <c r="H161" t="s">
        <v>108</v>
      </c>
      <c r="I161" t="s">
        <v>323</v>
      </c>
      <c r="J161" t="s">
        <v>1289</v>
      </c>
      <c r="K161" t="s">
        <v>1290</v>
      </c>
      <c r="L161" t="s">
        <v>112</v>
      </c>
      <c r="M161" t="s">
        <v>1291</v>
      </c>
      <c r="N161" s="22">
        <v>45959.572222222218</v>
      </c>
      <c r="O161" s="22">
        <v>45960.647222222222</v>
      </c>
      <c r="P161" t="s">
        <v>114</v>
      </c>
      <c r="Q161" t="s">
        <v>115</v>
      </c>
      <c r="R161" t="s">
        <v>116</v>
      </c>
      <c r="S161" t="s">
        <v>1292</v>
      </c>
      <c r="T161" t="s">
        <v>118</v>
      </c>
      <c r="U161" t="s">
        <v>1293</v>
      </c>
      <c r="V161" t="s">
        <v>251</v>
      </c>
      <c r="W161" t="s">
        <v>121</v>
      </c>
      <c r="X161" t="s">
        <v>271</v>
      </c>
      <c r="Y161" s="23">
        <v>1</v>
      </c>
      <c r="Z161" s="23">
        <v>1</v>
      </c>
      <c r="AA161" s="23">
        <v>1</v>
      </c>
      <c r="AB161" s="23">
        <v>11251</v>
      </c>
      <c r="AC161" s="26">
        <v>126317</v>
      </c>
      <c r="AD161" s="26">
        <v>110808</v>
      </c>
      <c r="AE161" s="26">
        <v>248376</v>
      </c>
    </row>
    <row r="162" spans="1:31">
      <c r="A162" t="s">
        <v>67</v>
      </c>
      <c r="B162" t="s">
        <v>152</v>
      </c>
      <c r="C162" t="s">
        <v>36</v>
      </c>
      <c r="D162" t="s">
        <v>1294</v>
      </c>
      <c r="E162" t="s">
        <v>1295</v>
      </c>
      <c r="F162" t="s">
        <v>1296</v>
      </c>
      <c r="G162" t="s">
        <v>107</v>
      </c>
      <c r="H162" t="s">
        <v>108</v>
      </c>
      <c r="I162" t="s">
        <v>822</v>
      </c>
      <c r="J162" t="s">
        <v>1297</v>
      </c>
      <c r="K162" t="s">
        <v>1298</v>
      </c>
      <c r="L162" t="s">
        <v>112</v>
      </c>
      <c r="M162" t="s">
        <v>1299</v>
      </c>
      <c r="N162" s="22">
        <v>45959.48333333333</v>
      </c>
      <c r="O162" s="22">
        <v>45961.478472222218</v>
      </c>
      <c r="P162" t="s">
        <v>114</v>
      </c>
      <c r="Q162" t="s">
        <v>115</v>
      </c>
      <c r="R162" t="s">
        <v>116</v>
      </c>
      <c r="S162" t="s">
        <v>1300</v>
      </c>
      <c r="T162" t="s">
        <v>118</v>
      </c>
      <c r="U162" t="s">
        <v>1301</v>
      </c>
      <c r="V162" t="s">
        <v>120</v>
      </c>
      <c r="W162" t="s">
        <v>121</v>
      </c>
      <c r="X162" t="s">
        <v>1302</v>
      </c>
      <c r="Y162" s="23">
        <v>1</v>
      </c>
      <c r="Z162" s="23">
        <v>1</v>
      </c>
      <c r="AA162" s="23">
        <v>1</v>
      </c>
      <c r="AB162" s="23">
        <v>11251</v>
      </c>
      <c r="AC162" s="26">
        <v>126317</v>
      </c>
      <c r="AD162" s="26">
        <v>110808</v>
      </c>
      <c r="AE162" s="26">
        <v>248376</v>
      </c>
    </row>
    <row r="163" spans="1:31">
      <c r="A163" t="s">
        <v>64</v>
      </c>
      <c r="B163" t="s">
        <v>103</v>
      </c>
      <c r="C163" t="s">
        <v>48</v>
      </c>
      <c r="D163" t="s">
        <v>522</v>
      </c>
      <c r="E163" t="s">
        <v>1303</v>
      </c>
      <c r="F163" t="s">
        <v>1304</v>
      </c>
      <c r="G163" t="s">
        <v>107</v>
      </c>
      <c r="H163" t="s">
        <v>108</v>
      </c>
      <c r="I163" t="s">
        <v>177</v>
      </c>
      <c r="J163" t="s">
        <v>64</v>
      </c>
      <c r="K163" t="s">
        <v>1305</v>
      </c>
      <c r="L163" t="s">
        <v>112</v>
      </c>
      <c r="M163" t="s">
        <v>1306</v>
      </c>
      <c r="N163" s="22">
        <v>45959.701388888891</v>
      </c>
      <c r="O163" s="22">
        <v>45960.495833333327</v>
      </c>
      <c r="P163" t="s">
        <v>114</v>
      </c>
      <c r="Q163" t="s">
        <v>115</v>
      </c>
      <c r="R163" t="s">
        <v>116</v>
      </c>
      <c r="S163" t="s">
        <v>1307</v>
      </c>
      <c r="T163" t="s">
        <v>118</v>
      </c>
      <c r="U163" t="s">
        <v>1308</v>
      </c>
      <c r="V163" t="s">
        <v>8</v>
      </c>
      <c r="W163" t="s">
        <v>121</v>
      </c>
      <c r="X163" t="s">
        <v>122</v>
      </c>
      <c r="Y163" s="23">
        <v>1</v>
      </c>
      <c r="Z163" s="23">
        <v>1</v>
      </c>
      <c r="AA163" s="23">
        <v>1</v>
      </c>
      <c r="AB163" s="23">
        <v>11251</v>
      </c>
      <c r="AC163" s="26">
        <v>126317</v>
      </c>
      <c r="AD163" s="26">
        <v>57415</v>
      </c>
      <c r="AE163" s="26">
        <v>194983</v>
      </c>
    </row>
    <row r="164" spans="1:31">
      <c r="A164" t="s">
        <v>64</v>
      </c>
      <c r="B164" t="s">
        <v>103</v>
      </c>
      <c r="C164" t="s">
        <v>48</v>
      </c>
      <c r="D164" t="s">
        <v>522</v>
      </c>
      <c r="E164" t="s">
        <v>1309</v>
      </c>
      <c r="F164" t="s">
        <v>1310</v>
      </c>
      <c r="G164" t="s">
        <v>107</v>
      </c>
      <c r="H164" t="s">
        <v>108</v>
      </c>
      <c r="I164" t="s">
        <v>177</v>
      </c>
      <c r="J164" t="s">
        <v>64</v>
      </c>
      <c r="K164" t="s">
        <v>1311</v>
      </c>
      <c r="L164" t="s">
        <v>112</v>
      </c>
      <c r="M164" t="s">
        <v>1312</v>
      </c>
      <c r="N164" s="22">
        <v>45959.70208333333</v>
      </c>
      <c r="O164" s="22">
        <v>45960.679166666669</v>
      </c>
      <c r="P164" t="s">
        <v>114</v>
      </c>
      <c r="Q164" t="s">
        <v>115</v>
      </c>
      <c r="R164" t="s">
        <v>116</v>
      </c>
      <c r="S164" t="s">
        <v>1307</v>
      </c>
      <c r="T164" t="s">
        <v>118</v>
      </c>
      <c r="U164" t="s">
        <v>1313</v>
      </c>
      <c r="V164" t="s">
        <v>8</v>
      </c>
      <c r="W164" t="s">
        <v>121</v>
      </c>
      <c r="X164" t="s">
        <v>122</v>
      </c>
      <c r="Y164" s="23">
        <v>1</v>
      </c>
      <c r="Z164" s="23">
        <v>1</v>
      </c>
      <c r="AA164" s="23">
        <v>1</v>
      </c>
      <c r="AB164" s="23">
        <v>11251</v>
      </c>
      <c r="AC164" s="26">
        <v>126317</v>
      </c>
      <c r="AD164" s="26">
        <v>57415</v>
      </c>
      <c r="AE164" s="26">
        <v>194983</v>
      </c>
    </row>
    <row r="165" spans="1:31">
      <c r="A165" t="s">
        <v>64</v>
      </c>
      <c r="B165" t="s">
        <v>103</v>
      </c>
      <c r="C165" t="s">
        <v>48</v>
      </c>
      <c r="D165" t="s">
        <v>522</v>
      </c>
      <c r="E165" t="s">
        <v>1314</v>
      </c>
      <c r="F165" t="s">
        <v>1315</v>
      </c>
      <c r="G165" t="s">
        <v>107</v>
      </c>
      <c r="H165" t="s">
        <v>108</v>
      </c>
      <c r="I165" t="s">
        <v>177</v>
      </c>
      <c r="J165" t="s">
        <v>64</v>
      </c>
      <c r="K165" t="s">
        <v>1316</v>
      </c>
      <c r="L165" t="s">
        <v>112</v>
      </c>
      <c r="M165" t="s">
        <v>1317</v>
      </c>
      <c r="N165" s="22">
        <v>45959.681250000001</v>
      </c>
      <c r="O165" s="22">
        <v>45961.554861111108</v>
      </c>
      <c r="P165" t="s">
        <v>114</v>
      </c>
      <c r="Q165" t="s">
        <v>115</v>
      </c>
      <c r="R165" t="s">
        <v>142</v>
      </c>
      <c r="S165" t="s">
        <v>1318</v>
      </c>
      <c r="T165" t="s">
        <v>118</v>
      </c>
      <c r="V165" t="s">
        <v>8</v>
      </c>
      <c r="W165" t="s">
        <v>121</v>
      </c>
      <c r="X165" t="s">
        <v>184</v>
      </c>
      <c r="Y165" s="23">
        <v>0</v>
      </c>
      <c r="Z165" s="23">
        <v>0</v>
      </c>
      <c r="AA165" s="23">
        <v>2</v>
      </c>
      <c r="AB165" s="23">
        <v>0</v>
      </c>
      <c r="AC165" s="26">
        <v>0</v>
      </c>
      <c r="AD165" s="26">
        <v>57415</v>
      </c>
      <c r="AE165" s="26">
        <v>114830</v>
      </c>
    </row>
    <row r="166" spans="1:31">
      <c r="A166" t="s">
        <v>64</v>
      </c>
      <c r="B166" t="s">
        <v>103</v>
      </c>
      <c r="C166" t="s">
        <v>48</v>
      </c>
      <c r="D166" t="s">
        <v>522</v>
      </c>
      <c r="E166" t="s">
        <v>1319</v>
      </c>
      <c r="F166" t="s">
        <v>1320</v>
      </c>
      <c r="G166" t="s">
        <v>107</v>
      </c>
      <c r="H166" t="s">
        <v>108</v>
      </c>
      <c r="I166" t="s">
        <v>177</v>
      </c>
      <c r="J166" t="s">
        <v>64</v>
      </c>
      <c r="K166" t="s">
        <v>1321</v>
      </c>
      <c r="L166" t="s">
        <v>112</v>
      </c>
      <c r="M166" t="s">
        <v>1322</v>
      </c>
      <c r="N166" s="22">
        <v>45959.681944444441</v>
      </c>
      <c r="O166" s="22">
        <v>45961.700694444437</v>
      </c>
      <c r="P166" t="s">
        <v>114</v>
      </c>
      <c r="Q166" t="s">
        <v>115</v>
      </c>
      <c r="R166" t="s">
        <v>116</v>
      </c>
      <c r="S166" t="s">
        <v>1323</v>
      </c>
      <c r="T166" t="s">
        <v>118</v>
      </c>
      <c r="U166" t="s">
        <v>1324</v>
      </c>
      <c r="V166" t="s">
        <v>8</v>
      </c>
      <c r="W166" t="s">
        <v>121</v>
      </c>
      <c r="X166" t="s">
        <v>184</v>
      </c>
      <c r="Y166" s="23">
        <v>1</v>
      </c>
      <c r="Z166" s="23">
        <v>1</v>
      </c>
      <c r="AA166" s="23">
        <v>1</v>
      </c>
      <c r="AB166" s="23">
        <v>11251</v>
      </c>
      <c r="AC166" s="26">
        <v>126317</v>
      </c>
      <c r="AD166" s="26">
        <v>57415</v>
      </c>
      <c r="AE166" s="26">
        <v>194983</v>
      </c>
    </row>
    <row r="167" spans="1:31">
      <c r="A167" t="s">
        <v>64</v>
      </c>
      <c r="B167" t="s">
        <v>103</v>
      </c>
      <c r="C167" t="s">
        <v>48</v>
      </c>
      <c r="D167" t="s">
        <v>1325</v>
      </c>
      <c r="E167" t="s">
        <v>1326</v>
      </c>
      <c r="F167" t="s">
        <v>1327</v>
      </c>
      <c r="G167" t="s">
        <v>107</v>
      </c>
      <c r="H167" t="s">
        <v>108</v>
      </c>
      <c r="I167" t="s">
        <v>177</v>
      </c>
      <c r="J167" t="s">
        <v>1328</v>
      </c>
      <c r="K167" t="s">
        <v>1329</v>
      </c>
      <c r="L167" t="s">
        <v>112</v>
      </c>
      <c r="M167" t="s">
        <v>1330</v>
      </c>
      <c r="N167" s="22">
        <v>45959.698611111111</v>
      </c>
      <c r="O167" s="22">
        <v>45960.59652777778</v>
      </c>
      <c r="P167" t="s">
        <v>114</v>
      </c>
      <c r="Q167" t="s">
        <v>115</v>
      </c>
      <c r="R167" t="s">
        <v>116</v>
      </c>
      <c r="S167" t="s">
        <v>1331</v>
      </c>
      <c r="T167" t="s">
        <v>118</v>
      </c>
      <c r="U167" t="s">
        <v>1332</v>
      </c>
      <c r="V167" t="s">
        <v>251</v>
      </c>
      <c r="W167" t="s">
        <v>121</v>
      </c>
      <c r="X167" t="s">
        <v>184</v>
      </c>
      <c r="Y167" s="23">
        <v>1</v>
      </c>
      <c r="Z167" s="23">
        <v>1</v>
      </c>
      <c r="AA167" s="23">
        <v>1</v>
      </c>
      <c r="AB167" s="23">
        <v>11251</v>
      </c>
      <c r="AC167" s="26">
        <v>126317</v>
      </c>
      <c r="AD167" s="26">
        <v>110808</v>
      </c>
      <c r="AE167" s="26">
        <v>248376</v>
      </c>
    </row>
    <row r="168" spans="1:31">
      <c r="A168" t="s">
        <v>64</v>
      </c>
      <c r="B168" t="s">
        <v>103</v>
      </c>
      <c r="C168" t="s">
        <v>48</v>
      </c>
      <c r="D168" t="s">
        <v>1333</v>
      </c>
      <c r="E168" t="s">
        <v>1334</v>
      </c>
      <c r="F168" t="s">
        <v>1335</v>
      </c>
      <c r="G168" t="s">
        <v>107</v>
      </c>
      <c r="H168" t="s">
        <v>108</v>
      </c>
      <c r="I168" t="s">
        <v>177</v>
      </c>
      <c r="J168" t="s">
        <v>1336</v>
      </c>
      <c r="K168" t="s">
        <v>1337</v>
      </c>
      <c r="L168" t="s">
        <v>112</v>
      </c>
      <c r="M168" t="s">
        <v>1338</v>
      </c>
      <c r="N168" s="22">
        <v>45959.684027777781</v>
      </c>
      <c r="O168" s="22">
        <v>45961.715277777781</v>
      </c>
      <c r="P168" t="s">
        <v>114</v>
      </c>
      <c r="Q168" t="s">
        <v>115</v>
      </c>
      <c r="R168" t="s">
        <v>142</v>
      </c>
      <c r="S168" t="s">
        <v>1339</v>
      </c>
      <c r="T168" t="s">
        <v>118</v>
      </c>
      <c r="V168" t="s">
        <v>183</v>
      </c>
      <c r="W168" t="s">
        <v>121</v>
      </c>
      <c r="X168" t="s">
        <v>122</v>
      </c>
      <c r="Y168" s="23">
        <v>0</v>
      </c>
      <c r="Z168" s="23">
        <v>0</v>
      </c>
      <c r="AA168" s="23">
        <v>2</v>
      </c>
      <c r="AB168" s="23">
        <v>0</v>
      </c>
      <c r="AC168" s="26">
        <v>0</v>
      </c>
      <c r="AD168" s="26">
        <v>110808</v>
      </c>
      <c r="AE168" s="26">
        <v>221616</v>
      </c>
    </row>
    <row r="169" spans="1:31">
      <c r="A169" t="s">
        <v>64</v>
      </c>
      <c r="B169" t="s">
        <v>103</v>
      </c>
      <c r="C169" t="s">
        <v>48</v>
      </c>
      <c r="D169" t="s">
        <v>1340</v>
      </c>
      <c r="E169" t="s">
        <v>1341</v>
      </c>
      <c r="F169" t="s">
        <v>1342</v>
      </c>
      <c r="G169" t="s">
        <v>107</v>
      </c>
      <c r="H169" t="s">
        <v>108</v>
      </c>
      <c r="I169" t="s">
        <v>177</v>
      </c>
      <c r="J169" t="s">
        <v>1343</v>
      </c>
      <c r="K169" t="s">
        <v>1344</v>
      </c>
      <c r="L169" t="s">
        <v>112</v>
      </c>
      <c r="M169" t="s">
        <v>1345</v>
      </c>
      <c r="N169" s="22">
        <v>45959.696527777778</v>
      </c>
      <c r="O169" s="22">
        <v>45960.654861111107</v>
      </c>
      <c r="P169" t="s">
        <v>114</v>
      </c>
      <c r="Q169" t="s">
        <v>115</v>
      </c>
      <c r="R169" t="s">
        <v>116</v>
      </c>
      <c r="S169" t="s">
        <v>1346</v>
      </c>
      <c r="T169" t="s">
        <v>118</v>
      </c>
      <c r="U169" t="s">
        <v>1347</v>
      </c>
      <c r="V169" t="s">
        <v>251</v>
      </c>
      <c r="W169" t="s">
        <v>121</v>
      </c>
      <c r="X169" t="s">
        <v>131</v>
      </c>
      <c r="Y169" s="23">
        <v>1</v>
      </c>
      <c r="Z169" s="23">
        <v>1</v>
      </c>
      <c r="AA169" s="23">
        <v>1</v>
      </c>
      <c r="AB169" s="23">
        <v>11251</v>
      </c>
      <c r="AC169" s="26">
        <v>126317</v>
      </c>
      <c r="AD169" s="26">
        <v>110808</v>
      </c>
      <c r="AE169" s="26">
        <v>248376</v>
      </c>
    </row>
    <row r="170" spans="1:31">
      <c r="A170" t="s">
        <v>64</v>
      </c>
      <c r="B170" t="s">
        <v>103</v>
      </c>
      <c r="C170" t="s">
        <v>48</v>
      </c>
      <c r="D170" t="s">
        <v>356</v>
      </c>
      <c r="E170" t="s">
        <v>1348</v>
      </c>
      <c r="F170" t="s">
        <v>1349</v>
      </c>
      <c r="G170" t="s">
        <v>107</v>
      </c>
      <c r="H170" t="s">
        <v>108</v>
      </c>
      <c r="I170" t="s">
        <v>177</v>
      </c>
      <c r="J170" t="s">
        <v>359</v>
      </c>
      <c r="K170" t="s">
        <v>1350</v>
      </c>
      <c r="L170" t="s">
        <v>112</v>
      </c>
      <c r="M170" t="s">
        <v>1351</v>
      </c>
      <c r="N170" s="22">
        <v>45959.69027777778</v>
      </c>
      <c r="O170" s="22">
        <v>45961.580555555563</v>
      </c>
      <c r="P170" t="s">
        <v>114</v>
      </c>
      <c r="Q170" t="s">
        <v>115</v>
      </c>
      <c r="R170" t="s">
        <v>116</v>
      </c>
      <c r="S170" t="s">
        <v>1352</v>
      </c>
      <c r="T170" t="s">
        <v>118</v>
      </c>
      <c r="U170" t="s">
        <v>1353</v>
      </c>
      <c r="V170" t="s">
        <v>251</v>
      </c>
      <c r="W170" t="s">
        <v>121</v>
      </c>
      <c r="X170" t="s">
        <v>131</v>
      </c>
      <c r="Y170" s="23">
        <v>1</v>
      </c>
      <c r="Z170" s="23">
        <v>1</v>
      </c>
      <c r="AA170" s="23">
        <v>1</v>
      </c>
      <c r="AB170" s="23">
        <v>11251</v>
      </c>
      <c r="AC170" s="26">
        <v>126317</v>
      </c>
      <c r="AD170" s="26">
        <v>110808</v>
      </c>
      <c r="AE170" s="26">
        <v>248376</v>
      </c>
    </row>
    <row r="171" spans="1:31">
      <c r="A171" t="s">
        <v>65</v>
      </c>
      <c r="B171" t="s">
        <v>103</v>
      </c>
      <c r="C171" t="s">
        <v>59</v>
      </c>
      <c r="D171" t="s">
        <v>1354</v>
      </c>
      <c r="E171" t="s">
        <v>1355</v>
      </c>
      <c r="F171" t="s">
        <v>1356</v>
      </c>
      <c r="G171" t="s">
        <v>107</v>
      </c>
      <c r="H171" t="s">
        <v>108</v>
      </c>
      <c r="I171" t="s">
        <v>1357</v>
      </c>
      <c r="J171" t="s">
        <v>65</v>
      </c>
      <c r="K171" t="s">
        <v>1358</v>
      </c>
      <c r="L171" t="s">
        <v>112</v>
      </c>
      <c r="M171" t="s">
        <v>1359</v>
      </c>
      <c r="N171" s="22">
        <v>45959.640277777777</v>
      </c>
      <c r="O171" s="22">
        <v>45960.531944444447</v>
      </c>
      <c r="P171" t="s">
        <v>114</v>
      </c>
      <c r="Q171" t="s">
        <v>115</v>
      </c>
      <c r="R171" t="s">
        <v>116</v>
      </c>
      <c r="S171" t="s">
        <v>1360</v>
      </c>
      <c r="T171" t="s">
        <v>118</v>
      </c>
      <c r="U171" t="s">
        <v>1361</v>
      </c>
      <c r="V171" t="s">
        <v>8</v>
      </c>
      <c r="W171" t="s">
        <v>121</v>
      </c>
      <c r="X171" t="s">
        <v>300</v>
      </c>
      <c r="Y171" s="23">
        <v>1</v>
      </c>
      <c r="Z171" s="23">
        <v>1</v>
      </c>
      <c r="AA171" s="23">
        <v>1</v>
      </c>
      <c r="AB171" s="23">
        <v>11251</v>
      </c>
      <c r="AC171" s="26">
        <v>126317</v>
      </c>
      <c r="AD171" s="26">
        <v>57415</v>
      </c>
      <c r="AE171" s="26">
        <v>194983</v>
      </c>
    </row>
    <row r="172" spans="1:31">
      <c r="A172" t="s">
        <v>65</v>
      </c>
      <c r="B172" t="s">
        <v>103</v>
      </c>
      <c r="C172" t="s">
        <v>59</v>
      </c>
      <c r="D172" t="s">
        <v>1354</v>
      </c>
      <c r="E172" t="s">
        <v>1362</v>
      </c>
      <c r="F172" t="s">
        <v>1363</v>
      </c>
      <c r="G172" t="s">
        <v>107</v>
      </c>
      <c r="H172" t="s">
        <v>108</v>
      </c>
      <c r="I172" t="s">
        <v>1357</v>
      </c>
      <c r="J172" t="s">
        <v>65</v>
      </c>
      <c r="K172" t="s">
        <v>1364</v>
      </c>
      <c r="L172" t="s">
        <v>112</v>
      </c>
      <c r="M172" t="s">
        <v>1365</v>
      </c>
      <c r="N172" s="22">
        <v>45959.640972222223</v>
      </c>
      <c r="O172" s="22">
        <v>45960.581250000003</v>
      </c>
      <c r="P172" t="s">
        <v>114</v>
      </c>
      <c r="Q172" t="s">
        <v>115</v>
      </c>
      <c r="R172" t="s">
        <v>142</v>
      </c>
      <c r="S172" t="s">
        <v>1366</v>
      </c>
      <c r="T172" t="s">
        <v>118</v>
      </c>
      <c r="V172" t="s">
        <v>8</v>
      </c>
      <c r="W172" t="s">
        <v>121</v>
      </c>
      <c r="X172" t="s">
        <v>300</v>
      </c>
      <c r="Y172" s="23">
        <v>0</v>
      </c>
      <c r="Z172" s="23">
        <v>0</v>
      </c>
      <c r="AA172" s="23">
        <v>2</v>
      </c>
      <c r="AB172" s="23">
        <v>0</v>
      </c>
      <c r="AC172" s="26">
        <v>0</v>
      </c>
      <c r="AD172" s="26">
        <v>57415</v>
      </c>
      <c r="AE172" s="26">
        <v>114830</v>
      </c>
    </row>
    <row r="173" spans="1:31">
      <c r="A173" t="s">
        <v>68</v>
      </c>
      <c r="B173" t="s">
        <v>152</v>
      </c>
      <c r="C173" t="s">
        <v>36</v>
      </c>
      <c r="D173" t="s">
        <v>1367</v>
      </c>
      <c r="E173" t="s">
        <v>1368</v>
      </c>
      <c r="F173" t="s">
        <v>1369</v>
      </c>
      <c r="G173" t="s">
        <v>107</v>
      </c>
      <c r="H173" t="s">
        <v>108</v>
      </c>
      <c r="I173" t="s">
        <v>754</v>
      </c>
      <c r="J173" t="s">
        <v>1370</v>
      </c>
      <c r="K173" t="s">
        <v>1371</v>
      </c>
      <c r="L173" t="s">
        <v>112</v>
      </c>
      <c r="M173" t="s">
        <v>1372</v>
      </c>
      <c r="N173" s="22">
        <v>45959.48541666667</v>
      </c>
      <c r="O173" s="22">
        <v>45961.570138888892</v>
      </c>
      <c r="P173" t="s">
        <v>114</v>
      </c>
      <c r="Q173" t="s">
        <v>115</v>
      </c>
      <c r="R173" t="s">
        <v>142</v>
      </c>
      <c r="S173" t="s">
        <v>1373</v>
      </c>
      <c r="T173" t="s">
        <v>118</v>
      </c>
      <c r="V173" t="s">
        <v>183</v>
      </c>
      <c r="W173" t="s">
        <v>121</v>
      </c>
      <c r="X173" t="s">
        <v>760</v>
      </c>
      <c r="Y173" s="23">
        <v>0</v>
      </c>
      <c r="Z173" s="23">
        <v>0</v>
      </c>
      <c r="AA173" s="23">
        <v>2</v>
      </c>
      <c r="AB173" s="23">
        <v>0</v>
      </c>
      <c r="AC173" s="26">
        <v>0</v>
      </c>
      <c r="AD173" s="26">
        <v>110808</v>
      </c>
      <c r="AE173" s="26">
        <v>221616</v>
      </c>
    </row>
    <row r="174" spans="1:31">
      <c r="A174" t="s">
        <v>57</v>
      </c>
      <c r="B174" t="s">
        <v>155</v>
      </c>
      <c r="C174" t="s">
        <v>54</v>
      </c>
      <c r="D174" t="s">
        <v>1374</v>
      </c>
      <c r="E174" t="s">
        <v>1375</v>
      </c>
      <c r="F174" t="s">
        <v>1376</v>
      </c>
      <c r="G174" t="s">
        <v>107</v>
      </c>
      <c r="H174" t="s">
        <v>108</v>
      </c>
      <c r="I174" t="s">
        <v>949</v>
      </c>
      <c r="J174" t="s">
        <v>1377</v>
      </c>
      <c r="K174" t="s">
        <v>1378</v>
      </c>
      <c r="L174" t="s">
        <v>112</v>
      </c>
      <c r="M174" t="s">
        <v>1379</v>
      </c>
      <c r="N174" s="22">
        <v>45959.97152777778</v>
      </c>
      <c r="O174" s="22">
        <v>45961.715277777781</v>
      </c>
      <c r="P174" t="s">
        <v>114</v>
      </c>
      <c r="Q174" t="s">
        <v>115</v>
      </c>
      <c r="R174" t="s">
        <v>116</v>
      </c>
      <c r="S174" t="s">
        <v>1380</v>
      </c>
      <c r="T174" t="s">
        <v>118</v>
      </c>
      <c r="U174" t="s">
        <v>1381</v>
      </c>
      <c r="V174" t="s">
        <v>183</v>
      </c>
      <c r="W174" t="s">
        <v>121</v>
      </c>
      <c r="X174" t="s">
        <v>1382</v>
      </c>
      <c r="Y174" s="23">
        <v>1</v>
      </c>
      <c r="Z174" s="23">
        <v>1</v>
      </c>
      <c r="AA174" s="23">
        <v>1</v>
      </c>
      <c r="AB174" s="23">
        <v>11251</v>
      </c>
      <c r="AC174" s="26">
        <v>126317</v>
      </c>
      <c r="AD174" s="26">
        <v>110808</v>
      </c>
      <c r="AE174" s="26">
        <v>248376</v>
      </c>
    </row>
    <row r="175" spans="1:31">
      <c r="A175" t="s">
        <v>47</v>
      </c>
      <c r="B175" t="s">
        <v>103</v>
      </c>
      <c r="C175" t="s">
        <v>48</v>
      </c>
      <c r="D175" t="s">
        <v>205</v>
      </c>
      <c r="E175" t="s">
        <v>1383</v>
      </c>
      <c r="F175" t="s">
        <v>1384</v>
      </c>
      <c r="G175" t="s">
        <v>107</v>
      </c>
      <c r="H175" t="s">
        <v>108</v>
      </c>
      <c r="I175" t="s">
        <v>208</v>
      </c>
      <c r="J175" t="s">
        <v>47</v>
      </c>
      <c r="K175" t="s">
        <v>1385</v>
      </c>
      <c r="L175" t="s">
        <v>112</v>
      </c>
      <c r="M175" t="s">
        <v>1386</v>
      </c>
      <c r="N175" s="22">
        <v>45959.724305555559</v>
      </c>
      <c r="O175" s="22">
        <v>45961.725694444453</v>
      </c>
      <c r="P175" t="s">
        <v>114</v>
      </c>
      <c r="Q175" t="s">
        <v>115</v>
      </c>
      <c r="R175" t="s">
        <v>116</v>
      </c>
      <c r="S175" t="s">
        <v>1387</v>
      </c>
      <c r="T175" t="s">
        <v>118</v>
      </c>
      <c r="U175" t="s">
        <v>1388</v>
      </c>
      <c r="V175" t="s">
        <v>8</v>
      </c>
      <c r="W175" t="s">
        <v>121</v>
      </c>
      <c r="X175" t="s">
        <v>212</v>
      </c>
      <c r="Y175" s="23">
        <v>1</v>
      </c>
      <c r="Z175" s="23">
        <v>1</v>
      </c>
      <c r="AA175" s="23">
        <v>1</v>
      </c>
      <c r="AB175" s="23">
        <v>11251</v>
      </c>
      <c r="AC175" s="26">
        <v>126317</v>
      </c>
      <c r="AD175" s="26">
        <v>57415</v>
      </c>
      <c r="AE175" s="26">
        <v>194983</v>
      </c>
    </row>
    <row r="176" spans="1:31">
      <c r="A176" t="s">
        <v>47</v>
      </c>
      <c r="B176" t="s">
        <v>103</v>
      </c>
      <c r="C176" t="s">
        <v>48</v>
      </c>
      <c r="D176" t="s">
        <v>205</v>
      </c>
      <c r="E176" t="s">
        <v>1389</v>
      </c>
      <c r="F176" t="s">
        <v>1390</v>
      </c>
      <c r="G176" t="s">
        <v>107</v>
      </c>
      <c r="H176" t="s">
        <v>108</v>
      </c>
      <c r="I176" t="s">
        <v>208</v>
      </c>
      <c r="J176" t="s">
        <v>47</v>
      </c>
      <c r="K176" t="s">
        <v>1391</v>
      </c>
      <c r="L176" t="s">
        <v>112</v>
      </c>
      <c r="M176" t="s">
        <v>1392</v>
      </c>
      <c r="N176" s="22">
        <v>45959.711111111108</v>
      </c>
      <c r="O176" s="22">
        <v>45960.53402777778</v>
      </c>
      <c r="P176" t="s">
        <v>114</v>
      </c>
      <c r="Q176" t="s">
        <v>115</v>
      </c>
      <c r="R176" t="s">
        <v>116</v>
      </c>
      <c r="S176" t="s">
        <v>1393</v>
      </c>
      <c r="T176" t="s">
        <v>118</v>
      </c>
      <c r="U176" t="s">
        <v>1394</v>
      </c>
      <c r="V176" t="s">
        <v>8</v>
      </c>
      <c r="W176" t="s">
        <v>121</v>
      </c>
      <c r="X176" t="s">
        <v>400</v>
      </c>
      <c r="Y176" s="23">
        <v>1</v>
      </c>
      <c r="Z176" s="23">
        <v>1</v>
      </c>
      <c r="AA176" s="23">
        <v>1</v>
      </c>
      <c r="AB176" s="23">
        <v>11251</v>
      </c>
      <c r="AC176" s="26">
        <v>126317</v>
      </c>
      <c r="AD176" s="26">
        <v>57415</v>
      </c>
      <c r="AE176" s="26">
        <v>194983</v>
      </c>
    </row>
    <row r="177" spans="1:31">
      <c r="A177" t="s">
        <v>65</v>
      </c>
      <c r="B177" t="s">
        <v>103</v>
      </c>
      <c r="C177" t="s">
        <v>59</v>
      </c>
      <c r="D177" t="s">
        <v>1395</v>
      </c>
      <c r="E177" t="s">
        <v>1396</v>
      </c>
      <c r="F177" t="s">
        <v>1397</v>
      </c>
      <c r="G177" t="s">
        <v>107</v>
      </c>
      <c r="H177" t="s">
        <v>108</v>
      </c>
      <c r="I177" t="s">
        <v>208</v>
      </c>
      <c r="J177" t="s">
        <v>154</v>
      </c>
      <c r="K177" t="s">
        <v>1398</v>
      </c>
      <c r="L177" t="s">
        <v>112</v>
      </c>
      <c r="M177" t="s">
        <v>1399</v>
      </c>
      <c r="N177" s="22">
        <v>45959.751388888893</v>
      </c>
      <c r="O177" s="22">
        <v>45961.715277777781</v>
      </c>
      <c r="P177" t="s">
        <v>114</v>
      </c>
      <c r="Q177" t="s">
        <v>115</v>
      </c>
      <c r="R177" t="s">
        <v>116</v>
      </c>
      <c r="S177" t="s">
        <v>1400</v>
      </c>
      <c r="T177" t="s">
        <v>118</v>
      </c>
      <c r="U177" t="s">
        <v>1401</v>
      </c>
      <c r="V177" t="s">
        <v>251</v>
      </c>
      <c r="W177" t="s">
        <v>121</v>
      </c>
      <c r="X177" t="s">
        <v>387</v>
      </c>
      <c r="Y177" s="23">
        <v>1</v>
      </c>
      <c r="Z177" s="23">
        <v>1</v>
      </c>
      <c r="AA177" s="23">
        <v>1</v>
      </c>
      <c r="AB177" s="23">
        <v>11251</v>
      </c>
      <c r="AC177" s="26">
        <v>126317</v>
      </c>
      <c r="AD177" s="26">
        <v>110808</v>
      </c>
      <c r="AE177" s="26">
        <v>248376</v>
      </c>
    </row>
    <row r="178" spans="1:31">
      <c r="A178" t="s">
        <v>47</v>
      </c>
      <c r="B178" t="s">
        <v>103</v>
      </c>
      <c r="C178" t="s">
        <v>48</v>
      </c>
      <c r="D178" t="s">
        <v>1402</v>
      </c>
      <c r="E178" t="s">
        <v>1403</v>
      </c>
      <c r="F178" t="s">
        <v>1404</v>
      </c>
      <c r="G178" t="s">
        <v>107</v>
      </c>
      <c r="H178" t="s">
        <v>108</v>
      </c>
      <c r="I178" t="s">
        <v>208</v>
      </c>
      <c r="J178" t="s">
        <v>1405</v>
      </c>
      <c r="K178" t="s">
        <v>1406</v>
      </c>
      <c r="L178" t="s">
        <v>112</v>
      </c>
      <c r="M178" t="s">
        <v>1407</v>
      </c>
      <c r="N178" s="22">
        <v>45959.669444444437</v>
      </c>
      <c r="O178" s="22">
        <v>45960.583333333343</v>
      </c>
      <c r="P178" t="s">
        <v>114</v>
      </c>
      <c r="Q178" t="s">
        <v>115</v>
      </c>
      <c r="R178" t="s">
        <v>116</v>
      </c>
      <c r="S178" t="s">
        <v>1408</v>
      </c>
      <c r="T178" t="s">
        <v>118</v>
      </c>
      <c r="U178" t="s">
        <v>1409</v>
      </c>
      <c r="V178" t="s">
        <v>251</v>
      </c>
      <c r="W178" t="s">
        <v>121</v>
      </c>
      <c r="X178" t="s">
        <v>387</v>
      </c>
      <c r="Y178" s="23">
        <v>1</v>
      </c>
      <c r="Z178" s="23">
        <v>1</v>
      </c>
      <c r="AA178" s="23">
        <v>1</v>
      </c>
      <c r="AB178" s="23">
        <v>11251</v>
      </c>
      <c r="AC178" s="26">
        <v>126317</v>
      </c>
      <c r="AD178" s="26">
        <v>110808</v>
      </c>
      <c r="AE178" s="26">
        <v>248376</v>
      </c>
    </row>
    <row r="179" spans="1:31">
      <c r="A179" t="s">
        <v>47</v>
      </c>
      <c r="B179" t="s">
        <v>103</v>
      </c>
      <c r="C179" t="s">
        <v>48</v>
      </c>
      <c r="D179" t="s">
        <v>1402</v>
      </c>
      <c r="E179" t="s">
        <v>1410</v>
      </c>
      <c r="F179" t="s">
        <v>1411</v>
      </c>
      <c r="G179" t="s">
        <v>107</v>
      </c>
      <c r="H179" t="s">
        <v>108</v>
      </c>
      <c r="I179" t="s">
        <v>208</v>
      </c>
      <c r="J179" t="s">
        <v>1405</v>
      </c>
      <c r="K179" t="s">
        <v>1412</v>
      </c>
      <c r="L179" t="s">
        <v>112</v>
      </c>
      <c r="M179" t="s">
        <v>1413</v>
      </c>
      <c r="N179" s="22">
        <v>45959.669444444437</v>
      </c>
      <c r="O179" s="22">
        <v>45961.292361111111</v>
      </c>
      <c r="P179" t="s">
        <v>114</v>
      </c>
      <c r="Q179" t="s">
        <v>115</v>
      </c>
      <c r="R179" t="s">
        <v>116</v>
      </c>
      <c r="S179" t="s">
        <v>1414</v>
      </c>
      <c r="T179" t="s">
        <v>118</v>
      </c>
      <c r="U179" t="s">
        <v>1415</v>
      </c>
      <c r="V179" t="s">
        <v>251</v>
      </c>
      <c r="W179" t="s">
        <v>121</v>
      </c>
      <c r="X179" t="s">
        <v>387</v>
      </c>
      <c r="Y179" s="23">
        <v>1</v>
      </c>
      <c r="Z179" s="23">
        <v>1</v>
      </c>
      <c r="AA179" s="23">
        <v>1</v>
      </c>
      <c r="AB179" s="23">
        <v>11251</v>
      </c>
      <c r="AC179" s="26">
        <v>126317</v>
      </c>
      <c r="AD179" s="26">
        <v>110808</v>
      </c>
      <c r="AE179" s="26">
        <v>248376</v>
      </c>
    </row>
    <row r="180" spans="1:31">
      <c r="A180" t="s">
        <v>47</v>
      </c>
      <c r="B180" t="s">
        <v>103</v>
      </c>
      <c r="C180" t="s">
        <v>48</v>
      </c>
      <c r="D180" t="s">
        <v>1078</v>
      </c>
      <c r="E180" t="s">
        <v>1416</v>
      </c>
      <c r="F180" t="s">
        <v>1417</v>
      </c>
      <c r="G180" t="s">
        <v>107</v>
      </c>
      <c r="H180" t="s">
        <v>108</v>
      </c>
      <c r="I180" t="s">
        <v>208</v>
      </c>
      <c r="J180" t="s">
        <v>1081</v>
      </c>
      <c r="K180" t="s">
        <v>1418</v>
      </c>
      <c r="L180" t="s">
        <v>112</v>
      </c>
      <c r="M180" t="s">
        <v>1419</v>
      </c>
      <c r="N180" s="22">
        <v>45959.711111111108</v>
      </c>
      <c r="O180" s="22">
        <v>45961.645138888889</v>
      </c>
      <c r="P180" t="s">
        <v>114</v>
      </c>
      <c r="Q180" t="s">
        <v>115</v>
      </c>
      <c r="R180" t="s">
        <v>116</v>
      </c>
      <c r="S180" t="s">
        <v>1420</v>
      </c>
      <c r="T180" t="s">
        <v>118</v>
      </c>
      <c r="U180" t="s">
        <v>1421</v>
      </c>
      <c r="V180" t="s">
        <v>251</v>
      </c>
      <c r="W180" t="s">
        <v>121</v>
      </c>
      <c r="X180" t="s">
        <v>549</v>
      </c>
      <c r="Y180" s="23">
        <v>1</v>
      </c>
      <c r="Z180" s="23">
        <v>1</v>
      </c>
      <c r="AA180" s="23">
        <v>1</v>
      </c>
      <c r="AB180" s="23">
        <v>11251</v>
      </c>
      <c r="AC180" s="26">
        <v>126317</v>
      </c>
      <c r="AD180" s="26">
        <v>110808</v>
      </c>
      <c r="AE180" s="26">
        <v>248376</v>
      </c>
    </row>
    <row r="181" spans="1:31">
      <c r="A181" t="s">
        <v>39</v>
      </c>
      <c r="B181" t="s">
        <v>438</v>
      </c>
      <c r="C181" t="s">
        <v>40</v>
      </c>
      <c r="D181" t="s">
        <v>439</v>
      </c>
      <c r="E181" t="s">
        <v>1422</v>
      </c>
      <c r="F181" t="s">
        <v>1423</v>
      </c>
      <c r="G181" t="s">
        <v>107</v>
      </c>
      <c r="H181" t="s">
        <v>108</v>
      </c>
      <c r="I181" t="s">
        <v>438</v>
      </c>
      <c r="J181" t="s">
        <v>39</v>
      </c>
      <c r="K181" t="s">
        <v>1424</v>
      </c>
      <c r="L181" t="s">
        <v>112</v>
      </c>
      <c r="M181" t="s">
        <v>1425</v>
      </c>
      <c r="N181" s="22">
        <v>45959.208333333343</v>
      </c>
      <c r="O181" s="22">
        <v>45960.468055555553</v>
      </c>
      <c r="P181" t="s">
        <v>114</v>
      </c>
      <c r="Q181" t="s">
        <v>115</v>
      </c>
      <c r="R181" t="s">
        <v>116</v>
      </c>
      <c r="S181" t="s">
        <v>1426</v>
      </c>
      <c r="T181" t="s">
        <v>118</v>
      </c>
      <c r="U181" t="s">
        <v>1427</v>
      </c>
      <c r="V181" t="s">
        <v>8</v>
      </c>
      <c r="W181" t="s">
        <v>121</v>
      </c>
      <c r="X181" t="s">
        <v>576</v>
      </c>
      <c r="Y181" s="23">
        <v>1</v>
      </c>
      <c r="Z181" s="23">
        <v>1</v>
      </c>
      <c r="AA181" s="23">
        <v>1</v>
      </c>
      <c r="AB181" s="23">
        <v>11251</v>
      </c>
      <c r="AC181" s="26">
        <v>126317</v>
      </c>
      <c r="AD181" s="26">
        <v>57415</v>
      </c>
      <c r="AE181" s="26">
        <v>194983</v>
      </c>
    </row>
    <row r="182" spans="1:31">
      <c r="A182" t="s">
        <v>39</v>
      </c>
      <c r="B182" t="s">
        <v>438</v>
      </c>
      <c r="C182" t="s">
        <v>40</v>
      </c>
      <c r="D182" t="s">
        <v>439</v>
      </c>
      <c r="E182" t="s">
        <v>1428</v>
      </c>
      <c r="F182" t="s">
        <v>1429</v>
      </c>
      <c r="G182" t="s">
        <v>107</v>
      </c>
      <c r="H182" t="s">
        <v>108</v>
      </c>
      <c r="I182" t="s">
        <v>438</v>
      </c>
      <c r="J182" t="s">
        <v>39</v>
      </c>
      <c r="K182" t="s">
        <v>1430</v>
      </c>
      <c r="L182" t="s">
        <v>112</v>
      </c>
      <c r="M182" t="s">
        <v>1431</v>
      </c>
      <c r="N182" s="22">
        <v>45959.541666666657</v>
      </c>
      <c r="O182" s="22">
        <v>45960.586111111108</v>
      </c>
      <c r="P182" t="s">
        <v>114</v>
      </c>
      <c r="Q182" t="s">
        <v>115</v>
      </c>
      <c r="R182" t="s">
        <v>116</v>
      </c>
      <c r="S182" t="s">
        <v>1432</v>
      </c>
      <c r="T182" t="s">
        <v>118</v>
      </c>
      <c r="U182" t="s">
        <v>1433</v>
      </c>
      <c r="V182" t="s">
        <v>8</v>
      </c>
      <c r="W182" t="s">
        <v>121</v>
      </c>
      <c r="X182" t="s">
        <v>576</v>
      </c>
      <c r="Y182" s="23">
        <v>1</v>
      </c>
      <c r="Z182" s="23">
        <v>1</v>
      </c>
      <c r="AA182" s="23">
        <v>1</v>
      </c>
      <c r="AB182" s="23">
        <v>11251</v>
      </c>
      <c r="AC182" s="26">
        <v>126317</v>
      </c>
      <c r="AD182" s="26">
        <v>57415</v>
      </c>
      <c r="AE182" s="26">
        <v>194983</v>
      </c>
    </row>
    <row r="183" spans="1:31">
      <c r="AE183" s="42">
        <f>SUM(AE2:AE182)</f>
        <v>38938425</v>
      </c>
    </row>
  </sheetData>
  <autoFilter ref="A1:AE182" xr:uid="{00000000-0009-0000-0000-000002000000}"/>
  <conditionalFormatting sqref="E1:E1048576">
    <cfRule type="duplicateValues" dxfId="0" priority="1"/>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91"/>
  <sheetViews>
    <sheetView topLeftCell="W1" workbookViewId="0">
      <selection activeCell="Z1" sqref="Z1"/>
    </sheetView>
  </sheetViews>
  <sheetFormatPr baseColWidth="10" defaultColWidth="9.140625" defaultRowHeight="15"/>
  <cols>
    <col min="1" max="1" width="15" customWidth="1"/>
    <col min="2" max="2" width="29" customWidth="1"/>
    <col min="3" max="3" width="27" customWidth="1"/>
    <col min="4" max="4" width="13" customWidth="1"/>
    <col min="5" max="5" width="21" customWidth="1"/>
    <col min="6" max="6" width="12" customWidth="1"/>
    <col min="7" max="7" width="15" customWidth="1"/>
    <col min="8" max="8" width="20" customWidth="1"/>
    <col min="9" max="9" width="24" customWidth="1"/>
    <col min="10" max="10" width="42" customWidth="1"/>
    <col min="11" max="11" width="10" customWidth="1"/>
    <col min="12" max="12" width="15" customWidth="1"/>
    <col min="13" max="13" width="41" customWidth="1"/>
    <col min="14" max="14" width="44" customWidth="1"/>
    <col min="15" max="15" width="11" customWidth="1"/>
    <col min="16" max="16" width="12" customWidth="1"/>
    <col min="17" max="17" width="16" customWidth="1"/>
    <col min="18" max="18" width="14" customWidth="1"/>
    <col min="19" max="19" width="15" customWidth="1"/>
    <col min="20" max="20" width="23" customWidth="1"/>
    <col min="21" max="21" width="26" customWidth="1"/>
    <col min="22" max="22" width="50" customWidth="1"/>
    <col min="23" max="23" width="20" customWidth="1"/>
    <col min="24" max="25" width="14" customWidth="1"/>
    <col min="26" max="26" width="19" customWidth="1"/>
    <col min="27" max="27" width="36" customWidth="1"/>
    <col min="28" max="28" width="16" customWidth="1"/>
    <col min="29" max="29" width="27" customWidth="1"/>
    <col min="30" max="30" width="17" style="26" customWidth="1"/>
    <col min="31" max="31" width="39" style="26" customWidth="1"/>
  </cols>
  <sheetData>
    <row r="1" spans="1:31" ht="30">
      <c r="A1" s="21" t="s">
        <v>73</v>
      </c>
      <c r="B1" s="21" t="s">
        <v>74</v>
      </c>
      <c r="C1" s="21" t="s">
        <v>75</v>
      </c>
      <c r="D1" s="21" t="s">
        <v>76</v>
      </c>
      <c r="E1" s="21" t="s">
        <v>77</v>
      </c>
      <c r="F1" s="21" t="s">
        <v>78</v>
      </c>
      <c r="G1" s="21" t="s">
        <v>79</v>
      </c>
      <c r="H1" s="21" t="s">
        <v>81</v>
      </c>
      <c r="I1" s="21" t="s">
        <v>27</v>
      </c>
      <c r="J1" s="21" t="s">
        <v>82</v>
      </c>
      <c r="K1" s="21" t="s">
        <v>83</v>
      </c>
      <c r="L1" s="21" t="s">
        <v>84</v>
      </c>
      <c r="M1" s="21" t="s">
        <v>1434</v>
      </c>
      <c r="N1" s="21" t="s">
        <v>1435</v>
      </c>
      <c r="O1" s="21" t="s">
        <v>1436</v>
      </c>
      <c r="P1" s="21" t="s">
        <v>1437</v>
      </c>
      <c r="Q1" s="21" t="s">
        <v>29</v>
      </c>
      <c r="R1" s="21" t="s">
        <v>87</v>
      </c>
      <c r="S1" s="21" t="s">
        <v>88</v>
      </c>
      <c r="T1" s="21" t="s">
        <v>89</v>
      </c>
      <c r="U1" s="21" t="s">
        <v>1438</v>
      </c>
      <c r="V1" s="21" t="s">
        <v>1439</v>
      </c>
      <c r="W1" s="21" t="s">
        <v>91</v>
      </c>
      <c r="X1" s="21" t="s">
        <v>92</v>
      </c>
      <c r="Y1" s="21" t="s">
        <v>93</v>
      </c>
      <c r="Z1" s="21" t="s">
        <v>94</v>
      </c>
      <c r="AA1" s="21" t="s">
        <v>95</v>
      </c>
      <c r="AB1" s="21" t="s">
        <v>1440</v>
      </c>
      <c r="AC1" s="21" t="s">
        <v>1441</v>
      </c>
      <c r="AD1" s="25" t="s">
        <v>1442</v>
      </c>
      <c r="AE1" s="25" t="s">
        <v>102</v>
      </c>
    </row>
    <row r="2" spans="1:31">
      <c r="A2" t="s">
        <v>39</v>
      </c>
      <c r="B2" t="s">
        <v>438</v>
      </c>
      <c r="C2" t="s">
        <v>40</v>
      </c>
      <c r="D2" t="s">
        <v>1443</v>
      </c>
      <c r="E2" t="s">
        <v>1444</v>
      </c>
      <c r="F2" t="s">
        <v>1445</v>
      </c>
      <c r="G2" t="s">
        <v>1446</v>
      </c>
      <c r="H2" t="s">
        <v>438</v>
      </c>
      <c r="I2" t="s">
        <v>1447</v>
      </c>
      <c r="J2" t="s">
        <v>1448</v>
      </c>
      <c r="K2" t="s">
        <v>112</v>
      </c>
      <c r="L2" t="s">
        <v>1449</v>
      </c>
      <c r="M2" s="22">
        <v>45926.724305555559</v>
      </c>
      <c r="N2" s="22">
        <v>45932.585416666669</v>
      </c>
      <c r="P2" t="s">
        <v>1450</v>
      </c>
      <c r="Q2" t="s">
        <v>1451</v>
      </c>
      <c r="R2" t="s">
        <v>1452</v>
      </c>
      <c r="S2" t="s">
        <v>1452</v>
      </c>
      <c r="T2" t="s">
        <v>116</v>
      </c>
      <c r="U2" t="s">
        <v>1453</v>
      </c>
      <c r="V2" t="s">
        <v>1454</v>
      </c>
      <c r="W2" t="s">
        <v>118</v>
      </c>
      <c r="Y2" t="s">
        <v>251</v>
      </c>
      <c r="Z2" t="s">
        <v>121</v>
      </c>
      <c r="AA2" t="s">
        <v>583</v>
      </c>
      <c r="AB2" s="23">
        <v>1</v>
      </c>
      <c r="AC2" s="23">
        <v>1</v>
      </c>
      <c r="AD2" s="26">
        <v>232859</v>
      </c>
      <c r="AE2" s="26">
        <v>343667</v>
      </c>
    </row>
    <row r="3" spans="1:31">
      <c r="A3" t="s">
        <v>65</v>
      </c>
      <c r="B3" t="s">
        <v>103</v>
      </c>
      <c r="C3" t="s">
        <v>59</v>
      </c>
      <c r="D3" t="s">
        <v>1354</v>
      </c>
      <c r="E3" t="s">
        <v>1455</v>
      </c>
      <c r="F3" t="s">
        <v>1456</v>
      </c>
      <c r="G3" t="s">
        <v>1446</v>
      </c>
      <c r="H3" t="s">
        <v>1357</v>
      </c>
      <c r="I3" t="s">
        <v>65</v>
      </c>
      <c r="J3" t="s">
        <v>1457</v>
      </c>
      <c r="K3" t="s">
        <v>112</v>
      </c>
      <c r="L3" t="s">
        <v>1458</v>
      </c>
      <c r="M3" s="22">
        <v>45929.450694444437</v>
      </c>
      <c r="N3" s="22">
        <v>45931.504861111112</v>
      </c>
      <c r="P3" t="s">
        <v>1450</v>
      </c>
      <c r="Q3" t="s">
        <v>1451</v>
      </c>
      <c r="R3" t="s">
        <v>114</v>
      </c>
      <c r="S3" t="s">
        <v>115</v>
      </c>
      <c r="T3" t="s">
        <v>116</v>
      </c>
      <c r="U3" t="s">
        <v>1453</v>
      </c>
      <c r="V3" t="s">
        <v>1459</v>
      </c>
      <c r="W3" t="s">
        <v>118</v>
      </c>
      <c r="Y3" t="s">
        <v>8</v>
      </c>
      <c r="Z3" t="s">
        <v>121</v>
      </c>
      <c r="AA3" t="s">
        <v>1460</v>
      </c>
      <c r="AB3" s="23">
        <v>1</v>
      </c>
      <c r="AC3" s="23">
        <v>1</v>
      </c>
      <c r="AD3" s="26">
        <v>96011</v>
      </c>
      <c r="AE3" s="26">
        <v>153426</v>
      </c>
    </row>
    <row r="4" spans="1:31">
      <c r="A4" t="s">
        <v>57</v>
      </c>
      <c r="B4" t="s">
        <v>155</v>
      </c>
      <c r="C4" t="s">
        <v>54</v>
      </c>
      <c r="D4" t="s">
        <v>1461</v>
      </c>
      <c r="E4" t="s">
        <v>1462</v>
      </c>
      <c r="F4" t="s">
        <v>1463</v>
      </c>
      <c r="G4" t="s">
        <v>1446</v>
      </c>
      <c r="H4" t="s">
        <v>294</v>
      </c>
      <c r="I4" t="s">
        <v>1464</v>
      </c>
      <c r="J4" t="s">
        <v>1465</v>
      </c>
      <c r="K4" t="s">
        <v>112</v>
      </c>
      <c r="L4" t="s">
        <v>1466</v>
      </c>
      <c r="M4" s="22">
        <v>45929.45208333333</v>
      </c>
      <c r="N4" s="22">
        <v>45933.699305555558</v>
      </c>
      <c r="P4" t="s">
        <v>1450</v>
      </c>
      <c r="Q4" t="s">
        <v>1451</v>
      </c>
      <c r="R4" t="s">
        <v>114</v>
      </c>
      <c r="S4" t="s">
        <v>463</v>
      </c>
      <c r="T4" t="s">
        <v>116</v>
      </c>
      <c r="U4" t="s">
        <v>1453</v>
      </c>
      <c r="V4" t="s">
        <v>1467</v>
      </c>
      <c r="W4" t="s">
        <v>118</v>
      </c>
      <c r="Y4" t="s">
        <v>183</v>
      </c>
      <c r="Z4" t="s">
        <v>121</v>
      </c>
      <c r="AA4" t="s">
        <v>1382</v>
      </c>
      <c r="AB4" s="23">
        <v>1</v>
      </c>
      <c r="AC4" s="23">
        <v>1</v>
      </c>
      <c r="AD4" s="26">
        <v>344775</v>
      </c>
      <c r="AE4" s="26">
        <v>455583</v>
      </c>
    </row>
    <row r="5" spans="1:31">
      <c r="A5" t="s">
        <v>72</v>
      </c>
      <c r="B5" t="s">
        <v>155</v>
      </c>
      <c r="C5" t="s">
        <v>54</v>
      </c>
      <c r="D5" t="s">
        <v>1468</v>
      </c>
      <c r="E5" t="s">
        <v>1469</v>
      </c>
      <c r="F5" t="s">
        <v>1470</v>
      </c>
      <c r="G5" t="s">
        <v>1446</v>
      </c>
      <c r="H5" t="s">
        <v>771</v>
      </c>
      <c r="I5" t="s">
        <v>1471</v>
      </c>
      <c r="J5" t="s">
        <v>1472</v>
      </c>
      <c r="K5" t="s">
        <v>112</v>
      </c>
      <c r="L5" t="s">
        <v>1473</v>
      </c>
      <c r="M5" s="22">
        <v>45929.700694444437</v>
      </c>
      <c r="N5" s="22">
        <v>45936.644444444442</v>
      </c>
      <c r="P5" t="s">
        <v>1450</v>
      </c>
      <c r="Q5" t="s">
        <v>1451</v>
      </c>
      <c r="R5" t="s">
        <v>114</v>
      </c>
      <c r="S5" t="s">
        <v>115</v>
      </c>
      <c r="T5" t="s">
        <v>116</v>
      </c>
      <c r="U5" t="s">
        <v>1453</v>
      </c>
      <c r="V5" t="s">
        <v>1474</v>
      </c>
      <c r="W5" t="s">
        <v>118</v>
      </c>
      <c r="Y5" t="s">
        <v>251</v>
      </c>
      <c r="Z5" t="s">
        <v>121</v>
      </c>
      <c r="AA5" t="s">
        <v>776</v>
      </c>
      <c r="AB5" s="23">
        <v>1</v>
      </c>
      <c r="AC5" s="23">
        <v>1</v>
      </c>
      <c r="AD5" s="26">
        <v>232859</v>
      </c>
      <c r="AE5" s="26">
        <v>343667</v>
      </c>
    </row>
    <row r="6" spans="1:31">
      <c r="A6" t="s">
        <v>57</v>
      </c>
      <c r="B6" t="s">
        <v>155</v>
      </c>
      <c r="C6" t="s">
        <v>54</v>
      </c>
      <c r="D6" t="s">
        <v>946</v>
      </c>
      <c r="E6" t="s">
        <v>1475</v>
      </c>
      <c r="F6" t="s">
        <v>1476</v>
      </c>
      <c r="G6" t="s">
        <v>1446</v>
      </c>
      <c r="H6" t="s">
        <v>949</v>
      </c>
      <c r="I6" t="s">
        <v>57</v>
      </c>
      <c r="J6" t="s">
        <v>1477</v>
      </c>
      <c r="K6" t="s">
        <v>112</v>
      </c>
      <c r="L6" t="s">
        <v>1478</v>
      </c>
      <c r="M6" s="22">
        <v>45930.461111111108</v>
      </c>
      <c r="N6" s="22">
        <v>45931.50277777778</v>
      </c>
      <c r="P6" t="s">
        <v>1450</v>
      </c>
      <c r="Q6" t="s">
        <v>1451</v>
      </c>
      <c r="R6" t="s">
        <v>114</v>
      </c>
      <c r="S6" t="s">
        <v>115</v>
      </c>
      <c r="T6" t="s">
        <v>116</v>
      </c>
      <c r="U6" t="s">
        <v>1453</v>
      </c>
      <c r="V6" t="s">
        <v>1479</v>
      </c>
      <c r="W6" t="s">
        <v>118</v>
      </c>
      <c r="Y6" t="s">
        <v>8</v>
      </c>
      <c r="Z6" t="s">
        <v>121</v>
      </c>
      <c r="AA6" t="s">
        <v>1382</v>
      </c>
      <c r="AB6" s="23">
        <v>1</v>
      </c>
      <c r="AC6" s="23">
        <v>1</v>
      </c>
      <c r="AD6" s="26">
        <v>96011</v>
      </c>
      <c r="AE6" s="26">
        <v>153426</v>
      </c>
    </row>
    <row r="7" spans="1:31">
      <c r="A7" t="s">
        <v>64</v>
      </c>
      <c r="B7" t="s">
        <v>103</v>
      </c>
      <c r="C7" t="s">
        <v>48</v>
      </c>
      <c r="D7" t="s">
        <v>522</v>
      </c>
      <c r="E7" t="s">
        <v>1480</v>
      </c>
      <c r="F7" t="s">
        <v>1481</v>
      </c>
      <c r="G7" t="s">
        <v>1446</v>
      </c>
      <c r="H7" t="s">
        <v>177</v>
      </c>
      <c r="I7" t="s">
        <v>64</v>
      </c>
      <c r="J7" t="s">
        <v>1482</v>
      </c>
      <c r="K7" t="s">
        <v>112</v>
      </c>
      <c r="L7" t="s">
        <v>1483</v>
      </c>
      <c r="M7" s="22">
        <v>45931.438194444447</v>
      </c>
      <c r="N7" s="22">
        <v>45934.469444444447</v>
      </c>
      <c r="P7" t="s">
        <v>1450</v>
      </c>
      <c r="Q7" t="s">
        <v>1451</v>
      </c>
      <c r="R7" t="s">
        <v>114</v>
      </c>
      <c r="S7" t="s">
        <v>463</v>
      </c>
      <c r="T7" t="s">
        <v>116</v>
      </c>
      <c r="U7" t="s">
        <v>1453</v>
      </c>
      <c r="V7" t="s">
        <v>1484</v>
      </c>
      <c r="W7" t="s">
        <v>118</v>
      </c>
      <c r="Y7" t="s">
        <v>8</v>
      </c>
      <c r="Z7" t="s">
        <v>121</v>
      </c>
      <c r="AA7" t="s">
        <v>122</v>
      </c>
      <c r="AB7" s="23">
        <v>1</v>
      </c>
      <c r="AC7" s="23">
        <v>1</v>
      </c>
      <c r="AD7" s="26">
        <v>96011</v>
      </c>
      <c r="AE7" s="26">
        <v>153426</v>
      </c>
    </row>
    <row r="8" spans="1:31">
      <c r="A8" t="s">
        <v>70</v>
      </c>
      <c r="B8" t="s">
        <v>152</v>
      </c>
      <c r="C8" t="s">
        <v>36</v>
      </c>
      <c r="D8" t="s">
        <v>1485</v>
      </c>
      <c r="E8" t="s">
        <v>1486</v>
      </c>
      <c r="F8" t="s">
        <v>1487</v>
      </c>
      <c r="G8" t="s">
        <v>1446</v>
      </c>
      <c r="H8" t="s">
        <v>313</v>
      </c>
      <c r="I8" t="s">
        <v>1488</v>
      </c>
      <c r="J8" t="s">
        <v>1489</v>
      </c>
      <c r="K8" t="s">
        <v>112</v>
      </c>
      <c r="L8" t="s">
        <v>1490</v>
      </c>
      <c r="M8" s="22">
        <v>45931.441666666673</v>
      </c>
      <c r="N8" s="22">
        <v>45933.669444444437</v>
      </c>
      <c r="P8" t="s">
        <v>1450</v>
      </c>
      <c r="Q8" t="s">
        <v>1451</v>
      </c>
      <c r="R8" t="s">
        <v>1452</v>
      </c>
      <c r="S8" t="s">
        <v>1452</v>
      </c>
      <c r="T8" t="s">
        <v>116</v>
      </c>
      <c r="U8" t="s">
        <v>1453</v>
      </c>
      <c r="V8" t="s">
        <v>1491</v>
      </c>
      <c r="W8" t="s">
        <v>118</v>
      </c>
      <c r="Y8" t="s">
        <v>251</v>
      </c>
      <c r="Z8" t="s">
        <v>121</v>
      </c>
      <c r="AA8" t="s">
        <v>1492</v>
      </c>
      <c r="AB8" s="23">
        <v>1</v>
      </c>
      <c r="AC8" s="23">
        <v>1</v>
      </c>
      <c r="AD8" s="26">
        <v>232859</v>
      </c>
      <c r="AE8" s="26">
        <v>343667</v>
      </c>
    </row>
    <row r="9" spans="1:31">
      <c r="A9" t="s">
        <v>69</v>
      </c>
      <c r="B9" t="s">
        <v>185</v>
      </c>
      <c r="C9" t="s">
        <v>44</v>
      </c>
      <c r="D9" t="s">
        <v>1240</v>
      </c>
      <c r="E9" t="s">
        <v>1493</v>
      </c>
      <c r="F9" t="s">
        <v>1494</v>
      </c>
      <c r="G9" t="s">
        <v>1446</v>
      </c>
      <c r="H9" t="s">
        <v>284</v>
      </c>
      <c r="I9" t="s">
        <v>1243</v>
      </c>
      <c r="J9" t="s">
        <v>1495</v>
      </c>
      <c r="K9" t="s">
        <v>112</v>
      </c>
      <c r="L9" t="s">
        <v>1496</v>
      </c>
      <c r="M9" s="22">
        <v>45931.530555555553</v>
      </c>
      <c r="N9" s="22">
        <v>45933.615277777782</v>
      </c>
      <c r="P9" t="s">
        <v>1450</v>
      </c>
      <c r="Q9" t="s">
        <v>1451</v>
      </c>
      <c r="R9" t="s">
        <v>1452</v>
      </c>
      <c r="S9" t="s">
        <v>1452</v>
      </c>
      <c r="T9" t="s">
        <v>1497</v>
      </c>
      <c r="U9" t="s">
        <v>1498</v>
      </c>
      <c r="V9" t="s">
        <v>1499</v>
      </c>
      <c r="W9" t="s">
        <v>118</v>
      </c>
      <c r="Y9" t="s">
        <v>251</v>
      </c>
      <c r="Z9" t="s">
        <v>121</v>
      </c>
      <c r="AA9" t="s">
        <v>1500</v>
      </c>
      <c r="AB9" s="23">
        <v>1</v>
      </c>
      <c r="AC9" s="23">
        <v>2</v>
      </c>
      <c r="AD9" s="26">
        <v>232859</v>
      </c>
      <c r="AE9" s="26">
        <v>454475</v>
      </c>
    </row>
    <row r="10" spans="1:31">
      <c r="A10" t="s">
        <v>57</v>
      </c>
      <c r="B10" t="s">
        <v>155</v>
      </c>
      <c r="C10" t="s">
        <v>54</v>
      </c>
      <c r="D10" t="s">
        <v>946</v>
      </c>
      <c r="E10" t="s">
        <v>1501</v>
      </c>
      <c r="F10" t="s">
        <v>1502</v>
      </c>
      <c r="G10" t="s">
        <v>1446</v>
      </c>
      <c r="H10" t="s">
        <v>949</v>
      </c>
      <c r="I10" t="s">
        <v>57</v>
      </c>
      <c r="J10" t="s">
        <v>1503</v>
      </c>
      <c r="K10" t="s">
        <v>112</v>
      </c>
      <c r="L10" t="s">
        <v>1504</v>
      </c>
      <c r="M10" s="22">
        <v>45931.572916666657</v>
      </c>
      <c r="N10" s="22">
        <v>45931.634027777778</v>
      </c>
      <c r="P10" t="s">
        <v>1450</v>
      </c>
      <c r="Q10" t="s">
        <v>1451</v>
      </c>
      <c r="R10" t="s">
        <v>1452</v>
      </c>
      <c r="S10" t="s">
        <v>1452</v>
      </c>
      <c r="T10" t="s">
        <v>1505</v>
      </c>
      <c r="U10" t="s">
        <v>1506</v>
      </c>
      <c r="V10" t="s">
        <v>1507</v>
      </c>
      <c r="W10" t="s">
        <v>1508</v>
      </c>
      <c r="Y10" t="s">
        <v>8</v>
      </c>
      <c r="Z10" t="s">
        <v>121</v>
      </c>
      <c r="AA10" t="s">
        <v>1509</v>
      </c>
      <c r="AB10" s="23">
        <v>0</v>
      </c>
      <c r="AC10" s="23">
        <v>0</v>
      </c>
      <c r="AD10" s="26">
        <v>37905</v>
      </c>
      <c r="AE10" s="26">
        <v>37905</v>
      </c>
    </row>
    <row r="11" spans="1:31">
      <c r="A11" t="s">
        <v>51</v>
      </c>
      <c r="B11" t="s">
        <v>152</v>
      </c>
      <c r="C11" t="s">
        <v>36</v>
      </c>
      <c r="D11" t="s">
        <v>153</v>
      </c>
      <c r="E11" t="s">
        <v>1510</v>
      </c>
      <c r="F11" t="s">
        <v>1511</v>
      </c>
      <c r="G11" t="s">
        <v>1446</v>
      </c>
      <c r="H11" t="s">
        <v>154</v>
      </c>
      <c r="I11" t="s">
        <v>51</v>
      </c>
      <c r="J11" t="s">
        <v>1512</v>
      </c>
      <c r="K11" t="s">
        <v>112</v>
      </c>
      <c r="L11" t="s">
        <v>1513</v>
      </c>
      <c r="M11" s="22">
        <v>45931.624305555553</v>
      </c>
      <c r="N11" s="22">
        <v>45934.537499999999</v>
      </c>
      <c r="P11" t="s">
        <v>1450</v>
      </c>
      <c r="Q11" t="s">
        <v>1451</v>
      </c>
      <c r="R11" t="s">
        <v>1452</v>
      </c>
      <c r="S11" t="s">
        <v>1452</v>
      </c>
      <c r="T11" t="s">
        <v>116</v>
      </c>
      <c r="U11" t="s">
        <v>1453</v>
      </c>
      <c r="V11" t="s">
        <v>1514</v>
      </c>
      <c r="W11" t="s">
        <v>118</v>
      </c>
      <c r="Y11" t="s">
        <v>8</v>
      </c>
      <c r="Z11" t="s">
        <v>121</v>
      </c>
      <c r="AA11" t="s">
        <v>1515</v>
      </c>
      <c r="AB11" s="23">
        <v>1</v>
      </c>
      <c r="AC11" s="23">
        <v>1</v>
      </c>
      <c r="AD11" s="26">
        <v>96011</v>
      </c>
      <c r="AE11" s="26">
        <v>153426</v>
      </c>
    </row>
    <row r="12" spans="1:31">
      <c r="A12" t="s">
        <v>57</v>
      </c>
      <c r="B12" t="s">
        <v>155</v>
      </c>
      <c r="C12" t="s">
        <v>54</v>
      </c>
      <c r="D12" t="s">
        <v>946</v>
      </c>
      <c r="E12" t="s">
        <v>1516</v>
      </c>
      <c r="F12" t="s">
        <v>1517</v>
      </c>
      <c r="G12" t="s">
        <v>1446</v>
      </c>
      <c r="H12" t="s">
        <v>949</v>
      </c>
      <c r="I12" t="s">
        <v>57</v>
      </c>
      <c r="J12" t="s">
        <v>1518</v>
      </c>
      <c r="K12" t="s">
        <v>112</v>
      </c>
      <c r="L12" t="s">
        <v>1519</v>
      </c>
      <c r="M12" s="22">
        <v>45931.627083333333</v>
      </c>
      <c r="N12" s="22">
        <v>45936.65902777778</v>
      </c>
      <c r="P12" t="s">
        <v>1450</v>
      </c>
      <c r="Q12" t="s">
        <v>1451</v>
      </c>
      <c r="R12" t="s">
        <v>1452</v>
      </c>
      <c r="S12" t="s">
        <v>1452</v>
      </c>
      <c r="T12" t="s">
        <v>116</v>
      </c>
      <c r="U12" t="s">
        <v>1453</v>
      </c>
      <c r="V12" t="s">
        <v>1520</v>
      </c>
      <c r="W12" t="s">
        <v>118</v>
      </c>
      <c r="Y12" t="s">
        <v>8</v>
      </c>
      <c r="Z12" t="s">
        <v>121</v>
      </c>
      <c r="AA12" t="s">
        <v>1521</v>
      </c>
      <c r="AB12" s="23">
        <v>1</v>
      </c>
      <c r="AC12" s="23">
        <v>1</v>
      </c>
      <c r="AD12" s="26">
        <v>96011</v>
      </c>
      <c r="AE12" s="26">
        <v>153426</v>
      </c>
    </row>
    <row r="13" spans="1:31">
      <c r="A13" t="s">
        <v>69</v>
      </c>
      <c r="B13" t="s">
        <v>185</v>
      </c>
      <c r="C13" t="s">
        <v>44</v>
      </c>
      <c r="D13" t="s">
        <v>1522</v>
      </c>
      <c r="E13" t="s">
        <v>1523</v>
      </c>
      <c r="F13" t="s">
        <v>1524</v>
      </c>
      <c r="G13" t="s">
        <v>1446</v>
      </c>
      <c r="H13" t="s">
        <v>284</v>
      </c>
      <c r="I13" t="s">
        <v>69</v>
      </c>
      <c r="J13" t="s">
        <v>1525</v>
      </c>
      <c r="K13" t="s">
        <v>112</v>
      </c>
      <c r="L13" t="s">
        <v>1526</v>
      </c>
      <c r="M13" s="22">
        <v>45931.693055555559</v>
      </c>
      <c r="N13" s="22">
        <v>45932.481944444437</v>
      </c>
      <c r="P13" t="s">
        <v>1450</v>
      </c>
      <c r="Q13" t="s">
        <v>1451</v>
      </c>
      <c r="R13" t="s">
        <v>1452</v>
      </c>
      <c r="S13" t="s">
        <v>1452</v>
      </c>
      <c r="T13" t="s">
        <v>116</v>
      </c>
      <c r="U13" t="s">
        <v>1453</v>
      </c>
      <c r="V13" t="s">
        <v>1527</v>
      </c>
      <c r="W13" t="s">
        <v>118</v>
      </c>
      <c r="Y13" t="s">
        <v>8</v>
      </c>
      <c r="Z13" t="s">
        <v>121</v>
      </c>
      <c r="AA13" t="s">
        <v>619</v>
      </c>
      <c r="AB13" s="23">
        <v>1</v>
      </c>
      <c r="AC13" s="23">
        <v>1</v>
      </c>
      <c r="AD13" s="26">
        <v>96011</v>
      </c>
      <c r="AE13" s="26">
        <v>153426</v>
      </c>
    </row>
    <row r="14" spans="1:31">
      <c r="A14" t="s">
        <v>61</v>
      </c>
      <c r="B14" t="s">
        <v>219</v>
      </c>
      <c r="C14" t="s">
        <v>32</v>
      </c>
      <c r="D14" t="s">
        <v>1528</v>
      </c>
      <c r="E14" t="s">
        <v>1529</v>
      </c>
      <c r="F14" t="s">
        <v>1530</v>
      </c>
      <c r="G14" t="s">
        <v>1446</v>
      </c>
      <c r="H14" t="s">
        <v>223</v>
      </c>
      <c r="I14" t="s">
        <v>1531</v>
      </c>
      <c r="J14" t="s">
        <v>1532</v>
      </c>
      <c r="K14" t="s">
        <v>112</v>
      </c>
      <c r="L14" t="s">
        <v>1533</v>
      </c>
      <c r="M14" s="22">
        <v>45932.615277777782</v>
      </c>
      <c r="N14" s="22">
        <v>45932.646527777782</v>
      </c>
      <c r="P14" t="s">
        <v>1450</v>
      </c>
      <c r="Q14" t="s">
        <v>1451</v>
      </c>
      <c r="R14" t="s">
        <v>1452</v>
      </c>
      <c r="S14" t="s">
        <v>1452</v>
      </c>
      <c r="T14" t="s">
        <v>1505</v>
      </c>
      <c r="U14" t="s">
        <v>1506</v>
      </c>
      <c r="V14" t="s">
        <v>1534</v>
      </c>
      <c r="W14" t="s">
        <v>1508</v>
      </c>
      <c r="Y14" t="s">
        <v>251</v>
      </c>
      <c r="Z14" t="s">
        <v>121</v>
      </c>
      <c r="AA14" t="s">
        <v>1509</v>
      </c>
      <c r="AB14" s="23">
        <v>0</v>
      </c>
      <c r="AC14" s="23">
        <v>0</v>
      </c>
      <c r="AD14" s="26">
        <v>37905</v>
      </c>
      <c r="AE14" s="26">
        <v>37905</v>
      </c>
    </row>
    <row r="15" spans="1:31">
      <c r="A15" t="s">
        <v>57</v>
      </c>
      <c r="B15" t="s">
        <v>155</v>
      </c>
      <c r="C15" t="s">
        <v>54</v>
      </c>
      <c r="D15" t="s">
        <v>946</v>
      </c>
      <c r="E15" t="s">
        <v>1535</v>
      </c>
      <c r="F15" t="s">
        <v>1536</v>
      </c>
      <c r="G15" t="s">
        <v>1446</v>
      </c>
      <c r="H15" t="s">
        <v>949</v>
      </c>
      <c r="I15" t="s">
        <v>57</v>
      </c>
      <c r="J15" t="s">
        <v>1537</v>
      </c>
      <c r="K15" t="s">
        <v>112</v>
      </c>
      <c r="L15" t="s">
        <v>1538</v>
      </c>
      <c r="M15" s="22">
        <v>45932.642361111109</v>
      </c>
      <c r="N15" s="22">
        <v>45937.52847222222</v>
      </c>
      <c r="P15" t="s">
        <v>1450</v>
      </c>
      <c r="Q15" t="s">
        <v>1451</v>
      </c>
      <c r="R15" t="s">
        <v>1452</v>
      </c>
      <c r="S15" t="s">
        <v>1452</v>
      </c>
      <c r="T15" t="s">
        <v>116</v>
      </c>
      <c r="U15" t="s">
        <v>1453</v>
      </c>
      <c r="V15" t="s">
        <v>1539</v>
      </c>
      <c r="W15" t="s">
        <v>118</v>
      </c>
      <c r="Y15" t="s">
        <v>8</v>
      </c>
      <c r="Z15" t="s">
        <v>121</v>
      </c>
      <c r="AA15" t="s">
        <v>1382</v>
      </c>
      <c r="AB15" s="23">
        <v>1</v>
      </c>
      <c r="AC15" s="23">
        <v>1</v>
      </c>
      <c r="AD15" s="26">
        <v>96011</v>
      </c>
      <c r="AE15" s="26">
        <v>153426</v>
      </c>
    </row>
    <row r="16" spans="1:31">
      <c r="A16" t="s">
        <v>57</v>
      </c>
      <c r="B16" t="s">
        <v>155</v>
      </c>
      <c r="C16" t="s">
        <v>54</v>
      </c>
      <c r="D16" t="s">
        <v>946</v>
      </c>
      <c r="E16" t="s">
        <v>1540</v>
      </c>
      <c r="F16" t="s">
        <v>1541</v>
      </c>
      <c r="G16" t="s">
        <v>1446</v>
      </c>
      <c r="H16" t="s">
        <v>949</v>
      </c>
      <c r="I16" t="s">
        <v>57</v>
      </c>
      <c r="J16" t="s">
        <v>1542</v>
      </c>
      <c r="K16" t="s">
        <v>112</v>
      </c>
      <c r="L16" t="s">
        <v>1543</v>
      </c>
      <c r="M16" s="22">
        <v>45933.339583333327</v>
      </c>
      <c r="N16" s="22">
        <v>45933.451388888891</v>
      </c>
      <c r="P16" t="s">
        <v>1450</v>
      </c>
      <c r="Q16" t="s">
        <v>1451</v>
      </c>
      <c r="R16" t="s">
        <v>1544</v>
      </c>
      <c r="S16" t="s">
        <v>1544</v>
      </c>
      <c r="T16" t="s">
        <v>1505</v>
      </c>
      <c r="U16" t="s">
        <v>1506</v>
      </c>
      <c r="V16" t="s">
        <v>1545</v>
      </c>
      <c r="W16" t="s">
        <v>1508</v>
      </c>
      <c r="Y16" t="s">
        <v>8</v>
      </c>
      <c r="Z16" t="s">
        <v>121</v>
      </c>
      <c r="AA16" t="s">
        <v>1509</v>
      </c>
      <c r="AB16" s="23">
        <v>0</v>
      </c>
      <c r="AC16" s="23">
        <v>0</v>
      </c>
      <c r="AD16" s="26">
        <v>37905</v>
      </c>
      <c r="AE16" s="26">
        <v>37905</v>
      </c>
    </row>
    <row r="17" spans="1:31">
      <c r="A17" t="s">
        <v>61</v>
      </c>
      <c r="B17" t="s">
        <v>219</v>
      </c>
      <c r="C17" t="s">
        <v>32</v>
      </c>
      <c r="D17" t="s">
        <v>220</v>
      </c>
      <c r="E17" t="s">
        <v>1546</v>
      </c>
      <c r="F17" t="s">
        <v>1547</v>
      </c>
      <c r="G17" t="s">
        <v>1446</v>
      </c>
      <c r="H17" t="s">
        <v>223</v>
      </c>
      <c r="I17" t="s">
        <v>61</v>
      </c>
      <c r="J17" t="s">
        <v>1548</v>
      </c>
      <c r="K17" t="s">
        <v>112</v>
      </c>
      <c r="L17" t="s">
        <v>1549</v>
      </c>
      <c r="M17" s="22">
        <v>45933.39166666667</v>
      </c>
      <c r="N17" s="22">
        <v>45936.686111111107</v>
      </c>
      <c r="P17" t="s">
        <v>1450</v>
      </c>
      <c r="Q17" t="s">
        <v>1451</v>
      </c>
      <c r="R17" t="s">
        <v>114</v>
      </c>
      <c r="S17" t="s">
        <v>115</v>
      </c>
      <c r="T17" t="s">
        <v>116</v>
      </c>
      <c r="U17" t="s">
        <v>1453</v>
      </c>
      <c r="V17" t="s">
        <v>1550</v>
      </c>
      <c r="W17" t="s">
        <v>118</v>
      </c>
      <c r="Y17" t="s">
        <v>8</v>
      </c>
      <c r="Z17" t="s">
        <v>121</v>
      </c>
      <c r="AA17" t="s">
        <v>280</v>
      </c>
      <c r="AB17" s="23">
        <v>1</v>
      </c>
      <c r="AC17" s="23">
        <v>1</v>
      </c>
      <c r="AD17" s="26">
        <v>96011</v>
      </c>
      <c r="AE17" s="26">
        <v>153426</v>
      </c>
    </row>
    <row r="18" spans="1:31">
      <c r="A18" t="s">
        <v>57</v>
      </c>
      <c r="B18" t="s">
        <v>155</v>
      </c>
      <c r="C18" t="s">
        <v>54</v>
      </c>
      <c r="D18" t="s">
        <v>946</v>
      </c>
      <c r="E18" t="s">
        <v>1551</v>
      </c>
      <c r="F18" t="s">
        <v>1552</v>
      </c>
      <c r="G18" t="s">
        <v>1446</v>
      </c>
      <c r="H18" t="s">
        <v>949</v>
      </c>
      <c r="I18" t="s">
        <v>57</v>
      </c>
      <c r="J18" t="s">
        <v>1553</v>
      </c>
      <c r="K18" t="s">
        <v>112</v>
      </c>
      <c r="L18" t="s">
        <v>1554</v>
      </c>
      <c r="M18" s="22">
        <v>45933.411805555559</v>
      </c>
      <c r="N18" s="22">
        <v>45938.663888888892</v>
      </c>
      <c r="P18" t="s">
        <v>1450</v>
      </c>
      <c r="Q18" t="s">
        <v>1451</v>
      </c>
      <c r="R18" t="s">
        <v>1452</v>
      </c>
      <c r="S18" t="s">
        <v>1452</v>
      </c>
      <c r="T18" t="s">
        <v>116</v>
      </c>
      <c r="U18" t="s">
        <v>1453</v>
      </c>
      <c r="V18" t="s">
        <v>1555</v>
      </c>
      <c r="W18" t="s">
        <v>118</v>
      </c>
      <c r="Y18" t="s">
        <v>8</v>
      </c>
      <c r="Z18" t="s">
        <v>121</v>
      </c>
      <c r="AA18" t="s">
        <v>954</v>
      </c>
      <c r="AB18" s="23">
        <v>1</v>
      </c>
      <c r="AC18" s="23">
        <v>1</v>
      </c>
      <c r="AD18" s="26">
        <v>96011</v>
      </c>
      <c r="AE18" s="26">
        <v>153426</v>
      </c>
    </row>
    <row r="19" spans="1:31">
      <c r="A19" t="s">
        <v>71</v>
      </c>
      <c r="B19" t="s">
        <v>155</v>
      </c>
      <c r="C19" t="s">
        <v>54</v>
      </c>
      <c r="D19" t="s">
        <v>1556</v>
      </c>
      <c r="E19" t="s">
        <v>1557</v>
      </c>
      <c r="F19" t="s">
        <v>1558</v>
      </c>
      <c r="G19" t="s">
        <v>1446</v>
      </c>
      <c r="H19" t="s">
        <v>717</v>
      </c>
      <c r="I19" t="s">
        <v>1559</v>
      </c>
      <c r="J19" t="s">
        <v>1560</v>
      </c>
      <c r="K19" t="s">
        <v>112</v>
      </c>
      <c r="L19" t="s">
        <v>1561</v>
      </c>
      <c r="M19" s="22">
        <v>45933.497916666667</v>
      </c>
      <c r="N19" s="22">
        <v>45936.698611111111</v>
      </c>
      <c r="P19" t="s">
        <v>1450</v>
      </c>
      <c r="Q19" t="s">
        <v>1451</v>
      </c>
      <c r="R19" t="s">
        <v>1544</v>
      </c>
      <c r="S19" t="s">
        <v>1544</v>
      </c>
      <c r="T19" t="s">
        <v>116</v>
      </c>
      <c r="U19" t="s">
        <v>1453</v>
      </c>
      <c r="V19" t="s">
        <v>1562</v>
      </c>
      <c r="W19" t="s">
        <v>118</v>
      </c>
      <c r="Y19" t="s">
        <v>251</v>
      </c>
      <c r="Z19" t="s">
        <v>121</v>
      </c>
      <c r="AA19" t="s">
        <v>1563</v>
      </c>
      <c r="AB19" s="23">
        <v>1</v>
      </c>
      <c r="AC19" s="23">
        <v>1</v>
      </c>
      <c r="AD19" s="26">
        <v>232859</v>
      </c>
      <c r="AE19" s="26">
        <v>343667</v>
      </c>
    </row>
    <row r="20" spans="1:31">
      <c r="A20" t="s">
        <v>43</v>
      </c>
      <c r="B20" t="s">
        <v>185</v>
      </c>
      <c r="C20" t="s">
        <v>44</v>
      </c>
      <c r="D20" t="s">
        <v>363</v>
      </c>
      <c r="E20" t="s">
        <v>1564</v>
      </c>
      <c r="F20" t="s">
        <v>1565</v>
      </c>
      <c r="G20" t="s">
        <v>1446</v>
      </c>
      <c r="H20" t="s">
        <v>366</v>
      </c>
      <c r="I20" t="s">
        <v>43</v>
      </c>
      <c r="J20" t="s">
        <v>1566</v>
      </c>
      <c r="K20" t="s">
        <v>112</v>
      </c>
      <c r="L20" t="s">
        <v>1567</v>
      </c>
      <c r="M20" s="22">
        <v>45934.375</v>
      </c>
      <c r="N20" s="22">
        <v>45936.700694444437</v>
      </c>
      <c r="P20" t="s">
        <v>1450</v>
      </c>
      <c r="Q20" t="s">
        <v>1451</v>
      </c>
      <c r="R20" t="s">
        <v>114</v>
      </c>
      <c r="S20" t="s">
        <v>463</v>
      </c>
      <c r="T20" t="s">
        <v>1497</v>
      </c>
      <c r="U20" t="s">
        <v>1568</v>
      </c>
      <c r="V20" t="s">
        <v>1569</v>
      </c>
      <c r="W20" t="s">
        <v>1508</v>
      </c>
      <c r="Y20" t="s">
        <v>8</v>
      </c>
      <c r="Z20" t="s">
        <v>121</v>
      </c>
      <c r="AA20" t="s">
        <v>743</v>
      </c>
      <c r="AB20" s="23">
        <v>0</v>
      </c>
      <c r="AC20" s="23">
        <v>0</v>
      </c>
      <c r="AD20" s="26">
        <v>37905</v>
      </c>
      <c r="AE20" s="26">
        <v>37905</v>
      </c>
    </row>
    <row r="21" spans="1:31">
      <c r="A21" t="s">
        <v>52</v>
      </c>
      <c r="B21" t="s">
        <v>185</v>
      </c>
      <c r="C21" t="s">
        <v>44</v>
      </c>
      <c r="D21" t="s">
        <v>1570</v>
      </c>
      <c r="E21" t="s">
        <v>1571</v>
      </c>
      <c r="F21" t="s">
        <v>1572</v>
      </c>
      <c r="G21" t="s">
        <v>1446</v>
      </c>
      <c r="H21" t="s">
        <v>189</v>
      </c>
      <c r="I21" t="s">
        <v>1573</v>
      </c>
      <c r="J21" t="s">
        <v>1574</v>
      </c>
      <c r="K21" t="s">
        <v>112</v>
      </c>
      <c r="L21" t="s">
        <v>1575</v>
      </c>
      <c r="M21" s="22">
        <v>45934.375</v>
      </c>
      <c r="N21" s="22">
        <v>45945.359722222223</v>
      </c>
      <c r="P21" t="s">
        <v>1450</v>
      </c>
      <c r="Q21" t="s">
        <v>1451</v>
      </c>
      <c r="R21" t="s">
        <v>1452</v>
      </c>
      <c r="S21" t="s">
        <v>1452</v>
      </c>
      <c r="T21" t="s">
        <v>116</v>
      </c>
      <c r="U21" t="s">
        <v>1453</v>
      </c>
      <c r="V21" t="s">
        <v>1576</v>
      </c>
      <c r="W21" t="s">
        <v>118</v>
      </c>
      <c r="Y21" t="s">
        <v>173</v>
      </c>
      <c r="Z21" t="s">
        <v>121</v>
      </c>
      <c r="AA21" t="s">
        <v>204</v>
      </c>
      <c r="AB21" s="23">
        <v>1</v>
      </c>
      <c r="AC21" s="23">
        <v>0</v>
      </c>
      <c r="AD21" s="26">
        <v>548634</v>
      </c>
      <c r="AE21" s="26">
        <v>548634</v>
      </c>
    </row>
    <row r="22" spans="1:31">
      <c r="A22" t="s">
        <v>61</v>
      </c>
      <c r="B22" t="s">
        <v>219</v>
      </c>
      <c r="C22" t="s">
        <v>32</v>
      </c>
      <c r="D22" t="s">
        <v>1577</v>
      </c>
      <c r="E22" t="s">
        <v>1578</v>
      </c>
      <c r="F22" t="s">
        <v>1579</v>
      </c>
      <c r="G22" t="s">
        <v>1446</v>
      </c>
      <c r="H22" t="s">
        <v>223</v>
      </c>
      <c r="I22" t="s">
        <v>1580</v>
      </c>
      <c r="J22" t="s">
        <v>1581</v>
      </c>
      <c r="K22" t="s">
        <v>112</v>
      </c>
      <c r="L22" t="s">
        <v>1582</v>
      </c>
      <c r="M22" s="22">
        <v>45934.469444444447</v>
      </c>
      <c r="N22" s="22">
        <v>45936.693749999999</v>
      </c>
      <c r="P22" t="s">
        <v>1450</v>
      </c>
      <c r="Q22" t="s">
        <v>1451</v>
      </c>
      <c r="R22" t="s">
        <v>1544</v>
      </c>
      <c r="S22" t="s">
        <v>1452</v>
      </c>
      <c r="T22" t="s">
        <v>116</v>
      </c>
      <c r="U22" t="s">
        <v>1453</v>
      </c>
      <c r="V22" t="s">
        <v>1583</v>
      </c>
      <c r="W22" t="s">
        <v>118</v>
      </c>
      <c r="Y22" t="s">
        <v>183</v>
      </c>
      <c r="Z22" t="s">
        <v>121</v>
      </c>
      <c r="AA22" t="s">
        <v>652</v>
      </c>
      <c r="AB22" s="23">
        <v>1</v>
      </c>
      <c r="AC22" s="23">
        <v>1</v>
      </c>
      <c r="AD22" s="26">
        <v>344775</v>
      </c>
      <c r="AE22" s="26">
        <v>455583</v>
      </c>
    </row>
    <row r="23" spans="1:31">
      <c r="A23" t="s">
        <v>65</v>
      </c>
      <c r="B23" t="s">
        <v>103</v>
      </c>
      <c r="C23" t="s">
        <v>59</v>
      </c>
      <c r="D23" t="s">
        <v>1354</v>
      </c>
      <c r="E23" t="s">
        <v>1584</v>
      </c>
      <c r="F23" t="s">
        <v>1585</v>
      </c>
      <c r="G23" t="s">
        <v>1446</v>
      </c>
      <c r="H23" t="s">
        <v>1357</v>
      </c>
      <c r="I23" t="s">
        <v>65</v>
      </c>
      <c r="J23" t="s">
        <v>1586</v>
      </c>
      <c r="K23" t="s">
        <v>112</v>
      </c>
      <c r="L23" t="s">
        <v>1587</v>
      </c>
      <c r="M23" s="22">
        <v>45936.34375</v>
      </c>
      <c r="N23" s="22">
        <v>45938.381249999999</v>
      </c>
      <c r="P23" t="s">
        <v>1450</v>
      </c>
      <c r="Q23" t="s">
        <v>1451</v>
      </c>
      <c r="R23" t="s">
        <v>1452</v>
      </c>
      <c r="S23" t="s">
        <v>1452</v>
      </c>
      <c r="T23" t="s">
        <v>116</v>
      </c>
      <c r="U23" t="s">
        <v>1453</v>
      </c>
      <c r="V23" t="s">
        <v>1588</v>
      </c>
      <c r="W23" t="s">
        <v>118</v>
      </c>
      <c r="Y23" t="s">
        <v>8</v>
      </c>
      <c r="Z23" t="s">
        <v>121</v>
      </c>
      <c r="AA23" t="s">
        <v>300</v>
      </c>
      <c r="AB23" s="23">
        <v>1</v>
      </c>
      <c r="AC23" s="23">
        <v>1</v>
      </c>
      <c r="AD23" s="26">
        <v>96011</v>
      </c>
      <c r="AE23" s="26">
        <v>153426</v>
      </c>
    </row>
    <row r="24" spans="1:31">
      <c r="A24" t="s">
        <v>64</v>
      </c>
      <c r="B24" t="s">
        <v>103</v>
      </c>
      <c r="C24" t="s">
        <v>48</v>
      </c>
      <c r="D24" t="s">
        <v>522</v>
      </c>
      <c r="E24" t="s">
        <v>1589</v>
      </c>
      <c r="F24" t="s">
        <v>1590</v>
      </c>
      <c r="G24" t="s">
        <v>1446</v>
      </c>
      <c r="H24" t="s">
        <v>177</v>
      </c>
      <c r="I24" t="s">
        <v>64</v>
      </c>
      <c r="J24" t="s">
        <v>1591</v>
      </c>
      <c r="K24" t="s">
        <v>112</v>
      </c>
      <c r="L24" t="s">
        <v>1592</v>
      </c>
      <c r="M24" s="22">
        <v>45936.40902777778</v>
      </c>
      <c r="N24" s="22">
        <v>45937.551388888889</v>
      </c>
      <c r="P24" t="s">
        <v>1450</v>
      </c>
      <c r="Q24" t="s">
        <v>1451</v>
      </c>
      <c r="R24" t="s">
        <v>1452</v>
      </c>
      <c r="S24" t="s">
        <v>1452</v>
      </c>
      <c r="T24" t="s">
        <v>116</v>
      </c>
      <c r="U24" t="s">
        <v>1498</v>
      </c>
      <c r="V24" t="s">
        <v>1593</v>
      </c>
      <c r="W24" t="s">
        <v>118</v>
      </c>
      <c r="Y24" t="s">
        <v>8</v>
      </c>
      <c r="Z24" t="s">
        <v>121</v>
      </c>
      <c r="AA24" t="s">
        <v>184</v>
      </c>
      <c r="AB24" s="23">
        <v>1</v>
      </c>
      <c r="AC24" s="23">
        <v>0</v>
      </c>
      <c r="AD24" s="26">
        <v>96011</v>
      </c>
      <c r="AE24" s="26">
        <v>96011</v>
      </c>
    </row>
    <row r="25" spans="1:31">
      <c r="A25" t="s">
        <v>57</v>
      </c>
      <c r="B25" t="s">
        <v>155</v>
      </c>
      <c r="C25" t="s">
        <v>54</v>
      </c>
      <c r="D25" t="s">
        <v>946</v>
      </c>
      <c r="E25" t="s">
        <v>1594</v>
      </c>
      <c r="F25" t="s">
        <v>1595</v>
      </c>
      <c r="G25" t="s">
        <v>1446</v>
      </c>
      <c r="H25" t="s">
        <v>949</v>
      </c>
      <c r="I25" t="s">
        <v>57</v>
      </c>
      <c r="J25" t="s">
        <v>1596</v>
      </c>
      <c r="K25" t="s">
        <v>112</v>
      </c>
      <c r="L25" t="s">
        <v>1597</v>
      </c>
      <c r="M25" s="22">
        <v>45936.456250000003</v>
      </c>
      <c r="N25" s="22">
        <v>45937.637499999997</v>
      </c>
      <c r="P25" t="s">
        <v>1450</v>
      </c>
      <c r="Q25" t="s">
        <v>1451</v>
      </c>
      <c r="R25" t="s">
        <v>1544</v>
      </c>
      <c r="S25" t="s">
        <v>1544</v>
      </c>
      <c r="T25" t="s">
        <v>116</v>
      </c>
      <c r="U25" t="s">
        <v>1453</v>
      </c>
      <c r="V25" t="s">
        <v>1598</v>
      </c>
      <c r="W25" t="s">
        <v>118</v>
      </c>
      <c r="Y25" t="s">
        <v>8</v>
      </c>
      <c r="Z25" t="s">
        <v>121</v>
      </c>
      <c r="AA25" t="s">
        <v>1382</v>
      </c>
      <c r="AB25" s="23">
        <v>1</v>
      </c>
      <c r="AC25" s="23">
        <v>1</v>
      </c>
      <c r="AD25" s="26">
        <v>96011</v>
      </c>
      <c r="AE25" s="26">
        <v>153426</v>
      </c>
    </row>
    <row r="26" spans="1:31">
      <c r="A26" t="s">
        <v>65</v>
      </c>
      <c r="B26" t="s">
        <v>103</v>
      </c>
      <c r="C26" t="s">
        <v>59</v>
      </c>
      <c r="D26" t="s">
        <v>1599</v>
      </c>
      <c r="E26" t="s">
        <v>1600</v>
      </c>
      <c r="F26" t="s">
        <v>1601</v>
      </c>
      <c r="G26" t="s">
        <v>1446</v>
      </c>
      <c r="H26" t="s">
        <v>1357</v>
      </c>
      <c r="I26" t="s">
        <v>1602</v>
      </c>
      <c r="J26" t="s">
        <v>1603</v>
      </c>
      <c r="K26" t="s">
        <v>112</v>
      </c>
      <c r="L26" t="s">
        <v>1604</v>
      </c>
      <c r="M26" s="22">
        <v>45936.53125</v>
      </c>
      <c r="N26" s="22">
        <v>45940.493750000001</v>
      </c>
      <c r="P26" t="s">
        <v>1450</v>
      </c>
      <c r="Q26" t="s">
        <v>1451</v>
      </c>
      <c r="R26" t="s">
        <v>1544</v>
      </c>
      <c r="S26" t="s">
        <v>1544</v>
      </c>
      <c r="T26" t="s">
        <v>116</v>
      </c>
      <c r="U26" t="s">
        <v>1453</v>
      </c>
      <c r="V26" t="s">
        <v>1605</v>
      </c>
      <c r="W26" t="s">
        <v>118</v>
      </c>
      <c r="Y26" t="s">
        <v>8</v>
      </c>
      <c r="Z26" t="s">
        <v>121</v>
      </c>
      <c r="AA26" t="s">
        <v>300</v>
      </c>
      <c r="AB26" s="23">
        <v>1</v>
      </c>
      <c r="AC26" s="23">
        <v>1</v>
      </c>
      <c r="AD26" s="26">
        <v>96011</v>
      </c>
      <c r="AE26" s="26">
        <v>153426</v>
      </c>
    </row>
    <row r="27" spans="1:31">
      <c r="A27" t="s">
        <v>70</v>
      </c>
      <c r="B27" t="s">
        <v>152</v>
      </c>
      <c r="C27" t="s">
        <v>36</v>
      </c>
      <c r="D27" t="s">
        <v>681</v>
      </c>
      <c r="E27" t="s">
        <v>1606</v>
      </c>
      <c r="F27" t="s">
        <v>1607</v>
      </c>
      <c r="G27" t="s">
        <v>1446</v>
      </c>
      <c r="H27" t="s">
        <v>313</v>
      </c>
      <c r="I27" t="s">
        <v>70</v>
      </c>
      <c r="J27" t="s">
        <v>1608</v>
      </c>
      <c r="K27" t="s">
        <v>112</v>
      </c>
      <c r="L27" t="s">
        <v>1609</v>
      </c>
      <c r="M27" s="22">
        <v>45936.706250000003</v>
      </c>
      <c r="N27" s="22">
        <v>45939.686111111107</v>
      </c>
      <c r="P27" t="s">
        <v>1450</v>
      </c>
      <c r="Q27" t="s">
        <v>1451</v>
      </c>
      <c r="R27" t="s">
        <v>1452</v>
      </c>
      <c r="S27" t="s">
        <v>1452</v>
      </c>
      <c r="T27" t="s">
        <v>116</v>
      </c>
      <c r="U27" t="s">
        <v>1453</v>
      </c>
      <c r="V27" t="s">
        <v>1610</v>
      </c>
      <c r="W27" t="s">
        <v>118</v>
      </c>
      <c r="Y27" t="s">
        <v>8</v>
      </c>
      <c r="Z27" t="s">
        <v>121</v>
      </c>
      <c r="AA27" t="s">
        <v>688</v>
      </c>
      <c r="AB27" s="23">
        <v>1</v>
      </c>
      <c r="AC27" s="23">
        <v>1</v>
      </c>
      <c r="AD27" s="26">
        <v>96011</v>
      </c>
      <c r="AE27" s="26">
        <v>153426</v>
      </c>
    </row>
    <row r="28" spans="1:31">
      <c r="A28" t="s">
        <v>61</v>
      </c>
      <c r="B28" t="s">
        <v>219</v>
      </c>
      <c r="C28" t="s">
        <v>32</v>
      </c>
      <c r="D28" t="s">
        <v>220</v>
      </c>
      <c r="E28" t="s">
        <v>1611</v>
      </c>
      <c r="F28" t="s">
        <v>1612</v>
      </c>
      <c r="G28" t="s">
        <v>1446</v>
      </c>
      <c r="H28" t="s">
        <v>223</v>
      </c>
      <c r="I28" t="s">
        <v>61</v>
      </c>
      <c r="J28" t="s">
        <v>1613</v>
      </c>
      <c r="K28" t="s">
        <v>112</v>
      </c>
      <c r="L28" t="s">
        <v>1614</v>
      </c>
      <c r="M28" s="22">
        <v>45937.549305555563</v>
      </c>
      <c r="N28" s="22">
        <v>45944.603472222218</v>
      </c>
      <c r="P28" t="s">
        <v>1450</v>
      </c>
      <c r="Q28" t="s">
        <v>1451</v>
      </c>
      <c r="R28" t="s">
        <v>114</v>
      </c>
      <c r="S28" t="s">
        <v>463</v>
      </c>
      <c r="T28" t="s">
        <v>116</v>
      </c>
      <c r="U28" t="s">
        <v>1453</v>
      </c>
      <c r="V28" t="s">
        <v>1615</v>
      </c>
      <c r="W28" t="s">
        <v>118</v>
      </c>
      <c r="Y28" t="s">
        <v>8</v>
      </c>
      <c r="Z28" t="s">
        <v>121</v>
      </c>
      <c r="AA28" t="s">
        <v>1616</v>
      </c>
      <c r="AB28" s="23">
        <v>1</v>
      </c>
      <c r="AC28" s="23">
        <v>1</v>
      </c>
      <c r="AD28" s="26">
        <v>96011</v>
      </c>
      <c r="AE28" s="26">
        <v>153426</v>
      </c>
    </row>
    <row r="29" spans="1:31">
      <c r="A29" t="s">
        <v>70</v>
      </c>
      <c r="B29" t="s">
        <v>152</v>
      </c>
      <c r="C29" t="s">
        <v>36</v>
      </c>
      <c r="D29" t="s">
        <v>1617</v>
      </c>
      <c r="E29" t="s">
        <v>1618</v>
      </c>
      <c r="F29" t="s">
        <v>1619</v>
      </c>
      <c r="G29" t="s">
        <v>1446</v>
      </c>
      <c r="H29" t="s">
        <v>154</v>
      </c>
      <c r="I29" t="s">
        <v>1620</v>
      </c>
      <c r="J29" t="s">
        <v>1621</v>
      </c>
      <c r="K29" t="s">
        <v>112</v>
      </c>
      <c r="L29" t="s">
        <v>1622</v>
      </c>
      <c r="M29" s="22">
        <v>45937.654166666667</v>
      </c>
      <c r="N29" s="22">
        <v>45949.582638888889</v>
      </c>
      <c r="P29" t="s">
        <v>1450</v>
      </c>
      <c r="Q29" t="s">
        <v>1451</v>
      </c>
      <c r="R29" t="s">
        <v>1544</v>
      </c>
      <c r="S29" t="s">
        <v>1452</v>
      </c>
      <c r="T29" t="s">
        <v>116</v>
      </c>
      <c r="U29" t="s">
        <v>1453</v>
      </c>
      <c r="V29" t="s">
        <v>1623</v>
      </c>
      <c r="W29" t="s">
        <v>118</v>
      </c>
      <c r="Y29" t="s">
        <v>120</v>
      </c>
      <c r="Z29" t="s">
        <v>121</v>
      </c>
      <c r="AA29" t="s">
        <v>1492</v>
      </c>
      <c r="AB29" s="23">
        <v>1</v>
      </c>
      <c r="AC29" s="23">
        <v>1</v>
      </c>
      <c r="AD29" s="26">
        <v>548634</v>
      </c>
      <c r="AE29" s="26">
        <v>659442</v>
      </c>
    </row>
    <row r="30" spans="1:31">
      <c r="A30" t="s">
        <v>63</v>
      </c>
      <c r="B30" t="s">
        <v>155</v>
      </c>
      <c r="C30" t="s">
        <v>54</v>
      </c>
      <c r="D30" t="s">
        <v>1624</v>
      </c>
      <c r="E30" t="s">
        <v>1625</v>
      </c>
      <c r="F30" t="s">
        <v>1626</v>
      </c>
      <c r="G30" t="s">
        <v>1446</v>
      </c>
      <c r="H30" t="s">
        <v>159</v>
      </c>
      <c r="I30" t="s">
        <v>1627</v>
      </c>
      <c r="J30" t="s">
        <v>1628</v>
      </c>
      <c r="K30" t="s">
        <v>112</v>
      </c>
      <c r="L30" t="s">
        <v>1629</v>
      </c>
      <c r="M30" s="22">
        <v>45938.48333333333</v>
      </c>
      <c r="N30" s="22">
        <v>45944.675694444442</v>
      </c>
      <c r="P30" t="s">
        <v>1450</v>
      </c>
      <c r="Q30" t="s">
        <v>1451</v>
      </c>
      <c r="R30" t="s">
        <v>1544</v>
      </c>
      <c r="S30" t="s">
        <v>1452</v>
      </c>
      <c r="T30" t="s">
        <v>116</v>
      </c>
      <c r="U30" t="s">
        <v>1453</v>
      </c>
      <c r="V30" t="s">
        <v>1630</v>
      </c>
      <c r="W30" t="s">
        <v>118</v>
      </c>
      <c r="Y30" t="s">
        <v>120</v>
      </c>
      <c r="Z30" t="s">
        <v>121</v>
      </c>
      <c r="AA30" t="s">
        <v>164</v>
      </c>
      <c r="AB30" s="23">
        <v>1</v>
      </c>
      <c r="AC30" s="23">
        <v>1</v>
      </c>
      <c r="AD30" s="26">
        <v>548634</v>
      </c>
      <c r="AE30" s="26">
        <v>659442</v>
      </c>
    </row>
    <row r="31" spans="1:31">
      <c r="A31" t="s">
        <v>61</v>
      </c>
      <c r="B31" t="s">
        <v>219</v>
      </c>
      <c r="C31" t="s">
        <v>32</v>
      </c>
      <c r="D31" t="s">
        <v>234</v>
      </c>
      <c r="E31" t="s">
        <v>1631</v>
      </c>
      <c r="F31" t="s">
        <v>1632</v>
      </c>
      <c r="G31" t="s">
        <v>1446</v>
      </c>
      <c r="H31" t="s">
        <v>223</v>
      </c>
      <c r="I31" t="s">
        <v>237</v>
      </c>
      <c r="J31" t="s">
        <v>1633</v>
      </c>
      <c r="K31" t="s">
        <v>112</v>
      </c>
      <c r="L31" t="s">
        <v>1634</v>
      </c>
      <c r="M31" s="22">
        <v>45938.510416666657</v>
      </c>
      <c r="N31" s="22">
        <v>45939.663194444453</v>
      </c>
      <c r="P31" t="s">
        <v>1450</v>
      </c>
      <c r="Q31" t="s">
        <v>1451</v>
      </c>
      <c r="R31" t="s">
        <v>114</v>
      </c>
      <c r="S31" t="s">
        <v>463</v>
      </c>
      <c r="T31" t="s">
        <v>116</v>
      </c>
      <c r="U31" t="s">
        <v>1453</v>
      </c>
      <c r="V31" t="s">
        <v>1635</v>
      </c>
      <c r="W31" t="s">
        <v>118</v>
      </c>
      <c r="Y31" t="s">
        <v>8</v>
      </c>
      <c r="Z31" t="s">
        <v>121</v>
      </c>
      <c r="AA31" t="s">
        <v>280</v>
      </c>
      <c r="AB31" s="23">
        <v>1</v>
      </c>
      <c r="AC31" s="23">
        <v>1</v>
      </c>
      <c r="AD31" s="26">
        <v>96011</v>
      </c>
      <c r="AE31" s="26">
        <v>153426</v>
      </c>
    </row>
    <row r="32" spans="1:31">
      <c r="A32" t="s">
        <v>65</v>
      </c>
      <c r="B32" t="s">
        <v>103</v>
      </c>
      <c r="C32" t="s">
        <v>59</v>
      </c>
      <c r="D32" t="s">
        <v>1599</v>
      </c>
      <c r="E32" t="s">
        <v>1636</v>
      </c>
      <c r="F32" t="s">
        <v>1637</v>
      </c>
      <c r="G32" t="s">
        <v>1446</v>
      </c>
      <c r="H32" t="s">
        <v>1357</v>
      </c>
      <c r="I32" t="s">
        <v>1602</v>
      </c>
      <c r="J32" t="s">
        <v>1638</v>
      </c>
      <c r="K32" t="s">
        <v>112</v>
      </c>
      <c r="L32" t="s">
        <v>1639</v>
      </c>
      <c r="M32" s="22">
        <v>45938.567361111112</v>
      </c>
      <c r="N32" s="22">
        <v>45940.593055555553</v>
      </c>
      <c r="P32" t="s">
        <v>1450</v>
      </c>
      <c r="Q32" t="s">
        <v>1451</v>
      </c>
      <c r="R32" t="s">
        <v>114</v>
      </c>
      <c r="S32" t="s">
        <v>463</v>
      </c>
      <c r="T32" t="s">
        <v>116</v>
      </c>
      <c r="U32" t="s">
        <v>1453</v>
      </c>
      <c r="V32" t="s">
        <v>1640</v>
      </c>
      <c r="W32" t="s">
        <v>118</v>
      </c>
      <c r="Y32" t="s">
        <v>8</v>
      </c>
      <c r="Z32" t="s">
        <v>121</v>
      </c>
      <c r="AA32" t="s">
        <v>300</v>
      </c>
      <c r="AB32" s="23">
        <v>1</v>
      </c>
      <c r="AC32" s="23">
        <v>1</v>
      </c>
      <c r="AD32" s="26">
        <v>96011</v>
      </c>
      <c r="AE32" s="26">
        <v>153426</v>
      </c>
    </row>
    <row r="33" spans="1:31">
      <c r="A33" t="s">
        <v>65</v>
      </c>
      <c r="B33" t="s">
        <v>103</v>
      </c>
      <c r="C33" t="s">
        <v>59</v>
      </c>
      <c r="D33" t="s">
        <v>1354</v>
      </c>
      <c r="E33" t="s">
        <v>1641</v>
      </c>
      <c r="F33" t="s">
        <v>1642</v>
      </c>
      <c r="G33" t="s">
        <v>1446</v>
      </c>
      <c r="H33" t="s">
        <v>1357</v>
      </c>
      <c r="I33" t="s">
        <v>65</v>
      </c>
      <c r="J33" t="s">
        <v>1643</v>
      </c>
      <c r="K33" t="s">
        <v>112</v>
      </c>
      <c r="L33" t="s">
        <v>1644</v>
      </c>
      <c r="M33" s="22">
        <v>45938.637499999997</v>
      </c>
      <c r="N33" s="22">
        <v>45945.537499999999</v>
      </c>
      <c r="P33" t="s">
        <v>1450</v>
      </c>
      <c r="Q33" t="s">
        <v>1451</v>
      </c>
      <c r="R33" t="s">
        <v>1544</v>
      </c>
      <c r="S33" t="s">
        <v>1544</v>
      </c>
      <c r="T33" t="s">
        <v>116</v>
      </c>
      <c r="U33" t="s">
        <v>1453</v>
      </c>
      <c r="V33" t="s">
        <v>1645</v>
      </c>
      <c r="W33" t="s">
        <v>118</v>
      </c>
      <c r="Y33" t="s">
        <v>8</v>
      </c>
      <c r="Z33" t="s">
        <v>121</v>
      </c>
      <c r="AA33" t="s">
        <v>300</v>
      </c>
      <c r="AB33" s="23">
        <v>1</v>
      </c>
      <c r="AC33" s="23">
        <v>1</v>
      </c>
      <c r="AD33" s="26">
        <v>96011</v>
      </c>
      <c r="AE33" s="26">
        <v>153426</v>
      </c>
    </row>
    <row r="34" spans="1:31">
      <c r="A34" t="s">
        <v>39</v>
      </c>
      <c r="B34" t="s">
        <v>438</v>
      </c>
      <c r="C34" t="s">
        <v>40</v>
      </c>
      <c r="D34" t="s">
        <v>439</v>
      </c>
      <c r="E34" t="s">
        <v>1646</v>
      </c>
      <c r="F34" t="s">
        <v>1647</v>
      </c>
      <c r="G34" t="s">
        <v>1446</v>
      </c>
      <c r="H34" t="s">
        <v>438</v>
      </c>
      <c r="I34" t="s">
        <v>39</v>
      </c>
      <c r="J34" t="s">
        <v>1648</v>
      </c>
      <c r="K34" t="s">
        <v>112</v>
      </c>
      <c r="L34" t="s">
        <v>1649</v>
      </c>
      <c r="M34" s="22">
        <v>45939.386805555558</v>
      </c>
      <c r="N34" s="22">
        <v>45940.498611111107</v>
      </c>
      <c r="P34" t="s">
        <v>1450</v>
      </c>
      <c r="Q34" t="s">
        <v>1451</v>
      </c>
      <c r="R34" t="s">
        <v>114</v>
      </c>
      <c r="S34" t="s">
        <v>463</v>
      </c>
      <c r="T34" t="s">
        <v>116</v>
      </c>
      <c r="U34" t="s">
        <v>1453</v>
      </c>
      <c r="V34" t="s">
        <v>1650</v>
      </c>
      <c r="W34" t="s">
        <v>118</v>
      </c>
      <c r="Y34" t="s">
        <v>8</v>
      </c>
      <c r="Z34" t="s">
        <v>121</v>
      </c>
      <c r="AA34" t="s">
        <v>576</v>
      </c>
      <c r="AB34" s="23">
        <v>1</v>
      </c>
      <c r="AC34" s="23">
        <v>1</v>
      </c>
      <c r="AD34" s="26">
        <v>96011</v>
      </c>
      <c r="AE34" s="26">
        <v>153426</v>
      </c>
    </row>
    <row r="35" spans="1:31">
      <c r="A35" t="s">
        <v>64</v>
      </c>
      <c r="B35" t="s">
        <v>103</v>
      </c>
      <c r="C35" t="s">
        <v>48</v>
      </c>
      <c r="D35" t="s">
        <v>1651</v>
      </c>
      <c r="E35" t="s">
        <v>1652</v>
      </c>
      <c r="F35" t="s">
        <v>1653</v>
      </c>
      <c r="G35" t="s">
        <v>1446</v>
      </c>
      <c r="H35" t="s">
        <v>177</v>
      </c>
      <c r="I35" t="s">
        <v>1654</v>
      </c>
      <c r="J35" t="s">
        <v>1655</v>
      </c>
      <c r="K35" t="s">
        <v>112</v>
      </c>
      <c r="L35" t="s">
        <v>1656</v>
      </c>
      <c r="M35" s="22">
        <v>45939.481249999997</v>
      </c>
      <c r="N35" s="22">
        <v>45946.896527777782</v>
      </c>
      <c r="P35" t="s">
        <v>1450</v>
      </c>
      <c r="Q35" t="s">
        <v>1451</v>
      </c>
      <c r="R35" t="s">
        <v>114</v>
      </c>
      <c r="S35" t="s">
        <v>115</v>
      </c>
      <c r="T35" t="s">
        <v>116</v>
      </c>
      <c r="U35" t="s">
        <v>1453</v>
      </c>
      <c r="V35" t="s">
        <v>1657</v>
      </c>
      <c r="W35" t="s">
        <v>118</v>
      </c>
      <c r="Y35" t="s">
        <v>251</v>
      </c>
      <c r="Z35" t="s">
        <v>121</v>
      </c>
      <c r="AA35" t="s">
        <v>131</v>
      </c>
      <c r="AB35" s="23">
        <v>1</v>
      </c>
      <c r="AC35" s="23">
        <v>1</v>
      </c>
      <c r="AD35" s="26">
        <v>232859</v>
      </c>
      <c r="AE35" s="26">
        <v>343667</v>
      </c>
    </row>
    <row r="36" spans="1:31">
      <c r="A36" t="s">
        <v>68</v>
      </c>
      <c r="B36" t="s">
        <v>152</v>
      </c>
      <c r="C36" t="s">
        <v>36</v>
      </c>
      <c r="D36" t="s">
        <v>1658</v>
      </c>
      <c r="E36" t="s">
        <v>1659</v>
      </c>
      <c r="F36" t="s">
        <v>1660</v>
      </c>
      <c r="G36" t="s">
        <v>1446</v>
      </c>
      <c r="H36" t="s">
        <v>754</v>
      </c>
      <c r="I36" t="s">
        <v>1661</v>
      </c>
      <c r="J36" t="s">
        <v>1662</v>
      </c>
      <c r="K36" t="s">
        <v>112</v>
      </c>
      <c r="L36" t="s">
        <v>1663</v>
      </c>
      <c r="M36" s="22">
        <v>45939.636805555558</v>
      </c>
      <c r="N36" s="22">
        <v>45941.780555555553</v>
      </c>
      <c r="P36" t="s">
        <v>1450</v>
      </c>
      <c r="Q36" t="s">
        <v>1451</v>
      </c>
      <c r="R36" t="s">
        <v>1452</v>
      </c>
      <c r="S36" t="s">
        <v>1452</v>
      </c>
      <c r="T36" t="s">
        <v>116</v>
      </c>
      <c r="U36" t="s">
        <v>1453</v>
      </c>
      <c r="V36" t="s">
        <v>1664</v>
      </c>
      <c r="W36" t="s">
        <v>118</v>
      </c>
      <c r="Y36" t="s">
        <v>251</v>
      </c>
      <c r="Z36" t="s">
        <v>121</v>
      </c>
      <c r="AA36" t="s">
        <v>1239</v>
      </c>
      <c r="AB36" s="23">
        <v>1</v>
      </c>
      <c r="AC36" s="23">
        <v>1</v>
      </c>
      <c r="AD36" s="26">
        <v>232859</v>
      </c>
      <c r="AE36" s="26">
        <v>343667</v>
      </c>
    </row>
    <row r="37" spans="1:31">
      <c r="A37" t="s">
        <v>39</v>
      </c>
      <c r="B37" t="s">
        <v>438</v>
      </c>
      <c r="C37" t="s">
        <v>40</v>
      </c>
      <c r="D37" t="s">
        <v>439</v>
      </c>
      <c r="E37" t="s">
        <v>1665</v>
      </c>
      <c r="F37" t="s">
        <v>1666</v>
      </c>
      <c r="G37" t="s">
        <v>1446</v>
      </c>
      <c r="H37" t="s">
        <v>438</v>
      </c>
      <c r="I37" t="s">
        <v>39</v>
      </c>
      <c r="J37" t="s">
        <v>1667</v>
      </c>
      <c r="K37" t="s">
        <v>112</v>
      </c>
      <c r="L37" t="s">
        <v>1668</v>
      </c>
      <c r="M37" s="22">
        <v>45939.652777777781</v>
      </c>
      <c r="N37" s="22">
        <v>45946.897916666669</v>
      </c>
      <c r="P37" t="s">
        <v>1450</v>
      </c>
      <c r="Q37" t="s">
        <v>1451</v>
      </c>
      <c r="R37" t="s">
        <v>1452</v>
      </c>
      <c r="S37" t="s">
        <v>1452</v>
      </c>
      <c r="T37" t="s">
        <v>116</v>
      </c>
      <c r="U37" t="s">
        <v>1453</v>
      </c>
      <c r="V37" t="s">
        <v>1669</v>
      </c>
      <c r="W37" t="s">
        <v>118</v>
      </c>
      <c r="Y37" t="s">
        <v>8</v>
      </c>
      <c r="Z37" t="s">
        <v>121</v>
      </c>
      <c r="AA37" t="s">
        <v>563</v>
      </c>
      <c r="AB37" s="23">
        <v>1</v>
      </c>
      <c r="AC37" s="23">
        <v>1</v>
      </c>
      <c r="AD37" s="26">
        <v>96011</v>
      </c>
      <c r="AE37" s="26">
        <v>153426</v>
      </c>
    </row>
    <row r="38" spans="1:31">
      <c r="A38" t="s">
        <v>43</v>
      </c>
      <c r="B38" t="s">
        <v>185</v>
      </c>
      <c r="C38" t="s">
        <v>44</v>
      </c>
      <c r="D38" t="s">
        <v>372</v>
      </c>
      <c r="E38" t="s">
        <v>1670</v>
      </c>
      <c r="F38" t="s">
        <v>1671</v>
      </c>
      <c r="G38" t="s">
        <v>1446</v>
      </c>
      <c r="H38" t="s">
        <v>366</v>
      </c>
      <c r="I38" t="s">
        <v>375</v>
      </c>
      <c r="J38" t="s">
        <v>1672</v>
      </c>
      <c r="K38" t="s">
        <v>112</v>
      </c>
      <c r="L38" t="s">
        <v>1673</v>
      </c>
      <c r="M38" s="22">
        <v>45940.333333333343</v>
      </c>
      <c r="N38" s="22">
        <v>45945.362500000003</v>
      </c>
      <c r="P38" t="s">
        <v>1450</v>
      </c>
      <c r="Q38" t="s">
        <v>1451</v>
      </c>
      <c r="R38" t="s">
        <v>114</v>
      </c>
      <c r="S38" t="s">
        <v>463</v>
      </c>
      <c r="T38" t="s">
        <v>116</v>
      </c>
      <c r="U38" t="s">
        <v>1453</v>
      </c>
      <c r="V38" t="s">
        <v>1674</v>
      </c>
      <c r="W38" t="s">
        <v>118</v>
      </c>
      <c r="Y38" t="s">
        <v>8</v>
      </c>
      <c r="Z38" t="s">
        <v>121</v>
      </c>
      <c r="AA38" t="s">
        <v>458</v>
      </c>
      <c r="AB38" s="23">
        <v>1</v>
      </c>
      <c r="AC38" s="23">
        <v>1</v>
      </c>
      <c r="AD38" s="26">
        <v>96011</v>
      </c>
      <c r="AE38" s="26">
        <v>153426</v>
      </c>
    </row>
    <row r="39" spans="1:31">
      <c r="A39" t="s">
        <v>52</v>
      </c>
      <c r="B39" t="s">
        <v>185</v>
      </c>
      <c r="C39" t="s">
        <v>44</v>
      </c>
      <c r="D39" t="s">
        <v>1675</v>
      </c>
      <c r="E39" t="s">
        <v>1676</v>
      </c>
      <c r="F39" t="s">
        <v>1677</v>
      </c>
      <c r="G39" t="s">
        <v>1446</v>
      </c>
      <c r="H39" t="s">
        <v>189</v>
      </c>
      <c r="I39" t="s">
        <v>52</v>
      </c>
      <c r="J39" t="s">
        <v>1678</v>
      </c>
      <c r="K39" t="s">
        <v>112</v>
      </c>
      <c r="L39" t="s">
        <v>1679</v>
      </c>
      <c r="M39" s="22">
        <v>45940.34652777778</v>
      </c>
      <c r="N39" s="22">
        <v>45946.902083333327</v>
      </c>
      <c r="P39" t="s">
        <v>1450</v>
      </c>
      <c r="Q39" t="s">
        <v>1451</v>
      </c>
      <c r="R39" t="s">
        <v>1544</v>
      </c>
      <c r="S39" t="s">
        <v>1544</v>
      </c>
      <c r="T39" t="s">
        <v>116</v>
      </c>
      <c r="U39" t="s">
        <v>1453</v>
      </c>
      <c r="V39" t="s">
        <v>1680</v>
      </c>
      <c r="W39" t="s">
        <v>118</v>
      </c>
      <c r="Y39" t="s">
        <v>8</v>
      </c>
      <c r="Z39" t="s">
        <v>121</v>
      </c>
      <c r="AA39" t="s">
        <v>195</v>
      </c>
      <c r="AB39" s="23">
        <v>1</v>
      </c>
      <c r="AC39" s="23">
        <v>1</v>
      </c>
      <c r="AD39" s="26">
        <v>96011</v>
      </c>
      <c r="AE39" s="26">
        <v>153426</v>
      </c>
    </row>
    <row r="40" spans="1:31">
      <c r="A40" t="s">
        <v>61</v>
      </c>
      <c r="B40" t="s">
        <v>219</v>
      </c>
      <c r="C40" t="s">
        <v>32</v>
      </c>
      <c r="D40" t="s">
        <v>253</v>
      </c>
      <c r="E40" t="s">
        <v>1681</v>
      </c>
      <c r="F40" t="s">
        <v>1682</v>
      </c>
      <c r="G40" t="s">
        <v>1446</v>
      </c>
      <c r="H40" t="s">
        <v>223</v>
      </c>
      <c r="I40" t="s">
        <v>256</v>
      </c>
      <c r="J40" t="s">
        <v>1683</v>
      </c>
      <c r="K40" t="s">
        <v>112</v>
      </c>
      <c r="L40" t="s">
        <v>1684</v>
      </c>
      <c r="M40" s="22">
        <v>45940.447222222218</v>
      </c>
      <c r="N40" s="22">
        <v>45945.527083333327</v>
      </c>
      <c r="P40" t="s">
        <v>1450</v>
      </c>
      <c r="Q40" t="s">
        <v>1451</v>
      </c>
      <c r="R40" t="s">
        <v>1452</v>
      </c>
      <c r="S40" t="s">
        <v>1452</v>
      </c>
      <c r="T40" t="s">
        <v>116</v>
      </c>
      <c r="U40" t="s">
        <v>1453</v>
      </c>
      <c r="V40" t="s">
        <v>1685</v>
      </c>
      <c r="W40" t="s">
        <v>118</v>
      </c>
      <c r="Y40" t="s">
        <v>8</v>
      </c>
      <c r="Z40" t="s">
        <v>121</v>
      </c>
      <c r="AA40" t="s">
        <v>1616</v>
      </c>
      <c r="AB40" s="23">
        <v>1</v>
      </c>
      <c r="AC40" s="23">
        <v>1</v>
      </c>
      <c r="AD40" s="26">
        <v>96011</v>
      </c>
      <c r="AE40" s="26">
        <v>153426</v>
      </c>
    </row>
    <row r="41" spans="1:31">
      <c r="A41" t="s">
        <v>52</v>
      </c>
      <c r="B41" t="s">
        <v>185</v>
      </c>
      <c r="C41" t="s">
        <v>44</v>
      </c>
      <c r="D41" t="s">
        <v>1675</v>
      </c>
      <c r="E41" t="s">
        <v>1686</v>
      </c>
      <c r="F41" t="s">
        <v>1687</v>
      </c>
      <c r="G41" t="s">
        <v>1446</v>
      </c>
      <c r="H41" t="s">
        <v>189</v>
      </c>
      <c r="I41" t="s">
        <v>52</v>
      </c>
      <c r="J41" t="s">
        <v>1688</v>
      </c>
      <c r="K41" t="s">
        <v>112</v>
      </c>
      <c r="L41" t="s">
        <v>1689</v>
      </c>
      <c r="M41" s="22">
        <v>45940.460416666669</v>
      </c>
      <c r="N41" s="22">
        <v>45945.52847222222</v>
      </c>
      <c r="P41" t="s">
        <v>1450</v>
      </c>
      <c r="Q41" t="s">
        <v>1451</v>
      </c>
      <c r="R41" t="s">
        <v>1452</v>
      </c>
      <c r="S41" t="s">
        <v>1452</v>
      </c>
      <c r="T41" t="s">
        <v>116</v>
      </c>
      <c r="U41" t="s">
        <v>1453</v>
      </c>
      <c r="V41" t="s">
        <v>1690</v>
      </c>
      <c r="W41" t="s">
        <v>118</v>
      </c>
      <c r="Y41" t="s">
        <v>8</v>
      </c>
      <c r="Z41" t="s">
        <v>121</v>
      </c>
      <c r="AA41" t="s">
        <v>1691</v>
      </c>
      <c r="AB41" s="23">
        <v>1</v>
      </c>
      <c r="AC41" s="23">
        <v>1</v>
      </c>
      <c r="AD41" s="26">
        <v>96011</v>
      </c>
      <c r="AE41" s="26">
        <v>153426</v>
      </c>
    </row>
    <row r="42" spans="1:31">
      <c r="A42" t="s">
        <v>69</v>
      </c>
      <c r="B42" t="s">
        <v>185</v>
      </c>
      <c r="C42" t="s">
        <v>44</v>
      </c>
      <c r="D42" t="s">
        <v>1692</v>
      </c>
      <c r="E42" t="s">
        <v>1693</v>
      </c>
      <c r="F42" t="s">
        <v>1694</v>
      </c>
      <c r="G42" t="s">
        <v>1446</v>
      </c>
      <c r="H42" t="s">
        <v>284</v>
      </c>
      <c r="I42" t="s">
        <v>1695</v>
      </c>
      <c r="J42" t="s">
        <v>1696</v>
      </c>
      <c r="K42" t="s">
        <v>112</v>
      </c>
      <c r="L42" t="s">
        <v>1697</v>
      </c>
      <c r="M42" s="22">
        <v>45940.488194444442</v>
      </c>
      <c r="N42" s="22">
        <v>45946.904861111107</v>
      </c>
      <c r="P42" t="s">
        <v>1450</v>
      </c>
      <c r="Q42" t="s">
        <v>1451</v>
      </c>
      <c r="R42" t="s">
        <v>1452</v>
      </c>
      <c r="S42" t="s">
        <v>1452</v>
      </c>
      <c r="T42" t="s">
        <v>116</v>
      </c>
      <c r="U42" t="s">
        <v>1453</v>
      </c>
      <c r="V42" t="s">
        <v>1698</v>
      </c>
      <c r="W42" t="s">
        <v>118</v>
      </c>
      <c r="Y42" t="s">
        <v>251</v>
      </c>
      <c r="Z42" t="s">
        <v>121</v>
      </c>
      <c r="AA42" t="s">
        <v>1699</v>
      </c>
      <c r="AB42" s="23">
        <v>1</v>
      </c>
      <c r="AC42" s="23">
        <v>1</v>
      </c>
      <c r="AD42" s="26">
        <v>232859</v>
      </c>
      <c r="AE42" s="26">
        <v>343667</v>
      </c>
    </row>
    <row r="43" spans="1:31">
      <c r="A43" t="s">
        <v>65</v>
      </c>
      <c r="B43" t="s">
        <v>103</v>
      </c>
      <c r="C43" t="s">
        <v>59</v>
      </c>
      <c r="D43" t="s">
        <v>1354</v>
      </c>
      <c r="E43" t="s">
        <v>1700</v>
      </c>
      <c r="F43" t="s">
        <v>1701</v>
      </c>
      <c r="G43" t="s">
        <v>1446</v>
      </c>
      <c r="H43" t="s">
        <v>1357</v>
      </c>
      <c r="I43" t="s">
        <v>65</v>
      </c>
      <c r="J43" t="s">
        <v>1702</v>
      </c>
      <c r="K43" t="s">
        <v>112</v>
      </c>
      <c r="L43" t="s">
        <v>1703</v>
      </c>
      <c r="M43" s="22">
        <v>45941.493055555547</v>
      </c>
      <c r="N43" s="22">
        <v>45945.534722222219</v>
      </c>
      <c r="P43" t="s">
        <v>1450</v>
      </c>
      <c r="Q43" t="s">
        <v>1451</v>
      </c>
      <c r="R43" t="s">
        <v>114</v>
      </c>
      <c r="S43" t="s">
        <v>115</v>
      </c>
      <c r="T43" t="s">
        <v>116</v>
      </c>
      <c r="U43" t="s">
        <v>1453</v>
      </c>
      <c r="V43" t="s">
        <v>1704</v>
      </c>
      <c r="W43" t="s">
        <v>118</v>
      </c>
      <c r="Y43" t="s">
        <v>8</v>
      </c>
      <c r="Z43" t="s">
        <v>121</v>
      </c>
      <c r="AA43" t="s">
        <v>300</v>
      </c>
      <c r="AB43" s="23">
        <v>1</v>
      </c>
      <c r="AC43" s="23">
        <v>1</v>
      </c>
      <c r="AD43" s="26">
        <v>96011</v>
      </c>
      <c r="AE43" s="26">
        <v>153426</v>
      </c>
    </row>
    <row r="44" spans="1:31">
      <c r="A44" t="s">
        <v>57</v>
      </c>
      <c r="B44" t="s">
        <v>155</v>
      </c>
      <c r="C44" t="s">
        <v>54</v>
      </c>
      <c r="D44" t="s">
        <v>946</v>
      </c>
      <c r="E44" t="s">
        <v>1705</v>
      </c>
      <c r="F44" t="s">
        <v>1706</v>
      </c>
      <c r="G44" t="s">
        <v>1446</v>
      </c>
      <c r="H44" t="s">
        <v>949</v>
      </c>
      <c r="I44" t="s">
        <v>57</v>
      </c>
      <c r="J44" t="s">
        <v>1707</v>
      </c>
      <c r="K44" t="s">
        <v>112</v>
      </c>
      <c r="L44" t="s">
        <v>1708</v>
      </c>
      <c r="M44" s="22">
        <v>45944.372916666667</v>
      </c>
      <c r="N44" s="22">
        <v>45945.709722222222</v>
      </c>
      <c r="P44" t="s">
        <v>1450</v>
      </c>
      <c r="Q44" t="s">
        <v>1451</v>
      </c>
      <c r="R44" t="s">
        <v>114</v>
      </c>
      <c r="S44" t="s">
        <v>115</v>
      </c>
      <c r="T44" t="s">
        <v>116</v>
      </c>
      <c r="U44" t="s">
        <v>1453</v>
      </c>
      <c r="V44" t="s">
        <v>1709</v>
      </c>
      <c r="W44" t="s">
        <v>118</v>
      </c>
      <c r="Y44" t="s">
        <v>8</v>
      </c>
      <c r="Z44" t="s">
        <v>121</v>
      </c>
      <c r="AA44" t="s">
        <v>1382</v>
      </c>
      <c r="AB44" s="23">
        <v>1</v>
      </c>
      <c r="AC44" s="23">
        <v>1</v>
      </c>
      <c r="AD44" s="26">
        <v>96011</v>
      </c>
      <c r="AE44" s="26">
        <v>153426</v>
      </c>
    </row>
    <row r="45" spans="1:31">
      <c r="A45" t="s">
        <v>65</v>
      </c>
      <c r="B45" t="s">
        <v>103</v>
      </c>
      <c r="C45" t="s">
        <v>59</v>
      </c>
      <c r="D45" t="s">
        <v>1354</v>
      </c>
      <c r="E45" t="s">
        <v>1710</v>
      </c>
      <c r="F45" t="s">
        <v>1711</v>
      </c>
      <c r="G45" t="s">
        <v>1446</v>
      </c>
      <c r="H45" t="s">
        <v>1357</v>
      </c>
      <c r="I45" t="s">
        <v>65</v>
      </c>
      <c r="J45" t="s">
        <v>1712</v>
      </c>
      <c r="K45" t="s">
        <v>112</v>
      </c>
      <c r="L45" t="s">
        <v>1713</v>
      </c>
      <c r="M45" s="22">
        <v>45944.386805555558</v>
      </c>
      <c r="N45" s="22">
        <v>45946.908333333333</v>
      </c>
      <c r="P45" t="s">
        <v>1450</v>
      </c>
      <c r="Q45" t="s">
        <v>1451</v>
      </c>
      <c r="R45" t="s">
        <v>114</v>
      </c>
      <c r="S45" t="s">
        <v>463</v>
      </c>
      <c r="T45" t="s">
        <v>116</v>
      </c>
      <c r="U45" t="s">
        <v>1453</v>
      </c>
      <c r="V45" t="s">
        <v>1714</v>
      </c>
      <c r="W45" t="s">
        <v>118</v>
      </c>
      <c r="Y45" t="s">
        <v>8</v>
      </c>
      <c r="Z45" t="s">
        <v>121</v>
      </c>
      <c r="AA45" t="s">
        <v>1715</v>
      </c>
      <c r="AB45" s="23">
        <v>1</v>
      </c>
      <c r="AC45" s="23">
        <v>1</v>
      </c>
      <c r="AD45" s="26">
        <v>96011</v>
      </c>
      <c r="AE45" s="26">
        <v>153426</v>
      </c>
    </row>
    <row r="46" spans="1:31">
      <c r="A46" t="s">
        <v>68</v>
      </c>
      <c r="B46" t="s">
        <v>152</v>
      </c>
      <c r="C46" t="s">
        <v>36</v>
      </c>
      <c r="D46" t="s">
        <v>1658</v>
      </c>
      <c r="E46" t="s">
        <v>1716</v>
      </c>
      <c r="F46" t="s">
        <v>1717</v>
      </c>
      <c r="G46" t="s">
        <v>1446</v>
      </c>
      <c r="H46" t="s">
        <v>754</v>
      </c>
      <c r="I46" t="s">
        <v>1661</v>
      </c>
      <c r="J46" t="s">
        <v>1718</v>
      </c>
      <c r="K46" t="s">
        <v>112</v>
      </c>
      <c r="L46" t="s">
        <v>1719</v>
      </c>
      <c r="M46" s="22">
        <v>45944.536111111112</v>
      </c>
      <c r="N46" s="22">
        <v>45945.76458333333</v>
      </c>
      <c r="P46" t="s">
        <v>1450</v>
      </c>
      <c r="Q46" t="s">
        <v>1451</v>
      </c>
      <c r="R46" t="s">
        <v>114</v>
      </c>
      <c r="S46" t="s">
        <v>115</v>
      </c>
      <c r="T46" t="s">
        <v>116</v>
      </c>
      <c r="U46" t="s">
        <v>1453</v>
      </c>
      <c r="V46" t="s">
        <v>1720</v>
      </c>
      <c r="W46" t="s">
        <v>118</v>
      </c>
      <c r="Y46" t="s">
        <v>251</v>
      </c>
      <c r="Z46" t="s">
        <v>121</v>
      </c>
      <c r="AA46" t="s">
        <v>760</v>
      </c>
      <c r="AB46" s="23">
        <v>1</v>
      </c>
      <c r="AC46" s="23">
        <v>1</v>
      </c>
      <c r="AD46" s="26">
        <v>232859</v>
      </c>
      <c r="AE46" s="26">
        <v>343667</v>
      </c>
    </row>
    <row r="47" spans="1:31">
      <c r="A47" t="s">
        <v>61</v>
      </c>
      <c r="B47" t="s">
        <v>219</v>
      </c>
      <c r="C47" t="s">
        <v>32</v>
      </c>
      <c r="D47" t="s">
        <v>604</v>
      </c>
      <c r="E47" t="s">
        <v>1721</v>
      </c>
      <c r="F47" t="s">
        <v>1722</v>
      </c>
      <c r="G47" t="s">
        <v>1446</v>
      </c>
      <c r="H47" t="s">
        <v>223</v>
      </c>
      <c r="I47" t="s">
        <v>607</v>
      </c>
      <c r="J47" t="s">
        <v>1723</v>
      </c>
      <c r="K47" t="s">
        <v>112</v>
      </c>
      <c r="L47" t="s">
        <v>1724</v>
      </c>
      <c r="M47" s="22">
        <v>45944.527777777781</v>
      </c>
      <c r="N47" s="22">
        <v>45946.909722222219</v>
      </c>
      <c r="P47" t="s">
        <v>1450</v>
      </c>
      <c r="Q47" t="s">
        <v>1451</v>
      </c>
      <c r="R47" t="s">
        <v>1452</v>
      </c>
      <c r="S47" t="s">
        <v>1452</v>
      </c>
      <c r="T47" t="s">
        <v>1505</v>
      </c>
      <c r="U47" t="s">
        <v>1568</v>
      </c>
      <c r="V47" t="s">
        <v>1725</v>
      </c>
      <c r="W47" t="s">
        <v>1508</v>
      </c>
      <c r="Y47" t="s">
        <v>8</v>
      </c>
      <c r="Z47" t="s">
        <v>121</v>
      </c>
      <c r="AA47" t="s">
        <v>228</v>
      </c>
      <c r="AB47" s="23">
        <v>0</v>
      </c>
      <c r="AC47" s="23">
        <v>0</v>
      </c>
      <c r="AD47" s="26">
        <v>37905</v>
      </c>
      <c r="AE47" s="26">
        <v>37905</v>
      </c>
    </row>
    <row r="48" spans="1:31">
      <c r="A48" t="s">
        <v>65</v>
      </c>
      <c r="B48" t="s">
        <v>103</v>
      </c>
      <c r="C48" t="s">
        <v>59</v>
      </c>
      <c r="D48" t="s">
        <v>1354</v>
      </c>
      <c r="E48" t="s">
        <v>1726</v>
      </c>
      <c r="F48" t="s">
        <v>1727</v>
      </c>
      <c r="G48" t="s">
        <v>1446</v>
      </c>
      <c r="H48" t="s">
        <v>1357</v>
      </c>
      <c r="I48" t="s">
        <v>65</v>
      </c>
      <c r="J48" t="s">
        <v>1728</v>
      </c>
      <c r="K48" t="s">
        <v>112</v>
      </c>
      <c r="L48" t="s">
        <v>1729</v>
      </c>
      <c r="M48" s="22">
        <v>45944.603472222218</v>
      </c>
      <c r="N48" s="22">
        <v>45946.911111111112</v>
      </c>
      <c r="P48" t="s">
        <v>1450</v>
      </c>
      <c r="Q48" t="s">
        <v>1451</v>
      </c>
      <c r="R48" t="s">
        <v>1452</v>
      </c>
      <c r="S48" t="s">
        <v>1452</v>
      </c>
      <c r="T48" t="s">
        <v>116</v>
      </c>
      <c r="U48" t="s">
        <v>1453</v>
      </c>
      <c r="V48" t="s">
        <v>1730</v>
      </c>
      <c r="W48" t="s">
        <v>118</v>
      </c>
      <c r="Y48" t="s">
        <v>8</v>
      </c>
      <c r="Z48" t="s">
        <v>121</v>
      </c>
      <c r="AA48" t="s">
        <v>1715</v>
      </c>
      <c r="AB48" s="23">
        <v>1</v>
      </c>
      <c r="AC48" s="23">
        <v>1</v>
      </c>
      <c r="AD48" s="26">
        <v>96011</v>
      </c>
      <c r="AE48" s="26">
        <v>153426</v>
      </c>
    </row>
    <row r="49" spans="1:31">
      <c r="A49" t="s">
        <v>63</v>
      </c>
      <c r="B49" t="s">
        <v>155</v>
      </c>
      <c r="C49" t="s">
        <v>54</v>
      </c>
      <c r="D49" t="s">
        <v>1731</v>
      </c>
      <c r="E49" t="s">
        <v>1732</v>
      </c>
      <c r="F49" t="s">
        <v>1733</v>
      </c>
      <c r="G49" t="s">
        <v>1446</v>
      </c>
      <c r="H49" t="s">
        <v>340</v>
      </c>
      <c r="I49" t="s">
        <v>1734</v>
      </c>
      <c r="J49" t="s">
        <v>1735</v>
      </c>
      <c r="K49" t="s">
        <v>112</v>
      </c>
      <c r="L49" t="s">
        <v>1736</v>
      </c>
      <c r="M49" s="22">
        <v>45945.370833333327</v>
      </c>
      <c r="N49" s="22">
        <v>45947.606249999997</v>
      </c>
      <c r="P49" t="s">
        <v>1450</v>
      </c>
      <c r="Q49" t="s">
        <v>1451</v>
      </c>
      <c r="R49" t="s">
        <v>1452</v>
      </c>
      <c r="S49" t="s">
        <v>1452</v>
      </c>
      <c r="T49" t="s">
        <v>1497</v>
      </c>
      <c r="U49" t="s">
        <v>1498</v>
      </c>
      <c r="V49" t="s">
        <v>1737</v>
      </c>
      <c r="W49" t="s">
        <v>118</v>
      </c>
      <c r="Y49" t="s">
        <v>183</v>
      </c>
      <c r="Z49" t="s">
        <v>121</v>
      </c>
      <c r="AA49" t="s">
        <v>713</v>
      </c>
      <c r="AB49" s="23">
        <v>1</v>
      </c>
      <c r="AC49" s="23">
        <v>2</v>
      </c>
      <c r="AD49" s="26">
        <v>344775</v>
      </c>
      <c r="AE49" s="26">
        <v>566391</v>
      </c>
    </row>
    <row r="50" spans="1:31">
      <c r="A50" t="s">
        <v>63</v>
      </c>
      <c r="B50" t="s">
        <v>155</v>
      </c>
      <c r="C50" t="s">
        <v>54</v>
      </c>
      <c r="D50" t="s">
        <v>1738</v>
      </c>
      <c r="E50" t="s">
        <v>1739</v>
      </c>
      <c r="F50" t="s">
        <v>1740</v>
      </c>
      <c r="G50" t="s">
        <v>1446</v>
      </c>
      <c r="H50" t="s">
        <v>159</v>
      </c>
      <c r="I50" t="s">
        <v>1741</v>
      </c>
      <c r="J50" t="s">
        <v>1742</v>
      </c>
      <c r="K50" t="s">
        <v>112</v>
      </c>
      <c r="L50" t="s">
        <v>1743</v>
      </c>
      <c r="M50" s="22">
        <v>45945.476388888892</v>
      </c>
      <c r="N50" s="22">
        <v>45951.652083333327</v>
      </c>
      <c r="P50" t="s">
        <v>1450</v>
      </c>
      <c r="Q50" t="s">
        <v>1451</v>
      </c>
      <c r="R50" t="s">
        <v>114</v>
      </c>
      <c r="S50" t="s">
        <v>115</v>
      </c>
      <c r="T50" t="s">
        <v>116</v>
      </c>
      <c r="U50" t="s">
        <v>1453</v>
      </c>
      <c r="V50" t="s">
        <v>1744</v>
      </c>
      <c r="W50" t="s">
        <v>118</v>
      </c>
      <c r="Y50" t="s">
        <v>173</v>
      </c>
      <c r="Z50" t="s">
        <v>1745</v>
      </c>
      <c r="AA50" t="s">
        <v>164</v>
      </c>
      <c r="AB50" s="23">
        <v>1</v>
      </c>
      <c r="AC50" s="23">
        <v>1</v>
      </c>
      <c r="AD50" s="26">
        <v>548634</v>
      </c>
      <c r="AE50" s="26">
        <v>659442</v>
      </c>
    </row>
    <row r="51" spans="1:31">
      <c r="A51" t="s">
        <v>71</v>
      </c>
      <c r="B51" t="s">
        <v>155</v>
      </c>
      <c r="C51" t="s">
        <v>54</v>
      </c>
      <c r="D51" t="s">
        <v>1746</v>
      </c>
      <c r="E51" t="s">
        <v>1747</v>
      </c>
      <c r="F51" t="s">
        <v>1748</v>
      </c>
      <c r="G51" t="s">
        <v>1446</v>
      </c>
      <c r="H51" t="s">
        <v>717</v>
      </c>
      <c r="I51" t="s">
        <v>71</v>
      </c>
      <c r="J51" t="s">
        <v>1749</v>
      </c>
      <c r="K51" t="s">
        <v>112</v>
      </c>
      <c r="L51" t="s">
        <v>1750</v>
      </c>
      <c r="M51" s="22">
        <v>45945.538888888892</v>
      </c>
      <c r="N51" s="22">
        <v>45946.915972222218</v>
      </c>
      <c r="P51" t="s">
        <v>1450</v>
      </c>
      <c r="Q51" t="s">
        <v>1451</v>
      </c>
      <c r="R51" t="s">
        <v>1544</v>
      </c>
      <c r="S51" t="s">
        <v>1544</v>
      </c>
      <c r="T51" t="s">
        <v>116</v>
      </c>
      <c r="U51" t="s">
        <v>1453</v>
      </c>
      <c r="V51" t="s">
        <v>1751</v>
      </c>
      <c r="W51" t="s">
        <v>118</v>
      </c>
      <c r="Y51" t="s">
        <v>8</v>
      </c>
      <c r="Z51" t="s">
        <v>121</v>
      </c>
      <c r="AA51" t="s">
        <v>1752</v>
      </c>
      <c r="AB51" s="23">
        <v>1</v>
      </c>
      <c r="AC51" s="23">
        <v>1</v>
      </c>
      <c r="AD51" s="26">
        <v>96011</v>
      </c>
      <c r="AE51" s="26">
        <v>153426</v>
      </c>
    </row>
    <row r="52" spans="1:31">
      <c r="A52" t="s">
        <v>70</v>
      </c>
      <c r="B52" t="s">
        <v>152</v>
      </c>
      <c r="C52" t="s">
        <v>36</v>
      </c>
      <c r="D52" t="s">
        <v>1753</v>
      </c>
      <c r="E52" t="s">
        <v>1754</v>
      </c>
      <c r="F52" t="s">
        <v>1755</v>
      </c>
      <c r="G52" t="s">
        <v>1446</v>
      </c>
      <c r="H52" t="s">
        <v>313</v>
      </c>
      <c r="I52" t="s">
        <v>1756</v>
      </c>
      <c r="J52" t="s">
        <v>1757</v>
      </c>
      <c r="K52" t="s">
        <v>112</v>
      </c>
      <c r="L52" t="s">
        <v>1758</v>
      </c>
      <c r="M52" s="22">
        <v>45945.577777777777</v>
      </c>
      <c r="N52" s="22">
        <v>45952.520138888889</v>
      </c>
      <c r="P52" t="s">
        <v>1450</v>
      </c>
      <c r="Q52" t="s">
        <v>1451</v>
      </c>
      <c r="R52" t="s">
        <v>1452</v>
      </c>
      <c r="S52" t="s">
        <v>1452</v>
      </c>
      <c r="T52" t="s">
        <v>116</v>
      </c>
      <c r="U52" t="s">
        <v>1453</v>
      </c>
      <c r="V52" t="s">
        <v>1759</v>
      </c>
      <c r="W52" t="s">
        <v>118</v>
      </c>
      <c r="Y52" t="s">
        <v>183</v>
      </c>
      <c r="Z52" t="s">
        <v>121</v>
      </c>
      <c r="AA52" t="s">
        <v>1302</v>
      </c>
      <c r="AB52" s="23">
        <v>1</v>
      </c>
      <c r="AC52" s="23">
        <v>1</v>
      </c>
      <c r="AD52" s="26">
        <v>344775</v>
      </c>
      <c r="AE52" s="26">
        <v>455583</v>
      </c>
    </row>
    <row r="53" spans="1:31">
      <c r="A53" t="s">
        <v>61</v>
      </c>
      <c r="B53" t="s">
        <v>219</v>
      </c>
      <c r="C53" t="s">
        <v>32</v>
      </c>
      <c r="D53" t="s">
        <v>220</v>
      </c>
      <c r="E53" t="s">
        <v>1760</v>
      </c>
      <c r="F53" t="s">
        <v>1761</v>
      </c>
      <c r="G53" t="s">
        <v>1446</v>
      </c>
      <c r="H53" t="s">
        <v>223</v>
      </c>
      <c r="I53" t="s">
        <v>61</v>
      </c>
      <c r="J53" t="s">
        <v>1762</v>
      </c>
      <c r="K53" t="s">
        <v>112</v>
      </c>
      <c r="L53" t="s">
        <v>1763</v>
      </c>
      <c r="M53" s="22">
        <v>45946.461805555547</v>
      </c>
      <c r="N53" s="22">
        <v>45952.589583333327</v>
      </c>
      <c r="P53" t="s">
        <v>1450</v>
      </c>
      <c r="Q53" t="s">
        <v>1451</v>
      </c>
      <c r="R53" t="s">
        <v>114</v>
      </c>
      <c r="S53" t="s">
        <v>115</v>
      </c>
      <c r="T53" t="s">
        <v>116</v>
      </c>
      <c r="U53" t="s">
        <v>1453</v>
      </c>
      <c r="V53" t="s">
        <v>1764</v>
      </c>
      <c r="W53" t="s">
        <v>118</v>
      </c>
      <c r="Y53" t="s">
        <v>8</v>
      </c>
      <c r="Z53" t="s">
        <v>121</v>
      </c>
      <c r="AA53" t="s">
        <v>242</v>
      </c>
      <c r="AB53" s="23">
        <v>1</v>
      </c>
      <c r="AC53" s="23">
        <v>1</v>
      </c>
      <c r="AD53" s="26">
        <v>96011</v>
      </c>
      <c r="AE53" s="26">
        <v>153426</v>
      </c>
    </row>
    <row r="54" spans="1:31">
      <c r="A54" t="s">
        <v>39</v>
      </c>
      <c r="B54" t="s">
        <v>438</v>
      </c>
      <c r="C54" t="s">
        <v>40</v>
      </c>
      <c r="D54" t="s">
        <v>1765</v>
      </c>
      <c r="E54" t="s">
        <v>1766</v>
      </c>
      <c r="F54" t="s">
        <v>1767</v>
      </c>
      <c r="G54" t="s">
        <v>1446</v>
      </c>
      <c r="H54" t="s">
        <v>438</v>
      </c>
      <c r="I54" t="s">
        <v>1559</v>
      </c>
      <c r="J54" t="s">
        <v>1768</v>
      </c>
      <c r="K54" t="s">
        <v>112</v>
      </c>
      <c r="L54" t="s">
        <v>1769</v>
      </c>
      <c r="M54" s="22">
        <v>45946.515972222223</v>
      </c>
      <c r="N54" s="22">
        <v>45951.493055555547</v>
      </c>
      <c r="P54" t="s">
        <v>1450</v>
      </c>
      <c r="Q54" t="s">
        <v>1451</v>
      </c>
      <c r="R54" t="s">
        <v>1452</v>
      </c>
      <c r="S54" t="s">
        <v>1452</v>
      </c>
      <c r="T54" t="s">
        <v>116</v>
      </c>
      <c r="U54" t="s">
        <v>1453</v>
      </c>
      <c r="V54" t="s">
        <v>1770</v>
      </c>
      <c r="W54" t="s">
        <v>118</v>
      </c>
      <c r="Y54" t="s">
        <v>251</v>
      </c>
      <c r="Z54" t="s">
        <v>121</v>
      </c>
      <c r="AA54" t="s">
        <v>1100</v>
      </c>
      <c r="AB54" s="23">
        <v>1</v>
      </c>
      <c r="AC54" s="23">
        <v>1</v>
      </c>
      <c r="AD54" s="26">
        <v>232859</v>
      </c>
      <c r="AE54" s="26">
        <v>343667</v>
      </c>
    </row>
    <row r="55" spans="1:31">
      <c r="A55" t="s">
        <v>61</v>
      </c>
      <c r="B55" t="s">
        <v>219</v>
      </c>
      <c r="C55" t="s">
        <v>32</v>
      </c>
      <c r="D55" t="s">
        <v>234</v>
      </c>
      <c r="E55" t="s">
        <v>1771</v>
      </c>
      <c r="F55" t="s">
        <v>1772</v>
      </c>
      <c r="G55" t="s">
        <v>1446</v>
      </c>
      <c r="H55" t="s">
        <v>223</v>
      </c>
      <c r="I55" t="s">
        <v>237</v>
      </c>
      <c r="J55" t="s">
        <v>1773</v>
      </c>
      <c r="K55" t="s">
        <v>112</v>
      </c>
      <c r="L55" t="s">
        <v>1774</v>
      </c>
      <c r="M55" s="22">
        <v>45946.568749999999</v>
      </c>
      <c r="N55" s="22">
        <v>45950.67083333333</v>
      </c>
      <c r="P55" t="s">
        <v>1450</v>
      </c>
      <c r="Q55" t="s">
        <v>1451</v>
      </c>
      <c r="R55" t="s">
        <v>114</v>
      </c>
      <c r="S55" t="s">
        <v>115</v>
      </c>
      <c r="T55" t="s">
        <v>116</v>
      </c>
      <c r="U55" t="s">
        <v>1453</v>
      </c>
      <c r="V55" t="s">
        <v>1775</v>
      </c>
      <c r="W55" t="s">
        <v>118</v>
      </c>
      <c r="Y55" t="s">
        <v>8</v>
      </c>
      <c r="Z55" t="s">
        <v>121</v>
      </c>
      <c r="AA55" t="s">
        <v>252</v>
      </c>
      <c r="AB55" s="23">
        <v>1</v>
      </c>
      <c r="AC55" s="23">
        <v>1</v>
      </c>
      <c r="AD55" s="26">
        <v>96011</v>
      </c>
      <c r="AE55" s="26">
        <v>153426</v>
      </c>
    </row>
    <row r="56" spans="1:31">
      <c r="A56" t="s">
        <v>69</v>
      </c>
      <c r="B56" t="s">
        <v>185</v>
      </c>
      <c r="C56" t="s">
        <v>44</v>
      </c>
      <c r="D56" t="s">
        <v>1776</v>
      </c>
      <c r="E56" t="s">
        <v>1777</v>
      </c>
      <c r="F56" t="s">
        <v>1778</v>
      </c>
      <c r="G56" t="s">
        <v>1446</v>
      </c>
      <c r="H56" t="s">
        <v>366</v>
      </c>
      <c r="I56" t="s">
        <v>1779</v>
      </c>
      <c r="J56" t="s">
        <v>1780</v>
      </c>
      <c r="K56" t="s">
        <v>112</v>
      </c>
      <c r="L56" t="s">
        <v>1781</v>
      </c>
      <c r="M56" s="22">
        <v>45946.6</v>
      </c>
      <c r="N56" s="22">
        <v>45948.443749999999</v>
      </c>
      <c r="P56" t="s">
        <v>1450</v>
      </c>
      <c r="Q56" t="s">
        <v>1451</v>
      </c>
      <c r="R56" t="s">
        <v>1544</v>
      </c>
      <c r="S56" t="s">
        <v>1544</v>
      </c>
      <c r="T56" t="s">
        <v>116</v>
      </c>
      <c r="U56" t="s">
        <v>1453</v>
      </c>
      <c r="V56" t="s">
        <v>1782</v>
      </c>
      <c r="W56" t="s">
        <v>118</v>
      </c>
      <c r="Y56" t="s">
        <v>183</v>
      </c>
      <c r="Z56" t="s">
        <v>121</v>
      </c>
      <c r="AA56" t="s">
        <v>1699</v>
      </c>
      <c r="AB56" s="23">
        <v>1</v>
      </c>
      <c r="AC56" s="23">
        <v>1</v>
      </c>
      <c r="AD56" s="26">
        <v>344775</v>
      </c>
      <c r="AE56" s="26">
        <v>455583</v>
      </c>
    </row>
    <row r="57" spans="1:31">
      <c r="A57" t="s">
        <v>71</v>
      </c>
      <c r="B57" t="s">
        <v>155</v>
      </c>
      <c r="C57" t="s">
        <v>54</v>
      </c>
      <c r="D57" t="s">
        <v>1783</v>
      </c>
      <c r="E57" t="s">
        <v>1784</v>
      </c>
      <c r="F57" t="s">
        <v>1785</v>
      </c>
      <c r="G57" t="s">
        <v>1446</v>
      </c>
      <c r="H57" t="s">
        <v>1786</v>
      </c>
      <c r="I57" t="s">
        <v>1787</v>
      </c>
      <c r="J57" t="s">
        <v>1788</v>
      </c>
      <c r="K57" t="s">
        <v>112</v>
      </c>
      <c r="L57" t="s">
        <v>1789</v>
      </c>
      <c r="M57" s="22">
        <v>45946.714583333327</v>
      </c>
      <c r="N57" s="22">
        <v>45949.587500000001</v>
      </c>
      <c r="P57" t="s">
        <v>1450</v>
      </c>
      <c r="Q57" t="s">
        <v>1451</v>
      </c>
      <c r="R57" t="s">
        <v>1452</v>
      </c>
      <c r="S57" t="s">
        <v>1452</v>
      </c>
      <c r="T57" t="s">
        <v>116</v>
      </c>
      <c r="U57" t="s">
        <v>1453</v>
      </c>
      <c r="V57" t="s">
        <v>1790</v>
      </c>
      <c r="W57" t="s">
        <v>118</v>
      </c>
      <c r="Y57" t="s">
        <v>120</v>
      </c>
      <c r="Z57" t="s">
        <v>121</v>
      </c>
      <c r="AA57" t="s">
        <v>723</v>
      </c>
      <c r="AB57" s="23">
        <v>1</v>
      </c>
      <c r="AC57" s="23">
        <v>1</v>
      </c>
      <c r="AD57" s="26">
        <v>548634</v>
      </c>
      <c r="AE57" s="26">
        <v>659442</v>
      </c>
    </row>
    <row r="58" spans="1:31">
      <c r="A58" t="s">
        <v>39</v>
      </c>
      <c r="B58" t="s">
        <v>438</v>
      </c>
      <c r="C58" t="s">
        <v>40</v>
      </c>
      <c r="D58" t="s">
        <v>439</v>
      </c>
      <c r="E58" t="s">
        <v>1791</v>
      </c>
      <c r="F58" t="s">
        <v>1792</v>
      </c>
      <c r="G58" t="s">
        <v>1446</v>
      </c>
      <c r="H58" t="s">
        <v>438</v>
      </c>
      <c r="I58" t="s">
        <v>39</v>
      </c>
      <c r="J58" t="s">
        <v>1793</v>
      </c>
      <c r="K58" t="s">
        <v>112</v>
      </c>
      <c r="L58" t="s">
        <v>1794</v>
      </c>
      <c r="M58" s="22">
        <v>45947.341666666667</v>
      </c>
      <c r="N58" s="22">
        <v>45949.589583333327</v>
      </c>
      <c r="P58" t="s">
        <v>1450</v>
      </c>
      <c r="Q58" t="s">
        <v>1451</v>
      </c>
      <c r="R58" t="s">
        <v>1452</v>
      </c>
      <c r="S58" t="s">
        <v>1452</v>
      </c>
      <c r="T58" t="s">
        <v>116</v>
      </c>
      <c r="U58" t="s">
        <v>1453</v>
      </c>
      <c r="V58" t="s">
        <v>1795</v>
      </c>
      <c r="W58" t="s">
        <v>118</v>
      </c>
      <c r="Y58" t="s">
        <v>8</v>
      </c>
      <c r="Z58" t="s">
        <v>121</v>
      </c>
      <c r="AA58" t="s">
        <v>697</v>
      </c>
      <c r="AB58" s="23">
        <v>1</v>
      </c>
      <c r="AC58" s="23">
        <v>1</v>
      </c>
      <c r="AD58" s="26">
        <v>96011</v>
      </c>
      <c r="AE58" s="26">
        <v>153426</v>
      </c>
    </row>
    <row r="59" spans="1:31">
      <c r="A59" t="s">
        <v>47</v>
      </c>
      <c r="B59" t="s">
        <v>103</v>
      </c>
      <c r="C59" t="s">
        <v>48</v>
      </c>
      <c r="D59" t="s">
        <v>205</v>
      </c>
      <c r="E59" t="s">
        <v>1796</v>
      </c>
      <c r="F59" t="s">
        <v>1797</v>
      </c>
      <c r="G59" t="s">
        <v>1446</v>
      </c>
      <c r="H59" t="s">
        <v>208</v>
      </c>
      <c r="I59" t="s">
        <v>47</v>
      </c>
      <c r="J59" t="s">
        <v>1798</v>
      </c>
      <c r="K59" t="s">
        <v>112</v>
      </c>
      <c r="L59" t="s">
        <v>1799</v>
      </c>
      <c r="M59" s="22">
        <v>45947.494444444441</v>
      </c>
      <c r="N59" s="22">
        <v>45949.593055555553</v>
      </c>
      <c r="P59" t="s">
        <v>1450</v>
      </c>
      <c r="Q59" t="s">
        <v>1451</v>
      </c>
      <c r="R59" t="s">
        <v>114</v>
      </c>
      <c r="S59" t="s">
        <v>115</v>
      </c>
      <c r="T59" t="s">
        <v>116</v>
      </c>
      <c r="U59" t="s">
        <v>1453</v>
      </c>
      <c r="V59" t="s">
        <v>1800</v>
      </c>
      <c r="W59" t="s">
        <v>118</v>
      </c>
      <c r="Y59" t="s">
        <v>8</v>
      </c>
      <c r="Z59" t="s">
        <v>121</v>
      </c>
      <c r="AA59" t="s">
        <v>212</v>
      </c>
      <c r="AB59" s="23">
        <v>1</v>
      </c>
      <c r="AC59" s="23">
        <v>1</v>
      </c>
      <c r="AD59" s="26">
        <v>96011</v>
      </c>
      <c r="AE59" s="26">
        <v>153426</v>
      </c>
    </row>
    <row r="60" spans="1:31">
      <c r="A60" t="s">
        <v>71</v>
      </c>
      <c r="B60" t="s">
        <v>155</v>
      </c>
      <c r="C60" t="s">
        <v>54</v>
      </c>
      <c r="D60" t="s">
        <v>1746</v>
      </c>
      <c r="E60" t="s">
        <v>1801</v>
      </c>
      <c r="F60" t="s">
        <v>1802</v>
      </c>
      <c r="G60" t="s">
        <v>1446</v>
      </c>
      <c r="H60" t="s">
        <v>717</v>
      </c>
      <c r="I60" t="s">
        <v>71</v>
      </c>
      <c r="J60" t="s">
        <v>1803</v>
      </c>
      <c r="K60" t="s">
        <v>112</v>
      </c>
      <c r="L60" t="s">
        <v>1804</v>
      </c>
      <c r="M60" s="22">
        <v>45947.589583333327</v>
      </c>
      <c r="N60" s="22">
        <v>45949.594444444447</v>
      </c>
      <c r="P60" t="s">
        <v>1450</v>
      </c>
      <c r="Q60" t="s">
        <v>1451</v>
      </c>
      <c r="R60" t="s">
        <v>1452</v>
      </c>
      <c r="S60" t="s">
        <v>1452</v>
      </c>
      <c r="T60" t="s">
        <v>116</v>
      </c>
      <c r="U60" t="s">
        <v>1453</v>
      </c>
      <c r="V60" t="s">
        <v>1805</v>
      </c>
      <c r="W60" t="s">
        <v>118</v>
      </c>
      <c r="Y60" t="s">
        <v>8</v>
      </c>
      <c r="Z60" t="s">
        <v>121</v>
      </c>
      <c r="AA60" t="s">
        <v>1563</v>
      </c>
      <c r="AB60" s="23">
        <v>1</v>
      </c>
      <c r="AC60" s="23">
        <v>1</v>
      </c>
      <c r="AD60" s="26">
        <v>96011</v>
      </c>
      <c r="AE60" s="26">
        <v>153426</v>
      </c>
    </row>
    <row r="61" spans="1:31">
      <c r="A61" t="s">
        <v>39</v>
      </c>
      <c r="B61" t="s">
        <v>438</v>
      </c>
      <c r="C61" t="s">
        <v>40</v>
      </c>
      <c r="D61" t="s">
        <v>1806</v>
      </c>
      <c r="E61" t="s">
        <v>1807</v>
      </c>
      <c r="F61" t="s">
        <v>1808</v>
      </c>
      <c r="G61" t="s">
        <v>1446</v>
      </c>
      <c r="H61" t="s">
        <v>438</v>
      </c>
      <c r="I61" t="s">
        <v>1809</v>
      </c>
      <c r="J61" t="s">
        <v>1810</v>
      </c>
      <c r="K61" t="s">
        <v>112</v>
      </c>
      <c r="L61" t="s">
        <v>1811</v>
      </c>
      <c r="M61" s="22">
        <v>45947.6</v>
      </c>
      <c r="N61" s="22">
        <v>45952.602777777778</v>
      </c>
      <c r="P61" t="s">
        <v>1450</v>
      </c>
      <c r="Q61" t="s">
        <v>1451</v>
      </c>
      <c r="R61" t="s">
        <v>1452</v>
      </c>
      <c r="S61" t="s">
        <v>1452</v>
      </c>
      <c r="T61" t="s">
        <v>116</v>
      </c>
      <c r="U61" t="s">
        <v>1453</v>
      </c>
      <c r="V61" t="s">
        <v>1812</v>
      </c>
      <c r="W61" t="s">
        <v>118</v>
      </c>
      <c r="Y61" t="s">
        <v>251</v>
      </c>
      <c r="Z61" t="s">
        <v>121</v>
      </c>
      <c r="AA61" t="s">
        <v>1813</v>
      </c>
      <c r="AB61" s="23">
        <v>1</v>
      </c>
      <c r="AC61" s="23">
        <v>1</v>
      </c>
      <c r="AD61" s="26">
        <v>232859</v>
      </c>
      <c r="AE61" s="26">
        <v>343667</v>
      </c>
    </row>
    <row r="62" spans="1:31">
      <c r="A62" t="s">
        <v>61</v>
      </c>
      <c r="B62" t="s">
        <v>219</v>
      </c>
      <c r="C62" t="s">
        <v>32</v>
      </c>
      <c r="D62" t="s">
        <v>220</v>
      </c>
      <c r="E62" t="s">
        <v>1814</v>
      </c>
      <c r="F62" t="s">
        <v>1815</v>
      </c>
      <c r="G62" t="s">
        <v>1446</v>
      </c>
      <c r="H62" t="s">
        <v>223</v>
      </c>
      <c r="I62" t="s">
        <v>61</v>
      </c>
      <c r="J62" t="s">
        <v>1816</v>
      </c>
      <c r="K62" t="s">
        <v>112</v>
      </c>
      <c r="L62" t="s">
        <v>1817</v>
      </c>
      <c r="M62" s="22">
        <v>45947.603472222218</v>
      </c>
      <c r="N62" s="22">
        <v>45949.595138888893</v>
      </c>
      <c r="P62" t="s">
        <v>1450</v>
      </c>
      <c r="Q62" t="s">
        <v>1451</v>
      </c>
      <c r="R62" t="s">
        <v>114</v>
      </c>
      <c r="S62" t="s">
        <v>115</v>
      </c>
      <c r="T62" t="s">
        <v>116</v>
      </c>
      <c r="U62" t="s">
        <v>1453</v>
      </c>
      <c r="V62" t="s">
        <v>1818</v>
      </c>
      <c r="W62" t="s">
        <v>118</v>
      </c>
      <c r="Y62" t="s">
        <v>8</v>
      </c>
      <c r="Z62" t="s">
        <v>121</v>
      </c>
      <c r="AA62" t="s">
        <v>242</v>
      </c>
      <c r="AB62" s="23">
        <v>1</v>
      </c>
      <c r="AC62" s="23">
        <v>1</v>
      </c>
      <c r="AD62" s="26">
        <v>96011</v>
      </c>
      <c r="AE62" s="26">
        <v>153426</v>
      </c>
    </row>
    <row r="63" spans="1:31">
      <c r="A63" t="s">
        <v>43</v>
      </c>
      <c r="B63" t="s">
        <v>185</v>
      </c>
      <c r="C63" t="s">
        <v>44</v>
      </c>
      <c r="D63" t="s">
        <v>1819</v>
      </c>
      <c r="E63" t="s">
        <v>1820</v>
      </c>
      <c r="F63" t="s">
        <v>1821</v>
      </c>
      <c r="G63" t="s">
        <v>1446</v>
      </c>
      <c r="H63" t="s">
        <v>313</v>
      </c>
      <c r="I63" t="s">
        <v>1822</v>
      </c>
      <c r="J63" t="s">
        <v>1823</v>
      </c>
      <c r="K63" t="s">
        <v>112</v>
      </c>
      <c r="L63" t="s">
        <v>1824</v>
      </c>
      <c r="M63" s="22">
        <v>45947.674305555563</v>
      </c>
      <c r="N63" s="22">
        <v>45951.543749999997</v>
      </c>
      <c r="P63" t="s">
        <v>1450</v>
      </c>
      <c r="Q63" t="s">
        <v>1451</v>
      </c>
      <c r="R63" t="s">
        <v>1452</v>
      </c>
      <c r="S63" t="s">
        <v>1452</v>
      </c>
      <c r="T63" t="s">
        <v>116</v>
      </c>
      <c r="U63" t="s">
        <v>1453</v>
      </c>
      <c r="V63" t="s">
        <v>1825</v>
      </c>
      <c r="W63" t="s">
        <v>118</v>
      </c>
      <c r="Y63" t="s">
        <v>183</v>
      </c>
      <c r="Z63" t="s">
        <v>121</v>
      </c>
      <c r="AA63" t="s">
        <v>743</v>
      </c>
      <c r="AB63" s="23">
        <v>1</v>
      </c>
      <c r="AC63" s="23">
        <v>1</v>
      </c>
      <c r="AD63" s="26">
        <v>344775</v>
      </c>
      <c r="AE63" s="26">
        <v>455583</v>
      </c>
    </row>
    <row r="64" spans="1:31">
      <c r="A64" t="s">
        <v>47</v>
      </c>
      <c r="B64" t="s">
        <v>103</v>
      </c>
      <c r="C64" t="s">
        <v>48</v>
      </c>
      <c r="D64" t="s">
        <v>205</v>
      </c>
      <c r="E64" t="s">
        <v>1826</v>
      </c>
      <c r="F64" t="s">
        <v>1827</v>
      </c>
      <c r="G64" t="s">
        <v>1446</v>
      </c>
      <c r="H64" t="s">
        <v>208</v>
      </c>
      <c r="I64" t="s">
        <v>47</v>
      </c>
      <c r="J64" t="s">
        <v>1828</v>
      </c>
      <c r="K64" t="s">
        <v>112</v>
      </c>
      <c r="L64" t="s">
        <v>1829</v>
      </c>
      <c r="M64" s="22">
        <v>45948.375</v>
      </c>
      <c r="N64" s="22">
        <v>45952.572916666657</v>
      </c>
      <c r="P64" t="s">
        <v>1450</v>
      </c>
      <c r="Q64" t="s">
        <v>1451</v>
      </c>
      <c r="R64" t="s">
        <v>114</v>
      </c>
      <c r="S64" t="s">
        <v>463</v>
      </c>
      <c r="T64" t="s">
        <v>116</v>
      </c>
      <c r="U64" t="s">
        <v>1453</v>
      </c>
      <c r="V64" t="s">
        <v>1830</v>
      </c>
      <c r="W64" t="s">
        <v>118</v>
      </c>
      <c r="Y64" t="s">
        <v>8</v>
      </c>
      <c r="Z64" t="s">
        <v>121</v>
      </c>
      <c r="AA64" t="s">
        <v>1831</v>
      </c>
      <c r="AB64" s="23">
        <v>1</v>
      </c>
      <c r="AC64" s="23">
        <v>1</v>
      </c>
      <c r="AD64" s="26">
        <v>96011</v>
      </c>
      <c r="AE64" s="26">
        <v>153426</v>
      </c>
    </row>
    <row r="65" spans="1:31">
      <c r="A65" t="s">
        <v>71</v>
      </c>
      <c r="B65" t="s">
        <v>155</v>
      </c>
      <c r="C65" t="s">
        <v>54</v>
      </c>
      <c r="D65" t="s">
        <v>1783</v>
      </c>
      <c r="E65" t="s">
        <v>1832</v>
      </c>
      <c r="F65" t="s">
        <v>1833</v>
      </c>
      <c r="G65" t="s">
        <v>1446</v>
      </c>
      <c r="H65" t="s">
        <v>1786</v>
      </c>
      <c r="I65" t="s">
        <v>1787</v>
      </c>
      <c r="J65" t="s">
        <v>1834</v>
      </c>
      <c r="K65" t="s">
        <v>112</v>
      </c>
      <c r="L65" t="s">
        <v>1835</v>
      </c>
      <c r="M65" s="22">
        <v>45948.460416666669</v>
      </c>
      <c r="N65" s="22">
        <v>45952.384722222218</v>
      </c>
      <c r="P65" t="s">
        <v>1450</v>
      </c>
      <c r="Q65" t="s">
        <v>1451</v>
      </c>
      <c r="R65" t="s">
        <v>1452</v>
      </c>
      <c r="S65" t="s">
        <v>1452</v>
      </c>
      <c r="T65" t="s">
        <v>116</v>
      </c>
      <c r="U65" t="s">
        <v>1453</v>
      </c>
      <c r="V65" t="s">
        <v>1836</v>
      </c>
      <c r="W65" t="s">
        <v>118</v>
      </c>
      <c r="Y65" t="s">
        <v>120</v>
      </c>
      <c r="Z65" t="s">
        <v>121</v>
      </c>
      <c r="AA65" t="s">
        <v>1563</v>
      </c>
      <c r="AB65" s="23">
        <v>1</v>
      </c>
      <c r="AC65" s="23">
        <v>1</v>
      </c>
      <c r="AD65" s="26">
        <v>548634</v>
      </c>
      <c r="AE65" s="26">
        <v>659442</v>
      </c>
    </row>
    <row r="66" spans="1:31">
      <c r="A66" t="s">
        <v>63</v>
      </c>
      <c r="B66" t="s">
        <v>155</v>
      </c>
      <c r="C66" t="s">
        <v>54</v>
      </c>
      <c r="D66" t="s">
        <v>337</v>
      </c>
      <c r="E66" t="s">
        <v>1837</v>
      </c>
      <c r="F66" t="s">
        <v>1838</v>
      </c>
      <c r="G66" t="s">
        <v>1446</v>
      </c>
      <c r="H66" t="s">
        <v>340</v>
      </c>
      <c r="I66" t="s">
        <v>63</v>
      </c>
      <c r="J66" t="s">
        <v>1839</v>
      </c>
      <c r="K66" t="s">
        <v>112</v>
      </c>
      <c r="L66" t="s">
        <v>1840</v>
      </c>
      <c r="M66" s="22">
        <v>45950.333333333343</v>
      </c>
      <c r="N66" s="22">
        <v>45952.447916666657</v>
      </c>
      <c r="P66" t="s">
        <v>1450</v>
      </c>
      <c r="Q66" t="s">
        <v>1451</v>
      </c>
      <c r="R66" t="s">
        <v>1452</v>
      </c>
      <c r="S66" t="s">
        <v>1452</v>
      </c>
      <c r="T66" t="s">
        <v>116</v>
      </c>
      <c r="U66" t="s">
        <v>1453</v>
      </c>
      <c r="V66" t="s">
        <v>1841</v>
      </c>
      <c r="W66" t="s">
        <v>118</v>
      </c>
      <c r="Y66" t="s">
        <v>8</v>
      </c>
      <c r="Z66" t="s">
        <v>121</v>
      </c>
      <c r="AA66" t="s">
        <v>515</v>
      </c>
      <c r="AB66" s="23">
        <v>1</v>
      </c>
      <c r="AC66" s="23">
        <v>1</v>
      </c>
      <c r="AD66" s="26">
        <v>96011</v>
      </c>
      <c r="AE66" s="26">
        <v>153426</v>
      </c>
    </row>
    <row r="67" spans="1:31">
      <c r="A67" t="s">
        <v>61</v>
      </c>
      <c r="B67" t="s">
        <v>219</v>
      </c>
      <c r="C67" t="s">
        <v>32</v>
      </c>
      <c r="D67" t="s">
        <v>220</v>
      </c>
      <c r="E67" t="s">
        <v>1842</v>
      </c>
      <c r="F67" t="s">
        <v>1843</v>
      </c>
      <c r="G67" t="s">
        <v>1446</v>
      </c>
      <c r="H67" t="s">
        <v>223</v>
      </c>
      <c r="I67" t="s">
        <v>61</v>
      </c>
      <c r="J67" t="s">
        <v>1844</v>
      </c>
      <c r="K67" t="s">
        <v>112</v>
      </c>
      <c r="L67" t="s">
        <v>1845</v>
      </c>
      <c r="M67" s="22">
        <v>45950.59375</v>
      </c>
      <c r="N67" s="22">
        <v>45953.484722222223</v>
      </c>
      <c r="P67" t="s">
        <v>1450</v>
      </c>
      <c r="Q67" t="s">
        <v>1451</v>
      </c>
      <c r="R67" t="s">
        <v>1544</v>
      </c>
      <c r="S67" t="s">
        <v>1544</v>
      </c>
      <c r="T67" t="s">
        <v>116</v>
      </c>
      <c r="U67" t="s">
        <v>1453</v>
      </c>
      <c r="V67" t="s">
        <v>1846</v>
      </c>
      <c r="W67" t="s">
        <v>118</v>
      </c>
      <c r="Y67" t="s">
        <v>8</v>
      </c>
      <c r="Z67" t="s">
        <v>121</v>
      </c>
      <c r="AA67" t="s">
        <v>652</v>
      </c>
      <c r="AB67" s="23">
        <v>1</v>
      </c>
      <c r="AC67" s="23">
        <v>1</v>
      </c>
      <c r="AD67" s="26">
        <v>96011</v>
      </c>
      <c r="AE67" s="26">
        <v>153426</v>
      </c>
    </row>
    <row r="68" spans="1:31">
      <c r="A68" t="s">
        <v>63</v>
      </c>
      <c r="B68" t="s">
        <v>155</v>
      </c>
      <c r="C68" t="s">
        <v>54</v>
      </c>
      <c r="D68" t="s">
        <v>1738</v>
      </c>
      <c r="E68" t="s">
        <v>1847</v>
      </c>
      <c r="F68" t="s">
        <v>1848</v>
      </c>
      <c r="G68" t="s">
        <v>1446</v>
      </c>
      <c r="H68" t="s">
        <v>159</v>
      </c>
      <c r="I68" t="s">
        <v>1741</v>
      </c>
      <c r="J68" t="s">
        <v>1849</v>
      </c>
      <c r="K68" t="s">
        <v>112</v>
      </c>
      <c r="L68" t="s">
        <v>1850</v>
      </c>
      <c r="M68" s="22">
        <v>45950.727777777778</v>
      </c>
      <c r="N68" s="22">
        <v>45957.513194444437</v>
      </c>
      <c r="P68" t="s">
        <v>1450</v>
      </c>
      <c r="Q68" t="s">
        <v>1451</v>
      </c>
      <c r="R68" t="s">
        <v>114</v>
      </c>
      <c r="S68" t="s">
        <v>115</v>
      </c>
      <c r="T68" t="s">
        <v>116</v>
      </c>
      <c r="U68" t="s">
        <v>1453</v>
      </c>
      <c r="V68" t="s">
        <v>1851</v>
      </c>
      <c r="W68" t="s">
        <v>118</v>
      </c>
      <c r="Y68" t="s">
        <v>173</v>
      </c>
      <c r="Z68" t="s">
        <v>1745</v>
      </c>
      <c r="AA68" t="s">
        <v>164</v>
      </c>
      <c r="AB68" s="23">
        <v>1</v>
      </c>
      <c r="AC68" s="23">
        <v>1</v>
      </c>
      <c r="AD68" s="26">
        <v>548634</v>
      </c>
      <c r="AE68" s="26">
        <v>659442</v>
      </c>
    </row>
    <row r="69" spans="1:31">
      <c r="A69" t="s">
        <v>39</v>
      </c>
      <c r="B69" t="s">
        <v>438</v>
      </c>
      <c r="C69" t="s">
        <v>40</v>
      </c>
      <c r="D69" t="s">
        <v>1852</v>
      </c>
      <c r="E69" t="s">
        <v>1853</v>
      </c>
      <c r="F69" t="s">
        <v>1854</v>
      </c>
      <c r="G69" t="s">
        <v>1446</v>
      </c>
      <c r="H69" t="s">
        <v>438</v>
      </c>
      <c r="I69" t="s">
        <v>1855</v>
      </c>
      <c r="J69" t="s">
        <v>1856</v>
      </c>
      <c r="K69" t="s">
        <v>112</v>
      </c>
      <c r="L69" t="s">
        <v>1857</v>
      </c>
      <c r="M69" s="22">
        <v>45951.333333333343</v>
      </c>
      <c r="N69" s="22">
        <v>45952.606249999997</v>
      </c>
      <c r="P69" t="s">
        <v>1450</v>
      </c>
      <c r="Q69" t="s">
        <v>1451</v>
      </c>
      <c r="R69" t="s">
        <v>1452</v>
      </c>
      <c r="S69" t="s">
        <v>1452</v>
      </c>
      <c r="T69" t="s">
        <v>116</v>
      </c>
      <c r="U69" t="s">
        <v>1453</v>
      </c>
      <c r="V69" t="s">
        <v>1858</v>
      </c>
      <c r="W69" t="s">
        <v>118</v>
      </c>
      <c r="Y69" t="s">
        <v>183</v>
      </c>
      <c r="Z69" t="s">
        <v>121</v>
      </c>
      <c r="AA69" t="s">
        <v>445</v>
      </c>
      <c r="AB69" s="23">
        <v>1</v>
      </c>
      <c r="AC69" s="23">
        <v>1</v>
      </c>
      <c r="AD69" s="26">
        <v>344775</v>
      </c>
      <c r="AE69" s="26">
        <v>455583</v>
      </c>
    </row>
    <row r="70" spans="1:31">
      <c r="A70" t="s">
        <v>63</v>
      </c>
      <c r="B70" t="s">
        <v>155</v>
      </c>
      <c r="C70" t="s">
        <v>54</v>
      </c>
      <c r="D70" t="s">
        <v>1859</v>
      </c>
      <c r="E70" t="s">
        <v>1860</v>
      </c>
      <c r="F70" t="s">
        <v>1861</v>
      </c>
      <c r="G70" t="s">
        <v>1446</v>
      </c>
      <c r="H70" t="s">
        <v>340</v>
      </c>
      <c r="I70" t="s">
        <v>1862</v>
      </c>
      <c r="J70" t="s">
        <v>1863</v>
      </c>
      <c r="K70" t="s">
        <v>112</v>
      </c>
      <c r="L70" t="s">
        <v>1864</v>
      </c>
      <c r="M70" s="22">
        <v>45951.45208333333</v>
      </c>
      <c r="N70" s="22">
        <v>45954.35833333333</v>
      </c>
      <c r="P70" t="s">
        <v>1450</v>
      </c>
      <c r="Q70" t="s">
        <v>1451</v>
      </c>
      <c r="R70" t="s">
        <v>1544</v>
      </c>
      <c r="S70" t="s">
        <v>1452</v>
      </c>
      <c r="T70" t="s">
        <v>116</v>
      </c>
      <c r="U70" t="s">
        <v>1453</v>
      </c>
      <c r="V70" t="s">
        <v>1865</v>
      </c>
      <c r="W70" t="s">
        <v>118</v>
      </c>
      <c r="Y70" t="s">
        <v>183</v>
      </c>
      <c r="Z70" t="s">
        <v>121</v>
      </c>
      <c r="AA70" t="s">
        <v>515</v>
      </c>
      <c r="AB70" s="23">
        <v>1</v>
      </c>
      <c r="AC70" s="23">
        <v>1</v>
      </c>
      <c r="AD70" s="26">
        <v>344775</v>
      </c>
      <c r="AE70" s="26">
        <v>455583</v>
      </c>
    </row>
    <row r="71" spans="1:31">
      <c r="A71" t="s">
        <v>57</v>
      </c>
      <c r="B71" t="s">
        <v>155</v>
      </c>
      <c r="C71" t="s">
        <v>54</v>
      </c>
      <c r="D71" t="s">
        <v>946</v>
      </c>
      <c r="E71" t="s">
        <v>1866</v>
      </c>
      <c r="F71" t="s">
        <v>1867</v>
      </c>
      <c r="G71" t="s">
        <v>1446</v>
      </c>
      <c r="H71" t="s">
        <v>949</v>
      </c>
      <c r="I71" t="s">
        <v>57</v>
      </c>
      <c r="J71" t="s">
        <v>1868</v>
      </c>
      <c r="K71" t="s">
        <v>112</v>
      </c>
      <c r="L71" t="s">
        <v>1869</v>
      </c>
      <c r="M71" s="22">
        <v>45951.46597222222</v>
      </c>
      <c r="N71" s="22">
        <v>45954.361111111109</v>
      </c>
      <c r="P71" t="s">
        <v>1450</v>
      </c>
      <c r="Q71" t="s">
        <v>1451</v>
      </c>
      <c r="R71" t="s">
        <v>114</v>
      </c>
      <c r="S71" t="s">
        <v>463</v>
      </c>
      <c r="T71" t="s">
        <v>116</v>
      </c>
      <c r="U71" t="s">
        <v>1453</v>
      </c>
      <c r="V71" t="s">
        <v>1870</v>
      </c>
      <c r="W71" t="s">
        <v>118</v>
      </c>
      <c r="Y71" t="s">
        <v>8</v>
      </c>
      <c r="Z71" t="s">
        <v>121</v>
      </c>
      <c r="AA71" t="s">
        <v>954</v>
      </c>
      <c r="AB71" s="23">
        <v>1</v>
      </c>
      <c r="AC71" s="23">
        <v>1</v>
      </c>
      <c r="AD71" s="26">
        <v>96011</v>
      </c>
      <c r="AE71" s="26">
        <v>153426</v>
      </c>
    </row>
    <row r="72" spans="1:31">
      <c r="A72" t="s">
        <v>57</v>
      </c>
      <c r="B72" t="s">
        <v>155</v>
      </c>
      <c r="C72" t="s">
        <v>54</v>
      </c>
      <c r="D72" t="s">
        <v>946</v>
      </c>
      <c r="E72" t="s">
        <v>1871</v>
      </c>
      <c r="F72" t="s">
        <v>1872</v>
      </c>
      <c r="G72" t="s">
        <v>1446</v>
      </c>
      <c r="H72" t="s">
        <v>949</v>
      </c>
      <c r="I72" t="s">
        <v>57</v>
      </c>
      <c r="J72" t="s">
        <v>1873</v>
      </c>
      <c r="K72" t="s">
        <v>112</v>
      </c>
      <c r="L72" t="s">
        <v>1874</v>
      </c>
      <c r="M72" s="22">
        <v>45951.611805555563</v>
      </c>
      <c r="N72" s="22">
        <v>45953.490972222222</v>
      </c>
      <c r="P72" t="s">
        <v>1450</v>
      </c>
      <c r="Q72" t="s">
        <v>1451</v>
      </c>
      <c r="R72" t="s">
        <v>1544</v>
      </c>
      <c r="S72" t="s">
        <v>1544</v>
      </c>
      <c r="T72" t="s">
        <v>116</v>
      </c>
      <c r="U72" t="s">
        <v>1453</v>
      </c>
      <c r="V72" t="s">
        <v>1875</v>
      </c>
      <c r="W72" t="s">
        <v>118</v>
      </c>
      <c r="Y72" t="s">
        <v>8</v>
      </c>
      <c r="Z72" t="s">
        <v>121</v>
      </c>
      <c r="AA72" t="s">
        <v>954</v>
      </c>
      <c r="AB72" s="23">
        <v>1</v>
      </c>
      <c r="AC72" s="23">
        <v>1</v>
      </c>
      <c r="AD72" s="26">
        <v>96011</v>
      </c>
      <c r="AE72" s="26">
        <v>153426</v>
      </c>
    </row>
    <row r="73" spans="1:31">
      <c r="A73" t="s">
        <v>64</v>
      </c>
      <c r="B73" t="s">
        <v>103</v>
      </c>
      <c r="C73" t="s">
        <v>48</v>
      </c>
      <c r="D73" t="s">
        <v>1876</v>
      </c>
      <c r="E73" t="s">
        <v>1877</v>
      </c>
      <c r="F73" t="s">
        <v>1878</v>
      </c>
      <c r="G73" t="s">
        <v>1446</v>
      </c>
      <c r="H73" t="s">
        <v>177</v>
      </c>
      <c r="I73" t="s">
        <v>1879</v>
      </c>
      <c r="J73" t="s">
        <v>1880</v>
      </c>
      <c r="K73" t="s">
        <v>112</v>
      </c>
      <c r="L73" t="s">
        <v>1881</v>
      </c>
      <c r="M73" s="22">
        <v>45951.663888888892</v>
      </c>
      <c r="N73" s="22">
        <v>45958.628472222219</v>
      </c>
      <c r="P73" t="s">
        <v>1450</v>
      </c>
      <c r="Q73" t="s">
        <v>1451</v>
      </c>
      <c r="R73" t="s">
        <v>1452</v>
      </c>
      <c r="S73" t="s">
        <v>1452</v>
      </c>
      <c r="T73" t="s">
        <v>116</v>
      </c>
      <c r="U73" t="s">
        <v>1453</v>
      </c>
      <c r="V73" t="s">
        <v>1882</v>
      </c>
      <c r="W73" t="s">
        <v>1508</v>
      </c>
      <c r="Y73" t="s">
        <v>120</v>
      </c>
      <c r="Z73" t="s">
        <v>121</v>
      </c>
      <c r="AA73" t="s">
        <v>1883</v>
      </c>
      <c r="AB73" s="23">
        <v>0</v>
      </c>
      <c r="AC73" s="23">
        <v>0</v>
      </c>
      <c r="AD73" s="26">
        <v>37905</v>
      </c>
      <c r="AE73" s="26">
        <v>37905</v>
      </c>
    </row>
    <row r="74" spans="1:31">
      <c r="A74" t="s">
        <v>63</v>
      </c>
      <c r="B74" t="s">
        <v>155</v>
      </c>
      <c r="C74" t="s">
        <v>54</v>
      </c>
      <c r="D74" t="s">
        <v>337</v>
      </c>
      <c r="E74" t="s">
        <v>1884</v>
      </c>
      <c r="F74" t="s">
        <v>1885</v>
      </c>
      <c r="G74" t="s">
        <v>1446</v>
      </c>
      <c r="H74" t="s">
        <v>340</v>
      </c>
      <c r="I74" t="s">
        <v>63</v>
      </c>
      <c r="J74" t="s">
        <v>1886</v>
      </c>
      <c r="K74" t="s">
        <v>112</v>
      </c>
      <c r="L74" t="s">
        <v>1887</v>
      </c>
      <c r="M74" s="22">
        <v>45952.353472222218</v>
      </c>
      <c r="N74" s="22">
        <v>45953.350694444453</v>
      </c>
      <c r="P74" t="s">
        <v>1450</v>
      </c>
      <c r="Q74" t="s">
        <v>1451</v>
      </c>
      <c r="R74" t="s">
        <v>1452</v>
      </c>
      <c r="S74" t="s">
        <v>1452</v>
      </c>
      <c r="T74" t="s">
        <v>116</v>
      </c>
      <c r="U74" t="s">
        <v>1453</v>
      </c>
      <c r="V74" t="s">
        <v>1888</v>
      </c>
      <c r="W74" t="s">
        <v>118</v>
      </c>
      <c r="Y74" t="s">
        <v>8</v>
      </c>
      <c r="Z74" t="s">
        <v>121</v>
      </c>
      <c r="AA74" t="s">
        <v>713</v>
      </c>
      <c r="AB74" s="23">
        <v>1</v>
      </c>
      <c r="AC74" s="23">
        <v>1</v>
      </c>
      <c r="AD74" s="26">
        <v>96011</v>
      </c>
      <c r="AE74" s="26">
        <v>153426</v>
      </c>
    </row>
    <row r="75" spans="1:31">
      <c r="A75" t="s">
        <v>63</v>
      </c>
      <c r="B75" t="s">
        <v>155</v>
      </c>
      <c r="C75" t="s">
        <v>54</v>
      </c>
      <c r="D75" t="s">
        <v>165</v>
      </c>
      <c r="E75" t="s">
        <v>1889</v>
      </c>
      <c r="F75" t="s">
        <v>1890</v>
      </c>
      <c r="G75" t="s">
        <v>1446</v>
      </c>
      <c r="H75" t="s">
        <v>159</v>
      </c>
      <c r="I75" t="s">
        <v>168</v>
      </c>
      <c r="J75" t="s">
        <v>1891</v>
      </c>
      <c r="K75" t="s">
        <v>112</v>
      </c>
      <c r="L75" t="s">
        <v>1892</v>
      </c>
      <c r="M75" s="22">
        <v>45952.686805555553</v>
      </c>
      <c r="N75" s="22">
        <v>45958.411805555559</v>
      </c>
      <c r="P75" t="s">
        <v>1450</v>
      </c>
      <c r="Q75" t="s">
        <v>1451</v>
      </c>
      <c r="R75" t="s">
        <v>114</v>
      </c>
      <c r="S75" t="s">
        <v>115</v>
      </c>
      <c r="T75" t="s">
        <v>116</v>
      </c>
      <c r="U75" t="s">
        <v>1453</v>
      </c>
      <c r="V75" t="s">
        <v>1893</v>
      </c>
      <c r="W75" t="s">
        <v>118</v>
      </c>
      <c r="Y75" t="s">
        <v>173</v>
      </c>
      <c r="Z75" t="s">
        <v>121</v>
      </c>
      <c r="AA75" t="s">
        <v>164</v>
      </c>
      <c r="AB75" s="23">
        <v>1</v>
      </c>
      <c r="AC75" s="23">
        <v>1</v>
      </c>
      <c r="AD75" s="26">
        <v>548634</v>
      </c>
      <c r="AE75" s="26">
        <v>659442</v>
      </c>
    </row>
    <row r="76" spans="1:31">
      <c r="A76" t="s">
        <v>39</v>
      </c>
      <c r="B76" t="s">
        <v>438</v>
      </c>
      <c r="C76" t="s">
        <v>40</v>
      </c>
      <c r="D76" t="s">
        <v>439</v>
      </c>
      <c r="E76" t="s">
        <v>1894</v>
      </c>
      <c r="F76" t="s">
        <v>1895</v>
      </c>
      <c r="G76" t="s">
        <v>1446</v>
      </c>
      <c r="H76" t="s">
        <v>438</v>
      </c>
      <c r="I76" t="s">
        <v>39</v>
      </c>
      <c r="J76" t="s">
        <v>1896</v>
      </c>
      <c r="K76" t="s">
        <v>112</v>
      </c>
      <c r="L76" t="s">
        <v>1897</v>
      </c>
      <c r="M76" s="22">
        <v>45953.448611111111</v>
      </c>
      <c r="N76" s="22">
        <v>45954.520833333343</v>
      </c>
      <c r="P76" t="s">
        <v>1450</v>
      </c>
      <c r="Q76" t="s">
        <v>1451</v>
      </c>
      <c r="R76" t="s">
        <v>1544</v>
      </c>
      <c r="S76" t="s">
        <v>1544</v>
      </c>
      <c r="T76" t="s">
        <v>116</v>
      </c>
      <c r="U76" t="s">
        <v>1453</v>
      </c>
      <c r="V76" t="s">
        <v>1898</v>
      </c>
      <c r="W76" t="s">
        <v>118</v>
      </c>
      <c r="Y76" t="s">
        <v>8</v>
      </c>
      <c r="Z76" t="s">
        <v>121</v>
      </c>
      <c r="AA76" t="s">
        <v>1899</v>
      </c>
      <c r="AB76" s="23">
        <v>1</v>
      </c>
      <c r="AC76" s="23">
        <v>1</v>
      </c>
      <c r="AD76" s="26">
        <v>96011</v>
      </c>
      <c r="AE76" s="26">
        <v>153426</v>
      </c>
    </row>
    <row r="77" spans="1:31">
      <c r="A77" t="s">
        <v>64</v>
      </c>
      <c r="B77" t="s">
        <v>103</v>
      </c>
      <c r="C77" t="s">
        <v>48</v>
      </c>
      <c r="D77" t="s">
        <v>522</v>
      </c>
      <c r="E77" t="s">
        <v>1900</v>
      </c>
      <c r="F77" t="s">
        <v>1901</v>
      </c>
      <c r="G77" t="s">
        <v>1446</v>
      </c>
      <c r="H77" t="s">
        <v>177</v>
      </c>
      <c r="I77" t="s">
        <v>64</v>
      </c>
      <c r="J77" t="s">
        <v>1902</v>
      </c>
      <c r="K77" t="s">
        <v>112</v>
      </c>
      <c r="L77" t="s">
        <v>1903</v>
      </c>
      <c r="M77" s="22">
        <v>45953.469444444447</v>
      </c>
      <c r="N77" s="22">
        <v>45954.54583333333</v>
      </c>
      <c r="P77" t="s">
        <v>1450</v>
      </c>
      <c r="Q77" t="s">
        <v>1451</v>
      </c>
      <c r="R77" t="s">
        <v>114</v>
      </c>
      <c r="S77" t="s">
        <v>463</v>
      </c>
      <c r="T77" t="s">
        <v>116</v>
      </c>
      <c r="U77" t="s">
        <v>1453</v>
      </c>
      <c r="V77" t="s">
        <v>1904</v>
      </c>
      <c r="W77" t="s">
        <v>118</v>
      </c>
      <c r="Y77" t="s">
        <v>8</v>
      </c>
      <c r="Z77" t="s">
        <v>121</v>
      </c>
      <c r="AA77" t="s">
        <v>736</v>
      </c>
      <c r="AB77" s="23">
        <v>1</v>
      </c>
      <c r="AC77" s="23">
        <v>1</v>
      </c>
      <c r="AD77" s="26">
        <v>96011</v>
      </c>
      <c r="AE77" s="26">
        <v>153426</v>
      </c>
    </row>
    <row r="78" spans="1:31">
      <c r="A78" t="s">
        <v>72</v>
      </c>
      <c r="B78" t="s">
        <v>155</v>
      </c>
      <c r="C78" t="s">
        <v>54</v>
      </c>
      <c r="D78" t="s">
        <v>877</v>
      </c>
      <c r="E78" t="s">
        <v>1905</v>
      </c>
      <c r="F78" t="s">
        <v>1906</v>
      </c>
      <c r="G78" t="s">
        <v>1446</v>
      </c>
      <c r="H78" t="s">
        <v>771</v>
      </c>
      <c r="I78" t="s">
        <v>880</v>
      </c>
      <c r="J78" t="s">
        <v>1907</v>
      </c>
      <c r="K78" t="s">
        <v>112</v>
      </c>
      <c r="L78" t="s">
        <v>1908</v>
      </c>
      <c r="M78" s="22">
        <v>45953.48541666667</v>
      </c>
      <c r="N78" s="22">
        <v>45954.511805555558</v>
      </c>
      <c r="P78" t="s">
        <v>1450</v>
      </c>
      <c r="Q78" t="s">
        <v>1451</v>
      </c>
      <c r="R78" t="s">
        <v>1452</v>
      </c>
      <c r="S78" t="s">
        <v>1452</v>
      </c>
      <c r="T78" t="s">
        <v>1505</v>
      </c>
      <c r="U78" t="s">
        <v>1568</v>
      </c>
      <c r="V78" t="s">
        <v>1909</v>
      </c>
      <c r="W78" t="s">
        <v>1508</v>
      </c>
      <c r="Y78" t="s">
        <v>251</v>
      </c>
      <c r="Z78" t="s">
        <v>121</v>
      </c>
      <c r="AA78" t="s">
        <v>776</v>
      </c>
      <c r="AB78" s="23">
        <v>0</v>
      </c>
      <c r="AC78" s="23">
        <v>0</v>
      </c>
      <c r="AD78" s="26">
        <v>37905</v>
      </c>
      <c r="AE78" s="26">
        <v>37905</v>
      </c>
    </row>
    <row r="79" spans="1:31">
      <c r="A79" t="s">
        <v>31</v>
      </c>
      <c r="B79" t="s">
        <v>219</v>
      </c>
      <c r="C79" t="s">
        <v>32</v>
      </c>
      <c r="D79" t="s">
        <v>1910</v>
      </c>
      <c r="E79" t="s">
        <v>1911</v>
      </c>
      <c r="F79" t="s">
        <v>1912</v>
      </c>
      <c r="G79" t="s">
        <v>1446</v>
      </c>
      <c r="H79" t="s">
        <v>223</v>
      </c>
      <c r="I79" t="s">
        <v>1913</v>
      </c>
      <c r="J79" t="s">
        <v>1914</v>
      </c>
      <c r="K79" t="s">
        <v>112</v>
      </c>
      <c r="L79" t="s">
        <v>1915</v>
      </c>
      <c r="M79" s="22">
        <v>45953.511111111111</v>
      </c>
      <c r="N79" s="22">
        <v>45957.701388888891</v>
      </c>
      <c r="P79" t="s">
        <v>1450</v>
      </c>
      <c r="Q79" t="s">
        <v>1451</v>
      </c>
      <c r="R79" t="s">
        <v>114</v>
      </c>
      <c r="S79" t="s">
        <v>463</v>
      </c>
      <c r="T79" t="s">
        <v>116</v>
      </c>
      <c r="U79" t="s">
        <v>1453</v>
      </c>
      <c r="V79" t="s">
        <v>1916</v>
      </c>
      <c r="W79" t="s">
        <v>118</v>
      </c>
      <c r="Y79" t="s">
        <v>251</v>
      </c>
      <c r="Z79" t="s">
        <v>121</v>
      </c>
      <c r="AA79" t="s">
        <v>1917</v>
      </c>
      <c r="AB79" s="23">
        <v>1</v>
      </c>
      <c r="AC79" s="23">
        <v>1</v>
      </c>
      <c r="AD79" s="26">
        <v>232859</v>
      </c>
      <c r="AE79" s="26">
        <v>343667</v>
      </c>
    </row>
    <row r="80" spans="1:31">
      <c r="A80" t="s">
        <v>71</v>
      </c>
      <c r="B80" t="s">
        <v>155</v>
      </c>
      <c r="C80" t="s">
        <v>54</v>
      </c>
      <c r="D80" t="s">
        <v>1746</v>
      </c>
      <c r="E80" t="s">
        <v>1918</v>
      </c>
      <c r="F80" t="s">
        <v>1919</v>
      </c>
      <c r="G80" t="s">
        <v>1446</v>
      </c>
      <c r="H80" t="s">
        <v>717</v>
      </c>
      <c r="I80" t="s">
        <v>71</v>
      </c>
      <c r="J80" t="s">
        <v>1920</v>
      </c>
      <c r="K80" t="s">
        <v>112</v>
      </c>
      <c r="L80" t="s">
        <v>1921</v>
      </c>
      <c r="M80" s="22">
        <v>45954.401388888888</v>
      </c>
      <c r="N80" s="22">
        <v>45954.620138888888</v>
      </c>
      <c r="P80" t="s">
        <v>1450</v>
      </c>
      <c r="Q80" t="s">
        <v>1451</v>
      </c>
      <c r="R80" t="s">
        <v>1544</v>
      </c>
      <c r="S80" t="s">
        <v>1452</v>
      </c>
      <c r="T80" t="s">
        <v>116</v>
      </c>
      <c r="U80" t="s">
        <v>1453</v>
      </c>
      <c r="V80" t="s">
        <v>1922</v>
      </c>
      <c r="W80" t="s">
        <v>118</v>
      </c>
      <c r="Y80" t="s">
        <v>8</v>
      </c>
      <c r="Z80" t="s">
        <v>121</v>
      </c>
      <c r="AA80" t="s">
        <v>1923</v>
      </c>
      <c r="AB80" s="23">
        <v>1</v>
      </c>
      <c r="AC80" s="23">
        <v>1</v>
      </c>
      <c r="AD80" s="26">
        <v>96011</v>
      </c>
      <c r="AE80" s="26">
        <v>153426</v>
      </c>
    </row>
    <row r="81" spans="1:31">
      <c r="A81" t="s">
        <v>69</v>
      </c>
      <c r="B81" t="s">
        <v>185</v>
      </c>
      <c r="C81" t="s">
        <v>44</v>
      </c>
      <c r="D81" t="s">
        <v>1924</v>
      </c>
      <c r="E81" t="s">
        <v>1925</v>
      </c>
      <c r="F81" t="s">
        <v>1926</v>
      </c>
      <c r="G81" t="s">
        <v>1446</v>
      </c>
      <c r="H81" t="s">
        <v>366</v>
      </c>
      <c r="I81" t="s">
        <v>668</v>
      </c>
      <c r="J81" t="s">
        <v>1927</v>
      </c>
      <c r="K81" t="s">
        <v>112</v>
      </c>
      <c r="L81" t="s">
        <v>1928</v>
      </c>
      <c r="M81" s="22">
        <v>45954.462500000001</v>
      </c>
      <c r="N81" s="22">
        <v>45955.645833333343</v>
      </c>
      <c r="P81" t="s">
        <v>1450</v>
      </c>
      <c r="Q81" t="s">
        <v>1451</v>
      </c>
      <c r="R81" t="s">
        <v>1452</v>
      </c>
      <c r="S81" t="s">
        <v>1452</v>
      </c>
      <c r="T81" t="s">
        <v>116</v>
      </c>
      <c r="U81" t="s">
        <v>1453</v>
      </c>
      <c r="V81" t="s">
        <v>1929</v>
      </c>
      <c r="W81" t="s">
        <v>118</v>
      </c>
      <c r="Y81" t="s">
        <v>251</v>
      </c>
      <c r="Z81" t="s">
        <v>121</v>
      </c>
      <c r="AA81" t="s">
        <v>1699</v>
      </c>
      <c r="AB81" s="23">
        <v>1</v>
      </c>
      <c r="AC81" s="23">
        <v>1</v>
      </c>
      <c r="AD81" s="26">
        <v>232859</v>
      </c>
      <c r="AE81" s="26">
        <v>343667</v>
      </c>
    </row>
    <row r="82" spans="1:31">
      <c r="A82" t="s">
        <v>39</v>
      </c>
      <c r="B82" t="s">
        <v>438</v>
      </c>
      <c r="C82" t="s">
        <v>40</v>
      </c>
      <c r="D82" t="s">
        <v>439</v>
      </c>
      <c r="E82" t="s">
        <v>1930</v>
      </c>
      <c r="F82" t="s">
        <v>1931</v>
      </c>
      <c r="G82" t="s">
        <v>1446</v>
      </c>
      <c r="H82" t="s">
        <v>438</v>
      </c>
      <c r="I82" t="s">
        <v>39</v>
      </c>
      <c r="J82" t="s">
        <v>1932</v>
      </c>
      <c r="K82" t="s">
        <v>112</v>
      </c>
      <c r="L82" t="s">
        <v>1933</v>
      </c>
      <c r="M82" s="22">
        <v>45954.52847222222</v>
      </c>
      <c r="N82" s="22">
        <v>45957.522916666669</v>
      </c>
      <c r="P82" t="s">
        <v>1450</v>
      </c>
      <c r="Q82" t="s">
        <v>1451</v>
      </c>
      <c r="R82" t="s">
        <v>114</v>
      </c>
      <c r="S82" t="s">
        <v>115</v>
      </c>
      <c r="T82" t="s">
        <v>116</v>
      </c>
      <c r="U82" t="s">
        <v>1453</v>
      </c>
      <c r="V82" t="s">
        <v>1934</v>
      </c>
      <c r="W82" t="s">
        <v>118</v>
      </c>
      <c r="Y82" t="s">
        <v>8</v>
      </c>
      <c r="Z82" t="s">
        <v>121</v>
      </c>
      <c r="AA82" t="s">
        <v>1935</v>
      </c>
      <c r="AB82" s="23">
        <v>1</v>
      </c>
      <c r="AC82" s="23">
        <v>1</v>
      </c>
      <c r="AD82" s="26">
        <v>96011</v>
      </c>
      <c r="AE82" s="26">
        <v>153426</v>
      </c>
    </row>
    <row r="83" spans="1:31">
      <c r="A83" t="s">
        <v>39</v>
      </c>
      <c r="B83" t="s">
        <v>438</v>
      </c>
      <c r="C83" t="s">
        <v>40</v>
      </c>
      <c r="D83" t="s">
        <v>1936</v>
      </c>
      <c r="E83" t="s">
        <v>1937</v>
      </c>
      <c r="F83" t="s">
        <v>1938</v>
      </c>
      <c r="G83" t="s">
        <v>1446</v>
      </c>
      <c r="H83" t="s">
        <v>438</v>
      </c>
      <c r="I83" t="s">
        <v>1939</v>
      </c>
      <c r="J83" t="s">
        <v>1940</v>
      </c>
      <c r="K83" t="s">
        <v>112</v>
      </c>
      <c r="L83" t="s">
        <v>1941</v>
      </c>
      <c r="M83" s="22">
        <v>45954.538888888892</v>
      </c>
      <c r="N83" s="22">
        <v>45959.648611111108</v>
      </c>
      <c r="P83" t="s">
        <v>1450</v>
      </c>
      <c r="Q83" t="s">
        <v>1451</v>
      </c>
      <c r="R83" t="s">
        <v>1544</v>
      </c>
      <c r="S83" t="s">
        <v>1544</v>
      </c>
      <c r="T83" t="s">
        <v>116</v>
      </c>
      <c r="U83" t="s">
        <v>1453</v>
      </c>
      <c r="V83" t="s">
        <v>1942</v>
      </c>
      <c r="W83" t="s">
        <v>118</v>
      </c>
      <c r="Y83" t="s">
        <v>8</v>
      </c>
      <c r="Z83" t="s">
        <v>121</v>
      </c>
      <c r="AA83" t="s">
        <v>576</v>
      </c>
      <c r="AB83" s="23">
        <v>1</v>
      </c>
      <c r="AC83" s="23">
        <v>1</v>
      </c>
      <c r="AD83" s="26">
        <v>96011</v>
      </c>
      <c r="AE83" s="26">
        <v>153426</v>
      </c>
    </row>
    <row r="84" spans="1:31">
      <c r="A84" t="s">
        <v>35</v>
      </c>
      <c r="B84" t="s">
        <v>152</v>
      </c>
      <c r="C84" t="s">
        <v>36</v>
      </c>
      <c r="D84" t="s">
        <v>1943</v>
      </c>
      <c r="E84" t="s">
        <v>1944</v>
      </c>
      <c r="F84" t="s">
        <v>1945</v>
      </c>
      <c r="G84" t="s">
        <v>1446</v>
      </c>
      <c r="H84" t="s">
        <v>488</v>
      </c>
      <c r="I84" t="s">
        <v>1946</v>
      </c>
      <c r="J84" t="s">
        <v>1947</v>
      </c>
      <c r="K84" t="s">
        <v>112</v>
      </c>
      <c r="L84" t="s">
        <v>1948</v>
      </c>
      <c r="M84" s="22">
        <v>45954.67291666667</v>
      </c>
      <c r="N84" s="22">
        <v>45958.438194444447</v>
      </c>
      <c r="P84" t="s">
        <v>1450</v>
      </c>
      <c r="Q84" t="s">
        <v>1451</v>
      </c>
      <c r="R84" t="s">
        <v>1544</v>
      </c>
      <c r="S84" t="s">
        <v>1452</v>
      </c>
      <c r="T84" t="s">
        <v>116</v>
      </c>
      <c r="U84" t="s">
        <v>1453</v>
      </c>
      <c r="V84" t="s">
        <v>1949</v>
      </c>
      <c r="W84" t="s">
        <v>118</v>
      </c>
      <c r="Y84" t="s">
        <v>251</v>
      </c>
      <c r="Z84" t="s">
        <v>121</v>
      </c>
      <c r="AA84" t="s">
        <v>1950</v>
      </c>
      <c r="AB84" s="23">
        <v>1</v>
      </c>
      <c r="AC84" s="23">
        <v>1</v>
      </c>
      <c r="AD84" s="26">
        <v>232859</v>
      </c>
      <c r="AE84" s="26">
        <v>343667</v>
      </c>
    </row>
    <row r="85" spans="1:31">
      <c r="A85" t="s">
        <v>68</v>
      </c>
      <c r="B85" t="s">
        <v>152</v>
      </c>
      <c r="C85" t="s">
        <v>36</v>
      </c>
      <c r="D85" t="s">
        <v>1367</v>
      </c>
      <c r="E85" t="s">
        <v>1951</v>
      </c>
      <c r="F85" t="s">
        <v>1952</v>
      </c>
      <c r="G85" t="s">
        <v>1446</v>
      </c>
      <c r="H85" t="s">
        <v>754</v>
      </c>
      <c r="I85" t="s">
        <v>1370</v>
      </c>
      <c r="J85" t="s">
        <v>1953</v>
      </c>
      <c r="K85" t="s">
        <v>112</v>
      </c>
      <c r="L85" t="s">
        <v>1954</v>
      </c>
      <c r="M85" s="22">
        <v>45955.375</v>
      </c>
      <c r="N85" s="22">
        <v>45961.417361111111</v>
      </c>
      <c r="P85" t="s">
        <v>1450</v>
      </c>
      <c r="Q85" t="s">
        <v>1451</v>
      </c>
      <c r="R85" t="s">
        <v>1452</v>
      </c>
      <c r="S85" t="s">
        <v>1452</v>
      </c>
      <c r="T85" t="s">
        <v>116</v>
      </c>
      <c r="U85" t="s">
        <v>1453</v>
      </c>
      <c r="V85" t="s">
        <v>1955</v>
      </c>
      <c r="W85" t="s">
        <v>118</v>
      </c>
      <c r="Y85" t="s">
        <v>183</v>
      </c>
      <c r="Z85" t="s">
        <v>121</v>
      </c>
      <c r="AA85" t="s">
        <v>760</v>
      </c>
      <c r="AB85" s="23">
        <v>1</v>
      </c>
      <c r="AC85" s="23">
        <v>1</v>
      </c>
      <c r="AD85" s="26">
        <v>344775</v>
      </c>
      <c r="AE85" s="26">
        <v>455583</v>
      </c>
    </row>
    <row r="86" spans="1:31">
      <c r="A86" t="s">
        <v>70</v>
      </c>
      <c r="B86" t="s">
        <v>152</v>
      </c>
      <c r="C86" t="s">
        <v>36</v>
      </c>
      <c r="D86" t="s">
        <v>1485</v>
      </c>
      <c r="E86" t="s">
        <v>1956</v>
      </c>
      <c r="F86" t="s">
        <v>1957</v>
      </c>
      <c r="G86" t="s">
        <v>1446</v>
      </c>
      <c r="H86" t="s">
        <v>313</v>
      </c>
      <c r="I86" t="s">
        <v>1488</v>
      </c>
      <c r="J86" t="s">
        <v>1958</v>
      </c>
      <c r="K86" t="s">
        <v>112</v>
      </c>
      <c r="L86" t="s">
        <v>1959</v>
      </c>
      <c r="M86" s="22">
        <v>45957.45416666667</v>
      </c>
      <c r="N86" s="22">
        <v>45958.629861111112</v>
      </c>
      <c r="P86" t="s">
        <v>1450</v>
      </c>
      <c r="Q86" t="s">
        <v>1451</v>
      </c>
      <c r="R86" t="s">
        <v>1544</v>
      </c>
      <c r="S86" t="s">
        <v>1452</v>
      </c>
      <c r="T86" t="s">
        <v>116</v>
      </c>
      <c r="U86" t="s">
        <v>1453</v>
      </c>
      <c r="V86" t="s">
        <v>1960</v>
      </c>
      <c r="W86" t="s">
        <v>118</v>
      </c>
      <c r="Y86" t="s">
        <v>251</v>
      </c>
      <c r="Z86" t="s">
        <v>121</v>
      </c>
      <c r="AA86" t="s">
        <v>1492</v>
      </c>
      <c r="AB86" s="23">
        <v>1</v>
      </c>
      <c r="AC86" s="23">
        <v>1</v>
      </c>
      <c r="AD86" s="26">
        <v>232859</v>
      </c>
      <c r="AE86" s="26">
        <v>343667</v>
      </c>
    </row>
    <row r="87" spans="1:31">
      <c r="A87" t="s">
        <v>61</v>
      </c>
      <c r="B87" t="s">
        <v>219</v>
      </c>
      <c r="C87" t="s">
        <v>32</v>
      </c>
      <c r="D87" t="s">
        <v>220</v>
      </c>
      <c r="E87" t="s">
        <v>1961</v>
      </c>
      <c r="F87" t="s">
        <v>1962</v>
      </c>
      <c r="G87" t="s">
        <v>1446</v>
      </c>
      <c r="H87" t="s">
        <v>223</v>
      </c>
      <c r="I87" t="s">
        <v>61</v>
      </c>
      <c r="J87" t="s">
        <v>1963</v>
      </c>
      <c r="K87" t="s">
        <v>112</v>
      </c>
      <c r="L87" t="s">
        <v>1964</v>
      </c>
      <c r="M87" s="22">
        <v>45957.553472222222</v>
      </c>
      <c r="N87" s="22">
        <v>45959.59375</v>
      </c>
      <c r="P87" t="s">
        <v>1450</v>
      </c>
      <c r="Q87" t="s">
        <v>1451</v>
      </c>
      <c r="R87" t="s">
        <v>1452</v>
      </c>
      <c r="S87" t="s">
        <v>1452</v>
      </c>
      <c r="T87" t="s">
        <v>116</v>
      </c>
      <c r="U87" t="s">
        <v>1453</v>
      </c>
      <c r="V87" t="s">
        <v>1965</v>
      </c>
      <c r="W87" t="s">
        <v>118</v>
      </c>
      <c r="Y87" t="s">
        <v>8</v>
      </c>
      <c r="Z87" t="s">
        <v>121</v>
      </c>
      <c r="AA87" t="s">
        <v>262</v>
      </c>
      <c r="AB87" s="23">
        <v>1</v>
      </c>
      <c r="AC87" s="23">
        <v>1</v>
      </c>
      <c r="AD87" s="26">
        <v>96011</v>
      </c>
      <c r="AE87" s="26">
        <v>153426</v>
      </c>
    </row>
    <row r="88" spans="1:31">
      <c r="A88" t="s">
        <v>61</v>
      </c>
      <c r="B88" t="s">
        <v>219</v>
      </c>
      <c r="C88" t="s">
        <v>32</v>
      </c>
      <c r="D88" t="s">
        <v>234</v>
      </c>
      <c r="E88" t="s">
        <v>1966</v>
      </c>
      <c r="F88" t="s">
        <v>1967</v>
      </c>
      <c r="G88" t="s">
        <v>1446</v>
      </c>
      <c r="H88" t="s">
        <v>223</v>
      </c>
      <c r="I88" t="s">
        <v>237</v>
      </c>
      <c r="J88" t="s">
        <v>1968</v>
      </c>
      <c r="K88" t="s">
        <v>112</v>
      </c>
      <c r="L88" t="s">
        <v>1969</v>
      </c>
      <c r="M88" s="22">
        <v>45957.602777777778</v>
      </c>
      <c r="N88" s="22">
        <v>45959.598611111112</v>
      </c>
      <c r="P88" t="s">
        <v>1450</v>
      </c>
      <c r="Q88" t="s">
        <v>1451</v>
      </c>
      <c r="R88" t="s">
        <v>1544</v>
      </c>
      <c r="S88" t="s">
        <v>1544</v>
      </c>
      <c r="T88" t="s">
        <v>116</v>
      </c>
      <c r="U88" t="s">
        <v>1453</v>
      </c>
      <c r="V88" t="s">
        <v>1970</v>
      </c>
      <c r="W88" t="s">
        <v>118</v>
      </c>
      <c r="Y88" t="s">
        <v>8</v>
      </c>
      <c r="Z88" t="s">
        <v>121</v>
      </c>
      <c r="AA88" t="s">
        <v>252</v>
      </c>
      <c r="AB88" s="23">
        <v>1</v>
      </c>
      <c r="AC88" s="23">
        <v>1</v>
      </c>
      <c r="AD88" s="26">
        <v>96011</v>
      </c>
      <c r="AE88" s="26">
        <v>153426</v>
      </c>
    </row>
    <row r="89" spans="1:31">
      <c r="A89" t="s">
        <v>47</v>
      </c>
      <c r="B89" t="s">
        <v>103</v>
      </c>
      <c r="C89" t="s">
        <v>48</v>
      </c>
      <c r="D89" t="s">
        <v>1971</v>
      </c>
      <c r="E89" t="s">
        <v>1972</v>
      </c>
      <c r="F89" t="s">
        <v>1973</v>
      </c>
      <c r="G89" t="s">
        <v>1446</v>
      </c>
      <c r="H89" t="s">
        <v>304</v>
      </c>
      <c r="I89" t="s">
        <v>1974</v>
      </c>
      <c r="J89" t="s">
        <v>1975</v>
      </c>
      <c r="K89" t="s">
        <v>112</v>
      </c>
      <c r="L89" t="s">
        <v>1976</v>
      </c>
      <c r="M89" s="22">
        <v>45959.411805555559</v>
      </c>
      <c r="N89" s="22">
        <v>45960.642361111109</v>
      </c>
      <c r="P89" t="s">
        <v>1450</v>
      </c>
      <c r="Q89" t="s">
        <v>1451</v>
      </c>
      <c r="R89" t="s">
        <v>114</v>
      </c>
      <c r="S89" t="s">
        <v>463</v>
      </c>
      <c r="T89" t="s">
        <v>116</v>
      </c>
      <c r="U89" t="s">
        <v>1453</v>
      </c>
      <c r="V89" t="s">
        <v>1977</v>
      </c>
      <c r="W89" t="s">
        <v>118</v>
      </c>
      <c r="Y89" t="s">
        <v>120</v>
      </c>
      <c r="Z89" t="s">
        <v>121</v>
      </c>
      <c r="AA89" t="s">
        <v>212</v>
      </c>
      <c r="AB89" s="23">
        <v>1</v>
      </c>
      <c r="AC89" s="23">
        <v>1</v>
      </c>
      <c r="AD89" s="26">
        <v>548634</v>
      </c>
      <c r="AE89" s="26">
        <v>659442</v>
      </c>
    </row>
    <row r="90" spans="1:31">
      <c r="A90" t="s">
        <v>70</v>
      </c>
      <c r="B90" t="s">
        <v>152</v>
      </c>
      <c r="C90" t="s">
        <v>36</v>
      </c>
      <c r="D90" t="s">
        <v>1753</v>
      </c>
      <c r="E90" t="s">
        <v>1978</v>
      </c>
      <c r="F90" t="s">
        <v>1979</v>
      </c>
      <c r="G90" t="s">
        <v>1446</v>
      </c>
      <c r="H90" t="s">
        <v>313</v>
      </c>
      <c r="I90" t="s">
        <v>1756</v>
      </c>
      <c r="J90" t="s">
        <v>1980</v>
      </c>
      <c r="K90" t="s">
        <v>112</v>
      </c>
      <c r="L90" t="s">
        <v>1981</v>
      </c>
      <c r="M90" s="22">
        <v>45959.670138888891</v>
      </c>
      <c r="N90" s="22">
        <v>45961.479166666657</v>
      </c>
      <c r="P90" t="s">
        <v>1450</v>
      </c>
      <c r="Q90" t="s">
        <v>1451</v>
      </c>
      <c r="R90" t="s">
        <v>1452</v>
      </c>
      <c r="S90" t="s">
        <v>1452</v>
      </c>
      <c r="T90" t="s">
        <v>116</v>
      </c>
      <c r="U90" t="s">
        <v>1453</v>
      </c>
      <c r="V90" t="s">
        <v>1982</v>
      </c>
      <c r="W90" t="s">
        <v>118</v>
      </c>
      <c r="Y90" t="s">
        <v>183</v>
      </c>
      <c r="Z90" t="s">
        <v>121</v>
      </c>
      <c r="AA90" t="s">
        <v>688</v>
      </c>
      <c r="AB90" s="23">
        <v>1</v>
      </c>
      <c r="AC90" s="23">
        <v>1</v>
      </c>
      <c r="AD90" s="26">
        <v>344775</v>
      </c>
      <c r="AE90" s="26">
        <v>455583</v>
      </c>
    </row>
    <row r="91" spans="1:31">
      <c r="AE91" s="42">
        <f>SUM(AE2:AE90)</f>
        <v>23328989</v>
      </c>
    </row>
  </sheetData>
  <autoFilter ref="A1:AE91" xr:uid="{00000000-0001-0000-03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b0c89e-4cf9-4131-8f93-e930e748987a" xsi:nil="true"/>
    <lcf76f155ced4ddcb4097134ff3c332f xmlns="45c089de-fbcb-4273-99e1-da05513ea3d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C0A8736163078B46BA45051ACB50C0B2" ma:contentTypeVersion="16" ma:contentTypeDescription="Crear nuevo documento." ma:contentTypeScope="" ma:versionID="3688f3dae372e14fc0065b8deaede2af">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6be92bc8077a6e15648bc8fb56071b5e"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B28088-A756-43BC-9FA4-7CA96EADA2D5}">
  <ds:schemaRefs>
    <ds:schemaRef ds:uri="http://schemas.microsoft.com/office/2006/metadata/properties"/>
    <ds:schemaRef ds:uri="http://schemas.microsoft.com/office/infopath/2007/PartnerControls"/>
    <ds:schemaRef ds:uri="d3b0c89e-4cf9-4131-8f93-e930e748987a"/>
    <ds:schemaRef ds:uri="45c089de-fbcb-4273-99e1-da05513ea3d0"/>
  </ds:schemaRefs>
</ds:datastoreItem>
</file>

<file path=customXml/itemProps2.xml><?xml version="1.0" encoding="utf-8"?>
<ds:datastoreItem xmlns:ds="http://schemas.openxmlformats.org/officeDocument/2006/customXml" ds:itemID="{0DCACACE-F6FD-46C1-A973-611164FD829D}">
  <ds:schemaRefs>
    <ds:schemaRef ds:uri="http://schemas.microsoft.com/sharepoint/v3/contenttype/forms"/>
  </ds:schemaRefs>
</ds:datastoreItem>
</file>

<file path=customXml/itemProps3.xml><?xml version="1.0" encoding="utf-8"?>
<ds:datastoreItem xmlns:ds="http://schemas.openxmlformats.org/officeDocument/2006/customXml" ds:itemID="{1E18321E-83A3-4582-A0A8-44B5570706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b0c89e-4cf9-4131-8f93-e930e748987a"/>
    <ds:schemaRef ds:uri="45c089de-fbcb-4273-99e1-da05513ea3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BASE DE LIQUIDACION 2025</vt:lpstr>
      <vt:lpstr>CENTRO DE COSTOS</vt:lpstr>
      <vt:lpstr>RESUMEN LIQUIDACIÓN</vt:lpstr>
      <vt:lpstr>PUBLICIDAD_APERTURAS</vt:lpstr>
      <vt:lpstr>PUBLICIDAD_OC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Luz Nedy Molina Torrado</cp:lastModifiedBy>
  <dcterms:created xsi:type="dcterms:W3CDTF">2015-02-09T21:21:29Z</dcterms:created>
  <dcterms:modified xsi:type="dcterms:W3CDTF">2025-12-01T15:46:06Z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